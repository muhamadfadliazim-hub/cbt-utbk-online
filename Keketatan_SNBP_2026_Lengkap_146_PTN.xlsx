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e1c313bb8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NBP 2026" sheetId="1" r:id="Rf540a96eaf644e89"/>
    <x:sheet xmlns:r="http://schemas.openxmlformats.org/officeDocument/2006/relationships" name="Ringkasan" sheetId="2" r:id="R562ede9a9ea446aa"/>
    <x:sheet xmlns:r="http://schemas.openxmlformats.org/officeDocument/2006/relationships" name="Daftar 146 PTN" sheetId="3" r:id="Ra69ad993e59942bd"/>
    <x:sheet xmlns:r="http://schemas.openxmlformats.org/officeDocument/2006/relationships" name="Catatan &amp; Sumber" sheetId="4" r:id="R806ed3cf60b8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.0"/>
    <x:numFmt numFmtId="203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5F"/>
      <x:name val="Carlito"/>
    </x:font>
    <x:font>
      <x:b/>
      <x:sz val="11"/>
      <x:color rgb="FF234A69"/>
      <x:name val="Carlito"/>
    </x:font>
    <x:font>
      <x:b/>
      <x:sz val="11"/>
      <x:color rgb="FFFFFFFF"/>
      <x:name val="Carlito"/>
    </x:font>
    <x:font>
      <x:i/>
      <x:sz val="11"/>
      <x:color rgb="FF3E5F78"/>
      <x:name val="Carlito"/>
    </x:font>
    <x:font>
      <x:sz val="11"/>
      <x:color rgb="FF7A4E00"/>
      <x:name val="Carlito"/>
    </x:font>
    <x:font>
      <x:b/>
      <x:sz val="17"/>
      <x:color rgb="FFFFFFFF"/>
      <x:name val="Carlito"/>
    </x:font>
    <x:font>
      <x:b/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  <x:fill>
      <x:patternFill patternType="solid">
        <x:fgColor rgb="FF1F5A83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i/>
        <x:color rgb="FF666666"/>
      </x:font>
      <x:fill>
        <x:patternFill>
          <x:bgColor rgb="FFECECEC"/>
        </x:patternFill>
      </x:fill>
    </x:dxf>
    <x:dxf>
      <x:font>
        <x:b/>
        <x:color rgb="FF2F6B2F"/>
      </x:font>
      <x:fill>
        <x:patternFill>
          <x:bgColor rgb="FFDFF0D8"/>
        </x:patternFill>
      </x:fill>
    </x:dxf>
    <x:dxf>
      <x:font>
        <x:color rgb="FF8B4A4A"/>
      </x:font>
      <x:fill>
        <x:patternFill>
          <x:bgColor rgb="FFF4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5ea4c6f2504231" /><Relationship Type="http://schemas.openxmlformats.org/officeDocument/2006/relationships/theme" Target="/xl/theme/theme1.xml" Id="R65528c983f7a4e36" /><Relationship Type="http://schemas.openxmlformats.org/officeDocument/2006/relationships/sharedStrings" Target="/xl/sharedStrings.xml" Id="Rbe8aad0fd50e42b4" /><Relationship Type="http://schemas.openxmlformats.org/officeDocument/2006/relationships/worksheet" Target="/xl/worksheets/sheet1.xml" Id="Rf540a96eaf644e89" /><Relationship Type="http://schemas.openxmlformats.org/officeDocument/2006/relationships/worksheet" Target="/xl/worksheets/sheet2.xml" Id="R562ede9a9ea446aa" /><Relationship Type="http://schemas.openxmlformats.org/officeDocument/2006/relationships/worksheet" Target="/xl/worksheets/sheet3.xml" Id="Ra69ad993e59942bd" /><Relationship Type="http://schemas.openxmlformats.org/officeDocument/2006/relationships/worksheet" Target="/xl/worksheets/sheet4.xml" Id="R806ed3cf60b847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d3b55572a049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Distribusi Kategori Keketatan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 Prodi</c:v>
          </c:tx>
          <c:cat>
            <c:strRef>
              <c:f>'Ringkasan'!$A$13:$A$16</c:f>
              <c:strCache>
                <c:ptCount val="0"/>
              </c:strCache>
            </c:strRef>
          </c:cat>
          <c:val>
            <c:numRef>
              <c:f>'Ringkasan'!$B$13:$B$16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18</xdr:row>
      <xdr:rowOff>0</xdr:rowOff>
    </xdr:from>
    <xdr:to>
      <xdr:col>3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d3b55572a049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NBPData" displayName="SNBPData" ref="A5:R1084" headerRowCount="1" totalsRowCount="0" totalsRowShown="0">
  <x:tableColumns count="18">
    <x:tableColumn id="1" name="Rank Nasional*"/>
    <x:tableColumn id="2" name="Kode PTN"/>
    <x:tableColumn id="3" name="PTN"/>
    <x:tableColumn id="4" name="Kategori PTN"/>
    <x:tableColumn id="5" name="Kode Prodi"/>
    <x:tableColumn id="6" name="Program Studi"/>
    <x:tableColumn id="7" name="Jenjang"/>
    <x:tableColumn id="8" name="Daya Tampung 2026"/>
    <x:tableColumn id="9" name="Peminat 2025"/>
    <x:tableColumn id="10" name="Keketatan %"/>
    <x:tableColumn id="11" name="Peminat per Kursi"/>
    <x:tableColumn id="12" name="Rasio Persaingan"/>
    <x:tableColumn id="13" name="Kategori Keketatan"/>
    <x:tableColumn id="14" name="Portofolio"/>
    <x:tableColumn id="15" name="Provinsi"/>
    <x:tableColumn id="16" name="Kab/Kota"/>
    <x:tableColumn id="17" name="Sumber Resmi"/>
    <x:tableColumn id="18" name="URL Da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TNRoster" displayName="PTNRoster" ref="A4:E150" headerRowCount="1" totalsRowCount="0" totalsRowShown="0">
  <x:tableColumns count="5">
    <x:tableColumn id="1" name="No"/>
    <x:tableColumn id="2" name="Kategori"/>
    <x:tableColumn id="3" name="Nama PTN"/>
    <x:tableColumn id="4" name="Status Detail"/>
    <x:tableColumn id="5" name="Jumlah Prodi Tersed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731efbfeee4b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b9ecb1a71184c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df90287f9c4e5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31" hidden="0" customWidth="1"/>
    <x:col min="4" max="4" width="14" hidden="0" customWidth="1"/>
    <x:col min="5" max="5" width="13" hidden="0" customWidth="1"/>
    <x:col min="6" max="6" width="38" hidden="0" customWidth="1"/>
    <x:col min="7" max="7" width="16" hidden="0" customWidth="1"/>
    <x:col min="8" max="8" width="15" hidden="0" customWidth="1"/>
    <x:col min="9" max="9" width="14" hidden="0" customWidth="1"/>
    <x:col min="10" max="10" width="13" hidden="0" customWidth="1"/>
    <x:col min="11" max="11" width="16" hidden="0" customWidth="1"/>
    <x:col min="12" max="12" width="16" hidden="0" customWidth="1"/>
    <x:col min="13" max="13" width="18" hidden="0" customWidth="1"/>
    <x:col min="14" max="14" width="22" hidden="0" customWidth="1"/>
    <x:col min="15" max="15" width="18" hidden="0" customWidth="1"/>
    <x:col min="16" max="16" width="22" hidden="0" customWidth="1"/>
    <x:col min="17" max="17" width="38" hidden="0" customWidth="1"/>
    <x:col min="18" max="18" width="46" hidden="0" customWidth="1"/>
  </x:cols>
  <x:sheetData>
    <x:row r="1" ht="30" customHeight="1">
      <x:c r="A1" s="30" t="str">
        <x:v>Keketatan SNBP 2026 per Program Studi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</x:row>
    <x:row r="2" ht="22" customHeight="1">
      <x:c r="A2" s="33" t="str">
        <x:v>Basis: Daya Tampung 2026 ÷ Peminat 2025 | Detail lengkap: 5,142 prodi dari 146 PTN | Semakin kecil %, semakin ketat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</x:row>
    <x:row r="3">
      <x:c r="A3" s="37" t="str">
        <x:v>Catatan: prodi tanpa Peminat 2025 diberi status Baru/Tanpa Data dan tidak diranking.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</x:row>
    <x:row r="5" ht="34" customHeight="1">
      <x:c r="A5" s="44" t="str">
        <x:v>Rank Nasional*</x:v>
      </x:c>
      <x:c r="B5" s="44" t="str">
        <x:v>Kode PTN</x:v>
      </x:c>
      <x:c r="C5" s="44" t="str">
        <x:v>PTN</x:v>
      </x:c>
      <x:c r="D5" s="44" t="str">
        <x:v>Kategori PTN</x:v>
      </x:c>
      <x:c r="E5" s="44" t="str">
        <x:v>Kode Prodi</x:v>
      </x:c>
      <x:c r="F5" s="44" t="str">
        <x:v>Program Studi</x:v>
      </x:c>
      <x:c r="G5" s="44" t="str">
        <x:v>Jenjang</x:v>
      </x:c>
      <x:c r="H5" s="44" t="str">
        <x:v>Daya Tampung 2026</x:v>
      </x:c>
      <x:c r="I5" s="44" t="str">
        <x:v>Peminat 2025</x:v>
      </x:c>
      <x:c r="J5" s="44" t="str">
        <x:v>Keketatan %</x:v>
      </x:c>
      <x:c r="K5" s="44" t="str">
        <x:v>Peminat per Kursi</x:v>
      </x:c>
      <x:c r="L5" s="44" t="str">
        <x:v>Rasio Persaingan</x:v>
      </x:c>
      <x:c r="M5" s="44" t="str">
        <x:v>Kategori Keketatan</x:v>
      </x:c>
      <x:c r="N5" s="44" t="str">
        <x:v>Portofolio</x:v>
      </x:c>
      <x:c r="O5" s="44" t="str">
        <x:v>Provinsi</x:v>
      </x:c>
      <x:c r="P5" s="44" t="str">
        <x:v>Kab/Kota</x:v>
      </x:c>
      <x:c r="Q5" s="44" t="str">
        <x:v>Sumber Resmi</x:v>
      </x:c>
      <x:c r="R5" s="44" t="str">
        <x:v>URL Data</x:v>
      </x:c>
    </x:row>
    <x:row r="6">
      <x:c r="A6" s="87" t="n">
        <x:v>2525</x:v>
      </x:c>
      <x:c r="B6" s="87" t="n">
        <x:v>111</x:v>
      </x:c>
      <x:c r="C6" s="66" t="str">
        <x:v>UNIVERSITAS SYIAH KUALA</x:v>
      </x:c>
      <x:c r="D6" s="66" t="str">
        <x:v>PTN Akademik</x:v>
      </x:c>
      <x:c r="E6" s="66" t="str">
        <x:v>11111001</x:v>
      </x:c>
      <x:c r="F6" s="66" t="str">
        <x:v>PENDIDIKAN DOKTER HEWAN</x:v>
      </x:c>
      <x:c r="G6" s="66" t="str">
        <x:v>Sarjana</x:v>
      </x:c>
      <x:c r="H6" s="87" t="n">
        <x:v>72</x:v>
      </x:c>
      <x:c r="I6" s="87" t="n">
        <x:v>334</x:v>
      </x:c>
      <x:c r="J6" s="68" t="n">
        <x:f>IFERROR(H6/I6,"")</x:f>
        <x:v>0.2155688622754491</x:v>
      </x:c>
      <x:c r="K6" s="69" t="n">
        <x:f>IFERROR(I6/H6,"")</x:f>
        <x:v>4.638888888888889</x:v>
      </x:c>
      <x:c r="L6" s="66" t="str">
        <x:f>IF(K6="","","1 : "&amp;TEXT(K6,"0.0"))</x:f>
        <x:v>1 : 4.6</x:v>
      </x:c>
      <x:c r="M6" s="66" t="str">
        <x:f>IF(J6="","Baru/Tanpa Data",IF(J6&lt;='Catatan &amp; Sumber'!$B$14,"Sangat Ketat",IF(J6&lt;='Catatan &amp; Sumber'!$B$15,"Ketat",IF(J6&lt;='Catatan &amp; Sumber'!$B$16,"Sedang","Relatif Longgar"))))</x:f>
        <x:v>Relatif Longgar</x:v>
      </x:c>
      <x:c r="N6" s="66" t="str">
        <x:v>Tidak Ada</x:v>
      </x:c>
      <x:c r="O6" s="66" t="str">
        <x:v>Aceh</x:v>
      </x:c>
      <x:c r="P6" s="66" t="str">
        <x:v>Kota Banda Aceh</x:v>
      </x:c>
      <x:c r="Q6" s="66" t="str">
        <x:v>https://snpmb.id/snbp/daya-tampung-snbp</x:v>
      </x:c>
      <x:c r="R6" s="66" t="str">
        <x:v>https://sidatagrun-public-1076756628210.asia-southeast2.run.app/ptn_sn.php?ptn=111</x:v>
      </x:c>
    </x:row>
    <x:row r="7">
      <x:c r="A7" s="87" t="n">
        <x:v>2115</x:v>
      </x:c>
      <x:c r="B7" s="87" t="n">
        <x:v>111</x:v>
      </x:c>
      <x:c r="C7" s="66" t="str">
        <x:v>UNIVERSITAS SYIAH KUALA</x:v>
      </x:c>
      <x:c r="D7" s="66" t="str">
        <x:v>PTN Akademik</x:v>
      </x:c>
      <x:c r="E7" s="66" t="str">
        <x:v>11111002</x:v>
      </x:c>
      <x:c r="F7" s="66" t="str">
        <x:v>TEKNIK SIPIL</x:v>
      </x:c>
      <x:c r="G7" s="66" t="str">
        <x:v>Sarjana</x:v>
      </x:c>
      <x:c r="H7" s="87" t="n">
        <x:v>84</x:v>
      </x:c>
      <x:c r="I7" s="87" t="n">
        <x:v>515</x:v>
      </x:c>
      <x:c r="J7" s="68" t="n">
        <x:f>IFERROR(H7/I7,"")</x:f>
        <x:v>0.16310679611650486</x:v>
      </x:c>
      <x:c r="K7" s="69" t="n">
        <x:f>IFERROR(I7/H7,"")</x:f>
        <x:v>6.130952380952381</x:v>
      </x:c>
      <x:c r="L7" s="66" t="str">
        <x:f>IF(K7="","","1 : "&amp;TEXT(K7,"0.0"))</x:f>
        <x:v>1 : 6.1</x:v>
      </x:c>
      <x:c r="M7" s="66" t="str">
        <x:f>IF(J7="","Baru/Tanpa Data",IF(J7&lt;='Catatan &amp; Sumber'!$B$14,"Sangat Ketat",IF(J7&lt;='Catatan &amp; Sumber'!$B$15,"Ketat",IF(J7&lt;='Catatan &amp; Sumber'!$B$16,"Sedang","Relatif Longgar"))))</x:f>
        <x:v>Relatif Longgar</x:v>
      </x:c>
      <x:c r="N7" s="66" t="str">
        <x:v>Tidak Ada</x:v>
      </x:c>
      <x:c r="O7" s="66" t="str">
        <x:v>Aceh</x:v>
      </x:c>
      <x:c r="P7" s="66" t="str">
        <x:v>Kota Banda Aceh</x:v>
      </x:c>
      <x:c r="Q7" s="66" t="str">
        <x:v>https://snpmb.id/snbp/daya-tampung-snbp</x:v>
      </x:c>
      <x:c r="R7" s="66" t="str">
        <x:v>https://sidatagrun-public-1076756628210.asia-southeast2.run.app/ptn_sn.php?ptn=111</x:v>
      </x:c>
    </x:row>
    <x:row r="8">
      <x:c r="A8" s="87" t="n">
        <x:v>1743</x:v>
      </x:c>
      <x:c r="B8" s="87" t="n">
        <x:v>111</x:v>
      </x:c>
      <x:c r="C8" s="66" t="str">
        <x:v>UNIVERSITAS SYIAH KUALA</x:v>
      </x:c>
      <x:c r="D8" s="66" t="str">
        <x:v>PTN Akademik</x:v>
      </x:c>
      <x:c r="E8" s="66" t="str">
        <x:v>11111003</x:v>
      </x:c>
      <x:c r="F8" s="66" t="str">
        <x:v>TEKNIK MESIN</x:v>
      </x:c>
      <x:c r="G8" s="66" t="str">
        <x:v>Sarjana</x:v>
      </x:c>
      <x:c r="H8" s="87" t="n">
        <x:v>36</x:v>
      </x:c>
      <x:c r="I8" s="87" t="n">
        <x:v>282</x:v>
      </x:c>
      <x:c r="J8" s="68" t="n">
        <x:f>IFERROR(H8/I8,"")</x:f>
        <x:v>0.1276595744680851</x:v>
      </x:c>
      <x:c r="K8" s="69" t="n">
        <x:f>IFERROR(I8/H8,"")</x:f>
        <x:v>7.833333333333333</x:v>
      </x:c>
      <x:c r="L8" s="66" t="str">
        <x:f>IF(K8="","","1 : "&amp;TEXT(K8,"0.0"))</x:f>
        <x:v>1 : 7.8</x:v>
      </x:c>
      <x:c r="M8" s="66" t="str">
        <x:f>IF(J8="","Baru/Tanpa Data",IF(J8&lt;='Catatan &amp; Sumber'!$B$14,"Sangat Ketat",IF(J8&lt;='Catatan &amp; Sumber'!$B$15,"Ketat",IF(J8&lt;='Catatan &amp; Sumber'!$B$16,"Sedang","Relatif Longgar"))))</x:f>
        <x:v>Relatif Longgar</x:v>
      </x:c>
      <x:c r="N8" s="66" t="str">
        <x:v>Tidak Ada</x:v>
      </x:c>
      <x:c r="O8" s="66" t="str">
        <x:v>Aceh</x:v>
      </x:c>
      <x:c r="P8" s="66" t="str">
        <x:v>Kota Banda Aceh</x:v>
      </x:c>
      <x:c r="Q8" s="66" t="str">
        <x:v>https://snpmb.id/snbp/daya-tampung-snbp</x:v>
      </x:c>
      <x:c r="R8" s="66" t="str">
        <x:v>https://sidatagrun-public-1076756628210.asia-southeast2.run.app/ptn_sn.php?ptn=111</x:v>
      </x:c>
    </x:row>
    <x:row r="9">
      <x:c r="A9" s="87" t="n">
        <x:v>2677</x:v>
      </x:c>
      <x:c r="B9" s="87" t="n">
        <x:v>111</x:v>
      </x:c>
      <x:c r="C9" s="66" t="str">
        <x:v>UNIVERSITAS SYIAH KUALA</x:v>
      </x:c>
      <x:c r="D9" s="66" t="str">
        <x:v>PTN Akademik</x:v>
      </x:c>
      <x:c r="E9" s="66" t="str">
        <x:v>11111004</x:v>
      </x:c>
      <x:c r="F9" s="66" t="str">
        <x:v>TEKNIK KIMIA</x:v>
      </x:c>
      <x:c r="G9" s="66" t="str">
        <x:v>Sarjana</x:v>
      </x:c>
      <x:c r="H9" s="87" t="n">
        <x:v>54</x:v>
      </x:c>
      <x:c r="I9" s="87" t="n">
        <x:v>225</x:v>
      </x:c>
      <x:c r="J9" s="68" t="n">
        <x:f>IFERROR(H9/I9,"")</x:f>
        <x:v>0.24</x:v>
      </x:c>
      <x:c r="K9" s="69" t="n">
        <x:f>IFERROR(I9/H9,"")</x:f>
        <x:v>4.166666666666667</x:v>
      </x:c>
      <x:c r="L9" s="66" t="str">
        <x:f>IF(K9="","","1 : "&amp;TEXT(K9,"0.0"))</x:f>
        <x:v>1 : 4.2</x:v>
      </x:c>
      <x:c r="M9" s="66" t="str">
        <x:f>IF(J9="","Baru/Tanpa Data",IF(J9&lt;='Catatan &amp; Sumber'!$B$14,"Sangat Ketat",IF(J9&lt;='Catatan &amp; Sumber'!$B$15,"Ketat",IF(J9&lt;='Catatan &amp; Sumber'!$B$16,"Sedang","Relatif Longgar"))))</x:f>
        <x:v>Relatif Longgar</x:v>
      </x:c>
      <x:c r="N9" s="66" t="str">
        <x:v>Tidak Ada</x:v>
      </x:c>
      <x:c r="O9" s="66" t="str">
        <x:v>Aceh</x:v>
      </x:c>
      <x:c r="P9" s="66" t="str">
        <x:v>Kota Banda Aceh</x:v>
      </x:c>
      <x:c r="Q9" s="66" t="str">
        <x:v>https://snpmb.id/snbp/daya-tampung-snbp</x:v>
      </x:c>
      <x:c r="R9" s="66" t="str">
        <x:v>https://sidatagrun-public-1076756628210.asia-southeast2.run.app/ptn_sn.php?ptn=111</x:v>
      </x:c>
    </x:row>
    <x:row r="10">
      <x:c r="A10" s="87" t="n">
        <x:v>2311</x:v>
      </x:c>
      <x:c r="B10" s="87" t="n">
        <x:v>111</x:v>
      </x:c>
      <x:c r="C10" s="66" t="str">
        <x:v>UNIVERSITAS SYIAH KUALA</x:v>
      </x:c>
      <x:c r="D10" s="66" t="str">
        <x:v>PTN Akademik</x:v>
      </x:c>
      <x:c r="E10" s="66" t="str">
        <x:v>11111005</x:v>
      </x:c>
      <x:c r="F10" s="66" t="str">
        <x:v>ARSITEKTUR</x:v>
      </x:c>
      <x:c r="G10" s="66" t="str">
        <x:v>Sarjana</x:v>
      </x:c>
      <x:c r="H10" s="87" t="n">
        <x:v>48</x:v>
      </x:c>
      <x:c r="I10" s="87" t="n">
        <x:v>259</x:v>
      </x:c>
      <x:c r="J10" s="68" t="n">
        <x:f>IFERROR(H10/I10,"")</x:f>
        <x:v>0.18532818532818532</x:v>
      </x:c>
      <x:c r="K10" s="69" t="n">
        <x:f>IFERROR(I10/H10,"")</x:f>
        <x:v>5.395833333333333</x:v>
      </x:c>
      <x:c r="L10" s="66" t="str">
        <x:f>IF(K10="","","1 : "&amp;TEXT(K10,"0.0"))</x:f>
        <x:v>1 : 5.4</x:v>
      </x:c>
      <x:c r="M10" s="66" t="str">
        <x:f>IF(J10="","Baru/Tanpa Data",IF(J10&lt;='Catatan &amp; Sumber'!$B$14,"Sangat Ketat",IF(J10&lt;='Catatan &amp; Sumber'!$B$15,"Ketat",IF(J10&lt;='Catatan &amp; Sumber'!$B$16,"Sedang","Relatif Longgar"))))</x:f>
        <x:v>Relatif Longgar</x:v>
      </x:c>
      <x:c r="N10" s="66" t="str">
        <x:v>Tidak Ada</x:v>
      </x:c>
      <x:c r="O10" s="66" t="str">
        <x:v>Aceh</x:v>
      </x:c>
      <x:c r="P10" s="66" t="str">
        <x:v>Kota Banda Aceh</x:v>
      </x:c>
      <x:c r="Q10" s="66" t="str">
        <x:v>https://snpmb.id/snbp/daya-tampung-snbp</x:v>
      </x:c>
      <x:c r="R10" s="66" t="str">
        <x:v>https://sidatagrun-public-1076756628210.asia-southeast2.run.app/ptn_sn.php?ptn=111</x:v>
      </x:c>
    </x:row>
    <x:row r="11">
      <x:c r="A11" s="87" t="n">
        <x:v>2092</x:v>
      </x:c>
      <x:c r="B11" s="87" t="n">
        <x:v>111</x:v>
      </x:c>
      <x:c r="C11" s="66" t="str">
        <x:v>UNIVERSITAS SYIAH KUALA</x:v>
      </x:c>
      <x:c r="D11" s="66" t="str">
        <x:v>PTN Akademik</x:v>
      </x:c>
      <x:c r="E11" s="66" t="str">
        <x:v>11111006</x:v>
      </x:c>
      <x:c r="F11" s="66" t="str">
        <x:v>TEKNIK ELEKTRO</x:v>
      </x:c>
      <x:c r="G11" s="66" t="str">
        <x:v>Sarjana</x:v>
      </x:c>
      <x:c r="H11" s="87" t="n">
        <x:v>48</x:v>
      </x:c>
      <x:c r="I11" s="87" t="n">
        <x:v>299</x:v>
      </x:c>
      <x:c r="J11" s="68" t="n">
        <x:f>IFERROR(H11/I11,"")</x:f>
        <x:v>0.1605351170568562</x:v>
      </x:c>
      <x:c r="K11" s="69" t="n">
        <x:f>IFERROR(I11/H11,"")</x:f>
        <x:v>6.229166666666667</x:v>
      </x:c>
      <x:c r="L11" s="66" t="str">
        <x:f>IF(K11="","","1 : "&amp;TEXT(K11,"0.0"))</x:f>
        <x:v>1 : 6.2</x:v>
      </x:c>
      <x:c r="M11" s="66" t="str">
        <x:f>IF(J11="","Baru/Tanpa Data",IF(J11&lt;='Catatan &amp; Sumber'!$B$14,"Sangat Ketat",IF(J11&lt;='Catatan &amp; Sumber'!$B$15,"Ketat",IF(J11&lt;='Catatan &amp; Sumber'!$B$16,"Sedang","Relatif Longgar"))))</x:f>
        <x:v>Relatif Longgar</x:v>
      </x:c>
      <x:c r="N11" s="66" t="str">
        <x:v>Tidak Ada</x:v>
      </x:c>
      <x:c r="O11" s="66" t="str">
        <x:v>Aceh</x:v>
      </x:c>
      <x:c r="P11" s="66" t="str">
        <x:v>Kota Banda Aceh</x:v>
      </x:c>
      <x:c r="Q11" s="66" t="str">
        <x:v>https://snpmb.id/snbp/daya-tampung-snbp</x:v>
      </x:c>
      <x:c r="R11" s="66" t="str">
        <x:v>https://sidatagrun-public-1076756628210.asia-southeast2.run.app/ptn_sn.php?ptn=111</x:v>
      </x:c>
    </x:row>
    <x:row r="12">
      <x:c r="A12" s="87" t="n">
        <x:v>1917</x:v>
      </x:c>
      <x:c r="B12" s="87" t="n">
        <x:v>111</x:v>
      </x:c>
      <x:c r="C12" s="66" t="str">
        <x:v>UNIVERSITAS SYIAH KUALA</x:v>
      </x:c>
      <x:c r="D12" s="66" t="str">
        <x:v>PTN Akademik</x:v>
      </x:c>
      <x:c r="E12" s="66" t="str">
        <x:v>11111007</x:v>
      </x:c>
      <x:c r="F12" s="66" t="str">
        <x:v>AGROTEKNOLOGI</x:v>
      </x:c>
      <x:c r="G12" s="66" t="str">
        <x:v>Sarjana</x:v>
      </x:c>
      <x:c r="H12" s="87" t="n">
        <x:v>36</x:v>
      </x:c>
      <x:c r="I12" s="87" t="n">
        <x:v>252</x:v>
      </x:c>
      <x:c r="J12" s="68" t="n">
        <x:f>IFERROR(H12/I12,"")</x:f>
        <x:v>0.14285714285714285</x:v>
      </x:c>
      <x:c r="K12" s="69" t="n">
        <x:f>IFERROR(I12/H12,"")</x:f>
        <x:v>7</x:v>
      </x:c>
      <x:c r="L12" s="66" t="str">
        <x:f>IF(K12="","","1 : "&amp;TEXT(K12,"0.0"))</x:f>
        <x:v>1 : 7.0</x:v>
      </x:c>
      <x:c r="M12" s="66" t="str">
        <x:f>IF(J12="","Baru/Tanpa Data",IF(J12&lt;='Catatan &amp; Sumber'!$B$14,"Sangat Ketat",IF(J12&lt;='Catatan &amp; Sumber'!$B$15,"Ketat",IF(J12&lt;='Catatan &amp; Sumber'!$B$16,"Sedang","Relatif Longgar"))))</x:f>
        <x:v>Relatif Longgar</x:v>
      </x:c>
      <x:c r="N12" s="66" t="str">
        <x:v>Tidak Ada</x:v>
      </x:c>
      <x:c r="O12" s="66" t="str">
        <x:v>Aceh</x:v>
      </x:c>
      <x:c r="P12" s="66" t="str">
        <x:v>Kota Banda Aceh</x:v>
      </x:c>
      <x:c r="Q12" s="66" t="str">
        <x:v>https://snpmb.id/snbp/daya-tampung-snbp</x:v>
      </x:c>
      <x:c r="R12" s="66" t="str">
        <x:v>https://sidatagrun-public-1076756628210.asia-southeast2.run.app/ptn_sn.php?ptn=111</x:v>
      </x:c>
    </x:row>
    <x:row r="13">
      <x:c r="A13" s="87" t="n">
        <x:v>1868</x:v>
      </x:c>
      <x:c r="B13" s="87" t="n">
        <x:v>111</x:v>
      </x:c>
      <x:c r="C13" s="66" t="str">
        <x:v>UNIVERSITAS SYIAH KUALA</x:v>
      </x:c>
      <x:c r="D13" s="66" t="str">
        <x:v>PTN Akademik</x:v>
      </x:c>
      <x:c r="E13" s="66" t="str">
        <x:v>11111008</x:v>
      </x:c>
      <x:c r="F13" s="66" t="str">
        <x:v>AGRIBISNIS</x:v>
      </x:c>
      <x:c r="G13" s="66" t="str">
        <x:v>Sarjana</x:v>
      </x:c>
      <x:c r="H13" s="87" t="n">
        <x:v>48</x:v>
      </x:c>
      <x:c r="I13" s="87" t="n">
        <x:v>348</x:v>
      </x:c>
      <x:c r="J13" s="68" t="n">
        <x:f>IFERROR(H13/I13,"")</x:f>
        <x:v>0.13793103448275862</x:v>
      </x:c>
      <x:c r="K13" s="69" t="n">
        <x:f>IFERROR(I13/H13,"")</x:f>
        <x:v>7.25</x:v>
      </x:c>
      <x:c r="L13" s="66" t="str">
        <x:f>IF(K13="","","1 : "&amp;TEXT(K13,"0.0"))</x:f>
        <x:v>1 : 7.3</x:v>
      </x:c>
      <x:c r="M13" s="66" t="str">
        <x:f>IF(J13="","Baru/Tanpa Data",IF(J13&lt;='Catatan &amp; Sumber'!$B$14,"Sangat Ketat",IF(J13&lt;='Catatan &amp; Sumber'!$B$15,"Ketat",IF(J13&lt;='Catatan &amp; Sumber'!$B$16,"Sedang","Relatif Longgar"))))</x:f>
        <x:v>Relatif Longgar</x:v>
      </x:c>
      <x:c r="N13" s="66" t="str">
        <x:v>Tidak Ada</x:v>
      </x:c>
      <x:c r="O13" s="66" t="str">
        <x:v>Aceh</x:v>
      </x:c>
      <x:c r="P13" s="66" t="str">
        <x:v>Kota Banda Aceh</x:v>
      </x:c>
      <x:c r="Q13" s="66" t="str">
        <x:v>https://snpmb.id/snbp/daya-tampung-snbp</x:v>
      </x:c>
      <x:c r="R13" s="66" t="str">
        <x:v>https://sidatagrun-public-1076756628210.asia-southeast2.run.app/ptn_sn.php?ptn=111</x:v>
      </x:c>
    </x:row>
    <x:row r="14">
      <x:c r="A14" s="87" t="n">
        <x:v>3238</x:v>
      </x:c>
      <x:c r="B14" s="87" t="n">
        <x:v>111</x:v>
      </x:c>
      <x:c r="C14" s="66" t="str">
        <x:v>UNIVERSITAS SYIAH KUALA</x:v>
      </x:c>
      <x:c r="D14" s="66" t="str">
        <x:v>PTN Akademik</x:v>
      </x:c>
      <x:c r="E14" s="66" t="str">
        <x:v>11111009</x:v>
      </x:c>
      <x:c r="F14" s="66" t="str">
        <x:v>PETERNAKAN</x:v>
      </x:c>
      <x:c r="G14" s="66" t="str">
        <x:v>Sarjana</x:v>
      </x:c>
      <x:c r="H14" s="87" t="n">
        <x:v>44</x:v>
      </x:c>
      <x:c r="I14" s="87" t="n">
        <x:v>125</x:v>
      </x:c>
      <x:c r="J14" s="68" t="n">
        <x:f>IFERROR(H14/I14,"")</x:f>
        <x:v>0.352</x:v>
      </x:c>
      <x:c r="K14" s="69" t="n">
        <x:f>IFERROR(I14/H14,"")</x:f>
        <x:v>2.840909090909091</x:v>
      </x:c>
      <x:c r="L14" s="66" t="str">
        <x:f>IF(K14="","","1 : "&amp;TEXT(K14,"0.0"))</x:f>
        <x:v>1 : 2.8</x:v>
      </x:c>
      <x:c r="M14" s="66" t="str">
        <x:f>IF(J14="","Baru/Tanpa Data",IF(J14&lt;='Catatan &amp; Sumber'!$B$14,"Sangat Ketat",IF(J14&lt;='Catatan &amp; Sumber'!$B$15,"Ketat",IF(J14&lt;='Catatan &amp; Sumber'!$B$16,"Sedang","Relatif Longgar"))))</x:f>
        <x:v>Relatif Longgar</x:v>
      </x:c>
      <x:c r="N14" s="66" t="str">
        <x:v>Tidak Ada</x:v>
      </x:c>
      <x:c r="O14" s="66" t="str">
        <x:v>Aceh</x:v>
      </x:c>
      <x:c r="P14" s="66" t="str">
        <x:v>Kota Banda Aceh</x:v>
      </x:c>
      <x:c r="Q14" s="66" t="str">
        <x:v>https://snpmb.id/snbp/daya-tampung-snbp</x:v>
      </x:c>
      <x:c r="R14" s="66" t="str">
        <x:v>https://sidatagrun-public-1076756628210.asia-southeast2.run.app/ptn_sn.php?ptn=111</x:v>
      </x:c>
    </x:row>
    <x:row r="15">
      <x:c r="A15" s="87" t="n">
        <x:v>2845</x:v>
      </x:c>
      <x:c r="B15" s="87" t="n">
        <x:v>111</x:v>
      </x:c>
      <x:c r="C15" s="66" t="str">
        <x:v>UNIVERSITAS SYIAH KUALA</x:v>
      </x:c>
      <x:c r="D15" s="66" t="str">
        <x:v>PTN Akademik</x:v>
      </x:c>
      <x:c r="E15" s="66" t="str">
        <x:v>11111010</x:v>
      </x:c>
      <x:c r="F15" s="66" t="str">
        <x:v>TEKNOLOGI PANGAN DAN HASIL PERTANIAN</x:v>
      </x:c>
      <x:c r="G15" s="66" t="str">
        <x:v>Sarjana</x:v>
      </x:c>
      <x:c r="H15" s="87" t="n">
        <x:v>48</x:v>
      </x:c>
      <x:c r="I15" s="87" t="n">
        <x:v>180</x:v>
      </x:c>
      <x:c r="J15" s="68" t="n">
        <x:f>IFERROR(H15/I15,"")</x:f>
        <x:v>0.26666666666666666</x:v>
      </x:c>
      <x:c r="K15" s="69" t="n">
        <x:f>IFERROR(I15/H15,"")</x:f>
        <x:v>3.75</x:v>
      </x:c>
      <x:c r="L15" s="66" t="str">
        <x:f>IF(K15="","","1 : "&amp;TEXT(K15,"0.0"))</x:f>
        <x:v>1 : 3.8</x:v>
      </x:c>
      <x:c r="M15" s="66" t="str">
        <x:f>IF(J15="","Baru/Tanpa Data",IF(J15&lt;='Catatan &amp; Sumber'!$B$14,"Sangat Ketat",IF(J15&lt;='Catatan &amp; Sumber'!$B$15,"Ketat",IF(J15&lt;='Catatan &amp; Sumber'!$B$16,"Sedang","Relatif Longgar"))))</x:f>
        <x:v>Relatif Longgar</x:v>
      </x:c>
      <x:c r="N15" s="66" t="str">
        <x:v>Tidak Ada</x:v>
      </x:c>
      <x:c r="O15" s="66" t="str">
        <x:v>Aceh</x:v>
      </x:c>
      <x:c r="P15" s="66" t="str">
        <x:v>Kota Banda Aceh</x:v>
      </x:c>
      <x:c r="Q15" s="66" t="str">
        <x:v>https://snpmb.id/snbp/daya-tampung-snbp</x:v>
      </x:c>
      <x:c r="R15" s="66" t="str">
        <x:v>https://sidatagrun-public-1076756628210.asia-southeast2.run.app/ptn_sn.php?ptn=111</x:v>
      </x:c>
    </x:row>
    <x:row r="16">
      <x:c r="A16" s="87" t="n">
        <x:v>2229</x:v>
      </x:c>
      <x:c r="B16" s="87" t="n">
        <x:v>111</x:v>
      </x:c>
      <x:c r="C16" s="66" t="str">
        <x:v>UNIVERSITAS SYIAH KUALA</x:v>
      </x:c>
      <x:c r="D16" s="66" t="str">
        <x:v>PTN Akademik</x:v>
      </x:c>
      <x:c r="E16" s="66" t="str">
        <x:v>11111011</x:v>
      </x:c>
      <x:c r="F16" s="66" t="str">
        <x:v>TEKNIK PERTANIAN</x:v>
      </x:c>
      <x:c r="G16" s="66" t="str">
        <x:v>Sarjana</x:v>
      </x:c>
      <x:c r="H16" s="87" t="n">
        <x:v>42</x:v>
      </x:c>
      <x:c r="I16" s="87" t="n">
        <x:v>239</x:v>
      </x:c>
      <x:c r="J16" s="68" t="n">
        <x:f>IFERROR(H16/I16,"")</x:f>
        <x:v>0.17573221757322174</x:v>
      </x:c>
      <x:c r="K16" s="69" t="n">
        <x:f>IFERROR(I16/H16,"")</x:f>
        <x:v>5.690476190476191</x:v>
      </x:c>
      <x:c r="L16" s="66" t="str">
        <x:f>IF(K16="","","1 : "&amp;TEXT(K16,"0.0"))</x:f>
        <x:v>1 : 5.7</x:v>
      </x:c>
      <x:c r="M16" s="66" t="str">
        <x:f>IF(J16="","Baru/Tanpa Data",IF(J16&lt;='Catatan &amp; Sumber'!$B$14,"Sangat Ketat",IF(J16&lt;='Catatan &amp; Sumber'!$B$15,"Ketat",IF(J16&lt;='Catatan &amp; Sumber'!$B$16,"Sedang","Relatif Longgar"))))</x:f>
        <x:v>Relatif Longgar</x:v>
      </x:c>
      <x:c r="N16" s="66" t="str">
        <x:v>Tidak Ada</x:v>
      </x:c>
      <x:c r="O16" s="66" t="str">
        <x:v>Aceh</x:v>
      </x:c>
      <x:c r="P16" s="66" t="str">
        <x:v>Kota Banda Aceh</x:v>
      </x:c>
      <x:c r="Q16" s="66" t="str">
        <x:v>https://snpmb.id/snbp/daya-tampung-snbp</x:v>
      </x:c>
      <x:c r="R16" s="66" t="str">
        <x:v>https://sidatagrun-public-1076756628210.asia-southeast2.run.app/ptn_sn.php?ptn=111</x:v>
      </x:c>
    </x:row>
    <x:row r="17">
      <x:c r="A17" s="87" t="n">
        <x:v>1805</x:v>
      </x:c>
      <x:c r="B17" s="87" t="n">
        <x:v>111</x:v>
      </x:c>
      <x:c r="C17" s="66" t="str">
        <x:v>UNIVERSITAS SYIAH KUALA</x:v>
      </x:c>
      <x:c r="D17" s="66" t="str">
        <x:v>PTN Akademik</x:v>
      </x:c>
      <x:c r="E17" s="66" t="str">
        <x:v>11111012</x:v>
      </x:c>
      <x:c r="F17" s="66" t="str">
        <x:v>PENDIDIKAN BIOLOGI</x:v>
      </x:c>
      <x:c r="G17" s="66" t="str">
        <x:v>Sarjana</x:v>
      </x:c>
      <x:c r="H17" s="87" t="n">
        <x:v>36</x:v>
      </x:c>
      <x:c r="I17" s="87" t="n">
        <x:v>271</x:v>
      </x:c>
      <x:c r="J17" s="68" t="n">
        <x:f>IFERROR(H17/I17,"")</x:f>
        <x:v>0.13284132841328414</x:v>
      </x:c>
      <x:c r="K17" s="69" t="n">
        <x:f>IFERROR(I17/H17,"")</x:f>
        <x:v>7.527777777777778</x:v>
      </x:c>
      <x:c r="L17" s="66" t="str">
        <x:f>IF(K17="","","1 : "&amp;TEXT(K17,"0.0"))</x:f>
        <x:v>1 : 7.5</x:v>
      </x:c>
      <x:c r="M17" s="66" t="str">
        <x:f>IF(J17="","Baru/Tanpa Data",IF(J17&lt;='Catatan &amp; Sumber'!$B$14,"Sangat Ketat",IF(J17&lt;='Catatan &amp; Sumber'!$B$15,"Ketat",IF(J17&lt;='Catatan &amp; Sumber'!$B$16,"Sedang","Relatif Longgar"))))</x:f>
        <x:v>Relatif Longgar</x:v>
      </x:c>
      <x:c r="N17" s="66" t="str">
        <x:v>Tidak Ada</x:v>
      </x:c>
      <x:c r="O17" s="66" t="str">
        <x:v>Aceh</x:v>
      </x:c>
      <x:c r="P17" s="66" t="str">
        <x:v>Kota Banda Aceh</x:v>
      </x:c>
      <x:c r="Q17" s="66" t="str">
        <x:v>https://snpmb.id/snbp/daya-tampung-snbp</x:v>
      </x:c>
      <x:c r="R17" s="66" t="str">
        <x:v>https://sidatagrun-public-1076756628210.asia-southeast2.run.app/ptn_sn.php?ptn=111</x:v>
      </x:c>
    </x:row>
    <x:row r="18">
      <x:c r="A18" s="87" t="n">
        <x:v>1662</x:v>
      </x:c>
      <x:c r="B18" s="87" t="n">
        <x:v>111</x:v>
      </x:c>
      <x:c r="C18" s="66" t="str">
        <x:v>UNIVERSITAS SYIAH KUALA</x:v>
      </x:c>
      <x:c r="D18" s="66" t="str">
        <x:v>PTN Akademik</x:v>
      </x:c>
      <x:c r="E18" s="66" t="str">
        <x:v>11111013</x:v>
      </x:c>
      <x:c r="F18" s="66" t="str">
        <x:v>PENDIDIKAN MATEMATIKA</x:v>
      </x:c>
      <x:c r="G18" s="66" t="str">
        <x:v>Sarjana</x:v>
      </x:c>
      <x:c r="H18" s="87" t="n">
        <x:v>36</x:v>
      </x:c>
      <x:c r="I18" s="87" t="n">
        <x:v>297</x:v>
      </x:c>
      <x:c r="J18" s="68" t="n">
        <x:f>IFERROR(H18/I18,"")</x:f>
        <x:v>0.12121212121212122</x:v>
      </x:c>
      <x:c r="K18" s="69" t="n">
        <x:f>IFERROR(I18/H18,"")</x:f>
        <x:v>8.25</x:v>
      </x:c>
      <x:c r="L18" s="66" t="str">
        <x:f>IF(K18="","","1 : "&amp;TEXT(K18,"0.0"))</x:f>
        <x:v>1 : 8.3</x:v>
      </x:c>
      <x:c r="M18" s="66" t="str">
        <x:f>IF(J18="","Baru/Tanpa Data",IF(J18&lt;='Catatan &amp; Sumber'!$B$14,"Sangat Ketat",IF(J18&lt;='Catatan &amp; Sumber'!$B$15,"Ketat",IF(J18&lt;='Catatan &amp; Sumber'!$B$16,"Sedang","Relatif Longgar"))))</x:f>
        <x:v>Relatif Longgar</x:v>
      </x:c>
      <x:c r="N18" s="66" t="str">
        <x:v>Tidak Ada</x:v>
      </x:c>
      <x:c r="O18" s="66" t="str">
        <x:v>Aceh</x:v>
      </x:c>
      <x:c r="P18" s="66" t="str">
        <x:v>Kota Banda Aceh</x:v>
      </x:c>
      <x:c r="Q18" s="66" t="str">
        <x:v>https://snpmb.id/snbp/daya-tampung-snbp</x:v>
      </x:c>
      <x:c r="R18" s="66" t="str">
        <x:v>https://sidatagrun-public-1076756628210.asia-southeast2.run.app/ptn_sn.php?ptn=111</x:v>
      </x:c>
    </x:row>
    <x:row r="19">
      <x:c r="A19" s="87" t="n">
        <x:v>3322</x:v>
      </x:c>
      <x:c r="B19" s="87" t="n">
        <x:v>111</x:v>
      </x:c>
      <x:c r="C19" s="66" t="str">
        <x:v>UNIVERSITAS SYIAH KUALA</x:v>
      </x:c>
      <x:c r="D19" s="66" t="str">
        <x:v>PTN Akademik</x:v>
      </x:c>
      <x:c r="E19" s="66" t="str">
        <x:v>11111014</x:v>
      </x:c>
      <x:c r="F19" s="66" t="str">
        <x:v>PENDIDIKAN FISIKA</x:v>
      </x:c>
      <x:c r="G19" s="66" t="str">
        <x:v>Sarjana</x:v>
      </x:c>
      <x:c r="H19" s="87" t="n">
        <x:v>36</x:v>
      </x:c>
      <x:c r="I19" s="87" t="n">
        <x:v>95</x:v>
      </x:c>
      <x:c r="J19" s="68" t="n">
        <x:f>IFERROR(H19/I19,"")</x:f>
        <x:v>0.37894736842105264</x:v>
      </x:c>
      <x:c r="K19" s="69" t="n">
        <x:f>IFERROR(I19/H19,"")</x:f>
        <x:v>2.638888888888889</x:v>
      </x:c>
      <x:c r="L19" s="66" t="str">
        <x:f>IF(K19="","","1 : "&amp;TEXT(K19,"0.0"))</x:f>
        <x:v>1 : 2.6</x:v>
      </x:c>
      <x:c r="M19" s="66" t="str">
        <x:f>IF(J19="","Baru/Tanpa Data",IF(J19&lt;='Catatan &amp; Sumber'!$B$14,"Sangat Ketat",IF(J19&lt;='Catatan &amp; Sumber'!$B$15,"Ketat",IF(J19&lt;='Catatan &amp; Sumber'!$B$16,"Sedang","Relatif Longgar"))))</x:f>
        <x:v>Relatif Longgar</x:v>
      </x:c>
      <x:c r="N19" s="66" t="str">
        <x:v>Tidak Ada</x:v>
      </x:c>
      <x:c r="O19" s="66" t="str">
        <x:v>Aceh</x:v>
      </x:c>
      <x:c r="P19" s="66" t="str">
        <x:v>Kota Banda Aceh</x:v>
      </x:c>
      <x:c r="Q19" s="66" t="str">
        <x:v>https://snpmb.id/snbp/daya-tampung-snbp</x:v>
      </x:c>
      <x:c r="R19" s="66" t="str">
        <x:v>https://sidatagrun-public-1076756628210.asia-southeast2.run.app/ptn_sn.php?ptn=111</x:v>
      </x:c>
    </x:row>
    <x:row r="20">
      <x:c r="A20" s="87" t="n">
        <x:v>2888</x:v>
      </x:c>
      <x:c r="B20" s="87" t="n">
        <x:v>111</x:v>
      </x:c>
      <x:c r="C20" s="66" t="str">
        <x:v>UNIVERSITAS SYIAH KUALA</x:v>
      </x:c>
      <x:c r="D20" s="66" t="str">
        <x:v>PTN Akademik</x:v>
      </x:c>
      <x:c r="E20" s="66" t="str">
        <x:v>11111015</x:v>
      </x:c>
      <x:c r="F20" s="66" t="str">
        <x:v>PENDIDIKAN KIMIA</x:v>
      </x:c>
      <x:c r="G20" s="66" t="str">
        <x:v>Sarjana</x:v>
      </x:c>
      <x:c r="H20" s="87" t="n">
        <x:v>36</x:v>
      </x:c>
      <x:c r="I20" s="87" t="n">
        <x:v>132</x:v>
      </x:c>
      <x:c r="J20" s="68" t="n">
        <x:f>IFERROR(H20/I20,"")</x:f>
        <x:v>0.2727272727272727</x:v>
      </x:c>
      <x:c r="K20" s="69" t="n">
        <x:f>IFERROR(I20/H20,"")</x:f>
        <x:v>3.6666666666666665</x:v>
      </x:c>
      <x:c r="L20" s="66" t="str">
        <x:f>IF(K20="","","1 : "&amp;TEXT(K20,"0.0"))</x:f>
        <x:v>1 : 3.7</x:v>
      </x:c>
      <x:c r="M20" s="66" t="str">
        <x:f>IF(J20="","Baru/Tanpa Data",IF(J20&lt;='Catatan &amp; Sumber'!$B$14,"Sangat Ketat",IF(J20&lt;='Catatan &amp; Sumber'!$B$15,"Ketat",IF(J20&lt;='Catatan &amp; Sumber'!$B$16,"Sedang","Relatif Longgar"))))</x:f>
        <x:v>Relatif Longgar</x:v>
      </x:c>
      <x:c r="N20" s="66" t="str">
        <x:v>Tidak Ada</x:v>
      </x:c>
      <x:c r="O20" s="66" t="str">
        <x:v>Aceh</x:v>
      </x:c>
      <x:c r="P20" s="66" t="str">
        <x:v>Kota Banda Aceh</x:v>
      </x:c>
      <x:c r="Q20" s="66" t="str">
        <x:v>https://snpmb.id/snbp/daya-tampung-snbp</x:v>
      </x:c>
      <x:c r="R20" s="66" t="str">
        <x:v>https://sidatagrun-public-1076756628210.asia-southeast2.run.app/ptn_sn.php?ptn=111</x:v>
      </x:c>
    </x:row>
    <x:row r="21">
      <x:c r="A21" s="87" t="n">
        <x:v>769</x:v>
      </x:c>
      <x:c r="B21" s="87" t="n">
        <x:v>111</x:v>
      </x:c>
      <x:c r="C21" s="66" t="str">
        <x:v>UNIVERSITAS SYIAH KUALA</x:v>
      </x:c>
      <x:c r="D21" s="66" t="str">
        <x:v>PTN Akademik</x:v>
      </x:c>
      <x:c r="E21" s="66" t="str">
        <x:v>11111016</x:v>
      </x:c>
      <x:c r="F21" s="66" t="str">
        <x:v>PENDIDIKAN DOKTER</x:v>
      </x:c>
      <x:c r="G21" s="66" t="str">
        <x:v>Sarjana</x:v>
      </x:c>
      <x:c r="H21" s="87" t="n">
        <x:v>75</x:v>
      </x:c>
      <x:c r="I21" s="87" t="n">
        <x:v>1147</x:v>
      </x:c>
      <x:c r="J21" s="68" t="n">
        <x:f>IFERROR(H21/I21,"")</x:f>
        <x:v>0.06538796861377506</x:v>
      </x:c>
      <x:c r="K21" s="69" t="n">
        <x:f>IFERROR(I21/H21,"")</x:f>
        <x:v>15.293333333333333</x:v>
      </x:c>
      <x:c r="L21" s="66" t="str">
        <x:f>IF(K21="","","1 : "&amp;TEXT(K21,"0.0"))</x:f>
        <x:v>1 : 15.3</x:v>
      </x:c>
      <x:c r="M21" s="66" t="str">
        <x:f>IF(J21="","Baru/Tanpa Data",IF(J21&lt;='Catatan &amp; Sumber'!$B$14,"Sangat Ketat",IF(J21&lt;='Catatan &amp; Sumber'!$B$15,"Ketat",IF(J21&lt;='Catatan &amp; Sumber'!$B$16,"Sedang","Relatif Longgar"))))</x:f>
        <x:v>Sedang</x:v>
      </x:c>
      <x:c r="N21" s="66" t="str">
        <x:v>Tidak Ada</x:v>
      </x:c>
      <x:c r="O21" s="66" t="str">
        <x:v>Aceh</x:v>
      </x:c>
      <x:c r="P21" s="66" t="str">
        <x:v>Kota Banda Aceh</x:v>
      </x:c>
      <x:c r="Q21" s="66" t="str">
        <x:v>https://snpmb.id/snbp/daya-tampung-snbp</x:v>
      </x:c>
      <x:c r="R21" s="66" t="str">
        <x:v>https://sidatagrun-public-1076756628210.asia-southeast2.run.app/ptn_sn.php?ptn=111</x:v>
      </x:c>
    </x:row>
    <x:row r="22">
      <x:c r="A22" s="87" t="n">
        <x:v>1042</x:v>
      </x:c>
      <x:c r="B22" s="87" t="n">
        <x:v>111</x:v>
      </x:c>
      <x:c r="C22" s="66" t="str">
        <x:v>UNIVERSITAS SYIAH KUALA</x:v>
      </x:c>
      <x:c r="D22" s="66" t="str">
        <x:v>PTN Akademik</x:v>
      </x:c>
      <x:c r="E22" s="66" t="str">
        <x:v>11111017</x:v>
      </x:c>
      <x:c r="F22" s="66" t="str">
        <x:v>ILMU KEPERAWATAN</x:v>
      </x:c>
      <x:c r="G22" s="66" t="str">
        <x:v>Sarjana</x:v>
      </x:c>
      <x:c r="H22" s="87" t="n">
        <x:v>108</x:v>
      </x:c>
      <x:c r="I22" s="87" t="n">
        <x:v>1343</x:v>
      </x:c>
      <x:c r="J22" s="68" t="n">
        <x:f>IFERROR(H22/I22,"")</x:f>
        <x:v>0.08041697691734921</x:v>
      </x:c>
      <x:c r="K22" s="69" t="n">
        <x:f>IFERROR(I22/H22,"")</x:f>
        <x:v>12.435185185185185</x:v>
      </x:c>
      <x:c r="L22" s="66" t="str">
        <x:f>IF(K22="","","1 : "&amp;TEXT(K22,"0.0"))</x:f>
        <x:v>1 : 12.4</x:v>
      </x:c>
      <x:c r="M22" s="66" t="str">
        <x:f>IF(J22="","Baru/Tanpa Data",IF(J22&lt;='Catatan &amp; Sumber'!$B$14,"Sangat Ketat",IF(J22&lt;='Catatan &amp; Sumber'!$B$15,"Ketat",IF(J22&lt;='Catatan &amp; Sumber'!$B$16,"Sedang","Relatif Longgar"))))</x:f>
        <x:v>Sedang</x:v>
      </x:c>
      <x:c r="N22" s="66" t="str">
        <x:v>Tidak Ada</x:v>
      </x:c>
      <x:c r="O22" s="66" t="str">
        <x:v>Aceh</x:v>
      </x:c>
      <x:c r="P22" s="66" t="str">
        <x:v>Kota Banda Aceh</x:v>
      </x:c>
      <x:c r="Q22" s="66" t="str">
        <x:v>https://snpmb.id/snbp/daya-tampung-snbp</x:v>
      </x:c>
      <x:c r="R22" s="66" t="str">
        <x:v>https://sidatagrun-public-1076756628210.asia-southeast2.run.app/ptn_sn.php?ptn=111</x:v>
      </x:c>
    </x:row>
    <x:row r="23">
      <x:c r="A23" s="87" t="n">
        <x:v>366</x:v>
      </x:c>
      <x:c r="B23" s="87" t="n">
        <x:v>111</x:v>
      </x:c>
      <x:c r="C23" s="66" t="str">
        <x:v>UNIVERSITAS SYIAH KUALA</x:v>
      </x:c>
      <x:c r="D23" s="66" t="str">
        <x:v>PTN Akademik</x:v>
      </x:c>
      <x:c r="E23" s="66" t="str">
        <x:v>11111018</x:v>
      </x:c>
      <x:c r="F23" s="66" t="str">
        <x:v>PENDIDIKAN DOKTER GIGI</x:v>
      </x:c>
      <x:c r="G23" s="66" t="str">
        <x:v>Sarjana</x:v>
      </x:c>
      <x:c r="H23" s="87" t="n">
        <x:v>30</x:v>
      </x:c>
      <x:c r="I23" s="87" t="n">
        <x:v>664</x:v>
      </x:c>
      <x:c r="J23" s="68" t="n">
        <x:f>IFERROR(H23/I23,"")</x:f>
        <x:v>0.045180722891566265</x:v>
      </x:c>
      <x:c r="K23" s="69" t="n">
        <x:f>IFERROR(I23/H23,"")</x:f>
        <x:v>22.133333333333333</x:v>
      </x:c>
      <x:c r="L23" s="66" t="str">
        <x:f>IF(K23="","","1 : "&amp;TEXT(K23,"0.0"))</x:f>
        <x:v>1 : 22.1</x:v>
      </x:c>
      <x:c r="M23" s="66" t="str">
        <x:f>IF(J23="","Baru/Tanpa Data",IF(J23&lt;='Catatan &amp; Sumber'!$B$14,"Sangat Ketat",IF(J23&lt;='Catatan &amp; Sumber'!$B$15,"Ketat",IF(J23&lt;='Catatan &amp; Sumber'!$B$16,"Sedang","Relatif Longgar"))))</x:f>
        <x:v>Ketat</x:v>
      </x:c>
      <x:c r="N23" s="66" t="str">
        <x:v>Tidak Ada</x:v>
      </x:c>
      <x:c r="O23" s="66" t="str">
        <x:v>Aceh</x:v>
      </x:c>
      <x:c r="P23" s="66" t="str">
        <x:v>Kota Banda Aceh</x:v>
      </x:c>
      <x:c r="Q23" s="66" t="str">
        <x:v>https://snpmb.id/snbp/daya-tampung-snbp</x:v>
      </x:c>
      <x:c r="R23" s="66" t="str">
        <x:v>https://sidatagrun-public-1076756628210.asia-southeast2.run.app/ptn_sn.php?ptn=111</x:v>
      </x:c>
    </x:row>
    <x:row r="24">
      <x:c r="A24" s="87" t="n">
        <x:v>2836</x:v>
      </x:c>
      <x:c r="B24" s="87" t="n">
        <x:v>111</x:v>
      </x:c>
      <x:c r="C24" s="66" t="str">
        <x:v>UNIVERSITAS SYIAH KUALA</x:v>
      </x:c>
      <x:c r="D24" s="66" t="str">
        <x:v>PTN Akademik</x:v>
      </x:c>
      <x:c r="E24" s="66" t="str">
        <x:v>11111019</x:v>
      </x:c>
      <x:c r="F24" s="66" t="str">
        <x:v>MATEMATIKA</x:v>
      </x:c>
      <x:c r="G24" s="66" t="str">
        <x:v>Sarjana</x:v>
      </x:c>
      <x:c r="H24" s="87" t="n">
        <x:v>24</x:v>
      </x:c>
      <x:c r="I24" s="87" t="n">
        <x:v>91</x:v>
      </x:c>
      <x:c r="J24" s="68" t="n">
        <x:f>IFERROR(H24/I24,"")</x:f>
        <x:v>0.26373626373626374</x:v>
      </x:c>
      <x:c r="K24" s="69" t="n">
        <x:f>IFERROR(I24/H24,"")</x:f>
        <x:v>3.7916666666666665</x:v>
      </x:c>
      <x:c r="L24" s="66" t="str">
        <x:f>IF(K24="","","1 : "&amp;TEXT(K24,"0.0"))</x:f>
        <x:v>1 : 3.8</x:v>
      </x:c>
      <x:c r="M24" s="66" t="str">
        <x:f>IF(J24="","Baru/Tanpa Data",IF(J24&lt;='Catatan &amp; Sumber'!$B$14,"Sangat Ketat",IF(J24&lt;='Catatan &amp; Sumber'!$B$15,"Ketat",IF(J24&lt;='Catatan &amp; Sumber'!$B$16,"Sedang","Relatif Longgar"))))</x:f>
        <x:v>Relatif Longgar</x:v>
      </x:c>
      <x:c r="N24" s="66" t="str">
        <x:v>Tidak Ada</x:v>
      </x:c>
      <x:c r="O24" s="66" t="str">
        <x:v>Aceh</x:v>
      </x:c>
      <x:c r="P24" s="66" t="str">
        <x:v>Kota Banda Aceh</x:v>
      </x:c>
      <x:c r="Q24" s="66" t="str">
        <x:v>https://snpmb.id/snbp/daya-tampung-snbp</x:v>
      </x:c>
      <x:c r="R24" s="66" t="str">
        <x:v>https://sidatagrun-public-1076756628210.asia-southeast2.run.app/ptn_sn.php?ptn=111</x:v>
      </x:c>
    </x:row>
    <x:row r="25">
      <x:c r="A25" s="87" t="n">
        <x:v>4166</x:v>
      </x:c>
      <x:c r="B25" s="87" t="n">
        <x:v>111</x:v>
      </x:c>
      <x:c r="C25" s="66" t="str">
        <x:v>UNIVERSITAS SYIAH KUALA</x:v>
      </x:c>
      <x:c r="D25" s="66" t="str">
        <x:v>PTN Akademik</x:v>
      </x:c>
      <x:c r="E25" s="66" t="str">
        <x:v>11111020</x:v>
      </x:c>
      <x:c r="F25" s="66" t="str">
        <x:v>FISIKA</x:v>
      </x:c>
      <x:c r="G25" s="66" t="str">
        <x:v>Sarjana</x:v>
      </x:c>
      <x:c r="H25" s="87" t="n">
        <x:v>24</x:v>
      </x:c>
      <x:c r="I25" s="87" t="n">
        <x:v>29</x:v>
      </x:c>
      <x:c r="J25" s="68" t="n">
        <x:f>IFERROR(H25/I25,"")</x:f>
        <x:v>0.8275862068965517</x:v>
      </x:c>
      <x:c r="K25" s="69" t="n">
        <x:f>IFERROR(I25/H25,"")</x:f>
        <x:v>1.2083333333333333</x:v>
      </x:c>
      <x:c r="L25" s="66" t="str">
        <x:f>IF(K25="","","1 : "&amp;TEXT(K25,"0.0"))</x:f>
        <x:v>1 : 1.2</x:v>
      </x:c>
      <x:c r="M25" s="66" t="str">
        <x:f>IF(J25="","Baru/Tanpa Data",IF(J25&lt;='Catatan &amp; Sumber'!$B$14,"Sangat Ketat",IF(J25&lt;='Catatan &amp; Sumber'!$B$15,"Ketat",IF(J25&lt;='Catatan &amp; Sumber'!$B$16,"Sedang","Relatif Longgar"))))</x:f>
        <x:v>Relatif Longgar</x:v>
      </x:c>
      <x:c r="N25" s="66" t="str">
        <x:v>Tidak Ada</x:v>
      </x:c>
      <x:c r="O25" s="66" t="str">
        <x:v>Aceh</x:v>
      </x:c>
      <x:c r="P25" s="66" t="str">
        <x:v>Kota Banda Aceh</x:v>
      </x:c>
      <x:c r="Q25" s="66" t="str">
        <x:v>https://snpmb.id/snbp/daya-tampung-snbp</x:v>
      </x:c>
      <x:c r="R25" s="66" t="str">
        <x:v>https://sidatagrun-public-1076756628210.asia-southeast2.run.app/ptn_sn.php?ptn=111</x:v>
      </x:c>
    </x:row>
    <x:row r="26">
      <x:c r="A26" s="87" t="n">
        <x:v>2423</x:v>
      </x:c>
      <x:c r="B26" s="87" t="n">
        <x:v>111</x:v>
      </x:c>
      <x:c r="C26" s="66" t="str">
        <x:v>UNIVERSITAS SYIAH KUALA</x:v>
      </x:c>
      <x:c r="D26" s="66" t="str">
        <x:v>PTN Akademik</x:v>
      </x:c>
      <x:c r="E26" s="66" t="str">
        <x:v>11111021</x:v>
      </x:c>
      <x:c r="F26" s="66" t="str">
        <x:v>KIMIA</x:v>
      </x:c>
      <x:c r="G26" s="66" t="str">
        <x:v>Sarjana</x:v>
      </x:c>
      <x:c r="H26" s="87" t="n">
        <x:v>24</x:v>
      </x:c>
      <x:c r="I26" s="87" t="n">
        <x:v>120</x:v>
      </x:c>
      <x:c r="J26" s="68" t="n">
        <x:f>IFERROR(H26/I26,"")</x:f>
        <x:v>0.2</x:v>
      </x:c>
      <x:c r="K26" s="69" t="n">
        <x:f>IFERROR(I26/H26,"")</x:f>
        <x:v>5</x:v>
      </x:c>
      <x:c r="L26" s="66" t="str">
        <x:f>IF(K26="","","1 : "&amp;TEXT(K26,"0.0"))</x:f>
        <x:v>1 : 5.0</x:v>
      </x:c>
      <x:c r="M26" s="66" t="str">
        <x:f>IF(J26="","Baru/Tanpa Data",IF(J26&lt;='Catatan &amp; Sumber'!$B$14,"Sangat Ketat",IF(J26&lt;='Catatan &amp; Sumber'!$B$15,"Ketat",IF(J26&lt;='Catatan &amp; Sumber'!$B$16,"Sedang","Relatif Longgar"))))</x:f>
        <x:v>Relatif Longgar</x:v>
      </x:c>
      <x:c r="N26" s="66" t="str">
        <x:v>Tidak Ada</x:v>
      </x:c>
      <x:c r="O26" s="66" t="str">
        <x:v>Aceh</x:v>
      </x:c>
      <x:c r="P26" s="66" t="str">
        <x:v>Kota Banda Aceh</x:v>
      </x:c>
      <x:c r="Q26" s="66" t="str">
        <x:v>https://snpmb.id/snbp/daya-tampung-snbp</x:v>
      </x:c>
      <x:c r="R26" s="66" t="str">
        <x:v>https://sidatagrun-public-1076756628210.asia-southeast2.run.app/ptn_sn.php?ptn=111</x:v>
      </x:c>
    </x:row>
    <x:row r="27">
      <x:c r="A27" s="87" t="n">
        <x:v>1935</x:v>
      </x:c>
      <x:c r="B27" s="87" t="n">
        <x:v>111</x:v>
      </x:c>
      <x:c r="C27" s="66" t="str">
        <x:v>UNIVERSITAS SYIAH KUALA</x:v>
      </x:c>
      <x:c r="D27" s="66" t="str">
        <x:v>PTN Akademik</x:v>
      </x:c>
      <x:c r="E27" s="66" t="str">
        <x:v>11111022</x:v>
      </x:c>
      <x:c r="F27" s="66" t="str">
        <x:v>BIOLOGI</x:v>
      </x:c>
      <x:c r="G27" s="66" t="str">
        <x:v>Sarjana</x:v>
      </x:c>
      <x:c r="H27" s="87" t="n">
        <x:v>24</x:v>
      </x:c>
      <x:c r="I27" s="87" t="n">
        <x:v>166</x:v>
      </x:c>
      <x:c r="J27" s="68" t="n">
        <x:f>IFERROR(H27/I27,"")</x:f>
        <x:v>0.14457831325301204</x:v>
      </x:c>
      <x:c r="K27" s="69" t="n">
        <x:f>IFERROR(I27/H27,"")</x:f>
        <x:v>6.916666666666667</x:v>
      </x:c>
      <x:c r="L27" s="66" t="str">
        <x:f>IF(K27="","","1 : "&amp;TEXT(K27,"0.0"))</x:f>
        <x:v>1 : 6.9</x:v>
      </x:c>
      <x:c r="M27" s="66" t="str">
        <x:f>IF(J27="","Baru/Tanpa Data",IF(J27&lt;='Catatan &amp; Sumber'!$B$14,"Sangat Ketat",IF(J27&lt;='Catatan &amp; Sumber'!$B$15,"Ketat",IF(J27&lt;='Catatan &amp; Sumber'!$B$16,"Sedang","Relatif Longgar"))))</x:f>
        <x:v>Relatif Longgar</x:v>
      </x:c>
      <x:c r="N27" s="66" t="str">
        <x:v>Tidak Ada</x:v>
      </x:c>
      <x:c r="O27" s="66" t="str">
        <x:v>Aceh</x:v>
      </x:c>
      <x:c r="P27" s="66" t="str">
        <x:v>Kota Banda Aceh</x:v>
      </x:c>
      <x:c r="Q27" s="66" t="str">
        <x:v>https://snpmb.id/snbp/daya-tampung-snbp</x:v>
      </x:c>
      <x:c r="R27" s="66" t="str">
        <x:v>https://sidatagrun-public-1076756628210.asia-southeast2.run.app/ptn_sn.php?ptn=111</x:v>
      </x:c>
    </x:row>
    <x:row r="28">
      <x:c r="A28" s="87" t="n">
        <x:v>3097</x:v>
      </x:c>
      <x:c r="B28" s="87" t="n">
        <x:v>111</x:v>
      </x:c>
      <x:c r="C28" s="66" t="str">
        <x:v>UNIVERSITAS SYIAH KUALA</x:v>
      </x:c>
      <x:c r="D28" s="66" t="str">
        <x:v>PTN Akademik</x:v>
      </x:c>
      <x:c r="E28" s="66" t="str">
        <x:v>11111023</x:v>
      </x:c>
      <x:c r="F28" s="66" t="str">
        <x:v>ILMU KELAUTAN</x:v>
      </x:c>
      <x:c r="G28" s="66" t="str">
        <x:v>Sarjana</x:v>
      </x:c>
      <x:c r="H28" s="87" t="n">
        <x:v>48</x:v>
      </x:c>
      <x:c r="I28" s="87" t="n">
        <x:v>152</x:v>
      </x:c>
      <x:c r="J28" s="68" t="n">
        <x:f>IFERROR(H28/I28,"")</x:f>
        <x:v>0.3157894736842105</x:v>
      </x:c>
      <x:c r="K28" s="69" t="n">
        <x:f>IFERROR(I28/H28,"")</x:f>
        <x:v>3.1666666666666665</x:v>
      </x:c>
      <x:c r="L28" s="66" t="str">
        <x:f>IF(K28="","","1 : "&amp;TEXT(K28,"0.0"))</x:f>
        <x:v>1 : 3.2</x:v>
      </x:c>
      <x:c r="M28" s="66" t="str">
        <x:f>IF(J28="","Baru/Tanpa Data",IF(J28&lt;='Catatan &amp; Sumber'!$B$14,"Sangat Ketat",IF(J28&lt;='Catatan &amp; Sumber'!$B$15,"Ketat",IF(J28&lt;='Catatan &amp; Sumber'!$B$16,"Sedang","Relatif Longgar"))))</x:f>
        <x:v>Relatif Longgar</x:v>
      </x:c>
      <x:c r="N28" s="66" t="str">
        <x:v>Tidak Ada</x:v>
      </x:c>
      <x:c r="O28" s="66" t="str">
        <x:v>Aceh</x:v>
      </x:c>
      <x:c r="P28" s="66" t="str">
        <x:v>Kota Banda Aceh</x:v>
      </x:c>
      <x:c r="Q28" s="66" t="str">
        <x:v>https://snpmb.id/snbp/daya-tampung-snbp</x:v>
      </x:c>
      <x:c r="R28" s="66" t="str">
        <x:v>https://sidatagrun-public-1076756628210.asia-southeast2.run.app/ptn_sn.php?ptn=111</x:v>
      </x:c>
    </x:row>
    <x:row r="29">
      <x:c r="A29" s="87" t="n">
        <x:v>3909</x:v>
      </x:c>
      <x:c r="B29" s="87" t="n">
        <x:v>111</x:v>
      </x:c>
      <x:c r="C29" s="66" t="str">
        <x:v>UNIVERSITAS SYIAH KUALA</x:v>
      </x:c>
      <x:c r="D29" s="66" t="str">
        <x:v>PTN Akademik</x:v>
      </x:c>
      <x:c r="E29" s="66" t="str">
        <x:v>11111024</x:v>
      </x:c>
      <x:c r="F29" s="66" t="str">
        <x:v>BUDIDAYA PERAIRAN</x:v>
      </x:c>
      <x:c r="G29" s="66" t="str">
        <x:v>Sarjana</x:v>
      </x:c>
      <x:c r="H29" s="87" t="n">
        <x:v>48</x:v>
      </x:c>
      <x:c r="I29" s="87" t="n">
        <x:v>76</x:v>
      </x:c>
      <x:c r="J29" s="68" t="n">
        <x:f>IFERROR(H29/I29,"")</x:f>
        <x:v>0.631578947368421</x:v>
      </x:c>
      <x:c r="K29" s="69" t="n">
        <x:f>IFERROR(I29/H29,"")</x:f>
        <x:v>1.5833333333333333</x:v>
      </x:c>
      <x:c r="L29" s="66" t="str">
        <x:f>IF(K29="","","1 : "&amp;TEXT(K29,"0.0"))</x:f>
        <x:v>1 : 1.6</x:v>
      </x:c>
      <x:c r="M29" s="66" t="str">
        <x:f>IF(J29="","Baru/Tanpa Data",IF(J29&lt;='Catatan &amp; Sumber'!$B$14,"Sangat Ketat",IF(J29&lt;='Catatan &amp; Sumber'!$B$15,"Ketat",IF(J29&lt;='Catatan &amp; Sumber'!$B$16,"Sedang","Relatif Longgar"))))</x:f>
        <x:v>Relatif Longgar</x:v>
      </x:c>
      <x:c r="N29" s="66" t="str">
        <x:v>Tidak Ada</x:v>
      </x:c>
      <x:c r="O29" s="66" t="str">
        <x:v>Aceh</x:v>
      </x:c>
      <x:c r="P29" s="66" t="str">
        <x:v>Kota Banda Aceh</x:v>
      </x:c>
      <x:c r="Q29" s="66" t="str">
        <x:v>https://snpmb.id/snbp/daya-tampung-snbp</x:v>
      </x:c>
      <x:c r="R29" s="66" t="str">
        <x:v>https://sidatagrun-public-1076756628210.asia-southeast2.run.app/ptn_sn.php?ptn=111</x:v>
      </x:c>
    </x:row>
    <x:row r="30">
      <x:c r="A30" s="87" t="n">
        <x:v>1018</x:v>
      </x:c>
      <x:c r="B30" s="87" t="n">
        <x:v>111</x:v>
      </x:c>
      <x:c r="C30" s="66" t="str">
        <x:v>UNIVERSITAS SYIAH KUALA</x:v>
      </x:c>
      <x:c r="D30" s="66" t="str">
        <x:v>PTN Akademik</x:v>
      </x:c>
      <x:c r="E30" s="66" t="str">
        <x:v>11111025</x:v>
      </x:c>
      <x:c r="F30" s="66" t="str">
        <x:v>TEKNIK INDUSTRI</x:v>
      </x:c>
      <x:c r="G30" s="66" t="str">
        <x:v>Sarjana</x:v>
      </x:c>
      <x:c r="H30" s="87" t="n">
        <x:v>36</x:v>
      </x:c>
      <x:c r="I30" s="87" t="n">
        <x:v>455</x:v>
      </x:c>
      <x:c r="J30" s="68" t="n">
        <x:f>IFERROR(H30/I30,"")</x:f>
        <x:v>0.07912087912087912</x:v>
      </x:c>
      <x:c r="K30" s="69" t="n">
        <x:f>IFERROR(I30/H30,"")</x:f>
        <x:v>12.63888888888889</x:v>
      </x:c>
      <x:c r="L30" s="66" t="str">
        <x:f>IF(K30="","","1 : "&amp;TEXT(K30,"0.0"))</x:f>
        <x:v>1 : 12.6</x:v>
      </x:c>
      <x:c r="M30" s="66" t="str">
        <x:f>IF(J30="","Baru/Tanpa Data",IF(J30&lt;='Catatan &amp; Sumber'!$B$14,"Sangat Ketat",IF(J30&lt;='Catatan &amp; Sumber'!$B$15,"Ketat",IF(J30&lt;='Catatan &amp; Sumber'!$B$16,"Sedang","Relatif Longgar"))))</x:f>
        <x:v>Sedang</x:v>
      </x:c>
      <x:c r="N30" s="66" t="str">
        <x:v>Tidak Ada</x:v>
      </x:c>
      <x:c r="O30" s="66" t="str">
        <x:v>Aceh</x:v>
      </x:c>
      <x:c r="P30" s="66" t="str">
        <x:v>Kota Banda Aceh</x:v>
      </x:c>
      <x:c r="Q30" s="66" t="str">
        <x:v>https://snpmb.id/snbp/daya-tampung-snbp</x:v>
      </x:c>
      <x:c r="R30" s="66" t="str">
        <x:v>https://sidatagrun-public-1076756628210.asia-southeast2.run.app/ptn_sn.php?ptn=111</x:v>
      </x:c>
    </x:row>
    <x:row r="31">
      <x:c r="A31" s="87" t="n">
        <x:v>213</x:v>
      </x:c>
      <x:c r="B31" s="87" t="n">
        <x:v>111</x:v>
      </x:c>
      <x:c r="C31" s="66" t="str">
        <x:v>UNIVERSITAS SYIAH KUALA</x:v>
      </x:c>
      <x:c r="D31" s="66" t="str">
        <x:v>PTN Akademik</x:v>
      </x:c>
      <x:c r="E31" s="66" t="str">
        <x:v>11111026</x:v>
      </x:c>
      <x:c r="F31" s="66" t="str">
        <x:v>INFORMATIKA</x:v>
      </x:c>
      <x:c r="G31" s="66" t="str">
        <x:v>Sarjana</x:v>
      </x:c>
      <x:c r="H31" s="87" t="n">
        <x:v>36</x:v>
      </x:c>
      <x:c r="I31" s="87" t="n">
        <x:v>959</x:v>
      </x:c>
      <x:c r="J31" s="68" t="n">
        <x:f>IFERROR(H31/I31,"")</x:f>
        <x:v>0.03753910323253389</x:v>
      </x:c>
      <x:c r="K31" s="69" t="n">
        <x:f>IFERROR(I31/H31,"")</x:f>
        <x:v>26.63888888888889</x:v>
      </x:c>
      <x:c r="L31" s="66" t="str">
        <x:f>IF(K31="","","1 : "&amp;TEXT(K31,"0.0"))</x:f>
        <x:v>1 : 26.6</x:v>
      </x:c>
      <x:c r="M31" s="66" t="str">
        <x:f>IF(J31="","Baru/Tanpa Data",IF(J31&lt;='Catatan &amp; Sumber'!$B$14,"Sangat Ketat",IF(J31&lt;='Catatan &amp; Sumber'!$B$15,"Ketat",IF(J31&lt;='Catatan &amp; Sumber'!$B$16,"Sedang","Relatif Longgar"))))</x:f>
        <x:v>Ketat</x:v>
      </x:c>
      <x:c r="N31" s="66" t="str">
        <x:v>Tidak Ada</x:v>
      </x:c>
      <x:c r="O31" s="66" t="str">
        <x:v>Aceh</x:v>
      </x:c>
      <x:c r="P31" s="66" t="str">
        <x:v>Kota Banda Aceh</x:v>
      </x:c>
      <x:c r="Q31" s="66" t="str">
        <x:v>https://snpmb.id/snbp/daya-tampung-snbp</x:v>
      </x:c>
      <x:c r="R31" s="66" t="str">
        <x:v>https://sidatagrun-public-1076756628210.asia-southeast2.run.app/ptn_sn.php?ptn=111</x:v>
      </x:c>
    </x:row>
    <x:row r="32">
      <x:c r="A32" s="87" t="n">
        <x:v>38</x:v>
      </x:c>
      <x:c r="B32" s="87" t="n">
        <x:v>111</x:v>
      </x:c>
      <x:c r="C32" s="66" t="str">
        <x:v>UNIVERSITAS SYIAH KUALA</x:v>
      </x:c>
      <x:c r="D32" s="66" t="str">
        <x:v>PTN Akademik</x:v>
      </x:c>
      <x:c r="E32" s="66" t="str">
        <x:v>11111027</x:v>
      </x:c>
      <x:c r="F32" s="66" t="str">
        <x:v>FARMASI</x:v>
      </x:c>
      <x:c r="G32" s="66" t="str">
        <x:v>Sarjana</x:v>
      </x:c>
      <x:c r="H32" s="87" t="n">
        <x:v>27</x:v>
      </x:c>
      <x:c r="I32" s="87" t="n">
        <x:v>1311</x:v>
      </x:c>
      <x:c r="J32" s="68" t="n">
        <x:f>IFERROR(H32/I32,"")</x:f>
        <x:v>0.020594965675057208</x:v>
      </x:c>
      <x:c r="K32" s="69" t="n">
        <x:f>IFERROR(I32/H32,"")</x:f>
        <x:v>48.55555555555556</x:v>
      </x:c>
      <x:c r="L32" s="66" t="str">
        <x:f>IF(K32="","","1 : "&amp;TEXT(K32,"0.0"))</x:f>
        <x:v>1 : 48.6</x:v>
      </x:c>
      <x:c r="M32" s="66" t="str">
        <x:f>IF(J32="","Baru/Tanpa Data",IF(J32&lt;='Catatan &amp; Sumber'!$B$14,"Sangat Ketat",IF(J32&lt;='Catatan &amp; Sumber'!$B$15,"Ketat",IF(J32&lt;='Catatan &amp; Sumber'!$B$16,"Sedang","Relatif Longgar"))))</x:f>
        <x:v>Ketat</x:v>
      </x:c>
      <x:c r="N32" s="66" t="str">
        <x:v>Tidak Ada</x:v>
      </x:c>
      <x:c r="O32" s="66" t="str">
        <x:v>Aceh</x:v>
      </x:c>
      <x:c r="P32" s="66" t="str">
        <x:v>Kota Banda Aceh</x:v>
      </x:c>
      <x:c r="Q32" s="66" t="str">
        <x:v>https://snpmb.id/snbp/daya-tampung-snbp</x:v>
      </x:c>
      <x:c r="R32" s="66" t="str">
        <x:v>https://sidatagrun-public-1076756628210.asia-southeast2.run.app/ptn_sn.php?ptn=111</x:v>
      </x:c>
    </x:row>
    <x:row r="33">
      <x:c r="A33" s="87" t="n">
        <x:v>2888</x:v>
      </x:c>
      <x:c r="B33" s="87" t="n">
        <x:v>111</x:v>
      </x:c>
      <x:c r="C33" s="66" t="str">
        <x:v>UNIVERSITAS SYIAH KUALA</x:v>
      </x:c>
      <x:c r="D33" s="66" t="str">
        <x:v>PTN Akademik</x:v>
      </x:c>
      <x:c r="E33" s="66" t="str">
        <x:v>11111028</x:v>
      </x:c>
      <x:c r="F33" s="66" t="str">
        <x:v>TEKNIK GEOFISIKA</x:v>
      </x:c>
      <x:c r="G33" s="66" t="str">
        <x:v>Sarjana</x:v>
      </x:c>
      <x:c r="H33" s="87" t="n">
        <x:v>24</x:v>
      </x:c>
      <x:c r="I33" s="87" t="n">
        <x:v>88</x:v>
      </x:c>
      <x:c r="J33" s="68" t="n">
        <x:f>IFERROR(H33/I33,"")</x:f>
        <x:v>0.2727272727272727</x:v>
      </x:c>
      <x:c r="K33" s="69" t="n">
        <x:f>IFERROR(I33/H33,"")</x:f>
        <x:v>3.6666666666666665</x:v>
      </x:c>
      <x:c r="L33" s="66" t="str">
        <x:f>IF(K33="","","1 : "&amp;TEXT(K33,"0.0"))</x:f>
        <x:v>1 : 3.7</x:v>
      </x:c>
      <x:c r="M33" s="66" t="str">
        <x:f>IF(J33="","Baru/Tanpa Data",IF(J33&lt;='Catatan &amp; Sumber'!$B$14,"Sangat Ketat",IF(J33&lt;='Catatan &amp; Sumber'!$B$15,"Ketat",IF(J33&lt;='Catatan &amp; Sumber'!$B$16,"Sedang","Relatif Longgar"))))</x:f>
        <x:v>Relatif Longgar</x:v>
      </x:c>
      <x:c r="N33" s="66" t="str">
        <x:v>Tidak Ada</x:v>
      </x:c>
      <x:c r="O33" s="66" t="str">
        <x:v>Aceh</x:v>
      </x:c>
      <x:c r="P33" s="66" t="str">
        <x:v>Kota Banda Aceh</x:v>
      </x:c>
      <x:c r="Q33" s="66" t="str">
        <x:v>https://snpmb.id/snbp/daya-tampung-snbp</x:v>
      </x:c>
      <x:c r="R33" s="66" t="str">
        <x:v>https://sidatagrun-public-1076756628210.asia-southeast2.run.app/ptn_sn.php?ptn=111</x:v>
      </x:c>
    </x:row>
    <x:row r="34">
      <x:c r="A34" s="87" t="n">
        <x:v>554</x:v>
      </x:c>
      <x:c r="B34" s="87" t="n">
        <x:v>111</x:v>
      </x:c>
      <x:c r="C34" s="66" t="str">
        <x:v>UNIVERSITAS SYIAH KUALA</x:v>
      </x:c>
      <x:c r="D34" s="66" t="str">
        <x:v>PTN Akademik</x:v>
      </x:c>
      <x:c r="E34" s="66" t="str">
        <x:v>11111029</x:v>
      </x:c>
      <x:c r="F34" s="66" t="str">
        <x:v>TEKNIK PERTAMBANGAN</x:v>
      </x:c>
      <x:c r="G34" s="66" t="str">
        <x:v>Sarjana</x:v>
      </x:c>
      <x:c r="H34" s="87" t="n">
        <x:v>36</x:v>
      </x:c>
      <x:c r="I34" s="87" t="n">
        <x:v>662</x:v>
      </x:c>
      <x:c r="J34" s="68" t="n">
        <x:f>IFERROR(H34/I34,"")</x:f>
        <x:v>0.054380664652567974</x:v>
      </x:c>
      <x:c r="K34" s="69" t="n">
        <x:f>IFERROR(I34/H34,"")</x:f>
        <x:v>18.38888888888889</x:v>
      </x:c>
      <x:c r="L34" s="66" t="str">
        <x:f>IF(K34="","","1 : "&amp;TEXT(K34,"0.0"))</x:f>
        <x:v>1 : 18.4</x:v>
      </x:c>
      <x:c r="M34" s="66" t="str">
        <x:f>IF(J34="","Baru/Tanpa Data",IF(J34&lt;='Catatan &amp; Sumber'!$B$14,"Sangat Ketat",IF(J34&lt;='Catatan &amp; Sumber'!$B$15,"Ketat",IF(J34&lt;='Catatan &amp; Sumber'!$B$16,"Sedang","Relatif Longgar"))))</x:f>
        <x:v>Sedang</x:v>
      </x:c>
      <x:c r="N34" s="66" t="str">
        <x:v>Tidak Ada</x:v>
      </x:c>
      <x:c r="O34" s="66" t="str">
        <x:v>Aceh</x:v>
      </x:c>
      <x:c r="P34" s="66" t="str">
        <x:v>Kota Banda Aceh</x:v>
      </x:c>
      <x:c r="Q34" s="66" t="str">
        <x:v>https://snpmb.id/snbp/daya-tampung-snbp</x:v>
      </x:c>
      <x:c r="R34" s="66" t="str">
        <x:v>https://sidatagrun-public-1076756628210.asia-southeast2.run.app/ptn_sn.php?ptn=111</x:v>
      </x:c>
    </x:row>
    <x:row r="35">
      <x:c r="A35" s="87" t="n">
        <x:v>1811</x:v>
      </x:c>
      <x:c r="B35" s="87" t="n">
        <x:v>111</x:v>
      </x:c>
      <x:c r="C35" s="66" t="str">
        <x:v>UNIVERSITAS SYIAH KUALA</x:v>
      </x:c>
      <x:c r="D35" s="66" t="str">
        <x:v>PTN Akademik</x:v>
      </x:c>
      <x:c r="E35" s="66" t="str">
        <x:v>11111030</x:v>
      </x:c>
      <x:c r="F35" s="66" t="str">
        <x:v>STATISTIKA</x:v>
      </x:c>
      <x:c r="G35" s="66" t="str">
        <x:v>Sarjana</x:v>
      </x:c>
      <x:c r="H35" s="87" t="n">
        <x:v>36</x:v>
      </x:c>
      <x:c r="I35" s="87" t="n">
        <x:v>270</x:v>
      </x:c>
      <x:c r="J35" s="68" t="n">
        <x:f>IFERROR(H35/I35,"")</x:f>
        <x:v>0.13333333333333333</x:v>
      </x:c>
      <x:c r="K35" s="69" t="n">
        <x:f>IFERROR(I35/H35,"")</x:f>
        <x:v>7.5</x:v>
      </x:c>
      <x:c r="L35" s="66" t="str">
        <x:f>IF(K35="","","1 : "&amp;TEXT(K35,"0.0"))</x:f>
        <x:v>1 : 7.5</x:v>
      </x:c>
      <x:c r="M35" s="66" t="str">
        <x:f>IF(J35="","Baru/Tanpa Data",IF(J35&lt;='Catatan &amp; Sumber'!$B$14,"Sangat Ketat",IF(J35&lt;='Catatan &amp; Sumber'!$B$15,"Ketat",IF(J35&lt;='Catatan &amp; Sumber'!$B$16,"Sedang","Relatif Longgar"))))</x:f>
        <x:v>Relatif Longgar</x:v>
      </x:c>
      <x:c r="N35" s="66" t="str">
        <x:v>Tidak Ada</x:v>
      </x:c>
      <x:c r="O35" s="66" t="str">
        <x:v>Aceh</x:v>
      </x:c>
      <x:c r="P35" s="66" t="str">
        <x:v>Kota Banda Aceh</x:v>
      </x:c>
      <x:c r="Q35" s="66" t="str">
        <x:v>https://snpmb.id/snbp/daya-tampung-snbp</x:v>
      </x:c>
      <x:c r="R35" s="66" t="str">
        <x:v>https://sidatagrun-public-1076756628210.asia-southeast2.run.app/ptn_sn.php?ptn=111</x:v>
      </x:c>
    </x:row>
    <x:row r="36">
      <x:c r="A36" s="87" t="n">
        <x:v>4049</x:v>
      </x:c>
      <x:c r="B36" s="87" t="n">
        <x:v>111</x:v>
      </x:c>
      <x:c r="C36" s="66" t="str">
        <x:v>UNIVERSITAS SYIAH KUALA</x:v>
      </x:c>
      <x:c r="D36" s="66" t="str">
        <x:v>PTN Akademik</x:v>
      </x:c>
      <x:c r="E36" s="66" t="str">
        <x:v>11111031</x:v>
      </x:c>
      <x:c r="F36" s="66" t="str">
        <x:v>PEMANFAATAN SUMBERDAYA PERIKANAN</x:v>
      </x:c>
      <x:c r="G36" s="66" t="str">
        <x:v>Sarjana</x:v>
      </x:c>
      <x:c r="H36" s="87" t="n">
        <x:v>36</x:v>
      </x:c>
      <x:c r="I36" s="87" t="n">
        <x:v>50</x:v>
      </x:c>
      <x:c r="J36" s="68" t="n">
        <x:f>IFERROR(H36/I36,"")</x:f>
        <x:v>0.72</x:v>
      </x:c>
      <x:c r="K36" s="69" t="n">
        <x:f>IFERROR(I36/H36,"")</x:f>
        <x:v>1.3888888888888888</x:v>
      </x:c>
      <x:c r="L36" s="66" t="str">
        <x:f>IF(K36="","","1 : "&amp;TEXT(K36,"0.0"))</x:f>
        <x:v>1 : 1.4</x:v>
      </x:c>
      <x:c r="M36" s="66" t="str">
        <x:f>IF(J36="","Baru/Tanpa Data",IF(J36&lt;='Catatan &amp; Sumber'!$B$14,"Sangat Ketat",IF(J36&lt;='Catatan &amp; Sumber'!$B$15,"Ketat",IF(J36&lt;='Catatan &amp; Sumber'!$B$16,"Sedang","Relatif Longgar"))))</x:f>
        <x:v>Relatif Longgar</x:v>
      </x:c>
      <x:c r="N36" s="66" t="str">
        <x:v>Tidak Ada</x:v>
      </x:c>
      <x:c r="O36" s="66" t="str">
        <x:v>Aceh</x:v>
      </x:c>
      <x:c r="P36" s="66" t="str">
        <x:v>Kota Banda Aceh</x:v>
      </x:c>
      <x:c r="Q36" s="66" t="str">
        <x:v>https://snpmb.id/snbp/daya-tampung-snbp</x:v>
      </x:c>
      <x:c r="R36" s="66" t="str">
        <x:v>https://sidatagrun-public-1076756628210.asia-southeast2.run.app/ptn_sn.php?ptn=111</x:v>
      </x:c>
    </x:row>
    <x:row r="37">
      <x:c r="A37" s="87" t="n">
        <x:v>3736</x:v>
      </x:c>
      <x:c r="B37" s="87" t="n">
        <x:v>111</x:v>
      </x:c>
      <x:c r="C37" s="66" t="str">
        <x:v>UNIVERSITAS SYIAH KUALA</x:v>
      </x:c>
      <x:c r="D37" s="66" t="str">
        <x:v>PTN Akademik</x:v>
      </x:c>
      <x:c r="E37" s="66" t="str">
        <x:v>11111032</x:v>
      </x:c>
      <x:c r="F37" s="66" t="str">
        <x:v>ILMU TANAH</x:v>
      </x:c>
      <x:c r="G37" s="66" t="str">
        <x:v>Sarjana</x:v>
      </x:c>
      <x:c r="H37" s="87" t="n">
        <x:v>36</x:v>
      </x:c>
      <x:c r="I37" s="87" t="n">
        <x:v>67</x:v>
      </x:c>
      <x:c r="J37" s="68" t="n">
        <x:f>IFERROR(H37/I37,"")</x:f>
        <x:v>0.5373134328358209</x:v>
      </x:c>
      <x:c r="K37" s="69" t="n">
        <x:f>IFERROR(I37/H37,"")</x:f>
        <x:v>1.8611111111111112</x:v>
      </x:c>
      <x:c r="L37" s="66" t="str">
        <x:f>IF(K37="","","1 : "&amp;TEXT(K37,"0.0"))</x:f>
        <x:v>1 : 1.9</x:v>
      </x:c>
      <x:c r="M37" s="66" t="str">
        <x:f>IF(J37="","Baru/Tanpa Data",IF(J37&lt;='Catatan &amp; Sumber'!$B$14,"Sangat Ketat",IF(J37&lt;='Catatan &amp; Sumber'!$B$15,"Ketat",IF(J37&lt;='Catatan &amp; Sumber'!$B$16,"Sedang","Relatif Longgar"))))</x:f>
        <x:v>Relatif Longgar</x:v>
      </x:c>
      <x:c r="N37" s="66" t="str">
        <x:v>Tidak Ada</x:v>
      </x:c>
      <x:c r="O37" s="66" t="str">
        <x:v>Aceh</x:v>
      </x:c>
      <x:c r="P37" s="66" t="str">
        <x:v>Kota Banda Aceh</x:v>
      </x:c>
      <x:c r="Q37" s="66" t="str">
        <x:v>https://snpmb.id/snbp/daya-tampung-snbp</x:v>
      </x:c>
      <x:c r="R37" s="66" t="str">
        <x:v>https://sidatagrun-public-1076756628210.asia-southeast2.run.app/ptn_sn.php?ptn=111</x:v>
      </x:c>
    </x:row>
    <x:row r="38">
      <x:c r="A38" s="87" t="n">
        <x:v>1602</x:v>
      </x:c>
      <x:c r="B38" s="87" t="n">
        <x:v>111</x:v>
      </x:c>
      <x:c r="C38" s="66" t="str">
        <x:v>UNIVERSITAS SYIAH KUALA</x:v>
      </x:c>
      <x:c r="D38" s="66" t="str">
        <x:v>PTN Akademik</x:v>
      </x:c>
      <x:c r="E38" s="66" t="str">
        <x:v>11111033</x:v>
      </x:c>
      <x:c r="F38" s="66" t="str">
        <x:v>TEKNIK GEOLOGI</x:v>
      </x:c>
      <x:c r="G38" s="66" t="str">
        <x:v>Sarjana</x:v>
      </x:c>
      <x:c r="H38" s="87" t="n">
        <x:v>24</x:v>
      </x:c>
      <x:c r="I38" s="87" t="n">
        <x:v>206</x:v>
      </x:c>
      <x:c r="J38" s="68" t="n">
        <x:f>IFERROR(H38/I38,"")</x:f>
        <x:v>0.11650485436893204</x:v>
      </x:c>
      <x:c r="K38" s="69" t="n">
        <x:f>IFERROR(I38/H38,"")</x:f>
        <x:v>8.583333333333334</x:v>
      </x:c>
      <x:c r="L38" s="66" t="str">
        <x:f>IF(K38="","","1 : "&amp;TEXT(K38,"0.0"))</x:f>
        <x:v>1 : 8.6</x:v>
      </x:c>
      <x:c r="M38" s="66" t="str">
        <x:f>IF(J38="","Baru/Tanpa Data",IF(J38&lt;='Catatan &amp; Sumber'!$B$14,"Sangat Ketat",IF(J38&lt;='Catatan &amp; Sumber'!$B$15,"Ketat",IF(J38&lt;='Catatan &amp; Sumber'!$B$16,"Sedang","Relatif Longgar"))))</x:f>
        <x:v>Relatif Longgar</x:v>
      </x:c>
      <x:c r="N38" s="66" t="str">
        <x:v>Tidak Ada</x:v>
      </x:c>
      <x:c r="O38" s="66" t="str">
        <x:v>Aceh</x:v>
      </x:c>
      <x:c r="P38" s="66" t="str">
        <x:v>Kota Banda Aceh</x:v>
      </x:c>
      <x:c r="Q38" s="66" t="str">
        <x:v>https://snpmb.id/snbp/daya-tampung-snbp</x:v>
      </x:c>
      <x:c r="R38" s="66" t="str">
        <x:v>https://sidatagrun-public-1076756628210.asia-southeast2.run.app/ptn_sn.php?ptn=111</x:v>
      </x:c>
    </x:row>
    <x:row r="39">
      <x:c r="A39" s="87" t="n">
        <x:v>4135</x:v>
      </x:c>
      <x:c r="B39" s="87" t="n">
        <x:v>111</x:v>
      </x:c>
      <x:c r="C39" s="66" t="str">
        <x:v>UNIVERSITAS SYIAH KUALA</x:v>
      </x:c>
      <x:c r="D39" s="66" t="str">
        <x:v>PTN Akademik</x:v>
      </x:c>
      <x:c r="E39" s="66" t="str">
        <x:v>11111034</x:v>
      </x:c>
      <x:c r="F39" s="66" t="str">
        <x:v>AGROTEKNOLOGI (PSDKU GAYO LUES)</x:v>
      </x:c>
      <x:c r="G39" s="66" t="str">
        <x:v>Sarjana</x:v>
      </x:c>
      <x:c r="H39" s="87" t="n">
        <x:v>12</x:v>
      </x:c>
      <x:c r="I39" s="87" t="n">
        <x:v>15</x:v>
      </x:c>
      <x:c r="J39" s="68" t="n">
        <x:f>IFERROR(H39/I39,"")</x:f>
        <x:v>0.8</x:v>
      </x:c>
      <x:c r="K39" s="69" t="n">
        <x:f>IFERROR(I39/H39,"")</x:f>
        <x:v>1.25</x:v>
      </x:c>
      <x:c r="L39" s="66" t="str">
        <x:f>IF(K39="","","1 : "&amp;TEXT(K39,"0.0"))</x:f>
        <x:v>1 : 1.3</x:v>
      </x:c>
      <x:c r="M39" s="66" t="str">
        <x:f>IF(J39="","Baru/Tanpa Data",IF(J39&lt;='Catatan &amp; Sumber'!$B$14,"Sangat Ketat",IF(J39&lt;='Catatan &amp; Sumber'!$B$15,"Ketat",IF(J39&lt;='Catatan &amp; Sumber'!$B$16,"Sedang","Relatif Longgar"))))</x:f>
        <x:v>Relatif Longgar</x:v>
      </x:c>
      <x:c r="N39" s="66" t="str">
        <x:v>Tidak Ada</x:v>
      </x:c>
      <x:c r="O39" s="66" t="str">
        <x:v>Aceh</x:v>
      </x:c>
      <x:c r="P39" s="66" t="str">
        <x:v>Kota Banda Aceh</x:v>
      </x:c>
      <x:c r="Q39" s="66" t="str">
        <x:v>https://snpmb.id/snbp/daya-tampung-snbp</x:v>
      </x:c>
      <x:c r="R39" s="66" t="str">
        <x:v>https://sidatagrun-public-1076756628210.asia-southeast2.run.app/ptn_sn.php?ptn=111</x:v>
      </x:c>
    </x:row>
    <x:row r="40">
      <x:c r="A40" s="87" t="n">
        <x:v>4305</x:v>
      </x:c>
      <x:c r="B40" s="87" t="n">
        <x:v>111</x:v>
      </x:c>
      <x:c r="C40" s="66" t="str">
        <x:v>UNIVERSITAS SYIAH KUALA</x:v>
      </x:c>
      <x:c r="D40" s="66" t="str">
        <x:v>PTN Akademik</x:v>
      </x:c>
      <x:c r="E40" s="66" t="str">
        <x:v>11111035</x:v>
      </x:c>
      <x:c r="F40" s="66" t="str">
        <x:v>PENDIDIKAN BIOLOGI (PDSKU GAYO LUES)</x:v>
      </x:c>
      <x:c r="G40" s="66" t="str">
        <x:v>Sarjana</x:v>
      </x:c>
      <x:c r="H40" s="87" t="n">
        <x:v>12</x:v>
      </x:c>
      <x:c r="I40" s="87" t="n">
        <x:v>12</x:v>
      </x:c>
      <x:c r="J40" s="68" t="n">
        <x:f>IFERROR(H40/I40,"")</x:f>
        <x:v>1</x:v>
      </x:c>
      <x:c r="K40" s="69" t="n">
        <x:f>IFERROR(I40/H40,"")</x:f>
        <x:v>1</x:v>
      </x:c>
      <x:c r="L40" s="66" t="str">
        <x:f>IF(K40="","","1 : "&amp;TEXT(K40,"0.0"))</x:f>
        <x:v>1 : 1.0</x:v>
      </x:c>
      <x:c r="M40" s="66" t="str">
        <x:f>IF(J40="","Baru/Tanpa Data",IF(J40&lt;='Catatan &amp; Sumber'!$B$14,"Sangat Ketat",IF(J40&lt;='Catatan &amp; Sumber'!$B$15,"Ketat",IF(J40&lt;='Catatan &amp; Sumber'!$B$16,"Sedang","Relatif Longgar"))))</x:f>
        <x:v>Relatif Longgar</x:v>
      </x:c>
      <x:c r="N40" s="66" t="str">
        <x:v>Tidak Ada</x:v>
      </x:c>
      <x:c r="O40" s="66" t="str">
        <x:v>Aceh</x:v>
      </x:c>
      <x:c r="P40" s="66" t="str">
        <x:v>Kota Banda Aceh</x:v>
      </x:c>
      <x:c r="Q40" s="66" t="str">
        <x:v>https://snpmb.id/snbp/daya-tampung-snbp</x:v>
      </x:c>
      <x:c r="R40" s="66" t="str">
        <x:v>https://sidatagrun-public-1076756628210.asia-southeast2.run.app/ptn_sn.php?ptn=111</x:v>
      </x:c>
    </x:row>
    <x:row r="41">
      <x:c r="A41" s="87" t="n">
        <x:v>4305</x:v>
      </x:c>
      <x:c r="B41" s="87" t="n">
        <x:v>111</x:v>
      </x:c>
      <x:c r="C41" s="66" t="str">
        <x:v>UNIVERSITAS SYIAH KUALA</x:v>
      </x:c>
      <x:c r="D41" s="66" t="str">
        <x:v>PTN Akademik</x:v>
      </x:c>
      <x:c r="E41" s="66" t="str">
        <x:v>11111036</x:v>
      </x:c>
      <x:c r="F41" s="66" t="str">
        <x:v>KEHUTANAN (PSDKU GAYO LUES)</x:v>
      </x:c>
      <x:c r="G41" s="66" t="str">
        <x:v>Sarjana</x:v>
      </x:c>
      <x:c r="H41" s="87" t="n">
        <x:v>18</x:v>
      </x:c>
      <x:c r="I41" s="87" t="n">
        <x:v>18</x:v>
      </x:c>
      <x:c r="J41" s="68" t="n">
        <x:f>IFERROR(H41/I41,"")</x:f>
        <x:v>1</x:v>
      </x:c>
      <x:c r="K41" s="69" t="n">
        <x:f>IFERROR(I41/H41,"")</x:f>
        <x:v>1</x:v>
      </x:c>
      <x:c r="L41" s="66" t="str">
        <x:f>IF(K41="","","1 : "&amp;TEXT(K41,"0.0"))</x:f>
        <x:v>1 : 1.0</x:v>
      </x:c>
      <x:c r="M41" s="66" t="str">
        <x:f>IF(J41="","Baru/Tanpa Data",IF(J41&lt;='Catatan &amp; Sumber'!$B$14,"Sangat Ketat",IF(J41&lt;='Catatan &amp; Sumber'!$B$15,"Ketat",IF(J41&lt;='Catatan &amp; Sumber'!$B$16,"Sedang","Relatif Longgar"))))</x:f>
        <x:v>Relatif Longgar</x:v>
      </x:c>
      <x:c r="N41" s="66" t="str">
        <x:v>Tidak Ada</x:v>
      </x:c>
      <x:c r="O41" s="66" t="str">
        <x:v>Aceh</x:v>
      </x:c>
      <x:c r="P41" s="66" t="str">
        <x:v>Kota Banda Aceh</x:v>
      </x:c>
      <x:c r="Q41" s="66" t="str">
        <x:v>https://snpmb.id/snbp/daya-tampung-snbp</x:v>
      </x:c>
      <x:c r="R41" s="66" t="str">
        <x:v>https://sidatagrun-public-1076756628210.asia-southeast2.run.app/ptn_sn.php?ptn=111</x:v>
      </x:c>
    </x:row>
    <x:row r="42">
      <x:c r="A42" s="87" t="n">
        <x:v>3355</x:v>
      </x:c>
      <x:c r="B42" s="87" t="n">
        <x:v>111</x:v>
      </x:c>
      <x:c r="C42" s="66" t="str">
        <x:v>UNIVERSITAS SYIAH KUALA</x:v>
      </x:c>
      <x:c r="D42" s="66" t="str">
        <x:v>PTN Akademik</x:v>
      </x:c>
      <x:c r="E42" s="66" t="str">
        <x:v>11111037</x:v>
      </x:c>
      <x:c r="F42" s="66" t="str">
        <x:v>PROTEKSI TANAMAN</x:v>
      </x:c>
      <x:c r="G42" s="66" t="str">
        <x:v>Sarjana</x:v>
      </x:c>
      <x:c r="H42" s="87" t="n">
        <x:v>24</x:v>
      </x:c>
      <x:c r="I42" s="87" t="n">
        <x:v>62</x:v>
      </x:c>
      <x:c r="J42" s="68" t="n">
        <x:f>IFERROR(H42/I42,"")</x:f>
        <x:v>0.3870967741935484</x:v>
      </x:c>
      <x:c r="K42" s="69" t="n">
        <x:f>IFERROR(I42/H42,"")</x:f>
        <x:v>2.5833333333333335</x:v>
      </x:c>
      <x:c r="L42" s="66" t="str">
        <x:f>IF(K42="","","1 : "&amp;TEXT(K42,"0.0"))</x:f>
        <x:v>1 : 2.6</x:v>
      </x:c>
      <x:c r="M42" s="66" t="str">
        <x:f>IF(J42="","Baru/Tanpa Data",IF(J42&lt;='Catatan &amp; Sumber'!$B$14,"Sangat Ketat",IF(J42&lt;='Catatan &amp; Sumber'!$B$15,"Ketat",IF(J42&lt;='Catatan &amp; Sumber'!$B$16,"Sedang","Relatif Longgar"))))</x:f>
        <x:v>Relatif Longgar</x:v>
      </x:c>
      <x:c r="N42" s="66" t="str">
        <x:v>Tidak Ada</x:v>
      </x:c>
      <x:c r="O42" s="66" t="str">
        <x:v>Aceh</x:v>
      </x:c>
      <x:c r="P42" s="66" t="str">
        <x:v>Kota Banda Aceh</x:v>
      </x:c>
      <x:c r="Q42" s="66" t="str">
        <x:v>https://snpmb.id/snbp/daya-tampung-snbp</x:v>
      </x:c>
      <x:c r="R42" s="66" t="str">
        <x:v>https://sidatagrun-public-1076756628210.asia-southeast2.run.app/ptn_sn.php?ptn=111</x:v>
      </x:c>
    </x:row>
    <x:row r="43">
      <x:c r="A43" s="87" t="n">
        <x:v>1917</x:v>
      </x:c>
      <x:c r="B43" s="87" t="n">
        <x:v>111</x:v>
      </x:c>
      <x:c r="C43" s="66" t="str">
        <x:v>UNIVERSITAS SYIAH KUALA</x:v>
      </x:c>
      <x:c r="D43" s="66" t="str">
        <x:v>PTN Akademik</x:v>
      </x:c>
      <x:c r="E43" s="66" t="str">
        <x:v>11111038</x:v>
      </x:c>
      <x:c r="F43" s="66" t="str">
        <x:v>PERENCANAAN WILAYAH DAN KOTA</x:v>
      </x:c>
      <x:c r="G43" s="66" t="str">
        <x:v>Sarjana</x:v>
      </x:c>
      <x:c r="H43" s="87" t="n">
        <x:v>36</x:v>
      </x:c>
      <x:c r="I43" s="87" t="n">
        <x:v>252</x:v>
      </x:c>
      <x:c r="J43" s="68" t="n">
        <x:f>IFERROR(H43/I43,"")</x:f>
        <x:v>0.14285714285714285</x:v>
      </x:c>
      <x:c r="K43" s="69" t="n">
        <x:f>IFERROR(I43/H43,"")</x:f>
        <x:v>7</x:v>
      </x:c>
      <x:c r="L43" s="66" t="str">
        <x:f>IF(K43="","","1 : "&amp;TEXT(K43,"0.0"))</x:f>
        <x:v>1 : 7.0</x:v>
      </x:c>
      <x:c r="M43" s="66" t="str">
        <x:f>IF(J43="","Baru/Tanpa Data",IF(J43&lt;='Catatan &amp; Sumber'!$B$14,"Sangat Ketat",IF(J43&lt;='Catatan &amp; Sumber'!$B$15,"Ketat",IF(J43&lt;='Catatan &amp; Sumber'!$B$16,"Sedang","Relatif Longgar"))))</x:f>
        <x:v>Relatif Longgar</x:v>
      </x:c>
      <x:c r="N43" s="66" t="str">
        <x:v>Tidak Ada</x:v>
      </x:c>
      <x:c r="O43" s="66" t="str">
        <x:v>Aceh</x:v>
      </x:c>
      <x:c r="P43" s="66" t="str">
        <x:v>Kota Banda Aceh</x:v>
      </x:c>
      <x:c r="Q43" s="66" t="str">
        <x:v>https://snpmb.id/snbp/daya-tampung-snbp</x:v>
      </x:c>
      <x:c r="R43" s="66" t="str">
        <x:v>https://sidatagrun-public-1076756628210.asia-southeast2.run.app/ptn_sn.php?ptn=111</x:v>
      </x:c>
    </x:row>
    <x:row r="44">
      <x:c r="A44" s="87" t="n">
        <x:v>2503</x:v>
      </x:c>
      <x:c r="B44" s="87" t="n">
        <x:v>111</x:v>
      </x:c>
      <x:c r="C44" s="66" t="str">
        <x:v>UNIVERSITAS SYIAH KUALA</x:v>
      </x:c>
      <x:c r="D44" s="66" t="str">
        <x:v>PTN Akademik</x:v>
      </x:c>
      <x:c r="E44" s="66" t="str">
        <x:v>11111039</x:v>
      </x:c>
      <x:c r="F44" s="66" t="str">
        <x:v>KEHUTANAN</x:v>
      </x:c>
      <x:c r="G44" s="66" t="str">
        <x:v>Sarjana</x:v>
      </x:c>
      <x:c r="H44" s="87" t="n">
        <x:v>36</x:v>
      </x:c>
      <x:c r="I44" s="87" t="n">
        <x:v>170</x:v>
      </x:c>
      <x:c r="J44" s="68" t="n">
        <x:f>IFERROR(H44/I44,"")</x:f>
        <x:v>0.21176470588235294</x:v>
      </x:c>
      <x:c r="K44" s="69" t="n">
        <x:f>IFERROR(I44/H44,"")</x:f>
        <x:v>4.722222222222222</x:v>
      </x:c>
      <x:c r="L44" s="66" t="str">
        <x:f>IF(K44="","","1 : "&amp;TEXT(K44,"0.0"))</x:f>
        <x:v>1 : 4.7</x:v>
      </x:c>
      <x:c r="M44" s="66" t="str">
        <x:f>IF(J44="","Baru/Tanpa Data",IF(J44&lt;='Catatan &amp; Sumber'!$B$14,"Sangat Ketat",IF(J44&lt;='Catatan &amp; Sumber'!$B$15,"Ketat",IF(J44&lt;='Catatan &amp; Sumber'!$B$16,"Sedang","Relatif Longgar"))))</x:f>
        <x:v>Relatif Longgar</x:v>
      </x:c>
      <x:c r="N44" s="66" t="str">
        <x:v>Tidak Ada</x:v>
      </x:c>
      <x:c r="O44" s="66" t="str">
        <x:v>Aceh</x:v>
      </x:c>
      <x:c r="P44" s="66" t="str">
        <x:v>Kota Banda Aceh</x:v>
      </x:c>
      <x:c r="Q44" s="66" t="str">
        <x:v>https://snpmb.id/snbp/daya-tampung-snbp</x:v>
      </x:c>
      <x:c r="R44" s="66" t="str">
        <x:v>https://sidatagrun-public-1076756628210.asia-southeast2.run.app/ptn_sn.php?ptn=111</x:v>
      </x:c>
    </x:row>
    <x:row r="45">
      <x:c r="A45" s="87" t="n">
        <x:v>812</x:v>
      </x:c>
      <x:c r="B45" s="87" t="n">
        <x:v>111</x:v>
      </x:c>
      <x:c r="C45" s="66" t="str">
        <x:v>UNIVERSITAS SYIAH KUALA</x:v>
      </x:c>
      <x:c r="D45" s="66" t="str">
        <x:v>PTN Akademik</x:v>
      </x:c>
      <x:c r="E45" s="66" t="str">
        <x:v>11111040</x:v>
      </x:c>
      <x:c r="F45" s="66" t="str">
        <x:v>TEKNIK KOMPUTER</x:v>
      </x:c>
      <x:c r="G45" s="66" t="str">
        <x:v>Sarjana</x:v>
      </x:c>
      <x:c r="H45" s="87" t="n">
        <x:v>48</x:v>
      </x:c>
      <x:c r="I45" s="87" t="n">
        <x:v>712</x:v>
      </x:c>
      <x:c r="J45" s="68" t="n">
        <x:f>IFERROR(H45/I45,"")</x:f>
        <x:v>0.06741573033707865</x:v>
      </x:c>
      <x:c r="K45" s="69" t="n">
        <x:f>IFERROR(I45/H45,"")</x:f>
        <x:v>14.833333333333334</x:v>
      </x:c>
      <x:c r="L45" s="66" t="str">
        <x:f>IF(K45="","","1 : "&amp;TEXT(K45,"0.0"))</x:f>
        <x:v>1 : 14.8</x:v>
      </x:c>
      <x:c r="M45" s="66" t="str">
        <x:f>IF(J45="","Baru/Tanpa Data",IF(J45&lt;='Catatan &amp; Sumber'!$B$14,"Sangat Ketat",IF(J45&lt;='Catatan &amp; Sumber'!$B$15,"Ketat",IF(J45&lt;='Catatan &amp; Sumber'!$B$16,"Sedang","Relatif Longgar"))))</x:f>
        <x:v>Sedang</x:v>
      </x:c>
      <x:c r="N45" s="66" t="str">
        <x:v>Tidak Ada</x:v>
      </x:c>
      <x:c r="O45" s="66" t="str">
        <x:v>Aceh</x:v>
      </x:c>
      <x:c r="P45" s="66" t="str">
        <x:v>Kota Banda Aceh</x:v>
      </x:c>
      <x:c r="Q45" s="66" t="str">
        <x:v>https://snpmb.id/snbp/daya-tampung-snbp</x:v>
      </x:c>
      <x:c r="R45" s="66" t="str">
        <x:v>https://sidatagrun-public-1076756628210.asia-southeast2.run.app/ptn_sn.php?ptn=111</x:v>
      </x:c>
    </x:row>
    <x:row r="46">
      <x:c r="A46" s="87" t="n">
        <x:v>1994</x:v>
      </x:c>
      <x:c r="B46" s="87" t="n">
        <x:v>111</x:v>
      </x:c>
      <x:c r="C46" s="66" t="str">
        <x:v>UNIVERSITAS SYIAH KUALA</x:v>
      </x:c>
      <x:c r="D46" s="66" t="str">
        <x:v>PTN Akademik</x:v>
      </x:c>
      <x:c r="E46" s="66" t="str">
        <x:v>11111041</x:v>
      </x:c>
      <x:c r="F46" s="66" t="str">
        <x:v>EKONOMI PEMBANGUNAN</x:v>
      </x:c>
      <x:c r="G46" s="66" t="str">
        <x:v>Sarjana</x:v>
      </x:c>
      <x:c r="H46" s="87" t="n">
        <x:v>48</x:v>
      </x:c>
      <x:c r="I46" s="87" t="n">
        <x:v>317</x:v>
      </x:c>
      <x:c r="J46" s="68" t="n">
        <x:f>IFERROR(H46/I46,"")</x:f>
        <x:v>0.15141955835962145</x:v>
      </x:c>
      <x:c r="K46" s="69" t="n">
        <x:f>IFERROR(I46/H46,"")</x:f>
        <x:v>6.604166666666667</x:v>
      </x:c>
      <x:c r="L46" s="66" t="str">
        <x:f>IF(K46="","","1 : "&amp;TEXT(K46,"0.0"))</x:f>
        <x:v>1 : 6.6</x:v>
      </x:c>
      <x:c r="M46" s="66" t="str">
        <x:f>IF(J46="","Baru/Tanpa Data",IF(J46&lt;='Catatan &amp; Sumber'!$B$14,"Sangat Ketat",IF(J46&lt;='Catatan &amp; Sumber'!$B$15,"Ketat",IF(J46&lt;='Catatan &amp; Sumber'!$B$16,"Sedang","Relatif Longgar"))))</x:f>
        <x:v>Relatif Longgar</x:v>
      </x:c>
      <x:c r="N46" s="66" t="str">
        <x:v>Tidak Ada</x:v>
      </x:c>
      <x:c r="O46" s="66" t="str">
        <x:v>Aceh</x:v>
      </x:c>
      <x:c r="P46" s="66" t="str">
        <x:v>Kota Banda Aceh</x:v>
      </x:c>
      <x:c r="Q46" s="66" t="str">
        <x:v>https://snpmb.id/snbp/daya-tampung-snbp</x:v>
      </x:c>
      <x:c r="R46" s="66" t="str">
        <x:v>https://sidatagrun-public-1076756628210.asia-southeast2.run.app/ptn_sn.php?ptn=111</x:v>
      </x:c>
    </x:row>
    <x:row r="47">
      <x:c r="A47" s="87" t="n">
        <x:v>752</x:v>
      </x:c>
      <x:c r="B47" s="87" t="n">
        <x:v>111</x:v>
      </x:c>
      <x:c r="C47" s="66" t="str">
        <x:v>UNIVERSITAS SYIAH KUALA</x:v>
      </x:c>
      <x:c r="D47" s="66" t="str">
        <x:v>PTN Akademik</x:v>
      </x:c>
      <x:c r="E47" s="66" t="str">
        <x:v>11111042</x:v>
      </x:c>
      <x:c r="F47" s="66" t="str">
        <x:v>MANAJEMEN</x:v>
      </x:c>
      <x:c r="G47" s="66" t="str">
        <x:v>Sarjana</x:v>
      </x:c>
      <x:c r="H47" s="87" t="n">
        <x:v>60</x:v>
      </x:c>
      <x:c r="I47" s="87" t="n">
        <x:v>927</x:v>
      </x:c>
      <x:c r="J47" s="68" t="n">
        <x:f>IFERROR(H47/I47,"")</x:f>
        <x:v>0.06472491909385113</x:v>
      </x:c>
      <x:c r="K47" s="69" t="n">
        <x:f>IFERROR(I47/H47,"")</x:f>
        <x:v>15.45</x:v>
      </x:c>
      <x:c r="L47" s="66" t="str">
        <x:f>IF(K47="","","1 : "&amp;TEXT(K47,"0.0"))</x:f>
        <x:v>1 : 15.5</x:v>
      </x:c>
      <x:c r="M47" s="66" t="str">
        <x:f>IF(J47="","Baru/Tanpa Data",IF(J47&lt;='Catatan &amp; Sumber'!$B$14,"Sangat Ketat",IF(J47&lt;='Catatan &amp; Sumber'!$B$15,"Ketat",IF(J47&lt;='Catatan &amp; Sumber'!$B$16,"Sedang","Relatif Longgar"))))</x:f>
        <x:v>Sedang</x:v>
      </x:c>
      <x:c r="N47" s="66" t="str">
        <x:v>Tidak Ada</x:v>
      </x:c>
      <x:c r="O47" s="66" t="str">
        <x:v>Aceh</x:v>
      </x:c>
      <x:c r="P47" s="66" t="str">
        <x:v>Kota Banda Aceh</x:v>
      </x:c>
      <x:c r="Q47" s="66" t="str">
        <x:v>https://snpmb.id/snbp/daya-tampung-snbp</x:v>
      </x:c>
      <x:c r="R47" s="66" t="str">
        <x:v>https://sidatagrun-public-1076756628210.asia-southeast2.run.app/ptn_sn.php?ptn=111</x:v>
      </x:c>
    </x:row>
    <x:row r="48">
      <x:c r="A48" s="87" t="n">
        <x:v>1098</x:v>
      </x:c>
      <x:c r="B48" s="87" t="n">
        <x:v>111</x:v>
      </x:c>
      <x:c r="C48" s="66" t="str">
        <x:v>UNIVERSITAS SYIAH KUALA</x:v>
      </x:c>
      <x:c r="D48" s="66" t="str">
        <x:v>PTN Akademik</x:v>
      </x:c>
      <x:c r="E48" s="66" t="str">
        <x:v>11111043</x:v>
      </x:c>
      <x:c r="F48" s="66" t="str">
        <x:v>AKUNTANSI</x:v>
      </x:c>
      <x:c r="G48" s="66" t="str">
        <x:v>Sarjana</x:v>
      </x:c>
      <x:c r="H48" s="87" t="n">
        <x:v>60</x:v>
      </x:c>
      <x:c r="I48" s="87" t="n">
        <x:v>716</x:v>
      </x:c>
      <x:c r="J48" s="68" t="n">
        <x:f>IFERROR(H48/I48,"")</x:f>
        <x:v>0.08379888268156424</x:v>
      </x:c>
      <x:c r="K48" s="69" t="n">
        <x:f>IFERROR(I48/H48,"")</x:f>
        <x:v>11.933333333333334</x:v>
      </x:c>
      <x:c r="L48" s="66" t="str">
        <x:f>IF(K48="","","1 : "&amp;TEXT(K48,"0.0"))</x:f>
        <x:v>1 : 11.9</x:v>
      </x:c>
      <x:c r="M48" s="66" t="str">
        <x:f>IF(J48="","Baru/Tanpa Data",IF(J48&lt;='Catatan &amp; Sumber'!$B$14,"Sangat Ketat",IF(J48&lt;='Catatan &amp; Sumber'!$B$15,"Ketat",IF(J48&lt;='Catatan &amp; Sumber'!$B$16,"Sedang","Relatif Longgar"))))</x:f>
        <x:v>Sedang</x:v>
      </x:c>
      <x:c r="N48" s="66" t="str">
        <x:v>Tidak Ada</x:v>
      </x:c>
      <x:c r="O48" s="66" t="str">
        <x:v>Aceh</x:v>
      </x:c>
      <x:c r="P48" s="66" t="str">
        <x:v>Kota Banda Aceh</x:v>
      </x:c>
      <x:c r="Q48" s="66" t="str">
        <x:v>https://snpmb.id/snbp/daya-tampung-snbp</x:v>
      </x:c>
      <x:c r="R48" s="66" t="str">
        <x:v>https://sidatagrun-public-1076756628210.asia-southeast2.run.app/ptn_sn.php?ptn=111</x:v>
      </x:c>
    </x:row>
    <x:row r="49">
      <x:c r="A49" s="87" t="n">
        <x:v>2204</x:v>
      </x:c>
      <x:c r="B49" s="87" t="n">
        <x:v>111</x:v>
      </x:c>
      <x:c r="C49" s="66" t="str">
        <x:v>UNIVERSITAS SYIAH KUALA</x:v>
      </x:c>
      <x:c r="D49" s="66" t="str">
        <x:v>PTN Akademik</x:v>
      </x:c>
      <x:c r="E49" s="66" t="str">
        <x:v>11111044</x:v>
      </x:c>
      <x:c r="F49" s="66" t="str">
        <x:v>ILMU HUKUM</x:v>
      </x:c>
      <x:c r="G49" s="66" t="str">
        <x:v>Sarjana</x:v>
      </x:c>
      <x:c r="H49" s="87" t="n">
        <x:v>168</x:v>
      </x:c>
      <x:c r="I49" s="87" t="n">
        <x:v>979</x:v>
      </x:c>
      <x:c r="J49" s="68" t="n">
        <x:f>IFERROR(H49/I49,"")</x:f>
        <x:v>0.17160367722165476</x:v>
      </x:c>
      <x:c r="K49" s="69" t="n">
        <x:f>IFERROR(I49/H49,"")</x:f>
        <x:v>5.8273809523809526</x:v>
      </x:c>
      <x:c r="L49" s="66" t="str">
        <x:f>IF(K49="","","1 : "&amp;TEXT(K49,"0.0"))</x:f>
        <x:v>1 : 5.8</x:v>
      </x:c>
      <x:c r="M49" s="66" t="str">
        <x:f>IF(J49="","Baru/Tanpa Data",IF(J49&lt;='Catatan &amp; Sumber'!$B$14,"Sangat Ketat",IF(J49&lt;='Catatan &amp; Sumber'!$B$15,"Ketat",IF(J49&lt;='Catatan &amp; Sumber'!$B$16,"Sedang","Relatif Longgar"))))</x:f>
        <x:v>Relatif Longgar</x:v>
      </x:c>
      <x:c r="N49" s="66" t="str">
        <x:v>Tidak Ada</x:v>
      </x:c>
      <x:c r="O49" s="66" t="str">
        <x:v>Aceh</x:v>
      </x:c>
      <x:c r="P49" s="66" t="str">
        <x:v>Kota Banda Aceh</x:v>
      </x:c>
      <x:c r="Q49" s="66" t="str">
        <x:v>https://snpmb.id/snbp/daya-tampung-snbp</x:v>
      </x:c>
      <x:c r="R49" s="66" t="str">
        <x:v>https://sidatagrun-public-1076756628210.asia-southeast2.run.app/ptn_sn.php?ptn=111</x:v>
      </x:c>
    </x:row>
    <x:row r="50">
      <x:c r="A50" s="87" t="n">
        <x:v>1083</x:v>
      </x:c>
      <x:c r="B50" s="87" t="n">
        <x:v>111</x:v>
      </x:c>
      <x:c r="C50" s="66" t="str">
        <x:v>UNIVERSITAS SYIAH KUALA</x:v>
      </x:c>
      <x:c r="D50" s="66" t="str">
        <x:v>PTN Akademik</x:v>
      </x:c>
      <x:c r="E50" s="66" t="str">
        <x:v>11111045</x:v>
      </x:c>
      <x:c r="F50" s="66" t="str">
        <x:v>PENDIDIKAN PANCASILA DAN KEWARGANEGARAAN</x:v>
      </x:c>
      <x:c r="G50" s="66" t="str">
        <x:v>Sarjana</x:v>
      </x:c>
      <x:c r="H50" s="87" t="n">
        <x:v>42</x:v>
      </x:c>
      <x:c r="I50" s="87" t="n">
        <x:v>509</x:v>
      </x:c>
      <x:c r="J50" s="68" t="n">
        <x:f>IFERROR(H50/I50,"")</x:f>
        <x:v>0.0825147347740668</x:v>
      </x:c>
      <x:c r="K50" s="69" t="n">
        <x:f>IFERROR(I50/H50,"")</x:f>
        <x:v>12.119047619047619</x:v>
      </x:c>
      <x:c r="L50" s="66" t="str">
        <x:f>IF(K50="","","1 : "&amp;TEXT(K50,"0.0"))</x:f>
        <x:v>1 : 12.1</x:v>
      </x:c>
      <x:c r="M50" s="66" t="str">
        <x:f>IF(J50="","Baru/Tanpa Data",IF(J50&lt;='Catatan &amp; Sumber'!$B$14,"Sangat Ketat",IF(J50&lt;='Catatan &amp; Sumber'!$B$15,"Ketat",IF(J50&lt;='Catatan &amp; Sumber'!$B$16,"Sedang","Relatif Longgar"))))</x:f>
        <x:v>Sedang</x:v>
      </x:c>
      <x:c r="N50" s="66" t="str">
        <x:v>Tidak Ada</x:v>
      </x:c>
      <x:c r="O50" s="66" t="str">
        <x:v>Aceh</x:v>
      </x:c>
      <x:c r="P50" s="66" t="str">
        <x:v>Kota Banda Aceh</x:v>
      </x:c>
      <x:c r="Q50" s="66" t="str">
        <x:v>https://snpmb.id/snbp/daya-tampung-snbp</x:v>
      </x:c>
      <x:c r="R50" s="66" t="str">
        <x:v>https://sidatagrun-public-1076756628210.asia-southeast2.run.app/ptn_sn.php?ptn=111</x:v>
      </x:c>
    </x:row>
    <x:row r="51">
      <x:c r="A51" s="87" t="n">
        <x:v>1108</x:v>
      </x:c>
      <x:c r="B51" s="87" t="n">
        <x:v>111</x:v>
      </x:c>
      <x:c r="C51" s="66" t="str">
        <x:v>UNIVERSITAS SYIAH KUALA</x:v>
      </x:c>
      <x:c r="D51" s="66" t="str">
        <x:v>PTN Akademik</x:v>
      </x:c>
      <x:c r="E51" s="66" t="str">
        <x:v>11111046</x:v>
      </x:c>
      <x:c r="F51" s="66" t="str">
        <x:v>PENDIDIKAN SEJARAH</x:v>
      </x:c>
      <x:c r="G51" s="66" t="str">
        <x:v>Sarjana</x:v>
      </x:c>
      <x:c r="H51" s="87" t="n">
        <x:v>36</x:v>
      </x:c>
      <x:c r="I51" s="87" t="n">
        <x:v>428</x:v>
      </x:c>
      <x:c r="J51" s="68" t="n">
        <x:f>IFERROR(H51/I51,"")</x:f>
        <x:v>0.08411214953271028</x:v>
      </x:c>
      <x:c r="K51" s="69" t="n">
        <x:f>IFERROR(I51/H51,"")</x:f>
        <x:v>11.88888888888889</x:v>
      </x:c>
      <x:c r="L51" s="66" t="str">
        <x:f>IF(K51="","","1 : "&amp;TEXT(K51,"0.0"))</x:f>
        <x:v>1 : 11.9</x:v>
      </x:c>
      <x:c r="M51" s="66" t="str">
        <x:f>IF(J51="","Baru/Tanpa Data",IF(J51&lt;='Catatan &amp; Sumber'!$B$14,"Sangat Ketat",IF(J51&lt;='Catatan &amp; Sumber'!$B$15,"Ketat",IF(J51&lt;='Catatan &amp; Sumber'!$B$16,"Sedang","Relatif Longgar"))))</x:f>
        <x:v>Sedang</x:v>
      </x:c>
      <x:c r="N51" s="66" t="str">
        <x:v>Tidak Ada</x:v>
      </x:c>
      <x:c r="O51" s="66" t="str">
        <x:v>Aceh</x:v>
      </x:c>
      <x:c r="P51" s="66" t="str">
        <x:v>Kota Banda Aceh</x:v>
      </x:c>
      <x:c r="Q51" s="66" t="str">
        <x:v>https://snpmb.id/snbp/daya-tampung-snbp</x:v>
      </x:c>
      <x:c r="R51" s="66" t="str">
        <x:v>https://sidatagrun-public-1076756628210.asia-southeast2.run.app/ptn_sn.php?ptn=111</x:v>
      </x:c>
    </x:row>
    <x:row r="52">
      <x:c r="A52" s="87" t="n">
        <x:v>2481</x:v>
      </x:c>
      <x:c r="B52" s="87" t="n">
        <x:v>111</x:v>
      </x:c>
      <x:c r="C52" s="66" t="str">
        <x:v>UNIVERSITAS SYIAH KUALA</x:v>
      </x:c>
      <x:c r="D52" s="66" t="str">
        <x:v>PTN Akademik</x:v>
      </x:c>
      <x:c r="E52" s="66" t="str">
        <x:v>11111047</x:v>
      </x:c>
      <x:c r="F52" s="66" t="str">
        <x:v>PENDIDIKAN EKONOMI</x:v>
      </x:c>
      <x:c r="G52" s="66" t="str">
        <x:v>Sarjana</x:v>
      </x:c>
      <x:c r="H52" s="87" t="n">
        <x:v>48</x:v>
      </x:c>
      <x:c r="I52" s="87" t="n">
        <x:v>231</x:v>
      </x:c>
      <x:c r="J52" s="68" t="n">
        <x:f>IFERROR(H52/I52,"")</x:f>
        <x:v>0.2077922077922078</x:v>
      </x:c>
      <x:c r="K52" s="69" t="n">
        <x:f>IFERROR(I52/H52,"")</x:f>
        <x:v>4.8125</x:v>
      </x:c>
      <x:c r="L52" s="66" t="str">
        <x:f>IF(K52="","","1 : "&amp;TEXT(K52,"0.0"))</x:f>
        <x:v>1 : 4.8</x:v>
      </x:c>
      <x:c r="M52" s="66" t="str">
        <x:f>IF(J52="","Baru/Tanpa Data",IF(J52&lt;='Catatan &amp; Sumber'!$B$14,"Sangat Ketat",IF(J52&lt;='Catatan &amp; Sumber'!$B$15,"Ketat",IF(J52&lt;='Catatan &amp; Sumber'!$B$16,"Sedang","Relatif Longgar"))))</x:f>
        <x:v>Relatif Longgar</x:v>
      </x:c>
      <x:c r="N52" s="66" t="str">
        <x:v>Tidak Ada</x:v>
      </x:c>
      <x:c r="O52" s="66" t="str">
        <x:v>Aceh</x:v>
      </x:c>
      <x:c r="P52" s="66" t="str">
        <x:v>Kota Banda Aceh</x:v>
      </x:c>
      <x:c r="Q52" s="66" t="str">
        <x:v>https://snpmb.id/snbp/daya-tampung-snbp</x:v>
      </x:c>
      <x:c r="R52" s="66" t="str">
        <x:v>https://sidatagrun-public-1076756628210.asia-southeast2.run.app/ptn_sn.php?ptn=111</x:v>
      </x:c>
    </x:row>
    <x:row r="53">
      <x:c r="A53" s="87" t="n">
        <x:v>2189</x:v>
      </x:c>
      <x:c r="B53" s="87" t="n">
        <x:v>111</x:v>
      </x:c>
      <x:c r="C53" s="66" t="str">
        <x:v>UNIVERSITAS SYIAH KUALA</x:v>
      </x:c>
      <x:c r="D53" s="66" t="str">
        <x:v>PTN Akademik</x:v>
      </x:c>
      <x:c r="E53" s="66" t="str">
        <x:v>11111048</x:v>
      </x:c>
      <x:c r="F53" s="66" t="str">
        <x:v>PENDIDIKAN GEOGRAFI</x:v>
      </x:c>
      <x:c r="G53" s="66" t="str">
        <x:v>Sarjana</x:v>
      </x:c>
      <x:c r="H53" s="87" t="n">
        <x:v>48</x:v>
      </x:c>
      <x:c r="I53" s="87" t="n">
        <x:v>282</x:v>
      </x:c>
      <x:c r="J53" s="68" t="n">
        <x:f>IFERROR(H53/I53,"")</x:f>
        <x:v>0.1702127659574468</x:v>
      </x:c>
      <x:c r="K53" s="69" t="n">
        <x:f>IFERROR(I53/H53,"")</x:f>
        <x:v>5.875</x:v>
      </x:c>
      <x:c r="L53" s="66" t="str">
        <x:f>IF(K53="","","1 : "&amp;TEXT(K53,"0.0"))</x:f>
        <x:v>1 : 5.9</x:v>
      </x:c>
      <x:c r="M53" s="66" t="str">
        <x:f>IF(J53="","Baru/Tanpa Data",IF(J53&lt;='Catatan &amp; Sumber'!$B$14,"Sangat Ketat",IF(J53&lt;='Catatan &amp; Sumber'!$B$15,"Ketat",IF(J53&lt;='Catatan &amp; Sumber'!$B$16,"Sedang","Relatif Longgar"))))</x:f>
        <x:v>Relatif Longgar</x:v>
      </x:c>
      <x:c r="N53" s="66" t="str">
        <x:v>Tidak Ada</x:v>
      </x:c>
      <x:c r="O53" s="66" t="str">
        <x:v>Aceh</x:v>
      </x:c>
      <x:c r="P53" s="66" t="str">
        <x:v>Kota Banda Aceh</x:v>
      </x:c>
      <x:c r="Q53" s="66" t="str">
        <x:v>https://snpmb.id/snbp/daya-tampung-snbp</x:v>
      </x:c>
      <x:c r="R53" s="66" t="str">
        <x:v>https://sidatagrun-public-1076756628210.asia-southeast2.run.app/ptn_sn.php?ptn=111</x:v>
      </x:c>
    </x:row>
    <x:row r="54">
      <x:c r="A54" s="87" t="n">
        <x:v>1281</x:v>
      </x:c>
      <x:c r="B54" s="87" t="n">
        <x:v>111</x:v>
      </x:c>
      <x:c r="C54" s="66" t="str">
        <x:v>UNIVERSITAS SYIAH KUALA</x:v>
      </x:c>
      <x:c r="D54" s="66" t="str">
        <x:v>PTN Akademik</x:v>
      </x:c>
      <x:c r="E54" s="66" t="str">
        <x:v>11111049</x:v>
      </x:c>
      <x:c r="F54" s="66" t="str">
        <x:v>PENDIDIKAN BAHASA INDONESIA</x:v>
      </x:c>
      <x:c r="G54" s="66" t="str">
        <x:v>Sarjana</x:v>
      </x:c>
      <x:c r="H54" s="87" t="n">
        <x:v>48</x:v>
      </x:c>
      <x:c r="I54" s="87" t="n">
        <x:v>509</x:v>
      </x:c>
      <x:c r="J54" s="68" t="n">
        <x:f>IFERROR(H54/I54,"")</x:f>
        <x:v>0.09430255402750491</x:v>
      </x:c>
      <x:c r="K54" s="69" t="n">
        <x:f>IFERROR(I54/H54,"")</x:f>
        <x:v>10.604166666666666</x:v>
      </x:c>
      <x:c r="L54" s="66" t="str">
        <x:f>IF(K54="","","1 : "&amp;TEXT(K54,"0.0"))</x:f>
        <x:v>1 : 10.6</x:v>
      </x:c>
      <x:c r="M54" s="66" t="str">
        <x:f>IF(J54="","Baru/Tanpa Data",IF(J54&lt;='Catatan &amp; Sumber'!$B$14,"Sangat Ketat",IF(J54&lt;='Catatan &amp; Sumber'!$B$15,"Ketat",IF(J54&lt;='Catatan &amp; Sumber'!$B$16,"Sedang","Relatif Longgar"))))</x:f>
        <x:v>Sedang</x:v>
      </x:c>
      <x:c r="N54" s="66" t="str">
        <x:v>Tidak Ada</x:v>
      </x:c>
      <x:c r="O54" s="66" t="str">
        <x:v>Aceh</x:v>
      </x:c>
      <x:c r="P54" s="66" t="str">
        <x:v>Kota Banda Aceh</x:v>
      </x:c>
      <x:c r="Q54" s="66" t="str">
        <x:v>https://snpmb.id/snbp/daya-tampung-snbp</x:v>
      </x:c>
      <x:c r="R54" s="66" t="str">
        <x:v>https://sidatagrun-public-1076756628210.asia-southeast2.run.app/ptn_sn.php?ptn=111</x:v>
      </x:c>
    </x:row>
    <x:row r="55">
      <x:c r="A55" s="87" t="n">
        <x:v>1526</x:v>
      </x:c>
      <x:c r="B55" s="87" t="n">
        <x:v>111</x:v>
      </x:c>
      <x:c r="C55" s="66" t="str">
        <x:v>UNIVERSITAS SYIAH KUALA</x:v>
      </x:c>
      <x:c r="D55" s="66" t="str">
        <x:v>PTN Akademik</x:v>
      </x:c>
      <x:c r="E55" s="66" t="str">
        <x:v>11111050</x:v>
      </x:c>
      <x:c r="F55" s="66" t="str">
        <x:v>PENDIDIKAN BAHASA INGGRIS</x:v>
      </x:c>
      <x:c r="G55" s="66" t="str">
        <x:v>Sarjana</x:v>
      </x:c>
      <x:c r="H55" s="87" t="n">
        <x:v>48</x:v>
      </x:c>
      <x:c r="I55" s="87" t="n">
        <x:v>430</x:v>
      </x:c>
      <x:c r="J55" s="68" t="n">
        <x:f>IFERROR(H55/I55,"")</x:f>
        <x:v>0.11162790697674418</x:v>
      </x:c>
      <x:c r="K55" s="69" t="n">
        <x:f>IFERROR(I55/H55,"")</x:f>
        <x:v>8.958333333333334</x:v>
      </x:c>
      <x:c r="L55" s="66" t="str">
        <x:f>IF(K55="","","1 : "&amp;TEXT(K55,"0.0"))</x:f>
        <x:v>1 : 9.0</x:v>
      </x:c>
      <x:c r="M55" s="66" t="str">
        <x:f>IF(J55="","Baru/Tanpa Data",IF(J55&lt;='Catatan &amp; Sumber'!$B$14,"Sangat Ketat",IF(J55&lt;='Catatan &amp; Sumber'!$B$15,"Ketat",IF(J55&lt;='Catatan &amp; Sumber'!$B$16,"Sedang","Relatif Longgar"))))</x:f>
        <x:v>Relatif Longgar</x:v>
      </x:c>
      <x:c r="N55" s="66" t="str">
        <x:v>Tidak Ada</x:v>
      </x:c>
      <x:c r="O55" s="66" t="str">
        <x:v>Aceh</x:v>
      </x:c>
      <x:c r="P55" s="66" t="str">
        <x:v>Kota Banda Aceh</x:v>
      </x:c>
      <x:c r="Q55" s="66" t="str">
        <x:v>https://snpmb.id/snbp/daya-tampung-snbp</x:v>
      </x:c>
      <x:c r="R55" s="66" t="str">
        <x:v>https://sidatagrun-public-1076756628210.asia-southeast2.run.app/ptn_sn.php?ptn=111</x:v>
      </x:c>
    </x:row>
    <x:row r="56">
      <x:c r="A56" s="87" t="n">
        <x:v>2383</x:v>
      </x:c>
      <x:c r="B56" s="87" t="n">
        <x:v>111</x:v>
      </x:c>
      <x:c r="C56" s="66" t="str">
        <x:v>UNIVERSITAS SYIAH KUALA</x:v>
      </x:c>
      <x:c r="D56" s="66" t="str">
        <x:v>PTN Akademik</x:v>
      </x:c>
      <x:c r="E56" s="66" t="str">
        <x:v>11111051</x:v>
      </x:c>
      <x:c r="F56" s="66" t="str">
        <x:v>PENDIDIKAN SENI DRAMA TARI DAN MUSIK</x:v>
      </x:c>
      <x:c r="G56" s="66" t="str">
        <x:v>Sarjana</x:v>
      </x:c>
      <x:c r="H56" s="87" t="n">
        <x:v>36</x:v>
      </x:c>
      <x:c r="I56" s="87" t="n">
        <x:v>186</x:v>
      </x:c>
      <x:c r="J56" s="68" t="n">
        <x:f>IFERROR(H56/I56,"")</x:f>
        <x:v>0.1935483870967742</x:v>
      </x:c>
      <x:c r="K56" s="69" t="n">
        <x:f>IFERROR(I56/H56,"")</x:f>
        <x:v>5.166666666666667</x:v>
      </x:c>
      <x:c r="L56" s="66" t="str">
        <x:f>IF(K56="","","1 : "&amp;TEXT(K56,"0.0"))</x:f>
        <x:v>1 : 5.2</x:v>
      </x:c>
      <x:c r="M56" s="66" t="str">
        <x:f>IF(J56="","Baru/Tanpa Data",IF(J56&lt;='Catatan &amp; Sumber'!$B$14,"Sangat Ketat",IF(J56&lt;='Catatan &amp; Sumber'!$B$15,"Ketat",IF(J56&lt;='Catatan &amp; Sumber'!$B$16,"Sedang","Relatif Longgar"))))</x:f>
        <x:v>Relatif Longgar</x:v>
      </x:c>
      <x:c r="N56" s="66" t="str">
        <x:v>Sendratasik</x:v>
      </x:c>
      <x:c r="O56" s="66" t="str">
        <x:v>Aceh</x:v>
      </x:c>
      <x:c r="P56" s="66" t="str">
        <x:v>Kota Banda Aceh</x:v>
      </x:c>
      <x:c r="Q56" s="66" t="str">
        <x:v>https://snpmb.id/snbp/daya-tampung-snbp</x:v>
      </x:c>
      <x:c r="R56" s="66" t="str">
        <x:v>https://sidatagrun-public-1076756628210.asia-southeast2.run.app/ptn_sn.php?ptn=111</x:v>
      </x:c>
    </x:row>
    <x:row r="57">
      <x:c r="A57" s="87" t="n">
        <x:v>1613</x:v>
      </x:c>
      <x:c r="B57" s="87" t="n">
        <x:v>111</x:v>
      </x:c>
      <x:c r="C57" s="66" t="str">
        <x:v>UNIVERSITAS SYIAH KUALA</x:v>
      </x:c>
      <x:c r="D57" s="66" t="str">
        <x:v>PTN Akademik</x:v>
      </x:c>
      <x:c r="E57" s="66" t="str">
        <x:v>11111052</x:v>
      </x:c>
      <x:c r="F57" s="66" t="str">
        <x:v>PENDIDIKAN KESEJAHTERAAN KELUARGA</x:v>
      </x:c>
      <x:c r="G57" s="66" t="str">
        <x:v>Sarjana</x:v>
      </x:c>
      <x:c r="H57" s="87" t="n">
        <x:v>48</x:v>
      </x:c>
      <x:c r="I57" s="87" t="n">
        <x:v>409</x:v>
      </x:c>
      <x:c r="J57" s="68" t="n">
        <x:f>IFERROR(H57/I57,"")</x:f>
        <x:v>0.11735941320293398</x:v>
      </x:c>
      <x:c r="K57" s="69" t="n">
        <x:f>IFERROR(I57/H57,"")</x:f>
        <x:v>8.520833333333334</x:v>
      </x:c>
      <x:c r="L57" s="66" t="str">
        <x:f>IF(K57="","","1 : "&amp;TEXT(K57,"0.0"))</x:f>
        <x:v>1 : 8.5</x:v>
      </x:c>
      <x:c r="M57" s="66" t="str">
        <x:f>IF(J57="","Baru/Tanpa Data",IF(J57&lt;='Catatan &amp; Sumber'!$B$14,"Sangat Ketat",IF(J57&lt;='Catatan &amp; Sumber'!$B$15,"Ketat",IF(J57&lt;='Catatan &amp; Sumber'!$B$16,"Sedang","Relatif Longgar"))))</x:f>
        <x:v>Relatif Longgar</x:v>
      </x:c>
      <x:c r="N57" s="66" t="str">
        <x:v>Tidak Ada</x:v>
      </x:c>
      <x:c r="O57" s="66" t="str">
        <x:v>Aceh</x:v>
      </x:c>
      <x:c r="P57" s="66" t="str">
        <x:v>Kota Banda Aceh</x:v>
      </x:c>
      <x:c r="Q57" s="66" t="str">
        <x:v>https://snpmb.id/snbp/daya-tampung-snbp</x:v>
      </x:c>
      <x:c r="R57" s="66" t="str">
        <x:v>https://sidatagrun-public-1076756628210.asia-southeast2.run.app/ptn_sn.php?ptn=111</x:v>
      </x:c>
    </x:row>
    <x:row r="58">
      <x:c r="A58" s="87" t="n">
        <x:v>2451</x:v>
      </x:c>
      <x:c r="B58" s="87" t="n">
        <x:v>111</x:v>
      </x:c>
      <x:c r="C58" s="66" t="str">
        <x:v>UNIVERSITAS SYIAH KUALA</x:v>
      </x:c>
      <x:c r="D58" s="66" t="str">
        <x:v>PTN Akademik</x:v>
      </x:c>
      <x:c r="E58" s="66" t="str">
        <x:v>11111053</x:v>
      </x:c>
      <x:c r="F58" s="66" t="str">
        <x:v>PEND. JASMANI KESEHATAN DAN REKREASI</x:v>
      </x:c>
      <x:c r="G58" s="66" t="str">
        <x:v>Sarjana</x:v>
      </x:c>
      <x:c r="H58" s="87" t="n">
        <x:v>60</x:v>
      </x:c>
      <x:c r="I58" s="87" t="n">
        <x:v>296</x:v>
      </x:c>
      <x:c r="J58" s="68" t="n">
        <x:f>IFERROR(H58/I58,"")</x:f>
        <x:v>0.20270270270270271</x:v>
      </x:c>
      <x:c r="K58" s="69" t="n">
        <x:f>IFERROR(I58/H58,"")</x:f>
        <x:v>4.933333333333334</x:v>
      </x:c>
      <x:c r="L58" s="66" t="str">
        <x:f>IF(K58="","","1 : "&amp;TEXT(K58,"0.0"))</x:f>
        <x:v>1 : 4.9</x:v>
      </x:c>
      <x:c r="M58" s="66" t="str">
        <x:f>IF(J58="","Baru/Tanpa Data",IF(J58&lt;='Catatan &amp; Sumber'!$B$14,"Sangat Ketat",IF(J58&lt;='Catatan &amp; Sumber'!$B$15,"Ketat",IF(J58&lt;='Catatan &amp; Sumber'!$B$16,"Sedang","Relatif Longgar"))))</x:f>
        <x:v>Relatif Longgar</x:v>
      </x:c>
      <x:c r="N58" s="66" t="str">
        <x:v>Olahraga</x:v>
      </x:c>
      <x:c r="O58" s="66" t="str">
        <x:v>Aceh</x:v>
      </x:c>
      <x:c r="P58" s="66" t="str">
        <x:v>Kota Banda Aceh</x:v>
      </x:c>
      <x:c r="Q58" s="66" t="str">
        <x:v>https://snpmb.id/snbp/daya-tampung-snbp</x:v>
      </x:c>
      <x:c r="R58" s="66" t="str">
        <x:v>https://sidatagrun-public-1076756628210.asia-southeast2.run.app/ptn_sn.php?ptn=111</x:v>
      </x:c>
    </x:row>
    <x:row r="59">
      <x:c r="A59" s="87" t="n">
        <x:v>271</x:v>
      </x:c>
      <x:c r="B59" s="87" t="n">
        <x:v>111</x:v>
      </x:c>
      <x:c r="C59" s="66" t="str">
        <x:v>UNIVERSITAS SYIAH KUALA</x:v>
      </x:c>
      <x:c r="D59" s="66" t="str">
        <x:v>PTN Akademik</x:v>
      </x:c>
      <x:c r="E59" s="66" t="str">
        <x:v>11111054</x:v>
      </x:c>
      <x:c r="F59" s="66" t="str">
        <x:v>BIMBINGAN KONSELING</x:v>
      </x:c>
      <x:c r="G59" s="66" t="str">
        <x:v>Sarjana</x:v>
      </x:c>
      <x:c r="H59" s="87" t="n">
        <x:v>45</x:v>
      </x:c>
      <x:c r="I59" s="87" t="n">
        <x:v>1101</x:v>
      </x:c>
      <x:c r="J59" s="68" t="n">
        <x:f>IFERROR(H59/I59,"")</x:f>
        <x:v>0.04087193460490463</x:v>
      </x:c>
      <x:c r="K59" s="69" t="n">
        <x:f>IFERROR(I59/H59,"")</x:f>
        <x:v>24.466666666666665</x:v>
      </x:c>
      <x:c r="L59" s="66" t="str">
        <x:f>IF(K59="","","1 : "&amp;TEXT(K59,"0.0"))</x:f>
        <x:v>1 : 24.5</x:v>
      </x:c>
      <x:c r="M59" s="66" t="str">
        <x:f>IF(J59="","Baru/Tanpa Data",IF(J59&lt;='Catatan &amp; Sumber'!$B$14,"Sangat Ketat",IF(J59&lt;='Catatan &amp; Sumber'!$B$15,"Ketat",IF(J59&lt;='Catatan &amp; Sumber'!$B$16,"Sedang","Relatif Longgar"))))</x:f>
        <x:v>Ketat</x:v>
      </x:c>
      <x:c r="N59" s="66" t="str">
        <x:v>Tidak Ada</x:v>
      </x:c>
      <x:c r="O59" s="66" t="str">
        <x:v>Aceh</x:v>
      </x:c>
      <x:c r="P59" s="66" t="str">
        <x:v>Kota Banda Aceh</x:v>
      </x:c>
      <x:c r="Q59" s="66" t="str">
        <x:v>https://snpmb.id/snbp/daya-tampung-snbp</x:v>
      </x:c>
      <x:c r="R59" s="66" t="str">
        <x:v>https://sidatagrun-public-1076756628210.asia-southeast2.run.app/ptn_sn.php?ptn=111</x:v>
      </x:c>
    </x:row>
    <x:row r="60">
      <x:c r="A60" s="87" t="n">
        <x:v>735</x:v>
      </x:c>
      <x:c r="B60" s="87" t="n">
        <x:v>111</x:v>
      </x:c>
      <x:c r="C60" s="66" t="str">
        <x:v>UNIVERSITAS SYIAH KUALA</x:v>
      </x:c>
      <x:c r="D60" s="66" t="str">
        <x:v>PTN Akademik</x:v>
      </x:c>
      <x:c r="E60" s="66" t="str">
        <x:v>11111055</x:v>
      </x:c>
      <x:c r="F60" s="66" t="str">
        <x:v>PENDIDIKAN GURU SEKOLAH DASAR</x:v>
      </x:c>
      <x:c r="G60" s="66" t="str">
        <x:v>Sarjana</x:v>
      </x:c>
      <x:c r="H60" s="87" t="n">
        <x:v>69</x:v>
      </x:c>
      <x:c r="I60" s="87" t="n">
        <x:v>1077</x:v>
      </x:c>
      <x:c r="J60" s="68" t="n">
        <x:f>IFERROR(H60/I60,"")</x:f>
        <x:v>0.06406685236768803</x:v>
      </x:c>
      <x:c r="K60" s="69" t="n">
        <x:f>IFERROR(I60/H60,"")</x:f>
        <x:v>15.608695652173912</x:v>
      </x:c>
      <x:c r="L60" s="66" t="str">
        <x:f>IF(K60="","","1 : "&amp;TEXT(K60,"0.0"))</x:f>
        <x:v>1 : 15.6</x:v>
      </x:c>
      <x:c r="M60" s="66" t="str">
        <x:f>IF(J60="","Baru/Tanpa Data",IF(J60&lt;='Catatan &amp; Sumber'!$B$14,"Sangat Ketat",IF(J60&lt;='Catatan &amp; Sumber'!$B$15,"Ketat",IF(J60&lt;='Catatan &amp; Sumber'!$B$16,"Sedang","Relatif Longgar"))))</x:f>
        <x:v>Sedang</x:v>
      </x:c>
      <x:c r="N60" s="66" t="str">
        <x:v>Tidak Ada</x:v>
      </x:c>
      <x:c r="O60" s="66" t="str">
        <x:v>Aceh</x:v>
      </x:c>
      <x:c r="P60" s="66" t="str">
        <x:v>Kota Banda Aceh</x:v>
      </x:c>
      <x:c r="Q60" s="66" t="str">
        <x:v>https://snpmb.id/snbp/daya-tampung-snbp</x:v>
      </x:c>
      <x:c r="R60" s="66" t="str">
        <x:v>https://sidatagrun-public-1076756628210.asia-southeast2.run.app/ptn_sn.php?ptn=111</x:v>
      </x:c>
    </x:row>
    <x:row r="61">
      <x:c r="A61" s="87" t="n">
        <x:v>341</x:v>
      </x:c>
      <x:c r="B61" s="87" t="n">
        <x:v>111</x:v>
      </x:c>
      <x:c r="C61" s="66" t="str">
        <x:v>UNIVERSITAS SYIAH KUALA</x:v>
      </x:c>
      <x:c r="D61" s="66" t="str">
        <x:v>PTN Akademik</x:v>
      </x:c>
      <x:c r="E61" s="66" t="str">
        <x:v>11111056</x:v>
      </x:c>
      <x:c r="F61" s="66" t="str">
        <x:v>PSIKOLOGI</x:v>
      </x:c>
      <x:c r="G61" s="66" t="str">
        <x:v>Sarjana</x:v>
      </x:c>
      <x:c r="H61" s="87" t="n">
        <x:v>24</x:v>
      </x:c>
      <x:c r="I61" s="87" t="n">
        <x:v>544</x:v>
      </x:c>
      <x:c r="J61" s="68" t="n">
        <x:f>IFERROR(H61/I61,"")</x:f>
        <x:v>0.04411764705882353</x:v>
      </x:c>
      <x:c r="K61" s="69" t="n">
        <x:f>IFERROR(I61/H61,"")</x:f>
        <x:v>22.666666666666668</x:v>
      </x:c>
      <x:c r="L61" s="66" t="str">
        <x:f>IF(K61="","","1 : "&amp;TEXT(K61,"0.0"))</x:f>
        <x:v>1 : 22.7</x:v>
      </x:c>
      <x:c r="M61" s="66" t="str">
        <x:f>IF(J61="","Baru/Tanpa Data",IF(J61&lt;='Catatan &amp; Sumber'!$B$14,"Sangat Ketat",IF(J61&lt;='Catatan &amp; Sumber'!$B$15,"Ketat",IF(J61&lt;='Catatan &amp; Sumber'!$B$16,"Sedang","Relatif Longgar"))))</x:f>
        <x:v>Ketat</x:v>
      </x:c>
      <x:c r="N61" s="66" t="str">
        <x:v>Tidak Ada</x:v>
      </x:c>
      <x:c r="O61" s="66" t="str">
        <x:v>Aceh</x:v>
      </x:c>
      <x:c r="P61" s="66" t="str">
        <x:v>Kota Banda Aceh</x:v>
      </x:c>
      <x:c r="Q61" s="66" t="str">
        <x:v>https://snpmb.id/snbp/daya-tampung-snbp</x:v>
      </x:c>
      <x:c r="R61" s="66" t="str">
        <x:v>https://sidatagrun-public-1076756628210.asia-southeast2.run.app/ptn_sn.php?ptn=111</x:v>
      </x:c>
    </x:row>
    <x:row r="62">
      <x:c r="A62" s="87" t="n">
        <x:v>3092</x:v>
      </x:c>
      <x:c r="B62" s="87" t="n">
        <x:v>111</x:v>
      </x:c>
      <x:c r="C62" s="66" t="str">
        <x:v>UNIVERSITAS SYIAH KUALA</x:v>
      </x:c>
      <x:c r="D62" s="66" t="str">
        <x:v>PTN Akademik</x:v>
      </x:c>
      <x:c r="E62" s="66" t="str">
        <x:v>11111057</x:v>
      </x:c>
      <x:c r="F62" s="66" t="str">
        <x:v>ILMU POLITIK</x:v>
      </x:c>
      <x:c r="G62" s="66" t="str">
        <x:v>Sarjana</x:v>
      </x:c>
      <x:c r="H62" s="87" t="n">
        <x:v>53</x:v>
      </x:c>
      <x:c r="I62" s="87" t="n">
        <x:v>169</x:v>
      </x:c>
      <x:c r="J62" s="68" t="n">
        <x:f>IFERROR(H62/I62,"")</x:f>
        <x:v>0.3136094674556213</x:v>
      </x:c>
      <x:c r="K62" s="69" t="n">
        <x:f>IFERROR(I62/H62,"")</x:f>
        <x:v>3.188679245283019</x:v>
      </x:c>
      <x:c r="L62" s="66" t="str">
        <x:f>IF(K62="","","1 : "&amp;TEXT(K62,"0.0"))</x:f>
        <x:v>1 : 3.2</x:v>
      </x:c>
      <x:c r="M62" s="66" t="str">
        <x:f>IF(J62="","Baru/Tanpa Data",IF(J62&lt;='Catatan &amp; Sumber'!$B$14,"Sangat Ketat",IF(J62&lt;='Catatan &amp; Sumber'!$B$15,"Ketat",IF(J62&lt;='Catatan &amp; Sumber'!$B$16,"Sedang","Relatif Longgar"))))</x:f>
        <x:v>Relatif Longgar</x:v>
      </x:c>
      <x:c r="N62" s="66" t="str">
        <x:v>Tidak Ada</x:v>
      </x:c>
      <x:c r="O62" s="66" t="str">
        <x:v>Aceh</x:v>
      </x:c>
      <x:c r="P62" s="66" t="str">
        <x:v>Kota Banda Aceh</x:v>
      </x:c>
      <x:c r="Q62" s="66" t="str">
        <x:v>https://snpmb.id/snbp/daya-tampung-snbp</x:v>
      </x:c>
      <x:c r="R62" s="66" t="str">
        <x:v>https://sidatagrun-public-1076756628210.asia-southeast2.run.app/ptn_sn.php?ptn=111</x:v>
      </x:c>
    </x:row>
    <x:row r="63">
      <x:c r="A63" s="87" t="n">
        <x:v>2296</x:v>
      </x:c>
      <x:c r="B63" s="87" t="n">
        <x:v>111</x:v>
      </x:c>
      <x:c r="C63" s="66" t="str">
        <x:v>UNIVERSITAS SYIAH KUALA</x:v>
      </x:c>
      <x:c r="D63" s="66" t="str">
        <x:v>PTN Akademik</x:v>
      </x:c>
      <x:c r="E63" s="66" t="str">
        <x:v>11111058</x:v>
      </x:c>
      <x:c r="F63" s="66" t="str">
        <x:v>SOSIOLOGI</x:v>
      </x:c>
      <x:c r="G63" s="66" t="str">
        <x:v>Sarjana</x:v>
      </x:c>
      <x:c r="H63" s="87" t="n">
        <x:v>41</x:v>
      </x:c>
      <x:c r="I63" s="87" t="n">
        <x:v>224</x:v>
      </x:c>
      <x:c r="J63" s="68" t="n">
        <x:f>IFERROR(H63/I63,"")</x:f>
        <x:v>0.18303571428571427</x:v>
      </x:c>
      <x:c r="K63" s="69" t="n">
        <x:f>IFERROR(I63/H63,"")</x:f>
        <x:v>5.463414634146342</x:v>
      </x:c>
      <x:c r="L63" s="66" t="str">
        <x:f>IF(K63="","","1 : "&amp;TEXT(K63,"0.0"))</x:f>
        <x:v>1 : 5.5</x:v>
      </x:c>
      <x:c r="M63" s="66" t="str">
        <x:f>IF(J63="","Baru/Tanpa Data",IF(J63&lt;='Catatan &amp; Sumber'!$B$14,"Sangat Ketat",IF(J63&lt;='Catatan &amp; Sumber'!$B$15,"Ketat",IF(J63&lt;='Catatan &amp; Sumber'!$B$16,"Sedang","Relatif Longgar"))))</x:f>
        <x:v>Relatif Longgar</x:v>
      </x:c>
      <x:c r="N63" s="66" t="str">
        <x:v>Tidak Ada</x:v>
      </x:c>
      <x:c r="O63" s="66" t="str">
        <x:v>Aceh</x:v>
      </x:c>
      <x:c r="P63" s="66" t="str">
        <x:v>Kota Banda Aceh</x:v>
      </x:c>
      <x:c r="Q63" s="66" t="str">
        <x:v>https://snpmb.id/snbp/daya-tampung-snbp</x:v>
      </x:c>
      <x:c r="R63" s="66" t="str">
        <x:v>https://sidatagrun-public-1076756628210.asia-southeast2.run.app/ptn_sn.php?ptn=111</x:v>
      </x:c>
    </x:row>
    <x:row r="64">
      <x:c r="A64" s="87" t="n">
        <x:v>1395</x:v>
      </x:c>
      <x:c r="B64" s="87" t="n">
        <x:v>111</x:v>
      </x:c>
      <x:c r="C64" s="66" t="str">
        <x:v>UNIVERSITAS SYIAH KUALA</x:v>
      </x:c>
      <x:c r="D64" s="66" t="str">
        <x:v>PTN Akademik</x:v>
      </x:c>
      <x:c r="E64" s="66" t="str">
        <x:v>11111059</x:v>
      </x:c>
      <x:c r="F64" s="66" t="str">
        <x:v>ILMU KOMUNIKASI</x:v>
      </x:c>
      <x:c r="G64" s="66" t="str">
        <x:v>Sarjana</x:v>
      </x:c>
      <x:c r="H64" s="87" t="n">
        <x:v>54</x:v>
      </x:c>
      <x:c r="I64" s="87" t="n">
        <x:v>531</x:v>
      </x:c>
      <x:c r="J64" s="68" t="n">
        <x:f>IFERROR(H64/I64,"")</x:f>
        <x:v>0.1016949152542373</x:v>
      </x:c>
      <x:c r="K64" s="69" t="n">
        <x:f>IFERROR(I64/H64,"")</x:f>
        <x:v>9.833333333333334</x:v>
      </x:c>
      <x:c r="L64" s="66" t="str">
        <x:f>IF(K64="","","1 : "&amp;TEXT(K64,"0.0"))</x:f>
        <x:v>1 : 9.8</x:v>
      </x:c>
      <x:c r="M64" s="66" t="str">
        <x:f>IF(J64="","Baru/Tanpa Data",IF(J64&lt;='Catatan &amp; Sumber'!$B$14,"Sangat Ketat",IF(J64&lt;='Catatan &amp; Sumber'!$B$15,"Ketat",IF(J64&lt;='Catatan &amp; Sumber'!$B$16,"Sedang","Relatif Longgar"))))</x:f>
        <x:v>Relatif Longgar</x:v>
      </x:c>
      <x:c r="N64" s="66" t="str">
        <x:v>Tidak Ada</x:v>
      </x:c>
      <x:c r="O64" s="66" t="str">
        <x:v>Aceh</x:v>
      </x:c>
      <x:c r="P64" s="66" t="str">
        <x:v>Kota Banda Aceh</x:v>
      </x:c>
      <x:c r="Q64" s="66" t="str">
        <x:v>https://snpmb.id/snbp/daya-tampung-snbp</x:v>
      </x:c>
      <x:c r="R64" s="66" t="str">
        <x:v>https://sidatagrun-public-1076756628210.asia-southeast2.run.app/ptn_sn.php?ptn=111</x:v>
      </x:c>
    </x:row>
    <x:row r="65">
      <x:c r="A65" s="87" t="n">
        <x:v>1802</x:v>
      </x:c>
      <x:c r="B65" s="87" t="n">
        <x:v>111</x:v>
      </x:c>
      <x:c r="C65" s="66" t="str">
        <x:v>UNIVERSITAS SYIAH KUALA</x:v>
      </x:c>
      <x:c r="D65" s="66" t="str">
        <x:v>PTN Akademik</x:v>
      </x:c>
      <x:c r="E65" s="66" t="str">
        <x:v>11111060</x:v>
      </x:c>
      <x:c r="F65" s="66" t="str">
        <x:v>PENDIDIKAN GURU PAUD</x:v>
      </x:c>
      <x:c r="G65" s="66" t="str">
        <x:v>Sarjana</x:v>
      </x:c>
      <x:c r="H65" s="87" t="n">
        <x:v>42</x:v>
      </x:c>
      <x:c r="I65" s="87" t="n">
        <x:v>317</x:v>
      </x:c>
      <x:c r="J65" s="68" t="n">
        <x:f>IFERROR(H65/I65,"")</x:f>
        <x:v>0.13249211356466878</x:v>
      </x:c>
      <x:c r="K65" s="69" t="n">
        <x:f>IFERROR(I65/H65,"")</x:f>
        <x:v>7.5476190476190474</x:v>
      </x:c>
      <x:c r="L65" s="66" t="str">
        <x:f>IF(K65="","","1 : "&amp;TEXT(K65,"0.0"))</x:f>
        <x:v>1 : 7.5</x:v>
      </x:c>
      <x:c r="M65" s="66" t="str">
        <x:f>IF(J65="","Baru/Tanpa Data",IF(J65&lt;='Catatan &amp; Sumber'!$B$14,"Sangat Ketat",IF(J65&lt;='Catatan &amp; Sumber'!$B$15,"Ketat",IF(J65&lt;='Catatan &amp; Sumber'!$B$16,"Sedang","Relatif Longgar"))))</x:f>
        <x:v>Relatif Longgar</x:v>
      </x:c>
      <x:c r="N65" s="66" t="str">
        <x:v>Tidak Ada</x:v>
      </x:c>
      <x:c r="O65" s="66" t="str">
        <x:v>Aceh</x:v>
      </x:c>
      <x:c r="P65" s="66" t="str">
        <x:v>Kota Banda Aceh</x:v>
      </x:c>
      <x:c r="Q65" s="66" t="str">
        <x:v>https://snpmb.id/snbp/daya-tampung-snbp</x:v>
      </x:c>
      <x:c r="R65" s="66" t="str">
        <x:v>https://sidatagrun-public-1076756628210.asia-southeast2.run.app/ptn_sn.php?ptn=111</x:v>
      </x:c>
    </x:row>
    <x:row r="66">
      <x:c r="A66" s="87" t="n">
        <x:v>2159</x:v>
      </x:c>
      <x:c r="B66" s="87" t="n">
        <x:v>111</x:v>
      </x:c>
      <x:c r="C66" s="66" t="str">
        <x:v>UNIVERSITAS SYIAH KUALA</x:v>
      </x:c>
      <x:c r="D66" s="66" t="str">
        <x:v>PTN Akademik</x:v>
      </x:c>
      <x:c r="E66" s="66" t="str">
        <x:v>11111061</x:v>
      </x:c>
      <x:c r="F66" s="66" t="str">
        <x:v>ILMU PEMERINTAHAN</x:v>
      </x:c>
      <x:c r="G66" s="66" t="str">
        <x:v>Sarjana</x:v>
      </x:c>
      <x:c r="H66" s="87" t="n">
        <x:v>54</x:v>
      </x:c>
      <x:c r="I66" s="87" t="n">
        <x:v>323</x:v>
      </x:c>
      <x:c r="J66" s="68" t="n">
        <x:f>IFERROR(H66/I66,"")</x:f>
        <x:v>0.16718266253869968</x:v>
      </x:c>
      <x:c r="K66" s="69" t="n">
        <x:f>IFERROR(I66/H66,"")</x:f>
        <x:v>5.981481481481482</x:v>
      </x:c>
      <x:c r="L66" s="66" t="str">
        <x:f>IF(K66="","","1 : "&amp;TEXT(K66,"0.0"))</x:f>
        <x:v>1 : 6.0</x:v>
      </x:c>
      <x:c r="M66" s="66" t="str">
        <x:f>IF(J66="","Baru/Tanpa Data",IF(J66&lt;='Catatan &amp; Sumber'!$B$14,"Sangat Ketat",IF(J66&lt;='Catatan &amp; Sumber'!$B$15,"Ketat",IF(J66&lt;='Catatan &amp; Sumber'!$B$16,"Sedang","Relatif Longgar"))))</x:f>
        <x:v>Relatif Longgar</x:v>
      </x:c>
      <x:c r="N66" s="66" t="str">
        <x:v>Tidak Ada</x:v>
      </x:c>
      <x:c r="O66" s="66" t="str">
        <x:v>Aceh</x:v>
      </x:c>
      <x:c r="P66" s="66" t="str">
        <x:v>Kota Banda Aceh</x:v>
      </x:c>
      <x:c r="Q66" s="66" t="str">
        <x:v>https://snpmb.id/snbp/daya-tampung-snbp</x:v>
      </x:c>
      <x:c r="R66" s="66" t="str">
        <x:v>https://sidatagrun-public-1076756628210.asia-southeast2.run.app/ptn_sn.php?ptn=111</x:v>
      </x:c>
    </x:row>
    <x:row r="67">
      <x:c r="A67" s="87" t="n">
        <x:v>2350</x:v>
      </x:c>
      <x:c r="B67" s="87" t="n">
        <x:v>111</x:v>
      </x:c>
      <x:c r="C67" s="66" t="str">
        <x:v>UNIVERSITAS SYIAH KUALA</x:v>
      </x:c>
      <x:c r="D67" s="66" t="str">
        <x:v>PTN Akademik</x:v>
      </x:c>
      <x:c r="E67" s="66" t="str">
        <x:v>11111062</x:v>
      </x:c>
      <x:c r="F67" s="66" t="str">
        <x:v>EKONOMI ISLAM</x:v>
      </x:c>
      <x:c r="G67" s="66" t="str">
        <x:v>Sarjana</x:v>
      </x:c>
      <x:c r="H67" s="87" t="n">
        <x:v>48</x:v>
      </x:c>
      <x:c r="I67" s="87" t="n">
        <x:v>253</x:v>
      </x:c>
      <x:c r="J67" s="68" t="n">
        <x:f>IFERROR(H67/I67,"")</x:f>
        <x:v>0.18972332015810275</x:v>
      </x:c>
      <x:c r="K67" s="69" t="n">
        <x:f>IFERROR(I67/H67,"")</x:f>
        <x:v>5.270833333333333</x:v>
      </x:c>
      <x:c r="L67" s="66" t="str">
        <x:f>IF(K67="","","1 : "&amp;TEXT(K67,"0.0"))</x:f>
        <x:v>1 : 5.3</x:v>
      </x:c>
      <x:c r="M67" s="66" t="str">
        <x:f>IF(J67="","Baru/Tanpa Data",IF(J67&lt;='Catatan &amp; Sumber'!$B$14,"Sangat Ketat",IF(J67&lt;='Catatan &amp; Sumber'!$B$15,"Ketat",IF(J67&lt;='Catatan &amp; Sumber'!$B$16,"Sedang","Relatif Longgar"))))</x:f>
        <x:v>Relatif Longgar</x:v>
      </x:c>
      <x:c r="N67" s="66" t="str">
        <x:v>Tidak Ada</x:v>
      </x:c>
      <x:c r="O67" s="66" t="str">
        <x:v>Aceh</x:v>
      </x:c>
      <x:c r="P67" s="66" t="str">
        <x:v>Kota Banda Aceh</x:v>
      </x:c>
      <x:c r="Q67" s="66" t="str">
        <x:v>https://snpmb.id/snbp/daya-tampung-snbp</x:v>
      </x:c>
      <x:c r="R67" s="66" t="str">
        <x:v>https://sidatagrun-public-1076756628210.asia-southeast2.run.app/ptn_sn.php?ptn=111</x:v>
      </x:c>
    </x:row>
    <x:row r="68">
      <x:c r="A68" s="87" t="n">
        <x:v>4349</x:v>
      </x:c>
      <x:c r="B68" s="87" t="n">
        <x:v>111</x:v>
      </x:c>
      <x:c r="C68" s="66" t="str">
        <x:v>UNIVERSITAS SYIAH KUALA</x:v>
      </x:c>
      <x:c r="D68" s="66" t="str">
        <x:v>PTN Akademik</x:v>
      </x:c>
      <x:c r="E68" s="66" t="str">
        <x:v>11111063</x:v>
      </x:c>
      <x:c r="F68" s="66" t="str">
        <x:v>MANAJEMEN (PSDKU GAYO LUES)</x:v>
      </x:c>
      <x:c r="G68" s="66" t="str">
        <x:v>Sarjana</x:v>
      </x:c>
      <x:c r="H68" s="87" t="n">
        <x:v>24</x:v>
      </x:c>
      <x:c r="I68" s="87" t="n">
        <x:v>23</x:v>
      </x:c>
      <x:c r="J68" s="68" t="n">
        <x:f>IFERROR(H68/I68,"")</x:f>
        <x:v>1.0434782608695652</x:v>
      </x:c>
      <x:c r="K68" s="69" t="n">
        <x:f>IFERROR(I68/H68,"")</x:f>
        <x:v>0.9583333333333334</x:v>
      </x:c>
      <x:c r="L68" s="66" t="str">
        <x:f>IF(K68="","","1 : "&amp;TEXT(K68,"0.0"))</x:f>
        <x:v>1 : 1.0</x:v>
      </x:c>
      <x:c r="M68" s="66" t="str">
        <x:f>IF(J68="","Baru/Tanpa Data",IF(J68&lt;='Catatan &amp; Sumber'!$B$14,"Sangat Ketat",IF(J68&lt;='Catatan &amp; Sumber'!$B$15,"Ketat",IF(J68&lt;='Catatan &amp; Sumber'!$B$16,"Sedang","Relatif Longgar"))))</x:f>
        <x:v>Relatif Longgar</x:v>
      </x:c>
      <x:c r="N68" s="66" t="str">
        <x:v>Tidak Ada</x:v>
      </x:c>
      <x:c r="O68" s="66" t="str">
        <x:v>Aceh</x:v>
      </x:c>
      <x:c r="P68" s="66" t="str">
        <x:v>Kota Banda Aceh</x:v>
      </x:c>
      <x:c r="Q68" s="66" t="str">
        <x:v>https://snpmb.id/snbp/daya-tampung-snbp</x:v>
      </x:c>
      <x:c r="R68" s="66" t="str">
        <x:v>https://sidatagrun-public-1076756628210.asia-southeast2.run.app/ptn_sn.php?ptn=111</x:v>
      </x:c>
    </x:row>
    <x:row r="69">
      <x:c r="A69" s="87" t="n">
        <x:v>3223</x:v>
      </x:c>
      <x:c r="B69" s="87" t="n">
        <x:v>111</x:v>
      </x:c>
      <x:c r="C69" s="66" t="str">
        <x:v>UNIVERSITAS SYIAH KUALA</x:v>
      </x:c>
      <x:c r="D69" s="66" t="str">
        <x:v>PTN Akademik</x:v>
      </x:c>
      <x:c r="E69" s="66" t="str">
        <x:v>11111078</x:v>
      </x:c>
      <x:c r="F69" s="66" t="str">
        <x:v>TEKNOLOGI INDUSTRI HASIL PERIKANAN</x:v>
      </x:c>
      <x:c r="G69" s="66" t="str">
        <x:v>Sarjana</x:v>
      </x:c>
      <x:c r="H69" s="87" t="n">
        <x:v>15</x:v>
      </x:c>
      <x:c r="I69" s="87" t="n">
        <x:v>43</x:v>
      </x:c>
      <x:c r="J69" s="68" t="n">
        <x:f>IFERROR(H69/I69,"")</x:f>
        <x:v>0.3488372093023256</x:v>
      </x:c>
      <x:c r="K69" s="69" t="n">
        <x:f>IFERROR(I69/H69,"")</x:f>
        <x:v>2.8666666666666667</x:v>
      </x:c>
      <x:c r="L69" s="66" t="str">
        <x:f>IF(K69="","","1 : "&amp;TEXT(K69,"0.0"))</x:f>
        <x:v>1 : 2.9</x:v>
      </x:c>
      <x:c r="M69" s="66" t="str">
        <x:f>IF(J69="","Baru/Tanpa Data",IF(J69&lt;='Catatan &amp; Sumber'!$B$14,"Sangat Ketat",IF(J69&lt;='Catatan &amp; Sumber'!$B$15,"Ketat",IF(J69&lt;='Catatan &amp; Sumber'!$B$16,"Sedang","Relatif Longgar"))))</x:f>
        <x:v>Relatif Longgar</x:v>
      </x:c>
      <x:c r="N69" s="66" t="str">
        <x:v>Tidak Ada</x:v>
      </x:c>
      <x:c r="O69" s="66" t="str">
        <x:v>Aceh</x:v>
      </x:c>
      <x:c r="P69" s="66" t="str">
        <x:v>Kota Banda Aceh</x:v>
      </x:c>
      <x:c r="Q69" s="66" t="str">
        <x:v>https://snpmb.id/snbp/daya-tampung-snbp</x:v>
      </x:c>
      <x:c r="R69" s="66" t="str">
        <x:v>https://sidatagrun-public-1076756628210.asia-southeast2.run.app/ptn_sn.php?ptn=111</x:v>
      </x:c>
    </x:row>
    <x:row r="70">
      <x:c r="A70" s="87"/>
      <x:c r="B70" s="87" t="n">
        <x:v>111</x:v>
      </x:c>
      <x:c r="C70" s="66" t="str">
        <x:v>UNIVERSITAS SYIAH KUALA</x:v>
      </x:c>
      <x:c r="D70" s="66" t="str">
        <x:v>PTN Akademik</x:v>
      </x:c>
      <x:c r="E70" s="66" t="str">
        <x:v>11111079</x:v>
      </x:c>
      <x:c r="F70" s="66" t="str">
        <x:v>BISNIS DIGITAL</x:v>
      </x:c>
      <x:c r="G70" s="66" t="str">
        <x:v>Sarjana</x:v>
      </x:c>
      <x:c r="H70" s="87" t="n">
        <x:v>24</x:v>
      </x:c>
      <x:c r="I70" s="87"/>
      <x:c r="J70" s="68" t="str">
        <x:f>IFERROR(H70/I70,"")</x:f>
      </x:c>
      <x:c r="K70" s="69" t="n">
        <x:f>IFERROR(I70/H70,"")</x:f>
        <x:v>0</x:v>
      </x:c>
      <x:c r="L70" s="66" t="str">
        <x:f>IF(K70="","","1 : "&amp;TEXT(K70,"0.0"))</x:f>
      </x:c>
      <x:c r="M70" s="66" t="str">
        <x:f>IF(J70="","Baru/Tanpa Data",IF(J70&lt;='Catatan &amp; Sumber'!$B$14,"Sangat Ketat",IF(J70&lt;='Catatan &amp; Sumber'!$B$15,"Ketat",IF(J70&lt;='Catatan &amp; Sumber'!$B$16,"Sedang","Relatif Longgar"))))</x:f>
        <x:v>Baru/Tanpa Data</x:v>
      </x:c>
      <x:c r="N70" s="66" t="str">
        <x:v>Tidak Ada</x:v>
      </x:c>
      <x:c r="O70" s="66" t="str">
        <x:v>Aceh</x:v>
      </x:c>
      <x:c r="P70" s="66" t="str">
        <x:v>Kota Banda Aceh</x:v>
      </x:c>
      <x:c r="Q70" s="66" t="str">
        <x:v>https://snpmb.id/snbp/daya-tampung-snbp</x:v>
      </x:c>
      <x:c r="R70" s="66" t="str">
        <x:v>https://sidatagrun-public-1076756628210.asia-southeast2.run.app/ptn_sn.php?ptn=111</x:v>
      </x:c>
    </x:row>
    <x:row r="71">
      <x:c r="A71" s="87"/>
      <x:c r="B71" s="87" t="n">
        <x:v>111</x:v>
      </x:c>
      <x:c r="C71" s="66" t="str">
        <x:v>UNIVERSITAS SYIAH KUALA</x:v>
      </x:c>
      <x:c r="D71" s="66" t="str">
        <x:v>PTN Akademik</x:v>
      </x:c>
      <x:c r="E71" s="66" t="str">
        <x:v>11111080</x:v>
      </x:c>
      <x:c r="F71" s="66" t="str">
        <x:v>TEKNIK SUMBER DAYA AIR</x:v>
      </x:c>
      <x:c r="G71" s="66" t="str">
        <x:v>Sarjana</x:v>
      </x:c>
      <x:c r="H71" s="87" t="n">
        <x:v>18</x:v>
      </x:c>
      <x:c r="I71" s="87"/>
      <x:c r="J71" s="68" t="str">
        <x:f>IFERROR(H71/I71,"")</x:f>
      </x:c>
      <x:c r="K71" s="69" t="n">
        <x:f>IFERROR(I71/H71,"")</x:f>
        <x:v>0</x:v>
      </x:c>
      <x:c r="L71" s="66" t="str">
        <x:f>IF(K71="","","1 : "&amp;TEXT(K71,"0.0"))</x:f>
      </x:c>
      <x:c r="M71" s="66" t="str">
        <x:f>IF(J71="","Baru/Tanpa Data",IF(J71&lt;='Catatan &amp; Sumber'!$B$14,"Sangat Ketat",IF(J71&lt;='Catatan &amp; Sumber'!$B$15,"Ketat",IF(J71&lt;='Catatan &amp; Sumber'!$B$16,"Sedang","Relatif Longgar"))))</x:f>
        <x:v>Baru/Tanpa Data</x:v>
      </x:c>
      <x:c r="N71" s="66" t="str">
        <x:v>Tidak Ada</x:v>
      </x:c>
      <x:c r="O71" s="66" t="str">
        <x:v>Aceh</x:v>
      </x:c>
      <x:c r="P71" s="66" t="str">
        <x:v>Kota Banda Aceh</x:v>
      </x:c>
      <x:c r="Q71" s="66" t="str">
        <x:v>https://snpmb.id/snbp/daya-tampung-snbp</x:v>
      </x:c>
      <x:c r="R71" s="66" t="str">
        <x:v>https://sidatagrun-public-1076756628210.asia-southeast2.run.app/ptn_sn.php?ptn=111</x:v>
      </x:c>
    </x:row>
    <x:row r="72">
      <x:c r="A72" s="87"/>
      <x:c r="B72" s="87" t="n">
        <x:v>111</x:v>
      </x:c>
      <x:c r="C72" s="66" t="str">
        <x:v>UNIVERSITAS SYIAH KUALA</x:v>
      </x:c>
      <x:c r="D72" s="66" t="str">
        <x:v>PTN Akademik</x:v>
      </x:c>
      <x:c r="E72" s="66" t="str">
        <x:v>11111081</x:v>
      </x:c>
      <x:c r="F72" s="66" t="str">
        <x:v>TEKNIK PERMINYAKAN</x:v>
      </x:c>
      <x:c r="G72" s="66" t="str">
        <x:v>Sarjana</x:v>
      </x:c>
      <x:c r="H72" s="87" t="n">
        <x:v>18</x:v>
      </x:c>
      <x:c r="I72" s="87"/>
      <x:c r="J72" s="68" t="str">
        <x:f>IFERROR(H72/I72,"")</x:f>
      </x:c>
      <x:c r="K72" s="69" t="n">
        <x:f>IFERROR(I72/H72,"")</x:f>
        <x:v>0</x:v>
      </x:c>
      <x:c r="L72" s="66" t="str">
        <x:f>IF(K72="","","1 : "&amp;TEXT(K72,"0.0"))</x:f>
      </x:c>
      <x:c r="M72" s="66" t="str">
        <x:f>IF(J72="","Baru/Tanpa Data",IF(J72&lt;='Catatan &amp; Sumber'!$B$14,"Sangat Ketat",IF(J72&lt;='Catatan &amp; Sumber'!$B$15,"Ketat",IF(J72&lt;='Catatan &amp; Sumber'!$B$16,"Sedang","Relatif Longgar"))))</x:f>
        <x:v>Baru/Tanpa Data</x:v>
      </x:c>
      <x:c r="N72" s="66" t="str">
        <x:v>Tidak Ada</x:v>
      </x:c>
      <x:c r="O72" s="66" t="str">
        <x:v>Aceh</x:v>
      </x:c>
      <x:c r="P72" s="66" t="str">
        <x:v>Kota Banda Aceh</x:v>
      </x:c>
      <x:c r="Q72" s="66" t="str">
        <x:v>https://snpmb.id/snbp/daya-tampung-snbp</x:v>
      </x:c>
      <x:c r="R72" s="66" t="str">
        <x:v>https://sidatagrun-public-1076756628210.asia-southeast2.run.app/ptn_sn.php?ptn=111</x:v>
      </x:c>
    </x:row>
    <x:row r="73">
      <x:c r="A73" s="87"/>
      <x:c r="B73" s="87" t="n">
        <x:v>111</x:v>
      </x:c>
      <x:c r="C73" s="66" t="str">
        <x:v>UNIVERSITAS SYIAH KUALA</x:v>
      </x:c>
      <x:c r="D73" s="66" t="str">
        <x:v>PTN Akademik</x:v>
      </x:c>
      <x:c r="E73" s="66" t="str">
        <x:v>11111082</x:v>
      </x:c>
      <x:c r="F73" s="66" t="str">
        <x:v>TEKNIK LINGKUNGAN</x:v>
      </x:c>
      <x:c r="G73" s="66" t="str">
        <x:v>Sarjana</x:v>
      </x:c>
      <x:c r="H73" s="87" t="n">
        <x:v>18</x:v>
      </x:c>
      <x:c r="I73" s="87"/>
      <x:c r="J73" s="68" t="str">
        <x:f>IFERROR(H73/I73,"")</x:f>
      </x:c>
      <x:c r="K73" s="69" t="n">
        <x:f>IFERROR(I73/H73,"")</x:f>
        <x:v>0</x:v>
      </x:c>
      <x:c r="L73" s="66" t="str">
        <x:f>IF(K73="","","1 : "&amp;TEXT(K73,"0.0"))</x:f>
      </x:c>
      <x:c r="M73" s="66" t="str">
        <x:f>IF(J73="","Baru/Tanpa Data",IF(J73&lt;='Catatan &amp; Sumber'!$B$14,"Sangat Ketat",IF(J73&lt;='Catatan &amp; Sumber'!$B$15,"Ketat",IF(J73&lt;='Catatan &amp; Sumber'!$B$16,"Sedang","Relatif Longgar"))))</x:f>
        <x:v>Baru/Tanpa Data</x:v>
      </x:c>
      <x:c r="N73" s="66" t="str">
        <x:v>Tidak Ada</x:v>
      </x:c>
      <x:c r="O73" s="66" t="str">
        <x:v>Aceh</x:v>
      </x:c>
      <x:c r="P73" s="66" t="str">
        <x:v>Kota Banda Aceh</x:v>
      </x:c>
      <x:c r="Q73" s="66" t="str">
        <x:v>https://snpmb.id/snbp/daya-tampung-snbp</x:v>
      </x:c>
      <x:c r="R73" s="66" t="str">
        <x:v>https://sidatagrun-public-1076756628210.asia-southeast2.run.app/ptn_sn.php?ptn=111</x:v>
      </x:c>
    </x:row>
    <x:row r="74">
      <x:c r="A74" s="87" t="n">
        <x:v>2906</x:v>
      </x:c>
      <x:c r="B74" s="87" t="n">
        <x:v>111</x:v>
      </x:c>
      <x:c r="C74" s="66" t="str">
        <x:v>UNIVERSITAS SYIAH KUALA</x:v>
      </x:c>
      <x:c r="D74" s="66" t="str">
        <x:v>PTN Akademik</x:v>
      </x:c>
      <x:c r="E74" s="66" t="str">
        <x:v>11112065</x:v>
      </x:c>
      <x:c r="F74" s="66" t="str">
        <x:v>AKUNTANSI PERPAJAKAN</x:v>
      </x:c>
      <x:c r="G74" s="66" t="str">
        <x:v>Sarjana Terapan</x:v>
      </x:c>
      <x:c r="H74" s="87" t="n">
        <x:v>24</x:v>
      </x:c>
      <x:c r="I74" s="87" t="n">
        <x:v>87</x:v>
      </x:c>
      <x:c r="J74" s="68" t="n">
        <x:f>IFERROR(H74/I74,"")</x:f>
        <x:v>0.27586206896551724</x:v>
      </x:c>
      <x:c r="K74" s="69" t="n">
        <x:f>IFERROR(I74/H74,"")</x:f>
        <x:v>3.625</x:v>
      </x:c>
      <x:c r="L74" s="66" t="str">
        <x:f>IF(K74="","","1 : "&amp;TEXT(K74,"0.0"))</x:f>
        <x:v>1 : 3.6</x:v>
      </x:c>
      <x:c r="M74" s="66" t="str">
        <x:f>IF(J74="","Baru/Tanpa Data",IF(J74&lt;='Catatan &amp; Sumber'!$B$14,"Sangat Ketat",IF(J74&lt;='Catatan &amp; Sumber'!$B$15,"Ketat",IF(J74&lt;='Catatan &amp; Sumber'!$B$16,"Sedang","Relatif Longgar"))))</x:f>
        <x:v>Relatif Longgar</x:v>
      </x:c>
      <x:c r="N74" s="66" t="str">
        <x:v>Tidak Ada</x:v>
      </x:c>
      <x:c r="O74" s="66" t="str">
        <x:v>Aceh</x:v>
      </x:c>
      <x:c r="P74" s="66" t="str">
        <x:v>Kota Banda Aceh</x:v>
      </x:c>
      <x:c r="Q74" s="66" t="str">
        <x:v>https://snpmb.id/snbp/daya-tampung-snbp</x:v>
      </x:c>
      <x:c r="R74" s="66" t="str">
        <x:v>https://sidatagrun-public-1076756628210.asia-southeast2.run.app/ptn_sn.php?ptn=111</x:v>
      </x:c>
    </x:row>
    <x:row r="75">
      <x:c r="A75" s="87" t="n">
        <x:v>3932</x:v>
      </x:c>
      <x:c r="B75" s="87" t="n">
        <x:v>111</x:v>
      </x:c>
      <x:c r="C75" s="66" t="str">
        <x:v>UNIVERSITAS SYIAH KUALA</x:v>
      </x:c>
      <x:c r="D75" s="66" t="str">
        <x:v>PTN Akademik</x:v>
      </x:c>
      <x:c r="E75" s="66" t="str">
        <x:v>11113064</x:v>
      </x:c>
      <x:c r="F75" s="66" t="str">
        <x:v>KESEHATAN HEWAN</x:v>
      </x:c>
      <x:c r="G75" s="66" t="str">
        <x:v>Diploma Tiga</x:v>
      </x:c>
      <x:c r="H75" s="87" t="n">
        <x:v>9</x:v>
      </x:c>
      <x:c r="I75" s="87" t="n">
        <x:v>14</x:v>
      </x:c>
      <x:c r="J75" s="68" t="n">
        <x:f>IFERROR(H75/I75,"")</x:f>
        <x:v>0.6428571428571429</x:v>
      </x:c>
      <x:c r="K75" s="69" t="n">
        <x:f>IFERROR(I75/H75,"")</x:f>
        <x:v>1.5555555555555556</x:v>
      </x:c>
      <x:c r="L75" s="66" t="str">
        <x:f>IF(K75="","","1 : "&amp;TEXT(K75,"0.0"))</x:f>
        <x:v>1 : 1.6</x:v>
      </x:c>
      <x:c r="M75" s="66" t="str">
        <x:f>IF(J75="","Baru/Tanpa Data",IF(J75&lt;='Catatan &amp; Sumber'!$B$14,"Sangat Ketat",IF(J75&lt;='Catatan &amp; Sumber'!$B$15,"Ketat",IF(J75&lt;='Catatan &amp; Sumber'!$B$16,"Sedang","Relatif Longgar"))))</x:f>
        <x:v>Relatif Longgar</x:v>
      </x:c>
      <x:c r="N75" s="66" t="str">
        <x:v>Tidak Ada</x:v>
      </x:c>
      <x:c r="O75" s="66" t="str">
        <x:v>Aceh</x:v>
      </x:c>
      <x:c r="P75" s="66" t="str">
        <x:v>Kota Banda Aceh</x:v>
      </x:c>
      <x:c r="Q75" s="66" t="str">
        <x:v>https://snpmb.id/snbp/daya-tampung-snbp</x:v>
      </x:c>
      <x:c r="R75" s="66" t="str">
        <x:v>https://sidatagrun-public-1076756628210.asia-southeast2.run.app/ptn_sn.php?ptn=111</x:v>
      </x:c>
    </x:row>
    <x:row r="76">
      <x:c r="A76" s="87" t="n">
        <x:v>4786</x:v>
      </x:c>
      <x:c r="B76" s="87" t="n">
        <x:v>111</x:v>
      </x:c>
      <x:c r="C76" s="66" t="str">
        <x:v>UNIVERSITAS SYIAH KUALA</x:v>
      </x:c>
      <x:c r="D76" s="66" t="str">
        <x:v>PTN Akademik</x:v>
      </x:c>
      <x:c r="E76" s="66" t="str">
        <x:v>11113066</x:v>
      </x:c>
      <x:c r="F76" s="66" t="str">
        <x:v>MANAJEMEN AGRIBISNIS</x:v>
      </x:c>
      <x:c r="G76" s="66" t="str">
        <x:v>Diploma Tiga</x:v>
      </x:c>
      <x:c r="H76" s="87" t="n">
        <x:v>30</x:v>
      </x:c>
      <x:c r="I76" s="87" t="n">
        <x:v>9</x:v>
      </x:c>
      <x:c r="J76" s="68" t="n">
        <x:f>IFERROR(H76/I76,"")</x:f>
        <x:v>3.3333333333333335</x:v>
      </x:c>
      <x:c r="K76" s="69" t="n">
        <x:f>IFERROR(I76/H76,"")</x:f>
        <x:v>0.3</x:v>
      </x:c>
      <x:c r="L76" s="66" t="str">
        <x:f>IF(K76="","","1 : "&amp;TEXT(K76,"0.0"))</x:f>
        <x:v>1 : 0.3</x:v>
      </x:c>
      <x:c r="M76" s="66" t="str">
        <x:f>IF(J76="","Baru/Tanpa Data",IF(J76&lt;='Catatan &amp; Sumber'!$B$14,"Sangat Ketat",IF(J76&lt;='Catatan &amp; Sumber'!$B$15,"Ketat",IF(J76&lt;='Catatan &amp; Sumber'!$B$16,"Sedang","Relatif Longgar"))))</x:f>
        <x:v>Relatif Longgar</x:v>
      </x:c>
      <x:c r="N76" s="66" t="str">
        <x:v>Tidak Ada</x:v>
      </x:c>
      <x:c r="O76" s="66" t="str">
        <x:v>Aceh</x:v>
      </x:c>
      <x:c r="P76" s="66" t="str">
        <x:v>Kota Banda Aceh</x:v>
      </x:c>
      <x:c r="Q76" s="66" t="str">
        <x:v>https://snpmb.id/snbp/daya-tampung-snbp</x:v>
      </x:c>
      <x:c r="R76" s="66" t="str">
        <x:v>https://sidatagrun-public-1076756628210.asia-southeast2.run.app/ptn_sn.php?ptn=111</x:v>
      </x:c>
    </x:row>
    <x:row r="77">
      <x:c r="A77" s="87" t="n">
        <x:v>3958</x:v>
      </x:c>
      <x:c r="B77" s="87" t="n">
        <x:v>111</x:v>
      </x:c>
      <x:c r="C77" s="66" t="str">
        <x:v>UNIVERSITAS SYIAH KUALA</x:v>
      </x:c>
      <x:c r="D77" s="66" t="str">
        <x:v>PTN Akademik</x:v>
      </x:c>
      <x:c r="E77" s="66" t="str">
        <x:v>11113067</x:v>
      </x:c>
      <x:c r="F77" s="66" t="str">
        <x:v>TEKNIK LISTRIK</x:v>
      </x:c>
      <x:c r="G77" s="66" t="str">
        <x:v>Diploma Tiga</x:v>
      </x:c>
      <x:c r="H77" s="87" t="n">
        <x:v>12</x:v>
      </x:c>
      <x:c r="I77" s="87" t="n">
        <x:v>18</x:v>
      </x:c>
      <x:c r="J77" s="68" t="n">
        <x:f>IFERROR(H77/I77,"")</x:f>
        <x:v>0.6666666666666666</x:v>
      </x:c>
      <x:c r="K77" s="69" t="n">
        <x:f>IFERROR(I77/H77,"")</x:f>
        <x:v>1.5</x:v>
      </x:c>
      <x:c r="L77" s="66" t="str">
        <x:f>IF(K77="","","1 : "&amp;TEXT(K77,"0.0"))</x:f>
        <x:v>1 : 1.5</x:v>
      </x:c>
      <x:c r="M77" s="66" t="str">
        <x:f>IF(J77="","Baru/Tanpa Data",IF(J77&lt;='Catatan &amp; Sumber'!$B$14,"Sangat Ketat",IF(J77&lt;='Catatan &amp; Sumber'!$B$15,"Ketat",IF(J77&lt;='Catatan &amp; Sumber'!$B$16,"Sedang","Relatif Longgar"))))</x:f>
        <x:v>Relatif Longgar</x:v>
      </x:c>
      <x:c r="N77" s="66" t="str">
        <x:v>Tidak Ada</x:v>
      </x:c>
      <x:c r="O77" s="66" t="str">
        <x:v>Aceh</x:v>
      </x:c>
      <x:c r="P77" s="66" t="str">
        <x:v>Kota Banda Aceh</x:v>
      </x:c>
      <x:c r="Q77" s="66" t="str">
        <x:v>https://snpmb.id/snbp/daya-tampung-snbp</x:v>
      </x:c>
      <x:c r="R77" s="66" t="str">
        <x:v>https://sidatagrun-public-1076756628210.asia-southeast2.run.app/ptn_sn.php?ptn=111</x:v>
      </x:c>
    </x:row>
    <x:row r="78">
      <x:c r="A78" s="87" t="n">
        <x:v>4805</x:v>
      </x:c>
      <x:c r="B78" s="87" t="n">
        <x:v>111</x:v>
      </x:c>
      <x:c r="C78" s="66" t="str">
        <x:v>UNIVERSITAS SYIAH KUALA</x:v>
      </x:c>
      <x:c r="D78" s="66" t="str">
        <x:v>PTN Akademik</x:v>
      </x:c>
      <x:c r="E78" s="66" t="str">
        <x:v>11113068</x:v>
      </x:c>
      <x:c r="F78" s="66" t="str">
        <x:v>BUDIDAYA PETERNAKAN</x:v>
      </x:c>
      <x:c r="G78" s="66" t="str">
        <x:v>Diploma Tiga</x:v>
      </x:c>
      <x:c r="H78" s="87" t="n">
        <x:v>18</x:v>
      </x:c>
      <x:c r="I78" s="87" t="n">
        <x:v>5</x:v>
      </x:c>
      <x:c r="J78" s="68" t="n">
        <x:f>IFERROR(H78/I78,"")</x:f>
        <x:v>3.6</x:v>
      </x:c>
      <x:c r="K78" s="69" t="n">
        <x:f>IFERROR(I78/H78,"")</x:f>
        <x:v>0.2777777777777778</x:v>
      </x:c>
      <x:c r="L78" s="66" t="str">
        <x:f>IF(K78="","","1 : "&amp;TEXT(K78,"0.0"))</x:f>
        <x:v>1 : 0.3</x:v>
      </x:c>
      <x:c r="M78" s="66" t="str">
        <x:f>IF(J78="","Baru/Tanpa Data",IF(J78&lt;='Catatan &amp; Sumber'!$B$14,"Sangat Ketat",IF(J78&lt;='Catatan &amp; Sumber'!$B$15,"Ketat",IF(J78&lt;='Catatan &amp; Sumber'!$B$16,"Sedang","Relatif Longgar"))))</x:f>
        <x:v>Relatif Longgar</x:v>
      </x:c>
      <x:c r="N78" s="66" t="str">
        <x:v>Tidak Ada</x:v>
      </x:c>
      <x:c r="O78" s="66" t="str">
        <x:v>Aceh</x:v>
      </x:c>
      <x:c r="P78" s="66" t="str">
        <x:v>Kota Banda Aceh</x:v>
      </x:c>
      <x:c r="Q78" s="66" t="str">
        <x:v>https://snpmb.id/snbp/daya-tampung-snbp</x:v>
      </x:c>
      <x:c r="R78" s="66" t="str">
        <x:v>https://sidatagrun-public-1076756628210.asia-southeast2.run.app/ptn_sn.php?ptn=111</x:v>
      </x:c>
    </x:row>
    <x:row r="79">
      <x:c r="A79" s="87" t="n">
        <x:v>4135</x:v>
      </x:c>
      <x:c r="B79" s="87" t="n">
        <x:v>111</x:v>
      </x:c>
      <x:c r="C79" s="66" t="str">
        <x:v>UNIVERSITAS SYIAH KUALA</x:v>
      </x:c>
      <x:c r="D79" s="66" t="str">
        <x:v>PTN Akademik</x:v>
      </x:c>
      <x:c r="E79" s="66" t="str">
        <x:v>11113069</x:v>
      </x:c>
      <x:c r="F79" s="66" t="str">
        <x:v>TEKNIK MESIN</x:v>
      </x:c>
      <x:c r="G79" s="66" t="str">
        <x:v>Diploma Tiga</x:v>
      </x:c>
      <x:c r="H79" s="87" t="n">
        <x:v>12</x:v>
      </x:c>
      <x:c r="I79" s="87" t="n">
        <x:v>15</x:v>
      </x:c>
      <x:c r="J79" s="68" t="n">
        <x:f>IFERROR(H79/I79,"")</x:f>
        <x:v>0.8</x:v>
      </x:c>
      <x:c r="K79" s="69" t="n">
        <x:f>IFERROR(I79/H79,"")</x:f>
        <x:v>1.25</x:v>
      </x:c>
      <x:c r="L79" s="66" t="str">
        <x:f>IF(K79="","","1 : "&amp;TEXT(K79,"0.0"))</x:f>
        <x:v>1 : 1.3</x:v>
      </x:c>
      <x:c r="M79" s="66" t="str">
        <x:f>IF(J79="","Baru/Tanpa Data",IF(J79&lt;='Catatan &amp; Sumber'!$B$14,"Sangat Ketat",IF(J79&lt;='Catatan &amp; Sumber'!$B$15,"Ketat",IF(J79&lt;='Catatan &amp; Sumber'!$B$16,"Sedang","Relatif Longgar"))))</x:f>
        <x:v>Relatif Longgar</x:v>
      </x:c>
      <x:c r="N79" s="66" t="str">
        <x:v>Tidak Ada</x:v>
      </x:c>
      <x:c r="O79" s="66" t="str">
        <x:v>Aceh</x:v>
      </x:c>
      <x:c r="P79" s="66" t="str">
        <x:v>Kota Banda Aceh</x:v>
      </x:c>
      <x:c r="Q79" s="66" t="str">
        <x:v>https://snpmb.id/snbp/daya-tampung-snbp</x:v>
      </x:c>
      <x:c r="R79" s="66" t="str">
        <x:v>https://sidatagrun-public-1076756628210.asia-southeast2.run.app/ptn_sn.php?ptn=111</x:v>
      </x:c>
    </x:row>
    <x:row r="80">
      <x:c r="A80" s="87" t="n">
        <x:v>4693</x:v>
      </x:c>
      <x:c r="B80" s="87" t="n">
        <x:v>111</x:v>
      </x:c>
      <x:c r="C80" s="66" t="str">
        <x:v>UNIVERSITAS SYIAH KUALA</x:v>
      </x:c>
      <x:c r="D80" s="66" t="str">
        <x:v>PTN Akademik</x:v>
      </x:c>
      <x:c r="E80" s="66" t="str">
        <x:v>11113071</x:v>
      </x:c>
      <x:c r="F80" s="66" t="str">
        <x:v>TEKNIK SIPIL</x:v>
      </x:c>
      <x:c r="G80" s="66" t="str">
        <x:v>Diploma Tiga</x:v>
      </x:c>
      <x:c r="H80" s="87" t="n">
        <x:v>24</x:v>
      </x:c>
      <x:c r="I80" s="87" t="n">
        <x:v>11</x:v>
      </x:c>
      <x:c r="J80" s="68" t="n">
        <x:f>IFERROR(H80/I80,"")</x:f>
        <x:v>2.1818181818181817</x:v>
      </x:c>
      <x:c r="K80" s="69" t="n">
        <x:f>IFERROR(I80/H80,"")</x:f>
        <x:v>0.4583333333333333</x:v>
      </x:c>
      <x:c r="L80" s="66" t="str">
        <x:f>IF(K80="","","1 : "&amp;TEXT(K80,"0.0"))</x:f>
        <x:v>1 : 0.5</x:v>
      </x:c>
      <x:c r="M80" s="66" t="str">
        <x:f>IF(J80="","Baru/Tanpa Data",IF(J80&lt;='Catatan &amp; Sumber'!$B$14,"Sangat Ketat",IF(J80&lt;='Catatan &amp; Sumber'!$B$15,"Ketat",IF(J80&lt;='Catatan &amp; Sumber'!$B$16,"Sedang","Relatif Longgar"))))</x:f>
        <x:v>Relatif Longgar</x:v>
      </x:c>
      <x:c r="N80" s="66" t="str">
        <x:v>Tidak Ada</x:v>
      </x:c>
      <x:c r="O80" s="66" t="str">
        <x:v>Aceh</x:v>
      </x:c>
      <x:c r="P80" s="66" t="str">
        <x:v>Kota Banda Aceh</x:v>
      </x:c>
      <x:c r="Q80" s="66" t="str">
        <x:v>https://snpmb.id/snbp/daya-tampung-snbp</x:v>
      </x:c>
      <x:c r="R80" s="66" t="str">
        <x:v>https://sidatagrun-public-1076756628210.asia-southeast2.run.app/ptn_sn.php?ptn=111</x:v>
      </x:c>
    </x:row>
    <x:row r="81">
      <x:c r="A81" s="87" t="n">
        <x:v>3909</x:v>
      </x:c>
      <x:c r="B81" s="87" t="n">
        <x:v>111</x:v>
      </x:c>
      <x:c r="C81" s="66" t="str">
        <x:v>UNIVERSITAS SYIAH KUALA</x:v>
      </x:c>
      <x:c r="D81" s="66" t="str">
        <x:v>PTN Akademik</x:v>
      </x:c>
      <x:c r="E81" s="66" t="str">
        <x:v>11113072</x:v>
      </x:c>
      <x:c r="F81" s="66" t="str">
        <x:v>SEKRETARI</x:v>
      </x:c>
      <x:c r="G81" s="66" t="str">
        <x:v>Diploma Tiga</x:v>
      </x:c>
      <x:c r="H81" s="87" t="n">
        <x:v>12</x:v>
      </x:c>
      <x:c r="I81" s="87" t="n">
        <x:v>19</x:v>
      </x:c>
      <x:c r="J81" s="68" t="n">
        <x:f>IFERROR(H81/I81,"")</x:f>
        <x:v>0.631578947368421</x:v>
      </x:c>
      <x:c r="K81" s="69" t="n">
        <x:f>IFERROR(I81/H81,"")</x:f>
        <x:v>1.5833333333333333</x:v>
      </x:c>
      <x:c r="L81" s="66" t="str">
        <x:f>IF(K81="","","1 : "&amp;TEXT(K81,"0.0"))</x:f>
        <x:v>1 : 1.6</x:v>
      </x:c>
      <x:c r="M81" s="66" t="str">
        <x:f>IF(J81="","Baru/Tanpa Data",IF(J81&lt;='Catatan &amp; Sumber'!$B$14,"Sangat Ketat",IF(J81&lt;='Catatan &amp; Sumber'!$B$15,"Ketat",IF(J81&lt;='Catatan &amp; Sumber'!$B$16,"Sedang","Relatif Longgar"))))</x:f>
        <x:v>Relatif Longgar</x:v>
      </x:c>
      <x:c r="N81" s="66" t="str">
        <x:v>Tidak Ada</x:v>
      </x:c>
      <x:c r="O81" s="66" t="str">
        <x:v>Aceh</x:v>
      </x:c>
      <x:c r="P81" s="66" t="str">
        <x:v>Kota Banda Aceh</x:v>
      </x:c>
      <x:c r="Q81" s="66" t="str">
        <x:v>https://snpmb.id/snbp/daya-tampung-snbp</x:v>
      </x:c>
      <x:c r="R81" s="66" t="str">
        <x:v>https://sidatagrun-public-1076756628210.asia-southeast2.run.app/ptn_sn.php?ptn=111</x:v>
      </x:c>
    </x:row>
    <x:row r="82">
      <x:c r="A82" s="87" t="n">
        <x:v>3847</x:v>
      </x:c>
      <x:c r="B82" s="87" t="n">
        <x:v>111</x:v>
      </x:c>
      <x:c r="C82" s="66" t="str">
        <x:v>UNIVERSITAS SYIAH KUALA</x:v>
      </x:c>
      <x:c r="D82" s="66" t="str">
        <x:v>PTN Akademik</x:v>
      </x:c>
      <x:c r="E82" s="66" t="str">
        <x:v>11113073</x:v>
      </x:c>
      <x:c r="F82" s="66" t="str">
        <x:v>MANAJEMEN PERUSAHAAN</x:v>
      </x:c>
      <x:c r="G82" s="66" t="str">
        <x:v>Diploma Tiga</x:v>
      </x:c>
      <x:c r="H82" s="87" t="n">
        <x:v>12</x:v>
      </x:c>
      <x:c r="I82" s="87" t="n">
        <x:v>20</x:v>
      </x:c>
      <x:c r="J82" s="68" t="n">
        <x:f>IFERROR(H82/I82,"")</x:f>
        <x:v>0.6</x:v>
      </x:c>
      <x:c r="K82" s="69" t="n">
        <x:f>IFERROR(I82/H82,"")</x:f>
        <x:v>1.6666666666666667</x:v>
      </x:c>
      <x:c r="L82" s="66" t="str">
        <x:f>IF(K82="","","1 : "&amp;TEXT(K82,"0.0"))</x:f>
        <x:v>1 : 1.7</x:v>
      </x:c>
      <x:c r="M82" s="66" t="str">
        <x:f>IF(J82="","Baru/Tanpa Data",IF(J82&lt;='Catatan &amp; Sumber'!$B$14,"Sangat Ketat",IF(J82&lt;='Catatan &amp; Sumber'!$B$15,"Ketat",IF(J82&lt;='Catatan &amp; Sumber'!$B$16,"Sedang","Relatif Longgar"))))</x:f>
        <x:v>Relatif Longgar</x:v>
      </x:c>
      <x:c r="N82" s="66" t="str">
        <x:v>Tidak Ada</x:v>
      </x:c>
      <x:c r="O82" s="66" t="str">
        <x:v>Aceh</x:v>
      </x:c>
      <x:c r="P82" s="66" t="str">
        <x:v>Kota Banda Aceh</x:v>
      </x:c>
      <x:c r="Q82" s="66" t="str">
        <x:v>https://snpmb.id/snbp/daya-tampung-snbp</x:v>
      </x:c>
      <x:c r="R82" s="66" t="str">
        <x:v>https://sidatagrun-public-1076756628210.asia-southeast2.run.app/ptn_sn.php?ptn=111</x:v>
      </x:c>
    </x:row>
    <x:row r="83">
      <x:c r="A83" s="87" t="n">
        <x:v>4652</x:v>
      </x:c>
      <x:c r="B83" s="87" t="n">
        <x:v>111</x:v>
      </x:c>
      <x:c r="C83" s="66" t="str">
        <x:v>UNIVERSITAS SYIAH KUALA</x:v>
      </x:c>
      <x:c r="D83" s="66" t="str">
        <x:v>PTN Akademik</x:v>
      </x:c>
      <x:c r="E83" s="66" t="str">
        <x:v>11113075</x:v>
      </x:c>
      <x:c r="F83" s="66" t="str">
        <x:v>AKUNTANSI</x:v>
      </x:c>
      <x:c r="G83" s="66" t="str">
        <x:v>Diploma Tiga</x:v>
      </x:c>
      <x:c r="H83" s="87" t="n">
        <x:v>24</x:v>
      </x:c>
      <x:c r="I83" s="87" t="n">
        <x:v>12</x:v>
      </x:c>
      <x:c r="J83" s="68" t="n">
        <x:f>IFERROR(H83/I83,"")</x:f>
        <x:v>2</x:v>
      </x:c>
      <x:c r="K83" s="69" t="n">
        <x:f>IFERROR(I83/H83,"")</x:f>
        <x:v>0.5</x:v>
      </x:c>
      <x:c r="L83" s="66" t="str">
        <x:f>IF(K83="","","1 : "&amp;TEXT(K83,"0.0"))</x:f>
        <x:v>1 : 0.5</x:v>
      </x:c>
      <x:c r="M83" s="66" t="str">
        <x:f>IF(J83="","Baru/Tanpa Data",IF(J83&lt;='Catatan &amp; Sumber'!$B$14,"Sangat Ketat",IF(J83&lt;='Catatan &amp; Sumber'!$B$15,"Ketat",IF(J83&lt;='Catatan &amp; Sumber'!$B$16,"Sedang","Relatif Longgar"))))</x:f>
        <x:v>Relatif Longgar</x:v>
      </x:c>
      <x:c r="N83" s="66" t="str">
        <x:v>Tidak Ada</x:v>
      </x:c>
      <x:c r="O83" s="66" t="str">
        <x:v>Aceh</x:v>
      </x:c>
      <x:c r="P83" s="66" t="str">
        <x:v>Kota Banda Aceh</x:v>
      </x:c>
      <x:c r="Q83" s="66" t="str">
        <x:v>https://snpmb.id/snbp/daya-tampung-snbp</x:v>
      </x:c>
      <x:c r="R83" s="66" t="str">
        <x:v>https://sidatagrun-public-1076756628210.asia-southeast2.run.app/ptn_sn.php?ptn=111</x:v>
      </x:c>
    </x:row>
    <x:row r="84">
      <x:c r="A84" s="87" t="n">
        <x:v>3654</x:v>
      </x:c>
      <x:c r="B84" s="87" t="n">
        <x:v>111</x:v>
      </x:c>
      <x:c r="C84" s="66" t="str">
        <x:v>UNIVERSITAS SYIAH KUALA</x:v>
      </x:c>
      <x:c r="D84" s="66" t="str">
        <x:v>PTN Akademik</x:v>
      </x:c>
      <x:c r="E84" s="66" t="str">
        <x:v>11113076</x:v>
      </x:c>
      <x:c r="F84" s="66" t="str">
        <x:v>KEUANGAN DAN PERBANKAN</x:v>
      </x:c>
      <x:c r="G84" s="66" t="str">
        <x:v>Diploma Tiga</x:v>
      </x:c>
      <x:c r="H84" s="87" t="n">
        <x:v>24</x:v>
      </x:c>
      <x:c r="I84" s="87" t="n">
        <x:v>48</x:v>
      </x:c>
      <x:c r="J84" s="68" t="n">
        <x:f>IFERROR(H84/I84,"")</x:f>
        <x:v>0.5</x:v>
      </x:c>
      <x:c r="K84" s="69" t="n">
        <x:f>IFERROR(I84/H84,"")</x:f>
        <x:v>2</x:v>
      </x:c>
      <x:c r="L84" s="66" t="str">
        <x:f>IF(K84="","","1 : "&amp;TEXT(K84,"0.0"))</x:f>
        <x:v>1 : 2.0</x:v>
      </x:c>
      <x:c r="M84" s="66" t="str">
        <x:f>IF(J84="","Baru/Tanpa Data",IF(J84&lt;='Catatan &amp; Sumber'!$B$14,"Sangat Ketat",IF(J84&lt;='Catatan &amp; Sumber'!$B$15,"Ketat",IF(J84&lt;='Catatan &amp; Sumber'!$B$16,"Sedang","Relatif Longgar"))))</x:f>
        <x:v>Relatif Longgar</x:v>
      </x:c>
      <x:c r="N84" s="66" t="str">
        <x:v>Tidak Ada</x:v>
      </x:c>
      <x:c r="O84" s="66" t="str">
        <x:v>Aceh</x:v>
      </x:c>
      <x:c r="P84" s="66" t="str">
        <x:v>Kota Banda Aceh</x:v>
      </x:c>
      <x:c r="Q84" s="66" t="str">
        <x:v>https://snpmb.id/snbp/daya-tampung-snbp</x:v>
      </x:c>
      <x:c r="R84" s="66" t="str">
        <x:v>https://sidatagrun-public-1076756628210.asia-southeast2.run.app/ptn_sn.php?ptn=111</x:v>
      </x:c>
    </x:row>
    <x:row r="85">
      <x:c r="A85" s="87" t="n">
        <x:v>4408</x:v>
      </x:c>
      <x:c r="B85" s="87" t="n">
        <x:v>111</x:v>
      </x:c>
      <x:c r="C85" s="66" t="str">
        <x:v>UNIVERSITAS SYIAH KUALA</x:v>
      </x:c>
      <x:c r="D85" s="66" t="str">
        <x:v>PTN Akademik</x:v>
      </x:c>
      <x:c r="E85" s="66" t="str">
        <x:v>11113077</x:v>
      </x:c>
      <x:c r="F85" s="66" t="str">
        <x:v>MANAJEMEN INFORMATIKA</x:v>
      </x:c>
      <x:c r="G85" s="66" t="str">
        <x:v>Diploma Tiga</x:v>
      </x:c>
      <x:c r="H85" s="87" t="n">
        <x:v>24</x:v>
      </x:c>
      <x:c r="I85" s="87" t="n">
        <x:v>21</x:v>
      </x:c>
      <x:c r="J85" s="68" t="n">
        <x:f>IFERROR(H85/I85,"")</x:f>
        <x:v>1.1428571428571428</x:v>
      </x:c>
      <x:c r="K85" s="69" t="n">
        <x:f>IFERROR(I85/H85,"")</x:f>
        <x:v>0.875</x:v>
      </x:c>
      <x:c r="L85" s="66" t="str">
        <x:f>IF(K85="","","1 : "&amp;TEXT(K85,"0.0"))</x:f>
        <x:v>1 : 0.9</x:v>
      </x:c>
      <x:c r="M85" s="66" t="str">
        <x:f>IF(J85="","Baru/Tanpa Data",IF(J85&lt;='Catatan &amp; Sumber'!$B$14,"Sangat Ketat",IF(J85&lt;='Catatan &amp; Sumber'!$B$15,"Ketat",IF(J85&lt;='Catatan &amp; Sumber'!$B$16,"Sedang","Relatif Longgar"))))</x:f>
        <x:v>Relatif Longgar</x:v>
      </x:c>
      <x:c r="N85" s="66" t="str">
        <x:v>Tidak Ada</x:v>
      </x:c>
      <x:c r="O85" s="66" t="str">
        <x:v>Aceh</x:v>
      </x:c>
      <x:c r="P85" s="66" t="str">
        <x:v>Kota Banda Aceh</x:v>
      </x:c>
      <x:c r="Q85" s="66" t="str">
        <x:v>https://snpmb.id/snbp/daya-tampung-snbp</x:v>
      </x:c>
      <x:c r="R85" s="66" t="str">
        <x:v>https://sidatagrun-public-1076756628210.asia-southeast2.run.app/ptn_sn.php?ptn=111</x:v>
      </x:c>
    </x:row>
    <x:row r="86">
      <x:c r="A86" s="87" t="n">
        <x:v>3895</x:v>
      </x:c>
      <x:c r="B86" s="87" t="n">
        <x:v>112</x:v>
      </x:c>
      <x:c r="C86" s="66" t="str">
        <x:v>UNIVERSITAS MALIKUSSALEH</x:v>
      </x:c>
      <x:c r="D86" s="66" t="str">
        <x:v>PTN Akademik</x:v>
      </x:c>
      <x:c r="E86" s="66" t="str">
        <x:v>11121001</x:v>
      </x:c>
      <x:c r="F86" s="66" t="str">
        <x:v>TEKNIK SIPIL</x:v>
      </x:c>
      <x:c r="G86" s="66" t="str">
        <x:v>Sarjana</x:v>
      </x:c>
      <x:c r="H86" s="87" t="n">
        <x:v>165</x:v>
      </x:c>
      <x:c r="I86" s="87" t="n">
        <x:v>265</x:v>
      </x:c>
      <x:c r="J86" s="68" t="n">
        <x:f>IFERROR(H86/I86,"")</x:f>
        <x:v>0.6226415094339622</x:v>
      </x:c>
      <x:c r="K86" s="69" t="n">
        <x:f>IFERROR(I86/H86,"")</x:f>
        <x:v>1.606060606060606</x:v>
      </x:c>
      <x:c r="L86" s="66" t="str">
        <x:f>IF(K86="","","1 : "&amp;TEXT(K86,"0.0"))</x:f>
        <x:v>1 : 1.6</x:v>
      </x:c>
      <x:c r="M86" s="66" t="str">
        <x:f>IF(J86="","Baru/Tanpa Data",IF(J86&lt;='Catatan &amp; Sumber'!$B$14,"Sangat Ketat",IF(J86&lt;='Catatan &amp; Sumber'!$B$15,"Ketat",IF(J86&lt;='Catatan &amp; Sumber'!$B$16,"Sedang","Relatif Longgar"))))</x:f>
        <x:v>Relatif Longgar</x:v>
      </x:c>
      <x:c r="N86" s="66" t="str">
        <x:v>Tidak Ada</x:v>
      </x:c>
      <x:c r="O86" s="66" t="str">
        <x:v>Aceh</x:v>
      </x:c>
      <x:c r="P86" s="66" t="str">
        <x:v>Kabupaten Aceh Utara</x:v>
      </x:c>
      <x:c r="Q86" s="66" t="str">
        <x:v>https://snpmb.id/snbp/daya-tampung-snbp</x:v>
      </x:c>
      <x:c r="R86" s="66" t="str">
        <x:v>https://sidatagrun-public-1076756628210.asia-southeast2.run.app/ptn_sn.php?ptn=112</x:v>
      </x:c>
    </x:row>
    <x:row r="87">
      <x:c r="A87" s="87" t="n">
        <x:v>3888</x:v>
      </x:c>
      <x:c r="B87" s="87" t="n">
        <x:v>112</x:v>
      </x:c>
      <x:c r="C87" s="66" t="str">
        <x:v>UNIVERSITAS MALIKUSSALEH</x:v>
      </x:c>
      <x:c r="D87" s="66" t="str">
        <x:v>PTN Akademik</x:v>
      </x:c>
      <x:c r="E87" s="66" t="str">
        <x:v>11121002</x:v>
      </x:c>
      <x:c r="F87" s="66" t="str">
        <x:v>TEKNIK MESIN</x:v>
      </x:c>
      <x:c r="G87" s="66" t="str">
        <x:v>Sarjana</x:v>
      </x:c>
      <x:c r="H87" s="87" t="n">
        <x:v>150</x:v>
      </x:c>
      <x:c r="I87" s="87" t="n">
        <x:v>243</x:v>
      </x:c>
      <x:c r="J87" s="68" t="n">
        <x:f>IFERROR(H87/I87,"")</x:f>
        <x:v>0.6172839506172839</x:v>
      </x:c>
      <x:c r="K87" s="69" t="n">
        <x:f>IFERROR(I87/H87,"")</x:f>
        <x:v>1.62</x:v>
      </x:c>
      <x:c r="L87" s="66" t="str">
        <x:f>IF(K87="","","1 : "&amp;TEXT(K87,"0.0"))</x:f>
        <x:v>1 : 1.6</x:v>
      </x:c>
      <x:c r="M87" s="66" t="str">
        <x:f>IF(J87="","Baru/Tanpa Data",IF(J87&lt;='Catatan &amp; Sumber'!$B$14,"Sangat Ketat",IF(J87&lt;='Catatan &amp; Sumber'!$B$15,"Ketat",IF(J87&lt;='Catatan &amp; Sumber'!$B$16,"Sedang","Relatif Longgar"))))</x:f>
        <x:v>Relatif Longgar</x:v>
      </x:c>
      <x:c r="N87" s="66" t="str">
        <x:v>Tidak Ada</x:v>
      </x:c>
      <x:c r="O87" s="66" t="str">
        <x:v>Aceh</x:v>
      </x:c>
      <x:c r="P87" s="66" t="str">
        <x:v>Kabupaten Aceh Utara</x:v>
      </x:c>
      <x:c r="Q87" s="66" t="str">
        <x:v>https://snpmb.id/snbp/daya-tampung-snbp</x:v>
      </x:c>
      <x:c r="R87" s="66" t="str">
        <x:v>https://sidatagrun-public-1076756628210.asia-southeast2.run.app/ptn_sn.php?ptn=112</x:v>
      </x:c>
    </x:row>
    <x:row r="88">
      <x:c r="A88" s="87" t="n">
        <x:v>4338</x:v>
      </x:c>
      <x:c r="B88" s="87" t="n">
        <x:v>112</x:v>
      </x:c>
      <x:c r="C88" s="66" t="str">
        <x:v>UNIVERSITAS MALIKUSSALEH</x:v>
      </x:c>
      <x:c r="D88" s="66" t="str">
        <x:v>PTN Akademik</x:v>
      </x:c>
      <x:c r="E88" s="66" t="str">
        <x:v>11121003</x:v>
      </x:c>
      <x:c r="F88" s="66" t="str">
        <x:v>TEKNIK KIMIA</x:v>
      </x:c>
      <x:c r="G88" s="66" t="str">
        <x:v>Sarjana</x:v>
      </x:c>
      <x:c r="H88" s="87" t="n">
        <x:v>125</x:v>
      </x:c>
      <x:c r="I88" s="87" t="n">
        <x:v>124</x:v>
      </x:c>
      <x:c r="J88" s="68" t="n">
        <x:f>IFERROR(H88/I88,"")</x:f>
        <x:v>1.0080645161290323</x:v>
      </x:c>
      <x:c r="K88" s="69" t="n">
        <x:f>IFERROR(I88/H88,"")</x:f>
        <x:v>0.992</x:v>
      </x:c>
      <x:c r="L88" s="66" t="str">
        <x:f>IF(K88="","","1 : "&amp;TEXT(K88,"0.0"))</x:f>
        <x:v>1 : 1.0</x:v>
      </x:c>
      <x:c r="M88" s="66" t="str">
        <x:f>IF(J88="","Baru/Tanpa Data",IF(J88&lt;='Catatan &amp; Sumber'!$B$14,"Sangat Ketat",IF(J88&lt;='Catatan &amp; Sumber'!$B$15,"Ketat",IF(J88&lt;='Catatan &amp; Sumber'!$B$16,"Sedang","Relatif Longgar"))))</x:f>
        <x:v>Relatif Longgar</x:v>
      </x:c>
      <x:c r="N88" s="66" t="str">
        <x:v>Tidak Ada</x:v>
      </x:c>
      <x:c r="O88" s="66" t="str">
        <x:v>Aceh</x:v>
      </x:c>
      <x:c r="P88" s="66" t="str">
        <x:v>Kabupaten Aceh Utara</x:v>
      </x:c>
      <x:c r="Q88" s="66" t="str">
        <x:v>https://snpmb.id/snbp/daya-tampung-snbp</x:v>
      </x:c>
      <x:c r="R88" s="66" t="str">
        <x:v>https://sidatagrun-public-1076756628210.asia-southeast2.run.app/ptn_sn.php?ptn=112</x:v>
      </x:c>
    </x:row>
    <x:row r="89">
      <x:c r="A89" s="87" t="n">
        <x:v>3873</x:v>
      </x:c>
      <x:c r="B89" s="87" t="n">
        <x:v>112</x:v>
      </x:c>
      <x:c r="C89" s="66" t="str">
        <x:v>UNIVERSITAS MALIKUSSALEH</x:v>
      </x:c>
      <x:c r="D89" s="66" t="str">
        <x:v>PTN Akademik</x:v>
      </x:c>
      <x:c r="E89" s="66" t="str">
        <x:v>11121004</x:v>
      </x:c>
      <x:c r="F89" s="66" t="str">
        <x:v>TEKNIK ELEKTRO</x:v>
      </x:c>
      <x:c r="G89" s="66" t="str">
        <x:v>Sarjana</x:v>
      </x:c>
      <x:c r="H89" s="87" t="n">
        <x:v>100</x:v>
      </x:c>
      <x:c r="I89" s="87" t="n">
        <x:v>164</x:v>
      </x:c>
      <x:c r="J89" s="68" t="n">
        <x:f>IFERROR(H89/I89,"")</x:f>
        <x:v>0.6097560975609756</x:v>
      </x:c>
      <x:c r="K89" s="69" t="n">
        <x:f>IFERROR(I89/H89,"")</x:f>
        <x:v>1.64</x:v>
      </x:c>
      <x:c r="L89" s="66" t="str">
        <x:f>IF(K89="","","1 : "&amp;TEXT(K89,"0.0"))</x:f>
        <x:v>1 : 1.6</x:v>
      </x:c>
      <x:c r="M89" s="66" t="str">
        <x:f>IF(J89="","Baru/Tanpa Data",IF(J89&lt;='Catatan &amp; Sumber'!$B$14,"Sangat Ketat",IF(J89&lt;='Catatan &amp; Sumber'!$B$15,"Ketat",IF(J89&lt;='Catatan &amp; Sumber'!$B$16,"Sedang","Relatif Longgar"))))</x:f>
        <x:v>Relatif Longgar</x:v>
      </x:c>
      <x:c r="N89" s="66" t="str">
        <x:v>Tidak Ada</x:v>
      </x:c>
      <x:c r="O89" s="66" t="str">
        <x:v>Aceh</x:v>
      </x:c>
      <x:c r="P89" s="66" t="str">
        <x:v>Kabupaten Aceh Utara</x:v>
      </x:c>
      <x:c r="Q89" s="66" t="str">
        <x:v>https://snpmb.id/snbp/daya-tampung-snbp</x:v>
      </x:c>
      <x:c r="R89" s="66" t="str">
        <x:v>https://sidatagrun-public-1076756628210.asia-southeast2.run.app/ptn_sn.php?ptn=112</x:v>
      </x:c>
    </x:row>
    <x:row r="90">
      <x:c r="A90" s="87" t="n">
        <x:v>3193</x:v>
      </x:c>
      <x:c r="B90" s="87" t="n">
        <x:v>112</x:v>
      </x:c>
      <x:c r="C90" s="66" t="str">
        <x:v>UNIVERSITAS MALIKUSSALEH</x:v>
      </x:c>
      <x:c r="D90" s="66" t="str">
        <x:v>PTN Akademik</x:v>
      </x:c>
      <x:c r="E90" s="66" t="str">
        <x:v>11121005</x:v>
      </x:c>
      <x:c r="F90" s="66" t="str">
        <x:v>TEKNIK INDUSTRI</x:v>
      </x:c>
      <x:c r="G90" s="66" t="str">
        <x:v>Sarjana</x:v>
      </x:c>
      <x:c r="H90" s="87" t="n">
        <x:v>125</x:v>
      </x:c>
      <x:c r="I90" s="87" t="n">
        <x:v>367</x:v>
      </x:c>
      <x:c r="J90" s="68" t="n">
        <x:f>IFERROR(H90/I90,"")</x:f>
        <x:v>0.3405994550408719</x:v>
      </x:c>
      <x:c r="K90" s="69" t="n">
        <x:f>IFERROR(I90/H90,"")</x:f>
        <x:v>2.936</x:v>
      </x:c>
      <x:c r="L90" s="66" t="str">
        <x:f>IF(K90="","","1 : "&amp;TEXT(K90,"0.0"))</x:f>
        <x:v>1 : 2.9</x:v>
      </x:c>
      <x:c r="M90" s="66" t="str">
        <x:f>IF(J90="","Baru/Tanpa Data",IF(J90&lt;='Catatan &amp; Sumber'!$B$14,"Sangat Ketat",IF(J90&lt;='Catatan &amp; Sumber'!$B$15,"Ketat",IF(J90&lt;='Catatan &amp; Sumber'!$B$16,"Sedang","Relatif Longgar"))))</x:f>
        <x:v>Relatif Longgar</x:v>
      </x:c>
      <x:c r="N90" s="66" t="str">
        <x:v>Tidak Ada</x:v>
      </x:c>
      <x:c r="O90" s="66" t="str">
        <x:v>Aceh</x:v>
      </x:c>
      <x:c r="P90" s="66" t="str">
        <x:v>Kabupaten Aceh Utara</x:v>
      </x:c>
      <x:c r="Q90" s="66" t="str">
        <x:v>https://snpmb.id/snbp/daya-tampung-snbp</x:v>
      </x:c>
      <x:c r="R90" s="66" t="str">
        <x:v>https://sidatagrun-public-1076756628210.asia-southeast2.run.app/ptn_sn.php?ptn=112</x:v>
      </x:c>
    </x:row>
    <x:row r="91">
      <x:c r="A91" s="87" t="n">
        <x:v>2626</x:v>
      </x:c>
      <x:c r="B91" s="87" t="n">
        <x:v>112</x:v>
      </x:c>
      <x:c r="C91" s="66" t="str">
        <x:v>UNIVERSITAS MALIKUSSALEH</x:v>
      </x:c>
      <x:c r="D91" s="66" t="str">
        <x:v>PTN Akademik</x:v>
      </x:c>
      <x:c r="E91" s="66" t="str">
        <x:v>11121006</x:v>
      </x:c>
      <x:c r="F91" s="66" t="str">
        <x:v>TEKNIK INFORMATIKA</x:v>
      </x:c>
      <x:c r="G91" s="66" t="str">
        <x:v>Sarjana</x:v>
      </x:c>
      <x:c r="H91" s="87" t="n">
        <x:v>148</x:v>
      </x:c>
      <x:c r="I91" s="87" t="n">
        <x:v>640</x:v>
      </x:c>
      <x:c r="J91" s="68" t="n">
        <x:f>IFERROR(H91/I91,"")</x:f>
        <x:v>0.23125</x:v>
      </x:c>
      <x:c r="K91" s="69" t="n">
        <x:f>IFERROR(I91/H91,"")</x:f>
        <x:v>4.324324324324325</x:v>
      </x:c>
      <x:c r="L91" s="66" t="str">
        <x:f>IF(K91="","","1 : "&amp;TEXT(K91,"0.0"))</x:f>
        <x:v>1 : 4.3</x:v>
      </x:c>
      <x:c r="M91" s="66" t="str">
        <x:f>IF(J91="","Baru/Tanpa Data",IF(J91&lt;='Catatan &amp; Sumber'!$B$14,"Sangat Ketat",IF(J91&lt;='Catatan &amp; Sumber'!$B$15,"Ketat",IF(J91&lt;='Catatan &amp; Sumber'!$B$16,"Sedang","Relatif Longgar"))))</x:f>
        <x:v>Relatif Longgar</x:v>
      </x:c>
      <x:c r="N91" s="66" t="str">
        <x:v>Tidak Ada</x:v>
      </x:c>
      <x:c r="O91" s="66" t="str">
        <x:v>Aceh</x:v>
      </x:c>
      <x:c r="P91" s="66" t="str">
        <x:v>Kabupaten Aceh Utara</x:v>
      </x:c>
      <x:c r="Q91" s="66" t="str">
        <x:v>https://snpmb.id/snbp/daya-tampung-snbp</x:v>
      </x:c>
      <x:c r="R91" s="66" t="str">
        <x:v>https://sidatagrun-public-1076756628210.asia-southeast2.run.app/ptn_sn.php?ptn=112</x:v>
      </x:c>
    </x:row>
    <x:row r="92">
      <x:c r="A92" s="87" t="n">
        <x:v>4273</x:v>
      </x:c>
      <x:c r="B92" s="87" t="n">
        <x:v>112</x:v>
      </x:c>
      <x:c r="C92" s="66" t="str">
        <x:v>UNIVERSITAS MALIKUSSALEH</x:v>
      </x:c>
      <x:c r="D92" s="66" t="str">
        <x:v>PTN Akademik</x:v>
      </x:c>
      <x:c r="E92" s="66" t="str">
        <x:v>11121007</x:v>
      </x:c>
      <x:c r="F92" s="66" t="str">
        <x:v>TEKNIK ARSITEKTUR</x:v>
      </x:c>
      <x:c r="G92" s="66" t="str">
        <x:v>Sarjana</x:v>
      </x:c>
      <x:c r="H92" s="87" t="n">
        <x:v>75</x:v>
      </x:c>
      <x:c r="I92" s="87" t="n">
        <x:v>81</x:v>
      </x:c>
      <x:c r="J92" s="68" t="n">
        <x:f>IFERROR(H92/I92,"")</x:f>
        <x:v>0.9259259259259259</x:v>
      </x:c>
      <x:c r="K92" s="69" t="n">
        <x:f>IFERROR(I92/H92,"")</x:f>
        <x:v>1.08</x:v>
      </x:c>
      <x:c r="L92" s="66" t="str">
        <x:f>IF(K92="","","1 : "&amp;TEXT(K92,"0.0"))</x:f>
        <x:v>1 : 1.1</x:v>
      </x:c>
      <x:c r="M92" s="66" t="str">
        <x:f>IF(J92="","Baru/Tanpa Data",IF(J92&lt;='Catatan &amp; Sumber'!$B$14,"Sangat Ketat",IF(J92&lt;='Catatan &amp; Sumber'!$B$15,"Ketat",IF(J92&lt;='Catatan &amp; Sumber'!$B$16,"Sedang","Relatif Longgar"))))</x:f>
        <x:v>Relatif Longgar</x:v>
      </x:c>
      <x:c r="N92" s="66" t="str">
        <x:v>Tidak Ada</x:v>
      </x:c>
      <x:c r="O92" s="66" t="str">
        <x:v>Aceh</x:v>
      </x:c>
      <x:c r="P92" s="66" t="str">
        <x:v>Kabupaten Aceh Utara</x:v>
      </x:c>
      <x:c r="Q92" s="66" t="str">
        <x:v>https://snpmb.id/snbp/daya-tampung-snbp</x:v>
      </x:c>
      <x:c r="R92" s="66" t="str">
        <x:v>https://sidatagrun-public-1076756628210.asia-southeast2.run.app/ptn_sn.php?ptn=112</x:v>
      </x:c>
    </x:row>
    <x:row r="93">
      <x:c r="A93" s="87" t="n">
        <x:v>3749</x:v>
      </x:c>
      <x:c r="B93" s="87" t="n">
        <x:v>112</x:v>
      </x:c>
      <x:c r="C93" s="66" t="str">
        <x:v>UNIVERSITAS MALIKUSSALEH</x:v>
      </x:c>
      <x:c r="D93" s="66" t="str">
        <x:v>PTN Akademik</x:v>
      </x:c>
      <x:c r="E93" s="66" t="str">
        <x:v>11121008</x:v>
      </x:c>
      <x:c r="F93" s="66" t="str">
        <x:v>AGROEKOTEKNOLOGI</x:v>
      </x:c>
      <x:c r="G93" s="66" t="str">
        <x:v>Sarjana</x:v>
      </x:c>
      <x:c r="H93" s="87" t="n">
        <x:v>158</x:v>
      </x:c>
      <x:c r="I93" s="87" t="n">
        <x:v>291</x:v>
      </x:c>
      <x:c r="J93" s="68" t="n">
        <x:f>IFERROR(H93/I93,"")</x:f>
        <x:v>0.5429553264604811</x:v>
      </x:c>
      <x:c r="K93" s="69" t="n">
        <x:f>IFERROR(I93/H93,"")</x:f>
        <x:v>1.8417721518987342</x:v>
      </x:c>
      <x:c r="L93" s="66" t="str">
        <x:f>IF(K93="","","1 : "&amp;TEXT(K93,"0.0"))</x:f>
        <x:v>1 : 1.8</x:v>
      </x:c>
      <x:c r="M93" s="66" t="str">
        <x:f>IF(J93="","Baru/Tanpa Data",IF(J93&lt;='Catatan &amp; Sumber'!$B$14,"Sangat Ketat",IF(J93&lt;='Catatan &amp; Sumber'!$B$15,"Ketat",IF(J93&lt;='Catatan &amp; Sumber'!$B$16,"Sedang","Relatif Longgar"))))</x:f>
        <x:v>Relatif Longgar</x:v>
      </x:c>
      <x:c r="N93" s="66" t="str">
        <x:v>Tidak Ada</x:v>
      </x:c>
      <x:c r="O93" s="66" t="str">
        <x:v>Aceh</x:v>
      </x:c>
      <x:c r="P93" s="66" t="str">
        <x:v>Kabupaten Aceh Utara</x:v>
      </x:c>
      <x:c r="Q93" s="66" t="str">
        <x:v>https://snpmb.id/snbp/daya-tampung-snbp</x:v>
      </x:c>
      <x:c r="R93" s="66" t="str">
        <x:v>https://sidatagrun-public-1076756628210.asia-southeast2.run.app/ptn_sn.php?ptn=112</x:v>
      </x:c>
    </x:row>
    <x:row r="94">
      <x:c r="A94" s="87" t="n">
        <x:v>3639</x:v>
      </x:c>
      <x:c r="B94" s="87" t="n">
        <x:v>112</x:v>
      </x:c>
      <x:c r="C94" s="66" t="str">
        <x:v>UNIVERSITAS MALIKUSSALEH</x:v>
      </x:c>
      <x:c r="D94" s="66" t="str">
        <x:v>PTN Akademik</x:v>
      </x:c>
      <x:c r="E94" s="66" t="str">
        <x:v>11121009</x:v>
      </x:c>
      <x:c r="F94" s="66" t="str">
        <x:v>AGRIBISNIS</x:v>
      </x:c>
      <x:c r="G94" s="66" t="str">
        <x:v>Sarjana</x:v>
      </x:c>
      <x:c r="H94" s="87" t="n">
        <x:v>133</x:v>
      </x:c>
      <x:c r="I94" s="87" t="n">
        <x:v>274</x:v>
      </x:c>
      <x:c r="J94" s="68" t="n">
        <x:f>IFERROR(H94/I94,"")</x:f>
        <x:v>0.4854014598540146</x:v>
      </x:c>
      <x:c r="K94" s="69" t="n">
        <x:f>IFERROR(I94/H94,"")</x:f>
        <x:v>2.0601503759398496</x:v>
      </x:c>
      <x:c r="L94" s="66" t="str">
        <x:f>IF(K94="","","1 : "&amp;TEXT(K94,"0.0"))</x:f>
        <x:v>1 : 2.1</x:v>
      </x:c>
      <x:c r="M94" s="66" t="str">
        <x:f>IF(J94="","Baru/Tanpa Data",IF(J94&lt;='Catatan &amp; Sumber'!$B$14,"Sangat Ketat",IF(J94&lt;='Catatan &amp; Sumber'!$B$15,"Ketat",IF(J94&lt;='Catatan &amp; Sumber'!$B$16,"Sedang","Relatif Longgar"))))</x:f>
        <x:v>Relatif Longgar</x:v>
      </x:c>
      <x:c r="N94" s="66" t="str">
        <x:v>Tidak Ada</x:v>
      </x:c>
      <x:c r="O94" s="66" t="str">
        <x:v>Aceh</x:v>
      </x:c>
      <x:c r="P94" s="66" t="str">
        <x:v>Kabupaten Aceh Utara</x:v>
      </x:c>
      <x:c r="Q94" s="66" t="str">
        <x:v>https://snpmb.id/snbp/daya-tampung-snbp</x:v>
      </x:c>
      <x:c r="R94" s="66" t="str">
        <x:v>https://sidatagrun-public-1076756628210.asia-southeast2.run.app/ptn_sn.php?ptn=112</x:v>
      </x:c>
    </x:row>
    <x:row r="95">
      <x:c r="A95" s="87" t="n">
        <x:v>4405</x:v>
      </x:c>
      <x:c r="B95" s="87" t="n">
        <x:v>112</x:v>
      </x:c>
      <x:c r="C95" s="66" t="str">
        <x:v>UNIVERSITAS MALIKUSSALEH</x:v>
      </x:c>
      <x:c r="D95" s="66" t="str">
        <x:v>PTN Akademik</x:v>
      </x:c>
      <x:c r="E95" s="66" t="str">
        <x:v>11121010</x:v>
      </x:c>
      <x:c r="F95" s="66" t="str">
        <x:v>AKUAKULTUR</x:v>
      </x:c>
      <x:c r="G95" s="66" t="str">
        <x:v>Sarjana</x:v>
      </x:c>
      <x:c r="H95" s="87" t="n">
        <x:v>58</x:v>
      </x:c>
      <x:c r="I95" s="87" t="n">
        <x:v>51</x:v>
      </x:c>
      <x:c r="J95" s="68" t="n">
        <x:f>IFERROR(H95/I95,"")</x:f>
        <x:v>1.1372549019607843</x:v>
      </x:c>
      <x:c r="K95" s="69" t="n">
        <x:f>IFERROR(I95/H95,"")</x:f>
        <x:v>0.8793103448275862</x:v>
      </x:c>
      <x:c r="L95" s="66" t="str">
        <x:f>IF(K95="","","1 : "&amp;TEXT(K95,"0.0"))</x:f>
        <x:v>1 : 0.9</x:v>
      </x:c>
      <x:c r="M95" s="66" t="str">
        <x:f>IF(J95="","Baru/Tanpa Data",IF(J95&lt;='Catatan &amp; Sumber'!$B$14,"Sangat Ketat",IF(J95&lt;='Catatan &amp; Sumber'!$B$15,"Ketat",IF(J95&lt;='Catatan &amp; Sumber'!$B$16,"Sedang","Relatif Longgar"))))</x:f>
        <x:v>Relatif Longgar</x:v>
      </x:c>
      <x:c r="N95" s="66" t="str">
        <x:v>Tidak Ada</x:v>
      </x:c>
      <x:c r="O95" s="66" t="str">
        <x:v>Aceh</x:v>
      </x:c>
      <x:c r="P95" s="66" t="str">
        <x:v>Kabupaten Aceh Utara</x:v>
      </x:c>
      <x:c r="Q95" s="66" t="str">
        <x:v>https://snpmb.id/snbp/daya-tampung-snbp</x:v>
      </x:c>
      <x:c r="R95" s="66" t="str">
        <x:v>https://sidatagrun-public-1076756628210.asia-southeast2.run.app/ptn_sn.php?ptn=112</x:v>
      </x:c>
    </x:row>
    <x:row r="96">
      <x:c r="A96" s="87" t="n">
        <x:v>648</x:v>
      </x:c>
      <x:c r="B96" s="87" t="n">
        <x:v>112</x:v>
      </x:c>
      <x:c r="C96" s="66" t="str">
        <x:v>UNIVERSITAS MALIKUSSALEH</x:v>
      </x:c>
      <x:c r="D96" s="66" t="str">
        <x:v>PTN Akademik</x:v>
      </x:c>
      <x:c r="E96" s="66" t="str">
        <x:v>11121011</x:v>
      </x:c>
      <x:c r="F96" s="66" t="str">
        <x:v>KEDOKTERAN</x:v>
      </x:c>
      <x:c r="G96" s="66" t="str">
        <x:v>Sarjana</x:v>
      </x:c>
      <x:c r="H96" s="87" t="n">
        <x:v>42</x:v>
      </x:c>
      <x:c r="I96" s="87" t="n">
        <x:v>707</x:v>
      </x:c>
      <x:c r="J96" s="68" t="n">
        <x:f>IFERROR(H96/I96,"")</x:f>
        <x:v>0.0594059405940594</x:v>
      </x:c>
      <x:c r="K96" s="69" t="n">
        <x:f>IFERROR(I96/H96,"")</x:f>
        <x:v>16.833333333333332</x:v>
      </x:c>
      <x:c r="L96" s="66" t="str">
        <x:f>IF(K96="","","1 : "&amp;TEXT(K96,"0.0"))</x:f>
        <x:v>1 : 16.8</x:v>
      </x:c>
      <x:c r="M96" s="66" t="str">
        <x:f>IF(J96="","Baru/Tanpa Data",IF(J96&lt;='Catatan &amp; Sumber'!$B$14,"Sangat Ketat",IF(J96&lt;='Catatan &amp; Sumber'!$B$15,"Ketat",IF(J96&lt;='Catatan &amp; Sumber'!$B$16,"Sedang","Relatif Longgar"))))</x:f>
        <x:v>Sedang</x:v>
      </x:c>
      <x:c r="N96" s="66" t="str">
        <x:v>Tidak Ada</x:v>
      </x:c>
      <x:c r="O96" s="66" t="str">
        <x:v>Aceh</x:v>
      </x:c>
      <x:c r="P96" s="66" t="str">
        <x:v>Kabupaten Aceh Utara</x:v>
      </x:c>
      <x:c r="Q96" s="66" t="str">
        <x:v>https://snpmb.id/snbp/daya-tampung-snbp</x:v>
      </x:c>
      <x:c r="R96" s="66" t="str">
        <x:v>https://sidatagrun-public-1076756628210.asia-southeast2.run.app/ptn_sn.php?ptn=112</x:v>
      </x:c>
    </x:row>
    <x:row r="97">
      <x:c r="A97" s="87" t="n">
        <x:v>4489</x:v>
      </x:c>
      <x:c r="B97" s="87" t="n">
        <x:v>112</x:v>
      </x:c>
      <x:c r="C97" s="66" t="str">
        <x:v>UNIVERSITAS MALIKUSSALEH</x:v>
      </x:c>
      <x:c r="D97" s="66" t="str">
        <x:v>PTN Akademik</x:v>
      </x:c>
      <x:c r="E97" s="66" t="str">
        <x:v>11121012</x:v>
      </x:c>
      <x:c r="F97" s="66" t="str">
        <x:v>PENDIDIKAN FISIKA</x:v>
      </x:c>
      <x:c r="G97" s="66" t="str">
        <x:v>Sarjana</x:v>
      </x:c>
      <x:c r="H97" s="87" t="n">
        <x:v>60</x:v>
      </x:c>
      <x:c r="I97" s="87" t="n">
        <x:v>46</x:v>
      </x:c>
      <x:c r="J97" s="68" t="n">
        <x:f>IFERROR(H97/I97,"")</x:f>
        <x:v>1.3043478260869565</x:v>
      </x:c>
      <x:c r="K97" s="69" t="n">
        <x:f>IFERROR(I97/H97,"")</x:f>
        <x:v>0.7666666666666667</x:v>
      </x:c>
      <x:c r="L97" s="66" t="str">
        <x:f>IF(K97="","","1 : "&amp;TEXT(K97,"0.0"))</x:f>
        <x:v>1 : 0.8</x:v>
      </x:c>
      <x:c r="M97" s="66" t="str">
        <x:f>IF(J97="","Baru/Tanpa Data",IF(J97&lt;='Catatan &amp; Sumber'!$B$14,"Sangat Ketat",IF(J97&lt;='Catatan &amp; Sumber'!$B$15,"Ketat",IF(J97&lt;='Catatan &amp; Sumber'!$B$16,"Sedang","Relatif Longgar"))))</x:f>
        <x:v>Relatif Longgar</x:v>
      </x:c>
      <x:c r="N97" s="66" t="str">
        <x:v>Tidak Ada</x:v>
      </x:c>
      <x:c r="O97" s="66" t="str">
        <x:v>Aceh</x:v>
      </x:c>
      <x:c r="P97" s="66" t="str">
        <x:v>Kabupaten Aceh Utara</x:v>
      </x:c>
      <x:c r="Q97" s="66" t="str">
        <x:v>https://snpmb.id/snbp/daya-tampung-snbp</x:v>
      </x:c>
      <x:c r="R97" s="66" t="str">
        <x:v>https://sidatagrun-public-1076756628210.asia-southeast2.run.app/ptn_sn.php?ptn=112</x:v>
      </x:c>
    </x:row>
    <x:row r="98">
      <x:c r="A98" s="87" t="n">
        <x:v>4250</x:v>
      </x:c>
      <x:c r="B98" s="87" t="n">
        <x:v>112</x:v>
      </x:c>
      <x:c r="C98" s="66" t="str">
        <x:v>UNIVERSITAS MALIKUSSALEH</x:v>
      </x:c>
      <x:c r="D98" s="66" t="str">
        <x:v>PTN Akademik</x:v>
      </x:c>
      <x:c r="E98" s="66" t="str">
        <x:v>11121013</x:v>
      </x:c>
      <x:c r="F98" s="66" t="str">
        <x:v>PENDIDIKAN KIMIA</x:v>
      </x:c>
      <x:c r="G98" s="66" t="str">
        <x:v>Sarjana</x:v>
      </x:c>
      <x:c r="H98" s="87" t="n">
        <x:v>60</x:v>
      </x:c>
      <x:c r="I98" s="87" t="n">
        <x:v>66</x:v>
      </x:c>
      <x:c r="J98" s="68" t="n">
        <x:f>IFERROR(H98/I98,"")</x:f>
        <x:v>0.9090909090909091</x:v>
      </x:c>
      <x:c r="K98" s="69" t="n">
        <x:f>IFERROR(I98/H98,"")</x:f>
        <x:v>1.1</x:v>
      </x:c>
      <x:c r="L98" s="66" t="str">
        <x:f>IF(K98="","","1 : "&amp;TEXT(K98,"0.0"))</x:f>
        <x:v>1 : 1.1</x:v>
      </x:c>
      <x:c r="M98" s="66" t="str">
        <x:f>IF(J98="","Baru/Tanpa Data",IF(J98&lt;='Catatan &amp; Sumber'!$B$14,"Sangat Ketat",IF(J98&lt;='Catatan &amp; Sumber'!$B$15,"Ketat",IF(J98&lt;='Catatan &amp; Sumber'!$B$16,"Sedang","Relatif Longgar"))))</x:f>
        <x:v>Relatif Longgar</x:v>
      </x:c>
      <x:c r="N98" s="66" t="str">
        <x:v>Tidak Ada</x:v>
      </x:c>
      <x:c r="O98" s="66" t="str">
        <x:v>Aceh</x:v>
      </x:c>
      <x:c r="P98" s="66" t="str">
        <x:v>Kabupaten Aceh Utara</x:v>
      </x:c>
      <x:c r="Q98" s="66" t="str">
        <x:v>https://snpmb.id/snbp/daya-tampung-snbp</x:v>
      </x:c>
      <x:c r="R98" s="66" t="str">
        <x:v>https://sidatagrun-public-1076756628210.asia-southeast2.run.app/ptn_sn.php?ptn=112</x:v>
      </x:c>
    </x:row>
    <x:row r="99">
      <x:c r="A99" s="87" t="n">
        <x:v>3355</x:v>
      </x:c>
      <x:c r="B99" s="87" t="n">
        <x:v>112</x:v>
      </x:c>
      <x:c r="C99" s="66" t="str">
        <x:v>UNIVERSITAS MALIKUSSALEH</x:v>
      </x:c>
      <x:c r="D99" s="66" t="str">
        <x:v>PTN Akademik</x:v>
      </x:c>
      <x:c r="E99" s="66" t="str">
        <x:v>11121014</x:v>
      </x:c>
      <x:c r="F99" s="66" t="str">
        <x:v>PENDIDIKAN MATEMATIKA</x:v>
      </x:c>
      <x:c r="G99" s="66" t="str">
        <x:v>Sarjana</x:v>
      </x:c>
      <x:c r="H99" s="87" t="n">
        <x:v>60</x:v>
      </x:c>
      <x:c r="I99" s="87" t="n">
        <x:v>155</x:v>
      </x:c>
      <x:c r="J99" s="68" t="n">
        <x:f>IFERROR(H99/I99,"")</x:f>
        <x:v>0.3870967741935484</x:v>
      </x:c>
      <x:c r="K99" s="69" t="n">
        <x:f>IFERROR(I99/H99,"")</x:f>
        <x:v>2.5833333333333335</x:v>
      </x:c>
      <x:c r="L99" s="66" t="str">
        <x:f>IF(K99="","","1 : "&amp;TEXT(K99,"0.0"))</x:f>
        <x:v>1 : 2.6</x:v>
      </x:c>
      <x:c r="M99" s="66" t="str">
        <x:f>IF(J99="","Baru/Tanpa Data",IF(J99&lt;='Catatan &amp; Sumber'!$B$14,"Sangat Ketat",IF(J99&lt;='Catatan &amp; Sumber'!$B$15,"Ketat",IF(J99&lt;='Catatan &amp; Sumber'!$B$16,"Sedang","Relatif Longgar"))))</x:f>
        <x:v>Relatif Longgar</x:v>
      </x:c>
      <x:c r="N99" s="66" t="str">
        <x:v>Tidak Ada</x:v>
      </x:c>
      <x:c r="O99" s="66" t="str">
        <x:v>Aceh</x:v>
      </x:c>
      <x:c r="P99" s="66" t="str">
        <x:v>Kabupaten Aceh Utara</x:v>
      </x:c>
      <x:c r="Q99" s="66" t="str">
        <x:v>https://snpmb.id/snbp/daya-tampung-snbp</x:v>
      </x:c>
      <x:c r="R99" s="66" t="str">
        <x:v>https://sidatagrun-public-1076756628210.asia-southeast2.run.app/ptn_sn.php?ptn=112</x:v>
      </x:c>
    </x:row>
    <x:row r="100">
      <x:c r="A100" s="87" t="n">
        <x:v>4359</x:v>
      </x:c>
      <x:c r="B100" s="87" t="n">
        <x:v>112</x:v>
      </x:c>
      <x:c r="C100" s="66" t="str">
        <x:v>UNIVERSITAS MALIKUSSALEH</x:v>
      </x:c>
      <x:c r="D100" s="66" t="str">
        <x:v>PTN Akademik</x:v>
      </x:c>
      <x:c r="E100" s="66" t="str">
        <x:v>11121015</x:v>
      </x:c>
      <x:c r="F100" s="66" t="str">
        <x:v>PENDIDIKAN VOKASIONAL TEKNIK MESIN</x:v>
      </x:c>
      <x:c r="G100" s="66" t="str">
        <x:v>Sarjana</x:v>
      </x:c>
      <x:c r="H100" s="87" t="n">
        <x:v>38</x:v>
      </x:c>
      <x:c r="I100" s="87" t="n">
        <x:v>36</x:v>
      </x:c>
      <x:c r="J100" s="68" t="n">
        <x:f>IFERROR(H100/I100,"")</x:f>
        <x:v>1.0555555555555556</x:v>
      </x:c>
      <x:c r="K100" s="69" t="n">
        <x:f>IFERROR(I100/H100,"")</x:f>
        <x:v>0.9473684210526315</x:v>
      </x:c>
      <x:c r="L100" s="66" t="str">
        <x:f>IF(K100="","","1 : "&amp;TEXT(K100,"0.0"))</x:f>
        <x:v>1 : 0.9</x:v>
      </x:c>
      <x:c r="M100" s="66" t="str">
        <x:f>IF(J100="","Baru/Tanpa Data",IF(J100&lt;='Catatan &amp; Sumber'!$B$14,"Sangat Ketat",IF(J100&lt;='Catatan &amp; Sumber'!$B$15,"Ketat",IF(J100&lt;='Catatan &amp; Sumber'!$B$16,"Sedang","Relatif Longgar"))))</x:f>
        <x:v>Relatif Longgar</x:v>
      </x:c>
      <x:c r="N100" s="66" t="str">
        <x:v>Tidak Ada</x:v>
      </x:c>
      <x:c r="O100" s="66" t="str">
        <x:v>Aceh</x:v>
      </x:c>
      <x:c r="P100" s="66" t="str">
        <x:v>Kabupaten Aceh Utara</x:v>
      </x:c>
      <x:c r="Q100" s="66" t="str">
        <x:v>https://snpmb.id/snbp/daya-tampung-snbp</x:v>
      </x:c>
      <x:c r="R100" s="66" t="str">
        <x:v>https://sidatagrun-public-1076756628210.asia-southeast2.run.app/ptn_sn.php?ptn=112</x:v>
      </x:c>
    </x:row>
    <x:row r="101">
      <x:c r="A101" s="87" t="n">
        <x:v>3321</x:v>
      </x:c>
      <x:c r="B101" s="87" t="n">
        <x:v>112</x:v>
      </x:c>
      <x:c r="C101" s="66" t="str">
        <x:v>UNIVERSITAS MALIKUSSALEH</x:v>
      </x:c>
      <x:c r="D101" s="66" t="str">
        <x:v>PTN Akademik</x:v>
      </x:c>
      <x:c r="E101" s="66" t="str">
        <x:v>11121016</x:v>
      </x:c>
      <x:c r="F101" s="66" t="str">
        <x:v>SISTEM INFORMASI</x:v>
      </x:c>
      <x:c r="G101" s="66" t="str">
        <x:v>Sarjana</x:v>
      </x:c>
      <x:c r="H101" s="87" t="n">
        <x:v>100</x:v>
      </x:c>
      <x:c r="I101" s="87" t="n">
        <x:v>264</x:v>
      </x:c>
      <x:c r="J101" s="68" t="n">
        <x:f>IFERROR(H101/I101,"")</x:f>
        <x:v>0.3787878787878788</x:v>
      </x:c>
      <x:c r="K101" s="69" t="n">
        <x:f>IFERROR(I101/H101,"")</x:f>
        <x:v>2.64</x:v>
      </x:c>
      <x:c r="L101" s="66" t="str">
        <x:f>IF(K101="","","1 : "&amp;TEXT(K101,"0.0"))</x:f>
        <x:v>1 : 2.6</x:v>
      </x:c>
      <x:c r="M101" s="66" t="str">
        <x:f>IF(J101="","Baru/Tanpa Data",IF(J101&lt;='Catatan &amp; Sumber'!$B$14,"Sangat Ketat",IF(J101&lt;='Catatan &amp; Sumber'!$B$15,"Ketat",IF(J101&lt;='Catatan &amp; Sumber'!$B$16,"Sedang","Relatif Longgar"))))</x:f>
        <x:v>Relatif Longgar</x:v>
      </x:c>
      <x:c r="N101" s="66" t="str">
        <x:v>Tidak Ada</x:v>
      </x:c>
      <x:c r="O101" s="66" t="str">
        <x:v>Aceh</x:v>
      </x:c>
      <x:c r="P101" s="66" t="str">
        <x:v>Kabupaten Aceh Utara</x:v>
      </x:c>
      <x:c r="Q101" s="66" t="str">
        <x:v>https://snpmb.id/snbp/daya-tampung-snbp</x:v>
      </x:c>
      <x:c r="R101" s="66" t="str">
        <x:v>https://sidatagrun-public-1076756628210.asia-southeast2.run.app/ptn_sn.php?ptn=112</x:v>
      </x:c>
    </x:row>
    <x:row r="102">
      <x:c r="A102" s="87" t="n">
        <x:v>4371</x:v>
      </x:c>
      <x:c r="B102" s="87" t="n">
        <x:v>112</x:v>
      </x:c>
      <x:c r="C102" s="66" t="str">
        <x:v>UNIVERSITAS MALIKUSSALEH</x:v>
      </x:c>
      <x:c r="D102" s="66" t="str">
        <x:v>PTN Akademik</x:v>
      </x:c>
      <x:c r="E102" s="66" t="str">
        <x:v>11121017</x:v>
      </x:c>
      <x:c r="F102" s="66" t="str">
        <x:v>ILMU KELAUTAN</x:v>
      </x:c>
      <x:c r="G102" s="66" t="str">
        <x:v>Sarjana</x:v>
      </x:c>
      <x:c r="H102" s="87" t="n">
        <x:v>58</x:v>
      </x:c>
      <x:c r="I102" s="87" t="n">
        <x:v>54</x:v>
      </x:c>
      <x:c r="J102" s="68" t="n">
        <x:f>IFERROR(H102/I102,"")</x:f>
        <x:v>1.0740740740740742</x:v>
      </x:c>
      <x:c r="K102" s="69" t="n">
        <x:f>IFERROR(I102/H102,"")</x:f>
        <x:v>0.9310344827586207</x:v>
      </x:c>
      <x:c r="L102" s="66" t="str">
        <x:f>IF(K102="","","1 : "&amp;TEXT(K102,"0.0"))</x:f>
        <x:v>1 : 0.9</x:v>
      </x:c>
      <x:c r="M102" s="66" t="str">
        <x:f>IF(J102="","Baru/Tanpa Data",IF(J102&lt;='Catatan &amp; Sumber'!$B$14,"Sangat Ketat",IF(J102&lt;='Catatan &amp; Sumber'!$B$15,"Ketat",IF(J102&lt;='Catatan &amp; Sumber'!$B$16,"Sedang","Relatif Longgar"))))</x:f>
        <x:v>Relatif Longgar</x:v>
      </x:c>
      <x:c r="N102" s="66" t="str">
        <x:v>Tidak Ada</x:v>
      </x:c>
      <x:c r="O102" s="66" t="str">
        <x:v>Aceh</x:v>
      </x:c>
      <x:c r="P102" s="66" t="str">
        <x:v>Kabupaten Aceh Utara</x:v>
      </x:c>
      <x:c r="Q102" s="66" t="str">
        <x:v>https://snpmb.id/snbp/daya-tampung-snbp</x:v>
      </x:c>
      <x:c r="R102" s="66" t="str">
        <x:v>https://sidatagrun-public-1076756628210.asia-southeast2.run.app/ptn_sn.php?ptn=112</x:v>
      </x:c>
    </x:row>
    <x:row r="103">
      <x:c r="A103" s="87" t="n">
        <x:v>4593</x:v>
      </x:c>
      <x:c r="B103" s="87" t="n">
        <x:v>112</x:v>
      </x:c>
      <x:c r="C103" s="66" t="str">
        <x:v>UNIVERSITAS MALIKUSSALEH</x:v>
      </x:c>
      <x:c r="D103" s="66" t="str">
        <x:v>PTN Akademik</x:v>
      </x:c>
      <x:c r="E103" s="66" t="str">
        <x:v>11121018</x:v>
      </x:c>
      <x:c r="F103" s="66" t="str">
        <x:v>TEKNIK MATERIAL</x:v>
      </x:c>
      <x:c r="G103" s="66" t="str">
        <x:v>Sarjana</x:v>
      </x:c>
      <x:c r="H103" s="87" t="n">
        <x:v>50</x:v>
      </x:c>
      <x:c r="I103" s="87" t="n">
        <x:v>31</x:v>
      </x:c>
      <x:c r="J103" s="68" t="n">
        <x:f>IFERROR(H103/I103,"")</x:f>
        <x:v>1.6129032258064515</x:v>
      </x:c>
      <x:c r="K103" s="69" t="n">
        <x:f>IFERROR(I103/H103,"")</x:f>
        <x:v>0.62</x:v>
      </x:c>
      <x:c r="L103" s="66" t="str">
        <x:f>IF(K103="","","1 : "&amp;TEXT(K103,"0.0"))</x:f>
        <x:v>1 : 0.6</x:v>
      </x:c>
      <x:c r="M103" s="66" t="str">
        <x:f>IF(J103="","Baru/Tanpa Data",IF(J103&lt;='Catatan &amp; Sumber'!$B$14,"Sangat Ketat",IF(J103&lt;='Catatan &amp; Sumber'!$B$15,"Ketat",IF(J103&lt;='Catatan &amp; Sumber'!$B$16,"Sedang","Relatif Longgar"))))</x:f>
        <x:v>Relatif Longgar</x:v>
      </x:c>
      <x:c r="N103" s="66" t="str">
        <x:v>Tidak Ada</x:v>
      </x:c>
      <x:c r="O103" s="66" t="str">
        <x:v>Aceh</x:v>
      </x:c>
      <x:c r="P103" s="66" t="str">
        <x:v>Kabupaten Aceh Utara</x:v>
      </x:c>
      <x:c r="Q103" s="66" t="str">
        <x:v>https://snpmb.id/snbp/daya-tampung-snbp</x:v>
      </x:c>
      <x:c r="R103" s="66" t="str">
        <x:v>https://sidatagrun-public-1076756628210.asia-southeast2.run.app/ptn_sn.php?ptn=112</x:v>
      </x:c>
    </x:row>
    <x:row r="104">
      <x:c r="A104" s="87" t="n">
        <x:v>4305</x:v>
      </x:c>
      <x:c r="B104" s="87" t="n">
        <x:v>112</x:v>
      </x:c>
      <x:c r="C104" s="66" t="str">
        <x:v>UNIVERSITAS MALIKUSSALEH</x:v>
      </x:c>
      <x:c r="D104" s="66" t="str">
        <x:v>PTN Akademik</x:v>
      </x:c>
      <x:c r="E104" s="66" t="str">
        <x:v>11121019</x:v>
      </x:c>
      <x:c r="F104" s="66" t="str">
        <x:v>TEKNIK LOGISTIK</x:v>
      </x:c>
      <x:c r="G104" s="66" t="str">
        <x:v>Sarjana</x:v>
      </x:c>
      <x:c r="H104" s="87" t="n">
        <x:v>50</x:v>
      </x:c>
      <x:c r="I104" s="87" t="n">
        <x:v>50</x:v>
      </x:c>
      <x:c r="J104" s="68" t="n">
        <x:f>IFERROR(H104/I104,"")</x:f>
        <x:v>1</x:v>
      </x:c>
      <x:c r="K104" s="69" t="n">
        <x:f>IFERROR(I104/H104,"")</x:f>
        <x:v>1</x:v>
      </x:c>
      <x:c r="L104" s="66" t="str">
        <x:f>IF(K104="","","1 : "&amp;TEXT(K104,"0.0"))</x:f>
        <x:v>1 : 1.0</x:v>
      </x:c>
      <x:c r="M104" s="66" t="str">
        <x:f>IF(J104="","Baru/Tanpa Data",IF(J104&lt;='Catatan &amp; Sumber'!$B$14,"Sangat Ketat",IF(J104&lt;='Catatan &amp; Sumber'!$B$15,"Ketat",IF(J104&lt;='Catatan &amp; Sumber'!$B$16,"Sedang","Relatif Longgar"))))</x:f>
        <x:v>Relatif Longgar</x:v>
      </x:c>
      <x:c r="N104" s="66" t="str">
        <x:v>Tidak Ada</x:v>
      </x:c>
      <x:c r="O104" s="66" t="str">
        <x:v>Aceh</x:v>
      </x:c>
      <x:c r="P104" s="66" t="str">
        <x:v>Kabupaten Aceh Utara</x:v>
      </x:c>
      <x:c r="Q104" s="66" t="str">
        <x:v>https://snpmb.id/snbp/daya-tampung-snbp</x:v>
      </x:c>
      <x:c r="R104" s="66" t="str">
        <x:v>https://sidatagrun-public-1076756628210.asia-southeast2.run.app/ptn_sn.php?ptn=112</x:v>
      </x:c>
    </x:row>
    <x:row r="105">
      <x:c r="A105" s="87" t="n">
        <x:v>3244</x:v>
      </x:c>
      <x:c r="B105" s="87" t="n">
        <x:v>112</x:v>
      </x:c>
      <x:c r="C105" s="66" t="str">
        <x:v>UNIVERSITAS MALIKUSSALEH</x:v>
      </x:c>
      <x:c r="D105" s="66" t="str">
        <x:v>PTN Akademik</x:v>
      </x:c>
      <x:c r="E105" s="66" t="str">
        <x:v>11121020</x:v>
      </x:c>
      <x:c r="F105" s="66" t="str">
        <x:v>MANAJEMEN</x:v>
      </x:c>
      <x:c r="G105" s="66" t="str">
        <x:v>Sarjana</x:v>
      </x:c>
      <x:c r="H105" s="87" t="n">
        <x:v>208</x:v>
      </x:c>
      <x:c r="I105" s="87" t="n">
        <x:v>587</x:v>
      </x:c>
      <x:c r="J105" s="68" t="n">
        <x:f>IFERROR(H105/I105,"")</x:f>
        <x:v>0.3543441226575809</x:v>
      </x:c>
      <x:c r="K105" s="69" t="n">
        <x:f>IFERROR(I105/H105,"")</x:f>
        <x:v>2.8221153846153846</x:v>
      </x:c>
      <x:c r="L105" s="66" t="str">
        <x:f>IF(K105="","","1 : "&amp;TEXT(K105,"0.0"))</x:f>
        <x:v>1 : 2.8</x:v>
      </x:c>
      <x:c r="M105" s="66" t="str">
        <x:f>IF(J105="","Baru/Tanpa Data",IF(J105&lt;='Catatan &amp; Sumber'!$B$14,"Sangat Ketat",IF(J105&lt;='Catatan &amp; Sumber'!$B$15,"Ketat",IF(J105&lt;='Catatan &amp; Sumber'!$B$16,"Sedang","Relatif Longgar"))))</x:f>
        <x:v>Relatif Longgar</x:v>
      </x:c>
      <x:c r="N105" s="66" t="str">
        <x:v>Tidak Ada</x:v>
      </x:c>
      <x:c r="O105" s="66" t="str">
        <x:v>Aceh</x:v>
      </x:c>
      <x:c r="P105" s="66" t="str">
        <x:v>Kabupaten Aceh Utara</x:v>
      </x:c>
      <x:c r="Q105" s="66" t="str">
        <x:v>https://snpmb.id/snbp/daya-tampung-snbp</x:v>
      </x:c>
      <x:c r="R105" s="66" t="str">
        <x:v>https://sidatagrun-public-1076756628210.asia-southeast2.run.app/ptn_sn.php?ptn=112</x:v>
      </x:c>
    </x:row>
    <x:row r="106">
      <x:c r="A106" s="87" t="n">
        <x:v>3464</x:v>
      </x:c>
      <x:c r="B106" s="87" t="n">
        <x:v>112</x:v>
      </x:c>
      <x:c r="C106" s="66" t="str">
        <x:v>UNIVERSITAS MALIKUSSALEH</x:v>
      </x:c>
      <x:c r="D106" s="66" t="str">
        <x:v>PTN Akademik</x:v>
      </x:c>
      <x:c r="E106" s="66" t="str">
        <x:v>11121021</x:v>
      </x:c>
      <x:c r="F106" s="66" t="str">
        <x:v>AKUNTANSI</x:v>
      </x:c>
      <x:c r="G106" s="66" t="str">
        <x:v>Sarjana</x:v>
      </x:c>
      <x:c r="H106" s="87" t="n">
        <x:v>163</x:v>
      </x:c>
      <x:c r="I106" s="87" t="n">
        <x:v>386</x:v>
      </x:c>
      <x:c r="J106" s="68" t="n">
        <x:f>IFERROR(H106/I106,"")</x:f>
        <x:v>0.422279792746114</x:v>
      </x:c>
      <x:c r="K106" s="69" t="n">
        <x:f>IFERROR(I106/H106,"")</x:f>
        <x:v>2.3680981595092025</x:v>
      </x:c>
      <x:c r="L106" s="66" t="str">
        <x:f>IF(K106="","","1 : "&amp;TEXT(K106,"0.0"))</x:f>
        <x:v>1 : 2.4</x:v>
      </x:c>
      <x:c r="M106" s="66" t="str">
        <x:f>IF(J106="","Baru/Tanpa Data",IF(J106&lt;='Catatan &amp; Sumber'!$B$14,"Sangat Ketat",IF(J106&lt;='Catatan &amp; Sumber'!$B$15,"Ketat",IF(J106&lt;='Catatan &amp; Sumber'!$B$16,"Sedang","Relatif Longgar"))))</x:f>
        <x:v>Relatif Longgar</x:v>
      </x:c>
      <x:c r="N106" s="66" t="str">
        <x:v>Tidak Ada</x:v>
      </x:c>
      <x:c r="O106" s="66" t="str">
        <x:v>Aceh</x:v>
      </x:c>
      <x:c r="P106" s="66" t="str">
        <x:v>Kabupaten Aceh Utara</x:v>
      </x:c>
      <x:c r="Q106" s="66" t="str">
        <x:v>https://snpmb.id/snbp/daya-tampung-snbp</x:v>
      </x:c>
      <x:c r="R106" s="66" t="str">
        <x:v>https://sidatagrun-public-1076756628210.asia-southeast2.run.app/ptn_sn.php?ptn=112</x:v>
      </x:c>
    </x:row>
    <x:row r="107">
      <x:c r="A107" s="87" t="n">
        <x:v>4239</x:v>
      </x:c>
      <x:c r="B107" s="87" t="n">
        <x:v>112</x:v>
      </x:c>
      <x:c r="C107" s="66" t="str">
        <x:v>UNIVERSITAS MALIKUSSALEH</x:v>
      </x:c>
      <x:c r="D107" s="66" t="str">
        <x:v>PTN Akademik</x:v>
      </x:c>
      <x:c r="E107" s="66" t="str">
        <x:v>11121022</x:v>
      </x:c>
      <x:c r="F107" s="66" t="str">
        <x:v>ILMU EKONOMI &amp; STUDI PEMBANGUNAN</x:v>
      </x:c>
      <x:c r="G107" s="66" t="str">
        <x:v>Sarjana</x:v>
      </x:c>
      <x:c r="H107" s="87" t="n">
        <x:v>105</x:v>
      </x:c>
      <x:c r="I107" s="87" t="n">
        <x:v>117</x:v>
      </x:c>
      <x:c r="J107" s="68" t="n">
        <x:f>IFERROR(H107/I107,"")</x:f>
        <x:v>0.8974358974358975</x:v>
      </x:c>
      <x:c r="K107" s="69" t="n">
        <x:f>IFERROR(I107/H107,"")</x:f>
        <x:v>1.1142857142857143</x:v>
      </x:c>
      <x:c r="L107" s="66" t="str">
        <x:f>IF(K107="","","1 : "&amp;TEXT(K107,"0.0"))</x:f>
        <x:v>1 : 1.1</x:v>
      </x:c>
      <x:c r="M107" s="66" t="str">
        <x:f>IF(J107="","Baru/Tanpa Data",IF(J107&lt;='Catatan &amp; Sumber'!$B$14,"Sangat Ketat",IF(J107&lt;='Catatan &amp; Sumber'!$B$15,"Ketat",IF(J107&lt;='Catatan &amp; Sumber'!$B$16,"Sedang","Relatif Longgar"))))</x:f>
        <x:v>Relatif Longgar</x:v>
      </x:c>
      <x:c r="N107" s="66" t="str">
        <x:v>Tidak Ada</x:v>
      </x:c>
      <x:c r="O107" s="66" t="str">
        <x:v>Aceh</x:v>
      </x:c>
      <x:c r="P107" s="66" t="str">
        <x:v>Kabupaten Aceh Utara</x:v>
      </x:c>
      <x:c r="Q107" s="66" t="str">
        <x:v>https://snpmb.id/snbp/daya-tampung-snbp</x:v>
      </x:c>
      <x:c r="R107" s="66" t="str">
        <x:v>https://sidatagrun-public-1076756628210.asia-southeast2.run.app/ptn_sn.php?ptn=112</x:v>
      </x:c>
    </x:row>
    <x:row r="108">
      <x:c r="A108" s="87" t="n">
        <x:v>3633</x:v>
      </x:c>
      <x:c r="B108" s="87" t="n">
        <x:v>112</x:v>
      </x:c>
      <x:c r="C108" s="66" t="str">
        <x:v>UNIVERSITAS MALIKUSSALEH</x:v>
      </x:c>
      <x:c r="D108" s="66" t="str">
        <x:v>PTN Akademik</x:v>
      </x:c>
      <x:c r="E108" s="66" t="str">
        <x:v>11121023</x:v>
      </x:c>
      <x:c r="F108" s="66" t="str">
        <x:v>ADMINISTRASI PUBLIK</x:v>
      </x:c>
      <x:c r="G108" s="66" t="str">
        <x:v>Sarjana</x:v>
      </x:c>
      <x:c r="H108" s="87" t="n">
        <x:v>135</x:v>
      </x:c>
      <x:c r="I108" s="87" t="n">
        <x:v>280</x:v>
      </x:c>
      <x:c r="J108" s="68" t="n">
        <x:f>IFERROR(H108/I108,"")</x:f>
        <x:v>0.48214285714285715</x:v>
      </x:c>
      <x:c r="K108" s="69" t="n">
        <x:f>IFERROR(I108/H108,"")</x:f>
        <x:v>2.074074074074074</x:v>
      </x:c>
      <x:c r="L108" s="66" t="str">
        <x:f>IF(K108="","","1 : "&amp;TEXT(K108,"0.0"))</x:f>
        <x:v>1 : 2.1</x:v>
      </x:c>
      <x:c r="M108" s="66" t="str">
        <x:f>IF(J108="","Baru/Tanpa Data",IF(J108&lt;='Catatan &amp; Sumber'!$B$14,"Sangat Ketat",IF(J108&lt;='Catatan &amp; Sumber'!$B$15,"Ketat",IF(J108&lt;='Catatan &amp; Sumber'!$B$16,"Sedang","Relatif Longgar"))))</x:f>
        <x:v>Relatif Longgar</x:v>
      </x:c>
      <x:c r="N108" s="66" t="str">
        <x:v>Tidak Ada</x:v>
      </x:c>
      <x:c r="O108" s="66" t="str">
        <x:v>Aceh</x:v>
      </x:c>
      <x:c r="P108" s="66" t="str">
        <x:v>Kabupaten Aceh Utara</x:v>
      </x:c>
      <x:c r="Q108" s="66" t="str">
        <x:v>https://snpmb.id/snbp/daya-tampung-snbp</x:v>
      </x:c>
      <x:c r="R108" s="66" t="str">
        <x:v>https://sidatagrun-public-1076756628210.asia-southeast2.run.app/ptn_sn.php?ptn=112</x:v>
      </x:c>
    </x:row>
    <x:row r="109">
      <x:c r="A109" s="87" t="n">
        <x:v>3710</x:v>
      </x:c>
      <x:c r="B109" s="87" t="n">
        <x:v>112</x:v>
      </x:c>
      <x:c r="C109" s="66" t="str">
        <x:v>UNIVERSITAS MALIKUSSALEH</x:v>
      </x:c>
      <x:c r="D109" s="66" t="str">
        <x:v>PTN Akademik</x:v>
      </x:c>
      <x:c r="E109" s="66" t="str">
        <x:v>11121024</x:v>
      </x:c>
      <x:c r="F109" s="66" t="str">
        <x:v>SOSIOLOGI</x:v>
      </x:c>
      <x:c r="G109" s="66" t="str">
        <x:v>Sarjana</x:v>
      </x:c>
      <x:c r="H109" s="87" t="n">
        <x:v>100</x:v>
      </x:c>
      <x:c r="I109" s="87" t="n">
        <x:v>192</x:v>
      </x:c>
      <x:c r="J109" s="68" t="n">
        <x:f>IFERROR(H109/I109,"")</x:f>
        <x:v>0.5208333333333334</x:v>
      </x:c>
      <x:c r="K109" s="69" t="n">
        <x:f>IFERROR(I109/H109,"")</x:f>
        <x:v>1.92</x:v>
      </x:c>
      <x:c r="L109" s="66" t="str">
        <x:f>IF(K109="","","1 : "&amp;TEXT(K109,"0.0"))</x:f>
        <x:v>1 : 1.9</x:v>
      </x:c>
      <x:c r="M109" s="66" t="str">
        <x:f>IF(J109="","Baru/Tanpa Data",IF(J109&lt;='Catatan &amp; Sumber'!$B$14,"Sangat Ketat",IF(J109&lt;='Catatan &amp; Sumber'!$B$15,"Ketat",IF(J109&lt;='Catatan &amp; Sumber'!$B$16,"Sedang","Relatif Longgar"))))</x:f>
        <x:v>Relatif Longgar</x:v>
      </x:c>
      <x:c r="N109" s="66" t="str">
        <x:v>Tidak Ada</x:v>
      </x:c>
      <x:c r="O109" s="66" t="str">
        <x:v>Aceh</x:v>
      </x:c>
      <x:c r="P109" s="66" t="str">
        <x:v>Kabupaten Aceh Utara</x:v>
      </x:c>
      <x:c r="Q109" s="66" t="str">
        <x:v>https://snpmb.id/snbp/daya-tampung-snbp</x:v>
      </x:c>
      <x:c r="R109" s="66" t="str">
        <x:v>https://sidatagrun-public-1076756628210.asia-southeast2.run.app/ptn_sn.php?ptn=112</x:v>
      </x:c>
    </x:row>
    <x:row r="110">
      <x:c r="A110" s="87" t="n">
        <x:v>4695</x:v>
      </x:c>
      <x:c r="B110" s="87" t="n">
        <x:v>112</x:v>
      </x:c>
      <x:c r="C110" s="66" t="str">
        <x:v>UNIVERSITAS MALIKUSSALEH</x:v>
      </x:c>
      <x:c r="D110" s="66" t="str">
        <x:v>PTN Akademik</x:v>
      </x:c>
      <x:c r="E110" s="66" t="str">
        <x:v>11121025</x:v>
      </x:c>
      <x:c r="F110" s="66" t="str">
        <x:v>ILMU POLITIK</x:v>
      </x:c>
      <x:c r="G110" s="66" t="str">
        <x:v>Sarjana</x:v>
      </x:c>
      <x:c r="H110" s="87" t="n">
        <x:v>100</x:v>
      </x:c>
      <x:c r="I110" s="87" t="n">
        <x:v>45</x:v>
      </x:c>
      <x:c r="J110" s="68" t="n">
        <x:f>IFERROR(H110/I110,"")</x:f>
        <x:v>2.2222222222222223</x:v>
      </x:c>
      <x:c r="K110" s="69" t="n">
        <x:f>IFERROR(I110/H110,"")</x:f>
        <x:v>0.45</x:v>
      </x:c>
      <x:c r="L110" s="66" t="str">
        <x:f>IF(K110="","","1 : "&amp;TEXT(K110,"0.0"))</x:f>
        <x:v>1 : 0.5</x:v>
      </x:c>
      <x:c r="M110" s="66" t="str">
        <x:f>IF(J110="","Baru/Tanpa Data",IF(J110&lt;='Catatan &amp; Sumber'!$B$14,"Sangat Ketat",IF(J110&lt;='Catatan &amp; Sumber'!$B$15,"Ketat",IF(J110&lt;='Catatan &amp; Sumber'!$B$16,"Sedang","Relatif Longgar"))))</x:f>
        <x:v>Relatif Longgar</x:v>
      </x:c>
      <x:c r="N110" s="66" t="str">
        <x:v>Tidak Ada</x:v>
      </x:c>
      <x:c r="O110" s="66" t="str">
        <x:v>Aceh</x:v>
      </x:c>
      <x:c r="P110" s="66" t="str">
        <x:v>Kabupaten Aceh Utara</x:v>
      </x:c>
      <x:c r="Q110" s="66" t="str">
        <x:v>https://snpmb.id/snbp/daya-tampung-snbp</x:v>
      </x:c>
      <x:c r="R110" s="66" t="str">
        <x:v>https://sidatagrun-public-1076756628210.asia-southeast2.run.app/ptn_sn.php?ptn=112</x:v>
      </x:c>
    </x:row>
    <x:row r="111">
      <x:c r="A111" s="87" t="n">
        <x:v>4193</x:v>
      </x:c>
      <x:c r="B111" s="87" t="n">
        <x:v>112</x:v>
      </x:c>
      <x:c r="C111" s="66" t="str">
        <x:v>UNIVERSITAS MALIKUSSALEH</x:v>
      </x:c>
      <x:c r="D111" s="66" t="str">
        <x:v>PTN Akademik</x:v>
      </x:c>
      <x:c r="E111" s="66" t="str">
        <x:v>11121026</x:v>
      </x:c>
      <x:c r="F111" s="66" t="str">
        <x:v>ANTROPOLOGI</x:v>
      </x:c>
      <x:c r="G111" s="66" t="str">
        <x:v>Sarjana</x:v>
      </x:c>
      <x:c r="H111" s="87" t="n">
        <x:v>50</x:v>
      </x:c>
      <x:c r="I111" s="87" t="n">
        <x:v>59</x:v>
      </x:c>
      <x:c r="J111" s="68" t="n">
        <x:f>IFERROR(H111/I111,"")</x:f>
        <x:v>0.847457627118644</x:v>
      </x:c>
      <x:c r="K111" s="69" t="n">
        <x:f>IFERROR(I111/H111,"")</x:f>
        <x:v>1.18</x:v>
      </x:c>
      <x:c r="L111" s="66" t="str">
        <x:f>IF(K111="","","1 : "&amp;TEXT(K111,"0.0"))</x:f>
        <x:v>1 : 1.2</x:v>
      </x:c>
      <x:c r="M111" s="66" t="str">
        <x:f>IF(J111="","Baru/Tanpa Data",IF(J111&lt;='Catatan &amp; Sumber'!$B$14,"Sangat Ketat",IF(J111&lt;='Catatan &amp; Sumber'!$B$15,"Ketat",IF(J111&lt;='Catatan &amp; Sumber'!$B$16,"Sedang","Relatif Longgar"))))</x:f>
        <x:v>Relatif Longgar</x:v>
      </x:c>
      <x:c r="N111" s="66" t="str">
        <x:v>Tidak Ada</x:v>
      </x:c>
      <x:c r="O111" s="66" t="str">
        <x:v>Aceh</x:v>
      </x:c>
      <x:c r="P111" s="66" t="str">
        <x:v>Kabupaten Aceh Utara</x:v>
      </x:c>
      <x:c r="Q111" s="66" t="str">
        <x:v>https://snpmb.id/snbp/daya-tampung-snbp</x:v>
      </x:c>
      <x:c r="R111" s="66" t="str">
        <x:v>https://sidatagrun-public-1076756628210.asia-southeast2.run.app/ptn_sn.php?ptn=112</x:v>
      </x:c>
    </x:row>
    <x:row r="112">
      <x:c r="A112" s="87" t="n">
        <x:v>3609</x:v>
      </x:c>
      <x:c r="B112" s="87" t="n">
        <x:v>112</x:v>
      </x:c>
      <x:c r="C112" s="66" t="str">
        <x:v>UNIVERSITAS MALIKUSSALEH</x:v>
      </x:c>
      <x:c r="D112" s="66" t="str">
        <x:v>PTN Akademik</x:v>
      </x:c>
      <x:c r="E112" s="66" t="str">
        <x:v>11121027</x:v>
      </x:c>
      <x:c r="F112" s="66" t="str">
        <x:v>ILMU KOMUNIKASI</x:v>
      </x:c>
      <x:c r="G112" s="66" t="str">
        <x:v>Sarjana</x:v>
      </x:c>
      <x:c r="H112" s="87" t="n">
        <x:v>139</x:v>
      </x:c>
      <x:c r="I112" s="87" t="n">
        <x:v>294</x:v>
      </x:c>
      <x:c r="J112" s="68" t="n">
        <x:f>IFERROR(H112/I112,"")</x:f>
        <x:v>0.47278911564625853</x:v>
      </x:c>
      <x:c r="K112" s="69" t="n">
        <x:f>IFERROR(I112/H112,"")</x:f>
        <x:v>2.115107913669065</x:v>
      </x:c>
      <x:c r="L112" s="66" t="str">
        <x:f>IF(K112="","","1 : "&amp;TEXT(K112,"0.0"))</x:f>
        <x:v>1 : 2.1</x:v>
      </x:c>
      <x:c r="M112" s="66" t="str">
        <x:f>IF(J112="","Baru/Tanpa Data",IF(J112&lt;='Catatan &amp; Sumber'!$B$14,"Sangat Ketat",IF(J112&lt;='Catatan &amp; Sumber'!$B$15,"Ketat",IF(J112&lt;='Catatan &amp; Sumber'!$B$16,"Sedang","Relatif Longgar"))))</x:f>
        <x:v>Relatif Longgar</x:v>
      </x:c>
      <x:c r="N112" s="66" t="str">
        <x:v>Tidak Ada</x:v>
      </x:c>
      <x:c r="O112" s="66" t="str">
        <x:v>Aceh</x:v>
      </x:c>
      <x:c r="P112" s="66" t="str">
        <x:v>Kabupaten Aceh Utara</x:v>
      </x:c>
      <x:c r="Q112" s="66" t="str">
        <x:v>https://snpmb.id/snbp/daya-tampung-snbp</x:v>
      </x:c>
      <x:c r="R112" s="66" t="str">
        <x:v>https://sidatagrun-public-1076756628210.asia-southeast2.run.app/ptn_sn.php?ptn=112</x:v>
      </x:c>
    </x:row>
    <x:row r="113">
      <x:c r="A113" s="87" t="n">
        <x:v>3951</x:v>
      </x:c>
      <x:c r="B113" s="87" t="n">
        <x:v>112</x:v>
      </x:c>
      <x:c r="C113" s="66" t="str">
        <x:v>UNIVERSITAS MALIKUSSALEH</x:v>
      </x:c>
      <x:c r="D113" s="66" t="str">
        <x:v>PTN Akademik</x:v>
      </x:c>
      <x:c r="E113" s="66" t="str">
        <x:v>11121028</x:v>
      </x:c>
      <x:c r="F113" s="66" t="str">
        <x:v>HUKUM</x:v>
      </x:c>
      <x:c r="G113" s="66" t="str">
        <x:v>Sarjana</x:v>
      </x:c>
      <x:c r="H113" s="87" t="n">
        <x:v>250</x:v>
      </x:c>
      <x:c r="I113" s="87" t="n">
        <x:v>381</x:v>
      </x:c>
      <x:c r="J113" s="68" t="n">
        <x:f>IFERROR(H113/I113,"")</x:f>
        <x:v>0.6561679790026247</x:v>
      </x:c>
      <x:c r="K113" s="69" t="n">
        <x:f>IFERROR(I113/H113,"")</x:f>
        <x:v>1.524</x:v>
      </x:c>
      <x:c r="L113" s="66" t="str">
        <x:f>IF(K113="","","1 : "&amp;TEXT(K113,"0.0"))</x:f>
        <x:v>1 : 1.5</x:v>
      </x:c>
      <x:c r="M113" s="66" t="str">
        <x:f>IF(J113="","Baru/Tanpa Data",IF(J113&lt;='Catatan &amp; Sumber'!$B$14,"Sangat Ketat",IF(J113&lt;='Catatan &amp; Sumber'!$B$15,"Ketat",IF(J113&lt;='Catatan &amp; Sumber'!$B$16,"Sedang","Relatif Longgar"))))</x:f>
        <x:v>Relatif Longgar</x:v>
      </x:c>
      <x:c r="N113" s="66" t="str">
        <x:v>Tidak Ada</x:v>
      </x:c>
      <x:c r="O113" s="66" t="str">
        <x:v>Aceh</x:v>
      </x:c>
      <x:c r="P113" s="66" t="str">
        <x:v>Kabupaten Aceh Utara</x:v>
      </x:c>
      <x:c r="Q113" s="66" t="str">
        <x:v>https://snpmb.id/snbp/daya-tampung-snbp</x:v>
      </x:c>
      <x:c r="R113" s="66" t="str">
        <x:v>https://sidatagrun-public-1076756628210.asia-southeast2.run.app/ptn_sn.php?ptn=112</x:v>
      </x:c>
    </x:row>
    <x:row r="114">
      <x:c r="A114" s="87" t="n">
        <x:v>3986</x:v>
      </x:c>
      <x:c r="B114" s="87" t="n">
        <x:v>112</x:v>
      </x:c>
      <x:c r="C114" s="66" t="str">
        <x:v>UNIVERSITAS MALIKUSSALEH</x:v>
      </x:c>
      <x:c r="D114" s="66" t="str">
        <x:v>PTN Akademik</x:v>
      </x:c>
      <x:c r="E114" s="66" t="str">
        <x:v>11121029</x:v>
      </x:c>
      <x:c r="F114" s="66" t="str">
        <x:v>EKONOMI SYARIAH</x:v>
      </x:c>
      <x:c r="G114" s="66" t="str">
        <x:v>Sarjana</x:v>
      </x:c>
      <x:c r="H114" s="87" t="n">
        <x:v>110</x:v>
      </x:c>
      <x:c r="I114" s="87" t="n">
        <x:v>162</x:v>
      </x:c>
      <x:c r="J114" s="68" t="n">
        <x:f>IFERROR(H114/I114,"")</x:f>
        <x:v>0.6790123456790124</x:v>
      </x:c>
      <x:c r="K114" s="69" t="n">
        <x:f>IFERROR(I114/H114,"")</x:f>
        <x:v>1.4727272727272727</x:v>
      </x:c>
      <x:c r="L114" s="66" t="str">
        <x:f>IF(K114="","","1 : "&amp;TEXT(K114,"0.0"))</x:f>
        <x:v>1 : 1.5</x:v>
      </x:c>
      <x:c r="M114" s="66" t="str">
        <x:f>IF(J114="","Baru/Tanpa Data",IF(J114&lt;='Catatan &amp; Sumber'!$B$14,"Sangat Ketat",IF(J114&lt;='Catatan &amp; Sumber'!$B$15,"Ketat",IF(J114&lt;='Catatan &amp; Sumber'!$B$16,"Sedang","Relatif Longgar"))))</x:f>
        <x:v>Relatif Longgar</x:v>
      </x:c>
      <x:c r="N114" s="66" t="str">
        <x:v>Tidak Ada</x:v>
      </x:c>
      <x:c r="O114" s="66" t="str">
        <x:v>Aceh</x:v>
      </x:c>
      <x:c r="P114" s="66" t="str">
        <x:v>Kabupaten Aceh Utara</x:v>
      </x:c>
      <x:c r="Q114" s="66" t="str">
        <x:v>https://snpmb.id/snbp/daya-tampung-snbp</x:v>
      </x:c>
      <x:c r="R114" s="66" t="str">
        <x:v>https://sidatagrun-public-1076756628210.asia-southeast2.run.app/ptn_sn.php?ptn=112</x:v>
      </x:c>
    </x:row>
    <x:row r="115">
      <x:c r="A115" s="87" t="n">
        <x:v>2666</x:v>
      </x:c>
      <x:c r="B115" s="87" t="n">
        <x:v>112</x:v>
      </x:c>
      <x:c r="C115" s="66" t="str">
        <x:v>UNIVERSITAS MALIKUSSALEH</x:v>
      </x:c>
      <x:c r="D115" s="66" t="str">
        <x:v>PTN Akademik</x:v>
      </x:c>
      <x:c r="E115" s="66" t="str">
        <x:v>11121030</x:v>
      </x:c>
      <x:c r="F115" s="66" t="str">
        <x:v>PSIKOLOGI</x:v>
      </x:c>
      <x:c r="G115" s="66" t="str">
        <x:v>Sarjana</x:v>
      </x:c>
      <x:c r="H115" s="87" t="n">
        <x:v>90</x:v>
      </x:c>
      <x:c r="I115" s="87" t="n">
        <x:v>379</x:v>
      </x:c>
      <x:c r="J115" s="68" t="n">
        <x:f>IFERROR(H115/I115,"")</x:f>
        <x:v>0.23746701846965698</x:v>
      </x:c>
      <x:c r="K115" s="69" t="n">
        <x:f>IFERROR(I115/H115,"")</x:f>
        <x:v>4.211111111111111</x:v>
      </x:c>
      <x:c r="L115" s="66" t="str">
        <x:f>IF(K115="","","1 : "&amp;TEXT(K115,"0.0"))</x:f>
        <x:v>1 : 4.2</x:v>
      </x:c>
      <x:c r="M115" s="66" t="str">
        <x:f>IF(J115="","Baru/Tanpa Data",IF(J115&lt;='Catatan &amp; Sumber'!$B$14,"Sangat Ketat",IF(J115&lt;='Catatan &amp; Sumber'!$B$15,"Ketat",IF(J115&lt;='Catatan &amp; Sumber'!$B$16,"Sedang","Relatif Longgar"))))</x:f>
        <x:v>Relatif Longgar</x:v>
      </x:c>
      <x:c r="N115" s="66" t="str">
        <x:v>Tidak Ada</x:v>
      </x:c>
      <x:c r="O115" s="66" t="str">
        <x:v>Aceh</x:v>
      </x:c>
      <x:c r="P115" s="66" t="str">
        <x:v>Kabupaten Aceh Utara</x:v>
      </x:c>
      <x:c r="Q115" s="66" t="str">
        <x:v>https://snpmb.id/snbp/daya-tampung-snbp</x:v>
      </x:c>
      <x:c r="R115" s="66" t="str">
        <x:v>https://sidatagrun-public-1076756628210.asia-southeast2.run.app/ptn_sn.php?ptn=112</x:v>
      </x:c>
    </x:row>
    <x:row r="116">
      <x:c r="A116" s="87" t="n">
        <x:v>2779</x:v>
      </x:c>
      <x:c r="B116" s="87" t="n">
        <x:v>112</x:v>
      </x:c>
      <x:c r="C116" s="66" t="str">
        <x:v>UNIVERSITAS MALIKUSSALEH</x:v>
      </x:c>
      <x:c r="D116" s="66" t="str">
        <x:v>PTN Akademik</x:v>
      </x:c>
      <x:c r="E116" s="66" t="str">
        <x:v>11121031</x:v>
      </x:c>
      <x:c r="F116" s="66" t="str">
        <x:v>PENDIDIKAN BAHASA INDONESIA</x:v>
      </x:c>
      <x:c r="G116" s="66" t="str">
        <x:v>Sarjana</x:v>
      </x:c>
      <x:c r="H116" s="87" t="n">
        <x:v>98</x:v>
      </x:c>
      <x:c r="I116" s="87" t="n">
        <x:v>384</x:v>
      </x:c>
      <x:c r="J116" s="68" t="n">
        <x:f>IFERROR(H116/I116,"")</x:f>
        <x:v>0.2552083333333333</x:v>
      </x:c>
      <x:c r="K116" s="69" t="n">
        <x:f>IFERROR(I116/H116,"")</x:f>
        <x:v>3.9183673469387754</x:v>
      </x:c>
      <x:c r="L116" s="66" t="str">
        <x:f>IF(K116="","","1 : "&amp;TEXT(K116,"0.0"))</x:f>
        <x:v>1 : 3.9</x:v>
      </x:c>
      <x:c r="M116" s="66" t="str">
        <x:f>IF(J116="","Baru/Tanpa Data",IF(J116&lt;='Catatan &amp; Sumber'!$B$14,"Sangat Ketat",IF(J116&lt;='Catatan &amp; Sumber'!$B$15,"Ketat",IF(J116&lt;='Catatan &amp; Sumber'!$B$16,"Sedang","Relatif Longgar"))))</x:f>
        <x:v>Relatif Longgar</x:v>
      </x:c>
      <x:c r="N116" s="66" t="str">
        <x:v>Tidak Ada</x:v>
      </x:c>
      <x:c r="O116" s="66" t="str">
        <x:v>Aceh</x:v>
      </x:c>
      <x:c r="P116" s="66" t="str">
        <x:v>Kabupaten Aceh Utara</x:v>
      </x:c>
      <x:c r="Q116" s="66" t="str">
        <x:v>https://snpmb.id/snbp/daya-tampung-snbp</x:v>
      </x:c>
      <x:c r="R116" s="66" t="str">
        <x:v>https://sidatagrun-public-1076756628210.asia-southeast2.run.app/ptn_sn.php?ptn=112</x:v>
      </x:c>
    </x:row>
    <x:row r="117">
      <x:c r="A117" s="87" t="n">
        <x:v>2949</x:v>
      </x:c>
      <x:c r="B117" s="87" t="n">
        <x:v>112</x:v>
      </x:c>
      <x:c r="C117" s="66" t="str">
        <x:v>UNIVERSITAS MALIKUSSALEH</x:v>
      </x:c>
      <x:c r="D117" s="66" t="str">
        <x:v>PTN Akademik</x:v>
      </x:c>
      <x:c r="E117" s="66" t="str">
        <x:v>11121032</x:v>
      </x:c>
      <x:c r="F117" s="66" t="str">
        <x:v>ADMINISTRASI BISNIS</x:v>
      </x:c>
      <x:c r="G117" s="66" t="str">
        <x:v>Sarjana</x:v>
      </x:c>
      <x:c r="H117" s="87" t="n">
        <x:v>75</x:v>
      </x:c>
      <x:c r="I117" s="87" t="n">
        <x:v>264</x:v>
      </x:c>
      <x:c r="J117" s="68" t="n">
        <x:f>IFERROR(H117/I117,"")</x:f>
        <x:v>0.2840909090909091</x:v>
      </x:c>
      <x:c r="K117" s="69" t="n">
        <x:f>IFERROR(I117/H117,"")</x:f>
        <x:v>3.52</x:v>
      </x:c>
      <x:c r="L117" s="66" t="str">
        <x:f>IF(K117="","","1 : "&amp;TEXT(K117,"0.0"))</x:f>
        <x:v>1 : 3.5</x:v>
      </x:c>
      <x:c r="M117" s="66" t="str">
        <x:f>IF(J117="","Baru/Tanpa Data",IF(J117&lt;='Catatan &amp; Sumber'!$B$14,"Sangat Ketat",IF(J117&lt;='Catatan &amp; Sumber'!$B$15,"Ketat",IF(J117&lt;='Catatan &amp; Sumber'!$B$16,"Sedang","Relatif Longgar"))))</x:f>
        <x:v>Relatif Longgar</x:v>
      </x:c>
      <x:c r="N117" s="66" t="str">
        <x:v>Tidak Ada</x:v>
      </x:c>
      <x:c r="O117" s="66" t="str">
        <x:v>Aceh</x:v>
      </x:c>
      <x:c r="P117" s="66" t="str">
        <x:v>Kabupaten Aceh Utara</x:v>
      </x:c>
      <x:c r="Q117" s="66" t="str">
        <x:v>https://snpmb.id/snbp/daya-tampung-snbp</x:v>
      </x:c>
      <x:c r="R117" s="66" t="str">
        <x:v>https://sidatagrun-public-1076756628210.asia-southeast2.run.app/ptn_sn.php?ptn=112</x:v>
      </x:c>
    </x:row>
    <x:row r="118">
      <x:c r="A118" s="87" t="n">
        <x:v>4015</x:v>
      </x:c>
      <x:c r="B118" s="87" t="n">
        <x:v>112</x:v>
      </x:c>
      <x:c r="C118" s="66" t="str">
        <x:v>UNIVERSITAS MALIKUSSALEH</x:v>
      </x:c>
      <x:c r="D118" s="66" t="str">
        <x:v>PTN Akademik</x:v>
      </x:c>
      <x:c r="E118" s="66" t="str">
        <x:v>11121033</x:v>
      </x:c>
      <x:c r="F118" s="66" t="str">
        <x:v>KEWIRUSAHAAN</x:v>
      </x:c>
      <x:c r="G118" s="66" t="str">
        <x:v>Sarjana</x:v>
      </x:c>
      <x:c r="H118" s="87" t="n">
        <x:v>68</x:v>
      </x:c>
      <x:c r="I118" s="87" t="n">
        <x:v>98</x:v>
      </x:c>
      <x:c r="J118" s="68" t="n">
        <x:f>IFERROR(H118/I118,"")</x:f>
        <x:v>0.6938775510204082</x:v>
      </x:c>
      <x:c r="K118" s="69" t="n">
        <x:f>IFERROR(I118/H118,"")</x:f>
        <x:v>1.4411764705882353</x:v>
      </x:c>
      <x:c r="L118" s="66" t="str">
        <x:f>IF(K118="","","1 : "&amp;TEXT(K118,"0.0"))</x:f>
        <x:v>1 : 1.4</x:v>
      </x:c>
      <x:c r="M118" s="66" t="str">
        <x:f>IF(J118="","Baru/Tanpa Data",IF(J118&lt;='Catatan &amp; Sumber'!$B$14,"Sangat Ketat",IF(J118&lt;='Catatan &amp; Sumber'!$B$15,"Ketat",IF(J118&lt;='Catatan &amp; Sumber'!$B$16,"Sedang","Relatif Longgar"))))</x:f>
        <x:v>Relatif Longgar</x:v>
      </x:c>
      <x:c r="N118" s="66" t="str">
        <x:v>Tidak Ada</x:v>
      </x:c>
      <x:c r="O118" s="66" t="str">
        <x:v>Aceh</x:v>
      </x:c>
      <x:c r="P118" s="66" t="str">
        <x:v>Kabupaten Aceh Utara</x:v>
      </x:c>
      <x:c r="Q118" s="66" t="str">
        <x:v>https://snpmb.id/snbp/daya-tampung-snbp</x:v>
      </x:c>
      <x:c r="R118" s="66" t="str">
        <x:v>https://sidatagrun-public-1076756628210.asia-southeast2.run.app/ptn_sn.php?ptn=112</x:v>
      </x:c>
    </x:row>
    <x:row r="119">
      <x:c r="A119" s="87"/>
      <x:c r="B119" s="87" t="n">
        <x:v>112</x:v>
      </x:c>
      <x:c r="C119" s="66" t="str">
        <x:v>UNIVERSITAS MALIKUSSALEH</x:v>
      </x:c>
      <x:c r="D119" s="66" t="str">
        <x:v>PTN Akademik</x:v>
      </x:c>
      <x:c r="E119" s="66" t="str">
        <x:v>11121036</x:v>
      </x:c>
      <x:c r="F119" s="66" t="str">
        <x:v>PENDIDIKAN ILMU PENGETAHUAN ALAM</x:v>
      </x:c>
      <x:c r="G119" s="66" t="str">
        <x:v>Sarjana</x:v>
      </x:c>
      <x:c r="H119" s="87" t="n">
        <x:v>30</x:v>
      </x:c>
      <x:c r="I119" s="87"/>
      <x:c r="J119" s="68" t="str">
        <x:f>IFERROR(H119/I119,"")</x:f>
      </x:c>
      <x:c r="K119" s="69" t="n">
        <x:f>IFERROR(I119/H119,"")</x:f>
        <x:v>0</x:v>
      </x:c>
      <x:c r="L119" s="66" t="str">
        <x:f>IF(K119="","","1 : "&amp;TEXT(K119,"0.0"))</x:f>
      </x:c>
      <x:c r="M119" s="66" t="str">
        <x:f>IF(J119="","Baru/Tanpa Data",IF(J119&lt;='Catatan &amp; Sumber'!$B$14,"Sangat Ketat",IF(J119&lt;='Catatan &amp; Sumber'!$B$15,"Ketat",IF(J119&lt;='Catatan &amp; Sumber'!$B$16,"Sedang","Relatif Longgar"))))</x:f>
        <x:v>Baru/Tanpa Data</x:v>
      </x:c>
      <x:c r="N119" s="66" t="str">
        <x:v>Tidak Ada</x:v>
      </x:c>
      <x:c r="O119" s="66" t="str">
        <x:v>Aceh</x:v>
      </x:c>
      <x:c r="P119" s="66" t="str">
        <x:v>Kabupaten Aceh Utara</x:v>
      </x:c>
      <x:c r="Q119" s="66" t="str">
        <x:v>https://snpmb.id/snbp/daya-tampung-snbp</x:v>
      </x:c>
      <x:c r="R119" s="66" t="str">
        <x:v>https://sidatagrun-public-1076756628210.asia-southeast2.run.app/ptn_sn.php?ptn=112</x:v>
      </x:c>
    </x:row>
    <x:row r="120">
      <x:c r="A120" s="87"/>
      <x:c r="B120" s="87" t="n">
        <x:v>112</x:v>
      </x:c>
      <x:c r="C120" s="66" t="str">
        <x:v>UNIVERSITAS MALIKUSSALEH</x:v>
      </x:c>
      <x:c r="D120" s="66" t="str">
        <x:v>PTN Akademik</x:v>
      </x:c>
      <x:c r="E120" s="66" t="str">
        <x:v>11121037</x:v>
      </x:c>
      <x:c r="F120" s="66" t="str">
        <x:v>PENDIDIKAN VOKASIONAL REKAYASA ELEKTRO</x:v>
      </x:c>
      <x:c r="G120" s="66" t="str">
        <x:v>Sarjana</x:v>
      </x:c>
      <x:c r="H120" s="87" t="n">
        <x:v>30</x:v>
      </x:c>
      <x:c r="I120" s="87"/>
      <x:c r="J120" s="68" t="str">
        <x:f>IFERROR(H120/I120,"")</x:f>
      </x:c>
      <x:c r="K120" s="69" t="n">
        <x:f>IFERROR(I120/H120,"")</x:f>
        <x:v>0</x:v>
      </x:c>
      <x:c r="L120" s="66" t="str">
        <x:f>IF(K120="","","1 : "&amp;TEXT(K120,"0.0"))</x:f>
      </x:c>
      <x:c r="M120" s="66" t="str">
        <x:f>IF(J120="","Baru/Tanpa Data",IF(J120&lt;='Catatan &amp; Sumber'!$B$14,"Sangat Ketat",IF(J120&lt;='Catatan &amp; Sumber'!$B$15,"Ketat",IF(J120&lt;='Catatan &amp; Sumber'!$B$16,"Sedang","Relatif Longgar"))))</x:f>
        <x:v>Baru/Tanpa Data</x:v>
      </x:c>
      <x:c r="N120" s="66" t="str">
        <x:v>Tidak Ada</x:v>
      </x:c>
      <x:c r="O120" s="66" t="str">
        <x:v>Aceh</x:v>
      </x:c>
      <x:c r="P120" s="66" t="str">
        <x:v>Kabupaten Aceh Utara</x:v>
      </x:c>
      <x:c r="Q120" s="66" t="str">
        <x:v>https://snpmb.id/snbp/daya-tampung-snbp</x:v>
      </x:c>
      <x:c r="R120" s="66" t="str">
        <x:v>https://sidatagrun-public-1076756628210.asia-southeast2.run.app/ptn_sn.php?ptn=112</x:v>
      </x:c>
    </x:row>
    <x:row r="121">
      <x:c r="A121" s="87"/>
      <x:c r="B121" s="87" t="n">
        <x:v>112</x:v>
      </x:c>
      <x:c r="C121" s="66" t="str">
        <x:v>UNIVERSITAS MALIKUSSALEH</x:v>
      </x:c>
      <x:c r="D121" s="66" t="str">
        <x:v>PTN Akademik</x:v>
      </x:c>
      <x:c r="E121" s="66" t="str">
        <x:v>11121038</x:v>
      </x:c>
      <x:c r="F121" s="66" t="str">
        <x:v>BIOTEKNOLOGI</x:v>
      </x:c>
      <x:c r="G121" s="66" t="str">
        <x:v>Sarjana</x:v>
      </x:c>
      <x:c r="H121" s="87" t="n">
        <x:v>45</x:v>
      </x:c>
      <x:c r="I121" s="87"/>
      <x:c r="J121" s="68" t="str">
        <x:f>IFERROR(H121/I121,"")</x:f>
      </x:c>
      <x:c r="K121" s="69" t="n">
        <x:f>IFERROR(I121/H121,"")</x:f>
        <x:v>0</x:v>
      </x:c>
      <x:c r="L121" s="66" t="str">
        <x:f>IF(K121="","","1 : "&amp;TEXT(K121,"0.0"))</x:f>
      </x:c>
      <x:c r="M121" s="66" t="str">
        <x:f>IF(J121="","Baru/Tanpa Data",IF(J121&lt;='Catatan &amp; Sumber'!$B$14,"Sangat Ketat",IF(J121&lt;='Catatan &amp; Sumber'!$B$15,"Ketat",IF(J121&lt;='Catatan &amp; Sumber'!$B$16,"Sedang","Relatif Longgar"))))</x:f>
        <x:v>Baru/Tanpa Data</x:v>
      </x:c>
      <x:c r="N121" s="66" t="str">
        <x:v>Tidak Ada</x:v>
      </x:c>
      <x:c r="O121" s="66" t="str">
        <x:v>Aceh</x:v>
      </x:c>
      <x:c r="P121" s="66" t="str">
        <x:v>Kabupaten Aceh Utara</x:v>
      </x:c>
      <x:c r="Q121" s="66" t="str">
        <x:v>https://snpmb.id/snbp/daya-tampung-snbp</x:v>
      </x:c>
      <x:c r="R121" s="66" t="str">
        <x:v>https://sidatagrun-public-1076756628210.asia-southeast2.run.app/ptn_sn.php?ptn=112</x:v>
      </x:c>
    </x:row>
    <x:row r="122">
      <x:c r="A122" s="87"/>
      <x:c r="B122" s="87" t="n">
        <x:v>112</x:v>
      </x:c>
      <x:c r="C122" s="66" t="str">
        <x:v>UNIVERSITAS MALIKUSSALEH</x:v>
      </x:c>
      <x:c r="D122" s="66" t="str">
        <x:v>PTN Akademik</x:v>
      </x:c>
      <x:c r="E122" s="66" t="str">
        <x:v>11121039</x:v>
      </x:c>
      <x:c r="F122" s="66" t="str">
        <x:v>PERENCANAAN WILAYAH DAN KOTA</x:v>
      </x:c>
      <x:c r="G122" s="66" t="str">
        <x:v>Sarjana</x:v>
      </x:c>
      <x:c r="H122" s="87" t="n">
        <x:v>30</x:v>
      </x:c>
      <x:c r="I122" s="87"/>
      <x:c r="J122" s="68" t="str">
        <x:f>IFERROR(H122/I122,"")</x:f>
      </x:c>
      <x:c r="K122" s="69" t="n">
        <x:f>IFERROR(I122/H122,"")</x:f>
        <x:v>0</x:v>
      </x:c>
      <x:c r="L122" s="66" t="str">
        <x:f>IF(K122="","","1 : "&amp;TEXT(K122,"0.0"))</x:f>
      </x:c>
      <x:c r="M122" s="66" t="str">
        <x:f>IF(J122="","Baru/Tanpa Data",IF(J122&lt;='Catatan &amp; Sumber'!$B$14,"Sangat Ketat",IF(J122&lt;='Catatan &amp; Sumber'!$B$15,"Ketat",IF(J122&lt;='Catatan &amp; Sumber'!$B$16,"Sedang","Relatif Longgar"))))</x:f>
        <x:v>Baru/Tanpa Data</x:v>
      </x:c>
      <x:c r="N122" s="66" t="str">
        <x:v>Tidak Ada</x:v>
      </x:c>
      <x:c r="O122" s="66" t="str">
        <x:v>Aceh</x:v>
      </x:c>
      <x:c r="P122" s="66" t="str">
        <x:v>Kabupaten Aceh Utara</x:v>
      </x:c>
      <x:c r="Q122" s="66" t="str">
        <x:v>https://snpmb.id/snbp/daya-tampung-snbp</x:v>
      </x:c>
      <x:c r="R122" s="66" t="str">
        <x:v>https://sidatagrun-public-1076756628210.asia-southeast2.run.app/ptn_sn.php?ptn=112</x:v>
      </x:c>
    </x:row>
    <x:row r="123">
      <x:c r="A123" s="87"/>
      <x:c r="B123" s="87" t="n">
        <x:v>112</x:v>
      </x:c>
      <x:c r="C123" s="66" t="str">
        <x:v>UNIVERSITAS MALIKUSSALEH</x:v>
      </x:c>
      <x:c r="D123" s="66" t="str">
        <x:v>PTN Akademik</x:v>
      </x:c>
      <x:c r="E123" s="66" t="str">
        <x:v>11121040</x:v>
      </x:c>
      <x:c r="F123" s="66" t="str">
        <x:v>TEKNIK LINGKUNGAN</x:v>
      </x:c>
      <x:c r="G123" s="66" t="str">
        <x:v>Sarjana</x:v>
      </x:c>
      <x:c r="H123" s="87" t="n">
        <x:v>30</x:v>
      </x:c>
      <x:c r="I123" s="87"/>
      <x:c r="J123" s="68" t="str">
        <x:f>IFERROR(H123/I123,"")</x:f>
      </x:c>
      <x:c r="K123" s="69" t="n">
        <x:f>IFERROR(I123/H123,"")</x:f>
        <x:v>0</x:v>
      </x:c>
      <x:c r="L123" s="66" t="str">
        <x:f>IF(K123="","","1 : "&amp;TEXT(K123,"0.0"))</x:f>
      </x:c>
      <x:c r="M123" s="66" t="str">
        <x:f>IF(J123="","Baru/Tanpa Data",IF(J123&lt;='Catatan &amp; Sumber'!$B$14,"Sangat Ketat",IF(J123&lt;='Catatan &amp; Sumber'!$B$15,"Ketat",IF(J123&lt;='Catatan &amp; Sumber'!$B$16,"Sedang","Relatif Longgar"))))</x:f>
        <x:v>Baru/Tanpa Data</x:v>
      </x:c>
      <x:c r="N123" s="66" t="str">
        <x:v>Tidak Ada</x:v>
      </x:c>
      <x:c r="O123" s="66" t="str">
        <x:v>Aceh</x:v>
      </x:c>
      <x:c r="P123" s="66" t="str">
        <x:v>Kabupaten Aceh Utara</x:v>
      </x:c>
      <x:c r="Q123" s="66" t="str">
        <x:v>https://snpmb.id/snbp/daya-tampung-snbp</x:v>
      </x:c>
      <x:c r="R123" s="66" t="str">
        <x:v>https://sidatagrun-public-1076756628210.asia-southeast2.run.app/ptn_sn.php?ptn=112</x:v>
      </x:c>
    </x:row>
    <x:row r="124">
      <x:c r="A124" s="87" t="n">
        <x:v>3281</x:v>
      </x:c>
      <x:c r="B124" s="87" t="n">
        <x:v>112</x:v>
      </x:c>
      <x:c r="C124" s="66" t="str">
        <x:v>UNIVERSITAS MALIKUSSALEH</x:v>
      </x:c>
      <x:c r="D124" s="66" t="str">
        <x:v>PTN Akademik</x:v>
      </x:c>
      <x:c r="E124" s="66" t="str">
        <x:v>11123034</x:v>
      </x:c>
      <x:c r="F124" s="66" t="str">
        <x:v>KEPERAWATAN</x:v>
      </x:c>
      <x:c r="G124" s="66" t="str">
        <x:v>Diploma Tiga</x:v>
      </x:c>
      <x:c r="H124" s="87" t="n">
        <x:v>58</x:v>
      </x:c>
      <x:c r="I124" s="87" t="n">
        <x:v>158</x:v>
      </x:c>
      <x:c r="J124" s="68" t="n">
        <x:f>IFERROR(H124/I124,"")</x:f>
        <x:v>0.3670886075949367</x:v>
      </x:c>
      <x:c r="K124" s="69" t="n">
        <x:f>IFERROR(I124/H124,"")</x:f>
        <x:v>2.7241379310344827</x:v>
      </x:c>
      <x:c r="L124" s="66" t="str">
        <x:f>IF(K124="","","1 : "&amp;TEXT(K124,"0.0"))</x:f>
        <x:v>1 : 2.7</x:v>
      </x:c>
      <x:c r="M124" s="66" t="str">
        <x:f>IF(J124="","Baru/Tanpa Data",IF(J124&lt;='Catatan &amp; Sumber'!$B$14,"Sangat Ketat",IF(J124&lt;='Catatan &amp; Sumber'!$B$15,"Ketat",IF(J124&lt;='Catatan &amp; Sumber'!$B$16,"Sedang","Relatif Longgar"))))</x:f>
        <x:v>Relatif Longgar</x:v>
      </x:c>
      <x:c r="N124" s="66" t="str">
        <x:v>Tidak Ada</x:v>
      </x:c>
      <x:c r="O124" s="66" t="str">
        <x:v>Aceh</x:v>
      </x:c>
      <x:c r="P124" s="66" t="str">
        <x:v>Kabupaten Aceh Utara</x:v>
      </x:c>
      <x:c r="Q124" s="66" t="str">
        <x:v>https://snpmb.id/snbp/daya-tampung-snbp</x:v>
      </x:c>
      <x:c r="R124" s="66" t="str">
        <x:v>https://sidatagrun-public-1076756628210.asia-southeast2.run.app/ptn_sn.php?ptn=112</x:v>
      </x:c>
    </x:row>
    <x:row r="125">
      <x:c r="A125" s="87" t="n">
        <x:v>3708</x:v>
      </x:c>
      <x:c r="B125" s="87" t="n">
        <x:v>113</x:v>
      </x:c>
      <x:c r="C125" s="66" t="str">
        <x:v>UNIVERSITAS TEUKU UMAR</x:v>
      </x:c>
      <x:c r="D125" s="66" t="str">
        <x:v>PTN Akademik</x:v>
      </x:c>
      <x:c r="E125" s="66" t="str">
        <x:v>11131001</x:v>
      </x:c>
      <x:c r="F125" s="66" t="str">
        <x:v>TEKNIK SIPIL</x:v>
      </x:c>
      <x:c r="G125" s="66" t="str">
        <x:v>Sarjana</x:v>
      </x:c>
      <x:c r="H125" s="87" t="n">
        <x:v>52</x:v>
      </x:c>
      <x:c r="I125" s="87" t="n">
        <x:v>100</x:v>
      </x:c>
      <x:c r="J125" s="68" t="n">
        <x:f>IFERROR(H125/I125,"")</x:f>
        <x:v>0.52</x:v>
      </x:c>
      <x:c r="K125" s="69" t="n">
        <x:f>IFERROR(I125/H125,"")</x:f>
        <x:v>1.9230769230769231</x:v>
      </x:c>
      <x:c r="L125" s="66" t="str">
        <x:f>IF(K125="","","1 : "&amp;TEXT(K125,"0.0"))</x:f>
        <x:v>1 : 1.9</x:v>
      </x:c>
      <x:c r="M125" s="66" t="str">
        <x:f>IF(J125="","Baru/Tanpa Data",IF(J125&lt;='Catatan &amp; Sumber'!$B$14,"Sangat Ketat",IF(J125&lt;='Catatan &amp; Sumber'!$B$15,"Ketat",IF(J125&lt;='Catatan &amp; Sumber'!$B$16,"Sedang","Relatif Longgar"))))</x:f>
        <x:v>Relatif Longgar</x:v>
      </x:c>
      <x:c r="N125" s="66" t="str">
        <x:v>Tidak Ada</x:v>
      </x:c>
      <x:c r="O125" s="66" t="str">
        <x:v>Aceh</x:v>
      </x:c>
      <x:c r="P125" s="66" t="str">
        <x:v>Kabupaten Aceh Barat</x:v>
      </x:c>
      <x:c r="Q125" s="66" t="str">
        <x:v>https://snpmb.id/snbp/daya-tampung-snbp</x:v>
      </x:c>
      <x:c r="R125" s="66" t="str">
        <x:v>https://sidatagrun-public-1076756628210.asia-southeast2.run.app/ptn_sn.php?ptn=113</x:v>
      </x:c>
    </x:row>
    <x:row r="126">
      <x:c r="A126" s="87" t="n">
        <x:v>3478</x:v>
      </x:c>
      <x:c r="B126" s="87" t="n">
        <x:v>113</x:v>
      </x:c>
      <x:c r="C126" s="66" t="str">
        <x:v>UNIVERSITAS TEUKU UMAR</x:v>
      </x:c>
      <x:c r="D126" s="66" t="str">
        <x:v>PTN Akademik</x:v>
      </x:c>
      <x:c r="E126" s="66" t="str">
        <x:v>11131002</x:v>
      </x:c>
      <x:c r="F126" s="66" t="str">
        <x:v>TEKNIK MESIN</x:v>
      </x:c>
      <x:c r="G126" s="66" t="str">
        <x:v>Sarjana</x:v>
      </x:c>
      <x:c r="H126" s="87" t="n">
        <x:v>44</x:v>
      </x:c>
      <x:c r="I126" s="87" t="n">
        <x:v>103</x:v>
      </x:c>
      <x:c r="J126" s="68" t="n">
        <x:f>IFERROR(H126/I126,"")</x:f>
        <x:v>0.42718446601941745</x:v>
      </x:c>
      <x:c r="K126" s="69" t="n">
        <x:f>IFERROR(I126/H126,"")</x:f>
        <x:v>2.340909090909091</x:v>
      </x:c>
      <x:c r="L126" s="66" t="str">
        <x:f>IF(K126="","","1 : "&amp;TEXT(K126,"0.0"))</x:f>
        <x:v>1 : 2.3</x:v>
      </x:c>
      <x:c r="M126" s="66" t="str">
        <x:f>IF(J126="","Baru/Tanpa Data",IF(J126&lt;='Catatan &amp; Sumber'!$B$14,"Sangat Ketat",IF(J126&lt;='Catatan &amp; Sumber'!$B$15,"Ketat",IF(J126&lt;='Catatan &amp; Sumber'!$B$16,"Sedang","Relatif Longgar"))))</x:f>
        <x:v>Relatif Longgar</x:v>
      </x:c>
      <x:c r="N126" s="66" t="str">
        <x:v>Tidak Ada</x:v>
      </x:c>
      <x:c r="O126" s="66" t="str">
        <x:v>Aceh</x:v>
      </x:c>
      <x:c r="P126" s="66" t="str">
        <x:v>Kabupaten Aceh Barat</x:v>
      </x:c>
      <x:c r="Q126" s="66" t="str">
        <x:v>https://snpmb.id/snbp/daya-tampung-snbp</x:v>
      </x:c>
      <x:c r="R126" s="66" t="str">
        <x:v>https://sidatagrun-public-1076756628210.asia-southeast2.run.app/ptn_sn.php?ptn=113</x:v>
      </x:c>
    </x:row>
    <x:row r="127">
      <x:c r="A127" s="87" t="n">
        <x:v>3255</x:v>
      </x:c>
      <x:c r="B127" s="87" t="n">
        <x:v>113</x:v>
      </x:c>
      <x:c r="C127" s="66" t="str">
        <x:v>UNIVERSITAS TEUKU UMAR</x:v>
      </x:c>
      <x:c r="D127" s="66" t="str">
        <x:v>PTN Akademik</x:v>
      </x:c>
      <x:c r="E127" s="66" t="str">
        <x:v>11131003</x:v>
      </x:c>
      <x:c r="F127" s="66" t="str">
        <x:v>TEKNIK INDUSTRI</x:v>
      </x:c>
      <x:c r="G127" s="66" t="str">
        <x:v>Sarjana</x:v>
      </x:c>
      <x:c r="H127" s="87" t="n">
        <x:v>44</x:v>
      </x:c>
      <x:c r="I127" s="87" t="n">
        <x:v>123</x:v>
      </x:c>
      <x:c r="J127" s="68" t="n">
        <x:f>IFERROR(H127/I127,"")</x:f>
        <x:v>0.35772357723577236</x:v>
      </x:c>
      <x:c r="K127" s="69" t="n">
        <x:f>IFERROR(I127/H127,"")</x:f>
        <x:v>2.7954545454545454</x:v>
      </x:c>
      <x:c r="L127" s="66" t="str">
        <x:f>IF(K127="","","1 : "&amp;TEXT(K127,"0.0"))</x:f>
        <x:v>1 : 2.8</x:v>
      </x:c>
      <x:c r="M127" s="66" t="str">
        <x:f>IF(J127="","Baru/Tanpa Data",IF(J127&lt;='Catatan &amp; Sumber'!$B$14,"Sangat Ketat",IF(J127&lt;='Catatan &amp; Sumber'!$B$15,"Ketat",IF(J127&lt;='Catatan &amp; Sumber'!$B$16,"Sedang","Relatif Longgar"))))</x:f>
        <x:v>Relatif Longgar</x:v>
      </x:c>
      <x:c r="N127" s="66" t="str">
        <x:v>Tidak Ada</x:v>
      </x:c>
      <x:c r="O127" s="66" t="str">
        <x:v>Aceh</x:v>
      </x:c>
      <x:c r="P127" s="66" t="str">
        <x:v>Kabupaten Aceh Barat</x:v>
      </x:c>
      <x:c r="Q127" s="66" t="str">
        <x:v>https://snpmb.id/snbp/daya-tampung-snbp</x:v>
      </x:c>
      <x:c r="R127" s="66" t="str">
        <x:v>https://sidatagrun-public-1076756628210.asia-southeast2.run.app/ptn_sn.php?ptn=113</x:v>
      </x:c>
    </x:row>
    <x:row r="128">
      <x:c r="A128" s="87" t="n">
        <x:v>3867</x:v>
      </x:c>
      <x:c r="B128" s="87" t="n">
        <x:v>113</x:v>
      </x:c>
      <x:c r="C128" s="66" t="str">
        <x:v>UNIVERSITAS TEUKU UMAR</x:v>
      </x:c>
      <x:c r="D128" s="66" t="str">
        <x:v>PTN Akademik</x:v>
      </x:c>
      <x:c r="E128" s="66" t="str">
        <x:v>11131004</x:v>
      </x:c>
      <x:c r="F128" s="66" t="str">
        <x:v>AGRIBISNIS</x:v>
      </x:c>
      <x:c r="G128" s="66" t="str">
        <x:v>Sarjana</x:v>
      </x:c>
      <x:c r="H128" s="87" t="n">
        <x:v>48</x:v>
      </x:c>
      <x:c r="I128" s="87" t="n">
        <x:v>79</x:v>
      </x:c>
      <x:c r="J128" s="68" t="n">
        <x:f>IFERROR(H128/I128,"")</x:f>
        <x:v>0.6075949367088608</x:v>
      </x:c>
      <x:c r="K128" s="69" t="n">
        <x:f>IFERROR(I128/H128,"")</x:f>
        <x:v>1.6458333333333333</x:v>
      </x:c>
      <x:c r="L128" s="66" t="str">
        <x:f>IF(K128="","","1 : "&amp;TEXT(K128,"0.0"))</x:f>
        <x:v>1 : 1.6</x:v>
      </x:c>
      <x:c r="M128" s="66" t="str">
        <x:f>IF(J128="","Baru/Tanpa Data",IF(J128&lt;='Catatan &amp; Sumber'!$B$14,"Sangat Ketat",IF(J128&lt;='Catatan &amp; Sumber'!$B$15,"Ketat",IF(J128&lt;='Catatan &amp; Sumber'!$B$16,"Sedang","Relatif Longgar"))))</x:f>
        <x:v>Relatif Longgar</x:v>
      </x:c>
      <x:c r="N128" s="66" t="str">
        <x:v>Tidak Ada</x:v>
      </x:c>
      <x:c r="O128" s="66" t="str">
        <x:v>Aceh</x:v>
      </x:c>
      <x:c r="P128" s="66" t="str">
        <x:v>Kabupaten Aceh Barat</x:v>
      </x:c>
      <x:c r="Q128" s="66" t="str">
        <x:v>https://snpmb.id/snbp/daya-tampung-snbp</x:v>
      </x:c>
      <x:c r="R128" s="66" t="str">
        <x:v>https://sidatagrun-public-1076756628210.asia-southeast2.run.app/ptn_sn.php?ptn=113</x:v>
      </x:c>
    </x:row>
    <x:row r="129">
      <x:c r="A129" s="87" t="n">
        <x:v>4002</x:v>
      </x:c>
      <x:c r="B129" s="87" t="n">
        <x:v>113</x:v>
      </x:c>
      <x:c r="C129" s="66" t="str">
        <x:v>UNIVERSITAS TEUKU UMAR</x:v>
      </x:c>
      <x:c r="D129" s="66" t="str">
        <x:v>PTN Akademik</x:v>
      </x:c>
      <x:c r="E129" s="66" t="str">
        <x:v>11131005</x:v>
      </x:c>
      <x:c r="F129" s="66" t="str">
        <x:v>AGROTEKNOLOGI</x:v>
      </x:c>
      <x:c r="G129" s="66" t="str">
        <x:v>Sarjana</x:v>
      </x:c>
      <x:c r="H129" s="87" t="n">
        <x:v>46</x:v>
      </x:c>
      <x:c r="I129" s="87" t="n">
        <x:v>67</x:v>
      </x:c>
      <x:c r="J129" s="68" t="n">
        <x:f>IFERROR(H129/I129,"")</x:f>
        <x:v>0.6865671641791045</x:v>
      </x:c>
      <x:c r="K129" s="69" t="n">
        <x:f>IFERROR(I129/H129,"")</x:f>
        <x:v>1.4565217391304348</x:v>
      </x:c>
      <x:c r="L129" s="66" t="str">
        <x:f>IF(K129="","","1 : "&amp;TEXT(K129,"0.0"))</x:f>
        <x:v>1 : 1.5</x:v>
      </x:c>
      <x:c r="M129" s="66" t="str">
        <x:f>IF(J129="","Baru/Tanpa Data",IF(J129&lt;='Catatan &amp; Sumber'!$B$14,"Sangat Ketat",IF(J129&lt;='Catatan &amp; Sumber'!$B$15,"Ketat",IF(J129&lt;='Catatan &amp; Sumber'!$B$16,"Sedang","Relatif Longgar"))))</x:f>
        <x:v>Relatif Longgar</x:v>
      </x:c>
      <x:c r="N129" s="66" t="str">
        <x:v>Tidak Ada</x:v>
      </x:c>
      <x:c r="O129" s="66" t="str">
        <x:v>Aceh</x:v>
      </x:c>
      <x:c r="P129" s="66" t="str">
        <x:v>Kabupaten Aceh Barat</x:v>
      </x:c>
      <x:c r="Q129" s="66" t="str">
        <x:v>https://snpmb.id/snbp/daya-tampung-snbp</x:v>
      </x:c>
      <x:c r="R129" s="66" t="str">
        <x:v>https://sidatagrun-public-1076756628210.asia-southeast2.run.app/ptn_sn.php?ptn=113</x:v>
      </x:c>
    </x:row>
    <x:row r="130">
      <x:c r="A130" s="87" t="n">
        <x:v>4085</x:v>
      </x:c>
      <x:c r="B130" s="87" t="n">
        <x:v>113</x:v>
      </x:c>
      <x:c r="C130" s="66" t="str">
        <x:v>UNIVERSITAS TEUKU UMAR</x:v>
      </x:c>
      <x:c r="D130" s="66" t="str">
        <x:v>PTN Akademik</x:v>
      </x:c>
      <x:c r="E130" s="66" t="str">
        <x:v>11131006</x:v>
      </x:c>
      <x:c r="F130" s="66" t="str">
        <x:v>PERIKANAN</x:v>
      </x:c>
      <x:c r="G130" s="66" t="str">
        <x:v>Sarjana</x:v>
      </x:c>
      <x:c r="H130" s="87" t="n">
        <x:v>24</x:v>
      </x:c>
      <x:c r="I130" s="87" t="n">
        <x:v>32</x:v>
      </x:c>
      <x:c r="J130" s="68" t="n">
        <x:f>IFERROR(H130/I130,"")</x:f>
        <x:v>0.75</x:v>
      </x:c>
      <x:c r="K130" s="69" t="n">
        <x:f>IFERROR(I130/H130,"")</x:f>
        <x:v>1.3333333333333333</x:v>
      </x:c>
      <x:c r="L130" s="66" t="str">
        <x:f>IF(K130="","","1 : "&amp;TEXT(K130,"0.0"))</x:f>
        <x:v>1 : 1.3</x:v>
      </x:c>
      <x:c r="M130" s="66" t="str">
        <x:f>IF(J130="","Baru/Tanpa Data",IF(J130&lt;='Catatan &amp; Sumber'!$B$14,"Sangat Ketat",IF(J130&lt;='Catatan &amp; Sumber'!$B$15,"Ketat",IF(J130&lt;='Catatan &amp; Sumber'!$B$16,"Sedang","Relatif Longgar"))))</x:f>
        <x:v>Relatif Longgar</x:v>
      </x:c>
      <x:c r="N130" s="66" t="str">
        <x:v>Tidak Ada</x:v>
      </x:c>
      <x:c r="O130" s="66" t="str">
        <x:v>Aceh</x:v>
      </x:c>
      <x:c r="P130" s="66" t="str">
        <x:v>Kabupaten Aceh Barat</x:v>
      </x:c>
      <x:c r="Q130" s="66" t="str">
        <x:v>https://snpmb.id/snbp/daya-tampung-snbp</x:v>
      </x:c>
      <x:c r="R130" s="66" t="str">
        <x:v>https://sidatagrun-public-1076756628210.asia-southeast2.run.app/ptn_sn.php?ptn=113</x:v>
      </x:c>
    </x:row>
    <x:row r="131">
      <x:c r="A131" s="87" t="n">
        <x:v>2423</x:v>
      </x:c>
      <x:c r="B131" s="87" t="n">
        <x:v>113</x:v>
      </x:c>
      <x:c r="C131" s="66" t="str">
        <x:v>UNIVERSITAS TEUKU UMAR</x:v>
      </x:c>
      <x:c r="D131" s="66" t="str">
        <x:v>PTN Akademik</x:v>
      </x:c>
      <x:c r="E131" s="66" t="str">
        <x:v>11131007</x:v>
      </x:c>
      <x:c r="F131" s="66" t="str">
        <x:v>KESEHATAN MASYARAKAT</x:v>
      </x:c>
      <x:c r="G131" s="66" t="str">
        <x:v>Sarjana</x:v>
      </x:c>
      <x:c r="H131" s="87" t="n">
        <x:v>64</x:v>
      </x:c>
      <x:c r="I131" s="87" t="n">
        <x:v>320</x:v>
      </x:c>
      <x:c r="J131" s="68" t="n">
        <x:f>IFERROR(H131/I131,"")</x:f>
        <x:v>0.2</x:v>
      </x:c>
      <x:c r="K131" s="69" t="n">
        <x:f>IFERROR(I131/H131,"")</x:f>
        <x:v>5</x:v>
      </x:c>
      <x:c r="L131" s="66" t="str">
        <x:f>IF(K131="","","1 : "&amp;TEXT(K131,"0.0"))</x:f>
        <x:v>1 : 5.0</x:v>
      </x:c>
      <x:c r="M131" s="66" t="str">
        <x:f>IF(J131="","Baru/Tanpa Data",IF(J131&lt;='Catatan &amp; Sumber'!$B$14,"Sangat Ketat",IF(J131&lt;='Catatan &amp; Sumber'!$B$15,"Ketat",IF(J131&lt;='Catatan &amp; Sumber'!$B$16,"Sedang","Relatif Longgar"))))</x:f>
        <x:v>Relatif Longgar</x:v>
      </x:c>
      <x:c r="N131" s="66" t="str">
        <x:v>Tidak Ada</x:v>
      </x:c>
      <x:c r="O131" s="66" t="str">
        <x:v>Aceh</x:v>
      </x:c>
      <x:c r="P131" s="66" t="str">
        <x:v>Kabupaten Aceh Barat</x:v>
      </x:c>
      <x:c r="Q131" s="66" t="str">
        <x:v>https://snpmb.id/snbp/daya-tampung-snbp</x:v>
      </x:c>
      <x:c r="R131" s="66" t="str">
        <x:v>https://sidatagrun-public-1076756628210.asia-southeast2.run.app/ptn_sn.php?ptn=113</x:v>
      </x:c>
    </x:row>
    <x:row r="132">
      <x:c r="A132" s="87" t="n">
        <x:v>4644</x:v>
      </x:c>
      <x:c r="B132" s="87" t="n">
        <x:v>113</x:v>
      </x:c>
      <x:c r="C132" s="66" t="str">
        <x:v>UNIVERSITAS TEUKU UMAR</x:v>
      </x:c>
      <x:c r="D132" s="66" t="str">
        <x:v>PTN Akademik</x:v>
      </x:c>
      <x:c r="E132" s="66" t="str">
        <x:v>11131008</x:v>
      </x:c>
      <x:c r="F132" s="66" t="str">
        <x:v>AKUAKULTUR</x:v>
      </x:c>
      <x:c r="G132" s="66" t="str">
        <x:v>Sarjana</x:v>
      </x:c>
      <x:c r="H132" s="87" t="n">
        <x:v>22</x:v>
      </x:c>
      <x:c r="I132" s="87" t="n">
        <x:v>12</x:v>
      </x:c>
      <x:c r="J132" s="68" t="n">
        <x:f>IFERROR(H132/I132,"")</x:f>
        <x:v>1.8333333333333333</x:v>
      </x:c>
      <x:c r="K132" s="69" t="n">
        <x:f>IFERROR(I132/H132,"")</x:f>
        <x:v>0.5454545454545454</x:v>
      </x:c>
      <x:c r="L132" s="66" t="str">
        <x:f>IF(K132="","","1 : "&amp;TEXT(K132,"0.0"))</x:f>
        <x:v>1 : 0.5</x:v>
      </x:c>
      <x:c r="M132" s="66" t="str">
        <x:f>IF(J132="","Baru/Tanpa Data",IF(J132&lt;='Catatan &amp; Sumber'!$B$14,"Sangat Ketat",IF(J132&lt;='Catatan &amp; Sumber'!$B$15,"Ketat",IF(J132&lt;='Catatan &amp; Sumber'!$B$16,"Sedang","Relatif Longgar"))))</x:f>
        <x:v>Relatif Longgar</x:v>
      </x:c>
      <x:c r="N132" s="66" t="str">
        <x:v>Tidak Ada</x:v>
      </x:c>
      <x:c r="O132" s="66" t="str">
        <x:v>Aceh</x:v>
      </x:c>
      <x:c r="P132" s="66" t="str">
        <x:v>Kabupaten Aceh Barat</x:v>
      </x:c>
      <x:c r="Q132" s="66" t="str">
        <x:v>https://snpmb.id/snbp/daya-tampung-snbp</x:v>
      </x:c>
      <x:c r="R132" s="66" t="str">
        <x:v>https://sidatagrun-public-1076756628210.asia-southeast2.run.app/ptn_sn.php?ptn=113</x:v>
      </x:c>
    </x:row>
    <x:row r="133">
      <x:c r="A133" s="87" t="n">
        <x:v>4809</x:v>
      </x:c>
      <x:c r="B133" s="87" t="n">
        <x:v>113</x:v>
      </x:c>
      <x:c r="C133" s="66" t="str">
        <x:v>UNIVERSITAS TEUKU UMAR</x:v>
      </x:c>
      <x:c r="D133" s="66" t="str">
        <x:v>PTN Akademik</x:v>
      </x:c>
      <x:c r="E133" s="66" t="str">
        <x:v>11131009</x:v>
      </x:c>
      <x:c r="F133" s="66" t="str">
        <x:v>SUMBER DAYA AKUATIK</x:v>
      </x:c>
      <x:c r="G133" s="66" t="str">
        <x:v>Sarjana</x:v>
      </x:c>
      <x:c r="H133" s="87" t="n">
        <x:v>22</x:v>
      </x:c>
      <x:c r="I133" s="87" t="n">
        <x:v>6</x:v>
      </x:c>
      <x:c r="J133" s="68" t="n">
        <x:f>IFERROR(H133/I133,"")</x:f>
        <x:v>3.6666666666666665</x:v>
      </x:c>
      <x:c r="K133" s="69" t="n">
        <x:f>IFERROR(I133/H133,"")</x:f>
        <x:v>0.2727272727272727</x:v>
      </x:c>
      <x:c r="L133" s="66" t="str">
        <x:f>IF(K133="","","1 : "&amp;TEXT(K133,"0.0"))</x:f>
        <x:v>1 : 0.3</x:v>
      </x:c>
      <x:c r="M133" s="66" t="str">
        <x:f>IF(J133="","Baru/Tanpa Data",IF(J133&lt;='Catatan &amp; Sumber'!$B$14,"Sangat Ketat",IF(J133&lt;='Catatan &amp; Sumber'!$B$15,"Ketat",IF(J133&lt;='Catatan &amp; Sumber'!$B$16,"Sedang","Relatif Longgar"))))</x:f>
        <x:v>Relatif Longgar</x:v>
      </x:c>
      <x:c r="N133" s="66" t="str">
        <x:v>Tidak Ada</x:v>
      </x:c>
      <x:c r="O133" s="66" t="str">
        <x:v>Aceh</x:v>
      </x:c>
      <x:c r="P133" s="66" t="str">
        <x:v>Kabupaten Aceh Barat</x:v>
      </x:c>
      <x:c r="Q133" s="66" t="str">
        <x:v>https://snpmb.id/snbp/daya-tampung-snbp</x:v>
      </x:c>
      <x:c r="R133" s="66" t="str">
        <x:v>https://sidatagrun-public-1076756628210.asia-southeast2.run.app/ptn_sn.php?ptn=113</x:v>
      </x:c>
    </x:row>
    <x:row r="134">
      <x:c r="A134" s="87" t="n">
        <x:v>4085</x:v>
      </x:c>
      <x:c r="B134" s="87" t="n">
        <x:v>113</x:v>
      </x:c>
      <x:c r="C134" s="66" t="str">
        <x:v>UNIVERSITAS TEUKU UMAR</x:v>
      </x:c>
      <x:c r="D134" s="66" t="str">
        <x:v>PTN Akademik</x:v>
      </x:c>
      <x:c r="E134" s="66" t="str">
        <x:v>11131010</x:v>
      </x:c>
      <x:c r="F134" s="66" t="str">
        <x:v>TEKNOLOGI HASIL PERTANIAN</x:v>
      </x:c>
      <x:c r="G134" s="66" t="str">
        <x:v>Sarjana</x:v>
      </x:c>
      <x:c r="H134" s="87" t="n">
        <x:v>48</x:v>
      </x:c>
      <x:c r="I134" s="87" t="n">
        <x:v>64</x:v>
      </x:c>
      <x:c r="J134" s="68" t="n">
        <x:f>IFERROR(H134/I134,"")</x:f>
        <x:v>0.75</x:v>
      </x:c>
      <x:c r="K134" s="69" t="n">
        <x:f>IFERROR(I134/H134,"")</x:f>
        <x:v>1.3333333333333333</x:v>
      </x:c>
      <x:c r="L134" s="66" t="str">
        <x:f>IF(K134="","","1 : "&amp;TEXT(K134,"0.0"))</x:f>
        <x:v>1 : 1.3</x:v>
      </x:c>
      <x:c r="M134" s="66" t="str">
        <x:f>IF(J134="","Baru/Tanpa Data",IF(J134&lt;='Catatan &amp; Sumber'!$B$14,"Sangat Ketat",IF(J134&lt;='Catatan &amp; Sumber'!$B$15,"Ketat",IF(J134&lt;='Catatan &amp; Sumber'!$B$16,"Sedang","Relatif Longgar"))))</x:f>
        <x:v>Relatif Longgar</x:v>
      </x:c>
      <x:c r="N134" s="66" t="str">
        <x:v>Tidak Ada</x:v>
      </x:c>
      <x:c r="O134" s="66" t="str">
        <x:v>Aceh</x:v>
      </x:c>
      <x:c r="P134" s="66" t="str">
        <x:v>Kabupaten Aceh Barat</x:v>
      </x:c>
      <x:c r="Q134" s="66" t="str">
        <x:v>https://snpmb.id/snbp/daya-tampung-snbp</x:v>
      </x:c>
      <x:c r="R134" s="66" t="str">
        <x:v>https://sidatagrun-public-1076756628210.asia-southeast2.run.app/ptn_sn.php?ptn=113</x:v>
      </x:c>
    </x:row>
    <x:row r="135">
      <x:c r="A135" s="87" t="n">
        <x:v>3907</x:v>
      </x:c>
      <x:c r="B135" s="87" t="n">
        <x:v>113</x:v>
      </x:c>
      <x:c r="C135" s="66" t="str">
        <x:v>UNIVERSITAS TEUKU UMAR</x:v>
      </x:c>
      <x:c r="D135" s="66" t="str">
        <x:v>PTN Akademik</x:v>
      </x:c>
      <x:c r="E135" s="66" t="str">
        <x:v>11131011</x:v>
      </x:c>
      <x:c r="F135" s="66" t="str">
        <x:v>ILMU KELAUTAN</x:v>
      </x:c>
      <x:c r="G135" s="66" t="str">
        <x:v>Sarjana</x:v>
      </x:c>
      <x:c r="H135" s="87" t="n">
        <x:v>22</x:v>
      </x:c>
      <x:c r="I135" s="87" t="n">
        <x:v>35</x:v>
      </x:c>
      <x:c r="J135" s="68" t="n">
        <x:f>IFERROR(H135/I135,"")</x:f>
        <x:v>0.6285714285714286</x:v>
      </x:c>
      <x:c r="K135" s="69" t="n">
        <x:f>IFERROR(I135/H135,"")</x:f>
        <x:v>1.5909090909090908</x:v>
      </x:c>
      <x:c r="L135" s="66" t="str">
        <x:f>IF(K135="","","1 : "&amp;TEXT(K135,"0.0"))</x:f>
        <x:v>1 : 1.6</x:v>
      </x:c>
      <x:c r="M135" s="66" t="str">
        <x:f>IF(J135="","Baru/Tanpa Data",IF(J135&lt;='Catatan &amp; Sumber'!$B$14,"Sangat Ketat",IF(J135&lt;='Catatan &amp; Sumber'!$B$15,"Ketat",IF(J135&lt;='Catatan &amp; Sumber'!$B$16,"Sedang","Relatif Longgar"))))</x:f>
        <x:v>Relatif Longgar</x:v>
      </x:c>
      <x:c r="N135" s="66" t="str">
        <x:v>Tidak Ada</x:v>
      </x:c>
      <x:c r="O135" s="66" t="str">
        <x:v>Aceh</x:v>
      </x:c>
      <x:c r="P135" s="66" t="str">
        <x:v>Kabupaten Aceh Barat</x:v>
      </x:c>
      <x:c r="Q135" s="66" t="str">
        <x:v>https://snpmb.id/snbp/daya-tampung-snbp</x:v>
      </x:c>
      <x:c r="R135" s="66" t="str">
        <x:v>https://sidatagrun-public-1076756628210.asia-southeast2.run.app/ptn_sn.php?ptn=113</x:v>
      </x:c>
    </x:row>
    <x:row r="136">
      <x:c r="A136" s="87" t="n">
        <x:v>3132</x:v>
      </x:c>
      <x:c r="B136" s="87" t="n">
        <x:v>113</x:v>
      </x:c>
      <x:c r="C136" s="66" t="str">
        <x:v>UNIVERSITAS TEUKU UMAR</x:v>
      </x:c>
      <x:c r="D136" s="66" t="str">
        <x:v>PTN Akademik</x:v>
      </x:c>
      <x:c r="E136" s="66" t="str">
        <x:v>11131012</x:v>
      </x:c>
      <x:c r="F136" s="66" t="str">
        <x:v>TEKNOLOGI INFORMASI</x:v>
      </x:c>
      <x:c r="G136" s="66" t="str">
        <x:v>Sarjana</x:v>
      </x:c>
      <x:c r="H136" s="87" t="n">
        <x:v>48</x:v>
      </x:c>
      <x:c r="I136" s="87" t="n">
        <x:v>149</x:v>
      </x:c>
      <x:c r="J136" s="68" t="n">
        <x:f>IFERROR(H136/I136,"")</x:f>
        <x:v>0.3221476510067114</x:v>
      </x:c>
      <x:c r="K136" s="69" t="n">
        <x:f>IFERROR(I136/H136,"")</x:f>
        <x:v>3.1041666666666665</x:v>
      </x:c>
      <x:c r="L136" s="66" t="str">
        <x:f>IF(K136="","","1 : "&amp;TEXT(K136,"0.0"))</x:f>
        <x:v>1 : 3.1</x:v>
      </x:c>
      <x:c r="M136" s="66" t="str">
        <x:f>IF(J136="","Baru/Tanpa Data",IF(J136&lt;='Catatan &amp; Sumber'!$B$14,"Sangat Ketat",IF(J136&lt;='Catatan &amp; Sumber'!$B$15,"Ketat",IF(J136&lt;='Catatan &amp; Sumber'!$B$16,"Sedang","Relatif Longgar"))))</x:f>
        <x:v>Relatif Longgar</x:v>
      </x:c>
      <x:c r="N136" s="66" t="str">
        <x:v>Tidak Ada</x:v>
      </x:c>
      <x:c r="O136" s="66" t="str">
        <x:v>Aceh</x:v>
      </x:c>
      <x:c r="P136" s="66" t="str">
        <x:v>Kabupaten Aceh Barat</x:v>
      </x:c>
      <x:c r="Q136" s="66" t="str">
        <x:v>https://snpmb.id/snbp/daya-tampung-snbp</x:v>
      </x:c>
      <x:c r="R136" s="66" t="str">
        <x:v>https://sidatagrun-public-1076756628210.asia-southeast2.run.app/ptn_sn.php?ptn=113</x:v>
      </x:c>
    </x:row>
    <x:row r="137">
      <x:c r="A137" s="87" t="n">
        <x:v>2102</x:v>
      </x:c>
      <x:c r="B137" s="87" t="n">
        <x:v>113</x:v>
      </x:c>
      <x:c r="C137" s="66" t="str">
        <x:v>UNIVERSITAS TEUKU UMAR</x:v>
      </x:c>
      <x:c r="D137" s="66" t="str">
        <x:v>PTN Akademik</x:v>
      </x:c>
      <x:c r="E137" s="66" t="str">
        <x:v>11131013</x:v>
      </x:c>
      <x:c r="F137" s="66" t="str">
        <x:v>GIZI</x:v>
      </x:c>
      <x:c r="G137" s="66" t="str">
        <x:v>Sarjana</x:v>
      </x:c>
      <x:c r="H137" s="87" t="n">
        <x:v>52</x:v>
      </x:c>
      <x:c r="I137" s="87" t="n">
        <x:v>322</x:v>
      </x:c>
      <x:c r="J137" s="68" t="n">
        <x:f>IFERROR(H137/I137,"")</x:f>
        <x:v>0.16149068322981366</x:v>
      </x:c>
      <x:c r="K137" s="69" t="n">
        <x:f>IFERROR(I137/H137,"")</x:f>
        <x:v>6.1923076923076925</x:v>
      </x:c>
      <x:c r="L137" s="66" t="str">
        <x:f>IF(K137="","","1 : "&amp;TEXT(K137,"0.0"))</x:f>
        <x:v>1 : 6.2</x:v>
      </x:c>
      <x:c r="M137" s="66" t="str">
        <x:f>IF(J137="","Baru/Tanpa Data",IF(J137&lt;='Catatan &amp; Sumber'!$B$14,"Sangat Ketat",IF(J137&lt;='Catatan &amp; Sumber'!$B$15,"Ketat",IF(J137&lt;='Catatan &amp; Sumber'!$B$16,"Sedang","Relatif Longgar"))))</x:f>
        <x:v>Relatif Longgar</x:v>
      </x:c>
      <x:c r="N137" s="66" t="str">
        <x:v>Tidak Ada</x:v>
      </x:c>
      <x:c r="O137" s="66" t="str">
        <x:v>Aceh</x:v>
      </x:c>
      <x:c r="P137" s="66" t="str">
        <x:v>Kabupaten Aceh Barat</x:v>
      </x:c>
      <x:c r="Q137" s="66" t="str">
        <x:v>https://snpmb.id/snbp/daya-tampung-snbp</x:v>
      </x:c>
      <x:c r="R137" s="66" t="str">
        <x:v>https://sidatagrun-public-1076756628210.asia-southeast2.run.app/ptn_sn.php?ptn=113</x:v>
      </x:c>
    </x:row>
    <x:row r="138">
      <x:c r="A138" s="87" t="n">
        <x:v>4195</x:v>
      </x:c>
      <x:c r="B138" s="87" t="n">
        <x:v>113</x:v>
      </x:c>
      <x:c r="C138" s="66" t="str">
        <x:v>UNIVERSITAS TEUKU UMAR</x:v>
      </x:c>
      <x:c r="D138" s="66" t="str">
        <x:v>PTN Akademik</x:v>
      </x:c>
      <x:c r="E138" s="66" t="str">
        <x:v>11131014</x:v>
      </x:c>
      <x:c r="F138" s="66" t="str">
        <x:v>EKONOMI PEMBANGUNAN</x:v>
      </x:c>
      <x:c r="G138" s="66" t="str">
        <x:v>Sarjana</x:v>
      </x:c>
      <x:c r="H138" s="87" t="n">
        <x:v>34</x:v>
      </x:c>
      <x:c r="I138" s="87" t="n">
        <x:v>40</x:v>
      </x:c>
      <x:c r="J138" s="68" t="n">
        <x:f>IFERROR(H138/I138,"")</x:f>
        <x:v>0.85</x:v>
      </x:c>
      <x:c r="K138" s="69" t="n">
        <x:f>IFERROR(I138/H138,"")</x:f>
        <x:v>1.1764705882352942</x:v>
      </x:c>
      <x:c r="L138" s="66" t="str">
        <x:f>IF(K138="","","1 : "&amp;TEXT(K138,"0.0"))</x:f>
        <x:v>1 : 1.2</x:v>
      </x:c>
      <x:c r="M138" s="66" t="str">
        <x:f>IF(J138="","Baru/Tanpa Data",IF(J138&lt;='Catatan &amp; Sumber'!$B$14,"Sangat Ketat",IF(J138&lt;='Catatan &amp; Sumber'!$B$15,"Ketat",IF(J138&lt;='Catatan &amp; Sumber'!$B$16,"Sedang","Relatif Longgar"))))</x:f>
        <x:v>Relatif Longgar</x:v>
      </x:c>
      <x:c r="N138" s="66" t="str">
        <x:v>Tidak Ada</x:v>
      </x:c>
      <x:c r="O138" s="66" t="str">
        <x:v>Aceh</x:v>
      </x:c>
      <x:c r="P138" s="66" t="str">
        <x:v>Kabupaten Aceh Barat</x:v>
      </x:c>
      <x:c r="Q138" s="66" t="str">
        <x:v>https://snpmb.id/snbp/daya-tampung-snbp</x:v>
      </x:c>
      <x:c r="R138" s="66" t="str">
        <x:v>https://sidatagrun-public-1076756628210.asia-southeast2.run.app/ptn_sn.php?ptn=113</x:v>
      </x:c>
    </x:row>
    <x:row r="139">
      <x:c r="A139" s="87" t="n">
        <x:v>3776</x:v>
      </x:c>
      <x:c r="B139" s="87" t="n">
        <x:v>113</x:v>
      </x:c>
      <x:c r="C139" s="66" t="str">
        <x:v>UNIVERSITAS TEUKU UMAR</x:v>
      </x:c>
      <x:c r="D139" s="66" t="str">
        <x:v>PTN Akademik</x:v>
      </x:c>
      <x:c r="E139" s="66" t="str">
        <x:v>11131015</x:v>
      </x:c>
      <x:c r="F139" s="66" t="str">
        <x:v>ILMU ADMINISTRASI NEGARA</x:v>
      </x:c>
      <x:c r="G139" s="66" t="str">
        <x:v>Sarjana</x:v>
      </x:c>
      <x:c r="H139" s="87" t="n">
        <x:v>60</x:v>
      </x:c>
      <x:c r="I139" s="87" t="n">
        <x:v>107</x:v>
      </x:c>
      <x:c r="J139" s="68" t="n">
        <x:f>IFERROR(H139/I139,"")</x:f>
        <x:v>0.5607476635514018</x:v>
      </x:c>
      <x:c r="K139" s="69" t="n">
        <x:f>IFERROR(I139/H139,"")</x:f>
        <x:v>1.7833333333333334</x:v>
      </x:c>
      <x:c r="L139" s="66" t="str">
        <x:f>IF(K139="","","1 : "&amp;TEXT(K139,"0.0"))</x:f>
        <x:v>1 : 1.8</x:v>
      </x:c>
      <x:c r="M139" s="66" t="str">
        <x:f>IF(J139="","Baru/Tanpa Data",IF(J139&lt;='Catatan &amp; Sumber'!$B$14,"Sangat Ketat",IF(J139&lt;='Catatan &amp; Sumber'!$B$15,"Ketat",IF(J139&lt;='Catatan &amp; Sumber'!$B$16,"Sedang","Relatif Longgar"))))</x:f>
        <x:v>Relatif Longgar</x:v>
      </x:c>
      <x:c r="N139" s="66" t="str">
        <x:v>Tidak Ada</x:v>
      </x:c>
      <x:c r="O139" s="66" t="str">
        <x:v>Aceh</x:v>
      </x:c>
      <x:c r="P139" s="66" t="str">
        <x:v>Kabupaten Aceh Barat</x:v>
      </x:c>
      <x:c r="Q139" s="66" t="str">
        <x:v>https://snpmb.id/snbp/daya-tampung-snbp</x:v>
      </x:c>
      <x:c r="R139" s="66" t="str">
        <x:v>https://sidatagrun-public-1076756628210.asia-southeast2.run.app/ptn_sn.php?ptn=113</x:v>
      </x:c>
    </x:row>
    <x:row r="140">
      <x:c r="A140" s="87" t="n">
        <x:v>3637</x:v>
      </x:c>
      <x:c r="B140" s="87" t="n">
        <x:v>113</x:v>
      </x:c>
      <x:c r="C140" s="66" t="str">
        <x:v>UNIVERSITAS TEUKU UMAR</x:v>
      </x:c>
      <x:c r="D140" s="66" t="str">
        <x:v>PTN Akademik</x:v>
      </x:c>
      <x:c r="E140" s="66" t="str">
        <x:v>11131016</x:v>
      </x:c>
      <x:c r="F140" s="66" t="str">
        <x:v>SOSIOLOGI</x:v>
      </x:c>
      <x:c r="G140" s="66" t="str">
        <x:v>Sarjana</x:v>
      </x:c>
      <x:c r="H140" s="87" t="n">
        <x:v>48</x:v>
      </x:c>
      <x:c r="I140" s="87" t="n">
        <x:v>99</x:v>
      </x:c>
      <x:c r="J140" s="68" t="n">
        <x:f>IFERROR(H140/I140,"")</x:f>
        <x:v>0.48484848484848486</x:v>
      </x:c>
      <x:c r="K140" s="69" t="n">
        <x:f>IFERROR(I140/H140,"")</x:f>
        <x:v>2.0625</x:v>
      </x:c>
      <x:c r="L140" s="66" t="str">
        <x:f>IF(K140="","","1 : "&amp;TEXT(K140,"0.0"))</x:f>
        <x:v>1 : 2.1</x:v>
      </x:c>
      <x:c r="M140" s="66" t="str">
        <x:f>IF(J140="","Baru/Tanpa Data",IF(J140&lt;='Catatan &amp; Sumber'!$B$14,"Sangat Ketat",IF(J140&lt;='Catatan &amp; Sumber'!$B$15,"Ketat",IF(J140&lt;='Catatan &amp; Sumber'!$B$16,"Sedang","Relatif Longgar"))))</x:f>
        <x:v>Relatif Longgar</x:v>
      </x:c>
      <x:c r="N140" s="66" t="str">
        <x:v>Tidak Ada</x:v>
      </x:c>
      <x:c r="O140" s="66" t="str">
        <x:v>Aceh</x:v>
      </x:c>
      <x:c r="P140" s="66" t="str">
        <x:v>Kabupaten Aceh Barat</x:v>
      </x:c>
      <x:c r="Q140" s="66" t="str">
        <x:v>https://snpmb.id/snbp/daya-tampung-snbp</x:v>
      </x:c>
      <x:c r="R140" s="66" t="str">
        <x:v>https://sidatagrun-public-1076756628210.asia-southeast2.run.app/ptn_sn.php?ptn=113</x:v>
      </x:c>
    </x:row>
    <x:row r="141">
      <x:c r="A141" s="87" t="n">
        <x:v>3935</x:v>
      </x:c>
      <x:c r="B141" s="87" t="n">
        <x:v>113</x:v>
      </x:c>
      <x:c r="C141" s="66" t="str">
        <x:v>UNIVERSITAS TEUKU UMAR</x:v>
      </x:c>
      <x:c r="D141" s="66" t="str">
        <x:v>PTN Akademik</x:v>
      </x:c>
      <x:c r="E141" s="66" t="str">
        <x:v>11131017</x:v>
      </x:c>
      <x:c r="F141" s="66" t="str">
        <x:v>ILMU KOMUNIKASI</x:v>
      </x:c>
      <x:c r="G141" s="66" t="str">
        <x:v>Sarjana</x:v>
      </x:c>
      <x:c r="H141" s="87" t="n">
        <x:v>56</x:v>
      </x:c>
      <x:c r="I141" s="87" t="n">
        <x:v>87</x:v>
      </x:c>
      <x:c r="J141" s="68" t="n">
        <x:f>IFERROR(H141/I141,"")</x:f>
        <x:v>0.6436781609195402</x:v>
      </x:c>
      <x:c r="K141" s="69" t="n">
        <x:f>IFERROR(I141/H141,"")</x:f>
        <x:v>1.5535714285714286</x:v>
      </x:c>
      <x:c r="L141" s="66" t="str">
        <x:f>IF(K141="","","1 : "&amp;TEXT(K141,"0.0"))</x:f>
        <x:v>1 : 1.6</x:v>
      </x:c>
      <x:c r="M141" s="66" t="str">
        <x:f>IF(J141="","Baru/Tanpa Data",IF(J141&lt;='Catatan &amp; Sumber'!$B$14,"Sangat Ketat",IF(J141&lt;='Catatan &amp; Sumber'!$B$15,"Ketat",IF(J141&lt;='Catatan &amp; Sumber'!$B$16,"Sedang","Relatif Longgar"))))</x:f>
        <x:v>Relatif Longgar</x:v>
      </x:c>
      <x:c r="N141" s="66" t="str">
        <x:v>Tidak Ada</x:v>
      </x:c>
      <x:c r="O141" s="66" t="str">
        <x:v>Aceh</x:v>
      </x:c>
      <x:c r="P141" s="66" t="str">
        <x:v>Kabupaten Aceh Barat</x:v>
      </x:c>
      <x:c r="Q141" s="66" t="str">
        <x:v>https://snpmb.id/snbp/daya-tampung-snbp</x:v>
      </x:c>
      <x:c r="R141" s="66" t="str">
        <x:v>https://sidatagrun-public-1076756628210.asia-southeast2.run.app/ptn_sn.php?ptn=113</x:v>
      </x:c>
    </x:row>
    <x:row r="142">
      <x:c r="A142" s="87" t="n">
        <x:v>3178</x:v>
      </x:c>
      <x:c r="B142" s="87" t="n">
        <x:v>113</x:v>
      </x:c>
      <x:c r="C142" s="66" t="str">
        <x:v>UNIVERSITAS TEUKU UMAR</x:v>
      </x:c>
      <x:c r="D142" s="66" t="str">
        <x:v>PTN Akademik</x:v>
      </x:c>
      <x:c r="E142" s="66" t="str">
        <x:v>11131018</x:v>
      </x:c>
      <x:c r="F142" s="66" t="str">
        <x:v>MANAJEMEN</x:v>
      </x:c>
      <x:c r="G142" s="66" t="str">
        <x:v>Sarjana</x:v>
      </x:c>
      <x:c r="H142" s="87" t="n">
        <x:v>64</x:v>
      </x:c>
      <x:c r="I142" s="87" t="n">
        <x:v>190</x:v>
      </x:c>
      <x:c r="J142" s="68" t="n">
        <x:f>IFERROR(H142/I142,"")</x:f>
        <x:v>0.3368421052631579</x:v>
      </x:c>
      <x:c r="K142" s="69" t="n">
        <x:f>IFERROR(I142/H142,"")</x:f>
        <x:v>2.96875</x:v>
      </x:c>
      <x:c r="L142" s="66" t="str">
        <x:f>IF(K142="","","1 : "&amp;TEXT(K142,"0.0"))</x:f>
        <x:v>1 : 3.0</x:v>
      </x:c>
      <x:c r="M142" s="66" t="str">
        <x:f>IF(J142="","Baru/Tanpa Data",IF(J142&lt;='Catatan &amp; Sumber'!$B$14,"Sangat Ketat",IF(J142&lt;='Catatan &amp; Sumber'!$B$15,"Ketat",IF(J142&lt;='Catatan &amp; Sumber'!$B$16,"Sedang","Relatif Longgar"))))</x:f>
        <x:v>Relatif Longgar</x:v>
      </x:c>
      <x:c r="N142" s="66" t="str">
        <x:v>Tidak Ada</x:v>
      </x:c>
      <x:c r="O142" s="66" t="str">
        <x:v>Aceh</x:v>
      </x:c>
      <x:c r="P142" s="66" t="str">
        <x:v>Kabupaten Aceh Barat</x:v>
      </x:c>
      <x:c r="Q142" s="66" t="str">
        <x:v>https://snpmb.id/snbp/daya-tampung-snbp</x:v>
      </x:c>
      <x:c r="R142" s="66" t="str">
        <x:v>https://sidatagrun-public-1076756628210.asia-southeast2.run.app/ptn_sn.php?ptn=113</x:v>
      </x:c>
    </x:row>
    <x:row r="143">
      <x:c r="A143" s="87" t="n">
        <x:v>3606</x:v>
      </x:c>
      <x:c r="B143" s="87" t="n">
        <x:v>113</x:v>
      </x:c>
      <x:c r="C143" s="66" t="str">
        <x:v>UNIVERSITAS TEUKU UMAR</x:v>
      </x:c>
      <x:c r="D143" s="66" t="str">
        <x:v>PTN Akademik</x:v>
      </x:c>
      <x:c r="E143" s="66" t="str">
        <x:v>11131019</x:v>
      </x:c>
      <x:c r="F143" s="66" t="str">
        <x:v>AKUNTANSI</x:v>
      </x:c>
      <x:c r="G143" s="66" t="str">
        <x:v>Sarjana</x:v>
      </x:c>
      <x:c r="H143" s="87" t="n">
        <x:v>60</x:v>
      </x:c>
      <x:c r="I143" s="87" t="n">
        <x:v>127</x:v>
      </x:c>
      <x:c r="J143" s="68" t="n">
        <x:f>IFERROR(H143/I143,"")</x:f>
        <x:v>0.47244094488188976</x:v>
      </x:c>
      <x:c r="K143" s="69" t="n">
        <x:f>IFERROR(I143/H143,"")</x:f>
        <x:v>2.1166666666666667</x:v>
      </x:c>
      <x:c r="L143" s="66" t="str">
        <x:f>IF(K143="","","1 : "&amp;TEXT(K143,"0.0"))</x:f>
        <x:v>1 : 2.1</x:v>
      </x:c>
      <x:c r="M143" s="66" t="str">
        <x:f>IF(J143="","Baru/Tanpa Data",IF(J143&lt;='Catatan &amp; Sumber'!$B$14,"Sangat Ketat",IF(J143&lt;='Catatan &amp; Sumber'!$B$15,"Ketat",IF(J143&lt;='Catatan &amp; Sumber'!$B$16,"Sedang","Relatif Longgar"))))</x:f>
        <x:v>Relatif Longgar</x:v>
      </x:c>
      <x:c r="N143" s="66" t="str">
        <x:v>Tidak Ada</x:v>
      </x:c>
      <x:c r="O143" s="66" t="str">
        <x:v>Aceh</x:v>
      </x:c>
      <x:c r="P143" s="66" t="str">
        <x:v>Kabupaten Aceh Barat</x:v>
      </x:c>
      <x:c r="Q143" s="66" t="str">
        <x:v>https://snpmb.id/snbp/daya-tampung-snbp</x:v>
      </x:c>
      <x:c r="R143" s="66" t="str">
        <x:v>https://sidatagrun-public-1076756628210.asia-southeast2.run.app/ptn_sn.php?ptn=113</x:v>
      </x:c>
    </x:row>
    <x:row r="144">
      <x:c r="A144" s="87" t="n">
        <x:v>3872</x:v>
      </x:c>
      <x:c r="B144" s="87" t="n">
        <x:v>113</x:v>
      </x:c>
      <x:c r="C144" s="66" t="str">
        <x:v>UNIVERSITAS TEUKU UMAR</x:v>
      </x:c>
      <x:c r="D144" s="66" t="str">
        <x:v>PTN Akademik</x:v>
      </x:c>
      <x:c r="E144" s="66" t="str">
        <x:v>11131020</x:v>
      </x:c>
      <x:c r="F144" s="66" t="str">
        <x:v>ILMU HUKUM</x:v>
      </x:c>
      <x:c r="G144" s="66" t="str">
        <x:v>Sarjana</x:v>
      </x:c>
      <x:c r="H144" s="87" t="n">
        <x:v>64</x:v>
      </x:c>
      <x:c r="I144" s="87" t="n">
        <x:v>105</x:v>
      </x:c>
      <x:c r="J144" s="68" t="n">
        <x:f>IFERROR(H144/I144,"")</x:f>
        <x:v>0.6095238095238096</x:v>
      </x:c>
      <x:c r="K144" s="69" t="n">
        <x:f>IFERROR(I144/H144,"")</x:f>
        <x:v>1.640625</x:v>
      </x:c>
      <x:c r="L144" s="66" t="str">
        <x:f>IF(K144="","","1 : "&amp;TEXT(K144,"0.0"))</x:f>
        <x:v>1 : 1.6</x:v>
      </x:c>
      <x:c r="M144" s="66" t="str">
        <x:f>IF(J144="","Baru/Tanpa Data",IF(J144&lt;='Catatan &amp; Sumber'!$B$14,"Sangat Ketat",IF(J144&lt;='Catatan &amp; Sumber'!$B$15,"Ketat",IF(J144&lt;='Catatan &amp; Sumber'!$B$16,"Sedang","Relatif Longgar"))))</x:f>
        <x:v>Relatif Longgar</x:v>
      </x:c>
      <x:c r="N144" s="66" t="str">
        <x:v>Tidak Ada</x:v>
      </x:c>
      <x:c r="O144" s="66" t="str">
        <x:v>Aceh</x:v>
      </x:c>
      <x:c r="P144" s="66" t="str">
        <x:v>Kabupaten Aceh Barat</x:v>
      </x:c>
      <x:c r="Q144" s="66" t="str">
        <x:v>https://snpmb.id/snbp/daya-tampung-snbp</x:v>
      </x:c>
      <x:c r="R144" s="66" t="str">
        <x:v>https://sidatagrun-public-1076756628210.asia-southeast2.run.app/ptn_sn.php?ptn=113</x:v>
      </x:c>
    </x:row>
    <x:row r="145">
      <x:c r="A145" s="87" t="n">
        <x:v>4198</x:v>
      </x:c>
      <x:c r="B145" s="87" t="n">
        <x:v>113</x:v>
      </x:c>
      <x:c r="C145" s="66" t="str">
        <x:v>UNIVERSITAS TEUKU UMAR</x:v>
      </x:c>
      <x:c r="D145" s="66" t="str">
        <x:v>PTN Akademik</x:v>
      </x:c>
      <x:c r="E145" s="66" t="str">
        <x:v>11131021</x:v>
      </x:c>
      <x:c r="F145" s="66" t="str">
        <x:v>PETERNAKAN</x:v>
      </x:c>
      <x:c r="G145" s="66" t="str">
        <x:v>Sarjana</x:v>
      </x:c>
      <x:c r="H145" s="87" t="n">
        <x:v>24</x:v>
      </x:c>
      <x:c r="I145" s="87" t="n">
        <x:v>28</x:v>
      </x:c>
      <x:c r="J145" s="68" t="n">
        <x:f>IFERROR(H145/I145,"")</x:f>
        <x:v>0.8571428571428571</x:v>
      </x:c>
      <x:c r="K145" s="69" t="n">
        <x:f>IFERROR(I145/H145,"")</x:f>
        <x:v>1.1666666666666667</x:v>
      </x:c>
      <x:c r="L145" s="66" t="str">
        <x:f>IF(K145="","","1 : "&amp;TEXT(K145,"0.0"))</x:f>
        <x:v>1 : 1.2</x:v>
      </x:c>
      <x:c r="M145" s="66" t="str">
        <x:f>IF(J145="","Baru/Tanpa Data",IF(J145&lt;='Catatan &amp; Sumber'!$B$14,"Sangat Ketat",IF(J145&lt;='Catatan &amp; Sumber'!$B$15,"Ketat",IF(J145&lt;='Catatan &amp; Sumber'!$B$16,"Sedang","Relatif Longgar"))))</x:f>
        <x:v>Relatif Longgar</x:v>
      </x:c>
      <x:c r="N145" s="66" t="str">
        <x:v>Tidak Ada</x:v>
      </x:c>
      <x:c r="O145" s="66" t="str">
        <x:v>Aceh</x:v>
      </x:c>
      <x:c r="P145" s="66" t="str">
        <x:v>Kabupaten Aceh Barat</x:v>
      </x:c>
      <x:c r="Q145" s="66" t="str">
        <x:v>https://snpmb.id/snbp/daya-tampung-snbp</x:v>
      </x:c>
      <x:c r="R145" s="66" t="str">
        <x:v>https://sidatagrun-public-1076756628210.asia-southeast2.run.app/ptn_sn.php?ptn=113</x:v>
      </x:c>
    </x:row>
    <x:row r="146">
      <x:c r="A146" s="87" t="n">
        <x:v>3513</x:v>
      </x:c>
      <x:c r="B146" s="87" t="n">
        <x:v>113</x:v>
      </x:c>
      <x:c r="C146" s="66" t="str">
        <x:v>UNIVERSITAS TEUKU UMAR</x:v>
      </x:c>
      <x:c r="D146" s="66" t="str">
        <x:v>PTN Akademik</x:v>
      </x:c>
      <x:c r="E146" s="66" t="str">
        <x:v>11131022</x:v>
      </x:c>
      <x:c r="F146" s="66" t="str">
        <x:v>BISNIS DIGITAL</x:v>
      </x:c>
      <x:c r="G146" s="66" t="str">
        <x:v>Sarjana</x:v>
      </x:c>
      <x:c r="H146" s="87" t="n">
        <x:v>38</x:v>
      </x:c>
      <x:c r="I146" s="87" t="n">
        <x:v>87</x:v>
      </x:c>
      <x:c r="J146" s="68" t="n">
        <x:f>IFERROR(H146/I146,"")</x:f>
        <x:v>0.4367816091954023</x:v>
      </x:c>
      <x:c r="K146" s="69" t="n">
        <x:f>IFERROR(I146/H146,"")</x:f>
        <x:v>2.289473684210526</x:v>
      </x:c>
      <x:c r="L146" s="66" t="str">
        <x:f>IF(K146="","","1 : "&amp;TEXT(K146,"0.0"))</x:f>
        <x:v>1 : 2.3</x:v>
      </x:c>
      <x:c r="M146" s="66" t="str">
        <x:f>IF(J146="","Baru/Tanpa Data",IF(J146&lt;='Catatan &amp; Sumber'!$B$14,"Sangat Ketat",IF(J146&lt;='Catatan &amp; Sumber'!$B$15,"Ketat",IF(J146&lt;='Catatan &amp; Sumber'!$B$16,"Sedang","Relatif Longgar"))))</x:f>
        <x:v>Relatif Longgar</x:v>
      </x:c>
      <x:c r="N146" s="66" t="str">
        <x:v>Tidak Ada</x:v>
      </x:c>
      <x:c r="O146" s="66" t="str">
        <x:v>Aceh</x:v>
      </x:c>
      <x:c r="P146" s="66" t="str">
        <x:v>Kabupaten Aceh Barat</x:v>
      </x:c>
      <x:c r="Q146" s="66" t="str">
        <x:v>https://snpmb.id/snbp/daya-tampung-snbp</x:v>
      </x:c>
      <x:c r="R146" s="66" t="str">
        <x:v>https://sidatagrun-public-1076756628210.asia-southeast2.run.app/ptn_sn.php?ptn=113</x:v>
      </x:c>
    </x:row>
    <x:row r="147">
      <x:c r="A147" s="87" t="n">
        <x:v>2702</x:v>
      </x:c>
      <x:c r="B147" s="87" t="n">
        <x:v>113</x:v>
      </x:c>
      <x:c r="C147" s="66" t="str">
        <x:v>UNIVERSITAS TEUKU UMAR</x:v>
      </x:c>
      <x:c r="D147" s="66" t="str">
        <x:v>PTN Akademik</x:v>
      </x:c>
      <x:c r="E147" s="66" t="str">
        <x:v>11131023</x:v>
      </x:c>
      <x:c r="F147" s="66" t="str">
        <x:v>KESELAMATAN DAN KESEHATAN KERJA</x:v>
      </x:c>
      <x:c r="G147" s="66" t="str">
        <x:v>Sarjana</x:v>
      </x:c>
      <x:c r="H147" s="87" t="n">
        <x:v>38</x:v>
      </x:c>
      <x:c r="I147" s="87" t="n">
        <x:v>156</x:v>
      </x:c>
      <x:c r="J147" s="68" t="n">
        <x:f>IFERROR(H147/I147,"")</x:f>
        <x:v>0.24358974358974358</x:v>
      </x:c>
      <x:c r="K147" s="69" t="n">
        <x:f>IFERROR(I147/H147,"")</x:f>
        <x:v>4.105263157894737</x:v>
      </x:c>
      <x:c r="L147" s="66" t="str">
        <x:f>IF(K147="","","1 : "&amp;TEXT(K147,"0.0"))</x:f>
        <x:v>1 : 4.1</x:v>
      </x:c>
      <x:c r="M147" s="66" t="str">
        <x:f>IF(J147="","Baru/Tanpa Data",IF(J147&lt;='Catatan &amp; Sumber'!$B$14,"Sangat Ketat",IF(J147&lt;='Catatan &amp; Sumber'!$B$15,"Ketat",IF(J147&lt;='Catatan &amp; Sumber'!$B$16,"Sedang","Relatif Longgar"))))</x:f>
        <x:v>Relatif Longgar</x:v>
      </x:c>
      <x:c r="N147" s="66" t="str">
        <x:v>Tidak Ada</x:v>
      </x:c>
      <x:c r="O147" s="66" t="str">
        <x:v>Aceh</x:v>
      </x:c>
      <x:c r="P147" s="66" t="str">
        <x:v>Kabupaten Aceh Barat</x:v>
      </x:c>
      <x:c r="Q147" s="66" t="str">
        <x:v>https://snpmb.id/snbp/daya-tampung-snbp</x:v>
      </x:c>
      <x:c r="R147" s="66" t="str">
        <x:v>https://sidatagrun-public-1076756628210.asia-southeast2.run.app/ptn_sn.php?ptn=113</x:v>
      </x:c>
    </x:row>
    <x:row r="148">
      <x:c r="A148" s="87" t="n">
        <x:v>4289</x:v>
      </x:c>
      <x:c r="B148" s="87" t="n">
        <x:v>113</x:v>
      </x:c>
      <x:c r="C148" s="66" t="str">
        <x:v>UNIVERSITAS TEUKU UMAR</x:v>
      </x:c>
      <x:c r="D148" s="66" t="str">
        <x:v>PTN Akademik</x:v>
      </x:c>
      <x:c r="E148" s="66" t="str">
        <x:v>11131024</x:v>
      </x:c>
      <x:c r="F148" s="66" t="str">
        <x:v>BAHASA DAN KEBUDAYAAN INGGRIS</x:v>
      </x:c>
      <x:c r="G148" s="66" t="str">
        <x:v>Sarjana</x:v>
      </x:c>
      <x:c r="H148" s="87" t="n">
        <x:v>24</x:v>
      </x:c>
      <x:c r="I148" s="87" t="n">
        <x:v>25</x:v>
      </x:c>
      <x:c r="J148" s="68" t="n">
        <x:f>IFERROR(H148/I148,"")</x:f>
        <x:v>0.96</x:v>
      </x:c>
      <x:c r="K148" s="69" t="n">
        <x:f>IFERROR(I148/H148,"")</x:f>
        <x:v>1.0416666666666667</x:v>
      </x:c>
      <x:c r="L148" s="66" t="str">
        <x:f>IF(K148="","","1 : "&amp;TEXT(K148,"0.0"))</x:f>
        <x:v>1 : 1.0</x:v>
      </x:c>
      <x:c r="M148" s="66" t="str">
        <x:f>IF(J148="","Baru/Tanpa Data",IF(J148&lt;='Catatan &amp; Sumber'!$B$14,"Sangat Ketat",IF(J148&lt;='Catatan &amp; Sumber'!$B$15,"Ketat",IF(J148&lt;='Catatan &amp; Sumber'!$B$16,"Sedang","Relatif Longgar"))))</x:f>
        <x:v>Relatif Longgar</x:v>
      </x:c>
      <x:c r="N148" s="66" t="str">
        <x:v>Tidak Ada</x:v>
      </x:c>
      <x:c r="O148" s="66" t="str">
        <x:v>Aceh</x:v>
      </x:c>
      <x:c r="P148" s="66" t="str">
        <x:v>Kabupaten Aceh Barat</x:v>
      </x:c>
      <x:c r="Q148" s="66" t="str">
        <x:v>https://snpmb.id/snbp/daya-tampung-snbp</x:v>
      </x:c>
      <x:c r="R148" s="66" t="str">
        <x:v>https://sidatagrun-public-1076756628210.asia-southeast2.run.app/ptn_sn.php?ptn=113</x:v>
      </x:c>
    </x:row>
    <x:row r="149">
      <x:c r="A149" s="87"/>
      <x:c r="B149" s="87" t="n">
        <x:v>113</x:v>
      </x:c>
      <x:c r="C149" s="66" t="str">
        <x:v>UNIVERSITAS TEUKU UMAR</x:v>
      </x:c>
      <x:c r="D149" s="66" t="str">
        <x:v>PTN Akademik</x:v>
      </x:c>
      <x:c r="E149" s="66" t="str">
        <x:v>11131025</x:v>
      </x:c>
      <x:c r="F149" s="66" t="str">
        <x:v>TEKNIK INFRASRUKTUR DAN LINGKUNGAN</x:v>
      </x:c>
      <x:c r="G149" s="66" t="str">
        <x:v>Sarjana</x:v>
      </x:c>
      <x:c r="H149" s="87" t="n">
        <x:v>16</x:v>
      </x:c>
      <x:c r="I149" s="87"/>
      <x:c r="J149" s="68" t="str">
        <x:f>IFERROR(H149/I149,"")</x:f>
      </x:c>
      <x:c r="K149" s="69" t="n">
        <x:f>IFERROR(I149/H149,"")</x:f>
        <x:v>0</x:v>
      </x:c>
      <x:c r="L149" s="66" t="str">
        <x:f>IF(K149="","","1 : "&amp;TEXT(K149,"0.0"))</x:f>
      </x:c>
      <x:c r="M149" s="66" t="str">
        <x:f>IF(J149="","Baru/Tanpa Data",IF(J149&lt;='Catatan &amp; Sumber'!$B$14,"Sangat Ketat",IF(J149&lt;='Catatan &amp; Sumber'!$B$15,"Ketat",IF(J149&lt;='Catatan &amp; Sumber'!$B$16,"Sedang","Relatif Longgar"))))</x:f>
        <x:v>Baru/Tanpa Data</x:v>
      </x:c>
      <x:c r="N149" s="66" t="str">
        <x:v>Tidak Ada</x:v>
      </x:c>
      <x:c r="O149" s="66" t="str">
        <x:v>Aceh</x:v>
      </x:c>
      <x:c r="P149" s="66" t="str">
        <x:v>Kabupaten Aceh Barat</x:v>
      </x:c>
      <x:c r="Q149" s="66" t="str">
        <x:v>https://snpmb.id/snbp/daya-tampung-snbp</x:v>
      </x:c>
      <x:c r="R149" s="66" t="str">
        <x:v>https://sidatagrun-public-1076756628210.asia-southeast2.run.app/ptn_sn.php?ptn=113</x:v>
      </x:c>
    </x:row>
    <x:row r="150">
      <x:c r="A150" s="87"/>
      <x:c r="B150" s="87" t="n">
        <x:v>113</x:v>
      </x:c>
      <x:c r="C150" s="66" t="str">
        <x:v>UNIVERSITAS TEUKU UMAR</x:v>
      </x:c>
      <x:c r="D150" s="66" t="str">
        <x:v>PTN Akademik</x:v>
      </x:c>
      <x:c r="E150" s="66" t="str">
        <x:v>11131026</x:v>
      </x:c>
      <x:c r="F150" s="66" t="str">
        <x:v>SAINS KEOLAHRAGAAN</x:v>
      </x:c>
      <x:c r="G150" s="66" t="str">
        <x:v>Sarjana</x:v>
      </x:c>
      <x:c r="H150" s="87" t="n">
        <x:v>16</x:v>
      </x:c>
      <x:c r="I150" s="87"/>
      <x:c r="J150" s="68" t="str">
        <x:f>IFERROR(H150/I150,"")</x:f>
      </x:c>
      <x:c r="K150" s="69" t="n">
        <x:f>IFERROR(I150/H150,"")</x:f>
        <x:v>0</x:v>
      </x:c>
      <x:c r="L150" s="66" t="str">
        <x:f>IF(K150="","","1 : "&amp;TEXT(K150,"0.0"))</x:f>
      </x:c>
      <x:c r="M150" s="66" t="str">
        <x:f>IF(J150="","Baru/Tanpa Data",IF(J150&lt;='Catatan &amp; Sumber'!$B$14,"Sangat Ketat",IF(J150&lt;='Catatan &amp; Sumber'!$B$15,"Ketat",IF(J150&lt;='Catatan &amp; Sumber'!$B$16,"Sedang","Relatif Longgar"))))</x:f>
        <x:v>Baru/Tanpa Data</x:v>
      </x:c>
      <x:c r="N150" s="66" t="str">
        <x:v>Olahraga</x:v>
      </x:c>
      <x:c r="O150" s="66" t="str">
        <x:v>Aceh</x:v>
      </x:c>
      <x:c r="P150" s="66" t="str">
        <x:v>Kabupaten Aceh Barat</x:v>
      </x:c>
      <x:c r="Q150" s="66" t="str">
        <x:v>https://snpmb.id/snbp/daya-tampung-snbp</x:v>
      </x:c>
      <x:c r="R150" s="66" t="str">
        <x:v>https://sidatagrun-public-1076756628210.asia-southeast2.run.app/ptn_sn.php?ptn=113</x:v>
      </x:c>
    </x:row>
    <x:row r="151">
      <x:c r="A151" s="87"/>
      <x:c r="B151" s="87" t="n">
        <x:v>113</x:v>
      </x:c>
      <x:c r="C151" s="66" t="str">
        <x:v>UNIVERSITAS TEUKU UMAR</x:v>
      </x:c>
      <x:c r="D151" s="66" t="str">
        <x:v>PTN Akademik</x:v>
      </x:c>
      <x:c r="E151" s="66" t="str">
        <x:v>11131027</x:v>
      </x:c>
      <x:c r="F151" s="66" t="str">
        <x:v>BIOSAINS HEWAN</x:v>
      </x:c>
      <x:c r="G151" s="66" t="str">
        <x:v>Sarjana</x:v>
      </x:c>
      <x:c r="H151" s="87" t="n">
        <x:v>16</x:v>
      </x:c>
      <x:c r="I151" s="87"/>
      <x:c r="J151" s="68" t="str">
        <x:f>IFERROR(H151/I151,"")</x:f>
      </x:c>
      <x:c r="K151" s="69" t="n">
        <x:f>IFERROR(I151/H151,"")</x:f>
        <x:v>0</x:v>
      </x:c>
      <x:c r="L151" s="66" t="str">
        <x:f>IF(K151="","","1 : "&amp;TEXT(K151,"0.0"))</x:f>
      </x:c>
      <x:c r="M151" s="66" t="str">
        <x:f>IF(J151="","Baru/Tanpa Data",IF(J151&lt;='Catatan &amp; Sumber'!$B$14,"Sangat Ketat",IF(J151&lt;='Catatan &amp; Sumber'!$B$15,"Ketat",IF(J151&lt;='Catatan &amp; Sumber'!$B$16,"Sedang","Relatif Longgar"))))</x:f>
        <x:v>Baru/Tanpa Data</x:v>
      </x:c>
      <x:c r="N151" s="66" t="str">
        <x:v>Tidak Ada</x:v>
      </x:c>
      <x:c r="O151" s="66" t="str">
        <x:v>Aceh</x:v>
      </x:c>
      <x:c r="P151" s="66" t="str">
        <x:v>Kabupaten Aceh Barat</x:v>
      </x:c>
      <x:c r="Q151" s="66" t="str">
        <x:v>https://snpmb.id/snbp/daya-tampung-snbp</x:v>
      </x:c>
      <x:c r="R151" s="66" t="str">
        <x:v>https://sidatagrun-public-1076756628210.asia-southeast2.run.app/ptn_sn.php?ptn=113</x:v>
      </x:c>
    </x:row>
    <x:row r="152">
      <x:c r="A152" s="87" t="n">
        <x:v>3097</x:v>
      </x:c>
      <x:c r="B152" s="87" t="n">
        <x:v>114</x:v>
      </x:c>
      <x:c r="C152" s="66" t="str">
        <x:v>UNIVERSITAS SAMUDRA</x:v>
      </x:c>
      <x:c r="D152" s="66" t="str">
        <x:v>PTN Akademik</x:v>
      </x:c>
      <x:c r="E152" s="66" t="str">
        <x:v>11141001</x:v>
      </x:c>
      <x:c r="F152" s="66" t="str">
        <x:v>AGROTEKNOLOGI</x:v>
      </x:c>
      <x:c r="G152" s="66" t="str">
        <x:v>Sarjana</x:v>
      </x:c>
      <x:c r="H152" s="87" t="n">
        <x:v>48</x:v>
      </x:c>
      <x:c r="I152" s="87" t="n">
        <x:v>152</x:v>
      </x:c>
      <x:c r="J152" s="68" t="n">
        <x:f>IFERROR(H152/I152,"")</x:f>
        <x:v>0.3157894736842105</x:v>
      </x:c>
      <x:c r="K152" s="69" t="n">
        <x:f>IFERROR(I152/H152,"")</x:f>
        <x:v>3.1666666666666665</x:v>
      </x:c>
      <x:c r="L152" s="66" t="str">
        <x:f>IF(K152="","","1 : "&amp;TEXT(K152,"0.0"))</x:f>
        <x:v>1 : 3.2</x:v>
      </x:c>
      <x:c r="M152" s="66" t="str">
        <x:f>IF(J152="","Baru/Tanpa Data",IF(J152&lt;='Catatan &amp; Sumber'!$B$14,"Sangat Ketat",IF(J152&lt;='Catatan &amp; Sumber'!$B$15,"Ketat",IF(J152&lt;='Catatan &amp; Sumber'!$B$16,"Sedang","Relatif Longgar"))))</x:f>
        <x:v>Relatif Longgar</x:v>
      </x:c>
      <x:c r="N152" s="66" t="str">
        <x:v>Tidak Ada</x:v>
      </x:c>
      <x:c r="O152" s="66" t="str">
        <x:v>Aceh</x:v>
      </x:c>
      <x:c r="P152" s="66" t="str">
        <x:v>Kota Langsa</x:v>
      </x:c>
      <x:c r="Q152" s="66" t="str">
        <x:v>https://snpmb.id/snbp/daya-tampung-snbp</x:v>
      </x:c>
      <x:c r="R152" s="66" t="str">
        <x:v>https://sidatagrun-public-1076756628210.asia-southeast2.run.app/ptn_sn.php?ptn=114</x:v>
      </x:c>
    </x:row>
    <x:row r="153">
      <x:c r="A153" s="87" t="n">
        <x:v>3203</x:v>
      </x:c>
      <x:c r="B153" s="87" t="n">
        <x:v>114</x:v>
      </x:c>
      <x:c r="C153" s="66" t="str">
        <x:v>UNIVERSITAS SAMUDRA</x:v>
      </x:c>
      <x:c r="D153" s="66" t="str">
        <x:v>PTN Akademik</x:v>
      </x:c>
      <x:c r="E153" s="66" t="str">
        <x:v>11141002</x:v>
      </x:c>
      <x:c r="F153" s="66" t="str">
        <x:v>AGRIBISNIS</x:v>
      </x:c>
      <x:c r="G153" s="66" t="str">
        <x:v>Sarjana</x:v>
      </x:c>
      <x:c r="H153" s="87" t="n">
        <x:v>60</x:v>
      </x:c>
      <x:c r="I153" s="87" t="n">
        <x:v>175</x:v>
      </x:c>
      <x:c r="J153" s="68" t="n">
        <x:f>IFERROR(H153/I153,"")</x:f>
        <x:v>0.34285714285714286</x:v>
      </x:c>
      <x:c r="K153" s="69" t="n">
        <x:f>IFERROR(I153/H153,"")</x:f>
        <x:v>2.9166666666666665</x:v>
      </x:c>
      <x:c r="L153" s="66" t="str">
        <x:f>IF(K153="","","1 : "&amp;TEXT(K153,"0.0"))</x:f>
        <x:v>1 : 2.9</x:v>
      </x:c>
      <x:c r="M153" s="66" t="str">
        <x:f>IF(J153="","Baru/Tanpa Data",IF(J153&lt;='Catatan &amp; Sumber'!$B$14,"Sangat Ketat",IF(J153&lt;='Catatan &amp; Sumber'!$B$15,"Ketat",IF(J153&lt;='Catatan &amp; Sumber'!$B$16,"Sedang","Relatif Longgar"))))</x:f>
        <x:v>Relatif Longgar</x:v>
      </x:c>
      <x:c r="N153" s="66" t="str">
        <x:v>Tidak Ada</x:v>
      </x:c>
      <x:c r="O153" s="66" t="str">
        <x:v>Aceh</x:v>
      </x:c>
      <x:c r="P153" s="66" t="str">
        <x:v>Kota Langsa</x:v>
      </x:c>
      <x:c r="Q153" s="66" t="str">
        <x:v>https://snpmb.id/snbp/daya-tampung-snbp</x:v>
      </x:c>
      <x:c r="R153" s="66" t="str">
        <x:v>https://sidatagrun-public-1076756628210.asia-southeast2.run.app/ptn_sn.php?ptn=114</x:v>
      </x:c>
    </x:row>
    <x:row r="154">
      <x:c r="A154" s="87" t="n">
        <x:v>3924</x:v>
      </x:c>
      <x:c r="B154" s="87" t="n">
        <x:v>114</x:v>
      </x:c>
      <x:c r="C154" s="66" t="str">
        <x:v>UNIVERSITAS SAMUDRA</x:v>
      </x:c>
      <x:c r="D154" s="66" t="str">
        <x:v>PTN Akademik</x:v>
      </x:c>
      <x:c r="E154" s="66" t="str">
        <x:v>11141003</x:v>
      </x:c>
      <x:c r="F154" s="66" t="str">
        <x:v>AKUAKULTUR</x:v>
      </x:c>
      <x:c r="G154" s="66" t="str">
        <x:v>Sarjana</x:v>
      </x:c>
      <x:c r="H154" s="87" t="n">
        <x:v>16</x:v>
      </x:c>
      <x:c r="I154" s="87" t="n">
        <x:v>25</x:v>
      </x:c>
      <x:c r="J154" s="68" t="n">
        <x:f>IFERROR(H154/I154,"")</x:f>
        <x:v>0.64</x:v>
      </x:c>
      <x:c r="K154" s="69" t="n">
        <x:f>IFERROR(I154/H154,"")</x:f>
        <x:v>1.5625</x:v>
      </x:c>
      <x:c r="L154" s="66" t="str">
        <x:f>IF(K154="","","1 : "&amp;TEXT(K154,"0.0"))</x:f>
        <x:v>1 : 1.6</x:v>
      </x:c>
      <x:c r="M154" s="66" t="str">
        <x:f>IF(J154="","Baru/Tanpa Data",IF(J154&lt;='Catatan &amp; Sumber'!$B$14,"Sangat Ketat",IF(J154&lt;='Catatan &amp; Sumber'!$B$15,"Ketat",IF(J154&lt;='Catatan &amp; Sumber'!$B$16,"Sedang","Relatif Longgar"))))</x:f>
        <x:v>Relatif Longgar</x:v>
      </x:c>
      <x:c r="N154" s="66" t="str">
        <x:v>Tidak Ada</x:v>
      </x:c>
      <x:c r="O154" s="66" t="str">
        <x:v>Aceh</x:v>
      </x:c>
      <x:c r="P154" s="66" t="str">
        <x:v>Kota Langsa</x:v>
      </x:c>
      <x:c r="Q154" s="66" t="str">
        <x:v>https://snpmb.id/snbp/daya-tampung-snbp</x:v>
      </x:c>
      <x:c r="R154" s="66" t="str">
        <x:v>https://sidatagrun-public-1076756628210.asia-southeast2.run.app/ptn_sn.php?ptn=114</x:v>
      </x:c>
    </x:row>
    <x:row r="155">
      <x:c r="A155" s="87" t="n">
        <x:v>2277</x:v>
      </x:c>
      <x:c r="B155" s="87" t="n">
        <x:v>114</x:v>
      </x:c>
      <x:c r="C155" s="66" t="str">
        <x:v>UNIVERSITAS SAMUDRA</x:v>
      </x:c>
      <x:c r="D155" s="66" t="str">
        <x:v>PTN Akademik</x:v>
      </x:c>
      <x:c r="E155" s="66" t="str">
        <x:v>11141004</x:v>
      </x:c>
      <x:c r="F155" s="66" t="str">
        <x:v>PENDIDIKAN MATEMATIKA</x:v>
      </x:c>
      <x:c r="G155" s="66" t="str">
        <x:v>Sarjana</x:v>
      </x:c>
      <x:c r="H155" s="87" t="n">
        <x:v>12</x:v>
      </x:c>
      <x:c r="I155" s="87" t="n">
        <x:v>66</x:v>
      </x:c>
      <x:c r="J155" s="68" t="n">
        <x:f>IFERROR(H155/I155,"")</x:f>
        <x:v>0.18181818181818182</x:v>
      </x:c>
      <x:c r="K155" s="69" t="n">
        <x:f>IFERROR(I155/H155,"")</x:f>
        <x:v>5.5</x:v>
      </x:c>
      <x:c r="L155" s="66" t="str">
        <x:f>IF(K155="","","1 : "&amp;TEXT(K155,"0.0"))</x:f>
        <x:v>1 : 5.5</x:v>
      </x:c>
      <x:c r="M155" s="66" t="str">
        <x:f>IF(J155="","Baru/Tanpa Data",IF(J155&lt;='Catatan &amp; Sumber'!$B$14,"Sangat Ketat",IF(J155&lt;='Catatan &amp; Sumber'!$B$15,"Ketat",IF(J155&lt;='Catatan &amp; Sumber'!$B$16,"Sedang","Relatif Longgar"))))</x:f>
        <x:v>Relatif Longgar</x:v>
      </x:c>
      <x:c r="N155" s="66" t="str">
        <x:v>Tidak Ada</x:v>
      </x:c>
      <x:c r="O155" s="66" t="str">
        <x:v>Aceh</x:v>
      </x:c>
      <x:c r="P155" s="66" t="str">
        <x:v>Kota Langsa</x:v>
      </x:c>
      <x:c r="Q155" s="66" t="str">
        <x:v>https://snpmb.id/snbp/daya-tampung-snbp</x:v>
      </x:c>
      <x:c r="R155" s="66" t="str">
        <x:v>https://sidatagrun-public-1076756628210.asia-southeast2.run.app/ptn_sn.php?ptn=114</x:v>
      </x:c>
    </x:row>
    <x:row r="156">
      <x:c r="A156" s="87" t="n">
        <x:v>3528</x:v>
      </x:c>
      <x:c r="B156" s="87" t="n">
        <x:v>114</x:v>
      </x:c>
      <x:c r="C156" s="66" t="str">
        <x:v>UNIVERSITAS SAMUDRA</x:v>
      </x:c>
      <x:c r="D156" s="66" t="str">
        <x:v>PTN Akademik</x:v>
      </x:c>
      <x:c r="E156" s="66" t="str">
        <x:v>11141005</x:v>
      </x:c>
      <x:c r="F156" s="66" t="str">
        <x:v>PENDIDIKAN FISIKA</x:v>
      </x:c>
      <x:c r="G156" s="66" t="str">
        <x:v>Sarjana</x:v>
      </x:c>
      <x:c r="H156" s="87" t="n">
        <x:v>12</x:v>
      </x:c>
      <x:c r="I156" s="87" t="n">
        <x:v>27</x:v>
      </x:c>
      <x:c r="J156" s="68" t="n">
        <x:f>IFERROR(H156/I156,"")</x:f>
        <x:v>0.4444444444444444</x:v>
      </x:c>
      <x:c r="K156" s="69" t="n">
        <x:f>IFERROR(I156/H156,"")</x:f>
        <x:v>2.25</x:v>
      </x:c>
      <x:c r="L156" s="66" t="str">
        <x:f>IF(K156="","","1 : "&amp;TEXT(K156,"0.0"))</x:f>
        <x:v>1 : 2.3</x:v>
      </x:c>
      <x:c r="M156" s="66" t="str">
        <x:f>IF(J156="","Baru/Tanpa Data",IF(J156&lt;='Catatan &amp; Sumber'!$B$14,"Sangat Ketat",IF(J156&lt;='Catatan &amp; Sumber'!$B$15,"Ketat",IF(J156&lt;='Catatan &amp; Sumber'!$B$16,"Sedang","Relatif Longgar"))))</x:f>
        <x:v>Relatif Longgar</x:v>
      </x:c>
      <x:c r="N156" s="66" t="str">
        <x:v>Tidak Ada</x:v>
      </x:c>
      <x:c r="O156" s="66" t="str">
        <x:v>Aceh</x:v>
      </x:c>
      <x:c r="P156" s="66" t="str">
        <x:v>Kota Langsa</x:v>
      </x:c>
      <x:c r="Q156" s="66" t="str">
        <x:v>https://snpmb.id/snbp/daya-tampung-snbp</x:v>
      </x:c>
      <x:c r="R156" s="66" t="str">
        <x:v>https://sidatagrun-public-1076756628210.asia-southeast2.run.app/ptn_sn.php?ptn=114</x:v>
      </x:c>
    </x:row>
    <x:row r="157">
      <x:c r="A157" s="87" t="n">
        <x:v>3750</x:v>
      </x:c>
      <x:c r="B157" s="87" t="n">
        <x:v>114</x:v>
      </x:c>
      <x:c r="C157" s="66" t="str">
        <x:v>UNIVERSITAS SAMUDRA</x:v>
      </x:c>
      <x:c r="D157" s="66" t="str">
        <x:v>PTN Akademik</x:v>
      </x:c>
      <x:c r="E157" s="66" t="str">
        <x:v>11141006</x:v>
      </x:c>
      <x:c r="F157" s="66" t="str">
        <x:v>PENDIDIKAN KIMIA</x:v>
      </x:c>
      <x:c r="G157" s="66" t="str">
        <x:v>Sarjana</x:v>
      </x:c>
      <x:c r="H157" s="87" t="n">
        <x:v>12</x:v>
      </x:c>
      <x:c r="I157" s="87" t="n">
        <x:v>22</x:v>
      </x:c>
      <x:c r="J157" s="68" t="n">
        <x:f>IFERROR(H157/I157,"")</x:f>
        <x:v>0.5454545454545454</x:v>
      </x:c>
      <x:c r="K157" s="69" t="n">
        <x:f>IFERROR(I157/H157,"")</x:f>
        <x:v>1.8333333333333333</x:v>
      </x:c>
      <x:c r="L157" s="66" t="str">
        <x:f>IF(K157="","","1 : "&amp;TEXT(K157,"0.0"))</x:f>
        <x:v>1 : 1.8</x:v>
      </x:c>
      <x:c r="M157" s="66" t="str">
        <x:f>IF(J157="","Baru/Tanpa Data",IF(J157&lt;='Catatan &amp; Sumber'!$B$14,"Sangat Ketat",IF(J157&lt;='Catatan &amp; Sumber'!$B$15,"Ketat",IF(J157&lt;='Catatan &amp; Sumber'!$B$16,"Sedang","Relatif Longgar"))))</x:f>
        <x:v>Relatif Longgar</x:v>
      </x:c>
      <x:c r="N157" s="66" t="str">
        <x:v>Tidak Ada</x:v>
      </x:c>
      <x:c r="O157" s="66" t="str">
        <x:v>Aceh</x:v>
      </x:c>
      <x:c r="P157" s="66" t="str">
        <x:v>Kota Langsa</x:v>
      </x:c>
      <x:c r="Q157" s="66" t="str">
        <x:v>https://snpmb.id/snbp/daya-tampung-snbp</x:v>
      </x:c>
      <x:c r="R157" s="66" t="str">
        <x:v>https://sidatagrun-public-1076756628210.asia-southeast2.run.app/ptn_sn.php?ptn=114</x:v>
      </x:c>
    </x:row>
    <x:row r="158">
      <x:c r="A158" s="87" t="n">
        <x:v>3163</x:v>
      </x:c>
      <x:c r="B158" s="87" t="n">
        <x:v>114</x:v>
      </x:c>
      <x:c r="C158" s="66" t="str">
        <x:v>UNIVERSITAS SAMUDRA</x:v>
      </x:c>
      <x:c r="D158" s="66" t="str">
        <x:v>PTN Akademik</x:v>
      </x:c>
      <x:c r="E158" s="66" t="str">
        <x:v>11141007</x:v>
      </x:c>
      <x:c r="F158" s="66" t="str">
        <x:v>PENDIDIKAN BIOLOGI</x:v>
      </x:c>
      <x:c r="G158" s="66" t="str">
        <x:v>Sarjana</x:v>
      </x:c>
      <x:c r="H158" s="87" t="n">
        <x:v>36</x:v>
      </x:c>
      <x:c r="I158" s="87" t="n">
        <x:v>109</x:v>
      </x:c>
      <x:c r="J158" s="68" t="n">
        <x:f>IFERROR(H158/I158,"")</x:f>
        <x:v>0.3302752293577982</x:v>
      </x:c>
      <x:c r="K158" s="69" t="n">
        <x:f>IFERROR(I158/H158,"")</x:f>
        <x:v>3.0277777777777777</x:v>
      </x:c>
      <x:c r="L158" s="66" t="str">
        <x:f>IF(K158="","","1 : "&amp;TEXT(K158,"0.0"))</x:f>
        <x:v>1 : 3.0</x:v>
      </x:c>
      <x:c r="M158" s="66" t="str">
        <x:f>IF(J158="","Baru/Tanpa Data",IF(J158&lt;='Catatan &amp; Sumber'!$B$14,"Sangat Ketat",IF(J158&lt;='Catatan &amp; Sumber'!$B$15,"Ketat",IF(J158&lt;='Catatan &amp; Sumber'!$B$16,"Sedang","Relatif Longgar"))))</x:f>
        <x:v>Relatif Longgar</x:v>
      </x:c>
      <x:c r="N158" s="66" t="str">
        <x:v>Tidak Ada</x:v>
      </x:c>
      <x:c r="O158" s="66" t="str">
        <x:v>Aceh</x:v>
      </x:c>
      <x:c r="P158" s="66" t="str">
        <x:v>Kota Langsa</x:v>
      </x:c>
      <x:c r="Q158" s="66" t="str">
        <x:v>https://snpmb.id/snbp/daya-tampung-snbp</x:v>
      </x:c>
      <x:c r="R158" s="66" t="str">
        <x:v>https://sidatagrun-public-1076756628210.asia-southeast2.run.app/ptn_sn.php?ptn=114</x:v>
      </x:c>
    </x:row>
    <x:row r="159">
      <x:c r="A159" s="87" t="n">
        <x:v>3877</x:v>
      </x:c>
      <x:c r="B159" s="87" t="n">
        <x:v>114</x:v>
      </x:c>
      <x:c r="C159" s="66" t="str">
        <x:v>UNIVERSITAS SAMUDRA</x:v>
      </x:c>
      <x:c r="D159" s="66" t="str">
        <x:v>PTN Akademik</x:v>
      </x:c>
      <x:c r="E159" s="66" t="str">
        <x:v>11141008</x:v>
      </x:c>
      <x:c r="F159" s="66" t="str">
        <x:v>TEKNIK MESIN</x:v>
      </x:c>
      <x:c r="G159" s="66" t="str">
        <x:v>Sarjana</x:v>
      </x:c>
      <x:c r="H159" s="87" t="n">
        <x:v>44</x:v>
      </x:c>
      <x:c r="I159" s="87" t="n">
        <x:v>72</x:v>
      </x:c>
      <x:c r="J159" s="68" t="n">
        <x:f>IFERROR(H159/I159,"")</x:f>
        <x:v>0.6111111111111112</x:v>
      </x:c>
      <x:c r="K159" s="69" t="n">
        <x:f>IFERROR(I159/H159,"")</x:f>
        <x:v>1.6363636363636365</x:v>
      </x:c>
      <x:c r="L159" s="66" t="str">
        <x:f>IF(K159="","","1 : "&amp;TEXT(K159,"0.0"))</x:f>
        <x:v>1 : 1.6</x:v>
      </x:c>
      <x:c r="M159" s="66" t="str">
        <x:f>IF(J159="","Baru/Tanpa Data",IF(J159&lt;='Catatan &amp; Sumber'!$B$14,"Sangat Ketat",IF(J159&lt;='Catatan &amp; Sumber'!$B$15,"Ketat",IF(J159&lt;='Catatan &amp; Sumber'!$B$16,"Sedang","Relatif Longgar"))))</x:f>
        <x:v>Relatif Longgar</x:v>
      </x:c>
      <x:c r="N159" s="66" t="str">
        <x:v>Tidak Ada</x:v>
      </x:c>
      <x:c r="O159" s="66" t="str">
        <x:v>Aceh</x:v>
      </x:c>
      <x:c r="P159" s="66" t="str">
        <x:v>Kota Langsa</x:v>
      </x:c>
      <x:c r="Q159" s="66" t="str">
        <x:v>https://snpmb.id/snbp/daya-tampung-snbp</x:v>
      </x:c>
      <x:c r="R159" s="66" t="str">
        <x:v>https://sidatagrun-public-1076756628210.asia-southeast2.run.app/ptn_sn.php?ptn=114</x:v>
      </x:c>
    </x:row>
    <x:row r="160">
      <x:c r="A160" s="87" t="n">
        <x:v>3769</x:v>
      </x:c>
      <x:c r="B160" s="87" t="n">
        <x:v>114</x:v>
      </x:c>
      <x:c r="C160" s="66" t="str">
        <x:v>UNIVERSITAS SAMUDRA</x:v>
      </x:c>
      <x:c r="D160" s="66" t="str">
        <x:v>PTN Akademik</x:v>
      </x:c>
      <x:c r="E160" s="66" t="str">
        <x:v>11141009</x:v>
      </x:c>
      <x:c r="F160" s="66" t="str">
        <x:v>TEKNIK SIPIL</x:v>
      </x:c>
      <x:c r="G160" s="66" t="str">
        <x:v>Sarjana</x:v>
      </x:c>
      <x:c r="H160" s="87" t="n">
        <x:v>60</x:v>
      </x:c>
      <x:c r="I160" s="87" t="n">
        <x:v>108</x:v>
      </x:c>
      <x:c r="J160" s="68" t="n">
        <x:f>IFERROR(H160/I160,"")</x:f>
        <x:v>0.5555555555555556</x:v>
      </x:c>
      <x:c r="K160" s="69" t="n">
        <x:f>IFERROR(I160/H160,"")</x:f>
        <x:v>1.8</x:v>
      </x:c>
      <x:c r="L160" s="66" t="str">
        <x:f>IF(K160="","","1 : "&amp;TEXT(K160,"0.0"))</x:f>
        <x:v>1 : 1.8</x:v>
      </x:c>
      <x:c r="M160" s="66" t="str">
        <x:f>IF(J160="","Baru/Tanpa Data",IF(J160&lt;='Catatan &amp; Sumber'!$B$14,"Sangat Ketat",IF(J160&lt;='Catatan &amp; Sumber'!$B$15,"Ketat",IF(J160&lt;='Catatan &amp; Sumber'!$B$16,"Sedang","Relatif Longgar"))))</x:f>
        <x:v>Relatif Longgar</x:v>
      </x:c>
      <x:c r="N160" s="66" t="str">
        <x:v>Tidak Ada</x:v>
      </x:c>
      <x:c r="O160" s="66" t="str">
        <x:v>Aceh</x:v>
      </x:c>
      <x:c r="P160" s="66" t="str">
        <x:v>Kota Langsa</x:v>
      </x:c>
      <x:c r="Q160" s="66" t="str">
        <x:v>https://snpmb.id/snbp/daya-tampung-snbp</x:v>
      </x:c>
      <x:c r="R160" s="66" t="str">
        <x:v>https://sidatagrun-public-1076756628210.asia-southeast2.run.app/ptn_sn.php?ptn=114</x:v>
      </x:c>
    </x:row>
    <x:row r="161">
      <x:c r="A161" s="87" t="n">
        <x:v>3016</x:v>
      </x:c>
      <x:c r="B161" s="87" t="n">
        <x:v>114</x:v>
      </x:c>
      <x:c r="C161" s="66" t="str">
        <x:v>UNIVERSITAS SAMUDRA</x:v>
      </x:c>
      <x:c r="D161" s="66" t="str">
        <x:v>PTN Akademik</x:v>
      </x:c>
      <x:c r="E161" s="66" t="str">
        <x:v>11141010</x:v>
      </x:c>
      <x:c r="F161" s="66" t="str">
        <x:v>TEKNIK INDUSTRI</x:v>
      </x:c>
      <x:c r="G161" s="66" t="str">
        <x:v>Sarjana</x:v>
      </x:c>
      <x:c r="H161" s="87" t="n">
        <x:v>48</x:v>
      </x:c>
      <x:c r="I161" s="87" t="n">
        <x:v>161</x:v>
      </x:c>
      <x:c r="J161" s="68" t="n">
        <x:f>IFERROR(H161/I161,"")</x:f>
        <x:v>0.2981366459627329</x:v>
      </x:c>
      <x:c r="K161" s="69" t="n">
        <x:f>IFERROR(I161/H161,"")</x:f>
        <x:v>3.3541666666666665</x:v>
      </x:c>
      <x:c r="L161" s="66" t="str">
        <x:f>IF(K161="","","1 : "&amp;TEXT(K161,"0.0"))</x:f>
        <x:v>1 : 3.4</x:v>
      </x:c>
      <x:c r="M161" s="66" t="str">
        <x:f>IF(J161="","Baru/Tanpa Data",IF(J161&lt;='Catatan &amp; Sumber'!$B$14,"Sangat Ketat",IF(J161&lt;='Catatan &amp; Sumber'!$B$15,"Ketat",IF(J161&lt;='Catatan &amp; Sumber'!$B$16,"Sedang","Relatif Longgar"))))</x:f>
        <x:v>Relatif Longgar</x:v>
      </x:c>
      <x:c r="N161" s="66" t="str">
        <x:v>Tidak Ada</x:v>
      </x:c>
      <x:c r="O161" s="66" t="str">
        <x:v>Aceh</x:v>
      </x:c>
      <x:c r="P161" s="66" t="str">
        <x:v>Kota Langsa</x:v>
      </x:c>
      <x:c r="Q161" s="66" t="str">
        <x:v>https://snpmb.id/snbp/daya-tampung-snbp</x:v>
      </x:c>
      <x:c r="R161" s="66" t="str">
        <x:v>https://sidatagrun-public-1076756628210.asia-southeast2.run.app/ptn_sn.php?ptn=114</x:v>
      </x:c>
    </x:row>
    <x:row r="162">
      <x:c r="A162" s="87" t="n">
        <x:v>2371</x:v>
      </x:c>
      <x:c r="B162" s="87" t="n">
        <x:v>114</x:v>
      </x:c>
      <x:c r="C162" s="66" t="str">
        <x:v>UNIVERSITAS SAMUDRA</x:v>
      </x:c>
      <x:c r="D162" s="66" t="str">
        <x:v>PTN Akademik</x:v>
      </x:c>
      <x:c r="E162" s="66" t="str">
        <x:v>11141011</x:v>
      </x:c>
      <x:c r="F162" s="66" t="str">
        <x:v>INFORMATIKA</x:v>
      </x:c>
      <x:c r="G162" s="66" t="str">
        <x:v>Sarjana</x:v>
      </x:c>
      <x:c r="H162" s="87" t="n">
        <x:v>72</x:v>
      </x:c>
      <x:c r="I162" s="87" t="n">
        <x:v>376</x:v>
      </x:c>
      <x:c r="J162" s="68" t="n">
        <x:f>IFERROR(H162/I162,"")</x:f>
        <x:v>0.19148936170212766</x:v>
      </x:c>
      <x:c r="K162" s="69" t="n">
        <x:f>IFERROR(I162/H162,"")</x:f>
        <x:v>5.222222222222222</x:v>
      </x:c>
      <x:c r="L162" s="66" t="str">
        <x:f>IF(K162="","","1 : "&amp;TEXT(K162,"0.0"))</x:f>
        <x:v>1 : 5.2</x:v>
      </x:c>
      <x:c r="M162" s="66" t="str">
        <x:f>IF(J162="","Baru/Tanpa Data",IF(J162&lt;='Catatan &amp; Sumber'!$B$14,"Sangat Ketat",IF(J162&lt;='Catatan &amp; Sumber'!$B$15,"Ketat",IF(J162&lt;='Catatan &amp; Sumber'!$B$16,"Sedang","Relatif Longgar"))))</x:f>
        <x:v>Relatif Longgar</x:v>
      </x:c>
      <x:c r="N162" s="66" t="str">
        <x:v>Tidak Ada</x:v>
      </x:c>
      <x:c r="O162" s="66" t="str">
        <x:v>Aceh</x:v>
      </x:c>
      <x:c r="P162" s="66" t="str">
        <x:v>Kota Langsa</x:v>
      </x:c>
      <x:c r="Q162" s="66" t="str">
        <x:v>https://snpmb.id/snbp/daya-tampung-snbp</x:v>
      </x:c>
      <x:c r="R162" s="66" t="str">
        <x:v>https://sidatagrun-public-1076756628210.asia-southeast2.run.app/ptn_sn.php?ptn=114</x:v>
      </x:c>
    </x:row>
    <x:row r="163">
      <x:c r="A163" s="87" t="n">
        <x:v>3625</x:v>
      </x:c>
      <x:c r="B163" s="87" t="n">
        <x:v>114</x:v>
      </x:c>
      <x:c r="C163" s="66" t="str">
        <x:v>UNIVERSITAS SAMUDRA</x:v>
      </x:c>
      <x:c r="D163" s="66" t="str">
        <x:v>PTN Akademik</x:v>
      </x:c>
      <x:c r="E163" s="66" t="str">
        <x:v>11141012</x:v>
      </x:c>
      <x:c r="F163" s="66" t="str">
        <x:v>MATEMATIKA</x:v>
      </x:c>
      <x:c r="G163" s="66" t="str">
        <x:v>Sarjana</x:v>
      </x:c>
      <x:c r="H163" s="87" t="n">
        <x:v>12</x:v>
      </x:c>
      <x:c r="I163" s="87" t="n">
        <x:v>25</x:v>
      </x:c>
      <x:c r="J163" s="68" t="n">
        <x:f>IFERROR(H163/I163,"")</x:f>
        <x:v>0.48</x:v>
      </x:c>
      <x:c r="K163" s="69" t="n">
        <x:f>IFERROR(I163/H163,"")</x:f>
        <x:v>2.0833333333333335</x:v>
      </x:c>
      <x:c r="L163" s="66" t="str">
        <x:f>IF(K163="","","1 : "&amp;TEXT(K163,"0.0"))</x:f>
        <x:v>1 : 2.1</x:v>
      </x:c>
      <x:c r="M163" s="66" t="str">
        <x:f>IF(J163="","Baru/Tanpa Data",IF(J163&lt;='Catatan &amp; Sumber'!$B$14,"Sangat Ketat",IF(J163&lt;='Catatan &amp; Sumber'!$B$15,"Ketat",IF(J163&lt;='Catatan &amp; Sumber'!$B$16,"Sedang","Relatif Longgar"))))</x:f>
        <x:v>Relatif Longgar</x:v>
      </x:c>
      <x:c r="N163" s="66" t="str">
        <x:v>Tidak Ada</x:v>
      </x:c>
      <x:c r="O163" s="66" t="str">
        <x:v>Aceh</x:v>
      </x:c>
      <x:c r="P163" s="66" t="str">
        <x:v>Kota Langsa</x:v>
      </x:c>
      <x:c r="Q163" s="66" t="str">
        <x:v>https://snpmb.id/snbp/daya-tampung-snbp</x:v>
      </x:c>
      <x:c r="R163" s="66" t="str">
        <x:v>https://sidatagrun-public-1076756628210.asia-southeast2.run.app/ptn_sn.php?ptn=114</x:v>
      </x:c>
    </x:row>
    <x:row r="164">
      <x:c r="A164" s="87" t="n">
        <x:v>4652</x:v>
      </x:c>
      <x:c r="B164" s="87" t="n">
        <x:v>114</x:v>
      </x:c>
      <x:c r="C164" s="66" t="str">
        <x:v>UNIVERSITAS SAMUDRA</x:v>
      </x:c>
      <x:c r="D164" s="66" t="str">
        <x:v>PTN Akademik</x:v>
      </x:c>
      <x:c r="E164" s="66" t="str">
        <x:v>11141013</x:v>
      </x:c>
      <x:c r="F164" s="66" t="str">
        <x:v>FISIKA</x:v>
      </x:c>
      <x:c r="G164" s="66" t="str">
        <x:v>Sarjana</x:v>
      </x:c>
      <x:c r="H164" s="87" t="n">
        <x:v>12</x:v>
      </x:c>
      <x:c r="I164" s="87" t="n">
        <x:v>6</x:v>
      </x:c>
      <x:c r="J164" s="68" t="n">
        <x:f>IFERROR(H164/I164,"")</x:f>
        <x:v>2</x:v>
      </x:c>
      <x:c r="K164" s="69" t="n">
        <x:f>IFERROR(I164/H164,"")</x:f>
        <x:v>0.5</x:v>
      </x:c>
      <x:c r="L164" s="66" t="str">
        <x:f>IF(K164="","","1 : "&amp;TEXT(K164,"0.0"))</x:f>
        <x:v>1 : 0.5</x:v>
      </x:c>
      <x:c r="M164" s="66" t="str">
        <x:f>IF(J164="","Baru/Tanpa Data",IF(J164&lt;='Catatan &amp; Sumber'!$B$14,"Sangat Ketat",IF(J164&lt;='Catatan &amp; Sumber'!$B$15,"Ketat",IF(J164&lt;='Catatan &amp; Sumber'!$B$16,"Sedang","Relatif Longgar"))))</x:f>
        <x:v>Relatif Longgar</x:v>
      </x:c>
      <x:c r="N164" s="66" t="str">
        <x:v>Tidak Ada</x:v>
      </x:c>
      <x:c r="O164" s="66" t="str">
        <x:v>Aceh</x:v>
      </x:c>
      <x:c r="P164" s="66" t="str">
        <x:v>Kota Langsa</x:v>
      </x:c>
      <x:c r="Q164" s="66" t="str">
        <x:v>https://snpmb.id/snbp/daya-tampung-snbp</x:v>
      </x:c>
      <x:c r="R164" s="66" t="str">
        <x:v>https://sidatagrun-public-1076756628210.asia-southeast2.run.app/ptn_sn.php?ptn=114</x:v>
      </x:c>
    </x:row>
    <x:row r="165">
      <x:c r="A165" s="87" t="n">
        <x:v>3625</x:v>
      </x:c>
      <x:c r="B165" s="87" t="n">
        <x:v>114</x:v>
      </x:c>
      <x:c r="C165" s="66" t="str">
        <x:v>UNIVERSITAS SAMUDRA</x:v>
      </x:c>
      <x:c r="D165" s="66" t="str">
        <x:v>PTN Akademik</x:v>
      </x:c>
      <x:c r="E165" s="66" t="str">
        <x:v>11141014</x:v>
      </x:c>
      <x:c r="F165" s="66" t="str">
        <x:v>KIMIA</x:v>
      </x:c>
      <x:c r="G165" s="66" t="str">
        <x:v>Sarjana</x:v>
      </x:c>
      <x:c r="H165" s="87" t="n">
        <x:v>12</x:v>
      </x:c>
      <x:c r="I165" s="87" t="n">
        <x:v>25</x:v>
      </x:c>
      <x:c r="J165" s="68" t="n">
        <x:f>IFERROR(H165/I165,"")</x:f>
        <x:v>0.48</x:v>
      </x:c>
      <x:c r="K165" s="69" t="n">
        <x:f>IFERROR(I165/H165,"")</x:f>
        <x:v>2.0833333333333335</x:v>
      </x:c>
      <x:c r="L165" s="66" t="str">
        <x:f>IF(K165="","","1 : "&amp;TEXT(K165,"0.0"))</x:f>
        <x:v>1 : 2.1</x:v>
      </x:c>
      <x:c r="M165" s="66" t="str">
        <x:f>IF(J165="","Baru/Tanpa Data",IF(J165&lt;='Catatan &amp; Sumber'!$B$14,"Sangat Ketat",IF(J165&lt;='Catatan &amp; Sumber'!$B$15,"Ketat",IF(J165&lt;='Catatan &amp; Sumber'!$B$16,"Sedang","Relatif Longgar"))))</x:f>
        <x:v>Relatif Longgar</x:v>
      </x:c>
      <x:c r="N165" s="66" t="str">
        <x:v>Tidak Ada</x:v>
      </x:c>
      <x:c r="O165" s="66" t="str">
        <x:v>Aceh</x:v>
      </x:c>
      <x:c r="P165" s="66" t="str">
        <x:v>Kota Langsa</x:v>
      </x:c>
      <x:c r="Q165" s="66" t="str">
        <x:v>https://snpmb.id/snbp/daya-tampung-snbp</x:v>
      </x:c>
      <x:c r="R165" s="66" t="str">
        <x:v>https://sidatagrun-public-1076756628210.asia-southeast2.run.app/ptn_sn.php?ptn=114</x:v>
      </x:c>
    </x:row>
    <x:row r="166">
      <x:c r="A166" s="87" t="n">
        <x:v>3066</x:v>
      </x:c>
      <x:c r="B166" s="87" t="n">
        <x:v>114</x:v>
      </x:c>
      <x:c r="C166" s="66" t="str">
        <x:v>UNIVERSITAS SAMUDRA</x:v>
      </x:c>
      <x:c r="D166" s="66" t="str">
        <x:v>PTN Akademik</x:v>
      </x:c>
      <x:c r="E166" s="66" t="str">
        <x:v>11141015</x:v>
      </x:c>
      <x:c r="F166" s="66" t="str">
        <x:v>BIOLOGI</x:v>
      </x:c>
      <x:c r="G166" s="66" t="str">
        <x:v>Sarjana</x:v>
      </x:c>
      <x:c r="H166" s="87" t="n">
        <x:v>12</x:v>
      </x:c>
      <x:c r="I166" s="87" t="n">
        <x:v>39</x:v>
      </x:c>
      <x:c r="J166" s="68" t="n">
        <x:f>IFERROR(H166/I166,"")</x:f>
        <x:v>0.3076923076923077</x:v>
      </x:c>
      <x:c r="K166" s="69" t="n">
        <x:f>IFERROR(I166/H166,"")</x:f>
        <x:v>3.25</x:v>
      </x:c>
      <x:c r="L166" s="66" t="str">
        <x:f>IF(K166="","","1 : "&amp;TEXT(K166,"0.0"))</x:f>
        <x:v>1 : 3.3</x:v>
      </x:c>
      <x:c r="M166" s="66" t="str">
        <x:f>IF(J166="","Baru/Tanpa Data",IF(J166&lt;='Catatan &amp; Sumber'!$B$14,"Sangat Ketat",IF(J166&lt;='Catatan &amp; Sumber'!$B$15,"Ketat",IF(J166&lt;='Catatan &amp; Sumber'!$B$16,"Sedang","Relatif Longgar"))))</x:f>
        <x:v>Relatif Longgar</x:v>
      </x:c>
      <x:c r="N166" s="66" t="str">
        <x:v>Tidak Ada</x:v>
      </x:c>
      <x:c r="O166" s="66" t="str">
        <x:v>Aceh</x:v>
      </x:c>
      <x:c r="P166" s="66" t="str">
        <x:v>Kota Langsa</x:v>
      </x:c>
      <x:c r="Q166" s="66" t="str">
        <x:v>https://snpmb.id/snbp/daya-tampung-snbp</x:v>
      </x:c>
      <x:c r="R166" s="66" t="str">
        <x:v>https://sidatagrun-public-1076756628210.asia-southeast2.run.app/ptn_sn.php?ptn=114</x:v>
      </x:c>
    </x:row>
    <x:row r="167">
      <x:c r="A167" s="87" t="n">
        <x:v>3496</x:v>
      </x:c>
      <x:c r="B167" s="87" t="n">
        <x:v>114</x:v>
      </x:c>
      <x:c r="C167" s="66" t="str">
        <x:v>UNIVERSITAS SAMUDRA</x:v>
      </x:c>
      <x:c r="D167" s="66" t="str">
        <x:v>PTN Akademik</x:v>
      </x:c>
      <x:c r="E167" s="66" t="str">
        <x:v>11141016</x:v>
      </x:c>
      <x:c r="F167" s="66" t="str">
        <x:v>HUKUM</x:v>
      </x:c>
      <x:c r="G167" s="66" t="str">
        <x:v>Sarjana</x:v>
      </x:c>
      <x:c r="H167" s="87" t="n">
        <x:v>96</x:v>
      </x:c>
      <x:c r="I167" s="87" t="n">
        <x:v>221</x:v>
      </x:c>
      <x:c r="J167" s="68" t="n">
        <x:f>IFERROR(H167/I167,"")</x:f>
        <x:v>0.4343891402714932</x:v>
      </x:c>
      <x:c r="K167" s="69" t="n">
        <x:f>IFERROR(I167/H167,"")</x:f>
        <x:v>2.3020833333333335</x:v>
      </x:c>
      <x:c r="L167" s="66" t="str">
        <x:f>IF(K167="","","1 : "&amp;TEXT(K167,"0.0"))</x:f>
        <x:v>1 : 2.3</x:v>
      </x:c>
      <x:c r="M167" s="66" t="str">
        <x:f>IF(J167="","Baru/Tanpa Data",IF(J167&lt;='Catatan &amp; Sumber'!$B$14,"Sangat Ketat",IF(J167&lt;='Catatan &amp; Sumber'!$B$15,"Ketat",IF(J167&lt;='Catatan &amp; Sumber'!$B$16,"Sedang","Relatif Longgar"))))</x:f>
        <x:v>Relatif Longgar</x:v>
      </x:c>
      <x:c r="N167" s="66" t="str">
        <x:v>Tidak Ada</x:v>
      </x:c>
      <x:c r="O167" s="66" t="str">
        <x:v>Aceh</x:v>
      </x:c>
      <x:c r="P167" s="66" t="str">
        <x:v>Kota Langsa</x:v>
      </x:c>
      <x:c r="Q167" s="66" t="str">
        <x:v>https://snpmb.id/snbp/daya-tampung-snbp</x:v>
      </x:c>
      <x:c r="R167" s="66" t="str">
        <x:v>https://sidatagrun-public-1076756628210.asia-southeast2.run.app/ptn_sn.php?ptn=114</x:v>
      </x:c>
    </x:row>
    <x:row r="168">
      <x:c r="A168" s="87" t="n">
        <x:v>2690</x:v>
      </x:c>
      <x:c r="B168" s="87" t="n">
        <x:v>114</x:v>
      </x:c>
      <x:c r="C168" s="66" t="str">
        <x:v>UNIVERSITAS SAMUDRA</x:v>
      </x:c>
      <x:c r="D168" s="66" t="str">
        <x:v>PTN Akademik</x:v>
      </x:c>
      <x:c r="E168" s="66" t="str">
        <x:v>11141017</x:v>
      </x:c>
      <x:c r="F168" s="66" t="str">
        <x:v>EKONOMI MANAJEMEN</x:v>
      </x:c>
      <x:c r="G168" s="66" t="str">
        <x:v>Sarjana</x:v>
      </x:c>
      <x:c r="H168" s="87" t="n">
        <x:v>96</x:v>
      </x:c>
      <x:c r="I168" s="87" t="n">
        <x:v>397</x:v>
      </x:c>
      <x:c r="J168" s="68" t="n">
        <x:f>IFERROR(H168/I168,"")</x:f>
        <x:v>0.24181360201511334</x:v>
      </x:c>
      <x:c r="K168" s="69" t="n">
        <x:f>IFERROR(I168/H168,"")</x:f>
        <x:v>4.135416666666667</x:v>
      </x:c>
      <x:c r="L168" s="66" t="str">
        <x:f>IF(K168="","","1 : "&amp;TEXT(K168,"0.0"))</x:f>
        <x:v>1 : 4.1</x:v>
      </x:c>
      <x:c r="M168" s="66" t="str">
        <x:f>IF(J168="","Baru/Tanpa Data",IF(J168&lt;='Catatan &amp; Sumber'!$B$14,"Sangat Ketat",IF(J168&lt;='Catatan &amp; Sumber'!$B$15,"Ketat",IF(J168&lt;='Catatan &amp; Sumber'!$B$16,"Sedang","Relatif Longgar"))))</x:f>
        <x:v>Relatif Longgar</x:v>
      </x:c>
      <x:c r="N168" s="66" t="str">
        <x:v>Tidak Ada</x:v>
      </x:c>
      <x:c r="O168" s="66" t="str">
        <x:v>Aceh</x:v>
      </x:c>
      <x:c r="P168" s="66" t="str">
        <x:v>Kota Langsa</x:v>
      </x:c>
      <x:c r="Q168" s="66" t="str">
        <x:v>https://snpmb.id/snbp/daya-tampung-snbp</x:v>
      </x:c>
      <x:c r="R168" s="66" t="str">
        <x:v>https://sidatagrun-public-1076756628210.asia-southeast2.run.app/ptn_sn.php?ptn=114</x:v>
      </x:c>
    </x:row>
    <x:row r="169">
      <x:c r="A169" s="87" t="n">
        <x:v>3864</x:v>
      </x:c>
      <x:c r="B169" s="87" t="n">
        <x:v>114</x:v>
      </x:c>
      <x:c r="C169" s="66" t="str">
        <x:v>UNIVERSITAS SAMUDRA</x:v>
      </x:c>
      <x:c r="D169" s="66" t="str">
        <x:v>PTN Akademik</x:v>
      </x:c>
      <x:c r="E169" s="66" t="str">
        <x:v>11141018</x:v>
      </x:c>
      <x:c r="F169" s="66" t="str">
        <x:v>EKONOMI PEMBANGUNAN</x:v>
      </x:c>
      <x:c r="G169" s="66" t="str">
        <x:v>Sarjana</x:v>
      </x:c>
      <x:c r="H169" s="87" t="n">
        <x:v>32</x:v>
      </x:c>
      <x:c r="I169" s="87" t="n">
        <x:v>53</x:v>
      </x:c>
      <x:c r="J169" s="68" t="n">
        <x:f>IFERROR(H169/I169,"")</x:f>
        <x:v>0.6037735849056604</x:v>
      </x:c>
      <x:c r="K169" s="69" t="n">
        <x:f>IFERROR(I169/H169,"")</x:f>
        <x:v>1.65625</x:v>
      </x:c>
      <x:c r="L169" s="66" t="str">
        <x:f>IF(K169="","","1 : "&amp;TEXT(K169,"0.0"))</x:f>
        <x:v>1 : 1.7</x:v>
      </x:c>
      <x:c r="M169" s="66" t="str">
        <x:f>IF(J169="","Baru/Tanpa Data",IF(J169&lt;='Catatan &amp; Sumber'!$B$14,"Sangat Ketat",IF(J169&lt;='Catatan &amp; Sumber'!$B$15,"Ketat",IF(J169&lt;='Catatan &amp; Sumber'!$B$16,"Sedang","Relatif Longgar"))))</x:f>
        <x:v>Relatif Longgar</x:v>
      </x:c>
      <x:c r="N169" s="66" t="str">
        <x:v>Tidak Ada</x:v>
      </x:c>
      <x:c r="O169" s="66" t="str">
        <x:v>Aceh</x:v>
      </x:c>
      <x:c r="P169" s="66" t="str">
        <x:v>Kota Langsa</x:v>
      </x:c>
      <x:c r="Q169" s="66" t="str">
        <x:v>https://snpmb.id/snbp/daya-tampung-snbp</x:v>
      </x:c>
      <x:c r="R169" s="66" t="str">
        <x:v>https://sidatagrun-public-1076756628210.asia-southeast2.run.app/ptn_sn.php?ptn=114</x:v>
      </x:c>
    </x:row>
    <x:row r="170">
      <x:c r="A170" s="87" t="n">
        <x:v>2578</x:v>
      </x:c>
      <x:c r="B170" s="87" t="n">
        <x:v>114</x:v>
      </x:c>
      <x:c r="C170" s="66" t="str">
        <x:v>UNIVERSITAS SAMUDRA</x:v>
      </x:c>
      <x:c r="D170" s="66" t="str">
        <x:v>PTN Akademik</x:v>
      </x:c>
      <x:c r="E170" s="66" t="str">
        <x:v>11141019</x:v>
      </x:c>
      <x:c r="F170" s="66" t="str">
        <x:v>PENDIDIKAN SEJARAH</x:v>
      </x:c>
      <x:c r="G170" s="66" t="str">
        <x:v>Sarjana</x:v>
      </x:c>
      <x:c r="H170" s="87" t="n">
        <x:v>32</x:v>
      </x:c>
      <x:c r="I170" s="87" t="n">
        <x:v>142</x:v>
      </x:c>
      <x:c r="J170" s="68" t="n">
        <x:f>IFERROR(H170/I170,"")</x:f>
        <x:v>0.22535211267605634</x:v>
      </x:c>
      <x:c r="K170" s="69" t="n">
        <x:f>IFERROR(I170/H170,"")</x:f>
        <x:v>4.4375</x:v>
      </x:c>
      <x:c r="L170" s="66" t="str">
        <x:f>IF(K170="","","1 : "&amp;TEXT(K170,"0.0"))</x:f>
        <x:v>1 : 4.4</x:v>
      </x:c>
      <x:c r="M170" s="66" t="str">
        <x:f>IF(J170="","Baru/Tanpa Data",IF(J170&lt;='Catatan &amp; Sumber'!$B$14,"Sangat Ketat",IF(J170&lt;='Catatan &amp; Sumber'!$B$15,"Ketat",IF(J170&lt;='Catatan &amp; Sumber'!$B$16,"Sedang","Relatif Longgar"))))</x:f>
        <x:v>Relatif Longgar</x:v>
      </x:c>
      <x:c r="N170" s="66" t="str">
        <x:v>Tidak Ada</x:v>
      </x:c>
      <x:c r="O170" s="66" t="str">
        <x:v>Aceh</x:v>
      </x:c>
      <x:c r="P170" s="66" t="str">
        <x:v>Kota Langsa</x:v>
      </x:c>
      <x:c r="Q170" s="66" t="str">
        <x:v>https://snpmb.id/snbp/daya-tampung-snbp</x:v>
      </x:c>
      <x:c r="R170" s="66" t="str">
        <x:v>https://sidatagrun-public-1076756628210.asia-southeast2.run.app/ptn_sn.php?ptn=114</x:v>
      </x:c>
    </x:row>
    <x:row r="171">
      <x:c r="A171" s="87" t="n">
        <x:v>3493</x:v>
      </x:c>
      <x:c r="B171" s="87" t="n">
        <x:v>114</x:v>
      </x:c>
      <x:c r="C171" s="66" t="str">
        <x:v>UNIVERSITAS SAMUDRA</x:v>
      </x:c>
      <x:c r="D171" s="66" t="str">
        <x:v>PTN Akademik</x:v>
      </x:c>
      <x:c r="E171" s="66" t="str">
        <x:v>11141020</x:v>
      </x:c>
      <x:c r="F171" s="66" t="str">
        <x:v>PENDIDIKAN GEOGRAFI</x:v>
      </x:c>
      <x:c r="G171" s="66" t="str">
        <x:v>Sarjana</x:v>
      </x:c>
      <x:c r="H171" s="87" t="n">
        <x:v>48</x:v>
      </x:c>
      <x:c r="I171" s="87" t="n">
        <x:v>111</x:v>
      </x:c>
      <x:c r="J171" s="68" t="n">
        <x:f>IFERROR(H171/I171,"")</x:f>
        <x:v>0.43243243243243246</x:v>
      </x:c>
      <x:c r="K171" s="69" t="n">
        <x:f>IFERROR(I171/H171,"")</x:f>
        <x:v>2.3125</x:v>
      </x:c>
      <x:c r="L171" s="66" t="str">
        <x:f>IF(K171="","","1 : "&amp;TEXT(K171,"0.0"))</x:f>
        <x:v>1 : 2.3</x:v>
      </x:c>
      <x:c r="M171" s="66" t="str">
        <x:f>IF(J171="","Baru/Tanpa Data",IF(J171&lt;='Catatan &amp; Sumber'!$B$14,"Sangat Ketat",IF(J171&lt;='Catatan &amp; Sumber'!$B$15,"Ketat",IF(J171&lt;='Catatan &amp; Sumber'!$B$16,"Sedang","Relatif Longgar"))))</x:f>
        <x:v>Relatif Longgar</x:v>
      </x:c>
      <x:c r="N171" s="66" t="str">
        <x:v>Tidak Ada</x:v>
      </x:c>
      <x:c r="O171" s="66" t="str">
        <x:v>Aceh</x:v>
      </x:c>
      <x:c r="P171" s="66" t="str">
        <x:v>Kota Langsa</x:v>
      </x:c>
      <x:c r="Q171" s="66" t="str">
        <x:v>https://snpmb.id/snbp/daya-tampung-snbp</x:v>
      </x:c>
      <x:c r="R171" s="66" t="str">
        <x:v>https://sidatagrun-public-1076756628210.asia-southeast2.run.app/ptn_sn.php?ptn=114</x:v>
      </x:c>
    </x:row>
    <x:row r="172">
      <x:c r="A172" s="87" t="n">
        <x:v>3048</x:v>
      </x:c>
      <x:c r="B172" s="87" t="n">
        <x:v>114</x:v>
      </x:c>
      <x:c r="C172" s="66" t="str">
        <x:v>UNIVERSITAS SAMUDRA</x:v>
      </x:c>
      <x:c r="D172" s="66" t="str">
        <x:v>PTN Akademik</x:v>
      </x:c>
      <x:c r="E172" s="66" t="str">
        <x:v>11141021</x:v>
      </x:c>
      <x:c r="F172" s="66" t="str">
        <x:v>PENDIDIKAN JASMANI</x:v>
      </x:c>
      <x:c r="G172" s="66" t="str">
        <x:v>Sarjana</x:v>
      </x:c>
      <x:c r="H172" s="87" t="n">
        <x:v>48</x:v>
      </x:c>
      <x:c r="I172" s="87" t="n">
        <x:v>158</x:v>
      </x:c>
      <x:c r="J172" s="68" t="n">
        <x:f>IFERROR(H172/I172,"")</x:f>
        <x:v>0.3037974683544304</x:v>
      </x:c>
      <x:c r="K172" s="69" t="n">
        <x:f>IFERROR(I172/H172,"")</x:f>
        <x:v>3.2916666666666665</x:v>
      </x:c>
      <x:c r="L172" s="66" t="str">
        <x:f>IF(K172="","","1 : "&amp;TEXT(K172,"0.0"))</x:f>
        <x:v>1 : 3.3</x:v>
      </x:c>
      <x:c r="M172" s="66" t="str">
        <x:f>IF(J172="","Baru/Tanpa Data",IF(J172&lt;='Catatan &amp; Sumber'!$B$14,"Sangat Ketat",IF(J172&lt;='Catatan &amp; Sumber'!$B$15,"Ketat",IF(J172&lt;='Catatan &amp; Sumber'!$B$16,"Sedang","Relatif Longgar"))))</x:f>
        <x:v>Relatif Longgar</x:v>
      </x:c>
      <x:c r="N172" s="66" t="str">
        <x:v>Olahraga</x:v>
      </x:c>
      <x:c r="O172" s="66" t="str">
        <x:v>Aceh</x:v>
      </x:c>
      <x:c r="P172" s="66" t="str">
        <x:v>Kota Langsa</x:v>
      </x:c>
      <x:c r="Q172" s="66" t="str">
        <x:v>https://snpmb.id/snbp/daya-tampung-snbp</x:v>
      </x:c>
      <x:c r="R172" s="66" t="str">
        <x:v>https://sidatagrun-public-1076756628210.asia-southeast2.run.app/ptn_sn.php?ptn=114</x:v>
      </x:c>
    </x:row>
    <x:row r="173">
      <x:c r="A173" s="87" t="n">
        <x:v>2065</x:v>
      </x:c>
      <x:c r="B173" s="87" t="n">
        <x:v>114</x:v>
      </x:c>
      <x:c r="C173" s="66" t="str">
        <x:v>UNIVERSITAS SAMUDRA</x:v>
      </x:c>
      <x:c r="D173" s="66" t="str">
        <x:v>PTN Akademik</x:v>
      </x:c>
      <x:c r="E173" s="66" t="str">
        <x:v>11141022</x:v>
      </x:c>
      <x:c r="F173" s="66" t="str">
        <x:v>PENDIDIKAN GURU SEKOLAH DASAR</x:v>
      </x:c>
      <x:c r="G173" s="66" t="str">
        <x:v>Sarjana</x:v>
      </x:c>
      <x:c r="H173" s="87" t="n">
        <x:v>130</x:v>
      </x:c>
      <x:c r="I173" s="87" t="n">
        <x:v>821</x:v>
      </x:c>
      <x:c r="J173" s="68" t="n">
        <x:f>IFERROR(H173/I173,"")</x:f>
        <x:v>0.15834348355663824</x:v>
      </x:c>
      <x:c r="K173" s="69" t="n">
        <x:f>IFERROR(I173/H173,"")</x:f>
        <x:v>6.315384615384615</x:v>
      </x:c>
      <x:c r="L173" s="66" t="str">
        <x:f>IF(K173="","","1 : "&amp;TEXT(K173,"0.0"))</x:f>
        <x:v>1 : 6.3</x:v>
      </x:c>
      <x:c r="M173" s="66" t="str">
        <x:f>IF(J173="","Baru/Tanpa Data",IF(J173&lt;='Catatan &amp; Sumber'!$B$14,"Sangat Ketat",IF(J173&lt;='Catatan &amp; Sumber'!$B$15,"Ketat",IF(J173&lt;='Catatan &amp; Sumber'!$B$16,"Sedang","Relatif Longgar"))))</x:f>
        <x:v>Relatif Longgar</x:v>
      </x:c>
      <x:c r="N173" s="66" t="str">
        <x:v>Tidak Ada</x:v>
      </x:c>
      <x:c r="O173" s="66" t="str">
        <x:v>Aceh</x:v>
      </x:c>
      <x:c r="P173" s="66" t="str">
        <x:v>Kota Langsa</x:v>
      </x:c>
      <x:c r="Q173" s="66" t="str">
        <x:v>https://snpmb.id/snbp/daya-tampung-snbp</x:v>
      </x:c>
      <x:c r="R173" s="66" t="str">
        <x:v>https://sidatagrun-public-1076756628210.asia-southeast2.run.app/ptn_sn.php?ptn=114</x:v>
      </x:c>
    </x:row>
    <x:row r="174">
      <x:c r="A174" s="87" t="n">
        <x:v>2946</x:v>
      </x:c>
      <x:c r="B174" s="87" t="n">
        <x:v>114</x:v>
      </x:c>
      <x:c r="C174" s="66" t="str">
        <x:v>UNIVERSITAS SAMUDRA</x:v>
      </x:c>
      <x:c r="D174" s="66" t="str">
        <x:v>PTN Akademik</x:v>
      </x:c>
      <x:c r="E174" s="66" t="str">
        <x:v>11141023</x:v>
      </x:c>
      <x:c r="F174" s="66" t="str">
        <x:v>PENDIDIKAN BAHASA INGGRIS</x:v>
      </x:c>
      <x:c r="G174" s="66" t="str">
        <x:v>Sarjana</x:v>
      </x:c>
      <x:c r="H174" s="87" t="n">
        <x:v>32</x:v>
      </x:c>
      <x:c r="I174" s="87" t="n">
        <x:v>113</x:v>
      </x:c>
      <x:c r="J174" s="68" t="n">
        <x:f>IFERROR(H174/I174,"")</x:f>
        <x:v>0.2831858407079646</x:v>
      </x:c>
      <x:c r="K174" s="69" t="n">
        <x:f>IFERROR(I174/H174,"")</x:f>
        <x:v>3.53125</x:v>
      </x:c>
      <x:c r="L174" s="66" t="str">
        <x:f>IF(K174="","","1 : "&amp;TEXT(K174,"0.0"))</x:f>
        <x:v>1 : 3.5</x:v>
      </x:c>
      <x:c r="M174" s="66" t="str">
        <x:f>IF(J174="","Baru/Tanpa Data",IF(J174&lt;='Catatan &amp; Sumber'!$B$14,"Sangat Ketat",IF(J174&lt;='Catatan &amp; Sumber'!$B$15,"Ketat",IF(J174&lt;='Catatan &amp; Sumber'!$B$16,"Sedang","Relatif Longgar"))))</x:f>
        <x:v>Relatif Longgar</x:v>
      </x:c>
      <x:c r="N174" s="66" t="str">
        <x:v>Tidak Ada</x:v>
      </x:c>
      <x:c r="O174" s="66" t="str">
        <x:v>Aceh</x:v>
      </x:c>
      <x:c r="P174" s="66" t="str">
        <x:v>Kota Langsa</x:v>
      </x:c>
      <x:c r="Q174" s="66" t="str">
        <x:v>https://snpmb.id/snbp/daya-tampung-snbp</x:v>
      </x:c>
      <x:c r="R174" s="66" t="str">
        <x:v>https://sidatagrun-public-1076756628210.asia-southeast2.run.app/ptn_sn.php?ptn=114</x:v>
      </x:c>
    </x:row>
    <x:row r="175">
      <x:c r="A175" s="87" t="n">
        <x:v>2504</x:v>
      </x:c>
      <x:c r="B175" s="87" t="n">
        <x:v>114</x:v>
      </x:c>
      <x:c r="C175" s="66" t="str">
        <x:v>UNIVERSITAS SAMUDRA</x:v>
      </x:c>
      <x:c r="D175" s="66" t="str">
        <x:v>PTN Akademik</x:v>
      </x:c>
      <x:c r="E175" s="66" t="str">
        <x:v>11141024</x:v>
      </x:c>
      <x:c r="F175" s="66" t="str">
        <x:v>PENDIDIKAN BAHASA INDONESIA</x:v>
      </x:c>
      <x:c r="G175" s="66" t="str">
        <x:v>Sarjana</x:v>
      </x:c>
      <x:c r="H175" s="87" t="n">
        <x:v>48</x:v>
      </x:c>
      <x:c r="I175" s="87" t="n">
        <x:v>226</x:v>
      </x:c>
      <x:c r="J175" s="68" t="n">
        <x:f>IFERROR(H175/I175,"")</x:f>
        <x:v>0.21238938053097345</x:v>
      </x:c>
      <x:c r="K175" s="69" t="n">
        <x:f>IFERROR(I175/H175,"")</x:f>
        <x:v>4.708333333333333</x:v>
      </x:c>
      <x:c r="L175" s="66" t="str">
        <x:f>IF(K175="","","1 : "&amp;TEXT(K175,"0.0"))</x:f>
        <x:v>1 : 4.7</x:v>
      </x:c>
      <x:c r="M175" s="66" t="str">
        <x:f>IF(J175="","Baru/Tanpa Data",IF(J175&lt;='Catatan &amp; Sumber'!$B$14,"Sangat Ketat",IF(J175&lt;='Catatan &amp; Sumber'!$B$15,"Ketat",IF(J175&lt;='Catatan &amp; Sumber'!$B$16,"Sedang","Relatif Longgar"))))</x:f>
        <x:v>Relatif Longgar</x:v>
      </x:c>
      <x:c r="N175" s="66" t="str">
        <x:v>Tidak Ada</x:v>
      </x:c>
      <x:c r="O175" s="66" t="str">
        <x:v>Aceh</x:v>
      </x:c>
      <x:c r="P175" s="66" t="str">
        <x:v>Kota Langsa</x:v>
      </x:c>
      <x:c r="Q175" s="66" t="str">
        <x:v>https://snpmb.id/snbp/daya-tampung-snbp</x:v>
      </x:c>
      <x:c r="R175" s="66" t="str">
        <x:v>https://sidatagrun-public-1076756628210.asia-southeast2.run.app/ptn_sn.php?ptn=114</x:v>
      </x:c>
    </x:row>
    <x:row r="176">
      <x:c r="A176" s="87" t="n">
        <x:v>2931</x:v>
      </x:c>
      <x:c r="B176" s="87" t="n">
        <x:v>114</x:v>
      </x:c>
      <x:c r="C176" s="66" t="str">
        <x:v>UNIVERSITAS SAMUDRA</x:v>
      </x:c>
      <x:c r="D176" s="66" t="str">
        <x:v>PTN Akademik</x:v>
      </x:c>
      <x:c r="E176" s="66" t="str">
        <x:v>11141025</x:v>
      </x:c>
      <x:c r="F176" s="66" t="str">
        <x:v>AKUNTANSI</x:v>
      </x:c>
      <x:c r="G176" s="66" t="str">
        <x:v>Sarjana</x:v>
      </x:c>
      <x:c r="H176" s="87" t="n">
        <x:v>48</x:v>
      </x:c>
      <x:c r="I176" s="87" t="n">
        <x:v>172</x:v>
      </x:c>
      <x:c r="J176" s="68" t="n">
        <x:f>IFERROR(H176/I176,"")</x:f>
        <x:v>0.27906976744186046</x:v>
      </x:c>
      <x:c r="K176" s="69" t="n">
        <x:f>IFERROR(I176/H176,"")</x:f>
        <x:v>3.5833333333333335</x:v>
      </x:c>
      <x:c r="L176" s="66" t="str">
        <x:f>IF(K176="","","1 : "&amp;TEXT(K176,"0.0"))</x:f>
        <x:v>1 : 3.6</x:v>
      </x:c>
      <x:c r="M176" s="66" t="str">
        <x:f>IF(J176="","Baru/Tanpa Data",IF(J176&lt;='Catatan &amp; Sumber'!$B$14,"Sangat Ketat",IF(J176&lt;='Catatan &amp; Sumber'!$B$15,"Ketat",IF(J176&lt;='Catatan &amp; Sumber'!$B$16,"Sedang","Relatif Longgar"))))</x:f>
        <x:v>Relatif Longgar</x:v>
      </x:c>
      <x:c r="N176" s="66" t="str">
        <x:v>Tidak Ada</x:v>
      </x:c>
      <x:c r="O176" s="66" t="str">
        <x:v>Aceh</x:v>
      </x:c>
      <x:c r="P176" s="66" t="str">
        <x:v>Kota Langsa</x:v>
      </x:c>
      <x:c r="Q176" s="66" t="str">
        <x:v>https://snpmb.id/snbp/daya-tampung-snbp</x:v>
      </x:c>
      <x:c r="R176" s="66" t="str">
        <x:v>https://sidatagrun-public-1076756628210.asia-southeast2.run.app/ptn_sn.php?ptn=114</x:v>
      </x:c>
    </x:row>
    <x:row r="177">
      <x:c r="A177" s="87" t="n">
        <x:v>4439</x:v>
      </x:c>
      <x:c r="B177" s="87" t="n">
        <x:v>114</x:v>
      </x:c>
      <x:c r="C177" s="66" t="str">
        <x:v>UNIVERSITAS SAMUDRA</x:v>
      </x:c>
      <x:c r="D177" s="66" t="str">
        <x:v>PTN Akademik</x:v>
      </x:c>
      <x:c r="E177" s="66" t="str">
        <x:v>11141026</x:v>
      </x:c>
      <x:c r="F177" s="66" t="str">
        <x:v>GEOFISIKA</x:v>
      </x:c>
      <x:c r="G177" s="66" t="str">
        <x:v>Sarjana</x:v>
      </x:c>
      <x:c r="H177" s="87" t="n">
        <x:v>12</x:v>
      </x:c>
      <x:c r="I177" s="87" t="n">
        <x:v>10</x:v>
      </x:c>
      <x:c r="J177" s="68" t="n">
        <x:f>IFERROR(H177/I177,"")</x:f>
        <x:v>1.2</x:v>
      </x:c>
      <x:c r="K177" s="69" t="n">
        <x:f>IFERROR(I177/H177,"")</x:f>
        <x:v>0.8333333333333334</x:v>
      </x:c>
      <x:c r="L177" s="66" t="str">
        <x:f>IF(K177="","","1 : "&amp;TEXT(K177,"0.0"))</x:f>
        <x:v>1 : 0.8</x:v>
      </x:c>
      <x:c r="M177" s="66" t="str">
        <x:f>IF(J177="","Baru/Tanpa Data",IF(J177&lt;='Catatan &amp; Sumber'!$B$14,"Sangat Ketat",IF(J177&lt;='Catatan &amp; Sumber'!$B$15,"Ketat",IF(J177&lt;='Catatan &amp; Sumber'!$B$16,"Sedang","Relatif Longgar"))))</x:f>
        <x:v>Relatif Longgar</x:v>
      </x:c>
      <x:c r="N177" s="66" t="str">
        <x:v>Tidak Ada</x:v>
      </x:c>
      <x:c r="O177" s="66" t="str">
        <x:v>Aceh</x:v>
      </x:c>
      <x:c r="P177" s="66" t="str">
        <x:v>Kota Langsa</x:v>
      </x:c>
      <x:c r="Q177" s="66" t="str">
        <x:v>https://snpmb.id/snbp/daya-tampung-snbp</x:v>
      </x:c>
      <x:c r="R177" s="66" t="str">
        <x:v>https://sidatagrun-public-1076756628210.asia-southeast2.run.app/ptn_sn.php?ptn=114</x:v>
      </x:c>
    </x:row>
    <x:row r="178">
      <x:c r="A178" s="87" t="n">
        <x:v>3097</x:v>
      </x:c>
      <x:c r="B178" s="87" t="n">
        <x:v>114</x:v>
      </x:c>
      <x:c r="C178" s="66" t="str">
        <x:v>UNIVERSITAS SAMUDRA</x:v>
      </x:c>
      <x:c r="D178" s="66" t="str">
        <x:v>PTN Akademik</x:v>
      </x:c>
      <x:c r="E178" s="66" t="str">
        <x:v>11141027</x:v>
      </x:c>
      <x:c r="F178" s="66" t="str">
        <x:v>PENDIDIKAN ILMU PENGETAHUAN ALAM</x:v>
      </x:c>
      <x:c r="G178" s="66" t="str">
        <x:v>Sarjana</x:v>
      </x:c>
      <x:c r="H178" s="87" t="n">
        <x:v>12</x:v>
      </x:c>
      <x:c r="I178" s="87" t="n">
        <x:v>38</x:v>
      </x:c>
      <x:c r="J178" s="68" t="n">
        <x:f>IFERROR(H178/I178,"")</x:f>
        <x:v>0.3157894736842105</x:v>
      </x:c>
      <x:c r="K178" s="69" t="n">
        <x:f>IFERROR(I178/H178,"")</x:f>
        <x:v>3.1666666666666665</x:v>
      </x:c>
      <x:c r="L178" s="66" t="str">
        <x:f>IF(K178="","","1 : "&amp;TEXT(K178,"0.0"))</x:f>
        <x:v>1 : 3.2</x:v>
      </x:c>
      <x:c r="M178" s="66" t="str">
        <x:f>IF(J178="","Baru/Tanpa Data",IF(J178&lt;='Catatan &amp; Sumber'!$B$14,"Sangat Ketat",IF(J178&lt;='Catatan &amp; Sumber'!$B$15,"Ketat",IF(J178&lt;='Catatan &amp; Sumber'!$B$16,"Sedang","Relatif Longgar"))))</x:f>
        <x:v>Relatif Longgar</x:v>
      </x:c>
      <x:c r="N178" s="66" t="str">
        <x:v>Tidak Ada</x:v>
      </x:c>
      <x:c r="O178" s="66" t="str">
        <x:v>Aceh</x:v>
      </x:c>
      <x:c r="P178" s="66" t="str">
        <x:v>Kota Langsa</x:v>
      </x:c>
      <x:c r="Q178" s="66" t="str">
        <x:v>https://snpmb.id/snbp/daya-tampung-snbp</x:v>
      </x:c>
      <x:c r="R178" s="66" t="str">
        <x:v>https://sidatagrun-public-1076756628210.asia-southeast2.run.app/ptn_sn.php?ptn=114</x:v>
      </x:c>
    </x:row>
    <x:row r="179">
      <x:c r="A179" s="87" t="n">
        <x:v>913</x:v>
      </x:c>
      <x:c r="B179" s="87" t="n">
        <x:v>114</x:v>
      </x:c>
      <x:c r="C179" s="66" t="str">
        <x:v>UNIVERSITAS SAMUDRA</x:v>
      </x:c>
      <x:c r="D179" s="66" t="str">
        <x:v>PTN Akademik</x:v>
      </x:c>
      <x:c r="E179" s="66" t="str">
        <x:v>11141028</x:v>
      </x:c>
      <x:c r="F179" s="66" t="str">
        <x:v>PENDIDIKAN PANCASILA DAN KEWARGANEGARAAN</x:v>
      </x:c>
      <x:c r="G179" s="66" t="str">
        <x:v>Sarjana</x:v>
      </x:c>
      <x:c r="H179" s="87" t="n">
        <x:v>12</x:v>
      </x:c>
      <x:c r="I179" s="87" t="n">
        <x:v>164</x:v>
      </x:c>
      <x:c r="J179" s="68" t="n">
        <x:f>IFERROR(H179/I179,"")</x:f>
        <x:v>0.07317073170731707</x:v>
      </x:c>
      <x:c r="K179" s="69" t="n">
        <x:f>IFERROR(I179/H179,"")</x:f>
        <x:v>13.666666666666666</x:v>
      </x:c>
      <x:c r="L179" s="66" t="str">
        <x:f>IF(K179="","","1 : "&amp;TEXT(K179,"0.0"))</x:f>
        <x:v>1 : 13.7</x:v>
      </x:c>
      <x:c r="M179" s="66" t="str">
        <x:f>IF(J179="","Baru/Tanpa Data",IF(J179&lt;='Catatan &amp; Sumber'!$B$14,"Sangat Ketat",IF(J179&lt;='Catatan &amp; Sumber'!$B$15,"Ketat",IF(J179&lt;='Catatan &amp; Sumber'!$B$16,"Sedang","Relatif Longgar"))))</x:f>
        <x:v>Sedang</x:v>
      </x:c>
      <x:c r="N179" s="66" t="str">
        <x:v>Tidak Ada</x:v>
      </x:c>
      <x:c r="O179" s="66" t="str">
        <x:v>Aceh</x:v>
      </x:c>
      <x:c r="P179" s="66" t="str">
        <x:v>Kota Langsa</x:v>
      </x:c>
      <x:c r="Q179" s="66" t="str">
        <x:v>https://snpmb.id/snbp/daya-tampung-snbp</x:v>
      </x:c>
      <x:c r="R179" s="66" t="str">
        <x:v>https://sidatagrun-public-1076756628210.asia-southeast2.run.app/ptn_sn.php?ptn=114</x:v>
      </x:c>
    </x:row>
    <x:row r="180">
      <x:c r="A180" s="87" t="n">
        <x:v>2735</x:v>
      </x:c>
      <x:c r="B180" s="87" t="n">
        <x:v>114</x:v>
      </x:c>
      <x:c r="C180" s="66" t="str">
        <x:v>UNIVERSITAS SAMUDRA</x:v>
      </x:c>
      <x:c r="D180" s="66" t="str">
        <x:v>PTN Akademik</x:v>
      </x:c>
      <x:c r="E180" s="66" t="str">
        <x:v>11141029</x:v>
      </x:c>
      <x:c r="F180" s="66" t="str">
        <x:v>PENDIDIKAN VOKASIONAL SENI KULINER</x:v>
      </x:c>
      <x:c r="G180" s="66" t="str">
        <x:v>Sarjana</x:v>
      </x:c>
      <x:c r="H180" s="87" t="n">
        <x:v>12</x:v>
      </x:c>
      <x:c r="I180" s="87" t="n">
        <x:v>48</x:v>
      </x:c>
      <x:c r="J180" s="68" t="n">
        <x:f>IFERROR(H180/I180,"")</x:f>
        <x:v>0.25</x:v>
      </x:c>
      <x:c r="K180" s="69" t="n">
        <x:f>IFERROR(I180/H180,"")</x:f>
        <x:v>4</x:v>
      </x:c>
      <x:c r="L180" s="66" t="str">
        <x:f>IF(K180="","","1 : "&amp;TEXT(K180,"0.0"))</x:f>
        <x:v>1 : 4.0</x:v>
      </x:c>
      <x:c r="M180" s="66" t="str">
        <x:f>IF(J180="","Baru/Tanpa Data",IF(J180&lt;='Catatan &amp; Sumber'!$B$14,"Sangat Ketat",IF(J180&lt;='Catatan &amp; Sumber'!$B$15,"Ketat",IF(J180&lt;='Catatan &amp; Sumber'!$B$16,"Sedang","Relatif Longgar"))))</x:f>
        <x:v>Relatif Longgar</x:v>
      </x:c>
      <x:c r="N180" s="66" t="str">
        <x:v>Tidak Ada</x:v>
      </x:c>
      <x:c r="O180" s="66" t="str">
        <x:v>Aceh</x:v>
      </x:c>
      <x:c r="P180" s="66" t="str">
        <x:v>Kota Langsa</x:v>
      </x:c>
      <x:c r="Q180" s="66" t="str">
        <x:v>https://snpmb.id/snbp/daya-tampung-snbp</x:v>
      </x:c>
      <x:c r="R180" s="66" t="str">
        <x:v>https://sidatagrun-public-1076756628210.asia-southeast2.run.app/ptn_sn.php?ptn=114</x:v>
      </x:c>
    </x:row>
    <x:row r="181">
      <x:c r="A181" s="87"/>
      <x:c r="B181" s="87" t="n">
        <x:v>114</x:v>
      </x:c>
      <x:c r="C181" s="66" t="str">
        <x:v>UNIVERSITAS SAMUDRA</x:v>
      </x:c>
      <x:c r="D181" s="66" t="str">
        <x:v>PTN Akademik</x:v>
      </x:c>
      <x:c r="E181" s="66" t="str">
        <x:v>11141030</x:v>
      </x:c>
      <x:c r="F181" s="66" t="str">
        <x:v>KRIMINOLOGI</x:v>
      </x:c>
      <x:c r="G181" s="66" t="str">
        <x:v>Sarjana</x:v>
      </x:c>
      <x:c r="H181" s="87" t="n">
        <x:v>16</x:v>
      </x:c>
      <x:c r="I181" s="87"/>
      <x:c r="J181" s="68" t="str">
        <x:f>IFERROR(H181/I181,"")</x:f>
      </x:c>
      <x:c r="K181" s="69" t="n">
        <x:f>IFERROR(I181/H181,"")</x:f>
        <x:v>0</x:v>
      </x:c>
      <x:c r="L181" s="66" t="str">
        <x:f>IF(K181="","","1 : "&amp;TEXT(K181,"0.0"))</x:f>
      </x:c>
      <x:c r="M181" s="66" t="str">
        <x:f>IF(J181="","Baru/Tanpa Data",IF(J181&lt;='Catatan &amp; Sumber'!$B$14,"Sangat Ketat",IF(J181&lt;='Catatan &amp; Sumber'!$B$15,"Ketat",IF(J181&lt;='Catatan &amp; Sumber'!$B$16,"Sedang","Relatif Longgar"))))</x:f>
        <x:v>Baru/Tanpa Data</x:v>
      </x:c>
      <x:c r="N181" s="66" t="str">
        <x:v>Tidak Ada</x:v>
      </x:c>
      <x:c r="O181" s="66" t="str">
        <x:v>Aceh</x:v>
      </x:c>
      <x:c r="P181" s="66" t="str">
        <x:v>Kota Langsa</x:v>
      </x:c>
      <x:c r="Q181" s="66" t="str">
        <x:v>https://snpmb.id/snbp/daya-tampung-snbp</x:v>
      </x:c>
      <x:c r="R181" s="66" t="str">
        <x:v>https://sidatagrun-public-1076756628210.asia-southeast2.run.app/ptn_sn.php?ptn=114</x:v>
      </x:c>
    </x:row>
    <x:row r="182">
      <x:c r="A182" s="87"/>
      <x:c r="B182" s="87" t="n">
        <x:v>114</x:v>
      </x:c>
      <x:c r="C182" s="66" t="str">
        <x:v>UNIVERSITAS SAMUDRA</x:v>
      </x:c>
      <x:c r="D182" s="66" t="str">
        <x:v>PTN Akademik</x:v>
      </x:c>
      <x:c r="E182" s="66" t="str">
        <x:v>11141031</x:v>
      </x:c>
      <x:c r="F182" s="66" t="str">
        <x:v>PETERNAKAN</x:v>
      </x:c>
      <x:c r="G182" s="66" t="str">
        <x:v>Sarjana</x:v>
      </x:c>
      <x:c r="H182" s="87" t="n">
        <x:v>16</x:v>
      </x:c>
      <x:c r="I182" s="87"/>
      <x:c r="J182" s="68" t="str">
        <x:f>IFERROR(H182/I182,"")</x:f>
      </x:c>
      <x:c r="K182" s="69" t="n">
        <x:f>IFERROR(I182/H182,"")</x:f>
        <x:v>0</x:v>
      </x:c>
      <x:c r="L182" s="66" t="str">
        <x:f>IF(K182="","","1 : "&amp;TEXT(K182,"0.0"))</x:f>
      </x:c>
      <x:c r="M182" s="66" t="str">
        <x:f>IF(J182="","Baru/Tanpa Data",IF(J182&lt;='Catatan &amp; Sumber'!$B$14,"Sangat Ketat",IF(J182&lt;='Catatan &amp; Sumber'!$B$15,"Ketat",IF(J182&lt;='Catatan &amp; Sumber'!$B$16,"Sedang","Relatif Longgar"))))</x:f>
        <x:v>Baru/Tanpa Data</x:v>
      </x:c>
      <x:c r="N182" s="66" t="str">
        <x:v>Tidak Ada</x:v>
      </x:c>
      <x:c r="O182" s="66" t="str">
        <x:v>Aceh</x:v>
      </x:c>
      <x:c r="P182" s="66" t="str">
        <x:v>Kota Langsa</x:v>
      </x:c>
      <x:c r="Q182" s="66" t="str">
        <x:v>https://snpmb.id/snbp/daya-tampung-snbp</x:v>
      </x:c>
      <x:c r="R182" s="66" t="str">
        <x:v>https://sidatagrun-public-1076756628210.asia-southeast2.run.app/ptn_sn.php?ptn=114</x:v>
      </x:c>
    </x:row>
    <x:row r="183">
      <x:c r="A183" s="87"/>
      <x:c r="B183" s="87" t="n">
        <x:v>114</x:v>
      </x:c>
      <x:c r="C183" s="66" t="str">
        <x:v>UNIVERSITAS SAMUDRA</x:v>
      </x:c>
      <x:c r="D183" s="66" t="str">
        <x:v>PTN Akademik</x:v>
      </x:c>
      <x:c r="E183" s="66" t="str">
        <x:v>11141032</x:v>
      </x:c>
      <x:c r="F183" s="66" t="str">
        <x:v>HUKUM BISNIS</x:v>
      </x:c>
      <x:c r="G183" s="66" t="str">
        <x:v>Sarjana</x:v>
      </x:c>
      <x:c r="H183" s="87" t="n">
        <x:v>16</x:v>
      </x:c>
      <x:c r="I183" s="87"/>
      <x:c r="J183" s="68" t="str">
        <x:f>IFERROR(H183/I183,"")</x:f>
      </x:c>
      <x:c r="K183" s="69" t="n">
        <x:f>IFERROR(I183/H183,"")</x:f>
        <x:v>0</x:v>
      </x:c>
      <x:c r="L183" s="66" t="str">
        <x:f>IF(K183="","","1 : "&amp;TEXT(K183,"0.0"))</x:f>
      </x:c>
      <x:c r="M183" s="66" t="str">
        <x:f>IF(J183="","Baru/Tanpa Data",IF(J183&lt;='Catatan &amp; Sumber'!$B$14,"Sangat Ketat",IF(J183&lt;='Catatan &amp; Sumber'!$B$15,"Ketat",IF(J183&lt;='Catatan &amp; Sumber'!$B$16,"Sedang","Relatif Longgar"))))</x:f>
        <x:v>Baru/Tanpa Data</x:v>
      </x:c>
      <x:c r="N183" s="66" t="str">
        <x:v>Tidak Ada</x:v>
      </x:c>
      <x:c r="O183" s="66" t="str">
        <x:v>Aceh</x:v>
      </x:c>
      <x:c r="P183" s="66" t="str">
        <x:v>Kota Langsa</x:v>
      </x:c>
      <x:c r="Q183" s="66" t="str">
        <x:v>https://snpmb.id/snbp/daya-tampung-snbp</x:v>
      </x:c>
      <x:c r="R183" s="66" t="str">
        <x:v>https://sidatagrun-public-1076756628210.asia-southeast2.run.app/ptn_sn.php?ptn=114</x:v>
      </x:c>
    </x:row>
    <x:row r="184">
      <x:c r="A184" s="87"/>
      <x:c r="B184" s="87" t="n">
        <x:v>114</x:v>
      </x:c>
      <x:c r="C184" s="66" t="str">
        <x:v>UNIVERSITAS SAMUDRA</x:v>
      </x:c>
      <x:c r="D184" s="66" t="str">
        <x:v>PTN Akademik</x:v>
      </x:c>
      <x:c r="E184" s="66" t="str">
        <x:v>11141033</x:v>
      </x:c>
      <x:c r="F184" s="66" t="str">
        <x:v>TEKNOLOGI PANGAN DAN HASIL PERTANIAN</x:v>
      </x:c>
      <x:c r="G184" s="66" t="str">
        <x:v>Sarjana</x:v>
      </x:c>
      <x:c r="H184" s="87" t="n">
        <x:v>16</x:v>
      </x:c>
      <x:c r="I184" s="87"/>
      <x:c r="J184" s="68" t="str">
        <x:f>IFERROR(H184/I184,"")</x:f>
      </x:c>
      <x:c r="K184" s="69" t="n">
        <x:f>IFERROR(I184/H184,"")</x:f>
        <x:v>0</x:v>
      </x:c>
      <x:c r="L184" s="66" t="str">
        <x:f>IF(K184="","","1 : "&amp;TEXT(K184,"0.0"))</x:f>
      </x:c>
      <x:c r="M184" s="66" t="str">
        <x:f>IF(J184="","Baru/Tanpa Data",IF(J184&lt;='Catatan &amp; Sumber'!$B$14,"Sangat Ketat",IF(J184&lt;='Catatan &amp; Sumber'!$B$15,"Ketat",IF(J184&lt;='Catatan &amp; Sumber'!$B$16,"Sedang","Relatif Longgar"))))</x:f>
        <x:v>Baru/Tanpa Data</x:v>
      </x:c>
      <x:c r="N184" s="66" t="str">
        <x:v>Tidak Ada</x:v>
      </x:c>
      <x:c r="O184" s="66" t="str">
        <x:v>Aceh</x:v>
      </x:c>
      <x:c r="P184" s="66" t="str">
        <x:v>Kota Langsa</x:v>
      </x:c>
      <x:c r="Q184" s="66" t="str">
        <x:v>https://snpmb.id/snbp/daya-tampung-snbp</x:v>
      </x:c>
      <x:c r="R184" s="66" t="str">
        <x:v>https://sidatagrun-public-1076756628210.asia-southeast2.run.app/ptn_sn.php?ptn=114</x:v>
      </x:c>
    </x:row>
    <x:row r="185">
      <x:c r="A185" s="87"/>
      <x:c r="B185" s="87" t="n">
        <x:v>114</x:v>
      </x:c>
      <x:c r="C185" s="66" t="str">
        <x:v>UNIVERSITAS SAMUDRA</x:v>
      </x:c>
      <x:c r="D185" s="66" t="str">
        <x:v>PTN Akademik</x:v>
      </x:c>
      <x:c r="E185" s="66" t="str">
        <x:v>11141034</x:v>
      </x:c>
      <x:c r="F185" s="66" t="str">
        <x:v>BISNIS DIGITAL</x:v>
      </x:c>
      <x:c r="G185" s="66" t="str">
        <x:v>Sarjana</x:v>
      </x:c>
      <x:c r="H185" s="87" t="n">
        <x:v>16</x:v>
      </x:c>
      <x:c r="I185" s="87"/>
      <x:c r="J185" s="68" t="str">
        <x:f>IFERROR(H185/I185,"")</x:f>
      </x:c>
      <x:c r="K185" s="69" t="n">
        <x:f>IFERROR(I185/H185,"")</x:f>
        <x:v>0</x:v>
      </x:c>
      <x:c r="L185" s="66" t="str">
        <x:f>IF(K185="","","1 : "&amp;TEXT(K185,"0.0"))</x:f>
      </x:c>
      <x:c r="M185" s="66" t="str">
        <x:f>IF(J185="","Baru/Tanpa Data",IF(J185&lt;='Catatan &amp; Sumber'!$B$14,"Sangat Ketat",IF(J185&lt;='Catatan &amp; Sumber'!$B$15,"Ketat",IF(J185&lt;='Catatan &amp; Sumber'!$B$16,"Sedang","Relatif Longgar"))))</x:f>
        <x:v>Baru/Tanpa Data</x:v>
      </x:c>
      <x:c r="N185" s="66" t="str">
        <x:v>Tidak Ada</x:v>
      </x:c>
      <x:c r="O185" s="66" t="str">
        <x:v>Aceh</x:v>
      </x:c>
      <x:c r="P185" s="66" t="str">
        <x:v>Kota Langsa</x:v>
      </x:c>
      <x:c r="Q185" s="66" t="str">
        <x:v>https://snpmb.id/snbp/daya-tampung-snbp</x:v>
      </x:c>
      <x:c r="R185" s="66" t="str">
        <x:v>https://sidatagrun-public-1076756628210.asia-southeast2.run.app/ptn_sn.php?ptn=114</x:v>
      </x:c>
    </x:row>
    <x:row r="186">
      <x:c r="A186" s="87" t="n">
        <x:v>4870</x:v>
      </x:c>
      <x:c r="B186" s="87" t="n">
        <x:v>115</x:v>
      </x:c>
      <x:c r="C186" s="66" t="str">
        <x:v>ISBI ACEH</x:v>
      </x:c>
      <x:c r="D186" s="66" t="str">
        <x:v>PTN Akademik</x:v>
      </x:c>
      <x:c r="E186" s="66" t="str">
        <x:v>11151001</x:v>
      </x:c>
      <x:c r="F186" s="66" t="str">
        <x:v>SENI KARAWITAN</x:v>
      </x:c>
      <x:c r="G186" s="66" t="str">
        <x:v>Sarjana</x:v>
      </x:c>
      <x:c r="H186" s="87" t="n">
        <x:v>20</x:v>
      </x:c>
      <x:c r="I186" s="87" t="n">
        <x:v>3</x:v>
      </x:c>
      <x:c r="J186" s="68" t="n">
        <x:f>IFERROR(H186/I186,"")</x:f>
        <x:v>6.666666666666667</x:v>
      </x:c>
      <x:c r="K186" s="69" t="n">
        <x:f>IFERROR(I186/H186,"")</x:f>
        <x:v>0.15</x:v>
      </x:c>
      <x:c r="L186" s="66" t="str">
        <x:f>IF(K186="","","1 : "&amp;TEXT(K186,"0.0"))</x:f>
        <x:v>1 : 0.2</x:v>
      </x:c>
      <x:c r="M186" s="66" t="str">
        <x:f>IF(J186="","Baru/Tanpa Data",IF(J186&lt;='Catatan &amp; Sumber'!$B$14,"Sangat Ketat",IF(J186&lt;='Catatan &amp; Sumber'!$B$15,"Ketat",IF(J186&lt;='Catatan &amp; Sumber'!$B$16,"Sedang","Relatif Longgar"))))</x:f>
        <x:v>Relatif Longgar</x:v>
      </x:c>
      <x:c r="N186" s="66" t="str">
        <x:v>Seni Karawitan</x:v>
      </x:c>
      <x:c r="O186" s="66" t="str">
        <x:v>Aceh</x:v>
      </x:c>
      <x:c r="P186" s="66" t="str">
        <x:v>Kabupaten Aceh Besar</x:v>
      </x:c>
      <x:c r="Q186" s="66" t="str">
        <x:v>https://snpmb.id/snbp/daya-tampung-snbp</x:v>
      </x:c>
      <x:c r="R186" s="66" t="str">
        <x:v>https://sidatagrun-public-1076756628210.asia-southeast2.run.app/ptn_sn.php?ptn=115</x:v>
      </x:c>
    </x:row>
    <x:row r="187">
      <x:c r="A187" s="87" t="n">
        <x:v>4414</x:v>
      </x:c>
      <x:c r="B187" s="87" t="n">
        <x:v>115</x:v>
      </x:c>
      <x:c r="C187" s="66" t="str">
        <x:v>ISBI ACEH</x:v>
      </x:c>
      <x:c r="D187" s="66" t="str">
        <x:v>PTN Akademik</x:v>
      </x:c>
      <x:c r="E187" s="66" t="str">
        <x:v>11151002</x:v>
      </x:c>
      <x:c r="F187" s="66" t="str">
        <x:v>SENI TARI</x:v>
      </x:c>
      <x:c r="G187" s="66" t="str">
        <x:v>Sarjana</x:v>
      </x:c>
      <x:c r="H187" s="87" t="n">
        <x:v>38</x:v>
      </x:c>
      <x:c r="I187" s="87" t="n">
        <x:v>33</x:v>
      </x:c>
      <x:c r="J187" s="68" t="n">
        <x:f>IFERROR(H187/I187,"")</x:f>
        <x:v>1.1515151515151516</x:v>
      </x:c>
      <x:c r="K187" s="69" t="n">
        <x:f>IFERROR(I187/H187,"")</x:f>
        <x:v>0.868421052631579</x:v>
      </x:c>
      <x:c r="L187" s="66" t="str">
        <x:f>IF(K187="","","1 : "&amp;TEXT(K187,"0.0"))</x:f>
        <x:v>1 : 0.9</x:v>
      </x:c>
      <x:c r="M187" s="66" t="str">
        <x:f>IF(J187="","Baru/Tanpa Data",IF(J187&lt;='Catatan &amp; Sumber'!$B$14,"Sangat Ketat",IF(J187&lt;='Catatan &amp; Sumber'!$B$15,"Ketat",IF(J187&lt;='Catatan &amp; Sumber'!$B$16,"Sedang","Relatif Longgar"))))</x:f>
        <x:v>Relatif Longgar</x:v>
      </x:c>
      <x:c r="N187" s="66" t="str">
        <x:v>Tari</x:v>
      </x:c>
      <x:c r="O187" s="66" t="str">
        <x:v>Aceh</x:v>
      </x:c>
      <x:c r="P187" s="66" t="str">
        <x:v>Kabupaten Aceh Besar</x:v>
      </x:c>
      <x:c r="Q187" s="66" t="str">
        <x:v>https://snpmb.id/snbp/daya-tampung-snbp</x:v>
      </x:c>
      <x:c r="R187" s="66" t="str">
        <x:v>https://sidatagrun-public-1076756628210.asia-southeast2.run.app/ptn_sn.php?ptn=115</x:v>
      </x:c>
    </x:row>
    <x:row r="188">
      <x:c r="A188" s="87" t="n">
        <x:v>4759</x:v>
      </x:c>
      <x:c r="B188" s="87" t="n">
        <x:v>115</x:v>
      </x:c>
      <x:c r="C188" s="66" t="str">
        <x:v>ISBI ACEH</x:v>
      </x:c>
      <x:c r="D188" s="66" t="str">
        <x:v>PTN Akademik</x:v>
      </x:c>
      <x:c r="E188" s="66" t="str">
        <x:v>11151003</x:v>
      </x:c>
      <x:c r="F188" s="66" t="str">
        <x:v>SENI TEATER</x:v>
      </x:c>
      <x:c r="G188" s="66" t="str">
        <x:v>Sarjana</x:v>
      </x:c>
      <x:c r="H188" s="87" t="n">
        <x:v>15</x:v>
      </x:c>
      <x:c r="I188" s="87" t="n">
        <x:v>5</x:v>
      </x:c>
      <x:c r="J188" s="68" t="n">
        <x:f>IFERROR(H188/I188,"")</x:f>
        <x:v>3</x:v>
      </x:c>
      <x:c r="K188" s="69" t="n">
        <x:f>IFERROR(I188/H188,"")</x:f>
        <x:v>0.3333333333333333</x:v>
      </x:c>
      <x:c r="L188" s="66" t="str">
        <x:f>IF(K188="","","1 : "&amp;TEXT(K188,"0.0"))</x:f>
        <x:v>1 : 0.3</x:v>
      </x:c>
      <x:c r="M188" s="66" t="str">
        <x:f>IF(J188="","Baru/Tanpa Data",IF(J188&lt;='Catatan &amp; Sumber'!$B$14,"Sangat Ketat",IF(J188&lt;='Catatan &amp; Sumber'!$B$15,"Ketat",IF(J188&lt;='Catatan &amp; Sumber'!$B$16,"Sedang","Relatif Longgar"))))</x:f>
        <x:v>Relatif Longgar</x:v>
      </x:c>
      <x:c r="N188" s="66" t="str">
        <x:v>Teater</x:v>
      </x:c>
      <x:c r="O188" s="66" t="str">
        <x:v>Aceh</x:v>
      </x:c>
      <x:c r="P188" s="66" t="str">
        <x:v>Kabupaten Aceh Besar</x:v>
      </x:c>
      <x:c r="Q188" s="66" t="str">
        <x:v>https://snpmb.id/snbp/daya-tampung-snbp</x:v>
      </x:c>
      <x:c r="R188" s="66" t="str">
        <x:v>https://sidatagrun-public-1076756628210.asia-southeast2.run.app/ptn_sn.php?ptn=115</x:v>
      </x:c>
    </x:row>
    <x:row r="189">
      <x:c r="A189" s="87" t="n">
        <x:v>4532</x:v>
      </x:c>
      <x:c r="B189" s="87" t="n">
        <x:v>115</x:v>
      </x:c>
      <x:c r="C189" s="66" t="str">
        <x:v>ISBI ACEH</x:v>
      </x:c>
      <x:c r="D189" s="66" t="str">
        <x:v>PTN Akademik</x:v>
      </x:c>
      <x:c r="E189" s="66" t="str">
        <x:v>11151004</x:v>
      </x:c>
      <x:c r="F189" s="66" t="str">
        <x:v>SENI RUPA MURNI</x:v>
      </x:c>
      <x:c r="G189" s="66" t="str">
        <x:v>Sarjana</x:v>
      </x:c>
      <x:c r="H189" s="87" t="n">
        <x:v>20</x:v>
      </x:c>
      <x:c r="I189" s="87" t="n">
        <x:v>14</x:v>
      </x:c>
      <x:c r="J189" s="68" t="n">
        <x:f>IFERROR(H189/I189,"")</x:f>
        <x:v>1.4285714285714286</x:v>
      </x:c>
      <x:c r="K189" s="69" t="n">
        <x:f>IFERROR(I189/H189,"")</x:f>
        <x:v>0.7</x:v>
      </x:c>
      <x:c r="L189" s="66" t="str">
        <x:f>IF(K189="","","1 : "&amp;TEXT(K189,"0.0"))</x:f>
        <x:v>1 : 0.7</x:v>
      </x:c>
      <x:c r="M189" s="66" t="str">
        <x:f>IF(J189="","Baru/Tanpa Data",IF(J189&lt;='Catatan &amp; Sumber'!$B$14,"Sangat Ketat",IF(J189&lt;='Catatan &amp; Sumber'!$B$15,"Ketat",IF(J189&lt;='Catatan &amp; Sumber'!$B$16,"Sedang","Relatif Longgar"))))</x:f>
        <x:v>Relatif Longgar</x:v>
      </x:c>
      <x:c r="N189" s="66" t="str">
        <x:v>Seni Rupa, Desain, dan Kriya</x:v>
      </x:c>
      <x:c r="O189" s="66" t="str">
        <x:v>Aceh</x:v>
      </x:c>
      <x:c r="P189" s="66" t="str">
        <x:v>Kabupaten Aceh Besar</x:v>
      </x:c>
      <x:c r="Q189" s="66" t="str">
        <x:v>https://snpmb.id/snbp/daya-tampung-snbp</x:v>
      </x:c>
      <x:c r="R189" s="66" t="str">
        <x:v>https://sidatagrun-public-1076756628210.asia-southeast2.run.app/ptn_sn.php?ptn=115</x:v>
      </x:c>
    </x:row>
    <x:row r="190">
      <x:c r="A190" s="87" t="n">
        <x:v>4724</x:v>
      </x:c>
      <x:c r="B190" s="87" t="n">
        <x:v>115</x:v>
      </x:c>
      <x:c r="C190" s="66" t="str">
        <x:v>ISBI ACEH</x:v>
      </x:c>
      <x:c r="D190" s="66" t="str">
        <x:v>PTN Akademik</x:v>
      </x:c>
      <x:c r="E190" s="66" t="str">
        <x:v>11151005</x:v>
      </x:c>
      <x:c r="F190" s="66" t="str">
        <x:v>KRIYA SENI</x:v>
      </x:c>
      <x:c r="G190" s="66" t="str">
        <x:v>Sarjana</x:v>
      </x:c>
      <x:c r="H190" s="87" t="n">
        <x:v>20</x:v>
      </x:c>
      <x:c r="I190" s="87" t="n">
        <x:v>8</x:v>
      </x:c>
      <x:c r="J190" s="68" t="n">
        <x:f>IFERROR(H190/I190,"")</x:f>
        <x:v>2.5</x:v>
      </x:c>
      <x:c r="K190" s="69" t="n">
        <x:f>IFERROR(I190/H190,"")</x:f>
        <x:v>0.4</x:v>
      </x:c>
      <x:c r="L190" s="66" t="str">
        <x:f>IF(K190="","","1 : "&amp;TEXT(K190,"0.0"))</x:f>
        <x:v>1 : 0.4</x:v>
      </x:c>
      <x:c r="M190" s="66" t="str">
        <x:f>IF(J190="","Baru/Tanpa Data",IF(J190&lt;='Catatan &amp; Sumber'!$B$14,"Sangat Ketat",IF(J190&lt;='Catatan &amp; Sumber'!$B$15,"Ketat",IF(J190&lt;='Catatan &amp; Sumber'!$B$16,"Sedang","Relatif Longgar"))))</x:f>
        <x:v>Relatif Longgar</x:v>
      </x:c>
      <x:c r="N190" s="66" t="str">
        <x:v>Seni Rupa, Desain, dan Kriya</x:v>
      </x:c>
      <x:c r="O190" s="66" t="str">
        <x:v>Aceh</x:v>
      </x:c>
      <x:c r="P190" s="66" t="str">
        <x:v>Kabupaten Aceh Besar</x:v>
      </x:c>
      <x:c r="Q190" s="66" t="str">
        <x:v>https://snpmb.id/snbp/daya-tampung-snbp</x:v>
      </x:c>
      <x:c r="R190" s="66" t="str">
        <x:v>https://sidatagrun-public-1076756628210.asia-southeast2.run.app/ptn_sn.php?ptn=115</x:v>
      </x:c>
    </x:row>
    <x:row r="191">
      <x:c r="A191" s="87" t="n">
        <x:v>4584</x:v>
      </x:c>
      <x:c r="B191" s="87" t="n">
        <x:v>115</x:v>
      </x:c>
      <x:c r="C191" s="66" t="str">
        <x:v>ISBI ACEH</x:v>
      </x:c>
      <x:c r="D191" s="66" t="str">
        <x:v>PTN Akademik</x:v>
      </x:c>
      <x:c r="E191" s="66" t="str">
        <x:v>11151006</x:v>
      </x:c>
      <x:c r="F191" s="66" t="str">
        <x:v>DESAIN KOMUNIKASI VISUAL</x:v>
      </x:c>
      <x:c r="G191" s="66" t="str">
        <x:v>Sarjana</x:v>
      </x:c>
      <x:c r="H191" s="87" t="n">
        <x:v>40</x:v>
      </x:c>
      <x:c r="I191" s="87" t="n">
        <x:v>25</x:v>
      </x:c>
      <x:c r="J191" s="68" t="n">
        <x:f>IFERROR(H191/I191,"")</x:f>
        <x:v>1.6</x:v>
      </x:c>
      <x:c r="K191" s="69" t="n">
        <x:f>IFERROR(I191/H191,"")</x:f>
        <x:v>0.625</x:v>
      </x:c>
      <x:c r="L191" s="66" t="str">
        <x:f>IF(K191="","","1 : "&amp;TEXT(K191,"0.0"))</x:f>
        <x:v>1 : 0.6</x:v>
      </x:c>
      <x:c r="M191" s="66" t="str">
        <x:f>IF(J191="","Baru/Tanpa Data",IF(J191&lt;='Catatan &amp; Sumber'!$B$14,"Sangat Ketat",IF(J191&lt;='Catatan &amp; Sumber'!$B$15,"Ketat",IF(J191&lt;='Catatan &amp; Sumber'!$B$16,"Sedang","Relatif Longgar"))))</x:f>
        <x:v>Relatif Longgar</x:v>
      </x:c>
      <x:c r="N191" s="66" t="str">
        <x:v>Seni Rupa, Desain, dan Kriya</x:v>
      </x:c>
      <x:c r="O191" s="66" t="str">
        <x:v>Aceh</x:v>
      </x:c>
      <x:c r="P191" s="66" t="str">
        <x:v>Kabupaten Aceh Besar</x:v>
      </x:c>
      <x:c r="Q191" s="66" t="str">
        <x:v>https://snpmb.id/snbp/daya-tampung-snbp</x:v>
      </x:c>
      <x:c r="R191" s="66" t="str">
        <x:v>https://sidatagrun-public-1076756628210.asia-southeast2.run.app/ptn_sn.php?ptn=115</x:v>
      </x:c>
    </x:row>
    <x:row r="192">
      <x:c r="A192" s="87" t="n">
        <x:v>4545</x:v>
      </x:c>
      <x:c r="B192" s="87" t="n">
        <x:v>115</x:v>
      </x:c>
      <x:c r="C192" s="66" t="str">
        <x:v>ISBI ACEH</x:v>
      </x:c>
      <x:c r="D192" s="66" t="str">
        <x:v>PTN Akademik</x:v>
      </x:c>
      <x:c r="E192" s="66" t="str">
        <x:v>11151007</x:v>
      </x:c>
      <x:c r="F192" s="66" t="str">
        <x:v>KAJIAN SASTRA BUDAYA</x:v>
      </x:c>
      <x:c r="G192" s="66" t="str">
        <x:v>Sarjana</x:v>
      </x:c>
      <x:c r="H192" s="87" t="n">
        <x:v>15</x:v>
      </x:c>
      <x:c r="I192" s="87" t="n">
        <x:v>10</x:v>
      </x:c>
      <x:c r="J192" s="68" t="n">
        <x:f>IFERROR(H192/I192,"")</x:f>
        <x:v>1.5</x:v>
      </x:c>
      <x:c r="K192" s="69" t="n">
        <x:f>IFERROR(I192/H192,"")</x:f>
        <x:v>0.6666666666666666</x:v>
      </x:c>
      <x:c r="L192" s="66" t="str">
        <x:f>IF(K192="","","1 : "&amp;TEXT(K192,"0.0"))</x:f>
        <x:v>1 : 0.7</x:v>
      </x:c>
      <x:c r="M192" s="66" t="str">
        <x:f>IF(J192="","Baru/Tanpa Data",IF(J192&lt;='Catatan &amp; Sumber'!$B$14,"Sangat Ketat",IF(J192&lt;='Catatan &amp; Sumber'!$B$15,"Ketat",IF(J192&lt;='Catatan &amp; Sumber'!$B$16,"Sedang","Relatif Longgar"))))</x:f>
        <x:v>Relatif Longgar</x:v>
      </x:c>
      <x:c r="N192" s="66" t="str">
        <x:v>Tidak Ada</x:v>
      </x:c>
      <x:c r="O192" s="66" t="str">
        <x:v>Aceh</x:v>
      </x:c>
      <x:c r="P192" s="66" t="str">
        <x:v>Kabupaten Aceh Besar</x:v>
      </x:c>
      <x:c r="Q192" s="66" t="str">
        <x:v>https://snpmb.id/snbp/daya-tampung-snbp</x:v>
      </x:c>
      <x:c r="R192" s="66" t="str">
        <x:v>https://sidatagrun-public-1076756628210.asia-southeast2.run.app/ptn_sn.php?ptn=115</x:v>
      </x:c>
    </x:row>
    <x:row r="193">
      <x:c r="A193" s="87" t="n">
        <x:v>4759</x:v>
      </x:c>
      <x:c r="B193" s="87" t="n">
        <x:v>115</x:v>
      </x:c>
      <x:c r="C193" s="66" t="str">
        <x:v>ISBI ACEH</x:v>
      </x:c>
      <x:c r="D193" s="66" t="str">
        <x:v>PTN Akademik</x:v>
      </x:c>
      <x:c r="E193" s="66" t="str">
        <x:v>11151008</x:v>
      </x:c>
      <x:c r="F193" s="66" t="str">
        <x:v>BAHASA ACEH</x:v>
      </x:c>
      <x:c r="G193" s="66" t="str">
        <x:v>Sarjana</x:v>
      </x:c>
      <x:c r="H193" s="87" t="n">
        <x:v>15</x:v>
      </x:c>
      <x:c r="I193" s="87" t="n">
        <x:v>5</x:v>
      </x:c>
      <x:c r="J193" s="68" t="n">
        <x:f>IFERROR(H193/I193,"")</x:f>
        <x:v>3</x:v>
      </x:c>
      <x:c r="K193" s="69" t="n">
        <x:f>IFERROR(I193/H193,"")</x:f>
        <x:v>0.3333333333333333</x:v>
      </x:c>
      <x:c r="L193" s="66" t="str">
        <x:f>IF(K193="","","1 : "&amp;TEXT(K193,"0.0"))</x:f>
        <x:v>1 : 0.3</x:v>
      </x:c>
      <x:c r="M193" s="66" t="str">
        <x:f>IF(J193="","Baru/Tanpa Data",IF(J193&lt;='Catatan &amp; Sumber'!$B$14,"Sangat Ketat",IF(J193&lt;='Catatan &amp; Sumber'!$B$15,"Ketat",IF(J193&lt;='Catatan &amp; Sumber'!$B$16,"Sedang","Relatif Longgar"))))</x:f>
        <x:v>Relatif Longgar</x:v>
      </x:c>
      <x:c r="N193" s="66" t="str">
        <x:v>Tidak Ada</x:v>
      </x:c>
      <x:c r="O193" s="66" t="str">
        <x:v>Aceh</x:v>
      </x:c>
      <x:c r="P193" s="66" t="str">
        <x:v>Kabupaten Aceh Besar</x:v>
      </x:c>
      <x:c r="Q193" s="66" t="str">
        <x:v>https://snpmb.id/snbp/daya-tampung-snbp</x:v>
      </x:c>
      <x:c r="R193" s="66" t="str">
        <x:v>https://sidatagrun-public-1076756628210.asia-southeast2.run.app/ptn_sn.php?ptn=115</x:v>
      </x:c>
    </x:row>
    <x:row r="194">
      <x:c r="A194" s="87" t="n">
        <x:v>4841</x:v>
      </x:c>
      <x:c r="B194" s="87" t="n">
        <x:v>115</x:v>
      </x:c>
      <x:c r="C194" s="66" t="str">
        <x:v>ISBI ACEH</x:v>
      </x:c>
      <x:c r="D194" s="66" t="str">
        <x:v>PTN Akademik</x:v>
      </x:c>
      <x:c r="E194" s="66" t="str">
        <x:v>11151009</x:v>
      </x:c>
      <x:c r="F194" s="66" t="str">
        <x:v>DESAIN INTERIOR</x:v>
      </x:c>
      <x:c r="G194" s="66" t="str">
        <x:v>Sarjana</x:v>
      </x:c>
      <x:c r="H194" s="87" t="n">
        <x:v>20</x:v>
      </x:c>
      <x:c r="I194" s="87" t="n">
        <x:v>4</x:v>
      </x:c>
      <x:c r="J194" s="68" t="n">
        <x:f>IFERROR(H194/I194,"")</x:f>
        <x:v>5</x:v>
      </x:c>
      <x:c r="K194" s="69" t="n">
        <x:f>IFERROR(I194/H194,"")</x:f>
        <x:v>0.2</x:v>
      </x:c>
      <x:c r="L194" s="66" t="str">
        <x:f>IF(K194="","","1 : "&amp;TEXT(K194,"0.0"))</x:f>
        <x:v>1 : 0.2</x:v>
      </x:c>
      <x:c r="M194" s="66" t="str">
        <x:f>IF(J194="","Baru/Tanpa Data",IF(J194&lt;='Catatan &amp; Sumber'!$B$14,"Sangat Ketat",IF(J194&lt;='Catatan &amp; Sumber'!$B$15,"Ketat",IF(J194&lt;='Catatan &amp; Sumber'!$B$16,"Sedang","Relatif Longgar"))))</x:f>
        <x:v>Relatif Longgar</x:v>
      </x:c>
      <x:c r="N194" s="66" t="str">
        <x:v>Seni Rupa, Desain, dan Kriya</x:v>
      </x:c>
      <x:c r="O194" s="66" t="str">
        <x:v>Aceh</x:v>
      </x:c>
      <x:c r="P194" s="66" t="str">
        <x:v>Kabupaten Aceh Besar</x:v>
      </x:c>
      <x:c r="Q194" s="66" t="str">
        <x:v>https://snpmb.id/snbp/daya-tampung-snbp</x:v>
      </x:c>
      <x:c r="R194" s="66" t="str">
        <x:v>https://sidatagrun-public-1076756628210.asia-southeast2.run.app/ptn_sn.php?ptn=115</x:v>
      </x:c>
    </x:row>
    <x:row r="195">
      <x:c r="A195" s="87"/>
      <x:c r="B195" s="87" t="n">
        <x:v>115</x:v>
      </x:c>
      <x:c r="C195" s="66" t="str">
        <x:v>ISBI ACEH</x:v>
      </x:c>
      <x:c r="D195" s="66" t="str">
        <x:v>PTN Akademik</x:v>
      </x:c>
      <x:c r="E195" s="66" t="str">
        <x:v>11151010</x:v>
      </x:c>
      <x:c r="F195" s="66" t="str">
        <x:v>BAHASA MANDARIN</x:v>
      </x:c>
      <x:c r="G195" s="66" t="str">
        <x:v>Sarjana</x:v>
      </x:c>
      <x:c r="H195" s="87" t="n">
        <x:v>20</x:v>
      </x:c>
      <x:c r="I195" s="87"/>
      <x:c r="J195" s="68" t="str">
        <x:f>IFERROR(H195/I195,"")</x:f>
      </x:c>
      <x:c r="K195" s="69" t="n">
        <x:f>IFERROR(I195/H195,"")</x:f>
        <x:v>0</x:v>
      </x:c>
      <x:c r="L195" s="66" t="str">
        <x:f>IF(K195="","","1 : "&amp;TEXT(K195,"0.0"))</x:f>
      </x:c>
      <x:c r="M195" s="66" t="str">
        <x:f>IF(J195="","Baru/Tanpa Data",IF(J195&lt;='Catatan &amp; Sumber'!$B$14,"Sangat Ketat",IF(J195&lt;='Catatan &amp; Sumber'!$B$15,"Ketat",IF(J195&lt;='Catatan &amp; Sumber'!$B$16,"Sedang","Relatif Longgar"))))</x:f>
        <x:v>Baru/Tanpa Data</x:v>
      </x:c>
      <x:c r="N195" s="66" t="str">
        <x:v>Tidak Ada</x:v>
      </x:c>
      <x:c r="O195" s="66" t="str">
        <x:v>Aceh</x:v>
      </x:c>
      <x:c r="P195" s="66" t="str">
        <x:v>Kabupaten Aceh Besar</x:v>
      </x:c>
      <x:c r="Q195" s="66" t="str">
        <x:v>https://snpmb.id/snbp/daya-tampung-snbp</x:v>
      </x:c>
      <x:c r="R195" s="66" t="str">
        <x:v>https://sidatagrun-public-1076756628210.asia-southeast2.run.app/ptn_sn.php?ptn=115</x:v>
      </x:c>
    </x:row>
    <x:row r="196">
      <x:c r="A196" s="87"/>
      <x:c r="B196" s="87" t="n">
        <x:v>115</x:v>
      </x:c>
      <x:c r="C196" s="66" t="str">
        <x:v>ISBI ACEH</x:v>
      </x:c>
      <x:c r="D196" s="66" t="str">
        <x:v>PTN Akademik</x:v>
      </x:c>
      <x:c r="E196" s="66" t="str">
        <x:v>11151011</x:v>
      </x:c>
      <x:c r="F196" s="66" t="str">
        <x:v>SEJARAH</x:v>
      </x:c>
      <x:c r="G196" s="66" t="str">
        <x:v>Sarjana</x:v>
      </x:c>
      <x:c r="H196" s="87" t="n">
        <x:v>20</x:v>
      </x:c>
      <x:c r="I196" s="87"/>
      <x:c r="J196" s="68" t="str">
        <x:f>IFERROR(H196/I196,"")</x:f>
      </x:c>
      <x:c r="K196" s="69" t="n">
        <x:f>IFERROR(I196/H196,"")</x:f>
        <x:v>0</x:v>
      </x:c>
      <x:c r="L196" s="66" t="str">
        <x:f>IF(K196="","","1 : "&amp;TEXT(K196,"0.0"))</x:f>
      </x:c>
      <x:c r="M196" s="66" t="str">
        <x:f>IF(J196="","Baru/Tanpa Data",IF(J196&lt;='Catatan &amp; Sumber'!$B$14,"Sangat Ketat",IF(J196&lt;='Catatan &amp; Sumber'!$B$15,"Ketat",IF(J196&lt;='Catatan &amp; Sumber'!$B$16,"Sedang","Relatif Longgar"))))</x:f>
        <x:v>Baru/Tanpa Data</x:v>
      </x:c>
      <x:c r="N196" s="66" t="str">
        <x:v>Tidak Ada</x:v>
      </x:c>
      <x:c r="O196" s="66" t="str">
        <x:v>Aceh</x:v>
      </x:c>
      <x:c r="P196" s="66" t="str">
        <x:v>Kabupaten Aceh Besar</x:v>
      </x:c>
      <x:c r="Q196" s="66" t="str">
        <x:v>https://snpmb.id/snbp/daya-tampung-snbp</x:v>
      </x:c>
      <x:c r="R196" s="66" t="str">
        <x:v>https://sidatagrun-public-1076756628210.asia-southeast2.run.app/ptn_sn.php?ptn=115</x:v>
      </x:c>
    </x:row>
    <x:row r="197">
      <x:c r="A197" s="87" t="n">
        <x:v>4429</x:v>
      </x:c>
      <x:c r="B197" s="87" t="n">
        <x:v>116</x:v>
      </x:c>
      <x:c r="C197" s="66" t="str">
        <x:v>UIN AR-RANIRY</x:v>
      </x:c>
      <x:c r="D197" s="66" t="str">
        <x:v>PTKIN</x:v>
      </x:c>
      <x:c r="E197" s="66" t="str">
        <x:v>11161001</x:v>
      </x:c>
      <x:c r="F197" s="66" t="str">
        <x:v>PENDIDIKAN TEKNIK ELEKTRO</x:v>
      </x:c>
      <x:c r="G197" s="66" t="str">
        <x:v>Sarjana</x:v>
      </x:c>
      <x:c r="H197" s="87" t="n">
        <x:v>20</x:v>
      </x:c>
      <x:c r="I197" s="87" t="n">
        <x:v>17</x:v>
      </x:c>
      <x:c r="J197" s="68" t="n">
        <x:f>IFERROR(H197/I197,"")</x:f>
        <x:v>1.1764705882352942</x:v>
      </x:c>
      <x:c r="K197" s="69" t="n">
        <x:f>IFERROR(I197/H197,"")</x:f>
        <x:v>0.85</x:v>
      </x:c>
      <x:c r="L197" s="66" t="str">
        <x:f>IF(K197="","","1 : "&amp;TEXT(K197,"0.0"))</x:f>
        <x:v>1 : 0.9</x:v>
      </x:c>
      <x:c r="M197" s="66" t="str">
        <x:f>IF(J197="","Baru/Tanpa Data",IF(J197&lt;='Catatan &amp; Sumber'!$B$14,"Sangat Ketat",IF(J197&lt;='Catatan &amp; Sumber'!$B$15,"Ketat",IF(J197&lt;='Catatan &amp; Sumber'!$B$16,"Sedang","Relatif Longgar"))))</x:f>
        <x:v>Relatif Longgar</x:v>
      </x:c>
      <x:c r="N197" s="66" t="str">
        <x:v>Tidak Ada</x:v>
      </x:c>
      <x:c r="O197" s="66" t="str">
        <x:v>Aceh</x:v>
      </x:c>
      <x:c r="P197" s="66" t="str">
        <x:v>Kota Banda Aceh</x:v>
      </x:c>
      <x:c r="Q197" s="66" t="str">
        <x:v>https://snpmb.id/snbp/daya-tampung-snbp</x:v>
      </x:c>
      <x:c r="R197" s="66" t="str">
        <x:v>https://sidatagrun-public-1076756628210.asia-southeast2.run.app/ptn_sn.php?ptn=116</x:v>
      </x:c>
    </x:row>
    <x:row r="198">
      <x:c r="A198" s="87" t="n">
        <x:v>3958</x:v>
      </x:c>
      <x:c r="B198" s="87" t="n">
        <x:v>116</x:v>
      </x:c>
      <x:c r="C198" s="66" t="str">
        <x:v>UIN AR-RANIRY</x:v>
      </x:c>
      <x:c r="D198" s="66" t="str">
        <x:v>PTKIN</x:v>
      </x:c>
      <x:c r="E198" s="66" t="str">
        <x:v>11161002</x:v>
      </x:c>
      <x:c r="F198" s="66" t="str">
        <x:v>PENDIDIKAN TEKNOLOGI INFORMASI</x:v>
      </x:c>
      <x:c r="G198" s="66" t="str">
        <x:v>Sarjana</x:v>
      </x:c>
      <x:c r="H198" s="87" t="n">
        <x:v>60</x:v>
      </x:c>
      <x:c r="I198" s="87" t="n">
        <x:v>90</x:v>
      </x:c>
      <x:c r="J198" s="68" t="n">
        <x:f>IFERROR(H198/I198,"")</x:f>
        <x:v>0.6666666666666666</x:v>
      </x:c>
      <x:c r="K198" s="69" t="n">
        <x:f>IFERROR(I198/H198,"")</x:f>
        <x:v>1.5</x:v>
      </x:c>
      <x:c r="L198" s="66" t="str">
        <x:f>IF(K198="","","1 : "&amp;TEXT(K198,"0.0"))</x:f>
        <x:v>1 : 1.5</x:v>
      </x:c>
      <x:c r="M198" s="66" t="str">
        <x:f>IF(J198="","Baru/Tanpa Data",IF(J198&lt;='Catatan &amp; Sumber'!$B$14,"Sangat Ketat",IF(J198&lt;='Catatan &amp; Sumber'!$B$15,"Ketat",IF(J198&lt;='Catatan &amp; Sumber'!$B$16,"Sedang","Relatif Longgar"))))</x:f>
        <x:v>Relatif Longgar</x:v>
      </x:c>
      <x:c r="N198" s="66" t="str">
        <x:v>Tidak Ada</x:v>
      </x:c>
      <x:c r="O198" s="66" t="str">
        <x:v>Aceh</x:v>
      </x:c>
      <x:c r="P198" s="66" t="str">
        <x:v>Kota Banda Aceh</x:v>
      </x:c>
      <x:c r="Q198" s="66" t="str">
        <x:v>https://snpmb.id/snbp/daya-tampung-snbp</x:v>
      </x:c>
      <x:c r="R198" s="66" t="str">
        <x:v>https://sidatagrun-public-1076756628210.asia-southeast2.run.app/ptn_sn.php?ptn=116</x:v>
      </x:c>
    </x:row>
    <x:row r="199">
      <x:c r="A199" s="87" t="n">
        <x:v>4005</x:v>
      </x:c>
      <x:c r="B199" s="87" t="n">
        <x:v>116</x:v>
      </x:c>
      <x:c r="C199" s="66" t="str">
        <x:v>UIN AR-RANIRY</x:v>
      </x:c>
      <x:c r="D199" s="66" t="str">
        <x:v>PTKIN</x:v>
      </x:c>
      <x:c r="E199" s="66" t="str">
        <x:v>11161003</x:v>
      </x:c>
      <x:c r="F199" s="66" t="str">
        <x:v>ARSITEKTUR</x:v>
      </x:c>
      <x:c r="G199" s="66" t="str">
        <x:v>Sarjana</x:v>
      </x:c>
      <x:c r="H199" s="87" t="n">
        <x:v>40</x:v>
      </x:c>
      <x:c r="I199" s="87" t="n">
        <x:v>58</x:v>
      </x:c>
      <x:c r="J199" s="68" t="n">
        <x:f>IFERROR(H199/I199,"")</x:f>
        <x:v>0.6896551724137931</x:v>
      </x:c>
      <x:c r="K199" s="69" t="n">
        <x:f>IFERROR(I199/H199,"")</x:f>
        <x:v>1.45</x:v>
      </x:c>
      <x:c r="L199" s="66" t="str">
        <x:f>IF(K199="","","1 : "&amp;TEXT(K199,"0.0"))</x:f>
        <x:v>1 : 1.5</x:v>
      </x:c>
      <x:c r="M199" s="66" t="str">
        <x:f>IF(J199="","Baru/Tanpa Data",IF(J199&lt;='Catatan &amp; Sumber'!$B$14,"Sangat Ketat",IF(J199&lt;='Catatan &amp; Sumber'!$B$15,"Ketat",IF(J199&lt;='Catatan &amp; Sumber'!$B$16,"Sedang","Relatif Longgar"))))</x:f>
        <x:v>Relatif Longgar</x:v>
      </x:c>
      <x:c r="N199" s="66" t="str">
        <x:v>Tidak Ada</x:v>
      </x:c>
      <x:c r="O199" s="66" t="str">
        <x:v>Aceh</x:v>
      </x:c>
      <x:c r="P199" s="66" t="str">
        <x:v>Kota Banda Aceh</x:v>
      </x:c>
      <x:c r="Q199" s="66" t="str">
        <x:v>https://snpmb.id/snbp/daya-tampung-snbp</x:v>
      </x:c>
      <x:c r="R199" s="66" t="str">
        <x:v>https://sidatagrun-public-1076756628210.asia-southeast2.run.app/ptn_sn.php?ptn=116</x:v>
      </x:c>
    </x:row>
    <x:row r="200">
      <x:c r="A200" s="87" t="n">
        <x:v>4025</x:v>
      </x:c>
      <x:c r="B200" s="87" t="n">
        <x:v>116</x:v>
      </x:c>
      <x:c r="C200" s="66" t="str">
        <x:v>UIN AR-RANIRY</x:v>
      </x:c>
      <x:c r="D200" s="66" t="str">
        <x:v>PTKIN</x:v>
      </x:c>
      <x:c r="E200" s="66" t="str">
        <x:v>11161004</x:v>
      </x:c>
      <x:c r="F200" s="66" t="str">
        <x:v>TEKNIK LINGKUNGAN</x:v>
      </x:c>
      <x:c r="G200" s="66" t="str">
        <x:v>Sarjana</x:v>
      </x:c>
      <x:c r="H200" s="87" t="n">
        <x:v>40</x:v>
      </x:c>
      <x:c r="I200" s="87" t="n">
        <x:v>57</x:v>
      </x:c>
      <x:c r="J200" s="68" t="n">
        <x:f>IFERROR(H200/I200,"")</x:f>
        <x:v>0.7017543859649122</x:v>
      </x:c>
      <x:c r="K200" s="69" t="n">
        <x:f>IFERROR(I200/H200,"")</x:f>
        <x:v>1.425</x:v>
      </x:c>
      <x:c r="L200" s="66" t="str">
        <x:f>IF(K200="","","1 : "&amp;TEXT(K200,"0.0"))</x:f>
        <x:v>1 : 1.4</x:v>
      </x:c>
      <x:c r="M200" s="66" t="str">
        <x:f>IF(J200="","Baru/Tanpa Data",IF(J200&lt;='Catatan &amp; Sumber'!$B$14,"Sangat Ketat",IF(J200&lt;='Catatan &amp; Sumber'!$B$15,"Ketat",IF(J200&lt;='Catatan &amp; Sumber'!$B$16,"Sedang","Relatif Longgar"))))</x:f>
        <x:v>Relatif Longgar</x:v>
      </x:c>
      <x:c r="N200" s="66" t="str">
        <x:v>Tidak Ada</x:v>
      </x:c>
      <x:c r="O200" s="66" t="str">
        <x:v>Aceh</x:v>
      </x:c>
      <x:c r="P200" s="66" t="str">
        <x:v>Kota Banda Aceh</x:v>
      </x:c>
      <x:c r="Q200" s="66" t="str">
        <x:v>https://snpmb.id/snbp/daya-tampung-snbp</x:v>
      </x:c>
      <x:c r="R200" s="66" t="str">
        <x:v>https://sidatagrun-public-1076756628210.asia-southeast2.run.app/ptn_sn.php?ptn=116</x:v>
      </x:c>
    </x:row>
    <x:row r="201">
      <x:c r="A201" s="87" t="n">
        <x:v>3560</x:v>
      </x:c>
      <x:c r="B201" s="87" t="n">
        <x:v>116</x:v>
      </x:c>
      <x:c r="C201" s="66" t="str">
        <x:v>UIN AR-RANIRY</x:v>
      </x:c>
      <x:c r="D201" s="66" t="str">
        <x:v>PTKIN</x:v>
      </x:c>
      <x:c r="E201" s="66" t="str">
        <x:v>11161005</x:v>
      </x:c>
      <x:c r="F201" s="66" t="str">
        <x:v>BIOLOGI</x:v>
      </x:c>
      <x:c r="G201" s="66" t="str">
        <x:v>Sarjana</x:v>
      </x:c>
      <x:c r="H201" s="87" t="n">
        <x:v>10</x:v>
      </x:c>
      <x:c r="I201" s="87" t="n">
        <x:v>22</x:v>
      </x:c>
      <x:c r="J201" s="68" t="n">
        <x:f>IFERROR(H201/I201,"")</x:f>
        <x:v>0.45454545454545453</x:v>
      </x:c>
      <x:c r="K201" s="69" t="n">
        <x:f>IFERROR(I201/H201,"")</x:f>
        <x:v>2.2</x:v>
      </x:c>
      <x:c r="L201" s="66" t="str">
        <x:f>IF(K201="","","1 : "&amp;TEXT(K201,"0.0"))</x:f>
        <x:v>1 : 2.2</x:v>
      </x:c>
      <x:c r="M201" s="66" t="str">
        <x:f>IF(J201="","Baru/Tanpa Data",IF(J201&lt;='Catatan &amp; Sumber'!$B$14,"Sangat Ketat",IF(J201&lt;='Catatan &amp; Sumber'!$B$15,"Ketat",IF(J201&lt;='Catatan &amp; Sumber'!$B$16,"Sedang","Relatif Longgar"))))</x:f>
        <x:v>Relatif Longgar</x:v>
      </x:c>
      <x:c r="N201" s="66" t="str">
        <x:v>Tidak Ada</x:v>
      </x:c>
      <x:c r="O201" s="66" t="str">
        <x:v>Aceh</x:v>
      </x:c>
      <x:c r="P201" s="66" t="str">
        <x:v>Kota Banda Aceh</x:v>
      </x:c>
      <x:c r="Q201" s="66" t="str">
        <x:v>https://snpmb.id/snbp/daya-tampung-snbp</x:v>
      </x:c>
      <x:c r="R201" s="66" t="str">
        <x:v>https://sidatagrun-public-1076756628210.asia-southeast2.run.app/ptn_sn.php?ptn=116</x:v>
      </x:c>
    </x:row>
    <x:row r="202">
      <x:c r="A202" s="87" t="n">
        <x:v>4305</x:v>
      </x:c>
      <x:c r="B202" s="87" t="n">
        <x:v>116</x:v>
      </x:c>
      <x:c r="C202" s="66" t="str">
        <x:v>UIN AR-RANIRY</x:v>
      </x:c>
      <x:c r="D202" s="66" t="str">
        <x:v>PTKIN</x:v>
      </x:c>
      <x:c r="E202" s="66" t="str">
        <x:v>11161006</x:v>
      </x:c>
      <x:c r="F202" s="66" t="str">
        <x:v>KIMIA</x:v>
      </x:c>
      <x:c r="G202" s="66" t="str">
        <x:v>Sarjana</x:v>
      </x:c>
      <x:c r="H202" s="87" t="n">
        <x:v>10</x:v>
      </x:c>
      <x:c r="I202" s="87" t="n">
        <x:v>10</x:v>
      </x:c>
      <x:c r="J202" s="68" t="n">
        <x:f>IFERROR(H202/I202,"")</x:f>
        <x:v>1</x:v>
      </x:c>
      <x:c r="K202" s="69" t="n">
        <x:f>IFERROR(I202/H202,"")</x:f>
        <x:v>1</x:v>
      </x:c>
      <x:c r="L202" s="66" t="str">
        <x:f>IF(K202="","","1 : "&amp;TEXT(K202,"0.0"))</x:f>
        <x:v>1 : 1.0</x:v>
      </x:c>
      <x:c r="M202" s="66" t="str">
        <x:f>IF(J202="","Baru/Tanpa Data",IF(J202&lt;='Catatan &amp; Sumber'!$B$14,"Sangat Ketat",IF(J202&lt;='Catatan &amp; Sumber'!$B$15,"Ketat",IF(J202&lt;='Catatan &amp; Sumber'!$B$16,"Sedang","Relatif Longgar"))))</x:f>
        <x:v>Relatif Longgar</x:v>
      </x:c>
      <x:c r="N202" s="66" t="str">
        <x:v>Tidak Ada</x:v>
      </x:c>
      <x:c r="O202" s="66" t="str">
        <x:v>Aceh</x:v>
      </x:c>
      <x:c r="P202" s="66" t="str">
        <x:v>Kota Banda Aceh</x:v>
      </x:c>
      <x:c r="Q202" s="66" t="str">
        <x:v>https://snpmb.id/snbp/daya-tampung-snbp</x:v>
      </x:c>
      <x:c r="R202" s="66" t="str">
        <x:v>https://sidatagrun-public-1076756628210.asia-southeast2.run.app/ptn_sn.php?ptn=116</x:v>
      </x:c>
    </x:row>
    <x:row r="203">
      <x:c r="A203" s="87" t="n">
        <x:v>3490</x:v>
      </x:c>
      <x:c r="B203" s="87" t="n">
        <x:v>116</x:v>
      </x:c>
      <x:c r="C203" s="66" t="str">
        <x:v>UIN AR-RANIRY</x:v>
      </x:c>
      <x:c r="D203" s="66" t="str">
        <x:v>PTKIN</x:v>
      </x:c>
      <x:c r="E203" s="66" t="str">
        <x:v>11161007</x:v>
      </x:c>
      <x:c r="F203" s="66" t="str">
        <x:v>TEKNOLOGI INFORMASI</x:v>
      </x:c>
      <x:c r="G203" s="66" t="str">
        <x:v>Sarjana</x:v>
      </x:c>
      <x:c r="H203" s="87" t="n">
        <x:v>80</x:v>
      </x:c>
      <x:c r="I203" s="87" t="n">
        <x:v>186</x:v>
      </x:c>
      <x:c r="J203" s="68" t="n">
        <x:f>IFERROR(H203/I203,"")</x:f>
        <x:v>0.43010752688172044</x:v>
      </x:c>
      <x:c r="K203" s="69" t="n">
        <x:f>IFERROR(I203/H203,"")</x:f>
        <x:v>2.325</x:v>
      </x:c>
      <x:c r="L203" s="66" t="str">
        <x:f>IF(K203="","","1 : "&amp;TEXT(K203,"0.0"))</x:f>
        <x:v>1 : 2.3</x:v>
      </x:c>
      <x:c r="M203" s="66" t="str">
        <x:f>IF(J203="","Baru/Tanpa Data",IF(J203&lt;='Catatan &amp; Sumber'!$B$14,"Sangat Ketat",IF(J203&lt;='Catatan &amp; Sumber'!$B$15,"Ketat",IF(J203&lt;='Catatan &amp; Sumber'!$B$16,"Sedang","Relatif Longgar"))))</x:f>
        <x:v>Relatif Longgar</x:v>
      </x:c>
      <x:c r="N203" s="66" t="str">
        <x:v>Tidak Ada</x:v>
      </x:c>
      <x:c r="O203" s="66" t="str">
        <x:v>Aceh</x:v>
      </x:c>
      <x:c r="P203" s="66" t="str">
        <x:v>Kota Banda Aceh</x:v>
      </x:c>
      <x:c r="Q203" s="66" t="str">
        <x:v>https://snpmb.id/snbp/daya-tampung-snbp</x:v>
      </x:c>
      <x:c r="R203" s="66" t="str">
        <x:v>https://sidatagrun-public-1076756628210.asia-southeast2.run.app/ptn_sn.php?ptn=116</x:v>
      </x:c>
    </x:row>
    <x:row r="204">
      <x:c r="A204" s="87" t="n">
        <x:v>3937</x:v>
      </x:c>
      <x:c r="B204" s="87" t="n">
        <x:v>116</x:v>
      </x:c>
      <x:c r="C204" s="66" t="str">
        <x:v>UIN AR-RANIRY</x:v>
      </x:c>
      <x:c r="D204" s="66" t="str">
        <x:v>PTKIN</x:v>
      </x:c>
      <x:c r="E204" s="66" t="str">
        <x:v>11161008</x:v>
      </x:c>
      <x:c r="F204" s="66" t="str">
        <x:v>ILMU HUKUM</x:v>
      </x:c>
      <x:c r="G204" s="66" t="str">
        <x:v>Sarjana</x:v>
      </x:c>
      <x:c r="H204" s="87" t="n">
        <x:v>98</x:v>
      </x:c>
      <x:c r="I204" s="87" t="n">
        <x:v>152</x:v>
      </x:c>
      <x:c r="J204" s="68" t="n">
        <x:f>IFERROR(H204/I204,"")</x:f>
        <x:v>0.6447368421052632</x:v>
      </x:c>
      <x:c r="K204" s="69" t="n">
        <x:f>IFERROR(I204/H204,"")</x:f>
        <x:v>1.5510204081632653</x:v>
      </x:c>
      <x:c r="L204" s="66" t="str">
        <x:f>IF(K204="","","1 : "&amp;TEXT(K204,"0.0"))</x:f>
        <x:v>1 : 1.6</x:v>
      </x:c>
      <x:c r="M204" s="66" t="str">
        <x:f>IF(J204="","Baru/Tanpa Data",IF(J204&lt;='Catatan &amp; Sumber'!$B$14,"Sangat Ketat",IF(J204&lt;='Catatan &amp; Sumber'!$B$15,"Ketat",IF(J204&lt;='Catatan &amp; Sumber'!$B$16,"Sedang","Relatif Longgar"))))</x:f>
        <x:v>Relatif Longgar</x:v>
      </x:c>
      <x:c r="N204" s="66" t="str">
        <x:v>Tidak Ada</x:v>
      </x:c>
      <x:c r="O204" s="66" t="str">
        <x:v>Aceh</x:v>
      </x:c>
      <x:c r="P204" s="66" t="str">
        <x:v>Kota Banda Aceh</x:v>
      </x:c>
      <x:c r="Q204" s="66" t="str">
        <x:v>https://snpmb.id/snbp/daya-tampung-snbp</x:v>
      </x:c>
      <x:c r="R204" s="66" t="str">
        <x:v>https://sidatagrun-public-1076756628210.asia-southeast2.run.app/ptn_sn.php?ptn=116</x:v>
      </x:c>
    </x:row>
    <x:row r="205">
      <x:c r="A205" s="87" t="n">
        <x:v>2732</x:v>
      </x:c>
      <x:c r="B205" s="87" t="n">
        <x:v>116</x:v>
      </x:c>
      <x:c r="C205" s="66" t="str">
        <x:v>UIN AR-RANIRY</x:v>
      </x:c>
      <x:c r="D205" s="66" t="str">
        <x:v>PTKIN</x:v>
      </x:c>
      <x:c r="E205" s="66" t="str">
        <x:v>11161009</x:v>
      </x:c>
      <x:c r="F205" s="66" t="str">
        <x:v>BIMBINGAN KONSELING</x:v>
      </x:c>
      <x:c r="G205" s="66" t="str">
        <x:v>Sarjana</x:v>
      </x:c>
      <x:c r="H205" s="87" t="n">
        <x:v>70</x:v>
      </x:c>
      <x:c r="I205" s="87" t="n">
        <x:v>281</x:v>
      </x:c>
      <x:c r="J205" s="68" t="n">
        <x:f>IFERROR(H205/I205,"")</x:f>
        <x:v>0.2491103202846975</x:v>
      </x:c>
      <x:c r="K205" s="69" t="n">
        <x:f>IFERROR(I205/H205,"")</x:f>
        <x:v>4.014285714285714</x:v>
      </x:c>
      <x:c r="L205" s="66" t="str">
        <x:f>IF(K205="","","1 : "&amp;TEXT(K205,"0.0"))</x:f>
        <x:v>1 : 4.0</x:v>
      </x:c>
      <x:c r="M205" s="66" t="str">
        <x:f>IF(J205="","Baru/Tanpa Data",IF(J205&lt;='Catatan &amp; Sumber'!$B$14,"Sangat Ketat",IF(J205&lt;='Catatan &amp; Sumber'!$B$15,"Ketat",IF(J205&lt;='Catatan &amp; Sumber'!$B$16,"Sedang","Relatif Longgar"))))</x:f>
        <x:v>Relatif Longgar</x:v>
      </x:c>
      <x:c r="N205" s="66" t="str">
        <x:v>Tidak Ada</x:v>
      </x:c>
      <x:c r="O205" s="66" t="str">
        <x:v>Aceh</x:v>
      </x:c>
      <x:c r="P205" s="66" t="str">
        <x:v>Kota Banda Aceh</x:v>
      </x:c>
      <x:c r="Q205" s="66" t="str">
        <x:v>https://snpmb.id/snbp/daya-tampung-snbp</x:v>
      </x:c>
      <x:c r="R205" s="66" t="str">
        <x:v>https://sidatagrun-public-1076756628210.asia-southeast2.run.app/ptn_sn.php?ptn=116</x:v>
      </x:c>
    </x:row>
    <x:row r="206">
      <x:c r="A206" s="87" t="n">
        <x:v>3097</x:v>
      </x:c>
      <x:c r="B206" s="87" t="n">
        <x:v>116</x:v>
      </x:c>
      <x:c r="C206" s="66" t="str">
        <x:v>UIN AR-RANIRY</x:v>
      </x:c>
      <x:c r="D206" s="66" t="str">
        <x:v>PTKIN</x:v>
      </x:c>
      <x:c r="E206" s="66" t="str">
        <x:v>11161010</x:v>
      </x:c>
      <x:c r="F206" s="66" t="str">
        <x:v>ILMU PERPUSTAKAAN</x:v>
      </x:c>
      <x:c r="G206" s="66" t="str">
        <x:v>Sarjana</x:v>
      </x:c>
      <x:c r="H206" s="87" t="n">
        <x:v>42</x:v>
      </x:c>
      <x:c r="I206" s="87" t="n">
        <x:v>133</x:v>
      </x:c>
      <x:c r="J206" s="68" t="n">
        <x:f>IFERROR(H206/I206,"")</x:f>
        <x:v>0.3157894736842105</x:v>
      </x:c>
      <x:c r="K206" s="69" t="n">
        <x:f>IFERROR(I206/H206,"")</x:f>
        <x:v>3.1666666666666665</x:v>
      </x:c>
      <x:c r="L206" s="66" t="str">
        <x:f>IF(K206="","","1 : "&amp;TEXT(K206,"0.0"))</x:f>
        <x:v>1 : 3.2</x:v>
      </x:c>
      <x:c r="M206" s="66" t="str">
        <x:f>IF(J206="","Baru/Tanpa Data",IF(J206&lt;='Catatan &amp; Sumber'!$B$14,"Sangat Ketat",IF(J206&lt;='Catatan &amp; Sumber'!$B$15,"Ketat",IF(J206&lt;='Catatan &amp; Sumber'!$B$16,"Sedang","Relatif Longgar"))))</x:f>
        <x:v>Relatif Longgar</x:v>
      </x:c>
      <x:c r="N206" s="66" t="str">
        <x:v>Tidak Ada</x:v>
      </x:c>
      <x:c r="O206" s="66" t="str">
        <x:v>Aceh</x:v>
      </x:c>
      <x:c r="P206" s="66" t="str">
        <x:v>Kota Banda Aceh</x:v>
      </x:c>
      <x:c r="Q206" s="66" t="str">
        <x:v>https://snpmb.id/snbp/daya-tampung-snbp</x:v>
      </x:c>
      <x:c r="R206" s="66" t="str">
        <x:v>https://sidatagrun-public-1076756628210.asia-southeast2.run.app/ptn_sn.php?ptn=116</x:v>
      </x:c>
    </x:row>
    <x:row r="207">
      <x:c r="A207" s="87" t="n">
        <x:v>3884</x:v>
      </x:c>
      <x:c r="B207" s="87" t="n">
        <x:v>116</x:v>
      </x:c>
      <x:c r="C207" s="66" t="str">
        <x:v>UIN AR-RANIRY</x:v>
      </x:c>
      <x:c r="D207" s="66" t="str">
        <x:v>PTKIN</x:v>
      </x:c>
      <x:c r="E207" s="66" t="str">
        <x:v>11161013</x:v>
      </x:c>
      <x:c r="F207" s="66" t="str">
        <x:v>ILMU EKONOMI</x:v>
      </x:c>
      <x:c r="G207" s="66" t="str">
        <x:v>Sarjana</x:v>
      </x:c>
      <x:c r="H207" s="87" t="n">
        <x:v>70</x:v>
      </x:c>
      <x:c r="I207" s="87" t="n">
        <x:v>114</x:v>
      </x:c>
      <x:c r="J207" s="68" t="n">
        <x:f>IFERROR(H207/I207,"")</x:f>
        <x:v>0.6140350877192983</x:v>
      </x:c>
      <x:c r="K207" s="69" t="n">
        <x:f>IFERROR(I207/H207,"")</x:f>
        <x:v>1.6285714285714286</x:v>
      </x:c>
      <x:c r="L207" s="66" t="str">
        <x:f>IF(K207="","","1 : "&amp;TEXT(K207,"0.0"))</x:f>
        <x:v>1 : 1.6</x:v>
      </x:c>
      <x:c r="M207" s="66" t="str">
        <x:f>IF(J207="","Baru/Tanpa Data",IF(J207&lt;='Catatan &amp; Sumber'!$B$14,"Sangat Ketat",IF(J207&lt;='Catatan &amp; Sumber'!$B$15,"Ketat",IF(J207&lt;='Catatan &amp; Sumber'!$B$16,"Sedang","Relatif Longgar"))))</x:f>
        <x:v>Relatif Longgar</x:v>
      </x:c>
      <x:c r="N207" s="66" t="str">
        <x:v>Tidak Ada</x:v>
      </x:c>
      <x:c r="O207" s="66" t="str">
        <x:v>Aceh</x:v>
      </x:c>
      <x:c r="P207" s="66" t="str">
        <x:v>Kota Banda Aceh</x:v>
      </x:c>
      <x:c r="Q207" s="66" t="str">
        <x:v>https://snpmb.id/snbp/daya-tampung-snbp</x:v>
      </x:c>
      <x:c r="R207" s="66" t="str">
        <x:v>https://sidatagrun-public-1076756628210.asia-southeast2.run.app/ptn_sn.php?ptn=116</x:v>
      </x:c>
    </x:row>
    <x:row r="208">
      <x:c r="A208" s="87" t="n">
        <x:v>3920</x:v>
      </x:c>
      <x:c r="B208" s="87" t="n">
        <x:v>116</x:v>
      </x:c>
      <x:c r="C208" s="66" t="str">
        <x:v>UIN AR-RANIRY</x:v>
      </x:c>
      <x:c r="D208" s="66" t="str">
        <x:v>PTKIN</x:v>
      </x:c>
      <x:c r="E208" s="66" t="str">
        <x:v>11161014</x:v>
      </x:c>
      <x:c r="F208" s="66" t="str">
        <x:v>ILMU POLITIK</x:v>
      </x:c>
      <x:c r="G208" s="66" t="str">
        <x:v>Sarjana</x:v>
      </x:c>
      <x:c r="H208" s="87" t="n">
        <x:v>14</x:v>
      </x:c>
      <x:c r="I208" s="87" t="n">
        <x:v>22</x:v>
      </x:c>
      <x:c r="J208" s="68" t="n">
        <x:f>IFERROR(H208/I208,"")</x:f>
        <x:v>0.6363636363636364</x:v>
      </x:c>
      <x:c r="K208" s="69" t="n">
        <x:f>IFERROR(I208/H208,"")</x:f>
        <x:v>1.5714285714285714</x:v>
      </x:c>
      <x:c r="L208" s="66" t="str">
        <x:f>IF(K208="","","1 : "&amp;TEXT(K208,"0.0"))</x:f>
        <x:v>1 : 1.6</x:v>
      </x:c>
      <x:c r="M208" s="66" t="str">
        <x:f>IF(J208="","Baru/Tanpa Data",IF(J208&lt;='Catatan &amp; Sumber'!$B$14,"Sangat Ketat",IF(J208&lt;='Catatan &amp; Sumber'!$B$15,"Ketat",IF(J208&lt;='Catatan &amp; Sumber'!$B$16,"Sedang","Relatif Longgar"))))</x:f>
        <x:v>Relatif Longgar</x:v>
      </x:c>
      <x:c r="N208" s="66" t="str">
        <x:v>Tidak Ada</x:v>
      </x:c>
      <x:c r="O208" s="66" t="str">
        <x:v>Aceh</x:v>
      </x:c>
      <x:c r="P208" s="66" t="str">
        <x:v>Kota Banda Aceh</x:v>
      </x:c>
      <x:c r="Q208" s="66" t="str">
        <x:v>https://snpmb.id/snbp/daya-tampung-snbp</x:v>
      </x:c>
      <x:c r="R208" s="66" t="str">
        <x:v>https://sidatagrun-public-1076756628210.asia-southeast2.run.app/ptn_sn.php?ptn=116</x:v>
      </x:c>
    </x:row>
    <x:row r="209">
      <x:c r="A209" s="87" t="n">
        <x:v>3869</x:v>
      </x:c>
      <x:c r="B209" s="87" t="n">
        <x:v>116</x:v>
      </x:c>
      <x:c r="C209" s="66" t="str">
        <x:v>UIN AR-RANIRY</x:v>
      </x:c>
      <x:c r="D209" s="66" t="str">
        <x:v>PTKIN</x:v>
      </x:c>
      <x:c r="E209" s="66" t="str">
        <x:v>11161015</x:v>
      </x:c>
      <x:c r="F209" s="66" t="str">
        <x:v>ILMU ADMINISTRASI NEGARA</x:v>
      </x:c>
      <x:c r="G209" s="66" t="str">
        <x:v>Sarjana</x:v>
      </x:c>
      <x:c r="H209" s="87" t="n">
        <x:v>70</x:v>
      </x:c>
      <x:c r="I209" s="87" t="n">
        <x:v>115</x:v>
      </x:c>
      <x:c r="J209" s="68" t="n">
        <x:f>IFERROR(H209/I209,"")</x:f>
        <x:v>0.6086956521739131</x:v>
      </x:c>
      <x:c r="K209" s="69" t="n">
        <x:f>IFERROR(I209/H209,"")</x:f>
        <x:v>1.6428571428571428</x:v>
      </x:c>
      <x:c r="L209" s="66" t="str">
        <x:f>IF(K209="","","1 : "&amp;TEXT(K209,"0.0"))</x:f>
        <x:v>1 : 1.6</x:v>
      </x:c>
      <x:c r="M209" s="66" t="str">
        <x:f>IF(J209="","Baru/Tanpa Data",IF(J209&lt;='Catatan &amp; Sumber'!$B$14,"Sangat Ketat",IF(J209&lt;='Catatan &amp; Sumber'!$B$15,"Ketat",IF(J209&lt;='Catatan &amp; Sumber'!$B$16,"Sedang","Relatif Longgar"))))</x:f>
        <x:v>Relatif Longgar</x:v>
      </x:c>
      <x:c r="N209" s="66" t="str">
        <x:v>Tidak Ada</x:v>
      </x:c>
      <x:c r="O209" s="66" t="str">
        <x:v>Aceh</x:v>
      </x:c>
      <x:c r="P209" s="66" t="str">
        <x:v>Kota Banda Aceh</x:v>
      </x:c>
      <x:c r="Q209" s="66" t="str">
        <x:v>https://snpmb.id/snbp/daya-tampung-snbp</x:v>
      </x:c>
      <x:c r="R209" s="66" t="str">
        <x:v>https://sidatagrun-public-1076756628210.asia-southeast2.run.app/ptn_sn.php?ptn=116</x:v>
      </x:c>
    </x:row>
    <x:row r="210">
      <x:c r="A210" s="87" t="n">
        <x:v>3210</x:v>
      </x:c>
      <x:c r="B210" s="87" t="n">
        <x:v>116</x:v>
      </x:c>
      <x:c r="C210" s="66" t="str">
        <x:v>UIN AR-RANIRY</x:v>
      </x:c>
      <x:c r="D210" s="66" t="str">
        <x:v>PTKIN</x:v>
      </x:c>
      <x:c r="E210" s="66" t="str">
        <x:v>11161016</x:v>
      </x:c>
      <x:c r="F210" s="66" t="str">
        <x:v>PSIKOLOGI</x:v>
      </x:c>
      <x:c r="G210" s="66" t="str">
        <x:v>Sarjana</x:v>
      </x:c>
      <x:c r="H210" s="87" t="n">
        <x:v>80</x:v>
      </x:c>
      <x:c r="I210" s="87" t="n">
        <x:v>232</x:v>
      </x:c>
      <x:c r="J210" s="68" t="n">
        <x:f>IFERROR(H210/I210,"")</x:f>
        <x:v>0.3448275862068966</x:v>
      </x:c>
      <x:c r="K210" s="69" t="n">
        <x:f>IFERROR(I210/H210,"")</x:f>
        <x:v>2.9</x:v>
      </x:c>
      <x:c r="L210" s="66" t="str">
        <x:f>IF(K210="","","1 : "&amp;TEXT(K210,"0.0"))</x:f>
        <x:v>1 : 2.9</x:v>
      </x:c>
      <x:c r="M210" s="66" t="str">
        <x:f>IF(J210="","Baru/Tanpa Data",IF(J210&lt;='Catatan &amp; Sumber'!$B$14,"Sangat Ketat",IF(J210&lt;='Catatan &amp; Sumber'!$B$15,"Ketat",IF(J210&lt;='Catatan &amp; Sumber'!$B$16,"Sedang","Relatif Longgar"))))</x:f>
        <x:v>Relatif Longgar</x:v>
      </x:c>
      <x:c r="N210" s="66" t="str">
        <x:v>Tidak Ada</x:v>
      </x:c>
      <x:c r="O210" s="66" t="str">
        <x:v>Aceh</x:v>
      </x:c>
      <x:c r="P210" s="66" t="str">
        <x:v>Kota Banda Aceh</x:v>
      </x:c>
      <x:c r="Q210" s="66" t="str">
        <x:v>https://snpmb.id/snbp/daya-tampung-snbp</x:v>
      </x:c>
      <x:c r="R210" s="66" t="str">
        <x:v>https://sidatagrun-public-1076756628210.asia-southeast2.run.app/ptn_sn.php?ptn=116</x:v>
      </x:c>
    </x:row>
    <x:row r="211">
      <x:c r="A211" s="87" t="n">
        <x:v>4238</x:v>
      </x:c>
      <x:c r="B211" s="87" t="n">
        <x:v>116</x:v>
      </x:c>
      <x:c r="C211" s="66" t="str">
        <x:v>UIN AR-RANIRY</x:v>
      </x:c>
      <x:c r="D211" s="66" t="str">
        <x:v>PTKIN</x:v>
      </x:c>
      <x:c r="E211" s="66" t="str">
        <x:v>11161017</x:v>
      </x:c>
      <x:c r="F211" s="66" t="str">
        <x:v>KESEJAHTERAAN SOSIAL</x:v>
      </x:c>
      <x:c r="G211" s="66" t="str">
        <x:v>Sarjana</x:v>
      </x:c>
      <x:c r="H211" s="87" t="n">
        <x:v>26</x:v>
      </x:c>
      <x:c r="I211" s="87" t="n">
        <x:v>29</x:v>
      </x:c>
      <x:c r="J211" s="68" t="n">
        <x:f>IFERROR(H211/I211,"")</x:f>
        <x:v>0.896551724137931</x:v>
      </x:c>
      <x:c r="K211" s="69" t="n">
        <x:f>IFERROR(I211/H211,"")</x:f>
        <x:v>1.1153846153846154</x:v>
      </x:c>
      <x:c r="L211" s="66" t="str">
        <x:f>IF(K211="","","1 : "&amp;TEXT(K211,"0.0"))</x:f>
        <x:v>1 : 1.1</x:v>
      </x:c>
      <x:c r="M211" s="66" t="str">
        <x:f>IF(J211="","Baru/Tanpa Data",IF(J211&lt;='Catatan &amp; Sumber'!$B$14,"Sangat Ketat",IF(J211&lt;='Catatan &amp; Sumber'!$B$15,"Ketat",IF(J211&lt;='Catatan &amp; Sumber'!$B$16,"Sedang","Relatif Longgar"))))</x:f>
        <x:v>Relatif Longgar</x:v>
      </x:c>
      <x:c r="N211" s="66" t="str">
        <x:v>Tidak Ada</x:v>
      </x:c>
      <x:c r="O211" s="66" t="str">
        <x:v>Aceh</x:v>
      </x:c>
      <x:c r="P211" s="66" t="str">
        <x:v>Kota Banda Aceh</x:v>
      </x:c>
      <x:c r="Q211" s="66" t="str">
        <x:v>https://snpmb.id/snbp/daya-tampung-snbp</x:v>
      </x:c>
      <x:c r="R211" s="66" t="str">
        <x:v>https://sidatagrun-public-1076756628210.asia-southeast2.run.app/ptn_sn.php?ptn=116</x:v>
      </x:c>
    </x:row>
    <x:row r="212">
      <x:c r="A212" s="87" t="n">
        <x:v>4841</x:v>
      </x:c>
      <x:c r="B212" s="87" t="n">
        <x:v>116</x:v>
      </x:c>
      <x:c r="C212" s="66" t="str">
        <x:v>UIN AR-RANIRY</x:v>
      </x:c>
      <x:c r="D212" s="66" t="str">
        <x:v>PTKIN</x:v>
      </x:c>
      <x:c r="E212" s="66" t="str">
        <x:v>11161018</x:v>
      </x:c>
      <x:c r="F212" s="66" t="str">
        <x:v>TEKNIK FISIKA</x:v>
      </x:c>
      <x:c r="G212" s="66" t="str">
        <x:v>Sarjana</x:v>
      </x:c>
      <x:c r="H212" s="87" t="n">
        <x:v>10</x:v>
      </x:c>
      <x:c r="I212" s="87" t="n">
        <x:v>2</x:v>
      </x:c>
      <x:c r="J212" s="68" t="n">
        <x:f>IFERROR(H212/I212,"")</x:f>
        <x:v>5</x:v>
      </x:c>
      <x:c r="K212" s="69" t="n">
        <x:f>IFERROR(I212/H212,"")</x:f>
        <x:v>0.2</x:v>
      </x:c>
      <x:c r="L212" s="66" t="str">
        <x:f>IF(K212="","","1 : "&amp;TEXT(K212,"0.0"))</x:f>
        <x:v>1 : 0.2</x:v>
      </x:c>
      <x:c r="M212" s="66" t="str">
        <x:f>IF(J212="","Baru/Tanpa Data",IF(J212&lt;='Catatan &amp; Sumber'!$B$14,"Sangat Ketat",IF(J212&lt;='Catatan &amp; Sumber'!$B$15,"Ketat",IF(J212&lt;='Catatan &amp; Sumber'!$B$16,"Sedang","Relatif Longgar"))))</x:f>
        <x:v>Relatif Longgar</x:v>
      </x:c>
      <x:c r="N212" s="66" t="str">
        <x:v>Tidak Ada</x:v>
      </x:c>
      <x:c r="O212" s="66" t="str">
        <x:v>Aceh</x:v>
      </x:c>
      <x:c r="P212" s="66" t="str">
        <x:v>Kota Banda Aceh</x:v>
      </x:c>
      <x:c r="Q212" s="66" t="str">
        <x:v>https://snpmb.id/snbp/daya-tampung-snbp</x:v>
      </x:c>
      <x:c r="R212" s="66" t="str">
        <x:v>https://sidatagrun-public-1076756628210.asia-southeast2.run.app/ptn_sn.php?ptn=116</x:v>
      </x:c>
    </x:row>
    <x:row r="213">
      <x:c r="A213" s="87" t="n">
        <x:v>326</x:v>
      </x:c>
      <x:c r="B213" s="87" t="n">
        <x:v>121</x:v>
      </x:c>
      <x:c r="C213" s="66" t="str">
        <x:v>UNIVERSITAS SUMATERA UTARA</x:v>
      </x:c>
      <x:c r="D213" s="66" t="str">
        <x:v>PTN Akademik</x:v>
      </x:c>
      <x:c r="E213" s="66" t="str">
        <x:v>11211001</x:v>
      </x:c>
      <x:c r="F213" s="66" t="str">
        <x:v>PENDIDIKAN DOKTER</x:v>
      </x:c>
      <x:c r="G213" s="66" t="str">
        <x:v>Sarjana</x:v>
      </x:c>
      <x:c r="H213" s="87" t="n">
        <x:v>55</x:v>
      </x:c>
      <x:c r="I213" s="87" t="n">
        <x:v>1263</x:v>
      </x:c>
      <x:c r="J213" s="68" t="n">
        <x:f>IFERROR(H213/I213,"")</x:f>
        <x:v>0.043547110055423596</x:v>
      </x:c>
      <x:c r="K213" s="69" t="n">
        <x:f>IFERROR(I213/H213,"")</x:f>
        <x:v>22.963636363636365</x:v>
      </x:c>
      <x:c r="L213" s="66" t="str">
        <x:f>IF(K213="","","1 : "&amp;TEXT(K213,"0.0"))</x:f>
        <x:v>1 : 23.0</x:v>
      </x:c>
      <x:c r="M213" s="66" t="str">
        <x:f>IF(J213="","Baru/Tanpa Data",IF(J213&lt;='Catatan &amp; Sumber'!$B$14,"Sangat Ketat",IF(J213&lt;='Catatan &amp; Sumber'!$B$15,"Ketat",IF(J213&lt;='Catatan &amp; Sumber'!$B$16,"Sedang","Relatif Longgar"))))</x:f>
        <x:v>Ketat</x:v>
      </x:c>
      <x:c r="N213" s="66" t="str">
        <x:v>Tidak Ada</x:v>
      </x:c>
      <x:c r="O213" s="66" t="str">
        <x:v>Sumatera Utara</x:v>
      </x:c>
      <x:c r="P213" s="66" t="str">
        <x:v>Kota Medan</x:v>
      </x:c>
      <x:c r="Q213" s="66" t="str">
        <x:v>https://snpmb.id/snbp/daya-tampung-snbp</x:v>
      </x:c>
      <x:c r="R213" s="66" t="str">
        <x:v>https://sidatagrun-public-1076756628210.asia-southeast2.run.app/ptn_sn.php?ptn=121</x:v>
      </x:c>
    </x:row>
    <x:row r="214">
      <x:c r="A214" s="87" t="n">
        <x:v>373</x:v>
      </x:c>
      <x:c r="B214" s="87" t="n">
        <x:v>121</x:v>
      </x:c>
      <x:c r="C214" s="66" t="str">
        <x:v>UNIVERSITAS SUMATERA UTARA</x:v>
      </x:c>
      <x:c r="D214" s="66" t="str">
        <x:v>PTN Akademik</x:v>
      </x:c>
      <x:c r="E214" s="66" t="str">
        <x:v>11211002</x:v>
      </x:c>
      <x:c r="F214" s="66" t="str">
        <x:v>TEKNIK SIPIL</x:v>
      </x:c>
      <x:c r="G214" s="66" t="str">
        <x:v>Sarjana</x:v>
      </x:c>
      <x:c r="H214" s="87" t="n">
        <x:v>38</x:v>
      </x:c>
      <x:c r="I214" s="87" t="n">
        <x:v>835</x:v>
      </x:c>
      <x:c r="J214" s="68" t="n">
        <x:f>IFERROR(H214/I214,"")</x:f>
        <x:v>0.045508982035928146</x:v>
      </x:c>
      <x:c r="K214" s="69" t="n">
        <x:f>IFERROR(I214/H214,"")</x:f>
        <x:v>21.973684210526315</x:v>
      </x:c>
      <x:c r="L214" s="66" t="str">
        <x:f>IF(K214="","","1 : "&amp;TEXT(K214,"0.0"))</x:f>
        <x:v>1 : 22.0</x:v>
      </x:c>
      <x:c r="M214" s="66" t="str">
        <x:f>IF(J214="","Baru/Tanpa Data",IF(J214&lt;='Catatan &amp; Sumber'!$B$14,"Sangat Ketat",IF(J214&lt;='Catatan &amp; Sumber'!$B$15,"Ketat",IF(J214&lt;='Catatan &amp; Sumber'!$B$16,"Sedang","Relatif Longgar"))))</x:f>
        <x:v>Ketat</x:v>
      </x:c>
      <x:c r="N214" s="66" t="str">
        <x:v>Tidak Ada</x:v>
      </x:c>
      <x:c r="O214" s="66" t="str">
        <x:v>Sumatera Utara</x:v>
      </x:c>
      <x:c r="P214" s="66" t="str">
        <x:v>Kota Medan</x:v>
      </x:c>
      <x:c r="Q214" s="66" t="str">
        <x:v>https://snpmb.id/snbp/daya-tampung-snbp</x:v>
      </x:c>
      <x:c r="R214" s="66" t="str">
        <x:v>https://sidatagrun-public-1076756628210.asia-southeast2.run.app/ptn_sn.php?ptn=121</x:v>
      </x:c>
    </x:row>
    <x:row r="215">
      <x:c r="A215" s="87" t="n">
        <x:v>454</x:v>
      </x:c>
      <x:c r="B215" s="87" t="n">
        <x:v>121</x:v>
      </x:c>
      <x:c r="C215" s="66" t="str">
        <x:v>UNIVERSITAS SUMATERA UTARA</x:v>
      </x:c>
      <x:c r="D215" s="66" t="str">
        <x:v>PTN Akademik</x:v>
      </x:c>
      <x:c r="E215" s="66" t="str">
        <x:v>11211003</x:v>
      </x:c>
      <x:c r="F215" s="66" t="str">
        <x:v>TEKNIK MESIN</x:v>
      </x:c>
      <x:c r="G215" s="66" t="str">
        <x:v>Sarjana</x:v>
      </x:c>
      <x:c r="H215" s="87" t="n">
        <x:v>38</x:v>
      </x:c>
      <x:c r="I215" s="87" t="n">
        <x:v>774</x:v>
      </x:c>
      <x:c r="J215" s="68" t="n">
        <x:f>IFERROR(H215/I215,"")</x:f>
        <x:v>0.04909560723514212</x:v>
      </x:c>
      <x:c r="K215" s="69" t="n">
        <x:f>IFERROR(I215/H215,"")</x:f>
        <x:v>20.36842105263158</x:v>
      </x:c>
      <x:c r="L215" s="66" t="str">
        <x:f>IF(K215="","","1 : "&amp;TEXT(K215,"0.0"))</x:f>
        <x:v>1 : 20.4</x:v>
      </x:c>
      <x:c r="M215" s="66" t="str">
        <x:f>IF(J215="","Baru/Tanpa Data",IF(J215&lt;='Catatan &amp; Sumber'!$B$14,"Sangat Ketat",IF(J215&lt;='Catatan &amp; Sumber'!$B$15,"Ketat",IF(J215&lt;='Catatan &amp; Sumber'!$B$16,"Sedang","Relatif Longgar"))))</x:f>
        <x:v>Ketat</x:v>
      </x:c>
      <x:c r="N215" s="66" t="str">
        <x:v>Tidak Ada</x:v>
      </x:c>
      <x:c r="O215" s="66" t="str">
        <x:v>Sumatera Utara</x:v>
      </x:c>
      <x:c r="P215" s="66" t="str">
        <x:v>Kota Medan</x:v>
      </x:c>
      <x:c r="Q215" s="66" t="str">
        <x:v>https://snpmb.id/snbp/daya-tampung-snbp</x:v>
      </x:c>
      <x:c r="R215" s="66" t="str">
        <x:v>https://sidatagrun-public-1076756628210.asia-southeast2.run.app/ptn_sn.php?ptn=121</x:v>
      </x:c>
    </x:row>
    <x:row r="216">
      <x:c r="A216" s="87" t="n">
        <x:v>565</x:v>
      </x:c>
      <x:c r="B216" s="87" t="n">
        <x:v>121</x:v>
      </x:c>
      <x:c r="C216" s="66" t="str">
        <x:v>UNIVERSITAS SUMATERA UTARA</x:v>
      </x:c>
      <x:c r="D216" s="66" t="str">
        <x:v>PTN Akademik</x:v>
      </x:c>
      <x:c r="E216" s="66" t="str">
        <x:v>11211004</x:v>
      </x:c>
      <x:c r="F216" s="66" t="str">
        <x:v>TEKNIK ELEKTRO</x:v>
      </x:c>
      <x:c r="G216" s="66" t="str">
        <x:v>Sarjana</x:v>
      </x:c>
      <x:c r="H216" s="87" t="n">
        <x:v>35</x:v>
      </x:c>
      <x:c r="I216" s="87" t="n">
        <x:v>636</x:v>
      </x:c>
      <x:c r="J216" s="68" t="n">
        <x:f>IFERROR(H216/I216,"")</x:f>
        <x:v>0.055031446540880505</x:v>
      </x:c>
      <x:c r="K216" s="69" t="n">
        <x:f>IFERROR(I216/H216,"")</x:f>
        <x:v>18.17142857142857</x:v>
      </x:c>
      <x:c r="L216" s="66" t="str">
        <x:f>IF(K216="","","1 : "&amp;TEXT(K216,"0.0"))</x:f>
        <x:v>1 : 18.2</x:v>
      </x:c>
      <x:c r="M216" s="66" t="str">
        <x:f>IF(J216="","Baru/Tanpa Data",IF(J216&lt;='Catatan &amp; Sumber'!$B$14,"Sangat Ketat",IF(J216&lt;='Catatan &amp; Sumber'!$B$15,"Ketat",IF(J216&lt;='Catatan &amp; Sumber'!$B$16,"Sedang","Relatif Longgar"))))</x:f>
        <x:v>Sedang</x:v>
      </x:c>
      <x:c r="N216" s="66" t="str">
        <x:v>Tidak Ada</x:v>
      </x:c>
      <x:c r="O216" s="66" t="str">
        <x:v>Sumatera Utara</x:v>
      </x:c>
      <x:c r="P216" s="66" t="str">
        <x:v>Kota Medan</x:v>
      </x:c>
      <x:c r="Q216" s="66" t="str">
        <x:v>https://snpmb.id/snbp/daya-tampung-snbp</x:v>
      </x:c>
      <x:c r="R216" s="66" t="str">
        <x:v>https://sidatagrun-public-1076756628210.asia-southeast2.run.app/ptn_sn.php?ptn=121</x:v>
      </x:c>
    </x:row>
    <x:row r="217">
      <x:c r="A217" s="87" t="n">
        <x:v>95</x:v>
      </x:c>
      <x:c r="B217" s="87" t="n">
        <x:v>121</x:v>
      </x:c>
      <x:c r="C217" s="66" t="str">
        <x:v>UNIVERSITAS SUMATERA UTARA</x:v>
      </x:c>
      <x:c r="D217" s="66" t="str">
        <x:v>PTN Akademik</x:v>
      </x:c>
      <x:c r="E217" s="66" t="str">
        <x:v>11211005</x:v>
      </x:c>
      <x:c r="F217" s="66" t="str">
        <x:v>TEKNIK INDUSTRI</x:v>
      </x:c>
      <x:c r="G217" s="66" t="str">
        <x:v>Sarjana</x:v>
      </x:c>
      <x:c r="H217" s="87" t="n">
        <x:v>40</x:v>
      </x:c>
      <x:c r="I217" s="87" t="n">
        <x:v>1410</x:v>
      </x:c>
      <x:c r="J217" s="68" t="n">
        <x:f>IFERROR(H217/I217,"")</x:f>
        <x:v>0.028368794326241134</x:v>
      </x:c>
      <x:c r="K217" s="69" t="n">
        <x:f>IFERROR(I217/H217,"")</x:f>
        <x:v>35.25</x:v>
      </x:c>
      <x:c r="L217" s="66" t="str">
        <x:f>IF(K217="","","1 : "&amp;TEXT(K217,"0.0"))</x:f>
        <x:v>1 : 35.3</x:v>
      </x:c>
      <x:c r="M217" s="66" t="str">
        <x:f>IF(J217="","Baru/Tanpa Data",IF(J217&lt;='Catatan &amp; Sumber'!$B$14,"Sangat Ketat",IF(J217&lt;='Catatan &amp; Sumber'!$B$15,"Ketat",IF(J217&lt;='Catatan &amp; Sumber'!$B$16,"Sedang","Relatif Longgar"))))</x:f>
        <x:v>Ketat</x:v>
      </x:c>
      <x:c r="N217" s="66" t="str">
        <x:v>Tidak Ada</x:v>
      </x:c>
      <x:c r="O217" s="66" t="str">
        <x:v>Sumatera Utara</x:v>
      </x:c>
      <x:c r="P217" s="66" t="str">
        <x:v>Kota Medan</x:v>
      </x:c>
      <x:c r="Q217" s="66" t="str">
        <x:v>https://snpmb.id/snbp/daya-tampung-snbp</x:v>
      </x:c>
      <x:c r="R217" s="66" t="str">
        <x:v>https://sidatagrun-public-1076756628210.asia-southeast2.run.app/ptn_sn.php?ptn=121</x:v>
      </x:c>
    </x:row>
    <x:row r="218">
      <x:c r="A218" s="87" t="n">
        <x:v>450</x:v>
      </x:c>
      <x:c r="B218" s="87" t="n">
        <x:v>121</x:v>
      </x:c>
      <x:c r="C218" s="66" t="str">
        <x:v>UNIVERSITAS SUMATERA UTARA</x:v>
      </x:c>
      <x:c r="D218" s="66" t="str">
        <x:v>PTN Akademik</x:v>
      </x:c>
      <x:c r="E218" s="66" t="str">
        <x:v>11211006</x:v>
      </x:c>
      <x:c r="F218" s="66" t="str">
        <x:v>TEKNIK KIMIA</x:v>
      </x:c>
      <x:c r="G218" s="66" t="str">
        <x:v>Sarjana</x:v>
      </x:c>
      <x:c r="H218" s="87" t="n">
        <x:v>30</x:v>
      </x:c>
      <x:c r="I218" s="87" t="n">
        <x:v>612</x:v>
      </x:c>
      <x:c r="J218" s="68" t="n">
        <x:f>IFERROR(H218/I218,"")</x:f>
        <x:v>0.049019607843137254</x:v>
      </x:c>
      <x:c r="K218" s="69" t="n">
        <x:f>IFERROR(I218/H218,"")</x:f>
        <x:v>20.4</x:v>
      </x:c>
      <x:c r="L218" s="66" t="str">
        <x:f>IF(K218="","","1 : "&amp;TEXT(K218,"0.0"))</x:f>
        <x:v>1 : 20.4</x:v>
      </x:c>
      <x:c r="M218" s="66" t="str">
        <x:f>IF(J218="","Baru/Tanpa Data",IF(J218&lt;='Catatan &amp; Sumber'!$B$14,"Sangat Ketat",IF(J218&lt;='Catatan &amp; Sumber'!$B$15,"Ketat",IF(J218&lt;='Catatan &amp; Sumber'!$B$16,"Sedang","Relatif Longgar"))))</x:f>
        <x:v>Ketat</x:v>
      </x:c>
      <x:c r="N218" s="66" t="str">
        <x:v>Tidak Ada</x:v>
      </x:c>
      <x:c r="O218" s="66" t="str">
        <x:v>Sumatera Utara</x:v>
      </x:c>
      <x:c r="P218" s="66" t="str">
        <x:v>Kota Medan</x:v>
      </x:c>
      <x:c r="Q218" s="66" t="str">
        <x:v>https://snpmb.id/snbp/daya-tampung-snbp</x:v>
      </x:c>
      <x:c r="R218" s="66" t="str">
        <x:v>https://sidatagrun-public-1076756628210.asia-southeast2.run.app/ptn_sn.php?ptn=121</x:v>
      </x:c>
    </x:row>
    <x:row r="219">
      <x:c r="A219" s="87" t="n">
        <x:v>273</x:v>
      </x:c>
      <x:c r="B219" s="87" t="n">
        <x:v>121</x:v>
      </x:c>
      <x:c r="C219" s="66" t="str">
        <x:v>UNIVERSITAS SUMATERA UTARA</x:v>
      </x:c>
      <x:c r="D219" s="66" t="str">
        <x:v>PTN Akademik</x:v>
      </x:c>
      <x:c r="E219" s="66" t="str">
        <x:v>11211007</x:v>
      </x:c>
      <x:c r="F219" s="66" t="str">
        <x:v>PENDIDIKAN DOKTER GIGI</x:v>
      </x:c>
      <x:c r="G219" s="66" t="str">
        <x:v>Sarjana</x:v>
      </x:c>
      <x:c r="H219" s="87" t="n">
        <x:v>33</x:v>
      </x:c>
      <x:c r="I219" s="87" t="n">
        <x:v>806</x:v>
      </x:c>
      <x:c r="J219" s="68" t="n">
        <x:f>IFERROR(H219/I219,"")</x:f>
        <x:v>0.04094292803970223</x:v>
      </x:c>
      <x:c r="K219" s="69" t="n">
        <x:f>IFERROR(I219/H219,"")</x:f>
        <x:v>24.424242424242426</x:v>
      </x:c>
      <x:c r="L219" s="66" t="str">
        <x:f>IF(K219="","","1 : "&amp;TEXT(K219,"0.0"))</x:f>
        <x:v>1 : 24.4</x:v>
      </x:c>
      <x:c r="M219" s="66" t="str">
        <x:f>IF(J219="","Baru/Tanpa Data",IF(J219&lt;='Catatan &amp; Sumber'!$B$14,"Sangat Ketat",IF(J219&lt;='Catatan &amp; Sumber'!$B$15,"Ketat",IF(J219&lt;='Catatan &amp; Sumber'!$B$16,"Sedang","Relatif Longgar"))))</x:f>
        <x:v>Ketat</x:v>
      </x:c>
      <x:c r="N219" s="66" t="str">
        <x:v>Tidak Ada</x:v>
      </x:c>
      <x:c r="O219" s="66" t="str">
        <x:v>Sumatera Utara</x:v>
      </x:c>
      <x:c r="P219" s="66" t="str">
        <x:v>Kota Medan</x:v>
      </x:c>
      <x:c r="Q219" s="66" t="str">
        <x:v>https://snpmb.id/snbp/daya-tampung-snbp</x:v>
      </x:c>
      <x:c r="R219" s="66" t="str">
        <x:v>https://sidatagrun-public-1076756628210.asia-southeast2.run.app/ptn_sn.php?ptn=121</x:v>
      </x:c>
    </x:row>
    <x:row r="220">
      <x:c r="A220" s="87" t="n">
        <x:v>1453</x:v>
      </x:c>
      <x:c r="B220" s="87" t="n">
        <x:v>121</x:v>
      </x:c>
      <x:c r="C220" s="66" t="str">
        <x:v>UNIVERSITAS SUMATERA UTARA</x:v>
      </x:c>
      <x:c r="D220" s="66" t="str">
        <x:v>PTN Akademik</x:v>
      </x:c>
      <x:c r="E220" s="66" t="str">
        <x:v>11211008</x:v>
      </x:c>
      <x:c r="F220" s="66" t="str">
        <x:v>MATEMATIKA</x:v>
      </x:c>
      <x:c r="G220" s="66" t="str">
        <x:v>Sarjana</x:v>
      </x:c>
      <x:c r="H220" s="87" t="n">
        <x:v>40</x:v>
      </x:c>
      <x:c r="I220" s="87" t="n">
        <x:v>377</x:v>
      </x:c>
      <x:c r="J220" s="68" t="n">
        <x:f>IFERROR(H220/I220,"")</x:f>
        <x:v>0.10610079575596817</x:v>
      </x:c>
      <x:c r="K220" s="69" t="n">
        <x:f>IFERROR(I220/H220,"")</x:f>
        <x:v>9.425</x:v>
      </x:c>
      <x:c r="L220" s="66" t="str">
        <x:f>IF(K220="","","1 : "&amp;TEXT(K220,"0.0"))</x:f>
        <x:v>1 : 9.4</x:v>
      </x:c>
      <x:c r="M220" s="66" t="str">
        <x:f>IF(J220="","Baru/Tanpa Data",IF(J220&lt;='Catatan &amp; Sumber'!$B$14,"Sangat Ketat",IF(J220&lt;='Catatan &amp; Sumber'!$B$15,"Ketat",IF(J220&lt;='Catatan &amp; Sumber'!$B$16,"Sedang","Relatif Longgar"))))</x:f>
        <x:v>Relatif Longgar</x:v>
      </x:c>
      <x:c r="N220" s="66" t="str">
        <x:v>Tidak Ada</x:v>
      </x:c>
      <x:c r="O220" s="66" t="str">
        <x:v>Sumatera Utara</x:v>
      </x:c>
      <x:c r="P220" s="66" t="str">
        <x:v>Kota Medan</x:v>
      </x:c>
      <x:c r="Q220" s="66" t="str">
        <x:v>https://snpmb.id/snbp/daya-tampung-snbp</x:v>
      </x:c>
      <x:c r="R220" s="66" t="str">
        <x:v>https://sidatagrun-public-1076756628210.asia-southeast2.run.app/ptn_sn.php?ptn=121</x:v>
      </x:c>
    </x:row>
    <x:row r="221">
      <x:c r="A221" s="87" t="n">
        <x:v>1798</x:v>
      </x:c>
      <x:c r="B221" s="87" t="n">
        <x:v>121</x:v>
      </x:c>
      <x:c r="C221" s="66" t="str">
        <x:v>UNIVERSITAS SUMATERA UTARA</x:v>
      </x:c>
      <x:c r="D221" s="66" t="str">
        <x:v>PTN Akademik</x:v>
      </x:c>
      <x:c r="E221" s="66" t="str">
        <x:v>11211009</x:v>
      </x:c>
      <x:c r="F221" s="66" t="str">
        <x:v>KIMIA</x:v>
      </x:c>
      <x:c r="G221" s="66" t="str">
        <x:v>Sarjana</x:v>
      </x:c>
      <x:c r="H221" s="87" t="n">
        <x:v>40</x:v>
      </x:c>
      <x:c r="I221" s="87" t="n">
        <x:v>302</x:v>
      </x:c>
      <x:c r="J221" s="68" t="n">
        <x:f>IFERROR(H221/I221,"")</x:f>
        <x:v>0.13245033112582782</x:v>
      </x:c>
      <x:c r="K221" s="69" t="n">
        <x:f>IFERROR(I221/H221,"")</x:f>
        <x:v>7.55</x:v>
      </x:c>
      <x:c r="L221" s="66" t="str">
        <x:f>IF(K221="","","1 : "&amp;TEXT(K221,"0.0"))</x:f>
        <x:v>1 : 7.6</x:v>
      </x:c>
      <x:c r="M221" s="66" t="str">
        <x:f>IF(J221="","Baru/Tanpa Data",IF(J221&lt;='Catatan &amp; Sumber'!$B$14,"Sangat Ketat",IF(J221&lt;='Catatan &amp; Sumber'!$B$15,"Ketat",IF(J221&lt;='Catatan &amp; Sumber'!$B$16,"Sedang","Relatif Longgar"))))</x:f>
        <x:v>Relatif Longgar</x:v>
      </x:c>
      <x:c r="N221" s="66" t="str">
        <x:v>Tidak Ada</x:v>
      </x:c>
      <x:c r="O221" s="66" t="str">
        <x:v>Sumatera Utara</x:v>
      </x:c>
      <x:c r="P221" s="66" t="str">
        <x:v>Kota Medan</x:v>
      </x:c>
      <x:c r="Q221" s="66" t="str">
        <x:v>https://snpmb.id/snbp/daya-tampung-snbp</x:v>
      </x:c>
      <x:c r="R221" s="66" t="str">
        <x:v>https://sidatagrun-public-1076756628210.asia-southeast2.run.app/ptn_sn.php?ptn=121</x:v>
      </x:c>
    </x:row>
    <x:row r="222">
      <x:c r="A222" s="87" t="n">
        <x:v>49</x:v>
      </x:c>
      <x:c r="B222" s="87" t="n">
        <x:v>121</x:v>
      </x:c>
      <x:c r="C222" s="66" t="str">
        <x:v>UNIVERSITAS SUMATERA UTARA</x:v>
      </x:c>
      <x:c r="D222" s="66" t="str">
        <x:v>PTN Akademik</x:v>
      </x:c>
      <x:c r="E222" s="66" t="str">
        <x:v>11211010</x:v>
      </x:c>
      <x:c r="F222" s="66" t="str">
        <x:v>FARMASI</x:v>
      </x:c>
      <x:c r="G222" s="66" t="str">
        <x:v>Sarjana</x:v>
      </x:c>
      <x:c r="H222" s="87" t="n">
        <x:v>40</x:v>
      </x:c>
      <x:c r="I222" s="87" t="n">
        <x:v>1753</x:v>
      </x:c>
      <x:c r="J222" s="68" t="n">
        <x:f>IFERROR(H222/I222,"")</x:f>
        <x:v>0.022818026240730177</x:v>
      </x:c>
      <x:c r="K222" s="69" t="n">
        <x:f>IFERROR(I222/H222,"")</x:f>
        <x:v>43.825</x:v>
      </x:c>
      <x:c r="L222" s="66" t="str">
        <x:f>IF(K222="","","1 : "&amp;TEXT(K222,"0.0"))</x:f>
        <x:v>1 : 43.8</x:v>
      </x:c>
      <x:c r="M222" s="66" t="str">
        <x:f>IF(J222="","Baru/Tanpa Data",IF(J222&lt;='Catatan &amp; Sumber'!$B$14,"Sangat Ketat",IF(J222&lt;='Catatan &amp; Sumber'!$B$15,"Ketat",IF(J222&lt;='Catatan &amp; Sumber'!$B$16,"Sedang","Relatif Longgar"))))</x:f>
        <x:v>Ketat</x:v>
      </x:c>
      <x:c r="N222" s="66" t="str">
        <x:v>Tidak Ada</x:v>
      </x:c>
      <x:c r="O222" s="66" t="str">
        <x:v>Sumatera Utara</x:v>
      </x:c>
      <x:c r="P222" s="66" t="str">
        <x:v>Kota Medan</x:v>
      </x:c>
      <x:c r="Q222" s="66" t="str">
        <x:v>https://snpmb.id/snbp/daya-tampung-snbp</x:v>
      </x:c>
      <x:c r="R222" s="66" t="str">
        <x:v>https://sidatagrun-public-1076756628210.asia-southeast2.run.app/ptn_sn.php?ptn=121</x:v>
      </x:c>
    </x:row>
    <x:row r="223">
      <x:c r="A223" s="87" t="n">
        <x:v>3066</x:v>
      </x:c>
      <x:c r="B223" s="87" t="n">
        <x:v>121</x:v>
      </x:c>
      <x:c r="C223" s="66" t="str">
        <x:v>UNIVERSITAS SUMATERA UTARA</x:v>
      </x:c>
      <x:c r="D223" s="66" t="str">
        <x:v>PTN Akademik</x:v>
      </x:c>
      <x:c r="E223" s="66" t="str">
        <x:v>11211011</x:v>
      </x:c>
      <x:c r="F223" s="66" t="str">
        <x:v>FISIKA</x:v>
      </x:c>
      <x:c r="G223" s="66" t="str">
        <x:v>Sarjana</x:v>
      </x:c>
      <x:c r="H223" s="87" t="n">
        <x:v>40</x:v>
      </x:c>
      <x:c r="I223" s="87" t="n">
        <x:v>130</x:v>
      </x:c>
      <x:c r="J223" s="68" t="n">
        <x:f>IFERROR(H223/I223,"")</x:f>
        <x:v>0.3076923076923077</x:v>
      </x:c>
      <x:c r="K223" s="69" t="n">
        <x:f>IFERROR(I223/H223,"")</x:f>
        <x:v>3.25</x:v>
      </x:c>
      <x:c r="L223" s="66" t="str">
        <x:f>IF(K223="","","1 : "&amp;TEXT(K223,"0.0"))</x:f>
        <x:v>1 : 3.3</x:v>
      </x:c>
      <x:c r="M223" s="66" t="str">
        <x:f>IF(J223="","Baru/Tanpa Data",IF(J223&lt;='Catatan &amp; Sumber'!$B$14,"Sangat Ketat",IF(J223&lt;='Catatan &amp; Sumber'!$B$15,"Ketat",IF(J223&lt;='Catatan &amp; Sumber'!$B$16,"Sedang","Relatif Longgar"))))</x:f>
        <x:v>Relatif Longgar</x:v>
      </x:c>
      <x:c r="N223" s="66" t="str">
        <x:v>Tidak Ada</x:v>
      </x:c>
      <x:c r="O223" s="66" t="str">
        <x:v>Sumatera Utara</x:v>
      </x:c>
      <x:c r="P223" s="66" t="str">
        <x:v>Kota Medan</x:v>
      </x:c>
      <x:c r="Q223" s="66" t="str">
        <x:v>https://snpmb.id/snbp/daya-tampung-snbp</x:v>
      </x:c>
      <x:c r="R223" s="66" t="str">
        <x:v>https://sidatagrun-public-1076756628210.asia-southeast2.run.app/ptn_sn.php?ptn=121</x:v>
      </x:c>
    </x:row>
    <x:row r="224">
      <x:c r="A224" s="87" t="n">
        <x:v>608</x:v>
      </x:c>
      <x:c r="B224" s="87" t="n">
        <x:v>121</x:v>
      </x:c>
      <x:c r="C224" s="66" t="str">
        <x:v>UNIVERSITAS SUMATERA UTARA</x:v>
      </x:c>
      <x:c r="D224" s="66" t="str">
        <x:v>PTN Akademik</x:v>
      </x:c>
      <x:c r="E224" s="66" t="str">
        <x:v>11211012</x:v>
      </x:c>
      <x:c r="F224" s="66" t="str">
        <x:v>ILMU KESEHATAN MASYARAKAT</x:v>
      </x:c>
      <x:c r="G224" s="66" t="str">
        <x:v>Sarjana</x:v>
      </x:c>
      <x:c r="H224" s="87" t="n">
        <x:v>88</x:v>
      </x:c>
      <x:c r="I224" s="87" t="n">
        <x:v>1520</x:v>
      </x:c>
      <x:c r="J224" s="68" t="n">
        <x:f>IFERROR(H224/I224,"")</x:f>
        <x:v>0.05789473684210526</x:v>
      </x:c>
      <x:c r="K224" s="69" t="n">
        <x:f>IFERROR(I224/H224,"")</x:f>
        <x:v>17.272727272727273</x:v>
      </x:c>
      <x:c r="L224" s="66" t="str">
        <x:f>IF(K224="","","1 : "&amp;TEXT(K224,"0.0"))</x:f>
        <x:v>1 : 17.3</x:v>
      </x:c>
      <x:c r="M224" s="66" t="str">
        <x:f>IF(J224="","Baru/Tanpa Data",IF(J224&lt;='Catatan &amp; Sumber'!$B$14,"Sangat Ketat",IF(J224&lt;='Catatan &amp; Sumber'!$B$15,"Ketat",IF(J224&lt;='Catatan &amp; Sumber'!$B$16,"Sedang","Relatif Longgar"))))</x:f>
        <x:v>Sedang</x:v>
      </x:c>
      <x:c r="N224" s="66" t="str">
        <x:v>Tidak Ada</x:v>
      </x:c>
      <x:c r="O224" s="66" t="str">
        <x:v>Sumatera Utara</x:v>
      </x:c>
      <x:c r="P224" s="66" t="str">
        <x:v>Kota Medan</x:v>
      </x:c>
      <x:c r="Q224" s="66" t="str">
        <x:v>https://snpmb.id/snbp/daya-tampung-snbp</x:v>
      </x:c>
      <x:c r="R224" s="66" t="str">
        <x:v>https://sidatagrun-public-1076756628210.asia-southeast2.run.app/ptn_sn.php?ptn=121</x:v>
      </x:c>
    </x:row>
    <x:row r="225">
      <x:c r="A225" s="87" t="n">
        <x:v>730</x:v>
      </x:c>
      <x:c r="B225" s="87" t="n">
        <x:v>121</x:v>
      </x:c>
      <x:c r="C225" s="66" t="str">
        <x:v>UNIVERSITAS SUMATERA UTARA</x:v>
      </x:c>
      <x:c r="D225" s="66" t="str">
        <x:v>PTN Akademik</x:v>
      </x:c>
      <x:c r="E225" s="66" t="str">
        <x:v>11211013</x:v>
      </x:c>
      <x:c r="F225" s="66" t="str">
        <x:v>AGROEKOTEKNOLOGI</x:v>
      </x:c>
      <x:c r="G225" s="66" t="str">
        <x:v>Sarjana</x:v>
      </x:c>
      <x:c r="H225" s="87" t="n">
        <x:v>75</x:v>
      </x:c>
      <x:c r="I225" s="87" t="n">
        <x:v>1177</x:v>
      </x:c>
      <x:c r="J225" s="68" t="n">
        <x:f>IFERROR(H225/I225,"")</x:f>
        <x:v>0.0637213254035684</x:v>
      </x:c>
      <x:c r="K225" s="69" t="n">
        <x:f>IFERROR(I225/H225,"")</x:f>
        <x:v>15.693333333333333</x:v>
      </x:c>
      <x:c r="L225" s="66" t="str">
        <x:f>IF(K225="","","1 : "&amp;TEXT(K225,"0.0"))</x:f>
        <x:v>1 : 15.7</x:v>
      </x:c>
      <x:c r="M225" s="66" t="str">
        <x:f>IF(J225="","Baru/Tanpa Data",IF(J225&lt;='Catatan &amp; Sumber'!$B$14,"Sangat Ketat",IF(J225&lt;='Catatan &amp; Sumber'!$B$15,"Ketat",IF(J225&lt;='Catatan &amp; Sumber'!$B$16,"Sedang","Relatif Longgar"))))</x:f>
        <x:v>Sedang</x:v>
      </x:c>
      <x:c r="N225" s="66" t="str">
        <x:v>Tidak Ada</x:v>
      </x:c>
      <x:c r="O225" s="66" t="str">
        <x:v>Sumatera Utara</x:v>
      </x:c>
      <x:c r="P225" s="66" t="str">
        <x:v>Kota Medan</x:v>
      </x:c>
      <x:c r="Q225" s="66" t="str">
        <x:v>https://snpmb.id/snbp/daya-tampung-snbp</x:v>
      </x:c>
      <x:c r="R225" s="66" t="str">
        <x:v>https://sidatagrun-public-1076756628210.asia-southeast2.run.app/ptn_sn.php?ptn=121</x:v>
      </x:c>
    </x:row>
    <x:row r="226">
      <x:c r="A226" s="87" t="n">
        <x:v>438</x:v>
      </x:c>
      <x:c r="B226" s="87" t="n">
        <x:v>121</x:v>
      </x:c>
      <x:c r="C226" s="66" t="str">
        <x:v>UNIVERSITAS SUMATERA UTARA</x:v>
      </x:c>
      <x:c r="D226" s="66" t="str">
        <x:v>PTN Akademik</x:v>
      </x:c>
      <x:c r="E226" s="66" t="str">
        <x:v>11211014</x:v>
      </x:c>
      <x:c r="F226" s="66" t="str">
        <x:v>KETEKNIKAN PERTANIAN</x:v>
      </x:c>
      <x:c r="G226" s="66" t="str">
        <x:v>Sarjana</x:v>
      </x:c>
      <x:c r="H226" s="87" t="n">
        <x:v>25</x:v>
      </x:c>
      <x:c r="I226" s="87" t="n">
        <x:v>515</x:v>
      </x:c>
      <x:c r="J226" s="68" t="n">
        <x:f>IFERROR(H226/I226,"")</x:f>
        <x:v>0.04854368932038835</x:v>
      </x:c>
      <x:c r="K226" s="69" t="n">
        <x:f>IFERROR(I226/H226,"")</x:f>
        <x:v>20.6</x:v>
      </x:c>
      <x:c r="L226" s="66" t="str">
        <x:f>IF(K226="","","1 : "&amp;TEXT(K226,"0.0"))</x:f>
        <x:v>1 : 20.6</x:v>
      </x:c>
      <x:c r="M226" s="66" t="str">
        <x:f>IF(J226="","Baru/Tanpa Data",IF(J226&lt;='Catatan &amp; Sumber'!$B$14,"Sangat Ketat",IF(J226&lt;='Catatan &amp; Sumber'!$B$15,"Ketat",IF(J226&lt;='Catatan &amp; Sumber'!$B$16,"Sedang","Relatif Longgar"))))</x:f>
        <x:v>Ketat</x:v>
      </x:c>
      <x:c r="N226" s="66" t="str">
        <x:v>Tidak Ada</x:v>
      </x:c>
      <x:c r="O226" s="66" t="str">
        <x:v>Sumatera Utara</x:v>
      </x:c>
      <x:c r="P226" s="66" t="str">
        <x:v>Kota Medan</x:v>
      </x:c>
      <x:c r="Q226" s="66" t="str">
        <x:v>https://snpmb.id/snbp/daya-tampung-snbp</x:v>
      </x:c>
      <x:c r="R226" s="66" t="str">
        <x:v>https://sidatagrun-public-1076756628210.asia-southeast2.run.app/ptn_sn.php?ptn=121</x:v>
      </x:c>
    </x:row>
    <x:row r="227">
      <x:c r="A227" s="87" t="n">
        <x:v>1752</x:v>
      </x:c>
      <x:c r="B227" s="87" t="n">
        <x:v>121</x:v>
      </x:c>
      <x:c r="C227" s="66" t="str">
        <x:v>UNIVERSITAS SUMATERA UTARA</x:v>
      </x:c>
      <x:c r="D227" s="66" t="str">
        <x:v>PTN Akademik</x:v>
      </x:c>
      <x:c r="E227" s="66" t="str">
        <x:v>11211015</x:v>
      </x:c>
      <x:c r="F227" s="66" t="str">
        <x:v>BIOLOGI</x:v>
      </x:c>
      <x:c r="G227" s="66" t="str">
        <x:v>Sarjana</x:v>
      </x:c>
      <x:c r="H227" s="87" t="n">
        <x:v>40</x:v>
      </x:c>
      <x:c r="I227" s="87" t="n">
        <x:v>311</x:v>
      </x:c>
      <x:c r="J227" s="68" t="n">
        <x:f>IFERROR(H227/I227,"")</x:f>
        <x:v>0.12861736334405144</x:v>
      </x:c>
      <x:c r="K227" s="69" t="n">
        <x:f>IFERROR(I227/H227,"")</x:f>
        <x:v>7.775</x:v>
      </x:c>
      <x:c r="L227" s="66" t="str">
        <x:f>IF(K227="","","1 : "&amp;TEXT(K227,"0.0"))</x:f>
        <x:v>1 : 7.8</x:v>
      </x:c>
      <x:c r="M227" s="66" t="str">
        <x:f>IF(J227="","Baru/Tanpa Data",IF(J227&lt;='Catatan &amp; Sumber'!$B$14,"Sangat Ketat",IF(J227&lt;='Catatan &amp; Sumber'!$B$15,"Ketat",IF(J227&lt;='Catatan &amp; Sumber'!$B$16,"Sedang","Relatif Longgar"))))</x:f>
        <x:v>Relatif Longgar</x:v>
      </x:c>
      <x:c r="N227" s="66" t="str">
        <x:v>Tidak Ada</x:v>
      </x:c>
      <x:c r="O227" s="66" t="str">
        <x:v>Sumatera Utara</x:v>
      </x:c>
      <x:c r="P227" s="66" t="str">
        <x:v>Kota Medan</x:v>
      </x:c>
      <x:c r="Q227" s="66" t="str">
        <x:v>https://snpmb.id/snbp/daya-tampung-snbp</x:v>
      </x:c>
      <x:c r="R227" s="66" t="str">
        <x:v>https://sidatagrun-public-1076756628210.asia-southeast2.run.app/ptn_sn.php?ptn=121</x:v>
      </x:c>
    </x:row>
    <x:row r="228">
      <x:c r="A228" s="87" t="n">
        <x:v>424</x:v>
      </x:c>
      <x:c r="B228" s="87" t="n">
        <x:v>121</x:v>
      </x:c>
      <x:c r="C228" s="66" t="str">
        <x:v>UNIVERSITAS SUMATERA UTARA</x:v>
      </x:c>
      <x:c r="D228" s="66" t="str">
        <x:v>PTN Akademik</x:v>
      </x:c>
      <x:c r="E228" s="66" t="str">
        <x:v>11211016</x:v>
      </x:c>
      <x:c r="F228" s="66" t="str">
        <x:v>AGRIBISNIS</x:v>
      </x:c>
      <x:c r="G228" s="66" t="str">
        <x:v>Sarjana</x:v>
      </x:c>
      <x:c r="H228" s="87" t="n">
        <x:v>50</x:v>
      </x:c>
      <x:c r="I228" s="87" t="n">
        <x:v>1043</x:v>
      </x:c>
      <x:c r="J228" s="68" t="n">
        <x:f>IFERROR(H228/I228,"")</x:f>
        <x:v>0.04793863854266539</x:v>
      </x:c>
      <x:c r="K228" s="69" t="n">
        <x:f>IFERROR(I228/H228,"")</x:f>
        <x:v>20.86</x:v>
      </x:c>
      <x:c r="L228" s="66" t="str">
        <x:f>IF(K228="","","1 : "&amp;TEXT(K228,"0.0"))</x:f>
        <x:v>1 : 20.9</x:v>
      </x:c>
      <x:c r="M228" s="66" t="str">
        <x:f>IF(J228="","Baru/Tanpa Data",IF(J228&lt;='Catatan &amp; Sumber'!$B$14,"Sangat Ketat",IF(J228&lt;='Catatan &amp; Sumber'!$B$15,"Ketat",IF(J228&lt;='Catatan &amp; Sumber'!$B$16,"Sedang","Relatif Longgar"))))</x:f>
        <x:v>Ketat</x:v>
      </x:c>
      <x:c r="N228" s="66" t="str">
        <x:v>Tidak Ada</x:v>
      </x:c>
      <x:c r="O228" s="66" t="str">
        <x:v>Sumatera Utara</x:v>
      </x:c>
      <x:c r="P228" s="66" t="str">
        <x:v>Kota Medan</x:v>
      </x:c>
      <x:c r="Q228" s="66" t="str">
        <x:v>https://snpmb.id/snbp/daya-tampung-snbp</x:v>
      </x:c>
      <x:c r="R228" s="66" t="str">
        <x:v>https://sidatagrun-public-1076756628210.asia-southeast2.run.app/ptn_sn.php?ptn=121</x:v>
      </x:c>
    </x:row>
    <x:row r="229">
      <x:c r="A229" s="87" t="n">
        <x:v>275</x:v>
      </x:c>
      <x:c r="B229" s="87" t="n">
        <x:v>121</x:v>
      </x:c>
      <x:c r="C229" s="66" t="str">
        <x:v>UNIVERSITAS SUMATERA UTARA</x:v>
      </x:c>
      <x:c r="D229" s="66" t="str">
        <x:v>PTN Akademik</x:v>
      </x:c>
      <x:c r="E229" s="66" t="str">
        <x:v>11211017</x:v>
      </x:c>
      <x:c r="F229" s="66" t="str">
        <x:v>ILMU DAN TEKNOLOGI PANGAN</x:v>
      </x:c>
      <x:c r="G229" s="66" t="str">
        <x:v>Sarjana</x:v>
      </x:c>
      <x:c r="H229" s="87" t="n">
        <x:v>25</x:v>
      </x:c>
      <x:c r="I229" s="87" t="n">
        <x:v>609</x:v>
      </x:c>
      <x:c r="J229" s="68" t="n">
        <x:f>IFERROR(H229/I229,"")</x:f>
        <x:v>0.041050903119868636</x:v>
      </x:c>
      <x:c r="K229" s="69" t="n">
        <x:f>IFERROR(I229/H229,"")</x:f>
        <x:v>24.36</x:v>
      </x:c>
      <x:c r="L229" s="66" t="str">
        <x:f>IF(K229="","","1 : "&amp;TEXT(K229,"0.0"))</x:f>
        <x:v>1 : 24.4</x:v>
      </x:c>
      <x:c r="M229" s="66" t="str">
        <x:f>IF(J229="","Baru/Tanpa Data",IF(J229&lt;='Catatan &amp; Sumber'!$B$14,"Sangat Ketat",IF(J229&lt;='Catatan &amp; Sumber'!$B$15,"Ketat",IF(J229&lt;='Catatan &amp; Sumber'!$B$16,"Sedang","Relatif Longgar"))))</x:f>
        <x:v>Ketat</x:v>
      </x:c>
      <x:c r="N229" s="66" t="str">
        <x:v>Tidak Ada</x:v>
      </x:c>
      <x:c r="O229" s="66" t="str">
        <x:v>Sumatera Utara</x:v>
      </x:c>
      <x:c r="P229" s="66" t="str">
        <x:v>Kota Medan</x:v>
      </x:c>
      <x:c r="Q229" s="66" t="str">
        <x:v>https://snpmb.id/snbp/daya-tampung-snbp</x:v>
      </x:c>
      <x:c r="R229" s="66" t="str">
        <x:v>https://sidatagrun-public-1076756628210.asia-southeast2.run.app/ptn_sn.php?ptn=121</x:v>
      </x:c>
    </x:row>
    <x:row r="230">
      <x:c r="A230" s="87" t="n">
        <x:v>1823</x:v>
      </x:c>
      <x:c r="B230" s="87" t="n">
        <x:v>121</x:v>
      </x:c>
      <x:c r="C230" s="66" t="str">
        <x:v>UNIVERSITAS SUMATERA UTARA</x:v>
      </x:c>
      <x:c r="D230" s="66" t="str">
        <x:v>PTN Akademik</x:v>
      </x:c>
      <x:c r="E230" s="66" t="str">
        <x:v>11211018</x:v>
      </x:c>
      <x:c r="F230" s="66" t="str">
        <x:v>PETERNAKAN</x:v>
      </x:c>
      <x:c r="G230" s="66" t="str">
        <x:v>Sarjana</x:v>
      </x:c>
      <x:c r="H230" s="87" t="n">
        <x:v>70</x:v>
      </x:c>
      <x:c r="I230" s="87" t="n">
        <x:v>522</x:v>
      </x:c>
      <x:c r="J230" s="68" t="n">
        <x:f>IFERROR(H230/I230,"")</x:f>
        <x:v>0.13409961685823754</x:v>
      </x:c>
      <x:c r="K230" s="69" t="n">
        <x:f>IFERROR(I230/H230,"")</x:f>
        <x:v>7.457142857142857</x:v>
      </x:c>
      <x:c r="L230" s="66" t="str">
        <x:f>IF(K230="","","1 : "&amp;TEXT(K230,"0.0"))</x:f>
        <x:v>1 : 7.5</x:v>
      </x:c>
      <x:c r="M230" s="66" t="str">
        <x:f>IF(J230="","Baru/Tanpa Data",IF(J230&lt;='Catatan &amp; Sumber'!$B$14,"Sangat Ketat",IF(J230&lt;='Catatan &amp; Sumber'!$B$15,"Ketat",IF(J230&lt;='Catatan &amp; Sumber'!$B$16,"Sedang","Relatif Longgar"))))</x:f>
        <x:v>Relatif Longgar</x:v>
      </x:c>
      <x:c r="N230" s="66" t="str">
        <x:v>Tidak Ada</x:v>
      </x:c>
      <x:c r="O230" s="66" t="str">
        <x:v>Sumatera Utara</x:v>
      </x:c>
      <x:c r="P230" s="66" t="str">
        <x:v>Kota Medan</x:v>
      </x:c>
      <x:c r="Q230" s="66" t="str">
        <x:v>https://snpmb.id/snbp/daya-tampung-snbp</x:v>
      </x:c>
      <x:c r="R230" s="66" t="str">
        <x:v>https://sidatagrun-public-1076756628210.asia-southeast2.run.app/ptn_sn.php?ptn=121</x:v>
      </x:c>
    </x:row>
    <x:row r="231">
      <x:c r="A231" s="87" t="n">
        <x:v>593</x:v>
      </x:c>
      <x:c r="B231" s="87" t="n">
        <x:v>121</x:v>
      </x:c>
      <x:c r="C231" s="66" t="str">
        <x:v>UNIVERSITAS SUMATERA UTARA</x:v>
      </x:c>
      <x:c r="D231" s="66" t="str">
        <x:v>PTN Akademik</x:v>
      </x:c>
      <x:c r="E231" s="66" t="str">
        <x:v>11211019</x:v>
      </x:c>
      <x:c r="F231" s="66" t="str">
        <x:v>ARSITEKTUR</x:v>
      </x:c>
      <x:c r="G231" s="66" t="str">
        <x:v>Sarjana</x:v>
      </x:c>
      <x:c r="H231" s="87" t="n">
        <x:v>25</x:v>
      </x:c>
      <x:c r="I231" s="87" t="n">
        <x:v>438</x:v>
      </x:c>
      <x:c r="J231" s="68" t="n">
        <x:f>IFERROR(H231/I231,"")</x:f>
        <x:v>0.05707762557077625</x:v>
      </x:c>
      <x:c r="K231" s="69" t="n">
        <x:f>IFERROR(I231/H231,"")</x:f>
        <x:v>17.52</x:v>
      </x:c>
      <x:c r="L231" s="66" t="str">
        <x:f>IF(K231="","","1 : "&amp;TEXT(K231,"0.0"))</x:f>
        <x:v>1 : 17.5</x:v>
      </x:c>
      <x:c r="M231" s="66" t="str">
        <x:f>IF(J231="","Baru/Tanpa Data",IF(J231&lt;='Catatan &amp; Sumber'!$B$14,"Sangat Ketat",IF(J231&lt;='Catatan &amp; Sumber'!$B$15,"Ketat",IF(J231&lt;='Catatan &amp; Sumber'!$B$16,"Sedang","Relatif Longgar"))))</x:f>
        <x:v>Sedang</x:v>
      </x:c>
      <x:c r="N231" s="66" t="str">
        <x:v>Tidak Ada</x:v>
      </x:c>
      <x:c r="O231" s="66" t="str">
        <x:v>Sumatera Utara</x:v>
      </x:c>
      <x:c r="P231" s="66" t="str">
        <x:v>Kota Medan</x:v>
      </x:c>
      <x:c r="Q231" s="66" t="str">
        <x:v>https://snpmb.id/snbp/daya-tampung-snbp</x:v>
      </x:c>
      <x:c r="R231" s="66" t="str">
        <x:v>https://sidatagrun-public-1076756628210.asia-southeast2.run.app/ptn_sn.php?ptn=121</x:v>
      </x:c>
    </x:row>
    <x:row r="232">
      <x:c r="A232" s="87" t="n">
        <x:v>442</x:v>
      </x:c>
      <x:c r="B232" s="87" t="n">
        <x:v>121</x:v>
      </x:c>
      <x:c r="C232" s="66" t="str">
        <x:v>UNIVERSITAS SUMATERA UTARA</x:v>
      </x:c>
      <x:c r="D232" s="66" t="str">
        <x:v>PTN Akademik</x:v>
      </x:c>
      <x:c r="E232" s="66" t="str">
        <x:v>11211020</x:v>
      </x:c>
      <x:c r="F232" s="66" t="str">
        <x:v>ILMU KEPERAWATAN</x:v>
      </x:c>
      <x:c r="G232" s="66" t="str">
        <x:v>Sarjana</x:v>
      </x:c>
      <x:c r="H232" s="87" t="n">
        <x:v>63</x:v>
      </x:c>
      <x:c r="I232" s="87" t="n">
        <x:v>1290</x:v>
      </x:c>
      <x:c r="J232" s="68" t="n">
        <x:f>IFERROR(H232/I232,"")</x:f>
        <x:v>0.04883720930232558</x:v>
      </x:c>
      <x:c r="K232" s="69" t="n">
        <x:f>IFERROR(I232/H232,"")</x:f>
        <x:v>20.476190476190474</x:v>
      </x:c>
      <x:c r="L232" s="66" t="str">
        <x:f>IF(K232="","","1 : "&amp;TEXT(K232,"0.0"))</x:f>
        <x:v>1 : 20.5</x:v>
      </x:c>
      <x:c r="M232" s="66" t="str">
        <x:f>IF(J232="","Baru/Tanpa Data",IF(J232&lt;='Catatan &amp; Sumber'!$B$14,"Sangat Ketat",IF(J232&lt;='Catatan &amp; Sumber'!$B$15,"Ketat",IF(J232&lt;='Catatan &amp; Sumber'!$B$16,"Sedang","Relatif Longgar"))))</x:f>
        <x:v>Ketat</x:v>
      </x:c>
      <x:c r="N232" s="66" t="str">
        <x:v>Tidak Ada</x:v>
      </x:c>
      <x:c r="O232" s="66" t="str">
        <x:v>Sumatera Utara</x:v>
      </x:c>
      <x:c r="P232" s="66" t="str">
        <x:v>Kota Medan</x:v>
      </x:c>
      <x:c r="Q232" s="66" t="str">
        <x:v>https://snpmb.id/snbp/daya-tampung-snbp</x:v>
      </x:c>
      <x:c r="R232" s="66" t="str">
        <x:v>https://sidatagrun-public-1076756628210.asia-southeast2.run.app/ptn_sn.php?ptn=121</x:v>
      </x:c>
    </x:row>
    <x:row r="233">
      <x:c r="A233" s="87" t="n">
        <x:v>1423</x:v>
      </x:c>
      <x:c r="B233" s="87" t="n">
        <x:v>121</x:v>
      </x:c>
      <x:c r="C233" s="66" t="str">
        <x:v>UNIVERSITAS SUMATERA UTARA</x:v>
      </x:c>
      <x:c r="D233" s="66" t="str">
        <x:v>PTN Akademik</x:v>
      </x:c>
      <x:c r="E233" s="66" t="str">
        <x:v>11211021</x:v>
      </x:c>
      <x:c r="F233" s="66" t="str">
        <x:v>KEHUTANAN</x:v>
      </x:c>
      <x:c r="G233" s="66" t="str">
        <x:v>Sarjana</x:v>
      </x:c>
      <x:c r="H233" s="87" t="n">
        <x:v>80</x:v>
      </x:c>
      <x:c r="I233" s="87" t="n">
        <x:v>771</x:v>
      </x:c>
      <x:c r="J233" s="68" t="n">
        <x:f>IFERROR(H233/I233,"")</x:f>
        <x:v>0.10376134889753567</x:v>
      </x:c>
      <x:c r="K233" s="69" t="n">
        <x:f>IFERROR(I233/H233,"")</x:f>
        <x:v>9.6375</x:v>
      </x:c>
      <x:c r="L233" s="66" t="str">
        <x:f>IF(K233="","","1 : "&amp;TEXT(K233,"0.0"))</x:f>
        <x:v>1 : 9.6</x:v>
      </x:c>
      <x:c r="M233" s="66" t="str">
        <x:f>IF(J233="","Baru/Tanpa Data",IF(J233&lt;='Catatan &amp; Sumber'!$B$14,"Sangat Ketat",IF(J233&lt;='Catatan &amp; Sumber'!$B$15,"Ketat",IF(J233&lt;='Catatan &amp; Sumber'!$B$16,"Sedang","Relatif Longgar"))))</x:f>
        <x:v>Relatif Longgar</x:v>
      </x:c>
      <x:c r="N233" s="66" t="str">
        <x:v>Tidak Ada</x:v>
      </x:c>
      <x:c r="O233" s="66" t="str">
        <x:v>Sumatera Utara</x:v>
      </x:c>
      <x:c r="P233" s="66" t="str">
        <x:v>Kota Medan</x:v>
      </x:c>
      <x:c r="Q233" s="66" t="str">
        <x:v>https://snpmb.id/snbp/daya-tampung-snbp</x:v>
      </x:c>
      <x:c r="R233" s="66" t="str">
        <x:v>https://sidatagrun-public-1076756628210.asia-southeast2.run.app/ptn_sn.php?ptn=121</x:v>
      </x:c>
    </x:row>
    <x:row r="234">
      <x:c r="A234" s="87" t="n">
        <x:v>41</x:v>
      </x:c>
      <x:c r="B234" s="87" t="n">
        <x:v>121</x:v>
      </x:c>
      <x:c r="C234" s="66" t="str">
        <x:v>UNIVERSITAS SUMATERA UTARA</x:v>
      </x:c>
      <x:c r="D234" s="66" t="str">
        <x:v>PTN Akademik</x:v>
      </x:c>
      <x:c r="E234" s="66" t="str">
        <x:v>11211022</x:v>
      </x:c>
      <x:c r="F234" s="66" t="str">
        <x:v>ILMU KOMPUTER</x:v>
      </x:c>
      <x:c r="G234" s="66" t="str">
        <x:v>Sarjana</x:v>
      </x:c>
      <x:c r="H234" s="87" t="n">
        <x:v>33</x:v>
      </x:c>
      <x:c r="I234" s="87" t="n">
        <x:v>1578</x:v>
      </x:c>
      <x:c r="J234" s="68" t="n">
        <x:f>IFERROR(H234/I234,"")</x:f>
        <x:v>0.02091254752851711</x:v>
      </x:c>
      <x:c r="K234" s="69" t="n">
        <x:f>IFERROR(I234/H234,"")</x:f>
        <x:v>47.81818181818182</x:v>
      </x:c>
      <x:c r="L234" s="66" t="str">
        <x:f>IF(K234="","","1 : "&amp;TEXT(K234,"0.0"))</x:f>
        <x:v>1 : 47.8</x:v>
      </x:c>
      <x:c r="M234" s="66" t="str">
        <x:f>IF(J234="","Baru/Tanpa Data",IF(J234&lt;='Catatan &amp; Sumber'!$B$14,"Sangat Ketat",IF(J234&lt;='Catatan &amp; Sumber'!$B$15,"Ketat",IF(J234&lt;='Catatan &amp; Sumber'!$B$16,"Sedang","Relatif Longgar"))))</x:f>
        <x:v>Ketat</x:v>
      </x:c>
      <x:c r="N234" s="66" t="str">
        <x:v>Tidak Ada</x:v>
      </x:c>
      <x:c r="O234" s="66" t="str">
        <x:v>Sumatera Utara</x:v>
      </x:c>
      <x:c r="P234" s="66" t="str">
        <x:v>Kota Medan</x:v>
      </x:c>
      <x:c r="Q234" s="66" t="str">
        <x:v>https://snpmb.id/snbp/daya-tampung-snbp</x:v>
      </x:c>
      <x:c r="R234" s="66" t="str">
        <x:v>https://sidatagrun-public-1076756628210.asia-southeast2.run.app/ptn_sn.php?ptn=121</x:v>
      </x:c>
    </x:row>
    <x:row r="235">
      <x:c r="A235" s="87" t="n">
        <x:v>134</x:v>
      </x:c>
      <x:c r="B235" s="87" t="n">
        <x:v>121</x:v>
      </x:c>
      <x:c r="C235" s="66" t="str">
        <x:v>UNIVERSITAS SUMATERA UTARA</x:v>
      </x:c>
      <x:c r="D235" s="66" t="str">
        <x:v>PTN Akademik</x:v>
      </x:c>
      <x:c r="E235" s="66" t="str">
        <x:v>11211023</x:v>
      </x:c>
      <x:c r="F235" s="66" t="str">
        <x:v>TEKNOLOGI INFORMASI</x:v>
      </x:c>
      <x:c r="G235" s="66" t="str">
        <x:v>Sarjana</x:v>
      </x:c>
      <x:c r="H235" s="87" t="n">
        <x:v>33</x:v>
      </x:c>
      <x:c r="I235" s="87" t="n">
        <x:v>1038</x:v>
      </x:c>
      <x:c r="J235" s="68" t="n">
        <x:f>IFERROR(H235/I235,"")</x:f>
        <x:v>0.031791907514450865</x:v>
      </x:c>
      <x:c r="K235" s="69" t="n">
        <x:f>IFERROR(I235/H235,"")</x:f>
        <x:v>31.454545454545453</x:v>
      </x:c>
      <x:c r="L235" s="66" t="str">
        <x:f>IF(K235="","","1 : "&amp;TEXT(K235,"0.0"))</x:f>
        <x:v>1 : 31.5</x:v>
      </x:c>
      <x:c r="M235" s="66" t="str">
        <x:f>IF(J235="","Baru/Tanpa Data",IF(J235&lt;='Catatan &amp; Sumber'!$B$14,"Sangat Ketat",IF(J235&lt;='Catatan &amp; Sumber'!$B$15,"Ketat",IF(J235&lt;='Catatan &amp; Sumber'!$B$16,"Sedang","Relatif Longgar"))))</x:f>
        <x:v>Ketat</x:v>
      </x:c>
      <x:c r="N235" s="66" t="str">
        <x:v>Tidak Ada</x:v>
      </x:c>
      <x:c r="O235" s="66" t="str">
        <x:v>Sumatera Utara</x:v>
      </x:c>
      <x:c r="P235" s="66" t="str">
        <x:v>Kota Medan</x:v>
      </x:c>
      <x:c r="Q235" s="66" t="str">
        <x:v>https://snpmb.id/snbp/daya-tampung-snbp</x:v>
      </x:c>
      <x:c r="R235" s="66" t="str">
        <x:v>https://sidatagrun-public-1076756628210.asia-southeast2.run.app/ptn_sn.php?ptn=121</x:v>
      </x:c>
    </x:row>
    <x:row r="236">
      <x:c r="A236" s="87" t="n">
        <x:v>1472</x:v>
      </x:c>
      <x:c r="B236" s="87" t="n">
        <x:v>121</x:v>
      </x:c>
      <x:c r="C236" s="66" t="str">
        <x:v>UNIVERSITAS SUMATERA UTARA</x:v>
      </x:c>
      <x:c r="D236" s="66" t="str">
        <x:v>PTN Akademik</x:v>
      </x:c>
      <x:c r="E236" s="66" t="str">
        <x:v>11211024</x:v>
      </x:c>
      <x:c r="F236" s="66" t="str">
        <x:v>MANAJEMEN SUMBER DAYA PERAIRAN</x:v>
      </x:c>
      <x:c r="G236" s="66" t="str">
        <x:v>Sarjana</x:v>
      </x:c>
      <x:c r="H236" s="87" t="n">
        <x:v>25</x:v>
      </x:c>
      <x:c r="I236" s="87" t="n">
        <x:v>232</x:v>
      </x:c>
      <x:c r="J236" s="68" t="n">
        <x:f>IFERROR(H236/I236,"")</x:f>
        <x:v>0.10775862068965517</x:v>
      </x:c>
      <x:c r="K236" s="69" t="n">
        <x:f>IFERROR(I236/H236,"")</x:f>
        <x:v>9.28</x:v>
      </x:c>
      <x:c r="L236" s="66" t="str">
        <x:f>IF(K236="","","1 : "&amp;TEXT(K236,"0.0"))</x:f>
        <x:v>1 : 9.3</x:v>
      </x:c>
      <x:c r="M236" s="66" t="str">
        <x:f>IF(J236="","Baru/Tanpa Data",IF(J236&lt;='Catatan &amp; Sumber'!$B$14,"Sangat Ketat",IF(J236&lt;='Catatan &amp; Sumber'!$B$15,"Ketat",IF(J236&lt;='Catatan &amp; Sumber'!$B$16,"Sedang","Relatif Longgar"))))</x:f>
        <x:v>Relatif Longgar</x:v>
      </x:c>
      <x:c r="N236" s="66" t="str">
        <x:v>Tidak Ada</x:v>
      </x:c>
      <x:c r="O236" s="66" t="str">
        <x:v>Sumatera Utara</x:v>
      </x:c>
      <x:c r="P236" s="66" t="str">
        <x:v>Kota Medan</x:v>
      </x:c>
      <x:c r="Q236" s="66" t="str">
        <x:v>https://snpmb.id/snbp/daya-tampung-snbp</x:v>
      </x:c>
      <x:c r="R236" s="66" t="str">
        <x:v>https://sidatagrun-public-1076756628210.asia-southeast2.run.app/ptn_sn.php?ptn=121</x:v>
      </x:c>
    </x:row>
    <x:row r="237">
      <x:c r="A237" s="87" t="n">
        <x:v>257</x:v>
      </x:c>
      <x:c r="B237" s="87" t="n">
        <x:v>121</x:v>
      </x:c>
      <x:c r="C237" s="66" t="str">
        <x:v>UNIVERSITAS SUMATERA UTARA</x:v>
      </x:c>
      <x:c r="D237" s="66" t="str">
        <x:v>PTN Akademik</x:v>
      </x:c>
      <x:c r="E237" s="66" t="str">
        <x:v>11211025</x:v>
      </x:c>
      <x:c r="F237" s="66" t="str">
        <x:v>TEKNIK LINGKUNGAN</x:v>
      </x:c>
      <x:c r="G237" s="66" t="str">
        <x:v>Sarjana</x:v>
      </x:c>
      <x:c r="H237" s="87" t="n">
        <x:v>21</x:v>
      </x:c>
      <x:c r="I237" s="87" t="n">
        <x:v>526</x:v>
      </x:c>
      <x:c r="J237" s="68" t="n">
        <x:f>IFERROR(H237/I237,"")</x:f>
        <x:v>0.039923954372623575</x:v>
      </x:c>
      <x:c r="K237" s="69" t="n">
        <x:f>IFERROR(I237/H237,"")</x:f>
        <x:v>25.047619047619047</x:v>
      </x:c>
      <x:c r="L237" s="66" t="str">
        <x:f>IF(K237="","","1 : "&amp;TEXT(K237,"0.0"))</x:f>
        <x:v>1 : 25.0</x:v>
      </x:c>
      <x:c r="M237" s="66" t="str">
        <x:f>IF(J237="","Baru/Tanpa Data",IF(J237&lt;='Catatan &amp; Sumber'!$B$14,"Sangat Ketat",IF(J237&lt;='Catatan &amp; Sumber'!$B$15,"Ketat",IF(J237&lt;='Catatan &amp; Sumber'!$B$16,"Sedang","Relatif Longgar"))))</x:f>
        <x:v>Ketat</x:v>
      </x:c>
      <x:c r="N237" s="66" t="str">
        <x:v>Tidak Ada</x:v>
      </x:c>
      <x:c r="O237" s="66" t="str">
        <x:v>Sumatera Utara</x:v>
      </x:c>
      <x:c r="P237" s="66" t="str">
        <x:v>Kota Medan</x:v>
      </x:c>
      <x:c r="Q237" s="66" t="str">
        <x:v>https://snpmb.id/snbp/daya-tampung-snbp</x:v>
      </x:c>
      <x:c r="R237" s="66" t="str">
        <x:v>https://sidatagrun-public-1076756628210.asia-southeast2.run.app/ptn_sn.php?ptn=121</x:v>
      </x:c>
    </x:row>
    <x:row r="238">
      <x:c r="A238" s="87" t="n">
        <x:v>57</x:v>
      </x:c>
      <x:c r="B238" s="87" t="n">
        <x:v>121</x:v>
      </x:c>
      <x:c r="C238" s="66" t="str">
        <x:v>UNIVERSITAS SUMATERA UTARA</x:v>
      </x:c>
      <x:c r="D238" s="66" t="str">
        <x:v>PTN Akademik</x:v>
      </x:c>
      <x:c r="E238" s="66" t="str">
        <x:v>11211026</x:v>
      </x:c>
      <x:c r="F238" s="66" t="str">
        <x:v>GIZI</x:v>
      </x:c>
      <x:c r="G238" s="66" t="str">
        <x:v>Sarjana</x:v>
      </x:c>
      <x:c r="H238" s="87" t="n">
        <x:v>22</x:v>
      </x:c>
      <x:c r="I238" s="87" t="n">
        <x:v>912</x:v>
      </x:c>
      <x:c r="J238" s="68" t="n">
        <x:f>IFERROR(H238/I238,"")</x:f>
        <x:v>0.02412280701754386</x:v>
      </x:c>
      <x:c r="K238" s="69" t="n">
        <x:f>IFERROR(I238/H238,"")</x:f>
        <x:v>41.45454545454545</x:v>
      </x:c>
      <x:c r="L238" s="66" t="str">
        <x:f>IF(K238="","","1 : "&amp;TEXT(K238,"0.0"))</x:f>
        <x:v>1 : 41.5</x:v>
      </x:c>
      <x:c r="M238" s="66" t="str">
        <x:f>IF(J238="","Baru/Tanpa Data",IF(J238&lt;='Catatan &amp; Sumber'!$B$14,"Sangat Ketat",IF(J238&lt;='Catatan &amp; Sumber'!$B$15,"Ketat",IF(J238&lt;='Catatan &amp; Sumber'!$B$16,"Sedang","Relatif Longgar"))))</x:f>
        <x:v>Ketat</x:v>
      </x:c>
      <x:c r="N238" s="66" t="str">
        <x:v>Tidak Ada</x:v>
      </x:c>
      <x:c r="O238" s="66" t="str">
        <x:v>Sumatera Utara</x:v>
      </x:c>
      <x:c r="P238" s="66" t="str">
        <x:v>Kota Medan</x:v>
      </x:c>
      <x:c r="Q238" s="66" t="str">
        <x:v>https://snpmb.id/snbp/daya-tampung-snbp</x:v>
      </x:c>
      <x:c r="R238" s="66" t="str">
        <x:v>https://sidatagrun-public-1076756628210.asia-southeast2.run.app/ptn_sn.php?ptn=121</x:v>
      </x:c>
    </x:row>
    <x:row r="239">
      <x:c r="A239" s="87" t="n">
        <x:v>973</x:v>
      </x:c>
      <x:c r="B239" s="87" t="n">
        <x:v>121</x:v>
      </x:c>
      <x:c r="C239" s="66" t="str">
        <x:v>UNIVERSITAS SUMATERA UTARA</x:v>
      </x:c>
      <x:c r="D239" s="66" t="str">
        <x:v>PTN Akademik</x:v>
      </x:c>
      <x:c r="E239" s="66" t="str">
        <x:v>11211027</x:v>
      </x:c>
      <x:c r="F239" s="66" t="str">
        <x:v>ILMU HUKUM</x:v>
      </x:c>
      <x:c r="G239" s="66" t="str">
        <x:v>Sarjana</x:v>
      </x:c>
      <x:c r="H239" s="87" t="n">
        <x:v>135</x:v>
      </x:c>
      <x:c r="I239" s="87" t="n">
        <x:v>1767</x:v>
      </x:c>
      <x:c r="J239" s="68" t="n">
        <x:f>IFERROR(H239/I239,"")</x:f>
        <x:v>0.07640067911714771</x:v>
      </x:c>
      <x:c r="K239" s="69" t="n">
        <x:f>IFERROR(I239/H239,"")</x:f>
        <x:v>13.088888888888889</x:v>
      </x:c>
      <x:c r="L239" s="66" t="str">
        <x:f>IF(K239="","","1 : "&amp;TEXT(K239,"0.0"))</x:f>
        <x:v>1 : 13.1</x:v>
      </x:c>
      <x:c r="M239" s="66" t="str">
        <x:f>IF(J239="","Baru/Tanpa Data",IF(J239&lt;='Catatan &amp; Sumber'!$B$14,"Sangat Ketat",IF(J239&lt;='Catatan &amp; Sumber'!$B$15,"Ketat",IF(J239&lt;='Catatan &amp; Sumber'!$B$16,"Sedang","Relatif Longgar"))))</x:f>
        <x:v>Sedang</x:v>
      </x:c>
      <x:c r="N239" s="66" t="str">
        <x:v>Tidak Ada</x:v>
      </x:c>
      <x:c r="O239" s="66" t="str">
        <x:v>Sumatera Utara</x:v>
      </x:c>
      <x:c r="P239" s="66" t="str">
        <x:v>Kota Medan</x:v>
      </x:c>
      <x:c r="Q239" s="66" t="str">
        <x:v>https://snpmb.id/snbp/daya-tampung-snbp</x:v>
      </x:c>
      <x:c r="R239" s="66" t="str">
        <x:v>https://sidatagrun-public-1076756628210.asia-southeast2.run.app/ptn_sn.php?ptn=121</x:v>
      </x:c>
    </x:row>
    <x:row r="240">
      <x:c r="A240" s="87" t="n">
        <x:v>2634</x:v>
      </x:c>
      <x:c r="B240" s="87" t="n">
        <x:v>121</x:v>
      </x:c>
      <x:c r="C240" s="66" t="str">
        <x:v>UNIVERSITAS SUMATERA UTARA</x:v>
      </x:c>
      <x:c r="D240" s="66" t="str">
        <x:v>PTN Akademik</x:v>
      </x:c>
      <x:c r="E240" s="66" t="str">
        <x:v>11211028</x:v>
      </x:c>
      <x:c r="F240" s="66" t="str">
        <x:v>ILMU SEJARAH</x:v>
      </x:c>
      <x:c r="G240" s="66" t="str">
        <x:v>Sarjana</x:v>
      </x:c>
      <x:c r="H240" s="87" t="n">
        <x:v>48</x:v>
      </x:c>
      <x:c r="I240" s="87" t="n">
        <x:v>206</x:v>
      </x:c>
      <x:c r="J240" s="68" t="n">
        <x:f>IFERROR(H240/I240,"")</x:f>
        <x:v>0.23300970873786409</x:v>
      </x:c>
      <x:c r="K240" s="69" t="n">
        <x:f>IFERROR(I240/H240,"")</x:f>
        <x:v>4.291666666666667</x:v>
      </x:c>
      <x:c r="L240" s="66" t="str">
        <x:f>IF(K240="","","1 : "&amp;TEXT(K240,"0.0"))</x:f>
        <x:v>1 : 4.3</x:v>
      </x:c>
      <x:c r="M240" s="66" t="str">
        <x:f>IF(J240="","Baru/Tanpa Data",IF(J240&lt;='Catatan &amp; Sumber'!$B$14,"Sangat Ketat",IF(J240&lt;='Catatan &amp; Sumber'!$B$15,"Ketat",IF(J240&lt;='Catatan &amp; Sumber'!$B$16,"Sedang","Relatif Longgar"))))</x:f>
        <x:v>Relatif Longgar</x:v>
      </x:c>
      <x:c r="N240" s="66" t="str">
        <x:v>Tidak Ada</x:v>
      </x:c>
      <x:c r="O240" s="66" t="str">
        <x:v>Sumatera Utara</x:v>
      </x:c>
      <x:c r="P240" s="66" t="str">
        <x:v>Kota Medan</x:v>
      </x:c>
      <x:c r="Q240" s="66" t="str">
        <x:v>https://snpmb.id/snbp/daya-tampung-snbp</x:v>
      </x:c>
      <x:c r="R240" s="66" t="str">
        <x:v>https://sidatagrun-public-1076756628210.asia-southeast2.run.app/ptn_sn.php?ptn=121</x:v>
      </x:c>
    </x:row>
    <x:row r="241">
      <x:c r="A241" s="87" t="n">
        <x:v>1270</x:v>
      </x:c>
      <x:c r="B241" s="87" t="n">
        <x:v>121</x:v>
      </x:c>
      <x:c r="C241" s="66" t="str">
        <x:v>UNIVERSITAS SUMATERA UTARA</x:v>
      </x:c>
      <x:c r="D241" s="66" t="str">
        <x:v>PTN Akademik</x:v>
      </x:c>
      <x:c r="E241" s="66" t="str">
        <x:v>11211029</x:v>
      </x:c>
      <x:c r="F241" s="66" t="str">
        <x:v>ANTROPOLOGI SOSIAL</x:v>
      </x:c>
      <x:c r="G241" s="66" t="str">
        <x:v>Sarjana</x:v>
      </x:c>
      <x:c r="H241" s="87" t="n">
        <x:v>30</x:v>
      </x:c>
      <x:c r="I241" s="87" t="n">
        <x:v>319</x:v>
      </x:c>
      <x:c r="J241" s="68" t="n">
        <x:f>IFERROR(H241/I241,"")</x:f>
        <x:v>0.09404388714733543</x:v>
      </x:c>
      <x:c r="K241" s="69" t="n">
        <x:f>IFERROR(I241/H241,"")</x:f>
        <x:v>10.633333333333333</x:v>
      </x:c>
      <x:c r="L241" s="66" t="str">
        <x:f>IF(K241="","","1 : "&amp;TEXT(K241,"0.0"))</x:f>
        <x:v>1 : 10.6</x:v>
      </x:c>
      <x:c r="M241" s="66" t="str">
        <x:f>IF(J241="","Baru/Tanpa Data",IF(J241&lt;='Catatan &amp; Sumber'!$B$14,"Sangat Ketat",IF(J241&lt;='Catatan &amp; Sumber'!$B$15,"Ketat",IF(J241&lt;='Catatan &amp; Sumber'!$B$16,"Sedang","Relatif Longgar"))))</x:f>
        <x:v>Sedang</x:v>
      </x:c>
      <x:c r="N241" s="66" t="str">
        <x:v>Tidak Ada</x:v>
      </x:c>
      <x:c r="O241" s="66" t="str">
        <x:v>Sumatera Utara</x:v>
      </x:c>
      <x:c r="P241" s="66" t="str">
        <x:v>Kota Medan</x:v>
      </x:c>
      <x:c r="Q241" s="66" t="str">
        <x:v>https://snpmb.id/snbp/daya-tampung-snbp</x:v>
      </x:c>
      <x:c r="R241" s="66" t="str">
        <x:v>https://sidatagrun-public-1076756628210.asia-southeast2.run.app/ptn_sn.php?ptn=121</x:v>
      </x:c>
    </x:row>
    <x:row r="242">
      <x:c r="A242" s="87" t="n">
        <x:v>200</x:v>
      </x:c>
      <x:c r="B242" s="87" t="n">
        <x:v>121</x:v>
      </x:c>
      <x:c r="C242" s="66" t="str">
        <x:v>UNIVERSITAS SUMATERA UTARA</x:v>
      </x:c>
      <x:c r="D242" s="66" t="str">
        <x:v>PTN Akademik</x:v>
      </x:c>
      <x:c r="E242" s="66" t="str">
        <x:v>11211030</x:v>
      </x:c>
      <x:c r="F242" s="66" t="str">
        <x:v>AKUNTANSI</x:v>
      </x:c>
      <x:c r="G242" s="66" t="str">
        <x:v>Sarjana</x:v>
      </x:c>
      <x:c r="H242" s="87" t="n">
        <x:v>55</x:v>
      </x:c>
      <x:c r="I242" s="87" t="n">
        <x:v>1488</x:v>
      </x:c>
      <x:c r="J242" s="68" t="n">
        <x:f>IFERROR(H242/I242,"")</x:f>
        <x:v>0.03696236559139785</x:v>
      </x:c>
      <x:c r="K242" s="69" t="n">
        <x:f>IFERROR(I242/H242,"")</x:f>
        <x:v>27.054545454545455</x:v>
      </x:c>
      <x:c r="L242" s="66" t="str">
        <x:f>IF(K242="","","1 : "&amp;TEXT(K242,"0.0"))</x:f>
        <x:v>1 : 27.1</x:v>
      </x:c>
      <x:c r="M242" s="66" t="str">
        <x:f>IF(J242="","Baru/Tanpa Data",IF(J242&lt;='Catatan &amp; Sumber'!$B$14,"Sangat Ketat",IF(J242&lt;='Catatan &amp; Sumber'!$B$15,"Ketat",IF(J242&lt;='Catatan &amp; Sumber'!$B$16,"Sedang","Relatif Longgar"))))</x:f>
        <x:v>Ketat</x:v>
      </x:c>
      <x:c r="N242" s="66" t="str">
        <x:v>Tidak Ada</x:v>
      </x:c>
      <x:c r="O242" s="66" t="str">
        <x:v>Sumatera Utara</x:v>
      </x:c>
      <x:c r="P242" s="66" t="str">
        <x:v>Kota Medan</x:v>
      </x:c>
      <x:c r="Q242" s="66" t="str">
        <x:v>https://snpmb.id/snbp/daya-tampung-snbp</x:v>
      </x:c>
      <x:c r="R242" s="66" t="str">
        <x:v>https://sidatagrun-public-1076756628210.asia-southeast2.run.app/ptn_sn.php?ptn=121</x:v>
      </x:c>
    </x:row>
    <x:row r="243">
      <x:c r="A243" s="87" t="n">
        <x:v>1535</x:v>
      </x:c>
      <x:c r="B243" s="87" t="n">
        <x:v>121</x:v>
      </x:c>
      <x:c r="C243" s="66" t="str">
        <x:v>UNIVERSITAS SUMATERA UTARA</x:v>
      </x:c>
      <x:c r="D243" s="66" t="str">
        <x:v>PTN Akademik</x:v>
      </x:c>
      <x:c r="E243" s="66" t="str">
        <x:v>11211031</x:v>
      </x:c>
      <x:c r="F243" s="66" t="str">
        <x:v>SOSIOLOGI</x:v>
      </x:c>
      <x:c r="G243" s="66" t="str">
        <x:v>Sarjana</x:v>
      </x:c>
      <x:c r="H243" s="87" t="n">
        <x:v>42</x:v>
      </x:c>
      <x:c r="I243" s="87" t="n">
        <x:v>375</x:v>
      </x:c>
      <x:c r="J243" s="68" t="n">
        <x:f>IFERROR(H243/I243,"")</x:f>
        <x:v>0.112</x:v>
      </x:c>
      <x:c r="K243" s="69" t="n">
        <x:f>IFERROR(I243/H243,"")</x:f>
        <x:v>8.928571428571429</x:v>
      </x:c>
      <x:c r="L243" s="66" t="str">
        <x:f>IF(K243="","","1 : "&amp;TEXT(K243,"0.0"))</x:f>
        <x:v>1 : 8.9</x:v>
      </x:c>
      <x:c r="M243" s="66" t="str">
        <x:f>IF(J243="","Baru/Tanpa Data",IF(J243&lt;='Catatan &amp; Sumber'!$B$14,"Sangat Ketat",IF(J243&lt;='Catatan &amp; Sumber'!$B$15,"Ketat",IF(J243&lt;='Catatan &amp; Sumber'!$B$16,"Sedang","Relatif Longgar"))))</x:f>
        <x:v>Relatif Longgar</x:v>
      </x:c>
      <x:c r="N243" s="66" t="str">
        <x:v>Tidak Ada</x:v>
      </x:c>
      <x:c r="O243" s="66" t="str">
        <x:v>Sumatera Utara</x:v>
      </x:c>
      <x:c r="P243" s="66" t="str">
        <x:v>Kota Medan</x:v>
      </x:c>
      <x:c r="Q243" s="66" t="str">
        <x:v>https://snpmb.id/snbp/daya-tampung-snbp</x:v>
      </x:c>
      <x:c r="R243" s="66" t="str">
        <x:v>https://sidatagrun-public-1076756628210.asia-southeast2.run.app/ptn_sn.php?ptn=121</x:v>
      </x:c>
    </x:row>
    <x:row r="244">
      <x:c r="A244" s="87" t="n">
        <x:v>1123</x:v>
      </x:c>
      <x:c r="B244" s="87" t="n">
        <x:v>121</x:v>
      </x:c>
      <x:c r="C244" s="66" t="str">
        <x:v>UNIVERSITAS SUMATERA UTARA</x:v>
      </x:c>
      <x:c r="D244" s="66" t="str">
        <x:v>PTN Akademik</x:v>
      </x:c>
      <x:c r="E244" s="66" t="str">
        <x:v>11211032</x:v>
      </x:c>
      <x:c r="F244" s="66" t="str">
        <x:v>ILMU KESEJAHTERAAN SOSIAL</x:v>
      </x:c>
      <x:c r="G244" s="66" t="str">
        <x:v>Sarjana</x:v>
      </x:c>
      <x:c r="H244" s="87" t="n">
        <x:v>30</x:v>
      </x:c>
      <x:c r="I244" s="87" t="n">
        <x:v>352</x:v>
      </x:c>
      <x:c r="J244" s="68" t="n">
        <x:f>IFERROR(H244/I244,"")</x:f>
        <x:v>0.08522727272727272</x:v>
      </x:c>
      <x:c r="K244" s="69" t="n">
        <x:f>IFERROR(I244/H244,"")</x:f>
        <x:v>11.733333333333333</x:v>
      </x:c>
      <x:c r="L244" s="66" t="str">
        <x:f>IF(K244="","","1 : "&amp;TEXT(K244,"0.0"))</x:f>
        <x:v>1 : 11.7</x:v>
      </x:c>
      <x:c r="M244" s="66" t="str">
        <x:f>IF(J244="","Baru/Tanpa Data",IF(J244&lt;='Catatan &amp; Sumber'!$B$14,"Sangat Ketat",IF(J244&lt;='Catatan &amp; Sumber'!$B$15,"Ketat",IF(J244&lt;='Catatan &amp; Sumber'!$B$16,"Sedang","Relatif Longgar"))))</x:f>
        <x:v>Sedang</x:v>
      </x:c>
      <x:c r="N244" s="66" t="str">
        <x:v>Tidak Ada</x:v>
      </x:c>
      <x:c r="O244" s="66" t="str">
        <x:v>Sumatera Utara</x:v>
      </x:c>
      <x:c r="P244" s="66" t="str">
        <x:v>Kota Medan</x:v>
      </x:c>
      <x:c r="Q244" s="66" t="str">
        <x:v>https://snpmb.id/snbp/daya-tampung-snbp</x:v>
      </x:c>
      <x:c r="R244" s="66" t="str">
        <x:v>https://sidatagrun-public-1076756628210.asia-southeast2.run.app/ptn_sn.php?ptn=121</x:v>
      </x:c>
    </x:row>
    <x:row r="245">
      <x:c r="A245" s="87" t="n">
        <x:v>181</x:v>
      </x:c>
      <x:c r="B245" s="87" t="n">
        <x:v>121</x:v>
      </x:c>
      <x:c r="C245" s="66" t="str">
        <x:v>UNIVERSITAS SUMATERA UTARA</x:v>
      </x:c>
      <x:c r="D245" s="66" t="str">
        <x:v>PTN Akademik</x:v>
      </x:c>
      <x:c r="E245" s="66" t="str">
        <x:v>11211033</x:v>
      </x:c>
      <x:c r="F245" s="66" t="str">
        <x:v>ILMU ADMINISTRASI NEGARA</x:v>
      </x:c>
      <x:c r="G245" s="66" t="str">
        <x:v>Sarjana</x:v>
      </x:c>
      <x:c r="H245" s="87" t="n">
        <x:v>27</x:v>
      </x:c>
      <x:c r="I245" s="87" t="n">
        <x:v>754</x:v>
      </x:c>
      <x:c r="J245" s="68" t="n">
        <x:f>IFERROR(H245/I245,"")</x:f>
        <x:v>0.03580901856763926</x:v>
      </x:c>
      <x:c r="K245" s="69" t="n">
        <x:f>IFERROR(I245/H245,"")</x:f>
        <x:v>27.925925925925927</x:v>
      </x:c>
      <x:c r="L245" s="66" t="str">
        <x:f>IF(K245="","","1 : "&amp;TEXT(K245,"0.0"))</x:f>
        <x:v>1 : 27.9</x:v>
      </x:c>
      <x:c r="M245" s="66" t="str">
        <x:f>IF(J245="","Baru/Tanpa Data",IF(J245&lt;='Catatan &amp; Sumber'!$B$14,"Sangat Ketat",IF(J245&lt;='Catatan &amp; Sumber'!$B$15,"Ketat",IF(J245&lt;='Catatan &amp; Sumber'!$B$16,"Sedang","Relatif Longgar"))))</x:f>
        <x:v>Ketat</x:v>
      </x:c>
      <x:c r="N245" s="66" t="str">
        <x:v>Tidak Ada</x:v>
      </x:c>
      <x:c r="O245" s="66" t="str">
        <x:v>Sumatera Utara</x:v>
      </x:c>
      <x:c r="P245" s="66" t="str">
        <x:v>Kota Medan</x:v>
      </x:c>
      <x:c r="Q245" s="66" t="str">
        <x:v>https://snpmb.id/snbp/daya-tampung-snbp</x:v>
      </x:c>
      <x:c r="R245" s="66" t="str">
        <x:v>https://sidatagrun-public-1076756628210.asia-southeast2.run.app/ptn_sn.php?ptn=121</x:v>
      </x:c>
    </x:row>
    <x:row r="246">
      <x:c r="A246" s="87" t="n">
        <x:v>59</x:v>
      </x:c>
      <x:c r="B246" s="87" t="n">
        <x:v>121</x:v>
      </x:c>
      <x:c r="C246" s="66" t="str">
        <x:v>UNIVERSITAS SUMATERA UTARA</x:v>
      </x:c>
      <x:c r="D246" s="66" t="str">
        <x:v>PTN Akademik</x:v>
      </x:c>
      <x:c r="E246" s="66" t="str">
        <x:v>11211034</x:v>
      </x:c>
      <x:c r="F246" s="66" t="str">
        <x:v>ILMU KOMUNIKASI</x:v>
      </x:c>
      <x:c r="G246" s="66" t="str">
        <x:v>Sarjana</x:v>
      </x:c>
      <x:c r="H246" s="87" t="n">
        <x:v>27</x:v>
      </x:c>
      <x:c r="I246" s="87" t="n">
        <x:v>1108</x:v>
      </x:c>
      <x:c r="J246" s="68" t="n">
        <x:f>IFERROR(H246/I246,"")</x:f>
        <x:v>0.024368231046931407</x:v>
      </x:c>
      <x:c r="K246" s="69" t="n">
        <x:f>IFERROR(I246/H246,"")</x:f>
        <x:v>41.03703703703704</x:v>
      </x:c>
      <x:c r="L246" s="66" t="str">
        <x:f>IF(K246="","","1 : "&amp;TEXT(K246,"0.0"))</x:f>
        <x:v>1 : 41.0</x:v>
      </x:c>
      <x:c r="M246" s="66" t="str">
        <x:f>IF(J246="","Baru/Tanpa Data",IF(J246&lt;='Catatan &amp; Sumber'!$B$14,"Sangat Ketat",IF(J246&lt;='Catatan &amp; Sumber'!$B$15,"Ketat",IF(J246&lt;='Catatan &amp; Sumber'!$B$16,"Sedang","Relatif Longgar"))))</x:f>
        <x:v>Ketat</x:v>
      </x:c>
      <x:c r="N246" s="66" t="str">
        <x:v>Tidak Ada</x:v>
      </x:c>
      <x:c r="O246" s="66" t="str">
        <x:v>Sumatera Utara</x:v>
      </x:c>
      <x:c r="P246" s="66" t="str">
        <x:v>Kota Medan</x:v>
      </x:c>
      <x:c r="Q246" s="66" t="str">
        <x:v>https://snpmb.id/snbp/daya-tampung-snbp</x:v>
      </x:c>
      <x:c r="R246" s="66" t="str">
        <x:v>https://sidatagrun-public-1076756628210.asia-southeast2.run.app/ptn_sn.php?ptn=121</x:v>
      </x:c>
    </x:row>
    <x:row r="247">
      <x:c r="A247" s="87" t="n">
        <x:v>132</x:v>
      </x:c>
      <x:c r="B247" s="87" t="n">
        <x:v>121</x:v>
      </x:c>
      <x:c r="C247" s="66" t="str">
        <x:v>UNIVERSITAS SUMATERA UTARA</x:v>
      </x:c>
      <x:c r="D247" s="66" t="str">
        <x:v>PTN Akademik</x:v>
      </x:c>
      <x:c r="E247" s="66" t="str">
        <x:v>11211035</x:v>
      </x:c>
      <x:c r="F247" s="66" t="str">
        <x:v>MANAJEMEN</x:v>
      </x:c>
      <x:c r="G247" s="66" t="str">
        <x:v>Sarjana</x:v>
      </x:c>
      <x:c r="H247" s="87" t="n">
        <x:v>55</x:v>
      </x:c>
      <x:c r="I247" s="87" t="n">
        <x:v>1743</x:v>
      </x:c>
      <x:c r="J247" s="68" t="n">
        <x:f>IFERROR(H247/I247,"")</x:f>
        <x:v>0.03155479059093517</x:v>
      </x:c>
      <x:c r="K247" s="69" t="n">
        <x:f>IFERROR(I247/H247,"")</x:f>
        <x:v>31.69090909090909</x:v>
      </x:c>
      <x:c r="L247" s="66" t="str">
        <x:f>IF(K247="","","1 : "&amp;TEXT(K247,"0.0"))</x:f>
        <x:v>1 : 31.7</x:v>
      </x:c>
      <x:c r="M247" s="66" t="str">
        <x:f>IF(J247="","Baru/Tanpa Data",IF(J247&lt;='Catatan &amp; Sumber'!$B$14,"Sangat Ketat",IF(J247&lt;='Catatan &amp; Sumber'!$B$15,"Ketat",IF(J247&lt;='Catatan &amp; Sumber'!$B$16,"Sedang","Relatif Longgar"))))</x:f>
        <x:v>Ketat</x:v>
      </x:c>
      <x:c r="N247" s="66" t="str">
        <x:v>Tidak Ada</x:v>
      </x:c>
      <x:c r="O247" s="66" t="str">
        <x:v>Sumatera Utara</x:v>
      </x:c>
      <x:c r="P247" s="66" t="str">
        <x:v>Kota Medan</x:v>
      </x:c>
      <x:c r="Q247" s="66" t="str">
        <x:v>https://snpmb.id/snbp/daya-tampung-snbp</x:v>
      </x:c>
      <x:c r="R247" s="66" t="str">
        <x:v>https://sidatagrun-public-1076756628210.asia-southeast2.run.app/ptn_sn.php?ptn=121</x:v>
      </x:c>
    </x:row>
    <x:row r="248">
      <x:c r="A248" s="87" t="n">
        <x:v>1092</x:v>
      </x:c>
      <x:c r="B248" s="87" t="n">
        <x:v>121</x:v>
      </x:c>
      <x:c r="C248" s="66" t="str">
        <x:v>UNIVERSITAS SUMATERA UTARA</x:v>
      </x:c>
      <x:c r="D248" s="66" t="str">
        <x:v>PTN Akademik</x:v>
      </x:c>
      <x:c r="E248" s="66" t="str">
        <x:v>11211036</x:v>
      </x:c>
      <x:c r="F248" s="66" t="str">
        <x:v>EKONOMI PEMBANGUNAN</x:v>
      </x:c>
      <x:c r="G248" s="66" t="str">
        <x:v>Sarjana</x:v>
      </x:c>
      <x:c r="H248" s="87" t="n">
        <x:v>44</x:v>
      </x:c>
      <x:c r="I248" s="87" t="n">
        <x:v>528</x:v>
      </x:c>
      <x:c r="J248" s="68" t="n">
        <x:f>IFERROR(H248/I248,"")</x:f>
        <x:v>0.08333333333333333</x:v>
      </x:c>
      <x:c r="K248" s="69" t="n">
        <x:f>IFERROR(I248/H248,"")</x:f>
        <x:v>12</x:v>
      </x:c>
      <x:c r="L248" s="66" t="str">
        <x:f>IF(K248="","","1 : "&amp;TEXT(K248,"0.0"))</x:f>
        <x:v>1 : 12.0</x:v>
      </x:c>
      <x:c r="M248" s="66" t="str">
        <x:f>IF(J248="","Baru/Tanpa Data",IF(J248&lt;='Catatan &amp; Sumber'!$B$14,"Sangat Ketat",IF(J248&lt;='Catatan &amp; Sumber'!$B$15,"Ketat",IF(J248&lt;='Catatan &amp; Sumber'!$B$16,"Sedang","Relatif Longgar"))))</x:f>
        <x:v>Sedang</x:v>
      </x:c>
      <x:c r="N248" s="66" t="str">
        <x:v>Tidak Ada</x:v>
      </x:c>
      <x:c r="O248" s="66" t="str">
        <x:v>Sumatera Utara</x:v>
      </x:c>
      <x:c r="P248" s="66" t="str">
        <x:v>Kota Medan</x:v>
      </x:c>
      <x:c r="Q248" s="66" t="str">
        <x:v>https://snpmb.id/snbp/daya-tampung-snbp</x:v>
      </x:c>
      <x:c r="R248" s="66" t="str">
        <x:v>https://sidatagrun-public-1076756628210.asia-southeast2.run.app/ptn_sn.php?ptn=121</x:v>
      </x:c>
    </x:row>
    <x:row r="249">
      <x:c r="A249" s="87" t="n">
        <x:v>1227</x:v>
      </x:c>
      <x:c r="B249" s="87" t="n">
        <x:v>121</x:v>
      </x:c>
      <x:c r="C249" s="66" t="str">
        <x:v>UNIVERSITAS SUMATERA UTARA</x:v>
      </x:c>
      <x:c r="D249" s="66" t="str">
        <x:v>PTN Akademik</x:v>
      </x:c>
      <x:c r="E249" s="66" t="str">
        <x:v>11211037</x:v>
      </x:c>
      <x:c r="F249" s="66" t="str">
        <x:v>ILMU POLITIK</x:v>
      </x:c>
      <x:c r="G249" s="66" t="str">
        <x:v>Sarjana</x:v>
      </x:c>
      <x:c r="H249" s="87" t="n">
        <x:v>30</x:v>
      </x:c>
      <x:c r="I249" s="87" t="n">
        <x:v>327</x:v>
      </x:c>
      <x:c r="J249" s="68" t="n">
        <x:f>IFERROR(H249/I249,"")</x:f>
        <x:v>0.09174311926605505</x:v>
      </x:c>
      <x:c r="K249" s="69" t="n">
        <x:f>IFERROR(I249/H249,"")</x:f>
        <x:v>10.9</x:v>
      </x:c>
      <x:c r="L249" s="66" t="str">
        <x:f>IF(K249="","","1 : "&amp;TEXT(K249,"0.0"))</x:f>
        <x:v>1 : 10.9</x:v>
      </x:c>
      <x:c r="M249" s="66" t="str">
        <x:f>IF(J249="","Baru/Tanpa Data",IF(J249&lt;='Catatan &amp; Sumber'!$B$14,"Sangat Ketat",IF(J249&lt;='Catatan &amp; Sumber'!$B$15,"Ketat",IF(J249&lt;='Catatan &amp; Sumber'!$B$16,"Sedang","Relatif Longgar"))))</x:f>
        <x:v>Sedang</x:v>
      </x:c>
      <x:c r="N249" s="66" t="str">
        <x:v>Tidak Ada</x:v>
      </x:c>
      <x:c r="O249" s="66" t="str">
        <x:v>Sumatera Utara</x:v>
      </x:c>
      <x:c r="P249" s="66" t="str">
        <x:v>Kota Medan</x:v>
      </x:c>
      <x:c r="Q249" s="66" t="str">
        <x:v>https://snpmb.id/snbp/daya-tampung-snbp</x:v>
      </x:c>
      <x:c r="R249" s="66" t="str">
        <x:v>https://sidatagrun-public-1076756628210.asia-southeast2.run.app/ptn_sn.php?ptn=121</x:v>
      </x:c>
    </x:row>
    <x:row r="250">
      <x:c r="A250" s="87" t="n">
        <x:v>2194</x:v>
      </x:c>
      <x:c r="B250" s="87" t="n">
        <x:v>121</x:v>
      </x:c>
      <x:c r="C250" s="66" t="str">
        <x:v>UNIVERSITAS SUMATERA UTARA</x:v>
      </x:c>
      <x:c r="D250" s="66" t="str">
        <x:v>PTN Akademik</x:v>
      </x:c>
      <x:c r="E250" s="66" t="str">
        <x:v>11211038</x:v>
      </x:c>
      <x:c r="F250" s="66" t="str">
        <x:v>SASTRA INDONESIA</x:v>
      </x:c>
      <x:c r="G250" s="66" t="str">
        <x:v>Sarjana</x:v>
      </x:c>
      <x:c r="H250" s="87" t="n">
        <x:v>57</x:v>
      </x:c>
      <x:c r="I250" s="87" t="n">
        <x:v>334</x:v>
      </x:c>
      <x:c r="J250" s="68" t="n">
        <x:f>IFERROR(H250/I250,"")</x:f>
        <x:v>0.17065868263473055</x:v>
      </x:c>
      <x:c r="K250" s="69" t="n">
        <x:f>IFERROR(I250/H250,"")</x:f>
        <x:v>5.859649122807017</x:v>
      </x:c>
      <x:c r="L250" s="66" t="str">
        <x:f>IF(K250="","","1 : "&amp;TEXT(K250,"0.0"))</x:f>
        <x:v>1 : 5.9</x:v>
      </x:c>
      <x:c r="M250" s="66" t="str">
        <x:f>IF(J250="","Baru/Tanpa Data",IF(J250&lt;='Catatan &amp; Sumber'!$B$14,"Sangat Ketat",IF(J250&lt;='Catatan &amp; Sumber'!$B$15,"Ketat",IF(J250&lt;='Catatan &amp; Sumber'!$B$16,"Sedang","Relatif Longgar"))))</x:f>
        <x:v>Relatif Longgar</x:v>
      </x:c>
      <x:c r="N250" s="66" t="str">
        <x:v>Tidak Ada</x:v>
      </x:c>
      <x:c r="O250" s="66" t="str">
        <x:v>Sumatera Utara</x:v>
      </x:c>
      <x:c r="P250" s="66" t="str">
        <x:v>Kota Medan</x:v>
      </x:c>
      <x:c r="Q250" s="66" t="str">
        <x:v>https://snpmb.id/snbp/daya-tampung-snbp</x:v>
      </x:c>
      <x:c r="R250" s="66" t="str">
        <x:v>https://sidatagrun-public-1076756628210.asia-southeast2.run.app/ptn_sn.php?ptn=121</x:v>
      </x:c>
    </x:row>
    <x:row r="251">
      <x:c r="A251" s="87" t="n">
        <x:v>4865</x:v>
      </x:c>
      <x:c r="B251" s="87" t="n">
        <x:v>121</x:v>
      </x:c>
      <x:c r="C251" s="66" t="str">
        <x:v>UNIVERSITAS SUMATERA UTARA</x:v>
      </x:c>
      <x:c r="D251" s="66" t="str">
        <x:v>PTN Akademik</x:v>
      </x:c>
      <x:c r="E251" s="66" t="str">
        <x:v>11211039</x:v>
      </x:c>
      <x:c r="F251" s="66" t="str">
        <x:v>SASTRA DAERAH UNTUK SASTRA MELAYU</x:v>
      </x:c>
      <x:c r="G251" s="66" t="str">
        <x:v>Sarjana</x:v>
      </x:c>
      <x:c r="H251" s="87" t="n">
        <x:v>38</x:v>
      </x:c>
      <x:c r="I251" s="87" t="n">
        <x:v>6</x:v>
      </x:c>
      <x:c r="J251" s="68" t="n">
        <x:f>IFERROR(H251/I251,"")</x:f>
        <x:v>6.333333333333333</x:v>
      </x:c>
      <x:c r="K251" s="69" t="n">
        <x:f>IFERROR(I251/H251,"")</x:f>
        <x:v>0.15789473684210525</x:v>
      </x:c>
      <x:c r="L251" s="66" t="str">
        <x:f>IF(K251="","","1 : "&amp;TEXT(K251,"0.0"))</x:f>
        <x:v>1 : 0.2</x:v>
      </x:c>
      <x:c r="M251" s="66" t="str">
        <x:f>IF(J251="","Baru/Tanpa Data",IF(J251&lt;='Catatan &amp; Sumber'!$B$14,"Sangat Ketat",IF(J251&lt;='Catatan &amp; Sumber'!$B$15,"Ketat",IF(J251&lt;='Catatan &amp; Sumber'!$B$16,"Sedang","Relatif Longgar"))))</x:f>
        <x:v>Relatif Longgar</x:v>
      </x:c>
      <x:c r="N251" s="66" t="str">
        <x:v>Tidak Ada</x:v>
      </x:c>
      <x:c r="O251" s="66" t="str">
        <x:v>Sumatera Utara</x:v>
      </x:c>
      <x:c r="P251" s="66" t="str">
        <x:v>Kota Medan</x:v>
      </x:c>
      <x:c r="Q251" s="66" t="str">
        <x:v>https://snpmb.id/snbp/daya-tampung-snbp</x:v>
      </x:c>
      <x:c r="R251" s="66" t="str">
        <x:v>https://sidatagrun-public-1076756628210.asia-southeast2.run.app/ptn_sn.php?ptn=121</x:v>
      </x:c>
    </x:row>
    <x:row r="252">
      <x:c r="A252" s="87" t="n">
        <x:v>1497</x:v>
      </x:c>
      <x:c r="B252" s="87" t="n">
        <x:v>121</x:v>
      </x:c>
      <x:c r="C252" s="66" t="str">
        <x:v>UNIVERSITAS SUMATERA UTARA</x:v>
      </x:c>
      <x:c r="D252" s="66" t="str">
        <x:v>PTN Akademik</x:v>
      </x:c>
      <x:c r="E252" s="66" t="str">
        <x:v>11211040</x:v>
      </x:c>
      <x:c r="F252" s="66" t="str">
        <x:v>SASTRA INGGRIS</x:v>
      </x:c>
      <x:c r="G252" s="66" t="str">
        <x:v>Sarjana</x:v>
      </x:c>
      <x:c r="H252" s="87" t="n">
        <x:v>83</x:v>
      </x:c>
      <x:c r="I252" s="87" t="n">
        <x:v>760</x:v>
      </x:c>
      <x:c r="J252" s="68" t="n">
        <x:f>IFERROR(H252/I252,"")</x:f>
        <x:v>0.10921052631578948</x:v>
      </x:c>
      <x:c r="K252" s="69" t="n">
        <x:f>IFERROR(I252/H252,"")</x:f>
        <x:v>9.156626506024097</x:v>
      </x:c>
      <x:c r="L252" s="66" t="str">
        <x:f>IF(K252="","","1 : "&amp;TEXT(K252,"0.0"))</x:f>
        <x:v>1 : 9.2</x:v>
      </x:c>
      <x:c r="M252" s="66" t="str">
        <x:f>IF(J252="","Baru/Tanpa Data",IF(J252&lt;='Catatan &amp; Sumber'!$B$14,"Sangat Ketat",IF(J252&lt;='Catatan &amp; Sumber'!$B$15,"Ketat",IF(J252&lt;='Catatan &amp; Sumber'!$B$16,"Sedang","Relatif Longgar"))))</x:f>
        <x:v>Relatif Longgar</x:v>
      </x:c>
      <x:c r="N252" s="66" t="str">
        <x:v>Tidak Ada</x:v>
      </x:c>
      <x:c r="O252" s="66" t="str">
        <x:v>Sumatera Utara</x:v>
      </x:c>
      <x:c r="P252" s="66" t="str">
        <x:v>Kota Medan</x:v>
      </x:c>
      <x:c r="Q252" s="66" t="str">
        <x:v>https://snpmb.id/snbp/daya-tampung-snbp</x:v>
      </x:c>
      <x:c r="R252" s="66" t="str">
        <x:v>https://sidatagrun-public-1076756628210.asia-southeast2.run.app/ptn_sn.php?ptn=121</x:v>
      </x:c>
    </x:row>
    <x:row r="253">
      <x:c r="A253" s="87" t="n">
        <x:v>4545</x:v>
      </x:c>
      <x:c r="B253" s="87" t="n">
        <x:v>121</x:v>
      </x:c>
      <x:c r="C253" s="66" t="str">
        <x:v>UNIVERSITAS SUMATERA UTARA</x:v>
      </x:c>
      <x:c r="D253" s="66" t="str">
        <x:v>PTN Akademik</x:v>
      </x:c>
      <x:c r="E253" s="66" t="str">
        <x:v>11211041</x:v>
      </x:c>
      <x:c r="F253" s="66" t="str">
        <x:v>SASTRA DAERAH UNTUK SASTRA BATAK</x:v>
      </x:c>
      <x:c r="G253" s="66" t="str">
        <x:v>Sarjana</x:v>
      </x:c>
      <x:c r="H253" s="87" t="n">
        <x:v>30</x:v>
      </x:c>
      <x:c r="I253" s="87" t="n">
        <x:v>20</x:v>
      </x:c>
      <x:c r="J253" s="68" t="n">
        <x:f>IFERROR(H253/I253,"")</x:f>
        <x:v>1.5</x:v>
      </x:c>
      <x:c r="K253" s="69" t="n">
        <x:f>IFERROR(I253/H253,"")</x:f>
        <x:v>0.6666666666666666</x:v>
      </x:c>
      <x:c r="L253" s="66" t="str">
        <x:f>IF(K253="","","1 : "&amp;TEXT(K253,"0.0"))</x:f>
        <x:v>1 : 0.7</x:v>
      </x:c>
      <x:c r="M253" s="66" t="str">
        <x:f>IF(J253="","Baru/Tanpa Data",IF(J253&lt;='Catatan &amp; Sumber'!$B$14,"Sangat Ketat",IF(J253&lt;='Catatan &amp; Sumber'!$B$15,"Ketat",IF(J253&lt;='Catatan &amp; Sumber'!$B$16,"Sedang","Relatif Longgar"))))</x:f>
        <x:v>Relatif Longgar</x:v>
      </x:c>
      <x:c r="N253" s="66" t="str">
        <x:v>Tidak Ada</x:v>
      </x:c>
      <x:c r="O253" s="66" t="str">
        <x:v>Sumatera Utara</x:v>
      </x:c>
      <x:c r="P253" s="66" t="str">
        <x:v>Kota Medan</x:v>
      </x:c>
      <x:c r="Q253" s="66" t="str">
        <x:v>https://snpmb.id/snbp/daya-tampung-snbp</x:v>
      </x:c>
      <x:c r="R253" s="66" t="str">
        <x:v>https://sidatagrun-public-1076756628210.asia-southeast2.run.app/ptn_sn.php?ptn=121</x:v>
      </x:c>
    </x:row>
    <x:row r="254">
      <x:c r="A254" s="87" t="n">
        <x:v>3497</x:v>
      </x:c>
      <x:c r="B254" s="87" t="n">
        <x:v>121</x:v>
      </x:c>
      <x:c r="C254" s="66" t="str">
        <x:v>UNIVERSITAS SUMATERA UTARA</x:v>
      </x:c>
      <x:c r="D254" s="66" t="str">
        <x:v>PTN Akademik</x:v>
      </x:c>
      <x:c r="E254" s="66" t="str">
        <x:v>11211042</x:v>
      </x:c>
      <x:c r="F254" s="66" t="str">
        <x:v>SASTRA ARAB</x:v>
      </x:c>
      <x:c r="G254" s="66" t="str">
        <x:v>Sarjana</x:v>
      </x:c>
      <x:c r="H254" s="87" t="n">
        <x:v>70</x:v>
      </x:c>
      <x:c r="I254" s="87" t="n">
        <x:v>161</x:v>
      </x:c>
      <x:c r="J254" s="68" t="n">
        <x:f>IFERROR(H254/I254,"")</x:f>
        <x:v>0.43478260869565216</x:v>
      </x:c>
      <x:c r="K254" s="69" t="n">
        <x:f>IFERROR(I254/H254,"")</x:f>
        <x:v>2.3</x:v>
      </x:c>
      <x:c r="L254" s="66" t="str">
        <x:f>IF(K254="","","1 : "&amp;TEXT(K254,"0.0"))</x:f>
        <x:v>1 : 2.3</x:v>
      </x:c>
      <x:c r="M254" s="66" t="str">
        <x:f>IF(J254="","Baru/Tanpa Data",IF(J254&lt;='Catatan &amp; Sumber'!$B$14,"Sangat Ketat",IF(J254&lt;='Catatan &amp; Sumber'!$B$15,"Ketat",IF(J254&lt;='Catatan &amp; Sumber'!$B$16,"Sedang","Relatif Longgar"))))</x:f>
        <x:v>Relatif Longgar</x:v>
      </x:c>
      <x:c r="N254" s="66" t="str">
        <x:v>Tidak Ada</x:v>
      </x:c>
      <x:c r="O254" s="66" t="str">
        <x:v>Sumatera Utara</x:v>
      </x:c>
      <x:c r="P254" s="66" t="str">
        <x:v>Kota Medan</x:v>
      </x:c>
      <x:c r="Q254" s="66" t="str">
        <x:v>https://snpmb.id/snbp/daya-tampung-snbp</x:v>
      </x:c>
      <x:c r="R254" s="66" t="str">
        <x:v>https://sidatagrun-public-1076756628210.asia-southeast2.run.app/ptn_sn.php?ptn=121</x:v>
      </x:c>
    </x:row>
    <x:row r="255">
      <x:c r="A255" s="87" t="n">
        <x:v>4250</x:v>
      </x:c>
      <x:c r="B255" s="87" t="n">
        <x:v>121</x:v>
      </x:c>
      <x:c r="C255" s="66" t="str">
        <x:v>UNIVERSITAS SUMATERA UTARA</x:v>
      </x:c>
      <x:c r="D255" s="66" t="str">
        <x:v>PTN Akademik</x:v>
      </x:c>
      <x:c r="E255" s="66" t="str">
        <x:v>11211043</x:v>
      </x:c>
      <x:c r="F255" s="66" t="str">
        <x:v>ETNO MUSIKOLOGI</x:v>
      </x:c>
      <x:c r="G255" s="66" t="str">
        <x:v>Sarjana</x:v>
      </x:c>
      <x:c r="H255" s="87" t="n">
        <x:v>40</x:v>
      </x:c>
      <x:c r="I255" s="87" t="n">
        <x:v>44</x:v>
      </x:c>
      <x:c r="J255" s="68" t="n">
        <x:f>IFERROR(H255/I255,"")</x:f>
        <x:v>0.9090909090909091</x:v>
      </x:c>
      <x:c r="K255" s="69" t="n">
        <x:f>IFERROR(I255/H255,"")</x:f>
        <x:v>1.1</x:v>
      </x:c>
      <x:c r="L255" s="66" t="str">
        <x:f>IF(K255="","","1 : "&amp;TEXT(K255,"0.0"))</x:f>
        <x:v>1 : 1.1</x:v>
      </x:c>
      <x:c r="M255" s="66" t="str">
        <x:f>IF(J255="","Baru/Tanpa Data",IF(J255&lt;='Catatan &amp; Sumber'!$B$14,"Sangat Ketat",IF(J255&lt;='Catatan &amp; Sumber'!$B$15,"Ketat",IF(J255&lt;='Catatan &amp; Sumber'!$B$16,"Sedang","Relatif Longgar"))))</x:f>
        <x:v>Relatif Longgar</x:v>
      </x:c>
      <x:c r="N255" s="66" t="str">
        <x:v>Etnomusikologi</x:v>
      </x:c>
      <x:c r="O255" s="66" t="str">
        <x:v>Sumatera Utara</x:v>
      </x:c>
      <x:c r="P255" s="66" t="str">
        <x:v>Kota Medan</x:v>
      </x:c>
      <x:c r="Q255" s="66" t="str">
        <x:v>https://snpmb.id/snbp/daya-tampung-snbp</x:v>
      </x:c>
      <x:c r="R255" s="66" t="str">
        <x:v>https://sidatagrun-public-1076756628210.asia-southeast2.run.app/ptn_sn.php?ptn=121</x:v>
      </x:c>
    </x:row>
    <x:row r="256">
      <x:c r="A256" s="87" t="n">
        <x:v>905</x:v>
      </x:c>
      <x:c r="B256" s="87" t="n">
        <x:v>121</x:v>
      </x:c>
      <x:c r="C256" s="66" t="str">
        <x:v>UNIVERSITAS SUMATERA UTARA</x:v>
      </x:c>
      <x:c r="D256" s="66" t="str">
        <x:v>PTN Akademik</x:v>
      </x:c>
      <x:c r="E256" s="66" t="str">
        <x:v>11211044</x:v>
      </x:c>
      <x:c r="F256" s="66" t="str">
        <x:v>SASTRA JEPANG</x:v>
      </x:c>
      <x:c r="G256" s="66" t="str">
        <x:v>Sarjana</x:v>
      </x:c>
      <x:c r="H256" s="87" t="n">
        <x:v>20</x:v>
      </x:c>
      <x:c r="I256" s="87" t="n">
        <x:v>275</x:v>
      </x:c>
      <x:c r="J256" s="68" t="n">
        <x:f>IFERROR(H256/I256,"")</x:f>
        <x:v>0.07272727272727272</x:v>
      </x:c>
      <x:c r="K256" s="69" t="n">
        <x:f>IFERROR(I256/H256,"")</x:f>
        <x:v>13.75</x:v>
      </x:c>
      <x:c r="L256" s="66" t="str">
        <x:f>IF(K256="","","1 : "&amp;TEXT(K256,"0.0"))</x:f>
        <x:v>1 : 13.8</x:v>
      </x:c>
      <x:c r="M256" s="66" t="str">
        <x:f>IF(J256="","Baru/Tanpa Data",IF(J256&lt;='Catatan &amp; Sumber'!$B$14,"Sangat Ketat",IF(J256&lt;='Catatan &amp; Sumber'!$B$15,"Ketat",IF(J256&lt;='Catatan &amp; Sumber'!$B$16,"Sedang","Relatif Longgar"))))</x:f>
        <x:v>Sedang</x:v>
      </x:c>
      <x:c r="N256" s="66" t="str">
        <x:v>Tidak Ada</x:v>
      </x:c>
      <x:c r="O256" s="66" t="str">
        <x:v>Sumatera Utara</x:v>
      </x:c>
      <x:c r="P256" s="66" t="str">
        <x:v>Kota Medan</x:v>
      </x:c>
      <x:c r="Q256" s="66" t="str">
        <x:v>https://snpmb.id/snbp/daya-tampung-snbp</x:v>
      </x:c>
      <x:c r="R256" s="66" t="str">
        <x:v>https://sidatagrun-public-1076756628210.asia-southeast2.run.app/ptn_sn.php?ptn=121</x:v>
      </x:c>
    </x:row>
    <x:row r="257">
      <x:c r="A257" s="87" t="n">
        <x:v>1095</x:v>
      </x:c>
      <x:c r="B257" s="87" t="n">
        <x:v>121</x:v>
      </x:c>
      <x:c r="C257" s="66" t="str">
        <x:v>UNIVERSITAS SUMATERA UTARA</x:v>
      </x:c>
      <x:c r="D257" s="66" t="str">
        <x:v>PTN Akademik</x:v>
      </x:c>
      <x:c r="E257" s="66" t="str">
        <x:v>11211045</x:v>
      </x:c>
      <x:c r="F257" s="66" t="str">
        <x:v>ILMU PERPUSTAKAAN</x:v>
      </x:c>
      <x:c r="G257" s="66" t="str">
        <x:v>Sarjana</x:v>
      </x:c>
      <x:c r="H257" s="87" t="n">
        <x:v>40</x:v>
      </x:c>
      <x:c r="I257" s="87" t="n">
        <x:v>478</x:v>
      </x:c>
      <x:c r="J257" s="68" t="n">
        <x:f>IFERROR(H257/I257,"")</x:f>
        <x:v>0.08368200836820083</x:v>
      </x:c>
      <x:c r="K257" s="69" t="n">
        <x:f>IFERROR(I257/H257,"")</x:f>
        <x:v>11.95</x:v>
      </x:c>
      <x:c r="L257" s="66" t="str">
        <x:f>IF(K257="","","1 : "&amp;TEXT(K257,"0.0"))</x:f>
        <x:v>1 : 12.0</x:v>
      </x:c>
      <x:c r="M257" s="66" t="str">
        <x:f>IF(J257="","Baru/Tanpa Data",IF(J257&lt;='Catatan &amp; Sumber'!$B$14,"Sangat Ketat",IF(J257&lt;='Catatan &amp; Sumber'!$B$15,"Ketat",IF(J257&lt;='Catatan &amp; Sumber'!$B$16,"Sedang","Relatif Longgar"))))</x:f>
        <x:v>Sedang</x:v>
      </x:c>
      <x:c r="N257" s="66" t="str">
        <x:v>Tidak Ada</x:v>
      </x:c>
      <x:c r="O257" s="66" t="str">
        <x:v>Sumatera Utara</x:v>
      </x:c>
      <x:c r="P257" s="66" t="str">
        <x:v>Kota Medan</x:v>
      </x:c>
      <x:c r="Q257" s="66" t="str">
        <x:v>https://snpmb.id/snbp/daya-tampung-snbp</x:v>
      </x:c>
      <x:c r="R257" s="66" t="str">
        <x:v>https://sidatagrun-public-1076756628210.asia-southeast2.run.app/ptn_sn.php?ptn=121</x:v>
      </x:c>
    </x:row>
    <x:row r="258">
      <x:c r="A258" s="87" t="n">
        <x:v>1926</x:v>
      </x:c>
      <x:c r="B258" s="87" t="n">
        <x:v>121</x:v>
      </x:c>
      <x:c r="C258" s="66" t="str">
        <x:v>UNIVERSITAS SUMATERA UTARA</x:v>
      </x:c>
      <x:c r="D258" s="66" t="str">
        <x:v>PTN Akademik</x:v>
      </x:c>
      <x:c r="E258" s="66" t="str">
        <x:v>11211046</x:v>
      </x:c>
      <x:c r="F258" s="66" t="str">
        <x:v>SASTRA CINA</x:v>
      </x:c>
      <x:c r="G258" s="66" t="str">
        <x:v>Sarjana</x:v>
      </x:c>
      <x:c r="H258" s="87" t="n">
        <x:v>20</x:v>
      </x:c>
      <x:c r="I258" s="87" t="n">
        <x:v>139</x:v>
      </x:c>
      <x:c r="J258" s="68" t="n">
        <x:f>IFERROR(H258/I258,"")</x:f>
        <x:v>0.14388489208633093</x:v>
      </x:c>
      <x:c r="K258" s="69" t="n">
        <x:f>IFERROR(I258/H258,"")</x:f>
        <x:v>6.95</x:v>
      </x:c>
      <x:c r="L258" s="66" t="str">
        <x:f>IF(K258="","","1 : "&amp;TEXT(K258,"0.0"))</x:f>
        <x:v>1 : 7.0</x:v>
      </x:c>
      <x:c r="M258" s="66" t="str">
        <x:f>IF(J258="","Baru/Tanpa Data",IF(J258&lt;='Catatan &amp; Sumber'!$B$14,"Sangat Ketat",IF(J258&lt;='Catatan &amp; Sumber'!$B$15,"Ketat",IF(J258&lt;='Catatan &amp; Sumber'!$B$16,"Sedang","Relatif Longgar"))))</x:f>
        <x:v>Relatif Longgar</x:v>
      </x:c>
      <x:c r="N258" s="66" t="str">
        <x:v>Tidak Ada</x:v>
      </x:c>
      <x:c r="O258" s="66" t="str">
        <x:v>Sumatera Utara</x:v>
      </x:c>
      <x:c r="P258" s="66" t="str">
        <x:v>Kota Medan</x:v>
      </x:c>
      <x:c r="Q258" s="66" t="str">
        <x:v>https://snpmb.id/snbp/daya-tampung-snbp</x:v>
      </x:c>
      <x:c r="R258" s="66" t="str">
        <x:v>https://sidatagrun-public-1076756628210.asia-southeast2.run.app/ptn_sn.php?ptn=121</x:v>
      </x:c>
    </x:row>
    <x:row r="259">
      <x:c r="A259" s="87" t="n">
        <x:v>85</x:v>
      </x:c>
      <x:c r="B259" s="87" t="n">
        <x:v>121</x:v>
      </x:c>
      <x:c r="C259" s="66" t="str">
        <x:v>UNIVERSITAS SUMATERA UTARA</x:v>
      </x:c>
      <x:c r="D259" s="66" t="str">
        <x:v>PTN Akademik</x:v>
      </x:c>
      <x:c r="E259" s="66" t="str">
        <x:v>11211047</x:v>
      </x:c>
      <x:c r="F259" s="66" t="str">
        <x:v>ILMU ADMINISTRASI NIAGA/BISNIS</x:v>
      </x:c>
      <x:c r="G259" s="66" t="str">
        <x:v>Sarjana</x:v>
      </x:c>
      <x:c r="H259" s="87" t="n">
        <x:v>27</x:v>
      </x:c>
      <x:c r="I259" s="87" t="n">
        <x:v>1005</x:v>
      </x:c>
      <x:c r="J259" s="68" t="n">
        <x:f>IFERROR(H259/I259,"")</x:f>
        <x:v>0.026865671641791045</x:v>
      </x:c>
      <x:c r="K259" s="69" t="n">
        <x:f>IFERROR(I259/H259,"")</x:f>
        <x:v>37.22222222222222</x:v>
      </x:c>
      <x:c r="L259" s="66" t="str">
        <x:f>IF(K259="","","1 : "&amp;TEXT(K259,"0.0"))</x:f>
        <x:v>1 : 37.2</x:v>
      </x:c>
      <x:c r="M259" s="66" t="str">
        <x:f>IF(J259="","Baru/Tanpa Data",IF(J259&lt;='Catatan &amp; Sumber'!$B$14,"Sangat Ketat",IF(J259&lt;='Catatan &amp; Sumber'!$B$15,"Ketat",IF(J259&lt;='Catatan &amp; Sumber'!$B$16,"Sedang","Relatif Longgar"))))</x:f>
        <x:v>Ketat</x:v>
      </x:c>
      <x:c r="N259" s="66" t="str">
        <x:v>Tidak Ada</x:v>
      </x:c>
      <x:c r="O259" s="66" t="str">
        <x:v>Sumatera Utara</x:v>
      </x:c>
      <x:c r="P259" s="66" t="str">
        <x:v>Kota Medan</x:v>
      </x:c>
      <x:c r="Q259" s="66" t="str">
        <x:v>https://snpmb.id/snbp/daya-tampung-snbp</x:v>
      </x:c>
      <x:c r="R259" s="66" t="str">
        <x:v>https://sidatagrun-public-1076756628210.asia-southeast2.run.app/ptn_sn.php?ptn=121</x:v>
      </x:c>
    </x:row>
    <x:row r="260">
      <x:c r="A260" s="87" t="n">
        <x:v>455</x:v>
      </x:c>
      <x:c r="B260" s="87" t="n">
        <x:v>121</x:v>
      </x:c>
      <x:c r="C260" s="66" t="str">
        <x:v>UNIVERSITAS SUMATERA UTARA</x:v>
      </x:c>
      <x:c r="D260" s="66" t="str">
        <x:v>PTN Akademik</x:v>
      </x:c>
      <x:c r="E260" s="66" t="str">
        <x:v>11211048</x:v>
      </x:c>
      <x:c r="F260" s="66" t="str">
        <x:v>PSIKOLOGI</x:v>
      </x:c>
      <x:c r="G260" s="66" t="str">
        <x:v>Sarjana</x:v>
      </x:c>
      <x:c r="H260" s="87" t="n">
        <x:v>63</x:v>
      </x:c>
      <x:c r="I260" s="87" t="n">
        <x:v>1283</x:v>
      </x:c>
      <x:c r="J260" s="68" t="n">
        <x:f>IFERROR(H260/I260,"")</x:f>
        <x:v>0.049103663289166016</x:v>
      </x:c>
      <x:c r="K260" s="69" t="n">
        <x:f>IFERROR(I260/H260,"")</x:f>
        <x:v>20.365079365079364</x:v>
      </x:c>
      <x:c r="L260" s="66" t="str">
        <x:f>IF(K260="","","1 : "&amp;TEXT(K260,"0.0"))</x:f>
        <x:v>1 : 20.4</x:v>
      </x:c>
      <x:c r="M260" s="66" t="str">
        <x:f>IF(J260="","Baru/Tanpa Data",IF(J260&lt;='Catatan &amp; Sumber'!$B$14,"Sangat Ketat",IF(J260&lt;='Catatan &amp; Sumber'!$B$15,"Ketat",IF(J260&lt;='Catatan &amp; Sumber'!$B$16,"Sedang","Relatif Longgar"))))</x:f>
        <x:v>Ketat</x:v>
      </x:c>
      <x:c r="N260" s="66" t="str">
        <x:v>Tidak Ada</x:v>
      </x:c>
      <x:c r="O260" s="66" t="str">
        <x:v>Sumatera Utara</x:v>
      </x:c>
      <x:c r="P260" s="66" t="str">
        <x:v>Kota Medan</x:v>
      </x:c>
      <x:c r="Q260" s="66" t="str">
        <x:v>https://snpmb.id/snbp/daya-tampung-snbp</x:v>
      </x:c>
      <x:c r="R260" s="66" t="str">
        <x:v>https://sidatagrun-public-1076756628210.asia-southeast2.run.app/ptn_sn.php?ptn=121</x:v>
      </x:c>
    </x:row>
    <x:row r="261">
      <x:c r="A261" s="87" t="n">
        <x:v>402</x:v>
      </x:c>
      <x:c r="B261" s="87" t="n">
        <x:v>121</x:v>
      </x:c>
      <x:c r="C261" s="66" t="str">
        <x:v>UNIVERSITAS SUMATERA UTARA</x:v>
      </x:c>
      <x:c r="D261" s="66" t="str">
        <x:v>PTN Akademik</x:v>
      </x:c>
      <x:c r="E261" s="66" t="str">
        <x:v>11211049</x:v>
      </x:c>
      <x:c r="F261" s="66" t="str">
        <x:v>KEWIRAUSAHAAN</x:v>
      </x:c>
      <x:c r="G261" s="66" t="str">
        <x:v>Sarjana</x:v>
      </x:c>
      <x:c r="H261" s="87" t="n">
        <x:v>16</x:v>
      </x:c>
      <x:c r="I261" s="87" t="n">
        <x:v>341</x:v>
      </x:c>
      <x:c r="J261" s="68" t="n">
        <x:f>IFERROR(H261/I261,"")</x:f>
        <x:v>0.0469208211143695</x:v>
      </x:c>
      <x:c r="K261" s="69" t="n">
        <x:f>IFERROR(I261/H261,"")</x:f>
        <x:v>21.3125</x:v>
      </x:c>
      <x:c r="L261" s="66" t="str">
        <x:f>IF(K261="","","1 : "&amp;TEXT(K261,"0.0"))</x:f>
        <x:v>1 : 21.3</x:v>
      </x:c>
      <x:c r="M261" s="66" t="str">
        <x:f>IF(J261="","Baru/Tanpa Data",IF(J261&lt;='Catatan &amp; Sumber'!$B$14,"Sangat Ketat",IF(J261&lt;='Catatan &amp; Sumber'!$B$15,"Ketat",IF(J261&lt;='Catatan &amp; Sumber'!$B$16,"Sedang","Relatif Longgar"))))</x:f>
        <x:v>Ketat</x:v>
      </x:c>
      <x:c r="N261" s="66" t="str">
        <x:v>Tidak Ada</x:v>
      </x:c>
      <x:c r="O261" s="66" t="str">
        <x:v>Sumatera Utara</x:v>
      </x:c>
      <x:c r="P261" s="66" t="str">
        <x:v>Kota Medan</x:v>
      </x:c>
      <x:c r="Q261" s="66" t="str">
        <x:v>https://snpmb.id/snbp/daya-tampung-snbp</x:v>
      </x:c>
      <x:c r="R261" s="66" t="str">
        <x:v>https://sidatagrun-public-1076756628210.asia-southeast2.run.app/ptn_sn.php?ptn=121</x:v>
      </x:c>
    </x:row>
    <x:row r="262">
      <x:c r="A262" s="87"/>
      <x:c r="B262" s="87" t="n">
        <x:v>121</x:v>
      </x:c>
      <x:c r="C262" s="66" t="str">
        <x:v>UNIVERSITAS SUMATERA UTARA</x:v>
      </x:c>
      <x:c r="D262" s="66" t="str">
        <x:v>PTN Akademik</x:v>
      </x:c>
      <x:c r="E262" s="66" t="str">
        <x:v>11211071</x:v>
      </x:c>
      <x:c r="F262" s="66" t="str">
        <x:v>EKONOMI ISLAM</x:v>
      </x:c>
      <x:c r="G262" s="66" t="str">
        <x:v>Sarjana</x:v>
      </x:c>
      <x:c r="H262" s="87" t="n">
        <x:v>17</x:v>
      </x:c>
      <x:c r="I262" s="87"/>
      <x:c r="J262" s="68" t="str">
        <x:f>IFERROR(H262/I262,"")</x:f>
      </x:c>
      <x:c r="K262" s="69" t="n">
        <x:f>IFERROR(I262/H262,"")</x:f>
        <x:v>0</x:v>
      </x:c>
      <x:c r="L262" s="66" t="str">
        <x:f>IF(K262="","","1 : "&amp;TEXT(K262,"0.0"))</x:f>
      </x:c>
      <x:c r="M262" s="66" t="str">
        <x:f>IF(J262="","Baru/Tanpa Data",IF(J262&lt;='Catatan &amp; Sumber'!$B$14,"Sangat Ketat",IF(J262&lt;='Catatan &amp; Sumber'!$B$15,"Ketat",IF(J262&lt;='Catatan &amp; Sumber'!$B$16,"Sedang","Relatif Longgar"))))</x:f>
        <x:v>Baru/Tanpa Data</x:v>
      </x:c>
      <x:c r="N262" s="66" t="str">
        <x:v>Tidak Ada</x:v>
      </x:c>
      <x:c r="O262" s="66" t="str">
        <x:v>Sumatera Utara</x:v>
      </x:c>
      <x:c r="P262" s="66" t="str">
        <x:v>Kota Medan</x:v>
      </x:c>
      <x:c r="Q262" s="66" t="str">
        <x:v>https://snpmb.id/snbp/daya-tampung-snbp</x:v>
      </x:c>
      <x:c r="R262" s="66" t="str">
        <x:v>https://sidatagrun-public-1076756628210.asia-southeast2.run.app/ptn_sn.php?ptn=121</x:v>
      </x:c>
    </x:row>
    <x:row r="263">
      <x:c r="A263" s="87"/>
      <x:c r="B263" s="87" t="n">
        <x:v>121</x:v>
      </x:c>
      <x:c r="C263" s="66" t="str">
        <x:v>UNIVERSITAS SUMATERA UTARA</x:v>
      </x:c>
      <x:c r="D263" s="66" t="str">
        <x:v>PTN Akademik</x:v>
      </x:c>
      <x:c r="E263" s="66" t="str">
        <x:v>11211072</x:v>
      </x:c>
      <x:c r="F263" s="66" t="str">
        <x:v>TEKNIK PERTAMBANGAN</x:v>
      </x:c>
      <x:c r="G263" s="66" t="str">
        <x:v>Sarjana</x:v>
      </x:c>
      <x:c r="H263" s="87" t="n">
        <x:v>15</x:v>
      </x:c>
      <x:c r="I263" s="87"/>
      <x:c r="J263" s="68" t="str">
        <x:f>IFERROR(H263/I263,"")</x:f>
      </x:c>
      <x:c r="K263" s="69" t="n">
        <x:f>IFERROR(I263/H263,"")</x:f>
        <x:v>0</x:v>
      </x:c>
      <x:c r="L263" s="66" t="str">
        <x:f>IF(K263="","","1 : "&amp;TEXT(K263,"0.0"))</x:f>
      </x:c>
      <x:c r="M263" s="66" t="str">
        <x:f>IF(J263="","Baru/Tanpa Data",IF(J263&lt;='Catatan &amp; Sumber'!$B$14,"Sangat Ketat",IF(J263&lt;='Catatan &amp; Sumber'!$B$15,"Ketat",IF(J263&lt;='Catatan &amp; Sumber'!$B$16,"Sedang","Relatif Longgar"))))</x:f>
        <x:v>Baru/Tanpa Data</x:v>
      </x:c>
      <x:c r="N263" s="66" t="str">
        <x:v>Tidak Ada</x:v>
      </x:c>
      <x:c r="O263" s="66" t="str">
        <x:v>Sumatera Utara</x:v>
      </x:c>
      <x:c r="P263" s="66" t="str">
        <x:v>Kota Medan</x:v>
      </x:c>
      <x:c r="Q263" s="66" t="str">
        <x:v>https://snpmb.id/snbp/daya-tampung-snbp</x:v>
      </x:c>
      <x:c r="R263" s="66" t="str">
        <x:v>https://sidatagrun-public-1076756628210.asia-southeast2.run.app/ptn_sn.php?ptn=121</x:v>
      </x:c>
    </x:row>
    <x:row r="264">
      <x:c r="A264" s="87"/>
      <x:c r="B264" s="87" t="n">
        <x:v>121</x:v>
      </x:c>
      <x:c r="C264" s="66" t="str">
        <x:v>UNIVERSITAS SUMATERA UTARA</x:v>
      </x:c>
      <x:c r="D264" s="66" t="str">
        <x:v>PTN Akademik</x:v>
      </x:c>
      <x:c r="E264" s="66" t="str">
        <x:v>11211073</x:v>
      </x:c>
      <x:c r="F264" s="66" t="str">
        <x:v>TEKNIK LOGISTIK</x:v>
      </x:c>
      <x:c r="G264" s="66" t="str">
        <x:v>Sarjana</x:v>
      </x:c>
      <x:c r="H264" s="87" t="n">
        <x:v>15</x:v>
      </x:c>
      <x:c r="I264" s="87"/>
      <x:c r="J264" s="68" t="str">
        <x:f>IFERROR(H264/I264,"")</x:f>
      </x:c>
      <x:c r="K264" s="69" t="n">
        <x:f>IFERROR(I264/H264,"")</x:f>
        <x:v>0</x:v>
      </x:c>
      <x:c r="L264" s="66" t="str">
        <x:f>IF(K264="","","1 : "&amp;TEXT(K264,"0.0"))</x:f>
      </x:c>
      <x:c r="M264" s="66" t="str">
        <x:f>IF(J264="","Baru/Tanpa Data",IF(J264&lt;='Catatan &amp; Sumber'!$B$14,"Sangat Ketat",IF(J264&lt;='Catatan &amp; Sumber'!$B$15,"Ketat",IF(J264&lt;='Catatan &amp; Sumber'!$B$16,"Sedang","Relatif Longgar"))))</x:f>
        <x:v>Baru/Tanpa Data</x:v>
      </x:c>
      <x:c r="N264" s="66" t="str">
        <x:v>Tidak Ada</x:v>
      </x:c>
      <x:c r="O264" s="66" t="str">
        <x:v>Sumatera Utara</x:v>
      </x:c>
      <x:c r="P264" s="66" t="str">
        <x:v>Kota Medan</x:v>
      </x:c>
      <x:c r="Q264" s="66" t="str">
        <x:v>https://snpmb.id/snbp/daya-tampung-snbp</x:v>
      </x:c>
      <x:c r="R264" s="66" t="str">
        <x:v>https://sidatagrun-public-1076756628210.asia-southeast2.run.app/ptn_sn.php?ptn=121</x:v>
      </x:c>
    </x:row>
    <x:row r="265">
      <x:c r="A265" s="87"/>
      <x:c r="B265" s="87" t="n">
        <x:v>121</x:v>
      </x:c>
      <x:c r="C265" s="66" t="str">
        <x:v>UNIVERSITAS SUMATERA UTARA</x:v>
      </x:c>
      <x:c r="D265" s="66" t="str">
        <x:v>PTN Akademik</x:v>
      </x:c>
      <x:c r="E265" s="66" t="str">
        <x:v>11211074</x:v>
      </x:c>
      <x:c r="F265" s="66" t="str">
        <x:v>PERENCANAAN WILAYAH DAN KOTA</x:v>
      </x:c>
      <x:c r="G265" s="66" t="str">
        <x:v>Sarjana</x:v>
      </x:c>
      <x:c r="H265" s="87" t="n">
        <x:v>15</x:v>
      </x:c>
      <x:c r="I265" s="87"/>
      <x:c r="J265" s="68" t="str">
        <x:f>IFERROR(H265/I265,"")</x:f>
      </x:c>
      <x:c r="K265" s="69" t="n">
        <x:f>IFERROR(I265/H265,"")</x:f>
        <x:v>0</x:v>
      </x:c>
      <x:c r="L265" s="66" t="str">
        <x:f>IF(K265="","","1 : "&amp;TEXT(K265,"0.0"))</x:f>
      </x:c>
      <x:c r="M265" s="66" t="str">
        <x:f>IF(J265="","Baru/Tanpa Data",IF(J265&lt;='Catatan &amp; Sumber'!$B$14,"Sangat Ketat",IF(J265&lt;='Catatan &amp; Sumber'!$B$15,"Ketat",IF(J265&lt;='Catatan &amp; Sumber'!$B$16,"Sedang","Relatif Longgar"))))</x:f>
        <x:v>Baru/Tanpa Data</x:v>
      </x:c>
      <x:c r="N265" s="66" t="str">
        <x:v>Tidak Ada</x:v>
      </x:c>
      <x:c r="O265" s="66" t="str">
        <x:v>Sumatera Utara</x:v>
      </x:c>
      <x:c r="P265" s="66" t="str">
        <x:v>Kota Medan</x:v>
      </x:c>
      <x:c r="Q265" s="66" t="str">
        <x:v>https://snpmb.id/snbp/daya-tampung-snbp</x:v>
      </x:c>
      <x:c r="R265" s="66" t="str">
        <x:v>https://sidatagrun-public-1076756628210.asia-southeast2.run.app/ptn_sn.php?ptn=121</x:v>
      </x:c>
    </x:row>
    <x:row r="266">
      <x:c r="A266" s="87" t="n">
        <x:v>1792</x:v>
      </x:c>
      <x:c r="B266" s="87" t="n">
        <x:v>121</x:v>
      </x:c>
      <x:c r="C266" s="66" t="str">
        <x:v>UNIVERSITAS SUMATERA UTARA</x:v>
      </x:c>
      <x:c r="D266" s="66" t="str">
        <x:v>PTN Akademik</x:v>
      </x:c>
      <x:c r="E266" s="66" t="str">
        <x:v>11212064</x:v>
      </x:c>
      <x:c r="F266" s="66" t="str">
        <x:v>PERBANKAN DAN KEUANGAN</x:v>
      </x:c>
      <x:c r="G266" s="66" t="str">
        <x:v>Sarjana Terapan</x:v>
      </x:c>
      <x:c r="H266" s="87" t="n">
        <x:v>46</x:v>
      </x:c>
      <x:c r="I266" s="87" t="n">
        <x:v>349</x:v>
      </x:c>
      <x:c r="J266" s="68" t="n">
        <x:f>IFERROR(H266/I266,"")</x:f>
        <x:v>0.1318051575931232</x:v>
      </x:c>
      <x:c r="K266" s="69" t="n">
        <x:f>IFERROR(I266/H266,"")</x:f>
        <x:v>7.586956521739131</x:v>
      </x:c>
      <x:c r="L266" s="66" t="str">
        <x:f>IF(K266="","","1 : "&amp;TEXT(K266,"0.0"))</x:f>
        <x:v>1 : 7.6</x:v>
      </x:c>
      <x:c r="M266" s="66" t="str">
        <x:f>IF(J266="","Baru/Tanpa Data",IF(J266&lt;='Catatan &amp; Sumber'!$B$14,"Sangat Ketat",IF(J266&lt;='Catatan &amp; Sumber'!$B$15,"Ketat",IF(J266&lt;='Catatan &amp; Sumber'!$B$16,"Sedang","Relatif Longgar"))))</x:f>
        <x:v>Relatif Longgar</x:v>
      </x:c>
      <x:c r="N266" s="66" t="str">
        <x:v>Tidak Ada</x:v>
      </x:c>
      <x:c r="O266" s="66" t="str">
        <x:v>Sumatera Utara</x:v>
      </x:c>
      <x:c r="P266" s="66" t="str">
        <x:v>Kota Medan</x:v>
      </x:c>
      <x:c r="Q266" s="66" t="str">
        <x:v>https://snpmb.id/snbp/daya-tampung-snbp</x:v>
      </x:c>
      <x:c r="R266" s="66" t="str">
        <x:v>https://sidatagrun-public-1076756628210.asia-southeast2.run.app/ptn_sn.php?ptn=121</x:v>
      </x:c>
    </x:row>
    <x:row r="267">
      <x:c r="A267" s="87" t="n">
        <x:v>1638</x:v>
      </x:c>
      <x:c r="B267" s="87" t="n">
        <x:v>121</x:v>
      </x:c>
      <x:c r="C267" s="66" t="str">
        <x:v>UNIVERSITAS SUMATERA UTARA</x:v>
      </x:c>
      <x:c r="D267" s="66" t="str">
        <x:v>PTN Akademik</x:v>
      </x:c>
      <x:c r="E267" s="66" t="str">
        <x:v>11212065</x:v>
      </x:c>
      <x:c r="F267" s="66" t="str">
        <x:v>ADMINISTRASI PERKANTORAN DIGITAL</x:v>
      </x:c>
      <x:c r="G267" s="66" t="str">
        <x:v>Sarjana Terapan</x:v>
      </x:c>
      <x:c r="H267" s="87" t="n">
        <x:v>32</x:v>
      </x:c>
      <x:c r="I267" s="87" t="n">
        <x:v>268</x:v>
      </x:c>
      <x:c r="J267" s="68" t="n">
        <x:f>IFERROR(H267/I267,"")</x:f>
        <x:v>0.11940298507462686</x:v>
      </x:c>
      <x:c r="K267" s="69" t="n">
        <x:f>IFERROR(I267/H267,"")</x:f>
        <x:v>8.375</x:v>
      </x:c>
      <x:c r="L267" s="66" t="str">
        <x:f>IF(K267="","","1 : "&amp;TEXT(K267,"0.0"))</x:f>
        <x:v>1 : 8.4</x:v>
      </x:c>
      <x:c r="M267" s="66" t="str">
        <x:f>IF(J267="","Baru/Tanpa Data",IF(J267&lt;='Catatan &amp; Sumber'!$B$14,"Sangat Ketat",IF(J267&lt;='Catatan &amp; Sumber'!$B$15,"Ketat",IF(J267&lt;='Catatan &amp; Sumber'!$B$16,"Sedang","Relatif Longgar"))))</x:f>
        <x:v>Relatif Longgar</x:v>
      </x:c>
      <x:c r="N267" s="66" t="str">
        <x:v>Tidak Ada</x:v>
      </x:c>
      <x:c r="O267" s="66" t="str">
        <x:v>Sumatera Utara</x:v>
      </x:c>
      <x:c r="P267" s="66" t="str">
        <x:v>Kota Medan</x:v>
      </x:c>
      <x:c r="Q267" s="66" t="str">
        <x:v>https://snpmb.id/snbp/daya-tampung-snbp</x:v>
      </x:c>
      <x:c r="R267" s="66" t="str">
        <x:v>https://sidatagrun-public-1076756628210.asia-southeast2.run.app/ptn_sn.php?ptn=121</x:v>
      </x:c>
    </x:row>
    <x:row r="268">
      <x:c r="A268" s="87" t="n">
        <x:v>2914</x:v>
      </x:c>
      <x:c r="B268" s="87" t="n">
        <x:v>121</x:v>
      </x:c>
      <x:c r="C268" s="66" t="str">
        <x:v>UNIVERSITAS SUMATERA UTARA</x:v>
      </x:c>
      <x:c r="D268" s="66" t="str">
        <x:v>PTN Akademik</x:v>
      </x:c>
      <x:c r="E268" s="66" t="str">
        <x:v>11212066</x:v>
      </x:c>
      <x:c r="F268" s="66" t="str">
        <x:v>AKUNTANSI SEKTOR PUBLIK</x:v>
      </x:c>
      <x:c r="G268" s="66" t="str">
        <x:v>Sarjana Terapan</x:v>
      </x:c>
      <x:c r="H268" s="87" t="n">
        <x:v>44</x:v>
      </x:c>
      <x:c r="I268" s="87" t="n">
        <x:v>159</x:v>
      </x:c>
      <x:c r="J268" s="68" t="n">
        <x:f>IFERROR(H268/I268,"")</x:f>
        <x:v>0.27672955974842767</x:v>
      </x:c>
      <x:c r="K268" s="69" t="n">
        <x:f>IFERROR(I268/H268,"")</x:f>
        <x:v>3.6136363636363638</x:v>
      </x:c>
      <x:c r="L268" s="66" t="str">
        <x:f>IF(K268="","","1 : "&amp;TEXT(K268,"0.0"))</x:f>
        <x:v>1 : 3.6</x:v>
      </x:c>
      <x:c r="M268" s="66" t="str">
        <x:f>IF(J268="","Baru/Tanpa Data",IF(J268&lt;='Catatan &amp; Sumber'!$B$14,"Sangat Ketat",IF(J268&lt;='Catatan &amp; Sumber'!$B$15,"Ketat",IF(J268&lt;='Catatan &amp; Sumber'!$B$16,"Sedang","Relatif Longgar"))))</x:f>
        <x:v>Relatif Longgar</x:v>
      </x:c>
      <x:c r="N268" s="66" t="str">
        <x:v>Tidak Ada</x:v>
      </x:c>
      <x:c r="O268" s="66" t="str">
        <x:v>Sumatera Utara</x:v>
      </x:c>
      <x:c r="P268" s="66" t="str">
        <x:v>Kota Medan</x:v>
      </x:c>
      <x:c r="Q268" s="66" t="str">
        <x:v>https://snpmb.id/snbp/daya-tampung-snbp</x:v>
      </x:c>
      <x:c r="R268" s="66" t="str">
        <x:v>https://sidatagrun-public-1076756628210.asia-southeast2.run.app/ptn_sn.php?ptn=121</x:v>
      </x:c>
    </x:row>
    <x:row r="269">
      <x:c r="A269" s="87" t="n">
        <x:v>2213</x:v>
      </x:c>
      <x:c r="B269" s="87" t="n">
        <x:v>121</x:v>
      </x:c>
      <x:c r="C269" s="66" t="str">
        <x:v>UNIVERSITAS SUMATERA UTARA</x:v>
      </x:c>
      <x:c r="D269" s="66" t="str">
        <x:v>PTN Akademik</x:v>
      </x:c>
      <x:c r="E269" s="66" t="str">
        <x:v>11212067</x:v>
      </x:c>
      <x:c r="F269" s="66" t="str">
        <x:v>STATISTIKA</x:v>
      </x:c>
      <x:c r="G269" s="66" t="str">
        <x:v>Sarjana Terapan</x:v>
      </x:c>
      <x:c r="H269" s="87" t="n">
        <x:v>40</x:v>
      </x:c>
      <x:c r="I269" s="87" t="n">
        <x:v>230</x:v>
      </x:c>
      <x:c r="J269" s="68" t="n">
        <x:f>IFERROR(H269/I269,"")</x:f>
        <x:v>0.17391304347826086</x:v>
      </x:c>
      <x:c r="K269" s="69" t="n">
        <x:f>IFERROR(I269/H269,"")</x:f>
        <x:v>5.75</x:v>
      </x:c>
      <x:c r="L269" s="66" t="str">
        <x:f>IF(K269="","","1 : "&amp;TEXT(K269,"0.0"))</x:f>
        <x:v>1 : 5.8</x:v>
      </x:c>
      <x:c r="M269" s="66" t="str">
        <x:f>IF(J269="","Baru/Tanpa Data",IF(J269&lt;='Catatan &amp; Sumber'!$B$14,"Sangat Ketat",IF(J269&lt;='Catatan &amp; Sumber'!$B$15,"Ketat",IF(J269&lt;='Catatan &amp; Sumber'!$B$16,"Sedang","Relatif Longgar"))))</x:f>
        <x:v>Relatif Longgar</x:v>
      </x:c>
      <x:c r="N269" s="66" t="str">
        <x:v>Tidak Ada</x:v>
      </x:c>
      <x:c r="O269" s="66" t="str">
        <x:v>Sumatera Utara</x:v>
      </x:c>
      <x:c r="P269" s="66" t="str">
        <x:v>Kota Medan</x:v>
      </x:c>
      <x:c r="Q269" s="66" t="str">
        <x:v>https://snpmb.id/snbp/daya-tampung-snbp</x:v>
      </x:c>
      <x:c r="R269" s="66" t="str">
        <x:v>https://sidatagrun-public-1076756628210.asia-southeast2.run.app/ptn_sn.php?ptn=121</x:v>
      </x:c>
    </x:row>
    <x:row r="270">
      <x:c r="A270" s="87" t="n">
        <x:v>4122</x:v>
      </x:c>
      <x:c r="B270" s="87" t="n">
        <x:v>121</x:v>
      </x:c>
      <x:c r="C270" s="66" t="str">
        <x:v>UNIVERSITAS SUMATERA UTARA</x:v>
      </x:c>
      <x:c r="D270" s="66" t="str">
        <x:v>PTN Akademik</x:v>
      </x:c>
      <x:c r="E270" s="66" t="str">
        <x:v>11212068</x:v>
      </x:c>
      <x:c r="F270" s="66" t="str">
        <x:v>KIMIA TERAPAN</x:v>
      </x:c>
      <x:c r="G270" s="66" t="str">
        <x:v>Sarjana Terapan</x:v>
      </x:c>
      <x:c r="H270" s="87" t="n">
        <x:v>32</x:v>
      </x:c>
      <x:c r="I270" s="87" t="n">
        <x:v>41</x:v>
      </x:c>
      <x:c r="J270" s="68" t="n">
        <x:f>IFERROR(H270/I270,"")</x:f>
        <x:v>0.7804878048780488</x:v>
      </x:c>
      <x:c r="K270" s="69" t="n">
        <x:f>IFERROR(I270/H270,"")</x:f>
        <x:v>1.28125</x:v>
      </x:c>
      <x:c r="L270" s="66" t="str">
        <x:f>IF(K270="","","1 : "&amp;TEXT(K270,"0.0"))</x:f>
        <x:v>1 : 1.3</x:v>
      </x:c>
      <x:c r="M270" s="66" t="str">
        <x:f>IF(J270="","Baru/Tanpa Data",IF(J270&lt;='Catatan &amp; Sumber'!$B$14,"Sangat Ketat",IF(J270&lt;='Catatan &amp; Sumber'!$B$15,"Ketat",IF(J270&lt;='Catatan &amp; Sumber'!$B$16,"Sedang","Relatif Longgar"))))</x:f>
        <x:v>Relatif Longgar</x:v>
      </x:c>
      <x:c r="N270" s="66" t="str">
        <x:v>Tidak Ada</x:v>
      </x:c>
      <x:c r="O270" s="66" t="str">
        <x:v>Sumatera Utara</x:v>
      </x:c>
      <x:c r="P270" s="66" t="str">
        <x:v>Kota Medan</x:v>
      </x:c>
      <x:c r="Q270" s="66" t="str">
        <x:v>https://snpmb.id/snbp/daya-tampung-snbp</x:v>
      </x:c>
      <x:c r="R270" s="66" t="str">
        <x:v>https://sidatagrun-public-1076756628210.asia-southeast2.run.app/ptn_sn.php?ptn=121</x:v>
      </x:c>
    </x:row>
    <x:row r="271">
      <x:c r="A271" s="87" t="n">
        <x:v>1320</x:v>
      </x:c>
      <x:c r="B271" s="87" t="n">
        <x:v>121</x:v>
      </x:c>
      <x:c r="C271" s="66" t="str">
        <x:v>UNIVERSITAS SUMATERA UTARA</x:v>
      </x:c>
      <x:c r="D271" s="66" t="str">
        <x:v>PTN Akademik</x:v>
      </x:c>
      <x:c r="E271" s="66" t="str">
        <x:v>11212069</x:v>
      </x:c>
      <x:c r="F271" s="66" t="str">
        <x:v>MANAJEMEN BISNIS PARIWISATA</x:v>
      </x:c>
      <x:c r="G271" s="66" t="str">
        <x:v>Sarjana Terapan</x:v>
      </x:c>
      <x:c r="H271" s="87" t="n">
        <x:v>40</x:v>
      </x:c>
      <x:c r="I271" s="87" t="n">
        <x:v>414</x:v>
      </x:c>
      <x:c r="J271" s="68" t="n">
        <x:f>IFERROR(H271/I271,"")</x:f>
        <x:v>0.0966183574879227</x:v>
      </x:c>
      <x:c r="K271" s="69" t="n">
        <x:f>IFERROR(I271/H271,"")</x:f>
        <x:v>10.35</x:v>
      </x:c>
      <x:c r="L271" s="66" t="str">
        <x:f>IF(K271="","","1 : "&amp;TEXT(K271,"0.0"))</x:f>
        <x:v>1 : 10.4</x:v>
      </x:c>
      <x:c r="M271" s="66" t="str">
        <x:f>IF(J271="","Baru/Tanpa Data",IF(J271&lt;='Catatan &amp; Sumber'!$B$14,"Sangat Ketat",IF(J271&lt;='Catatan &amp; Sumber'!$B$15,"Ketat",IF(J271&lt;='Catatan &amp; Sumber'!$B$16,"Sedang","Relatif Longgar"))))</x:f>
        <x:v>Sedang</x:v>
      </x:c>
      <x:c r="N271" s="66" t="str">
        <x:v>Tidak Ada</x:v>
      </x:c>
      <x:c r="O271" s="66" t="str">
        <x:v>Sumatera Utara</x:v>
      </x:c>
      <x:c r="P271" s="66" t="str">
        <x:v>Kota Medan</x:v>
      </x:c>
      <x:c r="Q271" s="66" t="str">
        <x:v>https://snpmb.id/snbp/daya-tampung-snbp</x:v>
      </x:c>
      <x:c r="R271" s="66" t="str">
        <x:v>https://sidatagrun-public-1076756628210.asia-southeast2.run.app/ptn_sn.php?ptn=121</x:v>
      </x:c>
    </x:row>
    <x:row r="272">
      <x:c r="A272" s="87" t="n">
        <x:v>4228</x:v>
      </x:c>
      <x:c r="B272" s="87" t="n">
        <x:v>121</x:v>
      </x:c>
      <x:c r="C272" s="66" t="str">
        <x:v>UNIVERSITAS SUMATERA UTARA</x:v>
      </x:c>
      <x:c r="D272" s="66" t="str">
        <x:v>PTN Akademik</x:v>
      </x:c>
      <x:c r="E272" s="66" t="str">
        <x:v>11212070</x:v>
      </x:c>
      <x:c r="F272" s="66" t="str">
        <x:v>TEKNOLOGI REKAYASA INSTRUMENTASI</x:v>
      </x:c>
      <x:c r="G272" s="66" t="str">
        <x:v>Sarjana Terapan</x:v>
      </x:c>
      <x:c r="H272" s="87" t="n">
        <x:v>40</x:v>
      </x:c>
      <x:c r="I272" s="87" t="n">
        <x:v>45</x:v>
      </x:c>
      <x:c r="J272" s="68" t="n">
        <x:f>IFERROR(H272/I272,"")</x:f>
        <x:v>0.8888888888888888</x:v>
      </x:c>
      <x:c r="K272" s="69" t="n">
        <x:f>IFERROR(I272/H272,"")</x:f>
        <x:v>1.125</x:v>
      </x:c>
      <x:c r="L272" s="66" t="str">
        <x:f>IF(K272="","","1 : "&amp;TEXT(K272,"0.0"))</x:f>
        <x:v>1 : 1.1</x:v>
      </x:c>
      <x:c r="M272" s="66" t="str">
        <x:f>IF(J272="","Baru/Tanpa Data",IF(J272&lt;='Catatan &amp; Sumber'!$B$14,"Sangat Ketat",IF(J272&lt;='Catatan &amp; Sumber'!$B$15,"Ketat",IF(J272&lt;='Catatan &amp; Sumber'!$B$16,"Sedang","Relatif Longgar"))))</x:f>
        <x:v>Relatif Longgar</x:v>
      </x:c>
      <x:c r="N272" s="66" t="str">
        <x:v>Tidak Ada</x:v>
      </x:c>
      <x:c r="O272" s="66" t="str">
        <x:v>Sumatera Utara</x:v>
      </x:c>
      <x:c r="P272" s="66" t="str">
        <x:v>Kota Medan</x:v>
      </x:c>
      <x:c r="Q272" s="66" t="str">
        <x:v>https://snpmb.id/snbp/daya-tampung-snbp</x:v>
      </x:c>
      <x:c r="R272" s="66" t="str">
        <x:v>https://sidatagrun-public-1076756628210.asia-southeast2.run.app/ptn_sn.php?ptn=121</x:v>
      </x:c>
    </x:row>
    <x:row r="273">
      <x:c r="A273" s="87" t="n">
        <x:v>4424</x:v>
      </x:c>
      <x:c r="B273" s="87" t="n">
        <x:v>121</x:v>
      </x:c>
      <x:c r="C273" s="66" t="str">
        <x:v>UNIVERSITAS SUMATERA UTARA</x:v>
      </x:c>
      <x:c r="D273" s="66" t="str">
        <x:v>PTN Akademik</x:v>
      </x:c>
      <x:c r="E273" s="66" t="str">
        <x:v>11213050</x:v>
      </x:c>
      <x:c r="F273" s="66" t="str">
        <x:v>METROLOGI DAN INSTRUMENTASI</x:v>
      </x:c>
      <x:c r="G273" s="66" t="str">
        <x:v>Diploma Tiga</x:v>
      </x:c>
      <x:c r="H273" s="87" t="n">
        <x:v>36</x:v>
      </x:c>
      <x:c r="I273" s="87" t="n">
        <x:v>31</x:v>
      </x:c>
      <x:c r="J273" s="68" t="n">
        <x:f>IFERROR(H273/I273,"")</x:f>
        <x:v>1.1612903225806452</x:v>
      </x:c>
      <x:c r="K273" s="69" t="n">
        <x:f>IFERROR(I273/H273,"")</x:f>
        <x:v>0.8611111111111112</x:v>
      </x:c>
      <x:c r="L273" s="66" t="str">
        <x:f>IF(K273="","","1 : "&amp;TEXT(K273,"0.0"))</x:f>
        <x:v>1 : 0.9</x:v>
      </x:c>
      <x:c r="M273" s="66" t="str">
        <x:f>IF(J273="","Baru/Tanpa Data",IF(J273&lt;='Catatan &amp; Sumber'!$B$14,"Sangat Ketat",IF(J273&lt;='Catatan &amp; Sumber'!$B$15,"Ketat",IF(J273&lt;='Catatan &amp; Sumber'!$B$16,"Sedang","Relatif Longgar"))))</x:f>
        <x:v>Relatif Longgar</x:v>
      </x:c>
      <x:c r="N273" s="66" t="str">
        <x:v>Tidak Ada</x:v>
      </x:c>
      <x:c r="O273" s="66" t="str">
        <x:v>Sumatera Utara</x:v>
      </x:c>
      <x:c r="P273" s="66" t="str">
        <x:v>Kota Medan</x:v>
      </x:c>
      <x:c r="Q273" s="66" t="str">
        <x:v>https://snpmb.id/snbp/daya-tampung-snbp</x:v>
      </x:c>
      <x:c r="R273" s="66" t="str">
        <x:v>https://sidatagrun-public-1076756628210.asia-southeast2.run.app/ptn_sn.php?ptn=121</x:v>
      </x:c>
    </x:row>
    <x:row r="274">
      <x:c r="A274" s="87" t="n">
        <x:v>1619</x:v>
      </x:c>
      <x:c r="B274" s="87" t="n">
        <x:v>121</x:v>
      </x:c>
      <x:c r="C274" s="66" t="str">
        <x:v>UNIVERSITAS SUMATERA UTARA</x:v>
      </x:c>
      <x:c r="D274" s="66" t="str">
        <x:v>PTN Akademik</x:v>
      </x:c>
      <x:c r="E274" s="66" t="str">
        <x:v>11213054</x:v>
      </x:c>
      <x:c r="F274" s="66" t="str">
        <x:v>ADMINISTRASI PERPAJAKAN</x:v>
      </x:c>
      <x:c r="G274" s="66" t="str">
        <x:v>Diploma Tiga</x:v>
      </x:c>
      <x:c r="H274" s="87" t="n">
        <x:v>40</x:v>
      </x:c>
      <x:c r="I274" s="87" t="n">
        <x:v>337</x:v>
      </x:c>
      <x:c r="J274" s="68" t="n">
        <x:f>IFERROR(H274/I274,"")</x:f>
        <x:v>0.11869436201780416</x:v>
      </x:c>
      <x:c r="K274" s="69" t="n">
        <x:f>IFERROR(I274/H274,"")</x:f>
        <x:v>8.425</x:v>
      </x:c>
      <x:c r="L274" s="66" t="str">
        <x:f>IF(K274="","","1 : "&amp;TEXT(K274,"0.0"))</x:f>
        <x:v>1 : 8.4</x:v>
      </x:c>
      <x:c r="M274" s="66" t="str">
        <x:f>IF(J274="","Baru/Tanpa Data",IF(J274&lt;='Catatan &amp; Sumber'!$B$14,"Sangat Ketat",IF(J274&lt;='Catatan &amp; Sumber'!$B$15,"Ketat",IF(J274&lt;='Catatan &amp; Sumber'!$B$16,"Sedang","Relatif Longgar"))))</x:f>
        <x:v>Relatif Longgar</x:v>
      </x:c>
      <x:c r="N274" s="66" t="str">
        <x:v>Tidak Ada</x:v>
      </x:c>
      <x:c r="O274" s="66" t="str">
        <x:v>Sumatera Utara</x:v>
      </x:c>
      <x:c r="P274" s="66" t="str">
        <x:v>Kota Medan</x:v>
      </x:c>
      <x:c r="Q274" s="66" t="str">
        <x:v>https://snpmb.id/snbp/daya-tampung-snbp</x:v>
      </x:c>
      <x:c r="R274" s="66" t="str">
        <x:v>https://sidatagrun-public-1076756628210.asia-southeast2.run.app/ptn_sn.php?ptn=121</x:v>
      </x:c>
    </x:row>
    <x:row r="275">
      <x:c r="A275" s="87" t="n">
        <x:v>3066</x:v>
      </x:c>
      <x:c r="B275" s="87" t="n">
        <x:v>121</x:v>
      </x:c>
      <x:c r="C275" s="66" t="str">
        <x:v>UNIVERSITAS SUMATERA UTARA</x:v>
      </x:c>
      <x:c r="D275" s="66" t="str">
        <x:v>PTN Akademik</x:v>
      </x:c>
      <x:c r="E275" s="66" t="str">
        <x:v>11213056</x:v>
      </x:c>
      <x:c r="F275" s="66" t="str">
        <x:v>BAHASA JEPANG</x:v>
      </x:c>
      <x:c r="G275" s="66" t="str">
        <x:v>Diploma Tiga</x:v>
      </x:c>
      <x:c r="H275" s="87" t="n">
        <x:v>20</x:v>
      </x:c>
      <x:c r="I275" s="87" t="n">
        <x:v>65</x:v>
      </x:c>
      <x:c r="J275" s="68" t="n">
        <x:f>IFERROR(H275/I275,"")</x:f>
        <x:v>0.3076923076923077</x:v>
      </x:c>
      <x:c r="K275" s="69" t="n">
        <x:f>IFERROR(I275/H275,"")</x:f>
        <x:v>3.25</x:v>
      </x:c>
      <x:c r="L275" s="66" t="str">
        <x:f>IF(K275="","","1 : "&amp;TEXT(K275,"0.0"))</x:f>
        <x:v>1 : 3.3</x:v>
      </x:c>
      <x:c r="M275" s="66" t="str">
        <x:f>IF(J275="","Baru/Tanpa Data",IF(J275&lt;='Catatan &amp; Sumber'!$B$14,"Sangat Ketat",IF(J275&lt;='Catatan &amp; Sumber'!$B$15,"Ketat",IF(J275&lt;='Catatan &amp; Sumber'!$B$16,"Sedang","Relatif Longgar"))))</x:f>
        <x:v>Relatif Longgar</x:v>
      </x:c>
      <x:c r="N275" s="66" t="str">
        <x:v>Tidak Ada</x:v>
      </x:c>
      <x:c r="O275" s="66" t="str">
        <x:v>Sumatera Utara</x:v>
      </x:c>
      <x:c r="P275" s="66" t="str">
        <x:v>Kota Medan</x:v>
      </x:c>
      <x:c r="Q275" s="66" t="str">
        <x:v>https://snpmb.id/snbp/daya-tampung-snbp</x:v>
      </x:c>
      <x:c r="R275" s="66" t="str">
        <x:v>https://sidatagrun-public-1076756628210.asia-southeast2.run.app/ptn_sn.php?ptn=121</x:v>
      </x:c>
    </x:row>
    <x:row r="276">
      <x:c r="A276" s="87" t="n">
        <x:v>1160</x:v>
      </x:c>
      <x:c r="B276" s="87" t="n">
        <x:v>121</x:v>
      </x:c>
      <x:c r="C276" s="66" t="str">
        <x:v>UNIVERSITAS SUMATERA UTARA</x:v>
      </x:c>
      <x:c r="D276" s="66" t="str">
        <x:v>PTN Akademik</x:v>
      </x:c>
      <x:c r="E276" s="66" t="str">
        <x:v>11213058</x:v>
      </x:c>
      <x:c r="F276" s="66" t="str">
        <x:v>ANALIS FARMASI DAN MAKANAN</x:v>
      </x:c>
      <x:c r="G276" s="66" t="str">
        <x:v>Diploma Tiga</x:v>
      </x:c>
      <x:c r="H276" s="87" t="n">
        <x:v>24</x:v>
      </x:c>
      <x:c r="I276" s="87" t="n">
        <x:v>274</x:v>
      </x:c>
      <x:c r="J276" s="68" t="n">
        <x:f>IFERROR(H276/I276,"")</x:f>
        <x:v>0.08759124087591241</x:v>
      </x:c>
      <x:c r="K276" s="69" t="n">
        <x:f>IFERROR(I276/H276,"")</x:f>
        <x:v>11.416666666666666</x:v>
      </x:c>
      <x:c r="L276" s="66" t="str">
        <x:f>IF(K276="","","1 : "&amp;TEXT(K276,"0.0"))</x:f>
        <x:v>1 : 11.4</x:v>
      </x:c>
      <x:c r="M276" s="66" t="str">
        <x:f>IF(J276="","Baru/Tanpa Data",IF(J276&lt;='Catatan &amp; Sumber'!$B$14,"Sangat Ketat",IF(J276&lt;='Catatan &amp; Sumber'!$B$15,"Ketat",IF(J276&lt;='Catatan &amp; Sumber'!$B$16,"Sedang","Relatif Longgar"))))</x:f>
        <x:v>Sedang</x:v>
      </x:c>
      <x:c r="N276" s="66" t="str">
        <x:v>Tidak Ada</x:v>
      </x:c>
      <x:c r="O276" s="66" t="str">
        <x:v>Sumatera Utara</x:v>
      </x:c>
      <x:c r="P276" s="66" t="str">
        <x:v>Kota Medan</x:v>
      </x:c>
      <x:c r="Q276" s="66" t="str">
        <x:v>https://snpmb.id/snbp/daya-tampung-snbp</x:v>
      </x:c>
      <x:c r="R276" s="66" t="str">
        <x:v>https://sidatagrun-public-1076756628210.asia-southeast2.run.app/ptn_sn.php?ptn=121</x:v>
      </x:c>
    </x:row>
    <x:row r="277">
      <x:c r="A277" s="87" t="n">
        <x:v>3572</x:v>
      </x:c>
      <x:c r="B277" s="87" t="n">
        <x:v>121</x:v>
      </x:c>
      <x:c r="C277" s="66" t="str">
        <x:v>UNIVERSITAS SUMATERA UTARA</x:v>
      </x:c>
      <x:c r="D277" s="66" t="str">
        <x:v>PTN Akademik</x:v>
      </x:c>
      <x:c r="E277" s="66" t="str">
        <x:v>11213059</x:v>
      </x:c>
      <x:c r="F277" s="66" t="str">
        <x:v>BAHASA INGGRIS</x:v>
      </x:c>
      <x:c r="G277" s="66" t="str">
        <x:v>Diploma Tiga</x:v>
      </x:c>
      <x:c r="H277" s="87" t="n">
        <x:v>40</x:v>
      </x:c>
      <x:c r="I277" s="87" t="n">
        <x:v>87</x:v>
      </x:c>
      <x:c r="J277" s="68" t="n">
        <x:f>IFERROR(H277/I277,"")</x:f>
        <x:v>0.45977011494252873</x:v>
      </x:c>
      <x:c r="K277" s="69" t="n">
        <x:f>IFERROR(I277/H277,"")</x:f>
        <x:v>2.175</x:v>
      </x:c>
      <x:c r="L277" s="66" t="str">
        <x:f>IF(K277="","","1 : "&amp;TEXT(K277,"0.0"))</x:f>
        <x:v>1 : 2.2</x:v>
      </x:c>
      <x:c r="M277" s="66" t="str">
        <x:f>IF(J277="","Baru/Tanpa Data",IF(J277&lt;='Catatan &amp; Sumber'!$B$14,"Sangat Ketat",IF(J277&lt;='Catatan &amp; Sumber'!$B$15,"Ketat",IF(J277&lt;='Catatan &amp; Sumber'!$B$16,"Sedang","Relatif Longgar"))))</x:f>
        <x:v>Relatif Longgar</x:v>
      </x:c>
      <x:c r="N277" s="66" t="str">
        <x:v>Tidak Ada</x:v>
      </x:c>
      <x:c r="O277" s="66" t="str">
        <x:v>Sumatera Utara</x:v>
      </x:c>
      <x:c r="P277" s="66" t="str">
        <x:v>Kota Medan</x:v>
      </x:c>
      <x:c r="Q277" s="66" t="str">
        <x:v>https://snpmb.id/snbp/daya-tampung-snbp</x:v>
      </x:c>
      <x:c r="R277" s="66" t="str">
        <x:v>https://sidatagrun-public-1076756628210.asia-southeast2.run.app/ptn_sn.php?ptn=121</x:v>
      </x:c>
    </x:row>
    <x:row r="278">
      <x:c r="A278" s="87" t="n">
        <x:v>1297</x:v>
      </x:c>
      <x:c r="B278" s="87" t="n">
        <x:v>121</x:v>
      </x:c>
      <x:c r="C278" s="66" t="str">
        <x:v>UNIVERSITAS SUMATERA UTARA</x:v>
      </x:c>
      <x:c r="D278" s="66" t="str">
        <x:v>PTN Akademik</x:v>
      </x:c>
      <x:c r="E278" s="66" t="str">
        <x:v>11213060</x:v>
      </x:c>
      <x:c r="F278" s="66" t="str">
        <x:v>TEKNIK INFORMATIKA</x:v>
      </x:c>
      <x:c r="G278" s="66" t="str">
        <x:v>Diploma Tiga</x:v>
      </x:c>
      <x:c r="H278" s="87" t="n">
        <x:v>40</x:v>
      </x:c>
      <x:c r="I278" s="87" t="n">
        <x:v>420</x:v>
      </x:c>
      <x:c r="J278" s="68" t="n">
        <x:f>IFERROR(H278/I278,"")</x:f>
        <x:v>0.09523809523809523</x:v>
      </x:c>
      <x:c r="K278" s="69" t="n">
        <x:f>IFERROR(I278/H278,"")</x:f>
        <x:v>10.5</x:v>
      </x:c>
      <x:c r="L278" s="66" t="str">
        <x:f>IF(K278="","","1 : "&amp;TEXT(K278,"0.0"))</x:f>
        <x:v>1 : 10.5</x:v>
      </x:c>
      <x:c r="M278" s="66" t="str">
        <x:f>IF(J278="","Baru/Tanpa Data",IF(J278&lt;='Catatan &amp; Sumber'!$B$14,"Sangat Ketat",IF(J278&lt;='Catatan &amp; Sumber'!$B$15,"Ketat",IF(J278&lt;='Catatan &amp; Sumber'!$B$16,"Sedang","Relatif Longgar"))))</x:f>
        <x:v>Sedang</x:v>
      </x:c>
      <x:c r="N278" s="66" t="str">
        <x:v>Tidak Ada</x:v>
      </x:c>
      <x:c r="O278" s="66" t="str">
        <x:v>Sumatera Utara</x:v>
      </x:c>
      <x:c r="P278" s="66" t="str">
        <x:v>Kota Medan</x:v>
      </x:c>
      <x:c r="Q278" s="66" t="str">
        <x:v>https://snpmb.id/snbp/daya-tampung-snbp</x:v>
      </x:c>
      <x:c r="R278" s="66" t="str">
        <x:v>https://sidatagrun-public-1076756628210.asia-southeast2.run.app/ptn_sn.php?ptn=121</x:v>
      </x:c>
    </x:row>
    <x:row r="279">
      <x:c r="A279" s="87" t="n">
        <x:v>1415</x:v>
      </x:c>
      <x:c r="B279" s="87" t="n">
        <x:v>122</x:v>
      </x:c>
      <x:c r="C279" s="66" t="str">
        <x:v>UNIVERSITAS NEGERI MEDAN</x:v>
      </x:c>
      <x:c r="D279" s="66" t="str">
        <x:v>PTN Akademik</x:v>
      </x:c>
      <x:c r="E279" s="66" t="str">
        <x:v>11221001</x:v>
      </x:c>
      <x:c r="F279" s="66" t="str">
        <x:v>PENDIDIKAN MATEMATIKA</x:v>
      </x:c>
      <x:c r="G279" s="66" t="str">
        <x:v>Sarjana</x:v>
      </x:c>
      <x:c r="H279" s="87" t="n">
        <x:v>67</x:v>
      </x:c>
      <x:c r="I279" s="87" t="n">
        <x:v>649</x:v>
      </x:c>
      <x:c r="J279" s="68" t="n">
        <x:f>IFERROR(H279/I279,"")</x:f>
        <x:v>0.10323574730354391</x:v>
      </x:c>
      <x:c r="K279" s="69" t="n">
        <x:f>IFERROR(I279/H279,"")</x:f>
        <x:v>9.686567164179104</x:v>
      </x:c>
      <x:c r="L279" s="66" t="str">
        <x:f>IF(K279="","","1 : "&amp;TEXT(K279,"0.0"))</x:f>
        <x:v>1 : 9.7</x:v>
      </x:c>
      <x:c r="M279" s="66" t="str">
        <x:f>IF(J279="","Baru/Tanpa Data",IF(J279&lt;='Catatan &amp; Sumber'!$B$14,"Sangat Ketat",IF(J279&lt;='Catatan &amp; Sumber'!$B$15,"Ketat",IF(J279&lt;='Catatan &amp; Sumber'!$B$16,"Sedang","Relatif Longgar"))))</x:f>
        <x:v>Relatif Longgar</x:v>
      </x:c>
      <x:c r="N279" s="66" t="str">
        <x:v>Tidak Ada</x:v>
      </x:c>
      <x:c r="O279" s="66" t="str">
        <x:v>Sumatera Utara</x:v>
      </x:c>
      <x:c r="P279" s="66" t="str">
        <x:v>Kota Medan</x:v>
      </x:c>
      <x:c r="Q279" s="66" t="str">
        <x:v>https://snpmb.id/snbp/daya-tampung-snbp</x:v>
      </x:c>
      <x:c r="R279" s="66" t="str">
        <x:v>https://sidatagrun-public-1076756628210.asia-southeast2.run.app/ptn_sn.php?ptn=122</x:v>
      </x:c>
    </x:row>
    <x:row r="280">
      <x:c r="A280" s="87" t="n">
        <x:v>1638</x:v>
      </x:c>
      <x:c r="B280" s="87" t="n">
        <x:v>122</x:v>
      </x:c>
      <x:c r="C280" s="66" t="str">
        <x:v>UNIVERSITAS NEGERI MEDAN</x:v>
      </x:c>
      <x:c r="D280" s="66" t="str">
        <x:v>PTN Akademik</x:v>
      </x:c>
      <x:c r="E280" s="66" t="str">
        <x:v>11221002</x:v>
      </x:c>
      <x:c r="F280" s="66" t="str">
        <x:v>PENDIDIKAN BIOLOGI</x:v>
      </x:c>
      <x:c r="G280" s="66" t="str">
        <x:v>Sarjana</x:v>
      </x:c>
      <x:c r="H280" s="87" t="n">
        <x:v>72</x:v>
      </x:c>
      <x:c r="I280" s="87" t="n">
        <x:v>603</x:v>
      </x:c>
      <x:c r="J280" s="68" t="n">
        <x:f>IFERROR(H280/I280,"")</x:f>
        <x:v>0.11940298507462686</x:v>
      </x:c>
      <x:c r="K280" s="69" t="n">
        <x:f>IFERROR(I280/H280,"")</x:f>
        <x:v>8.375</x:v>
      </x:c>
      <x:c r="L280" s="66" t="str">
        <x:f>IF(K280="","","1 : "&amp;TEXT(K280,"0.0"))</x:f>
        <x:v>1 : 8.4</x:v>
      </x:c>
      <x:c r="M280" s="66" t="str">
        <x:f>IF(J280="","Baru/Tanpa Data",IF(J280&lt;='Catatan &amp; Sumber'!$B$14,"Sangat Ketat",IF(J280&lt;='Catatan &amp; Sumber'!$B$15,"Ketat",IF(J280&lt;='Catatan &amp; Sumber'!$B$16,"Sedang","Relatif Longgar"))))</x:f>
        <x:v>Relatif Longgar</x:v>
      </x:c>
      <x:c r="N280" s="66" t="str">
        <x:v>Tidak Ada</x:v>
      </x:c>
      <x:c r="O280" s="66" t="str">
        <x:v>Sumatera Utara</x:v>
      </x:c>
      <x:c r="P280" s="66" t="str">
        <x:v>Kota Medan</x:v>
      </x:c>
      <x:c r="Q280" s="66" t="str">
        <x:v>https://snpmb.id/snbp/daya-tampung-snbp</x:v>
      </x:c>
      <x:c r="R280" s="66" t="str">
        <x:v>https://sidatagrun-public-1076756628210.asia-southeast2.run.app/ptn_sn.php?ptn=122</x:v>
      </x:c>
    </x:row>
    <x:row r="281">
      <x:c r="A281" s="87" t="n">
        <x:v>2808</x:v>
      </x:c>
      <x:c r="B281" s="87" t="n">
        <x:v>122</x:v>
      </x:c>
      <x:c r="C281" s="66" t="str">
        <x:v>UNIVERSITAS NEGERI MEDAN</x:v>
      </x:c>
      <x:c r="D281" s="66" t="str">
        <x:v>PTN Akademik</x:v>
      </x:c>
      <x:c r="E281" s="66" t="str">
        <x:v>11221003</x:v>
      </x:c>
      <x:c r="F281" s="66" t="str">
        <x:v>PENDIDIKAN FISIKA</x:v>
      </x:c>
      <x:c r="G281" s="66" t="str">
        <x:v>Sarjana</x:v>
      </x:c>
      <x:c r="H281" s="87" t="n">
        <x:v>69</x:v>
      </x:c>
      <x:c r="I281" s="87" t="n">
        <x:v>266</x:v>
      </x:c>
      <x:c r="J281" s="68" t="n">
        <x:f>IFERROR(H281/I281,"")</x:f>
        <x:v>0.2593984962406015</x:v>
      </x:c>
      <x:c r="K281" s="69" t="n">
        <x:f>IFERROR(I281/H281,"")</x:f>
        <x:v>3.8550724637681157</x:v>
      </x:c>
      <x:c r="L281" s="66" t="str">
        <x:f>IF(K281="","","1 : "&amp;TEXT(K281,"0.0"))</x:f>
        <x:v>1 : 3.9</x:v>
      </x:c>
      <x:c r="M281" s="66" t="str">
        <x:f>IF(J281="","Baru/Tanpa Data",IF(J281&lt;='Catatan &amp; Sumber'!$B$14,"Sangat Ketat",IF(J281&lt;='Catatan &amp; Sumber'!$B$15,"Ketat",IF(J281&lt;='Catatan &amp; Sumber'!$B$16,"Sedang","Relatif Longgar"))))</x:f>
        <x:v>Relatif Longgar</x:v>
      </x:c>
      <x:c r="N281" s="66" t="str">
        <x:v>Tidak Ada</x:v>
      </x:c>
      <x:c r="O281" s="66" t="str">
        <x:v>Sumatera Utara</x:v>
      </x:c>
      <x:c r="P281" s="66" t="str">
        <x:v>Kota Medan</x:v>
      </x:c>
      <x:c r="Q281" s="66" t="str">
        <x:v>https://snpmb.id/snbp/daya-tampung-snbp</x:v>
      </x:c>
      <x:c r="R281" s="66" t="str">
        <x:v>https://sidatagrun-public-1076756628210.asia-southeast2.run.app/ptn_sn.php?ptn=122</x:v>
      </x:c>
    </x:row>
    <x:row r="282">
      <x:c r="A282" s="87" t="n">
        <x:v>2672</x:v>
      </x:c>
      <x:c r="B282" s="87" t="n">
        <x:v>122</x:v>
      </x:c>
      <x:c r="C282" s="66" t="str">
        <x:v>UNIVERSITAS NEGERI MEDAN</x:v>
      </x:c>
      <x:c r="D282" s="66" t="str">
        <x:v>PTN Akademik</x:v>
      </x:c>
      <x:c r="E282" s="66" t="str">
        <x:v>11221004</x:v>
      </x:c>
      <x:c r="F282" s="66" t="str">
        <x:v>PENDIDIKAN KIMIA</x:v>
      </x:c>
      <x:c r="G282" s="66" t="str">
        <x:v>Sarjana</x:v>
      </x:c>
      <x:c r="H282" s="87" t="n">
        <x:v>90</x:v>
      </x:c>
      <x:c r="I282" s="87" t="n">
        <x:v>377</x:v>
      </x:c>
      <x:c r="J282" s="68" t="n">
        <x:f>IFERROR(H282/I282,"")</x:f>
        <x:v>0.23872679045092837</x:v>
      </x:c>
      <x:c r="K282" s="69" t="n">
        <x:f>IFERROR(I282/H282,"")</x:f>
        <x:v>4.188888888888889</x:v>
      </x:c>
      <x:c r="L282" s="66" t="str">
        <x:f>IF(K282="","","1 : "&amp;TEXT(K282,"0.0"))</x:f>
        <x:v>1 : 4.2</x:v>
      </x:c>
      <x:c r="M282" s="66" t="str">
        <x:f>IF(J282="","Baru/Tanpa Data",IF(J282&lt;='Catatan &amp; Sumber'!$B$14,"Sangat Ketat",IF(J282&lt;='Catatan &amp; Sumber'!$B$15,"Ketat",IF(J282&lt;='Catatan &amp; Sumber'!$B$16,"Sedang","Relatif Longgar"))))</x:f>
        <x:v>Relatif Longgar</x:v>
      </x:c>
      <x:c r="N282" s="66" t="str">
        <x:v>Tidak Ada</x:v>
      </x:c>
      <x:c r="O282" s="66" t="str">
        <x:v>Sumatera Utara</x:v>
      </x:c>
      <x:c r="P282" s="66" t="str">
        <x:v>Kota Medan</x:v>
      </x:c>
      <x:c r="Q282" s="66" t="str">
        <x:v>https://snpmb.id/snbp/daya-tampung-snbp</x:v>
      </x:c>
      <x:c r="R282" s="66" t="str">
        <x:v>https://sidatagrun-public-1076756628210.asia-southeast2.run.app/ptn_sn.php?ptn=122</x:v>
      </x:c>
    </x:row>
    <x:row r="283">
      <x:c r="A283" s="87" t="n">
        <x:v>3717</x:v>
      </x:c>
      <x:c r="B283" s="87" t="n">
        <x:v>122</x:v>
      </x:c>
      <x:c r="C283" s="66" t="str">
        <x:v>UNIVERSITAS NEGERI MEDAN</x:v>
      </x:c>
      <x:c r="D283" s="66" t="str">
        <x:v>PTN Akademik</x:v>
      </x:c>
      <x:c r="E283" s="66" t="str">
        <x:v>11221005</x:v>
      </x:c>
      <x:c r="F283" s="66" t="str">
        <x:v>PENDIDIKAN TEKNIK BANGUNAN</x:v>
      </x:c>
      <x:c r="G283" s="66" t="str">
        <x:v>Sarjana</x:v>
      </x:c>
      <x:c r="H283" s="87" t="n">
        <x:v>47</x:v>
      </x:c>
      <x:c r="I283" s="87" t="n">
        <x:v>90</x:v>
      </x:c>
      <x:c r="J283" s="68" t="n">
        <x:f>IFERROR(H283/I283,"")</x:f>
        <x:v>0.5222222222222223</x:v>
      </x:c>
      <x:c r="K283" s="69" t="n">
        <x:f>IFERROR(I283/H283,"")</x:f>
        <x:v>1.9148936170212767</x:v>
      </x:c>
      <x:c r="L283" s="66" t="str">
        <x:f>IF(K283="","","1 : "&amp;TEXT(K283,"0.0"))</x:f>
        <x:v>1 : 1.9</x:v>
      </x:c>
      <x:c r="M283" s="66" t="str">
        <x:f>IF(J283="","Baru/Tanpa Data",IF(J283&lt;='Catatan &amp; Sumber'!$B$14,"Sangat Ketat",IF(J283&lt;='Catatan &amp; Sumber'!$B$15,"Ketat",IF(J283&lt;='Catatan &amp; Sumber'!$B$16,"Sedang","Relatif Longgar"))))</x:f>
        <x:v>Relatif Longgar</x:v>
      </x:c>
      <x:c r="N283" s="66" t="str">
        <x:v>Tidak Ada</x:v>
      </x:c>
      <x:c r="O283" s="66" t="str">
        <x:v>Sumatera Utara</x:v>
      </x:c>
      <x:c r="P283" s="66" t="str">
        <x:v>Kota Medan</x:v>
      </x:c>
      <x:c r="Q283" s="66" t="str">
        <x:v>https://snpmb.id/snbp/daya-tampung-snbp</x:v>
      </x:c>
      <x:c r="R283" s="66" t="str">
        <x:v>https://sidatagrun-public-1076756628210.asia-southeast2.run.app/ptn_sn.php?ptn=122</x:v>
      </x:c>
    </x:row>
    <x:row r="284">
      <x:c r="A284" s="87" t="n">
        <x:v>2573</x:v>
      </x:c>
      <x:c r="B284" s="87" t="n">
        <x:v>122</x:v>
      </x:c>
      <x:c r="C284" s="66" t="str">
        <x:v>UNIVERSITAS NEGERI MEDAN</x:v>
      </x:c>
      <x:c r="D284" s="66" t="str">
        <x:v>PTN Akademik</x:v>
      </x:c>
      <x:c r="E284" s="66" t="str">
        <x:v>11221006</x:v>
      </x:c>
      <x:c r="F284" s="66" t="str">
        <x:v>PENDIDIKAN TEKNIK MESIN</x:v>
      </x:c>
      <x:c r="G284" s="66" t="str">
        <x:v>Sarjana</x:v>
      </x:c>
      <x:c r="H284" s="87" t="n">
        <x:v>51</x:v>
      </x:c>
      <x:c r="I284" s="87" t="n">
        <x:v>227</x:v>
      </x:c>
      <x:c r="J284" s="68" t="n">
        <x:f>IFERROR(H284/I284,"")</x:f>
        <x:v>0.22466960352422907</x:v>
      </x:c>
      <x:c r="K284" s="69" t="n">
        <x:f>IFERROR(I284/H284,"")</x:f>
        <x:v>4.450980392156863</x:v>
      </x:c>
      <x:c r="L284" s="66" t="str">
        <x:f>IF(K284="","","1 : "&amp;TEXT(K284,"0.0"))</x:f>
        <x:v>1 : 4.5</x:v>
      </x:c>
      <x:c r="M284" s="66" t="str">
        <x:f>IF(J284="","Baru/Tanpa Data",IF(J284&lt;='Catatan &amp; Sumber'!$B$14,"Sangat Ketat",IF(J284&lt;='Catatan &amp; Sumber'!$B$15,"Ketat",IF(J284&lt;='Catatan &amp; Sumber'!$B$16,"Sedang","Relatif Longgar"))))</x:f>
        <x:v>Relatif Longgar</x:v>
      </x:c>
      <x:c r="N284" s="66" t="str">
        <x:v>Tidak Ada</x:v>
      </x:c>
      <x:c r="O284" s="66" t="str">
        <x:v>Sumatera Utara</x:v>
      </x:c>
      <x:c r="P284" s="66" t="str">
        <x:v>Kota Medan</x:v>
      </x:c>
      <x:c r="Q284" s="66" t="str">
        <x:v>https://snpmb.id/snbp/daya-tampung-snbp</x:v>
      </x:c>
      <x:c r="R284" s="66" t="str">
        <x:v>https://sidatagrun-public-1076756628210.asia-southeast2.run.app/ptn_sn.php?ptn=122</x:v>
      </x:c>
    </x:row>
    <x:row r="285">
      <x:c r="A285" s="87" t="n">
        <x:v>3057</x:v>
      </x:c>
      <x:c r="B285" s="87" t="n">
        <x:v>122</x:v>
      </x:c>
      <x:c r="C285" s="66" t="str">
        <x:v>UNIVERSITAS NEGERI MEDAN</x:v>
      </x:c>
      <x:c r="D285" s="66" t="str">
        <x:v>PTN Akademik</x:v>
      </x:c>
      <x:c r="E285" s="66" t="str">
        <x:v>11221007</x:v>
      </x:c>
      <x:c r="F285" s="66" t="str">
        <x:v>PENDIDIKAN TEKNIK ELEKTRO</x:v>
      </x:c>
      <x:c r="G285" s="66" t="str">
        <x:v>Sarjana</x:v>
      </x:c>
      <x:c r="H285" s="87" t="n">
        <x:v>46</x:v>
      </x:c>
      <x:c r="I285" s="87" t="n">
        <x:v>151</x:v>
      </x:c>
      <x:c r="J285" s="68" t="n">
        <x:f>IFERROR(H285/I285,"")</x:f>
        <x:v>0.304635761589404</x:v>
      </x:c>
      <x:c r="K285" s="69" t="n">
        <x:f>IFERROR(I285/H285,"")</x:f>
        <x:v>3.282608695652174</x:v>
      </x:c>
      <x:c r="L285" s="66" t="str">
        <x:f>IF(K285="","","1 : "&amp;TEXT(K285,"0.0"))</x:f>
        <x:v>1 : 3.3</x:v>
      </x:c>
      <x:c r="M285" s="66" t="str">
        <x:f>IF(J285="","Baru/Tanpa Data",IF(J285&lt;='Catatan &amp; Sumber'!$B$14,"Sangat Ketat",IF(J285&lt;='Catatan &amp; Sumber'!$B$15,"Ketat",IF(J285&lt;='Catatan &amp; Sumber'!$B$16,"Sedang","Relatif Longgar"))))</x:f>
        <x:v>Relatif Longgar</x:v>
      </x:c>
      <x:c r="N285" s="66" t="str">
        <x:v>Tidak Ada</x:v>
      </x:c>
      <x:c r="O285" s="66" t="str">
        <x:v>Sumatera Utara</x:v>
      </x:c>
      <x:c r="P285" s="66" t="str">
        <x:v>Kota Medan</x:v>
      </x:c>
      <x:c r="Q285" s="66" t="str">
        <x:v>https://snpmb.id/snbp/daya-tampung-snbp</x:v>
      </x:c>
      <x:c r="R285" s="66" t="str">
        <x:v>https://sidatagrun-public-1076756628210.asia-southeast2.run.app/ptn_sn.php?ptn=122</x:v>
      </x:c>
    </x:row>
    <x:row r="286">
      <x:c r="A286" s="87" t="n">
        <x:v>2198</x:v>
      </x:c>
      <x:c r="B286" s="87" t="n">
        <x:v>122</x:v>
      </x:c>
      <x:c r="C286" s="66" t="str">
        <x:v>UNIVERSITAS NEGERI MEDAN</x:v>
      </x:c>
      <x:c r="D286" s="66" t="str">
        <x:v>PTN Akademik</x:v>
      </x:c>
      <x:c r="E286" s="66" t="str">
        <x:v>11221008</x:v>
      </x:c>
      <x:c r="F286" s="66" t="str">
        <x:v>KIMIA</x:v>
      </x:c>
      <x:c r="G286" s="66" t="str">
        <x:v>Sarjana</x:v>
      </x:c>
      <x:c r="H286" s="87" t="n">
        <x:v>43</x:v>
      </x:c>
      <x:c r="I286" s="87" t="n">
        <x:v>251</x:v>
      </x:c>
      <x:c r="J286" s="68" t="n">
        <x:f>IFERROR(H286/I286,"")</x:f>
        <x:v>0.17131474103585656</x:v>
      </x:c>
      <x:c r="K286" s="69" t="n">
        <x:f>IFERROR(I286/H286,"")</x:f>
        <x:v>5.837209302325581</x:v>
      </x:c>
      <x:c r="L286" s="66" t="str">
        <x:f>IF(K286="","","1 : "&amp;TEXT(K286,"0.0"))</x:f>
        <x:v>1 : 5.8</x:v>
      </x:c>
      <x:c r="M286" s="66" t="str">
        <x:f>IF(J286="","Baru/Tanpa Data",IF(J286&lt;='Catatan &amp; Sumber'!$B$14,"Sangat Ketat",IF(J286&lt;='Catatan &amp; Sumber'!$B$15,"Ketat",IF(J286&lt;='Catatan &amp; Sumber'!$B$16,"Sedang","Relatif Longgar"))))</x:f>
        <x:v>Relatif Longgar</x:v>
      </x:c>
      <x:c r="N286" s="66" t="str">
        <x:v>Tidak Ada</x:v>
      </x:c>
      <x:c r="O286" s="66" t="str">
        <x:v>Sumatera Utara</x:v>
      </x:c>
      <x:c r="P286" s="66" t="str">
        <x:v>Kota Medan</x:v>
      </x:c>
      <x:c r="Q286" s="66" t="str">
        <x:v>https://snpmb.id/snbp/daya-tampung-snbp</x:v>
      </x:c>
      <x:c r="R286" s="66" t="str">
        <x:v>https://sidatagrun-public-1076756628210.asia-southeast2.run.app/ptn_sn.php?ptn=122</x:v>
      </x:c>
    </x:row>
    <x:row r="287">
      <x:c r="A287" s="87" t="n">
        <x:v>2333</x:v>
      </x:c>
      <x:c r="B287" s="87" t="n">
        <x:v>122</x:v>
      </x:c>
      <x:c r="C287" s="66" t="str">
        <x:v>UNIVERSITAS NEGERI MEDAN</x:v>
      </x:c>
      <x:c r="D287" s="66" t="str">
        <x:v>PTN Akademik</x:v>
      </x:c>
      <x:c r="E287" s="66" t="str">
        <x:v>11221009</x:v>
      </x:c>
      <x:c r="F287" s="66" t="str">
        <x:v>BIOLOGI</x:v>
      </x:c>
      <x:c r="G287" s="66" t="str">
        <x:v>Sarjana</x:v>
      </x:c>
      <x:c r="H287" s="87" t="n">
        <x:v>59</x:v>
      </x:c>
      <x:c r="I287" s="87" t="n">
        <x:v>315</x:v>
      </x:c>
      <x:c r="J287" s="68" t="n">
        <x:f>IFERROR(H287/I287,"")</x:f>
        <x:v>0.1873015873015873</x:v>
      </x:c>
      <x:c r="K287" s="69" t="n">
        <x:f>IFERROR(I287/H287,"")</x:f>
        <x:v>5.338983050847458</x:v>
      </x:c>
      <x:c r="L287" s="66" t="str">
        <x:f>IF(K287="","","1 : "&amp;TEXT(K287,"0.0"))</x:f>
        <x:v>1 : 5.3</x:v>
      </x:c>
      <x:c r="M287" s="66" t="str">
        <x:f>IF(J287="","Baru/Tanpa Data",IF(J287&lt;='Catatan &amp; Sumber'!$B$14,"Sangat Ketat",IF(J287&lt;='Catatan &amp; Sumber'!$B$15,"Ketat",IF(J287&lt;='Catatan &amp; Sumber'!$B$16,"Sedang","Relatif Longgar"))))</x:f>
        <x:v>Relatif Longgar</x:v>
      </x:c>
      <x:c r="N287" s="66" t="str">
        <x:v>Tidak Ada</x:v>
      </x:c>
      <x:c r="O287" s="66" t="str">
        <x:v>Sumatera Utara</x:v>
      </x:c>
      <x:c r="P287" s="66" t="str">
        <x:v>Kota Medan</x:v>
      </x:c>
      <x:c r="Q287" s="66" t="str">
        <x:v>https://snpmb.id/snbp/daya-tampung-snbp</x:v>
      </x:c>
      <x:c r="R287" s="66" t="str">
        <x:v>https://sidatagrun-public-1076756628210.asia-southeast2.run.app/ptn_sn.php?ptn=122</x:v>
      </x:c>
    </x:row>
    <x:row r="288">
      <x:c r="A288" s="87" t="n">
        <x:v>3451</x:v>
      </x:c>
      <x:c r="B288" s="87" t="n">
        <x:v>122</x:v>
      </x:c>
      <x:c r="C288" s="66" t="str">
        <x:v>UNIVERSITAS NEGERI MEDAN</x:v>
      </x:c>
      <x:c r="D288" s="66" t="str">
        <x:v>PTN Akademik</x:v>
      </x:c>
      <x:c r="E288" s="66" t="str">
        <x:v>11221010</x:v>
      </x:c>
      <x:c r="F288" s="66" t="str">
        <x:v>ILMU KEOLAHRAGAAN</x:v>
      </x:c>
      <x:c r="G288" s="66" t="str">
        <x:v>Sarjana</x:v>
      </x:c>
      <x:c r="H288" s="87" t="n">
        <x:v>77</x:v>
      </x:c>
      <x:c r="I288" s="87" t="n">
        <x:v>184</x:v>
      </x:c>
      <x:c r="J288" s="68" t="n">
        <x:f>IFERROR(H288/I288,"")</x:f>
        <x:v>0.41847826086956524</x:v>
      </x:c>
      <x:c r="K288" s="69" t="n">
        <x:f>IFERROR(I288/H288,"")</x:f>
        <x:v>2.3896103896103895</x:v>
      </x:c>
      <x:c r="L288" s="66" t="str">
        <x:f>IF(K288="","","1 : "&amp;TEXT(K288,"0.0"))</x:f>
        <x:v>1 : 2.4</x:v>
      </x:c>
      <x:c r="M288" s="66" t="str">
        <x:f>IF(J288="","Baru/Tanpa Data",IF(J288&lt;='Catatan &amp; Sumber'!$B$14,"Sangat Ketat",IF(J288&lt;='Catatan &amp; Sumber'!$B$15,"Ketat",IF(J288&lt;='Catatan &amp; Sumber'!$B$16,"Sedang","Relatif Longgar"))))</x:f>
        <x:v>Relatif Longgar</x:v>
      </x:c>
      <x:c r="N288" s="66" t="str">
        <x:v>Olahraga</x:v>
      </x:c>
      <x:c r="O288" s="66" t="str">
        <x:v>Sumatera Utara</x:v>
      </x:c>
      <x:c r="P288" s="66" t="str">
        <x:v>Kota Medan</x:v>
      </x:c>
      <x:c r="Q288" s="66" t="str">
        <x:v>https://snpmb.id/snbp/daya-tampung-snbp</x:v>
      </x:c>
      <x:c r="R288" s="66" t="str">
        <x:v>https://sidatagrun-public-1076756628210.asia-southeast2.run.app/ptn_sn.php?ptn=122</x:v>
      </x:c>
    </x:row>
    <x:row r="289">
      <x:c r="A289" s="87" t="n">
        <x:v>2144</x:v>
      </x:c>
      <x:c r="B289" s="87" t="n">
        <x:v>122</x:v>
      </x:c>
      <x:c r="C289" s="66" t="str">
        <x:v>UNIVERSITAS NEGERI MEDAN</x:v>
      </x:c>
      <x:c r="D289" s="66" t="str">
        <x:v>PTN Akademik</x:v>
      </x:c>
      <x:c r="E289" s="66" t="str">
        <x:v>11221011</x:v>
      </x:c>
      <x:c r="F289" s="66" t="str">
        <x:v>MATEMATIKA</x:v>
      </x:c>
      <x:c r="G289" s="66" t="str">
        <x:v>Sarjana</x:v>
      </x:c>
      <x:c r="H289" s="87" t="n">
        <x:v>46</x:v>
      </x:c>
      <x:c r="I289" s="87" t="n">
        <x:v>278</x:v>
      </x:c>
      <x:c r="J289" s="68" t="n">
        <x:f>IFERROR(H289/I289,"")</x:f>
        <x:v>0.16546762589928057</x:v>
      </x:c>
      <x:c r="K289" s="69" t="n">
        <x:f>IFERROR(I289/H289,"")</x:f>
        <x:v>6.043478260869565</x:v>
      </x:c>
      <x:c r="L289" s="66" t="str">
        <x:f>IF(K289="","","1 : "&amp;TEXT(K289,"0.0"))</x:f>
        <x:v>1 : 6.0</x:v>
      </x:c>
      <x:c r="M289" s="66" t="str">
        <x:f>IF(J289="","Baru/Tanpa Data",IF(J289&lt;='Catatan &amp; Sumber'!$B$14,"Sangat Ketat",IF(J289&lt;='Catatan &amp; Sumber'!$B$15,"Ketat",IF(J289&lt;='Catatan &amp; Sumber'!$B$16,"Sedang","Relatif Longgar"))))</x:f>
        <x:v>Relatif Longgar</x:v>
      </x:c>
      <x:c r="N289" s="66" t="str">
        <x:v>Tidak Ada</x:v>
      </x:c>
      <x:c r="O289" s="66" t="str">
        <x:v>Sumatera Utara</x:v>
      </x:c>
      <x:c r="P289" s="66" t="str">
        <x:v>Kota Medan</x:v>
      </x:c>
      <x:c r="Q289" s="66" t="str">
        <x:v>https://snpmb.id/snbp/daya-tampung-snbp</x:v>
      </x:c>
      <x:c r="R289" s="66" t="str">
        <x:v>https://sidatagrun-public-1076756628210.asia-southeast2.run.app/ptn_sn.php?ptn=122</x:v>
      </x:c>
    </x:row>
    <x:row r="290">
      <x:c r="A290" s="87" t="n">
        <x:v>3147</x:v>
      </x:c>
      <x:c r="B290" s="87" t="n">
        <x:v>122</x:v>
      </x:c>
      <x:c r="C290" s="66" t="str">
        <x:v>UNIVERSITAS NEGERI MEDAN</x:v>
      </x:c>
      <x:c r="D290" s="66" t="str">
        <x:v>PTN Akademik</x:v>
      </x:c>
      <x:c r="E290" s="66" t="str">
        <x:v>11221012</x:v>
      </x:c>
      <x:c r="F290" s="66" t="str">
        <x:v>FISIKA</x:v>
      </x:c>
      <x:c r="G290" s="66" t="str">
        <x:v>Sarjana</x:v>
      </x:c>
      <x:c r="H290" s="87" t="n">
        <x:v>33</x:v>
      </x:c>
      <x:c r="I290" s="87" t="n">
        <x:v>101</x:v>
      </x:c>
      <x:c r="J290" s="68" t="n">
        <x:f>IFERROR(H290/I290,"")</x:f>
        <x:v>0.32673267326732675</x:v>
      </x:c>
      <x:c r="K290" s="69" t="n">
        <x:f>IFERROR(I290/H290,"")</x:f>
        <x:v>3.0606060606060606</x:v>
      </x:c>
      <x:c r="L290" s="66" t="str">
        <x:f>IF(K290="","","1 : "&amp;TEXT(K290,"0.0"))</x:f>
        <x:v>1 : 3.1</x:v>
      </x:c>
      <x:c r="M290" s="66" t="str">
        <x:f>IF(J290="","Baru/Tanpa Data",IF(J290&lt;='Catatan &amp; Sumber'!$B$14,"Sangat Ketat",IF(J290&lt;='Catatan &amp; Sumber'!$B$15,"Ketat",IF(J290&lt;='Catatan &amp; Sumber'!$B$16,"Sedang","Relatif Longgar"))))</x:f>
        <x:v>Relatif Longgar</x:v>
      </x:c>
      <x:c r="N290" s="66" t="str">
        <x:v>Tidak Ada</x:v>
      </x:c>
      <x:c r="O290" s="66" t="str">
        <x:v>Sumatera Utara</x:v>
      </x:c>
      <x:c r="P290" s="66" t="str">
        <x:v>Kota Medan</x:v>
      </x:c>
      <x:c r="Q290" s="66" t="str">
        <x:v>https://snpmb.id/snbp/daya-tampung-snbp</x:v>
      </x:c>
      <x:c r="R290" s="66" t="str">
        <x:v>https://sidatagrun-public-1076756628210.asia-southeast2.run.app/ptn_sn.php?ptn=122</x:v>
      </x:c>
    </x:row>
    <x:row r="291">
      <x:c r="A291" s="87" t="n">
        <x:v>2865</x:v>
      </x:c>
      <x:c r="B291" s="87" t="n">
        <x:v>122</x:v>
      </x:c>
      <x:c r="C291" s="66" t="str">
        <x:v>UNIVERSITAS NEGERI MEDAN</x:v>
      </x:c>
      <x:c r="D291" s="66" t="str">
        <x:v>PTN Akademik</x:v>
      </x:c>
      <x:c r="E291" s="66" t="str">
        <x:v>11221013</x:v>
      </x:c>
      <x:c r="F291" s="66" t="str">
        <x:v>PENDIDIKAN TEKNIK OTOMOTIF</x:v>
      </x:c>
      <x:c r="G291" s="66" t="str">
        <x:v>Sarjana</x:v>
      </x:c>
      <x:c r="H291" s="87" t="n">
        <x:v>51</x:v>
      </x:c>
      <x:c r="I291" s="87" t="n">
        <x:v>189</x:v>
      </x:c>
      <x:c r="J291" s="68" t="n">
        <x:f>IFERROR(H291/I291,"")</x:f>
        <x:v>0.2698412698412698</x:v>
      </x:c>
      <x:c r="K291" s="69" t="n">
        <x:f>IFERROR(I291/H291,"")</x:f>
        <x:v>3.7058823529411766</x:v>
      </x:c>
      <x:c r="L291" s="66" t="str">
        <x:f>IF(K291="","","1 : "&amp;TEXT(K291,"0.0"))</x:f>
        <x:v>1 : 3.7</x:v>
      </x:c>
      <x:c r="M291" s="66" t="str">
        <x:f>IF(J291="","Baru/Tanpa Data",IF(J291&lt;='Catatan &amp; Sumber'!$B$14,"Sangat Ketat",IF(J291&lt;='Catatan &amp; Sumber'!$B$15,"Ketat",IF(J291&lt;='Catatan &amp; Sumber'!$B$16,"Sedang","Relatif Longgar"))))</x:f>
        <x:v>Relatif Longgar</x:v>
      </x:c>
      <x:c r="N291" s="66" t="str">
        <x:v>Tidak Ada</x:v>
      </x:c>
      <x:c r="O291" s="66" t="str">
        <x:v>Sumatera Utara</x:v>
      </x:c>
      <x:c r="P291" s="66" t="str">
        <x:v>Kota Medan</x:v>
      </x:c>
      <x:c r="Q291" s="66" t="str">
        <x:v>https://snpmb.id/snbp/daya-tampung-snbp</x:v>
      </x:c>
      <x:c r="R291" s="66" t="str">
        <x:v>https://sidatagrun-public-1076756628210.asia-southeast2.run.app/ptn_sn.php?ptn=122</x:v>
      </x:c>
    </x:row>
    <x:row r="292">
      <x:c r="A292" s="87" t="n">
        <x:v>499</x:v>
      </x:c>
      <x:c r="B292" s="87" t="n">
        <x:v>122</x:v>
      </x:c>
      <x:c r="C292" s="66" t="str">
        <x:v>UNIVERSITAS NEGERI MEDAN</x:v>
      </x:c>
      <x:c r="D292" s="66" t="str">
        <x:v>PTN Akademik</x:v>
      </x:c>
      <x:c r="E292" s="66" t="str">
        <x:v>11221014</x:v>
      </x:c>
      <x:c r="F292" s="66" t="str">
        <x:v>GIZI</x:v>
      </x:c>
      <x:c r="G292" s="66" t="str">
        <x:v>Sarjana</x:v>
      </x:c>
      <x:c r="H292" s="87" t="n">
        <x:v>54</x:v>
      </x:c>
      <x:c r="I292" s="87" t="n">
        <x:v>1060</x:v>
      </x:c>
      <x:c r="J292" s="68" t="n">
        <x:f>IFERROR(H292/I292,"")</x:f>
        <x:v>0.0509433962264151</x:v>
      </x:c>
      <x:c r="K292" s="69" t="n">
        <x:f>IFERROR(I292/H292,"")</x:f>
        <x:v>19.62962962962963</x:v>
      </x:c>
      <x:c r="L292" s="66" t="str">
        <x:f>IF(K292="","","1 : "&amp;TEXT(K292,"0.0"))</x:f>
        <x:v>1 : 19.6</x:v>
      </x:c>
      <x:c r="M292" s="66" t="str">
        <x:f>IF(J292="","Baru/Tanpa Data",IF(J292&lt;='Catatan &amp; Sumber'!$B$14,"Sangat Ketat",IF(J292&lt;='Catatan &amp; Sumber'!$B$15,"Ketat",IF(J292&lt;='Catatan &amp; Sumber'!$B$16,"Sedang","Relatif Longgar"))))</x:f>
        <x:v>Sedang</x:v>
      </x:c>
      <x:c r="N292" s="66" t="str">
        <x:v>Tidak Ada</x:v>
      </x:c>
      <x:c r="O292" s="66" t="str">
        <x:v>Sumatera Utara</x:v>
      </x:c>
      <x:c r="P292" s="66" t="str">
        <x:v>Kota Medan</x:v>
      </x:c>
      <x:c r="Q292" s="66" t="str">
        <x:v>https://snpmb.id/snbp/daya-tampung-snbp</x:v>
      </x:c>
      <x:c r="R292" s="66" t="str">
        <x:v>https://sidatagrun-public-1076756628210.asia-southeast2.run.app/ptn_sn.php?ptn=122</x:v>
      </x:c>
    </x:row>
    <x:row r="293">
      <x:c r="A293" s="87" t="n">
        <x:v>1228</x:v>
      </x:c>
      <x:c r="B293" s="87" t="n">
        <x:v>122</x:v>
      </x:c>
      <x:c r="C293" s="66" t="str">
        <x:v>UNIVERSITAS NEGERI MEDAN</x:v>
      </x:c>
      <x:c r="D293" s="66" t="str">
        <x:v>PTN Akademik</x:v>
      </x:c>
      <x:c r="E293" s="66" t="str">
        <x:v>11221015</x:v>
      </x:c>
      <x:c r="F293" s="66" t="str">
        <x:v>TEKNIK ELEKTRO</x:v>
      </x:c>
      <x:c r="G293" s="66" t="str">
        <x:v>Sarjana</x:v>
      </x:c>
      <x:c r="H293" s="87" t="n">
        <x:v>46</x:v>
      </x:c>
      <x:c r="I293" s="87" t="n">
        <x:v>501</x:v>
      </x:c>
      <x:c r="J293" s="68" t="n">
        <x:f>IFERROR(H293/I293,"")</x:f>
        <x:v>0.09181636726546906</x:v>
      </x:c>
      <x:c r="K293" s="69" t="n">
        <x:f>IFERROR(I293/H293,"")</x:f>
        <x:v>10.891304347826088</x:v>
      </x:c>
      <x:c r="L293" s="66" t="str">
        <x:f>IF(K293="","","1 : "&amp;TEXT(K293,"0.0"))</x:f>
        <x:v>1 : 10.9</x:v>
      </x:c>
      <x:c r="M293" s="66" t="str">
        <x:f>IF(J293="","Baru/Tanpa Data",IF(J293&lt;='Catatan &amp; Sumber'!$B$14,"Sangat Ketat",IF(J293&lt;='Catatan &amp; Sumber'!$B$15,"Ketat",IF(J293&lt;='Catatan &amp; Sumber'!$B$16,"Sedang","Relatif Longgar"))))</x:f>
        <x:v>Sedang</x:v>
      </x:c>
      <x:c r="N293" s="66" t="str">
        <x:v>Tidak Ada</x:v>
      </x:c>
      <x:c r="O293" s="66" t="str">
        <x:v>Sumatera Utara</x:v>
      </x:c>
      <x:c r="P293" s="66" t="str">
        <x:v>Kota Medan</x:v>
      </x:c>
      <x:c r="Q293" s="66" t="str">
        <x:v>https://snpmb.id/snbp/daya-tampung-snbp</x:v>
      </x:c>
      <x:c r="R293" s="66" t="str">
        <x:v>https://sidatagrun-public-1076756628210.asia-southeast2.run.app/ptn_sn.php?ptn=122</x:v>
      </x:c>
    </x:row>
    <x:row r="294">
      <x:c r="A294" s="87" t="n">
        <x:v>1122</x:v>
      </x:c>
      <x:c r="B294" s="87" t="n">
        <x:v>122</x:v>
      </x:c>
      <x:c r="C294" s="66" t="str">
        <x:v>UNIVERSITAS NEGERI MEDAN</x:v>
      </x:c>
      <x:c r="D294" s="66" t="str">
        <x:v>PTN Akademik</x:v>
      </x:c>
      <x:c r="E294" s="66" t="str">
        <x:v>11221016</x:v>
      </x:c>
      <x:c r="F294" s="66" t="str">
        <x:v>TEKNIK SIPIL</x:v>
      </x:c>
      <x:c r="G294" s="66" t="str">
        <x:v>Sarjana</x:v>
      </x:c>
      <x:c r="H294" s="87" t="n">
        <x:v>51</x:v>
      </x:c>
      <x:c r="I294" s="87" t="n">
        <x:v>599</x:v>
      </x:c>
      <x:c r="J294" s="68" t="n">
        <x:f>IFERROR(H294/I294,"")</x:f>
        <x:v>0.08514190317195326</x:v>
      </x:c>
      <x:c r="K294" s="69" t="n">
        <x:f>IFERROR(I294/H294,"")</x:f>
        <x:v>11.745098039215685</x:v>
      </x:c>
      <x:c r="L294" s="66" t="str">
        <x:f>IF(K294="","","1 : "&amp;TEXT(K294,"0.0"))</x:f>
        <x:v>1 : 11.7</x:v>
      </x:c>
      <x:c r="M294" s="66" t="str">
        <x:f>IF(J294="","Baru/Tanpa Data",IF(J294&lt;='Catatan &amp; Sumber'!$B$14,"Sangat Ketat",IF(J294&lt;='Catatan &amp; Sumber'!$B$15,"Ketat",IF(J294&lt;='Catatan &amp; Sumber'!$B$16,"Sedang","Relatif Longgar"))))</x:f>
        <x:v>Sedang</x:v>
      </x:c>
      <x:c r="N294" s="66" t="str">
        <x:v>Tidak Ada</x:v>
      </x:c>
      <x:c r="O294" s="66" t="str">
        <x:v>Sumatera Utara</x:v>
      </x:c>
      <x:c r="P294" s="66" t="str">
        <x:v>Kota Medan</x:v>
      </x:c>
      <x:c r="Q294" s="66" t="str">
        <x:v>https://snpmb.id/snbp/daya-tampung-snbp</x:v>
      </x:c>
      <x:c r="R294" s="66" t="str">
        <x:v>https://sidatagrun-public-1076756628210.asia-southeast2.run.app/ptn_sn.php?ptn=122</x:v>
      </x:c>
    </x:row>
    <x:row r="295">
      <x:c r="A295" s="87" t="n">
        <x:v>971</x:v>
      </x:c>
      <x:c r="B295" s="87" t="n">
        <x:v>122</x:v>
      </x:c>
      <x:c r="C295" s="66" t="str">
        <x:v>UNIVERSITAS NEGERI MEDAN</x:v>
      </x:c>
      <x:c r="D295" s="66" t="str">
        <x:v>PTN Akademik</x:v>
      </x:c>
      <x:c r="E295" s="66" t="str">
        <x:v>11221017</x:v>
      </x:c>
      <x:c r="F295" s="66" t="str">
        <x:v>PENDIDIKAN TEKNOLOGI INFORMATIKA DAN KOMPUTER</x:v>
      </x:c>
      <x:c r="G295" s="66" t="str">
        <x:v>Sarjana</x:v>
      </x:c>
      <x:c r="H295" s="87" t="n">
        <x:v>51</x:v>
      </x:c>
      <x:c r="I295" s="87" t="n">
        <x:v>668</x:v>
      </x:c>
      <x:c r="J295" s="68" t="n">
        <x:f>IFERROR(H295/I295,"")</x:f>
        <x:v>0.07634730538922156</x:v>
      </x:c>
      <x:c r="K295" s="69" t="n">
        <x:f>IFERROR(I295/H295,"")</x:f>
        <x:v>13.098039215686274</x:v>
      </x:c>
      <x:c r="L295" s="66" t="str">
        <x:f>IF(K295="","","1 : "&amp;TEXT(K295,"0.0"))</x:f>
        <x:v>1 : 13.1</x:v>
      </x:c>
      <x:c r="M295" s="66" t="str">
        <x:f>IF(J295="","Baru/Tanpa Data",IF(J295&lt;='Catatan &amp; Sumber'!$B$14,"Sangat Ketat",IF(J295&lt;='Catatan &amp; Sumber'!$B$15,"Ketat",IF(J295&lt;='Catatan &amp; Sumber'!$B$16,"Sedang","Relatif Longgar"))))</x:f>
        <x:v>Sedang</x:v>
      </x:c>
      <x:c r="N295" s="66" t="str">
        <x:v>Tidak Ada</x:v>
      </x:c>
      <x:c r="O295" s="66" t="str">
        <x:v>Sumatera Utara</x:v>
      </x:c>
      <x:c r="P295" s="66" t="str">
        <x:v>Kota Medan</x:v>
      </x:c>
      <x:c r="Q295" s="66" t="str">
        <x:v>https://snpmb.id/snbp/daya-tampung-snbp</x:v>
      </x:c>
      <x:c r="R295" s="66" t="str">
        <x:v>https://sidatagrun-public-1076756628210.asia-southeast2.run.app/ptn_sn.php?ptn=122</x:v>
      </x:c>
    </x:row>
    <x:row r="296">
      <x:c r="A296" s="87" t="n">
        <x:v>280</x:v>
      </x:c>
      <x:c r="B296" s="87" t="n">
        <x:v>122</x:v>
      </x:c>
      <x:c r="C296" s="66" t="str">
        <x:v>UNIVERSITAS NEGERI MEDAN</x:v>
      </x:c>
      <x:c r="D296" s="66" t="str">
        <x:v>PTN Akademik</x:v>
      </x:c>
      <x:c r="E296" s="66" t="str">
        <x:v>11221018</x:v>
      </x:c>
      <x:c r="F296" s="66" t="str">
        <x:v>ILMU KOMPUTER</x:v>
      </x:c>
      <x:c r="G296" s="66" t="str">
        <x:v>Sarjana</x:v>
      </x:c>
      <x:c r="H296" s="87" t="n">
        <x:v>48</x:v>
      </x:c>
      <x:c r="I296" s="87" t="n">
        <x:v>1163</x:v>
      </x:c>
      <x:c r="J296" s="68" t="n">
        <x:f>IFERROR(H296/I296,"")</x:f>
        <x:v>0.0412725709372313</x:v>
      </x:c>
      <x:c r="K296" s="69" t="n">
        <x:f>IFERROR(I296/H296,"")</x:f>
        <x:v>24.229166666666668</x:v>
      </x:c>
      <x:c r="L296" s="66" t="str">
        <x:f>IF(K296="","","1 : "&amp;TEXT(K296,"0.0"))</x:f>
        <x:v>1 : 24.2</x:v>
      </x:c>
      <x:c r="M296" s="66" t="str">
        <x:f>IF(J296="","Baru/Tanpa Data",IF(J296&lt;='Catatan &amp; Sumber'!$B$14,"Sangat Ketat",IF(J296&lt;='Catatan &amp; Sumber'!$B$15,"Ketat",IF(J296&lt;='Catatan &amp; Sumber'!$B$16,"Sedang","Relatif Longgar"))))</x:f>
        <x:v>Ketat</x:v>
      </x:c>
      <x:c r="N296" s="66" t="str">
        <x:v>Tidak Ada</x:v>
      </x:c>
      <x:c r="O296" s="66" t="str">
        <x:v>Sumatera Utara</x:v>
      </x:c>
      <x:c r="P296" s="66" t="str">
        <x:v>Kota Medan</x:v>
      </x:c>
      <x:c r="Q296" s="66" t="str">
        <x:v>https://snpmb.id/snbp/daya-tampung-snbp</x:v>
      </x:c>
      <x:c r="R296" s="66" t="str">
        <x:v>https://sidatagrun-public-1076756628210.asia-southeast2.run.app/ptn_sn.php?ptn=122</x:v>
      </x:c>
    </x:row>
    <x:row r="297">
      <x:c r="A297" s="87" t="n">
        <x:v>1815</x:v>
      </x:c>
      <x:c r="B297" s="87" t="n">
        <x:v>122</x:v>
      </x:c>
      <x:c r="C297" s="66" t="str">
        <x:v>UNIVERSITAS NEGERI MEDAN</x:v>
      </x:c>
      <x:c r="D297" s="66" t="str">
        <x:v>PTN Akademik</x:v>
      </x:c>
      <x:c r="E297" s="66" t="str">
        <x:v>11221019</x:v>
      </x:c>
      <x:c r="F297" s="66" t="str">
        <x:v>PENDIDIKAN IPA</x:v>
      </x:c>
      <x:c r="G297" s="66" t="str">
        <x:v>Sarjana</x:v>
      </x:c>
      <x:c r="H297" s="87" t="n">
        <x:v>43</x:v>
      </x:c>
      <x:c r="I297" s="87" t="n">
        <x:v>322</x:v>
      </x:c>
      <x:c r="J297" s="68" t="n">
        <x:f>IFERROR(H297/I297,"")</x:f>
        <x:v>0.13354037267080746</x:v>
      </x:c>
      <x:c r="K297" s="69" t="n">
        <x:f>IFERROR(I297/H297,"")</x:f>
        <x:v>7.488372093023256</x:v>
      </x:c>
      <x:c r="L297" s="66" t="str">
        <x:f>IF(K297="","","1 : "&amp;TEXT(K297,"0.0"))</x:f>
        <x:v>1 : 7.5</x:v>
      </x:c>
      <x:c r="M297" s="66" t="str">
        <x:f>IF(J297="","Baru/Tanpa Data",IF(J297&lt;='Catatan &amp; Sumber'!$B$14,"Sangat Ketat",IF(J297&lt;='Catatan &amp; Sumber'!$B$15,"Ketat",IF(J297&lt;='Catatan &amp; Sumber'!$B$16,"Sedang","Relatif Longgar"))))</x:f>
        <x:v>Relatif Longgar</x:v>
      </x:c>
      <x:c r="N297" s="66" t="str">
        <x:v>Tidak Ada</x:v>
      </x:c>
      <x:c r="O297" s="66" t="str">
        <x:v>Sumatera Utara</x:v>
      </x:c>
      <x:c r="P297" s="66" t="str">
        <x:v>Kota Medan</x:v>
      </x:c>
      <x:c r="Q297" s="66" t="str">
        <x:v>https://snpmb.id/snbp/daya-tampung-snbp</x:v>
      </x:c>
      <x:c r="R297" s="66" t="str">
        <x:v>https://sidatagrun-public-1076756628210.asia-southeast2.run.app/ptn_sn.php?ptn=122</x:v>
      </x:c>
    </x:row>
    <x:row r="298">
      <x:c r="A298" s="87" t="n">
        <x:v>1729</x:v>
      </x:c>
      <x:c r="B298" s="87" t="n">
        <x:v>122</x:v>
      </x:c>
      <x:c r="C298" s="66" t="str">
        <x:v>UNIVERSITAS NEGERI MEDAN</x:v>
      </x:c>
      <x:c r="D298" s="66" t="str">
        <x:v>PTN Akademik</x:v>
      </x:c>
      <x:c r="E298" s="66" t="str">
        <x:v>11221021</x:v>
      </x:c>
      <x:c r="F298" s="66" t="str">
        <x:v>PENDIDIKAN SEJARAH</x:v>
      </x:c>
      <x:c r="G298" s="66" t="str">
        <x:v>Sarjana</x:v>
      </x:c>
      <x:c r="H298" s="87" t="n">
        <x:v>62</x:v>
      </x:c>
      <x:c r="I298" s="87" t="n">
        <x:v>491</x:v>
      </x:c>
      <x:c r="J298" s="68" t="n">
        <x:f>IFERROR(H298/I298,"")</x:f>
        <x:v>0.12627291242362526</x:v>
      </x:c>
      <x:c r="K298" s="69" t="n">
        <x:f>IFERROR(I298/H298,"")</x:f>
        <x:v>7.919354838709677</x:v>
      </x:c>
      <x:c r="L298" s="66" t="str">
        <x:f>IF(K298="","","1 : "&amp;TEXT(K298,"0.0"))</x:f>
        <x:v>1 : 7.9</x:v>
      </x:c>
      <x:c r="M298" s="66" t="str">
        <x:f>IF(J298="","Baru/Tanpa Data",IF(J298&lt;='Catatan &amp; Sumber'!$B$14,"Sangat Ketat",IF(J298&lt;='Catatan &amp; Sumber'!$B$15,"Ketat",IF(J298&lt;='Catatan &amp; Sumber'!$B$16,"Sedang","Relatif Longgar"))))</x:f>
        <x:v>Relatif Longgar</x:v>
      </x:c>
      <x:c r="N298" s="66" t="str">
        <x:v>Tidak Ada</x:v>
      </x:c>
      <x:c r="O298" s="66" t="str">
        <x:v>Sumatera Utara</x:v>
      </x:c>
      <x:c r="P298" s="66" t="str">
        <x:v>Kota Medan</x:v>
      </x:c>
      <x:c r="Q298" s="66" t="str">
        <x:v>https://snpmb.id/snbp/daya-tampung-snbp</x:v>
      </x:c>
      <x:c r="R298" s="66" t="str">
        <x:v>https://sidatagrun-public-1076756628210.asia-southeast2.run.app/ptn_sn.php?ptn=122</x:v>
      </x:c>
    </x:row>
    <x:row r="299">
      <x:c r="A299" s="87" t="n">
        <x:v>1483</x:v>
      </x:c>
      <x:c r="B299" s="87" t="n">
        <x:v>122</x:v>
      </x:c>
      <x:c r="C299" s="66" t="str">
        <x:v>UNIVERSITAS NEGERI MEDAN</x:v>
      </x:c>
      <x:c r="D299" s="66" t="str">
        <x:v>PTN Akademik</x:v>
      </x:c>
      <x:c r="E299" s="66" t="str">
        <x:v>11221022</x:v>
      </x:c>
      <x:c r="F299" s="66" t="str">
        <x:v>PEND. PANCASILA &amp; KEWARGANEGARAAN (PPKN)</x:v>
      </x:c>
      <x:c r="G299" s="66" t="str">
        <x:v>Sarjana</x:v>
      </x:c>
      <x:c r="H299" s="87" t="n">
        <x:v>62</x:v>
      </x:c>
      <x:c r="I299" s="87" t="n">
        <x:v>571</x:v>
      </x:c>
      <x:c r="J299" s="68" t="n">
        <x:f>IFERROR(H299/I299,"")</x:f>
        <x:v>0.1085814360770578</x:v>
      </x:c>
      <x:c r="K299" s="69" t="n">
        <x:f>IFERROR(I299/H299,"")</x:f>
        <x:v>9.209677419354838</x:v>
      </x:c>
      <x:c r="L299" s="66" t="str">
        <x:f>IF(K299="","","1 : "&amp;TEXT(K299,"0.0"))</x:f>
        <x:v>1 : 9.2</x:v>
      </x:c>
      <x:c r="M299" s="66" t="str">
        <x:f>IF(J299="","Baru/Tanpa Data",IF(J299&lt;='Catatan &amp; Sumber'!$B$14,"Sangat Ketat",IF(J299&lt;='Catatan &amp; Sumber'!$B$15,"Ketat",IF(J299&lt;='Catatan &amp; Sumber'!$B$16,"Sedang","Relatif Longgar"))))</x:f>
        <x:v>Relatif Longgar</x:v>
      </x:c>
      <x:c r="N299" s="66" t="str">
        <x:v>Tidak Ada</x:v>
      </x:c>
      <x:c r="O299" s="66" t="str">
        <x:v>Sumatera Utara</x:v>
      </x:c>
      <x:c r="P299" s="66" t="str">
        <x:v>Kota Medan</x:v>
      </x:c>
      <x:c r="Q299" s="66" t="str">
        <x:v>https://snpmb.id/snbp/daya-tampung-snbp</x:v>
      </x:c>
      <x:c r="R299" s="66" t="str">
        <x:v>https://sidatagrun-public-1076756628210.asia-southeast2.run.app/ptn_sn.php?ptn=122</x:v>
      </x:c>
    </x:row>
    <x:row r="300">
      <x:c r="A300" s="87" t="n">
        <x:v>1885</x:v>
      </x:c>
      <x:c r="B300" s="87" t="n">
        <x:v>122</x:v>
      </x:c>
      <x:c r="C300" s="66" t="str">
        <x:v>UNIVERSITAS NEGERI MEDAN</x:v>
      </x:c>
      <x:c r="D300" s="66" t="str">
        <x:v>PTN Akademik</x:v>
      </x:c>
      <x:c r="E300" s="66" t="str">
        <x:v>11221023</x:v>
      </x:c>
      <x:c r="F300" s="66" t="str">
        <x:v>PENDIDIKAN GEOGRAFI</x:v>
      </x:c>
      <x:c r="G300" s="66" t="str">
        <x:v>Sarjana</x:v>
      </x:c>
      <x:c r="H300" s="87" t="n">
        <x:v>62</x:v>
      </x:c>
      <x:c r="I300" s="87" t="n">
        <x:v>444</x:v>
      </x:c>
      <x:c r="J300" s="68" t="n">
        <x:f>IFERROR(H300/I300,"")</x:f>
        <x:v>0.13963963963963963</x:v>
      </x:c>
      <x:c r="K300" s="69" t="n">
        <x:f>IFERROR(I300/H300,"")</x:f>
        <x:v>7.161290322580645</x:v>
      </x:c>
      <x:c r="L300" s="66" t="str">
        <x:f>IF(K300="","","1 : "&amp;TEXT(K300,"0.0"))</x:f>
        <x:v>1 : 7.2</x:v>
      </x:c>
      <x:c r="M300" s="66" t="str">
        <x:f>IF(J300="","Baru/Tanpa Data",IF(J300&lt;='Catatan &amp; Sumber'!$B$14,"Sangat Ketat",IF(J300&lt;='Catatan &amp; Sumber'!$B$15,"Ketat",IF(J300&lt;='Catatan &amp; Sumber'!$B$16,"Sedang","Relatif Longgar"))))</x:f>
        <x:v>Relatif Longgar</x:v>
      </x:c>
      <x:c r="N300" s="66" t="str">
        <x:v>Tidak Ada</x:v>
      </x:c>
      <x:c r="O300" s="66" t="str">
        <x:v>Sumatera Utara</x:v>
      </x:c>
      <x:c r="P300" s="66" t="str">
        <x:v>Kota Medan</x:v>
      </x:c>
      <x:c r="Q300" s="66" t="str">
        <x:v>https://snpmb.id/snbp/daya-tampung-snbp</x:v>
      </x:c>
      <x:c r="R300" s="66" t="str">
        <x:v>https://sidatagrun-public-1076756628210.asia-southeast2.run.app/ptn_sn.php?ptn=122</x:v>
      </x:c>
    </x:row>
    <x:row r="301">
      <x:c r="A301" s="87" t="n">
        <x:v>2356</x:v>
      </x:c>
      <x:c r="B301" s="87" t="n">
        <x:v>122</x:v>
      </x:c>
      <x:c r="C301" s="66" t="str">
        <x:v>UNIVERSITAS NEGERI MEDAN</x:v>
      </x:c>
      <x:c r="D301" s="66" t="str">
        <x:v>PTN Akademik</x:v>
      </x:c>
      <x:c r="E301" s="66" t="str">
        <x:v>11221024</x:v>
      </x:c>
      <x:c r="F301" s="66" t="str">
        <x:v>PEND. JASMANI, KESEHATAN &amp; REKREASI</x:v>
      </x:c>
      <x:c r="G301" s="66" t="str">
        <x:v>Sarjana</x:v>
      </x:c>
      <x:c r="H301" s="87" t="n">
        <x:v>117</x:v>
      </x:c>
      <x:c r="I301" s="87" t="n">
        <x:v>615</x:v>
      </x:c>
      <x:c r="J301" s="68" t="n">
        <x:f>IFERROR(H301/I301,"")</x:f>
        <x:v>0.1902439024390244</x:v>
      </x:c>
      <x:c r="K301" s="69" t="n">
        <x:f>IFERROR(I301/H301,"")</x:f>
        <x:v>5.256410256410256</x:v>
      </x:c>
      <x:c r="L301" s="66" t="str">
        <x:f>IF(K301="","","1 : "&amp;TEXT(K301,"0.0"))</x:f>
        <x:v>1 : 5.3</x:v>
      </x:c>
      <x:c r="M301" s="66" t="str">
        <x:f>IF(J301="","Baru/Tanpa Data",IF(J301&lt;='Catatan &amp; Sumber'!$B$14,"Sangat Ketat",IF(J301&lt;='Catatan &amp; Sumber'!$B$15,"Ketat",IF(J301&lt;='Catatan &amp; Sumber'!$B$16,"Sedang","Relatif Longgar"))))</x:f>
        <x:v>Relatif Longgar</x:v>
      </x:c>
      <x:c r="N301" s="66" t="str">
        <x:v>Olahraga</x:v>
      </x:c>
      <x:c r="O301" s="66" t="str">
        <x:v>Sumatera Utara</x:v>
      </x:c>
      <x:c r="P301" s="66" t="str">
        <x:v>Kota Medan</x:v>
      </x:c>
      <x:c r="Q301" s="66" t="str">
        <x:v>https://snpmb.id/snbp/daya-tampung-snbp</x:v>
      </x:c>
      <x:c r="R301" s="66" t="str">
        <x:v>https://sidatagrun-public-1076756628210.asia-southeast2.run.app/ptn_sn.php?ptn=122</x:v>
      </x:c>
    </x:row>
    <x:row r="302">
      <x:c r="A302" s="87" t="n">
        <x:v>2851</x:v>
      </x:c>
      <x:c r="B302" s="87" t="n">
        <x:v>122</x:v>
      </x:c>
      <x:c r="C302" s="66" t="str">
        <x:v>UNIVERSITAS NEGERI MEDAN</x:v>
      </x:c>
      <x:c r="D302" s="66" t="str">
        <x:v>PTN Akademik</x:v>
      </x:c>
      <x:c r="E302" s="66" t="str">
        <x:v>11221025</x:v>
      </x:c>
      <x:c r="F302" s="66" t="str">
        <x:v>PENDIDIKAN KEPELATIHAN OLAHRAGA (PKO)</x:v>
      </x:c>
      <x:c r="G302" s="66" t="str">
        <x:v>Sarjana</x:v>
      </x:c>
      <x:c r="H302" s="87" t="n">
        <x:v>117</x:v>
      </x:c>
      <x:c r="I302" s="87" t="n">
        <x:v>438</x:v>
      </x:c>
      <x:c r="J302" s="68" t="n">
        <x:f>IFERROR(H302/I302,"")</x:f>
        <x:v>0.2671232876712329</x:v>
      </x:c>
      <x:c r="K302" s="69" t="n">
        <x:f>IFERROR(I302/H302,"")</x:f>
        <x:v>3.7435897435897436</x:v>
      </x:c>
      <x:c r="L302" s="66" t="str">
        <x:f>IF(K302="","","1 : "&amp;TEXT(K302,"0.0"))</x:f>
        <x:v>1 : 3.7</x:v>
      </x:c>
      <x:c r="M302" s="66" t="str">
        <x:f>IF(J302="","Baru/Tanpa Data",IF(J302&lt;='Catatan &amp; Sumber'!$B$14,"Sangat Ketat",IF(J302&lt;='Catatan &amp; Sumber'!$B$15,"Ketat",IF(J302&lt;='Catatan &amp; Sumber'!$B$16,"Sedang","Relatif Longgar"))))</x:f>
        <x:v>Relatif Longgar</x:v>
      </x:c>
      <x:c r="N302" s="66" t="str">
        <x:v>Olahraga</x:v>
      </x:c>
      <x:c r="O302" s="66" t="str">
        <x:v>Sumatera Utara</x:v>
      </x:c>
      <x:c r="P302" s="66" t="str">
        <x:v>Kota Medan</x:v>
      </x:c>
      <x:c r="Q302" s="66" t="str">
        <x:v>https://snpmb.id/snbp/daya-tampung-snbp</x:v>
      </x:c>
      <x:c r="R302" s="66" t="str">
        <x:v>https://sidatagrun-public-1076756628210.asia-southeast2.run.app/ptn_sn.php?ptn=122</x:v>
      </x:c>
    </x:row>
    <x:row r="303">
      <x:c r="A303" s="87" t="n">
        <x:v>3167</x:v>
      </x:c>
      <x:c r="B303" s="87" t="n">
        <x:v>122</x:v>
      </x:c>
      <x:c r="C303" s="66" t="str">
        <x:v>UNIVERSITAS NEGERI MEDAN</x:v>
      </x:c>
      <x:c r="D303" s="66" t="str">
        <x:v>PTN Akademik</x:v>
      </x:c>
      <x:c r="E303" s="66" t="str">
        <x:v>11221026</x:v>
      </x:c>
      <x:c r="F303" s="66" t="str">
        <x:v>PENDIDIKAN LUAR SEKOLAH (PLS)</x:v>
      </x:c>
      <x:c r="G303" s="66" t="str">
        <x:v>Sarjana</x:v>
      </x:c>
      <x:c r="H303" s="87" t="n">
        <x:v>41</x:v>
      </x:c>
      <x:c r="I303" s="87" t="n">
        <x:v>123</x:v>
      </x:c>
      <x:c r="J303" s="68" t="n">
        <x:f>IFERROR(H303/I303,"")</x:f>
        <x:v>0.3333333333333333</x:v>
      </x:c>
      <x:c r="K303" s="69" t="n">
        <x:f>IFERROR(I303/H303,"")</x:f>
        <x:v>3</x:v>
      </x:c>
      <x:c r="L303" s="66" t="str">
        <x:f>IF(K303="","","1 : "&amp;TEXT(K303,"0.0"))</x:f>
        <x:v>1 : 3.0</x:v>
      </x:c>
      <x:c r="M303" s="66" t="str">
        <x:f>IF(J303="","Baru/Tanpa Data",IF(J303&lt;='Catatan &amp; Sumber'!$B$14,"Sangat Ketat",IF(J303&lt;='Catatan &amp; Sumber'!$B$15,"Ketat",IF(J303&lt;='Catatan &amp; Sumber'!$B$16,"Sedang","Relatif Longgar"))))</x:f>
        <x:v>Relatif Longgar</x:v>
      </x:c>
      <x:c r="N303" s="66" t="str">
        <x:v>Tidak Ada</x:v>
      </x:c>
      <x:c r="O303" s="66" t="str">
        <x:v>Sumatera Utara</x:v>
      </x:c>
      <x:c r="P303" s="66" t="str">
        <x:v>Kota Medan</x:v>
      </x:c>
      <x:c r="Q303" s="66" t="str">
        <x:v>https://snpmb.id/snbp/daya-tampung-snbp</x:v>
      </x:c>
      <x:c r="R303" s="66" t="str">
        <x:v>https://sidatagrun-public-1076756628210.asia-southeast2.run.app/ptn_sn.php?ptn=122</x:v>
      </x:c>
    </x:row>
    <x:row r="304">
      <x:c r="A304" s="87" t="n">
        <x:v>1294</x:v>
      </x:c>
      <x:c r="B304" s="87" t="n">
        <x:v>122</x:v>
      </x:c>
      <x:c r="C304" s="66" t="str">
        <x:v>UNIVERSITAS NEGERI MEDAN</x:v>
      </x:c>
      <x:c r="D304" s="66" t="str">
        <x:v>PTN Akademik</x:v>
      </x:c>
      <x:c r="E304" s="66" t="str">
        <x:v>11221027</x:v>
      </x:c>
      <x:c r="F304" s="66" t="str">
        <x:v>PENDIDIKAN EKONOMI</x:v>
      </x:c>
      <x:c r="G304" s="66" t="str">
        <x:v>Sarjana</x:v>
      </x:c>
      <x:c r="H304" s="87" t="n">
        <x:v>39</x:v>
      </x:c>
      <x:c r="I304" s="87" t="n">
        <x:v>411</x:v>
      </x:c>
      <x:c r="J304" s="68" t="n">
        <x:f>IFERROR(H304/I304,"")</x:f>
        <x:v>0.0948905109489051</x:v>
      </x:c>
      <x:c r="K304" s="69" t="n">
        <x:f>IFERROR(I304/H304,"")</x:f>
        <x:v>10.538461538461538</x:v>
      </x:c>
      <x:c r="L304" s="66" t="str">
        <x:f>IF(K304="","","1 : "&amp;TEXT(K304,"0.0"))</x:f>
        <x:v>1 : 10.5</x:v>
      </x:c>
      <x:c r="M304" s="66" t="str">
        <x:f>IF(J304="","Baru/Tanpa Data",IF(J304&lt;='Catatan &amp; Sumber'!$B$14,"Sangat Ketat",IF(J304&lt;='Catatan &amp; Sumber'!$B$15,"Ketat",IF(J304&lt;='Catatan &amp; Sumber'!$B$16,"Sedang","Relatif Longgar"))))</x:f>
        <x:v>Sedang</x:v>
      </x:c>
      <x:c r="N304" s="66" t="str">
        <x:v>Tidak Ada</x:v>
      </x:c>
      <x:c r="O304" s="66" t="str">
        <x:v>Sumatera Utara</x:v>
      </x:c>
      <x:c r="P304" s="66" t="str">
        <x:v>Kota Medan</x:v>
      </x:c>
      <x:c r="Q304" s="66" t="str">
        <x:v>https://snpmb.id/snbp/daya-tampung-snbp</x:v>
      </x:c>
      <x:c r="R304" s="66" t="str">
        <x:v>https://sidatagrun-public-1076756628210.asia-southeast2.run.app/ptn_sn.php?ptn=122</x:v>
      </x:c>
    </x:row>
    <x:row r="305">
      <x:c r="A305" s="87" t="n">
        <x:v>217</x:v>
      </x:c>
      <x:c r="B305" s="87" t="n">
        <x:v>122</x:v>
      </x:c>
      <x:c r="C305" s="66" t="str">
        <x:v>UNIVERSITAS NEGERI MEDAN</x:v>
      </x:c>
      <x:c r="D305" s="66" t="str">
        <x:v>PTN Akademik</x:v>
      </x:c>
      <x:c r="E305" s="66" t="str">
        <x:v>11221028</x:v>
      </x:c>
      <x:c r="F305" s="66" t="str">
        <x:v>MANAJEMEN</x:v>
      </x:c>
      <x:c r="G305" s="66" t="str">
        <x:v>Sarjana</x:v>
      </x:c>
      <x:c r="H305" s="87" t="n">
        <x:v>51</x:v>
      </x:c>
      <x:c r="I305" s="87" t="n">
        <x:v>1356</x:v>
      </x:c>
      <x:c r="J305" s="68" t="n">
        <x:f>IFERROR(H305/I305,"")</x:f>
        <x:v>0.03761061946902655</x:v>
      </x:c>
      <x:c r="K305" s="69" t="n">
        <x:f>IFERROR(I305/H305,"")</x:f>
        <x:v>26.58823529411765</x:v>
      </x:c>
      <x:c r="L305" s="66" t="str">
        <x:f>IF(K305="","","1 : "&amp;TEXT(K305,"0.0"))</x:f>
        <x:v>1 : 26.6</x:v>
      </x:c>
      <x:c r="M305" s="66" t="str">
        <x:f>IF(J305="","Baru/Tanpa Data",IF(J305&lt;='Catatan &amp; Sumber'!$B$14,"Sangat Ketat",IF(J305&lt;='Catatan &amp; Sumber'!$B$15,"Ketat",IF(J305&lt;='Catatan &amp; Sumber'!$B$16,"Sedang","Relatif Longgar"))))</x:f>
        <x:v>Ketat</x:v>
      </x:c>
      <x:c r="N305" s="66" t="str">
        <x:v>Tidak Ada</x:v>
      </x:c>
      <x:c r="O305" s="66" t="str">
        <x:v>Sumatera Utara</x:v>
      </x:c>
      <x:c r="P305" s="66" t="str">
        <x:v>Kota Medan</x:v>
      </x:c>
      <x:c r="Q305" s="66" t="str">
        <x:v>https://snpmb.id/snbp/daya-tampung-snbp</x:v>
      </x:c>
      <x:c r="R305" s="66" t="str">
        <x:v>https://sidatagrun-public-1076756628210.asia-southeast2.run.app/ptn_sn.php?ptn=122</x:v>
      </x:c>
    </x:row>
    <x:row r="306">
      <x:c r="A306" s="87" t="n">
        <x:v>478</x:v>
      </x:c>
      <x:c r="B306" s="87" t="n">
        <x:v>122</x:v>
      </x:c>
      <x:c r="C306" s="66" t="str">
        <x:v>UNIVERSITAS NEGERI MEDAN</x:v>
      </x:c>
      <x:c r="D306" s="66" t="str">
        <x:v>PTN Akademik</x:v>
      </x:c>
      <x:c r="E306" s="66" t="str">
        <x:v>11221029</x:v>
      </x:c>
      <x:c r="F306" s="66" t="str">
        <x:v>AKUNTANSI</x:v>
      </x:c>
      <x:c r="G306" s="66" t="str">
        <x:v>Sarjana</x:v>
      </x:c>
      <x:c r="H306" s="87" t="n">
        <x:v>46</x:v>
      </x:c>
      <x:c r="I306" s="87" t="n">
        <x:v>916</x:v>
      </x:c>
      <x:c r="J306" s="68" t="n">
        <x:f>IFERROR(H306/I306,"")</x:f>
        <x:v>0.05021834061135371</x:v>
      </x:c>
      <x:c r="K306" s="69" t="n">
        <x:f>IFERROR(I306/H306,"")</x:f>
        <x:v>19.91304347826087</x:v>
      </x:c>
      <x:c r="L306" s="66" t="str">
        <x:f>IF(K306="","","1 : "&amp;TEXT(K306,"0.0"))</x:f>
        <x:v>1 : 19.9</x:v>
      </x:c>
      <x:c r="M306" s="66" t="str">
        <x:f>IF(J306="","Baru/Tanpa Data",IF(J306&lt;='Catatan &amp; Sumber'!$B$14,"Sangat Ketat",IF(J306&lt;='Catatan &amp; Sumber'!$B$15,"Ketat",IF(J306&lt;='Catatan &amp; Sumber'!$B$16,"Sedang","Relatif Longgar"))))</x:f>
        <x:v>Sedang</x:v>
      </x:c>
      <x:c r="N306" s="66" t="str">
        <x:v>Tidak Ada</x:v>
      </x:c>
      <x:c r="O306" s="66" t="str">
        <x:v>Sumatera Utara</x:v>
      </x:c>
      <x:c r="P306" s="66" t="str">
        <x:v>Kota Medan</x:v>
      </x:c>
      <x:c r="Q306" s="66" t="str">
        <x:v>https://snpmb.id/snbp/daya-tampung-snbp</x:v>
      </x:c>
      <x:c r="R306" s="66" t="str">
        <x:v>https://sidatagrun-public-1076756628210.asia-southeast2.run.app/ptn_sn.php?ptn=122</x:v>
      </x:c>
    </x:row>
    <x:row r="307">
      <x:c r="A307" s="87" t="n">
        <x:v>1051</x:v>
      </x:c>
      <x:c r="B307" s="87" t="n">
        <x:v>122</x:v>
      </x:c>
      <x:c r="C307" s="66" t="str">
        <x:v>UNIVERSITAS NEGERI MEDAN</x:v>
      </x:c>
      <x:c r="D307" s="66" t="str">
        <x:v>PTN Akademik</x:v>
      </x:c>
      <x:c r="E307" s="66" t="str">
        <x:v>11221030</x:v>
      </x:c>
      <x:c r="F307" s="66" t="str">
        <x:v>PENDIDIKAN BAHASA DAN SASTRA INDONESIA</x:v>
      </x:c>
      <x:c r="G307" s="66" t="str">
        <x:v>Sarjana</x:v>
      </x:c>
      <x:c r="H307" s="87" t="n">
        <x:v>85</x:v>
      </x:c>
      <x:c r="I307" s="87" t="n">
        <x:v>1047</x:v>
      </x:c>
      <x:c r="J307" s="68" t="n">
        <x:f>IFERROR(H307/I307,"")</x:f>
        <x:v>0.08118433619866285</x:v>
      </x:c>
      <x:c r="K307" s="69" t="n">
        <x:f>IFERROR(I307/H307,"")</x:f>
        <x:v>12.31764705882353</x:v>
      </x:c>
      <x:c r="L307" s="66" t="str">
        <x:f>IF(K307="","","1 : "&amp;TEXT(K307,"0.0"))</x:f>
        <x:v>1 : 12.3</x:v>
      </x:c>
      <x:c r="M307" s="66" t="str">
        <x:f>IF(J307="","Baru/Tanpa Data",IF(J307&lt;='Catatan &amp; Sumber'!$B$14,"Sangat Ketat",IF(J307&lt;='Catatan &amp; Sumber'!$B$15,"Ketat",IF(J307&lt;='Catatan &amp; Sumber'!$B$16,"Sedang","Relatif Longgar"))))</x:f>
        <x:v>Sedang</x:v>
      </x:c>
      <x:c r="N307" s="66" t="str">
        <x:v>Tidak Ada</x:v>
      </x:c>
      <x:c r="O307" s="66" t="str">
        <x:v>Sumatera Utara</x:v>
      </x:c>
      <x:c r="P307" s="66" t="str">
        <x:v>Kota Medan</x:v>
      </x:c>
      <x:c r="Q307" s="66" t="str">
        <x:v>https://snpmb.id/snbp/daya-tampung-snbp</x:v>
      </x:c>
      <x:c r="R307" s="66" t="str">
        <x:v>https://sidatagrun-public-1076756628210.asia-southeast2.run.app/ptn_sn.php?ptn=122</x:v>
      </x:c>
    </x:row>
    <x:row r="308">
      <x:c r="A308" s="87" t="n">
        <x:v>1477</x:v>
      </x:c>
      <x:c r="B308" s="87" t="n">
        <x:v>122</x:v>
      </x:c>
      <x:c r="C308" s="66" t="str">
        <x:v>UNIVERSITAS NEGERI MEDAN</x:v>
      </x:c>
      <x:c r="D308" s="66" t="str">
        <x:v>PTN Akademik</x:v>
      </x:c>
      <x:c r="E308" s="66" t="str">
        <x:v>11221031</x:v>
      </x:c>
      <x:c r="F308" s="66" t="str">
        <x:v>PENDIDIKAN BAHASA INGGRIS</x:v>
      </x:c>
      <x:c r="G308" s="66" t="str">
        <x:v>Sarjana</x:v>
      </x:c>
      <x:c r="H308" s="87" t="n">
        <x:v>86</x:v>
      </x:c>
      <x:c r="I308" s="87" t="n">
        <x:v>796</x:v>
      </x:c>
      <x:c r="J308" s="68" t="n">
        <x:f>IFERROR(H308/I308,"")</x:f>
        <x:v>0.10804020100502512</x:v>
      </x:c>
      <x:c r="K308" s="69" t="n">
        <x:f>IFERROR(I308/H308,"")</x:f>
        <x:v>9.255813953488373</x:v>
      </x:c>
      <x:c r="L308" s="66" t="str">
        <x:f>IF(K308="","","1 : "&amp;TEXT(K308,"0.0"))</x:f>
        <x:v>1 : 9.3</x:v>
      </x:c>
      <x:c r="M308" s="66" t="str">
        <x:f>IF(J308="","Baru/Tanpa Data",IF(J308&lt;='Catatan &amp; Sumber'!$B$14,"Sangat Ketat",IF(J308&lt;='Catatan &amp; Sumber'!$B$15,"Ketat",IF(J308&lt;='Catatan &amp; Sumber'!$B$16,"Sedang","Relatif Longgar"))))</x:f>
        <x:v>Relatif Longgar</x:v>
      </x:c>
      <x:c r="N308" s="66" t="str">
        <x:v>Tidak Ada</x:v>
      </x:c>
      <x:c r="O308" s="66" t="str">
        <x:v>Sumatera Utara</x:v>
      </x:c>
      <x:c r="P308" s="66" t="str">
        <x:v>Kota Medan</x:v>
      </x:c>
      <x:c r="Q308" s="66" t="str">
        <x:v>https://snpmb.id/snbp/daya-tampung-snbp</x:v>
      </x:c>
      <x:c r="R308" s="66" t="str">
        <x:v>https://sidatagrun-public-1076756628210.asia-southeast2.run.app/ptn_sn.php?ptn=122</x:v>
      </x:c>
    </x:row>
    <x:row r="309">
      <x:c r="A309" s="87" t="n">
        <x:v>4372</x:v>
      </x:c>
      <x:c r="B309" s="87" t="n">
        <x:v>122</x:v>
      </x:c>
      <x:c r="C309" s="66" t="str">
        <x:v>UNIVERSITAS NEGERI MEDAN</x:v>
      </x:c>
      <x:c r="D309" s="66" t="str">
        <x:v>PTN Akademik</x:v>
      </x:c>
      <x:c r="E309" s="66" t="str">
        <x:v>11221032</x:v>
      </x:c>
      <x:c r="F309" s="66" t="str">
        <x:v>PENDIDIKAN BAHASA PERANCIS</x:v>
      </x:c>
      <x:c r="G309" s="66" t="str">
        <x:v>Sarjana</x:v>
      </x:c>
      <x:c r="H309" s="87" t="n">
        <x:v>43</x:v>
      </x:c>
      <x:c r="I309" s="87" t="n">
        <x:v>40</x:v>
      </x:c>
      <x:c r="J309" s="68" t="n">
        <x:f>IFERROR(H309/I309,"")</x:f>
        <x:v>1.075</x:v>
      </x:c>
      <x:c r="K309" s="69" t="n">
        <x:f>IFERROR(I309/H309,"")</x:f>
        <x:v>0.9302325581395349</x:v>
      </x:c>
      <x:c r="L309" s="66" t="str">
        <x:f>IF(K309="","","1 : "&amp;TEXT(K309,"0.0"))</x:f>
        <x:v>1 : 0.9</x:v>
      </x:c>
      <x:c r="M309" s="66" t="str">
        <x:f>IF(J309="","Baru/Tanpa Data",IF(J309&lt;='Catatan &amp; Sumber'!$B$14,"Sangat Ketat",IF(J309&lt;='Catatan &amp; Sumber'!$B$15,"Ketat",IF(J309&lt;='Catatan &amp; Sumber'!$B$16,"Sedang","Relatif Longgar"))))</x:f>
        <x:v>Relatif Longgar</x:v>
      </x:c>
      <x:c r="N309" s="66" t="str">
        <x:v>Tidak Ada</x:v>
      </x:c>
      <x:c r="O309" s="66" t="str">
        <x:v>Sumatera Utara</x:v>
      </x:c>
      <x:c r="P309" s="66" t="str">
        <x:v>Kota Medan</x:v>
      </x:c>
      <x:c r="Q309" s="66" t="str">
        <x:v>https://snpmb.id/snbp/daya-tampung-snbp</x:v>
      </x:c>
      <x:c r="R309" s="66" t="str">
        <x:v>https://sidatagrun-public-1076756628210.asia-southeast2.run.app/ptn_sn.php?ptn=122</x:v>
      </x:c>
    </x:row>
    <x:row r="310">
      <x:c r="A310" s="87" t="n">
        <x:v>3411</x:v>
      </x:c>
      <x:c r="B310" s="87" t="n">
        <x:v>122</x:v>
      </x:c>
      <x:c r="C310" s="66" t="str">
        <x:v>UNIVERSITAS NEGERI MEDAN</x:v>
      </x:c>
      <x:c r="D310" s="66" t="str">
        <x:v>PTN Akademik</x:v>
      </x:c>
      <x:c r="E310" s="66" t="str">
        <x:v>11221033</x:v>
      </x:c>
      <x:c r="F310" s="66" t="str">
        <x:v>PENDIDIKAN BAHASA JERMAN</x:v>
      </x:c>
      <x:c r="G310" s="66" t="str">
        <x:v>Sarjana</x:v>
      </x:c>
      <x:c r="H310" s="87" t="n">
        <x:v>47</x:v>
      </x:c>
      <x:c r="I310" s="87" t="n">
        <x:v>116</x:v>
      </x:c>
      <x:c r="J310" s="68" t="n">
        <x:f>IFERROR(H310/I310,"")</x:f>
        <x:v>0.4051724137931034</x:v>
      </x:c>
      <x:c r="K310" s="69" t="n">
        <x:f>IFERROR(I310/H310,"")</x:f>
        <x:v>2.4680851063829787</x:v>
      </x:c>
      <x:c r="L310" s="66" t="str">
        <x:f>IF(K310="","","1 : "&amp;TEXT(K310,"0.0"))</x:f>
        <x:v>1 : 2.5</x:v>
      </x:c>
      <x:c r="M310" s="66" t="str">
        <x:f>IF(J310="","Baru/Tanpa Data",IF(J310&lt;='Catatan &amp; Sumber'!$B$14,"Sangat Ketat",IF(J310&lt;='Catatan &amp; Sumber'!$B$15,"Ketat",IF(J310&lt;='Catatan &amp; Sumber'!$B$16,"Sedang","Relatif Longgar"))))</x:f>
        <x:v>Relatif Longgar</x:v>
      </x:c>
      <x:c r="N310" s="66" t="str">
        <x:v>Tidak Ada</x:v>
      </x:c>
      <x:c r="O310" s="66" t="str">
        <x:v>Sumatera Utara</x:v>
      </x:c>
      <x:c r="P310" s="66" t="str">
        <x:v>Kota Medan</x:v>
      </x:c>
      <x:c r="Q310" s="66" t="str">
        <x:v>https://snpmb.id/snbp/daya-tampung-snbp</x:v>
      </x:c>
      <x:c r="R310" s="66" t="str">
        <x:v>https://sidatagrun-public-1076756628210.asia-southeast2.run.app/ptn_sn.php?ptn=122</x:v>
      </x:c>
    </x:row>
    <x:row r="311">
      <x:c r="A311" s="87" t="n">
        <x:v>3133</x:v>
      </x:c>
      <x:c r="B311" s="87" t="n">
        <x:v>122</x:v>
      </x:c>
      <x:c r="C311" s="66" t="str">
        <x:v>UNIVERSITAS NEGERI MEDAN</x:v>
      </x:c>
      <x:c r="D311" s="66" t="str">
        <x:v>PTN Akademik</x:v>
      </x:c>
      <x:c r="E311" s="66" t="str">
        <x:v>11221034</x:v>
      </x:c>
      <x:c r="F311" s="66" t="str">
        <x:v>PENDIDIKAN SENI RUPA</x:v>
      </x:c>
      <x:c r="G311" s="66" t="str">
        <x:v>Sarjana</x:v>
      </x:c>
      <x:c r="H311" s="87" t="n">
        <x:v>40</x:v>
      </x:c>
      <x:c r="I311" s="87" t="n">
        <x:v>124</x:v>
      </x:c>
      <x:c r="J311" s="68" t="n">
        <x:f>IFERROR(H311/I311,"")</x:f>
        <x:v>0.3225806451612903</x:v>
      </x:c>
      <x:c r="K311" s="69" t="n">
        <x:f>IFERROR(I311/H311,"")</x:f>
        <x:v>3.1</x:v>
      </x:c>
      <x:c r="L311" s="66" t="str">
        <x:f>IF(K311="","","1 : "&amp;TEXT(K311,"0.0"))</x:f>
        <x:v>1 : 3.1</x:v>
      </x:c>
      <x:c r="M311" s="66" t="str">
        <x:f>IF(J311="","Baru/Tanpa Data",IF(J311&lt;='Catatan &amp; Sumber'!$B$14,"Sangat Ketat",IF(J311&lt;='Catatan &amp; Sumber'!$B$15,"Ketat",IF(J311&lt;='Catatan &amp; Sumber'!$B$16,"Sedang","Relatif Longgar"))))</x:f>
        <x:v>Relatif Longgar</x:v>
      </x:c>
      <x:c r="N311" s="66" t="str">
        <x:v>Seni Rupa, Desain, dan Kriya</x:v>
      </x:c>
      <x:c r="O311" s="66" t="str">
        <x:v>Sumatera Utara</x:v>
      </x:c>
      <x:c r="P311" s="66" t="str">
        <x:v>Kota Medan</x:v>
      </x:c>
      <x:c r="Q311" s="66" t="str">
        <x:v>https://snpmb.id/snbp/daya-tampung-snbp</x:v>
      </x:c>
      <x:c r="R311" s="66" t="str">
        <x:v>https://sidatagrun-public-1076756628210.asia-southeast2.run.app/ptn_sn.php?ptn=122</x:v>
      </x:c>
    </x:row>
    <x:row r="312">
      <x:c r="A312" s="87" t="n">
        <x:v>2329</x:v>
      </x:c>
      <x:c r="B312" s="87" t="n">
        <x:v>122</x:v>
      </x:c>
      <x:c r="C312" s="66" t="str">
        <x:v>UNIVERSITAS NEGERI MEDAN</x:v>
      </x:c>
      <x:c r="D312" s="66" t="str">
        <x:v>PTN Akademik</x:v>
      </x:c>
      <x:c r="E312" s="66" t="str">
        <x:v>11221035</x:v>
      </x:c>
      <x:c r="F312" s="66" t="str">
        <x:v>SASTRA INDONESIA</x:v>
      </x:c>
      <x:c r="G312" s="66" t="str">
        <x:v>Sarjana</x:v>
      </x:c>
      <x:c r="H312" s="87" t="n">
        <x:v>51</x:v>
      </x:c>
      <x:c r="I312" s="87" t="n">
        <x:v>273</x:v>
      </x:c>
      <x:c r="J312" s="68" t="n">
        <x:f>IFERROR(H312/I312,"")</x:f>
        <x:v>0.18681318681318682</x:v>
      </x:c>
      <x:c r="K312" s="69" t="n">
        <x:f>IFERROR(I312/H312,"")</x:f>
        <x:v>5.352941176470588</x:v>
      </x:c>
      <x:c r="L312" s="66" t="str">
        <x:f>IF(K312="","","1 : "&amp;TEXT(K312,"0.0"))</x:f>
        <x:v>1 : 5.4</x:v>
      </x:c>
      <x:c r="M312" s="66" t="str">
        <x:f>IF(J312="","Baru/Tanpa Data",IF(J312&lt;='Catatan &amp; Sumber'!$B$14,"Sangat Ketat",IF(J312&lt;='Catatan &amp; Sumber'!$B$15,"Ketat",IF(J312&lt;='Catatan &amp; Sumber'!$B$16,"Sedang","Relatif Longgar"))))</x:f>
        <x:v>Relatif Longgar</x:v>
      </x:c>
      <x:c r="N312" s="66" t="str">
        <x:v>Tidak Ada</x:v>
      </x:c>
      <x:c r="O312" s="66" t="str">
        <x:v>Sumatera Utara</x:v>
      </x:c>
      <x:c r="P312" s="66" t="str">
        <x:v>Kota Medan</x:v>
      </x:c>
      <x:c r="Q312" s="66" t="str">
        <x:v>https://snpmb.id/snbp/daya-tampung-snbp</x:v>
      </x:c>
      <x:c r="R312" s="66" t="str">
        <x:v>https://sidatagrun-public-1076756628210.asia-southeast2.run.app/ptn_sn.php?ptn=122</x:v>
      </x:c>
    </x:row>
    <x:row r="313">
      <x:c r="A313" s="87" t="n">
        <x:v>1810</x:v>
      </x:c>
      <x:c r="B313" s="87" t="n">
        <x:v>122</x:v>
      </x:c>
      <x:c r="C313" s="66" t="str">
        <x:v>UNIVERSITAS NEGERI MEDAN</x:v>
      </x:c>
      <x:c r="D313" s="66" t="str">
        <x:v>PTN Akademik</x:v>
      </x:c>
      <x:c r="E313" s="66" t="str">
        <x:v>11221036</x:v>
      </x:c>
      <x:c r="F313" s="66" t="str">
        <x:v>SASTRA INGGRIS</x:v>
      </x:c>
      <x:c r="G313" s="66" t="str">
        <x:v>Sarjana</x:v>
      </x:c>
      <x:c r="H313" s="87" t="n">
        <x:v>51</x:v>
      </x:c>
      <x:c r="I313" s="87" t="n">
        <x:v>383</x:v>
      </x:c>
      <x:c r="J313" s="68" t="n">
        <x:f>IFERROR(H313/I313,"")</x:f>
        <x:v>0.13315926892950392</x:v>
      </x:c>
      <x:c r="K313" s="69" t="n">
        <x:f>IFERROR(I313/H313,"")</x:f>
        <x:v>7.509803921568627</x:v>
      </x:c>
      <x:c r="L313" s="66" t="str">
        <x:f>IF(K313="","","1 : "&amp;TEXT(K313,"0.0"))</x:f>
        <x:v>1 : 7.5</x:v>
      </x:c>
      <x:c r="M313" s="66" t="str">
        <x:f>IF(J313="","Baru/Tanpa Data",IF(J313&lt;='Catatan &amp; Sumber'!$B$14,"Sangat Ketat",IF(J313&lt;='Catatan &amp; Sumber'!$B$15,"Ketat",IF(J313&lt;='Catatan &amp; Sumber'!$B$16,"Sedang","Relatif Longgar"))))</x:f>
        <x:v>Relatif Longgar</x:v>
      </x:c>
      <x:c r="N313" s="66" t="str">
        <x:v>Tidak Ada</x:v>
      </x:c>
      <x:c r="O313" s="66" t="str">
        <x:v>Sumatera Utara</x:v>
      </x:c>
      <x:c r="P313" s="66" t="str">
        <x:v>Kota Medan</x:v>
      </x:c>
      <x:c r="Q313" s="66" t="str">
        <x:v>https://snpmb.id/snbp/daya-tampung-snbp</x:v>
      </x:c>
      <x:c r="R313" s="66" t="str">
        <x:v>https://sidatagrun-public-1076756628210.asia-southeast2.run.app/ptn_sn.php?ptn=122</x:v>
      </x:c>
    </x:row>
    <x:row r="314">
      <x:c r="A314" s="87" t="n">
        <x:v>461</x:v>
      </x:c>
      <x:c r="B314" s="87" t="n">
        <x:v>122</x:v>
      </x:c>
      <x:c r="C314" s="66" t="str">
        <x:v>UNIVERSITAS NEGERI MEDAN</x:v>
      </x:c>
      <x:c r="D314" s="66" t="str">
        <x:v>PTN Akademik</x:v>
      </x:c>
      <x:c r="E314" s="66" t="str">
        <x:v>11221038</x:v>
      </x:c>
      <x:c r="F314" s="66" t="str">
        <x:v>PENDIDIKAN GURU SEKOLAH DASAR (PGSD)</x:v>
      </x:c>
      <x:c r="G314" s="66" t="str">
        <x:v>Sarjana</x:v>
      </x:c>
      <x:c r="H314" s="87" t="n">
        <x:v>144</x:v>
      </x:c>
      <x:c r="I314" s="87" t="n">
        <x:v>2915</x:v>
      </x:c>
      <x:c r="J314" s="68" t="n">
        <x:f>IFERROR(H314/I314,"")</x:f>
        <x:v>0.049399656946826756</x:v>
      </x:c>
      <x:c r="K314" s="69" t="n">
        <x:f>IFERROR(I314/H314,"")</x:f>
        <x:v>20.243055555555557</x:v>
      </x:c>
      <x:c r="L314" s="66" t="str">
        <x:f>IF(K314="","","1 : "&amp;TEXT(K314,"0.0"))</x:f>
        <x:v>1 : 20.2</x:v>
      </x:c>
      <x:c r="M314" s="66" t="str">
        <x:f>IF(J314="","Baru/Tanpa Data",IF(J314&lt;='Catatan &amp; Sumber'!$B$14,"Sangat Ketat",IF(J314&lt;='Catatan &amp; Sumber'!$B$15,"Ketat",IF(J314&lt;='Catatan &amp; Sumber'!$B$16,"Sedang","Relatif Longgar"))))</x:f>
        <x:v>Ketat</x:v>
      </x:c>
      <x:c r="N314" s="66" t="str">
        <x:v>Tidak Ada</x:v>
      </x:c>
      <x:c r="O314" s="66" t="str">
        <x:v>Sumatera Utara</x:v>
      </x:c>
      <x:c r="P314" s="66" t="str">
        <x:v>Kota Medan</x:v>
      </x:c>
      <x:c r="Q314" s="66" t="str">
        <x:v>https://snpmb.id/snbp/daya-tampung-snbp</x:v>
      </x:c>
      <x:c r="R314" s="66" t="str">
        <x:v>https://sidatagrun-public-1076756628210.asia-southeast2.run.app/ptn_sn.php?ptn=122</x:v>
      </x:c>
    </x:row>
    <x:row r="315">
      <x:c r="A315" s="87" t="n">
        <x:v>1131</x:v>
      </x:c>
      <x:c r="B315" s="87" t="n">
        <x:v>122</x:v>
      </x:c>
      <x:c r="C315" s="66" t="str">
        <x:v>UNIVERSITAS NEGERI MEDAN</x:v>
      </x:c>
      <x:c r="D315" s="66" t="str">
        <x:v>PTN Akademik</x:v>
      </x:c>
      <x:c r="E315" s="66" t="str">
        <x:v>11221039</x:v>
      </x:c>
      <x:c r="F315" s="66" t="str">
        <x:v>PENDIDIKAN TATA BOGA</x:v>
      </x:c>
      <x:c r="G315" s="66" t="str">
        <x:v>Sarjana</x:v>
      </x:c>
      <x:c r="H315" s="87" t="n">
        <x:v>46</x:v>
      </x:c>
      <x:c r="I315" s="87" t="n">
        <x:v>536</x:v>
      </x:c>
      <x:c r="J315" s="68" t="n">
        <x:f>IFERROR(H315/I315,"")</x:f>
        <x:v>0.08582089552238806</x:v>
      </x:c>
      <x:c r="K315" s="69" t="n">
        <x:f>IFERROR(I315/H315,"")</x:f>
        <x:v>11.652173913043478</x:v>
      </x:c>
      <x:c r="L315" s="66" t="str">
        <x:f>IF(K315="","","1 : "&amp;TEXT(K315,"0.0"))</x:f>
        <x:v>1 : 11.7</x:v>
      </x:c>
      <x:c r="M315" s="66" t="str">
        <x:f>IF(J315="","Baru/Tanpa Data",IF(J315&lt;='Catatan &amp; Sumber'!$B$14,"Sangat Ketat",IF(J315&lt;='Catatan &amp; Sumber'!$B$15,"Ketat",IF(J315&lt;='Catatan &amp; Sumber'!$B$16,"Sedang","Relatif Longgar"))))</x:f>
        <x:v>Sedang</x:v>
      </x:c>
      <x:c r="N315" s="66" t="str">
        <x:v>Tidak Ada</x:v>
      </x:c>
      <x:c r="O315" s="66" t="str">
        <x:v>Sumatera Utara</x:v>
      </x:c>
      <x:c r="P315" s="66" t="str">
        <x:v>Kota Medan</x:v>
      </x:c>
      <x:c r="Q315" s="66" t="str">
        <x:v>https://snpmb.id/snbp/daya-tampung-snbp</x:v>
      </x:c>
      <x:c r="R315" s="66" t="str">
        <x:v>https://sidatagrun-public-1076756628210.asia-southeast2.run.app/ptn_sn.php?ptn=122</x:v>
      </x:c>
    </x:row>
    <x:row r="316">
      <x:c r="A316" s="87" t="n">
        <x:v>1260</x:v>
      </x:c>
      <x:c r="B316" s="87" t="n">
        <x:v>122</x:v>
      </x:c>
      <x:c r="C316" s="66" t="str">
        <x:v>UNIVERSITAS NEGERI MEDAN</x:v>
      </x:c>
      <x:c r="D316" s="66" t="str">
        <x:v>PTN Akademik</x:v>
      </x:c>
      <x:c r="E316" s="66" t="str">
        <x:v>11221040</x:v>
      </x:c>
      <x:c r="F316" s="66" t="str">
        <x:v>PENDIDIKAN TATA RIAS</x:v>
      </x:c>
      <x:c r="G316" s="66" t="str">
        <x:v>Sarjana</x:v>
      </x:c>
      <x:c r="H316" s="87" t="n">
        <x:v>51</x:v>
      </x:c>
      <x:c r="I316" s="87" t="n">
        <x:v>545</x:v>
      </x:c>
      <x:c r="J316" s="68" t="n">
        <x:f>IFERROR(H316/I316,"")</x:f>
        <x:v>0.09357798165137615</x:v>
      </x:c>
      <x:c r="K316" s="69" t="n">
        <x:f>IFERROR(I316/H316,"")</x:f>
        <x:v>10.686274509803921</x:v>
      </x:c>
      <x:c r="L316" s="66" t="str">
        <x:f>IF(K316="","","1 : "&amp;TEXT(K316,"0.0"))</x:f>
        <x:v>1 : 10.7</x:v>
      </x:c>
      <x:c r="M316" s="66" t="str">
        <x:f>IF(J316="","Baru/Tanpa Data",IF(J316&lt;='Catatan &amp; Sumber'!$B$14,"Sangat Ketat",IF(J316&lt;='Catatan &amp; Sumber'!$B$15,"Ketat",IF(J316&lt;='Catatan &amp; Sumber'!$B$16,"Sedang","Relatif Longgar"))))</x:f>
        <x:v>Sedang</x:v>
      </x:c>
      <x:c r="N316" s="66" t="str">
        <x:v>Tidak Ada</x:v>
      </x:c>
      <x:c r="O316" s="66" t="str">
        <x:v>Sumatera Utara</x:v>
      </x:c>
      <x:c r="P316" s="66" t="str">
        <x:v>Kota Medan</x:v>
      </x:c>
      <x:c r="Q316" s="66" t="str">
        <x:v>https://snpmb.id/snbp/daya-tampung-snbp</x:v>
      </x:c>
      <x:c r="R316" s="66" t="str">
        <x:v>https://sidatagrun-public-1076756628210.asia-southeast2.run.app/ptn_sn.php?ptn=122</x:v>
      </x:c>
    </x:row>
    <x:row r="317">
      <x:c r="A317" s="87" t="n">
        <x:v>2233</x:v>
      </x:c>
      <x:c r="B317" s="87" t="n">
        <x:v>122</x:v>
      </x:c>
      <x:c r="C317" s="66" t="str">
        <x:v>UNIVERSITAS NEGERI MEDAN</x:v>
      </x:c>
      <x:c r="D317" s="66" t="str">
        <x:v>PTN Akademik</x:v>
      </x:c>
      <x:c r="E317" s="66" t="str">
        <x:v>11221041</x:v>
      </x:c>
      <x:c r="F317" s="66" t="str">
        <x:v>PENDIDIKAN ANTROPOLOGI</x:v>
      </x:c>
      <x:c r="G317" s="66" t="str">
        <x:v>Sarjana</x:v>
      </x:c>
      <x:c r="H317" s="87" t="n">
        <x:v>62</x:v>
      </x:c>
      <x:c r="I317" s="87" t="n">
        <x:v>352</x:v>
      </x:c>
      <x:c r="J317" s="68" t="n">
        <x:f>IFERROR(H317/I317,"")</x:f>
        <x:v>0.17613636363636365</x:v>
      </x:c>
      <x:c r="K317" s="69" t="n">
        <x:f>IFERROR(I317/H317,"")</x:f>
        <x:v>5.67741935483871</x:v>
      </x:c>
      <x:c r="L317" s="66" t="str">
        <x:f>IF(K317="","","1 : "&amp;TEXT(K317,"0.0"))</x:f>
        <x:v>1 : 5.7</x:v>
      </x:c>
      <x:c r="M317" s="66" t="str">
        <x:f>IF(J317="","Baru/Tanpa Data",IF(J317&lt;='Catatan &amp; Sumber'!$B$14,"Sangat Ketat",IF(J317&lt;='Catatan &amp; Sumber'!$B$15,"Ketat",IF(J317&lt;='Catatan &amp; Sumber'!$B$16,"Sedang","Relatif Longgar"))))</x:f>
        <x:v>Relatif Longgar</x:v>
      </x:c>
      <x:c r="N317" s="66" t="str">
        <x:v>Tidak Ada</x:v>
      </x:c>
      <x:c r="O317" s="66" t="str">
        <x:v>Sumatera Utara</x:v>
      </x:c>
      <x:c r="P317" s="66" t="str">
        <x:v>Kota Medan</x:v>
      </x:c>
      <x:c r="Q317" s="66" t="str">
        <x:v>https://snpmb.id/snbp/daya-tampung-snbp</x:v>
      </x:c>
      <x:c r="R317" s="66" t="str">
        <x:v>https://sidatagrun-public-1076756628210.asia-southeast2.run.app/ptn_sn.php?ptn=122</x:v>
      </x:c>
    </x:row>
    <x:row r="318">
      <x:c r="A318" s="87" t="n">
        <x:v>1996</x:v>
      </x:c>
      <x:c r="B318" s="87" t="n">
        <x:v>122</x:v>
      </x:c>
      <x:c r="C318" s="66" t="str">
        <x:v>UNIVERSITAS NEGERI MEDAN</x:v>
      </x:c>
      <x:c r="D318" s="66" t="str">
        <x:v>PTN Akademik</x:v>
      </x:c>
      <x:c r="E318" s="66" t="str">
        <x:v>11221042</x:v>
      </x:c>
      <x:c r="F318" s="66" t="str">
        <x:v>PEND. GURU PENDIDIKAN ANAK USIA DINI</x:v>
      </x:c>
      <x:c r="G318" s="66" t="str">
        <x:v>Sarjana</x:v>
      </x:c>
      <x:c r="H318" s="87" t="n">
        <x:v>72</x:v>
      </x:c>
      <x:c r="I318" s="87" t="n">
        <x:v>475</x:v>
      </x:c>
      <x:c r="J318" s="68" t="n">
        <x:f>IFERROR(H318/I318,"")</x:f>
        <x:v>0.15157894736842106</x:v>
      </x:c>
      <x:c r="K318" s="69" t="n">
        <x:f>IFERROR(I318/H318,"")</x:f>
        <x:v>6.597222222222222</x:v>
      </x:c>
      <x:c r="L318" s="66" t="str">
        <x:f>IF(K318="","","1 : "&amp;TEXT(K318,"0.0"))</x:f>
        <x:v>1 : 6.6</x:v>
      </x:c>
      <x:c r="M318" s="66" t="str">
        <x:f>IF(J318="","Baru/Tanpa Data",IF(J318&lt;='Catatan &amp; Sumber'!$B$14,"Sangat Ketat",IF(J318&lt;='Catatan &amp; Sumber'!$B$15,"Ketat",IF(J318&lt;='Catatan &amp; Sumber'!$B$16,"Sedang","Relatif Longgar"))))</x:f>
        <x:v>Relatif Longgar</x:v>
      </x:c>
      <x:c r="N318" s="66" t="str">
        <x:v>Tidak Ada</x:v>
      </x:c>
      <x:c r="O318" s="66" t="str">
        <x:v>Sumatera Utara</x:v>
      </x:c>
      <x:c r="P318" s="66" t="str">
        <x:v>Kota Medan</x:v>
      </x:c>
      <x:c r="Q318" s="66" t="str">
        <x:v>https://snpmb.id/snbp/daya-tampung-snbp</x:v>
      </x:c>
      <x:c r="R318" s="66" t="str">
        <x:v>https://sidatagrun-public-1076756628210.asia-southeast2.run.app/ptn_sn.php?ptn=122</x:v>
      </x:c>
    </x:row>
    <x:row r="319">
      <x:c r="A319" s="87" t="n">
        <x:v>718</x:v>
      </x:c>
      <x:c r="B319" s="87" t="n">
        <x:v>122</x:v>
      </x:c>
      <x:c r="C319" s="66" t="str">
        <x:v>UNIVERSITAS NEGERI MEDAN</x:v>
      </x:c>
      <x:c r="D319" s="66" t="str">
        <x:v>PTN Akademik</x:v>
      </x:c>
      <x:c r="E319" s="66" t="str">
        <x:v>11221043</x:v>
      </x:c>
      <x:c r="F319" s="66" t="str">
        <x:v>PENDIDIKAN BIMBINGAN DAN KONSELING</x:v>
      </x:c>
      <x:c r="G319" s="66" t="str">
        <x:v>Sarjana</x:v>
      </x:c>
      <x:c r="H319" s="87" t="n">
        <x:v>72</x:v>
      </x:c>
      <x:c r="I319" s="87" t="n">
        <x:v>1147</x:v>
      </x:c>
      <x:c r="J319" s="68" t="n">
        <x:f>IFERROR(H319/I319,"")</x:f>
        <x:v>0.06277244986922406</x:v>
      </x:c>
      <x:c r="K319" s="69" t="n">
        <x:f>IFERROR(I319/H319,"")</x:f>
        <x:v>15.930555555555555</x:v>
      </x:c>
      <x:c r="L319" s="66" t="str">
        <x:f>IF(K319="","","1 : "&amp;TEXT(K319,"0.0"))</x:f>
        <x:v>1 : 15.9</x:v>
      </x:c>
      <x:c r="M319" s="66" t="str">
        <x:f>IF(J319="","Baru/Tanpa Data",IF(J319&lt;='Catatan &amp; Sumber'!$B$14,"Sangat Ketat",IF(J319&lt;='Catatan &amp; Sumber'!$B$15,"Ketat",IF(J319&lt;='Catatan &amp; Sumber'!$B$16,"Sedang","Relatif Longgar"))))</x:f>
        <x:v>Sedang</x:v>
      </x:c>
      <x:c r="N319" s="66" t="str">
        <x:v>Tidak Ada</x:v>
      </x:c>
      <x:c r="O319" s="66" t="str">
        <x:v>Sumatera Utara</x:v>
      </x:c>
      <x:c r="P319" s="66" t="str">
        <x:v>Kota Medan</x:v>
      </x:c>
      <x:c r="Q319" s="66" t="str">
        <x:v>https://snpmb.id/snbp/daya-tampung-snbp</x:v>
      </x:c>
      <x:c r="R319" s="66" t="str">
        <x:v>https://sidatagrun-public-1076756628210.asia-southeast2.run.app/ptn_sn.php?ptn=122</x:v>
      </x:c>
    </x:row>
    <x:row r="320">
      <x:c r="A320" s="87" t="n">
        <x:v>1816</x:v>
      </x:c>
      <x:c r="B320" s="87" t="n">
        <x:v>122</x:v>
      </x:c>
      <x:c r="C320" s="66" t="str">
        <x:v>UNIVERSITAS NEGERI MEDAN</x:v>
      </x:c>
      <x:c r="D320" s="66" t="str">
        <x:v>PTN Akademik</x:v>
      </x:c>
      <x:c r="E320" s="66" t="str">
        <x:v>11221044</x:v>
      </x:c>
      <x:c r="F320" s="66" t="str">
        <x:v>PENDIDIKAN AKUNTANSI</x:v>
      </x:c>
      <x:c r="G320" s="66" t="str">
        <x:v>Sarjana</x:v>
      </x:c>
      <x:c r="H320" s="87" t="n">
        <x:v>39</x:v>
      </x:c>
      <x:c r="I320" s="87" t="n">
        <x:v>292</x:v>
      </x:c>
      <x:c r="J320" s="68" t="n">
        <x:f>IFERROR(H320/I320,"")</x:f>
        <x:v>0.13356164383561644</x:v>
      </x:c>
      <x:c r="K320" s="69" t="n">
        <x:f>IFERROR(I320/H320,"")</x:f>
        <x:v>7.487179487179487</x:v>
      </x:c>
      <x:c r="L320" s="66" t="str">
        <x:f>IF(K320="","","1 : "&amp;TEXT(K320,"0.0"))</x:f>
        <x:v>1 : 7.5</x:v>
      </x:c>
      <x:c r="M320" s="66" t="str">
        <x:f>IF(J320="","Baru/Tanpa Data",IF(J320&lt;='Catatan &amp; Sumber'!$B$14,"Sangat Ketat",IF(J320&lt;='Catatan &amp; Sumber'!$B$15,"Ketat",IF(J320&lt;='Catatan &amp; Sumber'!$B$16,"Sedang","Relatif Longgar"))))</x:f>
        <x:v>Relatif Longgar</x:v>
      </x:c>
      <x:c r="N320" s="66" t="str">
        <x:v>Tidak Ada</x:v>
      </x:c>
      <x:c r="O320" s="66" t="str">
        <x:v>Sumatera Utara</x:v>
      </x:c>
      <x:c r="P320" s="66" t="str">
        <x:v>Kota Medan</x:v>
      </x:c>
      <x:c r="Q320" s="66" t="str">
        <x:v>https://snpmb.id/snbp/daya-tampung-snbp</x:v>
      </x:c>
      <x:c r="R320" s="66" t="str">
        <x:v>https://sidatagrun-public-1076756628210.asia-southeast2.run.app/ptn_sn.php?ptn=122</x:v>
      </x:c>
    </x:row>
    <x:row r="321">
      <x:c r="A321" s="87" t="n">
        <x:v>741</x:v>
      </x:c>
      <x:c r="B321" s="87" t="n">
        <x:v>122</x:v>
      </x:c>
      <x:c r="C321" s="66" t="str">
        <x:v>UNIVERSITAS NEGERI MEDAN</x:v>
      </x:c>
      <x:c r="D321" s="66" t="str">
        <x:v>PTN Akademik</x:v>
      </x:c>
      <x:c r="E321" s="66" t="str">
        <x:v>11221046</x:v>
      </x:c>
      <x:c r="F321" s="66" t="str">
        <x:v>PENDIDIKAN ADMINISTRASI PERKANTORAN</x:v>
      </x:c>
      <x:c r="G321" s="66" t="str">
        <x:v>Sarjana</x:v>
      </x:c>
      <x:c r="H321" s="87" t="n">
        <x:v>39</x:v>
      </x:c>
      <x:c r="I321" s="87" t="n">
        <x:v>607</x:v>
      </x:c>
      <x:c r="J321" s="68" t="n">
        <x:f>IFERROR(H321/I321,"")</x:f>
        <x:v>0.0642504118616145</x:v>
      </x:c>
      <x:c r="K321" s="69" t="n">
        <x:f>IFERROR(I321/H321,"")</x:f>
        <x:v>15.564102564102564</x:v>
      </x:c>
      <x:c r="L321" s="66" t="str">
        <x:f>IF(K321="","","1 : "&amp;TEXT(K321,"0.0"))</x:f>
        <x:v>1 : 15.6</x:v>
      </x:c>
      <x:c r="M321" s="66" t="str">
        <x:f>IF(J321="","Baru/Tanpa Data",IF(J321&lt;='Catatan &amp; Sumber'!$B$14,"Sangat Ketat",IF(J321&lt;='Catatan &amp; Sumber'!$B$15,"Ketat",IF(J321&lt;='Catatan &amp; Sumber'!$B$16,"Sedang","Relatif Longgar"))))</x:f>
        <x:v>Sedang</x:v>
      </x:c>
      <x:c r="N321" s="66" t="str">
        <x:v>Tidak Ada</x:v>
      </x:c>
      <x:c r="O321" s="66" t="str">
        <x:v>Sumatera Utara</x:v>
      </x:c>
      <x:c r="P321" s="66" t="str">
        <x:v>Kota Medan</x:v>
      </x:c>
      <x:c r="Q321" s="66" t="str">
        <x:v>https://snpmb.id/snbp/daya-tampung-snbp</x:v>
      </x:c>
      <x:c r="R321" s="66" t="str">
        <x:v>https://sidatagrun-public-1076756628210.asia-southeast2.run.app/ptn_sn.php?ptn=122</x:v>
      </x:c>
    </x:row>
    <x:row r="322">
      <x:c r="A322" s="87" t="n">
        <x:v>1791</x:v>
      </x:c>
      <x:c r="B322" s="87" t="n">
        <x:v>122</x:v>
      </x:c>
      <x:c r="C322" s="66" t="str">
        <x:v>UNIVERSITAS NEGERI MEDAN</x:v>
      </x:c>
      <x:c r="D322" s="66" t="str">
        <x:v>PTN Akademik</x:v>
      </x:c>
      <x:c r="E322" s="66" t="str">
        <x:v>11221047</x:v>
      </x:c>
      <x:c r="F322" s="66" t="str">
        <x:v>PENDIDIKAN BISNIS</x:v>
      </x:c>
      <x:c r="G322" s="66" t="str">
        <x:v>Sarjana</x:v>
      </x:c>
      <x:c r="H322" s="87" t="n">
        <x:v>39</x:v>
      </x:c>
      <x:c r="I322" s="87" t="n">
        <x:v>296</x:v>
      </x:c>
      <x:c r="J322" s="68" t="n">
        <x:f>IFERROR(H322/I322,"")</x:f>
        <x:v>0.13175675675675674</x:v>
      </x:c>
      <x:c r="K322" s="69" t="n">
        <x:f>IFERROR(I322/H322,"")</x:f>
        <x:v>7.589743589743589</x:v>
      </x:c>
      <x:c r="L322" s="66" t="str">
        <x:f>IF(K322="","","1 : "&amp;TEXT(K322,"0.0"))</x:f>
        <x:v>1 : 7.6</x:v>
      </x:c>
      <x:c r="M322" s="66" t="str">
        <x:f>IF(J322="","Baru/Tanpa Data",IF(J322&lt;='Catatan &amp; Sumber'!$B$14,"Sangat Ketat",IF(J322&lt;='Catatan &amp; Sumber'!$B$15,"Ketat",IF(J322&lt;='Catatan &amp; Sumber'!$B$16,"Sedang","Relatif Longgar"))))</x:f>
        <x:v>Relatif Longgar</x:v>
      </x:c>
      <x:c r="N322" s="66" t="str">
        <x:v>Tidak Ada</x:v>
      </x:c>
      <x:c r="O322" s="66" t="str">
        <x:v>Sumatera Utara</x:v>
      </x:c>
      <x:c r="P322" s="66" t="str">
        <x:v>Kota Medan</x:v>
      </x:c>
      <x:c r="Q322" s="66" t="str">
        <x:v>https://snpmb.id/snbp/daya-tampung-snbp</x:v>
      </x:c>
      <x:c r="R322" s="66" t="str">
        <x:v>https://sidatagrun-public-1076756628210.asia-southeast2.run.app/ptn_sn.php?ptn=122</x:v>
      </x:c>
    </x:row>
    <x:row r="323">
      <x:c r="A323" s="87" t="n">
        <x:v>2815</x:v>
      </x:c>
      <x:c r="B323" s="87" t="n">
        <x:v>122</x:v>
      </x:c>
      <x:c r="C323" s="66" t="str">
        <x:v>UNIVERSITAS NEGERI MEDAN</x:v>
      </x:c>
      <x:c r="D323" s="66" t="str">
        <x:v>PTN Akademik</x:v>
      </x:c>
      <x:c r="E323" s="66" t="str">
        <x:v>11221048</x:v>
      </x:c>
      <x:c r="F323" s="66" t="str">
        <x:v>PENDIDIKAN TARI</x:v>
      </x:c>
      <x:c r="G323" s="66" t="str">
        <x:v>Sarjana</x:v>
      </x:c>
      <x:c r="H323" s="87" t="n">
        <x:v>55</x:v>
      </x:c>
      <x:c r="I323" s="87" t="n">
        <x:v>211</x:v>
      </x:c>
      <x:c r="J323" s="68" t="n">
        <x:f>IFERROR(H323/I323,"")</x:f>
        <x:v>0.26066350710900477</x:v>
      </x:c>
      <x:c r="K323" s="69" t="n">
        <x:f>IFERROR(I323/H323,"")</x:f>
        <x:v>3.8363636363636364</x:v>
      </x:c>
      <x:c r="L323" s="66" t="str">
        <x:f>IF(K323="","","1 : "&amp;TEXT(K323,"0.0"))</x:f>
        <x:v>1 : 3.8</x:v>
      </x:c>
      <x:c r="M323" s="66" t="str">
        <x:f>IF(J323="","Baru/Tanpa Data",IF(J323&lt;='Catatan &amp; Sumber'!$B$14,"Sangat Ketat",IF(J323&lt;='Catatan &amp; Sumber'!$B$15,"Ketat",IF(J323&lt;='Catatan &amp; Sumber'!$B$16,"Sedang","Relatif Longgar"))))</x:f>
        <x:v>Relatif Longgar</x:v>
      </x:c>
      <x:c r="N323" s="66" t="str">
        <x:v>Tari</x:v>
      </x:c>
      <x:c r="O323" s="66" t="str">
        <x:v>Sumatera Utara</x:v>
      </x:c>
      <x:c r="P323" s="66" t="str">
        <x:v>Kota Medan</x:v>
      </x:c>
      <x:c r="Q323" s="66" t="str">
        <x:v>https://snpmb.id/snbp/daya-tampung-snbp</x:v>
      </x:c>
      <x:c r="R323" s="66" t="str">
        <x:v>https://sidatagrun-public-1076756628210.asia-southeast2.run.app/ptn_sn.php?ptn=122</x:v>
      </x:c>
    </x:row>
    <x:row r="324">
      <x:c r="A324" s="87" t="n">
        <x:v>2994</x:v>
      </x:c>
      <x:c r="B324" s="87" t="n">
        <x:v>122</x:v>
      </x:c>
      <x:c r="C324" s="66" t="str">
        <x:v>UNIVERSITAS NEGERI MEDAN</x:v>
      </x:c>
      <x:c r="D324" s="66" t="str">
        <x:v>PTN Akademik</x:v>
      </x:c>
      <x:c r="E324" s="66" t="str">
        <x:v>11221049</x:v>
      </x:c>
      <x:c r="F324" s="66" t="str">
        <x:v>PENDIDIKAN MUSIK</x:v>
      </x:c>
      <x:c r="G324" s="66" t="str">
        <x:v>Sarjana</x:v>
      </x:c>
      <x:c r="H324" s="87" t="n">
        <x:v>59</x:v>
      </x:c>
      <x:c r="I324" s="87" t="n">
        <x:v>202</x:v>
      </x:c>
      <x:c r="J324" s="68" t="n">
        <x:f>IFERROR(H324/I324,"")</x:f>
        <x:v>0.29207920792079206</x:v>
      </x:c>
      <x:c r="K324" s="69" t="n">
        <x:f>IFERROR(I324/H324,"")</x:f>
        <x:v>3.4237288135593222</x:v>
      </x:c>
      <x:c r="L324" s="66" t="str">
        <x:f>IF(K324="","","1 : "&amp;TEXT(K324,"0.0"))</x:f>
        <x:v>1 : 3.4</x:v>
      </x:c>
      <x:c r="M324" s="66" t="str">
        <x:f>IF(J324="","Baru/Tanpa Data",IF(J324&lt;='Catatan &amp; Sumber'!$B$14,"Sangat Ketat",IF(J324&lt;='Catatan &amp; Sumber'!$B$15,"Ketat",IF(J324&lt;='Catatan &amp; Sumber'!$B$16,"Sedang","Relatif Longgar"))))</x:f>
        <x:v>Relatif Longgar</x:v>
      </x:c>
      <x:c r="N324" s="66" t="str">
        <x:v>Musik</x:v>
      </x:c>
      <x:c r="O324" s="66" t="str">
        <x:v>Sumatera Utara</x:v>
      </x:c>
      <x:c r="P324" s="66" t="str">
        <x:v>Kota Medan</x:v>
      </x:c>
      <x:c r="Q324" s="66" t="str">
        <x:v>https://snpmb.id/snbp/daya-tampung-snbp</x:v>
      </x:c>
      <x:c r="R324" s="66" t="str">
        <x:v>https://sidatagrun-public-1076756628210.asia-southeast2.run.app/ptn_sn.php?ptn=122</x:v>
      </x:c>
    </x:row>
    <x:row r="325">
      <x:c r="A325" s="87" t="n">
        <x:v>1017</x:v>
      </x:c>
      <x:c r="B325" s="87" t="n">
        <x:v>122</x:v>
      </x:c>
      <x:c r="C325" s="66" t="str">
        <x:v>UNIVERSITAS NEGERI MEDAN</x:v>
      </x:c>
      <x:c r="D325" s="66" t="str">
        <x:v>PTN Akademik</x:v>
      </x:c>
      <x:c r="E325" s="66" t="str">
        <x:v>11221050</x:v>
      </x:c>
      <x:c r="F325" s="66" t="str">
        <x:v>PENDIDIKAN TATA BUSANA</x:v>
      </x:c>
      <x:c r="G325" s="66" t="str">
        <x:v>Sarjana</x:v>
      </x:c>
      <x:c r="H325" s="87" t="n">
        <x:v>46</x:v>
      </x:c>
      <x:c r="I325" s="87" t="n">
        <x:v>582</x:v>
      </x:c>
      <x:c r="J325" s="68" t="n">
        <x:f>IFERROR(H325/I325,"")</x:f>
        <x:v>0.07903780068728522</x:v>
      </x:c>
      <x:c r="K325" s="69" t="n">
        <x:f>IFERROR(I325/H325,"")</x:f>
        <x:v>12.652173913043478</x:v>
      </x:c>
      <x:c r="L325" s="66" t="str">
        <x:f>IF(K325="","","1 : "&amp;TEXT(K325,"0.0"))</x:f>
        <x:v>1 : 12.7</x:v>
      </x:c>
      <x:c r="M325" s="66" t="str">
        <x:f>IF(J325="","Baru/Tanpa Data",IF(J325&lt;='Catatan &amp; Sumber'!$B$14,"Sangat Ketat",IF(J325&lt;='Catatan &amp; Sumber'!$B$15,"Ketat",IF(J325&lt;='Catatan &amp; Sumber'!$B$16,"Sedang","Relatif Longgar"))))</x:f>
        <x:v>Sedang</x:v>
      </x:c>
      <x:c r="N325" s="66" t="str">
        <x:v>Tidak Ada</x:v>
      </x:c>
      <x:c r="O325" s="66" t="str">
        <x:v>Sumatera Utara</x:v>
      </x:c>
      <x:c r="P325" s="66" t="str">
        <x:v>Kota Medan</x:v>
      </x:c>
      <x:c r="Q325" s="66" t="str">
        <x:v>https://snpmb.id/snbp/daya-tampung-snbp</x:v>
      </x:c>
      <x:c r="R325" s="66" t="str">
        <x:v>https://sidatagrun-public-1076756628210.asia-southeast2.run.app/ptn_sn.php?ptn=122</x:v>
      </x:c>
    </x:row>
    <x:row r="326">
      <x:c r="A326" s="87" t="n">
        <x:v>4261</x:v>
      </x:c>
      <x:c r="B326" s="87" t="n">
        <x:v>122</x:v>
      </x:c>
      <x:c r="C326" s="66" t="str">
        <x:v>UNIVERSITAS NEGERI MEDAN</x:v>
      </x:c>
      <x:c r="D326" s="66" t="str">
        <x:v>PTN Akademik</x:v>
      </x:c>
      <x:c r="E326" s="66" t="str">
        <x:v>11221051</x:v>
      </x:c>
      <x:c r="F326" s="66" t="str">
        <x:v>SENI PERTUNJUKAN</x:v>
      </x:c>
      <x:c r="G326" s="66" t="str">
        <x:v>Sarjana</x:v>
      </x:c>
      <x:c r="H326" s="87" t="n">
        <x:v>22</x:v>
      </x:c>
      <x:c r="I326" s="87" t="n">
        <x:v>24</x:v>
      </x:c>
      <x:c r="J326" s="68" t="n">
        <x:f>IFERROR(H326/I326,"")</x:f>
        <x:v>0.9166666666666666</x:v>
      </x:c>
      <x:c r="K326" s="69" t="n">
        <x:f>IFERROR(I326/H326,"")</x:f>
        <x:v>1.0909090909090908</x:v>
      </x:c>
      <x:c r="L326" s="66" t="str">
        <x:f>IF(K326="","","1 : "&amp;TEXT(K326,"0.0"))</x:f>
        <x:v>1 : 1.1</x:v>
      </x:c>
      <x:c r="M326" s="66" t="str">
        <x:f>IF(J326="","Baru/Tanpa Data",IF(J326&lt;='Catatan &amp; Sumber'!$B$14,"Sangat Ketat",IF(J326&lt;='Catatan &amp; Sumber'!$B$15,"Ketat",IF(J326&lt;='Catatan &amp; Sumber'!$B$16,"Sedang","Relatif Longgar"))))</x:f>
        <x:v>Relatif Longgar</x:v>
      </x:c>
      <x:c r="N326" s="66" t="str">
        <x:v>Sendratasik</x:v>
      </x:c>
      <x:c r="O326" s="66" t="str">
        <x:v>Sumatera Utara</x:v>
      </x:c>
      <x:c r="P326" s="66" t="str">
        <x:v>Kota Medan</x:v>
      </x:c>
      <x:c r="Q326" s="66" t="str">
        <x:v>https://snpmb.id/snbp/daya-tampung-snbp</x:v>
      </x:c>
      <x:c r="R326" s="66" t="str">
        <x:v>https://sidatagrun-public-1076756628210.asia-southeast2.run.app/ptn_sn.php?ptn=122</x:v>
      </x:c>
    </x:row>
    <x:row r="327">
      <x:c r="A327" s="87" t="n">
        <x:v>1142</x:v>
      </x:c>
      <x:c r="B327" s="87" t="n">
        <x:v>122</x:v>
      </x:c>
      <x:c r="C327" s="66" t="str">
        <x:v>UNIVERSITAS NEGERI MEDAN</x:v>
      </x:c>
      <x:c r="D327" s="66" t="str">
        <x:v>PTN Akademik</x:v>
      </x:c>
      <x:c r="E327" s="66" t="str">
        <x:v>11221052</x:v>
      </x:c>
      <x:c r="F327" s="66" t="str">
        <x:v>ILMU EKONOMI</x:v>
      </x:c>
      <x:c r="G327" s="66" t="str">
        <x:v>Sarjana</x:v>
      </x:c>
      <x:c r="H327" s="87" t="n">
        <x:v>39</x:v>
      </x:c>
      <x:c r="I327" s="87" t="n">
        <x:v>451</x:v>
      </x:c>
      <x:c r="J327" s="68" t="n">
        <x:f>IFERROR(H327/I327,"")</x:f>
        <x:v>0.08647450110864745</x:v>
      </x:c>
      <x:c r="K327" s="69" t="n">
        <x:f>IFERROR(I327/H327,"")</x:f>
        <x:v>11.564102564102564</x:v>
      </x:c>
      <x:c r="L327" s="66" t="str">
        <x:f>IF(K327="","","1 : "&amp;TEXT(K327,"0.0"))</x:f>
        <x:v>1 : 11.6</x:v>
      </x:c>
      <x:c r="M327" s="66" t="str">
        <x:f>IF(J327="","Baru/Tanpa Data",IF(J327&lt;='Catatan &amp; Sumber'!$B$14,"Sangat Ketat",IF(J327&lt;='Catatan &amp; Sumber'!$B$15,"Ketat",IF(J327&lt;='Catatan &amp; Sumber'!$B$16,"Sedang","Relatif Longgar"))))</x:f>
        <x:v>Sedang</x:v>
      </x:c>
      <x:c r="N327" s="66" t="str">
        <x:v>Tidak Ada</x:v>
      </x:c>
      <x:c r="O327" s="66" t="str">
        <x:v>Sumatera Utara</x:v>
      </x:c>
      <x:c r="P327" s="66" t="str">
        <x:v>Kota Medan</x:v>
      </x:c>
      <x:c r="Q327" s="66" t="str">
        <x:v>https://snpmb.id/snbp/daya-tampung-snbp</x:v>
      </x:c>
      <x:c r="R327" s="66" t="str">
        <x:v>https://sidatagrun-public-1076756628210.asia-southeast2.run.app/ptn_sn.php?ptn=122</x:v>
      </x:c>
    </x:row>
    <x:row r="328">
      <x:c r="A328" s="87" t="n">
        <x:v>1279</x:v>
      </x:c>
      <x:c r="B328" s="87" t="n">
        <x:v>122</x:v>
      </x:c>
      <x:c r="C328" s="66" t="str">
        <x:v>UNIVERSITAS NEGERI MEDAN</x:v>
      </x:c>
      <x:c r="D328" s="66" t="str">
        <x:v>PTN Akademik</x:v>
      </x:c>
      <x:c r="E328" s="66" t="str">
        <x:v>11221053</x:v>
      </x:c>
      <x:c r="F328" s="66" t="str">
        <x:v>BISNIS DIGITAL</x:v>
      </x:c>
      <x:c r="G328" s="66" t="str">
        <x:v>Sarjana</x:v>
      </x:c>
      <x:c r="H328" s="87" t="n">
        <x:v>39</x:v>
      </x:c>
      <x:c r="I328" s="87" t="n">
        <x:v>414</x:v>
      </x:c>
      <x:c r="J328" s="68" t="n">
        <x:f>IFERROR(H328/I328,"")</x:f>
        <x:v>0.09420289855072464</x:v>
      </x:c>
      <x:c r="K328" s="69" t="n">
        <x:f>IFERROR(I328/H328,"")</x:f>
        <x:v>10.615384615384615</x:v>
      </x:c>
      <x:c r="L328" s="66" t="str">
        <x:f>IF(K328="","","1 : "&amp;TEXT(K328,"0.0"))</x:f>
        <x:v>1 : 10.6</x:v>
      </x:c>
      <x:c r="M328" s="66" t="str">
        <x:f>IF(J328="","Baru/Tanpa Data",IF(J328&lt;='Catatan &amp; Sumber'!$B$14,"Sangat Ketat",IF(J328&lt;='Catatan &amp; Sumber'!$B$15,"Ketat",IF(J328&lt;='Catatan &amp; Sumber'!$B$16,"Sedang","Relatif Longgar"))))</x:f>
        <x:v>Sedang</x:v>
      </x:c>
      <x:c r="N328" s="66" t="str">
        <x:v>Tidak Ada</x:v>
      </x:c>
      <x:c r="O328" s="66" t="str">
        <x:v>Sumatera Utara</x:v>
      </x:c>
      <x:c r="P328" s="66" t="str">
        <x:v>Kota Medan</x:v>
      </x:c>
      <x:c r="Q328" s="66" t="str">
        <x:v>https://snpmb.id/snbp/daya-tampung-snbp</x:v>
      </x:c>
      <x:c r="R328" s="66" t="str">
        <x:v>https://sidatagrun-public-1076756628210.asia-southeast2.run.app/ptn_sn.php?ptn=122</x:v>
      </x:c>
    </x:row>
    <x:row r="329">
      <x:c r="A329" s="87" t="n">
        <x:v>1350</x:v>
      </x:c>
      <x:c r="B329" s="87" t="n">
        <x:v>122</x:v>
      </x:c>
      <x:c r="C329" s="66" t="str">
        <x:v>UNIVERSITAS NEGERI MEDAN</x:v>
      </x:c>
      <x:c r="D329" s="66" t="str">
        <x:v>PTN Akademik</x:v>
      </x:c>
      <x:c r="E329" s="66" t="str">
        <x:v>11221054</x:v>
      </x:c>
      <x:c r="F329" s="66" t="str">
        <x:v>KEWIRAUSAHAAN</x:v>
      </x:c>
      <x:c r="G329" s="66" t="str">
        <x:v>Sarjana</x:v>
      </x:c>
      <x:c r="H329" s="87" t="n">
        <x:v>39</x:v>
      </x:c>
      <x:c r="I329" s="87" t="n">
        <x:v>396</x:v>
      </x:c>
      <x:c r="J329" s="68" t="n">
        <x:f>IFERROR(H329/I329,"")</x:f>
        <x:v>0.09848484848484848</x:v>
      </x:c>
      <x:c r="K329" s="69" t="n">
        <x:f>IFERROR(I329/H329,"")</x:f>
        <x:v>10.153846153846153</x:v>
      </x:c>
      <x:c r="L329" s="66" t="str">
        <x:f>IF(K329="","","1 : "&amp;TEXT(K329,"0.0"))</x:f>
        <x:v>1 : 10.2</x:v>
      </x:c>
      <x:c r="M329" s="66" t="str">
        <x:f>IF(J329="","Baru/Tanpa Data",IF(J329&lt;='Catatan &amp; Sumber'!$B$14,"Sangat Ketat",IF(J329&lt;='Catatan &amp; Sumber'!$B$15,"Ketat",IF(J329&lt;='Catatan &amp; Sumber'!$B$16,"Sedang","Relatif Longgar"))))</x:f>
        <x:v>Sedang</x:v>
      </x:c>
      <x:c r="N329" s="66" t="str">
        <x:v>Tidak Ada</x:v>
      </x:c>
      <x:c r="O329" s="66" t="str">
        <x:v>Sumatera Utara</x:v>
      </x:c>
      <x:c r="P329" s="66" t="str">
        <x:v>Kota Medan</x:v>
      </x:c>
      <x:c r="Q329" s="66" t="str">
        <x:v>https://snpmb.id/snbp/daya-tampung-snbp</x:v>
      </x:c>
      <x:c r="R329" s="66" t="str">
        <x:v>https://sidatagrun-public-1076756628210.asia-southeast2.run.app/ptn_sn.php?ptn=122</x:v>
      </x:c>
    </x:row>
    <x:row r="330">
      <x:c r="A330" s="87" t="n">
        <x:v>1708</x:v>
      </x:c>
      <x:c r="B330" s="87" t="n">
        <x:v>122</x:v>
      </x:c>
      <x:c r="C330" s="66" t="str">
        <x:v>UNIVERSITAS NEGERI MEDAN</x:v>
      </x:c>
      <x:c r="D330" s="66" t="str">
        <x:v>PTN Akademik</x:v>
      </x:c>
      <x:c r="E330" s="66" t="str">
        <x:v>11221057</x:v>
      </x:c>
      <x:c r="F330" s="66" t="str">
        <x:v>ARSITEKTUR</x:v>
      </x:c>
      <x:c r="G330" s="66" t="str">
        <x:v>Sarjana</x:v>
      </x:c>
      <x:c r="H330" s="87" t="n">
        <x:v>41</x:v>
      </x:c>
      <x:c r="I330" s="87" t="n">
        <x:v>328</x:v>
      </x:c>
      <x:c r="J330" s="68" t="n">
        <x:f>IFERROR(H330/I330,"")</x:f>
        <x:v>0.125</x:v>
      </x:c>
      <x:c r="K330" s="69" t="n">
        <x:f>IFERROR(I330/H330,"")</x:f>
        <x:v>8</x:v>
      </x:c>
      <x:c r="L330" s="66" t="str">
        <x:f>IF(K330="","","1 : "&amp;TEXT(K330,"0.0"))</x:f>
        <x:v>1 : 8.0</x:v>
      </x:c>
      <x:c r="M330" s="66" t="str">
        <x:f>IF(J330="","Baru/Tanpa Data",IF(J330&lt;='Catatan &amp; Sumber'!$B$14,"Sangat Ketat",IF(J330&lt;='Catatan &amp; Sumber'!$B$15,"Ketat",IF(J330&lt;='Catatan &amp; Sumber'!$B$16,"Sedang","Relatif Longgar"))))</x:f>
        <x:v>Relatif Longgar</x:v>
      </x:c>
      <x:c r="N330" s="66" t="str">
        <x:v>Tidak Ada</x:v>
      </x:c>
      <x:c r="O330" s="66" t="str">
        <x:v>Sumatera Utara</x:v>
      </x:c>
      <x:c r="P330" s="66" t="str">
        <x:v>Kota Medan</x:v>
      </x:c>
      <x:c r="Q330" s="66" t="str">
        <x:v>https://snpmb.id/snbp/daya-tampung-snbp</x:v>
      </x:c>
      <x:c r="R330" s="66" t="str">
        <x:v>https://sidatagrun-public-1076756628210.asia-southeast2.run.app/ptn_sn.php?ptn=122</x:v>
      </x:c>
    </x:row>
    <x:row r="331">
      <x:c r="A331" s="87" t="n">
        <x:v>1701</x:v>
      </x:c>
      <x:c r="B331" s="87" t="n">
        <x:v>122</x:v>
      </x:c>
      <x:c r="C331" s="66" t="str">
        <x:v>UNIVERSITAS NEGERI MEDAN</x:v>
      </x:c>
      <x:c r="D331" s="66" t="str">
        <x:v>PTN Akademik</x:v>
      </x:c>
      <x:c r="E331" s="66" t="str">
        <x:v>11221058</x:v>
      </x:c>
      <x:c r="F331" s="66" t="str">
        <x:v>STATISTIKA</x:v>
      </x:c>
      <x:c r="G331" s="66" t="str">
        <x:v>Sarjana</x:v>
      </x:c>
      <x:c r="H331" s="87" t="n">
        <x:v>41</x:v>
      </x:c>
      <x:c r="I331" s="87" t="n">
        <x:v>330</x:v>
      </x:c>
      <x:c r="J331" s="68" t="n">
        <x:f>IFERROR(H331/I331,"")</x:f>
        <x:v>0.12424242424242424</x:v>
      </x:c>
      <x:c r="K331" s="69" t="n">
        <x:f>IFERROR(I331/H331,"")</x:f>
        <x:v>8.048780487804878</x:v>
      </x:c>
      <x:c r="L331" s="66" t="str">
        <x:f>IF(K331="","","1 : "&amp;TEXT(K331,"0.0"))</x:f>
        <x:v>1 : 8.0</x:v>
      </x:c>
      <x:c r="M331" s="66" t="str">
        <x:f>IF(J331="","Baru/Tanpa Data",IF(J331&lt;='Catatan &amp; Sumber'!$B$14,"Sangat Ketat",IF(J331&lt;='Catatan &amp; Sumber'!$B$15,"Ketat",IF(J331&lt;='Catatan &amp; Sumber'!$B$16,"Sedang","Relatif Longgar"))))</x:f>
        <x:v>Relatif Longgar</x:v>
      </x:c>
      <x:c r="N331" s="66" t="str">
        <x:v>Tidak Ada</x:v>
      </x:c>
      <x:c r="O331" s="66" t="str">
        <x:v>Sumatera Utara</x:v>
      </x:c>
      <x:c r="P331" s="66" t="str">
        <x:v>Kota Medan</x:v>
      </x:c>
      <x:c r="Q331" s="66" t="str">
        <x:v>https://snpmb.id/snbp/daya-tampung-snbp</x:v>
      </x:c>
      <x:c r="R331" s="66" t="str">
        <x:v>https://sidatagrun-public-1076756628210.asia-southeast2.run.app/ptn_sn.php?ptn=122</x:v>
      </x:c>
    </x:row>
    <x:row r="332">
      <x:c r="A332" s="87" t="n">
        <x:v>2255</x:v>
      </x:c>
      <x:c r="B332" s="87" t="n">
        <x:v>122</x:v>
      </x:c>
      <x:c r="C332" s="66" t="str">
        <x:v>UNIVERSITAS NEGERI MEDAN</x:v>
      </x:c>
      <x:c r="D332" s="66" t="str">
        <x:v>PTN Akademik</x:v>
      </x:c>
      <x:c r="E332" s="66" t="str">
        <x:v>11221059</x:v>
      </x:c>
      <x:c r="F332" s="66" t="str">
        <x:v>SAINS INFORMASI GEOGRAFI</x:v>
      </x:c>
      <x:c r="G332" s="66" t="str">
        <x:v>Sarjana</x:v>
      </x:c>
      <x:c r="H332" s="87" t="n">
        <x:v>15</x:v>
      </x:c>
      <x:c r="I332" s="87" t="n">
        <x:v>84</x:v>
      </x:c>
      <x:c r="J332" s="68" t="n">
        <x:f>IFERROR(H332/I332,"")</x:f>
        <x:v>0.17857142857142858</x:v>
      </x:c>
      <x:c r="K332" s="69" t="n">
        <x:f>IFERROR(I332/H332,"")</x:f>
        <x:v>5.6</x:v>
      </x:c>
      <x:c r="L332" s="66" t="str">
        <x:f>IF(K332="","","1 : "&amp;TEXT(K332,"0.0"))</x:f>
        <x:v>1 : 5.6</x:v>
      </x:c>
      <x:c r="M332" s="66" t="str">
        <x:f>IF(J332="","Baru/Tanpa Data",IF(J332&lt;='Catatan &amp; Sumber'!$B$14,"Sangat Ketat",IF(J332&lt;='Catatan &amp; Sumber'!$B$15,"Ketat",IF(J332&lt;='Catatan &amp; Sumber'!$B$16,"Sedang","Relatif Longgar"))))</x:f>
        <x:v>Relatif Longgar</x:v>
      </x:c>
      <x:c r="N332" s="66" t="str">
        <x:v>Tidak Ada</x:v>
      </x:c>
      <x:c r="O332" s="66" t="str">
        <x:v>Sumatera Utara</x:v>
      </x:c>
      <x:c r="P332" s="66" t="str">
        <x:v>Kota Medan</x:v>
      </x:c>
      <x:c r="Q332" s="66" t="str">
        <x:v>https://snpmb.id/snbp/daya-tampung-snbp</x:v>
      </x:c>
      <x:c r="R332" s="66" t="str">
        <x:v>https://sidatagrun-public-1076756628210.asia-southeast2.run.app/ptn_sn.php?ptn=122</x:v>
      </x:c>
    </x:row>
    <x:row r="333">
      <x:c r="A333" s="87" t="n">
        <x:v>1256</x:v>
      </x:c>
      <x:c r="B333" s="87" t="n">
        <x:v>122</x:v>
      </x:c>
      <x:c r="C333" s="66" t="str">
        <x:v>UNIVERSITAS NEGERI MEDAN</x:v>
      </x:c>
      <x:c r="D333" s="66" t="str">
        <x:v>PTN Akademik</x:v>
      </x:c>
      <x:c r="E333" s="66" t="str">
        <x:v>11221060</x:v>
      </x:c>
      <x:c r="F333" s="66" t="str">
        <x:v>HUKUM BISNIS</x:v>
      </x:c>
      <x:c r="G333" s="66" t="str">
        <x:v>Sarjana</x:v>
      </x:c>
      <x:c r="H333" s="87" t="n">
        <x:v>15</x:v>
      </x:c>
      <x:c r="I333" s="87" t="n">
        <x:v>161</x:v>
      </x:c>
      <x:c r="J333" s="68" t="n">
        <x:f>IFERROR(H333/I333,"")</x:f>
        <x:v>0.09316770186335403</x:v>
      </x:c>
      <x:c r="K333" s="69" t="n">
        <x:f>IFERROR(I333/H333,"")</x:f>
        <x:v>10.733333333333333</x:v>
      </x:c>
      <x:c r="L333" s="66" t="str">
        <x:f>IF(K333="","","1 : "&amp;TEXT(K333,"0.0"))</x:f>
        <x:v>1 : 10.7</x:v>
      </x:c>
      <x:c r="M333" s="66" t="str">
        <x:f>IF(J333="","Baru/Tanpa Data",IF(J333&lt;='Catatan &amp; Sumber'!$B$14,"Sangat Ketat",IF(J333&lt;='Catatan &amp; Sumber'!$B$15,"Ketat",IF(J333&lt;='Catatan &amp; Sumber'!$B$16,"Sedang","Relatif Longgar"))))</x:f>
        <x:v>Sedang</x:v>
      </x:c>
      <x:c r="N333" s="66" t="str">
        <x:v>Tidak Ada</x:v>
      </x:c>
      <x:c r="O333" s="66" t="str">
        <x:v>Sumatera Utara</x:v>
      </x:c>
      <x:c r="P333" s="66" t="str">
        <x:v>Kota Medan</x:v>
      </x:c>
      <x:c r="Q333" s="66" t="str">
        <x:v>https://snpmb.id/snbp/daya-tampung-snbp</x:v>
      </x:c>
      <x:c r="R333" s="66" t="str">
        <x:v>https://sidatagrun-public-1076756628210.asia-southeast2.run.app/ptn_sn.php?ptn=122</x:v>
      </x:c>
    </x:row>
    <x:row r="334">
      <x:c r="A334" s="87"/>
      <x:c r="B334" s="87" t="n">
        <x:v>122</x:v>
      </x:c>
      <x:c r="C334" s="66" t="str">
        <x:v>UNIVERSITAS NEGERI MEDAN</x:v>
      </x:c>
      <x:c r="D334" s="66" t="str">
        <x:v>PTN Akademik</x:v>
      </x:c>
      <x:c r="E334" s="66" t="str">
        <x:v>11221061</x:v>
      </x:c>
      <x:c r="F334" s="66" t="str">
        <x:v>KEDOKTERAN</x:v>
      </x:c>
      <x:c r="G334" s="66" t="str">
        <x:v>Sarjana</x:v>
      </x:c>
      <x:c r="H334" s="87" t="n">
        <x:v>13</x:v>
      </x:c>
      <x:c r="I334" s="87"/>
      <x:c r="J334" s="68" t="str">
        <x:f>IFERROR(H334/I334,"")</x:f>
      </x:c>
      <x:c r="K334" s="69" t="n">
        <x:f>IFERROR(I334/H334,"")</x:f>
        <x:v>0</x:v>
      </x:c>
      <x:c r="L334" s="66" t="str">
        <x:f>IF(K334="","","1 : "&amp;TEXT(K334,"0.0"))</x:f>
      </x:c>
      <x:c r="M334" s="66" t="str">
        <x:f>IF(J334="","Baru/Tanpa Data",IF(J334&lt;='Catatan &amp; Sumber'!$B$14,"Sangat Ketat",IF(J334&lt;='Catatan &amp; Sumber'!$B$15,"Ketat",IF(J334&lt;='Catatan &amp; Sumber'!$B$16,"Sedang","Relatif Longgar"))))</x:f>
        <x:v>Baru/Tanpa Data</x:v>
      </x:c>
      <x:c r="N334" s="66" t="str">
        <x:v>Tidak Ada</x:v>
      </x:c>
      <x:c r="O334" s="66" t="str">
        <x:v>Sumatera Utara</x:v>
      </x:c>
      <x:c r="P334" s="66" t="str">
        <x:v>Kota Medan</x:v>
      </x:c>
      <x:c r="Q334" s="66" t="str">
        <x:v>https://snpmb.id/snbp/daya-tampung-snbp</x:v>
      </x:c>
      <x:c r="R334" s="66" t="str">
        <x:v>https://sidatagrun-public-1076756628210.asia-southeast2.run.app/ptn_sn.php?ptn=122</x:v>
      </x:c>
    </x:row>
    <x:row r="335">
      <x:c r="A335" s="87" t="n">
        <x:v>3280</x:v>
      </x:c>
      <x:c r="B335" s="87" t="n">
        <x:v>122</x:v>
      </x:c>
      <x:c r="C335" s="66" t="str">
        <x:v>UNIVERSITAS NEGERI MEDAN</x:v>
      </x:c>
      <x:c r="D335" s="66" t="str">
        <x:v>PTN Akademik</x:v>
      </x:c>
      <x:c r="E335" s="66" t="str">
        <x:v>11222056</x:v>
      </x:c>
      <x:c r="F335" s="66" t="str">
        <x:v>MANAJEMEN KONSTRUKSI</x:v>
      </x:c>
      <x:c r="G335" s="66" t="str">
        <x:v>Sarjana Terapan</x:v>
      </x:c>
      <x:c r="H335" s="87" t="n">
        <x:v>51</x:v>
      </x:c>
      <x:c r="I335" s="87" t="n">
        <x:v>139</x:v>
      </x:c>
      <x:c r="J335" s="68" t="n">
        <x:f>IFERROR(H335/I335,"")</x:f>
        <x:v>0.3669064748201439</x:v>
      </x:c>
      <x:c r="K335" s="69" t="n">
        <x:f>IFERROR(I335/H335,"")</x:f>
        <x:v>2.7254901960784315</x:v>
      </x:c>
      <x:c r="L335" s="66" t="str">
        <x:f>IF(K335="","","1 : "&amp;TEXT(K335,"0.0"))</x:f>
        <x:v>1 : 2.7</x:v>
      </x:c>
      <x:c r="M335" s="66" t="str">
        <x:f>IF(J335="","Baru/Tanpa Data",IF(J335&lt;='Catatan &amp; Sumber'!$B$14,"Sangat Ketat",IF(J335&lt;='Catatan &amp; Sumber'!$B$15,"Ketat",IF(J335&lt;='Catatan &amp; Sumber'!$B$16,"Sedang","Relatif Longgar"))))</x:f>
        <x:v>Relatif Longgar</x:v>
      </x:c>
      <x:c r="N335" s="66" t="str">
        <x:v>Tidak Ada</x:v>
      </x:c>
      <x:c r="O335" s="66" t="str">
        <x:v>Sumatera Utara</x:v>
      </x:c>
      <x:c r="P335" s="66" t="str">
        <x:v>Kota Medan</x:v>
      </x:c>
      <x:c r="Q335" s="66" t="str">
        <x:v>https://snpmb.id/snbp/daya-tampung-snbp</x:v>
      </x:c>
      <x:c r="R335" s="66" t="str">
        <x:v>https://sidatagrun-public-1076756628210.asia-southeast2.run.app/ptn_sn.php?ptn=122</x:v>
      </x:c>
    </x:row>
    <x:row r="336">
      <x:c r="A336" s="87" t="n">
        <x:v>2351</x:v>
      </x:c>
      <x:c r="B336" s="87" t="n">
        <x:v>122</x:v>
      </x:c>
      <x:c r="C336" s="66" t="str">
        <x:v>UNIVERSITAS NEGERI MEDAN</x:v>
      </x:c>
      <x:c r="D336" s="66" t="str">
        <x:v>PTN Akademik</x:v>
      </x:c>
      <x:c r="E336" s="66" t="str">
        <x:v>11223055</x:v>
      </x:c>
      <x:c r="F336" s="66" t="str">
        <x:v>TEKNIK MESIN</x:v>
      </x:c>
      <x:c r="G336" s="66" t="str">
        <x:v>Diploma Tiga</x:v>
      </x:c>
      <x:c r="H336" s="87" t="n">
        <x:v>41</x:v>
      </x:c>
      <x:c r="I336" s="87" t="n">
        <x:v>216</x:v>
      </x:c>
      <x:c r="J336" s="68" t="n">
        <x:f>IFERROR(H336/I336,"")</x:f>
        <x:v>0.18981481481481483</x:v>
      </x:c>
      <x:c r="K336" s="69" t="n">
        <x:f>IFERROR(I336/H336,"")</x:f>
        <x:v>5.2682926829268295</x:v>
      </x:c>
      <x:c r="L336" s="66" t="str">
        <x:f>IF(K336="","","1 : "&amp;TEXT(K336,"0.0"))</x:f>
        <x:v>1 : 5.3</x:v>
      </x:c>
      <x:c r="M336" s="66" t="str">
        <x:f>IF(J336="","Baru/Tanpa Data",IF(J336&lt;='Catatan &amp; Sumber'!$B$14,"Sangat Ketat",IF(J336&lt;='Catatan &amp; Sumber'!$B$15,"Ketat",IF(J336&lt;='Catatan &amp; Sumber'!$B$16,"Sedang","Relatif Longgar"))))</x:f>
        <x:v>Relatif Longgar</x:v>
      </x:c>
      <x:c r="N336" s="66" t="str">
        <x:v>Tidak Ada</x:v>
      </x:c>
      <x:c r="O336" s="66" t="str">
        <x:v>Sumatera Utara</x:v>
      </x:c>
      <x:c r="P336" s="66" t="str">
        <x:v>Kota Medan</x:v>
      </x:c>
      <x:c r="Q336" s="66" t="str">
        <x:v>https://snpmb.id/snbp/daya-tampung-snbp</x:v>
      </x:c>
      <x:c r="R336" s="66" t="str">
        <x:v>https://sidatagrun-public-1076756628210.asia-southeast2.run.app/ptn_sn.php?ptn=122</x:v>
      </x:c>
    </x:row>
    <x:row r="337">
      <x:c r="A337" s="87" t="n">
        <x:v>1688</x:v>
      </x:c>
      <x:c r="B337" s="87" t="n">
        <x:v>123</x:v>
      </x:c>
      <x:c r="C337" s="66" t="str">
        <x:v>UIN SUMATERA UTARA</x:v>
      </x:c>
      <x:c r="D337" s="66" t="str">
        <x:v>PTKIN</x:v>
      </x:c>
      <x:c r="E337" s="66" t="str">
        <x:v>11231001</x:v>
      </x:c>
      <x:c r="F337" s="66" t="str">
        <x:v>ILMU KOMPUTER</x:v>
      </x:c>
      <x:c r="G337" s="66" t="str">
        <x:v>Sarjana</x:v>
      </x:c>
      <x:c r="H337" s="87" t="n">
        <x:v>72</x:v>
      </x:c>
      <x:c r="I337" s="87" t="n">
        <x:v>583</x:v>
      </x:c>
      <x:c r="J337" s="68" t="n">
        <x:f>IFERROR(H337/I337,"")</x:f>
        <x:v>0.1234991423670669</x:v>
      </x:c>
      <x:c r="K337" s="69" t="n">
        <x:f>IFERROR(I337/H337,"")</x:f>
        <x:v>8.097222222222221</x:v>
      </x:c>
      <x:c r="L337" s="66" t="str">
        <x:f>IF(K337="","","1 : "&amp;TEXT(K337,"0.0"))</x:f>
        <x:v>1 : 8.1</x:v>
      </x:c>
      <x:c r="M337" s="66" t="str">
        <x:f>IF(J337="","Baru/Tanpa Data",IF(J337&lt;='Catatan &amp; Sumber'!$B$14,"Sangat Ketat",IF(J337&lt;='Catatan &amp; Sumber'!$B$15,"Ketat",IF(J337&lt;='Catatan &amp; Sumber'!$B$16,"Sedang","Relatif Longgar"))))</x:f>
        <x:v>Relatif Longgar</x:v>
      </x:c>
      <x:c r="N337" s="66" t="str">
        <x:v>Tidak Ada</x:v>
      </x:c>
      <x:c r="O337" s="66" t="str">
        <x:v>Sumatera Utara</x:v>
      </x:c>
      <x:c r="P337" s="66" t="str">
        <x:v>Kabupaten Deli Serdang</x:v>
      </x:c>
      <x:c r="Q337" s="66" t="str">
        <x:v>https://snpmb.id/snbp/daya-tampung-snbp</x:v>
      </x:c>
      <x:c r="R337" s="66" t="str">
        <x:v>https://sidatagrun-public-1076756628210.asia-southeast2.run.app/ptn_sn.php?ptn=123</x:v>
      </x:c>
    </x:row>
    <x:row r="338">
      <x:c r="A338" s="87" t="n">
        <x:v>2148</x:v>
      </x:c>
      <x:c r="B338" s="87" t="n">
        <x:v>123</x:v>
      </x:c>
      <x:c r="C338" s="66" t="str">
        <x:v>UIN SUMATERA UTARA</x:v>
      </x:c>
      <x:c r="D338" s="66" t="str">
        <x:v>PTKIN</x:v>
      </x:c>
      <x:c r="E338" s="66" t="str">
        <x:v>11231002</x:v>
      </x:c>
      <x:c r="F338" s="66" t="str">
        <x:v>SISTEM INFORMASI</x:v>
      </x:c>
      <x:c r="G338" s="66" t="str">
        <x:v>Sarjana</x:v>
      </x:c>
      <x:c r="H338" s="87" t="n">
        <x:v>76</x:v>
      </x:c>
      <x:c r="I338" s="87" t="n">
        <x:v>458</x:v>
      </x:c>
      <x:c r="J338" s="68" t="n">
        <x:f>IFERROR(H338/I338,"")</x:f>
        <x:v>0.16593886462882096</x:v>
      </x:c>
      <x:c r="K338" s="69" t="n">
        <x:f>IFERROR(I338/H338,"")</x:f>
        <x:v>6.026315789473684</x:v>
      </x:c>
      <x:c r="L338" s="66" t="str">
        <x:f>IF(K338="","","1 : "&amp;TEXT(K338,"0.0"))</x:f>
        <x:v>1 : 6.0</x:v>
      </x:c>
      <x:c r="M338" s="66" t="str">
        <x:f>IF(J338="","Baru/Tanpa Data",IF(J338&lt;='Catatan &amp; Sumber'!$B$14,"Sangat Ketat",IF(J338&lt;='Catatan &amp; Sumber'!$B$15,"Ketat",IF(J338&lt;='Catatan &amp; Sumber'!$B$16,"Sedang","Relatif Longgar"))))</x:f>
        <x:v>Relatif Longgar</x:v>
      </x:c>
      <x:c r="N338" s="66" t="str">
        <x:v>Tidak Ada</x:v>
      </x:c>
      <x:c r="O338" s="66" t="str">
        <x:v>Sumatera Utara</x:v>
      </x:c>
      <x:c r="P338" s="66" t="str">
        <x:v>Kabupaten Deli Serdang</x:v>
      </x:c>
      <x:c r="Q338" s="66" t="str">
        <x:v>https://snpmb.id/snbp/daya-tampung-snbp</x:v>
      </x:c>
      <x:c r="R338" s="66" t="str">
        <x:v>https://sidatagrun-public-1076756628210.asia-southeast2.run.app/ptn_sn.php?ptn=123</x:v>
      </x:c>
    </x:row>
    <x:row r="339">
      <x:c r="A339" s="87" t="n">
        <x:v>1881</x:v>
      </x:c>
      <x:c r="B339" s="87" t="n">
        <x:v>123</x:v>
      </x:c>
      <x:c r="C339" s="66" t="str">
        <x:v>UIN SUMATERA UTARA</x:v>
      </x:c>
      <x:c r="D339" s="66" t="str">
        <x:v>PTKIN</x:v>
      </x:c>
      <x:c r="E339" s="66" t="str">
        <x:v>11231003</x:v>
      </x:c>
      <x:c r="F339" s="66" t="str">
        <x:v>MATEMATIKA</x:v>
      </x:c>
      <x:c r="G339" s="66" t="str">
        <x:v>Sarjana</x:v>
      </x:c>
      <x:c r="H339" s="87" t="n">
        <x:v>12</x:v>
      </x:c>
      <x:c r="I339" s="87" t="n">
        <x:v>86</x:v>
      </x:c>
      <x:c r="J339" s="68" t="n">
        <x:f>IFERROR(H339/I339,"")</x:f>
        <x:v>0.13953488372093023</x:v>
      </x:c>
      <x:c r="K339" s="69" t="n">
        <x:f>IFERROR(I339/H339,"")</x:f>
        <x:v>7.166666666666667</x:v>
      </x:c>
      <x:c r="L339" s="66" t="str">
        <x:f>IF(K339="","","1 : "&amp;TEXT(K339,"0.0"))</x:f>
        <x:v>1 : 7.2</x:v>
      </x:c>
      <x:c r="M339" s="66" t="str">
        <x:f>IF(J339="","Baru/Tanpa Data",IF(J339&lt;='Catatan &amp; Sumber'!$B$14,"Sangat Ketat",IF(J339&lt;='Catatan &amp; Sumber'!$B$15,"Ketat",IF(J339&lt;='Catatan &amp; Sumber'!$B$16,"Sedang","Relatif Longgar"))))</x:f>
        <x:v>Relatif Longgar</x:v>
      </x:c>
      <x:c r="N339" s="66" t="str">
        <x:v>Tidak Ada</x:v>
      </x:c>
      <x:c r="O339" s="66" t="str">
        <x:v>Sumatera Utara</x:v>
      </x:c>
      <x:c r="P339" s="66" t="str">
        <x:v>Kabupaten Deli Serdang</x:v>
      </x:c>
      <x:c r="Q339" s="66" t="str">
        <x:v>https://snpmb.id/snbp/daya-tampung-snbp</x:v>
      </x:c>
      <x:c r="R339" s="66" t="str">
        <x:v>https://sidatagrun-public-1076756628210.asia-southeast2.run.app/ptn_sn.php?ptn=123</x:v>
      </x:c>
    </x:row>
    <x:row r="340">
      <x:c r="A340" s="87" t="n">
        <x:v>2371</x:v>
      </x:c>
      <x:c r="B340" s="87" t="n">
        <x:v>123</x:v>
      </x:c>
      <x:c r="C340" s="66" t="str">
        <x:v>UIN SUMATERA UTARA</x:v>
      </x:c>
      <x:c r="D340" s="66" t="str">
        <x:v>PTKIN</x:v>
      </x:c>
      <x:c r="E340" s="66" t="str">
        <x:v>11231004</x:v>
      </x:c>
      <x:c r="F340" s="66" t="str">
        <x:v>BIOLOGI</x:v>
      </x:c>
      <x:c r="G340" s="66" t="str">
        <x:v>Sarjana</x:v>
      </x:c>
      <x:c r="H340" s="87" t="n">
        <x:v>18</x:v>
      </x:c>
      <x:c r="I340" s="87" t="n">
        <x:v>94</x:v>
      </x:c>
      <x:c r="J340" s="68" t="n">
        <x:f>IFERROR(H340/I340,"")</x:f>
        <x:v>0.19148936170212766</x:v>
      </x:c>
      <x:c r="K340" s="69" t="n">
        <x:f>IFERROR(I340/H340,"")</x:f>
        <x:v>5.222222222222222</x:v>
      </x:c>
      <x:c r="L340" s="66" t="str">
        <x:f>IF(K340="","","1 : "&amp;TEXT(K340,"0.0"))</x:f>
        <x:v>1 : 5.2</x:v>
      </x:c>
      <x:c r="M340" s="66" t="str">
        <x:f>IF(J340="","Baru/Tanpa Data",IF(J340&lt;='Catatan &amp; Sumber'!$B$14,"Sangat Ketat",IF(J340&lt;='Catatan &amp; Sumber'!$B$15,"Ketat",IF(J340&lt;='Catatan &amp; Sumber'!$B$16,"Sedang","Relatif Longgar"))))</x:f>
        <x:v>Relatif Longgar</x:v>
      </x:c>
      <x:c r="N340" s="66" t="str">
        <x:v>Tidak Ada</x:v>
      </x:c>
      <x:c r="O340" s="66" t="str">
        <x:v>Sumatera Utara</x:v>
      </x:c>
      <x:c r="P340" s="66" t="str">
        <x:v>Kabupaten Deli Serdang</x:v>
      </x:c>
      <x:c r="Q340" s="66" t="str">
        <x:v>https://snpmb.id/snbp/daya-tampung-snbp</x:v>
      </x:c>
      <x:c r="R340" s="66" t="str">
        <x:v>https://sidatagrun-public-1076756628210.asia-southeast2.run.app/ptn_sn.php?ptn=123</x:v>
      </x:c>
    </x:row>
    <x:row r="341">
      <x:c r="A341" s="87" t="n">
        <x:v>3437</x:v>
      </x:c>
      <x:c r="B341" s="87" t="n">
        <x:v>123</x:v>
      </x:c>
      <x:c r="C341" s="66" t="str">
        <x:v>UIN SUMATERA UTARA</x:v>
      </x:c>
      <x:c r="D341" s="66" t="str">
        <x:v>PTKIN</x:v>
      </x:c>
      <x:c r="E341" s="66" t="str">
        <x:v>11231005</x:v>
      </x:c>
      <x:c r="F341" s="66" t="str">
        <x:v>FISIKA</x:v>
      </x:c>
      <x:c r="G341" s="66" t="str">
        <x:v>Sarjana</x:v>
      </x:c>
      <x:c r="H341" s="87" t="n">
        <x:v>12</x:v>
      </x:c>
      <x:c r="I341" s="87" t="n">
        <x:v>29</x:v>
      </x:c>
      <x:c r="J341" s="68" t="n">
        <x:f>IFERROR(H341/I341,"")</x:f>
        <x:v>0.41379310344827586</x:v>
      </x:c>
      <x:c r="K341" s="69" t="n">
        <x:f>IFERROR(I341/H341,"")</x:f>
        <x:v>2.4166666666666665</x:v>
      </x:c>
      <x:c r="L341" s="66" t="str">
        <x:f>IF(K341="","","1 : "&amp;TEXT(K341,"0.0"))</x:f>
        <x:v>1 : 2.4</x:v>
      </x:c>
      <x:c r="M341" s="66" t="str">
        <x:f>IF(J341="","Baru/Tanpa Data",IF(J341&lt;='Catatan &amp; Sumber'!$B$14,"Sangat Ketat",IF(J341&lt;='Catatan &amp; Sumber'!$B$15,"Ketat",IF(J341&lt;='Catatan &amp; Sumber'!$B$16,"Sedang","Relatif Longgar"))))</x:f>
        <x:v>Relatif Longgar</x:v>
      </x:c>
      <x:c r="N341" s="66" t="str">
        <x:v>Tidak Ada</x:v>
      </x:c>
      <x:c r="O341" s="66" t="str">
        <x:v>Sumatera Utara</x:v>
      </x:c>
      <x:c r="P341" s="66" t="str">
        <x:v>Kabupaten Deli Serdang</x:v>
      </x:c>
      <x:c r="Q341" s="66" t="str">
        <x:v>https://snpmb.id/snbp/daya-tampung-snbp</x:v>
      </x:c>
      <x:c r="R341" s="66" t="str">
        <x:v>https://sidatagrun-public-1076756628210.asia-southeast2.run.app/ptn_sn.php?ptn=123</x:v>
      </x:c>
    </x:row>
    <x:row r="342">
      <x:c r="A342" s="87" t="n">
        <x:v>2005</x:v>
      </x:c>
      <x:c r="B342" s="87" t="n">
        <x:v>123</x:v>
      </x:c>
      <x:c r="C342" s="66" t="str">
        <x:v>UIN SUMATERA UTARA</x:v>
      </x:c>
      <x:c r="D342" s="66" t="str">
        <x:v>PTKIN</x:v>
      </x:c>
      <x:c r="E342" s="66" t="str">
        <x:v>11231006</x:v>
      </x:c>
      <x:c r="F342" s="66" t="str">
        <x:v>ILMU KESEHATAN MASYARAKAT</x:v>
      </x:c>
      <x:c r="G342" s="66" t="str">
        <x:v>Sarjana</x:v>
      </x:c>
      <x:c r="H342" s="87" t="n">
        <x:v>124</x:v>
      </x:c>
      <x:c r="I342" s="87" t="n">
        <x:v>813</x:v>
      </x:c>
      <x:c r="J342" s="68" t="n">
        <x:f>IFERROR(H342/I342,"")</x:f>
        <x:v>0.15252152521525214</x:v>
      </x:c>
      <x:c r="K342" s="69" t="n">
        <x:f>IFERROR(I342/H342,"")</x:f>
        <x:v>6.556451612903226</x:v>
      </x:c>
      <x:c r="L342" s="66" t="str">
        <x:f>IF(K342="","","1 : "&amp;TEXT(K342,"0.0"))</x:f>
        <x:v>1 : 6.6</x:v>
      </x:c>
      <x:c r="M342" s="66" t="str">
        <x:f>IF(J342="","Baru/Tanpa Data",IF(J342&lt;='Catatan &amp; Sumber'!$B$14,"Sangat Ketat",IF(J342&lt;='Catatan &amp; Sumber'!$B$15,"Ketat",IF(J342&lt;='Catatan &amp; Sumber'!$B$16,"Sedang","Relatif Longgar"))))</x:f>
        <x:v>Relatif Longgar</x:v>
      </x:c>
      <x:c r="N342" s="66" t="str">
        <x:v>Tidak Ada</x:v>
      </x:c>
      <x:c r="O342" s="66" t="str">
        <x:v>Sumatera Utara</x:v>
      </x:c>
      <x:c r="P342" s="66" t="str">
        <x:v>Kabupaten Deli Serdang</x:v>
      </x:c>
      <x:c r="Q342" s="66" t="str">
        <x:v>https://snpmb.id/snbp/daya-tampung-snbp</x:v>
      </x:c>
      <x:c r="R342" s="66" t="str">
        <x:v>https://sidatagrun-public-1076756628210.asia-southeast2.run.app/ptn_sn.php?ptn=123</x:v>
      </x:c>
    </x:row>
    <x:row r="343">
      <x:c r="A343" s="87" t="n">
        <x:v>2265</x:v>
      </x:c>
      <x:c r="B343" s="87" t="n">
        <x:v>123</x:v>
      </x:c>
      <x:c r="C343" s="66" t="str">
        <x:v>UIN SUMATERA UTARA</x:v>
      </x:c>
      <x:c r="D343" s="66" t="str">
        <x:v>PTKIN</x:v>
      </x:c>
      <x:c r="E343" s="66" t="str">
        <x:v>11231007</x:v>
      </x:c>
      <x:c r="F343" s="66" t="str">
        <x:v>ILMU PERPUSTAKAAN</x:v>
      </x:c>
      <x:c r="G343" s="66" t="str">
        <x:v>Sarjana</x:v>
      </x:c>
      <x:c r="H343" s="87" t="n">
        <x:v>34</x:v>
      </x:c>
      <x:c r="I343" s="87" t="n">
        <x:v>189</x:v>
      </x:c>
      <x:c r="J343" s="68" t="n">
        <x:f>IFERROR(H343/I343,"")</x:f>
        <x:v>0.17989417989417988</x:v>
      </x:c>
      <x:c r="K343" s="69" t="n">
        <x:f>IFERROR(I343/H343,"")</x:f>
        <x:v>5.5588235294117645</x:v>
      </x:c>
      <x:c r="L343" s="66" t="str">
        <x:f>IF(K343="","","1 : "&amp;TEXT(K343,"0.0"))</x:f>
        <x:v>1 : 5.6</x:v>
      </x:c>
      <x:c r="M343" s="66" t="str">
        <x:f>IF(J343="","Baru/Tanpa Data",IF(J343&lt;='Catatan &amp; Sumber'!$B$14,"Sangat Ketat",IF(J343&lt;='Catatan &amp; Sumber'!$B$15,"Ketat",IF(J343&lt;='Catatan &amp; Sumber'!$B$16,"Sedang","Relatif Longgar"))))</x:f>
        <x:v>Relatif Longgar</x:v>
      </x:c>
      <x:c r="N343" s="66" t="str">
        <x:v>Tidak Ada</x:v>
      </x:c>
      <x:c r="O343" s="66" t="str">
        <x:v>Sumatera Utara</x:v>
      </x:c>
      <x:c r="P343" s="66" t="str">
        <x:v>Kabupaten Deli Serdang</x:v>
      </x:c>
      <x:c r="Q343" s="66" t="str">
        <x:v>https://snpmb.id/snbp/daya-tampung-snbp</x:v>
      </x:c>
      <x:c r="R343" s="66" t="str">
        <x:v>https://sidatagrun-public-1076756628210.asia-southeast2.run.app/ptn_sn.php?ptn=123</x:v>
      </x:c>
    </x:row>
    <x:row r="344">
      <x:c r="A344" s="87" t="n">
        <x:v>2018</x:v>
      </x:c>
      <x:c r="B344" s="87" t="n">
        <x:v>123</x:v>
      </x:c>
      <x:c r="C344" s="66" t="str">
        <x:v>UIN SUMATERA UTARA</x:v>
      </x:c>
      <x:c r="D344" s="66" t="str">
        <x:v>PTKIN</x:v>
      </x:c>
      <x:c r="E344" s="66" t="str">
        <x:v>11231008</x:v>
      </x:c>
      <x:c r="F344" s="66" t="str">
        <x:v>ILMU KOMUNIKASI</x:v>
      </x:c>
      <x:c r="G344" s="66" t="str">
        <x:v>Sarjana</x:v>
      </x:c>
      <x:c r="H344" s="87" t="n">
        <x:v>61</x:v>
      </x:c>
      <x:c r="I344" s="87" t="n">
        <x:v>397</x:v>
      </x:c>
      <x:c r="J344" s="68" t="n">
        <x:f>IFERROR(H344/I344,"")</x:f>
        <x:v>0.15365239294710328</x:v>
      </x:c>
      <x:c r="K344" s="69" t="n">
        <x:f>IFERROR(I344/H344,"")</x:f>
        <x:v>6.508196721311475</x:v>
      </x:c>
      <x:c r="L344" s="66" t="str">
        <x:f>IF(K344="","","1 : "&amp;TEXT(K344,"0.0"))</x:f>
        <x:v>1 : 6.5</x:v>
      </x:c>
      <x:c r="M344" s="66" t="str">
        <x:f>IF(J344="","Baru/Tanpa Data",IF(J344&lt;='Catatan &amp; Sumber'!$B$14,"Sangat Ketat",IF(J344&lt;='Catatan &amp; Sumber'!$B$15,"Ketat",IF(J344&lt;='Catatan &amp; Sumber'!$B$16,"Sedang","Relatif Longgar"))))</x:f>
        <x:v>Relatif Longgar</x:v>
      </x:c>
      <x:c r="N344" s="66" t="str">
        <x:v>Tidak Ada</x:v>
      </x:c>
      <x:c r="O344" s="66" t="str">
        <x:v>Sumatera Utara</x:v>
      </x:c>
      <x:c r="P344" s="66" t="str">
        <x:v>Kabupaten Deli Serdang</x:v>
      </x:c>
      <x:c r="Q344" s="66" t="str">
        <x:v>https://snpmb.id/snbp/daya-tampung-snbp</x:v>
      </x:c>
      <x:c r="R344" s="66" t="str">
        <x:v>https://sidatagrun-public-1076756628210.asia-southeast2.run.app/ptn_sn.php?ptn=123</x:v>
      </x:c>
    </x:row>
    <x:row r="345">
      <x:c r="A345" s="87" t="n">
        <x:v>1525</x:v>
      </x:c>
      <x:c r="B345" s="87" t="n">
        <x:v>123</x:v>
      </x:c>
      <x:c r="C345" s="66" t="str">
        <x:v>UIN SUMATERA UTARA</x:v>
      </x:c>
      <x:c r="D345" s="66" t="str">
        <x:v>PTKIN</x:v>
      </x:c>
      <x:c r="E345" s="66" t="str">
        <x:v>11231009</x:v>
      </x:c>
      <x:c r="F345" s="66" t="str">
        <x:v>MANAJEMEN</x:v>
      </x:c>
      <x:c r="G345" s="66" t="str">
        <x:v>Sarjana</x:v>
      </x:c>
      <x:c r="H345" s="87" t="n">
        <x:v>84</x:v>
      </x:c>
      <x:c r="I345" s="87" t="n">
        <x:v>753</x:v>
      </x:c>
      <x:c r="J345" s="68" t="n">
        <x:f>IFERROR(H345/I345,"")</x:f>
        <x:v>0.11155378486055777</x:v>
      </x:c>
      <x:c r="K345" s="69" t="n">
        <x:f>IFERROR(I345/H345,"")</x:f>
        <x:v>8.964285714285714</x:v>
      </x:c>
      <x:c r="L345" s="66" t="str">
        <x:f>IF(K345="","","1 : "&amp;TEXT(K345,"0.0"))</x:f>
        <x:v>1 : 9.0</x:v>
      </x:c>
      <x:c r="M345" s="66" t="str">
        <x:f>IF(J345="","Baru/Tanpa Data",IF(J345&lt;='Catatan &amp; Sumber'!$B$14,"Sangat Ketat",IF(J345&lt;='Catatan &amp; Sumber'!$B$15,"Ketat",IF(J345&lt;='Catatan &amp; Sumber'!$B$16,"Sedang","Relatif Longgar"))))</x:f>
        <x:v>Relatif Longgar</x:v>
      </x:c>
      <x:c r="N345" s="66" t="str">
        <x:v>Tidak Ada</x:v>
      </x:c>
      <x:c r="O345" s="66" t="str">
        <x:v>Sumatera Utara</x:v>
      </x:c>
      <x:c r="P345" s="66" t="str">
        <x:v>Kabupaten Deli Serdang</x:v>
      </x:c>
      <x:c r="Q345" s="66" t="str">
        <x:v>https://snpmb.id/snbp/daya-tampung-snbp</x:v>
      </x:c>
      <x:c r="R345" s="66" t="str">
        <x:v>https://sidatagrun-public-1076756628210.asia-southeast2.run.app/ptn_sn.php?ptn=123</x:v>
      </x:c>
    </x:row>
    <x:row r="346">
      <x:c r="A346" s="87" t="n">
        <x:v>2055</x:v>
      </x:c>
      <x:c r="B346" s="87" t="n">
        <x:v>123</x:v>
      </x:c>
      <x:c r="C346" s="66" t="str">
        <x:v>UIN SUMATERA UTARA</x:v>
      </x:c>
      <x:c r="D346" s="66" t="str">
        <x:v>PTKIN</x:v>
      </x:c>
      <x:c r="E346" s="66" t="str">
        <x:v>11231010</x:v>
      </x:c>
      <x:c r="F346" s="66" t="str">
        <x:v>HUKUM</x:v>
      </x:c>
      <x:c r="G346" s="66" t="str">
        <x:v>Sarjana</x:v>
      </x:c>
      <x:c r="H346" s="87" t="n">
        <x:v>56</x:v>
      </x:c>
      <x:c r="I346" s="87" t="n">
        <x:v>356</x:v>
      </x:c>
      <x:c r="J346" s="68" t="n">
        <x:f>IFERROR(H346/I346,"")</x:f>
        <x:v>0.15730337078651685</x:v>
      </x:c>
      <x:c r="K346" s="69" t="n">
        <x:f>IFERROR(I346/H346,"")</x:f>
        <x:v>6.357142857142857</x:v>
      </x:c>
      <x:c r="L346" s="66" t="str">
        <x:f>IF(K346="","","1 : "&amp;TEXT(K346,"0.0"))</x:f>
        <x:v>1 : 6.4</x:v>
      </x:c>
      <x:c r="M346" s="66" t="str">
        <x:f>IF(J346="","Baru/Tanpa Data",IF(J346&lt;='Catatan &amp; Sumber'!$B$14,"Sangat Ketat",IF(J346&lt;='Catatan &amp; Sumber'!$B$15,"Ketat",IF(J346&lt;='Catatan &amp; Sumber'!$B$16,"Sedang","Relatif Longgar"))))</x:f>
        <x:v>Relatif Longgar</x:v>
      </x:c>
      <x:c r="N346" s="66" t="str">
        <x:v>Tidak Ada</x:v>
      </x:c>
      <x:c r="O346" s="66" t="str">
        <x:v>Sumatera Utara</x:v>
      </x:c>
      <x:c r="P346" s="66" t="str">
        <x:v>Kabupaten Deli Serdang</x:v>
      </x:c>
      <x:c r="Q346" s="66" t="str">
        <x:v>https://snpmb.id/snbp/daya-tampung-snbp</x:v>
      </x:c>
      <x:c r="R346" s="66" t="str">
        <x:v>https://sidatagrun-public-1076756628210.asia-southeast2.run.app/ptn_sn.php?ptn=123</x:v>
      </x:c>
    </x:row>
    <x:row r="347">
      <x:c r="A347" s="87" t="n">
        <x:v>1983</x:v>
      </x:c>
      <x:c r="B347" s="87" t="n">
        <x:v>123</x:v>
      </x:c>
      <x:c r="C347" s="66" t="str">
        <x:v>UIN SUMATERA UTARA</x:v>
      </x:c>
      <x:c r="D347" s="66" t="str">
        <x:v>PTKIN</x:v>
      </x:c>
      <x:c r="E347" s="66" t="str">
        <x:v>11231011</x:v>
      </x:c>
      <x:c r="F347" s="66" t="str">
        <x:v>GIZI</x:v>
      </x:c>
      <x:c r="G347" s="66" t="str">
        <x:v>Sarjana</x:v>
      </x:c>
      <x:c r="H347" s="87" t="n">
        <x:v>44</x:v>
      </x:c>
      <x:c r="I347" s="87" t="n">
        <x:v>294</x:v>
      </x:c>
      <x:c r="J347" s="68" t="n">
        <x:f>IFERROR(H347/I347,"")</x:f>
        <x:v>0.14965986394557823</x:v>
      </x:c>
      <x:c r="K347" s="69" t="n">
        <x:f>IFERROR(I347/H347,"")</x:f>
        <x:v>6.681818181818182</x:v>
      </x:c>
      <x:c r="L347" s="66" t="str">
        <x:f>IF(K347="","","1 : "&amp;TEXT(K347,"0.0"))</x:f>
        <x:v>1 : 6.7</x:v>
      </x:c>
      <x:c r="M347" s="66" t="str">
        <x:f>IF(J347="","Baru/Tanpa Data",IF(J347&lt;='Catatan &amp; Sumber'!$B$14,"Sangat Ketat",IF(J347&lt;='Catatan &amp; Sumber'!$B$15,"Ketat",IF(J347&lt;='Catatan &amp; Sumber'!$B$16,"Sedang","Relatif Longgar"))))</x:f>
        <x:v>Relatif Longgar</x:v>
      </x:c>
      <x:c r="N347" s="66" t="str">
        <x:v>Tidak Ada</x:v>
      </x:c>
      <x:c r="O347" s="66" t="str">
        <x:v>Sumatera Utara</x:v>
      </x:c>
      <x:c r="P347" s="66" t="str">
        <x:v>Kabupaten Deli Serdang</x:v>
      </x:c>
      <x:c r="Q347" s="66" t="str">
        <x:v>https://snpmb.id/snbp/daya-tampung-snbp</x:v>
      </x:c>
      <x:c r="R347" s="66" t="str">
        <x:v>https://sidatagrun-public-1076756628210.asia-southeast2.run.app/ptn_sn.php?ptn=123</x:v>
      </x:c>
    </x:row>
    <x:row r="348">
      <x:c r="A348" s="87"/>
      <x:c r="B348" s="87" t="n">
        <x:v>123</x:v>
      </x:c>
      <x:c r="C348" s="66" t="str">
        <x:v>UIN SUMATERA UTARA</x:v>
      </x:c>
      <x:c r="D348" s="66" t="str">
        <x:v>PTKIN</x:v>
      </x:c>
      <x:c r="E348" s="66" t="str">
        <x:v>11231012</x:v>
      </x:c>
      <x:c r="F348" s="66" t="str">
        <x:v>SAINS DATA</x:v>
      </x:c>
      <x:c r="G348" s="66" t="str">
        <x:v>Sarjana</x:v>
      </x:c>
      <x:c r="H348" s="87" t="n">
        <x:v>12</x:v>
      </x:c>
      <x:c r="I348" s="87"/>
      <x:c r="J348" s="68" t="str">
        <x:f>IFERROR(H348/I348,"")</x:f>
      </x:c>
      <x:c r="K348" s="69" t="n">
        <x:f>IFERROR(I348/H348,"")</x:f>
        <x:v>0</x:v>
      </x:c>
      <x:c r="L348" s="66" t="str">
        <x:f>IF(K348="","","1 : "&amp;TEXT(K348,"0.0"))</x:f>
      </x:c>
      <x:c r="M348" s="66" t="str">
        <x:f>IF(J348="","Baru/Tanpa Data",IF(J348&lt;='Catatan &amp; Sumber'!$B$14,"Sangat Ketat",IF(J348&lt;='Catatan &amp; Sumber'!$B$15,"Ketat",IF(J348&lt;='Catatan &amp; Sumber'!$B$16,"Sedang","Relatif Longgar"))))</x:f>
        <x:v>Baru/Tanpa Data</x:v>
      </x:c>
      <x:c r="N348" s="66" t="str">
        <x:v>Tidak Ada</x:v>
      </x:c>
      <x:c r="O348" s="66" t="str">
        <x:v>Sumatera Utara</x:v>
      </x:c>
      <x:c r="P348" s="66" t="str">
        <x:v>Kabupaten Deli Serdang</x:v>
      </x:c>
      <x:c r="Q348" s="66" t="str">
        <x:v>https://snpmb.id/snbp/daya-tampung-snbp</x:v>
      </x:c>
      <x:c r="R348" s="66" t="str">
        <x:v>https://sidatagrun-public-1076756628210.asia-southeast2.run.app/ptn_sn.php?ptn=123</x:v>
      </x:c>
    </x:row>
    <x:row r="349">
      <x:c r="A349" s="87" t="n">
        <x:v>4170</x:v>
      </x:c>
      <x:c r="B349" s="87" t="n">
        <x:v>124</x:v>
      </x:c>
      <x:c r="C349" s="66" t="str">
        <x:v>UIN SYEKH ALI HASAN AHMAD ADDARY PADANGSIDIMPUAN</x:v>
      </x:c>
      <x:c r="D349" s="66" t="str">
        <x:v>PTKIN</x:v>
      </x:c>
      <x:c r="E349" s="66" t="str">
        <x:v>11241001</x:v>
      </x:c>
      <x:c r="F349" s="66" t="str">
        <x:v>BISNIS DIGITAL</x:v>
      </x:c>
      <x:c r="G349" s="66" t="str">
        <x:v>Sarjana</x:v>
      </x:c>
      <x:c r="H349" s="87" t="n">
        <x:v>40</x:v>
      </x:c>
      <x:c r="I349" s="87" t="n">
        <x:v>48</x:v>
      </x:c>
      <x:c r="J349" s="68" t="n">
        <x:f>IFERROR(H349/I349,"")</x:f>
        <x:v>0.8333333333333334</x:v>
      </x:c>
      <x:c r="K349" s="69" t="n">
        <x:f>IFERROR(I349/H349,"")</x:f>
        <x:v>1.2</x:v>
      </x:c>
      <x:c r="L349" s="66" t="str">
        <x:f>IF(K349="","","1 : "&amp;TEXT(K349,"0.0"))</x:f>
        <x:v>1 : 1.2</x:v>
      </x:c>
      <x:c r="M349" s="66" t="str">
        <x:f>IF(J349="","Baru/Tanpa Data",IF(J349&lt;='Catatan &amp; Sumber'!$B$14,"Sangat Ketat",IF(J349&lt;='Catatan &amp; Sumber'!$B$15,"Ketat",IF(J349&lt;='Catatan &amp; Sumber'!$B$16,"Sedang","Relatif Longgar"))))</x:f>
        <x:v>Relatif Longgar</x:v>
      </x:c>
      <x:c r="N349" s="66" t="str">
        <x:v>Tidak Ada</x:v>
      </x:c>
      <x:c r="O349" s="66" t="str">
        <x:v>Sumatera Utara</x:v>
      </x:c>
      <x:c r="P349" s="66" t="str">
        <x:v>Kota Padangsidimpuan</x:v>
      </x:c>
      <x:c r="Q349" s="66" t="str">
        <x:v>https://snpmb.id/snbp/daya-tampung-snbp</x:v>
      </x:c>
      <x:c r="R349" s="66" t="str">
        <x:v>https://sidatagrun-public-1076756628210.asia-southeast2.run.app/ptn_sn.php?ptn=124</x:v>
      </x:c>
    </x:row>
    <x:row r="350">
      <x:c r="A350" s="87" t="n">
        <x:v>4786</x:v>
      </x:c>
      <x:c r="B350" s="87" t="n">
        <x:v>124</x:v>
      </x:c>
      <x:c r="C350" s="66" t="str">
        <x:v>UIN SYEKH ALI HASAN AHMAD ADDARY PADANGSIDIMPUAN</x:v>
      </x:c>
      <x:c r="D350" s="66" t="str">
        <x:v>PTKIN</x:v>
      </x:c>
      <x:c r="E350" s="66" t="str">
        <x:v>11241002</x:v>
      </x:c>
      <x:c r="F350" s="66" t="str">
        <x:v>DESAIN KOMUNIKASI VISUAL</x:v>
      </x:c>
      <x:c r="G350" s="66" t="str">
        <x:v>Sarjana</x:v>
      </x:c>
      <x:c r="H350" s="87" t="n">
        <x:v>40</x:v>
      </x:c>
      <x:c r="I350" s="87" t="n">
        <x:v>12</x:v>
      </x:c>
      <x:c r="J350" s="68" t="n">
        <x:f>IFERROR(H350/I350,"")</x:f>
        <x:v>3.3333333333333335</x:v>
      </x:c>
      <x:c r="K350" s="69" t="n">
        <x:f>IFERROR(I350/H350,"")</x:f>
        <x:v>0.3</x:v>
      </x:c>
      <x:c r="L350" s="66" t="str">
        <x:f>IF(K350="","","1 : "&amp;TEXT(K350,"0.0"))</x:f>
        <x:v>1 : 0.3</x:v>
      </x:c>
      <x:c r="M350" s="66" t="str">
        <x:f>IF(J350="","Baru/Tanpa Data",IF(J350&lt;='Catatan &amp; Sumber'!$B$14,"Sangat Ketat",IF(J350&lt;='Catatan &amp; Sumber'!$B$15,"Ketat",IF(J350&lt;='Catatan &amp; Sumber'!$B$16,"Sedang","Relatif Longgar"))))</x:f>
        <x:v>Relatif Longgar</x:v>
      </x:c>
      <x:c r="N350" s="66" t="str">
        <x:v>Seni Rupa, Desain, dan Kriya</x:v>
      </x:c>
      <x:c r="O350" s="66" t="str">
        <x:v>Sumatera Utara</x:v>
      </x:c>
      <x:c r="P350" s="66" t="str">
        <x:v>Kota Padangsidimpuan</x:v>
      </x:c>
      <x:c r="Q350" s="66" t="str">
        <x:v>https://snpmb.id/snbp/daya-tampung-snbp</x:v>
      </x:c>
      <x:c r="R350" s="66" t="str">
        <x:v>https://sidatagrun-public-1076756628210.asia-southeast2.run.app/ptn_sn.php?ptn=124</x:v>
      </x:c>
    </x:row>
    <x:row r="351">
      <x:c r="A351" s="87" t="n">
        <x:v>3938</x:v>
      </x:c>
      <x:c r="B351" s="87" t="n">
        <x:v>124</x:v>
      </x:c>
      <x:c r="C351" s="66" t="str">
        <x:v>UIN SYEKH ALI HASAN AHMAD ADDARY PADANGSIDIMPUAN</x:v>
      </x:c>
      <x:c r="D351" s="66" t="str">
        <x:v>PTKIN</x:v>
      </x:c>
      <x:c r="E351" s="66" t="str">
        <x:v>11241003</x:v>
      </x:c>
      <x:c r="F351" s="66" t="str">
        <x:v>TEKNOLOGI INFORMASI</x:v>
      </x:c>
      <x:c r="G351" s="66" t="str">
        <x:v>Sarjana</x:v>
      </x:c>
      <x:c r="H351" s="87" t="n">
        <x:v>60</x:v>
      </x:c>
      <x:c r="I351" s="87" t="n">
        <x:v>93</x:v>
      </x:c>
      <x:c r="J351" s="68" t="n">
        <x:f>IFERROR(H351/I351,"")</x:f>
        <x:v>0.6451612903225806</x:v>
      </x:c>
      <x:c r="K351" s="69" t="n">
        <x:f>IFERROR(I351/H351,"")</x:f>
        <x:v>1.55</x:v>
      </x:c>
      <x:c r="L351" s="66" t="str">
        <x:f>IF(K351="","","1 : "&amp;TEXT(K351,"0.0"))</x:f>
        <x:v>1 : 1.6</x:v>
      </x:c>
      <x:c r="M351" s="66" t="str">
        <x:f>IF(J351="","Baru/Tanpa Data",IF(J351&lt;='Catatan &amp; Sumber'!$B$14,"Sangat Ketat",IF(J351&lt;='Catatan &amp; Sumber'!$B$15,"Ketat",IF(J351&lt;='Catatan &amp; Sumber'!$B$16,"Sedang","Relatif Longgar"))))</x:f>
        <x:v>Relatif Longgar</x:v>
      </x:c>
      <x:c r="N351" s="66" t="str">
        <x:v>Tidak Ada</x:v>
      </x:c>
      <x:c r="O351" s="66" t="str">
        <x:v>Sumatera Utara</x:v>
      </x:c>
      <x:c r="P351" s="66" t="str">
        <x:v>Kota Padangsidimpuan</x:v>
      </x:c>
      <x:c r="Q351" s="66" t="str">
        <x:v>https://snpmb.id/snbp/daya-tampung-snbp</x:v>
      </x:c>
      <x:c r="R351" s="66" t="str">
        <x:v>https://sidatagrun-public-1076756628210.asia-southeast2.run.app/ptn_sn.php?ptn=124</x:v>
      </x:c>
    </x:row>
    <x:row r="352">
      <x:c r="A352" s="87" t="n">
        <x:v>3163</x:v>
      </x:c>
      <x:c r="B352" s="87" t="n">
        <x:v>131</x:v>
      </x:c>
      <x:c r="C352" s="66" t="str">
        <x:v>UNIVERSITAS RIAU</x:v>
      </x:c>
      <x:c r="D352" s="66" t="str">
        <x:v>PTN Akademik</x:v>
      </x:c>
      <x:c r="E352" s="66" t="str">
        <x:v>11311001</x:v>
      </x:c>
      <x:c r="F352" s="66" t="str">
        <x:v>FISIKA</x:v>
      </x:c>
      <x:c r="G352" s="66" t="str">
        <x:v>Sarjana</x:v>
      </x:c>
      <x:c r="H352" s="87" t="n">
        <x:v>36</x:v>
      </x:c>
      <x:c r="I352" s="87" t="n">
        <x:v>109</x:v>
      </x:c>
      <x:c r="J352" s="68" t="n">
        <x:f>IFERROR(H352/I352,"")</x:f>
        <x:v>0.3302752293577982</x:v>
      </x:c>
      <x:c r="K352" s="69" t="n">
        <x:f>IFERROR(I352/H352,"")</x:f>
        <x:v>3.0277777777777777</x:v>
      </x:c>
      <x:c r="L352" s="66" t="str">
        <x:f>IF(K352="","","1 : "&amp;TEXT(K352,"0.0"))</x:f>
        <x:v>1 : 3.0</x:v>
      </x:c>
      <x:c r="M352" s="66" t="str">
        <x:f>IF(J352="","Baru/Tanpa Data",IF(J352&lt;='Catatan &amp; Sumber'!$B$14,"Sangat Ketat",IF(J352&lt;='Catatan &amp; Sumber'!$B$15,"Ketat",IF(J352&lt;='Catatan &amp; Sumber'!$B$16,"Sedang","Relatif Longgar"))))</x:f>
        <x:v>Relatif Longgar</x:v>
      </x:c>
      <x:c r="N352" s="66" t="str">
        <x:v>Tidak Ada</x:v>
      </x:c>
      <x:c r="O352" s="66" t="str">
        <x:v>Riau</x:v>
      </x:c>
      <x:c r="P352" s="66" t="str">
        <x:v>Kota Pekanbaru</x:v>
      </x:c>
      <x:c r="Q352" s="66" t="str">
        <x:v>https://snpmb.id/snbp/daya-tampung-snbp</x:v>
      </x:c>
      <x:c r="R352" s="66" t="str">
        <x:v>https://sidatagrun-public-1076756628210.asia-southeast2.run.app/ptn_sn.php?ptn=131</x:v>
      </x:c>
    </x:row>
    <x:row r="353">
      <x:c r="A353" s="87" t="n">
        <x:v>1844</x:v>
      </x:c>
      <x:c r="B353" s="87" t="n">
        <x:v>131</x:v>
      </x:c>
      <x:c r="C353" s="66" t="str">
        <x:v>UNIVERSITAS RIAU</x:v>
      </x:c>
      <x:c r="D353" s="66" t="str">
        <x:v>PTN Akademik</x:v>
      </x:c>
      <x:c r="E353" s="66" t="str">
        <x:v>11311002</x:v>
      </x:c>
      <x:c r="F353" s="66" t="str">
        <x:v>KIMIA</x:v>
      </x:c>
      <x:c r="G353" s="66" t="str">
        <x:v>Sarjana</x:v>
      </x:c>
      <x:c r="H353" s="87" t="n">
        <x:v>36</x:v>
      </x:c>
      <x:c r="I353" s="87" t="n">
        <x:v>265</x:v>
      </x:c>
      <x:c r="J353" s="68" t="n">
        <x:f>IFERROR(H353/I353,"")</x:f>
        <x:v>0.13584905660377358</x:v>
      </x:c>
      <x:c r="K353" s="69" t="n">
        <x:f>IFERROR(I353/H353,"")</x:f>
        <x:v>7.361111111111111</x:v>
      </x:c>
      <x:c r="L353" s="66" t="str">
        <x:f>IF(K353="","","1 : "&amp;TEXT(K353,"0.0"))</x:f>
        <x:v>1 : 7.4</x:v>
      </x:c>
      <x:c r="M353" s="66" t="str">
        <x:f>IF(J353="","Baru/Tanpa Data",IF(J353&lt;='Catatan &amp; Sumber'!$B$14,"Sangat Ketat",IF(J353&lt;='Catatan &amp; Sumber'!$B$15,"Ketat",IF(J353&lt;='Catatan &amp; Sumber'!$B$16,"Sedang","Relatif Longgar"))))</x:f>
        <x:v>Relatif Longgar</x:v>
      </x:c>
      <x:c r="N353" s="66" t="str">
        <x:v>Tidak Ada</x:v>
      </x:c>
      <x:c r="O353" s="66" t="str">
        <x:v>Riau</x:v>
      </x:c>
      <x:c r="P353" s="66" t="str">
        <x:v>Kota Pekanbaru</x:v>
      </x:c>
      <x:c r="Q353" s="66" t="str">
        <x:v>https://snpmb.id/snbp/daya-tampung-snbp</x:v>
      </x:c>
      <x:c r="R353" s="66" t="str">
        <x:v>https://sidatagrun-public-1076756628210.asia-southeast2.run.app/ptn_sn.php?ptn=131</x:v>
      </x:c>
    </x:row>
    <x:row r="354">
      <x:c r="A354" s="87" t="n">
        <x:v>2094</x:v>
      </x:c>
      <x:c r="B354" s="87" t="n">
        <x:v>131</x:v>
      </x:c>
      <x:c r="C354" s="66" t="str">
        <x:v>UNIVERSITAS RIAU</x:v>
      </x:c>
      <x:c r="D354" s="66" t="str">
        <x:v>PTN Akademik</x:v>
      </x:c>
      <x:c r="E354" s="66" t="str">
        <x:v>11311003</x:v>
      </x:c>
      <x:c r="F354" s="66" t="str">
        <x:v>MATEMATIKA</x:v>
      </x:c>
      <x:c r="G354" s="66" t="str">
        <x:v>Sarjana</x:v>
      </x:c>
      <x:c r="H354" s="87" t="n">
        <x:v>27</x:v>
      </x:c>
      <x:c r="I354" s="87" t="n">
        <x:v>168</x:v>
      </x:c>
      <x:c r="J354" s="68" t="n">
        <x:f>IFERROR(H354/I354,"")</x:f>
        <x:v>0.16071428571428573</x:v>
      </x:c>
      <x:c r="K354" s="69" t="n">
        <x:f>IFERROR(I354/H354,"")</x:f>
        <x:v>6.222222222222222</x:v>
      </x:c>
      <x:c r="L354" s="66" t="str">
        <x:f>IF(K354="","","1 : "&amp;TEXT(K354,"0.0"))</x:f>
        <x:v>1 : 6.2</x:v>
      </x:c>
      <x:c r="M354" s="66" t="str">
        <x:f>IF(J354="","Baru/Tanpa Data",IF(J354&lt;='Catatan &amp; Sumber'!$B$14,"Sangat Ketat",IF(J354&lt;='Catatan &amp; Sumber'!$B$15,"Ketat",IF(J354&lt;='Catatan &amp; Sumber'!$B$16,"Sedang","Relatif Longgar"))))</x:f>
        <x:v>Relatif Longgar</x:v>
      </x:c>
      <x:c r="N354" s="66" t="str">
        <x:v>Tidak Ada</x:v>
      </x:c>
      <x:c r="O354" s="66" t="str">
        <x:v>Riau</x:v>
      </x:c>
      <x:c r="P354" s="66" t="str">
        <x:v>Kota Pekanbaru</x:v>
      </x:c>
      <x:c r="Q354" s="66" t="str">
        <x:v>https://snpmb.id/snbp/daya-tampung-snbp</x:v>
      </x:c>
      <x:c r="R354" s="66" t="str">
        <x:v>https://sidatagrun-public-1076756628210.asia-southeast2.run.app/ptn_sn.php?ptn=131</x:v>
      </x:c>
    </x:row>
    <x:row r="355">
      <x:c r="A355" s="87" t="n">
        <x:v>1976</x:v>
      </x:c>
      <x:c r="B355" s="87" t="n">
        <x:v>131</x:v>
      </x:c>
      <x:c r="C355" s="66" t="str">
        <x:v>UNIVERSITAS RIAU</x:v>
      </x:c>
      <x:c r="D355" s="66" t="str">
        <x:v>PTN Akademik</x:v>
      </x:c>
      <x:c r="E355" s="66" t="str">
        <x:v>11311004</x:v>
      </x:c>
      <x:c r="F355" s="66" t="str">
        <x:v>BIOLOGI</x:v>
      </x:c>
      <x:c r="G355" s="66" t="str">
        <x:v>Sarjana</x:v>
      </x:c>
      <x:c r="H355" s="87" t="n">
        <x:v>36</x:v>
      </x:c>
      <x:c r="I355" s="87" t="n">
        <x:v>242</x:v>
      </x:c>
      <x:c r="J355" s="68" t="n">
        <x:f>IFERROR(H355/I355,"")</x:f>
        <x:v>0.1487603305785124</x:v>
      </x:c>
      <x:c r="K355" s="69" t="n">
        <x:f>IFERROR(I355/H355,"")</x:f>
        <x:v>6.722222222222222</x:v>
      </x:c>
      <x:c r="L355" s="66" t="str">
        <x:f>IF(K355="","","1 : "&amp;TEXT(K355,"0.0"))</x:f>
        <x:v>1 : 6.7</x:v>
      </x:c>
      <x:c r="M355" s="66" t="str">
        <x:f>IF(J355="","Baru/Tanpa Data",IF(J355&lt;='Catatan &amp; Sumber'!$B$14,"Sangat Ketat",IF(J355&lt;='Catatan &amp; Sumber'!$B$15,"Ketat",IF(J355&lt;='Catatan &amp; Sumber'!$B$16,"Sedang","Relatif Longgar"))))</x:f>
        <x:v>Relatif Longgar</x:v>
      </x:c>
      <x:c r="N355" s="66" t="str">
        <x:v>Tidak Ada</x:v>
      </x:c>
      <x:c r="O355" s="66" t="str">
        <x:v>Riau</x:v>
      </x:c>
      <x:c r="P355" s="66" t="str">
        <x:v>Kota Pekanbaru</x:v>
      </x:c>
      <x:c r="Q355" s="66" t="str">
        <x:v>https://snpmb.id/snbp/daya-tampung-snbp</x:v>
      </x:c>
      <x:c r="R355" s="66" t="str">
        <x:v>https://sidatagrun-public-1076756628210.asia-southeast2.run.app/ptn_sn.php?ptn=131</x:v>
      </x:c>
    </x:row>
    <x:row r="356">
      <x:c r="A356" s="87" t="n">
        <x:v>3199</x:v>
      </x:c>
      <x:c r="B356" s="87" t="n">
        <x:v>131</x:v>
      </x:c>
      <x:c r="C356" s="66" t="str">
        <x:v>UNIVERSITAS RIAU</x:v>
      </x:c>
      <x:c r="D356" s="66" t="str">
        <x:v>PTN Akademik</x:v>
      </x:c>
      <x:c r="E356" s="66" t="str">
        <x:v>11311005</x:v>
      </x:c>
      <x:c r="F356" s="66" t="str">
        <x:v>MANAJEMEN SUMBERDAYA PERAIRAN</x:v>
      </x:c>
      <x:c r="G356" s="66" t="str">
        <x:v>Sarjana</x:v>
      </x:c>
      <x:c r="H356" s="87" t="n">
        <x:v>43</x:v>
      </x:c>
      <x:c r="I356" s="87" t="n">
        <x:v>126</x:v>
      </x:c>
      <x:c r="J356" s="68" t="n">
        <x:f>IFERROR(H356/I356,"")</x:f>
        <x:v>0.3412698412698413</x:v>
      </x:c>
      <x:c r="K356" s="69" t="n">
        <x:f>IFERROR(I356/H356,"")</x:f>
        <x:v>2.9302325581395348</x:v>
      </x:c>
      <x:c r="L356" s="66" t="str">
        <x:f>IF(K356="","","1 : "&amp;TEXT(K356,"0.0"))</x:f>
        <x:v>1 : 2.9</x:v>
      </x:c>
      <x:c r="M356" s="66" t="str">
        <x:f>IF(J356="","Baru/Tanpa Data",IF(J356&lt;='Catatan &amp; Sumber'!$B$14,"Sangat Ketat",IF(J356&lt;='Catatan &amp; Sumber'!$B$15,"Ketat",IF(J356&lt;='Catatan &amp; Sumber'!$B$16,"Sedang","Relatif Longgar"))))</x:f>
        <x:v>Relatif Longgar</x:v>
      </x:c>
      <x:c r="N356" s="66" t="str">
        <x:v>Tidak Ada</x:v>
      </x:c>
      <x:c r="O356" s="66" t="str">
        <x:v>Riau</x:v>
      </x:c>
      <x:c r="P356" s="66" t="str">
        <x:v>Kota Pekanbaru</x:v>
      </x:c>
      <x:c r="Q356" s="66" t="str">
        <x:v>https://snpmb.id/snbp/daya-tampung-snbp</x:v>
      </x:c>
      <x:c r="R356" s="66" t="str">
        <x:v>https://sidatagrun-public-1076756628210.asia-southeast2.run.app/ptn_sn.php?ptn=131</x:v>
      </x:c>
    </x:row>
    <x:row r="357">
      <x:c r="A357" s="87" t="n">
        <x:v>3416</x:v>
      </x:c>
      <x:c r="B357" s="87" t="n">
        <x:v>131</x:v>
      </x:c>
      <x:c r="C357" s="66" t="str">
        <x:v>UNIVERSITAS RIAU</x:v>
      </x:c>
      <x:c r="D357" s="66" t="str">
        <x:v>PTN Akademik</x:v>
      </x:c>
      <x:c r="E357" s="66" t="str">
        <x:v>11311006</x:v>
      </x:c>
      <x:c r="F357" s="66" t="str">
        <x:v>BUDIDAYA PERAIRAN</x:v>
      </x:c>
      <x:c r="G357" s="66" t="str">
        <x:v>Sarjana</x:v>
      </x:c>
      <x:c r="H357" s="87" t="n">
        <x:v>52</x:v>
      </x:c>
      <x:c r="I357" s="87" t="n">
        <x:v>128</x:v>
      </x:c>
      <x:c r="J357" s="68" t="n">
        <x:f>IFERROR(H357/I357,"")</x:f>
        <x:v>0.40625</x:v>
      </x:c>
      <x:c r="K357" s="69" t="n">
        <x:f>IFERROR(I357/H357,"")</x:f>
        <x:v>2.4615384615384617</x:v>
      </x:c>
      <x:c r="L357" s="66" t="str">
        <x:f>IF(K357="","","1 : "&amp;TEXT(K357,"0.0"))</x:f>
        <x:v>1 : 2.5</x:v>
      </x:c>
      <x:c r="M357" s="66" t="str">
        <x:f>IF(J357="","Baru/Tanpa Data",IF(J357&lt;='Catatan &amp; Sumber'!$B$14,"Sangat Ketat",IF(J357&lt;='Catatan &amp; Sumber'!$B$15,"Ketat",IF(J357&lt;='Catatan &amp; Sumber'!$B$16,"Sedang","Relatif Longgar"))))</x:f>
        <x:v>Relatif Longgar</x:v>
      </x:c>
      <x:c r="N357" s="66" t="str">
        <x:v>Tidak Ada</x:v>
      </x:c>
      <x:c r="O357" s="66" t="str">
        <x:v>Riau</x:v>
      </x:c>
      <x:c r="P357" s="66" t="str">
        <x:v>Kota Pekanbaru</x:v>
      </x:c>
      <x:c r="Q357" s="66" t="str">
        <x:v>https://snpmb.id/snbp/daya-tampung-snbp</x:v>
      </x:c>
      <x:c r="R357" s="66" t="str">
        <x:v>https://sidatagrun-public-1076756628210.asia-southeast2.run.app/ptn_sn.php?ptn=131</x:v>
      </x:c>
    </x:row>
    <x:row r="358">
      <x:c r="A358" s="87" t="n">
        <x:v>2941</x:v>
      </x:c>
      <x:c r="B358" s="87" t="n">
        <x:v>131</x:v>
      </x:c>
      <x:c r="C358" s="66" t="str">
        <x:v>UNIVERSITAS RIAU</x:v>
      </x:c>
      <x:c r="D358" s="66" t="str">
        <x:v>PTN Akademik</x:v>
      </x:c>
      <x:c r="E358" s="66" t="str">
        <x:v>11311007</x:v>
      </x:c>
      <x:c r="F358" s="66" t="str">
        <x:v>ILMU KELAUTAN</x:v>
      </x:c>
      <x:c r="G358" s="66" t="str">
        <x:v>Sarjana</x:v>
      </x:c>
      <x:c r="H358" s="87" t="n">
        <x:v>46</x:v>
      </x:c>
      <x:c r="I358" s="87" t="n">
        <x:v>163</x:v>
      </x:c>
      <x:c r="J358" s="68" t="n">
        <x:f>IFERROR(H358/I358,"")</x:f>
        <x:v>0.2822085889570552</x:v>
      </x:c>
      <x:c r="K358" s="69" t="n">
        <x:f>IFERROR(I358/H358,"")</x:f>
        <x:v>3.5434782608695654</x:v>
      </x:c>
      <x:c r="L358" s="66" t="str">
        <x:f>IF(K358="","","1 : "&amp;TEXT(K358,"0.0"))</x:f>
        <x:v>1 : 3.5</x:v>
      </x:c>
      <x:c r="M358" s="66" t="str">
        <x:f>IF(J358="","Baru/Tanpa Data",IF(J358&lt;='Catatan &amp; Sumber'!$B$14,"Sangat Ketat",IF(J358&lt;='Catatan &amp; Sumber'!$B$15,"Ketat",IF(J358&lt;='Catatan &amp; Sumber'!$B$16,"Sedang","Relatif Longgar"))))</x:f>
        <x:v>Relatif Longgar</x:v>
      </x:c>
      <x:c r="N358" s="66" t="str">
        <x:v>Tidak Ada</x:v>
      </x:c>
      <x:c r="O358" s="66" t="str">
        <x:v>Riau</x:v>
      </x:c>
      <x:c r="P358" s="66" t="str">
        <x:v>Kota Pekanbaru</x:v>
      </x:c>
      <x:c r="Q358" s="66" t="str">
        <x:v>https://snpmb.id/snbp/daya-tampung-snbp</x:v>
      </x:c>
      <x:c r="R358" s="66" t="str">
        <x:v>https://sidatagrun-public-1076756628210.asia-southeast2.run.app/ptn_sn.php?ptn=131</x:v>
      </x:c>
    </x:row>
    <x:row r="359">
      <x:c r="A359" s="87" t="n">
        <x:v>3489</x:v>
      </x:c>
      <x:c r="B359" s="87" t="n">
        <x:v>131</x:v>
      </x:c>
      <x:c r="C359" s="66" t="str">
        <x:v>UNIVERSITAS RIAU</x:v>
      </x:c>
      <x:c r="D359" s="66" t="str">
        <x:v>PTN Akademik</x:v>
      </x:c>
      <x:c r="E359" s="66" t="str">
        <x:v>11311008</x:v>
      </x:c>
      <x:c r="F359" s="66" t="str">
        <x:v>TEKNOLOGI HASIL PERIKANAN</x:v>
      </x:c>
      <x:c r="G359" s="66" t="str">
        <x:v>Sarjana</x:v>
      </x:c>
      <x:c r="H359" s="87" t="n">
        <x:v>43</x:v>
      </x:c>
      <x:c r="I359" s="87" t="n">
        <x:v>100</x:v>
      </x:c>
      <x:c r="J359" s="68" t="n">
        <x:f>IFERROR(H359/I359,"")</x:f>
        <x:v>0.43</x:v>
      </x:c>
      <x:c r="K359" s="69" t="n">
        <x:f>IFERROR(I359/H359,"")</x:f>
        <x:v>2.3255813953488373</x:v>
      </x:c>
      <x:c r="L359" s="66" t="str">
        <x:f>IF(K359="","","1 : "&amp;TEXT(K359,"0.0"))</x:f>
        <x:v>1 : 2.3</x:v>
      </x:c>
      <x:c r="M359" s="66" t="str">
        <x:f>IF(J359="","Baru/Tanpa Data",IF(J359&lt;='Catatan &amp; Sumber'!$B$14,"Sangat Ketat",IF(J359&lt;='Catatan &amp; Sumber'!$B$15,"Ketat",IF(J359&lt;='Catatan &amp; Sumber'!$B$16,"Sedang","Relatif Longgar"))))</x:f>
        <x:v>Relatif Longgar</x:v>
      </x:c>
      <x:c r="N359" s="66" t="str">
        <x:v>Tidak Ada</x:v>
      </x:c>
      <x:c r="O359" s="66" t="str">
        <x:v>Riau</x:v>
      </x:c>
      <x:c r="P359" s="66" t="str">
        <x:v>Kota Pekanbaru</x:v>
      </x:c>
      <x:c r="Q359" s="66" t="str">
        <x:v>https://snpmb.id/snbp/daya-tampung-snbp</x:v>
      </x:c>
      <x:c r="R359" s="66" t="str">
        <x:v>https://sidatagrun-public-1076756628210.asia-southeast2.run.app/ptn_sn.php?ptn=131</x:v>
      </x:c>
    </x:row>
    <x:row r="360">
      <x:c r="A360" s="87" t="n">
        <x:v>3430</x:v>
      </x:c>
      <x:c r="B360" s="87" t="n">
        <x:v>131</x:v>
      </x:c>
      <x:c r="C360" s="66" t="str">
        <x:v>UNIVERSITAS RIAU</x:v>
      </x:c>
      <x:c r="D360" s="66" t="str">
        <x:v>PTN Akademik</x:v>
      </x:c>
      <x:c r="E360" s="66" t="str">
        <x:v>11311009</x:v>
      </x:c>
      <x:c r="F360" s="66" t="str">
        <x:v>PEMANFAATAN SUMBERDAYA PERIKANAN</x:v>
      </x:c>
      <x:c r="G360" s="66" t="str">
        <x:v>Sarjana</x:v>
      </x:c>
      <x:c r="H360" s="87" t="n">
        <x:v>37</x:v>
      </x:c>
      <x:c r="I360" s="87" t="n">
        <x:v>90</x:v>
      </x:c>
      <x:c r="J360" s="68" t="n">
        <x:f>IFERROR(H360/I360,"")</x:f>
        <x:v>0.4111111111111111</x:v>
      </x:c>
      <x:c r="K360" s="69" t="n">
        <x:f>IFERROR(I360/H360,"")</x:f>
        <x:v>2.4324324324324325</x:v>
      </x:c>
      <x:c r="L360" s="66" t="str">
        <x:f>IF(K360="","","1 : "&amp;TEXT(K360,"0.0"))</x:f>
        <x:v>1 : 2.4</x:v>
      </x:c>
      <x:c r="M360" s="66" t="str">
        <x:f>IF(J360="","Baru/Tanpa Data",IF(J360&lt;='Catatan &amp; Sumber'!$B$14,"Sangat Ketat",IF(J360&lt;='Catatan &amp; Sumber'!$B$15,"Ketat",IF(J360&lt;='Catatan &amp; Sumber'!$B$16,"Sedang","Relatif Longgar"))))</x:f>
        <x:v>Relatif Longgar</x:v>
      </x:c>
      <x:c r="N360" s="66" t="str">
        <x:v>Tidak Ada</x:v>
      </x:c>
      <x:c r="O360" s="66" t="str">
        <x:v>Riau</x:v>
      </x:c>
      <x:c r="P360" s="66" t="str">
        <x:v>Kota Pekanbaru</x:v>
      </x:c>
      <x:c r="Q360" s="66" t="str">
        <x:v>https://snpmb.id/snbp/daya-tampung-snbp</x:v>
      </x:c>
      <x:c r="R360" s="66" t="str">
        <x:v>https://sidatagrun-public-1076756628210.asia-southeast2.run.app/ptn_sn.php?ptn=131</x:v>
      </x:c>
    </x:row>
    <x:row r="361">
      <x:c r="A361" s="87" t="n">
        <x:v>3148</x:v>
      </x:c>
      <x:c r="B361" s="87" t="n">
        <x:v>131</x:v>
      </x:c>
      <x:c r="C361" s="66" t="str">
        <x:v>UNIVERSITAS RIAU</x:v>
      </x:c>
      <x:c r="D361" s="66" t="str">
        <x:v>PTN Akademik</x:v>
      </x:c>
      <x:c r="E361" s="66" t="str">
        <x:v>11311010</x:v>
      </x:c>
      <x:c r="F361" s="66" t="str">
        <x:v>AGROBISNIS PERIKANAN</x:v>
      </x:c>
      <x:c r="G361" s="66" t="str">
        <x:v>Sarjana</x:v>
      </x:c>
      <x:c r="H361" s="87" t="n">
        <x:v>34</x:v>
      </x:c>
      <x:c r="I361" s="87" t="n">
        <x:v>104</x:v>
      </x:c>
      <x:c r="J361" s="68" t="n">
        <x:f>IFERROR(H361/I361,"")</x:f>
        <x:v>0.3269230769230769</x:v>
      </x:c>
      <x:c r="K361" s="69" t="n">
        <x:f>IFERROR(I361/H361,"")</x:f>
        <x:v>3.0588235294117645</x:v>
      </x:c>
      <x:c r="L361" s="66" t="str">
        <x:f>IF(K361="","","1 : "&amp;TEXT(K361,"0.0"))</x:f>
        <x:v>1 : 3.1</x:v>
      </x:c>
      <x:c r="M361" s="66" t="str">
        <x:f>IF(J361="","Baru/Tanpa Data",IF(J361&lt;='Catatan &amp; Sumber'!$B$14,"Sangat Ketat",IF(J361&lt;='Catatan &amp; Sumber'!$B$15,"Ketat",IF(J361&lt;='Catatan &amp; Sumber'!$B$16,"Sedang","Relatif Longgar"))))</x:f>
        <x:v>Relatif Longgar</x:v>
      </x:c>
      <x:c r="N361" s="66" t="str">
        <x:v>Tidak Ada</x:v>
      </x:c>
      <x:c r="O361" s="66" t="str">
        <x:v>Riau</x:v>
      </x:c>
      <x:c r="P361" s="66" t="str">
        <x:v>Kota Pekanbaru</x:v>
      </x:c>
      <x:c r="Q361" s="66" t="str">
        <x:v>https://snpmb.id/snbp/daya-tampung-snbp</x:v>
      </x:c>
      <x:c r="R361" s="66" t="str">
        <x:v>https://sidatagrun-public-1076756628210.asia-southeast2.run.app/ptn_sn.php?ptn=131</x:v>
      </x:c>
    </x:row>
    <x:row r="362">
      <x:c r="A362" s="87" t="n">
        <x:v>845</x:v>
      </x:c>
      <x:c r="B362" s="87" t="n">
        <x:v>131</x:v>
      </x:c>
      <x:c r="C362" s="66" t="str">
        <x:v>UNIVERSITAS RIAU</x:v>
      </x:c>
      <x:c r="D362" s="66" t="str">
        <x:v>PTN Akademik</x:v>
      </x:c>
      <x:c r="E362" s="66" t="str">
        <x:v>11311011</x:v>
      </x:c>
      <x:c r="F362" s="66" t="str">
        <x:v>AGROTEKNOLOGI</x:v>
      </x:c>
      <x:c r="G362" s="66" t="str">
        <x:v>Sarjana</x:v>
      </x:c>
      <x:c r="H362" s="87" t="n">
        <x:v>60</x:v>
      </x:c>
      <x:c r="I362" s="87" t="n">
        <x:v>868</x:v>
      </x:c>
      <x:c r="J362" s="68" t="n">
        <x:f>IFERROR(H362/I362,"")</x:f>
        <x:v>0.06912442396313365</x:v>
      </x:c>
      <x:c r="K362" s="69" t="n">
        <x:f>IFERROR(I362/H362,"")</x:f>
        <x:v>14.466666666666667</x:v>
      </x:c>
      <x:c r="L362" s="66" t="str">
        <x:f>IF(K362="","","1 : "&amp;TEXT(K362,"0.0"))</x:f>
        <x:v>1 : 14.5</x:v>
      </x:c>
      <x:c r="M362" s="66" t="str">
        <x:f>IF(J362="","Baru/Tanpa Data",IF(J362&lt;='Catatan &amp; Sumber'!$B$14,"Sangat Ketat",IF(J362&lt;='Catatan &amp; Sumber'!$B$15,"Ketat",IF(J362&lt;='Catatan &amp; Sumber'!$B$16,"Sedang","Relatif Longgar"))))</x:f>
        <x:v>Sedang</x:v>
      </x:c>
      <x:c r="N362" s="66" t="str">
        <x:v>Tidak Ada</x:v>
      </x:c>
      <x:c r="O362" s="66" t="str">
        <x:v>Riau</x:v>
      </x:c>
      <x:c r="P362" s="66" t="str">
        <x:v>Kota Pekanbaru</x:v>
      </x:c>
      <x:c r="Q362" s="66" t="str">
        <x:v>https://snpmb.id/snbp/daya-tampung-snbp</x:v>
      </x:c>
      <x:c r="R362" s="66" t="str">
        <x:v>https://sidatagrun-public-1076756628210.asia-southeast2.run.app/ptn_sn.php?ptn=131</x:v>
      </x:c>
    </x:row>
    <x:row r="363">
      <x:c r="A363" s="87" t="n">
        <x:v>436</x:v>
      </x:c>
      <x:c r="B363" s="87" t="n">
        <x:v>131</x:v>
      </x:c>
      <x:c r="C363" s="66" t="str">
        <x:v>UNIVERSITAS RIAU</x:v>
      </x:c>
      <x:c r="D363" s="66" t="str">
        <x:v>PTN Akademik</x:v>
      </x:c>
      <x:c r="E363" s="66" t="str">
        <x:v>11311012</x:v>
      </x:c>
      <x:c r="F363" s="66" t="str">
        <x:v>AGRIBISNIS</x:v>
      </x:c>
      <x:c r="G363" s="66" t="str">
        <x:v>Sarjana</x:v>
      </x:c>
      <x:c r="H363" s="87" t="n">
        <x:v>36</x:v>
      </x:c>
      <x:c r="I363" s="87" t="n">
        <x:v>743</x:v>
      </x:c>
      <x:c r="J363" s="68" t="n">
        <x:f>IFERROR(H363/I363,"")</x:f>
        <x:v>0.04845222072678331</x:v>
      </x:c>
      <x:c r="K363" s="69" t="n">
        <x:f>IFERROR(I363/H363,"")</x:f>
        <x:v>20.63888888888889</x:v>
      </x:c>
      <x:c r="L363" s="66" t="str">
        <x:f>IF(K363="","","1 : "&amp;TEXT(K363,"0.0"))</x:f>
        <x:v>1 : 20.6</x:v>
      </x:c>
      <x:c r="M363" s="66" t="str">
        <x:f>IF(J363="","Baru/Tanpa Data",IF(J363&lt;='Catatan &amp; Sumber'!$B$14,"Sangat Ketat",IF(J363&lt;='Catatan &amp; Sumber'!$B$15,"Ketat",IF(J363&lt;='Catatan &amp; Sumber'!$B$16,"Sedang","Relatif Longgar"))))</x:f>
        <x:v>Ketat</x:v>
      </x:c>
      <x:c r="N363" s="66" t="str">
        <x:v>Tidak Ada</x:v>
      </x:c>
      <x:c r="O363" s="66" t="str">
        <x:v>Riau</x:v>
      </x:c>
      <x:c r="P363" s="66" t="str">
        <x:v>Kota Pekanbaru</x:v>
      </x:c>
      <x:c r="Q363" s="66" t="str">
        <x:v>https://snpmb.id/snbp/daya-tampung-snbp</x:v>
      </x:c>
      <x:c r="R363" s="66" t="str">
        <x:v>https://sidatagrun-public-1076756628210.asia-southeast2.run.app/ptn_sn.php?ptn=131</x:v>
      </x:c>
    </x:row>
    <x:row r="364">
      <x:c r="A364" s="87" t="n">
        <x:v>933</x:v>
      </x:c>
      <x:c r="B364" s="87" t="n">
        <x:v>131</x:v>
      </x:c>
      <x:c r="C364" s="66" t="str">
        <x:v>UNIVERSITAS RIAU</x:v>
      </x:c>
      <x:c r="D364" s="66" t="str">
        <x:v>PTN Akademik</x:v>
      </x:c>
      <x:c r="E364" s="66" t="str">
        <x:v>11311013</x:v>
      </x:c>
      <x:c r="F364" s="66" t="str">
        <x:v>TEKNOLOGI HASIL PERTANIAN</x:v>
      </x:c>
      <x:c r="G364" s="66" t="str">
        <x:v>Sarjana</x:v>
      </x:c>
      <x:c r="H364" s="87" t="n">
        <x:v>24</x:v>
      </x:c>
      <x:c r="I364" s="87" t="n">
        <x:v>322</x:v>
      </x:c>
      <x:c r="J364" s="68" t="n">
        <x:f>IFERROR(H364/I364,"")</x:f>
        <x:v>0.07453416149068323</x:v>
      </x:c>
      <x:c r="K364" s="69" t="n">
        <x:f>IFERROR(I364/H364,"")</x:f>
        <x:v>13.416666666666666</x:v>
      </x:c>
      <x:c r="L364" s="66" t="str">
        <x:f>IF(K364="","","1 : "&amp;TEXT(K364,"0.0"))</x:f>
        <x:v>1 : 13.4</x:v>
      </x:c>
      <x:c r="M364" s="66" t="str">
        <x:f>IF(J364="","Baru/Tanpa Data",IF(J364&lt;='Catatan &amp; Sumber'!$B$14,"Sangat Ketat",IF(J364&lt;='Catatan &amp; Sumber'!$B$15,"Ketat",IF(J364&lt;='Catatan &amp; Sumber'!$B$16,"Sedang","Relatif Longgar"))))</x:f>
        <x:v>Sedang</x:v>
      </x:c>
      <x:c r="N364" s="66" t="str">
        <x:v>Tidak Ada</x:v>
      </x:c>
      <x:c r="O364" s="66" t="str">
        <x:v>Riau</x:v>
      </x:c>
      <x:c r="P364" s="66" t="str">
        <x:v>Kota Pekanbaru</x:v>
      </x:c>
      <x:c r="Q364" s="66" t="str">
        <x:v>https://snpmb.id/snbp/daya-tampung-snbp</x:v>
      </x:c>
      <x:c r="R364" s="66" t="str">
        <x:v>https://sidatagrun-public-1076756628210.asia-southeast2.run.app/ptn_sn.php?ptn=131</x:v>
      </x:c>
    </x:row>
    <x:row r="365">
      <x:c r="A365" s="87" t="n">
        <x:v>1214</x:v>
      </x:c>
      <x:c r="B365" s="87" t="n">
        <x:v>131</x:v>
      </x:c>
      <x:c r="C365" s="66" t="str">
        <x:v>UNIVERSITAS RIAU</x:v>
      </x:c>
      <x:c r="D365" s="66" t="str">
        <x:v>PTN Akademik</x:v>
      </x:c>
      <x:c r="E365" s="66" t="str">
        <x:v>11311014</x:v>
      </x:c>
      <x:c r="F365" s="66" t="str">
        <x:v>KEHUTANAN</x:v>
      </x:c>
      <x:c r="G365" s="66" t="str">
        <x:v>Sarjana</x:v>
      </x:c>
      <x:c r="H365" s="87" t="n">
        <x:v>36</x:v>
      </x:c>
      <x:c r="I365" s="87" t="n">
        <x:v>397</x:v>
      </x:c>
      <x:c r="J365" s="68" t="n">
        <x:f>IFERROR(H365/I365,"")</x:f>
        <x:v>0.0906801007556675</x:v>
      </x:c>
      <x:c r="K365" s="69" t="n">
        <x:f>IFERROR(I365/H365,"")</x:f>
        <x:v>11.027777777777779</x:v>
      </x:c>
      <x:c r="L365" s="66" t="str">
        <x:f>IF(K365="","","1 : "&amp;TEXT(K365,"0.0"))</x:f>
        <x:v>1 : 11.0</x:v>
      </x:c>
      <x:c r="M365" s="66" t="str">
        <x:f>IF(J365="","Baru/Tanpa Data",IF(J365&lt;='Catatan &amp; Sumber'!$B$14,"Sangat Ketat",IF(J365&lt;='Catatan &amp; Sumber'!$B$15,"Ketat",IF(J365&lt;='Catatan &amp; Sumber'!$B$16,"Sedang","Relatif Longgar"))))</x:f>
        <x:v>Sedang</x:v>
      </x:c>
      <x:c r="N365" s="66" t="str">
        <x:v>Tidak Ada</x:v>
      </x:c>
      <x:c r="O365" s="66" t="str">
        <x:v>Riau</x:v>
      </x:c>
      <x:c r="P365" s="66" t="str">
        <x:v>Kota Pekanbaru</x:v>
      </x:c>
      <x:c r="Q365" s="66" t="str">
        <x:v>https://snpmb.id/snbp/daya-tampung-snbp</x:v>
      </x:c>
      <x:c r="R365" s="66" t="str">
        <x:v>https://sidatagrun-public-1076756628210.asia-southeast2.run.app/ptn_sn.php?ptn=131</x:v>
      </x:c>
    </x:row>
    <x:row r="366">
      <x:c r="A366" s="87" t="n">
        <x:v>334</x:v>
      </x:c>
      <x:c r="B366" s="87" t="n">
        <x:v>131</x:v>
      </x:c>
      <x:c r="C366" s="66" t="str">
        <x:v>UNIVERSITAS RIAU</x:v>
      </x:c>
      <x:c r="D366" s="66" t="str">
        <x:v>PTN Akademik</x:v>
      </x:c>
      <x:c r="E366" s="66" t="str">
        <x:v>11311015</x:v>
      </x:c>
      <x:c r="F366" s="66" t="str">
        <x:v>TEKNIK SIPIL</x:v>
      </x:c>
      <x:c r="G366" s="66" t="str">
        <x:v>Sarjana</x:v>
      </x:c>
      <x:c r="H366" s="87" t="n">
        <x:v>36</x:v>
      </x:c>
      <x:c r="I366" s="87" t="n">
        <x:v>820</x:v>
      </x:c>
      <x:c r="J366" s="68" t="n">
        <x:f>IFERROR(H366/I366,"")</x:f>
        <x:v>0.04390243902439024</x:v>
      </x:c>
      <x:c r="K366" s="69" t="n">
        <x:f>IFERROR(I366/H366,"")</x:f>
        <x:v>22.77777777777778</x:v>
      </x:c>
      <x:c r="L366" s="66" t="str">
        <x:f>IF(K366="","","1 : "&amp;TEXT(K366,"0.0"))</x:f>
        <x:v>1 : 22.8</x:v>
      </x:c>
      <x:c r="M366" s="66" t="str">
        <x:f>IF(J366="","Baru/Tanpa Data",IF(J366&lt;='Catatan &amp; Sumber'!$B$14,"Sangat Ketat",IF(J366&lt;='Catatan &amp; Sumber'!$B$15,"Ketat",IF(J366&lt;='Catatan &amp; Sumber'!$B$16,"Sedang","Relatif Longgar"))))</x:f>
        <x:v>Ketat</x:v>
      </x:c>
      <x:c r="N366" s="66" t="str">
        <x:v>Tidak Ada</x:v>
      </x:c>
      <x:c r="O366" s="66" t="str">
        <x:v>Riau</x:v>
      </x:c>
      <x:c r="P366" s="66" t="str">
        <x:v>Kota Pekanbaru</x:v>
      </x:c>
      <x:c r="Q366" s="66" t="str">
        <x:v>https://snpmb.id/snbp/daya-tampung-snbp</x:v>
      </x:c>
      <x:c r="R366" s="66" t="str">
        <x:v>https://sidatagrun-public-1076756628210.asia-southeast2.run.app/ptn_sn.php?ptn=131</x:v>
      </x:c>
    </x:row>
    <x:row r="367">
      <x:c r="A367" s="87" t="n">
        <x:v>515</x:v>
      </x:c>
      <x:c r="B367" s="87" t="n">
        <x:v>131</x:v>
      </x:c>
      <x:c r="C367" s="66" t="str">
        <x:v>UNIVERSITAS RIAU</x:v>
      </x:c>
      <x:c r="D367" s="66" t="str">
        <x:v>PTN Akademik</x:v>
      </x:c>
      <x:c r="E367" s="66" t="str">
        <x:v>11311016</x:v>
      </x:c>
      <x:c r="F367" s="66" t="str">
        <x:v>TEKNIK KIMIA</x:v>
      </x:c>
      <x:c r="G367" s="66" t="str">
        <x:v>Sarjana</x:v>
      </x:c>
      <x:c r="H367" s="87" t="n">
        <x:v>31</x:v>
      </x:c>
      <x:c r="I367" s="87" t="n">
        <x:v>592</x:v>
      </x:c>
      <x:c r="J367" s="68" t="n">
        <x:f>IFERROR(H367/I367,"")</x:f>
        <x:v>0.052364864864864864</x:v>
      </x:c>
      <x:c r="K367" s="69" t="n">
        <x:f>IFERROR(I367/H367,"")</x:f>
        <x:v>19.096774193548388</x:v>
      </x:c>
      <x:c r="L367" s="66" t="str">
        <x:f>IF(K367="","","1 : "&amp;TEXT(K367,"0.0"))</x:f>
        <x:v>1 : 19.1</x:v>
      </x:c>
      <x:c r="M367" s="66" t="str">
        <x:f>IF(J367="","Baru/Tanpa Data",IF(J367&lt;='Catatan &amp; Sumber'!$B$14,"Sangat Ketat",IF(J367&lt;='Catatan &amp; Sumber'!$B$15,"Ketat",IF(J367&lt;='Catatan &amp; Sumber'!$B$16,"Sedang","Relatif Longgar"))))</x:f>
        <x:v>Sedang</x:v>
      </x:c>
      <x:c r="N367" s="66" t="str">
        <x:v>Tidak Ada</x:v>
      </x:c>
      <x:c r="O367" s="66" t="str">
        <x:v>Riau</x:v>
      </x:c>
      <x:c r="P367" s="66" t="str">
        <x:v>Kota Pekanbaru</x:v>
      </x:c>
      <x:c r="Q367" s="66" t="str">
        <x:v>https://snpmb.id/snbp/daya-tampung-snbp</x:v>
      </x:c>
      <x:c r="R367" s="66" t="str">
        <x:v>https://sidatagrun-public-1076756628210.asia-southeast2.run.app/ptn_sn.php?ptn=131</x:v>
      </x:c>
    </x:row>
    <x:row r="368">
      <x:c r="A368" s="87" t="n">
        <x:v>449</x:v>
      </x:c>
      <x:c r="B368" s="87" t="n">
        <x:v>131</x:v>
      </x:c>
      <x:c r="C368" s="66" t="str">
        <x:v>UNIVERSITAS RIAU</x:v>
      </x:c>
      <x:c r="D368" s="66" t="str">
        <x:v>PTN Akademik</x:v>
      </x:c>
      <x:c r="E368" s="66" t="str">
        <x:v>11311017</x:v>
      </x:c>
      <x:c r="F368" s="66" t="str">
        <x:v>TEKNIK MESIN</x:v>
      </x:c>
      <x:c r="G368" s="66" t="str">
        <x:v>Sarjana</x:v>
      </x:c>
      <x:c r="H368" s="87" t="n">
        <x:v>34</x:v>
      </x:c>
      <x:c r="I368" s="87" t="n">
        <x:v>694</x:v>
      </x:c>
      <x:c r="J368" s="68" t="n">
        <x:f>IFERROR(H368/I368,"")</x:f>
        <x:v>0.04899135446685879</x:v>
      </x:c>
      <x:c r="K368" s="69" t="n">
        <x:f>IFERROR(I368/H368,"")</x:f>
        <x:v>20.41176470588235</x:v>
      </x:c>
      <x:c r="L368" s="66" t="str">
        <x:f>IF(K368="","","1 : "&amp;TEXT(K368,"0.0"))</x:f>
        <x:v>1 : 20.4</x:v>
      </x:c>
      <x:c r="M368" s="66" t="str">
        <x:f>IF(J368="","Baru/Tanpa Data",IF(J368&lt;='Catatan &amp; Sumber'!$B$14,"Sangat Ketat",IF(J368&lt;='Catatan &amp; Sumber'!$B$15,"Ketat",IF(J368&lt;='Catatan &amp; Sumber'!$B$16,"Sedang","Relatif Longgar"))))</x:f>
        <x:v>Ketat</x:v>
      </x:c>
      <x:c r="N368" s="66" t="str">
        <x:v>Tidak Ada</x:v>
      </x:c>
      <x:c r="O368" s="66" t="str">
        <x:v>Riau</x:v>
      </x:c>
      <x:c r="P368" s="66" t="str">
        <x:v>Kota Pekanbaru</x:v>
      </x:c>
      <x:c r="Q368" s="66" t="str">
        <x:v>https://snpmb.id/snbp/daya-tampung-snbp</x:v>
      </x:c>
      <x:c r="R368" s="66" t="str">
        <x:v>https://sidatagrun-public-1076756628210.asia-southeast2.run.app/ptn_sn.php?ptn=131</x:v>
      </x:c>
    </x:row>
    <x:row r="369">
      <x:c r="A369" s="87" t="n">
        <x:v>664</x:v>
      </x:c>
      <x:c r="B369" s="87" t="n">
        <x:v>131</x:v>
      </x:c>
      <x:c r="C369" s="66" t="str">
        <x:v>UNIVERSITAS RIAU</x:v>
      </x:c>
      <x:c r="D369" s="66" t="str">
        <x:v>PTN Akademik</x:v>
      </x:c>
      <x:c r="E369" s="66" t="str">
        <x:v>11311018</x:v>
      </x:c>
      <x:c r="F369" s="66" t="str">
        <x:v>TEKNIK ELEKTRO</x:v>
      </x:c>
      <x:c r="G369" s="66" t="str">
        <x:v>Sarjana</x:v>
      </x:c>
      <x:c r="H369" s="87" t="n">
        <x:v>36</x:v>
      </x:c>
      <x:c r="I369" s="87" t="n">
        <x:v>600</x:v>
      </x:c>
      <x:c r="J369" s="68" t="n">
        <x:f>IFERROR(H369/I369,"")</x:f>
        <x:v>0.06</x:v>
      </x:c>
      <x:c r="K369" s="69" t="n">
        <x:f>IFERROR(I369/H369,"")</x:f>
        <x:v>16.666666666666668</x:v>
      </x:c>
      <x:c r="L369" s="66" t="str">
        <x:f>IF(K369="","","1 : "&amp;TEXT(K369,"0.0"))</x:f>
        <x:v>1 : 16.7</x:v>
      </x:c>
      <x:c r="M369" s="66" t="str">
        <x:f>IF(J369="","Baru/Tanpa Data",IF(J369&lt;='Catatan &amp; Sumber'!$B$14,"Sangat Ketat",IF(J369&lt;='Catatan &amp; Sumber'!$B$15,"Ketat",IF(J369&lt;='Catatan &amp; Sumber'!$B$16,"Sedang","Relatif Longgar"))))</x:f>
        <x:v>Sedang</x:v>
      </x:c>
      <x:c r="N369" s="66" t="str">
        <x:v>Tidak Ada</x:v>
      </x:c>
      <x:c r="O369" s="66" t="str">
        <x:v>Riau</x:v>
      </x:c>
      <x:c r="P369" s="66" t="str">
        <x:v>Kota Pekanbaru</x:v>
      </x:c>
      <x:c r="Q369" s="66" t="str">
        <x:v>https://snpmb.id/snbp/daya-tampung-snbp</x:v>
      </x:c>
      <x:c r="R369" s="66" t="str">
        <x:v>https://sidatagrun-public-1076756628210.asia-southeast2.run.app/ptn_sn.php?ptn=131</x:v>
      </x:c>
    </x:row>
    <x:row r="370">
      <x:c r="A370" s="87" t="n">
        <x:v>151</x:v>
      </x:c>
      <x:c r="B370" s="87" t="n">
        <x:v>131</x:v>
      </x:c>
      <x:c r="C370" s="66" t="str">
        <x:v>UNIVERSITAS RIAU</x:v>
      </x:c>
      <x:c r="D370" s="66" t="str">
        <x:v>PTN Akademik</x:v>
      </x:c>
      <x:c r="E370" s="66" t="str">
        <x:v>11311019</x:v>
      </x:c>
      <x:c r="F370" s="66" t="str">
        <x:v>KEDOKTERAN</x:v>
      </x:c>
      <x:c r="G370" s="66" t="str">
        <x:v>Sarjana</x:v>
      </x:c>
      <x:c r="H370" s="87" t="n">
        <x:v>48</x:v>
      </x:c>
      <x:c r="I370" s="87" t="n">
        <x:v>1434</x:v>
      </x:c>
      <x:c r="J370" s="68" t="n">
        <x:f>IFERROR(H370/I370,"")</x:f>
        <x:v>0.03347280334728033</x:v>
      </x:c>
      <x:c r="K370" s="69" t="n">
        <x:f>IFERROR(I370/H370,"")</x:f>
        <x:v>29.875</x:v>
      </x:c>
      <x:c r="L370" s="66" t="str">
        <x:f>IF(K370="","","1 : "&amp;TEXT(K370,"0.0"))</x:f>
        <x:v>1 : 29.9</x:v>
      </x:c>
      <x:c r="M370" s="66" t="str">
        <x:f>IF(J370="","Baru/Tanpa Data",IF(J370&lt;='Catatan &amp; Sumber'!$B$14,"Sangat Ketat",IF(J370&lt;='Catatan &amp; Sumber'!$B$15,"Ketat",IF(J370&lt;='Catatan &amp; Sumber'!$B$16,"Sedang","Relatif Longgar"))))</x:f>
        <x:v>Ketat</x:v>
      </x:c>
      <x:c r="N370" s="66" t="str">
        <x:v>Tidak Ada</x:v>
      </x:c>
      <x:c r="O370" s="66" t="str">
        <x:v>Riau</x:v>
      </x:c>
      <x:c r="P370" s="66" t="str">
        <x:v>Kota Pekanbaru</x:v>
      </x:c>
      <x:c r="Q370" s="66" t="str">
        <x:v>https://snpmb.id/snbp/daya-tampung-snbp</x:v>
      </x:c>
      <x:c r="R370" s="66" t="str">
        <x:v>https://sidatagrun-public-1076756628210.asia-southeast2.run.app/ptn_sn.php?ptn=131</x:v>
      </x:c>
    </x:row>
    <x:row r="371">
      <x:c r="A371" s="87" t="n">
        <x:v>185</x:v>
      </x:c>
      <x:c r="B371" s="87" t="n">
        <x:v>131</x:v>
      </x:c>
      <x:c r="C371" s="66" t="str">
        <x:v>UNIVERSITAS RIAU</x:v>
      </x:c>
      <x:c r="D371" s="66" t="str">
        <x:v>PTN Akademik</x:v>
      </x:c>
      <x:c r="E371" s="66" t="str">
        <x:v>11311020</x:v>
      </x:c>
      <x:c r="F371" s="66" t="str">
        <x:v>ILMU KEPERAWATAN</x:v>
      </x:c>
      <x:c r="G371" s="66" t="str">
        <x:v>Sarjana</x:v>
      </x:c>
      <x:c r="H371" s="87" t="n">
        <x:v>63</x:v>
      </x:c>
      <x:c r="I371" s="87" t="n">
        <x:v>1749</x:v>
      </x:c>
      <x:c r="J371" s="68" t="n">
        <x:f>IFERROR(H371/I371,"")</x:f>
        <x:v>0.036020583190394515</x:v>
      </x:c>
      <x:c r="K371" s="69" t="n">
        <x:f>IFERROR(I371/H371,"")</x:f>
        <x:v>27.761904761904763</x:v>
      </x:c>
      <x:c r="L371" s="66" t="str">
        <x:f>IF(K371="","","1 : "&amp;TEXT(K371,"0.0"))</x:f>
        <x:v>1 : 27.8</x:v>
      </x:c>
      <x:c r="M371" s="66" t="str">
        <x:f>IF(J371="","Baru/Tanpa Data",IF(J371&lt;='Catatan &amp; Sumber'!$B$14,"Sangat Ketat",IF(J371&lt;='Catatan &amp; Sumber'!$B$15,"Ketat",IF(J371&lt;='Catatan &amp; Sumber'!$B$16,"Sedang","Relatif Longgar"))))</x:f>
        <x:v>Ketat</x:v>
      </x:c>
      <x:c r="N371" s="66" t="str">
        <x:v>Tidak Ada</x:v>
      </x:c>
      <x:c r="O371" s="66" t="str">
        <x:v>Riau</x:v>
      </x:c>
      <x:c r="P371" s="66" t="str">
        <x:v>Kota Pekanbaru</x:v>
      </x:c>
      <x:c r="Q371" s="66" t="str">
        <x:v>https://snpmb.id/snbp/daya-tampung-snbp</x:v>
      </x:c>
      <x:c r="R371" s="66" t="str">
        <x:v>https://sidatagrun-public-1076756628210.asia-southeast2.run.app/ptn_sn.php?ptn=131</x:v>
      </x:c>
    </x:row>
    <x:row r="372">
      <x:c r="A372" s="87" t="n">
        <x:v>516</x:v>
      </x:c>
      <x:c r="B372" s="87" t="n">
        <x:v>131</x:v>
      </x:c>
      <x:c r="C372" s="66" t="str">
        <x:v>UNIVERSITAS RIAU</x:v>
      </x:c>
      <x:c r="D372" s="66" t="str">
        <x:v>PTN Akademik</x:v>
      </x:c>
      <x:c r="E372" s="66" t="str">
        <x:v>11311021</x:v>
      </x:c>
      <x:c r="F372" s="66" t="str">
        <x:v>PENDIDIKAN MATEMATIKA</x:v>
      </x:c>
      <x:c r="G372" s="66" t="str">
        <x:v>Sarjana</x:v>
      </x:c>
      <x:c r="H372" s="87" t="n">
        <x:v>24</x:v>
      </x:c>
      <x:c r="I372" s="87" t="n">
        <x:v>458</x:v>
      </x:c>
      <x:c r="J372" s="68" t="n">
        <x:f>IFERROR(H372/I372,"")</x:f>
        <x:v>0.05240174672489083</x:v>
      </x:c>
      <x:c r="K372" s="69" t="n">
        <x:f>IFERROR(I372/H372,"")</x:f>
        <x:v>19.083333333333332</x:v>
      </x:c>
      <x:c r="L372" s="66" t="str">
        <x:f>IF(K372="","","1 : "&amp;TEXT(K372,"0.0"))</x:f>
        <x:v>1 : 19.1</x:v>
      </x:c>
      <x:c r="M372" s="66" t="str">
        <x:f>IF(J372="","Baru/Tanpa Data",IF(J372&lt;='Catatan &amp; Sumber'!$B$14,"Sangat Ketat",IF(J372&lt;='Catatan &amp; Sumber'!$B$15,"Ketat",IF(J372&lt;='Catatan &amp; Sumber'!$B$16,"Sedang","Relatif Longgar"))))</x:f>
        <x:v>Sedang</x:v>
      </x:c>
      <x:c r="N372" s="66" t="str">
        <x:v>Tidak Ada</x:v>
      </x:c>
      <x:c r="O372" s="66" t="str">
        <x:v>Riau</x:v>
      </x:c>
      <x:c r="P372" s="66" t="str">
        <x:v>Kota Pekanbaru</x:v>
      </x:c>
      <x:c r="Q372" s="66" t="str">
        <x:v>https://snpmb.id/snbp/daya-tampung-snbp</x:v>
      </x:c>
      <x:c r="R372" s="66" t="str">
        <x:v>https://sidatagrun-public-1076756628210.asia-southeast2.run.app/ptn_sn.php?ptn=131</x:v>
      </x:c>
    </x:row>
    <x:row r="373">
      <x:c r="A373" s="87" t="n">
        <x:v>477</x:v>
      </x:c>
      <x:c r="B373" s="87" t="n">
        <x:v>131</x:v>
      </x:c>
      <x:c r="C373" s="66" t="str">
        <x:v>UNIVERSITAS RIAU</x:v>
      </x:c>
      <x:c r="D373" s="66" t="str">
        <x:v>PTN Akademik</x:v>
      </x:c>
      <x:c r="E373" s="66" t="str">
        <x:v>11311022</x:v>
      </x:c>
      <x:c r="F373" s="66" t="str">
        <x:v>PENDIDIKAN BIOLOGI</x:v>
      </x:c>
      <x:c r="G373" s="66" t="str">
        <x:v>Sarjana</x:v>
      </x:c>
      <x:c r="H373" s="87" t="n">
        <x:v>24</x:v>
      </x:c>
      <x:c r="I373" s="87" t="n">
        <x:v>478</x:v>
      </x:c>
      <x:c r="J373" s="68" t="n">
        <x:f>IFERROR(H373/I373,"")</x:f>
        <x:v>0.0502092050209205</x:v>
      </x:c>
      <x:c r="K373" s="69" t="n">
        <x:f>IFERROR(I373/H373,"")</x:f>
        <x:v>19.916666666666668</x:v>
      </x:c>
      <x:c r="L373" s="66" t="str">
        <x:f>IF(K373="","","1 : "&amp;TEXT(K373,"0.0"))</x:f>
        <x:v>1 : 19.9</x:v>
      </x:c>
      <x:c r="M373" s="66" t="str">
        <x:f>IF(J373="","Baru/Tanpa Data",IF(J373&lt;='Catatan &amp; Sumber'!$B$14,"Sangat Ketat",IF(J373&lt;='Catatan &amp; Sumber'!$B$15,"Ketat",IF(J373&lt;='Catatan &amp; Sumber'!$B$16,"Sedang","Relatif Longgar"))))</x:f>
        <x:v>Sedang</x:v>
      </x:c>
      <x:c r="N373" s="66" t="str">
        <x:v>Tidak Ada</x:v>
      </x:c>
      <x:c r="O373" s="66" t="str">
        <x:v>Riau</x:v>
      </x:c>
      <x:c r="P373" s="66" t="str">
        <x:v>Kota Pekanbaru</x:v>
      </x:c>
      <x:c r="Q373" s="66" t="str">
        <x:v>https://snpmb.id/snbp/daya-tampung-snbp</x:v>
      </x:c>
      <x:c r="R373" s="66" t="str">
        <x:v>https://sidatagrun-public-1076756628210.asia-southeast2.run.app/ptn_sn.php?ptn=131</x:v>
      </x:c>
    </x:row>
    <x:row r="374">
      <x:c r="A374" s="87" t="n">
        <x:v>1935</x:v>
      </x:c>
      <x:c r="B374" s="87" t="n">
        <x:v>131</x:v>
      </x:c>
      <x:c r="C374" s="66" t="str">
        <x:v>UNIVERSITAS RIAU</x:v>
      </x:c>
      <x:c r="D374" s="66" t="str">
        <x:v>PTN Akademik</x:v>
      </x:c>
      <x:c r="E374" s="66" t="str">
        <x:v>11311023</x:v>
      </x:c>
      <x:c r="F374" s="66" t="str">
        <x:v>PENDIDIKAN FISIKA</x:v>
      </x:c>
      <x:c r="G374" s="66" t="str">
        <x:v>Sarjana</x:v>
      </x:c>
      <x:c r="H374" s="87" t="n">
        <x:v>24</x:v>
      </x:c>
      <x:c r="I374" s="87" t="n">
        <x:v>166</x:v>
      </x:c>
      <x:c r="J374" s="68" t="n">
        <x:f>IFERROR(H374/I374,"")</x:f>
        <x:v>0.14457831325301204</x:v>
      </x:c>
      <x:c r="K374" s="69" t="n">
        <x:f>IFERROR(I374/H374,"")</x:f>
        <x:v>6.916666666666667</x:v>
      </x:c>
      <x:c r="L374" s="66" t="str">
        <x:f>IF(K374="","","1 : "&amp;TEXT(K374,"0.0"))</x:f>
        <x:v>1 : 6.9</x:v>
      </x:c>
      <x:c r="M374" s="66" t="str">
        <x:f>IF(J374="","Baru/Tanpa Data",IF(J374&lt;='Catatan &amp; Sumber'!$B$14,"Sangat Ketat",IF(J374&lt;='Catatan &amp; Sumber'!$B$15,"Ketat",IF(J374&lt;='Catatan &amp; Sumber'!$B$16,"Sedang","Relatif Longgar"))))</x:f>
        <x:v>Relatif Longgar</x:v>
      </x:c>
      <x:c r="N374" s="66" t="str">
        <x:v>Tidak Ada</x:v>
      </x:c>
      <x:c r="O374" s="66" t="str">
        <x:v>Riau</x:v>
      </x:c>
      <x:c r="P374" s="66" t="str">
        <x:v>Kota Pekanbaru</x:v>
      </x:c>
      <x:c r="Q374" s="66" t="str">
        <x:v>https://snpmb.id/snbp/daya-tampung-snbp</x:v>
      </x:c>
      <x:c r="R374" s="66" t="str">
        <x:v>https://sidatagrun-public-1076756628210.asia-southeast2.run.app/ptn_sn.php?ptn=131</x:v>
      </x:c>
    </x:row>
    <x:row r="375">
      <x:c r="A375" s="87" t="n">
        <x:v>1478</x:v>
      </x:c>
      <x:c r="B375" s="87" t="n">
        <x:v>131</x:v>
      </x:c>
      <x:c r="C375" s="66" t="str">
        <x:v>UNIVERSITAS RIAU</x:v>
      </x:c>
      <x:c r="D375" s="66" t="str">
        <x:v>PTN Akademik</x:v>
      </x:c>
      <x:c r="E375" s="66" t="str">
        <x:v>11311024</x:v>
      </x:c>
      <x:c r="F375" s="66" t="str">
        <x:v>PENDIDIKAN KIMIA</x:v>
      </x:c>
      <x:c r="G375" s="66" t="str">
        <x:v>Sarjana</x:v>
      </x:c>
      <x:c r="H375" s="87" t="n">
        <x:v>24</x:v>
      </x:c>
      <x:c r="I375" s="87" t="n">
        <x:v>222</x:v>
      </x:c>
      <x:c r="J375" s="68" t="n">
        <x:f>IFERROR(H375/I375,"")</x:f>
        <x:v>0.10810810810810811</x:v>
      </x:c>
      <x:c r="K375" s="69" t="n">
        <x:f>IFERROR(I375/H375,"")</x:f>
        <x:v>9.25</x:v>
      </x:c>
      <x:c r="L375" s="66" t="str">
        <x:f>IF(K375="","","1 : "&amp;TEXT(K375,"0.0"))</x:f>
        <x:v>1 : 9.3</x:v>
      </x:c>
      <x:c r="M375" s="66" t="str">
        <x:f>IF(J375="","Baru/Tanpa Data",IF(J375&lt;='Catatan &amp; Sumber'!$B$14,"Sangat Ketat",IF(J375&lt;='Catatan &amp; Sumber'!$B$15,"Ketat",IF(J375&lt;='Catatan &amp; Sumber'!$B$16,"Sedang","Relatif Longgar"))))</x:f>
        <x:v>Relatif Longgar</x:v>
      </x:c>
      <x:c r="N375" s="66" t="str">
        <x:v>Tidak Ada</x:v>
      </x:c>
      <x:c r="O375" s="66" t="str">
        <x:v>Riau</x:v>
      </x:c>
      <x:c r="P375" s="66" t="str">
        <x:v>Kota Pekanbaru</x:v>
      </x:c>
      <x:c r="Q375" s="66" t="str">
        <x:v>https://snpmb.id/snbp/daya-tampung-snbp</x:v>
      </x:c>
      <x:c r="R375" s="66" t="str">
        <x:v>https://sidatagrun-public-1076756628210.asia-southeast2.run.app/ptn_sn.php?ptn=131</x:v>
      </x:c>
    </x:row>
    <x:row r="376">
      <x:c r="A376" s="87" t="n">
        <x:v>243</x:v>
      </x:c>
      <x:c r="B376" s="87" t="n">
        <x:v>131</x:v>
      </x:c>
      <x:c r="C376" s="66" t="str">
        <x:v>UNIVERSITAS RIAU</x:v>
      </x:c>
      <x:c r="D376" s="66" t="str">
        <x:v>PTN Akademik</x:v>
      </x:c>
      <x:c r="E376" s="66" t="str">
        <x:v>11311025</x:v>
      </x:c>
      <x:c r="F376" s="66" t="str">
        <x:v>TEKNIK LINGKUNGAN</x:v>
      </x:c>
      <x:c r="G376" s="66" t="str">
        <x:v>Sarjana</x:v>
      </x:c>
      <x:c r="H376" s="87" t="n">
        <x:v>27</x:v>
      </x:c>
      <x:c r="I376" s="87" t="n">
        <x:v>690</x:v>
      </x:c>
      <x:c r="J376" s="68" t="n">
        <x:f>IFERROR(H376/I376,"")</x:f>
        <x:v>0.0391304347826087</x:v>
      </x:c>
      <x:c r="K376" s="69" t="n">
        <x:f>IFERROR(I376/H376,"")</x:f>
        <x:v>25.555555555555557</x:v>
      </x:c>
      <x:c r="L376" s="66" t="str">
        <x:f>IF(K376="","","1 : "&amp;TEXT(K376,"0.0"))</x:f>
        <x:v>1 : 25.6</x:v>
      </x:c>
      <x:c r="M376" s="66" t="str">
        <x:f>IF(J376="","Baru/Tanpa Data",IF(J376&lt;='Catatan &amp; Sumber'!$B$14,"Sangat Ketat",IF(J376&lt;='Catatan &amp; Sumber'!$B$15,"Ketat",IF(J376&lt;='Catatan &amp; Sumber'!$B$16,"Sedang","Relatif Longgar"))))</x:f>
        <x:v>Ketat</x:v>
      </x:c>
      <x:c r="N376" s="66" t="str">
        <x:v>Tidak Ada</x:v>
      </x:c>
      <x:c r="O376" s="66" t="str">
        <x:v>Riau</x:v>
      </x:c>
      <x:c r="P376" s="66" t="str">
        <x:v>Kota Pekanbaru</x:v>
      </x:c>
      <x:c r="Q376" s="66" t="str">
        <x:v>https://snpmb.id/snbp/daya-tampung-snbp</x:v>
      </x:c>
      <x:c r="R376" s="66" t="str">
        <x:v>https://sidatagrun-public-1076756628210.asia-southeast2.run.app/ptn_sn.php?ptn=131</x:v>
      </x:c>
    </x:row>
    <x:row r="377">
      <x:c r="A377" s="87" t="n">
        <x:v>1114</x:v>
      </x:c>
      <x:c r="B377" s="87" t="n">
        <x:v>131</x:v>
      </x:c>
      <x:c r="C377" s="66" t="str">
        <x:v>UNIVERSITAS RIAU</x:v>
      </x:c>
      <x:c r="D377" s="66" t="str">
        <x:v>PTN Akademik</x:v>
      </x:c>
      <x:c r="E377" s="66" t="str">
        <x:v>11311026</x:v>
      </x:c>
      <x:c r="F377" s="66" t="str">
        <x:v>ARSITEKTUR</x:v>
      </x:c>
      <x:c r="G377" s="66" t="str">
        <x:v>Sarjana</x:v>
      </x:c>
      <x:c r="H377" s="87" t="n">
        <x:v>28</x:v>
      </x:c>
      <x:c r="I377" s="87" t="n">
        <x:v>331</x:v>
      </x:c>
      <x:c r="J377" s="68" t="n">
        <x:f>IFERROR(H377/I377,"")</x:f>
        <x:v>0.08459214501510574</x:v>
      </x:c>
      <x:c r="K377" s="69" t="n">
        <x:f>IFERROR(I377/H377,"")</x:f>
        <x:v>11.821428571428571</x:v>
      </x:c>
      <x:c r="L377" s="66" t="str">
        <x:f>IF(K377="","","1 : "&amp;TEXT(K377,"0.0"))</x:f>
        <x:v>1 : 11.8</x:v>
      </x:c>
      <x:c r="M377" s="66" t="str">
        <x:f>IF(J377="","Baru/Tanpa Data",IF(J377&lt;='Catatan &amp; Sumber'!$B$14,"Sangat Ketat",IF(J377&lt;='Catatan &amp; Sumber'!$B$15,"Ketat",IF(J377&lt;='Catatan &amp; Sumber'!$B$16,"Sedang","Relatif Longgar"))))</x:f>
        <x:v>Sedang</x:v>
      </x:c>
      <x:c r="N377" s="66" t="str">
        <x:v>Tidak Ada</x:v>
      </x:c>
      <x:c r="O377" s="66" t="str">
        <x:v>Riau</x:v>
      </x:c>
      <x:c r="P377" s="66" t="str">
        <x:v>Kota Pekanbaru</x:v>
      </x:c>
      <x:c r="Q377" s="66" t="str">
        <x:v>https://snpmb.id/snbp/daya-tampung-snbp</x:v>
      </x:c>
      <x:c r="R377" s="66" t="str">
        <x:v>https://sidatagrun-public-1076756628210.asia-southeast2.run.app/ptn_sn.php?ptn=131</x:v>
      </x:c>
    </x:row>
    <x:row r="378">
      <x:c r="A378" s="87" t="n">
        <x:v>480</x:v>
      </x:c>
      <x:c r="B378" s="87" t="n">
        <x:v>131</x:v>
      </x:c>
      <x:c r="C378" s="66" t="str">
        <x:v>UNIVERSITAS RIAU</x:v>
      </x:c>
      <x:c r="D378" s="66" t="str">
        <x:v>PTN Akademik</x:v>
      </x:c>
      <x:c r="E378" s="66" t="str">
        <x:v>11311027</x:v>
      </x:c>
      <x:c r="F378" s="66" t="str">
        <x:v>SISTEM INFORMASI</x:v>
      </x:c>
      <x:c r="G378" s="66" t="str">
        <x:v>Sarjana</x:v>
      </x:c>
      <x:c r="H378" s="87" t="n">
        <x:v>48</x:v>
      </x:c>
      <x:c r="I378" s="87" t="n">
        <x:v>955</x:v>
      </x:c>
      <x:c r="J378" s="68" t="n">
        <x:f>IFERROR(H378/I378,"")</x:f>
        <x:v>0.050261780104712044</x:v>
      </x:c>
      <x:c r="K378" s="69" t="n">
        <x:f>IFERROR(I378/H378,"")</x:f>
        <x:v>19.895833333333332</x:v>
      </x:c>
      <x:c r="L378" s="66" t="str">
        <x:f>IF(K378="","","1 : "&amp;TEXT(K378,"0.0"))</x:f>
        <x:v>1 : 19.9</x:v>
      </x:c>
      <x:c r="M378" s="66" t="str">
        <x:f>IF(J378="","Baru/Tanpa Data",IF(J378&lt;='Catatan &amp; Sumber'!$B$14,"Sangat Ketat",IF(J378&lt;='Catatan &amp; Sumber'!$B$15,"Ketat",IF(J378&lt;='Catatan &amp; Sumber'!$B$16,"Sedang","Relatif Longgar"))))</x:f>
        <x:v>Sedang</x:v>
      </x:c>
      <x:c r="N378" s="66" t="str">
        <x:v>Tidak Ada</x:v>
      </x:c>
      <x:c r="O378" s="66" t="str">
        <x:v>Riau</x:v>
      </x:c>
      <x:c r="P378" s="66" t="str">
        <x:v>Kota Pekanbaru</x:v>
      </x:c>
      <x:c r="Q378" s="66" t="str">
        <x:v>https://snpmb.id/snbp/daya-tampung-snbp</x:v>
      </x:c>
      <x:c r="R378" s="66" t="str">
        <x:v>https://sidatagrun-public-1076756628210.asia-southeast2.run.app/ptn_sn.php?ptn=131</x:v>
      </x:c>
    </x:row>
    <x:row r="379">
      <x:c r="A379" s="87" t="n">
        <x:v>55</x:v>
      </x:c>
      <x:c r="B379" s="87" t="n">
        <x:v>131</x:v>
      </x:c>
      <x:c r="C379" s="66" t="str">
        <x:v>UNIVERSITAS RIAU</x:v>
      </x:c>
      <x:c r="D379" s="66" t="str">
        <x:v>PTN Akademik</x:v>
      </x:c>
      <x:c r="E379" s="66" t="str">
        <x:v>11311028</x:v>
      </x:c>
      <x:c r="F379" s="66" t="str">
        <x:v>TEKNIK INFORMATIKA</x:v>
      </x:c>
      <x:c r="G379" s="66" t="str">
        <x:v>Sarjana</x:v>
      </x:c>
      <x:c r="H379" s="87" t="n">
        <x:v>36</x:v>
      </x:c>
      <x:c r="I379" s="87" t="n">
        <x:v>1502</x:v>
      </x:c>
      <x:c r="J379" s="68" t="n">
        <x:f>IFERROR(H379/I379,"")</x:f>
        <x:v>0.023968042609853527</x:v>
      </x:c>
      <x:c r="K379" s="69" t="n">
        <x:f>IFERROR(I379/H379,"")</x:f>
        <x:v>41.72222222222222</x:v>
      </x:c>
      <x:c r="L379" s="66" t="str">
        <x:f>IF(K379="","","1 : "&amp;TEXT(K379,"0.0"))</x:f>
        <x:v>1 : 41.7</x:v>
      </x:c>
      <x:c r="M379" s="66" t="str">
        <x:f>IF(J379="","Baru/Tanpa Data",IF(J379&lt;='Catatan &amp; Sumber'!$B$14,"Sangat Ketat",IF(J379&lt;='Catatan &amp; Sumber'!$B$15,"Ketat",IF(J379&lt;='Catatan &amp; Sumber'!$B$16,"Sedang","Relatif Longgar"))))</x:f>
        <x:v>Ketat</x:v>
      </x:c>
      <x:c r="N379" s="66" t="str">
        <x:v>Tidak Ada</x:v>
      </x:c>
      <x:c r="O379" s="66" t="str">
        <x:v>Riau</x:v>
      </x:c>
      <x:c r="P379" s="66" t="str">
        <x:v>Kota Pekanbaru</x:v>
      </x:c>
      <x:c r="Q379" s="66" t="str">
        <x:v>https://snpmb.id/snbp/daya-tampung-snbp</x:v>
      </x:c>
      <x:c r="R379" s="66" t="str">
        <x:v>https://sidatagrun-public-1076756628210.asia-southeast2.run.app/ptn_sn.php?ptn=131</x:v>
      </x:c>
    </x:row>
    <x:row r="380">
      <x:c r="A380" s="87" t="n">
        <x:v>686</x:v>
      </x:c>
      <x:c r="B380" s="87" t="n">
        <x:v>131</x:v>
      </x:c>
      <x:c r="C380" s="66" t="str">
        <x:v>UNIVERSITAS RIAU</x:v>
      </x:c>
      <x:c r="D380" s="66" t="str">
        <x:v>PTN Akademik</x:v>
      </x:c>
      <x:c r="E380" s="66" t="str">
        <x:v>11311029</x:v>
      </x:c>
      <x:c r="F380" s="66" t="str">
        <x:v>TEKNOLOGI INDUSTRI PERTANIAN</x:v>
      </x:c>
      <x:c r="G380" s="66" t="str">
        <x:v>Sarjana</x:v>
      </x:c>
      <x:c r="H380" s="87" t="n">
        <x:v>24</x:v>
      </x:c>
      <x:c r="I380" s="87" t="n">
        <x:v>392</x:v>
      </x:c>
      <x:c r="J380" s="68" t="n">
        <x:f>IFERROR(H380/I380,"")</x:f>
        <x:v>0.061224489795918366</x:v>
      </x:c>
      <x:c r="K380" s="69" t="n">
        <x:f>IFERROR(I380/H380,"")</x:f>
        <x:v>16.333333333333332</x:v>
      </x:c>
      <x:c r="L380" s="66" t="str">
        <x:f>IF(K380="","","1 : "&amp;TEXT(K380,"0.0"))</x:f>
        <x:v>1 : 16.3</x:v>
      </x:c>
      <x:c r="M380" s="66" t="str">
        <x:f>IF(J380="","Baru/Tanpa Data",IF(J380&lt;='Catatan &amp; Sumber'!$B$14,"Sangat Ketat",IF(J380&lt;='Catatan &amp; Sumber'!$B$15,"Ketat",IF(J380&lt;='Catatan &amp; Sumber'!$B$16,"Sedang","Relatif Longgar"))))</x:f>
        <x:v>Sedang</x:v>
      </x:c>
      <x:c r="N380" s="66" t="str">
        <x:v>Tidak Ada</x:v>
      </x:c>
      <x:c r="O380" s="66" t="str">
        <x:v>Riau</x:v>
      </x:c>
      <x:c r="P380" s="66" t="str">
        <x:v>Kota Pekanbaru</x:v>
      </x:c>
      <x:c r="Q380" s="66" t="str">
        <x:v>https://snpmb.id/snbp/daya-tampung-snbp</x:v>
      </x:c>
      <x:c r="R380" s="66" t="str">
        <x:v>https://sidatagrun-public-1076756628210.asia-southeast2.run.app/ptn_sn.php?ptn=131</x:v>
      </x:c>
    </x:row>
    <x:row r="381">
      <x:c r="A381" s="87" t="n">
        <x:v>1465</x:v>
      </x:c>
      <x:c r="B381" s="87" t="n">
        <x:v>131</x:v>
      </x:c>
      <x:c r="C381" s="66" t="str">
        <x:v>UNIVERSITAS RIAU</x:v>
      </x:c>
      <x:c r="D381" s="66" t="str">
        <x:v>PTN Akademik</x:v>
      </x:c>
      <x:c r="E381" s="66" t="str">
        <x:v>11311030</x:v>
      </x:c>
      <x:c r="F381" s="66" t="str">
        <x:v>STATISTIKA</x:v>
      </x:c>
      <x:c r="G381" s="66" t="str">
        <x:v>Sarjana</x:v>
      </x:c>
      <x:c r="H381" s="87" t="n">
        <x:v>27</x:v>
      </x:c>
      <x:c r="I381" s="87" t="n">
        <x:v>253</x:v>
      </x:c>
      <x:c r="J381" s="68" t="n">
        <x:f>IFERROR(H381/I381,"")</x:f>
        <x:v>0.1067193675889328</x:v>
      </x:c>
      <x:c r="K381" s="69" t="n">
        <x:f>IFERROR(I381/H381,"")</x:f>
        <x:v>9.37037037037037</x:v>
      </x:c>
      <x:c r="L381" s="66" t="str">
        <x:f>IF(K381="","","1 : "&amp;TEXT(K381,"0.0"))</x:f>
        <x:v>1 : 9.4</x:v>
      </x:c>
      <x:c r="M381" s="66" t="str">
        <x:f>IF(J381="","Baru/Tanpa Data",IF(J381&lt;='Catatan &amp; Sumber'!$B$14,"Sangat Ketat",IF(J381&lt;='Catatan &amp; Sumber'!$B$15,"Ketat",IF(J381&lt;='Catatan &amp; Sumber'!$B$16,"Sedang","Relatif Longgar"))))</x:f>
        <x:v>Relatif Longgar</x:v>
      </x:c>
      <x:c r="N381" s="66" t="str">
        <x:v>Tidak Ada</x:v>
      </x:c>
      <x:c r="O381" s="66" t="str">
        <x:v>Riau</x:v>
      </x:c>
      <x:c r="P381" s="66" t="str">
        <x:v>Kota Pekanbaru</x:v>
      </x:c>
      <x:c r="Q381" s="66" t="str">
        <x:v>https://snpmb.id/snbp/daya-tampung-snbp</x:v>
      </x:c>
      <x:c r="R381" s="66" t="str">
        <x:v>https://sidatagrun-public-1076756628210.asia-southeast2.run.app/ptn_sn.php?ptn=131</x:v>
      </x:c>
    </x:row>
    <x:row r="382">
      <x:c r="A382" s="87" t="n">
        <x:v>1757</x:v>
      </x:c>
      <x:c r="B382" s="87" t="n">
        <x:v>131</x:v>
      </x:c>
      <x:c r="C382" s="66" t="str">
        <x:v>UNIVERSITAS RIAU</x:v>
      </x:c>
      <x:c r="D382" s="66" t="str">
        <x:v>PTN Akademik</x:v>
      </x:c>
      <x:c r="E382" s="66" t="str">
        <x:v>11311031</x:v>
      </x:c>
      <x:c r="F382" s="66" t="str">
        <x:v>HUBUNGAN INTERNASIONAL</x:v>
      </x:c>
      <x:c r="G382" s="66" t="str">
        <x:v>Sarjana</x:v>
      </x:c>
      <x:c r="H382" s="87" t="n">
        <x:v>57</x:v>
      </x:c>
      <x:c r="I382" s="87" t="n">
        <x:v>441</x:v>
      </x:c>
      <x:c r="J382" s="68" t="n">
        <x:f>IFERROR(H382/I382,"")</x:f>
        <x:v>0.1292517006802721</x:v>
      </x:c>
      <x:c r="K382" s="69" t="n">
        <x:f>IFERROR(I382/H382,"")</x:f>
        <x:v>7.7368421052631575</x:v>
      </x:c>
      <x:c r="L382" s="66" t="str">
        <x:f>IF(K382="","","1 : "&amp;TEXT(K382,"0.0"))</x:f>
        <x:v>1 : 7.7</x:v>
      </x:c>
      <x:c r="M382" s="66" t="str">
        <x:f>IF(J382="","Baru/Tanpa Data",IF(J382&lt;='Catatan &amp; Sumber'!$B$14,"Sangat Ketat",IF(J382&lt;='Catatan &amp; Sumber'!$B$15,"Ketat",IF(J382&lt;='Catatan &amp; Sumber'!$B$16,"Sedang","Relatif Longgar"))))</x:f>
        <x:v>Relatif Longgar</x:v>
      </x:c>
      <x:c r="N382" s="66" t="str">
        <x:v>Tidak Ada</x:v>
      </x:c>
      <x:c r="O382" s="66" t="str">
        <x:v>Riau</x:v>
      </x:c>
      <x:c r="P382" s="66" t="str">
        <x:v>Kota Pekanbaru</x:v>
      </x:c>
      <x:c r="Q382" s="66" t="str">
        <x:v>https://snpmb.id/snbp/daya-tampung-snbp</x:v>
      </x:c>
      <x:c r="R382" s="66" t="str">
        <x:v>https://sidatagrun-public-1076756628210.asia-southeast2.run.app/ptn_sn.php?ptn=131</x:v>
      </x:c>
    </x:row>
    <x:row r="383">
      <x:c r="A383" s="87" t="n">
        <x:v>1424</x:v>
      </x:c>
      <x:c r="B383" s="87" t="n">
        <x:v>131</x:v>
      </x:c>
      <x:c r="C383" s="66" t="str">
        <x:v>UNIVERSITAS RIAU</x:v>
      </x:c>
      <x:c r="D383" s="66" t="str">
        <x:v>PTN Akademik</x:v>
      </x:c>
      <x:c r="E383" s="66" t="str">
        <x:v>11311032</x:v>
      </x:c>
      <x:c r="F383" s="66" t="str">
        <x:v>ILMU PEMERINTAHAN</x:v>
      </x:c>
      <x:c r="G383" s="66" t="str">
        <x:v>Sarjana</x:v>
      </x:c>
      <x:c r="H383" s="87" t="n">
        <x:v>63</x:v>
      </x:c>
      <x:c r="I383" s="87" t="n">
        <x:v>607</x:v>
      </x:c>
      <x:c r="J383" s="68" t="n">
        <x:f>IFERROR(H383/I383,"")</x:f>
        <x:v>0.10378912685337727</x:v>
      </x:c>
      <x:c r="K383" s="69" t="n">
        <x:f>IFERROR(I383/H383,"")</x:f>
        <x:v>9.634920634920634</x:v>
      </x:c>
      <x:c r="L383" s="66" t="str">
        <x:f>IF(K383="","","1 : "&amp;TEXT(K383,"0.0"))</x:f>
        <x:v>1 : 9.6</x:v>
      </x:c>
      <x:c r="M383" s="66" t="str">
        <x:f>IF(J383="","Baru/Tanpa Data",IF(J383&lt;='Catatan &amp; Sumber'!$B$14,"Sangat Ketat",IF(J383&lt;='Catatan &amp; Sumber'!$B$15,"Ketat",IF(J383&lt;='Catatan &amp; Sumber'!$B$16,"Sedang","Relatif Longgar"))))</x:f>
        <x:v>Relatif Longgar</x:v>
      </x:c>
      <x:c r="N383" s="66" t="str">
        <x:v>Tidak Ada</x:v>
      </x:c>
      <x:c r="O383" s="66" t="str">
        <x:v>Riau</x:v>
      </x:c>
      <x:c r="P383" s="66" t="str">
        <x:v>Kota Pekanbaru</x:v>
      </x:c>
      <x:c r="Q383" s="66" t="str">
        <x:v>https://snpmb.id/snbp/daya-tampung-snbp</x:v>
      </x:c>
      <x:c r="R383" s="66" t="str">
        <x:v>https://sidatagrun-public-1076756628210.asia-southeast2.run.app/ptn_sn.php?ptn=131</x:v>
      </x:c>
    </x:row>
    <x:row r="384">
      <x:c r="A384" s="87" t="n">
        <x:v>707</x:v>
      </x:c>
      <x:c r="B384" s="87" t="n">
        <x:v>131</x:v>
      </x:c>
      <x:c r="C384" s="66" t="str">
        <x:v>UNIVERSITAS RIAU</x:v>
      </x:c>
      <x:c r="D384" s="66" t="str">
        <x:v>PTN Akademik</x:v>
      </x:c>
      <x:c r="E384" s="66" t="str">
        <x:v>11311033</x:v>
      </x:c>
      <x:c r="F384" s="66" t="str">
        <x:v>ILMU ADMINISTRASI PUBLIK</x:v>
      </x:c>
      <x:c r="G384" s="66" t="str">
        <x:v>Sarjana</x:v>
      </x:c>
      <x:c r="H384" s="87" t="n">
        <x:v>49</x:v>
      </x:c>
      <x:c r="I384" s="87" t="n">
        <x:v>789</x:v>
      </x:c>
      <x:c r="J384" s="68" t="n">
        <x:f>IFERROR(H384/I384,"")</x:f>
        <x:v>0.062103929024081114</x:v>
      </x:c>
      <x:c r="K384" s="69" t="n">
        <x:f>IFERROR(I384/H384,"")</x:f>
        <x:v>16.102040816326532</x:v>
      </x:c>
      <x:c r="L384" s="66" t="str">
        <x:f>IF(K384="","","1 : "&amp;TEXT(K384,"0.0"))</x:f>
        <x:v>1 : 16.1</x:v>
      </x:c>
      <x:c r="M384" s="66" t="str">
        <x:f>IF(J384="","Baru/Tanpa Data",IF(J384&lt;='Catatan &amp; Sumber'!$B$14,"Sangat Ketat",IF(J384&lt;='Catatan &amp; Sumber'!$B$15,"Ketat",IF(J384&lt;='Catatan &amp; Sumber'!$B$16,"Sedang","Relatif Longgar"))))</x:f>
        <x:v>Sedang</x:v>
      </x:c>
      <x:c r="N384" s="66" t="str">
        <x:v>Tidak Ada</x:v>
      </x:c>
      <x:c r="O384" s="66" t="str">
        <x:v>Riau</x:v>
      </x:c>
      <x:c r="P384" s="66" t="str">
        <x:v>Kota Pekanbaru</x:v>
      </x:c>
      <x:c r="Q384" s="66" t="str">
        <x:v>https://snpmb.id/snbp/daya-tampung-snbp</x:v>
      </x:c>
      <x:c r="R384" s="66" t="str">
        <x:v>https://sidatagrun-public-1076756628210.asia-southeast2.run.app/ptn_sn.php?ptn=131</x:v>
      </x:c>
    </x:row>
    <x:row r="385">
      <x:c r="A385" s="87" t="n">
        <x:v>231</x:v>
      </x:c>
      <x:c r="B385" s="87" t="n">
        <x:v>131</x:v>
      </x:c>
      <x:c r="C385" s="66" t="str">
        <x:v>UNIVERSITAS RIAU</x:v>
      </x:c>
      <x:c r="D385" s="66" t="str">
        <x:v>PTN Akademik</x:v>
      </x:c>
      <x:c r="E385" s="66" t="str">
        <x:v>11311034</x:v>
      </x:c>
      <x:c r="F385" s="66" t="str">
        <x:v>ILMU ADMINISTRASI BISNIS</x:v>
      </x:c>
      <x:c r="G385" s="66" t="str">
        <x:v>Sarjana</x:v>
      </x:c>
      <x:c r="H385" s="87" t="n">
        <x:v>52</x:v>
      </x:c>
      <x:c r="I385" s="87" t="n">
        <x:v>1357</x:v>
      </x:c>
      <x:c r="J385" s="68" t="n">
        <x:f>IFERROR(H385/I385,"")</x:f>
        <x:v>0.03831982313927782</x:v>
      </x:c>
      <x:c r="K385" s="69" t="n">
        <x:f>IFERROR(I385/H385,"")</x:f>
        <x:v>26.096153846153847</x:v>
      </x:c>
      <x:c r="L385" s="66" t="str">
        <x:f>IF(K385="","","1 : "&amp;TEXT(K385,"0.0"))</x:f>
        <x:v>1 : 26.1</x:v>
      </x:c>
      <x:c r="M385" s="66" t="str">
        <x:f>IF(J385="","Baru/Tanpa Data",IF(J385&lt;='Catatan &amp; Sumber'!$B$14,"Sangat Ketat",IF(J385&lt;='Catatan &amp; Sumber'!$B$15,"Ketat",IF(J385&lt;='Catatan &amp; Sumber'!$B$16,"Sedang","Relatif Longgar"))))</x:f>
        <x:v>Ketat</x:v>
      </x:c>
      <x:c r="N385" s="66" t="str">
        <x:v>Tidak Ada</x:v>
      </x:c>
      <x:c r="O385" s="66" t="str">
        <x:v>Riau</x:v>
      </x:c>
      <x:c r="P385" s="66" t="str">
        <x:v>Kota Pekanbaru</x:v>
      </x:c>
      <x:c r="Q385" s="66" t="str">
        <x:v>https://snpmb.id/snbp/daya-tampung-snbp</x:v>
      </x:c>
      <x:c r="R385" s="66" t="str">
        <x:v>https://sidatagrun-public-1076756628210.asia-southeast2.run.app/ptn_sn.php?ptn=131</x:v>
      </x:c>
    </x:row>
    <x:row r="386">
      <x:c r="A386" s="87" t="n">
        <x:v>1739</x:v>
      </x:c>
      <x:c r="B386" s="87" t="n">
        <x:v>131</x:v>
      </x:c>
      <x:c r="C386" s="66" t="str">
        <x:v>UNIVERSITAS RIAU</x:v>
      </x:c>
      <x:c r="D386" s="66" t="str">
        <x:v>PTN Akademik</x:v>
      </x:c>
      <x:c r="E386" s="66" t="str">
        <x:v>11311035</x:v>
      </x:c>
      <x:c r="F386" s="66" t="str">
        <x:v>SOSIOLOGI</x:v>
      </x:c>
      <x:c r="G386" s="66" t="str">
        <x:v>Sarjana</x:v>
      </x:c>
      <x:c r="H386" s="87" t="n">
        <x:v>57</x:v>
      </x:c>
      <x:c r="I386" s="87" t="n">
        <x:v>448</x:v>
      </x:c>
      <x:c r="J386" s="68" t="n">
        <x:f>IFERROR(H386/I386,"")</x:f>
        <x:v>0.12723214285714285</x:v>
      </x:c>
      <x:c r="K386" s="69" t="n">
        <x:f>IFERROR(I386/H386,"")</x:f>
        <x:v>7.859649122807017</x:v>
      </x:c>
      <x:c r="L386" s="66" t="str">
        <x:f>IF(K386="","","1 : "&amp;TEXT(K386,"0.0"))</x:f>
        <x:v>1 : 7.9</x:v>
      </x:c>
      <x:c r="M386" s="66" t="str">
        <x:f>IF(J386="","Baru/Tanpa Data",IF(J386&lt;='Catatan &amp; Sumber'!$B$14,"Sangat Ketat",IF(J386&lt;='Catatan &amp; Sumber'!$B$15,"Ketat",IF(J386&lt;='Catatan &amp; Sumber'!$B$16,"Sedang","Relatif Longgar"))))</x:f>
        <x:v>Relatif Longgar</x:v>
      </x:c>
      <x:c r="N386" s="66" t="str">
        <x:v>Tidak Ada</x:v>
      </x:c>
      <x:c r="O386" s="66" t="str">
        <x:v>Riau</x:v>
      </x:c>
      <x:c r="P386" s="66" t="str">
        <x:v>Kota Pekanbaru</x:v>
      </x:c>
      <x:c r="Q386" s="66" t="str">
        <x:v>https://snpmb.id/snbp/daya-tampung-snbp</x:v>
      </x:c>
      <x:c r="R386" s="66" t="str">
        <x:v>https://sidatagrun-public-1076756628210.asia-southeast2.run.app/ptn_sn.php?ptn=131</x:v>
      </x:c>
    </x:row>
    <x:row r="387">
      <x:c r="A387" s="87" t="n">
        <x:v>533</x:v>
      </x:c>
      <x:c r="B387" s="87" t="n">
        <x:v>131</x:v>
      </x:c>
      <x:c r="C387" s="66" t="str">
        <x:v>UNIVERSITAS RIAU</x:v>
      </x:c>
      <x:c r="D387" s="66" t="str">
        <x:v>PTN Akademik</x:v>
      </x:c>
      <x:c r="E387" s="66" t="str">
        <x:v>11311036</x:v>
      </x:c>
      <x:c r="F387" s="66" t="str">
        <x:v>ILMU KOMUNIKASI</x:v>
      </x:c>
      <x:c r="G387" s="66" t="str">
        <x:v>Sarjana</x:v>
      </x:c>
      <x:c r="H387" s="87" t="n">
        <x:v>63</x:v>
      </x:c>
      <x:c r="I387" s="87" t="n">
        <x:v>1181</x:v>
      </x:c>
      <x:c r="J387" s="68" t="n">
        <x:f>IFERROR(H387/I387,"")</x:f>
        <x:v>0.05334462320067739</x:v>
      </x:c>
      <x:c r="K387" s="69" t="n">
        <x:f>IFERROR(I387/H387,"")</x:f>
        <x:v>18.746031746031747</x:v>
      </x:c>
      <x:c r="L387" s="66" t="str">
        <x:f>IF(K387="","","1 : "&amp;TEXT(K387,"0.0"))</x:f>
        <x:v>1 : 18.7</x:v>
      </x:c>
      <x:c r="M387" s="66" t="str">
        <x:f>IF(J387="","Baru/Tanpa Data",IF(J387&lt;='Catatan &amp; Sumber'!$B$14,"Sangat Ketat",IF(J387&lt;='Catatan &amp; Sumber'!$B$15,"Ketat",IF(J387&lt;='Catatan &amp; Sumber'!$B$16,"Sedang","Relatif Longgar"))))</x:f>
        <x:v>Sedang</x:v>
      </x:c>
      <x:c r="N387" s="66" t="str">
        <x:v>Tidak Ada</x:v>
      </x:c>
      <x:c r="O387" s="66" t="str">
        <x:v>Riau</x:v>
      </x:c>
      <x:c r="P387" s="66" t="str">
        <x:v>Kota Pekanbaru</x:v>
      </x:c>
      <x:c r="Q387" s="66" t="str">
        <x:v>https://snpmb.id/snbp/daya-tampung-snbp</x:v>
      </x:c>
      <x:c r="R387" s="66" t="str">
        <x:v>https://sidatagrun-public-1076756628210.asia-southeast2.run.app/ptn_sn.php?ptn=131</x:v>
      </x:c>
    </x:row>
    <x:row r="388">
      <x:c r="A388" s="87" t="n">
        <x:v>1702</x:v>
      </x:c>
      <x:c r="B388" s="87" t="n">
        <x:v>131</x:v>
      </x:c>
      <x:c r="C388" s="66" t="str">
        <x:v>UNIVERSITAS RIAU</x:v>
      </x:c>
      <x:c r="D388" s="66" t="str">
        <x:v>PTN Akademik</x:v>
      </x:c>
      <x:c r="E388" s="66" t="str">
        <x:v>11311038</x:v>
      </x:c>
      <x:c r="F388" s="66" t="str">
        <x:v>EKONOMI PEMBANGUNAN</x:v>
      </x:c>
      <x:c r="G388" s="66" t="str">
        <x:v>Sarjana</x:v>
      </x:c>
      <x:c r="H388" s="87" t="n">
        <x:v>48</x:v>
      </x:c>
      <x:c r="I388" s="87" t="n">
        <x:v>386</x:v>
      </x:c>
      <x:c r="J388" s="68" t="n">
        <x:f>IFERROR(H388/I388,"")</x:f>
        <x:v>0.12435233160621761</x:v>
      </x:c>
      <x:c r="K388" s="69" t="n">
        <x:f>IFERROR(I388/H388,"")</x:f>
        <x:v>8.041666666666666</x:v>
      </x:c>
      <x:c r="L388" s="66" t="str">
        <x:f>IF(K388="","","1 : "&amp;TEXT(K388,"0.0"))</x:f>
        <x:v>1 : 8.0</x:v>
      </x:c>
      <x:c r="M388" s="66" t="str">
        <x:f>IF(J388="","Baru/Tanpa Data",IF(J388&lt;='Catatan &amp; Sumber'!$B$14,"Sangat Ketat",IF(J388&lt;='Catatan &amp; Sumber'!$B$15,"Ketat",IF(J388&lt;='Catatan &amp; Sumber'!$B$16,"Sedang","Relatif Longgar"))))</x:f>
        <x:v>Relatif Longgar</x:v>
      </x:c>
      <x:c r="N388" s="66" t="str">
        <x:v>Tidak Ada</x:v>
      </x:c>
      <x:c r="O388" s="66" t="str">
        <x:v>Riau</x:v>
      </x:c>
      <x:c r="P388" s="66" t="str">
        <x:v>Kota Pekanbaru</x:v>
      </x:c>
      <x:c r="Q388" s="66" t="str">
        <x:v>https://snpmb.id/snbp/daya-tampung-snbp</x:v>
      </x:c>
      <x:c r="R388" s="66" t="str">
        <x:v>https://sidatagrun-public-1076756628210.asia-southeast2.run.app/ptn_sn.php?ptn=131</x:v>
      </x:c>
    </x:row>
    <x:row r="389">
      <x:c r="A389" s="87" t="n">
        <x:v>658</x:v>
      </x:c>
      <x:c r="B389" s="87" t="n">
        <x:v>131</x:v>
      </x:c>
      <x:c r="C389" s="66" t="str">
        <x:v>UNIVERSITAS RIAU</x:v>
      </x:c>
      <x:c r="D389" s="66" t="str">
        <x:v>PTN Akademik</x:v>
      </x:c>
      <x:c r="E389" s="66" t="str">
        <x:v>11311039</x:v>
      </x:c>
      <x:c r="F389" s="66" t="str">
        <x:v>MANAJEMEN</x:v>
      </x:c>
      <x:c r="G389" s="66" t="str">
        <x:v>Sarjana</x:v>
      </x:c>
      <x:c r="H389" s="87" t="n">
        <x:v>108</x:v>
      </x:c>
      <x:c r="I389" s="87" t="n">
        <x:v>1811</x:v>
      </x:c>
      <x:c r="J389" s="68" t="n">
        <x:f>IFERROR(H389/I389,"")</x:f>
        <x:v>0.05963556046383214</x:v>
      </x:c>
      <x:c r="K389" s="69" t="n">
        <x:f>IFERROR(I389/H389,"")</x:f>
        <x:v>16.76851851851852</x:v>
      </x:c>
      <x:c r="L389" s="66" t="str">
        <x:f>IF(K389="","","1 : "&amp;TEXT(K389,"0.0"))</x:f>
        <x:v>1 : 16.8</x:v>
      </x:c>
      <x:c r="M389" s="66" t="str">
        <x:f>IF(J389="","Baru/Tanpa Data",IF(J389&lt;='Catatan &amp; Sumber'!$B$14,"Sangat Ketat",IF(J389&lt;='Catatan &amp; Sumber'!$B$15,"Ketat",IF(J389&lt;='Catatan &amp; Sumber'!$B$16,"Sedang","Relatif Longgar"))))</x:f>
        <x:v>Sedang</x:v>
      </x:c>
      <x:c r="N389" s="66" t="str">
        <x:v>Tidak Ada</x:v>
      </x:c>
      <x:c r="O389" s="66" t="str">
        <x:v>Riau</x:v>
      </x:c>
      <x:c r="P389" s="66" t="str">
        <x:v>Kota Pekanbaru</x:v>
      </x:c>
      <x:c r="Q389" s="66" t="str">
        <x:v>https://snpmb.id/snbp/daya-tampung-snbp</x:v>
      </x:c>
      <x:c r="R389" s="66" t="str">
        <x:v>https://sidatagrun-public-1076756628210.asia-southeast2.run.app/ptn_sn.php?ptn=131</x:v>
      </x:c>
    </x:row>
    <x:row r="390">
      <x:c r="A390" s="87" t="n">
        <x:v>726</x:v>
      </x:c>
      <x:c r="B390" s="87" t="n">
        <x:v>131</x:v>
      </x:c>
      <x:c r="C390" s="66" t="str">
        <x:v>UNIVERSITAS RIAU</x:v>
      </x:c>
      <x:c r="D390" s="66" t="str">
        <x:v>PTN Akademik</x:v>
      </x:c>
      <x:c r="E390" s="66" t="str">
        <x:v>11311040</x:v>
      </x:c>
      <x:c r="F390" s="66" t="str">
        <x:v>AKUNTANSI</x:v>
      </x:c>
      <x:c r="G390" s="66" t="str">
        <x:v>Sarjana</x:v>
      </x:c>
      <x:c r="H390" s="87" t="n">
        <x:v>93</x:v>
      </x:c>
      <x:c r="I390" s="87" t="n">
        <x:v>1463</x:v>
      </x:c>
      <x:c r="J390" s="68" t="n">
        <x:f>IFERROR(H390/I390,"")</x:f>
        <x:v>0.063568010936432</x:v>
      </x:c>
      <x:c r="K390" s="69" t="n">
        <x:f>IFERROR(I390/H390,"")</x:f>
        <x:v>15.731182795698924</x:v>
      </x:c>
      <x:c r="L390" s="66" t="str">
        <x:f>IF(K390="","","1 : "&amp;TEXT(K390,"0.0"))</x:f>
        <x:v>1 : 15.7</x:v>
      </x:c>
      <x:c r="M390" s="66" t="str">
        <x:f>IF(J390="","Baru/Tanpa Data",IF(J390&lt;='Catatan &amp; Sumber'!$B$14,"Sangat Ketat",IF(J390&lt;='Catatan &amp; Sumber'!$B$15,"Ketat",IF(J390&lt;='Catatan &amp; Sumber'!$B$16,"Sedang","Relatif Longgar"))))</x:f>
        <x:v>Sedang</x:v>
      </x:c>
      <x:c r="N390" s="66" t="str">
        <x:v>Tidak Ada</x:v>
      </x:c>
      <x:c r="O390" s="66" t="str">
        <x:v>Riau</x:v>
      </x:c>
      <x:c r="P390" s="66" t="str">
        <x:v>Kota Pekanbaru</x:v>
      </x:c>
      <x:c r="Q390" s="66" t="str">
        <x:v>https://snpmb.id/snbp/daya-tampung-snbp</x:v>
      </x:c>
      <x:c r="R390" s="66" t="str">
        <x:v>https://sidatagrun-public-1076756628210.asia-southeast2.run.app/ptn_sn.php?ptn=131</x:v>
      </x:c>
    </x:row>
    <x:row r="391">
      <x:c r="A391" s="87" t="n">
        <x:v>1468</x:v>
      </x:c>
      <x:c r="B391" s="87" t="n">
        <x:v>131</x:v>
      </x:c>
      <x:c r="C391" s="66" t="str">
        <x:v>UNIVERSITAS RIAU</x:v>
      </x:c>
      <x:c r="D391" s="66" t="str">
        <x:v>PTN Akademik</x:v>
      </x:c>
      <x:c r="E391" s="66" t="str">
        <x:v>11311041</x:v>
      </x:c>
      <x:c r="F391" s="66" t="str">
        <x:v>ILMU HUKUM</x:v>
      </x:c>
      <x:c r="G391" s="66" t="str">
        <x:v>Sarjana</x:v>
      </x:c>
      <x:c r="H391" s="87" t="n">
        <x:v>124</x:v>
      </x:c>
      <x:c r="I391" s="87" t="n">
        <x:v>1156</x:v>
      </x:c>
      <x:c r="J391" s="68" t="n">
        <x:f>IFERROR(H391/I391,"")</x:f>
        <x:v>0.10726643598615918</x:v>
      </x:c>
      <x:c r="K391" s="69" t="n">
        <x:f>IFERROR(I391/H391,"")</x:f>
        <x:v>9.32258064516129</x:v>
      </x:c>
      <x:c r="L391" s="66" t="str">
        <x:f>IF(K391="","","1 : "&amp;TEXT(K391,"0.0"))</x:f>
        <x:v>1 : 9.3</x:v>
      </x:c>
      <x:c r="M391" s="66" t="str">
        <x:f>IF(J391="","Baru/Tanpa Data",IF(J391&lt;='Catatan &amp; Sumber'!$B$14,"Sangat Ketat",IF(J391&lt;='Catatan &amp; Sumber'!$B$15,"Ketat",IF(J391&lt;='Catatan &amp; Sumber'!$B$16,"Sedang","Relatif Longgar"))))</x:f>
        <x:v>Relatif Longgar</x:v>
      </x:c>
      <x:c r="N391" s="66" t="str">
        <x:v>Tidak Ada</x:v>
      </x:c>
      <x:c r="O391" s="66" t="str">
        <x:v>Riau</x:v>
      </x:c>
      <x:c r="P391" s="66" t="str">
        <x:v>Kota Pekanbaru</x:v>
      </x:c>
      <x:c r="Q391" s="66" t="str">
        <x:v>https://snpmb.id/snbp/daya-tampung-snbp</x:v>
      </x:c>
      <x:c r="R391" s="66" t="str">
        <x:v>https://sidatagrun-public-1076756628210.asia-southeast2.run.app/ptn_sn.php?ptn=131</x:v>
      </x:c>
    </x:row>
    <x:row r="392">
      <x:c r="A392" s="87" t="n">
        <x:v>1235</x:v>
      </x:c>
      <x:c r="B392" s="87" t="n">
        <x:v>131</x:v>
      </x:c>
      <x:c r="C392" s="66" t="str">
        <x:v>UNIVERSITAS RIAU</x:v>
      </x:c>
      <x:c r="D392" s="66" t="str">
        <x:v>PTN Akademik</x:v>
      </x:c>
      <x:c r="E392" s="66" t="str">
        <x:v>11311042</x:v>
      </x:c>
      <x:c r="F392" s="66" t="str">
        <x:v>PENDIDIKAN EKONOMI</x:v>
      </x:c>
      <x:c r="G392" s="66" t="str">
        <x:v>Sarjana</x:v>
      </x:c>
      <x:c r="H392" s="87" t="n">
        <x:v>36</x:v>
      </x:c>
      <x:c r="I392" s="87" t="n">
        <x:v>391</x:v>
      </x:c>
      <x:c r="J392" s="68" t="n">
        <x:f>IFERROR(H392/I392,"")</x:f>
        <x:v>0.09207161125319693</x:v>
      </x:c>
      <x:c r="K392" s="69" t="n">
        <x:f>IFERROR(I392/H392,"")</x:f>
        <x:v>10.86111111111111</x:v>
      </x:c>
      <x:c r="L392" s="66" t="str">
        <x:f>IF(K392="","","1 : "&amp;TEXT(K392,"0.0"))</x:f>
        <x:v>1 : 10.9</x:v>
      </x:c>
      <x:c r="M392" s="66" t="str">
        <x:f>IF(J392="","Baru/Tanpa Data",IF(J392&lt;='Catatan &amp; Sumber'!$B$14,"Sangat Ketat",IF(J392&lt;='Catatan &amp; Sumber'!$B$15,"Ketat",IF(J392&lt;='Catatan &amp; Sumber'!$B$16,"Sedang","Relatif Longgar"))))</x:f>
        <x:v>Sedang</x:v>
      </x:c>
      <x:c r="N392" s="66" t="str">
        <x:v>Tidak Ada</x:v>
      </x:c>
      <x:c r="O392" s="66" t="str">
        <x:v>Riau</x:v>
      </x:c>
      <x:c r="P392" s="66" t="str">
        <x:v>Kota Pekanbaru</x:v>
      </x:c>
      <x:c r="Q392" s="66" t="str">
        <x:v>https://snpmb.id/snbp/daya-tampung-snbp</x:v>
      </x:c>
      <x:c r="R392" s="66" t="str">
        <x:v>https://sidatagrun-public-1076756628210.asia-southeast2.run.app/ptn_sn.php?ptn=131</x:v>
      </x:c>
    </x:row>
    <x:row r="393">
      <x:c r="A393" s="87" t="n">
        <x:v>370</x:v>
      </x:c>
      <x:c r="B393" s="87" t="n">
        <x:v>131</x:v>
      </x:c>
      <x:c r="C393" s="66" t="str">
        <x:v>UNIVERSITAS RIAU</x:v>
      </x:c>
      <x:c r="D393" s="66" t="str">
        <x:v>PTN Akademik</x:v>
      </x:c>
      <x:c r="E393" s="66" t="str">
        <x:v>11311043</x:v>
      </x:c>
      <x:c r="F393" s="66" t="str">
        <x:v>PENDIDIKAN PANCASILA DAN KEWARGANEGARAAN</x:v>
      </x:c>
      <x:c r="G393" s="66" t="str">
        <x:v>Sarjana</x:v>
      </x:c>
      <x:c r="H393" s="87" t="n">
        <x:v>24</x:v>
      </x:c>
      <x:c r="I393" s="87" t="n">
        <x:v>530</x:v>
      </x:c>
      <x:c r="J393" s="68" t="n">
        <x:f>IFERROR(H393/I393,"")</x:f>
        <x:v>0.045283018867924525</x:v>
      </x:c>
      <x:c r="K393" s="69" t="n">
        <x:f>IFERROR(I393/H393,"")</x:f>
        <x:v>22.083333333333332</x:v>
      </x:c>
      <x:c r="L393" s="66" t="str">
        <x:f>IF(K393="","","1 : "&amp;TEXT(K393,"0.0"))</x:f>
        <x:v>1 : 22.1</x:v>
      </x:c>
      <x:c r="M393" s="66" t="str">
        <x:f>IF(J393="","Baru/Tanpa Data",IF(J393&lt;='Catatan &amp; Sumber'!$B$14,"Sangat Ketat",IF(J393&lt;='Catatan &amp; Sumber'!$B$15,"Ketat",IF(J393&lt;='Catatan &amp; Sumber'!$B$16,"Sedang","Relatif Longgar"))))</x:f>
        <x:v>Ketat</x:v>
      </x:c>
      <x:c r="N393" s="66" t="str">
        <x:v>Tidak Ada</x:v>
      </x:c>
      <x:c r="O393" s="66" t="str">
        <x:v>Riau</x:v>
      </x:c>
      <x:c r="P393" s="66" t="str">
        <x:v>Kota Pekanbaru</x:v>
      </x:c>
      <x:c r="Q393" s="66" t="str">
        <x:v>https://snpmb.id/snbp/daya-tampung-snbp</x:v>
      </x:c>
      <x:c r="R393" s="66" t="str">
        <x:v>https://sidatagrun-public-1076756628210.asia-southeast2.run.app/ptn_sn.php?ptn=131</x:v>
      </x:c>
    </x:row>
    <x:row r="394">
      <x:c r="A394" s="87" t="n">
        <x:v>609</x:v>
      </x:c>
      <x:c r="B394" s="87" t="n">
        <x:v>131</x:v>
      </x:c>
      <x:c r="C394" s="66" t="str">
        <x:v>UNIVERSITAS RIAU</x:v>
      </x:c>
      <x:c r="D394" s="66" t="str">
        <x:v>PTN Akademik</x:v>
      </x:c>
      <x:c r="E394" s="66" t="str">
        <x:v>11311044</x:v>
      </x:c>
      <x:c r="F394" s="66" t="str">
        <x:v>PENDIDIKAN SEJARAH</x:v>
      </x:c>
      <x:c r="G394" s="66" t="str">
        <x:v>Sarjana</x:v>
      </x:c>
      <x:c r="H394" s="87" t="n">
        <x:v>24</x:v>
      </x:c>
      <x:c r="I394" s="87" t="n">
        <x:v>414</x:v>
      </x:c>
      <x:c r="J394" s="68" t="n">
        <x:f>IFERROR(H394/I394,"")</x:f>
        <x:v>0.057971014492753624</x:v>
      </x:c>
      <x:c r="K394" s="69" t="n">
        <x:f>IFERROR(I394/H394,"")</x:f>
        <x:v>17.25</x:v>
      </x:c>
      <x:c r="L394" s="66" t="str">
        <x:f>IF(K394="","","1 : "&amp;TEXT(K394,"0.0"))</x:f>
        <x:v>1 : 17.3</x:v>
      </x:c>
      <x:c r="M394" s="66" t="str">
        <x:f>IF(J394="","Baru/Tanpa Data",IF(J394&lt;='Catatan &amp; Sumber'!$B$14,"Sangat Ketat",IF(J394&lt;='Catatan &amp; Sumber'!$B$15,"Ketat",IF(J394&lt;='Catatan &amp; Sumber'!$B$16,"Sedang","Relatif Longgar"))))</x:f>
        <x:v>Sedang</x:v>
      </x:c>
      <x:c r="N394" s="66" t="str">
        <x:v>Tidak Ada</x:v>
      </x:c>
      <x:c r="O394" s="66" t="str">
        <x:v>Riau</x:v>
      </x:c>
      <x:c r="P394" s="66" t="str">
        <x:v>Kota Pekanbaru</x:v>
      </x:c>
      <x:c r="Q394" s="66" t="str">
        <x:v>https://snpmb.id/snbp/daya-tampung-snbp</x:v>
      </x:c>
      <x:c r="R394" s="66" t="str">
        <x:v>https://sidatagrun-public-1076756628210.asia-southeast2.run.app/ptn_sn.php?ptn=131</x:v>
      </x:c>
    </x:row>
    <x:row r="395">
      <x:c r="A395" s="87" t="n">
        <x:v>306</x:v>
      </x:c>
      <x:c r="B395" s="87" t="n">
        <x:v>131</x:v>
      </x:c>
      <x:c r="C395" s="66" t="str">
        <x:v>UNIVERSITAS RIAU</x:v>
      </x:c>
      <x:c r="D395" s="66" t="str">
        <x:v>PTN Akademik</x:v>
      </x:c>
      <x:c r="E395" s="66" t="str">
        <x:v>11311045</x:v>
      </x:c>
      <x:c r="F395" s="66" t="str">
        <x:v>PENDIDIKAN BAHASA DAN SASTRA INDONESIA</x:v>
      </x:c>
      <x:c r="G395" s="66" t="str">
        <x:v>Sarjana</x:v>
      </x:c>
      <x:c r="H395" s="87" t="n">
        <x:v>36</x:v>
      </x:c>
      <x:c r="I395" s="87" t="n">
        <x:v>844</x:v>
      </x:c>
      <x:c r="J395" s="68" t="n">
        <x:f>IFERROR(H395/I395,"")</x:f>
        <x:v>0.04265402843601896</x:v>
      </x:c>
      <x:c r="K395" s="69" t="n">
        <x:f>IFERROR(I395/H395,"")</x:f>
        <x:v>23.444444444444443</x:v>
      </x:c>
      <x:c r="L395" s="66" t="str">
        <x:f>IF(K395="","","1 : "&amp;TEXT(K395,"0.0"))</x:f>
        <x:v>1 : 23.4</x:v>
      </x:c>
      <x:c r="M395" s="66" t="str">
        <x:f>IF(J395="","Baru/Tanpa Data",IF(J395&lt;='Catatan &amp; Sumber'!$B$14,"Sangat Ketat",IF(J395&lt;='Catatan &amp; Sumber'!$B$15,"Ketat",IF(J395&lt;='Catatan &amp; Sumber'!$B$16,"Sedang","Relatif Longgar"))))</x:f>
        <x:v>Ketat</x:v>
      </x:c>
      <x:c r="N395" s="66" t="str">
        <x:v>Tidak Ada</x:v>
      </x:c>
      <x:c r="O395" s="66" t="str">
        <x:v>Riau</x:v>
      </x:c>
      <x:c r="P395" s="66" t="str">
        <x:v>Kota Pekanbaru</x:v>
      </x:c>
      <x:c r="Q395" s="66" t="str">
        <x:v>https://snpmb.id/snbp/daya-tampung-snbp</x:v>
      </x:c>
      <x:c r="R395" s="66" t="str">
        <x:v>https://sidatagrun-public-1076756628210.asia-southeast2.run.app/ptn_sn.php?ptn=131</x:v>
      </x:c>
    </x:row>
    <x:row r="396">
      <x:c r="A396" s="87" t="n">
        <x:v>572</x:v>
      </x:c>
      <x:c r="B396" s="87" t="n">
        <x:v>131</x:v>
      </x:c>
      <x:c r="C396" s="66" t="str">
        <x:v>UNIVERSITAS RIAU</x:v>
      </x:c>
      <x:c r="D396" s="66" t="str">
        <x:v>PTN Akademik</x:v>
      </x:c>
      <x:c r="E396" s="66" t="str">
        <x:v>11311046</x:v>
      </x:c>
      <x:c r="F396" s="66" t="str">
        <x:v>PENDIDIKAN BAHASA INGGRIS</x:v>
      </x:c>
      <x:c r="G396" s="66" t="str">
        <x:v>Sarjana</x:v>
      </x:c>
      <x:c r="H396" s="87" t="n">
        <x:v>36</x:v>
      </x:c>
      <x:c r="I396" s="87" t="n">
        <x:v>651</x:v>
      </x:c>
      <x:c r="J396" s="68" t="n">
        <x:f>IFERROR(H396/I396,"")</x:f>
        <x:v>0.055299539170506916</x:v>
      </x:c>
      <x:c r="K396" s="69" t="n">
        <x:f>IFERROR(I396/H396,"")</x:f>
        <x:v>18.083333333333332</x:v>
      </x:c>
      <x:c r="L396" s="66" t="str">
        <x:f>IF(K396="","","1 : "&amp;TEXT(K396,"0.0"))</x:f>
        <x:v>1 : 18.1</x:v>
      </x:c>
      <x:c r="M396" s="66" t="str">
        <x:f>IF(J396="","Baru/Tanpa Data",IF(J396&lt;='Catatan &amp; Sumber'!$B$14,"Sangat Ketat",IF(J396&lt;='Catatan &amp; Sumber'!$B$15,"Ketat",IF(J396&lt;='Catatan &amp; Sumber'!$B$16,"Sedang","Relatif Longgar"))))</x:f>
        <x:v>Sedang</x:v>
      </x:c>
      <x:c r="N396" s="66" t="str">
        <x:v>Tidak Ada</x:v>
      </x:c>
      <x:c r="O396" s="66" t="str">
        <x:v>Riau</x:v>
      </x:c>
      <x:c r="P396" s="66" t="str">
        <x:v>Kota Pekanbaru</x:v>
      </x:c>
      <x:c r="Q396" s="66" t="str">
        <x:v>https://snpmb.id/snbp/daya-tampung-snbp</x:v>
      </x:c>
      <x:c r="R396" s="66" t="str">
        <x:v>https://sidatagrun-public-1076756628210.asia-southeast2.run.app/ptn_sn.php?ptn=131</x:v>
      </x:c>
    </x:row>
    <x:row r="397">
      <x:c r="A397" s="87" t="n">
        <x:v>1979</x:v>
      </x:c>
      <x:c r="B397" s="87" t="n">
        <x:v>131</x:v>
      </x:c>
      <x:c r="C397" s="66" t="str">
        <x:v>UNIVERSITAS RIAU</x:v>
      </x:c>
      <x:c r="D397" s="66" t="str">
        <x:v>PTN Akademik</x:v>
      </x:c>
      <x:c r="E397" s="66" t="str">
        <x:v>11311047</x:v>
      </x:c>
      <x:c r="F397" s="66" t="str">
        <x:v>PENDIDIKAN BAHASA JEPANG</x:v>
      </x:c>
      <x:c r="G397" s="66" t="str">
        <x:v>Sarjana</x:v>
      </x:c>
      <x:c r="H397" s="87" t="n">
        <x:v>24</x:v>
      </x:c>
      <x:c r="I397" s="87" t="n">
        <x:v>161</x:v>
      </x:c>
      <x:c r="J397" s="68" t="n">
        <x:f>IFERROR(H397/I397,"")</x:f>
        <x:v>0.14906832298136646</x:v>
      </x:c>
      <x:c r="K397" s="69" t="n">
        <x:f>IFERROR(I397/H397,"")</x:f>
        <x:v>6.708333333333333</x:v>
      </x:c>
      <x:c r="L397" s="66" t="str">
        <x:f>IF(K397="","","1 : "&amp;TEXT(K397,"0.0"))</x:f>
        <x:v>1 : 6.7</x:v>
      </x:c>
      <x:c r="M397" s="66" t="str">
        <x:f>IF(J397="","Baru/Tanpa Data",IF(J397&lt;='Catatan &amp; Sumber'!$B$14,"Sangat Ketat",IF(J397&lt;='Catatan &amp; Sumber'!$B$15,"Ketat",IF(J397&lt;='Catatan &amp; Sumber'!$B$16,"Sedang","Relatif Longgar"))))</x:f>
        <x:v>Relatif Longgar</x:v>
      </x:c>
      <x:c r="N397" s="66" t="str">
        <x:v>Tidak Ada</x:v>
      </x:c>
      <x:c r="O397" s="66" t="str">
        <x:v>Riau</x:v>
      </x:c>
      <x:c r="P397" s="66" t="str">
        <x:v>Kota Pekanbaru</x:v>
      </x:c>
      <x:c r="Q397" s="66" t="str">
        <x:v>https://snpmb.id/snbp/daya-tampung-snbp</x:v>
      </x:c>
      <x:c r="R397" s="66" t="str">
        <x:v>https://sidatagrun-public-1076756628210.asia-southeast2.run.app/ptn_sn.php?ptn=131</x:v>
      </x:c>
    </x:row>
    <x:row r="398">
      <x:c r="A398" s="87" t="n">
        <x:v>3239</x:v>
      </x:c>
      <x:c r="B398" s="87" t="n">
        <x:v>131</x:v>
      </x:c>
      <x:c r="C398" s="66" t="str">
        <x:v>UNIVERSITAS RIAU</x:v>
      </x:c>
      <x:c r="D398" s="66" t="str">
        <x:v>PTN Akademik</x:v>
      </x:c>
      <x:c r="E398" s="66" t="str">
        <x:v>11311048</x:v>
      </x:c>
      <x:c r="F398" s="66" t="str">
        <x:v>PENDIDIKAN MASYARAKAT</x:v>
      </x:c>
      <x:c r="G398" s="66" t="str">
        <x:v>Sarjana</x:v>
      </x:c>
      <x:c r="H398" s="87" t="n">
        <x:v>24</x:v>
      </x:c>
      <x:c r="I398" s="87" t="n">
        <x:v>68</x:v>
      </x:c>
      <x:c r="J398" s="68" t="n">
        <x:f>IFERROR(H398/I398,"")</x:f>
        <x:v>0.35294117647058826</x:v>
      </x:c>
      <x:c r="K398" s="69" t="n">
        <x:f>IFERROR(I398/H398,"")</x:f>
        <x:v>2.8333333333333335</x:v>
      </x:c>
      <x:c r="L398" s="66" t="str">
        <x:f>IF(K398="","","1 : "&amp;TEXT(K398,"0.0"))</x:f>
        <x:v>1 : 2.8</x:v>
      </x:c>
      <x:c r="M398" s="66" t="str">
        <x:f>IF(J398="","Baru/Tanpa Data",IF(J398&lt;='Catatan &amp; Sumber'!$B$14,"Sangat Ketat",IF(J398&lt;='Catatan &amp; Sumber'!$B$15,"Ketat",IF(J398&lt;='Catatan &amp; Sumber'!$B$16,"Sedang","Relatif Longgar"))))</x:f>
        <x:v>Relatif Longgar</x:v>
      </x:c>
      <x:c r="N398" s="66" t="str">
        <x:v>Tidak Ada</x:v>
      </x:c>
      <x:c r="O398" s="66" t="str">
        <x:v>Riau</x:v>
      </x:c>
      <x:c r="P398" s="66" t="str">
        <x:v>Kota Pekanbaru</x:v>
      </x:c>
      <x:c r="Q398" s="66" t="str">
        <x:v>https://snpmb.id/snbp/daya-tampung-snbp</x:v>
      </x:c>
      <x:c r="R398" s="66" t="str">
        <x:v>https://sidatagrun-public-1076756628210.asia-southeast2.run.app/ptn_sn.php?ptn=131</x:v>
      </x:c>
    </x:row>
    <x:row r="399">
      <x:c r="A399" s="87" t="n">
        <x:v>81</x:v>
      </x:c>
      <x:c r="B399" s="87" t="n">
        <x:v>131</x:v>
      </x:c>
      <x:c r="C399" s="66" t="str">
        <x:v>UNIVERSITAS RIAU</x:v>
      </x:c>
      <x:c r="D399" s="66" t="str">
        <x:v>PTN Akademik</x:v>
      </x:c>
      <x:c r="E399" s="66" t="str">
        <x:v>11311049</x:v>
      </x:c>
      <x:c r="F399" s="66" t="str">
        <x:v>BIMBINGAN KONSELING</x:v>
      </x:c>
      <x:c r="G399" s="66" t="str">
        <x:v>Sarjana</x:v>
      </x:c>
      <x:c r="H399" s="87" t="n">
        <x:v>24</x:v>
      </x:c>
      <x:c r="I399" s="87" t="n">
        <x:v>902</x:v>
      </x:c>
      <x:c r="J399" s="68" t="n">
        <x:f>IFERROR(H399/I399,"")</x:f>
        <x:v>0.026607538802660754</x:v>
      </x:c>
      <x:c r="K399" s="69" t="n">
        <x:f>IFERROR(I399/H399,"")</x:f>
        <x:v>37.583333333333336</x:v>
      </x:c>
      <x:c r="L399" s="66" t="str">
        <x:f>IF(K399="","","1 : "&amp;TEXT(K399,"0.0"))</x:f>
        <x:v>1 : 37.6</x:v>
      </x:c>
      <x:c r="M399" s="66" t="str">
        <x:f>IF(J399="","Baru/Tanpa Data",IF(J399&lt;='Catatan &amp; Sumber'!$B$14,"Sangat Ketat",IF(J399&lt;='Catatan &amp; Sumber'!$B$15,"Ketat",IF(J399&lt;='Catatan &amp; Sumber'!$B$16,"Sedang","Relatif Longgar"))))</x:f>
        <x:v>Ketat</x:v>
      </x:c>
      <x:c r="N399" s="66" t="str">
        <x:v>Tidak Ada</x:v>
      </x:c>
      <x:c r="O399" s="66" t="str">
        <x:v>Riau</x:v>
      </x:c>
      <x:c r="P399" s="66" t="str">
        <x:v>Kota Pekanbaru</x:v>
      </x:c>
      <x:c r="Q399" s="66" t="str">
        <x:v>https://snpmb.id/snbp/daya-tampung-snbp</x:v>
      </x:c>
      <x:c r="R399" s="66" t="str">
        <x:v>https://sidatagrun-public-1076756628210.asia-southeast2.run.app/ptn_sn.php?ptn=131</x:v>
      </x:c>
    </x:row>
    <x:row r="400">
      <x:c r="A400" s="87" t="n">
        <x:v>933</x:v>
      </x:c>
      <x:c r="B400" s="87" t="n">
        <x:v>131</x:v>
      </x:c>
      <x:c r="C400" s="66" t="str">
        <x:v>UNIVERSITAS RIAU</x:v>
      </x:c>
      <x:c r="D400" s="66" t="str">
        <x:v>PTN Akademik</x:v>
      </x:c>
      <x:c r="E400" s="66" t="str">
        <x:v>11311050</x:v>
      </x:c>
      <x:c r="F400" s="66" t="str">
        <x:v>PENDIDIKAN JASMANI KESEHATAN DAN REKREASI</x:v>
      </x:c>
      <x:c r="G400" s="66" t="str">
        <x:v>Sarjana</x:v>
      </x:c>
      <x:c r="H400" s="87" t="n">
        <x:v>24</x:v>
      </x:c>
      <x:c r="I400" s="87" t="n">
        <x:v>322</x:v>
      </x:c>
      <x:c r="J400" s="68" t="n">
        <x:f>IFERROR(H400/I400,"")</x:f>
        <x:v>0.07453416149068323</x:v>
      </x:c>
      <x:c r="K400" s="69" t="n">
        <x:f>IFERROR(I400/H400,"")</x:f>
        <x:v>13.416666666666666</x:v>
      </x:c>
      <x:c r="L400" s="66" t="str">
        <x:f>IF(K400="","","1 : "&amp;TEXT(K400,"0.0"))</x:f>
        <x:v>1 : 13.4</x:v>
      </x:c>
      <x:c r="M400" s="66" t="str">
        <x:f>IF(J400="","Baru/Tanpa Data",IF(J400&lt;='Catatan &amp; Sumber'!$B$14,"Sangat Ketat",IF(J400&lt;='Catatan &amp; Sumber'!$B$15,"Ketat",IF(J400&lt;='Catatan &amp; Sumber'!$B$16,"Sedang","Relatif Longgar"))))</x:f>
        <x:v>Sedang</x:v>
      </x:c>
      <x:c r="N400" s="66" t="str">
        <x:v>Olahraga</x:v>
      </x:c>
      <x:c r="O400" s="66" t="str">
        <x:v>Riau</x:v>
      </x:c>
      <x:c r="P400" s="66" t="str">
        <x:v>Kota Pekanbaru</x:v>
      </x:c>
      <x:c r="Q400" s="66" t="str">
        <x:v>https://snpmb.id/snbp/daya-tampung-snbp</x:v>
      </x:c>
      <x:c r="R400" s="66" t="str">
        <x:v>https://sidatagrun-public-1076756628210.asia-southeast2.run.app/ptn_sn.php?ptn=131</x:v>
      </x:c>
    </x:row>
    <x:row r="401">
      <x:c r="A401" s="87" t="n">
        <x:v>1602</x:v>
      </x:c>
      <x:c r="B401" s="87" t="n">
        <x:v>131</x:v>
      </x:c>
      <x:c r="C401" s="66" t="str">
        <x:v>UNIVERSITAS RIAU</x:v>
      </x:c>
      <x:c r="D401" s="66" t="str">
        <x:v>PTN Akademik</x:v>
      </x:c>
      <x:c r="E401" s="66" t="str">
        <x:v>11311051</x:v>
      </x:c>
      <x:c r="F401" s="66" t="str">
        <x:v>PENDIDIKAN KEPELATIHAN OLAHRAGA</x:v>
      </x:c>
      <x:c r="G401" s="66" t="str">
        <x:v>Sarjana</x:v>
      </x:c>
      <x:c r="H401" s="87" t="n">
        <x:v>24</x:v>
      </x:c>
      <x:c r="I401" s="87" t="n">
        <x:v>206</x:v>
      </x:c>
      <x:c r="J401" s="68" t="n">
        <x:f>IFERROR(H401/I401,"")</x:f>
        <x:v>0.11650485436893204</x:v>
      </x:c>
      <x:c r="K401" s="69" t="n">
        <x:f>IFERROR(I401/H401,"")</x:f>
        <x:v>8.583333333333334</x:v>
      </x:c>
      <x:c r="L401" s="66" t="str">
        <x:f>IF(K401="","","1 : "&amp;TEXT(K401,"0.0"))</x:f>
        <x:v>1 : 8.6</x:v>
      </x:c>
      <x:c r="M401" s="66" t="str">
        <x:f>IF(J401="","Baru/Tanpa Data",IF(J401&lt;='Catatan &amp; Sumber'!$B$14,"Sangat Ketat",IF(J401&lt;='Catatan &amp; Sumber'!$B$15,"Ketat",IF(J401&lt;='Catatan &amp; Sumber'!$B$16,"Sedang","Relatif Longgar"))))</x:f>
        <x:v>Relatif Longgar</x:v>
      </x:c>
      <x:c r="N401" s="66" t="str">
        <x:v>Olahraga</x:v>
      </x:c>
      <x:c r="O401" s="66" t="str">
        <x:v>Riau</x:v>
      </x:c>
      <x:c r="P401" s="66" t="str">
        <x:v>Kota Pekanbaru</x:v>
      </x:c>
      <x:c r="Q401" s="66" t="str">
        <x:v>https://snpmb.id/snbp/daya-tampung-snbp</x:v>
      </x:c>
      <x:c r="R401" s="66" t="str">
        <x:v>https://sidatagrun-public-1076756628210.asia-southeast2.run.app/ptn_sn.php?ptn=131</x:v>
      </x:c>
    </x:row>
    <x:row r="402">
      <x:c r="A402" s="87" t="n">
        <x:v>34</x:v>
      </x:c>
      <x:c r="B402" s="87" t="n">
        <x:v>131</x:v>
      </x:c>
      <x:c r="C402" s="66" t="str">
        <x:v>UNIVERSITAS RIAU</x:v>
      </x:c>
      <x:c r="D402" s="66" t="str">
        <x:v>PTN Akademik</x:v>
      </x:c>
      <x:c r="E402" s="66" t="str">
        <x:v>11311052</x:v>
      </x:c>
      <x:c r="F402" s="66" t="str">
        <x:v>PENDIDIKAN GURU SEKOLAH DASAR</x:v>
      </x:c>
      <x:c r="G402" s="66" t="str">
        <x:v>Sarjana</x:v>
      </x:c>
      <x:c r="H402" s="87" t="n">
        <x:v>40</x:v>
      </x:c>
      <x:c r="I402" s="87" t="n">
        <x:v>2021</x:v>
      </x:c>
      <x:c r="J402" s="68" t="n">
        <x:f>IFERROR(H402/I402,"")</x:f>
        <x:v>0.01979218208807521</x:v>
      </x:c>
      <x:c r="K402" s="69" t="n">
        <x:f>IFERROR(I402/H402,"")</x:f>
        <x:v>50.525</x:v>
      </x:c>
      <x:c r="L402" s="66" t="str">
        <x:f>IF(K402="","","1 : "&amp;TEXT(K402,"0.0"))</x:f>
        <x:v>1 : 50.5</x:v>
      </x:c>
      <x:c r="M402" s="66" t="str">
        <x:f>IF(J402="","Baru/Tanpa Data",IF(J402&lt;='Catatan &amp; Sumber'!$B$14,"Sangat Ketat",IF(J402&lt;='Catatan &amp; Sumber'!$B$15,"Ketat",IF(J402&lt;='Catatan &amp; Sumber'!$B$16,"Sedang","Relatif Longgar"))))</x:f>
        <x:v>Sangat Ketat</x:v>
      </x:c>
      <x:c r="N402" s="66" t="str">
        <x:v>Tidak Ada</x:v>
      </x:c>
      <x:c r="O402" s="66" t="str">
        <x:v>Riau</x:v>
      </x:c>
      <x:c r="P402" s="66" t="str">
        <x:v>Kota Pekanbaru</x:v>
      </x:c>
      <x:c r="Q402" s="66" t="str">
        <x:v>https://snpmb.id/snbp/daya-tampung-snbp</x:v>
      </x:c>
      <x:c r="R402" s="66" t="str">
        <x:v>https://sidatagrun-public-1076756628210.asia-southeast2.run.app/ptn_sn.php?ptn=131</x:v>
      </x:c>
    </x:row>
    <x:row r="403">
      <x:c r="A403" s="87" t="n">
        <x:v>1340</x:v>
      </x:c>
      <x:c r="B403" s="87" t="n">
        <x:v>131</x:v>
      </x:c>
      <x:c r="C403" s="66" t="str">
        <x:v>UNIVERSITAS RIAU</x:v>
      </x:c>
      <x:c r="D403" s="66" t="str">
        <x:v>PTN Akademik</x:v>
      </x:c>
      <x:c r="E403" s="66" t="str">
        <x:v>11311053</x:v>
      </x:c>
      <x:c r="F403" s="66" t="str">
        <x:v>PENDIDIKAN ANAK USIA DINI</x:v>
      </x:c>
      <x:c r="G403" s="66" t="str">
        <x:v>Sarjana</x:v>
      </x:c>
      <x:c r="H403" s="87" t="n">
        <x:v>24</x:v>
      </x:c>
      <x:c r="I403" s="87" t="n">
        <x:v>245</x:v>
      </x:c>
      <x:c r="J403" s="68" t="n">
        <x:f>IFERROR(H403/I403,"")</x:f>
        <x:v>0.09795918367346938</x:v>
      </x:c>
      <x:c r="K403" s="69" t="n">
        <x:f>IFERROR(I403/H403,"")</x:f>
        <x:v>10.208333333333334</x:v>
      </x:c>
      <x:c r="L403" s="66" t="str">
        <x:f>IF(K403="","","1 : "&amp;TEXT(K403,"0.0"))</x:f>
        <x:v>1 : 10.2</x:v>
      </x:c>
      <x:c r="M403" s="66" t="str">
        <x:f>IF(J403="","Baru/Tanpa Data",IF(J403&lt;='Catatan &amp; Sumber'!$B$14,"Sangat Ketat",IF(J403&lt;='Catatan &amp; Sumber'!$B$15,"Ketat",IF(J403&lt;='Catatan &amp; Sumber'!$B$16,"Sedang","Relatif Longgar"))))</x:f>
        <x:v>Sedang</x:v>
      </x:c>
      <x:c r="N403" s="66" t="str">
        <x:v>Tidak Ada</x:v>
      </x:c>
      <x:c r="O403" s="66" t="str">
        <x:v>Riau</x:v>
      </x:c>
      <x:c r="P403" s="66" t="str">
        <x:v>Kota Pekanbaru</x:v>
      </x:c>
      <x:c r="Q403" s="66" t="str">
        <x:v>https://snpmb.id/snbp/daya-tampung-snbp</x:v>
      </x:c>
      <x:c r="R403" s="66" t="str">
        <x:v>https://sidatagrun-public-1076756628210.asia-southeast2.run.app/ptn_sn.php?ptn=131</x:v>
      </x:c>
    </x:row>
    <x:row r="404">
      <x:c r="A404" s="87" t="n">
        <x:v>677</x:v>
      </x:c>
      <x:c r="B404" s="87" t="n">
        <x:v>131</x:v>
      </x:c>
      <x:c r="C404" s="66" t="str">
        <x:v>UNIVERSITAS RIAU</x:v>
      </x:c>
      <x:c r="D404" s="66" t="str">
        <x:v>PTN Akademik</x:v>
      </x:c>
      <x:c r="E404" s="66" t="str">
        <x:v>11311062</x:v>
      </x:c>
      <x:c r="F404" s="66" t="str">
        <x:v>KEDOKTERAN HEWAN</x:v>
      </x:c>
      <x:c r="G404" s="66" t="str">
        <x:v>Sarjana</x:v>
      </x:c>
      <x:c r="H404" s="87" t="n">
        <x:v>15</x:v>
      </x:c>
      <x:c r="I404" s="87" t="n">
        <x:v>248</x:v>
      </x:c>
      <x:c r="J404" s="68" t="n">
        <x:f>IFERROR(H404/I404,"")</x:f>
        <x:v>0.06048387096774194</x:v>
      </x:c>
      <x:c r="K404" s="69" t="n">
        <x:f>IFERROR(I404/H404,"")</x:f>
        <x:v>16.533333333333335</x:v>
      </x:c>
      <x:c r="L404" s="66" t="str">
        <x:f>IF(K404="","","1 : "&amp;TEXT(K404,"0.0"))</x:f>
        <x:v>1 : 16.5</x:v>
      </x:c>
      <x:c r="M404" s="66" t="str">
        <x:f>IF(J404="","Baru/Tanpa Data",IF(J404&lt;='Catatan &amp; Sumber'!$B$14,"Sangat Ketat",IF(J404&lt;='Catatan &amp; Sumber'!$B$15,"Ketat",IF(J404&lt;='Catatan &amp; Sumber'!$B$16,"Sedang","Relatif Longgar"))))</x:f>
        <x:v>Sedang</x:v>
      </x:c>
      <x:c r="N404" s="66" t="str">
        <x:v>Tidak Ada</x:v>
      </x:c>
      <x:c r="O404" s="66" t="str">
        <x:v>Riau</x:v>
      </x:c>
      <x:c r="P404" s="66" t="str">
        <x:v>Kota Pekanbaru</x:v>
      </x:c>
      <x:c r="Q404" s="66" t="str">
        <x:v>https://snpmb.id/snbp/daya-tampung-snbp</x:v>
      </x:c>
      <x:c r="R404" s="66" t="str">
        <x:v>https://sidatagrun-public-1076756628210.asia-southeast2.run.app/ptn_sn.php?ptn=131</x:v>
      </x:c>
    </x:row>
    <x:row r="405">
      <x:c r="A405" s="87" t="n">
        <x:v>1998</x:v>
      </x:c>
      <x:c r="B405" s="87" t="n">
        <x:v>131</x:v>
      </x:c>
      <x:c r="C405" s="66" t="str">
        <x:v>UNIVERSITAS RIAU</x:v>
      </x:c>
      <x:c r="D405" s="66" t="str">
        <x:v>PTN Akademik</x:v>
      </x:c>
      <x:c r="E405" s="66" t="str">
        <x:v>11311063</x:v>
      </x:c>
      <x:c r="F405" s="66" t="str">
        <x:v>ILMU TANAH</x:v>
      </x:c>
      <x:c r="G405" s="66" t="str">
        <x:v>Sarjana</x:v>
      </x:c>
      <x:c r="H405" s="87" t="n">
        <x:v>12</x:v>
      </x:c>
      <x:c r="I405" s="87" t="n">
        <x:v>79</x:v>
      </x:c>
      <x:c r="J405" s="68" t="n">
        <x:f>IFERROR(H405/I405,"")</x:f>
        <x:v>0.1518987341772152</x:v>
      </x:c>
      <x:c r="K405" s="69" t="n">
        <x:f>IFERROR(I405/H405,"")</x:f>
        <x:v>6.583333333333333</x:v>
      </x:c>
      <x:c r="L405" s="66" t="str">
        <x:f>IF(K405="","","1 : "&amp;TEXT(K405,"0.0"))</x:f>
        <x:v>1 : 6.6</x:v>
      </x:c>
      <x:c r="M405" s="66" t="str">
        <x:f>IF(J405="","Baru/Tanpa Data",IF(J405&lt;='Catatan &amp; Sumber'!$B$14,"Sangat Ketat",IF(J405&lt;='Catatan &amp; Sumber'!$B$15,"Ketat",IF(J405&lt;='Catatan &amp; Sumber'!$B$16,"Sedang","Relatif Longgar"))))</x:f>
        <x:v>Relatif Longgar</x:v>
      </x:c>
      <x:c r="N405" s="66" t="str">
        <x:v>Tidak Ada</x:v>
      </x:c>
      <x:c r="O405" s="66" t="str">
        <x:v>Riau</x:v>
      </x:c>
      <x:c r="P405" s="66" t="str">
        <x:v>Kota Pekanbaru</x:v>
      </x:c>
      <x:c r="Q405" s="66" t="str">
        <x:v>https://snpmb.id/snbp/daya-tampung-snbp</x:v>
      </x:c>
      <x:c r="R405" s="66" t="str">
        <x:v>https://sidatagrun-public-1076756628210.asia-southeast2.run.app/ptn_sn.php?ptn=131</x:v>
      </x:c>
    </x:row>
    <x:row r="406">
      <x:c r="A406" s="87" t="n">
        <x:v>2618</x:v>
      </x:c>
      <x:c r="B406" s="87" t="n">
        <x:v>131</x:v>
      </x:c>
      <x:c r="C406" s="66" t="str">
        <x:v>UNIVERSITAS RIAU</x:v>
      </x:c>
      <x:c r="D406" s="66" t="str">
        <x:v>PTN Akademik</x:v>
      </x:c>
      <x:c r="E406" s="66" t="str">
        <x:v>11311064</x:v>
      </x:c>
      <x:c r="F406" s="66" t="str">
        <x:v>PROTEKSI TANAMAN</x:v>
      </x:c>
      <x:c r="G406" s="66" t="str">
        <x:v>Sarjana</x:v>
      </x:c>
      <x:c r="H406" s="87" t="n">
        <x:v>12</x:v>
      </x:c>
      <x:c r="I406" s="87" t="n">
        <x:v>52</x:v>
      </x:c>
      <x:c r="J406" s="68" t="n">
        <x:f>IFERROR(H406/I406,"")</x:f>
        <x:v>0.23076923076923078</x:v>
      </x:c>
      <x:c r="K406" s="69" t="n">
        <x:f>IFERROR(I406/H406,"")</x:f>
        <x:v>4.333333333333333</x:v>
      </x:c>
      <x:c r="L406" s="66" t="str">
        <x:f>IF(K406="","","1 : "&amp;TEXT(K406,"0.0"))</x:f>
        <x:v>1 : 4.3</x:v>
      </x:c>
      <x:c r="M406" s="66" t="str">
        <x:f>IF(J406="","Baru/Tanpa Data",IF(J406&lt;='Catatan &amp; Sumber'!$B$14,"Sangat Ketat",IF(J406&lt;='Catatan &amp; Sumber'!$B$15,"Ketat",IF(J406&lt;='Catatan &amp; Sumber'!$B$16,"Sedang","Relatif Longgar"))))</x:f>
        <x:v>Relatif Longgar</x:v>
      </x:c>
      <x:c r="N406" s="66" t="str">
        <x:v>Tidak Ada</x:v>
      </x:c>
      <x:c r="O406" s="66" t="str">
        <x:v>Riau</x:v>
      </x:c>
      <x:c r="P406" s="66" t="str">
        <x:v>Kota Pekanbaru</x:v>
      </x:c>
      <x:c r="Q406" s="66" t="str">
        <x:v>https://snpmb.id/snbp/daya-tampung-snbp</x:v>
      </x:c>
      <x:c r="R406" s="66" t="str">
        <x:v>https://sidatagrun-public-1076756628210.asia-southeast2.run.app/ptn_sn.php?ptn=131</x:v>
      </x:c>
    </x:row>
    <x:row r="407">
      <x:c r="A407" s="87" t="n">
        <x:v>1935</x:v>
      </x:c>
      <x:c r="B407" s="87" t="n">
        <x:v>131</x:v>
      </x:c>
      <x:c r="C407" s="66" t="str">
        <x:v>UNIVERSITAS RIAU</x:v>
      </x:c>
      <x:c r="D407" s="66" t="str">
        <x:v>PTN Akademik</x:v>
      </x:c>
      <x:c r="E407" s="66" t="str">
        <x:v>11311065</x:v>
      </x:c>
      <x:c r="F407" s="66" t="str">
        <x:v>PENYULUHAN PERTANIAN</x:v>
      </x:c>
      <x:c r="G407" s="66" t="str">
        <x:v>Sarjana</x:v>
      </x:c>
      <x:c r="H407" s="87" t="n">
        <x:v>12</x:v>
      </x:c>
      <x:c r="I407" s="87" t="n">
        <x:v>83</x:v>
      </x:c>
      <x:c r="J407" s="68" t="n">
        <x:f>IFERROR(H407/I407,"")</x:f>
        <x:v>0.14457831325301204</x:v>
      </x:c>
      <x:c r="K407" s="69" t="n">
        <x:f>IFERROR(I407/H407,"")</x:f>
        <x:v>6.916666666666667</x:v>
      </x:c>
      <x:c r="L407" s="66" t="str">
        <x:f>IF(K407="","","1 : "&amp;TEXT(K407,"0.0"))</x:f>
        <x:v>1 : 6.9</x:v>
      </x:c>
      <x:c r="M407" s="66" t="str">
        <x:f>IF(J407="","Baru/Tanpa Data",IF(J407&lt;='Catatan &amp; Sumber'!$B$14,"Sangat Ketat",IF(J407&lt;='Catatan &amp; Sumber'!$B$15,"Ketat",IF(J407&lt;='Catatan &amp; Sumber'!$B$16,"Sedang","Relatif Longgar"))))</x:f>
        <x:v>Relatif Longgar</x:v>
      </x:c>
      <x:c r="N407" s="66" t="str">
        <x:v>Tidak Ada</x:v>
      </x:c>
      <x:c r="O407" s="66" t="str">
        <x:v>Riau</x:v>
      </x:c>
      <x:c r="P407" s="66" t="str">
        <x:v>Kota Pekanbaru</x:v>
      </x:c>
      <x:c r="Q407" s="66" t="str">
        <x:v>https://snpmb.id/snbp/daya-tampung-snbp</x:v>
      </x:c>
      <x:c r="R407" s="66" t="str">
        <x:v>https://sidatagrun-public-1076756628210.asia-southeast2.run.app/ptn_sn.php?ptn=131</x:v>
      </x:c>
    </x:row>
    <x:row r="408">
      <x:c r="A408" s="87" t="n">
        <x:v>2277</x:v>
      </x:c>
      <x:c r="B408" s="87" t="n">
        <x:v>131</x:v>
      </x:c>
      <x:c r="C408" s="66" t="str">
        <x:v>UNIVERSITAS RIAU</x:v>
      </x:c>
      <x:c r="D408" s="66" t="str">
        <x:v>PTN Akademik</x:v>
      </x:c>
      <x:c r="E408" s="66" t="str">
        <x:v>11312037</x:v>
      </x:c>
      <x:c r="F408" s="66" t="str">
        <x:v>USAHA PERJALANAN WISATA</x:v>
      </x:c>
      <x:c r="G408" s="66" t="str">
        <x:v>Sarjana Terapan</x:v>
      </x:c>
      <x:c r="H408" s="87" t="n">
        <x:v>42</x:v>
      </x:c>
      <x:c r="I408" s="87" t="n">
        <x:v>231</x:v>
      </x:c>
      <x:c r="J408" s="68" t="n">
        <x:f>IFERROR(H408/I408,"")</x:f>
        <x:v>0.18181818181818182</x:v>
      </x:c>
      <x:c r="K408" s="69" t="n">
        <x:f>IFERROR(I408/H408,"")</x:f>
        <x:v>5.5</x:v>
      </x:c>
      <x:c r="L408" s="66" t="str">
        <x:f>IF(K408="","","1 : "&amp;TEXT(K408,"0.0"))</x:f>
        <x:v>1 : 5.5</x:v>
      </x:c>
      <x:c r="M408" s="66" t="str">
        <x:f>IF(J408="","Baru/Tanpa Data",IF(J408&lt;='Catatan &amp; Sumber'!$B$14,"Sangat Ketat",IF(J408&lt;='Catatan &amp; Sumber'!$B$15,"Ketat",IF(J408&lt;='Catatan &amp; Sumber'!$B$16,"Sedang","Relatif Longgar"))))</x:f>
        <x:v>Relatif Longgar</x:v>
      </x:c>
      <x:c r="N408" s="66" t="str">
        <x:v>Tidak Ada</x:v>
      </x:c>
      <x:c r="O408" s="66" t="str">
        <x:v>Riau</x:v>
      </x:c>
      <x:c r="P408" s="66" t="str">
        <x:v>Kota Pekanbaru</x:v>
      </x:c>
      <x:c r="Q408" s="66" t="str">
        <x:v>https://snpmb.id/snbp/daya-tampung-snbp</x:v>
      </x:c>
      <x:c r="R408" s="66" t="str">
        <x:v>https://sidatagrun-public-1076756628210.asia-southeast2.run.app/ptn_sn.php?ptn=131</x:v>
      </x:c>
    </x:row>
    <x:row r="409">
      <x:c r="A409" s="87" t="n">
        <x:v>2575</x:v>
      </x:c>
      <x:c r="B409" s="87" t="n">
        <x:v>131</x:v>
      </x:c>
      <x:c r="C409" s="66" t="str">
        <x:v>UNIVERSITAS RIAU</x:v>
      </x:c>
      <x:c r="D409" s="66" t="str">
        <x:v>PTN Akademik</x:v>
      </x:c>
      <x:c r="E409" s="66" t="str">
        <x:v>11313054</x:v>
      </x:c>
      <x:c r="F409" s="66" t="str">
        <x:v>PERPAJAKAN</x:v>
      </x:c>
      <x:c r="G409" s="66" t="str">
        <x:v>Diploma Tiga</x:v>
      </x:c>
      <x:c r="H409" s="87" t="n">
        <x:v>36</x:v>
      </x:c>
      <x:c r="I409" s="87" t="n">
        <x:v>160</x:v>
      </x:c>
      <x:c r="J409" s="68" t="n">
        <x:f>IFERROR(H409/I409,"")</x:f>
        <x:v>0.225</x:v>
      </x:c>
      <x:c r="K409" s="69" t="n">
        <x:f>IFERROR(I409/H409,"")</x:f>
        <x:v>4.444444444444445</x:v>
      </x:c>
      <x:c r="L409" s="66" t="str">
        <x:f>IF(K409="","","1 : "&amp;TEXT(K409,"0.0"))</x:f>
        <x:v>1 : 4.4</x:v>
      </x:c>
      <x:c r="M409" s="66" t="str">
        <x:f>IF(J409="","Baru/Tanpa Data",IF(J409&lt;='Catatan &amp; Sumber'!$B$14,"Sangat Ketat",IF(J409&lt;='Catatan &amp; Sumber'!$B$15,"Ketat",IF(J409&lt;='Catatan &amp; Sumber'!$B$16,"Sedang","Relatif Longgar"))))</x:f>
        <x:v>Relatif Longgar</x:v>
      </x:c>
      <x:c r="N409" s="66" t="str">
        <x:v>Tidak Ada</x:v>
      </x:c>
      <x:c r="O409" s="66" t="str">
        <x:v>Riau</x:v>
      </x:c>
      <x:c r="P409" s="66" t="str">
        <x:v>Kota Pekanbaru</x:v>
      </x:c>
      <x:c r="Q409" s="66" t="str">
        <x:v>https://snpmb.id/snbp/daya-tampung-snbp</x:v>
      </x:c>
      <x:c r="R409" s="66" t="str">
        <x:v>https://sidatagrun-public-1076756628210.asia-southeast2.run.app/ptn_sn.php?ptn=131</x:v>
      </x:c>
    </x:row>
    <x:row r="410">
      <x:c r="A410" s="87" t="n">
        <x:v>3780</x:v>
      </x:c>
      <x:c r="B410" s="87" t="n">
        <x:v>131</x:v>
      </x:c>
      <x:c r="C410" s="66" t="str">
        <x:v>UNIVERSITAS RIAU</x:v>
      </x:c>
      <x:c r="D410" s="66" t="str">
        <x:v>PTN Akademik</x:v>
      </x:c>
      <x:c r="E410" s="66" t="str">
        <x:v>11313055</x:v>
      </x:c>
      <x:c r="F410" s="66" t="str">
        <x:v>TEKNIK KIMIA</x:v>
      </x:c>
      <x:c r="G410" s="66" t="str">
        <x:v>Diploma Tiga</x:v>
      </x:c>
      <x:c r="H410" s="87" t="n">
        <x:v>27</x:v>
      </x:c>
      <x:c r="I410" s="87" t="n">
        <x:v>48</x:v>
      </x:c>
      <x:c r="J410" s="68" t="n">
        <x:f>IFERROR(H410/I410,"")</x:f>
        <x:v>0.5625</x:v>
      </x:c>
      <x:c r="K410" s="69" t="n">
        <x:f>IFERROR(I410/H410,"")</x:f>
        <x:v>1.7777777777777777</x:v>
      </x:c>
      <x:c r="L410" s="66" t="str">
        <x:f>IF(K410="","","1 : "&amp;TEXT(K410,"0.0"))</x:f>
        <x:v>1 : 1.8</x:v>
      </x:c>
      <x:c r="M410" s="66" t="str">
        <x:f>IF(J410="","Baru/Tanpa Data",IF(J410&lt;='Catatan &amp; Sumber'!$B$14,"Sangat Ketat",IF(J410&lt;='Catatan &amp; Sumber'!$B$15,"Ketat",IF(J410&lt;='Catatan &amp; Sumber'!$B$16,"Sedang","Relatif Longgar"))))</x:f>
        <x:v>Relatif Longgar</x:v>
      </x:c>
      <x:c r="N410" s="66" t="str">
        <x:v>Tidak Ada</x:v>
      </x:c>
      <x:c r="O410" s="66" t="str">
        <x:v>Riau</x:v>
      </x:c>
      <x:c r="P410" s="66" t="str">
        <x:v>Kota Pekanbaru</x:v>
      </x:c>
      <x:c r="Q410" s="66" t="str">
        <x:v>https://snpmb.id/snbp/daya-tampung-snbp</x:v>
      </x:c>
      <x:c r="R410" s="66" t="str">
        <x:v>https://sidatagrun-public-1076756628210.asia-southeast2.run.app/ptn_sn.php?ptn=131</x:v>
      </x:c>
    </x:row>
    <x:row r="411">
      <x:c r="A411" s="87" t="n">
        <x:v>3594</x:v>
      </x:c>
      <x:c r="B411" s="87" t="n">
        <x:v>131</x:v>
      </x:c>
      <x:c r="C411" s="66" t="str">
        <x:v>UNIVERSITAS RIAU</x:v>
      </x:c>
      <x:c r="D411" s="66" t="str">
        <x:v>PTN Akademik</x:v>
      </x:c>
      <x:c r="E411" s="66" t="str">
        <x:v>11313056</x:v>
      </x:c>
      <x:c r="F411" s="66" t="str">
        <x:v>AKUNTANSI</x:v>
      </x:c>
      <x:c r="G411" s="66" t="str">
        <x:v>Diploma Tiga</x:v>
      </x:c>
      <x:c r="H411" s="87" t="n">
        <x:v>36</x:v>
      </x:c>
      <x:c r="I411" s="87" t="n">
        <x:v>77</x:v>
      </x:c>
      <x:c r="J411" s="68" t="n">
        <x:f>IFERROR(H411/I411,"")</x:f>
        <x:v>0.4675324675324675</x:v>
      </x:c>
      <x:c r="K411" s="69" t="n">
        <x:f>IFERROR(I411/H411,"")</x:f>
        <x:v>2.138888888888889</x:v>
      </x:c>
      <x:c r="L411" s="66" t="str">
        <x:f>IF(K411="","","1 : "&amp;TEXT(K411,"0.0"))</x:f>
        <x:v>1 : 2.1</x:v>
      </x:c>
      <x:c r="M411" s="66" t="str">
        <x:f>IF(J411="","Baru/Tanpa Data",IF(J411&lt;='Catatan &amp; Sumber'!$B$14,"Sangat Ketat",IF(J411&lt;='Catatan &amp; Sumber'!$B$15,"Ketat",IF(J411&lt;='Catatan &amp; Sumber'!$B$16,"Sedang","Relatif Longgar"))))</x:f>
        <x:v>Relatif Longgar</x:v>
      </x:c>
      <x:c r="N411" s="66" t="str">
        <x:v>Tidak Ada</x:v>
      </x:c>
      <x:c r="O411" s="66" t="str">
        <x:v>Riau</x:v>
      </x:c>
      <x:c r="P411" s="66" t="str">
        <x:v>Kota Pekanbaru</x:v>
      </x:c>
      <x:c r="Q411" s="66" t="str">
        <x:v>https://snpmb.id/snbp/daya-tampung-snbp</x:v>
      </x:c>
      <x:c r="R411" s="66" t="str">
        <x:v>https://sidatagrun-public-1076756628210.asia-southeast2.run.app/ptn_sn.php?ptn=131</x:v>
      </x:c>
    </x:row>
    <x:row r="412">
      <x:c r="A412" s="87" t="n">
        <x:v>3298</x:v>
      </x:c>
      <x:c r="B412" s="87" t="n">
        <x:v>131</x:v>
      </x:c>
      <x:c r="C412" s="66" t="str">
        <x:v>UNIVERSITAS RIAU</x:v>
      </x:c>
      <x:c r="D412" s="66" t="str">
        <x:v>PTN Akademik</x:v>
      </x:c>
      <x:c r="E412" s="66" t="str">
        <x:v>11313057</x:v>
      </x:c>
      <x:c r="F412" s="66" t="str">
        <x:v>TEKNIK ELEKTRO</x:v>
      </x:c>
      <x:c r="G412" s="66" t="str">
        <x:v>Diploma Tiga</x:v>
      </x:c>
      <x:c r="H412" s="87" t="n">
        <x:v>18</x:v>
      </x:c>
      <x:c r="I412" s="87" t="n">
        <x:v>48</x:v>
      </x:c>
      <x:c r="J412" s="68" t="n">
        <x:f>IFERROR(H412/I412,"")</x:f>
        <x:v>0.375</x:v>
      </x:c>
      <x:c r="K412" s="69" t="n">
        <x:f>IFERROR(I412/H412,"")</x:f>
        <x:v>2.6666666666666665</x:v>
      </x:c>
      <x:c r="L412" s="66" t="str">
        <x:f>IF(K412="","","1 : "&amp;TEXT(K412,"0.0"))</x:f>
        <x:v>1 : 2.7</x:v>
      </x:c>
      <x:c r="M412" s="66" t="str">
        <x:f>IF(J412="","Baru/Tanpa Data",IF(J412&lt;='Catatan &amp; Sumber'!$B$14,"Sangat Ketat",IF(J412&lt;='Catatan &amp; Sumber'!$B$15,"Ketat",IF(J412&lt;='Catatan &amp; Sumber'!$B$16,"Sedang","Relatif Longgar"))))</x:f>
        <x:v>Relatif Longgar</x:v>
      </x:c>
      <x:c r="N412" s="66" t="str">
        <x:v>Tidak Ada</x:v>
      </x:c>
      <x:c r="O412" s="66" t="str">
        <x:v>Riau</x:v>
      </x:c>
      <x:c r="P412" s="66" t="str">
        <x:v>Kota Pekanbaru</x:v>
      </x:c>
      <x:c r="Q412" s="66" t="str">
        <x:v>https://snpmb.id/snbp/daya-tampung-snbp</x:v>
      </x:c>
      <x:c r="R412" s="66" t="str">
        <x:v>https://sidatagrun-public-1076756628210.asia-southeast2.run.app/ptn_sn.php?ptn=131</x:v>
      </x:c>
    </x:row>
    <x:row r="413">
      <x:c r="A413" s="87" t="n">
        <x:v>2791</x:v>
      </x:c>
      <x:c r="B413" s="87" t="n">
        <x:v>131</x:v>
      </x:c>
      <x:c r="C413" s="66" t="str">
        <x:v>UNIVERSITAS RIAU</x:v>
      </x:c>
      <x:c r="D413" s="66" t="str">
        <x:v>PTN Akademik</x:v>
      </x:c>
      <x:c r="E413" s="66" t="str">
        <x:v>11313058</x:v>
      </x:c>
      <x:c r="F413" s="66" t="str">
        <x:v>TEKNIK MESIN</x:v>
      </x:c>
      <x:c r="G413" s="66" t="str">
        <x:v>Diploma Tiga</x:v>
      </x:c>
      <x:c r="H413" s="87" t="n">
        <x:v>18</x:v>
      </x:c>
      <x:c r="I413" s="87" t="n">
        <x:v>70</x:v>
      </x:c>
      <x:c r="J413" s="68" t="n">
        <x:f>IFERROR(H413/I413,"")</x:f>
        <x:v>0.2571428571428571</x:v>
      </x:c>
      <x:c r="K413" s="69" t="n">
        <x:f>IFERROR(I413/H413,"")</x:f>
        <x:v>3.888888888888889</x:v>
      </x:c>
      <x:c r="L413" s="66" t="str">
        <x:f>IF(K413="","","1 : "&amp;TEXT(K413,"0.0"))</x:f>
        <x:v>1 : 3.9</x:v>
      </x:c>
      <x:c r="M413" s="66" t="str">
        <x:f>IF(J413="","Baru/Tanpa Data",IF(J413&lt;='Catatan &amp; Sumber'!$B$14,"Sangat Ketat",IF(J413&lt;='Catatan &amp; Sumber'!$B$15,"Ketat",IF(J413&lt;='Catatan &amp; Sumber'!$B$16,"Sedang","Relatif Longgar"))))</x:f>
        <x:v>Relatif Longgar</x:v>
      </x:c>
      <x:c r="N413" s="66" t="str">
        <x:v>Tidak Ada</x:v>
      </x:c>
      <x:c r="O413" s="66" t="str">
        <x:v>Riau</x:v>
      </x:c>
      <x:c r="P413" s="66" t="str">
        <x:v>Kota Pekanbaru</x:v>
      </x:c>
      <x:c r="Q413" s="66" t="str">
        <x:v>https://snpmb.id/snbp/daya-tampung-snbp</x:v>
      </x:c>
      <x:c r="R413" s="66" t="str">
        <x:v>https://sidatagrun-public-1076756628210.asia-southeast2.run.app/ptn_sn.php?ptn=131</x:v>
      </x:c>
    </x:row>
    <x:row r="414">
      <x:c r="A414" s="87" t="n">
        <x:v>1532</x:v>
      </x:c>
      <x:c r="B414" s="87" t="n">
        <x:v>131</x:v>
      </x:c>
      <x:c r="C414" s="66" t="str">
        <x:v>UNIVERSITAS RIAU</x:v>
      </x:c>
      <x:c r="D414" s="66" t="str">
        <x:v>PTN Akademik</x:v>
      </x:c>
      <x:c r="E414" s="66" t="str">
        <x:v>11313059</x:v>
      </x:c>
      <x:c r="F414" s="66" t="str">
        <x:v>TEKNOLOGI PULP DAN KERTAS</x:v>
      </x:c>
      <x:c r="G414" s="66" t="str">
        <x:v>Diploma Tiga</x:v>
      </x:c>
      <x:c r="H414" s="87" t="n">
        <x:v>18</x:v>
      </x:c>
      <x:c r="I414" s="87" t="n">
        <x:v>161</x:v>
      </x:c>
      <x:c r="J414" s="68" t="n">
        <x:f>IFERROR(H414/I414,"")</x:f>
        <x:v>0.11180124223602485</x:v>
      </x:c>
      <x:c r="K414" s="69" t="n">
        <x:f>IFERROR(I414/H414,"")</x:f>
        <x:v>8.944444444444445</x:v>
      </x:c>
      <x:c r="L414" s="66" t="str">
        <x:f>IF(K414="","","1 : "&amp;TEXT(K414,"0.0"))</x:f>
        <x:v>1 : 8.9</x:v>
      </x:c>
      <x:c r="M414" s="66" t="str">
        <x:f>IF(J414="","Baru/Tanpa Data",IF(J414&lt;='Catatan &amp; Sumber'!$B$14,"Sangat Ketat",IF(J414&lt;='Catatan &amp; Sumber'!$B$15,"Ketat",IF(J414&lt;='Catatan &amp; Sumber'!$B$16,"Sedang","Relatif Longgar"))))</x:f>
        <x:v>Relatif Longgar</x:v>
      </x:c>
      <x:c r="N414" s="66" t="str">
        <x:v>Tidak Ada</x:v>
      </x:c>
      <x:c r="O414" s="66" t="str">
        <x:v>Riau</x:v>
      </x:c>
      <x:c r="P414" s="66" t="str">
        <x:v>Kota Pekanbaru</x:v>
      </x:c>
      <x:c r="Q414" s="66" t="str">
        <x:v>https://snpmb.id/snbp/daya-tampung-snbp</x:v>
      </x:c>
      <x:c r="R414" s="66" t="str">
        <x:v>https://sidatagrun-public-1076756628210.asia-southeast2.run.app/ptn_sn.php?ptn=131</x:v>
      </x:c>
    </x:row>
    <x:row r="415">
      <x:c r="A415" s="87" t="n">
        <x:v>3610</x:v>
      </x:c>
      <x:c r="B415" s="87" t="n">
        <x:v>131</x:v>
      </x:c>
      <x:c r="C415" s="66" t="str">
        <x:v>UNIVERSITAS RIAU</x:v>
      </x:c>
      <x:c r="D415" s="66" t="str">
        <x:v>PTN Akademik</x:v>
      </x:c>
      <x:c r="E415" s="66" t="str">
        <x:v>11313060</x:v>
      </x:c>
      <x:c r="F415" s="66" t="str">
        <x:v>TEKNIK SIPIL</x:v>
      </x:c>
      <x:c r="G415" s="66" t="str">
        <x:v>Diploma Tiga</x:v>
      </x:c>
      <x:c r="H415" s="87" t="n">
        <x:v>27</x:v>
      </x:c>
      <x:c r="I415" s="87" t="n">
        <x:v>57</x:v>
      </x:c>
      <x:c r="J415" s="68" t="n">
        <x:f>IFERROR(H415/I415,"")</x:f>
        <x:v>0.47368421052631576</x:v>
      </x:c>
      <x:c r="K415" s="69" t="n">
        <x:f>IFERROR(I415/H415,"")</x:f>
        <x:v>2.111111111111111</x:v>
      </x:c>
      <x:c r="L415" s="66" t="str">
        <x:f>IF(K415="","","1 : "&amp;TEXT(K415,"0.0"))</x:f>
        <x:v>1 : 2.1</x:v>
      </x:c>
      <x:c r="M415" s="66" t="str">
        <x:f>IF(J415="","Baru/Tanpa Data",IF(J415&lt;='Catatan &amp; Sumber'!$B$14,"Sangat Ketat",IF(J415&lt;='Catatan &amp; Sumber'!$B$15,"Ketat",IF(J415&lt;='Catatan &amp; Sumber'!$B$16,"Sedang","Relatif Longgar"))))</x:f>
        <x:v>Relatif Longgar</x:v>
      </x:c>
      <x:c r="N415" s="66" t="str">
        <x:v>Tidak Ada</x:v>
      </x:c>
      <x:c r="O415" s="66" t="str">
        <x:v>Riau</x:v>
      </x:c>
      <x:c r="P415" s="66" t="str">
        <x:v>Kota Pekanbaru</x:v>
      </x:c>
      <x:c r="Q415" s="66" t="str">
        <x:v>https://snpmb.id/snbp/daya-tampung-snbp</x:v>
      </x:c>
      <x:c r="R415" s="66" t="str">
        <x:v>https://sidatagrun-public-1076756628210.asia-southeast2.run.app/ptn_sn.php?ptn=131</x:v>
      </x:c>
    </x:row>
    <x:row r="416">
      <x:c r="A416" s="87" t="n">
        <x:v>3048</x:v>
      </x:c>
      <x:c r="B416" s="87" t="n">
        <x:v>131</x:v>
      </x:c>
      <x:c r="C416" s="66" t="str">
        <x:v>UNIVERSITAS RIAU</x:v>
      </x:c>
      <x:c r="D416" s="66" t="str">
        <x:v>PTN Akademik</x:v>
      </x:c>
      <x:c r="E416" s="66" t="str">
        <x:v>11313061</x:v>
      </x:c>
      <x:c r="F416" s="66" t="str">
        <x:v>MANAJEMEN INFORMATIKA</x:v>
      </x:c>
      <x:c r="G416" s="66" t="str">
        <x:v>Diploma Tiga</x:v>
      </x:c>
      <x:c r="H416" s="87" t="n">
        <x:v>24</x:v>
      </x:c>
      <x:c r="I416" s="87" t="n">
        <x:v>79</x:v>
      </x:c>
      <x:c r="J416" s="68" t="n">
        <x:f>IFERROR(H416/I416,"")</x:f>
        <x:v>0.3037974683544304</x:v>
      </x:c>
      <x:c r="K416" s="69" t="n">
        <x:f>IFERROR(I416/H416,"")</x:f>
        <x:v>3.2916666666666665</x:v>
      </x:c>
      <x:c r="L416" s="66" t="str">
        <x:f>IF(K416="","","1 : "&amp;TEXT(K416,"0.0"))</x:f>
        <x:v>1 : 3.3</x:v>
      </x:c>
      <x:c r="M416" s="66" t="str">
        <x:f>IF(J416="","Baru/Tanpa Data",IF(J416&lt;='Catatan &amp; Sumber'!$B$14,"Sangat Ketat",IF(J416&lt;='Catatan &amp; Sumber'!$B$15,"Ketat",IF(J416&lt;='Catatan &amp; Sumber'!$B$16,"Sedang","Relatif Longgar"))))</x:f>
        <x:v>Relatif Longgar</x:v>
      </x:c>
      <x:c r="N416" s="66" t="str">
        <x:v>Tidak Ada</x:v>
      </x:c>
      <x:c r="O416" s="66" t="str">
        <x:v>Riau</x:v>
      </x:c>
      <x:c r="P416" s="66" t="str">
        <x:v>Kota Pekanbaru</x:v>
      </x:c>
      <x:c r="Q416" s="66" t="str">
        <x:v>https://snpmb.id/snbp/daya-tampung-snbp</x:v>
      </x:c>
      <x:c r="R416" s="66" t="str">
        <x:v>https://sidatagrun-public-1076756628210.asia-southeast2.run.app/ptn_sn.php?ptn=131</x:v>
      </x:c>
    </x:row>
    <x:row r="417">
      <x:c r="A417" s="87" t="n">
        <x:v>3364</x:v>
      </x:c>
      <x:c r="B417" s="87" t="n">
        <x:v>132</x:v>
      </x:c>
      <x:c r="C417" s="66" t="str">
        <x:v>UIN SULTAN SYARIF KASIM</x:v>
      </x:c>
      <x:c r="D417" s="66" t="str">
        <x:v>PTKIN</x:v>
      </x:c>
      <x:c r="E417" s="66" t="str">
        <x:v>11321001</x:v>
      </x:c>
      <x:c r="F417" s="66" t="str">
        <x:v>PETERNAKAN</x:v>
      </x:c>
      <x:c r="G417" s="66" t="str">
        <x:v>Sarjana</x:v>
      </x:c>
      <x:c r="H417" s="87" t="n">
        <x:v>28</x:v>
      </x:c>
      <x:c r="I417" s="87" t="n">
        <x:v>72</x:v>
      </x:c>
      <x:c r="J417" s="68" t="n">
        <x:f>IFERROR(H417/I417,"")</x:f>
        <x:v>0.3888888888888889</x:v>
      </x:c>
      <x:c r="K417" s="69" t="n">
        <x:f>IFERROR(I417/H417,"")</x:f>
        <x:v>2.5714285714285716</x:v>
      </x:c>
      <x:c r="L417" s="66" t="str">
        <x:f>IF(K417="","","1 : "&amp;TEXT(K417,"0.0"))</x:f>
        <x:v>1 : 2.6</x:v>
      </x:c>
      <x:c r="M417" s="66" t="str">
        <x:f>IF(J417="","Baru/Tanpa Data",IF(J417&lt;='Catatan &amp; Sumber'!$B$14,"Sangat Ketat",IF(J417&lt;='Catatan &amp; Sumber'!$B$15,"Ketat",IF(J417&lt;='Catatan &amp; Sumber'!$B$16,"Sedang","Relatif Longgar"))))</x:f>
        <x:v>Relatif Longgar</x:v>
      </x:c>
      <x:c r="N417" s="66" t="str">
        <x:v>Tidak Ada</x:v>
      </x:c>
      <x:c r="O417" s="66" t="str">
        <x:v>Riau</x:v>
      </x:c>
      <x:c r="P417" s="66" t="str">
        <x:v>Kota Pekanbaru</x:v>
      </x:c>
      <x:c r="Q417" s="66" t="str">
        <x:v>https://snpmb.id/snbp/daya-tampung-snbp</x:v>
      </x:c>
      <x:c r="R417" s="66" t="str">
        <x:v>https://sidatagrun-public-1076756628210.asia-southeast2.run.app/ptn_sn.php?ptn=132</x:v>
      </x:c>
    </x:row>
    <x:row r="418">
      <x:c r="A418" s="87" t="n">
        <x:v>4354</x:v>
      </x:c>
      <x:c r="B418" s="87" t="n">
        <x:v>132</x:v>
      </x:c>
      <x:c r="C418" s="66" t="str">
        <x:v>UIN SULTAN SYARIF KASIM</x:v>
      </x:c>
      <x:c r="D418" s="66" t="str">
        <x:v>PTKIN</x:v>
      </x:c>
      <x:c r="E418" s="66" t="str">
        <x:v>11321002</x:v>
      </x:c>
      <x:c r="F418" s="66" t="str">
        <x:v>MATEMATIKA</x:v>
      </x:c>
      <x:c r="G418" s="66" t="str">
        <x:v>Sarjana</x:v>
      </x:c>
      <x:c r="H418" s="87" t="n">
        <x:v>20</x:v>
      </x:c>
      <x:c r="I418" s="87" t="n">
        <x:v>19</x:v>
      </x:c>
      <x:c r="J418" s="68" t="n">
        <x:f>IFERROR(H418/I418,"")</x:f>
        <x:v>1.0526315789473684</x:v>
      </x:c>
      <x:c r="K418" s="69" t="n">
        <x:f>IFERROR(I418/H418,"")</x:f>
        <x:v>0.95</x:v>
      </x:c>
      <x:c r="L418" s="66" t="str">
        <x:f>IF(K418="","","1 : "&amp;TEXT(K418,"0.0"))</x:f>
        <x:v>1 : 1.0</x:v>
      </x:c>
      <x:c r="M418" s="66" t="str">
        <x:f>IF(J418="","Baru/Tanpa Data",IF(J418&lt;='Catatan &amp; Sumber'!$B$14,"Sangat Ketat",IF(J418&lt;='Catatan &amp; Sumber'!$B$15,"Ketat",IF(J418&lt;='Catatan &amp; Sumber'!$B$16,"Sedang","Relatif Longgar"))))</x:f>
        <x:v>Relatif Longgar</x:v>
      </x:c>
      <x:c r="N418" s="66" t="str">
        <x:v>Tidak Ada</x:v>
      </x:c>
      <x:c r="O418" s="66" t="str">
        <x:v>Riau</x:v>
      </x:c>
      <x:c r="P418" s="66" t="str">
        <x:v>Kota Pekanbaru</x:v>
      </x:c>
      <x:c r="Q418" s="66" t="str">
        <x:v>https://snpmb.id/snbp/daya-tampung-snbp</x:v>
      </x:c>
      <x:c r="R418" s="66" t="str">
        <x:v>https://sidatagrun-public-1076756628210.asia-southeast2.run.app/ptn_sn.php?ptn=132</x:v>
      </x:c>
    </x:row>
    <x:row r="419">
      <x:c r="A419" s="87" t="n">
        <x:v>1730</x:v>
      </x:c>
      <x:c r="B419" s="87" t="n">
        <x:v>132</x:v>
      </x:c>
      <x:c r="C419" s="66" t="str">
        <x:v>UIN SULTAN SYARIF KASIM</x:v>
      </x:c>
      <x:c r="D419" s="66" t="str">
        <x:v>PTKIN</x:v>
      </x:c>
      <x:c r="E419" s="66" t="str">
        <x:v>11321003</x:v>
      </x:c>
      <x:c r="F419" s="66" t="str">
        <x:v>SISTEM INFORMASI</x:v>
      </x:c>
      <x:c r="G419" s="66" t="str">
        <x:v>Sarjana</x:v>
      </x:c>
      <x:c r="H419" s="87" t="n">
        <x:v>24</x:v>
      </x:c>
      <x:c r="I419" s="87" t="n">
        <x:v>190</x:v>
      </x:c>
      <x:c r="J419" s="68" t="n">
        <x:f>IFERROR(H419/I419,"")</x:f>
        <x:v>0.12631578947368421</x:v>
      </x:c>
      <x:c r="K419" s="69" t="n">
        <x:f>IFERROR(I419/H419,"")</x:f>
        <x:v>7.916666666666667</x:v>
      </x:c>
      <x:c r="L419" s="66" t="str">
        <x:f>IF(K419="","","1 : "&amp;TEXT(K419,"0.0"))</x:f>
        <x:v>1 : 7.9</x:v>
      </x:c>
      <x:c r="M419" s="66" t="str">
        <x:f>IF(J419="","Baru/Tanpa Data",IF(J419&lt;='Catatan &amp; Sumber'!$B$14,"Sangat Ketat",IF(J419&lt;='Catatan &amp; Sumber'!$B$15,"Ketat",IF(J419&lt;='Catatan &amp; Sumber'!$B$16,"Sedang","Relatif Longgar"))))</x:f>
        <x:v>Relatif Longgar</x:v>
      </x:c>
      <x:c r="N419" s="66" t="str">
        <x:v>Tidak Ada</x:v>
      </x:c>
      <x:c r="O419" s="66" t="str">
        <x:v>Riau</x:v>
      </x:c>
      <x:c r="P419" s="66" t="str">
        <x:v>Kota Pekanbaru</x:v>
      </x:c>
      <x:c r="Q419" s="66" t="str">
        <x:v>https://snpmb.id/snbp/daya-tampung-snbp</x:v>
      </x:c>
      <x:c r="R419" s="66" t="str">
        <x:v>https://sidatagrun-public-1076756628210.asia-southeast2.run.app/ptn_sn.php?ptn=132</x:v>
      </x:c>
    </x:row>
    <x:row r="420">
      <x:c r="A420" s="87" t="n">
        <x:v>3159</x:v>
      </x:c>
      <x:c r="B420" s="87" t="n">
        <x:v>132</x:v>
      </x:c>
      <x:c r="C420" s="66" t="str">
        <x:v>UIN SULTAN SYARIF KASIM</x:v>
      </x:c>
      <x:c r="D420" s="66" t="str">
        <x:v>PTKIN</x:v>
      </x:c>
      <x:c r="E420" s="66" t="str">
        <x:v>11321004</x:v>
      </x:c>
      <x:c r="F420" s="66" t="str">
        <x:v>TEKNIK ELEKTRO</x:v>
      </x:c>
      <x:c r="G420" s="66" t="str">
        <x:v>Sarjana</x:v>
      </x:c>
      <x:c r="H420" s="87" t="n">
        <x:v>26</x:v>
      </x:c>
      <x:c r="I420" s="87" t="n">
        <x:v>79</x:v>
      </x:c>
      <x:c r="J420" s="68" t="n">
        <x:f>IFERROR(H420/I420,"")</x:f>
        <x:v>0.3291139240506329</x:v>
      </x:c>
      <x:c r="K420" s="69" t="n">
        <x:f>IFERROR(I420/H420,"")</x:f>
        <x:v>3.0384615384615383</x:v>
      </x:c>
      <x:c r="L420" s="66" t="str">
        <x:f>IF(K420="","","1 : "&amp;TEXT(K420,"0.0"))</x:f>
        <x:v>1 : 3.0</x:v>
      </x:c>
      <x:c r="M420" s="66" t="str">
        <x:f>IF(J420="","Baru/Tanpa Data",IF(J420&lt;='Catatan &amp; Sumber'!$B$14,"Sangat Ketat",IF(J420&lt;='Catatan &amp; Sumber'!$B$15,"Ketat",IF(J420&lt;='Catatan &amp; Sumber'!$B$16,"Sedang","Relatif Longgar"))))</x:f>
        <x:v>Relatif Longgar</x:v>
      </x:c>
      <x:c r="N420" s="66" t="str">
        <x:v>Tidak Ada</x:v>
      </x:c>
      <x:c r="O420" s="66" t="str">
        <x:v>Riau</x:v>
      </x:c>
      <x:c r="P420" s="66" t="str">
        <x:v>Kota Pekanbaru</x:v>
      </x:c>
      <x:c r="Q420" s="66" t="str">
        <x:v>https://snpmb.id/snbp/daya-tampung-snbp</x:v>
      </x:c>
      <x:c r="R420" s="66" t="str">
        <x:v>https://sidatagrun-public-1076756628210.asia-southeast2.run.app/ptn_sn.php?ptn=132</x:v>
      </x:c>
    </x:row>
    <x:row r="421">
      <x:c r="A421" s="87" t="n">
        <x:v>1789</x:v>
      </x:c>
      <x:c r="B421" s="87" t="n">
        <x:v>132</x:v>
      </x:c>
      <x:c r="C421" s="66" t="str">
        <x:v>UIN SULTAN SYARIF KASIM</x:v>
      </x:c>
      <x:c r="D421" s="66" t="str">
        <x:v>PTKIN</x:v>
      </x:c>
      <x:c r="E421" s="66" t="str">
        <x:v>11321005</x:v>
      </x:c>
      <x:c r="F421" s="66" t="str">
        <x:v>TEKNIK INDUSTRI</x:v>
      </x:c>
      <x:c r="G421" s="66" t="str">
        <x:v>Sarjana</x:v>
      </x:c>
      <x:c r="H421" s="87" t="n">
        <x:v>28</x:v>
      </x:c>
      <x:c r="I421" s="87" t="n">
        <x:v>213</x:v>
      </x:c>
      <x:c r="J421" s="68" t="n">
        <x:f>IFERROR(H421/I421,"")</x:f>
        <x:v>0.13145539906103287</x:v>
      </x:c>
      <x:c r="K421" s="69" t="n">
        <x:f>IFERROR(I421/H421,"")</x:f>
        <x:v>7.607142857142857</x:v>
      </x:c>
      <x:c r="L421" s="66" t="str">
        <x:f>IF(K421="","","1 : "&amp;TEXT(K421,"0.0"))</x:f>
        <x:v>1 : 7.6</x:v>
      </x:c>
      <x:c r="M421" s="66" t="str">
        <x:f>IF(J421="","Baru/Tanpa Data",IF(J421&lt;='Catatan &amp; Sumber'!$B$14,"Sangat Ketat",IF(J421&lt;='Catatan &amp; Sumber'!$B$15,"Ketat",IF(J421&lt;='Catatan &amp; Sumber'!$B$16,"Sedang","Relatif Longgar"))))</x:f>
        <x:v>Relatif Longgar</x:v>
      </x:c>
      <x:c r="N421" s="66" t="str">
        <x:v>Tidak Ada</x:v>
      </x:c>
      <x:c r="O421" s="66" t="str">
        <x:v>Riau</x:v>
      </x:c>
      <x:c r="P421" s="66" t="str">
        <x:v>Kota Pekanbaru</x:v>
      </x:c>
      <x:c r="Q421" s="66" t="str">
        <x:v>https://snpmb.id/snbp/daya-tampung-snbp</x:v>
      </x:c>
      <x:c r="R421" s="66" t="str">
        <x:v>https://sidatagrun-public-1076756628210.asia-southeast2.run.app/ptn_sn.php?ptn=132</x:v>
      </x:c>
    </x:row>
    <x:row r="422">
      <x:c r="A422" s="87" t="n">
        <x:v>655</x:v>
      </x:c>
      <x:c r="B422" s="87" t="n">
        <x:v>132</x:v>
      </x:c>
      <x:c r="C422" s="66" t="str">
        <x:v>UIN SULTAN SYARIF KASIM</x:v>
      </x:c>
      <x:c r="D422" s="66" t="str">
        <x:v>PTKIN</x:v>
      </x:c>
      <x:c r="E422" s="66" t="str">
        <x:v>11321006</x:v>
      </x:c>
      <x:c r="F422" s="66" t="str">
        <x:v>TEKNIK INFORMATIKA</x:v>
      </x:c>
      <x:c r="G422" s="66" t="str">
        <x:v>Sarjana</x:v>
      </x:c>
      <x:c r="H422" s="87" t="n">
        <x:v>16</x:v>
      </x:c>
      <x:c r="I422" s="87" t="n">
        <x:v>269</x:v>
      </x:c>
      <x:c r="J422" s="68" t="n">
        <x:f>IFERROR(H422/I422,"")</x:f>
        <x:v>0.05947955390334572</x:v>
      </x:c>
      <x:c r="K422" s="69" t="n">
        <x:f>IFERROR(I422/H422,"")</x:f>
        <x:v>16.8125</x:v>
      </x:c>
      <x:c r="L422" s="66" t="str">
        <x:f>IF(K422="","","1 : "&amp;TEXT(K422,"0.0"))</x:f>
        <x:v>1 : 16.8</x:v>
      </x:c>
      <x:c r="M422" s="66" t="str">
        <x:f>IF(J422="","Baru/Tanpa Data",IF(J422&lt;='Catatan &amp; Sumber'!$B$14,"Sangat Ketat",IF(J422&lt;='Catatan &amp; Sumber'!$B$15,"Ketat",IF(J422&lt;='Catatan &amp; Sumber'!$B$16,"Sedang","Relatif Longgar"))))</x:f>
        <x:v>Sedang</x:v>
      </x:c>
      <x:c r="N422" s="66" t="str">
        <x:v>Tidak Ada</x:v>
      </x:c>
      <x:c r="O422" s="66" t="str">
        <x:v>Riau</x:v>
      </x:c>
      <x:c r="P422" s="66" t="str">
        <x:v>Kota Pekanbaru</x:v>
      </x:c>
      <x:c r="Q422" s="66" t="str">
        <x:v>https://snpmb.id/snbp/daya-tampung-snbp</x:v>
      </x:c>
      <x:c r="R422" s="66" t="str">
        <x:v>https://sidatagrun-public-1076756628210.asia-southeast2.run.app/ptn_sn.php?ptn=132</x:v>
      </x:c>
    </x:row>
    <x:row r="423">
      <x:c r="A423" s="87" t="n">
        <x:v>2758</x:v>
      </x:c>
      <x:c r="B423" s="87" t="n">
        <x:v>132</x:v>
      </x:c>
      <x:c r="C423" s="66" t="str">
        <x:v>UIN SULTAN SYARIF KASIM</x:v>
      </x:c>
      <x:c r="D423" s="66" t="str">
        <x:v>PTKIN</x:v>
      </x:c>
      <x:c r="E423" s="66" t="str">
        <x:v>11321007</x:v>
      </x:c>
      <x:c r="F423" s="66" t="str">
        <x:v>PENDIDIKAN MATEMATIKA</x:v>
      </x:c>
      <x:c r="G423" s="66" t="str">
        <x:v>Sarjana</x:v>
      </x:c>
      <x:c r="H423" s="87" t="n">
        <x:v>28</x:v>
      </x:c>
      <x:c r="I423" s="87" t="n">
        <x:v>111</x:v>
      </x:c>
      <x:c r="J423" s="68" t="n">
        <x:f>IFERROR(H423/I423,"")</x:f>
        <x:v>0.25225225225225223</x:v>
      </x:c>
      <x:c r="K423" s="69" t="n">
        <x:f>IFERROR(I423/H423,"")</x:f>
        <x:v>3.9642857142857144</x:v>
      </x:c>
      <x:c r="L423" s="66" t="str">
        <x:f>IF(K423="","","1 : "&amp;TEXT(K423,"0.0"))</x:f>
        <x:v>1 : 4.0</x:v>
      </x:c>
      <x:c r="M423" s="66" t="str">
        <x:f>IF(J423="","Baru/Tanpa Data",IF(J423&lt;='Catatan &amp; Sumber'!$B$14,"Sangat Ketat",IF(J423&lt;='Catatan &amp; Sumber'!$B$15,"Ketat",IF(J423&lt;='Catatan &amp; Sumber'!$B$16,"Sedang","Relatif Longgar"))))</x:f>
        <x:v>Relatif Longgar</x:v>
      </x:c>
      <x:c r="N423" s="66" t="str">
        <x:v>Tidak Ada</x:v>
      </x:c>
      <x:c r="O423" s="66" t="str">
        <x:v>Riau</x:v>
      </x:c>
      <x:c r="P423" s="66" t="str">
        <x:v>Kota Pekanbaru</x:v>
      </x:c>
      <x:c r="Q423" s="66" t="str">
        <x:v>https://snpmb.id/snbp/daya-tampung-snbp</x:v>
      </x:c>
      <x:c r="R423" s="66" t="str">
        <x:v>https://sidatagrun-public-1076756628210.asia-southeast2.run.app/ptn_sn.php?ptn=132</x:v>
      </x:c>
    </x:row>
    <x:row r="424">
      <x:c r="A424" s="87" t="n">
        <x:v>4027</x:v>
      </x:c>
      <x:c r="B424" s="87" t="n">
        <x:v>132</x:v>
      </x:c>
      <x:c r="C424" s="66" t="str">
        <x:v>UIN SULTAN SYARIF KASIM</x:v>
      </x:c>
      <x:c r="D424" s="66" t="str">
        <x:v>PTKIN</x:v>
      </x:c>
      <x:c r="E424" s="66" t="str">
        <x:v>11321008</x:v>
      </x:c>
      <x:c r="F424" s="66" t="str">
        <x:v>PENDIDIKAN KIMIA</x:v>
      </x:c>
      <x:c r="G424" s="66" t="str">
        <x:v>Sarjana</x:v>
      </x:c>
      <x:c r="H424" s="87" t="n">
        <x:v>26</x:v>
      </x:c>
      <x:c r="I424" s="87" t="n">
        <x:v>37</x:v>
      </x:c>
      <x:c r="J424" s="68" t="n">
        <x:f>IFERROR(H424/I424,"")</x:f>
        <x:v>0.7027027027027027</x:v>
      </x:c>
      <x:c r="K424" s="69" t="n">
        <x:f>IFERROR(I424/H424,"")</x:f>
        <x:v>1.4230769230769231</x:v>
      </x:c>
      <x:c r="L424" s="66" t="str">
        <x:f>IF(K424="","","1 : "&amp;TEXT(K424,"0.0"))</x:f>
        <x:v>1 : 1.4</x:v>
      </x:c>
      <x:c r="M424" s="66" t="str">
        <x:f>IF(J424="","Baru/Tanpa Data",IF(J424&lt;='Catatan &amp; Sumber'!$B$14,"Sangat Ketat",IF(J424&lt;='Catatan &amp; Sumber'!$B$15,"Ketat",IF(J424&lt;='Catatan &amp; Sumber'!$B$16,"Sedang","Relatif Longgar"))))</x:f>
        <x:v>Relatif Longgar</x:v>
      </x:c>
      <x:c r="N424" s="66" t="str">
        <x:v>Tidak Ada</x:v>
      </x:c>
      <x:c r="O424" s="66" t="str">
        <x:v>Riau</x:v>
      </x:c>
      <x:c r="P424" s="66" t="str">
        <x:v>Kota Pekanbaru</x:v>
      </x:c>
      <x:c r="Q424" s="66" t="str">
        <x:v>https://snpmb.id/snbp/daya-tampung-snbp</x:v>
      </x:c>
      <x:c r="R424" s="66" t="str">
        <x:v>https://sidatagrun-public-1076756628210.asia-southeast2.run.app/ptn_sn.php?ptn=132</x:v>
      </x:c>
    </x:row>
    <x:row r="425">
      <x:c r="A425" s="87" t="n">
        <x:v>2588</x:v>
      </x:c>
      <x:c r="B425" s="87" t="n">
        <x:v>132</x:v>
      </x:c>
      <x:c r="C425" s="66" t="str">
        <x:v>UIN SULTAN SYARIF KASIM</x:v>
      </x:c>
      <x:c r="D425" s="66" t="str">
        <x:v>PTKIN</x:v>
      </x:c>
      <x:c r="E425" s="66" t="str">
        <x:v>11321009</x:v>
      </x:c>
      <x:c r="F425" s="66" t="str">
        <x:v>AGROTEKNOLOGI</x:v>
      </x:c>
      <x:c r="G425" s="66" t="str">
        <x:v>Sarjana</x:v>
      </x:c>
      <x:c r="H425" s="87" t="n">
        <x:v>36</x:v>
      </x:c>
      <x:c r="I425" s="87" t="n">
        <x:v>159</x:v>
      </x:c>
      <x:c r="J425" s="68" t="n">
        <x:f>IFERROR(H425/I425,"")</x:f>
        <x:v>0.22641509433962265</x:v>
      </x:c>
      <x:c r="K425" s="69" t="n">
        <x:f>IFERROR(I425/H425,"")</x:f>
        <x:v>4.416666666666667</x:v>
      </x:c>
      <x:c r="L425" s="66" t="str">
        <x:f>IF(K425="","","1 : "&amp;TEXT(K425,"0.0"))</x:f>
        <x:v>1 : 4.4</x:v>
      </x:c>
      <x:c r="M425" s="66" t="str">
        <x:f>IF(J425="","Baru/Tanpa Data",IF(J425&lt;='Catatan &amp; Sumber'!$B$14,"Sangat Ketat",IF(J425&lt;='Catatan &amp; Sumber'!$B$15,"Ketat",IF(J425&lt;='Catatan &amp; Sumber'!$B$16,"Sedang","Relatif Longgar"))))</x:f>
        <x:v>Relatif Longgar</x:v>
      </x:c>
      <x:c r="N425" s="66" t="str">
        <x:v>Tidak Ada</x:v>
      </x:c>
      <x:c r="O425" s="66" t="str">
        <x:v>Riau</x:v>
      </x:c>
      <x:c r="P425" s="66" t="str">
        <x:v>Kota Pekanbaru</x:v>
      </x:c>
      <x:c r="Q425" s="66" t="str">
        <x:v>https://snpmb.id/snbp/daya-tampung-snbp</x:v>
      </x:c>
      <x:c r="R425" s="66" t="str">
        <x:v>https://sidatagrun-public-1076756628210.asia-southeast2.run.app/ptn_sn.php?ptn=132</x:v>
      </x:c>
    </x:row>
    <x:row r="426">
      <x:c r="A426" s="87" t="n">
        <x:v>208</x:v>
      </x:c>
      <x:c r="B426" s="87" t="n">
        <x:v>132</x:v>
      </x:c>
      <x:c r="C426" s="66" t="str">
        <x:v>UIN SULTAN SYARIF KASIM</x:v>
      </x:c>
      <x:c r="D426" s="66" t="str">
        <x:v>PTKIN</x:v>
      </x:c>
      <x:c r="E426" s="66" t="str">
        <x:v>11321010</x:v>
      </x:c>
      <x:c r="F426" s="66" t="str">
        <x:v>GIZI</x:v>
      </x:c>
      <x:c r="G426" s="66" t="str">
        <x:v>Sarjana</x:v>
      </x:c>
      <x:c r="H426" s="87" t="n">
        <x:v>12</x:v>
      </x:c>
      <x:c r="I426" s="87" t="n">
        <x:v>321</x:v>
      </x:c>
      <x:c r="J426" s="68" t="n">
        <x:f>IFERROR(H426/I426,"")</x:f>
        <x:v>0.037383177570093455</x:v>
      </x:c>
      <x:c r="K426" s="69" t="n">
        <x:f>IFERROR(I426/H426,"")</x:f>
        <x:v>26.75</x:v>
      </x:c>
      <x:c r="L426" s="66" t="str">
        <x:f>IF(K426="","","1 : "&amp;TEXT(K426,"0.0"))</x:f>
        <x:v>1 : 26.8</x:v>
      </x:c>
      <x:c r="M426" s="66" t="str">
        <x:f>IF(J426="","Baru/Tanpa Data",IF(J426&lt;='Catatan &amp; Sumber'!$B$14,"Sangat Ketat",IF(J426&lt;='Catatan &amp; Sumber'!$B$15,"Ketat",IF(J426&lt;='Catatan &amp; Sumber'!$B$16,"Sedang","Relatif Longgar"))))</x:f>
        <x:v>Ketat</x:v>
      </x:c>
      <x:c r="N426" s="66" t="str">
        <x:v>Tidak Ada</x:v>
      </x:c>
      <x:c r="O426" s="66" t="str">
        <x:v>Riau</x:v>
      </x:c>
      <x:c r="P426" s="66" t="str">
        <x:v>Kota Pekanbaru</x:v>
      </x:c>
      <x:c r="Q426" s="66" t="str">
        <x:v>https://snpmb.id/snbp/daya-tampung-snbp</x:v>
      </x:c>
      <x:c r="R426" s="66" t="str">
        <x:v>https://sidatagrun-public-1076756628210.asia-southeast2.run.app/ptn_sn.php?ptn=132</x:v>
      </x:c>
    </x:row>
    <x:row r="427">
      <x:c r="A427" s="87" t="n">
        <x:v>2921</x:v>
      </x:c>
      <x:c r="B427" s="87" t="n">
        <x:v>132</x:v>
      </x:c>
      <x:c r="C427" s="66" t="str">
        <x:v>UIN SULTAN SYARIF KASIM</x:v>
      </x:c>
      <x:c r="D427" s="66" t="str">
        <x:v>PTKIN</x:v>
      </x:c>
      <x:c r="E427" s="66" t="str">
        <x:v>11321011</x:v>
      </x:c>
      <x:c r="F427" s="66" t="str">
        <x:v>AKUNTANSI</x:v>
      </x:c>
      <x:c r="G427" s="66" t="str">
        <x:v>Sarjana</x:v>
      </x:c>
      <x:c r="H427" s="87" t="n">
        <x:v>60</x:v>
      </x:c>
      <x:c r="I427" s="87" t="n">
        <x:v>216</x:v>
      </x:c>
      <x:c r="J427" s="68" t="n">
        <x:f>IFERROR(H427/I427,"")</x:f>
        <x:v>0.2777777777777778</x:v>
      </x:c>
      <x:c r="K427" s="69" t="n">
        <x:f>IFERROR(I427/H427,"")</x:f>
        <x:v>3.6</x:v>
      </x:c>
      <x:c r="L427" s="66" t="str">
        <x:f>IF(K427="","","1 : "&amp;TEXT(K427,"0.0"))</x:f>
        <x:v>1 : 3.6</x:v>
      </x:c>
      <x:c r="M427" s="66" t="str">
        <x:f>IF(J427="","Baru/Tanpa Data",IF(J427&lt;='Catatan &amp; Sumber'!$B$14,"Sangat Ketat",IF(J427&lt;='Catatan &amp; Sumber'!$B$15,"Ketat",IF(J427&lt;='Catatan &amp; Sumber'!$B$16,"Sedang","Relatif Longgar"))))</x:f>
        <x:v>Relatif Longgar</x:v>
      </x:c>
      <x:c r="N427" s="66" t="str">
        <x:v>Tidak Ada</x:v>
      </x:c>
      <x:c r="O427" s="66" t="str">
        <x:v>Riau</x:v>
      </x:c>
      <x:c r="P427" s="66" t="str">
        <x:v>Kota Pekanbaru</x:v>
      </x:c>
      <x:c r="Q427" s="66" t="str">
        <x:v>https://snpmb.id/snbp/daya-tampung-snbp</x:v>
      </x:c>
      <x:c r="R427" s="66" t="str">
        <x:v>https://sidatagrun-public-1076756628210.asia-southeast2.run.app/ptn_sn.php?ptn=132</x:v>
      </x:c>
    </x:row>
    <x:row r="428">
      <x:c r="A428" s="87" t="n">
        <x:v>3061</x:v>
      </x:c>
      <x:c r="B428" s="87" t="n">
        <x:v>132</x:v>
      </x:c>
      <x:c r="C428" s="66" t="str">
        <x:v>UIN SULTAN SYARIF KASIM</x:v>
      </x:c>
      <x:c r="D428" s="66" t="str">
        <x:v>PTKIN</x:v>
      </x:c>
      <x:c r="E428" s="66" t="str">
        <x:v>11321012</x:v>
      </x:c>
      <x:c r="F428" s="66" t="str">
        <x:v>ILMU ADMINISTRASI NEGARA</x:v>
      </x:c>
      <x:c r="G428" s="66" t="str">
        <x:v>Sarjana</x:v>
      </x:c>
      <x:c r="H428" s="87" t="n">
        <x:v>60</x:v>
      </x:c>
      <x:c r="I428" s="87" t="n">
        <x:v>196</x:v>
      </x:c>
      <x:c r="J428" s="68" t="n">
        <x:f>IFERROR(H428/I428,"")</x:f>
        <x:v>0.30612244897959184</x:v>
      </x:c>
      <x:c r="K428" s="69" t="n">
        <x:f>IFERROR(I428/H428,"")</x:f>
        <x:v>3.2666666666666666</x:v>
      </x:c>
      <x:c r="L428" s="66" t="str">
        <x:f>IF(K428="","","1 : "&amp;TEXT(K428,"0.0"))</x:f>
        <x:v>1 : 3.3</x:v>
      </x:c>
      <x:c r="M428" s="66" t="str">
        <x:f>IF(J428="","Baru/Tanpa Data",IF(J428&lt;='Catatan &amp; Sumber'!$B$14,"Sangat Ketat",IF(J428&lt;='Catatan &amp; Sumber'!$B$15,"Ketat",IF(J428&lt;='Catatan &amp; Sumber'!$B$16,"Sedang","Relatif Longgar"))))</x:f>
        <x:v>Relatif Longgar</x:v>
      </x:c>
      <x:c r="N428" s="66" t="str">
        <x:v>Tidak Ada</x:v>
      </x:c>
      <x:c r="O428" s="66" t="str">
        <x:v>Riau</x:v>
      </x:c>
      <x:c r="P428" s="66" t="str">
        <x:v>Kota Pekanbaru</x:v>
      </x:c>
      <x:c r="Q428" s="66" t="str">
        <x:v>https://snpmb.id/snbp/daya-tampung-snbp</x:v>
      </x:c>
      <x:c r="R428" s="66" t="str">
        <x:v>https://sidatagrun-public-1076756628210.asia-southeast2.run.app/ptn_sn.php?ptn=132</x:v>
      </x:c>
    </x:row>
    <x:row r="429">
      <x:c r="A429" s="87" t="n">
        <x:v>2397</x:v>
      </x:c>
      <x:c r="B429" s="87" t="n">
        <x:v>132</x:v>
      </x:c>
      <x:c r="C429" s="66" t="str">
        <x:v>UIN SULTAN SYARIF KASIM</x:v>
      </x:c>
      <x:c r="D429" s="66" t="str">
        <x:v>PTKIN</x:v>
      </x:c>
      <x:c r="E429" s="66" t="str">
        <x:v>11321013</x:v>
      </x:c>
      <x:c r="F429" s="66" t="str">
        <x:v>MANAJEMEN</x:v>
      </x:c>
      <x:c r="G429" s="66" t="str">
        <x:v>Sarjana</x:v>
      </x:c>
      <x:c r="H429" s="87" t="n">
        <x:v>64</x:v>
      </x:c>
      <x:c r="I429" s="87" t="n">
        <x:v>328</x:v>
      </x:c>
      <x:c r="J429" s="68" t="n">
        <x:f>IFERROR(H429/I429,"")</x:f>
        <x:v>0.1951219512195122</x:v>
      </x:c>
      <x:c r="K429" s="69" t="n">
        <x:f>IFERROR(I429/H429,"")</x:f>
        <x:v>5.125</x:v>
      </x:c>
      <x:c r="L429" s="66" t="str">
        <x:f>IF(K429="","","1 : "&amp;TEXT(K429,"0.0"))</x:f>
        <x:v>1 : 5.1</x:v>
      </x:c>
      <x:c r="M429" s="66" t="str">
        <x:f>IF(J429="","Baru/Tanpa Data",IF(J429&lt;='Catatan &amp; Sumber'!$B$14,"Sangat Ketat",IF(J429&lt;='Catatan &amp; Sumber'!$B$15,"Ketat",IF(J429&lt;='Catatan &amp; Sumber'!$B$16,"Sedang","Relatif Longgar"))))</x:f>
        <x:v>Relatif Longgar</x:v>
      </x:c>
      <x:c r="N429" s="66" t="str">
        <x:v>Tidak Ada</x:v>
      </x:c>
      <x:c r="O429" s="66" t="str">
        <x:v>Riau</x:v>
      </x:c>
      <x:c r="P429" s="66" t="str">
        <x:v>Kota Pekanbaru</x:v>
      </x:c>
      <x:c r="Q429" s="66" t="str">
        <x:v>https://snpmb.id/snbp/daya-tampung-snbp</x:v>
      </x:c>
      <x:c r="R429" s="66" t="str">
        <x:v>https://sidatagrun-public-1076756628210.asia-southeast2.run.app/ptn_sn.php?ptn=132</x:v>
      </x:c>
    </x:row>
    <x:row r="430">
      <x:c r="A430" s="87" t="n">
        <x:v>1377</x:v>
      </x:c>
      <x:c r="B430" s="87" t="n">
        <x:v>132</x:v>
      </x:c>
      <x:c r="C430" s="66" t="str">
        <x:v>UIN SULTAN SYARIF KASIM</x:v>
      </x:c>
      <x:c r="D430" s="66" t="str">
        <x:v>PTKIN</x:v>
      </x:c>
      <x:c r="E430" s="66" t="str">
        <x:v>11321014</x:v>
      </x:c>
      <x:c r="F430" s="66" t="str">
        <x:v>PSIKOLOGI</x:v>
      </x:c>
      <x:c r="G430" s="66" t="str">
        <x:v>Sarjana</x:v>
      </x:c>
      <x:c r="H430" s="87" t="n">
        <x:v>43</x:v>
      </x:c>
      <x:c r="I430" s="87" t="n">
        <x:v>429</x:v>
      </x:c>
      <x:c r="J430" s="68" t="n">
        <x:f>IFERROR(H430/I430,"")</x:f>
        <x:v>0.10023310023310024</x:v>
      </x:c>
      <x:c r="K430" s="69" t="n">
        <x:f>IFERROR(I430/H430,"")</x:f>
        <x:v>9.976744186046512</x:v>
      </x:c>
      <x:c r="L430" s="66" t="str">
        <x:f>IF(K430="","","1 : "&amp;TEXT(K430,"0.0"))</x:f>
        <x:v>1 : 10.0</x:v>
      </x:c>
      <x:c r="M430" s="66" t="str">
        <x:f>IF(J430="","Baru/Tanpa Data",IF(J430&lt;='Catatan &amp; Sumber'!$B$14,"Sangat Ketat",IF(J430&lt;='Catatan &amp; Sumber'!$B$15,"Ketat",IF(J430&lt;='Catatan &amp; Sumber'!$B$16,"Sedang","Relatif Longgar"))))</x:f>
        <x:v>Relatif Longgar</x:v>
      </x:c>
      <x:c r="N430" s="66" t="str">
        <x:v>Tidak Ada</x:v>
      </x:c>
      <x:c r="O430" s="66" t="str">
        <x:v>Riau</x:v>
      </x:c>
      <x:c r="P430" s="66" t="str">
        <x:v>Kota Pekanbaru</x:v>
      </x:c>
      <x:c r="Q430" s="66" t="str">
        <x:v>https://snpmb.id/snbp/daya-tampung-snbp</x:v>
      </x:c>
      <x:c r="R430" s="66" t="str">
        <x:v>https://sidatagrun-public-1076756628210.asia-southeast2.run.app/ptn_sn.php?ptn=132</x:v>
      </x:c>
    </x:row>
    <x:row r="431">
      <x:c r="A431" s="87" t="n">
        <x:v>3122</x:v>
      </x:c>
      <x:c r="B431" s="87" t="n">
        <x:v>132</x:v>
      </x:c>
      <x:c r="C431" s="66" t="str">
        <x:v>UIN SULTAN SYARIF KASIM</x:v>
      </x:c>
      <x:c r="D431" s="66" t="str">
        <x:v>PTKIN</x:v>
      </x:c>
      <x:c r="E431" s="66" t="str">
        <x:v>11321015</x:v>
      </x:c>
      <x:c r="F431" s="66" t="str">
        <x:v>ILMU HUKUM</x:v>
      </x:c>
      <x:c r="G431" s="66" t="str">
        <x:v>Sarjana</x:v>
      </x:c>
      <x:c r="H431" s="87" t="n">
        <x:v>40</x:v>
      </x:c>
      <x:c r="I431" s="87" t="n">
        <x:v>125</x:v>
      </x:c>
      <x:c r="J431" s="68" t="n">
        <x:f>IFERROR(H431/I431,"")</x:f>
        <x:v>0.32</x:v>
      </x:c>
      <x:c r="K431" s="69" t="n">
        <x:f>IFERROR(I431/H431,"")</x:f>
        <x:v>3.125</x:v>
      </x:c>
      <x:c r="L431" s="66" t="str">
        <x:f>IF(K431="","","1 : "&amp;TEXT(K431,"0.0"))</x:f>
        <x:v>1 : 3.1</x:v>
      </x:c>
      <x:c r="M431" s="66" t="str">
        <x:f>IF(J431="","Baru/Tanpa Data",IF(J431&lt;='Catatan &amp; Sumber'!$B$14,"Sangat Ketat",IF(J431&lt;='Catatan &amp; Sumber'!$B$15,"Ketat",IF(J431&lt;='Catatan &amp; Sumber'!$B$16,"Sedang","Relatif Longgar"))))</x:f>
        <x:v>Relatif Longgar</x:v>
      </x:c>
      <x:c r="N431" s="66" t="str">
        <x:v>Tidak Ada</x:v>
      </x:c>
      <x:c r="O431" s="66" t="str">
        <x:v>Riau</x:v>
      </x:c>
      <x:c r="P431" s="66" t="str">
        <x:v>Kota Pekanbaru</x:v>
      </x:c>
      <x:c r="Q431" s="66" t="str">
        <x:v>https://snpmb.id/snbp/daya-tampung-snbp</x:v>
      </x:c>
      <x:c r="R431" s="66" t="str">
        <x:v>https://sidatagrun-public-1076756628210.asia-southeast2.run.app/ptn_sn.php?ptn=132</x:v>
      </x:c>
    </x:row>
    <x:row r="432">
      <x:c r="A432" s="87" t="n">
        <x:v>2872</x:v>
      </x:c>
      <x:c r="B432" s="87" t="n">
        <x:v>132</x:v>
      </x:c>
      <x:c r="C432" s="66" t="str">
        <x:v>UIN SULTAN SYARIF KASIM</x:v>
      </x:c>
      <x:c r="D432" s="66" t="str">
        <x:v>PTKIN</x:v>
      </x:c>
      <x:c r="E432" s="66" t="str">
        <x:v>11321020</x:v>
      </x:c>
      <x:c r="F432" s="66" t="str">
        <x:v>PENDIDIKAN EKONOMI</x:v>
      </x:c>
      <x:c r="G432" s="66" t="str">
        <x:v>Sarjana</x:v>
      </x:c>
      <x:c r="H432" s="87" t="n">
        <x:v>26</x:v>
      </x:c>
      <x:c r="I432" s="87" t="n">
        <x:v>96</x:v>
      </x:c>
      <x:c r="J432" s="68" t="n">
        <x:f>IFERROR(H432/I432,"")</x:f>
        <x:v>0.2708333333333333</x:v>
      </x:c>
      <x:c r="K432" s="69" t="n">
        <x:f>IFERROR(I432/H432,"")</x:f>
        <x:v>3.6923076923076925</x:v>
      </x:c>
      <x:c r="L432" s="66" t="str">
        <x:f>IF(K432="","","1 : "&amp;TEXT(K432,"0.0"))</x:f>
        <x:v>1 : 3.7</x:v>
      </x:c>
      <x:c r="M432" s="66" t="str">
        <x:f>IF(J432="","Baru/Tanpa Data",IF(J432&lt;='Catatan &amp; Sumber'!$B$14,"Sangat Ketat",IF(J432&lt;='Catatan &amp; Sumber'!$B$15,"Ketat",IF(J432&lt;='Catatan &amp; Sumber'!$B$16,"Sedang","Relatif Longgar"))))</x:f>
        <x:v>Relatif Longgar</x:v>
      </x:c>
      <x:c r="N432" s="66" t="str">
        <x:v>Tidak Ada</x:v>
      </x:c>
      <x:c r="O432" s="66" t="str">
        <x:v>Riau</x:v>
      </x:c>
      <x:c r="P432" s="66" t="str">
        <x:v>Kota Pekanbaru</x:v>
      </x:c>
      <x:c r="Q432" s="66" t="str">
        <x:v>https://snpmb.id/snbp/daya-tampung-snbp</x:v>
      </x:c>
      <x:c r="R432" s="66" t="str">
        <x:v>https://sidatagrun-public-1076756628210.asia-southeast2.run.app/ptn_sn.php?ptn=132</x:v>
      </x:c>
    </x:row>
    <x:row r="433">
      <x:c r="A433" s="87" t="n">
        <x:v>2182</x:v>
      </x:c>
      <x:c r="B433" s="87" t="n">
        <x:v>132</x:v>
      </x:c>
      <x:c r="C433" s="66" t="str">
        <x:v>UIN SULTAN SYARIF KASIM</x:v>
      </x:c>
      <x:c r="D433" s="66" t="str">
        <x:v>PTKIN</x:v>
      </x:c>
      <x:c r="E433" s="66" t="str">
        <x:v>11321031</x:v>
      </x:c>
      <x:c r="F433" s="66" t="str">
        <x:v>ILMU KOMUNIKASI</x:v>
      </x:c>
      <x:c r="G433" s="66" t="str">
        <x:v>Sarjana</x:v>
      </x:c>
      <x:c r="H433" s="87" t="n">
        <x:v>36</x:v>
      </x:c>
      <x:c r="I433" s="87" t="n">
        <x:v>212</x:v>
      </x:c>
      <x:c r="J433" s="68" t="n">
        <x:f>IFERROR(H433/I433,"")</x:f>
        <x:v>0.16981132075471697</x:v>
      </x:c>
      <x:c r="K433" s="69" t="n">
        <x:f>IFERROR(I433/H433,"")</x:f>
        <x:v>5.888888888888889</x:v>
      </x:c>
      <x:c r="L433" s="66" t="str">
        <x:f>IF(K433="","","1 : "&amp;TEXT(K433,"0.0"))</x:f>
        <x:v>1 : 5.9</x:v>
      </x:c>
      <x:c r="M433" s="66" t="str">
        <x:f>IF(J433="","Baru/Tanpa Data",IF(J433&lt;='Catatan &amp; Sumber'!$B$14,"Sangat Ketat",IF(J433&lt;='Catatan &amp; Sumber'!$B$15,"Ketat",IF(J433&lt;='Catatan &amp; Sumber'!$B$16,"Sedang","Relatif Longgar"))))</x:f>
        <x:v>Relatif Longgar</x:v>
      </x:c>
      <x:c r="N433" s="66" t="str">
        <x:v>Tidak Ada</x:v>
      </x:c>
      <x:c r="O433" s="66" t="str">
        <x:v>Riau</x:v>
      </x:c>
      <x:c r="P433" s="66" t="str">
        <x:v>Kota Pekanbaru</x:v>
      </x:c>
      <x:c r="Q433" s="66" t="str">
        <x:v>https://snpmb.id/snbp/daya-tampung-snbp</x:v>
      </x:c>
      <x:c r="R433" s="66" t="str">
        <x:v>https://sidatagrun-public-1076756628210.asia-southeast2.run.app/ptn_sn.php?ptn=132</x:v>
      </x:c>
    </x:row>
    <x:row r="434">
      <x:c r="A434" s="87" t="n">
        <x:v>1395</x:v>
      </x:c>
      <x:c r="B434" s="87" t="n">
        <x:v>132</x:v>
      </x:c>
      <x:c r="C434" s="66" t="str">
        <x:v>UIN SULTAN SYARIF KASIM</x:v>
      </x:c>
      <x:c r="D434" s="66" t="str">
        <x:v>PTKIN</x:v>
      </x:c>
      <x:c r="E434" s="66" t="str">
        <x:v>11321035</x:v>
      </x:c>
      <x:c r="F434" s="66" t="str">
        <x:v>PENDIDIKAN BAHASA INDONESIA</x:v>
      </x:c>
      <x:c r="G434" s="66" t="str">
        <x:v>Sarjana</x:v>
      </x:c>
      <x:c r="H434" s="87" t="n">
        <x:v>30</x:v>
      </x:c>
      <x:c r="I434" s="87" t="n">
        <x:v>295</x:v>
      </x:c>
      <x:c r="J434" s="68" t="n">
        <x:f>IFERROR(H434/I434,"")</x:f>
        <x:v>0.1016949152542373</x:v>
      </x:c>
      <x:c r="K434" s="69" t="n">
        <x:f>IFERROR(I434/H434,"")</x:f>
        <x:v>9.833333333333334</x:v>
      </x:c>
      <x:c r="L434" s="66" t="str">
        <x:f>IF(K434="","","1 : "&amp;TEXT(K434,"0.0"))</x:f>
        <x:v>1 : 9.8</x:v>
      </x:c>
      <x:c r="M434" s="66" t="str">
        <x:f>IF(J434="","Baru/Tanpa Data",IF(J434&lt;='Catatan &amp; Sumber'!$B$14,"Sangat Ketat",IF(J434&lt;='Catatan &amp; Sumber'!$B$15,"Ketat",IF(J434&lt;='Catatan &amp; Sumber'!$B$16,"Sedang","Relatif Longgar"))))</x:f>
        <x:v>Relatif Longgar</x:v>
      </x:c>
      <x:c r="N434" s="66" t="str">
        <x:v>Tidak Ada</x:v>
      </x:c>
      <x:c r="O434" s="66" t="str">
        <x:v>Riau</x:v>
      </x:c>
      <x:c r="P434" s="66" t="str">
        <x:v>Kota Pekanbaru</x:v>
      </x:c>
      <x:c r="Q434" s="66" t="str">
        <x:v>https://snpmb.id/snbp/daya-tampung-snbp</x:v>
      </x:c>
      <x:c r="R434" s="66" t="str">
        <x:v>https://sidatagrun-public-1076756628210.asia-southeast2.run.app/ptn_sn.php?ptn=132</x:v>
      </x:c>
    </x:row>
    <x:row r="435">
      <x:c r="A435" s="87" t="n">
        <x:v>1879</x:v>
      </x:c>
      <x:c r="B435" s="87" t="n">
        <x:v>132</x:v>
      </x:c>
      <x:c r="C435" s="66" t="str">
        <x:v>UIN SULTAN SYARIF KASIM</x:v>
      </x:c>
      <x:c r="D435" s="66" t="str">
        <x:v>PTKIN</x:v>
      </x:c>
      <x:c r="E435" s="66" t="str">
        <x:v>11321036</x:v>
      </x:c>
      <x:c r="F435" s="66" t="str">
        <x:v>PENDIDIKAN GEOGRAFI</x:v>
      </x:c>
      <x:c r="G435" s="66" t="str">
        <x:v>Sarjana</x:v>
      </x:c>
      <x:c r="H435" s="87" t="n">
        <x:v>22</x:v>
      </x:c>
      <x:c r="I435" s="87" t="n">
        <x:v>158</x:v>
      </x:c>
      <x:c r="J435" s="68" t="n">
        <x:f>IFERROR(H435/I435,"")</x:f>
        <x:v>0.13924050632911392</x:v>
      </x:c>
      <x:c r="K435" s="69" t="n">
        <x:f>IFERROR(I435/H435,"")</x:f>
        <x:v>7.181818181818182</x:v>
      </x:c>
      <x:c r="L435" s="66" t="str">
        <x:f>IF(K435="","","1 : "&amp;TEXT(K435,"0.0"))</x:f>
        <x:v>1 : 7.2</x:v>
      </x:c>
      <x:c r="M435" s="66" t="str">
        <x:f>IF(J435="","Baru/Tanpa Data",IF(J435&lt;='Catatan &amp; Sumber'!$B$14,"Sangat Ketat",IF(J435&lt;='Catatan &amp; Sumber'!$B$15,"Ketat",IF(J435&lt;='Catatan &amp; Sumber'!$B$16,"Sedang","Relatif Longgar"))))</x:f>
        <x:v>Relatif Longgar</x:v>
      </x:c>
      <x:c r="N435" s="66" t="str">
        <x:v>Tidak Ada</x:v>
      </x:c>
      <x:c r="O435" s="66" t="str">
        <x:v>Riau</x:v>
      </x:c>
      <x:c r="P435" s="66" t="str">
        <x:v>Kota Pekanbaru</x:v>
      </x:c>
      <x:c r="Q435" s="66" t="str">
        <x:v>https://snpmb.id/snbp/daya-tampung-snbp</x:v>
      </x:c>
      <x:c r="R435" s="66" t="str">
        <x:v>https://sidatagrun-public-1076756628210.asia-southeast2.run.app/ptn_sn.php?ptn=132</x:v>
      </x:c>
    </x:row>
    <x:row r="436">
      <x:c r="A436" s="87" t="n">
        <x:v>4046</x:v>
      </x:c>
      <x:c r="B436" s="87" t="n">
        <x:v>133</x:v>
      </x:c>
      <x:c r="C436" s="66" t="str">
        <x:v>UNIVERSITAS MARITIM RAJA ALI HAJI</x:v>
      </x:c>
      <x:c r="D436" s="66" t="str">
        <x:v>PTN Akademik</x:v>
      </x:c>
      <x:c r="E436" s="66" t="str">
        <x:v>11331001</x:v>
      </x:c>
      <x:c r="F436" s="66" t="str">
        <x:v>TEKNIK ELEKTRO</x:v>
      </x:c>
      <x:c r="G436" s="66" t="str">
        <x:v>Sarjana</x:v>
      </x:c>
      <x:c r="H436" s="87" t="n">
        <x:v>68</x:v>
      </x:c>
      <x:c r="I436" s="87" t="n">
        <x:v>95</x:v>
      </x:c>
      <x:c r="J436" s="68" t="n">
        <x:f>IFERROR(H436/I436,"")</x:f>
        <x:v>0.7157894736842105</x:v>
      </x:c>
      <x:c r="K436" s="69" t="n">
        <x:f>IFERROR(I436/H436,"")</x:f>
        <x:v>1.3970588235294117</x:v>
      </x:c>
      <x:c r="L436" s="66" t="str">
        <x:f>IF(K436="","","1 : "&amp;TEXT(K436,"0.0"))</x:f>
        <x:v>1 : 1.4</x:v>
      </x:c>
      <x:c r="M436" s="66" t="str">
        <x:f>IF(J436="","Baru/Tanpa Data",IF(J436&lt;='Catatan &amp; Sumber'!$B$14,"Sangat Ketat",IF(J436&lt;='Catatan &amp; Sumber'!$B$15,"Ketat",IF(J436&lt;='Catatan &amp; Sumber'!$B$16,"Sedang","Relatif Longgar"))))</x:f>
        <x:v>Relatif Longgar</x:v>
      </x:c>
      <x:c r="N436" s="66" t="str">
        <x:v>Tidak Ada</x:v>
      </x:c>
      <x:c r="O436" s="66" t="str">
        <x:v>Kepulauan Riau</x:v>
      </x:c>
      <x:c r="P436" s="66" t="str">
        <x:v>Kota Tanjungpinang</x:v>
      </x:c>
      <x:c r="Q436" s="66" t="str">
        <x:v>https://snpmb.id/snbp/daya-tampung-snbp</x:v>
      </x:c>
      <x:c r="R436" s="66" t="str">
        <x:v>https://sidatagrun-public-1076756628210.asia-southeast2.run.app/ptn_sn.php?ptn=133</x:v>
      </x:c>
    </x:row>
    <x:row r="437">
      <x:c r="A437" s="87" t="n">
        <x:v>2951</x:v>
      </x:c>
      <x:c r="B437" s="87" t="n">
        <x:v>133</x:v>
      </x:c>
      <x:c r="C437" s="66" t="str">
        <x:v>UNIVERSITAS MARITIM RAJA ALI HAJI</x:v>
      </x:c>
      <x:c r="D437" s="66" t="str">
        <x:v>PTN Akademik</x:v>
      </x:c>
      <x:c r="E437" s="66" t="str">
        <x:v>11331002</x:v>
      </x:c>
      <x:c r="F437" s="66" t="str">
        <x:v>TEKNIK INFORMATIKA</x:v>
      </x:c>
      <x:c r="G437" s="66" t="str">
        <x:v>Sarjana</x:v>
      </x:c>
      <x:c r="H437" s="87" t="n">
        <x:v>75</x:v>
      </x:c>
      <x:c r="I437" s="87" t="n">
        <x:v>263</x:v>
      </x:c>
      <x:c r="J437" s="68" t="n">
        <x:f>IFERROR(H437/I437,"")</x:f>
        <x:v>0.28517110266159695</x:v>
      </x:c>
      <x:c r="K437" s="69" t="n">
        <x:f>IFERROR(I437/H437,"")</x:f>
        <x:v>3.506666666666667</x:v>
      </x:c>
      <x:c r="L437" s="66" t="str">
        <x:f>IF(K437="","","1 : "&amp;TEXT(K437,"0.0"))</x:f>
        <x:v>1 : 3.5</x:v>
      </x:c>
      <x:c r="M437" s="66" t="str">
        <x:f>IF(J437="","Baru/Tanpa Data",IF(J437&lt;='Catatan &amp; Sumber'!$B$14,"Sangat Ketat",IF(J437&lt;='Catatan &amp; Sumber'!$B$15,"Ketat",IF(J437&lt;='Catatan &amp; Sumber'!$B$16,"Sedang","Relatif Longgar"))))</x:f>
        <x:v>Relatif Longgar</x:v>
      </x:c>
      <x:c r="N437" s="66" t="str">
        <x:v>Tidak Ada</x:v>
      </x:c>
      <x:c r="O437" s="66" t="str">
        <x:v>Kepulauan Riau</x:v>
      </x:c>
      <x:c r="P437" s="66" t="str">
        <x:v>Kota Tanjungpinang</x:v>
      </x:c>
      <x:c r="Q437" s="66" t="str">
        <x:v>https://snpmb.id/snbp/daya-tampung-snbp</x:v>
      </x:c>
      <x:c r="R437" s="66" t="str">
        <x:v>https://sidatagrun-public-1076756628210.asia-southeast2.run.app/ptn_sn.php?ptn=133</x:v>
      </x:c>
    </x:row>
    <x:row r="438">
      <x:c r="A438" s="87" t="n">
        <x:v>4278</x:v>
      </x:c>
      <x:c r="B438" s="87" t="n">
        <x:v>133</x:v>
      </x:c>
      <x:c r="C438" s="66" t="str">
        <x:v>UNIVERSITAS MARITIM RAJA ALI HAJI</x:v>
      </x:c>
      <x:c r="D438" s="66" t="str">
        <x:v>PTN Akademik</x:v>
      </x:c>
      <x:c r="E438" s="66" t="str">
        <x:v>11331003</x:v>
      </x:c>
      <x:c r="F438" s="66" t="str">
        <x:v>ILMU KELAUTAN</x:v>
      </x:c>
      <x:c r="G438" s="66" t="str">
        <x:v>Sarjana</x:v>
      </x:c>
      <x:c r="H438" s="87" t="n">
        <x:v>48</x:v>
      </x:c>
      <x:c r="I438" s="87" t="n">
        <x:v>51</x:v>
      </x:c>
      <x:c r="J438" s="68" t="n">
        <x:f>IFERROR(H438/I438,"")</x:f>
        <x:v>0.9411764705882353</x:v>
      </x:c>
      <x:c r="K438" s="69" t="n">
        <x:f>IFERROR(I438/H438,"")</x:f>
        <x:v>1.0625</x:v>
      </x:c>
      <x:c r="L438" s="66" t="str">
        <x:f>IF(K438="","","1 : "&amp;TEXT(K438,"0.0"))</x:f>
        <x:v>1 : 1.1</x:v>
      </x:c>
      <x:c r="M438" s="66" t="str">
        <x:f>IF(J438="","Baru/Tanpa Data",IF(J438&lt;='Catatan &amp; Sumber'!$B$14,"Sangat Ketat",IF(J438&lt;='Catatan &amp; Sumber'!$B$15,"Ketat",IF(J438&lt;='Catatan &amp; Sumber'!$B$16,"Sedang","Relatif Longgar"))))</x:f>
        <x:v>Relatif Longgar</x:v>
      </x:c>
      <x:c r="N438" s="66" t="str">
        <x:v>Tidak Ada</x:v>
      </x:c>
      <x:c r="O438" s="66" t="str">
        <x:v>Kepulauan Riau</x:v>
      </x:c>
      <x:c r="P438" s="66" t="str">
        <x:v>Kota Tanjungpinang</x:v>
      </x:c>
      <x:c r="Q438" s="66" t="str">
        <x:v>https://snpmb.id/snbp/daya-tampung-snbp</x:v>
      </x:c>
      <x:c r="R438" s="66" t="str">
        <x:v>https://sidatagrun-public-1076756628210.asia-southeast2.run.app/ptn_sn.php?ptn=133</x:v>
      </x:c>
    </x:row>
    <x:row r="439">
      <x:c r="A439" s="87" t="n">
        <x:v>4602</x:v>
      </x:c>
      <x:c r="B439" s="87" t="n">
        <x:v>133</x:v>
      </x:c>
      <x:c r="C439" s="66" t="str">
        <x:v>UNIVERSITAS MARITIM RAJA ALI HAJI</x:v>
      </x:c>
      <x:c r="D439" s="66" t="str">
        <x:v>PTN Akademik</x:v>
      </x:c>
      <x:c r="E439" s="66" t="str">
        <x:v>11331004</x:v>
      </x:c>
      <x:c r="F439" s="66" t="str">
        <x:v>MANAJEMEN SUMBERDAYA PERAIRAN</x:v>
      </x:c>
      <x:c r="G439" s="66" t="str">
        <x:v>Sarjana</x:v>
      </x:c>
      <x:c r="H439" s="87" t="n">
        <x:v>50</x:v>
      </x:c>
      <x:c r="I439" s="87" t="n">
        <x:v>30</x:v>
      </x:c>
      <x:c r="J439" s="68" t="n">
        <x:f>IFERROR(H439/I439,"")</x:f>
        <x:v>1.6666666666666667</x:v>
      </x:c>
      <x:c r="K439" s="69" t="n">
        <x:f>IFERROR(I439/H439,"")</x:f>
        <x:v>0.6</x:v>
      </x:c>
      <x:c r="L439" s="66" t="str">
        <x:f>IF(K439="","","1 : "&amp;TEXT(K439,"0.0"))</x:f>
        <x:v>1 : 0.6</x:v>
      </x:c>
      <x:c r="M439" s="66" t="str">
        <x:f>IF(J439="","Baru/Tanpa Data",IF(J439&lt;='Catatan &amp; Sumber'!$B$14,"Sangat Ketat",IF(J439&lt;='Catatan &amp; Sumber'!$B$15,"Ketat",IF(J439&lt;='Catatan &amp; Sumber'!$B$16,"Sedang","Relatif Longgar"))))</x:f>
        <x:v>Relatif Longgar</x:v>
      </x:c>
      <x:c r="N439" s="66" t="str">
        <x:v>Tidak Ada</x:v>
      </x:c>
      <x:c r="O439" s="66" t="str">
        <x:v>Kepulauan Riau</x:v>
      </x:c>
      <x:c r="P439" s="66" t="str">
        <x:v>Kota Tanjungpinang</x:v>
      </x:c>
      <x:c r="Q439" s="66" t="str">
        <x:v>https://snpmb.id/snbp/daya-tampung-snbp</x:v>
      </x:c>
      <x:c r="R439" s="66" t="str">
        <x:v>https://sidatagrun-public-1076756628210.asia-southeast2.run.app/ptn_sn.php?ptn=133</x:v>
      </x:c>
    </x:row>
    <x:row r="440">
      <x:c r="A440" s="87" t="n">
        <x:v>3779</x:v>
      </x:c>
      <x:c r="B440" s="87" t="n">
        <x:v>133</x:v>
      </x:c>
      <x:c r="C440" s="66" t="str">
        <x:v>UNIVERSITAS MARITIM RAJA ALI HAJI</x:v>
      </x:c>
      <x:c r="D440" s="66" t="str">
        <x:v>PTN Akademik</x:v>
      </x:c>
      <x:c r="E440" s="66" t="str">
        <x:v>11331005</x:v>
      </x:c>
      <x:c r="F440" s="66" t="str">
        <x:v>PENDIDIKAN MATEMATIKA</x:v>
      </x:c>
      <x:c r="G440" s="66" t="str">
        <x:v>Sarjana</x:v>
      </x:c>
      <x:c r="H440" s="87" t="n">
        <x:v>50</x:v>
      </x:c>
      <x:c r="I440" s="87" t="n">
        <x:v>89</x:v>
      </x:c>
      <x:c r="J440" s="68" t="n">
        <x:f>IFERROR(H440/I440,"")</x:f>
        <x:v>0.5617977528089888</x:v>
      </x:c>
      <x:c r="K440" s="69" t="n">
        <x:f>IFERROR(I440/H440,"")</x:f>
        <x:v>1.78</x:v>
      </x:c>
      <x:c r="L440" s="66" t="str">
        <x:f>IF(K440="","","1 : "&amp;TEXT(K440,"0.0"))</x:f>
        <x:v>1 : 1.8</x:v>
      </x:c>
      <x:c r="M440" s="66" t="str">
        <x:f>IF(J440="","Baru/Tanpa Data",IF(J440&lt;='Catatan &amp; Sumber'!$B$14,"Sangat Ketat",IF(J440&lt;='Catatan &amp; Sumber'!$B$15,"Ketat",IF(J440&lt;='Catatan &amp; Sumber'!$B$16,"Sedang","Relatif Longgar"))))</x:f>
        <x:v>Relatif Longgar</x:v>
      </x:c>
      <x:c r="N440" s="66" t="str">
        <x:v>Tidak Ada</x:v>
      </x:c>
      <x:c r="O440" s="66" t="str">
        <x:v>Kepulauan Riau</x:v>
      </x:c>
      <x:c r="P440" s="66" t="str">
        <x:v>Kota Tanjungpinang</x:v>
      </x:c>
      <x:c r="Q440" s="66" t="str">
        <x:v>https://snpmb.id/snbp/daya-tampung-snbp</x:v>
      </x:c>
      <x:c r="R440" s="66" t="str">
        <x:v>https://sidatagrun-public-1076756628210.asia-southeast2.run.app/ptn_sn.php?ptn=133</x:v>
      </x:c>
    </x:row>
    <x:row r="441">
      <x:c r="A441" s="87" t="n">
        <x:v>4110</x:v>
      </x:c>
      <x:c r="B441" s="87" t="n">
        <x:v>133</x:v>
      </x:c>
      <x:c r="C441" s="66" t="str">
        <x:v>UNIVERSITAS MARITIM RAJA ALI HAJI</x:v>
      </x:c>
      <x:c r="D441" s="66" t="str">
        <x:v>PTN Akademik</x:v>
      </x:c>
      <x:c r="E441" s="66" t="str">
        <x:v>11331006</x:v>
      </x:c>
      <x:c r="F441" s="66" t="str">
        <x:v>PENDIDIKAN BIOLOGI</x:v>
      </x:c>
      <x:c r="G441" s="66" t="str">
        <x:v>Sarjana</x:v>
      </x:c>
      <x:c r="H441" s="87" t="n">
        <x:v>50</x:v>
      </x:c>
      <x:c r="I441" s="87" t="n">
        <x:v>65</x:v>
      </x:c>
      <x:c r="J441" s="68" t="n">
        <x:f>IFERROR(H441/I441,"")</x:f>
        <x:v>0.7692307692307693</x:v>
      </x:c>
      <x:c r="K441" s="69" t="n">
        <x:f>IFERROR(I441/H441,"")</x:f>
        <x:v>1.3</x:v>
      </x:c>
      <x:c r="L441" s="66" t="str">
        <x:f>IF(K441="","","1 : "&amp;TEXT(K441,"0.0"))</x:f>
        <x:v>1 : 1.3</x:v>
      </x:c>
      <x:c r="M441" s="66" t="str">
        <x:f>IF(J441="","Baru/Tanpa Data",IF(J441&lt;='Catatan &amp; Sumber'!$B$14,"Sangat Ketat",IF(J441&lt;='Catatan &amp; Sumber'!$B$15,"Ketat",IF(J441&lt;='Catatan &amp; Sumber'!$B$16,"Sedang","Relatif Longgar"))))</x:f>
        <x:v>Relatif Longgar</x:v>
      </x:c>
      <x:c r="N441" s="66" t="str">
        <x:v>Tidak Ada</x:v>
      </x:c>
      <x:c r="O441" s="66" t="str">
        <x:v>Kepulauan Riau</x:v>
      </x:c>
      <x:c r="P441" s="66" t="str">
        <x:v>Kota Tanjungpinang</x:v>
      </x:c>
      <x:c r="Q441" s="66" t="str">
        <x:v>https://snpmb.id/snbp/daya-tampung-snbp</x:v>
      </x:c>
      <x:c r="R441" s="66" t="str">
        <x:v>https://sidatagrun-public-1076756628210.asia-southeast2.run.app/ptn_sn.php?ptn=133</x:v>
      </x:c>
    </x:row>
    <x:row r="442">
      <x:c r="A442" s="87" t="n">
        <x:v>4305</x:v>
      </x:c>
      <x:c r="B442" s="87" t="n">
        <x:v>133</x:v>
      </x:c>
      <x:c r="C442" s="66" t="str">
        <x:v>UNIVERSITAS MARITIM RAJA ALI HAJI</x:v>
      </x:c>
      <x:c r="D442" s="66" t="str">
        <x:v>PTN Akademik</x:v>
      </x:c>
      <x:c r="E442" s="66" t="str">
        <x:v>11331007</x:v>
      </x:c>
      <x:c r="F442" s="66" t="str">
        <x:v>PENDIDIKAN KIMIA</x:v>
      </x:c>
      <x:c r="G442" s="66" t="str">
        <x:v>Sarjana</x:v>
      </x:c>
      <x:c r="H442" s="87" t="n">
        <x:v>48</x:v>
      </x:c>
      <x:c r="I442" s="87" t="n">
        <x:v>48</x:v>
      </x:c>
      <x:c r="J442" s="68" t="n">
        <x:f>IFERROR(H442/I442,"")</x:f>
        <x:v>1</x:v>
      </x:c>
      <x:c r="K442" s="69" t="n">
        <x:f>IFERROR(I442/H442,"")</x:f>
        <x:v>1</x:v>
      </x:c>
      <x:c r="L442" s="66" t="str">
        <x:f>IF(K442="","","1 : "&amp;TEXT(K442,"0.0"))</x:f>
        <x:v>1 : 1.0</x:v>
      </x:c>
      <x:c r="M442" s="66" t="str">
        <x:f>IF(J442="","Baru/Tanpa Data",IF(J442&lt;='Catatan &amp; Sumber'!$B$14,"Sangat Ketat",IF(J442&lt;='Catatan &amp; Sumber'!$B$15,"Ketat",IF(J442&lt;='Catatan &amp; Sumber'!$B$16,"Sedang","Relatif Longgar"))))</x:f>
        <x:v>Relatif Longgar</x:v>
      </x:c>
      <x:c r="N442" s="66" t="str">
        <x:v>Tidak Ada</x:v>
      </x:c>
      <x:c r="O442" s="66" t="str">
        <x:v>Kepulauan Riau</x:v>
      </x:c>
      <x:c r="P442" s="66" t="str">
        <x:v>Kota Tanjungpinang</x:v>
      </x:c>
      <x:c r="Q442" s="66" t="str">
        <x:v>https://snpmb.id/snbp/daya-tampung-snbp</x:v>
      </x:c>
      <x:c r="R442" s="66" t="str">
        <x:v>https://sidatagrun-public-1076756628210.asia-southeast2.run.app/ptn_sn.php?ptn=133</x:v>
      </x:c>
    </x:row>
    <x:row r="443">
      <x:c r="A443" s="87" t="n">
        <x:v>4803</x:v>
      </x:c>
      <x:c r="B443" s="87" t="n">
        <x:v>133</x:v>
      </x:c>
      <x:c r="C443" s="66" t="str">
        <x:v>UNIVERSITAS MARITIM RAJA ALI HAJI</x:v>
      </x:c>
      <x:c r="D443" s="66" t="str">
        <x:v>PTN Akademik</x:v>
      </x:c>
      <x:c r="E443" s="66" t="str">
        <x:v>11331008</x:v>
      </x:c>
      <x:c r="F443" s="66" t="str">
        <x:v>BUDI DAYA PERAIRAN</x:v>
      </x:c>
      <x:c r="G443" s="66" t="str">
        <x:v>Sarjana</x:v>
      </x:c>
      <x:c r="H443" s="87" t="n">
        <x:v>50</x:v>
      </x:c>
      <x:c r="I443" s="87" t="n">
        <x:v>14</x:v>
      </x:c>
      <x:c r="J443" s="68" t="n">
        <x:f>IFERROR(H443/I443,"")</x:f>
        <x:v>3.5714285714285716</x:v>
      </x:c>
      <x:c r="K443" s="69" t="n">
        <x:f>IFERROR(I443/H443,"")</x:f>
        <x:v>0.28</x:v>
      </x:c>
      <x:c r="L443" s="66" t="str">
        <x:f>IF(K443="","","1 : "&amp;TEXT(K443,"0.0"))</x:f>
        <x:v>1 : 0.3</x:v>
      </x:c>
      <x:c r="M443" s="66" t="str">
        <x:f>IF(J443="","Baru/Tanpa Data",IF(J443&lt;='Catatan &amp; Sumber'!$B$14,"Sangat Ketat",IF(J443&lt;='Catatan &amp; Sumber'!$B$15,"Ketat",IF(J443&lt;='Catatan &amp; Sumber'!$B$16,"Sedang","Relatif Longgar"))))</x:f>
        <x:v>Relatif Longgar</x:v>
      </x:c>
      <x:c r="N443" s="66" t="str">
        <x:v>Tidak Ada</x:v>
      </x:c>
      <x:c r="O443" s="66" t="str">
        <x:v>Kepulauan Riau</x:v>
      </x:c>
      <x:c r="P443" s="66" t="str">
        <x:v>Kota Tanjungpinang</x:v>
      </x:c>
      <x:c r="Q443" s="66" t="str">
        <x:v>https://snpmb.id/snbp/daya-tampung-snbp</x:v>
      </x:c>
      <x:c r="R443" s="66" t="str">
        <x:v>https://sidatagrun-public-1076756628210.asia-southeast2.run.app/ptn_sn.php?ptn=133</x:v>
      </x:c>
    </x:row>
    <x:row r="444">
      <x:c r="A444" s="87" t="n">
        <x:v>4701</x:v>
      </x:c>
      <x:c r="B444" s="87" t="n">
        <x:v>133</x:v>
      </x:c>
      <x:c r="C444" s="66" t="str">
        <x:v>UNIVERSITAS MARITIM RAJA ALI HAJI</x:v>
      </x:c>
      <x:c r="D444" s="66" t="str">
        <x:v>PTN Akademik</x:v>
      </x:c>
      <x:c r="E444" s="66" t="str">
        <x:v>11331009</x:v>
      </x:c>
      <x:c r="F444" s="66" t="str">
        <x:v>TEKNOLOGI HASIL PERIKANAN</x:v>
      </x:c>
      <x:c r="G444" s="66" t="str">
        <x:v>Sarjana</x:v>
      </x:c>
      <x:c r="H444" s="87" t="n">
        <x:v>50</x:v>
      </x:c>
      <x:c r="I444" s="87" t="n">
        <x:v>22</x:v>
      </x:c>
      <x:c r="J444" s="68" t="n">
        <x:f>IFERROR(H444/I444,"")</x:f>
        <x:v>2.272727272727273</x:v>
      </x:c>
      <x:c r="K444" s="69" t="n">
        <x:f>IFERROR(I444/H444,"")</x:f>
        <x:v>0.44</x:v>
      </x:c>
      <x:c r="L444" s="66" t="str">
        <x:f>IF(K444="","","1 : "&amp;TEXT(K444,"0.0"))</x:f>
        <x:v>1 : 0.4</x:v>
      </x:c>
      <x:c r="M444" s="66" t="str">
        <x:f>IF(J444="","Baru/Tanpa Data",IF(J444&lt;='Catatan &amp; Sumber'!$B$14,"Sangat Ketat",IF(J444&lt;='Catatan &amp; Sumber'!$B$15,"Ketat",IF(J444&lt;='Catatan &amp; Sumber'!$B$16,"Sedang","Relatif Longgar"))))</x:f>
        <x:v>Relatif Longgar</x:v>
      </x:c>
      <x:c r="N444" s="66" t="str">
        <x:v>Tidak Ada</x:v>
      </x:c>
      <x:c r="O444" s="66" t="str">
        <x:v>Kepulauan Riau</x:v>
      </x:c>
      <x:c r="P444" s="66" t="str">
        <x:v>Kota Tanjungpinang</x:v>
      </x:c>
      <x:c r="Q444" s="66" t="str">
        <x:v>https://snpmb.id/snbp/daya-tampung-snbp</x:v>
      </x:c>
      <x:c r="R444" s="66" t="str">
        <x:v>https://sidatagrun-public-1076756628210.asia-southeast2.run.app/ptn_sn.php?ptn=133</x:v>
      </x:c>
    </x:row>
    <x:row r="445">
      <x:c r="A445" s="87" t="n">
        <x:v>4803</x:v>
      </x:c>
      <x:c r="B445" s="87" t="n">
        <x:v>133</x:v>
      </x:c>
      <x:c r="C445" s="66" t="str">
        <x:v>UNIVERSITAS MARITIM RAJA ALI HAJI</x:v>
      </x:c>
      <x:c r="D445" s="66" t="str">
        <x:v>PTN Akademik</x:v>
      </x:c>
      <x:c r="E445" s="66" t="str">
        <x:v>11331010</x:v>
      </x:c>
      <x:c r="F445" s="66" t="str">
        <x:v>SOSIAL EKONOMI PERIKANAN</x:v>
      </x:c>
      <x:c r="G445" s="66" t="str">
        <x:v>Sarjana</x:v>
      </x:c>
      <x:c r="H445" s="87" t="n">
        <x:v>50</x:v>
      </x:c>
      <x:c r="I445" s="87" t="n">
        <x:v>14</x:v>
      </x:c>
      <x:c r="J445" s="68" t="n">
        <x:f>IFERROR(H445/I445,"")</x:f>
        <x:v>3.5714285714285716</x:v>
      </x:c>
      <x:c r="K445" s="69" t="n">
        <x:f>IFERROR(I445/H445,"")</x:f>
        <x:v>0.28</x:v>
      </x:c>
      <x:c r="L445" s="66" t="str">
        <x:f>IF(K445="","","1 : "&amp;TEXT(K445,"0.0"))</x:f>
        <x:v>1 : 0.3</x:v>
      </x:c>
      <x:c r="M445" s="66" t="str">
        <x:f>IF(J445="","Baru/Tanpa Data",IF(J445&lt;='Catatan &amp; Sumber'!$B$14,"Sangat Ketat",IF(J445&lt;='Catatan &amp; Sumber'!$B$15,"Ketat",IF(J445&lt;='Catatan &amp; Sumber'!$B$16,"Sedang","Relatif Longgar"))))</x:f>
        <x:v>Relatif Longgar</x:v>
      </x:c>
      <x:c r="N445" s="66" t="str">
        <x:v>Tidak Ada</x:v>
      </x:c>
      <x:c r="O445" s="66" t="str">
        <x:v>Kepulauan Riau</x:v>
      </x:c>
      <x:c r="P445" s="66" t="str">
        <x:v>Kota Tanjungpinang</x:v>
      </x:c>
      <x:c r="Q445" s="66" t="str">
        <x:v>https://snpmb.id/snbp/daya-tampung-snbp</x:v>
      </x:c>
      <x:c r="R445" s="66" t="str">
        <x:v>https://sidatagrun-public-1076756628210.asia-southeast2.run.app/ptn_sn.php?ptn=133</x:v>
      </x:c>
    </x:row>
    <x:row r="446">
      <x:c r="A446" s="87" t="n">
        <x:v>3497</x:v>
      </x:c>
      <x:c r="B446" s="87" t="n">
        <x:v>133</x:v>
      </x:c>
      <x:c r="C446" s="66" t="str">
        <x:v>UNIVERSITAS MARITIM RAJA ALI HAJI</x:v>
      </x:c>
      <x:c r="D446" s="66" t="str">
        <x:v>PTN Akademik</x:v>
      </x:c>
      <x:c r="E446" s="66" t="str">
        <x:v>11331011</x:v>
      </x:c>
      <x:c r="F446" s="66" t="str">
        <x:v>TEKNIK PERKAPALAN</x:v>
      </x:c>
      <x:c r="G446" s="66" t="str">
        <x:v>Sarjana</x:v>
      </x:c>
      <x:c r="H446" s="87" t="n">
        <x:v>40</x:v>
      </x:c>
      <x:c r="I446" s="87" t="n">
        <x:v>92</x:v>
      </x:c>
      <x:c r="J446" s="68" t="n">
        <x:f>IFERROR(H446/I446,"")</x:f>
        <x:v>0.43478260869565216</x:v>
      </x:c>
      <x:c r="K446" s="69" t="n">
        <x:f>IFERROR(I446/H446,"")</x:f>
        <x:v>2.3</x:v>
      </x:c>
      <x:c r="L446" s="66" t="str">
        <x:f>IF(K446="","","1 : "&amp;TEXT(K446,"0.0"))</x:f>
        <x:v>1 : 2.3</x:v>
      </x:c>
      <x:c r="M446" s="66" t="str">
        <x:f>IF(J446="","Baru/Tanpa Data",IF(J446&lt;='Catatan &amp; Sumber'!$B$14,"Sangat Ketat",IF(J446&lt;='Catatan &amp; Sumber'!$B$15,"Ketat",IF(J446&lt;='Catatan &amp; Sumber'!$B$16,"Sedang","Relatif Longgar"))))</x:f>
        <x:v>Relatif Longgar</x:v>
      </x:c>
      <x:c r="N446" s="66" t="str">
        <x:v>Tidak Ada</x:v>
      </x:c>
      <x:c r="O446" s="66" t="str">
        <x:v>Kepulauan Riau</x:v>
      </x:c>
      <x:c r="P446" s="66" t="str">
        <x:v>Kota Tanjungpinang</x:v>
      </x:c>
      <x:c r="Q446" s="66" t="str">
        <x:v>https://snpmb.id/snbp/daya-tampung-snbp</x:v>
      </x:c>
      <x:c r="R446" s="66" t="str">
        <x:v>https://sidatagrun-public-1076756628210.asia-southeast2.run.app/ptn_sn.php?ptn=133</x:v>
      </x:c>
    </x:row>
    <x:row r="447">
      <x:c r="A447" s="87" t="n">
        <x:v>3837</x:v>
      </x:c>
      <x:c r="B447" s="87" t="n">
        <x:v>133</x:v>
      </x:c>
      <x:c r="C447" s="66" t="str">
        <x:v>UNIVERSITAS MARITIM RAJA ALI HAJI</x:v>
      </x:c>
      <x:c r="D447" s="66" t="str">
        <x:v>PTN Akademik</x:v>
      </x:c>
      <x:c r="E447" s="66" t="str">
        <x:v>11331012</x:v>
      </x:c>
      <x:c r="F447" s="66" t="str">
        <x:v>PENDIDIKAN BAHASA INDONESIA</x:v>
      </x:c>
      <x:c r="G447" s="66" t="str">
        <x:v>Sarjana</x:v>
      </x:c>
      <x:c r="H447" s="87" t="n">
        <x:v>75</x:v>
      </x:c>
      <x:c r="I447" s="87" t="n">
        <x:v>127</x:v>
      </x:c>
      <x:c r="J447" s="68" t="n">
        <x:f>IFERROR(H447/I447,"")</x:f>
        <x:v>0.5905511811023622</x:v>
      </x:c>
      <x:c r="K447" s="69" t="n">
        <x:f>IFERROR(I447/H447,"")</x:f>
        <x:v>1.6933333333333334</x:v>
      </x:c>
      <x:c r="L447" s="66" t="str">
        <x:f>IF(K447="","","1 : "&amp;TEXT(K447,"0.0"))</x:f>
        <x:v>1 : 1.7</x:v>
      </x:c>
      <x:c r="M447" s="66" t="str">
        <x:f>IF(J447="","Baru/Tanpa Data",IF(J447&lt;='Catatan &amp; Sumber'!$B$14,"Sangat Ketat",IF(J447&lt;='Catatan &amp; Sumber'!$B$15,"Ketat",IF(J447&lt;='Catatan &amp; Sumber'!$B$16,"Sedang","Relatif Longgar"))))</x:f>
        <x:v>Relatif Longgar</x:v>
      </x:c>
      <x:c r="N447" s="66" t="str">
        <x:v>Tidak Ada</x:v>
      </x:c>
      <x:c r="O447" s="66" t="str">
        <x:v>Kepulauan Riau</x:v>
      </x:c>
      <x:c r="P447" s="66" t="str">
        <x:v>Kota Tanjungpinang</x:v>
      </x:c>
      <x:c r="Q447" s="66" t="str">
        <x:v>https://snpmb.id/snbp/daya-tampung-snbp</x:v>
      </x:c>
      <x:c r="R447" s="66" t="str">
        <x:v>https://sidatagrun-public-1076756628210.asia-southeast2.run.app/ptn_sn.php?ptn=133</x:v>
      </x:c>
    </x:row>
    <x:row r="448">
      <x:c r="A448" s="87" t="n">
        <x:v>2615</x:v>
      </x:c>
      <x:c r="B448" s="87" t="n">
        <x:v>133</x:v>
      </x:c>
      <x:c r="C448" s="66" t="str">
        <x:v>UNIVERSITAS MARITIM RAJA ALI HAJI</x:v>
      </x:c>
      <x:c r="D448" s="66" t="str">
        <x:v>PTN Akademik</x:v>
      </x:c>
      <x:c r="E448" s="66" t="str">
        <x:v>11331013</x:v>
      </x:c>
      <x:c r="F448" s="66" t="str">
        <x:v>AKUNTANSI</x:v>
      </x:c>
      <x:c r="G448" s="66" t="str">
        <x:v>Sarjana</x:v>
      </x:c>
      <x:c r="H448" s="87" t="n">
        <x:v>75</x:v>
      </x:c>
      <x:c r="I448" s="87" t="n">
        <x:v>326</x:v>
      </x:c>
      <x:c r="J448" s="68" t="n">
        <x:f>IFERROR(H448/I448,"")</x:f>
        <x:v>0.23006134969325154</x:v>
      </x:c>
      <x:c r="K448" s="69" t="n">
        <x:f>IFERROR(I448/H448,"")</x:f>
        <x:v>4.346666666666667</x:v>
      </x:c>
      <x:c r="L448" s="66" t="str">
        <x:f>IF(K448="","","1 : "&amp;TEXT(K448,"0.0"))</x:f>
        <x:v>1 : 4.3</x:v>
      </x:c>
      <x:c r="M448" s="66" t="str">
        <x:f>IF(J448="","Baru/Tanpa Data",IF(J448&lt;='Catatan &amp; Sumber'!$B$14,"Sangat Ketat",IF(J448&lt;='Catatan &amp; Sumber'!$B$15,"Ketat",IF(J448&lt;='Catatan &amp; Sumber'!$B$16,"Sedang","Relatif Longgar"))))</x:f>
        <x:v>Relatif Longgar</x:v>
      </x:c>
      <x:c r="N448" s="66" t="str">
        <x:v>Tidak Ada</x:v>
      </x:c>
      <x:c r="O448" s="66" t="str">
        <x:v>Kepulauan Riau</x:v>
      </x:c>
      <x:c r="P448" s="66" t="str">
        <x:v>Kota Tanjungpinang</x:v>
      </x:c>
      <x:c r="Q448" s="66" t="str">
        <x:v>https://snpmb.id/snbp/daya-tampung-snbp</x:v>
      </x:c>
      <x:c r="R448" s="66" t="str">
        <x:v>https://sidatagrun-public-1076756628210.asia-southeast2.run.app/ptn_sn.php?ptn=133</x:v>
      </x:c>
    </x:row>
    <x:row r="449">
      <x:c r="A449" s="87" t="n">
        <x:v>2696</x:v>
      </x:c>
      <x:c r="B449" s="87" t="n">
        <x:v>133</x:v>
      </x:c>
      <x:c r="C449" s="66" t="str">
        <x:v>UNIVERSITAS MARITIM RAJA ALI HAJI</x:v>
      </x:c>
      <x:c r="D449" s="66" t="str">
        <x:v>PTN Akademik</x:v>
      </x:c>
      <x:c r="E449" s="66" t="str">
        <x:v>11331014</x:v>
      </x:c>
      <x:c r="F449" s="66" t="str">
        <x:v>ILMU ADMINISTRASI NEGARA</x:v>
      </x:c>
      <x:c r="G449" s="66" t="str">
        <x:v>Sarjana</x:v>
      </x:c>
      <x:c r="H449" s="87" t="n">
        <x:v>75</x:v>
      </x:c>
      <x:c r="I449" s="87" t="n">
        <x:v>309</x:v>
      </x:c>
      <x:c r="J449" s="68" t="n">
        <x:f>IFERROR(H449/I449,"")</x:f>
        <x:v>0.24271844660194175</x:v>
      </x:c>
      <x:c r="K449" s="69" t="n">
        <x:f>IFERROR(I449/H449,"")</x:f>
        <x:v>4.12</x:v>
      </x:c>
      <x:c r="L449" s="66" t="str">
        <x:f>IF(K449="","","1 : "&amp;TEXT(K449,"0.0"))</x:f>
        <x:v>1 : 4.1</x:v>
      </x:c>
      <x:c r="M449" s="66" t="str">
        <x:f>IF(J449="","Baru/Tanpa Data",IF(J449&lt;='Catatan &amp; Sumber'!$B$14,"Sangat Ketat",IF(J449&lt;='Catatan &amp; Sumber'!$B$15,"Ketat",IF(J449&lt;='Catatan &amp; Sumber'!$B$16,"Sedang","Relatif Longgar"))))</x:f>
        <x:v>Relatif Longgar</x:v>
      </x:c>
      <x:c r="N449" s="66" t="str">
        <x:v>Tidak Ada</x:v>
      </x:c>
      <x:c r="O449" s="66" t="str">
        <x:v>Kepulauan Riau</x:v>
      </x:c>
      <x:c r="P449" s="66" t="str">
        <x:v>Kota Tanjungpinang</x:v>
      </x:c>
      <x:c r="Q449" s="66" t="str">
        <x:v>https://snpmb.id/snbp/daya-tampung-snbp</x:v>
      </x:c>
      <x:c r="R449" s="66" t="str">
        <x:v>https://sidatagrun-public-1076756628210.asia-southeast2.run.app/ptn_sn.php?ptn=133</x:v>
      </x:c>
    </x:row>
    <x:row r="450">
      <x:c r="A450" s="87" t="n">
        <x:v>3387</x:v>
      </x:c>
      <x:c r="B450" s="87" t="n">
        <x:v>133</x:v>
      </x:c>
      <x:c r="C450" s="66" t="str">
        <x:v>UNIVERSITAS MARITIM RAJA ALI HAJI</x:v>
      </x:c>
      <x:c r="D450" s="66" t="str">
        <x:v>PTN Akademik</x:v>
      </x:c>
      <x:c r="E450" s="66" t="str">
        <x:v>11331015</x:v>
      </x:c>
      <x:c r="F450" s="66" t="str">
        <x:v>ILMU PEMERINTAHAN</x:v>
      </x:c>
      <x:c r="G450" s="66" t="str">
        <x:v>Sarjana</x:v>
      </x:c>
      <x:c r="H450" s="87" t="n">
        <x:v>75</x:v>
      </x:c>
      <x:c r="I450" s="87" t="n">
        <x:v>189</x:v>
      </x:c>
      <x:c r="J450" s="68" t="n">
        <x:f>IFERROR(H450/I450,"")</x:f>
        <x:v>0.3968253968253968</x:v>
      </x:c>
      <x:c r="K450" s="69" t="n">
        <x:f>IFERROR(I450/H450,"")</x:f>
        <x:v>2.52</x:v>
      </x:c>
      <x:c r="L450" s="66" t="str">
        <x:f>IF(K450="","","1 : "&amp;TEXT(K450,"0.0"))</x:f>
        <x:v>1 : 2.5</x:v>
      </x:c>
      <x:c r="M450" s="66" t="str">
        <x:f>IF(J450="","Baru/Tanpa Data",IF(J450&lt;='Catatan &amp; Sumber'!$B$14,"Sangat Ketat",IF(J450&lt;='Catatan &amp; Sumber'!$B$15,"Ketat",IF(J450&lt;='Catatan &amp; Sumber'!$B$16,"Sedang","Relatif Longgar"))))</x:f>
        <x:v>Relatif Longgar</x:v>
      </x:c>
      <x:c r="N450" s="66" t="str">
        <x:v>Tidak Ada</x:v>
      </x:c>
      <x:c r="O450" s="66" t="str">
        <x:v>Kepulauan Riau</x:v>
      </x:c>
      <x:c r="P450" s="66" t="str">
        <x:v>Kota Tanjungpinang</x:v>
      </x:c>
      <x:c r="Q450" s="66" t="str">
        <x:v>https://snpmb.id/snbp/daya-tampung-snbp</x:v>
      </x:c>
      <x:c r="R450" s="66" t="str">
        <x:v>https://sidatagrun-public-1076756628210.asia-southeast2.run.app/ptn_sn.php?ptn=133</x:v>
      </x:c>
    </x:row>
    <x:row r="451">
      <x:c r="A451" s="87" t="n">
        <x:v>3699</x:v>
      </x:c>
      <x:c r="B451" s="87" t="n">
        <x:v>133</x:v>
      </x:c>
      <x:c r="C451" s="66" t="str">
        <x:v>UNIVERSITAS MARITIM RAJA ALI HAJI</x:v>
      </x:c>
      <x:c r="D451" s="66" t="str">
        <x:v>PTN Akademik</x:v>
      </x:c>
      <x:c r="E451" s="66" t="str">
        <x:v>11331016</x:v>
      </x:c>
      <x:c r="F451" s="66" t="str">
        <x:v>SOSIOLOGI</x:v>
      </x:c>
      <x:c r="G451" s="66" t="str">
        <x:v>Sarjana</x:v>
      </x:c>
      <x:c r="H451" s="87" t="n">
        <x:v>50</x:v>
      </x:c>
      <x:c r="I451" s="87" t="n">
        <x:v>97</x:v>
      </x:c>
      <x:c r="J451" s="68" t="n">
        <x:f>IFERROR(H451/I451,"")</x:f>
        <x:v>0.5154639175257731</x:v>
      </x:c>
      <x:c r="K451" s="69" t="n">
        <x:f>IFERROR(I451/H451,"")</x:f>
        <x:v>1.94</x:v>
      </x:c>
      <x:c r="L451" s="66" t="str">
        <x:f>IF(K451="","","1 : "&amp;TEXT(K451,"0.0"))</x:f>
        <x:v>1 : 1.9</x:v>
      </x:c>
      <x:c r="M451" s="66" t="str">
        <x:f>IF(J451="","Baru/Tanpa Data",IF(J451&lt;='Catatan &amp; Sumber'!$B$14,"Sangat Ketat",IF(J451&lt;='Catatan &amp; Sumber'!$B$15,"Ketat",IF(J451&lt;='Catatan &amp; Sumber'!$B$16,"Sedang","Relatif Longgar"))))</x:f>
        <x:v>Relatif Longgar</x:v>
      </x:c>
      <x:c r="N451" s="66" t="str">
        <x:v>Tidak Ada</x:v>
      </x:c>
      <x:c r="O451" s="66" t="str">
        <x:v>Kepulauan Riau</x:v>
      </x:c>
      <x:c r="P451" s="66" t="str">
        <x:v>Kota Tanjungpinang</x:v>
      </x:c>
      <x:c r="Q451" s="66" t="str">
        <x:v>https://snpmb.id/snbp/daya-tampung-snbp</x:v>
      </x:c>
      <x:c r="R451" s="66" t="str">
        <x:v>https://sidatagrun-public-1076756628210.asia-southeast2.run.app/ptn_sn.php?ptn=133</x:v>
      </x:c>
    </x:row>
    <x:row r="452">
      <x:c r="A452" s="87" t="n">
        <x:v>3982</x:v>
      </x:c>
      <x:c r="B452" s="87" t="n">
        <x:v>133</x:v>
      </x:c>
      <x:c r="C452" s="66" t="str">
        <x:v>UNIVERSITAS MARITIM RAJA ALI HAJI</x:v>
      </x:c>
      <x:c r="D452" s="66" t="str">
        <x:v>PTN Akademik</x:v>
      </x:c>
      <x:c r="E452" s="66" t="str">
        <x:v>11331017</x:v>
      </x:c>
      <x:c r="F452" s="66" t="str">
        <x:v>PENDIDIKAN BAHASA INGGRIS</x:v>
      </x:c>
      <x:c r="G452" s="66" t="str">
        <x:v>Sarjana</x:v>
      </x:c>
      <x:c r="H452" s="87" t="n">
        <x:v>75</x:v>
      </x:c>
      <x:c r="I452" s="87" t="n">
        <x:v>111</x:v>
      </x:c>
      <x:c r="J452" s="68" t="n">
        <x:f>IFERROR(H452/I452,"")</x:f>
        <x:v>0.6756756756756757</x:v>
      </x:c>
      <x:c r="K452" s="69" t="n">
        <x:f>IFERROR(I452/H452,"")</x:f>
        <x:v>1.48</x:v>
      </x:c>
      <x:c r="L452" s="66" t="str">
        <x:f>IF(K452="","","1 : "&amp;TEXT(K452,"0.0"))</x:f>
        <x:v>1 : 1.5</x:v>
      </x:c>
      <x:c r="M452" s="66" t="str">
        <x:f>IF(J452="","Baru/Tanpa Data",IF(J452&lt;='Catatan &amp; Sumber'!$B$14,"Sangat Ketat",IF(J452&lt;='Catatan &amp; Sumber'!$B$15,"Ketat",IF(J452&lt;='Catatan &amp; Sumber'!$B$16,"Sedang","Relatif Longgar"))))</x:f>
        <x:v>Relatif Longgar</x:v>
      </x:c>
      <x:c r="N452" s="66" t="str">
        <x:v>Tidak Ada</x:v>
      </x:c>
      <x:c r="O452" s="66" t="str">
        <x:v>Kepulauan Riau</x:v>
      </x:c>
      <x:c r="P452" s="66" t="str">
        <x:v>Kota Tanjungpinang</x:v>
      </x:c>
      <x:c r="Q452" s="66" t="str">
        <x:v>https://snpmb.id/snbp/daya-tampung-snbp</x:v>
      </x:c>
      <x:c r="R452" s="66" t="str">
        <x:v>https://sidatagrun-public-1076756628210.asia-southeast2.run.app/ptn_sn.php?ptn=133</x:v>
      </x:c>
    </x:row>
    <x:row r="453">
      <x:c r="A453" s="87" t="n">
        <x:v>2239</x:v>
      </x:c>
      <x:c r="B453" s="87" t="n">
        <x:v>133</x:v>
      </x:c>
      <x:c r="C453" s="66" t="str">
        <x:v>UNIVERSITAS MARITIM RAJA ALI HAJI</x:v>
      </x:c>
      <x:c r="D453" s="66" t="str">
        <x:v>PTN Akademik</x:v>
      </x:c>
      <x:c r="E453" s="66" t="str">
        <x:v>11331018</x:v>
      </x:c>
      <x:c r="F453" s="66" t="str">
        <x:v>MANAJEMEN</x:v>
      </x:c>
      <x:c r="G453" s="66" t="str">
        <x:v>Sarjana</x:v>
      </x:c>
      <x:c r="H453" s="87" t="n">
        <x:v>75</x:v>
      </x:c>
      <x:c r="I453" s="87" t="n">
        <x:v>424</x:v>
      </x:c>
      <x:c r="J453" s="68" t="n">
        <x:f>IFERROR(H453/I453,"")</x:f>
        <x:v>0.17688679245283018</x:v>
      </x:c>
      <x:c r="K453" s="69" t="n">
        <x:f>IFERROR(I453/H453,"")</x:f>
        <x:v>5.653333333333333</x:v>
      </x:c>
      <x:c r="L453" s="66" t="str">
        <x:f>IF(K453="","","1 : "&amp;TEXT(K453,"0.0"))</x:f>
        <x:v>1 : 5.7</x:v>
      </x:c>
      <x:c r="M453" s="66" t="str">
        <x:f>IF(J453="","Baru/Tanpa Data",IF(J453&lt;='Catatan &amp; Sumber'!$B$14,"Sangat Ketat",IF(J453&lt;='Catatan &amp; Sumber'!$B$15,"Ketat",IF(J453&lt;='Catatan &amp; Sumber'!$B$16,"Sedang","Relatif Longgar"))))</x:f>
        <x:v>Relatif Longgar</x:v>
      </x:c>
      <x:c r="N453" s="66" t="str">
        <x:v>Tidak Ada</x:v>
      </x:c>
      <x:c r="O453" s="66" t="str">
        <x:v>Kepulauan Riau</x:v>
      </x:c>
      <x:c r="P453" s="66" t="str">
        <x:v>Kota Tanjungpinang</x:v>
      </x:c>
      <x:c r="Q453" s="66" t="str">
        <x:v>https://snpmb.id/snbp/daya-tampung-snbp</x:v>
      </x:c>
      <x:c r="R453" s="66" t="str">
        <x:v>https://sidatagrun-public-1076756628210.asia-southeast2.run.app/ptn_sn.php?ptn=133</x:v>
      </x:c>
    </x:row>
    <x:row r="454">
      <x:c r="A454" s="87" t="n">
        <x:v>1368</x:v>
      </x:c>
      <x:c r="B454" s="87" t="n">
        <x:v>133</x:v>
      </x:c>
      <x:c r="C454" s="66" t="str">
        <x:v>UNIVERSITAS MARITIM RAJA ALI HAJI</x:v>
      </x:c>
      <x:c r="D454" s="66" t="str">
        <x:v>PTN Akademik</x:v>
      </x:c>
      <x:c r="E454" s="66" t="str">
        <x:v>11331019</x:v>
      </x:c>
      <x:c r="F454" s="66" t="str">
        <x:v>ILMU HUKUM</x:v>
      </x:c>
      <x:c r="G454" s="66" t="str">
        <x:v>Sarjana</x:v>
      </x:c>
      <x:c r="H454" s="87" t="n">
        <x:v>25</x:v>
      </x:c>
      <x:c r="I454" s="87" t="n">
        <x:v>251</x:v>
      </x:c>
      <x:c r="J454" s="68" t="n">
        <x:f>IFERROR(H454/I454,"")</x:f>
        <x:v>0.099601593625498</x:v>
      </x:c>
      <x:c r="K454" s="69" t="n">
        <x:f>IFERROR(I454/H454,"")</x:f>
        <x:v>10.04</x:v>
      </x:c>
      <x:c r="L454" s="66" t="str">
        <x:f>IF(K454="","","1 : "&amp;TEXT(K454,"0.0"))</x:f>
        <x:v>1 : 10.0</x:v>
      </x:c>
      <x:c r="M454" s="66" t="str">
        <x:f>IF(J454="","Baru/Tanpa Data",IF(J454&lt;='Catatan &amp; Sumber'!$B$14,"Sangat Ketat",IF(J454&lt;='Catatan &amp; Sumber'!$B$15,"Ketat",IF(J454&lt;='Catatan &amp; Sumber'!$B$16,"Sedang","Relatif Longgar"))))</x:f>
        <x:v>Sedang</x:v>
      </x:c>
      <x:c r="N454" s="66" t="str">
        <x:v>Tidak Ada</x:v>
      </x:c>
      <x:c r="O454" s="66" t="str">
        <x:v>Kepulauan Riau</x:v>
      </x:c>
      <x:c r="P454" s="66" t="str">
        <x:v>Kota Tanjungpinang</x:v>
      </x:c>
      <x:c r="Q454" s="66" t="str">
        <x:v>https://snpmb.id/snbp/daya-tampung-snbp</x:v>
      </x:c>
      <x:c r="R454" s="66" t="str">
        <x:v>https://sidatagrun-public-1076756628210.asia-southeast2.run.app/ptn_sn.php?ptn=133</x:v>
      </x:c>
    </x:row>
    <x:row r="455">
      <x:c r="A455" s="87" t="n">
        <x:v>3824</x:v>
      </x:c>
      <x:c r="B455" s="87" t="n">
        <x:v>133</x:v>
      </x:c>
      <x:c r="C455" s="66" t="str">
        <x:v>UNIVERSITAS MARITIM RAJA ALI HAJI</x:v>
      </x:c>
      <x:c r="D455" s="66" t="str">
        <x:v>PTN Akademik</x:v>
      </x:c>
      <x:c r="E455" s="66" t="str">
        <x:v>11331020</x:v>
      </x:c>
      <x:c r="F455" s="66" t="str">
        <x:v>ILMU HUBUNGAN INTERNASIONAL</x:v>
      </x:c>
      <x:c r="G455" s="66" t="str">
        <x:v>Sarjana</x:v>
      </x:c>
      <x:c r="H455" s="87" t="n">
        <x:v>58</x:v>
      </x:c>
      <x:c r="I455" s="87" t="n">
        <x:v>99</x:v>
      </x:c>
      <x:c r="J455" s="68" t="n">
        <x:f>IFERROR(H455/I455,"")</x:f>
        <x:v>0.5858585858585859</x:v>
      </x:c>
      <x:c r="K455" s="69" t="n">
        <x:f>IFERROR(I455/H455,"")</x:f>
        <x:v>1.706896551724138</x:v>
      </x:c>
      <x:c r="L455" s="66" t="str">
        <x:f>IF(K455="","","1 : "&amp;TEXT(K455,"0.0"))</x:f>
        <x:v>1 : 1.7</x:v>
      </x:c>
      <x:c r="M455" s="66" t="str">
        <x:f>IF(J455="","Baru/Tanpa Data",IF(J455&lt;='Catatan &amp; Sumber'!$B$14,"Sangat Ketat",IF(J455&lt;='Catatan &amp; Sumber'!$B$15,"Ketat",IF(J455&lt;='Catatan &amp; Sumber'!$B$16,"Sedang","Relatif Longgar"))))</x:f>
        <x:v>Relatif Longgar</x:v>
      </x:c>
      <x:c r="N455" s="66" t="str">
        <x:v>Tidak Ada</x:v>
      </x:c>
      <x:c r="O455" s="66" t="str">
        <x:v>Kepulauan Riau</x:v>
      </x:c>
      <x:c r="P455" s="66" t="str">
        <x:v>Kota Tanjungpinang</x:v>
      </x:c>
      <x:c r="Q455" s="66" t="str">
        <x:v>https://snpmb.id/snbp/daya-tampung-snbp</x:v>
      </x:c>
      <x:c r="R455" s="66" t="str">
        <x:v>https://sidatagrun-public-1076756628210.asia-southeast2.run.app/ptn_sn.php?ptn=133</x:v>
      </x:c>
    </x:row>
    <x:row r="456">
      <x:c r="A456" s="87" t="n">
        <x:v>1143</x:v>
      </x:c>
      <x:c r="B456" s="87" t="n">
        <x:v>133</x:v>
      </x:c>
      <x:c r="C456" s="66" t="str">
        <x:v>UNIVERSITAS MARITIM RAJA ALI HAJI</x:v>
      </x:c>
      <x:c r="D456" s="66" t="str">
        <x:v>PTN Akademik</x:v>
      </x:c>
      <x:c r="E456" s="66" t="str">
        <x:v>11331021</x:v>
      </x:c>
      <x:c r="F456" s="66" t="str">
        <x:v>KEDOKTERAN</x:v>
      </x:c>
      <x:c r="G456" s="66" t="str">
        <x:v>Sarjana</x:v>
      </x:c>
      <x:c r="H456" s="87" t="n">
        <x:v>25</x:v>
      </x:c>
      <x:c r="I456" s="87" t="n">
        <x:v>289</x:v>
      </x:c>
      <x:c r="J456" s="68" t="n">
        <x:f>IFERROR(H456/I456,"")</x:f>
        <x:v>0.08650519031141868</x:v>
      </x:c>
      <x:c r="K456" s="69" t="n">
        <x:f>IFERROR(I456/H456,"")</x:f>
        <x:v>11.56</x:v>
      </x:c>
      <x:c r="L456" s="66" t="str">
        <x:f>IF(K456="","","1 : "&amp;TEXT(K456,"0.0"))</x:f>
        <x:v>1 : 11.6</x:v>
      </x:c>
      <x:c r="M456" s="66" t="str">
        <x:f>IF(J456="","Baru/Tanpa Data",IF(J456&lt;='Catatan &amp; Sumber'!$B$14,"Sangat Ketat",IF(J456&lt;='Catatan &amp; Sumber'!$B$15,"Ketat",IF(J456&lt;='Catatan &amp; Sumber'!$B$16,"Sedang","Relatif Longgar"))))</x:f>
        <x:v>Sedang</x:v>
      </x:c>
      <x:c r="N456" s="66" t="str">
        <x:v>Tidak Ada</x:v>
      </x:c>
      <x:c r="O456" s="66" t="str">
        <x:v>Kepulauan Riau</x:v>
      </x:c>
      <x:c r="P456" s="66" t="str">
        <x:v>Kota Tanjungpinang</x:v>
      </x:c>
      <x:c r="Q456" s="66" t="str">
        <x:v>https://snpmb.id/snbp/daya-tampung-snbp</x:v>
      </x:c>
      <x:c r="R456" s="66" t="str">
        <x:v>https://sidatagrun-public-1076756628210.asia-southeast2.run.app/ptn_sn.php?ptn=133</x:v>
      </x:c>
    </x:row>
    <x:row r="457">
      <x:c r="A457" s="87" t="n">
        <x:v>2712</x:v>
      </x:c>
      <x:c r="B457" s="87" t="n">
        <x:v>133</x:v>
      </x:c>
      <x:c r="C457" s="66" t="str">
        <x:v>UNIVERSITAS MARITIM RAJA ALI HAJI</x:v>
      </x:c>
      <x:c r="D457" s="66" t="str">
        <x:v>PTN Akademik</x:v>
      </x:c>
      <x:c r="E457" s="66" t="str">
        <x:v>11331022</x:v>
      </x:c>
      <x:c r="F457" s="66" t="str">
        <x:v>TEKNIK INDUSTRI</x:v>
      </x:c>
      <x:c r="G457" s="66" t="str">
        <x:v>Sarjana</x:v>
      </x:c>
      <x:c r="H457" s="87" t="n">
        <x:v>40</x:v>
      </x:c>
      <x:c r="I457" s="87" t="n">
        <x:v>163</x:v>
      </x:c>
      <x:c r="J457" s="68" t="n">
        <x:f>IFERROR(H457/I457,"")</x:f>
        <x:v>0.24539877300613497</x:v>
      </x:c>
      <x:c r="K457" s="69" t="n">
        <x:f>IFERROR(I457/H457,"")</x:f>
        <x:v>4.075</x:v>
      </x:c>
      <x:c r="L457" s="66" t="str">
        <x:f>IF(K457="","","1 : "&amp;TEXT(K457,"0.0"))</x:f>
        <x:v>1 : 4.1</x:v>
      </x:c>
      <x:c r="M457" s="66" t="str">
        <x:f>IF(J457="","Baru/Tanpa Data",IF(J457&lt;='Catatan &amp; Sumber'!$B$14,"Sangat Ketat",IF(J457&lt;='Catatan &amp; Sumber'!$B$15,"Ketat",IF(J457&lt;='Catatan &amp; Sumber'!$B$16,"Sedang","Relatif Longgar"))))</x:f>
        <x:v>Relatif Longgar</x:v>
      </x:c>
      <x:c r="N457" s="66" t="str">
        <x:v>Tidak Ada</x:v>
      </x:c>
      <x:c r="O457" s="66" t="str">
        <x:v>Kepulauan Riau</x:v>
      </x:c>
      <x:c r="P457" s="66" t="str">
        <x:v>Kota Tanjungpinang</x:v>
      </x:c>
      <x:c r="Q457" s="66" t="str">
        <x:v>https://snpmb.id/snbp/daya-tampung-snbp</x:v>
      </x:c>
      <x:c r="R457" s="66" t="str">
        <x:v>https://sidatagrun-public-1076756628210.asia-southeast2.run.app/ptn_sn.php?ptn=133</x:v>
      </x:c>
    </x:row>
    <x:row r="458">
      <x:c r="A458" s="87" t="n">
        <x:v>4515</x:v>
      </x:c>
      <x:c r="B458" s="87" t="n">
        <x:v>133</x:v>
      </x:c>
      <x:c r="C458" s="66" t="str">
        <x:v>UNIVERSITAS MARITIM RAJA ALI HAJI</x:v>
      </x:c>
      <x:c r="D458" s="66" t="str">
        <x:v>PTN Akademik</x:v>
      </x:c>
      <x:c r="E458" s="66" t="str">
        <x:v>11331023</x:v>
      </x:c>
      <x:c r="F458" s="66" t="str">
        <x:v>KIMIA</x:v>
      </x:c>
      <x:c r="G458" s="66" t="str">
        <x:v>Sarjana</x:v>
      </x:c>
      <x:c r="H458" s="87" t="n">
        <x:v>48</x:v>
      </x:c>
      <x:c r="I458" s="87" t="n">
        <x:v>35</x:v>
      </x:c>
      <x:c r="J458" s="68" t="n">
        <x:f>IFERROR(H458/I458,"")</x:f>
        <x:v>1.3714285714285714</x:v>
      </x:c>
      <x:c r="K458" s="69" t="n">
        <x:f>IFERROR(I458/H458,"")</x:f>
        <x:v>0.7291666666666666</x:v>
      </x:c>
      <x:c r="L458" s="66" t="str">
        <x:f>IF(K458="","","1 : "&amp;TEXT(K458,"0.0"))</x:f>
        <x:v>1 : 0.7</x:v>
      </x:c>
      <x:c r="M458" s="66" t="str">
        <x:f>IF(J458="","Baru/Tanpa Data",IF(J458&lt;='Catatan &amp; Sumber'!$B$14,"Sangat Ketat",IF(J458&lt;='Catatan &amp; Sumber'!$B$15,"Ketat",IF(J458&lt;='Catatan &amp; Sumber'!$B$16,"Sedang","Relatif Longgar"))))</x:f>
        <x:v>Relatif Longgar</x:v>
      </x:c>
      <x:c r="N458" s="66" t="str">
        <x:v>Tidak Ada</x:v>
      </x:c>
      <x:c r="O458" s="66" t="str">
        <x:v>Kepulauan Riau</x:v>
      </x:c>
      <x:c r="P458" s="66" t="str">
        <x:v>Kota Tanjungpinang</x:v>
      </x:c>
      <x:c r="Q458" s="66" t="str">
        <x:v>https://snpmb.id/snbp/daya-tampung-snbp</x:v>
      </x:c>
      <x:c r="R458" s="66" t="str">
        <x:v>https://sidatagrun-public-1076756628210.asia-southeast2.run.app/ptn_sn.php?ptn=133</x:v>
      </x:c>
    </x:row>
    <x:row r="459">
      <x:c r="A459" s="87" t="n">
        <x:v>3816</x:v>
      </x:c>
      <x:c r="B459" s="87" t="n">
        <x:v>133</x:v>
      </x:c>
      <x:c r="C459" s="66" t="str">
        <x:v>UNIVERSITAS MARITIM RAJA ALI HAJI</x:v>
      </x:c>
      <x:c r="D459" s="66" t="str">
        <x:v>PTN Akademik</x:v>
      </x:c>
      <x:c r="E459" s="66" t="str">
        <x:v>11331024</x:v>
      </x:c>
      <x:c r="F459" s="66" t="str">
        <x:v>BISNIS DIGITAL</x:v>
      </x:c>
      <x:c r="G459" s="66" t="str">
        <x:v>Sarjana</x:v>
      </x:c>
      <x:c r="H459" s="87" t="n">
        <x:v>75</x:v>
      </x:c>
      <x:c r="I459" s="87" t="n">
        <x:v>129</x:v>
      </x:c>
      <x:c r="J459" s="68" t="n">
        <x:f>IFERROR(H459/I459,"")</x:f>
        <x:v>0.5813953488372093</x:v>
      </x:c>
      <x:c r="K459" s="69" t="n">
        <x:f>IFERROR(I459/H459,"")</x:f>
        <x:v>1.72</x:v>
      </x:c>
      <x:c r="L459" s="66" t="str">
        <x:f>IF(K459="","","1 : "&amp;TEXT(K459,"0.0"))</x:f>
        <x:v>1 : 1.7</x:v>
      </x:c>
      <x:c r="M459" s="66" t="str">
        <x:f>IF(J459="","Baru/Tanpa Data",IF(J459&lt;='Catatan &amp; Sumber'!$B$14,"Sangat Ketat",IF(J459&lt;='Catatan &amp; Sumber'!$B$15,"Ketat",IF(J459&lt;='Catatan &amp; Sumber'!$B$16,"Sedang","Relatif Longgar"))))</x:f>
        <x:v>Relatif Longgar</x:v>
      </x:c>
      <x:c r="N459" s="66" t="str">
        <x:v>Tidak Ada</x:v>
      </x:c>
      <x:c r="O459" s="66" t="str">
        <x:v>Kepulauan Riau</x:v>
      </x:c>
      <x:c r="P459" s="66" t="str">
        <x:v>Kota Tanjungpinang</x:v>
      </x:c>
      <x:c r="Q459" s="66" t="str">
        <x:v>https://snpmb.id/snbp/daya-tampung-snbp</x:v>
      </x:c>
      <x:c r="R459" s="66" t="str">
        <x:v>https://sidatagrun-public-1076756628210.asia-southeast2.run.app/ptn_sn.php?ptn=133</x:v>
      </x:c>
    </x:row>
    <x:row r="460">
      <x:c r="A460" s="87" t="n">
        <x:v>3157</x:v>
      </x:c>
      <x:c r="B460" s="87" t="n">
        <x:v>133</x:v>
      </x:c>
      <x:c r="C460" s="66" t="str">
        <x:v>UNIVERSITAS MARITIM RAJA ALI HAJI</x:v>
      </x:c>
      <x:c r="D460" s="66" t="str">
        <x:v>PTN Akademik</x:v>
      </x:c>
      <x:c r="E460" s="66" t="str">
        <x:v>11331025</x:v>
      </x:c>
      <x:c r="F460" s="66" t="str">
        <x:v>KEWIRAUSAHAAN</x:v>
      </x:c>
      <x:c r="G460" s="66" t="str">
        <x:v>Sarjana</x:v>
      </x:c>
      <x:c r="H460" s="87" t="n">
        <x:v>25</x:v>
      </x:c>
      <x:c r="I460" s="87" t="n">
        <x:v>76</x:v>
      </x:c>
      <x:c r="J460" s="68" t="n">
        <x:f>IFERROR(H460/I460,"")</x:f>
        <x:v>0.32894736842105265</x:v>
      </x:c>
      <x:c r="K460" s="69" t="n">
        <x:f>IFERROR(I460/H460,"")</x:f>
        <x:v>3.04</x:v>
      </x:c>
      <x:c r="L460" s="66" t="str">
        <x:f>IF(K460="","","1 : "&amp;TEXT(K460,"0.0"))</x:f>
        <x:v>1 : 3.0</x:v>
      </x:c>
      <x:c r="M460" s="66" t="str">
        <x:f>IF(J460="","Baru/Tanpa Data",IF(J460&lt;='Catatan &amp; Sumber'!$B$14,"Sangat Ketat",IF(J460&lt;='Catatan &amp; Sumber'!$B$15,"Ketat",IF(J460&lt;='Catatan &amp; Sumber'!$B$16,"Sedang","Relatif Longgar"))))</x:f>
        <x:v>Relatif Longgar</x:v>
      </x:c>
      <x:c r="N460" s="66" t="str">
        <x:v>Tidak Ada</x:v>
      </x:c>
      <x:c r="O460" s="66" t="str">
        <x:v>Kepulauan Riau</x:v>
      </x:c>
      <x:c r="P460" s="66" t="str">
        <x:v>Kota Tanjungpinang</x:v>
      </x:c>
      <x:c r="Q460" s="66" t="str">
        <x:v>https://snpmb.id/snbp/daya-tampung-snbp</x:v>
      </x:c>
      <x:c r="R460" s="66" t="str">
        <x:v>https://sidatagrun-public-1076756628210.asia-southeast2.run.app/ptn_sn.php?ptn=133</x:v>
      </x:c>
    </x:row>
    <x:row r="461">
      <x:c r="A461" s="87" t="n">
        <x:v>4377</x:v>
      </x:c>
      <x:c r="B461" s="87" t="n">
        <x:v>133</x:v>
      </x:c>
      <x:c r="C461" s="66" t="str">
        <x:v>UNIVERSITAS MARITIM RAJA ALI HAJI</x:v>
      </x:c>
      <x:c r="D461" s="66" t="str">
        <x:v>PTN Akademik</x:v>
      </x:c>
      <x:c r="E461" s="66" t="str">
        <x:v>11331026</x:v>
      </x:c>
      <x:c r="F461" s="66" t="str">
        <x:v>KAJIAN FILM, TELEVISI, DAN MEDIA</x:v>
      </x:c>
      <x:c r="G461" s="66" t="str">
        <x:v>Sarjana</x:v>
      </x:c>
      <x:c r="H461" s="87" t="n">
        <x:v>50</x:v>
      </x:c>
      <x:c r="I461" s="87" t="n">
        <x:v>46</x:v>
      </x:c>
      <x:c r="J461" s="68" t="n">
        <x:f>IFERROR(H461/I461,"")</x:f>
        <x:v>1.0869565217391304</x:v>
      </x:c>
      <x:c r="K461" s="69" t="n">
        <x:f>IFERROR(I461/H461,"")</x:f>
        <x:v>0.92</x:v>
      </x:c>
      <x:c r="L461" s="66" t="str">
        <x:f>IF(K461="","","1 : "&amp;TEXT(K461,"0.0"))</x:f>
        <x:v>1 : 0.9</x:v>
      </x:c>
      <x:c r="M461" s="66" t="str">
        <x:f>IF(J461="","Baru/Tanpa Data",IF(J461&lt;='Catatan &amp; Sumber'!$B$14,"Sangat Ketat",IF(J461&lt;='Catatan &amp; Sumber'!$B$15,"Ketat",IF(J461&lt;='Catatan &amp; Sumber'!$B$16,"Sedang","Relatif Longgar"))))</x:f>
        <x:v>Relatif Longgar</x:v>
      </x:c>
      <x:c r="N461" s="66" t="str">
        <x:v>Tidak Ada</x:v>
      </x:c>
      <x:c r="O461" s="66" t="str">
        <x:v>Kepulauan Riau</x:v>
      </x:c>
      <x:c r="P461" s="66" t="str">
        <x:v>Kota Tanjungpinang</x:v>
      </x:c>
      <x:c r="Q461" s="66" t="str">
        <x:v>https://snpmb.id/snbp/daya-tampung-snbp</x:v>
      </x:c>
      <x:c r="R461" s="66" t="str">
        <x:v>https://sidatagrun-public-1076756628210.asia-southeast2.run.app/ptn_sn.php?ptn=133</x:v>
      </x:c>
    </x:row>
    <x:row r="462">
      <x:c r="A462" s="87"/>
      <x:c r="B462" s="87" t="n">
        <x:v>133</x:v>
      </x:c>
      <x:c r="C462" s="66" t="str">
        <x:v>UNIVERSITAS MARITIM RAJA ALI HAJI</x:v>
      </x:c>
      <x:c r="D462" s="66" t="str">
        <x:v>PTN Akademik</x:v>
      </x:c>
      <x:c r="E462" s="66" t="str">
        <x:v>11331027</x:v>
      </x:c>
      <x:c r="F462" s="66" t="str">
        <x:v>PERENCANAAN WILAYAH DAN KOTA</x:v>
      </x:c>
      <x:c r="G462" s="66" t="str">
        <x:v>Sarjana</x:v>
      </x:c>
      <x:c r="H462" s="87" t="n">
        <x:v>25</x:v>
      </x:c>
      <x:c r="I462" s="87"/>
      <x:c r="J462" s="68" t="str">
        <x:f>IFERROR(H462/I462,"")</x:f>
      </x:c>
      <x:c r="K462" s="69" t="n">
        <x:f>IFERROR(I462/H462,"")</x:f>
        <x:v>0</x:v>
      </x:c>
      <x:c r="L462" s="66" t="str">
        <x:f>IF(K462="","","1 : "&amp;TEXT(K462,"0.0"))</x:f>
      </x:c>
      <x:c r="M462" s="66" t="str">
        <x:f>IF(J462="","Baru/Tanpa Data",IF(J462&lt;='Catatan &amp; Sumber'!$B$14,"Sangat Ketat",IF(J462&lt;='Catatan &amp; Sumber'!$B$15,"Ketat",IF(J462&lt;='Catatan &amp; Sumber'!$B$16,"Sedang","Relatif Longgar"))))</x:f>
        <x:v>Baru/Tanpa Data</x:v>
      </x:c>
      <x:c r="N462" s="66" t="str">
        <x:v>Tidak Ada</x:v>
      </x:c>
      <x:c r="O462" s="66" t="str">
        <x:v>Kepulauan Riau</x:v>
      </x:c>
      <x:c r="P462" s="66" t="str">
        <x:v>Kota Tanjungpinang</x:v>
      </x:c>
      <x:c r="Q462" s="66" t="str">
        <x:v>https://snpmb.id/snbp/daya-tampung-snbp</x:v>
      </x:c>
      <x:c r="R462" s="66" t="str">
        <x:v>https://sidatagrun-public-1076756628210.asia-southeast2.run.app/ptn_sn.php?ptn=133</x:v>
      </x:c>
    </x:row>
    <x:row r="463">
      <x:c r="A463" s="87"/>
      <x:c r="B463" s="87" t="n">
        <x:v>133</x:v>
      </x:c>
      <x:c r="C463" s="66" t="str">
        <x:v>UNIVERSITAS MARITIM RAJA ALI HAJI</x:v>
      </x:c>
      <x:c r="D463" s="66" t="str">
        <x:v>PTN Akademik</x:v>
      </x:c>
      <x:c r="E463" s="66" t="str">
        <x:v>11331028</x:v>
      </x:c>
      <x:c r="F463" s="66" t="str">
        <x:v>TEKNIK SIPIL</x:v>
      </x:c>
      <x:c r="G463" s="66" t="str">
        <x:v>Sarjana</x:v>
      </x:c>
      <x:c r="H463" s="87" t="n">
        <x:v>30</x:v>
      </x:c>
      <x:c r="I463" s="87"/>
      <x:c r="J463" s="68" t="str">
        <x:f>IFERROR(H463/I463,"")</x:f>
      </x:c>
      <x:c r="K463" s="69" t="n">
        <x:f>IFERROR(I463/H463,"")</x:f>
        <x:v>0</x:v>
      </x:c>
      <x:c r="L463" s="66" t="str">
        <x:f>IF(K463="","","1 : "&amp;TEXT(K463,"0.0"))</x:f>
      </x:c>
      <x:c r="M463" s="66" t="str">
        <x:f>IF(J463="","Baru/Tanpa Data",IF(J463&lt;='Catatan &amp; Sumber'!$B$14,"Sangat Ketat",IF(J463&lt;='Catatan &amp; Sumber'!$B$15,"Ketat",IF(J463&lt;='Catatan &amp; Sumber'!$B$16,"Sedang","Relatif Longgar"))))</x:f>
        <x:v>Baru/Tanpa Data</x:v>
      </x:c>
      <x:c r="N463" s="66" t="str">
        <x:v>Tidak Ada</x:v>
      </x:c>
      <x:c r="O463" s="66" t="str">
        <x:v>Kepulauan Riau</x:v>
      </x:c>
      <x:c r="P463" s="66" t="str">
        <x:v>Kota Tanjungpinang</x:v>
      </x:c>
      <x:c r="Q463" s="66" t="str">
        <x:v>https://snpmb.id/snbp/daya-tampung-snbp</x:v>
      </x:c>
      <x:c r="R463" s="66" t="str">
        <x:v>https://sidatagrun-public-1076756628210.asia-southeast2.run.app/ptn_sn.php?ptn=133</x:v>
      </x:c>
    </x:row>
    <x:row r="464">
      <x:c r="A464" s="87"/>
      <x:c r="B464" s="87" t="n">
        <x:v>133</x:v>
      </x:c>
      <x:c r="C464" s="66" t="str">
        <x:v>UNIVERSITAS MARITIM RAJA ALI HAJI</x:v>
      </x:c>
      <x:c r="D464" s="66" t="str">
        <x:v>PTN Akademik</x:v>
      </x:c>
      <x:c r="E464" s="66" t="str">
        <x:v>11331029</x:v>
      </x:c>
      <x:c r="F464" s="66" t="str">
        <x:v>PENDIDIKAN FISIKA</x:v>
      </x:c>
      <x:c r="G464" s="66" t="str">
        <x:v>Sarjana</x:v>
      </x:c>
      <x:c r="H464" s="87" t="n">
        <x:v>25</x:v>
      </x:c>
      <x:c r="I464" s="87"/>
      <x:c r="J464" s="68" t="str">
        <x:f>IFERROR(H464/I464,"")</x:f>
      </x:c>
      <x:c r="K464" s="69" t="n">
        <x:f>IFERROR(I464/H464,"")</x:f>
        <x:v>0</x:v>
      </x:c>
      <x:c r="L464" s="66" t="str">
        <x:f>IF(K464="","","1 : "&amp;TEXT(K464,"0.0"))</x:f>
      </x:c>
      <x:c r="M464" s="66" t="str">
        <x:f>IF(J464="","Baru/Tanpa Data",IF(J464&lt;='Catatan &amp; Sumber'!$B$14,"Sangat Ketat",IF(J464&lt;='Catatan &amp; Sumber'!$B$15,"Ketat",IF(J464&lt;='Catatan &amp; Sumber'!$B$16,"Sedang","Relatif Longgar"))))</x:f>
        <x:v>Baru/Tanpa Data</x:v>
      </x:c>
      <x:c r="N464" s="66" t="str">
        <x:v>Tidak Ada</x:v>
      </x:c>
      <x:c r="O464" s="66" t="str">
        <x:v>Kepulauan Riau</x:v>
      </x:c>
      <x:c r="P464" s="66" t="str">
        <x:v>Kota Tanjungpinang</x:v>
      </x:c>
      <x:c r="Q464" s="66" t="str">
        <x:v>https://snpmb.id/snbp/daya-tampung-snbp</x:v>
      </x:c>
      <x:c r="R464" s="66" t="str">
        <x:v>https://sidatagrun-public-1076756628210.asia-southeast2.run.app/ptn_sn.php?ptn=133</x:v>
      </x:c>
    </x:row>
    <x:row r="465">
      <x:c r="A465" s="87"/>
      <x:c r="B465" s="87" t="n">
        <x:v>133</x:v>
      </x:c>
      <x:c r="C465" s="66" t="str">
        <x:v>UNIVERSITAS MARITIM RAJA ALI HAJI</x:v>
      </x:c>
      <x:c r="D465" s="66" t="str">
        <x:v>PTN Akademik</x:v>
      </x:c>
      <x:c r="E465" s="66" t="str">
        <x:v>11331030</x:v>
      </x:c>
      <x:c r="F465" s="66" t="str">
        <x:v>ARSITEKTUR</x:v>
      </x:c>
      <x:c r="G465" s="66" t="str">
        <x:v>Sarjana</x:v>
      </x:c>
      <x:c r="H465" s="87" t="n">
        <x:v>25</x:v>
      </x:c>
      <x:c r="I465" s="87"/>
      <x:c r="J465" s="68" t="str">
        <x:f>IFERROR(H465/I465,"")</x:f>
      </x:c>
      <x:c r="K465" s="69" t="n">
        <x:f>IFERROR(I465/H465,"")</x:f>
        <x:v>0</x:v>
      </x:c>
      <x:c r="L465" s="66" t="str">
        <x:f>IF(K465="","","1 : "&amp;TEXT(K465,"0.0"))</x:f>
      </x:c>
      <x:c r="M465" s="66" t="str">
        <x:f>IF(J465="","Baru/Tanpa Data",IF(J465&lt;='Catatan &amp; Sumber'!$B$14,"Sangat Ketat",IF(J465&lt;='Catatan &amp; Sumber'!$B$15,"Ketat",IF(J465&lt;='Catatan &amp; Sumber'!$B$16,"Sedang","Relatif Longgar"))))</x:f>
        <x:v>Baru/Tanpa Data</x:v>
      </x:c>
      <x:c r="N465" s="66" t="str">
        <x:v>Tidak Ada</x:v>
      </x:c>
      <x:c r="O465" s="66" t="str">
        <x:v>Kepulauan Riau</x:v>
      </x:c>
      <x:c r="P465" s="66" t="str">
        <x:v>Kota Tanjungpinang</x:v>
      </x:c>
      <x:c r="Q465" s="66" t="str">
        <x:v>https://snpmb.id/snbp/daya-tampung-snbp</x:v>
      </x:c>
      <x:c r="R465" s="66" t="str">
        <x:v>https://sidatagrun-public-1076756628210.asia-southeast2.run.app/ptn_sn.php?ptn=133</x:v>
      </x:c>
    </x:row>
    <x:row r="466">
      <x:c r="A466" s="87" t="n">
        <x:v>2240</x:v>
      </x:c>
      <x:c r="B466" s="87" t="n">
        <x:v>141</x:v>
      </x:c>
      <x:c r="C466" s="66" t="str">
        <x:v>UNIVERSITAS ANDALAS</x:v>
      </x:c>
      <x:c r="D466" s="66" t="str">
        <x:v>PTN Akademik</x:v>
      </x:c>
      <x:c r="E466" s="66" t="str">
        <x:v>11411001</x:v>
      </x:c>
      <x:c r="F466" s="66" t="str">
        <x:v>AGRIBISNIS</x:v>
      </x:c>
      <x:c r="G466" s="66" t="str">
        <x:v>Sarjana</x:v>
      </x:c>
      <x:c r="H466" s="87" t="n">
        <x:v>80</x:v>
      </x:c>
      <x:c r="I466" s="87" t="n">
        <x:v>452</x:v>
      </x:c>
      <x:c r="J466" s="68" t="n">
        <x:f>IFERROR(H466/I466,"")</x:f>
        <x:v>0.17699115044247787</x:v>
      </x:c>
      <x:c r="K466" s="69" t="n">
        <x:f>IFERROR(I466/H466,"")</x:f>
        <x:v>5.65</x:v>
      </x:c>
      <x:c r="L466" s="66" t="str">
        <x:f>IF(K466="","","1 : "&amp;TEXT(K466,"0.0"))</x:f>
        <x:v>1 : 5.7</x:v>
      </x:c>
      <x:c r="M466" s="66" t="str">
        <x:f>IF(J466="","Baru/Tanpa Data",IF(J466&lt;='Catatan &amp; Sumber'!$B$14,"Sangat Ketat",IF(J466&lt;='Catatan &amp; Sumber'!$B$15,"Ketat",IF(J466&lt;='Catatan &amp; Sumber'!$B$16,"Sedang","Relatif Longgar"))))</x:f>
        <x:v>Relatif Longgar</x:v>
      </x:c>
      <x:c r="N466" s="66" t="str">
        <x:v>Tidak Ada</x:v>
      </x:c>
      <x:c r="O466" s="66" t="str">
        <x:v>Sumatera Barat</x:v>
      </x:c>
      <x:c r="P466" s="66" t="str">
        <x:v>Kota Padang</x:v>
      </x:c>
      <x:c r="Q466" s="66" t="str">
        <x:v>https://snpmb.id/snbp/daya-tampung-snbp</x:v>
      </x:c>
      <x:c r="R466" s="66" t="str">
        <x:v>https://sidatagrun-public-1076756628210.asia-southeast2.run.app/ptn_sn.php?ptn=141</x:v>
      </x:c>
    </x:row>
    <x:row r="467">
      <x:c r="A467" s="87" t="n">
        <x:v>2675</x:v>
      </x:c>
      <x:c r="B467" s="87" t="n">
        <x:v>141</x:v>
      </x:c>
      <x:c r="C467" s="66" t="str">
        <x:v>UNIVERSITAS ANDALAS</x:v>
      </x:c>
      <x:c r="D467" s="66" t="str">
        <x:v>PTN Akademik</x:v>
      </x:c>
      <x:c r="E467" s="66" t="str">
        <x:v>11411002</x:v>
      </x:c>
      <x:c r="F467" s="66" t="str">
        <x:v>AGROTEKNOLOGI</x:v>
      </x:c>
      <x:c r="G467" s="66" t="str">
        <x:v>Sarjana</x:v>
      </x:c>
      <x:c r="H467" s="87" t="n">
        <x:v>100</x:v>
      </x:c>
      <x:c r="I467" s="87" t="n">
        <x:v>418</x:v>
      </x:c>
      <x:c r="J467" s="68" t="n">
        <x:f>IFERROR(H467/I467,"")</x:f>
        <x:v>0.23923444976076555</x:v>
      </x:c>
      <x:c r="K467" s="69" t="n">
        <x:f>IFERROR(I467/H467,"")</x:f>
        <x:v>4.18</x:v>
      </x:c>
      <x:c r="L467" s="66" t="str">
        <x:f>IF(K467="","","1 : "&amp;TEXT(K467,"0.0"))</x:f>
        <x:v>1 : 4.2</x:v>
      </x:c>
      <x:c r="M467" s="66" t="str">
        <x:f>IF(J467="","Baru/Tanpa Data",IF(J467&lt;='Catatan &amp; Sumber'!$B$14,"Sangat Ketat",IF(J467&lt;='Catatan &amp; Sumber'!$B$15,"Ketat",IF(J467&lt;='Catatan &amp; Sumber'!$B$16,"Sedang","Relatif Longgar"))))</x:f>
        <x:v>Relatif Longgar</x:v>
      </x:c>
      <x:c r="N467" s="66" t="str">
        <x:v>Tidak Ada</x:v>
      </x:c>
      <x:c r="O467" s="66" t="str">
        <x:v>Sumatera Barat</x:v>
      </x:c>
      <x:c r="P467" s="66" t="str">
        <x:v>Kota Padang</x:v>
      </x:c>
      <x:c r="Q467" s="66" t="str">
        <x:v>https://snpmb.id/snbp/daya-tampung-snbp</x:v>
      </x:c>
      <x:c r="R467" s="66" t="str">
        <x:v>https://sidatagrun-public-1076756628210.asia-southeast2.run.app/ptn_sn.php?ptn=141</x:v>
      </x:c>
    </x:row>
    <x:row r="468">
      <x:c r="A468" s="87" t="n">
        <x:v>420</x:v>
      </x:c>
      <x:c r="B468" s="87" t="n">
        <x:v>141</x:v>
      </x:c>
      <x:c r="C468" s="66" t="str">
        <x:v>UNIVERSITAS ANDALAS</x:v>
      </x:c>
      <x:c r="D468" s="66" t="str">
        <x:v>PTN Akademik</x:v>
      </x:c>
      <x:c r="E468" s="66" t="str">
        <x:v>11411003</x:v>
      </x:c>
      <x:c r="F468" s="66" t="str">
        <x:v>KEDOKTERAN</x:v>
      </x:c>
      <x:c r="G468" s="66" t="str">
        <x:v>Sarjana</x:v>
      </x:c>
      <x:c r="H468" s="87" t="n">
        <x:v>51</x:v>
      </x:c>
      <x:c r="I468" s="87" t="n">
        <x:v>1070</x:v>
      </x:c>
      <x:c r="J468" s="68" t="n">
        <x:f>IFERROR(H468/I468,"")</x:f>
        <x:v>0.04766355140186916</x:v>
      </x:c>
      <x:c r="K468" s="69" t="n">
        <x:f>IFERROR(I468/H468,"")</x:f>
        <x:v>20.980392156862745</x:v>
      </x:c>
      <x:c r="L468" s="66" t="str">
        <x:f>IF(K468="","","1 : "&amp;TEXT(K468,"0.0"))</x:f>
        <x:v>1 : 21.0</x:v>
      </x:c>
      <x:c r="M468" s="66" t="str">
        <x:f>IF(J468="","Baru/Tanpa Data",IF(J468&lt;='Catatan &amp; Sumber'!$B$14,"Sangat Ketat",IF(J468&lt;='Catatan &amp; Sumber'!$B$15,"Ketat",IF(J468&lt;='Catatan &amp; Sumber'!$B$16,"Sedang","Relatif Longgar"))))</x:f>
        <x:v>Ketat</x:v>
      </x:c>
      <x:c r="N468" s="66" t="str">
        <x:v>Tidak Ada</x:v>
      </x:c>
      <x:c r="O468" s="66" t="str">
        <x:v>Sumatera Barat</x:v>
      </x:c>
      <x:c r="P468" s="66" t="str">
        <x:v>Kota Padang</x:v>
      </x:c>
      <x:c r="Q468" s="66" t="str">
        <x:v>https://snpmb.id/snbp/daya-tampung-snbp</x:v>
      </x:c>
      <x:c r="R468" s="66" t="str">
        <x:v>https://sidatagrun-public-1076756628210.asia-southeast2.run.app/ptn_sn.php?ptn=141</x:v>
      </x:c>
    </x:row>
    <x:row r="469">
      <x:c r="A469" s="87" t="n">
        <x:v>383</x:v>
      </x:c>
      <x:c r="B469" s="87" t="n">
        <x:v>141</x:v>
      </x:c>
      <x:c r="C469" s="66" t="str">
        <x:v>UNIVERSITAS ANDALAS</x:v>
      </x:c>
      <x:c r="D469" s="66" t="str">
        <x:v>PTN Akademik</x:v>
      </x:c>
      <x:c r="E469" s="66" t="str">
        <x:v>11411004</x:v>
      </x:c>
      <x:c r="F469" s="66" t="str">
        <x:v>KEPERAWATAN</x:v>
      </x:c>
      <x:c r="G469" s="66" t="str">
        <x:v>Sarjana</x:v>
      </x:c>
      <x:c r="H469" s="87" t="n">
        <x:v>36</x:v>
      </x:c>
      <x:c r="I469" s="87" t="n">
        <x:v>784</x:v>
      </x:c>
      <x:c r="J469" s="68" t="n">
        <x:f>IFERROR(H469/I469,"")</x:f>
        <x:v>0.04591836734693878</x:v>
      </x:c>
      <x:c r="K469" s="69" t="n">
        <x:f>IFERROR(I469/H469,"")</x:f>
        <x:v>21.77777777777778</x:v>
      </x:c>
      <x:c r="L469" s="66" t="str">
        <x:f>IF(K469="","","1 : "&amp;TEXT(K469,"0.0"))</x:f>
        <x:v>1 : 21.8</x:v>
      </x:c>
      <x:c r="M469" s="66" t="str">
        <x:f>IF(J469="","Baru/Tanpa Data",IF(J469&lt;='Catatan &amp; Sumber'!$B$14,"Sangat Ketat",IF(J469&lt;='Catatan &amp; Sumber'!$B$15,"Ketat",IF(J469&lt;='Catatan &amp; Sumber'!$B$16,"Sedang","Relatif Longgar"))))</x:f>
        <x:v>Ketat</x:v>
      </x:c>
      <x:c r="N469" s="66" t="str">
        <x:v>Tidak Ada</x:v>
      </x:c>
      <x:c r="O469" s="66" t="str">
        <x:v>Sumatera Barat</x:v>
      </x:c>
      <x:c r="P469" s="66" t="str">
        <x:v>Kota Padang</x:v>
      </x:c>
      <x:c r="Q469" s="66" t="str">
        <x:v>https://snpmb.id/snbp/daya-tampung-snbp</x:v>
      </x:c>
      <x:c r="R469" s="66" t="str">
        <x:v>https://sidatagrun-public-1076756628210.asia-southeast2.run.app/ptn_sn.php?ptn=141</x:v>
      </x:c>
    </x:row>
    <x:row r="470">
      <x:c r="A470" s="87" t="n">
        <x:v>469</x:v>
      </x:c>
      <x:c r="B470" s="87" t="n">
        <x:v>141</x:v>
      </x:c>
      <x:c r="C470" s="66" t="str">
        <x:v>UNIVERSITAS ANDALAS</x:v>
      </x:c>
      <x:c r="D470" s="66" t="str">
        <x:v>PTN Akademik</x:v>
      </x:c>
      <x:c r="E470" s="66" t="str">
        <x:v>11411005</x:v>
      </x:c>
      <x:c r="F470" s="66" t="str">
        <x:v>KESEHATAN MASYARAKAT</x:v>
      </x:c>
      <x:c r="G470" s="66" t="str">
        <x:v>Sarjana</x:v>
      </x:c>
      <x:c r="H470" s="87" t="n">
        <x:v>45</x:v>
      </x:c>
      <x:c r="I470" s="87" t="n">
        <x:v>905</x:v>
      </x:c>
      <x:c r="J470" s="68" t="n">
        <x:f>IFERROR(H470/I470,"")</x:f>
        <x:v>0.049723756906077346</x:v>
      </x:c>
      <x:c r="K470" s="69" t="n">
        <x:f>IFERROR(I470/H470,"")</x:f>
        <x:v>20.11111111111111</x:v>
      </x:c>
      <x:c r="L470" s="66" t="str">
        <x:f>IF(K470="","","1 : "&amp;TEXT(K470,"0.0"))</x:f>
        <x:v>1 : 20.1</x:v>
      </x:c>
      <x:c r="M470" s="66" t="str">
        <x:f>IF(J470="","Baru/Tanpa Data",IF(J470&lt;='Catatan &amp; Sumber'!$B$14,"Sangat Ketat",IF(J470&lt;='Catatan &amp; Sumber'!$B$15,"Ketat",IF(J470&lt;='Catatan &amp; Sumber'!$B$16,"Sedang","Relatif Longgar"))))</x:f>
        <x:v>Ketat</x:v>
      </x:c>
      <x:c r="N470" s="66" t="str">
        <x:v>Tidak Ada</x:v>
      </x:c>
      <x:c r="O470" s="66" t="str">
        <x:v>Sumatera Barat</x:v>
      </x:c>
      <x:c r="P470" s="66" t="str">
        <x:v>Kota Padang</x:v>
      </x:c>
      <x:c r="Q470" s="66" t="str">
        <x:v>https://snpmb.id/snbp/daya-tampung-snbp</x:v>
      </x:c>
      <x:c r="R470" s="66" t="str">
        <x:v>https://sidatagrun-public-1076756628210.asia-southeast2.run.app/ptn_sn.php?ptn=141</x:v>
      </x:c>
    </x:row>
    <x:row r="471">
      <x:c r="A471" s="87" t="n">
        <x:v>194</x:v>
      </x:c>
      <x:c r="B471" s="87" t="n">
        <x:v>141</x:v>
      </x:c>
      <x:c r="C471" s="66" t="str">
        <x:v>UNIVERSITAS ANDALAS</x:v>
      </x:c>
      <x:c r="D471" s="66" t="str">
        <x:v>PTN Akademik</x:v>
      </x:c>
      <x:c r="E471" s="66" t="str">
        <x:v>11411006</x:v>
      </x:c>
      <x:c r="F471" s="66" t="str">
        <x:v>KEDOKTERAN GIGI</x:v>
      </x:c>
      <x:c r="G471" s="66" t="str">
        <x:v>Sarjana</x:v>
      </x:c>
      <x:c r="H471" s="87" t="n">
        <x:v>20</x:v>
      </x:c>
      <x:c r="I471" s="87" t="n">
        <x:v>546</x:v>
      </x:c>
      <x:c r="J471" s="68" t="n">
        <x:f>IFERROR(H471/I471,"")</x:f>
        <x:v>0.03663003663003663</x:v>
      </x:c>
      <x:c r="K471" s="69" t="n">
        <x:f>IFERROR(I471/H471,"")</x:f>
        <x:v>27.3</x:v>
      </x:c>
      <x:c r="L471" s="66" t="str">
        <x:f>IF(K471="","","1 : "&amp;TEXT(K471,"0.0"))</x:f>
        <x:v>1 : 27.3</x:v>
      </x:c>
      <x:c r="M471" s="66" t="str">
        <x:f>IF(J471="","Baru/Tanpa Data",IF(J471&lt;='Catatan &amp; Sumber'!$B$14,"Sangat Ketat",IF(J471&lt;='Catatan &amp; Sumber'!$B$15,"Ketat",IF(J471&lt;='Catatan &amp; Sumber'!$B$16,"Sedang","Relatif Longgar"))))</x:f>
        <x:v>Ketat</x:v>
      </x:c>
      <x:c r="N471" s="66" t="str">
        <x:v>Tidak Ada</x:v>
      </x:c>
      <x:c r="O471" s="66" t="str">
        <x:v>Sumatera Barat</x:v>
      </x:c>
      <x:c r="P471" s="66" t="str">
        <x:v>Kota Padang</x:v>
      </x:c>
      <x:c r="Q471" s="66" t="str">
        <x:v>https://snpmb.id/snbp/daya-tampung-snbp</x:v>
      </x:c>
      <x:c r="R471" s="66" t="str">
        <x:v>https://sidatagrun-public-1076756628210.asia-southeast2.run.app/ptn_sn.php?ptn=141</x:v>
      </x:c>
    </x:row>
    <x:row r="472">
      <x:c r="A472" s="87" t="n">
        <x:v>2117</x:v>
      </x:c>
      <x:c r="B472" s="87" t="n">
        <x:v>141</x:v>
      </x:c>
      <x:c r="C472" s="66" t="str">
        <x:v>UNIVERSITAS ANDALAS</x:v>
      </x:c>
      <x:c r="D472" s="66" t="str">
        <x:v>PTN Akademik</x:v>
      </x:c>
      <x:c r="E472" s="66" t="str">
        <x:v>11411007</x:v>
      </x:c>
      <x:c r="F472" s="66" t="str">
        <x:v>KIMIA</x:v>
      </x:c>
      <x:c r="G472" s="66" t="str">
        <x:v>Sarjana</x:v>
      </x:c>
      <x:c r="H472" s="87" t="n">
        <x:v>40</x:v>
      </x:c>
      <x:c r="I472" s="87" t="n">
        <x:v>245</x:v>
      </x:c>
      <x:c r="J472" s="68" t="n">
        <x:f>IFERROR(H472/I472,"")</x:f>
        <x:v>0.16326530612244897</x:v>
      </x:c>
      <x:c r="K472" s="69" t="n">
        <x:f>IFERROR(I472/H472,"")</x:f>
        <x:v>6.125</x:v>
      </x:c>
      <x:c r="L472" s="66" t="str">
        <x:f>IF(K472="","","1 : "&amp;TEXT(K472,"0.0"))</x:f>
        <x:v>1 : 6.1</x:v>
      </x:c>
      <x:c r="M472" s="66" t="str">
        <x:f>IF(J472="","Baru/Tanpa Data",IF(J472&lt;='Catatan &amp; Sumber'!$B$14,"Sangat Ketat",IF(J472&lt;='Catatan &amp; Sumber'!$B$15,"Ketat",IF(J472&lt;='Catatan &amp; Sumber'!$B$16,"Sedang","Relatif Longgar"))))</x:f>
        <x:v>Relatif Longgar</x:v>
      </x:c>
      <x:c r="N472" s="66" t="str">
        <x:v>Tidak Ada</x:v>
      </x:c>
      <x:c r="O472" s="66" t="str">
        <x:v>Sumatera Barat</x:v>
      </x:c>
      <x:c r="P472" s="66" t="str">
        <x:v>Kota Padang</x:v>
      </x:c>
      <x:c r="Q472" s="66" t="str">
        <x:v>https://snpmb.id/snbp/daya-tampung-snbp</x:v>
      </x:c>
      <x:c r="R472" s="66" t="str">
        <x:v>https://sidatagrun-public-1076756628210.asia-southeast2.run.app/ptn_sn.php?ptn=141</x:v>
      </x:c>
    </x:row>
    <x:row r="473">
      <x:c r="A473" s="87" t="n">
        <x:v>2403</x:v>
      </x:c>
      <x:c r="B473" s="87" t="n">
        <x:v>141</x:v>
      </x:c>
      <x:c r="C473" s="66" t="str">
        <x:v>UNIVERSITAS ANDALAS</x:v>
      </x:c>
      <x:c r="D473" s="66" t="str">
        <x:v>PTN Akademik</x:v>
      </x:c>
      <x:c r="E473" s="66" t="str">
        <x:v>11411008</x:v>
      </x:c>
      <x:c r="F473" s="66" t="str">
        <x:v>BIOLOGI</x:v>
      </x:c>
      <x:c r="G473" s="66" t="str">
        <x:v>Sarjana</x:v>
      </x:c>
      <x:c r="H473" s="87" t="n">
        <x:v>40</x:v>
      </x:c>
      <x:c r="I473" s="87" t="n">
        <x:v>204</x:v>
      </x:c>
      <x:c r="J473" s="68" t="n">
        <x:f>IFERROR(H473/I473,"")</x:f>
        <x:v>0.19607843137254902</x:v>
      </x:c>
      <x:c r="K473" s="69" t="n">
        <x:f>IFERROR(I473/H473,"")</x:f>
        <x:v>5.1</x:v>
      </x:c>
      <x:c r="L473" s="66" t="str">
        <x:f>IF(K473="","","1 : "&amp;TEXT(K473,"0.0"))</x:f>
        <x:v>1 : 5.1</x:v>
      </x:c>
      <x:c r="M473" s="66" t="str">
        <x:f>IF(J473="","Baru/Tanpa Data",IF(J473&lt;='Catatan &amp; Sumber'!$B$14,"Sangat Ketat",IF(J473&lt;='Catatan &amp; Sumber'!$B$15,"Ketat",IF(J473&lt;='Catatan &amp; Sumber'!$B$16,"Sedang","Relatif Longgar"))))</x:f>
        <x:v>Relatif Longgar</x:v>
      </x:c>
      <x:c r="N473" s="66" t="str">
        <x:v>Tidak Ada</x:v>
      </x:c>
      <x:c r="O473" s="66" t="str">
        <x:v>Sumatera Barat</x:v>
      </x:c>
      <x:c r="P473" s="66" t="str">
        <x:v>Kota Padang</x:v>
      </x:c>
      <x:c r="Q473" s="66" t="str">
        <x:v>https://snpmb.id/snbp/daya-tampung-snbp</x:v>
      </x:c>
      <x:c r="R473" s="66" t="str">
        <x:v>https://sidatagrun-public-1076756628210.asia-southeast2.run.app/ptn_sn.php?ptn=141</x:v>
      </x:c>
    </x:row>
    <x:row r="474">
      <x:c r="A474" s="87" t="n">
        <x:v>2693</x:v>
      </x:c>
      <x:c r="B474" s="87" t="n">
        <x:v>141</x:v>
      </x:c>
      <x:c r="C474" s="66" t="str">
        <x:v>UNIVERSITAS ANDALAS</x:v>
      </x:c>
      <x:c r="D474" s="66" t="str">
        <x:v>PTN Akademik</x:v>
      </x:c>
      <x:c r="E474" s="66" t="str">
        <x:v>11411009</x:v>
      </x:c>
      <x:c r="F474" s="66" t="str">
        <x:v>MATEMATIKA</x:v>
      </x:c>
      <x:c r="G474" s="66" t="str">
        <x:v>Sarjana</x:v>
      </x:c>
      <x:c r="H474" s="87" t="n">
        <x:v>40</x:v>
      </x:c>
      <x:c r="I474" s="87" t="n">
        <x:v>165</x:v>
      </x:c>
      <x:c r="J474" s="68" t="n">
        <x:f>IFERROR(H474/I474,"")</x:f>
        <x:v>0.24242424242424243</x:v>
      </x:c>
      <x:c r="K474" s="69" t="n">
        <x:f>IFERROR(I474/H474,"")</x:f>
        <x:v>4.125</x:v>
      </x:c>
      <x:c r="L474" s="66" t="str">
        <x:f>IF(K474="","","1 : "&amp;TEXT(K474,"0.0"))</x:f>
        <x:v>1 : 4.1</x:v>
      </x:c>
      <x:c r="M474" s="66" t="str">
        <x:f>IF(J474="","Baru/Tanpa Data",IF(J474&lt;='Catatan &amp; Sumber'!$B$14,"Sangat Ketat",IF(J474&lt;='Catatan &amp; Sumber'!$B$15,"Ketat",IF(J474&lt;='Catatan &amp; Sumber'!$B$16,"Sedang","Relatif Longgar"))))</x:f>
        <x:v>Relatif Longgar</x:v>
      </x:c>
      <x:c r="N474" s="66" t="str">
        <x:v>Tidak Ada</x:v>
      </x:c>
      <x:c r="O474" s="66" t="str">
        <x:v>Sumatera Barat</x:v>
      </x:c>
      <x:c r="P474" s="66" t="str">
        <x:v>Kota Padang</x:v>
      </x:c>
      <x:c r="Q474" s="66" t="str">
        <x:v>https://snpmb.id/snbp/daya-tampung-snbp</x:v>
      </x:c>
      <x:c r="R474" s="66" t="str">
        <x:v>https://sidatagrun-public-1076756628210.asia-southeast2.run.app/ptn_sn.php?ptn=141</x:v>
      </x:c>
    </x:row>
    <x:row r="475">
      <x:c r="A475" s="87" t="n">
        <x:v>3699</x:v>
      </x:c>
      <x:c r="B475" s="87" t="n">
        <x:v>141</x:v>
      </x:c>
      <x:c r="C475" s="66" t="str">
        <x:v>UNIVERSITAS ANDALAS</x:v>
      </x:c>
      <x:c r="D475" s="66" t="str">
        <x:v>PTN Akademik</x:v>
      </x:c>
      <x:c r="E475" s="66" t="str">
        <x:v>11411010</x:v>
      </x:c>
      <x:c r="F475" s="66" t="str">
        <x:v>FISIKA</x:v>
      </x:c>
      <x:c r="G475" s="66" t="str">
        <x:v>Sarjana</x:v>
      </x:c>
      <x:c r="H475" s="87" t="n">
        <x:v>50</x:v>
      </x:c>
      <x:c r="I475" s="87" t="n">
        <x:v>97</x:v>
      </x:c>
      <x:c r="J475" s="68" t="n">
        <x:f>IFERROR(H475/I475,"")</x:f>
        <x:v>0.5154639175257731</x:v>
      </x:c>
      <x:c r="K475" s="69" t="n">
        <x:f>IFERROR(I475/H475,"")</x:f>
        <x:v>1.94</x:v>
      </x:c>
      <x:c r="L475" s="66" t="str">
        <x:f>IF(K475="","","1 : "&amp;TEXT(K475,"0.0"))</x:f>
        <x:v>1 : 1.9</x:v>
      </x:c>
      <x:c r="M475" s="66" t="str">
        <x:f>IF(J475="","Baru/Tanpa Data",IF(J475&lt;='Catatan &amp; Sumber'!$B$14,"Sangat Ketat",IF(J475&lt;='Catatan &amp; Sumber'!$B$15,"Ketat",IF(J475&lt;='Catatan &amp; Sumber'!$B$16,"Sedang","Relatif Longgar"))))</x:f>
        <x:v>Relatif Longgar</x:v>
      </x:c>
      <x:c r="N475" s="66" t="str">
        <x:v>Tidak Ada</x:v>
      </x:c>
      <x:c r="O475" s="66" t="str">
        <x:v>Sumatera Barat</x:v>
      </x:c>
      <x:c r="P475" s="66" t="str">
        <x:v>Kota Padang</x:v>
      </x:c>
      <x:c r="Q475" s="66" t="str">
        <x:v>https://snpmb.id/snbp/daya-tampung-snbp</x:v>
      </x:c>
      <x:c r="R475" s="66" t="str">
        <x:v>https://sidatagrun-public-1076756628210.asia-southeast2.run.app/ptn_sn.php?ptn=141</x:v>
      </x:c>
    </x:row>
    <x:row r="476">
      <x:c r="A476" s="87" t="n">
        <x:v>662</x:v>
      </x:c>
      <x:c r="B476" s="87" t="n">
        <x:v>141</x:v>
      </x:c>
      <x:c r="C476" s="66" t="str">
        <x:v>UNIVERSITAS ANDALAS</x:v>
      </x:c>
      <x:c r="D476" s="66" t="str">
        <x:v>PTN Akademik</x:v>
      </x:c>
      <x:c r="E476" s="66" t="str">
        <x:v>11411011</x:v>
      </x:c>
      <x:c r="F476" s="66" t="str">
        <x:v>TEKNIK KOMPUTER</x:v>
      </x:c>
      <x:c r="G476" s="66" t="str">
        <x:v>Sarjana</x:v>
      </x:c>
      <x:c r="H476" s="87" t="n">
        <x:v>20</x:v>
      </x:c>
      <x:c r="I476" s="87" t="n">
        <x:v>334</x:v>
      </x:c>
      <x:c r="J476" s="68" t="n">
        <x:f>IFERROR(H476/I476,"")</x:f>
        <x:v>0.059880239520958084</x:v>
      </x:c>
      <x:c r="K476" s="69" t="n">
        <x:f>IFERROR(I476/H476,"")</x:f>
        <x:v>16.7</x:v>
      </x:c>
      <x:c r="L476" s="66" t="str">
        <x:f>IF(K476="","","1 : "&amp;TEXT(K476,"0.0"))</x:f>
        <x:v>1 : 16.7</x:v>
      </x:c>
      <x:c r="M476" s="66" t="str">
        <x:f>IF(J476="","Baru/Tanpa Data",IF(J476&lt;='Catatan &amp; Sumber'!$B$14,"Sangat Ketat",IF(J476&lt;='Catatan &amp; Sumber'!$B$15,"Ketat",IF(J476&lt;='Catatan &amp; Sumber'!$B$16,"Sedang","Relatif Longgar"))))</x:f>
        <x:v>Sedang</x:v>
      </x:c>
      <x:c r="N476" s="66" t="str">
        <x:v>Tidak Ada</x:v>
      </x:c>
      <x:c r="O476" s="66" t="str">
        <x:v>Sumatera Barat</x:v>
      </x:c>
      <x:c r="P476" s="66" t="str">
        <x:v>Kota Padang</x:v>
      </x:c>
      <x:c r="Q476" s="66" t="str">
        <x:v>https://snpmb.id/snbp/daya-tampung-snbp</x:v>
      </x:c>
      <x:c r="R476" s="66" t="str">
        <x:v>https://sidatagrun-public-1076756628210.asia-southeast2.run.app/ptn_sn.php?ptn=141</x:v>
      </x:c>
    </x:row>
    <x:row r="477">
      <x:c r="A477" s="87" t="n">
        <x:v>3598</x:v>
      </x:c>
      <x:c r="B477" s="87" t="n">
        <x:v>141</x:v>
      </x:c>
      <x:c r="C477" s="66" t="str">
        <x:v>UNIVERSITAS ANDALAS</x:v>
      </x:c>
      <x:c r="D477" s="66" t="str">
        <x:v>PTN Akademik</x:v>
      </x:c>
      <x:c r="E477" s="66" t="str">
        <x:v>11411012</x:v>
      </x:c>
      <x:c r="F477" s="66" t="str">
        <x:v>PETERNAKAN</x:v>
      </x:c>
      <x:c r="G477" s="66" t="str">
        <x:v>Sarjana</x:v>
      </x:c>
      <x:c r="H477" s="87" t="n">
        <x:v>160</x:v>
      </x:c>
      <x:c r="I477" s="87" t="n">
        <x:v>341</x:v>
      </x:c>
      <x:c r="J477" s="68" t="n">
        <x:f>IFERROR(H477/I477,"")</x:f>
        <x:v>0.46920821114369504</x:v>
      </x:c>
      <x:c r="K477" s="69" t="n">
        <x:f>IFERROR(I477/H477,"")</x:f>
        <x:v>2.13125</x:v>
      </x:c>
      <x:c r="L477" s="66" t="str">
        <x:f>IF(K477="","","1 : "&amp;TEXT(K477,"0.0"))</x:f>
        <x:v>1 : 2.1</x:v>
      </x:c>
      <x:c r="M477" s="66" t="str">
        <x:f>IF(J477="","Baru/Tanpa Data",IF(J477&lt;='Catatan &amp; Sumber'!$B$14,"Sangat Ketat",IF(J477&lt;='Catatan &amp; Sumber'!$B$15,"Ketat",IF(J477&lt;='Catatan &amp; Sumber'!$B$16,"Sedang","Relatif Longgar"))))</x:f>
        <x:v>Relatif Longgar</x:v>
      </x:c>
      <x:c r="N477" s="66" t="str">
        <x:v>Tidak Ada</x:v>
      </x:c>
      <x:c r="O477" s="66" t="str">
        <x:v>Sumatera Barat</x:v>
      </x:c>
      <x:c r="P477" s="66" t="str">
        <x:v>Kota Padang</x:v>
      </x:c>
      <x:c r="Q477" s="66" t="str">
        <x:v>https://snpmb.id/snbp/daya-tampung-snbp</x:v>
      </x:c>
      <x:c r="R477" s="66" t="str">
        <x:v>https://sidatagrun-public-1076756628210.asia-southeast2.run.app/ptn_sn.php?ptn=141</x:v>
      </x:c>
    </x:row>
    <x:row r="478">
      <x:c r="A478" s="87" t="n">
        <x:v>1476</x:v>
      </x:c>
      <x:c r="B478" s="87" t="n">
        <x:v>141</x:v>
      </x:c>
      <x:c r="C478" s="66" t="str">
        <x:v>UNIVERSITAS ANDALAS</x:v>
      </x:c>
      <x:c r="D478" s="66" t="str">
        <x:v>PTN Akademik</x:v>
      </x:c>
      <x:c r="E478" s="66" t="str">
        <x:v>11411013</x:v>
      </x:c>
      <x:c r="F478" s="66" t="str">
        <x:v>TEKNIK MESIN</x:v>
      </x:c>
      <x:c r="G478" s="66" t="str">
        <x:v>Sarjana</x:v>
      </x:c>
      <x:c r="H478" s="87" t="n">
        <x:v>38</x:v>
      </x:c>
      <x:c r="I478" s="87" t="n">
        <x:v>352</x:v>
      </x:c>
      <x:c r="J478" s="68" t="n">
        <x:f>IFERROR(H478/I478,"")</x:f>
        <x:v>0.10795454545454546</x:v>
      </x:c>
      <x:c r="K478" s="69" t="n">
        <x:f>IFERROR(I478/H478,"")</x:f>
        <x:v>9.263157894736842</x:v>
      </x:c>
      <x:c r="L478" s="66" t="str">
        <x:f>IF(K478="","","1 : "&amp;TEXT(K478,"0.0"))</x:f>
        <x:v>1 : 9.3</x:v>
      </x:c>
      <x:c r="M478" s="66" t="str">
        <x:f>IF(J478="","Baru/Tanpa Data",IF(J478&lt;='Catatan &amp; Sumber'!$B$14,"Sangat Ketat",IF(J478&lt;='Catatan &amp; Sumber'!$B$15,"Ketat",IF(J478&lt;='Catatan &amp; Sumber'!$B$16,"Sedang","Relatif Longgar"))))</x:f>
        <x:v>Relatif Longgar</x:v>
      </x:c>
      <x:c r="N478" s="66" t="str">
        <x:v>Tidak Ada</x:v>
      </x:c>
      <x:c r="O478" s="66" t="str">
        <x:v>Sumatera Barat</x:v>
      </x:c>
      <x:c r="P478" s="66" t="str">
        <x:v>Kota Padang</x:v>
      </x:c>
      <x:c r="Q478" s="66" t="str">
        <x:v>https://snpmb.id/snbp/daya-tampung-snbp</x:v>
      </x:c>
      <x:c r="R478" s="66" t="str">
        <x:v>https://sidatagrun-public-1076756628210.asia-southeast2.run.app/ptn_sn.php?ptn=141</x:v>
      </x:c>
    </x:row>
    <x:row r="479">
      <x:c r="A479" s="87" t="n">
        <x:v>1012</x:v>
      </x:c>
      <x:c r="B479" s="87" t="n">
        <x:v>141</x:v>
      </x:c>
      <x:c r="C479" s="66" t="str">
        <x:v>UNIVERSITAS ANDALAS</x:v>
      </x:c>
      <x:c r="D479" s="66" t="str">
        <x:v>PTN Akademik</x:v>
      </x:c>
      <x:c r="E479" s="66" t="str">
        <x:v>11411014</x:v>
      </x:c>
      <x:c r="F479" s="66" t="str">
        <x:v>TEKNIK SIPIL</x:v>
      </x:c>
      <x:c r="G479" s="66" t="str">
        <x:v>Sarjana</x:v>
      </x:c>
      <x:c r="H479" s="87" t="n">
        <x:v>45</x:v>
      </x:c>
      <x:c r="I479" s="87" t="n">
        <x:v>570</x:v>
      </x:c>
      <x:c r="J479" s="68" t="n">
        <x:f>IFERROR(H479/I479,"")</x:f>
        <x:v>0.07894736842105263</x:v>
      </x:c>
      <x:c r="K479" s="69" t="n">
        <x:f>IFERROR(I479/H479,"")</x:f>
        <x:v>12.666666666666666</x:v>
      </x:c>
      <x:c r="L479" s="66" t="str">
        <x:f>IF(K479="","","1 : "&amp;TEXT(K479,"0.0"))</x:f>
        <x:v>1 : 12.7</x:v>
      </x:c>
      <x:c r="M479" s="66" t="str">
        <x:f>IF(J479="","Baru/Tanpa Data",IF(J479&lt;='Catatan &amp; Sumber'!$B$14,"Sangat Ketat",IF(J479&lt;='Catatan &amp; Sumber'!$B$15,"Ketat",IF(J479&lt;='Catatan &amp; Sumber'!$B$16,"Sedang","Relatif Longgar"))))</x:f>
        <x:v>Sedang</x:v>
      </x:c>
      <x:c r="N479" s="66" t="str">
        <x:v>Tidak Ada</x:v>
      </x:c>
      <x:c r="O479" s="66" t="str">
        <x:v>Sumatera Barat</x:v>
      </x:c>
      <x:c r="P479" s="66" t="str">
        <x:v>Kota Padang</x:v>
      </x:c>
      <x:c r="Q479" s="66" t="str">
        <x:v>https://snpmb.id/snbp/daya-tampung-snbp</x:v>
      </x:c>
      <x:c r="R479" s="66" t="str">
        <x:v>https://sidatagrun-public-1076756628210.asia-southeast2.run.app/ptn_sn.php?ptn=141</x:v>
      </x:c>
    </x:row>
    <x:row r="480">
      <x:c r="A480" s="87" t="n">
        <x:v>489</x:v>
      </x:c>
      <x:c r="B480" s="87" t="n">
        <x:v>141</x:v>
      </x:c>
      <x:c r="C480" s="66" t="str">
        <x:v>UNIVERSITAS ANDALAS</x:v>
      </x:c>
      <x:c r="D480" s="66" t="str">
        <x:v>PTN Akademik</x:v>
      </x:c>
      <x:c r="E480" s="66" t="str">
        <x:v>11411015</x:v>
      </x:c>
      <x:c r="F480" s="66" t="str">
        <x:v>TEKNIK INDUSTRI</x:v>
      </x:c>
      <x:c r="G480" s="66" t="str">
        <x:v>Sarjana</x:v>
      </x:c>
      <x:c r="H480" s="87" t="n">
        <x:v>38</x:v>
      </x:c>
      <x:c r="I480" s="87" t="n">
        <x:v>751</x:v>
      </x:c>
      <x:c r="J480" s="68" t="n">
        <x:f>IFERROR(H480/I480,"")</x:f>
        <x:v>0.05059920106524634</x:v>
      </x:c>
      <x:c r="K480" s="69" t="n">
        <x:f>IFERROR(I480/H480,"")</x:f>
        <x:v>19.763157894736842</x:v>
      </x:c>
      <x:c r="L480" s="66" t="str">
        <x:f>IF(K480="","","1 : "&amp;TEXT(K480,"0.0"))</x:f>
        <x:v>1 : 19.8</x:v>
      </x:c>
      <x:c r="M480" s="66" t="str">
        <x:f>IF(J480="","Baru/Tanpa Data",IF(J480&lt;='Catatan &amp; Sumber'!$B$14,"Sangat Ketat",IF(J480&lt;='Catatan &amp; Sumber'!$B$15,"Ketat",IF(J480&lt;='Catatan &amp; Sumber'!$B$16,"Sedang","Relatif Longgar"))))</x:f>
        <x:v>Sedang</x:v>
      </x:c>
      <x:c r="N480" s="66" t="str">
        <x:v>Tidak Ada</x:v>
      </x:c>
      <x:c r="O480" s="66" t="str">
        <x:v>Sumatera Barat</x:v>
      </x:c>
      <x:c r="P480" s="66" t="str">
        <x:v>Kota Padang</x:v>
      </x:c>
      <x:c r="Q480" s="66" t="str">
        <x:v>https://snpmb.id/snbp/daya-tampung-snbp</x:v>
      </x:c>
      <x:c r="R480" s="66" t="str">
        <x:v>https://sidatagrun-public-1076756628210.asia-southeast2.run.app/ptn_sn.php?ptn=141</x:v>
      </x:c>
    </x:row>
    <x:row r="481">
      <x:c r="A481" s="87" t="n">
        <x:v>922</x:v>
      </x:c>
      <x:c r="B481" s="87" t="n">
        <x:v>141</x:v>
      </x:c>
      <x:c r="C481" s="66" t="str">
        <x:v>UNIVERSITAS ANDALAS</x:v>
      </x:c>
      <x:c r="D481" s="66" t="str">
        <x:v>PTN Akademik</x:v>
      </x:c>
      <x:c r="E481" s="66" t="str">
        <x:v>11411016</x:v>
      </x:c>
      <x:c r="F481" s="66" t="str">
        <x:v>TEKNIK LINGKUNGAN</x:v>
      </x:c>
      <x:c r="G481" s="66" t="str">
        <x:v>Sarjana</x:v>
      </x:c>
      <x:c r="H481" s="87" t="n">
        <x:v>34</x:v>
      </x:c>
      <x:c r="I481" s="87" t="n">
        <x:v>461</x:v>
      </x:c>
      <x:c r="J481" s="68" t="n">
        <x:f>IFERROR(H481/I481,"")</x:f>
        <x:v>0.0737527114967462</x:v>
      </x:c>
      <x:c r="K481" s="69" t="n">
        <x:f>IFERROR(I481/H481,"")</x:f>
        <x:v>13.558823529411764</x:v>
      </x:c>
      <x:c r="L481" s="66" t="str">
        <x:f>IF(K481="","","1 : "&amp;TEXT(K481,"0.0"))</x:f>
        <x:v>1 : 13.6</x:v>
      </x:c>
      <x:c r="M481" s="66" t="str">
        <x:f>IF(J481="","Baru/Tanpa Data",IF(J481&lt;='Catatan &amp; Sumber'!$B$14,"Sangat Ketat",IF(J481&lt;='Catatan &amp; Sumber'!$B$15,"Ketat",IF(J481&lt;='Catatan &amp; Sumber'!$B$16,"Sedang","Relatif Longgar"))))</x:f>
        <x:v>Sedang</x:v>
      </x:c>
      <x:c r="N481" s="66" t="str">
        <x:v>Tidak Ada</x:v>
      </x:c>
      <x:c r="O481" s="66" t="str">
        <x:v>Sumatera Barat</x:v>
      </x:c>
      <x:c r="P481" s="66" t="str">
        <x:v>Kota Padang</x:v>
      </x:c>
      <x:c r="Q481" s="66" t="str">
        <x:v>https://snpmb.id/snbp/daya-tampung-snbp</x:v>
      </x:c>
      <x:c r="R481" s="66" t="str">
        <x:v>https://sidatagrun-public-1076756628210.asia-southeast2.run.app/ptn_sn.php?ptn=141</x:v>
      </x:c>
    </x:row>
    <x:row r="482">
      <x:c r="A482" s="87" t="n">
        <x:v>1033</x:v>
      </x:c>
      <x:c r="B482" s="87" t="n">
        <x:v>141</x:v>
      </x:c>
      <x:c r="C482" s="66" t="str">
        <x:v>UNIVERSITAS ANDALAS</x:v>
      </x:c>
      <x:c r="D482" s="66" t="str">
        <x:v>PTN Akademik</x:v>
      </x:c>
      <x:c r="E482" s="66" t="str">
        <x:v>11411017</x:v>
      </x:c>
      <x:c r="F482" s="66" t="str">
        <x:v>TEKNIK ELEKTRO</x:v>
      </x:c>
      <x:c r="G482" s="66" t="str">
        <x:v>Sarjana</x:v>
      </x:c>
      <x:c r="H482" s="87" t="n">
        <x:v>28</x:v>
      </x:c>
      <x:c r="I482" s="87" t="n">
        <x:v>350</x:v>
      </x:c>
      <x:c r="J482" s="68" t="n">
        <x:f>IFERROR(H482/I482,"")</x:f>
        <x:v>0.08</x:v>
      </x:c>
      <x:c r="K482" s="69" t="n">
        <x:f>IFERROR(I482/H482,"")</x:f>
        <x:v>12.5</x:v>
      </x:c>
      <x:c r="L482" s="66" t="str">
        <x:f>IF(K482="","","1 : "&amp;TEXT(K482,"0.0"))</x:f>
        <x:v>1 : 12.5</x:v>
      </x:c>
      <x:c r="M482" s="66" t="str">
        <x:f>IF(J482="","Baru/Tanpa Data",IF(J482&lt;='Catatan &amp; Sumber'!$B$14,"Sangat Ketat",IF(J482&lt;='Catatan &amp; Sumber'!$B$15,"Ketat",IF(J482&lt;='Catatan &amp; Sumber'!$B$16,"Sedang","Relatif Longgar"))))</x:f>
        <x:v>Sedang</x:v>
      </x:c>
      <x:c r="N482" s="66" t="str">
        <x:v>Tidak Ada</x:v>
      </x:c>
      <x:c r="O482" s="66" t="str">
        <x:v>Sumatera Barat</x:v>
      </x:c>
      <x:c r="P482" s="66" t="str">
        <x:v>Kota Padang</x:v>
      </x:c>
      <x:c r="Q482" s="66" t="str">
        <x:v>https://snpmb.id/snbp/daya-tampung-snbp</x:v>
      </x:c>
      <x:c r="R482" s="66" t="str">
        <x:v>https://sidatagrun-public-1076756628210.asia-southeast2.run.app/ptn_sn.php?ptn=141</x:v>
      </x:c>
    </x:row>
    <x:row r="483">
      <x:c r="A483" s="87" t="n">
        <x:v>97</x:v>
      </x:c>
      <x:c r="B483" s="87" t="n">
        <x:v>141</x:v>
      </x:c>
      <x:c r="C483" s="66" t="str">
        <x:v>UNIVERSITAS ANDALAS</x:v>
      </x:c>
      <x:c r="D483" s="66" t="str">
        <x:v>PTN Akademik</x:v>
      </x:c>
      <x:c r="E483" s="66" t="str">
        <x:v>11411018</x:v>
      </x:c>
      <x:c r="F483" s="66" t="str">
        <x:v>FARMASI</x:v>
      </x:c>
      <x:c r="G483" s="66" t="str">
        <x:v>Sarjana</x:v>
      </x:c>
      <x:c r="H483" s="87" t="n">
        <x:v>40</x:v>
      </x:c>
      <x:c r="I483" s="87" t="n">
        <x:v>1406</x:v>
      </x:c>
      <x:c r="J483" s="68" t="n">
        <x:f>IFERROR(H483/I483,"")</x:f>
        <x:v>0.02844950213371266</x:v>
      </x:c>
      <x:c r="K483" s="69" t="n">
        <x:f>IFERROR(I483/H483,"")</x:f>
        <x:v>35.15</x:v>
      </x:c>
      <x:c r="L483" s="66" t="str">
        <x:f>IF(K483="","","1 : "&amp;TEXT(K483,"0.0"))</x:f>
        <x:v>1 : 35.2</x:v>
      </x:c>
      <x:c r="M483" s="66" t="str">
        <x:f>IF(J483="","Baru/Tanpa Data",IF(J483&lt;='Catatan &amp; Sumber'!$B$14,"Sangat Ketat",IF(J483&lt;='Catatan &amp; Sumber'!$B$15,"Ketat",IF(J483&lt;='Catatan &amp; Sumber'!$B$16,"Sedang","Relatif Longgar"))))</x:f>
        <x:v>Ketat</x:v>
      </x:c>
      <x:c r="N483" s="66" t="str">
        <x:v>Tidak Ada</x:v>
      </x:c>
      <x:c r="O483" s="66" t="str">
        <x:v>Sumatera Barat</x:v>
      </x:c>
      <x:c r="P483" s="66" t="str">
        <x:v>Kota Padang</x:v>
      </x:c>
      <x:c r="Q483" s="66" t="str">
        <x:v>https://snpmb.id/snbp/daya-tampung-snbp</x:v>
      </x:c>
      <x:c r="R483" s="66" t="str">
        <x:v>https://sidatagrun-public-1076756628210.asia-southeast2.run.app/ptn_sn.php?ptn=141</x:v>
      </x:c>
    </x:row>
    <x:row r="484">
      <x:c r="A484" s="87" t="n">
        <x:v>2719</x:v>
      </x:c>
      <x:c r="B484" s="87" t="n">
        <x:v>141</x:v>
      </x:c>
      <x:c r="C484" s="66" t="str">
        <x:v>UNIVERSITAS ANDALAS</x:v>
      </x:c>
      <x:c r="D484" s="66" t="str">
        <x:v>PTN Akademik</x:v>
      </x:c>
      <x:c r="E484" s="66" t="str">
        <x:v>11411019</x:v>
      </x:c>
      <x:c r="F484" s="66" t="str">
        <x:v>TEKNIK PERTANIAN DAN BIOSISTEM</x:v>
      </x:c>
      <x:c r="G484" s="66" t="str">
        <x:v>Sarjana</x:v>
      </x:c>
      <x:c r="H484" s="87" t="n">
        <x:v>56</x:v>
      </x:c>
      <x:c r="I484" s="87" t="n">
        <x:v>227</x:v>
      </x:c>
      <x:c r="J484" s="68" t="n">
        <x:f>IFERROR(H484/I484,"")</x:f>
        <x:v>0.24669603524229075</x:v>
      </x:c>
      <x:c r="K484" s="69" t="n">
        <x:f>IFERROR(I484/H484,"")</x:f>
        <x:v>4.053571428571429</x:v>
      </x:c>
      <x:c r="L484" s="66" t="str">
        <x:f>IF(K484="","","1 : "&amp;TEXT(K484,"0.0"))</x:f>
        <x:v>1 : 4.1</x:v>
      </x:c>
      <x:c r="M484" s="66" t="str">
        <x:f>IF(J484="","Baru/Tanpa Data",IF(J484&lt;='Catatan &amp; Sumber'!$B$14,"Sangat Ketat",IF(J484&lt;='Catatan &amp; Sumber'!$B$15,"Ketat",IF(J484&lt;='Catatan &amp; Sumber'!$B$16,"Sedang","Relatif Longgar"))))</x:f>
        <x:v>Relatif Longgar</x:v>
      </x:c>
      <x:c r="N484" s="66" t="str">
        <x:v>Tidak Ada</x:v>
      </x:c>
      <x:c r="O484" s="66" t="str">
        <x:v>Sumatera Barat</x:v>
      </x:c>
      <x:c r="P484" s="66" t="str">
        <x:v>Kota Padang</x:v>
      </x:c>
      <x:c r="Q484" s="66" t="str">
        <x:v>https://snpmb.id/snbp/daya-tampung-snbp</x:v>
      </x:c>
      <x:c r="R484" s="66" t="str">
        <x:v>https://sidatagrun-public-1076756628210.asia-southeast2.run.app/ptn_sn.php?ptn=141</x:v>
      </x:c>
    </x:row>
    <x:row r="485">
      <x:c r="A485" s="87" t="n">
        <x:v>1873</x:v>
      </x:c>
      <x:c r="B485" s="87" t="n">
        <x:v>141</x:v>
      </x:c>
      <x:c r="C485" s="66" t="str">
        <x:v>UNIVERSITAS ANDALAS</x:v>
      </x:c>
      <x:c r="D485" s="66" t="str">
        <x:v>PTN Akademik</x:v>
      </x:c>
      <x:c r="E485" s="66" t="str">
        <x:v>11411020</x:v>
      </x:c>
      <x:c r="F485" s="66" t="str">
        <x:v>TEKNOLOGI PANGAN DAN HASIL PERTANIAN</x:v>
      </x:c>
      <x:c r="G485" s="66" t="str">
        <x:v>Sarjana</x:v>
      </x:c>
      <x:c r="H485" s="87" t="n">
        <x:v>56</x:v>
      </x:c>
      <x:c r="I485" s="87" t="n">
        <x:v>404</x:v>
      </x:c>
      <x:c r="J485" s="68" t="n">
        <x:f>IFERROR(H485/I485,"")</x:f>
        <x:v>0.13861386138613863</x:v>
      </x:c>
      <x:c r="K485" s="69" t="n">
        <x:f>IFERROR(I485/H485,"")</x:f>
        <x:v>7.214285714285714</x:v>
      </x:c>
      <x:c r="L485" s="66" t="str">
        <x:f>IF(K485="","","1 : "&amp;TEXT(K485,"0.0"))</x:f>
        <x:v>1 : 7.2</x:v>
      </x:c>
      <x:c r="M485" s="66" t="str">
        <x:f>IF(J485="","Baru/Tanpa Data",IF(J485&lt;='Catatan &amp; Sumber'!$B$14,"Sangat Ketat",IF(J485&lt;='Catatan &amp; Sumber'!$B$15,"Ketat",IF(J485&lt;='Catatan &amp; Sumber'!$B$16,"Sedang","Relatif Longgar"))))</x:f>
        <x:v>Relatif Longgar</x:v>
      </x:c>
      <x:c r="N485" s="66" t="str">
        <x:v>Tidak Ada</x:v>
      </x:c>
      <x:c r="O485" s="66" t="str">
        <x:v>Sumatera Barat</x:v>
      </x:c>
      <x:c r="P485" s="66" t="str">
        <x:v>Kota Padang</x:v>
      </x:c>
      <x:c r="Q485" s="66" t="str">
        <x:v>https://snpmb.id/snbp/daya-tampung-snbp</x:v>
      </x:c>
      <x:c r="R485" s="66" t="str">
        <x:v>https://sidatagrun-public-1076756628210.asia-southeast2.run.app/ptn_sn.php?ptn=141</x:v>
      </x:c>
    </x:row>
    <x:row r="486">
      <x:c r="A486" s="87" t="n">
        <x:v>521</x:v>
      </x:c>
      <x:c r="B486" s="87" t="n">
        <x:v>141</x:v>
      </x:c>
      <x:c r="C486" s="66" t="str">
        <x:v>UNIVERSITAS ANDALAS</x:v>
      </x:c>
      <x:c r="D486" s="66" t="str">
        <x:v>PTN Akademik</x:v>
      </x:c>
      <x:c r="E486" s="66" t="str">
        <x:v>11411021</x:v>
      </x:c>
      <x:c r="F486" s="66" t="str">
        <x:v>SISTEM INFORMASI</x:v>
      </x:c>
      <x:c r="G486" s="66" t="str">
        <x:v>Sarjana</x:v>
      </x:c>
      <x:c r="H486" s="87" t="n">
        <x:v>30</x:v>
      </x:c>
      <x:c r="I486" s="87" t="n">
        <x:v>570</x:v>
      </x:c>
      <x:c r="J486" s="68" t="n">
        <x:f>IFERROR(H486/I486,"")</x:f>
        <x:v>0.05263157894736842</x:v>
      </x:c>
      <x:c r="K486" s="69" t="n">
        <x:f>IFERROR(I486/H486,"")</x:f>
        <x:v>19</x:v>
      </x:c>
      <x:c r="L486" s="66" t="str">
        <x:f>IF(K486="","","1 : "&amp;TEXT(K486,"0.0"))</x:f>
        <x:v>1 : 19.0</x:v>
      </x:c>
      <x:c r="M486" s="66" t="str">
        <x:f>IF(J486="","Baru/Tanpa Data",IF(J486&lt;='Catatan &amp; Sumber'!$B$14,"Sangat Ketat",IF(J486&lt;='Catatan &amp; Sumber'!$B$15,"Ketat",IF(J486&lt;='Catatan &amp; Sumber'!$B$16,"Sedang","Relatif Longgar"))))</x:f>
        <x:v>Sedang</x:v>
      </x:c>
      <x:c r="N486" s="66" t="str">
        <x:v>Tidak Ada</x:v>
      </x:c>
      <x:c r="O486" s="66" t="str">
        <x:v>Sumatera Barat</x:v>
      </x:c>
      <x:c r="P486" s="66" t="str">
        <x:v>Kota Padang</x:v>
      </x:c>
      <x:c r="Q486" s="66" t="str">
        <x:v>https://snpmb.id/snbp/daya-tampung-snbp</x:v>
      </x:c>
      <x:c r="R486" s="66" t="str">
        <x:v>https://sidatagrun-public-1076756628210.asia-southeast2.run.app/ptn_sn.php?ptn=141</x:v>
      </x:c>
    </x:row>
    <x:row r="487">
      <x:c r="A487" s="87" t="n">
        <x:v>694</x:v>
      </x:c>
      <x:c r="B487" s="87" t="n">
        <x:v>141</x:v>
      </x:c>
      <x:c r="C487" s="66" t="str">
        <x:v>UNIVERSITAS ANDALAS</x:v>
      </x:c>
      <x:c r="D487" s="66" t="str">
        <x:v>PTN Akademik</x:v>
      </x:c>
      <x:c r="E487" s="66" t="str">
        <x:v>11411022</x:v>
      </x:c>
      <x:c r="F487" s="66" t="str">
        <x:v>PSIKOLOGI</x:v>
      </x:c>
      <x:c r="G487" s="66" t="str">
        <x:v>Sarjana</x:v>
      </x:c>
      <x:c r="H487" s="87" t="n">
        <x:v>30</x:v>
      </x:c>
      <x:c r="I487" s="87" t="n">
        <x:v>487</x:v>
      </x:c>
      <x:c r="J487" s="68" t="n">
        <x:f>IFERROR(H487/I487,"")</x:f>
        <x:v>0.061601642710472276</x:v>
      </x:c>
      <x:c r="K487" s="69" t="n">
        <x:f>IFERROR(I487/H487,"")</x:f>
        <x:v>16.233333333333334</x:v>
      </x:c>
      <x:c r="L487" s="66" t="str">
        <x:f>IF(K487="","","1 : "&amp;TEXT(K487,"0.0"))</x:f>
        <x:v>1 : 16.2</x:v>
      </x:c>
      <x:c r="M487" s="66" t="str">
        <x:f>IF(J487="","Baru/Tanpa Data",IF(J487&lt;='Catatan &amp; Sumber'!$B$14,"Sangat Ketat",IF(J487&lt;='Catatan &amp; Sumber'!$B$15,"Ketat",IF(J487&lt;='Catatan &amp; Sumber'!$B$16,"Sedang","Relatif Longgar"))))</x:f>
        <x:v>Sedang</x:v>
      </x:c>
      <x:c r="N487" s="66" t="str">
        <x:v>Tidak Ada</x:v>
      </x:c>
      <x:c r="O487" s="66" t="str">
        <x:v>Sumatera Barat</x:v>
      </x:c>
      <x:c r="P487" s="66" t="str">
        <x:v>Kota Padang</x:v>
      </x:c>
      <x:c r="Q487" s="66" t="str">
        <x:v>https://snpmb.id/snbp/daya-tampung-snbp</x:v>
      </x:c>
      <x:c r="R487" s="66" t="str">
        <x:v>https://sidatagrun-public-1076756628210.asia-southeast2.run.app/ptn_sn.php?ptn=141</x:v>
      </x:c>
    </x:row>
    <x:row r="488">
      <x:c r="A488" s="87" t="n">
        <x:v>3390</x:v>
      </x:c>
      <x:c r="B488" s="87" t="n">
        <x:v>141</x:v>
      </x:c>
      <x:c r="C488" s="66" t="str">
        <x:v>UNIVERSITAS ANDALAS</x:v>
      </x:c>
      <x:c r="D488" s="66" t="str">
        <x:v>PTN Akademik</x:v>
      </x:c>
      <x:c r="E488" s="66" t="str">
        <x:v>11411023</x:v>
      </x:c>
      <x:c r="F488" s="66" t="str">
        <x:v>ILMU TANAH</x:v>
      </x:c>
      <x:c r="G488" s="66" t="str">
        <x:v>Sarjana</x:v>
      </x:c>
      <x:c r="H488" s="87" t="n">
        <x:v>65</x:v>
      </x:c>
      <x:c r="I488" s="87" t="n">
        <x:v>163</x:v>
      </x:c>
      <x:c r="J488" s="68" t="n">
        <x:f>IFERROR(H488/I488,"")</x:f>
        <x:v>0.3987730061349693</x:v>
      </x:c>
      <x:c r="K488" s="69" t="n">
        <x:f>IFERROR(I488/H488,"")</x:f>
        <x:v>2.5076923076923077</x:v>
      </x:c>
      <x:c r="L488" s="66" t="str">
        <x:f>IF(K488="","","1 : "&amp;TEXT(K488,"0.0"))</x:f>
        <x:v>1 : 2.5</x:v>
      </x:c>
      <x:c r="M488" s="66" t="str">
        <x:f>IF(J488="","Baru/Tanpa Data",IF(J488&lt;='Catatan &amp; Sumber'!$B$14,"Sangat Ketat",IF(J488&lt;='Catatan &amp; Sumber'!$B$15,"Ketat",IF(J488&lt;='Catatan &amp; Sumber'!$B$16,"Sedang","Relatif Longgar"))))</x:f>
        <x:v>Relatif Longgar</x:v>
      </x:c>
      <x:c r="N488" s="66" t="str">
        <x:v>Tidak Ada</x:v>
      </x:c>
      <x:c r="O488" s="66" t="str">
        <x:v>Sumatera Barat</x:v>
      </x:c>
      <x:c r="P488" s="66" t="str">
        <x:v>Kota Padang</x:v>
      </x:c>
      <x:c r="Q488" s="66" t="str">
        <x:v>https://snpmb.id/snbp/daya-tampung-snbp</x:v>
      </x:c>
      <x:c r="R488" s="66" t="str">
        <x:v>https://sidatagrun-public-1076756628210.asia-southeast2.run.app/ptn_sn.php?ptn=141</x:v>
      </x:c>
    </x:row>
    <x:row r="489">
      <x:c r="A489" s="87" t="n">
        <x:v>3676</x:v>
      </x:c>
      <x:c r="B489" s="87" t="n">
        <x:v>141</x:v>
      </x:c>
      <x:c r="C489" s="66" t="str">
        <x:v>UNIVERSITAS ANDALAS</x:v>
      </x:c>
      <x:c r="D489" s="66" t="str">
        <x:v>PTN Akademik</x:v>
      </x:c>
      <x:c r="E489" s="66" t="str">
        <x:v>11411024</x:v>
      </x:c>
      <x:c r="F489" s="66" t="str">
        <x:v>AGROEKOTEKNOLOGI</x:v>
      </x:c>
      <x:c r="G489" s="66" t="str">
        <x:v>Sarjana</x:v>
      </x:c>
      <x:c r="H489" s="87" t="n">
        <x:v>75</x:v>
      </x:c>
      <x:c r="I489" s="87" t="n">
        <x:v>148</x:v>
      </x:c>
      <x:c r="J489" s="68" t="n">
        <x:f>IFERROR(H489/I489,"")</x:f>
        <x:v>0.5067567567567568</x:v>
      </x:c>
      <x:c r="K489" s="69" t="n">
        <x:f>IFERROR(I489/H489,"")</x:f>
        <x:v>1.9733333333333334</x:v>
      </x:c>
      <x:c r="L489" s="66" t="str">
        <x:f>IF(K489="","","1 : "&amp;TEXT(K489,"0.0"))</x:f>
        <x:v>1 : 2.0</x:v>
      </x:c>
      <x:c r="M489" s="66" t="str">
        <x:f>IF(J489="","Baru/Tanpa Data",IF(J489&lt;='Catatan &amp; Sumber'!$B$14,"Sangat Ketat",IF(J489&lt;='Catatan &amp; Sumber'!$B$15,"Ketat",IF(J489&lt;='Catatan &amp; Sumber'!$B$16,"Sedang","Relatif Longgar"))))</x:f>
        <x:v>Relatif Longgar</x:v>
      </x:c>
      <x:c r="N489" s="66" t="str">
        <x:v>Tidak Ada</x:v>
      </x:c>
      <x:c r="O489" s="66" t="str">
        <x:v>Sumatera Barat</x:v>
      </x:c>
      <x:c r="P489" s="66" t="str">
        <x:v>Kota Padang</x:v>
      </x:c>
      <x:c r="Q489" s="66" t="str">
        <x:v>https://snpmb.id/snbp/daya-tampung-snbp</x:v>
      </x:c>
      <x:c r="R489" s="66" t="str">
        <x:v>https://sidatagrun-public-1076756628210.asia-southeast2.run.app/ptn_sn.php?ptn=141</x:v>
      </x:c>
    </x:row>
    <x:row r="490">
      <x:c r="A490" s="87" t="n">
        <x:v>3814</x:v>
      </x:c>
      <x:c r="B490" s="87" t="n">
        <x:v>141</x:v>
      </x:c>
      <x:c r="C490" s="66" t="str">
        <x:v>UNIVERSITAS ANDALAS</x:v>
      </x:c>
      <x:c r="D490" s="66" t="str">
        <x:v>PTN Akademik</x:v>
      </x:c>
      <x:c r="E490" s="66" t="str">
        <x:v>11411025</x:v>
      </x:c>
      <x:c r="F490" s="66" t="str">
        <x:v>PETERNAKAN ( KAMPUS II PAYAKUMBUH)</x:v>
      </x:c>
      <x:c r="G490" s="66" t="str">
        <x:v>Sarjana</x:v>
      </x:c>
      <x:c r="H490" s="87" t="n">
        <x:v>40</x:v>
      </x:c>
      <x:c r="I490" s="87" t="n">
        <x:v>69</x:v>
      </x:c>
      <x:c r="J490" s="68" t="n">
        <x:f>IFERROR(H490/I490,"")</x:f>
        <x:v>0.5797101449275363</x:v>
      </x:c>
      <x:c r="K490" s="69" t="n">
        <x:f>IFERROR(I490/H490,"")</x:f>
        <x:v>1.725</x:v>
      </x:c>
      <x:c r="L490" s="66" t="str">
        <x:f>IF(K490="","","1 : "&amp;TEXT(K490,"0.0"))</x:f>
        <x:v>1 : 1.7</x:v>
      </x:c>
      <x:c r="M490" s="66" t="str">
        <x:f>IF(J490="","Baru/Tanpa Data",IF(J490&lt;='Catatan &amp; Sumber'!$B$14,"Sangat Ketat",IF(J490&lt;='Catatan &amp; Sumber'!$B$15,"Ketat",IF(J490&lt;='Catatan &amp; Sumber'!$B$16,"Sedang","Relatif Longgar"))))</x:f>
        <x:v>Relatif Longgar</x:v>
      </x:c>
      <x:c r="N490" s="66" t="str">
        <x:v>Tidak Ada</x:v>
      </x:c>
      <x:c r="O490" s="66" t="str">
        <x:v>Sumatera Barat</x:v>
      </x:c>
      <x:c r="P490" s="66" t="str">
        <x:v>Kota Padang</x:v>
      </x:c>
      <x:c r="Q490" s="66" t="str">
        <x:v>https://snpmb.id/snbp/daya-tampung-snbp</x:v>
      </x:c>
      <x:c r="R490" s="66" t="str">
        <x:v>https://sidatagrun-public-1076756628210.asia-southeast2.run.app/ptn_sn.php?ptn=141</x:v>
      </x:c>
    </x:row>
    <x:row r="491">
      <x:c r="A491" s="87" t="n">
        <x:v>210</x:v>
      </x:c>
      <x:c r="B491" s="87" t="n">
        <x:v>141</x:v>
      </x:c>
      <x:c r="C491" s="66" t="str">
        <x:v>UNIVERSITAS ANDALAS</x:v>
      </x:c>
      <x:c r="D491" s="66" t="str">
        <x:v>PTN Akademik</x:v>
      </x:c>
      <x:c r="E491" s="66" t="str">
        <x:v>11411026</x:v>
      </x:c>
      <x:c r="F491" s="66" t="str">
        <x:v>KEBIDANAN</x:v>
      </x:c>
      <x:c r="G491" s="66" t="str">
        <x:v>Sarjana</x:v>
      </x:c>
      <x:c r="H491" s="87" t="n">
        <x:v>20</x:v>
      </x:c>
      <x:c r="I491" s="87" t="n">
        <x:v>534</x:v>
      </x:c>
      <x:c r="J491" s="68" t="n">
        <x:f>IFERROR(H491/I491,"")</x:f>
        <x:v>0.03745318352059925</x:v>
      </x:c>
      <x:c r="K491" s="69" t="n">
        <x:f>IFERROR(I491/H491,"")</x:f>
        <x:v>26.7</x:v>
      </x:c>
      <x:c r="L491" s="66" t="str">
        <x:f>IF(K491="","","1 : "&amp;TEXT(K491,"0.0"))</x:f>
        <x:v>1 : 26.7</x:v>
      </x:c>
      <x:c r="M491" s="66" t="str">
        <x:f>IF(J491="","Baru/Tanpa Data",IF(J491&lt;='Catatan &amp; Sumber'!$B$14,"Sangat Ketat",IF(J491&lt;='Catatan &amp; Sumber'!$B$15,"Ketat",IF(J491&lt;='Catatan &amp; Sumber'!$B$16,"Sedang","Relatif Longgar"))))</x:f>
        <x:v>Ketat</x:v>
      </x:c>
      <x:c r="N491" s="66" t="str">
        <x:v>Tidak Ada</x:v>
      </x:c>
      <x:c r="O491" s="66" t="str">
        <x:v>Sumatera Barat</x:v>
      </x:c>
      <x:c r="P491" s="66" t="str">
        <x:v>Kota Padang</x:v>
      </x:c>
      <x:c r="Q491" s="66" t="str">
        <x:v>https://snpmb.id/snbp/daya-tampung-snbp</x:v>
      </x:c>
      <x:c r="R491" s="66" t="str">
        <x:v>https://sidatagrun-public-1076756628210.asia-southeast2.run.app/ptn_sn.php?ptn=141</x:v>
      </x:c>
    </x:row>
    <x:row r="492">
      <x:c r="A492" s="87" t="n">
        <x:v>295</x:v>
      </x:c>
      <x:c r="B492" s="87" t="n">
        <x:v>141</x:v>
      </x:c>
      <x:c r="C492" s="66" t="str">
        <x:v>UNIVERSITAS ANDALAS</x:v>
      </x:c>
      <x:c r="D492" s="66" t="str">
        <x:v>PTN Akademik</x:v>
      </x:c>
      <x:c r="E492" s="66" t="str">
        <x:v>11411027</x:v>
      </x:c>
      <x:c r="F492" s="66" t="str">
        <x:v>GIZI</x:v>
      </x:c>
      <x:c r="G492" s="66" t="str">
        <x:v>Sarjana</x:v>
      </x:c>
      <x:c r="H492" s="87" t="n">
        <x:v>30</x:v>
      </x:c>
      <x:c r="I492" s="87" t="n">
        <x:v>708</x:v>
      </x:c>
      <x:c r="J492" s="68" t="n">
        <x:f>IFERROR(H492/I492,"")</x:f>
        <x:v>0.0423728813559322</x:v>
      </x:c>
      <x:c r="K492" s="69" t="n">
        <x:f>IFERROR(I492/H492,"")</x:f>
        <x:v>23.6</x:v>
      </x:c>
      <x:c r="L492" s="66" t="str">
        <x:f>IF(K492="","","1 : "&amp;TEXT(K492,"0.0"))</x:f>
        <x:v>1 : 23.6</x:v>
      </x:c>
      <x:c r="M492" s="66" t="str">
        <x:f>IF(J492="","Baru/Tanpa Data",IF(J492&lt;='Catatan &amp; Sumber'!$B$14,"Sangat Ketat",IF(J492&lt;='Catatan &amp; Sumber'!$B$15,"Ketat",IF(J492&lt;='Catatan &amp; Sumber'!$B$16,"Sedang","Relatif Longgar"))))</x:f>
        <x:v>Ketat</x:v>
      </x:c>
      <x:c r="N492" s="66" t="str">
        <x:v>Tidak Ada</x:v>
      </x:c>
      <x:c r="O492" s="66" t="str">
        <x:v>Sumatera Barat</x:v>
      </x:c>
      <x:c r="P492" s="66" t="str">
        <x:v>Kota Padang</x:v>
      </x:c>
      <x:c r="Q492" s="66" t="str">
        <x:v>https://snpmb.id/snbp/daya-tampung-snbp</x:v>
      </x:c>
      <x:c r="R492" s="66" t="str">
        <x:v>https://sidatagrun-public-1076756628210.asia-southeast2.run.app/ptn_sn.php?ptn=141</x:v>
      </x:c>
    </x:row>
    <x:row r="493">
      <x:c r="A493" s="87" t="n">
        <x:v>3366</x:v>
      </x:c>
      <x:c r="B493" s="87" t="n">
        <x:v>141</x:v>
      </x:c>
      <x:c r="C493" s="66" t="str">
        <x:v>UNIVERSITAS ANDALAS</x:v>
      </x:c>
      <x:c r="D493" s="66" t="str">
        <x:v>PTN Akademik</x:v>
      </x:c>
      <x:c r="E493" s="66" t="str">
        <x:v>11411028</x:v>
      </x:c>
      <x:c r="F493" s="66" t="str">
        <x:v>PROTEKSI TANAMAN</x:v>
      </x:c>
      <x:c r="G493" s="66" t="str">
        <x:v>Sarjana</x:v>
      </x:c>
      <x:c r="H493" s="87" t="n">
        <x:v>60</x:v>
      </x:c>
      <x:c r="I493" s="87" t="n">
        <x:v>154</x:v>
      </x:c>
      <x:c r="J493" s="68" t="n">
        <x:f>IFERROR(H493/I493,"")</x:f>
        <x:v>0.38961038961038963</x:v>
      </x:c>
      <x:c r="K493" s="69" t="n">
        <x:f>IFERROR(I493/H493,"")</x:f>
        <x:v>2.566666666666667</x:v>
      </x:c>
      <x:c r="L493" s="66" t="str">
        <x:f>IF(K493="","","1 : "&amp;TEXT(K493,"0.0"))</x:f>
        <x:v>1 : 2.6</x:v>
      </x:c>
      <x:c r="M493" s="66" t="str">
        <x:f>IF(J493="","Baru/Tanpa Data",IF(J493&lt;='Catatan &amp; Sumber'!$B$14,"Sangat Ketat",IF(J493&lt;='Catatan &amp; Sumber'!$B$15,"Ketat",IF(J493&lt;='Catatan &amp; Sumber'!$B$16,"Sedang","Relatif Longgar"))))</x:f>
        <x:v>Relatif Longgar</x:v>
      </x:c>
      <x:c r="N493" s="66" t="str">
        <x:v>Tidak Ada</x:v>
      </x:c>
      <x:c r="O493" s="66" t="str">
        <x:v>Sumatera Barat</x:v>
      </x:c>
      <x:c r="P493" s="66" t="str">
        <x:v>Kota Padang</x:v>
      </x:c>
      <x:c r="Q493" s="66" t="str">
        <x:v>https://snpmb.id/snbp/daya-tampung-snbp</x:v>
      </x:c>
      <x:c r="R493" s="66" t="str">
        <x:v>https://sidatagrun-public-1076756628210.asia-southeast2.run.app/ptn_sn.php?ptn=141</x:v>
      </x:c>
    </x:row>
    <x:row r="494">
      <x:c r="A494" s="87" t="n">
        <x:v>2098</x:v>
      </x:c>
      <x:c r="B494" s="87" t="n">
        <x:v>141</x:v>
      </x:c>
      <x:c r="C494" s="66" t="str">
        <x:v>UNIVERSITAS ANDALAS</x:v>
      </x:c>
      <x:c r="D494" s="66" t="str">
        <x:v>PTN Akademik</x:v>
      </x:c>
      <x:c r="E494" s="66" t="str">
        <x:v>11411029</x:v>
      </x:c>
      <x:c r="F494" s="66" t="str">
        <x:v>PENYULUHAN PERTANIAN</x:v>
      </x:c>
      <x:c r="G494" s="66" t="str">
        <x:v>Sarjana</x:v>
      </x:c>
      <x:c r="H494" s="87" t="n">
        <x:v>20</x:v>
      </x:c>
      <x:c r="I494" s="87" t="n">
        <x:v>124</x:v>
      </x:c>
      <x:c r="J494" s="68" t="n">
        <x:f>IFERROR(H494/I494,"")</x:f>
        <x:v>0.16129032258064516</x:v>
      </x:c>
      <x:c r="K494" s="69" t="n">
        <x:f>IFERROR(I494/H494,"")</x:f>
        <x:v>6.2</x:v>
      </x:c>
      <x:c r="L494" s="66" t="str">
        <x:f>IF(K494="","","1 : "&amp;TEXT(K494,"0.0"))</x:f>
        <x:v>1 : 6.2</x:v>
      </x:c>
      <x:c r="M494" s="66" t="str">
        <x:f>IF(J494="","Baru/Tanpa Data",IF(J494&lt;='Catatan &amp; Sumber'!$B$14,"Sangat Ketat",IF(J494&lt;='Catatan &amp; Sumber'!$B$15,"Ketat",IF(J494&lt;='Catatan &amp; Sumber'!$B$16,"Sedang","Relatif Longgar"))))</x:f>
        <x:v>Relatif Longgar</x:v>
      </x:c>
      <x:c r="N494" s="66" t="str">
        <x:v>Tidak Ada</x:v>
      </x:c>
      <x:c r="O494" s="66" t="str">
        <x:v>Sumatera Barat</x:v>
      </x:c>
      <x:c r="P494" s="66" t="str">
        <x:v>Kota Padang</x:v>
      </x:c>
      <x:c r="Q494" s="66" t="str">
        <x:v>https://snpmb.id/snbp/daya-tampung-snbp</x:v>
      </x:c>
      <x:c r="R494" s="66" t="str">
        <x:v>https://sidatagrun-public-1076756628210.asia-southeast2.run.app/ptn_sn.php?ptn=141</x:v>
      </x:c>
    </x:row>
    <x:row r="495">
      <x:c r="A495" s="87" t="n">
        <x:v>2213</x:v>
      </x:c>
      <x:c r="B495" s="87" t="n">
        <x:v>141</x:v>
      </x:c>
      <x:c r="C495" s="66" t="str">
        <x:v>UNIVERSITAS ANDALAS</x:v>
      </x:c>
      <x:c r="D495" s="66" t="str">
        <x:v>PTN Akademik</x:v>
      </x:c>
      <x:c r="E495" s="66" t="str">
        <x:v>11411030</x:v>
      </x:c>
      <x:c r="F495" s="66" t="str">
        <x:v>TEKNOLOGI INDUSTRI PERTANIAN</x:v>
      </x:c>
      <x:c r="G495" s="66" t="str">
        <x:v>Sarjana</x:v>
      </x:c>
      <x:c r="H495" s="87" t="n">
        <x:v>40</x:v>
      </x:c>
      <x:c r="I495" s="87" t="n">
        <x:v>230</x:v>
      </x:c>
      <x:c r="J495" s="68" t="n">
        <x:f>IFERROR(H495/I495,"")</x:f>
        <x:v>0.17391304347826086</x:v>
      </x:c>
      <x:c r="K495" s="69" t="n">
        <x:f>IFERROR(I495/H495,"")</x:f>
        <x:v>5.75</x:v>
      </x:c>
      <x:c r="L495" s="66" t="str">
        <x:f>IF(K495="","","1 : "&amp;TEXT(K495,"0.0"))</x:f>
        <x:v>1 : 5.8</x:v>
      </x:c>
      <x:c r="M495" s="66" t="str">
        <x:f>IF(J495="","Baru/Tanpa Data",IF(J495&lt;='Catatan &amp; Sumber'!$B$14,"Sangat Ketat",IF(J495&lt;='Catatan &amp; Sumber'!$B$15,"Ketat",IF(J495&lt;='Catatan &amp; Sumber'!$B$16,"Sedang","Relatif Longgar"))))</x:f>
        <x:v>Relatif Longgar</x:v>
      </x:c>
      <x:c r="N495" s="66" t="str">
        <x:v>Tidak Ada</x:v>
      </x:c>
      <x:c r="O495" s="66" t="str">
        <x:v>Sumatera Barat</x:v>
      </x:c>
      <x:c r="P495" s="66" t="str">
        <x:v>Kota Padang</x:v>
      </x:c>
      <x:c r="Q495" s="66" t="str">
        <x:v>https://snpmb.id/snbp/daya-tampung-snbp</x:v>
      </x:c>
      <x:c r="R495" s="66" t="str">
        <x:v>https://sidatagrun-public-1076756628210.asia-southeast2.run.app/ptn_sn.php?ptn=141</x:v>
      </x:c>
    </x:row>
    <x:row r="496">
      <x:c r="A496" s="87" t="n">
        <x:v>67</x:v>
      </x:c>
      <x:c r="B496" s="87" t="n">
        <x:v>141</x:v>
      </x:c>
      <x:c r="C496" s="66" t="str">
        <x:v>UNIVERSITAS ANDALAS</x:v>
      </x:c>
      <x:c r="D496" s="66" t="str">
        <x:v>PTN Akademik</x:v>
      </x:c>
      <x:c r="E496" s="66" t="str">
        <x:v>11411031</x:v>
      </x:c>
      <x:c r="F496" s="66" t="str">
        <x:v>ILMU BIOMEDIS</x:v>
      </x:c>
      <x:c r="G496" s="66" t="str">
        <x:v>Sarjana</x:v>
      </x:c>
      <x:c r="H496" s="87" t="n">
        <x:v>11</x:v>
      </x:c>
      <x:c r="I496" s="87" t="n">
        <x:v>438</x:v>
      </x:c>
      <x:c r="J496" s="68" t="n">
        <x:f>IFERROR(H496/I496,"")</x:f>
        <x:v>0.02511415525114155</x:v>
      </x:c>
      <x:c r="K496" s="69" t="n">
        <x:f>IFERROR(I496/H496,"")</x:f>
        <x:v>39.81818181818182</x:v>
      </x:c>
      <x:c r="L496" s="66" t="str">
        <x:f>IF(K496="","","1 : "&amp;TEXT(K496,"0.0"))</x:f>
        <x:v>1 : 39.8</x:v>
      </x:c>
      <x:c r="M496" s="66" t="str">
        <x:f>IF(J496="","Baru/Tanpa Data",IF(J496&lt;='Catatan &amp; Sumber'!$B$14,"Sangat Ketat",IF(J496&lt;='Catatan &amp; Sumber'!$B$15,"Ketat",IF(J496&lt;='Catatan &amp; Sumber'!$B$16,"Sedang","Relatif Longgar"))))</x:f>
        <x:v>Ketat</x:v>
      </x:c>
      <x:c r="N496" s="66" t="str">
        <x:v>Tidak Ada</x:v>
      </x:c>
      <x:c r="O496" s="66" t="str">
        <x:v>Sumatera Barat</x:v>
      </x:c>
      <x:c r="P496" s="66" t="str">
        <x:v>Kota Padang</x:v>
      </x:c>
      <x:c r="Q496" s="66" t="str">
        <x:v>https://snpmb.id/snbp/daya-tampung-snbp</x:v>
      </x:c>
      <x:c r="R496" s="66" t="str">
        <x:v>https://sidatagrun-public-1076756628210.asia-southeast2.run.app/ptn_sn.php?ptn=141</x:v>
      </x:c>
    </x:row>
    <x:row r="497">
      <x:c r="A497" s="87" t="n">
        <x:v>1938</x:v>
      </x:c>
      <x:c r="B497" s="87" t="n">
        <x:v>141</x:v>
      </x:c>
      <x:c r="C497" s="66" t="str">
        <x:v>UNIVERSITAS ANDALAS</x:v>
      </x:c>
      <x:c r="D497" s="66" t="str">
        <x:v>PTN Akademik</x:v>
      </x:c>
      <x:c r="E497" s="66" t="str">
        <x:v>11411032</x:v>
      </x:c>
      <x:c r="F497" s="66" t="str">
        <x:v>EKONOMI</x:v>
      </x:c>
      <x:c r="G497" s="66" t="str">
        <x:v>Sarjana</x:v>
      </x:c>
      <x:c r="H497" s="87" t="n">
        <x:v>45</x:v>
      </x:c>
      <x:c r="I497" s="87" t="n">
        <x:v>311</x:v>
      </x:c>
      <x:c r="J497" s="68" t="n">
        <x:f>IFERROR(H497/I497,"")</x:f>
        <x:v>0.14469453376205788</x:v>
      </x:c>
      <x:c r="K497" s="69" t="n">
        <x:f>IFERROR(I497/H497,"")</x:f>
        <x:v>6.911111111111111</x:v>
      </x:c>
      <x:c r="L497" s="66" t="str">
        <x:f>IF(K497="","","1 : "&amp;TEXT(K497,"0.0"))</x:f>
        <x:v>1 : 6.9</x:v>
      </x:c>
      <x:c r="M497" s="66" t="str">
        <x:f>IF(J497="","Baru/Tanpa Data",IF(J497&lt;='Catatan &amp; Sumber'!$B$14,"Sangat Ketat",IF(J497&lt;='Catatan &amp; Sumber'!$B$15,"Ketat",IF(J497&lt;='Catatan &amp; Sumber'!$B$16,"Sedang","Relatif Longgar"))))</x:f>
        <x:v>Relatif Longgar</x:v>
      </x:c>
      <x:c r="N497" s="66" t="str">
        <x:v>Tidak Ada</x:v>
      </x:c>
      <x:c r="O497" s="66" t="str">
        <x:v>Sumatera Barat</x:v>
      </x:c>
      <x:c r="P497" s="66" t="str">
        <x:v>Kota Padang</x:v>
      </x:c>
      <x:c r="Q497" s="66" t="str">
        <x:v>https://snpmb.id/snbp/daya-tampung-snbp</x:v>
      </x:c>
      <x:c r="R497" s="66" t="str">
        <x:v>https://sidatagrun-public-1076756628210.asia-southeast2.run.app/ptn_sn.php?ptn=141</x:v>
      </x:c>
    </x:row>
    <x:row r="498">
      <x:c r="A498" s="87" t="n">
        <x:v>2064</x:v>
      </x:c>
      <x:c r="B498" s="87" t="n">
        <x:v>141</x:v>
      </x:c>
      <x:c r="C498" s="66" t="str">
        <x:v>UNIVERSITAS ANDALAS</x:v>
      </x:c>
      <x:c r="D498" s="66" t="str">
        <x:v>PTN Akademik</x:v>
      </x:c>
      <x:c r="E498" s="66" t="str">
        <x:v>11411033</x:v>
      </x:c>
      <x:c r="F498" s="66" t="str">
        <x:v>HUKUM</x:v>
      </x:c>
      <x:c r="G498" s="66" t="str">
        <x:v>Sarjana</x:v>
      </x:c>
      <x:c r="H498" s="87" t="n">
        <x:v>140</x:v>
      </x:c>
      <x:c r="I498" s="87" t="n">
        <x:v>885</x:v>
      </x:c>
      <x:c r="J498" s="68" t="n">
        <x:f>IFERROR(H498/I498,"")</x:f>
        <x:v>0.15819209039548024</x:v>
      </x:c>
      <x:c r="K498" s="69" t="n">
        <x:f>IFERROR(I498/H498,"")</x:f>
        <x:v>6.321428571428571</x:v>
      </x:c>
      <x:c r="L498" s="66" t="str">
        <x:f>IF(K498="","","1 : "&amp;TEXT(K498,"0.0"))</x:f>
        <x:v>1 : 6.3</x:v>
      </x:c>
      <x:c r="M498" s="66" t="str">
        <x:f>IF(J498="","Baru/Tanpa Data",IF(J498&lt;='Catatan &amp; Sumber'!$B$14,"Sangat Ketat",IF(J498&lt;='Catatan &amp; Sumber'!$B$15,"Ketat",IF(J498&lt;='Catatan &amp; Sumber'!$B$16,"Sedang","Relatif Longgar"))))</x:f>
        <x:v>Relatif Longgar</x:v>
      </x:c>
      <x:c r="N498" s="66" t="str">
        <x:v>Tidak Ada</x:v>
      </x:c>
      <x:c r="O498" s="66" t="str">
        <x:v>Sumatera Barat</x:v>
      </x:c>
      <x:c r="P498" s="66" t="str">
        <x:v>Kota Padang</x:v>
      </x:c>
      <x:c r="Q498" s="66" t="str">
        <x:v>https://snpmb.id/snbp/daya-tampung-snbp</x:v>
      </x:c>
      <x:c r="R498" s="66" t="str">
        <x:v>https://sidatagrun-public-1076756628210.asia-southeast2.run.app/ptn_sn.php?ptn=141</x:v>
      </x:c>
    </x:row>
    <x:row r="499">
      <x:c r="A499" s="87" t="n">
        <x:v>3909</x:v>
      </x:c>
      <x:c r="B499" s="87" t="n">
        <x:v>141</x:v>
      </x:c>
      <x:c r="C499" s="66" t="str">
        <x:v>UNIVERSITAS ANDALAS</x:v>
      </x:c>
      <x:c r="D499" s="66" t="str">
        <x:v>PTN Akademik</x:v>
      </x:c>
      <x:c r="E499" s="66" t="str">
        <x:v>11411034</x:v>
      </x:c>
      <x:c r="F499" s="66" t="str">
        <x:v>SEJARAH</x:v>
      </x:c>
      <x:c r="G499" s="66" t="str">
        <x:v>Sarjana</x:v>
      </x:c>
      <x:c r="H499" s="87" t="n">
        <x:v>60</x:v>
      </x:c>
      <x:c r="I499" s="87" t="n">
        <x:v>95</x:v>
      </x:c>
      <x:c r="J499" s="68" t="n">
        <x:f>IFERROR(H499/I499,"")</x:f>
        <x:v>0.631578947368421</x:v>
      </x:c>
      <x:c r="K499" s="69" t="n">
        <x:f>IFERROR(I499/H499,"")</x:f>
        <x:v>1.5833333333333333</x:v>
      </x:c>
      <x:c r="L499" s="66" t="str">
        <x:f>IF(K499="","","1 : "&amp;TEXT(K499,"0.0"))</x:f>
        <x:v>1 : 1.6</x:v>
      </x:c>
      <x:c r="M499" s="66" t="str">
        <x:f>IF(J499="","Baru/Tanpa Data",IF(J499&lt;='Catatan &amp; Sumber'!$B$14,"Sangat Ketat",IF(J499&lt;='Catatan &amp; Sumber'!$B$15,"Ketat",IF(J499&lt;='Catatan &amp; Sumber'!$B$16,"Sedang","Relatif Longgar"))))</x:f>
        <x:v>Relatif Longgar</x:v>
      </x:c>
      <x:c r="N499" s="66" t="str">
        <x:v>Tidak Ada</x:v>
      </x:c>
      <x:c r="O499" s="66" t="str">
        <x:v>Sumatera Barat</x:v>
      </x:c>
      <x:c r="P499" s="66" t="str">
        <x:v>Kota Padang</x:v>
      </x:c>
      <x:c r="Q499" s="66" t="str">
        <x:v>https://snpmb.id/snbp/daya-tampung-snbp</x:v>
      </x:c>
      <x:c r="R499" s="66" t="str">
        <x:v>https://sidatagrun-public-1076756628210.asia-southeast2.run.app/ptn_sn.php?ptn=141</x:v>
      </x:c>
    </x:row>
    <x:row r="500">
      <x:c r="A500" s="87" t="n">
        <x:v>2829</x:v>
      </x:c>
      <x:c r="B500" s="87" t="n">
        <x:v>141</x:v>
      </x:c>
      <x:c r="C500" s="66" t="str">
        <x:v>UNIVERSITAS ANDALAS</x:v>
      </x:c>
      <x:c r="D500" s="66" t="str">
        <x:v>PTN Akademik</x:v>
      </x:c>
      <x:c r="E500" s="66" t="str">
        <x:v>11411035</x:v>
      </x:c>
      <x:c r="F500" s="66" t="str">
        <x:v>SOSIOLOGI</x:v>
      </x:c>
      <x:c r="G500" s="66" t="str">
        <x:v>Sarjana</x:v>
      </x:c>
      <x:c r="H500" s="87" t="n">
        <x:v>45</x:v>
      </x:c>
      <x:c r="I500" s="87" t="n">
        <x:v>171</x:v>
      </x:c>
      <x:c r="J500" s="68" t="n">
        <x:f>IFERROR(H500/I500,"")</x:f>
        <x:v>0.2631578947368421</x:v>
      </x:c>
      <x:c r="K500" s="69" t="n">
        <x:f>IFERROR(I500/H500,"")</x:f>
        <x:v>3.8</x:v>
      </x:c>
      <x:c r="L500" s="66" t="str">
        <x:f>IF(K500="","","1 : "&amp;TEXT(K500,"0.0"))</x:f>
        <x:v>1 : 3.8</x:v>
      </x:c>
      <x:c r="M500" s="66" t="str">
        <x:f>IF(J500="","Baru/Tanpa Data",IF(J500&lt;='Catatan &amp; Sumber'!$B$14,"Sangat Ketat",IF(J500&lt;='Catatan &amp; Sumber'!$B$15,"Ketat",IF(J500&lt;='Catatan &amp; Sumber'!$B$16,"Sedang","Relatif Longgar"))))</x:f>
        <x:v>Relatif Longgar</x:v>
      </x:c>
      <x:c r="N500" s="66" t="str">
        <x:v>Tidak Ada</x:v>
      </x:c>
      <x:c r="O500" s="66" t="str">
        <x:v>Sumatera Barat</x:v>
      </x:c>
      <x:c r="P500" s="66" t="str">
        <x:v>Kota Padang</x:v>
      </x:c>
      <x:c r="Q500" s="66" t="str">
        <x:v>https://snpmb.id/snbp/daya-tampung-snbp</x:v>
      </x:c>
      <x:c r="R500" s="66" t="str">
        <x:v>https://sidatagrun-public-1076756628210.asia-southeast2.run.app/ptn_sn.php?ptn=141</x:v>
      </x:c>
    </x:row>
    <x:row r="501">
      <x:c r="A501" s="87" t="n">
        <x:v>2641</x:v>
      </x:c>
      <x:c r="B501" s="87" t="n">
        <x:v>141</x:v>
      </x:c>
      <x:c r="C501" s="66" t="str">
        <x:v>UNIVERSITAS ANDALAS</x:v>
      </x:c>
      <x:c r="D501" s="66" t="str">
        <x:v>PTN Akademik</x:v>
      </x:c>
      <x:c r="E501" s="66" t="str">
        <x:v>11411036</x:v>
      </x:c>
      <x:c r="F501" s="66" t="str">
        <x:v>ANTROPOLOGI SOSIAL</x:v>
      </x:c>
      <x:c r="G501" s="66" t="str">
        <x:v>Sarjana</x:v>
      </x:c>
      <x:c r="H501" s="87" t="n">
        <x:v>40</x:v>
      </x:c>
      <x:c r="I501" s="87" t="n">
        <x:v>171</x:v>
      </x:c>
      <x:c r="J501" s="68" t="n">
        <x:f>IFERROR(H501/I501,"")</x:f>
        <x:v>0.23391812865497075</x:v>
      </x:c>
      <x:c r="K501" s="69" t="n">
        <x:f>IFERROR(I501/H501,"")</x:f>
        <x:v>4.275</x:v>
      </x:c>
      <x:c r="L501" s="66" t="str">
        <x:f>IF(K501="","","1 : "&amp;TEXT(K501,"0.0"))</x:f>
        <x:v>1 : 4.3</x:v>
      </x:c>
      <x:c r="M501" s="66" t="str">
        <x:f>IF(J501="","Baru/Tanpa Data",IF(J501&lt;='Catatan &amp; Sumber'!$B$14,"Sangat Ketat",IF(J501&lt;='Catatan &amp; Sumber'!$B$15,"Ketat",IF(J501&lt;='Catatan &amp; Sumber'!$B$16,"Sedang","Relatif Longgar"))))</x:f>
        <x:v>Relatif Longgar</x:v>
      </x:c>
      <x:c r="N501" s="66" t="str">
        <x:v>Tidak Ada</x:v>
      </x:c>
      <x:c r="O501" s="66" t="str">
        <x:v>Sumatera Barat</x:v>
      </x:c>
      <x:c r="P501" s="66" t="str">
        <x:v>Kota Padang</x:v>
      </x:c>
      <x:c r="Q501" s="66" t="str">
        <x:v>https://snpmb.id/snbp/daya-tampung-snbp</x:v>
      </x:c>
      <x:c r="R501" s="66" t="str">
        <x:v>https://sidatagrun-public-1076756628210.asia-southeast2.run.app/ptn_sn.php?ptn=141</x:v>
      </x:c>
    </x:row>
    <x:row r="502">
      <x:c r="A502" s="87" t="n">
        <x:v>887</x:v>
      </x:c>
      <x:c r="B502" s="87" t="n">
        <x:v>141</x:v>
      </x:c>
      <x:c r="C502" s="66" t="str">
        <x:v>UNIVERSITAS ANDALAS</x:v>
      </x:c>
      <x:c r="D502" s="66" t="str">
        <x:v>PTN Akademik</x:v>
      </x:c>
      <x:c r="E502" s="66" t="str">
        <x:v>11411037</x:v>
      </x:c>
      <x:c r="F502" s="66" t="str">
        <x:v>MANAJEMEN</x:v>
      </x:c>
      <x:c r="G502" s="66" t="str">
        <x:v>Sarjana</x:v>
      </x:c>
      <x:c r="H502" s="87" t="n">
        <x:v>50</x:v>
      </x:c>
      <x:c r="I502" s="87" t="n">
        <x:v>702</x:v>
      </x:c>
      <x:c r="J502" s="68" t="n">
        <x:f>IFERROR(H502/I502,"")</x:f>
        <x:v>0.07122507122507123</x:v>
      </x:c>
      <x:c r="K502" s="69" t="n">
        <x:f>IFERROR(I502/H502,"")</x:f>
        <x:v>14.04</x:v>
      </x:c>
      <x:c r="L502" s="66" t="str">
        <x:f>IF(K502="","","1 : "&amp;TEXT(K502,"0.0"))</x:f>
        <x:v>1 : 14.0</x:v>
      </x:c>
      <x:c r="M502" s="66" t="str">
        <x:f>IF(J502="","Baru/Tanpa Data",IF(J502&lt;='Catatan &amp; Sumber'!$B$14,"Sangat Ketat",IF(J502&lt;='Catatan &amp; Sumber'!$B$15,"Ketat",IF(J502&lt;='Catatan &amp; Sumber'!$B$16,"Sedang","Relatif Longgar"))))</x:f>
        <x:v>Sedang</x:v>
      </x:c>
      <x:c r="N502" s="66" t="str">
        <x:v>Tidak Ada</x:v>
      </x:c>
      <x:c r="O502" s="66" t="str">
        <x:v>Sumatera Barat</x:v>
      </x:c>
      <x:c r="P502" s="66" t="str">
        <x:v>Kota Padang</x:v>
      </x:c>
      <x:c r="Q502" s="66" t="str">
        <x:v>https://snpmb.id/snbp/daya-tampung-snbp</x:v>
      </x:c>
      <x:c r="R502" s="66" t="str">
        <x:v>https://sidatagrun-public-1076756628210.asia-southeast2.run.app/ptn_sn.php?ptn=141</x:v>
      </x:c>
    </x:row>
    <x:row r="503">
      <x:c r="A503" s="87" t="n">
        <x:v>710</x:v>
      </x:c>
      <x:c r="B503" s="87" t="n">
        <x:v>141</x:v>
      </x:c>
      <x:c r="C503" s="66" t="str">
        <x:v>UNIVERSITAS ANDALAS</x:v>
      </x:c>
      <x:c r="D503" s="66" t="str">
        <x:v>PTN Akademik</x:v>
      </x:c>
      <x:c r="E503" s="66" t="str">
        <x:v>11411038</x:v>
      </x:c>
      <x:c r="F503" s="66" t="str">
        <x:v>AKUNTANSI</x:v>
      </x:c>
      <x:c r="G503" s="66" t="str">
        <x:v>Sarjana</x:v>
      </x:c>
      <x:c r="H503" s="87" t="n">
        <x:v>50</x:v>
      </x:c>
      <x:c r="I503" s="87" t="n">
        <x:v>802</x:v>
      </x:c>
      <x:c r="J503" s="68" t="n">
        <x:f>IFERROR(H503/I503,"")</x:f>
        <x:v>0.06234413965087282</x:v>
      </x:c>
      <x:c r="K503" s="69" t="n">
        <x:f>IFERROR(I503/H503,"")</x:f>
        <x:v>16.04</x:v>
      </x:c>
      <x:c r="L503" s="66" t="str">
        <x:f>IF(K503="","","1 : "&amp;TEXT(K503,"0.0"))</x:f>
        <x:v>1 : 16.0</x:v>
      </x:c>
      <x:c r="M503" s="66" t="str">
        <x:f>IF(J503="","Baru/Tanpa Data",IF(J503&lt;='Catatan &amp; Sumber'!$B$14,"Sangat Ketat",IF(J503&lt;='Catatan &amp; Sumber'!$B$15,"Ketat",IF(J503&lt;='Catatan &amp; Sumber'!$B$16,"Sedang","Relatif Longgar"))))</x:f>
        <x:v>Sedang</x:v>
      </x:c>
      <x:c r="N503" s="66" t="str">
        <x:v>Tidak Ada</x:v>
      </x:c>
      <x:c r="O503" s="66" t="str">
        <x:v>Sumatera Barat</x:v>
      </x:c>
      <x:c r="P503" s="66" t="str">
        <x:v>Kota Padang</x:v>
      </x:c>
      <x:c r="Q503" s="66" t="str">
        <x:v>https://snpmb.id/snbp/daya-tampung-snbp</x:v>
      </x:c>
      <x:c r="R503" s="66" t="str">
        <x:v>https://sidatagrun-public-1076756628210.asia-southeast2.run.app/ptn_sn.php?ptn=141</x:v>
      </x:c>
    </x:row>
    <x:row r="504">
      <x:c r="A504" s="87" t="n">
        <x:v>2603</x:v>
      </x:c>
      <x:c r="B504" s="87" t="n">
        <x:v>141</x:v>
      </x:c>
      <x:c r="C504" s="66" t="str">
        <x:v>UNIVERSITAS ANDALAS</x:v>
      </x:c>
      <x:c r="D504" s="66" t="str">
        <x:v>PTN Akademik</x:v>
      </x:c>
      <x:c r="E504" s="66" t="str">
        <x:v>11411039</x:v>
      </x:c>
      <x:c r="F504" s="66" t="str">
        <x:v>ILMU POLITIK</x:v>
      </x:c>
      <x:c r="G504" s="66" t="str">
        <x:v>Sarjana</x:v>
      </x:c>
      <x:c r="H504" s="87" t="n">
        <x:v>45</x:v>
      </x:c>
      <x:c r="I504" s="87" t="n">
        <x:v>197</x:v>
      </x:c>
      <x:c r="J504" s="68" t="n">
        <x:f>IFERROR(H504/I504,"")</x:f>
        <x:v>0.22842639593908629</x:v>
      </x:c>
      <x:c r="K504" s="69" t="n">
        <x:f>IFERROR(I504/H504,"")</x:f>
        <x:v>4.377777777777778</x:v>
      </x:c>
      <x:c r="L504" s="66" t="str">
        <x:f>IF(K504="","","1 : "&amp;TEXT(K504,"0.0"))</x:f>
        <x:v>1 : 4.4</x:v>
      </x:c>
      <x:c r="M504" s="66" t="str">
        <x:f>IF(J504="","Baru/Tanpa Data",IF(J504&lt;='Catatan &amp; Sumber'!$B$14,"Sangat Ketat",IF(J504&lt;='Catatan &amp; Sumber'!$B$15,"Ketat",IF(J504&lt;='Catatan &amp; Sumber'!$B$16,"Sedang","Relatif Longgar"))))</x:f>
        <x:v>Relatif Longgar</x:v>
      </x:c>
      <x:c r="N504" s="66" t="str">
        <x:v>Tidak Ada</x:v>
      </x:c>
      <x:c r="O504" s="66" t="str">
        <x:v>Sumatera Barat</x:v>
      </x:c>
      <x:c r="P504" s="66" t="str">
        <x:v>Kota Padang</x:v>
      </x:c>
      <x:c r="Q504" s="66" t="str">
        <x:v>https://snpmb.id/snbp/daya-tampung-snbp</x:v>
      </x:c>
      <x:c r="R504" s="66" t="str">
        <x:v>https://sidatagrun-public-1076756628210.asia-southeast2.run.app/ptn_sn.php?ptn=141</x:v>
      </x:c>
    </x:row>
    <x:row r="505">
      <x:c r="A505" s="87" t="n">
        <x:v>794</x:v>
      </x:c>
      <x:c r="B505" s="87" t="n">
        <x:v>141</x:v>
      </x:c>
      <x:c r="C505" s="66" t="str">
        <x:v>UNIVERSITAS ANDALAS</x:v>
      </x:c>
      <x:c r="D505" s="66" t="str">
        <x:v>PTN Akademik</x:v>
      </x:c>
      <x:c r="E505" s="66" t="str">
        <x:v>11411040</x:v>
      </x:c>
      <x:c r="F505" s="66" t="str">
        <x:v>ADMINISTRASI PUBLIK</x:v>
      </x:c>
      <x:c r="G505" s="66" t="str">
        <x:v>Sarjana</x:v>
      </x:c>
      <x:c r="H505" s="87" t="n">
        <x:v>30</x:v>
      </x:c>
      <x:c r="I505" s="87" t="n">
        <x:v>452</x:v>
      </x:c>
      <x:c r="J505" s="68" t="n">
        <x:f>IFERROR(H505/I505,"")</x:f>
        <x:v>0.06637168141592921</x:v>
      </x:c>
      <x:c r="K505" s="69" t="n">
        <x:f>IFERROR(I505/H505,"")</x:f>
        <x:v>15.066666666666666</x:v>
      </x:c>
      <x:c r="L505" s="66" t="str">
        <x:f>IF(K505="","","1 : "&amp;TEXT(K505,"0.0"))</x:f>
        <x:v>1 : 15.1</x:v>
      </x:c>
      <x:c r="M505" s="66" t="str">
        <x:f>IF(J505="","Baru/Tanpa Data",IF(J505&lt;='Catatan &amp; Sumber'!$B$14,"Sangat Ketat",IF(J505&lt;='Catatan &amp; Sumber'!$B$15,"Ketat",IF(J505&lt;='Catatan &amp; Sumber'!$B$16,"Sedang","Relatif Longgar"))))</x:f>
        <x:v>Sedang</x:v>
      </x:c>
      <x:c r="N505" s="66" t="str">
        <x:v>Tidak Ada</x:v>
      </x:c>
      <x:c r="O505" s="66" t="str">
        <x:v>Sumatera Barat</x:v>
      </x:c>
      <x:c r="P505" s="66" t="str">
        <x:v>Kota Padang</x:v>
      </x:c>
      <x:c r="Q505" s="66" t="str">
        <x:v>https://snpmb.id/snbp/daya-tampung-snbp</x:v>
      </x:c>
      <x:c r="R505" s="66" t="str">
        <x:v>https://sidatagrun-public-1076756628210.asia-southeast2.run.app/ptn_sn.php?ptn=141</x:v>
      </x:c>
    </x:row>
    <x:row r="506">
      <x:c r="A506" s="87" t="n">
        <x:v>3391</x:v>
      </x:c>
      <x:c r="B506" s="87" t="n">
        <x:v>141</x:v>
      </x:c>
      <x:c r="C506" s="66" t="str">
        <x:v>UNIVERSITAS ANDALAS</x:v>
      </x:c>
      <x:c r="D506" s="66" t="str">
        <x:v>PTN Akademik</x:v>
      </x:c>
      <x:c r="E506" s="66" t="str">
        <x:v>11411041</x:v>
      </x:c>
      <x:c r="F506" s="66" t="str">
        <x:v>SASTRA INDONESIA</x:v>
      </x:c>
      <x:c r="G506" s="66" t="str">
        <x:v>Sarjana</x:v>
      </x:c>
      <x:c r="H506" s="87" t="n">
        <x:v>48</x:v>
      </x:c>
      <x:c r="I506" s="87" t="n">
        <x:v>120</x:v>
      </x:c>
      <x:c r="J506" s="68" t="n">
        <x:f>IFERROR(H506/I506,"")</x:f>
        <x:v>0.4</x:v>
      </x:c>
      <x:c r="K506" s="69" t="n">
        <x:f>IFERROR(I506/H506,"")</x:f>
        <x:v>2.5</x:v>
      </x:c>
      <x:c r="L506" s="66" t="str">
        <x:f>IF(K506="","","1 : "&amp;TEXT(K506,"0.0"))</x:f>
        <x:v>1 : 2.5</x:v>
      </x:c>
      <x:c r="M506" s="66" t="str">
        <x:f>IF(J506="","Baru/Tanpa Data",IF(J506&lt;='Catatan &amp; Sumber'!$B$14,"Sangat Ketat",IF(J506&lt;='Catatan &amp; Sumber'!$B$15,"Ketat",IF(J506&lt;='Catatan &amp; Sumber'!$B$16,"Sedang","Relatif Longgar"))))</x:f>
        <x:v>Relatif Longgar</x:v>
      </x:c>
      <x:c r="N506" s="66" t="str">
        <x:v>Tidak Ada</x:v>
      </x:c>
      <x:c r="O506" s="66" t="str">
        <x:v>Sumatera Barat</x:v>
      </x:c>
      <x:c r="P506" s="66" t="str">
        <x:v>Kota Padang</x:v>
      </x:c>
      <x:c r="Q506" s="66" t="str">
        <x:v>https://snpmb.id/snbp/daya-tampung-snbp</x:v>
      </x:c>
      <x:c r="R506" s="66" t="str">
        <x:v>https://sidatagrun-public-1076756628210.asia-southeast2.run.app/ptn_sn.php?ptn=141</x:v>
      </x:c>
    </x:row>
    <x:row r="507">
      <x:c r="A507" s="87" t="n">
        <x:v>2515</x:v>
      </x:c>
      <x:c r="B507" s="87" t="n">
        <x:v>141</x:v>
      </x:c>
      <x:c r="C507" s="66" t="str">
        <x:v>UNIVERSITAS ANDALAS</x:v>
      </x:c>
      <x:c r="D507" s="66" t="str">
        <x:v>PTN Akademik</x:v>
      </x:c>
      <x:c r="E507" s="66" t="str">
        <x:v>11411042</x:v>
      </x:c>
      <x:c r="F507" s="66" t="str">
        <x:v>SASTRA INGGRIS</x:v>
      </x:c>
      <x:c r="G507" s="66" t="str">
        <x:v>Sarjana</x:v>
      </x:c>
      <x:c r="H507" s="87" t="n">
        <x:v>60</x:v>
      </x:c>
      <x:c r="I507" s="87" t="n">
        <x:v>281</x:v>
      </x:c>
      <x:c r="J507" s="68" t="n">
        <x:f>IFERROR(H507/I507,"")</x:f>
        <x:v>0.21352313167259787</x:v>
      </x:c>
      <x:c r="K507" s="69" t="n">
        <x:f>IFERROR(I507/H507,"")</x:f>
        <x:v>4.683333333333334</x:v>
      </x:c>
      <x:c r="L507" s="66" t="str">
        <x:f>IF(K507="","","1 : "&amp;TEXT(K507,"0.0"))</x:f>
        <x:v>1 : 4.7</x:v>
      </x:c>
      <x:c r="M507" s="66" t="str">
        <x:f>IF(J507="","Baru/Tanpa Data",IF(J507&lt;='Catatan &amp; Sumber'!$B$14,"Sangat Ketat",IF(J507&lt;='Catatan &amp; Sumber'!$B$15,"Ketat",IF(J507&lt;='Catatan &amp; Sumber'!$B$16,"Sedang","Relatif Longgar"))))</x:f>
        <x:v>Relatif Longgar</x:v>
      </x:c>
      <x:c r="N507" s="66" t="str">
        <x:v>Tidak Ada</x:v>
      </x:c>
      <x:c r="O507" s="66" t="str">
        <x:v>Sumatera Barat</x:v>
      </x:c>
      <x:c r="P507" s="66" t="str">
        <x:v>Kota Padang</x:v>
      </x:c>
      <x:c r="Q507" s="66" t="str">
        <x:v>https://snpmb.id/snbp/daya-tampung-snbp</x:v>
      </x:c>
      <x:c r="R507" s="66" t="str">
        <x:v>https://sidatagrun-public-1076756628210.asia-southeast2.run.app/ptn_sn.php?ptn=141</x:v>
      </x:c>
    </x:row>
    <x:row r="508">
      <x:c r="A508" s="87" t="n">
        <x:v>4239</x:v>
      </x:c>
      <x:c r="B508" s="87" t="n">
        <x:v>141</x:v>
      </x:c>
      <x:c r="C508" s="66" t="str">
        <x:v>UNIVERSITAS ANDALAS</x:v>
      </x:c>
      <x:c r="D508" s="66" t="str">
        <x:v>PTN Akademik</x:v>
      </x:c>
      <x:c r="E508" s="66" t="str">
        <x:v>11411043</x:v>
      </x:c>
      <x:c r="F508" s="66" t="str">
        <x:v>SASTRA MINANGKABAU</x:v>
      </x:c>
      <x:c r="G508" s="66" t="str">
        <x:v>Sarjana</x:v>
      </x:c>
      <x:c r="H508" s="87" t="n">
        <x:v>35</x:v>
      </x:c>
      <x:c r="I508" s="87" t="n">
        <x:v>39</x:v>
      </x:c>
      <x:c r="J508" s="68" t="n">
        <x:f>IFERROR(H508/I508,"")</x:f>
        <x:v>0.8974358974358975</x:v>
      </x:c>
      <x:c r="K508" s="69" t="n">
        <x:f>IFERROR(I508/H508,"")</x:f>
        <x:v>1.1142857142857143</x:v>
      </x:c>
      <x:c r="L508" s="66" t="str">
        <x:f>IF(K508="","","1 : "&amp;TEXT(K508,"0.0"))</x:f>
        <x:v>1 : 1.1</x:v>
      </x:c>
      <x:c r="M508" s="66" t="str">
        <x:f>IF(J508="","Baru/Tanpa Data",IF(J508&lt;='Catatan &amp; Sumber'!$B$14,"Sangat Ketat",IF(J508&lt;='Catatan &amp; Sumber'!$B$15,"Ketat",IF(J508&lt;='Catatan &amp; Sumber'!$B$16,"Sedang","Relatif Longgar"))))</x:f>
        <x:v>Relatif Longgar</x:v>
      </x:c>
      <x:c r="N508" s="66" t="str">
        <x:v>Tidak Ada</x:v>
      </x:c>
      <x:c r="O508" s="66" t="str">
        <x:v>Sumatera Barat</x:v>
      </x:c>
      <x:c r="P508" s="66" t="str">
        <x:v>Kota Padang</x:v>
      </x:c>
      <x:c r="Q508" s="66" t="str">
        <x:v>https://snpmb.id/snbp/daya-tampung-snbp</x:v>
      </x:c>
      <x:c r="R508" s="66" t="str">
        <x:v>https://sidatagrun-public-1076756628210.asia-southeast2.run.app/ptn_sn.php?ptn=141</x:v>
      </x:c>
    </x:row>
    <x:row r="509">
      <x:c r="A509" s="87" t="n">
        <x:v>3032</x:v>
      </x:c>
      <x:c r="B509" s="87" t="n">
        <x:v>141</x:v>
      </x:c>
      <x:c r="C509" s="66" t="str">
        <x:v>UNIVERSITAS ANDALAS</x:v>
      </x:c>
      <x:c r="D509" s="66" t="str">
        <x:v>PTN Akademik</x:v>
      </x:c>
      <x:c r="E509" s="66" t="str">
        <x:v>11411044</x:v>
      </x:c>
      <x:c r="F509" s="66" t="str">
        <x:v>SASTRA JEPANG</x:v>
      </x:c>
      <x:c r="G509" s="66" t="str">
        <x:v>Sarjana</x:v>
      </x:c>
      <x:c r="H509" s="87" t="n">
        <x:v>55</x:v>
      </x:c>
      <x:c r="I509" s="87" t="n">
        <x:v>183</x:v>
      </x:c>
      <x:c r="J509" s="68" t="n">
        <x:f>IFERROR(H509/I509,"")</x:f>
        <x:v>0.3005464480874317</x:v>
      </x:c>
      <x:c r="K509" s="69" t="n">
        <x:f>IFERROR(I509/H509,"")</x:f>
        <x:v>3.327272727272727</x:v>
      </x:c>
      <x:c r="L509" s="66" t="str">
        <x:f>IF(K509="","","1 : "&amp;TEXT(K509,"0.0"))</x:f>
        <x:v>1 : 3.3</x:v>
      </x:c>
      <x:c r="M509" s="66" t="str">
        <x:f>IF(J509="","Baru/Tanpa Data",IF(J509&lt;='Catatan &amp; Sumber'!$B$14,"Sangat Ketat",IF(J509&lt;='Catatan &amp; Sumber'!$B$15,"Ketat",IF(J509&lt;='Catatan &amp; Sumber'!$B$16,"Sedang","Relatif Longgar"))))</x:f>
        <x:v>Relatif Longgar</x:v>
      </x:c>
      <x:c r="N509" s="66" t="str">
        <x:v>Tidak Ada</x:v>
      </x:c>
      <x:c r="O509" s="66" t="str">
        <x:v>Sumatera Barat</x:v>
      </x:c>
      <x:c r="P509" s="66" t="str">
        <x:v>Kota Padang</x:v>
      </x:c>
      <x:c r="Q509" s="66" t="str">
        <x:v>https://snpmb.id/snbp/daya-tampung-snbp</x:v>
      </x:c>
      <x:c r="R509" s="66" t="str">
        <x:v>https://sidatagrun-public-1076756628210.asia-southeast2.run.app/ptn_sn.php?ptn=141</x:v>
      </x:c>
    </x:row>
    <x:row r="510">
      <x:c r="A510" s="87" t="n">
        <x:v>1372</x:v>
      </x:c>
      <x:c r="B510" s="87" t="n">
        <x:v>141</x:v>
      </x:c>
      <x:c r="C510" s="66" t="str">
        <x:v>UNIVERSITAS ANDALAS</x:v>
      </x:c>
      <x:c r="D510" s="66" t="str">
        <x:v>PTN Akademik</x:v>
      </x:c>
      <x:c r="E510" s="66" t="str">
        <x:v>11411045</x:v>
      </x:c>
      <x:c r="F510" s="66" t="str">
        <x:v>HUBUNGAN INTERNASIONAL</x:v>
      </x:c>
      <x:c r="G510" s="66" t="str">
        <x:v>Sarjana</x:v>
      </x:c>
      <x:c r="H510" s="87" t="n">
        <x:v>30</x:v>
      </x:c>
      <x:c r="I510" s="87" t="n">
        <x:v>300</x:v>
      </x:c>
      <x:c r="J510" s="68" t="n">
        <x:f>IFERROR(H510/I510,"")</x:f>
        <x:v>0.1</x:v>
      </x:c>
      <x:c r="K510" s="69" t="n">
        <x:f>IFERROR(I510/H510,"")</x:f>
        <x:v>10</x:v>
      </x:c>
      <x:c r="L510" s="66" t="str">
        <x:f>IF(K510="","","1 : "&amp;TEXT(K510,"0.0"))</x:f>
        <x:v>1 : 10.0</x:v>
      </x:c>
      <x:c r="M510" s="66" t="str">
        <x:f>IF(J510="","Baru/Tanpa Data",IF(J510&lt;='Catatan &amp; Sumber'!$B$14,"Sangat Ketat",IF(J510&lt;='Catatan &amp; Sumber'!$B$15,"Ketat",IF(J510&lt;='Catatan &amp; Sumber'!$B$16,"Sedang","Relatif Longgar"))))</x:f>
        <x:v>Sedang</x:v>
      </x:c>
      <x:c r="N510" s="66" t="str">
        <x:v>Tidak Ada</x:v>
      </x:c>
      <x:c r="O510" s="66" t="str">
        <x:v>Sumatera Barat</x:v>
      </x:c>
      <x:c r="P510" s="66" t="str">
        <x:v>Kota Padang</x:v>
      </x:c>
      <x:c r="Q510" s="66" t="str">
        <x:v>https://snpmb.id/snbp/daya-tampung-snbp</x:v>
      </x:c>
      <x:c r="R510" s="66" t="str">
        <x:v>https://sidatagrun-public-1076756628210.asia-southeast2.run.app/ptn_sn.php?ptn=141</x:v>
      </x:c>
    </x:row>
    <x:row r="511">
      <x:c r="A511" s="87" t="n">
        <x:v>1035</x:v>
      </x:c>
      <x:c r="B511" s="87" t="n">
        <x:v>141</x:v>
      </x:c>
      <x:c r="C511" s="66" t="str">
        <x:v>UNIVERSITAS ANDALAS</x:v>
      </x:c>
      <x:c r="D511" s="66" t="str">
        <x:v>PTN Akademik</x:v>
      </x:c>
      <x:c r="E511" s="66" t="str">
        <x:v>11411046</x:v>
      </x:c>
      <x:c r="F511" s="66" t="str">
        <x:v>ILMU KOMUNIKASI</x:v>
      </x:c>
      <x:c r="G511" s="66" t="str">
        <x:v>Sarjana</x:v>
      </x:c>
      <x:c r="H511" s="87" t="n">
        <x:v>35</x:v>
      </x:c>
      <x:c r="I511" s="87" t="n">
        <x:v>437</x:v>
      </x:c>
      <x:c r="J511" s="68" t="n">
        <x:f>IFERROR(H511/I511,"")</x:f>
        <x:v>0.08009153318077804</x:v>
      </x:c>
      <x:c r="K511" s="69" t="n">
        <x:f>IFERROR(I511/H511,"")</x:f>
        <x:v>12.485714285714286</x:v>
      </x:c>
      <x:c r="L511" s="66" t="str">
        <x:f>IF(K511="","","1 : "&amp;TEXT(K511,"0.0"))</x:f>
        <x:v>1 : 12.5</x:v>
      </x:c>
      <x:c r="M511" s="66" t="str">
        <x:f>IF(J511="","Baru/Tanpa Data",IF(J511&lt;='Catatan &amp; Sumber'!$B$14,"Sangat Ketat",IF(J511&lt;='Catatan &amp; Sumber'!$B$15,"Ketat",IF(J511&lt;='Catatan &amp; Sumber'!$B$16,"Sedang","Relatif Longgar"))))</x:f>
        <x:v>Sedang</x:v>
      </x:c>
      <x:c r="N511" s="66" t="str">
        <x:v>Tidak Ada</x:v>
      </x:c>
      <x:c r="O511" s="66" t="str">
        <x:v>Sumatera Barat</x:v>
      </x:c>
      <x:c r="P511" s="66" t="str">
        <x:v>Kota Padang</x:v>
      </x:c>
      <x:c r="Q511" s="66" t="str">
        <x:v>https://snpmb.id/snbp/daya-tampung-snbp</x:v>
      </x:c>
      <x:c r="R511" s="66" t="str">
        <x:v>https://sidatagrun-public-1076756628210.asia-southeast2.run.app/ptn_sn.php?ptn=141</x:v>
      </x:c>
    </x:row>
    <x:row r="512">
      <x:c r="A512" s="87" t="n">
        <x:v>2661</x:v>
      </x:c>
      <x:c r="B512" s="87" t="n">
        <x:v>141</x:v>
      </x:c>
      <x:c r="C512" s="66" t="str">
        <x:v>UNIVERSITAS ANDALAS</x:v>
      </x:c>
      <x:c r="D512" s="66" t="str">
        <x:v>PTN Akademik</x:v>
      </x:c>
      <x:c r="E512" s="66" t="str">
        <x:v>11411047</x:v>
      </x:c>
      <x:c r="F512" s="66" t="str">
        <x:v>MANAJEMEN (KAMPUS 2 PAYAKUMBUH)</x:v>
      </x:c>
      <x:c r="G512" s="66" t="str">
        <x:v>Sarjana</x:v>
      </x:c>
      <x:c r="H512" s="87" t="n">
        <x:v>40</x:v>
      </x:c>
      <x:c r="I512" s="87" t="n">
        <x:v>169</x:v>
      </x:c>
      <x:c r="J512" s="68" t="n">
        <x:f>IFERROR(H512/I512,"")</x:f>
        <x:v>0.23668639053254437</x:v>
      </x:c>
      <x:c r="K512" s="69" t="n">
        <x:f>IFERROR(I512/H512,"")</x:f>
        <x:v>4.225</x:v>
      </x:c>
      <x:c r="L512" s="66" t="str">
        <x:f>IF(K512="","","1 : "&amp;TEXT(K512,"0.0"))</x:f>
        <x:v>1 : 4.2</x:v>
      </x:c>
      <x:c r="M512" s="66" t="str">
        <x:f>IF(J512="","Baru/Tanpa Data",IF(J512&lt;='Catatan &amp; Sumber'!$B$14,"Sangat Ketat",IF(J512&lt;='Catatan &amp; Sumber'!$B$15,"Ketat",IF(J512&lt;='Catatan &amp; Sumber'!$B$16,"Sedang","Relatif Longgar"))))</x:f>
        <x:v>Relatif Longgar</x:v>
      </x:c>
      <x:c r="N512" s="66" t="str">
        <x:v>Tidak Ada</x:v>
      </x:c>
      <x:c r="O512" s="66" t="str">
        <x:v>Sumatera Barat</x:v>
      </x:c>
      <x:c r="P512" s="66" t="str">
        <x:v>Kota Padang</x:v>
      </x:c>
      <x:c r="Q512" s="66" t="str">
        <x:v>https://snpmb.id/snbp/daya-tampung-snbp</x:v>
      </x:c>
      <x:c r="R512" s="66" t="str">
        <x:v>https://sidatagrun-public-1076756628210.asia-southeast2.run.app/ptn_sn.php?ptn=141</x:v>
      </x:c>
    </x:row>
    <x:row r="513">
      <x:c r="A513" s="87" t="n">
        <x:v>2953</x:v>
      </x:c>
      <x:c r="B513" s="87" t="n">
        <x:v>141</x:v>
      </x:c>
      <x:c r="C513" s="66" t="str">
        <x:v>UNIVERSITAS ANDALAS</x:v>
      </x:c>
      <x:c r="D513" s="66" t="str">
        <x:v>PTN Akademik</x:v>
      </x:c>
      <x:c r="E513" s="66" t="str">
        <x:v>11411048</x:v>
      </x:c>
      <x:c r="F513" s="66" t="str">
        <x:v>EKONOMI PEMBANGUNAN (KAMPUS PAYAKUMBUH)</x:v>
      </x:c>
      <x:c r="G513" s="66" t="str">
        <x:v>Sarjana</x:v>
      </x:c>
      <x:c r="H513" s="87" t="n">
        <x:v>24</x:v>
      </x:c>
      <x:c r="I513" s="87" t="n">
        <x:v>84</x:v>
      </x:c>
      <x:c r="J513" s="68" t="n">
        <x:f>IFERROR(H513/I513,"")</x:f>
        <x:v>0.2857142857142857</x:v>
      </x:c>
      <x:c r="K513" s="69" t="n">
        <x:f>IFERROR(I513/H513,"")</x:f>
        <x:v>3.5</x:v>
      </x:c>
      <x:c r="L513" s="66" t="str">
        <x:f>IF(K513="","","1 : "&amp;TEXT(K513,"0.0"))</x:f>
        <x:v>1 : 3.5</x:v>
      </x:c>
      <x:c r="M513" s="66" t="str">
        <x:f>IF(J513="","Baru/Tanpa Data",IF(J513&lt;='Catatan &amp; Sumber'!$B$14,"Sangat Ketat",IF(J513&lt;='Catatan &amp; Sumber'!$B$15,"Ketat",IF(J513&lt;='Catatan &amp; Sumber'!$B$16,"Sedang","Relatif Longgar"))))</x:f>
        <x:v>Relatif Longgar</x:v>
      </x:c>
      <x:c r="N513" s="66" t="str">
        <x:v>Tidak Ada</x:v>
      </x:c>
      <x:c r="O513" s="66" t="str">
        <x:v>Sumatera Barat</x:v>
      </x:c>
      <x:c r="P513" s="66" t="str">
        <x:v>Kota Padang</x:v>
      </x:c>
      <x:c r="Q513" s="66" t="str">
        <x:v>https://snpmb.id/snbp/daya-tampung-snbp</x:v>
      </x:c>
      <x:c r="R513" s="66" t="str">
        <x:v>https://sidatagrun-public-1076756628210.asia-southeast2.run.app/ptn_sn.php?ptn=141</x:v>
      </x:c>
    </x:row>
    <x:row r="514">
      <x:c r="A514" s="87" t="n">
        <x:v>339</x:v>
      </x:c>
      <x:c r="B514" s="87" t="n">
        <x:v>141</x:v>
      </x:c>
      <x:c r="C514" s="66" t="str">
        <x:v>UNIVERSITAS ANDALAS</x:v>
      </x:c>
      <x:c r="D514" s="66" t="str">
        <x:v>PTN Akademik</x:v>
      </x:c>
      <x:c r="E514" s="66" t="str">
        <x:v>11411053</x:v>
      </x:c>
      <x:c r="F514" s="66" t="str">
        <x:v>INFORMATIKA</x:v>
      </x:c>
      <x:c r="G514" s="66" t="str">
        <x:v>Sarjana</x:v>
      </x:c>
      <x:c r="H514" s="87" t="n">
        <x:v>23</x:v>
      </x:c>
      <x:c r="I514" s="87" t="n">
        <x:v>523</x:v>
      </x:c>
      <x:c r="J514" s="68" t="n">
        <x:f>IFERROR(H514/I514,"")</x:f>
        <x:v>0.04397705544933078</x:v>
      </x:c>
      <x:c r="K514" s="69" t="n">
        <x:f>IFERROR(I514/H514,"")</x:f>
        <x:v>22.73913043478261</x:v>
      </x:c>
      <x:c r="L514" s="66" t="str">
        <x:f>IF(K514="","","1 : "&amp;TEXT(K514,"0.0"))</x:f>
        <x:v>1 : 22.7</x:v>
      </x:c>
      <x:c r="M514" s="66" t="str">
        <x:f>IF(J514="","Baru/Tanpa Data",IF(J514&lt;='Catatan &amp; Sumber'!$B$14,"Sangat Ketat",IF(J514&lt;='Catatan &amp; Sumber'!$B$15,"Ketat",IF(J514&lt;='Catatan &amp; Sumber'!$B$16,"Sedang","Relatif Longgar"))))</x:f>
        <x:v>Ketat</x:v>
      </x:c>
      <x:c r="N514" s="66" t="str">
        <x:v>Tidak Ada</x:v>
      </x:c>
      <x:c r="O514" s="66" t="str">
        <x:v>Sumatera Barat</x:v>
      </x:c>
      <x:c r="P514" s="66" t="str">
        <x:v>Kota Padang</x:v>
      </x:c>
      <x:c r="Q514" s="66" t="str">
        <x:v>https://snpmb.id/snbp/daya-tampung-snbp</x:v>
      </x:c>
      <x:c r="R514" s="66" t="str">
        <x:v>https://sidatagrun-public-1076756628210.asia-southeast2.run.app/ptn_sn.php?ptn=141</x:v>
      </x:c>
    </x:row>
    <x:row r="515">
      <x:c r="A515" s="87" t="n">
        <x:v>759</x:v>
      </x:c>
      <x:c r="B515" s="87" t="n">
        <x:v>141</x:v>
      </x:c>
      <x:c r="C515" s="66" t="str">
        <x:v>UNIVERSITAS ANDALAS</x:v>
      </x:c>
      <x:c r="D515" s="66" t="str">
        <x:v>PTN Akademik</x:v>
      </x:c>
      <x:c r="E515" s="66" t="str">
        <x:v>11411054</x:v>
      </x:c>
      <x:c r="F515" s="66" t="str">
        <x:v>ARSITEKTUR</x:v>
      </x:c>
      <x:c r="G515" s="66" t="str">
        <x:v>Sarjana</x:v>
      </x:c>
      <x:c r="H515" s="87" t="n">
        <x:v>8</x:v>
      </x:c>
      <x:c r="I515" s="87" t="n">
        <x:v>123</x:v>
      </x:c>
      <x:c r="J515" s="68" t="n">
        <x:f>IFERROR(H515/I515,"")</x:f>
        <x:v>0.06504065040650407</x:v>
      </x:c>
      <x:c r="K515" s="69" t="n">
        <x:f>IFERROR(I515/H515,"")</x:f>
        <x:v>15.375</x:v>
      </x:c>
      <x:c r="L515" s="66" t="str">
        <x:f>IF(K515="","","1 : "&amp;TEXT(K515,"0.0"))</x:f>
        <x:v>1 : 15.4</x:v>
      </x:c>
      <x:c r="M515" s="66" t="str">
        <x:f>IF(J515="","Baru/Tanpa Data",IF(J515&lt;='Catatan &amp; Sumber'!$B$14,"Sangat Ketat",IF(J515&lt;='Catatan &amp; Sumber'!$B$15,"Ketat",IF(J515&lt;='Catatan &amp; Sumber'!$B$16,"Sedang","Relatif Longgar"))))</x:f>
        <x:v>Sedang</x:v>
      </x:c>
      <x:c r="N515" s="66" t="str">
        <x:v>Tidak Ada</x:v>
      </x:c>
      <x:c r="O515" s="66" t="str">
        <x:v>Sumatera Barat</x:v>
      </x:c>
      <x:c r="P515" s="66" t="str">
        <x:v>Kota Padang</x:v>
      </x:c>
      <x:c r="Q515" s="66" t="str">
        <x:v>https://snpmb.id/snbp/daya-tampung-snbp</x:v>
      </x:c>
      <x:c r="R515" s="66" t="str">
        <x:v>https://sidatagrun-public-1076756628210.asia-southeast2.run.app/ptn_sn.php?ptn=141</x:v>
      </x:c>
    </x:row>
    <x:row r="516">
      <x:c r="A516" s="87" t="n">
        <x:v>2888</x:v>
      </x:c>
      <x:c r="B516" s="87" t="n">
        <x:v>141</x:v>
      </x:c>
      <x:c r="C516" s="66" t="str">
        <x:v>UNIVERSITAS ANDALAS</x:v>
      </x:c>
      <x:c r="D516" s="66" t="str">
        <x:v>PTN Akademik</x:v>
      </x:c>
      <x:c r="E516" s="66" t="str">
        <x:v>11411055</x:v>
      </x:c>
      <x:c r="F516" s="66" t="str">
        <x:v>EKONOMI ISLAM</x:v>
      </x:c>
      <x:c r="G516" s="66" t="str">
        <x:v>Sarjana</x:v>
      </x:c>
      <x:c r="H516" s="87" t="n">
        <x:v>18</x:v>
      </x:c>
      <x:c r="I516" s="87" t="n">
        <x:v>66</x:v>
      </x:c>
      <x:c r="J516" s="68" t="n">
        <x:f>IFERROR(H516/I516,"")</x:f>
        <x:v>0.2727272727272727</x:v>
      </x:c>
      <x:c r="K516" s="69" t="n">
        <x:f>IFERROR(I516/H516,"")</x:f>
        <x:v>3.6666666666666665</x:v>
      </x:c>
      <x:c r="L516" s="66" t="str">
        <x:f>IF(K516="","","1 : "&amp;TEXT(K516,"0.0"))</x:f>
        <x:v>1 : 3.7</x:v>
      </x:c>
      <x:c r="M516" s="66" t="str">
        <x:f>IF(J516="","Baru/Tanpa Data",IF(J516&lt;='Catatan &amp; Sumber'!$B$14,"Sangat Ketat",IF(J516&lt;='Catatan &amp; Sumber'!$B$15,"Ketat",IF(J516&lt;='Catatan &amp; Sumber'!$B$16,"Sedang","Relatif Longgar"))))</x:f>
        <x:v>Relatif Longgar</x:v>
      </x:c>
      <x:c r="N516" s="66" t="str">
        <x:v>Tidak Ada</x:v>
      </x:c>
      <x:c r="O516" s="66" t="str">
        <x:v>Sumatera Barat</x:v>
      </x:c>
      <x:c r="P516" s="66" t="str">
        <x:v>Kota Padang</x:v>
      </x:c>
      <x:c r="Q516" s="66" t="str">
        <x:v>https://snpmb.id/snbp/daya-tampung-snbp</x:v>
      </x:c>
      <x:c r="R516" s="66" t="str">
        <x:v>https://sidatagrun-public-1076756628210.asia-southeast2.run.app/ptn_sn.php?ptn=141</x:v>
      </x:c>
    </x:row>
    <x:row r="517">
      <x:c r="A517" s="87" t="n">
        <x:v>1728</x:v>
      </x:c>
      <x:c r="B517" s="87" t="n">
        <x:v>141</x:v>
      </x:c>
      <x:c r="C517" s="66" t="str">
        <x:v>UNIVERSITAS ANDALAS</x:v>
      </x:c>
      <x:c r="D517" s="66" t="str">
        <x:v>PTN Akademik</x:v>
      </x:c>
      <x:c r="E517" s="66" t="str">
        <x:v>11411056</x:v>
      </x:c>
      <x:c r="F517" s="66" t="str">
        <x:v>KEWIRAUSAHAAN</x:v>
      </x:c>
      <x:c r="G517" s="66" t="str">
        <x:v>Sarjana</x:v>
      </x:c>
      <x:c r="H517" s="87" t="n">
        <x:v>13</x:v>
      </x:c>
      <x:c r="I517" s="87" t="n">
        <x:v>103</x:v>
      </x:c>
      <x:c r="J517" s="68" t="n">
        <x:f>IFERROR(H517/I517,"")</x:f>
        <x:v>0.1262135922330097</x:v>
      </x:c>
      <x:c r="K517" s="69" t="n">
        <x:f>IFERROR(I517/H517,"")</x:f>
        <x:v>7.923076923076923</x:v>
      </x:c>
      <x:c r="L517" s="66" t="str">
        <x:f>IF(K517="","","1 : "&amp;TEXT(K517,"0.0"))</x:f>
        <x:v>1 : 7.9</x:v>
      </x:c>
      <x:c r="M517" s="66" t="str">
        <x:f>IF(J517="","Baru/Tanpa Data",IF(J517&lt;='Catatan &amp; Sumber'!$B$14,"Sangat Ketat",IF(J517&lt;='Catatan &amp; Sumber'!$B$15,"Ketat",IF(J517&lt;='Catatan &amp; Sumber'!$B$16,"Sedang","Relatif Longgar"))))</x:f>
        <x:v>Relatif Longgar</x:v>
      </x:c>
      <x:c r="N517" s="66" t="str">
        <x:v>Tidak Ada</x:v>
      </x:c>
      <x:c r="O517" s="66" t="str">
        <x:v>Sumatera Barat</x:v>
      </x:c>
      <x:c r="P517" s="66" t="str">
        <x:v>Kota Padang</x:v>
      </x:c>
      <x:c r="Q517" s="66" t="str">
        <x:v>https://snpmb.id/snbp/daya-tampung-snbp</x:v>
      </x:c>
      <x:c r="R517" s="66" t="str">
        <x:v>https://sidatagrun-public-1076756628210.asia-southeast2.run.app/ptn_sn.php?ptn=141</x:v>
      </x:c>
    </x:row>
    <x:row r="518">
      <x:c r="A518" s="87" t="n">
        <x:v>1056</x:v>
      </x:c>
      <x:c r="B518" s="87" t="n">
        <x:v>141</x:v>
      </x:c>
      <x:c r="C518" s="66" t="str">
        <x:v>UNIVERSITAS ANDALAS</x:v>
      </x:c>
      <x:c r="D518" s="66" t="str">
        <x:v>PTN Akademik</x:v>
      </x:c>
      <x:c r="E518" s="66" t="str">
        <x:v>11411057</x:v>
      </x:c>
      <x:c r="F518" s="66" t="str">
        <x:v>STATISTIKA DAN SAINS DATA</x:v>
      </x:c>
      <x:c r="G518" s="66" t="str">
        <x:v>Sarjana</x:v>
      </x:c>
      <x:c r="H518" s="87" t="n">
        <x:v>15</x:v>
      </x:c>
      <x:c r="I518" s="87" t="n">
        <x:v>184</x:v>
      </x:c>
      <x:c r="J518" s="68" t="n">
        <x:f>IFERROR(H518/I518,"")</x:f>
        <x:v>0.08152173913043478</x:v>
      </x:c>
      <x:c r="K518" s="69" t="n">
        <x:f>IFERROR(I518/H518,"")</x:f>
        <x:v>12.266666666666667</x:v>
      </x:c>
      <x:c r="L518" s="66" t="str">
        <x:f>IF(K518="","","1 : "&amp;TEXT(K518,"0.0"))</x:f>
        <x:v>1 : 12.3</x:v>
      </x:c>
      <x:c r="M518" s="66" t="str">
        <x:f>IF(J518="","Baru/Tanpa Data",IF(J518&lt;='Catatan &amp; Sumber'!$B$14,"Sangat Ketat",IF(J518&lt;='Catatan &amp; Sumber'!$B$15,"Ketat",IF(J518&lt;='Catatan &amp; Sumber'!$B$16,"Sedang","Relatif Longgar"))))</x:f>
        <x:v>Sedang</x:v>
      </x:c>
      <x:c r="N518" s="66" t="str">
        <x:v>Tidak Ada</x:v>
      </x:c>
      <x:c r="O518" s="66" t="str">
        <x:v>Sumatera Barat</x:v>
      </x:c>
      <x:c r="P518" s="66" t="str">
        <x:v>Kota Padang</x:v>
      </x:c>
      <x:c r="Q518" s="66" t="str">
        <x:v>https://snpmb.id/snbp/daya-tampung-snbp</x:v>
      </x:c>
      <x:c r="R518" s="66" t="str">
        <x:v>https://sidatagrun-public-1076756628210.asia-southeast2.run.app/ptn_sn.php?ptn=141</x:v>
      </x:c>
    </x:row>
    <x:row r="519">
      <x:c r="A519" s="87"/>
      <x:c r="B519" s="87" t="n">
        <x:v>141</x:v>
      </x:c>
      <x:c r="C519" s="66" t="str">
        <x:v>UNIVERSITAS ANDALAS</x:v>
      </x:c>
      <x:c r="D519" s="66" t="str">
        <x:v>PTN Akademik</x:v>
      </x:c>
      <x:c r="E519" s="66" t="str">
        <x:v>11411058</x:v>
      </x:c>
      <x:c r="F519" s="66" t="str">
        <x:v>ARKEOLOGI</x:v>
      </x:c>
      <x:c r="G519" s="66" t="str">
        <x:v>Sarjana</x:v>
      </x:c>
      <x:c r="H519" s="87" t="n">
        <x:v>20</x:v>
      </x:c>
      <x:c r="I519" s="87"/>
      <x:c r="J519" s="68" t="str">
        <x:f>IFERROR(H519/I519,"")</x:f>
      </x:c>
      <x:c r="K519" s="69" t="n">
        <x:f>IFERROR(I519/H519,"")</x:f>
        <x:v>0</x:v>
      </x:c>
      <x:c r="L519" s="66" t="str">
        <x:f>IF(K519="","","1 : "&amp;TEXT(K519,"0.0"))</x:f>
      </x:c>
      <x:c r="M519" s="66" t="str">
        <x:f>IF(J519="","Baru/Tanpa Data",IF(J519&lt;='Catatan &amp; Sumber'!$B$14,"Sangat Ketat",IF(J519&lt;='Catatan &amp; Sumber'!$B$15,"Ketat",IF(J519&lt;='Catatan &amp; Sumber'!$B$16,"Sedang","Relatif Longgar"))))</x:f>
        <x:v>Baru/Tanpa Data</x:v>
      </x:c>
      <x:c r="N519" s="66" t="str">
        <x:v>Tidak Ada</x:v>
      </x:c>
      <x:c r="O519" s="66" t="str">
        <x:v>Sumatera Barat</x:v>
      </x:c>
      <x:c r="P519" s="66" t="str">
        <x:v>Kota Padang</x:v>
      </x:c>
      <x:c r="Q519" s="66" t="str">
        <x:v>https://snpmb.id/snbp/daya-tampung-snbp</x:v>
      </x:c>
      <x:c r="R519" s="66" t="str">
        <x:v>https://sidatagrun-public-1076756628210.asia-southeast2.run.app/ptn_sn.php?ptn=141</x:v>
      </x:c>
    </x:row>
    <x:row r="520">
      <x:c r="A520" s="87"/>
      <x:c r="B520" s="87" t="n">
        <x:v>141</x:v>
      </x:c>
      <x:c r="C520" s="66" t="str">
        <x:v>UNIVERSITAS ANDALAS</x:v>
      </x:c>
      <x:c r="D520" s="66" t="str">
        <x:v>PTN Akademik</x:v>
      </x:c>
      <x:c r="E520" s="66" t="str">
        <x:v>11411059</x:v>
      </x:c>
      <x:c r="F520" s="66" t="str">
        <x:v>NUTRISI DAN TEKNOLOGI PAKAN TERNAK</x:v>
      </x:c>
      <x:c r="G520" s="66" t="str">
        <x:v>Sarjana</x:v>
      </x:c>
      <x:c r="H520" s="87" t="n">
        <x:v>15</x:v>
      </x:c>
      <x:c r="I520" s="87"/>
      <x:c r="J520" s="68" t="str">
        <x:f>IFERROR(H520/I520,"")</x:f>
      </x:c>
      <x:c r="K520" s="69" t="n">
        <x:f>IFERROR(I520/H520,"")</x:f>
        <x:v>0</x:v>
      </x:c>
      <x:c r="L520" s="66" t="str">
        <x:f>IF(K520="","","1 : "&amp;TEXT(K520,"0.0"))</x:f>
      </x:c>
      <x:c r="M520" s="66" t="str">
        <x:f>IF(J520="","Baru/Tanpa Data",IF(J520&lt;='Catatan &amp; Sumber'!$B$14,"Sangat Ketat",IF(J520&lt;='Catatan &amp; Sumber'!$B$15,"Ketat",IF(J520&lt;='Catatan &amp; Sumber'!$B$16,"Sedang","Relatif Longgar"))))</x:f>
        <x:v>Baru/Tanpa Data</x:v>
      </x:c>
      <x:c r="N520" s="66" t="str">
        <x:v>Tidak Ada</x:v>
      </x:c>
      <x:c r="O520" s="66" t="str">
        <x:v>Sumatera Barat</x:v>
      </x:c>
      <x:c r="P520" s="66" t="str">
        <x:v>Kota Padang</x:v>
      </x:c>
      <x:c r="Q520" s="66" t="str">
        <x:v>https://snpmb.id/snbp/daya-tampung-snbp</x:v>
      </x:c>
      <x:c r="R520" s="66" t="str">
        <x:v>https://sidatagrun-public-1076756628210.asia-southeast2.run.app/ptn_sn.php?ptn=141</x:v>
      </x:c>
    </x:row>
    <x:row r="521">
      <x:c r="A521" s="87" t="n">
        <x:v>2538</x:v>
      </x:c>
      <x:c r="B521" s="87" t="n">
        <x:v>141</x:v>
      </x:c>
      <x:c r="C521" s="66" t="str">
        <x:v>UNIVERSITAS ANDALAS</x:v>
      </x:c>
      <x:c r="D521" s="66" t="str">
        <x:v>PTN Akademik</x:v>
      </x:c>
      <x:c r="E521" s="66" t="str">
        <x:v>11413049</x:v>
      </x:c>
      <x:c r="F521" s="66" t="str">
        <x:v>AKUNTANSI</x:v>
      </x:c>
      <x:c r="G521" s="66" t="str">
        <x:v>Diploma Tiga</x:v>
      </x:c>
      <x:c r="H521" s="87" t="n">
        <x:v>27</x:v>
      </x:c>
      <x:c r="I521" s="87" t="n">
        <x:v>124</x:v>
      </x:c>
      <x:c r="J521" s="68" t="n">
        <x:f>IFERROR(H521/I521,"")</x:f>
        <x:v>0.21774193548387097</x:v>
      </x:c>
      <x:c r="K521" s="69" t="n">
        <x:f>IFERROR(I521/H521,"")</x:f>
        <x:v>4.592592592592593</x:v>
      </x:c>
      <x:c r="L521" s="66" t="str">
        <x:f>IF(K521="","","1 : "&amp;TEXT(K521,"0.0"))</x:f>
        <x:v>1 : 4.6</x:v>
      </x:c>
      <x:c r="M521" s="66" t="str">
        <x:f>IF(J521="","Baru/Tanpa Data",IF(J521&lt;='Catatan &amp; Sumber'!$B$14,"Sangat Ketat",IF(J521&lt;='Catatan &amp; Sumber'!$B$15,"Ketat",IF(J521&lt;='Catatan &amp; Sumber'!$B$16,"Sedang","Relatif Longgar"))))</x:f>
        <x:v>Relatif Longgar</x:v>
      </x:c>
      <x:c r="N521" s="66" t="str">
        <x:v>Tidak Ada</x:v>
      </x:c>
      <x:c r="O521" s="66" t="str">
        <x:v>Sumatera Barat</x:v>
      </x:c>
      <x:c r="P521" s="66" t="str">
        <x:v>Kota Padang</x:v>
      </x:c>
      <x:c r="Q521" s="66" t="str">
        <x:v>https://snpmb.id/snbp/daya-tampung-snbp</x:v>
      </x:c>
      <x:c r="R521" s="66" t="str">
        <x:v>https://sidatagrun-public-1076756628210.asia-southeast2.run.app/ptn_sn.php?ptn=141</x:v>
      </x:c>
    </x:row>
    <x:row r="522">
      <x:c r="A522" s="87" t="n">
        <x:v>1282</x:v>
      </x:c>
      <x:c r="B522" s="87" t="n">
        <x:v>141</x:v>
      </x:c>
      <x:c r="C522" s="66" t="str">
        <x:v>UNIVERSITAS ANDALAS</x:v>
      </x:c>
      <x:c r="D522" s="66" t="str">
        <x:v>PTN Akademik</x:v>
      </x:c>
      <x:c r="E522" s="66" t="str">
        <x:v>11413050</x:v>
      </x:c>
      <x:c r="F522" s="66" t="str">
        <x:v>ADMINISTRASI PERKANTORAN</x:v>
      </x:c>
      <x:c r="G522" s="66" t="str">
        <x:v>Diploma Tiga</x:v>
      </x:c>
      <x:c r="H522" s="87" t="n">
        <x:v>15</x:v>
      </x:c>
      <x:c r="I522" s="87" t="n">
        <x:v>159</x:v>
      </x:c>
      <x:c r="J522" s="68" t="n">
        <x:f>IFERROR(H522/I522,"")</x:f>
        <x:v>0.09433962264150944</x:v>
      </x:c>
      <x:c r="K522" s="69" t="n">
        <x:f>IFERROR(I522/H522,"")</x:f>
        <x:v>10.6</x:v>
      </x:c>
      <x:c r="L522" s="66" t="str">
        <x:f>IF(K522="","","1 : "&amp;TEXT(K522,"0.0"))</x:f>
        <x:v>1 : 10.6</x:v>
      </x:c>
      <x:c r="M522" s="66" t="str">
        <x:f>IF(J522="","Baru/Tanpa Data",IF(J522&lt;='Catatan &amp; Sumber'!$B$14,"Sangat Ketat",IF(J522&lt;='Catatan &amp; Sumber'!$B$15,"Ketat",IF(J522&lt;='Catatan &amp; Sumber'!$B$16,"Sedang","Relatif Longgar"))))</x:f>
        <x:v>Sedang</x:v>
      </x:c>
      <x:c r="N522" s="66" t="str">
        <x:v>Tidak Ada</x:v>
      </x:c>
      <x:c r="O522" s="66" t="str">
        <x:v>Sumatera Barat</x:v>
      </x:c>
      <x:c r="P522" s="66" t="str">
        <x:v>Kota Padang</x:v>
      </x:c>
      <x:c r="Q522" s="66" t="str">
        <x:v>https://snpmb.id/snbp/daya-tampung-snbp</x:v>
      </x:c>
      <x:c r="R522" s="66" t="str">
        <x:v>https://sidatagrun-public-1076756628210.asia-southeast2.run.app/ptn_sn.php?ptn=141</x:v>
      </x:c>
    </x:row>
    <x:row r="523">
      <x:c r="A523" s="87" t="n">
        <x:v>2618</x:v>
      </x:c>
      <x:c r="B523" s="87" t="n">
        <x:v>141</x:v>
      </x:c>
      <x:c r="C523" s="66" t="str">
        <x:v>UNIVERSITAS ANDALAS</x:v>
      </x:c>
      <x:c r="D523" s="66" t="str">
        <x:v>PTN Akademik</x:v>
      </x:c>
      <x:c r="E523" s="66" t="str">
        <x:v>11413051</x:v>
      </x:c>
      <x:c r="F523" s="66" t="str">
        <x:v>PERBANKAN DAN KEUANGAN</x:v>
      </x:c>
      <x:c r="G523" s="66" t="str">
        <x:v>Diploma Tiga</x:v>
      </x:c>
      <x:c r="H523" s="87" t="n">
        <x:v>30</x:v>
      </x:c>
      <x:c r="I523" s="87" t="n">
        <x:v>130</x:v>
      </x:c>
      <x:c r="J523" s="68" t="n">
        <x:f>IFERROR(H523/I523,"")</x:f>
        <x:v>0.23076923076923078</x:v>
      </x:c>
      <x:c r="K523" s="69" t="n">
        <x:f>IFERROR(I523/H523,"")</x:f>
        <x:v>4.333333333333333</x:v>
      </x:c>
      <x:c r="L523" s="66" t="str">
        <x:f>IF(K523="","","1 : "&amp;TEXT(K523,"0.0"))</x:f>
        <x:v>1 : 4.3</x:v>
      </x:c>
      <x:c r="M523" s="66" t="str">
        <x:f>IF(J523="","Baru/Tanpa Data",IF(J523&lt;='Catatan &amp; Sumber'!$B$14,"Sangat Ketat",IF(J523&lt;='Catatan &amp; Sumber'!$B$15,"Ketat",IF(J523&lt;='Catatan &amp; Sumber'!$B$16,"Sedang","Relatif Longgar"))))</x:f>
        <x:v>Relatif Longgar</x:v>
      </x:c>
      <x:c r="N523" s="66" t="str">
        <x:v>Tidak Ada</x:v>
      </x:c>
      <x:c r="O523" s="66" t="str">
        <x:v>Sumatera Barat</x:v>
      </x:c>
      <x:c r="P523" s="66" t="str">
        <x:v>Kota Padang</x:v>
      </x:c>
      <x:c r="Q523" s="66" t="str">
        <x:v>https://snpmb.id/snbp/daya-tampung-snbp</x:v>
      </x:c>
      <x:c r="R523" s="66" t="str">
        <x:v>https://sidatagrun-public-1076756628210.asia-southeast2.run.app/ptn_sn.php?ptn=141</x:v>
      </x:c>
    </x:row>
    <x:row r="524">
      <x:c r="A524" s="87" t="n">
        <x:v>2829</x:v>
      </x:c>
      <x:c r="B524" s="87" t="n">
        <x:v>141</x:v>
      </x:c>
      <x:c r="C524" s="66" t="str">
        <x:v>UNIVERSITAS ANDALAS</x:v>
      </x:c>
      <x:c r="D524" s="66" t="str">
        <x:v>PTN Akademik</x:v>
      </x:c>
      <x:c r="E524" s="66" t="str">
        <x:v>11413052</x:v>
      </x:c>
      <x:c r="F524" s="66" t="str">
        <x:v>MANAJEMEN PEMASARAN</x:v>
      </x:c>
      <x:c r="G524" s="66" t="str">
        <x:v>Diploma Tiga</x:v>
      </x:c>
      <x:c r="H524" s="87" t="n">
        <x:v>20</x:v>
      </x:c>
      <x:c r="I524" s="87" t="n">
        <x:v>76</x:v>
      </x:c>
      <x:c r="J524" s="68" t="n">
        <x:f>IFERROR(H524/I524,"")</x:f>
        <x:v>0.2631578947368421</x:v>
      </x:c>
      <x:c r="K524" s="69" t="n">
        <x:f>IFERROR(I524/H524,"")</x:f>
        <x:v>3.8</x:v>
      </x:c>
      <x:c r="L524" s="66" t="str">
        <x:f>IF(K524="","","1 : "&amp;TEXT(K524,"0.0"))</x:f>
        <x:v>1 : 3.8</x:v>
      </x:c>
      <x:c r="M524" s="66" t="str">
        <x:f>IF(J524="","Baru/Tanpa Data",IF(J524&lt;='Catatan &amp; Sumber'!$B$14,"Sangat Ketat",IF(J524&lt;='Catatan &amp; Sumber'!$B$15,"Ketat",IF(J524&lt;='Catatan &amp; Sumber'!$B$16,"Sedang","Relatif Longgar"))))</x:f>
        <x:v>Relatif Longgar</x:v>
      </x:c>
      <x:c r="N524" s="66" t="str">
        <x:v>Tidak Ada</x:v>
      </x:c>
      <x:c r="O524" s="66" t="str">
        <x:v>Sumatera Barat</x:v>
      </x:c>
      <x:c r="P524" s="66" t="str">
        <x:v>Kota Padang</x:v>
      </x:c>
      <x:c r="Q524" s="66" t="str">
        <x:v>https://snpmb.id/snbp/daya-tampung-snbp</x:v>
      </x:c>
      <x:c r="R524" s="66" t="str">
        <x:v>https://sidatagrun-public-1076756628210.asia-southeast2.run.app/ptn_sn.php?ptn=141</x:v>
      </x:c>
    </x:row>
    <x:row r="525">
      <x:c r="A525" s="87" t="n">
        <x:v>1516</x:v>
      </x:c>
      <x:c r="B525" s="87" t="n">
        <x:v>142</x:v>
      </x:c>
      <x:c r="C525" s="66" t="str">
        <x:v>UNIVERSITAS NEGERI PADANG</x:v>
      </x:c>
      <x:c r="D525" s="66" t="str">
        <x:v>PTN Akademik</x:v>
      </x:c>
      <x:c r="E525" s="66" t="str">
        <x:v>11421001</x:v>
      </x:c>
      <x:c r="F525" s="66" t="str">
        <x:v>PENDIDIKAN MATEMATIKA</x:v>
      </x:c>
      <x:c r="G525" s="66" t="str">
        <x:v>Sarjana</x:v>
      </x:c>
      <x:c r="H525" s="87" t="n">
        <x:v>48</x:v>
      </x:c>
      <x:c r="I525" s="87" t="n">
        <x:v>433</x:v>
      </x:c>
      <x:c r="J525" s="68" t="n">
        <x:f>IFERROR(H525/I525,"")</x:f>
        <x:v>0.11085450346420324</x:v>
      </x:c>
      <x:c r="K525" s="69" t="n">
        <x:f>IFERROR(I525/H525,"")</x:f>
        <x:v>9.020833333333334</x:v>
      </x:c>
      <x:c r="L525" s="66" t="str">
        <x:f>IF(K525="","","1 : "&amp;TEXT(K525,"0.0"))</x:f>
        <x:v>1 : 9.0</x:v>
      </x:c>
      <x:c r="M525" s="66" t="str">
        <x:f>IF(J525="","Baru/Tanpa Data",IF(J525&lt;='Catatan &amp; Sumber'!$B$14,"Sangat Ketat",IF(J525&lt;='Catatan &amp; Sumber'!$B$15,"Ketat",IF(J525&lt;='Catatan &amp; Sumber'!$B$16,"Sedang","Relatif Longgar"))))</x:f>
        <x:v>Relatif Longgar</x:v>
      </x:c>
      <x:c r="N525" s="66" t="str">
        <x:v>Tidak Ada</x:v>
      </x:c>
      <x:c r="O525" s="66" t="str">
        <x:v>Sumatera Barat</x:v>
      </x:c>
      <x:c r="P525" s="66" t="str">
        <x:v>Kota Padang</x:v>
      </x:c>
      <x:c r="Q525" s="66" t="str">
        <x:v>https://snpmb.id/snbp/daya-tampung-snbp</x:v>
      </x:c>
      <x:c r="R525" s="66" t="str">
        <x:v>https://sidatagrun-public-1076756628210.asia-southeast2.run.app/ptn_sn.php?ptn=142</x:v>
      </x:c>
    </x:row>
    <x:row r="526">
      <x:c r="A526" s="87" t="n">
        <x:v>2735</x:v>
      </x:c>
      <x:c r="B526" s="87" t="n">
        <x:v>142</x:v>
      </x:c>
      <x:c r="C526" s="66" t="str">
        <x:v>UNIVERSITAS NEGERI PADANG</x:v>
      </x:c>
      <x:c r="D526" s="66" t="str">
        <x:v>PTN Akademik</x:v>
      </x:c>
      <x:c r="E526" s="66" t="str">
        <x:v>11421002</x:v>
      </x:c>
      <x:c r="F526" s="66" t="str">
        <x:v>MATEMATIKA (NK)</x:v>
      </x:c>
      <x:c r="G526" s="66" t="str">
        <x:v>Sarjana</x:v>
      </x:c>
      <x:c r="H526" s="87" t="n">
        <x:v>30</x:v>
      </x:c>
      <x:c r="I526" s="87" t="n">
        <x:v>120</x:v>
      </x:c>
      <x:c r="J526" s="68" t="n">
        <x:f>IFERROR(H526/I526,"")</x:f>
        <x:v>0.25</x:v>
      </x:c>
      <x:c r="K526" s="69" t="n">
        <x:f>IFERROR(I526/H526,"")</x:f>
        <x:v>4</x:v>
      </x:c>
      <x:c r="L526" s="66" t="str">
        <x:f>IF(K526="","","1 : "&amp;TEXT(K526,"0.0"))</x:f>
        <x:v>1 : 4.0</x:v>
      </x:c>
      <x:c r="M526" s="66" t="str">
        <x:f>IF(J526="","Baru/Tanpa Data",IF(J526&lt;='Catatan &amp; Sumber'!$B$14,"Sangat Ketat",IF(J526&lt;='Catatan &amp; Sumber'!$B$15,"Ketat",IF(J526&lt;='Catatan &amp; Sumber'!$B$16,"Sedang","Relatif Longgar"))))</x:f>
        <x:v>Relatif Longgar</x:v>
      </x:c>
      <x:c r="N526" s="66" t="str">
        <x:v>Tidak Ada</x:v>
      </x:c>
      <x:c r="O526" s="66" t="str">
        <x:v>Sumatera Barat</x:v>
      </x:c>
      <x:c r="P526" s="66" t="str">
        <x:v>Kota Padang</x:v>
      </x:c>
      <x:c r="Q526" s="66" t="str">
        <x:v>https://snpmb.id/snbp/daya-tampung-snbp</x:v>
      </x:c>
      <x:c r="R526" s="66" t="str">
        <x:v>https://sidatagrun-public-1076756628210.asia-southeast2.run.app/ptn_sn.php?ptn=142</x:v>
      </x:c>
    </x:row>
    <x:row r="527">
      <x:c r="A527" s="87" t="n">
        <x:v>1363</x:v>
      </x:c>
      <x:c r="B527" s="87" t="n">
        <x:v>142</x:v>
      </x:c>
      <x:c r="C527" s="66" t="str">
        <x:v>UNIVERSITAS NEGERI PADANG</x:v>
      </x:c>
      <x:c r="D527" s="66" t="str">
        <x:v>PTN Akademik</x:v>
      </x:c>
      <x:c r="E527" s="66" t="str">
        <x:v>11421003</x:v>
      </x:c>
      <x:c r="F527" s="66" t="str">
        <x:v>PENDIDIKAN BIOLOGI</x:v>
      </x:c>
      <x:c r="G527" s="66" t="str">
        <x:v>Sarjana</x:v>
      </x:c>
      <x:c r="H527" s="87" t="n">
        <x:v>45</x:v>
      </x:c>
      <x:c r="I527" s="87" t="n">
        <x:v>453</x:v>
      </x:c>
      <x:c r="J527" s="68" t="n">
        <x:f>IFERROR(H527/I527,"")</x:f>
        <x:v>0.09933774834437085</x:v>
      </x:c>
      <x:c r="K527" s="69" t="n">
        <x:f>IFERROR(I527/H527,"")</x:f>
        <x:v>10.066666666666666</x:v>
      </x:c>
      <x:c r="L527" s="66" t="str">
        <x:f>IF(K527="","","1 : "&amp;TEXT(K527,"0.0"))</x:f>
        <x:v>1 : 10.1</x:v>
      </x:c>
      <x:c r="M527" s="66" t="str">
        <x:f>IF(J527="","Baru/Tanpa Data",IF(J527&lt;='Catatan &amp; Sumber'!$B$14,"Sangat Ketat",IF(J527&lt;='Catatan &amp; Sumber'!$B$15,"Ketat",IF(J527&lt;='Catatan &amp; Sumber'!$B$16,"Sedang","Relatif Longgar"))))</x:f>
        <x:v>Sedang</x:v>
      </x:c>
      <x:c r="N527" s="66" t="str">
        <x:v>Tidak Ada</x:v>
      </x:c>
      <x:c r="O527" s="66" t="str">
        <x:v>Sumatera Barat</x:v>
      </x:c>
      <x:c r="P527" s="66" t="str">
        <x:v>Kota Padang</x:v>
      </x:c>
      <x:c r="Q527" s="66" t="str">
        <x:v>https://snpmb.id/snbp/daya-tampung-snbp</x:v>
      </x:c>
      <x:c r="R527" s="66" t="str">
        <x:v>https://sidatagrun-public-1076756628210.asia-southeast2.run.app/ptn_sn.php?ptn=142</x:v>
      </x:c>
    </x:row>
    <x:row r="528">
      <x:c r="A528" s="87" t="n">
        <x:v>2706</x:v>
      </x:c>
      <x:c r="B528" s="87" t="n">
        <x:v>142</x:v>
      </x:c>
      <x:c r="C528" s="66" t="str">
        <x:v>UNIVERSITAS NEGERI PADANG</x:v>
      </x:c>
      <x:c r="D528" s="66" t="str">
        <x:v>PTN Akademik</x:v>
      </x:c>
      <x:c r="E528" s="66" t="str">
        <x:v>11421004</x:v>
      </x:c>
      <x:c r="F528" s="66" t="str">
        <x:v>BIOLOGI (NK)</x:v>
      </x:c>
      <x:c r="G528" s="66" t="str">
        <x:v>Sarjana</x:v>
      </x:c>
      <x:c r="H528" s="87" t="n">
        <x:v>45</x:v>
      </x:c>
      <x:c r="I528" s="87" t="n">
        <x:v>184</x:v>
      </x:c>
      <x:c r="J528" s="68" t="n">
        <x:f>IFERROR(H528/I528,"")</x:f>
        <x:v>0.24456521739130435</x:v>
      </x:c>
      <x:c r="K528" s="69" t="n">
        <x:f>IFERROR(I528/H528,"")</x:f>
        <x:v>4.088888888888889</x:v>
      </x:c>
      <x:c r="L528" s="66" t="str">
        <x:f>IF(K528="","","1 : "&amp;TEXT(K528,"0.0"))</x:f>
        <x:v>1 : 4.1</x:v>
      </x:c>
      <x:c r="M528" s="66" t="str">
        <x:f>IF(J528="","Baru/Tanpa Data",IF(J528&lt;='Catatan &amp; Sumber'!$B$14,"Sangat Ketat",IF(J528&lt;='Catatan &amp; Sumber'!$B$15,"Ketat",IF(J528&lt;='Catatan &amp; Sumber'!$B$16,"Sedang","Relatif Longgar"))))</x:f>
        <x:v>Relatif Longgar</x:v>
      </x:c>
      <x:c r="N528" s="66" t="str">
        <x:v>Tidak Ada</x:v>
      </x:c>
      <x:c r="O528" s="66" t="str">
        <x:v>Sumatera Barat</x:v>
      </x:c>
      <x:c r="P528" s="66" t="str">
        <x:v>Kota Padang</x:v>
      </x:c>
      <x:c r="Q528" s="66" t="str">
        <x:v>https://snpmb.id/snbp/daya-tampung-snbp</x:v>
      </x:c>
      <x:c r="R528" s="66" t="str">
        <x:v>https://sidatagrun-public-1076756628210.asia-southeast2.run.app/ptn_sn.php?ptn=142</x:v>
      </x:c>
    </x:row>
    <x:row r="529">
      <x:c r="A529" s="87" t="n">
        <x:v>2837</x:v>
      </x:c>
      <x:c r="B529" s="87" t="n">
        <x:v>142</x:v>
      </x:c>
      <x:c r="C529" s="66" t="str">
        <x:v>UNIVERSITAS NEGERI PADANG</x:v>
      </x:c>
      <x:c r="D529" s="66" t="str">
        <x:v>PTN Akademik</x:v>
      </x:c>
      <x:c r="E529" s="66" t="str">
        <x:v>11421005</x:v>
      </x:c>
      <x:c r="F529" s="66" t="str">
        <x:v>PENDIDIKAN FISIKA</x:v>
      </x:c>
      <x:c r="G529" s="66" t="str">
        <x:v>Sarjana</x:v>
      </x:c>
      <x:c r="H529" s="87" t="n">
        <x:v>42</x:v>
      </x:c>
      <x:c r="I529" s="87" t="n">
        <x:v>159</x:v>
      </x:c>
      <x:c r="J529" s="68" t="n">
        <x:f>IFERROR(H529/I529,"")</x:f>
        <x:v>0.2641509433962264</x:v>
      </x:c>
      <x:c r="K529" s="69" t="n">
        <x:f>IFERROR(I529/H529,"")</x:f>
        <x:v>3.7857142857142856</x:v>
      </x:c>
      <x:c r="L529" s="66" t="str">
        <x:f>IF(K529="","","1 : "&amp;TEXT(K529,"0.0"))</x:f>
        <x:v>1 : 3.8</x:v>
      </x:c>
      <x:c r="M529" s="66" t="str">
        <x:f>IF(J529="","Baru/Tanpa Data",IF(J529&lt;='Catatan &amp; Sumber'!$B$14,"Sangat Ketat",IF(J529&lt;='Catatan &amp; Sumber'!$B$15,"Ketat",IF(J529&lt;='Catatan &amp; Sumber'!$B$16,"Sedang","Relatif Longgar"))))</x:f>
        <x:v>Relatif Longgar</x:v>
      </x:c>
      <x:c r="N529" s="66" t="str">
        <x:v>Tidak Ada</x:v>
      </x:c>
      <x:c r="O529" s="66" t="str">
        <x:v>Sumatera Barat</x:v>
      </x:c>
      <x:c r="P529" s="66" t="str">
        <x:v>Kota Padang</x:v>
      </x:c>
      <x:c r="Q529" s="66" t="str">
        <x:v>https://snpmb.id/snbp/daya-tampung-snbp</x:v>
      </x:c>
      <x:c r="R529" s="66" t="str">
        <x:v>https://sidatagrun-public-1076756628210.asia-southeast2.run.app/ptn_sn.php?ptn=142</x:v>
      </x:c>
    </x:row>
    <x:row r="530">
      <x:c r="A530" s="87" t="n">
        <x:v>3750</x:v>
      </x:c>
      <x:c r="B530" s="87" t="n">
        <x:v>142</x:v>
      </x:c>
      <x:c r="C530" s="66" t="str">
        <x:v>UNIVERSITAS NEGERI PADANG</x:v>
      </x:c>
      <x:c r="D530" s="66" t="str">
        <x:v>PTN Akademik</x:v>
      </x:c>
      <x:c r="E530" s="66" t="str">
        <x:v>11421006</x:v>
      </x:c>
      <x:c r="F530" s="66" t="str">
        <x:v>FISIKA (NK)</x:v>
      </x:c>
      <x:c r="G530" s="66" t="str">
        <x:v>Sarjana</x:v>
      </x:c>
      <x:c r="H530" s="87" t="n">
        <x:v>30</x:v>
      </x:c>
      <x:c r="I530" s="87" t="n">
        <x:v>55</x:v>
      </x:c>
      <x:c r="J530" s="68" t="n">
        <x:f>IFERROR(H530/I530,"")</x:f>
        <x:v>0.5454545454545454</x:v>
      </x:c>
      <x:c r="K530" s="69" t="n">
        <x:f>IFERROR(I530/H530,"")</x:f>
        <x:v>1.8333333333333333</x:v>
      </x:c>
      <x:c r="L530" s="66" t="str">
        <x:f>IF(K530="","","1 : "&amp;TEXT(K530,"0.0"))</x:f>
        <x:v>1 : 1.8</x:v>
      </x:c>
      <x:c r="M530" s="66" t="str">
        <x:f>IF(J530="","Baru/Tanpa Data",IF(J530&lt;='Catatan &amp; Sumber'!$B$14,"Sangat Ketat",IF(J530&lt;='Catatan &amp; Sumber'!$B$15,"Ketat",IF(J530&lt;='Catatan &amp; Sumber'!$B$16,"Sedang","Relatif Longgar"))))</x:f>
        <x:v>Relatif Longgar</x:v>
      </x:c>
      <x:c r="N530" s="66" t="str">
        <x:v>Tidak Ada</x:v>
      </x:c>
      <x:c r="O530" s="66" t="str">
        <x:v>Sumatera Barat</x:v>
      </x:c>
      <x:c r="P530" s="66" t="str">
        <x:v>Kota Padang</x:v>
      </x:c>
      <x:c r="Q530" s="66" t="str">
        <x:v>https://snpmb.id/snbp/daya-tampung-snbp</x:v>
      </x:c>
      <x:c r="R530" s="66" t="str">
        <x:v>https://sidatagrun-public-1076756628210.asia-southeast2.run.app/ptn_sn.php?ptn=142</x:v>
      </x:c>
    </x:row>
    <x:row r="531">
      <x:c r="A531" s="87" t="n">
        <x:v>1897</x:v>
      </x:c>
      <x:c r="B531" s="87" t="n">
        <x:v>142</x:v>
      </x:c>
      <x:c r="C531" s="66" t="str">
        <x:v>UNIVERSITAS NEGERI PADANG</x:v>
      </x:c>
      <x:c r="D531" s="66" t="str">
        <x:v>PTN Akademik</x:v>
      </x:c>
      <x:c r="E531" s="66" t="str">
        <x:v>11421007</x:v>
      </x:c>
      <x:c r="F531" s="66" t="str">
        <x:v>PENDIDIKAN KIMIA</x:v>
      </x:c>
      <x:c r="G531" s="66" t="str">
        <x:v>Sarjana</x:v>
      </x:c>
      <x:c r="H531" s="87" t="n">
        <x:v>34</x:v>
      </x:c>
      <x:c r="I531" s="87" t="n">
        <x:v>242</x:v>
      </x:c>
      <x:c r="J531" s="68" t="n">
        <x:f>IFERROR(H531/I531,"")</x:f>
        <x:v>0.14049586776859505</x:v>
      </x:c>
      <x:c r="K531" s="69" t="n">
        <x:f>IFERROR(I531/H531,"")</x:f>
        <x:v>7.117647058823529</x:v>
      </x:c>
      <x:c r="L531" s="66" t="str">
        <x:f>IF(K531="","","1 : "&amp;TEXT(K531,"0.0"))</x:f>
        <x:v>1 : 7.1</x:v>
      </x:c>
      <x:c r="M531" s="66" t="str">
        <x:f>IF(J531="","Baru/Tanpa Data",IF(J531&lt;='Catatan &amp; Sumber'!$B$14,"Sangat Ketat",IF(J531&lt;='Catatan &amp; Sumber'!$B$15,"Ketat",IF(J531&lt;='Catatan &amp; Sumber'!$B$16,"Sedang","Relatif Longgar"))))</x:f>
        <x:v>Relatif Longgar</x:v>
      </x:c>
      <x:c r="N531" s="66" t="str">
        <x:v>Tidak Ada</x:v>
      </x:c>
      <x:c r="O531" s="66" t="str">
        <x:v>Sumatera Barat</x:v>
      </x:c>
      <x:c r="P531" s="66" t="str">
        <x:v>Kota Padang</x:v>
      </x:c>
      <x:c r="Q531" s="66" t="str">
        <x:v>https://snpmb.id/snbp/daya-tampung-snbp</x:v>
      </x:c>
      <x:c r="R531" s="66" t="str">
        <x:v>https://sidatagrun-public-1076756628210.asia-southeast2.run.app/ptn_sn.php?ptn=142</x:v>
      </x:c>
    </x:row>
    <x:row r="532">
      <x:c r="A532" s="87" t="n">
        <x:v>2450</x:v>
      </x:c>
      <x:c r="B532" s="87" t="n">
        <x:v>142</x:v>
      </x:c>
      <x:c r="C532" s="66" t="str">
        <x:v>UNIVERSITAS NEGERI PADANG</x:v>
      </x:c>
      <x:c r="D532" s="66" t="str">
        <x:v>PTN Akademik</x:v>
      </x:c>
      <x:c r="E532" s="66" t="str">
        <x:v>11421008</x:v>
      </x:c>
      <x:c r="F532" s="66" t="str">
        <x:v>KIMIA (NK)</x:v>
      </x:c>
      <x:c r="G532" s="66" t="str">
        <x:v>Sarjana</x:v>
      </x:c>
      <x:c r="H532" s="87" t="n">
        <x:v>38</x:v>
      </x:c>
      <x:c r="I532" s="87" t="n">
        <x:v>188</x:v>
      </x:c>
      <x:c r="J532" s="68" t="n">
        <x:f>IFERROR(H532/I532,"")</x:f>
        <x:v>0.20212765957446807</x:v>
      </x:c>
      <x:c r="K532" s="69" t="n">
        <x:f>IFERROR(I532/H532,"")</x:f>
        <x:v>4.947368421052632</x:v>
      </x:c>
      <x:c r="L532" s="66" t="str">
        <x:f>IF(K532="","","1 : "&amp;TEXT(K532,"0.0"))</x:f>
        <x:v>1 : 4.9</x:v>
      </x:c>
      <x:c r="M532" s="66" t="str">
        <x:f>IF(J532="","Baru/Tanpa Data",IF(J532&lt;='Catatan &amp; Sumber'!$B$14,"Sangat Ketat",IF(J532&lt;='Catatan &amp; Sumber'!$B$15,"Ketat",IF(J532&lt;='Catatan &amp; Sumber'!$B$16,"Sedang","Relatif Longgar"))))</x:f>
        <x:v>Relatif Longgar</x:v>
      </x:c>
      <x:c r="N532" s="66" t="str">
        <x:v>Tidak Ada</x:v>
      </x:c>
      <x:c r="O532" s="66" t="str">
        <x:v>Sumatera Barat</x:v>
      </x:c>
      <x:c r="P532" s="66" t="str">
        <x:v>Kota Padang</x:v>
      </x:c>
      <x:c r="Q532" s="66" t="str">
        <x:v>https://snpmb.id/snbp/daya-tampung-snbp</x:v>
      </x:c>
      <x:c r="R532" s="66" t="str">
        <x:v>https://sidatagrun-public-1076756628210.asia-southeast2.run.app/ptn_sn.php?ptn=142</x:v>
      </x:c>
    </x:row>
    <x:row r="533">
      <x:c r="A533" s="87" t="n">
        <x:v>3568</x:v>
      </x:c>
      <x:c r="B533" s="87" t="n">
        <x:v>142</x:v>
      </x:c>
      <x:c r="C533" s="66" t="str">
        <x:v>UNIVERSITAS NEGERI PADANG</x:v>
      </x:c>
      <x:c r="D533" s="66" t="str">
        <x:v>PTN Akademik</x:v>
      </x:c>
      <x:c r="E533" s="66" t="str">
        <x:v>11421009</x:v>
      </x:c>
      <x:c r="F533" s="66" t="str">
        <x:v>PENDIDIKAN TEKNIK BANGUNAN</x:v>
      </x:c>
      <x:c r="G533" s="66" t="str">
        <x:v>Sarjana</x:v>
      </x:c>
      <x:c r="H533" s="87" t="n">
        <x:v>21</x:v>
      </x:c>
      <x:c r="I533" s="87" t="n">
        <x:v>46</x:v>
      </x:c>
      <x:c r="J533" s="68" t="n">
        <x:f>IFERROR(H533/I533,"")</x:f>
        <x:v>0.45652173913043476</x:v>
      </x:c>
      <x:c r="K533" s="69" t="n">
        <x:f>IFERROR(I533/H533,"")</x:f>
        <x:v>2.1904761904761907</x:v>
      </x:c>
      <x:c r="L533" s="66" t="str">
        <x:f>IF(K533="","","1 : "&amp;TEXT(K533,"0.0"))</x:f>
        <x:v>1 : 2.2</x:v>
      </x:c>
      <x:c r="M533" s="66" t="str">
        <x:f>IF(J533="","Baru/Tanpa Data",IF(J533&lt;='Catatan &amp; Sumber'!$B$14,"Sangat Ketat",IF(J533&lt;='Catatan &amp; Sumber'!$B$15,"Ketat",IF(J533&lt;='Catatan &amp; Sumber'!$B$16,"Sedang","Relatif Longgar"))))</x:f>
        <x:v>Relatif Longgar</x:v>
      </x:c>
      <x:c r="N533" s="66" t="str">
        <x:v>Tidak Ada</x:v>
      </x:c>
      <x:c r="O533" s="66" t="str">
        <x:v>Sumatera Barat</x:v>
      </x:c>
      <x:c r="P533" s="66" t="str">
        <x:v>Kota Padang</x:v>
      </x:c>
      <x:c r="Q533" s="66" t="str">
        <x:v>https://snpmb.id/snbp/daya-tampung-snbp</x:v>
      </x:c>
      <x:c r="R533" s="66" t="str">
        <x:v>https://sidatagrun-public-1076756628210.asia-southeast2.run.app/ptn_sn.php?ptn=142</x:v>
      </x:c>
    </x:row>
    <x:row r="534">
      <x:c r="A534" s="87" t="n">
        <x:v>3533</x:v>
      </x:c>
      <x:c r="B534" s="87" t="n">
        <x:v>142</x:v>
      </x:c>
      <x:c r="C534" s="66" t="str">
        <x:v>UNIVERSITAS NEGERI PADANG</x:v>
      </x:c>
      <x:c r="D534" s="66" t="str">
        <x:v>PTN Akademik</x:v>
      </x:c>
      <x:c r="E534" s="66" t="str">
        <x:v>11421010</x:v>
      </x:c>
      <x:c r="F534" s="66" t="str">
        <x:v>PENDIDIKAN TEKNIK ELEKTRO</x:v>
      </x:c>
      <x:c r="G534" s="66" t="str">
        <x:v>Sarjana</x:v>
      </x:c>
      <x:c r="H534" s="87" t="n">
        <x:v>33</x:v>
      </x:c>
      <x:c r="I534" s="87" t="n">
        <x:v>74</x:v>
      </x:c>
      <x:c r="J534" s="68" t="n">
        <x:f>IFERROR(H534/I534,"")</x:f>
        <x:v>0.44594594594594594</x:v>
      </x:c>
      <x:c r="K534" s="69" t="n">
        <x:f>IFERROR(I534/H534,"")</x:f>
        <x:v>2.242424242424242</x:v>
      </x:c>
      <x:c r="L534" s="66" t="str">
        <x:f>IF(K534="","","1 : "&amp;TEXT(K534,"0.0"))</x:f>
        <x:v>1 : 2.2</x:v>
      </x:c>
      <x:c r="M534" s="66" t="str">
        <x:f>IF(J534="","Baru/Tanpa Data",IF(J534&lt;='Catatan &amp; Sumber'!$B$14,"Sangat Ketat",IF(J534&lt;='Catatan &amp; Sumber'!$B$15,"Ketat",IF(J534&lt;='Catatan &amp; Sumber'!$B$16,"Sedang","Relatif Longgar"))))</x:f>
        <x:v>Relatif Longgar</x:v>
      </x:c>
      <x:c r="N534" s="66" t="str">
        <x:v>Tidak Ada</x:v>
      </x:c>
      <x:c r="O534" s="66" t="str">
        <x:v>Sumatera Barat</x:v>
      </x:c>
      <x:c r="P534" s="66" t="str">
        <x:v>Kota Padang</x:v>
      </x:c>
      <x:c r="Q534" s="66" t="str">
        <x:v>https://snpmb.id/snbp/daya-tampung-snbp</x:v>
      </x:c>
      <x:c r="R534" s="66" t="str">
        <x:v>https://sidatagrun-public-1076756628210.asia-southeast2.run.app/ptn_sn.php?ptn=142</x:v>
      </x:c>
    </x:row>
    <x:row r="535">
      <x:c r="A535" s="87" t="n">
        <x:v>3729</x:v>
      </x:c>
      <x:c r="B535" s="87" t="n">
        <x:v>142</x:v>
      </x:c>
      <x:c r="C535" s="66" t="str">
        <x:v>UNIVERSITAS NEGERI PADANG</x:v>
      </x:c>
      <x:c r="D535" s="66" t="str">
        <x:v>PTN Akademik</x:v>
      </x:c>
      <x:c r="E535" s="66" t="str">
        <x:v>11421011</x:v>
      </x:c>
      <x:c r="F535" s="66" t="str">
        <x:v>PENDIDIKAN TEKNIK ELEKTRONIKA</x:v>
      </x:c>
      <x:c r="G535" s="66" t="str">
        <x:v>Sarjana</x:v>
      </x:c>
      <x:c r="H535" s="87" t="n">
        <x:v>24</x:v>
      </x:c>
      <x:c r="I535" s="87" t="n">
        <x:v>45</x:v>
      </x:c>
      <x:c r="J535" s="68" t="n">
        <x:f>IFERROR(H535/I535,"")</x:f>
        <x:v>0.5333333333333333</x:v>
      </x:c>
      <x:c r="K535" s="69" t="n">
        <x:f>IFERROR(I535/H535,"")</x:f>
        <x:v>1.875</x:v>
      </x:c>
      <x:c r="L535" s="66" t="str">
        <x:f>IF(K535="","","1 : "&amp;TEXT(K535,"0.0"))</x:f>
        <x:v>1 : 1.9</x:v>
      </x:c>
      <x:c r="M535" s="66" t="str">
        <x:f>IF(J535="","Baru/Tanpa Data",IF(J535&lt;='Catatan &amp; Sumber'!$B$14,"Sangat Ketat",IF(J535&lt;='Catatan &amp; Sumber'!$B$15,"Ketat",IF(J535&lt;='Catatan &amp; Sumber'!$B$16,"Sedang","Relatif Longgar"))))</x:f>
        <x:v>Relatif Longgar</x:v>
      </x:c>
      <x:c r="N535" s="66" t="str">
        <x:v>Tidak Ada</x:v>
      </x:c>
      <x:c r="O535" s="66" t="str">
        <x:v>Sumatera Barat</x:v>
      </x:c>
      <x:c r="P535" s="66" t="str">
        <x:v>Kota Padang</x:v>
      </x:c>
      <x:c r="Q535" s="66" t="str">
        <x:v>https://snpmb.id/snbp/daya-tampung-snbp</x:v>
      </x:c>
      <x:c r="R535" s="66" t="str">
        <x:v>https://sidatagrun-public-1076756628210.asia-southeast2.run.app/ptn_sn.php?ptn=142</x:v>
      </x:c>
    </x:row>
    <x:row r="536">
      <x:c r="A536" s="87" t="n">
        <x:v>3223</x:v>
      </x:c>
      <x:c r="B536" s="87" t="n">
        <x:v>142</x:v>
      </x:c>
      <x:c r="C536" s="66" t="str">
        <x:v>UNIVERSITAS NEGERI PADANG</x:v>
      </x:c>
      <x:c r="D536" s="66" t="str">
        <x:v>PTN Akademik</x:v>
      </x:c>
      <x:c r="E536" s="66" t="str">
        <x:v>11421012</x:v>
      </x:c>
      <x:c r="F536" s="66" t="str">
        <x:v>PENDIDIKAN TEKNIK MESIN</x:v>
      </x:c>
      <x:c r="G536" s="66" t="str">
        <x:v>Sarjana</x:v>
      </x:c>
      <x:c r="H536" s="87" t="n">
        <x:v>30</x:v>
      </x:c>
      <x:c r="I536" s="87" t="n">
        <x:v>86</x:v>
      </x:c>
      <x:c r="J536" s="68" t="n">
        <x:f>IFERROR(H536/I536,"")</x:f>
        <x:v>0.3488372093023256</x:v>
      </x:c>
      <x:c r="K536" s="69" t="n">
        <x:f>IFERROR(I536/H536,"")</x:f>
        <x:v>2.8666666666666667</x:v>
      </x:c>
      <x:c r="L536" s="66" t="str">
        <x:f>IF(K536="","","1 : "&amp;TEXT(K536,"0.0"))</x:f>
        <x:v>1 : 2.9</x:v>
      </x:c>
      <x:c r="M536" s="66" t="str">
        <x:f>IF(J536="","Baru/Tanpa Data",IF(J536&lt;='Catatan &amp; Sumber'!$B$14,"Sangat Ketat",IF(J536&lt;='Catatan &amp; Sumber'!$B$15,"Ketat",IF(J536&lt;='Catatan &amp; Sumber'!$B$16,"Sedang","Relatif Longgar"))))</x:f>
        <x:v>Relatif Longgar</x:v>
      </x:c>
      <x:c r="N536" s="66" t="str">
        <x:v>Tidak Ada</x:v>
      </x:c>
      <x:c r="O536" s="66" t="str">
        <x:v>Sumatera Barat</x:v>
      </x:c>
      <x:c r="P536" s="66" t="str">
        <x:v>Kota Padang</x:v>
      </x:c>
      <x:c r="Q536" s="66" t="str">
        <x:v>https://snpmb.id/snbp/daya-tampung-snbp</x:v>
      </x:c>
      <x:c r="R536" s="66" t="str">
        <x:v>https://sidatagrun-public-1076756628210.asia-southeast2.run.app/ptn_sn.php?ptn=142</x:v>
      </x:c>
    </x:row>
    <x:row r="537">
      <x:c r="A537" s="87" t="n">
        <x:v>2536</x:v>
      </x:c>
      <x:c r="B537" s="87" t="n">
        <x:v>142</x:v>
      </x:c>
      <x:c r="C537" s="66" t="str">
        <x:v>UNIVERSITAS NEGERI PADANG</x:v>
      </x:c>
      <x:c r="D537" s="66" t="str">
        <x:v>PTN Akademik</x:v>
      </x:c>
      <x:c r="E537" s="66" t="str">
        <x:v>11421013</x:v>
      </x:c>
      <x:c r="F537" s="66" t="str">
        <x:v>PENDIDIKAN TEKNIK OTOMOTIF</x:v>
      </x:c>
      <x:c r="G537" s="66" t="str">
        <x:v>Sarjana</x:v>
      </x:c>
      <x:c r="H537" s="87" t="n">
        <x:v>33</x:v>
      </x:c>
      <x:c r="I537" s="87" t="n">
        <x:v>152</x:v>
      </x:c>
      <x:c r="J537" s="68" t="n">
        <x:f>IFERROR(H537/I537,"")</x:f>
        <x:v>0.21710526315789475</x:v>
      </x:c>
      <x:c r="K537" s="69" t="n">
        <x:f>IFERROR(I537/H537,"")</x:f>
        <x:v>4.606060606060606</x:v>
      </x:c>
      <x:c r="L537" s="66" t="str">
        <x:f>IF(K537="","","1 : "&amp;TEXT(K537,"0.0"))</x:f>
        <x:v>1 : 4.6</x:v>
      </x:c>
      <x:c r="M537" s="66" t="str">
        <x:f>IF(J537="","Baru/Tanpa Data",IF(J537&lt;='Catatan &amp; Sumber'!$B$14,"Sangat Ketat",IF(J537&lt;='Catatan &amp; Sumber'!$B$15,"Ketat",IF(J537&lt;='Catatan &amp; Sumber'!$B$16,"Sedang","Relatif Longgar"))))</x:f>
        <x:v>Relatif Longgar</x:v>
      </x:c>
      <x:c r="N537" s="66" t="str">
        <x:v>Tidak Ada</x:v>
      </x:c>
      <x:c r="O537" s="66" t="str">
        <x:v>Sumatera Barat</x:v>
      </x:c>
      <x:c r="P537" s="66" t="str">
        <x:v>Kota Padang</x:v>
      </x:c>
      <x:c r="Q537" s="66" t="str">
        <x:v>https://snpmb.id/snbp/daya-tampung-snbp</x:v>
      </x:c>
      <x:c r="R537" s="66" t="str">
        <x:v>https://sidatagrun-public-1076756628210.asia-southeast2.run.app/ptn_sn.php?ptn=142</x:v>
      </x:c>
    </x:row>
    <x:row r="538">
      <x:c r="A538" s="87" t="n">
        <x:v>1125</x:v>
      </x:c>
      <x:c r="B538" s="87" t="n">
        <x:v>142</x:v>
      </x:c>
      <x:c r="C538" s="66" t="str">
        <x:v>UNIVERSITAS NEGERI PADANG</x:v>
      </x:c>
      <x:c r="D538" s="66" t="str">
        <x:v>PTN Akademik</x:v>
      </x:c>
      <x:c r="E538" s="66" t="str">
        <x:v>11421014</x:v>
      </x:c>
      <x:c r="F538" s="66" t="str">
        <x:v>PENDIDIKAN TEKNIK INFORMATIKA</x:v>
      </x:c>
      <x:c r="G538" s="66" t="str">
        <x:v>Sarjana</x:v>
      </x:c>
      <x:c r="H538" s="87" t="n">
        <x:v>30</x:v>
      </x:c>
      <x:c r="I538" s="87" t="n">
        <x:v>351</x:v>
      </x:c>
      <x:c r="J538" s="68" t="n">
        <x:f>IFERROR(H538/I538,"")</x:f>
        <x:v>0.08547008547008547</x:v>
      </x:c>
      <x:c r="K538" s="69" t="n">
        <x:f>IFERROR(I538/H538,"")</x:f>
        <x:v>11.7</x:v>
      </x:c>
      <x:c r="L538" s="66" t="str">
        <x:f>IF(K538="","","1 : "&amp;TEXT(K538,"0.0"))</x:f>
        <x:v>1 : 11.7</x:v>
      </x:c>
      <x:c r="M538" s="66" t="str">
        <x:f>IF(J538="","Baru/Tanpa Data",IF(J538&lt;='Catatan &amp; Sumber'!$B$14,"Sangat Ketat",IF(J538&lt;='Catatan &amp; Sumber'!$B$15,"Ketat",IF(J538&lt;='Catatan &amp; Sumber'!$B$16,"Sedang","Relatif Longgar"))))</x:f>
        <x:v>Sedang</x:v>
      </x:c>
      <x:c r="N538" s="66" t="str">
        <x:v>Tidak Ada</x:v>
      </x:c>
      <x:c r="O538" s="66" t="str">
        <x:v>Sumatera Barat</x:v>
      </x:c>
      <x:c r="P538" s="66" t="str">
        <x:v>Kota Padang</x:v>
      </x:c>
      <x:c r="Q538" s="66" t="str">
        <x:v>https://snpmb.id/snbp/daya-tampung-snbp</x:v>
      </x:c>
      <x:c r="R538" s="66" t="str">
        <x:v>https://sidatagrun-public-1076756628210.asia-southeast2.run.app/ptn_sn.php?ptn=142</x:v>
      </x:c>
    </x:row>
    <x:row r="539">
      <x:c r="A539" s="87" t="n">
        <x:v>3956</x:v>
      </x:c>
      <x:c r="B539" s="87" t="n">
        <x:v>142</x:v>
      </x:c>
      <x:c r="C539" s="66" t="str">
        <x:v>UNIVERSITAS NEGERI PADANG</x:v>
      </x:c>
      <x:c r="D539" s="66" t="str">
        <x:v>PTN Akademik</x:v>
      </x:c>
      <x:c r="E539" s="66" t="str">
        <x:v>11421015</x:v>
      </x:c>
      <x:c r="F539" s="66" t="str">
        <x:v>ILMU KEOLAHRAGAAN (NK)</x:v>
      </x:c>
      <x:c r="G539" s="66" t="str">
        <x:v>Sarjana</x:v>
      </x:c>
      <x:c r="H539" s="87" t="n">
        <x:v>54</x:v>
      </x:c>
      <x:c r="I539" s="87" t="n">
        <x:v>82</x:v>
      </x:c>
      <x:c r="J539" s="68" t="n">
        <x:f>IFERROR(H539/I539,"")</x:f>
        <x:v>0.6585365853658537</x:v>
      </x:c>
      <x:c r="K539" s="69" t="n">
        <x:f>IFERROR(I539/H539,"")</x:f>
        <x:v>1.5185185185185186</x:v>
      </x:c>
      <x:c r="L539" s="66" t="str">
        <x:f>IF(K539="","","1 : "&amp;TEXT(K539,"0.0"))</x:f>
        <x:v>1 : 1.5</x:v>
      </x:c>
      <x:c r="M539" s="66" t="str">
        <x:f>IF(J539="","Baru/Tanpa Data",IF(J539&lt;='Catatan &amp; Sumber'!$B$14,"Sangat Ketat",IF(J539&lt;='Catatan &amp; Sumber'!$B$15,"Ketat",IF(J539&lt;='Catatan &amp; Sumber'!$B$16,"Sedang","Relatif Longgar"))))</x:f>
        <x:v>Relatif Longgar</x:v>
      </x:c>
      <x:c r="N539" s="66" t="str">
        <x:v>Olahraga</x:v>
      </x:c>
      <x:c r="O539" s="66" t="str">
        <x:v>Sumatera Barat</x:v>
      </x:c>
      <x:c r="P539" s="66" t="str">
        <x:v>Kota Padang</x:v>
      </x:c>
      <x:c r="Q539" s="66" t="str">
        <x:v>https://snpmb.id/snbp/daya-tampung-snbp</x:v>
      </x:c>
      <x:c r="R539" s="66" t="str">
        <x:v>https://sidatagrun-public-1076756628210.asia-southeast2.run.app/ptn_sn.php?ptn=142</x:v>
      </x:c>
    </x:row>
    <x:row r="540">
      <x:c r="A540" s="87" t="n">
        <x:v>64</x:v>
      </x:c>
      <x:c r="B540" s="87" t="n">
        <x:v>142</x:v>
      </x:c>
      <x:c r="C540" s="66" t="str">
        <x:v>UNIVERSITAS NEGERI PADANG</x:v>
      </x:c>
      <x:c r="D540" s="66" t="str">
        <x:v>PTN Akademik</x:v>
      </x:c>
      <x:c r="E540" s="66" t="str">
        <x:v>11421016</x:v>
      </x:c>
      <x:c r="F540" s="66" t="str">
        <x:v>TEKNIK PERTAMBANGAN (NK)</x:v>
      </x:c>
      <x:c r="G540" s="66" t="str">
        <x:v>Sarjana</x:v>
      </x:c>
      <x:c r="H540" s="87" t="n">
        <x:v>22</x:v>
      </x:c>
      <x:c r="I540" s="87" t="n">
        <x:v>886</x:v>
      </x:c>
      <x:c r="J540" s="68" t="n">
        <x:f>IFERROR(H540/I540,"")</x:f>
        <x:v>0.024830699774266364</x:v>
      </x:c>
      <x:c r="K540" s="69" t="n">
        <x:f>IFERROR(I540/H540,"")</x:f>
        <x:v>40.27272727272727</x:v>
      </x:c>
      <x:c r="L540" s="66" t="str">
        <x:f>IF(K540="","","1 : "&amp;TEXT(K540,"0.0"))</x:f>
        <x:v>1 : 40.3</x:v>
      </x:c>
      <x:c r="M540" s="66" t="str">
        <x:f>IF(J540="","Baru/Tanpa Data",IF(J540&lt;='Catatan &amp; Sumber'!$B$14,"Sangat Ketat",IF(J540&lt;='Catatan &amp; Sumber'!$B$15,"Ketat",IF(J540&lt;='Catatan &amp; Sumber'!$B$16,"Sedang","Relatif Longgar"))))</x:f>
        <x:v>Ketat</x:v>
      </x:c>
      <x:c r="N540" s="66" t="str">
        <x:v>Tidak Ada</x:v>
      </x:c>
      <x:c r="O540" s="66" t="str">
        <x:v>Sumatera Barat</x:v>
      </x:c>
      <x:c r="P540" s="66" t="str">
        <x:v>Kota Padang</x:v>
      </x:c>
      <x:c r="Q540" s="66" t="str">
        <x:v>https://snpmb.id/snbp/daya-tampung-snbp</x:v>
      </x:c>
      <x:c r="R540" s="66" t="str">
        <x:v>https://sidatagrun-public-1076756628210.asia-southeast2.run.app/ptn_sn.php?ptn=142</x:v>
      </x:c>
    </x:row>
    <x:row r="541">
      <x:c r="A541" s="87" t="n">
        <x:v>2111</x:v>
      </x:c>
      <x:c r="B541" s="87" t="n">
        <x:v>142</x:v>
      </x:c>
      <x:c r="C541" s="66" t="str">
        <x:v>UNIVERSITAS NEGERI PADANG</x:v>
      </x:c>
      <x:c r="D541" s="66" t="str">
        <x:v>PTN Akademik</x:v>
      </x:c>
      <x:c r="E541" s="66" t="str">
        <x:v>11421018</x:v>
      </x:c>
      <x:c r="F541" s="66" t="str">
        <x:v>PENDIDIKAN ILMU PENGETAHUAN ALAM</x:v>
      </x:c>
      <x:c r="G541" s="66" t="str">
        <x:v>Sarjana</x:v>
      </x:c>
      <x:c r="H541" s="87" t="n">
        <x:v>45</x:v>
      </x:c>
      <x:c r="I541" s="87" t="n">
        <x:v>277</x:v>
      </x:c>
      <x:c r="J541" s="68" t="n">
        <x:f>IFERROR(H541/I541,"")</x:f>
        <x:v>0.1624548736462094</x:v>
      </x:c>
      <x:c r="K541" s="69" t="n">
        <x:f>IFERROR(I541/H541,"")</x:f>
        <x:v>6.155555555555556</x:v>
      </x:c>
      <x:c r="L541" s="66" t="str">
        <x:f>IF(K541="","","1 : "&amp;TEXT(K541,"0.0"))</x:f>
        <x:v>1 : 6.2</x:v>
      </x:c>
      <x:c r="M541" s="66" t="str">
        <x:f>IF(J541="","Baru/Tanpa Data",IF(J541&lt;='Catatan &amp; Sumber'!$B$14,"Sangat Ketat",IF(J541&lt;='Catatan &amp; Sumber'!$B$15,"Ketat",IF(J541&lt;='Catatan &amp; Sumber'!$B$16,"Sedang","Relatif Longgar"))))</x:f>
        <x:v>Relatif Longgar</x:v>
      </x:c>
      <x:c r="N541" s="66" t="str">
        <x:v>Tidak Ada</x:v>
      </x:c>
      <x:c r="O541" s="66" t="str">
        <x:v>Sumatera Barat</x:v>
      </x:c>
      <x:c r="P541" s="66" t="str">
        <x:v>Kota Padang</x:v>
      </x:c>
      <x:c r="Q541" s="66" t="str">
        <x:v>https://snpmb.id/snbp/daya-tampung-snbp</x:v>
      </x:c>
      <x:c r="R541" s="66" t="str">
        <x:v>https://sidatagrun-public-1076756628210.asia-southeast2.run.app/ptn_sn.php?ptn=142</x:v>
      </x:c>
    </x:row>
    <x:row r="542">
      <x:c r="A542" s="87" t="n">
        <x:v>878</x:v>
      </x:c>
      <x:c r="B542" s="87" t="n">
        <x:v>142</x:v>
      </x:c>
      <x:c r="C542" s="66" t="str">
        <x:v>UNIVERSITAS NEGERI PADANG</x:v>
      </x:c>
      <x:c r="D542" s="66" t="str">
        <x:v>PTN Akademik</x:v>
      </x:c>
      <x:c r="E542" s="66" t="str">
        <x:v>11421019</x:v>
      </x:c>
      <x:c r="F542" s="66" t="str">
        <x:v>TEKNIK SIPIL</x:v>
      </x:c>
      <x:c r="G542" s="66" t="str">
        <x:v>Sarjana</x:v>
      </x:c>
      <x:c r="H542" s="87" t="n">
        <x:v>35</x:v>
      </x:c>
      <x:c r="I542" s="87" t="n">
        <x:v>494</x:v>
      </x:c>
      <x:c r="J542" s="68" t="n">
        <x:f>IFERROR(H542/I542,"")</x:f>
        <x:v>0.0708502024291498</x:v>
      </x:c>
      <x:c r="K542" s="69" t="n">
        <x:f>IFERROR(I542/H542,"")</x:f>
        <x:v>14.114285714285714</x:v>
      </x:c>
      <x:c r="L542" s="66" t="str">
        <x:f>IF(K542="","","1 : "&amp;TEXT(K542,"0.0"))</x:f>
        <x:v>1 : 14.1</x:v>
      </x:c>
      <x:c r="M542" s="66" t="str">
        <x:f>IF(J542="","Baru/Tanpa Data",IF(J542&lt;='Catatan &amp; Sumber'!$B$14,"Sangat Ketat",IF(J542&lt;='Catatan &amp; Sumber'!$B$15,"Ketat",IF(J542&lt;='Catatan &amp; Sumber'!$B$16,"Sedang","Relatif Longgar"))))</x:f>
        <x:v>Sedang</x:v>
      </x:c>
      <x:c r="N542" s="66" t="str">
        <x:v>Tidak Ada</x:v>
      </x:c>
      <x:c r="O542" s="66" t="str">
        <x:v>Sumatera Barat</x:v>
      </x:c>
      <x:c r="P542" s="66" t="str">
        <x:v>Kota Padang</x:v>
      </x:c>
      <x:c r="Q542" s="66" t="str">
        <x:v>https://snpmb.id/snbp/daya-tampung-snbp</x:v>
      </x:c>
      <x:c r="R542" s="66" t="str">
        <x:v>https://sidatagrun-public-1076756628210.asia-southeast2.run.app/ptn_sn.php?ptn=142</x:v>
      </x:c>
    </x:row>
    <x:row r="543">
      <x:c r="A543" s="87" t="n">
        <x:v>1481</x:v>
      </x:c>
      <x:c r="B543" s="87" t="n">
        <x:v>142</x:v>
      </x:c>
      <x:c r="C543" s="66" t="str">
        <x:v>UNIVERSITAS NEGERI PADANG</x:v>
      </x:c>
      <x:c r="D543" s="66" t="str">
        <x:v>PTN Akademik</x:v>
      </x:c>
      <x:c r="E543" s="66" t="str">
        <x:v>11421020</x:v>
      </x:c>
      <x:c r="F543" s="66" t="str">
        <x:v>STATISTIKA (NK)</x:v>
      </x:c>
      <x:c r="G543" s="66" t="str">
        <x:v>Sarjana</x:v>
      </x:c>
      <x:c r="H543" s="87" t="n">
        <x:v>27</x:v>
      </x:c>
      <x:c r="I543" s="87" t="n">
        <x:v>249</x:v>
      </x:c>
      <x:c r="J543" s="68" t="n">
        <x:f>IFERROR(H543/I543,"")</x:f>
        <x:v>0.10843373493975904</x:v>
      </x:c>
      <x:c r="K543" s="69" t="n">
        <x:f>IFERROR(I543/H543,"")</x:f>
        <x:v>9.222222222222221</x:v>
      </x:c>
      <x:c r="L543" s="66" t="str">
        <x:f>IF(K543="","","1 : "&amp;TEXT(K543,"0.0"))</x:f>
        <x:v>1 : 9.2</x:v>
      </x:c>
      <x:c r="M543" s="66" t="str">
        <x:f>IF(J543="","Baru/Tanpa Data",IF(J543&lt;='Catatan &amp; Sumber'!$B$14,"Sangat Ketat",IF(J543&lt;='Catatan &amp; Sumber'!$B$15,"Ketat",IF(J543&lt;='Catatan &amp; Sumber'!$B$16,"Sedang","Relatif Longgar"))))</x:f>
        <x:v>Relatif Longgar</x:v>
      </x:c>
      <x:c r="N543" s="66" t="str">
        <x:v>Tidak Ada</x:v>
      </x:c>
      <x:c r="O543" s="66" t="str">
        <x:v>Sumatera Barat</x:v>
      </x:c>
      <x:c r="P543" s="66" t="str">
        <x:v>Kota Padang</x:v>
      </x:c>
      <x:c r="Q543" s="66" t="str">
        <x:v>https://snpmb.id/snbp/daya-tampung-snbp</x:v>
      </x:c>
      <x:c r="R543" s="66" t="str">
        <x:v>https://sidatagrun-public-1076756628210.asia-southeast2.run.app/ptn_sn.php?ptn=142</x:v>
      </x:c>
    </x:row>
    <x:row r="544">
      <x:c r="A544" s="87" t="n">
        <x:v>929</x:v>
      </x:c>
      <x:c r="B544" s="87" t="n">
        <x:v>142</x:v>
      </x:c>
      <x:c r="C544" s="66" t="str">
        <x:v>UNIVERSITAS NEGERI PADANG</x:v>
      </x:c>
      <x:c r="D544" s="66" t="str">
        <x:v>PTN Akademik</x:v>
      </x:c>
      <x:c r="E544" s="66" t="str">
        <x:v>11421021</x:v>
      </x:c>
      <x:c r="F544" s="66" t="str">
        <x:v>TEKNIK MESIN (NK)</x:v>
      </x:c>
      <x:c r="G544" s="66" t="str">
        <x:v>Sarjana</x:v>
      </x:c>
      <x:c r="H544" s="87" t="n">
        <x:v>25</x:v>
      </x:c>
      <x:c r="I544" s="87" t="n">
        <x:v>337</x:v>
      </x:c>
      <x:c r="J544" s="68" t="n">
        <x:f>IFERROR(H544/I544,"")</x:f>
        <x:v>0.07418397626112759</x:v>
      </x:c>
      <x:c r="K544" s="69" t="n">
        <x:f>IFERROR(I544/H544,"")</x:f>
        <x:v>13.48</x:v>
      </x:c>
      <x:c r="L544" s="66" t="str">
        <x:f>IF(K544="","","1 : "&amp;TEXT(K544,"0.0"))</x:f>
        <x:v>1 : 13.5</x:v>
      </x:c>
      <x:c r="M544" s="66" t="str">
        <x:f>IF(J544="","Baru/Tanpa Data",IF(J544&lt;='Catatan &amp; Sumber'!$B$14,"Sangat Ketat",IF(J544&lt;='Catatan &amp; Sumber'!$B$15,"Ketat",IF(J544&lt;='Catatan &amp; Sumber'!$B$16,"Sedang","Relatif Longgar"))))</x:f>
        <x:v>Sedang</x:v>
      </x:c>
      <x:c r="N544" s="66" t="str">
        <x:v>Tidak Ada</x:v>
      </x:c>
      <x:c r="O544" s="66" t="str">
        <x:v>Sumatera Barat</x:v>
      </x:c>
      <x:c r="P544" s="66" t="str">
        <x:v>Kota Padang</x:v>
      </x:c>
      <x:c r="Q544" s="66" t="str">
        <x:v>https://snpmb.id/snbp/daya-tampung-snbp</x:v>
      </x:c>
      <x:c r="R544" s="66" t="str">
        <x:v>https://sidatagrun-public-1076756628210.asia-southeast2.run.app/ptn_sn.php?ptn=142</x:v>
      </x:c>
    </x:row>
    <x:row r="545">
      <x:c r="A545" s="87" t="n">
        <x:v>110</x:v>
      </x:c>
      <x:c r="B545" s="87" t="n">
        <x:v>142</x:v>
      </x:c>
      <x:c r="C545" s="66" t="str">
        <x:v>UNIVERSITAS NEGERI PADANG</x:v>
      </x:c>
      <x:c r="D545" s="66" t="str">
        <x:v>PTN Akademik</x:v>
      </x:c>
      <x:c r="E545" s="66" t="str">
        <x:v>11421023</x:v>
      </x:c>
      <x:c r="F545" s="66" t="str">
        <x:v>INFORMATIKA</x:v>
      </x:c>
      <x:c r="G545" s="66" t="str">
        <x:v>Sarjana</x:v>
      </x:c>
      <x:c r="H545" s="87" t="n">
        <x:v>24</x:v>
      </x:c>
      <x:c r="I545" s="87" t="n">
        <x:v>801</x:v>
      </x:c>
      <x:c r="J545" s="68" t="n">
        <x:f>IFERROR(H545/I545,"")</x:f>
        <x:v>0.0299625468164794</x:v>
      </x:c>
      <x:c r="K545" s="69" t="n">
        <x:f>IFERROR(I545/H545,"")</x:f>
        <x:v>33.375</x:v>
      </x:c>
      <x:c r="L545" s="66" t="str">
        <x:f>IF(K545="","","1 : "&amp;TEXT(K545,"0.0"))</x:f>
        <x:v>1 : 33.4</x:v>
      </x:c>
      <x:c r="M545" s="66" t="str">
        <x:f>IF(J545="","Baru/Tanpa Data",IF(J545&lt;='Catatan &amp; Sumber'!$B$14,"Sangat Ketat",IF(J545&lt;='Catatan &amp; Sumber'!$B$15,"Ketat",IF(J545&lt;='Catatan &amp; Sumber'!$B$16,"Sedang","Relatif Longgar"))))</x:f>
        <x:v>Ketat</x:v>
      </x:c>
      <x:c r="N545" s="66" t="str">
        <x:v>Tidak Ada</x:v>
      </x:c>
      <x:c r="O545" s="66" t="str">
        <x:v>Sumatera Barat</x:v>
      </x:c>
      <x:c r="P545" s="66" t="str">
        <x:v>Kota Padang</x:v>
      </x:c>
      <x:c r="Q545" s="66" t="str">
        <x:v>https://snpmb.id/snbp/daya-tampung-snbp</x:v>
      </x:c>
      <x:c r="R545" s="66" t="str">
        <x:v>https://sidatagrun-public-1076756628210.asia-southeast2.run.app/ptn_sn.php?ptn=142</x:v>
      </x:c>
    </x:row>
    <x:row r="546">
      <x:c r="A546" s="87" t="n">
        <x:v>1943</x:v>
      </x:c>
      <x:c r="B546" s="87" t="n">
        <x:v>142</x:v>
      </x:c>
      <x:c r="C546" s="66" t="str">
        <x:v>UNIVERSITAS NEGERI PADANG</x:v>
      </x:c>
      <x:c r="D546" s="66" t="str">
        <x:v>PTN Akademik</x:v>
      </x:c>
      <x:c r="E546" s="66" t="str">
        <x:v>11421024</x:v>
      </x:c>
      <x:c r="F546" s="66" t="str">
        <x:v>ADMINISTRASI PENDIDIKAN</x:v>
      </x:c>
      <x:c r="G546" s="66" t="str">
        <x:v>Sarjana</x:v>
      </x:c>
      <x:c r="H546" s="87" t="n">
        <x:v>72</x:v>
      </x:c>
      <x:c r="I546" s="87" t="n">
        <x:v>494</x:v>
      </x:c>
      <x:c r="J546" s="68" t="n">
        <x:f>IFERROR(H546/I546,"")</x:f>
        <x:v>0.145748987854251</x:v>
      </x:c>
      <x:c r="K546" s="69" t="n">
        <x:f>IFERROR(I546/H546,"")</x:f>
        <x:v>6.861111111111111</x:v>
      </x:c>
      <x:c r="L546" s="66" t="str">
        <x:f>IF(K546="","","1 : "&amp;TEXT(K546,"0.0"))</x:f>
        <x:v>1 : 6.9</x:v>
      </x:c>
      <x:c r="M546" s="66" t="str">
        <x:f>IF(J546="","Baru/Tanpa Data",IF(J546&lt;='Catatan &amp; Sumber'!$B$14,"Sangat Ketat",IF(J546&lt;='Catatan &amp; Sumber'!$B$15,"Ketat",IF(J546&lt;='Catatan &amp; Sumber'!$B$16,"Sedang","Relatif Longgar"))))</x:f>
        <x:v>Relatif Longgar</x:v>
      </x:c>
      <x:c r="N546" s="66" t="str">
        <x:v>Tidak Ada</x:v>
      </x:c>
      <x:c r="O546" s="66" t="str">
        <x:v>Sumatera Barat</x:v>
      </x:c>
      <x:c r="P546" s="66" t="str">
        <x:v>Kota Padang</x:v>
      </x:c>
      <x:c r="Q546" s="66" t="str">
        <x:v>https://snpmb.id/snbp/daya-tampung-snbp</x:v>
      </x:c>
      <x:c r="R546" s="66" t="str">
        <x:v>https://sidatagrun-public-1076756628210.asia-southeast2.run.app/ptn_sn.php?ptn=142</x:v>
      </x:c>
    </x:row>
    <x:row r="547">
      <x:c r="A547" s="87" t="n">
        <x:v>2600</x:v>
      </x:c>
      <x:c r="B547" s="87" t="n">
        <x:v>142</x:v>
      </x:c>
      <x:c r="C547" s="66" t="str">
        <x:v>UNIVERSITAS NEGERI PADANG</x:v>
      </x:c>
      <x:c r="D547" s="66" t="str">
        <x:v>PTN Akademik</x:v>
      </x:c>
      <x:c r="E547" s="66" t="str">
        <x:v>11421025</x:v>
      </x:c>
      <x:c r="F547" s="66" t="str">
        <x:v>PENDIDIKAN LUAR BIASA</x:v>
      </x:c>
      <x:c r="G547" s="66" t="str">
        <x:v>Sarjana</x:v>
      </x:c>
      <x:c r="H547" s="87" t="n">
        <x:v>66</x:v>
      </x:c>
      <x:c r="I547" s="87" t="n">
        <x:v>290</x:v>
      </x:c>
      <x:c r="J547" s="68" t="n">
        <x:f>IFERROR(H547/I547,"")</x:f>
        <x:v>0.22758620689655173</x:v>
      </x:c>
      <x:c r="K547" s="69" t="n">
        <x:f>IFERROR(I547/H547,"")</x:f>
        <x:v>4.393939393939394</x:v>
      </x:c>
      <x:c r="L547" s="66" t="str">
        <x:f>IF(K547="","","1 : "&amp;TEXT(K547,"0.0"))</x:f>
        <x:v>1 : 4.4</x:v>
      </x:c>
      <x:c r="M547" s="66" t="str">
        <x:f>IF(J547="","Baru/Tanpa Data",IF(J547&lt;='Catatan &amp; Sumber'!$B$14,"Sangat Ketat",IF(J547&lt;='Catatan &amp; Sumber'!$B$15,"Ketat",IF(J547&lt;='Catatan &amp; Sumber'!$B$16,"Sedang","Relatif Longgar"))))</x:f>
        <x:v>Relatif Longgar</x:v>
      </x:c>
      <x:c r="N547" s="66" t="str">
        <x:v>Tidak Ada</x:v>
      </x:c>
      <x:c r="O547" s="66" t="str">
        <x:v>Sumatera Barat</x:v>
      </x:c>
      <x:c r="P547" s="66" t="str">
        <x:v>Kota Padang</x:v>
      </x:c>
      <x:c r="Q547" s="66" t="str">
        <x:v>https://snpmb.id/snbp/daya-tampung-snbp</x:v>
      </x:c>
      <x:c r="R547" s="66" t="str">
        <x:v>https://sidatagrun-public-1076756628210.asia-southeast2.run.app/ptn_sn.php?ptn=142</x:v>
      </x:c>
    </x:row>
    <x:row r="548">
      <x:c r="A548" s="87" t="n">
        <x:v>2647</x:v>
      </x:c>
      <x:c r="B548" s="87" t="n">
        <x:v>142</x:v>
      </x:c>
      <x:c r="C548" s="66" t="str">
        <x:v>UNIVERSITAS NEGERI PADANG</x:v>
      </x:c>
      <x:c r="D548" s="66" t="str">
        <x:v>PTN Akademik</x:v>
      </x:c>
      <x:c r="E548" s="66" t="str">
        <x:v>11421026</x:v>
      </x:c>
      <x:c r="F548" s="66" t="str">
        <x:v>TEKNOLOGI PENDIDIKAN</x:v>
      </x:c>
      <x:c r="G548" s="66" t="str">
        <x:v>Sarjana</x:v>
      </x:c>
      <x:c r="H548" s="87" t="n">
        <x:v>38</x:v>
      </x:c>
      <x:c r="I548" s="87" t="n">
        <x:v>162</x:v>
      </x:c>
      <x:c r="J548" s="68" t="n">
        <x:f>IFERROR(H548/I548,"")</x:f>
        <x:v>0.2345679012345679</x:v>
      </x:c>
      <x:c r="K548" s="69" t="n">
        <x:f>IFERROR(I548/H548,"")</x:f>
        <x:v>4.2631578947368425</x:v>
      </x:c>
      <x:c r="L548" s="66" t="str">
        <x:f>IF(K548="","","1 : "&amp;TEXT(K548,"0.0"))</x:f>
        <x:v>1 : 4.3</x:v>
      </x:c>
      <x:c r="M548" s="66" t="str">
        <x:f>IF(J548="","Baru/Tanpa Data",IF(J548&lt;='Catatan &amp; Sumber'!$B$14,"Sangat Ketat",IF(J548&lt;='Catatan &amp; Sumber'!$B$15,"Ketat",IF(J548&lt;='Catatan &amp; Sumber'!$B$16,"Sedang","Relatif Longgar"))))</x:f>
        <x:v>Relatif Longgar</x:v>
      </x:c>
      <x:c r="N548" s="66" t="str">
        <x:v>Tidak Ada</x:v>
      </x:c>
      <x:c r="O548" s="66" t="str">
        <x:v>Sumatera Barat</x:v>
      </x:c>
      <x:c r="P548" s="66" t="str">
        <x:v>Kota Padang</x:v>
      </x:c>
      <x:c r="Q548" s="66" t="str">
        <x:v>https://snpmb.id/snbp/daya-tampung-snbp</x:v>
      </x:c>
      <x:c r="R548" s="66" t="str">
        <x:v>https://sidatagrun-public-1076756628210.asia-southeast2.run.app/ptn_sn.php?ptn=142</x:v>
      </x:c>
    </x:row>
    <x:row r="549">
      <x:c r="A549" s="87" t="n">
        <x:v>4125</x:v>
      </x:c>
      <x:c r="B549" s="87" t="n">
        <x:v>142</x:v>
      </x:c>
      <x:c r="C549" s="66" t="str">
        <x:v>UNIVERSITAS NEGERI PADANG</x:v>
      </x:c>
      <x:c r="D549" s="66" t="str">
        <x:v>PTN Akademik</x:v>
      </x:c>
      <x:c r="E549" s="66" t="str">
        <x:v>11421027</x:v>
      </x:c>
      <x:c r="F549" s="66" t="str">
        <x:v>PENDIDIKAN NON FORMAL</x:v>
      </x:c>
      <x:c r="G549" s="66" t="str">
        <x:v>Sarjana</x:v>
      </x:c>
      <x:c r="H549" s="87" t="n">
        <x:v>45</x:v>
      </x:c>
      <x:c r="I549" s="87" t="n">
        <x:v>57</x:v>
      </x:c>
      <x:c r="J549" s="68" t="n">
        <x:f>IFERROR(H549/I549,"")</x:f>
        <x:v>0.7894736842105263</x:v>
      </x:c>
      <x:c r="K549" s="69" t="n">
        <x:f>IFERROR(I549/H549,"")</x:f>
        <x:v>1.2666666666666666</x:v>
      </x:c>
      <x:c r="L549" s="66" t="str">
        <x:f>IF(K549="","","1 : "&amp;TEXT(K549,"0.0"))</x:f>
        <x:v>1 : 1.3</x:v>
      </x:c>
      <x:c r="M549" s="66" t="str">
        <x:f>IF(J549="","Baru/Tanpa Data",IF(J549&lt;='Catatan &amp; Sumber'!$B$14,"Sangat Ketat",IF(J549&lt;='Catatan &amp; Sumber'!$B$15,"Ketat",IF(J549&lt;='Catatan &amp; Sumber'!$B$16,"Sedang","Relatif Longgar"))))</x:f>
        <x:v>Relatif Longgar</x:v>
      </x:c>
      <x:c r="N549" s="66" t="str">
        <x:v>Tidak Ada</x:v>
      </x:c>
      <x:c r="O549" s="66" t="str">
        <x:v>Sumatera Barat</x:v>
      </x:c>
      <x:c r="P549" s="66" t="str">
        <x:v>Kota Padang</x:v>
      </x:c>
      <x:c r="Q549" s="66" t="str">
        <x:v>https://snpmb.id/snbp/daya-tampung-snbp</x:v>
      </x:c>
      <x:c r="R549" s="66" t="str">
        <x:v>https://sidatagrun-public-1076756628210.asia-southeast2.run.app/ptn_sn.php?ptn=142</x:v>
      </x:c>
    </x:row>
    <x:row r="550">
      <x:c r="A550" s="87" t="n">
        <x:v>832</x:v>
      </x:c>
      <x:c r="B550" s="87" t="n">
        <x:v>142</x:v>
      </x:c>
      <x:c r="C550" s="66" t="str">
        <x:v>UNIVERSITAS NEGERI PADANG</x:v>
      </x:c>
      <x:c r="D550" s="66" t="str">
        <x:v>PTN Akademik</x:v>
      </x:c>
      <x:c r="E550" s="66" t="str">
        <x:v>11421028</x:v>
      </x:c>
      <x:c r="F550" s="66" t="str">
        <x:v>BIMBINGAN DAN KONSELING</x:v>
      </x:c>
      <x:c r="G550" s="66" t="str">
        <x:v>Sarjana</x:v>
      </x:c>
      <x:c r="H550" s="87" t="n">
        <x:v>55</x:v>
      </x:c>
      <x:c r="I550" s="87" t="n">
        <x:v>805</x:v>
      </x:c>
      <x:c r="J550" s="68" t="n">
        <x:f>IFERROR(H550/I550,"")</x:f>
        <x:v>0.06832298136645963</x:v>
      </x:c>
      <x:c r="K550" s="69" t="n">
        <x:f>IFERROR(I550/H550,"")</x:f>
        <x:v>14.636363636363637</x:v>
      </x:c>
      <x:c r="L550" s="66" t="str">
        <x:f>IF(K550="","","1 : "&amp;TEXT(K550,"0.0"))</x:f>
        <x:v>1 : 14.6</x:v>
      </x:c>
      <x:c r="M550" s="66" t="str">
        <x:f>IF(J550="","Baru/Tanpa Data",IF(J550&lt;='Catatan &amp; Sumber'!$B$14,"Sangat Ketat",IF(J550&lt;='Catatan &amp; Sumber'!$B$15,"Ketat",IF(J550&lt;='Catatan &amp; Sumber'!$B$16,"Sedang","Relatif Longgar"))))</x:f>
        <x:v>Sedang</x:v>
      </x:c>
      <x:c r="N550" s="66" t="str">
        <x:v>Tidak Ada</x:v>
      </x:c>
      <x:c r="O550" s="66" t="str">
        <x:v>Sumatera Barat</x:v>
      </x:c>
      <x:c r="P550" s="66" t="str">
        <x:v>Kota Padang</x:v>
      </x:c>
      <x:c r="Q550" s="66" t="str">
        <x:v>https://snpmb.id/snbp/daya-tampung-snbp</x:v>
      </x:c>
      <x:c r="R550" s="66" t="str">
        <x:v>https://sidatagrun-public-1076756628210.asia-southeast2.run.app/ptn_sn.php?ptn=142</x:v>
      </x:c>
    </x:row>
    <x:row r="551">
      <x:c r="A551" s="87" t="n">
        <x:v>950</x:v>
      </x:c>
      <x:c r="B551" s="87" t="n">
        <x:v>142</x:v>
      </x:c>
      <x:c r="C551" s="66" t="str">
        <x:v>UNIVERSITAS NEGERI PADANG</x:v>
      </x:c>
      <x:c r="D551" s="66" t="str">
        <x:v>PTN Akademik</x:v>
      </x:c>
      <x:c r="E551" s="66" t="str">
        <x:v>11421029</x:v>
      </x:c>
      <x:c r="F551" s="66" t="str">
        <x:v>PSIKOLOGI</x:v>
      </x:c>
      <x:c r="G551" s="66" t="str">
        <x:v>Sarjana</x:v>
      </x:c>
      <x:c r="H551" s="87" t="n">
        <x:v>56</x:v>
      </x:c>
      <x:c r="I551" s="87" t="n">
        <x:v>744</x:v>
      </x:c>
      <x:c r="J551" s="68" t="n">
        <x:f>IFERROR(H551/I551,"")</x:f>
        <x:v>0.07526881720430108</x:v>
      </x:c>
      <x:c r="K551" s="69" t="n">
        <x:f>IFERROR(I551/H551,"")</x:f>
        <x:v>13.285714285714286</x:v>
      </x:c>
      <x:c r="L551" s="66" t="str">
        <x:f>IF(K551="","","1 : "&amp;TEXT(K551,"0.0"))</x:f>
        <x:v>1 : 13.3</x:v>
      </x:c>
      <x:c r="M551" s="66" t="str">
        <x:f>IF(J551="","Baru/Tanpa Data",IF(J551&lt;='Catatan &amp; Sumber'!$B$14,"Sangat Ketat",IF(J551&lt;='Catatan &amp; Sumber'!$B$15,"Ketat",IF(J551&lt;='Catatan &amp; Sumber'!$B$16,"Sedang","Relatif Longgar"))))</x:f>
        <x:v>Sedang</x:v>
      </x:c>
      <x:c r="N551" s="66" t="str">
        <x:v>Tidak Ada</x:v>
      </x:c>
      <x:c r="O551" s="66" t="str">
        <x:v>Sumatera Barat</x:v>
      </x:c>
      <x:c r="P551" s="66" t="str">
        <x:v>Kota Padang</x:v>
      </x:c>
      <x:c r="Q551" s="66" t="str">
        <x:v>https://snpmb.id/snbp/daya-tampung-snbp</x:v>
      </x:c>
      <x:c r="R551" s="66" t="str">
        <x:v>https://sidatagrun-public-1076756628210.asia-southeast2.run.app/ptn_sn.php?ptn=142</x:v>
      </x:c>
    </x:row>
    <x:row r="552">
      <x:c r="A552" s="87" t="n">
        <x:v>332</x:v>
      </x:c>
      <x:c r="B552" s="87" t="n">
        <x:v>142</x:v>
      </x:c>
      <x:c r="C552" s="66" t="str">
        <x:v>UNIVERSITAS NEGERI PADANG</x:v>
      </x:c>
      <x:c r="D552" s="66" t="str">
        <x:v>PTN Akademik</x:v>
      </x:c>
      <x:c r="E552" s="66" t="str">
        <x:v>11421030</x:v>
      </x:c>
      <x:c r="F552" s="66" t="str">
        <x:v>PGSD (PENDIDIKAN GURU SEKOLAH DASAR)</x:v>
      </x:c>
      <x:c r="G552" s="66" t="str">
        <x:v>Sarjana</x:v>
      </x:c>
      <x:c r="H552" s="87" t="n">
        <x:v>92</x:v>
      </x:c>
      <x:c r="I552" s="87" t="n">
        <x:v>2099</x:v>
      </x:c>
      <x:c r="J552" s="68" t="n">
        <x:f>IFERROR(H552/I552,"")</x:f>
        <x:v>0.04383039542639352</x:v>
      </x:c>
      <x:c r="K552" s="69" t="n">
        <x:f>IFERROR(I552/H552,"")</x:f>
        <x:v>22.815217391304348</x:v>
      </x:c>
      <x:c r="L552" s="66" t="str">
        <x:f>IF(K552="","","1 : "&amp;TEXT(K552,"0.0"))</x:f>
        <x:v>1 : 22.8</x:v>
      </x:c>
      <x:c r="M552" s="66" t="str">
        <x:f>IF(J552="","Baru/Tanpa Data",IF(J552&lt;='Catatan &amp; Sumber'!$B$14,"Sangat Ketat",IF(J552&lt;='Catatan &amp; Sumber'!$B$15,"Ketat",IF(J552&lt;='Catatan &amp; Sumber'!$B$16,"Sedang","Relatif Longgar"))))</x:f>
        <x:v>Ketat</x:v>
      </x:c>
      <x:c r="N552" s="66" t="str">
        <x:v>Tidak Ada</x:v>
      </x:c>
      <x:c r="O552" s="66" t="str">
        <x:v>Sumatera Barat</x:v>
      </x:c>
      <x:c r="P552" s="66" t="str">
        <x:v>Kota Padang</x:v>
      </x:c>
      <x:c r="Q552" s="66" t="str">
        <x:v>https://snpmb.id/snbp/daya-tampung-snbp</x:v>
      </x:c>
      <x:c r="R552" s="66" t="str">
        <x:v>https://sidatagrun-public-1076756628210.asia-southeast2.run.app/ptn_sn.php?ptn=142</x:v>
      </x:c>
    </x:row>
    <x:row r="553">
      <x:c r="A553" s="87" t="n">
        <x:v>2000</x:v>
      </x:c>
      <x:c r="B553" s="87" t="n">
        <x:v>142</x:v>
      </x:c>
      <x:c r="C553" s="66" t="str">
        <x:v>UNIVERSITAS NEGERI PADANG</x:v>
      </x:c>
      <x:c r="D553" s="66" t="str">
        <x:v>PTN Akademik</x:v>
      </x:c>
      <x:c r="E553" s="66" t="str">
        <x:v>11421031</x:v>
      </x:c>
      <x:c r="F553" s="66" t="str">
        <x:v>PEND. GURU PENDIDIKAN ANAK USIA DINI</x:v>
      </x:c>
      <x:c r="G553" s="66" t="str">
        <x:v>Sarjana</x:v>
      </x:c>
      <x:c r="H553" s="87" t="n">
        <x:v>57</x:v>
      </x:c>
      <x:c r="I553" s="87" t="n">
        <x:v>375</x:v>
      </x:c>
      <x:c r="J553" s="68" t="n">
        <x:f>IFERROR(H553/I553,"")</x:f>
        <x:v>0.152</x:v>
      </x:c>
      <x:c r="K553" s="69" t="n">
        <x:f>IFERROR(I553/H553,"")</x:f>
        <x:v>6.578947368421052</x:v>
      </x:c>
      <x:c r="L553" s="66" t="str">
        <x:f>IF(K553="","","1 : "&amp;TEXT(K553,"0.0"))</x:f>
        <x:v>1 : 6.6</x:v>
      </x:c>
      <x:c r="M553" s="66" t="str">
        <x:f>IF(J553="","Baru/Tanpa Data",IF(J553&lt;='Catatan &amp; Sumber'!$B$14,"Sangat Ketat",IF(J553&lt;='Catatan &amp; Sumber'!$B$15,"Ketat",IF(J553&lt;='Catatan &amp; Sumber'!$B$16,"Sedang","Relatif Longgar"))))</x:f>
        <x:v>Relatif Longgar</x:v>
      </x:c>
      <x:c r="N553" s="66" t="str">
        <x:v>Tidak Ada</x:v>
      </x:c>
      <x:c r="O553" s="66" t="str">
        <x:v>Sumatera Barat</x:v>
      </x:c>
      <x:c r="P553" s="66" t="str">
        <x:v>Kota Padang</x:v>
      </x:c>
      <x:c r="Q553" s="66" t="str">
        <x:v>https://snpmb.id/snbp/daya-tampung-snbp</x:v>
      </x:c>
      <x:c r="R553" s="66" t="str">
        <x:v>https://sidatagrun-public-1076756628210.asia-southeast2.run.app/ptn_sn.php?ptn=142</x:v>
      </x:c>
    </x:row>
    <x:row r="554">
      <x:c r="A554" s="87" t="n">
        <x:v>1163</x:v>
      </x:c>
      <x:c r="B554" s="87" t="n">
        <x:v>142</x:v>
      </x:c>
      <x:c r="C554" s="66" t="str">
        <x:v>UNIVERSITAS NEGERI PADANG</x:v>
      </x:c>
      <x:c r="D554" s="66" t="str">
        <x:v>PTN Akademik</x:v>
      </x:c>
      <x:c r="E554" s="66" t="str">
        <x:v>11421032</x:v>
      </x:c>
      <x:c r="F554" s="66" t="str">
        <x:v>PENDIDIKAN BAHASA DAN SASTRA INDONESIA</x:v>
      </x:c>
      <x:c r="G554" s="66" t="str">
        <x:v>Sarjana</x:v>
      </x:c>
      <x:c r="H554" s="87" t="n">
        <x:v>65</x:v>
      </x:c>
      <x:c r="I554" s="87" t="n">
        <x:v>742</x:v>
      </x:c>
      <x:c r="J554" s="68" t="n">
        <x:f>IFERROR(H554/I554,"")</x:f>
        <x:v>0.0876010781671159</x:v>
      </x:c>
      <x:c r="K554" s="69" t="n">
        <x:f>IFERROR(I554/H554,"")</x:f>
        <x:v>11.415384615384616</x:v>
      </x:c>
      <x:c r="L554" s="66" t="str">
        <x:f>IF(K554="","","1 : "&amp;TEXT(K554,"0.0"))</x:f>
        <x:v>1 : 11.4</x:v>
      </x:c>
      <x:c r="M554" s="66" t="str">
        <x:f>IF(J554="","Baru/Tanpa Data",IF(J554&lt;='Catatan &amp; Sumber'!$B$14,"Sangat Ketat",IF(J554&lt;='Catatan &amp; Sumber'!$B$15,"Ketat",IF(J554&lt;='Catatan &amp; Sumber'!$B$16,"Sedang","Relatif Longgar"))))</x:f>
        <x:v>Sedang</x:v>
      </x:c>
      <x:c r="N554" s="66" t="str">
        <x:v>Tidak Ada</x:v>
      </x:c>
      <x:c r="O554" s="66" t="str">
        <x:v>Sumatera Barat</x:v>
      </x:c>
      <x:c r="P554" s="66" t="str">
        <x:v>Kota Padang</x:v>
      </x:c>
      <x:c r="Q554" s="66" t="str">
        <x:v>https://snpmb.id/snbp/daya-tampung-snbp</x:v>
      </x:c>
      <x:c r="R554" s="66" t="str">
        <x:v>https://sidatagrun-public-1076756628210.asia-southeast2.run.app/ptn_sn.php?ptn=142</x:v>
      </x:c>
    </x:row>
    <x:row r="555">
      <x:c r="A555" s="87" t="n">
        <x:v>3116</x:v>
      </x:c>
      <x:c r="B555" s="87" t="n">
        <x:v>142</x:v>
      </x:c>
      <x:c r="C555" s="66" t="str">
        <x:v>UNIVERSITAS NEGERI PADANG</x:v>
      </x:c>
      <x:c r="D555" s="66" t="str">
        <x:v>PTN Akademik</x:v>
      </x:c>
      <x:c r="E555" s="66" t="str">
        <x:v>11421033</x:v>
      </x:c>
      <x:c r="F555" s="66" t="str">
        <x:v>SASTRA INDONESIA</x:v>
      </x:c>
      <x:c r="G555" s="66" t="str">
        <x:v>Sarjana</x:v>
      </x:c>
      <x:c r="H555" s="87" t="n">
        <x:v>36</x:v>
      </x:c>
      <x:c r="I555" s="87" t="n">
        <x:v>113</x:v>
      </x:c>
      <x:c r="J555" s="68" t="n">
        <x:f>IFERROR(H555/I555,"")</x:f>
        <x:v>0.3185840707964602</x:v>
      </x:c>
      <x:c r="K555" s="69" t="n">
        <x:f>IFERROR(I555/H555,"")</x:f>
        <x:v>3.138888888888889</x:v>
      </x:c>
      <x:c r="L555" s="66" t="str">
        <x:f>IF(K555="","","1 : "&amp;TEXT(K555,"0.0"))</x:f>
        <x:v>1 : 3.1</x:v>
      </x:c>
      <x:c r="M555" s="66" t="str">
        <x:f>IF(J555="","Baru/Tanpa Data",IF(J555&lt;='Catatan &amp; Sumber'!$B$14,"Sangat Ketat",IF(J555&lt;='Catatan &amp; Sumber'!$B$15,"Ketat",IF(J555&lt;='Catatan &amp; Sumber'!$B$16,"Sedang","Relatif Longgar"))))</x:f>
        <x:v>Relatif Longgar</x:v>
      </x:c>
      <x:c r="N555" s="66" t="str">
        <x:v>Tidak Ada</x:v>
      </x:c>
      <x:c r="O555" s="66" t="str">
        <x:v>Sumatera Barat</x:v>
      </x:c>
      <x:c r="P555" s="66" t="str">
        <x:v>Kota Padang</x:v>
      </x:c>
      <x:c r="Q555" s="66" t="str">
        <x:v>https://snpmb.id/snbp/daya-tampung-snbp</x:v>
      </x:c>
      <x:c r="R555" s="66" t="str">
        <x:v>https://sidatagrun-public-1076756628210.asia-southeast2.run.app/ptn_sn.php?ptn=142</x:v>
      </x:c>
    </x:row>
    <x:row r="556">
      <x:c r="A556" s="87" t="n">
        <x:v>1323</x:v>
      </x:c>
      <x:c r="B556" s="87" t="n">
        <x:v>142</x:v>
      </x:c>
      <x:c r="C556" s="66" t="str">
        <x:v>UNIVERSITAS NEGERI PADANG</x:v>
      </x:c>
      <x:c r="D556" s="66" t="str">
        <x:v>PTN Akademik</x:v>
      </x:c>
      <x:c r="E556" s="66" t="str">
        <x:v>11421034</x:v>
      </x:c>
      <x:c r="F556" s="66" t="str">
        <x:v>PENDD. BHS INGGRIS</x:v>
      </x:c>
      <x:c r="G556" s="66" t="str">
        <x:v>Sarjana</x:v>
      </x:c>
      <x:c r="H556" s="87" t="n">
        <x:v>50</x:v>
      </x:c>
      <x:c r="I556" s="87" t="n">
        <x:v>517</x:v>
      </x:c>
      <x:c r="J556" s="68" t="n">
        <x:f>IFERROR(H556/I556,"")</x:f>
        <x:v>0.09671179883945841</x:v>
      </x:c>
      <x:c r="K556" s="69" t="n">
        <x:f>IFERROR(I556/H556,"")</x:f>
        <x:v>10.34</x:v>
      </x:c>
      <x:c r="L556" s="66" t="str">
        <x:f>IF(K556="","","1 : "&amp;TEXT(K556,"0.0"))</x:f>
        <x:v>1 : 10.3</x:v>
      </x:c>
      <x:c r="M556" s="66" t="str">
        <x:f>IF(J556="","Baru/Tanpa Data",IF(J556&lt;='Catatan &amp; Sumber'!$B$14,"Sangat Ketat",IF(J556&lt;='Catatan &amp; Sumber'!$B$15,"Ketat",IF(J556&lt;='Catatan &amp; Sumber'!$B$16,"Sedang","Relatif Longgar"))))</x:f>
        <x:v>Sedang</x:v>
      </x:c>
      <x:c r="N556" s="66" t="str">
        <x:v>Tidak Ada</x:v>
      </x:c>
      <x:c r="O556" s="66" t="str">
        <x:v>Sumatera Barat</x:v>
      </x:c>
      <x:c r="P556" s="66" t="str">
        <x:v>Kota Padang</x:v>
      </x:c>
      <x:c r="Q556" s="66" t="str">
        <x:v>https://snpmb.id/snbp/daya-tampung-snbp</x:v>
      </x:c>
      <x:c r="R556" s="66" t="str">
        <x:v>https://sidatagrun-public-1076756628210.asia-southeast2.run.app/ptn_sn.php?ptn=142</x:v>
      </x:c>
    </x:row>
    <x:row r="557">
      <x:c r="A557" s="87" t="n">
        <x:v>2106</x:v>
      </x:c>
      <x:c r="B557" s="87" t="n">
        <x:v>142</x:v>
      </x:c>
      <x:c r="C557" s="66" t="str">
        <x:v>UNIVERSITAS NEGERI PADANG</x:v>
      </x:c>
      <x:c r="D557" s="66" t="str">
        <x:v>PTN Akademik</x:v>
      </x:c>
      <x:c r="E557" s="66" t="str">
        <x:v>11421035</x:v>
      </x:c>
      <x:c r="F557" s="66" t="str">
        <x:v>SASTRA INGGRIS</x:v>
      </x:c>
      <x:c r="G557" s="66" t="str">
        <x:v>Sarjana</x:v>
      </x:c>
      <x:c r="H557" s="87" t="n">
        <x:v>36</x:v>
      </x:c>
      <x:c r="I557" s="87" t="n">
        <x:v>222</x:v>
      </x:c>
      <x:c r="J557" s="68" t="n">
        <x:f>IFERROR(H557/I557,"")</x:f>
        <x:v>0.16216216216216217</x:v>
      </x:c>
      <x:c r="K557" s="69" t="n">
        <x:f>IFERROR(I557/H557,"")</x:f>
        <x:v>6.166666666666667</x:v>
      </x:c>
      <x:c r="L557" s="66" t="str">
        <x:f>IF(K557="","","1 : "&amp;TEXT(K557,"0.0"))</x:f>
        <x:v>1 : 6.2</x:v>
      </x:c>
      <x:c r="M557" s="66" t="str">
        <x:f>IF(J557="","Baru/Tanpa Data",IF(J557&lt;='Catatan &amp; Sumber'!$B$14,"Sangat Ketat",IF(J557&lt;='Catatan &amp; Sumber'!$B$15,"Ketat",IF(J557&lt;='Catatan &amp; Sumber'!$B$16,"Sedang","Relatif Longgar"))))</x:f>
        <x:v>Relatif Longgar</x:v>
      </x:c>
      <x:c r="N557" s="66" t="str">
        <x:v>Tidak Ada</x:v>
      </x:c>
      <x:c r="O557" s="66" t="str">
        <x:v>Sumatera Barat</x:v>
      </x:c>
      <x:c r="P557" s="66" t="str">
        <x:v>Kota Padang</x:v>
      </x:c>
      <x:c r="Q557" s="66" t="str">
        <x:v>https://snpmb.id/snbp/daya-tampung-snbp</x:v>
      </x:c>
      <x:c r="R557" s="66" t="str">
        <x:v>https://sidatagrun-public-1076756628210.asia-southeast2.run.app/ptn_sn.php?ptn=142</x:v>
      </x:c>
    </x:row>
    <x:row r="558">
      <x:c r="A558" s="87" t="n">
        <x:v>4055</x:v>
      </x:c>
      <x:c r="B558" s="87" t="n">
        <x:v>142</x:v>
      </x:c>
      <x:c r="C558" s="66" t="str">
        <x:v>UNIVERSITAS NEGERI PADANG</x:v>
      </x:c>
      <x:c r="D558" s="66" t="str">
        <x:v>PTN Akademik</x:v>
      </x:c>
      <x:c r="E558" s="66" t="str">
        <x:v>11421036</x:v>
      </x:c>
      <x:c r="F558" s="66" t="str">
        <x:v>PENDIDIKAN SENI RUPA</x:v>
      </x:c>
      <x:c r="G558" s="66" t="str">
        <x:v>Sarjana</x:v>
      </x:c>
      <x:c r="H558" s="87" t="n">
        <x:v>39</x:v>
      </x:c>
      <x:c r="I558" s="87" t="n">
        <x:v>54</x:v>
      </x:c>
      <x:c r="J558" s="68" t="n">
        <x:f>IFERROR(H558/I558,"")</x:f>
        <x:v>0.7222222222222222</x:v>
      </x:c>
      <x:c r="K558" s="69" t="n">
        <x:f>IFERROR(I558/H558,"")</x:f>
        <x:v>1.3846153846153846</x:v>
      </x:c>
      <x:c r="L558" s="66" t="str">
        <x:f>IF(K558="","","1 : "&amp;TEXT(K558,"0.0"))</x:f>
        <x:v>1 : 1.4</x:v>
      </x:c>
      <x:c r="M558" s="66" t="str">
        <x:f>IF(J558="","Baru/Tanpa Data",IF(J558&lt;='Catatan &amp; Sumber'!$B$14,"Sangat Ketat",IF(J558&lt;='Catatan &amp; Sumber'!$B$15,"Ketat",IF(J558&lt;='Catatan &amp; Sumber'!$B$16,"Sedang","Relatif Longgar"))))</x:f>
        <x:v>Relatif Longgar</x:v>
      </x:c>
      <x:c r="N558" s="66" t="str">
        <x:v>Seni Rupa, Desain, dan Kriya</x:v>
      </x:c>
      <x:c r="O558" s="66" t="str">
        <x:v>Sumatera Barat</x:v>
      </x:c>
      <x:c r="P558" s="66" t="str">
        <x:v>Kota Padang</x:v>
      </x:c>
      <x:c r="Q558" s="66" t="str">
        <x:v>https://snpmb.id/snbp/daya-tampung-snbp</x:v>
      </x:c>
      <x:c r="R558" s="66" t="str">
        <x:v>https://sidatagrun-public-1076756628210.asia-southeast2.run.app/ptn_sn.php?ptn=142</x:v>
      </x:c>
    </x:row>
    <x:row r="559">
      <x:c r="A559" s="87" t="n">
        <x:v>3194</x:v>
      </x:c>
      <x:c r="B559" s="87" t="n">
        <x:v>142</x:v>
      </x:c>
      <x:c r="C559" s="66" t="str">
        <x:v>UNIVERSITAS NEGERI PADANG</x:v>
      </x:c>
      <x:c r="D559" s="66" t="str">
        <x:v>PTN Akademik</x:v>
      </x:c>
      <x:c r="E559" s="66" t="str">
        <x:v>11421037</x:v>
      </x:c>
      <x:c r="F559" s="66" t="str">
        <x:v>PENDIDIKAN SENDRATASIK</x:v>
      </x:c>
      <x:c r="G559" s="66" t="str">
        <x:v>Sarjana</x:v>
      </x:c>
      <x:c r="H559" s="87" t="n">
        <x:v>45</x:v>
      </x:c>
      <x:c r="I559" s="87" t="n">
        <x:v>132</x:v>
      </x:c>
      <x:c r="J559" s="68" t="n">
        <x:f>IFERROR(H559/I559,"")</x:f>
        <x:v>0.3409090909090909</x:v>
      </x:c>
      <x:c r="K559" s="69" t="n">
        <x:f>IFERROR(I559/H559,"")</x:f>
        <x:v>2.933333333333333</x:v>
      </x:c>
      <x:c r="L559" s="66" t="str">
        <x:f>IF(K559="","","1 : "&amp;TEXT(K559,"0.0"))</x:f>
        <x:v>1 : 2.9</x:v>
      </x:c>
      <x:c r="M559" s="66" t="str">
        <x:f>IF(J559="","Baru/Tanpa Data",IF(J559&lt;='Catatan &amp; Sumber'!$B$14,"Sangat Ketat",IF(J559&lt;='Catatan &amp; Sumber'!$B$15,"Ketat",IF(J559&lt;='Catatan &amp; Sumber'!$B$16,"Sedang","Relatif Longgar"))))</x:f>
        <x:v>Relatif Longgar</x:v>
      </x:c>
      <x:c r="N559" s="66" t="str">
        <x:v>Sendratasik</x:v>
      </x:c>
      <x:c r="O559" s="66" t="str">
        <x:v>Sumatera Barat</x:v>
      </x:c>
      <x:c r="P559" s="66" t="str">
        <x:v>Kota Padang</x:v>
      </x:c>
      <x:c r="Q559" s="66" t="str">
        <x:v>https://snpmb.id/snbp/daya-tampung-snbp</x:v>
      </x:c>
      <x:c r="R559" s="66" t="str">
        <x:v>https://sidatagrun-public-1076756628210.asia-southeast2.run.app/ptn_sn.php?ptn=142</x:v>
      </x:c>
    </x:row>
    <x:row r="560">
      <x:c r="A560" s="87" t="n">
        <x:v>1708</x:v>
      </x:c>
      <x:c r="B560" s="87" t="n">
        <x:v>142</x:v>
      </x:c>
      <x:c r="C560" s="66" t="str">
        <x:v>UNIVERSITAS NEGERI PADANG</x:v>
      </x:c>
      <x:c r="D560" s="66" t="str">
        <x:v>PTN Akademik</x:v>
      </x:c>
      <x:c r="E560" s="66" t="str">
        <x:v>11421038</x:v>
      </x:c>
      <x:c r="F560" s="66" t="str">
        <x:v>PENDIDIKAN GEOGRAFI</x:v>
      </x:c>
      <x:c r="G560" s="66" t="str">
        <x:v>Sarjana</x:v>
      </x:c>
      <x:c r="H560" s="87" t="n">
        <x:v>36</x:v>
      </x:c>
      <x:c r="I560" s="87" t="n">
        <x:v>288</x:v>
      </x:c>
      <x:c r="J560" s="68" t="n">
        <x:f>IFERROR(H560/I560,"")</x:f>
        <x:v>0.125</x:v>
      </x:c>
      <x:c r="K560" s="69" t="n">
        <x:f>IFERROR(I560/H560,"")</x:f>
        <x:v>8</x:v>
      </x:c>
      <x:c r="L560" s="66" t="str">
        <x:f>IF(K560="","","1 : "&amp;TEXT(K560,"0.0"))</x:f>
        <x:v>1 : 8.0</x:v>
      </x:c>
      <x:c r="M560" s="66" t="str">
        <x:f>IF(J560="","Baru/Tanpa Data",IF(J560&lt;='Catatan &amp; Sumber'!$B$14,"Sangat Ketat",IF(J560&lt;='Catatan &amp; Sumber'!$B$15,"Ketat",IF(J560&lt;='Catatan &amp; Sumber'!$B$16,"Sedang","Relatif Longgar"))))</x:f>
        <x:v>Relatif Longgar</x:v>
      </x:c>
      <x:c r="N560" s="66" t="str">
        <x:v>Tidak Ada</x:v>
      </x:c>
      <x:c r="O560" s="66" t="str">
        <x:v>Sumatera Barat</x:v>
      </x:c>
      <x:c r="P560" s="66" t="str">
        <x:v>Kota Padang</x:v>
      </x:c>
      <x:c r="Q560" s="66" t="str">
        <x:v>https://snpmb.id/snbp/daya-tampung-snbp</x:v>
      </x:c>
      <x:c r="R560" s="66" t="str">
        <x:v>https://sidatagrun-public-1076756628210.asia-southeast2.run.app/ptn_sn.php?ptn=142</x:v>
      </x:c>
    </x:row>
    <x:row r="561">
      <x:c r="A561" s="87" t="n">
        <x:v>1949</x:v>
      </x:c>
      <x:c r="B561" s="87" t="n">
        <x:v>142</x:v>
      </x:c>
      <x:c r="C561" s="66" t="str">
        <x:v>UNIVERSITAS NEGERI PADANG</x:v>
      </x:c>
      <x:c r="D561" s="66" t="str">
        <x:v>PTN Akademik</x:v>
      </x:c>
      <x:c r="E561" s="66" t="str">
        <x:v>11421039</x:v>
      </x:c>
      <x:c r="F561" s="66" t="str">
        <x:v>PENDIDIKAN SEJARAH</x:v>
      </x:c>
      <x:c r="G561" s="66" t="str">
        <x:v>Sarjana</x:v>
      </x:c>
      <x:c r="H561" s="87" t="n">
        <x:v>42</x:v>
      </x:c>
      <x:c r="I561" s="87" t="n">
        <x:v>287</x:v>
      </x:c>
      <x:c r="J561" s="68" t="n">
        <x:f>IFERROR(H561/I561,"")</x:f>
        <x:v>0.14634146341463414</x:v>
      </x:c>
      <x:c r="K561" s="69" t="n">
        <x:f>IFERROR(I561/H561,"")</x:f>
        <x:v>6.833333333333333</x:v>
      </x:c>
      <x:c r="L561" s="66" t="str">
        <x:f>IF(K561="","","1 : "&amp;TEXT(K561,"0.0"))</x:f>
        <x:v>1 : 6.8</x:v>
      </x:c>
      <x:c r="M561" s="66" t="str">
        <x:f>IF(J561="","Baru/Tanpa Data",IF(J561&lt;='Catatan &amp; Sumber'!$B$14,"Sangat Ketat",IF(J561&lt;='Catatan &amp; Sumber'!$B$15,"Ketat",IF(J561&lt;='Catatan &amp; Sumber'!$B$16,"Sedang","Relatif Longgar"))))</x:f>
        <x:v>Relatif Longgar</x:v>
      </x:c>
      <x:c r="N561" s="66" t="str">
        <x:v>Tidak Ada</x:v>
      </x:c>
      <x:c r="O561" s="66" t="str">
        <x:v>Sumatera Barat</x:v>
      </x:c>
      <x:c r="P561" s="66" t="str">
        <x:v>Kota Padang</x:v>
      </x:c>
      <x:c r="Q561" s="66" t="str">
        <x:v>https://snpmb.id/snbp/daya-tampung-snbp</x:v>
      </x:c>
      <x:c r="R561" s="66" t="str">
        <x:v>https://sidatagrun-public-1076756628210.asia-southeast2.run.app/ptn_sn.php?ptn=142</x:v>
      </x:c>
    </x:row>
    <x:row r="562">
      <x:c r="A562" s="87" t="n">
        <x:v>1683</x:v>
      </x:c>
      <x:c r="B562" s="87" t="n">
        <x:v>142</x:v>
      </x:c>
      <x:c r="C562" s="66" t="str">
        <x:v>UNIVERSITAS NEGERI PADANG</x:v>
      </x:c>
      <x:c r="D562" s="66" t="str">
        <x:v>PTN Akademik</x:v>
      </x:c>
      <x:c r="E562" s="66" t="str">
        <x:v>11421040</x:v>
      </x:c>
      <x:c r="F562" s="66" t="str">
        <x:v>PENDIDIKAN SOSIOLOGI</x:v>
      </x:c>
      <x:c r="G562" s="66" t="str">
        <x:v>Sarjana</x:v>
      </x:c>
      <x:c r="H562" s="87" t="n">
        <x:v>60</x:v>
      </x:c>
      <x:c r="I562" s="87" t="n">
        <x:v>489</x:v>
      </x:c>
      <x:c r="J562" s="68" t="n">
        <x:f>IFERROR(H562/I562,"")</x:f>
        <x:v>0.12269938650306748</x:v>
      </x:c>
      <x:c r="K562" s="69" t="n">
        <x:f>IFERROR(I562/H562,"")</x:f>
        <x:v>8.15</x:v>
      </x:c>
      <x:c r="L562" s="66" t="str">
        <x:f>IF(K562="","","1 : "&amp;TEXT(K562,"0.0"))</x:f>
        <x:v>1 : 8.2</x:v>
      </x:c>
      <x:c r="M562" s="66" t="str">
        <x:f>IF(J562="","Baru/Tanpa Data",IF(J562&lt;='Catatan &amp; Sumber'!$B$14,"Sangat Ketat",IF(J562&lt;='Catatan &amp; Sumber'!$B$15,"Ketat",IF(J562&lt;='Catatan &amp; Sumber'!$B$16,"Sedang","Relatif Longgar"))))</x:f>
        <x:v>Relatif Longgar</x:v>
      </x:c>
      <x:c r="N562" s="66" t="str">
        <x:v>Tidak Ada</x:v>
      </x:c>
      <x:c r="O562" s="66" t="str">
        <x:v>Sumatera Barat</x:v>
      </x:c>
      <x:c r="P562" s="66" t="str">
        <x:v>Kota Padang</x:v>
      </x:c>
      <x:c r="Q562" s="66" t="str">
        <x:v>https://snpmb.id/snbp/daya-tampung-snbp</x:v>
      </x:c>
      <x:c r="R562" s="66" t="str">
        <x:v>https://sidatagrun-public-1076756628210.asia-southeast2.run.app/ptn_sn.php?ptn=142</x:v>
      </x:c>
    </x:row>
    <x:row r="563">
      <x:c r="A563" s="87" t="n">
        <x:v>1150</x:v>
      </x:c>
      <x:c r="B563" s="87" t="n">
        <x:v>142</x:v>
      </x:c>
      <x:c r="C563" s="66" t="str">
        <x:v>UNIVERSITAS NEGERI PADANG</x:v>
      </x:c>
      <x:c r="D563" s="66" t="str">
        <x:v>PTN Akademik</x:v>
      </x:c>
      <x:c r="E563" s="66" t="str">
        <x:v>11421041</x:v>
      </x:c>
      <x:c r="F563" s="66" t="str">
        <x:v>PEND. PANCASILA &amp; KEWARGANEGARAAN (PPKN)</x:v>
      </x:c>
      <x:c r="G563" s="66" t="str">
        <x:v>Sarjana</x:v>
      </x:c>
      <x:c r="H563" s="87" t="n">
        <x:v>42</x:v>
      </x:c>
      <x:c r="I563" s="87" t="n">
        <x:v>483</x:v>
      </x:c>
      <x:c r="J563" s="68" t="n">
        <x:f>IFERROR(H563/I563,"")</x:f>
        <x:v>0.08695652173913043</x:v>
      </x:c>
      <x:c r="K563" s="69" t="n">
        <x:f>IFERROR(I563/H563,"")</x:f>
        <x:v>11.5</x:v>
      </x:c>
      <x:c r="L563" s="66" t="str">
        <x:f>IF(K563="","","1 : "&amp;TEXT(K563,"0.0"))</x:f>
        <x:v>1 : 11.5</x:v>
      </x:c>
      <x:c r="M563" s="66" t="str">
        <x:f>IF(J563="","Baru/Tanpa Data",IF(J563&lt;='Catatan &amp; Sumber'!$B$14,"Sangat Ketat",IF(J563&lt;='Catatan &amp; Sumber'!$B$15,"Ketat",IF(J563&lt;='Catatan &amp; Sumber'!$B$16,"Sedang","Relatif Longgar"))))</x:f>
        <x:v>Sedang</x:v>
      </x:c>
      <x:c r="N563" s="66" t="str">
        <x:v>Tidak Ada</x:v>
      </x:c>
      <x:c r="O563" s="66" t="str">
        <x:v>Sumatera Barat</x:v>
      </x:c>
      <x:c r="P563" s="66" t="str">
        <x:v>Kota Padang</x:v>
      </x:c>
      <x:c r="Q563" s="66" t="str">
        <x:v>https://snpmb.id/snbp/daya-tampung-snbp</x:v>
      </x:c>
      <x:c r="R563" s="66" t="str">
        <x:v>https://sidatagrun-public-1076756628210.asia-southeast2.run.app/ptn_sn.php?ptn=142</x:v>
      </x:c>
    </x:row>
    <x:row r="564">
      <x:c r="A564" s="87" t="n">
        <x:v>784</x:v>
      </x:c>
      <x:c r="B564" s="87" t="n">
        <x:v>142</x:v>
      </x:c>
      <x:c r="C564" s="66" t="str">
        <x:v>UNIVERSITAS NEGERI PADANG</x:v>
      </x:c>
      <x:c r="D564" s="66" t="str">
        <x:v>PTN Akademik</x:v>
      </x:c>
      <x:c r="E564" s="66" t="str">
        <x:v>11421042</x:v>
      </x:c>
      <x:c r="F564" s="66" t="str">
        <x:v>ILMU ADMINISTRASI NEGARA (NK)</x:v>
      </x:c>
      <x:c r="G564" s="66" t="str">
        <x:v>Sarjana</x:v>
      </x:c>
      <x:c r="H564" s="87" t="n">
        <x:v>50</x:v>
      </x:c>
      <x:c r="I564" s="87" t="n">
        <x:v>758</x:v>
      </x:c>
      <x:c r="J564" s="68" t="n">
        <x:f>IFERROR(H564/I564,"")</x:f>
        <x:v>0.06596306068601583</x:v>
      </x:c>
      <x:c r="K564" s="69" t="n">
        <x:f>IFERROR(I564/H564,"")</x:f>
        <x:v>15.16</x:v>
      </x:c>
      <x:c r="L564" s="66" t="str">
        <x:f>IF(K564="","","1 : "&amp;TEXT(K564,"0.0"))</x:f>
        <x:v>1 : 15.2</x:v>
      </x:c>
      <x:c r="M564" s="66" t="str">
        <x:f>IF(J564="","Baru/Tanpa Data",IF(J564&lt;='Catatan &amp; Sumber'!$B$14,"Sangat Ketat",IF(J564&lt;='Catatan &amp; Sumber'!$B$15,"Ketat",IF(J564&lt;='Catatan &amp; Sumber'!$B$16,"Sedang","Relatif Longgar"))))</x:f>
        <x:v>Sedang</x:v>
      </x:c>
      <x:c r="N564" s="66" t="str">
        <x:v>Tidak Ada</x:v>
      </x:c>
      <x:c r="O564" s="66" t="str">
        <x:v>Sumatera Barat</x:v>
      </x:c>
      <x:c r="P564" s="66" t="str">
        <x:v>Kota Padang</x:v>
      </x:c>
      <x:c r="Q564" s="66" t="str">
        <x:v>https://snpmb.id/snbp/daya-tampung-snbp</x:v>
      </x:c>
      <x:c r="R564" s="66" t="str">
        <x:v>https://sidatagrun-public-1076756628210.asia-southeast2.run.app/ptn_sn.php?ptn=142</x:v>
      </x:c>
    </x:row>
    <x:row r="565">
      <x:c r="A565" s="87" t="n">
        <x:v>1913</x:v>
      </x:c>
      <x:c r="B565" s="87" t="n">
        <x:v>142</x:v>
      </x:c>
      <x:c r="C565" s="66" t="str">
        <x:v>UNIVERSITAS NEGERI PADANG</x:v>
      </x:c>
      <x:c r="D565" s="66" t="str">
        <x:v>PTN Akademik</x:v>
      </x:c>
      <x:c r="E565" s="66" t="str">
        <x:v>11421043</x:v>
      </x:c>
      <x:c r="F565" s="66" t="str">
        <x:v>PENDIDIKAN EKONOMI</x:v>
      </x:c>
      <x:c r="G565" s="66" t="str">
        <x:v>Sarjana</x:v>
      </x:c>
      <x:c r="H565" s="87" t="n">
        <x:v>54</x:v>
      </x:c>
      <x:c r="I565" s="87" t="n">
        <x:v>380</x:v>
      </x:c>
      <x:c r="J565" s="68" t="n">
        <x:f>IFERROR(H565/I565,"")</x:f>
        <x:v>0.14210526315789473</x:v>
      </x:c>
      <x:c r="K565" s="69" t="n">
        <x:f>IFERROR(I565/H565,"")</x:f>
        <x:v>7.037037037037037</x:v>
      </x:c>
      <x:c r="L565" s="66" t="str">
        <x:f>IF(K565="","","1 : "&amp;TEXT(K565,"0.0"))</x:f>
        <x:v>1 : 7.0</x:v>
      </x:c>
      <x:c r="M565" s="66" t="str">
        <x:f>IF(J565="","Baru/Tanpa Data",IF(J565&lt;='Catatan &amp; Sumber'!$B$14,"Sangat Ketat",IF(J565&lt;='Catatan &amp; Sumber'!$B$15,"Ketat",IF(J565&lt;='Catatan &amp; Sumber'!$B$16,"Sedang","Relatif Longgar"))))</x:f>
        <x:v>Relatif Longgar</x:v>
      </x:c>
      <x:c r="N565" s="66" t="str">
        <x:v>Tidak Ada</x:v>
      </x:c>
      <x:c r="O565" s="66" t="str">
        <x:v>Sumatera Barat</x:v>
      </x:c>
      <x:c r="P565" s="66" t="str">
        <x:v>Kota Padang</x:v>
      </x:c>
      <x:c r="Q565" s="66" t="str">
        <x:v>https://snpmb.id/snbp/daya-tampung-snbp</x:v>
      </x:c>
      <x:c r="R565" s="66" t="str">
        <x:v>https://sidatagrun-public-1076756628210.asia-southeast2.run.app/ptn_sn.php?ptn=142</x:v>
      </x:c>
    </x:row>
    <x:row r="566">
      <x:c r="A566" s="87" t="n">
        <x:v>256</x:v>
      </x:c>
      <x:c r="B566" s="87" t="n">
        <x:v>142</x:v>
      </x:c>
      <x:c r="C566" s="66" t="str">
        <x:v>UNIVERSITAS NEGERI PADANG</x:v>
      </x:c>
      <x:c r="D566" s="66" t="str">
        <x:v>PTN Akademik</x:v>
      </x:c>
      <x:c r="E566" s="66" t="str">
        <x:v>11421044</x:v>
      </x:c>
      <x:c r="F566" s="66" t="str">
        <x:v>MANAJEMEN (NK)</x:v>
      </x:c>
      <x:c r="G566" s="66" t="str">
        <x:v>Sarjana</x:v>
      </x:c>
      <x:c r="H566" s="87" t="n">
        <x:v>40</x:v>
      </x:c>
      <x:c r="I566" s="87" t="n">
        <x:v>1002</x:v>
      </x:c>
      <x:c r="J566" s="68" t="n">
        <x:f>IFERROR(H566/I566,"")</x:f>
        <x:v>0.03992015968063872</x:v>
      </x:c>
      <x:c r="K566" s="69" t="n">
        <x:f>IFERROR(I566/H566,"")</x:f>
        <x:v>25.05</x:v>
      </x:c>
      <x:c r="L566" s="66" t="str">
        <x:f>IF(K566="","","1 : "&amp;TEXT(K566,"0.0"))</x:f>
        <x:v>1 : 25.1</x:v>
      </x:c>
      <x:c r="M566" s="66" t="str">
        <x:f>IF(J566="","Baru/Tanpa Data",IF(J566&lt;='Catatan &amp; Sumber'!$B$14,"Sangat Ketat",IF(J566&lt;='Catatan &amp; Sumber'!$B$15,"Ketat",IF(J566&lt;='Catatan &amp; Sumber'!$B$16,"Sedang","Relatif Longgar"))))</x:f>
        <x:v>Ketat</x:v>
      </x:c>
      <x:c r="N566" s="66" t="str">
        <x:v>Tidak Ada</x:v>
      </x:c>
      <x:c r="O566" s="66" t="str">
        <x:v>Sumatera Barat</x:v>
      </x:c>
      <x:c r="P566" s="66" t="str">
        <x:v>Kota Padang</x:v>
      </x:c>
      <x:c r="Q566" s="66" t="str">
        <x:v>https://snpmb.id/snbp/daya-tampung-snbp</x:v>
      </x:c>
      <x:c r="R566" s="66" t="str">
        <x:v>https://sidatagrun-public-1076756628210.asia-southeast2.run.app/ptn_sn.php?ptn=142</x:v>
      </x:c>
    </x:row>
    <x:row r="567">
      <x:c r="A567" s="87" t="n">
        <x:v>673</x:v>
      </x:c>
      <x:c r="B567" s="87" t="n">
        <x:v>142</x:v>
      </x:c>
      <x:c r="C567" s="66" t="str">
        <x:v>UNIVERSITAS NEGERI PADANG</x:v>
      </x:c>
      <x:c r="D567" s="66" t="str">
        <x:v>PTN Akademik</x:v>
      </x:c>
      <x:c r="E567" s="66" t="str">
        <x:v>11421045</x:v>
      </x:c>
      <x:c r="F567" s="66" t="str">
        <x:v>AKUNTANSI (NK)</x:v>
      </x:c>
      <x:c r="G567" s="66" t="str">
        <x:v>Sarjana</x:v>
      </x:c>
      <x:c r="H567" s="87" t="n">
        <x:v>45</x:v>
      </x:c>
      <x:c r="I567" s="87" t="n">
        <x:v>745</x:v>
      </x:c>
      <x:c r="J567" s="68" t="n">
        <x:f>IFERROR(H567/I567,"")</x:f>
        <x:v>0.06040268456375839</x:v>
      </x:c>
      <x:c r="K567" s="69" t="n">
        <x:f>IFERROR(I567/H567,"")</x:f>
        <x:v>16.555555555555557</x:v>
      </x:c>
      <x:c r="L567" s="66" t="str">
        <x:f>IF(K567="","","1 : "&amp;TEXT(K567,"0.0"))</x:f>
        <x:v>1 : 16.6</x:v>
      </x:c>
      <x:c r="M567" s="66" t="str">
        <x:f>IF(J567="","Baru/Tanpa Data",IF(J567&lt;='Catatan &amp; Sumber'!$B$14,"Sangat Ketat",IF(J567&lt;='Catatan &amp; Sumber'!$B$15,"Ketat",IF(J567&lt;='Catatan &amp; Sumber'!$B$16,"Sedang","Relatif Longgar"))))</x:f>
        <x:v>Sedang</x:v>
      </x:c>
      <x:c r="N567" s="66" t="str">
        <x:v>Tidak Ada</x:v>
      </x:c>
      <x:c r="O567" s="66" t="str">
        <x:v>Sumatera Barat</x:v>
      </x:c>
      <x:c r="P567" s="66" t="str">
        <x:v>Kota Padang</x:v>
      </x:c>
      <x:c r="Q567" s="66" t="str">
        <x:v>https://snpmb.id/snbp/daya-tampung-snbp</x:v>
      </x:c>
      <x:c r="R567" s="66" t="str">
        <x:v>https://sidatagrun-public-1076756628210.asia-southeast2.run.app/ptn_sn.php?ptn=142</x:v>
      </x:c>
    </x:row>
    <x:row r="568">
      <x:c r="A568" s="87" t="n">
        <x:v>1708</x:v>
      </x:c>
      <x:c r="B568" s="87" t="n">
        <x:v>142</x:v>
      </x:c>
      <x:c r="C568" s="66" t="str">
        <x:v>UNIVERSITAS NEGERI PADANG</x:v>
      </x:c>
      <x:c r="D568" s="66" t="str">
        <x:v>PTN Akademik</x:v>
      </x:c>
      <x:c r="E568" s="66" t="str">
        <x:v>11421046</x:v>
      </x:c>
      <x:c r="F568" s="66" t="str">
        <x:v>EKONOMI PEMBANGUNAN (NK)</x:v>
      </x:c>
      <x:c r="G568" s="66" t="str">
        <x:v>Sarjana</x:v>
      </x:c>
      <x:c r="H568" s="87" t="n">
        <x:v>40</x:v>
      </x:c>
      <x:c r="I568" s="87" t="n">
        <x:v>320</x:v>
      </x:c>
      <x:c r="J568" s="68" t="n">
        <x:f>IFERROR(H568/I568,"")</x:f>
        <x:v>0.125</x:v>
      </x:c>
      <x:c r="K568" s="69" t="n">
        <x:f>IFERROR(I568/H568,"")</x:f>
        <x:v>8</x:v>
      </x:c>
      <x:c r="L568" s="66" t="str">
        <x:f>IF(K568="","","1 : "&amp;TEXT(K568,"0.0"))</x:f>
        <x:v>1 : 8.0</x:v>
      </x:c>
      <x:c r="M568" s="66" t="str">
        <x:f>IF(J568="","Baru/Tanpa Data",IF(J568&lt;='Catatan &amp; Sumber'!$B$14,"Sangat Ketat",IF(J568&lt;='Catatan &amp; Sumber'!$B$15,"Ketat",IF(J568&lt;='Catatan &amp; Sumber'!$B$16,"Sedang","Relatif Longgar"))))</x:f>
        <x:v>Relatif Longgar</x:v>
      </x:c>
      <x:c r="N568" s="66" t="str">
        <x:v>Tidak Ada</x:v>
      </x:c>
      <x:c r="O568" s="66" t="str">
        <x:v>Sumatera Barat</x:v>
      </x:c>
      <x:c r="P568" s="66" t="str">
        <x:v>Kota Padang</x:v>
      </x:c>
      <x:c r="Q568" s="66" t="str">
        <x:v>https://snpmb.id/snbp/daya-tampung-snbp</x:v>
      </x:c>
      <x:c r="R568" s="66" t="str">
        <x:v>https://sidatagrun-public-1076756628210.asia-southeast2.run.app/ptn_sn.php?ptn=142</x:v>
      </x:c>
    </x:row>
    <x:row r="569">
      <x:c r="A569" s="87" t="n">
        <x:v>2074</x:v>
      </x:c>
      <x:c r="B569" s="87" t="n">
        <x:v>142</x:v>
      </x:c>
      <x:c r="C569" s="66" t="str">
        <x:v>UNIVERSITAS NEGERI PADANG</x:v>
      </x:c>
      <x:c r="D569" s="66" t="str">
        <x:v>PTN Akademik</x:v>
      </x:c>
      <x:c r="E569" s="66" t="str">
        <x:v>11421047</x:v>
      </x:c>
      <x:c r="F569" s="66" t="str">
        <x:v>PENDD. KESEJAHTERAAN KELUARGA</x:v>
      </x:c>
      <x:c r="G569" s="66" t="str">
        <x:v>Sarjana</x:v>
      </x:c>
      <x:c r="H569" s="87" t="n">
        <x:v>36</x:v>
      </x:c>
      <x:c r="I569" s="87" t="n">
        <x:v>226</x:v>
      </x:c>
      <x:c r="J569" s="68" t="n">
        <x:f>IFERROR(H569/I569,"")</x:f>
        <x:v>0.1592920353982301</x:v>
      </x:c>
      <x:c r="K569" s="69" t="n">
        <x:f>IFERROR(I569/H569,"")</x:f>
        <x:v>6.277777777777778</x:v>
      </x:c>
      <x:c r="L569" s="66" t="str">
        <x:f>IF(K569="","","1 : "&amp;TEXT(K569,"0.0"))</x:f>
        <x:v>1 : 6.3</x:v>
      </x:c>
      <x:c r="M569" s="66" t="str">
        <x:f>IF(J569="","Baru/Tanpa Data",IF(J569&lt;='Catatan &amp; Sumber'!$B$14,"Sangat Ketat",IF(J569&lt;='Catatan &amp; Sumber'!$B$15,"Ketat",IF(J569&lt;='Catatan &amp; Sumber'!$B$16,"Sedang","Relatif Longgar"))))</x:f>
        <x:v>Relatif Longgar</x:v>
      </x:c>
      <x:c r="N569" s="66" t="str">
        <x:v>Tidak Ada</x:v>
      </x:c>
      <x:c r="O569" s="66" t="str">
        <x:v>Sumatera Barat</x:v>
      </x:c>
      <x:c r="P569" s="66" t="str">
        <x:v>Kota Padang</x:v>
      </x:c>
      <x:c r="Q569" s="66" t="str">
        <x:v>https://snpmb.id/snbp/daya-tampung-snbp</x:v>
      </x:c>
      <x:c r="R569" s="66" t="str">
        <x:v>https://sidatagrun-public-1076756628210.asia-southeast2.run.app/ptn_sn.php?ptn=142</x:v>
      </x:c>
    </x:row>
    <x:row r="570">
      <x:c r="A570" s="87" t="n">
        <x:v>2568</x:v>
      </x:c>
      <x:c r="B570" s="87" t="n">
        <x:v>142</x:v>
      </x:c>
      <x:c r="C570" s="66" t="str">
        <x:v>UNIVERSITAS NEGERI PADANG</x:v>
      </x:c>
      <x:c r="D570" s="66" t="str">
        <x:v>PTN Akademik</x:v>
      </x:c>
      <x:c r="E570" s="66" t="str">
        <x:v>11421049</x:v>
      </x:c>
      <x:c r="F570" s="66" t="str">
        <x:v>PENDIDIKAN JASMANI, KESEHATAN, DAN REKREASI</x:v>
      </x:c>
      <x:c r="G570" s="66" t="str">
        <x:v>Sarjana</x:v>
      </x:c>
      <x:c r="H570" s="87" t="n">
        <x:v>120</x:v>
      </x:c>
      <x:c r="I570" s="87" t="n">
        <x:v>537</x:v>
      </x:c>
      <x:c r="J570" s="68" t="n">
        <x:f>IFERROR(H570/I570,"")</x:f>
        <x:v>0.22346368715083798</x:v>
      </x:c>
      <x:c r="K570" s="69" t="n">
        <x:f>IFERROR(I570/H570,"")</x:f>
        <x:v>4.475</x:v>
      </x:c>
      <x:c r="L570" s="66" t="str">
        <x:f>IF(K570="","","1 : "&amp;TEXT(K570,"0.0"))</x:f>
        <x:v>1 : 4.5</x:v>
      </x:c>
      <x:c r="M570" s="66" t="str">
        <x:f>IF(J570="","Baru/Tanpa Data",IF(J570&lt;='Catatan &amp; Sumber'!$B$14,"Sangat Ketat",IF(J570&lt;='Catatan &amp; Sumber'!$B$15,"Ketat",IF(J570&lt;='Catatan &amp; Sumber'!$B$16,"Sedang","Relatif Longgar"))))</x:f>
        <x:v>Relatif Longgar</x:v>
      </x:c>
      <x:c r="N570" s="66" t="str">
        <x:v>Olahraga</x:v>
      </x:c>
      <x:c r="O570" s="66" t="str">
        <x:v>Sumatera Barat</x:v>
      </x:c>
      <x:c r="P570" s="66" t="str">
        <x:v>Kota Padang</x:v>
      </x:c>
      <x:c r="Q570" s="66" t="str">
        <x:v>https://snpmb.id/snbp/daya-tampung-snbp</x:v>
      </x:c>
      <x:c r="R570" s="66" t="str">
        <x:v>https://sidatagrun-public-1076756628210.asia-southeast2.run.app/ptn_sn.php?ptn=142</x:v>
      </x:c>
    </x:row>
    <x:row r="571">
      <x:c r="A571" s="87" t="n">
        <x:v>3228</x:v>
      </x:c>
      <x:c r="B571" s="87" t="n">
        <x:v>142</x:v>
      </x:c>
      <x:c r="C571" s="66" t="str">
        <x:v>UNIVERSITAS NEGERI PADANG</x:v>
      </x:c>
      <x:c r="D571" s="66" t="str">
        <x:v>PTN Akademik</x:v>
      </x:c>
      <x:c r="E571" s="66" t="str">
        <x:v>11421050</x:v>
      </x:c>
      <x:c r="F571" s="66" t="str">
        <x:v>PENDD. KEPELATIHAN OLAHRAGA</x:v>
      </x:c>
      <x:c r="G571" s="66" t="str">
        <x:v>Sarjana</x:v>
      </x:c>
      <x:c r="H571" s="87" t="n">
        <x:v>96</x:v>
      </x:c>
      <x:c r="I571" s="87" t="n">
        <x:v>275</x:v>
      </x:c>
      <x:c r="J571" s="68" t="n">
        <x:f>IFERROR(H571/I571,"")</x:f>
        <x:v>0.3490909090909091</x:v>
      </x:c>
      <x:c r="K571" s="69" t="n">
        <x:f>IFERROR(I571/H571,"")</x:f>
        <x:v>2.8645833333333335</x:v>
      </x:c>
      <x:c r="L571" s="66" t="str">
        <x:f>IF(K571="","","1 : "&amp;TEXT(K571,"0.0"))</x:f>
        <x:v>1 : 2.9</x:v>
      </x:c>
      <x:c r="M571" s="66" t="str">
        <x:f>IF(J571="","Baru/Tanpa Data",IF(J571&lt;='Catatan &amp; Sumber'!$B$14,"Sangat Ketat",IF(J571&lt;='Catatan &amp; Sumber'!$B$15,"Ketat",IF(J571&lt;='Catatan &amp; Sumber'!$B$16,"Sedang","Relatif Longgar"))))</x:f>
        <x:v>Relatif Longgar</x:v>
      </x:c>
      <x:c r="N571" s="66" t="str">
        <x:v>Olahraga</x:v>
      </x:c>
      <x:c r="O571" s="66" t="str">
        <x:v>Sumatera Barat</x:v>
      </x:c>
      <x:c r="P571" s="66" t="str">
        <x:v>Kota Padang</x:v>
      </x:c>
      <x:c r="Q571" s="66" t="str">
        <x:v>https://snpmb.id/snbp/daya-tampung-snbp</x:v>
      </x:c>
      <x:c r="R571" s="66" t="str">
        <x:v>https://sidatagrun-public-1076756628210.asia-southeast2.run.app/ptn_sn.php?ptn=142</x:v>
      </x:c>
    </x:row>
    <x:row r="572">
      <x:c r="A572" s="87" t="n">
        <x:v>2476</x:v>
      </x:c>
      <x:c r="B572" s="87" t="n">
        <x:v>142</x:v>
      </x:c>
      <x:c r="C572" s="66" t="str">
        <x:v>UNIVERSITAS NEGERI PADANG</x:v>
      </x:c>
      <x:c r="D572" s="66" t="str">
        <x:v>PTN Akademik</x:v>
      </x:c>
      <x:c r="E572" s="66" t="str">
        <x:v>11421051</x:v>
      </x:c>
      <x:c r="F572" s="66" t="str">
        <x:v>GEOGRAFI (NK)</x:v>
      </x:c>
      <x:c r="G572" s="66" t="str">
        <x:v>Sarjana</x:v>
      </x:c>
      <x:c r="H572" s="87" t="n">
        <x:v>36</x:v>
      </x:c>
      <x:c r="I572" s="87" t="n">
        <x:v>174</x:v>
      </x:c>
      <x:c r="J572" s="68" t="n">
        <x:f>IFERROR(H572/I572,"")</x:f>
        <x:v>0.20689655172413793</x:v>
      </x:c>
      <x:c r="K572" s="69" t="n">
        <x:f>IFERROR(I572/H572,"")</x:f>
        <x:v>4.833333333333333</x:v>
      </x:c>
      <x:c r="L572" s="66" t="str">
        <x:f>IF(K572="","","1 : "&amp;TEXT(K572,"0.0"))</x:f>
        <x:v>1 : 4.8</x:v>
      </x:c>
      <x:c r="M572" s="66" t="str">
        <x:f>IF(J572="","Baru/Tanpa Data",IF(J572&lt;='Catatan &amp; Sumber'!$B$14,"Sangat Ketat",IF(J572&lt;='Catatan &amp; Sumber'!$B$15,"Ketat",IF(J572&lt;='Catatan &amp; Sumber'!$B$16,"Sedang","Relatif Longgar"))))</x:f>
        <x:v>Relatif Longgar</x:v>
      </x:c>
      <x:c r="N572" s="66" t="str">
        <x:v>Tidak Ada</x:v>
      </x:c>
      <x:c r="O572" s="66" t="str">
        <x:v>Sumatera Barat</x:v>
      </x:c>
      <x:c r="P572" s="66" t="str">
        <x:v>Kota Padang</x:v>
      </x:c>
      <x:c r="Q572" s="66" t="str">
        <x:v>https://snpmb.id/snbp/daya-tampung-snbp</x:v>
      </x:c>
      <x:c r="R572" s="66" t="str">
        <x:v>https://sidatagrun-public-1076756628210.asia-southeast2.run.app/ptn_sn.php?ptn=142</x:v>
      </x:c>
    </x:row>
    <x:row r="573">
      <x:c r="A573" s="87" t="n">
        <x:v>2052</x:v>
      </x:c>
      <x:c r="B573" s="87" t="n">
        <x:v>142</x:v>
      </x:c>
      <x:c r="C573" s="66" t="str">
        <x:v>UNIVERSITAS NEGERI PADANG</x:v>
      </x:c>
      <x:c r="D573" s="66" t="str">
        <x:v>PTN Akademik</x:v>
      </x:c>
      <x:c r="E573" s="66" t="str">
        <x:v>11421053</x:v>
      </x:c>
      <x:c r="F573" s="66" t="str">
        <x:v>DESAIN KOMUNIKASI VISUAL</x:v>
      </x:c>
      <x:c r="G573" s="66" t="str">
        <x:v>Sarjana</x:v>
      </x:c>
      <x:c r="H573" s="87" t="n">
        <x:v>40</x:v>
      </x:c>
      <x:c r="I573" s="87" t="n">
        <x:v>255</x:v>
      </x:c>
      <x:c r="J573" s="68" t="n">
        <x:f>IFERROR(H573/I573,"")</x:f>
        <x:v>0.1568627450980392</x:v>
      </x:c>
      <x:c r="K573" s="69" t="n">
        <x:f>IFERROR(I573/H573,"")</x:f>
        <x:v>6.375</x:v>
      </x:c>
      <x:c r="L573" s="66" t="str">
        <x:f>IF(K573="","","1 : "&amp;TEXT(K573,"0.0"))</x:f>
        <x:v>1 : 6.4</x:v>
      </x:c>
      <x:c r="M573" s="66" t="str">
        <x:f>IF(J573="","Baru/Tanpa Data",IF(J573&lt;='Catatan &amp; Sumber'!$B$14,"Sangat Ketat",IF(J573&lt;='Catatan &amp; Sumber'!$B$15,"Ketat",IF(J573&lt;='Catatan &amp; Sumber'!$B$16,"Sedang","Relatif Longgar"))))</x:f>
        <x:v>Relatif Longgar</x:v>
      </x:c>
      <x:c r="N573" s="66" t="str">
        <x:v>Seni Rupa, Desain, dan Kriya</x:v>
      </x:c>
      <x:c r="O573" s="66" t="str">
        <x:v>Sumatera Barat</x:v>
      </x:c>
      <x:c r="P573" s="66" t="str">
        <x:v>Kota Padang</x:v>
      </x:c>
      <x:c r="Q573" s="66" t="str">
        <x:v>https://snpmb.id/snbp/daya-tampung-snbp</x:v>
      </x:c>
      <x:c r="R573" s="66" t="str">
        <x:v>https://sidatagrun-public-1076756628210.asia-southeast2.run.app/ptn_sn.php?ptn=142</x:v>
      </x:c>
    </x:row>
    <x:row r="574">
      <x:c r="A574" s="87" t="n">
        <x:v>2759</x:v>
      </x:c>
      <x:c r="B574" s="87" t="n">
        <x:v>142</x:v>
      </x:c>
      <x:c r="C574" s="66" t="str">
        <x:v>UNIVERSITAS NEGERI PADANG</x:v>
      </x:c>
      <x:c r="D574" s="66" t="str">
        <x:v>PTN Akademik</x:v>
      </x:c>
      <x:c r="E574" s="66" t="str">
        <x:v>11421054</x:v>
      </x:c>
      <x:c r="F574" s="66" t="str">
        <x:v>PENDIDIKAN BAHASA JEPANG</x:v>
      </x:c>
      <x:c r="G574" s="66" t="str">
        <x:v>Sarjana</x:v>
      </x:c>
      <x:c r="H574" s="87" t="n">
        <x:v>27</x:v>
      </x:c>
      <x:c r="I574" s="87" t="n">
        <x:v>107</x:v>
      </x:c>
      <x:c r="J574" s="68" t="n">
        <x:f>IFERROR(H574/I574,"")</x:f>
        <x:v>0.2523364485981308</x:v>
      </x:c>
      <x:c r="K574" s="69" t="n">
        <x:f>IFERROR(I574/H574,"")</x:f>
        <x:v>3.962962962962963</x:v>
      </x:c>
      <x:c r="L574" s="66" t="str">
        <x:f>IF(K574="","","1 : "&amp;TEXT(K574,"0.0"))</x:f>
        <x:v>1 : 4.0</x:v>
      </x:c>
      <x:c r="M574" s="66" t="str">
        <x:f>IF(J574="","Baru/Tanpa Data",IF(J574&lt;='Catatan &amp; Sumber'!$B$14,"Sangat Ketat",IF(J574&lt;='Catatan &amp; Sumber'!$B$15,"Ketat",IF(J574&lt;='Catatan &amp; Sumber'!$B$16,"Sedang","Relatif Longgar"))))</x:f>
        <x:v>Relatif Longgar</x:v>
      </x:c>
      <x:c r="N574" s="66" t="str">
        <x:v>Tidak Ada</x:v>
      </x:c>
      <x:c r="O574" s="66" t="str">
        <x:v>Sumatera Barat</x:v>
      </x:c>
      <x:c r="P574" s="66" t="str">
        <x:v>Kota Padang</x:v>
      </x:c>
      <x:c r="Q574" s="66" t="str">
        <x:v>https://snpmb.id/snbp/daya-tampung-snbp</x:v>
      </x:c>
      <x:c r="R574" s="66" t="str">
        <x:v>https://sidatagrun-public-1076756628210.asia-southeast2.run.app/ptn_sn.php?ptn=142</x:v>
      </x:c>
    </x:row>
    <x:row r="575">
      <x:c r="A575" s="87" t="n">
        <x:v>3405</x:v>
      </x:c>
      <x:c r="B575" s="87" t="n">
        <x:v>142</x:v>
      </x:c>
      <x:c r="C575" s="66" t="str">
        <x:v>UNIVERSITAS NEGERI PADANG</x:v>
      </x:c>
      <x:c r="D575" s="66" t="str">
        <x:v>PTN Akademik</x:v>
      </x:c>
      <x:c r="E575" s="66" t="str">
        <x:v>11421055</x:v>
      </x:c>
      <x:c r="F575" s="66" t="str">
        <x:v>PENDIDIKAN MUSIK</x:v>
      </x:c>
      <x:c r="G575" s="66" t="str">
        <x:v>Sarjana</x:v>
      </x:c>
      <x:c r="H575" s="87" t="n">
        <x:v>21</x:v>
      </x:c>
      <x:c r="I575" s="87" t="n">
        <x:v>52</x:v>
      </x:c>
      <x:c r="J575" s="68" t="n">
        <x:f>IFERROR(H575/I575,"")</x:f>
        <x:v>0.40384615384615385</x:v>
      </x:c>
      <x:c r="K575" s="69" t="n">
        <x:f>IFERROR(I575/H575,"")</x:f>
        <x:v>2.4761904761904763</x:v>
      </x:c>
      <x:c r="L575" s="66" t="str">
        <x:f>IF(K575="","","1 : "&amp;TEXT(K575,"0.0"))</x:f>
        <x:v>1 : 2.5</x:v>
      </x:c>
      <x:c r="M575" s="66" t="str">
        <x:f>IF(J575="","Baru/Tanpa Data",IF(J575&lt;='Catatan &amp; Sumber'!$B$14,"Sangat Ketat",IF(J575&lt;='Catatan &amp; Sumber'!$B$15,"Ketat",IF(J575&lt;='Catatan &amp; Sumber'!$B$16,"Sedang","Relatif Longgar"))))</x:f>
        <x:v>Relatif Longgar</x:v>
      </x:c>
      <x:c r="N575" s="66" t="str">
        <x:v>Musik</x:v>
      </x:c>
      <x:c r="O575" s="66" t="str">
        <x:v>Sumatera Barat</x:v>
      </x:c>
      <x:c r="P575" s="66" t="str">
        <x:v>Kota Padang</x:v>
      </x:c>
      <x:c r="Q575" s="66" t="str">
        <x:v>https://snpmb.id/snbp/daya-tampung-snbp</x:v>
      </x:c>
      <x:c r="R575" s="66" t="str">
        <x:v>https://sidatagrun-public-1076756628210.asia-southeast2.run.app/ptn_sn.php?ptn=142</x:v>
      </x:c>
    </x:row>
    <x:row r="576">
      <x:c r="A576" s="87" t="n">
        <x:v>909</x:v>
      </x:c>
      <x:c r="B576" s="87" t="n">
        <x:v>142</x:v>
      </x:c>
      <x:c r="C576" s="66" t="str">
        <x:v>UNIVERSITAS NEGERI PADANG</x:v>
      </x:c>
      <x:c r="D576" s="66" t="str">
        <x:v>PTN Akademik</x:v>
      </x:c>
      <x:c r="E576" s="66" t="str">
        <x:v>11421056</x:v>
      </x:c>
      <x:c r="F576" s="66" t="str">
        <x:v>PENDIDIKAN AGAMA ISLAM</x:v>
      </x:c>
      <x:c r="G576" s="66" t="str">
        <x:v>Sarjana</x:v>
      </x:c>
      <x:c r="H576" s="87" t="n">
        <x:v>42</x:v>
      </x:c>
      <x:c r="I576" s="87" t="n">
        <x:v>576</x:v>
      </x:c>
      <x:c r="J576" s="68" t="n">
        <x:f>IFERROR(H576/I576,"")</x:f>
        <x:v>0.07291666666666667</x:v>
      </x:c>
      <x:c r="K576" s="69" t="n">
        <x:f>IFERROR(I576/H576,"")</x:f>
        <x:v>13.714285714285714</x:v>
      </x:c>
      <x:c r="L576" s="66" t="str">
        <x:f>IF(K576="","","1 : "&amp;TEXT(K576,"0.0"))</x:f>
        <x:v>1 : 13.7</x:v>
      </x:c>
      <x:c r="M576" s="66" t="str">
        <x:f>IF(J576="","Baru/Tanpa Data",IF(J576&lt;='Catatan &amp; Sumber'!$B$14,"Sangat Ketat",IF(J576&lt;='Catatan &amp; Sumber'!$B$15,"Ketat",IF(J576&lt;='Catatan &amp; Sumber'!$B$16,"Sedang","Relatif Longgar"))))</x:f>
        <x:v>Sedang</x:v>
      </x:c>
      <x:c r="N576" s="66" t="str">
        <x:v>Tidak Ada</x:v>
      </x:c>
      <x:c r="O576" s="66" t="str">
        <x:v>Sumatera Barat</x:v>
      </x:c>
      <x:c r="P576" s="66" t="str">
        <x:v>Kota Padang</x:v>
      </x:c>
      <x:c r="Q576" s="66" t="str">
        <x:v>https://snpmb.id/snbp/daya-tampung-snbp</x:v>
      </x:c>
      <x:c r="R576" s="66" t="str">
        <x:v>https://sidatagrun-public-1076756628210.asia-southeast2.run.app/ptn_sn.php?ptn=142</x:v>
      </x:c>
    </x:row>
    <x:row r="577">
      <x:c r="A577" s="87" t="n">
        <x:v>1418</x:v>
      </x:c>
      <x:c r="B577" s="87" t="n">
        <x:v>142</x:v>
      </x:c>
      <x:c r="C577" s="66" t="str">
        <x:v>UNIVERSITAS NEGERI PADANG</x:v>
      </x:c>
      <x:c r="D577" s="66" t="str">
        <x:v>PTN Akademik</x:v>
      </x:c>
      <x:c r="E577" s="66" t="str">
        <x:v>11421057</x:v>
      </x:c>
      <x:c r="F577" s="66" t="str">
        <x:v>PERPUSTAKAAN DAN ILMU INFORMASI</x:v>
      </x:c>
      <x:c r="G577" s="66" t="str">
        <x:v>Sarjana</x:v>
      </x:c>
      <x:c r="H577" s="87" t="n">
        <x:v>33</x:v>
      </x:c>
      <x:c r="I577" s="87" t="n">
        <x:v>319</x:v>
      </x:c>
      <x:c r="J577" s="68" t="n">
        <x:f>IFERROR(H577/I577,"")</x:f>
        <x:v>0.10344827586206896</x:v>
      </x:c>
      <x:c r="K577" s="69" t="n">
        <x:f>IFERROR(I577/H577,"")</x:f>
        <x:v>9.666666666666666</x:v>
      </x:c>
      <x:c r="L577" s="66" t="str">
        <x:f>IF(K577="","","1 : "&amp;TEXT(K577,"0.0"))</x:f>
        <x:v>1 : 9.7</x:v>
      </x:c>
      <x:c r="M577" s="66" t="str">
        <x:f>IF(J577="","Baru/Tanpa Data",IF(J577&lt;='Catatan &amp; Sumber'!$B$14,"Sangat Ketat",IF(J577&lt;='Catatan &amp; Sumber'!$B$15,"Ketat",IF(J577&lt;='Catatan &amp; Sumber'!$B$16,"Sedang","Relatif Longgar"))))</x:f>
        <x:v>Relatif Longgar</x:v>
      </x:c>
      <x:c r="N577" s="66" t="str">
        <x:v>Tidak Ada</x:v>
      </x:c>
      <x:c r="O577" s="66" t="str">
        <x:v>Sumatera Barat</x:v>
      </x:c>
      <x:c r="P577" s="66" t="str">
        <x:v>Kota Padang</x:v>
      </x:c>
      <x:c r="Q577" s="66" t="str">
        <x:v>https://snpmb.id/snbp/daya-tampung-snbp</x:v>
      </x:c>
      <x:c r="R577" s="66" t="str">
        <x:v>https://sidatagrun-public-1076756628210.asia-southeast2.run.app/ptn_sn.php?ptn=142</x:v>
      </x:c>
    </x:row>
    <x:row r="578">
      <x:c r="A578" s="87" t="n">
        <x:v>2314</x:v>
      </x:c>
      <x:c r="B578" s="87" t="n">
        <x:v>142</x:v>
      </x:c>
      <x:c r="C578" s="66" t="str">
        <x:v>UNIVERSITAS NEGERI PADANG</x:v>
      </x:c>
      <x:c r="D578" s="66" t="str">
        <x:v>PTN Akademik</x:v>
      </x:c>
      <x:c r="E578" s="66" t="str">
        <x:v>11421058</x:v>
      </x:c>
      <x:c r="F578" s="66" t="str">
        <x:v>PENDIDIKAN TARI</x:v>
      </x:c>
      <x:c r="G578" s="66" t="str">
        <x:v>Sarjana</x:v>
      </x:c>
      <x:c r="H578" s="87" t="n">
        <x:v>23</x:v>
      </x:c>
      <x:c r="I578" s="87" t="n">
        <x:v>124</x:v>
      </x:c>
      <x:c r="J578" s="68" t="n">
        <x:f>IFERROR(H578/I578,"")</x:f>
        <x:v>0.18548387096774194</x:v>
      </x:c>
      <x:c r="K578" s="69" t="n">
        <x:f>IFERROR(I578/H578,"")</x:f>
        <x:v>5.391304347826087</x:v>
      </x:c>
      <x:c r="L578" s="66" t="str">
        <x:f>IF(K578="","","1 : "&amp;TEXT(K578,"0.0"))</x:f>
        <x:v>1 : 5.4</x:v>
      </x:c>
      <x:c r="M578" s="66" t="str">
        <x:f>IF(J578="","Baru/Tanpa Data",IF(J578&lt;='Catatan &amp; Sumber'!$B$14,"Sangat Ketat",IF(J578&lt;='Catatan &amp; Sumber'!$B$15,"Ketat",IF(J578&lt;='Catatan &amp; Sumber'!$B$16,"Sedang","Relatif Longgar"))))</x:f>
        <x:v>Relatif Longgar</x:v>
      </x:c>
      <x:c r="N578" s="66" t="str">
        <x:v>Tari</x:v>
      </x:c>
      <x:c r="O578" s="66" t="str">
        <x:v>Sumatera Barat</x:v>
      </x:c>
      <x:c r="P578" s="66" t="str">
        <x:v>Kota Padang</x:v>
      </x:c>
      <x:c r="Q578" s="66" t="str">
        <x:v>https://snpmb.id/snbp/daya-tampung-snbp</x:v>
      </x:c>
      <x:c r="R578" s="66" t="str">
        <x:v>https://sidatagrun-public-1076756628210.asia-southeast2.run.app/ptn_sn.php?ptn=142</x:v>
      </x:c>
    </x:row>
    <x:row r="579">
      <x:c r="A579" s="87" t="n">
        <x:v>2593</x:v>
      </x:c>
      <x:c r="B579" s="87" t="n">
        <x:v>142</x:v>
      </x:c>
      <x:c r="C579" s="66" t="str">
        <x:v>UNIVERSITAS NEGERI PADANG</x:v>
      </x:c>
      <x:c r="D579" s="66" t="str">
        <x:v>PTN Akademik</x:v>
      </x:c>
      <x:c r="E579" s="66" t="str">
        <x:v>11421078</x:v>
      </x:c>
      <x:c r="F579" s="66" t="str">
        <x:v>AGRIBISNIS (KAMPUS KABUPATEN SIJUNJUNG)</x:v>
      </x:c>
      <x:c r="G579" s="66" t="str">
        <x:v>Sarjana</x:v>
      </x:c>
      <x:c r="H579" s="87" t="n">
        <x:v>30</x:v>
      </x:c>
      <x:c r="I579" s="87" t="n">
        <x:v>132</x:v>
      </x:c>
      <x:c r="J579" s="68" t="n">
        <x:f>IFERROR(H579/I579,"")</x:f>
        <x:v>0.22727272727272727</x:v>
      </x:c>
      <x:c r="K579" s="69" t="n">
        <x:f>IFERROR(I579/H579,"")</x:f>
        <x:v>4.4</x:v>
      </x:c>
      <x:c r="L579" s="66" t="str">
        <x:f>IF(K579="","","1 : "&amp;TEXT(K579,"0.0"))</x:f>
        <x:v>1 : 4.4</x:v>
      </x:c>
      <x:c r="M579" s="66" t="str">
        <x:f>IF(J579="","Baru/Tanpa Data",IF(J579&lt;='Catatan &amp; Sumber'!$B$14,"Sangat Ketat",IF(J579&lt;='Catatan &amp; Sumber'!$B$15,"Ketat",IF(J579&lt;='Catatan &amp; Sumber'!$B$16,"Sedang","Relatif Longgar"))))</x:f>
        <x:v>Relatif Longgar</x:v>
      </x:c>
      <x:c r="N579" s="66" t="str">
        <x:v>Tidak Ada</x:v>
      </x:c>
      <x:c r="O579" s="66" t="str">
        <x:v>Sumatera Barat</x:v>
      </x:c>
      <x:c r="P579" s="66" t="str">
        <x:v>Kota Padang</x:v>
      </x:c>
      <x:c r="Q579" s="66" t="str">
        <x:v>https://snpmb.id/snbp/daya-tampung-snbp</x:v>
      </x:c>
      <x:c r="R579" s="66" t="str">
        <x:v>https://sidatagrun-public-1076756628210.asia-southeast2.run.app/ptn_sn.php?ptn=142</x:v>
      </x:c>
    </x:row>
    <x:row r="580">
      <x:c r="A580" s="87" t="n">
        <x:v>3223</x:v>
      </x:c>
      <x:c r="B580" s="87" t="n">
        <x:v>142</x:v>
      </x:c>
      <x:c r="C580" s="66" t="str">
        <x:v>UNIVERSITAS NEGERI PADANG</x:v>
      </x:c>
      <x:c r="D580" s="66" t="str">
        <x:v>PTN Akademik</x:v>
      </x:c>
      <x:c r="E580" s="66" t="str">
        <x:v>11421079</x:v>
      </x:c>
      <x:c r="F580" s="66" t="str">
        <x:v>AGROTEKNOLOGI (KAMPUS KABUPATEN SIJUNJUNG)</x:v>
      </x:c>
      <x:c r="G580" s="66" t="str">
        <x:v>Sarjana</x:v>
      </x:c>
      <x:c r="H580" s="87" t="n">
        <x:v>30</x:v>
      </x:c>
      <x:c r="I580" s="87" t="n">
        <x:v>86</x:v>
      </x:c>
      <x:c r="J580" s="68" t="n">
        <x:f>IFERROR(H580/I580,"")</x:f>
        <x:v>0.3488372093023256</x:v>
      </x:c>
      <x:c r="K580" s="69" t="n">
        <x:f>IFERROR(I580/H580,"")</x:f>
        <x:v>2.8666666666666667</x:v>
      </x:c>
      <x:c r="L580" s="66" t="str">
        <x:f>IF(K580="","","1 : "&amp;TEXT(K580,"0.0"))</x:f>
        <x:v>1 : 2.9</x:v>
      </x:c>
      <x:c r="M580" s="66" t="str">
        <x:f>IF(J580="","Baru/Tanpa Data",IF(J580&lt;='Catatan &amp; Sumber'!$B$14,"Sangat Ketat",IF(J580&lt;='Catatan &amp; Sumber'!$B$15,"Ketat",IF(J580&lt;='Catatan &amp; Sumber'!$B$16,"Sedang","Relatif Longgar"))))</x:f>
        <x:v>Relatif Longgar</x:v>
      </x:c>
      <x:c r="N580" s="66" t="str">
        <x:v>Tidak Ada</x:v>
      </x:c>
      <x:c r="O580" s="66" t="str">
        <x:v>Sumatera Barat</x:v>
      </x:c>
      <x:c r="P580" s="66" t="str">
        <x:v>Kota Padang</x:v>
      </x:c>
      <x:c r="Q580" s="66" t="str">
        <x:v>https://snpmb.id/snbp/daya-tampung-snbp</x:v>
      </x:c>
      <x:c r="R580" s="66" t="str">
        <x:v>https://sidatagrun-public-1076756628210.asia-southeast2.run.app/ptn_sn.php?ptn=142</x:v>
      </x:c>
    </x:row>
    <x:row r="581">
      <x:c r="A581" s="87" t="n">
        <x:v>3479</x:v>
      </x:c>
      <x:c r="B581" s="87" t="n">
        <x:v>142</x:v>
      </x:c>
      <x:c r="C581" s="66" t="str">
        <x:v>UNIVERSITAS NEGERI PADANG</x:v>
      </x:c>
      <x:c r="D581" s="66" t="str">
        <x:v>PTN Akademik</x:v>
      </x:c>
      <x:c r="E581" s="66" t="str">
        <x:v>11421080</x:v>
      </x:c>
      <x:c r="F581" s="66" t="str">
        <x:v>PETERNAKAN (KAMPUS KABUPATEN SIJUNJUNG)</x:v>
      </x:c>
      <x:c r="G581" s="66" t="str">
        <x:v>Sarjana</x:v>
      </x:c>
      <x:c r="H581" s="87" t="n">
        <x:v>15</x:v>
      </x:c>
      <x:c r="I581" s="87" t="n">
        <x:v>35</x:v>
      </x:c>
      <x:c r="J581" s="68" t="n">
        <x:f>IFERROR(H581/I581,"")</x:f>
        <x:v>0.42857142857142855</x:v>
      </x:c>
      <x:c r="K581" s="69" t="n">
        <x:f>IFERROR(I581/H581,"")</x:f>
        <x:v>2.3333333333333335</x:v>
      </x:c>
      <x:c r="L581" s="66" t="str">
        <x:f>IF(K581="","","1 : "&amp;TEXT(K581,"0.0"))</x:f>
        <x:v>1 : 2.3</x:v>
      </x:c>
      <x:c r="M581" s="66" t="str">
        <x:f>IF(J581="","Baru/Tanpa Data",IF(J581&lt;='Catatan &amp; Sumber'!$B$14,"Sangat Ketat",IF(J581&lt;='Catatan &amp; Sumber'!$B$15,"Ketat",IF(J581&lt;='Catatan &amp; Sumber'!$B$16,"Sedang","Relatif Longgar"))))</x:f>
        <x:v>Relatif Longgar</x:v>
      </x:c>
      <x:c r="N581" s="66" t="str">
        <x:v>Tidak Ada</x:v>
      </x:c>
      <x:c r="O581" s="66" t="str">
        <x:v>Sumatera Barat</x:v>
      </x:c>
      <x:c r="P581" s="66" t="str">
        <x:v>Kota Padang</x:v>
      </x:c>
      <x:c r="Q581" s="66" t="str">
        <x:v>https://snpmb.id/snbp/daya-tampung-snbp</x:v>
      </x:c>
      <x:c r="R581" s="66" t="str">
        <x:v>https://sidatagrun-public-1076756628210.asia-southeast2.run.app/ptn_sn.php?ptn=142</x:v>
      </x:c>
    </x:row>
    <x:row r="582">
      <x:c r="A582" s="87" t="n">
        <x:v>429</x:v>
      </x:c>
      <x:c r="B582" s="87" t="n">
        <x:v>142</x:v>
      </x:c>
      <x:c r="C582" s="66" t="str">
        <x:v>UNIVERSITAS NEGERI PADANG</x:v>
      </x:c>
      <x:c r="D582" s="66" t="str">
        <x:v>PTN Akademik</x:v>
      </x:c>
      <x:c r="E582" s="66" t="str">
        <x:v>11421081</x:v>
      </x:c>
      <x:c r="F582" s="66" t="str">
        <x:v>ILMU HUKUM</x:v>
      </x:c>
      <x:c r="G582" s="66" t="str">
        <x:v>Sarjana</x:v>
      </x:c>
      <x:c r="H582" s="87" t="n">
        <x:v>28</x:v>
      </x:c>
      <x:c r="I582" s="87" t="n">
        <x:v>581</x:v>
      </x:c>
      <x:c r="J582" s="68" t="n">
        <x:f>IFERROR(H582/I582,"")</x:f>
        <x:v>0.04819277108433735</x:v>
      </x:c>
      <x:c r="K582" s="69" t="n">
        <x:f>IFERROR(I582/H582,"")</x:f>
        <x:v>20.75</x:v>
      </x:c>
      <x:c r="L582" s="66" t="str">
        <x:f>IF(K582="","","1 : "&amp;TEXT(K582,"0.0"))</x:f>
        <x:v>1 : 20.8</x:v>
      </x:c>
      <x:c r="M582" s="66" t="str">
        <x:f>IF(J582="","Baru/Tanpa Data",IF(J582&lt;='Catatan &amp; Sumber'!$B$14,"Sangat Ketat",IF(J582&lt;='Catatan &amp; Sumber'!$B$15,"Ketat",IF(J582&lt;='Catatan &amp; Sumber'!$B$16,"Sedang","Relatif Longgar"))))</x:f>
        <x:v>Ketat</x:v>
      </x:c>
      <x:c r="N582" s="66" t="str">
        <x:v>Tidak Ada</x:v>
      </x:c>
      <x:c r="O582" s="66" t="str">
        <x:v>Sumatera Barat</x:v>
      </x:c>
      <x:c r="P582" s="66" t="str">
        <x:v>Kota Padang</x:v>
      </x:c>
      <x:c r="Q582" s="66" t="str">
        <x:v>https://snpmb.id/snbp/daya-tampung-snbp</x:v>
      </x:c>
      <x:c r="R582" s="66" t="str">
        <x:v>https://sidatagrun-public-1076756628210.asia-southeast2.run.app/ptn_sn.php?ptn=142</x:v>
      </x:c>
    </x:row>
    <x:row r="583">
      <x:c r="A583" s="87" t="n">
        <x:v>319</x:v>
      </x:c>
      <x:c r="B583" s="87" t="n">
        <x:v>142</x:v>
      </x:c>
      <x:c r="C583" s="66" t="str">
        <x:v>UNIVERSITAS NEGERI PADANG</x:v>
      </x:c>
      <x:c r="D583" s="66" t="str">
        <x:v>PTN Akademik</x:v>
      </x:c>
      <x:c r="E583" s="66" t="str">
        <x:v>11421082</x:v>
      </x:c>
      <x:c r="F583" s="66" t="str">
        <x:v>ILMU KOMUNIKASI</x:v>
      </x:c>
      <x:c r="G583" s="66" t="str">
        <x:v>Sarjana</x:v>
      </x:c>
      <x:c r="H583" s="87" t="n">
        <x:v>28</x:v>
      </x:c>
      <x:c r="I583" s="87" t="n">
        <x:v>649</x:v>
      </x:c>
      <x:c r="J583" s="68" t="n">
        <x:f>IFERROR(H583/I583,"")</x:f>
        <x:v>0.04314329738058552</x:v>
      </x:c>
      <x:c r="K583" s="69" t="n">
        <x:f>IFERROR(I583/H583,"")</x:f>
        <x:v>23.178571428571427</x:v>
      </x:c>
      <x:c r="L583" s="66" t="str">
        <x:f>IF(K583="","","1 : "&amp;TEXT(K583,"0.0"))</x:f>
        <x:v>1 : 23.2</x:v>
      </x:c>
      <x:c r="M583" s="66" t="str">
        <x:f>IF(J583="","Baru/Tanpa Data",IF(J583&lt;='Catatan &amp; Sumber'!$B$14,"Sangat Ketat",IF(J583&lt;='Catatan &amp; Sumber'!$B$15,"Ketat",IF(J583&lt;='Catatan &amp; Sumber'!$B$16,"Sedang","Relatif Longgar"))))</x:f>
        <x:v>Ketat</x:v>
      </x:c>
      <x:c r="N583" s="66" t="str">
        <x:v>Tidak Ada</x:v>
      </x:c>
      <x:c r="O583" s="66" t="str">
        <x:v>Sumatera Barat</x:v>
      </x:c>
      <x:c r="P583" s="66" t="str">
        <x:v>Kota Padang</x:v>
      </x:c>
      <x:c r="Q583" s="66" t="str">
        <x:v>https://snpmb.id/snbp/daya-tampung-snbp</x:v>
      </x:c>
      <x:c r="R583" s="66" t="str">
        <x:v>https://sidatagrun-public-1076756628210.asia-southeast2.run.app/ptn_sn.php?ptn=142</x:v>
      </x:c>
    </x:row>
    <x:row r="584">
      <x:c r="A584" s="87" t="n">
        <x:v>380</x:v>
      </x:c>
      <x:c r="B584" s="87" t="n">
        <x:v>142</x:v>
      </x:c>
      <x:c r="C584" s="66" t="str">
        <x:v>UNIVERSITAS NEGERI PADANG</x:v>
      </x:c>
      <x:c r="D584" s="66" t="str">
        <x:v>PTN Akademik</x:v>
      </x:c>
      <x:c r="E584" s="66" t="str">
        <x:v>11421083</x:v>
      </x:c>
      <x:c r="F584" s="66" t="str">
        <x:v>TEKNIK GEOLOGI</x:v>
      </x:c>
      <x:c r="G584" s="66" t="str">
        <x:v>Sarjana</x:v>
      </x:c>
      <x:c r="H584" s="87" t="n">
        <x:v>16</x:v>
      </x:c>
      <x:c r="I584" s="87" t="n">
        <x:v>349</x:v>
      </x:c>
      <x:c r="J584" s="68" t="n">
        <x:f>IFERROR(H584/I584,"")</x:f>
        <x:v>0.045845272206303724</x:v>
      </x:c>
      <x:c r="K584" s="69" t="n">
        <x:f>IFERROR(I584/H584,"")</x:f>
        <x:v>21.8125</x:v>
      </x:c>
      <x:c r="L584" s="66" t="str">
        <x:f>IF(K584="","","1 : "&amp;TEXT(K584,"0.0"))</x:f>
        <x:v>1 : 21.8</x:v>
      </x:c>
      <x:c r="M584" s="66" t="str">
        <x:f>IF(J584="","Baru/Tanpa Data",IF(J584&lt;='Catatan &amp; Sumber'!$B$14,"Sangat Ketat",IF(J584&lt;='Catatan &amp; Sumber'!$B$15,"Ketat",IF(J584&lt;='Catatan &amp; Sumber'!$B$16,"Sedang","Relatif Longgar"))))</x:f>
        <x:v>Ketat</x:v>
      </x:c>
      <x:c r="N584" s="66" t="str">
        <x:v>Tidak Ada</x:v>
      </x:c>
      <x:c r="O584" s="66" t="str">
        <x:v>Sumatera Barat</x:v>
      </x:c>
      <x:c r="P584" s="66" t="str">
        <x:v>Kota Padang</x:v>
      </x:c>
      <x:c r="Q584" s="66" t="str">
        <x:v>https://snpmb.id/snbp/daya-tampung-snbp</x:v>
      </x:c>
      <x:c r="R584" s="66" t="str">
        <x:v>https://sidatagrun-public-1076756628210.asia-southeast2.run.app/ptn_sn.php?ptn=142</x:v>
      </x:c>
    </x:row>
    <x:row r="585">
      <x:c r="A585" s="87" t="n">
        <x:v>422</x:v>
      </x:c>
      <x:c r="B585" s="87" t="n">
        <x:v>142</x:v>
      </x:c>
      <x:c r="C585" s="66" t="str">
        <x:v>UNIVERSITAS NEGERI PADANG</x:v>
      </x:c>
      <x:c r="D585" s="66" t="str">
        <x:v>PTN Akademik</x:v>
      </x:c>
      <x:c r="E585" s="66" t="str">
        <x:v>11421084</x:v>
      </x:c>
      <x:c r="F585" s="66" t="str">
        <x:v>PARIWISATA</x:v>
      </x:c>
      <x:c r="G585" s="66" t="str">
        <x:v>Sarjana</x:v>
      </x:c>
      <x:c r="H585" s="87" t="n">
        <x:v>24</x:v>
      </x:c>
      <x:c r="I585" s="87" t="n">
        <x:v>501</x:v>
      </x:c>
      <x:c r="J585" s="68" t="n">
        <x:f>IFERROR(H585/I585,"")</x:f>
        <x:v>0.04790419161676647</x:v>
      </x:c>
      <x:c r="K585" s="69" t="n">
        <x:f>IFERROR(I585/H585,"")</x:f>
        <x:v>20.875</x:v>
      </x:c>
      <x:c r="L585" s="66" t="str">
        <x:f>IF(K585="","","1 : "&amp;TEXT(K585,"0.0"))</x:f>
        <x:v>1 : 20.9</x:v>
      </x:c>
      <x:c r="M585" s="66" t="str">
        <x:f>IF(J585="","Baru/Tanpa Data",IF(J585&lt;='Catatan &amp; Sumber'!$B$14,"Sangat Ketat",IF(J585&lt;='Catatan &amp; Sumber'!$B$15,"Ketat",IF(J585&lt;='Catatan &amp; Sumber'!$B$16,"Sedang","Relatif Longgar"))))</x:f>
        <x:v>Ketat</x:v>
      </x:c>
      <x:c r="N585" s="66" t="str">
        <x:v>Tidak Ada</x:v>
      </x:c>
      <x:c r="O585" s="66" t="str">
        <x:v>Sumatera Barat</x:v>
      </x:c>
      <x:c r="P585" s="66" t="str">
        <x:v>Kota Padang</x:v>
      </x:c>
      <x:c r="Q585" s="66" t="str">
        <x:v>https://snpmb.id/snbp/daya-tampung-snbp</x:v>
      </x:c>
      <x:c r="R585" s="66" t="str">
        <x:v>https://sidatagrun-public-1076756628210.asia-southeast2.run.app/ptn_sn.php?ptn=142</x:v>
      </x:c>
    </x:row>
    <x:row r="586">
      <x:c r="A586" s="87" t="n">
        <x:v>743</x:v>
      </x:c>
      <x:c r="B586" s="87" t="n">
        <x:v>142</x:v>
      </x:c>
      <x:c r="C586" s="66" t="str">
        <x:v>UNIVERSITAS NEGERI PADANG</x:v>
      </x:c>
      <x:c r="D586" s="66" t="str">
        <x:v>PTN Akademik</x:v>
      </x:c>
      <x:c r="E586" s="66" t="str">
        <x:v>11421085</x:v>
      </x:c>
      <x:c r="F586" s="66" t="str">
        <x:v>TEKNIK ELEKTRO</x:v>
      </x:c>
      <x:c r="G586" s="66" t="str">
        <x:v>Sarjana</x:v>
      </x:c>
      <x:c r="H586" s="87" t="n">
        <x:v>18</x:v>
      </x:c>
      <x:c r="I586" s="87" t="n">
        <x:v>280</x:v>
      </x:c>
      <x:c r="J586" s="68" t="n">
        <x:f>IFERROR(H586/I586,"")</x:f>
        <x:v>0.06428571428571428</x:v>
      </x:c>
      <x:c r="K586" s="69" t="n">
        <x:f>IFERROR(I586/H586,"")</x:f>
        <x:v>15.555555555555555</x:v>
      </x:c>
      <x:c r="L586" s="66" t="str">
        <x:f>IF(K586="","","1 : "&amp;TEXT(K586,"0.0"))</x:f>
        <x:v>1 : 15.6</x:v>
      </x:c>
      <x:c r="M586" s="66" t="str">
        <x:f>IF(J586="","Baru/Tanpa Data",IF(J586&lt;='Catatan &amp; Sumber'!$B$14,"Sangat Ketat",IF(J586&lt;='Catatan &amp; Sumber'!$B$15,"Ketat",IF(J586&lt;='Catatan &amp; Sumber'!$B$16,"Sedang","Relatif Longgar"))))</x:f>
        <x:v>Sedang</x:v>
      </x:c>
      <x:c r="N586" s="66" t="str">
        <x:v>Tidak Ada</x:v>
      </x:c>
      <x:c r="O586" s="66" t="str">
        <x:v>Sumatera Barat</x:v>
      </x:c>
      <x:c r="P586" s="66" t="str">
        <x:v>Kota Padang</x:v>
      </x:c>
      <x:c r="Q586" s="66" t="str">
        <x:v>https://snpmb.id/snbp/daya-tampung-snbp</x:v>
      </x:c>
      <x:c r="R586" s="66" t="str">
        <x:v>https://sidatagrun-public-1076756628210.asia-southeast2.run.app/ptn_sn.php?ptn=142</x:v>
      </x:c>
    </x:row>
    <x:row r="587">
      <x:c r="A587" s="87" t="n">
        <x:v>666</x:v>
      </x:c>
      <x:c r="B587" s="87" t="n">
        <x:v>142</x:v>
      </x:c>
      <x:c r="C587" s="66" t="str">
        <x:v>UNIVERSITAS NEGERI PADANG</x:v>
      </x:c>
      <x:c r="D587" s="66" t="str">
        <x:v>PTN Akademik</x:v>
      </x:c>
      <x:c r="E587" s="66" t="str">
        <x:v>11421086</x:v>
      </x:c>
      <x:c r="F587" s="66" t="str">
        <x:v>BISNIS DIGITAL</x:v>
      </x:c>
      <x:c r="G587" s="66" t="str">
        <x:v>Sarjana</x:v>
      </x:c>
      <x:c r="H587" s="87" t="n">
        <x:v>28</x:v>
      </x:c>
      <x:c r="I587" s="87" t="n">
        <x:v>466</x:v>
      </x:c>
      <x:c r="J587" s="68" t="n">
        <x:f>IFERROR(H587/I587,"")</x:f>
        <x:v>0.060085836909871244</x:v>
      </x:c>
      <x:c r="K587" s="69" t="n">
        <x:f>IFERROR(I587/H587,"")</x:f>
        <x:v>16.642857142857142</x:v>
      </x:c>
      <x:c r="L587" s="66" t="str">
        <x:f>IF(K587="","","1 : "&amp;TEXT(K587,"0.0"))</x:f>
        <x:v>1 : 16.6</x:v>
      </x:c>
      <x:c r="M587" s="66" t="str">
        <x:f>IF(J587="","Baru/Tanpa Data",IF(J587&lt;='Catatan &amp; Sumber'!$B$14,"Sangat Ketat",IF(J587&lt;='Catatan &amp; Sumber'!$B$15,"Ketat",IF(J587&lt;='Catatan &amp; Sumber'!$B$16,"Sedang","Relatif Longgar"))))</x:f>
        <x:v>Sedang</x:v>
      </x:c>
      <x:c r="N587" s="66" t="str">
        <x:v>Tidak Ada</x:v>
      </x:c>
      <x:c r="O587" s="66" t="str">
        <x:v>Sumatera Barat</x:v>
      </x:c>
      <x:c r="P587" s="66" t="str">
        <x:v>Kota Padang</x:v>
      </x:c>
      <x:c r="Q587" s="66" t="str">
        <x:v>https://snpmb.id/snbp/daya-tampung-snbp</x:v>
      </x:c>
      <x:c r="R587" s="66" t="str">
        <x:v>https://sidatagrun-public-1076756628210.asia-southeast2.run.app/ptn_sn.php?ptn=142</x:v>
      </x:c>
    </x:row>
    <x:row r="588">
      <x:c r="A588" s="87" t="n">
        <x:v>172</x:v>
      </x:c>
      <x:c r="B588" s="87" t="n">
        <x:v>142</x:v>
      </x:c>
      <x:c r="C588" s="66" t="str">
        <x:v>UNIVERSITAS NEGERI PADANG</x:v>
      </x:c>
      <x:c r="D588" s="66" t="str">
        <x:v>PTN Akademik</x:v>
      </x:c>
      <x:c r="E588" s="66" t="str">
        <x:v>11421087</x:v>
      </x:c>
      <x:c r="F588" s="66" t="str">
        <x:v>KEPERAWATAN</x:v>
      </x:c>
      <x:c r="G588" s="66" t="str">
        <x:v>Sarjana</x:v>
      </x:c>
      <x:c r="H588" s="87" t="n">
        <x:v>28</x:v>
      </x:c>
      <x:c r="I588" s="87" t="n">
        <x:v>799</x:v>
      </x:c>
      <x:c r="J588" s="68" t="n">
        <x:f>IFERROR(H588/I588,"")</x:f>
        <x:v>0.03504380475594493</x:v>
      </x:c>
      <x:c r="K588" s="69" t="n">
        <x:f>IFERROR(I588/H588,"")</x:f>
        <x:v>28.535714285714285</x:v>
      </x:c>
      <x:c r="L588" s="66" t="str">
        <x:f>IF(K588="","","1 : "&amp;TEXT(K588,"0.0"))</x:f>
        <x:v>1 : 28.5</x:v>
      </x:c>
      <x:c r="M588" s="66" t="str">
        <x:f>IF(J588="","Baru/Tanpa Data",IF(J588&lt;='Catatan &amp; Sumber'!$B$14,"Sangat Ketat",IF(J588&lt;='Catatan &amp; Sumber'!$B$15,"Ketat",IF(J588&lt;='Catatan &amp; Sumber'!$B$16,"Sedang","Relatif Longgar"))))</x:f>
        <x:v>Ketat</x:v>
      </x:c>
      <x:c r="N588" s="66" t="str">
        <x:v>Tidak Ada</x:v>
      </x:c>
      <x:c r="O588" s="66" t="str">
        <x:v>Sumatera Barat</x:v>
      </x:c>
      <x:c r="P588" s="66" t="str">
        <x:v>Kota Padang</x:v>
      </x:c>
      <x:c r="Q588" s="66" t="str">
        <x:v>https://snpmb.id/snbp/daya-tampung-snbp</x:v>
      </x:c>
      <x:c r="R588" s="66" t="str">
        <x:v>https://sidatagrun-public-1076756628210.asia-southeast2.run.app/ptn_sn.php?ptn=142</x:v>
      </x:c>
    </x:row>
    <x:row r="589">
      <x:c r="A589" s="87" t="n">
        <x:v>24</x:v>
      </x:c>
      <x:c r="B589" s="87" t="n">
        <x:v>142</x:v>
      </x:c>
      <x:c r="C589" s="66" t="str">
        <x:v>UNIVERSITAS NEGERI PADANG</x:v>
      </x:c>
      <x:c r="D589" s="66" t="str">
        <x:v>PTN Akademik</x:v>
      </x:c>
      <x:c r="E589" s="66" t="str">
        <x:v>11421088</x:v>
      </x:c>
      <x:c r="F589" s="66" t="str">
        <x:v>KEDOKTERAN</x:v>
      </x:c>
      <x:c r="G589" s="66" t="str">
        <x:v>Sarjana</x:v>
      </x:c>
      <x:c r="H589" s="87" t="n">
        <x:v>10</x:v>
      </x:c>
      <x:c r="I589" s="87" t="n">
        <x:v>542</x:v>
      </x:c>
      <x:c r="J589" s="68" t="n">
        <x:f>IFERROR(H589/I589,"")</x:f>
        <x:v>0.01845018450184502</x:v>
      </x:c>
      <x:c r="K589" s="69" t="n">
        <x:f>IFERROR(I589/H589,"")</x:f>
        <x:v>54.2</x:v>
      </x:c>
      <x:c r="L589" s="66" t="str">
        <x:f>IF(K589="","","1 : "&amp;TEXT(K589,"0.0"))</x:f>
        <x:v>1 : 54.2</x:v>
      </x:c>
      <x:c r="M589" s="66" t="str">
        <x:f>IF(J589="","Baru/Tanpa Data",IF(J589&lt;='Catatan &amp; Sumber'!$B$14,"Sangat Ketat",IF(J589&lt;='Catatan &amp; Sumber'!$B$15,"Ketat",IF(J589&lt;='Catatan &amp; Sumber'!$B$16,"Sedang","Relatif Longgar"))))</x:f>
        <x:v>Sangat Ketat</x:v>
      </x:c>
      <x:c r="N589" s="66" t="str">
        <x:v>Tidak Ada</x:v>
      </x:c>
      <x:c r="O589" s="66" t="str">
        <x:v>Sumatera Barat</x:v>
      </x:c>
      <x:c r="P589" s="66" t="str">
        <x:v>Kota Padang</x:v>
      </x:c>
      <x:c r="Q589" s="66" t="str">
        <x:v>https://snpmb.id/snbp/daya-tampung-snbp</x:v>
      </x:c>
      <x:c r="R589" s="66" t="str">
        <x:v>https://sidatagrun-public-1076756628210.asia-southeast2.run.app/ptn_sn.php?ptn=142</x:v>
      </x:c>
    </x:row>
    <x:row r="590">
      <x:c r="A590" s="87" t="n">
        <x:v>2389</x:v>
      </x:c>
      <x:c r="B590" s="87" t="n">
        <x:v>142</x:v>
      </x:c>
      <x:c r="C590" s="66" t="str">
        <x:v>UNIVERSITAS NEGERI PADANG</x:v>
      </x:c>
      <x:c r="D590" s="66" t="str">
        <x:v>PTN Akademik</x:v>
      </x:c>
      <x:c r="E590" s="66" t="str">
        <x:v>11421089</x:v>
      </x:c>
      <x:c r="F590" s="66" t="str">
        <x:v>PENDIDIKAN ILMU PENGETAHUAN SOSIAL (PIPS)</x:v>
      </x:c>
      <x:c r="G590" s="66" t="str">
        <x:v>Sarjana</x:v>
      </x:c>
      <x:c r="H590" s="87" t="n">
        <x:v>45</x:v>
      </x:c>
      <x:c r="I590" s="87" t="n">
        <x:v>232</x:v>
      </x:c>
      <x:c r="J590" s="68" t="n">
        <x:f>IFERROR(H590/I590,"")</x:f>
        <x:v>0.1939655172413793</x:v>
      </x:c>
      <x:c r="K590" s="69" t="n">
        <x:f>IFERROR(I590/H590,"")</x:f>
        <x:v>5.155555555555556</x:v>
      </x:c>
      <x:c r="L590" s="66" t="str">
        <x:f>IF(K590="","","1 : "&amp;TEXT(K590,"0.0"))</x:f>
        <x:v>1 : 5.2</x:v>
      </x:c>
      <x:c r="M590" s="66" t="str">
        <x:f>IF(J590="","Baru/Tanpa Data",IF(J590&lt;='Catatan &amp; Sumber'!$B$14,"Sangat Ketat",IF(J590&lt;='Catatan &amp; Sumber'!$B$15,"Ketat",IF(J590&lt;='Catatan &amp; Sumber'!$B$16,"Sedang","Relatif Longgar"))))</x:f>
        <x:v>Relatif Longgar</x:v>
      </x:c>
      <x:c r="N590" s="66" t="str">
        <x:v>Tidak Ada</x:v>
      </x:c>
      <x:c r="O590" s="66" t="str">
        <x:v>Sumatera Barat</x:v>
      </x:c>
      <x:c r="P590" s="66" t="str">
        <x:v>Kota Padang</x:v>
      </x:c>
      <x:c r="Q590" s="66" t="str">
        <x:v>https://snpmb.id/snbp/daya-tampung-snbp</x:v>
      </x:c>
      <x:c r="R590" s="66" t="str">
        <x:v>https://sidatagrun-public-1076756628210.asia-southeast2.run.app/ptn_sn.php?ptn=142</x:v>
      </x:c>
    </x:row>
    <x:row r="591">
      <x:c r="A591" s="87" t="n">
        <x:v>1237</x:v>
      </x:c>
      <x:c r="B591" s="87" t="n">
        <x:v>142</x:v>
      </x:c>
      <x:c r="C591" s="66" t="str">
        <x:v>UNIVERSITAS NEGERI PADANG</x:v>
      </x:c>
      <x:c r="D591" s="66" t="str">
        <x:v>PTN Akademik</x:v>
      </x:c>
      <x:c r="E591" s="66" t="str">
        <x:v>11421090</x:v>
      </x:c>
      <x:c r="F591" s="66" t="str">
        <x:v>PENDIDIKAN GURU SEKOLAH DASAR - PSDKU SAWAHLUNTO</x:v>
      </x:c>
      <x:c r="G591" s="66" t="str">
        <x:v>Sarjana</x:v>
      </x:c>
      <x:c r="H591" s="87" t="n">
        <x:v>20</x:v>
      </x:c>
      <x:c r="I591" s="87" t="n">
        <x:v>217</x:v>
      </x:c>
      <x:c r="J591" s="68" t="n">
        <x:f>IFERROR(H591/I591,"")</x:f>
        <x:v>0.09216589861751152</x:v>
      </x:c>
      <x:c r="K591" s="69" t="n">
        <x:f>IFERROR(I591/H591,"")</x:f>
        <x:v>10.85</x:v>
      </x:c>
      <x:c r="L591" s="66" t="str">
        <x:f>IF(K591="","","1 : "&amp;TEXT(K591,"0.0"))</x:f>
        <x:v>1 : 10.9</x:v>
      </x:c>
      <x:c r="M591" s="66" t="str">
        <x:f>IF(J591="","Baru/Tanpa Data",IF(J591&lt;='Catatan &amp; Sumber'!$B$14,"Sangat Ketat",IF(J591&lt;='Catatan &amp; Sumber'!$B$15,"Ketat",IF(J591&lt;='Catatan &amp; Sumber'!$B$16,"Sedang","Relatif Longgar"))))</x:f>
        <x:v>Sedang</x:v>
      </x:c>
      <x:c r="N591" s="66" t="str">
        <x:v>Tidak Ada</x:v>
      </x:c>
      <x:c r="O591" s="66" t="str">
        <x:v>Sumatera Barat</x:v>
      </x:c>
      <x:c r="P591" s="66" t="str">
        <x:v>Kota Padang</x:v>
      </x:c>
      <x:c r="Q591" s="66" t="str">
        <x:v>https://snpmb.id/snbp/daya-tampung-snbp</x:v>
      </x:c>
      <x:c r="R591" s="66" t="str">
        <x:v>https://sidatagrun-public-1076756628210.asia-southeast2.run.app/ptn_sn.php?ptn=142</x:v>
      </x:c>
    </x:row>
    <x:row r="592">
      <x:c r="A592" s="87" t="n">
        <x:v>3899</x:v>
      </x:c>
      <x:c r="B592" s="87" t="n">
        <x:v>142</x:v>
      </x:c>
      <x:c r="C592" s="66" t="str">
        <x:v>UNIVERSITAS NEGERI PADANG</x:v>
      </x:c>
      <x:c r="D592" s="66" t="str">
        <x:v>PTN Akademik</x:v>
      </x:c>
      <x:c r="E592" s="66" t="str">
        <x:v>11421091</x:v>
      </x:c>
      <x:c r="F592" s="66" t="str">
        <x:v>PENDIDIKAN GURU PENDIDIKAN ANAK USIA DINI - PSDKU SAWAHLUNTO</x:v>
      </x:c>
      <x:c r="G592" s="66" t="str">
        <x:v>Sarjana</x:v>
      </x:c>
      <x:c r="H592" s="87" t="n">
        <x:v>15</x:v>
      </x:c>
      <x:c r="I592" s="87" t="n">
        <x:v>24</x:v>
      </x:c>
      <x:c r="J592" s="68" t="n">
        <x:f>IFERROR(H592/I592,"")</x:f>
        <x:v>0.625</x:v>
      </x:c>
      <x:c r="K592" s="69" t="n">
        <x:f>IFERROR(I592/H592,"")</x:f>
        <x:v>1.6</x:v>
      </x:c>
      <x:c r="L592" s="66" t="str">
        <x:f>IF(K592="","","1 : "&amp;TEXT(K592,"0.0"))</x:f>
        <x:v>1 : 1.6</x:v>
      </x:c>
      <x:c r="M592" s="66" t="str">
        <x:f>IF(J592="","Baru/Tanpa Data",IF(J592&lt;='Catatan &amp; Sumber'!$B$14,"Sangat Ketat",IF(J592&lt;='Catatan &amp; Sumber'!$B$15,"Ketat",IF(J592&lt;='Catatan &amp; Sumber'!$B$16,"Sedang","Relatif Longgar"))))</x:f>
        <x:v>Relatif Longgar</x:v>
      </x:c>
      <x:c r="N592" s="66" t="str">
        <x:v>Tidak Ada</x:v>
      </x:c>
      <x:c r="O592" s="66" t="str">
        <x:v>Sumatera Barat</x:v>
      </x:c>
      <x:c r="P592" s="66" t="str">
        <x:v>Kota Padang</x:v>
      </x:c>
      <x:c r="Q592" s="66" t="str">
        <x:v>https://snpmb.id/snbp/daya-tampung-snbp</x:v>
      </x:c>
      <x:c r="R592" s="66" t="str">
        <x:v>https://sidatagrun-public-1076756628210.asia-southeast2.run.app/ptn_sn.php?ptn=142</x:v>
      </x:c>
    </x:row>
    <x:row r="593">
      <x:c r="A593" s="87" t="n">
        <x:v>1110</x:v>
      </x:c>
      <x:c r="B593" s="87" t="n">
        <x:v>142</x:v>
      </x:c>
      <x:c r="C593" s="66" t="str">
        <x:v>UNIVERSITAS NEGERI PADANG</x:v>
      </x:c>
      <x:c r="D593" s="66" t="str">
        <x:v>PTN Akademik</x:v>
      </x:c>
      <x:c r="E593" s="66" t="str">
        <x:v>11421092</x:v>
      </x:c>
      <x:c r="F593" s="66" t="str">
        <x:v>KEDOKTERAN HEWAN</x:v>
      </x:c>
      <x:c r="G593" s="66" t="str">
        <x:v>Sarjana</x:v>
      </x:c>
      <x:c r="H593" s="87" t="n">
        <x:v>15</x:v>
      </x:c>
      <x:c r="I593" s="87" t="n">
        <x:v>178</x:v>
      </x:c>
      <x:c r="J593" s="68" t="n">
        <x:f>IFERROR(H593/I593,"")</x:f>
        <x:v>0.08426966292134831</x:v>
      </x:c>
      <x:c r="K593" s="69" t="n">
        <x:f>IFERROR(I593/H593,"")</x:f>
        <x:v>11.866666666666667</x:v>
      </x:c>
      <x:c r="L593" s="66" t="str">
        <x:f>IF(K593="","","1 : "&amp;TEXT(K593,"0.0"))</x:f>
        <x:v>1 : 11.9</x:v>
      </x:c>
      <x:c r="M593" s="66" t="str">
        <x:f>IF(J593="","Baru/Tanpa Data",IF(J593&lt;='Catatan &amp; Sumber'!$B$14,"Sangat Ketat",IF(J593&lt;='Catatan &amp; Sumber'!$B$15,"Ketat",IF(J593&lt;='Catatan &amp; Sumber'!$B$16,"Sedang","Relatif Longgar"))))</x:f>
        <x:v>Sedang</x:v>
      </x:c>
      <x:c r="N593" s="66" t="str">
        <x:v>Tidak Ada</x:v>
      </x:c>
      <x:c r="O593" s="66" t="str">
        <x:v>Sumatera Barat</x:v>
      </x:c>
      <x:c r="P593" s="66" t="str">
        <x:v>Kota Padang</x:v>
      </x:c>
      <x:c r="Q593" s="66" t="str">
        <x:v>https://snpmb.id/snbp/daya-tampung-snbp</x:v>
      </x:c>
      <x:c r="R593" s="66" t="str">
        <x:v>https://sidatagrun-public-1076756628210.asia-southeast2.run.app/ptn_sn.php?ptn=142</x:v>
      </x:c>
    </x:row>
    <x:row r="594">
      <x:c r="A594" s="87" t="n">
        <x:v>2260</x:v>
      </x:c>
      <x:c r="B594" s="87" t="n">
        <x:v>142</x:v>
      </x:c>
      <x:c r="C594" s="66" t="str">
        <x:v>UNIVERSITAS NEGERI PADANG</x:v>
      </x:c>
      <x:c r="D594" s="66" t="str">
        <x:v>PTN Akademik</x:v>
      </x:c>
      <x:c r="E594" s="66" t="str">
        <x:v>11421093</x:v>
      </x:c>
      <x:c r="F594" s="66" t="str">
        <x:v>PENDIDIKAN VOKASIONAL SENI KULINER</x:v>
      </x:c>
      <x:c r="G594" s="66" t="str">
        <x:v>Sarjana</x:v>
      </x:c>
      <x:c r="H594" s="87" t="n">
        <x:v>24</x:v>
      </x:c>
      <x:c r="I594" s="87" t="n">
        <x:v>134</x:v>
      </x:c>
      <x:c r="J594" s="68" t="n">
        <x:f>IFERROR(H594/I594,"")</x:f>
        <x:v>0.1791044776119403</x:v>
      </x:c>
      <x:c r="K594" s="69" t="n">
        <x:f>IFERROR(I594/H594,"")</x:f>
        <x:v>5.583333333333333</x:v>
      </x:c>
      <x:c r="L594" s="66" t="str">
        <x:f>IF(K594="","","1 : "&amp;TEXT(K594,"0.0"))</x:f>
        <x:v>1 : 5.6</x:v>
      </x:c>
      <x:c r="M594" s="66" t="str">
        <x:f>IF(J594="","Baru/Tanpa Data",IF(J594&lt;='Catatan &amp; Sumber'!$B$14,"Sangat Ketat",IF(J594&lt;='Catatan &amp; Sumber'!$B$15,"Ketat",IF(J594&lt;='Catatan &amp; Sumber'!$B$16,"Sedang","Relatif Longgar"))))</x:f>
        <x:v>Relatif Longgar</x:v>
      </x:c>
      <x:c r="N594" s="66" t="str">
        <x:v>Tidak Ada</x:v>
      </x:c>
      <x:c r="O594" s="66" t="str">
        <x:v>Sumatera Barat</x:v>
      </x:c>
      <x:c r="P594" s="66" t="str">
        <x:v>Kota Padang</x:v>
      </x:c>
      <x:c r="Q594" s="66" t="str">
        <x:v>https://snpmb.id/snbp/daya-tampung-snbp</x:v>
      </x:c>
      <x:c r="R594" s="66" t="str">
        <x:v>https://sidatagrun-public-1076756628210.asia-southeast2.run.app/ptn_sn.php?ptn=142</x:v>
      </x:c>
    </x:row>
    <x:row r="595">
      <x:c r="A595" s="87" t="n">
        <x:v>1766</x:v>
      </x:c>
      <x:c r="B595" s="87" t="n">
        <x:v>142</x:v>
      </x:c>
      <x:c r="C595" s="66" t="str">
        <x:v>UNIVERSITAS NEGERI PADANG</x:v>
      </x:c>
      <x:c r="D595" s="66" t="str">
        <x:v>PTN Akademik</x:v>
      </x:c>
      <x:c r="E595" s="66" t="str">
        <x:v>11421094</x:v>
      </x:c>
      <x:c r="F595" s="66" t="str">
        <x:v>PENDIDIKAN VOKASIONAL DESAIN FASHION</x:v>
      </x:c>
      <x:c r="G595" s="66" t="str">
        <x:v>Sarjana</x:v>
      </x:c>
      <x:c r="H595" s="87" t="n">
        <x:v>24</x:v>
      </x:c>
      <x:c r="I595" s="87" t="n">
        <x:v>185</x:v>
      </x:c>
      <x:c r="J595" s="68" t="n">
        <x:f>IFERROR(H595/I595,"")</x:f>
        <x:v>0.12972972972972974</x:v>
      </x:c>
      <x:c r="K595" s="69" t="n">
        <x:f>IFERROR(I595/H595,"")</x:f>
        <x:v>7.708333333333333</x:v>
      </x:c>
      <x:c r="L595" s="66" t="str">
        <x:f>IF(K595="","","1 : "&amp;TEXT(K595,"0.0"))</x:f>
        <x:v>1 : 7.7</x:v>
      </x:c>
      <x:c r="M595" s="66" t="str">
        <x:f>IF(J595="","Baru/Tanpa Data",IF(J595&lt;='Catatan &amp; Sumber'!$B$14,"Sangat Ketat",IF(J595&lt;='Catatan &amp; Sumber'!$B$15,"Ketat",IF(J595&lt;='Catatan &amp; Sumber'!$B$16,"Sedang","Relatif Longgar"))))</x:f>
        <x:v>Relatif Longgar</x:v>
      </x:c>
      <x:c r="N595" s="66" t="str">
        <x:v>Tidak Ada</x:v>
      </x:c>
      <x:c r="O595" s="66" t="str">
        <x:v>Sumatera Barat</x:v>
      </x:c>
      <x:c r="P595" s="66" t="str">
        <x:v>Kota Padang</x:v>
      </x:c>
      <x:c r="Q595" s="66" t="str">
        <x:v>https://snpmb.id/snbp/daya-tampung-snbp</x:v>
      </x:c>
      <x:c r="R595" s="66" t="str">
        <x:v>https://sidatagrun-public-1076756628210.asia-southeast2.run.app/ptn_sn.php?ptn=142</x:v>
      </x:c>
    </x:row>
    <x:row r="596">
      <x:c r="A596" s="87" t="n">
        <x:v>2721</x:v>
      </x:c>
      <x:c r="B596" s="87" t="n">
        <x:v>142</x:v>
      </x:c>
      <x:c r="C596" s="66" t="str">
        <x:v>UNIVERSITAS NEGERI PADANG</x:v>
      </x:c>
      <x:c r="D596" s="66" t="str">
        <x:v>PTN Akademik</x:v>
      </x:c>
      <x:c r="E596" s="66" t="str">
        <x:v>11421095</x:v>
      </x:c>
      <x:c r="F596" s="66" t="str">
        <x:v>ILMU LINGKUNGAN</x:v>
      </x:c>
      <x:c r="G596" s="66" t="str">
        <x:v>Sarjana</x:v>
      </x:c>
      <x:c r="H596" s="87" t="n">
        <x:v>24</x:v>
      </x:c>
      <x:c r="I596" s="87" t="n">
        <x:v>97</x:v>
      </x:c>
      <x:c r="J596" s="68" t="n">
        <x:f>IFERROR(H596/I596,"")</x:f>
        <x:v>0.24742268041237114</x:v>
      </x:c>
      <x:c r="K596" s="69" t="n">
        <x:f>IFERROR(I596/H596,"")</x:f>
        <x:v>4.041666666666667</x:v>
      </x:c>
      <x:c r="L596" s="66" t="str">
        <x:f>IF(K596="","","1 : "&amp;TEXT(K596,"0.0"))</x:f>
        <x:v>1 : 4.0</x:v>
      </x:c>
      <x:c r="M596" s="66" t="str">
        <x:f>IF(J596="","Baru/Tanpa Data",IF(J596&lt;='Catatan &amp; Sumber'!$B$14,"Sangat Ketat",IF(J596&lt;='Catatan &amp; Sumber'!$B$15,"Ketat",IF(J596&lt;='Catatan &amp; Sumber'!$B$16,"Sedang","Relatif Longgar"))))</x:f>
        <x:v>Relatif Longgar</x:v>
      </x:c>
      <x:c r="N596" s="66" t="str">
        <x:v>Tidak Ada</x:v>
      </x:c>
      <x:c r="O596" s="66" t="str">
        <x:v>Sumatera Barat</x:v>
      </x:c>
      <x:c r="P596" s="66" t="str">
        <x:v>Kota Padang</x:v>
      </x:c>
      <x:c r="Q596" s="66" t="str">
        <x:v>https://snpmb.id/snbp/daya-tampung-snbp</x:v>
      </x:c>
      <x:c r="R596" s="66" t="str">
        <x:v>https://sidatagrun-public-1076756628210.asia-southeast2.run.app/ptn_sn.php?ptn=142</x:v>
      </x:c>
    </x:row>
    <x:row r="597">
      <x:c r="A597" s="87" t="n">
        <x:v>2531</x:v>
      </x:c>
      <x:c r="B597" s="87" t="n">
        <x:v>142</x:v>
      </x:c>
      <x:c r="C597" s="66" t="str">
        <x:v>UNIVERSITAS NEGERI PADANG</x:v>
      </x:c>
      <x:c r="D597" s="66" t="str">
        <x:v>PTN Akademik</x:v>
      </x:c>
      <x:c r="E597" s="66" t="str">
        <x:v>11421096</x:v>
      </x:c>
      <x:c r="F597" s="66" t="str">
        <x:v>ILMU AKTUARIA</x:v>
      </x:c>
      <x:c r="G597" s="66" t="str">
        <x:v>Sarjana</x:v>
      </x:c>
      <x:c r="H597" s="87" t="n">
        <x:v>21</x:v>
      </x:c>
      <x:c r="I597" s="87" t="n">
        <x:v>97</x:v>
      </x:c>
      <x:c r="J597" s="68" t="n">
        <x:f>IFERROR(H597/I597,"")</x:f>
        <x:v>0.21649484536082475</x:v>
      </x:c>
      <x:c r="K597" s="69" t="n">
        <x:f>IFERROR(I597/H597,"")</x:f>
        <x:v>4.619047619047619</x:v>
      </x:c>
      <x:c r="L597" s="66" t="str">
        <x:f>IF(K597="","","1 : "&amp;TEXT(K597,"0.0"))</x:f>
        <x:v>1 : 4.6</x:v>
      </x:c>
      <x:c r="M597" s="66" t="str">
        <x:f>IF(J597="","Baru/Tanpa Data",IF(J597&lt;='Catatan &amp; Sumber'!$B$14,"Sangat Ketat",IF(J597&lt;='Catatan &amp; Sumber'!$B$15,"Ketat",IF(J597&lt;='Catatan &amp; Sumber'!$B$16,"Sedang","Relatif Longgar"))))</x:f>
        <x:v>Relatif Longgar</x:v>
      </x:c>
      <x:c r="N597" s="66" t="str">
        <x:v>Tidak Ada</x:v>
      </x:c>
      <x:c r="O597" s="66" t="str">
        <x:v>Sumatera Barat</x:v>
      </x:c>
      <x:c r="P597" s="66" t="str">
        <x:v>Kota Padang</x:v>
      </x:c>
      <x:c r="Q597" s="66" t="str">
        <x:v>https://snpmb.id/snbp/daya-tampung-snbp</x:v>
      </x:c>
      <x:c r="R597" s="66" t="str">
        <x:v>https://sidatagrun-public-1076756628210.asia-southeast2.run.app/ptn_sn.php?ptn=142</x:v>
      </x:c>
    </x:row>
    <x:row r="598">
      <x:c r="A598" s="87" t="n">
        <x:v>1741</x:v>
      </x:c>
      <x:c r="B598" s="87" t="n">
        <x:v>142</x:v>
      </x:c>
      <x:c r="C598" s="66" t="str">
        <x:v>UNIVERSITAS NEGERI PADANG</x:v>
      </x:c>
      <x:c r="D598" s="66" t="str">
        <x:v>PTN Akademik</x:v>
      </x:c>
      <x:c r="E598" s="66" t="str">
        <x:v>11421097</x:v>
      </x:c>
      <x:c r="F598" s="66" t="str">
        <x:v>MANAJEMEN BISNIS SYARIAH</x:v>
      </x:c>
      <x:c r="G598" s="66" t="str">
        <x:v>Sarjana</x:v>
      </x:c>
      <x:c r="H598" s="87" t="n">
        <x:v>27</x:v>
      </x:c>
      <x:c r="I598" s="87" t="n">
        <x:v>212</x:v>
      </x:c>
      <x:c r="J598" s="68" t="n">
        <x:f>IFERROR(H598/I598,"")</x:f>
        <x:v>0.12735849056603774</x:v>
      </x:c>
      <x:c r="K598" s="69" t="n">
        <x:f>IFERROR(I598/H598,"")</x:f>
        <x:v>7.851851851851852</x:v>
      </x:c>
      <x:c r="L598" s="66" t="str">
        <x:f>IF(K598="","","1 : "&amp;TEXT(K598,"0.0"))</x:f>
        <x:v>1 : 7.9</x:v>
      </x:c>
      <x:c r="M598" s="66" t="str">
        <x:f>IF(J598="","Baru/Tanpa Data",IF(J598&lt;='Catatan &amp; Sumber'!$B$14,"Sangat Ketat",IF(J598&lt;='Catatan &amp; Sumber'!$B$15,"Ketat",IF(J598&lt;='Catatan &amp; Sumber'!$B$16,"Sedang","Relatif Longgar"))))</x:f>
        <x:v>Relatif Longgar</x:v>
      </x:c>
      <x:c r="N598" s="66" t="str">
        <x:v>Tidak Ada</x:v>
      </x:c>
      <x:c r="O598" s="66" t="str">
        <x:v>Sumatera Barat</x:v>
      </x:c>
      <x:c r="P598" s="66" t="str">
        <x:v>Kota Padang</x:v>
      </x:c>
      <x:c r="Q598" s="66" t="str">
        <x:v>https://snpmb.id/snbp/daya-tampung-snbp</x:v>
      </x:c>
      <x:c r="R598" s="66" t="str">
        <x:v>https://sidatagrun-public-1076756628210.asia-southeast2.run.app/ptn_sn.php?ptn=142</x:v>
      </x:c>
    </x:row>
    <x:row r="599">
      <x:c r="A599" s="87" t="n">
        <x:v>2602</x:v>
      </x:c>
      <x:c r="B599" s="87" t="n">
        <x:v>142</x:v>
      </x:c>
      <x:c r="C599" s="66" t="str">
        <x:v>UNIVERSITAS NEGERI PADANG</x:v>
      </x:c>
      <x:c r="D599" s="66" t="str">
        <x:v>PTN Akademik</x:v>
      </x:c>
      <x:c r="E599" s="66" t="str">
        <x:v>11421098</x:v>
      </x:c>
      <x:c r="F599" s="66" t="str">
        <x:v>EKONOMI DAN KEUANGAN ISLAM</x:v>
      </x:c>
      <x:c r="G599" s="66" t="str">
        <x:v>Sarjana</x:v>
      </x:c>
      <x:c r="H599" s="87" t="n">
        <x:v>21</x:v>
      </x:c>
      <x:c r="I599" s="87" t="n">
        <x:v>92</x:v>
      </x:c>
      <x:c r="J599" s="68" t="n">
        <x:f>IFERROR(H599/I599,"")</x:f>
        <x:v>0.22826086956521738</x:v>
      </x:c>
      <x:c r="K599" s="69" t="n">
        <x:f>IFERROR(I599/H599,"")</x:f>
        <x:v>4.380952380952381</x:v>
      </x:c>
      <x:c r="L599" s="66" t="str">
        <x:f>IF(K599="","","1 : "&amp;TEXT(K599,"0.0"))</x:f>
        <x:v>1 : 4.4</x:v>
      </x:c>
      <x:c r="M599" s="66" t="str">
        <x:f>IF(J599="","Baru/Tanpa Data",IF(J599&lt;='Catatan &amp; Sumber'!$B$14,"Sangat Ketat",IF(J599&lt;='Catatan &amp; Sumber'!$B$15,"Ketat",IF(J599&lt;='Catatan &amp; Sumber'!$B$16,"Sedang","Relatif Longgar"))))</x:f>
        <x:v>Relatif Longgar</x:v>
      </x:c>
      <x:c r="N599" s="66" t="str">
        <x:v>Tidak Ada</x:v>
      </x:c>
      <x:c r="O599" s="66" t="str">
        <x:v>Sumatera Barat</x:v>
      </x:c>
      <x:c r="P599" s="66" t="str">
        <x:v>Kota Padang</x:v>
      </x:c>
      <x:c r="Q599" s="66" t="str">
        <x:v>https://snpmb.id/snbp/daya-tampung-snbp</x:v>
      </x:c>
      <x:c r="R599" s="66" t="str">
        <x:v>https://sidatagrun-public-1076756628210.asia-southeast2.run.app/ptn_sn.php?ptn=142</x:v>
      </x:c>
    </x:row>
    <x:row r="600">
      <x:c r="A600" s="87" t="n">
        <x:v>3006</x:v>
      </x:c>
      <x:c r="B600" s="87" t="n">
        <x:v>142</x:v>
      </x:c>
      <x:c r="C600" s="66" t="str">
        <x:v>UNIVERSITAS NEGERI PADANG</x:v>
      </x:c>
      <x:c r="D600" s="66" t="str">
        <x:v>PTN Akademik</x:v>
      </x:c>
      <x:c r="E600" s="66" t="str">
        <x:v>11421102</x:v>
      </x:c>
      <x:c r="F600" s="66" t="str">
        <x:v>ANTROPOLOGI</x:v>
      </x:c>
      <x:c r="G600" s="66" t="str">
        <x:v>Sarjana</x:v>
      </x:c>
      <x:c r="H600" s="87" t="n">
        <x:v>21</x:v>
      </x:c>
      <x:c r="I600" s="87" t="n">
        <x:v>71</x:v>
      </x:c>
      <x:c r="J600" s="68" t="n">
        <x:f>IFERROR(H600/I600,"")</x:f>
        <x:v>0.29577464788732394</x:v>
      </x:c>
      <x:c r="K600" s="69" t="n">
        <x:f>IFERROR(I600/H600,"")</x:f>
        <x:v>3.380952380952381</x:v>
      </x:c>
      <x:c r="L600" s="66" t="str">
        <x:f>IF(K600="","","1 : "&amp;TEXT(K600,"0.0"))</x:f>
        <x:v>1 : 3.4</x:v>
      </x:c>
      <x:c r="M600" s="66" t="str">
        <x:f>IF(J600="","Baru/Tanpa Data",IF(J600&lt;='Catatan &amp; Sumber'!$B$14,"Sangat Ketat",IF(J600&lt;='Catatan &amp; Sumber'!$B$15,"Ketat",IF(J600&lt;='Catatan &amp; Sumber'!$B$16,"Sedang","Relatif Longgar"))))</x:f>
        <x:v>Relatif Longgar</x:v>
      </x:c>
      <x:c r="N600" s="66" t="str">
        <x:v>Tidak Ada</x:v>
      </x:c>
      <x:c r="O600" s="66" t="str">
        <x:v>Sumatera Barat</x:v>
      </x:c>
      <x:c r="P600" s="66" t="str">
        <x:v>Kota Padang</x:v>
      </x:c>
      <x:c r="Q600" s="66" t="str">
        <x:v>https://snpmb.id/snbp/daya-tampung-snbp</x:v>
      </x:c>
      <x:c r="R600" s="66" t="str">
        <x:v>https://sidatagrun-public-1076756628210.asia-southeast2.run.app/ptn_sn.php?ptn=142</x:v>
      </x:c>
    </x:row>
    <x:row r="601">
      <x:c r="A601" s="87" t="n">
        <x:v>2593</x:v>
      </x:c>
      <x:c r="B601" s="87" t="n">
        <x:v>142</x:v>
      </x:c>
      <x:c r="C601" s="66" t="str">
        <x:v>UNIVERSITAS NEGERI PADANG</x:v>
      </x:c>
      <x:c r="D601" s="66" t="str">
        <x:v>PTN Akademik</x:v>
      </x:c>
      <x:c r="E601" s="66" t="str">
        <x:v>11422017</x:v>
      </x:c>
      <x:c r="F601" s="66" t="str">
        <x:v>TEKNIK ELEKTRO INDUSTRI (NK)</x:v>
      </x:c>
      <x:c r="G601" s="66" t="str">
        <x:v>Sarjana Terapan</x:v>
      </x:c>
      <x:c r="H601" s="87" t="n">
        <x:v>30</x:v>
      </x:c>
      <x:c r="I601" s="87" t="n">
        <x:v>132</x:v>
      </x:c>
      <x:c r="J601" s="68" t="n">
        <x:f>IFERROR(H601/I601,"")</x:f>
        <x:v>0.22727272727272727</x:v>
      </x:c>
      <x:c r="K601" s="69" t="n">
        <x:f>IFERROR(I601/H601,"")</x:f>
        <x:v>4.4</x:v>
      </x:c>
      <x:c r="L601" s="66" t="str">
        <x:f>IF(K601="","","1 : "&amp;TEXT(K601,"0.0"))</x:f>
        <x:v>1 : 4.4</x:v>
      </x:c>
      <x:c r="M601" s="66" t="str">
        <x:f>IF(J601="","Baru/Tanpa Data",IF(J601&lt;='Catatan &amp; Sumber'!$B$14,"Sangat Ketat",IF(J601&lt;='Catatan &amp; Sumber'!$B$15,"Ketat",IF(J601&lt;='Catatan &amp; Sumber'!$B$16,"Sedang","Relatif Longgar"))))</x:f>
        <x:v>Relatif Longgar</x:v>
      </x:c>
      <x:c r="N601" s="66" t="str">
        <x:v>Tidak Ada</x:v>
      </x:c>
      <x:c r="O601" s="66" t="str">
        <x:v>Sumatera Barat</x:v>
      </x:c>
      <x:c r="P601" s="66" t="str">
        <x:v>Kota Padang</x:v>
      </x:c>
      <x:c r="Q601" s="66" t="str">
        <x:v>https://snpmb.id/snbp/daya-tampung-snbp</x:v>
      </x:c>
      <x:c r="R601" s="66" t="str">
        <x:v>https://sidatagrun-public-1076756628210.asia-southeast2.run.app/ptn_sn.php?ptn=142</x:v>
      </x:c>
    </x:row>
    <x:row r="602">
      <x:c r="A602" s="87" t="n">
        <x:v>2032</x:v>
      </x:c>
      <x:c r="B602" s="87" t="n">
        <x:v>142</x:v>
      </x:c>
      <x:c r="C602" s="66" t="str">
        <x:v>UNIVERSITAS NEGERI PADANG</x:v>
      </x:c>
      <x:c r="D602" s="66" t="str">
        <x:v>PTN Akademik</x:v>
      </x:c>
      <x:c r="E602" s="66" t="str">
        <x:v>11422022</x:v>
      </x:c>
      <x:c r="F602" s="66" t="str">
        <x:v>ANIMASI</x:v>
      </x:c>
      <x:c r="G602" s="66" t="str">
        <x:v>Sarjana Terapan</x:v>
      </x:c>
      <x:c r="H602" s="87" t="n">
        <x:v>15</x:v>
      </x:c>
      <x:c r="I602" s="87" t="n">
        <x:v>97</x:v>
      </x:c>
      <x:c r="J602" s="68" t="n">
        <x:f>IFERROR(H602/I602,"")</x:f>
        <x:v>0.15463917525773196</x:v>
      </x:c>
      <x:c r="K602" s="69" t="n">
        <x:f>IFERROR(I602/H602,"")</x:f>
        <x:v>6.466666666666667</x:v>
      </x:c>
      <x:c r="L602" s="66" t="str">
        <x:f>IF(K602="","","1 : "&amp;TEXT(K602,"0.0"))</x:f>
        <x:v>1 : 6.5</x:v>
      </x:c>
      <x:c r="M602" s="66" t="str">
        <x:f>IF(J602="","Baru/Tanpa Data",IF(J602&lt;='Catatan &amp; Sumber'!$B$14,"Sangat Ketat",IF(J602&lt;='Catatan &amp; Sumber'!$B$15,"Ketat",IF(J602&lt;='Catatan &amp; Sumber'!$B$16,"Sedang","Relatif Longgar"))))</x:f>
        <x:v>Relatif Longgar</x:v>
      </x:c>
      <x:c r="N602" s="66" t="str">
        <x:v>Tidak Ada</x:v>
      </x:c>
      <x:c r="O602" s="66" t="str">
        <x:v>Sumatera Barat</x:v>
      </x:c>
      <x:c r="P602" s="66" t="str">
        <x:v>Kota Padang</x:v>
      </x:c>
      <x:c r="Q602" s="66" t="str">
        <x:v>https://snpmb.id/snbp/daya-tampung-snbp</x:v>
      </x:c>
      <x:c r="R602" s="66" t="str">
        <x:v>https://sidatagrun-public-1076756628210.asia-southeast2.run.app/ptn_sn.php?ptn=142</x:v>
      </x:c>
    </x:row>
    <x:row r="603">
      <x:c r="A603" s="87" t="n">
        <x:v>2273</x:v>
      </x:c>
      <x:c r="B603" s="87" t="n">
        <x:v>142</x:v>
      </x:c>
      <x:c r="C603" s="66" t="str">
        <x:v>UNIVERSITAS NEGERI PADANG</x:v>
      </x:c>
      <x:c r="D603" s="66" t="str">
        <x:v>PTN Akademik</x:v>
      </x:c>
      <x:c r="E603" s="66" t="str">
        <x:v>11422048</x:v>
      </x:c>
      <x:c r="F603" s="66" t="str">
        <x:v>PENDIDIKAN TATA RIAS DAN KECANTIKAN</x:v>
      </x:c>
      <x:c r="G603" s="66" t="str">
        <x:v>Sarjana Terapan</x:v>
      </x:c>
      <x:c r="H603" s="87" t="n">
        <x:v>51</x:v>
      </x:c>
      <x:c r="I603" s="87" t="n">
        <x:v>282</x:v>
      </x:c>
      <x:c r="J603" s="68" t="n">
        <x:f>IFERROR(H603/I603,"")</x:f>
        <x:v>0.18085106382978725</x:v>
      </x:c>
      <x:c r="K603" s="69" t="n">
        <x:f>IFERROR(I603/H603,"")</x:f>
        <x:v>5.529411764705882</x:v>
      </x:c>
      <x:c r="L603" s="66" t="str">
        <x:f>IF(K603="","","1 : "&amp;TEXT(K603,"0.0"))</x:f>
        <x:v>1 : 5.5</x:v>
      </x:c>
      <x:c r="M603" s="66" t="str">
        <x:f>IF(J603="","Baru/Tanpa Data",IF(J603&lt;='Catatan &amp; Sumber'!$B$14,"Sangat Ketat",IF(J603&lt;='Catatan &amp; Sumber'!$B$15,"Ketat",IF(J603&lt;='Catatan &amp; Sumber'!$B$16,"Sedang","Relatif Longgar"))))</x:f>
        <x:v>Relatif Longgar</x:v>
      </x:c>
      <x:c r="N603" s="66" t="str">
        <x:v>Tidak Ada</x:v>
      </x:c>
      <x:c r="O603" s="66" t="str">
        <x:v>Sumatera Barat</x:v>
      </x:c>
      <x:c r="P603" s="66" t="str">
        <x:v>Kota Padang</x:v>
      </x:c>
      <x:c r="Q603" s="66" t="str">
        <x:v>https://snpmb.id/snbp/daya-tampung-snbp</x:v>
      </x:c>
      <x:c r="R603" s="66" t="str">
        <x:v>https://sidatagrun-public-1076756628210.asia-southeast2.run.app/ptn_sn.php?ptn=142</x:v>
      </x:c>
    </x:row>
    <x:row r="604">
      <x:c r="A604" s="87" t="n">
        <x:v>2207</x:v>
      </x:c>
      <x:c r="B604" s="87" t="n">
        <x:v>142</x:v>
      </x:c>
      <x:c r="C604" s="66" t="str">
        <x:v>UNIVERSITAS NEGERI PADANG</x:v>
      </x:c>
      <x:c r="D604" s="66" t="str">
        <x:v>PTN Akademik</x:v>
      </x:c>
      <x:c r="E604" s="66" t="str">
        <x:v>11422052</x:v>
      </x:c>
      <x:c r="F604" s="66" t="str">
        <x:v>MANAJEMEN PERHOTELAN (NK)</x:v>
      </x:c>
      <x:c r="G604" s="66" t="str">
        <x:v>Sarjana Terapan</x:v>
      </x:c>
      <x:c r="H604" s="87" t="n">
        <x:v>55</x:v>
      </x:c>
      <x:c r="I604" s="87" t="n">
        <x:v>320</x:v>
      </x:c>
      <x:c r="J604" s="68" t="n">
        <x:f>IFERROR(H604/I604,"")</x:f>
        <x:v>0.171875</x:v>
      </x:c>
      <x:c r="K604" s="69" t="n">
        <x:f>IFERROR(I604/H604,"")</x:f>
        <x:v>5.818181818181818</x:v>
      </x:c>
      <x:c r="L604" s="66" t="str">
        <x:f>IF(K604="","","1 : "&amp;TEXT(K604,"0.0"))</x:f>
        <x:v>1 : 5.8</x:v>
      </x:c>
      <x:c r="M604" s="66" t="str">
        <x:f>IF(J604="","Baru/Tanpa Data",IF(J604&lt;='Catatan &amp; Sumber'!$B$14,"Sangat Ketat",IF(J604&lt;='Catatan &amp; Sumber'!$B$15,"Ketat",IF(J604&lt;='Catatan &amp; Sumber'!$B$16,"Sedang","Relatif Longgar"))))</x:f>
        <x:v>Relatif Longgar</x:v>
      </x:c>
      <x:c r="N604" s="66" t="str">
        <x:v>Tidak Ada</x:v>
      </x:c>
      <x:c r="O604" s="66" t="str">
        <x:v>Sumatera Barat</x:v>
      </x:c>
      <x:c r="P604" s="66" t="str">
        <x:v>Kota Padang</x:v>
      </x:c>
      <x:c r="Q604" s="66" t="str">
        <x:v>https://snpmb.id/snbp/daya-tampung-snbp</x:v>
      </x:c>
      <x:c r="R604" s="66" t="str">
        <x:v>https://sidatagrun-public-1076756628210.asia-southeast2.run.app/ptn_sn.php?ptn=142</x:v>
      </x:c>
    </x:row>
    <x:row r="605">
      <x:c r="A605" s="87" t="n">
        <x:v>3155</x:v>
      </x:c>
      <x:c r="B605" s="87" t="n">
        <x:v>142</x:v>
      </x:c>
      <x:c r="C605" s="66" t="str">
        <x:v>UNIVERSITAS NEGERI PADANG</x:v>
      </x:c>
      <x:c r="D605" s="66" t="str">
        <x:v>PTN Akademik</x:v>
      </x:c>
      <x:c r="E605" s="66" t="str">
        <x:v>11422076</x:v>
      </x:c>
      <x:c r="F605" s="66" t="str">
        <x:v>PENGINDERAAN JAUH DAN SISTEM INFORMASI GEOGRAFIS</x:v>
      </x:c>
      <x:c r="G605" s="66" t="str">
        <x:v>Sarjana Terapan</x:v>
      </x:c>
      <x:c r="H605" s="87" t="n">
        <x:v>24</x:v>
      </x:c>
      <x:c r="I605" s="87" t="n">
        <x:v>73</x:v>
      </x:c>
      <x:c r="J605" s="68" t="n">
        <x:f>IFERROR(H605/I605,"")</x:f>
        <x:v>0.3287671232876712</x:v>
      </x:c>
      <x:c r="K605" s="69" t="n">
        <x:f>IFERROR(I605/H605,"")</x:f>
        <x:v>3.0416666666666665</x:v>
      </x:c>
      <x:c r="L605" s="66" t="str">
        <x:f>IF(K605="","","1 : "&amp;TEXT(K605,"0.0"))</x:f>
        <x:v>1 : 3.0</x:v>
      </x:c>
      <x:c r="M605" s="66" t="str">
        <x:f>IF(J605="","Baru/Tanpa Data",IF(J605&lt;='Catatan &amp; Sumber'!$B$14,"Sangat Ketat",IF(J605&lt;='Catatan &amp; Sumber'!$B$15,"Ketat",IF(J605&lt;='Catatan &amp; Sumber'!$B$16,"Sedang","Relatif Longgar"))))</x:f>
        <x:v>Relatif Longgar</x:v>
      </x:c>
      <x:c r="N605" s="66" t="str">
        <x:v>Tidak Ada</x:v>
      </x:c>
      <x:c r="O605" s="66" t="str">
        <x:v>Sumatera Barat</x:v>
      </x:c>
      <x:c r="P605" s="66" t="str">
        <x:v>Kota Padang</x:v>
      </x:c>
      <x:c r="Q605" s="66" t="str">
        <x:v>https://snpmb.id/snbp/daya-tampung-snbp</x:v>
      </x:c>
      <x:c r="R605" s="66" t="str">
        <x:v>https://sidatagrun-public-1076756628210.asia-southeast2.run.app/ptn_sn.php?ptn=142</x:v>
      </x:c>
    </x:row>
    <x:row r="606">
      <x:c r="A606" s="87" t="n">
        <x:v>3774</x:v>
      </x:c>
      <x:c r="B606" s="87" t="n">
        <x:v>142</x:v>
      </x:c>
      <x:c r="C606" s="66" t="str">
        <x:v>UNIVERSITAS NEGERI PADANG</x:v>
      </x:c>
      <x:c r="D606" s="66" t="str">
        <x:v>PTN Akademik</x:v>
      </x:c>
      <x:c r="E606" s="66" t="str">
        <x:v>11422077</x:v>
      </x:c>
      <x:c r="F606" s="66" t="str">
        <x:v>TEKNOLOGI REKAYASA SISTEM ELEKTRONIKA</x:v>
      </x:c>
      <x:c r="G606" s="66" t="str">
        <x:v>Sarjana Terapan</x:v>
      </x:c>
      <x:c r="H606" s="87" t="n">
        <x:v>24</x:v>
      </x:c>
      <x:c r="I606" s="87" t="n">
        <x:v>43</x:v>
      </x:c>
      <x:c r="J606" s="68" t="n">
        <x:f>IFERROR(H606/I606,"")</x:f>
        <x:v>0.5581395348837209</x:v>
      </x:c>
      <x:c r="K606" s="69" t="n">
        <x:f>IFERROR(I606/H606,"")</x:f>
        <x:v>1.7916666666666667</x:v>
      </x:c>
      <x:c r="L606" s="66" t="str">
        <x:f>IF(K606="","","1 : "&amp;TEXT(K606,"0.0"))</x:f>
        <x:v>1 : 1.8</x:v>
      </x:c>
      <x:c r="M606" s="66" t="str">
        <x:f>IF(J606="","Baru/Tanpa Data",IF(J606&lt;='Catatan &amp; Sumber'!$B$14,"Sangat Ketat",IF(J606&lt;='Catatan &amp; Sumber'!$B$15,"Ketat",IF(J606&lt;='Catatan &amp; Sumber'!$B$16,"Sedang","Relatif Longgar"))))</x:f>
        <x:v>Relatif Longgar</x:v>
      </x:c>
      <x:c r="N606" s="66" t="str">
        <x:v>Tidak Ada</x:v>
      </x:c>
      <x:c r="O606" s="66" t="str">
        <x:v>Sumatera Barat</x:v>
      </x:c>
      <x:c r="P606" s="66" t="str">
        <x:v>Kota Padang</x:v>
      </x:c>
      <x:c r="Q606" s="66" t="str">
        <x:v>https://snpmb.id/snbp/daya-tampung-snbp</x:v>
      </x:c>
      <x:c r="R606" s="66" t="str">
        <x:v>https://sidatagrun-public-1076756628210.asia-southeast2.run.app/ptn_sn.php?ptn=142</x:v>
      </x:c>
    </x:row>
    <x:row r="607">
      <x:c r="A607" s="87" t="n">
        <x:v>4285</x:v>
      </x:c>
      <x:c r="B607" s="87" t="n">
        <x:v>142</x:v>
      </x:c>
      <x:c r="C607" s="66" t="str">
        <x:v>UNIVERSITAS NEGERI PADANG</x:v>
      </x:c>
      <x:c r="D607" s="66" t="str">
        <x:v>PTN Akademik</x:v>
      </x:c>
      <x:c r="E607" s="66" t="str">
        <x:v>11422099</x:v>
      </x:c>
      <x:c r="F607" s="66" t="str">
        <x:v>MANAJEMEN PERHOTELAN PSDKU PAYAKUMBUH</x:v>
      </x:c>
      <x:c r="G607" s="66" t="str">
        <x:v>Sarjana Terapan</x:v>
      </x:c>
      <x:c r="H607" s="87" t="n">
        <x:v>18</x:v>
      </x:c>
      <x:c r="I607" s="87" t="n">
        <x:v>19</x:v>
      </x:c>
      <x:c r="J607" s="68" t="n">
        <x:f>IFERROR(H607/I607,"")</x:f>
        <x:v>0.9473684210526315</x:v>
      </x:c>
      <x:c r="K607" s="69" t="n">
        <x:f>IFERROR(I607/H607,"")</x:f>
        <x:v>1.0555555555555556</x:v>
      </x:c>
      <x:c r="L607" s="66" t="str">
        <x:f>IF(K607="","","1 : "&amp;TEXT(K607,"0.0"))</x:f>
        <x:v>1 : 1.1</x:v>
      </x:c>
      <x:c r="M607" s="66" t="str">
        <x:f>IF(J607="","Baru/Tanpa Data",IF(J607&lt;='Catatan &amp; Sumber'!$B$14,"Sangat Ketat",IF(J607&lt;='Catatan &amp; Sumber'!$B$15,"Ketat",IF(J607&lt;='Catatan &amp; Sumber'!$B$16,"Sedang","Relatif Longgar"))))</x:f>
        <x:v>Relatif Longgar</x:v>
      </x:c>
      <x:c r="N607" s="66" t="str">
        <x:v>Tidak Ada</x:v>
      </x:c>
      <x:c r="O607" s="66" t="str">
        <x:v>Sumatera Barat</x:v>
      </x:c>
      <x:c r="P607" s="66" t="str">
        <x:v>Kota Padang</x:v>
      </x:c>
      <x:c r="Q607" s="66" t="str">
        <x:v>https://snpmb.id/snbp/daya-tampung-snbp</x:v>
      </x:c>
      <x:c r="R607" s="66" t="str">
        <x:v>https://sidatagrun-public-1076756628210.asia-southeast2.run.app/ptn_sn.php?ptn=142</x:v>
      </x:c>
    </x:row>
    <x:row r="608">
      <x:c r="A608" s="87" t="n">
        <x:v>2987</x:v>
      </x:c>
      <x:c r="B608" s="87" t="n">
        <x:v>142</x:v>
      </x:c>
      <x:c r="C608" s="66" t="str">
        <x:v>UNIVERSITAS NEGERI PADANG</x:v>
      </x:c>
      <x:c r="D608" s="66" t="str">
        <x:v>PTN Akademik</x:v>
      </x:c>
      <x:c r="E608" s="66" t="str">
        <x:v>11422100</x:v>
      </x:c>
      <x:c r="F608" s="66" t="str">
        <x:v>TEKNOLOGI KOSMETIK</x:v>
      </x:c>
      <x:c r="G608" s="66" t="str">
        <x:v>Sarjana Terapan</x:v>
      </x:c>
      <x:c r="H608" s="87" t="n">
        <x:v>9</x:v>
      </x:c>
      <x:c r="I608" s="87" t="n">
        <x:v>31</x:v>
      </x:c>
      <x:c r="J608" s="68" t="n">
        <x:f>IFERROR(H608/I608,"")</x:f>
        <x:v>0.2903225806451613</x:v>
      </x:c>
      <x:c r="K608" s="69" t="n">
        <x:f>IFERROR(I608/H608,"")</x:f>
        <x:v>3.4444444444444446</x:v>
      </x:c>
      <x:c r="L608" s="66" t="str">
        <x:f>IF(K608="","","1 : "&amp;TEXT(K608,"0.0"))</x:f>
        <x:v>1 : 3.4</x:v>
      </x:c>
      <x:c r="M608" s="66" t="str">
        <x:f>IF(J608="","Baru/Tanpa Data",IF(J608&lt;='Catatan &amp; Sumber'!$B$14,"Sangat Ketat",IF(J608&lt;='Catatan &amp; Sumber'!$B$15,"Ketat",IF(J608&lt;='Catatan &amp; Sumber'!$B$16,"Sedang","Relatif Longgar"))))</x:f>
        <x:v>Relatif Longgar</x:v>
      </x:c>
      <x:c r="N608" s="66" t="str">
        <x:v>Tidak Ada</x:v>
      </x:c>
      <x:c r="O608" s="66" t="str">
        <x:v>Sumatera Barat</x:v>
      </x:c>
      <x:c r="P608" s="66" t="str">
        <x:v>Kota Padang</x:v>
      </x:c>
      <x:c r="Q608" s="66" t="str">
        <x:v>https://snpmb.id/snbp/daya-tampung-snbp</x:v>
      </x:c>
      <x:c r="R608" s="66" t="str">
        <x:v>https://sidatagrun-public-1076756628210.asia-southeast2.run.app/ptn_sn.php?ptn=142</x:v>
      </x:c>
    </x:row>
    <x:row r="609">
      <x:c r="A609" s="87" t="n">
        <x:v>3537</x:v>
      </x:c>
      <x:c r="B609" s="87" t="n">
        <x:v>142</x:v>
      </x:c>
      <x:c r="C609" s="66" t="str">
        <x:v>UNIVERSITAS NEGERI PADANG</x:v>
      </x:c>
      <x:c r="D609" s="66" t="str">
        <x:v>PTN Akademik</x:v>
      </x:c>
      <x:c r="E609" s="66" t="str">
        <x:v>11423059</x:v>
      </x:c>
      <x:c r="F609" s="66" t="str">
        <x:v>TEKNIK SIPIL BANGUNAN GEDUNG</x:v>
      </x:c>
      <x:c r="G609" s="66" t="str">
        <x:v>Diploma Tiga</x:v>
      </x:c>
      <x:c r="H609" s="87" t="n">
        <x:v>21</x:v>
      </x:c>
      <x:c r="I609" s="87" t="n">
        <x:v>47</x:v>
      </x:c>
      <x:c r="J609" s="68" t="n">
        <x:f>IFERROR(H609/I609,"")</x:f>
        <x:v>0.44680851063829785</x:v>
      </x:c>
      <x:c r="K609" s="69" t="n">
        <x:f>IFERROR(I609/H609,"")</x:f>
        <x:v>2.238095238095238</x:v>
      </x:c>
      <x:c r="L609" s="66" t="str">
        <x:f>IF(K609="","","1 : "&amp;TEXT(K609,"0.0"))</x:f>
        <x:v>1 : 2.2</x:v>
      </x:c>
      <x:c r="M609" s="66" t="str">
        <x:f>IF(J609="","Baru/Tanpa Data",IF(J609&lt;='Catatan &amp; Sumber'!$B$14,"Sangat Ketat",IF(J609&lt;='Catatan &amp; Sumber'!$B$15,"Ketat",IF(J609&lt;='Catatan &amp; Sumber'!$B$16,"Sedang","Relatif Longgar"))))</x:f>
        <x:v>Relatif Longgar</x:v>
      </x:c>
      <x:c r="N609" s="66" t="str">
        <x:v>Tidak Ada</x:v>
      </x:c>
      <x:c r="O609" s="66" t="str">
        <x:v>Sumatera Barat</x:v>
      </x:c>
      <x:c r="P609" s="66" t="str">
        <x:v>Kota Padang</x:v>
      </x:c>
      <x:c r="Q609" s="66" t="str">
        <x:v>https://snpmb.id/snbp/daya-tampung-snbp</x:v>
      </x:c>
      <x:c r="R609" s="66" t="str">
        <x:v>https://sidatagrun-public-1076756628210.asia-southeast2.run.app/ptn_sn.php?ptn=142</x:v>
      </x:c>
    </x:row>
    <x:row r="610">
      <x:c r="A610" s="87" t="n">
        <x:v>2199</x:v>
      </x:c>
      <x:c r="B610" s="87" t="n">
        <x:v>142</x:v>
      </x:c>
      <x:c r="C610" s="66" t="str">
        <x:v>UNIVERSITAS NEGERI PADANG</x:v>
      </x:c>
      <x:c r="D610" s="66" t="str">
        <x:v>PTN Akademik</x:v>
      </x:c>
      <x:c r="E610" s="66" t="str">
        <x:v>11423060</x:v>
      </x:c>
      <x:c r="F610" s="66" t="str">
        <x:v>MANAJEMEN PAJAK</x:v>
      </x:c>
      <x:c r="G610" s="66" t="str">
        <x:v>Diploma Tiga</x:v>
      </x:c>
      <x:c r="H610" s="87" t="n">
        <x:v>36</x:v>
      </x:c>
      <x:c r="I610" s="87" t="n">
        <x:v>210</x:v>
      </x:c>
      <x:c r="J610" s="68" t="n">
        <x:f>IFERROR(H610/I610,"")</x:f>
        <x:v>0.17142857142857143</x:v>
      </x:c>
      <x:c r="K610" s="69" t="n">
        <x:f>IFERROR(I610/H610,"")</x:f>
        <x:v>5.833333333333333</x:v>
      </x:c>
      <x:c r="L610" s="66" t="str">
        <x:f>IF(K610="","","1 : "&amp;TEXT(K610,"0.0"))</x:f>
        <x:v>1 : 5.8</x:v>
      </x:c>
      <x:c r="M610" s="66" t="str">
        <x:f>IF(J610="","Baru/Tanpa Data",IF(J610&lt;='Catatan &amp; Sumber'!$B$14,"Sangat Ketat",IF(J610&lt;='Catatan &amp; Sumber'!$B$15,"Ketat",IF(J610&lt;='Catatan &amp; Sumber'!$B$16,"Sedang","Relatif Longgar"))))</x:f>
        <x:v>Relatif Longgar</x:v>
      </x:c>
      <x:c r="N610" s="66" t="str">
        <x:v>Tidak Ada</x:v>
      </x:c>
      <x:c r="O610" s="66" t="str">
        <x:v>Sumatera Barat</x:v>
      </x:c>
      <x:c r="P610" s="66" t="str">
        <x:v>Kota Padang</x:v>
      </x:c>
      <x:c r="Q610" s="66" t="str">
        <x:v>https://snpmb.id/snbp/daya-tampung-snbp</x:v>
      </x:c>
      <x:c r="R610" s="66" t="str">
        <x:v>https://sidatagrun-public-1076756628210.asia-southeast2.run.app/ptn_sn.php?ptn=142</x:v>
      </x:c>
    </x:row>
    <x:row r="611">
      <x:c r="A611" s="87" t="n">
        <x:v>2213</x:v>
      </x:c>
      <x:c r="B611" s="87" t="n">
        <x:v>142</x:v>
      </x:c>
      <x:c r="C611" s="66" t="str">
        <x:v>UNIVERSITAS NEGERI PADANG</x:v>
      </x:c>
      <x:c r="D611" s="66" t="str">
        <x:v>PTN Akademik</x:v>
      </x:c>
      <x:c r="E611" s="66" t="str">
        <x:v>11423062</x:v>
      </x:c>
      <x:c r="F611" s="66" t="str">
        <x:v>INFORMASI, PERPUSTAKAAN &amp; KEARSIPAN</x:v>
      </x:c>
      <x:c r="G611" s="66" t="str">
        <x:v>Diploma Tiga</x:v>
      </x:c>
      <x:c r="H611" s="87" t="n">
        <x:v>24</x:v>
      </x:c>
      <x:c r="I611" s="87" t="n">
        <x:v>138</x:v>
      </x:c>
      <x:c r="J611" s="68" t="n">
        <x:f>IFERROR(H611/I611,"")</x:f>
        <x:v>0.17391304347826086</x:v>
      </x:c>
      <x:c r="K611" s="69" t="n">
        <x:f>IFERROR(I611/H611,"")</x:f>
        <x:v>5.75</x:v>
      </x:c>
      <x:c r="L611" s="66" t="str">
        <x:f>IF(K611="","","1 : "&amp;TEXT(K611,"0.0"))</x:f>
        <x:v>1 : 5.8</x:v>
      </x:c>
      <x:c r="M611" s="66" t="str">
        <x:f>IF(J611="","Baru/Tanpa Data",IF(J611&lt;='Catatan &amp; Sumber'!$B$14,"Sangat Ketat",IF(J611&lt;='Catatan &amp; Sumber'!$B$15,"Ketat",IF(J611&lt;='Catatan &amp; Sumber'!$B$16,"Sedang","Relatif Longgar"))))</x:f>
        <x:v>Relatif Longgar</x:v>
      </x:c>
      <x:c r="N611" s="66" t="str">
        <x:v>Tidak Ada</x:v>
      </x:c>
      <x:c r="O611" s="66" t="str">
        <x:v>Sumatera Barat</x:v>
      </x:c>
      <x:c r="P611" s="66" t="str">
        <x:v>Kota Padang</x:v>
      </x:c>
      <x:c r="Q611" s="66" t="str">
        <x:v>https://snpmb.id/snbp/daya-tampung-snbp</x:v>
      </x:c>
      <x:c r="R611" s="66" t="str">
        <x:v>https://sidatagrun-public-1076756628210.asia-southeast2.run.app/ptn_sn.php?ptn=142</x:v>
      </x:c>
    </x:row>
    <x:row r="612">
      <x:c r="A612" s="87" t="n">
        <x:v>3455</x:v>
      </x:c>
      <x:c r="B612" s="87" t="n">
        <x:v>142</x:v>
      </x:c>
      <x:c r="C612" s="66" t="str">
        <x:v>UNIVERSITAS NEGERI PADANG</x:v>
      </x:c>
      <x:c r="D612" s="66" t="str">
        <x:v>PTN Akademik</x:v>
      </x:c>
      <x:c r="E612" s="66" t="str">
        <x:v>11423063</x:v>
      </x:c>
      <x:c r="F612" s="66" t="str">
        <x:v>TEKNIK LISTRIK</x:v>
      </x:c>
      <x:c r="G612" s="66" t="str">
        <x:v>Diploma Tiga</x:v>
      </x:c>
      <x:c r="H612" s="87" t="n">
        <x:v>24</x:v>
      </x:c>
      <x:c r="I612" s="87" t="n">
        <x:v>57</x:v>
      </x:c>
      <x:c r="J612" s="68" t="n">
        <x:f>IFERROR(H612/I612,"")</x:f>
        <x:v>0.42105263157894735</x:v>
      </x:c>
      <x:c r="K612" s="69" t="n">
        <x:f>IFERROR(I612/H612,"")</x:f>
        <x:v>2.375</x:v>
      </x:c>
      <x:c r="L612" s="66" t="str">
        <x:f>IF(K612="","","1 : "&amp;TEXT(K612,"0.0"))</x:f>
        <x:v>1 : 2.4</x:v>
      </x:c>
      <x:c r="M612" s="66" t="str">
        <x:f>IF(J612="","Baru/Tanpa Data",IF(J612&lt;='Catatan &amp; Sumber'!$B$14,"Sangat Ketat",IF(J612&lt;='Catatan &amp; Sumber'!$B$15,"Ketat",IF(J612&lt;='Catatan &amp; Sumber'!$B$16,"Sedang","Relatif Longgar"))))</x:f>
        <x:v>Relatif Longgar</x:v>
      </x:c>
      <x:c r="N612" s="66" t="str">
        <x:v>Tidak Ada</x:v>
      </x:c>
      <x:c r="O612" s="66" t="str">
        <x:v>Sumatera Barat</x:v>
      </x:c>
      <x:c r="P612" s="66" t="str">
        <x:v>Kota Padang</x:v>
      </x:c>
      <x:c r="Q612" s="66" t="str">
        <x:v>https://snpmb.id/snbp/daya-tampung-snbp</x:v>
      </x:c>
      <x:c r="R612" s="66" t="str">
        <x:v>https://sidatagrun-public-1076756628210.asia-southeast2.run.app/ptn_sn.php?ptn=142</x:v>
      </x:c>
    </x:row>
    <x:row r="613">
      <x:c r="A613" s="87" t="n">
        <x:v>1624</x:v>
      </x:c>
      <x:c r="B613" s="87" t="n">
        <x:v>142</x:v>
      </x:c>
      <x:c r="C613" s="66" t="str">
        <x:v>UNIVERSITAS NEGERI PADANG</x:v>
      </x:c>
      <x:c r="D613" s="66" t="str">
        <x:v>PTN Akademik</x:v>
      </x:c>
      <x:c r="E613" s="66" t="str">
        <x:v>11423064</x:v>
      </x:c>
      <x:c r="F613" s="66" t="str">
        <x:v>TATA BOGA</x:v>
      </x:c>
      <x:c r="G613" s="66" t="str">
        <x:v>Diploma Tiga</x:v>
      </x:c>
      <x:c r="H613" s="87" t="n">
        <x:v>36</x:v>
      </x:c>
      <x:c r="I613" s="87" t="n">
        <x:v>303</x:v>
      </x:c>
      <x:c r="J613" s="68" t="n">
        <x:f>IFERROR(H613/I613,"")</x:f>
        <x:v>0.1188118811881188</x:v>
      </x:c>
      <x:c r="K613" s="69" t="n">
        <x:f>IFERROR(I613/H613,"")</x:f>
        <x:v>8.416666666666666</x:v>
      </x:c>
      <x:c r="L613" s="66" t="str">
        <x:f>IF(K613="","","1 : "&amp;TEXT(K613,"0.0"))</x:f>
        <x:v>1 : 8.4</x:v>
      </x:c>
      <x:c r="M613" s="66" t="str">
        <x:f>IF(J613="","Baru/Tanpa Data",IF(J613&lt;='Catatan &amp; Sumber'!$B$14,"Sangat Ketat",IF(J613&lt;='Catatan &amp; Sumber'!$B$15,"Ketat",IF(J613&lt;='Catatan &amp; Sumber'!$B$16,"Sedang","Relatif Longgar"))))</x:f>
        <x:v>Relatif Longgar</x:v>
      </x:c>
      <x:c r="N613" s="66" t="str">
        <x:v>Tidak Ada</x:v>
      </x:c>
      <x:c r="O613" s="66" t="str">
        <x:v>Sumatera Barat</x:v>
      </x:c>
      <x:c r="P613" s="66" t="str">
        <x:v>Kota Padang</x:v>
      </x:c>
      <x:c r="Q613" s="66" t="str">
        <x:v>https://snpmb.id/snbp/daya-tampung-snbp</x:v>
      </x:c>
      <x:c r="R613" s="66" t="str">
        <x:v>https://sidatagrun-public-1076756628210.asia-southeast2.run.app/ptn_sn.php?ptn=142</x:v>
      </x:c>
    </x:row>
    <x:row r="614">
      <x:c r="A614" s="87" t="n">
        <x:v>4841</x:v>
      </x:c>
      <x:c r="B614" s="87" t="n">
        <x:v>142</x:v>
      </x:c>
      <x:c r="C614" s="66" t="str">
        <x:v>UNIVERSITAS NEGERI PADANG</x:v>
      </x:c>
      <x:c r="D614" s="66" t="str">
        <x:v>PTN Akademik</x:v>
      </x:c>
      <x:c r="E614" s="66" t="str">
        <x:v>11423065</x:v>
      </x:c>
      <x:c r="F614" s="66" t="str">
        <x:v>TEKNIK OTOMOTIF (KAMPUS KABUPATEN SAWAHLUNTO)</x:v>
      </x:c>
      <x:c r="G614" s="66" t="str">
        <x:v>Diploma Tiga</x:v>
      </x:c>
      <x:c r="H614" s="87" t="n">
        <x:v>15</x:v>
      </x:c>
      <x:c r="I614" s="87" t="n">
        <x:v>3</x:v>
      </x:c>
      <x:c r="J614" s="68" t="n">
        <x:f>IFERROR(H614/I614,"")</x:f>
        <x:v>5</x:v>
      </x:c>
      <x:c r="K614" s="69" t="n">
        <x:f>IFERROR(I614/H614,"")</x:f>
        <x:v>0.2</x:v>
      </x:c>
      <x:c r="L614" s="66" t="str">
        <x:f>IF(K614="","","1 : "&amp;TEXT(K614,"0.0"))</x:f>
        <x:v>1 : 0.2</x:v>
      </x:c>
      <x:c r="M614" s="66" t="str">
        <x:f>IF(J614="","Baru/Tanpa Data",IF(J614&lt;='Catatan &amp; Sumber'!$B$14,"Sangat Ketat",IF(J614&lt;='Catatan &amp; Sumber'!$B$15,"Ketat",IF(J614&lt;='Catatan &amp; Sumber'!$B$16,"Sedang","Relatif Longgar"))))</x:f>
        <x:v>Relatif Longgar</x:v>
      </x:c>
      <x:c r="N614" s="66" t="str">
        <x:v>Tidak Ada</x:v>
      </x:c>
      <x:c r="O614" s="66" t="str">
        <x:v>Sumatera Barat</x:v>
      </x:c>
      <x:c r="P614" s="66" t="str">
        <x:v>Kota Padang</x:v>
      </x:c>
      <x:c r="Q614" s="66" t="str">
        <x:v>https://snpmb.id/snbp/daya-tampung-snbp</x:v>
      </x:c>
      <x:c r="R614" s="66" t="str">
        <x:v>https://sidatagrun-public-1076756628210.asia-southeast2.run.app/ptn_sn.php?ptn=142</x:v>
      </x:c>
    </x:row>
    <x:row r="615">
      <x:c r="A615" s="87" t="n">
        <x:v>2883</x:v>
      </x:c>
      <x:c r="B615" s="87" t="n">
        <x:v>142</x:v>
      </x:c>
      <x:c r="C615" s="66" t="str">
        <x:v>UNIVERSITAS NEGERI PADANG</x:v>
      </x:c>
      <x:c r="D615" s="66" t="str">
        <x:v>PTN Akademik</x:v>
      </x:c>
      <x:c r="E615" s="66" t="str">
        <x:v>11423066</x:v>
      </x:c>
      <x:c r="F615" s="66" t="str">
        <x:v>KEPERAWATAN PSDKU PARIAMAN</x:v>
      </x:c>
      <x:c r="G615" s="66" t="str">
        <x:v>Diploma Tiga</x:v>
      </x:c>
      <x:c r="H615" s="87" t="n">
        <x:v>69</x:v>
      </x:c>
      <x:c r="I615" s="87" t="n">
        <x:v>254</x:v>
      </x:c>
      <x:c r="J615" s="68" t="n">
        <x:f>IFERROR(H615/I615,"")</x:f>
        <x:v>0.27165354330708663</x:v>
      </x:c>
      <x:c r="K615" s="69" t="n">
        <x:f>IFERROR(I615/H615,"")</x:f>
        <x:v>3.681159420289855</x:v>
      </x:c>
      <x:c r="L615" s="66" t="str">
        <x:f>IF(K615="","","1 : "&amp;TEXT(K615,"0.0"))</x:f>
        <x:v>1 : 3.7</x:v>
      </x:c>
      <x:c r="M615" s="66" t="str">
        <x:f>IF(J615="","Baru/Tanpa Data",IF(J615&lt;='Catatan &amp; Sumber'!$B$14,"Sangat Ketat",IF(J615&lt;='Catatan &amp; Sumber'!$B$15,"Ketat",IF(J615&lt;='Catatan &amp; Sumber'!$B$16,"Sedang","Relatif Longgar"))))</x:f>
        <x:v>Relatif Longgar</x:v>
      </x:c>
      <x:c r="N615" s="66" t="str">
        <x:v>Tidak Ada</x:v>
      </x:c>
      <x:c r="O615" s="66" t="str">
        <x:v>Sumatera Barat</x:v>
      </x:c>
      <x:c r="P615" s="66" t="str">
        <x:v>Kota Padang</x:v>
      </x:c>
      <x:c r="Q615" s="66" t="str">
        <x:v>https://snpmb.id/snbp/daya-tampung-snbp</x:v>
      </x:c>
      <x:c r="R615" s="66" t="str">
        <x:v>https://sidatagrun-public-1076756628210.asia-southeast2.run.app/ptn_sn.php?ptn=142</x:v>
      </x:c>
    </x:row>
    <x:row r="616">
      <x:c r="A616" s="87" t="n">
        <x:v>970</x:v>
      </x:c>
      <x:c r="B616" s="87" t="n">
        <x:v>142</x:v>
      </x:c>
      <x:c r="C616" s="66" t="str">
        <x:v>UNIVERSITAS NEGERI PADANG</x:v>
      </x:c>
      <x:c r="D616" s="66" t="str">
        <x:v>PTN Akademik</x:v>
      </x:c>
      <x:c r="E616" s="66" t="str">
        <x:v>11423068</x:v>
      </x:c>
      <x:c r="F616" s="66" t="str">
        <x:v>TEKNIK PERTAMBANGAN</x:v>
      </x:c>
      <x:c r="G616" s="66" t="str">
        <x:v>Diploma Tiga</x:v>
      </x:c>
      <x:c r="H616" s="87" t="n">
        <x:v>20</x:v>
      </x:c>
      <x:c r="I616" s="87" t="n">
        <x:v>262</x:v>
      </x:c>
      <x:c r="J616" s="68" t="n">
        <x:f>IFERROR(H616/I616,"")</x:f>
        <x:v>0.07633587786259542</x:v>
      </x:c>
      <x:c r="K616" s="69" t="n">
        <x:f>IFERROR(I616/H616,"")</x:f>
        <x:v>13.1</x:v>
      </x:c>
      <x:c r="L616" s="66" t="str">
        <x:f>IF(K616="","","1 : "&amp;TEXT(K616,"0.0"))</x:f>
        <x:v>1 : 13.1</x:v>
      </x:c>
      <x:c r="M616" s="66" t="str">
        <x:f>IF(J616="","Baru/Tanpa Data",IF(J616&lt;='Catatan &amp; Sumber'!$B$14,"Sangat Ketat",IF(J616&lt;='Catatan &amp; Sumber'!$B$15,"Ketat",IF(J616&lt;='Catatan &amp; Sumber'!$B$16,"Sedang","Relatif Longgar"))))</x:f>
        <x:v>Sedang</x:v>
      </x:c>
      <x:c r="N616" s="66" t="str">
        <x:v>Tidak Ada</x:v>
      </x:c>
      <x:c r="O616" s="66" t="str">
        <x:v>Sumatera Barat</x:v>
      </x:c>
      <x:c r="P616" s="66" t="str">
        <x:v>Kota Padang</x:v>
      </x:c>
      <x:c r="Q616" s="66" t="str">
        <x:v>https://snpmb.id/snbp/daya-tampung-snbp</x:v>
      </x:c>
      <x:c r="R616" s="66" t="str">
        <x:v>https://sidatagrun-public-1076756628210.asia-southeast2.run.app/ptn_sn.php?ptn=142</x:v>
      </x:c>
    </x:row>
    <x:row r="617">
      <x:c r="A617" s="87" t="n">
        <x:v>3025</x:v>
      </x:c>
      <x:c r="B617" s="87" t="n">
        <x:v>142</x:v>
      </x:c>
      <x:c r="C617" s="66" t="str">
        <x:v>UNIVERSITAS NEGERI PADANG</x:v>
      </x:c>
      <x:c r="D617" s="66" t="str">
        <x:v>PTN Akademik</x:v>
      </x:c>
      <x:c r="E617" s="66" t="str">
        <x:v>11423069</x:v>
      </x:c>
      <x:c r="F617" s="66" t="str">
        <x:v>MANAJEMEN PERDAGANGAN</x:v>
      </x:c>
      <x:c r="G617" s="66" t="str">
        <x:v>Diploma Tiga</x:v>
      </x:c>
      <x:c r="H617" s="87" t="n">
        <x:v>36</x:v>
      </x:c>
      <x:c r="I617" s="87" t="n">
        <x:v>120</x:v>
      </x:c>
      <x:c r="J617" s="68" t="n">
        <x:f>IFERROR(H617/I617,"")</x:f>
        <x:v>0.3</x:v>
      </x:c>
      <x:c r="K617" s="69" t="n">
        <x:f>IFERROR(I617/H617,"")</x:f>
        <x:v>3.3333333333333335</x:v>
      </x:c>
      <x:c r="L617" s="66" t="str">
        <x:f>IF(K617="","","1 : "&amp;TEXT(K617,"0.0"))</x:f>
        <x:v>1 : 3.3</x:v>
      </x:c>
      <x:c r="M617" s="66" t="str">
        <x:f>IF(J617="","Baru/Tanpa Data",IF(J617&lt;='Catatan &amp; Sumber'!$B$14,"Sangat Ketat",IF(J617&lt;='Catatan &amp; Sumber'!$B$15,"Ketat",IF(J617&lt;='Catatan &amp; Sumber'!$B$16,"Sedang","Relatif Longgar"))))</x:f>
        <x:v>Relatif Longgar</x:v>
      </x:c>
      <x:c r="N617" s="66" t="str">
        <x:v>Tidak Ada</x:v>
      </x:c>
      <x:c r="O617" s="66" t="str">
        <x:v>Sumatera Barat</x:v>
      </x:c>
      <x:c r="P617" s="66" t="str">
        <x:v>Kota Padang</x:v>
      </x:c>
      <x:c r="Q617" s="66" t="str">
        <x:v>https://snpmb.id/snbp/daya-tampung-snbp</x:v>
      </x:c>
      <x:c r="R617" s="66" t="str">
        <x:v>https://sidatagrun-public-1076756628210.asia-southeast2.run.app/ptn_sn.php?ptn=142</x:v>
      </x:c>
    </x:row>
    <x:row r="618">
      <x:c r="A618" s="87" t="n">
        <x:v>2708</x:v>
      </x:c>
      <x:c r="B618" s="87" t="n">
        <x:v>142</x:v>
      </x:c>
      <x:c r="C618" s="66" t="str">
        <x:v>UNIVERSITAS NEGERI PADANG</x:v>
      </x:c>
      <x:c r="D618" s="66" t="str">
        <x:v>PTN Akademik</x:v>
      </x:c>
      <x:c r="E618" s="66" t="str">
        <x:v>11423070</x:v>
      </x:c>
      <x:c r="F618" s="66" t="str">
        <x:v>AKUNTANSI</x:v>
      </x:c>
      <x:c r="G618" s="66" t="str">
        <x:v>Diploma Tiga</x:v>
      </x:c>
      <x:c r="H618" s="87" t="n">
        <x:v>36</x:v>
      </x:c>
      <x:c r="I618" s="87" t="n">
        <x:v>147</x:v>
      </x:c>
      <x:c r="J618" s="68" t="n">
        <x:f>IFERROR(H618/I618,"")</x:f>
        <x:v>0.24489795918367346</x:v>
      </x:c>
      <x:c r="K618" s="69" t="n">
        <x:f>IFERROR(I618/H618,"")</x:f>
        <x:v>4.083333333333333</x:v>
      </x:c>
      <x:c r="L618" s="66" t="str">
        <x:f>IF(K618="","","1 : "&amp;TEXT(K618,"0.0"))</x:f>
        <x:v>1 : 4.1</x:v>
      </x:c>
      <x:c r="M618" s="66" t="str">
        <x:f>IF(J618="","Baru/Tanpa Data",IF(J618&lt;='Catatan &amp; Sumber'!$B$14,"Sangat Ketat",IF(J618&lt;='Catatan &amp; Sumber'!$B$15,"Ketat",IF(J618&lt;='Catatan &amp; Sumber'!$B$16,"Sedang","Relatif Longgar"))))</x:f>
        <x:v>Relatif Longgar</x:v>
      </x:c>
      <x:c r="N618" s="66" t="str">
        <x:v>Tidak Ada</x:v>
      </x:c>
      <x:c r="O618" s="66" t="str">
        <x:v>Sumatera Barat</x:v>
      </x:c>
      <x:c r="P618" s="66" t="str">
        <x:v>Kota Padang</x:v>
      </x:c>
      <x:c r="Q618" s="66" t="str">
        <x:v>https://snpmb.id/snbp/daya-tampung-snbp</x:v>
      </x:c>
      <x:c r="R618" s="66" t="str">
        <x:v>https://sidatagrun-public-1076756628210.asia-southeast2.run.app/ptn_sn.php?ptn=142</x:v>
      </x:c>
    </x:row>
    <x:row r="619">
      <x:c r="A619" s="87" t="n">
        <x:v>2320</x:v>
      </x:c>
      <x:c r="B619" s="87" t="n">
        <x:v>142</x:v>
      </x:c>
      <x:c r="C619" s="66" t="str">
        <x:v>UNIVERSITAS NEGERI PADANG</x:v>
      </x:c>
      <x:c r="D619" s="66" t="str">
        <x:v>PTN Akademik</x:v>
      </x:c>
      <x:c r="E619" s="66" t="str">
        <x:v>11423071</x:v>
      </x:c>
      <x:c r="F619" s="66" t="str">
        <x:v>TEKNIK OTOMOTIF</x:v>
      </x:c>
      <x:c r="G619" s="66" t="str">
        <x:v>Diploma Tiga</x:v>
      </x:c>
      <x:c r="H619" s="87" t="n">
        <x:v>24</x:v>
      </x:c>
      <x:c r="I619" s="87" t="n">
        <x:v>129</x:v>
      </x:c>
      <x:c r="J619" s="68" t="n">
        <x:f>IFERROR(H619/I619,"")</x:f>
        <x:v>0.18604651162790697</x:v>
      </x:c>
      <x:c r="K619" s="69" t="n">
        <x:f>IFERROR(I619/H619,"")</x:f>
        <x:v>5.375</x:v>
      </x:c>
      <x:c r="L619" s="66" t="str">
        <x:f>IF(K619="","","1 : "&amp;TEXT(K619,"0.0"))</x:f>
        <x:v>1 : 5.4</x:v>
      </x:c>
      <x:c r="M619" s="66" t="str">
        <x:f>IF(J619="","Baru/Tanpa Data",IF(J619&lt;='Catatan &amp; Sumber'!$B$14,"Sangat Ketat",IF(J619&lt;='Catatan &amp; Sumber'!$B$15,"Ketat",IF(J619&lt;='Catatan &amp; Sumber'!$B$16,"Sedang","Relatif Longgar"))))</x:f>
        <x:v>Relatif Longgar</x:v>
      </x:c>
      <x:c r="N619" s="66" t="str">
        <x:v>Tidak Ada</x:v>
      </x:c>
      <x:c r="O619" s="66" t="str">
        <x:v>Sumatera Barat</x:v>
      </x:c>
      <x:c r="P619" s="66" t="str">
        <x:v>Kota Padang</x:v>
      </x:c>
      <x:c r="Q619" s="66" t="str">
        <x:v>https://snpmb.id/snbp/daya-tampung-snbp</x:v>
      </x:c>
      <x:c r="R619" s="66" t="str">
        <x:v>https://sidatagrun-public-1076756628210.asia-southeast2.run.app/ptn_sn.php?ptn=142</x:v>
      </x:c>
    </x:row>
    <x:row r="620">
      <x:c r="A620" s="87" t="n">
        <x:v>2866</x:v>
      </x:c>
      <x:c r="B620" s="87" t="n">
        <x:v>142</x:v>
      </x:c>
      <x:c r="C620" s="66" t="str">
        <x:v>UNIVERSITAS NEGERI PADANG</x:v>
      </x:c>
      <x:c r="D620" s="66" t="str">
        <x:v>PTN Akademik</x:v>
      </x:c>
      <x:c r="E620" s="66" t="str">
        <x:v>11423072</x:v>
      </x:c>
      <x:c r="F620" s="66" t="str">
        <x:v>TEKNIK MESIN</x:v>
      </x:c>
      <x:c r="G620" s="66" t="str">
        <x:v>Diploma Tiga</x:v>
      </x:c>
      <x:c r="H620" s="87" t="n">
        <x:v>27</x:v>
      </x:c>
      <x:c r="I620" s="87" t="n">
        <x:v>100</x:v>
      </x:c>
      <x:c r="J620" s="68" t="n">
        <x:f>IFERROR(H620/I620,"")</x:f>
        <x:v>0.27</x:v>
      </x:c>
      <x:c r="K620" s="69" t="n">
        <x:f>IFERROR(I620/H620,"")</x:f>
        <x:v>3.7037037037037037</x:v>
      </x:c>
      <x:c r="L620" s="66" t="str">
        <x:f>IF(K620="","","1 : "&amp;TEXT(K620,"0.0"))</x:f>
        <x:v>1 : 3.7</x:v>
      </x:c>
      <x:c r="M620" s="66" t="str">
        <x:f>IF(J620="","Baru/Tanpa Data",IF(J620&lt;='Catatan &amp; Sumber'!$B$14,"Sangat Ketat",IF(J620&lt;='Catatan &amp; Sumber'!$B$15,"Ketat",IF(J620&lt;='Catatan &amp; Sumber'!$B$16,"Sedang","Relatif Longgar"))))</x:f>
        <x:v>Relatif Longgar</x:v>
      </x:c>
      <x:c r="N620" s="66" t="str">
        <x:v>Tidak Ada</x:v>
      </x:c>
      <x:c r="O620" s="66" t="str">
        <x:v>Sumatera Barat</x:v>
      </x:c>
      <x:c r="P620" s="66" t="str">
        <x:v>Kota Padang</x:v>
      </x:c>
      <x:c r="Q620" s="66" t="str">
        <x:v>https://snpmb.id/snbp/daya-tampung-snbp</x:v>
      </x:c>
      <x:c r="R620" s="66" t="str">
        <x:v>https://sidatagrun-public-1076756628210.asia-southeast2.run.app/ptn_sn.php?ptn=142</x:v>
      </x:c>
    </x:row>
    <x:row r="621">
      <x:c r="A621" s="87" t="n">
        <x:v>3924</x:v>
      </x:c>
      <x:c r="B621" s="87" t="n">
        <x:v>142</x:v>
      </x:c>
      <x:c r="C621" s="66" t="str">
        <x:v>UNIVERSITAS NEGERI PADANG</x:v>
      </x:c>
      <x:c r="D621" s="66" t="str">
        <x:v>PTN Akademik</x:v>
      </x:c>
      <x:c r="E621" s="66" t="str">
        <x:v>11423073</x:v>
      </x:c>
      <x:c r="F621" s="66" t="str">
        <x:v>STATISTIKA</x:v>
      </x:c>
      <x:c r="G621" s="66" t="str">
        <x:v>Diploma Tiga</x:v>
      </x:c>
      <x:c r="H621" s="87" t="n">
        <x:v>16</x:v>
      </x:c>
      <x:c r="I621" s="87" t="n">
        <x:v>25</x:v>
      </x:c>
      <x:c r="J621" s="68" t="n">
        <x:f>IFERROR(H621/I621,"")</x:f>
        <x:v>0.64</x:v>
      </x:c>
      <x:c r="K621" s="69" t="n">
        <x:f>IFERROR(I621/H621,"")</x:f>
        <x:v>1.5625</x:v>
      </x:c>
      <x:c r="L621" s="66" t="str">
        <x:f>IF(K621="","","1 : "&amp;TEXT(K621,"0.0"))</x:f>
        <x:v>1 : 1.6</x:v>
      </x:c>
      <x:c r="M621" s="66" t="str">
        <x:f>IF(J621="","Baru/Tanpa Data",IF(J621&lt;='Catatan &amp; Sumber'!$B$14,"Sangat Ketat",IF(J621&lt;='Catatan &amp; Sumber'!$B$15,"Ketat",IF(J621&lt;='Catatan &amp; Sumber'!$B$16,"Sedang","Relatif Longgar"))))</x:f>
        <x:v>Relatif Longgar</x:v>
      </x:c>
      <x:c r="N621" s="66" t="str">
        <x:v>Tidak Ada</x:v>
      </x:c>
      <x:c r="O621" s="66" t="str">
        <x:v>Sumatera Barat</x:v>
      </x:c>
      <x:c r="P621" s="66" t="str">
        <x:v>Kota Padang</x:v>
      </x:c>
      <x:c r="Q621" s="66" t="str">
        <x:v>https://snpmb.id/snbp/daya-tampung-snbp</x:v>
      </x:c>
      <x:c r="R621" s="66" t="str">
        <x:v>https://sidatagrun-public-1076756628210.asia-southeast2.run.app/ptn_sn.php?ptn=142</x:v>
      </x:c>
    </x:row>
    <x:row r="622">
      <x:c r="A622" s="87" t="n">
        <x:v>3150</x:v>
      </x:c>
      <x:c r="B622" s="87" t="n">
        <x:v>142</x:v>
      </x:c>
      <x:c r="C622" s="66" t="str">
        <x:v>UNIVERSITAS NEGERI PADANG</x:v>
      </x:c>
      <x:c r="D622" s="66" t="str">
        <x:v>PTN Akademik</x:v>
      </x:c>
      <x:c r="E622" s="66" t="str">
        <x:v>11423074</x:v>
      </x:c>
      <x:c r="F622" s="66" t="str">
        <x:v>TEKNIK PERTAMBANGAN (KAMPUS KABUPATEN SAWAHLUNTO)</x:v>
      </x:c>
      <x:c r="G622" s="66" t="str">
        <x:v>Diploma Tiga</x:v>
      </x:c>
      <x:c r="H622" s="87" t="n">
        <x:v>20</x:v>
      </x:c>
      <x:c r="I622" s="87" t="n">
        <x:v>61</x:v>
      </x:c>
      <x:c r="J622" s="68" t="n">
        <x:f>IFERROR(H622/I622,"")</x:f>
        <x:v>0.32786885245901637</x:v>
      </x:c>
      <x:c r="K622" s="69" t="n">
        <x:f>IFERROR(I622/H622,"")</x:f>
        <x:v>3.05</x:v>
      </x:c>
      <x:c r="L622" s="66" t="str">
        <x:f>IF(K622="","","1 : "&amp;TEXT(K622,"0.0"))</x:f>
        <x:v>1 : 3.1</x:v>
      </x:c>
      <x:c r="M622" s="66" t="str">
        <x:f>IF(J622="","Baru/Tanpa Data",IF(J622&lt;='Catatan &amp; Sumber'!$B$14,"Sangat Ketat",IF(J622&lt;='Catatan &amp; Sumber'!$B$15,"Ketat",IF(J622&lt;='Catatan &amp; Sumber'!$B$16,"Sedang","Relatif Longgar"))))</x:f>
        <x:v>Relatif Longgar</x:v>
      </x:c>
      <x:c r="N622" s="66" t="str">
        <x:v>Tidak Ada</x:v>
      </x:c>
      <x:c r="O622" s="66" t="str">
        <x:v>Sumatera Barat</x:v>
      </x:c>
      <x:c r="P622" s="66" t="str">
        <x:v>Kota Padang</x:v>
      </x:c>
      <x:c r="Q622" s="66" t="str">
        <x:v>https://snpmb.id/snbp/daya-tampung-snbp</x:v>
      </x:c>
      <x:c r="R622" s="66" t="str">
        <x:v>https://sidatagrun-public-1076756628210.asia-southeast2.run.app/ptn_sn.php?ptn=142</x:v>
      </x:c>
    </x:row>
    <x:row r="623">
      <x:c r="A623" s="87" t="n">
        <x:v>2042</x:v>
      </x:c>
      <x:c r="B623" s="87" t="n">
        <x:v>142</x:v>
      </x:c>
      <x:c r="C623" s="66" t="str">
        <x:v>UNIVERSITAS NEGERI PADANG</x:v>
      </x:c>
      <x:c r="D623" s="66" t="str">
        <x:v>PTN Akademik</x:v>
      </x:c>
      <x:c r="E623" s="66" t="str">
        <x:v>11423075</x:v>
      </x:c>
      <x:c r="F623" s="66" t="str">
        <x:v>TATA BUSANA</x:v>
      </x:c>
      <x:c r="G623" s="66" t="str">
        <x:v>Diploma Tiga</x:v>
      </x:c>
      <x:c r="H623" s="87" t="n">
        <x:v>24</x:v>
      </x:c>
      <x:c r="I623" s="87" t="n">
        <x:v>154</x:v>
      </x:c>
      <x:c r="J623" s="68" t="n">
        <x:f>IFERROR(H623/I623,"")</x:f>
        <x:v>0.15584415584415584</x:v>
      </x:c>
      <x:c r="K623" s="69" t="n">
        <x:f>IFERROR(I623/H623,"")</x:f>
        <x:v>6.416666666666667</x:v>
      </x:c>
      <x:c r="L623" s="66" t="str">
        <x:f>IF(K623="","","1 : "&amp;TEXT(K623,"0.0"))</x:f>
        <x:v>1 : 6.4</x:v>
      </x:c>
      <x:c r="M623" s="66" t="str">
        <x:f>IF(J623="","Baru/Tanpa Data",IF(J623&lt;='Catatan &amp; Sumber'!$B$14,"Sangat Ketat",IF(J623&lt;='Catatan &amp; Sumber'!$B$15,"Ketat",IF(J623&lt;='Catatan &amp; Sumber'!$B$16,"Sedang","Relatif Longgar"))))</x:f>
        <x:v>Relatif Longgar</x:v>
      </x:c>
      <x:c r="N623" s="66" t="str">
        <x:v>Tidak Ada</x:v>
      </x:c>
      <x:c r="O623" s="66" t="str">
        <x:v>Sumatera Barat</x:v>
      </x:c>
      <x:c r="P623" s="66" t="str">
        <x:v>Kota Padang</x:v>
      </x:c>
      <x:c r="Q623" s="66" t="str">
        <x:v>https://snpmb.id/snbp/daya-tampung-snbp</x:v>
      </x:c>
      <x:c r="R623" s="66" t="str">
        <x:v>https://sidatagrun-public-1076756628210.asia-southeast2.run.app/ptn_sn.php?ptn=142</x:v>
      </x:c>
    </x:row>
    <x:row r="624">
      <x:c r="A624" s="87" t="n">
        <x:v>4198</x:v>
      </x:c>
      <x:c r="B624" s="87" t="n">
        <x:v>142</x:v>
      </x:c>
      <x:c r="C624" s="66" t="str">
        <x:v>UNIVERSITAS NEGERI PADANG</x:v>
      </x:c>
      <x:c r="D624" s="66" t="str">
        <x:v>PTN Akademik</x:v>
      </x:c>
      <x:c r="E624" s="66" t="str">
        <x:v>11423101</x:v>
      </x:c>
      <x:c r="F624" s="66" t="str">
        <x:v>TATA BOGA PSDKU PAYAKUMBUH</x:v>
      </x:c>
      <x:c r="G624" s="66" t="str">
        <x:v>Diploma Tiga</x:v>
      </x:c>
      <x:c r="H624" s="87" t="n">
        <x:v>12</x:v>
      </x:c>
      <x:c r="I624" s="87" t="n">
        <x:v>14</x:v>
      </x:c>
      <x:c r="J624" s="68" t="n">
        <x:f>IFERROR(H624/I624,"")</x:f>
        <x:v>0.8571428571428571</x:v>
      </x:c>
      <x:c r="K624" s="69" t="n">
        <x:f>IFERROR(I624/H624,"")</x:f>
        <x:v>1.1666666666666667</x:v>
      </x:c>
      <x:c r="L624" s="66" t="str">
        <x:f>IF(K624="","","1 : "&amp;TEXT(K624,"0.0"))</x:f>
        <x:v>1 : 1.2</x:v>
      </x:c>
      <x:c r="M624" s="66" t="str">
        <x:f>IF(J624="","Baru/Tanpa Data",IF(J624&lt;='Catatan &amp; Sumber'!$B$14,"Sangat Ketat",IF(J624&lt;='Catatan &amp; Sumber'!$B$15,"Ketat",IF(J624&lt;='Catatan &amp; Sumber'!$B$16,"Sedang","Relatif Longgar"))))</x:f>
        <x:v>Relatif Longgar</x:v>
      </x:c>
      <x:c r="N624" s="66" t="str">
        <x:v>Tidak Ada</x:v>
      </x:c>
      <x:c r="O624" s="66" t="str">
        <x:v>Sumatera Barat</x:v>
      </x:c>
      <x:c r="P624" s="66" t="str">
        <x:v>Kota Padang</x:v>
      </x:c>
      <x:c r="Q624" s="66" t="str">
        <x:v>https://snpmb.id/snbp/daya-tampung-snbp</x:v>
      </x:c>
      <x:c r="R624" s="66" t="str">
        <x:v>https://sidatagrun-public-1076756628210.asia-southeast2.run.app/ptn_sn.php?ptn=142</x:v>
      </x:c>
    </x:row>
    <x:row r="625">
      <x:c r="A625" s="87" t="n">
        <x:v>4439</x:v>
      </x:c>
      <x:c r="B625" s="87" t="n">
        <x:v>143</x:v>
      </x:c>
      <x:c r="C625" s="66" t="str">
        <x:v>ISI PADANG PANJANG</x:v>
      </x:c>
      <x:c r="D625" s="66" t="str">
        <x:v>PTN Akademik</x:v>
      </x:c>
      <x:c r="E625" s="66" t="str">
        <x:v>11431001</x:v>
      </x:c>
      <x:c r="F625" s="66" t="str">
        <x:v>SENI KARAWITAN</x:v>
      </x:c>
      <x:c r="G625" s="66" t="str">
        <x:v>Sarjana</x:v>
      </x:c>
      <x:c r="H625" s="87" t="n">
        <x:v>30</x:v>
      </x:c>
      <x:c r="I625" s="87" t="n">
        <x:v>25</x:v>
      </x:c>
      <x:c r="J625" s="68" t="n">
        <x:f>IFERROR(H625/I625,"")</x:f>
        <x:v>1.2</x:v>
      </x:c>
      <x:c r="K625" s="69" t="n">
        <x:f>IFERROR(I625/H625,"")</x:f>
        <x:v>0.8333333333333334</x:v>
      </x:c>
      <x:c r="L625" s="66" t="str">
        <x:f>IF(K625="","","1 : "&amp;TEXT(K625,"0.0"))</x:f>
        <x:v>1 : 0.8</x:v>
      </x:c>
      <x:c r="M625" s="66" t="str">
        <x:f>IF(J625="","Baru/Tanpa Data",IF(J625&lt;='Catatan &amp; Sumber'!$B$14,"Sangat Ketat",IF(J625&lt;='Catatan &amp; Sumber'!$B$15,"Ketat",IF(J625&lt;='Catatan &amp; Sumber'!$B$16,"Sedang","Relatif Longgar"))))</x:f>
        <x:v>Relatif Longgar</x:v>
      </x:c>
      <x:c r="N625" s="66" t="str">
        <x:v>Seni Karawitan</x:v>
      </x:c>
      <x:c r="O625" s="66" t="str">
        <x:v>Sumatera Barat</x:v>
      </x:c>
      <x:c r="P625" s="66" t="str">
        <x:v>Kota Padang Panjang</x:v>
      </x:c>
      <x:c r="Q625" s="66" t="str">
        <x:v>https://snpmb.id/snbp/daya-tampung-snbp</x:v>
      </x:c>
      <x:c r="R625" s="66" t="str">
        <x:v>https://sidatagrun-public-1076756628210.asia-southeast2.run.app/ptn_sn.php?ptn=143</x:v>
      </x:c>
    </x:row>
    <x:row r="626">
      <x:c r="A626" s="87" t="n">
        <x:v>3680</x:v>
      </x:c>
      <x:c r="B626" s="87" t="n">
        <x:v>143</x:v>
      </x:c>
      <x:c r="C626" s="66" t="str">
        <x:v>ISI PADANG PANJANG</x:v>
      </x:c>
      <x:c r="D626" s="66" t="str">
        <x:v>PTN Akademik</x:v>
      </x:c>
      <x:c r="E626" s="66" t="str">
        <x:v>11431002</x:v>
      </x:c>
      <x:c r="F626" s="66" t="str">
        <x:v>SENI TARI</x:v>
      </x:c>
      <x:c r="G626" s="66" t="str">
        <x:v>Sarjana</x:v>
      </x:c>
      <x:c r="H626" s="87" t="n">
        <x:v>58</x:v>
      </x:c>
      <x:c r="I626" s="87" t="n">
        <x:v>114</x:v>
      </x:c>
      <x:c r="J626" s="68" t="n">
        <x:f>IFERROR(H626/I626,"")</x:f>
        <x:v>0.5087719298245614</x:v>
      </x:c>
      <x:c r="K626" s="69" t="n">
        <x:f>IFERROR(I626/H626,"")</x:f>
        <x:v>1.9655172413793103</x:v>
      </x:c>
      <x:c r="L626" s="66" t="str">
        <x:f>IF(K626="","","1 : "&amp;TEXT(K626,"0.0"))</x:f>
        <x:v>1 : 2.0</x:v>
      </x:c>
      <x:c r="M626" s="66" t="str">
        <x:f>IF(J626="","Baru/Tanpa Data",IF(J626&lt;='Catatan &amp; Sumber'!$B$14,"Sangat Ketat",IF(J626&lt;='Catatan &amp; Sumber'!$B$15,"Ketat",IF(J626&lt;='Catatan &amp; Sumber'!$B$16,"Sedang","Relatif Longgar"))))</x:f>
        <x:v>Relatif Longgar</x:v>
      </x:c>
      <x:c r="N626" s="66" t="str">
        <x:v>Tari</x:v>
      </x:c>
      <x:c r="O626" s="66" t="str">
        <x:v>Sumatera Barat</x:v>
      </x:c>
      <x:c r="P626" s="66" t="str">
        <x:v>Kota Padang Panjang</x:v>
      </x:c>
      <x:c r="Q626" s="66" t="str">
        <x:v>https://snpmb.id/snbp/daya-tampung-snbp</x:v>
      </x:c>
      <x:c r="R626" s="66" t="str">
        <x:v>https://sidatagrun-public-1076756628210.asia-southeast2.run.app/ptn_sn.php?ptn=143</x:v>
      </x:c>
    </x:row>
    <x:row r="627">
      <x:c r="A627" s="87" t="n">
        <x:v>3865</x:v>
      </x:c>
      <x:c r="B627" s="87" t="n">
        <x:v>143</x:v>
      </x:c>
      <x:c r="C627" s="66" t="str">
        <x:v>ISI PADANG PANJANG</x:v>
      </x:c>
      <x:c r="D627" s="66" t="str">
        <x:v>PTN Akademik</x:v>
      </x:c>
      <x:c r="E627" s="66" t="str">
        <x:v>11431003</x:v>
      </x:c>
      <x:c r="F627" s="66" t="str">
        <x:v>SENI MUSIK</x:v>
      </x:c>
      <x:c r="G627" s="66" t="str">
        <x:v>Sarjana</x:v>
      </x:c>
      <x:c r="H627" s="87" t="n">
        <x:v>40</x:v>
      </x:c>
      <x:c r="I627" s="87" t="n">
        <x:v>66</x:v>
      </x:c>
      <x:c r="J627" s="68" t="n">
        <x:f>IFERROR(H627/I627,"")</x:f>
        <x:v>0.6060606060606061</x:v>
      </x:c>
      <x:c r="K627" s="69" t="n">
        <x:f>IFERROR(I627/H627,"")</x:f>
        <x:v>1.65</x:v>
      </x:c>
      <x:c r="L627" s="66" t="str">
        <x:f>IF(K627="","","1 : "&amp;TEXT(K627,"0.0"))</x:f>
        <x:v>1 : 1.7</x:v>
      </x:c>
      <x:c r="M627" s="66" t="str">
        <x:f>IF(J627="","Baru/Tanpa Data",IF(J627&lt;='Catatan &amp; Sumber'!$B$14,"Sangat Ketat",IF(J627&lt;='Catatan &amp; Sumber'!$B$15,"Ketat",IF(J627&lt;='Catatan &amp; Sumber'!$B$16,"Sedang","Relatif Longgar"))))</x:f>
        <x:v>Relatif Longgar</x:v>
      </x:c>
      <x:c r="N627" s="66" t="str">
        <x:v>Musik</x:v>
      </x:c>
      <x:c r="O627" s="66" t="str">
        <x:v>Sumatera Barat</x:v>
      </x:c>
      <x:c r="P627" s="66" t="str">
        <x:v>Kota Padang Panjang</x:v>
      </x:c>
      <x:c r="Q627" s="66" t="str">
        <x:v>https://snpmb.id/snbp/daya-tampung-snbp</x:v>
      </x:c>
      <x:c r="R627" s="66" t="str">
        <x:v>https://sidatagrun-public-1076756628210.asia-southeast2.run.app/ptn_sn.php?ptn=143</x:v>
      </x:c>
    </x:row>
    <x:row r="628">
      <x:c r="A628" s="87" t="n">
        <x:v>4545</x:v>
      </x:c>
      <x:c r="B628" s="87" t="n">
        <x:v>143</x:v>
      </x:c>
      <x:c r="C628" s="66" t="str">
        <x:v>ISI PADANG PANJANG</x:v>
      </x:c>
      <x:c r="D628" s="66" t="str">
        <x:v>PTN Akademik</x:v>
      </x:c>
      <x:c r="E628" s="66" t="str">
        <x:v>11431004</x:v>
      </x:c>
      <x:c r="F628" s="66" t="str">
        <x:v>SENI TEATER</x:v>
      </x:c>
      <x:c r="G628" s="66" t="str">
        <x:v>Sarjana</x:v>
      </x:c>
      <x:c r="H628" s="87" t="n">
        <x:v>15</x:v>
      </x:c>
      <x:c r="I628" s="87" t="n">
        <x:v>10</x:v>
      </x:c>
      <x:c r="J628" s="68" t="n">
        <x:f>IFERROR(H628/I628,"")</x:f>
        <x:v>1.5</x:v>
      </x:c>
      <x:c r="K628" s="69" t="n">
        <x:f>IFERROR(I628/H628,"")</x:f>
        <x:v>0.6666666666666666</x:v>
      </x:c>
      <x:c r="L628" s="66" t="str">
        <x:f>IF(K628="","","1 : "&amp;TEXT(K628,"0.0"))</x:f>
        <x:v>1 : 0.7</x:v>
      </x:c>
      <x:c r="M628" s="66" t="str">
        <x:f>IF(J628="","Baru/Tanpa Data",IF(J628&lt;='Catatan &amp; Sumber'!$B$14,"Sangat Ketat",IF(J628&lt;='Catatan &amp; Sumber'!$B$15,"Ketat",IF(J628&lt;='Catatan &amp; Sumber'!$B$16,"Sedang","Relatif Longgar"))))</x:f>
        <x:v>Relatif Longgar</x:v>
      </x:c>
      <x:c r="N628" s="66" t="str">
        <x:v>Teater</x:v>
      </x:c>
      <x:c r="O628" s="66" t="str">
        <x:v>Sumatera Barat</x:v>
      </x:c>
      <x:c r="P628" s="66" t="str">
        <x:v>Kota Padang Panjang</x:v>
      </x:c>
      <x:c r="Q628" s="66" t="str">
        <x:v>https://snpmb.id/snbp/daya-tampung-snbp</x:v>
      </x:c>
      <x:c r="R628" s="66" t="str">
        <x:v>https://sidatagrun-public-1076756628210.asia-southeast2.run.app/ptn_sn.php?ptn=143</x:v>
      </x:c>
    </x:row>
    <x:row r="629">
      <x:c r="A629" s="87" t="n">
        <x:v>4753</x:v>
      </x:c>
      <x:c r="B629" s="87" t="n">
        <x:v>143</x:v>
      </x:c>
      <x:c r="C629" s="66" t="str">
        <x:v>ISI PADANG PANJANG</x:v>
      </x:c>
      <x:c r="D629" s="66" t="str">
        <x:v>PTN Akademik</x:v>
      </x:c>
      <x:c r="E629" s="66" t="str">
        <x:v>11431005</x:v>
      </x:c>
      <x:c r="F629" s="66" t="str">
        <x:v>SENI KRIYA</x:v>
      </x:c>
      <x:c r="G629" s="66" t="str">
        <x:v>Sarjana</x:v>
      </x:c>
      <x:c r="H629" s="87" t="n">
        <x:v>20</x:v>
      </x:c>
      <x:c r="I629" s="87" t="n">
        <x:v>7</x:v>
      </x:c>
      <x:c r="J629" s="68" t="n">
        <x:f>IFERROR(H629/I629,"")</x:f>
        <x:v>2.857142857142857</x:v>
      </x:c>
      <x:c r="K629" s="69" t="n">
        <x:f>IFERROR(I629/H629,"")</x:f>
        <x:v>0.35</x:v>
      </x:c>
      <x:c r="L629" s="66" t="str">
        <x:f>IF(K629="","","1 : "&amp;TEXT(K629,"0.0"))</x:f>
        <x:v>1 : 0.4</x:v>
      </x:c>
      <x:c r="M629" s="66" t="str">
        <x:f>IF(J629="","Baru/Tanpa Data",IF(J629&lt;='Catatan &amp; Sumber'!$B$14,"Sangat Ketat",IF(J629&lt;='Catatan &amp; Sumber'!$B$15,"Ketat",IF(J629&lt;='Catatan &amp; Sumber'!$B$16,"Sedang","Relatif Longgar"))))</x:f>
        <x:v>Relatif Longgar</x:v>
      </x:c>
      <x:c r="N629" s="66" t="str">
        <x:v>Seni Rupa, Desain, dan Kriya</x:v>
      </x:c>
      <x:c r="O629" s="66" t="str">
        <x:v>Sumatera Barat</x:v>
      </x:c>
      <x:c r="P629" s="66" t="str">
        <x:v>Kota Padang Panjang</x:v>
      </x:c>
      <x:c r="Q629" s="66" t="str">
        <x:v>https://snpmb.id/snbp/daya-tampung-snbp</x:v>
      </x:c>
      <x:c r="R629" s="66" t="str">
        <x:v>https://sidatagrun-public-1076756628210.asia-southeast2.run.app/ptn_sn.php?ptn=143</x:v>
      </x:c>
    </x:row>
    <x:row r="630">
      <x:c r="A630" s="87" t="n">
        <x:v>4085</x:v>
      </x:c>
      <x:c r="B630" s="87" t="n">
        <x:v>143</x:v>
      </x:c>
      <x:c r="C630" s="66" t="str">
        <x:v>ISI PADANG PANJANG</x:v>
      </x:c>
      <x:c r="D630" s="66" t="str">
        <x:v>PTN Akademik</x:v>
      </x:c>
      <x:c r="E630" s="66" t="str">
        <x:v>11431006</x:v>
      </x:c>
      <x:c r="F630" s="66" t="str">
        <x:v>TV DAN FILM</x:v>
      </x:c>
      <x:c r="G630" s="66" t="str">
        <x:v>Sarjana</x:v>
      </x:c>
      <x:c r="H630" s="87" t="n">
        <x:v>60</x:v>
      </x:c>
      <x:c r="I630" s="87" t="n">
        <x:v>80</x:v>
      </x:c>
      <x:c r="J630" s="68" t="n">
        <x:f>IFERROR(H630/I630,"")</x:f>
        <x:v>0.75</x:v>
      </x:c>
      <x:c r="K630" s="69" t="n">
        <x:f>IFERROR(I630/H630,"")</x:f>
        <x:v>1.3333333333333333</x:v>
      </x:c>
      <x:c r="L630" s="66" t="str">
        <x:f>IF(K630="","","1 : "&amp;TEXT(K630,"0.0"))</x:f>
        <x:v>1 : 1.3</x:v>
      </x:c>
      <x:c r="M630" s="66" t="str">
        <x:f>IF(J630="","Baru/Tanpa Data",IF(J630&lt;='Catatan &amp; Sumber'!$B$14,"Sangat Ketat",IF(J630&lt;='Catatan &amp; Sumber'!$B$15,"Ketat",IF(J630&lt;='Catatan &amp; Sumber'!$B$16,"Sedang","Relatif Longgar"))))</x:f>
        <x:v>Relatif Longgar</x:v>
      </x:c>
      <x:c r="N630" s="66" t="str">
        <x:v>Film dan Televisi</x:v>
      </x:c>
      <x:c r="O630" s="66" t="str">
        <x:v>Sumatera Barat</x:v>
      </x:c>
      <x:c r="P630" s="66" t="str">
        <x:v>Kota Padang Panjang</x:v>
      </x:c>
      <x:c r="Q630" s="66" t="str">
        <x:v>https://snpmb.id/snbp/daya-tampung-snbp</x:v>
      </x:c>
      <x:c r="R630" s="66" t="str">
        <x:v>https://sidatagrun-public-1076756628210.asia-southeast2.run.app/ptn_sn.php?ptn=143</x:v>
      </x:c>
    </x:row>
    <x:row r="631">
      <x:c r="A631" s="87" t="n">
        <x:v>4532</x:v>
      </x:c>
      <x:c r="B631" s="87" t="n">
        <x:v>143</x:v>
      </x:c>
      <x:c r="C631" s="66" t="str">
        <x:v>ISI PADANG PANJANG</x:v>
      </x:c>
      <x:c r="D631" s="66" t="str">
        <x:v>PTN Akademik</x:v>
      </x:c>
      <x:c r="E631" s="66" t="str">
        <x:v>11431007</x:v>
      </x:c>
      <x:c r="F631" s="66" t="str">
        <x:v>SENI MURNI</x:v>
      </x:c>
      <x:c r="G631" s="66" t="str">
        <x:v>Sarjana</x:v>
      </x:c>
      <x:c r="H631" s="87" t="n">
        <x:v>20</x:v>
      </x:c>
      <x:c r="I631" s="87" t="n">
        <x:v>14</x:v>
      </x:c>
      <x:c r="J631" s="68" t="n">
        <x:f>IFERROR(H631/I631,"")</x:f>
        <x:v>1.4285714285714286</x:v>
      </x:c>
      <x:c r="K631" s="69" t="n">
        <x:f>IFERROR(I631/H631,"")</x:f>
        <x:v>0.7</x:v>
      </x:c>
      <x:c r="L631" s="66" t="str">
        <x:f>IF(K631="","","1 : "&amp;TEXT(K631,"0.0"))</x:f>
        <x:v>1 : 0.7</x:v>
      </x:c>
      <x:c r="M631" s="66" t="str">
        <x:f>IF(J631="","Baru/Tanpa Data",IF(J631&lt;='Catatan &amp; Sumber'!$B$14,"Sangat Ketat",IF(J631&lt;='Catatan &amp; Sumber'!$B$15,"Ketat",IF(J631&lt;='Catatan &amp; Sumber'!$B$16,"Sedang","Relatif Longgar"))))</x:f>
        <x:v>Relatif Longgar</x:v>
      </x:c>
      <x:c r="N631" s="66" t="str">
        <x:v>Seni Rupa, Desain, dan Kriya</x:v>
      </x:c>
      <x:c r="O631" s="66" t="str">
        <x:v>Sumatera Barat</x:v>
      </x:c>
      <x:c r="P631" s="66" t="str">
        <x:v>Kota Padang Panjang</x:v>
      </x:c>
      <x:c r="Q631" s="66" t="str">
        <x:v>https://snpmb.id/snbp/daya-tampung-snbp</x:v>
      </x:c>
      <x:c r="R631" s="66" t="str">
        <x:v>https://sidatagrun-public-1076756628210.asia-southeast2.run.app/ptn_sn.php?ptn=143</x:v>
      </x:c>
    </x:row>
    <x:row r="632">
      <x:c r="A632" s="87" t="n">
        <x:v>4452</x:v>
      </x:c>
      <x:c r="B632" s="87" t="n">
        <x:v>143</x:v>
      </x:c>
      <x:c r="C632" s="66" t="str">
        <x:v>ISI PADANG PANJANG</x:v>
      </x:c>
      <x:c r="D632" s="66" t="str">
        <x:v>PTN Akademik</x:v>
      </x:c>
      <x:c r="E632" s="66" t="str">
        <x:v>11431008</x:v>
      </x:c>
      <x:c r="F632" s="66" t="str">
        <x:v>FOTOGRAFI</x:v>
      </x:c>
      <x:c r="G632" s="66" t="str">
        <x:v>Sarjana</x:v>
      </x:c>
      <x:c r="H632" s="87" t="n">
        <x:v>45</x:v>
      </x:c>
      <x:c r="I632" s="87" t="n">
        <x:v>37</x:v>
      </x:c>
      <x:c r="J632" s="68" t="n">
        <x:f>IFERROR(H632/I632,"")</x:f>
        <x:v>1.2162162162162162</x:v>
      </x:c>
      <x:c r="K632" s="69" t="n">
        <x:f>IFERROR(I632/H632,"")</x:f>
        <x:v>0.8222222222222222</x:v>
      </x:c>
      <x:c r="L632" s="66" t="str">
        <x:f>IF(K632="","","1 : "&amp;TEXT(K632,"0.0"))</x:f>
        <x:v>1 : 0.8</x:v>
      </x:c>
      <x:c r="M632" s="66" t="str">
        <x:f>IF(J632="","Baru/Tanpa Data",IF(J632&lt;='Catatan &amp; Sumber'!$B$14,"Sangat Ketat",IF(J632&lt;='Catatan &amp; Sumber'!$B$15,"Ketat",IF(J632&lt;='Catatan &amp; Sumber'!$B$16,"Sedang","Relatif Longgar"))))</x:f>
        <x:v>Relatif Longgar</x:v>
      </x:c>
      <x:c r="N632" s="66" t="str">
        <x:v>Fotografi</x:v>
      </x:c>
      <x:c r="O632" s="66" t="str">
        <x:v>Sumatera Barat</x:v>
      </x:c>
      <x:c r="P632" s="66" t="str">
        <x:v>Kota Padang Panjang</x:v>
      </x:c>
      <x:c r="Q632" s="66" t="str">
        <x:v>https://snpmb.id/snbp/daya-tampung-snbp</x:v>
      </x:c>
      <x:c r="R632" s="66" t="str">
        <x:v>https://sidatagrun-public-1076756628210.asia-southeast2.run.app/ptn_sn.php?ptn=143</x:v>
      </x:c>
    </x:row>
    <x:row r="633">
      <x:c r="A633" s="87" t="n">
        <x:v>3701</x:v>
      </x:c>
      <x:c r="B633" s="87" t="n">
        <x:v>143</x:v>
      </x:c>
      <x:c r="C633" s="66" t="str">
        <x:v>ISI PADANG PANJANG</x:v>
      </x:c>
      <x:c r="D633" s="66" t="str">
        <x:v>PTN Akademik</x:v>
      </x:c>
      <x:c r="E633" s="66" t="str">
        <x:v>11431009</x:v>
      </x:c>
      <x:c r="F633" s="66" t="str">
        <x:v>DESAIN DAN KOMUNIKASI VISUAL</x:v>
      </x:c>
      <x:c r="G633" s="66" t="str">
        <x:v>Sarjana</x:v>
      </x:c>
      <x:c r="H633" s="87" t="n">
        <x:v>80</x:v>
      </x:c>
      <x:c r="I633" s="87" t="n">
        <x:v>155</x:v>
      </x:c>
      <x:c r="J633" s="68" t="n">
        <x:f>IFERROR(H633/I633,"")</x:f>
        <x:v>0.5161290322580645</x:v>
      </x:c>
      <x:c r="K633" s="69" t="n">
        <x:f>IFERROR(I633/H633,"")</x:f>
        <x:v>1.9375</x:v>
      </x:c>
      <x:c r="L633" s="66" t="str">
        <x:f>IF(K633="","","1 : "&amp;TEXT(K633,"0.0"))</x:f>
        <x:v>1 : 1.9</x:v>
      </x:c>
      <x:c r="M633" s="66" t="str">
        <x:f>IF(J633="","Baru/Tanpa Data",IF(J633&lt;='Catatan &amp; Sumber'!$B$14,"Sangat Ketat",IF(J633&lt;='Catatan &amp; Sumber'!$B$15,"Ketat",IF(J633&lt;='Catatan &amp; Sumber'!$B$16,"Sedang","Relatif Longgar"))))</x:f>
        <x:v>Relatif Longgar</x:v>
      </x:c>
      <x:c r="N633" s="66" t="str">
        <x:v>Seni Rupa, Desain, dan Kriya</x:v>
      </x:c>
      <x:c r="O633" s="66" t="str">
        <x:v>Sumatera Barat</x:v>
      </x:c>
      <x:c r="P633" s="66" t="str">
        <x:v>Kota Padang Panjang</x:v>
      </x:c>
      <x:c r="Q633" s="66" t="str">
        <x:v>https://snpmb.id/snbp/daya-tampung-snbp</x:v>
      </x:c>
      <x:c r="R633" s="66" t="str">
        <x:v>https://sidatagrun-public-1076756628210.asia-southeast2.run.app/ptn_sn.php?ptn=143</x:v>
      </x:c>
    </x:row>
    <x:row r="634">
      <x:c r="A634" s="87" t="n">
        <x:v>4648</x:v>
      </x:c>
      <x:c r="B634" s="87" t="n">
        <x:v>143</x:v>
      </x:c>
      <x:c r="C634" s="66" t="str">
        <x:v>ISI PADANG PANJANG</x:v>
      </x:c>
      <x:c r="D634" s="66" t="str">
        <x:v>PTN Akademik</x:v>
      </x:c>
      <x:c r="E634" s="66" t="str">
        <x:v>11431010</x:v>
      </x:c>
      <x:c r="F634" s="66" t="str">
        <x:v>ANTROPOLOGI BUDAYA</x:v>
      </x:c>
      <x:c r="G634" s="66" t="str">
        <x:v>Sarjana</x:v>
      </x:c>
      <x:c r="H634" s="87" t="n">
        <x:v>30</x:v>
      </x:c>
      <x:c r="I634" s="87" t="n">
        <x:v>16</x:v>
      </x:c>
      <x:c r="J634" s="68" t="n">
        <x:f>IFERROR(H634/I634,"")</x:f>
        <x:v>1.875</x:v>
      </x:c>
      <x:c r="K634" s="69" t="n">
        <x:f>IFERROR(I634/H634,"")</x:f>
        <x:v>0.5333333333333333</x:v>
      </x:c>
      <x:c r="L634" s="66" t="str">
        <x:f>IF(K634="","","1 : "&amp;TEXT(K634,"0.0"))</x:f>
        <x:v>1 : 0.5</x:v>
      </x:c>
      <x:c r="M634" s="66" t="str">
        <x:f>IF(J634="","Baru/Tanpa Data",IF(J634&lt;='Catatan &amp; Sumber'!$B$14,"Sangat Ketat",IF(J634&lt;='Catatan &amp; Sumber'!$B$15,"Ketat",IF(J634&lt;='Catatan &amp; Sumber'!$B$16,"Sedang","Relatif Longgar"))))</x:f>
        <x:v>Relatif Longgar</x:v>
      </x:c>
      <x:c r="N634" s="66" t="str">
        <x:v>Tidak Ada</x:v>
      </x:c>
      <x:c r="O634" s="66" t="str">
        <x:v>Sumatera Barat</x:v>
      </x:c>
      <x:c r="P634" s="66" t="str">
        <x:v>Kota Padang Panjang</x:v>
      </x:c>
      <x:c r="Q634" s="66" t="str">
        <x:v>https://snpmb.id/snbp/daya-tampung-snbp</x:v>
      </x:c>
      <x:c r="R634" s="66" t="str">
        <x:v>https://sidatagrun-public-1076756628210.asia-southeast2.run.app/ptn_sn.php?ptn=143</x:v>
      </x:c>
    </x:row>
    <x:row r="635">
      <x:c r="A635" s="87" t="n">
        <x:v>4652</x:v>
      </x:c>
      <x:c r="B635" s="87" t="n">
        <x:v>143</x:v>
      </x:c>
      <x:c r="C635" s="66" t="str">
        <x:v>ISI PADANG PANJANG</x:v>
      </x:c>
      <x:c r="D635" s="66" t="str">
        <x:v>PTN Akademik</x:v>
      </x:c>
      <x:c r="E635" s="66" t="str">
        <x:v>11431011</x:v>
      </x:c>
      <x:c r="F635" s="66" t="str">
        <x:v>PENDIDIKAN KRIYA</x:v>
      </x:c>
      <x:c r="G635" s="66" t="str">
        <x:v>Sarjana</x:v>
      </x:c>
      <x:c r="H635" s="87" t="n">
        <x:v>20</x:v>
      </x:c>
      <x:c r="I635" s="87" t="n">
        <x:v>10</x:v>
      </x:c>
      <x:c r="J635" s="68" t="n">
        <x:f>IFERROR(H635/I635,"")</x:f>
        <x:v>2</x:v>
      </x:c>
      <x:c r="K635" s="69" t="n">
        <x:f>IFERROR(I635/H635,"")</x:f>
        <x:v>0.5</x:v>
      </x:c>
      <x:c r="L635" s="66" t="str">
        <x:f>IF(K635="","","1 : "&amp;TEXT(K635,"0.0"))</x:f>
        <x:v>1 : 0.5</x:v>
      </x:c>
      <x:c r="M635" s="66" t="str">
        <x:f>IF(J635="","Baru/Tanpa Data",IF(J635&lt;='Catatan &amp; Sumber'!$B$14,"Sangat Ketat",IF(J635&lt;='Catatan &amp; Sumber'!$B$15,"Ketat",IF(J635&lt;='Catatan &amp; Sumber'!$B$16,"Sedang","Relatif Longgar"))))</x:f>
        <x:v>Relatif Longgar</x:v>
      </x:c>
      <x:c r="N635" s="66" t="str">
        <x:v>Seni Rupa, Desain, dan Kriya</x:v>
      </x:c>
      <x:c r="O635" s="66" t="str">
        <x:v>Sumatera Barat</x:v>
      </x:c>
      <x:c r="P635" s="66" t="str">
        <x:v>Kota Padang Panjang</x:v>
      </x:c>
      <x:c r="Q635" s="66" t="str">
        <x:v>https://snpmb.id/snbp/daya-tampung-snbp</x:v>
      </x:c>
      <x:c r="R635" s="66" t="str">
        <x:v>https://sidatagrun-public-1076756628210.asia-southeast2.run.app/ptn_sn.php?ptn=143</x:v>
      </x:c>
    </x:row>
    <x:row r="636">
      <x:c r="A636" s="87" t="n">
        <x:v>4523</x:v>
      </x:c>
      <x:c r="B636" s="87" t="n">
        <x:v>143</x:v>
      </x:c>
      <x:c r="C636" s="66" t="str">
        <x:v>ISI PADANG PANJANG</x:v>
      </x:c>
      <x:c r="D636" s="66" t="str">
        <x:v>PTN Akademik</x:v>
      </x:c>
      <x:c r="E636" s="66" t="str">
        <x:v>11431013</x:v>
      </x:c>
      <x:c r="F636" s="66" t="str">
        <x:v>DESAIN PRODUK</x:v>
      </x:c>
      <x:c r="G636" s="66" t="str">
        <x:v>Sarjana</x:v>
      </x:c>
      <x:c r="H636" s="87" t="n">
        <x:v>25</x:v>
      </x:c>
      <x:c r="I636" s="87" t="n">
        <x:v>18</x:v>
      </x:c>
      <x:c r="J636" s="68" t="n">
        <x:f>IFERROR(H636/I636,"")</x:f>
        <x:v>1.3888888888888888</x:v>
      </x:c>
      <x:c r="K636" s="69" t="n">
        <x:f>IFERROR(I636/H636,"")</x:f>
        <x:v>0.72</x:v>
      </x:c>
      <x:c r="L636" s="66" t="str">
        <x:f>IF(K636="","","1 : "&amp;TEXT(K636,"0.0"))</x:f>
        <x:v>1 : 0.7</x:v>
      </x:c>
      <x:c r="M636" s="66" t="str">
        <x:f>IF(J636="","Baru/Tanpa Data",IF(J636&lt;='Catatan &amp; Sumber'!$B$14,"Sangat Ketat",IF(J636&lt;='Catatan &amp; Sumber'!$B$15,"Ketat",IF(J636&lt;='Catatan &amp; Sumber'!$B$16,"Sedang","Relatif Longgar"))))</x:f>
        <x:v>Relatif Longgar</x:v>
      </x:c>
      <x:c r="N636" s="66" t="str">
        <x:v>Seni Rupa, Desain, dan Kriya</x:v>
      </x:c>
      <x:c r="O636" s="66" t="str">
        <x:v>Sumatera Barat</x:v>
      </x:c>
      <x:c r="P636" s="66" t="str">
        <x:v>Kota Padang Panjang</x:v>
      </x:c>
      <x:c r="Q636" s="66" t="str">
        <x:v>https://snpmb.id/snbp/daya-tampung-snbp</x:v>
      </x:c>
      <x:c r="R636" s="66" t="str">
        <x:v>https://sidatagrun-public-1076756628210.asia-southeast2.run.app/ptn_sn.php?ptn=143</x:v>
      </x:c>
    </x:row>
    <x:row r="637">
      <x:c r="A637" s="87" t="n">
        <x:v>4005</x:v>
      </x:c>
      <x:c r="B637" s="87" t="n">
        <x:v>143</x:v>
      </x:c>
      <x:c r="C637" s="66" t="str">
        <x:v>ISI PADANG PANJANG</x:v>
      </x:c>
      <x:c r="D637" s="66" t="str">
        <x:v>PTN Akademik</x:v>
      </x:c>
      <x:c r="E637" s="66" t="str">
        <x:v>11431014</x:v>
      </x:c>
      <x:c r="F637" s="66" t="str">
        <x:v>PARIWISATA</x:v>
      </x:c>
      <x:c r="G637" s="66" t="str">
        <x:v>Sarjana</x:v>
      </x:c>
      <x:c r="H637" s="87" t="n">
        <x:v>60</x:v>
      </x:c>
      <x:c r="I637" s="87" t="n">
        <x:v>87</x:v>
      </x:c>
      <x:c r="J637" s="68" t="n">
        <x:f>IFERROR(H637/I637,"")</x:f>
        <x:v>0.6896551724137931</x:v>
      </x:c>
      <x:c r="K637" s="69" t="n">
        <x:f>IFERROR(I637/H637,"")</x:f>
        <x:v>1.45</x:v>
      </x:c>
      <x:c r="L637" s="66" t="str">
        <x:f>IF(K637="","","1 : "&amp;TEXT(K637,"0.0"))</x:f>
        <x:v>1 : 1.5</x:v>
      </x:c>
      <x:c r="M637" s="66" t="str">
        <x:f>IF(J637="","Baru/Tanpa Data",IF(J637&lt;='Catatan &amp; Sumber'!$B$14,"Sangat Ketat",IF(J637&lt;='Catatan &amp; Sumber'!$B$15,"Ketat",IF(J637&lt;='Catatan &amp; Sumber'!$B$16,"Sedang","Relatif Longgar"))))</x:f>
        <x:v>Relatif Longgar</x:v>
      </x:c>
      <x:c r="N637" s="66" t="str">
        <x:v>Tidak Ada</x:v>
      </x:c>
      <x:c r="O637" s="66" t="str">
        <x:v>Sumatera Barat</x:v>
      </x:c>
      <x:c r="P637" s="66" t="str">
        <x:v>Kota Padang Panjang</x:v>
      </x:c>
      <x:c r="Q637" s="66" t="str">
        <x:v>https://snpmb.id/snbp/daya-tampung-snbp</x:v>
      </x:c>
      <x:c r="R637" s="66" t="str">
        <x:v>https://sidatagrun-public-1076756628210.asia-southeast2.run.app/ptn_sn.php?ptn=143</x:v>
      </x:c>
    </x:row>
    <x:row r="638">
      <x:c r="A638" s="87" t="n">
        <x:v>4759</x:v>
      </x:c>
      <x:c r="B638" s="87" t="n">
        <x:v>143</x:v>
      </x:c>
      <x:c r="C638" s="66" t="str">
        <x:v>ISI PADANG PANJANG</x:v>
      </x:c>
      <x:c r="D638" s="66" t="str">
        <x:v>PTN Akademik</x:v>
      </x:c>
      <x:c r="E638" s="66" t="str">
        <x:v>11431015</x:v>
      </x:c>
      <x:c r="F638" s="66" t="str">
        <x:v>HUMANITAS</x:v>
      </x:c>
      <x:c r="G638" s="66" t="str">
        <x:v>Sarjana</x:v>
      </x:c>
      <x:c r="H638" s="87" t="n">
        <x:v>15</x:v>
      </x:c>
      <x:c r="I638" s="87" t="n">
        <x:v>5</x:v>
      </x:c>
      <x:c r="J638" s="68" t="n">
        <x:f>IFERROR(H638/I638,"")</x:f>
        <x:v>3</x:v>
      </x:c>
      <x:c r="K638" s="69" t="n">
        <x:f>IFERROR(I638/H638,"")</x:f>
        <x:v>0.3333333333333333</x:v>
      </x:c>
      <x:c r="L638" s="66" t="str">
        <x:f>IF(K638="","","1 : "&amp;TEXT(K638,"0.0"))</x:f>
        <x:v>1 : 0.3</x:v>
      </x:c>
      <x:c r="M638" s="66" t="str">
        <x:f>IF(J638="","Baru/Tanpa Data",IF(J638&lt;='Catatan &amp; Sumber'!$B$14,"Sangat Ketat",IF(J638&lt;='Catatan &amp; Sumber'!$B$15,"Ketat",IF(J638&lt;='Catatan &amp; Sumber'!$B$16,"Sedang","Relatif Longgar"))))</x:f>
        <x:v>Relatif Longgar</x:v>
      </x:c>
      <x:c r="N638" s="66" t="str">
        <x:v>Tidak Ada</x:v>
      </x:c>
      <x:c r="O638" s="66" t="str">
        <x:v>Sumatera Barat</x:v>
      </x:c>
      <x:c r="P638" s="66" t="str">
        <x:v>Kota Padang Panjang</x:v>
      </x:c>
      <x:c r="Q638" s="66" t="str">
        <x:v>https://snpmb.id/snbp/daya-tampung-snbp</x:v>
      </x:c>
      <x:c r="R638" s="66" t="str">
        <x:v>https://sidatagrun-public-1076756628210.asia-southeast2.run.app/ptn_sn.php?ptn=143</x:v>
      </x:c>
    </x:row>
    <x:row r="639">
      <x:c r="A639" s="87" t="n">
        <x:v>3118</x:v>
      </x:c>
      <x:c r="B639" s="87" t="n">
        <x:v>143</x:v>
      </x:c>
      <x:c r="C639" s="66" t="str">
        <x:v>ISI PADANG PANJANG</x:v>
      </x:c>
      <x:c r="D639" s="66" t="str">
        <x:v>PTN Akademik</x:v>
      </x:c>
      <x:c r="E639" s="66" t="str">
        <x:v>11431016</x:v>
      </x:c>
      <x:c r="F639" s="66" t="str">
        <x:v>PENDIDIKAN VOKASIONAL TATA RIAS</x:v>
      </x:c>
      <x:c r="G639" s="66" t="str">
        <x:v>Sarjana</x:v>
      </x:c>
      <x:c r="H639" s="87" t="n">
        <x:v>30</x:v>
      </x:c>
      <x:c r="I639" s="87" t="n">
        <x:v>94</x:v>
      </x:c>
      <x:c r="J639" s="68" t="n">
        <x:f>IFERROR(H639/I639,"")</x:f>
        <x:v>0.3191489361702128</x:v>
      </x:c>
      <x:c r="K639" s="69" t="n">
        <x:f>IFERROR(I639/H639,"")</x:f>
        <x:v>3.1333333333333333</x:v>
      </x:c>
      <x:c r="L639" s="66" t="str">
        <x:f>IF(K639="","","1 : "&amp;TEXT(K639,"0.0"))</x:f>
        <x:v>1 : 3.1</x:v>
      </x:c>
      <x:c r="M639" s="66" t="str">
        <x:f>IF(J639="","Baru/Tanpa Data",IF(J639&lt;='Catatan &amp; Sumber'!$B$14,"Sangat Ketat",IF(J639&lt;='Catatan &amp; Sumber'!$B$15,"Ketat",IF(J639&lt;='Catatan &amp; Sumber'!$B$16,"Sedang","Relatif Longgar"))))</x:f>
        <x:v>Relatif Longgar</x:v>
      </x:c>
      <x:c r="N639" s="66" t="str">
        <x:v>Tidak Ada</x:v>
      </x:c>
      <x:c r="O639" s="66" t="str">
        <x:v>Sumatera Barat</x:v>
      </x:c>
      <x:c r="P639" s="66" t="str">
        <x:v>Kota Padang Panjang</x:v>
      </x:c>
      <x:c r="Q639" s="66" t="str">
        <x:v>https://snpmb.id/snbp/daya-tampung-snbp</x:v>
      </x:c>
      <x:c r="R639" s="66" t="str">
        <x:v>https://sidatagrun-public-1076756628210.asia-southeast2.run.app/ptn_sn.php?ptn=143</x:v>
      </x:c>
    </x:row>
    <x:row r="640">
      <x:c r="A640" s="87" t="n">
        <x:v>4305</x:v>
      </x:c>
      <x:c r="B640" s="87" t="n">
        <x:v>143</x:v>
      </x:c>
      <x:c r="C640" s="66" t="str">
        <x:v>ISI PADANG PANJANG</x:v>
      </x:c>
      <x:c r="D640" s="66" t="str">
        <x:v>PTN Akademik</x:v>
      </x:c>
      <x:c r="E640" s="66" t="str">
        <x:v>11431022</x:v>
      </x:c>
      <x:c r="F640" s="66" t="str">
        <x:v>KEWIRAUSAHAAN</x:v>
      </x:c>
      <x:c r="G640" s="66" t="str">
        <x:v>Sarjana</x:v>
      </x:c>
      <x:c r="H640" s="87" t="n">
        <x:v>20</x:v>
      </x:c>
      <x:c r="I640" s="87" t="n">
        <x:v>20</x:v>
      </x:c>
      <x:c r="J640" s="68" t="n">
        <x:f>IFERROR(H640/I640,"")</x:f>
        <x:v>1</x:v>
      </x:c>
      <x:c r="K640" s="69" t="n">
        <x:f>IFERROR(I640/H640,"")</x:f>
        <x:v>1</x:v>
      </x:c>
      <x:c r="L640" s="66" t="str">
        <x:f>IF(K640="","","1 : "&amp;TEXT(K640,"0.0"))</x:f>
        <x:v>1 : 1.0</x:v>
      </x:c>
      <x:c r="M640" s="66" t="str">
        <x:f>IF(J640="","Baru/Tanpa Data",IF(J640&lt;='Catatan &amp; Sumber'!$B$14,"Sangat Ketat",IF(J640&lt;='Catatan &amp; Sumber'!$B$15,"Ketat",IF(J640&lt;='Catatan &amp; Sumber'!$B$16,"Sedang","Relatif Longgar"))))</x:f>
        <x:v>Relatif Longgar</x:v>
      </x:c>
      <x:c r="N640" s="66" t="str">
        <x:v>Tidak Ada</x:v>
      </x:c>
      <x:c r="O640" s="66" t="str">
        <x:v>Sumatera Barat</x:v>
      </x:c>
      <x:c r="P640" s="66" t="str">
        <x:v>Kota Padang Panjang</x:v>
      </x:c>
      <x:c r="Q640" s="66" t="str">
        <x:v>https://snpmb.id/snbp/daya-tampung-snbp</x:v>
      </x:c>
      <x:c r="R640" s="66" t="str">
        <x:v>https://sidatagrun-public-1076756628210.asia-southeast2.run.app/ptn_sn.php?ptn=143</x:v>
      </x:c>
    </x:row>
    <x:row r="641">
      <x:c r="A641" s="87" t="n">
        <x:v>4135</x:v>
      </x:c>
      <x:c r="B641" s="87" t="n">
        <x:v>143</x:v>
      </x:c>
      <x:c r="C641" s="66" t="str">
        <x:v>ISI PADANG PANJANG</x:v>
      </x:c>
      <x:c r="D641" s="66" t="str">
        <x:v>PTN Akademik</x:v>
      </x:c>
      <x:c r="E641" s="66" t="str">
        <x:v>11432012</x:v>
      </x:c>
      <x:c r="F641" s="66" t="str">
        <x:v>DESAIN MODE</x:v>
      </x:c>
      <x:c r="G641" s="66" t="str">
        <x:v>Sarjana Terapan</x:v>
      </x:c>
      <x:c r="H641" s="87" t="n">
        <x:v>60</x:v>
      </x:c>
      <x:c r="I641" s="87" t="n">
        <x:v>75</x:v>
      </x:c>
      <x:c r="J641" s="68" t="n">
        <x:f>IFERROR(H641/I641,"")</x:f>
        <x:v>0.8</x:v>
      </x:c>
      <x:c r="K641" s="69" t="n">
        <x:f>IFERROR(I641/H641,"")</x:f>
        <x:v>1.25</x:v>
      </x:c>
      <x:c r="L641" s="66" t="str">
        <x:f>IF(K641="","","1 : "&amp;TEXT(K641,"0.0"))</x:f>
        <x:v>1 : 1.3</x:v>
      </x:c>
      <x:c r="M641" s="66" t="str">
        <x:f>IF(J641="","Baru/Tanpa Data",IF(J641&lt;='Catatan &amp; Sumber'!$B$14,"Sangat Ketat",IF(J641&lt;='Catatan &amp; Sumber'!$B$15,"Ketat",IF(J641&lt;='Catatan &amp; Sumber'!$B$16,"Sedang","Relatif Longgar"))))</x:f>
        <x:v>Relatif Longgar</x:v>
      </x:c>
      <x:c r="N641" s="66" t="str">
        <x:v>Seni Rupa, Desain, dan Kriya</x:v>
      </x:c>
      <x:c r="O641" s="66" t="str">
        <x:v>Sumatera Barat</x:v>
      </x:c>
      <x:c r="P641" s="66" t="str">
        <x:v>Kota Padang Panjang</x:v>
      </x:c>
      <x:c r="Q641" s="66" t="str">
        <x:v>https://snpmb.id/snbp/daya-tampung-snbp</x:v>
      </x:c>
      <x:c r="R641" s="66" t="str">
        <x:v>https://sidatagrun-public-1076756628210.asia-southeast2.run.app/ptn_sn.php?ptn=143</x:v>
      </x:c>
    </x:row>
    <x:row r="642">
      <x:c r="A642" s="87" t="n">
        <x:v>4899</x:v>
      </x:c>
      <x:c r="B642" s="87" t="n">
        <x:v>143</x:v>
      </x:c>
      <x:c r="C642" s="66" t="str">
        <x:v>ISI PADANG PANJANG</x:v>
      </x:c>
      <x:c r="D642" s="66" t="str">
        <x:v>PTN Akademik</x:v>
      </x:c>
      <x:c r="E642" s="66" t="str">
        <x:v>11432017</x:v>
      </x:c>
      <x:c r="F642" s="66" t="str">
        <x:v>MUSIK FILM</x:v>
      </x:c>
      <x:c r="G642" s="66" t="str">
        <x:v>Sarjana Terapan</x:v>
      </x:c>
      <x:c r="H642" s="87" t="n">
        <x:v>15</x:v>
      </x:c>
      <x:c r="I642" s="87" t="n">
        <x:v>1</x:v>
      </x:c>
      <x:c r="J642" s="68" t="n">
        <x:f>IFERROR(H642/I642,"")</x:f>
        <x:v>15</x:v>
      </x:c>
      <x:c r="K642" s="69" t="n">
        <x:f>IFERROR(I642/H642,"")</x:f>
        <x:v>0.06666666666666667</x:v>
      </x:c>
      <x:c r="L642" s="66" t="str">
        <x:f>IF(K642="","","1 : "&amp;TEXT(K642,"0.0"))</x:f>
        <x:v>1 : 0.1</x:v>
      </x:c>
      <x:c r="M642" s="66" t="str">
        <x:f>IF(J642="","Baru/Tanpa Data",IF(J642&lt;='Catatan &amp; Sumber'!$B$14,"Sangat Ketat",IF(J642&lt;='Catatan &amp; Sumber'!$B$15,"Ketat",IF(J642&lt;='Catatan &amp; Sumber'!$B$16,"Sedang","Relatif Longgar"))))</x:f>
        <x:v>Relatif Longgar</x:v>
      </x:c>
      <x:c r="N642" s="66" t="str">
        <x:v>Musik</x:v>
      </x:c>
      <x:c r="O642" s="66" t="str">
        <x:v>Sumatera Barat</x:v>
      </x:c>
      <x:c r="P642" s="66" t="str">
        <x:v>Kota Padang Panjang</x:v>
      </x:c>
      <x:c r="Q642" s="66" t="str">
        <x:v>https://snpmb.id/snbp/daya-tampung-snbp</x:v>
      </x:c>
      <x:c r="R642" s="66" t="str">
        <x:v>https://sidatagrun-public-1076756628210.asia-southeast2.run.app/ptn_sn.php?ptn=143</x:v>
      </x:c>
    </x:row>
    <x:row r="643">
      <x:c r="A643" s="87" t="n">
        <x:v>4899</x:v>
      </x:c>
      <x:c r="B643" s="87" t="n">
        <x:v>143</x:v>
      </x:c>
      <x:c r="C643" s="66" t="str">
        <x:v>ISI PADANG PANJANG</x:v>
      </x:c>
      <x:c r="D643" s="66" t="str">
        <x:v>PTN Akademik</x:v>
      </x:c>
      <x:c r="E643" s="66" t="str">
        <x:v>11432018</x:v>
      </x:c>
      <x:c r="F643" s="66" t="str">
        <x:v>TARI MELAYU</x:v>
      </x:c>
      <x:c r="G643" s="66" t="str">
        <x:v>Sarjana Terapan</x:v>
      </x:c>
      <x:c r="H643" s="87" t="n">
        <x:v>15</x:v>
      </x:c>
      <x:c r="I643" s="87" t="n">
        <x:v>1</x:v>
      </x:c>
      <x:c r="J643" s="68" t="n">
        <x:f>IFERROR(H643/I643,"")</x:f>
        <x:v>15</x:v>
      </x:c>
      <x:c r="K643" s="69" t="n">
        <x:f>IFERROR(I643/H643,"")</x:f>
        <x:v>0.06666666666666667</x:v>
      </x:c>
      <x:c r="L643" s="66" t="str">
        <x:f>IF(K643="","","1 : "&amp;TEXT(K643,"0.0"))</x:f>
        <x:v>1 : 0.1</x:v>
      </x:c>
      <x:c r="M643" s="66" t="str">
        <x:f>IF(J643="","Baru/Tanpa Data",IF(J643&lt;='Catatan &amp; Sumber'!$B$14,"Sangat Ketat",IF(J643&lt;='Catatan &amp; Sumber'!$B$15,"Ketat",IF(J643&lt;='Catatan &amp; Sumber'!$B$16,"Sedang","Relatif Longgar"))))</x:f>
        <x:v>Relatif Longgar</x:v>
      </x:c>
      <x:c r="N643" s="66" t="str">
        <x:v>Tari</x:v>
      </x:c>
      <x:c r="O643" s="66" t="str">
        <x:v>Sumatera Barat</x:v>
      </x:c>
      <x:c r="P643" s="66" t="str">
        <x:v>Kota Padang Panjang</x:v>
      </x:c>
      <x:c r="Q643" s="66" t="str">
        <x:v>https://snpmb.id/snbp/daya-tampung-snbp</x:v>
      </x:c>
      <x:c r="R643" s="66" t="str">
        <x:v>https://sidatagrun-public-1076756628210.asia-southeast2.run.app/ptn_sn.php?ptn=143</x:v>
      </x:c>
    </x:row>
    <x:row r="644">
      <x:c r="A644" s="87" t="n">
        <x:v>4786</x:v>
      </x:c>
      <x:c r="B644" s="87" t="n">
        <x:v>143</x:v>
      </x:c>
      <x:c r="C644" s="66" t="str">
        <x:v>ISI PADANG PANJANG</x:v>
      </x:c>
      <x:c r="D644" s="66" t="str">
        <x:v>PTN Akademik</x:v>
      </x:c>
      <x:c r="E644" s="66" t="str">
        <x:v>11432019</x:v>
      </x:c>
      <x:c r="F644" s="66" t="str">
        <x:v>TARI MINANG</x:v>
      </x:c>
      <x:c r="G644" s="66" t="str">
        <x:v>Sarjana Terapan</x:v>
      </x:c>
      <x:c r="H644" s="87" t="n">
        <x:v>10</x:v>
      </x:c>
      <x:c r="I644" s="87" t="n">
        <x:v>3</x:v>
      </x:c>
      <x:c r="J644" s="68" t="n">
        <x:f>IFERROR(H644/I644,"")</x:f>
        <x:v>3.3333333333333335</x:v>
      </x:c>
      <x:c r="K644" s="69" t="n">
        <x:f>IFERROR(I644/H644,"")</x:f>
        <x:v>0.3</x:v>
      </x:c>
      <x:c r="L644" s="66" t="str">
        <x:f>IF(K644="","","1 : "&amp;TEXT(K644,"0.0"))</x:f>
        <x:v>1 : 0.3</x:v>
      </x:c>
      <x:c r="M644" s="66" t="str">
        <x:f>IF(J644="","Baru/Tanpa Data",IF(J644&lt;='Catatan &amp; Sumber'!$B$14,"Sangat Ketat",IF(J644&lt;='Catatan &amp; Sumber'!$B$15,"Ketat",IF(J644&lt;='Catatan &amp; Sumber'!$B$16,"Sedang","Relatif Longgar"))))</x:f>
        <x:v>Relatif Longgar</x:v>
      </x:c>
      <x:c r="N644" s="66" t="str">
        <x:v>Tari</x:v>
      </x:c>
      <x:c r="O644" s="66" t="str">
        <x:v>Sumatera Barat</x:v>
      </x:c>
      <x:c r="P644" s="66" t="str">
        <x:v>Kota Padang Panjang</x:v>
      </x:c>
      <x:c r="Q644" s="66" t="str">
        <x:v>https://snpmb.id/snbp/daya-tampung-snbp</x:v>
      </x:c>
      <x:c r="R644" s="66" t="str">
        <x:v>https://sidatagrun-public-1076756628210.asia-southeast2.run.app/ptn_sn.php?ptn=143</x:v>
      </x:c>
    </x:row>
    <x:row r="645">
      <x:c r="A645" s="87" t="n">
        <x:v>4463</x:v>
      </x:c>
      <x:c r="B645" s="87" t="n">
        <x:v>143</x:v>
      </x:c>
      <x:c r="C645" s="66" t="str">
        <x:v>ISI PADANG PANJANG</x:v>
      </x:c>
      <x:c r="D645" s="66" t="str">
        <x:v>PTN Akademik</x:v>
      </x:c>
      <x:c r="E645" s="66" t="str">
        <x:v>11432020</x:v>
      </x:c>
      <x:c r="F645" s="66" t="str">
        <x:v>ANIMASI</x:v>
      </x:c>
      <x:c r="G645" s="66" t="str">
        <x:v>Sarjana Terapan</x:v>
      </x:c>
      <x:c r="H645" s="87" t="n">
        <x:v>30</x:v>
      </x:c>
      <x:c r="I645" s="87" t="n">
        <x:v>24</x:v>
      </x:c>
      <x:c r="J645" s="68" t="n">
        <x:f>IFERROR(H645/I645,"")</x:f>
        <x:v>1.25</x:v>
      </x:c>
      <x:c r="K645" s="69" t="n">
        <x:f>IFERROR(I645/H645,"")</x:f>
        <x:v>0.8</x:v>
      </x:c>
      <x:c r="L645" s="66" t="str">
        <x:f>IF(K645="","","1 : "&amp;TEXT(K645,"0.0"))</x:f>
        <x:v>1 : 0.8</x:v>
      </x:c>
      <x:c r="M645" s="66" t="str">
        <x:f>IF(J645="","Baru/Tanpa Data",IF(J645&lt;='Catatan &amp; Sumber'!$B$14,"Sangat Ketat",IF(J645&lt;='Catatan &amp; Sumber'!$B$15,"Ketat",IF(J645&lt;='Catatan &amp; Sumber'!$B$16,"Sedang","Relatif Longgar"))))</x:f>
        <x:v>Relatif Longgar</x:v>
      </x:c>
      <x:c r="N645" s="66" t="str">
        <x:v>Seni Rupa, Desain, dan Kriya</x:v>
      </x:c>
      <x:c r="O645" s="66" t="str">
        <x:v>Sumatera Barat</x:v>
      </x:c>
      <x:c r="P645" s="66" t="str">
        <x:v>Kota Padang Panjang</x:v>
      </x:c>
      <x:c r="Q645" s="66" t="str">
        <x:v>https://snpmb.id/snbp/daya-tampung-snbp</x:v>
      </x:c>
      <x:c r="R645" s="66" t="str">
        <x:v>https://sidatagrun-public-1076756628210.asia-southeast2.run.app/ptn_sn.php?ptn=143</x:v>
      </x:c>
    </x:row>
    <x:row r="646">
      <x:c r="A646" s="87" t="n">
        <x:v>4811</x:v>
      </x:c>
      <x:c r="B646" s="87" t="n">
        <x:v>143</x:v>
      </x:c>
      <x:c r="C646" s="66" t="str">
        <x:v>ISI PADANG PANJANG</x:v>
      </x:c>
      <x:c r="D646" s="66" t="str">
        <x:v>PTN Akademik</x:v>
      </x:c>
      <x:c r="E646" s="66" t="str">
        <x:v>11432021</x:v>
      </x:c>
      <x:c r="F646" s="66" t="str">
        <x:v>PRODUKSI MEDIA</x:v>
      </x:c>
      <x:c r="G646" s="66" t="str">
        <x:v>Sarjana Terapan</x:v>
      </x:c>
      <x:c r="H646" s="87" t="n">
        <x:v>15</x:v>
      </x:c>
      <x:c r="I646" s="87" t="n">
        <x:v>4</x:v>
      </x:c>
      <x:c r="J646" s="68" t="n">
        <x:f>IFERROR(H646/I646,"")</x:f>
        <x:v>3.75</x:v>
      </x:c>
      <x:c r="K646" s="69" t="n">
        <x:f>IFERROR(I646/H646,"")</x:f>
        <x:v>0.26666666666666666</x:v>
      </x:c>
      <x:c r="L646" s="66" t="str">
        <x:f>IF(K646="","","1 : "&amp;TEXT(K646,"0.0"))</x:f>
        <x:v>1 : 0.3</x:v>
      </x:c>
      <x:c r="M646" s="66" t="str">
        <x:f>IF(J646="","Baru/Tanpa Data",IF(J646&lt;='Catatan &amp; Sumber'!$B$14,"Sangat Ketat",IF(J646&lt;='Catatan &amp; Sumber'!$B$15,"Ketat",IF(J646&lt;='Catatan &amp; Sumber'!$B$16,"Sedang","Relatif Longgar"))))</x:f>
        <x:v>Relatif Longgar</x:v>
      </x:c>
      <x:c r="N646" s="66" t="str">
        <x:v>Tidak Ada</x:v>
      </x:c>
      <x:c r="O646" s="66" t="str">
        <x:v>Sumatera Barat</x:v>
      </x:c>
      <x:c r="P646" s="66" t="str">
        <x:v>Kota Padang Panjang</x:v>
      </x:c>
      <x:c r="Q646" s="66" t="str">
        <x:v>https://snpmb.id/snbp/daya-tampung-snbp</x:v>
      </x:c>
      <x:c r="R646" s="66" t="str">
        <x:v>https://sidatagrun-public-1076756628210.asia-southeast2.run.app/ptn_sn.php?ptn=143</x:v>
      </x:c>
    </x:row>
    <x:row r="647">
      <x:c r="A647" s="87" t="n">
        <x:v>4285</x:v>
      </x:c>
      <x:c r="B647" s="87" t="n">
        <x:v>144</x:v>
      </x:c>
      <x:c r="C647" s="66" t="str">
        <x:v>UIN IMAM BONJOL PADANG</x:v>
      </x:c>
      <x:c r="D647" s="66" t="str">
        <x:v>PTKIN</x:v>
      </x:c>
      <x:c r="E647" s="66" t="str">
        <x:v>11441001</x:v>
      </x:c>
      <x:c r="F647" s="66" t="str">
        <x:v>MATEMATIKA</x:v>
      </x:c>
      <x:c r="G647" s="66" t="str">
        <x:v>Sarjana</x:v>
      </x:c>
      <x:c r="H647" s="87" t="n">
        <x:v>18</x:v>
      </x:c>
      <x:c r="I647" s="87" t="n">
        <x:v>19</x:v>
      </x:c>
      <x:c r="J647" s="68" t="n">
        <x:f>IFERROR(H647/I647,"")</x:f>
        <x:v>0.9473684210526315</x:v>
      </x:c>
      <x:c r="K647" s="69" t="n">
        <x:f>IFERROR(I647/H647,"")</x:f>
        <x:v>1.0555555555555556</x:v>
      </x:c>
      <x:c r="L647" s="66" t="str">
        <x:f>IF(K647="","","1 : "&amp;TEXT(K647,"0.0"))</x:f>
        <x:v>1 : 1.1</x:v>
      </x:c>
      <x:c r="M647" s="66" t="str">
        <x:f>IF(J647="","Baru/Tanpa Data",IF(J647&lt;='Catatan &amp; Sumber'!$B$14,"Sangat Ketat",IF(J647&lt;='Catatan &amp; Sumber'!$B$15,"Ketat",IF(J647&lt;='Catatan &amp; Sumber'!$B$16,"Sedang","Relatif Longgar"))))</x:f>
        <x:v>Relatif Longgar</x:v>
      </x:c>
      <x:c r="N647" s="66" t="str">
        <x:v>Tidak Ada</x:v>
      </x:c>
      <x:c r="O647" s="66" t="str">
        <x:v>Sumatera Barat</x:v>
      </x:c>
      <x:c r="P647" s="66" t="str">
        <x:v>Kota Padang</x:v>
      </x:c>
      <x:c r="Q647" s="66" t="str">
        <x:v>https://snpmb.id/snbp/daya-tampung-snbp</x:v>
      </x:c>
      <x:c r="R647" s="66" t="str">
        <x:v>https://sidatagrun-public-1076756628210.asia-southeast2.run.app/ptn_sn.php?ptn=144</x:v>
      </x:c>
    </x:row>
    <x:row r="648">
      <x:c r="A648" s="87" t="n">
        <x:v>3620</x:v>
      </x:c>
      <x:c r="B648" s="87" t="n">
        <x:v>144</x:v>
      </x:c>
      <x:c r="C648" s="66" t="str">
        <x:v>UIN IMAM BONJOL PADANG</x:v>
      </x:c>
      <x:c r="D648" s="66" t="str">
        <x:v>PTKIN</x:v>
      </x:c>
      <x:c r="E648" s="66" t="str">
        <x:v>11441002</x:v>
      </x:c>
      <x:c r="F648" s="66" t="str">
        <x:v>SISTEM INFORMASI</x:v>
      </x:c>
      <x:c r="G648" s="66" t="str">
        <x:v>Sarjana</x:v>
      </x:c>
      <x:c r="H648" s="87" t="n">
        <x:v>45</x:v>
      </x:c>
      <x:c r="I648" s="87" t="n">
        <x:v>94</x:v>
      </x:c>
      <x:c r="J648" s="68" t="n">
        <x:f>IFERROR(H648/I648,"")</x:f>
        <x:v>0.4787234042553192</x:v>
      </x:c>
      <x:c r="K648" s="69" t="n">
        <x:f>IFERROR(I648/H648,"")</x:f>
        <x:v>2.088888888888889</x:v>
      </x:c>
      <x:c r="L648" s="66" t="str">
        <x:f>IF(K648="","","1 : "&amp;TEXT(K648,"0.0"))</x:f>
        <x:v>1 : 2.1</x:v>
      </x:c>
      <x:c r="M648" s="66" t="str">
        <x:f>IF(J648="","Baru/Tanpa Data",IF(J648&lt;='Catatan &amp; Sumber'!$B$14,"Sangat Ketat",IF(J648&lt;='Catatan &amp; Sumber'!$B$15,"Ketat",IF(J648&lt;='Catatan &amp; Sumber'!$B$16,"Sedang","Relatif Longgar"))))</x:f>
        <x:v>Relatif Longgar</x:v>
      </x:c>
      <x:c r="N648" s="66" t="str">
        <x:v>Tidak Ada</x:v>
      </x:c>
      <x:c r="O648" s="66" t="str">
        <x:v>Sumatera Barat</x:v>
      </x:c>
      <x:c r="P648" s="66" t="str">
        <x:v>Kota Padang</x:v>
      </x:c>
      <x:c r="Q648" s="66" t="str">
        <x:v>https://snpmb.id/snbp/daya-tampung-snbp</x:v>
      </x:c>
      <x:c r="R648" s="66" t="str">
        <x:v>https://sidatagrun-public-1076756628210.asia-southeast2.run.app/ptn_sn.php?ptn=144</x:v>
      </x:c>
    </x:row>
    <x:row r="649">
      <x:c r="A649" s="87"/>
      <x:c r="B649" s="87" t="n">
        <x:v>144</x:v>
      </x:c>
      <x:c r="C649" s="66" t="str">
        <x:v>UIN IMAM BONJOL PADANG</x:v>
      </x:c>
      <x:c r="D649" s="66" t="str">
        <x:v>PTKIN</x:v>
      </x:c>
      <x:c r="E649" s="66" t="str">
        <x:v>11441003</x:v>
      </x:c>
      <x:c r="F649" s="66" t="str">
        <x:v>ILMU AKTUARIA</x:v>
      </x:c>
      <x:c r="G649" s="66" t="str">
        <x:v>Sarjana</x:v>
      </x:c>
      <x:c r="H649" s="87" t="n">
        <x:v>12</x:v>
      </x:c>
      <x:c r="I649" s="87"/>
      <x:c r="J649" s="68" t="str">
        <x:f>IFERROR(H649/I649,"")</x:f>
      </x:c>
      <x:c r="K649" s="69" t="n">
        <x:f>IFERROR(I649/H649,"")</x:f>
        <x:v>0</x:v>
      </x:c>
      <x:c r="L649" s="66" t="str">
        <x:f>IF(K649="","","1 : "&amp;TEXT(K649,"0.0"))</x:f>
      </x:c>
      <x:c r="M649" s="66" t="str">
        <x:f>IF(J649="","Baru/Tanpa Data",IF(J649&lt;='Catatan &amp; Sumber'!$B$14,"Sangat Ketat",IF(J649&lt;='Catatan &amp; Sumber'!$B$15,"Ketat",IF(J649&lt;='Catatan &amp; Sumber'!$B$16,"Sedang","Relatif Longgar"))))</x:f>
        <x:v>Baru/Tanpa Data</x:v>
      </x:c>
      <x:c r="N649" s="66" t="str">
        <x:v>Tidak Ada</x:v>
      </x:c>
      <x:c r="O649" s="66" t="str">
        <x:v>Sumatera Barat</x:v>
      </x:c>
      <x:c r="P649" s="66" t="str">
        <x:v>Kota Padang</x:v>
      </x:c>
      <x:c r="Q649" s="66" t="str">
        <x:v>https://snpmb.id/snbp/daya-tampung-snbp</x:v>
      </x:c>
      <x:c r="R649" s="66" t="str">
        <x:v>https://sidatagrun-public-1076756628210.asia-southeast2.run.app/ptn_sn.php?ptn=144</x:v>
      </x:c>
    </x:row>
    <x:row r="650">
      <x:c r="A650" s="87" t="n">
        <x:v>3152</x:v>
      </x:c>
      <x:c r="B650" s="87" t="n">
        <x:v>151</x:v>
      </x:c>
      <x:c r="C650" s="66" t="str">
        <x:v>UNIVERSITAS JAMBI</x:v>
      </x:c>
      <x:c r="D650" s="66" t="str">
        <x:v>PTN Akademik</x:v>
      </x:c>
      <x:c r="E650" s="66" t="str">
        <x:v>11511001</x:v>
      </x:c>
      <x:c r="F650" s="66" t="str">
        <x:v>PEND. KIMIA</x:v>
      </x:c>
      <x:c r="G650" s="66" t="str">
        <x:v>Sarjana</x:v>
      </x:c>
      <x:c r="H650" s="87" t="n">
        <x:v>22</x:v>
      </x:c>
      <x:c r="I650" s="87" t="n">
        <x:v>67</x:v>
      </x:c>
      <x:c r="J650" s="68" t="n">
        <x:f>IFERROR(H650/I650,"")</x:f>
        <x:v>0.3283582089552239</x:v>
      </x:c>
      <x:c r="K650" s="69" t="n">
        <x:f>IFERROR(I650/H650,"")</x:f>
        <x:v>3.0454545454545454</x:v>
      </x:c>
      <x:c r="L650" s="66" t="str">
        <x:f>IF(K650="","","1 : "&amp;TEXT(K650,"0.0"))</x:f>
        <x:v>1 : 3.0</x:v>
      </x:c>
      <x:c r="M650" s="66" t="str">
        <x:f>IF(J650="","Baru/Tanpa Data",IF(J650&lt;='Catatan &amp; Sumber'!$B$14,"Sangat Ketat",IF(J650&lt;='Catatan &amp; Sumber'!$B$15,"Ketat",IF(J650&lt;='Catatan &amp; Sumber'!$B$16,"Sedang","Relatif Longgar"))))</x:f>
        <x:v>Relatif Longgar</x:v>
      </x:c>
      <x:c r="N650" s="66" t="str">
        <x:v>Tidak Ada</x:v>
      </x:c>
      <x:c r="O650" s="66" t="str">
        <x:v>Jambi</x:v>
      </x:c>
      <x:c r="P650" s="66" t="str">
        <x:v>Kabupaten Muaro Jambi</x:v>
      </x:c>
      <x:c r="Q650" s="66" t="str">
        <x:v>https://snpmb.id/snbp/daya-tampung-snbp</x:v>
      </x:c>
      <x:c r="R650" s="66" t="str">
        <x:v>https://sidatagrun-public-1076756628210.asia-southeast2.run.app/ptn_sn.php?ptn=151</x:v>
      </x:c>
    </x:row>
    <x:row r="651">
      <x:c r="A651" s="87" t="n">
        <x:v>2251</x:v>
      </x:c>
      <x:c r="B651" s="87" t="n">
        <x:v>151</x:v>
      </x:c>
      <x:c r="C651" s="66" t="str">
        <x:v>UNIVERSITAS JAMBI</x:v>
      </x:c>
      <x:c r="D651" s="66" t="str">
        <x:v>PTN Akademik</x:v>
      </x:c>
      <x:c r="E651" s="66" t="str">
        <x:v>11511002</x:v>
      </x:c>
      <x:c r="F651" s="66" t="str">
        <x:v>PEND. MATEMATIKA</x:v>
      </x:c>
      <x:c r="G651" s="66" t="str">
        <x:v>Sarjana</x:v>
      </x:c>
      <x:c r="H651" s="87" t="n">
        <x:v>40</x:v>
      </x:c>
      <x:c r="I651" s="87" t="n">
        <x:v>225</x:v>
      </x:c>
      <x:c r="J651" s="68" t="n">
        <x:f>IFERROR(H651/I651,"")</x:f>
        <x:v>0.17777777777777778</x:v>
      </x:c>
      <x:c r="K651" s="69" t="n">
        <x:f>IFERROR(I651/H651,"")</x:f>
        <x:v>5.625</x:v>
      </x:c>
      <x:c r="L651" s="66" t="str">
        <x:f>IF(K651="","","1 : "&amp;TEXT(K651,"0.0"))</x:f>
        <x:v>1 : 5.6</x:v>
      </x:c>
      <x:c r="M651" s="66" t="str">
        <x:f>IF(J651="","Baru/Tanpa Data",IF(J651&lt;='Catatan &amp; Sumber'!$B$14,"Sangat Ketat",IF(J651&lt;='Catatan &amp; Sumber'!$B$15,"Ketat",IF(J651&lt;='Catatan &amp; Sumber'!$B$16,"Sedang","Relatif Longgar"))))</x:f>
        <x:v>Relatif Longgar</x:v>
      </x:c>
      <x:c r="N651" s="66" t="str">
        <x:v>Tidak Ada</x:v>
      </x:c>
      <x:c r="O651" s="66" t="str">
        <x:v>Jambi</x:v>
      </x:c>
      <x:c r="P651" s="66" t="str">
        <x:v>Kabupaten Muaro Jambi</x:v>
      </x:c>
      <x:c r="Q651" s="66" t="str">
        <x:v>https://snpmb.id/snbp/daya-tampung-snbp</x:v>
      </x:c>
      <x:c r="R651" s="66" t="str">
        <x:v>https://sidatagrun-public-1076756628210.asia-southeast2.run.app/ptn_sn.php?ptn=151</x:v>
      </x:c>
    </x:row>
    <x:row r="652">
      <x:c r="A652" s="87" t="n">
        <x:v>2880</x:v>
      </x:c>
      <x:c r="B652" s="87" t="n">
        <x:v>151</x:v>
      </x:c>
      <x:c r="C652" s="66" t="str">
        <x:v>UNIVERSITAS JAMBI</x:v>
      </x:c>
      <x:c r="D652" s="66" t="str">
        <x:v>PTN Akademik</x:v>
      </x:c>
      <x:c r="E652" s="66" t="str">
        <x:v>11511003</x:v>
      </x:c>
      <x:c r="F652" s="66" t="str">
        <x:v>PEND. FISIKA</x:v>
      </x:c>
      <x:c r="G652" s="66" t="str">
        <x:v>Sarjana</x:v>
      </x:c>
      <x:c r="H652" s="87" t="n">
        <x:v>22</x:v>
      </x:c>
      <x:c r="I652" s="87" t="n">
        <x:v>81</x:v>
      </x:c>
      <x:c r="J652" s="68" t="n">
        <x:f>IFERROR(H652/I652,"")</x:f>
        <x:v>0.2716049382716049</x:v>
      </x:c>
      <x:c r="K652" s="69" t="n">
        <x:f>IFERROR(I652/H652,"")</x:f>
        <x:v>3.6818181818181817</x:v>
      </x:c>
      <x:c r="L652" s="66" t="str">
        <x:f>IF(K652="","","1 : "&amp;TEXT(K652,"0.0"))</x:f>
        <x:v>1 : 3.7</x:v>
      </x:c>
      <x:c r="M652" s="66" t="str">
        <x:f>IF(J652="","Baru/Tanpa Data",IF(J652&lt;='Catatan &amp; Sumber'!$B$14,"Sangat Ketat",IF(J652&lt;='Catatan &amp; Sumber'!$B$15,"Ketat",IF(J652&lt;='Catatan &amp; Sumber'!$B$16,"Sedang","Relatif Longgar"))))</x:f>
        <x:v>Relatif Longgar</x:v>
      </x:c>
      <x:c r="N652" s="66" t="str">
        <x:v>Tidak Ada</x:v>
      </x:c>
      <x:c r="O652" s="66" t="str">
        <x:v>Jambi</x:v>
      </x:c>
      <x:c r="P652" s="66" t="str">
        <x:v>Kabupaten Muaro Jambi</x:v>
      </x:c>
      <x:c r="Q652" s="66" t="str">
        <x:v>https://snpmb.id/snbp/daya-tampung-snbp</x:v>
      </x:c>
      <x:c r="R652" s="66" t="str">
        <x:v>https://sidatagrun-public-1076756628210.asia-southeast2.run.app/ptn_sn.php?ptn=151</x:v>
      </x:c>
    </x:row>
    <x:row r="653">
      <x:c r="A653" s="87" t="n">
        <x:v>2461</x:v>
      </x:c>
      <x:c r="B653" s="87" t="n">
        <x:v>151</x:v>
      </x:c>
      <x:c r="C653" s="66" t="str">
        <x:v>UNIVERSITAS JAMBI</x:v>
      </x:c>
      <x:c r="D653" s="66" t="str">
        <x:v>PTN Akademik</x:v>
      </x:c>
      <x:c r="E653" s="66" t="str">
        <x:v>11511004</x:v>
      </x:c>
      <x:c r="F653" s="66" t="str">
        <x:v>PEND. BIOLOGI</x:v>
      </x:c>
      <x:c r="G653" s="66" t="str">
        <x:v>Sarjana</x:v>
      </x:c>
      <x:c r="H653" s="87" t="n">
        <x:v>40</x:v>
      </x:c>
      <x:c r="I653" s="87" t="n">
        <x:v>196</x:v>
      </x:c>
      <x:c r="J653" s="68" t="n">
        <x:f>IFERROR(H653/I653,"")</x:f>
        <x:v>0.20408163265306123</x:v>
      </x:c>
      <x:c r="K653" s="69" t="n">
        <x:f>IFERROR(I653/H653,"")</x:f>
        <x:v>4.9</x:v>
      </x:c>
      <x:c r="L653" s="66" t="str">
        <x:f>IF(K653="","","1 : "&amp;TEXT(K653,"0.0"))</x:f>
        <x:v>1 : 4.9</x:v>
      </x:c>
      <x:c r="M653" s="66" t="str">
        <x:f>IF(J653="","Baru/Tanpa Data",IF(J653&lt;='Catatan &amp; Sumber'!$B$14,"Sangat Ketat",IF(J653&lt;='Catatan &amp; Sumber'!$B$15,"Ketat",IF(J653&lt;='Catatan &amp; Sumber'!$B$16,"Sedang","Relatif Longgar"))))</x:f>
        <x:v>Relatif Longgar</x:v>
      </x:c>
      <x:c r="N653" s="66" t="str">
        <x:v>Tidak Ada</x:v>
      </x:c>
      <x:c r="O653" s="66" t="str">
        <x:v>Jambi</x:v>
      </x:c>
      <x:c r="P653" s="66" t="str">
        <x:v>Kabupaten Muaro Jambi</x:v>
      </x:c>
      <x:c r="Q653" s="66" t="str">
        <x:v>https://snpmb.id/snbp/daya-tampung-snbp</x:v>
      </x:c>
      <x:c r="R653" s="66" t="str">
        <x:v>https://sidatagrun-public-1076756628210.asia-southeast2.run.app/ptn_sn.php?ptn=151</x:v>
      </x:c>
    </x:row>
    <x:row r="654">
      <x:c r="A654" s="87" t="n">
        <x:v>2951</x:v>
      </x:c>
      <x:c r="B654" s="87" t="n">
        <x:v>151</x:v>
      </x:c>
      <x:c r="C654" s="66" t="str">
        <x:v>UNIVERSITAS JAMBI</x:v>
      </x:c>
      <x:c r="D654" s="66" t="str">
        <x:v>PTN Akademik</x:v>
      </x:c>
      <x:c r="E654" s="66" t="str">
        <x:v>11511005</x:v>
      </x:c>
      <x:c r="F654" s="66" t="str">
        <x:v>AGROEKOTEKNOLOGI</x:v>
      </x:c>
      <x:c r="G654" s="66" t="str">
        <x:v>Sarjana</x:v>
      </x:c>
      <x:c r="H654" s="87" t="n">
        <x:v>75</x:v>
      </x:c>
      <x:c r="I654" s="87" t="n">
        <x:v>263</x:v>
      </x:c>
      <x:c r="J654" s="68" t="n">
        <x:f>IFERROR(H654/I654,"")</x:f>
        <x:v>0.28517110266159695</x:v>
      </x:c>
      <x:c r="K654" s="69" t="n">
        <x:f>IFERROR(I654/H654,"")</x:f>
        <x:v>3.506666666666667</x:v>
      </x:c>
      <x:c r="L654" s="66" t="str">
        <x:f>IF(K654="","","1 : "&amp;TEXT(K654,"0.0"))</x:f>
        <x:v>1 : 3.5</x:v>
      </x:c>
      <x:c r="M654" s="66" t="str">
        <x:f>IF(J654="","Baru/Tanpa Data",IF(J654&lt;='Catatan &amp; Sumber'!$B$14,"Sangat Ketat",IF(J654&lt;='Catatan &amp; Sumber'!$B$15,"Ketat",IF(J654&lt;='Catatan &amp; Sumber'!$B$16,"Sedang","Relatif Longgar"))))</x:f>
        <x:v>Relatif Longgar</x:v>
      </x:c>
      <x:c r="N654" s="66" t="str">
        <x:v>Tidak Ada</x:v>
      </x:c>
      <x:c r="O654" s="66" t="str">
        <x:v>Jambi</x:v>
      </x:c>
      <x:c r="P654" s="66" t="str">
        <x:v>Kabupaten Muaro Jambi</x:v>
      </x:c>
      <x:c r="Q654" s="66" t="str">
        <x:v>https://snpmb.id/snbp/daya-tampung-snbp</x:v>
      </x:c>
      <x:c r="R654" s="66" t="str">
        <x:v>https://sidatagrun-public-1076756628210.asia-southeast2.run.app/ptn_sn.php?ptn=151</x:v>
      </x:c>
    </x:row>
    <x:row r="655">
      <x:c r="A655" s="87" t="n">
        <x:v>2349</x:v>
      </x:c>
      <x:c r="B655" s="87" t="n">
        <x:v>151</x:v>
      </x:c>
      <x:c r="C655" s="66" t="str">
        <x:v>UNIVERSITAS JAMBI</x:v>
      </x:c>
      <x:c r="D655" s="66" t="str">
        <x:v>PTN Akademik</x:v>
      </x:c>
      <x:c r="E655" s="66" t="str">
        <x:v>11511006</x:v>
      </x:c>
      <x:c r="F655" s="66" t="str">
        <x:v>AGRIBISNIS</x:v>
      </x:c>
      <x:c r="G655" s="66" t="str">
        <x:v>Sarjana</x:v>
      </x:c>
      <x:c r="H655" s="87" t="n">
        <x:v>73</x:v>
      </x:c>
      <x:c r="I655" s="87" t="n">
        <x:v>385</x:v>
      </x:c>
      <x:c r="J655" s="68" t="n">
        <x:f>IFERROR(H655/I655,"")</x:f>
        <x:v>0.18961038961038962</x:v>
      </x:c>
      <x:c r="K655" s="69" t="n">
        <x:f>IFERROR(I655/H655,"")</x:f>
        <x:v>5.273972602739726</x:v>
      </x:c>
      <x:c r="L655" s="66" t="str">
        <x:f>IF(K655="","","1 : "&amp;TEXT(K655,"0.0"))</x:f>
        <x:v>1 : 5.3</x:v>
      </x:c>
      <x:c r="M655" s="66" t="str">
        <x:f>IF(J655="","Baru/Tanpa Data",IF(J655&lt;='Catatan &amp; Sumber'!$B$14,"Sangat Ketat",IF(J655&lt;='Catatan &amp; Sumber'!$B$15,"Ketat",IF(J655&lt;='Catatan &amp; Sumber'!$B$16,"Sedang","Relatif Longgar"))))</x:f>
        <x:v>Relatif Longgar</x:v>
      </x:c>
      <x:c r="N655" s="66" t="str">
        <x:v>Tidak Ada</x:v>
      </x:c>
      <x:c r="O655" s="66" t="str">
        <x:v>Jambi</x:v>
      </x:c>
      <x:c r="P655" s="66" t="str">
        <x:v>Kabupaten Muaro Jambi</x:v>
      </x:c>
      <x:c r="Q655" s="66" t="str">
        <x:v>https://snpmb.id/snbp/daya-tampung-snbp</x:v>
      </x:c>
      <x:c r="R655" s="66" t="str">
        <x:v>https://sidatagrun-public-1076756628210.asia-southeast2.run.app/ptn_sn.php?ptn=151</x:v>
      </x:c>
    </x:row>
    <x:row r="656">
      <x:c r="A656" s="87" t="n">
        <x:v>2735</x:v>
      </x:c>
      <x:c r="B656" s="87" t="n">
        <x:v>151</x:v>
      </x:c>
      <x:c r="C656" s="66" t="str">
        <x:v>UNIVERSITAS JAMBI</x:v>
      </x:c>
      <x:c r="D656" s="66" t="str">
        <x:v>PTN Akademik</x:v>
      </x:c>
      <x:c r="E656" s="66" t="str">
        <x:v>11511007</x:v>
      </x:c>
      <x:c r="F656" s="66" t="str">
        <x:v>TEKNOLOGI HASIL PERTANIAN</x:v>
      </x:c>
      <x:c r="G656" s="66" t="str">
        <x:v>Sarjana</x:v>
      </x:c>
      <x:c r="H656" s="87" t="n">
        <x:v>30</x:v>
      </x:c>
      <x:c r="I656" s="87" t="n">
        <x:v>120</x:v>
      </x:c>
      <x:c r="J656" s="68" t="n">
        <x:f>IFERROR(H656/I656,"")</x:f>
        <x:v>0.25</x:v>
      </x:c>
      <x:c r="K656" s="69" t="n">
        <x:f>IFERROR(I656/H656,"")</x:f>
        <x:v>4</x:v>
      </x:c>
      <x:c r="L656" s="66" t="str">
        <x:f>IF(K656="","","1 : "&amp;TEXT(K656,"0.0"))</x:f>
        <x:v>1 : 4.0</x:v>
      </x:c>
      <x:c r="M656" s="66" t="str">
        <x:f>IF(J656="","Baru/Tanpa Data",IF(J656&lt;='Catatan &amp; Sumber'!$B$14,"Sangat Ketat",IF(J656&lt;='Catatan &amp; Sumber'!$B$15,"Ketat",IF(J656&lt;='Catatan &amp; Sumber'!$B$16,"Sedang","Relatif Longgar"))))</x:f>
        <x:v>Relatif Longgar</x:v>
      </x:c>
      <x:c r="N656" s="66" t="str">
        <x:v>Tidak Ada</x:v>
      </x:c>
      <x:c r="O656" s="66" t="str">
        <x:v>Jambi</x:v>
      </x:c>
      <x:c r="P656" s="66" t="str">
        <x:v>Kabupaten Muaro Jambi</x:v>
      </x:c>
      <x:c r="Q656" s="66" t="str">
        <x:v>https://snpmb.id/snbp/daya-tampung-snbp</x:v>
      </x:c>
      <x:c r="R656" s="66" t="str">
        <x:v>https://sidatagrun-public-1076756628210.asia-southeast2.run.app/ptn_sn.php?ptn=151</x:v>
      </x:c>
    </x:row>
    <x:row r="657">
      <x:c r="A657" s="87" t="n">
        <x:v>2482</x:v>
      </x:c>
      <x:c r="B657" s="87" t="n">
        <x:v>151</x:v>
      </x:c>
      <x:c r="C657" s="66" t="str">
        <x:v>UNIVERSITAS JAMBI</x:v>
      </x:c>
      <x:c r="D657" s="66" t="str">
        <x:v>PTN Akademik</x:v>
      </x:c>
      <x:c r="E657" s="66" t="str">
        <x:v>11511008</x:v>
      </x:c>
      <x:c r="F657" s="66" t="str">
        <x:v>PEND. OLAHRAGA &amp; KESEHATAN</x:v>
      </x:c>
      <x:c r="G657" s="66" t="str">
        <x:v>Sarjana</x:v>
      </x:c>
      <x:c r="H657" s="87" t="n">
        <x:v>50</x:v>
      </x:c>
      <x:c r="I657" s="87" t="n">
        <x:v>240</x:v>
      </x:c>
      <x:c r="J657" s="68" t="n">
        <x:f>IFERROR(H657/I657,"")</x:f>
        <x:v>0.20833333333333334</x:v>
      </x:c>
      <x:c r="K657" s="69" t="n">
        <x:f>IFERROR(I657/H657,"")</x:f>
        <x:v>4.8</x:v>
      </x:c>
      <x:c r="L657" s="66" t="str">
        <x:f>IF(K657="","","1 : "&amp;TEXT(K657,"0.0"))</x:f>
        <x:v>1 : 4.8</x:v>
      </x:c>
      <x:c r="M657" s="66" t="str">
        <x:f>IF(J657="","Baru/Tanpa Data",IF(J657&lt;='Catatan &amp; Sumber'!$B$14,"Sangat Ketat",IF(J657&lt;='Catatan &amp; Sumber'!$B$15,"Ketat",IF(J657&lt;='Catatan &amp; Sumber'!$B$16,"Sedang","Relatif Longgar"))))</x:f>
        <x:v>Relatif Longgar</x:v>
      </x:c>
      <x:c r="N657" s="66" t="str">
        <x:v>Olahraga</x:v>
      </x:c>
      <x:c r="O657" s="66" t="str">
        <x:v>Jambi</x:v>
      </x:c>
      <x:c r="P657" s="66" t="str">
        <x:v>Kabupaten Muaro Jambi</x:v>
      </x:c>
      <x:c r="Q657" s="66" t="str">
        <x:v>https://snpmb.id/snbp/daya-tampung-snbp</x:v>
      </x:c>
      <x:c r="R657" s="66" t="str">
        <x:v>https://sidatagrun-public-1076756628210.asia-southeast2.run.app/ptn_sn.php?ptn=151</x:v>
      </x:c>
    </x:row>
    <x:row r="658">
      <x:c r="A658" s="87" t="n">
        <x:v>2330</x:v>
      </x:c>
      <x:c r="B658" s="87" t="n">
        <x:v>151</x:v>
      </x:c>
      <x:c r="C658" s="66" t="str">
        <x:v>UNIVERSITAS JAMBI</x:v>
      </x:c>
      <x:c r="D658" s="66" t="str">
        <x:v>PTN Akademik</x:v>
      </x:c>
      <x:c r="E658" s="66" t="str">
        <x:v>11511009</x:v>
      </x:c>
      <x:c r="F658" s="66" t="str">
        <x:v>KEHUTANAN</x:v>
      </x:c>
      <x:c r="G658" s="66" t="str">
        <x:v>Sarjana</x:v>
      </x:c>
      <x:c r="H658" s="87" t="n">
        <x:v>40</x:v>
      </x:c>
      <x:c r="I658" s="87" t="n">
        <x:v>214</x:v>
      </x:c>
      <x:c r="J658" s="68" t="n">
        <x:f>IFERROR(H658/I658,"")</x:f>
        <x:v>0.18691588785046728</x:v>
      </x:c>
      <x:c r="K658" s="69" t="n">
        <x:f>IFERROR(I658/H658,"")</x:f>
        <x:v>5.35</x:v>
      </x:c>
      <x:c r="L658" s="66" t="str">
        <x:f>IF(K658="","","1 : "&amp;TEXT(K658,"0.0"))</x:f>
        <x:v>1 : 5.4</x:v>
      </x:c>
      <x:c r="M658" s="66" t="str">
        <x:f>IF(J658="","Baru/Tanpa Data",IF(J658&lt;='Catatan &amp; Sumber'!$B$14,"Sangat Ketat",IF(J658&lt;='Catatan &amp; Sumber'!$B$15,"Ketat",IF(J658&lt;='Catatan &amp; Sumber'!$B$16,"Sedang","Relatif Longgar"))))</x:f>
        <x:v>Relatif Longgar</x:v>
      </x:c>
      <x:c r="N658" s="66" t="str">
        <x:v>Tidak Ada</x:v>
      </x:c>
      <x:c r="O658" s="66" t="str">
        <x:v>Jambi</x:v>
      </x:c>
      <x:c r="P658" s="66" t="str">
        <x:v>Kabupaten Muaro Jambi</x:v>
      </x:c>
      <x:c r="Q658" s="66" t="str">
        <x:v>https://snpmb.id/snbp/daya-tampung-snbp</x:v>
      </x:c>
      <x:c r="R658" s="66" t="str">
        <x:v>https://sidatagrun-public-1076756628210.asia-southeast2.run.app/ptn_sn.php?ptn=151</x:v>
      </x:c>
    </x:row>
    <x:row r="659">
      <x:c r="A659" s="87" t="n">
        <x:v>3399</x:v>
      </x:c>
      <x:c r="B659" s="87" t="n">
        <x:v>151</x:v>
      </x:c>
      <x:c r="C659" s="66" t="str">
        <x:v>UNIVERSITAS JAMBI</x:v>
      </x:c>
      <x:c r="D659" s="66" t="str">
        <x:v>PTN Akademik</x:v>
      </x:c>
      <x:c r="E659" s="66" t="str">
        <x:v>11511010</x:v>
      </x:c>
      <x:c r="F659" s="66" t="str">
        <x:v>PETERNAKAN</x:v>
      </x:c>
      <x:c r="G659" s="66" t="str">
        <x:v>Sarjana</x:v>
      </x:c>
      <x:c r="H659" s="87" t="n">
        <x:v>75</x:v>
      </x:c>
      <x:c r="I659" s="87" t="n">
        <x:v>187</x:v>
      </x:c>
      <x:c r="J659" s="68" t="n">
        <x:f>IFERROR(H659/I659,"")</x:f>
        <x:v>0.40106951871657753</x:v>
      </x:c>
      <x:c r="K659" s="69" t="n">
        <x:f>IFERROR(I659/H659,"")</x:f>
        <x:v>2.493333333333333</x:v>
      </x:c>
      <x:c r="L659" s="66" t="str">
        <x:f>IF(K659="","","1 : "&amp;TEXT(K659,"0.0"))</x:f>
        <x:v>1 : 2.5</x:v>
      </x:c>
      <x:c r="M659" s="66" t="str">
        <x:f>IF(J659="","Baru/Tanpa Data",IF(J659&lt;='Catatan &amp; Sumber'!$B$14,"Sangat Ketat",IF(J659&lt;='Catatan &amp; Sumber'!$B$15,"Ketat",IF(J659&lt;='Catatan &amp; Sumber'!$B$16,"Sedang","Relatif Longgar"))))</x:f>
        <x:v>Relatif Longgar</x:v>
      </x:c>
      <x:c r="N659" s="66" t="str">
        <x:v>Tidak Ada</x:v>
      </x:c>
      <x:c r="O659" s="66" t="str">
        <x:v>Jambi</x:v>
      </x:c>
      <x:c r="P659" s="66" t="str">
        <x:v>Kabupaten Muaro Jambi</x:v>
      </x:c>
      <x:c r="Q659" s="66" t="str">
        <x:v>https://snpmb.id/snbp/daya-tampung-snbp</x:v>
      </x:c>
      <x:c r="R659" s="66" t="str">
        <x:v>https://sidatagrun-public-1076756628210.asia-southeast2.run.app/ptn_sn.php?ptn=151</x:v>
      </x:c>
    </x:row>
    <x:row r="660">
      <x:c r="A660" s="87" t="n">
        <x:v>351</x:v>
      </x:c>
      <x:c r="B660" s="87" t="n">
        <x:v>151</x:v>
      </x:c>
      <x:c r="C660" s="66" t="str">
        <x:v>UNIVERSITAS JAMBI</x:v>
      </x:c>
      <x:c r="D660" s="66" t="str">
        <x:v>PTN Akademik</x:v>
      </x:c>
      <x:c r="E660" s="66" t="str">
        <x:v>11511011</x:v>
      </x:c>
      <x:c r="F660" s="66" t="str">
        <x:v>KEDOKTERAN</x:v>
      </x:c>
      <x:c r="G660" s="66" t="str">
        <x:v>Sarjana</x:v>
      </x:c>
      <x:c r="H660" s="87" t="n">
        <x:v>38</x:v>
      </x:c>
      <x:c r="I660" s="87" t="n">
        <x:v>850</x:v>
      </x:c>
      <x:c r="J660" s="68" t="n">
        <x:f>IFERROR(H660/I660,"")</x:f>
        <x:v>0.04470588235294118</x:v>
      </x:c>
      <x:c r="K660" s="69" t="n">
        <x:f>IFERROR(I660/H660,"")</x:f>
        <x:v>22.36842105263158</x:v>
      </x:c>
      <x:c r="L660" s="66" t="str">
        <x:f>IF(K660="","","1 : "&amp;TEXT(K660,"0.0"))</x:f>
        <x:v>1 : 22.4</x:v>
      </x:c>
      <x:c r="M660" s="66" t="str">
        <x:f>IF(J660="","Baru/Tanpa Data",IF(J660&lt;='Catatan &amp; Sumber'!$B$14,"Sangat Ketat",IF(J660&lt;='Catatan &amp; Sumber'!$B$15,"Ketat",IF(J660&lt;='Catatan &amp; Sumber'!$B$16,"Sedang","Relatif Longgar"))))</x:f>
        <x:v>Ketat</x:v>
      </x:c>
      <x:c r="N660" s="66" t="str">
        <x:v>Tidak Ada</x:v>
      </x:c>
      <x:c r="O660" s="66" t="str">
        <x:v>Jambi</x:v>
      </x:c>
      <x:c r="P660" s="66" t="str">
        <x:v>Kabupaten Muaro Jambi</x:v>
      </x:c>
      <x:c r="Q660" s="66" t="str">
        <x:v>https://snpmb.id/snbp/daya-tampung-snbp</x:v>
      </x:c>
      <x:c r="R660" s="66" t="str">
        <x:v>https://sidatagrun-public-1076756628210.asia-southeast2.run.app/ptn_sn.php?ptn=151</x:v>
      </x:c>
    </x:row>
    <x:row r="661">
      <x:c r="A661" s="87" t="n">
        <x:v>3492</x:v>
      </x:c>
      <x:c r="B661" s="87" t="n">
        <x:v>151</x:v>
      </x:c>
      <x:c r="C661" s="66" t="str">
        <x:v>UNIVERSITAS JAMBI</x:v>
      </x:c>
      <x:c r="D661" s="66" t="str">
        <x:v>PTN Akademik</x:v>
      </x:c>
      <x:c r="E661" s="66" t="str">
        <x:v>11511012</x:v>
      </x:c>
      <x:c r="F661" s="66" t="str">
        <x:v>KIMIA</x:v>
      </x:c>
      <x:c r="G661" s="66" t="str">
        <x:v>Sarjana</x:v>
      </x:c>
      <x:c r="H661" s="87" t="n">
        <x:v>25</x:v>
      </x:c>
      <x:c r="I661" s="87" t="n">
        <x:v>58</x:v>
      </x:c>
      <x:c r="J661" s="68" t="n">
        <x:f>IFERROR(H661/I661,"")</x:f>
        <x:v>0.43103448275862066</x:v>
      </x:c>
      <x:c r="K661" s="69" t="n">
        <x:f>IFERROR(I661/H661,"")</x:f>
        <x:v>2.32</x:v>
      </x:c>
      <x:c r="L661" s="66" t="str">
        <x:f>IF(K661="","","1 : "&amp;TEXT(K661,"0.0"))</x:f>
        <x:v>1 : 2.3</x:v>
      </x:c>
      <x:c r="M661" s="66" t="str">
        <x:f>IF(J661="","Baru/Tanpa Data",IF(J661&lt;='Catatan &amp; Sumber'!$B$14,"Sangat Ketat",IF(J661&lt;='Catatan &amp; Sumber'!$B$15,"Ketat",IF(J661&lt;='Catatan &amp; Sumber'!$B$16,"Sedang","Relatif Longgar"))))</x:f>
        <x:v>Relatif Longgar</x:v>
      </x:c>
      <x:c r="N661" s="66" t="str">
        <x:v>Tidak Ada</x:v>
      </x:c>
      <x:c r="O661" s="66" t="str">
        <x:v>Jambi</x:v>
      </x:c>
      <x:c r="P661" s="66" t="str">
        <x:v>Kabupaten Muaro Jambi</x:v>
      </x:c>
      <x:c r="Q661" s="66" t="str">
        <x:v>https://snpmb.id/snbp/daya-tampung-snbp</x:v>
      </x:c>
      <x:c r="R661" s="66" t="str">
        <x:v>https://sidatagrun-public-1076756628210.asia-southeast2.run.app/ptn_sn.php?ptn=151</x:v>
      </x:c>
    </x:row>
    <x:row r="662">
      <x:c r="A662" s="87" t="n">
        <x:v>1177</x:v>
      </x:c>
      <x:c r="B662" s="87" t="n">
        <x:v>151</x:v>
      </x:c>
      <x:c r="C662" s="66" t="str">
        <x:v>UNIVERSITAS JAMBI</x:v>
      </x:c>
      <x:c r="D662" s="66" t="str">
        <x:v>PTN Akademik</x:v>
      </x:c>
      <x:c r="E662" s="66" t="str">
        <x:v>11511017</x:v>
      </x:c>
      <x:c r="F662" s="66" t="str">
        <x:v>ILMU KEPERAWATAN</x:v>
      </x:c>
      <x:c r="G662" s="66" t="str">
        <x:v>Sarjana</x:v>
      </x:c>
      <x:c r="H662" s="87" t="n">
        <x:v>50</x:v>
      </x:c>
      <x:c r="I662" s="87" t="n">
        <x:v>566</x:v>
      </x:c>
      <x:c r="J662" s="68" t="n">
        <x:f>IFERROR(H662/I662,"")</x:f>
        <x:v>0.08833922261484099</x:v>
      </x:c>
      <x:c r="K662" s="69" t="n">
        <x:f>IFERROR(I662/H662,"")</x:f>
        <x:v>11.32</x:v>
      </x:c>
      <x:c r="L662" s="66" t="str">
        <x:f>IF(K662="","","1 : "&amp;TEXT(K662,"0.0"))</x:f>
        <x:v>1 : 11.3</x:v>
      </x:c>
      <x:c r="M662" s="66" t="str">
        <x:f>IF(J662="","Baru/Tanpa Data",IF(J662&lt;='Catatan &amp; Sumber'!$B$14,"Sangat Ketat",IF(J662&lt;='Catatan &amp; Sumber'!$B$15,"Ketat",IF(J662&lt;='Catatan &amp; Sumber'!$B$16,"Sedang","Relatif Longgar"))))</x:f>
        <x:v>Sedang</x:v>
      </x:c>
      <x:c r="N662" s="66" t="str">
        <x:v>Tidak Ada</x:v>
      </x:c>
      <x:c r="O662" s="66" t="str">
        <x:v>Jambi</x:v>
      </x:c>
      <x:c r="P662" s="66" t="str">
        <x:v>Kabupaten Muaro Jambi</x:v>
      </x:c>
      <x:c r="Q662" s="66" t="str">
        <x:v>https://snpmb.id/snbp/daya-tampung-snbp</x:v>
      </x:c>
      <x:c r="R662" s="66" t="str">
        <x:v>https://sidatagrun-public-1076756628210.asia-southeast2.run.app/ptn_sn.php?ptn=151</x:v>
      </x:c>
    </x:row>
    <x:row r="663">
      <x:c r="A663" s="87" t="n">
        <x:v>77</x:v>
      </x:c>
      <x:c r="B663" s="87" t="n">
        <x:v>151</x:v>
      </x:c>
      <x:c r="C663" s="66" t="str">
        <x:v>UNIVERSITAS JAMBI</x:v>
      </x:c>
      <x:c r="D663" s="66" t="str">
        <x:v>PTN Akademik</x:v>
      </x:c>
      <x:c r="E663" s="66" t="str">
        <x:v>11511018</x:v>
      </x:c>
      <x:c r="F663" s="66" t="str">
        <x:v>FARMASI</x:v>
      </x:c>
      <x:c r="G663" s="66" t="str">
        <x:v>Sarjana</x:v>
      </x:c>
      <x:c r="H663" s="87" t="n">
        <x:v>23</x:v>
      </x:c>
      <x:c r="I663" s="87" t="n">
        <x:v>876</x:v>
      </x:c>
      <x:c r="J663" s="68" t="n">
        <x:f>IFERROR(H663/I663,"")</x:f>
        <x:v>0.026255707762557076</x:v>
      </x:c>
      <x:c r="K663" s="69" t="n">
        <x:f>IFERROR(I663/H663,"")</x:f>
        <x:v>38.08695652173913</x:v>
      </x:c>
      <x:c r="L663" s="66" t="str">
        <x:f>IF(K663="","","1 : "&amp;TEXT(K663,"0.0"))</x:f>
        <x:v>1 : 38.1</x:v>
      </x:c>
      <x:c r="M663" s="66" t="str">
        <x:f>IF(J663="","Baru/Tanpa Data",IF(J663&lt;='Catatan &amp; Sumber'!$B$14,"Sangat Ketat",IF(J663&lt;='Catatan &amp; Sumber'!$B$15,"Ketat",IF(J663&lt;='Catatan &amp; Sumber'!$B$16,"Sedang","Relatif Longgar"))))</x:f>
        <x:v>Ketat</x:v>
      </x:c>
      <x:c r="N663" s="66" t="str">
        <x:v>Tidak Ada</x:v>
      </x:c>
      <x:c r="O663" s="66" t="str">
        <x:v>Jambi</x:v>
      </x:c>
      <x:c r="P663" s="66" t="str">
        <x:v>Kabupaten Muaro Jambi</x:v>
      </x:c>
      <x:c r="Q663" s="66" t="str">
        <x:v>https://snpmb.id/snbp/daya-tampung-snbp</x:v>
      </x:c>
      <x:c r="R663" s="66" t="str">
        <x:v>https://sidatagrun-public-1076756628210.asia-southeast2.run.app/ptn_sn.php?ptn=151</x:v>
      </x:c>
    </x:row>
    <x:row r="664">
      <x:c r="A664" s="87" t="n">
        <x:v>4353</x:v>
      </x:c>
      <x:c r="B664" s="87" t="n">
        <x:v>151</x:v>
      </x:c>
      <x:c r="C664" s="66" t="str">
        <x:v>UNIVERSITAS JAMBI</x:v>
      </x:c>
      <x:c r="D664" s="66" t="str">
        <x:v>PTN Akademik</x:v>
      </x:c>
      <x:c r="E664" s="66" t="str">
        <x:v>11511019</x:v>
      </x:c>
      <x:c r="F664" s="66" t="str">
        <x:v>PEMANFAATAN SUMBERDAYA PERIKANAN</x:v>
      </x:c>
      <x:c r="G664" s="66" t="str">
        <x:v>Sarjana</x:v>
      </x:c>
      <x:c r="H664" s="87" t="n">
        <x:v>42</x:v>
      </x:c>
      <x:c r="I664" s="87" t="n">
        <x:v>40</x:v>
      </x:c>
      <x:c r="J664" s="68" t="n">
        <x:f>IFERROR(H664/I664,"")</x:f>
        <x:v>1.05</x:v>
      </x:c>
      <x:c r="K664" s="69" t="n">
        <x:f>IFERROR(I664/H664,"")</x:f>
        <x:v>0.9523809523809523</x:v>
      </x:c>
      <x:c r="L664" s="66" t="str">
        <x:f>IF(K664="","","1 : "&amp;TEXT(K664,"0.0"))</x:f>
        <x:v>1 : 1.0</x:v>
      </x:c>
      <x:c r="M664" s="66" t="str">
        <x:f>IF(J664="","Baru/Tanpa Data",IF(J664&lt;='Catatan &amp; Sumber'!$B$14,"Sangat Ketat",IF(J664&lt;='Catatan &amp; Sumber'!$B$15,"Ketat",IF(J664&lt;='Catatan &amp; Sumber'!$B$16,"Sedang","Relatif Longgar"))))</x:f>
        <x:v>Relatif Longgar</x:v>
      </x:c>
      <x:c r="N664" s="66" t="str">
        <x:v>Tidak Ada</x:v>
      </x:c>
      <x:c r="O664" s="66" t="str">
        <x:v>Jambi</x:v>
      </x:c>
      <x:c r="P664" s="66" t="str">
        <x:v>Kabupaten Muaro Jambi</x:v>
      </x:c>
      <x:c r="Q664" s="66" t="str">
        <x:v>https://snpmb.id/snbp/daya-tampung-snbp</x:v>
      </x:c>
      <x:c r="R664" s="66" t="str">
        <x:v>https://sidatagrun-public-1076756628210.asia-southeast2.run.app/ptn_sn.php?ptn=151</x:v>
      </x:c>
    </x:row>
    <x:row r="665">
      <x:c r="A665" s="87" t="n">
        <x:v>163</x:v>
      </x:c>
      <x:c r="B665" s="87" t="n">
        <x:v>151</x:v>
      </x:c>
      <x:c r="C665" s="66" t="str">
        <x:v>UNIVERSITAS JAMBI</x:v>
      </x:c>
      <x:c r="D665" s="66" t="str">
        <x:v>PTN Akademik</x:v>
      </x:c>
      <x:c r="E665" s="66" t="str">
        <x:v>11511020</x:v>
      </x:c>
      <x:c r="F665" s="66" t="str">
        <x:v>SISTEM INFORMASI</x:v>
      </x:c>
      <x:c r="G665" s="66" t="str">
        <x:v>Sarjana</x:v>
      </x:c>
      <x:c r="H665" s="87" t="n">
        <x:v>23</x:v>
      </x:c>
      <x:c r="I665" s="87" t="n">
        <x:v>668</x:v>
      </x:c>
      <x:c r="J665" s="68" t="n">
        <x:f>IFERROR(H665/I665,"")</x:f>
        <x:v>0.0344311377245509</x:v>
      </x:c>
      <x:c r="K665" s="69" t="n">
        <x:f>IFERROR(I665/H665,"")</x:f>
        <x:v>29.043478260869566</x:v>
      </x:c>
      <x:c r="L665" s="66" t="str">
        <x:f>IF(K665="","","1 : "&amp;TEXT(K665,"0.0"))</x:f>
        <x:v>1 : 29.0</x:v>
      </x:c>
      <x:c r="M665" s="66" t="str">
        <x:f>IF(J665="","Baru/Tanpa Data",IF(J665&lt;='Catatan &amp; Sumber'!$B$14,"Sangat Ketat",IF(J665&lt;='Catatan &amp; Sumber'!$B$15,"Ketat",IF(J665&lt;='Catatan &amp; Sumber'!$B$16,"Sedang","Relatif Longgar"))))</x:f>
        <x:v>Ketat</x:v>
      </x:c>
      <x:c r="N665" s="66" t="str">
        <x:v>Tidak Ada</x:v>
      </x:c>
      <x:c r="O665" s="66" t="str">
        <x:v>Jambi</x:v>
      </x:c>
      <x:c r="P665" s="66" t="str">
        <x:v>Kabupaten Muaro Jambi</x:v>
      </x:c>
      <x:c r="Q665" s="66" t="str">
        <x:v>https://snpmb.id/snbp/daya-tampung-snbp</x:v>
      </x:c>
      <x:c r="R665" s="66" t="str">
        <x:v>https://sidatagrun-public-1076756628210.asia-southeast2.run.app/ptn_sn.php?ptn=151</x:v>
      </x:c>
    </x:row>
    <x:row r="666">
      <x:c r="A666" s="87" t="n">
        <x:v>239</x:v>
      </x:c>
      <x:c r="B666" s="87" t="n">
        <x:v>151</x:v>
      </x:c>
      <x:c r="C666" s="66" t="str">
        <x:v>UNIVERSITAS JAMBI</x:v>
      </x:c>
      <x:c r="D666" s="66" t="str">
        <x:v>PTN Akademik</x:v>
      </x:c>
      <x:c r="E666" s="66" t="str">
        <x:v>11511021</x:v>
      </x:c>
      <x:c r="F666" s="66" t="str">
        <x:v>TEKNIK PERTAMBANGAN</x:v>
      </x:c>
      <x:c r="G666" s="66" t="str">
        <x:v>Sarjana</x:v>
      </x:c>
      <x:c r="H666" s="87" t="n">
        <x:v>25</x:v>
      </x:c>
      <x:c r="I666" s="87" t="n">
        <x:v>643</x:v>
      </x:c>
      <x:c r="J666" s="68" t="n">
        <x:f>IFERROR(H666/I666,"")</x:f>
        <x:v>0.038880248833592534</x:v>
      </x:c>
      <x:c r="K666" s="69" t="n">
        <x:f>IFERROR(I666/H666,"")</x:f>
        <x:v>25.72</x:v>
      </x:c>
      <x:c r="L666" s="66" t="str">
        <x:f>IF(K666="","","1 : "&amp;TEXT(K666,"0.0"))</x:f>
        <x:v>1 : 25.7</x:v>
      </x:c>
      <x:c r="M666" s="66" t="str">
        <x:f>IF(J666="","Baru/Tanpa Data",IF(J666&lt;='Catatan &amp; Sumber'!$B$14,"Sangat Ketat",IF(J666&lt;='Catatan &amp; Sumber'!$B$15,"Ketat",IF(J666&lt;='Catatan &amp; Sumber'!$B$16,"Sedang","Relatif Longgar"))))</x:f>
        <x:v>Ketat</x:v>
      </x:c>
      <x:c r="N666" s="66" t="str">
        <x:v>Tidak Ada</x:v>
      </x:c>
      <x:c r="O666" s="66" t="str">
        <x:v>Jambi</x:v>
      </x:c>
      <x:c r="P666" s="66" t="str">
        <x:v>Kabupaten Muaro Jambi</x:v>
      </x:c>
      <x:c r="Q666" s="66" t="str">
        <x:v>https://snpmb.id/snbp/daya-tampung-snbp</x:v>
      </x:c>
      <x:c r="R666" s="66" t="str">
        <x:v>https://sidatagrun-public-1076756628210.asia-southeast2.run.app/ptn_sn.php?ptn=151</x:v>
      </x:c>
    </x:row>
    <x:row r="667">
      <x:c r="A667" s="87" t="n">
        <x:v>1947</x:v>
      </x:c>
      <x:c r="B667" s="87" t="n">
        <x:v>151</x:v>
      </x:c>
      <x:c r="C667" s="66" t="str">
        <x:v>UNIVERSITAS JAMBI</x:v>
      </x:c>
      <x:c r="D667" s="66" t="str">
        <x:v>PTN Akademik</x:v>
      </x:c>
      <x:c r="E667" s="66" t="str">
        <x:v>11511022</x:v>
      </x:c>
      <x:c r="F667" s="66" t="str">
        <x:v>TEKNIK GEOLOGI</x:v>
      </x:c>
      <x:c r="G667" s="66" t="str">
        <x:v>Sarjana</x:v>
      </x:c>
      <x:c r="H667" s="87" t="n">
        <x:v>25</x:v>
      </x:c>
      <x:c r="I667" s="87" t="n">
        <x:v>171</x:v>
      </x:c>
      <x:c r="J667" s="68" t="n">
        <x:f>IFERROR(H667/I667,"")</x:f>
        <x:v>0.14619883040935672</x:v>
      </x:c>
      <x:c r="K667" s="69" t="n">
        <x:f>IFERROR(I667/H667,"")</x:f>
        <x:v>6.84</x:v>
      </x:c>
      <x:c r="L667" s="66" t="str">
        <x:f>IF(K667="","","1 : "&amp;TEXT(K667,"0.0"))</x:f>
        <x:v>1 : 6.8</x:v>
      </x:c>
      <x:c r="M667" s="66" t="str">
        <x:f>IF(J667="","Baru/Tanpa Data",IF(J667&lt;='Catatan &amp; Sumber'!$B$14,"Sangat Ketat",IF(J667&lt;='Catatan &amp; Sumber'!$B$15,"Ketat",IF(J667&lt;='Catatan &amp; Sumber'!$B$16,"Sedang","Relatif Longgar"))))</x:f>
        <x:v>Relatif Longgar</x:v>
      </x:c>
      <x:c r="N667" s="66" t="str">
        <x:v>Tidak Ada</x:v>
      </x:c>
      <x:c r="O667" s="66" t="str">
        <x:v>Jambi</x:v>
      </x:c>
      <x:c r="P667" s="66" t="str">
        <x:v>Kabupaten Muaro Jambi</x:v>
      </x:c>
      <x:c r="Q667" s="66" t="str">
        <x:v>https://snpmb.id/snbp/daya-tampung-snbp</x:v>
      </x:c>
      <x:c r="R667" s="66" t="str">
        <x:v>https://sidatagrun-public-1076756628210.asia-southeast2.run.app/ptn_sn.php?ptn=151</x:v>
      </x:c>
    </x:row>
    <x:row r="668">
      <x:c r="A668" s="87" t="n">
        <x:v>3157</x:v>
      </x:c>
      <x:c r="B668" s="87" t="n">
        <x:v>151</x:v>
      </x:c>
      <x:c r="C668" s="66" t="str">
        <x:v>UNIVERSITAS JAMBI</x:v>
      </x:c>
      <x:c r="D668" s="66" t="str">
        <x:v>PTN Akademik</x:v>
      </x:c>
      <x:c r="E668" s="66" t="str">
        <x:v>11511023</x:v>
      </x:c>
      <x:c r="F668" s="66" t="str">
        <x:v>BIOLOGI</x:v>
      </x:c>
      <x:c r="G668" s="66" t="str">
        <x:v>Sarjana</x:v>
      </x:c>
      <x:c r="H668" s="87" t="n">
        <x:v>25</x:v>
      </x:c>
      <x:c r="I668" s="87" t="n">
        <x:v>76</x:v>
      </x:c>
      <x:c r="J668" s="68" t="n">
        <x:f>IFERROR(H668/I668,"")</x:f>
        <x:v>0.32894736842105265</x:v>
      </x:c>
      <x:c r="K668" s="69" t="n">
        <x:f>IFERROR(I668/H668,"")</x:f>
        <x:v>3.04</x:v>
      </x:c>
      <x:c r="L668" s="66" t="str">
        <x:f>IF(K668="","","1 : "&amp;TEXT(K668,"0.0"))</x:f>
        <x:v>1 : 3.0</x:v>
      </x:c>
      <x:c r="M668" s="66" t="str">
        <x:f>IF(J668="","Baru/Tanpa Data",IF(J668&lt;='Catatan &amp; Sumber'!$B$14,"Sangat Ketat",IF(J668&lt;='Catatan &amp; Sumber'!$B$15,"Ketat",IF(J668&lt;='Catatan &amp; Sumber'!$B$16,"Sedang","Relatif Longgar"))))</x:f>
        <x:v>Relatif Longgar</x:v>
      </x:c>
      <x:c r="N668" s="66" t="str">
        <x:v>Tidak Ada</x:v>
      </x:c>
      <x:c r="O668" s="66" t="str">
        <x:v>Jambi</x:v>
      </x:c>
      <x:c r="P668" s="66" t="str">
        <x:v>Kabupaten Muaro Jambi</x:v>
      </x:c>
      <x:c r="Q668" s="66" t="str">
        <x:v>https://snpmb.id/snbp/daya-tampung-snbp</x:v>
      </x:c>
      <x:c r="R668" s="66" t="str">
        <x:v>https://sidatagrun-public-1076756628210.asia-southeast2.run.app/ptn_sn.php?ptn=151</x:v>
      </x:c>
    </x:row>
    <x:row r="669">
      <x:c r="A669" s="87" t="n">
        <x:v>4250</x:v>
      </x:c>
      <x:c r="B669" s="87" t="n">
        <x:v>151</x:v>
      </x:c>
      <x:c r="C669" s="66" t="str">
        <x:v>UNIVERSITAS JAMBI</x:v>
      </x:c>
      <x:c r="D669" s="66" t="str">
        <x:v>PTN Akademik</x:v>
      </x:c>
      <x:c r="E669" s="66" t="str">
        <x:v>11511024</x:v>
      </x:c>
      <x:c r="F669" s="66" t="str">
        <x:v>FISIKA</x:v>
      </x:c>
      <x:c r="G669" s="66" t="str">
        <x:v>Sarjana</x:v>
      </x:c>
      <x:c r="H669" s="87" t="n">
        <x:v>20</x:v>
      </x:c>
      <x:c r="I669" s="87" t="n">
        <x:v>22</x:v>
      </x:c>
      <x:c r="J669" s="68" t="n">
        <x:f>IFERROR(H669/I669,"")</x:f>
        <x:v>0.9090909090909091</x:v>
      </x:c>
      <x:c r="K669" s="69" t="n">
        <x:f>IFERROR(I669/H669,"")</x:f>
        <x:v>1.1</x:v>
      </x:c>
      <x:c r="L669" s="66" t="str">
        <x:f>IF(K669="","","1 : "&amp;TEXT(K669,"0.0"))</x:f>
        <x:v>1 : 1.1</x:v>
      </x:c>
      <x:c r="M669" s="66" t="str">
        <x:f>IF(J669="","Baru/Tanpa Data",IF(J669&lt;='Catatan &amp; Sumber'!$B$14,"Sangat Ketat",IF(J669&lt;='Catatan &amp; Sumber'!$B$15,"Ketat",IF(J669&lt;='Catatan &amp; Sumber'!$B$16,"Sedang","Relatif Longgar"))))</x:f>
        <x:v>Relatif Longgar</x:v>
      </x:c>
      <x:c r="N669" s="66" t="str">
        <x:v>Tidak Ada</x:v>
      </x:c>
      <x:c r="O669" s="66" t="str">
        <x:v>Jambi</x:v>
      </x:c>
      <x:c r="P669" s="66" t="str">
        <x:v>Kabupaten Muaro Jambi</x:v>
      </x:c>
      <x:c r="Q669" s="66" t="str">
        <x:v>https://snpmb.id/snbp/daya-tampung-snbp</x:v>
      </x:c>
      <x:c r="R669" s="66" t="str">
        <x:v>https://sidatagrun-public-1076756628210.asia-southeast2.run.app/ptn_sn.php?ptn=151</x:v>
      </x:c>
    </x:row>
    <x:row r="670">
      <x:c r="A670" s="87" t="n">
        <x:v>3181</x:v>
      </x:c>
      <x:c r="B670" s="87" t="n">
        <x:v>151</x:v>
      </x:c>
      <x:c r="C670" s="66" t="str">
        <x:v>UNIVERSITAS JAMBI</x:v>
      </x:c>
      <x:c r="D670" s="66" t="str">
        <x:v>PTN Akademik</x:v>
      </x:c>
      <x:c r="E670" s="66" t="str">
        <x:v>11511025</x:v>
      </x:c>
      <x:c r="F670" s="66" t="str">
        <x:v>MATEMATIKA</x:v>
      </x:c>
      <x:c r="G670" s="66" t="str">
        <x:v>Sarjana</x:v>
      </x:c>
      <x:c r="H670" s="87" t="n">
        <x:v>27</x:v>
      </x:c>
      <x:c r="I670" s="87" t="n">
        <x:v>80</x:v>
      </x:c>
      <x:c r="J670" s="68" t="n">
        <x:f>IFERROR(H670/I670,"")</x:f>
        <x:v>0.3375</x:v>
      </x:c>
      <x:c r="K670" s="69" t="n">
        <x:f>IFERROR(I670/H670,"")</x:f>
        <x:v>2.962962962962963</x:v>
      </x:c>
      <x:c r="L670" s="66" t="str">
        <x:f>IF(K670="","","1 : "&amp;TEXT(K670,"0.0"))</x:f>
        <x:v>1 : 3.0</x:v>
      </x:c>
      <x:c r="M670" s="66" t="str">
        <x:f>IF(J670="","Baru/Tanpa Data",IF(J670&lt;='Catatan &amp; Sumber'!$B$14,"Sangat Ketat",IF(J670&lt;='Catatan &amp; Sumber'!$B$15,"Ketat",IF(J670&lt;='Catatan &amp; Sumber'!$B$16,"Sedang","Relatif Longgar"))))</x:f>
        <x:v>Relatif Longgar</x:v>
      </x:c>
      <x:c r="N670" s="66" t="str">
        <x:v>Tidak Ada</x:v>
      </x:c>
      <x:c r="O670" s="66" t="str">
        <x:v>Jambi</x:v>
      </x:c>
      <x:c r="P670" s="66" t="str">
        <x:v>Kabupaten Muaro Jambi</x:v>
      </x:c>
      <x:c r="Q670" s="66" t="str">
        <x:v>https://snpmb.id/snbp/daya-tampung-snbp</x:v>
      </x:c>
      <x:c r="R670" s="66" t="str">
        <x:v>https://sidatagrun-public-1076756628210.asia-southeast2.run.app/ptn_sn.php?ptn=151</x:v>
      </x:c>
    </x:row>
    <x:row r="671">
      <x:c r="A671" s="87" t="n">
        <x:v>628</x:v>
      </x:c>
      <x:c r="B671" s="87" t="n">
        <x:v>151</x:v>
      </x:c>
      <x:c r="C671" s="66" t="str">
        <x:v>UNIVERSITAS JAMBI</x:v>
      </x:c>
      <x:c r="D671" s="66" t="str">
        <x:v>PTN Akademik</x:v>
      </x:c>
      <x:c r="E671" s="66" t="str">
        <x:v>11511026</x:v>
      </x:c>
      <x:c r="F671" s="66" t="str">
        <x:v>ILMU KESEHATAN MASYARAKAT</x:v>
      </x:c>
      <x:c r="G671" s="66" t="str">
        <x:v>Sarjana</x:v>
      </x:c>
      <x:c r="H671" s="87" t="n">
        <x:v>45</x:v>
      </x:c>
      <x:c r="I671" s="87" t="n">
        <x:v>769</x:v>
      </x:c>
      <x:c r="J671" s="68" t="n">
        <x:f>IFERROR(H671/I671,"")</x:f>
        <x:v>0.05851755526657997</x:v>
      </x:c>
      <x:c r="K671" s="69" t="n">
        <x:f>IFERROR(I671/H671,"")</x:f>
        <x:v>17.08888888888889</x:v>
      </x:c>
      <x:c r="L671" s="66" t="str">
        <x:f>IF(K671="","","1 : "&amp;TEXT(K671,"0.0"))</x:f>
        <x:v>1 : 17.1</x:v>
      </x:c>
      <x:c r="M671" s="66" t="str">
        <x:f>IF(J671="","Baru/Tanpa Data",IF(J671&lt;='Catatan &amp; Sumber'!$B$14,"Sangat Ketat",IF(J671&lt;='Catatan &amp; Sumber'!$B$15,"Ketat",IF(J671&lt;='Catatan &amp; Sumber'!$B$16,"Sedang","Relatif Longgar"))))</x:f>
        <x:v>Sedang</x:v>
      </x:c>
      <x:c r="N671" s="66" t="str">
        <x:v>Tidak Ada</x:v>
      </x:c>
      <x:c r="O671" s="66" t="str">
        <x:v>Jambi</x:v>
      </x:c>
      <x:c r="P671" s="66" t="str">
        <x:v>Kabupaten Muaro Jambi</x:v>
      </x:c>
      <x:c r="Q671" s="66" t="str">
        <x:v>https://snpmb.id/snbp/daya-tampung-snbp</x:v>
      </x:c>
      <x:c r="R671" s="66" t="str">
        <x:v>https://sidatagrun-public-1076756628210.asia-southeast2.run.app/ptn_sn.php?ptn=151</x:v>
      </x:c>
    </x:row>
    <x:row r="672">
      <x:c r="A672" s="87" t="n">
        <x:v>1895</x:v>
      </x:c>
      <x:c r="B672" s="87" t="n">
        <x:v>151</x:v>
      </x:c>
      <x:c r="C672" s="66" t="str">
        <x:v>UNIVERSITAS JAMBI</x:v>
      </x:c>
      <x:c r="D672" s="66" t="str">
        <x:v>PTN Akademik</x:v>
      </x:c>
      <x:c r="E672" s="66" t="str">
        <x:v>11511027</x:v>
      </x:c>
      <x:c r="F672" s="66" t="str">
        <x:v>TEKNIK LINGKUNGAN</x:v>
      </x:c>
      <x:c r="G672" s="66" t="str">
        <x:v>Sarjana</x:v>
      </x:c>
      <x:c r="H672" s="87" t="n">
        <x:v>25</x:v>
      </x:c>
      <x:c r="I672" s="87" t="n">
        <x:v>178</x:v>
      </x:c>
      <x:c r="J672" s="68" t="n">
        <x:f>IFERROR(H672/I672,"")</x:f>
        <x:v>0.1404494382022472</x:v>
      </x:c>
      <x:c r="K672" s="69" t="n">
        <x:f>IFERROR(I672/H672,"")</x:f>
        <x:v>7.12</x:v>
      </x:c>
      <x:c r="L672" s="66" t="str">
        <x:f>IF(K672="","","1 : "&amp;TEXT(K672,"0.0"))</x:f>
        <x:v>1 : 7.1</x:v>
      </x:c>
      <x:c r="M672" s="66" t="str">
        <x:f>IF(J672="","Baru/Tanpa Data",IF(J672&lt;='Catatan &amp; Sumber'!$B$14,"Sangat Ketat",IF(J672&lt;='Catatan &amp; Sumber'!$B$15,"Ketat",IF(J672&lt;='Catatan &amp; Sumber'!$B$16,"Sedang","Relatif Longgar"))))</x:f>
        <x:v>Relatif Longgar</x:v>
      </x:c>
      <x:c r="N672" s="66" t="str">
        <x:v>Tidak Ada</x:v>
      </x:c>
      <x:c r="O672" s="66" t="str">
        <x:v>Jambi</x:v>
      </x:c>
      <x:c r="P672" s="66" t="str">
        <x:v>Kabupaten Muaro Jambi</x:v>
      </x:c>
      <x:c r="Q672" s="66" t="str">
        <x:v>https://snpmb.id/snbp/daya-tampung-snbp</x:v>
      </x:c>
      <x:c r="R672" s="66" t="str">
        <x:v>https://sidatagrun-public-1076756628210.asia-southeast2.run.app/ptn_sn.php?ptn=151</x:v>
      </x:c>
    </x:row>
    <x:row r="673">
      <x:c r="A673" s="87" t="n">
        <x:v>3125</x:v>
      </x:c>
      <x:c r="B673" s="87" t="n">
        <x:v>151</x:v>
      </x:c>
      <x:c r="C673" s="66" t="str">
        <x:v>UNIVERSITAS JAMBI</x:v>
      </x:c>
      <x:c r="D673" s="66" t="str">
        <x:v>PTN Akademik</x:v>
      </x:c>
      <x:c r="E673" s="66" t="str">
        <x:v>11511028</x:v>
      </x:c>
      <x:c r="F673" s="66" t="str">
        <x:v>PENDIDIKAN KEPELATIHAN OLAHRAGA</x:v>
      </x:c>
      <x:c r="G673" s="66" t="str">
        <x:v>Sarjana</x:v>
      </x:c>
      <x:c r="H673" s="87" t="n">
        <x:v>25</x:v>
      </x:c>
      <x:c r="I673" s="87" t="n">
        <x:v>78</x:v>
      </x:c>
      <x:c r="J673" s="68" t="n">
        <x:f>IFERROR(H673/I673,"")</x:f>
        <x:v>0.32051282051282054</x:v>
      </x:c>
      <x:c r="K673" s="69" t="n">
        <x:f>IFERROR(I673/H673,"")</x:f>
        <x:v>3.12</x:v>
      </x:c>
      <x:c r="L673" s="66" t="str">
        <x:f>IF(K673="","","1 : "&amp;TEXT(K673,"0.0"))</x:f>
        <x:v>1 : 3.1</x:v>
      </x:c>
      <x:c r="M673" s="66" t="str">
        <x:f>IF(J673="","Baru/Tanpa Data",IF(J673&lt;='Catatan &amp; Sumber'!$B$14,"Sangat Ketat",IF(J673&lt;='Catatan &amp; Sumber'!$B$15,"Ketat",IF(J673&lt;='Catatan &amp; Sumber'!$B$16,"Sedang","Relatif Longgar"))))</x:f>
        <x:v>Relatif Longgar</x:v>
      </x:c>
      <x:c r="N673" s="66" t="str">
        <x:v>Olahraga</x:v>
      </x:c>
      <x:c r="O673" s="66" t="str">
        <x:v>Jambi</x:v>
      </x:c>
      <x:c r="P673" s="66" t="str">
        <x:v>Kabupaten Muaro Jambi</x:v>
      </x:c>
      <x:c r="Q673" s="66" t="str">
        <x:v>https://snpmb.id/snbp/daya-tampung-snbp</x:v>
      </x:c>
      <x:c r="R673" s="66" t="str">
        <x:v>https://sidatagrun-public-1076756628210.asia-southeast2.run.app/ptn_sn.php?ptn=151</x:v>
      </x:c>
    </x:row>
    <x:row r="674">
      <x:c r="A674" s="87" t="n">
        <x:v>1653</x:v>
      </x:c>
      <x:c r="B674" s="87" t="n">
        <x:v>151</x:v>
      </x:c>
      <x:c r="C674" s="66" t="str">
        <x:v>UNIVERSITAS JAMBI</x:v>
      </x:c>
      <x:c r="D674" s="66" t="str">
        <x:v>PTN Akademik</x:v>
      </x:c>
      <x:c r="E674" s="66" t="str">
        <x:v>11511029</x:v>
      </x:c>
      <x:c r="F674" s="66" t="str">
        <x:v>TEKNIK ELEKTRO</x:v>
      </x:c>
      <x:c r="G674" s="66" t="str">
        <x:v>Sarjana</x:v>
      </x:c>
      <x:c r="H674" s="87" t="n">
        <x:v>17</x:v>
      </x:c>
      <x:c r="I674" s="87" t="n">
        <x:v>141</x:v>
      </x:c>
      <x:c r="J674" s="68" t="n">
        <x:f>IFERROR(H674/I674,"")</x:f>
        <x:v>0.12056737588652482</x:v>
      </x:c>
      <x:c r="K674" s="69" t="n">
        <x:f>IFERROR(I674/H674,"")</x:f>
        <x:v>8.294117647058824</x:v>
      </x:c>
      <x:c r="L674" s="66" t="str">
        <x:f>IF(K674="","","1 : "&amp;TEXT(K674,"0.0"))</x:f>
        <x:v>1 : 8.3</x:v>
      </x:c>
      <x:c r="M674" s="66" t="str">
        <x:f>IF(J674="","Baru/Tanpa Data",IF(J674&lt;='Catatan &amp; Sumber'!$B$14,"Sangat Ketat",IF(J674&lt;='Catatan &amp; Sumber'!$B$15,"Ketat",IF(J674&lt;='Catatan &amp; Sumber'!$B$16,"Sedang","Relatif Longgar"))))</x:f>
        <x:v>Relatif Longgar</x:v>
      </x:c>
      <x:c r="N674" s="66" t="str">
        <x:v>Tidak Ada</x:v>
      </x:c>
      <x:c r="O674" s="66" t="str">
        <x:v>Jambi</x:v>
      </x:c>
      <x:c r="P674" s="66" t="str">
        <x:v>Kabupaten Muaro Jambi</x:v>
      </x:c>
      <x:c r="Q674" s="66" t="str">
        <x:v>https://snpmb.id/snbp/daya-tampung-snbp</x:v>
      </x:c>
      <x:c r="R674" s="66" t="str">
        <x:v>https://sidatagrun-public-1076756628210.asia-southeast2.run.app/ptn_sn.php?ptn=151</x:v>
      </x:c>
    </x:row>
    <x:row r="675">
      <x:c r="A675" s="87" t="n">
        <x:v>2888</x:v>
      </x:c>
      <x:c r="B675" s="87" t="n">
        <x:v>151</x:v>
      </x:c>
      <x:c r="C675" s="66" t="str">
        <x:v>UNIVERSITAS JAMBI</x:v>
      </x:c>
      <x:c r="D675" s="66" t="str">
        <x:v>PTN Akademik</x:v>
      </x:c>
      <x:c r="E675" s="66" t="str">
        <x:v>11511030</x:v>
      </x:c>
      <x:c r="F675" s="66" t="str">
        <x:v>TEKNIK GEOFISIKA</x:v>
      </x:c>
      <x:c r="G675" s="66" t="str">
        <x:v>Sarjana</x:v>
      </x:c>
      <x:c r="H675" s="87" t="n">
        <x:v>15</x:v>
      </x:c>
      <x:c r="I675" s="87" t="n">
        <x:v>55</x:v>
      </x:c>
      <x:c r="J675" s="68" t="n">
        <x:f>IFERROR(H675/I675,"")</x:f>
        <x:v>0.2727272727272727</x:v>
      </x:c>
      <x:c r="K675" s="69" t="n">
        <x:f>IFERROR(I675/H675,"")</x:f>
        <x:v>3.6666666666666665</x:v>
      </x:c>
      <x:c r="L675" s="66" t="str">
        <x:f>IF(K675="","","1 : "&amp;TEXT(K675,"0.0"))</x:f>
        <x:v>1 : 3.7</x:v>
      </x:c>
      <x:c r="M675" s="66" t="str">
        <x:f>IF(J675="","Baru/Tanpa Data",IF(J675&lt;='Catatan &amp; Sumber'!$B$14,"Sangat Ketat",IF(J675&lt;='Catatan &amp; Sumber'!$B$15,"Ketat",IF(J675&lt;='Catatan &amp; Sumber'!$B$16,"Sedang","Relatif Longgar"))))</x:f>
        <x:v>Relatif Longgar</x:v>
      </x:c>
      <x:c r="N675" s="66" t="str">
        <x:v>Tidak Ada</x:v>
      </x:c>
      <x:c r="O675" s="66" t="str">
        <x:v>Jambi</x:v>
      </x:c>
      <x:c r="P675" s="66" t="str">
        <x:v>Kabupaten Muaro Jambi</x:v>
      </x:c>
      <x:c r="Q675" s="66" t="str">
        <x:v>https://snpmb.id/snbp/daya-tampung-snbp</x:v>
      </x:c>
      <x:c r="R675" s="66" t="str">
        <x:v>https://sidatagrun-public-1076756628210.asia-southeast2.run.app/ptn_sn.php?ptn=151</x:v>
      </x:c>
    </x:row>
    <x:row r="676">
      <x:c r="A676" s="87" t="n">
        <x:v>2715</x:v>
      </x:c>
      <x:c r="B676" s="87" t="n">
        <x:v>151</x:v>
      </x:c>
      <x:c r="C676" s="66" t="str">
        <x:v>UNIVERSITAS JAMBI</x:v>
      </x:c>
      <x:c r="D676" s="66" t="str">
        <x:v>PTN Akademik</x:v>
      </x:c>
      <x:c r="E676" s="66" t="str">
        <x:v>11511031</x:v>
      </x:c>
      <x:c r="F676" s="66" t="str">
        <x:v>TEKNIK KIMIA</x:v>
      </x:c>
      <x:c r="G676" s="66" t="str">
        <x:v>Sarjana</x:v>
      </x:c>
      <x:c r="H676" s="87" t="n">
        <x:v>31</x:v>
      </x:c>
      <x:c r="I676" s="87" t="n">
        <x:v>126</x:v>
      </x:c>
      <x:c r="J676" s="68" t="n">
        <x:f>IFERROR(H676/I676,"")</x:f>
        <x:v>0.24603174603174602</x:v>
      </x:c>
      <x:c r="K676" s="69" t="n">
        <x:f>IFERROR(I676/H676,"")</x:f>
        <x:v>4.064516129032258</x:v>
      </x:c>
      <x:c r="L676" s="66" t="str">
        <x:f>IF(K676="","","1 : "&amp;TEXT(K676,"0.0"))</x:f>
        <x:v>1 : 4.1</x:v>
      </x:c>
      <x:c r="M676" s="66" t="str">
        <x:f>IF(J676="","Baru/Tanpa Data",IF(J676&lt;='Catatan &amp; Sumber'!$B$14,"Sangat Ketat",IF(J676&lt;='Catatan &amp; Sumber'!$B$15,"Ketat",IF(J676&lt;='Catatan &amp; Sumber'!$B$16,"Sedang","Relatif Longgar"))))</x:f>
        <x:v>Relatif Longgar</x:v>
      </x:c>
      <x:c r="N676" s="66" t="str">
        <x:v>Tidak Ada</x:v>
      </x:c>
      <x:c r="O676" s="66" t="str">
        <x:v>Jambi</x:v>
      </x:c>
      <x:c r="P676" s="66" t="str">
        <x:v>Kabupaten Muaro Jambi</x:v>
      </x:c>
      <x:c r="Q676" s="66" t="str">
        <x:v>https://snpmb.id/snbp/daya-tampung-snbp</x:v>
      </x:c>
      <x:c r="R676" s="66" t="str">
        <x:v>https://sidatagrun-public-1076756628210.asia-southeast2.run.app/ptn_sn.php?ptn=151</x:v>
      </x:c>
    </x:row>
    <x:row r="677">
      <x:c r="A677" s="87" t="n">
        <x:v>1517</x:v>
      </x:c>
      <x:c r="B677" s="87" t="n">
        <x:v>151</x:v>
      </x:c>
      <x:c r="C677" s="66" t="str">
        <x:v>UNIVERSITAS JAMBI</x:v>
      </x:c>
      <x:c r="D677" s="66" t="str">
        <x:v>PTN Akademik</x:v>
      </x:c>
      <x:c r="E677" s="66" t="str">
        <x:v>11511032</x:v>
      </x:c>
      <x:c r="F677" s="66" t="str">
        <x:v>TEKNIK SIPIL</x:v>
      </x:c>
      <x:c r="G677" s="66" t="str">
        <x:v>Sarjana</x:v>
      </x:c>
      <x:c r="H677" s="87" t="n">
        <x:v>30</x:v>
      </x:c>
      <x:c r="I677" s="87" t="n">
        <x:v>270</x:v>
      </x:c>
      <x:c r="J677" s="68" t="n">
        <x:f>IFERROR(H677/I677,"")</x:f>
        <x:v>0.1111111111111111</x:v>
      </x:c>
      <x:c r="K677" s="69" t="n">
        <x:f>IFERROR(I677/H677,"")</x:f>
        <x:v>9</x:v>
      </x:c>
      <x:c r="L677" s="66" t="str">
        <x:f>IF(K677="","","1 : "&amp;TEXT(K677,"0.0"))</x:f>
        <x:v>1 : 9.0</x:v>
      </x:c>
      <x:c r="M677" s="66" t="str">
        <x:f>IF(J677="","Baru/Tanpa Data",IF(J677&lt;='Catatan &amp; Sumber'!$B$14,"Sangat Ketat",IF(J677&lt;='Catatan &amp; Sumber'!$B$15,"Ketat",IF(J677&lt;='Catatan &amp; Sumber'!$B$16,"Sedang","Relatif Longgar"))))</x:f>
        <x:v>Relatif Longgar</x:v>
      </x:c>
      <x:c r="N677" s="66" t="str">
        <x:v>Tidak Ada</x:v>
      </x:c>
      <x:c r="O677" s="66" t="str">
        <x:v>Jambi</x:v>
      </x:c>
      <x:c r="P677" s="66" t="str">
        <x:v>Kabupaten Muaro Jambi</x:v>
      </x:c>
      <x:c r="Q677" s="66" t="str">
        <x:v>https://snpmb.id/snbp/daya-tampung-snbp</x:v>
      </x:c>
      <x:c r="R677" s="66" t="str">
        <x:v>https://sidatagrun-public-1076756628210.asia-southeast2.run.app/ptn_sn.php?ptn=151</x:v>
      </x:c>
    </x:row>
    <x:row r="678">
      <x:c r="A678" s="87" t="n">
        <x:v>1241</x:v>
      </x:c>
      <x:c r="B678" s="87" t="n">
        <x:v>151</x:v>
      </x:c>
      <x:c r="C678" s="66" t="str">
        <x:v>UNIVERSITAS JAMBI</x:v>
      </x:c>
      <x:c r="D678" s="66" t="str">
        <x:v>PTN Akademik</x:v>
      </x:c>
      <x:c r="E678" s="66" t="str">
        <x:v>11511033</x:v>
      </x:c>
      <x:c r="F678" s="66" t="str">
        <x:v>TEKNIK PERTANIAN</x:v>
      </x:c>
      <x:c r="G678" s="66" t="str">
        <x:v>Sarjana</x:v>
      </x:c>
      <x:c r="H678" s="87" t="n">
        <x:v>20</x:v>
      </x:c>
      <x:c r="I678" s="87" t="n">
        <x:v>216</x:v>
      </x:c>
      <x:c r="J678" s="68" t="n">
        <x:f>IFERROR(H678/I678,"")</x:f>
        <x:v>0.09259259259259259</x:v>
      </x:c>
      <x:c r="K678" s="69" t="n">
        <x:f>IFERROR(I678/H678,"")</x:f>
        <x:v>10.8</x:v>
      </x:c>
      <x:c r="L678" s="66" t="str">
        <x:f>IF(K678="","","1 : "&amp;TEXT(K678,"0.0"))</x:f>
        <x:v>1 : 10.8</x:v>
      </x:c>
      <x:c r="M678" s="66" t="str">
        <x:f>IF(J678="","Baru/Tanpa Data",IF(J678&lt;='Catatan &amp; Sumber'!$B$14,"Sangat Ketat",IF(J678&lt;='Catatan &amp; Sumber'!$B$15,"Ketat",IF(J678&lt;='Catatan &amp; Sumber'!$B$16,"Sedang","Relatif Longgar"))))</x:f>
        <x:v>Sedang</x:v>
      </x:c>
      <x:c r="N678" s="66" t="str">
        <x:v>Tidak Ada</x:v>
      </x:c>
      <x:c r="O678" s="66" t="str">
        <x:v>Jambi</x:v>
      </x:c>
      <x:c r="P678" s="66" t="str">
        <x:v>Kabupaten Muaro Jambi</x:v>
      </x:c>
      <x:c r="Q678" s="66" t="str">
        <x:v>https://snpmb.id/snbp/daya-tampung-snbp</x:v>
      </x:c>
      <x:c r="R678" s="66" t="str">
        <x:v>https://sidatagrun-public-1076756628210.asia-southeast2.run.app/ptn_sn.php?ptn=151</x:v>
      </x:c>
    </x:row>
    <x:row r="679">
      <x:c r="A679" s="87" t="n">
        <x:v>2344</x:v>
      </x:c>
      <x:c r="B679" s="87" t="n">
        <x:v>151</x:v>
      </x:c>
      <x:c r="C679" s="66" t="str">
        <x:v>UNIVERSITAS JAMBI</x:v>
      </x:c>
      <x:c r="D679" s="66" t="str">
        <x:v>PTN Akademik</x:v>
      </x:c>
      <x:c r="E679" s="66" t="str">
        <x:v>11511034</x:v>
      </x:c>
      <x:c r="F679" s="66" t="str">
        <x:v>TEKNOLOGI INDUSTRI PERTANIAN</x:v>
      </x:c>
      <x:c r="G679" s="66" t="str">
        <x:v>Sarjana</x:v>
      </x:c>
      <x:c r="H679" s="87" t="n">
        <x:v>20</x:v>
      </x:c>
      <x:c r="I679" s="87" t="n">
        <x:v>106</x:v>
      </x:c>
      <x:c r="J679" s="68" t="n">
        <x:f>IFERROR(H679/I679,"")</x:f>
        <x:v>0.18867924528301888</x:v>
      </x:c>
      <x:c r="K679" s="69" t="n">
        <x:f>IFERROR(I679/H679,"")</x:f>
        <x:v>5.3</x:v>
      </x:c>
      <x:c r="L679" s="66" t="str">
        <x:f>IF(K679="","","1 : "&amp;TEXT(K679,"0.0"))</x:f>
        <x:v>1 : 5.3</x:v>
      </x:c>
      <x:c r="M679" s="66" t="str">
        <x:f>IF(J679="","Baru/Tanpa Data",IF(J679&lt;='Catatan &amp; Sumber'!$B$14,"Sangat Ketat",IF(J679&lt;='Catatan &amp; Sumber'!$B$15,"Ketat",IF(J679&lt;='Catatan &amp; Sumber'!$B$16,"Sedang","Relatif Longgar"))))</x:f>
        <x:v>Relatif Longgar</x:v>
      </x:c>
      <x:c r="N679" s="66" t="str">
        <x:v>Tidak Ada</x:v>
      </x:c>
      <x:c r="O679" s="66" t="str">
        <x:v>Jambi</x:v>
      </x:c>
      <x:c r="P679" s="66" t="str">
        <x:v>Kabupaten Muaro Jambi</x:v>
      </x:c>
      <x:c r="Q679" s="66" t="str">
        <x:v>https://snpmb.id/snbp/daya-tampung-snbp</x:v>
      </x:c>
      <x:c r="R679" s="66" t="str">
        <x:v>https://sidatagrun-public-1076756628210.asia-southeast2.run.app/ptn_sn.php?ptn=151</x:v>
      </x:c>
    </x:row>
    <x:row r="680">
      <x:c r="A680" s="87" t="n">
        <x:v>2139</x:v>
      </x:c>
      <x:c r="B680" s="87" t="n">
        <x:v>151</x:v>
      </x:c>
      <x:c r="C680" s="66" t="str">
        <x:v>UNIVERSITAS JAMBI</x:v>
      </x:c>
      <x:c r="D680" s="66" t="str">
        <x:v>PTN Akademik</x:v>
      </x:c>
      <x:c r="E680" s="66" t="str">
        <x:v>11511035</x:v>
      </x:c>
      <x:c r="F680" s="66" t="str">
        <x:v>PEND. EKONOMI</x:v>
      </x:c>
      <x:c r="G680" s="66" t="str">
        <x:v>Sarjana</x:v>
      </x:c>
      <x:c r="H680" s="87" t="n">
        <x:v>35</x:v>
      </x:c>
      <x:c r="I680" s="87" t="n">
        <x:v>212</x:v>
      </x:c>
      <x:c r="J680" s="68" t="n">
        <x:f>IFERROR(H680/I680,"")</x:f>
        <x:v>0.1650943396226415</x:v>
      </x:c>
      <x:c r="K680" s="69" t="n">
        <x:f>IFERROR(I680/H680,"")</x:f>
        <x:v>6.057142857142857</x:v>
      </x:c>
      <x:c r="L680" s="66" t="str">
        <x:f>IF(K680="","","1 : "&amp;TEXT(K680,"0.0"))</x:f>
        <x:v>1 : 6.1</x:v>
      </x:c>
      <x:c r="M680" s="66" t="str">
        <x:f>IF(J680="","Baru/Tanpa Data",IF(J680&lt;='Catatan &amp; Sumber'!$B$14,"Sangat Ketat",IF(J680&lt;='Catatan &amp; Sumber'!$B$15,"Ketat",IF(J680&lt;='Catatan &amp; Sumber'!$B$16,"Sedang","Relatif Longgar"))))</x:f>
        <x:v>Relatif Longgar</x:v>
      </x:c>
      <x:c r="N680" s="66" t="str">
        <x:v>Tidak Ada</x:v>
      </x:c>
      <x:c r="O680" s="66" t="str">
        <x:v>Jambi</x:v>
      </x:c>
      <x:c r="P680" s="66" t="str">
        <x:v>Kabupaten Muaro Jambi</x:v>
      </x:c>
      <x:c r="Q680" s="66" t="str">
        <x:v>https://snpmb.id/snbp/daya-tampung-snbp</x:v>
      </x:c>
      <x:c r="R680" s="66" t="str">
        <x:v>https://sidatagrun-public-1076756628210.asia-southeast2.run.app/ptn_sn.php?ptn=151</x:v>
      </x:c>
    </x:row>
    <x:row r="681">
      <x:c r="A681" s="87" t="n">
        <x:v>1587</x:v>
      </x:c>
      <x:c r="B681" s="87" t="n">
        <x:v>151</x:v>
      </x:c>
      <x:c r="C681" s="66" t="str">
        <x:v>UNIVERSITAS JAMBI</x:v>
      </x:c>
      <x:c r="D681" s="66" t="str">
        <x:v>PTN Akademik</x:v>
      </x:c>
      <x:c r="E681" s="66" t="str">
        <x:v>11511036</x:v>
      </x:c>
      <x:c r="F681" s="66" t="str">
        <x:v>PEND. BAHASA, SASTRA INDONESIA &amp; DAERAH</x:v>
      </x:c>
      <x:c r="G681" s="66" t="str">
        <x:v>Sarjana</x:v>
      </x:c>
      <x:c r="H681" s="87" t="n">
        <x:v>42</x:v>
      </x:c>
      <x:c r="I681" s="87" t="n">
        <x:v>365</x:v>
      </x:c>
      <x:c r="J681" s="68" t="n">
        <x:f>IFERROR(H681/I681,"")</x:f>
        <x:v>0.11506849315068493</x:v>
      </x:c>
      <x:c r="K681" s="69" t="n">
        <x:f>IFERROR(I681/H681,"")</x:f>
        <x:v>8.69047619047619</x:v>
      </x:c>
      <x:c r="L681" s="66" t="str">
        <x:f>IF(K681="","","1 : "&amp;TEXT(K681,"0.0"))</x:f>
        <x:v>1 : 8.7</x:v>
      </x:c>
      <x:c r="M681" s="66" t="str">
        <x:f>IF(J681="","Baru/Tanpa Data",IF(J681&lt;='Catatan &amp; Sumber'!$B$14,"Sangat Ketat",IF(J681&lt;='Catatan &amp; Sumber'!$B$15,"Ketat",IF(J681&lt;='Catatan &amp; Sumber'!$B$16,"Sedang","Relatif Longgar"))))</x:f>
        <x:v>Relatif Longgar</x:v>
      </x:c>
      <x:c r="N681" s="66" t="str">
        <x:v>Tidak Ada</x:v>
      </x:c>
      <x:c r="O681" s="66" t="str">
        <x:v>Jambi</x:v>
      </x:c>
      <x:c r="P681" s="66" t="str">
        <x:v>Kabupaten Muaro Jambi</x:v>
      </x:c>
      <x:c r="Q681" s="66" t="str">
        <x:v>https://snpmb.id/snbp/daya-tampung-snbp</x:v>
      </x:c>
      <x:c r="R681" s="66" t="str">
        <x:v>https://sidatagrun-public-1076756628210.asia-southeast2.run.app/ptn_sn.php?ptn=151</x:v>
      </x:c>
    </x:row>
    <x:row r="682">
      <x:c r="A682" s="87" t="n">
        <x:v>1576</x:v>
      </x:c>
      <x:c r="B682" s="87" t="n">
        <x:v>151</x:v>
      </x:c>
      <x:c r="C682" s="66" t="str">
        <x:v>UNIVERSITAS JAMBI</x:v>
      </x:c>
      <x:c r="D682" s="66" t="str">
        <x:v>PTN Akademik</x:v>
      </x:c>
      <x:c r="E682" s="66" t="str">
        <x:v>11511037</x:v>
      </x:c>
      <x:c r="F682" s="66" t="str">
        <x:v>PEND. BAHASA INGGRIS</x:v>
      </x:c>
      <x:c r="G682" s="66" t="str">
        <x:v>Sarjana</x:v>
      </x:c>
      <x:c r="H682" s="87" t="n">
        <x:v>35</x:v>
      </x:c>
      <x:c r="I682" s="87" t="n">
        <x:v>306</x:v>
      </x:c>
      <x:c r="J682" s="68" t="n">
        <x:f>IFERROR(H682/I682,"")</x:f>
        <x:v>0.11437908496732026</x:v>
      </x:c>
      <x:c r="K682" s="69" t="n">
        <x:f>IFERROR(I682/H682,"")</x:f>
        <x:v>8.742857142857142</x:v>
      </x:c>
      <x:c r="L682" s="66" t="str">
        <x:f>IF(K682="","","1 : "&amp;TEXT(K682,"0.0"))</x:f>
        <x:v>1 : 8.7</x:v>
      </x:c>
      <x:c r="M682" s="66" t="str">
        <x:f>IF(J682="","Baru/Tanpa Data",IF(J682&lt;='Catatan &amp; Sumber'!$B$14,"Sangat Ketat",IF(J682&lt;='Catatan &amp; Sumber'!$B$15,"Ketat",IF(J682&lt;='Catatan &amp; Sumber'!$B$16,"Sedang","Relatif Longgar"))))</x:f>
        <x:v>Relatif Longgar</x:v>
      </x:c>
      <x:c r="N682" s="66" t="str">
        <x:v>Tidak Ada</x:v>
      </x:c>
      <x:c r="O682" s="66" t="str">
        <x:v>Jambi</x:v>
      </x:c>
      <x:c r="P682" s="66" t="str">
        <x:v>Kabupaten Muaro Jambi</x:v>
      </x:c>
      <x:c r="Q682" s="66" t="str">
        <x:v>https://snpmb.id/snbp/daya-tampung-snbp</x:v>
      </x:c>
      <x:c r="R682" s="66" t="str">
        <x:v>https://sidatagrun-public-1076756628210.asia-southeast2.run.app/ptn_sn.php?ptn=151</x:v>
      </x:c>
    </x:row>
    <x:row r="683">
      <x:c r="A683" s="87" t="n">
        <x:v>2244</x:v>
      </x:c>
      <x:c r="B683" s="87" t="n">
        <x:v>151</x:v>
      </x:c>
      <x:c r="C683" s="66" t="str">
        <x:v>UNIVERSITAS JAMBI</x:v>
      </x:c>
      <x:c r="D683" s="66" t="str">
        <x:v>PTN Akademik</x:v>
      </x:c>
      <x:c r="E683" s="66" t="str">
        <x:v>11511038</x:v>
      </x:c>
      <x:c r="F683" s="66" t="str">
        <x:v>ILMU HUKUM</x:v>
      </x:c>
      <x:c r="G683" s="66" t="str">
        <x:v>Sarjana</x:v>
      </x:c>
      <x:c r="H683" s="87" t="n">
        <x:v>133</x:v>
      </x:c>
      <x:c r="I683" s="87" t="n">
        <x:v>751</x:v>
      </x:c>
      <x:c r="J683" s="68" t="n">
        <x:f>IFERROR(H683/I683,"")</x:f>
        <x:v>0.17709720372836218</x:v>
      </x:c>
      <x:c r="K683" s="69" t="n">
        <x:f>IFERROR(I683/H683,"")</x:f>
        <x:v>5.646616541353383</x:v>
      </x:c>
      <x:c r="L683" s="66" t="str">
        <x:f>IF(K683="","","1 : "&amp;TEXT(K683,"0.0"))</x:f>
        <x:v>1 : 5.6</x:v>
      </x:c>
      <x:c r="M683" s="66" t="str">
        <x:f>IF(J683="","Baru/Tanpa Data",IF(J683&lt;='Catatan &amp; Sumber'!$B$14,"Sangat Ketat",IF(J683&lt;='Catatan &amp; Sumber'!$B$15,"Ketat",IF(J683&lt;='Catatan &amp; Sumber'!$B$16,"Sedang","Relatif Longgar"))))</x:f>
        <x:v>Relatif Longgar</x:v>
      </x:c>
      <x:c r="N683" s="66" t="str">
        <x:v>Tidak Ada</x:v>
      </x:c>
      <x:c r="O683" s="66" t="str">
        <x:v>Jambi</x:v>
      </x:c>
      <x:c r="P683" s="66" t="str">
        <x:v>Kabupaten Muaro Jambi</x:v>
      </x:c>
      <x:c r="Q683" s="66" t="str">
        <x:v>https://snpmb.id/snbp/daya-tampung-snbp</x:v>
      </x:c>
      <x:c r="R683" s="66" t="str">
        <x:v>https://sidatagrun-public-1076756628210.asia-southeast2.run.app/ptn_sn.php?ptn=151</x:v>
      </x:c>
    </x:row>
    <x:row r="684">
      <x:c r="A684" s="87" t="n">
        <x:v>2059</x:v>
      </x:c>
      <x:c r="B684" s="87" t="n">
        <x:v>151</x:v>
      </x:c>
      <x:c r="C684" s="66" t="str">
        <x:v>UNIVERSITAS JAMBI</x:v>
      </x:c>
      <x:c r="D684" s="66" t="str">
        <x:v>PTN Akademik</x:v>
      </x:c>
      <x:c r="E684" s="66" t="str">
        <x:v>11511039</x:v>
      </x:c>
      <x:c r="F684" s="66" t="str">
        <x:v>ILMU EKONOMI PEMBANGUNAN</x:v>
      </x:c>
      <x:c r="G684" s="66" t="str">
        <x:v>Sarjana</x:v>
      </x:c>
      <x:c r="H684" s="87" t="n">
        <x:v>50</x:v>
      </x:c>
      <x:c r="I684" s="87" t="n">
        <x:v>317</x:v>
      </x:c>
      <x:c r="J684" s="68" t="n">
        <x:f>IFERROR(H684/I684,"")</x:f>
        <x:v>0.15772870662460567</x:v>
      </x:c>
      <x:c r="K684" s="69" t="n">
        <x:f>IFERROR(I684/H684,"")</x:f>
        <x:v>6.34</x:v>
      </x:c>
      <x:c r="L684" s="66" t="str">
        <x:f>IF(K684="","","1 : "&amp;TEXT(K684,"0.0"))</x:f>
        <x:v>1 : 6.3</x:v>
      </x:c>
      <x:c r="M684" s="66" t="str">
        <x:f>IF(J684="","Baru/Tanpa Data",IF(J684&lt;='Catatan &amp; Sumber'!$B$14,"Sangat Ketat",IF(J684&lt;='Catatan &amp; Sumber'!$B$15,"Ketat",IF(J684&lt;='Catatan &amp; Sumber'!$B$16,"Sedang","Relatif Longgar"))))</x:f>
        <x:v>Relatif Longgar</x:v>
      </x:c>
      <x:c r="N684" s="66" t="str">
        <x:v>Tidak Ada</x:v>
      </x:c>
      <x:c r="O684" s="66" t="str">
        <x:v>Jambi</x:v>
      </x:c>
      <x:c r="P684" s="66" t="str">
        <x:v>Kabupaten Muaro Jambi</x:v>
      </x:c>
      <x:c r="Q684" s="66" t="str">
        <x:v>https://snpmb.id/snbp/daya-tampung-snbp</x:v>
      </x:c>
      <x:c r="R684" s="66" t="str">
        <x:v>https://sidatagrun-public-1076756628210.asia-southeast2.run.app/ptn_sn.php?ptn=151</x:v>
      </x:c>
    </x:row>
    <x:row r="685">
      <x:c r="A685" s="87" t="n">
        <x:v>523</x:v>
      </x:c>
      <x:c r="B685" s="87" t="n">
        <x:v>151</x:v>
      </x:c>
      <x:c r="C685" s="66" t="str">
        <x:v>UNIVERSITAS JAMBI</x:v>
      </x:c>
      <x:c r="D685" s="66" t="str">
        <x:v>PTN Akademik</x:v>
      </x:c>
      <x:c r="E685" s="66" t="str">
        <x:v>11511040</x:v>
      </x:c>
      <x:c r="F685" s="66" t="str">
        <x:v>MANAJEMEN</x:v>
      </x:c>
      <x:c r="G685" s="66" t="str">
        <x:v>Sarjana</x:v>
      </x:c>
      <x:c r="H685" s="87" t="n">
        <x:v>50</x:v>
      </x:c>
      <x:c r="I685" s="87" t="n">
        <x:v>948</x:v>
      </x:c>
      <x:c r="J685" s="68" t="n">
        <x:f>IFERROR(H685/I685,"")</x:f>
        <x:v>0.052742616033755275</x:v>
      </x:c>
      <x:c r="K685" s="69" t="n">
        <x:f>IFERROR(I685/H685,"")</x:f>
        <x:v>18.96</x:v>
      </x:c>
      <x:c r="L685" s="66" t="str">
        <x:f>IF(K685="","","1 : "&amp;TEXT(K685,"0.0"))</x:f>
        <x:v>1 : 19.0</x:v>
      </x:c>
      <x:c r="M685" s="66" t="str">
        <x:f>IF(J685="","Baru/Tanpa Data",IF(J685&lt;='Catatan &amp; Sumber'!$B$14,"Sangat Ketat",IF(J685&lt;='Catatan &amp; Sumber'!$B$15,"Ketat",IF(J685&lt;='Catatan &amp; Sumber'!$B$16,"Sedang","Relatif Longgar"))))</x:f>
        <x:v>Sedang</x:v>
      </x:c>
      <x:c r="N685" s="66" t="str">
        <x:v>Tidak Ada</x:v>
      </x:c>
      <x:c r="O685" s="66" t="str">
        <x:v>Jambi</x:v>
      </x:c>
      <x:c r="P685" s="66" t="str">
        <x:v>Kabupaten Muaro Jambi</x:v>
      </x:c>
      <x:c r="Q685" s="66" t="str">
        <x:v>https://snpmb.id/snbp/daya-tampung-snbp</x:v>
      </x:c>
      <x:c r="R685" s="66" t="str">
        <x:v>https://sidatagrun-public-1076756628210.asia-southeast2.run.app/ptn_sn.php?ptn=151</x:v>
      </x:c>
    </x:row>
    <x:row r="686">
      <x:c r="A686" s="87" t="n">
        <x:v>652</x:v>
      </x:c>
      <x:c r="B686" s="87" t="n">
        <x:v>151</x:v>
      </x:c>
      <x:c r="C686" s="66" t="str">
        <x:v>UNIVERSITAS JAMBI</x:v>
      </x:c>
      <x:c r="D686" s="66" t="str">
        <x:v>PTN Akademik</x:v>
      </x:c>
      <x:c r="E686" s="66" t="str">
        <x:v>11511041</x:v>
      </x:c>
      <x:c r="F686" s="66" t="str">
        <x:v>AKUNTANSI</x:v>
      </x:c>
      <x:c r="G686" s="66" t="str">
        <x:v>Sarjana</x:v>
      </x:c>
      <x:c r="H686" s="87" t="n">
        <x:v>45</x:v>
      </x:c>
      <x:c r="I686" s="87" t="n">
        <x:v>757</x:v>
      </x:c>
      <x:c r="J686" s="68" t="n">
        <x:f>IFERROR(H686/I686,"")</x:f>
        <x:v>0.059445178335535004</x:v>
      </x:c>
      <x:c r="K686" s="69" t="n">
        <x:f>IFERROR(I686/H686,"")</x:f>
        <x:v>16.822222222222223</x:v>
      </x:c>
      <x:c r="L686" s="66" t="str">
        <x:f>IF(K686="","","1 : "&amp;TEXT(K686,"0.0"))</x:f>
        <x:v>1 : 16.8</x:v>
      </x:c>
      <x:c r="M686" s="66" t="str">
        <x:f>IF(J686="","Baru/Tanpa Data",IF(J686&lt;='Catatan &amp; Sumber'!$B$14,"Sangat Ketat",IF(J686&lt;='Catatan &amp; Sumber'!$B$15,"Ketat",IF(J686&lt;='Catatan &amp; Sumber'!$B$16,"Sedang","Relatif Longgar"))))</x:f>
        <x:v>Sedang</x:v>
      </x:c>
      <x:c r="N686" s="66" t="str">
        <x:v>Tidak Ada</x:v>
      </x:c>
      <x:c r="O686" s="66" t="str">
        <x:v>Jambi</x:v>
      </x:c>
      <x:c r="P686" s="66" t="str">
        <x:v>Kabupaten Muaro Jambi</x:v>
      </x:c>
      <x:c r="Q686" s="66" t="str">
        <x:v>https://snpmb.id/snbp/daya-tampung-snbp</x:v>
      </x:c>
      <x:c r="R686" s="66" t="str">
        <x:v>https://sidatagrun-public-1076756628210.asia-southeast2.run.app/ptn_sn.php?ptn=151</x:v>
      </x:c>
    </x:row>
    <x:row r="687">
      <x:c r="A687" s="87" t="n">
        <x:v>312</x:v>
      </x:c>
      <x:c r="B687" s="87" t="n">
        <x:v>151</x:v>
      </x:c>
      <x:c r="C687" s="66" t="str">
        <x:v>UNIVERSITAS JAMBI</x:v>
      </x:c>
      <x:c r="D687" s="66" t="str">
        <x:v>PTN Akademik</x:v>
      </x:c>
      <x:c r="E687" s="66" t="str">
        <x:v>11511042</x:v>
      </x:c>
      <x:c r="F687" s="66" t="str">
        <x:v>PEND. GURU SEKOLAH DASAR</x:v>
      </x:c>
      <x:c r="G687" s="66" t="str">
        <x:v>Sarjana</x:v>
      </x:c>
      <x:c r="H687" s="87" t="n">
        <x:v>50</x:v>
      </x:c>
      <x:c r="I687" s="87" t="n">
        <x:v>1169</x:v>
      </x:c>
      <x:c r="J687" s="68" t="n">
        <x:f>IFERROR(H687/I687,"")</x:f>
        <x:v>0.0427715996578272</x:v>
      </x:c>
      <x:c r="K687" s="69" t="n">
        <x:f>IFERROR(I687/H687,"")</x:f>
        <x:v>23.38</x:v>
      </x:c>
      <x:c r="L687" s="66" t="str">
        <x:f>IF(K687="","","1 : "&amp;TEXT(K687,"0.0"))</x:f>
        <x:v>1 : 23.4</x:v>
      </x:c>
      <x:c r="M687" s="66" t="str">
        <x:f>IF(J687="","Baru/Tanpa Data",IF(J687&lt;='Catatan &amp; Sumber'!$B$14,"Sangat Ketat",IF(J687&lt;='Catatan &amp; Sumber'!$B$15,"Ketat",IF(J687&lt;='Catatan &amp; Sumber'!$B$16,"Sedang","Relatif Longgar"))))</x:f>
        <x:v>Ketat</x:v>
      </x:c>
      <x:c r="N687" s="66" t="str">
        <x:v>Tidak Ada</x:v>
      </x:c>
      <x:c r="O687" s="66" t="str">
        <x:v>Jambi</x:v>
      </x:c>
      <x:c r="P687" s="66" t="str">
        <x:v>Kabupaten Muaro Jambi</x:v>
      </x:c>
      <x:c r="Q687" s="66" t="str">
        <x:v>https://snpmb.id/snbp/daya-tampung-snbp</x:v>
      </x:c>
      <x:c r="R687" s="66" t="str">
        <x:v>https://sidatagrun-public-1076756628210.asia-southeast2.run.app/ptn_sn.php?ptn=151</x:v>
      </x:c>
    </x:row>
    <x:row r="688">
      <x:c r="A688" s="87" t="n">
        <x:v>952</x:v>
      </x:c>
      <x:c r="B688" s="87" t="n">
        <x:v>151</x:v>
      </x:c>
      <x:c r="C688" s="66" t="str">
        <x:v>UNIVERSITAS JAMBI</x:v>
      </x:c>
      <x:c r="D688" s="66" t="str">
        <x:v>PTN Akademik</x:v>
      </x:c>
      <x:c r="E688" s="66" t="str">
        <x:v>11511043</x:v>
      </x:c>
      <x:c r="F688" s="66" t="str">
        <x:v>BIMBINGAN DAN KONSELING</x:v>
      </x:c>
      <x:c r="G688" s="66" t="str">
        <x:v>Sarjana</x:v>
      </x:c>
      <x:c r="H688" s="87" t="n">
        <x:v>35</x:v>
      </x:c>
      <x:c r="I688" s="87" t="n">
        <x:v>464</x:v>
      </x:c>
      <x:c r="J688" s="68" t="n">
        <x:f>IFERROR(H688/I688,"")</x:f>
        <x:v>0.07543103448275862</x:v>
      </x:c>
      <x:c r="K688" s="69" t="n">
        <x:f>IFERROR(I688/H688,"")</x:f>
        <x:v>13.257142857142858</x:v>
      </x:c>
      <x:c r="L688" s="66" t="str">
        <x:f>IF(K688="","","1 : "&amp;TEXT(K688,"0.0"))</x:f>
        <x:v>1 : 13.3</x:v>
      </x:c>
      <x:c r="M688" s="66" t="str">
        <x:f>IF(J688="","Baru/Tanpa Data",IF(J688&lt;='Catatan &amp; Sumber'!$B$14,"Sangat Ketat",IF(J688&lt;='Catatan &amp; Sumber'!$B$15,"Ketat",IF(J688&lt;='Catatan &amp; Sumber'!$B$16,"Sedang","Relatif Longgar"))))</x:f>
        <x:v>Sedang</x:v>
      </x:c>
      <x:c r="N688" s="66" t="str">
        <x:v>Tidak Ada</x:v>
      </x:c>
      <x:c r="O688" s="66" t="str">
        <x:v>Jambi</x:v>
      </x:c>
      <x:c r="P688" s="66" t="str">
        <x:v>Kabupaten Muaro Jambi</x:v>
      </x:c>
      <x:c r="Q688" s="66" t="str">
        <x:v>https://snpmb.id/snbp/daya-tampung-snbp</x:v>
      </x:c>
      <x:c r="R688" s="66" t="str">
        <x:v>https://sidatagrun-public-1076756628210.asia-southeast2.run.app/ptn_sn.php?ptn=151</x:v>
      </x:c>
    </x:row>
    <x:row r="689">
      <x:c r="A689" s="87" t="n">
        <x:v>1940</x:v>
      </x:c>
      <x:c r="B689" s="87" t="n">
        <x:v>151</x:v>
      </x:c>
      <x:c r="C689" s="66" t="str">
        <x:v>UNIVERSITAS JAMBI</x:v>
      </x:c>
      <x:c r="D689" s="66" t="str">
        <x:v>PTN Akademik</x:v>
      </x:c>
      <x:c r="E689" s="66" t="str">
        <x:v>11511044</x:v>
      </x:c>
      <x:c r="F689" s="66" t="str">
        <x:v>PENDIDIKAN GURU PAUD</x:v>
      </x:c>
      <x:c r="G689" s="66" t="str">
        <x:v>Sarjana</x:v>
      </x:c>
      <x:c r="H689" s="87" t="n">
        <x:v>30</x:v>
      </x:c>
      <x:c r="I689" s="87" t="n">
        <x:v>206</x:v>
      </x:c>
      <x:c r="J689" s="68" t="n">
        <x:f>IFERROR(H689/I689,"")</x:f>
        <x:v>0.14563106796116504</x:v>
      </x:c>
      <x:c r="K689" s="69" t="n">
        <x:f>IFERROR(I689/H689,"")</x:f>
        <x:v>6.866666666666666</x:v>
      </x:c>
      <x:c r="L689" s="66" t="str">
        <x:f>IF(K689="","","1 : "&amp;TEXT(K689,"0.0"))</x:f>
        <x:v>1 : 6.9</x:v>
      </x:c>
      <x:c r="M689" s="66" t="str">
        <x:f>IF(J689="","Baru/Tanpa Data",IF(J689&lt;='Catatan &amp; Sumber'!$B$14,"Sangat Ketat",IF(J689&lt;='Catatan &amp; Sumber'!$B$15,"Ketat",IF(J689&lt;='Catatan &amp; Sumber'!$B$16,"Sedang","Relatif Longgar"))))</x:f>
        <x:v>Relatif Longgar</x:v>
      </x:c>
      <x:c r="N689" s="66" t="str">
        <x:v>Tidak Ada</x:v>
      </x:c>
      <x:c r="O689" s="66" t="str">
        <x:v>Jambi</x:v>
      </x:c>
      <x:c r="P689" s="66" t="str">
        <x:v>Kabupaten Muaro Jambi</x:v>
      </x:c>
      <x:c r="Q689" s="66" t="str">
        <x:v>https://snpmb.id/snbp/daya-tampung-snbp</x:v>
      </x:c>
      <x:c r="R689" s="66" t="str">
        <x:v>https://sidatagrun-public-1076756628210.asia-southeast2.run.app/ptn_sn.php?ptn=151</x:v>
      </x:c>
    </x:row>
    <x:row r="690">
      <x:c r="A690" s="87" t="n">
        <x:v>3535</x:v>
      </x:c>
      <x:c r="B690" s="87" t="n">
        <x:v>151</x:v>
      </x:c>
      <x:c r="C690" s="66" t="str">
        <x:v>UNIVERSITAS JAMBI</x:v>
      </x:c>
      <x:c r="D690" s="66" t="str">
        <x:v>PTN Akademik</x:v>
      </x:c>
      <x:c r="E690" s="66" t="str">
        <x:v>11511045</x:v>
      </x:c>
      <x:c r="F690" s="66" t="str">
        <x:v>PENDIDIKAN BAHASA ARAB</x:v>
      </x:c>
      <x:c r="G690" s="66" t="str">
        <x:v>Sarjana</x:v>
      </x:c>
      <x:c r="H690" s="87" t="n">
        <x:v>25</x:v>
      </x:c>
      <x:c r="I690" s="87" t="n">
        <x:v>56</x:v>
      </x:c>
      <x:c r="J690" s="68" t="n">
        <x:f>IFERROR(H690/I690,"")</x:f>
        <x:v>0.44642857142857145</x:v>
      </x:c>
      <x:c r="K690" s="69" t="n">
        <x:f>IFERROR(I690/H690,"")</x:f>
        <x:v>2.24</x:v>
      </x:c>
      <x:c r="L690" s="66" t="str">
        <x:f>IF(K690="","","1 : "&amp;TEXT(K690,"0.0"))</x:f>
        <x:v>1 : 2.2</x:v>
      </x:c>
      <x:c r="M690" s="66" t="str">
        <x:f>IF(J690="","Baru/Tanpa Data",IF(J690&lt;='Catatan &amp; Sumber'!$B$14,"Sangat Ketat",IF(J690&lt;='Catatan &amp; Sumber'!$B$15,"Ketat",IF(J690&lt;='Catatan &amp; Sumber'!$B$16,"Sedang","Relatif Longgar"))))</x:f>
        <x:v>Relatif Longgar</x:v>
      </x:c>
      <x:c r="N690" s="66" t="str">
        <x:v>Tidak Ada</x:v>
      </x:c>
      <x:c r="O690" s="66" t="str">
        <x:v>Jambi</x:v>
      </x:c>
      <x:c r="P690" s="66" t="str">
        <x:v>Kabupaten Muaro Jambi</x:v>
      </x:c>
      <x:c r="Q690" s="66" t="str">
        <x:v>https://snpmb.id/snbp/daya-tampung-snbp</x:v>
      </x:c>
      <x:c r="R690" s="66" t="str">
        <x:v>https://sidatagrun-public-1076756628210.asia-southeast2.run.app/ptn_sn.php?ptn=151</x:v>
      </x:c>
    </x:row>
    <x:row r="691">
      <x:c r="A691" s="87" t="n">
        <x:v>2011</x:v>
      </x:c>
      <x:c r="B691" s="87" t="n">
        <x:v>151</x:v>
      </x:c>
      <x:c r="C691" s="66" t="str">
        <x:v>UNIVERSITAS JAMBI</x:v>
      </x:c>
      <x:c r="D691" s="66" t="str">
        <x:v>PTN Akademik</x:v>
      </x:c>
      <x:c r="E691" s="66" t="str">
        <x:v>11511046</x:v>
      </x:c>
      <x:c r="F691" s="66" t="str">
        <x:v>PENDIDIKAN SEJARAH</x:v>
      </x:c>
      <x:c r="G691" s="66" t="str">
        <x:v>Sarjana</x:v>
      </x:c>
      <x:c r="H691" s="87" t="n">
        <x:v>30</x:v>
      </x:c>
      <x:c r="I691" s="87" t="n">
        <x:v>196</x:v>
      </x:c>
      <x:c r="J691" s="68" t="n">
        <x:f>IFERROR(H691/I691,"")</x:f>
        <x:v>0.15306122448979592</x:v>
      </x:c>
      <x:c r="K691" s="69" t="n">
        <x:f>IFERROR(I691/H691,"")</x:f>
        <x:v>6.533333333333333</x:v>
      </x:c>
      <x:c r="L691" s="66" t="str">
        <x:f>IF(K691="","","1 : "&amp;TEXT(K691,"0.0"))</x:f>
        <x:v>1 : 6.5</x:v>
      </x:c>
      <x:c r="M691" s="66" t="str">
        <x:f>IF(J691="","Baru/Tanpa Data",IF(J691&lt;='Catatan &amp; Sumber'!$B$14,"Sangat Ketat",IF(J691&lt;='Catatan &amp; Sumber'!$B$15,"Ketat",IF(J691&lt;='Catatan &amp; Sumber'!$B$16,"Sedang","Relatif Longgar"))))</x:f>
        <x:v>Relatif Longgar</x:v>
      </x:c>
      <x:c r="N691" s="66" t="str">
        <x:v>Tidak Ada</x:v>
      </x:c>
      <x:c r="O691" s="66" t="str">
        <x:v>Jambi</x:v>
      </x:c>
      <x:c r="P691" s="66" t="str">
        <x:v>Kabupaten Muaro Jambi</x:v>
      </x:c>
      <x:c r="Q691" s="66" t="str">
        <x:v>https://snpmb.id/snbp/daya-tampung-snbp</x:v>
      </x:c>
      <x:c r="R691" s="66" t="str">
        <x:v>https://sidatagrun-public-1076756628210.asia-southeast2.run.app/ptn_sn.php?ptn=151</x:v>
      </x:c>
    </x:row>
    <x:row r="692">
      <x:c r="A692" s="87" t="n">
        <x:v>3005</x:v>
      </x:c>
      <x:c r="B692" s="87" t="n">
        <x:v>151</x:v>
      </x:c>
      <x:c r="C692" s="66" t="str">
        <x:v>UNIVERSITAS JAMBI</x:v>
      </x:c>
      <x:c r="D692" s="66" t="str">
        <x:v>PTN Akademik</x:v>
      </x:c>
      <x:c r="E692" s="66" t="str">
        <x:v>11511047</x:v>
      </x:c>
      <x:c r="F692" s="66" t="str">
        <x:v>SASTRA INDONESIA</x:v>
      </x:c>
      <x:c r="G692" s="66" t="str">
        <x:v>Sarjana</x:v>
      </x:c>
      <x:c r="H692" s="87" t="n">
        <x:v>25</x:v>
      </x:c>
      <x:c r="I692" s="87" t="n">
        <x:v>85</x:v>
      </x:c>
      <x:c r="J692" s="68" t="n">
        <x:f>IFERROR(H692/I692,"")</x:f>
        <x:v>0.29411764705882354</x:v>
      </x:c>
      <x:c r="K692" s="69" t="n">
        <x:f>IFERROR(I692/H692,"")</x:f>
        <x:v>3.4</x:v>
      </x:c>
      <x:c r="L692" s="66" t="str">
        <x:f>IF(K692="","","1 : "&amp;TEXT(K692,"0.0"))</x:f>
        <x:v>1 : 3.4</x:v>
      </x:c>
      <x:c r="M692" s="66" t="str">
        <x:f>IF(J692="","Baru/Tanpa Data",IF(J692&lt;='Catatan &amp; Sumber'!$B$14,"Sangat Ketat",IF(J692&lt;='Catatan &amp; Sumber'!$B$15,"Ketat",IF(J692&lt;='Catatan &amp; Sumber'!$B$16,"Sedang","Relatif Longgar"))))</x:f>
        <x:v>Relatif Longgar</x:v>
      </x:c>
      <x:c r="N692" s="66" t="str">
        <x:v>Tidak Ada</x:v>
      </x:c>
      <x:c r="O692" s="66" t="str">
        <x:v>Jambi</x:v>
      </x:c>
      <x:c r="P692" s="66" t="str">
        <x:v>Kabupaten Muaro Jambi</x:v>
      </x:c>
      <x:c r="Q692" s="66" t="str">
        <x:v>https://snpmb.id/snbp/daya-tampung-snbp</x:v>
      </x:c>
      <x:c r="R692" s="66" t="str">
        <x:v>https://sidatagrun-public-1076756628210.asia-southeast2.run.app/ptn_sn.php?ptn=151</x:v>
      </x:c>
    </x:row>
    <x:row r="693">
      <x:c r="A693" s="87" t="n">
        <x:v>751</x:v>
      </x:c>
      <x:c r="B693" s="87" t="n">
        <x:v>151</x:v>
      </x:c>
      <x:c r="C693" s="66" t="str">
        <x:v>UNIVERSITAS JAMBI</x:v>
      </x:c>
      <x:c r="D693" s="66" t="str">
        <x:v>PTN Akademik</x:v>
      </x:c>
      <x:c r="E693" s="66" t="str">
        <x:v>11511048</x:v>
      </x:c>
      <x:c r="F693" s="66" t="str">
        <x:v>PSIKOLOGI</x:v>
      </x:c>
      <x:c r="G693" s="66" t="str">
        <x:v>Sarjana</x:v>
      </x:c>
      <x:c r="H693" s="87" t="n">
        <x:v>32</x:v>
      </x:c>
      <x:c r="I693" s="87" t="n">
        <x:v>495</x:v>
      </x:c>
      <x:c r="J693" s="68" t="n">
        <x:f>IFERROR(H693/I693,"")</x:f>
        <x:v>0.06464646464646465</x:v>
      </x:c>
      <x:c r="K693" s="69" t="n">
        <x:f>IFERROR(I693/H693,"")</x:f>
        <x:v>15.46875</x:v>
      </x:c>
      <x:c r="L693" s="66" t="str">
        <x:f>IF(K693="","","1 : "&amp;TEXT(K693,"0.0"))</x:f>
        <x:v>1 : 15.5</x:v>
      </x:c>
      <x:c r="M693" s="66" t="str">
        <x:f>IF(J693="","Baru/Tanpa Data",IF(J693&lt;='Catatan &amp; Sumber'!$B$14,"Sangat Ketat",IF(J693&lt;='Catatan &amp; Sumber'!$B$15,"Ketat",IF(J693&lt;='Catatan &amp; Sumber'!$B$16,"Sedang","Relatif Longgar"))))</x:f>
        <x:v>Sedang</x:v>
      </x:c>
      <x:c r="N693" s="66" t="str">
        <x:v>Tidak Ada</x:v>
      </x:c>
      <x:c r="O693" s="66" t="str">
        <x:v>Jambi</x:v>
      </x:c>
      <x:c r="P693" s="66" t="str">
        <x:v>Kabupaten Muaro Jambi</x:v>
      </x:c>
      <x:c r="Q693" s="66" t="str">
        <x:v>https://snpmb.id/snbp/daya-tampung-snbp</x:v>
      </x:c>
      <x:c r="R693" s="66" t="str">
        <x:v>https://sidatagrun-public-1076756628210.asia-southeast2.run.app/ptn_sn.php?ptn=151</x:v>
      </x:c>
    </x:row>
    <x:row r="694">
      <x:c r="A694" s="87" t="n">
        <x:v>1836</x:v>
      </x:c>
      <x:c r="B694" s="87" t="n">
        <x:v>151</x:v>
      </x:c>
      <x:c r="C694" s="66" t="str">
        <x:v>UNIVERSITAS JAMBI</x:v>
      </x:c>
      <x:c r="D694" s="66" t="str">
        <x:v>PTN Akademik</x:v>
      </x:c>
      <x:c r="E694" s="66" t="str">
        <x:v>11511049</x:v>
      </x:c>
      <x:c r="F694" s="66" t="str">
        <x:v>ILMU PEMERINTAHAN</x:v>
      </x:c>
      <x:c r="G694" s="66" t="str">
        <x:v>Sarjana</x:v>
      </x:c>
      <x:c r="H694" s="87" t="n">
        <x:v>38</x:v>
      </x:c>
      <x:c r="I694" s="87" t="n">
        <x:v>281</x:v>
      </x:c>
      <x:c r="J694" s="68" t="n">
        <x:f>IFERROR(H694/I694,"")</x:f>
        <x:v>0.13523131672597866</x:v>
      </x:c>
      <x:c r="K694" s="69" t="n">
        <x:f>IFERROR(I694/H694,"")</x:f>
        <x:v>7.394736842105263</x:v>
      </x:c>
      <x:c r="L694" s="66" t="str">
        <x:f>IF(K694="","","1 : "&amp;TEXT(K694,"0.0"))</x:f>
        <x:v>1 : 7.4</x:v>
      </x:c>
      <x:c r="M694" s="66" t="str">
        <x:f>IF(J694="","Baru/Tanpa Data",IF(J694&lt;='Catatan &amp; Sumber'!$B$14,"Sangat Ketat",IF(J694&lt;='Catatan &amp; Sumber'!$B$15,"Ketat",IF(J694&lt;='Catatan &amp; Sumber'!$B$16,"Sedang","Relatif Longgar"))))</x:f>
        <x:v>Relatif Longgar</x:v>
      </x:c>
      <x:c r="N694" s="66" t="str">
        <x:v>Tidak Ada</x:v>
      </x:c>
      <x:c r="O694" s="66" t="str">
        <x:v>Jambi</x:v>
      </x:c>
      <x:c r="P694" s="66" t="str">
        <x:v>Kabupaten Muaro Jambi</x:v>
      </x:c>
      <x:c r="Q694" s="66" t="str">
        <x:v>https://snpmb.id/snbp/daya-tampung-snbp</x:v>
      </x:c>
      <x:c r="R694" s="66" t="str">
        <x:v>https://sidatagrun-public-1076756628210.asia-southeast2.run.app/ptn_sn.php?ptn=151</x:v>
      </x:c>
    </x:row>
    <x:row r="695">
      <x:c r="A695" s="87" t="n">
        <x:v>2777</x:v>
      </x:c>
      <x:c r="B695" s="87" t="n">
        <x:v>151</x:v>
      </x:c>
      <x:c r="C695" s="66" t="str">
        <x:v>UNIVERSITAS JAMBI</x:v>
      </x:c>
      <x:c r="D695" s="66" t="str">
        <x:v>PTN Akademik</x:v>
      </x:c>
      <x:c r="E695" s="66" t="str">
        <x:v>11511050</x:v>
      </x:c>
      <x:c r="F695" s="66" t="str">
        <x:v>EKONOMI ISLAM</x:v>
      </x:c>
      <x:c r="G695" s="66" t="str">
        <x:v>Sarjana</x:v>
      </x:c>
      <x:c r="H695" s="87" t="n">
        <x:v>38</x:v>
      </x:c>
      <x:c r="I695" s="87" t="n">
        <x:v>149</x:v>
      </x:c>
      <x:c r="J695" s="68" t="n">
        <x:f>IFERROR(H695/I695,"")</x:f>
        <x:v>0.2550335570469799</x:v>
      </x:c>
      <x:c r="K695" s="69" t="n">
        <x:f>IFERROR(I695/H695,"")</x:f>
        <x:v>3.9210526315789473</x:v>
      </x:c>
      <x:c r="L695" s="66" t="str">
        <x:f>IF(K695="","","1 : "&amp;TEXT(K695,"0.0"))</x:f>
        <x:v>1 : 3.9</x:v>
      </x:c>
      <x:c r="M695" s="66" t="str">
        <x:f>IF(J695="","Baru/Tanpa Data",IF(J695&lt;='Catatan &amp; Sumber'!$B$14,"Sangat Ketat",IF(J695&lt;='Catatan &amp; Sumber'!$B$15,"Ketat",IF(J695&lt;='Catatan &amp; Sumber'!$B$16,"Sedang","Relatif Longgar"))))</x:f>
        <x:v>Relatif Longgar</x:v>
      </x:c>
      <x:c r="N695" s="66" t="str">
        <x:v>Tidak Ada</x:v>
      </x:c>
      <x:c r="O695" s="66" t="str">
        <x:v>Jambi</x:v>
      </x:c>
      <x:c r="P695" s="66" t="str">
        <x:v>Kabupaten Muaro Jambi</x:v>
      </x:c>
      <x:c r="Q695" s="66" t="str">
        <x:v>https://snpmb.id/snbp/daya-tampung-snbp</x:v>
      </x:c>
      <x:c r="R695" s="66" t="str">
        <x:v>https://sidatagrun-public-1076756628210.asia-southeast2.run.app/ptn_sn.php?ptn=151</x:v>
      </x:c>
    </x:row>
    <x:row r="696">
      <x:c r="A696" s="87" t="n">
        <x:v>3233</x:v>
      </x:c>
      <x:c r="B696" s="87" t="n">
        <x:v>151</x:v>
      </x:c>
      <x:c r="C696" s="66" t="str">
        <x:v>UNIVERSITAS JAMBI</x:v>
      </x:c>
      <x:c r="D696" s="66" t="str">
        <x:v>PTN Akademik</x:v>
      </x:c>
      <x:c r="E696" s="66" t="str">
        <x:v>11511051</x:v>
      </x:c>
      <x:c r="F696" s="66" t="str">
        <x:v>ARKEOLOGI</x:v>
      </x:c>
      <x:c r="G696" s="66" t="str">
        <x:v>Sarjana</x:v>
      </x:c>
      <x:c r="H696" s="87" t="n">
        <x:v>20</x:v>
      </x:c>
      <x:c r="I696" s="87" t="n">
        <x:v>57</x:v>
      </x:c>
      <x:c r="J696" s="68" t="n">
        <x:f>IFERROR(H696/I696,"")</x:f>
        <x:v>0.3508771929824561</x:v>
      </x:c>
      <x:c r="K696" s="69" t="n">
        <x:f>IFERROR(I696/H696,"")</x:f>
        <x:v>2.85</x:v>
      </x:c>
      <x:c r="L696" s="66" t="str">
        <x:f>IF(K696="","","1 : "&amp;TEXT(K696,"0.0"))</x:f>
        <x:v>1 : 2.9</x:v>
      </x:c>
      <x:c r="M696" s="66" t="str">
        <x:f>IF(J696="","Baru/Tanpa Data",IF(J696&lt;='Catatan &amp; Sumber'!$B$14,"Sangat Ketat",IF(J696&lt;='Catatan &amp; Sumber'!$B$15,"Ketat",IF(J696&lt;='Catatan &amp; Sumber'!$B$16,"Sedang","Relatif Longgar"))))</x:f>
        <x:v>Relatif Longgar</x:v>
      </x:c>
      <x:c r="N696" s="66" t="str">
        <x:v>Tidak Ada</x:v>
      </x:c>
      <x:c r="O696" s="66" t="str">
        <x:v>Jambi</x:v>
      </x:c>
      <x:c r="P696" s="66" t="str">
        <x:v>Kabupaten Muaro Jambi</x:v>
      </x:c>
      <x:c r="Q696" s="66" t="str">
        <x:v>https://snpmb.id/snbp/daya-tampung-snbp</x:v>
      </x:c>
      <x:c r="R696" s="66" t="str">
        <x:v>https://sidatagrun-public-1076756628210.asia-southeast2.run.app/ptn_sn.php?ptn=151</x:v>
      </x:c>
    </x:row>
    <x:row r="697">
      <x:c r="A697" s="87" t="n">
        <x:v>1563</x:v>
      </x:c>
      <x:c r="B697" s="87" t="n">
        <x:v>151</x:v>
      </x:c>
      <x:c r="C697" s="66" t="str">
        <x:v>UNIVERSITAS JAMBI</x:v>
      </x:c>
      <x:c r="D697" s="66" t="str">
        <x:v>PTN Akademik</x:v>
      </x:c>
      <x:c r="E697" s="66" t="str">
        <x:v>11511052</x:v>
      </x:c>
      <x:c r="F697" s="66" t="str">
        <x:v>PENDIDIKAN PANCASILA DAN KEWARGANEGARAAN</x:v>
      </x:c>
      <x:c r="G697" s="66" t="str">
        <x:v>Sarjana</x:v>
      </x:c>
      <x:c r="H697" s="87" t="n">
        <x:v>32</x:v>
      </x:c>
      <x:c r="I697" s="87" t="n">
        <x:v>281</x:v>
      </x:c>
      <x:c r="J697" s="68" t="n">
        <x:f>IFERROR(H697/I697,"")</x:f>
        <x:v>0.11387900355871886</x:v>
      </x:c>
      <x:c r="K697" s="69" t="n">
        <x:f>IFERROR(I697/H697,"")</x:f>
        <x:v>8.78125</x:v>
      </x:c>
      <x:c r="L697" s="66" t="str">
        <x:f>IF(K697="","","1 : "&amp;TEXT(K697,"0.0"))</x:f>
        <x:v>1 : 8.8</x:v>
      </x:c>
      <x:c r="M697" s="66" t="str">
        <x:f>IF(J697="","Baru/Tanpa Data",IF(J697&lt;='Catatan &amp; Sumber'!$B$14,"Sangat Ketat",IF(J697&lt;='Catatan &amp; Sumber'!$B$15,"Ketat",IF(J697&lt;='Catatan &amp; Sumber'!$B$16,"Sedang","Relatif Longgar"))))</x:f>
        <x:v>Relatif Longgar</x:v>
      </x:c>
      <x:c r="N697" s="66" t="str">
        <x:v>Tidak Ada</x:v>
      </x:c>
      <x:c r="O697" s="66" t="str">
        <x:v>Jambi</x:v>
      </x:c>
      <x:c r="P697" s="66" t="str">
        <x:v>Kabupaten Muaro Jambi</x:v>
      </x:c>
      <x:c r="Q697" s="66" t="str">
        <x:v>https://snpmb.id/snbp/daya-tampung-snbp</x:v>
      </x:c>
      <x:c r="R697" s="66" t="str">
        <x:v>https://sidatagrun-public-1076756628210.asia-southeast2.run.app/ptn_sn.php?ptn=151</x:v>
      </x:c>
    </x:row>
    <x:row r="698">
      <x:c r="A698" s="87" t="n">
        <x:v>3268</x:v>
      </x:c>
      <x:c r="B698" s="87" t="n">
        <x:v>151</x:v>
      </x:c>
      <x:c r="C698" s="66" t="str">
        <x:v>UNIVERSITAS JAMBI</x:v>
      </x:c>
      <x:c r="D698" s="66" t="str">
        <x:v>PTN Akademik</x:v>
      </x:c>
      <x:c r="E698" s="66" t="str">
        <x:v>11511053</x:v>
      </x:c>
      <x:c r="F698" s="66" t="str">
        <x:v>ILMU SEJARAH</x:v>
      </x:c>
      <x:c r="G698" s="66" t="str">
        <x:v>Sarjana</x:v>
      </x:c>
      <x:c r="H698" s="87" t="n">
        <x:v>25</x:v>
      </x:c>
      <x:c r="I698" s="87" t="n">
        <x:v>69</x:v>
      </x:c>
      <x:c r="J698" s="68" t="n">
        <x:f>IFERROR(H698/I698,"")</x:f>
        <x:v>0.36231884057971014</x:v>
      </x:c>
      <x:c r="K698" s="69" t="n">
        <x:f>IFERROR(I698/H698,"")</x:f>
        <x:v>2.76</x:v>
      </x:c>
      <x:c r="L698" s="66" t="str">
        <x:f>IF(K698="","","1 : "&amp;TEXT(K698,"0.0"))</x:f>
        <x:v>1 : 2.8</x:v>
      </x:c>
      <x:c r="M698" s="66" t="str">
        <x:f>IF(J698="","Baru/Tanpa Data",IF(J698&lt;='Catatan &amp; Sumber'!$B$14,"Sangat Ketat",IF(J698&lt;='Catatan &amp; Sumber'!$B$15,"Ketat",IF(J698&lt;='Catatan &amp; Sumber'!$B$16,"Sedang","Relatif Longgar"))))</x:f>
        <x:v>Relatif Longgar</x:v>
      </x:c>
      <x:c r="N698" s="66" t="str">
        <x:v>Tidak Ada</x:v>
      </x:c>
      <x:c r="O698" s="66" t="str">
        <x:v>Jambi</x:v>
      </x:c>
      <x:c r="P698" s="66" t="str">
        <x:v>Kabupaten Muaro Jambi</x:v>
      </x:c>
      <x:c r="Q698" s="66" t="str">
        <x:v>https://snpmb.id/snbp/daya-tampung-snbp</x:v>
      </x:c>
      <x:c r="R698" s="66" t="str">
        <x:v>https://sidatagrun-public-1076756628210.asia-southeast2.run.app/ptn_sn.php?ptn=151</x:v>
      </x:c>
    </x:row>
    <x:row r="699">
      <x:c r="A699" s="87" t="n">
        <x:v>2492</x:v>
      </x:c>
      <x:c r="B699" s="87" t="n">
        <x:v>151</x:v>
      </x:c>
      <x:c r="C699" s="66" t="str">
        <x:v>UNIVERSITAS JAMBI</x:v>
      </x:c>
      <x:c r="D699" s="66" t="str">
        <x:v>PTN Akademik</x:v>
      </x:c>
      <x:c r="E699" s="66" t="str">
        <x:v>11511054</x:v>
      </x:c>
      <x:c r="F699" s="66" t="str">
        <x:v>ADMINISTRASI PENDIDIKAN</x:v>
      </x:c>
      <x:c r="G699" s="66" t="str">
        <x:v>Sarjana</x:v>
      </x:c>
      <x:c r="H699" s="87" t="n">
        <x:v>30</x:v>
      </x:c>
      <x:c r="I699" s="87" t="n">
        <x:v>143</x:v>
      </x:c>
      <x:c r="J699" s="68" t="n">
        <x:f>IFERROR(H699/I699,"")</x:f>
        <x:v>0.2097902097902098</x:v>
      </x:c>
      <x:c r="K699" s="69" t="n">
        <x:f>IFERROR(I699/H699,"")</x:f>
        <x:v>4.766666666666667</x:v>
      </x:c>
      <x:c r="L699" s="66" t="str">
        <x:f>IF(K699="","","1 : "&amp;TEXT(K699,"0.0"))</x:f>
        <x:v>1 : 4.8</x:v>
      </x:c>
      <x:c r="M699" s="66" t="str">
        <x:f>IF(J699="","Baru/Tanpa Data",IF(J699&lt;='Catatan &amp; Sumber'!$B$14,"Sangat Ketat",IF(J699&lt;='Catatan &amp; Sumber'!$B$15,"Ketat",IF(J699&lt;='Catatan &amp; Sumber'!$B$16,"Sedang","Relatif Longgar"))))</x:f>
        <x:v>Relatif Longgar</x:v>
      </x:c>
      <x:c r="N699" s="66" t="str">
        <x:v>Tidak Ada</x:v>
      </x:c>
      <x:c r="O699" s="66" t="str">
        <x:v>Jambi</x:v>
      </x:c>
      <x:c r="P699" s="66" t="str">
        <x:v>Kabupaten Muaro Jambi</x:v>
      </x:c>
      <x:c r="Q699" s="66" t="str">
        <x:v>https://snpmb.id/snbp/daya-tampung-snbp</x:v>
      </x:c>
      <x:c r="R699" s="66" t="str">
        <x:v>https://sidatagrun-public-1076756628210.asia-southeast2.run.app/ptn_sn.php?ptn=151</x:v>
      </x:c>
    </x:row>
    <x:row r="700">
      <x:c r="A700" s="87" t="n">
        <x:v>3124</x:v>
      </x:c>
      <x:c r="B700" s="87" t="n">
        <x:v>151</x:v>
      </x:c>
      <x:c r="C700" s="66" t="str">
        <x:v>UNIVERSITAS JAMBI</x:v>
      </x:c>
      <x:c r="D700" s="66" t="str">
        <x:v>PTN Akademik</x:v>
      </x:c>
      <x:c r="E700" s="66" t="str">
        <x:v>11511055</x:v>
      </x:c>
      <x:c r="F700" s="66" t="str">
        <x:v>ILMU POLITIK</x:v>
      </x:c>
      <x:c r="G700" s="66" t="str">
        <x:v>Sarjana</x:v>
      </x:c>
      <x:c r="H700" s="87" t="n">
        <x:v>33</x:v>
      </x:c>
      <x:c r="I700" s="87" t="n">
        <x:v>103</x:v>
      </x:c>
      <x:c r="J700" s="68" t="n">
        <x:f>IFERROR(H700/I700,"")</x:f>
        <x:v>0.32038834951456313</x:v>
      </x:c>
      <x:c r="K700" s="69" t="n">
        <x:f>IFERROR(I700/H700,"")</x:f>
        <x:v>3.121212121212121</x:v>
      </x:c>
      <x:c r="L700" s="66" t="str">
        <x:f>IF(K700="","","1 : "&amp;TEXT(K700,"0.0"))</x:f>
        <x:v>1 : 3.1</x:v>
      </x:c>
      <x:c r="M700" s="66" t="str">
        <x:f>IF(J700="","Baru/Tanpa Data",IF(J700&lt;='Catatan &amp; Sumber'!$B$14,"Sangat Ketat",IF(J700&lt;='Catatan &amp; Sumber'!$B$15,"Ketat",IF(J700&lt;='Catatan &amp; Sumber'!$B$16,"Sedang","Relatif Longgar"))))</x:f>
        <x:v>Relatif Longgar</x:v>
      </x:c>
      <x:c r="N700" s="66" t="str">
        <x:v>Tidak Ada</x:v>
      </x:c>
      <x:c r="O700" s="66" t="str">
        <x:v>Jambi</x:v>
      </x:c>
      <x:c r="P700" s="66" t="str">
        <x:v>Kabupaten Muaro Jambi</x:v>
      </x:c>
      <x:c r="Q700" s="66" t="str">
        <x:v>https://snpmb.id/snbp/daya-tampung-snbp</x:v>
      </x:c>
      <x:c r="R700" s="66" t="str">
        <x:v>https://sidatagrun-public-1076756628210.asia-southeast2.run.app/ptn_sn.php?ptn=151</x:v>
      </x:c>
    </x:row>
    <x:row r="701">
      <x:c r="A701" s="87" t="n">
        <x:v>3319</x:v>
      </x:c>
      <x:c r="B701" s="87" t="n">
        <x:v>151</x:v>
      </x:c>
      <x:c r="C701" s="66" t="str">
        <x:v>UNIVERSITAS JAMBI</x:v>
      </x:c>
      <x:c r="D701" s="66" t="str">
        <x:v>PTN Akademik</x:v>
      </x:c>
      <x:c r="E701" s="66" t="str">
        <x:v>11511056</x:v>
      </x:c>
      <x:c r="F701" s="66" t="str">
        <x:v>SENI DRAMA TARI DAN MUSIK</x:v>
      </x:c>
      <x:c r="G701" s="66" t="str">
        <x:v>Sarjana</x:v>
      </x:c>
      <x:c r="H701" s="87" t="n">
        <x:v>17</x:v>
      </x:c>
      <x:c r="I701" s="87" t="n">
        <x:v>45</x:v>
      </x:c>
      <x:c r="J701" s="68" t="n">
        <x:f>IFERROR(H701/I701,"")</x:f>
        <x:v>0.37777777777777777</x:v>
      </x:c>
      <x:c r="K701" s="69" t="n">
        <x:f>IFERROR(I701/H701,"")</x:f>
        <x:v>2.6470588235294117</x:v>
      </x:c>
      <x:c r="L701" s="66" t="str">
        <x:f>IF(K701="","","1 : "&amp;TEXT(K701,"0.0"))</x:f>
        <x:v>1 : 2.6</x:v>
      </x:c>
      <x:c r="M701" s="66" t="str">
        <x:f>IF(J701="","Baru/Tanpa Data",IF(J701&lt;='Catatan &amp; Sumber'!$B$14,"Sangat Ketat",IF(J701&lt;='Catatan &amp; Sumber'!$B$15,"Ketat",IF(J701&lt;='Catatan &amp; Sumber'!$B$16,"Sedang","Relatif Longgar"))))</x:f>
        <x:v>Relatif Longgar</x:v>
      </x:c>
      <x:c r="N701" s="66" t="str">
        <x:v>Sendratasik</x:v>
      </x:c>
      <x:c r="O701" s="66" t="str">
        <x:v>Jambi</x:v>
      </x:c>
      <x:c r="P701" s="66" t="str">
        <x:v>Kabupaten Muaro Jambi</x:v>
      </x:c>
      <x:c r="Q701" s="66" t="str">
        <x:v>https://snpmb.id/snbp/daya-tampung-snbp</x:v>
      </x:c>
      <x:c r="R701" s="66" t="str">
        <x:v>https://sidatagrun-public-1076756628210.asia-southeast2.run.app/ptn_sn.php?ptn=151</x:v>
      </x:c>
    </x:row>
    <x:row r="702">
      <x:c r="A702" s="87" t="n">
        <x:v>1628</x:v>
      </x:c>
      <x:c r="B702" s="87" t="n">
        <x:v>151</x:v>
      </x:c>
      <x:c r="C702" s="66" t="str">
        <x:v>UNIVERSITAS JAMBI</x:v>
      </x:c>
      <x:c r="D702" s="66" t="str">
        <x:v>PTN Akademik</x:v>
      </x:c>
      <x:c r="E702" s="66" t="str">
        <x:v>11511059</x:v>
      </x:c>
      <x:c r="F702" s="66" t="str">
        <x:v>BISNIS DIGITAL</x:v>
      </x:c>
      <x:c r="G702" s="66" t="str">
        <x:v>Sarjana</x:v>
      </x:c>
      <x:c r="H702" s="87" t="n">
        <x:v>27</x:v>
      </x:c>
      <x:c r="I702" s="87" t="n">
        <x:v>227</x:v>
      </x:c>
      <x:c r="J702" s="68" t="n">
        <x:f>IFERROR(H702/I702,"")</x:f>
        <x:v>0.11894273127753303</x:v>
      </x:c>
      <x:c r="K702" s="69" t="n">
        <x:f>IFERROR(I702/H702,"")</x:f>
        <x:v>8.407407407407407</x:v>
      </x:c>
      <x:c r="L702" s="66" t="str">
        <x:f>IF(K702="","","1 : "&amp;TEXT(K702,"0.0"))</x:f>
        <x:v>1 : 8.4</x:v>
      </x:c>
      <x:c r="M702" s="66" t="str">
        <x:f>IF(J702="","Baru/Tanpa Data",IF(J702&lt;='Catatan &amp; Sumber'!$B$14,"Sangat Ketat",IF(J702&lt;='Catatan &amp; Sumber'!$B$15,"Ketat",IF(J702&lt;='Catatan &amp; Sumber'!$B$16,"Sedang","Relatif Longgar"))))</x:f>
        <x:v>Relatif Longgar</x:v>
      </x:c>
      <x:c r="N702" s="66" t="str">
        <x:v>Tidak Ada</x:v>
      </x:c>
      <x:c r="O702" s="66" t="str">
        <x:v>Jambi</x:v>
      </x:c>
      <x:c r="P702" s="66" t="str">
        <x:v>Kabupaten Muaro Jambi</x:v>
      </x:c>
      <x:c r="Q702" s="66" t="str">
        <x:v>https://snpmb.id/snbp/daya-tampung-snbp</x:v>
      </x:c>
      <x:c r="R702" s="66" t="str">
        <x:v>https://sidatagrun-public-1076756628210.asia-southeast2.run.app/ptn_sn.php?ptn=151</x:v>
      </x:c>
    </x:row>
    <x:row r="703">
      <x:c r="A703" s="87" t="n">
        <x:v>2274</x:v>
      </x:c>
      <x:c r="B703" s="87" t="n">
        <x:v>151</x:v>
      </x:c>
      <x:c r="C703" s="66" t="str">
        <x:v>UNIVERSITAS JAMBI</x:v>
      </x:c>
      <x:c r="D703" s="66" t="str">
        <x:v>PTN Akademik</x:v>
      </x:c>
      <x:c r="E703" s="66" t="str">
        <x:v>11511068</x:v>
      </x:c>
      <x:c r="F703" s="66" t="str">
        <x:v>KEWIRAUSAHAAN</x:v>
      </x:c>
      <x:c r="G703" s="66" t="str">
        <x:v>Sarjana</x:v>
      </x:c>
      <x:c r="H703" s="87" t="n">
        <x:v>25</x:v>
      </x:c>
      <x:c r="I703" s="87" t="n">
        <x:v>138</x:v>
      </x:c>
      <x:c r="J703" s="68" t="n">
        <x:f>IFERROR(H703/I703,"")</x:f>
        <x:v>0.18115942028985507</x:v>
      </x:c>
      <x:c r="K703" s="69" t="n">
        <x:f>IFERROR(I703/H703,"")</x:f>
        <x:v>5.52</x:v>
      </x:c>
      <x:c r="L703" s="66" t="str">
        <x:f>IF(K703="","","1 : "&amp;TEXT(K703,"0.0"))</x:f>
        <x:v>1 : 5.5</x:v>
      </x:c>
      <x:c r="M703" s="66" t="str">
        <x:f>IF(J703="","Baru/Tanpa Data",IF(J703&lt;='Catatan &amp; Sumber'!$B$14,"Sangat Ketat",IF(J703&lt;='Catatan &amp; Sumber'!$B$15,"Ketat",IF(J703&lt;='Catatan &amp; Sumber'!$B$16,"Sedang","Relatif Longgar"))))</x:f>
        <x:v>Relatif Longgar</x:v>
      </x:c>
      <x:c r="N703" s="66" t="str">
        <x:v>Tidak Ada</x:v>
      </x:c>
      <x:c r="O703" s="66" t="str">
        <x:v>Jambi</x:v>
      </x:c>
      <x:c r="P703" s="66" t="str">
        <x:v>Kabupaten Muaro Jambi</x:v>
      </x:c>
      <x:c r="Q703" s="66" t="str">
        <x:v>https://snpmb.id/snbp/daya-tampung-snbp</x:v>
      </x:c>
      <x:c r="R703" s="66" t="str">
        <x:v>https://sidatagrun-public-1076756628210.asia-southeast2.run.app/ptn_sn.php?ptn=151</x:v>
      </x:c>
    </x:row>
    <x:row r="704">
      <x:c r="A704" s="87" t="n">
        <x:v>427</x:v>
      </x:c>
      <x:c r="B704" s="87" t="n">
        <x:v>151</x:v>
      </x:c>
      <x:c r="C704" s="66" t="str">
        <x:v>UNIVERSITAS JAMBI</x:v>
      </x:c>
      <x:c r="D704" s="66" t="str">
        <x:v>PTN Akademik</x:v>
      </x:c>
      <x:c r="E704" s="66" t="str">
        <x:v>11511069</x:v>
      </x:c>
      <x:c r="F704" s="66" t="str">
        <x:v>INFORMATIKA</x:v>
      </x:c>
      <x:c r="G704" s="66" t="str">
        <x:v>Sarjana</x:v>
      </x:c>
      <x:c r="H704" s="87" t="n">
        <x:v>20</x:v>
      </x:c>
      <x:c r="I704" s="87" t="n">
        <x:v>416</x:v>
      </x:c>
      <x:c r="J704" s="68" t="n">
        <x:f>IFERROR(H704/I704,"")</x:f>
        <x:v>0.04807692307692308</x:v>
      </x:c>
      <x:c r="K704" s="69" t="n">
        <x:f>IFERROR(I704/H704,"")</x:f>
        <x:v>20.8</x:v>
      </x:c>
      <x:c r="L704" s="66" t="str">
        <x:f>IF(K704="","","1 : "&amp;TEXT(K704,"0.0"))</x:f>
        <x:v>1 : 20.8</x:v>
      </x:c>
      <x:c r="M704" s="66" t="str">
        <x:f>IF(J704="","Baru/Tanpa Data",IF(J704&lt;='Catatan &amp; Sumber'!$B$14,"Sangat Ketat",IF(J704&lt;='Catatan &amp; Sumber'!$B$15,"Ketat",IF(J704&lt;='Catatan &amp; Sumber'!$B$16,"Sedang","Relatif Longgar"))))</x:f>
        <x:v>Ketat</x:v>
      </x:c>
      <x:c r="N704" s="66" t="str">
        <x:v>Tidak Ada</x:v>
      </x:c>
      <x:c r="O704" s="66" t="str">
        <x:v>Jambi</x:v>
      </x:c>
      <x:c r="P704" s="66" t="str">
        <x:v>Kabupaten Muaro Jambi</x:v>
      </x:c>
      <x:c r="Q704" s="66" t="str">
        <x:v>https://snpmb.id/snbp/daya-tampung-snbp</x:v>
      </x:c>
      <x:c r="R704" s="66" t="str">
        <x:v>https://sidatagrun-public-1076756628210.asia-southeast2.run.app/ptn_sn.php?ptn=151</x:v>
      </x:c>
    </x:row>
    <x:row r="705">
      <x:c r="A705" s="87"/>
      <x:c r="B705" s="87" t="n">
        <x:v>151</x:v>
      </x:c>
      <x:c r="C705" s="66" t="str">
        <x:v>UNIVERSITAS JAMBI</x:v>
      </x:c>
      <x:c r="D705" s="66" t="str">
        <x:v>PTN Akademik</x:v>
      </x:c>
      <x:c r="E705" s="66" t="str">
        <x:v>11511070</x:v>
      </x:c>
      <x:c r="F705" s="66" t="str">
        <x:v>SENI KARAWITAN</x:v>
      </x:c>
      <x:c r="G705" s="66" t="str">
        <x:v>Sarjana</x:v>
      </x:c>
      <x:c r="H705" s="87" t="n">
        <x:v>5</x:v>
      </x:c>
      <x:c r="I705" s="87"/>
      <x:c r="J705" s="68" t="str">
        <x:f>IFERROR(H705/I705,"")</x:f>
      </x:c>
      <x:c r="K705" s="69" t="n">
        <x:f>IFERROR(I705/H705,"")</x:f>
        <x:v>0</x:v>
      </x:c>
      <x:c r="L705" s="66" t="str">
        <x:f>IF(K705="","","1 : "&amp;TEXT(K705,"0.0"))</x:f>
      </x:c>
      <x:c r="M705" s="66" t="str">
        <x:f>IF(J705="","Baru/Tanpa Data",IF(J705&lt;='Catatan &amp; Sumber'!$B$14,"Sangat Ketat",IF(J705&lt;='Catatan &amp; Sumber'!$B$15,"Ketat",IF(J705&lt;='Catatan &amp; Sumber'!$B$16,"Sedang","Relatif Longgar"))))</x:f>
        <x:v>Baru/Tanpa Data</x:v>
      </x:c>
      <x:c r="N705" s="66" t="str">
        <x:v>Seni Karawitan</x:v>
      </x:c>
      <x:c r="O705" s="66" t="str">
        <x:v>Jambi</x:v>
      </x:c>
      <x:c r="P705" s="66" t="str">
        <x:v>Kabupaten Muaro Jambi</x:v>
      </x:c>
      <x:c r="Q705" s="66" t="str">
        <x:v>https://snpmb.id/snbp/daya-tampung-snbp</x:v>
      </x:c>
      <x:c r="R705" s="66" t="str">
        <x:v>https://sidatagrun-public-1076756628210.asia-southeast2.run.app/ptn_sn.php?ptn=151</x:v>
      </x:c>
    </x:row>
    <x:row r="706">
      <x:c r="A706" s="87"/>
      <x:c r="B706" s="87" t="n">
        <x:v>151</x:v>
      </x:c>
      <x:c r="C706" s="66" t="str">
        <x:v>UNIVERSITAS JAMBI</x:v>
      </x:c>
      <x:c r="D706" s="66" t="str">
        <x:v>PTN Akademik</x:v>
      </x:c>
      <x:c r="E706" s="66" t="str">
        <x:v>11511071</x:v>
      </x:c>
      <x:c r="F706" s="66" t="str">
        <x:v>SILVIKULTUR</x:v>
      </x:c>
      <x:c r="G706" s="66" t="str">
        <x:v>Sarjana</x:v>
      </x:c>
      <x:c r="H706" s="87" t="n">
        <x:v>15</x:v>
      </x:c>
      <x:c r="I706" s="87"/>
      <x:c r="J706" s="68" t="str">
        <x:f>IFERROR(H706/I706,"")</x:f>
      </x:c>
      <x:c r="K706" s="69" t="n">
        <x:f>IFERROR(I706/H706,"")</x:f>
        <x:v>0</x:v>
      </x:c>
      <x:c r="L706" s="66" t="str">
        <x:f>IF(K706="","","1 : "&amp;TEXT(K706,"0.0"))</x:f>
      </x:c>
      <x:c r="M706" s="66" t="str">
        <x:f>IF(J706="","Baru/Tanpa Data",IF(J706&lt;='Catatan &amp; Sumber'!$B$14,"Sangat Ketat",IF(J706&lt;='Catatan &amp; Sumber'!$B$15,"Ketat",IF(J706&lt;='Catatan &amp; Sumber'!$B$16,"Sedang","Relatif Longgar"))))</x:f>
        <x:v>Baru/Tanpa Data</x:v>
      </x:c>
      <x:c r="N706" s="66" t="str">
        <x:v>Tidak Ada</x:v>
      </x:c>
      <x:c r="O706" s="66" t="str">
        <x:v>Jambi</x:v>
      </x:c>
      <x:c r="P706" s="66" t="str">
        <x:v>Kabupaten Muaro Jambi</x:v>
      </x:c>
      <x:c r="Q706" s="66" t="str">
        <x:v>https://snpmb.id/snbp/daya-tampung-snbp</x:v>
      </x:c>
      <x:c r="R706" s="66" t="str">
        <x:v>https://sidatagrun-public-1076756628210.asia-southeast2.run.app/ptn_sn.php?ptn=151</x:v>
      </x:c>
    </x:row>
    <x:row r="707">
      <x:c r="A707" s="87"/>
      <x:c r="B707" s="87" t="n">
        <x:v>151</x:v>
      </x:c>
      <x:c r="C707" s="66" t="str">
        <x:v>UNIVERSITAS JAMBI</x:v>
      </x:c>
      <x:c r="D707" s="66" t="str">
        <x:v>PTN Akademik</x:v>
      </x:c>
      <x:c r="E707" s="66" t="str">
        <x:v>11511072</x:v>
      </x:c>
      <x:c r="F707" s="66" t="str">
        <x:v>TEKNOLOGI HASIL PERIKANAN</x:v>
      </x:c>
      <x:c r="G707" s="66" t="str">
        <x:v>Sarjana</x:v>
      </x:c>
      <x:c r="H707" s="87" t="n">
        <x:v>10</x:v>
      </x:c>
      <x:c r="I707" s="87"/>
      <x:c r="J707" s="68" t="str">
        <x:f>IFERROR(H707/I707,"")</x:f>
      </x:c>
      <x:c r="K707" s="69" t="n">
        <x:f>IFERROR(I707/H707,"")</x:f>
        <x:v>0</x:v>
      </x:c>
      <x:c r="L707" s="66" t="str">
        <x:f>IF(K707="","","1 : "&amp;TEXT(K707,"0.0"))</x:f>
      </x:c>
      <x:c r="M707" s="66" t="str">
        <x:f>IF(J707="","Baru/Tanpa Data",IF(J707&lt;='Catatan &amp; Sumber'!$B$14,"Sangat Ketat",IF(J707&lt;='Catatan &amp; Sumber'!$B$15,"Ketat",IF(J707&lt;='Catatan &amp; Sumber'!$B$16,"Sedang","Relatif Longgar"))))</x:f>
        <x:v>Baru/Tanpa Data</x:v>
      </x:c>
      <x:c r="N707" s="66" t="str">
        <x:v>Tidak Ada</x:v>
      </x:c>
      <x:c r="O707" s="66" t="str">
        <x:v>Jambi</x:v>
      </x:c>
      <x:c r="P707" s="66" t="str">
        <x:v>Kabupaten Muaro Jambi</x:v>
      </x:c>
      <x:c r="Q707" s="66" t="str">
        <x:v>https://snpmb.id/snbp/daya-tampung-snbp</x:v>
      </x:c>
      <x:c r="R707" s="66" t="str">
        <x:v>https://sidatagrun-public-1076756628210.asia-southeast2.run.app/ptn_sn.php?ptn=151</x:v>
      </x:c>
    </x:row>
    <x:row r="708">
      <x:c r="A708" s="87"/>
      <x:c r="B708" s="87" t="n">
        <x:v>151</x:v>
      </x:c>
      <x:c r="C708" s="66" t="str">
        <x:v>UNIVERSITAS JAMBI</x:v>
      </x:c>
      <x:c r="D708" s="66" t="str">
        <x:v>PTN Akademik</x:v>
      </x:c>
      <x:c r="E708" s="66" t="str">
        <x:v>11511073</x:v>
      </x:c>
      <x:c r="F708" s="66" t="str">
        <x:v>ILMU LINGKUNGAN</x:v>
      </x:c>
      <x:c r="G708" s="66" t="str">
        <x:v>Sarjana</x:v>
      </x:c>
      <x:c r="H708" s="87" t="n">
        <x:v>10</x:v>
      </x:c>
      <x:c r="I708" s="87"/>
      <x:c r="J708" s="68" t="str">
        <x:f>IFERROR(H708/I708,"")</x:f>
      </x:c>
      <x:c r="K708" s="69" t="n">
        <x:f>IFERROR(I708/H708,"")</x:f>
        <x:v>0</x:v>
      </x:c>
      <x:c r="L708" s="66" t="str">
        <x:f>IF(K708="","","1 : "&amp;TEXT(K708,"0.0"))</x:f>
      </x:c>
      <x:c r="M708" s="66" t="str">
        <x:f>IF(J708="","Baru/Tanpa Data",IF(J708&lt;='Catatan &amp; Sumber'!$B$14,"Sangat Ketat",IF(J708&lt;='Catatan &amp; Sumber'!$B$15,"Ketat",IF(J708&lt;='Catatan &amp; Sumber'!$B$16,"Sedang","Relatif Longgar"))))</x:f>
        <x:v>Baru/Tanpa Data</x:v>
      </x:c>
      <x:c r="N708" s="66" t="str">
        <x:v>Tidak Ada</x:v>
      </x:c>
      <x:c r="O708" s="66" t="str">
        <x:v>Jambi</x:v>
      </x:c>
      <x:c r="P708" s="66" t="str">
        <x:v>Kabupaten Muaro Jambi</x:v>
      </x:c>
      <x:c r="Q708" s="66" t="str">
        <x:v>https://snpmb.id/snbp/daya-tampung-snbp</x:v>
      </x:c>
      <x:c r="R708" s="66" t="str">
        <x:v>https://sidatagrun-public-1076756628210.asia-southeast2.run.app/ptn_sn.php?ptn=151</x:v>
      </x:c>
    </x:row>
    <x:row r="709">
      <x:c r="A709" s="87"/>
      <x:c r="B709" s="87" t="n">
        <x:v>151</x:v>
      </x:c>
      <x:c r="C709" s="66" t="str">
        <x:v>UNIVERSITAS JAMBI</x:v>
      </x:c>
      <x:c r="D709" s="66" t="str">
        <x:v>PTN Akademik</x:v>
      </x:c>
      <x:c r="E709" s="66" t="str">
        <x:v>11511074</x:v>
      </x:c>
      <x:c r="F709" s="66" t="str">
        <x:v>GIZI</x:v>
      </x:c>
      <x:c r="G709" s="66" t="str">
        <x:v>Sarjana</x:v>
      </x:c>
      <x:c r="H709" s="87" t="n">
        <x:v>8</x:v>
      </x:c>
      <x:c r="I709" s="87"/>
      <x:c r="J709" s="68" t="str">
        <x:f>IFERROR(H709/I709,"")</x:f>
      </x:c>
      <x:c r="K709" s="69" t="n">
        <x:f>IFERROR(I709/H709,"")</x:f>
        <x:v>0</x:v>
      </x:c>
      <x:c r="L709" s="66" t="str">
        <x:f>IF(K709="","","1 : "&amp;TEXT(K709,"0.0"))</x:f>
      </x:c>
      <x:c r="M709" s="66" t="str">
        <x:f>IF(J709="","Baru/Tanpa Data",IF(J709&lt;='Catatan &amp; Sumber'!$B$14,"Sangat Ketat",IF(J709&lt;='Catatan &amp; Sumber'!$B$15,"Ketat",IF(J709&lt;='Catatan &amp; Sumber'!$B$16,"Sedang","Relatif Longgar"))))</x:f>
        <x:v>Baru/Tanpa Data</x:v>
      </x:c>
      <x:c r="N709" s="66" t="str">
        <x:v>Tidak Ada</x:v>
      </x:c>
      <x:c r="O709" s="66" t="str">
        <x:v>Jambi</x:v>
      </x:c>
      <x:c r="P709" s="66" t="str">
        <x:v>Kabupaten Muaro Jambi</x:v>
      </x:c>
      <x:c r="Q709" s="66" t="str">
        <x:v>https://snpmb.id/snbp/daya-tampung-snbp</x:v>
      </x:c>
      <x:c r="R709" s="66" t="str">
        <x:v>https://sidatagrun-public-1076756628210.asia-southeast2.run.app/ptn_sn.php?ptn=151</x:v>
      </x:c>
    </x:row>
    <x:row r="710">
      <x:c r="A710" s="87"/>
      <x:c r="B710" s="87" t="n">
        <x:v>151</x:v>
      </x:c>
      <x:c r="C710" s="66" t="str">
        <x:v>UNIVERSITAS JAMBI</x:v>
      </x:c>
      <x:c r="D710" s="66" t="str">
        <x:v>PTN Akademik</x:v>
      </x:c>
      <x:c r="E710" s="66" t="str">
        <x:v>11511075</x:v>
      </x:c>
      <x:c r="F710" s="66" t="str">
        <x:v>KESEHATAN LINGKUNGAN</x:v>
      </x:c>
      <x:c r="G710" s="66" t="str">
        <x:v>Sarjana</x:v>
      </x:c>
      <x:c r="H710" s="87" t="n">
        <x:v>8</x:v>
      </x:c>
      <x:c r="I710" s="87"/>
      <x:c r="J710" s="68" t="str">
        <x:f>IFERROR(H710/I710,"")</x:f>
      </x:c>
      <x:c r="K710" s="69" t="n">
        <x:f>IFERROR(I710/H710,"")</x:f>
        <x:v>0</x:v>
      </x:c>
      <x:c r="L710" s="66" t="str">
        <x:f>IF(K710="","","1 : "&amp;TEXT(K710,"0.0"))</x:f>
      </x:c>
      <x:c r="M710" s="66" t="str">
        <x:f>IF(J710="","Baru/Tanpa Data",IF(J710&lt;='Catatan &amp; Sumber'!$B$14,"Sangat Ketat",IF(J710&lt;='Catatan &amp; Sumber'!$B$15,"Ketat",IF(J710&lt;='Catatan &amp; Sumber'!$B$16,"Sedang","Relatif Longgar"))))</x:f>
        <x:v>Baru/Tanpa Data</x:v>
      </x:c>
      <x:c r="N710" s="66" t="str">
        <x:v>Tidak Ada</x:v>
      </x:c>
      <x:c r="O710" s="66" t="str">
        <x:v>Jambi</x:v>
      </x:c>
      <x:c r="P710" s="66" t="str">
        <x:v>Kabupaten Muaro Jambi</x:v>
      </x:c>
      <x:c r="Q710" s="66" t="str">
        <x:v>https://snpmb.id/snbp/daya-tampung-snbp</x:v>
      </x:c>
      <x:c r="R710" s="66" t="str">
        <x:v>https://sidatagrun-public-1076756628210.asia-southeast2.run.app/ptn_sn.php?ptn=151</x:v>
      </x:c>
    </x:row>
    <x:row r="711">
      <x:c r="A711" s="87" t="n">
        <x:v>3958</x:v>
      </x:c>
      <x:c r="B711" s="87" t="n">
        <x:v>151</x:v>
      </x:c>
      <x:c r="C711" s="66" t="str">
        <x:v>UNIVERSITAS JAMBI</x:v>
      </x:c>
      <x:c r="D711" s="66" t="str">
        <x:v>PTN Akademik</x:v>
      </x:c>
      <x:c r="E711" s="66" t="str">
        <x:v>11512057</x:v>
      </x:c>
      <x:c r="F711" s="66" t="str">
        <x:v>KEUANGAN DAERAH</x:v>
      </x:c>
      <x:c r="G711" s="66" t="str">
        <x:v>Sarjana Terapan</x:v>
      </x:c>
      <x:c r="H711" s="87" t="n">
        <x:v>20</x:v>
      </x:c>
      <x:c r="I711" s="87" t="n">
        <x:v>30</x:v>
      </x:c>
      <x:c r="J711" s="68" t="n">
        <x:f>IFERROR(H711/I711,"")</x:f>
        <x:v>0.6666666666666666</x:v>
      </x:c>
      <x:c r="K711" s="69" t="n">
        <x:f>IFERROR(I711/H711,"")</x:f>
        <x:v>1.5</x:v>
      </x:c>
      <x:c r="L711" s="66" t="str">
        <x:f>IF(K711="","","1 : "&amp;TEXT(K711,"0.0"))</x:f>
        <x:v>1 : 1.5</x:v>
      </x:c>
      <x:c r="M711" s="66" t="str">
        <x:f>IF(J711="","Baru/Tanpa Data",IF(J711&lt;='Catatan &amp; Sumber'!$B$14,"Sangat Ketat",IF(J711&lt;='Catatan &amp; Sumber'!$B$15,"Ketat",IF(J711&lt;='Catatan &amp; Sumber'!$B$16,"Sedang","Relatif Longgar"))))</x:f>
        <x:v>Relatif Longgar</x:v>
      </x:c>
      <x:c r="N711" s="66" t="str">
        <x:v>Tidak Ada</x:v>
      </x:c>
      <x:c r="O711" s="66" t="str">
        <x:v>Jambi</x:v>
      </x:c>
      <x:c r="P711" s="66" t="str">
        <x:v>Kabupaten Muaro Jambi</x:v>
      </x:c>
      <x:c r="Q711" s="66" t="str">
        <x:v>https://snpmb.id/snbp/daya-tampung-snbp</x:v>
      </x:c>
      <x:c r="R711" s="66" t="str">
        <x:v>https://sidatagrun-public-1076756628210.asia-southeast2.run.app/ptn_sn.php?ptn=151</x:v>
      </x:c>
    </x:row>
    <x:row r="712">
      <x:c r="A712" s="87" t="n">
        <x:v>3316</x:v>
      </x:c>
      <x:c r="B712" s="87" t="n">
        <x:v>151</x:v>
      </x:c>
      <x:c r="C712" s="66" t="str">
        <x:v>UNIVERSITAS JAMBI</x:v>
      </x:c>
      <x:c r="D712" s="66" t="str">
        <x:v>PTN Akademik</x:v>
      </x:c>
      <x:c r="E712" s="66" t="str">
        <x:v>11512058</x:v>
      </x:c>
      <x:c r="F712" s="66" t="str">
        <x:v>MANAJEMEN PEMERINTAHAN</x:v>
      </x:c>
      <x:c r="G712" s="66" t="str">
        <x:v>Sarjana Terapan</x:v>
      </x:c>
      <x:c r="H712" s="87" t="n">
        <x:v>20</x:v>
      </x:c>
      <x:c r="I712" s="87" t="n">
        <x:v>53</x:v>
      </x:c>
      <x:c r="J712" s="68" t="n">
        <x:f>IFERROR(H712/I712,"")</x:f>
        <x:v>0.37735849056603776</x:v>
      </x:c>
      <x:c r="K712" s="69" t="n">
        <x:f>IFERROR(I712/H712,"")</x:f>
        <x:v>2.65</x:v>
      </x:c>
      <x:c r="L712" s="66" t="str">
        <x:f>IF(K712="","","1 : "&amp;TEXT(K712,"0.0"))</x:f>
        <x:v>1 : 2.7</x:v>
      </x:c>
      <x:c r="M712" s="66" t="str">
        <x:f>IF(J712="","Baru/Tanpa Data",IF(J712&lt;='Catatan &amp; Sumber'!$B$14,"Sangat Ketat",IF(J712&lt;='Catatan &amp; Sumber'!$B$15,"Ketat",IF(J712&lt;='Catatan &amp; Sumber'!$B$16,"Sedang","Relatif Longgar"))))</x:f>
        <x:v>Relatif Longgar</x:v>
      </x:c>
      <x:c r="N712" s="66" t="str">
        <x:v>Tidak Ada</x:v>
      </x:c>
      <x:c r="O712" s="66" t="str">
        <x:v>Jambi</x:v>
      </x:c>
      <x:c r="P712" s="66" t="str">
        <x:v>Kabupaten Muaro Jambi</x:v>
      </x:c>
      <x:c r="Q712" s="66" t="str">
        <x:v>https://snpmb.id/snbp/daya-tampung-snbp</x:v>
      </x:c>
      <x:c r="R712" s="66" t="str">
        <x:v>https://sidatagrun-public-1076756628210.asia-southeast2.run.app/ptn_sn.php?ptn=151</x:v>
      </x:c>
    </x:row>
    <x:row r="713">
      <x:c r="A713" s="87" t="n">
        <x:v>4037</x:v>
      </x:c>
      <x:c r="B713" s="87" t="n">
        <x:v>151</x:v>
      </x:c>
      <x:c r="C713" s="66" t="str">
        <x:v>UNIVERSITAS JAMBI</x:v>
      </x:c>
      <x:c r="D713" s="66" t="str">
        <x:v>PTN Akademik</x:v>
      </x:c>
      <x:c r="E713" s="66" t="str">
        <x:v>11513060</x:v>
      </x:c>
      <x:c r="F713" s="66" t="str">
        <x:v>AKUNTANSI</x:v>
      </x:c>
      <x:c r="G713" s="66" t="str">
        <x:v>Diploma Tiga</x:v>
      </x:c>
      <x:c r="H713" s="87" t="n">
        <x:v>20</x:v>
      </x:c>
      <x:c r="I713" s="87" t="n">
        <x:v>28</x:v>
      </x:c>
      <x:c r="J713" s="68" t="n">
        <x:f>IFERROR(H713/I713,"")</x:f>
        <x:v>0.7142857142857143</x:v>
      </x:c>
      <x:c r="K713" s="69" t="n">
        <x:f>IFERROR(I713/H713,"")</x:f>
        <x:v>1.4</x:v>
      </x:c>
      <x:c r="L713" s="66" t="str">
        <x:f>IF(K713="","","1 : "&amp;TEXT(K713,"0.0"))</x:f>
        <x:v>1 : 1.4</x:v>
      </x:c>
      <x:c r="M713" s="66" t="str">
        <x:f>IF(J713="","Baru/Tanpa Data",IF(J713&lt;='Catatan &amp; Sumber'!$B$14,"Sangat Ketat",IF(J713&lt;='Catatan &amp; Sumber'!$B$15,"Ketat",IF(J713&lt;='Catatan &amp; Sumber'!$B$16,"Sedang","Relatif Longgar"))))</x:f>
        <x:v>Relatif Longgar</x:v>
      </x:c>
      <x:c r="N713" s="66" t="str">
        <x:v>Tidak Ada</x:v>
      </x:c>
      <x:c r="O713" s="66" t="str">
        <x:v>Jambi</x:v>
      </x:c>
      <x:c r="P713" s="66" t="str">
        <x:v>Kabupaten Muaro Jambi</x:v>
      </x:c>
      <x:c r="Q713" s="66" t="str">
        <x:v>https://snpmb.id/snbp/daya-tampung-snbp</x:v>
      </x:c>
      <x:c r="R713" s="66" t="str">
        <x:v>https://sidatagrun-public-1076756628210.asia-southeast2.run.app/ptn_sn.php?ptn=151</x:v>
      </x:c>
    </x:row>
    <x:row r="714">
      <x:c r="A714" s="87" t="n">
        <x:v>4250</x:v>
      </x:c>
      <x:c r="B714" s="87" t="n">
        <x:v>151</x:v>
      </x:c>
      <x:c r="C714" s="66" t="str">
        <x:v>UNIVERSITAS JAMBI</x:v>
      </x:c>
      <x:c r="D714" s="66" t="str">
        <x:v>PTN Akademik</x:v>
      </x:c>
      <x:c r="E714" s="66" t="str">
        <x:v>11513061</x:v>
      </x:c>
      <x:c r="F714" s="66" t="str">
        <x:v>AGROBISNIS</x:v>
      </x:c>
      <x:c r="G714" s="66" t="str">
        <x:v>Diploma Tiga</x:v>
      </x:c>
      <x:c r="H714" s="87" t="n">
        <x:v>10</x:v>
      </x:c>
      <x:c r="I714" s="87" t="n">
        <x:v>11</x:v>
      </x:c>
      <x:c r="J714" s="68" t="n">
        <x:f>IFERROR(H714/I714,"")</x:f>
        <x:v>0.9090909090909091</x:v>
      </x:c>
      <x:c r="K714" s="69" t="n">
        <x:f>IFERROR(I714/H714,"")</x:f>
        <x:v>1.1</x:v>
      </x:c>
      <x:c r="L714" s="66" t="str">
        <x:f>IF(K714="","","1 : "&amp;TEXT(K714,"0.0"))</x:f>
        <x:v>1 : 1.1</x:v>
      </x:c>
      <x:c r="M714" s="66" t="str">
        <x:f>IF(J714="","Baru/Tanpa Data",IF(J714&lt;='Catatan &amp; Sumber'!$B$14,"Sangat Ketat",IF(J714&lt;='Catatan &amp; Sumber'!$B$15,"Ketat",IF(J714&lt;='Catatan &amp; Sumber'!$B$16,"Sedang","Relatif Longgar"))))</x:f>
        <x:v>Relatif Longgar</x:v>
      </x:c>
      <x:c r="N714" s="66" t="str">
        <x:v>Tidak Ada</x:v>
      </x:c>
      <x:c r="O714" s="66" t="str">
        <x:v>Jambi</x:v>
      </x:c>
      <x:c r="P714" s="66" t="str">
        <x:v>Kabupaten Muaro Jambi</x:v>
      </x:c>
      <x:c r="Q714" s="66" t="str">
        <x:v>https://snpmb.id/snbp/daya-tampung-snbp</x:v>
      </x:c>
      <x:c r="R714" s="66" t="str">
        <x:v>https://sidatagrun-public-1076756628210.asia-southeast2.run.app/ptn_sn.php?ptn=151</x:v>
      </x:c>
    </x:row>
    <x:row r="715">
      <x:c r="A715" s="87" t="n">
        <x:v>4503</x:v>
      </x:c>
      <x:c r="B715" s="87" t="n">
        <x:v>151</x:v>
      </x:c>
      <x:c r="C715" s="66" t="str">
        <x:v>UNIVERSITAS JAMBI</x:v>
      </x:c>
      <x:c r="D715" s="66" t="str">
        <x:v>PTN Akademik</x:v>
      </x:c>
      <x:c r="E715" s="66" t="str">
        <x:v>11513062</x:v>
      </x:c>
      <x:c r="F715" s="66" t="str">
        <x:v>TEKNOLOGI HASIL PERIKANAN</x:v>
      </x:c>
      <x:c r="G715" s="66" t="str">
        <x:v>Diploma Tiga</x:v>
      </x:c>
      <x:c r="H715" s="87" t="n">
        <x:v>8</x:v>
      </x:c>
      <x:c r="I715" s="87" t="n">
        <x:v>6</x:v>
      </x:c>
      <x:c r="J715" s="68" t="n">
        <x:f>IFERROR(H715/I715,"")</x:f>
        <x:v>1.3333333333333333</x:v>
      </x:c>
      <x:c r="K715" s="69" t="n">
        <x:f>IFERROR(I715/H715,"")</x:f>
        <x:v>0.75</x:v>
      </x:c>
      <x:c r="L715" s="66" t="str">
        <x:f>IF(K715="","","1 : "&amp;TEXT(K715,"0.0"))</x:f>
        <x:v>1 : 0.8</x:v>
      </x:c>
      <x:c r="M715" s="66" t="str">
        <x:f>IF(J715="","Baru/Tanpa Data",IF(J715&lt;='Catatan &amp; Sumber'!$B$14,"Sangat Ketat",IF(J715&lt;='Catatan &amp; Sumber'!$B$15,"Ketat",IF(J715&lt;='Catatan &amp; Sumber'!$B$16,"Sedang","Relatif Longgar"))))</x:f>
        <x:v>Relatif Longgar</x:v>
      </x:c>
      <x:c r="N715" s="66" t="str">
        <x:v>Tidak Ada</x:v>
      </x:c>
      <x:c r="O715" s="66" t="str">
        <x:v>Jambi</x:v>
      </x:c>
      <x:c r="P715" s="66" t="str">
        <x:v>Kabupaten Muaro Jambi</x:v>
      </x:c>
      <x:c r="Q715" s="66" t="str">
        <x:v>https://snpmb.id/snbp/daya-tampung-snbp</x:v>
      </x:c>
      <x:c r="R715" s="66" t="str">
        <x:v>https://sidatagrun-public-1076756628210.asia-southeast2.run.app/ptn_sn.php?ptn=151</x:v>
      </x:c>
    </x:row>
    <x:row r="716">
      <x:c r="A716" s="87" t="n">
        <x:v>4373</x:v>
      </x:c>
      <x:c r="B716" s="87" t="n">
        <x:v>151</x:v>
      </x:c>
      <x:c r="C716" s="66" t="str">
        <x:v>UNIVERSITAS JAMBI</x:v>
      </x:c>
      <x:c r="D716" s="66" t="str">
        <x:v>PTN Akademik</x:v>
      </x:c>
      <x:c r="E716" s="66" t="str">
        <x:v>11513063</x:v>
      </x:c>
      <x:c r="F716" s="66" t="str">
        <x:v>KESEHATAN HEWAN</x:v>
      </x:c>
      <x:c r="G716" s="66" t="str">
        <x:v>Diploma Tiga</x:v>
      </x:c>
      <x:c r="H716" s="87" t="n">
        <x:v>28</x:v>
      </x:c>
      <x:c r="I716" s="87" t="n">
        <x:v>26</x:v>
      </x:c>
      <x:c r="J716" s="68" t="n">
        <x:f>IFERROR(H716/I716,"")</x:f>
        <x:v>1.0769230769230769</x:v>
      </x:c>
      <x:c r="K716" s="69" t="n">
        <x:f>IFERROR(I716/H716,"")</x:f>
        <x:v>0.9285714285714286</x:v>
      </x:c>
      <x:c r="L716" s="66" t="str">
        <x:f>IF(K716="","","1 : "&amp;TEXT(K716,"0.0"))</x:f>
        <x:v>1 : 0.9</x:v>
      </x:c>
      <x:c r="M716" s="66" t="str">
        <x:f>IF(J716="","Baru/Tanpa Data",IF(J716&lt;='Catatan &amp; Sumber'!$B$14,"Sangat Ketat",IF(J716&lt;='Catatan &amp; Sumber'!$B$15,"Ketat",IF(J716&lt;='Catatan &amp; Sumber'!$B$16,"Sedang","Relatif Longgar"))))</x:f>
        <x:v>Relatif Longgar</x:v>
      </x:c>
      <x:c r="N716" s="66" t="str">
        <x:v>Tidak Ada</x:v>
      </x:c>
      <x:c r="O716" s="66" t="str">
        <x:v>Jambi</x:v>
      </x:c>
      <x:c r="P716" s="66" t="str">
        <x:v>Kabupaten Muaro Jambi</x:v>
      </x:c>
      <x:c r="Q716" s="66" t="str">
        <x:v>https://snpmb.id/snbp/daya-tampung-snbp</x:v>
      </x:c>
      <x:c r="R716" s="66" t="str">
        <x:v>https://sidatagrun-public-1076756628210.asia-southeast2.run.app/ptn_sn.php?ptn=151</x:v>
      </x:c>
    </x:row>
    <x:row r="717">
      <x:c r="A717" s="87" t="n">
        <x:v>4037</x:v>
      </x:c>
      <x:c r="B717" s="87" t="n">
        <x:v>151</x:v>
      </x:c>
      <x:c r="C717" s="66" t="str">
        <x:v>UNIVERSITAS JAMBI</x:v>
      </x:c>
      <x:c r="D717" s="66" t="str">
        <x:v>PTN Akademik</x:v>
      </x:c>
      <x:c r="E717" s="66" t="str">
        <x:v>11513064</x:v>
      </x:c>
      <x:c r="F717" s="66" t="str">
        <x:v>ANALIS KIMIA</x:v>
      </x:c>
      <x:c r="G717" s="66" t="str">
        <x:v>Diploma Tiga</x:v>
      </x:c>
      <x:c r="H717" s="87" t="n">
        <x:v>10</x:v>
      </x:c>
      <x:c r="I717" s="87" t="n">
        <x:v>14</x:v>
      </x:c>
      <x:c r="J717" s="68" t="n">
        <x:f>IFERROR(H717/I717,"")</x:f>
        <x:v>0.7142857142857143</x:v>
      </x:c>
      <x:c r="K717" s="69" t="n">
        <x:f>IFERROR(I717/H717,"")</x:f>
        <x:v>1.4</x:v>
      </x:c>
      <x:c r="L717" s="66" t="str">
        <x:f>IF(K717="","","1 : "&amp;TEXT(K717,"0.0"))</x:f>
        <x:v>1 : 1.4</x:v>
      </x:c>
      <x:c r="M717" s="66" t="str">
        <x:f>IF(J717="","Baru/Tanpa Data",IF(J717&lt;='Catatan &amp; Sumber'!$B$14,"Sangat Ketat",IF(J717&lt;='Catatan &amp; Sumber'!$B$15,"Ketat",IF(J717&lt;='Catatan &amp; Sumber'!$B$16,"Sedang","Relatif Longgar"))))</x:f>
        <x:v>Relatif Longgar</x:v>
      </x:c>
      <x:c r="N717" s="66" t="str">
        <x:v>Tidak Ada</x:v>
      </x:c>
      <x:c r="O717" s="66" t="str">
        <x:v>Jambi</x:v>
      </x:c>
      <x:c r="P717" s="66" t="str">
        <x:v>Kabupaten Muaro Jambi</x:v>
      </x:c>
      <x:c r="Q717" s="66" t="str">
        <x:v>https://snpmb.id/snbp/daya-tampung-snbp</x:v>
      </x:c>
      <x:c r="R717" s="66" t="str">
        <x:v>https://sidatagrun-public-1076756628210.asia-southeast2.run.app/ptn_sn.php?ptn=151</x:v>
      </x:c>
    </x:row>
    <x:row r="718">
      <x:c r="A718" s="87" t="n">
        <x:v>3497</x:v>
      </x:c>
      <x:c r="B718" s="87" t="n">
        <x:v>151</x:v>
      </x:c>
      <x:c r="C718" s="66" t="str">
        <x:v>UNIVERSITAS JAMBI</x:v>
      </x:c>
      <x:c r="D718" s="66" t="str">
        <x:v>PTN Akademik</x:v>
      </x:c>
      <x:c r="E718" s="66" t="str">
        <x:v>11513065</x:v>
      </x:c>
      <x:c r="F718" s="66" t="str">
        <x:v>PERPAJAKAN</x:v>
      </x:c>
      <x:c r="G718" s="66" t="str">
        <x:v>Diploma Tiga</x:v>
      </x:c>
      <x:c r="H718" s="87" t="n">
        <x:v>20</x:v>
      </x:c>
      <x:c r="I718" s="87" t="n">
        <x:v>46</x:v>
      </x:c>
      <x:c r="J718" s="68" t="n">
        <x:f>IFERROR(H718/I718,"")</x:f>
        <x:v>0.43478260869565216</x:v>
      </x:c>
      <x:c r="K718" s="69" t="n">
        <x:f>IFERROR(I718/H718,"")</x:f>
        <x:v>2.3</x:v>
      </x:c>
      <x:c r="L718" s="66" t="str">
        <x:f>IF(K718="","","1 : "&amp;TEXT(K718,"0.0"))</x:f>
        <x:v>1 : 2.3</x:v>
      </x:c>
      <x:c r="M718" s="66" t="str">
        <x:f>IF(J718="","Baru/Tanpa Data",IF(J718&lt;='Catatan &amp; Sumber'!$B$14,"Sangat Ketat",IF(J718&lt;='Catatan &amp; Sumber'!$B$15,"Ketat",IF(J718&lt;='Catatan &amp; Sumber'!$B$16,"Sedang","Relatif Longgar"))))</x:f>
        <x:v>Relatif Longgar</x:v>
      </x:c>
      <x:c r="N718" s="66" t="str">
        <x:v>Tidak Ada</x:v>
      </x:c>
      <x:c r="O718" s="66" t="str">
        <x:v>Jambi</x:v>
      </x:c>
      <x:c r="P718" s="66" t="str">
        <x:v>Kabupaten Muaro Jambi</x:v>
      </x:c>
      <x:c r="Q718" s="66" t="str">
        <x:v>https://snpmb.id/snbp/daya-tampung-snbp</x:v>
      </x:c>
      <x:c r="R718" s="66" t="str">
        <x:v>https://sidatagrun-public-1076756628210.asia-southeast2.run.app/ptn_sn.php?ptn=151</x:v>
      </x:c>
    </x:row>
    <x:row r="719">
      <x:c r="A719" s="87" t="n">
        <x:v>3938</x:v>
      </x:c>
      <x:c r="B719" s="87" t="n">
        <x:v>151</x:v>
      </x:c>
      <x:c r="C719" s="66" t="str">
        <x:v>UNIVERSITAS JAMBI</x:v>
      </x:c>
      <x:c r="D719" s="66" t="str">
        <x:v>PTN Akademik</x:v>
      </x:c>
      <x:c r="E719" s="66" t="str">
        <x:v>11513066</x:v>
      </x:c>
      <x:c r="F719" s="66" t="str">
        <x:v>MANAJEMEN PEMASARAN</x:v>
      </x:c>
      <x:c r="G719" s="66" t="str">
        <x:v>Diploma Tiga</x:v>
      </x:c>
      <x:c r="H719" s="87" t="n">
        <x:v>20</x:v>
      </x:c>
      <x:c r="I719" s="87" t="n">
        <x:v>31</x:v>
      </x:c>
      <x:c r="J719" s="68" t="n">
        <x:f>IFERROR(H719/I719,"")</x:f>
        <x:v>0.6451612903225806</x:v>
      </x:c>
      <x:c r="K719" s="69" t="n">
        <x:f>IFERROR(I719/H719,"")</x:f>
        <x:v>1.55</x:v>
      </x:c>
      <x:c r="L719" s="66" t="str">
        <x:f>IF(K719="","","1 : "&amp;TEXT(K719,"0.0"))</x:f>
        <x:v>1 : 1.6</x:v>
      </x:c>
      <x:c r="M719" s="66" t="str">
        <x:f>IF(J719="","Baru/Tanpa Data",IF(J719&lt;='Catatan &amp; Sumber'!$B$14,"Sangat Ketat",IF(J719&lt;='Catatan &amp; Sumber'!$B$15,"Ketat",IF(J719&lt;='Catatan &amp; Sumber'!$B$16,"Sedang","Relatif Longgar"))))</x:f>
        <x:v>Relatif Longgar</x:v>
      </x:c>
      <x:c r="N719" s="66" t="str">
        <x:v>Tidak Ada</x:v>
      </x:c>
      <x:c r="O719" s="66" t="str">
        <x:v>Jambi</x:v>
      </x:c>
      <x:c r="P719" s="66" t="str">
        <x:v>Kabupaten Muaro Jambi</x:v>
      </x:c>
      <x:c r="Q719" s="66" t="str">
        <x:v>https://snpmb.id/snbp/daya-tampung-snbp</x:v>
      </x:c>
      <x:c r="R719" s="66" t="str">
        <x:v>https://sidatagrun-public-1076756628210.asia-southeast2.run.app/ptn_sn.php?ptn=151</x:v>
      </x:c>
    </x:row>
    <x:row r="720">
      <x:c r="A720" s="87" t="n">
        <x:v>4170</x:v>
      </x:c>
      <x:c r="B720" s="87" t="n">
        <x:v>151</x:v>
      </x:c>
      <x:c r="C720" s="66" t="str">
        <x:v>UNIVERSITAS JAMBI</x:v>
      </x:c>
      <x:c r="D720" s="66" t="str">
        <x:v>PTN Akademik</x:v>
      </x:c>
      <x:c r="E720" s="66" t="str">
        <x:v>11513067</x:v>
      </x:c>
      <x:c r="F720" s="66" t="str">
        <x:v>KIMIA INDUSTRI</x:v>
      </x:c>
      <x:c r="G720" s="66" t="str">
        <x:v>Diploma Tiga</x:v>
      </x:c>
      <x:c r="H720" s="87" t="n">
        <x:v>10</x:v>
      </x:c>
      <x:c r="I720" s="87" t="n">
        <x:v>12</x:v>
      </x:c>
      <x:c r="J720" s="68" t="n">
        <x:f>IFERROR(H720/I720,"")</x:f>
        <x:v>0.8333333333333334</x:v>
      </x:c>
      <x:c r="K720" s="69" t="n">
        <x:f>IFERROR(I720/H720,"")</x:f>
        <x:v>1.2</x:v>
      </x:c>
      <x:c r="L720" s="66" t="str">
        <x:f>IF(K720="","","1 : "&amp;TEXT(K720,"0.0"))</x:f>
        <x:v>1 : 1.2</x:v>
      </x:c>
      <x:c r="M720" s="66" t="str">
        <x:f>IF(J720="","Baru/Tanpa Data",IF(J720&lt;='Catatan &amp; Sumber'!$B$14,"Sangat Ketat",IF(J720&lt;='Catatan &amp; Sumber'!$B$15,"Ketat",IF(J720&lt;='Catatan &amp; Sumber'!$B$16,"Sedang","Relatif Longgar"))))</x:f>
        <x:v>Relatif Longgar</x:v>
      </x:c>
      <x:c r="N720" s="66" t="str">
        <x:v>Tidak Ada</x:v>
      </x:c>
      <x:c r="O720" s="66" t="str">
        <x:v>Jambi</x:v>
      </x:c>
      <x:c r="P720" s="66" t="str">
        <x:v>Kabupaten Muaro Jambi</x:v>
      </x:c>
      <x:c r="Q720" s="66" t="str">
        <x:v>https://snpmb.id/snbp/daya-tampung-snbp</x:v>
      </x:c>
      <x:c r="R720" s="66" t="str">
        <x:v>https://sidatagrun-public-1076756628210.asia-southeast2.run.app/ptn_sn.php?ptn=151</x:v>
      </x:c>
    </x:row>
    <x:row r="721">
      <x:c r="A721" s="87" t="n">
        <x:v>3978</x:v>
      </x:c>
      <x:c r="B721" s="87" t="n">
        <x:v>152</x:v>
      </x:c>
      <x:c r="C721" s="66" t="str">
        <x:v>UIN SULTAN THAHA SAIFUDDIN JAMBI</x:v>
      </x:c>
      <x:c r="D721" s="66" t="str">
        <x:v>PTKIN</x:v>
      </x:c>
      <x:c r="E721" s="66" t="str">
        <x:v>11521001</x:v>
      </x:c>
      <x:c r="F721" s="66" t="str">
        <x:v>SISTEM INFORMASI</x:v>
      </x:c>
      <x:c r="G721" s="66" t="str">
        <x:v>Sarjana</x:v>
      </x:c>
      <x:c r="H721" s="87" t="n">
        <x:v>130</x:v>
      </x:c>
      <x:c r="I721" s="87" t="n">
        <x:v>193</x:v>
      </x:c>
      <x:c r="J721" s="68" t="n">
        <x:f>IFERROR(H721/I721,"")</x:f>
        <x:v>0.6735751295336787</x:v>
      </x:c>
      <x:c r="K721" s="69" t="n">
        <x:f>IFERROR(I721/H721,"")</x:f>
        <x:v>1.4846153846153847</x:v>
      </x:c>
      <x:c r="L721" s="66" t="str">
        <x:f>IF(K721="","","1 : "&amp;TEXT(K721,"0.0"))</x:f>
        <x:v>1 : 1.5</x:v>
      </x:c>
      <x:c r="M721" s="66" t="str">
        <x:f>IF(J721="","Baru/Tanpa Data",IF(J721&lt;='Catatan &amp; Sumber'!$B$14,"Sangat Ketat",IF(J721&lt;='Catatan &amp; Sumber'!$B$15,"Ketat",IF(J721&lt;='Catatan &amp; Sumber'!$B$16,"Sedang","Relatif Longgar"))))</x:f>
        <x:v>Relatif Longgar</x:v>
      </x:c>
      <x:c r="N721" s="66" t="str">
        <x:v>Tidak Ada</x:v>
      </x:c>
      <x:c r="O721" s="66" t="str">
        <x:v>Jambi</x:v>
      </x:c>
      <x:c r="P721" s="66" t="str">
        <x:v>Kota Jambi</x:v>
      </x:c>
      <x:c r="Q721" s="66" t="str">
        <x:v>https://snpmb.id/snbp/daya-tampung-snbp</x:v>
      </x:c>
      <x:c r="R721" s="66" t="str">
        <x:v>https://sidatagrun-public-1076756628210.asia-southeast2.run.app/ptn_sn.php?ptn=152</x:v>
      </x:c>
    </x:row>
    <x:row r="722">
      <x:c r="A722" s="87" t="n">
        <x:v>4652</x:v>
      </x:c>
      <x:c r="B722" s="87" t="n">
        <x:v>152</x:v>
      </x:c>
      <x:c r="C722" s="66" t="str">
        <x:v>UIN SULTAN THAHA SAIFUDDIN JAMBI</x:v>
      </x:c>
      <x:c r="D722" s="66" t="str">
        <x:v>PTKIN</x:v>
      </x:c>
      <x:c r="E722" s="66" t="str">
        <x:v>11521002</x:v>
      </x:c>
      <x:c r="F722" s="66" t="str">
        <x:v>KIMIA</x:v>
      </x:c>
      <x:c r="G722" s="66" t="str">
        <x:v>Sarjana</x:v>
      </x:c>
      <x:c r="H722" s="87" t="n">
        <x:v>12</x:v>
      </x:c>
      <x:c r="I722" s="87" t="n">
        <x:v>6</x:v>
      </x:c>
      <x:c r="J722" s="68" t="n">
        <x:f>IFERROR(H722/I722,"")</x:f>
        <x:v>2</x:v>
      </x:c>
      <x:c r="K722" s="69" t="n">
        <x:f>IFERROR(I722/H722,"")</x:f>
        <x:v>0.5</x:v>
      </x:c>
      <x:c r="L722" s="66" t="str">
        <x:f>IF(K722="","","1 : "&amp;TEXT(K722,"0.0"))</x:f>
        <x:v>1 : 0.5</x:v>
      </x:c>
      <x:c r="M722" s="66" t="str">
        <x:f>IF(J722="","Baru/Tanpa Data",IF(J722&lt;='Catatan &amp; Sumber'!$B$14,"Sangat Ketat",IF(J722&lt;='Catatan &amp; Sumber'!$B$15,"Ketat",IF(J722&lt;='Catatan &amp; Sumber'!$B$16,"Sedang","Relatif Longgar"))))</x:f>
        <x:v>Relatif Longgar</x:v>
      </x:c>
      <x:c r="N722" s="66" t="str">
        <x:v>Tidak Ada</x:v>
      </x:c>
      <x:c r="O722" s="66" t="str">
        <x:v>Jambi</x:v>
      </x:c>
      <x:c r="P722" s="66" t="str">
        <x:v>Kota Jambi</x:v>
      </x:c>
      <x:c r="Q722" s="66" t="str">
        <x:v>https://snpmb.id/snbp/daya-tampung-snbp</x:v>
      </x:c>
      <x:c r="R722" s="66" t="str">
        <x:v>https://sidatagrun-public-1076756628210.asia-southeast2.run.app/ptn_sn.php?ptn=152</x:v>
      </x:c>
    </x:row>
    <x:row r="723">
      <x:c r="A723" s="87" t="n">
        <x:v>4616</x:v>
      </x:c>
      <x:c r="B723" s="87" t="n">
        <x:v>152</x:v>
      </x:c>
      <x:c r="C723" s="66" t="str">
        <x:v>UIN SULTAN THAHA SAIFUDDIN JAMBI</x:v>
      </x:c>
      <x:c r="D723" s="66" t="str">
        <x:v>PTKIN</x:v>
      </x:c>
      <x:c r="E723" s="66" t="str">
        <x:v>11521003</x:v>
      </x:c>
      <x:c r="F723" s="66" t="str">
        <x:v>FISIKA</x:v>
      </x:c>
      <x:c r="G723" s="66" t="str">
        <x:v>Sarjana</x:v>
      </x:c>
      <x:c r="H723" s="87" t="n">
        <x:v>12</x:v>
      </x:c>
      <x:c r="I723" s="87" t="n">
        <x:v>7</x:v>
      </x:c>
      <x:c r="J723" s="68" t="n">
        <x:f>IFERROR(H723/I723,"")</x:f>
        <x:v>1.7142857142857142</x:v>
      </x:c>
      <x:c r="K723" s="69" t="n">
        <x:f>IFERROR(I723/H723,"")</x:f>
        <x:v>0.5833333333333334</x:v>
      </x:c>
      <x:c r="L723" s="66" t="str">
        <x:f>IF(K723="","","1 : "&amp;TEXT(K723,"0.0"))</x:f>
        <x:v>1 : 0.6</x:v>
      </x:c>
      <x:c r="M723" s="66" t="str">
        <x:f>IF(J723="","Baru/Tanpa Data",IF(J723&lt;='Catatan &amp; Sumber'!$B$14,"Sangat Ketat",IF(J723&lt;='Catatan &amp; Sumber'!$B$15,"Ketat",IF(J723&lt;='Catatan &amp; Sumber'!$B$16,"Sedang","Relatif Longgar"))))</x:f>
        <x:v>Relatif Longgar</x:v>
      </x:c>
      <x:c r="N723" s="66" t="str">
        <x:v>Tidak Ada</x:v>
      </x:c>
      <x:c r="O723" s="66" t="str">
        <x:v>Jambi</x:v>
      </x:c>
      <x:c r="P723" s="66" t="str">
        <x:v>Kota Jambi</x:v>
      </x:c>
      <x:c r="Q723" s="66" t="str">
        <x:v>https://snpmb.id/snbp/daya-tampung-snbp</x:v>
      </x:c>
      <x:c r="R723" s="66" t="str">
        <x:v>https://sidatagrun-public-1076756628210.asia-southeast2.run.app/ptn_sn.php?ptn=152</x:v>
      </x:c>
    </x:row>
    <x:row r="724">
      <x:c r="A724" s="87" t="n">
        <x:v>4085</x:v>
      </x:c>
      <x:c r="B724" s="87" t="n">
        <x:v>152</x:v>
      </x:c>
      <x:c r="C724" s="66" t="str">
        <x:v>UIN SULTAN THAHA SAIFUDDIN JAMBI</x:v>
      </x:c>
      <x:c r="D724" s="66" t="str">
        <x:v>PTKIN</x:v>
      </x:c>
      <x:c r="E724" s="66" t="str">
        <x:v>11521004</x:v>
      </x:c>
      <x:c r="F724" s="66" t="str">
        <x:v>STATISTIKA</x:v>
      </x:c>
      <x:c r="G724" s="66" t="str">
        <x:v>Sarjana</x:v>
      </x:c>
      <x:c r="H724" s="87" t="n">
        <x:v>12</x:v>
      </x:c>
      <x:c r="I724" s="87" t="n">
        <x:v>16</x:v>
      </x:c>
      <x:c r="J724" s="68" t="n">
        <x:f>IFERROR(H724/I724,"")</x:f>
        <x:v>0.75</x:v>
      </x:c>
      <x:c r="K724" s="69" t="n">
        <x:f>IFERROR(I724/H724,"")</x:f>
        <x:v>1.3333333333333333</x:v>
      </x:c>
      <x:c r="L724" s="66" t="str">
        <x:f>IF(K724="","","1 : "&amp;TEXT(K724,"0.0"))</x:f>
        <x:v>1 : 1.3</x:v>
      </x:c>
      <x:c r="M724" s="66" t="str">
        <x:f>IF(J724="","Baru/Tanpa Data",IF(J724&lt;='Catatan &amp; Sumber'!$B$14,"Sangat Ketat",IF(J724&lt;='Catatan &amp; Sumber'!$B$15,"Ketat",IF(J724&lt;='Catatan &amp; Sumber'!$B$16,"Sedang","Relatif Longgar"))))</x:f>
        <x:v>Relatif Longgar</x:v>
      </x:c>
      <x:c r="N724" s="66" t="str">
        <x:v>Tidak Ada</x:v>
      </x:c>
      <x:c r="O724" s="66" t="str">
        <x:v>Jambi</x:v>
      </x:c>
      <x:c r="P724" s="66" t="str">
        <x:v>Kota Jambi</x:v>
      </x:c>
      <x:c r="Q724" s="66" t="str">
        <x:v>https://snpmb.id/snbp/daya-tampung-snbp</x:v>
      </x:c>
      <x:c r="R724" s="66" t="str">
        <x:v>https://sidatagrun-public-1076756628210.asia-southeast2.run.app/ptn_sn.php?ptn=152</x:v>
      </x:c>
    </x:row>
    <x:row r="725">
      <x:c r="A725" s="87" t="n">
        <x:v>4170</x:v>
      </x:c>
      <x:c r="B725" s="87" t="n">
        <x:v>152</x:v>
      </x:c>
      <x:c r="C725" s="66" t="str">
        <x:v>UIN SULTAN THAHA SAIFUDDIN JAMBI</x:v>
      </x:c>
      <x:c r="D725" s="66" t="str">
        <x:v>PTKIN</x:v>
      </x:c>
      <x:c r="E725" s="66" t="str">
        <x:v>11521005</x:v>
      </x:c>
      <x:c r="F725" s="66" t="str">
        <x:v>BIOLOGI</x:v>
      </x:c>
      <x:c r="G725" s="66" t="str">
        <x:v>Sarjana</x:v>
      </x:c>
      <x:c r="H725" s="87" t="n">
        <x:v>25</x:v>
      </x:c>
      <x:c r="I725" s="87" t="n">
        <x:v>30</x:v>
      </x:c>
      <x:c r="J725" s="68" t="n">
        <x:f>IFERROR(H725/I725,"")</x:f>
        <x:v>0.8333333333333334</x:v>
      </x:c>
      <x:c r="K725" s="69" t="n">
        <x:f>IFERROR(I725/H725,"")</x:f>
        <x:v>1.2</x:v>
      </x:c>
      <x:c r="L725" s="66" t="str">
        <x:f>IF(K725="","","1 : "&amp;TEXT(K725,"0.0"))</x:f>
        <x:v>1 : 1.2</x:v>
      </x:c>
      <x:c r="M725" s="66" t="str">
        <x:f>IF(J725="","Baru/Tanpa Data",IF(J725&lt;='Catatan &amp; Sumber'!$B$14,"Sangat Ketat",IF(J725&lt;='Catatan &amp; Sumber'!$B$15,"Ketat",IF(J725&lt;='Catatan &amp; Sumber'!$B$16,"Sedang","Relatif Longgar"))))</x:f>
        <x:v>Relatif Longgar</x:v>
      </x:c>
      <x:c r="N725" s="66" t="str">
        <x:v>Tidak Ada</x:v>
      </x:c>
      <x:c r="O725" s="66" t="str">
        <x:v>Jambi</x:v>
      </x:c>
      <x:c r="P725" s="66" t="str">
        <x:v>Kota Jambi</x:v>
      </x:c>
      <x:c r="Q725" s="66" t="str">
        <x:v>https://snpmb.id/snbp/daya-tampung-snbp</x:v>
      </x:c>
      <x:c r="R725" s="66" t="str">
        <x:v>https://sidatagrun-public-1076756628210.asia-southeast2.run.app/ptn_sn.php?ptn=152</x:v>
      </x:c>
    </x:row>
    <x:row r="726">
      <x:c r="A726" s="87" t="n">
        <x:v>4463</x:v>
      </x:c>
      <x:c r="B726" s="87" t="n">
        <x:v>152</x:v>
      </x:c>
      <x:c r="C726" s="66" t="str">
        <x:v>UIN SULTAN THAHA SAIFUDDIN JAMBI</x:v>
      </x:c>
      <x:c r="D726" s="66" t="str">
        <x:v>PTKIN</x:v>
      </x:c>
      <x:c r="E726" s="66" t="str">
        <x:v>11521006</x:v>
      </x:c>
      <x:c r="F726" s="66" t="str">
        <x:v>SAINS INFORMASI GEOGRAFI</x:v>
      </x:c>
      <x:c r="G726" s="66" t="str">
        <x:v>Sarjana</x:v>
      </x:c>
      <x:c r="H726" s="87" t="n">
        <x:v>25</x:v>
      </x:c>
      <x:c r="I726" s="87" t="n">
        <x:v>20</x:v>
      </x:c>
      <x:c r="J726" s="68" t="n">
        <x:f>IFERROR(H726/I726,"")</x:f>
        <x:v>1.25</x:v>
      </x:c>
      <x:c r="K726" s="69" t="n">
        <x:f>IFERROR(I726/H726,"")</x:f>
        <x:v>0.8</x:v>
      </x:c>
      <x:c r="L726" s="66" t="str">
        <x:f>IF(K726="","","1 : "&amp;TEXT(K726,"0.0"))</x:f>
        <x:v>1 : 0.8</x:v>
      </x:c>
      <x:c r="M726" s="66" t="str">
        <x:f>IF(J726="","Baru/Tanpa Data",IF(J726&lt;='Catatan &amp; Sumber'!$B$14,"Sangat Ketat",IF(J726&lt;='Catatan &amp; Sumber'!$B$15,"Ketat",IF(J726&lt;='Catatan &amp; Sumber'!$B$16,"Sedang","Relatif Longgar"))))</x:f>
        <x:v>Relatif Longgar</x:v>
      </x:c>
      <x:c r="N726" s="66" t="str">
        <x:v>Tidak Ada</x:v>
      </x:c>
      <x:c r="O726" s="66" t="str">
        <x:v>Jambi</x:v>
      </x:c>
      <x:c r="P726" s="66" t="str">
        <x:v>Kota Jambi</x:v>
      </x:c>
      <x:c r="Q726" s="66" t="str">
        <x:v>https://snpmb.id/snbp/daya-tampung-snbp</x:v>
      </x:c>
      <x:c r="R726" s="66" t="str">
        <x:v>https://sidatagrun-public-1076756628210.asia-southeast2.run.app/ptn_sn.php?ptn=152</x:v>
      </x:c>
    </x:row>
    <x:row r="727">
      <x:c r="A727" s="87" t="n">
        <x:v>4494</x:v>
      </x:c>
      <x:c r="B727" s="87" t="n">
        <x:v>152</x:v>
      </x:c>
      <x:c r="C727" s="66" t="str">
        <x:v>UIN SULTAN THAHA SAIFUDDIN JAMBI</x:v>
      </x:c>
      <x:c r="D727" s="66" t="str">
        <x:v>PTKIN</x:v>
      </x:c>
      <x:c r="E727" s="66" t="str">
        <x:v>11521007</x:v>
      </x:c>
      <x:c r="F727" s="66" t="str">
        <x:v>ARSITEKTUR</x:v>
      </x:c>
      <x:c r="G727" s="66" t="str">
        <x:v>Sarjana</x:v>
      </x:c>
      <x:c r="H727" s="87" t="n">
        <x:v>25</x:v>
      </x:c>
      <x:c r="I727" s="87" t="n">
        <x:v>19</x:v>
      </x:c>
      <x:c r="J727" s="68" t="n">
        <x:f>IFERROR(H727/I727,"")</x:f>
        <x:v>1.3157894736842106</x:v>
      </x:c>
      <x:c r="K727" s="69" t="n">
        <x:f>IFERROR(I727/H727,"")</x:f>
        <x:v>0.76</x:v>
      </x:c>
      <x:c r="L727" s="66" t="str">
        <x:f>IF(K727="","","1 : "&amp;TEXT(K727,"0.0"))</x:f>
        <x:v>1 : 0.8</x:v>
      </x:c>
      <x:c r="M727" s="66" t="str">
        <x:f>IF(J727="","Baru/Tanpa Data",IF(J727&lt;='Catatan &amp; Sumber'!$B$14,"Sangat Ketat",IF(J727&lt;='Catatan &amp; Sumber'!$B$15,"Ketat",IF(J727&lt;='Catatan &amp; Sumber'!$B$16,"Sedang","Relatif Longgar"))))</x:f>
        <x:v>Relatif Longgar</x:v>
      </x:c>
      <x:c r="N727" s="66" t="str">
        <x:v>Tidak Ada</x:v>
      </x:c>
      <x:c r="O727" s="66" t="str">
        <x:v>Jambi</x:v>
      </x:c>
      <x:c r="P727" s="66" t="str">
        <x:v>Kota Jambi</x:v>
      </x:c>
      <x:c r="Q727" s="66" t="str">
        <x:v>https://snpmb.id/snbp/daya-tampung-snbp</x:v>
      </x:c>
      <x:c r="R727" s="66" t="str">
        <x:v>https://sidatagrun-public-1076756628210.asia-southeast2.run.app/ptn_sn.php?ptn=152</x:v>
      </x:c>
    </x:row>
    <x:row r="728">
      <x:c r="A728" s="87" t="n">
        <x:v>1929</x:v>
      </x:c>
      <x:c r="B728" s="87" t="n">
        <x:v>152</x:v>
      </x:c>
      <x:c r="C728" s="66" t="str">
        <x:v>UIN SULTAN THAHA SAIFUDDIN JAMBI</x:v>
      </x:c>
      <x:c r="D728" s="66" t="str">
        <x:v>PTKIN</x:v>
      </x:c>
      <x:c r="E728" s="66" t="str">
        <x:v>11521008</x:v>
      </x:c>
      <x:c r="F728" s="66" t="str">
        <x:v>KEDOKTERAN</x:v>
      </x:c>
      <x:c r="G728" s="66" t="str">
        <x:v>Sarjana</x:v>
      </x:c>
      <x:c r="H728" s="87" t="n">
        <x:v>15</x:v>
      </x:c>
      <x:c r="I728" s="87" t="n">
        <x:v>104</x:v>
      </x:c>
      <x:c r="J728" s="68" t="n">
        <x:f>IFERROR(H728/I728,"")</x:f>
        <x:v>0.14423076923076922</x:v>
      </x:c>
      <x:c r="K728" s="69" t="n">
        <x:f>IFERROR(I728/H728,"")</x:f>
        <x:v>6.933333333333334</x:v>
      </x:c>
      <x:c r="L728" s="66" t="str">
        <x:f>IF(K728="","","1 : "&amp;TEXT(K728,"0.0"))</x:f>
        <x:v>1 : 6.9</x:v>
      </x:c>
      <x:c r="M728" s="66" t="str">
        <x:f>IF(J728="","Baru/Tanpa Data",IF(J728&lt;='Catatan &amp; Sumber'!$B$14,"Sangat Ketat",IF(J728&lt;='Catatan &amp; Sumber'!$B$15,"Ketat",IF(J728&lt;='Catatan &amp; Sumber'!$B$16,"Sedang","Relatif Longgar"))))</x:f>
        <x:v>Relatif Longgar</x:v>
      </x:c>
      <x:c r="N728" s="66" t="str">
        <x:v>Tidak Ada</x:v>
      </x:c>
      <x:c r="O728" s="66" t="str">
        <x:v>Jambi</x:v>
      </x:c>
      <x:c r="P728" s="66" t="str">
        <x:v>Kota Jambi</x:v>
      </x:c>
      <x:c r="Q728" s="66" t="str">
        <x:v>https://snpmb.id/snbp/daya-tampung-snbp</x:v>
      </x:c>
      <x:c r="R728" s="66" t="str">
        <x:v>https://sidatagrun-public-1076756628210.asia-southeast2.run.app/ptn_sn.php?ptn=152</x:v>
      </x:c>
    </x:row>
    <x:row r="729">
      <x:c r="A729" s="87" t="n">
        <x:v>1662</x:v>
      </x:c>
      <x:c r="B729" s="87" t="n">
        <x:v>161</x:v>
      </x:c>
      <x:c r="C729" s="66" t="str">
        <x:v>UNIVERSITAS BENGKULU</x:v>
      </x:c>
      <x:c r="D729" s="66" t="str">
        <x:v>PTN Akademik</x:v>
      </x:c>
      <x:c r="E729" s="66" t="str">
        <x:v>11611001</x:v>
      </x:c>
      <x:c r="F729" s="66" t="str">
        <x:v>AGROEKOTEKNOLOGI</x:v>
      </x:c>
      <x:c r="G729" s="66" t="str">
        <x:v>Sarjana</x:v>
      </x:c>
      <x:c r="H729" s="87" t="n">
        <x:v>24</x:v>
      </x:c>
      <x:c r="I729" s="87" t="n">
        <x:v>198</x:v>
      </x:c>
      <x:c r="J729" s="68" t="n">
        <x:f>IFERROR(H729/I729,"")</x:f>
        <x:v>0.12121212121212122</x:v>
      </x:c>
      <x:c r="K729" s="69" t="n">
        <x:f>IFERROR(I729/H729,"")</x:f>
        <x:v>8.25</x:v>
      </x:c>
      <x:c r="L729" s="66" t="str">
        <x:f>IF(K729="","","1 : "&amp;TEXT(K729,"0.0"))</x:f>
        <x:v>1 : 8.3</x:v>
      </x:c>
      <x:c r="M729" s="66" t="str">
        <x:f>IF(J729="","Baru/Tanpa Data",IF(J729&lt;='Catatan &amp; Sumber'!$B$14,"Sangat Ketat",IF(J729&lt;='Catatan &amp; Sumber'!$B$15,"Ketat",IF(J729&lt;='Catatan &amp; Sumber'!$B$16,"Sedang","Relatif Longgar"))))</x:f>
        <x:v>Relatif Longgar</x:v>
      </x:c>
      <x:c r="N729" s="66" t="str">
        <x:v>Tidak Ada</x:v>
      </x:c>
      <x:c r="O729" s="66" t="str">
        <x:v>Bengkulu</x:v>
      </x:c>
      <x:c r="P729" s="66" t="str">
        <x:v>Kota Bengkulu</x:v>
      </x:c>
      <x:c r="Q729" s="66" t="str">
        <x:v>https://snpmb.id/snbp/daya-tampung-snbp</x:v>
      </x:c>
      <x:c r="R729" s="66" t="str">
        <x:v>https://sidatagrun-public-1076756628210.asia-southeast2.run.app/ptn_sn.php?ptn=161</x:v>
      </x:c>
    </x:row>
    <x:row r="730">
      <x:c r="A730" s="87" t="n">
        <x:v>1972</x:v>
      </x:c>
      <x:c r="B730" s="87" t="n">
        <x:v>161</x:v>
      </x:c>
      <x:c r="C730" s="66" t="str">
        <x:v>UNIVERSITAS BENGKULU</x:v>
      </x:c>
      <x:c r="D730" s="66" t="str">
        <x:v>PTN Akademik</x:v>
      </x:c>
      <x:c r="E730" s="66" t="str">
        <x:v>11611002</x:v>
      </x:c>
      <x:c r="F730" s="66" t="str">
        <x:v>KEHUTANAN</x:v>
      </x:c>
      <x:c r="G730" s="66" t="str">
        <x:v>Sarjana</x:v>
      </x:c>
      <x:c r="H730" s="87" t="n">
        <x:v>23</x:v>
      </x:c>
      <x:c r="I730" s="87" t="n">
        <x:v>155</x:v>
      </x:c>
      <x:c r="J730" s="68" t="n">
        <x:f>IFERROR(H730/I730,"")</x:f>
        <x:v>0.14838709677419354</x:v>
      </x:c>
      <x:c r="K730" s="69" t="n">
        <x:f>IFERROR(I730/H730,"")</x:f>
        <x:v>6.739130434782608</x:v>
      </x:c>
      <x:c r="L730" s="66" t="str">
        <x:f>IF(K730="","","1 : "&amp;TEXT(K730,"0.0"))</x:f>
        <x:v>1 : 6.7</x:v>
      </x:c>
      <x:c r="M730" s="66" t="str">
        <x:f>IF(J730="","Baru/Tanpa Data",IF(J730&lt;='Catatan &amp; Sumber'!$B$14,"Sangat Ketat",IF(J730&lt;='Catatan &amp; Sumber'!$B$15,"Ketat",IF(J730&lt;='Catatan &amp; Sumber'!$B$16,"Sedang","Relatif Longgar"))))</x:f>
        <x:v>Relatif Longgar</x:v>
      </x:c>
      <x:c r="N730" s="66" t="str">
        <x:v>Tidak Ada</x:v>
      </x:c>
      <x:c r="O730" s="66" t="str">
        <x:v>Bengkulu</x:v>
      </x:c>
      <x:c r="P730" s="66" t="str">
        <x:v>Kota Bengkulu</x:v>
      </x:c>
      <x:c r="Q730" s="66" t="str">
        <x:v>https://snpmb.id/snbp/daya-tampung-snbp</x:v>
      </x:c>
      <x:c r="R730" s="66" t="str">
        <x:v>https://sidatagrun-public-1076756628210.asia-southeast2.run.app/ptn_sn.php?ptn=161</x:v>
      </x:c>
    </x:row>
    <x:row r="731">
      <x:c r="A731" s="87" t="n">
        <x:v>2928</x:v>
      </x:c>
      <x:c r="B731" s="87" t="n">
        <x:v>161</x:v>
      </x:c>
      <x:c r="C731" s="66" t="str">
        <x:v>UNIVERSITAS BENGKULU</x:v>
      </x:c>
      <x:c r="D731" s="66" t="str">
        <x:v>PTN Akademik</x:v>
      </x:c>
      <x:c r="E731" s="66" t="str">
        <x:v>11611003</x:v>
      </x:c>
      <x:c r="F731" s="66" t="str">
        <x:v>PETERNAKAN</x:v>
      </x:c>
      <x:c r="G731" s="66" t="str">
        <x:v>Sarjana</x:v>
      </x:c>
      <x:c r="H731" s="87" t="n">
        <x:v>32</x:v>
      </x:c>
      <x:c r="I731" s="87" t="n">
        <x:v>115</x:v>
      </x:c>
      <x:c r="J731" s="68" t="n">
        <x:f>IFERROR(H731/I731,"")</x:f>
        <x:v>0.2782608695652174</x:v>
      </x:c>
      <x:c r="K731" s="69" t="n">
        <x:f>IFERROR(I731/H731,"")</x:f>
        <x:v>3.59375</x:v>
      </x:c>
      <x:c r="L731" s="66" t="str">
        <x:f>IF(K731="","","1 : "&amp;TEXT(K731,"0.0"))</x:f>
        <x:v>1 : 3.6</x:v>
      </x:c>
      <x:c r="M731" s="66" t="str">
        <x:f>IF(J731="","Baru/Tanpa Data",IF(J731&lt;='Catatan &amp; Sumber'!$B$14,"Sangat Ketat",IF(J731&lt;='Catatan &amp; Sumber'!$B$15,"Ketat",IF(J731&lt;='Catatan &amp; Sumber'!$B$16,"Sedang","Relatif Longgar"))))</x:f>
        <x:v>Relatif Longgar</x:v>
      </x:c>
      <x:c r="N731" s="66" t="str">
        <x:v>Tidak Ada</x:v>
      </x:c>
      <x:c r="O731" s="66" t="str">
        <x:v>Bengkulu</x:v>
      </x:c>
      <x:c r="P731" s="66" t="str">
        <x:v>Kota Bengkulu</x:v>
      </x:c>
      <x:c r="Q731" s="66" t="str">
        <x:v>https://snpmb.id/snbp/daya-tampung-snbp</x:v>
      </x:c>
      <x:c r="R731" s="66" t="str">
        <x:v>https://sidatagrun-public-1076756628210.asia-southeast2.run.app/ptn_sn.php?ptn=161</x:v>
      </x:c>
    </x:row>
    <x:row r="732">
      <x:c r="A732" s="87" t="n">
        <x:v>1330</x:v>
      </x:c>
      <x:c r="B732" s="87" t="n">
        <x:v>161</x:v>
      </x:c>
      <x:c r="C732" s="66" t="str">
        <x:v>UNIVERSITAS BENGKULU</x:v>
      </x:c>
      <x:c r="D732" s="66" t="str">
        <x:v>PTN Akademik</x:v>
      </x:c>
      <x:c r="E732" s="66" t="str">
        <x:v>11611004</x:v>
      </x:c>
      <x:c r="F732" s="66" t="str">
        <x:v>AGRIBISNIS</x:v>
      </x:c>
      <x:c r="G732" s="66" t="str">
        <x:v>Sarjana</x:v>
      </x:c>
      <x:c r="H732" s="87" t="n">
        <x:v>26</x:v>
      </x:c>
      <x:c r="I732" s="87" t="n">
        <x:v>267</x:v>
      </x:c>
      <x:c r="J732" s="68" t="n">
        <x:f>IFERROR(H732/I732,"")</x:f>
        <x:v>0.09737827715355805</x:v>
      </x:c>
      <x:c r="K732" s="69" t="n">
        <x:f>IFERROR(I732/H732,"")</x:f>
        <x:v>10.26923076923077</x:v>
      </x:c>
      <x:c r="L732" s="66" t="str">
        <x:f>IF(K732="","","1 : "&amp;TEXT(K732,"0.0"))</x:f>
        <x:v>1 : 10.3</x:v>
      </x:c>
      <x:c r="M732" s="66" t="str">
        <x:f>IF(J732="","Baru/Tanpa Data",IF(J732&lt;='Catatan &amp; Sumber'!$B$14,"Sangat Ketat",IF(J732&lt;='Catatan &amp; Sumber'!$B$15,"Ketat",IF(J732&lt;='Catatan &amp; Sumber'!$B$16,"Sedang","Relatif Longgar"))))</x:f>
        <x:v>Sedang</x:v>
      </x:c>
      <x:c r="N732" s="66" t="str">
        <x:v>Tidak Ada</x:v>
      </x:c>
      <x:c r="O732" s="66" t="str">
        <x:v>Bengkulu</x:v>
      </x:c>
      <x:c r="P732" s="66" t="str">
        <x:v>Kota Bengkulu</x:v>
      </x:c>
      <x:c r="Q732" s="66" t="str">
        <x:v>https://snpmb.id/snbp/daya-tampung-snbp</x:v>
      </x:c>
      <x:c r="R732" s="66" t="str">
        <x:v>https://sidatagrun-public-1076756628210.asia-southeast2.run.app/ptn_sn.php?ptn=161</x:v>
      </x:c>
    </x:row>
    <x:row r="733">
      <x:c r="A733" s="87" t="n">
        <x:v>1410</x:v>
      </x:c>
      <x:c r="B733" s="87" t="n">
        <x:v>161</x:v>
      </x:c>
      <x:c r="C733" s="66" t="str">
        <x:v>UNIVERSITAS BENGKULU</x:v>
      </x:c>
      <x:c r="D733" s="66" t="str">
        <x:v>PTN Akademik</x:v>
      </x:c>
      <x:c r="E733" s="66" t="str">
        <x:v>11611005</x:v>
      </x:c>
      <x:c r="F733" s="66" t="str">
        <x:v>TEKNOLOGI INDUSTRI PERTANIAN</x:v>
      </x:c>
      <x:c r="G733" s="66" t="str">
        <x:v>Sarjana</x:v>
      </x:c>
      <x:c r="H733" s="87" t="n">
        <x:v>24</x:v>
      </x:c>
      <x:c r="I733" s="87" t="n">
        <x:v>233</x:v>
      </x:c>
      <x:c r="J733" s="68" t="n">
        <x:f>IFERROR(H733/I733,"")</x:f>
        <x:v>0.10300429184549356</x:v>
      </x:c>
      <x:c r="K733" s="69" t="n">
        <x:f>IFERROR(I733/H733,"")</x:f>
        <x:v>9.708333333333334</x:v>
      </x:c>
      <x:c r="L733" s="66" t="str">
        <x:f>IF(K733="","","1 : "&amp;TEXT(K733,"0.0"))</x:f>
        <x:v>1 : 9.7</x:v>
      </x:c>
      <x:c r="M733" s="66" t="str">
        <x:f>IF(J733="","Baru/Tanpa Data",IF(J733&lt;='Catatan &amp; Sumber'!$B$14,"Sangat Ketat",IF(J733&lt;='Catatan &amp; Sumber'!$B$15,"Ketat",IF(J733&lt;='Catatan &amp; Sumber'!$B$16,"Sedang","Relatif Longgar"))))</x:f>
        <x:v>Relatif Longgar</x:v>
      </x:c>
      <x:c r="N733" s="66" t="str">
        <x:v>Tidak Ada</x:v>
      </x:c>
      <x:c r="O733" s="66" t="str">
        <x:v>Bengkulu</x:v>
      </x:c>
      <x:c r="P733" s="66" t="str">
        <x:v>Kota Bengkulu</x:v>
      </x:c>
      <x:c r="Q733" s="66" t="str">
        <x:v>https://snpmb.id/snbp/daya-tampung-snbp</x:v>
      </x:c>
      <x:c r="R733" s="66" t="str">
        <x:v>https://sidatagrun-public-1076756628210.asia-southeast2.run.app/ptn_sn.php?ptn=161</x:v>
      </x:c>
    </x:row>
    <x:row r="734">
      <x:c r="A734" s="87" t="n">
        <x:v>2816</x:v>
      </x:c>
      <x:c r="B734" s="87" t="n">
        <x:v>161</x:v>
      </x:c>
      <x:c r="C734" s="66" t="str">
        <x:v>UNIVERSITAS BENGKULU</x:v>
      </x:c>
      <x:c r="D734" s="66" t="str">
        <x:v>PTN Akademik</x:v>
      </x:c>
      <x:c r="E734" s="66" t="str">
        <x:v>11611006</x:v>
      </x:c>
      <x:c r="F734" s="66" t="str">
        <x:v>PENDIDIKAN FISIKA</x:v>
      </x:c>
      <x:c r="G734" s="66" t="str">
        <x:v>Sarjana</x:v>
      </x:c>
      <x:c r="H734" s="87" t="n">
        <x:v>18</x:v>
      </x:c>
      <x:c r="I734" s="87" t="n">
        <x:v>69</x:v>
      </x:c>
      <x:c r="J734" s="68" t="n">
        <x:f>IFERROR(H734/I734,"")</x:f>
        <x:v>0.2608695652173913</x:v>
      </x:c>
      <x:c r="K734" s="69" t="n">
        <x:f>IFERROR(I734/H734,"")</x:f>
        <x:v>3.8333333333333335</x:v>
      </x:c>
      <x:c r="L734" s="66" t="str">
        <x:f>IF(K734="","","1 : "&amp;TEXT(K734,"0.0"))</x:f>
        <x:v>1 : 3.8</x:v>
      </x:c>
      <x:c r="M734" s="66" t="str">
        <x:f>IF(J734="","Baru/Tanpa Data",IF(J734&lt;='Catatan &amp; Sumber'!$B$14,"Sangat Ketat",IF(J734&lt;='Catatan &amp; Sumber'!$B$15,"Ketat",IF(J734&lt;='Catatan &amp; Sumber'!$B$16,"Sedang","Relatif Longgar"))))</x:f>
        <x:v>Relatif Longgar</x:v>
      </x:c>
      <x:c r="N734" s="66" t="str">
        <x:v>Tidak Ada</x:v>
      </x:c>
      <x:c r="O734" s="66" t="str">
        <x:v>Bengkulu</x:v>
      </x:c>
      <x:c r="P734" s="66" t="str">
        <x:v>Kota Bengkulu</x:v>
      </x:c>
      <x:c r="Q734" s="66" t="str">
        <x:v>https://snpmb.id/snbp/daya-tampung-snbp</x:v>
      </x:c>
      <x:c r="R734" s="66" t="str">
        <x:v>https://sidatagrun-public-1076756628210.asia-southeast2.run.app/ptn_sn.php?ptn=161</x:v>
      </x:c>
    </x:row>
    <x:row r="735">
      <x:c r="A735" s="87" t="n">
        <x:v>1082</x:v>
      </x:c>
      <x:c r="B735" s="87" t="n">
        <x:v>161</x:v>
      </x:c>
      <x:c r="C735" s="66" t="str">
        <x:v>UNIVERSITAS BENGKULU</x:v>
      </x:c>
      <x:c r="D735" s="66" t="str">
        <x:v>PTN Akademik</x:v>
      </x:c>
      <x:c r="E735" s="66" t="str">
        <x:v>11611007</x:v>
      </x:c>
      <x:c r="F735" s="66" t="str">
        <x:v>PENDIDIKAN BIOLOGI</x:v>
      </x:c>
      <x:c r="G735" s="66" t="str">
        <x:v>Sarjana</x:v>
      </x:c>
      <x:c r="H735" s="87" t="n">
        <x:v>16</x:v>
      </x:c>
      <x:c r="I735" s="87" t="n">
        <x:v>194</x:v>
      </x:c>
      <x:c r="J735" s="68" t="n">
        <x:f>IFERROR(H735/I735,"")</x:f>
        <x:v>0.08247422680412371</x:v>
      </x:c>
      <x:c r="K735" s="69" t="n">
        <x:f>IFERROR(I735/H735,"")</x:f>
        <x:v>12.125</x:v>
      </x:c>
      <x:c r="L735" s="66" t="str">
        <x:f>IF(K735="","","1 : "&amp;TEXT(K735,"0.0"))</x:f>
        <x:v>1 : 12.1</x:v>
      </x:c>
      <x:c r="M735" s="66" t="str">
        <x:f>IF(J735="","Baru/Tanpa Data",IF(J735&lt;='Catatan &amp; Sumber'!$B$14,"Sangat Ketat",IF(J735&lt;='Catatan &amp; Sumber'!$B$15,"Ketat",IF(J735&lt;='Catatan &amp; Sumber'!$B$16,"Sedang","Relatif Longgar"))))</x:f>
        <x:v>Sedang</x:v>
      </x:c>
      <x:c r="N735" s="66" t="str">
        <x:v>Tidak Ada</x:v>
      </x:c>
      <x:c r="O735" s="66" t="str">
        <x:v>Bengkulu</x:v>
      </x:c>
      <x:c r="P735" s="66" t="str">
        <x:v>Kota Bengkulu</x:v>
      </x:c>
      <x:c r="Q735" s="66" t="str">
        <x:v>https://snpmb.id/snbp/daya-tampung-snbp</x:v>
      </x:c>
      <x:c r="R735" s="66" t="str">
        <x:v>https://sidatagrun-public-1076756628210.asia-southeast2.run.app/ptn_sn.php?ptn=161</x:v>
      </x:c>
    </x:row>
    <x:row r="736">
      <x:c r="A736" s="87" t="n">
        <x:v>2066</x:v>
      </x:c>
      <x:c r="B736" s="87" t="n">
        <x:v>161</x:v>
      </x:c>
      <x:c r="C736" s="66" t="str">
        <x:v>UNIVERSITAS BENGKULU</x:v>
      </x:c>
      <x:c r="D736" s="66" t="str">
        <x:v>PTN Akademik</x:v>
      </x:c>
      <x:c r="E736" s="66" t="str">
        <x:v>11611008</x:v>
      </x:c>
      <x:c r="F736" s="66" t="str">
        <x:v>PENDIDIKAN KIMIA</x:v>
      </x:c>
      <x:c r="G736" s="66" t="str">
        <x:v>Sarjana</x:v>
      </x:c>
      <x:c r="H736" s="87" t="n">
        <x:v>16</x:v>
      </x:c>
      <x:c r="I736" s="87" t="n">
        <x:v>101</x:v>
      </x:c>
      <x:c r="J736" s="68" t="n">
        <x:f>IFERROR(H736/I736,"")</x:f>
        <x:v>0.15841584158415842</x:v>
      </x:c>
      <x:c r="K736" s="69" t="n">
        <x:f>IFERROR(I736/H736,"")</x:f>
        <x:v>6.3125</x:v>
      </x:c>
      <x:c r="L736" s="66" t="str">
        <x:f>IF(K736="","","1 : "&amp;TEXT(K736,"0.0"))</x:f>
        <x:v>1 : 6.3</x:v>
      </x:c>
      <x:c r="M736" s="66" t="str">
        <x:f>IF(J736="","Baru/Tanpa Data",IF(J736&lt;='Catatan &amp; Sumber'!$B$14,"Sangat Ketat",IF(J736&lt;='Catatan &amp; Sumber'!$B$15,"Ketat",IF(J736&lt;='Catatan &amp; Sumber'!$B$16,"Sedang","Relatif Longgar"))))</x:f>
        <x:v>Relatif Longgar</x:v>
      </x:c>
      <x:c r="N736" s="66" t="str">
        <x:v>Tidak Ada</x:v>
      </x:c>
      <x:c r="O736" s="66" t="str">
        <x:v>Bengkulu</x:v>
      </x:c>
      <x:c r="P736" s="66" t="str">
        <x:v>Kota Bengkulu</x:v>
      </x:c>
      <x:c r="Q736" s="66" t="str">
        <x:v>https://snpmb.id/snbp/daya-tampung-snbp</x:v>
      </x:c>
      <x:c r="R736" s="66" t="str">
        <x:v>https://sidatagrun-public-1076756628210.asia-southeast2.run.app/ptn_sn.php?ptn=161</x:v>
      </x:c>
    </x:row>
    <x:row r="737">
      <x:c r="A737" s="87" t="n">
        <x:v>1372</x:v>
      </x:c>
      <x:c r="B737" s="87" t="n">
        <x:v>161</x:v>
      </x:c>
      <x:c r="C737" s="66" t="str">
        <x:v>UNIVERSITAS BENGKULU</x:v>
      </x:c>
      <x:c r="D737" s="66" t="str">
        <x:v>PTN Akademik</x:v>
      </x:c>
      <x:c r="E737" s="66" t="str">
        <x:v>11611009</x:v>
      </x:c>
      <x:c r="F737" s="66" t="str">
        <x:v>PENDIDIKAN MATEMATIKA</x:v>
      </x:c>
      <x:c r="G737" s="66" t="str">
        <x:v>Sarjana</x:v>
      </x:c>
      <x:c r="H737" s="87" t="n">
        <x:v>20</x:v>
      </x:c>
      <x:c r="I737" s="87" t="n">
        <x:v>200</x:v>
      </x:c>
      <x:c r="J737" s="68" t="n">
        <x:f>IFERROR(H737/I737,"")</x:f>
        <x:v>0.1</x:v>
      </x:c>
      <x:c r="K737" s="69" t="n">
        <x:f>IFERROR(I737/H737,"")</x:f>
        <x:v>10</x:v>
      </x:c>
      <x:c r="L737" s="66" t="str">
        <x:f>IF(K737="","","1 : "&amp;TEXT(K737,"0.0"))</x:f>
        <x:v>1 : 10.0</x:v>
      </x:c>
      <x:c r="M737" s="66" t="str">
        <x:f>IF(J737="","Baru/Tanpa Data",IF(J737&lt;='Catatan &amp; Sumber'!$B$14,"Sangat Ketat",IF(J737&lt;='Catatan &amp; Sumber'!$B$15,"Ketat",IF(J737&lt;='Catatan &amp; Sumber'!$B$16,"Sedang","Relatif Longgar"))))</x:f>
        <x:v>Sedang</x:v>
      </x:c>
      <x:c r="N737" s="66" t="str">
        <x:v>Tidak Ada</x:v>
      </x:c>
      <x:c r="O737" s="66" t="str">
        <x:v>Bengkulu</x:v>
      </x:c>
      <x:c r="P737" s="66" t="str">
        <x:v>Kota Bengkulu</x:v>
      </x:c>
      <x:c r="Q737" s="66" t="str">
        <x:v>https://snpmb.id/snbp/daya-tampung-snbp</x:v>
      </x:c>
      <x:c r="R737" s="66" t="str">
        <x:v>https://sidatagrun-public-1076756628210.asia-southeast2.run.app/ptn_sn.php?ptn=161</x:v>
      </x:c>
    </x:row>
    <x:row r="738">
      <x:c r="A738" s="87" t="n">
        <x:v>2604</x:v>
      </x:c>
      <x:c r="B738" s="87" t="n">
        <x:v>161</x:v>
      </x:c>
      <x:c r="C738" s="66" t="str">
        <x:v>UNIVERSITAS BENGKULU</x:v>
      </x:c>
      <x:c r="D738" s="66" t="str">
        <x:v>PTN Akademik</x:v>
      </x:c>
      <x:c r="E738" s="66" t="str">
        <x:v>11611010</x:v>
      </x:c>
      <x:c r="F738" s="66" t="str">
        <x:v>MATEMATIKA</x:v>
      </x:c>
      <x:c r="G738" s="66" t="str">
        <x:v>Sarjana</x:v>
      </x:c>
      <x:c r="H738" s="87" t="n">
        <x:v>16</x:v>
      </x:c>
      <x:c r="I738" s="87" t="n">
        <x:v>70</x:v>
      </x:c>
      <x:c r="J738" s="68" t="n">
        <x:f>IFERROR(H738/I738,"")</x:f>
        <x:v>0.22857142857142856</x:v>
      </x:c>
      <x:c r="K738" s="69" t="n">
        <x:f>IFERROR(I738/H738,"")</x:f>
        <x:v>4.375</x:v>
      </x:c>
      <x:c r="L738" s="66" t="str">
        <x:f>IF(K738="","","1 : "&amp;TEXT(K738,"0.0"))</x:f>
        <x:v>1 : 4.4</x:v>
      </x:c>
      <x:c r="M738" s="66" t="str">
        <x:f>IF(J738="","Baru/Tanpa Data",IF(J738&lt;='Catatan &amp; Sumber'!$B$14,"Sangat Ketat",IF(J738&lt;='Catatan &amp; Sumber'!$B$15,"Ketat",IF(J738&lt;='Catatan &amp; Sumber'!$B$16,"Sedang","Relatif Longgar"))))</x:f>
        <x:v>Relatif Longgar</x:v>
      </x:c>
      <x:c r="N738" s="66" t="str">
        <x:v>Tidak Ada</x:v>
      </x:c>
      <x:c r="O738" s="66" t="str">
        <x:v>Bengkulu</x:v>
      </x:c>
      <x:c r="P738" s="66" t="str">
        <x:v>Kota Bengkulu</x:v>
      </x:c>
      <x:c r="Q738" s="66" t="str">
        <x:v>https://snpmb.id/snbp/daya-tampung-snbp</x:v>
      </x:c>
      <x:c r="R738" s="66" t="str">
        <x:v>https://sidatagrun-public-1076756628210.asia-southeast2.run.app/ptn_sn.php?ptn=161</x:v>
      </x:c>
    </x:row>
    <x:row r="739">
      <x:c r="A739" s="87" t="n">
        <x:v>3455</x:v>
      </x:c>
      <x:c r="B739" s="87" t="n">
        <x:v>161</x:v>
      </x:c>
      <x:c r="C739" s="66" t="str">
        <x:v>UNIVERSITAS BENGKULU</x:v>
      </x:c>
      <x:c r="D739" s="66" t="str">
        <x:v>PTN Akademik</x:v>
      </x:c>
      <x:c r="E739" s="66" t="str">
        <x:v>11611011</x:v>
      </x:c>
      <x:c r="F739" s="66" t="str">
        <x:v>FISIKA</x:v>
      </x:c>
      <x:c r="G739" s="66" t="str">
        <x:v>Sarjana</x:v>
      </x:c>
      <x:c r="H739" s="87" t="n">
        <x:v>16</x:v>
      </x:c>
      <x:c r="I739" s="87" t="n">
        <x:v>38</x:v>
      </x:c>
      <x:c r="J739" s="68" t="n">
        <x:f>IFERROR(H739/I739,"")</x:f>
        <x:v>0.42105263157894735</x:v>
      </x:c>
      <x:c r="K739" s="69" t="n">
        <x:f>IFERROR(I739/H739,"")</x:f>
        <x:v>2.375</x:v>
      </x:c>
      <x:c r="L739" s="66" t="str">
        <x:f>IF(K739="","","1 : "&amp;TEXT(K739,"0.0"))</x:f>
        <x:v>1 : 2.4</x:v>
      </x:c>
      <x:c r="M739" s="66" t="str">
        <x:f>IF(J739="","Baru/Tanpa Data",IF(J739&lt;='Catatan &amp; Sumber'!$B$14,"Sangat Ketat",IF(J739&lt;='Catatan &amp; Sumber'!$B$15,"Ketat",IF(J739&lt;='Catatan &amp; Sumber'!$B$16,"Sedang","Relatif Longgar"))))</x:f>
        <x:v>Relatif Longgar</x:v>
      </x:c>
      <x:c r="N739" s="66" t="str">
        <x:v>Tidak Ada</x:v>
      </x:c>
      <x:c r="O739" s="66" t="str">
        <x:v>Bengkulu</x:v>
      </x:c>
      <x:c r="P739" s="66" t="str">
        <x:v>Kota Bengkulu</x:v>
      </x:c>
      <x:c r="Q739" s="66" t="str">
        <x:v>https://snpmb.id/snbp/daya-tampung-snbp</x:v>
      </x:c>
      <x:c r="R739" s="66" t="str">
        <x:v>https://sidatagrun-public-1076756628210.asia-southeast2.run.app/ptn_sn.php?ptn=161</x:v>
      </x:c>
    </x:row>
    <x:row r="740">
      <x:c r="A740" s="87" t="n">
        <x:v>2354</x:v>
      </x:c>
      <x:c r="B740" s="87" t="n">
        <x:v>161</x:v>
      </x:c>
      <x:c r="C740" s="66" t="str">
        <x:v>UNIVERSITAS BENGKULU</x:v>
      </x:c>
      <x:c r="D740" s="66" t="str">
        <x:v>PTN Akademik</x:v>
      </x:c>
      <x:c r="E740" s="66" t="str">
        <x:v>11611012</x:v>
      </x:c>
      <x:c r="F740" s="66" t="str">
        <x:v>BIOLOGI</x:v>
      </x:c>
      <x:c r="G740" s="66" t="str">
        <x:v>Sarjana</x:v>
      </x:c>
      <x:c r="H740" s="87" t="n">
        <x:v>19</x:v>
      </x:c>
      <x:c r="I740" s="87" t="n">
        <x:v>100</x:v>
      </x:c>
      <x:c r="J740" s="68" t="n">
        <x:f>IFERROR(H740/I740,"")</x:f>
        <x:v>0.19</x:v>
      </x:c>
      <x:c r="K740" s="69" t="n">
        <x:f>IFERROR(I740/H740,"")</x:f>
        <x:v>5.2631578947368425</x:v>
      </x:c>
      <x:c r="L740" s="66" t="str">
        <x:f>IF(K740="","","1 : "&amp;TEXT(K740,"0.0"))</x:f>
        <x:v>1 : 5.3</x:v>
      </x:c>
      <x:c r="M740" s="66" t="str">
        <x:f>IF(J740="","Baru/Tanpa Data",IF(J740&lt;='Catatan &amp; Sumber'!$B$14,"Sangat Ketat",IF(J740&lt;='Catatan &amp; Sumber'!$B$15,"Ketat",IF(J740&lt;='Catatan &amp; Sumber'!$B$16,"Sedang","Relatif Longgar"))))</x:f>
        <x:v>Relatif Longgar</x:v>
      </x:c>
      <x:c r="N740" s="66" t="str">
        <x:v>Tidak Ada</x:v>
      </x:c>
      <x:c r="O740" s="66" t="str">
        <x:v>Bengkulu</x:v>
      </x:c>
      <x:c r="P740" s="66" t="str">
        <x:v>Kota Bengkulu</x:v>
      </x:c>
      <x:c r="Q740" s="66" t="str">
        <x:v>https://snpmb.id/snbp/daya-tampung-snbp</x:v>
      </x:c>
      <x:c r="R740" s="66" t="str">
        <x:v>https://sidatagrun-public-1076756628210.asia-southeast2.run.app/ptn_sn.php?ptn=161</x:v>
      </x:c>
    </x:row>
    <x:row r="741">
      <x:c r="A741" s="87" t="n">
        <x:v>3260</x:v>
      </x:c>
      <x:c r="B741" s="87" t="n">
        <x:v>161</x:v>
      </x:c>
      <x:c r="C741" s="66" t="str">
        <x:v>UNIVERSITAS BENGKULU</x:v>
      </x:c>
      <x:c r="D741" s="66" t="str">
        <x:v>PTN Akademik</x:v>
      </x:c>
      <x:c r="E741" s="66" t="str">
        <x:v>11611013</x:v>
      </x:c>
      <x:c r="F741" s="66" t="str">
        <x:v>KIMIA</x:v>
      </x:c>
      <x:c r="G741" s="66" t="str">
        <x:v>Sarjana</x:v>
      </x:c>
      <x:c r="H741" s="87" t="n">
        <x:v>19</x:v>
      </x:c>
      <x:c r="I741" s="87" t="n">
        <x:v>53</x:v>
      </x:c>
      <x:c r="J741" s="68" t="n">
        <x:f>IFERROR(H741/I741,"")</x:f>
        <x:v>0.3584905660377358</x:v>
      </x:c>
      <x:c r="K741" s="69" t="n">
        <x:f>IFERROR(I741/H741,"")</x:f>
        <x:v>2.789473684210526</x:v>
      </x:c>
      <x:c r="L741" s="66" t="str">
        <x:f>IF(K741="","","1 : "&amp;TEXT(K741,"0.0"))</x:f>
        <x:v>1 : 2.8</x:v>
      </x:c>
      <x:c r="M741" s="66" t="str">
        <x:f>IF(J741="","Baru/Tanpa Data",IF(J741&lt;='Catatan &amp; Sumber'!$B$14,"Sangat Ketat",IF(J741&lt;='Catatan &amp; Sumber'!$B$15,"Ketat",IF(J741&lt;='Catatan &amp; Sumber'!$B$16,"Sedang","Relatif Longgar"))))</x:f>
        <x:v>Relatif Longgar</x:v>
      </x:c>
      <x:c r="N741" s="66" t="str">
        <x:v>Tidak Ada</x:v>
      </x:c>
      <x:c r="O741" s="66" t="str">
        <x:v>Bengkulu</x:v>
      </x:c>
      <x:c r="P741" s="66" t="str">
        <x:v>Kota Bengkulu</x:v>
      </x:c>
      <x:c r="Q741" s="66" t="str">
        <x:v>https://snpmb.id/snbp/daya-tampung-snbp</x:v>
      </x:c>
      <x:c r="R741" s="66" t="str">
        <x:v>https://sidatagrun-public-1076756628210.asia-southeast2.run.app/ptn_sn.php?ptn=161</x:v>
      </x:c>
    </x:row>
    <x:row r="742">
      <x:c r="A742" s="87" t="n">
        <x:v>415</x:v>
      </x:c>
      <x:c r="B742" s="87" t="n">
        <x:v>161</x:v>
      </x:c>
      <x:c r="C742" s="66" t="str">
        <x:v>UNIVERSITAS BENGKULU</x:v>
      </x:c>
      <x:c r="D742" s="66" t="str">
        <x:v>PTN Akademik</x:v>
      </x:c>
      <x:c r="E742" s="66" t="str">
        <x:v>11611014</x:v>
      </x:c>
      <x:c r="F742" s="66" t="str">
        <x:v>INFORMATIKA</x:v>
      </x:c>
      <x:c r="G742" s="66" t="str">
        <x:v>Sarjana</x:v>
      </x:c>
      <x:c r="H742" s="87" t="n">
        <x:v>24</x:v>
      </x:c>
      <x:c r="I742" s="87" t="n">
        <x:v>505</x:v>
      </x:c>
      <x:c r="J742" s="68" t="n">
        <x:f>IFERROR(H742/I742,"")</x:f>
        <x:v>0.047524752475247525</x:v>
      </x:c>
      <x:c r="K742" s="69" t="n">
        <x:f>IFERROR(I742/H742,"")</x:f>
        <x:v>21.041666666666668</x:v>
      </x:c>
      <x:c r="L742" s="66" t="str">
        <x:f>IF(K742="","","1 : "&amp;TEXT(K742,"0.0"))</x:f>
        <x:v>1 : 21.0</x:v>
      </x:c>
      <x:c r="M742" s="66" t="str">
        <x:f>IF(J742="","Baru/Tanpa Data",IF(J742&lt;='Catatan &amp; Sumber'!$B$14,"Sangat Ketat",IF(J742&lt;='Catatan &amp; Sumber'!$B$15,"Ketat",IF(J742&lt;='Catatan &amp; Sumber'!$B$16,"Sedang","Relatif Longgar"))))</x:f>
        <x:v>Ketat</x:v>
      </x:c>
      <x:c r="N742" s="66" t="str">
        <x:v>Tidak Ada</x:v>
      </x:c>
      <x:c r="O742" s="66" t="str">
        <x:v>Bengkulu</x:v>
      </x:c>
      <x:c r="P742" s="66" t="str">
        <x:v>Kota Bengkulu</x:v>
      </x:c>
      <x:c r="Q742" s="66" t="str">
        <x:v>https://snpmb.id/snbp/daya-tampung-snbp</x:v>
      </x:c>
      <x:c r="R742" s="66" t="str">
        <x:v>https://sidatagrun-public-1076756628210.asia-southeast2.run.app/ptn_sn.php?ptn=161</x:v>
      </x:c>
    </x:row>
    <x:row r="743">
      <x:c r="A743" s="87" t="n">
        <x:v>954</x:v>
      </x:c>
      <x:c r="B743" s="87" t="n">
        <x:v>161</x:v>
      </x:c>
      <x:c r="C743" s="66" t="str">
        <x:v>UNIVERSITAS BENGKULU</x:v>
      </x:c>
      <x:c r="D743" s="66" t="str">
        <x:v>PTN Akademik</x:v>
      </x:c>
      <x:c r="E743" s="66" t="str">
        <x:v>11611015</x:v>
      </x:c>
      <x:c r="F743" s="66" t="str">
        <x:v>TEKNIK SIPIL</x:v>
      </x:c>
      <x:c r="G743" s="66" t="str">
        <x:v>Sarjana</x:v>
      </x:c>
      <x:c r="H743" s="87" t="n">
        <x:v>24</x:v>
      </x:c>
      <x:c r="I743" s="87" t="n">
        <x:v>318</x:v>
      </x:c>
      <x:c r="J743" s="68" t="n">
        <x:f>IFERROR(H743/I743,"")</x:f>
        <x:v>0.07547169811320754</x:v>
      </x:c>
      <x:c r="K743" s="69" t="n">
        <x:f>IFERROR(I743/H743,"")</x:f>
        <x:v>13.25</x:v>
      </x:c>
      <x:c r="L743" s="66" t="str">
        <x:f>IF(K743="","","1 : "&amp;TEXT(K743,"0.0"))</x:f>
        <x:v>1 : 13.3</x:v>
      </x:c>
      <x:c r="M743" s="66" t="str">
        <x:f>IF(J743="","Baru/Tanpa Data",IF(J743&lt;='Catatan &amp; Sumber'!$B$14,"Sangat Ketat",IF(J743&lt;='Catatan &amp; Sumber'!$B$15,"Ketat",IF(J743&lt;='Catatan &amp; Sumber'!$B$16,"Sedang","Relatif Longgar"))))</x:f>
        <x:v>Sedang</x:v>
      </x:c>
      <x:c r="N743" s="66" t="str">
        <x:v>Tidak Ada</x:v>
      </x:c>
      <x:c r="O743" s="66" t="str">
        <x:v>Bengkulu</x:v>
      </x:c>
      <x:c r="P743" s="66" t="str">
        <x:v>Kota Bengkulu</x:v>
      </x:c>
      <x:c r="Q743" s="66" t="str">
        <x:v>https://snpmb.id/snbp/daya-tampung-snbp</x:v>
      </x:c>
      <x:c r="R743" s="66" t="str">
        <x:v>https://sidatagrun-public-1076756628210.asia-southeast2.run.app/ptn_sn.php?ptn=161</x:v>
      </x:c>
    </x:row>
    <x:row r="744">
      <x:c r="A744" s="87" t="n">
        <x:v>1720</x:v>
      </x:c>
      <x:c r="B744" s="87" t="n">
        <x:v>161</x:v>
      </x:c>
      <x:c r="C744" s="66" t="str">
        <x:v>UNIVERSITAS BENGKULU</x:v>
      </x:c>
      <x:c r="D744" s="66" t="str">
        <x:v>PTN Akademik</x:v>
      </x:c>
      <x:c r="E744" s="66" t="str">
        <x:v>11611016</x:v>
      </x:c>
      <x:c r="F744" s="66" t="str">
        <x:v>TEKNIK MESIN</x:v>
      </x:c>
      <x:c r="G744" s="66" t="str">
        <x:v>Sarjana</x:v>
      </x:c>
      <x:c r="H744" s="87" t="n">
        <x:v>20</x:v>
      </x:c>
      <x:c r="I744" s="87" t="n">
        <x:v>159</x:v>
      </x:c>
      <x:c r="J744" s="68" t="n">
        <x:f>IFERROR(H744/I744,"")</x:f>
        <x:v>0.12578616352201258</x:v>
      </x:c>
      <x:c r="K744" s="69" t="n">
        <x:f>IFERROR(I744/H744,"")</x:f>
        <x:v>7.95</x:v>
      </x:c>
      <x:c r="L744" s="66" t="str">
        <x:f>IF(K744="","","1 : "&amp;TEXT(K744,"0.0"))</x:f>
        <x:v>1 : 8.0</x:v>
      </x:c>
      <x:c r="M744" s="66" t="str">
        <x:f>IF(J744="","Baru/Tanpa Data",IF(J744&lt;='Catatan &amp; Sumber'!$B$14,"Sangat Ketat",IF(J744&lt;='Catatan &amp; Sumber'!$B$15,"Ketat",IF(J744&lt;='Catatan &amp; Sumber'!$B$16,"Sedang","Relatif Longgar"))))</x:f>
        <x:v>Relatif Longgar</x:v>
      </x:c>
      <x:c r="N744" s="66" t="str">
        <x:v>Tidak Ada</x:v>
      </x:c>
      <x:c r="O744" s="66" t="str">
        <x:v>Bengkulu</x:v>
      </x:c>
      <x:c r="P744" s="66" t="str">
        <x:v>Kota Bengkulu</x:v>
      </x:c>
      <x:c r="Q744" s="66" t="str">
        <x:v>https://snpmb.id/snbp/daya-tampung-snbp</x:v>
      </x:c>
      <x:c r="R744" s="66" t="str">
        <x:v>https://sidatagrun-public-1076756628210.asia-southeast2.run.app/ptn_sn.php?ptn=161</x:v>
      </x:c>
    </x:row>
    <x:row r="745">
      <x:c r="A745" s="87" t="n">
        <x:v>1798</x:v>
      </x:c>
      <x:c r="B745" s="87" t="n">
        <x:v>161</x:v>
      </x:c>
      <x:c r="C745" s="66" t="str">
        <x:v>UNIVERSITAS BENGKULU</x:v>
      </x:c>
      <x:c r="D745" s="66" t="str">
        <x:v>PTN Akademik</x:v>
      </x:c>
      <x:c r="E745" s="66" t="str">
        <x:v>11611017</x:v>
      </x:c>
      <x:c r="F745" s="66" t="str">
        <x:v>TEKNIK ELEKTRO</x:v>
      </x:c>
      <x:c r="G745" s="66" t="str">
        <x:v>Sarjana</x:v>
      </x:c>
      <x:c r="H745" s="87" t="n">
        <x:v>20</x:v>
      </x:c>
      <x:c r="I745" s="87" t="n">
        <x:v>151</x:v>
      </x:c>
      <x:c r="J745" s="68" t="n">
        <x:f>IFERROR(H745/I745,"")</x:f>
        <x:v>0.13245033112582782</x:v>
      </x:c>
      <x:c r="K745" s="69" t="n">
        <x:f>IFERROR(I745/H745,"")</x:f>
        <x:v>7.55</x:v>
      </x:c>
      <x:c r="L745" s="66" t="str">
        <x:f>IF(K745="","","1 : "&amp;TEXT(K745,"0.0"))</x:f>
        <x:v>1 : 7.6</x:v>
      </x:c>
      <x:c r="M745" s="66" t="str">
        <x:f>IF(J745="","Baru/Tanpa Data",IF(J745&lt;='Catatan &amp; Sumber'!$B$14,"Sangat Ketat",IF(J745&lt;='Catatan &amp; Sumber'!$B$15,"Ketat",IF(J745&lt;='Catatan &amp; Sumber'!$B$16,"Sedang","Relatif Longgar"))))</x:f>
        <x:v>Relatif Longgar</x:v>
      </x:c>
      <x:c r="N745" s="66" t="str">
        <x:v>Tidak Ada</x:v>
      </x:c>
      <x:c r="O745" s="66" t="str">
        <x:v>Bengkulu</x:v>
      </x:c>
      <x:c r="P745" s="66" t="str">
        <x:v>Kota Bengkulu</x:v>
      </x:c>
      <x:c r="Q745" s="66" t="str">
        <x:v>https://snpmb.id/snbp/daya-tampung-snbp</x:v>
      </x:c>
      <x:c r="R745" s="66" t="str">
        <x:v>https://sidatagrun-public-1076756628210.asia-southeast2.run.app/ptn_sn.php?ptn=161</x:v>
      </x:c>
    </x:row>
    <x:row r="746">
      <x:c r="A746" s="87" t="n">
        <x:v>2513</x:v>
      </x:c>
      <x:c r="B746" s="87" t="n">
        <x:v>161</x:v>
      </x:c>
      <x:c r="C746" s="66" t="str">
        <x:v>UNIVERSITAS BENGKULU</x:v>
      </x:c>
      <x:c r="D746" s="66" t="str">
        <x:v>PTN Akademik</x:v>
      </x:c>
      <x:c r="E746" s="66" t="str">
        <x:v>11611018</x:v>
      </x:c>
      <x:c r="F746" s="66" t="str">
        <x:v>ILMU KELAUTAN</x:v>
      </x:c>
      <x:c r="G746" s="66" t="str">
        <x:v>Sarjana</x:v>
      </x:c>
      <x:c r="H746" s="87" t="n">
        <x:v>16</x:v>
      </x:c>
      <x:c r="I746" s="87" t="n">
        <x:v>75</x:v>
      </x:c>
      <x:c r="J746" s="68" t="n">
        <x:f>IFERROR(H746/I746,"")</x:f>
        <x:v>0.21333333333333335</x:v>
      </x:c>
      <x:c r="K746" s="69" t="n">
        <x:f>IFERROR(I746/H746,"")</x:f>
        <x:v>4.6875</x:v>
      </x:c>
      <x:c r="L746" s="66" t="str">
        <x:f>IF(K746="","","1 : "&amp;TEXT(K746,"0.0"))</x:f>
        <x:v>1 : 4.7</x:v>
      </x:c>
      <x:c r="M746" s="66" t="str">
        <x:f>IF(J746="","Baru/Tanpa Data",IF(J746&lt;='Catatan &amp; Sumber'!$B$14,"Sangat Ketat",IF(J746&lt;='Catatan &amp; Sumber'!$B$15,"Ketat",IF(J746&lt;='Catatan &amp; Sumber'!$B$16,"Sedang","Relatif Longgar"))))</x:f>
        <x:v>Relatif Longgar</x:v>
      </x:c>
      <x:c r="N746" s="66" t="str">
        <x:v>Tidak Ada</x:v>
      </x:c>
      <x:c r="O746" s="66" t="str">
        <x:v>Bengkulu</x:v>
      </x:c>
      <x:c r="P746" s="66" t="str">
        <x:v>Kota Bengkulu</x:v>
      </x:c>
      <x:c r="Q746" s="66" t="str">
        <x:v>https://snpmb.id/snbp/daya-tampung-snbp</x:v>
      </x:c>
      <x:c r="R746" s="66" t="str">
        <x:v>https://sidatagrun-public-1076756628210.asia-southeast2.run.app/ptn_sn.php?ptn=161</x:v>
      </x:c>
    </x:row>
    <x:row r="747">
      <x:c r="A747" s="87" t="n">
        <x:v>155</x:v>
      </x:c>
      <x:c r="B747" s="87" t="n">
        <x:v>161</x:v>
      </x:c>
      <x:c r="C747" s="66" t="str">
        <x:v>UNIVERSITAS BENGKULU</x:v>
      </x:c>
      <x:c r="D747" s="66" t="str">
        <x:v>PTN Akademik</x:v>
      </x:c>
      <x:c r="E747" s="66" t="str">
        <x:v>11611019</x:v>
      </x:c>
      <x:c r="F747" s="66" t="str">
        <x:v>KEDOKTERAN</x:v>
      </x:c>
      <x:c r="G747" s="66" t="str">
        <x:v>Sarjana</x:v>
      </x:c>
      <x:c r="H747" s="87" t="n">
        <x:v>16</x:v>
      </x:c>
      <x:c r="I747" s="87" t="n">
        <x:v>475</x:v>
      </x:c>
      <x:c r="J747" s="68" t="n">
        <x:f>IFERROR(H747/I747,"")</x:f>
        <x:v>0.03368421052631579</x:v>
      </x:c>
      <x:c r="K747" s="69" t="n">
        <x:f>IFERROR(I747/H747,"")</x:f>
        <x:v>29.6875</x:v>
      </x:c>
      <x:c r="L747" s="66" t="str">
        <x:f>IF(K747="","","1 : "&amp;TEXT(K747,"0.0"))</x:f>
        <x:v>1 : 29.7</x:v>
      </x:c>
      <x:c r="M747" s="66" t="str">
        <x:f>IF(J747="","Baru/Tanpa Data",IF(J747&lt;='Catatan &amp; Sumber'!$B$14,"Sangat Ketat",IF(J747&lt;='Catatan &amp; Sumber'!$B$15,"Ketat",IF(J747&lt;='Catatan &amp; Sumber'!$B$16,"Sedang","Relatif Longgar"))))</x:f>
        <x:v>Ketat</x:v>
      </x:c>
      <x:c r="N747" s="66" t="str">
        <x:v>Tidak Ada</x:v>
      </x:c>
      <x:c r="O747" s="66" t="str">
        <x:v>Bengkulu</x:v>
      </x:c>
      <x:c r="P747" s="66" t="str">
        <x:v>Kota Bengkulu</x:v>
      </x:c>
      <x:c r="Q747" s="66" t="str">
        <x:v>https://snpmb.id/snbp/daya-tampung-snbp</x:v>
      </x:c>
      <x:c r="R747" s="66" t="str">
        <x:v>https://sidatagrun-public-1076756628210.asia-southeast2.run.app/ptn_sn.php?ptn=161</x:v>
      </x:c>
    </x:row>
    <x:row r="748">
      <x:c r="A748" s="87" t="n">
        <x:v>2277</x:v>
      </x:c>
      <x:c r="B748" s="87" t="n">
        <x:v>161</x:v>
      </x:c>
      <x:c r="C748" s="66" t="str">
        <x:v>UNIVERSITAS BENGKULU</x:v>
      </x:c>
      <x:c r="D748" s="66" t="str">
        <x:v>PTN Akademik</x:v>
      </x:c>
      <x:c r="E748" s="66" t="str">
        <x:v>11611020</x:v>
      </x:c>
      <x:c r="F748" s="66" t="str">
        <x:v>ILMU TANAH</x:v>
      </x:c>
      <x:c r="G748" s="66" t="str">
        <x:v>Sarjana</x:v>
      </x:c>
      <x:c r="H748" s="87" t="n">
        <x:v>10</x:v>
      </x:c>
      <x:c r="I748" s="87" t="n">
        <x:v>55</x:v>
      </x:c>
      <x:c r="J748" s="68" t="n">
        <x:f>IFERROR(H748/I748,"")</x:f>
        <x:v>0.18181818181818182</x:v>
      </x:c>
      <x:c r="K748" s="69" t="n">
        <x:f>IFERROR(I748/H748,"")</x:f>
        <x:v>5.5</x:v>
      </x:c>
      <x:c r="L748" s="66" t="str">
        <x:f>IF(K748="","","1 : "&amp;TEXT(K748,"0.0"))</x:f>
        <x:v>1 : 5.5</x:v>
      </x:c>
      <x:c r="M748" s="66" t="str">
        <x:f>IF(J748="","Baru/Tanpa Data",IF(J748&lt;='Catatan &amp; Sumber'!$B$14,"Sangat Ketat",IF(J748&lt;='Catatan &amp; Sumber'!$B$15,"Ketat",IF(J748&lt;='Catatan &amp; Sumber'!$B$16,"Sedang","Relatif Longgar"))))</x:f>
        <x:v>Relatif Longgar</x:v>
      </x:c>
      <x:c r="N748" s="66" t="str">
        <x:v>Tidak Ada</x:v>
      </x:c>
      <x:c r="O748" s="66" t="str">
        <x:v>Bengkulu</x:v>
      </x:c>
      <x:c r="P748" s="66" t="str">
        <x:v>Kota Bengkulu</x:v>
      </x:c>
      <x:c r="Q748" s="66" t="str">
        <x:v>https://snpmb.id/snbp/daya-tampung-snbp</x:v>
      </x:c>
      <x:c r="R748" s="66" t="str">
        <x:v>https://sidatagrun-public-1076756628210.asia-southeast2.run.app/ptn_sn.php?ptn=161</x:v>
      </x:c>
    </x:row>
    <x:row r="749">
      <x:c r="A749" s="87" t="n">
        <x:v>1513</x:v>
      </x:c>
      <x:c r="B749" s="87" t="n">
        <x:v>161</x:v>
      </x:c>
      <x:c r="C749" s="66" t="str">
        <x:v>UNIVERSITAS BENGKULU</x:v>
      </x:c>
      <x:c r="D749" s="66" t="str">
        <x:v>PTN Akademik</x:v>
      </x:c>
      <x:c r="E749" s="66" t="str">
        <x:v>11611021</x:v>
      </x:c>
      <x:c r="F749" s="66" t="str">
        <x:v>STATISTIKA</x:v>
      </x:c>
      <x:c r="G749" s="66" t="str">
        <x:v>Sarjana</x:v>
      </x:c>
      <x:c r="H749" s="87" t="n">
        <x:v>16</x:v>
      </x:c>
      <x:c r="I749" s="87" t="n">
        <x:v>145</x:v>
      </x:c>
      <x:c r="J749" s="68" t="n">
        <x:f>IFERROR(H749/I749,"")</x:f>
        <x:v>0.1103448275862069</x:v>
      </x:c>
      <x:c r="K749" s="69" t="n">
        <x:f>IFERROR(I749/H749,"")</x:f>
        <x:v>9.0625</x:v>
      </x:c>
      <x:c r="L749" s="66" t="str">
        <x:f>IF(K749="","","1 : "&amp;TEXT(K749,"0.0"))</x:f>
        <x:v>1 : 9.1</x:v>
      </x:c>
      <x:c r="M749" s="66" t="str">
        <x:f>IF(J749="","Baru/Tanpa Data",IF(J749&lt;='Catatan &amp; Sumber'!$B$14,"Sangat Ketat",IF(J749&lt;='Catatan &amp; Sumber'!$B$15,"Ketat",IF(J749&lt;='Catatan &amp; Sumber'!$B$16,"Sedang","Relatif Longgar"))))</x:f>
        <x:v>Relatif Longgar</x:v>
      </x:c>
      <x:c r="N749" s="66" t="str">
        <x:v>Tidak Ada</x:v>
      </x:c>
      <x:c r="O749" s="66" t="str">
        <x:v>Bengkulu</x:v>
      </x:c>
      <x:c r="P749" s="66" t="str">
        <x:v>Kota Bengkulu</x:v>
      </x:c>
      <x:c r="Q749" s="66" t="str">
        <x:v>https://snpmb.id/snbp/daya-tampung-snbp</x:v>
      </x:c>
      <x:c r="R749" s="66" t="str">
        <x:v>https://sidatagrun-public-1076756628210.asia-southeast2.run.app/ptn_sn.php?ptn=161</x:v>
      </x:c>
    </x:row>
    <x:row r="750">
      <x:c r="A750" s="87" t="n">
        <x:v>1552</x:v>
      </x:c>
      <x:c r="B750" s="87" t="n">
        <x:v>161</x:v>
      </x:c>
      <x:c r="C750" s="66" t="str">
        <x:v>UNIVERSITAS BENGKULU</x:v>
      </x:c>
      <x:c r="D750" s="66" t="str">
        <x:v>PTN Akademik</x:v>
      </x:c>
      <x:c r="E750" s="66" t="str">
        <x:v>11611022</x:v>
      </x:c>
      <x:c r="F750" s="66" t="str">
        <x:v>ARSITEKTUR</x:v>
      </x:c>
      <x:c r="G750" s="66" t="str">
        <x:v>Sarjana</x:v>
      </x:c>
      <x:c r="H750" s="87" t="n">
        <x:v>11</x:v>
      </x:c>
      <x:c r="I750" s="87" t="n">
        <x:v>97</x:v>
      </x:c>
      <x:c r="J750" s="68" t="n">
        <x:f>IFERROR(H750/I750,"")</x:f>
        <x:v>0.1134020618556701</x:v>
      </x:c>
      <x:c r="K750" s="69" t="n">
        <x:f>IFERROR(I750/H750,"")</x:f>
        <x:v>8.818181818181818</x:v>
      </x:c>
      <x:c r="L750" s="66" t="str">
        <x:f>IF(K750="","","1 : "&amp;TEXT(K750,"0.0"))</x:f>
        <x:v>1 : 8.8</x:v>
      </x:c>
      <x:c r="M750" s="66" t="str">
        <x:f>IF(J750="","Baru/Tanpa Data",IF(J750&lt;='Catatan &amp; Sumber'!$B$14,"Sangat Ketat",IF(J750&lt;='Catatan &amp; Sumber'!$B$15,"Ketat",IF(J750&lt;='Catatan &amp; Sumber'!$B$16,"Sedang","Relatif Longgar"))))</x:f>
        <x:v>Relatif Longgar</x:v>
      </x:c>
      <x:c r="N750" s="66" t="str">
        <x:v>Tidak Ada</x:v>
      </x:c>
      <x:c r="O750" s="66" t="str">
        <x:v>Bengkulu</x:v>
      </x:c>
      <x:c r="P750" s="66" t="str">
        <x:v>Kota Bengkulu</x:v>
      </x:c>
      <x:c r="Q750" s="66" t="str">
        <x:v>https://snpmb.id/snbp/daya-tampung-snbp</x:v>
      </x:c>
      <x:c r="R750" s="66" t="str">
        <x:v>https://sidatagrun-public-1076756628210.asia-southeast2.run.app/ptn_sn.php?ptn=161</x:v>
      </x:c>
    </x:row>
    <x:row r="751">
      <x:c r="A751" s="87" t="n">
        <x:v>588</x:v>
      </x:c>
      <x:c r="B751" s="87" t="n">
        <x:v>161</x:v>
      </x:c>
      <x:c r="C751" s="66" t="str">
        <x:v>UNIVERSITAS BENGKULU</x:v>
      </x:c>
      <x:c r="D751" s="66" t="str">
        <x:v>PTN Akademik</x:v>
      </x:c>
      <x:c r="E751" s="66" t="str">
        <x:v>11611023</x:v>
      </x:c>
      <x:c r="F751" s="66" t="str">
        <x:v>SISTEM INFORMASI</x:v>
      </x:c>
      <x:c r="G751" s="66" t="str">
        <x:v>Sarjana</x:v>
      </x:c>
      <x:c r="H751" s="87" t="n">
        <x:v>18</x:v>
      </x:c>
      <x:c r="I751" s="87" t="n">
        <x:v>318</x:v>
      </x:c>
      <x:c r="J751" s="68" t="n">
        <x:f>IFERROR(H751/I751,"")</x:f>
        <x:v>0.05660377358490566</x:v>
      </x:c>
      <x:c r="K751" s="69" t="n">
        <x:f>IFERROR(I751/H751,"")</x:f>
        <x:v>17.666666666666668</x:v>
      </x:c>
      <x:c r="L751" s="66" t="str">
        <x:f>IF(K751="","","1 : "&amp;TEXT(K751,"0.0"))</x:f>
        <x:v>1 : 17.7</x:v>
      </x:c>
      <x:c r="M751" s="66" t="str">
        <x:f>IF(J751="","Baru/Tanpa Data",IF(J751&lt;='Catatan &amp; Sumber'!$B$14,"Sangat Ketat",IF(J751&lt;='Catatan &amp; Sumber'!$B$15,"Ketat",IF(J751&lt;='Catatan &amp; Sumber'!$B$16,"Sedang","Relatif Longgar"))))</x:f>
        <x:v>Sedang</x:v>
      </x:c>
      <x:c r="N751" s="66" t="str">
        <x:v>Tidak Ada</x:v>
      </x:c>
      <x:c r="O751" s="66" t="str">
        <x:v>Bengkulu</x:v>
      </x:c>
      <x:c r="P751" s="66" t="str">
        <x:v>Kota Bengkulu</x:v>
      </x:c>
      <x:c r="Q751" s="66" t="str">
        <x:v>https://snpmb.id/snbp/daya-tampung-snbp</x:v>
      </x:c>
      <x:c r="R751" s="66" t="str">
        <x:v>https://sidatagrun-public-1076756628210.asia-southeast2.run.app/ptn_sn.php?ptn=161</x:v>
      </x:c>
    </x:row>
    <x:row r="752">
      <x:c r="A752" s="87" t="n">
        <x:v>2563</x:v>
      </x:c>
      <x:c r="B752" s="87" t="n">
        <x:v>161</x:v>
      </x:c>
      <x:c r="C752" s="66" t="str">
        <x:v>UNIVERSITAS BENGKULU</x:v>
      </x:c>
      <x:c r="D752" s="66" t="str">
        <x:v>PTN Akademik</x:v>
      </x:c>
      <x:c r="E752" s="66" t="str">
        <x:v>11611024</x:v>
      </x:c>
      <x:c r="F752" s="66" t="str">
        <x:v>PROTEKSI TANAMAN</x:v>
      </x:c>
      <x:c r="G752" s="66" t="str">
        <x:v>Sarjana</x:v>
      </x:c>
      <x:c r="H752" s="87" t="n">
        <x:v>10</x:v>
      </x:c>
      <x:c r="I752" s="87" t="n">
        <x:v>45</x:v>
      </x:c>
      <x:c r="J752" s="68" t="n">
        <x:f>IFERROR(H752/I752,"")</x:f>
        <x:v>0.2222222222222222</x:v>
      </x:c>
      <x:c r="K752" s="69" t="n">
        <x:f>IFERROR(I752/H752,"")</x:f>
        <x:v>4.5</x:v>
      </x:c>
      <x:c r="L752" s="66" t="str">
        <x:f>IF(K752="","","1 : "&amp;TEXT(K752,"0.0"))</x:f>
        <x:v>1 : 4.5</x:v>
      </x:c>
      <x:c r="M752" s="66" t="str">
        <x:f>IF(J752="","Baru/Tanpa Data",IF(J752&lt;='Catatan &amp; Sumber'!$B$14,"Sangat Ketat",IF(J752&lt;='Catatan &amp; Sumber'!$B$15,"Ketat",IF(J752&lt;='Catatan &amp; Sumber'!$B$16,"Sedang","Relatif Longgar"))))</x:f>
        <x:v>Relatif Longgar</x:v>
      </x:c>
      <x:c r="N752" s="66" t="str">
        <x:v>Tidak Ada</x:v>
      </x:c>
      <x:c r="O752" s="66" t="str">
        <x:v>Bengkulu</x:v>
      </x:c>
      <x:c r="P752" s="66" t="str">
        <x:v>Kota Bengkulu</x:v>
      </x:c>
      <x:c r="Q752" s="66" t="str">
        <x:v>https://snpmb.id/snbp/daya-tampung-snbp</x:v>
      </x:c>
      <x:c r="R752" s="66" t="str">
        <x:v>https://sidatagrun-public-1076756628210.asia-southeast2.run.app/ptn_sn.php?ptn=161</x:v>
      </x:c>
    </x:row>
    <x:row r="753">
      <x:c r="A753" s="87" t="n">
        <x:v>103</x:v>
      </x:c>
      <x:c r="B753" s="87" t="n">
        <x:v>161</x:v>
      </x:c>
      <x:c r="C753" s="66" t="str">
        <x:v>UNIVERSITAS BENGKULU</x:v>
      </x:c>
      <x:c r="D753" s="66" t="str">
        <x:v>PTN Akademik</x:v>
      </x:c>
      <x:c r="E753" s="66" t="str">
        <x:v>11611025</x:v>
      </x:c>
      <x:c r="F753" s="66" t="str">
        <x:v>FARMASI</x:v>
      </x:c>
      <x:c r="G753" s="66" t="str">
        <x:v>Sarjana</x:v>
      </x:c>
      <x:c r="H753" s="87" t="n">
        <x:v>16</x:v>
      </x:c>
      <x:c r="I753" s="87" t="n">
        <x:v>552</x:v>
      </x:c>
      <x:c r="J753" s="68" t="n">
        <x:f>IFERROR(H753/I753,"")</x:f>
        <x:v>0.028985507246376812</x:v>
      </x:c>
      <x:c r="K753" s="69" t="n">
        <x:f>IFERROR(I753/H753,"")</x:f>
        <x:v>34.5</x:v>
      </x:c>
      <x:c r="L753" s="66" t="str">
        <x:f>IF(K753="","","1 : "&amp;TEXT(K753,"0.0"))</x:f>
        <x:v>1 : 34.5</x:v>
      </x:c>
      <x:c r="M753" s="66" t="str">
        <x:f>IF(J753="","Baru/Tanpa Data",IF(J753&lt;='Catatan &amp; Sumber'!$B$14,"Sangat Ketat",IF(J753&lt;='Catatan &amp; Sumber'!$B$15,"Ketat",IF(J753&lt;='Catatan &amp; Sumber'!$B$16,"Sedang","Relatif Longgar"))))</x:f>
        <x:v>Ketat</x:v>
      </x:c>
      <x:c r="N753" s="66" t="str">
        <x:v>Tidak Ada</x:v>
      </x:c>
      <x:c r="O753" s="66" t="str">
        <x:v>Bengkulu</x:v>
      </x:c>
      <x:c r="P753" s="66" t="str">
        <x:v>Kota Bengkulu</x:v>
      </x:c>
      <x:c r="Q753" s="66" t="str">
        <x:v>https://snpmb.id/snbp/daya-tampung-snbp</x:v>
      </x:c>
      <x:c r="R753" s="66" t="str">
        <x:v>https://sidatagrun-public-1076756628210.asia-southeast2.run.app/ptn_sn.php?ptn=161</x:v>
      </x:c>
    </x:row>
    <x:row r="754">
      <x:c r="A754" s="87" t="n">
        <x:v>2136</x:v>
      </x:c>
      <x:c r="B754" s="87" t="n">
        <x:v>161</x:v>
      </x:c>
      <x:c r="C754" s="66" t="str">
        <x:v>UNIVERSITAS BENGKULU</x:v>
      </x:c>
      <x:c r="D754" s="66" t="str">
        <x:v>PTN Akademik</x:v>
      </x:c>
      <x:c r="E754" s="66" t="str">
        <x:v>11611026</x:v>
      </x:c>
      <x:c r="F754" s="66" t="str">
        <x:v>GEOFISIKA</x:v>
      </x:c>
      <x:c r="G754" s="66" t="str">
        <x:v>Sarjana</x:v>
      </x:c>
      <x:c r="H754" s="87" t="n">
        <x:v>16</x:v>
      </x:c>
      <x:c r="I754" s="87" t="n">
        <x:v>97</x:v>
      </x:c>
      <x:c r="J754" s="68" t="n">
        <x:f>IFERROR(H754/I754,"")</x:f>
        <x:v>0.16494845360824742</x:v>
      </x:c>
      <x:c r="K754" s="69" t="n">
        <x:f>IFERROR(I754/H754,"")</x:f>
        <x:v>6.0625</x:v>
      </x:c>
      <x:c r="L754" s="66" t="str">
        <x:f>IF(K754="","","1 : "&amp;TEXT(K754,"0.0"))</x:f>
        <x:v>1 : 6.1</x:v>
      </x:c>
      <x:c r="M754" s="66" t="str">
        <x:f>IF(J754="","Baru/Tanpa Data",IF(J754&lt;='Catatan &amp; Sumber'!$B$14,"Sangat Ketat",IF(J754&lt;='Catatan &amp; Sumber'!$B$15,"Ketat",IF(J754&lt;='Catatan &amp; Sumber'!$B$16,"Sedang","Relatif Longgar"))))</x:f>
        <x:v>Relatif Longgar</x:v>
      </x:c>
      <x:c r="N754" s="66" t="str">
        <x:v>Tidak Ada</x:v>
      </x:c>
      <x:c r="O754" s="66" t="str">
        <x:v>Bengkulu</x:v>
      </x:c>
      <x:c r="P754" s="66" t="str">
        <x:v>Kota Bengkulu</x:v>
      </x:c>
      <x:c r="Q754" s="66" t="str">
        <x:v>https://snpmb.id/snbp/daya-tampung-snbp</x:v>
      </x:c>
      <x:c r="R754" s="66" t="str">
        <x:v>https://sidatagrun-public-1076756628210.asia-southeast2.run.app/ptn_sn.php?ptn=161</x:v>
      </x:c>
    </x:row>
    <x:row r="755">
      <x:c r="A755" s="87" t="n">
        <x:v>1434</x:v>
      </x:c>
      <x:c r="B755" s="87" t="n">
        <x:v>161</x:v>
      </x:c>
      <x:c r="C755" s="66" t="str">
        <x:v>UNIVERSITAS BENGKULU</x:v>
      </x:c>
      <x:c r="D755" s="66" t="str">
        <x:v>PTN Akademik</x:v>
      </x:c>
      <x:c r="E755" s="66" t="str">
        <x:v>11611027</x:v>
      </x:c>
      <x:c r="F755" s="66" t="str">
        <x:v>PENDIDIKAN IPA</x:v>
      </x:c>
      <x:c r="G755" s="66" t="str">
        <x:v>Sarjana</x:v>
      </x:c>
      <x:c r="H755" s="87" t="n">
        <x:v>16</x:v>
      </x:c>
      <x:c r="I755" s="87" t="n">
        <x:v>152</x:v>
      </x:c>
      <x:c r="J755" s="68" t="n">
        <x:f>IFERROR(H755/I755,"")</x:f>
        <x:v>0.10526315789473684</x:v>
      </x:c>
      <x:c r="K755" s="69" t="n">
        <x:f>IFERROR(I755/H755,"")</x:f>
        <x:v>9.5</x:v>
      </x:c>
      <x:c r="L755" s="66" t="str">
        <x:f>IF(K755="","","1 : "&amp;TEXT(K755,"0.0"))</x:f>
        <x:v>1 : 9.5</x:v>
      </x:c>
      <x:c r="M755" s="66" t="str">
        <x:f>IF(J755="","Baru/Tanpa Data",IF(J755&lt;='Catatan &amp; Sumber'!$B$14,"Sangat Ketat",IF(J755&lt;='Catatan &amp; Sumber'!$B$15,"Ketat",IF(J755&lt;='Catatan &amp; Sumber'!$B$16,"Sedang","Relatif Longgar"))))</x:f>
        <x:v>Relatif Longgar</x:v>
      </x:c>
      <x:c r="N755" s="66" t="str">
        <x:v>Tidak Ada</x:v>
      </x:c>
      <x:c r="O755" s="66" t="str">
        <x:v>Bengkulu</x:v>
      </x:c>
      <x:c r="P755" s="66" t="str">
        <x:v>Kota Bengkulu</x:v>
      </x:c>
      <x:c r="Q755" s="66" t="str">
        <x:v>https://snpmb.id/snbp/daya-tampung-snbp</x:v>
      </x:c>
      <x:c r="R755" s="66" t="str">
        <x:v>https://sidatagrun-public-1076756628210.asia-southeast2.run.app/ptn_sn.php?ptn=161</x:v>
      </x:c>
    </x:row>
    <x:row r="756">
      <x:c r="A756" s="87" t="n">
        <x:v>1608</x:v>
      </x:c>
      <x:c r="B756" s="87" t="n">
        <x:v>161</x:v>
      </x:c>
      <x:c r="C756" s="66" t="str">
        <x:v>UNIVERSITAS BENGKULU</x:v>
      </x:c>
      <x:c r="D756" s="66" t="str">
        <x:v>PTN Akademik</x:v>
      </x:c>
      <x:c r="E756" s="66" t="str">
        <x:v>11611028</x:v>
      </x:c>
      <x:c r="F756" s="66" t="str">
        <x:v>HUKUM</x:v>
      </x:c>
      <x:c r="G756" s="66" t="str">
        <x:v>Sarjana</x:v>
      </x:c>
      <x:c r="H756" s="87" t="n">
        <x:v>90</x:v>
      </x:c>
      <x:c r="I756" s="87" t="n">
        <x:v>769</x:v>
      </x:c>
      <x:c r="J756" s="68" t="n">
        <x:f>IFERROR(H756/I756,"")</x:f>
        <x:v>0.11703511053315994</x:v>
      </x:c>
      <x:c r="K756" s="69" t="n">
        <x:f>IFERROR(I756/H756,"")</x:f>
        <x:v>8.544444444444444</x:v>
      </x:c>
      <x:c r="L756" s="66" t="str">
        <x:f>IF(K756="","","1 : "&amp;TEXT(K756,"0.0"))</x:f>
        <x:v>1 : 8.5</x:v>
      </x:c>
      <x:c r="M756" s="66" t="str">
        <x:f>IF(J756="","Baru/Tanpa Data",IF(J756&lt;='Catatan &amp; Sumber'!$B$14,"Sangat Ketat",IF(J756&lt;='Catatan &amp; Sumber'!$B$15,"Ketat",IF(J756&lt;='Catatan &amp; Sumber'!$B$16,"Sedang","Relatif Longgar"))))</x:f>
        <x:v>Relatif Longgar</x:v>
      </x:c>
      <x:c r="N756" s="66" t="str">
        <x:v>Tidak Ada</x:v>
      </x:c>
      <x:c r="O756" s="66" t="str">
        <x:v>Bengkulu</x:v>
      </x:c>
      <x:c r="P756" s="66" t="str">
        <x:v>Kota Bengkulu</x:v>
      </x:c>
      <x:c r="Q756" s="66" t="str">
        <x:v>https://snpmb.id/snbp/daya-tampung-snbp</x:v>
      </x:c>
      <x:c r="R756" s="66" t="str">
        <x:v>https://sidatagrun-public-1076756628210.asia-southeast2.run.app/ptn_sn.php?ptn=161</x:v>
      </x:c>
    </x:row>
    <x:row r="757">
      <x:c r="A757" s="87" t="n">
        <x:v>1820</x:v>
      </x:c>
      <x:c r="B757" s="87" t="n">
        <x:v>161</x:v>
      </x:c>
      <x:c r="C757" s="66" t="str">
        <x:v>UNIVERSITAS BENGKULU</x:v>
      </x:c>
      <x:c r="D757" s="66" t="str">
        <x:v>PTN Akademik</x:v>
      </x:c>
      <x:c r="E757" s="66" t="str">
        <x:v>11611029</x:v>
      </x:c>
      <x:c r="F757" s="66" t="str">
        <x:v>KESEJAHTERAAN SOSIAL</x:v>
      </x:c>
      <x:c r="G757" s="66" t="str">
        <x:v>Sarjana</x:v>
      </x:c>
      <x:c r="H757" s="87" t="n">
        <x:v>17</x:v>
      </x:c>
      <x:c r="I757" s="87" t="n">
        <x:v>127</x:v>
      </x:c>
      <x:c r="J757" s="68" t="n">
        <x:f>IFERROR(H757/I757,"")</x:f>
        <x:v>0.13385826771653545</x:v>
      </x:c>
      <x:c r="K757" s="69" t="n">
        <x:f>IFERROR(I757/H757,"")</x:f>
        <x:v>7.470588235294118</x:v>
      </x:c>
      <x:c r="L757" s="66" t="str">
        <x:f>IF(K757="","","1 : "&amp;TEXT(K757,"0.0"))</x:f>
        <x:v>1 : 7.5</x:v>
      </x:c>
      <x:c r="M757" s="66" t="str">
        <x:f>IF(J757="","Baru/Tanpa Data",IF(J757&lt;='Catatan &amp; Sumber'!$B$14,"Sangat Ketat",IF(J757&lt;='Catatan &amp; Sumber'!$B$15,"Ketat",IF(J757&lt;='Catatan &amp; Sumber'!$B$16,"Sedang","Relatif Longgar"))))</x:f>
        <x:v>Relatif Longgar</x:v>
      </x:c>
      <x:c r="N757" s="66" t="str">
        <x:v>Tidak Ada</x:v>
      </x:c>
      <x:c r="O757" s="66" t="str">
        <x:v>Bengkulu</x:v>
      </x:c>
      <x:c r="P757" s="66" t="str">
        <x:v>Kota Bengkulu</x:v>
      </x:c>
      <x:c r="Q757" s="66" t="str">
        <x:v>https://snpmb.id/snbp/daya-tampung-snbp</x:v>
      </x:c>
      <x:c r="R757" s="66" t="str">
        <x:v>https://sidatagrun-public-1076756628210.asia-southeast2.run.app/ptn_sn.php?ptn=161</x:v>
      </x:c>
    </x:row>
    <x:row r="758">
      <x:c r="A758" s="87" t="n">
        <x:v>1494</x:v>
      </x:c>
      <x:c r="B758" s="87" t="n">
        <x:v>161</x:v>
      </x:c>
      <x:c r="C758" s="66" t="str">
        <x:v>UNIVERSITAS BENGKULU</x:v>
      </x:c>
      <x:c r="D758" s="66" t="str">
        <x:v>PTN Akademik</x:v>
      </x:c>
      <x:c r="E758" s="66" t="str">
        <x:v>11611030</x:v>
      </x:c>
      <x:c r="F758" s="66" t="str">
        <x:v>EKONOMI PEMBANGUNAN</x:v>
      </x:c>
      <x:c r="G758" s="66" t="str">
        <x:v>Sarjana</x:v>
      </x:c>
      <x:c r="H758" s="87" t="n">
        <x:v>24</x:v>
      </x:c>
      <x:c r="I758" s="87" t="n">
        <x:v>220</x:v>
      </x:c>
      <x:c r="J758" s="68" t="n">
        <x:f>IFERROR(H758/I758,"")</x:f>
        <x:v>0.10909090909090909</x:v>
      </x:c>
      <x:c r="K758" s="69" t="n">
        <x:f>IFERROR(I758/H758,"")</x:f>
        <x:v>9.166666666666666</x:v>
      </x:c>
      <x:c r="L758" s="66" t="str">
        <x:f>IF(K758="","","1 : "&amp;TEXT(K758,"0.0"))</x:f>
        <x:v>1 : 9.2</x:v>
      </x:c>
      <x:c r="M758" s="66" t="str">
        <x:f>IF(J758="","Baru/Tanpa Data",IF(J758&lt;='Catatan &amp; Sumber'!$B$14,"Sangat Ketat",IF(J758&lt;='Catatan &amp; Sumber'!$B$15,"Ketat",IF(J758&lt;='Catatan &amp; Sumber'!$B$16,"Sedang","Relatif Longgar"))))</x:f>
        <x:v>Relatif Longgar</x:v>
      </x:c>
      <x:c r="N758" s="66" t="str">
        <x:v>Tidak Ada</x:v>
      </x:c>
      <x:c r="O758" s="66" t="str">
        <x:v>Bengkulu</x:v>
      </x:c>
      <x:c r="P758" s="66" t="str">
        <x:v>Kota Bengkulu</x:v>
      </x:c>
      <x:c r="Q758" s="66" t="str">
        <x:v>https://snpmb.id/snbp/daya-tampung-snbp</x:v>
      </x:c>
      <x:c r="R758" s="66" t="str">
        <x:v>https://sidatagrun-public-1076756628210.asia-southeast2.run.app/ptn_sn.php?ptn=161</x:v>
      </x:c>
    </x:row>
    <x:row r="759">
      <x:c r="A759" s="87" t="n">
        <x:v>439</x:v>
      </x:c>
      <x:c r="B759" s="87" t="n">
        <x:v>161</x:v>
      </x:c>
      <x:c r="C759" s="66" t="str">
        <x:v>UNIVERSITAS BENGKULU</x:v>
      </x:c>
      <x:c r="D759" s="66" t="str">
        <x:v>PTN Akademik</x:v>
      </x:c>
      <x:c r="E759" s="66" t="str">
        <x:v>11611031</x:v>
      </x:c>
      <x:c r="F759" s="66" t="str">
        <x:v>MANAJEMEN</x:v>
      </x:c>
      <x:c r="G759" s="66" t="str">
        <x:v>Sarjana</x:v>
      </x:c>
      <x:c r="H759" s="87" t="n">
        <x:v>40</x:v>
      </x:c>
      <x:c r="I759" s="87" t="n">
        <x:v>823</x:v>
      </x:c>
      <x:c r="J759" s="68" t="n">
        <x:f>IFERROR(H759/I759,"")</x:f>
        <x:v>0.04860267314702309</x:v>
      </x:c>
      <x:c r="K759" s="69" t="n">
        <x:f>IFERROR(I759/H759,"")</x:f>
        <x:v>20.575</x:v>
      </x:c>
      <x:c r="L759" s="66" t="str">
        <x:f>IF(K759="","","1 : "&amp;TEXT(K759,"0.0"))</x:f>
        <x:v>1 : 20.6</x:v>
      </x:c>
      <x:c r="M759" s="66" t="str">
        <x:f>IF(J759="","Baru/Tanpa Data",IF(J759&lt;='Catatan &amp; Sumber'!$B$14,"Sangat Ketat",IF(J759&lt;='Catatan &amp; Sumber'!$B$15,"Ketat",IF(J759&lt;='Catatan &amp; Sumber'!$B$16,"Sedang","Relatif Longgar"))))</x:f>
        <x:v>Ketat</x:v>
      </x:c>
      <x:c r="N759" s="66" t="str">
        <x:v>Tidak Ada</x:v>
      </x:c>
      <x:c r="O759" s="66" t="str">
        <x:v>Bengkulu</x:v>
      </x:c>
      <x:c r="P759" s="66" t="str">
        <x:v>Kota Bengkulu</x:v>
      </x:c>
      <x:c r="Q759" s="66" t="str">
        <x:v>https://snpmb.id/snbp/daya-tampung-snbp</x:v>
      </x:c>
      <x:c r="R759" s="66" t="str">
        <x:v>https://sidatagrun-public-1076756628210.asia-southeast2.run.app/ptn_sn.php?ptn=161</x:v>
      </x:c>
    </x:row>
    <x:row r="760">
      <x:c r="A760" s="87" t="n">
        <x:v>266</x:v>
      </x:c>
      <x:c r="B760" s="87" t="n">
        <x:v>161</x:v>
      </x:c>
      <x:c r="C760" s="66" t="str">
        <x:v>UNIVERSITAS BENGKULU</x:v>
      </x:c>
      <x:c r="D760" s="66" t="str">
        <x:v>PTN Akademik</x:v>
      </x:c>
      <x:c r="E760" s="66" t="str">
        <x:v>11611032</x:v>
      </x:c>
      <x:c r="F760" s="66" t="str">
        <x:v>ADMINISTRASI PUBLIK</x:v>
      </x:c>
      <x:c r="G760" s="66" t="str">
        <x:v>Sarjana</x:v>
      </x:c>
      <x:c r="H760" s="87" t="n">
        <x:v>20</x:v>
      </x:c>
      <x:c r="I760" s="87" t="n">
        <x:v>494</x:v>
      </x:c>
      <x:c r="J760" s="68" t="n">
        <x:f>IFERROR(H760/I760,"")</x:f>
        <x:v>0.04048582995951417</x:v>
      </x:c>
      <x:c r="K760" s="69" t="n">
        <x:f>IFERROR(I760/H760,"")</x:f>
        <x:v>24.7</x:v>
      </x:c>
      <x:c r="L760" s="66" t="str">
        <x:f>IF(K760="","","1 : "&amp;TEXT(K760,"0.0"))</x:f>
        <x:v>1 : 24.7</x:v>
      </x:c>
      <x:c r="M760" s="66" t="str">
        <x:f>IF(J760="","Baru/Tanpa Data",IF(J760&lt;='Catatan &amp; Sumber'!$B$14,"Sangat Ketat",IF(J760&lt;='Catatan &amp; Sumber'!$B$15,"Ketat",IF(J760&lt;='Catatan &amp; Sumber'!$B$16,"Sedang","Relatif Longgar"))))</x:f>
        <x:v>Ketat</x:v>
      </x:c>
      <x:c r="N760" s="66" t="str">
        <x:v>Tidak Ada</x:v>
      </x:c>
      <x:c r="O760" s="66" t="str">
        <x:v>Bengkulu</x:v>
      </x:c>
      <x:c r="P760" s="66" t="str">
        <x:v>Kota Bengkulu</x:v>
      </x:c>
      <x:c r="Q760" s="66" t="str">
        <x:v>https://snpmb.id/snbp/daya-tampung-snbp</x:v>
      </x:c>
      <x:c r="R760" s="66" t="str">
        <x:v>https://sidatagrun-public-1076756628210.asia-southeast2.run.app/ptn_sn.php?ptn=161</x:v>
      </x:c>
    </x:row>
    <x:row r="761">
      <x:c r="A761" s="87" t="n">
        <x:v>1282</x:v>
      </x:c>
      <x:c r="B761" s="87" t="n">
        <x:v>161</x:v>
      </x:c>
      <x:c r="C761" s="66" t="str">
        <x:v>UNIVERSITAS BENGKULU</x:v>
      </x:c>
      <x:c r="D761" s="66" t="str">
        <x:v>PTN Akademik</x:v>
      </x:c>
      <x:c r="E761" s="66" t="str">
        <x:v>11611033</x:v>
      </x:c>
      <x:c r="F761" s="66" t="str">
        <x:v>SOSIOLOGI</x:v>
      </x:c>
      <x:c r="G761" s="66" t="str">
        <x:v>Sarjana</x:v>
      </x:c>
      <x:c r="H761" s="87" t="n">
        <x:v>20</x:v>
      </x:c>
      <x:c r="I761" s="87" t="n">
        <x:v>212</x:v>
      </x:c>
      <x:c r="J761" s="68" t="n">
        <x:f>IFERROR(H761/I761,"")</x:f>
        <x:v>0.09433962264150944</x:v>
      </x:c>
      <x:c r="K761" s="69" t="n">
        <x:f>IFERROR(I761/H761,"")</x:f>
        <x:v>10.6</x:v>
      </x:c>
      <x:c r="L761" s="66" t="str">
        <x:f>IF(K761="","","1 : "&amp;TEXT(K761,"0.0"))</x:f>
        <x:v>1 : 10.6</x:v>
      </x:c>
      <x:c r="M761" s="66" t="str">
        <x:f>IF(J761="","Baru/Tanpa Data",IF(J761&lt;='Catatan &amp; Sumber'!$B$14,"Sangat Ketat",IF(J761&lt;='Catatan &amp; Sumber'!$B$15,"Ketat",IF(J761&lt;='Catatan &amp; Sumber'!$B$16,"Sedang","Relatif Longgar"))))</x:f>
        <x:v>Sedang</x:v>
      </x:c>
      <x:c r="N761" s="66" t="str">
        <x:v>Tidak Ada</x:v>
      </x:c>
      <x:c r="O761" s="66" t="str">
        <x:v>Bengkulu</x:v>
      </x:c>
      <x:c r="P761" s="66" t="str">
        <x:v>Kota Bengkulu</x:v>
      </x:c>
      <x:c r="Q761" s="66" t="str">
        <x:v>https://snpmb.id/snbp/daya-tampung-snbp</x:v>
      </x:c>
      <x:c r="R761" s="66" t="str">
        <x:v>https://sidatagrun-public-1076756628210.asia-southeast2.run.app/ptn_sn.php?ptn=161</x:v>
      </x:c>
    </x:row>
    <x:row r="762">
      <x:c r="A762" s="87" t="n">
        <x:v>568</x:v>
      </x:c>
      <x:c r="B762" s="87" t="n">
        <x:v>161</x:v>
      </x:c>
      <x:c r="C762" s="66" t="str">
        <x:v>UNIVERSITAS BENGKULU</x:v>
      </x:c>
      <x:c r="D762" s="66" t="str">
        <x:v>PTN Akademik</x:v>
      </x:c>
      <x:c r="E762" s="66" t="str">
        <x:v>11611034</x:v>
      </x:c>
      <x:c r="F762" s="66" t="str">
        <x:v>ILMU KOMUNIKASI</x:v>
      </x:c>
      <x:c r="G762" s="66" t="str">
        <x:v>Sarjana</x:v>
      </x:c>
      <x:c r="H762" s="87" t="n">
        <x:v>24</x:v>
      </x:c>
      <x:c r="I762" s="87" t="n">
        <x:v>435</x:v>
      </x:c>
      <x:c r="J762" s="68" t="n">
        <x:f>IFERROR(H762/I762,"")</x:f>
        <x:v>0.05517241379310345</x:v>
      </x:c>
      <x:c r="K762" s="69" t="n">
        <x:f>IFERROR(I762/H762,"")</x:f>
        <x:v>18.125</x:v>
      </x:c>
      <x:c r="L762" s="66" t="str">
        <x:f>IF(K762="","","1 : "&amp;TEXT(K762,"0.0"))</x:f>
        <x:v>1 : 18.1</x:v>
      </x:c>
      <x:c r="M762" s="66" t="str">
        <x:f>IF(J762="","Baru/Tanpa Data",IF(J762&lt;='Catatan &amp; Sumber'!$B$14,"Sangat Ketat",IF(J762&lt;='Catatan &amp; Sumber'!$B$15,"Ketat",IF(J762&lt;='Catatan &amp; Sumber'!$B$16,"Sedang","Relatif Longgar"))))</x:f>
        <x:v>Sedang</x:v>
      </x:c>
      <x:c r="N762" s="66" t="str">
        <x:v>Tidak Ada</x:v>
      </x:c>
      <x:c r="O762" s="66" t="str">
        <x:v>Bengkulu</x:v>
      </x:c>
      <x:c r="P762" s="66" t="str">
        <x:v>Kota Bengkulu</x:v>
      </x:c>
      <x:c r="Q762" s="66" t="str">
        <x:v>https://snpmb.id/snbp/daya-tampung-snbp</x:v>
      </x:c>
      <x:c r="R762" s="66" t="str">
        <x:v>https://sidatagrun-public-1076756628210.asia-southeast2.run.app/ptn_sn.php?ptn=161</x:v>
      </x:c>
    </x:row>
    <x:row r="763">
      <x:c r="A763" s="87" t="n">
        <x:v>704</x:v>
      </x:c>
      <x:c r="B763" s="87" t="n">
        <x:v>161</x:v>
      </x:c>
      <x:c r="C763" s="66" t="str">
        <x:v>UNIVERSITAS BENGKULU</x:v>
      </x:c>
      <x:c r="D763" s="66" t="str">
        <x:v>PTN Akademik</x:v>
      </x:c>
      <x:c r="E763" s="66" t="str">
        <x:v>11611035</x:v>
      </x:c>
      <x:c r="F763" s="66" t="str">
        <x:v>AKUNTANSI</x:v>
      </x:c>
      <x:c r="G763" s="66" t="str">
        <x:v>Sarjana</x:v>
      </x:c>
      <x:c r="H763" s="87" t="n">
        <x:v>40</x:v>
      </x:c>
      <x:c r="I763" s="87" t="n">
        <x:v>646</x:v>
      </x:c>
      <x:c r="J763" s="68" t="n">
        <x:f>IFERROR(H763/I763,"")</x:f>
        <x:v>0.06191950464396285</x:v>
      </x:c>
      <x:c r="K763" s="69" t="n">
        <x:f>IFERROR(I763/H763,"")</x:f>
        <x:v>16.15</x:v>
      </x:c>
      <x:c r="L763" s="66" t="str">
        <x:f>IF(K763="","","1 : "&amp;TEXT(K763,"0.0"))</x:f>
        <x:v>1 : 16.2</x:v>
      </x:c>
      <x:c r="M763" s="66" t="str">
        <x:f>IF(J763="","Baru/Tanpa Data",IF(J763&lt;='Catatan &amp; Sumber'!$B$14,"Sangat Ketat",IF(J763&lt;='Catatan &amp; Sumber'!$B$15,"Ketat",IF(J763&lt;='Catatan &amp; Sumber'!$B$16,"Sedang","Relatif Longgar"))))</x:f>
        <x:v>Sedang</x:v>
      </x:c>
      <x:c r="N763" s="66" t="str">
        <x:v>Tidak Ada</x:v>
      </x:c>
      <x:c r="O763" s="66" t="str">
        <x:v>Bengkulu</x:v>
      </x:c>
      <x:c r="P763" s="66" t="str">
        <x:v>Kota Bengkulu</x:v>
      </x:c>
      <x:c r="Q763" s="66" t="str">
        <x:v>https://snpmb.id/snbp/daya-tampung-snbp</x:v>
      </x:c>
      <x:c r="R763" s="66" t="str">
        <x:v>https://sidatagrun-public-1076756628210.asia-southeast2.run.app/ptn_sn.php?ptn=161</x:v>
      </x:c>
    </x:row>
    <x:row r="764">
      <x:c r="A764" s="87" t="n">
        <x:v>3220</x:v>
      </x:c>
      <x:c r="B764" s="87" t="n">
        <x:v>161</x:v>
      </x:c>
      <x:c r="C764" s="66" t="str">
        <x:v>UNIVERSITAS BENGKULU</x:v>
      </x:c>
      <x:c r="D764" s="66" t="str">
        <x:v>PTN Akademik</x:v>
      </x:c>
      <x:c r="E764" s="66" t="str">
        <x:v>11611036</x:v>
      </x:c>
      <x:c r="F764" s="66" t="str">
        <x:v>PENDIDIKAN NONFORMAL</x:v>
      </x:c>
      <x:c r="G764" s="66" t="str">
        <x:v>Sarjana</x:v>
      </x:c>
      <x:c r="H764" s="87" t="n">
        <x:v>16</x:v>
      </x:c>
      <x:c r="I764" s="87" t="n">
        <x:v>46</x:v>
      </x:c>
      <x:c r="J764" s="68" t="n">
        <x:f>IFERROR(H764/I764,"")</x:f>
        <x:v>0.34782608695652173</x:v>
      </x:c>
      <x:c r="K764" s="69" t="n">
        <x:f>IFERROR(I764/H764,"")</x:f>
        <x:v>2.875</x:v>
      </x:c>
      <x:c r="L764" s="66" t="str">
        <x:f>IF(K764="","","1 : "&amp;TEXT(K764,"0.0"))</x:f>
        <x:v>1 : 2.9</x:v>
      </x:c>
      <x:c r="M764" s="66" t="str">
        <x:f>IF(J764="","Baru/Tanpa Data",IF(J764&lt;='Catatan &amp; Sumber'!$B$14,"Sangat Ketat",IF(J764&lt;='Catatan &amp; Sumber'!$B$15,"Ketat",IF(J764&lt;='Catatan &amp; Sumber'!$B$16,"Sedang","Relatif Longgar"))))</x:f>
        <x:v>Relatif Longgar</x:v>
      </x:c>
      <x:c r="N764" s="66" t="str">
        <x:v>Tidak Ada</x:v>
      </x:c>
      <x:c r="O764" s="66" t="str">
        <x:v>Bengkulu</x:v>
      </x:c>
      <x:c r="P764" s="66" t="str">
        <x:v>Kota Bengkulu</x:v>
      </x:c>
      <x:c r="Q764" s="66" t="str">
        <x:v>https://snpmb.id/snbp/daya-tampung-snbp</x:v>
      </x:c>
      <x:c r="R764" s="66" t="str">
        <x:v>https://sidatagrun-public-1076756628210.asia-southeast2.run.app/ptn_sn.php?ptn=161</x:v>
      </x:c>
    </x:row>
    <x:row r="765">
      <x:c r="A765" s="87" t="n">
        <x:v>136</x:v>
      </x:c>
      <x:c r="B765" s="87" t="n">
        <x:v>161</x:v>
      </x:c>
      <x:c r="C765" s="66" t="str">
        <x:v>UNIVERSITAS BENGKULU</x:v>
      </x:c>
      <x:c r="D765" s="66" t="str">
        <x:v>PTN Akademik</x:v>
      </x:c>
      <x:c r="E765" s="66" t="str">
        <x:v>11611037</x:v>
      </x:c>
      <x:c r="F765" s="66" t="str">
        <x:v>PENDIDIKAN BAHASA INDONESIA</x:v>
      </x:c>
      <x:c r="G765" s="66" t="str">
        <x:v>Sarjana</x:v>
      </x:c>
      <x:c r="H765" s="87" t="n">
        <x:v>14</x:v>
      </x:c>
      <x:c r="I765" s="87" t="n">
        <x:v>440</x:v>
      </x:c>
      <x:c r="J765" s="68" t="n">
        <x:f>IFERROR(H765/I765,"")</x:f>
        <x:v>0.031818181818181815</x:v>
      </x:c>
      <x:c r="K765" s="69" t="n">
        <x:f>IFERROR(I765/H765,"")</x:f>
        <x:v>31.428571428571427</x:v>
      </x:c>
      <x:c r="L765" s="66" t="str">
        <x:f>IF(K765="","","1 : "&amp;TEXT(K765,"0.0"))</x:f>
        <x:v>1 : 31.4</x:v>
      </x:c>
      <x:c r="M765" s="66" t="str">
        <x:f>IF(J765="","Baru/Tanpa Data",IF(J765&lt;='Catatan &amp; Sumber'!$B$14,"Sangat Ketat",IF(J765&lt;='Catatan &amp; Sumber'!$B$15,"Ketat",IF(J765&lt;='Catatan &amp; Sumber'!$B$16,"Sedang","Relatif Longgar"))))</x:f>
        <x:v>Ketat</x:v>
      </x:c>
      <x:c r="N765" s="66" t="str">
        <x:v>Tidak Ada</x:v>
      </x:c>
      <x:c r="O765" s="66" t="str">
        <x:v>Bengkulu</x:v>
      </x:c>
      <x:c r="P765" s="66" t="str">
        <x:v>Kota Bengkulu</x:v>
      </x:c>
      <x:c r="Q765" s="66" t="str">
        <x:v>https://snpmb.id/snbp/daya-tampung-snbp</x:v>
      </x:c>
      <x:c r="R765" s="66" t="str">
        <x:v>https://sidatagrun-public-1076756628210.asia-southeast2.run.app/ptn_sn.php?ptn=161</x:v>
      </x:c>
    </x:row>
    <x:row r="766">
      <x:c r="A766" s="87" t="n">
        <x:v>1124</x:v>
      </x:c>
      <x:c r="B766" s="87" t="n">
        <x:v>161</x:v>
      </x:c>
      <x:c r="C766" s="66" t="str">
        <x:v>UNIVERSITAS BENGKULU</x:v>
      </x:c>
      <x:c r="D766" s="66" t="str">
        <x:v>PTN Akademik</x:v>
      </x:c>
      <x:c r="E766" s="66" t="str">
        <x:v>11611038</x:v>
      </x:c>
      <x:c r="F766" s="66" t="str">
        <x:v>PENDIDIKAN BAHASA INGGRIS</x:v>
      </x:c>
      <x:c r="G766" s="66" t="str">
        <x:v>Sarjana</x:v>
      </x:c>
      <x:c r="H766" s="87" t="n">
        <x:v>27</x:v>
      </x:c>
      <x:c r="I766" s="87" t="n">
        <x:v>316</x:v>
      </x:c>
      <x:c r="J766" s="68" t="n">
        <x:f>IFERROR(H766/I766,"")</x:f>
        <x:v>0.08544303797468354</x:v>
      </x:c>
      <x:c r="K766" s="69" t="n">
        <x:f>IFERROR(I766/H766,"")</x:f>
        <x:v>11.703703703703704</x:v>
      </x:c>
      <x:c r="L766" s="66" t="str">
        <x:f>IF(K766="","","1 : "&amp;TEXT(K766,"0.0"))</x:f>
        <x:v>1 : 11.7</x:v>
      </x:c>
      <x:c r="M766" s="66" t="str">
        <x:f>IF(J766="","Baru/Tanpa Data",IF(J766&lt;='Catatan &amp; Sumber'!$B$14,"Sangat Ketat",IF(J766&lt;='Catatan &amp; Sumber'!$B$15,"Ketat",IF(J766&lt;='Catatan &amp; Sumber'!$B$16,"Sedang","Relatif Longgar"))))</x:f>
        <x:v>Sedang</x:v>
      </x:c>
      <x:c r="N766" s="66" t="str">
        <x:v>Tidak Ada</x:v>
      </x:c>
      <x:c r="O766" s="66" t="str">
        <x:v>Bengkulu</x:v>
      </x:c>
      <x:c r="P766" s="66" t="str">
        <x:v>Kota Bengkulu</x:v>
      </x:c>
      <x:c r="Q766" s="66" t="str">
        <x:v>https://snpmb.id/snbp/daya-tampung-snbp</x:v>
      </x:c>
      <x:c r="R766" s="66" t="str">
        <x:v>https://sidatagrun-public-1076756628210.asia-southeast2.run.app/ptn_sn.php?ptn=161</x:v>
      </x:c>
    </x:row>
    <x:row r="767">
      <x:c r="A767" s="87" t="n">
        <x:v>130</x:v>
      </x:c>
      <x:c r="B767" s="87" t="n">
        <x:v>161</x:v>
      </x:c>
      <x:c r="C767" s="66" t="str">
        <x:v>UNIVERSITAS BENGKULU</x:v>
      </x:c>
      <x:c r="D767" s="66" t="str">
        <x:v>PTN Akademik</x:v>
      </x:c>
      <x:c r="E767" s="66" t="str">
        <x:v>11611039</x:v>
      </x:c>
      <x:c r="F767" s="66" t="str">
        <x:v>PENDIDIKAN GURU SEKOLAH DASAR</x:v>
      </x:c>
      <x:c r="G767" s="66" t="str">
        <x:v>Sarjana</x:v>
      </x:c>
      <x:c r="H767" s="87" t="n">
        <x:v>32</x:v>
      </x:c>
      <x:c r="I767" s="87" t="n">
        <x:v>1022</x:v>
      </x:c>
      <x:c r="J767" s="68" t="n">
        <x:f>IFERROR(H767/I767,"")</x:f>
        <x:v>0.03131115459882583</x:v>
      </x:c>
      <x:c r="K767" s="69" t="n">
        <x:f>IFERROR(I767/H767,"")</x:f>
        <x:v>31.9375</x:v>
      </x:c>
      <x:c r="L767" s="66" t="str">
        <x:f>IF(K767="","","1 : "&amp;TEXT(K767,"0.0"))</x:f>
        <x:v>1 : 31.9</x:v>
      </x:c>
      <x:c r="M767" s="66" t="str">
        <x:f>IF(J767="","Baru/Tanpa Data",IF(J767&lt;='Catatan &amp; Sumber'!$B$14,"Sangat Ketat",IF(J767&lt;='Catatan &amp; Sumber'!$B$15,"Ketat",IF(J767&lt;='Catatan &amp; Sumber'!$B$16,"Sedang","Relatif Longgar"))))</x:f>
        <x:v>Ketat</x:v>
      </x:c>
      <x:c r="N767" s="66" t="str">
        <x:v>Tidak Ada</x:v>
      </x:c>
      <x:c r="O767" s="66" t="str">
        <x:v>Bengkulu</x:v>
      </x:c>
      <x:c r="P767" s="66" t="str">
        <x:v>Kota Bengkulu</x:v>
      </x:c>
      <x:c r="Q767" s="66" t="str">
        <x:v>https://snpmb.id/snbp/daya-tampung-snbp</x:v>
      </x:c>
      <x:c r="R767" s="66" t="str">
        <x:v>https://sidatagrun-public-1076756628210.asia-southeast2.run.app/ptn_sn.php?ptn=161</x:v>
      </x:c>
    </x:row>
    <x:row r="768">
      <x:c r="A768" s="87" t="n">
        <x:v>1055</x:v>
      </x:c>
      <x:c r="B768" s="87" t="n">
        <x:v>161</x:v>
      </x:c>
      <x:c r="C768" s="66" t="str">
        <x:v>UNIVERSITAS BENGKULU</x:v>
      </x:c>
      <x:c r="D768" s="66" t="str">
        <x:v>PTN Akademik</x:v>
      </x:c>
      <x:c r="E768" s="66" t="str">
        <x:v>11611040</x:v>
      </x:c>
      <x:c r="F768" s="66" t="str">
        <x:v>PENDIDIKAN GURU PENDIDIKAN ANAK USIA DINI</x:v>
      </x:c>
      <x:c r="G768" s="66" t="str">
        <x:v>Sarjana</x:v>
      </x:c>
      <x:c r="H768" s="87" t="n">
        <x:v>18</x:v>
      </x:c>
      <x:c r="I768" s="87" t="n">
        <x:v>221</x:v>
      </x:c>
      <x:c r="J768" s="68" t="n">
        <x:f>IFERROR(H768/I768,"")</x:f>
        <x:v>0.08144796380090498</x:v>
      </x:c>
      <x:c r="K768" s="69" t="n">
        <x:f>IFERROR(I768/H768,"")</x:f>
        <x:v>12.277777777777779</x:v>
      </x:c>
      <x:c r="L768" s="66" t="str">
        <x:f>IF(K768="","","1 : "&amp;TEXT(K768,"0.0"))</x:f>
        <x:v>1 : 12.3</x:v>
      </x:c>
      <x:c r="M768" s="66" t="str">
        <x:f>IF(J768="","Baru/Tanpa Data",IF(J768&lt;='Catatan &amp; Sumber'!$B$14,"Sangat Ketat",IF(J768&lt;='Catatan &amp; Sumber'!$B$15,"Ketat",IF(J768&lt;='Catatan &amp; Sumber'!$B$16,"Sedang","Relatif Longgar"))))</x:f>
        <x:v>Sedang</x:v>
      </x:c>
      <x:c r="N768" s="66" t="str">
        <x:v>Tidak Ada</x:v>
      </x:c>
      <x:c r="O768" s="66" t="str">
        <x:v>Bengkulu</x:v>
      </x:c>
      <x:c r="P768" s="66" t="str">
        <x:v>Kota Bengkulu</x:v>
      </x:c>
      <x:c r="Q768" s="66" t="str">
        <x:v>https://snpmb.id/snbp/daya-tampung-snbp</x:v>
      </x:c>
      <x:c r="R768" s="66" t="str">
        <x:v>https://sidatagrun-public-1076756628210.asia-southeast2.run.app/ptn_sn.php?ptn=161</x:v>
      </x:c>
    </x:row>
    <x:row r="769">
      <x:c r="A769" s="87" t="n">
        <x:v>1267</x:v>
      </x:c>
      <x:c r="B769" s="87" t="n">
        <x:v>161</x:v>
      </x:c>
      <x:c r="C769" s="66" t="str">
        <x:v>UNIVERSITAS BENGKULU</x:v>
      </x:c>
      <x:c r="D769" s="66" t="str">
        <x:v>PTN Akademik</x:v>
      </x:c>
      <x:c r="E769" s="66" t="str">
        <x:v>11611041</x:v>
      </x:c>
      <x:c r="F769" s="66" t="str">
        <x:v>PENDIDIKAN JASMANI</x:v>
      </x:c>
      <x:c r="G769" s="66" t="str">
        <x:v>Sarjana</x:v>
      </x:c>
      <x:c r="H769" s="87" t="n">
        <x:v>20</x:v>
      </x:c>
      <x:c r="I769" s="87" t="n">
        <x:v>213</x:v>
      </x:c>
      <x:c r="J769" s="68" t="n">
        <x:f>IFERROR(H769/I769,"")</x:f>
        <x:v>0.09389671361502347</x:v>
      </x:c>
      <x:c r="K769" s="69" t="n">
        <x:f>IFERROR(I769/H769,"")</x:f>
        <x:v>10.65</x:v>
      </x:c>
      <x:c r="L769" s="66" t="str">
        <x:f>IF(K769="","","1 : "&amp;TEXT(K769,"0.0"))</x:f>
        <x:v>1 : 10.7</x:v>
      </x:c>
      <x:c r="M769" s="66" t="str">
        <x:f>IF(J769="","Baru/Tanpa Data",IF(J769&lt;='Catatan &amp; Sumber'!$B$14,"Sangat Ketat",IF(J769&lt;='Catatan &amp; Sumber'!$B$15,"Ketat",IF(J769&lt;='Catatan &amp; Sumber'!$B$16,"Sedang","Relatif Longgar"))))</x:f>
        <x:v>Sedang</x:v>
      </x:c>
      <x:c r="N769" s="66" t="str">
        <x:v>Olahraga</x:v>
      </x:c>
      <x:c r="O769" s="66" t="str">
        <x:v>Bengkulu</x:v>
      </x:c>
      <x:c r="P769" s="66" t="str">
        <x:v>Kota Bengkulu</x:v>
      </x:c>
      <x:c r="Q769" s="66" t="str">
        <x:v>https://snpmb.id/snbp/daya-tampung-snbp</x:v>
      </x:c>
      <x:c r="R769" s="66" t="str">
        <x:v>https://sidatagrun-public-1076756628210.asia-southeast2.run.app/ptn_sn.php?ptn=161</x:v>
      </x:c>
    </x:row>
    <x:row r="770">
      <x:c r="A770" s="87" t="n">
        <x:v>201</x:v>
      </x:c>
      <x:c r="B770" s="87" t="n">
        <x:v>161</x:v>
      </x:c>
      <x:c r="C770" s="66" t="str">
        <x:v>UNIVERSITAS BENGKULU</x:v>
      </x:c>
      <x:c r="D770" s="66" t="str">
        <x:v>PTN Akademik</x:v>
      </x:c>
      <x:c r="E770" s="66" t="str">
        <x:v>11611042</x:v>
      </x:c>
      <x:c r="F770" s="66" t="str">
        <x:v>BIMBINGAN DAN KONSELING</x:v>
      </x:c>
      <x:c r="G770" s="66" t="str">
        <x:v>Sarjana</x:v>
      </x:c>
      <x:c r="H770" s="87" t="n">
        <x:v>16</x:v>
      </x:c>
      <x:c r="I770" s="87" t="n">
        <x:v>432</x:v>
      </x:c>
      <x:c r="J770" s="68" t="n">
        <x:f>IFERROR(H770/I770,"")</x:f>
        <x:v>0.037037037037037035</x:v>
      </x:c>
      <x:c r="K770" s="69" t="n">
        <x:f>IFERROR(I770/H770,"")</x:f>
        <x:v>27</x:v>
      </x:c>
      <x:c r="L770" s="66" t="str">
        <x:f>IF(K770="","","1 : "&amp;TEXT(K770,"0.0"))</x:f>
        <x:v>1 : 27.0</x:v>
      </x:c>
      <x:c r="M770" s="66" t="str">
        <x:f>IF(J770="","Baru/Tanpa Data",IF(J770&lt;='Catatan &amp; Sumber'!$B$14,"Sangat Ketat",IF(J770&lt;='Catatan &amp; Sumber'!$B$15,"Ketat",IF(J770&lt;='Catatan &amp; Sumber'!$B$16,"Sedang","Relatif Longgar"))))</x:f>
        <x:v>Ketat</x:v>
      </x:c>
      <x:c r="N770" s="66" t="str">
        <x:v>Tidak Ada</x:v>
      </x:c>
      <x:c r="O770" s="66" t="str">
        <x:v>Bengkulu</x:v>
      </x:c>
      <x:c r="P770" s="66" t="str">
        <x:v>Kota Bengkulu</x:v>
      </x:c>
      <x:c r="Q770" s="66" t="str">
        <x:v>https://snpmb.id/snbp/daya-tampung-snbp</x:v>
      </x:c>
      <x:c r="R770" s="66" t="str">
        <x:v>https://sidatagrun-public-1076756628210.asia-southeast2.run.app/ptn_sn.php?ptn=161</x:v>
      </x:c>
    </x:row>
    <x:row r="771">
      <x:c r="A771" s="87" t="n">
        <x:v>1503</x:v>
      </x:c>
      <x:c r="B771" s="87" t="n">
        <x:v>161</x:v>
      </x:c>
      <x:c r="C771" s="66" t="str">
        <x:v>UNIVERSITAS BENGKULU</x:v>
      </x:c>
      <x:c r="D771" s="66" t="str">
        <x:v>PTN Akademik</x:v>
      </x:c>
      <x:c r="E771" s="66" t="str">
        <x:v>11611043</x:v>
      </x:c>
      <x:c r="F771" s="66" t="str">
        <x:v>ILMU PERPUSTAKAAN</x:v>
      </x:c>
      <x:c r="G771" s="66" t="str">
        <x:v>Sarjana</x:v>
      </x:c>
      <x:c r="H771" s="87" t="n">
        <x:v>15</x:v>
      </x:c>
      <x:c r="I771" s="87" t="n">
        <x:v>137</x:v>
      </x:c>
      <x:c r="J771" s="68" t="n">
        <x:f>IFERROR(H771/I771,"")</x:f>
        <x:v>0.10948905109489052</x:v>
      </x:c>
      <x:c r="K771" s="69" t="n">
        <x:f>IFERROR(I771/H771,"")</x:f>
        <x:v>9.133333333333333</x:v>
      </x:c>
      <x:c r="L771" s="66" t="str">
        <x:f>IF(K771="","","1 : "&amp;TEXT(K771,"0.0"))</x:f>
        <x:v>1 : 9.1</x:v>
      </x:c>
      <x:c r="M771" s="66" t="str">
        <x:f>IF(J771="","Baru/Tanpa Data",IF(J771&lt;='Catatan &amp; Sumber'!$B$14,"Sangat Ketat",IF(J771&lt;='Catatan &amp; Sumber'!$B$15,"Ketat",IF(J771&lt;='Catatan &amp; Sumber'!$B$16,"Sedang","Relatif Longgar"))))</x:f>
        <x:v>Relatif Longgar</x:v>
      </x:c>
      <x:c r="N771" s="66" t="str">
        <x:v>Tidak Ada</x:v>
      </x:c>
      <x:c r="O771" s="66" t="str">
        <x:v>Bengkulu</x:v>
      </x:c>
      <x:c r="P771" s="66" t="str">
        <x:v>Kota Bengkulu</x:v>
      </x:c>
      <x:c r="Q771" s="66" t="str">
        <x:v>https://snpmb.id/snbp/daya-tampung-snbp</x:v>
      </x:c>
      <x:c r="R771" s="66" t="str">
        <x:v>https://sidatagrun-public-1076756628210.asia-southeast2.run.app/ptn_sn.php?ptn=161</x:v>
      </x:c>
    </x:row>
    <x:row r="772">
      <x:c r="A772" s="87" t="n">
        <x:v>2230</x:v>
      </x:c>
      <x:c r="B772" s="87" t="n">
        <x:v>161</x:v>
      </x:c>
      <x:c r="C772" s="66" t="str">
        <x:v>UNIVERSITAS BENGKULU</x:v>
      </x:c>
      <x:c r="D772" s="66" t="str">
        <x:v>PTN Akademik</x:v>
      </x:c>
      <x:c r="E772" s="66" t="str">
        <x:v>11611044</x:v>
      </x:c>
      <x:c r="F772" s="66" t="str">
        <x:v>JURNALISTIK</x:v>
      </x:c>
      <x:c r="G772" s="66" t="str">
        <x:v>Sarjana</x:v>
      </x:c>
      <x:c r="H772" s="87" t="n">
        <x:v>16</x:v>
      </x:c>
      <x:c r="I772" s="87" t="n">
        <x:v>91</x:v>
      </x:c>
      <x:c r="J772" s="68" t="n">
        <x:f>IFERROR(H772/I772,"")</x:f>
        <x:v>0.17582417582417584</x:v>
      </x:c>
      <x:c r="K772" s="69" t="n">
        <x:f>IFERROR(I772/H772,"")</x:f>
        <x:v>5.6875</x:v>
      </x:c>
      <x:c r="L772" s="66" t="str">
        <x:f>IF(K772="","","1 : "&amp;TEXT(K772,"0.0"))</x:f>
        <x:v>1 : 5.7</x:v>
      </x:c>
      <x:c r="M772" s="66" t="str">
        <x:f>IF(J772="","Baru/Tanpa Data",IF(J772&lt;='Catatan &amp; Sumber'!$B$14,"Sangat Ketat",IF(J772&lt;='Catatan &amp; Sumber'!$B$15,"Ketat",IF(J772&lt;='Catatan &amp; Sumber'!$B$16,"Sedang","Relatif Longgar"))))</x:f>
        <x:v>Relatif Longgar</x:v>
      </x:c>
      <x:c r="N772" s="66" t="str">
        <x:v>Tidak Ada</x:v>
      </x:c>
      <x:c r="O772" s="66" t="str">
        <x:v>Bengkulu</x:v>
      </x:c>
      <x:c r="P772" s="66" t="str">
        <x:v>Kota Bengkulu</x:v>
      </x:c>
      <x:c r="Q772" s="66" t="str">
        <x:v>https://snpmb.id/snbp/daya-tampung-snbp</x:v>
      </x:c>
      <x:c r="R772" s="66" t="str">
        <x:v>https://sidatagrun-public-1076756628210.asia-southeast2.run.app/ptn_sn.php?ptn=161</x:v>
      </x:c>
    </x:row>
    <x:row r="773">
      <x:c r="A773" s="87" t="n">
        <x:v>2455</x:v>
      </x:c>
      <x:c r="B773" s="87" t="n">
        <x:v>161</x:v>
      </x:c>
      <x:c r="C773" s="66" t="str">
        <x:v>UNIVERSITAS BENGKULU</x:v>
      </x:c>
      <x:c r="D773" s="66" t="str">
        <x:v>PTN Akademik</x:v>
      </x:c>
      <x:c r="E773" s="66" t="str">
        <x:v>11611055</x:v>
      </x:c>
      <x:c r="F773" s="66" t="str">
        <x:v>ILMU LINGKUNGAAN</x:v>
      </x:c>
      <x:c r="G773" s="66" t="str">
        <x:v>Sarjana</x:v>
      </x:c>
      <x:c r="H773" s="87" t="n">
        <x:v>13</x:v>
      </x:c>
      <x:c r="I773" s="87" t="n">
        <x:v>64</x:v>
      </x:c>
      <x:c r="J773" s="68" t="n">
        <x:f>IFERROR(H773/I773,"")</x:f>
        <x:v>0.203125</x:v>
      </x:c>
      <x:c r="K773" s="69" t="n">
        <x:f>IFERROR(I773/H773,"")</x:f>
        <x:v>4.923076923076923</x:v>
      </x:c>
      <x:c r="L773" s="66" t="str">
        <x:f>IF(K773="","","1 : "&amp;TEXT(K773,"0.0"))</x:f>
        <x:v>1 : 4.9</x:v>
      </x:c>
      <x:c r="M773" s="66" t="str">
        <x:f>IF(J773="","Baru/Tanpa Data",IF(J773&lt;='Catatan &amp; Sumber'!$B$14,"Sangat Ketat",IF(J773&lt;='Catatan &amp; Sumber'!$B$15,"Ketat",IF(J773&lt;='Catatan &amp; Sumber'!$B$16,"Sedang","Relatif Longgar"))))</x:f>
        <x:v>Relatif Longgar</x:v>
      </x:c>
      <x:c r="N773" s="66" t="str">
        <x:v>Tidak Ada</x:v>
      </x:c>
      <x:c r="O773" s="66" t="str">
        <x:v>Bengkulu</x:v>
      </x:c>
      <x:c r="P773" s="66" t="str">
        <x:v>Kota Bengkulu</x:v>
      </x:c>
      <x:c r="Q773" s="66" t="str">
        <x:v>https://snpmb.id/snbp/daya-tampung-snbp</x:v>
      </x:c>
      <x:c r="R773" s="66" t="str">
        <x:v>https://sidatagrun-public-1076756628210.asia-southeast2.run.app/ptn_sn.php?ptn=161</x:v>
      </x:c>
    </x:row>
    <x:row r="774">
      <x:c r="A774" s="87"/>
      <x:c r="B774" s="87" t="n">
        <x:v>161</x:v>
      </x:c>
      <x:c r="C774" s="66" t="str">
        <x:v>UNIVERSITAS BENGKULU</x:v>
      </x:c>
      <x:c r="D774" s="66" t="str">
        <x:v>PTN Akademik</x:v>
      </x:c>
      <x:c r="E774" s="66" t="str">
        <x:v>11611056</x:v>
      </x:c>
      <x:c r="F774" s="66" t="str">
        <x:v>TEKNIK INDUSTRI</x:v>
      </x:c>
      <x:c r="G774" s="66" t="str">
        <x:v>Sarjana</x:v>
      </x:c>
      <x:c r="H774" s="87" t="n">
        <x:v>8</x:v>
      </x:c>
      <x:c r="I774" s="87"/>
      <x:c r="J774" s="68" t="str">
        <x:f>IFERROR(H774/I774,"")</x:f>
      </x:c>
      <x:c r="K774" s="69" t="n">
        <x:f>IFERROR(I774/H774,"")</x:f>
        <x:v>0</x:v>
      </x:c>
      <x:c r="L774" s="66" t="str">
        <x:f>IF(K774="","","1 : "&amp;TEXT(K774,"0.0"))</x:f>
      </x:c>
      <x:c r="M774" s="66" t="str">
        <x:f>IF(J774="","Baru/Tanpa Data",IF(J774&lt;='Catatan &amp; Sumber'!$B$14,"Sangat Ketat",IF(J774&lt;='Catatan &amp; Sumber'!$B$15,"Ketat",IF(J774&lt;='Catatan &amp; Sumber'!$B$16,"Sedang","Relatif Longgar"))))</x:f>
        <x:v>Baru/Tanpa Data</x:v>
      </x:c>
      <x:c r="N774" s="66" t="str">
        <x:v>Tidak Ada</x:v>
      </x:c>
      <x:c r="O774" s="66" t="str">
        <x:v>Bengkulu</x:v>
      </x:c>
      <x:c r="P774" s="66" t="str">
        <x:v>Kota Bengkulu</x:v>
      </x:c>
      <x:c r="Q774" s="66" t="str">
        <x:v>https://snpmb.id/snbp/daya-tampung-snbp</x:v>
      </x:c>
      <x:c r="R774" s="66" t="str">
        <x:v>https://sidatagrun-public-1076756628210.asia-southeast2.run.app/ptn_sn.php?ptn=161</x:v>
      </x:c>
    </x:row>
    <x:row r="775">
      <x:c r="A775" s="87"/>
      <x:c r="B775" s="87" t="n">
        <x:v>161</x:v>
      </x:c>
      <x:c r="C775" s="66" t="str">
        <x:v>UNIVERSITAS BENGKULU</x:v>
      </x:c>
      <x:c r="D775" s="66" t="str">
        <x:v>PTN Akademik</x:v>
      </x:c>
      <x:c r="E775" s="66" t="str">
        <x:v>11611057</x:v>
      </x:c>
      <x:c r="F775" s="66" t="str">
        <x:v>SAINS PERIKANAN</x:v>
      </x:c>
      <x:c r="G775" s="66" t="str">
        <x:v>Sarjana</x:v>
      </x:c>
      <x:c r="H775" s="87" t="n">
        <x:v>12</x:v>
      </x:c>
      <x:c r="I775" s="87"/>
      <x:c r="J775" s="68" t="str">
        <x:f>IFERROR(H775/I775,"")</x:f>
      </x:c>
      <x:c r="K775" s="69" t="n">
        <x:f>IFERROR(I775/H775,"")</x:f>
        <x:v>0</x:v>
      </x:c>
      <x:c r="L775" s="66" t="str">
        <x:f>IF(K775="","","1 : "&amp;TEXT(K775,"0.0"))</x:f>
      </x:c>
      <x:c r="M775" s="66" t="str">
        <x:f>IF(J775="","Baru/Tanpa Data",IF(J775&lt;='Catatan &amp; Sumber'!$B$14,"Sangat Ketat",IF(J775&lt;='Catatan &amp; Sumber'!$B$15,"Ketat",IF(J775&lt;='Catatan &amp; Sumber'!$B$16,"Sedang","Relatif Longgar"))))</x:f>
        <x:v>Baru/Tanpa Data</x:v>
      </x:c>
      <x:c r="N775" s="66" t="str">
        <x:v>Tidak Ada</x:v>
      </x:c>
      <x:c r="O775" s="66" t="str">
        <x:v>Bengkulu</x:v>
      </x:c>
      <x:c r="P775" s="66" t="str">
        <x:v>Kota Bengkulu</x:v>
      </x:c>
      <x:c r="Q775" s="66" t="str">
        <x:v>https://snpmb.id/snbp/daya-tampung-snbp</x:v>
      </x:c>
      <x:c r="R775" s="66" t="str">
        <x:v>https://sidatagrun-public-1076756628210.asia-southeast2.run.app/ptn_sn.php?ptn=161</x:v>
      </x:c>
    </x:row>
    <x:row r="776">
      <x:c r="A776" s="87"/>
      <x:c r="B776" s="87" t="n">
        <x:v>161</x:v>
      </x:c>
      <x:c r="C776" s="66" t="str">
        <x:v>UNIVERSITAS BENGKULU</x:v>
      </x:c>
      <x:c r="D776" s="66" t="str">
        <x:v>PTN Akademik</x:v>
      </x:c>
      <x:c r="E776" s="66" t="str">
        <x:v>11611058</x:v>
      </x:c>
      <x:c r="F776" s="66" t="str">
        <x:v>PENYULUHAN PERTANIAN</x:v>
      </x:c>
      <x:c r="G776" s="66" t="str">
        <x:v>Sarjana</x:v>
      </x:c>
      <x:c r="H776" s="87" t="n">
        <x:v>10</x:v>
      </x:c>
      <x:c r="I776" s="87"/>
      <x:c r="J776" s="68" t="str">
        <x:f>IFERROR(H776/I776,"")</x:f>
      </x:c>
      <x:c r="K776" s="69" t="n">
        <x:f>IFERROR(I776/H776,"")</x:f>
        <x:v>0</x:v>
      </x:c>
      <x:c r="L776" s="66" t="str">
        <x:f>IF(K776="","","1 : "&amp;TEXT(K776,"0.0"))</x:f>
      </x:c>
      <x:c r="M776" s="66" t="str">
        <x:f>IF(J776="","Baru/Tanpa Data",IF(J776&lt;='Catatan &amp; Sumber'!$B$14,"Sangat Ketat",IF(J776&lt;='Catatan &amp; Sumber'!$B$15,"Ketat",IF(J776&lt;='Catatan &amp; Sumber'!$B$16,"Sedang","Relatif Longgar"))))</x:f>
        <x:v>Baru/Tanpa Data</x:v>
      </x:c>
      <x:c r="N776" s="66" t="str">
        <x:v>Tidak Ada</x:v>
      </x:c>
      <x:c r="O776" s="66" t="str">
        <x:v>Bengkulu</x:v>
      </x:c>
      <x:c r="P776" s="66" t="str">
        <x:v>Kota Bengkulu</x:v>
      </x:c>
      <x:c r="Q776" s="66" t="str">
        <x:v>https://snpmb.id/snbp/daya-tampung-snbp</x:v>
      </x:c>
      <x:c r="R776" s="66" t="str">
        <x:v>https://sidatagrun-public-1076756628210.asia-southeast2.run.app/ptn_sn.php?ptn=161</x:v>
      </x:c>
    </x:row>
    <x:row r="777">
      <x:c r="A777" s="87"/>
      <x:c r="B777" s="87" t="n">
        <x:v>161</x:v>
      </x:c>
      <x:c r="C777" s="66" t="str">
        <x:v>UNIVERSITAS BENGKULU</x:v>
      </x:c>
      <x:c r="D777" s="66" t="str">
        <x:v>PTN Akademik</x:v>
      </x:c>
      <x:c r="E777" s="66" t="str">
        <x:v>11611059</x:v>
      </x:c>
      <x:c r="F777" s="66" t="str">
        <x:v>NUTRISI DAN TEKNOLOGI PAKAN TERNAK</x:v>
      </x:c>
      <x:c r="G777" s="66" t="str">
        <x:v>Sarjana</x:v>
      </x:c>
      <x:c r="H777" s="87" t="n">
        <x:v>12</x:v>
      </x:c>
      <x:c r="I777" s="87"/>
      <x:c r="J777" s="68" t="str">
        <x:f>IFERROR(H777/I777,"")</x:f>
      </x:c>
      <x:c r="K777" s="69" t="n">
        <x:f>IFERROR(I777/H777,"")</x:f>
        <x:v>0</x:v>
      </x:c>
      <x:c r="L777" s="66" t="str">
        <x:f>IF(K777="","","1 : "&amp;TEXT(K777,"0.0"))</x:f>
      </x:c>
      <x:c r="M777" s="66" t="str">
        <x:f>IF(J777="","Baru/Tanpa Data",IF(J777&lt;='Catatan &amp; Sumber'!$B$14,"Sangat Ketat",IF(J777&lt;='Catatan &amp; Sumber'!$B$15,"Ketat",IF(J777&lt;='Catatan &amp; Sumber'!$B$16,"Sedang","Relatif Longgar"))))</x:f>
        <x:v>Baru/Tanpa Data</x:v>
      </x:c>
      <x:c r="N777" s="66" t="str">
        <x:v>Tidak Ada</x:v>
      </x:c>
      <x:c r="O777" s="66" t="str">
        <x:v>Bengkulu</x:v>
      </x:c>
      <x:c r="P777" s="66" t="str">
        <x:v>Kota Bengkulu</x:v>
      </x:c>
      <x:c r="Q777" s="66" t="str">
        <x:v>https://snpmb.id/snbp/daya-tampung-snbp</x:v>
      </x:c>
      <x:c r="R777" s="66" t="str">
        <x:v>https://sidatagrun-public-1076756628210.asia-southeast2.run.app/ptn_sn.php?ptn=161</x:v>
      </x:c>
    </x:row>
    <x:row r="778">
      <x:c r="A778" s="87"/>
      <x:c r="B778" s="87" t="n">
        <x:v>161</x:v>
      </x:c>
      <x:c r="C778" s="66" t="str">
        <x:v>UNIVERSITAS BENGKULU</x:v>
      </x:c>
      <x:c r="D778" s="66" t="str">
        <x:v>PTN Akademik</x:v>
      </x:c>
      <x:c r="E778" s="66" t="str">
        <x:v>11611060</x:v>
      </x:c>
      <x:c r="F778" s="66" t="str">
        <x:v>KEBIDANAN</x:v>
      </x:c>
      <x:c r="G778" s="66" t="str">
        <x:v>Sarjana</x:v>
      </x:c>
      <x:c r="H778" s="87" t="n">
        <x:v>8</x:v>
      </x:c>
      <x:c r="I778" s="87"/>
      <x:c r="J778" s="68" t="str">
        <x:f>IFERROR(H778/I778,"")</x:f>
      </x:c>
      <x:c r="K778" s="69" t="n">
        <x:f>IFERROR(I778/H778,"")</x:f>
        <x:v>0</x:v>
      </x:c>
      <x:c r="L778" s="66" t="str">
        <x:f>IF(K778="","","1 : "&amp;TEXT(K778,"0.0"))</x:f>
      </x:c>
      <x:c r="M778" s="66" t="str">
        <x:f>IF(J778="","Baru/Tanpa Data",IF(J778&lt;='Catatan &amp; Sumber'!$B$14,"Sangat Ketat",IF(J778&lt;='Catatan &amp; Sumber'!$B$15,"Ketat",IF(J778&lt;='Catatan &amp; Sumber'!$B$16,"Sedang","Relatif Longgar"))))</x:f>
        <x:v>Baru/Tanpa Data</x:v>
      </x:c>
      <x:c r="N778" s="66" t="str">
        <x:v>Tidak Ada</x:v>
      </x:c>
      <x:c r="O778" s="66" t="str">
        <x:v>Bengkulu</x:v>
      </x:c>
      <x:c r="P778" s="66" t="str">
        <x:v>Kota Bengkulu</x:v>
      </x:c>
      <x:c r="Q778" s="66" t="str">
        <x:v>https://snpmb.id/snbp/daya-tampung-snbp</x:v>
      </x:c>
      <x:c r="R778" s="66" t="str">
        <x:v>https://sidatagrun-public-1076756628210.asia-southeast2.run.app/ptn_sn.php?ptn=161</x:v>
      </x:c>
    </x:row>
    <x:row r="779">
      <x:c r="A779" s="87" t="n">
        <x:v>939</x:v>
      </x:c>
      <x:c r="B779" s="87" t="n">
        <x:v>161</x:v>
      </x:c>
      <x:c r="C779" s="66" t="str">
        <x:v>UNIVERSITAS BENGKULU</x:v>
      </x:c>
      <x:c r="D779" s="66" t="str">
        <x:v>PTN Akademik</x:v>
      </x:c>
      <x:c r="E779" s="66" t="str">
        <x:v>11613047</x:v>
      </x:c>
      <x:c r="F779" s="66" t="str">
        <x:v>FARMASI</x:v>
      </x:c>
      <x:c r="G779" s="66" t="str">
        <x:v>Diploma Tiga</x:v>
      </x:c>
      <x:c r="H779" s="87" t="n">
        <x:v>18</x:v>
      </x:c>
      <x:c r="I779" s="87" t="n">
        <x:v>241</x:v>
      </x:c>
      <x:c r="J779" s="68" t="n">
        <x:f>IFERROR(H779/I779,"")</x:f>
        <x:v>0.07468879668049792</x:v>
      </x:c>
      <x:c r="K779" s="69" t="n">
        <x:f>IFERROR(I779/H779,"")</x:f>
        <x:v>13.38888888888889</x:v>
      </x:c>
      <x:c r="L779" s="66" t="str">
        <x:f>IF(K779="","","1 : "&amp;TEXT(K779,"0.0"))</x:f>
        <x:v>1 : 13.4</x:v>
      </x:c>
      <x:c r="M779" s="66" t="str">
        <x:f>IF(J779="","Baru/Tanpa Data",IF(J779&lt;='Catatan &amp; Sumber'!$B$14,"Sangat Ketat",IF(J779&lt;='Catatan &amp; Sumber'!$B$15,"Ketat",IF(J779&lt;='Catatan &amp; Sumber'!$B$16,"Sedang","Relatif Longgar"))))</x:f>
        <x:v>Sedang</x:v>
      </x:c>
      <x:c r="N779" s="66" t="str">
        <x:v>Tidak Ada</x:v>
      </x:c>
      <x:c r="O779" s="66" t="str">
        <x:v>Bengkulu</x:v>
      </x:c>
      <x:c r="P779" s="66" t="str">
        <x:v>Kota Bengkulu</x:v>
      </x:c>
      <x:c r="Q779" s="66" t="str">
        <x:v>https://snpmb.id/snbp/daya-tampung-snbp</x:v>
      </x:c>
      <x:c r="R779" s="66" t="str">
        <x:v>https://sidatagrun-public-1076756628210.asia-southeast2.run.app/ptn_sn.php?ptn=161</x:v>
      </x:c>
    </x:row>
    <x:row r="780">
      <x:c r="A780" s="87" t="n">
        <x:v>2423</x:v>
      </x:c>
      <x:c r="B780" s="87" t="n">
        <x:v>161</x:v>
      </x:c>
      <x:c r="C780" s="66" t="str">
        <x:v>UNIVERSITAS BENGKULU</x:v>
      </x:c>
      <x:c r="D780" s="66" t="str">
        <x:v>PTN Akademik</x:v>
      </x:c>
      <x:c r="E780" s="66" t="str">
        <x:v>11613048</x:v>
      </x:c>
      <x:c r="F780" s="66" t="str">
        <x:v>LABORATORIUM SAINS</x:v>
      </x:c>
      <x:c r="G780" s="66" t="str">
        <x:v>Diploma Tiga</x:v>
      </x:c>
      <x:c r="H780" s="87" t="n">
        <x:v>16</x:v>
      </x:c>
      <x:c r="I780" s="87" t="n">
        <x:v>80</x:v>
      </x:c>
      <x:c r="J780" s="68" t="n">
        <x:f>IFERROR(H780/I780,"")</x:f>
        <x:v>0.2</x:v>
      </x:c>
      <x:c r="K780" s="69" t="n">
        <x:f>IFERROR(I780/H780,"")</x:f>
        <x:v>5</x:v>
      </x:c>
      <x:c r="L780" s="66" t="str">
        <x:f>IF(K780="","","1 : "&amp;TEXT(K780,"0.0"))</x:f>
        <x:v>1 : 5.0</x:v>
      </x:c>
      <x:c r="M780" s="66" t="str">
        <x:f>IF(J780="","Baru/Tanpa Data",IF(J780&lt;='Catatan &amp; Sumber'!$B$14,"Sangat Ketat",IF(J780&lt;='Catatan &amp; Sumber'!$B$15,"Ketat",IF(J780&lt;='Catatan &amp; Sumber'!$B$16,"Sedang","Relatif Longgar"))))</x:f>
        <x:v>Relatif Longgar</x:v>
      </x:c>
      <x:c r="N780" s="66" t="str">
        <x:v>Tidak Ada</x:v>
      </x:c>
      <x:c r="O780" s="66" t="str">
        <x:v>Bengkulu</x:v>
      </x:c>
      <x:c r="P780" s="66" t="str">
        <x:v>Kota Bengkulu</x:v>
      </x:c>
      <x:c r="Q780" s="66" t="str">
        <x:v>https://snpmb.id/snbp/daya-tampung-snbp</x:v>
      </x:c>
      <x:c r="R780" s="66" t="str">
        <x:v>https://sidatagrun-public-1076756628210.asia-southeast2.run.app/ptn_sn.php?ptn=161</x:v>
      </x:c>
    </x:row>
    <x:row r="781">
      <x:c r="A781" s="87" t="n">
        <x:v>631</x:v>
      </x:c>
      <x:c r="B781" s="87" t="n">
        <x:v>161</x:v>
      </x:c>
      <x:c r="C781" s="66" t="str">
        <x:v>UNIVERSITAS BENGKULU</x:v>
      </x:c>
      <x:c r="D781" s="66" t="str">
        <x:v>PTN Akademik</x:v>
      </x:c>
      <x:c r="E781" s="66" t="str">
        <x:v>11613049</x:v>
      </x:c>
      <x:c r="F781" s="66" t="str">
        <x:v>KEBIDANAN</x:v>
      </x:c>
      <x:c r="G781" s="66" t="str">
        <x:v>Diploma Tiga</x:v>
      </x:c>
      <x:c r="H781" s="87" t="n">
        <x:v>24</x:v>
      </x:c>
      <x:c r="I781" s="87" t="n">
        <x:v>409</x:v>
      </x:c>
      <x:c r="J781" s="68" t="n">
        <x:f>IFERROR(H781/I781,"")</x:f>
        <x:v>0.05867970660146699</x:v>
      </x:c>
      <x:c r="K781" s="69" t="n">
        <x:f>IFERROR(I781/H781,"")</x:f>
        <x:v>17.041666666666668</x:v>
      </x:c>
      <x:c r="L781" s="66" t="str">
        <x:f>IF(K781="","","1 : "&amp;TEXT(K781,"0.0"))</x:f>
        <x:v>1 : 17.0</x:v>
      </x:c>
      <x:c r="M781" s="66" t="str">
        <x:f>IF(J781="","Baru/Tanpa Data",IF(J781&lt;='Catatan &amp; Sumber'!$B$14,"Sangat Ketat",IF(J781&lt;='Catatan &amp; Sumber'!$B$15,"Ketat",IF(J781&lt;='Catatan &amp; Sumber'!$B$16,"Sedang","Relatif Longgar"))))</x:f>
        <x:v>Sedang</x:v>
      </x:c>
      <x:c r="N781" s="66" t="str">
        <x:v>Tidak Ada</x:v>
      </x:c>
      <x:c r="O781" s="66" t="str">
        <x:v>Bengkulu</x:v>
      </x:c>
      <x:c r="P781" s="66" t="str">
        <x:v>Kota Bengkulu</x:v>
      </x:c>
      <x:c r="Q781" s="66" t="str">
        <x:v>https://snpmb.id/snbp/daya-tampung-snbp</x:v>
      </x:c>
      <x:c r="R781" s="66" t="str">
        <x:v>https://sidatagrun-public-1076756628210.asia-southeast2.run.app/ptn_sn.php?ptn=161</x:v>
      </x:c>
    </x:row>
    <x:row r="782">
      <x:c r="A782" s="87" t="n">
        <x:v>264</x:v>
      </x:c>
      <x:c r="B782" s="87" t="n">
        <x:v>161</x:v>
      </x:c>
      <x:c r="C782" s="66" t="str">
        <x:v>UNIVERSITAS BENGKULU</x:v>
      </x:c>
      <x:c r="D782" s="66" t="str">
        <x:v>PTN Akademik</x:v>
      </x:c>
      <x:c r="E782" s="66" t="str">
        <x:v>11613052</x:v>
      </x:c>
      <x:c r="F782" s="66" t="str">
        <x:v>KEPERAWATAN</x:v>
      </x:c>
      <x:c r="G782" s="66" t="str">
        <x:v>Diploma Tiga</x:v>
      </x:c>
      <x:c r="H782" s="87" t="n">
        <x:v>24</x:v>
      </x:c>
      <x:c r="I782" s="87" t="n">
        <x:v>594</x:v>
      </x:c>
      <x:c r="J782" s="68" t="n">
        <x:f>IFERROR(H782/I782,"")</x:f>
        <x:v>0.04040404040404041</x:v>
      </x:c>
      <x:c r="K782" s="69" t="n">
        <x:f>IFERROR(I782/H782,"")</x:f>
        <x:v>24.75</x:v>
      </x:c>
      <x:c r="L782" s="66" t="str">
        <x:f>IF(K782="","","1 : "&amp;TEXT(K782,"0.0"))</x:f>
        <x:v>1 : 24.8</x:v>
      </x:c>
      <x:c r="M782" s="66" t="str">
        <x:f>IF(J782="","Baru/Tanpa Data",IF(J782&lt;='Catatan &amp; Sumber'!$B$14,"Sangat Ketat",IF(J782&lt;='Catatan &amp; Sumber'!$B$15,"Ketat",IF(J782&lt;='Catatan &amp; Sumber'!$B$16,"Sedang","Relatif Longgar"))))</x:f>
        <x:v>Ketat</x:v>
      </x:c>
      <x:c r="N782" s="66" t="str">
        <x:v>Tidak Ada</x:v>
      </x:c>
      <x:c r="O782" s="66" t="str">
        <x:v>Bengkulu</x:v>
      </x:c>
      <x:c r="P782" s="66" t="str">
        <x:v>Kota Bengkulu</x:v>
      </x:c>
      <x:c r="Q782" s="66" t="str">
        <x:v>https://snpmb.id/snbp/daya-tampung-snbp</x:v>
      </x:c>
      <x:c r="R782" s="66" t="str">
        <x:v>https://sidatagrun-public-1076756628210.asia-southeast2.run.app/ptn_sn.php?ptn=161</x:v>
      </x:c>
    </x:row>
    <x:row r="783">
      <x:c r="A783" s="87" t="n">
        <x:v>3568</x:v>
      </x:c>
      <x:c r="B783" s="87" t="n">
        <x:v>161</x:v>
      </x:c>
      <x:c r="C783" s="66" t="str">
        <x:v>UNIVERSITAS BENGKULU</x:v>
      </x:c>
      <x:c r="D783" s="66" t="str">
        <x:v>PTN Akademik</x:v>
      </x:c>
      <x:c r="E783" s="66" t="str">
        <x:v>11613054</x:v>
      </x:c>
      <x:c r="F783" s="66" t="str">
        <x:v>AKUNTANSI</x:v>
      </x:c>
      <x:c r="G783" s="66" t="str">
        <x:v>Diploma Tiga</x:v>
      </x:c>
      <x:c r="H783" s="87" t="n">
        <x:v>21</x:v>
      </x:c>
      <x:c r="I783" s="87" t="n">
        <x:v>46</x:v>
      </x:c>
      <x:c r="J783" s="68" t="n">
        <x:f>IFERROR(H783/I783,"")</x:f>
        <x:v>0.45652173913043476</x:v>
      </x:c>
      <x:c r="K783" s="69" t="n">
        <x:f>IFERROR(I783/H783,"")</x:f>
        <x:v>2.1904761904761907</x:v>
      </x:c>
      <x:c r="L783" s="66" t="str">
        <x:f>IF(K783="","","1 : "&amp;TEXT(K783,"0.0"))</x:f>
        <x:v>1 : 2.2</x:v>
      </x:c>
      <x:c r="M783" s="66" t="str">
        <x:f>IF(J783="","Baru/Tanpa Data",IF(J783&lt;='Catatan &amp; Sumber'!$B$14,"Sangat Ketat",IF(J783&lt;='Catatan &amp; Sumber'!$B$15,"Ketat",IF(J783&lt;='Catatan &amp; Sumber'!$B$16,"Sedang","Relatif Longgar"))))</x:f>
        <x:v>Relatif Longgar</x:v>
      </x:c>
      <x:c r="N783" s="66" t="str">
        <x:v>Tidak Ada</x:v>
      </x:c>
      <x:c r="O783" s="66" t="str">
        <x:v>Bengkulu</x:v>
      </x:c>
      <x:c r="P783" s="66" t="str">
        <x:v>Kota Bengkulu</x:v>
      </x:c>
      <x:c r="Q783" s="66" t="str">
        <x:v>https://snpmb.id/snbp/daya-tampung-snbp</x:v>
      </x:c>
      <x:c r="R783" s="66" t="str">
        <x:v>https://sidatagrun-public-1076756628210.asia-southeast2.run.app/ptn_sn.php?ptn=161</x:v>
      </x:c>
    </x:row>
    <x:row r="784">
      <x:c r="A784" s="87" t="n">
        <x:v>518</x:v>
      </x:c>
      <x:c r="B784" s="87" t="n">
        <x:v>171</x:v>
      </x:c>
      <x:c r="C784" s="66" t="str">
        <x:v>UNIVERSITAS SRIWIJAYA</x:v>
      </x:c>
      <x:c r="D784" s="66" t="str">
        <x:v>PTN Akademik</x:v>
      </x:c>
      <x:c r="E784" s="66" t="str">
        <x:v>11711001</x:v>
      </x:c>
      <x:c r="F784" s="66" t="str">
        <x:v>TEKNIK SIPIL</x:v>
      </x:c>
      <x:c r="G784" s="66" t="str">
        <x:v>Sarjana</x:v>
      </x:c>
      <x:c r="H784" s="87" t="n">
        <x:v>35</x:v>
      </x:c>
      <x:c r="I784" s="87" t="n">
        <x:v>667</x:v>
      </x:c>
      <x:c r="J784" s="68" t="n">
        <x:f>IFERROR(H784/I784,"")</x:f>
        <x:v>0.05247376311844078</x:v>
      </x:c>
      <x:c r="K784" s="69" t="n">
        <x:f>IFERROR(I784/H784,"")</x:f>
        <x:v>19.057142857142857</x:v>
      </x:c>
      <x:c r="L784" s="66" t="str">
        <x:f>IF(K784="","","1 : "&amp;TEXT(K784,"0.0"))</x:f>
        <x:v>1 : 19.1</x:v>
      </x:c>
      <x:c r="M784" s="66" t="str">
        <x:f>IF(J784="","Baru/Tanpa Data",IF(J784&lt;='Catatan &amp; Sumber'!$B$14,"Sangat Ketat",IF(J784&lt;='Catatan &amp; Sumber'!$B$15,"Ketat",IF(J784&lt;='Catatan &amp; Sumber'!$B$16,"Sedang","Relatif Longgar"))))</x:f>
        <x:v>Sedang</x:v>
      </x:c>
      <x:c r="N784" s="66" t="str">
        <x:v>Tidak Ada</x:v>
      </x:c>
      <x:c r="O784" s="66" t="str">
        <x:v>Sumatera Selatan</x:v>
      </x:c>
      <x:c r="P784" s="66" t="str">
        <x:v>Kabupaten Ogan Ilir</x:v>
      </x:c>
      <x:c r="Q784" s="66" t="str">
        <x:v>https://snpmb.id/snbp/daya-tampung-snbp</x:v>
      </x:c>
      <x:c r="R784" s="66" t="str">
        <x:v>https://sidatagrun-public-1076756628210.asia-southeast2.run.app/ptn_sn.php?ptn=171</x:v>
      </x:c>
    </x:row>
    <x:row r="785">
      <x:c r="A785" s="87" t="n">
        <x:v>48</x:v>
      </x:c>
      <x:c r="B785" s="87" t="n">
        <x:v>171</x:v>
      </x:c>
      <x:c r="C785" s="66" t="str">
        <x:v>UNIVERSITAS SRIWIJAYA</x:v>
      </x:c>
      <x:c r="D785" s="66" t="str">
        <x:v>PTN Akademik</x:v>
      </x:c>
      <x:c r="E785" s="66" t="str">
        <x:v>11711002</x:v>
      </x:c>
      <x:c r="F785" s="66" t="str">
        <x:v>TEKNIK PERTAMBANGAN</x:v>
      </x:c>
      <x:c r="G785" s="66" t="str">
        <x:v>Sarjana</x:v>
      </x:c>
      <x:c r="H785" s="87" t="n">
        <x:v>35</x:v>
      </x:c>
      <x:c r="I785" s="87" t="n">
        <x:v>1557</x:v>
      </x:c>
      <x:c r="J785" s="68" t="n">
        <x:f>IFERROR(H785/I785,"")</x:f>
        <x:v>0.0224791265253693</x:v>
      </x:c>
      <x:c r="K785" s="69" t="n">
        <x:f>IFERROR(I785/H785,"")</x:f>
        <x:v>44.48571428571429</x:v>
      </x:c>
      <x:c r="L785" s="66" t="str">
        <x:f>IF(K785="","","1 : "&amp;TEXT(K785,"0.0"))</x:f>
        <x:v>1 : 44.5</x:v>
      </x:c>
      <x:c r="M785" s="66" t="str">
        <x:f>IF(J785="","Baru/Tanpa Data",IF(J785&lt;='Catatan &amp; Sumber'!$B$14,"Sangat Ketat",IF(J785&lt;='Catatan &amp; Sumber'!$B$15,"Ketat",IF(J785&lt;='Catatan &amp; Sumber'!$B$16,"Sedang","Relatif Longgar"))))</x:f>
        <x:v>Ketat</x:v>
      </x:c>
      <x:c r="N785" s="66" t="str">
        <x:v>Tidak Ada</x:v>
      </x:c>
      <x:c r="O785" s="66" t="str">
        <x:v>Sumatera Selatan</x:v>
      </x:c>
      <x:c r="P785" s="66" t="str">
        <x:v>Kabupaten Ogan Ilir</x:v>
      </x:c>
      <x:c r="Q785" s="66" t="str">
        <x:v>https://snpmb.id/snbp/daya-tampung-snbp</x:v>
      </x:c>
      <x:c r="R785" s="66" t="str">
        <x:v>https://sidatagrun-public-1076756628210.asia-southeast2.run.app/ptn_sn.php?ptn=171</x:v>
      </x:c>
    </x:row>
    <x:row r="786">
      <x:c r="A786" s="87" t="n">
        <x:v>1086</x:v>
      </x:c>
      <x:c r="B786" s="87" t="n">
        <x:v>171</x:v>
      </x:c>
      <x:c r="C786" s="66" t="str">
        <x:v>UNIVERSITAS SRIWIJAYA</x:v>
      </x:c>
      <x:c r="D786" s="66" t="str">
        <x:v>PTN Akademik</x:v>
      </x:c>
      <x:c r="E786" s="66" t="str">
        <x:v>11711003</x:v>
      </x:c>
      <x:c r="F786" s="66" t="str">
        <x:v>TEKNIK KIMIA</x:v>
      </x:c>
      <x:c r="G786" s="66" t="str">
        <x:v>Sarjana</x:v>
      </x:c>
      <x:c r="H786" s="87" t="n">
        <x:v>35</x:v>
      </x:c>
      <x:c r="I786" s="87" t="n">
        <x:v>423</x:v>
      </x:c>
      <x:c r="J786" s="68" t="n">
        <x:f>IFERROR(H786/I786,"")</x:f>
        <x:v>0.08274231678486997</x:v>
      </x:c>
      <x:c r="K786" s="69" t="n">
        <x:f>IFERROR(I786/H786,"")</x:f>
        <x:v>12.085714285714285</x:v>
      </x:c>
      <x:c r="L786" s="66" t="str">
        <x:f>IF(K786="","","1 : "&amp;TEXT(K786,"0.0"))</x:f>
        <x:v>1 : 12.1</x:v>
      </x:c>
      <x:c r="M786" s="66" t="str">
        <x:f>IF(J786="","Baru/Tanpa Data",IF(J786&lt;='Catatan &amp; Sumber'!$B$14,"Sangat Ketat",IF(J786&lt;='Catatan &amp; Sumber'!$B$15,"Ketat",IF(J786&lt;='Catatan &amp; Sumber'!$B$16,"Sedang","Relatif Longgar"))))</x:f>
        <x:v>Sedang</x:v>
      </x:c>
      <x:c r="N786" s="66" t="str">
        <x:v>Tidak Ada</x:v>
      </x:c>
      <x:c r="O786" s="66" t="str">
        <x:v>Sumatera Selatan</x:v>
      </x:c>
      <x:c r="P786" s="66" t="str">
        <x:v>Kabupaten Ogan Ilir</x:v>
      </x:c>
      <x:c r="Q786" s="66" t="str">
        <x:v>https://snpmb.id/snbp/daya-tampung-snbp</x:v>
      </x:c>
      <x:c r="R786" s="66" t="str">
        <x:v>https://sidatagrun-public-1076756628210.asia-southeast2.run.app/ptn_sn.php?ptn=171</x:v>
      </x:c>
    </x:row>
    <x:row r="787">
      <x:c r="A787" s="87" t="n">
        <x:v>841</x:v>
      </x:c>
      <x:c r="B787" s="87" t="n">
        <x:v>171</x:v>
      </x:c>
      <x:c r="C787" s="66" t="str">
        <x:v>UNIVERSITAS SRIWIJAYA</x:v>
      </x:c>
      <x:c r="D787" s="66" t="str">
        <x:v>PTN Akademik</x:v>
      </x:c>
      <x:c r="E787" s="66" t="str">
        <x:v>11711004</x:v>
      </x:c>
      <x:c r="F787" s="66" t="str">
        <x:v>TEKNIK MESIN</x:v>
      </x:c>
      <x:c r="G787" s="66" t="str">
        <x:v>Sarjana</x:v>
      </x:c>
      <x:c r="H787" s="87" t="n">
        <x:v>35</x:v>
      </x:c>
      <x:c r="I787" s="87" t="n">
        <x:v>509</x:v>
      </x:c>
      <x:c r="J787" s="68" t="n">
        <x:f>IFERROR(H787/I787,"")</x:f>
        <x:v>0.068762278978389</x:v>
      </x:c>
      <x:c r="K787" s="69" t="n">
        <x:f>IFERROR(I787/H787,"")</x:f>
        <x:v>14.542857142857143</x:v>
      </x:c>
      <x:c r="L787" s="66" t="str">
        <x:f>IF(K787="","","1 : "&amp;TEXT(K787,"0.0"))</x:f>
        <x:v>1 : 14.5</x:v>
      </x:c>
      <x:c r="M787" s="66" t="str">
        <x:f>IF(J787="","Baru/Tanpa Data",IF(J787&lt;='Catatan &amp; Sumber'!$B$14,"Sangat Ketat",IF(J787&lt;='Catatan &amp; Sumber'!$B$15,"Ketat",IF(J787&lt;='Catatan &amp; Sumber'!$B$16,"Sedang","Relatif Longgar"))))</x:f>
        <x:v>Sedang</x:v>
      </x:c>
      <x:c r="N787" s="66" t="str">
        <x:v>Tidak Ada</x:v>
      </x:c>
      <x:c r="O787" s="66" t="str">
        <x:v>Sumatera Selatan</x:v>
      </x:c>
      <x:c r="P787" s="66" t="str">
        <x:v>Kabupaten Ogan Ilir</x:v>
      </x:c>
      <x:c r="Q787" s="66" t="str">
        <x:v>https://snpmb.id/snbp/daya-tampung-snbp</x:v>
      </x:c>
      <x:c r="R787" s="66" t="str">
        <x:v>https://sidatagrun-public-1076756628210.asia-southeast2.run.app/ptn_sn.php?ptn=171</x:v>
      </x:c>
    </x:row>
    <x:row r="788">
      <x:c r="A788" s="87" t="n">
        <x:v>916</x:v>
      </x:c>
      <x:c r="B788" s="87" t="n">
        <x:v>171</x:v>
      </x:c>
      <x:c r="C788" s="66" t="str">
        <x:v>UNIVERSITAS SRIWIJAYA</x:v>
      </x:c>
      <x:c r="D788" s="66" t="str">
        <x:v>PTN Akademik</x:v>
      </x:c>
      <x:c r="E788" s="66" t="str">
        <x:v>11711005</x:v>
      </x:c>
      <x:c r="F788" s="66" t="str">
        <x:v>TEKNIK ELEKTRO</x:v>
      </x:c>
      <x:c r="G788" s="66" t="str">
        <x:v>Sarjana</x:v>
      </x:c>
      <x:c r="H788" s="87" t="n">
        <x:v>35</x:v>
      </x:c>
      <x:c r="I788" s="87" t="n">
        <x:v>478</x:v>
      </x:c>
      <x:c r="J788" s="68" t="n">
        <x:f>IFERROR(H788/I788,"")</x:f>
        <x:v>0.07322175732217573</x:v>
      </x:c>
      <x:c r="K788" s="69" t="n">
        <x:f>IFERROR(I788/H788,"")</x:f>
        <x:v>13.657142857142857</x:v>
      </x:c>
      <x:c r="L788" s="66" t="str">
        <x:f>IF(K788="","","1 : "&amp;TEXT(K788,"0.0"))</x:f>
        <x:v>1 : 13.7</x:v>
      </x:c>
      <x:c r="M788" s="66" t="str">
        <x:f>IF(J788="","Baru/Tanpa Data",IF(J788&lt;='Catatan &amp; Sumber'!$B$14,"Sangat Ketat",IF(J788&lt;='Catatan &amp; Sumber'!$B$15,"Ketat",IF(J788&lt;='Catatan &amp; Sumber'!$B$16,"Sedang","Relatif Longgar"))))</x:f>
        <x:v>Sedang</x:v>
      </x:c>
      <x:c r="N788" s="66" t="str">
        <x:v>Tidak Ada</x:v>
      </x:c>
      <x:c r="O788" s="66" t="str">
        <x:v>Sumatera Selatan</x:v>
      </x:c>
      <x:c r="P788" s="66" t="str">
        <x:v>Kabupaten Ogan Ilir</x:v>
      </x:c>
      <x:c r="Q788" s="66" t="str">
        <x:v>https://snpmb.id/snbp/daya-tampung-snbp</x:v>
      </x:c>
      <x:c r="R788" s="66" t="str">
        <x:v>https://sidatagrun-public-1076756628210.asia-southeast2.run.app/ptn_sn.php?ptn=171</x:v>
      </x:c>
    </x:row>
    <x:row r="789">
      <x:c r="A789" s="87" t="n">
        <x:v>347</x:v>
      </x:c>
      <x:c r="B789" s="87" t="n">
        <x:v>171</x:v>
      </x:c>
      <x:c r="C789" s="66" t="str">
        <x:v>UNIVERSITAS SRIWIJAYA</x:v>
      </x:c>
      <x:c r="D789" s="66" t="str">
        <x:v>PTN Akademik</x:v>
      </x:c>
      <x:c r="E789" s="66" t="str">
        <x:v>11711006</x:v>
      </x:c>
      <x:c r="F789" s="66" t="str">
        <x:v>PENDIDIKAN DOKTER</x:v>
      </x:c>
      <x:c r="G789" s="66" t="str">
        <x:v>Sarjana</x:v>
      </x:c>
      <x:c r="H789" s="87" t="n">
        <x:v>50</x:v>
      </x:c>
      <x:c r="I789" s="87" t="n">
        <x:v>1127</x:v>
      </x:c>
      <x:c r="J789" s="68" t="n">
        <x:f>IFERROR(H789/I789,"")</x:f>
        <x:v>0.044365572315882874</x:v>
      </x:c>
      <x:c r="K789" s="69" t="n">
        <x:f>IFERROR(I789/H789,"")</x:f>
        <x:v>22.54</x:v>
      </x:c>
      <x:c r="L789" s="66" t="str">
        <x:f>IF(K789="","","1 : "&amp;TEXT(K789,"0.0"))</x:f>
        <x:v>1 : 22.5</x:v>
      </x:c>
      <x:c r="M789" s="66" t="str">
        <x:f>IF(J789="","Baru/Tanpa Data",IF(J789&lt;='Catatan &amp; Sumber'!$B$14,"Sangat Ketat",IF(J789&lt;='Catatan &amp; Sumber'!$B$15,"Ketat",IF(J789&lt;='Catatan &amp; Sumber'!$B$16,"Sedang","Relatif Longgar"))))</x:f>
        <x:v>Ketat</x:v>
      </x:c>
      <x:c r="N789" s="66" t="str">
        <x:v>Tidak Ada</x:v>
      </x:c>
      <x:c r="O789" s="66" t="str">
        <x:v>Sumatera Selatan</x:v>
      </x:c>
      <x:c r="P789" s="66" t="str">
        <x:v>Kabupaten Ogan Ilir</x:v>
      </x:c>
      <x:c r="Q789" s="66" t="str">
        <x:v>https://snpmb.id/snbp/daya-tampung-snbp</x:v>
      </x:c>
      <x:c r="R789" s="66" t="str">
        <x:v>https://sidatagrun-public-1076756628210.asia-southeast2.run.app/ptn_sn.php?ptn=171</x:v>
      </x:c>
    </x:row>
    <x:row r="790">
      <x:c r="A790" s="87" t="n">
        <x:v>88</x:v>
      </x:c>
      <x:c r="B790" s="87" t="n">
        <x:v>171</x:v>
      </x:c>
      <x:c r="C790" s="66" t="str">
        <x:v>UNIVERSITAS SRIWIJAYA</x:v>
      </x:c>
      <x:c r="D790" s="66" t="str">
        <x:v>PTN Akademik</x:v>
      </x:c>
      <x:c r="E790" s="66" t="str">
        <x:v>11711007</x:v>
      </x:c>
      <x:c r="F790" s="66" t="str">
        <x:v>PENDIDIKAN DOKTER GIGI</x:v>
      </x:c>
      <x:c r="G790" s="66" t="str">
        <x:v>Sarjana</x:v>
      </x:c>
      <x:c r="H790" s="87" t="n">
        <x:v>16</x:v>
      </x:c>
      <x:c r="I790" s="87" t="n">
        <x:v>592</x:v>
      </x:c>
      <x:c r="J790" s="68" t="n">
        <x:f>IFERROR(H790/I790,"")</x:f>
        <x:v>0.02702702702702703</x:v>
      </x:c>
      <x:c r="K790" s="69" t="n">
        <x:f>IFERROR(I790/H790,"")</x:f>
        <x:v>37</x:v>
      </x:c>
      <x:c r="L790" s="66" t="str">
        <x:f>IF(K790="","","1 : "&amp;TEXT(K790,"0.0"))</x:f>
        <x:v>1 : 37.0</x:v>
      </x:c>
      <x:c r="M790" s="66" t="str">
        <x:f>IF(J790="","Baru/Tanpa Data",IF(J790&lt;='Catatan &amp; Sumber'!$B$14,"Sangat Ketat",IF(J790&lt;='Catatan &amp; Sumber'!$B$15,"Ketat",IF(J790&lt;='Catatan &amp; Sumber'!$B$16,"Sedang","Relatif Longgar"))))</x:f>
        <x:v>Ketat</x:v>
      </x:c>
      <x:c r="N790" s="66" t="str">
        <x:v>Tidak Ada</x:v>
      </x:c>
      <x:c r="O790" s="66" t="str">
        <x:v>Sumatera Selatan</x:v>
      </x:c>
      <x:c r="P790" s="66" t="str">
        <x:v>Kabupaten Ogan Ilir</x:v>
      </x:c>
      <x:c r="Q790" s="66" t="str">
        <x:v>https://snpmb.id/snbp/daya-tampung-snbp</x:v>
      </x:c>
      <x:c r="R790" s="66" t="str">
        <x:v>https://sidatagrun-public-1076756628210.asia-southeast2.run.app/ptn_sn.php?ptn=171</x:v>
      </x:c>
    </x:row>
    <x:row r="791">
      <x:c r="A791" s="87" t="n">
        <x:v>2575</x:v>
      </x:c>
      <x:c r="B791" s="87" t="n">
        <x:v>171</x:v>
      </x:c>
      <x:c r="C791" s="66" t="str">
        <x:v>UNIVERSITAS SRIWIJAYA</x:v>
      </x:c>
      <x:c r="D791" s="66" t="str">
        <x:v>PTN Akademik</x:v>
      </x:c>
      <x:c r="E791" s="66" t="str">
        <x:v>11711008</x:v>
      </x:c>
      <x:c r="F791" s="66" t="str">
        <x:v>MATEMATIKA</x:v>
      </x:c>
      <x:c r="G791" s="66" t="str">
        <x:v>Sarjana</x:v>
      </x:c>
      <x:c r="H791" s="87" t="n">
        <x:v>36</x:v>
      </x:c>
      <x:c r="I791" s="87" t="n">
        <x:v>160</x:v>
      </x:c>
      <x:c r="J791" s="68" t="n">
        <x:f>IFERROR(H791/I791,"")</x:f>
        <x:v>0.225</x:v>
      </x:c>
      <x:c r="K791" s="69" t="n">
        <x:f>IFERROR(I791/H791,"")</x:f>
        <x:v>4.444444444444445</x:v>
      </x:c>
      <x:c r="L791" s="66" t="str">
        <x:f>IF(K791="","","1 : "&amp;TEXT(K791,"0.0"))</x:f>
        <x:v>1 : 4.4</x:v>
      </x:c>
      <x:c r="M791" s="66" t="str">
        <x:f>IF(J791="","Baru/Tanpa Data",IF(J791&lt;='Catatan &amp; Sumber'!$B$14,"Sangat Ketat",IF(J791&lt;='Catatan &amp; Sumber'!$B$15,"Ketat",IF(J791&lt;='Catatan &amp; Sumber'!$B$16,"Sedang","Relatif Longgar"))))</x:f>
        <x:v>Relatif Longgar</x:v>
      </x:c>
      <x:c r="N791" s="66" t="str">
        <x:v>Tidak Ada</x:v>
      </x:c>
      <x:c r="O791" s="66" t="str">
        <x:v>Sumatera Selatan</x:v>
      </x:c>
      <x:c r="P791" s="66" t="str">
        <x:v>Kabupaten Ogan Ilir</x:v>
      </x:c>
      <x:c r="Q791" s="66" t="str">
        <x:v>https://snpmb.id/snbp/daya-tampung-snbp</x:v>
      </x:c>
      <x:c r="R791" s="66" t="str">
        <x:v>https://sidatagrun-public-1076756628210.asia-southeast2.run.app/ptn_sn.php?ptn=171</x:v>
      </x:c>
    </x:row>
    <x:row r="792">
      <x:c r="A792" s="87" t="n">
        <x:v>3298</x:v>
      </x:c>
      <x:c r="B792" s="87" t="n">
        <x:v>171</x:v>
      </x:c>
      <x:c r="C792" s="66" t="str">
        <x:v>UNIVERSITAS SRIWIJAYA</x:v>
      </x:c>
      <x:c r="D792" s="66" t="str">
        <x:v>PTN Akademik</x:v>
      </x:c>
      <x:c r="E792" s="66" t="str">
        <x:v>11711009</x:v>
      </x:c>
      <x:c r="F792" s="66" t="str">
        <x:v>FISIKA</x:v>
      </x:c>
      <x:c r="G792" s="66" t="str">
        <x:v>Sarjana</x:v>
      </x:c>
      <x:c r="H792" s="87" t="n">
        <x:v>36</x:v>
      </x:c>
      <x:c r="I792" s="87" t="n">
        <x:v>96</x:v>
      </x:c>
      <x:c r="J792" s="68" t="n">
        <x:f>IFERROR(H792/I792,"")</x:f>
        <x:v>0.375</x:v>
      </x:c>
      <x:c r="K792" s="69" t="n">
        <x:f>IFERROR(I792/H792,"")</x:f>
        <x:v>2.6666666666666665</x:v>
      </x:c>
      <x:c r="L792" s="66" t="str">
        <x:f>IF(K792="","","1 : "&amp;TEXT(K792,"0.0"))</x:f>
        <x:v>1 : 2.7</x:v>
      </x:c>
      <x:c r="M792" s="66" t="str">
        <x:f>IF(J792="","Baru/Tanpa Data",IF(J792&lt;='Catatan &amp; Sumber'!$B$14,"Sangat Ketat",IF(J792&lt;='Catatan &amp; Sumber'!$B$15,"Ketat",IF(J792&lt;='Catatan &amp; Sumber'!$B$16,"Sedang","Relatif Longgar"))))</x:f>
        <x:v>Relatif Longgar</x:v>
      </x:c>
      <x:c r="N792" s="66" t="str">
        <x:v>Tidak Ada</x:v>
      </x:c>
      <x:c r="O792" s="66" t="str">
        <x:v>Sumatera Selatan</x:v>
      </x:c>
      <x:c r="P792" s="66" t="str">
        <x:v>Kabupaten Ogan Ilir</x:v>
      </x:c>
      <x:c r="Q792" s="66" t="str">
        <x:v>https://snpmb.id/snbp/daya-tampung-snbp</x:v>
      </x:c>
      <x:c r="R792" s="66" t="str">
        <x:v>https://sidatagrun-public-1076756628210.asia-southeast2.run.app/ptn_sn.php?ptn=171</x:v>
      </x:c>
    </x:row>
    <x:row r="793">
      <x:c r="A793" s="87" t="n">
        <x:v>2688</x:v>
      </x:c>
      <x:c r="B793" s="87" t="n">
        <x:v>171</x:v>
      </x:c>
      <x:c r="C793" s="66" t="str">
        <x:v>UNIVERSITAS SRIWIJAYA</x:v>
      </x:c>
      <x:c r="D793" s="66" t="str">
        <x:v>PTN Akademik</x:v>
      </x:c>
      <x:c r="E793" s="66" t="str">
        <x:v>11711010</x:v>
      </x:c>
      <x:c r="F793" s="66" t="str">
        <x:v>KIMIA</x:v>
      </x:c>
      <x:c r="G793" s="66" t="str">
        <x:v>Sarjana</x:v>
      </x:c>
      <x:c r="H793" s="87" t="n">
        <x:v>36</x:v>
      </x:c>
      <x:c r="I793" s="87" t="n">
        <x:v>149</x:v>
      </x:c>
      <x:c r="J793" s="68" t="n">
        <x:f>IFERROR(H793/I793,"")</x:f>
        <x:v>0.24161073825503357</x:v>
      </x:c>
      <x:c r="K793" s="69" t="n">
        <x:f>IFERROR(I793/H793,"")</x:f>
        <x:v>4.138888888888889</x:v>
      </x:c>
      <x:c r="L793" s="66" t="str">
        <x:f>IF(K793="","","1 : "&amp;TEXT(K793,"0.0"))</x:f>
        <x:v>1 : 4.1</x:v>
      </x:c>
      <x:c r="M793" s="66" t="str">
        <x:f>IF(J793="","Baru/Tanpa Data",IF(J793&lt;='Catatan &amp; Sumber'!$B$14,"Sangat Ketat",IF(J793&lt;='Catatan &amp; Sumber'!$B$15,"Ketat",IF(J793&lt;='Catatan &amp; Sumber'!$B$16,"Sedang","Relatif Longgar"))))</x:f>
        <x:v>Relatif Longgar</x:v>
      </x:c>
      <x:c r="N793" s="66" t="str">
        <x:v>Tidak Ada</x:v>
      </x:c>
      <x:c r="O793" s="66" t="str">
        <x:v>Sumatera Selatan</x:v>
      </x:c>
      <x:c r="P793" s="66" t="str">
        <x:v>Kabupaten Ogan Ilir</x:v>
      </x:c>
      <x:c r="Q793" s="66" t="str">
        <x:v>https://snpmb.id/snbp/daya-tampung-snbp</x:v>
      </x:c>
      <x:c r="R793" s="66" t="str">
        <x:v>https://sidatagrun-public-1076756628210.asia-southeast2.run.app/ptn_sn.php?ptn=171</x:v>
      </x:c>
    </x:row>
    <x:row r="794">
      <x:c r="A794" s="87" t="n">
        <x:v>2213</x:v>
      </x:c>
      <x:c r="B794" s="87" t="n">
        <x:v>171</x:v>
      </x:c>
      <x:c r="C794" s="66" t="str">
        <x:v>UNIVERSITAS SRIWIJAYA</x:v>
      </x:c>
      <x:c r="D794" s="66" t="str">
        <x:v>PTN Akademik</x:v>
      </x:c>
      <x:c r="E794" s="66" t="str">
        <x:v>11711011</x:v>
      </x:c>
      <x:c r="F794" s="66" t="str">
        <x:v>BIOLOGI</x:v>
      </x:c>
      <x:c r="G794" s="66" t="str">
        <x:v>Sarjana</x:v>
      </x:c>
      <x:c r="H794" s="87" t="n">
        <x:v>36</x:v>
      </x:c>
      <x:c r="I794" s="87" t="n">
        <x:v>207</x:v>
      </x:c>
      <x:c r="J794" s="68" t="n">
        <x:f>IFERROR(H794/I794,"")</x:f>
        <x:v>0.17391304347826086</x:v>
      </x:c>
      <x:c r="K794" s="69" t="n">
        <x:f>IFERROR(I794/H794,"")</x:f>
        <x:v>5.75</x:v>
      </x:c>
      <x:c r="L794" s="66" t="str">
        <x:f>IF(K794="","","1 : "&amp;TEXT(K794,"0.0"))</x:f>
        <x:v>1 : 5.8</x:v>
      </x:c>
      <x:c r="M794" s="66" t="str">
        <x:f>IF(J794="","Baru/Tanpa Data",IF(J794&lt;='Catatan &amp; Sumber'!$B$14,"Sangat Ketat",IF(J794&lt;='Catatan &amp; Sumber'!$B$15,"Ketat",IF(J794&lt;='Catatan &amp; Sumber'!$B$16,"Sedang","Relatif Longgar"))))</x:f>
        <x:v>Relatif Longgar</x:v>
      </x:c>
      <x:c r="N794" s="66" t="str">
        <x:v>Tidak Ada</x:v>
      </x:c>
      <x:c r="O794" s="66" t="str">
        <x:v>Sumatera Selatan</x:v>
      </x:c>
      <x:c r="P794" s="66" t="str">
        <x:v>Kabupaten Ogan Ilir</x:v>
      </x:c>
      <x:c r="Q794" s="66" t="str">
        <x:v>https://snpmb.id/snbp/daya-tampung-snbp</x:v>
      </x:c>
      <x:c r="R794" s="66" t="str">
        <x:v>https://sidatagrun-public-1076756628210.asia-southeast2.run.app/ptn_sn.php?ptn=171</x:v>
      </x:c>
    </x:row>
    <x:row r="795">
      <x:c r="A795" s="87" t="n">
        <x:v>1690</x:v>
      </x:c>
      <x:c r="B795" s="87" t="n">
        <x:v>171</x:v>
      </x:c>
      <x:c r="C795" s="66" t="str">
        <x:v>UNIVERSITAS SRIWIJAYA</x:v>
      </x:c>
      <x:c r="D795" s="66" t="str">
        <x:v>PTN Akademik</x:v>
      </x:c>
      <x:c r="E795" s="66" t="str">
        <x:v>11711012</x:v>
      </x:c>
      <x:c r="F795" s="66" t="str">
        <x:v>AGRIBISNIS</x:v>
      </x:c>
      <x:c r="G795" s="66" t="str">
        <x:v>Sarjana</x:v>
      </x:c>
      <x:c r="H795" s="87" t="n">
        <x:v>65</x:v>
      </x:c>
      <x:c r="I795" s="87" t="n">
        <x:v>526</x:v>
      </x:c>
      <x:c r="J795" s="68" t="n">
        <x:f>IFERROR(H795/I795,"")</x:f>
        <x:v>0.12357414448669202</x:v>
      </x:c>
      <x:c r="K795" s="69" t="n">
        <x:f>IFERROR(I795/H795,"")</x:f>
        <x:v>8.092307692307692</x:v>
      </x:c>
      <x:c r="L795" s="66" t="str">
        <x:f>IF(K795="","","1 : "&amp;TEXT(K795,"0.0"))</x:f>
        <x:v>1 : 8.1</x:v>
      </x:c>
      <x:c r="M795" s="66" t="str">
        <x:f>IF(J795="","Baru/Tanpa Data",IF(J795&lt;='Catatan &amp; Sumber'!$B$14,"Sangat Ketat",IF(J795&lt;='Catatan &amp; Sumber'!$B$15,"Ketat",IF(J795&lt;='Catatan &amp; Sumber'!$B$16,"Sedang","Relatif Longgar"))))</x:f>
        <x:v>Relatif Longgar</x:v>
      </x:c>
      <x:c r="N795" s="66" t="str">
        <x:v>Tidak Ada</x:v>
      </x:c>
      <x:c r="O795" s="66" t="str">
        <x:v>Sumatera Selatan</x:v>
      </x:c>
      <x:c r="P795" s="66" t="str">
        <x:v>Kabupaten Ogan Ilir</x:v>
      </x:c>
      <x:c r="Q795" s="66" t="str">
        <x:v>https://snpmb.id/snbp/daya-tampung-snbp</x:v>
      </x:c>
      <x:c r="R795" s="66" t="str">
        <x:v>https://sidatagrun-public-1076756628210.asia-southeast2.run.app/ptn_sn.php?ptn=171</x:v>
      </x:c>
    </x:row>
    <x:row r="796">
      <x:c r="A796" s="87" t="n">
        <x:v>1862</x:v>
      </x:c>
      <x:c r="B796" s="87" t="n">
        <x:v>171</x:v>
      </x:c>
      <x:c r="C796" s="66" t="str">
        <x:v>UNIVERSITAS SRIWIJAYA</x:v>
      </x:c>
      <x:c r="D796" s="66" t="str">
        <x:v>PTN Akademik</x:v>
      </x:c>
      <x:c r="E796" s="66" t="str">
        <x:v>11711013</x:v>
      </x:c>
      <x:c r="F796" s="66" t="str">
        <x:v>TEKNOLOGI HASIL PERTANIAN</x:v>
      </x:c>
      <x:c r="G796" s="66" t="str">
        <x:v>Sarjana</x:v>
      </x:c>
      <x:c r="H796" s="87" t="n">
        <x:v>34</x:v>
      </x:c>
      <x:c r="I796" s="87" t="n">
        <x:v>247</x:v>
      </x:c>
      <x:c r="J796" s="68" t="n">
        <x:f>IFERROR(H796/I796,"")</x:f>
        <x:v>0.13765182186234817</x:v>
      </x:c>
      <x:c r="K796" s="69" t="n">
        <x:f>IFERROR(I796/H796,"")</x:f>
        <x:v>7.264705882352941</x:v>
      </x:c>
      <x:c r="L796" s="66" t="str">
        <x:f>IF(K796="","","1 : "&amp;TEXT(K796,"0.0"))</x:f>
        <x:v>1 : 7.3</x:v>
      </x:c>
      <x:c r="M796" s="66" t="str">
        <x:f>IF(J796="","Baru/Tanpa Data",IF(J796&lt;='Catatan &amp; Sumber'!$B$14,"Sangat Ketat",IF(J796&lt;='Catatan &amp; Sumber'!$B$15,"Ketat",IF(J796&lt;='Catatan &amp; Sumber'!$B$16,"Sedang","Relatif Longgar"))))</x:f>
        <x:v>Relatif Longgar</x:v>
      </x:c>
      <x:c r="N796" s="66" t="str">
        <x:v>Tidak Ada</x:v>
      </x:c>
      <x:c r="O796" s="66" t="str">
        <x:v>Sumatera Selatan</x:v>
      </x:c>
      <x:c r="P796" s="66" t="str">
        <x:v>Kabupaten Ogan Ilir</x:v>
      </x:c>
      <x:c r="Q796" s="66" t="str">
        <x:v>https://snpmb.id/snbp/daya-tampung-snbp</x:v>
      </x:c>
      <x:c r="R796" s="66" t="str">
        <x:v>https://sidatagrun-public-1076756628210.asia-southeast2.run.app/ptn_sn.php?ptn=171</x:v>
      </x:c>
    </x:row>
    <x:row r="797">
      <x:c r="A797" s="87" t="n">
        <x:v>978</x:v>
      </x:c>
      <x:c r="B797" s="87" t="n">
        <x:v>171</x:v>
      </x:c>
      <x:c r="C797" s="66" t="str">
        <x:v>UNIVERSITAS SRIWIJAYA</x:v>
      </x:c>
      <x:c r="D797" s="66" t="str">
        <x:v>PTN Akademik</x:v>
      </x:c>
      <x:c r="E797" s="66" t="str">
        <x:v>11711014</x:v>
      </x:c>
      <x:c r="F797" s="66" t="str">
        <x:v>TEKNIK PERTANIAN</x:v>
      </x:c>
      <x:c r="G797" s="66" t="str">
        <x:v>Sarjana</x:v>
      </x:c>
      <x:c r="H797" s="87" t="n">
        <x:v>34</x:v>
      </x:c>
      <x:c r="I797" s="87" t="n">
        <x:v>442</x:v>
      </x:c>
      <x:c r="J797" s="68" t="n">
        <x:f>IFERROR(H797/I797,"")</x:f>
        <x:v>0.07692307692307693</x:v>
      </x:c>
      <x:c r="K797" s="69" t="n">
        <x:f>IFERROR(I797/H797,"")</x:f>
        <x:v>13</x:v>
      </x:c>
      <x:c r="L797" s="66" t="str">
        <x:f>IF(K797="","","1 : "&amp;TEXT(K797,"0.0"))</x:f>
        <x:v>1 : 13.0</x:v>
      </x:c>
      <x:c r="M797" s="66" t="str">
        <x:f>IF(J797="","Baru/Tanpa Data",IF(J797&lt;='Catatan &amp; Sumber'!$B$14,"Sangat Ketat",IF(J797&lt;='Catatan &amp; Sumber'!$B$15,"Ketat",IF(J797&lt;='Catatan &amp; Sumber'!$B$16,"Sedang","Relatif Longgar"))))</x:f>
        <x:v>Sedang</x:v>
      </x:c>
      <x:c r="N797" s="66" t="str">
        <x:v>Tidak Ada</x:v>
      </x:c>
      <x:c r="O797" s="66" t="str">
        <x:v>Sumatera Selatan</x:v>
      </x:c>
      <x:c r="P797" s="66" t="str">
        <x:v>Kabupaten Ogan Ilir</x:v>
      </x:c>
      <x:c r="Q797" s="66" t="str">
        <x:v>https://snpmb.id/snbp/daya-tampung-snbp</x:v>
      </x:c>
      <x:c r="R797" s="66" t="str">
        <x:v>https://sidatagrun-public-1076756628210.asia-southeast2.run.app/ptn_sn.php?ptn=171</x:v>
      </x:c>
    </x:row>
    <x:row r="798">
      <x:c r="A798" s="87" t="n">
        <x:v>676</x:v>
      </x:c>
      <x:c r="B798" s="87" t="n">
        <x:v>171</x:v>
      </x:c>
      <x:c r="C798" s="66" t="str">
        <x:v>UNIVERSITAS SRIWIJAYA</x:v>
      </x:c>
      <x:c r="D798" s="66" t="str">
        <x:v>PTN Akademik</x:v>
      </x:c>
      <x:c r="E798" s="66" t="str">
        <x:v>11711015</x:v>
      </x:c>
      <x:c r="F798" s="66" t="str">
        <x:v>PEND. MATEMATIKA</x:v>
      </x:c>
      <x:c r="G798" s="66" t="str">
        <x:v>Sarjana</x:v>
      </x:c>
      <x:c r="H798" s="87" t="n">
        <x:v>24</x:v>
      </x:c>
      <x:c r="I798" s="87" t="n">
        <x:v>397</x:v>
      </x:c>
      <x:c r="J798" s="68" t="n">
        <x:f>IFERROR(H798/I798,"")</x:f>
        <x:v>0.060453400503778336</x:v>
      </x:c>
      <x:c r="K798" s="69" t="n">
        <x:f>IFERROR(I798/H798,"")</x:f>
        <x:v>16.541666666666668</x:v>
      </x:c>
      <x:c r="L798" s="66" t="str">
        <x:f>IF(K798="","","1 : "&amp;TEXT(K798,"0.0"))</x:f>
        <x:v>1 : 16.5</x:v>
      </x:c>
      <x:c r="M798" s="66" t="str">
        <x:f>IF(J798="","Baru/Tanpa Data",IF(J798&lt;='Catatan &amp; Sumber'!$B$14,"Sangat Ketat",IF(J798&lt;='Catatan &amp; Sumber'!$B$15,"Ketat",IF(J798&lt;='Catatan &amp; Sumber'!$B$16,"Sedang","Relatif Longgar"))))</x:f>
        <x:v>Sedang</x:v>
      </x:c>
      <x:c r="N798" s="66" t="str">
        <x:v>Tidak Ada</x:v>
      </x:c>
      <x:c r="O798" s="66" t="str">
        <x:v>Sumatera Selatan</x:v>
      </x:c>
      <x:c r="P798" s="66" t="str">
        <x:v>Kabupaten Ogan Ilir</x:v>
      </x:c>
      <x:c r="Q798" s="66" t="str">
        <x:v>https://snpmb.id/snbp/daya-tampung-snbp</x:v>
      </x:c>
      <x:c r="R798" s="66" t="str">
        <x:v>https://sidatagrun-public-1076756628210.asia-southeast2.run.app/ptn_sn.php?ptn=171</x:v>
      </x:c>
    </x:row>
    <x:row r="799">
      <x:c r="A799" s="87" t="n">
        <x:v>464</x:v>
      </x:c>
      <x:c r="B799" s="87" t="n">
        <x:v>171</x:v>
      </x:c>
      <x:c r="C799" s="66" t="str">
        <x:v>UNIVERSITAS SRIWIJAYA</x:v>
      </x:c>
      <x:c r="D799" s="66" t="str">
        <x:v>PTN Akademik</x:v>
      </x:c>
      <x:c r="E799" s="66" t="str">
        <x:v>11711016</x:v>
      </x:c>
      <x:c r="F799" s="66" t="str">
        <x:v>PEND BIOLOGI</x:v>
      </x:c>
      <x:c r="G799" s="66" t="str">
        <x:v>Sarjana</x:v>
      </x:c>
      <x:c r="H799" s="87" t="n">
        <x:v>20</x:v>
      </x:c>
      <x:c r="I799" s="87" t="n">
        <x:v>404</x:v>
      </x:c>
      <x:c r="J799" s="68" t="n">
        <x:f>IFERROR(H799/I799,"")</x:f>
        <x:v>0.04950495049504951</x:v>
      </x:c>
      <x:c r="K799" s="69" t="n">
        <x:f>IFERROR(I799/H799,"")</x:f>
        <x:v>20.2</x:v>
      </x:c>
      <x:c r="L799" s="66" t="str">
        <x:f>IF(K799="","","1 : "&amp;TEXT(K799,"0.0"))</x:f>
        <x:v>1 : 20.2</x:v>
      </x:c>
      <x:c r="M799" s="66" t="str">
        <x:f>IF(J799="","Baru/Tanpa Data",IF(J799&lt;='Catatan &amp; Sumber'!$B$14,"Sangat Ketat",IF(J799&lt;='Catatan &amp; Sumber'!$B$15,"Ketat",IF(J799&lt;='Catatan &amp; Sumber'!$B$16,"Sedang","Relatif Longgar"))))</x:f>
        <x:v>Ketat</x:v>
      </x:c>
      <x:c r="N799" s="66" t="str">
        <x:v>Tidak Ada</x:v>
      </x:c>
      <x:c r="O799" s="66" t="str">
        <x:v>Sumatera Selatan</x:v>
      </x:c>
      <x:c r="P799" s="66" t="str">
        <x:v>Kabupaten Ogan Ilir</x:v>
      </x:c>
      <x:c r="Q799" s="66" t="str">
        <x:v>https://snpmb.id/snbp/daya-tampung-snbp</x:v>
      </x:c>
      <x:c r="R799" s="66" t="str">
        <x:v>https://sidatagrun-public-1076756628210.asia-southeast2.run.app/ptn_sn.php?ptn=171</x:v>
      </x:c>
    </x:row>
    <x:row r="800">
      <x:c r="A800" s="87" t="n">
        <x:v>1311</x:v>
      </x:c>
      <x:c r="B800" s="87" t="n">
        <x:v>171</x:v>
      </x:c>
      <x:c r="C800" s="66" t="str">
        <x:v>UNIVERSITAS SRIWIJAYA</x:v>
      </x:c>
      <x:c r="D800" s="66" t="str">
        <x:v>PTN Akademik</x:v>
      </x:c>
      <x:c r="E800" s="66" t="str">
        <x:v>11711017</x:v>
      </x:c>
      <x:c r="F800" s="66" t="str">
        <x:v>PEND. KIMIA</x:v>
      </x:c>
      <x:c r="G800" s="66" t="str">
        <x:v>Sarjana</x:v>
      </x:c>
      <x:c r="H800" s="87" t="n">
        <x:v>20</x:v>
      </x:c>
      <x:c r="I800" s="87" t="n">
        <x:v>208</x:v>
      </x:c>
      <x:c r="J800" s="68" t="n">
        <x:f>IFERROR(H800/I800,"")</x:f>
        <x:v>0.09615384615384616</x:v>
      </x:c>
      <x:c r="K800" s="69" t="n">
        <x:f>IFERROR(I800/H800,"")</x:f>
        <x:v>10.4</x:v>
      </x:c>
      <x:c r="L800" s="66" t="str">
        <x:f>IF(K800="","","1 : "&amp;TEXT(K800,"0.0"))</x:f>
        <x:v>1 : 10.4</x:v>
      </x:c>
      <x:c r="M800" s="66" t="str">
        <x:f>IF(J800="","Baru/Tanpa Data",IF(J800&lt;='Catatan &amp; Sumber'!$B$14,"Sangat Ketat",IF(J800&lt;='Catatan &amp; Sumber'!$B$15,"Ketat",IF(J800&lt;='Catatan &amp; Sumber'!$B$16,"Sedang","Relatif Longgar"))))</x:f>
        <x:v>Sedang</x:v>
      </x:c>
      <x:c r="N800" s="66" t="str">
        <x:v>Tidak Ada</x:v>
      </x:c>
      <x:c r="O800" s="66" t="str">
        <x:v>Sumatera Selatan</x:v>
      </x:c>
      <x:c r="P800" s="66" t="str">
        <x:v>Kabupaten Ogan Ilir</x:v>
      </x:c>
      <x:c r="Q800" s="66" t="str">
        <x:v>https://snpmb.id/snbp/daya-tampung-snbp</x:v>
      </x:c>
      <x:c r="R800" s="66" t="str">
        <x:v>https://sidatagrun-public-1076756628210.asia-southeast2.run.app/ptn_sn.php?ptn=171</x:v>
      </x:c>
    </x:row>
    <x:row r="801">
      <x:c r="A801" s="87" t="n">
        <x:v>1798</x:v>
      </x:c>
      <x:c r="B801" s="87" t="n">
        <x:v>171</x:v>
      </x:c>
      <x:c r="C801" s="66" t="str">
        <x:v>UNIVERSITAS SRIWIJAYA</x:v>
      </x:c>
      <x:c r="D801" s="66" t="str">
        <x:v>PTN Akademik</x:v>
      </x:c>
      <x:c r="E801" s="66" t="str">
        <x:v>11711018</x:v>
      </x:c>
      <x:c r="F801" s="66" t="str">
        <x:v>PEND FISIKA</x:v>
      </x:c>
      <x:c r="G801" s="66" t="str">
        <x:v>Sarjana</x:v>
      </x:c>
      <x:c r="H801" s="87" t="n">
        <x:v>20</x:v>
      </x:c>
      <x:c r="I801" s="87" t="n">
        <x:v>151</x:v>
      </x:c>
      <x:c r="J801" s="68" t="n">
        <x:f>IFERROR(H801/I801,"")</x:f>
        <x:v>0.13245033112582782</x:v>
      </x:c>
      <x:c r="K801" s="69" t="n">
        <x:f>IFERROR(I801/H801,"")</x:f>
        <x:v>7.55</x:v>
      </x:c>
      <x:c r="L801" s="66" t="str">
        <x:f>IF(K801="","","1 : "&amp;TEXT(K801,"0.0"))</x:f>
        <x:v>1 : 7.6</x:v>
      </x:c>
      <x:c r="M801" s="66" t="str">
        <x:f>IF(J801="","Baru/Tanpa Data",IF(J801&lt;='Catatan &amp; Sumber'!$B$14,"Sangat Ketat",IF(J801&lt;='Catatan &amp; Sumber'!$B$15,"Ketat",IF(J801&lt;='Catatan &amp; Sumber'!$B$16,"Sedang","Relatif Longgar"))))</x:f>
        <x:v>Relatif Longgar</x:v>
      </x:c>
      <x:c r="N801" s="66" t="str">
        <x:v>Tidak Ada</x:v>
      </x:c>
      <x:c r="O801" s="66" t="str">
        <x:v>Sumatera Selatan</x:v>
      </x:c>
      <x:c r="P801" s="66" t="str">
        <x:v>Kabupaten Ogan Ilir</x:v>
      </x:c>
      <x:c r="Q801" s="66" t="str">
        <x:v>https://snpmb.id/snbp/daya-tampung-snbp</x:v>
      </x:c>
      <x:c r="R801" s="66" t="str">
        <x:v>https://sidatagrun-public-1076756628210.asia-southeast2.run.app/ptn_sn.php?ptn=171</x:v>
      </x:c>
    </x:row>
    <x:row r="802">
      <x:c r="A802" s="87" t="n">
        <x:v>1090</x:v>
      </x:c>
      <x:c r="B802" s="87" t="n">
        <x:v>171</x:v>
      </x:c>
      <x:c r="C802" s="66" t="str">
        <x:v>UNIVERSITAS SRIWIJAYA</x:v>
      </x:c>
      <x:c r="D802" s="66" t="str">
        <x:v>PTN Akademik</x:v>
      </x:c>
      <x:c r="E802" s="66" t="str">
        <x:v>11711019</x:v>
      </x:c>
      <x:c r="F802" s="66" t="str">
        <x:v>ILMU KESEHATAN MASYARAKAT</x:v>
      </x:c>
      <x:c r="G802" s="66" t="str">
        <x:v>Sarjana</x:v>
      </x:c>
      <x:c r="H802" s="87" t="n">
        <x:v>100</x:v>
      </x:c>
      <x:c r="I802" s="87" t="n">
        <x:v>1204</x:v>
      </x:c>
      <x:c r="J802" s="68" t="n">
        <x:f>IFERROR(H802/I802,"")</x:f>
        <x:v>0.08305647840531562</x:v>
      </x:c>
      <x:c r="K802" s="69" t="n">
        <x:f>IFERROR(I802/H802,"")</x:f>
        <x:v>12.04</x:v>
      </x:c>
      <x:c r="L802" s="66" t="str">
        <x:f>IF(K802="","","1 : "&amp;TEXT(K802,"0.0"))</x:f>
        <x:v>1 : 12.0</x:v>
      </x:c>
      <x:c r="M802" s="66" t="str">
        <x:f>IF(J802="","Baru/Tanpa Data",IF(J802&lt;='Catatan &amp; Sumber'!$B$14,"Sangat Ketat",IF(J802&lt;='Catatan &amp; Sumber'!$B$15,"Ketat",IF(J802&lt;='Catatan &amp; Sumber'!$B$16,"Sedang","Relatif Longgar"))))</x:f>
        <x:v>Sedang</x:v>
      </x:c>
      <x:c r="N802" s="66" t="str">
        <x:v>Tidak Ada</x:v>
      </x:c>
      <x:c r="O802" s="66" t="str">
        <x:v>Sumatera Selatan</x:v>
      </x:c>
      <x:c r="P802" s="66" t="str">
        <x:v>Kabupaten Ogan Ilir</x:v>
      </x:c>
      <x:c r="Q802" s="66" t="str">
        <x:v>https://snpmb.id/snbp/daya-tampung-snbp</x:v>
      </x:c>
      <x:c r="R802" s="66" t="str">
        <x:v>https://sidatagrun-public-1076756628210.asia-southeast2.run.app/ptn_sn.php?ptn=171</x:v>
      </x:c>
    </x:row>
    <x:row r="803">
      <x:c r="A803" s="87" t="n">
        <x:v>991</x:v>
      </x:c>
      <x:c r="B803" s="87" t="n">
        <x:v>171</x:v>
      </x:c>
      <x:c r="C803" s="66" t="str">
        <x:v>UNIVERSITAS SRIWIJAYA</x:v>
      </x:c>
      <x:c r="D803" s="66" t="str">
        <x:v>PTN Akademik</x:v>
      </x:c>
      <x:c r="E803" s="66" t="str">
        <x:v>11711020</x:v>
      </x:c>
      <x:c r="F803" s="66" t="str">
        <x:v>ARSITEKTUR</x:v>
      </x:c>
      <x:c r="G803" s="66" t="str">
        <x:v>Sarjana</x:v>
      </x:c>
      <x:c r="H803" s="87" t="n">
        <x:v>22</x:v>
      </x:c>
      <x:c r="I803" s="87" t="n">
        <x:v>284</x:v>
      </x:c>
      <x:c r="J803" s="68" t="n">
        <x:f>IFERROR(H803/I803,"")</x:f>
        <x:v>0.07746478873239436</x:v>
      </x:c>
      <x:c r="K803" s="69" t="n">
        <x:f>IFERROR(I803/H803,"")</x:f>
        <x:v>12.909090909090908</x:v>
      </x:c>
      <x:c r="L803" s="66" t="str">
        <x:f>IF(K803="","","1 : "&amp;TEXT(K803,"0.0"))</x:f>
        <x:v>1 : 12.9</x:v>
      </x:c>
      <x:c r="M803" s="66" t="str">
        <x:f>IF(J803="","Baru/Tanpa Data",IF(J803&lt;='Catatan &amp; Sumber'!$B$14,"Sangat Ketat",IF(J803&lt;='Catatan &amp; Sumber'!$B$15,"Ketat",IF(J803&lt;='Catatan &amp; Sumber'!$B$16,"Sedang","Relatif Longgar"))))</x:f>
        <x:v>Sedang</x:v>
      </x:c>
      <x:c r="N803" s="66" t="str">
        <x:v>Tidak Ada</x:v>
      </x:c>
      <x:c r="O803" s="66" t="str">
        <x:v>Sumatera Selatan</x:v>
      </x:c>
      <x:c r="P803" s="66" t="str">
        <x:v>Kabupaten Ogan Ilir</x:v>
      </x:c>
      <x:c r="Q803" s="66" t="str">
        <x:v>https://snpmb.id/snbp/daya-tampung-snbp</x:v>
      </x:c>
      <x:c r="R803" s="66" t="str">
        <x:v>https://sidatagrun-public-1076756628210.asia-southeast2.run.app/ptn_sn.php?ptn=171</x:v>
      </x:c>
    </x:row>
    <x:row r="804">
      <x:c r="A804" s="87" t="n">
        <x:v>2767</x:v>
      </x:c>
      <x:c r="B804" s="87" t="n">
        <x:v>171</x:v>
      </x:c>
      <x:c r="C804" s="66" t="str">
        <x:v>UNIVERSITAS SRIWIJAYA</x:v>
      </x:c>
      <x:c r="D804" s="66" t="str">
        <x:v>PTN Akademik</x:v>
      </x:c>
      <x:c r="E804" s="66" t="str">
        <x:v>11711021</x:v>
      </x:c>
      <x:c r="F804" s="66" t="str">
        <x:v>ILMU KELAUTAN</x:v>
      </x:c>
      <x:c r="G804" s="66" t="str">
        <x:v>Sarjana</x:v>
      </x:c>
      <x:c r="H804" s="87" t="n">
        <x:v>36</x:v>
      </x:c>
      <x:c r="I804" s="87" t="n">
        <x:v>142</x:v>
      </x:c>
      <x:c r="J804" s="68" t="n">
        <x:f>IFERROR(H804/I804,"")</x:f>
        <x:v>0.2535211267605634</x:v>
      </x:c>
      <x:c r="K804" s="69" t="n">
        <x:f>IFERROR(I804/H804,"")</x:f>
        <x:v>3.9444444444444446</x:v>
      </x:c>
      <x:c r="L804" s="66" t="str">
        <x:f>IF(K804="","","1 : "&amp;TEXT(K804,"0.0"))</x:f>
        <x:v>1 : 3.9</x:v>
      </x:c>
      <x:c r="M804" s="66" t="str">
        <x:f>IF(J804="","Baru/Tanpa Data",IF(J804&lt;='Catatan &amp; Sumber'!$B$14,"Sangat Ketat",IF(J804&lt;='Catatan &amp; Sumber'!$B$15,"Ketat",IF(J804&lt;='Catatan &amp; Sumber'!$B$16,"Sedang","Relatif Longgar"))))</x:f>
        <x:v>Relatif Longgar</x:v>
      </x:c>
      <x:c r="N804" s="66" t="str">
        <x:v>Tidak Ada</x:v>
      </x:c>
      <x:c r="O804" s="66" t="str">
        <x:v>Sumatera Selatan</x:v>
      </x:c>
      <x:c r="P804" s="66" t="str">
        <x:v>Kabupaten Ogan Ilir</x:v>
      </x:c>
      <x:c r="Q804" s="66" t="str">
        <x:v>https://snpmb.id/snbp/daya-tampung-snbp</x:v>
      </x:c>
      <x:c r="R804" s="66" t="str">
        <x:v>https://sidatagrun-public-1076756628210.asia-southeast2.run.app/ptn_sn.php?ptn=171</x:v>
      </x:c>
    </x:row>
    <x:row r="805">
      <x:c r="A805" s="87" t="n">
        <x:v>3616</x:v>
      </x:c>
      <x:c r="B805" s="87" t="n">
        <x:v>171</x:v>
      </x:c>
      <x:c r="C805" s="66" t="str">
        <x:v>UNIVERSITAS SRIWIJAYA</x:v>
      </x:c>
      <x:c r="D805" s="66" t="str">
        <x:v>PTN Akademik</x:v>
      </x:c>
      <x:c r="E805" s="66" t="str">
        <x:v>11711022</x:v>
      </x:c>
      <x:c r="F805" s="66" t="str">
        <x:v>BUDIDAYA PERAIRAN</x:v>
      </x:c>
      <x:c r="G805" s="66" t="str">
        <x:v>Sarjana</x:v>
      </x:c>
      <x:c r="H805" s="87" t="n">
        <x:v>40</x:v>
      </x:c>
      <x:c r="I805" s="87" t="n">
        <x:v>84</x:v>
      </x:c>
      <x:c r="J805" s="68" t="n">
        <x:f>IFERROR(H805/I805,"")</x:f>
        <x:v>0.47619047619047616</x:v>
      </x:c>
      <x:c r="K805" s="69" t="n">
        <x:f>IFERROR(I805/H805,"")</x:f>
        <x:v>2.1</x:v>
      </x:c>
      <x:c r="L805" s="66" t="str">
        <x:f>IF(K805="","","1 : "&amp;TEXT(K805,"0.0"))</x:f>
        <x:v>1 : 2.1</x:v>
      </x:c>
      <x:c r="M805" s="66" t="str">
        <x:f>IF(J805="","Baru/Tanpa Data",IF(J805&lt;='Catatan &amp; Sumber'!$B$14,"Sangat Ketat",IF(J805&lt;='Catatan &amp; Sumber'!$B$15,"Ketat",IF(J805&lt;='Catatan &amp; Sumber'!$B$16,"Sedang","Relatif Longgar"))))</x:f>
        <x:v>Relatif Longgar</x:v>
      </x:c>
      <x:c r="N805" s="66" t="str">
        <x:v>Tidak Ada</x:v>
      </x:c>
      <x:c r="O805" s="66" t="str">
        <x:v>Sumatera Selatan</x:v>
      </x:c>
      <x:c r="P805" s="66" t="str">
        <x:v>Kabupaten Ogan Ilir</x:v>
      </x:c>
      <x:c r="Q805" s="66" t="str">
        <x:v>https://snpmb.id/snbp/daya-tampung-snbp</x:v>
      </x:c>
      <x:c r="R805" s="66" t="str">
        <x:v>https://sidatagrun-public-1076756628210.asia-southeast2.run.app/ptn_sn.php?ptn=171</x:v>
      </x:c>
    </x:row>
    <x:row r="806">
      <x:c r="A806" s="87" t="n">
        <x:v>3560</x:v>
      </x:c>
      <x:c r="B806" s="87" t="n">
        <x:v>171</x:v>
      </x:c>
      <x:c r="C806" s="66" t="str">
        <x:v>UNIVERSITAS SRIWIJAYA</x:v>
      </x:c>
      <x:c r="D806" s="66" t="str">
        <x:v>PTN Akademik</x:v>
      </x:c>
      <x:c r="E806" s="66" t="str">
        <x:v>11711023</x:v>
      </x:c>
      <x:c r="F806" s="66" t="str">
        <x:v>TEKNOLOGI HASIL PERIKANAN</x:v>
      </x:c>
      <x:c r="G806" s="66" t="str">
        <x:v>Sarjana</x:v>
      </x:c>
      <x:c r="H806" s="87" t="n">
        <x:v>40</x:v>
      </x:c>
      <x:c r="I806" s="87" t="n">
        <x:v>88</x:v>
      </x:c>
      <x:c r="J806" s="68" t="n">
        <x:f>IFERROR(H806/I806,"")</x:f>
        <x:v>0.45454545454545453</x:v>
      </x:c>
      <x:c r="K806" s="69" t="n">
        <x:f>IFERROR(I806/H806,"")</x:f>
        <x:v>2.2</x:v>
      </x:c>
      <x:c r="L806" s="66" t="str">
        <x:f>IF(K806="","","1 : "&amp;TEXT(K806,"0.0"))</x:f>
        <x:v>1 : 2.2</x:v>
      </x:c>
      <x:c r="M806" s="66" t="str">
        <x:f>IF(J806="","Baru/Tanpa Data",IF(J806&lt;='Catatan &amp; Sumber'!$B$14,"Sangat Ketat",IF(J806&lt;='Catatan &amp; Sumber'!$B$15,"Ketat",IF(J806&lt;='Catatan &amp; Sumber'!$B$16,"Sedang","Relatif Longgar"))))</x:f>
        <x:v>Relatif Longgar</x:v>
      </x:c>
      <x:c r="N806" s="66" t="str">
        <x:v>Tidak Ada</x:v>
      </x:c>
      <x:c r="O806" s="66" t="str">
        <x:v>Sumatera Selatan</x:v>
      </x:c>
      <x:c r="P806" s="66" t="str">
        <x:v>Kabupaten Ogan Ilir</x:v>
      </x:c>
      <x:c r="Q806" s="66" t="str">
        <x:v>https://snpmb.id/snbp/daya-tampung-snbp</x:v>
      </x:c>
      <x:c r="R806" s="66" t="str">
        <x:v>https://sidatagrun-public-1076756628210.asia-southeast2.run.app/ptn_sn.php?ptn=171</x:v>
      </x:c>
    </x:row>
    <x:row r="807">
      <x:c r="A807" s="87" t="n">
        <x:v>73</x:v>
      </x:c>
      <x:c r="B807" s="87" t="n">
        <x:v>171</x:v>
      </x:c>
      <x:c r="C807" s="66" t="str">
        <x:v>UNIVERSITAS SRIWIJAYA</x:v>
      </x:c>
      <x:c r="D807" s="66" t="str">
        <x:v>PTN Akademik</x:v>
      </x:c>
      <x:c r="E807" s="66" t="str">
        <x:v>11711024</x:v>
      </x:c>
      <x:c r="F807" s="66" t="str">
        <x:v>ILMU KEPERAWATAN</x:v>
      </x:c>
      <x:c r="G807" s="66" t="str">
        <x:v>Sarjana</x:v>
      </x:c>
      <x:c r="H807" s="87" t="n">
        <x:v>30</x:v>
      </x:c>
      <x:c r="I807" s="87" t="n">
        <x:v>1158</x:v>
      </x:c>
      <x:c r="J807" s="68" t="n">
        <x:f>IFERROR(H807/I807,"")</x:f>
        <x:v>0.025906735751295335</x:v>
      </x:c>
      <x:c r="K807" s="69" t="n">
        <x:f>IFERROR(I807/H807,"")</x:f>
        <x:v>38.6</x:v>
      </x:c>
      <x:c r="L807" s="66" t="str">
        <x:f>IF(K807="","","1 : "&amp;TEXT(K807,"0.0"))</x:f>
        <x:v>1 : 38.6</x:v>
      </x:c>
      <x:c r="M807" s="66" t="str">
        <x:f>IF(J807="","Baru/Tanpa Data",IF(J807&lt;='Catatan &amp; Sumber'!$B$14,"Sangat Ketat",IF(J807&lt;='Catatan &amp; Sumber'!$B$15,"Ketat",IF(J807&lt;='Catatan &amp; Sumber'!$B$16,"Sedang","Relatif Longgar"))))</x:f>
        <x:v>Ketat</x:v>
      </x:c>
      <x:c r="N807" s="66" t="str">
        <x:v>Tidak Ada</x:v>
      </x:c>
      <x:c r="O807" s="66" t="str">
        <x:v>Sumatera Selatan</x:v>
      </x:c>
      <x:c r="P807" s="66" t="str">
        <x:v>Kabupaten Ogan Ilir</x:v>
      </x:c>
      <x:c r="Q807" s="66" t="str">
        <x:v>https://snpmb.id/snbp/daya-tampung-snbp</x:v>
      </x:c>
      <x:c r="R807" s="66" t="str">
        <x:v>https://sidatagrun-public-1076756628210.asia-southeast2.run.app/ptn_sn.php?ptn=171</x:v>
      </x:c>
    </x:row>
    <x:row r="808">
      <x:c r="A808" s="87" t="n">
        <x:v>2461</x:v>
      </x:c>
      <x:c r="B808" s="87" t="n">
        <x:v>171</x:v>
      </x:c>
      <x:c r="C808" s="66" t="str">
        <x:v>UNIVERSITAS SRIWIJAYA</x:v>
      </x:c>
      <x:c r="D808" s="66" t="str">
        <x:v>PTN Akademik</x:v>
      </x:c>
      <x:c r="E808" s="66" t="str">
        <x:v>11711025</x:v>
      </x:c>
      <x:c r="F808" s="66" t="str">
        <x:v>PEND TEKNIK MESIN</x:v>
      </x:c>
      <x:c r="G808" s="66" t="str">
        <x:v>Sarjana</x:v>
      </x:c>
      <x:c r="H808" s="87" t="n">
        <x:v>20</x:v>
      </x:c>
      <x:c r="I808" s="87" t="n">
        <x:v>98</x:v>
      </x:c>
      <x:c r="J808" s="68" t="n">
        <x:f>IFERROR(H808/I808,"")</x:f>
        <x:v>0.20408163265306123</x:v>
      </x:c>
      <x:c r="K808" s="69" t="n">
        <x:f>IFERROR(I808/H808,"")</x:f>
        <x:v>4.9</x:v>
      </x:c>
      <x:c r="L808" s="66" t="str">
        <x:f>IF(K808="","","1 : "&amp;TEXT(K808,"0.0"))</x:f>
        <x:v>1 : 4.9</x:v>
      </x:c>
      <x:c r="M808" s="66" t="str">
        <x:f>IF(J808="","Baru/Tanpa Data",IF(J808&lt;='Catatan &amp; Sumber'!$B$14,"Sangat Ketat",IF(J808&lt;='Catatan &amp; Sumber'!$B$15,"Ketat",IF(J808&lt;='Catatan &amp; Sumber'!$B$16,"Sedang","Relatif Longgar"))))</x:f>
        <x:v>Relatif Longgar</x:v>
      </x:c>
      <x:c r="N808" s="66" t="str">
        <x:v>Tidak Ada</x:v>
      </x:c>
      <x:c r="O808" s="66" t="str">
        <x:v>Sumatera Selatan</x:v>
      </x:c>
      <x:c r="P808" s="66" t="str">
        <x:v>Kabupaten Ogan Ilir</x:v>
      </x:c>
      <x:c r="Q808" s="66" t="str">
        <x:v>https://snpmb.id/snbp/daya-tampung-snbp</x:v>
      </x:c>
      <x:c r="R808" s="66" t="str">
        <x:v>https://sidatagrun-public-1076756628210.asia-southeast2.run.app/ptn_sn.php?ptn=171</x:v>
      </x:c>
    </x:row>
    <x:row r="809">
      <x:c r="A809" s="87" t="n">
        <x:v>890</x:v>
      </x:c>
      <x:c r="B809" s="87" t="n">
        <x:v>171</x:v>
      </x:c>
      <x:c r="C809" s="66" t="str">
        <x:v>UNIVERSITAS SRIWIJAYA</x:v>
      </x:c>
      <x:c r="D809" s="66" t="str">
        <x:v>PTN Akademik</x:v>
      </x:c>
      <x:c r="E809" s="66" t="str">
        <x:v>11711026</x:v>
      </x:c>
      <x:c r="F809" s="66" t="str">
        <x:v>SISTEM KOMPUTER</x:v>
      </x:c>
      <x:c r="G809" s="66" t="str">
        <x:v>Sarjana</x:v>
      </x:c>
      <x:c r="H809" s="87" t="n">
        <x:v>40</x:v>
      </x:c>
      <x:c r="I809" s="87" t="n">
        <x:v>560</x:v>
      </x:c>
      <x:c r="J809" s="68" t="n">
        <x:f>IFERROR(H809/I809,"")</x:f>
        <x:v>0.07142857142857142</x:v>
      </x:c>
      <x:c r="K809" s="69" t="n">
        <x:f>IFERROR(I809/H809,"")</x:f>
        <x:v>14</x:v>
      </x:c>
      <x:c r="L809" s="66" t="str">
        <x:f>IF(K809="","","1 : "&amp;TEXT(K809,"0.0"))</x:f>
        <x:v>1 : 14.0</x:v>
      </x:c>
      <x:c r="M809" s="66" t="str">
        <x:f>IF(J809="","Baru/Tanpa Data",IF(J809&lt;='Catatan &amp; Sumber'!$B$14,"Sangat Ketat",IF(J809&lt;='Catatan &amp; Sumber'!$B$15,"Ketat",IF(J809&lt;='Catatan &amp; Sumber'!$B$16,"Sedang","Relatif Longgar"))))</x:f>
        <x:v>Sedang</x:v>
      </x:c>
      <x:c r="N809" s="66" t="str">
        <x:v>Tidak Ada</x:v>
      </x:c>
      <x:c r="O809" s="66" t="str">
        <x:v>Sumatera Selatan</x:v>
      </x:c>
      <x:c r="P809" s="66" t="str">
        <x:v>Kabupaten Ogan Ilir</x:v>
      </x:c>
      <x:c r="Q809" s="66" t="str">
        <x:v>https://snpmb.id/snbp/daya-tampung-snbp</x:v>
      </x:c>
      <x:c r="R809" s="66" t="str">
        <x:v>https://sidatagrun-public-1076756628210.asia-southeast2.run.app/ptn_sn.php?ptn=171</x:v>
      </x:c>
    </x:row>
    <x:row r="810">
      <x:c r="A810" s="87" t="n">
        <x:v>311</x:v>
      </x:c>
      <x:c r="B810" s="87" t="n">
        <x:v>171</x:v>
      </x:c>
      <x:c r="C810" s="66" t="str">
        <x:v>UNIVERSITAS SRIWIJAYA</x:v>
      </x:c>
      <x:c r="D810" s="66" t="str">
        <x:v>PTN Akademik</x:v>
      </x:c>
      <x:c r="E810" s="66" t="str">
        <x:v>11711027</x:v>
      </x:c>
      <x:c r="F810" s="66" t="str">
        <x:v>TEKNIK INFORMATIKA</x:v>
      </x:c>
      <x:c r="G810" s="66" t="str">
        <x:v>Sarjana</x:v>
      </x:c>
      <x:c r="H810" s="87" t="n">
        <x:v>40</x:v>
      </x:c>
      <x:c r="I810" s="87" t="n">
        <x:v>936</x:v>
      </x:c>
      <x:c r="J810" s="68" t="n">
        <x:f>IFERROR(H810/I810,"")</x:f>
        <x:v>0.042735042735042736</x:v>
      </x:c>
      <x:c r="K810" s="69" t="n">
        <x:f>IFERROR(I810/H810,"")</x:f>
        <x:v>23.4</x:v>
      </x:c>
      <x:c r="L810" s="66" t="str">
        <x:f>IF(K810="","","1 : "&amp;TEXT(K810,"0.0"))</x:f>
        <x:v>1 : 23.4</x:v>
      </x:c>
      <x:c r="M810" s="66" t="str">
        <x:f>IF(J810="","Baru/Tanpa Data",IF(J810&lt;='Catatan &amp; Sumber'!$B$14,"Sangat Ketat",IF(J810&lt;='Catatan &amp; Sumber'!$B$15,"Ketat",IF(J810&lt;='Catatan &amp; Sumber'!$B$16,"Sedang","Relatif Longgar"))))</x:f>
        <x:v>Ketat</x:v>
      </x:c>
      <x:c r="N810" s="66" t="str">
        <x:v>Tidak Ada</x:v>
      </x:c>
      <x:c r="O810" s="66" t="str">
        <x:v>Sumatera Selatan</x:v>
      </x:c>
      <x:c r="P810" s="66" t="str">
        <x:v>Kabupaten Ogan Ilir</x:v>
      </x:c>
      <x:c r="Q810" s="66" t="str">
        <x:v>https://snpmb.id/snbp/daya-tampung-snbp</x:v>
      </x:c>
      <x:c r="R810" s="66" t="str">
        <x:v>https://sidatagrun-public-1076756628210.asia-southeast2.run.app/ptn_sn.php?ptn=171</x:v>
      </x:c>
    </x:row>
    <x:row r="811">
      <x:c r="A811" s="87" t="n">
        <x:v>395</x:v>
      </x:c>
      <x:c r="B811" s="87" t="n">
        <x:v>171</x:v>
      </x:c>
      <x:c r="C811" s="66" t="str">
        <x:v>UNIVERSITAS SRIWIJAYA</x:v>
      </x:c>
      <x:c r="D811" s="66" t="str">
        <x:v>PTN Akademik</x:v>
      </x:c>
      <x:c r="E811" s="66" t="str">
        <x:v>11711028</x:v>
      </x:c>
      <x:c r="F811" s="66" t="str">
        <x:v>SISTEM INFORMASI</x:v>
      </x:c>
      <x:c r="G811" s="66" t="str">
        <x:v>Sarjana</x:v>
      </x:c>
      <x:c r="H811" s="87" t="n">
        <x:v>40</x:v>
      </x:c>
      <x:c r="I811" s="87" t="n">
        <x:v>861</x:v>
      </x:c>
      <x:c r="J811" s="68" t="n">
        <x:f>IFERROR(H811/I811,"")</x:f>
        <x:v>0.04645760743321719</x:v>
      </x:c>
      <x:c r="K811" s="69" t="n">
        <x:f>IFERROR(I811/H811,"")</x:f>
        <x:v>21.525</x:v>
      </x:c>
      <x:c r="L811" s="66" t="str">
        <x:f>IF(K811="","","1 : "&amp;TEXT(K811,"0.0"))</x:f>
        <x:v>1 : 21.5</x:v>
      </x:c>
      <x:c r="M811" s="66" t="str">
        <x:f>IF(J811="","Baru/Tanpa Data",IF(J811&lt;='Catatan &amp; Sumber'!$B$14,"Sangat Ketat",IF(J811&lt;='Catatan &amp; Sumber'!$B$15,"Ketat",IF(J811&lt;='Catatan &amp; Sumber'!$B$16,"Sedang","Relatif Longgar"))))</x:f>
        <x:v>Ketat</x:v>
      </x:c>
      <x:c r="N811" s="66" t="str">
        <x:v>Tidak Ada</x:v>
      </x:c>
      <x:c r="O811" s="66" t="str">
        <x:v>Sumatera Selatan</x:v>
      </x:c>
      <x:c r="P811" s="66" t="str">
        <x:v>Kabupaten Ogan Ilir</x:v>
      </x:c>
      <x:c r="Q811" s="66" t="str">
        <x:v>https://snpmb.id/snbp/daya-tampung-snbp</x:v>
      </x:c>
      <x:c r="R811" s="66" t="str">
        <x:v>https://sidatagrun-public-1076756628210.asia-southeast2.run.app/ptn_sn.php?ptn=171</x:v>
      </x:c>
    </x:row>
    <x:row r="812">
      <x:c r="A812" s="87" t="n">
        <x:v>1457</x:v>
      </x:c>
      <x:c r="B812" s="87" t="n">
        <x:v>171</x:v>
      </x:c>
      <x:c r="C812" s="66" t="str">
        <x:v>UNIVERSITAS SRIWIJAYA</x:v>
      </x:c>
      <x:c r="D812" s="66" t="str">
        <x:v>PTN Akademik</x:v>
      </x:c>
      <x:c r="E812" s="66" t="str">
        <x:v>11711029</x:v>
      </x:c>
      <x:c r="F812" s="66" t="str">
        <x:v>AGROEKOTEKNOLOGI</x:v>
      </x:c>
      <x:c r="G812" s="66" t="str">
        <x:v>Sarjana</x:v>
      </x:c>
      <x:c r="H812" s="87" t="n">
        <x:v>34</x:v>
      </x:c>
      <x:c r="I812" s="87" t="n">
        <x:v>320</x:v>
      </x:c>
      <x:c r="J812" s="68" t="n">
        <x:f>IFERROR(H812/I812,"")</x:f>
        <x:v>0.10625</x:v>
      </x:c>
      <x:c r="K812" s="69" t="n">
        <x:f>IFERROR(I812/H812,"")</x:f>
        <x:v>9.411764705882353</x:v>
      </x:c>
      <x:c r="L812" s="66" t="str">
        <x:f>IF(K812="","","1 : "&amp;TEXT(K812,"0.0"))</x:f>
        <x:v>1 : 9.4</x:v>
      </x:c>
      <x:c r="M812" s="66" t="str">
        <x:f>IF(J812="","Baru/Tanpa Data",IF(J812&lt;='Catatan &amp; Sumber'!$B$14,"Sangat Ketat",IF(J812&lt;='Catatan &amp; Sumber'!$B$15,"Ketat",IF(J812&lt;='Catatan &amp; Sumber'!$B$16,"Sedang","Relatif Longgar"))))</x:f>
        <x:v>Relatif Longgar</x:v>
      </x:c>
      <x:c r="N812" s="66" t="str">
        <x:v>Tidak Ada</x:v>
      </x:c>
      <x:c r="O812" s="66" t="str">
        <x:v>Sumatera Selatan</x:v>
      </x:c>
      <x:c r="P812" s="66" t="str">
        <x:v>Kabupaten Ogan Ilir</x:v>
      </x:c>
      <x:c r="Q812" s="66" t="str">
        <x:v>https://snpmb.id/snbp/daya-tampung-snbp</x:v>
      </x:c>
      <x:c r="R812" s="66" t="str">
        <x:v>https://sidatagrun-public-1076756628210.asia-southeast2.run.app/ptn_sn.php?ptn=171</x:v>
      </x:c>
    </x:row>
    <x:row r="813">
      <x:c r="A813" s="87" t="n">
        <x:v>3060</x:v>
      </x:c>
      <x:c r="B813" s="87" t="n">
        <x:v>171</x:v>
      </x:c>
      <x:c r="C813" s="66" t="str">
        <x:v>UNIVERSITAS SRIWIJAYA</x:v>
      </x:c>
      <x:c r="D813" s="66" t="str">
        <x:v>PTN Akademik</x:v>
      </x:c>
      <x:c r="E813" s="66" t="str">
        <x:v>11711030</x:v>
      </x:c>
      <x:c r="F813" s="66" t="str">
        <x:v>PETERNAKAN</x:v>
      </x:c>
      <x:c r="G813" s="66" t="str">
        <x:v>Sarjana</x:v>
      </x:c>
      <x:c r="H813" s="87" t="n">
        <x:v>40</x:v>
      </x:c>
      <x:c r="I813" s="87" t="n">
        <x:v>131</x:v>
      </x:c>
      <x:c r="J813" s="68" t="n">
        <x:f>IFERROR(H813/I813,"")</x:f>
        <x:v>0.3053435114503817</x:v>
      </x:c>
      <x:c r="K813" s="69" t="n">
        <x:f>IFERROR(I813/H813,"")</x:f>
        <x:v>3.275</x:v>
      </x:c>
      <x:c r="L813" s="66" t="str">
        <x:f>IF(K813="","","1 : "&amp;TEXT(K813,"0.0"))</x:f>
        <x:v>1 : 3.3</x:v>
      </x:c>
      <x:c r="M813" s="66" t="str">
        <x:f>IF(J813="","Baru/Tanpa Data",IF(J813&lt;='Catatan &amp; Sumber'!$B$14,"Sangat Ketat",IF(J813&lt;='Catatan &amp; Sumber'!$B$15,"Ketat",IF(J813&lt;='Catatan &amp; Sumber'!$B$16,"Sedang","Relatif Longgar"))))</x:f>
        <x:v>Relatif Longgar</x:v>
      </x:c>
      <x:c r="N813" s="66" t="str">
        <x:v>Tidak Ada</x:v>
      </x:c>
      <x:c r="O813" s="66" t="str">
        <x:v>Sumatera Selatan</x:v>
      </x:c>
      <x:c r="P813" s="66" t="str">
        <x:v>Kabupaten Ogan Ilir</x:v>
      </x:c>
      <x:c r="Q813" s="66" t="str">
        <x:v>https://snpmb.id/snbp/daya-tampung-snbp</x:v>
      </x:c>
      <x:c r="R813" s="66" t="str">
        <x:v>https://sidatagrun-public-1076756628210.asia-southeast2.run.app/ptn_sn.php?ptn=171</x:v>
      </x:c>
    </x:row>
    <x:row r="814">
      <x:c r="A814" s="87" t="n">
        <x:v>56</x:v>
      </x:c>
      <x:c r="B814" s="87" t="n">
        <x:v>171</x:v>
      </x:c>
      <x:c r="C814" s="66" t="str">
        <x:v>UNIVERSITAS SRIWIJAYA</x:v>
      </x:c>
      <x:c r="D814" s="66" t="str">
        <x:v>PTN Akademik</x:v>
      </x:c>
      <x:c r="E814" s="66" t="str">
        <x:v>11711031</x:v>
      </x:c>
      <x:c r="F814" s="66" t="str">
        <x:v>FARMASI</x:v>
      </x:c>
      <x:c r="G814" s="66" t="str">
        <x:v>Sarjana</x:v>
      </x:c>
      <x:c r="H814" s="87" t="n">
        <x:v>30</x:v>
      </x:c>
      <x:c r="I814" s="87" t="n">
        <x:v>1245</x:v>
      </x:c>
      <x:c r="J814" s="68" t="n">
        <x:f>IFERROR(H814/I814,"")</x:f>
        <x:v>0.024096385542168676</x:v>
      </x:c>
      <x:c r="K814" s="69" t="n">
        <x:f>IFERROR(I814/H814,"")</x:f>
        <x:v>41.5</x:v>
      </x:c>
      <x:c r="L814" s="66" t="str">
        <x:f>IF(K814="","","1 : "&amp;TEXT(K814,"0.0"))</x:f>
        <x:v>1 : 41.5</x:v>
      </x:c>
      <x:c r="M814" s="66" t="str">
        <x:f>IF(J814="","Baru/Tanpa Data",IF(J814&lt;='Catatan &amp; Sumber'!$B$14,"Sangat Ketat",IF(J814&lt;='Catatan &amp; Sumber'!$B$15,"Ketat",IF(J814&lt;='Catatan &amp; Sumber'!$B$16,"Sedang","Relatif Longgar"))))</x:f>
        <x:v>Ketat</x:v>
      </x:c>
      <x:c r="N814" s="66" t="str">
        <x:v>Tidak Ada</x:v>
      </x:c>
      <x:c r="O814" s="66" t="str">
        <x:v>Sumatera Selatan</x:v>
      </x:c>
      <x:c r="P814" s="66" t="str">
        <x:v>Kabupaten Ogan Ilir</x:v>
      </x:c>
      <x:c r="Q814" s="66" t="str">
        <x:v>https://snpmb.id/snbp/daya-tampung-snbp</x:v>
      </x:c>
      <x:c r="R814" s="66" t="str">
        <x:v>https://sidatagrun-public-1076756628210.asia-southeast2.run.app/ptn_sn.php?ptn=171</x:v>
      </x:c>
    </x:row>
    <x:row r="815">
      <x:c r="A815" s="87" t="n">
        <x:v>331</x:v>
      </x:c>
      <x:c r="B815" s="87" t="n">
        <x:v>171</x:v>
      </x:c>
      <x:c r="C815" s="66" t="str">
        <x:v>UNIVERSITAS SRIWIJAYA</x:v>
      </x:c>
      <x:c r="D815" s="66" t="str">
        <x:v>PTN Akademik</x:v>
      </x:c>
      <x:c r="E815" s="66" t="str">
        <x:v>11711032</x:v>
      </x:c>
      <x:c r="F815" s="66" t="str">
        <x:v>TEKNIK GEOLOGI</x:v>
      </x:c>
      <x:c r="G815" s="66" t="str">
        <x:v>Sarjana</x:v>
      </x:c>
      <x:c r="H815" s="87" t="n">
        <x:v>22</x:v>
      </x:c>
      <x:c r="I815" s="87" t="n">
        <x:v>503</x:v>
      </x:c>
      <x:c r="J815" s="68" t="n">
        <x:f>IFERROR(H815/I815,"")</x:f>
        <x:v>0.0437375745526839</x:v>
      </x:c>
      <x:c r="K815" s="69" t="n">
        <x:f>IFERROR(I815/H815,"")</x:f>
        <x:v>22.863636363636363</x:v>
      </x:c>
      <x:c r="L815" s="66" t="str">
        <x:f>IF(K815="","","1 : "&amp;TEXT(K815,"0.0"))</x:f>
        <x:v>1 : 22.9</x:v>
      </x:c>
      <x:c r="M815" s="66" t="str">
        <x:f>IF(J815="","Baru/Tanpa Data",IF(J815&lt;='Catatan &amp; Sumber'!$B$14,"Sangat Ketat",IF(J815&lt;='Catatan &amp; Sumber'!$B$15,"Ketat",IF(J815&lt;='Catatan &amp; Sumber'!$B$16,"Sedang","Relatif Longgar"))))</x:f>
        <x:v>Ketat</x:v>
      </x:c>
      <x:c r="N815" s="66" t="str">
        <x:v>Tidak Ada</x:v>
      </x:c>
      <x:c r="O815" s="66" t="str">
        <x:v>Sumatera Selatan</x:v>
      </x:c>
      <x:c r="P815" s="66" t="str">
        <x:v>Kabupaten Ogan Ilir</x:v>
      </x:c>
      <x:c r="Q815" s="66" t="str">
        <x:v>https://snpmb.id/snbp/daya-tampung-snbp</x:v>
      </x:c>
      <x:c r="R815" s="66" t="str">
        <x:v>https://sidatagrun-public-1076756628210.asia-southeast2.run.app/ptn_sn.php?ptn=171</x:v>
      </x:c>
    </x:row>
    <x:row r="816">
      <x:c r="A816" s="87" t="n">
        <x:v>117</x:v>
      </x:c>
      <x:c r="B816" s="87" t="n">
        <x:v>171</x:v>
      </x:c>
      <x:c r="C816" s="66" t="str">
        <x:v>UNIVERSITAS SRIWIJAYA</x:v>
      </x:c>
      <x:c r="D816" s="66" t="str">
        <x:v>PTN Akademik</x:v>
      </x:c>
      <x:c r="E816" s="66" t="str">
        <x:v>11711033</x:v>
      </x:c>
      <x:c r="F816" s="66" t="str">
        <x:v>PSIKOLOGI</x:v>
      </x:c>
      <x:c r="G816" s="66" t="str">
        <x:v>Sarjana</x:v>
      </x:c>
      <x:c r="H816" s="87" t="n">
        <x:v>20</x:v>
      </x:c>
      <x:c r="I816" s="87" t="n">
        <x:v>656</x:v>
      </x:c>
      <x:c r="J816" s="68" t="n">
        <x:f>IFERROR(H816/I816,"")</x:f>
        <x:v>0.03048780487804878</x:v>
      </x:c>
      <x:c r="K816" s="69" t="n">
        <x:f>IFERROR(I816/H816,"")</x:f>
        <x:v>32.8</x:v>
      </x:c>
      <x:c r="L816" s="66" t="str">
        <x:f>IF(K816="","","1 : "&amp;TEXT(K816,"0.0"))</x:f>
        <x:v>1 : 32.8</x:v>
      </x:c>
      <x:c r="M816" s="66" t="str">
        <x:f>IF(J816="","Baru/Tanpa Data",IF(J816&lt;='Catatan &amp; Sumber'!$B$14,"Sangat Ketat",IF(J816&lt;='Catatan &amp; Sumber'!$B$15,"Ketat",IF(J816&lt;='Catatan &amp; Sumber'!$B$16,"Sedang","Relatif Longgar"))))</x:f>
        <x:v>Ketat</x:v>
      </x:c>
      <x:c r="N816" s="66" t="str">
        <x:v>Tidak Ada</x:v>
      </x:c>
      <x:c r="O816" s="66" t="str">
        <x:v>Sumatera Selatan</x:v>
      </x:c>
      <x:c r="P816" s="66" t="str">
        <x:v>Kabupaten Ogan Ilir</x:v>
      </x:c>
      <x:c r="Q816" s="66" t="str">
        <x:v>https://snpmb.id/snbp/daya-tampung-snbp</x:v>
      </x:c>
      <x:c r="R816" s="66" t="str">
        <x:v>https://sidatagrun-public-1076756628210.asia-southeast2.run.app/ptn_sn.php?ptn=171</x:v>
      </x:c>
    </x:row>
    <x:row r="817">
      <x:c r="A817" s="87" t="n">
        <x:v>2585</x:v>
      </x:c>
      <x:c r="B817" s="87" t="n">
        <x:v>171</x:v>
      </x:c>
      <x:c r="C817" s="66" t="str">
        <x:v>UNIVERSITAS SRIWIJAYA</x:v>
      </x:c>
      <x:c r="D817" s="66" t="str">
        <x:v>PTN Akademik</x:v>
      </x:c>
      <x:c r="E817" s="66" t="str">
        <x:v>11711034</x:v>
      </x:c>
      <x:c r="F817" s="66" t="str">
        <x:v>ILMU TANAH</x:v>
      </x:c>
      <x:c r="G817" s="66" t="str">
        <x:v>Sarjana</x:v>
      </x:c>
      <x:c r="H817" s="87" t="n">
        <x:v>40</x:v>
      </x:c>
      <x:c r="I817" s="87" t="n">
        <x:v>177</x:v>
      </x:c>
      <x:c r="J817" s="68" t="n">
        <x:f>IFERROR(H817/I817,"")</x:f>
        <x:v>0.22598870056497175</x:v>
      </x:c>
      <x:c r="K817" s="69" t="n">
        <x:f>IFERROR(I817/H817,"")</x:f>
        <x:v>4.425</x:v>
      </x:c>
      <x:c r="L817" s="66" t="str">
        <x:f>IF(K817="","","1 : "&amp;TEXT(K817,"0.0"))</x:f>
        <x:v>1 : 4.4</x:v>
      </x:c>
      <x:c r="M817" s="66" t="str">
        <x:f>IF(J817="","Baru/Tanpa Data",IF(J817&lt;='Catatan &amp; Sumber'!$B$14,"Sangat Ketat",IF(J817&lt;='Catatan &amp; Sumber'!$B$15,"Ketat",IF(J817&lt;='Catatan &amp; Sumber'!$B$16,"Sedang","Relatif Longgar"))))</x:f>
        <x:v>Relatif Longgar</x:v>
      </x:c>
      <x:c r="N817" s="66" t="str">
        <x:v>Tidak Ada</x:v>
      </x:c>
      <x:c r="O817" s="66" t="str">
        <x:v>Sumatera Selatan</x:v>
      </x:c>
      <x:c r="P817" s="66" t="str">
        <x:v>Kabupaten Ogan Ilir</x:v>
      </x:c>
      <x:c r="Q817" s="66" t="str">
        <x:v>https://snpmb.id/snbp/daya-tampung-snbp</x:v>
      </x:c>
      <x:c r="R817" s="66" t="str">
        <x:v>https://sidatagrun-public-1076756628210.asia-southeast2.run.app/ptn_sn.php?ptn=171</x:v>
      </x:c>
    </x:row>
    <x:row r="818">
      <x:c r="A818" s="87" t="n">
        <x:v>2776</x:v>
      </x:c>
      <x:c r="B818" s="87" t="n">
        <x:v>171</x:v>
      </x:c>
      <x:c r="C818" s="66" t="str">
        <x:v>UNIVERSITAS SRIWIJAYA</x:v>
      </x:c>
      <x:c r="D818" s="66" t="str">
        <x:v>PTN Akademik</x:v>
      </x:c>
      <x:c r="E818" s="66" t="str">
        <x:v>11711035</x:v>
      </x:c>
      <x:c r="F818" s="66" t="str">
        <x:v>AGRONOMI</x:v>
      </x:c>
      <x:c r="G818" s="66" t="str">
        <x:v>Sarjana</x:v>
      </x:c>
      <x:c r="H818" s="87" t="n">
        <x:v>40</x:v>
      </x:c>
      <x:c r="I818" s="87" t="n">
        <x:v>157</x:v>
      </x:c>
      <x:c r="J818" s="68" t="n">
        <x:f>IFERROR(H818/I818,"")</x:f>
        <x:v>0.25477707006369427</x:v>
      </x:c>
      <x:c r="K818" s="69" t="n">
        <x:f>IFERROR(I818/H818,"")</x:f>
        <x:v>3.925</x:v>
      </x:c>
      <x:c r="L818" s="66" t="str">
        <x:f>IF(K818="","","1 : "&amp;TEXT(K818,"0.0"))</x:f>
        <x:v>1 : 3.9</x:v>
      </x:c>
      <x:c r="M818" s="66" t="str">
        <x:f>IF(J818="","Baru/Tanpa Data",IF(J818&lt;='Catatan &amp; Sumber'!$B$14,"Sangat Ketat",IF(J818&lt;='Catatan &amp; Sumber'!$B$15,"Ketat",IF(J818&lt;='Catatan &amp; Sumber'!$B$16,"Sedang","Relatif Longgar"))))</x:f>
        <x:v>Relatif Longgar</x:v>
      </x:c>
      <x:c r="N818" s="66" t="str">
        <x:v>Tidak Ada</x:v>
      </x:c>
      <x:c r="O818" s="66" t="str">
        <x:v>Sumatera Selatan</x:v>
      </x:c>
      <x:c r="P818" s="66" t="str">
        <x:v>Kabupaten Ogan Ilir</x:v>
      </x:c>
      <x:c r="Q818" s="66" t="str">
        <x:v>https://snpmb.id/snbp/daya-tampung-snbp</x:v>
      </x:c>
      <x:c r="R818" s="66" t="str">
        <x:v>https://sidatagrun-public-1076756628210.asia-southeast2.run.app/ptn_sn.php?ptn=171</x:v>
      </x:c>
    </x:row>
    <x:row r="819">
      <x:c r="A819" s="87" t="n">
        <x:v>2735</x:v>
      </x:c>
      <x:c r="B819" s="87" t="n">
        <x:v>171</x:v>
      </x:c>
      <x:c r="C819" s="66" t="str">
        <x:v>UNIVERSITAS SRIWIJAYA</x:v>
      </x:c>
      <x:c r="D819" s="66" t="str">
        <x:v>PTN Akademik</x:v>
      </x:c>
      <x:c r="E819" s="66" t="str">
        <x:v>11711036</x:v>
      </x:c>
      <x:c r="F819" s="66" t="str">
        <x:v>PROTEKSI TANAMAN</x:v>
      </x:c>
      <x:c r="G819" s="66" t="str">
        <x:v>Sarjana</x:v>
      </x:c>
      <x:c r="H819" s="87" t="n">
        <x:v>40</x:v>
      </x:c>
      <x:c r="I819" s="87" t="n">
        <x:v>160</x:v>
      </x:c>
      <x:c r="J819" s="68" t="n">
        <x:f>IFERROR(H819/I819,"")</x:f>
        <x:v>0.25</x:v>
      </x:c>
      <x:c r="K819" s="69" t="n">
        <x:f>IFERROR(I819/H819,"")</x:f>
        <x:v>4</x:v>
      </x:c>
      <x:c r="L819" s="66" t="str">
        <x:f>IF(K819="","","1 : "&amp;TEXT(K819,"0.0"))</x:f>
        <x:v>1 : 4.0</x:v>
      </x:c>
      <x:c r="M819" s="66" t="str">
        <x:f>IF(J819="","Baru/Tanpa Data",IF(J819&lt;='Catatan &amp; Sumber'!$B$14,"Sangat Ketat",IF(J819&lt;='Catatan &amp; Sumber'!$B$15,"Ketat",IF(J819&lt;='Catatan &amp; Sumber'!$B$16,"Sedang","Relatif Longgar"))))</x:f>
        <x:v>Relatif Longgar</x:v>
      </x:c>
      <x:c r="N819" s="66" t="str">
        <x:v>Tidak Ada</x:v>
      </x:c>
      <x:c r="O819" s="66" t="str">
        <x:v>Sumatera Selatan</x:v>
      </x:c>
      <x:c r="P819" s="66" t="str">
        <x:v>Kabupaten Ogan Ilir</x:v>
      </x:c>
      <x:c r="Q819" s="66" t="str">
        <x:v>https://snpmb.id/snbp/daya-tampung-snbp</x:v>
      </x:c>
      <x:c r="R819" s="66" t="str">
        <x:v>https://sidatagrun-public-1076756628210.asia-southeast2.run.app/ptn_sn.php?ptn=171</x:v>
      </x:c>
    </x:row>
    <x:row r="820">
      <x:c r="A820" s="87" t="n">
        <x:v>356</x:v>
      </x:c>
      <x:c r="B820" s="87" t="n">
        <x:v>171</x:v>
      </x:c>
      <x:c r="C820" s="66" t="str">
        <x:v>UNIVERSITAS SRIWIJAYA</x:v>
      </x:c>
      <x:c r="D820" s="66" t="str">
        <x:v>PTN Akademik</x:v>
      </x:c>
      <x:c r="E820" s="66" t="str">
        <x:v>11711037</x:v>
      </x:c>
      <x:c r="F820" s="66" t="str">
        <x:v>GIZI</x:v>
      </x:c>
      <x:c r="G820" s="66" t="str">
        <x:v>Sarjana</x:v>
      </x:c>
      <x:c r="H820" s="87" t="n">
        <x:v>40</x:v>
      </x:c>
      <x:c r="I820" s="87" t="n">
        <x:v>890</x:v>
      </x:c>
      <x:c r="J820" s="68" t="n">
        <x:f>IFERROR(H820/I820,"")</x:f>
        <x:v>0.0449438202247191</x:v>
      </x:c>
      <x:c r="K820" s="69" t="n">
        <x:f>IFERROR(I820/H820,"")</x:f>
        <x:v>22.25</x:v>
      </x:c>
      <x:c r="L820" s="66" t="str">
        <x:f>IF(K820="","","1 : "&amp;TEXT(K820,"0.0"))</x:f>
        <x:v>1 : 22.3</x:v>
      </x:c>
      <x:c r="M820" s="66" t="str">
        <x:f>IF(J820="","Baru/Tanpa Data",IF(J820&lt;='Catatan &amp; Sumber'!$B$14,"Sangat Ketat",IF(J820&lt;='Catatan &amp; Sumber'!$B$15,"Ketat",IF(J820&lt;='Catatan &amp; Sumber'!$B$16,"Sedang","Relatif Longgar"))))</x:f>
        <x:v>Ketat</x:v>
      </x:c>
      <x:c r="N820" s="66" t="str">
        <x:v>Tidak Ada</x:v>
      </x:c>
      <x:c r="O820" s="66" t="str">
        <x:v>Sumatera Selatan</x:v>
      </x:c>
      <x:c r="P820" s="66" t="str">
        <x:v>Kabupaten Ogan Ilir</x:v>
      </x:c>
      <x:c r="Q820" s="66" t="str">
        <x:v>https://snpmb.id/snbp/daya-tampung-snbp</x:v>
      </x:c>
      <x:c r="R820" s="66" t="str">
        <x:v>https://sidatagrun-public-1076756628210.asia-southeast2.run.app/ptn_sn.php?ptn=171</x:v>
      </x:c>
    </x:row>
    <x:row r="821">
      <x:c r="A821" s="87" t="n">
        <x:v>1286</x:v>
      </x:c>
      <x:c r="B821" s="87" t="n">
        <x:v>171</x:v>
      </x:c>
      <x:c r="C821" s="66" t="str">
        <x:v>UNIVERSITAS SRIWIJAYA</x:v>
      </x:c>
      <x:c r="D821" s="66" t="str">
        <x:v>PTN Akademik</x:v>
      </x:c>
      <x:c r="E821" s="66" t="str">
        <x:v>11711038</x:v>
      </x:c>
      <x:c r="F821" s="66" t="str">
        <x:v>KESEHATAN LINGKUNGAN</x:v>
      </x:c>
      <x:c r="G821" s="66" t="str">
        <x:v>Sarjana</x:v>
      </x:c>
      <x:c r="H821" s="87" t="n">
        <x:v>40</x:v>
      </x:c>
      <x:c r="I821" s="87" t="n">
        <x:v>423</x:v>
      </x:c>
      <x:c r="J821" s="68" t="n">
        <x:f>IFERROR(H821/I821,"")</x:f>
        <x:v>0.09456264775413711</x:v>
      </x:c>
      <x:c r="K821" s="69" t="n">
        <x:f>IFERROR(I821/H821,"")</x:f>
        <x:v>10.575</x:v>
      </x:c>
      <x:c r="L821" s="66" t="str">
        <x:f>IF(K821="","","1 : "&amp;TEXT(K821,"0.0"))</x:f>
        <x:v>1 : 10.6</x:v>
      </x:c>
      <x:c r="M821" s="66" t="str">
        <x:f>IF(J821="","Baru/Tanpa Data",IF(J821&lt;='Catatan &amp; Sumber'!$B$14,"Sangat Ketat",IF(J821&lt;='Catatan &amp; Sumber'!$B$15,"Ketat",IF(J821&lt;='Catatan &amp; Sumber'!$B$16,"Sedang","Relatif Longgar"))))</x:f>
        <x:v>Sedang</x:v>
      </x:c>
      <x:c r="N821" s="66" t="str">
        <x:v>Tidak Ada</x:v>
      </x:c>
      <x:c r="O821" s="66" t="str">
        <x:v>Sumatera Selatan</x:v>
      </x:c>
      <x:c r="P821" s="66" t="str">
        <x:v>Kabupaten Ogan Ilir</x:v>
      </x:c>
      <x:c r="Q821" s="66" t="str">
        <x:v>https://snpmb.id/snbp/daya-tampung-snbp</x:v>
      </x:c>
      <x:c r="R821" s="66" t="str">
        <x:v>https://sidatagrun-public-1076756628210.asia-southeast2.run.app/ptn_sn.php?ptn=171</x:v>
      </x:c>
    </x:row>
    <x:row r="822">
      <x:c r="A822" s="87" t="n">
        <x:v>1598</x:v>
      </x:c>
      <x:c r="B822" s="87" t="n">
        <x:v>171</x:v>
      </x:c>
      <x:c r="C822" s="66" t="str">
        <x:v>UNIVERSITAS SRIWIJAYA</x:v>
      </x:c>
      <x:c r="D822" s="66" t="str">
        <x:v>PTN Akademik</x:v>
      </x:c>
      <x:c r="E822" s="66" t="str">
        <x:v>11711039</x:v>
      </x:c>
      <x:c r="F822" s="66" t="str">
        <x:v>EKONOMI PEMBANGUNAN</x:v>
      </x:c>
      <x:c r="G822" s="66" t="str">
        <x:v>Sarjana</x:v>
      </x:c>
      <x:c r="H822" s="87" t="n">
        <x:v>45</x:v>
      </x:c>
      <x:c r="I822" s="87" t="n">
        <x:v>387</x:v>
      </x:c>
      <x:c r="J822" s="68" t="n">
        <x:f>IFERROR(H822/I822,"")</x:f>
        <x:v>0.11627906976744186</x:v>
      </x:c>
      <x:c r="K822" s="69" t="n">
        <x:f>IFERROR(I822/H822,"")</x:f>
        <x:v>8.6</x:v>
      </x:c>
      <x:c r="L822" s="66" t="str">
        <x:f>IF(K822="","","1 : "&amp;TEXT(K822,"0.0"))</x:f>
        <x:v>1 : 8.6</x:v>
      </x:c>
      <x:c r="M822" s="66" t="str">
        <x:f>IF(J822="","Baru/Tanpa Data",IF(J822&lt;='Catatan &amp; Sumber'!$B$14,"Sangat Ketat",IF(J822&lt;='Catatan &amp; Sumber'!$B$15,"Ketat",IF(J822&lt;='Catatan &amp; Sumber'!$B$16,"Sedang","Relatif Longgar"))))</x:f>
        <x:v>Relatif Longgar</x:v>
      </x:c>
      <x:c r="N822" s="66" t="str">
        <x:v>Tidak Ada</x:v>
      </x:c>
      <x:c r="O822" s="66" t="str">
        <x:v>Sumatera Selatan</x:v>
      </x:c>
      <x:c r="P822" s="66" t="str">
        <x:v>Kabupaten Ogan Ilir</x:v>
      </x:c>
      <x:c r="Q822" s="66" t="str">
        <x:v>https://snpmb.id/snbp/daya-tampung-snbp</x:v>
      </x:c>
      <x:c r="R822" s="66" t="str">
        <x:v>https://sidatagrun-public-1076756628210.asia-southeast2.run.app/ptn_sn.php?ptn=171</x:v>
      </x:c>
    </x:row>
    <x:row r="823">
      <x:c r="A823" s="87" t="n">
        <x:v>1093</x:v>
      </x:c>
      <x:c r="B823" s="87" t="n">
        <x:v>171</x:v>
      </x:c>
      <x:c r="C823" s="66" t="str">
        <x:v>UNIVERSITAS SRIWIJAYA</x:v>
      </x:c>
      <x:c r="D823" s="66" t="str">
        <x:v>PTN Akademik</x:v>
      </x:c>
      <x:c r="E823" s="66" t="str">
        <x:v>11711040</x:v>
      </x:c>
      <x:c r="F823" s="66" t="str">
        <x:v>ILMU HUKUM</x:v>
      </x:c>
      <x:c r="G823" s="66" t="str">
        <x:v>Sarjana</x:v>
      </x:c>
      <x:c r="H823" s="87" t="n">
        <x:v>103</x:v>
      </x:c>
      <x:c r="I823" s="87" t="n">
        <x:v>1233</x:v>
      </x:c>
      <x:c r="J823" s="68" t="n">
        <x:f>IFERROR(H823/I823,"")</x:f>
        <x:v>0.08353609083536091</x:v>
      </x:c>
      <x:c r="K823" s="69" t="n">
        <x:f>IFERROR(I823/H823,"")</x:f>
        <x:v>11.970873786407767</x:v>
      </x:c>
      <x:c r="L823" s="66" t="str">
        <x:f>IF(K823="","","1 : "&amp;TEXT(K823,"0.0"))</x:f>
        <x:v>1 : 12.0</x:v>
      </x:c>
      <x:c r="M823" s="66" t="str">
        <x:f>IF(J823="","Baru/Tanpa Data",IF(J823&lt;='Catatan &amp; Sumber'!$B$14,"Sangat Ketat",IF(J823&lt;='Catatan &amp; Sumber'!$B$15,"Ketat",IF(J823&lt;='Catatan &amp; Sumber'!$B$16,"Sedang","Relatif Longgar"))))</x:f>
        <x:v>Sedang</x:v>
      </x:c>
      <x:c r="N823" s="66" t="str">
        <x:v>Tidak Ada</x:v>
      </x:c>
      <x:c r="O823" s="66" t="str">
        <x:v>Sumatera Selatan</x:v>
      </x:c>
      <x:c r="P823" s="66" t="str">
        <x:v>Kabupaten Ogan Ilir</x:v>
      </x:c>
      <x:c r="Q823" s="66" t="str">
        <x:v>https://snpmb.id/snbp/daya-tampung-snbp</x:v>
      </x:c>
      <x:c r="R823" s="66" t="str">
        <x:v>https://sidatagrun-public-1076756628210.asia-southeast2.run.app/ptn_sn.php?ptn=171</x:v>
      </x:c>
    </x:row>
    <x:row r="824">
      <x:c r="A824" s="87" t="n">
        <x:v>115</x:v>
      </x:c>
      <x:c r="B824" s="87" t="n">
        <x:v>171</x:v>
      </x:c>
      <x:c r="C824" s="66" t="str">
        <x:v>UNIVERSITAS SRIWIJAYA</x:v>
      </x:c>
      <x:c r="D824" s="66" t="str">
        <x:v>PTN Akademik</x:v>
      </x:c>
      <x:c r="E824" s="66" t="str">
        <x:v>11711041</x:v>
      </x:c>
      <x:c r="F824" s="66" t="str">
        <x:v>MANAJEMEN</x:v>
      </x:c>
      <x:c r="G824" s="66" t="str">
        <x:v>Sarjana</x:v>
      </x:c>
      <x:c r="H824" s="87" t="n">
        <x:v>45</x:v>
      </x:c>
      <x:c r="I824" s="87" t="n">
        <x:v>1481</x:v>
      </x:c>
      <x:c r="J824" s="68" t="n">
        <x:f>IFERROR(H824/I824,"")</x:f>
        <x:v>0.03038487508440243</x:v>
      </x:c>
      <x:c r="K824" s="69" t="n">
        <x:f>IFERROR(I824/H824,"")</x:f>
        <x:v>32.91111111111111</x:v>
      </x:c>
      <x:c r="L824" s="66" t="str">
        <x:f>IF(K824="","","1 : "&amp;TEXT(K824,"0.0"))</x:f>
        <x:v>1 : 32.9</x:v>
      </x:c>
      <x:c r="M824" s="66" t="str">
        <x:f>IF(J824="","Baru/Tanpa Data",IF(J824&lt;='Catatan &amp; Sumber'!$B$14,"Sangat Ketat",IF(J824&lt;='Catatan &amp; Sumber'!$B$15,"Ketat",IF(J824&lt;='Catatan &amp; Sumber'!$B$16,"Sedang","Relatif Longgar"))))</x:f>
        <x:v>Ketat</x:v>
      </x:c>
      <x:c r="N824" s="66" t="str">
        <x:v>Tidak Ada</x:v>
      </x:c>
      <x:c r="O824" s="66" t="str">
        <x:v>Sumatera Selatan</x:v>
      </x:c>
      <x:c r="P824" s="66" t="str">
        <x:v>Kabupaten Ogan Ilir</x:v>
      </x:c>
      <x:c r="Q824" s="66" t="str">
        <x:v>https://snpmb.id/snbp/daya-tampung-snbp</x:v>
      </x:c>
      <x:c r="R824" s="66" t="str">
        <x:v>https://sidatagrun-public-1076756628210.asia-southeast2.run.app/ptn_sn.php?ptn=171</x:v>
      </x:c>
    </x:row>
    <x:row r="825">
      <x:c r="A825" s="87" t="n">
        <x:v>202</x:v>
      </x:c>
      <x:c r="B825" s="87" t="n">
        <x:v>171</x:v>
      </x:c>
      <x:c r="C825" s="66" t="str">
        <x:v>UNIVERSITAS SRIWIJAYA</x:v>
      </x:c>
      <x:c r="D825" s="66" t="str">
        <x:v>PTN Akademik</x:v>
      </x:c>
      <x:c r="E825" s="66" t="str">
        <x:v>11711042</x:v>
      </x:c>
      <x:c r="F825" s="66" t="str">
        <x:v>AKUNTANSI</x:v>
      </x:c>
      <x:c r="G825" s="66" t="str">
        <x:v>Sarjana</x:v>
      </x:c>
      <x:c r="H825" s="87" t="n">
        <x:v>45</x:v>
      </x:c>
      <x:c r="I825" s="87" t="n">
        <x:v>1214</x:v>
      </x:c>
      <x:c r="J825" s="68" t="n">
        <x:f>IFERROR(H825/I825,"")</x:f>
        <x:v>0.03706754530477759</x:v>
      </x:c>
      <x:c r="K825" s="69" t="n">
        <x:f>IFERROR(I825/H825,"")</x:f>
        <x:v>26.977777777777778</x:v>
      </x:c>
      <x:c r="L825" s="66" t="str">
        <x:f>IF(K825="","","1 : "&amp;TEXT(K825,"0.0"))</x:f>
        <x:v>1 : 27.0</x:v>
      </x:c>
      <x:c r="M825" s="66" t="str">
        <x:f>IF(J825="","Baru/Tanpa Data",IF(J825&lt;='Catatan &amp; Sumber'!$B$14,"Sangat Ketat",IF(J825&lt;='Catatan &amp; Sumber'!$B$15,"Ketat",IF(J825&lt;='Catatan &amp; Sumber'!$B$16,"Sedang","Relatif Longgar"))))</x:f>
        <x:v>Ketat</x:v>
      </x:c>
      <x:c r="N825" s="66" t="str">
        <x:v>Tidak Ada</x:v>
      </x:c>
      <x:c r="O825" s="66" t="str">
        <x:v>Sumatera Selatan</x:v>
      </x:c>
      <x:c r="P825" s="66" t="str">
        <x:v>Kabupaten Ogan Ilir</x:v>
      </x:c>
      <x:c r="Q825" s="66" t="str">
        <x:v>https://snpmb.id/snbp/daya-tampung-snbp</x:v>
      </x:c>
      <x:c r="R825" s="66" t="str">
        <x:v>https://sidatagrun-public-1076756628210.asia-southeast2.run.app/ptn_sn.php?ptn=171</x:v>
      </x:c>
    </x:row>
    <x:row r="826">
      <x:c r="A826" s="87" t="n">
        <x:v>576</x:v>
      </x:c>
      <x:c r="B826" s="87" t="n">
        <x:v>171</x:v>
      </x:c>
      <x:c r="C826" s="66" t="str">
        <x:v>UNIVERSITAS SRIWIJAYA</x:v>
      </x:c>
      <x:c r="D826" s="66" t="str">
        <x:v>PTN Akademik</x:v>
      </x:c>
      <x:c r="E826" s="66" t="str">
        <x:v>11711043</x:v>
      </x:c>
      <x:c r="F826" s="66" t="str">
        <x:v>ADMINISTRASI PUBLIK</x:v>
      </x:c>
      <x:c r="G826" s="66" t="str">
        <x:v>Sarjana</x:v>
      </x:c>
      <x:c r="H826" s="87" t="n">
        <x:v>60</x:v>
      </x:c>
      <x:c r="I826" s="87" t="n">
        <x:v>1081</x:v>
      </x:c>
      <x:c r="J826" s="68" t="n">
        <x:f>IFERROR(H826/I826,"")</x:f>
        <x:v>0.05550416281221091</x:v>
      </x:c>
      <x:c r="K826" s="69" t="n">
        <x:f>IFERROR(I826/H826,"")</x:f>
        <x:v>18.016666666666666</x:v>
      </x:c>
      <x:c r="L826" s="66" t="str">
        <x:f>IF(K826="","","1 : "&amp;TEXT(K826,"0.0"))</x:f>
        <x:v>1 : 18.0</x:v>
      </x:c>
      <x:c r="M826" s="66" t="str">
        <x:f>IF(J826="","Baru/Tanpa Data",IF(J826&lt;='Catatan &amp; Sumber'!$B$14,"Sangat Ketat",IF(J826&lt;='Catatan &amp; Sumber'!$B$15,"Ketat",IF(J826&lt;='Catatan &amp; Sumber'!$B$16,"Sedang","Relatif Longgar"))))</x:f>
        <x:v>Sedang</x:v>
      </x:c>
      <x:c r="N826" s="66" t="str">
        <x:v>Tidak Ada</x:v>
      </x:c>
      <x:c r="O826" s="66" t="str">
        <x:v>Sumatera Selatan</x:v>
      </x:c>
      <x:c r="P826" s="66" t="str">
        <x:v>Kabupaten Ogan Ilir</x:v>
      </x:c>
      <x:c r="Q826" s="66" t="str">
        <x:v>https://snpmb.id/snbp/daya-tampung-snbp</x:v>
      </x:c>
      <x:c r="R826" s="66" t="str">
        <x:v>https://sidatagrun-public-1076756628210.asia-southeast2.run.app/ptn_sn.php?ptn=171</x:v>
      </x:c>
    </x:row>
    <x:row r="827">
      <x:c r="A827" s="87" t="n">
        <x:v>2505</x:v>
      </x:c>
      <x:c r="B827" s="87" t="n">
        <x:v>171</x:v>
      </x:c>
      <x:c r="C827" s="66" t="str">
        <x:v>UNIVERSITAS SRIWIJAYA</x:v>
      </x:c>
      <x:c r="D827" s="66" t="str">
        <x:v>PTN Akademik</x:v>
      </x:c>
      <x:c r="E827" s="66" t="str">
        <x:v>11711044</x:v>
      </x:c>
      <x:c r="F827" s="66" t="str">
        <x:v>SOSIOLOGI</x:v>
      </x:c>
      <x:c r="G827" s="66" t="str">
        <x:v>Sarjana</x:v>
      </x:c>
      <x:c r="H827" s="87" t="n">
        <x:v>92</x:v>
      </x:c>
      <x:c r="I827" s="87" t="n">
        <x:v>433</x:v>
      </x:c>
      <x:c r="J827" s="68" t="n">
        <x:f>IFERROR(H827/I827,"")</x:f>
        <x:v>0.21247113163972287</x:v>
      </x:c>
      <x:c r="K827" s="69" t="n">
        <x:f>IFERROR(I827/H827,"")</x:f>
        <x:v>4.706521739130435</x:v>
      </x:c>
      <x:c r="L827" s="66" t="str">
        <x:f>IF(K827="","","1 : "&amp;TEXT(K827,"0.0"))</x:f>
        <x:v>1 : 4.7</x:v>
      </x:c>
      <x:c r="M827" s="66" t="str">
        <x:f>IF(J827="","Baru/Tanpa Data",IF(J827&lt;='Catatan &amp; Sumber'!$B$14,"Sangat Ketat",IF(J827&lt;='Catatan &amp; Sumber'!$B$15,"Ketat",IF(J827&lt;='Catatan &amp; Sumber'!$B$16,"Sedang","Relatif Longgar"))))</x:f>
        <x:v>Relatif Longgar</x:v>
      </x:c>
      <x:c r="N827" s="66" t="str">
        <x:v>Tidak Ada</x:v>
      </x:c>
      <x:c r="O827" s="66" t="str">
        <x:v>Sumatera Selatan</x:v>
      </x:c>
      <x:c r="P827" s="66" t="str">
        <x:v>Kabupaten Ogan Ilir</x:v>
      </x:c>
      <x:c r="Q827" s="66" t="str">
        <x:v>https://snpmb.id/snbp/daya-tampung-snbp</x:v>
      </x:c>
      <x:c r="R827" s="66" t="str">
        <x:v>https://sidatagrun-public-1076756628210.asia-southeast2.run.app/ptn_sn.php?ptn=171</x:v>
      </x:c>
    </x:row>
    <x:row r="828">
      <x:c r="A828" s="87" t="n">
        <x:v>228</x:v>
      </x:c>
      <x:c r="B828" s="87" t="n">
        <x:v>171</x:v>
      </x:c>
      <x:c r="C828" s="66" t="str">
        <x:v>UNIVERSITAS SRIWIJAYA</x:v>
      </x:c>
      <x:c r="D828" s="66" t="str">
        <x:v>PTN Akademik</x:v>
      </x:c>
      <x:c r="E828" s="66" t="str">
        <x:v>11711045</x:v>
      </x:c>
      <x:c r="F828" s="66" t="str">
        <x:v>PPKN</x:v>
      </x:c>
      <x:c r="G828" s="66" t="str">
        <x:v>Sarjana</x:v>
      </x:c>
      <x:c r="H828" s="87" t="n">
        <x:v>20</x:v>
      </x:c>
      <x:c r="I828" s="87" t="n">
        <x:v>523</x:v>
      </x:c>
      <x:c r="J828" s="68" t="n">
        <x:f>IFERROR(H828/I828,"")</x:f>
        <x:v>0.03824091778202677</x:v>
      </x:c>
      <x:c r="K828" s="69" t="n">
        <x:f>IFERROR(I828/H828,"")</x:f>
        <x:v>26.15</x:v>
      </x:c>
      <x:c r="L828" s="66" t="str">
        <x:f>IF(K828="","","1 : "&amp;TEXT(K828,"0.0"))</x:f>
        <x:v>1 : 26.2</x:v>
      </x:c>
      <x:c r="M828" s="66" t="str">
        <x:f>IF(J828="","Baru/Tanpa Data",IF(J828&lt;='Catatan &amp; Sumber'!$B$14,"Sangat Ketat",IF(J828&lt;='Catatan &amp; Sumber'!$B$15,"Ketat",IF(J828&lt;='Catatan &amp; Sumber'!$B$16,"Sedang","Relatif Longgar"))))</x:f>
        <x:v>Ketat</x:v>
      </x:c>
      <x:c r="N828" s="66" t="str">
        <x:v>Tidak Ada</x:v>
      </x:c>
      <x:c r="O828" s="66" t="str">
        <x:v>Sumatera Selatan</x:v>
      </x:c>
      <x:c r="P828" s="66" t="str">
        <x:v>Kabupaten Ogan Ilir</x:v>
      </x:c>
      <x:c r="Q828" s="66" t="str">
        <x:v>https://snpmb.id/snbp/daya-tampung-snbp</x:v>
      </x:c>
      <x:c r="R828" s="66" t="str">
        <x:v>https://sidatagrun-public-1076756628210.asia-southeast2.run.app/ptn_sn.php?ptn=171</x:v>
      </x:c>
    </x:row>
    <x:row r="829">
      <x:c r="A829" s="87" t="n">
        <x:v>596</x:v>
      </x:c>
      <x:c r="B829" s="87" t="n">
        <x:v>171</x:v>
      </x:c>
      <x:c r="C829" s="66" t="str">
        <x:v>UNIVERSITAS SRIWIJAYA</x:v>
      </x:c>
      <x:c r="D829" s="66" t="str">
        <x:v>PTN Akademik</x:v>
      </x:c>
      <x:c r="E829" s="66" t="str">
        <x:v>11711046</x:v>
      </x:c>
      <x:c r="F829" s="66" t="str">
        <x:v>PEND SEJARAH</x:v>
      </x:c>
      <x:c r="G829" s="66" t="str">
        <x:v>Sarjana</x:v>
      </x:c>
      <x:c r="H829" s="87" t="n">
        <x:v>22</x:v>
      </x:c>
      <x:c r="I829" s="87" t="n">
        <x:v>384</x:v>
      </x:c>
      <x:c r="J829" s="68" t="n">
        <x:f>IFERROR(H829/I829,"")</x:f>
        <x:v>0.057291666666666664</x:v>
      </x:c>
      <x:c r="K829" s="69" t="n">
        <x:f>IFERROR(I829/H829,"")</x:f>
        <x:v>17.454545454545453</x:v>
      </x:c>
      <x:c r="L829" s="66" t="str">
        <x:f>IF(K829="","","1 : "&amp;TEXT(K829,"0.0"))</x:f>
        <x:v>1 : 17.5</x:v>
      </x:c>
      <x:c r="M829" s="66" t="str">
        <x:f>IF(J829="","Baru/Tanpa Data",IF(J829&lt;='Catatan &amp; Sumber'!$B$14,"Sangat Ketat",IF(J829&lt;='Catatan &amp; Sumber'!$B$15,"Ketat",IF(J829&lt;='Catatan &amp; Sumber'!$B$16,"Sedang","Relatif Longgar"))))</x:f>
        <x:v>Sedang</x:v>
      </x:c>
      <x:c r="N829" s="66" t="str">
        <x:v>Tidak Ada</x:v>
      </x:c>
      <x:c r="O829" s="66" t="str">
        <x:v>Sumatera Selatan</x:v>
      </x:c>
      <x:c r="P829" s="66" t="str">
        <x:v>Kabupaten Ogan Ilir</x:v>
      </x:c>
      <x:c r="Q829" s="66" t="str">
        <x:v>https://snpmb.id/snbp/daya-tampung-snbp</x:v>
      </x:c>
      <x:c r="R829" s="66" t="str">
        <x:v>https://sidatagrun-public-1076756628210.asia-southeast2.run.app/ptn_sn.php?ptn=171</x:v>
      </x:c>
    </x:row>
    <x:row r="830">
      <x:c r="A830" s="87" t="n">
        <x:v>789</x:v>
      </x:c>
      <x:c r="B830" s="87" t="n">
        <x:v>171</x:v>
      </x:c>
      <x:c r="C830" s="66" t="str">
        <x:v>UNIVERSITAS SRIWIJAYA</x:v>
      </x:c>
      <x:c r="D830" s="66" t="str">
        <x:v>PTN Akademik</x:v>
      </x:c>
      <x:c r="E830" s="66" t="str">
        <x:v>11711047</x:v>
      </x:c>
      <x:c r="F830" s="66" t="str">
        <x:v>PEND EKONOMI</x:v>
      </x:c>
      <x:c r="G830" s="66" t="str">
        <x:v>Sarjana</x:v>
      </x:c>
      <x:c r="H830" s="87" t="n">
        <x:v>20</x:v>
      </x:c>
      <x:c r="I830" s="87" t="n">
        <x:v>302</x:v>
      </x:c>
      <x:c r="J830" s="68" t="n">
        <x:f>IFERROR(H830/I830,"")</x:f>
        <x:v>0.06622516556291391</x:v>
      </x:c>
      <x:c r="K830" s="69" t="n">
        <x:f>IFERROR(I830/H830,"")</x:f>
        <x:v>15.1</x:v>
      </x:c>
      <x:c r="L830" s="66" t="str">
        <x:f>IF(K830="","","1 : "&amp;TEXT(K830,"0.0"))</x:f>
        <x:v>1 : 15.1</x:v>
      </x:c>
      <x:c r="M830" s="66" t="str">
        <x:f>IF(J830="","Baru/Tanpa Data",IF(J830&lt;='Catatan &amp; Sumber'!$B$14,"Sangat Ketat",IF(J830&lt;='Catatan &amp; Sumber'!$B$15,"Ketat",IF(J830&lt;='Catatan &amp; Sumber'!$B$16,"Sedang","Relatif Longgar"))))</x:f>
        <x:v>Sedang</x:v>
      </x:c>
      <x:c r="N830" s="66" t="str">
        <x:v>Tidak Ada</x:v>
      </x:c>
      <x:c r="O830" s="66" t="str">
        <x:v>Sumatera Selatan</x:v>
      </x:c>
      <x:c r="P830" s="66" t="str">
        <x:v>Kabupaten Ogan Ilir</x:v>
      </x:c>
      <x:c r="Q830" s="66" t="str">
        <x:v>https://snpmb.id/snbp/daya-tampung-snbp</x:v>
      </x:c>
      <x:c r="R830" s="66" t="str">
        <x:v>https://sidatagrun-public-1076756628210.asia-southeast2.run.app/ptn_sn.php?ptn=171</x:v>
      </x:c>
    </x:row>
    <x:row r="831">
      <x:c r="A831" s="87" t="n">
        <x:v>215</x:v>
      </x:c>
      <x:c r="B831" s="87" t="n">
        <x:v>171</x:v>
      </x:c>
      <x:c r="C831" s="66" t="str">
        <x:v>UNIVERSITAS SRIWIJAYA</x:v>
      </x:c>
      <x:c r="D831" s="66" t="str">
        <x:v>PTN Akademik</x:v>
      </x:c>
      <x:c r="E831" s="66" t="str">
        <x:v>11711048</x:v>
      </x:c>
      <x:c r="F831" s="66" t="str">
        <x:v>PEND BHS, SATRA IND &amp; DAERAH</x:v>
      </x:c>
      <x:c r="G831" s="66" t="str">
        <x:v>Sarjana</x:v>
      </x:c>
      <x:c r="H831" s="87" t="n">
        <x:v>20</x:v>
      </x:c>
      <x:c r="I831" s="87" t="n">
        <x:v>532</x:v>
      </x:c>
      <x:c r="J831" s="68" t="n">
        <x:f>IFERROR(H831/I831,"")</x:f>
        <x:v>0.03759398496240601</x:v>
      </x:c>
      <x:c r="K831" s="69" t="n">
        <x:f>IFERROR(I831/H831,"")</x:f>
        <x:v>26.6</x:v>
      </x:c>
      <x:c r="L831" s="66" t="str">
        <x:f>IF(K831="","","1 : "&amp;TEXT(K831,"0.0"))</x:f>
        <x:v>1 : 26.6</x:v>
      </x:c>
      <x:c r="M831" s="66" t="str">
        <x:f>IF(J831="","Baru/Tanpa Data",IF(J831&lt;='Catatan &amp; Sumber'!$B$14,"Sangat Ketat",IF(J831&lt;='Catatan &amp; Sumber'!$B$15,"Ketat",IF(J831&lt;='Catatan &amp; Sumber'!$B$16,"Sedang","Relatif Longgar"))))</x:f>
        <x:v>Ketat</x:v>
      </x:c>
      <x:c r="N831" s="66" t="str">
        <x:v>Tidak Ada</x:v>
      </x:c>
      <x:c r="O831" s="66" t="str">
        <x:v>Sumatera Selatan</x:v>
      </x:c>
      <x:c r="P831" s="66" t="str">
        <x:v>Kabupaten Ogan Ilir</x:v>
      </x:c>
      <x:c r="Q831" s="66" t="str">
        <x:v>https://snpmb.id/snbp/daya-tampung-snbp</x:v>
      </x:c>
      <x:c r="R831" s="66" t="str">
        <x:v>https://sidatagrun-public-1076756628210.asia-southeast2.run.app/ptn_sn.php?ptn=171</x:v>
      </x:c>
    </x:row>
    <x:row r="832">
      <x:c r="A832" s="87" t="n">
        <x:v>451</x:v>
      </x:c>
      <x:c r="B832" s="87" t="n">
        <x:v>171</x:v>
      </x:c>
      <x:c r="C832" s="66" t="str">
        <x:v>UNIVERSITAS SRIWIJAYA</x:v>
      </x:c>
      <x:c r="D832" s="66" t="str">
        <x:v>PTN Akademik</x:v>
      </x:c>
      <x:c r="E832" s="66" t="str">
        <x:v>11711049</x:v>
      </x:c>
      <x:c r="F832" s="66" t="str">
        <x:v>PEND BHS INGGRIS</x:v>
      </x:c>
      <x:c r="G832" s="66" t="str">
        <x:v>Sarjana</x:v>
      </x:c>
      <x:c r="H832" s="87" t="n">
        <x:v>23</x:v>
      </x:c>
      <x:c r="I832" s="87" t="n">
        <x:v>469</x:v>
      </x:c>
      <x:c r="J832" s="68" t="n">
        <x:f>IFERROR(H832/I832,"")</x:f>
        <x:v>0.04904051172707889</x:v>
      </x:c>
      <x:c r="K832" s="69" t="n">
        <x:f>IFERROR(I832/H832,"")</x:f>
        <x:v>20.391304347826086</x:v>
      </x:c>
      <x:c r="L832" s="66" t="str">
        <x:f>IF(K832="","","1 : "&amp;TEXT(K832,"0.0"))</x:f>
        <x:v>1 : 20.4</x:v>
      </x:c>
      <x:c r="M832" s="66" t="str">
        <x:f>IF(J832="","Baru/Tanpa Data",IF(J832&lt;='Catatan &amp; Sumber'!$B$14,"Sangat Ketat",IF(J832&lt;='Catatan &amp; Sumber'!$B$15,"Ketat",IF(J832&lt;='Catatan &amp; Sumber'!$B$16,"Sedang","Relatif Longgar"))))</x:f>
        <x:v>Ketat</x:v>
      </x:c>
      <x:c r="N832" s="66" t="str">
        <x:v>Tidak Ada</x:v>
      </x:c>
      <x:c r="O832" s="66" t="str">
        <x:v>Sumatera Selatan</x:v>
      </x:c>
      <x:c r="P832" s="66" t="str">
        <x:v>Kabupaten Ogan Ilir</x:v>
      </x:c>
      <x:c r="Q832" s="66" t="str">
        <x:v>https://snpmb.id/snbp/daya-tampung-snbp</x:v>
      </x:c>
      <x:c r="R832" s="66" t="str">
        <x:v>https://sidatagrun-public-1076756628210.asia-southeast2.run.app/ptn_sn.php?ptn=171</x:v>
      </x:c>
    </x:row>
    <x:row r="833">
      <x:c r="A833" s="87" t="n">
        <x:v>1341</x:v>
      </x:c>
      <x:c r="B833" s="87" t="n">
        <x:v>171</x:v>
      </x:c>
      <x:c r="C833" s="66" t="str">
        <x:v>UNIVERSITAS SRIWIJAYA</x:v>
      </x:c>
      <x:c r="D833" s="66" t="str">
        <x:v>PTN Akademik</x:v>
      </x:c>
      <x:c r="E833" s="66" t="str">
        <x:v>11711050</x:v>
      </x:c>
      <x:c r="F833" s="66" t="str">
        <x:v>PENJASKES</x:v>
      </x:c>
      <x:c r="G833" s="66" t="str">
        <x:v>Sarjana</x:v>
      </x:c>
      <x:c r="H833" s="87" t="n">
        <x:v>25</x:v>
      </x:c>
      <x:c r="I833" s="87" t="n">
        <x:v>255</x:v>
      </x:c>
      <x:c r="J833" s="68" t="n">
        <x:f>IFERROR(H833/I833,"")</x:f>
        <x:v>0.09803921568627451</x:v>
      </x:c>
      <x:c r="K833" s="69" t="n">
        <x:f>IFERROR(I833/H833,"")</x:f>
        <x:v>10.2</x:v>
      </x:c>
      <x:c r="L833" s="66" t="str">
        <x:f>IF(K833="","","1 : "&amp;TEXT(K833,"0.0"))</x:f>
        <x:v>1 : 10.2</x:v>
      </x:c>
      <x:c r="M833" s="66" t="str">
        <x:f>IF(J833="","Baru/Tanpa Data",IF(J833&lt;='Catatan &amp; Sumber'!$B$14,"Sangat Ketat",IF(J833&lt;='Catatan &amp; Sumber'!$B$15,"Ketat",IF(J833&lt;='Catatan &amp; Sumber'!$B$16,"Sedang","Relatif Longgar"))))</x:f>
        <x:v>Sedang</x:v>
      </x:c>
      <x:c r="N833" s="66" t="str">
        <x:v>Olahraga</x:v>
      </x:c>
      <x:c r="O833" s="66" t="str">
        <x:v>Sumatera Selatan</x:v>
      </x:c>
      <x:c r="P833" s="66" t="str">
        <x:v>Kabupaten Ogan Ilir</x:v>
      </x:c>
      <x:c r="Q833" s="66" t="str">
        <x:v>https://snpmb.id/snbp/daya-tampung-snbp</x:v>
      </x:c>
      <x:c r="R833" s="66" t="str">
        <x:v>https://sidatagrun-public-1076756628210.asia-southeast2.run.app/ptn_sn.php?ptn=171</x:v>
      </x:c>
    </x:row>
    <x:row r="834">
      <x:c r="A834" s="87" t="n">
        <x:v>100</x:v>
      </x:c>
      <x:c r="B834" s="87" t="n">
        <x:v>171</x:v>
      </x:c>
      <x:c r="C834" s="66" t="str">
        <x:v>UNIVERSITAS SRIWIJAYA</x:v>
      </x:c>
      <x:c r="D834" s="66" t="str">
        <x:v>PTN Akademik</x:v>
      </x:c>
      <x:c r="E834" s="66" t="str">
        <x:v>11711051</x:v>
      </x:c>
      <x:c r="F834" s="66" t="str">
        <x:v>BIMB &amp; KONSELING</x:v>
      </x:c>
      <x:c r="G834" s="66" t="str">
        <x:v>Sarjana</x:v>
      </x:c>
      <x:c r="H834" s="87" t="n">
        <x:v>22</x:v>
      </x:c>
      <x:c r="I834" s="87" t="n">
        <x:v>763</x:v>
      </x:c>
      <x:c r="J834" s="68" t="n">
        <x:f>IFERROR(H834/I834,"")</x:f>
        <x:v>0.028833551769331587</x:v>
      </x:c>
      <x:c r="K834" s="69" t="n">
        <x:f>IFERROR(I834/H834,"")</x:f>
        <x:v>34.68181818181818</x:v>
      </x:c>
      <x:c r="L834" s="66" t="str">
        <x:f>IF(K834="","","1 : "&amp;TEXT(K834,"0.0"))</x:f>
        <x:v>1 : 34.7</x:v>
      </x:c>
      <x:c r="M834" s="66" t="str">
        <x:f>IF(J834="","Baru/Tanpa Data",IF(J834&lt;='Catatan &amp; Sumber'!$B$14,"Sangat Ketat",IF(J834&lt;='Catatan &amp; Sumber'!$B$15,"Ketat",IF(J834&lt;='Catatan &amp; Sumber'!$B$16,"Sedang","Relatif Longgar"))))</x:f>
        <x:v>Ketat</x:v>
      </x:c>
      <x:c r="N834" s="66" t="str">
        <x:v>Tidak Ada</x:v>
      </x:c>
      <x:c r="O834" s="66" t="str">
        <x:v>Sumatera Selatan</x:v>
      </x:c>
      <x:c r="P834" s="66" t="str">
        <x:v>Kabupaten Ogan Ilir</x:v>
      </x:c>
      <x:c r="Q834" s="66" t="str">
        <x:v>https://snpmb.id/snbp/daya-tampung-snbp</x:v>
      </x:c>
      <x:c r="R834" s="66" t="str">
        <x:v>https://sidatagrun-public-1076756628210.asia-southeast2.run.app/ptn_sn.php?ptn=171</x:v>
      </x:c>
    </x:row>
    <x:row r="835">
      <x:c r="A835" s="87" t="n">
        <x:v>10</x:v>
      </x:c>
      <x:c r="B835" s="87" t="n">
        <x:v>171</x:v>
      </x:c>
      <x:c r="C835" s="66" t="str">
        <x:v>UNIVERSITAS SRIWIJAYA</x:v>
      </x:c>
      <x:c r="D835" s="66" t="str">
        <x:v>PTN Akademik</x:v>
      </x:c>
      <x:c r="E835" s="66" t="str">
        <x:v>11711052</x:v>
      </x:c>
      <x:c r="F835" s="66" t="str">
        <x:v>PGSD</x:v>
      </x:c>
      <x:c r="G835" s="66" t="str">
        <x:v>Sarjana</x:v>
      </x:c>
      <x:c r="H835" s="87" t="n">
        <x:v>26</x:v>
      </x:c>
      <x:c r="I835" s="87" t="n">
        <x:v>1744</x:v>
      </x:c>
      <x:c r="J835" s="68" t="n">
        <x:f>IFERROR(H835/I835,"")</x:f>
        <x:v>0.014908256880733946</x:v>
      </x:c>
      <x:c r="K835" s="69" t="n">
        <x:f>IFERROR(I835/H835,"")</x:f>
        <x:v>67.07692307692308</x:v>
      </x:c>
      <x:c r="L835" s="66" t="str">
        <x:f>IF(K835="","","1 : "&amp;TEXT(K835,"0.0"))</x:f>
        <x:v>1 : 67.1</x:v>
      </x:c>
      <x:c r="M835" s="66" t="str">
        <x:f>IF(J835="","Baru/Tanpa Data",IF(J835&lt;='Catatan &amp; Sumber'!$B$14,"Sangat Ketat",IF(J835&lt;='Catatan &amp; Sumber'!$B$15,"Ketat",IF(J835&lt;='Catatan &amp; Sumber'!$B$16,"Sedang","Relatif Longgar"))))</x:f>
        <x:v>Sangat Ketat</x:v>
      </x:c>
      <x:c r="N835" s="66" t="str">
        <x:v>Tidak Ada</x:v>
      </x:c>
      <x:c r="O835" s="66" t="str">
        <x:v>Sumatera Selatan</x:v>
      </x:c>
      <x:c r="P835" s="66" t="str">
        <x:v>Kabupaten Ogan Ilir</x:v>
      </x:c>
      <x:c r="Q835" s="66" t="str">
        <x:v>https://snpmb.id/snbp/daya-tampung-snbp</x:v>
      </x:c>
      <x:c r="R835" s="66" t="str">
        <x:v>https://sidatagrun-public-1076756628210.asia-southeast2.run.app/ptn_sn.php?ptn=171</x:v>
      </x:c>
    </x:row>
    <x:row r="836">
      <x:c r="A836" s="87" t="n">
        <x:v>1140</x:v>
      </x:c>
      <x:c r="B836" s="87" t="n">
        <x:v>171</x:v>
      </x:c>
      <x:c r="C836" s="66" t="str">
        <x:v>UNIVERSITAS SRIWIJAYA</x:v>
      </x:c>
      <x:c r="D836" s="66" t="str">
        <x:v>PTN Akademik</x:v>
      </x:c>
      <x:c r="E836" s="66" t="str">
        <x:v>11711053</x:v>
      </x:c>
      <x:c r="F836" s="66" t="str">
        <x:v>PAUD</x:v>
      </x:c>
      <x:c r="G836" s="66" t="str">
        <x:v>Sarjana</x:v>
      </x:c>
      <x:c r="H836" s="87" t="n">
        <x:v>20</x:v>
      </x:c>
      <x:c r="I836" s="87" t="n">
        <x:v>232</x:v>
      </x:c>
      <x:c r="J836" s="68" t="n">
        <x:f>IFERROR(H836/I836,"")</x:f>
        <x:v>0.08620689655172414</x:v>
      </x:c>
      <x:c r="K836" s="69" t="n">
        <x:f>IFERROR(I836/H836,"")</x:f>
        <x:v>11.6</x:v>
      </x:c>
      <x:c r="L836" s="66" t="str">
        <x:f>IF(K836="","","1 : "&amp;TEXT(K836,"0.0"))</x:f>
        <x:v>1 : 11.6</x:v>
      </x:c>
      <x:c r="M836" s="66" t="str">
        <x:f>IF(J836="","Baru/Tanpa Data",IF(J836&lt;='Catatan &amp; Sumber'!$B$14,"Sangat Ketat",IF(J836&lt;='Catatan &amp; Sumber'!$B$15,"Ketat",IF(J836&lt;='Catatan &amp; Sumber'!$B$16,"Sedang","Relatif Longgar"))))</x:f>
        <x:v>Sedang</x:v>
      </x:c>
      <x:c r="N836" s="66" t="str">
        <x:v>Tidak Ada</x:v>
      </x:c>
      <x:c r="O836" s="66" t="str">
        <x:v>Sumatera Selatan</x:v>
      </x:c>
      <x:c r="P836" s="66" t="str">
        <x:v>Kabupaten Ogan Ilir</x:v>
      </x:c>
      <x:c r="Q836" s="66" t="str">
        <x:v>https://snpmb.id/snbp/daya-tampung-snbp</x:v>
      </x:c>
      <x:c r="R836" s="66" t="str">
        <x:v>https://sidatagrun-public-1076756628210.asia-southeast2.run.app/ptn_sn.php?ptn=171</x:v>
      </x:c>
    </x:row>
    <x:row r="837">
      <x:c r="A837" s="87" t="n">
        <x:v>883</x:v>
      </x:c>
      <x:c r="B837" s="87" t="n">
        <x:v>171</x:v>
      </x:c>
      <x:c r="C837" s="66" t="str">
        <x:v>UNIVERSITAS SRIWIJAYA</x:v>
      </x:c>
      <x:c r="D837" s="66" t="str">
        <x:v>PTN Akademik</x:v>
      </x:c>
      <x:c r="E837" s="66" t="str">
        <x:v>11711054</x:v>
      </x:c>
      <x:c r="F837" s="66" t="str">
        <x:v>ILMU KOMUNIKASI</x:v>
      </x:c>
      <x:c r="G837" s="66" t="str">
        <x:v>Sarjana</x:v>
      </x:c>
      <x:c r="H837" s="87" t="n">
        <x:v>59</x:v>
      </x:c>
      <x:c r="I837" s="87" t="n">
        <x:v>831</x:v>
      </x:c>
      <x:c r="J837" s="68" t="n">
        <x:f>IFERROR(H837/I837,"")</x:f>
        <x:v>0.07099879663056559</x:v>
      </x:c>
      <x:c r="K837" s="69" t="n">
        <x:f>IFERROR(I837/H837,"")</x:f>
        <x:v>14.084745762711865</x:v>
      </x:c>
      <x:c r="L837" s="66" t="str">
        <x:f>IF(K837="","","1 : "&amp;TEXT(K837,"0.0"))</x:f>
        <x:v>1 : 14.1</x:v>
      </x:c>
      <x:c r="M837" s="66" t="str">
        <x:f>IF(J837="","Baru/Tanpa Data",IF(J837&lt;='Catatan &amp; Sumber'!$B$14,"Sangat Ketat",IF(J837&lt;='Catatan &amp; Sumber'!$B$15,"Ketat",IF(J837&lt;='Catatan &amp; Sumber'!$B$16,"Sedang","Relatif Longgar"))))</x:f>
        <x:v>Sedang</x:v>
      </x:c>
      <x:c r="N837" s="66" t="str">
        <x:v>Tidak Ada</x:v>
      </x:c>
      <x:c r="O837" s="66" t="str">
        <x:v>Sumatera Selatan</x:v>
      </x:c>
      <x:c r="P837" s="66" t="str">
        <x:v>Kabupaten Ogan Ilir</x:v>
      </x:c>
      <x:c r="Q837" s="66" t="str">
        <x:v>https://snpmb.id/snbp/daya-tampung-snbp</x:v>
      </x:c>
      <x:c r="R837" s="66" t="str">
        <x:v>https://sidatagrun-public-1076756628210.asia-southeast2.run.app/ptn_sn.php?ptn=171</x:v>
      </x:c>
    </x:row>
    <x:row r="838">
      <x:c r="A838" s="87" t="n">
        <x:v>1731</x:v>
      </x:c>
      <x:c r="B838" s="87" t="n">
        <x:v>171</x:v>
      </x:c>
      <x:c r="C838" s="66" t="str">
        <x:v>UNIVERSITAS SRIWIJAYA</x:v>
      </x:c>
      <x:c r="D838" s="66" t="str">
        <x:v>PTN Akademik</x:v>
      </x:c>
      <x:c r="E838" s="66" t="str">
        <x:v>11711055</x:v>
      </x:c>
      <x:c r="F838" s="66" t="str">
        <x:v>PENDIDIKAN MASYARAKAT</x:v>
      </x:c>
      <x:c r="G838" s="66" t="str">
        <x:v>Sarjana</x:v>
      </x:c>
      <x:c r="H838" s="87" t="n">
        <x:v>20</x:v>
      </x:c>
      <x:c r="I838" s="87" t="n">
        <x:v>158</x:v>
      </x:c>
      <x:c r="J838" s="68" t="n">
        <x:f>IFERROR(H838/I838,"")</x:f>
        <x:v>0.12658227848101267</x:v>
      </x:c>
      <x:c r="K838" s="69" t="n">
        <x:f>IFERROR(I838/H838,"")</x:f>
        <x:v>7.9</x:v>
      </x:c>
      <x:c r="L838" s="66" t="str">
        <x:f>IF(K838="","","1 : "&amp;TEXT(K838,"0.0"))</x:f>
        <x:v>1 : 7.9</x:v>
      </x:c>
      <x:c r="M838" s="66" t="str">
        <x:f>IF(J838="","Baru/Tanpa Data",IF(J838&lt;='Catatan &amp; Sumber'!$B$14,"Sangat Ketat",IF(J838&lt;='Catatan &amp; Sumber'!$B$15,"Ketat",IF(J838&lt;='Catatan &amp; Sumber'!$B$16,"Sedang","Relatif Longgar"))))</x:f>
        <x:v>Relatif Longgar</x:v>
      </x:c>
      <x:c r="N838" s="66" t="str">
        <x:v>Tidak Ada</x:v>
      </x:c>
      <x:c r="O838" s="66" t="str">
        <x:v>Sumatera Selatan</x:v>
      </x:c>
      <x:c r="P838" s="66" t="str">
        <x:v>Kabupaten Ogan Ilir</x:v>
      </x:c>
      <x:c r="Q838" s="66" t="str">
        <x:v>https://snpmb.id/snbp/daya-tampung-snbp</x:v>
      </x:c>
      <x:c r="R838" s="66" t="str">
        <x:v>https://sidatagrun-public-1076756628210.asia-southeast2.run.app/ptn_sn.php?ptn=171</x:v>
      </x:c>
    </x:row>
    <x:row r="839">
      <x:c r="A839" s="87" t="n">
        <x:v>2105</x:v>
      </x:c>
      <x:c r="B839" s="87" t="n">
        <x:v>171</x:v>
      </x:c>
      <x:c r="C839" s="66" t="str">
        <x:v>UNIVERSITAS SRIWIJAYA</x:v>
      </x:c>
      <x:c r="D839" s="66" t="str">
        <x:v>PTN Akademik</x:v>
      </x:c>
      <x:c r="E839" s="66" t="str">
        <x:v>11711056</x:v>
      </x:c>
      <x:c r="F839" s="66" t="str">
        <x:v>ILMU HUBUNGAN INTERNASIONAL</x:v>
      </x:c>
      <x:c r="G839" s="66" t="str">
        <x:v>Sarjana</x:v>
      </x:c>
      <x:c r="H839" s="87" t="n">
        <x:v>59</x:v>
      </x:c>
      <x:c r="I839" s="87" t="n">
        <x:v>364</x:v>
      </x:c>
      <x:c r="J839" s="68" t="n">
        <x:f>IFERROR(H839/I839,"")</x:f>
        <x:v>0.1620879120879121</x:v>
      </x:c>
      <x:c r="K839" s="69" t="n">
        <x:f>IFERROR(I839/H839,"")</x:f>
        <x:v>6.169491525423729</x:v>
      </x:c>
      <x:c r="L839" s="66" t="str">
        <x:f>IF(K839="","","1 : "&amp;TEXT(K839,"0.0"))</x:f>
        <x:v>1 : 6.2</x:v>
      </x:c>
      <x:c r="M839" s="66" t="str">
        <x:f>IF(J839="","Baru/Tanpa Data",IF(J839&lt;='Catatan &amp; Sumber'!$B$14,"Sangat Ketat",IF(J839&lt;='Catatan &amp; Sumber'!$B$15,"Ketat",IF(J839&lt;='Catatan &amp; Sumber'!$B$16,"Sedang","Relatif Longgar"))))</x:f>
        <x:v>Relatif Longgar</x:v>
      </x:c>
      <x:c r="N839" s="66" t="str">
        <x:v>Tidak Ada</x:v>
      </x:c>
      <x:c r="O839" s="66" t="str">
        <x:v>Sumatera Selatan</x:v>
      </x:c>
      <x:c r="P839" s="66" t="str">
        <x:v>Kabupaten Ogan Ilir</x:v>
      </x:c>
      <x:c r="Q839" s="66" t="str">
        <x:v>https://snpmb.id/snbp/daya-tampung-snbp</x:v>
      </x:c>
      <x:c r="R839" s="66" t="str">
        <x:v>https://sidatagrun-public-1076756628210.asia-southeast2.run.app/ptn_sn.php?ptn=171</x:v>
      </x:c>
    </x:row>
    <x:row r="840">
      <x:c r="A840" s="87" t="n">
        <x:v>3494</x:v>
      </x:c>
      <x:c r="B840" s="87" t="n">
        <x:v>171</x:v>
      </x:c>
      <x:c r="C840" s="66" t="str">
        <x:v>UNIVERSITAS SRIWIJAYA</x:v>
      </x:c>
      <x:c r="D840" s="66" t="str">
        <x:v>PTN Akademik</x:v>
      </x:c>
      <x:c r="E840" s="66" t="str">
        <x:v>11713057</x:v>
      </x:c>
      <x:c r="F840" s="66" t="str">
        <x:v>AKUNTANSI</x:v>
      </x:c>
      <x:c r="G840" s="66" t="str">
        <x:v>Diploma Tiga</x:v>
      </x:c>
      <x:c r="H840" s="87" t="n">
        <x:v>62</x:v>
      </x:c>
      <x:c r="I840" s="87" t="n">
        <x:v>143</x:v>
      </x:c>
      <x:c r="J840" s="68" t="n">
        <x:f>IFERROR(H840/I840,"")</x:f>
        <x:v>0.43356643356643354</x:v>
      </x:c>
      <x:c r="K840" s="69" t="n">
        <x:f>IFERROR(I840/H840,"")</x:f>
        <x:v>2.306451612903226</x:v>
      </x:c>
      <x:c r="L840" s="66" t="str">
        <x:f>IF(K840="","","1 : "&amp;TEXT(K840,"0.0"))</x:f>
        <x:v>1 : 2.3</x:v>
      </x:c>
      <x:c r="M840" s="66" t="str">
        <x:f>IF(J840="","Baru/Tanpa Data",IF(J840&lt;='Catatan &amp; Sumber'!$B$14,"Sangat Ketat",IF(J840&lt;='Catatan &amp; Sumber'!$B$15,"Ketat",IF(J840&lt;='Catatan &amp; Sumber'!$B$16,"Sedang","Relatif Longgar"))))</x:f>
        <x:v>Relatif Longgar</x:v>
      </x:c>
      <x:c r="N840" s="66" t="str">
        <x:v>Tidak Ada</x:v>
      </x:c>
      <x:c r="O840" s="66" t="str">
        <x:v>Sumatera Selatan</x:v>
      </x:c>
      <x:c r="P840" s="66" t="str">
        <x:v>Kabupaten Ogan Ilir</x:v>
      </x:c>
      <x:c r="Q840" s="66" t="str">
        <x:v>https://snpmb.id/snbp/daya-tampung-snbp</x:v>
      </x:c>
      <x:c r="R840" s="66" t="str">
        <x:v>https://sidatagrun-public-1076756628210.asia-southeast2.run.app/ptn_sn.php?ptn=171</x:v>
      </x:c>
    </x:row>
    <x:row r="841">
      <x:c r="A841" s="87" t="n">
        <x:v>2601</x:v>
      </x:c>
      <x:c r="B841" s="87" t="n">
        <x:v>171</x:v>
      </x:c>
      <x:c r="C841" s="66" t="str">
        <x:v>UNIVERSITAS SRIWIJAYA</x:v>
      </x:c>
      <x:c r="D841" s="66" t="str">
        <x:v>PTN Akademik</x:v>
      </x:c>
      <x:c r="E841" s="66" t="str">
        <x:v>11713058</x:v>
      </x:c>
      <x:c r="F841" s="66" t="str">
        <x:v>TEKNIK KOMPUTER</x:v>
      </x:c>
      <x:c r="G841" s="66" t="str">
        <x:v>Diploma Tiga</x:v>
      </x:c>
      <x:c r="H841" s="87" t="n">
        <x:v>36</x:v>
      </x:c>
      <x:c r="I841" s="87" t="n">
        <x:v>158</x:v>
      </x:c>
      <x:c r="J841" s="68" t="n">
        <x:f>IFERROR(H841/I841,"")</x:f>
        <x:v>0.22784810126582278</x:v>
      </x:c>
      <x:c r="K841" s="69" t="n">
        <x:f>IFERROR(I841/H841,"")</x:f>
        <x:v>4.388888888888889</x:v>
      </x:c>
      <x:c r="L841" s="66" t="str">
        <x:f>IF(K841="","","1 : "&amp;TEXT(K841,"0.0"))</x:f>
        <x:v>1 : 4.4</x:v>
      </x:c>
      <x:c r="M841" s="66" t="str">
        <x:f>IF(J841="","Baru/Tanpa Data",IF(J841&lt;='Catatan &amp; Sumber'!$B$14,"Sangat Ketat",IF(J841&lt;='Catatan &amp; Sumber'!$B$15,"Ketat",IF(J841&lt;='Catatan &amp; Sumber'!$B$16,"Sedang","Relatif Longgar"))))</x:f>
        <x:v>Relatif Longgar</x:v>
      </x:c>
      <x:c r="N841" s="66" t="str">
        <x:v>Tidak Ada</x:v>
      </x:c>
      <x:c r="O841" s="66" t="str">
        <x:v>Sumatera Selatan</x:v>
      </x:c>
      <x:c r="P841" s="66" t="str">
        <x:v>Kabupaten Ogan Ilir</x:v>
      </x:c>
      <x:c r="Q841" s="66" t="str">
        <x:v>https://snpmb.id/snbp/daya-tampung-snbp</x:v>
      </x:c>
      <x:c r="R841" s="66" t="str">
        <x:v>https://sidatagrun-public-1076756628210.asia-southeast2.run.app/ptn_sn.php?ptn=171</x:v>
      </x:c>
    </x:row>
    <x:row r="842">
      <x:c r="A842" s="87" t="n">
        <x:v>3334</x:v>
      </x:c>
      <x:c r="B842" s="87" t="n">
        <x:v>171</x:v>
      </x:c>
      <x:c r="C842" s="66" t="str">
        <x:v>UNIVERSITAS SRIWIJAYA</x:v>
      </x:c>
      <x:c r="D842" s="66" t="str">
        <x:v>PTN Akademik</x:v>
      </x:c>
      <x:c r="E842" s="66" t="str">
        <x:v>11713059</x:v>
      </x:c>
      <x:c r="F842" s="66" t="str">
        <x:v>MANAJEMEN INFORMATIKA</x:v>
      </x:c>
      <x:c r="G842" s="66" t="str">
        <x:v>Diploma Tiga</x:v>
      </x:c>
      <x:c r="H842" s="87" t="n">
        <x:v>42</x:v>
      </x:c>
      <x:c r="I842" s="87" t="n">
        <x:v>110</x:v>
      </x:c>
      <x:c r="J842" s="68" t="n">
        <x:f>IFERROR(H842/I842,"")</x:f>
        <x:v>0.38181818181818183</x:v>
      </x:c>
      <x:c r="K842" s="69" t="n">
        <x:f>IFERROR(I842/H842,"")</x:f>
        <x:v>2.619047619047619</x:v>
      </x:c>
      <x:c r="L842" s="66" t="str">
        <x:f>IF(K842="","","1 : "&amp;TEXT(K842,"0.0"))</x:f>
        <x:v>1 : 2.6</x:v>
      </x:c>
      <x:c r="M842" s="66" t="str">
        <x:f>IF(J842="","Baru/Tanpa Data",IF(J842&lt;='Catatan &amp; Sumber'!$B$14,"Sangat Ketat",IF(J842&lt;='Catatan &amp; Sumber'!$B$15,"Ketat",IF(J842&lt;='Catatan &amp; Sumber'!$B$16,"Sedang","Relatif Longgar"))))</x:f>
        <x:v>Relatif Longgar</x:v>
      </x:c>
      <x:c r="N842" s="66" t="str">
        <x:v>Tidak Ada</x:v>
      </x:c>
      <x:c r="O842" s="66" t="str">
        <x:v>Sumatera Selatan</x:v>
      </x:c>
      <x:c r="P842" s="66" t="str">
        <x:v>Kabupaten Ogan Ilir</x:v>
      </x:c>
      <x:c r="Q842" s="66" t="str">
        <x:v>https://snpmb.id/snbp/daya-tampung-snbp</x:v>
      </x:c>
      <x:c r="R842" s="66" t="str">
        <x:v>https://sidatagrun-public-1076756628210.asia-southeast2.run.app/ptn_sn.php?ptn=171</x:v>
      </x:c>
    </x:row>
    <x:row r="843">
      <x:c r="A843" s="87" t="n">
        <x:v>4049</x:v>
      </x:c>
      <x:c r="B843" s="87" t="n">
        <x:v>171</x:v>
      </x:c>
      <x:c r="C843" s="66" t="str">
        <x:v>UNIVERSITAS SRIWIJAYA</x:v>
      </x:c>
      <x:c r="D843" s="66" t="str">
        <x:v>PTN Akademik</x:v>
      </x:c>
      <x:c r="E843" s="66" t="str">
        <x:v>11713060</x:v>
      </x:c>
      <x:c r="F843" s="66" t="str">
        <x:v>KOMPUTERISASI AKUNTANSI</x:v>
      </x:c>
      <x:c r="G843" s="66" t="str">
        <x:v>Diploma Tiga</x:v>
      </x:c>
      <x:c r="H843" s="87" t="n">
        <x:v>36</x:v>
      </x:c>
      <x:c r="I843" s="87" t="n">
        <x:v>50</x:v>
      </x:c>
      <x:c r="J843" s="68" t="n">
        <x:f>IFERROR(H843/I843,"")</x:f>
        <x:v>0.72</x:v>
      </x:c>
      <x:c r="K843" s="69" t="n">
        <x:f>IFERROR(I843/H843,"")</x:f>
        <x:v>1.3888888888888888</x:v>
      </x:c>
      <x:c r="L843" s="66" t="str">
        <x:f>IF(K843="","","1 : "&amp;TEXT(K843,"0.0"))</x:f>
        <x:v>1 : 1.4</x:v>
      </x:c>
      <x:c r="M843" s="66" t="str">
        <x:f>IF(J843="","Baru/Tanpa Data",IF(J843&lt;='Catatan &amp; Sumber'!$B$14,"Sangat Ketat",IF(J843&lt;='Catatan &amp; Sumber'!$B$15,"Ketat",IF(J843&lt;='Catatan &amp; Sumber'!$B$16,"Sedang","Relatif Longgar"))))</x:f>
        <x:v>Relatif Longgar</x:v>
      </x:c>
      <x:c r="N843" s="66" t="str">
        <x:v>Tidak Ada</x:v>
      </x:c>
      <x:c r="O843" s="66" t="str">
        <x:v>Sumatera Selatan</x:v>
      </x:c>
      <x:c r="P843" s="66" t="str">
        <x:v>Kabupaten Ogan Ilir</x:v>
      </x:c>
      <x:c r="Q843" s="66" t="str">
        <x:v>https://snpmb.id/snbp/daya-tampung-snbp</x:v>
      </x:c>
      <x:c r="R843" s="66" t="str">
        <x:v>https://sidatagrun-public-1076756628210.asia-southeast2.run.app/ptn_sn.php?ptn=171</x:v>
      </x:c>
    </x:row>
    <x:row r="844">
      <x:c r="A844" s="87" t="n">
        <x:v>3517</x:v>
      </x:c>
      <x:c r="B844" s="87" t="n">
        <x:v>171</x:v>
      </x:c>
      <x:c r="C844" s="66" t="str">
        <x:v>UNIVERSITAS SRIWIJAYA</x:v>
      </x:c>
      <x:c r="D844" s="66" t="str">
        <x:v>PTN Akademik</x:v>
      </x:c>
      <x:c r="E844" s="66" t="str">
        <x:v>11713061</x:v>
      </x:c>
      <x:c r="F844" s="66" t="str">
        <x:v>KESEKRETARIATAN</x:v>
      </x:c>
      <x:c r="G844" s="66" t="str">
        <x:v>Diploma Tiga</x:v>
      </x:c>
      <x:c r="H844" s="87" t="n">
        <x:v>36</x:v>
      </x:c>
      <x:c r="I844" s="87" t="n">
        <x:v>82</x:v>
      </x:c>
      <x:c r="J844" s="68" t="n">
        <x:f>IFERROR(H844/I844,"")</x:f>
        <x:v>0.43902439024390244</x:v>
      </x:c>
      <x:c r="K844" s="69" t="n">
        <x:f>IFERROR(I844/H844,"")</x:f>
        <x:v>2.2777777777777777</x:v>
      </x:c>
      <x:c r="L844" s="66" t="str">
        <x:f>IF(K844="","","1 : "&amp;TEXT(K844,"0.0"))</x:f>
        <x:v>1 : 2.3</x:v>
      </x:c>
      <x:c r="M844" s="66" t="str">
        <x:f>IF(J844="","Baru/Tanpa Data",IF(J844&lt;='Catatan &amp; Sumber'!$B$14,"Sangat Ketat",IF(J844&lt;='Catatan &amp; Sumber'!$B$15,"Ketat",IF(J844&lt;='Catatan &amp; Sumber'!$B$16,"Sedang","Relatif Longgar"))))</x:f>
        <x:v>Relatif Longgar</x:v>
      </x:c>
      <x:c r="N844" s="66" t="str">
        <x:v>Tidak Ada</x:v>
      </x:c>
      <x:c r="O844" s="66" t="str">
        <x:v>Sumatera Selatan</x:v>
      </x:c>
      <x:c r="P844" s="66" t="str">
        <x:v>Kabupaten Ogan Ilir</x:v>
      </x:c>
      <x:c r="Q844" s="66" t="str">
        <x:v>https://snpmb.id/snbp/daya-tampung-snbp</x:v>
      </x:c>
      <x:c r="R844" s="66" t="str">
        <x:v>https://sidatagrun-public-1076756628210.asia-southeast2.run.app/ptn_sn.php?ptn=171</x:v>
      </x:c>
    </x:row>
    <x:row r="845">
      <x:c r="A845" s="87" t="n">
        <x:v>3360</x:v>
      </x:c>
      <x:c r="B845" s="87" t="n">
        <x:v>172</x:v>
      </x:c>
      <x:c r="C845" s="66" t="str">
        <x:v>UIN RADEN FATAH</x:v>
      </x:c>
      <x:c r="D845" s="66" t="str">
        <x:v>PTKIN</x:v>
      </x:c>
      <x:c r="E845" s="66" t="str">
        <x:v>11721001</x:v>
      </x:c>
      <x:c r="F845" s="66" t="str">
        <x:v>PENDIDIKAN MATEMATIKA</x:v>
      </x:c>
      <x:c r="G845" s="66" t="str">
        <x:v>Sarjana</x:v>
      </x:c>
      <x:c r="H845" s="87" t="n">
        <x:v>50</x:v>
      </x:c>
      <x:c r="I845" s="87" t="n">
        <x:v>129</x:v>
      </x:c>
      <x:c r="J845" s="68" t="n">
        <x:f>IFERROR(H845/I845,"")</x:f>
        <x:v>0.3875968992248062</x:v>
      </x:c>
      <x:c r="K845" s="69" t="n">
        <x:f>IFERROR(I845/H845,"")</x:f>
        <x:v>2.58</x:v>
      </x:c>
      <x:c r="L845" s="66" t="str">
        <x:f>IF(K845="","","1 : "&amp;TEXT(K845,"0.0"))</x:f>
        <x:v>1 : 2.6</x:v>
      </x:c>
      <x:c r="M845" s="66" t="str">
        <x:f>IF(J845="","Baru/Tanpa Data",IF(J845&lt;='Catatan &amp; Sumber'!$B$14,"Sangat Ketat",IF(J845&lt;='Catatan &amp; Sumber'!$B$15,"Ketat",IF(J845&lt;='Catatan &amp; Sumber'!$B$16,"Sedang","Relatif Longgar"))))</x:f>
        <x:v>Relatif Longgar</x:v>
      </x:c>
      <x:c r="N845" s="66" t="str">
        <x:v>Tidak Ada</x:v>
      </x:c>
      <x:c r="O845" s="66" t="str">
        <x:v>Sumatera Selatan</x:v>
      </x:c>
      <x:c r="P845" s="66" t="str">
        <x:v>Kota Palembang</x:v>
      </x:c>
      <x:c r="Q845" s="66" t="str">
        <x:v>https://snpmb.id/snbp/daya-tampung-snbp</x:v>
      </x:c>
      <x:c r="R845" s="66" t="str">
        <x:v>https://sidatagrun-public-1076756628210.asia-southeast2.run.app/ptn_sn.php?ptn=172</x:v>
      </x:c>
    </x:row>
    <x:row r="846">
      <x:c r="A846" s="87" t="n">
        <x:v>3271</x:v>
      </x:c>
      <x:c r="B846" s="87" t="n">
        <x:v>172</x:v>
      </x:c>
      <x:c r="C846" s="66" t="str">
        <x:v>UIN RADEN FATAH</x:v>
      </x:c>
      <x:c r="D846" s="66" t="str">
        <x:v>PTKIN</x:v>
      </x:c>
      <x:c r="E846" s="66" t="str">
        <x:v>11721002</x:v>
      </x:c>
      <x:c r="F846" s="66" t="str">
        <x:v>PENDIDIKAN BIOLOGI</x:v>
      </x:c>
      <x:c r="G846" s="66" t="str">
        <x:v>Sarjana</x:v>
      </x:c>
      <x:c r="H846" s="87" t="n">
        <x:v>72</x:v>
      </x:c>
      <x:c r="I846" s="87" t="n">
        <x:v>198</x:v>
      </x:c>
      <x:c r="J846" s="68" t="n">
        <x:f>IFERROR(H846/I846,"")</x:f>
        <x:v>0.36363636363636365</x:v>
      </x:c>
      <x:c r="K846" s="69" t="n">
        <x:f>IFERROR(I846/H846,"")</x:f>
        <x:v>2.75</x:v>
      </x:c>
      <x:c r="L846" s="66" t="str">
        <x:f>IF(K846="","","1 : "&amp;TEXT(K846,"0.0"))</x:f>
        <x:v>1 : 2.8</x:v>
      </x:c>
      <x:c r="M846" s="66" t="str">
        <x:f>IF(J846="","Baru/Tanpa Data",IF(J846&lt;='Catatan &amp; Sumber'!$B$14,"Sangat Ketat",IF(J846&lt;='Catatan &amp; Sumber'!$B$15,"Ketat",IF(J846&lt;='Catatan &amp; Sumber'!$B$16,"Sedang","Relatif Longgar"))))</x:f>
        <x:v>Relatif Longgar</x:v>
      </x:c>
      <x:c r="N846" s="66" t="str">
        <x:v>Tidak Ada</x:v>
      </x:c>
      <x:c r="O846" s="66" t="str">
        <x:v>Sumatera Selatan</x:v>
      </x:c>
      <x:c r="P846" s="66" t="str">
        <x:v>Kota Palembang</x:v>
      </x:c>
      <x:c r="Q846" s="66" t="str">
        <x:v>https://snpmb.id/snbp/daya-tampung-snbp</x:v>
      </x:c>
      <x:c r="R846" s="66" t="str">
        <x:v>https://sidatagrun-public-1076756628210.asia-southeast2.run.app/ptn_sn.php?ptn=172</x:v>
      </x:c>
    </x:row>
    <x:row r="847">
      <x:c r="A847" s="87" t="n">
        <x:v>4616</x:v>
      </x:c>
      <x:c r="B847" s="87" t="n">
        <x:v>172</x:v>
      </x:c>
      <x:c r="C847" s="66" t="str">
        <x:v>UIN RADEN FATAH</x:v>
      </x:c>
      <x:c r="D847" s="66" t="str">
        <x:v>PTKIN</x:v>
      </x:c>
      <x:c r="E847" s="66" t="str">
        <x:v>11721004</x:v>
      </x:c>
      <x:c r="F847" s="66" t="str">
        <x:v>KIMIA</x:v>
      </x:c>
      <x:c r="G847" s="66" t="str">
        <x:v>Sarjana</x:v>
      </x:c>
      <x:c r="H847" s="87" t="n">
        <x:v>48</x:v>
      </x:c>
      <x:c r="I847" s="87" t="n">
        <x:v>28</x:v>
      </x:c>
      <x:c r="J847" s="68" t="n">
        <x:f>IFERROR(H847/I847,"")</x:f>
        <x:v>1.7142857142857142</x:v>
      </x:c>
      <x:c r="K847" s="69" t="n">
        <x:f>IFERROR(I847/H847,"")</x:f>
        <x:v>0.5833333333333334</x:v>
      </x:c>
      <x:c r="L847" s="66" t="str">
        <x:f>IF(K847="","","1 : "&amp;TEXT(K847,"0.0"))</x:f>
        <x:v>1 : 0.6</x:v>
      </x:c>
      <x:c r="M847" s="66" t="str">
        <x:f>IF(J847="","Baru/Tanpa Data",IF(J847&lt;='Catatan &amp; Sumber'!$B$14,"Sangat Ketat",IF(J847&lt;='Catatan &amp; Sumber'!$B$15,"Ketat",IF(J847&lt;='Catatan &amp; Sumber'!$B$16,"Sedang","Relatif Longgar"))))</x:f>
        <x:v>Relatif Longgar</x:v>
      </x:c>
      <x:c r="N847" s="66" t="str">
        <x:v>Tidak Ada</x:v>
      </x:c>
      <x:c r="O847" s="66" t="str">
        <x:v>Sumatera Selatan</x:v>
      </x:c>
      <x:c r="P847" s="66" t="str">
        <x:v>Kota Palembang</x:v>
      </x:c>
      <x:c r="Q847" s="66" t="str">
        <x:v>https://snpmb.id/snbp/daya-tampung-snbp</x:v>
      </x:c>
      <x:c r="R847" s="66" t="str">
        <x:v>https://sidatagrun-public-1076756628210.asia-southeast2.run.app/ptn_sn.php?ptn=172</x:v>
      </x:c>
    </x:row>
    <x:row r="848">
      <x:c r="A848" s="87" t="n">
        <x:v>3998</x:v>
      </x:c>
      <x:c r="B848" s="87" t="n">
        <x:v>172</x:v>
      </x:c>
      <x:c r="C848" s="66" t="str">
        <x:v>UIN RADEN FATAH</x:v>
      </x:c>
      <x:c r="D848" s="66" t="str">
        <x:v>PTKIN</x:v>
      </x:c>
      <x:c r="E848" s="66" t="str">
        <x:v>11721005</x:v>
      </x:c>
      <x:c r="F848" s="66" t="str">
        <x:v>BIOLOGI</x:v>
      </x:c>
      <x:c r="G848" s="66" t="str">
        <x:v>Sarjana</x:v>
      </x:c>
      <x:c r="H848" s="87" t="n">
        <x:v>48</x:v>
      </x:c>
      <x:c r="I848" s="87" t="n">
        <x:v>70</x:v>
      </x:c>
      <x:c r="J848" s="68" t="n">
        <x:f>IFERROR(H848/I848,"")</x:f>
        <x:v>0.6857142857142857</x:v>
      </x:c>
      <x:c r="K848" s="69" t="n">
        <x:f>IFERROR(I848/H848,"")</x:f>
        <x:v>1.4583333333333333</x:v>
      </x:c>
      <x:c r="L848" s="66" t="str">
        <x:f>IF(K848="","","1 : "&amp;TEXT(K848,"0.0"))</x:f>
        <x:v>1 : 1.5</x:v>
      </x:c>
      <x:c r="M848" s="66" t="str">
        <x:f>IF(J848="","Baru/Tanpa Data",IF(J848&lt;='Catatan &amp; Sumber'!$B$14,"Sangat Ketat",IF(J848&lt;='Catatan &amp; Sumber'!$B$15,"Ketat",IF(J848&lt;='Catatan &amp; Sumber'!$B$16,"Sedang","Relatif Longgar"))))</x:f>
        <x:v>Relatif Longgar</x:v>
      </x:c>
      <x:c r="N848" s="66" t="str">
        <x:v>Tidak Ada</x:v>
      </x:c>
      <x:c r="O848" s="66" t="str">
        <x:v>Sumatera Selatan</x:v>
      </x:c>
      <x:c r="P848" s="66" t="str">
        <x:v>Kota Palembang</x:v>
      </x:c>
      <x:c r="Q848" s="66" t="str">
        <x:v>https://snpmb.id/snbp/daya-tampung-snbp</x:v>
      </x:c>
      <x:c r="R848" s="66" t="str">
        <x:v>https://sidatagrun-public-1076756628210.asia-southeast2.run.app/ptn_sn.php?ptn=172</x:v>
      </x:c>
    </x:row>
    <x:row r="849">
      <x:c r="A849" s="87" t="n">
        <x:v>4189</x:v>
      </x:c>
      <x:c r="B849" s="87" t="n">
        <x:v>172</x:v>
      </x:c>
      <x:c r="C849" s="66" t="str">
        <x:v>UIN RADEN FATAH</x:v>
      </x:c>
      <x:c r="D849" s="66" t="str">
        <x:v>PTKIN</x:v>
      </x:c>
      <x:c r="E849" s="66" t="str">
        <x:v>11721006</x:v>
      </x:c>
      <x:c r="F849" s="66" t="str">
        <x:v>PENDIDIKAN FISIKA</x:v>
      </x:c>
      <x:c r="G849" s="66" t="str">
        <x:v>Sarjana</x:v>
      </x:c>
      <x:c r="H849" s="87" t="n">
        <x:v>48</x:v>
      </x:c>
      <x:c r="I849" s="87" t="n">
        <x:v>57</x:v>
      </x:c>
      <x:c r="J849" s="68" t="n">
        <x:f>IFERROR(H849/I849,"")</x:f>
        <x:v>0.8421052631578947</x:v>
      </x:c>
      <x:c r="K849" s="69" t="n">
        <x:f>IFERROR(I849/H849,"")</x:f>
        <x:v>1.1875</x:v>
      </x:c>
      <x:c r="L849" s="66" t="str">
        <x:f>IF(K849="","","1 : "&amp;TEXT(K849,"0.0"))</x:f>
        <x:v>1 : 1.2</x:v>
      </x:c>
      <x:c r="M849" s="66" t="str">
        <x:f>IF(J849="","Baru/Tanpa Data",IF(J849&lt;='Catatan &amp; Sumber'!$B$14,"Sangat Ketat",IF(J849&lt;='Catatan &amp; Sumber'!$B$15,"Ketat",IF(J849&lt;='Catatan &amp; Sumber'!$B$16,"Sedang","Relatif Longgar"))))</x:f>
        <x:v>Relatif Longgar</x:v>
      </x:c>
      <x:c r="N849" s="66" t="str">
        <x:v>Tidak Ada</x:v>
      </x:c>
      <x:c r="O849" s="66" t="str">
        <x:v>Sumatera Selatan</x:v>
      </x:c>
      <x:c r="P849" s="66" t="str">
        <x:v>Kota Palembang</x:v>
      </x:c>
      <x:c r="Q849" s="66" t="str">
        <x:v>https://snpmb.id/snbp/daya-tampung-snbp</x:v>
      </x:c>
      <x:c r="R849" s="66" t="str">
        <x:v>https://sidatagrun-public-1076756628210.asia-southeast2.run.app/ptn_sn.php?ptn=172</x:v>
      </x:c>
    </x:row>
    <x:row r="850">
      <x:c r="A850" s="87" t="n">
        <x:v>4305</x:v>
      </x:c>
      <x:c r="B850" s="87" t="n">
        <x:v>172</x:v>
      </x:c>
      <x:c r="C850" s="66" t="str">
        <x:v>UIN RADEN FATAH</x:v>
      </x:c>
      <x:c r="D850" s="66" t="str">
        <x:v>PTKIN</x:v>
      </x:c>
      <x:c r="E850" s="66" t="str">
        <x:v>11721007</x:v>
      </x:c>
      <x:c r="F850" s="66" t="str">
        <x:v>PENDIDIKAN KIMIA</x:v>
      </x:c>
      <x:c r="G850" s="66" t="str">
        <x:v>Sarjana</x:v>
      </x:c>
      <x:c r="H850" s="87" t="n">
        <x:v>48</x:v>
      </x:c>
      <x:c r="I850" s="87" t="n">
        <x:v>48</x:v>
      </x:c>
      <x:c r="J850" s="68" t="n">
        <x:f>IFERROR(H850/I850,"")</x:f>
        <x:v>1</x:v>
      </x:c>
      <x:c r="K850" s="69" t="n">
        <x:f>IFERROR(I850/H850,"")</x:f>
        <x:v>1</x:v>
      </x:c>
      <x:c r="L850" s="66" t="str">
        <x:f>IF(K850="","","1 : "&amp;TEXT(K850,"0.0"))</x:f>
        <x:v>1 : 1.0</x:v>
      </x:c>
      <x:c r="M850" s="66" t="str">
        <x:f>IF(J850="","Baru/Tanpa Data",IF(J850&lt;='Catatan &amp; Sumber'!$B$14,"Sangat Ketat",IF(J850&lt;='Catatan &amp; Sumber'!$B$15,"Ketat",IF(J850&lt;='Catatan &amp; Sumber'!$B$16,"Sedang","Relatif Longgar"))))</x:f>
        <x:v>Relatif Longgar</x:v>
      </x:c>
      <x:c r="N850" s="66" t="str">
        <x:v>Tidak Ada</x:v>
      </x:c>
      <x:c r="O850" s="66" t="str">
        <x:v>Sumatera Selatan</x:v>
      </x:c>
      <x:c r="P850" s="66" t="str">
        <x:v>Kota Palembang</x:v>
      </x:c>
      <x:c r="Q850" s="66" t="str">
        <x:v>https://snpmb.id/snbp/daya-tampung-snbp</x:v>
      </x:c>
      <x:c r="R850" s="66" t="str">
        <x:v>https://sidatagrun-public-1076756628210.asia-southeast2.run.app/ptn_sn.php?ptn=172</x:v>
      </x:c>
    </x:row>
    <x:row r="851">
      <x:c r="A851" s="87" t="n">
        <x:v>3449</x:v>
      </x:c>
      <x:c r="B851" s="87" t="n">
        <x:v>172</x:v>
      </x:c>
      <x:c r="C851" s="66" t="str">
        <x:v>UIN RADEN FATAH</x:v>
      </x:c>
      <x:c r="D851" s="66" t="str">
        <x:v>PTKIN</x:v>
      </x:c>
      <x:c r="E851" s="66" t="str">
        <x:v>11721027</x:v>
      </x:c>
      <x:c r="F851" s="66" t="str">
        <x:v>ILMU POLITIK</x:v>
      </x:c>
      <x:c r="G851" s="66" t="str">
        <x:v>Sarjana</x:v>
      </x:c>
      <x:c r="H851" s="87" t="n">
        <x:v>48</x:v>
      </x:c>
      <x:c r="I851" s="87" t="n">
        <x:v>115</x:v>
      </x:c>
      <x:c r="J851" s="68" t="n">
        <x:f>IFERROR(H851/I851,"")</x:f>
        <x:v>0.41739130434782606</x:v>
      </x:c>
      <x:c r="K851" s="69" t="n">
        <x:f>IFERROR(I851/H851,"")</x:f>
        <x:v>2.3958333333333335</x:v>
      </x:c>
      <x:c r="L851" s="66" t="str">
        <x:f>IF(K851="","","1 : "&amp;TEXT(K851,"0.0"))</x:f>
        <x:v>1 : 2.4</x:v>
      </x:c>
      <x:c r="M851" s="66" t="str">
        <x:f>IF(J851="","Baru/Tanpa Data",IF(J851&lt;='Catatan &amp; Sumber'!$B$14,"Sangat Ketat",IF(J851&lt;='Catatan &amp; Sumber'!$B$15,"Ketat",IF(J851&lt;='Catatan &amp; Sumber'!$B$16,"Sedang","Relatif Longgar"))))</x:f>
        <x:v>Relatif Longgar</x:v>
      </x:c>
      <x:c r="N851" s="66" t="str">
        <x:v>Tidak Ada</x:v>
      </x:c>
      <x:c r="O851" s="66" t="str">
        <x:v>Sumatera Selatan</x:v>
      </x:c>
      <x:c r="P851" s="66" t="str">
        <x:v>Kota Palembang</x:v>
      </x:c>
      <x:c r="Q851" s="66" t="str">
        <x:v>https://snpmb.id/snbp/daya-tampung-snbp</x:v>
      </x:c>
      <x:c r="R851" s="66" t="str">
        <x:v>https://sidatagrun-public-1076756628210.asia-southeast2.run.app/ptn_sn.php?ptn=172</x:v>
      </x:c>
    </x:row>
    <x:row r="852">
      <x:c r="A852" s="87" t="n">
        <x:v>3016</x:v>
      </x:c>
      <x:c r="B852" s="87" t="n">
        <x:v>172</x:v>
      </x:c>
      <x:c r="C852" s="66" t="str">
        <x:v>UIN RADEN FATAH</x:v>
      </x:c>
      <x:c r="D852" s="66" t="str">
        <x:v>PTKIN</x:v>
      </x:c>
      <x:c r="E852" s="66" t="str">
        <x:v>11721028</x:v>
      </x:c>
      <x:c r="F852" s="66" t="str">
        <x:v>ILMU PERPUSTAKAAN</x:v>
      </x:c>
      <x:c r="G852" s="66" t="str">
        <x:v>Sarjana</x:v>
      </x:c>
      <x:c r="H852" s="87" t="n">
        <x:v>48</x:v>
      </x:c>
      <x:c r="I852" s="87" t="n">
        <x:v>161</x:v>
      </x:c>
      <x:c r="J852" s="68" t="n">
        <x:f>IFERROR(H852/I852,"")</x:f>
        <x:v>0.2981366459627329</x:v>
      </x:c>
      <x:c r="K852" s="69" t="n">
        <x:f>IFERROR(I852/H852,"")</x:f>
        <x:v>3.3541666666666665</x:v>
      </x:c>
      <x:c r="L852" s="66" t="str">
        <x:f>IF(K852="","","1 : "&amp;TEXT(K852,"0.0"))</x:f>
        <x:v>1 : 3.4</x:v>
      </x:c>
      <x:c r="M852" s="66" t="str">
        <x:f>IF(J852="","Baru/Tanpa Data",IF(J852&lt;='Catatan &amp; Sumber'!$B$14,"Sangat Ketat",IF(J852&lt;='Catatan &amp; Sumber'!$B$15,"Ketat",IF(J852&lt;='Catatan &amp; Sumber'!$B$16,"Sedang","Relatif Longgar"))))</x:f>
        <x:v>Relatif Longgar</x:v>
      </x:c>
      <x:c r="N852" s="66" t="str">
        <x:v>Tidak Ada</x:v>
      </x:c>
      <x:c r="O852" s="66" t="str">
        <x:v>Sumatera Selatan</x:v>
      </x:c>
      <x:c r="P852" s="66" t="str">
        <x:v>Kota Palembang</x:v>
      </x:c>
      <x:c r="Q852" s="66" t="str">
        <x:v>https://snpmb.id/snbp/daya-tampung-snbp</x:v>
      </x:c>
      <x:c r="R852" s="66" t="str">
        <x:v>https://sidatagrun-public-1076756628210.asia-southeast2.run.app/ptn_sn.php?ptn=172</x:v>
      </x:c>
    </x:row>
    <x:row r="853">
      <x:c r="A853" s="87" t="n">
        <x:v>2876</x:v>
      </x:c>
      <x:c r="B853" s="87" t="n">
        <x:v>172</x:v>
      </x:c>
      <x:c r="C853" s="66" t="str">
        <x:v>UIN RADEN FATAH</x:v>
      </x:c>
      <x:c r="D853" s="66" t="str">
        <x:v>PTKIN</x:v>
      </x:c>
      <x:c r="E853" s="66" t="str">
        <x:v>11721029</x:v>
      </x:c>
      <x:c r="F853" s="66" t="str">
        <x:v>ILMU KOMUNIKASI</x:v>
      </x:c>
      <x:c r="G853" s="66" t="str">
        <x:v>Sarjana</x:v>
      </x:c>
      <x:c r="H853" s="87" t="n">
        <x:v>112</x:v>
      </x:c>
      <x:c r="I853" s="87" t="n">
        <x:v>413</x:v>
      </x:c>
      <x:c r="J853" s="68" t="n">
        <x:f>IFERROR(H853/I853,"")</x:f>
        <x:v>0.2711864406779661</x:v>
      </x:c>
      <x:c r="K853" s="69" t="n">
        <x:f>IFERROR(I853/H853,"")</x:f>
        <x:v>3.6875</x:v>
      </x:c>
      <x:c r="L853" s="66" t="str">
        <x:f>IF(K853="","","1 : "&amp;TEXT(K853,"0.0"))</x:f>
        <x:v>1 : 3.7</x:v>
      </x:c>
      <x:c r="M853" s="66" t="str">
        <x:f>IF(J853="","Baru/Tanpa Data",IF(J853&lt;='Catatan &amp; Sumber'!$B$14,"Sangat Ketat",IF(J853&lt;='Catatan &amp; Sumber'!$B$15,"Ketat",IF(J853&lt;='Catatan &amp; Sumber'!$B$16,"Sedang","Relatif Longgar"))))</x:f>
        <x:v>Relatif Longgar</x:v>
      </x:c>
      <x:c r="N853" s="66" t="str">
        <x:v>Tidak Ada</x:v>
      </x:c>
      <x:c r="O853" s="66" t="str">
        <x:v>Sumatera Selatan</x:v>
      </x:c>
      <x:c r="P853" s="66" t="str">
        <x:v>Kota Palembang</x:v>
      </x:c>
      <x:c r="Q853" s="66" t="str">
        <x:v>https://snpmb.id/snbp/daya-tampung-snbp</x:v>
      </x:c>
      <x:c r="R853" s="66" t="str">
        <x:v>https://sidatagrun-public-1076756628210.asia-southeast2.run.app/ptn_sn.php?ptn=172</x:v>
      </x:c>
    </x:row>
    <x:row r="854">
      <x:c r="A854" s="87" t="n">
        <x:v>3139</x:v>
      </x:c>
      <x:c r="B854" s="87" t="n">
        <x:v>181</x:v>
      </x:c>
      <x:c r="C854" s="66" t="str">
        <x:v>UNIVERSITAS BANGKA BELITUNG</x:v>
      </x:c>
      <x:c r="D854" s="66" t="str">
        <x:v>PTN Akademik</x:v>
      </x:c>
      <x:c r="E854" s="66" t="str">
        <x:v>11811001</x:v>
      </x:c>
      <x:c r="F854" s="66" t="str">
        <x:v>TEKNIK MESIN</x:v>
      </x:c>
      <x:c r="G854" s="66" t="str">
        <x:v>Sarjana</x:v>
      </x:c>
      <x:c r="H854" s="87" t="n">
        <x:v>27</x:v>
      </x:c>
      <x:c r="I854" s="87" t="n">
        <x:v>83</x:v>
      </x:c>
      <x:c r="J854" s="68" t="n">
        <x:f>IFERROR(H854/I854,"")</x:f>
        <x:v>0.3253012048192771</x:v>
      </x:c>
      <x:c r="K854" s="69" t="n">
        <x:f>IFERROR(I854/H854,"")</x:f>
        <x:v>3.074074074074074</x:v>
      </x:c>
      <x:c r="L854" s="66" t="str">
        <x:f>IF(K854="","","1 : "&amp;TEXT(K854,"0.0"))</x:f>
        <x:v>1 : 3.1</x:v>
      </x:c>
      <x:c r="M854" s="66" t="str">
        <x:f>IF(J854="","Baru/Tanpa Data",IF(J854&lt;='Catatan &amp; Sumber'!$B$14,"Sangat Ketat",IF(J854&lt;='Catatan &amp; Sumber'!$B$15,"Ketat",IF(J854&lt;='Catatan &amp; Sumber'!$B$16,"Sedang","Relatif Longgar"))))</x:f>
        <x:v>Relatif Longgar</x:v>
      </x:c>
      <x:c r="N854" s="66" t="str">
        <x:v>Tidak Ada</x:v>
      </x:c>
      <x:c r="O854" s="66" t="str">
        <x:v>Kepulauan Bangka Belitung</x:v>
      </x:c>
      <x:c r="P854" s="66" t="str">
        <x:v>Kabupaten Bangka</x:v>
      </x:c>
      <x:c r="Q854" s="66" t="str">
        <x:v>https://snpmb.id/snbp/daya-tampung-snbp</x:v>
      </x:c>
      <x:c r="R854" s="66" t="str">
        <x:v>https://sidatagrun-public-1076756628210.asia-southeast2.run.app/ptn_sn.php?ptn=181</x:v>
      </x:c>
    </x:row>
    <x:row r="855">
      <x:c r="A855" s="87" t="n">
        <x:v>2967</x:v>
      </x:c>
      <x:c r="B855" s="87" t="n">
        <x:v>181</x:v>
      </x:c>
      <x:c r="C855" s="66" t="str">
        <x:v>UNIVERSITAS BANGKA BELITUNG</x:v>
      </x:c>
      <x:c r="D855" s="66" t="str">
        <x:v>PTN Akademik</x:v>
      </x:c>
      <x:c r="E855" s="66" t="str">
        <x:v>11811002</x:v>
      </x:c>
      <x:c r="F855" s="66" t="str">
        <x:v>TEKNIK ELEKTRO</x:v>
      </x:c>
      <x:c r="G855" s="66" t="str">
        <x:v>Sarjana</x:v>
      </x:c>
      <x:c r="H855" s="87" t="n">
        <x:v>27</x:v>
      </x:c>
      <x:c r="I855" s="87" t="n">
        <x:v>94</x:v>
      </x:c>
      <x:c r="J855" s="68" t="n">
        <x:f>IFERROR(H855/I855,"")</x:f>
        <x:v>0.2872340425531915</x:v>
      </x:c>
      <x:c r="K855" s="69" t="n">
        <x:f>IFERROR(I855/H855,"")</x:f>
        <x:v>3.4814814814814814</x:v>
      </x:c>
      <x:c r="L855" s="66" t="str">
        <x:f>IF(K855="","","1 : "&amp;TEXT(K855,"0.0"))</x:f>
        <x:v>1 : 3.5</x:v>
      </x:c>
      <x:c r="M855" s="66" t="str">
        <x:f>IF(J855="","Baru/Tanpa Data",IF(J855&lt;='Catatan &amp; Sumber'!$B$14,"Sangat Ketat",IF(J855&lt;='Catatan &amp; Sumber'!$B$15,"Ketat",IF(J855&lt;='Catatan &amp; Sumber'!$B$16,"Sedang","Relatif Longgar"))))</x:f>
        <x:v>Relatif Longgar</x:v>
      </x:c>
      <x:c r="N855" s="66" t="str">
        <x:v>Tidak Ada</x:v>
      </x:c>
      <x:c r="O855" s="66" t="str">
        <x:v>Kepulauan Bangka Belitung</x:v>
      </x:c>
      <x:c r="P855" s="66" t="str">
        <x:v>Kabupaten Bangka</x:v>
      </x:c>
      <x:c r="Q855" s="66" t="str">
        <x:v>https://snpmb.id/snbp/daya-tampung-snbp</x:v>
      </x:c>
      <x:c r="R855" s="66" t="str">
        <x:v>https://sidatagrun-public-1076756628210.asia-southeast2.run.app/ptn_sn.php?ptn=181</x:v>
      </x:c>
    </x:row>
    <x:row r="856">
      <x:c r="A856" s="87" t="n">
        <x:v>1418</x:v>
      </x:c>
      <x:c r="B856" s="87" t="n">
        <x:v>181</x:v>
      </x:c>
      <x:c r="C856" s="66" t="str">
        <x:v>UNIVERSITAS BANGKA BELITUNG</x:v>
      </x:c>
      <x:c r="D856" s="66" t="str">
        <x:v>PTN Akademik</x:v>
      </x:c>
      <x:c r="E856" s="66" t="str">
        <x:v>11811003</x:v>
      </x:c>
      <x:c r="F856" s="66" t="str">
        <x:v>TEKNIK PERTAMBANGAN</x:v>
      </x:c>
      <x:c r="G856" s="66" t="str">
        <x:v>Sarjana</x:v>
      </x:c>
      <x:c r="H856" s="87" t="n">
        <x:v>27</x:v>
      </x:c>
      <x:c r="I856" s="87" t="n">
        <x:v>261</x:v>
      </x:c>
      <x:c r="J856" s="68" t="n">
        <x:f>IFERROR(H856/I856,"")</x:f>
        <x:v>0.10344827586206896</x:v>
      </x:c>
      <x:c r="K856" s="69" t="n">
        <x:f>IFERROR(I856/H856,"")</x:f>
        <x:v>9.666666666666666</x:v>
      </x:c>
      <x:c r="L856" s="66" t="str">
        <x:f>IF(K856="","","1 : "&amp;TEXT(K856,"0.0"))</x:f>
        <x:v>1 : 9.7</x:v>
      </x:c>
      <x:c r="M856" s="66" t="str">
        <x:f>IF(J856="","Baru/Tanpa Data",IF(J856&lt;='Catatan &amp; Sumber'!$B$14,"Sangat Ketat",IF(J856&lt;='Catatan &amp; Sumber'!$B$15,"Ketat",IF(J856&lt;='Catatan &amp; Sumber'!$B$16,"Sedang","Relatif Longgar"))))</x:f>
        <x:v>Relatif Longgar</x:v>
      </x:c>
      <x:c r="N856" s="66" t="str">
        <x:v>Tidak Ada</x:v>
      </x:c>
      <x:c r="O856" s="66" t="str">
        <x:v>Kepulauan Bangka Belitung</x:v>
      </x:c>
      <x:c r="P856" s="66" t="str">
        <x:v>Kabupaten Bangka</x:v>
      </x:c>
      <x:c r="Q856" s="66" t="str">
        <x:v>https://snpmb.id/snbp/daya-tampung-snbp</x:v>
      </x:c>
      <x:c r="R856" s="66" t="str">
        <x:v>https://sidatagrun-public-1076756628210.asia-southeast2.run.app/ptn_sn.php?ptn=181</x:v>
      </x:c>
    </x:row>
    <x:row r="857">
      <x:c r="A857" s="87" t="n">
        <x:v>2027</x:v>
      </x:c>
      <x:c r="B857" s="87" t="n">
        <x:v>181</x:v>
      </x:c>
      <x:c r="C857" s="66" t="str">
        <x:v>UNIVERSITAS BANGKA BELITUNG</x:v>
      </x:c>
      <x:c r="D857" s="66" t="str">
        <x:v>PTN Akademik</x:v>
      </x:c>
      <x:c r="E857" s="66" t="str">
        <x:v>11811004</x:v>
      </x:c>
      <x:c r="F857" s="66" t="str">
        <x:v>TEKNIK SIPIL</x:v>
      </x:c>
      <x:c r="G857" s="66" t="str">
        <x:v>Sarjana</x:v>
      </x:c>
      <x:c r="H857" s="87" t="n">
        <x:v>27</x:v>
      </x:c>
      <x:c r="I857" s="87" t="n">
        <x:v>175</x:v>
      </x:c>
      <x:c r="J857" s="68" t="n">
        <x:f>IFERROR(H857/I857,"")</x:f>
        <x:v>0.15428571428571428</x:v>
      </x:c>
      <x:c r="K857" s="69" t="n">
        <x:f>IFERROR(I857/H857,"")</x:f>
        <x:v>6.481481481481482</x:v>
      </x:c>
      <x:c r="L857" s="66" t="str">
        <x:f>IF(K857="","","1 : "&amp;TEXT(K857,"0.0"))</x:f>
        <x:v>1 : 6.5</x:v>
      </x:c>
      <x:c r="M857" s="66" t="str">
        <x:f>IF(J857="","Baru/Tanpa Data",IF(J857&lt;='Catatan &amp; Sumber'!$B$14,"Sangat Ketat",IF(J857&lt;='Catatan &amp; Sumber'!$B$15,"Ketat",IF(J857&lt;='Catatan &amp; Sumber'!$B$16,"Sedang","Relatif Longgar"))))</x:f>
        <x:v>Relatif Longgar</x:v>
      </x:c>
      <x:c r="N857" s="66" t="str">
        <x:v>Tidak Ada</x:v>
      </x:c>
      <x:c r="O857" s="66" t="str">
        <x:v>Kepulauan Bangka Belitung</x:v>
      </x:c>
      <x:c r="P857" s="66" t="str">
        <x:v>Kabupaten Bangka</x:v>
      </x:c>
      <x:c r="Q857" s="66" t="str">
        <x:v>https://snpmb.id/snbp/daya-tampung-snbp</x:v>
      </x:c>
      <x:c r="R857" s="66" t="str">
        <x:v>https://sidatagrun-public-1076756628210.asia-southeast2.run.app/ptn_sn.php?ptn=181</x:v>
      </x:c>
    </x:row>
    <x:row r="858">
      <x:c r="A858" s="87" t="n">
        <x:v>2256</x:v>
      </x:c>
      <x:c r="B858" s="87" t="n">
        <x:v>181</x:v>
      </x:c>
      <x:c r="C858" s="66" t="str">
        <x:v>UNIVERSITAS BANGKA BELITUNG</x:v>
      </x:c>
      <x:c r="D858" s="66" t="str">
        <x:v>PTN Akademik</x:v>
      </x:c>
      <x:c r="E858" s="66" t="str">
        <x:v>11811005</x:v>
      </x:c>
      <x:c r="F858" s="66" t="str">
        <x:v>AGROTEKNOLOGI</x:v>
      </x:c>
      <x:c r="G858" s="66" t="str">
        <x:v>Sarjana</x:v>
      </x:c>
      <x:c r="H858" s="87" t="n">
        <x:v>32</x:v>
      </x:c>
      <x:c r="I858" s="87" t="n">
        <x:v>179</x:v>
      </x:c>
      <x:c r="J858" s="68" t="n">
        <x:f>IFERROR(H858/I858,"")</x:f>
        <x:v>0.1787709497206704</x:v>
      </x:c>
      <x:c r="K858" s="69" t="n">
        <x:f>IFERROR(I858/H858,"")</x:f>
        <x:v>5.59375</x:v>
      </x:c>
      <x:c r="L858" s="66" t="str">
        <x:f>IF(K858="","","1 : "&amp;TEXT(K858,"0.0"))</x:f>
        <x:v>1 : 5.6</x:v>
      </x:c>
      <x:c r="M858" s="66" t="str">
        <x:f>IF(J858="","Baru/Tanpa Data",IF(J858&lt;='Catatan &amp; Sumber'!$B$14,"Sangat Ketat",IF(J858&lt;='Catatan &amp; Sumber'!$B$15,"Ketat",IF(J858&lt;='Catatan &amp; Sumber'!$B$16,"Sedang","Relatif Longgar"))))</x:f>
        <x:v>Relatif Longgar</x:v>
      </x:c>
      <x:c r="N858" s="66" t="str">
        <x:v>Tidak Ada</x:v>
      </x:c>
      <x:c r="O858" s="66" t="str">
        <x:v>Kepulauan Bangka Belitung</x:v>
      </x:c>
      <x:c r="P858" s="66" t="str">
        <x:v>Kabupaten Bangka</x:v>
      </x:c>
      <x:c r="Q858" s="66" t="str">
        <x:v>https://snpmb.id/snbp/daya-tampung-snbp</x:v>
      </x:c>
      <x:c r="R858" s="66" t="str">
        <x:v>https://sidatagrun-public-1076756628210.asia-southeast2.run.app/ptn_sn.php?ptn=181</x:v>
      </x:c>
    </x:row>
    <x:row r="859">
      <x:c r="A859" s="87" t="n">
        <x:v>4081</x:v>
      </x:c>
      <x:c r="B859" s="87" t="n">
        <x:v>181</x:v>
      </x:c>
      <x:c r="C859" s="66" t="str">
        <x:v>UNIVERSITAS BANGKA BELITUNG</x:v>
      </x:c>
      <x:c r="D859" s="66" t="str">
        <x:v>PTN Akademik</x:v>
      </x:c>
      <x:c r="E859" s="66" t="str">
        <x:v>11811006</x:v>
      </x:c>
      <x:c r="F859" s="66" t="str">
        <x:v>MANAJEMEN SUMBERDAYA PERAIRAN</x:v>
      </x:c>
      <x:c r="G859" s="66" t="str">
        <x:v>Sarjana</x:v>
      </x:c>
      <x:c r="H859" s="87" t="n">
        <x:v>35</x:v>
      </x:c>
      <x:c r="I859" s="87" t="n">
        <x:v>47</x:v>
      </x:c>
      <x:c r="J859" s="68" t="n">
        <x:f>IFERROR(H859/I859,"")</x:f>
        <x:v>0.7446808510638298</x:v>
      </x:c>
      <x:c r="K859" s="69" t="n">
        <x:f>IFERROR(I859/H859,"")</x:f>
        <x:v>1.3428571428571427</x:v>
      </x:c>
      <x:c r="L859" s="66" t="str">
        <x:f>IF(K859="","","1 : "&amp;TEXT(K859,"0.0"))</x:f>
        <x:v>1 : 1.3</x:v>
      </x:c>
      <x:c r="M859" s="66" t="str">
        <x:f>IF(J859="","Baru/Tanpa Data",IF(J859&lt;='Catatan &amp; Sumber'!$B$14,"Sangat Ketat",IF(J859&lt;='Catatan &amp; Sumber'!$B$15,"Ketat",IF(J859&lt;='Catatan &amp; Sumber'!$B$16,"Sedang","Relatif Longgar"))))</x:f>
        <x:v>Relatif Longgar</x:v>
      </x:c>
      <x:c r="N859" s="66" t="str">
        <x:v>Tidak Ada</x:v>
      </x:c>
      <x:c r="O859" s="66" t="str">
        <x:v>Kepulauan Bangka Belitung</x:v>
      </x:c>
      <x:c r="P859" s="66" t="str">
        <x:v>Kabupaten Bangka</x:v>
      </x:c>
      <x:c r="Q859" s="66" t="str">
        <x:v>https://snpmb.id/snbp/daya-tampung-snbp</x:v>
      </x:c>
      <x:c r="R859" s="66" t="str">
        <x:v>https://sidatagrun-public-1076756628210.asia-southeast2.run.app/ptn_sn.php?ptn=181</x:v>
      </x:c>
    </x:row>
    <x:row r="860">
      <x:c r="A860" s="87" t="n">
        <x:v>2671</x:v>
      </x:c>
      <x:c r="B860" s="87" t="n">
        <x:v>181</x:v>
      </x:c>
      <x:c r="C860" s="66" t="str">
        <x:v>UNIVERSITAS BANGKA BELITUNG</x:v>
      </x:c>
      <x:c r="D860" s="66" t="str">
        <x:v>PTN Akademik</x:v>
      </x:c>
      <x:c r="E860" s="66" t="str">
        <x:v>11811007</x:v>
      </x:c>
      <x:c r="F860" s="66" t="str">
        <x:v>BIOLOGI</x:v>
      </x:c>
      <x:c r="G860" s="66" t="str">
        <x:v>Sarjana</x:v>
      </x:c>
      <x:c r="H860" s="87" t="n">
        <x:v>26</x:v>
      </x:c>
      <x:c r="I860" s="87" t="n">
        <x:v>109</x:v>
      </x:c>
      <x:c r="J860" s="68" t="n">
        <x:f>IFERROR(H860/I860,"")</x:f>
        <x:v>0.23853211009174313</x:v>
      </x:c>
      <x:c r="K860" s="69" t="n">
        <x:f>IFERROR(I860/H860,"")</x:f>
        <x:v>4.1923076923076925</x:v>
      </x:c>
      <x:c r="L860" s="66" t="str">
        <x:f>IF(K860="","","1 : "&amp;TEXT(K860,"0.0"))</x:f>
        <x:v>1 : 4.2</x:v>
      </x:c>
      <x:c r="M860" s="66" t="str">
        <x:f>IF(J860="","Baru/Tanpa Data",IF(J860&lt;='Catatan &amp; Sumber'!$B$14,"Sangat Ketat",IF(J860&lt;='Catatan &amp; Sumber'!$B$15,"Ketat",IF(J860&lt;='Catatan &amp; Sumber'!$B$16,"Sedang","Relatif Longgar"))))</x:f>
        <x:v>Relatif Longgar</x:v>
      </x:c>
      <x:c r="N860" s="66" t="str">
        <x:v>Tidak Ada</x:v>
      </x:c>
      <x:c r="O860" s="66" t="str">
        <x:v>Kepulauan Bangka Belitung</x:v>
      </x:c>
      <x:c r="P860" s="66" t="str">
        <x:v>Kabupaten Bangka</x:v>
      </x:c>
      <x:c r="Q860" s="66" t="str">
        <x:v>https://snpmb.id/snbp/daya-tampung-snbp</x:v>
      </x:c>
      <x:c r="R860" s="66" t="str">
        <x:v>https://sidatagrun-public-1076756628210.asia-southeast2.run.app/ptn_sn.php?ptn=181</x:v>
      </x:c>
    </x:row>
    <x:row r="861">
      <x:c r="A861" s="87" t="n">
        <x:v>2363</x:v>
      </x:c>
      <x:c r="B861" s="87" t="n">
        <x:v>181</x:v>
      </x:c>
      <x:c r="C861" s="66" t="str">
        <x:v>UNIVERSITAS BANGKA BELITUNG</x:v>
      </x:c>
      <x:c r="D861" s="66" t="str">
        <x:v>PTN Akademik</x:v>
      </x:c>
      <x:c r="E861" s="66" t="str">
        <x:v>11811008</x:v>
      </x:c>
      <x:c r="F861" s="66" t="str">
        <x:v>AGRIBISNIS</x:v>
      </x:c>
      <x:c r="G861" s="66" t="str">
        <x:v>Sarjana</x:v>
      </x:c>
      <x:c r="H861" s="87" t="n">
        <x:v>42</x:v>
      </x:c>
      <x:c r="I861" s="87" t="n">
        <x:v>220</x:v>
      </x:c>
      <x:c r="J861" s="68" t="n">
        <x:f>IFERROR(H861/I861,"")</x:f>
        <x:v>0.19090909090909092</x:v>
      </x:c>
      <x:c r="K861" s="69" t="n">
        <x:f>IFERROR(I861/H861,"")</x:f>
        <x:v>5.238095238095238</x:v>
      </x:c>
      <x:c r="L861" s="66" t="str">
        <x:f>IF(K861="","","1 : "&amp;TEXT(K861,"0.0"))</x:f>
        <x:v>1 : 5.2</x:v>
      </x:c>
      <x:c r="M861" s="66" t="str">
        <x:f>IF(J861="","Baru/Tanpa Data",IF(J861&lt;='Catatan &amp; Sumber'!$B$14,"Sangat Ketat",IF(J861&lt;='Catatan &amp; Sumber'!$B$15,"Ketat",IF(J861&lt;='Catatan &amp; Sumber'!$B$16,"Sedang","Relatif Longgar"))))</x:f>
        <x:v>Relatif Longgar</x:v>
      </x:c>
      <x:c r="N861" s="66" t="str">
        <x:v>Tidak Ada</x:v>
      </x:c>
      <x:c r="O861" s="66" t="str">
        <x:v>Kepulauan Bangka Belitung</x:v>
      </x:c>
      <x:c r="P861" s="66" t="str">
        <x:v>Kabupaten Bangka</x:v>
      </x:c>
      <x:c r="Q861" s="66" t="str">
        <x:v>https://snpmb.id/snbp/daya-tampung-snbp</x:v>
      </x:c>
      <x:c r="R861" s="66" t="str">
        <x:v>https://sidatagrun-public-1076756628210.asia-southeast2.run.app/ptn_sn.php?ptn=181</x:v>
      </x:c>
    </x:row>
    <x:row r="862">
      <x:c r="A862" s="87" t="n">
        <x:v>3868</x:v>
      </x:c>
      <x:c r="B862" s="87" t="n">
        <x:v>181</x:v>
      </x:c>
      <x:c r="C862" s="66" t="str">
        <x:v>UNIVERSITAS BANGKA BELITUNG</x:v>
      </x:c>
      <x:c r="D862" s="66" t="str">
        <x:v>PTN Akademik</x:v>
      </x:c>
      <x:c r="E862" s="66" t="str">
        <x:v>11811009</x:v>
      </x:c>
      <x:c r="F862" s="66" t="str">
        <x:v>AKUAKULTUR</x:v>
      </x:c>
      <x:c r="G862" s="66" t="str">
        <x:v>Sarjana</x:v>
      </x:c>
      <x:c r="H862" s="87" t="n">
        <x:v>45</x:v>
      </x:c>
      <x:c r="I862" s="87" t="n">
        <x:v>74</x:v>
      </x:c>
      <x:c r="J862" s="68" t="n">
        <x:f>IFERROR(H862/I862,"")</x:f>
        <x:v>0.6081081081081081</x:v>
      </x:c>
      <x:c r="K862" s="69" t="n">
        <x:f>IFERROR(I862/H862,"")</x:f>
        <x:v>1.6444444444444444</x:v>
      </x:c>
      <x:c r="L862" s="66" t="str">
        <x:f>IF(K862="","","1 : "&amp;TEXT(K862,"0.0"))</x:f>
        <x:v>1 : 1.6</x:v>
      </x:c>
      <x:c r="M862" s="66" t="str">
        <x:f>IF(J862="","Baru/Tanpa Data",IF(J862&lt;='Catatan &amp; Sumber'!$B$14,"Sangat Ketat",IF(J862&lt;='Catatan &amp; Sumber'!$B$15,"Ketat",IF(J862&lt;='Catatan &amp; Sumber'!$B$16,"Sedang","Relatif Longgar"))))</x:f>
        <x:v>Relatif Longgar</x:v>
      </x:c>
      <x:c r="N862" s="66" t="str">
        <x:v>Tidak Ada</x:v>
      </x:c>
      <x:c r="O862" s="66" t="str">
        <x:v>Kepulauan Bangka Belitung</x:v>
      </x:c>
      <x:c r="P862" s="66" t="str">
        <x:v>Kabupaten Bangka</x:v>
      </x:c>
      <x:c r="Q862" s="66" t="str">
        <x:v>https://snpmb.id/snbp/daya-tampung-snbp</x:v>
      </x:c>
      <x:c r="R862" s="66" t="str">
        <x:v>https://sidatagrun-public-1076756628210.asia-southeast2.run.app/ptn_sn.php?ptn=181</x:v>
      </x:c>
    </x:row>
    <x:row r="863">
      <x:c r="A863" s="87" t="n">
        <x:v>3497</x:v>
      </x:c>
      <x:c r="B863" s="87" t="n">
        <x:v>181</x:v>
      </x:c>
      <x:c r="C863" s="66" t="str">
        <x:v>UNIVERSITAS BANGKA BELITUNG</x:v>
      </x:c>
      <x:c r="D863" s="66" t="str">
        <x:v>PTN Akademik</x:v>
      </x:c>
      <x:c r="E863" s="66" t="str">
        <x:v>11811010</x:v>
      </x:c>
      <x:c r="F863" s="66" t="str">
        <x:v>ILMU KELAUTAN</x:v>
      </x:c>
      <x:c r="G863" s="66" t="str">
        <x:v>Sarjana</x:v>
      </x:c>
      <x:c r="H863" s="87" t="n">
        <x:v>30</x:v>
      </x:c>
      <x:c r="I863" s="87" t="n">
        <x:v>69</x:v>
      </x:c>
      <x:c r="J863" s="68" t="n">
        <x:f>IFERROR(H863/I863,"")</x:f>
        <x:v>0.43478260869565216</x:v>
      </x:c>
      <x:c r="K863" s="69" t="n">
        <x:f>IFERROR(I863/H863,"")</x:f>
        <x:v>2.3</x:v>
      </x:c>
      <x:c r="L863" s="66" t="str">
        <x:f>IF(K863="","","1 : "&amp;TEXT(K863,"0.0"))</x:f>
        <x:v>1 : 2.3</x:v>
      </x:c>
      <x:c r="M863" s="66" t="str">
        <x:f>IF(J863="","Baru/Tanpa Data",IF(J863&lt;='Catatan &amp; Sumber'!$B$14,"Sangat Ketat",IF(J863&lt;='Catatan &amp; Sumber'!$B$15,"Ketat",IF(J863&lt;='Catatan &amp; Sumber'!$B$16,"Sedang","Relatif Longgar"))))</x:f>
        <x:v>Relatif Longgar</x:v>
      </x:c>
      <x:c r="N863" s="66" t="str">
        <x:v>Tidak Ada</x:v>
      </x:c>
      <x:c r="O863" s="66" t="str">
        <x:v>Kepulauan Bangka Belitung</x:v>
      </x:c>
      <x:c r="P863" s="66" t="str">
        <x:v>Kabupaten Bangka</x:v>
      </x:c>
      <x:c r="Q863" s="66" t="str">
        <x:v>https://snpmb.id/snbp/daya-tampung-snbp</x:v>
      </x:c>
      <x:c r="R863" s="66" t="str">
        <x:v>https://sidatagrun-public-1076756628210.asia-southeast2.run.app/ptn_sn.php?ptn=181</x:v>
      </x:c>
    </x:row>
    <x:row r="864">
      <x:c r="A864" s="87" t="n">
        <x:v>3686</x:v>
      </x:c>
      <x:c r="B864" s="87" t="n">
        <x:v>181</x:v>
      </x:c>
      <x:c r="C864" s="66" t="str">
        <x:v>UNIVERSITAS BANGKA BELITUNG</x:v>
      </x:c>
      <x:c r="D864" s="66" t="str">
        <x:v>PTN Akademik</x:v>
      </x:c>
      <x:c r="E864" s="66" t="str">
        <x:v>11811011</x:v>
      </x:c>
      <x:c r="F864" s="66" t="str">
        <x:v>KIMIA</x:v>
      </x:c>
      <x:c r="G864" s="66" t="str">
        <x:v>Sarjana</x:v>
      </x:c>
      <x:c r="H864" s="87" t="n">
        <x:v>23</x:v>
      </x:c>
      <x:c r="I864" s="87" t="n">
        <x:v>45</x:v>
      </x:c>
      <x:c r="J864" s="68" t="n">
        <x:f>IFERROR(H864/I864,"")</x:f>
        <x:v>0.5111111111111111</x:v>
      </x:c>
      <x:c r="K864" s="69" t="n">
        <x:f>IFERROR(I864/H864,"")</x:f>
        <x:v>1.9565217391304348</x:v>
      </x:c>
      <x:c r="L864" s="66" t="str">
        <x:f>IF(K864="","","1 : "&amp;TEXT(K864,"0.0"))</x:f>
        <x:v>1 : 2.0</x:v>
      </x:c>
      <x:c r="M864" s="66" t="str">
        <x:f>IF(J864="","Baru/Tanpa Data",IF(J864&lt;='Catatan &amp; Sumber'!$B$14,"Sangat Ketat",IF(J864&lt;='Catatan &amp; Sumber'!$B$15,"Ketat",IF(J864&lt;='Catatan &amp; Sumber'!$B$16,"Sedang","Relatif Longgar"))))</x:f>
        <x:v>Relatif Longgar</x:v>
      </x:c>
      <x:c r="N864" s="66" t="str">
        <x:v>Tidak Ada</x:v>
      </x:c>
      <x:c r="O864" s="66" t="str">
        <x:v>Kepulauan Bangka Belitung</x:v>
      </x:c>
      <x:c r="P864" s="66" t="str">
        <x:v>Kabupaten Bangka</x:v>
      </x:c>
      <x:c r="Q864" s="66" t="str">
        <x:v>https://snpmb.id/snbp/daya-tampung-snbp</x:v>
      </x:c>
      <x:c r="R864" s="66" t="str">
        <x:v>https://sidatagrun-public-1076756628210.asia-southeast2.run.app/ptn_sn.php?ptn=181</x:v>
      </x:c>
    </x:row>
    <x:row r="865">
      <x:c r="A865" s="87" t="n">
        <x:v>3792</x:v>
      </x:c>
      <x:c r="B865" s="87" t="n">
        <x:v>181</x:v>
      </x:c>
      <x:c r="C865" s="66" t="str">
        <x:v>UNIVERSITAS BANGKA BELITUNG</x:v>
      </x:c>
      <x:c r="D865" s="66" t="str">
        <x:v>PTN Akademik</x:v>
      </x:c>
      <x:c r="E865" s="66" t="str">
        <x:v>11811012</x:v>
      </x:c>
      <x:c r="F865" s="66" t="str">
        <x:v>FISIKA</x:v>
      </x:c>
      <x:c r="G865" s="66" t="str">
        <x:v>Sarjana</x:v>
      </x:c>
      <x:c r="H865" s="87" t="n">
        <x:v>13</x:v>
      </x:c>
      <x:c r="I865" s="87" t="n">
        <x:v>23</x:v>
      </x:c>
      <x:c r="J865" s="68" t="n">
        <x:f>IFERROR(H865/I865,"")</x:f>
        <x:v>0.5652173913043478</x:v>
      </x:c>
      <x:c r="K865" s="69" t="n">
        <x:f>IFERROR(I865/H865,"")</x:f>
        <x:v>1.7692307692307692</x:v>
      </x:c>
      <x:c r="L865" s="66" t="str">
        <x:f>IF(K865="","","1 : "&amp;TEXT(K865,"0.0"))</x:f>
        <x:v>1 : 1.8</x:v>
      </x:c>
      <x:c r="M865" s="66" t="str">
        <x:f>IF(J865="","Baru/Tanpa Data",IF(J865&lt;='Catatan &amp; Sumber'!$B$14,"Sangat Ketat",IF(J865&lt;='Catatan &amp; Sumber'!$B$15,"Ketat",IF(J865&lt;='Catatan &amp; Sumber'!$B$16,"Sedang","Relatif Longgar"))))</x:f>
        <x:v>Relatif Longgar</x:v>
      </x:c>
      <x:c r="N865" s="66" t="str">
        <x:v>Tidak Ada</x:v>
      </x:c>
      <x:c r="O865" s="66" t="str">
        <x:v>Kepulauan Bangka Belitung</x:v>
      </x:c>
      <x:c r="P865" s="66" t="str">
        <x:v>Kabupaten Bangka</x:v>
      </x:c>
      <x:c r="Q865" s="66" t="str">
        <x:v>https://snpmb.id/snbp/daya-tampung-snbp</x:v>
      </x:c>
      <x:c r="R865" s="66" t="str">
        <x:v>https://sidatagrun-public-1076756628210.asia-southeast2.run.app/ptn_sn.php?ptn=181</x:v>
      </x:c>
    </x:row>
    <x:row r="866">
      <x:c r="A866" s="87" t="n">
        <x:v>3729</x:v>
      </x:c>
      <x:c r="B866" s="87" t="n">
        <x:v>181</x:v>
      </x:c>
      <x:c r="C866" s="66" t="str">
        <x:v>UNIVERSITAS BANGKA BELITUNG</x:v>
      </x:c>
      <x:c r="D866" s="66" t="str">
        <x:v>PTN Akademik</x:v>
      </x:c>
      <x:c r="E866" s="66" t="str">
        <x:v>11811013</x:v>
      </x:c>
      <x:c r="F866" s="66" t="str">
        <x:v>MATEMATIKA</x:v>
      </x:c>
      <x:c r="G866" s="66" t="str">
        <x:v>Sarjana</x:v>
      </x:c>
      <x:c r="H866" s="87" t="n">
        <x:v>32</x:v>
      </x:c>
      <x:c r="I866" s="87" t="n">
        <x:v>60</x:v>
      </x:c>
      <x:c r="J866" s="68" t="n">
        <x:f>IFERROR(H866/I866,"")</x:f>
        <x:v>0.5333333333333333</x:v>
      </x:c>
      <x:c r="K866" s="69" t="n">
        <x:f>IFERROR(I866/H866,"")</x:f>
        <x:v>1.875</x:v>
      </x:c>
      <x:c r="L866" s="66" t="str">
        <x:f>IF(K866="","","1 : "&amp;TEXT(K866,"0.0"))</x:f>
        <x:v>1 : 1.9</x:v>
      </x:c>
      <x:c r="M866" s="66" t="str">
        <x:f>IF(J866="","Baru/Tanpa Data",IF(J866&lt;='Catatan &amp; Sumber'!$B$14,"Sangat Ketat",IF(J866&lt;='Catatan &amp; Sumber'!$B$15,"Ketat",IF(J866&lt;='Catatan &amp; Sumber'!$B$16,"Sedang","Relatif Longgar"))))</x:f>
        <x:v>Relatif Longgar</x:v>
      </x:c>
      <x:c r="N866" s="66" t="str">
        <x:v>Tidak Ada</x:v>
      </x:c>
      <x:c r="O866" s="66" t="str">
        <x:v>Kepulauan Bangka Belitung</x:v>
      </x:c>
      <x:c r="P866" s="66" t="str">
        <x:v>Kabupaten Bangka</x:v>
      </x:c>
      <x:c r="Q866" s="66" t="str">
        <x:v>https://snpmb.id/snbp/daya-tampung-snbp</x:v>
      </x:c>
      <x:c r="R866" s="66" t="str">
        <x:v>https://sidatagrun-public-1076756628210.asia-southeast2.run.app/ptn_sn.php?ptn=181</x:v>
      </x:c>
    </x:row>
    <x:row r="867">
      <x:c r="A867" s="87" t="n">
        <x:v>2267</x:v>
      </x:c>
      <x:c r="B867" s="87" t="n">
        <x:v>181</x:v>
      </x:c>
      <x:c r="C867" s="66" t="str">
        <x:v>UNIVERSITAS BANGKA BELITUNG</x:v>
      </x:c>
      <x:c r="D867" s="66" t="str">
        <x:v>PTN Akademik</x:v>
      </x:c>
      <x:c r="E867" s="66" t="str">
        <x:v>11811014</x:v>
      </x:c>
      <x:c r="F867" s="66" t="str">
        <x:v>AKUNTANSI</x:v>
      </x:c>
      <x:c r="G867" s="66" t="str">
        <x:v>Sarjana</x:v>
      </x:c>
      <x:c r="H867" s="87" t="n">
        <x:v>63</x:v>
      </x:c>
      <x:c r="I867" s="87" t="n">
        <x:v>350</x:v>
      </x:c>
      <x:c r="J867" s="68" t="n">
        <x:f>IFERROR(H867/I867,"")</x:f>
        <x:v>0.18</x:v>
      </x:c>
      <x:c r="K867" s="69" t="n">
        <x:f>IFERROR(I867/H867,"")</x:f>
        <x:v>5.555555555555555</x:v>
      </x:c>
      <x:c r="L867" s="66" t="str">
        <x:f>IF(K867="","","1 : "&amp;TEXT(K867,"0.0"))</x:f>
        <x:v>1 : 5.6</x:v>
      </x:c>
      <x:c r="M867" s="66" t="str">
        <x:f>IF(J867="","Baru/Tanpa Data",IF(J867&lt;='Catatan &amp; Sumber'!$B$14,"Sangat Ketat",IF(J867&lt;='Catatan &amp; Sumber'!$B$15,"Ketat",IF(J867&lt;='Catatan &amp; Sumber'!$B$16,"Sedang","Relatif Longgar"))))</x:f>
        <x:v>Relatif Longgar</x:v>
      </x:c>
      <x:c r="N867" s="66" t="str">
        <x:v>Tidak Ada</x:v>
      </x:c>
      <x:c r="O867" s="66" t="str">
        <x:v>Kepulauan Bangka Belitung</x:v>
      </x:c>
      <x:c r="P867" s="66" t="str">
        <x:v>Kabupaten Bangka</x:v>
      </x:c>
      <x:c r="Q867" s="66" t="str">
        <x:v>https://snpmb.id/snbp/daya-tampung-snbp</x:v>
      </x:c>
      <x:c r="R867" s="66" t="str">
        <x:v>https://sidatagrun-public-1076756628210.asia-southeast2.run.app/ptn_sn.php?ptn=181</x:v>
      </x:c>
    </x:row>
    <x:row r="868">
      <x:c r="A868" s="87" t="n">
        <x:v>1682</x:v>
      </x:c>
      <x:c r="B868" s="87" t="n">
        <x:v>181</x:v>
      </x:c>
      <x:c r="C868" s="66" t="str">
        <x:v>UNIVERSITAS BANGKA BELITUNG</x:v>
      </x:c>
      <x:c r="D868" s="66" t="str">
        <x:v>PTN Akademik</x:v>
      </x:c>
      <x:c r="E868" s="66" t="str">
        <x:v>11811015</x:v>
      </x:c>
      <x:c r="F868" s="66" t="str">
        <x:v>MANAJEMEN</x:v>
      </x:c>
      <x:c r="G868" s="66" t="str">
        <x:v>Sarjana</x:v>
      </x:c>
      <x:c r="H868" s="87" t="n">
        <x:v>63</x:v>
      </x:c>
      <x:c r="I868" s="87" t="n">
        <x:v>514</x:v>
      </x:c>
      <x:c r="J868" s="68" t="n">
        <x:f>IFERROR(H868/I868,"")</x:f>
        <x:v>0.122568093385214</x:v>
      </x:c>
      <x:c r="K868" s="69" t="n">
        <x:f>IFERROR(I868/H868,"")</x:f>
        <x:v>8.158730158730158</x:v>
      </x:c>
      <x:c r="L868" s="66" t="str">
        <x:f>IF(K868="","","1 : "&amp;TEXT(K868,"0.0"))</x:f>
        <x:v>1 : 8.2</x:v>
      </x:c>
      <x:c r="M868" s="66" t="str">
        <x:f>IF(J868="","Baru/Tanpa Data",IF(J868&lt;='Catatan &amp; Sumber'!$B$14,"Sangat Ketat",IF(J868&lt;='Catatan &amp; Sumber'!$B$15,"Ketat",IF(J868&lt;='Catatan &amp; Sumber'!$B$16,"Sedang","Relatif Longgar"))))</x:f>
        <x:v>Relatif Longgar</x:v>
      </x:c>
      <x:c r="N868" s="66" t="str">
        <x:v>Tidak Ada</x:v>
      </x:c>
      <x:c r="O868" s="66" t="str">
        <x:v>Kepulauan Bangka Belitung</x:v>
      </x:c>
      <x:c r="P868" s="66" t="str">
        <x:v>Kabupaten Bangka</x:v>
      </x:c>
      <x:c r="Q868" s="66" t="str">
        <x:v>https://snpmb.id/snbp/daya-tampung-snbp</x:v>
      </x:c>
      <x:c r="R868" s="66" t="str">
        <x:v>https://sidatagrun-public-1076756628210.asia-southeast2.run.app/ptn_sn.php?ptn=181</x:v>
      </x:c>
    </x:row>
    <x:row r="869">
      <x:c r="A869" s="87" t="n">
        <x:v>2771</x:v>
      </x:c>
      <x:c r="B869" s="87" t="n">
        <x:v>181</x:v>
      </x:c>
      <x:c r="C869" s="66" t="str">
        <x:v>UNIVERSITAS BANGKA BELITUNG</x:v>
      </x:c>
      <x:c r="D869" s="66" t="str">
        <x:v>PTN Akademik</x:v>
      </x:c>
      <x:c r="E869" s="66" t="str">
        <x:v>11811016</x:v>
      </x:c>
      <x:c r="F869" s="66" t="str">
        <x:v>HUKUM</x:v>
      </x:c>
      <x:c r="G869" s="66" t="str">
        <x:v>Sarjana</x:v>
      </x:c>
      <x:c r="H869" s="87" t="n">
        <x:v>87</x:v>
      </x:c>
      <x:c r="I869" s="87" t="n">
        <x:v>343</x:v>
      </x:c>
      <x:c r="J869" s="68" t="n">
        <x:f>IFERROR(H869/I869,"")</x:f>
        <x:v>0.2536443148688047</x:v>
      </x:c>
      <x:c r="K869" s="69" t="n">
        <x:f>IFERROR(I869/H869,"")</x:f>
        <x:v>3.942528735632184</x:v>
      </x:c>
      <x:c r="L869" s="66" t="str">
        <x:f>IF(K869="","","1 : "&amp;TEXT(K869,"0.0"))</x:f>
        <x:v>1 : 3.9</x:v>
      </x:c>
      <x:c r="M869" s="66" t="str">
        <x:f>IF(J869="","Baru/Tanpa Data",IF(J869&lt;='Catatan &amp; Sumber'!$B$14,"Sangat Ketat",IF(J869&lt;='Catatan &amp; Sumber'!$B$15,"Ketat",IF(J869&lt;='Catatan &amp; Sumber'!$B$16,"Sedang","Relatif Longgar"))))</x:f>
        <x:v>Relatif Longgar</x:v>
      </x:c>
      <x:c r="N869" s="66" t="str">
        <x:v>Tidak Ada</x:v>
      </x:c>
      <x:c r="O869" s="66" t="str">
        <x:v>Kepulauan Bangka Belitung</x:v>
      </x:c>
      <x:c r="P869" s="66" t="str">
        <x:v>Kabupaten Bangka</x:v>
      </x:c>
      <x:c r="Q869" s="66" t="str">
        <x:v>https://snpmb.id/snbp/daya-tampung-snbp</x:v>
      </x:c>
      <x:c r="R869" s="66" t="str">
        <x:v>https://sidatagrun-public-1076756628210.asia-southeast2.run.app/ptn_sn.php?ptn=181</x:v>
      </x:c>
    </x:row>
    <x:row r="870">
      <x:c r="A870" s="87" t="n">
        <x:v>3298</x:v>
      </x:c>
      <x:c r="B870" s="87" t="n">
        <x:v>181</x:v>
      </x:c>
      <x:c r="C870" s="66" t="str">
        <x:v>UNIVERSITAS BANGKA BELITUNG</x:v>
      </x:c>
      <x:c r="D870" s="66" t="str">
        <x:v>PTN Akademik</x:v>
      </x:c>
      <x:c r="E870" s="66" t="str">
        <x:v>11811017</x:v>
      </x:c>
      <x:c r="F870" s="66" t="str">
        <x:v>SOSIOLOGI</x:v>
      </x:c>
      <x:c r="G870" s="66" t="str">
        <x:v>Sarjana</x:v>
      </x:c>
      <x:c r="H870" s="87" t="n">
        <x:v>60</x:v>
      </x:c>
      <x:c r="I870" s="87" t="n">
        <x:v>160</x:v>
      </x:c>
      <x:c r="J870" s="68" t="n">
        <x:f>IFERROR(H870/I870,"")</x:f>
        <x:v>0.375</x:v>
      </x:c>
      <x:c r="K870" s="69" t="n">
        <x:f>IFERROR(I870/H870,"")</x:f>
        <x:v>2.6666666666666665</x:v>
      </x:c>
      <x:c r="L870" s="66" t="str">
        <x:f>IF(K870="","","1 : "&amp;TEXT(K870,"0.0"))</x:f>
        <x:v>1 : 2.7</x:v>
      </x:c>
      <x:c r="M870" s="66" t="str">
        <x:f>IF(J870="","Baru/Tanpa Data",IF(J870&lt;='Catatan &amp; Sumber'!$B$14,"Sangat Ketat",IF(J870&lt;='Catatan &amp; Sumber'!$B$15,"Ketat",IF(J870&lt;='Catatan &amp; Sumber'!$B$16,"Sedang","Relatif Longgar"))))</x:f>
        <x:v>Relatif Longgar</x:v>
      </x:c>
      <x:c r="N870" s="66" t="str">
        <x:v>Tidak Ada</x:v>
      </x:c>
      <x:c r="O870" s="66" t="str">
        <x:v>Kepulauan Bangka Belitung</x:v>
      </x:c>
      <x:c r="P870" s="66" t="str">
        <x:v>Kabupaten Bangka</x:v>
      </x:c>
      <x:c r="Q870" s="66" t="str">
        <x:v>https://snpmb.id/snbp/daya-tampung-snbp</x:v>
      </x:c>
      <x:c r="R870" s="66" t="str">
        <x:v>https://sidatagrun-public-1076756628210.asia-southeast2.run.app/ptn_sn.php?ptn=181</x:v>
      </x:c>
    </x:row>
    <x:row r="871">
      <x:c r="A871" s="87" t="n">
        <x:v>3546</x:v>
      </x:c>
      <x:c r="B871" s="87" t="n">
        <x:v>181</x:v>
      </x:c>
      <x:c r="C871" s="66" t="str">
        <x:v>UNIVERSITAS BANGKA BELITUNG</x:v>
      </x:c>
      <x:c r="D871" s="66" t="str">
        <x:v>PTN Akademik</x:v>
      </x:c>
      <x:c r="E871" s="66" t="str">
        <x:v>11811018</x:v>
      </x:c>
      <x:c r="F871" s="66" t="str">
        <x:v>SASTRA INGGRIS</x:v>
      </x:c>
      <x:c r="G871" s="66" t="str">
        <x:v>Sarjana</x:v>
      </x:c>
      <x:c r="H871" s="87" t="n">
        <x:v>52</x:v>
      </x:c>
      <x:c r="I871" s="87" t="n">
        <x:v>116</x:v>
      </x:c>
      <x:c r="J871" s="68" t="n">
        <x:f>IFERROR(H871/I871,"")</x:f>
        <x:v>0.4482758620689655</x:v>
      </x:c>
      <x:c r="K871" s="69" t="n">
        <x:f>IFERROR(I871/H871,"")</x:f>
        <x:v>2.230769230769231</x:v>
      </x:c>
      <x:c r="L871" s="66" t="str">
        <x:f>IF(K871="","","1 : "&amp;TEXT(K871,"0.0"))</x:f>
        <x:v>1 : 2.2</x:v>
      </x:c>
      <x:c r="M871" s="66" t="str">
        <x:f>IF(J871="","Baru/Tanpa Data",IF(J871&lt;='Catatan &amp; Sumber'!$B$14,"Sangat Ketat",IF(J871&lt;='Catatan &amp; Sumber'!$B$15,"Ketat",IF(J871&lt;='Catatan &amp; Sumber'!$B$16,"Sedang","Relatif Longgar"))))</x:f>
        <x:v>Relatif Longgar</x:v>
      </x:c>
      <x:c r="N871" s="66" t="str">
        <x:v>Tidak Ada</x:v>
      </x:c>
      <x:c r="O871" s="66" t="str">
        <x:v>Kepulauan Bangka Belitung</x:v>
      </x:c>
      <x:c r="P871" s="66" t="str">
        <x:v>Kabupaten Bangka</x:v>
      </x:c>
      <x:c r="Q871" s="66" t="str">
        <x:v>https://snpmb.id/snbp/daya-tampung-snbp</x:v>
      </x:c>
      <x:c r="R871" s="66" t="str">
        <x:v>https://sidatagrun-public-1076756628210.asia-southeast2.run.app/ptn_sn.php?ptn=181</x:v>
      </x:c>
    </x:row>
    <x:row r="872">
      <x:c r="A872" s="87" t="n">
        <x:v>3588</x:v>
      </x:c>
      <x:c r="B872" s="87" t="n">
        <x:v>181</x:v>
      </x:c>
      <x:c r="C872" s="66" t="str">
        <x:v>UNIVERSITAS BANGKA BELITUNG</x:v>
      </x:c>
      <x:c r="D872" s="66" t="str">
        <x:v>PTN Akademik</x:v>
      </x:c>
      <x:c r="E872" s="66" t="str">
        <x:v>11811019</x:v>
      </x:c>
      <x:c r="F872" s="66" t="str">
        <x:v>ILMU POLITIK</x:v>
      </x:c>
      <x:c r="G872" s="66" t="str">
        <x:v>Sarjana</x:v>
      </x:c>
      <x:c r="H872" s="87" t="n">
        <x:v>42</x:v>
      </x:c>
      <x:c r="I872" s="87" t="n">
        <x:v>90</x:v>
      </x:c>
      <x:c r="J872" s="68" t="n">
        <x:f>IFERROR(H872/I872,"")</x:f>
        <x:v>0.4666666666666667</x:v>
      </x:c>
      <x:c r="K872" s="69" t="n">
        <x:f>IFERROR(I872/H872,"")</x:f>
        <x:v>2.142857142857143</x:v>
      </x:c>
      <x:c r="L872" s="66" t="str">
        <x:f>IF(K872="","","1 : "&amp;TEXT(K872,"0.0"))</x:f>
        <x:v>1 : 2.1</x:v>
      </x:c>
      <x:c r="M872" s="66" t="str">
        <x:f>IF(J872="","Baru/Tanpa Data",IF(J872&lt;='Catatan &amp; Sumber'!$B$14,"Sangat Ketat",IF(J872&lt;='Catatan &amp; Sumber'!$B$15,"Ketat",IF(J872&lt;='Catatan &amp; Sumber'!$B$16,"Sedang","Relatif Longgar"))))</x:f>
        <x:v>Relatif Longgar</x:v>
      </x:c>
      <x:c r="N872" s="66" t="str">
        <x:v>Tidak Ada</x:v>
      </x:c>
      <x:c r="O872" s="66" t="str">
        <x:v>Kepulauan Bangka Belitung</x:v>
      </x:c>
      <x:c r="P872" s="66" t="str">
        <x:v>Kabupaten Bangka</x:v>
      </x:c>
      <x:c r="Q872" s="66" t="str">
        <x:v>https://snpmb.id/snbp/daya-tampung-snbp</x:v>
      </x:c>
      <x:c r="R872" s="66" t="str">
        <x:v>https://sidatagrun-public-1076756628210.asia-southeast2.run.app/ptn_sn.php?ptn=181</x:v>
      </x:c>
    </x:row>
    <x:row r="873">
      <x:c r="A873" s="87" t="n">
        <x:v>2364</x:v>
      </x:c>
      <x:c r="B873" s="87" t="n">
        <x:v>181</x:v>
      </x:c>
      <x:c r="C873" s="66" t="str">
        <x:v>UNIVERSITAS BANGKA BELITUNG</x:v>
      </x:c>
      <x:c r="D873" s="66" t="str">
        <x:v>PTN Akademik</x:v>
      </x:c>
      <x:c r="E873" s="66" t="str">
        <x:v>11811020</x:v>
      </x:c>
      <x:c r="F873" s="66" t="str">
        <x:v>EKONOMI</x:v>
      </x:c>
      <x:c r="G873" s="66" t="str">
        <x:v>Sarjana</x:v>
      </x:c>
      <x:c r="H873" s="87" t="n">
        <x:v>30</x:v>
      </x:c>
      <x:c r="I873" s="87" t="n">
        <x:v>157</x:v>
      </x:c>
      <x:c r="J873" s="68" t="n">
        <x:f>IFERROR(H873/I873,"")</x:f>
        <x:v>0.1910828025477707</x:v>
      </x:c>
      <x:c r="K873" s="69" t="n">
        <x:f>IFERROR(I873/H873,"")</x:f>
        <x:v>5.233333333333333</x:v>
      </x:c>
      <x:c r="L873" s="66" t="str">
        <x:f>IF(K873="","","1 : "&amp;TEXT(K873,"0.0"))</x:f>
        <x:v>1 : 5.2</x:v>
      </x:c>
      <x:c r="M873" s="66" t="str">
        <x:f>IF(J873="","Baru/Tanpa Data",IF(J873&lt;='Catatan &amp; Sumber'!$B$14,"Sangat Ketat",IF(J873&lt;='Catatan &amp; Sumber'!$B$15,"Ketat",IF(J873&lt;='Catatan &amp; Sumber'!$B$16,"Sedang","Relatif Longgar"))))</x:f>
        <x:v>Relatif Longgar</x:v>
      </x:c>
      <x:c r="N873" s="66" t="str">
        <x:v>Tidak Ada</x:v>
      </x:c>
      <x:c r="O873" s="66" t="str">
        <x:v>Kepulauan Bangka Belitung</x:v>
      </x:c>
      <x:c r="P873" s="66" t="str">
        <x:v>Kabupaten Bangka</x:v>
      </x:c>
      <x:c r="Q873" s="66" t="str">
        <x:v>https://snpmb.id/snbp/daya-tampung-snbp</x:v>
      </x:c>
      <x:c r="R873" s="66" t="str">
        <x:v>https://sidatagrun-public-1076756628210.asia-southeast2.run.app/ptn_sn.php?ptn=181</x:v>
      </x:c>
    </x:row>
    <x:row r="874">
      <x:c r="A874" s="87" t="n">
        <x:v>2245</x:v>
      </x:c>
      <x:c r="B874" s="87" t="n">
        <x:v>181</x:v>
      </x:c>
      <x:c r="C874" s="66" t="str">
        <x:v>UNIVERSITAS BANGKA BELITUNG</x:v>
      </x:c>
      <x:c r="D874" s="66" t="str">
        <x:v>PTN Akademik</x:v>
      </x:c>
      <x:c r="E874" s="66" t="str">
        <x:v>11811022</x:v>
      </x:c>
      <x:c r="F874" s="66" t="str">
        <x:v>PERENCANAAN WILAYAH DAN KOTA</x:v>
      </x:c>
      <x:c r="G874" s="66" t="str">
        <x:v>Sarjana</x:v>
      </x:c>
      <x:c r="H874" s="87" t="n">
        <x:v>25</x:v>
      </x:c>
      <x:c r="I874" s="87" t="n">
        <x:v>141</x:v>
      </x:c>
      <x:c r="J874" s="68" t="n">
        <x:f>IFERROR(H874/I874,"")</x:f>
        <x:v>0.1773049645390071</x:v>
      </x:c>
      <x:c r="K874" s="69" t="n">
        <x:f>IFERROR(I874/H874,"")</x:f>
        <x:v>5.64</x:v>
      </x:c>
      <x:c r="L874" s="66" t="str">
        <x:f>IF(K874="","","1 : "&amp;TEXT(K874,"0.0"))</x:f>
        <x:v>1 : 5.6</x:v>
      </x:c>
      <x:c r="M874" s="66" t="str">
        <x:f>IF(J874="","Baru/Tanpa Data",IF(J874&lt;='Catatan &amp; Sumber'!$B$14,"Sangat Ketat",IF(J874&lt;='Catatan &amp; Sumber'!$B$15,"Ketat",IF(J874&lt;='Catatan &amp; Sumber'!$B$16,"Sedang","Relatif Longgar"))))</x:f>
        <x:v>Relatif Longgar</x:v>
      </x:c>
      <x:c r="N874" s="66" t="str">
        <x:v>Tidak Ada</x:v>
      </x:c>
      <x:c r="O874" s="66" t="str">
        <x:v>Kepulauan Bangka Belitung</x:v>
      </x:c>
      <x:c r="P874" s="66" t="str">
        <x:v>Kabupaten Bangka</x:v>
      </x:c>
      <x:c r="Q874" s="66" t="str">
        <x:v>https://snpmb.id/snbp/daya-tampung-snbp</x:v>
      </x:c>
      <x:c r="R874" s="66" t="str">
        <x:v>https://sidatagrun-public-1076756628210.asia-southeast2.run.app/ptn_sn.php?ptn=181</x:v>
      </x:c>
    </x:row>
    <x:row r="875">
      <x:c r="A875" s="87" t="n">
        <x:v>3654</x:v>
      </x:c>
      <x:c r="B875" s="87" t="n">
        <x:v>181</x:v>
      </x:c>
      <x:c r="C875" s="66" t="str">
        <x:v>UNIVERSITAS BANGKA BELITUNG</x:v>
      </x:c>
      <x:c r="D875" s="66" t="str">
        <x:v>PTN Akademik</x:v>
      </x:c>
      <x:c r="E875" s="66" t="str">
        <x:v>11811023</x:v>
      </x:c>
      <x:c r="F875" s="66" t="str">
        <x:v>PERIKANAN TANGKAP</x:v>
      </x:c>
      <x:c r="G875" s="66" t="str">
        <x:v>Sarjana</x:v>
      </x:c>
      <x:c r="H875" s="87" t="n">
        <x:v>15</x:v>
      </x:c>
      <x:c r="I875" s="87" t="n">
        <x:v>30</x:v>
      </x:c>
      <x:c r="J875" s="68" t="n">
        <x:f>IFERROR(H875/I875,"")</x:f>
        <x:v>0.5</x:v>
      </x:c>
      <x:c r="K875" s="69" t="n">
        <x:f>IFERROR(I875/H875,"")</x:f>
        <x:v>2</x:v>
      </x:c>
      <x:c r="L875" s="66" t="str">
        <x:f>IF(K875="","","1 : "&amp;TEXT(K875,"0.0"))</x:f>
        <x:v>1 : 2.0</x:v>
      </x:c>
      <x:c r="M875" s="66" t="str">
        <x:f>IF(J875="","Baru/Tanpa Data",IF(J875&lt;='Catatan &amp; Sumber'!$B$14,"Sangat Ketat",IF(J875&lt;='Catatan &amp; Sumber'!$B$15,"Ketat",IF(J875&lt;='Catatan &amp; Sumber'!$B$16,"Sedang","Relatif Longgar"))))</x:f>
        <x:v>Relatif Longgar</x:v>
      </x:c>
      <x:c r="N875" s="66" t="str">
        <x:v>Tidak Ada</x:v>
      </x:c>
      <x:c r="O875" s="66" t="str">
        <x:v>Kepulauan Bangka Belitung</x:v>
      </x:c>
      <x:c r="P875" s="66" t="str">
        <x:v>Kabupaten Bangka</x:v>
      </x:c>
      <x:c r="Q875" s="66" t="str">
        <x:v>https://snpmb.id/snbp/daya-tampung-snbp</x:v>
      </x:c>
      <x:c r="R875" s="66" t="str">
        <x:v>https://sidatagrun-public-1076756628210.asia-southeast2.run.app/ptn_sn.php?ptn=181</x:v>
      </x:c>
    </x:row>
    <x:row r="876">
      <x:c r="A876" s="87" t="n">
        <x:v>621</x:v>
      </x:c>
      <x:c r="B876" s="87" t="n">
        <x:v>181</x:v>
      </x:c>
      <x:c r="C876" s="66" t="str">
        <x:v>UNIVERSITAS BANGKA BELITUNG</x:v>
      </x:c>
      <x:c r="D876" s="66" t="str">
        <x:v>PTN Akademik</x:v>
      </x:c>
      <x:c r="E876" s="66" t="str">
        <x:v>11811024</x:v>
      </x:c>
      <x:c r="F876" s="66" t="str">
        <x:v>TEKNOLOGI INFORMASI</x:v>
      </x:c>
      <x:c r="G876" s="66" t="str">
        <x:v>Sarjana</x:v>
      </x:c>
      <x:c r="H876" s="87" t="n">
        <x:v>18</x:v>
      </x:c>
      <x:c r="I876" s="87" t="n">
        <x:v>308</x:v>
      </x:c>
      <x:c r="J876" s="68" t="n">
        <x:f>IFERROR(H876/I876,"")</x:f>
        <x:v>0.05844155844155844</x:v>
      </x:c>
      <x:c r="K876" s="69" t="n">
        <x:f>IFERROR(I876/H876,"")</x:f>
        <x:v>17.11111111111111</x:v>
      </x:c>
      <x:c r="L876" s="66" t="str">
        <x:f>IF(K876="","","1 : "&amp;TEXT(K876,"0.0"))</x:f>
        <x:v>1 : 17.1</x:v>
      </x:c>
      <x:c r="M876" s="66" t="str">
        <x:f>IF(J876="","Baru/Tanpa Data",IF(J876&lt;='Catatan &amp; Sumber'!$B$14,"Sangat Ketat",IF(J876&lt;='Catatan &amp; Sumber'!$B$15,"Ketat",IF(J876&lt;='Catatan &amp; Sumber'!$B$16,"Sedang","Relatif Longgar"))))</x:f>
        <x:v>Sedang</x:v>
      </x:c>
      <x:c r="N876" s="66" t="str">
        <x:v>Tidak Ada</x:v>
      </x:c>
      <x:c r="O876" s="66" t="str">
        <x:v>Kepulauan Bangka Belitung</x:v>
      </x:c>
      <x:c r="P876" s="66" t="str">
        <x:v>Kabupaten Bangka</x:v>
      </x:c>
      <x:c r="Q876" s="66" t="str">
        <x:v>https://snpmb.id/snbp/daya-tampung-snbp</x:v>
      </x:c>
      <x:c r="R876" s="66" t="str">
        <x:v>https://sidatagrun-public-1076756628210.asia-southeast2.run.app/ptn_sn.php?ptn=181</x:v>
      </x:c>
    </x:row>
    <x:row r="877">
      <x:c r="A877" s="87" t="n">
        <x:v>3257</x:v>
      </x:c>
      <x:c r="B877" s="87" t="n">
        <x:v>181</x:v>
      </x:c>
      <x:c r="C877" s="66" t="str">
        <x:v>UNIVERSITAS BANGKA BELITUNG</x:v>
      </x:c>
      <x:c r="D877" s="66" t="str">
        <x:v>PTN Akademik</x:v>
      </x:c>
      <x:c r="E877" s="66" t="str">
        <x:v>11811025</x:v>
      </x:c>
      <x:c r="F877" s="66" t="str">
        <x:v>ARSITEKTUR</x:v>
      </x:c>
      <x:c r="G877" s="66" t="str">
        <x:v>Sarjana</x:v>
      </x:c>
      <x:c r="H877" s="87" t="n">
        <x:v>24</x:v>
      </x:c>
      <x:c r="I877" s="87" t="n">
        <x:v>67</x:v>
      </x:c>
      <x:c r="J877" s="68" t="n">
        <x:f>IFERROR(H877/I877,"")</x:f>
        <x:v>0.3582089552238806</x:v>
      </x:c>
      <x:c r="K877" s="69" t="n">
        <x:f>IFERROR(I877/H877,"")</x:f>
        <x:v>2.7916666666666665</x:v>
      </x:c>
      <x:c r="L877" s="66" t="str">
        <x:f>IF(K877="","","1 : "&amp;TEXT(K877,"0.0"))</x:f>
        <x:v>1 : 2.8</x:v>
      </x:c>
      <x:c r="M877" s="66" t="str">
        <x:f>IF(J877="","Baru/Tanpa Data",IF(J877&lt;='Catatan &amp; Sumber'!$B$14,"Sangat Ketat",IF(J877&lt;='Catatan &amp; Sumber'!$B$15,"Ketat",IF(J877&lt;='Catatan &amp; Sumber'!$B$16,"Sedang","Relatif Longgar"))))</x:f>
        <x:v>Relatif Longgar</x:v>
      </x:c>
      <x:c r="N877" s="66" t="str">
        <x:v>Tidak Ada</x:v>
      </x:c>
      <x:c r="O877" s="66" t="str">
        <x:v>Kepulauan Bangka Belitung</x:v>
      </x:c>
      <x:c r="P877" s="66" t="str">
        <x:v>Kabupaten Bangka</x:v>
      </x:c>
      <x:c r="Q877" s="66" t="str">
        <x:v>https://snpmb.id/snbp/daya-tampung-snbp</x:v>
      </x:c>
      <x:c r="R877" s="66" t="str">
        <x:v>https://sidatagrun-public-1076756628210.asia-southeast2.run.app/ptn_sn.php?ptn=181</x:v>
      </x:c>
    </x:row>
    <x:row r="878">
      <x:c r="A878" s="87" t="n">
        <x:v>1524</x:v>
      </x:c>
      <x:c r="B878" s="87" t="n">
        <x:v>181</x:v>
      </x:c>
      <x:c r="C878" s="66" t="str">
        <x:v>UNIVERSITAS BANGKA BELITUNG</x:v>
      </x:c>
      <x:c r="D878" s="66" t="str">
        <x:v>PTN Akademik</x:v>
      </x:c>
      <x:c r="E878" s="66" t="str">
        <x:v>11811026</x:v>
      </x:c>
      <x:c r="F878" s="66" t="str">
        <x:v>BISNIS DIGITAL</x:v>
      </x:c>
      <x:c r="G878" s="66" t="str">
        <x:v>Sarjana</x:v>
      </x:c>
      <x:c r="H878" s="87" t="n">
        <x:v>30</x:v>
      </x:c>
      <x:c r="I878" s="87" t="n">
        <x:v>269</x:v>
      </x:c>
      <x:c r="J878" s="68" t="n">
        <x:f>IFERROR(H878/I878,"")</x:f>
        <x:v>0.11152416356877323</x:v>
      </x:c>
      <x:c r="K878" s="69" t="n">
        <x:f>IFERROR(I878/H878,"")</x:f>
        <x:v>8.966666666666667</x:v>
      </x:c>
      <x:c r="L878" s="66" t="str">
        <x:f>IF(K878="","","1 : "&amp;TEXT(K878,"0.0"))</x:f>
        <x:v>1 : 9.0</x:v>
      </x:c>
      <x:c r="M878" s="66" t="str">
        <x:f>IF(J878="","Baru/Tanpa Data",IF(J878&lt;='Catatan &amp; Sumber'!$B$14,"Sangat Ketat",IF(J878&lt;='Catatan &amp; Sumber'!$B$15,"Ketat",IF(J878&lt;='Catatan &amp; Sumber'!$B$16,"Sedang","Relatif Longgar"))))</x:f>
        <x:v>Relatif Longgar</x:v>
      </x:c>
      <x:c r="N878" s="66" t="str">
        <x:v>Tidak Ada</x:v>
      </x:c>
      <x:c r="O878" s="66" t="str">
        <x:v>Kepulauan Bangka Belitung</x:v>
      </x:c>
      <x:c r="P878" s="66" t="str">
        <x:v>Kabupaten Bangka</x:v>
      </x:c>
      <x:c r="Q878" s="66" t="str">
        <x:v>https://snpmb.id/snbp/daya-tampung-snbp</x:v>
      </x:c>
      <x:c r="R878" s="66" t="str">
        <x:v>https://sidatagrun-public-1076756628210.asia-southeast2.run.app/ptn_sn.php?ptn=181</x:v>
      </x:c>
    </x:row>
    <x:row r="879">
      <x:c r="A879" s="87" t="n">
        <x:v>322</x:v>
      </x:c>
      <x:c r="B879" s="87" t="n">
        <x:v>181</x:v>
      </x:c>
      <x:c r="C879" s="66" t="str">
        <x:v>UNIVERSITAS BANGKA BELITUNG</x:v>
      </x:c>
      <x:c r="D879" s="66" t="str">
        <x:v>PTN Akademik</x:v>
      </x:c>
      <x:c r="E879" s="66" t="str">
        <x:v>11811027</x:v>
      </x:c>
      <x:c r="F879" s="66" t="str">
        <x:v>KEDOKTERAN</x:v>
      </x:c>
      <x:c r="G879" s="66" t="str">
        <x:v>Sarjana</x:v>
      </x:c>
      <x:c r="H879" s="87" t="n">
        <x:v>15</x:v>
      </x:c>
      <x:c r="I879" s="87" t="n">
        <x:v>345</x:v>
      </x:c>
      <x:c r="J879" s="68" t="n">
        <x:f>IFERROR(H879/I879,"")</x:f>
        <x:v>0.043478260869565216</x:v>
      </x:c>
      <x:c r="K879" s="69" t="n">
        <x:f>IFERROR(I879/H879,"")</x:f>
        <x:v>23</x:v>
      </x:c>
      <x:c r="L879" s="66" t="str">
        <x:f>IF(K879="","","1 : "&amp;TEXT(K879,"0.0"))</x:f>
        <x:v>1 : 23.0</x:v>
      </x:c>
      <x:c r="M879" s="66" t="str">
        <x:f>IF(J879="","Baru/Tanpa Data",IF(J879&lt;='Catatan &amp; Sumber'!$B$14,"Sangat Ketat",IF(J879&lt;='Catatan &amp; Sumber'!$B$15,"Ketat",IF(J879&lt;='Catatan &amp; Sumber'!$B$16,"Sedang","Relatif Longgar"))))</x:f>
        <x:v>Ketat</x:v>
      </x:c>
      <x:c r="N879" s="66" t="str">
        <x:v>Tidak Ada</x:v>
      </x:c>
      <x:c r="O879" s="66" t="str">
        <x:v>Kepulauan Bangka Belitung</x:v>
      </x:c>
      <x:c r="P879" s="66" t="str">
        <x:v>Kabupaten Bangka</x:v>
      </x:c>
      <x:c r="Q879" s="66" t="str">
        <x:v>https://snpmb.id/snbp/daya-tampung-snbp</x:v>
      </x:c>
      <x:c r="R879" s="66" t="str">
        <x:v>https://sidatagrun-public-1076756628210.asia-southeast2.run.app/ptn_sn.php?ptn=181</x:v>
      </x:c>
    </x:row>
    <x:row r="880">
      <x:c r="A880" s="87"/>
      <x:c r="B880" s="87" t="n">
        <x:v>181</x:v>
      </x:c>
      <x:c r="C880" s="66" t="str">
        <x:v>UNIVERSITAS BANGKA BELITUNG</x:v>
      </x:c>
      <x:c r="D880" s="66" t="str">
        <x:v>PTN Akademik</x:v>
      </x:c>
      <x:c r="E880" s="66" t="str">
        <x:v>11811028</x:v>
      </x:c>
      <x:c r="F880" s="66" t="str">
        <x:v>PENDIDIKAN PANCASILA DAN KEWARGANEGARAAN</x:v>
      </x:c>
      <x:c r="G880" s="66" t="str">
        <x:v>Sarjana</x:v>
      </x:c>
      <x:c r="H880" s="87" t="n">
        <x:v>16</x:v>
      </x:c>
      <x:c r="I880" s="87"/>
      <x:c r="J880" s="68" t="str">
        <x:f>IFERROR(H880/I880,"")</x:f>
      </x:c>
      <x:c r="K880" s="69" t="n">
        <x:f>IFERROR(I880/H880,"")</x:f>
        <x:v>0</x:v>
      </x:c>
      <x:c r="L880" s="66" t="str">
        <x:f>IF(K880="","","1 : "&amp;TEXT(K880,"0.0"))</x:f>
      </x:c>
      <x:c r="M880" s="66" t="str">
        <x:f>IF(J880="","Baru/Tanpa Data",IF(J880&lt;='Catatan &amp; Sumber'!$B$14,"Sangat Ketat",IF(J880&lt;='Catatan &amp; Sumber'!$B$15,"Ketat",IF(J880&lt;='Catatan &amp; Sumber'!$B$16,"Sedang","Relatif Longgar"))))</x:f>
        <x:v>Baru/Tanpa Data</x:v>
      </x:c>
      <x:c r="N880" s="66" t="str">
        <x:v>Tidak Ada</x:v>
      </x:c>
      <x:c r="O880" s="66" t="str">
        <x:v>Kepulauan Bangka Belitung</x:v>
      </x:c>
      <x:c r="P880" s="66" t="str">
        <x:v>Kabupaten Bangka</x:v>
      </x:c>
      <x:c r="Q880" s="66" t="str">
        <x:v>https://snpmb.id/snbp/daya-tampung-snbp</x:v>
      </x:c>
      <x:c r="R880" s="66" t="str">
        <x:v>https://sidatagrun-public-1076756628210.asia-southeast2.run.app/ptn_sn.php?ptn=181</x:v>
      </x:c>
    </x:row>
    <x:row r="881">
      <x:c r="A881" s="87"/>
      <x:c r="B881" s="87" t="n">
        <x:v>181</x:v>
      </x:c>
      <x:c r="C881" s="66" t="str">
        <x:v>UNIVERSITAS BANGKA BELITUNG</x:v>
      </x:c>
      <x:c r="D881" s="66" t="str">
        <x:v>PTN Akademik</x:v>
      </x:c>
      <x:c r="E881" s="66" t="str">
        <x:v>11811029</x:v>
      </x:c>
      <x:c r="F881" s="66" t="str">
        <x:v>PENDIDIKAN BAHASA INGGRIS</x:v>
      </x:c>
      <x:c r="G881" s="66" t="str">
        <x:v>Sarjana</x:v>
      </x:c>
      <x:c r="H881" s="87" t="n">
        <x:v>28</x:v>
      </x:c>
      <x:c r="I881" s="87"/>
      <x:c r="J881" s="68" t="str">
        <x:f>IFERROR(H881/I881,"")</x:f>
      </x:c>
      <x:c r="K881" s="69" t="n">
        <x:f>IFERROR(I881/H881,"")</x:f>
        <x:v>0</x:v>
      </x:c>
      <x:c r="L881" s="66" t="str">
        <x:f>IF(K881="","","1 : "&amp;TEXT(K881,"0.0"))</x:f>
      </x:c>
      <x:c r="M881" s="66" t="str">
        <x:f>IF(J881="","Baru/Tanpa Data",IF(J881&lt;='Catatan &amp; Sumber'!$B$14,"Sangat Ketat",IF(J881&lt;='Catatan &amp; Sumber'!$B$15,"Ketat",IF(J881&lt;='Catatan &amp; Sumber'!$B$16,"Sedang","Relatif Longgar"))))</x:f>
        <x:v>Baru/Tanpa Data</x:v>
      </x:c>
      <x:c r="N881" s="66" t="str">
        <x:v>Tidak Ada</x:v>
      </x:c>
      <x:c r="O881" s="66" t="str">
        <x:v>Kepulauan Bangka Belitung</x:v>
      </x:c>
      <x:c r="P881" s="66" t="str">
        <x:v>Kabupaten Bangka</x:v>
      </x:c>
      <x:c r="Q881" s="66" t="str">
        <x:v>https://snpmb.id/snbp/daya-tampung-snbp</x:v>
      </x:c>
      <x:c r="R881" s="66" t="str">
        <x:v>https://sidatagrun-public-1076756628210.asia-southeast2.run.app/ptn_sn.php?ptn=181</x:v>
      </x:c>
    </x:row>
    <x:row r="882">
      <x:c r="A882" s="87"/>
      <x:c r="B882" s="87" t="n">
        <x:v>181</x:v>
      </x:c>
      <x:c r="C882" s="66" t="str">
        <x:v>UNIVERSITAS BANGKA BELITUNG</x:v>
      </x:c>
      <x:c r="D882" s="66" t="str">
        <x:v>PTN Akademik</x:v>
      </x:c>
      <x:c r="E882" s="66" t="str">
        <x:v>11811030</x:v>
      </x:c>
      <x:c r="F882" s="66" t="str">
        <x:v>HUBUNGAN INTERNASIONAL</x:v>
      </x:c>
      <x:c r="G882" s="66" t="str">
        <x:v>Sarjana</x:v>
      </x:c>
      <x:c r="H882" s="87" t="n">
        <x:v>25</x:v>
      </x:c>
      <x:c r="I882" s="87"/>
      <x:c r="J882" s="68" t="str">
        <x:f>IFERROR(H882/I882,"")</x:f>
      </x:c>
      <x:c r="K882" s="69" t="n">
        <x:f>IFERROR(I882/H882,"")</x:f>
        <x:v>0</x:v>
      </x:c>
      <x:c r="L882" s="66" t="str">
        <x:f>IF(K882="","","1 : "&amp;TEXT(K882,"0.0"))</x:f>
      </x:c>
      <x:c r="M882" s="66" t="str">
        <x:f>IF(J882="","Baru/Tanpa Data",IF(J882&lt;='Catatan &amp; Sumber'!$B$14,"Sangat Ketat",IF(J882&lt;='Catatan &amp; Sumber'!$B$15,"Ketat",IF(J882&lt;='Catatan &amp; Sumber'!$B$16,"Sedang","Relatif Longgar"))))</x:f>
        <x:v>Baru/Tanpa Data</x:v>
      </x:c>
      <x:c r="N882" s="66" t="str">
        <x:v>Tidak Ada</x:v>
      </x:c>
      <x:c r="O882" s="66" t="str">
        <x:v>Kepulauan Bangka Belitung</x:v>
      </x:c>
      <x:c r="P882" s="66" t="str">
        <x:v>Kabupaten Bangka</x:v>
      </x:c>
      <x:c r="Q882" s="66" t="str">
        <x:v>https://snpmb.id/snbp/daya-tampung-snbp</x:v>
      </x:c>
      <x:c r="R882" s="66" t="str">
        <x:v>https://sidatagrun-public-1076756628210.asia-southeast2.run.app/ptn_sn.php?ptn=181</x:v>
      </x:c>
    </x:row>
    <x:row r="883">
      <x:c r="A883" s="87"/>
      <x:c r="B883" s="87" t="n">
        <x:v>181</x:v>
      </x:c>
      <x:c r="C883" s="66" t="str">
        <x:v>UNIVERSITAS BANGKA BELITUNG</x:v>
      </x:c>
      <x:c r="D883" s="66" t="str">
        <x:v>PTN Akademik</x:v>
      </x:c>
      <x:c r="E883" s="66" t="str">
        <x:v>11811031</x:v>
      </x:c>
      <x:c r="F883" s="66" t="str">
        <x:v>ILMU KOMUNIKASI</x:v>
      </x:c>
      <x:c r="G883" s="66" t="str">
        <x:v>Sarjana</x:v>
      </x:c>
      <x:c r="H883" s="87" t="n">
        <x:v>25</x:v>
      </x:c>
      <x:c r="I883" s="87"/>
      <x:c r="J883" s="68" t="str">
        <x:f>IFERROR(H883/I883,"")</x:f>
      </x:c>
      <x:c r="K883" s="69" t="n">
        <x:f>IFERROR(I883/H883,"")</x:f>
        <x:v>0</x:v>
      </x:c>
      <x:c r="L883" s="66" t="str">
        <x:f>IF(K883="","","1 : "&amp;TEXT(K883,"0.0"))</x:f>
      </x:c>
      <x:c r="M883" s="66" t="str">
        <x:f>IF(J883="","Baru/Tanpa Data",IF(J883&lt;='Catatan &amp; Sumber'!$B$14,"Sangat Ketat",IF(J883&lt;='Catatan &amp; Sumber'!$B$15,"Ketat",IF(J883&lt;='Catatan &amp; Sumber'!$B$16,"Sedang","Relatif Longgar"))))</x:f>
        <x:v>Baru/Tanpa Data</x:v>
      </x:c>
      <x:c r="N883" s="66" t="str">
        <x:v>Tidak Ada</x:v>
      </x:c>
      <x:c r="O883" s="66" t="str">
        <x:v>Kepulauan Bangka Belitung</x:v>
      </x:c>
      <x:c r="P883" s="66" t="str">
        <x:v>Kabupaten Bangka</x:v>
      </x:c>
      <x:c r="Q883" s="66" t="str">
        <x:v>https://snpmb.id/snbp/daya-tampung-snbp</x:v>
      </x:c>
      <x:c r="R883" s="66" t="str">
        <x:v>https://sidatagrun-public-1076756628210.asia-southeast2.run.app/ptn_sn.php?ptn=181</x:v>
      </x:c>
    </x:row>
    <x:row r="884">
      <x:c r="A884" s="87"/>
      <x:c r="B884" s="87" t="n">
        <x:v>181</x:v>
      </x:c>
      <x:c r="C884" s="66" t="str">
        <x:v>UNIVERSITAS BANGKA BELITUNG</x:v>
      </x:c>
      <x:c r="D884" s="66" t="str">
        <x:v>PTN Akademik</x:v>
      </x:c>
      <x:c r="E884" s="66" t="str">
        <x:v>11811032</x:v>
      </x:c>
      <x:c r="F884" s="66" t="str">
        <x:v>PENDIDIKAN BAHASA INDONESIA</x:v>
      </x:c>
      <x:c r="G884" s="66" t="str">
        <x:v>Sarjana</x:v>
      </x:c>
      <x:c r="H884" s="87" t="n">
        <x:v>16</x:v>
      </x:c>
      <x:c r="I884" s="87"/>
      <x:c r="J884" s="68" t="str">
        <x:f>IFERROR(H884/I884,"")</x:f>
      </x:c>
      <x:c r="K884" s="69" t="n">
        <x:f>IFERROR(I884/H884,"")</x:f>
        <x:v>0</x:v>
      </x:c>
      <x:c r="L884" s="66" t="str">
        <x:f>IF(K884="","","1 : "&amp;TEXT(K884,"0.0"))</x:f>
      </x:c>
      <x:c r="M884" s="66" t="str">
        <x:f>IF(J884="","Baru/Tanpa Data",IF(J884&lt;='Catatan &amp; Sumber'!$B$14,"Sangat Ketat",IF(J884&lt;='Catatan &amp; Sumber'!$B$15,"Ketat",IF(J884&lt;='Catatan &amp; Sumber'!$B$16,"Sedang","Relatif Longgar"))))</x:f>
        <x:v>Baru/Tanpa Data</x:v>
      </x:c>
      <x:c r="N884" s="66" t="str">
        <x:v>Tidak Ada</x:v>
      </x:c>
      <x:c r="O884" s="66" t="str">
        <x:v>Kepulauan Bangka Belitung</x:v>
      </x:c>
      <x:c r="P884" s="66" t="str">
        <x:v>Kabupaten Bangka</x:v>
      </x:c>
      <x:c r="Q884" s="66" t="str">
        <x:v>https://snpmb.id/snbp/daya-tampung-snbp</x:v>
      </x:c>
      <x:c r="R884" s="66" t="str">
        <x:v>https://sidatagrun-public-1076756628210.asia-southeast2.run.app/ptn_sn.php?ptn=181</x:v>
      </x:c>
    </x:row>
    <x:row r="885">
      <x:c r="A885" s="87" t="n">
        <x:v>1502</x:v>
      </x:c>
      <x:c r="B885" s="87" t="n">
        <x:v>181</x:v>
      </x:c>
      <x:c r="C885" s="66" t="str">
        <x:v>UNIVERSITAS BANGKA BELITUNG</x:v>
      </x:c>
      <x:c r="D885" s="66" t="str">
        <x:v>PTN Akademik</x:v>
      </x:c>
      <x:c r="E885" s="66" t="str">
        <x:v>11813021</x:v>
      </x:c>
      <x:c r="F885" s="66" t="str">
        <x:v>KEPERAWATAN</x:v>
      </x:c>
      <x:c r="G885" s="66" t="str">
        <x:v>Diploma Tiga</x:v>
      </x:c>
      <x:c r="H885" s="87" t="n">
        <x:v>36</x:v>
      </x:c>
      <x:c r="I885" s="87" t="n">
        <x:v>329</x:v>
      </x:c>
      <x:c r="J885" s="68" t="n">
        <x:f>IFERROR(H885/I885,"")</x:f>
        <x:v>0.1094224924012158</x:v>
      </x:c>
      <x:c r="K885" s="69" t="n">
        <x:f>IFERROR(I885/H885,"")</x:f>
        <x:v>9.13888888888889</x:v>
      </x:c>
      <x:c r="L885" s="66" t="str">
        <x:f>IF(K885="","","1 : "&amp;TEXT(K885,"0.0"))</x:f>
        <x:v>1 : 9.1</x:v>
      </x:c>
      <x:c r="M885" s="66" t="str">
        <x:f>IF(J885="","Baru/Tanpa Data",IF(J885&lt;='Catatan &amp; Sumber'!$B$14,"Sangat Ketat",IF(J885&lt;='Catatan &amp; Sumber'!$B$15,"Ketat",IF(J885&lt;='Catatan &amp; Sumber'!$B$16,"Sedang","Relatif Longgar"))))</x:f>
        <x:v>Relatif Longgar</x:v>
      </x:c>
      <x:c r="N885" s="66" t="str">
        <x:v>Tidak Ada</x:v>
      </x:c>
      <x:c r="O885" s="66" t="str">
        <x:v>Kepulauan Bangka Belitung</x:v>
      </x:c>
      <x:c r="P885" s="66" t="str">
        <x:v>Kabupaten Bangka</x:v>
      </x:c>
      <x:c r="Q885" s="66" t="str">
        <x:v>https://snpmb.id/snbp/daya-tampung-snbp</x:v>
      </x:c>
      <x:c r="R885" s="66" t="str">
        <x:v>https://sidatagrun-public-1076756628210.asia-southeast2.run.app/ptn_sn.php?ptn=181</x:v>
      </x:c>
    </x:row>
    <x:row r="886">
      <x:c r="A886" s="87" t="n">
        <x:v>1567</x:v>
      </x:c>
      <x:c r="B886" s="87" t="n">
        <x:v>191</x:v>
      </x:c>
      <x:c r="C886" s="66" t="str">
        <x:v>UNIVERSITAS LAMPUNG</x:v>
      </x:c>
      <x:c r="D886" s="66" t="str">
        <x:v>PTN Akademik</x:v>
      </x:c>
      <x:c r="E886" s="66" t="str">
        <x:v>11911001</x:v>
      </x:c>
      <x:c r="F886" s="66" t="str">
        <x:v>AGROTEKNOLOGI</x:v>
      </x:c>
      <x:c r="G886" s="66" t="str">
        <x:v>Sarjana</x:v>
      </x:c>
      <x:c r="H886" s="87" t="n">
        <x:v>30</x:v>
      </x:c>
      <x:c r="I886" s="87" t="n">
        <x:v>263</x:v>
      </x:c>
      <x:c r="J886" s="68" t="n">
        <x:f>IFERROR(H886/I886,"")</x:f>
        <x:v>0.11406844106463879</x:v>
      </x:c>
      <x:c r="K886" s="69" t="n">
        <x:f>IFERROR(I886/H886,"")</x:f>
        <x:v>8.766666666666667</x:v>
      </x:c>
      <x:c r="L886" s="66" t="str">
        <x:f>IF(K886="","","1 : "&amp;TEXT(K886,"0.0"))</x:f>
        <x:v>1 : 8.8</x:v>
      </x:c>
      <x:c r="M886" s="66" t="str">
        <x:f>IF(J886="","Baru/Tanpa Data",IF(J886&lt;='Catatan &amp; Sumber'!$B$14,"Sangat Ketat",IF(J886&lt;='Catatan &amp; Sumber'!$B$15,"Ketat",IF(J886&lt;='Catatan &amp; Sumber'!$B$16,"Sedang","Relatif Longgar"))))</x:f>
        <x:v>Relatif Longgar</x:v>
      </x:c>
      <x:c r="N886" s="66" t="str">
        <x:v>Tidak Ada</x:v>
      </x:c>
      <x:c r="O886" s="66" t="str">
        <x:v>Lampung</x:v>
      </x:c>
      <x:c r="P886" s="66" t="str">
        <x:v>Kota Bandar Lampung</x:v>
      </x:c>
      <x:c r="Q886" s="66" t="str">
        <x:v>https://snpmb.id/snbp/daya-tampung-snbp</x:v>
      </x:c>
      <x:c r="R886" s="66" t="str">
        <x:v>https://sidatagrun-public-1076756628210.asia-southeast2.run.app/ptn_sn.php?ptn=191</x:v>
      </x:c>
    </x:row>
    <x:row r="887">
      <x:c r="A887" s="87" t="n">
        <x:v>818</x:v>
      </x:c>
      <x:c r="B887" s="87" t="n">
        <x:v>191</x:v>
      </x:c>
      <x:c r="C887" s="66" t="str">
        <x:v>UNIVERSITAS LAMPUNG</x:v>
      </x:c>
      <x:c r="D887" s="66" t="str">
        <x:v>PTN Akademik</x:v>
      </x:c>
      <x:c r="E887" s="66" t="str">
        <x:v>11911002</x:v>
      </x:c>
      <x:c r="F887" s="66" t="str">
        <x:v>AGRIBISNIS</x:v>
      </x:c>
      <x:c r="G887" s="66" t="str">
        <x:v>Sarjana</x:v>
      </x:c>
      <x:c r="H887" s="87" t="n">
        <x:v>30</x:v>
      </x:c>
      <x:c r="I887" s="87" t="n">
        <x:v>444</x:v>
      </x:c>
      <x:c r="J887" s="68" t="n">
        <x:f>IFERROR(H887/I887,"")</x:f>
        <x:v>0.06756756756756757</x:v>
      </x:c>
      <x:c r="K887" s="69" t="n">
        <x:f>IFERROR(I887/H887,"")</x:f>
        <x:v>14.8</x:v>
      </x:c>
      <x:c r="L887" s="66" t="str">
        <x:f>IF(K887="","","1 : "&amp;TEXT(K887,"0.0"))</x:f>
        <x:v>1 : 14.8</x:v>
      </x:c>
      <x:c r="M887" s="66" t="str">
        <x:f>IF(J887="","Baru/Tanpa Data",IF(J887&lt;='Catatan &amp; Sumber'!$B$14,"Sangat Ketat",IF(J887&lt;='Catatan &amp; Sumber'!$B$15,"Ketat",IF(J887&lt;='Catatan &amp; Sumber'!$B$16,"Sedang","Relatif Longgar"))))</x:f>
        <x:v>Sedang</x:v>
      </x:c>
      <x:c r="N887" s="66" t="str">
        <x:v>Tidak Ada</x:v>
      </x:c>
      <x:c r="O887" s="66" t="str">
        <x:v>Lampung</x:v>
      </x:c>
      <x:c r="P887" s="66" t="str">
        <x:v>Kota Bandar Lampung</x:v>
      </x:c>
      <x:c r="Q887" s="66" t="str">
        <x:v>https://snpmb.id/snbp/daya-tampung-snbp</x:v>
      </x:c>
      <x:c r="R887" s="66" t="str">
        <x:v>https://sidatagrun-public-1076756628210.asia-southeast2.run.app/ptn_sn.php?ptn=191</x:v>
      </x:c>
    </x:row>
    <x:row r="888">
      <x:c r="A888" s="87" t="n">
        <x:v>3012</x:v>
      </x:c>
      <x:c r="B888" s="87" t="n">
        <x:v>191</x:v>
      </x:c>
      <x:c r="C888" s="66" t="str">
        <x:v>UNIVERSITAS LAMPUNG</x:v>
      </x:c>
      <x:c r="D888" s="66" t="str">
        <x:v>PTN Akademik</x:v>
      </x:c>
      <x:c r="E888" s="66" t="str">
        <x:v>11911003</x:v>
      </x:c>
      <x:c r="F888" s="66" t="str">
        <x:v>TEKNIK GEOFISIKA</x:v>
      </x:c>
      <x:c r="G888" s="66" t="str">
        <x:v>Sarjana</x:v>
      </x:c>
      <x:c r="H888" s="87" t="n">
        <x:v>36</x:v>
      </x:c>
      <x:c r="I888" s="87" t="n">
        <x:v>121</x:v>
      </x:c>
      <x:c r="J888" s="68" t="n">
        <x:f>IFERROR(H888/I888,"")</x:f>
        <x:v>0.2975206611570248</x:v>
      </x:c>
      <x:c r="K888" s="69" t="n">
        <x:f>IFERROR(I888/H888,"")</x:f>
        <x:v>3.361111111111111</x:v>
      </x:c>
      <x:c r="L888" s="66" t="str">
        <x:f>IF(K888="","","1 : "&amp;TEXT(K888,"0.0"))</x:f>
        <x:v>1 : 3.4</x:v>
      </x:c>
      <x:c r="M888" s="66" t="str">
        <x:f>IF(J888="","Baru/Tanpa Data",IF(J888&lt;='Catatan &amp; Sumber'!$B$14,"Sangat Ketat",IF(J888&lt;='Catatan &amp; Sumber'!$B$15,"Ketat",IF(J888&lt;='Catatan &amp; Sumber'!$B$16,"Sedang","Relatif Longgar"))))</x:f>
        <x:v>Relatif Longgar</x:v>
      </x:c>
      <x:c r="N888" s="66" t="str">
        <x:v>Tidak Ada</x:v>
      </x:c>
      <x:c r="O888" s="66" t="str">
        <x:v>Lampung</x:v>
      </x:c>
      <x:c r="P888" s="66" t="str">
        <x:v>Kota Bandar Lampung</x:v>
      </x:c>
      <x:c r="Q888" s="66" t="str">
        <x:v>https://snpmb.id/snbp/daya-tampung-snbp</x:v>
      </x:c>
      <x:c r="R888" s="66" t="str">
        <x:v>https://sidatagrun-public-1076756628210.asia-southeast2.run.app/ptn_sn.php?ptn=191</x:v>
      </x:c>
    </x:row>
    <x:row r="889">
      <x:c r="A889" s="87" t="n">
        <x:v>1678</x:v>
      </x:c>
      <x:c r="B889" s="87" t="n">
        <x:v>191</x:v>
      </x:c>
      <x:c r="C889" s="66" t="str">
        <x:v>UNIVERSITAS LAMPUNG</x:v>
      </x:c>
      <x:c r="D889" s="66" t="str">
        <x:v>PTN Akademik</x:v>
      </x:c>
      <x:c r="E889" s="66" t="str">
        <x:v>11911004</x:v>
      </x:c>
      <x:c r="F889" s="66" t="str">
        <x:v>TEKNIK SIPIL</x:v>
      </x:c>
      <x:c r="G889" s="66" t="str">
        <x:v>Sarjana</x:v>
      </x:c>
      <x:c r="H889" s="87" t="n">
        <x:v>54</x:v>
      </x:c>
      <x:c r="I889" s="87" t="n">
        <x:v>442</x:v>
      </x:c>
      <x:c r="J889" s="68" t="n">
        <x:f>IFERROR(H889/I889,"")</x:f>
        <x:v>0.12217194570135746</x:v>
      </x:c>
      <x:c r="K889" s="69" t="n">
        <x:f>IFERROR(I889/H889,"")</x:f>
        <x:v>8.185185185185185</x:v>
      </x:c>
      <x:c r="L889" s="66" t="str">
        <x:f>IF(K889="","","1 : "&amp;TEXT(K889,"0.0"))</x:f>
        <x:v>1 : 8.2</x:v>
      </x:c>
      <x:c r="M889" s="66" t="str">
        <x:f>IF(J889="","Baru/Tanpa Data",IF(J889&lt;='Catatan &amp; Sumber'!$B$14,"Sangat Ketat",IF(J889&lt;='Catatan &amp; Sumber'!$B$15,"Ketat",IF(J889&lt;='Catatan &amp; Sumber'!$B$16,"Sedang","Relatif Longgar"))))</x:f>
        <x:v>Relatif Longgar</x:v>
      </x:c>
      <x:c r="N889" s="66" t="str">
        <x:v>Tidak Ada</x:v>
      </x:c>
      <x:c r="O889" s="66" t="str">
        <x:v>Lampung</x:v>
      </x:c>
      <x:c r="P889" s="66" t="str">
        <x:v>Kota Bandar Lampung</x:v>
      </x:c>
      <x:c r="Q889" s="66" t="str">
        <x:v>https://snpmb.id/snbp/daya-tampung-snbp</x:v>
      </x:c>
      <x:c r="R889" s="66" t="str">
        <x:v>https://sidatagrun-public-1076756628210.asia-southeast2.run.app/ptn_sn.php?ptn=191</x:v>
      </x:c>
    </x:row>
    <x:row r="890">
      <x:c r="A890" s="87" t="n">
        <x:v>3201</x:v>
      </x:c>
      <x:c r="B890" s="87" t="n">
        <x:v>191</x:v>
      </x:c>
      <x:c r="C890" s="66" t="str">
        <x:v>UNIVERSITAS LAMPUNG</x:v>
      </x:c>
      <x:c r="D890" s="66" t="str">
        <x:v>PTN Akademik</x:v>
      </x:c>
      <x:c r="E890" s="66" t="str">
        <x:v>11911005</x:v>
      </x:c>
      <x:c r="F890" s="66" t="str">
        <x:v>KIMIA</x:v>
      </x:c>
      <x:c r="G890" s="66" t="str">
        <x:v>Sarjana</x:v>
      </x:c>
      <x:c r="H890" s="87" t="n">
        <x:v>55</x:v>
      </x:c>
      <x:c r="I890" s="87" t="n">
        <x:v>161</x:v>
      </x:c>
      <x:c r="J890" s="68" t="n">
        <x:f>IFERROR(H890/I890,"")</x:f>
        <x:v>0.3416149068322981</x:v>
      </x:c>
      <x:c r="K890" s="69" t="n">
        <x:f>IFERROR(I890/H890,"")</x:f>
        <x:v>2.9272727272727272</x:v>
      </x:c>
      <x:c r="L890" s="66" t="str">
        <x:f>IF(K890="","","1 : "&amp;TEXT(K890,"0.0"))</x:f>
        <x:v>1 : 2.9</x:v>
      </x:c>
      <x:c r="M890" s="66" t="str">
        <x:f>IF(J890="","Baru/Tanpa Data",IF(J890&lt;='Catatan &amp; Sumber'!$B$14,"Sangat Ketat",IF(J890&lt;='Catatan &amp; Sumber'!$B$15,"Ketat",IF(J890&lt;='Catatan &amp; Sumber'!$B$16,"Sedang","Relatif Longgar"))))</x:f>
        <x:v>Relatif Longgar</x:v>
      </x:c>
      <x:c r="N890" s="66" t="str">
        <x:v>Tidak Ada</x:v>
      </x:c>
      <x:c r="O890" s="66" t="str">
        <x:v>Lampung</x:v>
      </x:c>
      <x:c r="P890" s="66" t="str">
        <x:v>Kota Bandar Lampung</x:v>
      </x:c>
      <x:c r="Q890" s="66" t="str">
        <x:v>https://snpmb.id/snbp/daya-tampung-snbp</x:v>
      </x:c>
      <x:c r="R890" s="66" t="str">
        <x:v>https://sidatagrun-public-1076756628210.asia-southeast2.run.app/ptn_sn.php?ptn=191</x:v>
      </x:c>
    </x:row>
    <x:row r="891">
      <x:c r="A891" s="87" t="n">
        <x:v>2047</x:v>
      </x:c>
      <x:c r="B891" s="87" t="n">
        <x:v>191</x:v>
      </x:c>
      <x:c r="C891" s="66" t="str">
        <x:v>UNIVERSITAS LAMPUNG</x:v>
      </x:c>
      <x:c r="D891" s="66" t="str">
        <x:v>PTN Akademik</x:v>
      </x:c>
      <x:c r="E891" s="66" t="str">
        <x:v>11911006</x:v>
      </x:c>
      <x:c r="F891" s="66" t="str">
        <x:v>BIOLOGI</x:v>
      </x:c>
      <x:c r="G891" s="66" t="str">
        <x:v>Sarjana</x:v>
      </x:c>
      <x:c r="H891" s="87" t="n">
        <x:v>40</x:v>
      </x:c>
      <x:c r="I891" s="87" t="n">
        <x:v>256</x:v>
      </x:c>
      <x:c r="J891" s="68" t="n">
        <x:f>IFERROR(H891/I891,"")</x:f>
        <x:v>0.15625</x:v>
      </x:c>
      <x:c r="K891" s="69" t="n">
        <x:f>IFERROR(I891/H891,"")</x:f>
        <x:v>6.4</x:v>
      </x:c>
      <x:c r="L891" s="66" t="str">
        <x:f>IF(K891="","","1 : "&amp;TEXT(K891,"0.0"))</x:f>
        <x:v>1 : 6.4</x:v>
      </x:c>
      <x:c r="M891" s="66" t="str">
        <x:f>IF(J891="","Baru/Tanpa Data",IF(J891&lt;='Catatan &amp; Sumber'!$B$14,"Sangat Ketat",IF(J891&lt;='Catatan &amp; Sumber'!$B$15,"Ketat",IF(J891&lt;='Catatan &amp; Sumber'!$B$16,"Sedang","Relatif Longgar"))))</x:f>
        <x:v>Relatif Longgar</x:v>
      </x:c>
      <x:c r="N891" s="66" t="str">
        <x:v>Tidak Ada</x:v>
      </x:c>
      <x:c r="O891" s="66" t="str">
        <x:v>Lampung</x:v>
      </x:c>
      <x:c r="P891" s="66" t="str">
        <x:v>Kota Bandar Lampung</x:v>
      </x:c>
      <x:c r="Q891" s="66" t="str">
        <x:v>https://snpmb.id/snbp/daya-tampung-snbp</x:v>
      </x:c>
      <x:c r="R891" s="66" t="str">
        <x:v>https://sidatagrun-public-1076756628210.asia-southeast2.run.app/ptn_sn.php?ptn=191</x:v>
      </x:c>
    </x:row>
    <x:row r="892">
      <x:c r="A892" s="87" t="n">
        <x:v>2451</x:v>
      </x:c>
      <x:c r="B892" s="87" t="n">
        <x:v>191</x:v>
      </x:c>
      <x:c r="C892" s="66" t="str">
        <x:v>UNIVERSITAS LAMPUNG</x:v>
      </x:c>
      <x:c r="D892" s="66" t="str">
        <x:v>PTN Akademik</x:v>
      </x:c>
      <x:c r="E892" s="66" t="str">
        <x:v>11911007</x:v>
      </x:c>
      <x:c r="F892" s="66" t="str">
        <x:v>TEKNOLOGI HASIL PERTANIAN</x:v>
      </x:c>
      <x:c r="G892" s="66" t="str">
        <x:v>Sarjana</x:v>
      </x:c>
      <x:c r="H892" s="87" t="n">
        <x:v>45</x:v>
      </x:c>
      <x:c r="I892" s="87" t="n">
        <x:v>222</x:v>
      </x:c>
      <x:c r="J892" s="68" t="n">
        <x:f>IFERROR(H892/I892,"")</x:f>
        <x:v>0.20270270270270271</x:v>
      </x:c>
      <x:c r="K892" s="69" t="n">
        <x:f>IFERROR(I892/H892,"")</x:f>
        <x:v>4.933333333333334</x:v>
      </x:c>
      <x:c r="L892" s="66" t="str">
        <x:f>IF(K892="","","1 : "&amp;TEXT(K892,"0.0"))</x:f>
        <x:v>1 : 4.9</x:v>
      </x:c>
      <x:c r="M892" s="66" t="str">
        <x:f>IF(J892="","Baru/Tanpa Data",IF(J892&lt;='Catatan &amp; Sumber'!$B$14,"Sangat Ketat",IF(J892&lt;='Catatan &amp; Sumber'!$B$15,"Ketat",IF(J892&lt;='Catatan &amp; Sumber'!$B$16,"Sedang","Relatif Longgar"))))</x:f>
        <x:v>Relatif Longgar</x:v>
      </x:c>
      <x:c r="N892" s="66" t="str">
        <x:v>Tidak Ada</x:v>
      </x:c>
      <x:c r="O892" s="66" t="str">
        <x:v>Lampung</x:v>
      </x:c>
      <x:c r="P892" s="66" t="str">
        <x:v>Kota Bandar Lampung</x:v>
      </x:c>
      <x:c r="Q892" s="66" t="str">
        <x:v>https://snpmb.id/snbp/daya-tampung-snbp</x:v>
      </x:c>
      <x:c r="R892" s="66" t="str">
        <x:v>https://sidatagrun-public-1076756628210.asia-southeast2.run.app/ptn_sn.php?ptn=191</x:v>
      </x:c>
    </x:row>
    <x:row r="893">
      <x:c r="A893" s="87" t="n">
        <x:v>1747</x:v>
      </x:c>
      <x:c r="B893" s="87" t="n">
        <x:v>191</x:v>
      </x:c>
      <x:c r="C893" s="66" t="str">
        <x:v>UNIVERSITAS LAMPUNG</x:v>
      </x:c>
      <x:c r="D893" s="66" t="str">
        <x:v>PTN Akademik</x:v>
      </x:c>
      <x:c r="E893" s="66" t="str">
        <x:v>11911008</x:v>
      </x:c>
      <x:c r="F893" s="66" t="str">
        <x:v>PETERNAKAN</x:v>
      </x:c>
      <x:c r="G893" s="66" t="str">
        <x:v>Sarjana</x:v>
      </x:c>
      <x:c r="H893" s="87" t="n">
        <x:v>25</x:v>
      </x:c>
      <x:c r="I893" s="87" t="n">
        <x:v>195</x:v>
      </x:c>
      <x:c r="J893" s="68" t="n">
        <x:f>IFERROR(H893/I893,"")</x:f>
        <x:v>0.1282051282051282</x:v>
      </x:c>
      <x:c r="K893" s="69" t="n">
        <x:f>IFERROR(I893/H893,"")</x:f>
        <x:v>7.8</x:v>
      </x:c>
      <x:c r="L893" s="66" t="str">
        <x:f>IF(K893="","","1 : "&amp;TEXT(K893,"0.0"))</x:f>
        <x:v>1 : 7.8</x:v>
      </x:c>
      <x:c r="M893" s="66" t="str">
        <x:f>IF(J893="","Baru/Tanpa Data",IF(J893&lt;='Catatan &amp; Sumber'!$B$14,"Sangat Ketat",IF(J893&lt;='Catatan &amp; Sumber'!$B$15,"Ketat",IF(J893&lt;='Catatan &amp; Sumber'!$B$16,"Sedang","Relatif Longgar"))))</x:f>
        <x:v>Relatif Longgar</x:v>
      </x:c>
      <x:c r="N893" s="66" t="str">
        <x:v>Tidak Ada</x:v>
      </x:c>
      <x:c r="O893" s="66" t="str">
        <x:v>Lampung</x:v>
      </x:c>
      <x:c r="P893" s="66" t="str">
        <x:v>Kota Bandar Lampung</x:v>
      </x:c>
      <x:c r="Q893" s="66" t="str">
        <x:v>https://snpmb.id/snbp/daya-tampung-snbp</x:v>
      </x:c>
      <x:c r="R893" s="66" t="str">
        <x:v>https://sidatagrun-public-1076756628210.asia-southeast2.run.app/ptn_sn.php?ptn=191</x:v>
      </x:c>
    </x:row>
    <x:row r="894">
      <x:c r="A894" s="87" t="n">
        <x:v>2199</x:v>
      </x:c>
      <x:c r="B894" s="87" t="n">
        <x:v>191</x:v>
      </x:c>
      <x:c r="C894" s="66" t="str">
        <x:v>UNIVERSITAS LAMPUNG</x:v>
      </x:c>
      <x:c r="D894" s="66" t="str">
        <x:v>PTN Akademik</x:v>
      </x:c>
      <x:c r="E894" s="66" t="str">
        <x:v>11911009</x:v>
      </x:c>
      <x:c r="F894" s="66" t="str">
        <x:v>KEHUTANAN</x:v>
      </x:c>
      <x:c r="G894" s="66" t="str">
        <x:v>Sarjana</x:v>
      </x:c>
      <x:c r="H894" s="87" t="n">
        <x:v>36</x:v>
      </x:c>
      <x:c r="I894" s="87" t="n">
        <x:v>210</x:v>
      </x:c>
      <x:c r="J894" s="68" t="n">
        <x:f>IFERROR(H894/I894,"")</x:f>
        <x:v>0.17142857142857143</x:v>
      </x:c>
      <x:c r="K894" s="69" t="n">
        <x:f>IFERROR(I894/H894,"")</x:f>
        <x:v>5.833333333333333</x:v>
      </x:c>
      <x:c r="L894" s="66" t="str">
        <x:f>IF(K894="","","1 : "&amp;TEXT(K894,"0.0"))</x:f>
        <x:v>1 : 5.8</x:v>
      </x:c>
      <x:c r="M894" s="66" t="str">
        <x:f>IF(J894="","Baru/Tanpa Data",IF(J894&lt;='Catatan &amp; Sumber'!$B$14,"Sangat Ketat",IF(J894&lt;='Catatan &amp; Sumber'!$B$15,"Ketat",IF(J894&lt;='Catatan &amp; Sumber'!$B$16,"Sedang","Relatif Longgar"))))</x:f>
        <x:v>Relatif Longgar</x:v>
      </x:c>
      <x:c r="N894" s="66" t="str">
        <x:v>Tidak Ada</x:v>
      </x:c>
      <x:c r="O894" s="66" t="str">
        <x:v>Lampung</x:v>
      </x:c>
      <x:c r="P894" s="66" t="str">
        <x:v>Kota Bandar Lampung</x:v>
      </x:c>
      <x:c r="Q894" s="66" t="str">
        <x:v>https://snpmb.id/snbp/daya-tampung-snbp</x:v>
      </x:c>
      <x:c r="R894" s="66" t="str">
        <x:v>https://sidatagrun-public-1076756628210.asia-southeast2.run.app/ptn_sn.php?ptn=191</x:v>
      </x:c>
    </x:row>
    <x:row r="895">
      <x:c r="A895" s="87" t="n">
        <x:v>2121</x:v>
      </x:c>
      <x:c r="B895" s="87" t="n">
        <x:v>191</x:v>
      </x:c>
      <x:c r="C895" s="66" t="str">
        <x:v>UNIVERSITAS LAMPUNG</x:v>
      </x:c>
      <x:c r="D895" s="66" t="str">
        <x:v>PTN Akademik</x:v>
      </x:c>
      <x:c r="E895" s="66" t="str">
        <x:v>11911010</x:v>
      </x:c>
      <x:c r="F895" s="66" t="str">
        <x:v>TEKNIK PERTANIAN</x:v>
      </x:c>
      <x:c r="G895" s="66" t="str">
        <x:v>Sarjana</x:v>
      </x:c>
      <x:c r="H895" s="87" t="n">
        <x:v>40</x:v>
      </x:c>
      <x:c r="I895" s="87" t="n">
        <x:v>244</x:v>
      </x:c>
      <x:c r="J895" s="68" t="n">
        <x:f>IFERROR(H895/I895,"")</x:f>
        <x:v>0.16393442622950818</x:v>
      </x:c>
      <x:c r="K895" s="69" t="n">
        <x:f>IFERROR(I895/H895,"")</x:f>
        <x:v>6.1</x:v>
      </x:c>
      <x:c r="L895" s="66" t="str">
        <x:f>IF(K895="","","1 : "&amp;TEXT(K895,"0.0"))</x:f>
        <x:v>1 : 6.1</x:v>
      </x:c>
      <x:c r="M895" s="66" t="str">
        <x:f>IF(J895="","Baru/Tanpa Data",IF(J895&lt;='Catatan &amp; Sumber'!$B$14,"Sangat Ketat",IF(J895&lt;='Catatan &amp; Sumber'!$B$15,"Ketat",IF(J895&lt;='Catatan &amp; Sumber'!$B$16,"Sedang","Relatif Longgar"))))</x:f>
        <x:v>Relatif Longgar</x:v>
      </x:c>
      <x:c r="N895" s="66" t="str">
        <x:v>Tidak Ada</x:v>
      </x:c>
      <x:c r="O895" s="66" t="str">
        <x:v>Lampung</x:v>
      </x:c>
      <x:c r="P895" s="66" t="str">
        <x:v>Kota Bandar Lampung</x:v>
      </x:c>
      <x:c r="Q895" s="66" t="str">
        <x:v>https://snpmb.id/snbp/daya-tampung-snbp</x:v>
      </x:c>
      <x:c r="R895" s="66" t="str">
        <x:v>https://sidatagrun-public-1076756628210.asia-southeast2.run.app/ptn_sn.php?ptn=191</x:v>
      </x:c>
    </x:row>
    <x:row r="896">
      <x:c r="A896" s="87" t="n">
        <x:v>3053</x:v>
      </x:c>
      <x:c r="B896" s="87" t="n">
        <x:v>191</x:v>
      </x:c>
      <x:c r="C896" s="66" t="str">
        <x:v>UNIVERSITAS LAMPUNG</x:v>
      </x:c>
      <x:c r="D896" s="66" t="str">
        <x:v>PTN Akademik</x:v>
      </x:c>
      <x:c r="E896" s="66" t="str">
        <x:v>11911011</x:v>
      </x:c>
      <x:c r="F896" s="66" t="str">
        <x:v>MATEMATIKA</x:v>
      </x:c>
      <x:c r="G896" s="66" t="str">
        <x:v>Sarjana</x:v>
      </x:c>
      <x:c r="H896" s="87" t="n">
        <x:v>55</x:v>
      </x:c>
      <x:c r="I896" s="87" t="n">
        <x:v>181</x:v>
      </x:c>
      <x:c r="J896" s="68" t="n">
        <x:f>IFERROR(H896/I896,"")</x:f>
        <x:v>0.30386740331491713</x:v>
      </x:c>
      <x:c r="K896" s="69" t="n">
        <x:f>IFERROR(I896/H896,"")</x:f>
        <x:v>3.290909090909091</x:v>
      </x:c>
      <x:c r="L896" s="66" t="str">
        <x:f>IF(K896="","","1 : "&amp;TEXT(K896,"0.0"))</x:f>
        <x:v>1 : 3.3</x:v>
      </x:c>
      <x:c r="M896" s="66" t="str">
        <x:f>IF(J896="","Baru/Tanpa Data",IF(J896&lt;='Catatan &amp; Sumber'!$B$14,"Sangat Ketat",IF(J896&lt;='Catatan &amp; Sumber'!$B$15,"Ketat",IF(J896&lt;='Catatan &amp; Sumber'!$B$16,"Sedang","Relatif Longgar"))))</x:f>
        <x:v>Relatif Longgar</x:v>
      </x:c>
      <x:c r="N896" s="66" t="str">
        <x:v>Tidak Ada</x:v>
      </x:c>
      <x:c r="O896" s="66" t="str">
        <x:v>Lampung</x:v>
      </x:c>
      <x:c r="P896" s="66" t="str">
        <x:v>Kota Bandar Lampung</x:v>
      </x:c>
      <x:c r="Q896" s="66" t="str">
        <x:v>https://snpmb.id/snbp/daya-tampung-snbp</x:v>
      </x:c>
      <x:c r="R896" s="66" t="str">
        <x:v>https://sidatagrun-public-1076756628210.asia-southeast2.run.app/ptn_sn.php?ptn=191</x:v>
      </x:c>
    </x:row>
    <x:row r="897">
      <x:c r="A897" s="87" t="n">
        <x:v>3899</x:v>
      </x:c>
      <x:c r="B897" s="87" t="n">
        <x:v>191</x:v>
      </x:c>
      <x:c r="C897" s="66" t="str">
        <x:v>UNIVERSITAS LAMPUNG</x:v>
      </x:c>
      <x:c r="D897" s="66" t="str">
        <x:v>PTN Akademik</x:v>
      </x:c>
      <x:c r="E897" s="66" t="str">
        <x:v>11911012</x:v>
      </x:c>
      <x:c r="F897" s="66" t="str">
        <x:v>FISIKA</x:v>
      </x:c>
      <x:c r="G897" s="66" t="str">
        <x:v>Sarjana</x:v>
      </x:c>
      <x:c r="H897" s="87" t="n">
        <x:v>65</x:v>
      </x:c>
      <x:c r="I897" s="87" t="n">
        <x:v>104</x:v>
      </x:c>
      <x:c r="J897" s="68" t="n">
        <x:f>IFERROR(H897/I897,"")</x:f>
        <x:v>0.625</x:v>
      </x:c>
      <x:c r="K897" s="69" t="n">
        <x:f>IFERROR(I897/H897,"")</x:f>
        <x:v>1.6</x:v>
      </x:c>
      <x:c r="L897" s="66" t="str">
        <x:f>IF(K897="","","1 : "&amp;TEXT(K897,"0.0"))</x:f>
        <x:v>1 : 1.6</x:v>
      </x:c>
      <x:c r="M897" s="66" t="str">
        <x:f>IF(J897="","Baru/Tanpa Data",IF(J897&lt;='Catatan &amp; Sumber'!$B$14,"Sangat Ketat",IF(J897&lt;='Catatan &amp; Sumber'!$B$15,"Ketat",IF(J897&lt;='Catatan &amp; Sumber'!$B$16,"Sedang","Relatif Longgar"))))</x:f>
        <x:v>Relatif Longgar</x:v>
      </x:c>
      <x:c r="N897" s="66" t="str">
        <x:v>Tidak Ada</x:v>
      </x:c>
      <x:c r="O897" s="66" t="str">
        <x:v>Lampung</x:v>
      </x:c>
      <x:c r="P897" s="66" t="str">
        <x:v>Kota Bandar Lampung</x:v>
      </x:c>
      <x:c r="Q897" s="66" t="str">
        <x:v>https://snpmb.id/snbp/daya-tampung-snbp</x:v>
      </x:c>
      <x:c r="R897" s="66" t="str">
        <x:v>https://sidatagrun-public-1076756628210.asia-southeast2.run.app/ptn_sn.php?ptn=191</x:v>
      </x:c>
    </x:row>
    <x:row r="898">
      <x:c r="A898" s="87" t="n">
        <x:v>2293</x:v>
      </x:c>
      <x:c r="B898" s="87" t="n">
        <x:v>191</x:v>
      </x:c>
      <x:c r="C898" s="66" t="str">
        <x:v>UNIVERSITAS LAMPUNG</x:v>
      </x:c>
      <x:c r="D898" s="66" t="str">
        <x:v>PTN Akademik</x:v>
      </x:c>
      <x:c r="E898" s="66" t="str">
        <x:v>11911013</x:v>
      </x:c>
      <x:c r="F898" s="66" t="str">
        <x:v>TEKNIK MESIN</x:v>
      </x:c>
      <x:c r="G898" s="66" t="str">
        <x:v>Sarjana</x:v>
      </x:c>
      <x:c r="H898" s="87" t="n">
        <x:v>42</x:v>
      </x:c>
      <x:c r="I898" s="87" t="n">
        <x:v>230</x:v>
      </x:c>
      <x:c r="J898" s="68" t="n">
        <x:f>IFERROR(H898/I898,"")</x:f>
        <x:v>0.1826086956521739</x:v>
      </x:c>
      <x:c r="K898" s="69" t="n">
        <x:f>IFERROR(I898/H898,"")</x:f>
        <x:v>5.476190476190476</x:v>
      </x:c>
      <x:c r="L898" s="66" t="str">
        <x:f>IF(K898="","","1 : "&amp;TEXT(K898,"0.0"))</x:f>
        <x:v>1 : 5.5</x:v>
      </x:c>
      <x:c r="M898" s="66" t="str">
        <x:f>IF(J898="","Baru/Tanpa Data",IF(J898&lt;='Catatan &amp; Sumber'!$B$14,"Sangat Ketat",IF(J898&lt;='Catatan &amp; Sumber'!$B$15,"Ketat",IF(J898&lt;='Catatan &amp; Sumber'!$B$16,"Sedang","Relatif Longgar"))))</x:f>
        <x:v>Relatif Longgar</x:v>
      </x:c>
      <x:c r="N898" s="66" t="str">
        <x:v>Tidak Ada</x:v>
      </x:c>
      <x:c r="O898" s="66" t="str">
        <x:v>Lampung</x:v>
      </x:c>
      <x:c r="P898" s="66" t="str">
        <x:v>Kota Bandar Lampung</x:v>
      </x:c>
      <x:c r="Q898" s="66" t="str">
        <x:v>https://snpmb.id/snbp/daya-tampung-snbp</x:v>
      </x:c>
      <x:c r="R898" s="66" t="str">
        <x:v>https://sidatagrun-public-1076756628210.asia-southeast2.run.app/ptn_sn.php?ptn=191</x:v>
      </x:c>
    </x:row>
    <x:row r="899">
      <x:c r="A899" s="87" t="n">
        <x:v>2479</x:v>
      </x:c>
      <x:c r="B899" s="87" t="n">
        <x:v>191</x:v>
      </x:c>
      <x:c r="C899" s="66" t="str">
        <x:v>UNIVERSITAS LAMPUNG</x:v>
      </x:c>
      <x:c r="D899" s="66" t="str">
        <x:v>PTN Akademik</x:v>
      </x:c>
      <x:c r="E899" s="66" t="str">
        <x:v>11911014</x:v>
      </x:c>
      <x:c r="F899" s="66" t="str">
        <x:v>TEKNIK ELEKTRO</x:v>
      </x:c>
      <x:c r="G899" s="66" t="str">
        <x:v>Sarjana</x:v>
      </x:c>
      <x:c r="H899" s="87" t="n">
        <x:v>54</x:v>
      </x:c>
      <x:c r="I899" s="87" t="n">
        <x:v>260</x:v>
      </x:c>
      <x:c r="J899" s="68" t="n">
        <x:f>IFERROR(H899/I899,"")</x:f>
        <x:v>0.2076923076923077</x:v>
      </x:c>
      <x:c r="K899" s="69" t="n">
        <x:f>IFERROR(I899/H899,"")</x:f>
        <x:v>4.814814814814815</x:v>
      </x:c>
      <x:c r="L899" s="66" t="str">
        <x:f>IF(K899="","","1 : "&amp;TEXT(K899,"0.0"))</x:f>
        <x:v>1 : 4.8</x:v>
      </x:c>
      <x:c r="M899" s="66" t="str">
        <x:f>IF(J899="","Baru/Tanpa Data",IF(J899&lt;='Catatan &amp; Sumber'!$B$14,"Sangat Ketat",IF(J899&lt;='Catatan &amp; Sumber'!$B$15,"Ketat",IF(J899&lt;='Catatan &amp; Sumber'!$B$16,"Sedang","Relatif Longgar"))))</x:f>
        <x:v>Relatif Longgar</x:v>
      </x:c>
      <x:c r="N899" s="66" t="str">
        <x:v>Tidak Ada</x:v>
      </x:c>
      <x:c r="O899" s="66" t="str">
        <x:v>Lampung</x:v>
      </x:c>
      <x:c r="P899" s="66" t="str">
        <x:v>Kota Bandar Lampung</x:v>
      </x:c>
      <x:c r="Q899" s="66" t="str">
        <x:v>https://snpmb.id/snbp/daya-tampung-snbp</x:v>
      </x:c>
      <x:c r="R899" s="66" t="str">
        <x:v>https://sidatagrun-public-1076756628210.asia-southeast2.run.app/ptn_sn.php?ptn=191</x:v>
      </x:c>
    </x:row>
    <x:row r="900">
      <x:c r="A900" s="87" t="n">
        <x:v>1059</x:v>
      </x:c>
      <x:c r="B900" s="87" t="n">
        <x:v>191</x:v>
      </x:c>
      <x:c r="C900" s="66" t="str">
        <x:v>UNIVERSITAS LAMPUNG</x:v>
      </x:c>
      <x:c r="D900" s="66" t="str">
        <x:v>PTN Akademik</x:v>
      </x:c>
      <x:c r="E900" s="66" t="str">
        <x:v>11911015</x:v>
      </x:c>
      <x:c r="F900" s="66" t="str">
        <x:v>PEND. MATEMATIKA</x:v>
      </x:c>
      <x:c r="G900" s="66" t="str">
        <x:v>Sarjana</x:v>
      </x:c>
      <x:c r="H900" s="87" t="n">
        <x:v>35</x:v>
      </x:c>
      <x:c r="I900" s="87" t="n">
        <x:v>429</x:v>
      </x:c>
      <x:c r="J900" s="68" t="n">
        <x:f>IFERROR(H900/I900,"")</x:f>
        <x:v>0.08158508158508158</x:v>
      </x:c>
      <x:c r="K900" s="69" t="n">
        <x:f>IFERROR(I900/H900,"")</x:f>
        <x:v>12.257142857142858</x:v>
      </x:c>
      <x:c r="L900" s="66" t="str">
        <x:f>IF(K900="","","1 : "&amp;TEXT(K900,"0.0"))</x:f>
        <x:v>1 : 12.3</x:v>
      </x:c>
      <x:c r="M900" s="66" t="str">
        <x:f>IF(J900="","Baru/Tanpa Data",IF(J900&lt;='Catatan &amp; Sumber'!$B$14,"Sangat Ketat",IF(J900&lt;='Catatan &amp; Sumber'!$B$15,"Ketat",IF(J900&lt;='Catatan &amp; Sumber'!$B$16,"Sedang","Relatif Longgar"))))</x:f>
        <x:v>Sedang</x:v>
      </x:c>
      <x:c r="N900" s="66" t="str">
        <x:v>Tidak Ada</x:v>
      </x:c>
      <x:c r="O900" s="66" t="str">
        <x:v>Lampung</x:v>
      </x:c>
      <x:c r="P900" s="66" t="str">
        <x:v>Kota Bandar Lampung</x:v>
      </x:c>
      <x:c r="Q900" s="66" t="str">
        <x:v>https://snpmb.id/snbp/daya-tampung-snbp</x:v>
      </x:c>
      <x:c r="R900" s="66" t="str">
        <x:v>https://sidatagrun-public-1076756628210.asia-southeast2.run.app/ptn_sn.php?ptn=191</x:v>
      </x:c>
    </x:row>
    <x:row r="901">
      <x:c r="A901" s="87" t="n">
        <x:v>2542</x:v>
      </x:c>
      <x:c r="B901" s="87" t="n">
        <x:v>191</x:v>
      </x:c>
      <x:c r="C901" s="66" t="str">
        <x:v>UNIVERSITAS LAMPUNG</x:v>
      </x:c>
      <x:c r="D901" s="66" t="str">
        <x:v>PTN Akademik</x:v>
      </x:c>
      <x:c r="E901" s="66" t="str">
        <x:v>11911016</x:v>
      </x:c>
      <x:c r="F901" s="66" t="str">
        <x:v>PEND. FISIKA</x:v>
      </x:c>
      <x:c r="G901" s="66" t="str">
        <x:v>Sarjana</x:v>
      </x:c>
      <x:c r="H901" s="87" t="n">
        <x:v>35</x:v>
      </x:c>
      <x:c r="I901" s="87" t="n">
        <x:v>160</x:v>
      </x:c>
      <x:c r="J901" s="68" t="n">
        <x:f>IFERROR(H901/I901,"")</x:f>
        <x:v>0.21875</x:v>
      </x:c>
      <x:c r="K901" s="69" t="n">
        <x:f>IFERROR(I901/H901,"")</x:f>
        <x:v>4.571428571428571</x:v>
      </x:c>
      <x:c r="L901" s="66" t="str">
        <x:f>IF(K901="","","1 : "&amp;TEXT(K901,"0.0"))</x:f>
        <x:v>1 : 4.6</x:v>
      </x:c>
      <x:c r="M901" s="66" t="str">
        <x:f>IF(J901="","Baru/Tanpa Data",IF(J901&lt;='Catatan &amp; Sumber'!$B$14,"Sangat Ketat",IF(J901&lt;='Catatan &amp; Sumber'!$B$15,"Ketat",IF(J901&lt;='Catatan &amp; Sumber'!$B$16,"Sedang","Relatif Longgar"))))</x:f>
        <x:v>Relatif Longgar</x:v>
      </x:c>
      <x:c r="N901" s="66" t="str">
        <x:v>Tidak Ada</x:v>
      </x:c>
      <x:c r="O901" s="66" t="str">
        <x:v>Lampung</x:v>
      </x:c>
      <x:c r="P901" s="66" t="str">
        <x:v>Kota Bandar Lampung</x:v>
      </x:c>
      <x:c r="Q901" s="66" t="str">
        <x:v>https://snpmb.id/snbp/daya-tampung-snbp</x:v>
      </x:c>
      <x:c r="R901" s="66" t="str">
        <x:v>https://sidatagrun-public-1076756628210.asia-southeast2.run.app/ptn_sn.php?ptn=191</x:v>
      </x:c>
    </x:row>
    <x:row r="902">
      <x:c r="A902" s="87" t="n">
        <x:v>1505</x:v>
      </x:c>
      <x:c r="B902" s="87" t="n">
        <x:v>191</x:v>
      </x:c>
      <x:c r="C902" s="66" t="str">
        <x:v>UNIVERSITAS LAMPUNG</x:v>
      </x:c>
      <x:c r="D902" s="66" t="str">
        <x:v>PTN Akademik</x:v>
      </x:c>
      <x:c r="E902" s="66" t="str">
        <x:v>11911017</x:v>
      </x:c>
      <x:c r="F902" s="66" t="str">
        <x:v>PEND. KIMIA</x:v>
      </x:c>
      <x:c r="G902" s="66" t="str">
        <x:v>Sarjana</x:v>
      </x:c>
      <x:c r="H902" s="87" t="n">
        <x:v>25</x:v>
      </x:c>
      <x:c r="I902" s="87" t="n">
        <x:v>228</x:v>
      </x:c>
      <x:c r="J902" s="68" t="n">
        <x:f>IFERROR(H902/I902,"")</x:f>
        <x:v>0.10964912280701754</x:v>
      </x:c>
      <x:c r="K902" s="69" t="n">
        <x:f>IFERROR(I902/H902,"")</x:f>
        <x:v>9.12</x:v>
      </x:c>
      <x:c r="L902" s="66" t="str">
        <x:f>IF(K902="","","1 : "&amp;TEXT(K902,"0.0"))</x:f>
        <x:v>1 : 9.1</x:v>
      </x:c>
      <x:c r="M902" s="66" t="str">
        <x:f>IF(J902="","Baru/Tanpa Data",IF(J902&lt;='Catatan &amp; Sumber'!$B$14,"Sangat Ketat",IF(J902&lt;='Catatan &amp; Sumber'!$B$15,"Ketat",IF(J902&lt;='Catatan &amp; Sumber'!$B$16,"Sedang","Relatif Longgar"))))</x:f>
        <x:v>Relatif Longgar</x:v>
      </x:c>
      <x:c r="N902" s="66" t="str">
        <x:v>Tidak Ada</x:v>
      </x:c>
      <x:c r="O902" s="66" t="str">
        <x:v>Lampung</x:v>
      </x:c>
      <x:c r="P902" s="66" t="str">
        <x:v>Kota Bandar Lampung</x:v>
      </x:c>
      <x:c r="Q902" s="66" t="str">
        <x:v>https://snpmb.id/snbp/daya-tampung-snbp</x:v>
      </x:c>
      <x:c r="R902" s="66" t="str">
        <x:v>https://sidatagrun-public-1076756628210.asia-southeast2.run.app/ptn_sn.php?ptn=191</x:v>
      </x:c>
    </x:row>
    <x:row r="903">
      <x:c r="A903" s="87" t="n">
        <x:v>990</x:v>
      </x:c>
      <x:c r="B903" s="87" t="n">
        <x:v>191</x:v>
      </x:c>
      <x:c r="C903" s="66" t="str">
        <x:v>UNIVERSITAS LAMPUNG</x:v>
      </x:c>
      <x:c r="D903" s="66" t="str">
        <x:v>PTN Akademik</x:v>
      </x:c>
      <x:c r="E903" s="66" t="str">
        <x:v>11911018</x:v>
      </x:c>
      <x:c r="F903" s="66" t="str">
        <x:v>PEND. BIOLOGI</x:v>
      </x:c>
      <x:c r="G903" s="66" t="str">
        <x:v>Sarjana</x:v>
      </x:c>
      <x:c r="H903" s="87" t="n">
        <x:v>35</x:v>
      </x:c>
      <x:c r="I903" s="87" t="n">
        <x:v>452</x:v>
      </x:c>
      <x:c r="J903" s="68" t="n">
        <x:f>IFERROR(H903/I903,"")</x:f>
        <x:v>0.07743362831858407</x:v>
      </x:c>
      <x:c r="K903" s="69" t="n">
        <x:f>IFERROR(I903/H903,"")</x:f>
        <x:v>12.914285714285715</x:v>
      </x:c>
      <x:c r="L903" s="66" t="str">
        <x:f>IF(K903="","","1 : "&amp;TEXT(K903,"0.0"))</x:f>
        <x:v>1 : 12.9</x:v>
      </x:c>
      <x:c r="M903" s="66" t="str">
        <x:f>IF(J903="","Baru/Tanpa Data",IF(J903&lt;='Catatan &amp; Sumber'!$B$14,"Sangat Ketat",IF(J903&lt;='Catatan &amp; Sumber'!$B$15,"Ketat",IF(J903&lt;='Catatan &amp; Sumber'!$B$16,"Sedang","Relatif Longgar"))))</x:f>
        <x:v>Sedang</x:v>
      </x:c>
      <x:c r="N903" s="66" t="str">
        <x:v>Tidak Ada</x:v>
      </x:c>
      <x:c r="O903" s="66" t="str">
        <x:v>Lampung</x:v>
      </x:c>
      <x:c r="P903" s="66" t="str">
        <x:v>Kota Bandar Lampung</x:v>
      </x:c>
      <x:c r="Q903" s="66" t="str">
        <x:v>https://snpmb.id/snbp/daya-tampung-snbp</x:v>
      </x:c>
      <x:c r="R903" s="66" t="str">
        <x:v>https://sidatagrun-public-1076756628210.asia-southeast2.run.app/ptn_sn.php?ptn=191</x:v>
      </x:c>
    </x:row>
    <x:row r="904">
      <x:c r="A904" s="87" t="n">
        <x:v>2909</x:v>
      </x:c>
      <x:c r="B904" s="87" t="n">
        <x:v>191</x:v>
      </x:c>
      <x:c r="C904" s="66" t="str">
        <x:v>UNIVERSITAS LAMPUNG</x:v>
      </x:c>
      <x:c r="D904" s="66" t="str">
        <x:v>PTN Akademik</x:v>
      </x:c>
      <x:c r="E904" s="66" t="str">
        <x:v>11911019</x:v>
      </x:c>
      <x:c r="F904" s="66" t="str">
        <x:v>TEKNIK KIMIA</x:v>
      </x:c>
      <x:c r="G904" s="66" t="str">
        <x:v>Sarjana</x:v>
      </x:c>
      <x:c r="H904" s="87" t="n">
        <x:v>45</x:v>
      </x:c>
      <x:c r="I904" s="87" t="n">
        <x:v>163</x:v>
      </x:c>
      <x:c r="J904" s="68" t="n">
        <x:f>IFERROR(H904/I904,"")</x:f>
        <x:v>0.27607361963190186</x:v>
      </x:c>
      <x:c r="K904" s="69" t="n">
        <x:f>IFERROR(I904/H904,"")</x:f>
        <x:v>3.6222222222222222</x:v>
      </x:c>
      <x:c r="L904" s="66" t="str">
        <x:f>IF(K904="","","1 : "&amp;TEXT(K904,"0.0"))</x:f>
        <x:v>1 : 3.6</x:v>
      </x:c>
      <x:c r="M904" s="66" t="str">
        <x:f>IF(J904="","Baru/Tanpa Data",IF(J904&lt;='Catatan &amp; Sumber'!$B$14,"Sangat Ketat",IF(J904&lt;='Catatan &amp; Sumber'!$B$15,"Ketat",IF(J904&lt;='Catatan &amp; Sumber'!$B$16,"Sedang","Relatif Longgar"))))</x:f>
        <x:v>Relatif Longgar</x:v>
      </x:c>
      <x:c r="N904" s="66" t="str">
        <x:v>Tidak Ada</x:v>
      </x:c>
      <x:c r="O904" s="66" t="str">
        <x:v>Lampung</x:v>
      </x:c>
      <x:c r="P904" s="66" t="str">
        <x:v>Kota Bandar Lampung</x:v>
      </x:c>
      <x:c r="Q904" s="66" t="str">
        <x:v>https://snpmb.id/snbp/daya-tampung-snbp</x:v>
      </x:c>
      <x:c r="R904" s="66" t="str">
        <x:v>https://sidatagrun-public-1076756628210.asia-southeast2.run.app/ptn_sn.php?ptn=191</x:v>
      </x:c>
    </x:row>
    <x:row r="905">
      <x:c r="A905" s="87" t="n">
        <x:v>560</x:v>
      </x:c>
      <x:c r="B905" s="87" t="n">
        <x:v>191</x:v>
      </x:c>
      <x:c r="C905" s="66" t="str">
        <x:v>UNIVERSITAS LAMPUNG</x:v>
      </x:c>
      <x:c r="D905" s="66" t="str">
        <x:v>PTN Akademik</x:v>
      </x:c>
      <x:c r="E905" s="66" t="str">
        <x:v>11911020</x:v>
      </x:c>
      <x:c r="F905" s="66" t="str">
        <x:v>PEND. KEDOKTERAN</x:v>
      </x:c>
      <x:c r="G905" s="66" t="str">
        <x:v>Sarjana</x:v>
      </x:c>
      <x:c r="H905" s="87" t="n">
        <x:v>53</x:v>
      </x:c>
      <x:c r="I905" s="87" t="n">
        <x:v>971</x:v>
      </x:c>
      <x:c r="J905" s="68" t="n">
        <x:f>IFERROR(H905/I905,"")</x:f>
        <x:v>0.05458290422245108</x:v>
      </x:c>
      <x:c r="K905" s="69" t="n">
        <x:f>IFERROR(I905/H905,"")</x:f>
        <x:v>18.32075471698113</x:v>
      </x:c>
      <x:c r="L905" s="66" t="str">
        <x:f>IF(K905="","","1 : "&amp;TEXT(K905,"0.0"))</x:f>
        <x:v>1 : 18.3</x:v>
      </x:c>
      <x:c r="M905" s="66" t="str">
        <x:f>IF(J905="","Baru/Tanpa Data",IF(J905&lt;='Catatan &amp; Sumber'!$B$14,"Sangat Ketat",IF(J905&lt;='Catatan &amp; Sumber'!$B$15,"Ketat",IF(J905&lt;='Catatan &amp; Sumber'!$B$16,"Sedang","Relatif Longgar"))))</x:f>
        <x:v>Sedang</x:v>
      </x:c>
      <x:c r="N905" s="66" t="str">
        <x:v>Tidak Ada</x:v>
      </x:c>
      <x:c r="O905" s="66" t="str">
        <x:v>Lampung</x:v>
      </x:c>
      <x:c r="P905" s="66" t="str">
        <x:v>Kota Bandar Lampung</x:v>
      </x:c>
      <x:c r="Q905" s="66" t="str">
        <x:v>https://snpmb.id/snbp/daya-tampung-snbp</x:v>
      </x:c>
      <x:c r="R905" s="66" t="str">
        <x:v>https://sidatagrun-public-1076756628210.asia-southeast2.run.app/ptn_sn.php?ptn=191</x:v>
      </x:c>
    </x:row>
    <x:row r="906">
      <x:c r="A906" s="87" t="n">
        <x:v>3265</x:v>
      </x:c>
      <x:c r="B906" s="87" t="n">
        <x:v>191</x:v>
      </x:c>
      <x:c r="C906" s="66" t="str">
        <x:v>UNIVERSITAS LAMPUNG</x:v>
      </x:c>
      <x:c r="D906" s="66" t="str">
        <x:v>PTN Akademik</x:v>
      </x:c>
      <x:c r="E906" s="66" t="str">
        <x:v>11911021</x:v>
      </x:c>
      <x:c r="F906" s="66" t="str">
        <x:v>BUDIDAYA PERAIRAN</x:v>
      </x:c>
      <x:c r="G906" s="66" t="str">
        <x:v>Sarjana</x:v>
      </x:c>
      <x:c r="H906" s="87" t="n">
        <x:v>30</x:v>
      </x:c>
      <x:c r="I906" s="87" t="n">
        <x:v>83</x:v>
      </x:c>
      <x:c r="J906" s="68" t="n">
        <x:f>IFERROR(H906/I906,"")</x:f>
        <x:v>0.3614457831325301</x:v>
      </x:c>
      <x:c r="K906" s="69" t="n">
        <x:f>IFERROR(I906/H906,"")</x:f>
        <x:v>2.7666666666666666</x:v>
      </x:c>
      <x:c r="L906" s="66" t="str">
        <x:f>IF(K906="","","1 : "&amp;TEXT(K906,"0.0"))</x:f>
        <x:v>1 : 2.8</x:v>
      </x:c>
      <x:c r="M906" s="66" t="str">
        <x:f>IF(J906="","Baru/Tanpa Data",IF(J906&lt;='Catatan &amp; Sumber'!$B$14,"Sangat Ketat",IF(J906&lt;='Catatan &amp; Sumber'!$B$15,"Ketat",IF(J906&lt;='Catatan &amp; Sumber'!$B$16,"Sedang","Relatif Longgar"))))</x:f>
        <x:v>Relatif Longgar</x:v>
      </x:c>
      <x:c r="N906" s="66" t="str">
        <x:v>Tidak Ada</x:v>
      </x:c>
      <x:c r="O906" s="66" t="str">
        <x:v>Lampung</x:v>
      </x:c>
      <x:c r="P906" s="66" t="str">
        <x:v>Kota Bandar Lampung</x:v>
      </x:c>
      <x:c r="Q906" s="66" t="str">
        <x:v>https://snpmb.id/snbp/daya-tampung-snbp</x:v>
      </x:c>
      <x:c r="R906" s="66" t="str">
        <x:v>https://sidatagrun-public-1076756628210.asia-southeast2.run.app/ptn_sn.php?ptn=191</x:v>
      </x:c>
    </x:row>
    <x:row r="907">
      <x:c r="A907" s="87" t="n">
        <x:v>394</x:v>
      </x:c>
      <x:c r="B907" s="87" t="n">
        <x:v>191</x:v>
      </x:c>
      <x:c r="C907" s="66" t="str">
        <x:v>UNIVERSITAS LAMPUNG</x:v>
      </x:c>
      <x:c r="D907" s="66" t="str">
        <x:v>PTN Akademik</x:v>
      </x:c>
      <x:c r="E907" s="66" t="str">
        <x:v>11911022</x:v>
      </x:c>
      <x:c r="F907" s="66" t="str">
        <x:v>ILMU KOMPUTER</x:v>
      </x:c>
      <x:c r="G907" s="66" t="str">
        <x:v>Sarjana</x:v>
      </x:c>
      <x:c r="H907" s="87" t="n">
        <x:v>30</x:v>
      </x:c>
      <x:c r="I907" s="87" t="n">
        <x:v>646</x:v>
      </x:c>
      <x:c r="J907" s="68" t="n">
        <x:f>IFERROR(H907/I907,"")</x:f>
        <x:v>0.04643962848297214</x:v>
      </x:c>
      <x:c r="K907" s="69" t="n">
        <x:f>IFERROR(I907/H907,"")</x:f>
        <x:v>21.533333333333335</x:v>
      </x:c>
      <x:c r="L907" s="66" t="str">
        <x:f>IF(K907="","","1 : "&amp;TEXT(K907,"0.0"))</x:f>
        <x:v>1 : 21.5</x:v>
      </x:c>
      <x:c r="M907" s="66" t="str">
        <x:f>IF(J907="","Baru/Tanpa Data",IF(J907&lt;='Catatan &amp; Sumber'!$B$14,"Sangat Ketat",IF(J907&lt;='Catatan &amp; Sumber'!$B$15,"Ketat",IF(J907&lt;='Catatan &amp; Sumber'!$B$16,"Sedang","Relatif Longgar"))))</x:f>
        <x:v>Ketat</x:v>
      </x:c>
      <x:c r="N907" s="66" t="str">
        <x:v>Tidak Ada</x:v>
      </x:c>
      <x:c r="O907" s="66" t="str">
        <x:v>Lampung</x:v>
      </x:c>
      <x:c r="P907" s="66" t="str">
        <x:v>Kota Bandar Lampung</x:v>
      </x:c>
      <x:c r="Q907" s="66" t="str">
        <x:v>https://snpmb.id/snbp/daya-tampung-snbp</x:v>
      </x:c>
      <x:c r="R907" s="66" t="str">
        <x:v>https://sidatagrun-public-1076756628210.asia-southeast2.run.app/ptn_sn.php?ptn=191</x:v>
      </x:c>
    </x:row>
    <x:row r="908">
      <x:c r="A908" s="87" t="n">
        <x:v>2161</x:v>
      </x:c>
      <x:c r="B908" s="87" t="n">
        <x:v>191</x:v>
      </x:c>
      <x:c r="C908" s="66" t="str">
        <x:v>UNIVERSITAS LAMPUNG</x:v>
      </x:c>
      <x:c r="D908" s="66" t="str">
        <x:v>PTN Akademik</x:v>
      </x:c>
      <x:c r="E908" s="66" t="str">
        <x:v>11911023</x:v>
      </x:c>
      <x:c r="F908" s="66" t="str">
        <x:v>ARSITEKTUR</x:v>
      </x:c>
      <x:c r="G908" s="66" t="str">
        <x:v>Sarjana</x:v>
      </x:c>
      <x:c r="H908" s="87" t="n">
        <x:v>30</x:v>
      </x:c>
      <x:c r="I908" s="87" t="n">
        <x:v>179</x:v>
      </x:c>
      <x:c r="J908" s="68" t="n">
        <x:f>IFERROR(H908/I908,"")</x:f>
        <x:v>0.16759776536312848</x:v>
      </x:c>
      <x:c r="K908" s="69" t="n">
        <x:f>IFERROR(I908/H908,"")</x:f>
        <x:v>5.966666666666667</x:v>
      </x:c>
      <x:c r="L908" s="66" t="str">
        <x:f>IF(K908="","","1 : "&amp;TEXT(K908,"0.0"))</x:f>
        <x:v>1 : 6.0</x:v>
      </x:c>
      <x:c r="M908" s="66" t="str">
        <x:f>IF(J908="","Baru/Tanpa Data",IF(J908&lt;='Catatan &amp; Sumber'!$B$14,"Sangat Ketat",IF(J908&lt;='Catatan &amp; Sumber'!$B$15,"Ketat",IF(J908&lt;='Catatan &amp; Sumber'!$B$16,"Sedang","Relatif Longgar"))))</x:f>
        <x:v>Relatif Longgar</x:v>
      </x:c>
      <x:c r="N908" s="66" t="str">
        <x:v>Tidak Ada</x:v>
      </x:c>
      <x:c r="O908" s="66" t="str">
        <x:v>Lampung</x:v>
      </x:c>
      <x:c r="P908" s="66" t="str">
        <x:v>Kota Bandar Lampung</x:v>
      </x:c>
      <x:c r="Q908" s="66" t="str">
        <x:v>https://snpmb.id/snbp/daya-tampung-snbp</x:v>
      </x:c>
      <x:c r="R908" s="66" t="str">
        <x:v>https://sidatagrun-public-1076756628210.asia-southeast2.run.app/ptn_sn.php?ptn=191</x:v>
      </x:c>
    </x:row>
    <x:row r="909">
      <x:c r="A909" s="87" t="n">
        <x:v>3326</x:v>
      </x:c>
      <x:c r="B909" s="87" t="n">
        <x:v>191</x:v>
      </x:c>
      <x:c r="C909" s="66" t="str">
        <x:v>UNIVERSITAS LAMPUNG</x:v>
      </x:c>
      <x:c r="D909" s="66" t="str">
        <x:v>PTN Akademik</x:v>
      </x:c>
      <x:c r="E909" s="66" t="str">
        <x:v>11911024</x:v>
      </x:c>
      <x:c r="F909" s="66" t="str">
        <x:v>TEKNIK GEODESI</x:v>
      </x:c>
      <x:c r="G909" s="66" t="str">
        <x:v>Sarjana</x:v>
      </x:c>
      <x:c r="H909" s="87" t="n">
        <x:v>30</x:v>
      </x:c>
      <x:c r="I909" s="87" t="n">
        <x:v>79</x:v>
      </x:c>
      <x:c r="J909" s="68" t="n">
        <x:f>IFERROR(H909/I909,"")</x:f>
        <x:v>0.379746835443038</x:v>
      </x:c>
      <x:c r="K909" s="69" t="n">
        <x:f>IFERROR(I909/H909,"")</x:f>
        <x:v>2.6333333333333333</x:v>
      </x:c>
      <x:c r="L909" s="66" t="str">
        <x:f>IF(K909="","","1 : "&amp;TEXT(K909,"0.0"))</x:f>
        <x:v>1 : 2.6</x:v>
      </x:c>
      <x:c r="M909" s="66" t="str">
        <x:f>IF(J909="","Baru/Tanpa Data",IF(J909&lt;='Catatan &amp; Sumber'!$B$14,"Sangat Ketat",IF(J909&lt;='Catatan &amp; Sumber'!$B$15,"Ketat",IF(J909&lt;='Catatan &amp; Sumber'!$B$16,"Sedang","Relatif Longgar"))))</x:f>
        <x:v>Relatif Longgar</x:v>
      </x:c>
      <x:c r="N909" s="66" t="str">
        <x:v>Tidak Ada</x:v>
      </x:c>
      <x:c r="O909" s="66" t="str">
        <x:v>Lampung</x:v>
      </x:c>
      <x:c r="P909" s="66" t="str">
        <x:v>Kota Bandar Lampung</x:v>
      </x:c>
      <x:c r="Q909" s="66" t="str">
        <x:v>https://snpmb.id/snbp/daya-tampung-snbp</x:v>
      </x:c>
      <x:c r="R909" s="66" t="str">
        <x:v>https://sidatagrun-public-1076756628210.asia-southeast2.run.app/ptn_sn.php?ptn=191</x:v>
      </x:c>
    </x:row>
    <x:row r="910">
      <x:c r="A910" s="87" t="n">
        <x:v>944</x:v>
      </x:c>
      <x:c r="B910" s="87" t="n">
        <x:v>191</x:v>
      </x:c>
      <x:c r="C910" s="66" t="str">
        <x:v>UNIVERSITAS LAMPUNG</x:v>
      </x:c>
      <x:c r="D910" s="66" t="str">
        <x:v>PTN Akademik</x:v>
      </x:c>
      <x:c r="E910" s="66" t="str">
        <x:v>11911025</x:v>
      </x:c>
      <x:c r="F910" s="66" t="str">
        <x:v>TEKNIK INFORMATIKA</x:v>
      </x:c>
      <x:c r="G910" s="66" t="str">
        <x:v>Sarjana</x:v>
      </x:c>
      <x:c r="H910" s="87" t="n">
        <x:v>54</x:v>
      </x:c>
      <x:c r="I910" s="87" t="n">
        <x:v>721</x:v>
      </x:c>
      <x:c r="J910" s="68" t="n">
        <x:f>IFERROR(H910/I910,"")</x:f>
        <x:v>0.07489597780859916</x:v>
      </x:c>
      <x:c r="K910" s="69" t="n">
        <x:f>IFERROR(I910/H910,"")</x:f>
        <x:v>13.351851851851851</x:v>
      </x:c>
      <x:c r="L910" s="66" t="str">
        <x:f>IF(K910="","","1 : "&amp;TEXT(K910,"0.0"))</x:f>
        <x:v>1 : 13.4</x:v>
      </x:c>
      <x:c r="M910" s="66" t="str">
        <x:f>IF(J910="","Baru/Tanpa Data",IF(J910&lt;='Catatan &amp; Sumber'!$B$14,"Sangat Ketat",IF(J910&lt;='Catatan &amp; Sumber'!$B$15,"Ketat",IF(J910&lt;='Catatan &amp; Sumber'!$B$16,"Sedang","Relatif Longgar"))))</x:f>
        <x:v>Sedang</x:v>
      </x:c>
      <x:c r="N910" s="66" t="str">
        <x:v>Tidak Ada</x:v>
      </x:c>
      <x:c r="O910" s="66" t="str">
        <x:v>Lampung</x:v>
      </x:c>
      <x:c r="P910" s="66" t="str">
        <x:v>Kota Bandar Lampung</x:v>
      </x:c>
      <x:c r="Q910" s="66" t="str">
        <x:v>https://snpmb.id/snbp/daya-tampung-snbp</x:v>
      </x:c>
      <x:c r="R910" s="66" t="str">
        <x:v>https://sidatagrun-public-1076756628210.asia-southeast2.run.app/ptn_sn.php?ptn=191</x:v>
      </x:c>
    </x:row>
    <x:row r="911">
      <x:c r="A911" s="87" t="n">
        <x:v>3816</x:v>
      </x:c>
      <x:c r="B911" s="87" t="n">
        <x:v>191</x:v>
      </x:c>
      <x:c r="C911" s="66" t="str">
        <x:v>UNIVERSITAS LAMPUNG</x:v>
      </x:c>
      <x:c r="D911" s="66" t="str">
        <x:v>PTN Akademik</x:v>
      </x:c>
      <x:c r="E911" s="66" t="str">
        <x:v>11911026</x:v>
      </x:c>
      <x:c r="F911" s="66" t="str">
        <x:v>SUMBERDAYA AKUATIK</x:v>
      </x:c>
      <x:c r="G911" s="66" t="str">
        <x:v>Sarjana</x:v>
      </x:c>
      <x:c r="H911" s="87" t="n">
        <x:v>25</x:v>
      </x:c>
      <x:c r="I911" s="87" t="n">
        <x:v>43</x:v>
      </x:c>
      <x:c r="J911" s="68" t="n">
        <x:f>IFERROR(H911/I911,"")</x:f>
        <x:v>0.5813953488372093</x:v>
      </x:c>
      <x:c r="K911" s="69" t="n">
        <x:f>IFERROR(I911/H911,"")</x:f>
        <x:v>1.72</x:v>
      </x:c>
      <x:c r="L911" s="66" t="str">
        <x:f>IF(K911="","","1 : "&amp;TEXT(K911,"0.0"))</x:f>
        <x:v>1 : 1.7</x:v>
      </x:c>
      <x:c r="M911" s="66" t="str">
        <x:f>IF(J911="","Baru/Tanpa Data",IF(J911&lt;='Catatan &amp; Sumber'!$B$14,"Sangat Ketat",IF(J911&lt;='Catatan &amp; Sumber'!$B$15,"Ketat",IF(J911&lt;='Catatan &amp; Sumber'!$B$16,"Sedang","Relatif Longgar"))))</x:f>
        <x:v>Relatif Longgar</x:v>
      </x:c>
      <x:c r="N911" s="66" t="str">
        <x:v>Tidak Ada</x:v>
      </x:c>
      <x:c r="O911" s="66" t="str">
        <x:v>Lampung</x:v>
      </x:c>
      <x:c r="P911" s="66" t="str">
        <x:v>Kota Bandar Lampung</x:v>
      </x:c>
      <x:c r="Q911" s="66" t="str">
        <x:v>https://snpmb.id/snbp/daya-tampung-snbp</x:v>
      </x:c>
      <x:c r="R911" s="66" t="str">
        <x:v>https://sidatagrun-public-1076756628210.asia-southeast2.run.app/ptn_sn.php?ptn=191</x:v>
      </x:c>
    </x:row>
    <x:row r="912">
      <x:c r="A912" s="87" t="n">
        <x:v>3058</x:v>
      </x:c>
      <x:c r="B912" s="87" t="n">
        <x:v>191</x:v>
      </x:c>
      <x:c r="C912" s="66" t="str">
        <x:v>UNIVERSITAS LAMPUNG</x:v>
      </x:c>
      <x:c r="D912" s="66" t="str">
        <x:v>PTN Akademik</x:v>
      </x:c>
      <x:c r="E912" s="66" t="str">
        <x:v>11911027</x:v>
      </x:c>
      <x:c r="F912" s="66" t="str">
        <x:v>ILMU TANAH</x:v>
      </x:c>
      <x:c r="G912" s="66" t="str">
        <x:v>Sarjana</x:v>
      </x:c>
      <x:c r="H912" s="87" t="n">
        <x:v>25</x:v>
      </x:c>
      <x:c r="I912" s="87" t="n">
        <x:v>82</x:v>
      </x:c>
      <x:c r="J912" s="68" t="n">
        <x:f>IFERROR(H912/I912,"")</x:f>
        <x:v>0.3048780487804878</x:v>
      </x:c>
      <x:c r="K912" s="69" t="n">
        <x:f>IFERROR(I912/H912,"")</x:f>
        <x:v>3.28</x:v>
      </x:c>
      <x:c r="L912" s="66" t="str">
        <x:f>IF(K912="","","1 : "&amp;TEXT(K912,"0.0"))</x:f>
        <x:v>1 : 3.3</x:v>
      </x:c>
      <x:c r="M912" s="66" t="str">
        <x:f>IF(J912="","Baru/Tanpa Data",IF(J912&lt;='Catatan &amp; Sumber'!$B$14,"Sangat Ketat",IF(J912&lt;='Catatan &amp; Sumber'!$B$15,"Ketat",IF(J912&lt;='Catatan &amp; Sumber'!$B$16,"Sedang","Relatif Longgar"))))</x:f>
        <x:v>Relatif Longgar</x:v>
      </x:c>
      <x:c r="N912" s="66" t="str">
        <x:v>Tidak Ada</x:v>
      </x:c>
      <x:c r="O912" s="66" t="str">
        <x:v>Lampung</x:v>
      </x:c>
      <x:c r="P912" s="66" t="str">
        <x:v>Kota Bandar Lampung</x:v>
      </x:c>
      <x:c r="Q912" s="66" t="str">
        <x:v>https://snpmb.id/snbp/daya-tampung-snbp</x:v>
      </x:c>
      <x:c r="R912" s="66" t="str">
        <x:v>https://sidatagrun-public-1076756628210.asia-southeast2.run.app/ptn_sn.php?ptn=191</x:v>
      </x:c>
    </x:row>
    <x:row r="913">
      <x:c r="A913" s="87" t="n">
        <x:v>2559</x:v>
      </x:c>
      <x:c r="B913" s="87" t="n">
        <x:v>191</x:v>
      </x:c>
      <x:c r="C913" s="66" t="str">
        <x:v>UNIVERSITAS LAMPUNG</x:v>
      </x:c>
      <x:c r="D913" s="66" t="str">
        <x:v>PTN Akademik</x:v>
      </x:c>
      <x:c r="E913" s="66" t="str">
        <x:v>11911028</x:v>
      </x:c>
      <x:c r="F913" s="66" t="str">
        <x:v>AGRONOMI</x:v>
      </x:c>
      <x:c r="G913" s="66" t="str">
        <x:v>Sarjana</x:v>
      </x:c>
      <x:c r="H913" s="87" t="n">
        <x:v>30</x:v>
      </x:c>
      <x:c r="I913" s="87" t="n">
        <x:v>136</x:v>
      </x:c>
      <x:c r="J913" s="68" t="n">
        <x:f>IFERROR(H913/I913,"")</x:f>
        <x:v>0.22058823529411764</x:v>
      </x:c>
      <x:c r="K913" s="69" t="n">
        <x:f>IFERROR(I913/H913,"")</x:f>
        <x:v>4.533333333333333</x:v>
      </x:c>
      <x:c r="L913" s="66" t="str">
        <x:f>IF(K913="","","1 : "&amp;TEXT(K913,"0.0"))</x:f>
        <x:v>1 : 4.5</x:v>
      </x:c>
      <x:c r="M913" s="66" t="str">
        <x:f>IF(J913="","Baru/Tanpa Data",IF(J913&lt;='Catatan &amp; Sumber'!$B$14,"Sangat Ketat",IF(J913&lt;='Catatan &amp; Sumber'!$B$15,"Ketat",IF(J913&lt;='Catatan &amp; Sumber'!$B$16,"Sedang","Relatif Longgar"))))</x:f>
        <x:v>Relatif Longgar</x:v>
      </x:c>
      <x:c r="N913" s="66" t="str">
        <x:v>Tidak Ada</x:v>
      </x:c>
      <x:c r="O913" s="66" t="str">
        <x:v>Lampung</x:v>
      </x:c>
      <x:c r="P913" s="66" t="str">
        <x:v>Kota Bandar Lampung</x:v>
      </x:c>
      <x:c r="Q913" s="66" t="str">
        <x:v>https://snpmb.id/snbp/daya-tampung-snbp</x:v>
      </x:c>
      <x:c r="R913" s="66" t="str">
        <x:v>https://sidatagrun-public-1076756628210.asia-southeast2.run.app/ptn_sn.php?ptn=191</x:v>
      </x:c>
    </x:row>
    <x:row r="914">
      <x:c r="A914" s="87" t="n">
        <x:v>2773</x:v>
      </x:c>
      <x:c r="B914" s="87" t="n">
        <x:v>191</x:v>
      </x:c>
      <x:c r="C914" s="66" t="str">
        <x:v>UNIVERSITAS LAMPUNG</x:v>
      </x:c>
      <x:c r="D914" s="66" t="str">
        <x:v>PTN Akademik</x:v>
      </x:c>
      <x:c r="E914" s="66" t="str">
        <x:v>11911029</x:v>
      </x:c>
      <x:c r="F914" s="66" t="str">
        <x:v>PROTEKSI TANAMAN</x:v>
      </x:c>
      <x:c r="G914" s="66" t="str">
        <x:v>Sarjana</x:v>
      </x:c>
      <x:c r="H914" s="87" t="n">
        <x:v>30</x:v>
      </x:c>
      <x:c r="I914" s="87" t="n">
        <x:v>118</x:v>
      </x:c>
      <x:c r="J914" s="68" t="n">
        <x:f>IFERROR(H914/I914,"")</x:f>
        <x:v>0.2542372881355932</x:v>
      </x:c>
      <x:c r="K914" s="69" t="n">
        <x:f>IFERROR(I914/H914,"")</x:f>
        <x:v>3.933333333333333</x:v>
      </x:c>
      <x:c r="L914" s="66" t="str">
        <x:f>IF(K914="","","1 : "&amp;TEXT(K914,"0.0"))</x:f>
        <x:v>1 : 3.9</x:v>
      </x:c>
      <x:c r="M914" s="66" t="str">
        <x:f>IF(J914="","Baru/Tanpa Data",IF(J914&lt;='Catatan &amp; Sumber'!$B$14,"Sangat Ketat",IF(J914&lt;='Catatan &amp; Sumber'!$B$15,"Ketat",IF(J914&lt;='Catatan &amp; Sumber'!$B$16,"Sedang","Relatif Longgar"))))</x:f>
        <x:v>Relatif Longgar</x:v>
      </x:c>
      <x:c r="N914" s="66" t="str">
        <x:v>Tidak Ada</x:v>
      </x:c>
      <x:c r="O914" s="66" t="str">
        <x:v>Lampung</x:v>
      </x:c>
      <x:c r="P914" s="66" t="str">
        <x:v>Kota Bandar Lampung</x:v>
      </x:c>
      <x:c r="Q914" s="66" t="str">
        <x:v>https://snpmb.id/snbp/daya-tampung-snbp</x:v>
      </x:c>
      <x:c r="R914" s="66" t="str">
        <x:v>https://sidatagrun-public-1076756628210.asia-southeast2.run.app/ptn_sn.php?ptn=191</x:v>
      </x:c>
    </x:row>
    <x:row r="915">
      <x:c r="A915" s="87" t="n">
        <x:v>2320</x:v>
      </x:c>
      <x:c r="B915" s="87" t="n">
        <x:v>191</x:v>
      </x:c>
      <x:c r="C915" s="66" t="str">
        <x:v>UNIVERSITAS LAMPUNG</x:v>
      </x:c>
      <x:c r="D915" s="66" t="str">
        <x:v>PTN Akademik</x:v>
      </x:c>
      <x:c r="E915" s="66" t="str">
        <x:v>11911030</x:v>
      </x:c>
      <x:c r="F915" s="66" t="str">
        <x:v>PENYULUHAN PERTANIAN</x:v>
      </x:c>
      <x:c r="G915" s="66" t="str">
        <x:v>Sarjana</x:v>
      </x:c>
      <x:c r="H915" s="87" t="n">
        <x:v>16</x:v>
      </x:c>
      <x:c r="I915" s="87" t="n">
        <x:v>86</x:v>
      </x:c>
      <x:c r="J915" s="68" t="n">
        <x:f>IFERROR(H915/I915,"")</x:f>
        <x:v>0.18604651162790697</x:v>
      </x:c>
      <x:c r="K915" s="69" t="n">
        <x:f>IFERROR(I915/H915,"")</x:f>
        <x:v>5.375</x:v>
      </x:c>
      <x:c r="L915" s="66" t="str">
        <x:f>IF(K915="","","1 : "&amp;TEXT(K915,"0.0"))</x:f>
        <x:v>1 : 5.4</x:v>
      </x:c>
      <x:c r="M915" s="66" t="str">
        <x:f>IF(J915="","Baru/Tanpa Data",IF(J915&lt;='Catatan &amp; Sumber'!$B$14,"Sangat Ketat",IF(J915&lt;='Catatan &amp; Sumber'!$B$15,"Ketat",IF(J915&lt;='Catatan &amp; Sumber'!$B$16,"Sedang","Relatif Longgar"))))</x:f>
        <x:v>Relatif Longgar</x:v>
      </x:c>
      <x:c r="N915" s="66" t="str">
        <x:v>Tidak Ada</x:v>
      </x:c>
      <x:c r="O915" s="66" t="str">
        <x:v>Lampung</x:v>
      </x:c>
      <x:c r="P915" s="66" t="str">
        <x:v>Kota Bandar Lampung</x:v>
      </x:c>
      <x:c r="Q915" s="66" t="str">
        <x:v>https://snpmb.id/snbp/daya-tampung-snbp</x:v>
      </x:c>
      <x:c r="R915" s="66" t="str">
        <x:v>https://sidatagrun-public-1076756628210.asia-southeast2.run.app/ptn_sn.php?ptn=191</x:v>
      </x:c>
    </x:row>
    <x:row r="916">
      <x:c r="A916" s="87" t="n">
        <x:v>2019</x:v>
      </x:c>
      <x:c r="B916" s="87" t="n">
        <x:v>191</x:v>
      </x:c>
      <x:c r="C916" s="66" t="str">
        <x:v>UNIVERSITAS LAMPUNG</x:v>
      </x:c>
      <x:c r="D916" s="66" t="str">
        <x:v>PTN Akademik</x:v>
      </x:c>
      <x:c r="E916" s="66" t="str">
        <x:v>11911031</x:v>
      </x:c>
      <x:c r="F916" s="66" t="str">
        <x:v>ILMU KELAUTAN</x:v>
      </x:c>
      <x:c r="G916" s="66" t="str">
        <x:v>Sarjana</x:v>
      </x:c>
      <x:c r="H916" s="87" t="n">
        <x:v>16</x:v>
      </x:c>
      <x:c r="I916" s="87" t="n">
        <x:v>104</x:v>
      </x:c>
      <x:c r="J916" s="68" t="n">
        <x:f>IFERROR(H916/I916,"")</x:f>
        <x:v>0.15384615384615385</x:v>
      </x:c>
      <x:c r="K916" s="69" t="n">
        <x:f>IFERROR(I916/H916,"")</x:f>
        <x:v>6.5</x:v>
      </x:c>
      <x:c r="L916" s="66" t="str">
        <x:f>IF(K916="","","1 : "&amp;TEXT(K916,"0.0"))</x:f>
        <x:v>1 : 6.5</x:v>
      </x:c>
      <x:c r="M916" s="66" t="str">
        <x:f>IF(J916="","Baru/Tanpa Data",IF(J916&lt;='Catatan &amp; Sumber'!$B$14,"Sangat Ketat",IF(J916&lt;='Catatan &amp; Sumber'!$B$15,"Ketat",IF(J916&lt;='Catatan &amp; Sumber'!$B$16,"Sedang","Relatif Longgar"))))</x:f>
        <x:v>Relatif Longgar</x:v>
      </x:c>
      <x:c r="N916" s="66" t="str">
        <x:v>Tidak Ada</x:v>
      </x:c>
      <x:c r="O916" s="66" t="str">
        <x:v>Lampung</x:v>
      </x:c>
      <x:c r="P916" s="66" t="str">
        <x:v>Kota Bandar Lampung</x:v>
      </x:c>
      <x:c r="Q916" s="66" t="str">
        <x:v>https://snpmb.id/snbp/daya-tampung-snbp</x:v>
      </x:c>
      <x:c r="R916" s="66" t="str">
        <x:v>https://sidatagrun-public-1076756628210.asia-southeast2.run.app/ptn_sn.php?ptn=191</x:v>
      </x:c>
    </x:row>
    <x:row r="917">
      <x:c r="A917" s="87" t="n">
        <x:v>2072</x:v>
      </x:c>
      <x:c r="B917" s="87" t="n">
        <x:v>191</x:v>
      </x:c>
      <x:c r="C917" s="66" t="str">
        <x:v>UNIVERSITAS LAMPUNG</x:v>
      </x:c>
      <x:c r="D917" s="66" t="str">
        <x:v>PTN Akademik</x:v>
      </x:c>
      <x:c r="E917" s="66" t="str">
        <x:v>11911032</x:v>
      </x:c>
      <x:c r="F917" s="66" t="str">
        <x:v>TEKNOLOGI INDUSTRI PERTANIAN</x:v>
      </x:c>
      <x:c r="G917" s="66" t="str">
        <x:v>Sarjana</x:v>
      </x:c>
      <x:c r="H917" s="87" t="n">
        <x:v>24</x:v>
      </x:c>
      <x:c r="I917" s="87" t="n">
        <x:v>151</x:v>
      </x:c>
      <x:c r="J917" s="68" t="n">
        <x:f>IFERROR(H917/I917,"")</x:f>
        <x:v>0.15894039735099338</x:v>
      </x:c>
      <x:c r="K917" s="69" t="n">
        <x:f>IFERROR(I917/H917,"")</x:f>
        <x:v>6.291666666666667</x:v>
      </x:c>
      <x:c r="L917" s="66" t="str">
        <x:f>IF(K917="","","1 : "&amp;TEXT(K917,"0.0"))</x:f>
        <x:v>1 : 6.3</x:v>
      </x:c>
      <x:c r="M917" s="66" t="str">
        <x:f>IF(J917="","Baru/Tanpa Data",IF(J917&lt;='Catatan &amp; Sumber'!$B$14,"Sangat Ketat",IF(J917&lt;='Catatan &amp; Sumber'!$B$15,"Ketat",IF(J917&lt;='Catatan &amp; Sumber'!$B$16,"Sedang","Relatif Longgar"))))</x:f>
        <x:v>Relatif Longgar</x:v>
      </x:c>
      <x:c r="N917" s="66" t="str">
        <x:v>Tidak Ada</x:v>
      </x:c>
      <x:c r="O917" s="66" t="str">
        <x:v>Lampung</x:v>
      </x:c>
      <x:c r="P917" s="66" t="str">
        <x:v>Kota Bandar Lampung</x:v>
      </x:c>
      <x:c r="Q917" s="66" t="str">
        <x:v>https://snpmb.id/snbp/daya-tampung-snbp</x:v>
      </x:c>
      <x:c r="R917" s="66" t="str">
        <x:v>https://sidatagrun-public-1076756628210.asia-southeast2.run.app/ptn_sn.php?ptn=191</x:v>
      </x:c>
    </x:row>
    <x:row r="918">
      <x:c r="A918" s="87" t="n">
        <x:v>3167</x:v>
      </x:c>
      <x:c r="B918" s="87" t="n">
        <x:v>191</x:v>
      </x:c>
      <x:c r="C918" s="66" t="str">
        <x:v>UNIVERSITAS LAMPUNG</x:v>
      </x:c>
      <x:c r="D918" s="66" t="str">
        <x:v>PTN Akademik</x:v>
      </x:c>
      <x:c r="E918" s="66" t="str">
        <x:v>11911033</x:v>
      </x:c>
      <x:c r="F918" s="66" t="str">
        <x:v>NUTRISI DAN TEKNOLOGI PAKAN TERNAK</x:v>
      </x:c>
      <x:c r="G918" s="66" t="str">
        <x:v>Sarjana</x:v>
      </x:c>
      <x:c r="H918" s="87" t="n">
        <x:v>21</x:v>
      </x:c>
      <x:c r="I918" s="87" t="n">
        <x:v>63</x:v>
      </x:c>
      <x:c r="J918" s="68" t="n">
        <x:f>IFERROR(H918/I918,"")</x:f>
        <x:v>0.3333333333333333</x:v>
      </x:c>
      <x:c r="K918" s="69" t="n">
        <x:f>IFERROR(I918/H918,"")</x:f>
        <x:v>3</x:v>
      </x:c>
      <x:c r="L918" s="66" t="str">
        <x:f>IF(K918="","","1 : "&amp;TEXT(K918,"0.0"))</x:f>
        <x:v>1 : 3.0</x:v>
      </x:c>
      <x:c r="M918" s="66" t="str">
        <x:f>IF(J918="","Baru/Tanpa Data",IF(J918&lt;='Catatan &amp; Sumber'!$B$14,"Sangat Ketat",IF(J918&lt;='Catatan &amp; Sumber'!$B$15,"Ketat",IF(J918&lt;='Catatan &amp; Sumber'!$B$16,"Sedang","Relatif Longgar"))))</x:f>
        <x:v>Relatif Longgar</x:v>
      </x:c>
      <x:c r="N918" s="66" t="str">
        <x:v>Tidak Ada</x:v>
      </x:c>
      <x:c r="O918" s="66" t="str">
        <x:v>Lampung</x:v>
      </x:c>
      <x:c r="P918" s="66" t="str">
        <x:v>Kota Bandar Lampung</x:v>
      </x:c>
      <x:c r="Q918" s="66" t="str">
        <x:v>https://snpmb.id/snbp/daya-tampung-snbp</x:v>
      </x:c>
      <x:c r="R918" s="66" t="str">
        <x:v>https://sidatagrun-public-1076756628210.asia-southeast2.run.app/ptn_sn.php?ptn=191</x:v>
      </x:c>
    </x:row>
    <x:row r="919">
      <x:c r="A919" s="87" t="n">
        <x:v>1542</x:v>
      </x:c>
      <x:c r="B919" s="87" t="n">
        <x:v>191</x:v>
      </x:c>
      <x:c r="C919" s="66" t="str">
        <x:v>UNIVERSITAS LAMPUNG</x:v>
      </x:c>
      <x:c r="D919" s="66" t="str">
        <x:v>PTN Akademik</x:v>
      </x:c>
      <x:c r="E919" s="66" t="str">
        <x:v>11911034</x:v>
      </x:c>
      <x:c r="F919" s="66" t="str">
        <x:v>PENDIDIKAN TEKNOLOGI INFORMASI</x:v>
      </x:c>
      <x:c r="G919" s="66" t="str">
        <x:v>Sarjana</x:v>
      </x:c>
      <x:c r="H919" s="87" t="n">
        <x:v>23</x:v>
      </x:c>
      <x:c r="I919" s="87" t="n">
        <x:v>204</x:v>
      </x:c>
      <x:c r="J919" s="68" t="n">
        <x:f>IFERROR(H919/I919,"")</x:f>
        <x:v>0.11274509803921569</x:v>
      </x:c>
      <x:c r="K919" s="69" t="n">
        <x:f>IFERROR(I919/H919,"")</x:f>
        <x:v>8.869565217391305</x:v>
      </x:c>
      <x:c r="L919" s="66" t="str">
        <x:f>IF(K919="","","1 : "&amp;TEXT(K919,"0.0"))</x:f>
        <x:v>1 : 8.9</x:v>
      </x:c>
      <x:c r="M919" s="66" t="str">
        <x:f>IF(J919="","Baru/Tanpa Data",IF(J919&lt;='Catatan &amp; Sumber'!$B$14,"Sangat Ketat",IF(J919&lt;='Catatan &amp; Sumber'!$B$15,"Ketat",IF(J919&lt;='Catatan &amp; Sumber'!$B$16,"Sedang","Relatif Longgar"))))</x:f>
        <x:v>Relatif Longgar</x:v>
      </x:c>
      <x:c r="N919" s="66" t="str">
        <x:v>Tidak Ada</x:v>
      </x:c>
      <x:c r="O919" s="66" t="str">
        <x:v>Lampung</x:v>
      </x:c>
      <x:c r="P919" s="66" t="str">
        <x:v>Kota Bandar Lampung</x:v>
      </x:c>
      <x:c r="Q919" s="66" t="str">
        <x:v>https://snpmb.id/snbp/daya-tampung-snbp</x:v>
      </x:c>
      <x:c r="R919" s="66" t="str">
        <x:v>https://sidatagrun-public-1076756628210.asia-southeast2.run.app/ptn_sn.php?ptn=191</x:v>
      </x:c>
    </x:row>
    <x:row r="920">
      <x:c r="A920" s="87" t="n">
        <x:v>72</x:v>
      </x:c>
      <x:c r="B920" s="87" t="n">
        <x:v>191</x:v>
      </x:c>
      <x:c r="C920" s="66" t="str">
        <x:v>UNIVERSITAS LAMPUNG</x:v>
      </x:c>
      <x:c r="D920" s="66" t="str">
        <x:v>PTN Akademik</x:v>
      </x:c>
      <x:c r="E920" s="66" t="str">
        <x:v>11911035</x:v>
      </x:c>
      <x:c r="F920" s="66" t="str">
        <x:v>FARMASI</x:v>
      </x:c>
      <x:c r="G920" s="66" t="str">
        <x:v>Sarjana</x:v>
      </x:c>
      <x:c r="H920" s="87" t="n">
        <x:v>35</x:v>
      </x:c>
      <x:c r="I920" s="87" t="n">
        <x:v>1369</x:v>
      </x:c>
      <x:c r="J920" s="68" t="n">
        <x:f>IFERROR(H920/I920,"")</x:f>
        <x:v>0.02556610664718773</x:v>
      </x:c>
      <x:c r="K920" s="69" t="n">
        <x:f>IFERROR(I920/H920,"")</x:f>
        <x:v>39.114285714285714</x:v>
      </x:c>
      <x:c r="L920" s="66" t="str">
        <x:f>IF(K920="","","1 : "&amp;TEXT(K920,"0.0"))</x:f>
        <x:v>1 : 39.1</x:v>
      </x:c>
      <x:c r="M920" s="66" t="str">
        <x:f>IF(J920="","Baru/Tanpa Data",IF(J920&lt;='Catatan &amp; Sumber'!$B$14,"Sangat Ketat",IF(J920&lt;='Catatan &amp; Sumber'!$B$15,"Ketat",IF(J920&lt;='Catatan &amp; Sumber'!$B$16,"Sedang","Relatif Longgar"))))</x:f>
        <x:v>Ketat</x:v>
      </x:c>
      <x:c r="N920" s="66" t="str">
        <x:v>Tidak Ada</x:v>
      </x:c>
      <x:c r="O920" s="66" t="str">
        <x:v>Lampung</x:v>
      </x:c>
      <x:c r="P920" s="66" t="str">
        <x:v>Kota Bandar Lampung</x:v>
      </x:c>
      <x:c r="Q920" s="66" t="str">
        <x:v>https://snpmb.id/snbp/daya-tampung-snbp</x:v>
      </x:c>
      <x:c r="R920" s="66" t="str">
        <x:v>https://sidatagrun-public-1076756628210.asia-southeast2.run.app/ptn_sn.php?ptn=191</x:v>
      </x:c>
    </x:row>
    <x:row r="921">
      <x:c r="A921" s="87" t="n">
        <x:v>2757</x:v>
      </x:c>
      <x:c r="B921" s="87" t="n">
        <x:v>191</x:v>
      </x:c>
      <x:c r="C921" s="66" t="str">
        <x:v>UNIVERSITAS LAMPUNG</x:v>
      </x:c>
      <x:c r="D921" s="66" t="str">
        <x:v>PTN Akademik</x:v>
      </x:c>
      <x:c r="E921" s="66" t="str">
        <x:v>11911036</x:v>
      </x:c>
      <x:c r="F921" s="66" t="str">
        <x:v>BIOLOGI TERAPAN</x:v>
      </x:c>
      <x:c r="G921" s="66" t="str">
        <x:v>Sarjana</x:v>
      </x:c>
      <x:c r="H921" s="87" t="n">
        <x:v>30</x:v>
      </x:c>
      <x:c r="I921" s="87" t="n">
        <x:v>119</x:v>
      </x:c>
      <x:c r="J921" s="68" t="n">
        <x:f>IFERROR(H921/I921,"")</x:f>
        <x:v>0.25210084033613445</x:v>
      </x:c>
      <x:c r="K921" s="69" t="n">
        <x:f>IFERROR(I921/H921,"")</x:f>
        <x:v>3.966666666666667</x:v>
      </x:c>
      <x:c r="L921" s="66" t="str">
        <x:f>IF(K921="","","1 : "&amp;TEXT(K921,"0.0"))</x:f>
        <x:v>1 : 4.0</x:v>
      </x:c>
      <x:c r="M921" s="66" t="str">
        <x:f>IF(J921="","Baru/Tanpa Data",IF(J921&lt;='Catatan &amp; Sumber'!$B$14,"Sangat Ketat",IF(J921&lt;='Catatan &amp; Sumber'!$B$15,"Ketat",IF(J921&lt;='Catatan &amp; Sumber'!$B$16,"Sedang","Relatif Longgar"))))</x:f>
        <x:v>Relatif Longgar</x:v>
      </x:c>
      <x:c r="N921" s="66" t="str">
        <x:v>Tidak Ada</x:v>
      </x:c>
      <x:c r="O921" s="66" t="str">
        <x:v>Lampung</x:v>
      </x:c>
      <x:c r="P921" s="66" t="str">
        <x:v>Kota Bandar Lampung</x:v>
      </x:c>
      <x:c r="Q921" s="66" t="str">
        <x:v>https://snpmb.id/snbp/daya-tampung-snbp</x:v>
      </x:c>
      <x:c r="R921" s="66" t="str">
        <x:v>https://sidatagrun-public-1076756628210.asia-southeast2.run.app/ptn_sn.php?ptn=191</x:v>
      </x:c>
    </x:row>
    <x:row r="922">
      <x:c r="A922" s="87" t="n">
        <x:v>1741</x:v>
      </x:c>
      <x:c r="B922" s="87" t="n">
        <x:v>191</x:v>
      </x:c>
      <x:c r="C922" s="66" t="str">
        <x:v>UNIVERSITAS LAMPUNG</x:v>
      </x:c>
      <x:c r="D922" s="66" t="str">
        <x:v>PTN Akademik</x:v>
      </x:c>
      <x:c r="E922" s="66" t="str">
        <x:v>11911037</x:v>
      </x:c>
      <x:c r="F922" s="66" t="str">
        <x:v>TEKNIK LINGKUNGAN</x:v>
      </x:c>
      <x:c r="G922" s="66" t="str">
        <x:v>Sarjana</x:v>
      </x:c>
      <x:c r="H922" s="87" t="n">
        <x:v>27</x:v>
      </x:c>
      <x:c r="I922" s="87" t="n">
        <x:v>212</x:v>
      </x:c>
      <x:c r="J922" s="68" t="n">
        <x:f>IFERROR(H922/I922,"")</x:f>
        <x:v>0.12735849056603774</x:v>
      </x:c>
      <x:c r="K922" s="69" t="n">
        <x:f>IFERROR(I922/H922,"")</x:f>
        <x:v>7.851851851851852</x:v>
      </x:c>
      <x:c r="L922" s="66" t="str">
        <x:f>IF(K922="","","1 : "&amp;TEXT(K922,"0.0"))</x:f>
        <x:v>1 : 7.9</x:v>
      </x:c>
      <x:c r="M922" s="66" t="str">
        <x:f>IF(J922="","Baru/Tanpa Data",IF(J922&lt;='Catatan &amp; Sumber'!$B$14,"Sangat Ketat",IF(J922&lt;='Catatan &amp; Sumber'!$B$15,"Ketat",IF(J922&lt;='Catatan &amp; Sumber'!$B$16,"Sedang","Relatif Longgar"))))</x:f>
        <x:v>Relatif Longgar</x:v>
      </x:c>
      <x:c r="N922" s="66" t="str">
        <x:v>Tidak Ada</x:v>
      </x:c>
      <x:c r="O922" s="66" t="str">
        <x:v>Lampung</x:v>
      </x:c>
      <x:c r="P922" s="66" t="str">
        <x:v>Kota Bandar Lampung</x:v>
      </x:c>
      <x:c r="Q922" s="66" t="str">
        <x:v>https://snpmb.id/snbp/daya-tampung-snbp</x:v>
      </x:c>
      <x:c r="R922" s="66" t="str">
        <x:v>https://sidatagrun-public-1076756628210.asia-southeast2.run.app/ptn_sn.php?ptn=191</x:v>
      </x:c>
    </x:row>
    <x:row r="923">
      <x:c r="A923" s="87" t="n">
        <x:v>2134</x:v>
      </x:c>
      <x:c r="B923" s="87" t="n">
        <x:v>191</x:v>
      </x:c>
      <x:c r="C923" s="66" t="str">
        <x:v>UNIVERSITAS LAMPUNG</x:v>
      </x:c>
      <x:c r="D923" s="66" t="str">
        <x:v>PTN Akademik</x:v>
      </x:c>
      <x:c r="E923" s="66" t="str">
        <x:v>11911038</x:v>
      </x:c>
      <x:c r="F923" s="66" t="str">
        <x:v>HUKUM</x:v>
      </x:c>
      <x:c r="G923" s="66" t="str">
        <x:v>Sarjana</x:v>
      </x:c>
      <x:c r="H923" s="87" t="n">
        <x:v>210</x:v>
      </x:c>
      <x:c r="I923" s="87" t="n">
        <x:v>1274</x:v>
      </x:c>
      <x:c r="J923" s="68" t="n">
        <x:f>IFERROR(H923/I923,"")</x:f>
        <x:v>0.16483516483516483</x:v>
      </x:c>
      <x:c r="K923" s="69" t="n">
        <x:f>IFERROR(I923/H923,"")</x:f>
        <x:v>6.066666666666666</x:v>
      </x:c>
      <x:c r="L923" s="66" t="str">
        <x:f>IF(K923="","","1 : "&amp;TEXT(K923,"0.0"))</x:f>
        <x:v>1 : 6.1</x:v>
      </x:c>
      <x:c r="M923" s="66" t="str">
        <x:f>IF(J923="","Baru/Tanpa Data",IF(J923&lt;='Catatan &amp; Sumber'!$B$14,"Sangat Ketat",IF(J923&lt;='Catatan &amp; Sumber'!$B$15,"Ketat",IF(J923&lt;='Catatan &amp; Sumber'!$B$16,"Sedang","Relatif Longgar"))))</x:f>
        <x:v>Relatif Longgar</x:v>
      </x:c>
      <x:c r="N923" s="66" t="str">
        <x:v>Tidak Ada</x:v>
      </x:c>
      <x:c r="O923" s="66" t="str">
        <x:v>Lampung</x:v>
      </x:c>
      <x:c r="P923" s="66" t="str">
        <x:v>Kota Bandar Lampung</x:v>
      </x:c>
      <x:c r="Q923" s="66" t="str">
        <x:v>https://snpmb.id/snbp/daya-tampung-snbp</x:v>
      </x:c>
      <x:c r="R923" s="66" t="str">
        <x:v>https://sidatagrun-public-1076756628210.asia-southeast2.run.app/ptn_sn.php?ptn=191</x:v>
      </x:c>
    </x:row>
    <x:row r="924">
      <x:c r="A924" s="87" t="n">
        <x:v>1949</x:v>
      </x:c>
      <x:c r="B924" s="87" t="n">
        <x:v>191</x:v>
      </x:c>
      <x:c r="C924" s="66" t="str">
        <x:v>UNIVERSITAS LAMPUNG</x:v>
      </x:c>
      <x:c r="D924" s="66" t="str">
        <x:v>PTN Akademik</x:v>
      </x:c>
      <x:c r="E924" s="66" t="str">
        <x:v>11911039</x:v>
      </x:c>
      <x:c r="F924" s="66" t="str">
        <x:v>SOSIOLOGI</x:v>
      </x:c>
      <x:c r="G924" s="66" t="str">
        <x:v>Sarjana</x:v>
      </x:c>
      <x:c r="H924" s="87" t="n">
        <x:v>60</x:v>
      </x:c>
      <x:c r="I924" s="87" t="n">
        <x:v>410</x:v>
      </x:c>
      <x:c r="J924" s="68" t="n">
        <x:f>IFERROR(H924/I924,"")</x:f>
        <x:v>0.14634146341463414</x:v>
      </x:c>
      <x:c r="K924" s="69" t="n">
        <x:f>IFERROR(I924/H924,"")</x:f>
        <x:v>6.833333333333333</x:v>
      </x:c>
      <x:c r="L924" s="66" t="str">
        <x:f>IF(K924="","","1 : "&amp;TEXT(K924,"0.0"))</x:f>
        <x:v>1 : 6.8</x:v>
      </x:c>
      <x:c r="M924" s="66" t="str">
        <x:f>IF(J924="","Baru/Tanpa Data",IF(J924&lt;='Catatan &amp; Sumber'!$B$14,"Sangat Ketat",IF(J924&lt;='Catatan &amp; Sumber'!$B$15,"Ketat",IF(J924&lt;='Catatan &amp; Sumber'!$B$16,"Sedang","Relatif Longgar"))))</x:f>
        <x:v>Relatif Longgar</x:v>
      </x:c>
      <x:c r="N924" s="66" t="str">
        <x:v>Tidak Ada</x:v>
      </x:c>
      <x:c r="O924" s="66" t="str">
        <x:v>Lampung</x:v>
      </x:c>
      <x:c r="P924" s="66" t="str">
        <x:v>Kota Bandar Lampung</x:v>
      </x:c>
      <x:c r="Q924" s="66" t="str">
        <x:v>https://snpmb.id/snbp/daya-tampung-snbp</x:v>
      </x:c>
      <x:c r="R924" s="66" t="str">
        <x:v>https://sidatagrun-public-1076756628210.asia-southeast2.run.app/ptn_sn.php?ptn=191</x:v>
      </x:c>
    </x:row>
    <x:row r="925">
      <x:c r="A925" s="87" t="n">
        <x:v>2060</x:v>
      </x:c>
      <x:c r="B925" s="87" t="n">
        <x:v>191</x:v>
      </x:c>
      <x:c r="C925" s="66" t="str">
        <x:v>UNIVERSITAS LAMPUNG</x:v>
      </x:c>
      <x:c r="D925" s="66" t="str">
        <x:v>PTN Akademik</x:v>
      </x:c>
      <x:c r="E925" s="66" t="str">
        <x:v>11911040</x:v>
      </x:c>
      <x:c r="F925" s="66" t="str">
        <x:v>ILMU PEMERINTAHAN</x:v>
      </x:c>
      <x:c r="G925" s="66" t="str">
        <x:v>Sarjana</x:v>
      </x:c>
      <x:c r="H925" s="87" t="n">
        <x:v>60</x:v>
      </x:c>
      <x:c r="I925" s="87" t="n">
        <x:v>380</x:v>
      </x:c>
      <x:c r="J925" s="68" t="n">
        <x:f>IFERROR(H925/I925,"")</x:f>
        <x:v>0.15789473684210525</x:v>
      </x:c>
      <x:c r="K925" s="69" t="n">
        <x:f>IFERROR(I925/H925,"")</x:f>
        <x:v>6.333333333333333</x:v>
      </x:c>
      <x:c r="L925" s="66" t="str">
        <x:f>IF(K925="","","1 : "&amp;TEXT(K925,"0.0"))</x:f>
        <x:v>1 : 6.3</x:v>
      </x:c>
      <x:c r="M925" s="66" t="str">
        <x:f>IF(J925="","Baru/Tanpa Data",IF(J925&lt;='Catatan &amp; Sumber'!$B$14,"Sangat Ketat",IF(J925&lt;='Catatan &amp; Sumber'!$B$15,"Ketat",IF(J925&lt;='Catatan &amp; Sumber'!$B$16,"Sedang","Relatif Longgar"))))</x:f>
        <x:v>Relatif Longgar</x:v>
      </x:c>
      <x:c r="N925" s="66" t="str">
        <x:v>Tidak Ada</x:v>
      </x:c>
      <x:c r="O925" s="66" t="str">
        <x:v>Lampung</x:v>
      </x:c>
      <x:c r="P925" s="66" t="str">
        <x:v>Kota Bandar Lampung</x:v>
      </x:c>
      <x:c r="Q925" s="66" t="str">
        <x:v>https://snpmb.id/snbp/daya-tampung-snbp</x:v>
      </x:c>
      <x:c r="R925" s="66" t="str">
        <x:v>https://sidatagrun-public-1076756628210.asia-southeast2.run.app/ptn_sn.php?ptn=191</x:v>
      </x:c>
    </x:row>
    <x:row r="926">
      <x:c r="A926" s="87" t="n">
        <x:v>327</x:v>
      </x:c>
      <x:c r="B926" s="87" t="n">
        <x:v>191</x:v>
      </x:c>
      <x:c r="C926" s="66" t="str">
        <x:v>UNIVERSITAS LAMPUNG</x:v>
      </x:c>
      <x:c r="D926" s="66" t="str">
        <x:v>PTN Akademik</x:v>
      </x:c>
      <x:c r="E926" s="66" t="str">
        <x:v>11911041</x:v>
      </x:c>
      <x:c r="F926" s="66" t="str">
        <x:v>MANAJEMEN</x:v>
      </x:c>
      <x:c r="G926" s="66" t="str">
        <x:v>Sarjana</x:v>
      </x:c>
      <x:c r="H926" s="87" t="n">
        <x:v>55</x:v>
      </x:c>
      <x:c r="I926" s="87" t="n">
        <x:v>1259</x:v>
      </x:c>
      <x:c r="J926" s="68" t="n">
        <x:f>IFERROR(H926/I926,"")</x:f>
        <x:v>0.043685464654487687</x:v>
      </x:c>
      <x:c r="K926" s="69" t="n">
        <x:f>IFERROR(I926/H926,"")</x:f>
        <x:v>22.89090909090909</x:v>
      </x:c>
      <x:c r="L926" s="66" t="str">
        <x:f>IF(K926="","","1 : "&amp;TEXT(K926,"0.0"))</x:f>
        <x:v>1 : 22.9</x:v>
      </x:c>
      <x:c r="M926" s="66" t="str">
        <x:f>IF(J926="","Baru/Tanpa Data",IF(J926&lt;='Catatan &amp; Sumber'!$B$14,"Sangat Ketat",IF(J926&lt;='Catatan &amp; Sumber'!$B$15,"Ketat",IF(J926&lt;='Catatan &amp; Sumber'!$B$16,"Sedang","Relatif Longgar"))))</x:f>
        <x:v>Ketat</x:v>
      </x:c>
      <x:c r="N926" s="66" t="str">
        <x:v>Tidak Ada</x:v>
      </x:c>
      <x:c r="O926" s="66" t="str">
        <x:v>Lampung</x:v>
      </x:c>
      <x:c r="P926" s="66" t="str">
        <x:v>Kota Bandar Lampung</x:v>
      </x:c>
      <x:c r="Q926" s="66" t="str">
        <x:v>https://snpmb.id/snbp/daya-tampung-snbp</x:v>
      </x:c>
      <x:c r="R926" s="66" t="str">
        <x:v>https://sidatagrun-public-1076756628210.asia-southeast2.run.app/ptn_sn.php?ptn=191</x:v>
      </x:c>
    </x:row>
    <x:row r="927">
      <x:c r="A927" s="87" t="n">
        <x:v>1958</x:v>
      </x:c>
      <x:c r="B927" s="87" t="n">
        <x:v>191</x:v>
      </x:c>
      <x:c r="C927" s="66" t="str">
        <x:v>UNIVERSITAS LAMPUNG</x:v>
      </x:c>
      <x:c r="D927" s="66" t="str">
        <x:v>PTN Akademik</x:v>
      </x:c>
      <x:c r="E927" s="66" t="str">
        <x:v>11911042</x:v>
      </x:c>
      <x:c r="F927" s="66" t="str">
        <x:v>EKONOMI PEMBANGUNAN</x:v>
      </x:c>
      <x:c r="G927" s="66" t="str">
        <x:v>Sarjana</x:v>
      </x:c>
      <x:c r="H927" s="87" t="n">
        <x:v>50</x:v>
      </x:c>
      <x:c r="I927" s="87" t="n">
        <x:v>340</x:v>
      </x:c>
      <x:c r="J927" s="68" t="n">
        <x:f>IFERROR(H927/I927,"")</x:f>
        <x:v>0.14705882352941177</x:v>
      </x:c>
      <x:c r="K927" s="69" t="n">
        <x:f>IFERROR(I927/H927,"")</x:f>
        <x:v>6.8</x:v>
      </x:c>
      <x:c r="L927" s="66" t="str">
        <x:f>IF(K927="","","1 : "&amp;TEXT(K927,"0.0"))</x:f>
        <x:v>1 : 6.8</x:v>
      </x:c>
      <x:c r="M927" s="66" t="str">
        <x:f>IF(J927="","Baru/Tanpa Data",IF(J927&lt;='Catatan &amp; Sumber'!$B$14,"Sangat Ketat",IF(J927&lt;='Catatan &amp; Sumber'!$B$15,"Ketat",IF(J927&lt;='Catatan &amp; Sumber'!$B$16,"Sedang","Relatif Longgar"))))</x:f>
        <x:v>Relatif Longgar</x:v>
      </x:c>
      <x:c r="N927" s="66" t="str">
        <x:v>Tidak Ada</x:v>
      </x:c>
      <x:c r="O927" s="66" t="str">
        <x:v>Lampung</x:v>
      </x:c>
      <x:c r="P927" s="66" t="str">
        <x:v>Kota Bandar Lampung</x:v>
      </x:c>
      <x:c r="Q927" s="66" t="str">
        <x:v>https://snpmb.id/snbp/daya-tampung-snbp</x:v>
      </x:c>
      <x:c r="R927" s="66" t="str">
        <x:v>https://sidatagrun-public-1076756628210.asia-southeast2.run.app/ptn_sn.php?ptn=191</x:v>
      </x:c>
    </x:row>
    <x:row r="928">
      <x:c r="A928" s="87" t="n">
        <x:v>471</x:v>
      </x:c>
      <x:c r="B928" s="87" t="n">
        <x:v>191</x:v>
      </x:c>
      <x:c r="C928" s="66" t="str">
        <x:v>UNIVERSITAS LAMPUNG</x:v>
      </x:c>
      <x:c r="D928" s="66" t="str">
        <x:v>PTN Akademik</x:v>
      </x:c>
      <x:c r="E928" s="66" t="str">
        <x:v>11911043</x:v>
      </x:c>
      <x:c r="F928" s="66" t="str">
        <x:v>AKUNTANSI</x:v>
      </x:c>
      <x:c r="G928" s="66" t="str">
        <x:v>Sarjana</x:v>
      </x:c>
      <x:c r="H928" s="87" t="n">
        <x:v>55</x:v>
      </x:c>
      <x:c r="I928" s="87" t="n">
        <x:v>1104</x:v>
      </x:c>
      <x:c r="J928" s="68" t="n">
        <x:f>IFERROR(H928/I928,"")</x:f>
        <x:v>0.049818840579710144</x:v>
      </x:c>
      <x:c r="K928" s="69" t="n">
        <x:f>IFERROR(I928/H928,"")</x:f>
        <x:v>20.072727272727274</x:v>
      </x:c>
      <x:c r="L928" s="66" t="str">
        <x:f>IF(K928="","","1 : "&amp;TEXT(K928,"0.0"))</x:f>
        <x:v>1 : 20.1</x:v>
      </x:c>
      <x:c r="M928" s="66" t="str">
        <x:f>IF(J928="","Baru/Tanpa Data",IF(J928&lt;='Catatan &amp; Sumber'!$B$14,"Sangat Ketat",IF(J928&lt;='Catatan &amp; Sumber'!$B$15,"Ketat",IF(J928&lt;='Catatan &amp; Sumber'!$B$16,"Sedang","Relatif Longgar"))))</x:f>
        <x:v>Ketat</x:v>
      </x:c>
      <x:c r="N928" s="66" t="str">
        <x:v>Tidak Ada</x:v>
      </x:c>
      <x:c r="O928" s="66" t="str">
        <x:v>Lampung</x:v>
      </x:c>
      <x:c r="P928" s="66" t="str">
        <x:v>Kota Bandar Lampung</x:v>
      </x:c>
      <x:c r="Q928" s="66" t="str">
        <x:v>https://snpmb.id/snbp/daya-tampung-snbp</x:v>
      </x:c>
      <x:c r="R928" s="66" t="str">
        <x:v>https://sidatagrun-public-1076756628210.asia-southeast2.run.app/ptn_sn.php?ptn=191</x:v>
      </x:c>
    </x:row>
    <x:row r="929">
      <x:c r="A929" s="87" t="n">
        <x:v>736</x:v>
      </x:c>
      <x:c r="B929" s="87" t="n">
        <x:v>191</x:v>
      </x:c>
      <x:c r="C929" s="66" t="str">
        <x:v>UNIVERSITAS LAMPUNG</x:v>
      </x:c>
      <x:c r="D929" s="66" t="str">
        <x:v>PTN Akademik</x:v>
      </x:c>
      <x:c r="E929" s="66" t="str">
        <x:v>11911044</x:v>
      </x:c>
      <x:c r="F929" s="66" t="str">
        <x:v>ILMU KOMUNIKASI</x:v>
      </x:c>
      <x:c r="G929" s="66" t="str">
        <x:v>Sarjana</x:v>
      </x:c>
      <x:c r="H929" s="87" t="n">
        <x:v>60</x:v>
      </x:c>
      <x:c r="I929" s="87" t="n">
        <x:v>936</x:v>
      </x:c>
      <x:c r="J929" s="68" t="n">
        <x:f>IFERROR(H929/I929,"")</x:f>
        <x:v>0.0641025641025641</x:v>
      </x:c>
      <x:c r="K929" s="69" t="n">
        <x:f>IFERROR(I929/H929,"")</x:f>
        <x:v>15.6</x:v>
      </x:c>
      <x:c r="L929" s="66" t="str">
        <x:f>IF(K929="","","1 : "&amp;TEXT(K929,"0.0"))</x:f>
        <x:v>1 : 15.6</x:v>
      </x:c>
      <x:c r="M929" s="66" t="str">
        <x:f>IF(J929="","Baru/Tanpa Data",IF(J929&lt;='Catatan &amp; Sumber'!$B$14,"Sangat Ketat",IF(J929&lt;='Catatan &amp; Sumber'!$B$15,"Ketat",IF(J929&lt;='Catatan &amp; Sumber'!$B$16,"Sedang","Relatif Longgar"))))</x:f>
        <x:v>Sedang</x:v>
      </x:c>
      <x:c r="N929" s="66" t="str">
        <x:v>Tidak Ada</x:v>
      </x:c>
      <x:c r="O929" s="66" t="str">
        <x:v>Lampung</x:v>
      </x:c>
      <x:c r="P929" s="66" t="str">
        <x:v>Kota Bandar Lampung</x:v>
      </x:c>
      <x:c r="Q929" s="66" t="str">
        <x:v>https://snpmb.id/snbp/daya-tampung-snbp</x:v>
      </x:c>
      <x:c r="R929" s="66" t="str">
        <x:v>https://sidatagrun-public-1076756628210.asia-southeast2.run.app/ptn_sn.php?ptn=191</x:v>
      </x:c>
    </x:row>
    <x:row r="930">
      <x:c r="A930" s="87" t="n">
        <x:v>1647</x:v>
      </x:c>
      <x:c r="B930" s="87" t="n">
        <x:v>191</x:v>
      </x:c>
      <x:c r="C930" s="66" t="str">
        <x:v>UNIVERSITAS LAMPUNG</x:v>
      </x:c>
      <x:c r="D930" s="66" t="str">
        <x:v>PTN Akademik</x:v>
      </x:c>
      <x:c r="E930" s="66" t="str">
        <x:v>11911045</x:v>
      </x:c>
      <x:c r="F930" s="66" t="str">
        <x:v>ILMU ADM. NEGARA</x:v>
      </x:c>
      <x:c r="G930" s="66" t="str">
        <x:v>Sarjana</x:v>
      </x:c>
      <x:c r="H930" s="87" t="n">
        <x:v>60</x:v>
      </x:c>
      <x:c r="I930" s="87" t="n">
        <x:v>500</x:v>
      </x:c>
      <x:c r="J930" s="68" t="n">
        <x:f>IFERROR(H930/I930,"")</x:f>
        <x:v>0.12</x:v>
      </x:c>
      <x:c r="K930" s="69" t="n">
        <x:f>IFERROR(I930/H930,"")</x:f>
        <x:v>8.333333333333334</x:v>
      </x:c>
      <x:c r="L930" s="66" t="str">
        <x:f>IF(K930="","","1 : "&amp;TEXT(K930,"0.0"))</x:f>
        <x:v>1 : 8.3</x:v>
      </x:c>
      <x:c r="M930" s="66" t="str">
        <x:f>IF(J930="","Baru/Tanpa Data",IF(J930&lt;='Catatan &amp; Sumber'!$B$14,"Sangat Ketat",IF(J930&lt;='Catatan &amp; Sumber'!$B$15,"Ketat",IF(J930&lt;='Catatan &amp; Sumber'!$B$16,"Sedang","Relatif Longgar"))))</x:f>
        <x:v>Relatif Longgar</x:v>
      </x:c>
      <x:c r="N930" s="66" t="str">
        <x:v>Tidak Ada</x:v>
      </x:c>
      <x:c r="O930" s="66" t="str">
        <x:v>Lampung</x:v>
      </x:c>
      <x:c r="P930" s="66" t="str">
        <x:v>Kota Bandar Lampung</x:v>
      </x:c>
      <x:c r="Q930" s="66" t="str">
        <x:v>https://snpmb.id/snbp/daya-tampung-snbp</x:v>
      </x:c>
      <x:c r="R930" s="66" t="str">
        <x:v>https://sidatagrun-public-1076756628210.asia-southeast2.run.app/ptn_sn.php?ptn=191</x:v>
      </x:c>
    </x:row>
    <x:row r="931">
      <x:c r="A931" s="87" t="n">
        <x:v>874</x:v>
      </x:c>
      <x:c r="B931" s="87" t="n">
        <x:v>191</x:v>
      </x:c>
      <x:c r="C931" s="66" t="str">
        <x:v>UNIVERSITAS LAMPUNG</x:v>
      </x:c>
      <x:c r="D931" s="66" t="str">
        <x:v>PTN Akademik</x:v>
      </x:c>
      <x:c r="E931" s="66" t="str">
        <x:v>11911046</x:v>
      </x:c>
      <x:c r="F931" s="66" t="str">
        <x:v>ILMU ADM. NIAGA/BISNIS</x:v>
      </x:c>
      <x:c r="G931" s="66" t="str">
        <x:v>Sarjana</x:v>
      </x:c>
      <x:c r="H931" s="87" t="n">
        <x:v>60</x:v>
      </x:c>
      <x:c r="I931" s="87" t="n">
        <x:v>850</x:v>
      </x:c>
      <x:c r="J931" s="68" t="n">
        <x:f>IFERROR(H931/I931,"")</x:f>
        <x:v>0.07058823529411765</x:v>
      </x:c>
      <x:c r="K931" s="69" t="n">
        <x:f>IFERROR(I931/H931,"")</x:f>
        <x:v>14.166666666666666</x:v>
      </x:c>
      <x:c r="L931" s="66" t="str">
        <x:f>IF(K931="","","1 : "&amp;TEXT(K931,"0.0"))</x:f>
        <x:v>1 : 14.2</x:v>
      </x:c>
      <x:c r="M931" s="66" t="str">
        <x:f>IF(J931="","Baru/Tanpa Data",IF(J931&lt;='Catatan &amp; Sumber'!$B$14,"Sangat Ketat",IF(J931&lt;='Catatan &amp; Sumber'!$B$15,"Ketat",IF(J931&lt;='Catatan &amp; Sumber'!$B$16,"Sedang","Relatif Longgar"))))</x:f>
        <x:v>Sedang</x:v>
      </x:c>
      <x:c r="N931" s="66" t="str">
        <x:v>Tidak Ada</x:v>
      </x:c>
      <x:c r="O931" s="66" t="str">
        <x:v>Lampung</x:v>
      </x:c>
      <x:c r="P931" s="66" t="str">
        <x:v>Kota Bandar Lampung</x:v>
      </x:c>
      <x:c r="Q931" s="66" t="str">
        <x:v>https://snpmb.id/snbp/daya-tampung-snbp</x:v>
      </x:c>
      <x:c r="R931" s="66" t="str">
        <x:v>https://sidatagrun-public-1076756628210.asia-southeast2.run.app/ptn_sn.php?ptn=191</x:v>
      </x:c>
    </x:row>
    <x:row r="932">
      <x:c r="A932" s="87" t="n">
        <x:v>523</x:v>
      </x:c>
      <x:c r="B932" s="87" t="n">
        <x:v>191</x:v>
      </x:c>
      <x:c r="C932" s="66" t="str">
        <x:v>UNIVERSITAS LAMPUNG</x:v>
      </x:c>
      <x:c r="D932" s="66" t="str">
        <x:v>PTN Akademik</x:v>
      </x:c>
      <x:c r="E932" s="66" t="str">
        <x:v>11911047</x:v>
      </x:c>
      <x:c r="F932" s="66" t="str">
        <x:v>PPKN</x:v>
      </x:c>
      <x:c r="G932" s="66" t="str">
        <x:v>Sarjana</x:v>
      </x:c>
      <x:c r="H932" s="87" t="n">
        <x:v>25</x:v>
      </x:c>
      <x:c r="I932" s="87" t="n">
        <x:v>474</x:v>
      </x:c>
      <x:c r="J932" s="68" t="n">
        <x:f>IFERROR(H932/I932,"")</x:f>
        <x:v>0.052742616033755275</x:v>
      </x:c>
      <x:c r="K932" s="69" t="n">
        <x:f>IFERROR(I932/H932,"")</x:f>
        <x:v>18.96</x:v>
      </x:c>
      <x:c r="L932" s="66" t="str">
        <x:f>IF(K932="","","1 : "&amp;TEXT(K932,"0.0"))</x:f>
        <x:v>1 : 19.0</x:v>
      </x:c>
      <x:c r="M932" s="66" t="str">
        <x:f>IF(J932="","Baru/Tanpa Data",IF(J932&lt;='Catatan &amp; Sumber'!$B$14,"Sangat Ketat",IF(J932&lt;='Catatan &amp; Sumber'!$B$15,"Ketat",IF(J932&lt;='Catatan &amp; Sumber'!$B$16,"Sedang","Relatif Longgar"))))</x:f>
        <x:v>Sedang</x:v>
      </x:c>
      <x:c r="N932" s="66" t="str">
        <x:v>Tidak Ada</x:v>
      </x:c>
      <x:c r="O932" s="66" t="str">
        <x:v>Lampung</x:v>
      </x:c>
      <x:c r="P932" s="66" t="str">
        <x:v>Kota Bandar Lampung</x:v>
      </x:c>
      <x:c r="Q932" s="66" t="str">
        <x:v>https://snpmb.id/snbp/daya-tampung-snbp</x:v>
      </x:c>
      <x:c r="R932" s="66" t="str">
        <x:v>https://sidatagrun-public-1076756628210.asia-southeast2.run.app/ptn_sn.php?ptn=191</x:v>
      </x:c>
    </x:row>
    <x:row r="933">
      <x:c r="A933" s="87" t="n">
        <x:v>1100</x:v>
      </x:c>
      <x:c r="B933" s="87" t="n">
        <x:v>191</x:v>
      </x:c>
      <x:c r="C933" s="66" t="str">
        <x:v>UNIVERSITAS LAMPUNG</x:v>
      </x:c>
      <x:c r="D933" s="66" t="str">
        <x:v>PTN Akademik</x:v>
      </x:c>
      <x:c r="E933" s="66" t="str">
        <x:v>11911048</x:v>
      </x:c>
      <x:c r="F933" s="66" t="str">
        <x:v>PEND. SEJARAH</x:v>
      </x:c>
      <x:c r="G933" s="66" t="str">
        <x:v>Sarjana</x:v>
      </x:c>
      <x:c r="H933" s="87" t="n">
        <x:v>25</x:v>
      </x:c>
      <x:c r="I933" s="87" t="n">
        <x:v>298</x:v>
      </x:c>
      <x:c r="J933" s="68" t="n">
        <x:f>IFERROR(H933/I933,"")</x:f>
        <x:v>0.08389261744966443</x:v>
      </x:c>
      <x:c r="K933" s="69" t="n">
        <x:f>IFERROR(I933/H933,"")</x:f>
        <x:v>11.92</x:v>
      </x:c>
      <x:c r="L933" s="66" t="str">
        <x:f>IF(K933="","","1 : "&amp;TEXT(K933,"0.0"))</x:f>
        <x:v>1 : 11.9</x:v>
      </x:c>
      <x:c r="M933" s="66" t="str">
        <x:f>IF(J933="","Baru/Tanpa Data",IF(J933&lt;='Catatan &amp; Sumber'!$B$14,"Sangat Ketat",IF(J933&lt;='Catatan &amp; Sumber'!$B$15,"Ketat",IF(J933&lt;='Catatan &amp; Sumber'!$B$16,"Sedang","Relatif Longgar"))))</x:f>
        <x:v>Sedang</x:v>
      </x:c>
      <x:c r="N933" s="66" t="str">
        <x:v>Tidak Ada</x:v>
      </x:c>
      <x:c r="O933" s="66" t="str">
        <x:v>Lampung</x:v>
      </x:c>
      <x:c r="P933" s="66" t="str">
        <x:v>Kota Bandar Lampung</x:v>
      </x:c>
      <x:c r="Q933" s="66" t="str">
        <x:v>https://snpmb.id/snbp/daya-tampung-snbp</x:v>
      </x:c>
      <x:c r="R933" s="66" t="str">
        <x:v>https://sidatagrun-public-1076756628210.asia-southeast2.run.app/ptn_sn.php?ptn=191</x:v>
      </x:c>
    </x:row>
    <x:row r="934">
      <x:c r="A934" s="87" t="n">
        <x:v>1183</x:v>
      </x:c>
      <x:c r="B934" s="87" t="n">
        <x:v>191</x:v>
      </x:c>
      <x:c r="C934" s="66" t="str">
        <x:v>UNIVERSITAS LAMPUNG</x:v>
      </x:c>
      <x:c r="D934" s="66" t="str">
        <x:v>PTN Akademik</x:v>
      </x:c>
      <x:c r="E934" s="66" t="str">
        <x:v>11911049</x:v>
      </x:c>
      <x:c r="F934" s="66" t="str">
        <x:v>PEND. GEOGRAFI</x:v>
      </x:c>
      <x:c r="G934" s="66" t="str">
        <x:v>Sarjana</x:v>
      </x:c>
      <x:c r="H934" s="87" t="n">
        <x:v>25</x:v>
      </x:c>
      <x:c r="I934" s="87" t="n">
        <x:v>282</x:v>
      </x:c>
      <x:c r="J934" s="68" t="n">
        <x:f>IFERROR(H934/I934,"")</x:f>
        <x:v>0.08865248226950355</x:v>
      </x:c>
      <x:c r="K934" s="69" t="n">
        <x:f>IFERROR(I934/H934,"")</x:f>
        <x:v>11.28</x:v>
      </x:c>
      <x:c r="L934" s="66" t="str">
        <x:f>IF(K934="","","1 : "&amp;TEXT(K934,"0.0"))</x:f>
        <x:v>1 : 11.3</x:v>
      </x:c>
      <x:c r="M934" s="66" t="str">
        <x:f>IF(J934="","Baru/Tanpa Data",IF(J934&lt;='Catatan &amp; Sumber'!$B$14,"Sangat Ketat",IF(J934&lt;='Catatan &amp; Sumber'!$B$15,"Ketat",IF(J934&lt;='Catatan &amp; Sumber'!$B$16,"Sedang","Relatif Longgar"))))</x:f>
        <x:v>Sedang</x:v>
      </x:c>
      <x:c r="N934" s="66" t="str">
        <x:v>Tidak Ada</x:v>
      </x:c>
      <x:c r="O934" s="66" t="str">
        <x:v>Lampung</x:v>
      </x:c>
      <x:c r="P934" s="66" t="str">
        <x:v>Kota Bandar Lampung</x:v>
      </x:c>
      <x:c r="Q934" s="66" t="str">
        <x:v>https://snpmb.id/snbp/daya-tampung-snbp</x:v>
      </x:c>
      <x:c r="R934" s="66" t="str">
        <x:v>https://sidatagrun-public-1076756628210.asia-southeast2.run.app/ptn_sn.php?ptn=191</x:v>
      </x:c>
    </x:row>
    <x:row r="935">
      <x:c r="A935" s="87" t="n">
        <x:v>1347</x:v>
      </x:c>
      <x:c r="B935" s="87" t="n">
        <x:v>191</x:v>
      </x:c>
      <x:c r="C935" s="66" t="str">
        <x:v>UNIVERSITAS LAMPUNG</x:v>
      </x:c>
      <x:c r="D935" s="66" t="str">
        <x:v>PTN Akademik</x:v>
      </x:c>
      <x:c r="E935" s="66" t="str">
        <x:v>11911050</x:v>
      </x:c>
      <x:c r="F935" s="66" t="str">
        <x:v>PEND. EKONOMI</x:v>
      </x:c>
      <x:c r="G935" s="66" t="str">
        <x:v>Sarjana</x:v>
      </x:c>
      <x:c r="H935" s="87" t="n">
        <x:v>33</x:v>
      </x:c>
      <x:c r="I935" s="87" t="n">
        <x:v>336</x:v>
      </x:c>
      <x:c r="J935" s="68" t="n">
        <x:f>IFERROR(H935/I935,"")</x:f>
        <x:v>0.09821428571428571</x:v>
      </x:c>
      <x:c r="K935" s="69" t="n">
        <x:f>IFERROR(I935/H935,"")</x:f>
        <x:v>10.181818181818182</x:v>
      </x:c>
      <x:c r="L935" s="66" t="str">
        <x:f>IF(K935="","","1 : "&amp;TEXT(K935,"0.0"))</x:f>
        <x:v>1 : 10.2</x:v>
      </x:c>
      <x:c r="M935" s="66" t="str">
        <x:f>IF(J935="","Baru/Tanpa Data",IF(J935&lt;='Catatan &amp; Sumber'!$B$14,"Sangat Ketat",IF(J935&lt;='Catatan &amp; Sumber'!$B$15,"Ketat",IF(J935&lt;='Catatan &amp; Sumber'!$B$16,"Sedang","Relatif Longgar"))))</x:f>
        <x:v>Sedang</x:v>
      </x:c>
      <x:c r="N935" s="66" t="str">
        <x:v>Tidak Ada</x:v>
      </x:c>
      <x:c r="O935" s="66" t="str">
        <x:v>Lampung</x:v>
      </x:c>
      <x:c r="P935" s="66" t="str">
        <x:v>Kota Bandar Lampung</x:v>
      </x:c>
      <x:c r="Q935" s="66" t="str">
        <x:v>https://snpmb.id/snbp/daya-tampung-snbp</x:v>
      </x:c>
      <x:c r="R935" s="66" t="str">
        <x:v>https://sidatagrun-public-1076756628210.asia-southeast2.run.app/ptn_sn.php?ptn=191</x:v>
      </x:c>
    </x:row>
    <x:row r="936">
      <x:c r="A936" s="87" t="n">
        <x:v>1601</x:v>
      </x:c>
      <x:c r="B936" s="87" t="n">
        <x:v>191</x:v>
      </x:c>
      <x:c r="C936" s="66" t="str">
        <x:v>UNIVERSITAS LAMPUNG</x:v>
      </x:c>
      <x:c r="D936" s="66" t="str">
        <x:v>PTN Akademik</x:v>
      </x:c>
      <x:c r="E936" s="66" t="str">
        <x:v>11911051</x:v>
      </x:c>
      <x:c r="F936" s="66" t="str">
        <x:v>PENDIDIKAN JASMANI</x:v>
      </x:c>
      <x:c r="G936" s="66" t="str">
        <x:v>Sarjana</x:v>
      </x:c>
      <x:c r="H936" s="87" t="n">
        <x:v>39</x:v>
      </x:c>
      <x:c r="I936" s="87" t="n">
        <x:v>335</x:v>
      </x:c>
      <x:c r="J936" s="68" t="n">
        <x:f>IFERROR(H936/I936,"")</x:f>
        <x:v>0.11641791044776119</x:v>
      </x:c>
      <x:c r="K936" s="69" t="n">
        <x:f>IFERROR(I936/H936,"")</x:f>
        <x:v>8.58974358974359</x:v>
      </x:c>
      <x:c r="L936" s="66" t="str">
        <x:f>IF(K936="","","1 : "&amp;TEXT(K936,"0.0"))</x:f>
        <x:v>1 : 8.6</x:v>
      </x:c>
      <x:c r="M936" s="66" t="str">
        <x:f>IF(J936="","Baru/Tanpa Data",IF(J936&lt;='Catatan &amp; Sumber'!$B$14,"Sangat Ketat",IF(J936&lt;='Catatan &amp; Sumber'!$B$15,"Ketat",IF(J936&lt;='Catatan &amp; Sumber'!$B$16,"Sedang","Relatif Longgar"))))</x:f>
        <x:v>Relatif Longgar</x:v>
      </x:c>
      <x:c r="N936" s="66" t="str">
        <x:v>Olahraga</x:v>
      </x:c>
      <x:c r="O936" s="66" t="str">
        <x:v>Lampung</x:v>
      </x:c>
      <x:c r="P936" s="66" t="str">
        <x:v>Kota Bandar Lampung</x:v>
      </x:c>
      <x:c r="Q936" s="66" t="str">
        <x:v>https://snpmb.id/snbp/daya-tampung-snbp</x:v>
      </x:c>
      <x:c r="R936" s="66" t="str">
        <x:v>https://sidatagrun-public-1076756628210.asia-southeast2.run.app/ptn_sn.php?ptn=191</x:v>
      </x:c>
    </x:row>
    <x:row r="937">
      <x:c r="A937" s="87" t="n">
        <x:v>224</x:v>
      </x:c>
      <x:c r="B937" s="87" t="n">
        <x:v>191</x:v>
      </x:c>
      <x:c r="C937" s="66" t="str">
        <x:v>UNIVERSITAS LAMPUNG</x:v>
      </x:c>
      <x:c r="D937" s="66" t="str">
        <x:v>PTN Akademik</x:v>
      </x:c>
      <x:c r="E937" s="66" t="str">
        <x:v>11911052</x:v>
      </x:c>
      <x:c r="F937" s="66" t="str">
        <x:v>BIMB. KONSELING</x:v>
      </x:c>
      <x:c r="G937" s="66" t="str">
        <x:v>Sarjana</x:v>
      </x:c>
      <x:c r="H937" s="87" t="n">
        <x:v>35</x:v>
      </x:c>
      <x:c r="I937" s="87" t="n">
        <x:v>922</x:v>
      </x:c>
      <x:c r="J937" s="68" t="n">
        <x:f>IFERROR(H937/I937,"")</x:f>
        <x:v>0.03796095444685466</x:v>
      </x:c>
      <x:c r="K937" s="69" t="n">
        <x:f>IFERROR(I937/H937,"")</x:f>
        <x:v>26.34285714285714</x:v>
      </x:c>
      <x:c r="L937" s="66" t="str">
        <x:f>IF(K937="","","1 : "&amp;TEXT(K937,"0.0"))</x:f>
        <x:v>1 : 26.3</x:v>
      </x:c>
      <x:c r="M937" s="66" t="str">
        <x:f>IF(J937="","Baru/Tanpa Data",IF(J937&lt;='Catatan &amp; Sumber'!$B$14,"Sangat Ketat",IF(J937&lt;='Catatan &amp; Sumber'!$B$15,"Ketat",IF(J937&lt;='Catatan &amp; Sumber'!$B$16,"Sedang","Relatif Longgar"))))</x:f>
        <x:v>Ketat</x:v>
      </x:c>
      <x:c r="N937" s="66" t="str">
        <x:v>Tidak Ada</x:v>
      </x:c>
      <x:c r="O937" s="66" t="str">
        <x:v>Lampung</x:v>
      </x:c>
      <x:c r="P937" s="66" t="str">
        <x:v>Kota Bandar Lampung</x:v>
      </x:c>
      <x:c r="Q937" s="66" t="str">
        <x:v>https://snpmb.id/snbp/daya-tampung-snbp</x:v>
      </x:c>
      <x:c r="R937" s="66" t="str">
        <x:v>https://sidatagrun-public-1076756628210.asia-southeast2.run.app/ptn_sn.php?ptn=191</x:v>
      </x:c>
    </x:row>
    <x:row r="938">
      <x:c r="A938" s="87" t="n">
        <x:v>247</x:v>
      </x:c>
      <x:c r="B938" s="87" t="n">
        <x:v>191</x:v>
      </x:c>
      <x:c r="C938" s="66" t="str">
        <x:v>UNIVERSITAS LAMPUNG</x:v>
      </x:c>
      <x:c r="D938" s="66" t="str">
        <x:v>PTN Akademik</x:v>
      </x:c>
      <x:c r="E938" s="66" t="str">
        <x:v>11911053</x:v>
      </x:c>
      <x:c r="F938" s="66" t="str">
        <x:v>PEND. BAHASA INDONESIA</x:v>
      </x:c>
      <x:c r="G938" s="66" t="str">
        <x:v>Sarjana</x:v>
      </x:c>
      <x:c r="H938" s="87" t="n">
        <x:v>30</x:v>
      </x:c>
      <x:c r="I938" s="87" t="n">
        <x:v>759</x:v>
      </x:c>
      <x:c r="J938" s="68" t="n">
        <x:f>IFERROR(H938/I938,"")</x:f>
        <x:v>0.039525691699604744</x:v>
      </x:c>
      <x:c r="K938" s="69" t="n">
        <x:f>IFERROR(I938/H938,"")</x:f>
        <x:v>25.3</x:v>
      </x:c>
      <x:c r="L938" s="66" t="str">
        <x:f>IF(K938="","","1 : "&amp;TEXT(K938,"0.0"))</x:f>
        <x:v>1 : 25.3</x:v>
      </x:c>
      <x:c r="M938" s="66" t="str">
        <x:f>IF(J938="","Baru/Tanpa Data",IF(J938&lt;='Catatan &amp; Sumber'!$B$14,"Sangat Ketat",IF(J938&lt;='Catatan &amp; Sumber'!$B$15,"Ketat",IF(J938&lt;='Catatan &amp; Sumber'!$B$16,"Sedang","Relatif Longgar"))))</x:f>
        <x:v>Ketat</x:v>
      </x:c>
      <x:c r="N938" s="66" t="str">
        <x:v>Tidak Ada</x:v>
      </x:c>
      <x:c r="O938" s="66" t="str">
        <x:v>Lampung</x:v>
      </x:c>
      <x:c r="P938" s="66" t="str">
        <x:v>Kota Bandar Lampung</x:v>
      </x:c>
      <x:c r="Q938" s="66" t="str">
        <x:v>https://snpmb.id/snbp/daya-tampung-snbp</x:v>
      </x:c>
      <x:c r="R938" s="66" t="str">
        <x:v>https://sidatagrun-public-1076756628210.asia-southeast2.run.app/ptn_sn.php?ptn=191</x:v>
      </x:c>
    </x:row>
    <x:row r="939">
      <x:c r="A939" s="87" t="n">
        <x:v>278</x:v>
      </x:c>
      <x:c r="B939" s="87" t="n">
        <x:v>191</x:v>
      </x:c>
      <x:c r="C939" s="66" t="str">
        <x:v>UNIVERSITAS LAMPUNG</x:v>
      </x:c>
      <x:c r="D939" s="66" t="str">
        <x:v>PTN Akademik</x:v>
      </x:c>
      <x:c r="E939" s="66" t="str">
        <x:v>11911054</x:v>
      </x:c>
      <x:c r="F939" s="66" t="str">
        <x:v>PEND. B. INGGRIS</x:v>
      </x:c>
      <x:c r="G939" s="66" t="str">
        <x:v>Sarjana</x:v>
      </x:c>
      <x:c r="H939" s="87" t="n">
        <x:v>24</x:v>
      </x:c>
      <x:c r="I939" s="87" t="n">
        <x:v>583</x:v>
      </x:c>
      <x:c r="J939" s="68" t="n">
        <x:f>IFERROR(H939/I939,"")</x:f>
        <x:v>0.0411663807890223</x:v>
      </x:c>
      <x:c r="K939" s="69" t="n">
        <x:f>IFERROR(I939/H939,"")</x:f>
        <x:v>24.291666666666668</x:v>
      </x:c>
      <x:c r="L939" s="66" t="str">
        <x:f>IF(K939="","","1 : "&amp;TEXT(K939,"0.0"))</x:f>
        <x:v>1 : 24.3</x:v>
      </x:c>
      <x:c r="M939" s="66" t="str">
        <x:f>IF(J939="","Baru/Tanpa Data",IF(J939&lt;='Catatan &amp; Sumber'!$B$14,"Sangat Ketat",IF(J939&lt;='Catatan &amp; Sumber'!$B$15,"Ketat",IF(J939&lt;='Catatan &amp; Sumber'!$B$16,"Sedang","Relatif Longgar"))))</x:f>
        <x:v>Ketat</x:v>
      </x:c>
      <x:c r="N939" s="66" t="str">
        <x:v>Tidak Ada</x:v>
      </x:c>
      <x:c r="O939" s="66" t="str">
        <x:v>Lampung</x:v>
      </x:c>
      <x:c r="P939" s="66" t="str">
        <x:v>Kota Bandar Lampung</x:v>
      </x:c>
      <x:c r="Q939" s="66" t="str">
        <x:v>https://snpmb.id/snbp/daya-tampung-snbp</x:v>
      </x:c>
      <x:c r="R939" s="66" t="str">
        <x:v>https://sidatagrun-public-1076756628210.asia-southeast2.run.app/ptn_sn.php?ptn=191</x:v>
      </x:c>
    </x:row>
    <x:row r="940">
      <x:c r="A940" s="87" t="n">
        <x:v>1020</x:v>
      </x:c>
      <x:c r="B940" s="87" t="n">
        <x:v>191</x:v>
      </x:c>
      <x:c r="C940" s="66" t="str">
        <x:v>UNIVERSITAS LAMPUNG</x:v>
      </x:c>
      <x:c r="D940" s="66" t="str">
        <x:v>PTN Akademik</x:v>
      </x:c>
      <x:c r="E940" s="66" t="str">
        <x:v>11911055</x:v>
      </x:c>
      <x:c r="F940" s="66" t="str">
        <x:v>PGSD</x:v>
      </x:c>
      <x:c r="G940" s="66" t="str">
        <x:v>Sarjana</x:v>
      </x:c>
      <x:c r="H940" s="87" t="n">
        <x:v>128</x:v>
      </x:c>
      <x:c r="I940" s="87" t="n">
        <x:v>1616</x:v>
      </x:c>
      <x:c r="J940" s="68" t="n">
        <x:f>IFERROR(H940/I940,"")</x:f>
        <x:v>0.07920792079207921</x:v>
      </x:c>
      <x:c r="K940" s="69" t="n">
        <x:f>IFERROR(I940/H940,"")</x:f>
        <x:v>12.625</x:v>
      </x:c>
      <x:c r="L940" s="66" t="str">
        <x:f>IF(K940="","","1 : "&amp;TEXT(K940,"0.0"))</x:f>
        <x:v>1 : 12.6</x:v>
      </x:c>
      <x:c r="M940" s="66" t="str">
        <x:f>IF(J940="","Baru/Tanpa Data",IF(J940&lt;='Catatan &amp; Sumber'!$B$14,"Sangat Ketat",IF(J940&lt;='Catatan &amp; Sumber'!$B$15,"Ketat",IF(J940&lt;='Catatan &amp; Sumber'!$B$16,"Sedang","Relatif Longgar"))))</x:f>
        <x:v>Sedang</x:v>
      </x:c>
      <x:c r="N940" s="66" t="str">
        <x:v>Tidak Ada</x:v>
      </x:c>
      <x:c r="O940" s="66" t="str">
        <x:v>Lampung</x:v>
      </x:c>
      <x:c r="P940" s="66" t="str">
        <x:v>Kota Bandar Lampung</x:v>
      </x:c>
      <x:c r="Q940" s="66" t="str">
        <x:v>https://snpmb.id/snbp/daya-tampung-snbp</x:v>
      </x:c>
      <x:c r="R940" s="66" t="str">
        <x:v>https://sidatagrun-public-1076756628210.asia-southeast2.run.app/ptn_sn.php?ptn=191</x:v>
      </x:c>
    </x:row>
    <x:row r="941">
      <x:c r="A941" s="87" t="n">
        <x:v>2444</x:v>
      </x:c>
      <x:c r="B941" s="87" t="n">
        <x:v>191</x:v>
      </x:c>
      <x:c r="C941" s="66" t="str">
        <x:v>UNIVERSITAS LAMPUNG</x:v>
      </x:c>
      <x:c r="D941" s="66" t="str">
        <x:v>PTN Akademik</x:v>
      </x:c>
      <x:c r="E941" s="66" t="str">
        <x:v>11911056</x:v>
      </x:c>
      <x:c r="F941" s="66" t="str">
        <x:v>PENDIDIKAN TARI</x:v>
      </x:c>
      <x:c r="G941" s="66" t="str">
        <x:v>Sarjana</x:v>
      </x:c>
      <x:c r="H941" s="87" t="n">
        <x:v>30</x:v>
      </x:c>
      <x:c r="I941" s="87" t="n">
        <x:v>149</x:v>
      </x:c>
      <x:c r="J941" s="68" t="n">
        <x:f>IFERROR(H941/I941,"")</x:f>
        <x:v>0.20134228187919462</x:v>
      </x:c>
      <x:c r="K941" s="69" t="n">
        <x:f>IFERROR(I941/H941,"")</x:f>
        <x:v>4.966666666666667</x:v>
      </x:c>
      <x:c r="L941" s="66" t="str">
        <x:f>IF(K941="","","1 : "&amp;TEXT(K941,"0.0"))</x:f>
        <x:v>1 : 5.0</x:v>
      </x:c>
      <x:c r="M941" s="66" t="str">
        <x:f>IF(J941="","Baru/Tanpa Data",IF(J941&lt;='Catatan &amp; Sumber'!$B$14,"Sangat Ketat",IF(J941&lt;='Catatan &amp; Sumber'!$B$15,"Ketat",IF(J941&lt;='Catatan &amp; Sumber'!$B$16,"Sedang","Relatif Longgar"))))</x:f>
        <x:v>Relatif Longgar</x:v>
      </x:c>
      <x:c r="N941" s="66" t="str">
        <x:v>Tari</x:v>
      </x:c>
      <x:c r="O941" s="66" t="str">
        <x:v>Lampung</x:v>
      </x:c>
      <x:c r="P941" s="66" t="str">
        <x:v>Kota Bandar Lampung</x:v>
      </x:c>
      <x:c r="Q941" s="66" t="str">
        <x:v>https://snpmb.id/snbp/daya-tampung-snbp</x:v>
      </x:c>
      <x:c r="R941" s="66" t="str">
        <x:v>https://sidatagrun-public-1076756628210.asia-southeast2.run.app/ptn_sn.php?ptn=191</x:v>
      </x:c>
    </x:row>
    <x:row r="942">
      <x:c r="A942" s="87" t="n">
        <x:v>2540</x:v>
      </x:c>
      <x:c r="B942" s="87" t="n">
        <x:v>191</x:v>
      </x:c>
      <x:c r="C942" s="66" t="str">
        <x:v>UNIVERSITAS LAMPUNG</x:v>
      </x:c>
      <x:c r="D942" s="66" t="str">
        <x:v>PTN Akademik</x:v>
      </x:c>
      <x:c r="E942" s="66" t="str">
        <x:v>11911057</x:v>
      </x:c>
      <x:c r="F942" s="66" t="str">
        <x:v>PENDIDIKAN ANAK USIA DINI</x:v>
      </x:c>
      <x:c r="G942" s="66" t="str">
        <x:v>Sarjana</x:v>
      </x:c>
      <x:c r="H942" s="87" t="n">
        <x:v>36</x:v>
      </x:c>
      <x:c r="I942" s="87" t="n">
        <x:v>165</x:v>
      </x:c>
      <x:c r="J942" s="68" t="n">
        <x:f>IFERROR(H942/I942,"")</x:f>
        <x:v>0.21818181818181817</x:v>
      </x:c>
      <x:c r="K942" s="69" t="n">
        <x:f>IFERROR(I942/H942,"")</x:f>
        <x:v>4.583333333333333</x:v>
      </x:c>
      <x:c r="L942" s="66" t="str">
        <x:f>IF(K942="","","1 : "&amp;TEXT(K942,"0.0"))</x:f>
        <x:v>1 : 4.6</x:v>
      </x:c>
      <x:c r="M942" s="66" t="str">
        <x:f>IF(J942="","Baru/Tanpa Data",IF(J942&lt;='Catatan &amp; Sumber'!$B$14,"Sangat Ketat",IF(J942&lt;='Catatan &amp; Sumber'!$B$15,"Ketat",IF(J942&lt;='Catatan &amp; Sumber'!$B$16,"Sedang","Relatif Longgar"))))</x:f>
        <x:v>Relatif Longgar</x:v>
      </x:c>
      <x:c r="N942" s="66" t="str">
        <x:v>Tidak Ada</x:v>
      </x:c>
      <x:c r="O942" s="66" t="str">
        <x:v>Lampung</x:v>
      </x:c>
      <x:c r="P942" s="66" t="str">
        <x:v>Kota Bandar Lampung</x:v>
      </x:c>
      <x:c r="Q942" s="66" t="str">
        <x:v>https://snpmb.id/snbp/daya-tampung-snbp</x:v>
      </x:c>
      <x:c r="R942" s="66" t="str">
        <x:v>https://sidatagrun-public-1076756628210.asia-southeast2.run.app/ptn_sn.php?ptn=191</x:v>
      </x:c>
    </x:row>
    <x:row r="943">
      <x:c r="A943" s="87" t="n">
        <x:v>2461</x:v>
      </x:c>
      <x:c r="B943" s="87" t="n">
        <x:v>191</x:v>
      </x:c>
      <x:c r="C943" s="66" t="str">
        <x:v>UNIVERSITAS LAMPUNG</x:v>
      </x:c>
      <x:c r="D943" s="66" t="str">
        <x:v>PTN Akademik</x:v>
      </x:c>
      <x:c r="E943" s="66" t="str">
        <x:v>11911058</x:v>
      </x:c>
      <x:c r="F943" s="66" t="str">
        <x:v>HUBUNGAN INTERNASIONAL</x:v>
      </x:c>
      <x:c r="G943" s="66" t="str">
        <x:v>Sarjana</x:v>
      </x:c>
      <x:c r="H943" s="87" t="n">
        <x:v>60</x:v>
      </x:c>
      <x:c r="I943" s="87" t="n">
        <x:v>294</x:v>
      </x:c>
      <x:c r="J943" s="68" t="n">
        <x:f>IFERROR(H943/I943,"")</x:f>
        <x:v>0.20408163265306123</x:v>
      </x:c>
      <x:c r="K943" s="69" t="n">
        <x:f>IFERROR(I943/H943,"")</x:f>
        <x:v>4.9</x:v>
      </x:c>
      <x:c r="L943" s="66" t="str">
        <x:f>IF(K943="","","1 : "&amp;TEXT(K943,"0.0"))</x:f>
        <x:v>1 : 4.9</x:v>
      </x:c>
      <x:c r="M943" s="66" t="str">
        <x:f>IF(J943="","Baru/Tanpa Data",IF(J943&lt;='Catatan &amp; Sumber'!$B$14,"Sangat Ketat",IF(J943&lt;='Catatan &amp; Sumber'!$B$15,"Ketat",IF(J943&lt;='Catatan &amp; Sumber'!$B$16,"Sedang","Relatif Longgar"))))</x:f>
        <x:v>Relatif Longgar</x:v>
      </x:c>
      <x:c r="N943" s="66" t="str">
        <x:v>Tidak Ada</x:v>
      </x:c>
      <x:c r="O943" s="66" t="str">
        <x:v>Lampung</x:v>
      </x:c>
      <x:c r="P943" s="66" t="str">
        <x:v>Kota Bandar Lampung</x:v>
      </x:c>
      <x:c r="Q943" s="66" t="str">
        <x:v>https://snpmb.id/snbp/daya-tampung-snbp</x:v>
      </x:c>
      <x:c r="R943" s="66" t="str">
        <x:v>https://sidatagrun-public-1076756628210.asia-southeast2.run.app/ptn_sn.php?ptn=191</x:v>
      </x:c>
    </x:row>
    <x:row r="944">
      <x:c r="A944" s="87" t="n">
        <x:v>3780</x:v>
      </x:c>
      <x:c r="B944" s="87" t="n">
        <x:v>191</x:v>
      </x:c>
      <x:c r="C944" s="66" t="str">
        <x:v>UNIVERSITAS LAMPUNG</x:v>
      </x:c>
      <x:c r="D944" s="66" t="str">
        <x:v>PTN Akademik</x:v>
      </x:c>
      <x:c r="E944" s="66" t="str">
        <x:v>11911059</x:v>
      </x:c>
      <x:c r="F944" s="66" t="str">
        <x:v>BAHASA PERANCIS</x:v>
      </x:c>
      <x:c r="G944" s="66" t="str">
        <x:v>Sarjana</x:v>
      </x:c>
      <x:c r="H944" s="87" t="n">
        <x:v>18</x:v>
      </x:c>
      <x:c r="I944" s="87" t="n">
        <x:v>32</x:v>
      </x:c>
      <x:c r="J944" s="68" t="n">
        <x:f>IFERROR(H944/I944,"")</x:f>
        <x:v>0.5625</x:v>
      </x:c>
      <x:c r="K944" s="69" t="n">
        <x:f>IFERROR(I944/H944,"")</x:f>
        <x:v>1.7777777777777777</x:v>
      </x:c>
      <x:c r="L944" s="66" t="str">
        <x:f>IF(K944="","","1 : "&amp;TEXT(K944,"0.0"))</x:f>
        <x:v>1 : 1.8</x:v>
      </x:c>
      <x:c r="M944" s="66" t="str">
        <x:f>IF(J944="","Baru/Tanpa Data",IF(J944&lt;='Catatan &amp; Sumber'!$B$14,"Sangat Ketat",IF(J944&lt;='Catatan &amp; Sumber'!$B$15,"Ketat",IF(J944&lt;='Catatan &amp; Sumber'!$B$16,"Sedang","Relatif Longgar"))))</x:f>
        <x:v>Relatif Longgar</x:v>
      </x:c>
      <x:c r="N944" s="66" t="str">
        <x:v>Tidak Ada</x:v>
      </x:c>
      <x:c r="O944" s="66" t="str">
        <x:v>Lampung</x:v>
      </x:c>
      <x:c r="P944" s="66" t="str">
        <x:v>Kota Bandar Lampung</x:v>
      </x:c>
      <x:c r="Q944" s="66" t="str">
        <x:v>https://snpmb.id/snbp/daya-tampung-snbp</x:v>
      </x:c>
      <x:c r="R944" s="66" t="str">
        <x:v>https://sidatagrun-public-1076756628210.asia-southeast2.run.app/ptn_sn.php?ptn=191</x:v>
      </x:c>
    </x:row>
    <x:row r="945">
      <x:c r="A945" s="87" t="n">
        <x:v>4134</x:v>
      </x:c>
      <x:c r="B945" s="87" t="n">
        <x:v>191</x:v>
      </x:c>
      <x:c r="C945" s="66" t="str">
        <x:v>UNIVERSITAS LAMPUNG</x:v>
      </x:c>
      <x:c r="D945" s="66" t="str">
        <x:v>PTN Akademik</x:v>
      </x:c>
      <x:c r="E945" s="66" t="str">
        <x:v>11911060</x:v>
      </x:c>
      <x:c r="F945" s="66" t="str">
        <x:v>PENDIDIKAN MUSIK</x:v>
      </x:c>
      <x:c r="G945" s="66" t="str">
        <x:v>Sarjana</x:v>
      </x:c>
      <x:c r="H945" s="87" t="n">
        <x:v>35</x:v>
      </x:c>
      <x:c r="I945" s="87" t="n">
        <x:v>44</x:v>
      </x:c>
      <x:c r="J945" s="68" t="n">
        <x:f>IFERROR(H945/I945,"")</x:f>
        <x:v>0.7954545454545454</x:v>
      </x:c>
      <x:c r="K945" s="69" t="n">
        <x:f>IFERROR(I945/H945,"")</x:f>
        <x:v>1.2571428571428571</x:v>
      </x:c>
      <x:c r="L945" s="66" t="str">
        <x:f>IF(K945="","","1 : "&amp;TEXT(K945,"0.0"))</x:f>
        <x:v>1 : 1.3</x:v>
      </x:c>
      <x:c r="M945" s="66" t="str">
        <x:f>IF(J945="","Baru/Tanpa Data",IF(J945&lt;='Catatan &amp; Sumber'!$B$14,"Sangat Ketat",IF(J945&lt;='Catatan &amp; Sumber'!$B$15,"Ketat",IF(J945&lt;='Catatan &amp; Sumber'!$B$16,"Sedang","Relatif Longgar"))))</x:f>
        <x:v>Relatif Longgar</x:v>
      </x:c>
      <x:c r="N945" s="66" t="str">
        <x:v>Musik</x:v>
      </x:c>
      <x:c r="O945" s="66" t="str">
        <x:v>Lampung</x:v>
      </x:c>
      <x:c r="P945" s="66" t="str">
        <x:v>Kota Bandar Lampung</x:v>
      </x:c>
      <x:c r="Q945" s="66" t="str">
        <x:v>https://snpmb.id/snbp/daya-tampung-snbp</x:v>
      </x:c>
      <x:c r="R945" s="66" t="str">
        <x:v>https://sidatagrun-public-1076756628210.asia-southeast2.run.app/ptn_sn.php?ptn=191</x:v>
      </x:c>
    </x:row>
    <x:row r="946">
      <x:c r="A946" s="87" t="n">
        <x:v>1618</x:v>
      </x:c>
      <x:c r="B946" s="87" t="n">
        <x:v>191</x:v>
      </x:c>
      <x:c r="C946" s="66" t="str">
        <x:v>UNIVERSITAS LAMPUNG</x:v>
      </x:c>
      <x:c r="D946" s="66" t="str">
        <x:v>PTN Akademik</x:v>
      </x:c>
      <x:c r="E946" s="66" t="str">
        <x:v>11911061</x:v>
      </x:c>
      <x:c r="F946" s="66" t="str">
        <x:v>PENDIDIKAN BAHASA LAMPUNG</x:v>
      </x:c>
      <x:c r="G946" s="66" t="str">
        <x:v>Sarjana</x:v>
      </x:c>
      <x:c r="H946" s="87" t="n">
        <x:v>30</x:v>
      </x:c>
      <x:c r="I946" s="87" t="n">
        <x:v>253</x:v>
      </x:c>
      <x:c r="J946" s="68" t="n">
        <x:f>IFERROR(H946/I946,"")</x:f>
        <x:v>0.11857707509881422</x:v>
      </x:c>
      <x:c r="K946" s="69" t="n">
        <x:f>IFERROR(I946/H946,"")</x:f>
        <x:v>8.433333333333334</x:v>
      </x:c>
      <x:c r="L946" s="66" t="str">
        <x:f>IF(K946="","","1 : "&amp;TEXT(K946,"0.0"))</x:f>
        <x:v>1 : 8.4</x:v>
      </x:c>
      <x:c r="M946" s="66" t="str">
        <x:f>IF(J946="","Baru/Tanpa Data",IF(J946&lt;='Catatan &amp; Sumber'!$B$14,"Sangat Ketat",IF(J946&lt;='Catatan &amp; Sumber'!$B$15,"Ketat",IF(J946&lt;='Catatan &amp; Sumber'!$B$16,"Sedang","Relatif Longgar"))))</x:f>
        <x:v>Relatif Longgar</x:v>
      </x:c>
      <x:c r="N946" s="66" t="str">
        <x:v>Tidak Ada</x:v>
      </x:c>
      <x:c r="O946" s="66" t="str">
        <x:v>Lampung</x:v>
      </x:c>
      <x:c r="P946" s="66" t="str">
        <x:v>Kota Bandar Lampung</x:v>
      </x:c>
      <x:c r="Q946" s="66" t="str">
        <x:v>https://snpmb.id/snbp/daya-tampung-snbp</x:v>
      </x:c>
      <x:c r="R946" s="66" t="str">
        <x:v>https://sidatagrun-public-1076756628210.asia-southeast2.run.app/ptn_sn.php?ptn=191</x:v>
      </x:c>
    </x:row>
    <x:row r="947">
      <x:c r="A947" s="87" t="n">
        <x:v>1670</x:v>
      </x:c>
      <x:c r="B947" s="87" t="n">
        <x:v>191</x:v>
      </x:c>
      <x:c r="C947" s="66" t="str">
        <x:v>UNIVERSITAS LAMPUNG</x:v>
      </x:c>
      <x:c r="D947" s="66" t="str">
        <x:v>PTN Akademik</x:v>
      </x:c>
      <x:c r="E947" s="66" t="str">
        <x:v>11911074</x:v>
      </x:c>
      <x:c r="F947" s="66" t="str">
        <x:v>BISNIS DIGITAL</x:v>
      </x:c>
      <x:c r="G947" s="66" t="str">
        <x:v>Sarjana</x:v>
      </x:c>
      <x:c r="H947" s="87" t="n">
        <x:v>50</x:v>
      </x:c>
      <x:c r="I947" s="87" t="n">
        <x:v>410</x:v>
      </x:c>
      <x:c r="J947" s="68" t="n">
        <x:f>IFERROR(H947/I947,"")</x:f>
        <x:v>0.12195121951219512</x:v>
      </x:c>
      <x:c r="K947" s="69" t="n">
        <x:f>IFERROR(I947/H947,"")</x:f>
        <x:v>8.2</x:v>
      </x:c>
      <x:c r="L947" s="66" t="str">
        <x:f>IF(K947="","","1 : "&amp;TEXT(K947,"0.0"))</x:f>
        <x:v>1 : 8.2</x:v>
      </x:c>
      <x:c r="M947" s="66" t="str">
        <x:f>IF(J947="","Baru/Tanpa Data",IF(J947&lt;='Catatan &amp; Sumber'!$B$14,"Sangat Ketat",IF(J947&lt;='Catatan &amp; Sumber'!$B$15,"Ketat",IF(J947&lt;='Catatan &amp; Sumber'!$B$16,"Sedang","Relatif Longgar"))))</x:f>
        <x:v>Relatif Longgar</x:v>
      </x:c>
      <x:c r="N947" s="66" t="str">
        <x:v>Tidak Ada</x:v>
      </x:c>
      <x:c r="O947" s="66" t="str">
        <x:v>Lampung</x:v>
      </x:c>
      <x:c r="P947" s="66" t="str">
        <x:v>Kota Bandar Lampung</x:v>
      </x:c>
      <x:c r="Q947" s="66" t="str">
        <x:v>https://snpmb.id/snbp/daya-tampung-snbp</x:v>
      </x:c>
      <x:c r="R947" s="66" t="str">
        <x:v>https://sidatagrun-public-1076756628210.asia-southeast2.run.app/ptn_sn.php?ptn=191</x:v>
      </x:c>
    </x:row>
    <x:row r="948">
      <x:c r="A948" s="87" t="n">
        <x:v>409</x:v>
      </x:c>
      <x:c r="B948" s="87" t="n">
        <x:v>191</x:v>
      </x:c>
      <x:c r="C948" s="66" t="str">
        <x:v>UNIVERSITAS LAMPUNG</x:v>
      </x:c>
      <x:c r="D948" s="66" t="str">
        <x:v>PTN Akademik</x:v>
      </x:c>
      <x:c r="E948" s="66" t="str">
        <x:v>11911076</x:v>
      </x:c>
      <x:c r="F948" s="66" t="str">
        <x:v>SISTEM INFORMASI</x:v>
      </x:c>
      <x:c r="G948" s="66" t="str">
        <x:v>Sarjana</x:v>
      </x:c>
      <x:c r="H948" s="87" t="n">
        <x:v>15</x:v>
      </x:c>
      <x:c r="I948" s="87" t="n">
        <x:v>319</x:v>
      </x:c>
      <x:c r="J948" s="68" t="n">
        <x:f>IFERROR(H948/I948,"")</x:f>
        <x:v>0.047021943573667714</x:v>
      </x:c>
      <x:c r="K948" s="69" t="n">
        <x:f>IFERROR(I948/H948,"")</x:f>
        <x:v>21.266666666666666</x:v>
      </x:c>
      <x:c r="L948" s="66" t="str">
        <x:f>IF(K948="","","1 : "&amp;TEXT(K948,"0.0"))</x:f>
        <x:v>1 : 21.3</x:v>
      </x:c>
      <x:c r="M948" s="66" t="str">
        <x:f>IF(J948="","Baru/Tanpa Data",IF(J948&lt;='Catatan &amp; Sumber'!$B$14,"Sangat Ketat",IF(J948&lt;='Catatan &amp; Sumber'!$B$15,"Ketat",IF(J948&lt;='Catatan &amp; Sumber'!$B$16,"Sedang","Relatif Longgar"))))</x:f>
        <x:v>Ketat</x:v>
      </x:c>
      <x:c r="N948" s="66" t="str">
        <x:v>Tidak Ada</x:v>
      </x:c>
      <x:c r="O948" s="66" t="str">
        <x:v>Lampung</x:v>
      </x:c>
      <x:c r="P948" s="66" t="str">
        <x:v>Kota Bandar Lampung</x:v>
      </x:c>
      <x:c r="Q948" s="66" t="str">
        <x:v>https://snpmb.id/snbp/daya-tampung-snbp</x:v>
      </x:c>
      <x:c r="R948" s="66" t="str">
        <x:v>https://sidatagrun-public-1076756628210.asia-southeast2.run.app/ptn_sn.php?ptn=191</x:v>
      </x:c>
    </x:row>
    <x:row r="949">
      <x:c r="A949" s="87" t="n">
        <x:v>1905</x:v>
      </x:c>
      <x:c r="B949" s="87" t="n">
        <x:v>191</x:v>
      </x:c>
      <x:c r="C949" s="66" t="str">
        <x:v>UNIVERSITAS LAMPUNG</x:v>
      </x:c>
      <x:c r="D949" s="66" t="str">
        <x:v>PTN Akademik</x:v>
      </x:c>
      <x:c r="E949" s="66" t="str">
        <x:v>11911077</x:v>
      </x:c>
      <x:c r="F949" s="66" t="str">
        <x:v>TEKNIK GEOLOGI</x:v>
      </x:c>
      <x:c r="G949" s="66" t="str">
        <x:v>Sarjana</x:v>
      </x:c>
      <x:c r="H949" s="87" t="n">
        <x:v>24</x:v>
      </x:c>
      <x:c r="I949" s="87" t="n">
        <x:v>170</x:v>
      </x:c>
      <x:c r="J949" s="68" t="n">
        <x:f>IFERROR(H949/I949,"")</x:f>
        <x:v>0.1411764705882353</x:v>
      </x:c>
      <x:c r="K949" s="69" t="n">
        <x:f>IFERROR(I949/H949,"")</x:f>
        <x:v>7.083333333333333</x:v>
      </x:c>
      <x:c r="L949" s="66" t="str">
        <x:f>IF(K949="","","1 : "&amp;TEXT(K949,"0.0"))</x:f>
        <x:v>1 : 7.1</x:v>
      </x:c>
      <x:c r="M949" s="66" t="str">
        <x:f>IF(J949="","Baru/Tanpa Data",IF(J949&lt;='Catatan &amp; Sumber'!$B$14,"Sangat Ketat",IF(J949&lt;='Catatan &amp; Sumber'!$B$15,"Ketat",IF(J949&lt;='Catatan &amp; Sumber'!$B$16,"Sedang","Relatif Longgar"))))</x:f>
        <x:v>Relatif Longgar</x:v>
      </x:c>
      <x:c r="N949" s="66" t="str">
        <x:v>Tidak Ada</x:v>
      </x:c>
      <x:c r="O949" s="66" t="str">
        <x:v>Lampung</x:v>
      </x:c>
      <x:c r="P949" s="66" t="str">
        <x:v>Kota Bandar Lampung</x:v>
      </x:c>
      <x:c r="Q949" s="66" t="str">
        <x:v>https://snpmb.id/snbp/daya-tampung-snbp</x:v>
      </x:c>
      <x:c r="R949" s="66" t="str">
        <x:v>https://sidatagrun-public-1076756628210.asia-southeast2.run.app/ptn_sn.php?ptn=191</x:v>
      </x:c>
    </x:row>
    <x:row r="950">
      <x:c r="A950" s="87" t="n">
        <x:v>4354</x:v>
      </x:c>
      <x:c r="B950" s="87" t="n">
        <x:v>191</x:v>
      </x:c>
      <x:c r="C950" s="66" t="str">
        <x:v>UNIVERSITAS LAMPUNG</x:v>
      </x:c>
      <x:c r="D950" s="66" t="str">
        <x:v>PTN Akademik</x:v>
      </x:c>
      <x:c r="E950" s="66" t="str">
        <x:v>11911078</x:v>
      </x:c>
      <x:c r="F950" s="66" t="str">
        <x:v>ILMU KOMPUTER PSDKU WAY KANAN</x:v>
      </x:c>
      <x:c r="G950" s="66" t="str">
        <x:v>Sarjana</x:v>
      </x:c>
      <x:c r="H950" s="87" t="n">
        <x:v>20</x:v>
      </x:c>
      <x:c r="I950" s="87" t="n">
        <x:v>19</x:v>
      </x:c>
      <x:c r="J950" s="68" t="n">
        <x:f>IFERROR(H950/I950,"")</x:f>
        <x:v>1.0526315789473684</x:v>
      </x:c>
      <x:c r="K950" s="69" t="n">
        <x:f>IFERROR(I950/H950,"")</x:f>
        <x:v>0.95</x:v>
      </x:c>
      <x:c r="L950" s="66" t="str">
        <x:f>IF(K950="","","1 : "&amp;TEXT(K950,"0.0"))</x:f>
        <x:v>1 : 1.0</x:v>
      </x:c>
      <x:c r="M950" s="66" t="str">
        <x:f>IF(J950="","Baru/Tanpa Data",IF(J950&lt;='Catatan &amp; Sumber'!$B$14,"Sangat Ketat",IF(J950&lt;='Catatan &amp; Sumber'!$B$15,"Ketat",IF(J950&lt;='Catatan &amp; Sumber'!$B$16,"Sedang","Relatif Longgar"))))</x:f>
        <x:v>Relatif Longgar</x:v>
      </x:c>
      <x:c r="N950" s="66" t="str">
        <x:v>Tidak Ada</x:v>
      </x:c>
      <x:c r="O950" s="66" t="str">
        <x:v>Lampung</x:v>
      </x:c>
      <x:c r="P950" s="66" t="str">
        <x:v>Kota Bandar Lampung</x:v>
      </x:c>
      <x:c r="Q950" s="66" t="str">
        <x:v>https://snpmb.id/snbp/daya-tampung-snbp</x:v>
      </x:c>
      <x:c r="R950" s="66" t="str">
        <x:v>https://sidatagrun-public-1076756628210.asia-southeast2.run.app/ptn_sn.php?ptn=191</x:v>
      </x:c>
    </x:row>
    <x:row r="951">
      <x:c r="A951" s="87"/>
      <x:c r="B951" s="87" t="n">
        <x:v>191</x:v>
      </x:c>
      <x:c r="C951" s="66" t="str">
        <x:v>UNIVERSITAS LAMPUNG</x:v>
      </x:c>
      <x:c r="D951" s="66" t="str">
        <x:v>PTN Akademik</x:v>
      </x:c>
      <x:c r="E951" s="66" t="str">
        <x:v>11911081</x:v>
      </x:c>
      <x:c r="F951" s="66" t="str">
        <x:v>GIZI</x:v>
      </x:c>
      <x:c r="G951" s="66" t="str">
        <x:v>Sarjana</x:v>
      </x:c>
      <x:c r="H951" s="87" t="n">
        <x:v>10</x:v>
      </x:c>
      <x:c r="I951" s="87"/>
      <x:c r="J951" s="68" t="str">
        <x:f>IFERROR(H951/I951,"")</x:f>
      </x:c>
      <x:c r="K951" s="69" t="n">
        <x:f>IFERROR(I951/H951,"")</x:f>
        <x:v>0</x:v>
      </x:c>
      <x:c r="L951" s="66" t="str">
        <x:f>IF(K951="","","1 : "&amp;TEXT(K951,"0.0"))</x:f>
      </x:c>
      <x:c r="M951" s="66" t="str">
        <x:f>IF(J951="","Baru/Tanpa Data",IF(J951&lt;='Catatan &amp; Sumber'!$B$14,"Sangat Ketat",IF(J951&lt;='Catatan &amp; Sumber'!$B$15,"Ketat",IF(J951&lt;='Catatan &amp; Sumber'!$B$16,"Sedang","Relatif Longgar"))))</x:f>
        <x:v>Baru/Tanpa Data</x:v>
      </x:c>
      <x:c r="N951" s="66" t="str">
        <x:v>Tidak Ada</x:v>
      </x:c>
      <x:c r="O951" s="66" t="str">
        <x:v>Lampung</x:v>
      </x:c>
      <x:c r="P951" s="66" t="str">
        <x:v>Kota Bandar Lampung</x:v>
      </x:c>
      <x:c r="Q951" s="66" t="str">
        <x:v>https://snpmb.id/snbp/daya-tampung-snbp</x:v>
      </x:c>
      <x:c r="R951" s="66" t="str">
        <x:v>https://sidatagrun-public-1076756628210.asia-southeast2.run.app/ptn_sn.php?ptn=191</x:v>
      </x:c>
    </x:row>
    <x:row r="952">
      <x:c r="A952" s="87" t="n">
        <x:v>4012</x:v>
      </x:c>
      <x:c r="B952" s="87" t="n">
        <x:v>191</x:v>
      </x:c>
      <x:c r="C952" s="66" t="str">
        <x:v>UNIVERSITAS LAMPUNG</x:v>
      </x:c>
      <x:c r="D952" s="66" t="str">
        <x:v>PTN Akademik</x:v>
      </x:c>
      <x:c r="E952" s="66" t="str">
        <x:v>11912075</x:v>
      </x:c>
      <x:c r="F952" s="66" t="str">
        <x:v>TEKNOLOGI REKAYASA OTOMOTIF</x:v>
      </x:c>
      <x:c r="G952" s="66" t="str">
        <x:v>Sarjana Terapan</x:v>
      </x:c>
      <x:c r="H952" s="87" t="n">
        <x:v>9</x:v>
      </x:c>
      <x:c r="I952" s="87" t="n">
        <x:v>13</x:v>
      </x:c>
      <x:c r="J952" s="68" t="n">
        <x:f>IFERROR(H952/I952,"")</x:f>
        <x:v>0.6923076923076923</x:v>
      </x:c>
      <x:c r="K952" s="69" t="n">
        <x:f>IFERROR(I952/H952,"")</x:f>
        <x:v>1.4444444444444444</x:v>
      </x:c>
      <x:c r="L952" s="66" t="str">
        <x:f>IF(K952="","","1 : "&amp;TEXT(K952,"0.0"))</x:f>
        <x:v>1 : 1.4</x:v>
      </x:c>
      <x:c r="M952" s="66" t="str">
        <x:f>IF(J952="","Baru/Tanpa Data",IF(J952&lt;='Catatan &amp; Sumber'!$B$14,"Sangat Ketat",IF(J952&lt;='Catatan &amp; Sumber'!$B$15,"Ketat",IF(J952&lt;='Catatan &amp; Sumber'!$B$16,"Sedang","Relatif Longgar"))))</x:f>
        <x:v>Relatif Longgar</x:v>
      </x:c>
      <x:c r="N952" s="66" t="str">
        <x:v>Tidak Ada</x:v>
      </x:c>
      <x:c r="O952" s="66" t="str">
        <x:v>Lampung</x:v>
      </x:c>
      <x:c r="P952" s="66" t="str">
        <x:v>Kota Bandar Lampung</x:v>
      </x:c>
      <x:c r="Q952" s="66" t="str">
        <x:v>https://snpmb.id/snbp/daya-tampung-snbp</x:v>
      </x:c>
      <x:c r="R952" s="66" t="str">
        <x:v>https://sidatagrun-public-1076756628210.asia-southeast2.run.app/ptn_sn.php?ptn=191</x:v>
      </x:c>
    </x:row>
    <x:row r="953">
      <x:c r="A953" s="87" t="n">
        <x:v>3167</x:v>
      </x:c>
      <x:c r="B953" s="87" t="n">
        <x:v>191</x:v>
      </x:c>
      <x:c r="C953" s="66" t="str">
        <x:v>UNIVERSITAS LAMPUNG</x:v>
      </x:c>
      <x:c r="D953" s="66" t="str">
        <x:v>PTN Akademik</x:v>
      </x:c>
      <x:c r="E953" s="66" t="str">
        <x:v>11913063</x:v>
      </x:c>
      <x:c r="F953" s="66" t="str">
        <x:v>MANAJEMEN PEMASARAN</x:v>
      </x:c>
      <x:c r="G953" s="66" t="str">
        <x:v>Diploma Tiga</x:v>
      </x:c>
      <x:c r="H953" s="87" t="n">
        <x:v>25</x:v>
      </x:c>
      <x:c r="I953" s="87" t="n">
        <x:v>75</x:v>
      </x:c>
      <x:c r="J953" s="68" t="n">
        <x:f>IFERROR(H953/I953,"")</x:f>
        <x:v>0.3333333333333333</x:v>
      </x:c>
      <x:c r="K953" s="69" t="n">
        <x:f>IFERROR(I953/H953,"")</x:f>
        <x:v>3</x:v>
      </x:c>
      <x:c r="L953" s="66" t="str">
        <x:f>IF(K953="","","1 : "&amp;TEXT(K953,"0.0"))</x:f>
        <x:v>1 : 3.0</x:v>
      </x:c>
      <x:c r="M953" s="66" t="str">
        <x:f>IF(J953="","Baru/Tanpa Data",IF(J953&lt;='Catatan &amp; Sumber'!$B$14,"Sangat Ketat",IF(J953&lt;='Catatan &amp; Sumber'!$B$15,"Ketat",IF(J953&lt;='Catatan &amp; Sumber'!$B$16,"Sedang","Relatif Longgar"))))</x:f>
        <x:v>Relatif Longgar</x:v>
      </x:c>
      <x:c r="N953" s="66" t="str">
        <x:v>Tidak Ada</x:v>
      </x:c>
      <x:c r="O953" s="66" t="str">
        <x:v>Lampung</x:v>
      </x:c>
      <x:c r="P953" s="66" t="str">
        <x:v>Kota Bandar Lampung</x:v>
      </x:c>
      <x:c r="Q953" s="66" t="str">
        <x:v>https://snpmb.id/snbp/daya-tampung-snbp</x:v>
      </x:c>
      <x:c r="R953" s="66" t="str">
        <x:v>https://sidatagrun-public-1076756628210.asia-southeast2.run.app/ptn_sn.php?ptn=191</x:v>
      </x:c>
    </x:row>
    <x:row r="954">
      <x:c r="A954" s="87" t="n">
        <x:v>2134</x:v>
      </x:c>
      <x:c r="B954" s="87" t="n">
        <x:v>191</x:v>
      </x:c>
      <x:c r="C954" s="66" t="str">
        <x:v>UNIVERSITAS LAMPUNG</x:v>
      </x:c>
      <x:c r="D954" s="66" t="str">
        <x:v>PTN Akademik</x:v>
      </x:c>
      <x:c r="E954" s="66" t="str">
        <x:v>11913064</x:v>
      </x:c>
      <x:c r="F954" s="66" t="str">
        <x:v>ADMINISTRASI PERKANTORAN</x:v>
      </x:c>
      <x:c r="G954" s="66" t="str">
        <x:v>Diploma Tiga</x:v>
      </x:c>
      <x:c r="H954" s="87" t="n">
        <x:v>15</x:v>
      </x:c>
      <x:c r="I954" s="87" t="n">
        <x:v>91</x:v>
      </x:c>
      <x:c r="J954" s="68" t="n">
        <x:f>IFERROR(H954/I954,"")</x:f>
        <x:v>0.16483516483516483</x:v>
      </x:c>
      <x:c r="K954" s="69" t="n">
        <x:f>IFERROR(I954/H954,"")</x:f>
        <x:v>6.066666666666666</x:v>
      </x:c>
      <x:c r="L954" s="66" t="str">
        <x:f>IF(K954="","","1 : "&amp;TEXT(K954,"0.0"))</x:f>
        <x:v>1 : 6.1</x:v>
      </x:c>
      <x:c r="M954" s="66" t="str">
        <x:f>IF(J954="","Baru/Tanpa Data",IF(J954&lt;='Catatan &amp; Sumber'!$B$14,"Sangat Ketat",IF(J954&lt;='Catatan &amp; Sumber'!$B$15,"Ketat",IF(J954&lt;='Catatan &amp; Sumber'!$B$16,"Sedang","Relatif Longgar"))))</x:f>
        <x:v>Relatif Longgar</x:v>
      </x:c>
      <x:c r="N954" s="66" t="str">
        <x:v>Tidak Ada</x:v>
      </x:c>
      <x:c r="O954" s="66" t="str">
        <x:v>Lampung</x:v>
      </x:c>
      <x:c r="P954" s="66" t="str">
        <x:v>Kota Bandar Lampung</x:v>
      </x:c>
      <x:c r="Q954" s="66" t="str">
        <x:v>https://snpmb.id/snbp/daya-tampung-snbp</x:v>
      </x:c>
      <x:c r="R954" s="66" t="str">
        <x:v>https://sidatagrun-public-1076756628210.asia-southeast2.run.app/ptn_sn.php?ptn=191</x:v>
      </x:c>
    </x:row>
    <x:row r="955">
      <x:c r="A955" s="87" t="n">
        <x:v>3097</x:v>
      </x:c>
      <x:c r="B955" s="87" t="n">
        <x:v>191</x:v>
      </x:c>
      <x:c r="C955" s="66" t="str">
        <x:v>UNIVERSITAS LAMPUNG</x:v>
      </x:c>
      <x:c r="D955" s="66" t="str">
        <x:v>PTN Akademik</x:v>
      </x:c>
      <x:c r="E955" s="66" t="str">
        <x:v>11913065</x:v>
      </x:c>
      <x:c r="F955" s="66" t="str">
        <x:v>PERPUSTAKAAN</x:v>
      </x:c>
      <x:c r="G955" s="66" t="str">
        <x:v>Diploma Tiga</x:v>
      </x:c>
      <x:c r="H955" s="87" t="n">
        <x:v>12</x:v>
      </x:c>
      <x:c r="I955" s="87" t="n">
        <x:v>38</x:v>
      </x:c>
      <x:c r="J955" s="68" t="n">
        <x:f>IFERROR(H955/I955,"")</x:f>
        <x:v>0.3157894736842105</x:v>
      </x:c>
      <x:c r="K955" s="69" t="n">
        <x:f>IFERROR(I955/H955,"")</x:f>
        <x:v>3.1666666666666665</x:v>
      </x:c>
      <x:c r="L955" s="66" t="str">
        <x:f>IF(K955="","","1 : "&amp;TEXT(K955,"0.0"))</x:f>
        <x:v>1 : 3.2</x:v>
      </x:c>
      <x:c r="M955" s="66" t="str">
        <x:f>IF(J955="","Baru/Tanpa Data",IF(J955&lt;='Catatan &amp; Sumber'!$B$14,"Sangat Ketat",IF(J955&lt;='Catatan &amp; Sumber'!$B$15,"Ketat",IF(J955&lt;='Catatan &amp; Sumber'!$B$16,"Sedang","Relatif Longgar"))))</x:f>
        <x:v>Relatif Longgar</x:v>
      </x:c>
      <x:c r="N955" s="66" t="str">
        <x:v>Tidak Ada</x:v>
      </x:c>
      <x:c r="O955" s="66" t="str">
        <x:v>Lampung</x:v>
      </x:c>
      <x:c r="P955" s="66" t="str">
        <x:v>Kota Bandar Lampung</x:v>
      </x:c>
      <x:c r="Q955" s="66" t="str">
        <x:v>https://snpmb.id/snbp/daya-tampung-snbp</x:v>
      </x:c>
      <x:c r="R955" s="66" t="str">
        <x:v>https://sidatagrun-public-1076756628210.asia-southeast2.run.app/ptn_sn.php?ptn=191</x:v>
      </x:c>
    </x:row>
    <x:row r="956">
      <x:c r="A956" s="87" t="n">
        <x:v>2482</x:v>
      </x:c>
      <x:c r="B956" s="87" t="n">
        <x:v>191</x:v>
      </x:c>
      <x:c r="C956" s="66" t="str">
        <x:v>UNIVERSITAS LAMPUNG</x:v>
      </x:c>
      <x:c r="D956" s="66" t="str">
        <x:v>PTN Akademik</x:v>
      </x:c>
      <x:c r="E956" s="66" t="str">
        <x:v>11913066</x:v>
      </x:c>
      <x:c r="F956" s="66" t="str">
        <x:v>MANAJEMEN INFORMATIKA</x:v>
      </x:c>
      <x:c r="G956" s="66" t="str">
        <x:v>Diploma Tiga</x:v>
      </x:c>
      <x:c r="H956" s="87" t="n">
        <x:v>10</x:v>
      </x:c>
      <x:c r="I956" s="87" t="n">
        <x:v>48</x:v>
      </x:c>
      <x:c r="J956" s="68" t="n">
        <x:f>IFERROR(H956/I956,"")</x:f>
        <x:v>0.20833333333333334</x:v>
      </x:c>
      <x:c r="K956" s="69" t="n">
        <x:f>IFERROR(I956/H956,"")</x:f>
        <x:v>4.8</x:v>
      </x:c>
      <x:c r="L956" s="66" t="str">
        <x:f>IF(K956="","","1 : "&amp;TEXT(K956,"0.0"))</x:f>
        <x:v>1 : 4.8</x:v>
      </x:c>
      <x:c r="M956" s="66" t="str">
        <x:f>IF(J956="","Baru/Tanpa Data",IF(J956&lt;='Catatan &amp; Sumber'!$B$14,"Sangat Ketat",IF(J956&lt;='Catatan &amp; Sumber'!$B$15,"Ketat",IF(J956&lt;='Catatan &amp; Sumber'!$B$16,"Sedang","Relatif Longgar"))))</x:f>
        <x:v>Relatif Longgar</x:v>
      </x:c>
      <x:c r="N956" s="66" t="str">
        <x:v>Tidak Ada</x:v>
      </x:c>
      <x:c r="O956" s="66" t="str">
        <x:v>Lampung</x:v>
      </x:c>
      <x:c r="P956" s="66" t="str">
        <x:v>Kota Bandar Lampung</x:v>
      </x:c>
      <x:c r="Q956" s="66" t="str">
        <x:v>https://snpmb.id/snbp/daya-tampung-snbp</x:v>
      </x:c>
      <x:c r="R956" s="66" t="str">
        <x:v>https://sidatagrun-public-1076756628210.asia-southeast2.run.app/ptn_sn.php?ptn=191</x:v>
      </x:c>
    </x:row>
    <x:row r="957">
      <x:c r="A957" s="87" t="n">
        <x:v>3801</x:v>
      </x:c>
      <x:c r="B957" s="87" t="n">
        <x:v>191</x:v>
      </x:c>
      <x:c r="C957" s="66" t="str">
        <x:v>UNIVERSITAS LAMPUNG</x:v>
      </x:c>
      <x:c r="D957" s="66" t="str">
        <x:v>PTN Akademik</x:v>
      </x:c>
      <x:c r="E957" s="66" t="str">
        <x:v>11913067</x:v>
      </x:c>
      <x:c r="F957" s="66" t="str">
        <x:v>TEKNIK MESIN</x:v>
      </x:c>
      <x:c r="G957" s="66" t="str">
        <x:v>Diploma Tiga</x:v>
      </x:c>
      <x:c r="H957" s="87" t="n">
        <x:v>12</x:v>
      </x:c>
      <x:c r="I957" s="87" t="n">
        <x:v>21</x:v>
      </x:c>
      <x:c r="J957" s="68" t="n">
        <x:f>IFERROR(H957/I957,"")</x:f>
        <x:v>0.5714285714285714</x:v>
      </x:c>
      <x:c r="K957" s="69" t="n">
        <x:f>IFERROR(I957/H957,"")</x:f>
        <x:v>1.75</x:v>
      </x:c>
      <x:c r="L957" s="66" t="str">
        <x:f>IF(K957="","","1 : "&amp;TEXT(K957,"0.0"))</x:f>
        <x:v>1 : 1.8</x:v>
      </x:c>
      <x:c r="M957" s="66" t="str">
        <x:f>IF(J957="","Baru/Tanpa Data",IF(J957&lt;='Catatan &amp; Sumber'!$B$14,"Sangat Ketat",IF(J957&lt;='Catatan &amp; Sumber'!$B$15,"Ketat",IF(J957&lt;='Catatan &amp; Sumber'!$B$16,"Sedang","Relatif Longgar"))))</x:f>
        <x:v>Relatif Longgar</x:v>
      </x:c>
      <x:c r="N957" s="66" t="str">
        <x:v>Tidak Ada</x:v>
      </x:c>
      <x:c r="O957" s="66" t="str">
        <x:v>Lampung</x:v>
      </x:c>
      <x:c r="P957" s="66" t="str">
        <x:v>Kota Bandar Lampung</x:v>
      </x:c>
      <x:c r="Q957" s="66" t="str">
        <x:v>https://snpmb.id/snbp/daya-tampung-snbp</x:v>
      </x:c>
      <x:c r="R957" s="66" t="str">
        <x:v>https://sidatagrun-public-1076756628210.asia-southeast2.run.app/ptn_sn.php?ptn=191</x:v>
      </x:c>
    </x:row>
    <x:row r="958">
      <x:c r="A958" s="87" t="n">
        <x:v>4545</x:v>
      </x:c>
      <x:c r="B958" s="87" t="n">
        <x:v>191</x:v>
      </x:c>
      <x:c r="C958" s="66" t="str">
        <x:v>UNIVERSITAS LAMPUNG</x:v>
      </x:c>
      <x:c r="D958" s="66" t="str">
        <x:v>PTN Akademik</x:v>
      </x:c>
      <x:c r="E958" s="66" t="str">
        <x:v>11913068</x:v>
      </x:c>
      <x:c r="F958" s="66" t="str">
        <x:v>TEKNIK SURVEY DAN PEMETAAN</x:v>
      </x:c>
      <x:c r="G958" s="66" t="str">
        <x:v>Diploma Tiga</x:v>
      </x:c>
      <x:c r="H958" s="87" t="n">
        <x:v>12</x:v>
      </x:c>
      <x:c r="I958" s="87" t="n">
        <x:v>8</x:v>
      </x:c>
      <x:c r="J958" s="68" t="n">
        <x:f>IFERROR(H958/I958,"")</x:f>
        <x:v>1.5</x:v>
      </x:c>
      <x:c r="K958" s="69" t="n">
        <x:f>IFERROR(I958/H958,"")</x:f>
        <x:v>0.6666666666666666</x:v>
      </x:c>
      <x:c r="L958" s="66" t="str">
        <x:f>IF(K958="","","1 : "&amp;TEXT(K958,"0.0"))</x:f>
        <x:v>1 : 0.7</x:v>
      </x:c>
      <x:c r="M958" s="66" t="str">
        <x:f>IF(J958="","Baru/Tanpa Data",IF(J958&lt;='Catatan &amp; Sumber'!$B$14,"Sangat Ketat",IF(J958&lt;='Catatan &amp; Sumber'!$B$15,"Ketat",IF(J958&lt;='Catatan &amp; Sumber'!$B$16,"Sedang","Relatif Longgar"))))</x:f>
        <x:v>Relatif Longgar</x:v>
      </x:c>
      <x:c r="N958" s="66" t="str">
        <x:v>Tidak Ada</x:v>
      </x:c>
      <x:c r="O958" s="66" t="str">
        <x:v>Lampung</x:v>
      </x:c>
      <x:c r="P958" s="66" t="str">
        <x:v>Kota Bandar Lampung</x:v>
      </x:c>
      <x:c r="Q958" s="66" t="str">
        <x:v>https://snpmb.id/snbp/daya-tampung-snbp</x:v>
      </x:c>
      <x:c r="R958" s="66" t="str">
        <x:v>https://sidatagrun-public-1076756628210.asia-southeast2.run.app/ptn_sn.php?ptn=191</x:v>
      </x:c>
    </x:row>
    <x:row r="959">
      <x:c r="A959" s="87" t="n">
        <x:v>2482</x:v>
      </x:c>
      <x:c r="B959" s="87" t="n">
        <x:v>191</x:v>
      </x:c>
      <x:c r="C959" s="66" t="str">
        <x:v>UNIVERSITAS LAMPUNG</x:v>
      </x:c>
      <x:c r="D959" s="66" t="str">
        <x:v>PTN Akademik</x:v>
      </x:c>
      <x:c r="E959" s="66" t="str">
        <x:v>11913069</x:v>
      </x:c>
      <x:c r="F959" s="66" t="str">
        <x:v>PERPAJAKAN</x:v>
      </x:c>
      <x:c r="G959" s="66" t="str">
        <x:v>Diploma Tiga</x:v>
      </x:c>
      <x:c r="H959" s="87" t="n">
        <x:v>25</x:v>
      </x:c>
      <x:c r="I959" s="87" t="n">
        <x:v>120</x:v>
      </x:c>
      <x:c r="J959" s="68" t="n">
        <x:f>IFERROR(H959/I959,"")</x:f>
        <x:v>0.20833333333333334</x:v>
      </x:c>
      <x:c r="K959" s="69" t="n">
        <x:f>IFERROR(I959/H959,"")</x:f>
        <x:v>4.8</x:v>
      </x:c>
      <x:c r="L959" s="66" t="str">
        <x:f>IF(K959="","","1 : "&amp;TEXT(K959,"0.0"))</x:f>
        <x:v>1 : 4.8</x:v>
      </x:c>
      <x:c r="M959" s="66" t="str">
        <x:f>IF(J959="","Baru/Tanpa Data",IF(J959&lt;='Catatan &amp; Sumber'!$B$14,"Sangat Ketat",IF(J959&lt;='Catatan &amp; Sumber'!$B$15,"Ketat",IF(J959&lt;='Catatan &amp; Sumber'!$B$16,"Sedang","Relatif Longgar"))))</x:f>
        <x:v>Relatif Longgar</x:v>
      </x:c>
      <x:c r="N959" s="66" t="str">
        <x:v>Tidak Ada</x:v>
      </x:c>
      <x:c r="O959" s="66" t="str">
        <x:v>Lampung</x:v>
      </x:c>
      <x:c r="P959" s="66" t="str">
        <x:v>Kota Bandar Lampung</x:v>
      </x:c>
      <x:c r="Q959" s="66" t="str">
        <x:v>https://snpmb.id/snbp/daya-tampung-snbp</x:v>
      </x:c>
      <x:c r="R959" s="66" t="str">
        <x:v>https://sidatagrun-public-1076756628210.asia-southeast2.run.app/ptn_sn.php?ptn=191</x:v>
      </x:c>
    </x:row>
    <x:row r="960">
      <x:c r="A960" s="87" t="n">
        <x:v>2900</x:v>
      </x:c>
      <x:c r="B960" s="87" t="n">
        <x:v>191</x:v>
      </x:c>
      <x:c r="C960" s="66" t="str">
        <x:v>UNIVERSITAS LAMPUNG</x:v>
      </x:c>
      <x:c r="D960" s="66" t="str">
        <x:v>PTN Akademik</x:v>
      </x:c>
      <x:c r="E960" s="66" t="str">
        <x:v>11913070</x:v>
      </x:c>
      <x:c r="F960" s="66" t="str">
        <x:v>KEUANGAN DAN PERBANKAN</x:v>
      </x:c>
      <x:c r="G960" s="66" t="str">
        <x:v>Diploma Tiga</x:v>
      </x:c>
      <x:c r="H960" s="87" t="n">
        <x:v>25</x:v>
      </x:c>
      <x:c r="I960" s="87" t="n">
        <x:v>91</x:v>
      </x:c>
      <x:c r="J960" s="68" t="n">
        <x:f>IFERROR(H960/I960,"")</x:f>
        <x:v>0.27472527472527475</x:v>
      </x:c>
      <x:c r="K960" s="69" t="n">
        <x:f>IFERROR(I960/H960,"")</x:f>
        <x:v>3.64</x:v>
      </x:c>
      <x:c r="L960" s="66" t="str">
        <x:f>IF(K960="","","1 : "&amp;TEXT(K960,"0.0"))</x:f>
        <x:v>1 : 3.6</x:v>
      </x:c>
      <x:c r="M960" s="66" t="str">
        <x:f>IF(J960="","Baru/Tanpa Data",IF(J960&lt;='Catatan &amp; Sumber'!$B$14,"Sangat Ketat",IF(J960&lt;='Catatan &amp; Sumber'!$B$15,"Ketat",IF(J960&lt;='Catatan &amp; Sumber'!$B$16,"Sedang","Relatif Longgar"))))</x:f>
        <x:v>Relatif Longgar</x:v>
      </x:c>
      <x:c r="N960" s="66" t="str">
        <x:v>Tidak Ada</x:v>
      </x:c>
      <x:c r="O960" s="66" t="str">
        <x:v>Lampung</x:v>
      </x:c>
      <x:c r="P960" s="66" t="str">
        <x:v>Kota Bandar Lampung</x:v>
      </x:c>
      <x:c r="Q960" s="66" t="str">
        <x:v>https://snpmb.id/snbp/daya-tampung-snbp</x:v>
      </x:c>
      <x:c r="R960" s="66" t="str">
        <x:v>https://sidatagrun-public-1076756628210.asia-southeast2.run.app/ptn_sn.php?ptn=191</x:v>
      </x:c>
    </x:row>
    <x:row r="961">
      <x:c r="A961" s="87" t="n">
        <x:v>3750</x:v>
      </x:c>
      <x:c r="B961" s="87" t="n">
        <x:v>191</x:v>
      </x:c>
      <x:c r="C961" s="66" t="str">
        <x:v>UNIVERSITAS LAMPUNG</x:v>
      </x:c>
      <x:c r="D961" s="66" t="str">
        <x:v>PTN Akademik</x:v>
      </x:c>
      <x:c r="E961" s="66" t="str">
        <x:v>11913071</x:v>
      </x:c>
      <x:c r="F961" s="66" t="str">
        <x:v>TEKNIK SIPIL</x:v>
      </x:c>
      <x:c r="G961" s="66" t="str">
        <x:v>Diploma Tiga</x:v>
      </x:c>
      <x:c r="H961" s="87" t="n">
        <x:v>12</x:v>
      </x:c>
      <x:c r="I961" s="87" t="n">
        <x:v>22</x:v>
      </x:c>
      <x:c r="J961" s="68" t="n">
        <x:f>IFERROR(H961/I961,"")</x:f>
        <x:v>0.5454545454545454</x:v>
      </x:c>
      <x:c r="K961" s="69" t="n">
        <x:f>IFERROR(I961/H961,"")</x:f>
        <x:v>1.8333333333333333</x:v>
      </x:c>
      <x:c r="L961" s="66" t="str">
        <x:f>IF(K961="","","1 : "&amp;TEXT(K961,"0.0"))</x:f>
        <x:v>1 : 1.8</x:v>
      </x:c>
      <x:c r="M961" s="66" t="str">
        <x:f>IF(J961="","Baru/Tanpa Data",IF(J961&lt;='Catatan &amp; Sumber'!$B$14,"Sangat Ketat",IF(J961&lt;='Catatan &amp; Sumber'!$B$15,"Ketat",IF(J961&lt;='Catatan &amp; Sumber'!$B$16,"Sedang","Relatif Longgar"))))</x:f>
        <x:v>Relatif Longgar</x:v>
      </x:c>
      <x:c r="N961" s="66" t="str">
        <x:v>Tidak Ada</x:v>
      </x:c>
      <x:c r="O961" s="66" t="str">
        <x:v>Lampung</x:v>
      </x:c>
      <x:c r="P961" s="66" t="str">
        <x:v>Kota Bandar Lampung</x:v>
      </x:c>
      <x:c r="Q961" s="66" t="str">
        <x:v>https://snpmb.id/snbp/daya-tampung-snbp</x:v>
      </x:c>
      <x:c r="R961" s="66" t="str">
        <x:v>https://sidatagrun-public-1076756628210.asia-southeast2.run.app/ptn_sn.php?ptn=191</x:v>
      </x:c>
    </x:row>
    <x:row r="962">
      <x:c r="A962" s="87" t="n">
        <x:v>3560</x:v>
      </x:c>
      <x:c r="B962" s="87" t="n">
        <x:v>191</x:v>
      </x:c>
      <x:c r="C962" s="66" t="str">
        <x:v>UNIVERSITAS LAMPUNG</x:v>
      </x:c>
      <x:c r="D962" s="66" t="str">
        <x:v>PTN Akademik</x:v>
      </x:c>
      <x:c r="E962" s="66" t="str">
        <x:v>11913072</x:v>
      </x:c>
      <x:c r="F962" s="66" t="str">
        <x:v>HUBUNGAN MASYARAKAT</x:v>
      </x:c>
      <x:c r="G962" s="66" t="str">
        <x:v>Diploma Tiga</x:v>
      </x:c>
      <x:c r="H962" s="87" t="n">
        <x:v>15</x:v>
      </x:c>
      <x:c r="I962" s="87" t="n">
        <x:v>33</x:v>
      </x:c>
      <x:c r="J962" s="68" t="n">
        <x:f>IFERROR(H962/I962,"")</x:f>
        <x:v>0.45454545454545453</x:v>
      </x:c>
      <x:c r="K962" s="69" t="n">
        <x:f>IFERROR(I962/H962,"")</x:f>
        <x:v>2.2</x:v>
      </x:c>
      <x:c r="L962" s="66" t="str">
        <x:f>IF(K962="","","1 : "&amp;TEXT(K962,"0.0"))</x:f>
        <x:v>1 : 2.2</x:v>
      </x:c>
      <x:c r="M962" s="66" t="str">
        <x:f>IF(J962="","Baru/Tanpa Data",IF(J962&lt;='Catatan &amp; Sumber'!$B$14,"Sangat Ketat",IF(J962&lt;='Catatan &amp; Sumber'!$B$15,"Ketat",IF(J962&lt;='Catatan &amp; Sumber'!$B$16,"Sedang","Relatif Longgar"))))</x:f>
        <x:v>Relatif Longgar</x:v>
      </x:c>
      <x:c r="N962" s="66" t="str">
        <x:v>Tidak Ada</x:v>
      </x:c>
      <x:c r="O962" s="66" t="str">
        <x:v>Lampung</x:v>
      </x:c>
      <x:c r="P962" s="66" t="str">
        <x:v>Kota Bandar Lampung</x:v>
      </x:c>
      <x:c r="Q962" s="66" t="str">
        <x:v>https://snpmb.id/snbp/daya-tampung-snbp</x:v>
      </x:c>
      <x:c r="R962" s="66" t="str">
        <x:v>https://sidatagrun-public-1076756628210.asia-southeast2.run.app/ptn_sn.php?ptn=191</x:v>
      </x:c>
    </x:row>
    <x:row r="963">
      <x:c r="A963" s="87" t="n">
        <x:v>3084</x:v>
      </x:c>
      <x:c r="B963" s="87" t="n">
        <x:v>191</x:v>
      </x:c>
      <x:c r="C963" s="66" t="str">
        <x:v>UNIVERSITAS LAMPUNG</x:v>
      </x:c>
      <x:c r="D963" s="66" t="str">
        <x:v>PTN Akademik</x:v>
      </x:c>
      <x:c r="E963" s="66" t="str">
        <x:v>11913073</x:v>
      </x:c>
      <x:c r="F963" s="66" t="str">
        <x:v>AKUNTANSI</x:v>
      </x:c>
      <x:c r="G963" s="66" t="str">
        <x:v>Diploma Tiga</x:v>
      </x:c>
      <x:c r="H963" s="87" t="n">
        <x:v>25</x:v>
      </x:c>
      <x:c r="I963" s="87" t="n">
        <x:v>80</x:v>
      </x:c>
      <x:c r="J963" s="68" t="n">
        <x:f>IFERROR(H963/I963,"")</x:f>
        <x:v>0.3125</x:v>
      </x:c>
      <x:c r="K963" s="69" t="n">
        <x:f>IFERROR(I963/H963,"")</x:f>
        <x:v>3.2</x:v>
      </x:c>
      <x:c r="L963" s="66" t="str">
        <x:f>IF(K963="","","1 : "&amp;TEXT(K963,"0.0"))</x:f>
        <x:v>1 : 3.2</x:v>
      </x:c>
      <x:c r="M963" s="66" t="str">
        <x:f>IF(J963="","Baru/Tanpa Data",IF(J963&lt;='Catatan &amp; Sumber'!$B$14,"Sangat Ketat",IF(J963&lt;='Catatan &amp; Sumber'!$B$15,"Ketat",IF(J963&lt;='Catatan &amp; Sumber'!$B$16,"Sedang","Relatif Longgar"))))</x:f>
        <x:v>Relatif Longgar</x:v>
      </x:c>
      <x:c r="N963" s="66" t="str">
        <x:v>Tidak Ada</x:v>
      </x:c>
      <x:c r="O963" s="66" t="str">
        <x:v>Lampung</x:v>
      </x:c>
      <x:c r="P963" s="66" t="str">
        <x:v>Kota Bandar Lampung</x:v>
      </x:c>
      <x:c r="Q963" s="66" t="str">
        <x:v>https://snpmb.id/snbp/daya-tampung-snbp</x:v>
      </x:c>
      <x:c r="R963" s="66" t="str">
        <x:v>https://sidatagrun-public-1076756628210.asia-southeast2.run.app/ptn_sn.php?ptn=191</x:v>
      </x:c>
    </x:row>
    <x:row r="964">
      <x:c r="A964" s="87" t="n">
        <x:v>4910</x:v>
      </x:c>
      <x:c r="B964" s="87" t="n">
        <x:v>191</x:v>
      </x:c>
      <x:c r="C964" s="66" t="str">
        <x:v>UNIVERSITAS LAMPUNG</x:v>
      </x:c>
      <x:c r="D964" s="66" t="str">
        <x:v>PTN Akademik</x:v>
      </x:c>
      <x:c r="E964" s="66" t="str">
        <x:v>11913079</x:v>
      </x:c>
      <x:c r="F964" s="66" t="str">
        <x:v>AKUNTANSI PSDKU WAY KANAN</x:v>
      </x:c>
      <x:c r="G964" s="66" t="str">
        <x:v>Diploma Tiga</x:v>
      </x:c>
      <x:c r="H964" s="87" t="n">
        <x:v>45</x:v>
      </x:c>
      <x:c r="I964" s="87" t="n">
        <x:v>2</x:v>
      </x:c>
      <x:c r="J964" s="68" t="n">
        <x:f>IFERROR(H964/I964,"")</x:f>
        <x:v>22.5</x:v>
      </x:c>
      <x:c r="K964" s="69" t="n">
        <x:f>IFERROR(I964/H964,"")</x:f>
        <x:v>0.044444444444444446</x:v>
      </x:c>
      <x:c r="L964" s="66" t="str">
        <x:f>IF(K964="","","1 : "&amp;TEXT(K964,"0.0"))</x:f>
        <x:v>1 : 0.0</x:v>
      </x:c>
      <x:c r="M964" s="66" t="str">
        <x:f>IF(J964="","Baru/Tanpa Data",IF(J964&lt;='Catatan &amp; Sumber'!$B$14,"Sangat Ketat",IF(J964&lt;='Catatan &amp; Sumber'!$B$15,"Ketat",IF(J964&lt;='Catatan &amp; Sumber'!$B$16,"Sedang","Relatif Longgar"))))</x:f>
        <x:v>Relatif Longgar</x:v>
      </x:c>
      <x:c r="N964" s="66" t="str">
        <x:v>Tidak Ada</x:v>
      </x:c>
      <x:c r="O964" s="66" t="str">
        <x:v>Lampung</x:v>
      </x:c>
      <x:c r="P964" s="66" t="str">
        <x:v>Kota Bandar Lampung</x:v>
      </x:c>
      <x:c r="Q964" s="66" t="str">
        <x:v>https://snpmb.id/snbp/daya-tampung-snbp</x:v>
      </x:c>
      <x:c r="R964" s="66" t="str">
        <x:v>https://sidatagrun-public-1076756628210.asia-southeast2.run.app/ptn_sn.php?ptn=191</x:v>
      </x:c>
    </x:row>
    <x:row r="965">
      <x:c r="A965" s="87" t="n">
        <x:v>4855</x:v>
      </x:c>
      <x:c r="B965" s="87" t="n">
        <x:v>191</x:v>
      </x:c>
      <x:c r="C965" s="66" t="str">
        <x:v>UNIVERSITAS LAMPUNG</x:v>
      </x:c>
      <x:c r="D965" s="66" t="str">
        <x:v>PTN Akademik</x:v>
      </x:c>
      <x:c r="E965" s="66" t="str">
        <x:v>11913080</x:v>
      </x:c>
      <x:c r="F965" s="66" t="str">
        <x:v>PERBANKAN DAN KEUANGAN PSDKU LAMPUNG TENGAH</x:v>
      </x:c>
      <x:c r="G965" s="66" t="str">
        <x:v>Diploma Tiga</x:v>
      </x:c>
      <x:c r="H965" s="87" t="n">
        <x:v>45</x:v>
      </x:c>
      <x:c r="I965" s="87" t="n">
        <x:v>8</x:v>
      </x:c>
      <x:c r="J965" s="68" t="n">
        <x:f>IFERROR(H965/I965,"")</x:f>
        <x:v>5.625</x:v>
      </x:c>
      <x:c r="K965" s="69" t="n">
        <x:f>IFERROR(I965/H965,"")</x:f>
        <x:v>0.17777777777777778</x:v>
      </x:c>
      <x:c r="L965" s="66" t="str">
        <x:f>IF(K965="","","1 : "&amp;TEXT(K965,"0.0"))</x:f>
        <x:v>1 : 0.2</x:v>
      </x:c>
      <x:c r="M965" s="66" t="str">
        <x:f>IF(J965="","Baru/Tanpa Data",IF(J965&lt;='Catatan &amp; Sumber'!$B$14,"Sangat Ketat",IF(J965&lt;='Catatan &amp; Sumber'!$B$15,"Ketat",IF(J965&lt;='Catatan &amp; Sumber'!$B$16,"Sedang","Relatif Longgar"))))</x:f>
        <x:v>Relatif Longgar</x:v>
      </x:c>
      <x:c r="N965" s="66" t="str">
        <x:v>Tidak Ada</x:v>
      </x:c>
      <x:c r="O965" s="66" t="str">
        <x:v>Lampung</x:v>
      </x:c>
      <x:c r="P965" s="66" t="str">
        <x:v>Kota Bandar Lampung</x:v>
      </x:c>
      <x:c r="Q965" s="66" t="str">
        <x:v>https://snpmb.id/snbp/daya-tampung-snbp</x:v>
      </x:c>
      <x:c r="R965" s="66" t="str">
        <x:v>https://sidatagrun-public-1076756628210.asia-southeast2.run.app/ptn_sn.php?ptn=191</x:v>
      </x:c>
    </x:row>
    <x:row r="966">
      <x:c r="A966" s="87" t="n">
        <x:v>3898</x:v>
      </x:c>
      <x:c r="B966" s="87" t="n">
        <x:v>192</x:v>
      </x:c>
      <x:c r="C966" s="66" t="str">
        <x:v>INSTITUT TEKNOLOGI SUMATERA</x:v>
      </x:c>
      <x:c r="D966" s="66" t="str">
        <x:v>PTN Akademik</x:v>
      </x:c>
      <x:c r="E966" s="66" t="str">
        <x:v>11921001</x:v>
      </x:c>
      <x:c r="F966" s="66" t="str">
        <x:v>TEKNIK GEOMATIKA</x:v>
      </x:c>
      <x:c r="G966" s="66" t="str">
        <x:v>Sarjana</x:v>
      </x:c>
      <x:c r="H966" s="87" t="n">
        <x:v>53</x:v>
      </x:c>
      <x:c r="I966" s="87" t="n">
        <x:v>85</x:v>
      </x:c>
      <x:c r="J966" s="68" t="n">
        <x:f>IFERROR(H966/I966,"")</x:f>
        <x:v>0.6235294117647059</x:v>
      </x:c>
      <x:c r="K966" s="69" t="n">
        <x:f>IFERROR(I966/H966,"")</x:f>
        <x:v>1.6037735849056605</x:v>
      </x:c>
      <x:c r="L966" s="66" t="str">
        <x:f>IF(K966="","","1 : "&amp;TEXT(K966,"0.0"))</x:f>
        <x:v>1 : 1.6</x:v>
      </x:c>
      <x:c r="M966" s="66" t="str">
        <x:f>IF(J966="","Baru/Tanpa Data",IF(J966&lt;='Catatan &amp; Sumber'!$B$14,"Sangat Ketat",IF(J966&lt;='Catatan &amp; Sumber'!$B$15,"Ketat",IF(J966&lt;='Catatan &amp; Sumber'!$B$16,"Sedang","Relatif Longgar"))))</x:f>
        <x:v>Relatif Longgar</x:v>
      </x:c>
      <x:c r="N966" s="66" t="str">
        <x:v>Tidak Ada</x:v>
      </x:c>
      <x:c r="O966" s="66" t="str">
        <x:v>Lampung</x:v>
      </x:c>
      <x:c r="P966" s="66" t="str">
        <x:v>Kabupaten Lampung Selatan</x:v>
      </x:c>
      <x:c r="Q966" s="66" t="str">
        <x:v>https://snpmb.id/snbp/daya-tampung-snbp</x:v>
      </x:c>
      <x:c r="R966" s="66" t="str">
        <x:v>https://sidatagrun-public-1076756628210.asia-southeast2.run.app/ptn_sn.php?ptn=192</x:v>
      </x:c>
    </x:row>
    <x:row r="967">
      <x:c r="A967" s="87" t="n">
        <x:v>2253</x:v>
      </x:c>
      <x:c r="B967" s="87" t="n">
        <x:v>192</x:v>
      </x:c>
      <x:c r="C967" s="66" t="str">
        <x:v>INSTITUT TEKNOLOGI SUMATERA</x:v>
      </x:c>
      <x:c r="D967" s="66" t="str">
        <x:v>PTN Akademik</x:v>
      </x:c>
      <x:c r="E967" s="66" t="str">
        <x:v>11921002</x:v>
      </x:c>
      <x:c r="F967" s="66" t="str">
        <x:v>TEKNIK ELEKTRO</x:v>
      </x:c>
      <x:c r="G967" s="66" t="str">
        <x:v>Sarjana</x:v>
      </x:c>
      <x:c r="H967" s="87" t="n">
        <x:v>60</x:v>
      </x:c>
      <x:c r="I967" s="87" t="n">
        <x:v>337</x:v>
      </x:c>
      <x:c r="J967" s="68" t="n">
        <x:f>IFERROR(H967/I967,"")</x:f>
        <x:v>0.17804154302670624</x:v>
      </x:c>
      <x:c r="K967" s="69" t="n">
        <x:f>IFERROR(I967/H967,"")</x:f>
        <x:v>5.616666666666666</x:v>
      </x:c>
      <x:c r="L967" s="66" t="str">
        <x:f>IF(K967="","","1 : "&amp;TEXT(K967,"0.0"))</x:f>
        <x:v>1 : 5.6</x:v>
      </x:c>
      <x:c r="M967" s="66" t="str">
        <x:f>IF(J967="","Baru/Tanpa Data",IF(J967&lt;='Catatan &amp; Sumber'!$B$14,"Sangat Ketat",IF(J967&lt;='Catatan &amp; Sumber'!$B$15,"Ketat",IF(J967&lt;='Catatan &amp; Sumber'!$B$16,"Sedang","Relatif Longgar"))))</x:f>
        <x:v>Relatif Longgar</x:v>
      </x:c>
      <x:c r="N967" s="66" t="str">
        <x:v>Tidak Ada</x:v>
      </x:c>
      <x:c r="O967" s="66" t="str">
        <x:v>Lampung</x:v>
      </x:c>
      <x:c r="P967" s="66" t="str">
        <x:v>Kabupaten Lampung Selatan</x:v>
      </x:c>
      <x:c r="Q967" s="66" t="str">
        <x:v>https://snpmb.id/snbp/daya-tampung-snbp</x:v>
      </x:c>
      <x:c r="R967" s="66" t="str">
        <x:v>https://sidatagrun-public-1076756628210.asia-southeast2.run.app/ptn_sn.php?ptn=192</x:v>
      </x:c>
    </x:row>
    <x:row r="968">
      <x:c r="A968" s="87" t="n">
        <x:v>2933</x:v>
      </x:c>
      <x:c r="B968" s="87" t="n">
        <x:v>192</x:v>
      </x:c>
      <x:c r="C968" s="66" t="str">
        <x:v>INSTITUT TEKNOLOGI SUMATERA</x:v>
      </x:c>
      <x:c r="D968" s="66" t="str">
        <x:v>PTN Akademik</x:v>
      </x:c>
      <x:c r="E968" s="66" t="str">
        <x:v>11921003</x:v>
      </x:c>
      <x:c r="F968" s="66" t="str">
        <x:v>PERENCANAAN WILAYAH DAN KOTA</x:v>
      </x:c>
      <x:c r="G968" s="66" t="str">
        <x:v>Sarjana</x:v>
      </x:c>
      <x:c r="H968" s="87" t="n">
        <x:v>74</x:v>
      </x:c>
      <x:c r="I968" s="87" t="n">
        <x:v>265</x:v>
      </x:c>
      <x:c r="J968" s="68" t="n">
        <x:f>IFERROR(H968/I968,"")</x:f>
        <x:v>0.2792452830188679</x:v>
      </x:c>
      <x:c r="K968" s="69" t="n">
        <x:f>IFERROR(I968/H968,"")</x:f>
        <x:v>3.581081081081081</x:v>
      </x:c>
      <x:c r="L968" s="66" t="str">
        <x:f>IF(K968="","","1 : "&amp;TEXT(K968,"0.0"))</x:f>
        <x:v>1 : 3.6</x:v>
      </x:c>
      <x:c r="M968" s="66" t="str">
        <x:f>IF(J968="","Baru/Tanpa Data",IF(J968&lt;='Catatan &amp; Sumber'!$B$14,"Sangat Ketat",IF(J968&lt;='Catatan &amp; Sumber'!$B$15,"Ketat",IF(J968&lt;='Catatan &amp; Sumber'!$B$16,"Sedang","Relatif Longgar"))))</x:f>
        <x:v>Relatif Longgar</x:v>
      </x:c>
      <x:c r="N968" s="66" t="str">
        <x:v>Tidak Ada</x:v>
      </x:c>
      <x:c r="O968" s="66" t="str">
        <x:v>Lampung</x:v>
      </x:c>
      <x:c r="P968" s="66" t="str">
        <x:v>Kabupaten Lampung Selatan</x:v>
      </x:c>
      <x:c r="Q968" s="66" t="str">
        <x:v>https://snpmb.id/snbp/daya-tampung-snbp</x:v>
      </x:c>
      <x:c r="R968" s="66" t="str">
        <x:v>https://sidatagrun-public-1076756628210.asia-southeast2.run.app/ptn_sn.php?ptn=192</x:v>
      </x:c>
    </x:row>
    <x:row r="969">
      <x:c r="A969" s="87" t="n">
        <x:v>3378</x:v>
      </x:c>
      <x:c r="B969" s="87" t="n">
        <x:v>192</x:v>
      </x:c>
      <x:c r="C969" s="66" t="str">
        <x:v>INSTITUT TEKNOLOGI SUMATERA</x:v>
      </x:c>
      <x:c r="D969" s="66" t="str">
        <x:v>PTN Akademik</x:v>
      </x:c>
      <x:c r="E969" s="66" t="str">
        <x:v>11921004</x:v>
      </x:c>
      <x:c r="F969" s="66" t="str">
        <x:v>TEKNIK GEOFISIKA</x:v>
      </x:c>
      <x:c r="G969" s="66" t="str">
        <x:v>Sarjana</x:v>
      </x:c>
      <x:c r="H969" s="87" t="n">
        <x:v>70</x:v>
      </x:c>
      <x:c r="I969" s="87" t="n">
        <x:v>178</x:v>
      </x:c>
      <x:c r="J969" s="68" t="n">
        <x:f>IFERROR(H969/I969,"")</x:f>
        <x:v>0.39325842696629215</x:v>
      </x:c>
      <x:c r="K969" s="69" t="n">
        <x:f>IFERROR(I969/H969,"")</x:f>
        <x:v>2.5428571428571427</x:v>
      </x:c>
      <x:c r="L969" s="66" t="str">
        <x:f>IF(K969="","","1 : "&amp;TEXT(K969,"0.0"))</x:f>
        <x:v>1 : 2.5</x:v>
      </x:c>
      <x:c r="M969" s="66" t="str">
        <x:f>IF(J969="","Baru/Tanpa Data",IF(J969&lt;='Catatan &amp; Sumber'!$B$14,"Sangat Ketat",IF(J969&lt;='Catatan &amp; Sumber'!$B$15,"Ketat",IF(J969&lt;='Catatan &amp; Sumber'!$B$16,"Sedang","Relatif Longgar"))))</x:f>
        <x:v>Relatif Longgar</x:v>
      </x:c>
      <x:c r="N969" s="66" t="str">
        <x:v>Tidak Ada</x:v>
      </x:c>
      <x:c r="O969" s="66" t="str">
        <x:v>Lampung</x:v>
      </x:c>
      <x:c r="P969" s="66" t="str">
        <x:v>Kabupaten Lampung Selatan</x:v>
      </x:c>
      <x:c r="Q969" s="66" t="str">
        <x:v>https://snpmb.id/snbp/daya-tampung-snbp</x:v>
      </x:c>
      <x:c r="R969" s="66" t="str">
        <x:v>https://sidatagrun-public-1076756628210.asia-southeast2.run.app/ptn_sn.php?ptn=192</x:v>
      </x:c>
    </x:row>
    <x:row r="970">
      <x:c r="A970" s="87" t="n">
        <x:v>2091</x:v>
      </x:c>
      <x:c r="B970" s="87" t="n">
        <x:v>192</x:v>
      </x:c>
      <x:c r="C970" s="66" t="str">
        <x:v>INSTITUT TEKNOLOGI SUMATERA</x:v>
      </x:c>
      <x:c r="D970" s="66" t="str">
        <x:v>PTN Akademik</x:v>
      </x:c>
      <x:c r="E970" s="66" t="str">
        <x:v>11921005</x:v>
      </x:c>
      <x:c r="F970" s="66" t="str">
        <x:v>TEKNIK SIPIL</x:v>
      </x:c>
      <x:c r="G970" s="66" t="str">
        <x:v>Sarjana</x:v>
      </x:c>
      <x:c r="H970" s="87" t="n">
        <x:v>68</x:v>
      </x:c>
      <x:c r="I970" s="87" t="n">
        <x:v>424</x:v>
      </x:c>
      <x:c r="J970" s="68" t="n">
        <x:f>IFERROR(H970/I970,"")</x:f>
        <x:v>0.16037735849056603</x:v>
      </x:c>
      <x:c r="K970" s="69" t="n">
        <x:f>IFERROR(I970/H970,"")</x:f>
        <x:v>6.235294117647059</x:v>
      </x:c>
      <x:c r="L970" s="66" t="str">
        <x:f>IF(K970="","","1 : "&amp;TEXT(K970,"0.0"))</x:f>
        <x:v>1 : 6.2</x:v>
      </x:c>
      <x:c r="M970" s="66" t="str">
        <x:f>IF(J970="","Baru/Tanpa Data",IF(J970&lt;='Catatan &amp; Sumber'!$B$14,"Sangat Ketat",IF(J970&lt;='Catatan &amp; Sumber'!$B$15,"Ketat",IF(J970&lt;='Catatan &amp; Sumber'!$B$16,"Sedang","Relatif Longgar"))))</x:f>
        <x:v>Relatif Longgar</x:v>
      </x:c>
      <x:c r="N970" s="66" t="str">
        <x:v>Tidak Ada</x:v>
      </x:c>
      <x:c r="O970" s="66" t="str">
        <x:v>Lampung</x:v>
      </x:c>
      <x:c r="P970" s="66" t="str">
        <x:v>Kabupaten Lampung Selatan</x:v>
      </x:c>
      <x:c r="Q970" s="66" t="str">
        <x:v>https://snpmb.id/snbp/daya-tampung-snbp</x:v>
      </x:c>
      <x:c r="R970" s="66" t="str">
        <x:v>https://sidatagrun-public-1076756628210.asia-southeast2.run.app/ptn_sn.php?ptn=192</x:v>
      </x:c>
    </x:row>
    <x:row r="971">
      <x:c r="A971" s="87" t="n">
        <x:v>1045</x:v>
      </x:c>
      <x:c r="B971" s="87" t="n">
        <x:v>192</x:v>
      </x:c>
      <x:c r="C971" s="66" t="str">
        <x:v>INSTITUT TEKNOLOGI SUMATERA</x:v>
      </x:c>
      <x:c r="D971" s="66" t="str">
        <x:v>PTN Akademik</x:v>
      </x:c>
      <x:c r="E971" s="66" t="str">
        <x:v>11921006</x:v>
      </x:c>
      <x:c r="F971" s="66" t="str">
        <x:v>TEKNIK INFORMATIKA</x:v>
      </x:c>
      <x:c r="G971" s="66" t="str">
        <x:v>Sarjana</x:v>
      </x:c>
      <x:c r="H971" s="87" t="n">
        <x:v>74</x:v>
      </x:c>
      <x:c r="I971" s="87" t="n">
        <x:v>918</x:v>
      </x:c>
      <x:c r="J971" s="68" t="n">
        <x:f>IFERROR(H971/I971,"")</x:f>
        <x:v>0.08061002178649238</x:v>
      </x:c>
      <x:c r="K971" s="69" t="n">
        <x:f>IFERROR(I971/H971,"")</x:f>
        <x:v>12.405405405405405</x:v>
      </x:c>
      <x:c r="L971" s="66" t="str">
        <x:f>IF(K971="","","1 : "&amp;TEXT(K971,"0.0"))</x:f>
        <x:v>1 : 12.4</x:v>
      </x:c>
      <x:c r="M971" s="66" t="str">
        <x:f>IF(J971="","Baru/Tanpa Data",IF(J971&lt;='Catatan &amp; Sumber'!$B$14,"Sangat Ketat",IF(J971&lt;='Catatan &amp; Sumber'!$B$15,"Ketat",IF(J971&lt;='Catatan &amp; Sumber'!$B$16,"Sedang","Relatif Longgar"))))</x:f>
        <x:v>Sedang</x:v>
      </x:c>
      <x:c r="N971" s="66" t="str">
        <x:v>Tidak Ada</x:v>
      </x:c>
      <x:c r="O971" s="66" t="str">
        <x:v>Lampung</x:v>
      </x:c>
      <x:c r="P971" s="66" t="str">
        <x:v>Kabupaten Lampung Selatan</x:v>
      </x:c>
      <x:c r="Q971" s="66" t="str">
        <x:v>https://snpmb.id/snbp/daya-tampung-snbp</x:v>
      </x:c>
      <x:c r="R971" s="66" t="str">
        <x:v>https://sidatagrun-public-1076756628210.asia-southeast2.run.app/ptn_sn.php?ptn=192</x:v>
      </x:c>
    </x:row>
    <x:row r="972">
      <x:c r="A972" s="87" t="n">
        <x:v>4152</x:v>
      </x:c>
      <x:c r="B972" s="87" t="n">
        <x:v>192</x:v>
      </x:c>
      <x:c r="C972" s="66" t="str">
        <x:v>INSTITUT TEKNOLOGI SUMATERA</x:v>
      </x:c>
      <x:c r="D972" s="66" t="str">
        <x:v>PTN Akademik</x:v>
      </x:c>
      <x:c r="E972" s="66" t="str">
        <x:v>11921007</x:v>
      </x:c>
      <x:c r="F972" s="66" t="str">
        <x:v>FISIKA</x:v>
      </x:c>
      <x:c r="G972" s="66" t="str">
        <x:v>Sarjana</x:v>
      </x:c>
      <x:c r="H972" s="87" t="n">
        <x:v>26</x:v>
      </x:c>
      <x:c r="I972" s="87" t="n">
        <x:v>32</x:v>
      </x:c>
      <x:c r="J972" s="68" t="n">
        <x:f>IFERROR(H972/I972,"")</x:f>
        <x:v>0.8125</x:v>
      </x:c>
      <x:c r="K972" s="69" t="n">
        <x:f>IFERROR(I972/H972,"")</x:f>
        <x:v>1.2307692307692308</x:v>
      </x:c>
      <x:c r="L972" s="66" t="str">
        <x:f>IF(K972="","","1 : "&amp;TEXT(K972,"0.0"))</x:f>
        <x:v>1 : 1.2</x:v>
      </x:c>
      <x:c r="M972" s="66" t="str">
        <x:f>IF(J972="","Baru/Tanpa Data",IF(J972&lt;='Catatan &amp; Sumber'!$B$14,"Sangat Ketat",IF(J972&lt;='Catatan &amp; Sumber'!$B$15,"Ketat",IF(J972&lt;='Catatan &amp; Sumber'!$B$16,"Sedang","Relatif Longgar"))))</x:f>
        <x:v>Relatif Longgar</x:v>
      </x:c>
      <x:c r="N972" s="66" t="str">
        <x:v>Tidak Ada</x:v>
      </x:c>
      <x:c r="O972" s="66" t="str">
        <x:v>Lampung</x:v>
      </x:c>
      <x:c r="P972" s="66" t="str">
        <x:v>Kabupaten Lampung Selatan</x:v>
      </x:c>
      <x:c r="Q972" s="66" t="str">
        <x:v>https://snpmb.id/snbp/daya-tampung-snbp</x:v>
      </x:c>
      <x:c r="R972" s="66" t="str">
        <x:v>https://sidatagrun-public-1076756628210.asia-southeast2.run.app/ptn_sn.php?ptn=192</x:v>
      </x:c>
    </x:row>
    <x:row r="973">
      <x:c r="A973" s="87" t="n">
        <x:v>2276</x:v>
      </x:c>
      <x:c r="B973" s="87" t="n">
        <x:v>192</x:v>
      </x:c>
      <x:c r="C973" s="66" t="str">
        <x:v>INSTITUT TEKNOLOGI SUMATERA</x:v>
      </x:c>
      <x:c r="D973" s="66" t="str">
        <x:v>PTN Akademik</x:v>
      </x:c>
      <x:c r="E973" s="66" t="str">
        <x:v>11921008</x:v>
      </x:c>
      <x:c r="F973" s="66" t="str">
        <x:v>ARSITEKTUR</x:v>
      </x:c>
      <x:c r="G973" s="66" t="str">
        <x:v>Sarjana</x:v>
      </x:c>
      <x:c r="H973" s="87" t="n">
        <x:v>53</x:v>
      </x:c>
      <x:c r="I973" s="87" t="n">
        <x:v>292</x:v>
      </x:c>
      <x:c r="J973" s="68" t="n">
        <x:f>IFERROR(H973/I973,"")</x:f>
        <x:v>0.1815068493150685</x:v>
      </x:c>
      <x:c r="K973" s="69" t="n">
        <x:f>IFERROR(I973/H973,"")</x:f>
        <x:v>5.509433962264151</x:v>
      </x:c>
      <x:c r="L973" s="66" t="str">
        <x:f>IF(K973="","","1 : "&amp;TEXT(K973,"0.0"))</x:f>
        <x:v>1 : 5.5</x:v>
      </x:c>
      <x:c r="M973" s="66" t="str">
        <x:f>IF(J973="","Baru/Tanpa Data",IF(J973&lt;='Catatan &amp; Sumber'!$B$14,"Sangat Ketat",IF(J973&lt;='Catatan &amp; Sumber'!$B$15,"Ketat",IF(J973&lt;='Catatan &amp; Sumber'!$B$16,"Sedang","Relatif Longgar"))))</x:f>
        <x:v>Relatif Longgar</x:v>
      </x:c>
      <x:c r="N973" s="66" t="str">
        <x:v>Tidak Ada</x:v>
      </x:c>
      <x:c r="O973" s="66" t="str">
        <x:v>Lampung</x:v>
      </x:c>
      <x:c r="P973" s="66" t="str">
        <x:v>Kabupaten Lampung Selatan</x:v>
      </x:c>
      <x:c r="Q973" s="66" t="str">
        <x:v>https://snpmb.id/snbp/daya-tampung-snbp</x:v>
      </x:c>
      <x:c r="R973" s="66" t="str">
        <x:v>https://sidatagrun-public-1076756628210.asia-southeast2.run.app/ptn_sn.php?ptn=192</x:v>
      </x:c>
    </x:row>
    <x:row r="974">
      <x:c r="A974" s="87" t="n">
        <x:v>2127</x:v>
      </x:c>
      <x:c r="B974" s="87" t="n">
        <x:v>192</x:v>
      </x:c>
      <x:c r="C974" s="66" t="str">
        <x:v>INSTITUT TEKNOLOGI SUMATERA</x:v>
      </x:c>
      <x:c r="D974" s="66" t="str">
        <x:v>PTN Akademik</x:v>
      </x:c>
      <x:c r="E974" s="66" t="str">
        <x:v>11921009</x:v>
      </x:c>
      <x:c r="F974" s="66" t="str">
        <x:v>TEKNIK LINGKUNGAN</x:v>
      </x:c>
      <x:c r="G974" s="66" t="str">
        <x:v>Sarjana</x:v>
      </x:c>
      <x:c r="H974" s="87" t="n">
        <x:v>51</x:v>
      </x:c>
      <x:c r="I974" s="87" t="n">
        <x:v>310</x:v>
      </x:c>
      <x:c r="J974" s="68" t="n">
        <x:f>IFERROR(H974/I974,"")</x:f>
        <x:v>0.16451612903225807</x:v>
      </x:c>
      <x:c r="K974" s="69" t="n">
        <x:f>IFERROR(I974/H974,"")</x:f>
        <x:v>6.078431372549019</x:v>
      </x:c>
      <x:c r="L974" s="66" t="str">
        <x:f>IF(K974="","","1 : "&amp;TEXT(K974,"0.0"))</x:f>
        <x:v>1 : 6.1</x:v>
      </x:c>
      <x:c r="M974" s="66" t="str">
        <x:f>IF(J974="","Baru/Tanpa Data",IF(J974&lt;='Catatan &amp; Sumber'!$B$14,"Sangat Ketat",IF(J974&lt;='Catatan &amp; Sumber'!$B$15,"Ketat",IF(J974&lt;='Catatan &amp; Sumber'!$B$16,"Sedang","Relatif Longgar"))))</x:f>
        <x:v>Relatif Longgar</x:v>
      </x:c>
      <x:c r="N974" s="66" t="str">
        <x:v>Tidak Ada</x:v>
      </x:c>
      <x:c r="O974" s="66" t="str">
        <x:v>Lampung</x:v>
      </x:c>
      <x:c r="P974" s="66" t="str">
        <x:v>Kabupaten Lampung Selatan</x:v>
      </x:c>
      <x:c r="Q974" s="66" t="str">
        <x:v>https://snpmb.id/snbp/daya-tampung-snbp</x:v>
      </x:c>
      <x:c r="R974" s="66" t="str">
        <x:v>https://sidatagrun-public-1076756628210.asia-southeast2.run.app/ptn_sn.php?ptn=192</x:v>
      </x:c>
    </x:row>
    <x:row r="975">
      <x:c r="A975" s="87" t="n">
        <x:v>1753</x:v>
      </x:c>
      <x:c r="B975" s="87" t="n">
        <x:v>192</x:v>
      </x:c>
      <x:c r="C975" s="66" t="str">
        <x:v>INSTITUT TEKNOLOGI SUMATERA</x:v>
      </x:c>
      <x:c r="D975" s="66" t="str">
        <x:v>PTN Akademik</x:v>
      </x:c>
      <x:c r="E975" s="66" t="str">
        <x:v>11921010</x:v>
      </x:c>
      <x:c r="F975" s="66" t="str">
        <x:v>TEKNIK GEOLOGI</x:v>
      </x:c>
      <x:c r="G975" s="66" t="str">
        <x:v>Sarjana</x:v>
      </x:c>
      <x:c r="H975" s="87" t="n">
        <x:v>44</x:v>
      </x:c>
      <x:c r="I975" s="87" t="n">
        <x:v>342</x:v>
      </x:c>
      <x:c r="J975" s="68" t="n">
        <x:f>IFERROR(H975/I975,"")</x:f>
        <x:v>0.1286549707602339</x:v>
      </x:c>
      <x:c r="K975" s="69" t="n">
        <x:f>IFERROR(I975/H975,"")</x:f>
        <x:v>7.7727272727272725</x:v>
      </x:c>
      <x:c r="L975" s="66" t="str">
        <x:f>IF(K975="","","1 : "&amp;TEXT(K975,"0.0"))</x:f>
        <x:v>1 : 7.8</x:v>
      </x:c>
      <x:c r="M975" s="66" t="str">
        <x:f>IF(J975="","Baru/Tanpa Data",IF(J975&lt;='Catatan &amp; Sumber'!$B$14,"Sangat Ketat",IF(J975&lt;='Catatan &amp; Sumber'!$B$15,"Ketat",IF(J975&lt;='Catatan &amp; Sumber'!$B$16,"Sedang","Relatif Longgar"))))</x:f>
        <x:v>Relatif Longgar</x:v>
      </x:c>
      <x:c r="N975" s="66" t="str">
        <x:v>Tidak Ada</x:v>
      </x:c>
      <x:c r="O975" s="66" t="str">
        <x:v>Lampung</x:v>
      </x:c>
      <x:c r="P975" s="66" t="str">
        <x:v>Kabupaten Lampung Selatan</x:v>
      </x:c>
      <x:c r="Q975" s="66" t="str">
        <x:v>https://snpmb.id/snbp/daya-tampung-snbp</x:v>
      </x:c>
      <x:c r="R975" s="66" t="str">
        <x:v>https://sidatagrun-public-1076756628210.asia-southeast2.run.app/ptn_sn.php?ptn=192</x:v>
      </x:c>
    </x:row>
    <x:row r="976">
      <x:c r="A976" s="87" t="n">
        <x:v>3215</x:v>
      </x:c>
      <x:c r="B976" s="87" t="n">
        <x:v>192</x:v>
      </x:c>
      <x:c r="C976" s="66" t="str">
        <x:v>INSTITUT TEKNOLOGI SUMATERA</x:v>
      </x:c>
      <x:c r="D976" s="66" t="str">
        <x:v>PTN Akademik</x:v>
      </x:c>
      <x:c r="E976" s="66" t="str">
        <x:v>11921011</x:v>
      </x:c>
      <x:c r="F976" s="66" t="str">
        <x:v>MATEMATIKA</x:v>
      </x:c>
      <x:c r="G976" s="66" t="str">
        <x:v>Sarjana</x:v>
      </x:c>
      <x:c r="H976" s="87" t="n">
        <x:v>35</x:v>
      </x:c>
      <x:c r="I976" s="87" t="n">
        <x:v>101</x:v>
      </x:c>
      <x:c r="J976" s="68" t="n">
        <x:f>IFERROR(H976/I976,"")</x:f>
        <x:v>0.3465346534653465</x:v>
      </x:c>
      <x:c r="K976" s="69" t="n">
        <x:f>IFERROR(I976/H976,"")</x:f>
        <x:v>2.8857142857142857</x:v>
      </x:c>
      <x:c r="L976" s="66" t="str">
        <x:f>IF(K976="","","1 : "&amp;TEXT(K976,"0.0"))</x:f>
        <x:v>1 : 2.9</x:v>
      </x:c>
      <x:c r="M976" s="66" t="str">
        <x:f>IF(J976="","Baru/Tanpa Data",IF(J976&lt;='Catatan &amp; Sumber'!$B$14,"Sangat Ketat",IF(J976&lt;='Catatan &amp; Sumber'!$B$15,"Ketat",IF(J976&lt;='Catatan &amp; Sumber'!$B$16,"Sedang","Relatif Longgar"))))</x:f>
        <x:v>Relatif Longgar</x:v>
      </x:c>
      <x:c r="N976" s="66" t="str">
        <x:v>Tidak Ada</x:v>
      </x:c>
      <x:c r="O976" s="66" t="str">
        <x:v>Lampung</x:v>
      </x:c>
      <x:c r="P976" s="66" t="str">
        <x:v>Kabupaten Lampung Selatan</x:v>
      </x:c>
      <x:c r="Q976" s="66" t="str">
        <x:v>https://snpmb.id/snbp/daya-tampung-snbp</x:v>
      </x:c>
      <x:c r="R976" s="66" t="str">
        <x:v>https://sidatagrun-public-1076756628210.asia-southeast2.run.app/ptn_sn.php?ptn=192</x:v>
      </x:c>
    </x:row>
    <x:row r="977">
      <x:c r="A977" s="87" t="n">
        <x:v>2036</x:v>
      </x:c>
      <x:c r="B977" s="87" t="n">
        <x:v>192</x:v>
      </x:c>
      <x:c r="C977" s="66" t="str">
        <x:v>INSTITUT TEKNOLOGI SUMATERA</x:v>
      </x:c>
      <x:c r="D977" s="66" t="str">
        <x:v>PTN Akademik</x:v>
      </x:c>
      <x:c r="E977" s="66" t="str">
        <x:v>11921012</x:v>
      </x:c>
      <x:c r="F977" s="66" t="str">
        <x:v>TEKNIK MESIN</x:v>
      </x:c>
      <x:c r="G977" s="66" t="str">
        <x:v>Sarjana</x:v>
      </x:c>
      <x:c r="H977" s="87" t="n">
        <x:v>42</x:v>
      </x:c>
      <x:c r="I977" s="87" t="n">
        <x:v>271</x:v>
      </x:c>
      <x:c r="J977" s="68" t="n">
        <x:f>IFERROR(H977/I977,"")</x:f>
        <x:v>0.15498154981549817</x:v>
      </x:c>
      <x:c r="K977" s="69" t="n">
        <x:f>IFERROR(I977/H977,"")</x:f>
        <x:v>6.4523809523809526</x:v>
      </x:c>
      <x:c r="L977" s="66" t="str">
        <x:f>IF(K977="","","1 : "&amp;TEXT(K977,"0.0"))</x:f>
        <x:v>1 : 6.5</x:v>
      </x:c>
      <x:c r="M977" s="66" t="str">
        <x:f>IF(J977="","Baru/Tanpa Data",IF(J977&lt;='Catatan &amp; Sumber'!$B$14,"Sangat Ketat",IF(J977&lt;='Catatan &amp; Sumber'!$B$15,"Ketat",IF(J977&lt;='Catatan &amp; Sumber'!$B$16,"Sedang","Relatif Longgar"))))</x:f>
        <x:v>Relatif Longgar</x:v>
      </x:c>
      <x:c r="N977" s="66" t="str">
        <x:v>Tidak Ada</x:v>
      </x:c>
      <x:c r="O977" s="66" t="str">
        <x:v>Lampung</x:v>
      </x:c>
      <x:c r="P977" s="66" t="str">
        <x:v>Kabupaten Lampung Selatan</x:v>
      </x:c>
      <x:c r="Q977" s="66" t="str">
        <x:v>https://snpmb.id/snbp/daya-tampung-snbp</x:v>
      </x:c>
      <x:c r="R977" s="66" t="str">
        <x:v>https://sidatagrun-public-1076756628210.asia-southeast2.run.app/ptn_sn.php?ptn=192</x:v>
      </x:c>
    </x:row>
    <x:row r="978">
      <x:c r="A978" s="87" t="n">
        <x:v>2803</x:v>
      </x:c>
      <x:c r="B978" s="87" t="n">
        <x:v>192</x:v>
      </x:c>
      <x:c r="C978" s="66" t="str">
        <x:v>INSTITUT TEKNOLOGI SUMATERA</x:v>
      </x:c>
      <x:c r="D978" s="66" t="str">
        <x:v>PTN Akademik</x:v>
      </x:c>
      <x:c r="E978" s="66" t="str">
        <x:v>11921013</x:v>
      </x:c>
      <x:c r="F978" s="66" t="str">
        <x:v>BIOLOGI</x:v>
      </x:c>
      <x:c r="G978" s="66" t="str">
        <x:v>Sarjana</x:v>
      </x:c>
      <x:c r="H978" s="87" t="n">
        <x:v>35</x:v>
      </x:c>
      <x:c r="I978" s="87" t="n">
        <x:v>135</x:v>
      </x:c>
      <x:c r="J978" s="68" t="n">
        <x:f>IFERROR(H978/I978,"")</x:f>
        <x:v>0.25925925925925924</x:v>
      </x:c>
      <x:c r="K978" s="69" t="n">
        <x:f>IFERROR(I978/H978,"")</x:f>
        <x:v>3.857142857142857</x:v>
      </x:c>
      <x:c r="L978" s="66" t="str">
        <x:f>IF(K978="","","1 : "&amp;TEXT(K978,"0.0"))</x:f>
        <x:v>1 : 3.9</x:v>
      </x:c>
      <x:c r="M978" s="66" t="str">
        <x:f>IF(J978="","Baru/Tanpa Data",IF(J978&lt;='Catatan &amp; Sumber'!$B$14,"Sangat Ketat",IF(J978&lt;='Catatan &amp; Sumber'!$B$15,"Ketat",IF(J978&lt;='Catatan &amp; Sumber'!$B$16,"Sedang","Relatif Longgar"))))</x:f>
        <x:v>Relatif Longgar</x:v>
      </x:c>
      <x:c r="N978" s="66" t="str">
        <x:v>Tidak Ada</x:v>
      </x:c>
      <x:c r="O978" s="66" t="str">
        <x:v>Lampung</x:v>
      </x:c>
      <x:c r="P978" s="66" t="str">
        <x:v>Kabupaten Lampung Selatan</x:v>
      </x:c>
      <x:c r="Q978" s="66" t="str">
        <x:v>https://snpmb.id/snbp/daya-tampung-snbp</x:v>
      </x:c>
      <x:c r="R978" s="66" t="str">
        <x:v>https://sidatagrun-public-1076756628210.asia-southeast2.run.app/ptn_sn.php?ptn=192</x:v>
      </x:c>
    </x:row>
    <x:row r="979">
      <x:c r="A979" s="87" t="n">
        <x:v>1129</x:v>
      </x:c>
      <x:c r="B979" s="87" t="n">
        <x:v>192</x:v>
      </x:c>
      <x:c r="C979" s="66" t="str">
        <x:v>INSTITUT TEKNOLOGI SUMATERA</x:v>
      </x:c>
      <x:c r="D979" s="66" t="str">
        <x:v>PTN Akademik</x:v>
      </x:c>
      <x:c r="E979" s="66" t="str">
        <x:v>11921014</x:v>
      </x:c>
      <x:c r="F979" s="66" t="str">
        <x:v>TEKNIK INDUSTRI</x:v>
      </x:c>
      <x:c r="G979" s="66" t="str">
        <x:v>Sarjana</x:v>
      </x:c>
      <x:c r="H979" s="87" t="n">
        <x:v>60</x:v>
      </x:c>
      <x:c r="I979" s="87" t="n">
        <x:v>701</x:v>
      </x:c>
      <x:c r="J979" s="68" t="n">
        <x:f>IFERROR(H979/I979,"")</x:f>
        <x:v>0.08559201141226819</x:v>
      </x:c>
      <x:c r="K979" s="69" t="n">
        <x:f>IFERROR(I979/H979,"")</x:f>
        <x:v>11.683333333333334</x:v>
      </x:c>
      <x:c r="L979" s="66" t="str">
        <x:f>IF(K979="","","1 : "&amp;TEXT(K979,"0.0"))</x:f>
        <x:v>1 : 11.7</x:v>
      </x:c>
      <x:c r="M979" s="66" t="str">
        <x:f>IF(J979="","Baru/Tanpa Data",IF(J979&lt;='Catatan &amp; Sumber'!$B$14,"Sangat Ketat",IF(J979&lt;='Catatan &amp; Sumber'!$B$15,"Ketat",IF(J979&lt;='Catatan &amp; Sumber'!$B$16,"Sedang","Relatif Longgar"))))</x:f>
        <x:v>Sedang</x:v>
      </x:c>
      <x:c r="N979" s="66" t="str">
        <x:v>Tidak Ada</x:v>
      </x:c>
      <x:c r="O979" s="66" t="str">
        <x:v>Lampung</x:v>
      </x:c>
      <x:c r="P979" s="66" t="str">
        <x:v>Kabupaten Lampung Selatan</x:v>
      </x:c>
      <x:c r="Q979" s="66" t="str">
        <x:v>https://snpmb.id/snbp/daya-tampung-snbp</x:v>
      </x:c>
      <x:c r="R979" s="66" t="str">
        <x:v>https://sidatagrun-public-1076756628210.asia-southeast2.run.app/ptn_sn.php?ptn=192</x:v>
      </x:c>
    </x:row>
    <x:row r="980">
      <x:c r="A980" s="87" t="n">
        <x:v>496</x:v>
      </x:c>
      <x:c r="B980" s="87" t="n">
        <x:v>192</x:v>
      </x:c>
      <x:c r="C980" s="66" t="str">
        <x:v>INSTITUT TEKNOLOGI SUMATERA</x:v>
      </x:c>
      <x:c r="D980" s="66" t="str">
        <x:v>PTN Akademik</x:v>
      </x:c>
      <x:c r="E980" s="66" t="str">
        <x:v>11921015</x:v>
      </x:c>
      <x:c r="F980" s="66" t="str">
        <x:v>FARMASI</x:v>
      </x:c>
      <x:c r="G980" s="66" t="str">
        <x:v>Sarjana</x:v>
      </x:c>
      <x:c r="H980" s="87" t="n">
        <x:v>61</x:v>
      </x:c>
      <x:c r="I980" s="87" t="n">
        <x:v>1202</x:v>
      </x:c>
      <x:c r="J980" s="68" t="n">
        <x:f>IFERROR(H980/I980,"")</x:f>
        <x:v>0.050748752079866885</x:v>
      </x:c>
      <x:c r="K980" s="69" t="n">
        <x:f>IFERROR(I980/H980,"")</x:f>
        <x:v>19.704918032786885</x:v>
      </x:c>
      <x:c r="L980" s="66" t="str">
        <x:f>IF(K980="","","1 : "&amp;TEXT(K980,"0.0"))</x:f>
        <x:v>1 : 19.7</x:v>
      </x:c>
      <x:c r="M980" s="66" t="str">
        <x:f>IF(J980="","Baru/Tanpa Data",IF(J980&lt;='Catatan &amp; Sumber'!$B$14,"Sangat Ketat",IF(J980&lt;='Catatan &amp; Sumber'!$B$15,"Ketat",IF(J980&lt;='Catatan &amp; Sumber'!$B$16,"Sedang","Relatif Longgar"))))</x:f>
        <x:v>Sedang</x:v>
      </x:c>
      <x:c r="N980" s="66" t="str">
        <x:v>Tidak Ada</x:v>
      </x:c>
      <x:c r="O980" s="66" t="str">
        <x:v>Lampung</x:v>
      </x:c>
      <x:c r="P980" s="66" t="str">
        <x:v>Kabupaten Lampung Selatan</x:v>
      </x:c>
      <x:c r="Q980" s="66" t="str">
        <x:v>https://snpmb.id/snbp/daya-tampung-snbp</x:v>
      </x:c>
      <x:c r="R980" s="66" t="str">
        <x:v>https://sidatagrun-public-1076756628210.asia-southeast2.run.app/ptn_sn.php?ptn=192</x:v>
      </x:c>
    </x:row>
    <x:row r="981">
      <x:c r="A981" s="87" t="n">
        <x:v>2549</x:v>
      </x:c>
      <x:c r="B981" s="87" t="n">
        <x:v>192</x:v>
      </x:c>
      <x:c r="C981" s="66" t="str">
        <x:v>INSTITUT TEKNOLOGI SUMATERA</x:v>
      </x:c>
      <x:c r="D981" s="66" t="str">
        <x:v>PTN Akademik</x:v>
      </x:c>
      <x:c r="E981" s="66" t="str">
        <x:v>11921016</x:v>
      </x:c>
      <x:c r="F981" s="66" t="str">
        <x:v>TEKNIK KIMIA</x:v>
      </x:c>
      <x:c r="G981" s="66" t="str">
        <x:v>Sarjana</x:v>
      </x:c>
      <x:c r="H981" s="87" t="n">
        <x:v>54</x:v>
      </x:c>
      <x:c r="I981" s="87" t="n">
        <x:v>246</x:v>
      </x:c>
      <x:c r="J981" s="68" t="n">
        <x:f>IFERROR(H981/I981,"")</x:f>
        <x:v>0.21951219512195122</x:v>
      </x:c>
      <x:c r="K981" s="69" t="n">
        <x:f>IFERROR(I981/H981,"")</x:f>
        <x:v>4.555555555555555</x:v>
      </x:c>
      <x:c r="L981" s="66" t="str">
        <x:f>IF(K981="","","1 : "&amp;TEXT(K981,"0.0"))</x:f>
        <x:v>1 : 4.6</x:v>
      </x:c>
      <x:c r="M981" s="66" t="str">
        <x:f>IF(J981="","Baru/Tanpa Data",IF(J981&lt;='Catatan &amp; Sumber'!$B$14,"Sangat Ketat",IF(J981&lt;='Catatan &amp; Sumber'!$B$15,"Ketat",IF(J981&lt;='Catatan &amp; Sumber'!$B$16,"Sedang","Relatif Longgar"))))</x:f>
        <x:v>Relatif Longgar</x:v>
      </x:c>
      <x:c r="N981" s="66" t="str">
        <x:v>Tidak Ada</x:v>
      </x:c>
      <x:c r="O981" s="66" t="str">
        <x:v>Lampung</x:v>
      </x:c>
      <x:c r="P981" s="66" t="str">
        <x:v>Kabupaten Lampung Selatan</x:v>
      </x:c>
      <x:c r="Q981" s="66" t="str">
        <x:v>https://snpmb.id/snbp/daya-tampung-snbp</x:v>
      </x:c>
      <x:c r="R981" s="66" t="str">
        <x:v>https://sidatagrun-public-1076756628210.asia-southeast2.run.app/ptn_sn.php?ptn=192</x:v>
      </x:c>
    </x:row>
    <x:row r="982">
      <x:c r="A982" s="87" t="n">
        <x:v>3243</x:v>
      </x:c>
      <x:c r="B982" s="87" t="n">
        <x:v>192</x:v>
      </x:c>
      <x:c r="C982" s="66" t="str">
        <x:v>INSTITUT TEKNOLOGI SUMATERA</x:v>
      </x:c>
      <x:c r="D982" s="66" t="str">
        <x:v>PTN Akademik</x:v>
      </x:c>
      <x:c r="E982" s="66" t="str">
        <x:v>11921017</x:v>
      </x:c>
      <x:c r="F982" s="66" t="str">
        <x:v>KIMIA</x:v>
      </x:c>
      <x:c r="G982" s="66" t="str">
        <x:v>Sarjana</x:v>
      </x:c>
      <x:c r="H982" s="87" t="n">
        <x:v>35</x:v>
      </x:c>
      <x:c r="I982" s="87" t="n">
        <x:v>99</x:v>
      </x:c>
      <x:c r="J982" s="68" t="n">
        <x:f>IFERROR(H982/I982,"")</x:f>
        <x:v>0.35353535353535354</x:v>
      </x:c>
      <x:c r="K982" s="69" t="n">
        <x:f>IFERROR(I982/H982,"")</x:f>
        <x:v>2.8285714285714287</x:v>
      </x:c>
      <x:c r="L982" s="66" t="str">
        <x:f>IF(K982="","","1 : "&amp;TEXT(K982,"0.0"))</x:f>
        <x:v>1 : 2.8</x:v>
      </x:c>
      <x:c r="M982" s="66" t="str">
        <x:f>IF(J982="","Baru/Tanpa Data",IF(J982&lt;='Catatan &amp; Sumber'!$B$14,"Sangat Ketat",IF(J982&lt;='Catatan &amp; Sumber'!$B$15,"Ketat",IF(J982&lt;='Catatan &amp; Sumber'!$B$16,"Sedang","Relatif Longgar"))))</x:f>
        <x:v>Relatif Longgar</x:v>
      </x:c>
      <x:c r="N982" s="66" t="str">
        <x:v>Tidak Ada</x:v>
      </x:c>
      <x:c r="O982" s="66" t="str">
        <x:v>Lampung</x:v>
      </x:c>
      <x:c r="P982" s="66" t="str">
        <x:v>Kabupaten Lampung Selatan</x:v>
      </x:c>
      <x:c r="Q982" s="66" t="str">
        <x:v>https://snpmb.id/snbp/daya-tampung-snbp</x:v>
      </x:c>
      <x:c r="R982" s="66" t="str">
        <x:v>https://sidatagrun-public-1076756628210.asia-southeast2.run.app/ptn_sn.php?ptn=192</x:v>
      </x:c>
    </x:row>
    <x:row r="983">
      <x:c r="A983" s="87" t="n">
        <x:v>3895</x:v>
      </x:c>
      <x:c r="B983" s="87" t="n">
        <x:v>192</x:v>
      </x:c>
      <x:c r="C983" s="66" t="str">
        <x:v>INSTITUT TEKNOLOGI SUMATERA</x:v>
      </x:c>
      <x:c r="D983" s="66" t="str">
        <x:v>PTN Akademik</x:v>
      </x:c>
      <x:c r="E983" s="66" t="str">
        <x:v>11921018</x:v>
      </x:c>
      <x:c r="F983" s="66" t="str">
        <x:v>TEKNIK FISIKA</x:v>
      </x:c>
      <x:c r="G983" s="66" t="str">
        <x:v>Sarjana</x:v>
      </x:c>
      <x:c r="H983" s="87" t="n">
        <x:v>33</x:v>
      </x:c>
      <x:c r="I983" s="87" t="n">
        <x:v>53</x:v>
      </x:c>
      <x:c r="J983" s="68" t="n">
        <x:f>IFERROR(H983/I983,"")</x:f>
        <x:v>0.6226415094339622</x:v>
      </x:c>
      <x:c r="K983" s="69" t="n">
        <x:f>IFERROR(I983/H983,"")</x:f>
        <x:v>1.606060606060606</x:v>
      </x:c>
      <x:c r="L983" s="66" t="str">
        <x:f>IF(K983="","","1 : "&amp;TEXT(K983,"0.0"))</x:f>
        <x:v>1 : 1.6</x:v>
      </x:c>
      <x:c r="M983" s="66" t="str">
        <x:f>IF(J983="","Baru/Tanpa Data",IF(J983&lt;='Catatan &amp; Sumber'!$B$14,"Sangat Ketat",IF(J983&lt;='Catatan &amp; Sumber'!$B$15,"Ketat",IF(J983&lt;='Catatan &amp; Sumber'!$B$16,"Sedang","Relatif Longgar"))))</x:f>
        <x:v>Relatif Longgar</x:v>
      </x:c>
      <x:c r="N983" s="66" t="str">
        <x:v>Tidak Ada</x:v>
      </x:c>
      <x:c r="O983" s="66" t="str">
        <x:v>Lampung</x:v>
      </x:c>
      <x:c r="P983" s="66" t="str">
        <x:v>Kabupaten Lampung Selatan</x:v>
      </x:c>
      <x:c r="Q983" s="66" t="str">
        <x:v>https://snpmb.id/snbp/daya-tampung-snbp</x:v>
      </x:c>
      <x:c r="R983" s="66" t="str">
        <x:v>https://sidatagrun-public-1076756628210.asia-southeast2.run.app/ptn_sn.php?ptn=192</x:v>
      </x:c>
    </x:row>
    <x:row r="984">
      <x:c r="A984" s="87" t="n">
        <x:v>3011</x:v>
      </x:c>
      <x:c r="B984" s="87" t="n">
        <x:v>192</x:v>
      </x:c>
      <x:c r="C984" s="66" t="str">
        <x:v>INSTITUT TEKNOLOGI SUMATERA</x:v>
      </x:c>
      <x:c r="D984" s="66" t="str">
        <x:v>PTN Akademik</x:v>
      </x:c>
      <x:c r="E984" s="66" t="str">
        <x:v>11921019</x:v>
      </x:c>
      <x:c r="F984" s="66" t="str">
        <x:v>TEKNIK KELAUTAN</x:v>
      </x:c>
      <x:c r="G984" s="66" t="str">
        <x:v>Sarjana</x:v>
      </x:c>
      <x:c r="H984" s="87" t="n">
        <x:v>33</x:v>
      </x:c>
      <x:c r="I984" s="87" t="n">
        <x:v>111</x:v>
      </x:c>
      <x:c r="J984" s="68" t="n">
        <x:f>IFERROR(H984/I984,"")</x:f>
        <x:v>0.2972972972972973</x:v>
      </x:c>
      <x:c r="K984" s="69" t="n">
        <x:f>IFERROR(I984/H984,"")</x:f>
        <x:v>3.3636363636363638</x:v>
      </x:c>
      <x:c r="L984" s="66" t="str">
        <x:f>IF(K984="","","1 : "&amp;TEXT(K984,"0.0"))</x:f>
        <x:v>1 : 3.4</x:v>
      </x:c>
      <x:c r="M984" s="66" t="str">
        <x:f>IF(J984="","Baru/Tanpa Data",IF(J984&lt;='Catatan &amp; Sumber'!$B$14,"Sangat Ketat",IF(J984&lt;='Catatan &amp; Sumber'!$B$15,"Ketat",IF(J984&lt;='Catatan &amp; Sumber'!$B$16,"Sedang","Relatif Longgar"))))</x:f>
        <x:v>Relatif Longgar</x:v>
      </x:c>
      <x:c r="N984" s="66" t="str">
        <x:v>Tidak Ada</x:v>
      </x:c>
      <x:c r="O984" s="66" t="str">
        <x:v>Lampung</x:v>
      </x:c>
      <x:c r="P984" s="66" t="str">
        <x:v>Kabupaten Lampung Selatan</x:v>
      </x:c>
      <x:c r="Q984" s="66" t="str">
        <x:v>https://snpmb.id/snbp/daya-tampung-snbp</x:v>
      </x:c>
      <x:c r="R984" s="66" t="str">
        <x:v>https://sidatagrun-public-1076756628210.asia-southeast2.run.app/ptn_sn.php?ptn=192</x:v>
      </x:c>
    </x:row>
    <x:row r="985">
      <x:c r="A985" s="87" t="n">
        <x:v>4408</x:v>
      </x:c>
      <x:c r="B985" s="87" t="n">
        <x:v>192</x:v>
      </x:c>
      <x:c r="C985" s="66" t="str">
        <x:v>INSTITUT TEKNOLOGI SUMATERA</x:v>
      </x:c>
      <x:c r="D985" s="66" t="str">
        <x:v>PTN Akademik</x:v>
      </x:c>
      <x:c r="E985" s="66" t="str">
        <x:v>11921020</x:v>
      </x:c>
      <x:c r="F985" s="66" t="str">
        <x:v>SAINS ATMOSFIR DAN KEPLANETAN</x:v>
      </x:c>
      <x:c r="G985" s="66" t="str">
        <x:v>Sarjana</x:v>
      </x:c>
      <x:c r="H985" s="87" t="n">
        <x:v>40</x:v>
      </x:c>
      <x:c r="I985" s="87" t="n">
        <x:v>35</x:v>
      </x:c>
      <x:c r="J985" s="68" t="n">
        <x:f>IFERROR(H985/I985,"")</x:f>
        <x:v>1.1428571428571428</x:v>
      </x:c>
      <x:c r="K985" s="69" t="n">
        <x:f>IFERROR(I985/H985,"")</x:f>
        <x:v>0.875</x:v>
      </x:c>
      <x:c r="L985" s="66" t="str">
        <x:f>IF(K985="","","1 : "&amp;TEXT(K985,"0.0"))</x:f>
        <x:v>1 : 0.9</x:v>
      </x:c>
      <x:c r="M985" s="66" t="str">
        <x:f>IF(J985="","Baru/Tanpa Data",IF(J985&lt;='Catatan &amp; Sumber'!$B$14,"Sangat Ketat",IF(J985&lt;='Catatan &amp; Sumber'!$B$15,"Ketat",IF(J985&lt;='Catatan &amp; Sumber'!$B$16,"Sedang","Relatif Longgar"))))</x:f>
        <x:v>Relatif Longgar</x:v>
      </x:c>
      <x:c r="N985" s="66" t="str">
        <x:v>Tidak Ada</x:v>
      </x:c>
      <x:c r="O985" s="66" t="str">
        <x:v>Lampung</x:v>
      </x:c>
      <x:c r="P985" s="66" t="str">
        <x:v>Kabupaten Lampung Selatan</x:v>
      </x:c>
      <x:c r="Q985" s="66" t="str">
        <x:v>https://snpmb.id/snbp/daya-tampung-snbp</x:v>
      </x:c>
      <x:c r="R985" s="66" t="str">
        <x:v>https://sidatagrun-public-1076756628210.asia-southeast2.run.app/ptn_sn.php?ptn=192</x:v>
      </x:c>
    </x:row>
    <x:row r="986">
      <x:c r="A986" s="87" t="n">
        <x:v>3840</x:v>
      </x:c>
      <x:c r="B986" s="87" t="n">
        <x:v>192</x:v>
      </x:c>
      <x:c r="C986" s="66" t="str">
        <x:v>INSTITUT TEKNOLOGI SUMATERA</x:v>
      </x:c>
      <x:c r="D986" s="66" t="str">
        <x:v>PTN Akademik</x:v>
      </x:c>
      <x:c r="E986" s="66" t="str">
        <x:v>11921021</x:v>
      </x:c>
      <x:c r="F986" s="66" t="str">
        <x:v>TEKNIK BIOSISTEM</x:v>
      </x:c>
      <x:c r="G986" s="66" t="str">
        <x:v>Sarjana</x:v>
      </x:c>
      <x:c r="H986" s="87" t="n">
        <x:v>44</x:v>
      </x:c>
      <x:c r="I986" s="87" t="n">
        <x:v>74</x:v>
      </x:c>
      <x:c r="J986" s="68" t="n">
        <x:f>IFERROR(H986/I986,"")</x:f>
        <x:v>0.5945945945945946</x:v>
      </x:c>
      <x:c r="K986" s="69" t="n">
        <x:f>IFERROR(I986/H986,"")</x:f>
        <x:v>1.6818181818181819</x:v>
      </x:c>
      <x:c r="L986" s="66" t="str">
        <x:f>IF(K986="","","1 : "&amp;TEXT(K986,"0.0"))</x:f>
        <x:v>1 : 1.7</x:v>
      </x:c>
      <x:c r="M986" s="66" t="str">
        <x:f>IF(J986="","Baru/Tanpa Data",IF(J986&lt;='Catatan &amp; Sumber'!$B$14,"Sangat Ketat",IF(J986&lt;='Catatan &amp; Sumber'!$B$15,"Ketat",IF(J986&lt;='Catatan &amp; Sumber'!$B$16,"Sedang","Relatif Longgar"))))</x:f>
        <x:v>Relatif Longgar</x:v>
      </x:c>
      <x:c r="N986" s="66" t="str">
        <x:v>Tidak Ada</x:v>
      </x:c>
      <x:c r="O986" s="66" t="str">
        <x:v>Lampung</x:v>
      </x:c>
      <x:c r="P986" s="66" t="str">
        <x:v>Kabupaten Lampung Selatan</x:v>
      </x:c>
      <x:c r="Q986" s="66" t="str">
        <x:v>https://snpmb.id/snbp/daya-tampung-snbp</x:v>
      </x:c>
      <x:c r="R986" s="66" t="str">
        <x:v>https://sidatagrun-public-1076756628210.asia-southeast2.run.app/ptn_sn.php?ptn=192</x:v>
      </x:c>
    </x:row>
    <x:row r="987">
      <x:c r="A987" s="87" t="n">
        <x:v>2798</x:v>
      </x:c>
      <x:c r="B987" s="87" t="n">
        <x:v>192</x:v>
      </x:c>
      <x:c r="C987" s="66" t="str">
        <x:v>INSTITUT TEKNOLOGI SUMATERA</x:v>
      </x:c>
      <x:c r="D987" s="66" t="str">
        <x:v>PTN Akademik</x:v>
      </x:c>
      <x:c r="E987" s="66" t="str">
        <x:v>11921022</x:v>
      </x:c>
      <x:c r="F987" s="66" t="str">
        <x:v>TEKNOLOGI INDUSTRI PERTANIAN</x:v>
      </x:c>
      <x:c r="G987" s="66" t="str">
        <x:v>Sarjana</x:v>
      </x:c>
      <x:c r="H987" s="87" t="n">
        <x:v>51</x:v>
      </x:c>
      <x:c r="I987" s="87" t="n">
        <x:v>198</x:v>
      </x:c>
      <x:c r="J987" s="68" t="n">
        <x:f>IFERROR(H987/I987,"")</x:f>
        <x:v>0.25757575757575757</x:v>
      </x:c>
      <x:c r="K987" s="69" t="n">
        <x:f>IFERROR(I987/H987,"")</x:f>
        <x:v>3.8823529411764706</x:v>
      </x:c>
      <x:c r="L987" s="66" t="str">
        <x:f>IF(K987="","","1 : "&amp;TEXT(K987,"0.0"))</x:f>
        <x:v>1 : 3.9</x:v>
      </x:c>
      <x:c r="M987" s="66" t="str">
        <x:f>IF(J987="","Baru/Tanpa Data",IF(J987&lt;='Catatan &amp; Sumber'!$B$14,"Sangat Ketat",IF(J987&lt;='Catatan &amp; Sumber'!$B$15,"Ketat",IF(J987&lt;='Catatan &amp; Sumber'!$B$16,"Sedang","Relatif Longgar"))))</x:f>
        <x:v>Relatif Longgar</x:v>
      </x:c>
      <x:c r="N987" s="66" t="str">
        <x:v>Tidak Ada</x:v>
      </x:c>
      <x:c r="O987" s="66" t="str">
        <x:v>Lampung</x:v>
      </x:c>
      <x:c r="P987" s="66" t="str">
        <x:v>Kabupaten Lampung Selatan</x:v>
      </x:c>
      <x:c r="Q987" s="66" t="str">
        <x:v>https://snpmb.id/snbp/daya-tampung-snbp</x:v>
      </x:c>
      <x:c r="R987" s="66" t="str">
        <x:v>https://sidatagrun-public-1076756628210.asia-southeast2.run.app/ptn_sn.php?ptn=192</x:v>
      </x:c>
    </x:row>
    <x:row r="988">
      <x:c r="A988" s="87" t="n">
        <x:v>3293</x:v>
      </x:c>
      <x:c r="B988" s="87" t="n">
        <x:v>192</x:v>
      </x:c>
      <x:c r="C988" s="66" t="str">
        <x:v>INSTITUT TEKNOLOGI SUMATERA</x:v>
      </x:c>
      <x:c r="D988" s="66" t="str">
        <x:v>PTN Akademik</x:v>
      </x:c>
      <x:c r="E988" s="66" t="str">
        <x:v>11921023</x:v>
      </x:c>
      <x:c r="F988" s="66" t="str">
        <x:v>TEKNIK SISTEM ENERGI</x:v>
      </x:c>
      <x:c r="G988" s="66" t="str">
        <x:v>Sarjana</x:v>
      </x:c>
      <x:c r="H988" s="87" t="n">
        <x:v>35</x:v>
      </x:c>
      <x:c r="I988" s="87" t="n">
        <x:v>94</x:v>
      </x:c>
      <x:c r="J988" s="68" t="n">
        <x:f>IFERROR(H988/I988,"")</x:f>
        <x:v>0.3723404255319149</x:v>
      </x:c>
      <x:c r="K988" s="69" t="n">
        <x:f>IFERROR(I988/H988,"")</x:f>
        <x:v>2.6857142857142855</x:v>
      </x:c>
      <x:c r="L988" s="66" t="str">
        <x:f>IF(K988="","","1 : "&amp;TEXT(K988,"0.0"))</x:f>
        <x:v>1 : 2.7</x:v>
      </x:c>
      <x:c r="M988" s="66" t="str">
        <x:f>IF(J988="","Baru/Tanpa Data",IF(J988&lt;='Catatan &amp; Sumber'!$B$14,"Sangat Ketat",IF(J988&lt;='Catatan &amp; Sumber'!$B$15,"Ketat",IF(J988&lt;='Catatan &amp; Sumber'!$B$16,"Sedang","Relatif Longgar"))))</x:f>
        <x:v>Relatif Longgar</x:v>
      </x:c>
      <x:c r="N988" s="66" t="str">
        <x:v>Tidak Ada</x:v>
      </x:c>
      <x:c r="O988" s="66" t="str">
        <x:v>Lampung</x:v>
      </x:c>
      <x:c r="P988" s="66" t="str">
        <x:v>Kabupaten Lampung Selatan</x:v>
      </x:c>
      <x:c r="Q988" s="66" t="str">
        <x:v>https://snpmb.id/snbp/daya-tampung-snbp</x:v>
      </x:c>
      <x:c r="R988" s="66" t="str">
        <x:v>https://sidatagrun-public-1076756628210.asia-southeast2.run.app/ptn_sn.php?ptn=192</x:v>
      </x:c>
    </x:row>
    <x:row r="989">
      <x:c r="A989" s="87" t="n">
        <x:v>1536</x:v>
      </x:c>
      <x:c r="B989" s="87" t="n">
        <x:v>192</x:v>
      </x:c>
      <x:c r="C989" s="66" t="str">
        <x:v>INSTITUT TEKNOLOGI SUMATERA</x:v>
      </x:c>
      <x:c r="D989" s="66" t="str">
        <x:v>PTN Akademik</x:v>
      </x:c>
      <x:c r="E989" s="66" t="str">
        <x:v>11921024</x:v>
      </x:c>
      <x:c r="F989" s="66" t="str">
        <x:v>TEKNOLOGI PANGAN</x:v>
      </x:c>
      <x:c r="G989" s="66" t="str">
        <x:v>Sarjana</x:v>
      </x:c>
      <x:c r="H989" s="87" t="n">
        <x:v>51</x:v>
      </x:c>
      <x:c r="I989" s="87" t="n">
        <x:v>455</x:v>
      </x:c>
      <x:c r="J989" s="68" t="n">
        <x:f>IFERROR(H989/I989,"")</x:f>
        <x:v>0.11208791208791209</x:v>
      </x:c>
      <x:c r="K989" s="69" t="n">
        <x:f>IFERROR(I989/H989,"")</x:f>
        <x:v>8.92156862745098</x:v>
      </x:c>
      <x:c r="L989" s="66" t="str">
        <x:f>IF(K989="","","1 : "&amp;TEXT(K989,"0.0"))</x:f>
        <x:v>1 : 8.9</x:v>
      </x:c>
      <x:c r="M989" s="66" t="str">
        <x:f>IF(J989="","Baru/Tanpa Data",IF(J989&lt;='Catatan &amp; Sumber'!$B$14,"Sangat Ketat",IF(J989&lt;='Catatan &amp; Sumber'!$B$15,"Ketat",IF(J989&lt;='Catatan &amp; Sumber'!$B$16,"Sedang","Relatif Longgar"))))</x:f>
        <x:v>Relatif Longgar</x:v>
      </x:c>
      <x:c r="N989" s="66" t="str">
        <x:v>Tidak Ada</x:v>
      </x:c>
      <x:c r="O989" s="66" t="str">
        <x:v>Lampung</x:v>
      </x:c>
      <x:c r="P989" s="66" t="str">
        <x:v>Kabupaten Lampung Selatan</x:v>
      </x:c>
      <x:c r="Q989" s="66" t="str">
        <x:v>https://snpmb.id/snbp/daya-tampung-snbp</x:v>
      </x:c>
      <x:c r="R989" s="66" t="str">
        <x:v>https://sidatagrun-public-1076756628210.asia-southeast2.run.app/ptn_sn.php?ptn=192</x:v>
      </x:c>
    </x:row>
    <x:row r="990">
      <x:c r="A990" s="87" t="n">
        <x:v>3323</x:v>
      </x:c>
      <x:c r="B990" s="87" t="n">
        <x:v>192</x:v>
      </x:c>
      <x:c r="C990" s="66" t="str">
        <x:v>INSTITUT TEKNOLOGI SUMATERA</x:v>
      </x:c>
      <x:c r="D990" s="66" t="str">
        <x:v>PTN Akademik</x:v>
      </x:c>
      <x:c r="E990" s="66" t="str">
        <x:v>11921025</x:v>
      </x:c>
      <x:c r="F990" s="66" t="str">
        <x:v>TEKNIK MATERIAL</x:v>
      </x:c>
      <x:c r="G990" s="66" t="str">
        <x:v>Sarjana</x:v>
      </x:c>
      <x:c r="H990" s="87" t="n">
        <x:v>44</x:v>
      </x:c>
      <x:c r="I990" s="87" t="n">
        <x:v>116</x:v>
      </x:c>
      <x:c r="J990" s="68" t="n">
        <x:f>IFERROR(H990/I990,"")</x:f>
        <x:v>0.3793103448275862</x:v>
      </x:c>
      <x:c r="K990" s="69" t="n">
        <x:f>IFERROR(I990/H990,"")</x:f>
        <x:v>2.6363636363636362</x:v>
      </x:c>
      <x:c r="L990" s="66" t="str">
        <x:f>IF(K990="","","1 : "&amp;TEXT(K990,"0.0"))</x:f>
        <x:v>1 : 2.6</x:v>
      </x:c>
      <x:c r="M990" s="66" t="str">
        <x:f>IF(J990="","Baru/Tanpa Data",IF(J990&lt;='Catatan &amp; Sumber'!$B$14,"Sangat Ketat",IF(J990&lt;='Catatan &amp; Sumber'!$B$15,"Ketat",IF(J990&lt;='Catatan &amp; Sumber'!$B$16,"Sedang","Relatif Longgar"))))</x:f>
        <x:v>Relatif Longgar</x:v>
      </x:c>
      <x:c r="N990" s="66" t="str">
        <x:v>Tidak Ada</x:v>
      </x:c>
      <x:c r="O990" s="66" t="str">
        <x:v>Lampung</x:v>
      </x:c>
      <x:c r="P990" s="66" t="str">
        <x:v>Kabupaten Lampung Selatan</x:v>
      </x:c>
      <x:c r="Q990" s="66" t="str">
        <x:v>https://snpmb.id/snbp/daya-tampung-snbp</x:v>
      </x:c>
      <x:c r="R990" s="66" t="str">
        <x:v>https://sidatagrun-public-1076756628210.asia-southeast2.run.app/ptn_sn.php?ptn=192</x:v>
      </x:c>
    </x:row>
    <x:row r="991">
      <x:c r="A991" s="87" t="n">
        <x:v>1002</x:v>
      </x:c>
      <x:c r="B991" s="87" t="n">
        <x:v>192</x:v>
      </x:c>
      <x:c r="C991" s="66" t="str">
        <x:v>INSTITUT TEKNOLOGI SUMATERA</x:v>
      </x:c>
      <x:c r="D991" s="66" t="str">
        <x:v>PTN Akademik</x:v>
      </x:c>
      <x:c r="E991" s="66" t="str">
        <x:v>11921026</x:v>
      </x:c>
      <x:c r="F991" s="66" t="str">
        <x:v>TEKNIK PERTAMBANGAN</x:v>
      </x:c>
      <x:c r="G991" s="66" t="str">
        <x:v>Sarjana</x:v>
      </x:c>
      <x:c r="H991" s="87" t="n">
        <x:v>65</x:v>
      </x:c>
      <x:c r="I991" s="87" t="n">
        <x:v>830</x:v>
      </x:c>
      <x:c r="J991" s="68" t="n">
        <x:f>IFERROR(H991/I991,"")</x:f>
        <x:v>0.0783132530120482</x:v>
      </x:c>
      <x:c r="K991" s="69" t="n">
        <x:f>IFERROR(I991/H991,"")</x:f>
        <x:v>12.76923076923077</x:v>
      </x:c>
      <x:c r="L991" s="66" t="str">
        <x:f>IF(K991="","","1 : "&amp;TEXT(K991,"0.0"))</x:f>
        <x:v>1 : 12.8</x:v>
      </x:c>
      <x:c r="M991" s="66" t="str">
        <x:f>IF(J991="","Baru/Tanpa Data",IF(J991&lt;='Catatan &amp; Sumber'!$B$14,"Sangat Ketat",IF(J991&lt;='Catatan &amp; Sumber'!$B$15,"Ketat",IF(J991&lt;='Catatan &amp; Sumber'!$B$16,"Sedang","Relatif Longgar"))))</x:f>
        <x:v>Sedang</x:v>
      </x:c>
      <x:c r="N991" s="66" t="str">
        <x:v>Tidak Ada</x:v>
      </x:c>
      <x:c r="O991" s="66" t="str">
        <x:v>Lampung</x:v>
      </x:c>
      <x:c r="P991" s="66" t="str">
        <x:v>Kabupaten Lampung Selatan</x:v>
      </x:c>
      <x:c r="Q991" s="66" t="str">
        <x:v>https://snpmb.id/snbp/daya-tampung-snbp</x:v>
      </x:c>
      <x:c r="R991" s="66" t="str">
        <x:v>https://sidatagrun-public-1076756628210.asia-southeast2.run.app/ptn_sn.php?ptn=192</x:v>
      </x:c>
    </x:row>
    <x:row r="992">
      <x:c r="A992" s="87" t="n">
        <x:v>3640</x:v>
      </x:c>
      <x:c r="B992" s="87" t="n">
        <x:v>192</x:v>
      </x:c>
      <x:c r="C992" s="66" t="str">
        <x:v>INSTITUT TEKNOLOGI SUMATERA</x:v>
      </x:c>
      <x:c r="D992" s="66" t="str">
        <x:v>PTN Akademik</x:v>
      </x:c>
      <x:c r="E992" s="66" t="str">
        <x:v>11921027</x:v>
      </x:c>
      <x:c r="F992" s="66" t="str">
        <x:v>ARSITEKTUR LANSKAP</x:v>
      </x:c>
      <x:c r="G992" s="66" t="str">
        <x:v>Sarjana</x:v>
      </x:c>
      <x:c r="H992" s="87" t="n">
        <x:v>35</x:v>
      </x:c>
      <x:c r="I992" s="87" t="n">
        <x:v>72</x:v>
      </x:c>
      <x:c r="J992" s="68" t="n">
        <x:f>IFERROR(H992/I992,"")</x:f>
        <x:v>0.4861111111111111</x:v>
      </x:c>
      <x:c r="K992" s="69" t="n">
        <x:f>IFERROR(I992/H992,"")</x:f>
        <x:v>2.057142857142857</x:v>
      </x:c>
      <x:c r="L992" s="66" t="str">
        <x:f>IF(K992="","","1 : "&amp;TEXT(K992,"0.0"))</x:f>
        <x:v>1 : 2.1</x:v>
      </x:c>
      <x:c r="M992" s="66" t="str">
        <x:f>IF(J992="","Baru/Tanpa Data",IF(J992&lt;='Catatan &amp; Sumber'!$B$14,"Sangat Ketat",IF(J992&lt;='Catatan &amp; Sumber'!$B$15,"Ketat",IF(J992&lt;='Catatan &amp; Sumber'!$B$16,"Sedang","Relatif Longgar"))))</x:f>
        <x:v>Relatif Longgar</x:v>
      </x:c>
      <x:c r="N992" s="66" t="str">
        <x:v>Tidak Ada</x:v>
      </x:c>
      <x:c r="O992" s="66" t="str">
        <x:v>Lampung</x:v>
      </x:c>
      <x:c r="P992" s="66" t="str">
        <x:v>Kabupaten Lampung Selatan</x:v>
      </x:c>
      <x:c r="Q992" s="66" t="str">
        <x:v>https://snpmb.id/snbp/daya-tampung-snbp</x:v>
      </x:c>
      <x:c r="R992" s="66" t="str">
        <x:v>https://sidatagrun-public-1076756628210.asia-southeast2.run.app/ptn_sn.php?ptn=192</x:v>
      </x:c>
    </x:row>
    <x:row r="993">
      <x:c r="A993" s="87" t="n">
        <x:v>2858</x:v>
      </x:c>
      <x:c r="B993" s="87" t="n">
        <x:v>192</x:v>
      </x:c>
      <x:c r="C993" s="66" t="str">
        <x:v>INSTITUT TEKNOLOGI SUMATERA</x:v>
      </x:c>
      <x:c r="D993" s="66" t="str">
        <x:v>PTN Akademik</x:v>
      </x:c>
      <x:c r="E993" s="66" t="str">
        <x:v>11921028</x:v>
      </x:c>
      <x:c r="F993" s="66" t="str">
        <x:v>DESAIN KOMUNIKASI VISUAL</x:v>
      </x:c>
      <x:c r="G993" s="66" t="str">
        <x:v>Sarjana</x:v>
      </x:c>
      <x:c r="H993" s="87" t="n">
        <x:v>44</x:v>
      </x:c>
      <x:c r="I993" s="87" t="n">
        <x:v>164</x:v>
      </x:c>
      <x:c r="J993" s="68" t="n">
        <x:f>IFERROR(H993/I993,"")</x:f>
        <x:v>0.2682926829268293</x:v>
      </x:c>
      <x:c r="K993" s="69" t="n">
        <x:f>IFERROR(I993/H993,"")</x:f>
        <x:v>3.727272727272727</x:v>
      </x:c>
      <x:c r="L993" s="66" t="str">
        <x:f>IF(K993="","","1 : "&amp;TEXT(K993,"0.0"))</x:f>
        <x:v>1 : 3.7</x:v>
      </x:c>
      <x:c r="M993" s="66" t="str">
        <x:f>IF(J993="","Baru/Tanpa Data",IF(J993&lt;='Catatan &amp; Sumber'!$B$14,"Sangat Ketat",IF(J993&lt;='Catatan &amp; Sumber'!$B$15,"Ketat",IF(J993&lt;='Catatan &amp; Sumber'!$B$16,"Sedang","Relatif Longgar"))))</x:f>
        <x:v>Relatif Longgar</x:v>
      </x:c>
      <x:c r="N993" s="66" t="str">
        <x:v>Seni Rupa, Desain, dan Kriya</x:v>
      </x:c>
      <x:c r="O993" s="66" t="str">
        <x:v>Lampung</x:v>
      </x:c>
      <x:c r="P993" s="66" t="str">
        <x:v>Kabupaten Lampung Selatan</x:v>
      </x:c>
      <x:c r="Q993" s="66" t="str">
        <x:v>https://snpmb.id/snbp/daya-tampung-snbp</x:v>
      </x:c>
      <x:c r="R993" s="66" t="str">
        <x:v>https://sidatagrun-public-1076756628210.asia-southeast2.run.app/ptn_sn.php?ptn=192</x:v>
      </x:c>
    </x:row>
    <x:row r="994">
      <x:c r="A994" s="87" t="n">
        <x:v>2494</x:v>
      </x:c>
      <x:c r="B994" s="87" t="n">
        <x:v>192</x:v>
      </x:c>
      <x:c r="C994" s="66" t="str">
        <x:v>INSTITUT TEKNOLOGI SUMATERA</x:v>
      </x:c>
      <x:c r="D994" s="66" t="str">
        <x:v>PTN Akademik</x:v>
      </x:c>
      <x:c r="E994" s="66" t="str">
        <x:v>11921029</x:v>
      </x:c>
      <x:c r="F994" s="66" t="str">
        <x:v>TEKNIK TELEKOMUNIKASI</x:v>
      </x:c>
      <x:c r="G994" s="66" t="str">
        <x:v>Sarjana</x:v>
      </x:c>
      <x:c r="H994" s="87" t="n">
        <x:v>33</x:v>
      </x:c>
      <x:c r="I994" s="87" t="n">
        <x:v>157</x:v>
      </x:c>
      <x:c r="J994" s="68" t="n">
        <x:f>IFERROR(H994/I994,"")</x:f>
        <x:v>0.21019108280254778</x:v>
      </x:c>
      <x:c r="K994" s="69" t="n">
        <x:f>IFERROR(I994/H994,"")</x:f>
        <x:v>4.757575757575758</x:v>
      </x:c>
      <x:c r="L994" s="66" t="str">
        <x:f>IF(K994="","","1 : "&amp;TEXT(K994,"0.0"))</x:f>
        <x:v>1 : 4.8</x:v>
      </x:c>
      <x:c r="M994" s="66" t="str">
        <x:f>IF(J994="","Baru/Tanpa Data",IF(J994&lt;='Catatan &amp; Sumber'!$B$14,"Sangat Ketat",IF(J994&lt;='Catatan &amp; Sumber'!$B$15,"Ketat",IF(J994&lt;='Catatan &amp; Sumber'!$B$16,"Sedang","Relatif Longgar"))))</x:f>
        <x:v>Relatif Longgar</x:v>
      </x:c>
      <x:c r="N994" s="66" t="str">
        <x:v>Tidak Ada</x:v>
      </x:c>
      <x:c r="O994" s="66" t="str">
        <x:v>Lampung</x:v>
      </x:c>
      <x:c r="P994" s="66" t="str">
        <x:v>Kabupaten Lampung Selatan</x:v>
      </x:c>
      <x:c r="Q994" s="66" t="str">
        <x:v>https://snpmb.id/snbp/daya-tampung-snbp</x:v>
      </x:c>
      <x:c r="R994" s="66" t="str">
        <x:v>https://sidatagrun-public-1076756628210.asia-southeast2.run.app/ptn_sn.php?ptn=192</x:v>
      </x:c>
    </x:row>
    <x:row r="995">
      <x:c r="A995" s="87" t="n">
        <x:v>3314</x:v>
      </x:c>
      <x:c r="B995" s="87" t="n">
        <x:v>192</x:v>
      </x:c>
      <x:c r="C995" s="66" t="str">
        <x:v>INSTITUT TEKNOLOGI SUMATERA</x:v>
      </x:c>
      <x:c r="D995" s="66" t="str">
        <x:v>PTN Akademik</x:v>
      </x:c>
      <x:c r="E995" s="66" t="str">
        <x:v>11921030</x:v>
      </x:c>
      <x:c r="F995" s="66" t="str">
        <x:v>SAINS AKTUARIA</x:v>
      </x:c>
      <x:c r="G995" s="66" t="str">
        <x:v>Sarjana</x:v>
      </x:c>
      <x:c r="H995" s="87" t="n">
        <x:v>46</x:v>
      </x:c>
      <x:c r="I995" s="87" t="n">
        <x:v>122</x:v>
      </x:c>
      <x:c r="J995" s="68" t="n">
        <x:f>IFERROR(H995/I995,"")</x:f>
        <x:v>0.3770491803278688</x:v>
      </x:c>
      <x:c r="K995" s="69" t="n">
        <x:f>IFERROR(I995/H995,"")</x:f>
        <x:v>2.652173913043478</x:v>
      </x:c>
      <x:c r="L995" s="66" t="str">
        <x:f>IF(K995="","","1 : "&amp;TEXT(K995,"0.0"))</x:f>
        <x:v>1 : 2.7</x:v>
      </x:c>
      <x:c r="M995" s="66" t="str">
        <x:f>IF(J995="","Baru/Tanpa Data",IF(J995&lt;='Catatan &amp; Sumber'!$B$14,"Sangat Ketat",IF(J995&lt;='Catatan &amp; Sumber'!$B$15,"Ketat",IF(J995&lt;='Catatan &amp; Sumber'!$B$16,"Sedang","Relatif Longgar"))))</x:f>
        <x:v>Relatif Longgar</x:v>
      </x:c>
      <x:c r="N995" s="66" t="str">
        <x:v>Tidak Ada</x:v>
      </x:c>
      <x:c r="O995" s="66" t="str">
        <x:v>Lampung</x:v>
      </x:c>
      <x:c r="P995" s="66" t="str">
        <x:v>Kabupaten Lampung Selatan</x:v>
      </x:c>
      <x:c r="Q995" s="66" t="str">
        <x:v>https://snpmb.id/snbp/daya-tampung-snbp</x:v>
      </x:c>
      <x:c r="R995" s="66" t="str">
        <x:v>https://sidatagrun-public-1076756628210.asia-southeast2.run.app/ptn_sn.php?ptn=192</x:v>
      </x:c>
    </x:row>
    <x:row r="996">
      <x:c r="A996" s="87" t="n">
        <x:v>3331</x:v>
      </x:c>
      <x:c r="B996" s="87" t="n">
        <x:v>192</x:v>
      </x:c>
      <x:c r="C996" s="66" t="str">
        <x:v>INSTITUT TEKNOLOGI SUMATERA</x:v>
      </x:c>
      <x:c r="D996" s="66" t="str">
        <x:v>PTN Akademik</x:v>
      </x:c>
      <x:c r="E996" s="66" t="str">
        <x:v>11921031</x:v>
      </x:c>
      <x:c r="F996" s="66" t="str">
        <x:v>REKAYASA KEHUTANAN</x:v>
      </x:c>
      <x:c r="G996" s="66" t="str">
        <x:v>Sarjana</x:v>
      </x:c>
      <x:c r="H996" s="87" t="n">
        <x:v>46</x:v>
      </x:c>
      <x:c r="I996" s="87" t="n">
        <x:v>121</x:v>
      </x:c>
      <x:c r="J996" s="68" t="n">
        <x:f>IFERROR(H996/I996,"")</x:f>
        <x:v>0.38016528925619836</x:v>
      </x:c>
      <x:c r="K996" s="69" t="n">
        <x:f>IFERROR(I996/H996,"")</x:f>
        <x:v>2.630434782608696</x:v>
      </x:c>
      <x:c r="L996" s="66" t="str">
        <x:f>IF(K996="","","1 : "&amp;TEXT(K996,"0.0"))</x:f>
        <x:v>1 : 2.6</x:v>
      </x:c>
      <x:c r="M996" s="66" t="str">
        <x:f>IF(J996="","Baru/Tanpa Data",IF(J996&lt;='Catatan &amp; Sumber'!$B$14,"Sangat Ketat",IF(J996&lt;='Catatan &amp; Sumber'!$B$15,"Ketat",IF(J996&lt;='Catatan &amp; Sumber'!$B$16,"Sedang","Relatif Longgar"))))</x:f>
        <x:v>Relatif Longgar</x:v>
      </x:c>
      <x:c r="N996" s="66" t="str">
        <x:v>Tidak Ada</x:v>
      </x:c>
      <x:c r="O996" s="66" t="str">
        <x:v>Lampung</x:v>
      </x:c>
      <x:c r="P996" s="66" t="str">
        <x:v>Kabupaten Lampung Selatan</x:v>
      </x:c>
      <x:c r="Q996" s="66" t="str">
        <x:v>https://snpmb.id/snbp/daya-tampung-snbp</x:v>
      </x:c>
      <x:c r="R996" s="66" t="str">
        <x:v>https://sidatagrun-public-1076756628210.asia-southeast2.run.app/ptn_sn.php?ptn=192</x:v>
      </x:c>
    </x:row>
    <x:row r="997">
      <x:c r="A997" s="87" t="n">
        <x:v>1763</x:v>
      </x:c>
      <x:c r="B997" s="87" t="n">
        <x:v>192</x:v>
      </x:c>
      <x:c r="C997" s="66" t="str">
        <x:v>INSTITUT TEKNOLOGI SUMATERA</x:v>
      </x:c>
      <x:c r="D997" s="66" t="str">
        <x:v>PTN Akademik</x:v>
      </x:c>
      <x:c r="E997" s="66" t="str">
        <x:v>11921032</x:v>
      </x:c>
      <x:c r="F997" s="66" t="str">
        <x:v>TEKNIK BIOMEDIS</x:v>
      </x:c>
      <x:c r="G997" s="66" t="str">
        <x:v>Sarjana</x:v>
      </x:c>
      <x:c r="H997" s="87" t="n">
        <x:v>51</x:v>
      </x:c>
      <x:c r="I997" s="87" t="n">
        <x:v>394</x:v>
      </x:c>
      <x:c r="J997" s="68" t="n">
        <x:f>IFERROR(H997/I997,"")</x:f>
        <x:v>0.12944162436548223</x:v>
      </x:c>
      <x:c r="K997" s="69" t="n">
        <x:f>IFERROR(I997/H997,"")</x:f>
        <x:v>7.7254901960784315</x:v>
      </x:c>
      <x:c r="L997" s="66" t="str">
        <x:f>IF(K997="","","1 : "&amp;TEXT(K997,"0.0"))</x:f>
        <x:v>1 : 7.7</x:v>
      </x:c>
      <x:c r="M997" s="66" t="str">
        <x:f>IF(J997="","Baru/Tanpa Data",IF(J997&lt;='Catatan &amp; Sumber'!$B$14,"Sangat Ketat",IF(J997&lt;='Catatan &amp; Sumber'!$B$15,"Ketat",IF(J997&lt;='Catatan &amp; Sumber'!$B$16,"Sedang","Relatif Longgar"))))</x:f>
        <x:v>Relatif Longgar</x:v>
      </x:c>
      <x:c r="N997" s="66" t="str">
        <x:v>Tidak Ada</x:v>
      </x:c>
      <x:c r="O997" s="66" t="str">
        <x:v>Lampung</x:v>
      </x:c>
      <x:c r="P997" s="66" t="str">
        <x:v>Kabupaten Lampung Selatan</x:v>
      </x:c>
      <x:c r="Q997" s="66" t="str">
        <x:v>https://snpmb.id/snbp/daya-tampung-snbp</x:v>
      </x:c>
      <x:c r="R997" s="66" t="str">
        <x:v>https://sidatagrun-public-1076756628210.asia-southeast2.run.app/ptn_sn.php?ptn=192</x:v>
      </x:c>
    </x:row>
    <x:row r="998">
      <x:c r="A998" s="87" t="n">
        <x:v>3995</x:v>
      </x:c>
      <x:c r="B998" s="87" t="n">
        <x:v>192</x:v>
      </x:c>
      <x:c r="C998" s="66" t="str">
        <x:v>INSTITUT TEKNOLOGI SUMATERA</x:v>
      </x:c>
      <x:c r="D998" s="66" t="str">
        <x:v>PTN Akademik</x:v>
      </x:c>
      <x:c r="E998" s="66" t="str">
        <x:v>11921033</x:v>
      </x:c>
      <x:c r="F998" s="66" t="str">
        <x:v>SAINS LINGKUNGAN KELAUTAN</x:v>
      </x:c>
      <x:c r="G998" s="66" t="str">
        <x:v>Sarjana</x:v>
      </x:c>
      <x:c r="H998" s="87" t="n">
        <x:v>26</x:v>
      </x:c>
      <x:c r="I998" s="87" t="n">
        <x:v>38</x:v>
      </x:c>
      <x:c r="J998" s="68" t="n">
        <x:f>IFERROR(H998/I998,"")</x:f>
        <x:v>0.6842105263157895</x:v>
      </x:c>
      <x:c r="K998" s="69" t="n">
        <x:f>IFERROR(I998/H998,"")</x:f>
        <x:v>1.4615384615384615</x:v>
      </x:c>
      <x:c r="L998" s="66" t="str">
        <x:f>IF(K998="","","1 : "&amp;TEXT(K998,"0.0"))</x:f>
        <x:v>1 : 1.5</x:v>
      </x:c>
      <x:c r="M998" s="66" t="str">
        <x:f>IF(J998="","Baru/Tanpa Data",IF(J998&lt;='Catatan &amp; Sumber'!$B$14,"Sangat Ketat",IF(J998&lt;='Catatan &amp; Sumber'!$B$15,"Ketat",IF(J998&lt;='Catatan &amp; Sumber'!$B$16,"Sedang","Relatif Longgar"))))</x:f>
        <x:v>Relatif Longgar</x:v>
      </x:c>
      <x:c r="N998" s="66" t="str">
        <x:v>Tidak Ada</x:v>
      </x:c>
      <x:c r="O998" s="66" t="str">
        <x:v>Lampung</x:v>
      </x:c>
      <x:c r="P998" s="66" t="str">
        <x:v>Kabupaten Lampung Selatan</x:v>
      </x:c>
      <x:c r="Q998" s="66" t="str">
        <x:v>https://snpmb.id/snbp/daya-tampung-snbp</x:v>
      </x:c>
      <x:c r="R998" s="66" t="str">
        <x:v>https://sidatagrun-public-1076756628210.asia-southeast2.run.app/ptn_sn.php?ptn=192</x:v>
      </x:c>
    </x:row>
    <x:row r="999">
      <x:c r="A999" s="87" t="n">
        <x:v>2624</x:v>
      </x:c>
      <x:c r="B999" s="87" t="n">
        <x:v>192</x:v>
      </x:c>
      <x:c r="C999" s="66" t="str">
        <x:v>INSTITUT TEKNOLOGI SUMATERA</x:v>
      </x:c>
      <x:c r="D999" s="66" t="str">
        <x:v>PTN Akademik</x:v>
      </x:c>
      <x:c r="E999" s="66" t="str">
        <x:v>11921034</x:v>
      </x:c>
      <x:c r="F999" s="66" t="str">
        <x:v>SAINS DATA</x:v>
      </x:c>
      <x:c r="G999" s="66" t="str">
        <x:v>Sarjana</x:v>
      </x:c>
      <x:c r="H999" s="87" t="n">
        <x:v>46</x:v>
      </x:c>
      <x:c r="I999" s="87" t="n">
        <x:v>199</x:v>
      </x:c>
      <x:c r="J999" s="68" t="n">
        <x:f>IFERROR(H999/I999,"")</x:f>
        <x:v>0.23115577889447236</x:v>
      </x:c>
      <x:c r="K999" s="69" t="n">
        <x:f>IFERROR(I999/H999,"")</x:f>
        <x:v>4.326086956521739</x:v>
      </x:c>
      <x:c r="L999" s="66" t="str">
        <x:f>IF(K999="","","1 : "&amp;TEXT(K999,"0.0"))</x:f>
        <x:v>1 : 4.3</x:v>
      </x:c>
      <x:c r="M999" s="66" t="str">
        <x:f>IF(J999="","Baru/Tanpa Data",IF(J999&lt;='Catatan &amp; Sumber'!$B$14,"Sangat Ketat",IF(J999&lt;='Catatan &amp; Sumber'!$B$15,"Ketat",IF(J999&lt;='Catatan &amp; Sumber'!$B$16,"Sedang","Relatif Longgar"))))</x:f>
        <x:v>Relatif Longgar</x:v>
      </x:c>
      <x:c r="N999" s="66" t="str">
        <x:v>Tidak Ada</x:v>
      </x:c>
      <x:c r="O999" s="66" t="str">
        <x:v>Lampung</x:v>
      </x:c>
      <x:c r="P999" s="66" t="str">
        <x:v>Kabupaten Lampung Selatan</x:v>
      </x:c>
      <x:c r="Q999" s="66" t="str">
        <x:v>https://snpmb.id/snbp/daya-tampung-snbp</x:v>
      </x:c>
      <x:c r="R999" s="66" t="str">
        <x:v>https://sidatagrun-public-1076756628210.asia-southeast2.run.app/ptn_sn.php?ptn=192</x:v>
      </x:c>
    </x:row>
    <x:row r="1000">
      <x:c r="A1000" s="87" t="n">
        <x:v>2013</x:v>
      </x:c>
      <x:c r="B1000" s="87" t="n">
        <x:v>192</x:v>
      </x:c>
      <x:c r="C1000" s="66" t="str">
        <x:v>INSTITUT TEKNOLOGI SUMATERA</x:v>
      </x:c>
      <x:c r="D1000" s="66" t="str">
        <x:v>PTN Akademik</x:v>
      </x:c>
      <x:c r="E1000" s="66" t="str">
        <x:v>11921035</x:v>
      </x:c>
      <x:c r="F1000" s="66" t="str">
        <x:v>TEKNIK PERKERETAAPIAN</x:v>
      </x:c>
      <x:c r="G1000" s="66" t="str">
        <x:v>Sarjana</x:v>
      </x:c>
      <x:c r="H1000" s="87" t="n">
        <x:v>32</x:v>
      </x:c>
      <x:c r="I1000" s="87" t="n">
        <x:v>209</x:v>
      </x:c>
      <x:c r="J1000" s="68" t="n">
        <x:f>IFERROR(H1000/I1000,"")</x:f>
        <x:v>0.15311004784688995</x:v>
      </x:c>
      <x:c r="K1000" s="69" t="n">
        <x:f>IFERROR(I1000/H1000,"")</x:f>
        <x:v>6.53125</x:v>
      </x:c>
      <x:c r="L1000" s="66" t="str">
        <x:f>IF(K1000="","","1 : "&amp;TEXT(K1000,"0.0"))</x:f>
        <x:v>1 : 6.5</x:v>
      </x:c>
      <x:c r="M1000" s="66" t="str">
        <x:f>IF(J1000="","Baru/Tanpa Data",IF(J1000&lt;='Catatan &amp; Sumber'!$B$14,"Sangat Ketat",IF(J1000&lt;='Catatan &amp; Sumber'!$B$15,"Ketat",IF(J1000&lt;='Catatan &amp; Sumber'!$B$16,"Sedang","Relatif Longgar"))))</x:f>
        <x:v>Relatif Longgar</x:v>
      </x:c>
      <x:c r="N1000" s="66" t="str">
        <x:v>Tidak Ada</x:v>
      </x:c>
      <x:c r="O1000" s="66" t="str">
        <x:v>Lampung</x:v>
      </x:c>
      <x:c r="P1000" s="66" t="str">
        <x:v>Kabupaten Lampung Selatan</x:v>
      </x:c>
      <x:c r="Q1000" s="66" t="str">
        <x:v>https://snpmb.id/snbp/daya-tampung-snbp</x:v>
      </x:c>
      <x:c r="R1000" s="66" t="str">
        <x:v>https://sidatagrun-public-1076756628210.asia-southeast2.run.app/ptn_sn.php?ptn=192</x:v>
      </x:c>
    </x:row>
    <x:row r="1001">
      <x:c r="A1001" s="87" t="n">
        <x:v>4210</x:v>
      </x:c>
      <x:c r="B1001" s="87" t="n">
        <x:v>192</x:v>
      </x:c>
      <x:c r="C1001" s="66" t="str">
        <x:v>INSTITUT TEKNOLOGI SUMATERA</x:v>
      </x:c>
      <x:c r="D1001" s="66" t="str">
        <x:v>PTN Akademik</x:v>
      </x:c>
      <x:c r="E1001" s="66" t="str">
        <x:v>11921036</x:v>
      </x:c>
      <x:c r="F1001" s="66" t="str">
        <x:v>REKAYASA TATA KELOLA AIR TERPADU</x:v>
      </x:c>
      <x:c r="G1001" s="66" t="str">
        <x:v>Sarjana</x:v>
      </x:c>
      <x:c r="H1001" s="87" t="n">
        <x:v>32</x:v>
      </x:c>
      <x:c r="I1001" s="87" t="n">
        <x:v>37</x:v>
      </x:c>
      <x:c r="J1001" s="68" t="n">
        <x:f>IFERROR(H1001/I1001,"")</x:f>
        <x:v>0.8648648648648649</x:v>
      </x:c>
      <x:c r="K1001" s="69" t="n">
        <x:f>IFERROR(I1001/H1001,"")</x:f>
        <x:v>1.15625</x:v>
      </x:c>
      <x:c r="L1001" s="66" t="str">
        <x:f>IF(K1001="","","1 : "&amp;TEXT(K1001,"0.0"))</x:f>
        <x:v>1 : 1.2</x:v>
      </x:c>
      <x:c r="M1001" s="66" t="str">
        <x:f>IF(J1001="","Baru/Tanpa Data",IF(J1001&lt;='Catatan &amp; Sumber'!$B$14,"Sangat Ketat",IF(J1001&lt;='Catatan &amp; Sumber'!$B$15,"Ketat",IF(J1001&lt;='Catatan &amp; Sumber'!$B$16,"Sedang","Relatif Longgar"))))</x:f>
        <x:v>Relatif Longgar</x:v>
      </x:c>
      <x:c r="N1001" s="66" t="str">
        <x:v>Tidak Ada</x:v>
      </x:c>
      <x:c r="O1001" s="66" t="str">
        <x:v>Lampung</x:v>
      </x:c>
      <x:c r="P1001" s="66" t="str">
        <x:v>Kabupaten Lampung Selatan</x:v>
      </x:c>
      <x:c r="Q1001" s="66" t="str">
        <x:v>https://snpmb.id/snbp/daya-tampung-snbp</x:v>
      </x:c>
      <x:c r="R1001" s="66" t="str">
        <x:v>https://sidatagrun-public-1076756628210.asia-southeast2.run.app/ptn_sn.php?ptn=192</x:v>
      </x:c>
    </x:row>
    <x:row r="1002">
      <x:c r="A1002" s="87" t="n">
        <x:v>4165</x:v>
      </x:c>
      <x:c r="B1002" s="87" t="n">
        <x:v>192</x:v>
      </x:c>
      <x:c r="C1002" s="66" t="str">
        <x:v>INSTITUT TEKNOLOGI SUMATERA</x:v>
      </x:c>
      <x:c r="D1002" s="66" t="str">
        <x:v>PTN Akademik</x:v>
      </x:c>
      <x:c r="E1002" s="66" t="str">
        <x:v>11921037</x:v>
      </x:c>
      <x:c r="F1002" s="66" t="str">
        <x:v>REKAYASA INSTRUMENTASI DAN AUTOMASI</x:v>
      </x:c>
      <x:c r="G1002" s="66" t="str">
        <x:v>Sarjana</x:v>
      </x:c>
      <x:c r="H1002" s="87" t="n">
        <x:v>37</x:v>
      </x:c>
      <x:c r="I1002" s="87" t="n">
        <x:v>45</x:v>
      </x:c>
      <x:c r="J1002" s="68" t="n">
        <x:f>IFERROR(H1002/I1002,"")</x:f>
        <x:v>0.8222222222222222</x:v>
      </x:c>
      <x:c r="K1002" s="69" t="n">
        <x:f>IFERROR(I1002/H1002,"")</x:f>
        <x:v>1.2162162162162162</x:v>
      </x:c>
      <x:c r="L1002" s="66" t="str">
        <x:f>IF(K1002="","","1 : "&amp;TEXT(K1002,"0.0"))</x:f>
        <x:v>1 : 1.2</x:v>
      </x:c>
      <x:c r="M1002" s="66" t="str">
        <x:f>IF(J1002="","Baru/Tanpa Data",IF(J1002&lt;='Catatan &amp; Sumber'!$B$14,"Sangat Ketat",IF(J1002&lt;='Catatan &amp; Sumber'!$B$15,"Ketat",IF(J1002&lt;='Catatan &amp; Sumber'!$B$16,"Sedang","Relatif Longgar"))))</x:f>
        <x:v>Relatif Longgar</x:v>
      </x:c>
      <x:c r="N1002" s="66" t="str">
        <x:v>Tidak Ada</x:v>
      </x:c>
      <x:c r="O1002" s="66" t="str">
        <x:v>Lampung</x:v>
      </x:c>
      <x:c r="P1002" s="66" t="str">
        <x:v>Kabupaten Lampung Selatan</x:v>
      </x:c>
      <x:c r="Q1002" s="66" t="str">
        <x:v>https://snpmb.id/snbp/daya-tampung-snbp</x:v>
      </x:c>
      <x:c r="R1002" s="66" t="str">
        <x:v>https://sidatagrun-public-1076756628210.asia-southeast2.run.app/ptn_sn.php?ptn=192</x:v>
      </x:c>
    </x:row>
    <x:row r="1003">
      <x:c r="A1003" s="87" t="n">
        <x:v>1699</x:v>
      </x:c>
      <x:c r="B1003" s="87" t="n">
        <x:v>192</x:v>
      </x:c>
      <x:c r="C1003" s="66" t="str">
        <x:v>INSTITUT TEKNOLOGI SUMATERA</x:v>
      </x:c>
      <x:c r="D1003" s="66" t="str">
        <x:v>PTN Akademik</x:v>
      </x:c>
      <x:c r="E1003" s="66" t="str">
        <x:v>11921038</x:v>
      </x:c>
      <x:c r="F1003" s="66" t="str">
        <x:v>REKAYASA MINYAK DAN GAS</x:v>
      </x:c>
      <x:c r="G1003" s="66" t="str">
        <x:v>Sarjana</x:v>
      </x:c>
      <x:c r="H1003" s="87" t="n">
        <x:v>33</x:v>
      </x:c>
      <x:c r="I1003" s="87" t="n">
        <x:v>266</x:v>
      </x:c>
      <x:c r="J1003" s="68" t="n">
        <x:f>IFERROR(H1003/I1003,"")</x:f>
        <x:v>0.12406015037593984</x:v>
      </x:c>
      <x:c r="K1003" s="69" t="n">
        <x:f>IFERROR(I1003/H1003,"")</x:f>
        <x:v>8.06060606060606</x:v>
      </x:c>
      <x:c r="L1003" s="66" t="str">
        <x:f>IF(K1003="","","1 : "&amp;TEXT(K1003,"0.0"))</x:f>
        <x:v>1 : 8.1</x:v>
      </x:c>
      <x:c r="M1003" s="66" t="str">
        <x:f>IF(J1003="","Baru/Tanpa Data",IF(J1003&lt;='Catatan &amp; Sumber'!$B$14,"Sangat Ketat",IF(J1003&lt;='Catatan &amp; Sumber'!$B$15,"Ketat",IF(J1003&lt;='Catatan &amp; Sumber'!$B$16,"Sedang","Relatif Longgar"))))</x:f>
        <x:v>Relatif Longgar</x:v>
      </x:c>
      <x:c r="N1003" s="66" t="str">
        <x:v>Tidak Ada</x:v>
      </x:c>
      <x:c r="O1003" s="66" t="str">
        <x:v>Lampung</x:v>
      </x:c>
      <x:c r="P1003" s="66" t="str">
        <x:v>Kabupaten Lampung Selatan</x:v>
      </x:c>
      <x:c r="Q1003" s="66" t="str">
        <x:v>https://snpmb.id/snbp/daya-tampung-snbp</x:v>
      </x:c>
      <x:c r="R1003" s="66" t="str">
        <x:v>https://sidatagrun-public-1076756628210.asia-southeast2.run.app/ptn_sn.php?ptn=192</x:v>
      </x:c>
    </x:row>
    <x:row r="1004">
      <x:c r="A1004" s="87" t="n">
        <x:v>1839</x:v>
      </x:c>
      <x:c r="B1004" s="87" t="n">
        <x:v>192</x:v>
      </x:c>
      <x:c r="C1004" s="66" t="str">
        <x:v>INSTITUT TEKNOLOGI SUMATERA</x:v>
      </x:c>
      <x:c r="D1004" s="66" t="str">
        <x:v>PTN Akademik</x:v>
      </x:c>
      <x:c r="E1004" s="66" t="str">
        <x:v>11921039</x:v>
      </x:c>
      <x:c r="F1004" s="66" t="str">
        <x:v>REKAYASA KOSMETIK</x:v>
      </x:c>
      <x:c r="G1004" s="66" t="str">
        <x:v>Sarjana</x:v>
      </x:c>
      <x:c r="H1004" s="87" t="n">
        <x:v>37</x:v>
      </x:c>
      <x:c r="I1004" s="87" t="n">
        <x:v>273</x:v>
      </x:c>
      <x:c r="J1004" s="68" t="n">
        <x:f>IFERROR(H1004/I1004,"")</x:f>
        <x:v>0.13553113553113552</x:v>
      </x:c>
      <x:c r="K1004" s="69" t="n">
        <x:f>IFERROR(I1004/H1004,"")</x:f>
        <x:v>7.378378378378378</x:v>
      </x:c>
      <x:c r="L1004" s="66" t="str">
        <x:f>IF(K1004="","","1 : "&amp;TEXT(K1004,"0.0"))</x:f>
        <x:v>1 : 7.4</x:v>
      </x:c>
      <x:c r="M1004" s="66" t="str">
        <x:f>IF(J1004="","Baru/Tanpa Data",IF(J1004&lt;='Catatan &amp; Sumber'!$B$14,"Sangat Ketat",IF(J1004&lt;='Catatan &amp; Sumber'!$B$15,"Ketat",IF(J1004&lt;='Catatan &amp; Sumber'!$B$16,"Sedang","Relatif Longgar"))))</x:f>
        <x:v>Relatif Longgar</x:v>
      </x:c>
      <x:c r="N1004" s="66" t="str">
        <x:v>Tidak Ada</x:v>
      </x:c>
      <x:c r="O1004" s="66" t="str">
        <x:v>Lampung</x:v>
      </x:c>
      <x:c r="P1004" s="66" t="str">
        <x:v>Kabupaten Lampung Selatan</x:v>
      </x:c>
      <x:c r="Q1004" s="66" t="str">
        <x:v>https://snpmb.id/snbp/daya-tampung-snbp</x:v>
      </x:c>
      <x:c r="R1004" s="66" t="str">
        <x:v>https://sidatagrun-public-1076756628210.asia-southeast2.run.app/ptn_sn.php?ptn=192</x:v>
      </x:c>
    </x:row>
    <x:row r="1005">
      <x:c r="A1005" s="87" t="n">
        <x:v>1992</x:v>
      </x:c>
      <x:c r="B1005" s="87" t="n">
        <x:v>192</x:v>
      </x:c>
      <x:c r="C1005" s="66" t="str">
        <x:v>INSTITUT TEKNOLOGI SUMATERA</x:v>
      </x:c>
      <x:c r="D1005" s="66" t="str">
        <x:v>PTN Akademik</x:v>
      </x:c>
      <x:c r="E1005" s="66" t="str">
        <x:v>11921040</x:v>
      </x:c>
      <x:c r="F1005" s="66" t="str">
        <x:v>PARIWISATA</x:v>
      </x:c>
      <x:c r="G1005" s="66" t="str">
        <x:v>Sarjana</x:v>
      </x:c>
      <x:c r="H1005" s="87" t="n">
        <x:v>32</x:v>
      </x:c>
      <x:c r="I1005" s="87" t="n">
        <x:v>212</x:v>
      </x:c>
      <x:c r="J1005" s="68" t="n">
        <x:f>IFERROR(H1005/I1005,"")</x:f>
        <x:v>0.1509433962264151</x:v>
      </x:c>
      <x:c r="K1005" s="69" t="n">
        <x:f>IFERROR(I1005/H1005,"")</x:f>
        <x:v>6.625</x:v>
      </x:c>
      <x:c r="L1005" s="66" t="str">
        <x:f>IF(K1005="","","1 : "&amp;TEXT(K1005,"0.0"))</x:f>
        <x:v>1 : 6.6</x:v>
      </x:c>
      <x:c r="M1005" s="66" t="str">
        <x:f>IF(J1005="","Baru/Tanpa Data",IF(J1005&lt;='Catatan &amp; Sumber'!$B$14,"Sangat Ketat",IF(J1005&lt;='Catatan &amp; Sumber'!$B$15,"Ketat",IF(J1005&lt;='Catatan &amp; Sumber'!$B$16,"Sedang","Relatif Longgar"))))</x:f>
        <x:v>Relatif Longgar</x:v>
      </x:c>
      <x:c r="N1005" s="66" t="str">
        <x:v>Tidak Ada</x:v>
      </x:c>
      <x:c r="O1005" s="66" t="str">
        <x:v>Lampung</x:v>
      </x:c>
      <x:c r="P1005" s="66" t="str">
        <x:v>Kabupaten Lampung Selatan</x:v>
      </x:c>
      <x:c r="Q1005" s="66" t="str">
        <x:v>https://snpmb.id/snbp/daya-tampung-snbp</x:v>
      </x:c>
      <x:c r="R1005" s="66" t="str">
        <x:v>https://sidatagrun-public-1076756628210.asia-southeast2.run.app/ptn_sn.php?ptn=192</x:v>
      </x:c>
    </x:row>
    <x:row r="1006">
      <x:c r="A1006" s="87" t="n">
        <x:v>3792</x:v>
      </x:c>
      <x:c r="B1006" s="87" t="n">
        <x:v>192</x:v>
      </x:c>
      <x:c r="C1006" s="66" t="str">
        <x:v>INSTITUT TEKNOLOGI SUMATERA</x:v>
      </x:c>
      <x:c r="D1006" s="66" t="str">
        <x:v>PTN Akademik</x:v>
      </x:c>
      <x:c r="E1006" s="66" t="str">
        <x:v>11921041</x:v>
      </x:c>
      <x:c r="F1006" s="66" t="str">
        <x:v>REKAYASA KEOLAHRAGAAN</x:v>
      </x:c>
      <x:c r="G1006" s="66" t="str">
        <x:v>Sarjana</x:v>
      </x:c>
      <x:c r="H1006" s="87" t="n">
        <x:v>26</x:v>
      </x:c>
      <x:c r="I1006" s="87" t="n">
        <x:v>46</x:v>
      </x:c>
      <x:c r="J1006" s="68" t="n">
        <x:f>IFERROR(H1006/I1006,"")</x:f>
        <x:v>0.5652173913043478</x:v>
      </x:c>
      <x:c r="K1006" s="69" t="n">
        <x:f>IFERROR(I1006/H1006,"")</x:f>
        <x:v>1.7692307692307692</x:v>
      </x:c>
      <x:c r="L1006" s="66" t="str">
        <x:f>IF(K1006="","","1 : "&amp;TEXT(K1006,"0.0"))</x:f>
        <x:v>1 : 1.8</x:v>
      </x:c>
      <x:c r="M1006" s="66" t="str">
        <x:f>IF(J1006="","Baru/Tanpa Data",IF(J1006&lt;='Catatan &amp; Sumber'!$B$14,"Sangat Ketat",IF(J1006&lt;='Catatan &amp; Sumber'!$B$15,"Ketat",IF(J1006&lt;='Catatan &amp; Sumber'!$B$16,"Sedang","Relatif Longgar"))))</x:f>
        <x:v>Relatif Longgar</x:v>
      </x:c>
      <x:c r="N1006" s="66" t="str">
        <x:v>Tidak Ada</x:v>
      </x:c>
      <x:c r="O1006" s="66" t="str">
        <x:v>Lampung</x:v>
      </x:c>
      <x:c r="P1006" s="66" t="str">
        <x:v>Kabupaten Lampung Selatan</x:v>
      </x:c>
      <x:c r="Q1006" s="66" t="str">
        <x:v>https://snpmb.id/snbp/daya-tampung-snbp</x:v>
      </x:c>
      <x:c r="R1006" s="66" t="str">
        <x:v>https://sidatagrun-public-1076756628210.asia-southeast2.run.app/ptn_sn.php?ptn=192</x:v>
      </x:c>
    </x:row>
    <x:row r="1007">
      <x:c r="A1007" s="87" t="n">
        <x:v>4602</x:v>
      </x:c>
      <x:c r="B1007" s="87" t="n">
        <x:v>193</x:v>
      </x:c>
      <x:c r="C1007" s="66" t="str">
        <x:v>UIN RADEN INTAN LAMPUNG</x:v>
      </x:c>
      <x:c r="D1007" s="66" t="str">
        <x:v>PTKIN</x:v>
      </x:c>
      <x:c r="E1007" s="66" t="str">
        <x:v>11931001</x:v>
      </x:c>
      <x:c r="F1007" s="66" t="str">
        <x:v>BIOLOGI</x:v>
      </x:c>
      <x:c r="G1007" s="66" t="str">
        <x:v>Sarjana</x:v>
      </x:c>
      <x:c r="H1007" s="87" t="n">
        <x:v>80</x:v>
      </x:c>
      <x:c r="I1007" s="87" t="n">
        <x:v>48</x:v>
      </x:c>
      <x:c r="J1007" s="68" t="n">
        <x:f>IFERROR(H1007/I1007,"")</x:f>
        <x:v>1.6666666666666667</x:v>
      </x:c>
      <x:c r="K1007" s="69" t="n">
        <x:f>IFERROR(I1007/H1007,"")</x:f>
        <x:v>0.6</x:v>
      </x:c>
      <x:c r="L1007" s="66" t="str">
        <x:f>IF(K1007="","","1 : "&amp;TEXT(K1007,"0.0"))</x:f>
        <x:v>1 : 0.6</x:v>
      </x:c>
      <x:c r="M1007" s="66" t="str">
        <x:f>IF(J1007="","Baru/Tanpa Data",IF(J1007&lt;='Catatan &amp; Sumber'!$B$14,"Sangat Ketat",IF(J1007&lt;='Catatan &amp; Sumber'!$B$15,"Ketat",IF(J1007&lt;='Catatan &amp; Sumber'!$B$16,"Sedang","Relatif Longgar"))))</x:f>
        <x:v>Relatif Longgar</x:v>
      </x:c>
      <x:c r="N1007" s="66" t="str">
        <x:v>Tidak Ada</x:v>
      </x:c>
      <x:c r="O1007" s="66" t="str">
        <x:v>Lampung</x:v>
      </x:c>
      <x:c r="P1007" s="66" t="str">
        <x:v>Kota Bandar Lampung</x:v>
      </x:c>
      <x:c r="Q1007" s="66" t="str">
        <x:v>https://snpmb.id/snbp/daya-tampung-snbp</x:v>
      </x:c>
      <x:c r="R1007" s="66" t="str">
        <x:v>https://sidatagrun-public-1076756628210.asia-southeast2.run.app/ptn_sn.php?ptn=193</x:v>
      </x:c>
    </x:row>
    <x:row r="1008">
      <x:c r="A1008" s="87" t="n">
        <x:v>3721</x:v>
      </x:c>
      <x:c r="B1008" s="87" t="n">
        <x:v>193</x:v>
      </x:c>
      <x:c r="C1008" s="66" t="str">
        <x:v>UIN RADEN INTAN LAMPUNG</x:v>
      </x:c>
      <x:c r="D1008" s="66" t="str">
        <x:v>PTKIN</x:v>
      </x:c>
      <x:c r="E1008" s="66" t="str">
        <x:v>11931002</x:v>
      </x:c>
      <x:c r="F1008" s="66" t="str">
        <x:v>SISTEM INFORMASI</x:v>
      </x:c>
      <x:c r="G1008" s="66" t="str">
        <x:v>Sarjana</x:v>
      </x:c>
      <x:c r="H1008" s="87" t="n">
        <x:v>60</x:v>
      </x:c>
      <x:c r="I1008" s="87" t="n">
        <x:v>114</x:v>
      </x:c>
      <x:c r="J1008" s="68" t="n">
        <x:f>IFERROR(H1008/I1008,"")</x:f>
        <x:v>0.5263157894736842</x:v>
      </x:c>
      <x:c r="K1008" s="69" t="n">
        <x:f>IFERROR(I1008/H1008,"")</x:f>
        <x:v>1.9</x:v>
      </x:c>
      <x:c r="L1008" s="66" t="str">
        <x:f>IF(K1008="","","1 : "&amp;TEXT(K1008,"0.0"))</x:f>
        <x:v>1 : 1.9</x:v>
      </x:c>
      <x:c r="M1008" s="66" t="str">
        <x:f>IF(J1008="","Baru/Tanpa Data",IF(J1008&lt;='Catatan &amp; Sumber'!$B$14,"Sangat Ketat",IF(J1008&lt;='Catatan &amp; Sumber'!$B$15,"Ketat",IF(J1008&lt;='Catatan &amp; Sumber'!$B$16,"Sedang","Relatif Longgar"))))</x:f>
        <x:v>Relatif Longgar</x:v>
      </x:c>
      <x:c r="N1008" s="66" t="str">
        <x:v>Tidak Ada</x:v>
      </x:c>
      <x:c r="O1008" s="66" t="str">
        <x:v>Lampung</x:v>
      </x:c>
      <x:c r="P1008" s="66" t="str">
        <x:v>Kota Bandar Lampung</x:v>
      </x:c>
      <x:c r="Q1008" s="66" t="str">
        <x:v>https://snpmb.id/snbp/daya-tampung-snbp</x:v>
      </x:c>
      <x:c r="R1008" s="66" t="str">
        <x:v>https://sidatagrun-public-1076756628210.asia-southeast2.run.app/ptn_sn.php?ptn=193</x:v>
      </x:c>
    </x:row>
    <x:row r="1009">
      <x:c r="A1009" s="87" t="n">
        <x:v>4753</x:v>
      </x:c>
      <x:c r="B1009" s="87" t="n">
        <x:v>193</x:v>
      </x:c>
      <x:c r="C1009" s="66" t="str">
        <x:v>UIN RADEN INTAN LAMPUNG</x:v>
      </x:c>
      <x:c r="D1009" s="66" t="str">
        <x:v>PTKIN</x:v>
      </x:c>
      <x:c r="E1009" s="66" t="str">
        <x:v>11931003</x:v>
      </x:c>
      <x:c r="F1009" s="66" t="str">
        <x:v>SAINS DATA</x:v>
      </x:c>
      <x:c r="G1009" s="66" t="str">
        <x:v>Sarjana</x:v>
      </x:c>
      <x:c r="H1009" s="87" t="n">
        <x:v>80</x:v>
      </x:c>
      <x:c r="I1009" s="87" t="n">
        <x:v>28</x:v>
      </x:c>
      <x:c r="J1009" s="68" t="n">
        <x:f>IFERROR(H1009/I1009,"")</x:f>
        <x:v>2.857142857142857</x:v>
      </x:c>
      <x:c r="K1009" s="69" t="n">
        <x:f>IFERROR(I1009/H1009,"")</x:f>
        <x:v>0.35</x:v>
      </x:c>
      <x:c r="L1009" s="66" t="str">
        <x:f>IF(K1009="","","1 : "&amp;TEXT(K1009,"0.0"))</x:f>
        <x:v>1 : 0.4</x:v>
      </x:c>
      <x:c r="M1009" s="66" t="str">
        <x:f>IF(J1009="","Baru/Tanpa Data",IF(J1009&lt;='Catatan &amp; Sumber'!$B$14,"Sangat Ketat",IF(J1009&lt;='Catatan &amp; Sumber'!$B$15,"Ketat",IF(J1009&lt;='Catatan &amp; Sumber'!$B$16,"Sedang","Relatif Longgar"))))</x:f>
        <x:v>Relatif Longgar</x:v>
      </x:c>
      <x:c r="N1009" s="66" t="str">
        <x:v>Tidak Ada</x:v>
      </x:c>
      <x:c r="O1009" s="66" t="str">
        <x:v>Lampung</x:v>
      </x:c>
      <x:c r="P1009" s="66" t="str">
        <x:v>Kota Bandar Lampung</x:v>
      </x:c>
      <x:c r="Q1009" s="66" t="str">
        <x:v>https://snpmb.id/snbp/daya-tampung-snbp</x:v>
      </x:c>
      <x:c r="R1009" s="66" t="str">
        <x:v>https://sidatagrun-public-1076756628210.asia-southeast2.run.app/ptn_sn.php?ptn=193</x:v>
      </x:c>
    </x:row>
    <x:row r="1010">
      <x:c r="A1010" s="87" t="n">
        <x:v>4877</x:v>
      </x:c>
      <x:c r="B1010" s="87" t="n">
        <x:v>193</x:v>
      </x:c>
      <x:c r="C1010" s="66" t="str">
        <x:v>UIN RADEN INTAN LAMPUNG</x:v>
      </x:c>
      <x:c r="D1010" s="66" t="str">
        <x:v>PTKIN</x:v>
      </x:c>
      <x:c r="E1010" s="66" t="str">
        <x:v>11931004</x:v>
      </x:c>
      <x:c r="F1010" s="66" t="str">
        <x:v>KIMIA</x:v>
      </x:c>
      <x:c r="G1010" s="66" t="str">
        <x:v>Sarjana</x:v>
      </x:c>
      <x:c r="H1010" s="87" t="n">
        <x:v>80</x:v>
      </x:c>
      <x:c r="I1010" s="87" t="n">
        <x:v>11</x:v>
      </x:c>
      <x:c r="J1010" s="68" t="n">
        <x:f>IFERROR(H1010/I1010,"")</x:f>
        <x:v>7.2727272727272725</x:v>
      </x:c>
      <x:c r="K1010" s="69" t="n">
        <x:f>IFERROR(I1010/H1010,"")</x:f>
        <x:v>0.1375</x:v>
      </x:c>
      <x:c r="L1010" s="66" t="str">
        <x:f>IF(K1010="","","1 : "&amp;TEXT(K1010,"0.0"))</x:f>
        <x:v>1 : 0.1</x:v>
      </x:c>
      <x:c r="M1010" s="66" t="str">
        <x:f>IF(J1010="","Baru/Tanpa Data",IF(J1010&lt;='Catatan &amp; Sumber'!$B$14,"Sangat Ketat",IF(J1010&lt;='Catatan &amp; Sumber'!$B$15,"Ketat",IF(J1010&lt;='Catatan &amp; Sumber'!$B$16,"Sedang","Relatif Longgar"))))</x:f>
        <x:v>Relatif Longgar</x:v>
      </x:c>
      <x:c r="N1010" s="66" t="str">
        <x:v>Tidak Ada</x:v>
      </x:c>
      <x:c r="O1010" s="66" t="str">
        <x:v>Lampung</x:v>
      </x:c>
      <x:c r="P1010" s="66" t="str">
        <x:v>Kota Bandar Lampung</x:v>
      </x:c>
      <x:c r="Q1010" s="66" t="str">
        <x:v>https://snpmb.id/snbp/daya-tampung-snbp</x:v>
      </x:c>
      <x:c r="R1010" s="66" t="str">
        <x:v>https://sidatagrun-public-1076756628210.asia-southeast2.run.app/ptn_sn.php?ptn=193</x:v>
      </x:c>
    </x:row>
    <x:row r="1011">
      <x:c r="A1011" s="87" t="n">
        <x:v>4339</x:v>
      </x:c>
      <x:c r="B1011" s="87" t="n">
        <x:v>194</x:v>
      </x:c>
      <x:c r="C1011" s="66" t="str">
        <x:v>UIN MAHMUD YUNUS BATUSANGKAR</x:v>
      </x:c>
      <x:c r="D1011" s="66" t="str">
        <x:v>PTKIN</x:v>
      </x:c>
      <x:c r="E1011" s="66" t="str">
        <x:v>11941003</x:v>
      </x:c>
      <x:c r="F1011" s="66" t="str">
        <x:v>SISTEM INFORMASI</x:v>
      </x:c>
      <x:c r="G1011" s="66" t="str">
        <x:v>Sarjana</x:v>
      </x:c>
      <x:c r="H1011" s="87" t="n">
        <x:v>54</x:v>
      </x:c>
      <x:c r="I1011" s="87" t="n">
        <x:v>53</x:v>
      </x:c>
      <x:c r="J1011" s="68" t="n">
        <x:f>IFERROR(H1011/I1011,"")</x:f>
        <x:v>1.0188679245283019</x:v>
      </x:c>
      <x:c r="K1011" s="69" t="n">
        <x:f>IFERROR(I1011/H1011,"")</x:f>
        <x:v>0.9814814814814815</x:v>
      </x:c>
      <x:c r="L1011" s="66" t="str">
        <x:f>IF(K1011="","","1 : "&amp;TEXT(K1011,"0.0"))</x:f>
        <x:v>1 : 1.0</x:v>
      </x:c>
      <x:c r="M1011" s="66" t="str">
        <x:f>IF(J1011="","Baru/Tanpa Data",IF(J1011&lt;='Catatan &amp; Sumber'!$B$14,"Sangat Ketat",IF(J1011&lt;='Catatan &amp; Sumber'!$B$15,"Ketat",IF(J1011&lt;='Catatan &amp; Sumber'!$B$16,"Sedang","Relatif Longgar"))))</x:f>
        <x:v>Relatif Longgar</x:v>
      </x:c>
      <x:c r="N1011" s="66" t="str">
        <x:v>Tidak Ada</x:v>
      </x:c>
      <x:c r="O1011" s="66" t="str">
        <x:v>Sumatera Barat</x:v>
      </x:c>
      <x:c r="P1011" s="66" t="str">
        <x:v>Kabupaten Tanah Datar</x:v>
      </x:c>
      <x:c r="Q1011" s="66" t="str">
        <x:v>https://snpmb.id/snbp/daya-tampung-snbp</x:v>
      </x:c>
      <x:c r="R1011" s="66" t="str">
        <x:v>https://sidatagrun-public-1076756628210.asia-southeast2.run.app/ptn_sn.php?ptn=194</x:v>
      </x:c>
    </x:row>
    <x:row r="1012">
      <x:c r="A1012" s="87" t="n">
        <x:v>4693</x:v>
      </x:c>
      <x:c r="B1012" s="87" t="n">
        <x:v>195</x:v>
      </x:c>
      <x:c r="C1012" s="66" t="str">
        <x:v>UIN SJECH M. DJAMIL DJAMBEK BUKITTINGGI</x:v>
      </x:c>
      <x:c r="D1012" s="66" t="str">
        <x:v>PTKIN</x:v>
      </x:c>
      <x:c r="E1012" s="66" t="str">
        <x:v>11951001</x:v>
      </x:c>
      <x:c r="F1012" s="66" t="str">
        <x:v>STATISTIKA</x:v>
      </x:c>
      <x:c r="G1012" s="66" t="str">
        <x:v>Sarjana</x:v>
      </x:c>
      <x:c r="H1012" s="87" t="n">
        <x:v>24</x:v>
      </x:c>
      <x:c r="I1012" s="87" t="n">
        <x:v>11</x:v>
      </x:c>
      <x:c r="J1012" s="68" t="n">
        <x:f>IFERROR(H1012/I1012,"")</x:f>
        <x:v>2.1818181818181817</x:v>
      </x:c>
      <x:c r="K1012" s="69" t="n">
        <x:f>IFERROR(I1012/H1012,"")</x:f>
        <x:v>0.4583333333333333</x:v>
      </x:c>
      <x:c r="L1012" s="66" t="str">
        <x:f>IF(K1012="","","1 : "&amp;TEXT(K1012,"0.0"))</x:f>
        <x:v>1 : 0.5</x:v>
      </x:c>
      <x:c r="M1012" s="66" t="str">
        <x:f>IF(J1012="","Baru/Tanpa Data",IF(J1012&lt;='Catatan &amp; Sumber'!$B$14,"Sangat Ketat",IF(J1012&lt;='Catatan &amp; Sumber'!$B$15,"Ketat",IF(J1012&lt;='Catatan &amp; Sumber'!$B$16,"Sedang","Relatif Longgar"))))</x:f>
        <x:v>Relatif Longgar</x:v>
      </x:c>
      <x:c r="N1012" s="66" t="str">
        <x:v>Tidak Ada</x:v>
      </x:c>
      <x:c r="O1012" s="66" t="str">
        <x:v>Sumatera Barat</x:v>
      </x:c>
      <x:c r="P1012" s="66" t="str">
        <x:v>Kota Bukittinggi</x:v>
      </x:c>
      <x:c r="Q1012" s="66" t="str">
        <x:v>https://snpmb.id/snbp/daya-tampung-snbp</x:v>
      </x:c>
      <x:c r="R1012" s="66" t="str">
        <x:v>https://sidatagrun-public-1076756628210.asia-southeast2.run.app/ptn_sn.php?ptn=195</x:v>
      </x:c>
    </x:row>
    <x:row r="1013">
      <x:c r="A1013" s="87" t="n">
        <x:v>3418</x:v>
      </x:c>
      <x:c r="B1013" s="87" t="n">
        <x:v>195</x:v>
      </x:c>
      <x:c r="C1013" s="66" t="str">
        <x:v>UIN SJECH M. DJAMIL DJAMBEK BUKITTINGGI</x:v>
      </x:c>
      <x:c r="D1013" s="66" t="str">
        <x:v>PTKIN</x:v>
      </x:c>
      <x:c r="E1013" s="66" t="str">
        <x:v>11951002</x:v>
      </x:c>
      <x:c r="F1013" s="66" t="str">
        <x:v>BISNIS DIGITAL</x:v>
      </x:c>
      <x:c r="G1013" s="66" t="str">
        <x:v>Sarjana</x:v>
      </x:c>
      <x:c r="H1013" s="87" t="n">
        <x:v>24</x:v>
      </x:c>
      <x:c r="I1013" s="87" t="n">
        <x:v>59</x:v>
      </x:c>
      <x:c r="J1013" s="68" t="n">
        <x:f>IFERROR(H1013/I1013,"")</x:f>
        <x:v>0.4067796610169492</x:v>
      </x:c>
      <x:c r="K1013" s="69" t="n">
        <x:f>IFERROR(I1013/H1013,"")</x:f>
        <x:v>2.4583333333333335</x:v>
      </x:c>
      <x:c r="L1013" s="66" t="str">
        <x:f>IF(K1013="","","1 : "&amp;TEXT(K1013,"0.0"))</x:f>
        <x:v>1 : 2.5</x:v>
      </x:c>
      <x:c r="M1013" s="66" t="str">
        <x:f>IF(J1013="","Baru/Tanpa Data",IF(J1013&lt;='Catatan &amp; Sumber'!$B$14,"Sangat Ketat",IF(J1013&lt;='Catatan &amp; Sumber'!$B$15,"Ketat",IF(J1013&lt;='Catatan &amp; Sumber'!$B$16,"Sedang","Relatif Longgar"))))</x:f>
        <x:v>Relatif Longgar</x:v>
      </x:c>
      <x:c r="N1013" s="66" t="str">
        <x:v>Tidak Ada</x:v>
      </x:c>
      <x:c r="O1013" s="66" t="str">
        <x:v>Sumatera Barat</x:v>
      </x:c>
      <x:c r="P1013" s="66" t="str">
        <x:v>Kota Bukittinggi</x:v>
      </x:c>
      <x:c r="Q1013" s="66" t="str">
        <x:v>https://snpmb.id/snbp/daya-tampung-snbp</x:v>
      </x:c>
      <x:c r="R1013" s="66" t="str">
        <x:v>https://sidatagrun-public-1076756628210.asia-southeast2.run.app/ptn_sn.php?ptn=195</x:v>
      </x:c>
    </x:row>
    <x:row r="1014">
      <x:c r="A1014" s="87" t="n">
        <x:v>4529</x:v>
      </x:c>
      <x:c r="B1014" s="87" t="n">
        <x:v>195</x:v>
      </x:c>
      <x:c r="C1014" s="66" t="str">
        <x:v>UIN SJECH M. DJAMIL DJAMBEK BUKITTINGGI</x:v>
      </x:c>
      <x:c r="D1014" s="66" t="str">
        <x:v>PTKIN</x:v>
      </x:c>
      <x:c r="E1014" s="66" t="str">
        <x:v>11951003</x:v>
      </x:c>
      <x:c r="F1014" s="66" t="str">
        <x:v>MATEMATIKA</x:v>
      </x:c>
      <x:c r="G1014" s="66" t="str">
        <x:v>Sarjana</x:v>
      </x:c>
      <x:c r="H1014" s="87" t="n">
        <x:v>24</x:v>
      </x:c>
      <x:c r="I1014" s="87" t="n">
        <x:v>17</x:v>
      </x:c>
      <x:c r="J1014" s="68" t="n">
        <x:f>IFERROR(H1014/I1014,"")</x:f>
        <x:v>1.411764705882353</x:v>
      </x:c>
      <x:c r="K1014" s="69" t="n">
        <x:f>IFERROR(I1014/H1014,"")</x:f>
        <x:v>0.7083333333333334</x:v>
      </x:c>
      <x:c r="L1014" s="66" t="str">
        <x:f>IF(K1014="","","1 : "&amp;TEXT(K1014,"0.0"))</x:f>
        <x:v>1 : 0.7</x:v>
      </x:c>
      <x:c r="M1014" s="66" t="str">
        <x:f>IF(J1014="","Baru/Tanpa Data",IF(J1014&lt;='Catatan &amp; Sumber'!$B$14,"Sangat Ketat",IF(J1014&lt;='Catatan &amp; Sumber'!$B$15,"Ketat",IF(J1014&lt;='Catatan &amp; Sumber'!$B$16,"Sedang","Relatif Longgar"))))</x:f>
        <x:v>Relatif Longgar</x:v>
      </x:c>
      <x:c r="N1014" s="66" t="str">
        <x:v>Tidak Ada</x:v>
      </x:c>
      <x:c r="O1014" s="66" t="str">
        <x:v>Sumatera Barat</x:v>
      </x:c>
      <x:c r="P1014" s="66" t="str">
        <x:v>Kota Bukittinggi</x:v>
      </x:c>
      <x:c r="Q1014" s="66" t="str">
        <x:v>https://snpmb.id/snbp/daya-tampung-snbp</x:v>
      </x:c>
      <x:c r="R1014" s="66" t="str">
        <x:v>https://sidatagrun-public-1076756628210.asia-southeast2.run.app/ptn_sn.php?ptn=195</x:v>
      </x:c>
    </x:row>
    <x:row r="1015">
      <x:c r="A1015" s="87" t="n">
        <x:v>3573</x:v>
      </x:c>
      <x:c r="B1015" s="87" t="n">
        <x:v>195</x:v>
      </x:c>
      <x:c r="C1015" s="66" t="str">
        <x:v>UIN SJECH M. DJAMIL DJAMBEK BUKITTINGGI</x:v>
      </x:c>
      <x:c r="D1015" s="66" t="str">
        <x:v>PTKIN</x:v>
      </x:c>
      <x:c r="E1015" s="66" t="str">
        <x:v>11951004</x:v>
      </x:c>
      <x:c r="F1015" s="66" t="str">
        <x:v>INFORMATIKA</x:v>
      </x:c>
      <x:c r="G1015" s="66" t="str">
        <x:v>Sarjana</x:v>
      </x:c>
      <x:c r="H1015" s="87" t="n">
        <x:v>36</x:v>
      </x:c>
      <x:c r="I1015" s="87" t="n">
        <x:v>78</x:v>
      </x:c>
      <x:c r="J1015" s="68" t="n">
        <x:f>IFERROR(H1015/I1015,"")</x:f>
        <x:v>0.46153846153846156</x:v>
      </x:c>
      <x:c r="K1015" s="69" t="n">
        <x:f>IFERROR(I1015/H1015,"")</x:f>
        <x:v>2.1666666666666665</x:v>
      </x:c>
      <x:c r="L1015" s="66" t="str">
        <x:f>IF(K1015="","","1 : "&amp;TEXT(K1015,"0.0"))</x:f>
        <x:v>1 : 2.2</x:v>
      </x:c>
      <x:c r="M1015" s="66" t="str">
        <x:f>IF(J1015="","Baru/Tanpa Data",IF(J1015&lt;='Catatan &amp; Sumber'!$B$14,"Sangat Ketat",IF(J1015&lt;='Catatan &amp; Sumber'!$B$15,"Ketat",IF(J1015&lt;='Catatan &amp; Sumber'!$B$16,"Sedang","Relatif Longgar"))))</x:f>
        <x:v>Relatif Longgar</x:v>
      </x:c>
      <x:c r="N1015" s="66" t="str">
        <x:v>Tidak Ada</x:v>
      </x:c>
      <x:c r="O1015" s="66" t="str">
        <x:v>Sumatera Barat</x:v>
      </x:c>
      <x:c r="P1015" s="66" t="str">
        <x:v>Kota Bukittinggi</x:v>
      </x:c>
      <x:c r="Q1015" s="66" t="str">
        <x:v>https://snpmb.id/snbp/daya-tampung-snbp</x:v>
      </x:c>
      <x:c r="R1015" s="66" t="str">
        <x:v>https://sidatagrun-public-1076756628210.asia-southeast2.run.app/ptn_sn.php?ptn=195</x:v>
      </x:c>
    </x:row>
    <x:row r="1016">
      <x:c r="A1016" s="87" t="n">
        <x:v>4361</x:v>
      </x:c>
      <x:c r="B1016" s="87" t="n">
        <x:v>221</x:v>
      </x:c>
      <x:c r="C1016" s="66" t="str">
        <x:v>POLITEKNIK NEGERI LHOKSEUMAWE</x:v>
      </x:c>
      <x:c r="D1016" s="66" t="str">
        <x:v>PTN Vokasi</x:v>
      </x:c>
      <x:c r="E1016" s="66" t="str">
        <x:v>22212001</x:v>
      </x:c>
      <x:c r="F1016" s="66" t="str">
        <x:v>TEKNOLOGI REKAYASA KONSTRUKSI JALAN DAN JEMBATAN</x:v>
      </x:c>
      <x:c r="G1016" s="66" t="str">
        <x:v>Sarjana Terapan</x:v>
      </x:c>
      <x:c r="H1016" s="87" t="n">
        <x:v>56</x:v>
      </x:c>
      <x:c r="I1016" s="87" t="n">
        <x:v>53</x:v>
      </x:c>
      <x:c r="J1016" s="68" t="n">
        <x:f>IFERROR(H1016/I1016,"")</x:f>
        <x:v>1.0566037735849056</x:v>
      </x:c>
      <x:c r="K1016" s="69" t="n">
        <x:f>IFERROR(I1016/H1016,"")</x:f>
        <x:v>0.9464285714285714</x:v>
      </x:c>
      <x:c r="L1016" s="66" t="str">
        <x:f>IF(K1016="","","1 : "&amp;TEXT(K1016,"0.0"))</x:f>
        <x:v>1 : 0.9</x:v>
      </x:c>
      <x:c r="M1016" s="66" t="str">
        <x:f>IF(J1016="","Baru/Tanpa Data",IF(J1016&lt;='Catatan &amp; Sumber'!$B$14,"Sangat Ketat",IF(J1016&lt;='Catatan &amp; Sumber'!$B$15,"Ketat",IF(J1016&lt;='Catatan &amp; Sumber'!$B$16,"Sedang","Relatif Longgar"))))</x:f>
        <x:v>Relatif Longgar</x:v>
      </x:c>
      <x:c r="N1016" s="66" t="str">
        <x:v>Tidak Ada</x:v>
      </x:c>
      <x:c r="O1016" s="66" t="str">
        <x:v>Aceh</x:v>
      </x:c>
      <x:c r="P1016" s="66" t="str">
        <x:v>Kota Lhokseumawe</x:v>
      </x:c>
      <x:c r="Q1016" s="66" t="str">
        <x:v>https://snpmb.id/snbp/daya-tampung-snbp</x:v>
      </x:c>
      <x:c r="R1016" s="66" t="str">
        <x:v>https://sidatagrun-public-1076756628210.asia-southeast2.run.app/ptn_sn.php?ptn=221</x:v>
      </x:c>
    </x:row>
    <x:row r="1017">
      <x:c r="A1017" s="87" t="n">
        <x:v>3979</x:v>
      </x:c>
      <x:c r="B1017" s="87" t="n">
        <x:v>221</x:v>
      </x:c>
      <x:c r="C1017" s="66" t="str">
        <x:v>POLITEKNIK NEGERI LHOKSEUMAWE</x:v>
      </x:c>
      <x:c r="D1017" s="66" t="str">
        <x:v>PTN Vokasi</x:v>
      </x:c>
      <x:c r="E1017" s="66" t="str">
        <x:v>22212002</x:v>
      </x:c>
      <x:c r="F1017" s="66" t="str">
        <x:v>TEKNOLOGI REKAYASA KIMIA INDUSTRI</x:v>
      </x:c>
      <x:c r="G1017" s="66" t="str">
        <x:v>Sarjana Terapan</x:v>
      </x:c>
      <x:c r="H1017" s="87" t="n">
        <x:v>60</x:v>
      </x:c>
      <x:c r="I1017" s="87" t="n">
        <x:v>89</x:v>
      </x:c>
      <x:c r="J1017" s="68" t="n">
        <x:f>IFERROR(H1017/I1017,"")</x:f>
        <x:v>0.6741573033707865</x:v>
      </x:c>
      <x:c r="K1017" s="69" t="n">
        <x:f>IFERROR(I1017/H1017,"")</x:f>
        <x:v>1.4833333333333334</x:v>
      </x:c>
      <x:c r="L1017" s="66" t="str">
        <x:f>IF(K1017="","","1 : "&amp;TEXT(K1017,"0.0"))</x:f>
        <x:v>1 : 1.5</x:v>
      </x:c>
      <x:c r="M1017" s="66" t="str">
        <x:f>IF(J1017="","Baru/Tanpa Data",IF(J1017&lt;='Catatan &amp; Sumber'!$B$14,"Sangat Ketat",IF(J1017&lt;='Catatan &amp; Sumber'!$B$15,"Ketat",IF(J1017&lt;='Catatan &amp; Sumber'!$B$16,"Sedang","Relatif Longgar"))))</x:f>
        <x:v>Relatif Longgar</x:v>
      </x:c>
      <x:c r="N1017" s="66" t="str">
        <x:v>Tidak Ada</x:v>
      </x:c>
      <x:c r="O1017" s="66" t="str">
        <x:v>Aceh</x:v>
      </x:c>
      <x:c r="P1017" s="66" t="str">
        <x:v>Kota Lhokseumawe</x:v>
      </x:c>
      <x:c r="Q1017" s="66" t="str">
        <x:v>https://snpmb.id/snbp/daya-tampung-snbp</x:v>
      </x:c>
      <x:c r="R1017" s="66" t="str">
        <x:v>https://sidatagrun-public-1076756628210.asia-southeast2.run.app/ptn_sn.php?ptn=221</x:v>
      </x:c>
    </x:row>
    <x:row r="1018">
      <x:c r="A1018" s="87" t="n">
        <x:v>4275</x:v>
      </x:c>
      <x:c r="B1018" s="87" t="n">
        <x:v>221</x:v>
      </x:c>
      <x:c r="C1018" s="66" t="str">
        <x:v>POLITEKNIK NEGERI LHOKSEUMAWE</x:v>
      </x:c>
      <x:c r="D1018" s="66" t="str">
        <x:v>PTN Vokasi</x:v>
      </x:c>
      <x:c r="E1018" s="66" t="str">
        <x:v>22212003</x:v>
      </x:c>
      <x:c r="F1018" s="66" t="str">
        <x:v>TEKNOLOGI REKAYASA MANUFAKTUR</x:v>
      </x:c>
      <x:c r="G1018" s="66" t="str">
        <x:v>Sarjana Terapan</x:v>
      </x:c>
      <x:c r="H1018" s="87" t="n">
        <x:v>30</x:v>
      </x:c>
      <x:c r="I1018" s="87" t="n">
        <x:v>32</x:v>
      </x:c>
      <x:c r="J1018" s="68" t="n">
        <x:f>IFERROR(H1018/I1018,"")</x:f>
        <x:v>0.9375</x:v>
      </x:c>
      <x:c r="K1018" s="69" t="n">
        <x:f>IFERROR(I1018/H1018,"")</x:f>
        <x:v>1.0666666666666667</x:v>
      </x:c>
      <x:c r="L1018" s="66" t="str">
        <x:f>IF(K1018="","","1 : "&amp;TEXT(K1018,"0.0"))</x:f>
        <x:v>1 : 1.1</x:v>
      </x:c>
      <x:c r="M1018" s="66" t="str">
        <x:f>IF(J1018="","Baru/Tanpa Data",IF(J1018&lt;='Catatan &amp; Sumber'!$B$14,"Sangat Ketat",IF(J1018&lt;='Catatan &amp; Sumber'!$B$15,"Ketat",IF(J1018&lt;='Catatan &amp; Sumber'!$B$16,"Sedang","Relatif Longgar"))))</x:f>
        <x:v>Relatif Longgar</x:v>
      </x:c>
      <x:c r="N1018" s="66" t="str">
        <x:v>Tidak Ada</x:v>
      </x:c>
      <x:c r="O1018" s="66" t="str">
        <x:v>Aceh</x:v>
      </x:c>
      <x:c r="P1018" s="66" t="str">
        <x:v>Kota Lhokseumawe</x:v>
      </x:c>
      <x:c r="Q1018" s="66" t="str">
        <x:v>https://snpmb.id/snbp/daya-tampung-snbp</x:v>
      </x:c>
      <x:c r="R1018" s="66" t="str">
        <x:v>https://sidatagrun-public-1076756628210.asia-southeast2.run.app/ptn_sn.php?ptn=221</x:v>
      </x:c>
    </x:row>
    <x:row r="1019">
      <x:c r="A1019" s="87" t="n">
        <x:v>4300</x:v>
      </x:c>
      <x:c r="B1019" s="87" t="n">
        <x:v>221</x:v>
      </x:c>
      <x:c r="C1019" s="66" t="str">
        <x:v>POLITEKNIK NEGERI LHOKSEUMAWE</x:v>
      </x:c>
      <x:c r="D1019" s="66" t="str">
        <x:v>PTN Vokasi</x:v>
      </x:c>
      <x:c r="E1019" s="66" t="str">
        <x:v>22212004</x:v>
      </x:c>
      <x:c r="F1019" s="66" t="str">
        <x:v>TEKNOLOGI REKAYASA JARINGAN TELEKOMUNIKASI</x:v>
      </x:c>
      <x:c r="G1019" s="66" t="str">
        <x:v>Sarjana Terapan</x:v>
      </x:c>
      <x:c r="H1019" s="87" t="n">
        <x:v>28</x:v>
      </x:c>
      <x:c r="I1019" s="87" t="n">
        <x:v>29</x:v>
      </x:c>
      <x:c r="J1019" s="68" t="n">
        <x:f>IFERROR(H1019/I1019,"")</x:f>
        <x:v>0.9655172413793104</x:v>
      </x:c>
      <x:c r="K1019" s="69" t="n">
        <x:f>IFERROR(I1019/H1019,"")</x:f>
        <x:v>1.0357142857142858</x:v>
      </x:c>
      <x:c r="L1019" s="66" t="str">
        <x:f>IF(K1019="","","1 : "&amp;TEXT(K1019,"0.0"))</x:f>
        <x:v>1 : 1.0</x:v>
      </x:c>
      <x:c r="M1019" s="66" t="str">
        <x:f>IF(J1019="","Baru/Tanpa Data",IF(J1019&lt;='Catatan &amp; Sumber'!$B$14,"Sangat Ketat",IF(J1019&lt;='Catatan &amp; Sumber'!$B$15,"Ketat",IF(J1019&lt;='Catatan &amp; Sumber'!$B$16,"Sedang","Relatif Longgar"))))</x:f>
        <x:v>Relatif Longgar</x:v>
      </x:c>
      <x:c r="N1019" s="66" t="str">
        <x:v>Tidak Ada</x:v>
      </x:c>
      <x:c r="O1019" s="66" t="str">
        <x:v>Aceh</x:v>
      </x:c>
      <x:c r="P1019" s="66" t="str">
        <x:v>Kota Lhokseumawe</x:v>
      </x:c>
      <x:c r="Q1019" s="66" t="str">
        <x:v>https://snpmb.id/snbp/daya-tampung-snbp</x:v>
      </x:c>
      <x:c r="R1019" s="66" t="str">
        <x:v>https://sidatagrun-public-1076756628210.asia-southeast2.run.app/ptn_sn.php?ptn=221</x:v>
      </x:c>
    </x:row>
    <x:row r="1020">
      <x:c r="A1020" s="87" t="n">
        <x:v>3625</x:v>
      </x:c>
      <x:c r="B1020" s="87" t="n">
        <x:v>221</x:v>
      </x:c>
      <x:c r="C1020" s="66" t="str">
        <x:v>POLITEKNIK NEGERI LHOKSEUMAWE</x:v>
      </x:c>
      <x:c r="D1020" s="66" t="str">
        <x:v>PTN Vokasi</x:v>
      </x:c>
      <x:c r="E1020" s="66" t="str">
        <x:v>22212005</x:v>
      </x:c>
      <x:c r="F1020" s="66" t="str">
        <x:v>TEKNOLOGI REKAYASA PEMBANGKIT ENERGI</x:v>
      </x:c>
      <x:c r="G1020" s="66" t="str">
        <x:v>Sarjana Terapan</x:v>
      </x:c>
      <x:c r="H1020" s="87" t="n">
        <x:v>24</x:v>
      </x:c>
      <x:c r="I1020" s="87" t="n">
        <x:v>50</x:v>
      </x:c>
      <x:c r="J1020" s="68" t="n">
        <x:f>IFERROR(H1020/I1020,"")</x:f>
        <x:v>0.48</x:v>
      </x:c>
      <x:c r="K1020" s="69" t="n">
        <x:f>IFERROR(I1020/H1020,"")</x:f>
        <x:v>2.0833333333333335</x:v>
      </x:c>
      <x:c r="L1020" s="66" t="str">
        <x:f>IF(K1020="","","1 : "&amp;TEXT(K1020,"0.0"))</x:f>
        <x:v>1 : 2.1</x:v>
      </x:c>
      <x:c r="M1020" s="66" t="str">
        <x:f>IF(J1020="","Baru/Tanpa Data",IF(J1020&lt;='Catatan &amp; Sumber'!$B$14,"Sangat Ketat",IF(J1020&lt;='Catatan &amp; Sumber'!$B$15,"Ketat",IF(J1020&lt;='Catatan &amp; Sumber'!$B$16,"Sedang","Relatif Longgar"))))</x:f>
        <x:v>Relatif Longgar</x:v>
      </x:c>
      <x:c r="N1020" s="66" t="str">
        <x:v>Tidak Ada</x:v>
      </x:c>
      <x:c r="O1020" s="66" t="str">
        <x:v>Aceh</x:v>
      </x:c>
      <x:c r="P1020" s="66" t="str">
        <x:v>Kota Lhokseumawe</x:v>
      </x:c>
      <x:c r="Q1020" s="66" t="str">
        <x:v>https://snpmb.id/snbp/daya-tampung-snbp</x:v>
      </x:c>
      <x:c r="R1020" s="66" t="str">
        <x:v>https://sidatagrun-public-1076756628210.asia-southeast2.run.app/ptn_sn.php?ptn=221</x:v>
      </x:c>
    </x:row>
    <x:row r="1021">
      <x:c r="A1021" s="87" t="n">
        <x:v>3759</x:v>
      </x:c>
      <x:c r="B1021" s="87" t="n">
        <x:v>221</x:v>
      </x:c>
      <x:c r="C1021" s="66" t="str">
        <x:v>POLITEKNIK NEGERI LHOKSEUMAWE</x:v>
      </x:c>
      <x:c r="D1021" s="66" t="str">
        <x:v>PTN Vokasi</x:v>
      </x:c>
      <x:c r="E1021" s="66" t="str">
        <x:v>22212006</x:v>
      </x:c>
      <x:c r="F1021" s="66" t="str">
        <x:v>TEKNOLOGI REKAYASA INSTRUMENTASI DAN KONTROL</x:v>
      </x:c>
      <x:c r="G1021" s="66" t="str">
        <x:v>Sarjana Terapan</x:v>
      </x:c>
      <x:c r="H1021" s="87" t="n">
        <x:v>28</x:v>
      </x:c>
      <x:c r="I1021" s="87" t="n">
        <x:v>51</x:v>
      </x:c>
      <x:c r="J1021" s="68" t="n">
        <x:f>IFERROR(H1021/I1021,"")</x:f>
        <x:v>0.5490196078431373</x:v>
      </x:c>
      <x:c r="K1021" s="69" t="n">
        <x:f>IFERROR(I1021/H1021,"")</x:f>
        <x:v>1.8214285714285714</x:v>
      </x:c>
      <x:c r="L1021" s="66" t="str">
        <x:f>IF(K1021="","","1 : "&amp;TEXT(K1021,"0.0"))</x:f>
        <x:v>1 : 1.8</x:v>
      </x:c>
      <x:c r="M1021" s="66" t="str">
        <x:f>IF(J1021="","Baru/Tanpa Data",IF(J1021&lt;='Catatan &amp; Sumber'!$B$14,"Sangat Ketat",IF(J1021&lt;='Catatan &amp; Sumber'!$B$15,"Ketat",IF(J1021&lt;='Catatan &amp; Sumber'!$B$16,"Sedang","Relatif Longgar"))))</x:f>
        <x:v>Relatif Longgar</x:v>
      </x:c>
      <x:c r="N1021" s="66" t="str">
        <x:v>Tidak Ada</x:v>
      </x:c>
      <x:c r="O1021" s="66" t="str">
        <x:v>Aceh</x:v>
      </x:c>
      <x:c r="P1021" s="66" t="str">
        <x:v>Kota Lhokseumawe</x:v>
      </x:c>
      <x:c r="Q1021" s="66" t="str">
        <x:v>https://snpmb.id/snbp/daya-tampung-snbp</x:v>
      </x:c>
      <x:c r="R1021" s="66" t="str">
        <x:v>https://sidatagrun-public-1076756628210.asia-southeast2.run.app/ptn_sn.php?ptn=221</x:v>
      </x:c>
    </x:row>
    <x:row r="1022">
      <x:c r="A1022" s="87" t="n">
        <x:v>2850</x:v>
      </x:c>
      <x:c r="B1022" s="87" t="n">
        <x:v>221</x:v>
      </x:c>
      <x:c r="C1022" s="66" t="str">
        <x:v>POLITEKNIK NEGERI LHOKSEUMAWE</x:v>
      </x:c>
      <x:c r="D1022" s="66" t="str">
        <x:v>PTN Vokasi</x:v>
      </x:c>
      <x:c r="E1022" s="66" t="str">
        <x:v>22212007</x:v>
      </x:c>
      <x:c r="F1022" s="66" t="str">
        <x:v>TEKNIK INFORMATIKA</x:v>
      </x:c>
      <x:c r="G1022" s="66" t="str">
        <x:v>Sarjana Terapan</x:v>
      </x:c>
      <x:c r="H1022" s="87" t="n">
        <x:v>75</x:v>
      </x:c>
      <x:c r="I1022" s="87" t="n">
        <x:v>281</x:v>
      </x:c>
      <x:c r="J1022" s="68" t="n">
        <x:f>IFERROR(H1022/I1022,"")</x:f>
        <x:v>0.2669039145907473</x:v>
      </x:c>
      <x:c r="K1022" s="69" t="n">
        <x:f>IFERROR(I1022/H1022,"")</x:f>
        <x:v>3.7466666666666666</x:v>
      </x:c>
      <x:c r="L1022" s="66" t="str">
        <x:f>IF(K1022="","","1 : "&amp;TEXT(K1022,"0.0"))</x:f>
        <x:v>1 : 3.7</x:v>
      </x:c>
      <x:c r="M1022" s="66" t="str">
        <x:f>IF(J1022="","Baru/Tanpa Data",IF(J1022&lt;='Catatan &amp; Sumber'!$B$14,"Sangat Ketat",IF(J1022&lt;='Catatan &amp; Sumber'!$B$15,"Ketat",IF(J1022&lt;='Catatan &amp; Sumber'!$B$16,"Sedang","Relatif Longgar"))))</x:f>
        <x:v>Relatif Longgar</x:v>
      </x:c>
      <x:c r="N1022" s="66" t="str">
        <x:v>Tidak Ada</x:v>
      </x:c>
      <x:c r="O1022" s="66" t="str">
        <x:v>Aceh</x:v>
      </x:c>
      <x:c r="P1022" s="66" t="str">
        <x:v>Kota Lhokseumawe</x:v>
      </x:c>
      <x:c r="Q1022" s="66" t="str">
        <x:v>https://snpmb.id/snbp/daya-tampung-snbp</x:v>
      </x:c>
      <x:c r="R1022" s="66" t="str">
        <x:v>https://sidatagrun-public-1076756628210.asia-southeast2.run.app/ptn_sn.php?ptn=221</x:v>
      </x:c>
    </x:row>
    <x:row r="1023">
      <x:c r="A1023" s="87" t="n">
        <x:v>4058</x:v>
      </x:c>
      <x:c r="B1023" s="87" t="n">
        <x:v>221</x:v>
      </x:c>
      <x:c r="C1023" s="66" t="str">
        <x:v>POLITEKNIK NEGERI LHOKSEUMAWE</x:v>
      </x:c>
      <x:c r="D1023" s="66" t="str">
        <x:v>PTN Vokasi</x:v>
      </x:c>
      <x:c r="E1023" s="66" t="str">
        <x:v>22212008</x:v>
      </x:c>
      <x:c r="F1023" s="66" t="str">
        <x:v>TEKNOLOGI REKAYASA KOMPUTER JARINGAN</x:v>
      </x:c>
      <x:c r="G1023" s="66" t="str">
        <x:v>Sarjana Terapan</x:v>
      </x:c>
      <x:c r="H1023" s="87" t="n">
        <x:v>60</x:v>
      </x:c>
      <x:c r="I1023" s="87" t="n">
        <x:v>83</x:v>
      </x:c>
      <x:c r="J1023" s="68" t="n">
        <x:f>IFERROR(H1023/I1023,"")</x:f>
        <x:v>0.7228915662650602</x:v>
      </x:c>
      <x:c r="K1023" s="69" t="n">
        <x:f>IFERROR(I1023/H1023,"")</x:f>
        <x:v>1.3833333333333333</x:v>
      </x:c>
      <x:c r="L1023" s="66" t="str">
        <x:f>IF(K1023="","","1 : "&amp;TEXT(K1023,"0.0"))</x:f>
        <x:v>1 : 1.4</x:v>
      </x:c>
      <x:c r="M1023" s="66" t="str">
        <x:f>IF(J1023="","Baru/Tanpa Data",IF(J1023&lt;='Catatan &amp; Sumber'!$B$14,"Sangat Ketat",IF(J1023&lt;='Catatan &amp; Sumber'!$B$15,"Ketat",IF(J1023&lt;='Catatan &amp; Sumber'!$B$16,"Sedang","Relatif Longgar"))))</x:f>
        <x:v>Relatif Longgar</x:v>
      </x:c>
      <x:c r="N1023" s="66" t="str">
        <x:v>Tidak Ada</x:v>
      </x:c>
      <x:c r="O1023" s="66" t="str">
        <x:v>Aceh</x:v>
      </x:c>
      <x:c r="P1023" s="66" t="str">
        <x:v>Kota Lhokseumawe</x:v>
      </x:c>
      <x:c r="Q1023" s="66" t="str">
        <x:v>https://snpmb.id/snbp/daya-tampung-snbp</x:v>
      </x:c>
      <x:c r="R1023" s="66" t="str">
        <x:v>https://sidatagrun-public-1076756628210.asia-southeast2.run.app/ptn_sn.php?ptn=221</x:v>
      </x:c>
    </x:row>
    <x:row r="1024">
      <x:c r="A1024" s="87" t="n">
        <x:v>3932</x:v>
      </x:c>
      <x:c r="B1024" s="87" t="n">
        <x:v>221</x:v>
      </x:c>
      <x:c r="C1024" s="66" t="str">
        <x:v>POLITEKNIK NEGERI LHOKSEUMAWE</x:v>
      </x:c>
      <x:c r="D1024" s="66" t="str">
        <x:v>PTN Vokasi</x:v>
      </x:c>
      <x:c r="E1024" s="66" t="str">
        <x:v>22212009</x:v>
      </x:c>
      <x:c r="F1024" s="66" t="str">
        <x:v>TEKNOLOGI REKAYASA MULTIMEDIA</x:v>
      </x:c>
      <x:c r="G1024" s="66" t="str">
        <x:v>Sarjana Terapan</x:v>
      </x:c>
      <x:c r="H1024" s="87" t="n">
        <x:v>45</x:v>
      </x:c>
      <x:c r="I1024" s="87" t="n">
        <x:v>70</x:v>
      </x:c>
      <x:c r="J1024" s="68" t="n">
        <x:f>IFERROR(H1024/I1024,"")</x:f>
        <x:v>0.6428571428571429</x:v>
      </x:c>
      <x:c r="K1024" s="69" t="n">
        <x:f>IFERROR(I1024/H1024,"")</x:f>
        <x:v>1.5555555555555556</x:v>
      </x:c>
      <x:c r="L1024" s="66" t="str">
        <x:f>IF(K1024="","","1 : "&amp;TEXT(K1024,"0.0"))</x:f>
        <x:v>1 : 1.6</x:v>
      </x:c>
      <x:c r="M1024" s="66" t="str">
        <x:f>IF(J1024="","Baru/Tanpa Data",IF(J1024&lt;='Catatan &amp; Sumber'!$B$14,"Sangat Ketat",IF(J1024&lt;='Catatan &amp; Sumber'!$B$15,"Ketat",IF(J1024&lt;='Catatan &amp; Sumber'!$B$16,"Sedang","Relatif Longgar"))))</x:f>
        <x:v>Relatif Longgar</x:v>
      </x:c>
      <x:c r="N1024" s="66" t="str">
        <x:v>Tidak Ada</x:v>
      </x:c>
      <x:c r="O1024" s="66" t="str">
        <x:v>Aceh</x:v>
      </x:c>
      <x:c r="P1024" s="66" t="str">
        <x:v>Kota Lhokseumawe</x:v>
      </x:c>
      <x:c r="Q1024" s="66" t="str">
        <x:v>https://snpmb.id/snbp/daya-tampung-snbp</x:v>
      </x:c>
      <x:c r="R1024" s="66" t="str">
        <x:v>https://sidatagrun-public-1076756628210.asia-southeast2.run.app/ptn_sn.php?ptn=221</x:v>
      </x:c>
    </x:row>
    <x:row r="1025">
      <x:c r="A1025" s="87" t="n">
        <x:v>3879</x:v>
      </x:c>
      <x:c r="B1025" s="87" t="n">
        <x:v>221</x:v>
      </x:c>
      <x:c r="C1025" s="66" t="str">
        <x:v>POLITEKNIK NEGERI LHOKSEUMAWE</x:v>
      </x:c>
      <x:c r="D1025" s="66" t="str">
        <x:v>PTN Vokasi</x:v>
      </x:c>
      <x:c r="E1025" s="66" t="str">
        <x:v>22212010</x:v>
      </x:c>
      <x:c r="F1025" s="66" t="str">
        <x:v>TEKNOLOGI REKAYASA PENGELASAN DAN FABRIKASI</x:v>
      </x:c>
      <x:c r="G1025" s="66" t="str">
        <x:v>Sarjana Terapan</x:v>
      </x:c>
      <x:c r="H1025" s="87" t="n">
        <x:v>30</x:v>
      </x:c>
      <x:c r="I1025" s="87" t="n">
        <x:v>49</x:v>
      </x:c>
      <x:c r="J1025" s="68" t="n">
        <x:f>IFERROR(H1025/I1025,"")</x:f>
        <x:v>0.6122448979591837</x:v>
      </x:c>
      <x:c r="K1025" s="69" t="n">
        <x:f>IFERROR(I1025/H1025,"")</x:f>
        <x:v>1.6333333333333333</x:v>
      </x:c>
      <x:c r="L1025" s="66" t="str">
        <x:f>IF(K1025="","","1 : "&amp;TEXT(K1025,"0.0"))</x:f>
        <x:v>1 : 1.6</x:v>
      </x:c>
      <x:c r="M1025" s="66" t="str">
        <x:f>IF(J1025="","Baru/Tanpa Data",IF(J1025&lt;='Catatan &amp; Sumber'!$B$14,"Sangat Ketat",IF(J1025&lt;='Catatan &amp; Sumber'!$B$15,"Ketat",IF(J1025&lt;='Catatan &amp; Sumber'!$B$16,"Sedang","Relatif Longgar"))))</x:f>
        <x:v>Relatif Longgar</x:v>
      </x:c>
      <x:c r="N1025" s="66" t="str">
        <x:v>Tidak Ada</x:v>
      </x:c>
      <x:c r="O1025" s="66" t="str">
        <x:v>Aceh</x:v>
      </x:c>
      <x:c r="P1025" s="66" t="str">
        <x:v>Kota Lhokseumawe</x:v>
      </x:c>
      <x:c r="Q1025" s="66" t="str">
        <x:v>https://snpmb.id/snbp/daya-tampung-snbp</x:v>
      </x:c>
      <x:c r="R1025" s="66" t="str">
        <x:v>https://sidatagrun-public-1076756628210.asia-southeast2.run.app/ptn_sn.php?ptn=221</x:v>
      </x:c>
    </x:row>
    <x:row r="1026">
      <x:c r="A1026" s="87" t="n">
        <x:v>4426</x:v>
      </x:c>
      <x:c r="B1026" s="87" t="n">
        <x:v>221</x:v>
      </x:c>
      <x:c r="C1026" s="66" t="str">
        <x:v>POLITEKNIK NEGERI LHOKSEUMAWE</x:v>
      </x:c>
      <x:c r="D1026" s="66" t="str">
        <x:v>PTN Vokasi</x:v>
      </x:c>
      <x:c r="E1026" s="66" t="str">
        <x:v>22212011</x:v>
      </x:c>
      <x:c r="F1026" s="66" t="str">
        <x:v>TEKNOLOGI REKAYASA KONSTRUKSI BANGUNAN GEDUNG</x:v>
      </x:c>
      <x:c r="G1026" s="66" t="str">
        <x:v>Sarjana Terapan</x:v>
      </x:c>
      <x:c r="H1026" s="87" t="n">
        <x:v>42</x:v>
      </x:c>
      <x:c r="I1026" s="87" t="n">
        <x:v>36</x:v>
      </x:c>
      <x:c r="J1026" s="68" t="n">
        <x:f>IFERROR(H1026/I1026,"")</x:f>
        <x:v>1.1666666666666667</x:v>
      </x:c>
      <x:c r="K1026" s="69" t="n">
        <x:f>IFERROR(I1026/H1026,"")</x:f>
        <x:v>0.8571428571428571</x:v>
      </x:c>
      <x:c r="L1026" s="66" t="str">
        <x:f>IF(K1026="","","1 : "&amp;TEXT(K1026,"0.0"))</x:f>
        <x:v>1 : 0.9</x:v>
      </x:c>
      <x:c r="M1026" s="66" t="str">
        <x:f>IF(J1026="","Baru/Tanpa Data",IF(J1026&lt;='Catatan &amp; Sumber'!$B$14,"Sangat Ketat",IF(J1026&lt;='Catatan &amp; Sumber'!$B$15,"Ketat",IF(J1026&lt;='Catatan &amp; Sumber'!$B$16,"Sedang","Relatif Longgar"))))</x:f>
        <x:v>Relatif Longgar</x:v>
      </x:c>
      <x:c r="N1026" s="66" t="str">
        <x:v>Tidak Ada</x:v>
      </x:c>
      <x:c r="O1026" s="66" t="str">
        <x:v>Aceh</x:v>
      </x:c>
      <x:c r="P1026" s="66" t="str">
        <x:v>Kota Lhokseumawe</x:v>
      </x:c>
      <x:c r="Q1026" s="66" t="str">
        <x:v>https://snpmb.id/snbp/daya-tampung-snbp</x:v>
      </x:c>
      <x:c r="R1026" s="66" t="str">
        <x:v>https://sidatagrun-public-1076756628210.asia-southeast2.run.app/ptn_sn.php?ptn=221</x:v>
      </x:c>
    </x:row>
    <x:row r="1027">
      <x:c r="A1027" s="87" t="n">
        <x:v>3479</x:v>
      </x:c>
      <x:c r="B1027" s="87" t="n">
        <x:v>221</x:v>
      </x:c>
      <x:c r="C1027" s="66" t="str">
        <x:v>POLITEKNIK NEGERI LHOKSEUMAWE</x:v>
      </x:c>
      <x:c r="D1027" s="66" t="str">
        <x:v>PTN Vokasi</x:v>
      </x:c>
      <x:c r="E1027" s="66" t="str">
        <x:v>22212012</x:v>
      </x:c>
      <x:c r="F1027" s="66" t="str">
        <x:v>AKUNTANSI LEMBAGA KEUANGAN SYARIAH</x:v>
      </x:c>
      <x:c r="G1027" s="66" t="str">
        <x:v>Sarjana Terapan</x:v>
      </x:c>
      <x:c r="H1027" s="87" t="n">
        <x:v>45</x:v>
      </x:c>
      <x:c r="I1027" s="87" t="n">
        <x:v>105</x:v>
      </x:c>
      <x:c r="J1027" s="68" t="n">
        <x:f>IFERROR(H1027/I1027,"")</x:f>
        <x:v>0.42857142857142855</x:v>
      </x:c>
      <x:c r="K1027" s="69" t="n">
        <x:f>IFERROR(I1027/H1027,"")</x:f>
        <x:v>2.3333333333333335</x:v>
      </x:c>
      <x:c r="L1027" s="66" t="str">
        <x:f>IF(K1027="","","1 : "&amp;TEXT(K1027,"0.0"))</x:f>
        <x:v>1 : 2.3</x:v>
      </x:c>
      <x:c r="M1027" s="66" t="str">
        <x:f>IF(J1027="","Baru/Tanpa Data",IF(J1027&lt;='Catatan &amp; Sumber'!$B$14,"Sangat Ketat",IF(J1027&lt;='Catatan &amp; Sumber'!$B$15,"Ketat",IF(J1027&lt;='Catatan &amp; Sumber'!$B$16,"Sedang","Relatif Longgar"))))</x:f>
        <x:v>Relatif Longgar</x:v>
      </x:c>
      <x:c r="N1027" s="66" t="str">
        <x:v>Tidak Ada</x:v>
      </x:c>
      <x:c r="O1027" s="66" t="str">
        <x:v>Aceh</x:v>
      </x:c>
      <x:c r="P1027" s="66" t="str">
        <x:v>Kota Lhokseumawe</x:v>
      </x:c>
      <x:c r="Q1027" s="66" t="str">
        <x:v>https://snpmb.id/snbp/daya-tampung-snbp</x:v>
      </x:c>
      <x:c r="R1027" s="66" t="str">
        <x:v>https://sidatagrun-public-1076756628210.asia-southeast2.run.app/ptn_sn.php?ptn=221</x:v>
      </x:c>
    </x:row>
    <x:row r="1028">
      <x:c r="A1028" s="87" t="n">
        <x:v>3758</x:v>
      </x:c>
      <x:c r="B1028" s="87" t="n">
        <x:v>221</x:v>
      </x:c>
      <x:c r="C1028" s="66" t="str">
        <x:v>POLITEKNIK NEGERI LHOKSEUMAWE</x:v>
      </x:c>
      <x:c r="D1028" s="66" t="str">
        <x:v>PTN Vokasi</x:v>
      </x:c>
      <x:c r="E1028" s="66" t="str">
        <x:v>22212013</x:v>
      </x:c>
      <x:c r="F1028" s="66" t="str">
        <x:v>AKUNTANSI SEKTOR PUBLIK</x:v>
      </x:c>
      <x:c r="G1028" s="66" t="str">
        <x:v>Sarjana Terapan</x:v>
      </x:c>
      <x:c r="H1028" s="87" t="n">
        <x:v>45</x:v>
      </x:c>
      <x:c r="I1028" s="87" t="n">
        <x:v>82</x:v>
      </x:c>
      <x:c r="J1028" s="68" t="n">
        <x:f>IFERROR(H1028/I1028,"")</x:f>
        <x:v>0.5487804878048781</x:v>
      </x:c>
      <x:c r="K1028" s="69" t="n">
        <x:f>IFERROR(I1028/H1028,"")</x:f>
        <x:v>1.8222222222222222</x:v>
      </x:c>
      <x:c r="L1028" s="66" t="str">
        <x:f>IF(K1028="","","1 : "&amp;TEXT(K1028,"0.0"))</x:f>
        <x:v>1 : 1.8</x:v>
      </x:c>
      <x:c r="M1028" s="66" t="str">
        <x:f>IF(J1028="","Baru/Tanpa Data",IF(J1028&lt;='Catatan &amp; Sumber'!$B$14,"Sangat Ketat",IF(J1028&lt;='Catatan &amp; Sumber'!$B$15,"Ketat",IF(J1028&lt;='Catatan &amp; Sumber'!$B$16,"Sedang","Relatif Longgar"))))</x:f>
        <x:v>Relatif Longgar</x:v>
      </x:c>
      <x:c r="N1028" s="66" t="str">
        <x:v>Tidak Ada</x:v>
      </x:c>
      <x:c r="O1028" s="66" t="str">
        <x:v>Aceh</x:v>
      </x:c>
      <x:c r="P1028" s="66" t="str">
        <x:v>Kota Lhokseumawe</x:v>
      </x:c>
      <x:c r="Q1028" s="66" t="str">
        <x:v>https://snpmb.id/snbp/daya-tampung-snbp</x:v>
      </x:c>
      <x:c r="R1028" s="66" t="str">
        <x:v>https://sidatagrun-public-1076756628210.asia-southeast2.run.app/ptn_sn.php?ptn=221</x:v>
      </x:c>
    </x:row>
    <x:row r="1029">
      <x:c r="A1029" s="87" t="n">
        <x:v>3184</x:v>
      </x:c>
      <x:c r="B1029" s="87" t="n">
        <x:v>221</x:v>
      </x:c>
      <x:c r="C1029" s="66" t="str">
        <x:v>POLITEKNIK NEGERI LHOKSEUMAWE</x:v>
      </x:c>
      <x:c r="D1029" s="66" t="str">
        <x:v>PTN Vokasi</x:v>
      </x:c>
      <x:c r="E1029" s="66" t="str">
        <x:v>22212014</x:v>
      </x:c>
      <x:c r="F1029" s="66" t="str">
        <x:v>MANAJEMEN KEUANGAN SEKTOR PUBLIK</x:v>
      </x:c>
      <x:c r="G1029" s="66" t="str">
        <x:v>Sarjana Terapan</x:v>
      </x:c>
      <x:c r="H1029" s="87" t="n">
        <x:v>45</x:v>
      </x:c>
      <x:c r="I1029" s="87" t="n">
        <x:v>133</x:v>
      </x:c>
      <x:c r="J1029" s="68" t="n">
        <x:f>IFERROR(H1029/I1029,"")</x:f>
        <x:v>0.3383458646616541</x:v>
      </x:c>
      <x:c r="K1029" s="69" t="n">
        <x:f>IFERROR(I1029/H1029,"")</x:f>
        <x:v>2.9555555555555557</x:v>
      </x:c>
      <x:c r="L1029" s="66" t="str">
        <x:f>IF(K1029="","","1 : "&amp;TEXT(K1029,"0.0"))</x:f>
        <x:v>1 : 3.0</x:v>
      </x:c>
      <x:c r="M1029" s="66" t="str">
        <x:f>IF(J1029="","Baru/Tanpa Data",IF(J1029&lt;='Catatan &amp; Sumber'!$B$14,"Sangat Ketat",IF(J1029&lt;='Catatan &amp; Sumber'!$B$15,"Ketat",IF(J1029&lt;='Catatan &amp; Sumber'!$B$16,"Sedang","Relatif Longgar"))))</x:f>
        <x:v>Relatif Longgar</x:v>
      </x:c>
      <x:c r="N1029" s="66" t="str">
        <x:v>Tidak Ada</x:v>
      </x:c>
      <x:c r="O1029" s="66" t="str">
        <x:v>Aceh</x:v>
      </x:c>
      <x:c r="P1029" s="66" t="str">
        <x:v>Kota Lhokseumawe</x:v>
      </x:c>
      <x:c r="Q1029" s="66" t="str">
        <x:v>https://snpmb.id/snbp/daya-tampung-snbp</x:v>
      </x:c>
      <x:c r="R1029" s="66" t="str">
        <x:v>https://sidatagrun-public-1076756628210.asia-southeast2.run.app/ptn_sn.php?ptn=221</x:v>
      </x:c>
    </x:row>
    <x:row r="1030">
      <x:c r="A1030" s="87" t="n">
        <x:v>4453</x:v>
      </x:c>
      <x:c r="B1030" s="87" t="n">
        <x:v>221</x:v>
      </x:c>
      <x:c r="C1030" s="66" t="str">
        <x:v>POLITEKNIK NEGERI LHOKSEUMAWE</x:v>
      </x:c>
      <x:c r="D1030" s="66" t="str">
        <x:v>PTN Vokasi</x:v>
      </x:c>
      <x:c r="E1030" s="66" t="str">
        <x:v>22212028</x:v>
      </x:c>
      <x:c r="F1030" s="66" t="str">
        <x:v>TEKNOLOGI REKAYASA MEKATRONIKA</x:v>
      </x:c>
      <x:c r="G1030" s="66" t="str">
        <x:v>Sarjana Terapan</x:v>
      </x:c>
      <x:c r="H1030" s="87" t="n">
        <x:v>28</x:v>
      </x:c>
      <x:c r="I1030" s="87" t="n">
        <x:v>23</x:v>
      </x:c>
      <x:c r="J1030" s="68" t="n">
        <x:f>IFERROR(H1030/I1030,"")</x:f>
        <x:v>1.2173913043478262</x:v>
      </x:c>
      <x:c r="K1030" s="69" t="n">
        <x:f>IFERROR(I1030/H1030,"")</x:f>
        <x:v>0.8214285714285714</x:v>
      </x:c>
      <x:c r="L1030" s="66" t="str">
        <x:f>IF(K1030="","","1 : "&amp;TEXT(K1030,"0.0"))</x:f>
        <x:v>1 : 0.8</x:v>
      </x:c>
      <x:c r="M1030" s="66" t="str">
        <x:f>IF(J1030="","Baru/Tanpa Data",IF(J1030&lt;='Catatan &amp; Sumber'!$B$14,"Sangat Ketat",IF(J1030&lt;='Catatan &amp; Sumber'!$B$15,"Ketat",IF(J1030&lt;='Catatan &amp; Sumber'!$B$16,"Sedang","Relatif Longgar"))))</x:f>
        <x:v>Relatif Longgar</x:v>
      </x:c>
      <x:c r="N1030" s="66" t="str">
        <x:v>Tidak Ada</x:v>
      </x:c>
      <x:c r="O1030" s="66" t="str">
        <x:v>Aceh</x:v>
      </x:c>
      <x:c r="P1030" s="66" t="str">
        <x:v>Kota Lhokseumawe</x:v>
      </x:c>
      <x:c r="Q1030" s="66" t="str">
        <x:v>https://snpmb.id/snbp/daya-tampung-snbp</x:v>
      </x:c>
      <x:c r="R1030" s="66" t="str">
        <x:v>https://sidatagrun-public-1076756628210.asia-southeast2.run.app/ptn_sn.php?ptn=221</x:v>
      </x:c>
    </x:row>
    <x:row r="1031">
      <x:c r="A1031" s="87" t="n">
        <x:v>4480</x:v>
      </x:c>
      <x:c r="B1031" s="87" t="n">
        <x:v>221</x:v>
      </x:c>
      <x:c r="C1031" s="66" t="str">
        <x:v>POLITEKNIK NEGERI LHOKSEUMAWE</x:v>
      </x:c>
      <x:c r="D1031" s="66" t="str">
        <x:v>PTN Vokasi</x:v>
      </x:c>
      <x:c r="E1031" s="66" t="str">
        <x:v>22213015</x:v>
      </x:c>
      <x:c r="F1031" s="66" t="str">
        <x:v>TEKNOLOGI INDUSTRI</x:v>
      </x:c>
      <x:c r="G1031" s="66" t="str">
        <x:v>Diploma Tiga</x:v>
      </x:c>
      <x:c r="H1031" s="87" t="n">
        <x:v>45</x:v>
      </x:c>
      <x:c r="I1031" s="87" t="n">
        <x:v>35</x:v>
      </x:c>
      <x:c r="J1031" s="68" t="n">
        <x:f>IFERROR(H1031/I1031,"")</x:f>
        <x:v>1.2857142857142858</x:v>
      </x:c>
      <x:c r="K1031" s="69" t="n">
        <x:f>IFERROR(I1031/H1031,"")</x:f>
        <x:v>0.7777777777777778</x:v>
      </x:c>
      <x:c r="L1031" s="66" t="str">
        <x:f>IF(K1031="","","1 : "&amp;TEXT(K1031,"0.0"))</x:f>
        <x:v>1 : 0.8</x:v>
      </x:c>
      <x:c r="M1031" s="66" t="str">
        <x:f>IF(J1031="","Baru/Tanpa Data",IF(J1031&lt;='Catatan &amp; Sumber'!$B$14,"Sangat Ketat",IF(J1031&lt;='Catatan &amp; Sumber'!$B$15,"Ketat",IF(J1031&lt;='Catatan &amp; Sumber'!$B$16,"Sedang","Relatif Longgar"))))</x:f>
        <x:v>Relatif Longgar</x:v>
      </x:c>
      <x:c r="N1031" s="66" t="str">
        <x:v>Tidak Ada</x:v>
      </x:c>
      <x:c r="O1031" s="66" t="str">
        <x:v>Aceh</x:v>
      </x:c>
      <x:c r="P1031" s="66" t="str">
        <x:v>Kota Lhokseumawe</x:v>
      </x:c>
      <x:c r="Q1031" s="66" t="str">
        <x:v>https://snpmb.id/snbp/daya-tampung-snbp</x:v>
      </x:c>
      <x:c r="R1031" s="66" t="str">
        <x:v>https://sidatagrun-public-1076756628210.asia-southeast2.run.app/ptn_sn.php?ptn=221</x:v>
      </x:c>
    </x:row>
    <x:row r="1032">
      <x:c r="A1032" s="87" t="n">
        <x:v>4898</x:v>
      </x:c>
      <x:c r="B1032" s="87" t="n">
        <x:v>221</x:v>
      </x:c>
      <x:c r="C1032" s="66" t="str">
        <x:v>POLITEKNIK NEGERI LHOKSEUMAWE</x:v>
      </x:c>
      <x:c r="D1032" s="66" t="str">
        <x:v>PTN Vokasi</x:v>
      </x:c>
      <x:c r="E1032" s="66" t="str">
        <x:v>22213016</x:v>
      </x:c>
      <x:c r="F1032" s="66" t="str">
        <x:v>TEKNOLOGI KONSTRUKSI BANGUNAN AIR</x:v>
      </x:c>
      <x:c r="G1032" s="66" t="str">
        <x:v>Diploma Tiga</x:v>
      </x:c>
      <x:c r="H1032" s="87" t="n">
        <x:v>14</x:v>
      </x:c>
      <x:c r="I1032" s="87" t="n">
        <x:v>1</x:v>
      </x:c>
      <x:c r="J1032" s="68" t="n">
        <x:f>IFERROR(H1032/I1032,"")</x:f>
        <x:v>14</x:v>
      </x:c>
      <x:c r="K1032" s="69" t="n">
        <x:f>IFERROR(I1032/H1032,"")</x:f>
        <x:v>0.07142857142857142</x:v>
      </x:c>
      <x:c r="L1032" s="66" t="str">
        <x:f>IF(K1032="","","1 : "&amp;TEXT(K1032,"0.0"))</x:f>
        <x:v>1 : 0.1</x:v>
      </x:c>
      <x:c r="M1032" s="66" t="str">
        <x:f>IF(J1032="","Baru/Tanpa Data",IF(J1032&lt;='Catatan &amp; Sumber'!$B$14,"Sangat Ketat",IF(J1032&lt;='Catatan &amp; Sumber'!$B$15,"Ketat",IF(J1032&lt;='Catatan &amp; Sumber'!$B$16,"Sedang","Relatif Longgar"))))</x:f>
        <x:v>Relatif Longgar</x:v>
      </x:c>
      <x:c r="N1032" s="66" t="str">
        <x:v>Tidak Ada</x:v>
      </x:c>
      <x:c r="O1032" s="66" t="str">
        <x:v>Aceh</x:v>
      </x:c>
      <x:c r="P1032" s="66" t="str">
        <x:v>Kota Lhokseumawe</x:v>
      </x:c>
      <x:c r="Q1032" s="66" t="str">
        <x:v>https://snpmb.id/snbp/daya-tampung-snbp</x:v>
      </x:c>
      <x:c r="R1032" s="66" t="str">
        <x:v>https://sidatagrun-public-1076756628210.asia-southeast2.run.app/ptn_sn.php?ptn=221</x:v>
      </x:c>
    </x:row>
    <x:row r="1033">
      <x:c r="A1033" s="87" t="n">
        <x:v>4026</x:v>
      </x:c>
      <x:c r="B1033" s="87" t="n">
        <x:v>221</x:v>
      </x:c>
      <x:c r="C1033" s="66" t="str">
        <x:v>POLITEKNIK NEGERI LHOKSEUMAWE</x:v>
      </x:c>
      <x:c r="D1033" s="66" t="str">
        <x:v>PTN Vokasi</x:v>
      </x:c>
      <x:c r="E1033" s="66" t="str">
        <x:v>22213017</x:v>
      </x:c>
      <x:c r="F1033" s="66" t="str">
        <x:v>AKUNTANSI</x:v>
      </x:c>
      <x:c r="G1033" s="66" t="str">
        <x:v>Diploma Tiga</x:v>
      </x:c>
      <x:c r="H1033" s="87" t="n">
        <x:v>33</x:v>
      </x:c>
      <x:c r="I1033" s="87" t="n">
        <x:v>47</x:v>
      </x:c>
      <x:c r="J1033" s="68" t="n">
        <x:f>IFERROR(H1033/I1033,"")</x:f>
        <x:v>0.7021276595744681</x:v>
      </x:c>
      <x:c r="K1033" s="69" t="n">
        <x:f>IFERROR(I1033/H1033,"")</x:f>
        <x:v>1.4242424242424243</x:v>
      </x:c>
      <x:c r="L1033" s="66" t="str">
        <x:f>IF(K1033="","","1 : "&amp;TEXT(K1033,"0.0"))</x:f>
        <x:v>1 : 1.4</x:v>
      </x:c>
      <x:c r="M1033" s="66" t="str">
        <x:f>IF(J1033="","Baru/Tanpa Data",IF(J1033&lt;='Catatan &amp; Sumber'!$B$14,"Sangat Ketat",IF(J1033&lt;='Catatan &amp; Sumber'!$B$15,"Ketat",IF(J1033&lt;='Catatan &amp; Sumber'!$B$16,"Sedang","Relatif Longgar"))))</x:f>
        <x:v>Relatif Longgar</x:v>
      </x:c>
      <x:c r="N1033" s="66" t="str">
        <x:v>Tidak Ada</x:v>
      </x:c>
      <x:c r="O1033" s="66" t="str">
        <x:v>Aceh</x:v>
      </x:c>
      <x:c r="P1033" s="66" t="str">
        <x:v>Kota Lhokseumawe</x:v>
      </x:c>
      <x:c r="Q1033" s="66" t="str">
        <x:v>https://snpmb.id/snbp/daya-tampung-snbp</x:v>
      </x:c>
      <x:c r="R1033" s="66" t="str">
        <x:v>https://sidatagrun-public-1076756628210.asia-southeast2.run.app/ptn_sn.php?ptn=221</x:v>
      </x:c>
    </x:row>
    <x:row r="1034">
      <x:c r="A1034" s="87" t="n">
        <x:v>4215</x:v>
      </x:c>
      <x:c r="B1034" s="87" t="n">
        <x:v>221</x:v>
      </x:c>
      <x:c r="C1034" s="66" t="str">
        <x:v>POLITEKNIK NEGERI LHOKSEUMAWE</x:v>
      </x:c>
      <x:c r="D1034" s="66" t="str">
        <x:v>PTN Vokasi</x:v>
      </x:c>
      <x:c r="E1034" s="66" t="str">
        <x:v>22213018</x:v>
      </x:c>
      <x:c r="F1034" s="66" t="str">
        <x:v>TEKNOLOGI ELEKTRONIKA</x:v>
      </x:c>
      <x:c r="G1034" s="66" t="str">
        <x:v>Diploma Tiga</x:v>
      </x:c>
      <x:c r="H1034" s="87" t="n">
        <x:v>28</x:v>
      </x:c>
      <x:c r="I1034" s="87" t="n">
        <x:v>32</x:v>
      </x:c>
      <x:c r="J1034" s="68" t="n">
        <x:f>IFERROR(H1034/I1034,"")</x:f>
        <x:v>0.875</x:v>
      </x:c>
      <x:c r="K1034" s="69" t="n">
        <x:f>IFERROR(I1034/H1034,"")</x:f>
        <x:v>1.1428571428571428</x:v>
      </x:c>
      <x:c r="L1034" s="66" t="str">
        <x:f>IF(K1034="","","1 : "&amp;TEXT(K1034,"0.0"))</x:f>
        <x:v>1 : 1.1</x:v>
      </x:c>
      <x:c r="M1034" s="66" t="str">
        <x:f>IF(J1034="","Baru/Tanpa Data",IF(J1034&lt;='Catatan &amp; Sumber'!$B$14,"Sangat Ketat",IF(J1034&lt;='Catatan &amp; Sumber'!$B$15,"Ketat",IF(J1034&lt;='Catatan &amp; Sumber'!$B$16,"Sedang","Relatif Longgar"))))</x:f>
        <x:v>Relatif Longgar</x:v>
      </x:c>
      <x:c r="N1034" s="66" t="str">
        <x:v>Tidak Ada</x:v>
      </x:c>
      <x:c r="O1034" s="66" t="str">
        <x:v>Aceh</x:v>
      </x:c>
      <x:c r="P1034" s="66" t="str">
        <x:v>Kota Lhokseumawe</x:v>
      </x:c>
      <x:c r="Q1034" s="66" t="str">
        <x:v>https://snpmb.id/snbp/daya-tampung-snbp</x:v>
      </x:c>
      <x:c r="R1034" s="66" t="str">
        <x:v>https://sidatagrun-public-1076756628210.asia-southeast2.run.app/ptn_sn.php?ptn=221</x:v>
      </x:c>
    </x:row>
    <x:row r="1035">
      <x:c r="A1035" s="87" t="n">
        <x:v>4652</x:v>
      </x:c>
      <x:c r="B1035" s="87" t="n">
        <x:v>221</x:v>
      </x:c>
      <x:c r="C1035" s="66" t="str">
        <x:v>POLITEKNIK NEGERI LHOKSEUMAWE</x:v>
      </x:c>
      <x:c r="D1035" s="66" t="str">
        <x:v>PTN Vokasi</x:v>
      </x:c>
      <x:c r="E1035" s="66" t="str">
        <x:v>22213019</x:v>
      </x:c>
      <x:c r="F1035" s="66" t="str">
        <x:v>TEKNOLOGI KONSTRUKSI JALAN DAN JEMBATAN</x:v>
      </x:c>
      <x:c r="G1035" s="66" t="str">
        <x:v>Diploma Tiga</x:v>
      </x:c>
      <x:c r="H1035" s="87" t="n">
        <x:v>14</x:v>
      </x:c>
      <x:c r="I1035" s="87" t="n">
        <x:v>7</x:v>
      </x:c>
      <x:c r="J1035" s="68" t="n">
        <x:f>IFERROR(H1035/I1035,"")</x:f>
        <x:v>2</x:v>
      </x:c>
      <x:c r="K1035" s="69" t="n">
        <x:f>IFERROR(I1035/H1035,"")</x:f>
        <x:v>0.5</x:v>
      </x:c>
      <x:c r="L1035" s="66" t="str">
        <x:f>IF(K1035="","","1 : "&amp;TEXT(K1035,"0.0"))</x:f>
        <x:v>1 : 0.5</x:v>
      </x:c>
      <x:c r="M1035" s="66" t="str">
        <x:f>IF(J1035="","Baru/Tanpa Data",IF(J1035&lt;='Catatan &amp; Sumber'!$B$14,"Sangat Ketat",IF(J1035&lt;='Catatan &amp; Sumber'!$B$15,"Ketat",IF(J1035&lt;='Catatan &amp; Sumber'!$B$16,"Sedang","Relatif Longgar"))))</x:f>
        <x:v>Relatif Longgar</x:v>
      </x:c>
      <x:c r="N1035" s="66" t="str">
        <x:v>Tidak Ada</x:v>
      </x:c>
      <x:c r="O1035" s="66" t="str">
        <x:v>Aceh</x:v>
      </x:c>
      <x:c r="P1035" s="66" t="str">
        <x:v>Kota Lhokseumawe</x:v>
      </x:c>
      <x:c r="Q1035" s="66" t="str">
        <x:v>https://snpmb.id/snbp/daya-tampung-snbp</x:v>
      </x:c>
      <x:c r="R1035" s="66" t="str">
        <x:v>https://sidatagrun-public-1076756628210.asia-southeast2.run.app/ptn_sn.php?ptn=221</x:v>
      </x:c>
    </x:row>
    <x:row r="1036">
      <x:c r="A1036" s="87" t="n">
        <x:v>1354</x:v>
      </x:c>
      <x:c r="B1036" s="87" t="n">
        <x:v>221</x:v>
      </x:c>
      <x:c r="C1036" s="66" t="str">
        <x:v>POLITEKNIK NEGERI LHOKSEUMAWE</x:v>
      </x:c>
      <x:c r="D1036" s="66" t="str">
        <x:v>PTN Vokasi</x:v>
      </x:c>
      <x:c r="E1036" s="66" t="str">
        <x:v>22213020</x:v>
      </x:c>
      <x:c r="F1036" s="66" t="str">
        <x:v>TEKNOLOGI PENGOLAHAN MINYAK DAN GAS</x:v>
      </x:c>
      <x:c r="G1036" s="66" t="str">
        <x:v>Diploma Tiga</x:v>
      </x:c>
      <x:c r="H1036" s="87" t="n">
        <x:v>15</x:v>
      </x:c>
      <x:c r="I1036" s="87" t="n">
        <x:v>152</x:v>
      </x:c>
      <x:c r="J1036" s="68" t="n">
        <x:f>IFERROR(H1036/I1036,"")</x:f>
        <x:v>0.09868421052631579</x:v>
      </x:c>
      <x:c r="K1036" s="69" t="n">
        <x:f>IFERROR(I1036/H1036,"")</x:f>
        <x:v>10.133333333333333</x:v>
      </x:c>
      <x:c r="L1036" s="66" t="str">
        <x:f>IF(K1036="","","1 : "&amp;TEXT(K1036,"0.0"))</x:f>
        <x:v>1 : 10.1</x:v>
      </x:c>
      <x:c r="M1036" s="66" t="str">
        <x:f>IF(J1036="","Baru/Tanpa Data",IF(J1036&lt;='Catatan &amp; Sumber'!$B$14,"Sangat Ketat",IF(J1036&lt;='Catatan &amp; Sumber'!$B$15,"Ketat",IF(J1036&lt;='Catatan &amp; Sumber'!$B$16,"Sedang","Relatif Longgar"))))</x:f>
        <x:v>Sedang</x:v>
      </x:c>
      <x:c r="N1036" s="66" t="str">
        <x:v>Tidak Ada</x:v>
      </x:c>
      <x:c r="O1036" s="66" t="str">
        <x:v>Aceh</x:v>
      </x:c>
      <x:c r="P1036" s="66" t="str">
        <x:v>Kota Lhokseumawe</x:v>
      </x:c>
      <x:c r="Q1036" s="66" t="str">
        <x:v>https://snpmb.id/snbp/daya-tampung-snbp</x:v>
      </x:c>
      <x:c r="R1036" s="66" t="str">
        <x:v>https://sidatagrun-public-1076756628210.asia-southeast2.run.app/ptn_sn.php?ptn=221</x:v>
      </x:c>
    </x:row>
    <x:row r="1037">
      <x:c r="A1037" s="87" t="n">
        <x:v>3342</x:v>
      </x:c>
      <x:c r="B1037" s="87" t="n">
        <x:v>221</x:v>
      </x:c>
      <x:c r="C1037" s="66" t="str">
        <x:v>POLITEKNIK NEGERI LHOKSEUMAWE</x:v>
      </x:c>
      <x:c r="D1037" s="66" t="str">
        <x:v>PTN Vokasi</x:v>
      </x:c>
      <x:c r="E1037" s="66" t="str">
        <x:v>22213023</x:v>
      </x:c>
      <x:c r="F1037" s="66" t="str">
        <x:v>TEKNOLOGI MESIN</x:v>
      </x:c>
      <x:c r="G1037" s="66" t="str">
        <x:v>Diploma Tiga</x:v>
      </x:c>
      <x:c r="H1037" s="87" t="n">
        <x:v>45</x:v>
      </x:c>
      <x:c r="I1037" s="87" t="n">
        <x:v>117</x:v>
      </x:c>
      <x:c r="J1037" s="68" t="n">
        <x:f>IFERROR(H1037/I1037,"")</x:f>
        <x:v>0.38461538461538464</x:v>
      </x:c>
      <x:c r="K1037" s="69" t="n">
        <x:f>IFERROR(I1037/H1037,"")</x:f>
        <x:v>2.6</x:v>
      </x:c>
      <x:c r="L1037" s="66" t="str">
        <x:f>IF(K1037="","","1 : "&amp;TEXT(K1037,"0.0"))</x:f>
        <x:v>1 : 2.6</x:v>
      </x:c>
      <x:c r="M1037" s="66" t="str">
        <x:f>IF(J1037="","Baru/Tanpa Data",IF(J1037&lt;='Catatan &amp; Sumber'!$B$14,"Sangat Ketat",IF(J1037&lt;='Catatan &amp; Sumber'!$B$15,"Ketat",IF(J1037&lt;='Catatan &amp; Sumber'!$B$16,"Sedang","Relatif Longgar"))))</x:f>
        <x:v>Relatif Longgar</x:v>
      </x:c>
      <x:c r="N1037" s="66" t="str">
        <x:v>Tidak Ada</x:v>
      </x:c>
      <x:c r="O1037" s="66" t="str">
        <x:v>Aceh</x:v>
      </x:c>
      <x:c r="P1037" s="66" t="str">
        <x:v>Kota Lhokseumawe</x:v>
      </x:c>
      <x:c r="Q1037" s="66" t="str">
        <x:v>https://snpmb.id/snbp/daya-tampung-snbp</x:v>
      </x:c>
      <x:c r="R1037" s="66" t="str">
        <x:v>https://sidatagrun-public-1076756628210.asia-southeast2.run.app/ptn_sn.php?ptn=221</x:v>
      </x:c>
    </x:row>
    <x:row r="1038">
      <x:c r="A1038" s="87" t="n">
        <x:v>4800</x:v>
      </x:c>
      <x:c r="B1038" s="87" t="n">
        <x:v>221</x:v>
      </x:c>
      <x:c r="C1038" s="66" t="str">
        <x:v>POLITEKNIK NEGERI LHOKSEUMAWE</x:v>
      </x:c>
      <x:c r="D1038" s="66" t="str">
        <x:v>PTN Vokasi</x:v>
      </x:c>
      <x:c r="E1038" s="66" t="str">
        <x:v>22213024</x:v>
      </x:c>
      <x:c r="F1038" s="66" t="str">
        <x:v>TEKNOLOGI TELEKOMUNIKASI</x:v>
      </x:c>
      <x:c r="G1038" s="66" t="str">
        <x:v>Diploma Tiga</x:v>
      </x:c>
      <x:c r="H1038" s="87" t="n">
        <x:v>28</x:v>
      </x:c>
      <x:c r="I1038" s="87" t="n">
        <x:v>8</x:v>
      </x:c>
      <x:c r="J1038" s="68" t="n">
        <x:f>IFERROR(H1038/I1038,"")</x:f>
        <x:v>3.5</x:v>
      </x:c>
      <x:c r="K1038" s="69" t="n">
        <x:f>IFERROR(I1038/H1038,"")</x:f>
        <x:v>0.2857142857142857</x:v>
      </x:c>
      <x:c r="L1038" s="66" t="str">
        <x:f>IF(K1038="","","1 : "&amp;TEXT(K1038,"0.0"))</x:f>
        <x:v>1 : 0.3</x:v>
      </x:c>
      <x:c r="M1038" s="66" t="str">
        <x:f>IF(J1038="","Baru/Tanpa Data",IF(J1038&lt;='Catatan &amp; Sumber'!$B$14,"Sangat Ketat",IF(J1038&lt;='Catatan &amp; Sumber'!$B$15,"Ketat",IF(J1038&lt;='Catatan &amp; Sumber'!$B$16,"Sedang","Relatif Longgar"))))</x:f>
        <x:v>Relatif Longgar</x:v>
      </x:c>
      <x:c r="N1038" s="66" t="str">
        <x:v>Tidak Ada</x:v>
      </x:c>
      <x:c r="O1038" s="66" t="str">
        <x:v>Aceh</x:v>
      </x:c>
      <x:c r="P1038" s="66" t="str">
        <x:v>Kota Lhokseumawe</x:v>
      </x:c>
      <x:c r="Q1038" s="66" t="str">
        <x:v>https://snpmb.id/snbp/daya-tampung-snbp</x:v>
      </x:c>
      <x:c r="R1038" s="66" t="str">
        <x:v>https://sidatagrun-public-1076756628210.asia-southeast2.run.app/ptn_sn.php?ptn=221</x:v>
      </x:c>
    </x:row>
    <x:row r="1039">
      <x:c r="A1039" s="87" t="n">
        <x:v>3533</x:v>
      </x:c>
      <x:c r="B1039" s="87" t="n">
        <x:v>221</x:v>
      </x:c>
      <x:c r="C1039" s="66" t="str">
        <x:v>POLITEKNIK NEGERI LHOKSEUMAWE</x:v>
      </x:c>
      <x:c r="D1039" s="66" t="str">
        <x:v>PTN Vokasi</x:v>
      </x:c>
      <x:c r="E1039" s="66" t="str">
        <x:v>22213025</x:v>
      </x:c>
      <x:c r="F1039" s="66" t="str">
        <x:v>ADMINISTRASI BISNIS</x:v>
      </x:c>
      <x:c r="G1039" s="66" t="str">
        <x:v>Diploma Tiga</x:v>
      </x:c>
      <x:c r="H1039" s="87" t="n">
        <x:v>33</x:v>
      </x:c>
      <x:c r="I1039" s="87" t="n">
        <x:v>74</x:v>
      </x:c>
      <x:c r="J1039" s="68" t="n">
        <x:f>IFERROR(H1039/I1039,"")</x:f>
        <x:v>0.44594594594594594</x:v>
      </x:c>
      <x:c r="K1039" s="69" t="n">
        <x:f>IFERROR(I1039/H1039,"")</x:f>
        <x:v>2.242424242424242</x:v>
      </x:c>
      <x:c r="L1039" s="66" t="str">
        <x:f>IF(K1039="","","1 : "&amp;TEXT(K1039,"0.0"))</x:f>
        <x:v>1 : 2.2</x:v>
      </x:c>
      <x:c r="M1039" s="66" t="str">
        <x:f>IF(J1039="","Baru/Tanpa Data",IF(J1039&lt;='Catatan &amp; Sumber'!$B$14,"Sangat Ketat",IF(J1039&lt;='Catatan &amp; Sumber'!$B$15,"Ketat",IF(J1039&lt;='Catatan &amp; Sumber'!$B$16,"Sedang","Relatif Longgar"))))</x:f>
        <x:v>Relatif Longgar</x:v>
      </x:c>
      <x:c r="N1039" s="66" t="str">
        <x:v>Tidak Ada</x:v>
      </x:c>
      <x:c r="O1039" s="66" t="str">
        <x:v>Aceh</x:v>
      </x:c>
      <x:c r="P1039" s="66" t="str">
        <x:v>Kota Lhokseumawe</x:v>
      </x:c>
      <x:c r="Q1039" s="66" t="str">
        <x:v>https://snpmb.id/snbp/daya-tampung-snbp</x:v>
      </x:c>
      <x:c r="R1039" s="66" t="str">
        <x:v>https://sidatagrun-public-1076756628210.asia-southeast2.run.app/ptn_sn.php?ptn=221</x:v>
      </x:c>
    </x:row>
    <x:row r="1040">
      <x:c r="A1040" s="87" t="n">
        <x:v>3998</x:v>
      </x:c>
      <x:c r="B1040" s="87" t="n">
        <x:v>221</x:v>
      </x:c>
      <x:c r="C1040" s="66" t="str">
        <x:v>POLITEKNIK NEGERI LHOKSEUMAWE</x:v>
      </x:c>
      <x:c r="D1040" s="66" t="str">
        <x:v>PTN Vokasi</x:v>
      </x:c>
      <x:c r="E1040" s="66" t="str">
        <x:v>22213026</x:v>
      </x:c>
      <x:c r="F1040" s="66" t="str">
        <x:v>TEKNOLOGI LISTRIK</x:v>
      </x:c>
      <x:c r="G1040" s="66" t="str">
        <x:v>Diploma Tiga</x:v>
      </x:c>
      <x:c r="H1040" s="87" t="n">
        <x:v>24</x:v>
      </x:c>
      <x:c r="I1040" s="87" t="n">
        <x:v>35</x:v>
      </x:c>
      <x:c r="J1040" s="68" t="n">
        <x:f>IFERROR(H1040/I1040,"")</x:f>
        <x:v>0.6857142857142857</x:v>
      </x:c>
      <x:c r="K1040" s="69" t="n">
        <x:f>IFERROR(I1040/H1040,"")</x:f>
        <x:v>1.4583333333333333</x:v>
      </x:c>
      <x:c r="L1040" s="66" t="str">
        <x:f>IF(K1040="","","1 : "&amp;TEXT(K1040,"0.0"))</x:f>
        <x:v>1 : 1.5</x:v>
      </x:c>
      <x:c r="M1040" s="66" t="str">
        <x:f>IF(J1040="","Baru/Tanpa Data",IF(J1040&lt;='Catatan &amp; Sumber'!$B$14,"Sangat Ketat",IF(J1040&lt;='Catatan &amp; Sumber'!$B$15,"Ketat",IF(J1040&lt;='Catatan &amp; Sumber'!$B$16,"Sedang","Relatif Longgar"))))</x:f>
        <x:v>Relatif Longgar</x:v>
      </x:c>
      <x:c r="N1040" s="66" t="str">
        <x:v>Tidak Ada</x:v>
      </x:c>
      <x:c r="O1040" s="66" t="str">
        <x:v>Aceh</x:v>
      </x:c>
      <x:c r="P1040" s="66" t="str">
        <x:v>Kota Lhokseumawe</x:v>
      </x:c>
      <x:c r="Q1040" s="66" t="str">
        <x:v>https://snpmb.id/snbp/daya-tampung-snbp</x:v>
      </x:c>
      <x:c r="R1040" s="66" t="str">
        <x:v>https://sidatagrun-public-1076756628210.asia-southeast2.run.app/ptn_sn.php?ptn=221</x:v>
      </x:c>
    </x:row>
    <x:row r="1041">
      <x:c r="A1041" s="87" t="n">
        <x:v>4687</x:v>
      </x:c>
      <x:c r="B1041" s="87" t="n">
        <x:v>221</x:v>
      </x:c>
      <x:c r="C1041" s="66" t="str">
        <x:v>POLITEKNIK NEGERI LHOKSEUMAWE</x:v>
      </x:c>
      <x:c r="D1041" s="66" t="str">
        <x:v>PTN Vokasi</x:v>
      </x:c>
      <x:c r="E1041" s="66" t="str">
        <x:v>22213027</x:v>
      </x:c>
      <x:c r="F1041" s="66" t="str">
        <x:v>TEKNOLOGI KIMIA</x:v>
      </x:c>
      <x:c r="G1041" s="66" t="str">
        <x:v>Diploma Tiga</x:v>
      </x:c>
      <x:c r="H1041" s="87" t="n">
        <x:v>45</x:v>
      </x:c>
      <x:c r="I1041" s="87" t="n">
        <x:v>21</x:v>
      </x:c>
      <x:c r="J1041" s="68" t="n">
        <x:f>IFERROR(H1041/I1041,"")</x:f>
        <x:v>2.142857142857143</x:v>
      </x:c>
      <x:c r="K1041" s="69" t="n">
        <x:f>IFERROR(I1041/H1041,"")</x:f>
        <x:v>0.4666666666666667</x:v>
      </x:c>
      <x:c r="L1041" s="66" t="str">
        <x:f>IF(K1041="","","1 : "&amp;TEXT(K1041,"0.0"))</x:f>
        <x:v>1 : 0.5</x:v>
      </x:c>
      <x:c r="M1041" s="66" t="str">
        <x:f>IF(J1041="","Baru/Tanpa Data",IF(J1041&lt;='Catatan &amp; Sumber'!$B$14,"Sangat Ketat",IF(J1041&lt;='Catatan &amp; Sumber'!$B$15,"Ketat",IF(J1041&lt;='Catatan &amp; Sumber'!$B$16,"Sedang","Relatif Longgar"))))</x:f>
        <x:v>Relatif Longgar</x:v>
      </x:c>
      <x:c r="N1041" s="66" t="str">
        <x:v>Tidak Ada</x:v>
      </x:c>
      <x:c r="O1041" s="66" t="str">
        <x:v>Aceh</x:v>
      </x:c>
      <x:c r="P1041" s="66" t="str">
        <x:v>Kota Lhokseumawe</x:v>
      </x:c>
      <x:c r="Q1041" s="66" t="str">
        <x:v>https://snpmb.id/snbp/daya-tampung-snbp</x:v>
      </x:c>
      <x:c r="R1041" s="66" t="str">
        <x:v>https://sidatagrun-public-1076756628210.asia-southeast2.run.app/ptn_sn.php?ptn=221</x:v>
      </x:c>
    </x:row>
    <x:row r="1042">
      <x:c r="A1042" s="87" t="n">
        <x:v>2625</x:v>
      </x:c>
      <x:c r="B1042" s="87" t="n">
        <x:v>222</x:v>
      </x:c>
      <x:c r="C1042" s="66" t="str">
        <x:v>POLITEKNIK NEGERI MEDAN</x:v>
      </x:c>
      <x:c r="D1042" s="66" t="str">
        <x:v>PTN Vokasi</x:v>
      </x:c>
      <x:c r="E1042" s="66" t="str">
        <x:v>22222001</x:v>
      </x:c>
      <x:c r="F1042" s="66" t="str">
        <x:v>TEKNIK PERANCANGAN JALAN DAN JEMBATAN</x:v>
      </x:c>
      <x:c r="G1042" s="66" t="str">
        <x:v>Sarjana Terapan</x:v>
      </x:c>
      <x:c r="H1042" s="87" t="n">
        <x:v>40</x:v>
      </x:c>
      <x:c r="I1042" s="87" t="n">
        <x:v>173</x:v>
      </x:c>
      <x:c r="J1042" s="68" t="n">
        <x:f>IFERROR(H1042/I1042,"")</x:f>
        <x:v>0.23121387283236994</x:v>
      </x:c>
      <x:c r="K1042" s="69" t="n">
        <x:f>IFERROR(I1042/H1042,"")</x:f>
        <x:v>4.325</x:v>
      </x:c>
      <x:c r="L1042" s="66" t="str">
        <x:f>IF(K1042="","","1 : "&amp;TEXT(K1042,"0.0"))</x:f>
        <x:v>1 : 4.3</x:v>
      </x:c>
      <x:c r="M1042" s="66" t="str">
        <x:f>IF(J1042="","Baru/Tanpa Data",IF(J1042&lt;='Catatan &amp; Sumber'!$B$14,"Sangat Ketat",IF(J1042&lt;='Catatan &amp; Sumber'!$B$15,"Ketat",IF(J1042&lt;='Catatan &amp; Sumber'!$B$16,"Sedang","Relatif Longgar"))))</x:f>
        <x:v>Relatif Longgar</x:v>
      </x:c>
      <x:c r="N1042" s="66" t="str">
        <x:v>Tidak Ada</x:v>
      </x:c>
      <x:c r="O1042" s="66" t="str">
        <x:v>Sumatera Utara</x:v>
      </x:c>
      <x:c r="P1042" s="66" t="str">
        <x:v>Kota Medan</x:v>
      </x:c>
      <x:c r="Q1042" s="66" t="str">
        <x:v>https://snpmb.id/snbp/daya-tampung-snbp</x:v>
      </x:c>
      <x:c r="R1042" s="66" t="str">
        <x:v>https://sidatagrun-public-1076756628210.asia-southeast2.run.app/ptn_sn.php?ptn=222</x:v>
      </x:c>
    </x:row>
    <x:row r="1043">
      <x:c r="A1043" s="87" t="n">
        <x:v>3298</x:v>
      </x:c>
      <x:c r="B1043" s="87" t="n">
        <x:v>222</x:v>
      </x:c>
      <x:c r="C1043" s="66" t="str">
        <x:v>POLITEKNIK NEGERI MEDAN</x:v>
      </x:c>
      <x:c r="D1043" s="66" t="str">
        <x:v>PTN Vokasi</x:v>
      </x:c>
      <x:c r="E1043" s="66" t="str">
        <x:v>22222002</x:v>
      </x:c>
      <x:c r="F1043" s="66" t="str">
        <x:v>MANAJEMEN REKAYASA KONSTRUKSI GEDUNG</x:v>
      </x:c>
      <x:c r="G1043" s="66" t="str">
        <x:v>Sarjana Terapan</x:v>
      </x:c>
      <x:c r="H1043" s="87" t="n">
        <x:v>42</x:v>
      </x:c>
      <x:c r="I1043" s="87" t="n">
        <x:v>112</x:v>
      </x:c>
      <x:c r="J1043" s="68" t="n">
        <x:f>IFERROR(H1043/I1043,"")</x:f>
        <x:v>0.375</x:v>
      </x:c>
      <x:c r="K1043" s="69" t="n">
        <x:f>IFERROR(I1043/H1043,"")</x:f>
        <x:v>2.6666666666666665</x:v>
      </x:c>
      <x:c r="L1043" s="66" t="str">
        <x:f>IF(K1043="","","1 : "&amp;TEXT(K1043,"0.0"))</x:f>
        <x:v>1 : 2.7</x:v>
      </x:c>
      <x:c r="M1043" s="66" t="str">
        <x:f>IF(J1043="","Baru/Tanpa Data",IF(J1043&lt;='Catatan &amp; Sumber'!$B$14,"Sangat Ketat",IF(J1043&lt;='Catatan &amp; Sumber'!$B$15,"Ketat",IF(J1043&lt;='Catatan &amp; Sumber'!$B$16,"Sedang","Relatif Longgar"))))</x:f>
        <x:v>Relatif Longgar</x:v>
      </x:c>
      <x:c r="N1043" s="66" t="str">
        <x:v>Tidak Ada</x:v>
      </x:c>
      <x:c r="O1043" s="66" t="str">
        <x:v>Sumatera Utara</x:v>
      </x:c>
      <x:c r="P1043" s="66" t="str">
        <x:v>Kota Medan</x:v>
      </x:c>
      <x:c r="Q1043" s="66" t="str">
        <x:v>https://snpmb.id/snbp/daya-tampung-snbp</x:v>
      </x:c>
      <x:c r="R1043" s="66" t="str">
        <x:v>https://sidatagrun-public-1076756628210.asia-southeast2.run.app/ptn_sn.php?ptn=222</x:v>
      </x:c>
    </x:row>
    <x:row r="1044">
      <x:c r="A1044" s="87" t="n">
        <x:v>2217</x:v>
      </x:c>
      <x:c r="B1044" s="87" t="n">
        <x:v>222</x:v>
      </x:c>
      <x:c r="C1044" s="66" t="str">
        <x:v>POLITEKNIK NEGERI MEDAN</x:v>
      </x:c>
      <x:c r="D1044" s="66" t="str">
        <x:v>PTN Vokasi</x:v>
      </x:c>
      <x:c r="E1044" s="66" t="str">
        <x:v>22222003</x:v>
      </x:c>
      <x:c r="F1044" s="66" t="str">
        <x:v>TEKNIK REKAYASA PERANGKAT LUNAK</x:v>
      </x:c>
      <x:c r="G1044" s="66" t="str">
        <x:v>Sarjana Terapan</x:v>
      </x:c>
      <x:c r="H1044" s="87" t="n">
        <x:v>49</x:v>
      </x:c>
      <x:c r="I1044" s="87" t="n">
        <x:v>281</x:v>
      </x:c>
      <x:c r="J1044" s="68" t="n">
        <x:f>IFERROR(H1044/I1044,"")</x:f>
        <x:v>0.17437722419928825</x:v>
      </x:c>
      <x:c r="K1044" s="69" t="n">
        <x:f>IFERROR(I1044/H1044,"")</x:f>
        <x:v>5.73469387755102</x:v>
      </x:c>
      <x:c r="L1044" s="66" t="str">
        <x:f>IF(K1044="","","1 : "&amp;TEXT(K1044,"0.0"))</x:f>
        <x:v>1 : 5.7</x:v>
      </x:c>
      <x:c r="M1044" s="66" t="str">
        <x:f>IF(J1044="","Baru/Tanpa Data",IF(J1044&lt;='Catatan &amp; Sumber'!$B$14,"Sangat Ketat",IF(J1044&lt;='Catatan &amp; Sumber'!$B$15,"Ketat",IF(J1044&lt;='Catatan &amp; Sumber'!$B$16,"Sedang","Relatif Longgar"))))</x:f>
        <x:v>Relatif Longgar</x:v>
      </x:c>
      <x:c r="N1044" s="66" t="str">
        <x:v>Tidak Ada</x:v>
      </x:c>
      <x:c r="O1044" s="66" t="str">
        <x:v>Sumatera Utara</x:v>
      </x:c>
      <x:c r="P1044" s="66" t="str">
        <x:v>Kota Medan</x:v>
      </x:c>
      <x:c r="Q1044" s="66" t="str">
        <x:v>https://snpmb.id/snbp/daya-tampung-snbp</x:v>
      </x:c>
      <x:c r="R1044" s="66" t="str">
        <x:v>https://sidatagrun-public-1076756628210.asia-southeast2.run.app/ptn_sn.php?ptn=222</x:v>
      </x:c>
    </x:row>
    <x:row r="1045">
      <x:c r="A1045" s="87" t="n">
        <x:v>2527</x:v>
      </x:c>
      <x:c r="B1045" s="87" t="n">
        <x:v>222</x:v>
      </x:c>
      <x:c r="C1045" s="66" t="str">
        <x:v>POLITEKNIK NEGERI MEDAN</x:v>
      </x:c>
      <x:c r="D1045" s="66" t="str">
        <x:v>PTN Vokasi</x:v>
      </x:c>
      <x:c r="E1045" s="66" t="str">
        <x:v>22222004</x:v>
      </x:c>
      <x:c r="F1045" s="66" t="str">
        <x:v>TEKNIK REKAYASA MULTIMEDIA GRAFIS</x:v>
      </x:c>
      <x:c r="G1045" s="66" t="str">
        <x:v>Sarjana Terapan</x:v>
      </x:c>
      <x:c r="H1045" s="87" t="n">
        <x:v>52</x:v>
      </x:c>
      <x:c r="I1045" s="87" t="n">
        <x:v>241</x:v>
      </x:c>
      <x:c r="J1045" s="68" t="n">
        <x:f>IFERROR(H1045/I1045,"")</x:f>
        <x:v>0.2157676348547718</x:v>
      </x:c>
      <x:c r="K1045" s="69" t="n">
        <x:f>IFERROR(I1045/H1045,"")</x:f>
        <x:v>4.634615384615385</x:v>
      </x:c>
      <x:c r="L1045" s="66" t="str">
        <x:f>IF(K1045="","","1 : "&amp;TEXT(K1045,"0.0"))</x:f>
        <x:v>1 : 4.6</x:v>
      </x:c>
      <x:c r="M1045" s="66" t="str">
        <x:f>IF(J1045="","Baru/Tanpa Data",IF(J1045&lt;='Catatan &amp; Sumber'!$B$14,"Sangat Ketat",IF(J1045&lt;='Catatan &amp; Sumber'!$B$15,"Ketat",IF(J1045&lt;='Catatan &amp; Sumber'!$B$16,"Sedang","Relatif Longgar"))))</x:f>
        <x:v>Relatif Longgar</x:v>
      </x:c>
      <x:c r="N1045" s="66" t="str">
        <x:v>Tidak Ada</x:v>
      </x:c>
      <x:c r="O1045" s="66" t="str">
        <x:v>Sumatera Utara</x:v>
      </x:c>
      <x:c r="P1045" s="66" t="str">
        <x:v>Kota Medan</x:v>
      </x:c>
      <x:c r="Q1045" s="66" t="str">
        <x:v>https://snpmb.id/snbp/daya-tampung-snbp</x:v>
      </x:c>
      <x:c r="R1045" s="66" t="str">
        <x:v>https://sidatagrun-public-1076756628210.asia-southeast2.run.app/ptn_sn.php?ptn=222</x:v>
      </x:c>
    </x:row>
    <x:row r="1046">
      <x:c r="A1046" s="87" t="n">
        <x:v>2512</x:v>
      </x:c>
      <x:c r="B1046" s="87" t="n">
        <x:v>222</x:v>
      </x:c>
      <x:c r="C1046" s="66" t="str">
        <x:v>POLITEKNIK NEGERI MEDAN</x:v>
      </x:c>
      <x:c r="D1046" s="66" t="str">
        <x:v>PTN Vokasi</x:v>
      </x:c>
      <x:c r="E1046" s="66" t="str">
        <x:v>22222005</x:v>
      </x:c>
      <x:c r="F1046" s="66" t="str">
        <x:v>TEKNOLOGI REKAYASA JARINGAN TELEKOMUNIKASI</x:v>
      </x:c>
      <x:c r="G1046" s="66" t="str">
        <x:v>Sarjana Terapan</x:v>
      </x:c>
      <x:c r="H1046" s="87" t="n">
        <x:v>45</x:v>
      </x:c>
      <x:c r="I1046" s="87" t="n">
        <x:v>211</x:v>
      </x:c>
      <x:c r="J1046" s="68" t="n">
        <x:f>IFERROR(H1046/I1046,"")</x:f>
        <x:v>0.2132701421800948</x:v>
      </x:c>
      <x:c r="K1046" s="69" t="n">
        <x:f>IFERROR(I1046/H1046,"")</x:f>
        <x:v>4.688888888888889</x:v>
      </x:c>
      <x:c r="L1046" s="66" t="str">
        <x:f>IF(K1046="","","1 : "&amp;TEXT(K1046,"0.0"))</x:f>
        <x:v>1 : 4.7</x:v>
      </x:c>
      <x:c r="M1046" s="66" t="str">
        <x:f>IF(J1046="","Baru/Tanpa Data",IF(J1046&lt;='Catatan &amp; Sumber'!$B$14,"Sangat Ketat",IF(J1046&lt;='Catatan &amp; Sumber'!$B$15,"Ketat",IF(J1046&lt;='Catatan &amp; Sumber'!$B$16,"Sedang","Relatif Longgar"))))</x:f>
        <x:v>Relatif Longgar</x:v>
      </x:c>
      <x:c r="N1046" s="66" t="str">
        <x:v>Tidak Ada</x:v>
      </x:c>
      <x:c r="O1046" s="66" t="str">
        <x:v>Sumatera Utara</x:v>
      </x:c>
      <x:c r="P1046" s="66" t="str">
        <x:v>Kota Medan</x:v>
      </x:c>
      <x:c r="Q1046" s="66" t="str">
        <x:v>https://snpmb.id/snbp/daya-tampung-snbp</x:v>
      </x:c>
      <x:c r="R1046" s="66" t="str">
        <x:v>https://sidatagrun-public-1076756628210.asia-southeast2.run.app/ptn_sn.php?ptn=222</x:v>
      </x:c>
    </x:row>
    <x:row r="1047">
      <x:c r="A1047" s="87" t="n">
        <x:v>2869</x:v>
      </x:c>
      <x:c r="B1047" s="87" t="n">
        <x:v>222</x:v>
      </x:c>
      <x:c r="C1047" s="66" t="str">
        <x:v>POLITEKNIK NEGERI MEDAN</x:v>
      </x:c>
      <x:c r="D1047" s="66" t="str">
        <x:v>PTN Vokasi</x:v>
      </x:c>
      <x:c r="E1047" s="66" t="str">
        <x:v>22222006</x:v>
      </x:c>
      <x:c r="F1047" s="66" t="str">
        <x:v>TEKNOLOGI REKAYASA PENGELASAN DAN FABRIKASI</x:v>
      </x:c>
      <x:c r="G1047" s="66" t="str">
        <x:v>Sarjana Terapan</x:v>
      </x:c>
      <x:c r="H1047" s="87" t="n">
        <x:v>23</x:v>
      </x:c>
      <x:c r="I1047" s="87" t="n">
        <x:v>85</x:v>
      </x:c>
      <x:c r="J1047" s="68" t="n">
        <x:f>IFERROR(H1047/I1047,"")</x:f>
        <x:v>0.27058823529411763</x:v>
      </x:c>
      <x:c r="K1047" s="69" t="n">
        <x:f>IFERROR(I1047/H1047,"")</x:f>
        <x:v>3.6956521739130435</x:v>
      </x:c>
      <x:c r="L1047" s="66" t="str">
        <x:f>IF(K1047="","","1 : "&amp;TEXT(K1047,"0.0"))</x:f>
        <x:v>1 : 3.7</x:v>
      </x:c>
      <x:c r="M1047" s="66" t="str">
        <x:f>IF(J1047="","Baru/Tanpa Data",IF(J1047&lt;='Catatan &amp; Sumber'!$B$14,"Sangat Ketat",IF(J1047&lt;='Catatan &amp; Sumber'!$B$15,"Ketat",IF(J1047&lt;='Catatan &amp; Sumber'!$B$16,"Sedang","Relatif Longgar"))))</x:f>
        <x:v>Relatif Longgar</x:v>
      </x:c>
      <x:c r="N1047" s="66" t="str">
        <x:v>Tidak Ada</x:v>
      </x:c>
      <x:c r="O1047" s="66" t="str">
        <x:v>Sumatera Utara</x:v>
      </x:c>
      <x:c r="P1047" s="66" t="str">
        <x:v>Kota Medan</x:v>
      </x:c>
      <x:c r="Q1047" s="66" t="str">
        <x:v>https://snpmb.id/snbp/daya-tampung-snbp</x:v>
      </x:c>
      <x:c r="R1047" s="66" t="str">
        <x:v>https://sidatagrun-public-1076756628210.asia-southeast2.run.app/ptn_sn.php?ptn=222</x:v>
      </x:c>
    </x:row>
    <x:row r="1048">
      <x:c r="A1048" s="87" t="n">
        <x:v>2520</x:v>
      </x:c>
      <x:c r="B1048" s="87" t="n">
        <x:v>222</x:v>
      </x:c>
      <x:c r="C1048" s="66" t="str">
        <x:v>POLITEKNIK NEGERI MEDAN</x:v>
      </x:c>
      <x:c r="D1048" s="66" t="str">
        <x:v>PTN Vokasi</x:v>
      </x:c>
      <x:c r="E1048" s="66" t="str">
        <x:v>22222007</x:v>
      </x:c>
      <x:c r="F1048" s="66" t="str">
        <x:v>KEUANGAN DAN PERBANKAN SYARIAH</x:v>
      </x:c>
      <x:c r="G1048" s="66" t="str">
        <x:v>Sarjana Terapan</x:v>
      </x:c>
      <x:c r="H1048" s="87" t="n">
        <x:v>34</x:v>
      </x:c>
      <x:c r="I1048" s="87" t="n">
        <x:v>158</x:v>
      </x:c>
      <x:c r="J1048" s="68" t="n">
        <x:f>IFERROR(H1048/I1048,"")</x:f>
        <x:v>0.21518987341772153</x:v>
      </x:c>
      <x:c r="K1048" s="69" t="n">
        <x:f>IFERROR(I1048/H1048,"")</x:f>
        <x:v>4.647058823529412</x:v>
      </x:c>
      <x:c r="L1048" s="66" t="str">
        <x:f>IF(K1048="","","1 : "&amp;TEXT(K1048,"0.0"))</x:f>
        <x:v>1 : 4.6</x:v>
      </x:c>
      <x:c r="M1048" s="66" t="str">
        <x:f>IF(J1048="","Baru/Tanpa Data",IF(J1048&lt;='Catatan &amp; Sumber'!$B$14,"Sangat Ketat",IF(J1048&lt;='Catatan &amp; Sumber'!$B$15,"Ketat",IF(J1048&lt;='Catatan &amp; Sumber'!$B$16,"Sedang","Relatif Longgar"))))</x:f>
        <x:v>Relatif Longgar</x:v>
      </x:c>
      <x:c r="N1048" s="66" t="str">
        <x:v>Tidak Ada</x:v>
      </x:c>
      <x:c r="O1048" s="66" t="str">
        <x:v>Sumatera Utara</x:v>
      </x:c>
      <x:c r="P1048" s="66" t="str">
        <x:v>Kota Medan</x:v>
      </x:c>
      <x:c r="Q1048" s="66" t="str">
        <x:v>https://snpmb.id/snbp/daya-tampung-snbp</x:v>
      </x:c>
      <x:c r="R1048" s="66" t="str">
        <x:v>https://sidatagrun-public-1076756628210.asia-southeast2.run.app/ptn_sn.php?ptn=222</x:v>
      </x:c>
    </x:row>
    <x:row r="1049">
      <x:c r="A1049" s="87" t="n">
        <x:v>1548</x:v>
      </x:c>
      <x:c r="B1049" s="87" t="n">
        <x:v>222</x:v>
      </x:c>
      <x:c r="C1049" s="66" t="str">
        <x:v>POLITEKNIK NEGERI MEDAN</x:v>
      </x:c>
      <x:c r="D1049" s="66" t="str">
        <x:v>PTN Vokasi</x:v>
      </x:c>
      <x:c r="E1049" s="66" t="str">
        <x:v>22222008</x:v>
      </x:c>
      <x:c r="F1049" s="66" t="str">
        <x:v>AKUNTANSI KEUANGAN PUBLIK</x:v>
      </x:c>
      <x:c r="G1049" s="66" t="str">
        <x:v>Sarjana Terapan</x:v>
      </x:c>
      <x:c r="H1049" s="87" t="n">
        <x:v>49</x:v>
      </x:c>
      <x:c r="I1049" s="87" t="n">
        <x:v>433</x:v>
      </x:c>
      <x:c r="J1049" s="68" t="n">
        <x:f>IFERROR(H1049/I1049,"")</x:f>
        <x:v>0.11316397228637413</x:v>
      </x:c>
      <x:c r="K1049" s="69" t="n">
        <x:f>IFERROR(I1049/H1049,"")</x:f>
        <x:v>8.83673469387755</x:v>
      </x:c>
      <x:c r="L1049" s="66" t="str">
        <x:f>IF(K1049="","","1 : "&amp;TEXT(K1049,"0.0"))</x:f>
        <x:v>1 : 8.8</x:v>
      </x:c>
      <x:c r="M1049" s="66" t="str">
        <x:f>IF(J1049="","Baru/Tanpa Data",IF(J1049&lt;='Catatan &amp; Sumber'!$B$14,"Sangat Ketat",IF(J1049&lt;='Catatan &amp; Sumber'!$B$15,"Ketat",IF(J1049&lt;='Catatan &amp; Sumber'!$B$16,"Sedang","Relatif Longgar"))))</x:f>
        <x:v>Relatif Longgar</x:v>
      </x:c>
      <x:c r="N1049" s="66" t="str">
        <x:v>Tidak Ada</x:v>
      </x:c>
      <x:c r="O1049" s="66" t="str">
        <x:v>Sumatera Utara</x:v>
      </x:c>
      <x:c r="P1049" s="66" t="str">
        <x:v>Kota Medan</x:v>
      </x:c>
      <x:c r="Q1049" s="66" t="str">
        <x:v>https://snpmb.id/snbp/daya-tampung-snbp</x:v>
      </x:c>
      <x:c r="R1049" s="66" t="str">
        <x:v>https://sidatagrun-public-1076756628210.asia-southeast2.run.app/ptn_sn.php?ptn=222</x:v>
      </x:c>
    </x:row>
    <x:row r="1050">
      <x:c r="A1050" s="87" t="n">
        <x:v>3084</x:v>
      </x:c>
      <x:c r="B1050" s="87" t="n">
        <x:v>222</x:v>
      </x:c>
      <x:c r="C1050" s="66" t="str">
        <x:v>POLITEKNIK NEGERI MEDAN</x:v>
      </x:c>
      <x:c r="D1050" s="66" t="str">
        <x:v>PTN Vokasi</x:v>
      </x:c>
      <x:c r="E1050" s="66" t="str">
        <x:v>22222009</x:v>
      </x:c>
      <x:c r="F1050" s="66" t="str">
        <x:v>MEETING, INCENTIVE, CONVENTION, EXHIBITION</x:v>
      </x:c>
      <x:c r="G1050" s="66" t="str">
        <x:v>Sarjana Terapan</x:v>
      </x:c>
      <x:c r="H1050" s="87" t="n">
        <x:v>40</x:v>
      </x:c>
      <x:c r="I1050" s="87" t="n">
        <x:v>128</x:v>
      </x:c>
      <x:c r="J1050" s="68" t="n">
        <x:f>IFERROR(H1050/I1050,"")</x:f>
        <x:v>0.3125</x:v>
      </x:c>
      <x:c r="K1050" s="69" t="n">
        <x:f>IFERROR(I1050/H1050,"")</x:f>
        <x:v>3.2</x:v>
      </x:c>
      <x:c r="L1050" s="66" t="str">
        <x:f>IF(K1050="","","1 : "&amp;TEXT(K1050,"0.0"))</x:f>
        <x:v>1 : 3.2</x:v>
      </x:c>
      <x:c r="M1050" s="66" t="str">
        <x:f>IF(J1050="","Baru/Tanpa Data",IF(J1050&lt;='Catatan &amp; Sumber'!$B$14,"Sangat Ketat",IF(J1050&lt;='Catatan &amp; Sumber'!$B$15,"Ketat",IF(J1050&lt;='Catatan &amp; Sumber'!$B$16,"Sedang","Relatif Longgar"))))</x:f>
        <x:v>Relatif Longgar</x:v>
      </x:c>
      <x:c r="N1050" s="66" t="str">
        <x:v>Tidak Ada</x:v>
      </x:c>
      <x:c r="O1050" s="66" t="str">
        <x:v>Sumatera Utara</x:v>
      </x:c>
      <x:c r="P1050" s="66" t="str">
        <x:v>Kota Medan</x:v>
      </x:c>
      <x:c r="Q1050" s="66" t="str">
        <x:v>https://snpmb.id/snbp/daya-tampung-snbp</x:v>
      </x:c>
      <x:c r="R1050" s="66" t="str">
        <x:v>https://sidatagrun-public-1076756628210.asia-southeast2.run.app/ptn_sn.php?ptn=222</x:v>
      </x:c>
    </x:row>
    <x:row r="1051">
      <x:c r="A1051" s="87" t="n">
        <x:v>1181</x:v>
      </x:c>
      <x:c r="B1051" s="87" t="n">
        <x:v>222</x:v>
      </x:c>
      <x:c r="C1051" s="66" t="str">
        <x:v>POLITEKNIK NEGERI MEDAN</x:v>
      </x:c>
      <x:c r="D1051" s="66" t="str">
        <x:v>PTN Vokasi</x:v>
      </x:c>
      <x:c r="E1051" s="66" t="str">
        <x:v>22222010</x:v>
      </x:c>
      <x:c r="F1051" s="66" t="str">
        <x:v>MANAJEMEN BISNIS</x:v>
      </x:c>
      <x:c r="G1051" s="66" t="str">
        <x:v>Sarjana Terapan</x:v>
      </x:c>
      <x:c r="H1051" s="87" t="n">
        <x:v>55</x:v>
      </x:c>
      <x:c r="I1051" s="87" t="n">
        <x:v>621</x:v>
      </x:c>
      <x:c r="J1051" s="68" t="n">
        <x:f>IFERROR(H1051/I1051,"")</x:f>
        <x:v>0.08856682769726248</x:v>
      </x:c>
      <x:c r="K1051" s="69" t="n">
        <x:f>IFERROR(I1051/H1051,"")</x:f>
        <x:v>11.290909090909091</x:v>
      </x:c>
      <x:c r="L1051" s="66" t="str">
        <x:f>IF(K1051="","","1 : "&amp;TEXT(K1051,"0.0"))</x:f>
        <x:v>1 : 11.3</x:v>
      </x:c>
      <x:c r="M1051" s="66" t="str">
        <x:f>IF(J1051="","Baru/Tanpa Data",IF(J1051&lt;='Catatan &amp; Sumber'!$B$14,"Sangat Ketat",IF(J1051&lt;='Catatan &amp; Sumber'!$B$15,"Ketat",IF(J1051&lt;='Catatan &amp; Sumber'!$B$16,"Sedang","Relatif Longgar"))))</x:f>
        <x:v>Sedang</x:v>
      </x:c>
      <x:c r="N1051" s="66" t="str">
        <x:v>Tidak Ada</x:v>
      </x:c>
      <x:c r="O1051" s="66" t="str">
        <x:v>Sumatera Utara</x:v>
      </x:c>
      <x:c r="P1051" s="66" t="str">
        <x:v>Kota Medan</x:v>
      </x:c>
      <x:c r="Q1051" s="66" t="str">
        <x:v>https://snpmb.id/snbp/daya-tampung-snbp</x:v>
      </x:c>
      <x:c r="R1051" s="66" t="str">
        <x:v>https://sidatagrun-public-1076756628210.asia-southeast2.run.app/ptn_sn.php?ptn=222</x:v>
      </x:c>
    </x:row>
    <x:row r="1052">
      <x:c r="A1052" s="87" t="n">
        <x:v>2762</x:v>
      </x:c>
      <x:c r="B1052" s="87" t="n">
        <x:v>222</x:v>
      </x:c>
      <x:c r="C1052" s="66" t="str">
        <x:v>POLITEKNIK NEGERI MEDAN</x:v>
      </x:c>
      <x:c r="D1052" s="66" t="str">
        <x:v>PTN Vokasi</x:v>
      </x:c>
      <x:c r="E1052" s="66" t="str">
        <x:v>22222022</x:v>
      </x:c>
      <x:c r="F1052" s="66" t="str">
        <x:v>TEKNOLOGI REKAYASA INSTALASI LISTRIK</x:v>
      </x:c>
      <x:c r="G1052" s="66" t="str">
        <x:v>Sarjana Terapan</x:v>
      </x:c>
      <x:c r="H1052" s="87" t="n">
        <x:v>21</x:v>
      </x:c>
      <x:c r="I1052" s="87" t="n">
        <x:v>83</x:v>
      </x:c>
      <x:c r="J1052" s="68" t="n">
        <x:f>IFERROR(H1052/I1052,"")</x:f>
        <x:v>0.25301204819277107</x:v>
      </x:c>
      <x:c r="K1052" s="69" t="n">
        <x:f>IFERROR(I1052/H1052,"")</x:f>
        <x:v>3.9523809523809526</x:v>
      </x:c>
      <x:c r="L1052" s="66" t="str">
        <x:f>IF(K1052="","","1 : "&amp;TEXT(K1052,"0.0"))</x:f>
        <x:v>1 : 4.0</x:v>
      </x:c>
      <x:c r="M1052" s="66" t="str">
        <x:f>IF(J1052="","Baru/Tanpa Data",IF(J1052&lt;='Catatan &amp; Sumber'!$B$14,"Sangat Ketat",IF(J1052&lt;='Catatan &amp; Sumber'!$B$15,"Ketat",IF(J1052&lt;='Catatan &amp; Sumber'!$B$16,"Sedang","Relatif Longgar"))))</x:f>
        <x:v>Relatif Longgar</x:v>
      </x:c>
      <x:c r="N1052" s="66" t="str">
        <x:v>Tidak Ada</x:v>
      </x:c>
      <x:c r="O1052" s="66" t="str">
        <x:v>Sumatera Utara</x:v>
      </x:c>
      <x:c r="P1052" s="66" t="str">
        <x:v>Kota Medan</x:v>
      </x:c>
      <x:c r="Q1052" s="66" t="str">
        <x:v>https://snpmb.id/snbp/daya-tampung-snbp</x:v>
      </x:c>
      <x:c r="R1052" s="66" t="str">
        <x:v>https://sidatagrun-public-1076756628210.asia-southeast2.run.app/ptn_sn.php?ptn=222</x:v>
      </x:c>
    </x:row>
    <x:row r="1053">
      <x:c r="A1053" s="87" t="n">
        <x:v>3154</x:v>
      </x:c>
      <x:c r="B1053" s="87" t="n">
        <x:v>222</x:v>
      </x:c>
      <x:c r="C1053" s="66" t="str">
        <x:v>POLITEKNIK NEGERI MEDAN</x:v>
      </x:c>
      <x:c r="D1053" s="66" t="str">
        <x:v>PTN Vokasi</x:v>
      </x:c>
      <x:c r="E1053" s="66" t="str">
        <x:v>22222023</x:v>
      </x:c>
      <x:c r="F1053" s="66" t="str">
        <x:v>TEKNOLOGI REKAYASA ENERGI TERBARUKAN</x:v>
      </x:c>
      <x:c r="G1053" s="66" t="str">
        <x:v>Sarjana Terapan</x:v>
      </x:c>
      <x:c r="H1053" s="87" t="n">
        <x:v>23</x:v>
      </x:c>
      <x:c r="I1053" s="87" t="n">
        <x:v>70</x:v>
      </x:c>
      <x:c r="J1053" s="68" t="n">
        <x:f>IFERROR(H1053/I1053,"")</x:f>
        <x:v>0.32857142857142857</x:v>
      </x:c>
      <x:c r="K1053" s="69" t="n">
        <x:f>IFERROR(I1053/H1053,"")</x:f>
        <x:v>3.0434782608695654</x:v>
      </x:c>
      <x:c r="L1053" s="66" t="str">
        <x:f>IF(K1053="","","1 : "&amp;TEXT(K1053,"0.0"))</x:f>
        <x:v>1 : 3.0</x:v>
      </x:c>
      <x:c r="M1053" s="66" t="str">
        <x:f>IF(J1053="","Baru/Tanpa Data",IF(J1053&lt;='Catatan &amp; Sumber'!$B$14,"Sangat Ketat",IF(J1053&lt;='Catatan &amp; Sumber'!$B$15,"Ketat",IF(J1053&lt;='Catatan &amp; Sumber'!$B$16,"Sedang","Relatif Longgar"))))</x:f>
        <x:v>Relatif Longgar</x:v>
      </x:c>
      <x:c r="N1053" s="66" t="str">
        <x:v>Tidak Ada</x:v>
      </x:c>
      <x:c r="O1053" s="66" t="str">
        <x:v>Sumatera Utara</x:v>
      </x:c>
      <x:c r="P1053" s="66" t="str">
        <x:v>Kota Medan</x:v>
      </x:c>
      <x:c r="Q1053" s="66" t="str">
        <x:v>https://snpmb.id/snbp/daya-tampung-snbp</x:v>
      </x:c>
      <x:c r="R1053" s="66" t="str">
        <x:v>https://sidatagrun-public-1076756628210.asia-southeast2.run.app/ptn_sn.php?ptn=222</x:v>
      </x:c>
    </x:row>
    <x:row r="1054">
      <x:c r="A1054" s="87" t="n">
        <x:v>3093</x:v>
      </x:c>
      <x:c r="B1054" s="87" t="n">
        <x:v>222</x:v>
      </x:c>
      <x:c r="C1054" s="66" t="str">
        <x:v>POLITEKNIK NEGERI MEDAN</x:v>
      </x:c>
      <x:c r="D1054" s="66" t="str">
        <x:v>PTN Vokasi</x:v>
      </x:c>
      <x:c r="E1054" s="66" t="str">
        <x:v>22222024</x:v>
      </x:c>
      <x:c r="F1054" s="66" t="str">
        <x:v>TEKNOLOGI REKAYASA OTOMASI</x:v>
      </x:c>
      <x:c r="G1054" s="66" t="str">
        <x:v>Sarjana Terapan</x:v>
      </x:c>
      <x:c r="H1054" s="87" t="n">
        <x:v>16</x:v>
      </x:c>
      <x:c r="I1054" s="87" t="n">
        <x:v>51</x:v>
      </x:c>
      <x:c r="J1054" s="68" t="n">
        <x:f>IFERROR(H1054/I1054,"")</x:f>
        <x:v>0.3137254901960784</x:v>
      </x:c>
      <x:c r="K1054" s="69" t="n">
        <x:f>IFERROR(I1054/H1054,"")</x:f>
        <x:v>3.1875</x:v>
      </x:c>
      <x:c r="L1054" s="66" t="str">
        <x:f>IF(K1054="","","1 : "&amp;TEXT(K1054,"0.0"))</x:f>
        <x:v>1 : 3.2</x:v>
      </x:c>
      <x:c r="M1054" s="66" t="str">
        <x:f>IF(J1054="","Baru/Tanpa Data",IF(J1054&lt;='Catatan &amp; Sumber'!$B$14,"Sangat Ketat",IF(J1054&lt;='Catatan &amp; Sumber'!$B$15,"Ketat",IF(J1054&lt;='Catatan &amp; Sumber'!$B$16,"Sedang","Relatif Longgar"))))</x:f>
        <x:v>Relatif Longgar</x:v>
      </x:c>
      <x:c r="N1054" s="66" t="str">
        <x:v>Tidak Ada</x:v>
      </x:c>
      <x:c r="O1054" s="66" t="str">
        <x:v>Sumatera Utara</x:v>
      </x:c>
      <x:c r="P1054" s="66" t="str">
        <x:v>Kota Medan</x:v>
      </x:c>
      <x:c r="Q1054" s="66" t="str">
        <x:v>https://snpmb.id/snbp/daya-tampung-snbp</x:v>
      </x:c>
      <x:c r="R1054" s="66" t="str">
        <x:v>https://sidatagrun-public-1076756628210.asia-southeast2.run.app/ptn_sn.php?ptn=222</x:v>
      </x:c>
    </x:row>
    <x:row r="1055">
      <x:c r="A1055" s="87" t="n">
        <x:v>4017</x:v>
      </x:c>
      <x:c r="B1055" s="87" t="n">
        <x:v>222</x:v>
      </x:c>
      <x:c r="C1055" s="66" t="str">
        <x:v>POLITEKNIK NEGERI MEDAN</x:v>
      </x:c>
      <x:c r="D1055" s="66" t="str">
        <x:v>PTN Vokasi</x:v>
      </x:c>
      <x:c r="E1055" s="66" t="str">
        <x:v>22222025</x:v>
      </x:c>
      <x:c r="F1055" s="66" t="str">
        <x:v>TEKNOLOGI REKAYASA MANUFAKTUR</x:v>
      </x:c>
      <x:c r="G1055" s="66" t="str">
        <x:v>Sarjana Terapan</x:v>
      </x:c>
      <x:c r="H1055" s="87" t="n">
        <x:v>23</x:v>
      </x:c>
      <x:c r="I1055" s="87" t="n">
        <x:v>33</x:v>
      </x:c>
      <x:c r="J1055" s="68" t="n">
        <x:f>IFERROR(H1055/I1055,"")</x:f>
        <x:v>0.696969696969697</x:v>
      </x:c>
      <x:c r="K1055" s="69" t="n">
        <x:f>IFERROR(I1055/H1055,"")</x:f>
        <x:v>1.434782608695652</x:v>
      </x:c>
      <x:c r="L1055" s="66" t="str">
        <x:f>IF(K1055="","","1 : "&amp;TEXT(K1055,"0.0"))</x:f>
        <x:v>1 : 1.4</x:v>
      </x:c>
      <x:c r="M1055" s="66" t="str">
        <x:f>IF(J1055="","Baru/Tanpa Data",IF(J1055&lt;='Catatan &amp; Sumber'!$B$14,"Sangat Ketat",IF(J1055&lt;='Catatan &amp; Sumber'!$B$15,"Ketat",IF(J1055&lt;='Catatan &amp; Sumber'!$B$16,"Sedang","Relatif Longgar"))))</x:f>
        <x:v>Relatif Longgar</x:v>
      </x:c>
      <x:c r="N1055" s="66" t="str">
        <x:v>Tidak Ada</x:v>
      </x:c>
      <x:c r="O1055" s="66" t="str">
        <x:v>Sumatera Utara</x:v>
      </x:c>
      <x:c r="P1055" s="66" t="str">
        <x:v>Kota Medan</x:v>
      </x:c>
      <x:c r="Q1055" s="66" t="str">
        <x:v>https://snpmb.id/snbp/daya-tampung-snbp</x:v>
      </x:c>
      <x:c r="R1055" s="66" t="str">
        <x:v>https://sidatagrun-public-1076756628210.asia-southeast2.run.app/ptn_sn.php?ptn=222</x:v>
      </x:c>
    </x:row>
    <x:row r="1056">
      <x:c r="A1056" s="87" t="n">
        <x:v>2636</x:v>
      </x:c>
      <x:c r="B1056" s="87" t="n">
        <x:v>222</x:v>
      </x:c>
      <x:c r="C1056" s="66" t="str">
        <x:v>POLITEKNIK NEGERI MEDAN</x:v>
      </x:c>
      <x:c r="D1056" s="66" t="str">
        <x:v>PTN Vokasi</x:v>
      </x:c>
      <x:c r="E1056" s="66" t="str">
        <x:v>22222026</x:v>
      </x:c>
      <x:c r="F1056" s="66" t="str">
        <x:v>TEKNOLOGI REKAYASA KIMIA INDUSTRI</x:v>
      </x:c>
      <x:c r="G1056" s="66" t="str">
        <x:v>Sarjana Terapan</x:v>
      </x:c>
      <x:c r="H1056" s="87" t="n">
        <x:v>21</x:v>
      </x:c>
      <x:c r="I1056" s="87" t="n">
        <x:v>90</x:v>
      </x:c>
      <x:c r="J1056" s="68" t="n">
        <x:f>IFERROR(H1056/I1056,"")</x:f>
        <x:v>0.23333333333333334</x:v>
      </x:c>
      <x:c r="K1056" s="69" t="n">
        <x:f>IFERROR(I1056/H1056,"")</x:f>
        <x:v>4.285714285714286</x:v>
      </x:c>
      <x:c r="L1056" s="66" t="str">
        <x:f>IF(K1056="","","1 : "&amp;TEXT(K1056,"0.0"))</x:f>
        <x:v>1 : 4.3</x:v>
      </x:c>
      <x:c r="M1056" s="66" t="str">
        <x:f>IF(J1056="","Baru/Tanpa Data",IF(J1056&lt;='Catatan &amp; Sumber'!$B$14,"Sangat Ketat",IF(J1056&lt;='Catatan &amp; Sumber'!$B$15,"Ketat",IF(J1056&lt;='Catatan &amp; Sumber'!$B$16,"Sedang","Relatif Longgar"))))</x:f>
        <x:v>Relatif Longgar</x:v>
      </x:c>
      <x:c r="N1056" s="66" t="str">
        <x:v>Tidak Ada</x:v>
      </x:c>
      <x:c r="O1056" s="66" t="str">
        <x:v>Sumatera Utara</x:v>
      </x:c>
      <x:c r="P1056" s="66" t="str">
        <x:v>Kota Medan</x:v>
      </x:c>
      <x:c r="Q1056" s="66" t="str">
        <x:v>https://snpmb.id/snbp/daya-tampung-snbp</x:v>
      </x:c>
      <x:c r="R1056" s="66" t="str">
        <x:v>https://sidatagrun-public-1076756628210.asia-southeast2.run.app/ptn_sn.php?ptn=222</x:v>
      </x:c>
    </x:row>
    <x:row r="1057">
      <x:c r="A1057" s="87" t="n">
        <x:v>2767</x:v>
      </x:c>
      <x:c r="B1057" s="87" t="n">
        <x:v>222</x:v>
      </x:c>
      <x:c r="C1057" s="66" t="str">
        <x:v>POLITEKNIK NEGERI MEDAN</x:v>
      </x:c>
      <x:c r="D1057" s="66" t="str">
        <x:v>PTN Vokasi</x:v>
      </x:c>
      <x:c r="E1057" s="66" t="str">
        <x:v>22223011</x:v>
      </x:c>
      <x:c r="F1057" s="66" t="str">
        <x:v>KEUANGAN DAN PERBANKAN</x:v>
      </x:c>
      <x:c r="G1057" s="66" t="str">
        <x:v>Diploma Tiga</x:v>
      </x:c>
      <x:c r="H1057" s="87" t="n">
        <x:v>90</x:v>
      </x:c>
      <x:c r="I1057" s="87" t="n">
        <x:v>355</x:v>
      </x:c>
      <x:c r="J1057" s="68" t="n">
        <x:f>IFERROR(H1057/I1057,"")</x:f>
        <x:v>0.2535211267605634</x:v>
      </x:c>
      <x:c r="K1057" s="69" t="n">
        <x:f>IFERROR(I1057/H1057,"")</x:f>
        <x:v>3.9444444444444446</x:v>
      </x:c>
      <x:c r="L1057" s="66" t="str">
        <x:f>IF(K1057="","","1 : "&amp;TEXT(K1057,"0.0"))</x:f>
        <x:v>1 : 3.9</x:v>
      </x:c>
      <x:c r="M1057" s="66" t="str">
        <x:f>IF(J1057="","Baru/Tanpa Data",IF(J1057&lt;='Catatan &amp; Sumber'!$B$14,"Sangat Ketat",IF(J1057&lt;='Catatan &amp; Sumber'!$B$15,"Ketat",IF(J1057&lt;='Catatan &amp; Sumber'!$B$16,"Sedang","Relatif Longgar"))))</x:f>
        <x:v>Relatif Longgar</x:v>
      </x:c>
      <x:c r="N1057" s="66" t="str">
        <x:v>Tidak Ada</x:v>
      </x:c>
      <x:c r="O1057" s="66" t="str">
        <x:v>Sumatera Utara</x:v>
      </x:c>
      <x:c r="P1057" s="66" t="str">
        <x:v>Kota Medan</x:v>
      </x:c>
      <x:c r="Q1057" s="66" t="str">
        <x:v>https://snpmb.id/snbp/daya-tampung-snbp</x:v>
      </x:c>
      <x:c r="R1057" s="66" t="str">
        <x:v>https://sidatagrun-public-1076756628210.asia-southeast2.run.app/ptn_sn.php?ptn=222</x:v>
      </x:c>
    </x:row>
    <x:row r="1058">
      <x:c r="A1058" s="87" t="n">
        <x:v>2151</x:v>
      </x:c>
      <x:c r="B1058" s="87" t="n">
        <x:v>222</x:v>
      </x:c>
      <x:c r="C1058" s="66" t="str">
        <x:v>POLITEKNIK NEGERI MEDAN</x:v>
      </x:c>
      <x:c r="D1058" s="66" t="str">
        <x:v>PTN Vokasi</x:v>
      </x:c>
      <x:c r="E1058" s="66" t="str">
        <x:v>22223012</x:v>
      </x:c>
      <x:c r="F1058" s="66" t="str">
        <x:v>TEKNIK KOMPUTER</x:v>
      </x:c>
      <x:c r="G1058" s="66" t="str">
        <x:v>Diploma Tiga</x:v>
      </x:c>
      <x:c r="H1058" s="87" t="n">
        <x:v>59</x:v>
      </x:c>
      <x:c r="I1058" s="87" t="n">
        <x:v>354</x:v>
      </x:c>
      <x:c r="J1058" s="68" t="n">
        <x:f>IFERROR(H1058/I1058,"")</x:f>
        <x:v>0.16666666666666666</x:v>
      </x:c>
      <x:c r="K1058" s="69" t="n">
        <x:f>IFERROR(I1058/H1058,"")</x:f>
        <x:v>6</x:v>
      </x:c>
      <x:c r="L1058" s="66" t="str">
        <x:f>IF(K1058="","","1 : "&amp;TEXT(K1058,"0.0"))</x:f>
        <x:v>1 : 6.0</x:v>
      </x:c>
      <x:c r="M1058" s="66" t="str">
        <x:f>IF(J1058="","Baru/Tanpa Data",IF(J1058&lt;='Catatan &amp; Sumber'!$B$14,"Sangat Ketat",IF(J1058&lt;='Catatan &amp; Sumber'!$B$15,"Ketat",IF(J1058&lt;='Catatan &amp; Sumber'!$B$16,"Sedang","Relatif Longgar"))))</x:f>
        <x:v>Relatif Longgar</x:v>
      </x:c>
      <x:c r="N1058" s="66" t="str">
        <x:v>Tidak Ada</x:v>
      </x:c>
      <x:c r="O1058" s="66" t="str">
        <x:v>Sumatera Utara</x:v>
      </x:c>
      <x:c r="P1058" s="66" t="str">
        <x:v>Kota Medan</x:v>
      </x:c>
      <x:c r="Q1058" s="66" t="str">
        <x:v>https://snpmb.id/snbp/daya-tampung-snbp</x:v>
      </x:c>
      <x:c r="R1058" s="66" t="str">
        <x:v>https://sidatagrun-public-1076756628210.asia-southeast2.run.app/ptn_sn.php?ptn=222</x:v>
      </x:c>
    </x:row>
    <x:row r="1059">
      <x:c r="A1059" s="87" t="n">
        <x:v>2269</x:v>
      </x:c>
      <x:c r="B1059" s="87" t="n">
        <x:v>222</x:v>
      </x:c>
      <x:c r="C1059" s="66" t="str">
        <x:v>POLITEKNIK NEGERI MEDAN</x:v>
      </x:c>
      <x:c r="D1059" s="66" t="str">
        <x:v>PTN Vokasi</x:v>
      </x:c>
      <x:c r="E1059" s="66" t="str">
        <x:v>22223013</x:v>
      </x:c>
      <x:c r="F1059" s="66" t="str">
        <x:v>TEKNIK LISTRIK</x:v>
      </x:c>
      <x:c r="G1059" s="66" t="str">
        <x:v>Diploma Tiga</x:v>
      </x:c>
      <x:c r="H1059" s="87" t="n">
        <x:v>42</x:v>
      </x:c>
      <x:c r="I1059" s="87" t="n">
        <x:v>233</x:v>
      </x:c>
      <x:c r="J1059" s="68" t="n">
        <x:f>IFERROR(H1059/I1059,"")</x:f>
        <x:v>0.18025751072961374</x:v>
      </x:c>
      <x:c r="K1059" s="69" t="n">
        <x:f>IFERROR(I1059/H1059,"")</x:f>
        <x:v>5.5476190476190474</x:v>
      </x:c>
      <x:c r="L1059" s="66" t="str">
        <x:f>IF(K1059="","","1 : "&amp;TEXT(K1059,"0.0"))</x:f>
        <x:v>1 : 5.5</x:v>
      </x:c>
      <x:c r="M1059" s="66" t="str">
        <x:f>IF(J1059="","Baru/Tanpa Data",IF(J1059&lt;='Catatan &amp; Sumber'!$B$14,"Sangat Ketat",IF(J1059&lt;='Catatan &amp; Sumber'!$B$15,"Ketat",IF(J1059&lt;='Catatan &amp; Sumber'!$B$16,"Sedang","Relatif Longgar"))))</x:f>
        <x:v>Relatif Longgar</x:v>
      </x:c>
      <x:c r="N1059" s="66" t="str">
        <x:v>Tidak Ada</x:v>
      </x:c>
      <x:c r="O1059" s="66" t="str">
        <x:v>Sumatera Utara</x:v>
      </x:c>
      <x:c r="P1059" s="66" t="str">
        <x:v>Kota Medan</x:v>
      </x:c>
      <x:c r="Q1059" s="66" t="str">
        <x:v>https://snpmb.id/snbp/daya-tampung-snbp</x:v>
      </x:c>
      <x:c r="R1059" s="66" t="str">
        <x:v>https://sidatagrun-public-1076756628210.asia-southeast2.run.app/ptn_sn.php?ptn=222</x:v>
      </x:c>
    </x:row>
    <x:row r="1060">
      <x:c r="A1060" s="87" t="n">
        <x:v>3977</x:v>
      </x:c>
      <x:c r="B1060" s="87" t="n">
        <x:v>222</x:v>
      </x:c>
      <x:c r="C1060" s="66" t="str">
        <x:v>POLITEKNIK NEGERI MEDAN</x:v>
      </x:c>
      <x:c r="D1060" s="66" t="str">
        <x:v>PTN Vokasi</x:v>
      </x:c>
      <x:c r="E1060" s="66" t="str">
        <x:v>22223014</x:v>
      </x:c>
      <x:c r="F1060" s="66" t="str">
        <x:v>TEKNIK KONVERSI ENERGI</x:v>
      </x:c>
      <x:c r="G1060" s="66" t="str">
        <x:v>Diploma Tiga</x:v>
      </x:c>
      <x:c r="H1060" s="87" t="n">
        <x:v>45</x:v>
      </x:c>
      <x:c r="I1060" s="87" t="n">
        <x:v>67</x:v>
      </x:c>
      <x:c r="J1060" s="68" t="n">
        <x:f>IFERROR(H1060/I1060,"")</x:f>
        <x:v>0.6716417910447762</x:v>
      </x:c>
      <x:c r="K1060" s="69" t="n">
        <x:f>IFERROR(I1060/H1060,"")</x:f>
        <x:v>1.488888888888889</x:v>
      </x:c>
      <x:c r="L1060" s="66" t="str">
        <x:f>IF(K1060="","","1 : "&amp;TEXT(K1060,"0.0"))</x:f>
        <x:v>1 : 1.5</x:v>
      </x:c>
      <x:c r="M1060" s="66" t="str">
        <x:f>IF(J1060="","Baru/Tanpa Data",IF(J1060&lt;='Catatan &amp; Sumber'!$B$14,"Sangat Ketat",IF(J1060&lt;='Catatan &amp; Sumber'!$B$15,"Ketat",IF(J1060&lt;='Catatan &amp; Sumber'!$B$16,"Sedang","Relatif Longgar"))))</x:f>
        <x:v>Relatif Longgar</x:v>
      </x:c>
      <x:c r="N1060" s="66" t="str">
        <x:v>Tidak Ada</x:v>
      </x:c>
      <x:c r="O1060" s="66" t="str">
        <x:v>Sumatera Utara</x:v>
      </x:c>
      <x:c r="P1060" s="66" t="str">
        <x:v>Kota Medan</x:v>
      </x:c>
      <x:c r="Q1060" s="66" t="str">
        <x:v>https://snpmb.id/snbp/daya-tampung-snbp</x:v>
      </x:c>
      <x:c r="R1060" s="66" t="str">
        <x:v>https://sidatagrun-public-1076756628210.asia-southeast2.run.app/ptn_sn.php?ptn=222</x:v>
      </x:c>
    </x:row>
    <x:row r="1061">
      <x:c r="A1061" s="87" t="n">
        <x:v>2787</x:v>
      </x:c>
      <x:c r="B1061" s="87" t="n">
        <x:v>222</x:v>
      </x:c>
      <x:c r="C1061" s="66" t="str">
        <x:v>POLITEKNIK NEGERI MEDAN</x:v>
      </x:c>
      <x:c r="D1061" s="66" t="str">
        <x:v>PTN Vokasi</x:v>
      </x:c>
      <x:c r="E1061" s="66" t="str">
        <x:v>22223015</x:v>
      </x:c>
      <x:c r="F1061" s="66" t="str">
        <x:v>MANAJEMEN INFORMATIKA</x:v>
      </x:c>
      <x:c r="G1061" s="66" t="str">
        <x:v>Diploma Tiga</x:v>
      </x:c>
      <x:c r="H1061" s="87" t="n">
        <x:v>68</x:v>
      </x:c>
      <x:c r="I1061" s="87" t="n">
        <x:v>265</x:v>
      </x:c>
      <x:c r="J1061" s="68" t="n">
        <x:f>IFERROR(H1061/I1061,"")</x:f>
        <x:v>0.25660377358490566</x:v>
      </x:c>
      <x:c r="K1061" s="69" t="n">
        <x:f>IFERROR(I1061/H1061,"")</x:f>
        <x:v>3.8970588235294117</x:v>
      </x:c>
      <x:c r="L1061" s="66" t="str">
        <x:f>IF(K1061="","","1 : "&amp;TEXT(K1061,"0.0"))</x:f>
        <x:v>1 : 3.9</x:v>
      </x:c>
      <x:c r="M1061" s="66" t="str">
        <x:f>IF(J1061="","Baru/Tanpa Data",IF(J1061&lt;='Catatan &amp; Sumber'!$B$14,"Sangat Ketat",IF(J1061&lt;='Catatan &amp; Sumber'!$B$15,"Ketat",IF(J1061&lt;='Catatan &amp; Sumber'!$B$16,"Sedang","Relatif Longgar"))))</x:f>
        <x:v>Relatif Longgar</x:v>
      </x:c>
      <x:c r="N1061" s="66" t="str">
        <x:v>Tidak Ada</x:v>
      </x:c>
      <x:c r="O1061" s="66" t="str">
        <x:v>Sumatera Utara</x:v>
      </x:c>
      <x:c r="P1061" s="66" t="str">
        <x:v>Kota Medan</x:v>
      </x:c>
      <x:c r="Q1061" s="66" t="str">
        <x:v>https://snpmb.id/snbp/daya-tampung-snbp</x:v>
      </x:c>
      <x:c r="R1061" s="66" t="str">
        <x:v>https://sidatagrun-public-1076756628210.asia-southeast2.run.app/ptn_sn.php?ptn=222</x:v>
      </x:c>
    </x:row>
    <x:row r="1062">
      <x:c r="A1062" s="87" t="n">
        <x:v>2246</x:v>
      </x:c>
      <x:c r="B1062" s="87" t="n">
        <x:v>222</x:v>
      </x:c>
      <x:c r="C1062" s="66" t="str">
        <x:v>POLITEKNIK NEGERI MEDAN</x:v>
      </x:c>
      <x:c r="D1062" s="66" t="str">
        <x:v>PTN Vokasi</x:v>
      </x:c>
      <x:c r="E1062" s="66" t="str">
        <x:v>22223016</x:v>
      </x:c>
      <x:c r="F1062" s="66" t="str">
        <x:v>ADMINISTRASI BISNIS</x:v>
      </x:c>
      <x:c r="G1062" s="66" t="str">
        <x:v>Diploma Tiga</x:v>
      </x:c>
      <x:c r="H1062" s="87" t="n">
        <x:v>94</x:v>
      </x:c>
      <x:c r="I1062" s="87" t="n">
        <x:v>530</x:v>
      </x:c>
      <x:c r="J1062" s="68" t="n">
        <x:f>IFERROR(H1062/I1062,"")</x:f>
        <x:v>0.17735849056603772</x:v>
      </x:c>
      <x:c r="K1062" s="69" t="n">
        <x:f>IFERROR(I1062/H1062,"")</x:f>
        <x:v>5.638297872340425</x:v>
      </x:c>
      <x:c r="L1062" s="66" t="str">
        <x:f>IF(K1062="","","1 : "&amp;TEXT(K1062,"0.0"))</x:f>
        <x:v>1 : 5.6</x:v>
      </x:c>
      <x:c r="M1062" s="66" t="str">
        <x:f>IF(J1062="","Baru/Tanpa Data",IF(J1062&lt;='Catatan &amp; Sumber'!$B$14,"Sangat Ketat",IF(J1062&lt;='Catatan &amp; Sumber'!$B$15,"Ketat",IF(J1062&lt;='Catatan &amp; Sumber'!$B$16,"Sedang","Relatif Longgar"))))</x:f>
        <x:v>Relatif Longgar</x:v>
      </x:c>
      <x:c r="N1062" s="66" t="str">
        <x:v>Tidak Ada</x:v>
      </x:c>
      <x:c r="O1062" s="66" t="str">
        <x:v>Sumatera Utara</x:v>
      </x:c>
      <x:c r="P1062" s="66" t="str">
        <x:v>Kota Medan</x:v>
      </x:c>
      <x:c r="Q1062" s="66" t="str">
        <x:v>https://snpmb.id/snbp/daya-tampung-snbp</x:v>
      </x:c>
      <x:c r="R1062" s="66" t="str">
        <x:v>https://sidatagrun-public-1076756628210.asia-southeast2.run.app/ptn_sn.php?ptn=222</x:v>
      </x:c>
    </x:row>
    <x:row r="1063">
      <x:c r="A1063" s="87" t="n">
        <x:v>1951</x:v>
      </x:c>
      <x:c r="B1063" s="87" t="n">
        <x:v>222</x:v>
      </x:c>
      <x:c r="C1063" s="66" t="str">
        <x:v>POLITEKNIK NEGERI MEDAN</x:v>
      </x:c>
      <x:c r="D1063" s="66" t="str">
        <x:v>PTN Vokasi</x:v>
      </x:c>
      <x:c r="E1063" s="66" t="str">
        <x:v>22223017</x:v>
      </x:c>
      <x:c r="F1063" s="66" t="str">
        <x:v>TEKNIK MESIN</x:v>
      </x:c>
      <x:c r="G1063" s="66" t="str">
        <x:v>Diploma Tiga</x:v>
      </x:c>
      <x:c r="H1063" s="87" t="n">
        <x:v>79</x:v>
      </x:c>
      <x:c r="I1063" s="87" t="n">
        <x:v>539</x:v>
      </x:c>
      <x:c r="J1063" s="68" t="n">
        <x:f>IFERROR(H1063/I1063,"")</x:f>
        <x:v>0.14656771799628943</x:v>
      </x:c>
      <x:c r="K1063" s="69" t="n">
        <x:f>IFERROR(I1063/H1063,"")</x:f>
        <x:v>6.822784810126582</x:v>
      </x:c>
      <x:c r="L1063" s="66" t="str">
        <x:f>IF(K1063="","","1 : "&amp;TEXT(K1063,"0.0"))</x:f>
        <x:v>1 : 6.8</x:v>
      </x:c>
      <x:c r="M1063" s="66" t="str">
        <x:f>IF(J1063="","Baru/Tanpa Data",IF(J1063&lt;='Catatan &amp; Sumber'!$B$14,"Sangat Ketat",IF(J1063&lt;='Catatan &amp; Sumber'!$B$15,"Ketat",IF(J1063&lt;='Catatan &amp; Sumber'!$B$16,"Sedang","Relatif Longgar"))))</x:f>
        <x:v>Relatif Longgar</x:v>
      </x:c>
      <x:c r="N1063" s="66" t="str">
        <x:v>Tidak Ada</x:v>
      </x:c>
      <x:c r="O1063" s="66" t="str">
        <x:v>Sumatera Utara</x:v>
      </x:c>
      <x:c r="P1063" s="66" t="str">
        <x:v>Kota Medan</x:v>
      </x:c>
      <x:c r="Q1063" s="66" t="str">
        <x:v>https://snpmb.id/snbp/daya-tampung-snbp</x:v>
      </x:c>
      <x:c r="R1063" s="66" t="str">
        <x:v>https://sidatagrun-public-1076756628210.asia-southeast2.run.app/ptn_sn.php?ptn=222</x:v>
      </x:c>
    </x:row>
    <x:row r="1064">
      <x:c r="A1064" s="87" t="n">
        <x:v>2133</x:v>
      </x:c>
      <x:c r="B1064" s="87" t="n">
        <x:v>222</x:v>
      </x:c>
      <x:c r="C1064" s="66" t="str">
        <x:v>POLITEKNIK NEGERI MEDAN</x:v>
      </x:c>
      <x:c r="D1064" s="66" t="str">
        <x:v>PTN Vokasi</x:v>
      </x:c>
      <x:c r="E1064" s="66" t="str">
        <x:v>22223018</x:v>
      </x:c>
      <x:c r="F1064" s="66" t="str">
        <x:v>TEKNIK SIPIL</x:v>
      </x:c>
      <x:c r="G1064" s="66" t="str">
        <x:v>Diploma Tiga</x:v>
      </x:c>
      <x:c r="H1064" s="87" t="n">
        <x:v>59</x:v>
      </x:c>
      <x:c r="I1064" s="87" t="n">
        <x:v>358</x:v>
      </x:c>
      <x:c r="J1064" s="68" t="n">
        <x:f>IFERROR(H1064/I1064,"")</x:f>
        <x:v>0.164804469273743</x:v>
      </x:c>
      <x:c r="K1064" s="69" t="n">
        <x:f>IFERROR(I1064/H1064,"")</x:f>
        <x:v>6.067796610169491</x:v>
      </x:c>
      <x:c r="L1064" s="66" t="str">
        <x:f>IF(K1064="","","1 : "&amp;TEXT(K1064,"0.0"))</x:f>
        <x:v>1 : 6.1</x:v>
      </x:c>
      <x:c r="M1064" s="66" t="str">
        <x:f>IF(J1064="","Baru/Tanpa Data",IF(J1064&lt;='Catatan &amp; Sumber'!$B$14,"Sangat Ketat",IF(J1064&lt;='Catatan &amp; Sumber'!$B$15,"Ketat",IF(J1064&lt;='Catatan &amp; Sumber'!$B$16,"Sedang","Relatif Longgar"))))</x:f>
        <x:v>Relatif Longgar</x:v>
      </x:c>
      <x:c r="N1064" s="66" t="str">
        <x:v>Tidak Ada</x:v>
      </x:c>
      <x:c r="O1064" s="66" t="str">
        <x:v>Sumatera Utara</x:v>
      </x:c>
      <x:c r="P1064" s="66" t="str">
        <x:v>Kota Medan</x:v>
      </x:c>
      <x:c r="Q1064" s="66" t="str">
        <x:v>https://snpmb.id/snbp/daya-tampung-snbp</x:v>
      </x:c>
      <x:c r="R1064" s="66" t="str">
        <x:v>https://sidatagrun-public-1076756628210.asia-southeast2.run.app/ptn_sn.php?ptn=222</x:v>
      </x:c>
    </x:row>
    <x:row r="1065">
      <x:c r="A1065" s="87" t="n">
        <x:v>3278</x:v>
      </x:c>
      <x:c r="B1065" s="87" t="n">
        <x:v>222</x:v>
      </x:c>
      <x:c r="C1065" s="66" t="str">
        <x:v>POLITEKNIK NEGERI MEDAN</x:v>
      </x:c>
      <x:c r="D1065" s="66" t="str">
        <x:v>PTN Vokasi</x:v>
      </x:c>
      <x:c r="E1065" s="66" t="str">
        <x:v>22223019</x:v>
      </x:c>
      <x:c r="F1065" s="66" t="str">
        <x:v>TEKNIK TELEKOMUNIKASI</x:v>
      </x:c>
      <x:c r="G1065" s="66" t="str">
        <x:v>Diploma Tiga</x:v>
      </x:c>
      <x:c r="H1065" s="87" t="n">
        <x:v>45</x:v>
      </x:c>
      <x:c r="I1065" s="87" t="n">
        <x:v>123</x:v>
      </x:c>
      <x:c r="J1065" s="68" t="n">
        <x:f>IFERROR(H1065/I1065,"")</x:f>
        <x:v>0.36585365853658536</x:v>
      </x:c>
      <x:c r="K1065" s="69" t="n">
        <x:f>IFERROR(I1065/H1065,"")</x:f>
        <x:v>2.7333333333333334</x:v>
      </x:c>
      <x:c r="L1065" s="66" t="str">
        <x:f>IF(K1065="","","1 : "&amp;TEXT(K1065,"0.0"))</x:f>
        <x:v>1 : 2.7</x:v>
      </x:c>
      <x:c r="M1065" s="66" t="str">
        <x:f>IF(J1065="","Baru/Tanpa Data",IF(J1065&lt;='Catatan &amp; Sumber'!$B$14,"Sangat Ketat",IF(J1065&lt;='Catatan &amp; Sumber'!$B$15,"Ketat",IF(J1065&lt;='Catatan &amp; Sumber'!$B$16,"Sedang","Relatif Longgar"))))</x:f>
        <x:v>Relatif Longgar</x:v>
      </x:c>
      <x:c r="N1065" s="66" t="str">
        <x:v>Tidak Ada</x:v>
      </x:c>
      <x:c r="O1065" s="66" t="str">
        <x:v>Sumatera Utara</x:v>
      </x:c>
      <x:c r="P1065" s="66" t="str">
        <x:v>Kota Medan</x:v>
      </x:c>
      <x:c r="Q1065" s="66" t="str">
        <x:v>https://snpmb.id/snbp/daya-tampung-snbp</x:v>
      </x:c>
      <x:c r="R1065" s="66" t="str">
        <x:v>https://sidatagrun-public-1076756628210.asia-southeast2.run.app/ptn_sn.php?ptn=222</x:v>
      </x:c>
    </x:row>
    <x:row r="1066">
      <x:c r="A1066" s="87" t="n">
        <x:v>2862</x:v>
      </x:c>
      <x:c r="B1066" s="87" t="n">
        <x:v>222</x:v>
      </x:c>
      <x:c r="C1066" s="66" t="str">
        <x:v>POLITEKNIK NEGERI MEDAN</x:v>
      </x:c>
      <x:c r="D1066" s="66" t="str">
        <x:v>PTN Vokasi</x:v>
      </x:c>
      <x:c r="E1066" s="66" t="str">
        <x:v>22223020</x:v>
      </x:c>
      <x:c r="F1066" s="66" t="str">
        <x:v>AKUNTANSI</x:v>
      </x:c>
      <x:c r="G1066" s="66" t="str">
        <x:v>Diploma Tiga</x:v>
      </x:c>
      <x:c r="H1066" s="87" t="n">
        <x:v>83</x:v>
      </x:c>
      <x:c r="I1066" s="87" t="n">
        <x:v>308</x:v>
      </x:c>
      <x:c r="J1066" s="68" t="n">
        <x:f>IFERROR(H1066/I1066,"")</x:f>
        <x:v>0.2694805194805195</x:v>
      </x:c>
      <x:c r="K1066" s="69" t="n">
        <x:f>IFERROR(I1066/H1066,"")</x:f>
        <x:v>3.710843373493976</x:v>
      </x:c>
      <x:c r="L1066" s="66" t="str">
        <x:f>IF(K1066="","","1 : "&amp;TEXT(K1066,"0.0"))</x:f>
        <x:v>1 : 3.7</x:v>
      </x:c>
      <x:c r="M1066" s="66" t="str">
        <x:f>IF(J1066="","Baru/Tanpa Data",IF(J1066&lt;='Catatan &amp; Sumber'!$B$14,"Sangat Ketat",IF(J1066&lt;='Catatan &amp; Sumber'!$B$15,"Ketat",IF(J1066&lt;='Catatan &amp; Sumber'!$B$16,"Sedang","Relatif Longgar"))))</x:f>
        <x:v>Relatif Longgar</x:v>
      </x:c>
      <x:c r="N1066" s="66" t="str">
        <x:v>Tidak Ada</x:v>
      </x:c>
      <x:c r="O1066" s="66" t="str">
        <x:v>Sumatera Utara</x:v>
      </x:c>
      <x:c r="P1066" s="66" t="str">
        <x:v>Kota Medan</x:v>
      </x:c>
      <x:c r="Q1066" s="66" t="str">
        <x:v>https://snpmb.id/snbp/daya-tampung-snbp</x:v>
      </x:c>
      <x:c r="R1066" s="66" t="str">
        <x:v>https://sidatagrun-public-1076756628210.asia-southeast2.run.app/ptn_sn.php?ptn=222</x:v>
      </x:c>
    </x:row>
    <x:row r="1067">
      <x:c r="A1067" s="87" t="n">
        <x:v>3002</x:v>
      </x:c>
      <x:c r="B1067" s="87" t="n">
        <x:v>222</x:v>
      </x:c>
      <x:c r="C1067" s="66" t="str">
        <x:v>POLITEKNIK NEGERI MEDAN</x:v>
      </x:c>
      <x:c r="D1067" s="66" t="str">
        <x:v>PTN Vokasi</x:v>
      </x:c>
      <x:c r="E1067" s="66" t="str">
        <x:v>22223021</x:v>
      </x:c>
      <x:c r="F1067" s="66" t="str">
        <x:v>ELEKTRONIKA</x:v>
      </x:c>
      <x:c r="G1067" s="66" t="str">
        <x:v>Diploma Tiga</x:v>
      </x:c>
      <x:c r="H1067" s="87" t="n">
        <x:v>42</x:v>
      </x:c>
      <x:c r="I1067" s="87" t="n">
        <x:v>143</x:v>
      </x:c>
      <x:c r="J1067" s="68" t="n">
        <x:f>IFERROR(H1067/I1067,"")</x:f>
        <x:v>0.2937062937062937</x:v>
      </x:c>
      <x:c r="K1067" s="69" t="n">
        <x:f>IFERROR(I1067/H1067,"")</x:f>
        <x:v>3.4047619047619047</x:v>
      </x:c>
      <x:c r="L1067" s="66" t="str">
        <x:f>IF(K1067="","","1 : "&amp;TEXT(K1067,"0.0"))</x:f>
        <x:v>1 : 3.4</x:v>
      </x:c>
      <x:c r="M1067" s="66" t="str">
        <x:f>IF(J1067="","Baru/Tanpa Data",IF(J1067&lt;='Catatan &amp; Sumber'!$B$14,"Sangat Ketat",IF(J1067&lt;='Catatan &amp; Sumber'!$B$15,"Ketat",IF(J1067&lt;='Catatan &amp; Sumber'!$B$16,"Sedang","Relatif Longgar"))))</x:f>
        <x:v>Relatif Longgar</x:v>
      </x:c>
      <x:c r="N1067" s="66" t="str">
        <x:v>Tidak Ada</x:v>
      </x:c>
      <x:c r="O1067" s="66" t="str">
        <x:v>Sumatera Utara</x:v>
      </x:c>
      <x:c r="P1067" s="66" t="str">
        <x:v>Kota Medan</x:v>
      </x:c>
      <x:c r="Q1067" s="66" t="str">
        <x:v>https://snpmb.id/snbp/daya-tampung-snbp</x:v>
      </x:c>
      <x:c r="R1067" s="66" t="str">
        <x:v>https://sidatagrun-public-1076756628210.asia-southeast2.run.app/ptn_sn.php?ptn=222</x:v>
      </x:c>
    </x:row>
    <x:row r="1068">
      <x:c r="A1068" s="87"/>
      <x:c r="B1068" s="87" t="n">
        <x:v>222</x:v>
      </x:c>
      <x:c r="C1068" s="66" t="str">
        <x:v>POLITEKNIK NEGERI MEDAN</x:v>
      </x:c>
      <x:c r="D1068" s="66" t="str">
        <x:v>PTN Vokasi</x:v>
      </x:c>
      <x:c r="E1068" s="66" t="str">
        <x:v>22223027</x:v>
      </x:c>
      <x:c r="F1068" s="66" t="str">
        <x:v>BAHASA INGGRIS</x:v>
      </x:c>
      <x:c r="G1068" s="66" t="str">
        <x:v>Diploma Tiga</x:v>
      </x:c>
      <x:c r="H1068" s="87" t="n">
        <x:v>23</x:v>
      </x:c>
      <x:c r="I1068" s="87"/>
      <x:c r="J1068" s="68" t="str">
        <x:f>IFERROR(H1068/I1068,"")</x:f>
      </x:c>
      <x:c r="K1068" s="69" t="n">
        <x:f>IFERROR(I1068/H1068,"")</x:f>
        <x:v>0</x:v>
      </x:c>
      <x:c r="L1068" s="66" t="str">
        <x:f>IF(K1068="","","1 : "&amp;TEXT(K1068,"0.0"))</x:f>
      </x:c>
      <x:c r="M1068" s="66" t="str">
        <x:f>IF(J1068="","Baru/Tanpa Data",IF(J1068&lt;='Catatan &amp; Sumber'!$B$14,"Sangat Ketat",IF(J1068&lt;='Catatan &amp; Sumber'!$B$15,"Ketat",IF(J1068&lt;='Catatan &amp; Sumber'!$B$16,"Sedang","Relatif Longgar"))))</x:f>
        <x:v>Baru/Tanpa Data</x:v>
      </x:c>
      <x:c r="N1068" s="66" t="str">
        <x:v>Tidak Ada</x:v>
      </x:c>
      <x:c r="O1068" s="66" t="str">
        <x:v>Sumatera Utara</x:v>
      </x:c>
      <x:c r="P1068" s="66" t="str">
        <x:v>Kota Medan</x:v>
      </x:c>
      <x:c r="Q1068" s="66" t="str">
        <x:v>https://snpmb.id/snbp/daya-tampung-snbp</x:v>
      </x:c>
      <x:c r="R1068" s="66" t="str">
        <x:v>https://sidatagrun-public-1076756628210.asia-southeast2.run.app/ptn_sn.php?ptn=222</x:v>
      </x:c>
    </x:row>
    <x:row r="1069">
      <x:c r="A1069" s="87" t="n">
        <x:v>978</x:v>
      </x:c>
      <x:c r="B1069" s="87" t="n">
        <x:v>231</x:v>
      </x:c>
      <x:c r="C1069" s="66" t="str">
        <x:v>POLITEKNIK NEGERI BATAM</x:v>
      </x:c>
      <x:c r="D1069" s="66" t="str">
        <x:v>PTN Vokasi</x:v>
      </x:c>
      <x:c r="E1069" s="66" t="str">
        <x:v>22312001</x:v>
      </x:c>
      <x:c r="F1069" s="66" t="str">
        <x:v>TEKNIK MEKATRONIKA</x:v>
      </x:c>
      <x:c r="G1069" s="66" t="str">
        <x:v>Sarjana Terapan</x:v>
      </x:c>
      <x:c r="H1069" s="87" t="n">
        <x:v>23</x:v>
      </x:c>
      <x:c r="I1069" s="87" t="n">
        <x:v>299</x:v>
      </x:c>
      <x:c r="J1069" s="68" t="n">
        <x:f>IFERROR(H1069/I1069,"")</x:f>
        <x:v>0.07692307692307693</x:v>
      </x:c>
      <x:c r="K1069" s="69" t="n">
        <x:f>IFERROR(I1069/H1069,"")</x:f>
        <x:v>13</x:v>
      </x:c>
      <x:c r="L1069" s="66" t="str">
        <x:f>IF(K1069="","","1 : "&amp;TEXT(K1069,"0.0"))</x:f>
        <x:v>1 : 13.0</x:v>
      </x:c>
      <x:c r="M1069" s="66" t="str">
        <x:f>IF(J1069="","Baru/Tanpa Data",IF(J1069&lt;='Catatan &amp; Sumber'!$B$14,"Sangat Ketat",IF(J1069&lt;='Catatan &amp; Sumber'!$B$15,"Ketat",IF(J1069&lt;='Catatan &amp; Sumber'!$B$16,"Sedang","Relatif Longgar"))))</x:f>
        <x:v>Sedang</x:v>
      </x:c>
      <x:c r="N1069" s="66" t="str">
        <x:v>Tidak Ada</x:v>
      </x:c>
      <x:c r="O1069" s="66" t="str">
        <x:v>Kepulauan Riau</x:v>
      </x:c>
      <x:c r="P1069" s="66" t="str">
        <x:v>Kota Batam</x:v>
      </x:c>
      <x:c r="Q1069" s="66" t="str">
        <x:v>https://snpmb.id/snbp/daya-tampung-snbp</x:v>
      </x:c>
      <x:c r="R1069" s="66" t="str">
        <x:v>https://sidatagrun-public-1076756628210.asia-southeast2.run.app/ptn_sn.php?ptn=231</x:v>
      </x:c>
    </x:row>
    <x:row r="1070">
      <x:c r="A1070" s="87" t="n">
        <x:v>2801</x:v>
      </x:c>
      <x:c r="B1070" s="87" t="n">
        <x:v>231</x:v>
      </x:c>
      <x:c r="C1070" s="66" t="str">
        <x:v>POLITEKNIK NEGERI BATAM</x:v>
      </x:c>
      <x:c r="D1070" s="66" t="str">
        <x:v>PTN Vokasi</x:v>
      </x:c>
      <x:c r="E1070" s="66" t="str">
        <x:v>22312002</x:v>
      </x:c>
      <x:c r="F1070" s="66" t="str">
        <x:v>TEKNOLOGI REKAYASA ROBOTIKA</x:v>
      </x:c>
      <x:c r="G1070" s="66" t="str">
        <x:v>Sarjana Terapan</x:v>
      </x:c>
      <x:c r="H1070" s="87" t="n">
        <x:v>23</x:v>
      </x:c>
      <x:c r="I1070" s="87" t="n">
        <x:v>89</x:v>
      </x:c>
      <x:c r="J1070" s="68" t="n">
        <x:f>IFERROR(H1070/I1070,"")</x:f>
        <x:v>0.25842696629213485</x:v>
      </x:c>
      <x:c r="K1070" s="69" t="n">
        <x:f>IFERROR(I1070/H1070,"")</x:f>
        <x:v>3.869565217391304</x:v>
      </x:c>
      <x:c r="L1070" s="66" t="str">
        <x:f>IF(K1070="","","1 : "&amp;TEXT(K1070,"0.0"))</x:f>
        <x:v>1 : 3.9</x:v>
      </x:c>
      <x:c r="M1070" s="66" t="str">
        <x:f>IF(J1070="","Baru/Tanpa Data",IF(J1070&lt;='Catatan &amp; Sumber'!$B$14,"Sangat Ketat",IF(J1070&lt;='Catatan &amp; Sumber'!$B$15,"Ketat",IF(J1070&lt;='Catatan &amp; Sumber'!$B$16,"Sedang","Relatif Longgar"))))</x:f>
        <x:v>Relatif Longgar</x:v>
      </x:c>
      <x:c r="N1070" s="66" t="str">
        <x:v>Tidak Ada</x:v>
      </x:c>
      <x:c r="O1070" s="66" t="str">
        <x:v>Kepulauan Riau</x:v>
      </x:c>
      <x:c r="P1070" s="66" t="str">
        <x:v>Kota Batam</x:v>
      </x:c>
      <x:c r="Q1070" s="66" t="str">
        <x:v>https://snpmb.id/snbp/daya-tampung-snbp</x:v>
      </x:c>
      <x:c r="R1070" s="66" t="str">
        <x:v>https://sidatagrun-public-1076756628210.asia-southeast2.run.app/ptn_sn.php?ptn=231</x:v>
      </x:c>
    </x:row>
    <x:row r="1071">
      <x:c r="A1071" s="87" t="n">
        <x:v>1559</x:v>
      </x:c>
      <x:c r="B1071" s="87" t="n">
        <x:v>231</x:v>
      </x:c>
      <x:c r="C1071" s="66" t="str">
        <x:v>POLITEKNIK NEGERI BATAM</x:v>
      </x:c>
      <x:c r="D1071" s="66" t="str">
        <x:v>PTN Vokasi</x:v>
      </x:c>
      <x:c r="E1071" s="66" t="str">
        <x:v>22312003</x:v>
      </x:c>
      <x:c r="F1071" s="66" t="str">
        <x:v>TEKNOLOGI REKAYASA PEMBANGKIT ENERGI</x:v>
      </x:c>
      <x:c r="G1071" s="66" t="str">
        <x:v>Sarjana Terapan</x:v>
      </x:c>
      <x:c r="H1071" s="87" t="n">
        <x:v>15</x:v>
      </x:c>
      <x:c r="I1071" s="87" t="n">
        <x:v>132</x:v>
      </x:c>
      <x:c r="J1071" s="68" t="n">
        <x:f>IFERROR(H1071/I1071,"")</x:f>
        <x:v>0.11363636363636363</x:v>
      </x:c>
      <x:c r="K1071" s="69" t="n">
        <x:f>IFERROR(I1071/H1071,"")</x:f>
        <x:v>8.8</x:v>
      </x:c>
      <x:c r="L1071" s="66" t="str">
        <x:f>IF(K1071="","","1 : "&amp;TEXT(K1071,"0.0"))</x:f>
        <x:v>1 : 8.8</x:v>
      </x:c>
      <x:c r="M1071" s="66" t="str">
        <x:f>IF(J1071="","Baru/Tanpa Data",IF(J1071&lt;='Catatan &amp; Sumber'!$B$14,"Sangat Ketat",IF(J1071&lt;='Catatan &amp; Sumber'!$B$15,"Ketat",IF(J1071&lt;='Catatan &amp; Sumber'!$B$16,"Sedang","Relatif Longgar"))))</x:f>
        <x:v>Relatif Longgar</x:v>
      </x:c>
      <x:c r="N1071" s="66" t="str">
        <x:v>Tidak Ada</x:v>
      </x:c>
      <x:c r="O1071" s="66" t="str">
        <x:v>Kepulauan Riau</x:v>
      </x:c>
      <x:c r="P1071" s="66" t="str">
        <x:v>Kota Batam</x:v>
      </x:c>
      <x:c r="Q1071" s="66" t="str">
        <x:v>https://snpmb.id/snbp/daya-tampung-snbp</x:v>
      </x:c>
      <x:c r="R1071" s="66" t="str">
        <x:v>https://sidatagrun-public-1076756628210.asia-southeast2.run.app/ptn_sn.php?ptn=231</x:v>
      </x:c>
    </x:row>
    <x:row r="1072">
      <x:c r="A1072" s="87" t="n">
        <x:v>1687</x:v>
      </x:c>
      <x:c r="B1072" s="87" t="n">
        <x:v>231</x:v>
      </x:c>
      <x:c r="C1072" s="66" t="str">
        <x:v>POLITEKNIK NEGERI BATAM</x:v>
      </x:c>
      <x:c r="D1072" s="66" t="str">
        <x:v>PTN Vokasi</x:v>
      </x:c>
      <x:c r="E1072" s="66" t="str">
        <x:v>22312004</x:v>
      </x:c>
      <x:c r="F1072" s="66" t="str">
        <x:v>TEKNOLOGI REKAYASA MULTIMEDIA</x:v>
      </x:c>
      <x:c r="G1072" s="66" t="str">
        <x:v>Sarjana Terapan</x:v>
      </x:c>
      <x:c r="H1072" s="87" t="n">
        <x:v>30</x:v>
      </x:c>
      <x:c r="I1072" s="87" t="n">
        <x:v>243</x:v>
      </x:c>
      <x:c r="J1072" s="68" t="n">
        <x:f>IFERROR(H1072/I1072,"")</x:f>
        <x:v>0.12345679012345678</x:v>
      </x:c>
      <x:c r="K1072" s="69" t="n">
        <x:f>IFERROR(I1072/H1072,"")</x:f>
        <x:v>8.1</x:v>
      </x:c>
      <x:c r="L1072" s="66" t="str">
        <x:f>IF(K1072="","","1 : "&amp;TEXT(K1072,"0.0"))</x:f>
        <x:v>1 : 8.1</x:v>
      </x:c>
      <x:c r="M1072" s="66" t="str">
        <x:f>IF(J1072="","Baru/Tanpa Data",IF(J1072&lt;='Catatan &amp; Sumber'!$B$14,"Sangat Ketat",IF(J1072&lt;='Catatan &amp; Sumber'!$B$15,"Ketat",IF(J1072&lt;='Catatan &amp; Sumber'!$B$16,"Sedang","Relatif Longgar"))))</x:f>
        <x:v>Relatif Longgar</x:v>
      </x:c>
      <x:c r="N1072" s="66" t="str">
        <x:v>Tidak Ada</x:v>
      </x:c>
      <x:c r="O1072" s="66" t="str">
        <x:v>Kepulauan Riau</x:v>
      </x:c>
      <x:c r="P1072" s="66" t="str">
        <x:v>Kota Batam</x:v>
      </x:c>
      <x:c r="Q1072" s="66" t="str">
        <x:v>https://snpmb.id/snbp/daya-tampung-snbp</x:v>
      </x:c>
      <x:c r="R1072" s="66" t="str">
        <x:v>https://sidatagrun-public-1076756628210.asia-southeast2.run.app/ptn_sn.php?ptn=231</x:v>
      </x:c>
    </x:row>
    <x:row r="1073">
      <x:c r="A1073" s="87" t="n">
        <x:v>1974</x:v>
      </x:c>
      <x:c r="B1073" s="87" t="n">
        <x:v>231</x:v>
      </x:c>
      <x:c r="C1073" s="66" t="str">
        <x:v>POLITEKNIK NEGERI BATAM</x:v>
      </x:c>
      <x:c r="D1073" s="66" t="str">
        <x:v>PTN Vokasi</x:v>
      </x:c>
      <x:c r="E1073" s="66" t="str">
        <x:v>22312005</x:v>
      </x:c>
      <x:c r="F1073" s="66" t="str">
        <x:v>ANIMASI</x:v>
      </x:c>
      <x:c r="G1073" s="66" t="str">
        <x:v>Sarjana Terapan</x:v>
      </x:c>
      <x:c r="H1073" s="87" t="n">
        <x:v>15</x:v>
      </x:c>
      <x:c r="I1073" s="87" t="n">
        <x:v>101</x:v>
      </x:c>
      <x:c r="J1073" s="68" t="n">
        <x:f>IFERROR(H1073/I1073,"")</x:f>
        <x:v>0.1485148514851485</x:v>
      </x:c>
      <x:c r="K1073" s="69" t="n">
        <x:f>IFERROR(I1073/H1073,"")</x:f>
        <x:v>6.733333333333333</x:v>
      </x:c>
      <x:c r="L1073" s="66" t="str">
        <x:f>IF(K1073="","","1 : "&amp;TEXT(K1073,"0.0"))</x:f>
        <x:v>1 : 6.7</x:v>
      </x:c>
      <x:c r="M1073" s="66" t="str">
        <x:f>IF(J1073="","Baru/Tanpa Data",IF(J1073&lt;='Catatan &amp; Sumber'!$B$14,"Sangat Ketat",IF(J1073&lt;='Catatan &amp; Sumber'!$B$15,"Ketat",IF(J1073&lt;='Catatan &amp; Sumber'!$B$16,"Sedang","Relatif Longgar"))))</x:f>
        <x:v>Relatif Longgar</x:v>
      </x:c>
      <x:c r="N1073" s="66" t="str">
        <x:v>Tidak Ada</x:v>
      </x:c>
      <x:c r="O1073" s="66" t="str">
        <x:v>Kepulauan Riau</x:v>
      </x:c>
      <x:c r="P1073" s="66" t="str">
        <x:v>Kota Batam</x:v>
      </x:c>
      <x:c r="Q1073" s="66" t="str">
        <x:v>https://snpmb.id/snbp/daya-tampung-snbp</x:v>
      </x:c>
      <x:c r="R1073" s="66" t="str">
        <x:v>https://sidatagrun-public-1076756628210.asia-southeast2.run.app/ptn_sn.php?ptn=231</x:v>
      </x:c>
    </x:row>
    <x:row r="1074">
      <x:c r="A1074" s="87" t="n">
        <x:v>1073</x:v>
      </x:c>
      <x:c r="B1074" s="87" t="n">
        <x:v>231</x:v>
      </x:c>
      <x:c r="C1074" s="66" t="str">
        <x:v>POLITEKNIK NEGERI BATAM</x:v>
      </x:c>
      <x:c r="D1074" s="66" t="str">
        <x:v>PTN Vokasi</x:v>
      </x:c>
      <x:c r="E1074" s="66" t="str">
        <x:v>22312006</x:v>
      </x:c>
      <x:c r="F1074" s="66" t="str">
        <x:v>REKAYASA KEAMANAN SIBER</x:v>
      </x:c>
      <x:c r="G1074" s="66" t="str">
        <x:v>Sarjana Terapan</x:v>
      </x:c>
      <x:c r="H1074" s="87" t="n">
        <x:v>15</x:v>
      </x:c>
      <x:c r="I1074" s="87" t="n">
        <x:v>183</x:v>
      </x:c>
      <x:c r="J1074" s="68" t="n">
        <x:f>IFERROR(H1074/I1074,"")</x:f>
        <x:v>0.08196721311475409</x:v>
      </x:c>
      <x:c r="K1074" s="69" t="n">
        <x:f>IFERROR(I1074/H1074,"")</x:f>
        <x:v>12.2</x:v>
      </x:c>
      <x:c r="L1074" s="66" t="str">
        <x:f>IF(K1074="","","1 : "&amp;TEXT(K1074,"0.0"))</x:f>
        <x:v>1 : 12.2</x:v>
      </x:c>
      <x:c r="M1074" s="66" t="str">
        <x:f>IF(J1074="","Baru/Tanpa Data",IF(J1074&lt;='Catatan &amp; Sumber'!$B$14,"Sangat Ketat",IF(J1074&lt;='Catatan &amp; Sumber'!$B$15,"Ketat",IF(J1074&lt;='Catatan &amp; Sumber'!$B$16,"Sedang","Relatif Longgar"))))</x:f>
        <x:v>Sedang</x:v>
      </x:c>
      <x:c r="N1074" s="66" t="str">
        <x:v>Tidak Ada</x:v>
      </x:c>
      <x:c r="O1074" s="66" t="str">
        <x:v>Kepulauan Riau</x:v>
      </x:c>
      <x:c r="P1074" s="66" t="str">
        <x:v>Kota Batam</x:v>
      </x:c>
      <x:c r="Q1074" s="66" t="str">
        <x:v>https://snpmb.id/snbp/daya-tampung-snbp</x:v>
      </x:c>
      <x:c r="R1074" s="66" t="str">
        <x:v>https://sidatagrun-public-1076756628210.asia-southeast2.run.app/ptn_sn.php?ptn=231</x:v>
      </x:c>
    </x:row>
    <x:row r="1075">
      <x:c r="A1075" s="87" t="n">
        <x:v>152</x:v>
      </x:c>
      <x:c r="B1075" s="87" t="n">
        <x:v>231</x:v>
      </x:c>
      <x:c r="C1075" s="66" t="str">
        <x:v>POLITEKNIK NEGERI BATAM</x:v>
      </x:c>
      <x:c r="D1075" s="66" t="str">
        <x:v>PTN Vokasi</x:v>
      </x:c>
      <x:c r="E1075" s="66" t="str">
        <x:v>22312007</x:v>
      </x:c>
      <x:c r="F1075" s="66" t="str">
        <x:v>ADMINISTRASI BISNIS TERAPAN</x:v>
      </x:c>
      <x:c r="G1075" s="66" t="str">
        <x:v>Sarjana Terapan</x:v>
      </x:c>
      <x:c r="H1075" s="87" t="n">
        <x:v>30</x:v>
      </x:c>
      <x:c r="I1075" s="87" t="n">
        <x:v>896</x:v>
      </x:c>
      <x:c r="J1075" s="68" t="n">
        <x:f>IFERROR(H1075/I1075,"")</x:f>
        <x:v>0.033482142857142856</x:v>
      </x:c>
      <x:c r="K1075" s="69" t="n">
        <x:f>IFERROR(I1075/H1075,"")</x:f>
        <x:v>29.866666666666667</x:v>
      </x:c>
      <x:c r="L1075" s="66" t="str">
        <x:f>IF(K1075="","","1 : "&amp;TEXT(K1075,"0.0"))</x:f>
        <x:v>1 : 29.9</x:v>
      </x:c>
      <x:c r="M1075" s="66" t="str">
        <x:f>IF(J1075="","Baru/Tanpa Data",IF(J1075&lt;='Catatan &amp; Sumber'!$B$14,"Sangat Ketat",IF(J1075&lt;='Catatan &amp; Sumber'!$B$15,"Ketat",IF(J1075&lt;='Catatan &amp; Sumber'!$B$16,"Sedang","Relatif Longgar"))))</x:f>
        <x:v>Ketat</x:v>
      </x:c>
      <x:c r="N1075" s="66" t="str">
        <x:v>Tidak Ada</x:v>
      </x:c>
      <x:c r="O1075" s="66" t="str">
        <x:v>Kepulauan Riau</x:v>
      </x:c>
      <x:c r="P1075" s="66" t="str">
        <x:v>Kota Batam</x:v>
      </x:c>
      <x:c r="Q1075" s="66" t="str">
        <x:v>https://snpmb.id/snbp/daya-tampung-snbp</x:v>
      </x:c>
      <x:c r="R1075" s="66" t="str">
        <x:v>https://sidatagrun-public-1076756628210.asia-southeast2.run.app/ptn_sn.php?ptn=231</x:v>
      </x:c>
    </x:row>
    <x:row r="1076">
      <x:c r="A1076" s="87" t="n">
        <x:v>624</x:v>
      </x:c>
      <x:c r="B1076" s="87" t="n">
        <x:v>231</x:v>
      </x:c>
      <x:c r="C1076" s="66" t="str">
        <x:v>POLITEKNIK NEGERI BATAM</x:v>
      </x:c>
      <x:c r="D1076" s="66" t="str">
        <x:v>PTN Vokasi</x:v>
      </x:c>
      <x:c r="E1076" s="66" t="str">
        <x:v>22312008</x:v>
      </x:c>
      <x:c r="F1076" s="66" t="str">
        <x:v>AKUNTANSI MANAJERIAL</x:v>
      </x:c>
      <x:c r="G1076" s="66" t="str">
        <x:v>Sarjana Terapan</x:v>
      </x:c>
      <x:c r="H1076" s="87" t="n">
        <x:v>30</x:v>
      </x:c>
      <x:c r="I1076" s="87" t="n">
        <x:v>513</x:v>
      </x:c>
      <x:c r="J1076" s="68" t="n">
        <x:f>IFERROR(H1076/I1076,"")</x:f>
        <x:v>0.05847953216374269</x:v>
      </x:c>
      <x:c r="K1076" s="69" t="n">
        <x:f>IFERROR(I1076/H1076,"")</x:f>
        <x:v>17.1</x:v>
      </x:c>
      <x:c r="L1076" s="66" t="str">
        <x:f>IF(K1076="","","1 : "&amp;TEXT(K1076,"0.0"))</x:f>
        <x:v>1 : 17.1</x:v>
      </x:c>
      <x:c r="M1076" s="66" t="str">
        <x:f>IF(J1076="","Baru/Tanpa Data",IF(J1076&lt;='Catatan &amp; Sumber'!$B$14,"Sangat Ketat",IF(J1076&lt;='Catatan &amp; Sumber'!$B$15,"Ketat",IF(J1076&lt;='Catatan &amp; Sumber'!$B$16,"Sedang","Relatif Longgar"))))</x:f>
        <x:v>Sedang</x:v>
      </x:c>
      <x:c r="N1076" s="66" t="str">
        <x:v>Tidak Ada</x:v>
      </x:c>
      <x:c r="O1076" s="66" t="str">
        <x:v>Kepulauan Riau</x:v>
      </x:c>
      <x:c r="P1076" s="66" t="str">
        <x:v>Kota Batam</x:v>
      </x:c>
      <x:c r="Q1076" s="66" t="str">
        <x:v>https://snpmb.id/snbp/daya-tampung-snbp</x:v>
      </x:c>
      <x:c r="R1076" s="66" t="str">
        <x:v>https://sidatagrun-public-1076756628210.asia-southeast2.run.app/ptn_sn.php?ptn=231</x:v>
      </x:c>
    </x:row>
    <x:row r="1077">
      <x:c r="A1077" s="87" t="n">
        <x:v>413</x:v>
      </x:c>
      <x:c r="B1077" s="87" t="n">
        <x:v>231</x:v>
      </x:c>
      <x:c r="C1077" s="66" t="str">
        <x:v>POLITEKNIK NEGERI BATAM</x:v>
      </x:c>
      <x:c r="D1077" s="66" t="str">
        <x:v>PTN Vokasi</x:v>
      </x:c>
      <x:c r="E1077" s="66" t="str">
        <x:v>22312009</x:v>
      </x:c>
      <x:c r="F1077" s="66" t="str">
        <x:v>LOGISTIK PERDAGANGAN INTERNASIONAL</x:v>
      </x:c>
      <x:c r="G1077" s="66" t="str">
        <x:v>Sarjana Terapan</x:v>
      </x:c>
      <x:c r="H1077" s="87" t="n">
        <x:v>30</x:v>
      </x:c>
      <x:c r="I1077" s="87" t="n">
        <x:v>633</x:v>
      </x:c>
      <x:c r="J1077" s="68" t="n">
        <x:f>IFERROR(H1077/I1077,"")</x:f>
        <x:v>0.04739336492890995</x:v>
      </x:c>
      <x:c r="K1077" s="69" t="n">
        <x:f>IFERROR(I1077/H1077,"")</x:f>
        <x:v>21.1</x:v>
      </x:c>
      <x:c r="L1077" s="66" t="str">
        <x:f>IF(K1077="","","1 : "&amp;TEXT(K1077,"0.0"))</x:f>
        <x:v>1 : 21.1</x:v>
      </x:c>
      <x:c r="M1077" s="66" t="str">
        <x:f>IF(J1077="","Baru/Tanpa Data",IF(J1077&lt;='Catatan &amp; Sumber'!$B$14,"Sangat Ketat",IF(J1077&lt;='Catatan &amp; Sumber'!$B$15,"Ketat",IF(J1077&lt;='Catatan &amp; Sumber'!$B$16,"Sedang","Relatif Longgar"))))</x:f>
        <x:v>Ketat</x:v>
      </x:c>
      <x:c r="N1077" s="66" t="str">
        <x:v>Tidak Ada</x:v>
      </x:c>
      <x:c r="O1077" s="66" t="str">
        <x:v>Kepulauan Riau</x:v>
      </x:c>
      <x:c r="P1077" s="66" t="str">
        <x:v>Kota Batam</x:v>
      </x:c>
      <x:c r="Q1077" s="66" t="str">
        <x:v>https://snpmb.id/snbp/daya-tampung-snbp</x:v>
      </x:c>
      <x:c r="R1077" s="66" t="str">
        <x:v>https://sidatagrun-public-1076756628210.asia-southeast2.run.app/ptn_sn.php?ptn=231</x:v>
      </x:c>
    </x:row>
    <x:row r="1078">
      <x:c r="A1078" s="87" t="n">
        <x:v>913</x:v>
      </x:c>
      <x:c r="B1078" s="87" t="n">
        <x:v>231</x:v>
      </x:c>
      <x:c r="C1078" s="66" t="str">
        <x:v>POLITEKNIK NEGERI BATAM</x:v>
      </x:c>
      <x:c r="D1078" s="66" t="str">
        <x:v>PTN Vokasi</x:v>
      </x:c>
      <x:c r="E1078" s="66" t="str">
        <x:v>22312010</x:v>
      </x:c>
      <x:c r="F1078" s="66" t="str">
        <x:v>TEKNOLOGI REKAYASA ELEKTRONIKA</x:v>
      </x:c>
      <x:c r="G1078" s="66" t="str">
        <x:v>Sarjana Terapan</x:v>
      </x:c>
      <x:c r="H1078" s="87" t="n">
        <x:v>15</x:v>
      </x:c>
      <x:c r="I1078" s="87" t="n">
        <x:v>205</x:v>
      </x:c>
      <x:c r="J1078" s="68" t="n">
        <x:f>IFERROR(H1078/I1078,"")</x:f>
        <x:v>0.07317073170731707</x:v>
      </x:c>
      <x:c r="K1078" s="69" t="n">
        <x:f>IFERROR(I1078/H1078,"")</x:f>
        <x:v>13.666666666666666</x:v>
      </x:c>
      <x:c r="L1078" s="66" t="str">
        <x:f>IF(K1078="","","1 : "&amp;TEXT(K1078,"0.0"))</x:f>
        <x:v>1 : 13.7</x:v>
      </x:c>
      <x:c r="M1078" s="66" t="str">
        <x:f>IF(J1078="","Baru/Tanpa Data",IF(J1078&lt;='Catatan &amp; Sumber'!$B$14,"Sangat Ketat",IF(J1078&lt;='Catatan &amp; Sumber'!$B$15,"Ketat",IF(J1078&lt;='Catatan &amp; Sumber'!$B$16,"Sedang","Relatif Longgar"))))</x:f>
        <x:v>Sedang</x:v>
      </x:c>
      <x:c r="N1078" s="66" t="str">
        <x:v>Tidak Ada</x:v>
      </x:c>
      <x:c r="O1078" s="66" t="str">
        <x:v>Kepulauan Riau</x:v>
      </x:c>
      <x:c r="P1078" s="66" t="str">
        <x:v>Kota Batam</x:v>
      </x:c>
      <x:c r="Q1078" s="66" t="str">
        <x:v>https://snpmb.id/snbp/daya-tampung-snbp</x:v>
      </x:c>
      <x:c r="R1078" s="66" t="str">
        <x:v>https://sidatagrun-public-1076756628210.asia-southeast2.run.app/ptn_sn.php?ptn=231</x:v>
      </x:c>
    </x:row>
    <x:row r="1079">
      <x:c r="A1079" s="87" t="n">
        <x:v>1080</x:v>
      </x:c>
      <x:c r="B1079" s="87" t="n">
        <x:v>231</x:v>
      </x:c>
      <x:c r="C1079" s="66" t="str">
        <x:v>POLITEKNIK NEGERI BATAM</x:v>
      </x:c>
      <x:c r="D1079" s="66" t="str">
        <x:v>PTN Vokasi</x:v>
      </x:c>
      <x:c r="E1079" s="66" t="str">
        <x:v>22312013</x:v>
      </x:c>
      <x:c r="F1079" s="66" t="str">
        <x:v>TEKNOLOGI REKAYASA KONSTRUKSI PERKAPALAN</x:v>
      </x:c>
      <x:c r="G1079" s="66" t="str">
        <x:v>Sarjana Terapan</x:v>
      </x:c>
      <x:c r="H1079" s="87" t="n">
        <x:v>23</x:v>
      </x:c>
      <x:c r="I1079" s="87" t="n">
        <x:v>279</x:v>
      </x:c>
      <x:c r="J1079" s="68" t="n">
        <x:f>IFERROR(H1079/I1079,"")</x:f>
        <x:v>0.08243727598566308</x:v>
      </x:c>
      <x:c r="K1079" s="69" t="n">
        <x:f>IFERROR(I1079/H1079,"")</x:f>
        <x:v>12.130434782608695</x:v>
      </x:c>
      <x:c r="L1079" s="66" t="str">
        <x:f>IF(K1079="","","1 : "&amp;TEXT(K1079,"0.0"))</x:f>
        <x:v>1 : 12.1</x:v>
      </x:c>
      <x:c r="M1079" s="66" t="str">
        <x:f>IF(J1079="","Baru/Tanpa Data",IF(J1079&lt;='Catatan &amp; Sumber'!$B$14,"Sangat Ketat",IF(J1079&lt;='Catatan &amp; Sumber'!$B$15,"Ketat",IF(J1079&lt;='Catatan &amp; Sumber'!$B$16,"Sedang","Relatif Longgar"))))</x:f>
        <x:v>Sedang</x:v>
      </x:c>
      <x:c r="N1079" s="66" t="str">
        <x:v>Tidak Ada</x:v>
      </x:c>
      <x:c r="O1079" s="66" t="str">
        <x:v>Kepulauan Riau</x:v>
      </x:c>
      <x:c r="P1079" s="66" t="str">
        <x:v>Kota Batam</x:v>
      </x:c>
      <x:c r="Q1079" s="66" t="str">
        <x:v>https://snpmb.id/snbp/daya-tampung-snbp</x:v>
      </x:c>
      <x:c r="R1079" s="66" t="str">
        <x:v>https://sidatagrun-public-1076756628210.asia-southeast2.run.app/ptn_sn.php?ptn=231</x:v>
      </x:c>
    </x:row>
    <x:row r="1080">
      <x:c r="A1080" s="87" t="n">
        <x:v>1202</x:v>
      </x:c>
      <x:c r="B1080" s="87" t="n">
        <x:v>231</x:v>
      </x:c>
      <x:c r="C1080" s="66" t="str">
        <x:v>POLITEKNIK NEGERI BATAM</x:v>
      </x:c>
      <x:c r="D1080" s="66" t="str">
        <x:v>PTN Vokasi</x:v>
      </x:c>
      <x:c r="E1080" s="66" t="str">
        <x:v>22312019</x:v>
      </x:c>
      <x:c r="F1080" s="66" t="str">
        <x:v>TEKNOLOGI REKAYASA PENGELASAN DAN FABRIKASI</x:v>
      </x:c>
      <x:c r="G1080" s="66" t="str">
        <x:v>Sarjana Terapan</x:v>
      </x:c>
      <x:c r="H1080" s="87" t="n">
        <x:v>15</x:v>
      </x:c>
      <x:c r="I1080" s="87" t="n">
        <x:v>167</x:v>
      </x:c>
      <x:c r="J1080" s="68" t="n">
        <x:f>IFERROR(H1080/I1080,"")</x:f>
        <x:v>0.08982035928143713</x:v>
      </x:c>
      <x:c r="K1080" s="69" t="n">
        <x:f>IFERROR(I1080/H1080,"")</x:f>
        <x:v>11.133333333333333</x:v>
      </x:c>
      <x:c r="L1080" s="66" t="str">
        <x:f>IF(K1080="","","1 : "&amp;TEXT(K1080,"0.0"))</x:f>
        <x:v>1 : 11.1</x:v>
      </x:c>
      <x:c r="M1080" s="66" t="str">
        <x:f>IF(J1080="","Baru/Tanpa Data",IF(J1080&lt;='Catatan &amp; Sumber'!$B$14,"Sangat Ketat",IF(J1080&lt;='Catatan &amp; Sumber'!$B$15,"Ketat",IF(J1080&lt;='Catatan &amp; Sumber'!$B$16,"Sedang","Relatif Longgar"))))</x:f>
        <x:v>Sedang</x:v>
      </x:c>
      <x:c r="N1080" s="66" t="str">
        <x:v>Tidak Ada</x:v>
      </x:c>
      <x:c r="O1080" s="66" t="str">
        <x:v>Kepulauan Riau</x:v>
      </x:c>
      <x:c r="P1080" s="66" t="str">
        <x:v>Kota Batam</x:v>
      </x:c>
      <x:c r="Q1080" s="66" t="str">
        <x:v>https://snpmb.id/snbp/daya-tampung-snbp</x:v>
      </x:c>
      <x:c r="R1080" s="66" t="str">
        <x:v>https://sidatagrun-public-1076756628210.asia-southeast2.run.app/ptn_sn.php?ptn=231</x:v>
      </x:c>
    </x:row>
    <x:row r="1081">
      <x:c r="A1081" s="87" t="n">
        <x:v>1459</x:v>
      </x:c>
      <x:c r="B1081" s="87" t="n">
        <x:v>231</x:v>
      </x:c>
      <x:c r="C1081" s="66" t="str">
        <x:v>POLITEKNIK NEGERI BATAM</x:v>
      </x:c>
      <x:c r="D1081" s="66" t="str">
        <x:v>PTN Vokasi</x:v>
      </x:c>
      <x:c r="E1081" s="66" t="str">
        <x:v>22312020</x:v>
      </x:c>
      <x:c r="F1081" s="66" t="str">
        <x:v>TEKNOLOGI REKAYASA PERANGKAT LUNAK</x:v>
      </x:c>
      <x:c r="G1081" s="66" t="str">
        <x:v>Sarjana Terapan</x:v>
      </x:c>
      <x:c r="H1081" s="87" t="n">
        <x:v>23</x:v>
      </x:c>
      <x:c r="I1081" s="87" t="n">
        <x:v>216</x:v>
      </x:c>
      <x:c r="J1081" s="68" t="n">
        <x:f>IFERROR(H1081/I1081,"")</x:f>
        <x:v>0.10648148148148148</x:v>
      </x:c>
      <x:c r="K1081" s="69" t="n">
        <x:f>IFERROR(I1081/H1081,"")</x:f>
        <x:v>9.391304347826088</x:v>
      </x:c>
      <x:c r="L1081" s="66" t="str">
        <x:f>IF(K1081="","","1 : "&amp;TEXT(K1081,"0.0"))</x:f>
        <x:v>1 : 9.4</x:v>
      </x:c>
      <x:c r="M1081" s="66" t="str">
        <x:f>IF(J1081="","Baru/Tanpa Data",IF(J1081&lt;='Catatan &amp; Sumber'!$B$14,"Sangat Ketat",IF(J1081&lt;='Catatan &amp; Sumber'!$B$15,"Ketat",IF(J1081&lt;='Catatan &amp; Sumber'!$B$16,"Sedang","Relatif Longgar"))))</x:f>
        <x:v>Relatif Longgar</x:v>
      </x:c>
      <x:c r="N1081" s="66" t="str">
        <x:v>Tidak Ada</x:v>
      </x:c>
      <x:c r="O1081" s="66" t="str">
        <x:v>Kepulauan Riau</x:v>
      </x:c>
      <x:c r="P1081" s="66" t="str">
        <x:v>Kota Batam</x:v>
      </x:c>
      <x:c r="Q1081" s="66" t="str">
        <x:v>https://snpmb.id/snbp/daya-tampung-snbp</x:v>
      </x:c>
      <x:c r="R1081" s="66" t="str">
        <x:v>https://sidatagrun-public-1076756628210.asia-southeast2.run.app/ptn_sn.php?ptn=231</x:v>
      </x:c>
    </x:row>
    <x:row r="1082">
      <x:c r="A1082" s="87" t="n">
        <x:v>1517</x:v>
      </x:c>
      <x:c r="B1082" s="87" t="n">
        <x:v>231</x:v>
      </x:c>
      <x:c r="C1082" s="66" t="str">
        <x:v>POLITEKNIK NEGERI BATAM</x:v>
      </x:c>
      <x:c r="D1082" s="66" t="str">
        <x:v>PTN Vokasi</x:v>
      </x:c>
      <x:c r="E1082" s="66" t="str">
        <x:v>22312022</x:v>
      </x:c>
      <x:c r="F1082" s="66" t="str">
        <x:v>TEKNOLOGI REKAYASA METALURGI</x:v>
      </x:c>
      <x:c r="G1082" s="66" t="str">
        <x:v>Sarjana Terapan</x:v>
      </x:c>
      <x:c r="H1082" s="87" t="n">
        <x:v>15</x:v>
      </x:c>
      <x:c r="I1082" s="87" t="n">
        <x:v>135</x:v>
      </x:c>
      <x:c r="J1082" s="68" t="n">
        <x:f>IFERROR(H1082/I1082,"")</x:f>
        <x:v>0.1111111111111111</x:v>
      </x:c>
      <x:c r="K1082" s="69" t="n">
        <x:f>IFERROR(I1082/H1082,"")</x:f>
        <x:v>9</x:v>
      </x:c>
      <x:c r="L1082" s="66" t="str">
        <x:f>IF(K1082="","","1 : "&amp;TEXT(K1082,"0.0"))</x:f>
        <x:v>1 : 9.0</x:v>
      </x:c>
      <x:c r="M1082" s="66" t="str">
        <x:f>IF(J1082="","Baru/Tanpa Data",IF(J1082&lt;='Catatan &amp; Sumber'!$B$14,"Sangat Ketat",IF(J1082&lt;='Catatan &amp; Sumber'!$B$15,"Ketat",IF(J1082&lt;='Catatan &amp; Sumber'!$B$16,"Sedang","Relatif Longgar"))))</x:f>
        <x:v>Relatif Longgar</x:v>
      </x:c>
      <x:c r="N1082" s="66" t="str">
        <x:v>Tidak Ada</x:v>
      </x:c>
      <x:c r="O1082" s="66" t="str">
        <x:v>Kepulauan Riau</x:v>
      </x:c>
      <x:c r="P1082" s="66" t="str">
        <x:v>Kota Batam</x:v>
      </x:c>
      <x:c r="Q1082" s="66" t="str">
        <x:v>https://snpmb.id/snbp/daya-tampung-snbp</x:v>
      </x:c>
      <x:c r="R1082" s="66" t="str">
        <x:v>https://sidatagrun-public-1076756628210.asia-southeast2.run.app/ptn_sn.php?ptn=231</x:v>
      </x:c>
    </x:row>
    <x:row r="1083">
      <x:c r="A1083" s="87" t="n">
        <x:v>3596</x:v>
      </x:c>
      <x:c r="B1083" s="87" t="n">
        <x:v>231</x:v>
      </x:c>
      <x:c r="C1083" s="66" t="str">
        <x:v>POLITEKNIK NEGERI BATAM</x:v>
      </x:c>
      <x:c r="D1083" s="66" t="str">
        <x:v>PTN Vokasi</x:v>
      </x:c>
      <x:c r="E1083" s="66" t="str">
        <x:v>22312023</x:v>
      </x:c>
      <x:c r="F1083" s="66" t="str">
        <x:v>TEKNOLOGI PERMAINAN</x:v>
      </x:c>
      <x:c r="G1083" s="66" t="str">
        <x:v>Sarjana Terapan</x:v>
      </x:c>
      <x:c r="H1083" s="87" t="n">
        <x:v>15</x:v>
      </x:c>
      <x:c r="I1083" s="87" t="n">
        <x:v>32</x:v>
      </x:c>
      <x:c r="J1083" s="68" t="n">
        <x:f>IFERROR(H1083/I1083,"")</x:f>
        <x:v>0.46875</x:v>
      </x:c>
      <x:c r="K1083" s="69" t="n">
        <x:f>IFERROR(I1083/H1083,"")</x:f>
        <x:v>2.1333333333333333</x:v>
      </x:c>
      <x:c r="L1083" s="66" t="str">
        <x:f>IF(K1083="","","1 : "&amp;TEXT(K1083,"0.0"))</x:f>
        <x:v>1 : 2.1</x:v>
      </x:c>
      <x:c r="M1083" s="66" t="str">
        <x:f>IF(J1083="","Baru/Tanpa Data",IF(J1083&lt;='Catatan &amp; Sumber'!$B$14,"Sangat Ketat",IF(J1083&lt;='Catatan &amp; Sumber'!$B$15,"Ketat",IF(J1083&lt;='Catatan &amp; Sumber'!$B$16,"Sedang","Relatif Longgar"))))</x:f>
        <x:v>Relatif Longgar</x:v>
      </x:c>
      <x:c r="N1083" s="66" t="str">
        <x:v>Tidak Ada</x:v>
      </x:c>
      <x:c r="O1083" s="66" t="str">
        <x:v>Kepulauan Riau</x:v>
      </x:c>
      <x:c r="P1083" s="66" t="str">
        <x:v>Kota Batam</x:v>
      </x:c>
      <x:c r="Q1083" s="66" t="str">
        <x:v>https://snpmb.id/snbp/daya-tampung-snbp</x:v>
      </x:c>
      <x:c r="R1083" s="66" t="str">
        <x:v>https://sidatagrun-public-1076756628210.asia-southeast2.run.app/ptn_sn.php?ptn=231</x:v>
      </x:c>
    </x:row>
    <x:row r="1084">
      <x:c r="A1084" s="87" t="n">
        <x:v>1494</x:v>
      </x:c>
      <x:c r="B1084" s="87" t="n">
        <x:v>231</x:v>
      </x:c>
      <x:c r="C1084" s="66" t="str">
        <x:v>POLITEKNIK NEGERI BATAM</x:v>
      </x:c>
      <x:c r="D1084" s="66" t="str">
        <x:v>PTN Vokasi</x:v>
      </x:c>
      <x:c r="E1084" s="66" t="str">
        <x:v>22313011</x:v>
      </x:c>
      <x:c r="F1084" s="66" t="str">
        <x:v>TEKNIK INFORMATIKA</x:v>
      </x:c>
      <x:c r="G1084" s="66" t="str">
        <x:v>Diploma Tiga</x:v>
      </x:c>
      <x:c r="H1084" s="87" t="n">
        <x:v>30</x:v>
      </x:c>
      <x:c r="I1084" s="87" t="n">
        <x:v>275</x:v>
      </x:c>
      <x:c r="J1084" s="68" t="n">
        <x:f>IFERROR(H1084/I1084,"")</x:f>
        <x:v>0.10909090909090909</x:v>
      </x:c>
      <x:c r="K1084" s="69" t="n">
        <x:f>IFERROR(I1084/H1084,"")</x:f>
        <x:v>9.166666666666666</x:v>
      </x:c>
      <x:c r="L1084" s="66" t="str">
        <x:f>IF(K1084="","","1 : "&amp;TEXT(K1084,"0.0"))</x:f>
        <x:v>1 : 9.2</x:v>
      </x:c>
      <x:c r="M1084" s="66" t="str">
        <x:f>IF(J1084="","Baru/Tanpa Data",IF(J1084&lt;='Catatan &amp; Sumber'!$B$14,"Sangat Ketat",IF(J1084&lt;='Catatan &amp; Sumber'!$B$15,"Ketat",IF(J1084&lt;='Catatan &amp; Sumber'!$B$16,"Sedang","Relatif Longgar"))))</x:f>
        <x:v>Relatif Longgar</x:v>
      </x:c>
      <x:c r="N1084" s="66" t="str">
        <x:v>Tidak Ada</x:v>
      </x:c>
      <x:c r="O1084" s="66" t="str">
        <x:v>Kepulauan Riau</x:v>
      </x:c>
      <x:c r="P1084" s="66" t="str">
        <x:v>Kota Batam</x:v>
      </x:c>
      <x:c r="Q1084" s="66" t="str">
        <x:v>https://snpmb.id/snbp/daya-tampung-snbp</x:v>
      </x:c>
      <x:c r="R1084" s="66" t="str">
        <x:v>https://sidatagrun-public-1076756628210.asia-southeast2.run.app/ptn_sn.php?ptn=231</x:v>
      </x:c>
    </x:row>
    <x:row r="1085">
      <x:c r="A1085" s="87" t="n">
        <x:v>2218</x:v>
      </x:c>
      <x:c r="B1085" s="66" t="n">
        <x:v>231</x:v>
      </x:c>
      <x:c r="C1085" s="66" t="str">
        <x:v>POLITEKNIK NEGERI BATAM</x:v>
      </x:c>
      <x:c r="D1085" s="66" t="str">
        <x:v>PTN Vokasi</x:v>
      </x:c>
      <x:c r="E1085" s="66" t="str">
        <x:v>22313012</x:v>
      </x:c>
      <x:c r="F1085" s="66" t="str">
        <x:v>TEKNIK ELEKTRONIKA MANUFAKTUR</x:v>
      </x:c>
      <x:c r="G1085" s="66" t="str">
        <x:v>Diploma Tiga</x:v>
      </x:c>
      <x:c r="H1085" s="87" t="n">
        <x:v>15</x:v>
      </x:c>
      <x:c r="I1085" s="87" t="n">
        <x:v>86</x:v>
      </x:c>
      <x:c r="J1085" s="68" t="n">
        <x:f>IFERROR(H1085/I1085,"")</x:f>
        <x:v>0.1744186046511628</x:v>
      </x:c>
      <x:c r="K1085" s="69" t="n">
        <x:f>IFERROR(I1085/H1085,"")</x:f>
        <x:v>5.733333333333333</x:v>
      </x:c>
      <x:c r="L1085" s="66" t="str">
        <x:f>IF(K1085="","","1 : "&amp;TEXT(K1085,"0.0"))</x:f>
        <x:v>1 : 5.7</x:v>
      </x:c>
      <x:c r="M1085" s="66" t="str">
        <x:f>IF(J1085="","Baru/Tanpa Data",IF(J1085&lt;='Catatan &amp; Sumber'!$B$14,"Sangat Ketat",IF(J1085&lt;='Catatan &amp; Sumber'!$B$15,"Ketat",IF(J1085&lt;='Catatan &amp; Sumber'!$B$16,"Sedang","Relatif Longgar"))))</x:f>
        <x:v>Relatif Longgar</x:v>
      </x:c>
      <x:c r="N1085" s="66" t="str">
        <x:v>Tidak Ada</x:v>
      </x:c>
      <x:c r="O1085" s="66" t="str">
        <x:v>Kepulauan Riau</x:v>
      </x:c>
      <x:c r="P1085" s="66" t="str">
        <x:v>Kota Batam</x:v>
      </x:c>
      <x:c r="Q1085" s="66" t="str">
        <x:v>https://snpmb.id/snbp/daya-tampung-snbp</x:v>
      </x:c>
      <x:c r="R1085" s="66" t="str">
        <x:v>https://sidatagrun-public-1076756628210.asia-southeast2.run.app/ptn_sn.php?ptn=231</x:v>
      </x:c>
    </x:row>
    <x:row r="1086">
      <x:c r="A1086" s="87" t="n">
        <x:v>1806</x:v>
      </x:c>
      <x:c r="B1086" s="66" t="n">
        <x:v>231</x:v>
      </x:c>
      <x:c r="C1086" s="66" t="str">
        <x:v>POLITEKNIK NEGERI BATAM</x:v>
      </x:c>
      <x:c r="D1086" s="66" t="str">
        <x:v>PTN Vokasi</x:v>
      </x:c>
      <x:c r="E1086" s="66" t="str">
        <x:v>22313014</x:v>
      </x:c>
      <x:c r="F1086" s="66" t="str">
        <x:v>AKUNTANSI</x:v>
      </x:c>
      <x:c r="G1086" s="66" t="str">
        <x:v>Diploma Tiga</x:v>
      </x:c>
      <x:c r="H1086" s="87" t="n">
        <x:v>23</x:v>
      </x:c>
      <x:c r="I1086" s="87" t="n">
        <x:v>173</x:v>
      </x:c>
      <x:c r="J1086" s="68" t="n">
        <x:f>IFERROR(H1086/I1086,"")</x:f>
        <x:v>0.1329479768786127</x:v>
      </x:c>
      <x:c r="K1086" s="69" t="n">
        <x:f>IFERROR(I1086/H1086,"")</x:f>
        <x:v>7.521739130434782</x:v>
      </x:c>
      <x:c r="L1086" s="66" t="str">
        <x:f>IF(K1086="","","1 : "&amp;TEXT(K1086,"0.0"))</x:f>
        <x:v>1 : 7.5</x:v>
      </x:c>
      <x:c r="M1086" s="66" t="str">
        <x:f>IF(J1086="","Baru/Tanpa Data",IF(J1086&lt;='Catatan &amp; Sumber'!$B$14,"Sangat Ketat",IF(J1086&lt;='Catatan &amp; Sumber'!$B$15,"Ketat",IF(J1086&lt;='Catatan &amp; Sumber'!$B$16,"Sedang","Relatif Longgar"))))</x:f>
        <x:v>Relatif Longgar</x:v>
      </x:c>
      <x:c r="N1086" s="66" t="str">
        <x:v>Tidak Ada</x:v>
      </x:c>
      <x:c r="O1086" s="66" t="str">
        <x:v>Kepulauan Riau</x:v>
      </x:c>
      <x:c r="P1086" s="66" t="str">
        <x:v>Kota Batam</x:v>
      </x:c>
      <x:c r="Q1086" s="66" t="str">
        <x:v>https://snpmb.id/snbp/daya-tampung-snbp</x:v>
      </x:c>
      <x:c r="R1086" s="66" t="str">
        <x:v>https://sidatagrun-public-1076756628210.asia-southeast2.run.app/ptn_sn.php?ptn=231</x:v>
      </x:c>
    </x:row>
    <x:row r="1087">
      <x:c r="A1087" s="87" t="n">
        <x:v>3084</x:v>
      </x:c>
      <x:c r="B1087" s="66" t="n">
        <x:v>231</x:v>
      </x:c>
      <x:c r="C1087" s="66" t="str">
        <x:v>POLITEKNIK NEGERI BATAM</x:v>
      </x:c>
      <x:c r="D1087" s="66" t="str">
        <x:v>PTN Vokasi</x:v>
      </x:c>
      <x:c r="E1087" s="66" t="str">
        <x:v>22313015</x:v>
      </x:c>
      <x:c r="F1087" s="66" t="str">
        <x:v>TEKNIK INSTRUMENTASI</x:v>
      </x:c>
      <x:c r="G1087" s="66" t="str">
        <x:v>Diploma Tiga</x:v>
      </x:c>
      <x:c r="H1087" s="87" t="n">
        <x:v>15</x:v>
      </x:c>
      <x:c r="I1087" s="87" t="n">
        <x:v>48</x:v>
      </x:c>
      <x:c r="J1087" s="68" t="n">
        <x:f>IFERROR(H1087/I1087,"")</x:f>
        <x:v>0.3125</x:v>
      </x:c>
      <x:c r="K1087" s="69" t="n">
        <x:f>IFERROR(I1087/H1087,"")</x:f>
        <x:v>3.2</x:v>
      </x:c>
      <x:c r="L1087" s="66" t="str">
        <x:f>IF(K1087="","","1 : "&amp;TEXT(K1087,"0.0"))</x:f>
        <x:v>1 : 3.2</x:v>
      </x:c>
      <x:c r="M1087" s="66" t="str">
        <x:f>IF(J1087="","Baru/Tanpa Data",IF(J1087&lt;='Catatan &amp; Sumber'!$B$14,"Sangat Ketat",IF(J1087&lt;='Catatan &amp; Sumber'!$B$15,"Ketat",IF(J1087&lt;='Catatan &amp; Sumber'!$B$16,"Sedang","Relatif Longgar"))))</x:f>
        <x:v>Relatif Longgar</x:v>
      </x:c>
      <x:c r="N1087" s="66" t="str">
        <x:v>Tidak Ada</x:v>
      </x:c>
      <x:c r="O1087" s="66" t="str">
        <x:v>Kepulauan Riau</x:v>
      </x:c>
      <x:c r="P1087" s="66" t="str">
        <x:v>Kota Batam</x:v>
      </x:c>
      <x:c r="Q1087" s="66" t="str">
        <x:v>https://snpmb.id/snbp/daya-tampung-snbp</x:v>
      </x:c>
      <x:c r="R1087" s="66" t="str">
        <x:v>https://sidatagrun-public-1076756628210.asia-southeast2.run.app/ptn_sn.php?ptn=231</x:v>
      </x:c>
    </x:row>
    <x:row r="1088">
      <x:c r="A1088" s="87" t="n">
        <x:v>3404</x:v>
      </x:c>
      <x:c r="B1088" s="66" t="n">
        <x:v>231</x:v>
      </x:c>
      <x:c r="C1088" s="66" t="str">
        <x:v>POLITEKNIK NEGERI BATAM</x:v>
      </x:c>
      <x:c r="D1088" s="66" t="str">
        <x:v>PTN Vokasi</x:v>
      </x:c>
      <x:c r="E1088" s="66" t="str">
        <x:v>22313017</x:v>
      </x:c>
      <x:c r="F1088" s="66" t="str">
        <x:v>TEKNOLOGI GEOMATIKA</x:v>
      </x:c>
      <x:c r="G1088" s="66" t="str">
        <x:v>Diploma Tiga</x:v>
      </x:c>
      <x:c r="H1088" s="87" t="n">
        <x:v>23</x:v>
      </x:c>
      <x:c r="I1088" s="87" t="n">
        <x:v>57</x:v>
      </x:c>
      <x:c r="J1088" s="68" t="n">
        <x:f>IFERROR(H1088/I1088,"")</x:f>
        <x:v>0.40350877192982454</x:v>
      </x:c>
      <x:c r="K1088" s="69" t="n">
        <x:f>IFERROR(I1088/H1088,"")</x:f>
        <x:v>2.4782608695652173</x:v>
      </x:c>
      <x:c r="L1088" s="66" t="str">
        <x:f>IF(K1088="","","1 : "&amp;TEXT(K1088,"0.0"))</x:f>
        <x:v>1 : 2.5</x:v>
      </x:c>
      <x:c r="M1088" s="66" t="str">
        <x:f>IF(J1088="","Baru/Tanpa Data",IF(J1088&lt;='Catatan &amp; Sumber'!$B$14,"Sangat Ketat",IF(J1088&lt;='Catatan &amp; Sumber'!$B$15,"Ketat",IF(J1088&lt;='Catatan &amp; Sumber'!$B$16,"Sedang","Relatif Longgar"))))</x:f>
        <x:v>Relatif Longgar</x:v>
      </x:c>
      <x:c r="N1088" s="66" t="str">
        <x:v>Tidak Ada</x:v>
      </x:c>
      <x:c r="O1088" s="66" t="str">
        <x:v>Kepulauan Riau</x:v>
      </x:c>
      <x:c r="P1088" s="66" t="str">
        <x:v>Kota Batam</x:v>
      </x:c>
      <x:c r="Q1088" s="66" t="str">
        <x:v>https://snpmb.id/snbp/daya-tampung-snbp</x:v>
      </x:c>
      <x:c r="R1088" s="66" t="str">
        <x:v>https://sidatagrun-public-1076756628210.asia-southeast2.run.app/ptn_sn.php?ptn=231</x:v>
      </x:c>
    </x:row>
    <x:row r="1089">
      <x:c r="A1089" s="87" t="n">
        <x:v>1258</x:v>
      </x:c>
      <x:c r="B1089" s="66" t="n">
        <x:v>231</x:v>
      </x:c>
      <x:c r="C1089" s="66" t="str">
        <x:v>POLITEKNIK NEGERI BATAM</x:v>
      </x:c>
      <x:c r="D1089" s="66" t="str">
        <x:v>PTN Vokasi</x:v>
      </x:c>
      <x:c r="E1089" s="66" t="str">
        <x:v>22313018</x:v>
      </x:c>
      <x:c r="F1089" s="66" t="str">
        <x:v>TEKNIK MESIN</x:v>
      </x:c>
      <x:c r="G1089" s="66" t="str">
        <x:v>Diploma Tiga</x:v>
      </x:c>
      <x:c r="H1089" s="87" t="n">
        <x:v>23</x:v>
      </x:c>
      <x:c r="I1089" s="87" t="n">
        <x:v>246</x:v>
      </x:c>
      <x:c r="J1089" s="68" t="n">
        <x:f>IFERROR(H1089/I1089,"")</x:f>
        <x:v>0.09349593495934959</x:v>
      </x:c>
      <x:c r="K1089" s="69" t="n">
        <x:f>IFERROR(I1089/H1089,"")</x:f>
        <x:v>10.695652173913043</x:v>
      </x:c>
      <x:c r="L1089" s="66" t="str">
        <x:f>IF(K1089="","","1 : "&amp;TEXT(K1089,"0.0"))</x:f>
        <x:v>1 : 10.7</x:v>
      </x:c>
      <x:c r="M1089" s="66" t="str">
        <x:f>IF(J1089="","Baru/Tanpa Data",IF(J1089&lt;='Catatan &amp; Sumber'!$B$14,"Sangat Ketat",IF(J1089&lt;='Catatan &amp; Sumber'!$B$15,"Ketat",IF(J1089&lt;='Catatan &amp; Sumber'!$B$16,"Sedang","Relatif Longgar"))))</x:f>
        <x:v>Sedang</x:v>
      </x:c>
      <x:c r="N1089" s="66" t="str">
        <x:v>Tidak Ada</x:v>
      </x:c>
      <x:c r="O1089" s="66" t="str">
        <x:v>Kepulauan Riau</x:v>
      </x:c>
      <x:c r="P1089" s="66" t="str">
        <x:v>Kota Batam</x:v>
      </x:c>
      <x:c r="Q1089" s="66" t="str">
        <x:v>https://snpmb.id/snbp/daya-tampung-snbp</x:v>
      </x:c>
      <x:c r="R1089" s="66" t="str">
        <x:v>https://sidatagrun-public-1076756628210.asia-southeast2.run.app/ptn_sn.php?ptn=231</x:v>
      </x:c>
    </x:row>
    <x:row r="1090">
      <x:c r="A1090" s="87" t="n">
        <x:v>3008</x:v>
      </x:c>
      <x:c r="B1090" s="66" t="n">
        <x:v>231</x:v>
      </x:c>
      <x:c r="C1090" s="66" t="str">
        <x:v>POLITEKNIK NEGERI BATAM</x:v>
      </x:c>
      <x:c r="D1090" s="66" t="str">
        <x:v>PTN Vokasi</x:v>
      </x:c>
      <x:c r="E1090" s="66" t="str">
        <x:v>22313021</x:v>
      </x:c>
      <x:c r="F1090" s="66" t="str">
        <x:v>TEKNIK PERAWATAN PESAWAT UDARA</x:v>
      </x:c>
      <x:c r="G1090" s="66" t="str">
        <x:v>Diploma Tiga</x:v>
      </x:c>
      <x:c r="H1090" s="87" t="n">
        <x:v>24</x:v>
      </x:c>
      <x:c r="I1090" s="87" t="n">
        <x:v>81</x:v>
      </x:c>
      <x:c r="J1090" s="68" t="n">
        <x:f>IFERROR(H1090/I1090,"")</x:f>
        <x:v>0.2962962962962963</x:v>
      </x:c>
      <x:c r="K1090" s="69" t="n">
        <x:f>IFERROR(I1090/H1090,"")</x:f>
        <x:v>3.375</x:v>
      </x:c>
      <x:c r="L1090" s="66" t="str">
        <x:f>IF(K1090="","","1 : "&amp;TEXT(K1090,"0.0"))</x:f>
        <x:v>1 : 3.4</x:v>
      </x:c>
      <x:c r="M1090" s="66" t="str">
        <x:f>IF(J1090="","Baru/Tanpa Data",IF(J1090&lt;='Catatan &amp; Sumber'!$B$14,"Sangat Ketat",IF(J1090&lt;='Catatan &amp; Sumber'!$B$15,"Ketat",IF(J1090&lt;='Catatan &amp; Sumber'!$B$16,"Sedang","Relatif Longgar"))))</x:f>
        <x:v>Relatif Longgar</x:v>
      </x:c>
      <x:c r="N1090" s="66" t="str">
        <x:v>Tidak Ada</x:v>
      </x:c>
      <x:c r="O1090" s="66" t="str">
        <x:v>Kepulauan Riau</x:v>
      </x:c>
      <x:c r="P1090" s="66" t="str">
        <x:v>Kota Batam</x:v>
      </x:c>
      <x:c r="Q1090" s="66" t="str">
        <x:v>https://snpmb.id/snbp/daya-tampung-snbp</x:v>
      </x:c>
      <x:c r="R1090" s="66" t="str">
        <x:v>https://sidatagrun-public-1076756628210.asia-southeast2.run.app/ptn_sn.php?ptn=231</x:v>
      </x:c>
    </x:row>
    <x:row r="1091">
      <x:c r="A1091" s="87" t="n">
        <x:v>3826</x:v>
      </x:c>
      <x:c r="B1091" s="66" t="n">
        <x:v>232</x:v>
      </x:c>
      <x:c r="C1091" s="66" t="str">
        <x:v>POLITEKNIK NEGERI BENGKALIS</x:v>
      </x:c>
      <x:c r="D1091" s="66" t="str">
        <x:v>PTN Vokasi</x:v>
      </x:c>
      <x:c r="E1091" s="66" t="str">
        <x:v>22322001</x:v>
      </x:c>
      <x:c r="F1091" s="66" t="str">
        <x:v>TEKNIK LISTRIK</x:v>
      </x:c>
      <x:c r="G1091" s="66" t="str">
        <x:v>Sarjana Terapan</x:v>
      </x:c>
      <x:c r="H1091" s="87" t="n">
        <x:v>64</x:v>
      </x:c>
      <x:c r="I1091" s="87" t="n">
        <x:v>109</x:v>
      </x:c>
      <x:c r="J1091" s="68" t="n">
        <x:f>IFERROR(H1091/I1091,"")</x:f>
        <x:v>0.5871559633027523</x:v>
      </x:c>
      <x:c r="K1091" s="69" t="n">
        <x:f>IFERROR(I1091/H1091,"")</x:f>
        <x:v>1.703125</x:v>
      </x:c>
      <x:c r="L1091" s="66" t="str">
        <x:f>IF(K1091="","","1 : "&amp;TEXT(K1091,"0.0"))</x:f>
        <x:v>1 : 1.7</x:v>
      </x:c>
      <x:c r="M1091" s="66" t="str">
        <x:f>IF(J1091="","Baru/Tanpa Data",IF(J1091&lt;='Catatan &amp; Sumber'!$B$14,"Sangat Ketat",IF(J1091&lt;='Catatan &amp; Sumber'!$B$15,"Ketat",IF(J1091&lt;='Catatan &amp; Sumber'!$B$16,"Sedang","Relatif Longgar"))))</x:f>
        <x:v>Relatif Longgar</x:v>
      </x:c>
      <x:c r="N1091" s="66" t="str">
        <x:v>Tidak Ada</x:v>
      </x:c>
      <x:c r="O1091" s="66" t="str">
        <x:v>Riau</x:v>
      </x:c>
      <x:c r="P1091" s="66" t="str">
        <x:v>Kabupaten Bengkalis</x:v>
      </x:c>
      <x:c r="Q1091" s="66" t="str">
        <x:v>https://snpmb.id/snbp/daya-tampung-snbp</x:v>
      </x:c>
      <x:c r="R1091" s="66" t="str">
        <x:v>https://sidatagrun-public-1076756628210.asia-southeast2.run.app/ptn_sn.php?ptn=232</x:v>
      </x:c>
    </x:row>
    <x:row r="1092">
      <x:c r="A1092" s="87" t="n">
        <x:v>3924</x:v>
      </x:c>
      <x:c r="B1092" s="66" t="n">
        <x:v>232</x:v>
      </x:c>
      <x:c r="C1092" s="66" t="str">
        <x:v>POLITEKNIK NEGERI BENGKALIS</x:v>
      </x:c>
      <x:c r="D1092" s="66" t="str">
        <x:v>PTN Vokasi</x:v>
      </x:c>
      <x:c r="E1092" s="66" t="str">
        <x:v>22322002</x:v>
      </x:c>
      <x:c r="F1092" s="66" t="str">
        <x:v>TEKNIK MESIN PRODUKSI DAN PERAWATAN</x:v>
      </x:c>
      <x:c r="G1092" s="66" t="str">
        <x:v>Sarjana Terapan</x:v>
      </x:c>
      <x:c r="H1092" s="87" t="n">
        <x:v>48</x:v>
      </x:c>
      <x:c r="I1092" s="87" t="n">
        <x:v>75</x:v>
      </x:c>
      <x:c r="J1092" s="68" t="n">
        <x:f>IFERROR(H1092/I1092,"")</x:f>
        <x:v>0.64</x:v>
      </x:c>
      <x:c r="K1092" s="69" t="n">
        <x:f>IFERROR(I1092/H1092,"")</x:f>
        <x:v>1.5625</x:v>
      </x:c>
      <x:c r="L1092" s="66" t="str">
        <x:f>IF(K1092="","","1 : "&amp;TEXT(K1092,"0.0"))</x:f>
        <x:v>1 : 1.6</x:v>
      </x:c>
      <x:c r="M1092" s="66" t="str">
        <x:f>IF(J1092="","Baru/Tanpa Data",IF(J1092&lt;='Catatan &amp; Sumber'!$B$14,"Sangat Ketat",IF(J1092&lt;='Catatan &amp; Sumber'!$B$15,"Ketat",IF(J1092&lt;='Catatan &amp; Sumber'!$B$16,"Sedang","Relatif Longgar"))))</x:f>
        <x:v>Relatif Longgar</x:v>
      </x:c>
      <x:c r="N1092" s="66" t="str">
        <x:v>Tidak Ada</x:v>
      </x:c>
      <x:c r="O1092" s="66" t="str">
        <x:v>Riau</x:v>
      </x:c>
      <x:c r="P1092" s="66" t="str">
        <x:v>Kabupaten Bengkalis</x:v>
      </x:c>
      <x:c r="Q1092" s="66" t="str">
        <x:v>https://snpmb.id/snbp/daya-tampung-snbp</x:v>
      </x:c>
      <x:c r="R1092" s="66" t="str">
        <x:v>https://sidatagrun-public-1076756628210.asia-southeast2.run.app/ptn_sn.php?ptn=232</x:v>
      </x:c>
    </x:row>
    <x:row r="1093">
      <x:c r="A1093" s="87" t="n">
        <x:v>3723</x:v>
      </x:c>
      <x:c r="B1093" s="66" t="n">
        <x:v>232</x:v>
      </x:c>
      <x:c r="C1093" s="66" t="str">
        <x:v>POLITEKNIK NEGERI BENGKALIS</x:v>
      </x:c>
      <x:c r="D1093" s="66" t="str">
        <x:v>PTN Vokasi</x:v>
      </x:c>
      <x:c r="E1093" s="66" t="str">
        <x:v>22322003</x:v>
      </x:c>
      <x:c r="F1093" s="66" t="str">
        <x:v>TEKNIK PERANCANGAN JALAN DAN JEMBATAN</x:v>
      </x:c>
      <x:c r="G1093" s="66" t="str">
        <x:v>Sarjana Terapan</x:v>
      </x:c>
      <x:c r="H1093" s="87" t="n">
        <x:v>48</x:v>
      </x:c>
      <x:c r="I1093" s="87" t="n">
        <x:v>91</x:v>
      </x:c>
      <x:c r="J1093" s="68" t="n">
        <x:f>IFERROR(H1093/I1093,"")</x:f>
        <x:v>0.5274725274725275</x:v>
      </x:c>
      <x:c r="K1093" s="69" t="n">
        <x:f>IFERROR(I1093/H1093,"")</x:f>
        <x:v>1.8958333333333333</x:v>
      </x:c>
      <x:c r="L1093" s="66" t="str">
        <x:f>IF(K1093="","","1 : "&amp;TEXT(K1093,"0.0"))</x:f>
        <x:v>1 : 1.9</x:v>
      </x:c>
      <x:c r="M1093" s="66" t="str">
        <x:f>IF(J1093="","Baru/Tanpa Data",IF(J1093&lt;='Catatan &amp; Sumber'!$B$14,"Sangat Ketat",IF(J1093&lt;='Catatan &amp; Sumber'!$B$15,"Ketat",IF(J1093&lt;='Catatan &amp; Sumber'!$B$16,"Sedang","Relatif Longgar"))))</x:f>
        <x:v>Relatif Longgar</x:v>
      </x:c>
      <x:c r="N1093" s="66" t="str">
        <x:v>Tidak Ada</x:v>
      </x:c>
      <x:c r="O1093" s="66" t="str">
        <x:v>Riau</x:v>
      </x:c>
      <x:c r="P1093" s="66" t="str">
        <x:v>Kabupaten Bengkalis</x:v>
      </x:c>
      <x:c r="Q1093" s="66" t="str">
        <x:v>https://snpmb.id/snbp/daya-tampung-snbp</x:v>
      </x:c>
      <x:c r="R1093" s="66" t="str">
        <x:v>https://sidatagrun-public-1076756628210.asia-southeast2.run.app/ptn_sn.php?ptn=232</x:v>
      </x:c>
    </x:row>
    <x:row r="1094">
      <x:c r="A1094" s="87" t="n">
        <x:v>3165</x:v>
      </x:c>
      <x:c r="B1094" s="66" t="n">
        <x:v>232</x:v>
      </x:c>
      <x:c r="C1094" s="66" t="str">
        <x:v>POLITEKNIK NEGERI BENGKALIS</x:v>
      </x:c>
      <x:c r="D1094" s="66" t="str">
        <x:v>PTN Vokasi</x:v>
      </x:c>
      <x:c r="E1094" s="66" t="str">
        <x:v>22322004</x:v>
      </x:c>
      <x:c r="F1094" s="66" t="str">
        <x:v>REKAYASA PERANGKAT LUNAK</x:v>
      </x:c>
      <x:c r="G1094" s="66" t="str">
        <x:v>Sarjana Terapan</x:v>
      </x:c>
      <x:c r="H1094" s="87" t="n">
        <x:v>42</x:v>
      </x:c>
      <x:c r="I1094" s="87" t="n">
        <x:v>127</x:v>
      </x:c>
      <x:c r="J1094" s="68" t="n">
        <x:f>IFERROR(H1094/I1094,"")</x:f>
        <x:v>0.33070866141732286</x:v>
      </x:c>
      <x:c r="K1094" s="69" t="n">
        <x:f>IFERROR(I1094/H1094,"")</x:f>
        <x:v>3.0238095238095237</x:v>
      </x:c>
      <x:c r="L1094" s="66" t="str">
        <x:f>IF(K1094="","","1 : "&amp;TEXT(K1094,"0.0"))</x:f>
        <x:v>1 : 3.0</x:v>
      </x:c>
      <x:c r="M1094" s="66" t="str">
        <x:f>IF(J1094="","Baru/Tanpa Data",IF(J1094&lt;='Catatan &amp; Sumber'!$B$14,"Sangat Ketat",IF(J1094&lt;='Catatan &amp; Sumber'!$B$15,"Ketat",IF(J1094&lt;='Catatan &amp; Sumber'!$B$16,"Sedang","Relatif Longgar"))))</x:f>
        <x:v>Relatif Longgar</x:v>
      </x:c>
      <x:c r="N1094" s="66" t="str">
        <x:v>Tidak Ada</x:v>
      </x:c>
      <x:c r="O1094" s="66" t="str">
        <x:v>Riau</x:v>
      </x:c>
      <x:c r="P1094" s="66" t="str">
        <x:v>Kabupaten Bengkalis</x:v>
      </x:c>
      <x:c r="Q1094" s="66" t="str">
        <x:v>https://snpmb.id/snbp/daya-tampung-snbp</x:v>
      </x:c>
      <x:c r="R1094" s="66" t="str">
        <x:v>https://sidatagrun-public-1076756628210.asia-southeast2.run.app/ptn_sn.php?ptn=232</x:v>
      </x:c>
    </x:row>
    <x:row r="1095">
      <x:c r="A1095" s="87" t="n">
        <x:v>3637</x:v>
      </x:c>
      <x:c r="B1095" s="66" t="n">
        <x:v>232</x:v>
      </x:c>
      <x:c r="C1095" s="66" t="str">
        <x:v>POLITEKNIK NEGERI BENGKALIS</x:v>
      </x:c>
      <x:c r="D1095" s="66" t="str">
        <x:v>PTN Vokasi</x:v>
      </x:c>
      <x:c r="E1095" s="66" t="str">
        <x:v>22322005</x:v>
      </x:c>
      <x:c r="F1095" s="66" t="str">
        <x:v>TEKNOLOGI REKAYASA ARSITEKTUR PERKAPALAN</x:v>
      </x:c>
      <x:c r="G1095" s="66" t="str">
        <x:v>Sarjana Terapan</x:v>
      </x:c>
      <x:c r="H1095" s="87" t="n">
        <x:v>32</x:v>
      </x:c>
      <x:c r="I1095" s="87" t="n">
        <x:v>66</x:v>
      </x:c>
      <x:c r="J1095" s="68" t="n">
        <x:f>IFERROR(H1095/I1095,"")</x:f>
        <x:v>0.48484848484848486</x:v>
      </x:c>
      <x:c r="K1095" s="69" t="n">
        <x:f>IFERROR(I1095/H1095,"")</x:f>
        <x:v>2.0625</x:v>
      </x:c>
      <x:c r="L1095" s="66" t="str">
        <x:f>IF(K1095="","","1 : "&amp;TEXT(K1095,"0.0"))</x:f>
        <x:v>1 : 2.1</x:v>
      </x:c>
      <x:c r="M1095" s="66" t="str">
        <x:f>IF(J1095="","Baru/Tanpa Data",IF(J1095&lt;='Catatan &amp; Sumber'!$B$14,"Sangat Ketat",IF(J1095&lt;='Catatan &amp; Sumber'!$B$15,"Ketat",IF(J1095&lt;='Catatan &amp; Sumber'!$B$16,"Sedang","Relatif Longgar"))))</x:f>
        <x:v>Relatif Longgar</x:v>
      </x:c>
      <x:c r="N1095" s="66" t="str">
        <x:v>Tidak Ada</x:v>
      </x:c>
      <x:c r="O1095" s="66" t="str">
        <x:v>Riau</x:v>
      </x:c>
      <x:c r="P1095" s="66" t="str">
        <x:v>Kabupaten Bengkalis</x:v>
      </x:c>
      <x:c r="Q1095" s="66" t="str">
        <x:v>https://snpmb.id/snbp/daya-tampung-snbp</x:v>
      </x:c>
      <x:c r="R1095" s="66" t="str">
        <x:v>https://sidatagrun-public-1076756628210.asia-southeast2.run.app/ptn_sn.php?ptn=232</x:v>
      </x:c>
    </x:row>
    <x:row r="1096">
      <x:c r="A1096" s="87" t="n">
        <x:v>3479</x:v>
      </x:c>
      <x:c r="B1096" s="66" t="n">
        <x:v>232</x:v>
      </x:c>
      <x:c r="C1096" s="66" t="str">
        <x:v>POLITEKNIK NEGERI BENGKALIS</x:v>
      </x:c>
      <x:c r="D1096" s="66" t="str">
        <x:v>PTN Vokasi</x:v>
      </x:c>
      <x:c r="E1096" s="66" t="str">
        <x:v>22322006</x:v>
      </x:c>
      <x:c r="F1096" s="66" t="str">
        <x:v>KEAMANAN SISTEM INFORMASI</x:v>
      </x:c>
      <x:c r="G1096" s="66" t="str">
        <x:v>Sarjana Terapan</x:v>
      </x:c>
      <x:c r="H1096" s="87" t="n">
        <x:v>36</x:v>
      </x:c>
      <x:c r="I1096" s="87" t="n">
        <x:v>84</x:v>
      </x:c>
      <x:c r="J1096" s="68" t="n">
        <x:f>IFERROR(H1096/I1096,"")</x:f>
        <x:v>0.42857142857142855</x:v>
      </x:c>
      <x:c r="K1096" s="69" t="n">
        <x:f>IFERROR(I1096/H1096,"")</x:f>
        <x:v>2.3333333333333335</x:v>
      </x:c>
      <x:c r="L1096" s="66" t="str">
        <x:f>IF(K1096="","","1 : "&amp;TEXT(K1096,"0.0"))</x:f>
        <x:v>1 : 2.3</x:v>
      </x:c>
      <x:c r="M1096" s="66" t="str">
        <x:f>IF(J1096="","Baru/Tanpa Data",IF(J1096&lt;='Catatan &amp; Sumber'!$B$14,"Sangat Ketat",IF(J1096&lt;='Catatan &amp; Sumber'!$B$15,"Ketat",IF(J1096&lt;='Catatan &amp; Sumber'!$B$16,"Sedang","Relatif Longgar"))))</x:f>
        <x:v>Relatif Longgar</x:v>
      </x:c>
      <x:c r="N1096" s="66" t="str">
        <x:v>Tidak Ada</x:v>
      </x:c>
      <x:c r="O1096" s="66" t="str">
        <x:v>Riau</x:v>
      </x:c>
      <x:c r="P1096" s="66" t="str">
        <x:v>Kabupaten Bengkalis</x:v>
      </x:c>
      <x:c r="Q1096" s="66" t="str">
        <x:v>https://snpmb.id/snbp/daya-tampung-snbp</x:v>
      </x:c>
      <x:c r="R1096" s="66" t="str">
        <x:v>https://sidatagrun-public-1076756628210.asia-southeast2.run.app/ptn_sn.php?ptn=232</x:v>
      </x:c>
    </x:row>
    <x:row r="1097">
      <x:c r="A1097" s="87" t="n">
        <x:v>3075</x:v>
      </x:c>
      <x:c r="B1097" s="66" t="n">
        <x:v>232</x:v>
      </x:c>
      <x:c r="C1097" s="66" t="str">
        <x:v>POLITEKNIK NEGERI BENGKALIS</x:v>
      </x:c>
      <x:c r="D1097" s="66" t="str">
        <x:v>PTN Vokasi</x:v>
      </x:c>
      <x:c r="E1097" s="66" t="str">
        <x:v>22322007</x:v>
      </x:c>
      <x:c r="F1097" s="66" t="str">
        <x:v>ADMINISTRASI BISNIS INTERNASIONAL</x:v>
      </x:c>
      <x:c r="G1097" s="66" t="str">
        <x:v>Sarjana Terapan</x:v>
      </x:c>
      <x:c r="H1097" s="87" t="n">
        <x:v>48</x:v>
      </x:c>
      <x:c r="I1097" s="87" t="n">
        <x:v>155</x:v>
      </x:c>
      <x:c r="J1097" s="68" t="n">
        <x:f>IFERROR(H1097/I1097,"")</x:f>
        <x:v>0.3096774193548387</x:v>
      </x:c>
      <x:c r="K1097" s="69" t="n">
        <x:f>IFERROR(I1097/H1097,"")</x:f>
        <x:v>3.2291666666666665</x:v>
      </x:c>
      <x:c r="L1097" s="66" t="str">
        <x:f>IF(K1097="","","1 : "&amp;TEXT(K1097,"0.0"))</x:f>
        <x:v>1 : 3.2</x:v>
      </x:c>
      <x:c r="M1097" s="66" t="str">
        <x:f>IF(J1097="","Baru/Tanpa Data",IF(J1097&lt;='Catatan &amp; Sumber'!$B$14,"Sangat Ketat",IF(J1097&lt;='Catatan &amp; Sumber'!$B$15,"Ketat",IF(J1097&lt;='Catatan &amp; Sumber'!$B$16,"Sedang","Relatif Longgar"))))</x:f>
        <x:v>Relatif Longgar</x:v>
      </x:c>
      <x:c r="N1097" s="66" t="str">
        <x:v>Tidak Ada</x:v>
      </x:c>
      <x:c r="O1097" s="66" t="str">
        <x:v>Riau</x:v>
      </x:c>
      <x:c r="P1097" s="66" t="str">
        <x:v>Kabupaten Bengkalis</x:v>
      </x:c>
      <x:c r="Q1097" s="66" t="str">
        <x:v>https://snpmb.id/snbp/daya-tampung-snbp</x:v>
      </x:c>
      <x:c r="R1097" s="66" t="str">
        <x:v>https://sidatagrun-public-1076756628210.asia-southeast2.run.app/ptn_sn.php?ptn=232</x:v>
      </x:c>
    </x:row>
    <x:row r="1098">
      <x:c r="A1098" s="87" t="n">
        <x:v>3271</x:v>
      </x:c>
      <x:c r="B1098" s="66" t="n">
        <x:v>232</x:v>
      </x:c>
      <x:c r="C1098" s="66" t="str">
        <x:v>POLITEKNIK NEGERI BENGKALIS</x:v>
      </x:c>
      <x:c r="D1098" s="66" t="str">
        <x:v>PTN Vokasi</x:v>
      </x:c>
      <x:c r="E1098" s="66" t="str">
        <x:v>22322008</x:v>
      </x:c>
      <x:c r="F1098" s="66" t="str">
        <x:v>AKUNTANSI KEUANGAN PUBLIK</x:v>
      </x:c>
      <x:c r="G1098" s="66" t="str">
        <x:v>Sarjana Terapan</x:v>
      </x:c>
      <x:c r="H1098" s="87" t="n">
        <x:v>48</x:v>
      </x:c>
      <x:c r="I1098" s="87" t="n">
        <x:v>132</x:v>
      </x:c>
      <x:c r="J1098" s="68" t="n">
        <x:f>IFERROR(H1098/I1098,"")</x:f>
        <x:v>0.36363636363636365</x:v>
      </x:c>
      <x:c r="K1098" s="69" t="n">
        <x:f>IFERROR(I1098/H1098,"")</x:f>
        <x:v>2.75</x:v>
      </x:c>
      <x:c r="L1098" s="66" t="str">
        <x:f>IF(K1098="","","1 : "&amp;TEXT(K1098,"0.0"))</x:f>
        <x:v>1 : 2.8</x:v>
      </x:c>
      <x:c r="M1098" s="66" t="str">
        <x:f>IF(J1098="","Baru/Tanpa Data",IF(J1098&lt;='Catatan &amp; Sumber'!$B$14,"Sangat Ketat",IF(J1098&lt;='Catatan &amp; Sumber'!$B$15,"Ketat",IF(J1098&lt;='Catatan &amp; Sumber'!$B$16,"Sedang","Relatif Longgar"))))</x:f>
        <x:v>Relatif Longgar</x:v>
      </x:c>
      <x:c r="N1098" s="66" t="str">
        <x:v>Tidak Ada</x:v>
      </x:c>
      <x:c r="O1098" s="66" t="str">
        <x:v>Riau</x:v>
      </x:c>
      <x:c r="P1098" s="66" t="str">
        <x:v>Kabupaten Bengkalis</x:v>
      </x:c>
      <x:c r="Q1098" s="66" t="str">
        <x:v>https://snpmb.id/snbp/daya-tampung-snbp</x:v>
      </x:c>
      <x:c r="R1098" s="66" t="str">
        <x:v>https://sidatagrun-public-1076756628210.asia-southeast2.run.app/ptn_sn.php?ptn=232</x:v>
      </x:c>
    </x:row>
    <x:row r="1099">
      <x:c r="A1099" s="87" t="n">
        <x:v>4135</x:v>
      </x:c>
      <x:c r="B1099" s="66" t="n">
        <x:v>232</x:v>
      </x:c>
      <x:c r="C1099" s="66" t="str">
        <x:v>POLITEKNIK NEGERI BENGKALIS</x:v>
      </x:c>
      <x:c r="D1099" s="66" t="str">
        <x:v>PTN Vokasi</x:v>
      </x:c>
      <x:c r="E1099" s="66" t="str">
        <x:v>22322009</x:v>
      </x:c>
      <x:c r="F1099" s="66" t="str">
        <x:v>BAHASA INGGRIS UNTUK KOMUNIKASI BISNIS DAN PROFESIONAL</x:v>
      </x:c>
      <x:c r="G1099" s="66" t="str">
        <x:v>Sarjana Terapan</x:v>
      </x:c>
      <x:c r="H1099" s="87" t="n">
        <x:v>32</x:v>
      </x:c>
      <x:c r="I1099" s="87" t="n">
        <x:v>40</x:v>
      </x:c>
      <x:c r="J1099" s="68" t="n">
        <x:f>IFERROR(H1099/I1099,"")</x:f>
        <x:v>0.8</x:v>
      </x:c>
      <x:c r="K1099" s="69" t="n">
        <x:f>IFERROR(I1099/H1099,"")</x:f>
        <x:v>1.25</x:v>
      </x:c>
      <x:c r="L1099" s="66" t="str">
        <x:f>IF(K1099="","","1 : "&amp;TEXT(K1099,"0.0"))</x:f>
        <x:v>1 : 1.3</x:v>
      </x:c>
      <x:c r="M1099" s="66" t="str">
        <x:f>IF(J1099="","Baru/Tanpa Data",IF(J1099&lt;='Catatan &amp; Sumber'!$B$14,"Sangat Ketat",IF(J1099&lt;='Catatan &amp; Sumber'!$B$15,"Ketat",IF(J1099&lt;='Catatan &amp; Sumber'!$B$16,"Sedang","Relatif Longgar"))))</x:f>
        <x:v>Relatif Longgar</x:v>
      </x:c>
      <x:c r="N1099" s="66" t="str">
        <x:v>Tidak Ada</x:v>
      </x:c>
      <x:c r="O1099" s="66" t="str">
        <x:v>Riau</x:v>
      </x:c>
      <x:c r="P1099" s="66" t="str">
        <x:v>Kabupaten Bengkalis</x:v>
      </x:c>
      <x:c r="Q1099" s="66" t="str">
        <x:v>https://snpmb.id/snbp/daya-tampung-snbp</x:v>
      </x:c>
      <x:c r="R1099" s="66" t="str">
        <x:v>https://sidatagrun-public-1076756628210.asia-southeast2.run.app/ptn_sn.php?ptn=232</x:v>
      </x:c>
    </x:row>
    <x:row r="1100">
      <x:c r="A1100" s="87" t="n">
        <x:v>3355</x:v>
      </x:c>
      <x:c r="B1100" s="66" t="n">
        <x:v>232</x:v>
      </x:c>
      <x:c r="C1100" s="66" t="str">
        <x:v>POLITEKNIK NEGERI BENGKALIS</x:v>
      </x:c>
      <x:c r="D1100" s="66" t="str">
        <x:v>PTN Vokasi</x:v>
      </x:c>
      <x:c r="E1100" s="66" t="str">
        <x:v>22322010</x:v>
      </x:c>
      <x:c r="F1100" s="66" t="str">
        <x:v>BISNIS DIGITAL</x:v>
      </x:c>
      <x:c r="G1100" s="66" t="str">
        <x:v>Sarjana Terapan</x:v>
      </x:c>
      <x:c r="H1100" s="87" t="n">
        <x:v>48</x:v>
      </x:c>
      <x:c r="I1100" s="87" t="n">
        <x:v>124</x:v>
      </x:c>
      <x:c r="J1100" s="68" t="n">
        <x:f>IFERROR(H1100/I1100,"")</x:f>
        <x:v>0.3870967741935484</x:v>
      </x:c>
      <x:c r="K1100" s="69" t="n">
        <x:f>IFERROR(I1100/H1100,"")</x:f>
        <x:v>2.5833333333333335</x:v>
      </x:c>
      <x:c r="L1100" s="66" t="str">
        <x:f>IF(K1100="","","1 : "&amp;TEXT(K1100,"0.0"))</x:f>
        <x:v>1 : 2.6</x:v>
      </x:c>
      <x:c r="M1100" s="66" t="str">
        <x:f>IF(J1100="","Baru/Tanpa Data",IF(J1100&lt;='Catatan &amp; Sumber'!$B$14,"Sangat Ketat",IF(J1100&lt;='Catatan &amp; Sumber'!$B$15,"Ketat",IF(J1100&lt;='Catatan &amp; Sumber'!$B$16,"Sedang","Relatif Longgar"))))</x:f>
        <x:v>Relatif Longgar</x:v>
      </x:c>
      <x:c r="N1100" s="66" t="str">
        <x:v>Tidak Ada</x:v>
      </x:c>
      <x:c r="O1100" s="66" t="str">
        <x:v>Riau</x:v>
      </x:c>
      <x:c r="P1100" s="66" t="str">
        <x:v>Kabupaten Bengkalis</x:v>
      </x:c>
      <x:c r="Q1100" s="66" t="str">
        <x:v>https://snpmb.id/snbp/daya-tampung-snbp</x:v>
      </x:c>
      <x:c r="R1100" s="66" t="str">
        <x:v>https://sidatagrun-public-1076756628210.asia-southeast2.run.app/ptn_sn.php?ptn=232</x:v>
      </x:c>
    </x:row>
    <x:row r="1101">
      <x:c r="A1101" s="87"/>
      <x:c r="B1101" s="66" t="n">
        <x:v>232</x:v>
      </x:c>
      <x:c r="C1101" s="66" t="str">
        <x:v>POLITEKNIK NEGERI BENGKALIS</x:v>
      </x:c>
      <x:c r="D1101" s="66" t="str">
        <x:v>PTN Vokasi</x:v>
      </x:c>
      <x:c r="E1101" s="66" t="str">
        <x:v>22322021</x:v>
      </x:c>
      <x:c r="F1101" s="66" t="str">
        <x:v>BAHASA INGGRIS UNTUK INDUSTRI PARIWISATA</x:v>
      </x:c>
      <x:c r="G1101" s="66" t="str">
        <x:v>Sarjana Terapan</x:v>
      </x:c>
      <x:c r="H1101" s="87" t="n">
        <x:v>32</x:v>
      </x:c>
      <x:c r="I1101" s="87"/>
      <x:c r="J1101" s="68" t="str">
        <x:f>IFERROR(H1101/I1101,"")</x:f>
      </x:c>
      <x:c r="K1101" s="69" t="n">
        <x:f>IFERROR(I1101/H1101,"")</x:f>
        <x:v>0</x:v>
      </x:c>
      <x:c r="L1101" s="66" t="str">
        <x:f>IF(K1101="","","1 : "&amp;TEXT(K1101,"0.0"))</x:f>
      </x:c>
      <x:c r="M1101" s="66" t="str">
        <x:f>IF(J1101="","Baru/Tanpa Data",IF(J1101&lt;='Catatan &amp; Sumber'!$B$14,"Sangat Ketat",IF(J1101&lt;='Catatan &amp; Sumber'!$B$15,"Ketat",IF(J1101&lt;='Catatan &amp; Sumber'!$B$16,"Sedang","Relatif Longgar"))))</x:f>
        <x:v>Baru/Tanpa Data</x:v>
      </x:c>
      <x:c r="N1101" s="66" t="str">
        <x:v>Tidak Ada</x:v>
      </x:c>
      <x:c r="O1101" s="66" t="str">
        <x:v>Riau</x:v>
      </x:c>
      <x:c r="P1101" s="66" t="str">
        <x:v>Kabupaten Bengkalis</x:v>
      </x:c>
      <x:c r="Q1101" s="66" t="str">
        <x:v>https://snpmb.id/snbp/daya-tampung-snbp</x:v>
      </x:c>
      <x:c r="R1101" s="66" t="str">
        <x:v>https://sidatagrun-public-1076756628210.asia-southeast2.run.app/ptn_sn.php?ptn=232</x:v>
      </x:c>
    </x:row>
    <x:row r="1102">
      <x:c r="A1102" s="87" t="n">
        <x:v>4302</x:v>
      </x:c>
      <x:c r="B1102" s="66" t="n">
        <x:v>232</x:v>
      </x:c>
      <x:c r="C1102" s="66" t="str">
        <x:v>POLITEKNIK NEGERI BENGKALIS</x:v>
      </x:c>
      <x:c r="D1102" s="66" t="str">
        <x:v>PTN Vokasi</x:v>
      </x:c>
      <x:c r="E1102" s="66" t="str">
        <x:v>22323012</x:v>
      </x:c>
      <x:c r="F1102" s="66" t="str">
        <x:v>TEKNIK MESIN</x:v>
      </x:c>
      <x:c r="G1102" s="66" t="str">
        <x:v>Diploma Tiga</x:v>
      </x:c>
      <x:c r="H1102" s="87" t="n">
        <x:v>36</x:v>
      </x:c>
      <x:c r="I1102" s="87" t="n">
        <x:v>37</x:v>
      </x:c>
      <x:c r="J1102" s="68" t="n">
        <x:f>IFERROR(H1102/I1102,"")</x:f>
        <x:v>0.972972972972973</x:v>
      </x:c>
      <x:c r="K1102" s="69" t="n">
        <x:f>IFERROR(I1102/H1102,"")</x:f>
        <x:v>1.0277777777777777</x:v>
      </x:c>
      <x:c r="L1102" s="66" t="str">
        <x:f>IF(K1102="","","1 : "&amp;TEXT(K1102,"0.0"))</x:f>
        <x:v>1 : 1.0</x:v>
      </x:c>
      <x:c r="M1102" s="66" t="str">
        <x:f>IF(J1102="","Baru/Tanpa Data",IF(J1102&lt;='Catatan &amp; Sumber'!$B$14,"Sangat Ketat",IF(J1102&lt;='Catatan &amp; Sumber'!$B$15,"Ketat",IF(J1102&lt;='Catatan &amp; Sumber'!$B$16,"Sedang","Relatif Longgar"))))</x:f>
        <x:v>Relatif Longgar</x:v>
      </x:c>
      <x:c r="N1102" s="66" t="str">
        <x:v>Tidak Ada</x:v>
      </x:c>
      <x:c r="O1102" s="66" t="str">
        <x:v>Riau</x:v>
      </x:c>
      <x:c r="P1102" s="66" t="str">
        <x:v>Kabupaten Bengkalis</x:v>
      </x:c>
      <x:c r="Q1102" s="66" t="str">
        <x:v>https://snpmb.id/snbp/daya-tampung-snbp</x:v>
      </x:c>
      <x:c r="R1102" s="66" t="str">
        <x:v>https://sidatagrun-public-1076756628210.asia-southeast2.run.app/ptn_sn.php?ptn=232</x:v>
      </x:c>
    </x:row>
    <x:row r="1103">
      <x:c r="A1103" s="87" t="n">
        <x:v>4278</x:v>
      </x:c>
      <x:c r="B1103" s="66" t="n">
        <x:v>232</x:v>
      </x:c>
      <x:c r="C1103" s="66" t="str">
        <x:v>POLITEKNIK NEGERI BENGKALIS</x:v>
      </x:c>
      <x:c r="D1103" s="66" t="str">
        <x:v>PTN Vokasi</x:v>
      </x:c>
      <x:c r="E1103" s="66" t="str">
        <x:v>22323013</x:v>
      </x:c>
      <x:c r="F1103" s="66" t="str">
        <x:v>TEKNIK PERKAPALAN</x:v>
      </x:c>
      <x:c r="G1103" s="66" t="str">
        <x:v>Diploma Tiga</x:v>
      </x:c>
      <x:c r="H1103" s="87" t="n">
        <x:v>32</x:v>
      </x:c>
      <x:c r="I1103" s="87" t="n">
        <x:v>34</x:v>
      </x:c>
      <x:c r="J1103" s="68" t="n">
        <x:f>IFERROR(H1103/I1103,"")</x:f>
        <x:v>0.9411764705882353</x:v>
      </x:c>
      <x:c r="K1103" s="69" t="n">
        <x:f>IFERROR(I1103/H1103,"")</x:f>
        <x:v>1.0625</x:v>
      </x:c>
      <x:c r="L1103" s="66" t="str">
        <x:f>IF(K1103="","","1 : "&amp;TEXT(K1103,"0.0"))</x:f>
        <x:v>1 : 1.1</x:v>
      </x:c>
      <x:c r="M1103" s="66" t="str">
        <x:f>IF(J1103="","Baru/Tanpa Data",IF(J1103&lt;='Catatan &amp; Sumber'!$B$14,"Sangat Ketat",IF(J1103&lt;='Catatan &amp; Sumber'!$B$15,"Ketat",IF(J1103&lt;='Catatan &amp; Sumber'!$B$16,"Sedang","Relatif Longgar"))))</x:f>
        <x:v>Relatif Longgar</x:v>
      </x:c>
      <x:c r="N1103" s="66" t="str">
        <x:v>Tidak Ada</x:v>
      </x:c>
      <x:c r="O1103" s="66" t="str">
        <x:v>Riau</x:v>
      </x:c>
      <x:c r="P1103" s="66" t="str">
        <x:v>Kabupaten Bengkalis</x:v>
      </x:c>
      <x:c r="Q1103" s="66" t="str">
        <x:v>https://snpmb.id/snbp/daya-tampung-snbp</x:v>
      </x:c>
      <x:c r="R1103" s="66" t="str">
        <x:v>https://sidatagrun-public-1076756628210.asia-southeast2.run.app/ptn_sn.php?ptn=232</x:v>
      </x:c>
    </x:row>
    <x:row r="1104">
      <x:c r="A1104" s="87" t="n">
        <x:v>4135</x:v>
      </x:c>
      <x:c r="B1104" s="66" t="n">
        <x:v>232</x:v>
      </x:c>
      <x:c r="C1104" s="66" t="str">
        <x:v>POLITEKNIK NEGERI BENGKALIS</x:v>
      </x:c>
      <x:c r="D1104" s="66" t="str">
        <x:v>PTN Vokasi</x:v>
      </x:c>
      <x:c r="E1104" s="66" t="str">
        <x:v>22323014</x:v>
      </x:c>
      <x:c r="F1104" s="66" t="str">
        <x:v>NAUTIKA</x:v>
      </x:c>
      <x:c r="G1104" s="66" t="str">
        <x:v>Diploma Tiga</x:v>
      </x:c>
      <x:c r="H1104" s="87" t="n">
        <x:v>20</x:v>
      </x:c>
      <x:c r="I1104" s="87" t="n">
        <x:v>25</x:v>
      </x:c>
      <x:c r="J1104" s="68" t="n">
        <x:f>IFERROR(H1104/I1104,"")</x:f>
        <x:v>0.8</x:v>
      </x:c>
      <x:c r="K1104" s="69" t="n">
        <x:f>IFERROR(I1104/H1104,"")</x:f>
        <x:v>1.25</x:v>
      </x:c>
      <x:c r="L1104" s="66" t="str">
        <x:f>IF(K1104="","","1 : "&amp;TEXT(K1104,"0.0"))</x:f>
        <x:v>1 : 1.3</x:v>
      </x:c>
      <x:c r="M1104" s="66" t="str">
        <x:f>IF(J1104="","Baru/Tanpa Data",IF(J1104&lt;='Catatan &amp; Sumber'!$B$14,"Sangat Ketat",IF(J1104&lt;='Catatan &amp; Sumber'!$B$15,"Ketat",IF(J1104&lt;='Catatan &amp; Sumber'!$B$16,"Sedang","Relatif Longgar"))))</x:f>
        <x:v>Relatif Longgar</x:v>
      </x:c>
      <x:c r="N1104" s="66" t="str">
        <x:v>Tidak Ada</x:v>
      </x:c>
      <x:c r="O1104" s="66" t="str">
        <x:v>Riau</x:v>
      </x:c>
      <x:c r="P1104" s="66" t="str">
        <x:v>Kabupaten Bengkalis</x:v>
      </x:c>
      <x:c r="Q1104" s="66" t="str">
        <x:v>https://snpmb.id/snbp/daya-tampung-snbp</x:v>
      </x:c>
      <x:c r="R1104" s="66" t="str">
        <x:v>https://sidatagrun-public-1076756628210.asia-southeast2.run.app/ptn_sn.php?ptn=232</x:v>
      </x:c>
    </x:row>
    <x:row r="1105">
      <x:c r="A1105" s="87" t="n">
        <x:v>4080</x:v>
      </x:c>
      <x:c r="B1105" s="66" t="n">
        <x:v>232</x:v>
      </x:c>
      <x:c r="C1105" s="66" t="str">
        <x:v>POLITEKNIK NEGERI BENGKALIS</x:v>
      </x:c>
      <x:c r="D1105" s="66" t="str">
        <x:v>PTN Vokasi</x:v>
      </x:c>
      <x:c r="E1105" s="66" t="str">
        <x:v>22323015</x:v>
      </x:c>
      <x:c r="F1105" s="66" t="str">
        <x:v>KETATALAKSANAAN PELAYARAN NIAGA</x:v>
      </x:c>
      <x:c r="G1105" s="66" t="str">
        <x:v>Diploma Tiga</x:v>
      </x:c>
      <x:c r="H1105" s="87" t="n">
        <x:v>32</x:v>
      </x:c>
      <x:c r="I1105" s="87" t="n">
        <x:v>43</x:v>
      </x:c>
      <x:c r="J1105" s="68" t="n">
        <x:f>IFERROR(H1105/I1105,"")</x:f>
        <x:v>0.7441860465116279</x:v>
      </x:c>
      <x:c r="K1105" s="69" t="n">
        <x:f>IFERROR(I1105/H1105,"")</x:f>
        <x:v>1.34375</x:v>
      </x:c>
      <x:c r="L1105" s="66" t="str">
        <x:f>IF(K1105="","","1 : "&amp;TEXT(K1105,"0.0"))</x:f>
        <x:v>1 : 1.3</x:v>
      </x:c>
      <x:c r="M1105" s="66" t="str">
        <x:f>IF(J1105="","Baru/Tanpa Data",IF(J1105&lt;='Catatan &amp; Sumber'!$B$14,"Sangat Ketat",IF(J1105&lt;='Catatan &amp; Sumber'!$B$15,"Ketat",IF(J1105&lt;='Catatan &amp; Sumber'!$B$16,"Sedang","Relatif Longgar"))))</x:f>
        <x:v>Relatif Longgar</x:v>
      </x:c>
      <x:c r="N1105" s="66" t="str">
        <x:v>Tidak Ada</x:v>
      </x:c>
      <x:c r="O1105" s="66" t="str">
        <x:v>Riau</x:v>
      </x:c>
      <x:c r="P1105" s="66" t="str">
        <x:v>Kabupaten Bengkalis</x:v>
      </x:c>
      <x:c r="Q1105" s="66" t="str">
        <x:v>https://snpmb.id/snbp/daya-tampung-snbp</x:v>
      </x:c>
      <x:c r="R1105" s="66" t="str">
        <x:v>https://sidatagrun-public-1076756628210.asia-southeast2.run.app/ptn_sn.php?ptn=232</x:v>
      </x:c>
    </x:row>
    <x:row r="1106">
      <x:c r="A1106" s="87" t="n">
        <x:v>4060</x:v>
      </x:c>
      <x:c r="B1106" s="66" t="n">
        <x:v>232</x:v>
      </x:c>
      <x:c r="C1106" s="66" t="str">
        <x:v>POLITEKNIK NEGERI BENGKALIS</x:v>
      </x:c>
      <x:c r="D1106" s="66" t="str">
        <x:v>PTN Vokasi</x:v>
      </x:c>
      <x:c r="E1106" s="66" t="str">
        <x:v>22323016</x:v>
      </x:c>
      <x:c r="F1106" s="66" t="str">
        <x:v>TEKNIK INFORMATIKA</x:v>
      </x:c>
      <x:c r="G1106" s="66" t="str">
        <x:v>Diploma Tiga</x:v>
      </x:c>
      <x:c r="H1106" s="87" t="n">
        <x:v>42</x:v>
      </x:c>
      <x:c r="I1106" s="87" t="n">
        <x:v>58</x:v>
      </x:c>
      <x:c r="J1106" s="68" t="n">
        <x:f>IFERROR(H1106/I1106,"")</x:f>
        <x:v>0.7241379310344828</x:v>
      </x:c>
      <x:c r="K1106" s="69" t="n">
        <x:f>IFERROR(I1106/H1106,"")</x:f>
        <x:v>1.380952380952381</x:v>
      </x:c>
      <x:c r="L1106" s="66" t="str">
        <x:f>IF(K1106="","","1 : "&amp;TEXT(K1106,"0.0"))</x:f>
        <x:v>1 : 1.4</x:v>
      </x:c>
      <x:c r="M1106" s="66" t="str">
        <x:f>IF(J1106="","Baru/Tanpa Data",IF(J1106&lt;='Catatan &amp; Sumber'!$B$14,"Sangat Ketat",IF(J1106&lt;='Catatan &amp; Sumber'!$B$15,"Ketat",IF(J1106&lt;='Catatan &amp; Sumber'!$B$16,"Sedang","Relatif Longgar"))))</x:f>
        <x:v>Relatif Longgar</x:v>
      </x:c>
      <x:c r="N1106" s="66" t="str">
        <x:v>Tidak Ada</x:v>
      </x:c>
      <x:c r="O1106" s="66" t="str">
        <x:v>Riau</x:v>
      </x:c>
      <x:c r="P1106" s="66" t="str">
        <x:v>Kabupaten Bengkalis</x:v>
      </x:c>
      <x:c r="Q1106" s="66" t="str">
        <x:v>https://snpmb.id/snbp/daya-tampung-snbp</x:v>
      </x:c>
      <x:c r="R1106" s="66" t="str">
        <x:v>https://sidatagrun-public-1076756628210.asia-southeast2.run.app/ptn_sn.php?ptn=232</x:v>
      </x:c>
    </x:row>
    <x:row r="1107">
      <x:c r="A1107" s="87" t="n">
        <x:v>4615</x:v>
      </x:c>
      <x:c r="B1107" s="66" t="n">
        <x:v>232</x:v>
      </x:c>
      <x:c r="C1107" s="66" t="str">
        <x:v>POLITEKNIK NEGERI BENGKALIS</x:v>
      </x:c>
      <x:c r="D1107" s="66" t="str">
        <x:v>PTN Vokasi</x:v>
      </x:c>
      <x:c r="E1107" s="66" t="str">
        <x:v>22323019</x:v>
      </x:c>
      <x:c r="F1107" s="66" t="str">
        <x:v>TEKNIK ELEKTRONIKA</x:v>
      </x:c>
      <x:c r="G1107" s="66" t="str">
        <x:v>Diploma Tiga</x:v>
      </x:c>
      <x:c r="H1107" s="87" t="n">
        <x:v>32</x:v>
      </x:c>
      <x:c r="I1107" s="87" t="n">
        <x:v>19</x:v>
      </x:c>
      <x:c r="J1107" s="68" t="n">
        <x:f>IFERROR(H1107/I1107,"")</x:f>
        <x:v>1.6842105263157894</x:v>
      </x:c>
      <x:c r="K1107" s="69" t="n">
        <x:f>IFERROR(I1107/H1107,"")</x:f>
        <x:v>0.59375</x:v>
      </x:c>
      <x:c r="L1107" s="66" t="str">
        <x:f>IF(K1107="","","1 : "&amp;TEXT(K1107,"0.0"))</x:f>
        <x:v>1 : 0.6</x:v>
      </x:c>
      <x:c r="M1107" s="66" t="str">
        <x:f>IF(J1107="","Baru/Tanpa Data",IF(J1107&lt;='Catatan &amp; Sumber'!$B$14,"Sangat Ketat",IF(J1107&lt;='Catatan &amp; Sumber'!$B$15,"Ketat",IF(J1107&lt;='Catatan &amp; Sumber'!$B$16,"Sedang","Relatif Longgar"))))</x:f>
        <x:v>Relatif Longgar</x:v>
      </x:c>
      <x:c r="N1107" s="66" t="str">
        <x:v>Tidak Ada</x:v>
      </x:c>
      <x:c r="O1107" s="66" t="str">
        <x:v>Riau</x:v>
      </x:c>
      <x:c r="P1107" s="66" t="str">
        <x:v>Kabupaten Bengkalis</x:v>
      </x:c>
      <x:c r="Q1107" s="66" t="str">
        <x:v>https://snpmb.id/snbp/daya-tampung-snbp</x:v>
      </x:c>
      <x:c r="R1107" s="66" t="str">
        <x:v>https://sidatagrun-public-1076756628210.asia-southeast2.run.app/ptn_sn.php?ptn=232</x:v>
      </x:c>
    </x:row>
    <x:row r="1108">
      <x:c r="A1108" s="87" t="n">
        <x:v>4162</x:v>
      </x:c>
      <x:c r="B1108" s="66" t="n">
        <x:v>232</x:v>
      </x:c>
      <x:c r="C1108" s="66" t="str">
        <x:v>POLITEKNIK NEGERI BENGKALIS</x:v>
      </x:c>
      <x:c r="D1108" s="66" t="str">
        <x:v>PTN Vokasi</x:v>
      </x:c>
      <x:c r="E1108" s="66" t="str">
        <x:v>22323020</x:v>
      </x:c>
      <x:c r="F1108" s="66" t="str">
        <x:v>TEKNIK SIPIL</x:v>
      </x:c>
      <x:c r="G1108" s="66" t="str">
        <x:v>Diploma Tiga</x:v>
      </x:c>
      <x:c r="H1108" s="87" t="n">
        <x:v>32</x:v>
      </x:c>
      <x:c r="I1108" s="87" t="n">
        <x:v>39</x:v>
      </x:c>
      <x:c r="J1108" s="68" t="n">
        <x:f>IFERROR(H1108/I1108,"")</x:f>
        <x:v>0.8205128205128205</x:v>
      </x:c>
      <x:c r="K1108" s="69" t="n">
        <x:f>IFERROR(I1108/H1108,"")</x:f>
        <x:v>1.21875</x:v>
      </x:c>
      <x:c r="L1108" s="66" t="str">
        <x:f>IF(K1108="","","1 : "&amp;TEXT(K1108,"0.0"))</x:f>
        <x:v>1 : 1.2</x:v>
      </x:c>
      <x:c r="M1108" s="66" t="str">
        <x:f>IF(J1108="","Baru/Tanpa Data",IF(J1108&lt;='Catatan &amp; Sumber'!$B$14,"Sangat Ketat",IF(J1108&lt;='Catatan &amp; Sumber'!$B$15,"Ketat",IF(J1108&lt;='Catatan &amp; Sumber'!$B$16,"Sedang","Relatif Longgar"))))</x:f>
        <x:v>Relatif Longgar</x:v>
      </x:c>
      <x:c r="N1108" s="66" t="str">
        <x:v>Tidak Ada</x:v>
      </x:c>
      <x:c r="O1108" s="66" t="str">
        <x:v>Riau</x:v>
      </x:c>
      <x:c r="P1108" s="66" t="str">
        <x:v>Kabupaten Bengkalis</x:v>
      </x:c>
      <x:c r="Q1108" s="66" t="str">
        <x:v>https://snpmb.id/snbp/daya-tampung-snbp</x:v>
      </x:c>
      <x:c r="R1108" s="66" t="str">
        <x:v>https://sidatagrun-public-1076756628210.asia-southeast2.run.app/ptn_sn.php?ptn=232</x:v>
      </x:c>
    </x:row>
    <x:row r="1109">
      <x:c r="A1109" s="87" t="n">
        <x:v>1933</x:v>
      </x:c>
      <x:c r="B1109" s="66" t="n">
        <x:v>241</x:v>
      </x:c>
      <x:c r="C1109" s="66" t="str">
        <x:v>POLITEKNIK NEGERI PADANG</x:v>
      </x:c>
      <x:c r="D1109" s="66" t="str">
        <x:v>PTN Vokasi</x:v>
      </x:c>
      <x:c r="E1109" s="66" t="str">
        <x:v>22412001</x:v>
      </x:c>
      <x:c r="F1109" s="66" t="str">
        <x:v>TEKNIK ELEKTRONIKA INDUSTRI</x:v>
      </x:c>
      <x:c r="G1109" s="66" t="str">
        <x:v>Sarjana Terapan</x:v>
      </x:c>
      <x:c r="H1109" s="87" t="n">
        <x:v>26</x:v>
      </x:c>
      <x:c r="I1109" s="87" t="n">
        <x:v>180</x:v>
      </x:c>
      <x:c r="J1109" s="68" t="n">
        <x:f>IFERROR(H1109/I1109,"")</x:f>
        <x:v>0.14444444444444443</x:v>
      </x:c>
      <x:c r="K1109" s="69" t="n">
        <x:f>IFERROR(I1109/H1109,"")</x:f>
        <x:v>6.923076923076923</x:v>
      </x:c>
      <x:c r="L1109" s="66" t="str">
        <x:f>IF(K1109="","","1 : "&amp;TEXT(K1109,"0.0"))</x:f>
        <x:v>1 : 6.9</x:v>
      </x:c>
      <x:c r="M1109" s="66" t="str">
        <x:f>IF(J1109="","Baru/Tanpa Data",IF(J1109&lt;='Catatan &amp; Sumber'!$B$14,"Sangat Ketat",IF(J1109&lt;='Catatan &amp; Sumber'!$B$15,"Ketat",IF(J1109&lt;='Catatan &amp; Sumber'!$B$16,"Sedang","Relatif Longgar"))))</x:f>
        <x:v>Relatif Longgar</x:v>
      </x:c>
      <x:c r="N1109" s="66" t="str">
        <x:v>Tidak Ada</x:v>
      </x:c>
      <x:c r="O1109" s="66" t="str">
        <x:v>Sumatera Barat</x:v>
      </x:c>
      <x:c r="P1109" s="66" t="str">
        <x:v>Kota Padang</x:v>
      </x:c>
      <x:c r="Q1109" s="66" t="str">
        <x:v>https://snpmb.id/snbp/daya-tampung-snbp</x:v>
      </x:c>
      <x:c r="R1109" s="66" t="str">
        <x:v>https://sidatagrun-public-1076756628210.asia-southeast2.run.app/ptn_sn.php?ptn=241</x:v>
      </x:c>
    </x:row>
    <x:row r="1110">
      <x:c r="A1110" s="87" t="n">
        <x:v>2535</x:v>
      </x:c>
      <x:c r="B1110" s="66" t="n">
        <x:v>241</x:v>
      </x:c>
      <x:c r="C1110" s="66" t="str">
        <x:v>POLITEKNIK NEGERI PADANG</x:v>
      </x:c>
      <x:c r="D1110" s="66" t="str">
        <x:v>PTN Vokasi</x:v>
      </x:c>
      <x:c r="E1110" s="66" t="str">
        <x:v>22412002</x:v>
      </x:c>
      <x:c r="F1110" s="66" t="str">
        <x:v>TEKNIK TELEKOMUNIKASI</x:v>
      </x:c>
      <x:c r="G1110" s="66" t="str">
        <x:v>Sarjana Terapan</x:v>
      </x:c>
      <x:c r="H1110" s="87" t="n">
        <x:v>26</x:v>
      </x:c>
      <x:c r="I1110" s="87" t="n">
        <x:v>120</x:v>
      </x:c>
      <x:c r="J1110" s="68" t="n">
        <x:f>IFERROR(H1110/I1110,"")</x:f>
        <x:v>0.21666666666666667</x:v>
      </x:c>
      <x:c r="K1110" s="69" t="n">
        <x:f>IFERROR(I1110/H1110,"")</x:f>
        <x:v>4.615384615384615</x:v>
      </x:c>
      <x:c r="L1110" s="66" t="str">
        <x:f>IF(K1110="","","1 : "&amp;TEXT(K1110,"0.0"))</x:f>
        <x:v>1 : 4.6</x:v>
      </x:c>
      <x:c r="M1110" s="66" t="str">
        <x:f>IF(J1110="","Baru/Tanpa Data",IF(J1110&lt;='Catatan &amp; Sumber'!$B$14,"Sangat Ketat",IF(J1110&lt;='Catatan &amp; Sumber'!$B$15,"Ketat",IF(J1110&lt;='Catatan &amp; Sumber'!$B$16,"Sedang","Relatif Longgar"))))</x:f>
        <x:v>Relatif Longgar</x:v>
      </x:c>
      <x:c r="N1110" s="66" t="str">
        <x:v>Tidak Ada</x:v>
      </x:c>
      <x:c r="O1110" s="66" t="str">
        <x:v>Sumatera Barat</x:v>
      </x:c>
      <x:c r="P1110" s="66" t="str">
        <x:v>Kota Padang</x:v>
      </x:c>
      <x:c r="Q1110" s="66" t="str">
        <x:v>https://snpmb.id/snbp/daya-tampung-snbp</x:v>
      </x:c>
      <x:c r="R1110" s="66" t="str">
        <x:v>https://sidatagrun-public-1076756628210.asia-southeast2.run.app/ptn_sn.php?ptn=241</x:v>
      </x:c>
    </x:row>
    <x:row r="1111">
      <x:c r="A1111" s="87" t="n">
        <x:v>2306</x:v>
      </x:c>
      <x:c r="B1111" s="66" t="n">
        <x:v>241</x:v>
      </x:c>
      <x:c r="C1111" s="66" t="str">
        <x:v>POLITEKNIK NEGERI PADANG</x:v>
      </x:c>
      <x:c r="D1111" s="66" t="str">
        <x:v>PTN Vokasi</x:v>
      </x:c>
      <x:c r="E1111" s="66" t="str">
        <x:v>22412003</x:v>
      </x:c>
      <x:c r="F1111" s="66" t="str">
        <x:v>TEKNIK MANUFAKTUR</x:v>
      </x:c>
      <x:c r="G1111" s="66" t="str">
        <x:v>Sarjana Terapan</x:v>
      </x:c>
      <x:c r="H1111" s="87" t="n">
        <x:v>17</x:v>
      </x:c>
      <x:c r="I1111" s="87" t="n">
        <x:v>92</x:v>
      </x:c>
      <x:c r="J1111" s="68" t="n">
        <x:f>IFERROR(H1111/I1111,"")</x:f>
        <x:v>0.18478260869565216</x:v>
      </x:c>
      <x:c r="K1111" s="69" t="n">
        <x:f>IFERROR(I1111/H1111,"")</x:f>
        <x:v>5.411764705882353</x:v>
      </x:c>
      <x:c r="L1111" s="66" t="str">
        <x:f>IF(K1111="","","1 : "&amp;TEXT(K1111,"0.0"))</x:f>
        <x:v>1 : 5.4</x:v>
      </x:c>
      <x:c r="M1111" s="66" t="str">
        <x:f>IF(J1111="","Baru/Tanpa Data",IF(J1111&lt;='Catatan &amp; Sumber'!$B$14,"Sangat Ketat",IF(J1111&lt;='Catatan &amp; Sumber'!$B$15,"Ketat",IF(J1111&lt;='Catatan &amp; Sumber'!$B$16,"Sedang","Relatif Longgar"))))</x:f>
        <x:v>Relatif Longgar</x:v>
      </x:c>
      <x:c r="N1111" s="66" t="str">
        <x:v>Tidak Ada</x:v>
      </x:c>
      <x:c r="O1111" s="66" t="str">
        <x:v>Sumatera Barat</x:v>
      </x:c>
      <x:c r="P1111" s="66" t="str">
        <x:v>Kota Padang</x:v>
      </x:c>
      <x:c r="Q1111" s="66" t="str">
        <x:v>https://snpmb.id/snbp/daya-tampung-snbp</x:v>
      </x:c>
      <x:c r="R1111" s="66" t="str">
        <x:v>https://sidatagrun-public-1076756628210.asia-southeast2.run.app/ptn_sn.php?ptn=241</x:v>
      </x:c>
    </x:row>
    <x:row r="1112">
      <x:c r="A1112" s="87" t="n">
        <x:v>3288</x:v>
      </x:c>
      <x:c r="B1112" s="66" t="n">
        <x:v>241</x:v>
      </x:c>
      <x:c r="C1112" s="66" t="str">
        <x:v>POLITEKNIK NEGERI PADANG</x:v>
      </x:c>
      <x:c r="D1112" s="66" t="str">
        <x:v>PTN Vokasi</x:v>
      </x:c>
      <x:c r="E1112" s="66" t="str">
        <x:v>22412004</x:v>
      </x:c>
      <x:c r="F1112" s="66" t="str">
        <x:v>TEKNIK PERENCANAAN IRIGASI DAN RAWA</x:v>
      </x:c>
      <x:c r="G1112" s="66" t="str">
        <x:v>Sarjana Terapan</x:v>
      </x:c>
      <x:c r="H1112" s="87" t="n">
        <x:v>17</x:v>
      </x:c>
      <x:c r="I1112" s="87" t="n">
        <x:v>46</x:v>
      </x:c>
      <x:c r="J1112" s="68" t="n">
        <x:f>IFERROR(H1112/I1112,"")</x:f>
        <x:v>0.3695652173913043</x:v>
      </x:c>
      <x:c r="K1112" s="69" t="n">
        <x:f>IFERROR(I1112/H1112,"")</x:f>
        <x:v>2.7058823529411766</x:v>
      </x:c>
      <x:c r="L1112" s="66" t="str">
        <x:f>IF(K1112="","","1 : "&amp;TEXT(K1112,"0.0"))</x:f>
        <x:v>1 : 2.7</x:v>
      </x:c>
      <x:c r="M1112" s="66" t="str">
        <x:f>IF(J1112="","Baru/Tanpa Data",IF(J1112&lt;='Catatan &amp; Sumber'!$B$14,"Sangat Ketat",IF(J1112&lt;='Catatan &amp; Sumber'!$B$15,"Ketat",IF(J1112&lt;='Catatan &amp; Sumber'!$B$16,"Sedang","Relatif Longgar"))))</x:f>
        <x:v>Relatif Longgar</x:v>
      </x:c>
      <x:c r="N1112" s="66" t="str">
        <x:v>Tidak Ada</x:v>
      </x:c>
      <x:c r="O1112" s="66" t="str">
        <x:v>Sumatera Barat</x:v>
      </x:c>
      <x:c r="P1112" s="66" t="str">
        <x:v>Kota Padang</x:v>
      </x:c>
      <x:c r="Q1112" s="66" t="str">
        <x:v>https://snpmb.id/snbp/daya-tampung-snbp</x:v>
      </x:c>
      <x:c r="R1112" s="66" t="str">
        <x:v>https://sidatagrun-public-1076756628210.asia-southeast2.run.app/ptn_sn.php?ptn=241</x:v>
      </x:c>
    </x:row>
    <x:row r="1113">
      <x:c r="A1113" s="87" t="n">
        <x:v>2423</x:v>
      </x:c>
      <x:c r="B1113" s="66" t="n">
        <x:v>241</x:v>
      </x:c>
      <x:c r="C1113" s="66" t="str">
        <x:v>POLITEKNIK NEGERI PADANG</x:v>
      </x:c>
      <x:c r="D1113" s="66" t="str">
        <x:v>PTN Vokasi</x:v>
      </x:c>
      <x:c r="E1113" s="66" t="str">
        <x:v>22412005</x:v>
      </x:c>
      <x:c r="F1113" s="66" t="str">
        <x:v>PERANCANGAN JALAN DAN JEMBATAN</x:v>
      </x:c>
      <x:c r="G1113" s="66" t="str">
        <x:v>Sarjana Terapan</x:v>
      </x:c>
      <x:c r="H1113" s="87" t="n">
        <x:v>17</x:v>
      </x:c>
      <x:c r="I1113" s="87" t="n">
        <x:v>85</x:v>
      </x:c>
      <x:c r="J1113" s="68" t="n">
        <x:f>IFERROR(H1113/I1113,"")</x:f>
        <x:v>0.2</x:v>
      </x:c>
      <x:c r="K1113" s="69" t="n">
        <x:f>IFERROR(I1113/H1113,"")</x:f>
        <x:v>5</x:v>
      </x:c>
      <x:c r="L1113" s="66" t="str">
        <x:f>IF(K1113="","","1 : "&amp;TEXT(K1113,"0.0"))</x:f>
        <x:v>1 : 5.0</x:v>
      </x:c>
      <x:c r="M1113" s="66" t="str">
        <x:f>IF(J1113="","Baru/Tanpa Data",IF(J1113&lt;='Catatan &amp; Sumber'!$B$14,"Sangat Ketat",IF(J1113&lt;='Catatan &amp; Sumber'!$B$15,"Ketat",IF(J1113&lt;='Catatan &amp; Sumber'!$B$16,"Sedang","Relatif Longgar"))))</x:f>
        <x:v>Relatif Longgar</x:v>
      </x:c>
      <x:c r="N1113" s="66" t="str">
        <x:v>Tidak Ada</x:v>
      </x:c>
      <x:c r="O1113" s="66" t="str">
        <x:v>Sumatera Barat</x:v>
      </x:c>
      <x:c r="P1113" s="66" t="str">
        <x:v>Kota Padang</x:v>
      </x:c>
      <x:c r="Q1113" s="66" t="str">
        <x:v>https://snpmb.id/snbp/daya-tampung-snbp</x:v>
      </x:c>
      <x:c r="R1113" s="66" t="str">
        <x:v>https://sidatagrun-public-1076756628210.asia-southeast2.run.app/ptn_sn.php?ptn=241</x:v>
      </x:c>
    </x:row>
    <x:row r="1114">
      <x:c r="A1114" s="87" t="n">
        <x:v>2306</x:v>
      </x:c>
      <x:c r="B1114" s="66" t="n">
        <x:v>241</x:v>
      </x:c>
      <x:c r="C1114" s="66" t="str">
        <x:v>POLITEKNIK NEGERI PADANG</x:v>
      </x:c>
      <x:c r="D1114" s="66" t="str">
        <x:v>PTN Vokasi</x:v>
      </x:c>
      <x:c r="E1114" s="66" t="str">
        <x:v>22412006</x:v>
      </x:c>
      <x:c r="F1114" s="66" t="str">
        <x:v>MANAJEMEN REKAYASA KONSTRUKSI</x:v>
      </x:c>
      <x:c r="G1114" s="66" t="str">
        <x:v>Sarjana Terapan</x:v>
      </x:c>
      <x:c r="H1114" s="87" t="n">
        <x:v>17</x:v>
      </x:c>
      <x:c r="I1114" s="87" t="n">
        <x:v>92</x:v>
      </x:c>
      <x:c r="J1114" s="68" t="n">
        <x:f>IFERROR(H1114/I1114,"")</x:f>
        <x:v>0.18478260869565216</x:v>
      </x:c>
      <x:c r="K1114" s="69" t="n">
        <x:f>IFERROR(I1114/H1114,"")</x:f>
        <x:v>5.411764705882353</x:v>
      </x:c>
      <x:c r="L1114" s="66" t="str">
        <x:f>IF(K1114="","","1 : "&amp;TEXT(K1114,"0.0"))</x:f>
        <x:v>1 : 5.4</x:v>
      </x:c>
      <x:c r="M1114" s="66" t="str">
        <x:f>IF(J1114="","Baru/Tanpa Data",IF(J1114&lt;='Catatan &amp; Sumber'!$B$14,"Sangat Ketat",IF(J1114&lt;='Catatan &amp; Sumber'!$B$15,"Ketat",IF(J1114&lt;='Catatan &amp; Sumber'!$B$16,"Sedang","Relatif Longgar"))))</x:f>
        <x:v>Relatif Longgar</x:v>
      </x:c>
      <x:c r="N1114" s="66" t="str">
        <x:v>Tidak Ada</x:v>
      </x:c>
      <x:c r="O1114" s="66" t="str">
        <x:v>Sumatera Barat</x:v>
      </x:c>
      <x:c r="P1114" s="66" t="str">
        <x:v>Kota Padang</x:v>
      </x:c>
      <x:c r="Q1114" s="66" t="str">
        <x:v>https://snpmb.id/snbp/daya-tampung-snbp</x:v>
      </x:c>
      <x:c r="R1114" s="66" t="str">
        <x:v>https://sidatagrun-public-1076756628210.asia-southeast2.run.app/ptn_sn.php?ptn=241</x:v>
      </x:c>
    </x:row>
    <x:row r="1115">
      <x:c r="A1115" s="87" t="n">
        <x:v>2516</x:v>
      </x:c>
      <x:c r="B1115" s="66" t="n">
        <x:v>241</x:v>
      </x:c>
      <x:c r="C1115" s="66" t="str">
        <x:v>POLITEKNIK NEGERI PADANG</x:v>
      </x:c>
      <x:c r="D1115" s="66" t="str">
        <x:v>PTN Vokasi</x:v>
      </x:c>
      <x:c r="E1115" s="66" t="str">
        <x:v>22412007</x:v>
      </x:c>
      <x:c r="F1115" s="66" t="str">
        <x:v>TEKNOLOGI REKAYASA PERANGKAT LUNAK</x:v>
      </x:c>
      <x:c r="G1115" s="66" t="str">
        <x:v>Sarjana Terapan</x:v>
      </x:c>
      <x:c r="H1115" s="87" t="n">
        <x:v>34</x:v>
      </x:c>
      <x:c r="I1115" s="87" t="n">
        <x:v>159</x:v>
      </x:c>
      <x:c r="J1115" s="68" t="n">
        <x:f>IFERROR(H1115/I1115,"")</x:f>
        <x:v>0.2138364779874214</x:v>
      </x:c>
      <x:c r="K1115" s="69" t="n">
        <x:f>IFERROR(I1115/H1115,"")</x:f>
        <x:v>4.676470588235294</x:v>
      </x:c>
      <x:c r="L1115" s="66" t="str">
        <x:f>IF(K1115="","","1 : "&amp;TEXT(K1115,"0.0"))</x:f>
        <x:v>1 : 4.7</x:v>
      </x:c>
      <x:c r="M1115" s="66" t="str">
        <x:f>IF(J1115="","Baru/Tanpa Data",IF(J1115&lt;='Catatan &amp; Sumber'!$B$14,"Sangat Ketat",IF(J1115&lt;='Catatan &amp; Sumber'!$B$15,"Ketat",IF(J1115&lt;='Catatan &amp; Sumber'!$B$16,"Sedang","Relatif Longgar"))))</x:f>
        <x:v>Relatif Longgar</x:v>
      </x:c>
      <x:c r="N1115" s="66" t="str">
        <x:v>Tidak Ada</x:v>
      </x:c>
      <x:c r="O1115" s="66" t="str">
        <x:v>Sumatera Barat</x:v>
      </x:c>
      <x:c r="P1115" s="66" t="str">
        <x:v>Kota Padang</x:v>
      </x:c>
      <x:c r="Q1115" s="66" t="str">
        <x:v>https://snpmb.id/snbp/daya-tampung-snbp</x:v>
      </x:c>
      <x:c r="R1115" s="66" t="str">
        <x:v>https://sidatagrun-public-1076756628210.asia-southeast2.run.app/ptn_sn.php?ptn=241</x:v>
      </x:c>
    </x:row>
    <x:row r="1116">
      <x:c r="A1116" s="87" t="n">
        <x:v>2797</x:v>
      </x:c>
      <x:c r="B1116" s="66" t="n">
        <x:v>241</x:v>
      </x:c>
      <x:c r="C1116" s="66" t="str">
        <x:v>POLITEKNIK NEGERI PADANG</x:v>
      </x:c>
      <x:c r="D1116" s="66" t="str">
        <x:v>PTN Vokasi</x:v>
      </x:c>
      <x:c r="E1116" s="66" t="str">
        <x:v>22412008</x:v>
      </x:c>
      <x:c r="F1116" s="66" t="str">
        <x:v>TEKNOLOGI REKAYASA INSTALASI LISTRIK</x:v>
      </x:c>
      <x:c r="G1116" s="66" t="str">
        <x:v>Sarjana Terapan</x:v>
      </x:c>
      <x:c r="H1116" s="87" t="n">
        <x:v>26</x:v>
      </x:c>
      <x:c r="I1116" s="87" t="n">
        <x:v>101</x:v>
      </x:c>
      <x:c r="J1116" s="68" t="n">
        <x:f>IFERROR(H1116/I1116,"")</x:f>
        <x:v>0.25742574257425743</x:v>
      </x:c>
      <x:c r="K1116" s="69" t="n">
        <x:f>IFERROR(I1116/H1116,"")</x:f>
        <x:v>3.8846153846153846</x:v>
      </x:c>
      <x:c r="L1116" s="66" t="str">
        <x:f>IF(K1116="","","1 : "&amp;TEXT(K1116,"0.0"))</x:f>
        <x:v>1 : 3.9</x:v>
      </x:c>
      <x:c r="M1116" s="66" t="str">
        <x:f>IF(J1116="","Baru/Tanpa Data",IF(J1116&lt;='Catatan &amp; Sumber'!$B$14,"Sangat Ketat",IF(J1116&lt;='Catatan &amp; Sumber'!$B$15,"Ketat",IF(J1116&lt;='Catatan &amp; Sumber'!$B$16,"Sedang","Relatif Longgar"))))</x:f>
        <x:v>Relatif Longgar</x:v>
      </x:c>
      <x:c r="N1116" s="66" t="str">
        <x:v>Tidak Ada</x:v>
      </x:c>
      <x:c r="O1116" s="66" t="str">
        <x:v>Sumatera Barat</x:v>
      </x:c>
      <x:c r="P1116" s="66" t="str">
        <x:v>Kota Padang</x:v>
      </x:c>
      <x:c r="Q1116" s="66" t="str">
        <x:v>https://snpmb.id/snbp/daya-tampung-snbp</x:v>
      </x:c>
      <x:c r="R1116" s="66" t="str">
        <x:v>https://sidatagrun-public-1076756628210.asia-southeast2.run.app/ptn_sn.php?ptn=241</x:v>
      </x:c>
    </x:row>
    <x:row r="1117">
      <x:c r="A1117" s="87" t="n">
        <x:v>3473</x:v>
      </x:c>
      <x:c r="B1117" s="66" t="n">
        <x:v>241</x:v>
      </x:c>
      <x:c r="C1117" s="66" t="str">
        <x:v>POLITEKNIK NEGERI PADANG</x:v>
      </x:c>
      <x:c r="D1117" s="66" t="str">
        <x:v>PTN Vokasi</x:v>
      </x:c>
      <x:c r="E1117" s="66" t="str">
        <x:v>22412009</x:v>
      </x:c>
      <x:c r="F1117" s="66" t="str">
        <x:v>REKAYASA PERANCANGAN MEKANIK</x:v>
      </x:c>
      <x:c r="G1117" s="66" t="str">
        <x:v>Sarjana Terapan</x:v>
      </x:c>
      <x:c r="H1117" s="87" t="n">
        <x:v>17</x:v>
      </x:c>
      <x:c r="I1117" s="87" t="n">
        <x:v>40</x:v>
      </x:c>
      <x:c r="J1117" s="68" t="n">
        <x:f>IFERROR(H1117/I1117,"")</x:f>
        <x:v>0.425</x:v>
      </x:c>
      <x:c r="K1117" s="69" t="n">
        <x:f>IFERROR(I1117/H1117,"")</x:f>
        <x:v>2.3529411764705883</x:v>
      </x:c>
      <x:c r="L1117" s="66" t="str">
        <x:f>IF(K1117="","","1 : "&amp;TEXT(K1117,"0.0"))</x:f>
        <x:v>1 : 2.4</x:v>
      </x:c>
      <x:c r="M1117" s="66" t="str">
        <x:f>IF(J1117="","Baru/Tanpa Data",IF(J1117&lt;='Catatan &amp; Sumber'!$B$14,"Sangat Ketat",IF(J1117&lt;='Catatan &amp; Sumber'!$B$15,"Ketat",IF(J1117&lt;='Catatan &amp; Sumber'!$B$16,"Sedang","Relatif Longgar"))))</x:f>
        <x:v>Relatif Longgar</x:v>
      </x:c>
      <x:c r="N1117" s="66" t="str">
        <x:v>Tidak Ada</x:v>
      </x:c>
      <x:c r="O1117" s="66" t="str">
        <x:v>Sumatera Barat</x:v>
      </x:c>
      <x:c r="P1117" s="66" t="str">
        <x:v>Kota Padang</x:v>
      </x:c>
      <x:c r="Q1117" s="66" t="str">
        <x:v>https://snpmb.id/snbp/daya-tampung-snbp</x:v>
      </x:c>
      <x:c r="R1117" s="66" t="str">
        <x:v>https://sidatagrun-public-1076756628210.asia-southeast2.run.app/ptn_sn.php?ptn=241</x:v>
      </x:c>
    </x:row>
    <x:row r="1118">
      <x:c r="A1118" s="87" t="n">
        <x:v>1444</x:v>
      </x:c>
      <x:c r="B1118" s="66" t="n">
        <x:v>241</x:v>
      </x:c>
      <x:c r="C1118" s="66" t="str">
        <x:v>POLITEKNIK NEGERI PADANG</x:v>
      </x:c>
      <x:c r="D1118" s="66" t="str">
        <x:v>PTN Vokasi</x:v>
      </x:c>
      <x:c r="E1118" s="66" t="str">
        <x:v>22412010</x:v>
      </x:c>
      <x:c r="F1118" s="66" t="str">
        <x:v>AKUNTANSI</x:v>
      </x:c>
      <x:c r="G1118" s="66" t="str">
        <x:v>Sarjana Terapan</x:v>
      </x:c>
      <x:c r="H1118" s="87" t="n">
        <x:v>36</x:v>
      </x:c>
      <x:c r="I1118" s="87" t="n">
        <x:v>341</x:v>
      </x:c>
      <x:c r="J1118" s="68" t="n">
        <x:f>IFERROR(H1118/I1118,"")</x:f>
        <x:v>0.10557184750733138</x:v>
      </x:c>
      <x:c r="K1118" s="69" t="n">
        <x:f>IFERROR(I1118/H1118,"")</x:f>
        <x:v>9.472222222222221</x:v>
      </x:c>
      <x:c r="L1118" s="66" t="str">
        <x:f>IF(K1118="","","1 : "&amp;TEXT(K1118,"0.0"))</x:f>
        <x:v>1 : 9.5</x:v>
      </x:c>
      <x:c r="M1118" s="66" t="str">
        <x:f>IF(J1118="","Baru/Tanpa Data",IF(J1118&lt;='Catatan &amp; Sumber'!$B$14,"Sangat Ketat",IF(J1118&lt;='Catatan &amp; Sumber'!$B$15,"Ketat",IF(J1118&lt;='Catatan &amp; Sumber'!$B$16,"Sedang","Relatif Longgar"))))</x:f>
        <x:v>Relatif Longgar</x:v>
      </x:c>
      <x:c r="N1118" s="66" t="str">
        <x:v>Tidak Ada</x:v>
      </x:c>
      <x:c r="O1118" s="66" t="str">
        <x:v>Sumatera Barat</x:v>
      </x:c>
      <x:c r="P1118" s="66" t="str">
        <x:v>Kota Padang</x:v>
      </x:c>
      <x:c r="Q1118" s="66" t="str">
        <x:v>https://snpmb.id/snbp/daya-tampung-snbp</x:v>
      </x:c>
      <x:c r="R1118" s="66" t="str">
        <x:v>https://sidatagrun-public-1076756628210.asia-southeast2.run.app/ptn_sn.php?ptn=241</x:v>
      </x:c>
    </x:row>
    <x:row r="1119">
      <x:c r="A1119" s="87" t="n">
        <x:v>3426</x:v>
      </x:c>
      <x:c r="B1119" s="66" t="n">
        <x:v>241</x:v>
      </x:c>
      <x:c r="C1119" s="66" t="str">
        <x:v>POLITEKNIK NEGERI PADANG</x:v>
      </x:c>
      <x:c r="D1119" s="66" t="str">
        <x:v>PTN Vokasi</x:v>
      </x:c>
      <x:c r="E1119" s="66" t="str">
        <x:v>22412011</x:v>
      </x:c>
      <x:c r="F1119" s="66" t="str">
        <x:v>BAHASA INGGRIS UNTUK KOMUNIKASI BISNIS DAN PROFESIONAL</x:v>
      </x:c>
      <x:c r="G1119" s="66" t="str">
        <x:v>Sarjana Terapan</x:v>
      </x:c>
      <x:c r="H1119" s="87" t="n">
        <x:v>27</x:v>
      </x:c>
      <x:c r="I1119" s="87" t="n">
        <x:v>66</x:v>
      </x:c>
      <x:c r="J1119" s="68" t="n">
        <x:f>IFERROR(H1119/I1119,"")</x:f>
        <x:v>0.4090909090909091</x:v>
      </x:c>
      <x:c r="K1119" s="69" t="n">
        <x:f>IFERROR(I1119/H1119,"")</x:f>
        <x:v>2.4444444444444446</x:v>
      </x:c>
      <x:c r="L1119" s="66" t="str">
        <x:f>IF(K1119="","","1 : "&amp;TEXT(K1119,"0.0"))</x:f>
        <x:v>1 : 2.4</x:v>
      </x:c>
      <x:c r="M1119" s="66" t="str">
        <x:f>IF(J1119="","Baru/Tanpa Data",IF(J1119&lt;='Catatan &amp; Sumber'!$B$14,"Sangat Ketat",IF(J1119&lt;='Catatan &amp; Sumber'!$B$15,"Ketat",IF(J1119&lt;='Catatan &amp; Sumber'!$B$16,"Sedang","Relatif Longgar"))))</x:f>
        <x:v>Relatif Longgar</x:v>
      </x:c>
      <x:c r="N1119" s="66" t="str">
        <x:v>Tidak Ada</x:v>
      </x:c>
      <x:c r="O1119" s="66" t="str">
        <x:v>Sumatera Barat</x:v>
      </x:c>
      <x:c r="P1119" s="66" t="str">
        <x:v>Kota Padang</x:v>
      </x:c>
      <x:c r="Q1119" s="66" t="str">
        <x:v>https://snpmb.id/snbp/daya-tampung-snbp</x:v>
      </x:c>
      <x:c r="R1119" s="66" t="str">
        <x:v>https://sidatagrun-public-1076756628210.asia-southeast2.run.app/ptn_sn.php?ptn=241</x:v>
      </x:c>
    </x:row>
    <x:row r="1120">
      <x:c r="A1120" s="87" t="n">
        <x:v>2423</x:v>
      </x:c>
      <x:c r="B1120" s="66" t="n">
        <x:v>241</x:v>
      </x:c>
      <x:c r="C1120" s="66" t="str">
        <x:v>POLITEKNIK NEGERI PADANG</x:v>
      </x:c>
      <x:c r="D1120" s="66" t="str">
        <x:v>PTN Vokasi</x:v>
      </x:c>
      <x:c r="E1120" s="66" t="str">
        <x:v>22412012</x:v>
      </x:c>
      <x:c r="F1120" s="66" t="str">
        <x:v>DESTINASI PARIWISATA</x:v>
      </x:c>
      <x:c r="G1120" s="66" t="str">
        <x:v>Sarjana Terapan</x:v>
      </x:c>
      <x:c r="H1120" s="87" t="n">
        <x:v>18</x:v>
      </x:c>
      <x:c r="I1120" s="87" t="n">
        <x:v>90</x:v>
      </x:c>
      <x:c r="J1120" s="68" t="n">
        <x:f>IFERROR(H1120/I1120,"")</x:f>
        <x:v>0.2</x:v>
      </x:c>
      <x:c r="K1120" s="69" t="n">
        <x:f>IFERROR(I1120/H1120,"")</x:f>
        <x:v>5</x:v>
      </x:c>
      <x:c r="L1120" s="66" t="str">
        <x:f>IF(K1120="","","1 : "&amp;TEXT(K1120,"0.0"))</x:f>
        <x:v>1 : 5.0</x:v>
      </x:c>
      <x:c r="M1120" s="66" t="str">
        <x:f>IF(J1120="","Baru/Tanpa Data",IF(J1120&lt;='Catatan &amp; Sumber'!$B$14,"Sangat Ketat",IF(J1120&lt;='Catatan &amp; Sumber'!$B$15,"Ketat",IF(J1120&lt;='Catatan &amp; Sumber'!$B$16,"Sedang","Relatif Longgar"))))</x:f>
        <x:v>Relatif Longgar</x:v>
      </x:c>
      <x:c r="N1120" s="66" t="str">
        <x:v>Tidak Ada</x:v>
      </x:c>
      <x:c r="O1120" s="66" t="str">
        <x:v>Sumatera Barat</x:v>
      </x:c>
      <x:c r="P1120" s="66" t="str">
        <x:v>Kota Padang</x:v>
      </x:c>
      <x:c r="Q1120" s="66" t="str">
        <x:v>https://snpmb.id/snbp/daya-tampung-snbp</x:v>
      </x:c>
      <x:c r="R1120" s="66" t="str">
        <x:v>https://sidatagrun-public-1076756628210.asia-southeast2.run.app/ptn_sn.php?ptn=241</x:v>
      </x:c>
    </x:row>
    <x:row r="1121">
      <x:c r="A1121" s="87" t="n">
        <x:v>3078</x:v>
      </x:c>
      <x:c r="B1121" s="66" t="n">
        <x:v>241</x:v>
      </x:c>
      <x:c r="C1121" s="66" t="str">
        <x:v>POLITEKNIK NEGERI PADANG</x:v>
      </x:c>
      <x:c r="D1121" s="66" t="str">
        <x:v>PTN Vokasi</x:v>
      </x:c>
      <x:c r="E1121" s="66" t="str">
        <x:v>22412013</x:v>
      </x:c>
      <x:c r="F1121" s="66" t="str">
        <x:v>USAHA PERJALANAN WISATA</x:v>
      </x:c>
      <x:c r="G1121" s="66" t="str">
        <x:v>Sarjana Terapan</x:v>
      </x:c>
      <x:c r="H1121" s="87" t="n">
        <x:v>27</x:v>
      </x:c>
      <x:c r="I1121" s="87" t="n">
        <x:v>87</x:v>
      </x:c>
      <x:c r="J1121" s="68" t="n">
        <x:f>IFERROR(H1121/I1121,"")</x:f>
        <x:v>0.3103448275862069</x:v>
      </x:c>
      <x:c r="K1121" s="69" t="n">
        <x:f>IFERROR(I1121/H1121,"")</x:f>
        <x:v>3.2222222222222223</x:v>
      </x:c>
      <x:c r="L1121" s="66" t="str">
        <x:f>IF(K1121="","","1 : "&amp;TEXT(K1121,"0.0"))</x:f>
        <x:v>1 : 3.2</x:v>
      </x:c>
      <x:c r="M1121" s="66" t="str">
        <x:f>IF(J1121="","Baru/Tanpa Data",IF(J1121&lt;='Catatan &amp; Sumber'!$B$14,"Sangat Ketat",IF(J1121&lt;='Catatan &amp; Sumber'!$B$15,"Ketat",IF(J1121&lt;='Catatan &amp; Sumber'!$B$16,"Sedang","Relatif Longgar"))))</x:f>
        <x:v>Relatif Longgar</x:v>
      </x:c>
      <x:c r="N1121" s="66" t="str">
        <x:v>Tidak Ada</x:v>
      </x:c>
      <x:c r="O1121" s="66" t="str">
        <x:v>Sumatera Barat</x:v>
      </x:c>
      <x:c r="P1121" s="66" t="str">
        <x:v>Kota Padang</x:v>
      </x:c>
      <x:c r="Q1121" s="66" t="str">
        <x:v>https://snpmb.id/snbp/daya-tampung-snbp</x:v>
      </x:c>
      <x:c r="R1121" s="66" t="str">
        <x:v>https://sidatagrun-public-1076756628210.asia-southeast2.run.app/ptn_sn.php?ptn=241</x:v>
      </x:c>
    </x:row>
    <x:row r="1122">
      <x:c r="A1122" s="87" t="n">
        <x:v>1588</x:v>
      </x:c>
      <x:c r="B1122" s="66" t="n">
        <x:v>241</x:v>
      </x:c>
      <x:c r="C1122" s="66" t="str">
        <x:v>POLITEKNIK NEGERI PADANG</x:v>
      </x:c>
      <x:c r="D1122" s="66" t="str">
        <x:v>PTN Vokasi</x:v>
      </x:c>
      <x:c r="E1122" s="66" t="str">
        <x:v>22412032</x:v>
      </x:c>
      <x:c r="F1122" s="66" t="str">
        <x:v>BISNIS DIGITAL</x:v>
      </x:c>
      <x:c r="G1122" s="66" t="str">
        <x:v>Sarjana Terapan</x:v>
      </x:c>
      <x:c r="H1122" s="87" t="n">
        <x:v>18</x:v>
      </x:c>
      <x:c r="I1122" s="87" t="n">
        <x:v>156</x:v>
      </x:c>
      <x:c r="J1122" s="68" t="n">
        <x:f>IFERROR(H1122/I1122,"")</x:f>
        <x:v>0.11538461538461539</x:v>
      </x:c>
      <x:c r="K1122" s="69" t="n">
        <x:f>IFERROR(I1122/H1122,"")</x:f>
        <x:v>8.666666666666666</x:v>
      </x:c>
      <x:c r="L1122" s="66" t="str">
        <x:f>IF(K1122="","","1 : "&amp;TEXT(K1122,"0.0"))</x:f>
        <x:v>1 : 8.7</x:v>
      </x:c>
      <x:c r="M1122" s="66" t="str">
        <x:f>IF(J1122="","Baru/Tanpa Data",IF(J1122&lt;='Catatan &amp; Sumber'!$B$14,"Sangat Ketat",IF(J1122&lt;='Catatan &amp; Sumber'!$B$15,"Ketat",IF(J1122&lt;='Catatan &amp; Sumber'!$B$16,"Sedang","Relatif Longgar"))))</x:f>
        <x:v>Relatif Longgar</x:v>
      </x:c>
      <x:c r="N1122" s="66" t="str">
        <x:v>Tidak Ada</x:v>
      </x:c>
      <x:c r="O1122" s="66" t="str">
        <x:v>Sumatera Barat</x:v>
      </x:c>
      <x:c r="P1122" s="66" t="str">
        <x:v>Kota Padang</x:v>
      </x:c>
      <x:c r="Q1122" s="66" t="str">
        <x:v>https://snpmb.id/snbp/daya-tampung-snbp</x:v>
      </x:c>
      <x:c r="R1122" s="66" t="str">
        <x:v>https://sidatagrun-public-1076756628210.asia-southeast2.run.app/ptn_sn.php?ptn=241</x:v>
      </x:c>
    </x:row>
    <x:row r="1123">
      <x:c r="A1123" s="87" t="n">
        <x:v>3408</x:v>
      </x:c>
      <x:c r="B1123" s="66" t="n">
        <x:v>241</x:v>
      </x:c>
      <x:c r="C1123" s="66" t="str">
        <x:v>POLITEKNIK NEGERI PADANG</x:v>
      </x:c>
      <x:c r="D1123" s="66" t="str">
        <x:v>PTN Vokasi</x:v>
      </x:c>
      <x:c r="E1123" s="66" t="str">
        <x:v>22412033</x:v>
      </x:c>
      <x:c r="F1123" s="66" t="str">
        <x:v>ANIMASI</x:v>
      </x:c>
      <x:c r="G1123" s="66" t="str">
        <x:v>Sarjana Terapan</x:v>
      </x:c>
      <x:c r="H1123" s="87" t="n">
        <x:v>17</x:v>
      </x:c>
      <x:c r="I1123" s="87" t="n">
        <x:v>42</x:v>
      </x:c>
      <x:c r="J1123" s="68" t="n">
        <x:f>IFERROR(H1123/I1123,"")</x:f>
        <x:v>0.40476190476190477</x:v>
      </x:c>
      <x:c r="K1123" s="69" t="n">
        <x:f>IFERROR(I1123/H1123,"")</x:f>
        <x:v>2.4705882352941178</x:v>
      </x:c>
      <x:c r="L1123" s="66" t="str">
        <x:f>IF(K1123="","","1 : "&amp;TEXT(K1123,"0.0"))</x:f>
        <x:v>1 : 2.5</x:v>
      </x:c>
      <x:c r="M1123" s="66" t="str">
        <x:f>IF(J1123="","Baru/Tanpa Data",IF(J1123&lt;='Catatan &amp; Sumber'!$B$14,"Sangat Ketat",IF(J1123&lt;='Catatan &amp; Sumber'!$B$15,"Ketat",IF(J1123&lt;='Catatan &amp; Sumber'!$B$16,"Sedang","Relatif Longgar"))))</x:f>
        <x:v>Relatif Longgar</x:v>
      </x:c>
      <x:c r="N1123" s="66" t="str">
        <x:v>Tidak Ada</x:v>
      </x:c>
      <x:c r="O1123" s="66" t="str">
        <x:v>Sumatera Barat</x:v>
      </x:c>
      <x:c r="P1123" s="66" t="str">
        <x:v>Kota Padang</x:v>
      </x:c>
      <x:c r="Q1123" s="66" t="str">
        <x:v>https://snpmb.id/snbp/daya-tampung-snbp</x:v>
      </x:c>
      <x:c r="R1123" s="66" t="str">
        <x:v>https://sidatagrun-public-1076756628210.asia-southeast2.run.app/ptn_sn.php?ptn=241</x:v>
      </x:c>
    </x:row>
    <x:row r="1124">
      <x:c r="A1124" s="87" t="n">
        <x:v>2300</x:v>
      </x:c>
      <x:c r="B1124" s="66" t="n">
        <x:v>241</x:v>
      </x:c>
      <x:c r="C1124" s="66" t="str">
        <x:v>POLITEKNIK NEGERI PADANG</x:v>
      </x:c>
      <x:c r="D1124" s="66" t="str">
        <x:v>PTN Vokasi</x:v>
      </x:c>
      <x:c r="E1124" s="66" t="str">
        <x:v>22412034</x:v>
      </x:c>
      <x:c r="F1124" s="66" t="str">
        <x:v>LOGISTIK PERDAGANGAN INTERNASIONAL</x:v>
      </x:c>
      <x:c r="G1124" s="66" t="str">
        <x:v>Sarjana Terapan</x:v>
      </x:c>
      <x:c r="H1124" s="87" t="n">
        <x:v>18</x:v>
      </x:c>
      <x:c r="I1124" s="87" t="n">
        <x:v>98</x:v>
      </x:c>
      <x:c r="J1124" s="68" t="n">
        <x:f>IFERROR(H1124/I1124,"")</x:f>
        <x:v>0.1836734693877551</x:v>
      </x:c>
      <x:c r="K1124" s="69" t="n">
        <x:f>IFERROR(I1124/H1124,"")</x:f>
        <x:v>5.444444444444445</x:v>
      </x:c>
      <x:c r="L1124" s="66" t="str">
        <x:f>IF(K1124="","","1 : "&amp;TEXT(K1124,"0.0"))</x:f>
        <x:v>1 : 5.4</x:v>
      </x:c>
      <x:c r="M1124" s="66" t="str">
        <x:f>IF(J1124="","Baru/Tanpa Data",IF(J1124&lt;='Catatan &amp; Sumber'!$B$14,"Sangat Ketat",IF(J1124&lt;='Catatan &amp; Sumber'!$B$15,"Ketat",IF(J1124&lt;='Catatan &amp; Sumber'!$B$16,"Sedang","Relatif Longgar"))))</x:f>
        <x:v>Relatif Longgar</x:v>
      </x:c>
      <x:c r="N1124" s="66" t="str">
        <x:v>Tidak Ada</x:v>
      </x:c>
      <x:c r="O1124" s="66" t="str">
        <x:v>Sumatera Barat</x:v>
      </x:c>
      <x:c r="P1124" s="66" t="str">
        <x:v>Kota Padang</x:v>
      </x:c>
      <x:c r="Q1124" s="66" t="str">
        <x:v>https://snpmb.id/snbp/daya-tampung-snbp</x:v>
      </x:c>
      <x:c r="R1124" s="66" t="str">
        <x:v>https://sidatagrun-public-1076756628210.asia-southeast2.run.app/ptn_sn.php?ptn=241</x:v>
      </x:c>
    </x:row>
    <x:row r="1125">
      <x:c r="A1125" s="87" t="n">
        <x:v>4365</x:v>
      </x:c>
      <x:c r="B1125" s="66" t="n">
        <x:v>241</x:v>
      </x:c>
      <x:c r="C1125" s="66" t="str">
        <x:v>POLITEKNIK NEGERI PADANG</x:v>
      </x:c>
      <x:c r="D1125" s="66" t="str">
        <x:v>PTN Vokasi</x:v>
      </x:c>
      <x:c r="E1125" s="66" t="str">
        <x:v>22413014</x:v>
      </x:c>
      <x:c r="F1125" s="66" t="str">
        <x:v>SISTEM INFORMASI (KAMPUS KAB. TANAH DATAR)</x:v>
      </x:c>
      <x:c r="G1125" s="66" t="str">
        <x:v>Diploma Tiga</x:v>
      </x:c>
      <x:c r="H1125" s="87" t="n">
        <x:v>17</x:v>
      </x:c>
      <x:c r="I1125" s="87" t="n">
        <x:v>16</x:v>
      </x:c>
      <x:c r="J1125" s="68" t="n">
        <x:f>IFERROR(H1125/I1125,"")</x:f>
        <x:v>1.0625</x:v>
      </x:c>
      <x:c r="K1125" s="69" t="n">
        <x:f>IFERROR(I1125/H1125,"")</x:f>
        <x:v>0.9411764705882353</x:v>
      </x:c>
      <x:c r="L1125" s="66" t="str">
        <x:f>IF(K1125="","","1 : "&amp;TEXT(K1125,"0.0"))</x:f>
        <x:v>1 : 0.9</x:v>
      </x:c>
      <x:c r="M1125" s="66" t="str">
        <x:f>IF(J1125="","Baru/Tanpa Data",IF(J1125&lt;='Catatan &amp; Sumber'!$B$14,"Sangat Ketat",IF(J1125&lt;='Catatan &amp; Sumber'!$B$15,"Ketat",IF(J1125&lt;='Catatan &amp; Sumber'!$B$16,"Sedang","Relatif Longgar"))))</x:f>
        <x:v>Relatif Longgar</x:v>
      </x:c>
      <x:c r="N1125" s="66" t="str">
        <x:v>Tidak Ada</x:v>
      </x:c>
      <x:c r="O1125" s="66" t="str">
        <x:v>Sumatera Barat</x:v>
      </x:c>
      <x:c r="P1125" s="66" t="str">
        <x:v>Kota Padang</x:v>
      </x:c>
      <x:c r="Q1125" s="66" t="str">
        <x:v>https://snpmb.id/snbp/daya-tampung-snbp</x:v>
      </x:c>
      <x:c r="R1125" s="66" t="str">
        <x:v>https://sidatagrun-public-1076756628210.asia-southeast2.run.app/ptn_sn.php?ptn=241</x:v>
      </x:c>
    </x:row>
    <x:row r="1126">
      <x:c r="A1126" s="87" t="n">
        <x:v>4633</x:v>
      </x:c>
      <x:c r="B1126" s="66" t="n">
        <x:v>241</x:v>
      </x:c>
      <x:c r="C1126" s="66" t="str">
        <x:v>POLITEKNIK NEGERI PADANG</x:v>
      </x:c>
      <x:c r="D1126" s="66" t="str">
        <x:v>PTN Vokasi</x:v>
      </x:c>
      <x:c r="E1126" s="66" t="str">
        <x:v>22413016</x:v>
      </x:c>
      <x:c r="F1126" s="66" t="str">
        <x:v>TEKNIK KOMPUTER (KAMPUS KAB SOLOK SELATAN)</x:v>
      </x:c>
      <x:c r="G1126" s="66" t="str">
        <x:v>Diploma Tiga</x:v>
      </x:c>
      <x:c r="H1126" s="87" t="n">
        <x:v>9</x:v>
      </x:c>
      <x:c r="I1126" s="87" t="n">
        <x:v>5</x:v>
      </x:c>
      <x:c r="J1126" s="68" t="n">
        <x:f>IFERROR(H1126/I1126,"")</x:f>
        <x:v>1.8</x:v>
      </x:c>
      <x:c r="K1126" s="69" t="n">
        <x:f>IFERROR(I1126/H1126,"")</x:f>
        <x:v>0.5555555555555556</x:v>
      </x:c>
      <x:c r="L1126" s="66" t="str">
        <x:f>IF(K1126="","","1 : "&amp;TEXT(K1126,"0.0"))</x:f>
        <x:v>1 : 0.6</x:v>
      </x:c>
      <x:c r="M1126" s="66" t="str">
        <x:f>IF(J1126="","Baru/Tanpa Data",IF(J1126&lt;='Catatan &amp; Sumber'!$B$14,"Sangat Ketat",IF(J1126&lt;='Catatan &amp; Sumber'!$B$15,"Ketat",IF(J1126&lt;='Catatan &amp; Sumber'!$B$16,"Sedang","Relatif Longgar"))))</x:f>
        <x:v>Relatif Longgar</x:v>
      </x:c>
      <x:c r="N1126" s="66" t="str">
        <x:v>Tidak Ada</x:v>
      </x:c>
      <x:c r="O1126" s="66" t="str">
        <x:v>Sumatera Barat</x:v>
      </x:c>
      <x:c r="P1126" s="66" t="str">
        <x:v>Kota Padang</x:v>
      </x:c>
      <x:c r="Q1126" s="66" t="str">
        <x:v>https://snpmb.id/snbp/daya-tampung-snbp</x:v>
      </x:c>
      <x:c r="R1126" s="66" t="str">
        <x:v>https://sidatagrun-public-1076756628210.asia-southeast2.run.app/ptn_sn.php?ptn=241</x:v>
      </x:c>
    </x:row>
    <x:row r="1127">
      <x:c r="A1127" s="87" t="n">
        <x:v>4759</x:v>
      </x:c>
      <x:c r="B1127" s="66" t="n">
        <x:v>241</x:v>
      </x:c>
      <x:c r="C1127" s="66" t="str">
        <x:v>POLITEKNIK NEGERI PADANG</x:v>
      </x:c>
      <x:c r="D1127" s="66" t="str">
        <x:v>PTN Vokasi</x:v>
      </x:c>
      <x:c r="E1127" s="66" t="str">
        <x:v>22413017</x:v>
      </x:c>
      <x:c r="F1127" s="66" t="str">
        <x:v>AKUNTANSI (KAMPUS KAB SOLOK SELATAN)</x:v>
      </x:c>
      <x:c r="G1127" s="66" t="str">
        <x:v>Diploma Tiga</x:v>
      </x:c>
      <x:c r="H1127" s="87" t="n">
        <x:v>9</x:v>
      </x:c>
      <x:c r="I1127" s="87" t="n">
        <x:v>3</x:v>
      </x:c>
      <x:c r="J1127" s="68" t="n">
        <x:f>IFERROR(H1127/I1127,"")</x:f>
        <x:v>3</x:v>
      </x:c>
      <x:c r="K1127" s="69" t="n">
        <x:f>IFERROR(I1127/H1127,"")</x:f>
        <x:v>0.3333333333333333</x:v>
      </x:c>
      <x:c r="L1127" s="66" t="str">
        <x:f>IF(K1127="","","1 : "&amp;TEXT(K1127,"0.0"))</x:f>
        <x:v>1 : 0.3</x:v>
      </x:c>
      <x:c r="M1127" s="66" t="str">
        <x:f>IF(J1127="","Baru/Tanpa Data",IF(J1127&lt;='Catatan &amp; Sumber'!$B$14,"Sangat Ketat",IF(J1127&lt;='Catatan &amp; Sumber'!$B$15,"Ketat",IF(J1127&lt;='Catatan &amp; Sumber'!$B$16,"Sedang","Relatif Longgar"))))</x:f>
        <x:v>Relatif Longgar</x:v>
      </x:c>
      <x:c r="N1127" s="66" t="str">
        <x:v>Tidak Ada</x:v>
      </x:c>
      <x:c r="O1127" s="66" t="str">
        <x:v>Sumatera Barat</x:v>
      </x:c>
      <x:c r="P1127" s="66" t="str">
        <x:v>Kota Padang</x:v>
      </x:c>
      <x:c r="Q1127" s="66" t="str">
        <x:v>https://snpmb.id/snbp/daya-tampung-snbp</x:v>
      </x:c>
      <x:c r="R1127" s="66" t="str">
        <x:v>https://sidatagrun-public-1076756628210.asia-southeast2.run.app/ptn_sn.php?ptn=241</x:v>
      </x:c>
    </x:row>
    <x:row r="1128">
      <x:c r="A1128" s="87" t="n">
        <x:v>1070</x:v>
      </x:c>
      <x:c r="B1128" s="66" t="n">
        <x:v>241</x:v>
      </x:c>
      <x:c r="C1128" s="66" t="str">
        <x:v>POLITEKNIK NEGERI PADANG</x:v>
      </x:c>
      <x:c r="D1128" s="66" t="str">
        <x:v>PTN Vokasi</x:v>
      </x:c>
      <x:c r="E1128" s="66" t="str">
        <x:v>22413018</x:v>
      </x:c>
      <x:c r="F1128" s="66" t="str">
        <x:v>TEKNIK ALAT BERAT</x:v>
      </x:c>
      <x:c r="G1128" s="66" t="str">
        <x:v>Diploma Tiga</x:v>
      </x:c>
      <x:c r="H1128" s="87" t="n">
        <x:v>24</x:v>
      </x:c>
      <x:c r="I1128" s="87" t="n">
        <x:v>293</x:v>
      </x:c>
      <x:c r="J1128" s="68" t="n">
        <x:f>IFERROR(H1128/I1128,"")</x:f>
        <x:v>0.08191126279863481</x:v>
      </x:c>
      <x:c r="K1128" s="69" t="n">
        <x:f>IFERROR(I1128/H1128,"")</x:f>
        <x:v>12.208333333333334</x:v>
      </x:c>
      <x:c r="L1128" s="66" t="str">
        <x:f>IF(K1128="","","1 : "&amp;TEXT(K1128,"0.0"))</x:f>
        <x:v>1 : 12.2</x:v>
      </x:c>
      <x:c r="M1128" s="66" t="str">
        <x:f>IF(J1128="","Baru/Tanpa Data",IF(J1128&lt;='Catatan &amp; Sumber'!$B$14,"Sangat Ketat",IF(J1128&lt;='Catatan &amp; Sumber'!$B$15,"Ketat",IF(J1128&lt;='Catatan &amp; Sumber'!$B$16,"Sedang","Relatif Longgar"))))</x:f>
        <x:v>Sedang</x:v>
      </x:c>
      <x:c r="N1128" s="66" t="str">
        <x:v>Tidak Ada</x:v>
      </x:c>
      <x:c r="O1128" s="66" t="str">
        <x:v>Sumatera Barat</x:v>
      </x:c>
      <x:c r="P1128" s="66" t="str">
        <x:v>Kota Padang</x:v>
      </x:c>
      <x:c r="Q1128" s="66" t="str">
        <x:v>https://snpmb.id/snbp/daya-tampung-snbp</x:v>
      </x:c>
      <x:c r="R1128" s="66" t="str">
        <x:v>https://sidatagrun-public-1076756628210.asia-southeast2.run.app/ptn_sn.php?ptn=241</x:v>
      </x:c>
    </x:row>
    <x:row r="1129">
      <x:c r="A1129" s="87" t="n">
        <x:v>4545</x:v>
      </x:c>
      <x:c r="B1129" s="66" t="n">
        <x:v>241</x:v>
      </x:c>
      <x:c r="C1129" s="66" t="str">
        <x:v>POLITEKNIK NEGERI PADANG</x:v>
      </x:c>
      <x:c r="D1129" s="66" t="str">
        <x:v>PTN Vokasi</x:v>
      </x:c>
      <x:c r="E1129" s="66" t="str">
        <x:v>22413019</x:v>
      </x:c>
      <x:c r="F1129" s="66" t="str">
        <x:v>MANAJEMEN INFORMATIKA (KAMPUS KAB PELALAWAN)</x:v>
      </x:c>
      <x:c r="G1129" s="66" t="str">
        <x:v>Diploma Tiga</x:v>
      </x:c>
      <x:c r="H1129" s="87" t="n">
        <x:v>9</x:v>
      </x:c>
      <x:c r="I1129" s="87" t="n">
        <x:v>6</x:v>
      </x:c>
      <x:c r="J1129" s="68" t="n">
        <x:f>IFERROR(H1129/I1129,"")</x:f>
        <x:v>1.5</x:v>
      </x:c>
      <x:c r="K1129" s="69" t="n">
        <x:f>IFERROR(I1129/H1129,"")</x:f>
        <x:v>0.6666666666666666</x:v>
      </x:c>
      <x:c r="L1129" s="66" t="str">
        <x:f>IF(K1129="","","1 : "&amp;TEXT(K1129,"0.0"))</x:f>
        <x:v>1 : 0.7</x:v>
      </x:c>
      <x:c r="M1129" s="66" t="str">
        <x:f>IF(J1129="","Baru/Tanpa Data",IF(J1129&lt;='Catatan &amp; Sumber'!$B$14,"Sangat Ketat",IF(J1129&lt;='Catatan &amp; Sumber'!$B$15,"Ketat",IF(J1129&lt;='Catatan &amp; Sumber'!$B$16,"Sedang","Relatif Longgar"))))</x:f>
        <x:v>Relatif Longgar</x:v>
      </x:c>
      <x:c r="N1129" s="66" t="str">
        <x:v>Tidak Ada</x:v>
      </x:c>
      <x:c r="O1129" s="66" t="str">
        <x:v>Sumatera Barat</x:v>
      </x:c>
      <x:c r="P1129" s="66" t="str">
        <x:v>Kota Padang</x:v>
      </x:c>
      <x:c r="Q1129" s="66" t="str">
        <x:v>https://snpmb.id/snbp/daya-tampung-snbp</x:v>
      </x:c>
      <x:c r="R1129" s="66" t="str">
        <x:v>https://sidatagrun-public-1076756628210.asia-southeast2.run.app/ptn_sn.php?ptn=241</x:v>
      </x:c>
    </x:row>
    <x:row r="1130">
      <x:c r="A1130" s="87" t="n">
        <x:v>2243</x:v>
      </x:c>
      <x:c r="B1130" s="66" t="n">
        <x:v>241</x:v>
      </x:c>
      <x:c r="C1130" s="66" t="str">
        <x:v>POLITEKNIK NEGERI PADANG</x:v>
      </x:c>
      <x:c r="D1130" s="66" t="str">
        <x:v>PTN Vokasi</x:v>
      </x:c>
      <x:c r="E1130" s="66" t="str">
        <x:v>22413020</x:v>
      </x:c>
      <x:c r="F1130" s="66" t="str">
        <x:v>ADMINISTRASI BISNIS</x:v>
      </x:c>
      <x:c r="G1130" s="66" t="str">
        <x:v>Diploma Tiga</x:v>
      </x:c>
      <x:c r="H1130" s="87" t="n">
        <x:v>54</x:v>
      </x:c>
      <x:c r="I1130" s="87" t="n">
        <x:v>305</x:v>
      </x:c>
      <x:c r="J1130" s="68" t="n">
        <x:f>IFERROR(H1130/I1130,"")</x:f>
        <x:v>0.17704918032786884</x:v>
      </x:c>
      <x:c r="K1130" s="69" t="n">
        <x:f>IFERROR(I1130/H1130,"")</x:f>
        <x:v>5.648148148148148</x:v>
      </x:c>
      <x:c r="L1130" s="66" t="str">
        <x:f>IF(K1130="","","1 : "&amp;TEXT(K1130,"0.0"))</x:f>
        <x:v>1 : 5.6</x:v>
      </x:c>
      <x:c r="M1130" s="66" t="str">
        <x:f>IF(J1130="","Baru/Tanpa Data",IF(J1130&lt;='Catatan &amp; Sumber'!$B$14,"Sangat Ketat",IF(J1130&lt;='Catatan &amp; Sumber'!$B$15,"Ketat",IF(J1130&lt;='Catatan &amp; Sumber'!$B$16,"Sedang","Relatif Longgar"))))</x:f>
        <x:v>Relatif Longgar</x:v>
      </x:c>
      <x:c r="N1130" s="66" t="str">
        <x:v>Tidak Ada</x:v>
      </x:c>
      <x:c r="O1130" s="66" t="str">
        <x:v>Sumatera Barat</x:v>
      </x:c>
      <x:c r="P1130" s="66" t="str">
        <x:v>Kota Padang</x:v>
      </x:c>
      <x:c r="Q1130" s="66" t="str">
        <x:v>https://snpmb.id/snbp/daya-tampung-snbp</x:v>
      </x:c>
      <x:c r="R1130" s="66" t="str">
        <x:v>https://sidatagrun-public-1076756628210.asia-southeast2.run.app/ptn_sn.php?ptn=241</x:v>
      </x:c>
    </x:row>
    <x:row r="1131">
      <x:c r="A1131" s="87" t="n">
        <x:v>4832</x:v>
      </x:c>
      <x:c r="B1131" s="66" t="n">
        <x:v>241</x:v>
      </x:c>
      <x:c r="C1131" s="66" t="str">
        <x:v>POLITEKNIK NEGERI PADANG</x:v>
      </x:c>
      <x:c r="D1131" s="66" t="str">
        <x:v>PTN Vokasi</x:v>
      </x:c>
      <x:c r="E1131" s="66" t="str">
        <x:v>22413021</x:v>
      </x:c>
      <x:c r="F1131" s="66" t="str">
        <x:v>TEKNIK LISTRIK (KAMPUS KAB PELALAWAN)</x:v>
      </x:c>
      <x:c r="G1131" s="66" t="str">
        <x:v>Diploma Tiga</x:v>
      </x:c>
      <x:c r="H1131" s="87" t="n">
        <x:v>9</x:v>
      </x:c>
      <x:c r="I1131" s="87" t="n">
        <x:v>2</x:v>
      </x:c>
      <x:c r="J1131" s="68" t="n">
        <x:f>IFERROR(H1131/I1131,"")</x:f>
        <x:v>4.5</x:v>
      </x:c>
      <x:c r="K1131" s="69" t="n">
        <x:f>IFERROR(I1131/H1131,"")</x:f>
        <x:v>0.2222222222222222</x:v>
      </x:c>
      <x:c r="L1131" s="66" t="str">
        <x:f>IF(K1131="","","1 : "&amp;TEXT(K1131,"0.0"))</x:f>
        <x:v>1 : 0.2</x:v>
      </x:c>
      <x:c r="M1131" s="66" t="str">
        <x:f>IF(J1131="","Baru/Tanpa Data",IF(J1131&lt;='Catatan &amp; Sumber'!$B$14,"Sangat Ketat",IF(J1131&lt;='Catatan &amp; Sumber'!$B$15,"Ketat",IF(J1131&lt;='Catatan &amp; Sumber'!$B$16,"Sedang","Relatif Longgar"))))</x:f>
        <x:v>Relatif Longgar</x:v>
      </x:c>
      <x:c r="N1131" s="66" t="str">
        <x:v>Tidak Ada</x:v>
      </x:c>
      <x:c r="O1131" s="66" t="str">
        <x:v>Sumatera Barat</x:v>
      </x:c>
      <x:c r="P1131" s="66" t="str">
        <x:v>Kota Padang</x:v>
      </x:c>
      <x:c r="Q1131" s="66" t="str">
        <x:v>https://snpmb.id/snbp/daya-tampung-snbp</x:v>
      </x:c>
      <x:c r="R1131" s="66" t="str">
        <x:v>https://sidatagrun-public-1076756628210.asia-southeast2.run.app/ptn_sn.php?ptn=241</x:v>
      </x:c>
    </x:row>
    <x:row r="1132">
      <x:c r="A1132" s="87" t="n">
        <x:v>4633</x:v>
      </x:c>
      <x:c r="B1132" s="66" t="n">
        <x:v>241</x:v>
      </x:c>
      <x:c r="C1132" s="66" t="str">
        <x:v>POLITEKNIK NEGERI PADANG</x:v>
      </x:c>
      <x:c r="D1132" s="66" t="str">
        <x:v>PTN Vokasi</x:v>
      </x:c>
      <x:c r="E1132" s="66" t="str">
        <x:v>22413022</x:v>
      </x:c>
      <x:c r="F1132" s="66" t="str">
        <x:v>TEKNOLOGI SIPIL (KAMPUS KAB. TANAH DATAR)</x:v>
      </x:c>
      <x:c r="G1132" s="66" t="str">
        <x:v>Diploma Tiga</x:v>
      </x:c>
      <x:c r="H1132" s="87" t="n">
        <x:v>9</x:v>
      </x:c>
      <x:c r="I1132" s="87" t="n">
        <x:v>5</x:v>
      </x:c>
      <x:c r="J1132" s="68" t="n">
        <x:f>IFERROR(H1132/I1132,"")</x:f>
        <x:v>1.8</x:v>
      </x:c>
      <x:c r="K1132" s="69" t="n">
        <x:f>IFERROR(I1132/H1132,"")</x:f>
        <x:v>0.5555555555555556</x:v>
      </x:c>
      <x:c r="L1132" s="66" t="str">
        <x:f>IF(K1132="","","1 : "&amp;TEXT(K1132,"0.0"))</x:f>
        <x:v>1 : 0.6</x:v>
      </x:c>
      <x:c r="M1132" s="66" t="str">
        <x:f>IF(J1132="","Baru/Tanpa Data",IF(J1132&lt;='Catatan &amp; Sumber'!$B$14,"Sangat Ketat",IF(J1132&lt;='Catatan &amp; Sumber'!$B$15,"Ketat",IF(J1132&lt;='Catatan &amp; Sumber'!$B$16,"Sedang","Relatif Longgar"))))</x:f>
        <x:v>Relatif Longgar</x:v>
      </x:c>
      <x:c r="N1132" s="66" t="str">
        <x:v>Tidak Ada</x:v>
      </x:c>
      <x:c r="O1132" s="66" t="str">
        <x:v>Sumatera Barat</x:v>
      </x:c>
      <x:c r="P1132" s="66" t="str">
        <x:v>Kota Padang</x:v>
      </x:c>
      <x:c r="Q1132" s="66" t="str">
        <x:v>https://snpmb.id/snbp/daya-tampung-snbp</x:v>
      </x:c>
      <x:c r="R1132" s="66" t="str">
        <x:v>https://sidatagrun-public-1076756628210.asia-southeast2.run.app/ptn_sn.php?ptn=241</x:v>
      </x:c>
    </x:row>
    <x:row r="1133">
      <x:c r="A1133" s="87" t="n">
        <x:v>4297</x:v>
      </x:c>
      <x:c r="B1133" s="66" t="n">
        <x:v>241</x:v>
      </x:c>
      <x:c r="C1133" s="66" t="str">
        <x:v>POLITEKNIK NEGERI PADANG</x:v>
      </x:c>
      <x:c r="D1133" s="66" t="str">
        <x:v>PTN Vokasi</x:v>
      </x:c>
      <x:c r="E1133" s="66" t="str">
        <x:v>22413023</x:v>
      </x:c>
      <x:c r="F1133" s="66" t="str">
        <x:v>BAHASA INGGRIS</x:v>
      </x:c>
      <x:c r="G1133" s="66" t="str">
        <x:v>Diploma Tiga</x:v>
      </x:c>
      <x:c r="H1133" s="87" t="n">
        <x:v>27</x:v>
      </x:c>
      <x:c r="I1133" s="87" t="n">
        <x:v>28</x:v>
      </x:c>
      <x:c r="J1133" s="68" t="n">
        <x:f>IFERROR(H1133/I1133,"")</x:f>
        <x:v>0.9642857142857143</x:v>
      </x:c>
      <x:c r="K1133" s="69" t="n">
        <x:f>IFERROR(I1133/H1133,"")</x:f>
        <x:v>1.037037037037037</x:v>
      </x:c>
      <x:c r="L1133" s="66" t="str">
        <x:f>IF(K1133="","","1 : "&amp;TEXT(K1133,"0.0"))</x:f>
        <x:v>1 : 1.0</x:v>
      </x:c>
      <x:c r="M1133" s="66" t="str">
        <x:f>IF(J1133="","Baru/Tanpa Data",IF(J1133&lt;='Catatan &amp; Sumber'!$B$14,"Sangat Ketat",IF(J1133&lt;='Catatan &amp; Sumber'!$B$15,"Ketat",IF(J1133&lt;='Catatan &amp; Sumber'!$B$16,"Sedang","Relatif Longgar"))))</x:f>
        <x:v>Relatif Longgar</x:v>
      </x:c>
      <x:c r="N1133" s="66" t="str">
        <x:v>Tidak Ada</x:v>
      </x:c>
      <x:c r="O1133" s="66" t="str">
        <x:v>Sumatera Barat</x:v>
      </x:c>
      <x:c r="P1133" s="66" t="str">
        <x:v>Kota Padang</x:v>
      </x:c>
      <x:c r="Q1133" s="66" t="str">
        <x:v>https://snpmb.id/snbp/daya-tampung-snbp</x:v>
      </x:c>
      <x:c r="R1133" s="66" t="str">
        <x:v>https://sidatagrun-public-1076756628210.asia-southeast2.run.app/ptn_sn.php?ptn=241</x:v>
      </x:c>
    </x:row>
    <x:row r="1134">
      <x:c r="A1134" s="87" t="n">
        <x:v>2726</x:v>
      </x:c>
      <x:c r="B1134" s="66" t="n">
        <x:v>241</x:v>
      </x:c>
      <x:c r="C1134" s="66" t="str">
        <x:v>POLITEKNIK NEGERI PADANG</x:v>
      </x:c>
      <x:c r="D1134" s="66" t="str">
        <x:v>PTN Vokasi</x:v>
      </x:c>
      <x:c r="E1134" s="66" t="str">
        <x:v>22413024</x:v>
      </x:c>
      <x:c r="F1134" s="66" t="str">
        <x:v>TEKNIK LISTRIK</x:v>
      </x:c>
      <x:c r="G1134" s="66" t="str">
        <x:v>Diploma Tiga</x:v>
      </x:c>
      <x:c r="H1134" s="87" t="n">
        <x:v>34</x:v>
      </x:c>
      <x:c r="I1134" s="87" t="n">
        <x:v>137</x:v>
      </x:c>
      <x:c r="J1134" s="68" t="n">
        <x:f>IFERROR(H1134/I1134,"")</x:f>
        <x:v>0.24817518248175183</x:v>
      </x:c>
      <x:c r="K1134" s="69" t="n">
        <x:f>IFERROR(I1134/H1134,"")</x:f>
        <x:v>4.029411764705882</x:v>
      </x:c>
      <x:c r="L1134" s="66" t="str">
        <x:f>IF(K1134="","","1 : "&amp;TEXT(K1134,"0.0"))</x:f>
        <x:v>1 : 4.0</x:v>
      </x:c>
      <x:c r="M1134" s="66" t="str">
        <x:f>IF(J1134="","Baru/Tanpa Data",IF(J1134&lt;='Catatan &amp; Sumber'!$B$14,"Sangat Ketat",IF(J1134&lt;='Catatan &amp; Sumber'!$B$15,"Ketat",IF(J1134&lt;='Catatan &amp; Sumber'!$B$16,"Sedang","Relatif Longgar"))))</x:f>
        <x:v>Relatif Longgar</x:v>
      </x:c>
      <x:c r="N1134" s="66" t="str">
        <x:v>Tidak Ada</x:v>
      </x:c>
      <x:c r="O1134" s="66" t="str">
        <x:v>Sumatera Barat</x:v>
      </x:c>
      <x:c r="P1134" s="66" t="str">
        <x:v>Kota Padang</x:v>
      </x:c>
      <x:c r="Q1134" s="66" t="str">
        <x:v>https://snpmb.id/snbp/daya-tampung-snbp</x:v>
      </x:c>
      <x:c r="R1134" s="66" t="str">
        <x:v>https://sidatagrun-public-1076756628210.asia-southeast2.run.app/ptn_sn.php?ptn=241</x:v>
      </x:c>
    </x:row>
    <x:row r="1135">
      <x:c r="A1135" s="87" t="n">
        <x:v>3698</x:v>
      </x:c>
      <x:c r="B1135" s="66" t="n">
        <x:v>241</x:v>
      </x:c>
      <x:c r="C1135" s="66" t="str">
        <x:v>POLITEKNIK NEGERI PADANG</x:v>
      </x:c>
      <x:c r="D1135" s="66" t="str">
        <x:v>PTN Vokasi</x:v>
      </x:c>
      <x:c r="E1135" s="66" t="str">
        <x:v>22413025</x:v>
      </x:c>
      <x:c r="F1135" s="66" t="str">
        <x:v>TEKNIK TELEKOMUNIKASI</x:v>
      </x:c>
      <x:c r="G1135" s="66" t="str">
        <x:v>Diploma Tiga</x:v>
      </x:c>
      <x:c r="H1135" s="87" t="n">
        <x:v>34</x:v>
      </x:c>
      <x:c r="I1135" s="87" t="n">
        <x:v>66</x:v>
      </x:c>
      <x:c r="J1135" s="68" t="n">
        <x:f>IFERROR(H1135/I1135,"")</x:f>
        <x:v>0.5151515151515151</x:v>
      </x:c>
      <x:c r="K1135" s="69" t="n">
        <x:f>IFERROR(I1135/H1135,"")</x:f>
        <x:v>1.9411764705882353</x:v>
      </x:c>
      <x:c r="L1135" s="66" t="str">
        <x:f>IF(K1135="","","1 : "&amp;TEXT(K1135,"0.0"))</x:f>
        <x:v>1 : 1.9</x:v>
      </x:c>
      <x:c r="M1135" s="66" t="str">
        <x:f>IF(J1135="","Baru/Tanpa Data",IF(J1135&lt;='Catatan &amp; Sumber'!$B$14,"Sangat Ketat",IF(J1135&lt;='Catatan &amp; Sumber'!$B$15,"Ketat",IF(J1135&lt;='Catatan &amp; Sumber'!$B$16,"Sedang","Relatif Longgar"))))</x:f>
        <x:v>Relatif Longgar</x:v>
      </x:c>
      <x:c r="N1135" s="66" t="str">
        <x:v>Tidak Ada</x:v>
      </x:c>
      <x:c r="O1135" s="66" t="str">
        <x:v>Sumatera Barat</x:v>
      </x:c>
      <x:c r="P1135" s="66" t="str">
        <x:v>Kota Padang</x:v>
      </x:c>
      <x:c r="Q1135" s="66" t="str">
        <x:v>https://snpmb.id/snbp/daya-tampung-snbp</x:v>
      </x:c>
      <x:c r="R1135" s="66" t="str">
        <x:v>https://sidatagrun-public-1076756628210.asia-southeast2.run.app/ptn_sn.php?ptn=241</x:v>
      </x:c>
    </x:row>
    <x:row r="1136">
      <x:c r="A1136" s="87" t="n">
        <x:v>2118</x:v>
      </x:c>
      <x:c r="B1136" s="66" t="n">
        <x:v>241</x:v>
      </x:c>
      <x:c r="C1136" s="66" t="str">
        <x:v>POLITEKNIK NEGERI PADANG</x:v>
      </x:c>
      <x:c r="D1136" s="66" t="str">
        <x:v>PTN Vokasi</x:v>
      </x:c>
      <x:c r="E1136" s="66" t="str">
        <x:v>22413026</x:v>
      </x:c>
      <x:c r="F1136" s="66" t="str">
        <x:v>TEKNIK MESIN</x:v>
      </x:c>
      <x:c r="G1136" s="66" t="str">
        <x:v>Diploma Tiga</x:v>
      </x:c>
      <x:c r="H1136" s="87" t="n">
        <x:v>51</x:v>
      </x:c>
      <x:c r="I1136" s="87" t="n">
        <x:v>312</x:v>
      </x:c>
      <x:c r="J1136" s="68" t="n">
        <x:f>IFERROR(H1136/I1136,"")</x:f>
        <x:v>0.16346153846153846</x:v>
      </x:c>
      <x:c r="K1136" s="69" t="n">
        <x:f>IFERROR(I1136/H1136,"")</x:f>
        <x:v>6.117647058823529</x:v>
      </x:c>
      <x:c r="L1136" s="66" t="str">
        <x:f>IF(K1136="","","1 : "&amp;TEXT(K1136,"0.0"))</x:f>
        <x:v>1 : 6.1</x:v>
      </x:c>
      <x:c r="M1136" s="66" t="str">
        <x:f>IF(J1136="","Baru/Tanpa Data",IF(J1136&lt;='Catatan &amp; Sumber'!$B$14,"Sangat Ketat",IF(J1136&lt;='Catatan &amp; Sumber'!$B$15,"Ketat",IF(J1136&lt;='Catatan &amp; Sumber'!$B$16,"Sedang","Relatif Longgar"))))</x:f>
        <x:v>Relatif Longgar</x:v>
      </x:c>
      <x:c r="N1136" s="66" t="str">
        <x:v>Tidak Ada</x:v>
      </x:c>
      <x:c r="O1136" s="66" t="str">
        <x:v>Sumatera Barat</x:v>
      </x:c>
      <x:c r="P1136" s="66" t="str">
        <x:v>Kota Padang</x:v>
      </x:c>
      <x:c r="Q1136" s="66" t="str">
        <x:v>https://snpmb.id/snbp/daya-tampung-snbp</x:v>
      </x:c>
      <x:c r="R1136" s="66" t="str">
        <x:v>https://sidatagrun-public-1076756628210.asia-southeast2.run.app/ptn_sn.php?ptn=241</x:v>
      </x:c>
    </x:row>
    <x:row r="1137">
      <x:c r="A1137" s="87" t="n">
        <x:v>2901</x:v>
      </x:c>
      <x:c r="B1137" s="66" t="n">
        <x:v>241</x:v>
      </x:c>
      <x:c r="C1137" s="66" t="str">
        <x:v>POLITEKNIK NEGERI PADANG</x:v>
      </x:c>
      <x:c r="D1137" s="66" t="str">
        <x:v>PTN Vokasi</x:v>
      </x:c>
      <x:c r="E1137" s="66" t="str">
        <x:v>22413027</x:v>
      </x:c>
      <x:c r="F1137" s="66" t="str">
        <x:v>AKUNTANSI</x:v>
      </x:c>
      <x:c r="G1137" s="66" t="str">
        <x:v>Diploma Tiga</x:v>
      </x:c>
      <x:c r="H1137" s="87" t="n">
        <x:v>36</x:v>
      </x:c>
      <x:c r="I1137" s="87" t="n">
        <x:v>131</x:v>
      </x:c>
      <x:c r="J1137" s="68" t="n">
        <x:f>IFERROR(H1137/I1137,"")</x:f>
        <x:v>0.2748091603053435</x:v>
      </x:c>
      <x:c r="K1137" s="69" t="n">
        <x:f>IFERROR(I1137/H1137,"")</x:f>
        <x:v>3.638888888888889</x:v>
      </x:c>
      <x:c r="L1137" s="66" t="str">
        <x:f>IF(K1137="","","1 : "&amp;TEXT(K1137,"0.0"))</x:f>
        <x:v>1 : 3.6</x:v>
      </x:c>
      <x:c r="M1137" s="66" t="str">
        <x:f>IF(J1137="","Baru/Tanpa Data",IF(J1137&lt;='Catatan &amp; Sumber'!$B$14,"Sangat Ketat",IF(J1137&lt;='Catatan &amp; Sumber'!$B$15,"Ketat",IF(J1137&lt;='Catatan &amp; Sumber'!$B$16,"Sedang","Relatif Longgar"))))</x:f>
        <x:v>Relatif Longgar</x:v>
      </x:c>
      <x:c r="N1137" s="66" t="str">
        <x:v>Tidak Ada</x:v>
      </x:c>
      <x:c r="O1137" s="66" t="str">
        <x:v>Sumatera Barat</x:v>
      </x:c>
      <x:c r="P1137" s="66" t="str">
        <x:v>Kota Padang</x:v>
      </x:c>
      <x:c r="Q1137" s="66" t="str">
        <x:v>https://snpmb.id/snbp/daya-tampung-snbp</x:v>
      </x:c>
      <x:c r="R1137" s="66" t="str">
        <x:v>https://sidatagrun-public-1076756628210.asia-southeast2.run.app/ptn_sn.php?ptn=241</x:v>
      </x:c>
    </x:row>
    <x:row r="1138">
      <x:c r="A1138" s="87" t="n">
        <x:v>2219</x:v>
      </x:c>
      <x:c r="B1138" s="66" t="n">
        <x:v>241</x:v>
      </x:c>
      <x:c r="C1138" s="66" t="str">
        <x:v>POLITEKNIK NEGERI PADANG</x:v>
      </x:c>
      <x:c r="D1138" s="66" t="str">
        <x:v>PTN Vokasi</x:v>
      </x:c>
      <x:c r="E1138" s="66" t="str">
        <x:v>22413028</x:v>
      </x:c>
      <x:c r="F1138" s="66" t="str">
        <x:v>MANAJEMEN INFORMATIKA</x:v>
      </x:c>
      <x:c r="G1138" s="66" t="str">
        <x:v>Diploma Tiga</x:v>
      </x:c>
      <x:c r="H1138" s="87" t="n">
        <x:v>26</x:v>
      </x:c>
      <x:c r="I1138" s="87" t="n">
        <x:v>149</x:v>
      </x:c>
      <x:c r="J1138" s="68" t="n">
        <x:f>IFERROR(H1138/I1138,"")</x:f>
        <x:v>0.174496644295302</x:v>
      </x:c>
      <x:c r="K1138" s="69" t="n">
        <x:f>IFERROR(I1138/H1138,"")</x:f>
        <x:v>5.730769230769231</x:v>
      </x:c>
      <x:c r="L1138" s="66" t="str">
        <x:f>IF(K1138="","","1 : "&amp;TEXT(K1138,"0.0"))</x:f>
        <x:v>1 : 5.7</x:v>
      </x:c>
      <x:c r="M1138" s="66" t="str">
        <x:f>IF(J1138="","Baru/Tanpa Data",IF(J1138&lt;='Catatan &amp; Sumber'!$B$14,"Sangat Ketat",IF(J1138&lt;='Catatan &amp; Sumber'!$B$15,"Ketat",IF(J1138&lt;='Catatan &amp; Sumber'!$B$16,"Sedang","Relatif Longgar"))))</x:f>
        <x:v>Relatif Longgar</x:v>
      </x:c>
      <x:c r="N1138" s="66" t="str">
        <x:v>Tidak Ada</x:v>
      </x:c>
      <x:c r="O1138" s="66" t="str">
        <x:v>Sumatera Barat</x:v>
      </x:c>
      <x:c r="P1138" s="66" t="str">
        <x:v>Kota Padang</x:v>
      </x:c>
      <x:c r="Q1138" s="66" t="str">
        <x:v>https://snpmb.id/snbp/daya-tampung-snbp</x:v>
      </x:c>
      <x:c r="R1138" s="66" t="str">
        <x:v>https://sidatagrun-public-1076756628210.asia-southeast2.run.app/ptn_sn.php?ptn=241</x:v>
      </x:c>
    </x:row>
    <x:row r="1139">
      <x:c r="A1139" s="87" t="n">
        <x:v>1927</x:v>
      </x:c>
      <x:c r="B1139" s="66" t="n">
        <x:v>241</x:v>
      </x:c>
      <x:c r="C1139" s="66" t="str">
        <x:v>POLITEKNIK NEGERI PADANG</x:v>
      </x:c>
      <x:c r="D1139" s="66" t="str">
        <x:v>PTN Vokasi</x:v>
      </x:c>
      <x:c r="E1139" s="66" t="str">
        <x:v>22413029</x:v>
      </x:c>
      <x:c r="F1139" s="66" t="str">
        <x:v>TEKNIK KOMPUTER</x:v>
      </x:c>
      <x:c r="G1139" s="66" t="str">
        <x:v>Diploma Tiga</x:v>
      </x:c>
      <x:c r="H1139" s="87" t="n">
        <x:v>17</x:v>
      </x:c>
      <x:c r="I1139" s="87" t="n">
        <x:v>118</x:v>
      </x:c>
      <x:c r="J1139" s="68" t="n">
        <x:f>IFERROR(H1139/I1139,"")</x:f>
        <x:v>0.1440677966101695</x:v>
      </x:c>
      <x:c r="K1139" s="69" t="n">
        <x:f>IFERROR(I1139/H1139,"")</x:f>
        <x:v>6.9411764705882355</x:v>
      </x:c>
      <x:c r="L1139" s="66" t="str">
        <x:f>IF(K1139="","","1 : "&amp;TEXT(K1139,"0.0"))</x:f>
        <x:v>1 : 6.9</x:v>
      </x:c>
      <x:c r="M1139" s="66" t="str">
        <x:f>IF(J1139="","Baru/Tanpa Data",IF(J1139&lt;='Catatan &amp; Sumber'!$B$14,"Sangat Ketat",IF(J1139&lt;='Catatan &amp; Sumber'!$B$15,"Ketat",IF(J1139&lt;='Catatan &amp; Sumber'!$B$16,"Sedang","Relatif Longgar"))))</x:f>
        <x:v>Relatif Longgar</x:v>
      </x:c>
      <x:c r="N1139" s="66" t="str">
        <x:v>Tidak Ada</x:v>
      </x:c>
      <x:c r="O1139" s="66" t="str">
        <x:v>Sumatera Barat</x:v>
      </x:c>
      <x:c r="P1139" s="66" t="str">
        <x:v>Kota Padang</x:v>
      </x:c>
      <x:c r="Q1139" s="66" t="str">
        <x:v>https://snpmb.id/snbp/daya-tampung-snbp</x:v>
      </x:c>
      <x:c r="R1139" s="66" t="str">
        <x:v>https://sidatagrun-public-1076756628210.asia-southeast2.run.app/ptn_sn.php?ptn=241</x:v>
      </x:c>
    </x:row>
    <x:row r="1140">
      <x:c r="A1140" s="87" t="n">
        <x:v>2040</x:v>
      </x:c>
      <x:c r="B1140" s="66" t="n">
        <x:v>241</x:v>
      </x:c>
      <x:c r="C1140" s="66" t="str">
        <x:v>POLITEKNIK NEGERI PADANG</x:v>
      </x:c>
      <x:c r="D1140" s="66" t="str">
        <x:v>PTN Vokasi</x:v>
      </x:c>
      <x:c r="E1140" s="66" t="str">
        <x:v>22413030</x:v>
      </x:c>
      <x:c r="F1140" s="66" t="str">
        <x:v>TEKNIK SIPIL</x:v>
      </x:c>
      <x:c r="G1140" s="66" t="str">
        <x:v>Diploma Tiga</x:v>
      </x:c>
      <x:c r="H1140" s="87" t="n">
        <x:v>34</x:v>
      </x:c>
      <x:c r="I1140" s="87" t="n">
        <x:v>219</x:v>
      </x:c>
      <x:c r="J1140" s="68" t="n">
        <x:f>IFERROR(H1140/I1140,"")</x:f>
        <x:v>0.1552511415525114</x:v>
      </x:c>
      <x:c r="K1140" s="69" t="n">
        <x:f>IFERROR(I1140/H1140,"")</x:f>
        <x:v>6.4411764705882355</x:v>
      </x:c>
      <x:c r="L1140" s="66" t="str">
        <x:f>IF(K1140="","","1 : "&amp;TEXT(K1140,"0.0"))</x:f>
        <x:v>1 : 6.4</x:v>
      </x:c>
      <x:c r="M1140" s="66" t="str">
        <x:f>IF(J1140="","Baru/Tanpa Data",IF(J1140&lt;='Catatan &amp; Sumber'!$B$14,"Sangat Ketat",IF(J1140&lt;='Catatan &amp; Sumber'!$B$15,"Ketat",IF(J1140&lt;='Catatan &amp; Sumber'!$B$16,"Sedang","Relatif Longgar"))))</x:f>
        <x:v>Relatif Longgar</x:v>
      </x:c>
      <x:c r="N1140" s="66" t="str">
        <x:v>Tidak Ada</x:v>
      </x:c>
      <x:c r="O1140" s="66" t="str">
        <x:v>Sumatera Barat</x:v>
      </x:c>
      <x:c r="P1140" s="66" t="str">
        <x:v>Kota Padang</x:v>
      </x:c>
      <x:c r="Q1140" s="66" t="str">
        <x:v>https://snpmb.id/snbp/daya-tampung-snbp</x:v>
      </x:c>
      <x:c r="R1140" s="66" t="str">
        <x:v>https://sidatagrun-public-1076756628210.asia-southeast2.run.app/ptn_sn.php?ptn=241</x:v>
      </x:c>
    </x:row>
    <x:row r="1141">
      <x:c r="A1141" s="87" t="n">
        <x:v>3063</x:v>
      </x:c>
      <x:c r="B1141" s="66" t="n">
        <x:v>241</x:v>
      </x:c>
      <x:c r="C1141" s="66" t="str">
        <x:v>POLITEKNIK NEGERI PADANG</x:v>
      </x:c>
      <x:c r="D1141" s="66" t="str">
        <x:v>PTN Vokasi</x:v>
      </x:c>
      <x:c r="E1141" s="66" t="str">
        <x:v>22413031</x:v>
      </x:c>
      <x:c r="F1141" s="66" t="str">
        <x:v>TEKNIK ELEKTRONIKA</x:v>
      </x:c>
      <x:c r="G1141" s="66" t="str">
        <x:v>Diploma Tiga</x:v>
      </x:c>
      <x:c r="H1141" s="87" t="n">
        <x:v>34</x:v>
      </x:c>
      <x:c r="I1141" s="87" t="n">
        <x:v>111</x:v>
      </x:c>
      <x:c r="J1141" s="68" t="n">
        <x:f>IFERROR(H1141/I1141,"")</x:f>
        <x:v>0.3063063063063063</x:v>
      </x:c>
      <x:c r="K1141" s="69" t="n">
        <x:f>IFERROR(I1141/H1141,"")</x:f>
        <x:v>3.264705882352941</x:v>
      </x:c>
      <x:c r="L1141" s="66" t="str">
        <x:f>IF(K1141="","","1 : "&amp;TEXT(K1141,"0.0"))</x:f>
        <x:v>1 : 3.3</x:v>
      </x:c>
      <x:c r="M1141" s="66" t="str">
        <x:f>IF(J1141="","Baru/Tanpa Data",IF(J1141&lt;='Catatan &amp; Sumber'!$B$14,"Sangat Ketat",IF(J1141&lt;='Catatan &amp; Sumber'!$B$15,"Ketat",IF(J1141&lt;='Catatan &amp; Sumber'!$B$16,"Sedang","Relatif Longgar"))))</x:f>
        <x:v>Relatif Longgar</x:v>
      </x:c>
      <x:c r="N1141" s="66" t="str">
        <x:v>Tidak Ada</x:v>
      </x:c>
      <x:c r="O1141" s="66" t="str">
        <x:v>Sumatera Barat</x:v>
      </x:c>
      <x:c r="P1141" s="66" t="str">
        <x:v>Kota Padang</x:v>
      </x:c>
      <x:c r="Q1141" s="66" t="str">
        <x:v>https://snpmb.id/snbp/daya-tampung-snbp</x:v>
      </x:c>
      <x:c r="R1141" s="66" t="str">
        <x:v>https://sidatagrun-public-1076756628210.asia-southeast2.run.app/ptn_sn.php?ptn=241</x:v>
      </x:c>
    </x:row>
    <x:row r="1142">
      <x:c r="A1142" s="87" t="n">
        <x:v>3376</x:v>
      </x:c>
      <x:c r="B1142" s="66" t="n">
        <x:v>242</x:v>
      </x:c>
      <x:c r="C1142" s="66" t="str">
        <x:v>POLITEKNIK PERTANIAN NEGERI PAYAKUMBUH</x:v>
      </x:c>
      <x:c r="D1142" s="66" t="str">
        <x:v>PTN Vokasi</x:v>
      </x:c>
      <x:c r="E1142" s="66" t="str">
        <x:v>22422001</x:v>
      </x:c>
      <x:c r="F1142" s="66" t="str">
        <x:v>PENGELOLAAN AGRIBISNIS</x:v>
      </x:c>
      <x:c r="G1142" s="66" t="str">
        <x:v>Sarjana Terapan</x:v>
      </x:c>
      <x:c r="H1142" s="87" t="n">
        <x:v>31</x:v>
      </x:c>
      <x:c r="I1142" s="87" t="n">
        <x:v>79</x:v>
      </x:c>
      <x:c r="J1142" s="68" t="n">
        <x:f>IFERROR(H1142/I1142,"")</x:f>
        <x:v>0.3924050632911392</x:v>
      </x:c>
      <x:c r="K1142" s="69" t="n">
        <x:f>IFERROR(I1142/H1142,"")</x:f>
        <x:v>2.5483870967741935</x:v>
      </x:c>
      <x:c r="L1142" s="66" t="str">
        <x:f>IF(K1142="","","1 : "&amp;TEXT(K1142,"0.0"))</x:f>
        <x:v>1 : 2.5</x:v>
      </x:c>
      <x:c r="M1142" s="66" t="str">
        <x:f>IF(J1142="","Baru/Tanpa Data",IF(J1142&lt;='Catatan &amp; Sumber'!$B$14,"Sangat Ketat",IF(J1142&lt;='Catatan &amp; Sumber'!$B$15,"Ketat",IF(J1142&lt;='Catatan &amp; Sumber'!$B$16,"Sedang","Relatif Longgar"))))</x:f>
        <x:v>Relatif Longgar</x:v>
      </x:c>
      <x:c r="N1142" s="66" t="str">
        <x:v>Tidak Ada</x:v>
      </x:c>
      <x:c r="O1142" s="66" t="str">
        <x:v>Sumatera Barat</x:v>
      </x:c>
      <x:c r="P1142" s="66" t="str">
        <x:v>Kabupaten Lima Puluh Koto</x:v>
      </x:c>
      <x:c r="Q1142" s="66" t="str">
        <x:v>https://snpmb.id/snbp/daya-tampung-snbp</x:v>
      </x:c>
      <x:c r="R1142" s="66" t="str">
        <x:v>https://sidatagrun-public-1076756628210.asia-southeast2.run.app/ptn_sn.php?ptn=242</x:v>
      </x:c>
    </x:row>
    <x:row r="1143">
      <x:c r="A1143" s="87" t="n">
        <x:v>3091</x:v>
      </x:c>
      <x:c r="B1143" s="66" t="n">
        <x:v>242</x:v>
      </x:c>
      <x:c r="C1143" s="66" t="str">
        <x:v>POLITEKNIK PERTANIAN NEGERI PAYAKUMBUH</x:v>
      </x:c>
      <x:c r="D1143" s="66" t="str">
        <x:v>PTN Vokasi</x:v>
      </x:c>
      <x:c r="E1143" s="66" t="str">
        <x:v>22422002</x:v>
      </x:c>
      <x:c r="F1143" s="66" t="str">
        <x:v>PENGELOLAAN PERKEBUNAN</x:v>
      </x:c>
      <x:c r="G1143" s="66" t="str">
        <x:v>Sarjana Terapan</x:v>
      </x:c>
      <x:c r="H1143" s="87" t="n">
        <x:v>21</x:v>
      </x:c>
      <x:c r="I1143" s="87" t="n">
        <x:v>67</x:v>
      </x:c>
      <x:c r="J1143" s="68" t="n">
        <x:f>IFERROR(H1143/I1143,"")</x:f>
        <x:v>0.31343283582089554</x:v>
      </x:c>
      <x:c r="K1143" s="69" t="n">
        <x:f>IFERROR(I1143/H1143,"")</x:f>
        <x:v>3.1904761904761907</x:v>
      </x:c>
      <x:c r="L1143" s="66" t="str">
        <x:f>IF(K1143="","","1 : "&amp;TEXT(K1143,"0.0"))</x:f>
        <x:v>1 : 3.2</x:v>
      </x:c>
      <x:c r="M1143" s="66" t="str">
        <x:f>IF(J1143="","Baru/Tanpa Data",IF(J1143&lt;='Catatan &amp; Sumber'!$B$14,"Sangat Ketat",IF(J1143&lt;='Catatan &amp; Sumber'!$B$15,"Ketat",IF(J1143&lt;='Catatan &amp; Sumber'!$B$16,"Sedang","Relatif Longgar"))))</x:f>
        <x:v>Relatif Longgar</x:v>
      </x:c>
      <x:c r="N1143" s="66" t="str">
        <x:v>Tidak Ada</x:v>
      </x:c>
      <x:c r="O1143" s="66" t="str">
        <x:v>Sumatera Barat</x:v>
      </x:c>
      <x:c r="P1143" s="66" t="str">
        <x:v>Kabupaten Lima Puluh Koto</x:v>
      </x:c>
      <x:c r="Q1143" s="66" t="str">
        <x:v>https://snpmb.id/snbp/daya-tampung-snbp</x:v>
      </x:c>
      <x:c r="R1143" s="66" t="str">
        <x:v>https://sidatagrun-public-1076756628210.asia-southeast2.run.app/ptn_sn.php?ptn=242</x:v>
      </x:c>
    </x:row>
    <x:row r="1144">
      <x:c r="A1144" s="87" t="n">
        <x:v>4545</x:v>
      </x:c>
      <x:c r="B1144" s="66" t="n">
        <x:v>242</x:v>
      </x:c>
      <x:c r="C1144" s="66" t="str">
        <x:v>POLITEKNIK PERTANIAN NEGERI PAYAKUMBUH</x:v>
      </x:c>
      <x:c r="D1144" s="66" t="str">
        <x:v>PTN Vokasi</x:v>
      </x:c>
      <x:c r="E1144" s="66" t="str">
        <x:v>22422003</x:v>
      </x:c>
      <x:c r="F1144" s="66" t="str">
        <x:v>TEKNOLOGI BENIH</x:v>
      </x:c>
      <x:c r="G1144" s="66" t="str">
        <x:v>Sarjana Terapan</x:v>
      </x:c>
      <x:c r="H1144" s="87" t="n">
        <x:v>21</x:v>
      </x:c>
      <x:c r="I1144" s="87" t="n">
        <x:v>14</x:v>
      </x:c>
      <x:c r="J1144" s="68" t="n">
        <x:f>IFERROR(H1144/I1144,"")</x:f>
        <x:v>1.5</x:v>
      </x:c>
      <x:c r="K1144" s="69" t="n">
        <x:f>IFERROR(I1144/H1144,"")</x:f>
        <x:v>0.6666666666666666</x:v>
      </x:c>
      <x:c r="L1144" s="66" t="str">
        <x:f>IF(K1144="","","1 : "&amp;TEXT(K1144,"0.0"))</x:f>
        <x:v>1 : 0.7</x:v>
      </x:c>
      <x:c r="M1144" s="66" t="str">
        <x:f>IF(J1144="","Baru/Tanpa Data",IF(J1144&lt;='Catatan &amp; Sumber'!$B$14,"Sangat Ketat",IF(J1144&lt;='Catatan &amp; Sumber'!$B$15,"Ketat",IF(J1144&lt;='Catatan &amp; Sumber'!$B$16,"Sedang","Relatif Longgar"))))</x:f>
        <x:v>Relatif Longgar</x:v>
      </x:c>
      <x:c r="N1144" s="66" t="str">
        <x:v>Tidak Ada</x:v>
      </x:c>
      <x:c r="O1144" s="66" t="str">
        <x:v>Sumatera Barat</x:v>
      </x:c>
      <x:c r="P1144" s="66" t="str">
        <x:v>Kabupaten Lima Puluh Koto</x:v>
      </x:c>
      <x:c r="Q1144" s="66" t="str">
        <x:v>https://snpmb.id/snbp/daya-tampung-snbp</x:v>
      </x:c>
      <x:c r="R1144" s="66" t="str">
        <x:v>https://sidatagrun-public-1076756628210.asia-southeast2.run.app/ptn_sn.php?ptn=242</x:v>
      </x:c>
    </x:row>
    <x:row r="1145">
      <x:c r="A1145" s="87" t="n">
        <x:v>4186</x:v>
      </x:c>
      <x:c r="B1145" s="66" t="n">
        <x:v>242</x:v>
      </x:c>
      <x:c r="C1145" s="66" t="str">
        <x:v>POLITEKNIK PERTANIAN NEGERI PAYAKUMBUH</x:v>
      </x:c>
      <x:c r="D1145" s="66" t="str">
        <x:v>PTN Vokasi</x:v>
      </x:c>
      <x:c r="E1145" s="66" t="str">
        <x:v>22422004</x:v>
      </x:c>
      <x:c r="F1145" s="66" t="str">
        <x:v>TEKNOLOGI REKAYASA PANGAN</x:v>
      </x:c>
      <x:c r="G1145" s="66" t="str">
        <x:v>Sarjana Terapan</x:v>
      </x:c>
      <x:c r="H1145" s="87" t="n">
        <x:v>21</x:v>
      </x:c>
      <x:c r="I1145" s="87" t="n">
        <x:v>25</x:v>
      </x:c>
      <x:c r="J1145" s="68" t="n">
        <x:f>IFERROR(H1145/I1145,"")</x:f>
        <x:v>0.84</x:v>
      </x:c>
      <x:c r="K1145" s="69" t="n">
        <x:f>IFERROR(I1145/H1145,"")</x:f>
        <x:v>1.1904761904761905</x:v>
      </x:c>
      <x:c r="L1145" s="66" t="str">
        <x:f>IF(K1145="","","1 : "&amp;TEXT(K1145,"0.0"))</x:f>
        <x:v>1 : 1.2</x:v>
      </x:c>
      <x:c r="M1145" s="66" t="str">
        <x:f>IF(J1145="","Baru/Tanpa Data",IF(J1145&lt;='Catatan &amp; Sumber'!$B$14,"Sangat Ketat",IF(J1145&lt;='Catatan &amp; Sumber'!$B$15,"Ketat",IF(J1145&lt;='Catatan &amp; Sumber'!$B$16,"Sedang","Relatif Longgar"))))</x:f>
        <x:v>Relatif Longgar</x:v>
      </x:c>
      <x:c r="N1145" s="66" t="str">
        <x:v>Tidak Ada</x:v>
      </x:c>
      <x:c r="O1145" s="66" t="str">
        <x:v>Sumatera Barat</x:v>
      </x:c>
      <x:c r="P1145" s="66" t="str">
        <x:v>Kabupaten Lima Puluh Koto</x:v>
      </x:c>
      <x:c r="Q1145" s="66" t="str">
        <x:v>https://snpmb.id/snbp/daya-tampung-snbp</x:v>
      </x:c>
      <x:c r="R1145" s="66" t="str">
        <x:v>https://sidatagrun-public-1076756628210.asia-southeast2.run.app/ptn_sn.php?ptn=242</x:v>
      </x:c>
    </x:row>
    <x:row r="1146">
      <x:c r="A1146" s="87" t="n">
        <x:v>3588</x:v>
      </x:c>
      <x:c r="B1146" s="66" t="n">
        <x:v>242</x:v>
      </x:c>
      <x:c r="C1146" s="66" t="str">
        <x:v>POLITEKNIK PERTANIAN NEGERI PAYAKUMBUH</x:v>
      </x:c>
      <x:c r="D1146" s="66" t="str">
        <x:v>PTN Vokasi</x:v>
      </x:c>
      <x:c r="E1146" s="66" t="str">
        <x:v>22422005</x:v>
      </x:c>
      <x:c r="F1146" s="66" t="str">
        <x:v>TEKNOLOGI REKAYASA KOMPUTER</x:v>
      </x:c>
      <x:c r="G1146" s="66" t="str">
        <x:v>Sarjana Terapan</x:v>
      </x:c>
      <x:c r="H1146" s="87" t="n">
        <x:v>21</x:v>
      </x:c>
      <x:c r="I1146" s="87" t="n">
        <x:v>45</x:v>
      </x:c>
      <x:c r="J1146" s="68" t="n">
        <x:f>IFERROR(H1146/I1146,"")</x:f>
        <x:v>0.4666666666666667</x:v>
      </x:c>
      <x:c r="K1146" s="69" t="n">
        <x:f>IFERROR(I1146/H1146,"")</x:f>
        <x:v>2.142857142857143</x:v>
      </x:c>
      <x:c r="L1146" s="66" t="str">
        <x:f>IF(K1146="","","1 : "&amp;TEXT(K1146,"0.0"))</x:f>
        <x:v>1 : 2.1</x:v>
      </x:c>
      <x:c r="M1146" s="66" t="str">
        <x:f>IF(J1146="","Baru/Tanpa Data",IF(J1146&lt;='Catatan &amp; Sumber'!$B$14,"Sangat Ketat",IF(J1146&lt;='Catatan &amp; Sumber'!$B$15,"Ketat",IF(J1146&lt;='Catatan &amp; Sumber'!$B$16,"Sedang","Relatif Longgar"))))</x:f>
        <x:v>Relatif Longgar</x:v>
      </x:c>
      <x:c r="N1146" s="66" t="str">
        <x:v>Tidak Ada</x:v>
      </x:c>
      <x:c r="O1146" s="66" t="str">
        <x:v>Sumatera Barat</x:v>
      </x:c>
      <x:c r="P1146" s="66" t="str">
        <x:v>Kabupaten Lima Puluh Koto</x:v>
      </x:c>
      <x:c r="Q1146" s="66" t="str">
        <x:v>https://snpmb.id/snbp/daya-tampung-snbp</x:v>
      </x:c>
      <x:c r="R1146" s="66" t="str">
        <x:v>https://sidatagrun-public-1076756628210.asia-southeast2.run.app/ptn_sn.php?ptn=242</x:v>
      </x:c>
    </x:row>
    <x:row r="1147">
      <x:c r="A1147" s="87" t="n">
        <x:v>4004</x:v>
      </x:c>
      <x:c r="B1147" s="66" t="n">
        <x:v>242</x:v>
      </x:c>
      <x:c r="C1147" s="66" t="str">
        <x:v>POLITEKNIK PERTANIAN NEGERI PAYAKUMBUH</x:v>
      </x:c>
      <x:c r="D1147" s="66" t="str">
        <x:v>PTN Vokasi</x:v>
      </x:c>
      <x:c r="E1147" s="66" t="str">
        <x:v>22422006</x:v>
      </x:c>
      <x:c r="F1147" s="66" t="str">
        <x:v>TEKNOLOGI PRODUKSI TERNAK</x:v>
      </x:c>
      <x:c r="G1147" s="66" t="str">
        <x:v>Sarjana Terapan</x:v>
      </x:c>
      <x:c r="H1147" s="87" t="n">
        <x:v>31</x:v>
      </x:c>
      <x:c r="I1147" s="87" t="n">
        <x:v>45</x:v>
      </x:c>
      <x:c r="J1147" s="68" t="n">
        <x:f>IFERROR(H1147/I1147,"")</x:f>
        <x:v>0.6888888888888889</x:v>
      </x:c>
      <x:c r="K1147" s="69" t="n">
        <x:f>IFERROR(I1147/H1147,"")</x:f>
        <x:v>1.4516129032258065</x:v>
      </x:c>
      <x:c r="L1147" s="66" t="str">
        <x:f>IF(K1147="","","1 : "&amp;TEXT(K1147,"0.0"))</x:f>
        <x:v>1 : 1.5</x:v>
      </x:c>
      <x:c r="M1147" s="66" t="str">
        <x:f>IF(J1147="","Baru/Tanpa Data",IF(J1147&lt;='Catatan &amp; Sumber'!$B$14,"Sangat Ketat",IF(J1147&lt;='Catatan &amp; Sumber'!$B$15,"Ketat",IF(J1147&lt;='Catatan &amp; Sumber'!$B$16,"Sedang","Relatif Longgar"))))</x:f>
        <x:v>Relatif Longgar</x:v>
      </x:c>
      <x:c r="N1147" s="66" t="str">
        <x:v>Tidak Ada</x:v>
      </x:c>
      <x:c r="O1147" s="66" t="str">
        <x:v>Sumatera Barat</x:v>
      </x:c>
      <x:c r="P1147" s="66" t="str">
        <x:v>Kabupaten Lima Puluh Koto</x:v>
      </x:c>
      <x:c r="Q1147" s="66" t="str">
        <x:v>https://snpmb.id/snbp/daya-tampung-snbp</x:v>
      </x:c>
      <x:c r="R1147" s="66" t="str">
        <x:v>https://sidatagrun-public-1076756628210.asia-southeast2.run.app/ptn_sn.php?ptn=242</x:v>
      </x:c>
    </x:row>
    <x:row r="1148">
      <x:c r="A1148" s="87" t="n">
        <x:v>4060</x:v>
      </x:c>
      <x:c r="B1148" s="66" t="n">
        <x:v>242</x:v>
      </x:c>
      <x:c r="C1148" s="66" t="str">
        <x:v>POLITEKNIK PERTANIAN NEGERI PAYAKUMBUH</x:v>
      </x:c>
      <x:c r="D1148" s="66" t="str">
        <x:v>PTN Vokasi</x:v>
      </x:c>
      <x:c r="E1148" s="66" t="str">
        <x:v>22422007</x:v>
      </x:c>
      <x:c r="F1148" s="66" t="str">
        <x:v>TEKNOLOGI PRODUKSI TANAMAN PANGAN</x:v>
      </x:c>
      <x:c r="G1148" s="66" t="str">
        <x:v>Sarjana Terapan</x:v>
      </x:c>
      <x:c r="H1148" s="87" t="n">
        <x:v>21</x:v>
      </x:c>
      <x:c r="I1148" s="87" t="n">
        <x:v>29</x:v>
      </x:c>
      <x:c r="J1148" s="68" t="n">
        <x:f>IFERROR(H1148/I1148,"")</x:f>
        <x:v>0.7241379310344828</x:v>
      </x:c>
      <x:c r="K1148" s="69" t="n">
        <x:f>IFERROR(I1148/H1148,"")</x:f>
        <x:v>1.380952380952381</x:v>
      </x:c>
      <x:c r="L1148" s="66" t="str">
        <x:f>IF(K1148="","","1 : "&amp;TEXT(K1148,"0.0"))</x:f>
        <x:v>1 : 1.4</x:v>
      </x:c>
      <x:c r="M1148" s="66" t="str">
        <x:f>IF(J1148="","Baru/Tanpa Data",IF(J1148&lt;='Catatan &amp; Sumber'!$B$14,"Sangat Ketat",IF(J1148&lt;='Catatan &amp; Sumber'!$B$15,"Ketat",IF(J1148&lt;='Catatan &amp; Sumber'!$B$16,"Sedang","Relatif Longgar"))))</x:f>
        <x:v>Relatif Longgar</x:v>
      </x:c>
      <x:c r="N1148" s="66" t="str">
        <x:v>Tidak Ada</x:v>
      </x:c>
      <x:c r="O1148" s="66" t="str">
        <x:v>Sumatera Barat</x:v>
      </x:c>
      <x:c r="P1148" s="66" t="str">
        <x:v>Kabupaten Lima Puluh Koto</x:v>
      </x:c>
      <x:c r="Q1148" s="66" t="str">
        <x:v>https://snpmb.id/snbp/daya-tampung-snbp</x:v>
      </x:c>
      <x:c r="R1148" s="66" t="str">
        <x:v>https://sidatagrun-public-1076756628210.asia-southeast2.run.app/ptn_sn.php?ptn=242</x:v>
      </x:c>
    </x:row>
    <x:row r="1149">
      <x:c r="A1149" s="87" t="n">
        <x:v>3720</x:v>
      </x:c>
      <x:c r="B1149" s="66" t="n">
        <x:v>242</x:v>
      </x:c>
      <x:c r="C1149" s="66" t="str">
        <x:v>POLITEKNIK PERTANIAN NEGERI PAYAKUMBUH</x:v>
      </x:c>
      <x:c r="D1149" s="66" t="str">
        <x:v>PTN Vokasi</x:v>
      </x:c>
      <x:c r="E1149" s="66" t="str">
        <x:v>22422017</x:v>
      </x:c>
      <x:c r="F1149" s="66" t="str">
        <x:v>TEKNOLOGI PRODUKSI TANAMAN PERKEBUNAN</x:v>
      </x:c>
      <x:c r="G1149" s="66" t="str">
        <x:v>Sarjana Terapan</x:v>
      </x:c>
      <x:c r="H1149" s="87" t="n">
        <x:v>21</x:v>
      </x:c>
      <x:c r="I1149" s="87" t="n">
        <x:v>40</x:v>
      </x:c>
      <x:c r="J1149" s="68" t="n">
        <x:f>IFERROR(H1149/I1149,"")</x:f>
        <x:v>0.525</x:v>
      </x:c>
      <x:c r="K1149" s="69" t="n">
        <x:f>IFERROR(I1149/H1149,"")</x:f>
        <x:v>1.9047619047619047</x:v>
      </x:c>
      <x:c r="L1149" s="66" t="str">
        <x:f>IF(K1149="","","1 : "&amp;TEXT(K1149,"0.0"))</x:f>
        <x:v>1 : 1.9</x:v>
      </x:c>
      <x:c r="M1149" s="66" t="str">
        <x:f>IF(J1149="","Baru/Tanpa Data",IF(J1149&lt;='Catatan &amp; Sumber'!$B$14,"Sangat Ketat",IF(J1149&lt;='Catatan &amp; Sumber'!$B$15,"Ketat",IF(J1149&lt;='Catatan &amp; Sumber'!$B$16,"Sedang","Relatif Longgar"))))</x:f>
        <x:v>Relatif Longgar</x:v>
      </x:c>
      <x:c r="N1149" s="66" t="str">
        <x:v>Tidak Ada</x:v>
      </x:c>
      <x:c r="O1149" s="66" t="str">
        <x:v>Sumatera Barat</x:v>
      </x:c>
      <x:c r="P1149" s="66" t="str">
        <x:v>Kabupaten Lima Puluh Koto</x:v>
      </x:c>
      <x:c r="Q1149" s="66" t="str">
        <x:v>https://snpmb.id/snbp/daya-tampung-snbp</x:v>
      </x:c>
      <x:c r="R1149" s="66" t="str">
        <x:v>https://sidatagrun-public-1076756628210.asia-southeast2.run.app/ptn_sn.php?ptn=242</x:v>
      </x:c>
    </x:row>
    <x:row r="1150">
      <x:c r="A1150" s="87"/>
      <x:c r="B1150" s="66" t="n">
        <x:v>242</x:v>
      </x:c>
      <x:c r="C1150" s="66" t="str">
        <x:v>POLITEKNIK PERTANIAN NEGERI PAYAKUMBUH</x:v>
      </x:c>
      <x:c r="D1150" s="66" t="str">
        <x:v>PTN Vokasi</x:v>
      </x:c>
      <x:c r="E1150" s="66" t="str">
        <x:v>22422018</x:v>
      </x:c>
      <x:c r="F1150" s="66" t="str">
        <x:v>SAINS DATA TERAPAN</x:v>
      </x:c>
      <x:c r="G1150" s="66" t="str">
        <x:v>Sarjana Terapan</x:v>
      </x:c>
      <x:c r="H1150" s="87" t="n">
        <x:v>11</x:v>
      </x:c>
      <x:c r="I1150" s="87"/>
      <x:c r="J1150" s="68" t="str">
        <x:f>IFERROR(H1150/I1150,"")</x:f>
      </x:c>
      <x:c r="K1150" s="69" t="n">
        <x:f>IFERROR(I1150/H1150,"")</x:f>
        <x:v>0</x:v>
      </x:c>
      <x:c r="L1150" s="66" t="str">
        <x:f>IF(K1150="","","1 : "&amp;TEXT(K1150,"0.0"))</x:f>
      </x:c>
      <x:c r="M1150" s="66" t="str">
        <x:f>IF(J1150="","Baru/Tanpa Data",IF(J1150&lt;='Catatan &amp; Sumber'!$B$14,"Sangat Ketat",IF(J1150&lt;='Catatan &amp; Sumber'!$B$15,"Ketat",IF(J1150&lt;='Catatan &amp; Sumber'!$B$16,"Sedang","Relatif Longgar"))))</x:f>
        <x:v>Baru/Tanpa Data</x:v>
      </x:c>
      <x:c r="N1150" s="66" t="str">
        <x:v>Tidak Ada</x:v>
      </x:c>
      <x:c r="O1150" s="66" t="str">
        <x:v>Sumatera Barat</x:v>
      </x:c>
      <x:c r="P1150" s="66" t="str">
        <x:v>Kabupaten Lima Puluh Koto</x:v>
      </x:c>
      <x:c r="Q1150" s="66" t="str">
        <x:v>https://snpmb.id/snbp/daya-tampung-snbp</x:v>
      </x:c>
      <x:c r="R1150" s="66" t="str">
        <x:v>https://sidatagrun-public-1076756628210.asia-southeast2.run.app/ptn_sn.php?ptn=242</x:v>
      </x:c>
    </x:row>
    <x:row r="1151">
      <x:c r="A1151" s="87" t="n">
        <x:v>4492</x:v>
      </x:c>
      <x:c r="B1151" s="66" t="n">
        <x:v>242</x:v>
      </x:c>
      <x:c r="C1151" s="66" t="str">
        <x:v>POLITEKNIK PERTANIAN NEGERI PAYAKUMBUH</x:v>
      </x:c>
      <x:c r="D1151" s="66" t="str">
        <x:v>PTN Vokasi</x:v>
      </x:c>
      <x:c r="E1151" s="66" t="str">
        <x:v>22423008</x:v>
      </x:c>
      <x:c r="F1151" s="66" t="str">
        <x:v>TEKNOLOGI MEKANISASI PERTANIAN</x:v>
      </x:c>
      <x:c r="G1151" s="66" t="str">
        <x:v>Diploma Tiga</x:v>
      </x:c>
      <x:c r="H1151" s="87" t="n">
        <x:v>21</x:v>
      </x:c>
      <x:c r="I1151" s="87" t="n">
        <x:v>16</x:v>
      </x:c>
      <x:c r="J1151" s="68" t="n">
        <x:f>IFERROR(H1151/I1151,"")</x:f>
        <x:v>1.3125</x:v>
      </x:c>
      <x:c r="K1151" s="69" t="n">
        <x:f>IFERROR(I1151/H1151,"")</x:f>
        <x:v>0.7619047619047619</x:v>
      </x:c>
      <x:c r="L1151" s="66" t="str">
        <x:f>IF(K1151="","","1 : "&amp;TEXT(K1151,"0.0"))</x:f>
        <x:v>1 : 0.8</x:v>
      </x:c>
      <x:c r="M1151" s="66" t="str">
        <x:f>IF(J1151="","Baru/Tanpa Data",IF(J1151&lt;='Catatan &amp; Sumber'!$B$14,"Sangat Ketat",IF(J1151&lt;='Catatan &amp; Sumber'!$B$15,"Ketat",IF(J1151&lt;='Catatan &amp; Sumber'!$B$16,"Sedang","Relatif Longgar"))))</x:f>
        <x:v>Relatif Longgar</x:v>
      </x:c>
      <x:c r="N1151" s="66" t="str">
        <x:v>Tidak Ada</x:v>
      </x:c>
      <x:c r="O1151" s="66" t="str">
        <x:v>Sumatera Barat</x:v>
      </x:c>
      <x:c r="P1151" s="66" t="str">
        <x:v>Kabupaten Lima Puluh Koto</x:v>
      </x:c>
      <x:c r="Q1151" s="66" t="str">
        <x:v>https://snpmb.id/snbp/daya-tampung-snbp</x:v>
      </x:c>
      <x:c r="R1151" s="66" t="str">
        <x:v>https://sidatagrun-public-1076756628210.asia-southeast2.run.app/ptn_sn.php?ptn=242</x:v>
      </x:c>
    </x:row>
    <x:row r="1152">
      <x:c r="A1152" s="87" t="n">
        <x:v>4545</x:v>
      </x:c>
      <x:c r="B1152" s="66" t="n">
        <x:v>242</x:v>
      </x:c>
      <x:c r="C1152" s="66" t="str">
        <x:v>POLITEKNIK PERTANIAN NEGERI PAYAKUMBUH</x:v>
      </x:c>
      <x:c r="D1152" s="66" t="str">
        <x:v>PTN Vokasi</x:v>
      </x:c>
      <x:c r="E1152" s="66" t="str">
        <x:v>22423010</x:v>
      </x:c>
      <x:c r="F1152" s="66" t="str">
        <x:v>TEKNOLOGI PANGAN</x:v>
      </x:c>
      <x:c r="G1152" s="66" t="str">
        <x:v>Diploma Tiga</x:v>
      </x:c>
      <x:c r="H1152" s="87" t="n">
        <x:v>21</x:v>
      </x:c>
      <x:c r="I1152" s="87" t="n">
        <x:v>14</x:v>
      </x:c>
      <x:c r="J1152" s="68" t="n">
        <x:f>IFERROR(H1152/I1152,"")</x:f>
        <x:v>1.5</x:v>
      </x:c>
      <x:c r="K1152" s="69" t="n">
        <x:f>IFERROR(I1152/H1152,"")</x:f>
        <x:v>0.6666666666666666</x:v>
      </x:c>
      <x:c r="L1152" s="66" t="str">
        <x:f>IF(K1152="","","1 : "&amp;TEXT(K1152,"0.0"))</x:f>
        <x:v>1 : 0.7</x:v>
      </x:c>
      <x:c r="M1152" s="66" t="str">
        <x:f>IF(J1152="","Baru/Tanpa Data",IF(J1152&lt;='Catatan &amp; Sumber'!$B$14,"Sangat Ketat",IF(J1152&lt;='Catatan &amp; Sumber'!$B$15,"Ketat",IF(J1152&lt;='Catatan &amp; Sumber'!$B$16,"Sedang","Relatif Longgar"))))</x:f>
        <x:v>Relatif Longgar</x:v>
      </x:c>
      <x:c r="N1152" s="66" t="str">
        <x:v>Tidak Ada</x:v>
      </x:c>
      <x:c r="O1152" s="66" t="str">
        <x:v>Sumatera Barat</x:v>
      </x:c>
      <x:c r="P1152" s="66" t="str">
        <x:v>Kabupaten Lima Puluh Koto</x:v>
      </x:c>
      <x:c r="Q1152" s="66" t="str">
        <x:v>https://snpmb.id/snbp/daya-tampung-snbp</x:v>
      </x:c>
      <x:c r="R1152" s="66" t="str">
        <x:v>https://sidatagrun-public-1076756628210.asia-southeast2.run.app/ptn_sn.php?ptn=242</x:v>
      </x:c>
    </x:row>
    <x:row r="1153">
      <x:c r="A1153" s="87" t="n">
        <x:v>4170</x:v>
      </x:c>
      <x:c r="B1153" s="66" t="n">
        <x:v>242</x:v>
      </x:c>
      <x:c r="C1153" s="66" t="str">
        <x:v>POLITEKNIK PERTANIAN NEGERI PAYAKUMBUH</x:v>
      </x:c>
      <x:c r="D1153" s="66" t="str">
        <x:v>PTN Vokasi</x:v>
      </x:c>
      <x:c r="E1153" s="66" t="str">
        <x:v>22423011</x:v>
      </x:c>
      <x:c r="F1153" s="66" t="str">
        <x:v>AGRIBISNIS</x:v>
      </x:c>
      <x:c r="G1153" s="66" t="str">
        <x:v>Diploma Tiga</x:v>
      </x:c>
      <x:c r="H1153" s="87" t="n">
        <x:v>30</x:v>
      </x:c>
      <x:c r="I1153" s="87" t="n">
        <x:v>36</x:v>
      </x:c>
      <x:c r="J1153" s="68" t="n">
        <x:f>IFERROR(H1153/I1153,"")</x:f>
        <x:v>0.8333333333333334</x:v>
      </x:c>
      <x:c r="K1153" s="69" t="n">
        <x:f>IFERROR(I1153/H1153,"")</x:f>
        <x:v>1.2</x:v>
      </x:c>
      <x:c r="L1153" s="66" t="str">
        <x:f>IF(K1153="","","1 : "&amp;TEXT(K1153,"0.0"))</x:f>
        <x:v>1 : 1.2</x:v>
      </x:c>
      <x:c r="M1153" s="66" t="str">
        <x:f>IF(J1153="","Baru/Tanpa Data",IF(J1153&lt;='Catatan &amp; Sumber'!$B$14,"Sangat Ketat",IF(J1153&lt;='Catatan &amp; Sumber'!$B$15,"Ketat",IF(J1153&lt;='Catatan &amp; Sumber'!$B$16,"Sedang","Relatif Longgar"))))</x:f>
        <x:v>Relatif Longgar</x:v>
      </x:c>
      <x:c r="N1153" s="66" t="str">
        <x:v>Tidak Ada</x:v>
      </x:c>
      <x:c r="O1153" s="66" t="str">
        <x:v>Sumatera Barat</x:v>
      </x:c>
      <x:c r="P1153" s="66" t="str">
        <x:v>Kabupaten Lima Puluh Koto</x:v>
      </x:c>
      <x:c r="Q1153" s="66" t="str">
        <x:v>https://snpmb.id/snbp/daya-tampung-snbp</x:v>
      </x:c>
      <x:c r="R1153" s="66" t="str">
        <x:v>https://sidatagrun-public-1076756628210.asia-southeast2.run.app/ptn_sn.php?ptn=242</x:v>
      </x:c>
    </x:row>
    <x:row r="1154">
      <x:c r="A1154" s="87" t="n">
        <x:v>4829</x:v>
      </x:c>
      <x:c r="B1154" s="66" t="n">
        <x:v>242</x:v>
      </x:c>
      <x:c r="C1154" s="66" t="str">
        <x:v>POLITEKNIK PERTANIAN NEGERI PAYAKUMBUH</x:v>
      </x:c>
      <x:c r="D1154" s="66" t="str">
        <x:v>PTN Vokasi</x:v>
      </x:c>
      <x:c r="E1154" s="66" t="str">
        <x:v>22423013</x:v>
      </x:c>
      <x:c r="F1154" s="66" t="str">
        <x:v>TATA AIR PERTANIAN</x:v>
      </x:c>
      <x:c r="G1154" s="66" t="str">
        <x:v>Diploma Tiga</x:v>
      </x:c>
      <x:c r="H1154" s="87" t="n">
        <x:v>21</x:v>
      </x:c>
      <x:c r="I1154" s="87" t="n">
        <x:v>5</x:v>
      </x:c>
      <x:c r="J1154" s="68" t="n">
        <x:f>IFERROR(H1154/I1154,"")</x:f>
        <x:v>4.2</x:v>
      </x:c>
      <x:c r="K1154" s="69" t="n">
        <x:f>IFERROR(I1154/H1154,"")</x:f>
        <x:v>0.23809523809523808</x:v>
      </x:c>
      <x:c r="L1154" s="66" t="str">
        <x:f>IF(K1154="","","1 : "&amp;TEXT(K1154,"0.0"))</x:f>
        <x:v>1 : 0.2</x:v>
      </x:c>
      <x:c r="M1154" s="66" t="str">
        <x:f>IF(J1154="","Baru/Tanpa Data",IF(J1154&lt;='Catatan &amp; Sumber'!$B$14,"Sangat Ketat",IF(J1154&lt;='Catatan &amp; Sumber'!$B$15,"Ketat",IF(J1154&lt;='Catatan &amp; Sumber'!$B$16,"Sedang","Relatif Longgar"))))</x:f>
        <x:v>Relatif Longgar</x:v>
      </x:c>
      <x:c r="N1154" s="66" t="str">
        <x:v>Tidak Ada</x:v>
      </x:c>
      <x:c r="O1154" s="66" t="str">
        <x:v>Sumatera Barat</x:v>
      </x:c>
      <x:c r="P1154" s="66" t="str">
        <x:v>Kabupaten Lima Puluh Koto</x:v>
      </x:c>
      <x:c r="Q1154" s="66" t="str">
        <x:v>https://snpmb.id/snbp/daya-tampung-snbp</x:v>
      </x:c>
      <x:c r="R1154" s="66" t="str">
        <x:v>https://sidatagrun-public-1076756628210.asia-southeast2.run.app/ptn_sn.php?ptn=242</x:v>
      </x:c>
    </x:row>
    <x:row r="1155">
      <x:c r="A1155" s="87" t="n">
        <x:v>3889</x:v>
      </x:c>
      <x:c r="B1155" s="66" t="n">
        <x:v>242</x:v>
      </x:c>
      <x:c r="C1155" s="66" t="str">
        <x:v>POLITEKNIK PERTANIAN NEGERI PAYAKUMBUH</x:v>
      </x:c>
      <x:c r="D1155" s="66" t="str">
        <x:v>PTN Vokasi</x:v>
      </x:c>
      <x:c r="E1155" s="66" t="str">
        <x:v>22423015</x:v>
      </x:c>
      <x:c r="F1155" s="66" t="str">
        <x:v>PARAMEDIK VETERINER</x:v>
      </x:c>
      <x:c r="G1155" s="66" t="str">
        <x:v>Diploma Tiga</x:v>
      </x:c>
      <x:c r="H1155" s="87" t="n">
        <x:v>21</x:v>
      </x:c>
      <x:c r="I1155" s="87" t="n">
        <x:v>34</x:v>
      </x:c>
      <x:c r="J1155" s="68" t="n">
        <x:f>IFERROR(H1155/I1155,"")</x:f>
        <x:v>0.6176470588235294</x:v>
      </x:c>
      <x:c r="K1155" s="69" t="n">
        <x:f>IFERROR(I1155/H1155,"")</x:f>
        <x:v>1.619047619047619</x:v>
      </x:c>
      <x:c r="L1155" s="66" t="str">
        <x:f>IF(K1155="","","1 : "&amp;TEXT(K1155,"0.0"))</x:f>
        <x:v>1 : 1.6</x:v>
      </x:c>
      <x:c r="M1155" s="66" t="str">
        <x:f>IF(J1155="","Baru/Tanpa Data",IF(J1155&lt;='Catatan &amp; Sumber'!$B$14,"Sangat Ketat",IF(J1155&lt;='Catatan &amp; Sumber'!$B$15,"Ketat",IF(J1155&lt;='Catatan &amp; Sumber'!$B$16,"Sedang","Relatif Longgar"))))</x:f>
        <x:v>Relatif Longgar</x:v>
      </x:c>
      <x:c r="N1155" s="66" t="str">
        <x:v>Tidak Ada</x:v>
      </x:c>
      <x:c r="O1155" s="66" t="str">
        <x:v>Sumatera Barat</x:v>
      </x:c>
      <x:c r="P1155" s="66" t="str">
        <x:v>Kabupaten Lima Puluh Koto</x:v>
      </x:c>
      <x:c r="Q1155" s="66" t="str">
        <x:v>https://snpmb.id/snbp/daya-tampung-snbp</x:v>
      </x:c>
      <x:c r="R1155" s="66" t="str">
        <x:v>https://sidatagrun-public-1076756628210.asia-southeast2.run.app/ptn_sn.php?ptn=242</x:v>
      </x:c>
    </x:row>
    <x:row r="1156">
      <x:c r="A1156" s="87" t="n">
        <x:v>4627</x:v>
      </x:c>
      <x:c r="B1156" s="66" t="n">
        <x:v>242</x:v>
      </x:c>
      <x:c r="C1156" s="66" t="str">
        <x:v>POLITEKNIK PERTANIAN NEGERI PAYAKUMBUH</x:v>
      </x:c>
      <x:c r="D1156" s="66" t="str">
        <x:v>PTN Vokasi</x:v>
      </x:c>
      <x:c r="E1156" s="66" t="str">
        <x:v>22423016</x:v>
      </x:c>
      <x:c r="F1156" s="66" t="str">
        <x:v>BUDI DAYA TANAMAN HORTIKULTURA</x:v>
      </x:c>
      <x:c r="G1156" s="66" t="str">
        <x:v>Diploma Tiga</x:v>
      </x:c>
      <x:c r="H1156" s="87" t="n">
        <x:v>21</x:v>
      </x:c>
      <x:c r="I1156" s="87" t="n">
        <x:v>12</x:v>
      </x:c>
      <x:c r="J1156" s="68" t="n">
        <x:f>IFERROR(H1156/I1156,"")</x:f>
        <x:v>1.75</x:v>
      </x:c>
      <x:c r="K1156" s="69" t="n">
        <x:f>IFERROR(I1156/H1156,"")</x:f>
        <x:v>0.5714285714285714</x:v>
      </x:c>
      <x:c r="L1156" s="66" t="str">
        <x:f>IF(K1156="","","1 : "&amp;TEXT(K1156,"0.0"))</x:f>
        <x:v>1 : 0.6</x:v>
      </x:c>
      <x:c r="M1156" s="66" t="str">
        <x:f>IF(J1156="","Baru/Tanpa Data",IF(J1156&lt;='Catatan &amp; Sumber'!$B$14,"Sangat Ketat",IF(J1156&lt;='Catatan &amp; Sumber'!$B$15,"Ketat",IF(J1156&lt;='Catatan &amp; Sumber'!$B$16,"Sedang","Relatif Longgar"))))</x:f>
        <x:v>Relatif Longgar</x:v>
      </x:c>
      <x:c r="N1156" s="66" t="str">
        <x:v>Tidak Ada</x:v>
      </x:c>
      <x:c r="O1156" s="66" t="str">
        <x:v>Sumatera Barat</x:v>
      </x:c>
      <x:c r="P1156" s="66" t="str">
        <x:v>Kabupaten Lima Puluh Koto</x:v>
      </x:c>
      <x:c r="Q1156" s="66" t="str">
        <x:v>https://snpmb.id/snbp/daya-tampung-snbp</x:v>
      </x:c>
      <x:c r="R1156" s="66" t="str">
        <x:v>https://sidatagrun-public-1076756628210.asia-southeast2.run.app/ptn_sn.php?ptn=242</x:v>
      </x:c>
    </x:row>
    <x:row r="1157">
      <x:c r="A1157" s="87" t="n">
        <x:v>3025</x:v>
      </x:c>
      <x:c r="B1157" s="66" t="n">
        <x:v>271</x:v>
      </x:c>
      <x:c r="C1157" s="66" t="str">
        <x:v>POLITEKNIK NEGERI SRIWIJAYA</x:v>
      </x:c>
      <x:c r="D1157" s="66" t="str">
        <x:v>PTN Vokasi</x:v>
      </x:c>
      <x:c r="E1157" s="66" t="str">
        <x:v>22712001</x:v>
      </x:c>
      <x:c r="F1157" s="66" t="str">
        <x:v>PERANCANGAN JALAN DAN JEMBATAN</x:v>
      </x:c>
      <x:c r="G1157" s="66" t="str">
        <x:v>Sarjana Terapan</x:v>
      </x:c>
      <x:c r="H1157" s="87" t="n">
        <x:v>48</x:v>
      </x:c>
      <x:c r="I1157" s="87" t="n">
        <x:v>160</x:v>
      </x:c>
      <x:c r="J1157" s="68" t="n">
        <x:f>IFERROR(H1157/I1157,"")</x:f>
        <x:v>0.3</x:v>
      </x:c>
      <x:c r="K1157" s="69" t="n">
        <x:f>IFERROR(I1157/H1157,"")</x:f>
        <x:v>3.3333333333333335</x:v>
      </x:c>
      <x:c r="L1157" s="66" t="str">
        <x:f>IF(K1157="","","1 : "&amp;TEXT(K1157,"0.0"))</x:f>
        <x:v>1 : 3.3</x:v>
      </x:c>
      <x:c r="M1157" s="66" t="str">
        <x:f>IF(J1157="","Baru/Tanpa Data",IF(J1157&lt;='Catatan &amp; Sumber'!$B$14,"Sangat Ketat",IF(J1157&lt;='Catatan &amp; Sumber'!$B$15,"Ketat",IF(J1157&lt;='Catatan &amp; Sumber'!$B$16,"Sedang","Relatif Longgar"))))</x:f>
        <x:v>Relatif Longgar</x:v>
      </x:c>
      <x:c r="N1157" s="66" t="str">
        <x:v>Tidak Ada</x:v>
      </x:c>
      <x:c r="O1157" s="66" t="str">
        <x:v>Sumatera Selatan</x:v>
      </x:c>
      <x:c r="P1157" s="66" t="str">
        <x:v>Kota Palembang</x:v>
      </x:c>
      <x:c r="Q1157" s="66" t="str">
        <x:v>https://snpmb.id/snbp/daya-tampung-snbp</x:v>
      </x:c>
      <x:c r="R1157" s="66" t="str">
        <x:v>https://sidatagrun-public-1076756628210.asia-southeast2.run.app/ptn_sn.php?ptn=271</x:v>
      </x:c>
    </x:row>
    <x:row r="1158">
      <x:c r="A1158" s="87" t="n">
        <x:v>2686</x:v>
      </x:c>
      <x:c r="B1158" s="66" t="n">
        <x:v>271</x:v>
      </x:c>
      <x:c r="C1158" s="66" t="str">
        <x:v>POLITEKNIK NEGERI SRIWIJAYA</x:v>
      </x:c>
      <x:c r="D1158" s="66" t="str">
        <x:v>PTN Vokasi</x:v>
      </x:c>
      <x:c r="E1158" s="66" t="str">
        <x:v>22712002</x:v>
      </x:c>
      <x:c r="F1158" s="66" t="str">
        <x:v>TEKNIK MESIN PRODUKSI DAN PERAWATAN</x:v>
      </x:c>
      <x:c r="G1158" s="66" t="str">
        <x:v>Sarjana Terapan</x:v>
      </x:c>
      <x:c r="H1158" s="87" t="n">
        <x:v>60</x:v>
      </x:c>
      <x:c r="I1158" s="87" t="n">
        <x:v>249</x:v>
      </x:c>
      <x:c r="J1158" s="68" t="n">
        <x:f>IFERROR(H1158/I1158,"")</x:f>
        <x:v>0.24096385542168675</x:v>
      </x:c>
      <x:c r="K1158" s="69" t="n">
        <x:f>IFERROR(I1158/H1158,"")</x:f>
        <x:v>4.15</x:v>
      </x:c>
      <x:c r="L1158" s="66" t="str">
        <x:f>IF(K1158="","","1 : "&amp;TEXT(K1158,"0.0"))</x:f>
        <x:v>1 : 4.2</x:v>
      </x:c>
      <x:c r="M1158" s="66" t="str">
        <x:f>IF(J1158="","Baru/Tanpa Data",IF(J1158&lt;='Catatan &amp; Sumber'!$B$14,"Sangat Ketat",IF(J1158&lt;='Catatan &amp; Sumber'!$B$15,"Ketat",IF(J1158&lt;='Catatan &amp; Sumber'!$B$16,"Sedang","Relatif Longgar"))))</x:f>
        <x:v>Relatif Longgar</x:v>
      </x:c>
      <x:c r="N1158" s="66" t="str">
        <x:v>Tidak Ada</x:v>
      </x:c>
      <x:c r="O1158" s="66" t="str">
        <x:v>Sumatera Selatan</x:v>
      </x:c>
      <x:c r="P1158" s="66" t="str">
        <x:v>Kota Palembang</x:v>
      </x:c>
      <x:c r="Q1158" s="66" t="str">
        <x:v>https://snpmb.id/snbp/daya-tampung-snbp</x:v>
      </x:c>
      <x:c r="R1158" s="66" t="str">
        <x:v>https://sidatagrun-public-1076756628210.asia-southeast2.run.app/ptn_sn.php?ptn=271</x:v>
      </x:c>
    </x:row>
    <x:row r="1159">
      <x:c r="A1159" s="87" t="n">
        <x:v>406</x:v>
      </x:c>
      <x:c r="B1159" s="66" t="n">
        <x:v>271</x:v>
      </x:c>
      <x:c r="C1159" s="66" t="str">
        <x:v>POLITEKNIK NEGERI SRIWIJAYA</x:v>
      </x:c>
      <x:c r="D1159" s="66" t="str">
        <x:v>PTN Vokasi</x:v>
      </x:c>
      <x:c r="E1159" s="66" t="str">
        <x:v>22712003</x:v>
      </x:c>
      <x:c r="F1159" s="66" t="str">
        <x:v>TEKNIK ELEKTRO</x:v>
      </x:c>
      <x:c r="G1159" s="66" t="str">
        <x:v>Sarjana Terapan</x:v>
      </x:c>
      <x:c r="H1159" s="87" t="n">
        <x:v>24</x:v>
      </x:c>
      <x:c r="I1159" s="87" t="n">
        <x:v>511</x:v>
      </x:c>
      <x:c r="J1159" s="68" t="n">
        <x:f>IFERROR(H1159/I1159,"")</x:f>
        <x:v>0.046966731898238745</x:v>
      </x:c>
      <x:c r="K1159" s="69" t="n">
        <x:f>IFERROR(I1159/H1159,"")</x:f>
        <x:v>21.291666666666668</x:v>
      </x:c>
      <x:c r="L1159" s="66" t="str">
        <x:f>IF(K1159="","","1 : "&amp;TEXT(K1159,"0.0"))</x:f>
        <x:v>1 : 21.3</x:v>
      </x:c>
      <x:c r="M1159" s="66" t="str">
        <x:f>IF(J1159="","Baru/Tanpa Data",IF(J1159&lt;='Catatan &amp; Sumber'!$B$14,"Sangat Ketat",IF(J1159&lt;='Catatan &amp; Sumber'!$B$15,"Ketat",IF(J1159&lt;='Catatan &amp; Sumber'!$B$16,"Sedang","Relatif Longgar"))))</x:f>
        <x:v>Ketat</x:v>
      </x:c>
      <x:c r="N1159" s="66" t="str">
        <x:v>Tidak Ada</x:v>
      </x:c>
      <x:c r="O1159" s="66" t="str">
        <x:v>Sumatera Selatan</x:v>
      </x:c>
      <x:c r="P1159" s="66" t="str">
        <x:v>Kota Palembang</x:v>
      </x:c>
      <x:c r="Q1159" s="66" t="str">
        <x:v>https://snpmb.id/snbp/daya-tampung-snbp</x:v>
      </x:c>
      <x:c r="R1159" s="66" t="str">
        <x:v>https://sidatagrun-public-1076756628210.asia-southeast2.run.app/ptn_sn.php?ptn=271</x:v>
      </x:c>
    </x:row>
    <x:row r="1160">
      <x:c r="A1160" s="87" t="n">
        <x:v>2423</x:v>
      </x:c>
      <x:c r="B1160" s="66" t="n">
        <x:v>271</x:v>
      </x:c>
      <x:c r="C1160" s="66" t="str">
        <x:v>POLITEKNIK NEGERI SRIWIJAYA</x:v>
      </x:c>
      <x:c r="D1160" s="66" t="str">
        <x:v>PTN Vokasi</x:v>
      </x:c>
      <x:c r="E1160" s="66" t="str">
        <x:v>22712004</x:v>
      </x:c>
      <x:c r="F1160" s="66" t="str">
        <x:v>TEKNIK TELEKOMUNIKASI</x:v>
      </x:c>
      <x:c r="G1160" s="66" t="str">
        <x:v>Sarjana Terapan</x:v>
      </x:c>
      <x:c r="H1160" s="87" t="n">
        <x:v>32</x:v>
      </x:c>
      <x:c r="I1160" s="87" t="n">
        <x:v>160</x:v>
      </x:c>
      <x:c r="J1160" s="68" t="n">
        <x:f>IFERROR(H1160/I1160,"")</x:f>
        <x:v>0.2</x:v>
      </x:c>
      <x:c r="K1160" s="69" t="n">
        <x:f>IFERROR(I1160/H1160,"")</x:f>
        <x:v>5</x:v>
      </x:c>
      <x:c r="L1160" s="66" t="str">
        <x:f>IF(K1160="","","1 : "&amp;TEXT(K1160,"0.0"))</x:f>
        <x:v>1 : 5.0</x:v>
      </x:c>
      <x:c r="M1160" s="66" t="str">
        <x:f>IF(J1160="","Baru/Tanpa Data",IF(J1160&lt;='Catatan &amp; Sumber'!$B$14,"Sangat Ketat",IF(J1160&lt;='Catatan &amp; Sumber'!$B$15,"Ketat",IF(J1160&lt;='Catatan &amp; Sumber'!$B$16,"Sedang","Relatif Longgar"))))</x:f>
        <x:v>Relatif Longgar</x:v>
      </x:c>
      <x:c r="N1160" s="66" t="str">
        <x:v>Tidak Ada</x:v>
      </x:c>
      <x:c r="O1160" s="66" t="str">
        <x:v>Sumatera Selatan</x:v>
      </x:c>
      <x:c r="P1160" s="66" t="str">
        <x:v>Kota Palembang</x:v>
      </x:c>
      <x:c r="Q1160" s="66" t="str">
        <x:v>https://snpmb.id/snbp/daya-tampung-snbp</x:v>
      </x:c>
      <x:c r="R1160" s="66" t="str">
        <x:v>https://sidatagrun-public-1076756628210.asia-southeast2.run.app/ptn_sn.php?ptn=271</x:v>
      </x:c>
    </x:row>
    <x:row r="1161">
      <x:c r="A1161" s="87" t="n">
        <x:v>2977</x:v>
      </x:c>
      <x:c r="B1161" s="66" t="n">
        <x:v>271</x:v>
      </x:c>
      <x:c r="C1161" s="66" t="str">
        <x:v>POLITEKNIK NEGERI SRIWIJAYA</x:v>
      </x:c>
      <x:c r="D1161" s="66" t="str">
        <x:v>PTN Vokasi</x:v>
      </x:c>
      <x:c r="E1161" s="66" t="str">
        <x:v>22712005</x:v>
      </x:c>
      <x:c r="F1161" s="66" t="str">
        <x:v>TEKNIK ENERGI</x:v>
      </x:c>
      <x:c r="G1161" s="66" t="str">
        <x:v>Sarjana Terapan</x:v>
      </x:c>
      <x:c r="H1161" s="87" t="n">
        <x:v>41</x:v>
      </x:c>
      <x:c r="I1161" s="87" t="n">
        <x:v>142</x:v>
      </x:c>
      <x:c r="J1161" s="68" t="n">
        <x:f>IFERROR(H1161/I1161,"")</x:f>
        <x:v>0.2887323943661972</x:v>
      </x:c>
      <x:c r="K1161" s="69" t="n">
        <x:f>IFERROR(I1161/H1161,"")</x:f>
        <x:v>3.4634146341463414</x:v>
      </x:c>
      <x:c r="L1161" s="66" t="str">
        <x:f>IF(K1161="","","1 : "&amp;TEXT(K1161,"0.0"))</x:f>
        <x:v>1 : 3.5</x:v>
      </x:c>
      <x:c r="M1161" s="66" t="str">
        <x:f>IF(J1161="","Baru/Tanpa Data",IF(J1161&lt;='Catatan &amp; Sumber'!$B$14,"Sangat Ketat",IF(J1161&lt;='Catatan &amp; Sumber'!$B$15,"Ketat",IF(J1161&lt;='Catatan &amp; Sumber'!$B$16,"Sedang","Relatif Longgar"))))</x:f>
        <x:v>Relatif Longgar</x:v>
      </x:c>
      <x:c r="N1161" s="66" t="str">
        <x:v>Tidak Ada</x:v>
      </x:c>
      <x:c r="O1161" s="66" t="str">
        <x:v>Sumatera Selatan</x:v>
      </x:c>
      <x:c r="P1161" s="66" t="str">
        <x:v>Kota Palembang</x:v>
      </x:c>
      <x:c r="Q1161" s="66" t="str">
        <x:v>https://snpmb.id/snbp/daya-tampung-snbp</x:v>
      </x:c>
      <x:c r="R1161" s="66" t="str">
        <x:v>https://sidatagrun-public-1076756628210.asia-southeast2.run.app/ptn_sn.php?ptn=271</x:v>
      </x:c>
    </x:row>
    <x:row r="1162">
      <x:c r="A1162" s="87" t="n">
        <x:v>2264</x:v>
      </x:c>
      <x:c r="B1162" s="66" t="n">
        <x:v>271</x:v>
      </x:c>
      <x:c r="C1162" s="66" t="str">
        <x:v>POLITEKNIK NEGERI SRIWIJAYA</x:v>
      </x:c>
      <x:c r="D1162" s="66" t="str">
        <x:v>PTN Vokasi</x:v>
      </x:c>
      <x:c r="E1162" s="66" t="str">
        <x:v>22712006</x:v>
      </x:c>
      <x:c r="F1162" s="66" t="str">
        <x:v>TEKNOLOGI KIMIA INDUSTRI</x:v>
      </x:c>
      <x:c r="G1162" s="66" t="str">
        <x:v>Sarjana Terapan</x:v>
      </x:c>
      <x:c r="H1162" s="87" t="n">
        <x:v>41</x:v>
      </x:c>
      <x:c r="I1162" s="87" t="n">
        <x:v>228</x:v>
      </x:c>
      <x:c r="J1162" s="68" t="n">
        <x:f>IFERROR(H1162/I1162,"")</x:f>
        <x:v>0.17982456140350878</x:v>
      </x:c>
      <x:c r="K1162" s="69" t="n">
        <x:f>IFERROR(I1162/H1162,"")</x:f>
        <x:v>5.560975609756097</x:v>
      </x:c>
      <x:c r="L1162" s="66" t="str">
        <x:f>IF(K1162="","","1 : "&amp;TEXT(K1162,"0.0"))</x:f>
        <x:v>1 : 5.6</x:v>
      </x:c>
      <x:c r="M1162" s="66" t="str">
        <x:f>IF(J1162="","Baru/Tanpa Data",IF(J1162&lt;='Catatan &amp; Sumber'!$B$14,"Sangat Ketat",IF(J1162&lt;='Catatan &amp; Sumber'!$B$15,"Ketat",IF(J1162&lt;='Catatan &amp; Sumber'!$B$16,"Sedang","Relatif Longgar"))))</x:f>
        <x:v>Relatif Longgar</x:v>
      </x:c>
      <x:c r="N1162" s="66" t="str">
        <x:v>Tidak Ada</x:v>
      </x:c>
      <x:c r="O1162" s="66" t="str">
        <x:v>Sumatera Selatan</x:v>
      </x:c>
      <x:c r="P1162" s="66" t="str">
        <x:v>Kota Palembang</x:v>
      </x:c>
      <x:c r="Q1162" s="66" t="str">
        <x:v>https://snpmb.id/snbp/daya-tampung-snbp</x:v>
      </x:c>
      <x:c r="R1162" s="66" t="str">
        <x:v>https://sidatagrun-public-1076756628210.asia-southeast2.run.app/ptn_sn.php?ptn=271</x:v>
      </x:c>
    </x:row>
    <x:row r="1163">
      <x:c r="A1163" s="87" t="n">
        <x:v>2496</x:v>
      </x:c>
      <x:c r="B1163" s="66" t="n">
        <x:v>271</x:v>
      </x:c>
      <x:c r="C1163" s="66" t="str">
        <x:v>POLITEKNIK NEGERI SRIWIJAYA</x:v>
      </x:c>
      <x:c r="D1163" s="66" t="str">
        <x:v>PTN Vokasi</x:v>
      </x:c>
      <x:c r="E1163" s="66" t="str">
        <x:v>22712007</x:v>
      </x:c>
      <x:c r="F1163" s="66" t="str">
        <x:v>TEKNOLOGI INFORMATIKA MULTIMEDIA DIGITAL</x:v>
      </x:c>
      <x:c r="G1163" s="66" t="str">
        <x:v>Sarjana Terapan</x:v>
      </x:c>
      <x:c r="H1163" s="87" t="n">
        <x:v>48</x:v>
      </x:c>
      <x:c r="I1163" s="87" t="n">
        <x:v>228</x:v>
      </x:c>
      <x:c r="J1163" s="68" t="n">
        <x:f>IFERROR(H1163/I1163,"")</x:f>
        <x:v>0.21052631578947367</x:v>
      </x:c>
      <x:c r="K1163" s="69" t="n">
        <x:f>IFERROR(I1163/H1163,"")</x:f>
        <x:v>4.75</x:v>
      </x:c>
      <x:c r="L1163" s="66" t="str">
        <x:f>IF(K1163="","","1 : "&amp;TEXT(K1163,"0.0"))</x:f>
        <x:v>1 : 4.8</x:v>
      </x:c>
      <x:c r="M1163" s="66" t="str">
        <x:f>IF(J1163="","Baru/Tanpa Data",IF(J1163&lt;='Catatan &amp; Sumber'!$B$14,"Sangat Ketat",IF(J1163&lt;='Catatan &amp; Sumber'!$B$15,"Ketat",IF(J1163&lt;='Catatan &amp; Sumber'!$B$16,"Sedang","Relatif Longgar"))))</x:f>
        <x:v>Relatif Longgar</x:v>
      </x:c>
      <x:c r="N1163" s="66" t="str">
        <x:v>Tidak Ada</x:v>
      </x:c>
      <x:c r="O1163" s="66" t="str">
        <x:v>Sumatera Selatan</x:v>
      </x:c>
      <x:c r="P1163" s="66" t="str">
        <x:v>Kota Palembang</x:v>
      </x:c>
      <x:c r="Q1163" s="66" t="str">
        <x:v>https://snpmb.id/snbp/daya-tampung-snbp</x:v>
      </x:c>
      <x:c r="R1163" s="66" t="str">
        <x:v>https://sidatagrun-public-1076756628210.asia-southeast2.run.app/ptn_sn.php?ptn=271</x:v>
      </x:c>
    </x:row>
    <x:row r="1164">
      <x:c r="A1164" s="87" t="n">
        <x:v>4439</x:v>
      </x:c>
      <x:c r="B1164" s="66" t="n">
        <x:v>271</x:v>
      </x:c>
      <x:c r="C1164" s="66" t="str">
        <x:v>POLITEKNIK NEGERI SRIWIJAYA</x:v>
      </x:c>
      <x:c r="D1164" s="66" t="str">
        <x:v>PTN Vokasi</x:v>
      </x:c>
      <x:c r="E1164" s="66" t="str">
        <x:v>22712009</x:v>
      </x:c>
      <x:c r="F1164" s="66" t="str">
        <x:v>TEKNIK MESIN PRODUKSI DAN PERAWATAN PSDKU SIAK</x:v>
      </x:c>
      <x:c r="G1164" s="66" t="str">
        <x:v>Sarjana Terapan</x:v>
      </x:c>
      <x:c r="H1164" s="87" t="n">
        <x:v>12</x:v>
      </x:c>
      <x:c r="I1164" s="87" t="n">
        <x:v>10</x:v>
      </x:c>
      <x:c r="J1164" s="68" t="n">
        <x:f>IFERROR(H1164/I1164,"")</x:f>
        <x:v>1.2</x:v>
      </x:c>
      <x:c r="K1164" s="69" t="n">
        <x:f>IFERROR(I1164/H1164,"")</x:f>
        <x:v>0.8333333333333334</x:v>
      </x:c>
      <x:c r="L1164" s="66" t="str">
        <x:f>IF(K1164="","","1 : "&amp;TEXT(K1164,"0.0"))</x:f>
        <x:v>1 : 0.8</x:v>
      </x:c>
      <x:c r="M1164" s="66" t="str">
        <x:f>IF(J1164="","Baru/Tanpa Data",IF(J1164&lt;='Catatan &amp; Sumber'!$B$14,"Sangat Ketat",IF(J1164&lt;='Catatan &amp; Sumber'!$B$15,"Ketat",IF(J1164&lt;='Catatan &amp; Sumber'!$B$16,"Sedang","Relatif Longgar"))))</x:f>
        <x:v>Relatif Longgar</x:v>
      </x:c>
      <x:c r="N1164" s="66" t="str">
        <x:v>Tidak Ada</x:v>
      </x:c>
      <x:c r="O1164" s="66" t="str">
        <x:v>Sumatera Selatan</x:v>
      </x:c>
      <x:c r="P1164" s="66" t="str">
        <x:v>Kota Palembang</x:v>
      </x:c>
      <x:c r="Q1164" s="66" t="str">
        <x:v>https://snpmb.id/snbp/daya-tampung-snbp</x:v>
      </x:c>
      <x:c r="R1164" s="66" t="str">
        <x:v>https://sidatagrun-public-1076756628210.asia-southeast2.run.app/ptn_sn.php?ptn=271</x:v>
      </x:c>
    </x:row>
    <x:row r="1165">
      <x:c r="A1165" s="87" t="n">
        <x:v>4288</x:v>
      </x:c>
      <x:c r="B1165" s="66" t="n">
        <x:v>271</x:v>
      </x:c>
      <x:c r="C1165" s="66" t="str">
        <x:v>POLITEKNIK NEGERI SRIWIJAYA</x:v>
      </x:c>
      <x:c r="D1165" s="66" t="str">
        <x:v>PTN Vokasi</x:v>
      </x:c>
      <x:c r="E1165" s="66" t="str">
        <x:v>22712010</x:v>
      </x:c>
      <x:c r="F1165" s="66" t="str">
        <x:v>TEKNOLOGI PRODUKSI TANAMAN PERKEBUNAN</x:v>
      </x:c>
      <x:c r="G1165" s="66" t="str">
        <x:v>Sarjana Terapan</x:v>
      </x:c>
      <x:c r="H1165" s="87" t="n">
        <x:v>43</x:v>
      </x:c>
      <x:c r="I1165" s="87" t="n">
        <x:v>45</x:v>
      </x:c>
      <x:c r="J1165" s="68" t="n">
        <x:f>IFERROR(H1165/I1165,"")</x:f>
        <x:v>0.9555555555555556</x:v>
      </x:c>
      <x:c r="K1165" s="69" t="n">
        <x:f>IFERROR(I1165/H1165,"")</x:f>
        <x:v>1.0465116279069768</x:v>
      </x:c>
      <x:c r="L1165" s="66" t="str">
        <x:f>IF(K1165="","","1 : "&amp;TEXT(K1165,"0.0"))</x:f>
        <x:v>1 : 1.0</x:v>
      </x:c>
      <x:c r="M1165" s="66" t="str">
        <x:f>IF(J1165="","Baru/Tanpa Data",IF(J1165&lt;='Catatan &amp; Sumber'!$B$14,"Sangat Ketat",IF(J1165&lt;='Catatan &amp; Sumber'!$B$15,"Ketat",IF(J1165&lt;='Catatan &amp; Sumber'!$B$16,"Sedang","Relatif Longgar"))))</x:f>
        <x:v>Relatif Longgar</x:v>
      </x:c>
      <x:c r="N1165" s="66" t="str">
        <x:v>Tidak Ada</x:v>
      </x:c>
      <x:c r="O1165" s="66" t="str">
        <x:v>Sumatera Selatan</x:v>
      </x:c>
      <x:c r="P1165" s="66" t="str">
        <x:v>Kota Palembang</x:v>
      </x:c>
      <x:c r="Q1165" s="66" t="str">
        <x:v>https://snpmb.id/snbp/daya-tampung-snbp</x:v>
      </x:c>
      <x:c r="R1165" s="66" t="str">
        <x:v>https://sidatagrun-public-1076756628210.asia-southeast2.run.app/ptn_sn.php?ptn=271</x:v>
      </x:c>
    </x:row>
    <x:row r="1166">
      <x:c r="A1166" s="87" t="n">
        <x:v>2138</x:v>
      </x:c>
      <x:c r="B1166" s="66" t="n">
        <x:v>271</x:v>
      </x:c>
      <x:c r="C1166" s="66" t="str">
        <x:v>POLITEKNIK NEGERI SRIWIJAYA</x:v>
      </x:c>
      <x:c r="D1166" s="66" t="str">
        <x:v>PTN Vokasi</x:v>
      </x:c>
      <x:c r="E1166" s="66" t="str">
        <x:v>22712011</x:v>
      </x:c>
      <x:c r="F1166" s="66" t="str">
        <x:v>MANAJEMEN INFORMATIKA</x:v>
      </x:c>
      <x:c r="G1166" s="66" t="str">
        <x:v>Sarjana Terapan</x:v>
      </x:c>
      <x:c r="H1166" s="87" t="n">
        <x:v>66</x:v>
      </x:c>
      <x:c r="I1166" s="87" t="n">
        <x:v>400</x:v>
      </x:c>
      <x:c r="J1166" s="68" t="n">
        <x:f>IFERROR(H1166/I1166,"")</x:f>
        <x:v>0.165</x:v>
      </x:c>
      <x:c r="K1166" s="69" t="n">
        <x:f>IFERROR(I1166/H1166,"")</x:f>
        <x:v>6.0606060606060606</x:v>
      </x:c>
      <x:c r="L1166" s="66" t="str">
        <x:f>IF(K1166="","","1 : "&amp;TEXT(K1166,"0.0"))</x:f>
        <x:v>1 : 6.1</x:v>
      </x:c>
      <x:c r="M1166" s="66" t="str">
        <x:f>IF(J1166="","Baru/Tanpa Data",IF(J1166&lt;='Catatan &amp; Sumber'!$B$14,"Sangat Ketat",IF(J1166&lt;='Catatan &amp; Sumber'!$B$15,"Ketat",IF(J1166&lt;='Catatan &amp; Sumber'!$B$16,"Sedang","Relatif Longgar"))))</x:f>
        <x:v>Relatif Longgar</x:v>
      </x:c>
      <x:c r="N1166" s="66" t="str">
        <x:v>Tidak Ada</x:v>
      </x:c>
      <x:c r="O1166" s="66" t="str">
        <x:v>Sumatera Selatan</x:v>
      </x:c>
      <x:c r="P1166" s="66" t="str">
        <x:v>Kota Palembang</x:v>
      </x:c>
      <x:c r="Q1166" s="66" t="str">
        <x:v>https://snpmb.id/snbp/daya-tampung-snbp</x:v>
      </x:c>
      <x:c r="R1166" s="66" t="str">
        <x:v>https://sidatagrun-public-1076756628210.asia-southeast2.run.app/ptn_sn.php?ptn=271</x:v>
      </x:c>
    </x:row>
    <x:row r="1167">
      <x:c r="A1167" s="87" t="n">
        <x:v>2614</x:v>
      </x:c>
      <x:c r="B1167" s="66" t="n">
        <x:v>271</x:v>
      </x:c>
      <x:c r="C1167" s="66" t="str">
        <x:v>POLITEKNIK NEGERI SRIWIJAYA</x:v>
      </x:c>
      <x:c r="D1167" s="66" t="str">
        <x:v>PTN Vokasi</x:v>
      </x:c>
      <x:c r="E1167" s="66" t="str">
        <x:v>22712013</x:v>
      </x:c>
      <x:c r="F1167" s="66" t="str">
        <x:v>AKUNTANSI SEKTOR PUBLIK</x:v>
      </x:c>
      <x:c r="G1167" s="66" t="str">
        <x:v>Sarjana Terapan</x:v>
      </x:c>
      <x:c r="H1167" s="87" t="n">
        <x:v>72</x:v>
      </x:c>
      <x:c r="I1167" s="87" t="n">
        <x:v>313</x:v>
      </x:c>
      <x:c r="J1167" s="68" t="n">
        <x:f>IFERROR(H1167/I1167,"")</x:f>
        <x:v>0.23003194888178913</x:v>
      </x:c>
      <x:c r="K1167" s="69" t="n">
        <x:f>IFERROR(I1167/H1167,"")</x:f>
        <x:v>4.347222222222222</x:v>
      </x:c>
      <x:c r="L1167" s="66" t="str">
        <x:f>IF(K1167="","","1 : "&amp;TEXT(K1167,"0.0"))</x:f>
        <x:v>1 : 4.3</x:v>
      </x:c>
      <x:c r="M1167" s="66" t="str">
        <x:f>IF(J1167="","Baru/Tanpa Data",IF(J1167&lt;='Catatan &amp; Sumber'!$B$14,"Sangat Ketat",IF(J1167&lt;='Catatan &amp; Sumber'!$B$15,"Ketat",IF(J1167&lt;='Catatan &amp; Sumber'!$B$16,"Sedang","Relatif Longgar"))))</x:f>
        <x:v>Relatif Longgar</x:v>
      </x:c>
      <x:c r="N1167" s="66" t="str">
        <x:v>Tidak Ada</x:v>
      </x:c>
      <x:c r="O1167" s="66" t="str">
        <x:v>Sumatera Selatan</x:v>
      </x:c>
      <x:c r="P1167" s="66" t="str">
        <x:v>Kota Palembang</x:v>
      </x:c>
      <x:c r="Q1167" s="66" t="str">
        <x:v>https://snpmb.id/snbp/daya-tampung-snbp</x:v>
      </x:c>
      <x:c r="R1167" s="66" t="str">
        <x:v>https://sidatagrun-public-1076756628210.asia-southeast2.run.app/ptn_sn.php?ptn=271</x:v>
      </x:c>
    </x:row>
    <x:row r="1168">
      <x:c r="A1168" s="87" t="n">
        <x:v>2826</x:v>
      </x:c>
      <x:c r="B1168" s="66" t="n">
        <x:v>271</x:v>
      </x:c>
      <x:c r="C1168" s="66" t="str">
        <x:v>POLITEKNIK NEGERI SRIWIJAYA</x:v>
      </x:c>
      <x:c r="D1168" s="66" t="str">
        <x:v>PTN Vokasi</x:v>
      </x:c>
      <x:c r="E1168" s="66" t="str">
        <x:v>22712015</x:v>
      </x:c>
      <x:c r="F1168" s="66" t="str">
        <x:v>USAHA PERJALANAN WISATA</x:v>
      </x:c>
      <x:c r="G1168" s="66" t="str">
        <x:v>Sarjana Terapan</x:v>
      </x:c>
      <x:c r="H1168" s="87" t="n">
        <x:v>32</x:v>
      </x:c>
      <x:c r="I1168" s="87" t="n">
        <x:v>122</x:v>
      </x:c>
      <x:c r="J1168" s="68" t="n">
        <x:f>IFERROR(H1168/I1168,"")</x:f>
        <x:v>0.26229508196721313</x:v>
      </x:c>
      <x:c r="K1168" s="69" t="n">
        <x:f>IFERROR(I1168/H1168,"")</x:f>
        <x:v>3.8125</x:v>
      </x:c>
      <x:c r="L1168" s="66" t="str">
        <x:f>IF(K1168="","","1 : "&amp;TEXT(K1168,"0.0"))</x:f>
        <x:v>1 : 3.8</x:v>
      </x:c>
      <x:c r="M1168" s="66" t="str">
        <x:f>IF(J1168="","Baru/Tanpa Data",IF(J1168&lt;='Catatan &amp; Sumber'!$B$14,"Sangat Ketat",IF(J1168&lt;='Catatan &amp; Sumber'!$B$15,"Ketat",IF(J1168&lt;='Catatan &amp; Sumber'!$B$16,"Sedang","Relatif Longgar"))))</x:f>
        <x:v>Relatif Longgar</x:v>
      </x:c>
      <x:c r="N1168" s="66" t="str">
        <x:v>Tidak Ada</x:v>
      </x:c>
      <x:c r="O1168" s="66" t="str">
        <x:v>Sumatera Selatan</x:v>
      </x:c>
      <x:c r="P1168" s="66" t="str">
        <x:v>Kota Palembang</x:v>
      </x:c>
      <x:c r="Q1168" s="66" t="str">
        <x:v>https://snpmb.id/snbp/daya-tampung-snbp</x:v>
      </x:c>
      <x:c r="R1168" s="66" t="str">
        <x:v>https://sidatagrun-public-1076756628210.asia-southeast2.run.app/ptn_sn.php?ptn=271</x:v>
      </x:c>
    </x:row>
    <x:row r="1169">
      <x:c r="A1169" s="87" t="n">
        <x:v>766</x:v>
      </x:c>
      <x:c r="B1169" s="66" t="n">
        <x:v>271</x:v>
      </x:c>
      <x:c r="C1169" s="66" t="str">
        <x:v>POLITEKNIK NEGERI SRIWIJAYA</x:v>
      </x:c>
      <x:c r="D1169" s="66" t="str">
        <x:v>PTN Vokasi</x:v>
      </x:c>
      <x:c r="E1169" s="66" t="str">
        <x:v>22712016</x:v>
      </x:c>
      <x:c r="F1169" s="66" t="str">
        <x:v>MANAJEMEN BISNIS</x:v>
      </x:c>
      <x:c r="G1169" s="66" t="str">
        <x:v>Sarjana Terapan</x:v>
      </x:c>
      <x:c r="H1169" s="87" t="n">
        <x:v>38</x:v>
      </x:c>
      <x:c r="I1169" s="87" t="n">
        <x:v>582</x:v>
      </x:c>
      <x:c r="J1169" s="68" t="n">
        <x:f>IFERROR(H1169/I1169,"")</x:f>
        <x:v>0.06529209621993128</x:v>
      </x:c>
      <x:c r="K1169" s="69" t="n">
        <x:f>IFERROR(I1169/H1169,"")</x:f>
        <x:v>15.31578947368421</x:v>
      </x:c>
      <x:c r="L1169" s="66" t="str">
        <x:f>IF(K1169="","","1 : "&amp;TEXT(K1169,"0.0"))</x:f>
        <x:v>1 : 15.3</x:v>
      </x:c>
      <x:c r="M1169" s="66" t="str">
        <x:f>IF(J1169="","Baru/Tanpa Data",IF(J1169&lt;='Catatan &amp; Sumber'!$B$14,"Sangat Ketat",IF(J1169&lt;='Catatan &amp; Sumber'!$B$15,"Ketat",IF(J1169&lt;='Catatan &amp; Sumber'!$B$16,"Sedang","Relatif Longgar"))))</x:f>
        <x:v>Sedang</x:v>
      </x:c>
      <x:c r="N1169" s="66" t="str">
        <x:v>Tidak Ada</x:v>
      </x:c>
      <x:c r="O1169" s="66" t="str">
        <x:v>Sumatera Selatan</x:v>
      </x:c>
      <x:c r="P1169" s="66" t="str">
        <x:v>Kota Palembang</x:v>
      </x:c>
      <x:c r="Q1169" s="66" t="str">
        <x:v>https://snpmb.id/snbp/daya-tampung-snbp</x:v>
      </x:c>
      <x:c r="R1169" s="66" t="str">
        <x:v>https://sidatagrun-public-1076756628210.asia-southeast2.run.app/ptn_sn.php?ptn=271</x:v>
      </x:c>
    </x:row>
    <x:row r="1170">
      <x:c r="A1170" s="87" t="n">
        <x:v>4652</x:v>
      </x:c>
      <x:c r="B1170" s="66" t="n">
        <x:v>271</x:v>
      </x:c>
      <x:c r="C1170" s="66" t="str">
        <x:v>POLITEKNIK NEGERI SRIWIJAYA</x:v>
      </x:c>
      <x:c r="D1170" s="66" t="str">
        <x:v>PTN Vokasi</x:v>
      </x:c>
      <x:c r="E1170" s="66" t="str">
        <x:v>22712018</x:v>
      </x:c>
      <x:c r="F1170" s="66" t="str">
        <x:v>AKUNTANSI SEKTOR PUBLIK PSDKU SIAK</x:v>
      </x:c>
      <x:c r="G1170" s="66" t="str">
        <x:v>Sarjana Terapan</x:v>
      </x:c>
      <x:c r="H1170" s="87" t="n">
        <x:v>12</x:v>
      </x:c>
      <x:c r="I1170" s="87" t="n">
        <x:v>6</x:v>
      </x:c>
      <x:c r="J1170" s="68" t="n">
        <x:f>IFERROR(H1170/I1170,"")</x:f>
        <x:v>2</x:v>
      </x:c>
      <x:c r="K1170" s="69" t="n">
        <x:f>IFERROR(I1170/H1170,"")</x:f>
        <x:v>0.5</x:v>
      </x:c>
      <x:c r="L1170" s="66" t="str">
        <x:f>IF(K1170="","","1 : "&amp;TEXT(K1170,"0.0"))</x:f>
        <x:v>1 : 0.5</x:v>
      </x:c>
      <x:c r="M1170" s="66" t="str">
        <x:f>IF(J1170="","Baru/Tanpa Data",IF(J1170&lt;='Catatan &amp; Sumber'!$B$14,"Sangat Ketat",IF(J1170&lt;='Catatan &amp; Sumber'!$B$15,"Ketat",IF(J1170&lt;='Catatan &amp; Sumber'!$B$16,"Sedang","Relatif Longgar"))))</x:f>
        <x:v>Relatif Longgar</x:v>
      </x:c>
      <x:c r="N1170" s="66" t="str">
        <x:v>Tidak Ada</x:v>
      </x:c>
      <x:c r="O1170" s="66" t="str">
        <x:v>Sumatera Selatan</x:v>
      </x:c>
      <x:c r="P1170" s="66" t="str">
        <x:v>Kota Palembang</x:v>
      </x:c>
      <x:c r="Q1170" s="66" t="str">
        <x:v>https://snpmb.id/snbp/daya-tampung-snbp</x:v>
      </x:c>
      <x:c r="R1170" s="66" t="str">
        <x:v>https://sidatagrun-public-1076756628210.asia-southeast2.run.app/ptn_sn.php?ptn=271</x:v>
      </x:c>
    </x:row>
    <x:row r="1171">
      <x:c r="A1171" s="87" t="n">
        <x:v>2662</x:v>
      </x:c>
      <x:c r="B1171" s="66" t="n">
        <x:v>271</x:v>
      </x:c>
      <x:c r="C1171" s="66" t="str">
        <x:v>POLITEKNIK NEGERI SRIWIJAYA</x:v>
      </x:c>
      <x:c r="D1171" s="66" t="str">
        <x:v>PTN Vokasi</x:v>
      </x:c>
      <x:c r="E1171" s="66" t="str">
        <x:v>22712034</x:v>
      </x:c>
      <x:c r="F1171" s="66" t="str">
        <x:v>BISNIS DIGITAL</x:v>
      </x:c>
      <x:c r="G1171" s="66" t="str">
        <x:v>Sarjana Terapan</x:v>
      </x:c>
      <x:c r="H1171" s="87" t="n">
        <x:v>32</x:v>
      </x:c>
      <x:c r="I1171" s="87" t="n">
        <x:v>135</x:v>
      </x:c>
      <x:c r="J1171" s="68" t="n">
        <x:f>IFERROR(H1171/I1171,"")</x:f>
        <x:v>0.23703703703703705</x:v>
      </x:c>
      <x:c r="K1171" s="69" t="n">
        <x:f>IFERROR(I1171/H1171,"")</x:f>
        <x:v>4.21875</x:v>
      </x:c>
      <x:c r="L1171" s="66" t="str">
        <x:f>IF(K1171="","","1 : "&amp;TEXT(K1171,"0.0"))</x:f>
        <x:v>1 : 4.2</x:v>
      </x:c>
      <x:c r="M1171" s="66" t="str">
        <x:f>IF(J1171="","Baru/Tanpa Data",IF(J1171&lt;='Catatan &amp; Sumber'!$B$14,"Sangat Ketat",IF(J1171&lt;='Catatan &amp; Sumber'!$B$15,"Ketat",IF(J1171&lt;='Catatan &amp; Sumber'!$B$16,"Sedang","Relatif Longgar"))))</x:f>
        <x:v>Relatif Longgar</x:v>
      </x:c>
      <x:c r="N1171" s="66" t="str">
        <x:v>Tidak Ada</x:v>
      </x:c>
      <x:c r="O1171" s="66" t="str">
        <x:v>Sumatera Selatan</x:v>
      </x:c>
      <x:c r="P1171" s="66" t="str">
        <x:v>Kota Palembang</x:v>
      </x:c>
      <x:c r="Q1171" s="66" t="str">
        <x:v>https://snpmb.id/snbp/daya-tampung-snbp</x:v>
      </x:c>
      <x:c r="R1171" s="66" t="str">
        <x:v>https://sidatagrun-public-1076756628210.asia-southeast2.run.app/ptn_sn.php?ptn=271</x:v>
      </x:c>
    </x:row>
    <x:row r="1172">
      <x:c r="A1172" s="87" t="n">
        <x:v>3558</x:v>
      </x:c>
      <x:c r="B1172" s="66" t="n">
        <x:v>271</x:v>
      </x:c>
      <x:c r="C1172" s="66" t="str">
        <x:v>POLITEKNIK NEGERI SRIWIJAYA</x:v>
      </x:c>
      <x:c r="D1172" s="66" t="str">
        <x:v>PTN Vokasi</x:v>
      </x:c>
      <x:c r="E1172" s="66" t="str">
        <x:v>22712035</x:v>
      </x:c>
      <x:c r="F1172" s="66" t="str">
        <x:v>ARSITEKTUR BANGUNAN GEDUNG</x:v>
      </x:c>
      <x:c r="G1172" s="66" t="str">
        <x:v>Sarjana Terapan</x:v>
      </x:c>
      <x:c r="H1172" s="87" t="n">
        <x:v>24</x:v>
      </x:c>
      <x:c r="I1172" s="87" t="n">
        <x:v>53</x:v>
      </x:c>
      <x:c r="J1172" s="68" t="n">
        <x:f>IFERROR(H1172/I1172,"")</x:f>
        <x:v>0.4528301886792453</x:v>
      </x:c>
      <x:c r="K1172" s="69" t="n">
        <x:f>IFERROR(I1172/H1172,"")</x:f>
        <x:v>2.2083333333333335</x:v>
      </x:c>
      <x:c r="L1172" s="66" t="str">
        <x:f>IF(K1172="","","1 : "&amp;TEXT(K1172,"0.0"))</x:f>
        <x:v>1 : 2.2</x:v>
      </x:c>
      <x:c r="M1172" s="66" t="str">
        <x:f>IF(J1172="","Baru/Tanpa Data",IF(J1172&lt;='Catatan &amp; Sumber'!$B$14,"Sangat Ketat",IF(J1172&lt;='Catatan &amp; Sumber'!$B$15,"Ketat",IF(J1172&lt;='Catatan &amp; Sumber'!$B$16,"Sedang","Relatif Longgar"))))</x:f>
        <x:v>Relatif Longgar</x:v>
      </x:c>
      <x:c r="N1172" s="66" t="str">
        <x:v>Tidak Ada</x:v>
      </x:c>
      <x:c r="O1172" s="66" t="str">
        <x:v>Sumatera Selatan</x:v>
      </x:c>
      <x:c r="P1172" s="66" t="str">
        <x:v>Kota Palembang</x:v>
      </x:c>
      <x:c r="Q1172" s="66" t="str">
        <x:v>https://snpmb.id/snbp/daya-tampung-snbp</x:v>
      </x:c>
      <x:c r="R1172" s="66" t="str">
        <x:v>https://sidatagrun-public-1076756628210.asia-southeast2.run.app/ptn_sn.php?ptn=271</x:v>
      </x:c>
    </x:row>
    <x:row r="1173">
      <x:c r="A1173" s="87" t="n">
        <x:v>4048</x:v>
      </x:c>
      <x:c r="B1173" s="66" t="n">
        <x:v>271</x:v>
      </x:c>
      <x:c r="C1173" s="66" t="str">
        <x:v>POLITEKNIK NEGERI SRIWIJAYA</x:v>
      </x:c>
      <x:c r="D1173" s="66" t="str">
        <x:v>PTN Vokasi</x:v>
      </x:c>
      <x:c r="E1173" s="66" t="str">
        <x:v>22712036</x:v>
      </x:c>
      <x:c r="F1173" s="66" t="str">
        <x:v>MANAJEMEN AGRIBISNIS</x:v>
      </x:c>
      <x:c r="G1173" s="66" t="str">
        <x:v>Sarjana Terapan</x:v>
      </x:c>
      <x:c r="H1173" s="87" t="n">
        <x:v>28</x:v>
      </x:c>
      <x:c r="I1173" s="87" t="n">
        <x:v>39</x:v>
      </x:c>
      <x:c r="J1173" s="68" t="n">
        <x:f>IFERROR(H1173/I1173,"")</x:f>
        <x:v>0.717948717948718</x:v>
      </x:c>
      <x:c r="K1173" s="69" t="n">
        <x:f>IFERROR(I1173/H1173,"")</x:f>
        <x:v>1.3928571428571428</x:v>
      </x:c>
      <x:c r="L1173" s="66" t="str">
        <x:f>IF(K1173="","","1 : "&amp;TEXT(K1173,"0.0"))</x:f>
        <x:v>1 : 1.4</x:v>
      </x:c>
      <x:c r="M1173" s="66" t="str">
        <x:f>IF(J1173="","Baru/Tanpa Data",IF(J1173&lt;='Catatan &amp; Sumber'!$B$14,"Sangat Ketat",IF(J1173&lt;='Catatan &amp; Sumber'!$B$15,"Ketat",IF(J1173&lt;='Catatan &amp; Sumber'!$B$16,"Sedang","Relatif Longgar"))))</x:f>
        <x:v>Relatif Longgar</x:v>
      </x:c>
      <x:c r="N1173" s="66" t="str">
        <x:v>Tidak Ada</x:v>
      </x:c>
      <x:c r="O1173" s="66" t="str">
        <x:v>Sumatera Selatan</x:v>
      </x:c>
      <x:c r="P1173" s="66" t="str">
        <x:v>Kota Palembang</x:v>
      </x:c>
      <x:c r="Q1173" s="66" t="str">
        <x:v>https://snpmb.id/snbp/daya-tampung-snbp</x:v>
      </x:c>
      <x:c r="R1173" s="66" t="str">
        <x:v>https://sidatagrun-public-1076756628210.asia-southeast2.run.app/ptn_sn.php?ptn=271</x:v>
      </x:c>
    </x:row>
    <x:row r="1174">
      <x:c r="A1174" s="87" t="n">
        <x:v>4135</x:v>
      </x:c>
      <x:c r="B1174" s="66" t="n">
        <x:v>271</x:v>
      </x:c>
      <x:c r="C1174" s="66" t="str">
        <x:v>POLITEKNIK NEGERI SRIWIJAYA</x:v>
      </x:c>
      <x:c r="D1174" s="66" t="str">
        <x:v>PTN Vokasi</x:v>
      </x:c>
      <x:c r="E1174" s="66" t="str">
        <x:v>22712037</x:v>
      </x:c>
      <x:c r="F1174" s="66" t="str">
        <x:v>AGRIBISNIS PANGAN</x:v>
      </x:c>
      <x:c r="G1174" s="66" t="str">
        <x:v>Sarjana Terapan</x:v>
      </x:c>
      <x:c r="H1174" s="87" t="n">
        <x:v>28</x:v>
      </x:c>
      <x:c r="I1174" s="87" t="n">
        <x:v>35</x:v>
      </x:c>
      <x:c r="J1174" s="68" t="n">
        <x:f>IFERROR(H1174/I1174,"")</x:f>
        <x:v>0.8</x:v>
      </x:c>
      <x:c r="K1174" s="69" t="n">
        <x:f>IFERROR(I1174/H1174,"")</x:f>
        <x:v>1.25</x:v>
      </x:c>
      <x:c r="L1174" s="66" t="str">
        <x:f>IF(K1174="","","1 : "&amp;TEXT(K1174,"0.0"))</x:f>
        <x:v>1 : 1.3</x:v>
      </x:c>
      <x:c r="M1174" s="66" t="str">
        <x:f>IF(J1174="","Baru/Tanpa Data",IF(J1174&lt;='Catatan &amp; Sumber'!$B$14,"Sangat Ketat",IF(J1174&lt;='Catatan &amp; Sumber'!$B$15,"Ketat",IF(J1174&lt;='Catatan &amp; Sumber'!$B$16,"Sedang","Relatif Longgar"))))</x:f>
        <x:v>Relatif Longgar</x:v>
      </x:c>
      <x:c r="N1174" s="66" t="str">
        <x:v>Tidak Ada</x:v>
      </x:c>
      <x:c r="O1174" s="66" t="str">
        <x:v>Sumatera Selatan</x:v>
      </x:c>
      <x:c r="P1174" s="66" t="str">
        <x:v>Kota Palembang</x:v>
      </x:c>
      <x:c r="Q1174" s="66" t="str">
        <x:v>https://snpmb.id/snbp/daya-tampung-snbp</x:v>
      </x:c>
      <x:c r="R1174" s="66" t="str">
        <x:v>https://sidatagrun-public-1076756628210.asia-southeast2.run.app/ptn_sn.php?ptn=271</x:v>
      </x:c>
    </x:row>
    <x:row r="1175">
      <x:c r="A1175" s="87" t="n">
        <x:v>3889</x:v>
      </x:c>
      <x:c r="B1175" s="66" t="n">
        <x:v>271</x:v>
      </x:c>
      <x:c r="C1175" s="66" t="str">
        <x:v>POLITEKNIK NEGERI SRIWIJAYA</x:v>
      </x:c>
      <x:c r="D1175" s="66" t="str">
        <x:v>PTN Vokasi</x:v>
      </x:c>
      <x:c r="E1175" s="66" t="str">
        <x:v>22712038</x:v>
      </x:c>
      <x:c r="F1175" s="66" t="str">
        <x:v>BAHASA INGGRIS UNTUK KOMUNIKASI BISNIS DAN PROFESIONAL</x:v>
      </x:c>
      <x:c r="G1175" s="66" t="str">
        <x:v>Sarjana Terapan</x:v>
      </x:c>
      <x:c r="H1175" s="87" t="n">
        <x:v>42</x:v>
      </x:c>
      <x:c r="I1175" s="87" t="n">
        <x:v>68</x:v>
      </x:c>
      <x:c r="J1175" s="68" t="n">
        <x:f>IFERROR(H1175/I1175,"")</x:f>
        <x:v>0.6176470588235294</x:v>
      </x:c>
      <x:c r="K1175" s="69" t="n">
        <x:f>IFERROR(I1175/H1175,"")</x:f>
        <x:v>1.619047619047619</x:v>
      </x:c>
      <x:c r="L1175" s="66" t="str">
        <x:f>IF(K1175="","","1 : "&amp;TEXT(K1175,"0.0"))</x:f>
        <x:v>1 : 1.6</x:v>
      </x:c>
      <x:c r="M1175" s="66" t="str">
        <x:f>IF(J1175="","Baru/Tanpa Data",IF(J1175&lt;='Catatan &amp; Sumber'!$B$14,"Sangat Ketat",IF(J1175&lt;='Catatan &amp; Sumber'!$B$15,"Ketat",IF(J1175&lt;='Catatan &amp; Sumber'!$B$16,"Sedang","Relatif Longgar"))))</x:f>
        <x:v>Relatif Longgar</x:v>
      </x:c>
      <x:c r="N1175" s="66" t="str">
        <x:v>Tidak Ada</x:v>
      </x:c>
      <x:c r="O1175" s="66" t="str">
        <x:v>Sumatera Selatan</x:v>
      </x:c>
      <x:c r="P1175" s="66" t="str">
        <x:v>Kota Palembang</x:v>
      </x:c>
      <x:c r="Q1175" s="66" t="str">
        <x:v>https://snpmb.id/snbp/daya-tampung-snbp</x:v>
      </x:c>
      <x:c r="R1175" s="66" t="str">
        <x:v>https://sidatagrun-public-1076756628210.asia-southeast2.run.app/ptn_sn.php?ptn=271</x:v>
      </x:c>
    </x:row>
    <x:row r="1176">
      <x:c r="A1176" s="87" t="n">
        <x:v>3691</x:v>
      </x:c>
      <x:c r="B1176" s="66" t="n">
        <x:v>271</x:v>
      </x:c>
      <x:c r="C1176" s="66" t="str">
        <x:v>POLITEKNIK NEGERI SRIWIJAYA</x:v>
      </x:c>
      <x:c r="D1176" s="66" t="str">
        <x:v>PTN Vokasi</x:v>
      </x:c>
      <x:c r="E1176" s="66" t="str">
        <x:v>22712039</x:v>
      </x:c>
      <x:c r="F1176" s="66" t="str">
        <x:v>TEKNOLOGI REKAYASA INSTALASI LISTRIK</x:v>
      </x:c>
      <x:c r="G1176" s="66" t="str">
        <x:v>Sarjana Terapan</x:v>
      </x:c>
      <x:c r="H1176" s="87" t="n">
        <x:v>21</x:v>
      </x:c>
      <x:c r="I1176" s="87" t="n">
        <x:v>41</x:v>
      </x:c>
      <x:c r="J1176" s="68" t="n">
        <x:f>IFERROR(H1176/I1176,"")</x:f>
        <x:v>0.5121951219512195</x:v>
      </x:c>
      <x:c r="K1176" s="69" t="n">
        <x:f>IFERROR(I1176/H1176,"")</x:f>
        <x:v>1.9523809523809523</x:v>
      </x:c>
      <x:c r="L1176" s="66" t="str">
        <x:f>IF(K1176="","","1 : "&amp;TEXT(K1176,"0.0"))</x:f>
        <x:v>1 : 2.0</x:v>
      </x:c>
      <x:c r="M1176" s="66" t="str">
        <x:f>IF(J1176="","Baru/Tanpa Data",IF(J1176&lt;='Catatan &amp; Sumber'!$B$14,"Sangat Ketat",IF(J1176&lt;='Catatan &amp; Sumber'!$B$15,"Ketat",IF(J1176&lt;='Catatan &amp; Sumber'!$B$16,"Sedang","Relatif Longgar"))))</x:f>
        <x:v>Relatif Longgar</x:v>
      </x:c>
      <x:c r="N1176" s="66" t="str">
        <x:v>Tidak Ada</x:v>
      </x:c>
      <x:c r="O1176" s="66" t="str">
        <x:v>Sumatera Selatan</x:v>
      </x:c>
      <x:c r="P1176" s="66" t="str">
        <x:v>Kota Palembang</x:v>
      </x:c>
      <x:c r="Q1176" s="66" t="str">
        <x:v>https://snpmb.id/snbp/daya-tampung-snbp</x:v>
      </x:c>
      <x:c r="R1176" s="66" t="str">
        <x:v>https://sidatagrun-public-1076756628210.asia-southeast2.run.app/ptn_sn.php?ptn=271</x:v>
      </x:c>
    </x:row>
    <x:row r="1177">
      <x:c r="A1177" s="87"/>
      <x:c r="B1177" s="66" t="n">
        <x:v>271</x:v>
      </x:c>
      <x:c r="C1177" s="66" t="str">
        <x:v>POLITEKNIK NEGERI SRIWIJAYA</x:v>
      </x:c>
      <x:c r="D1177" s="66" t="str">
        <x:v>PTN Vokasi</x:v>
      </x:c>
      <x:c r="E1177" s="66" t="str">
        <x:v>22712041</x:v>
      </x:c>
      <x:c r="F1177" s="66" t="str">
        <x:v>TEKNOLOGI AKUAKULTUR</x:v>
      </x:c>
      <x:c r="G1177" s="66" t="str">
        <x:v>Sarjana Terapan</x:v>
      </x:c>
      <x:c r="H1177" s="87" t="n">
        <x:v>14</x:v>
      </x:c>
      <x:c r="I1177" s="87"/>
      <x:c r="J1177" s="68" t="str">
        <x:f>IFERROR(H1177/I1177,"")</x:f>
      </x:c>
      <x:c r="K1177" s="69" t="n">
        <x:f>IFERROR(I1177/H1177,"")</x:f>
        <x:v>0</x:v>
      </x:c>
      <x:c r="L1177" s="66" t="str">
        <x:f>IF(K1177="","","1 : "&amp;TEXT(K1177,"0.0"))</x:f>
      </x:c>
      <x:c r="M1177" s="66" t="str">
        <x:f>IF(J1177="","Baru/Tanpa Data",IF(J1177&lt;='Catatan &amp; Sumber'!$B$14,"Sangat Ketat",IF(J1177&lt;='Catatan &amp; Sumber'!$B$15,"Ketat",IF(J1177&lt;='Catatan &amp; Sumber'!$B$16,"Sedang","Relatif Longgar"))))</x:f>
        <x:v>Baru/Tanpa Data</x:v>
      </x:c>
      <x:c r="N1177" s="66" t="str">
        <x:v>Tidak Ada</x:v>
      </x:c>
      <x:c r="O1177" s="66" t="str">
        <x:v>Sumatera Selatan</x:v>
      </x:c>
      <x:c r="P1177" s="66" t="str">
        <x:v>Kota Palembang</x:v>
      </x:c>
      <x:c r="Q1177" s="66" t="str">
        <x:v>https://snpmb.id/snbp/daya-tampung-snbp</x:v>
      </x:c>
      <x:c r="R1177" s="66" t="str">
        <x:v>https://sidatagrun-public-1076756628210.asia-southeast2.run.app/ptn_sn.php?ptn=271</x:v>
      </x:c>
    </x:row>
    <x:row r="1178">
      <x:c r="A1178" s="87"/>
      <x:c r="B1178" s="66" t="n">
        <x:v>271</x:v>
      </x:c>
      <x:c r="C1178" s="66" t="str">
        <x:v>POLITEKNIK NEGERI SRIWIJAYA</x:v>
      </x:c>
      <x:c r="D1178" s="66" t="str">
        <x:v>PTN Vokasi</x:v>
      </x:c>
      <x:c r="E1178" s="66" t="str">
        <x:v>22712042</x:v>
      </x:c>
      <x:c r="F1178" s="66" t="str">
        <x:v>TEKNOLOGI REKAYASA PANGAN</x:v>
      </x:c>
      <x:c r="G1178" s="66" t="str">
        <x:v>Sarjana Terapan</x:v>
      </x:c>
      <x:c r="H1178" s="87" t="n">
        <x:v>14</x:v>
      </x:c>
      <x:c r="I1178" s="87"/>
      <x:c r="J1178" s="68" t="str">
        <x:f>IFERROR(H1178/I1178,"")</x:f>
      </x:c>
      <x:c r="K1178" s="69" t="n">
        <x:f>IFERROR(I1178/H1178,"")</x:f>
        <x:v>0</x:v>
      </x:c>
      <x:c r="L1178" s="66" t="str">
        <x:f>IF(K1178="","","1 : "&amp;TEXT(K1178,"0.0"))</x:f>
      </x:c>
      <x:c r="M1178" s="66" t="str">
        <x:f>IF(J1178="","Baru/Tanpa Data",IF(J1178&lt;='Catatan &amp; Sumber'!$B$14,"Sangat Ketat",IF(J1178&lt;='Catatan &amp; Sumber'!$B$15,"Ketat",IF(J1178&lt;='Catatan &amp; Sumber'!$B$16,"Sedang","Relatif Longgar"))))</x:f>
        <x:v>Baru/Tanpa Data</x:v>
      </x:c>
      <x:c r="N1178" s="66" t="str">
        <x:v>Tidak Ada</x:v>
      </x:c>
      <x:c r="O1178" s="66" t="str">
        <x:v>Sumatera Selatan</x:v>
      </x:c>
      <x:c r="P1178" s="66" t="str">
        <x:v>Kota Palembang</x:v>
      </x:c>
      <x:c r="Q1178" s="66" t="str">
        <x:v>https://snpmb.id/snbp/daya-tampung-snbp</x:v>
      </x:c>
      <x:c r="R1178" s="66" t="str">
        <x:v>https://sidatagrun-public-1076756628210.asia-southeast2.run.app/ptn_sn.php?ptn=271</x:v>
      </x:c>
    </x:row>
    <x:row r="1179">
      <x:c r="A1179" s="87" t="n">
        <x:v>2716</x:v>
      </x:c>
      <x:c r="B1179" s="66" t="n">
        <x:v>271</x:v>
      </x:c>
      <x:c r="C1179" s="66" t="str">
        <x:v>POLITEKNIK NEGERI SRIWIJAYA</x:v>
      </x:c>
      <x:c r="D1179" s="66" t="str">
        <x:v>PTN Vokasi</x:v>
      </x:c>
      <x:c r="E1179" s="66" t="str">
        <x:v>22713019</x:v>
      </x:c>
      <x:c r="F1179" s="66" t="str">
        <x:v>TEKNIK KOMPUTER</x:v>
      </x:c>
      <x:c r="G1179" s="66" t="str">
        <x:v>Diploma Tiga</x:v>
      </x:c>
      <x:c r="H1179" s="87" t="n">
        <x:v>64</x:v>
      </x:c>
      <x:c r="I1179" s="87" t="n">
        <x:v>260</x:v>
      </x:c>
      <x:c r="J1179" s="68" t="n">
        <x:f>IFERROR(H1179/I1179,"")</x:f>
        <x:v>0.24615384615384617</x:v>
      </x:c>
      <x:c r="K1179" s="69" t="n">
        <x:f>IFERROR(I1179/H1179,"")</x:f>
        <x:v>4.0625</x:v>
      </x:c>
      <x:c r="L1179" s="66" t="str">
        <x:f>IF(K1179="","","1 : "&amp;TEXT(K1179,"0.0"))</x:f>
        <x:v>1 : 4.1</x:v>
      </x:c>
      <x:c r="M1179" s="66" t="str">
        <x:f>IF(J1179="","Baru/Tanpa Data",IF(J1179&lt;='Catatan &amp; Sumber'!$B$14,"Sangat Ketat",IF(J1179&lt;='Catatan &amp; Sumber'!$B$15,"Ketat",IF(J1179&lt;='Catatan &amp; Sumber'!$B$16,"Sedang","Relatif Longgar"))))</x:f>
        <x:v>Relatif Longgar</x:v>
      </x:c>
      <x:c r="N1179" s="66" t="str">
        <x:v>Tidak Ada</x:v>
      </x:c>
      <x:c r="O1179" s="66" t="str">
        <x:v>Sumatera Selatan</x:v>
      </x:c>
      <x:c r="P1179" s="66" t="str">
        <x:v>Kota Palembang</x:v>
      </x:c>
      <x:c r="Q1179" s="66" t="str">
        <x:v>https://snpmb.id/snbp/daya-tampung-snbp</x:v>
      </x:c>
      <x:c r="R1179" s="66" t="str">
        <x:v>https://sidatagrun-public-1076756628210.asia-southeast2.run.app/ptn_sn.php?ptn=271</x:v>
      </x:c>
    </x:row>
    <x:row r="1180">
      <x:c r="A1180" s="87" t="n">
        <x:v>2972</x:v>
      </x:c>
      <x:c r="B1180" s="66" t="n">
        <x:v>271</x:v>
      </x:c>
      <x:c r="C1180" s="66" t="str">
        <x:v>POLITEKNIK NEGERI SRIWIJAYA</x:v>
      </x:c>
      <x:c r="D1180" s="66" t="str">
        <x:v>PTN Vokasi</x:v>
      </x:c>
      <x:c r="E1180" s="66" t="str">
        <x:v>22713020</x:v>
      </x:c>
      <x:c r="F1180" s="66" t="str">
        <x:v>TEKNIK ELEKTRONIKA</x:v>
      </x:c>
      <x:c r="G1180" s="66" t="str">
        <x:v>Diploma Tiga</x:v>
      </x:c>
      <x:c r="H1180" s="87" t="n">
        <x:v>38</x:v>
      </x:c>
      <x:c r="I1180" s="87" t="n">
        <x:v>132</x:v>
      </x:c>
      <x:c r="J1180" s="68" t="n">
        <x:f>IFERROR(H1180/I1180,"")</x:f>
        <x:v>0.2878787878787879</x:v>
      </x:c>
      <x:c r="K1180" s="69" t="n">
        <x:f>IFERROR(I1180/H1180,"")</x:f>
        <x:v>3.473684210526316</x:v>
      </x:c>
      <x:c r="L1180" s="66" t="str">
        <x:f>IF(K1180="","","1 : "&amp;TEXT(K1180,"0.0"))</x:f>
        <x:v>1 : 3.5</x:v>
      </x:c>
      <x:c r="M1180" s="66" t="str">
        <x:f>IF(J1180="","Baru/Tanpa Data",IF(J1180&lt;='Catatan &amp; Sumber'!$B$14,"Sangat Ketat",IF(J1180&lt;='Catatan &amp; Sumber'!$B$15,"Ketat",IF(J1180&lt;='Catatan &amp; Sumber'!$B$16,"Sedang","Relatif Longgar"))))</x:f>
        <x:v>Relatif Longgar</x:v>
      </x:c>
      <x:c r="N1180" s="66" t="str">
        <x:v>Tidak Ada</x:v>
      </x:c>
      <x:c r="O1180" s="66" t="str">
        <x:v>Sumatera Selatan</x:v>
      </x:c>
      <x:c r="P1180" s="66" t="str">
        <x:v>Kota Palembang</x:v>
      </x:c>
      <x:c r="Q1180" s="66" t="str">
        <x:v>https://snpmb.id/snbp/daya-tampung-snbp</x:v>
      </x:c>
      <x:c r="R1180" s="66" t="str">
        <x:v>https://sidatagrun-public-1076756628210.asia-southeast2.run.app/ptn_sn.php?ptn=271</x:v>
      </x:c>
    </x:row>
    <x:row r="1181">
      <x:c r="A1181" s="87" t="n">
        <x:v>4812</x:v>
      </x:c>
      <x:c r="B1181" s="66" t="n">
        <x:v>271</x:v>
      </x:c>
      <x:c r="C1181" s="66" t="str">
        <x:v>POLITEKNIK NEGERI SRIWIJAYA</x:v>
      </x:c>
      <x:c r="D1181" s="66" t="str">
        <x:v>PTN Vokasi</x:v>
      </x:c>
      <x:c r="E1181" s="66" t="str">
        <x:v>22713021</x:v>
      </x:c>
      <x:c r="F1181" s="66" t="str">
        <x:v>TEKNIK KIMIA (KAMPUS KAB SIAK)</x:v>
      </x:c>
      <x:c r="G1181" s="66" t="str">
        <x:v>Diploma Tiga</x:v>
      </x:c>
      <x:c r="H1181" s="87" t="n">
        <x:v>12</x:v>
      </x:c>
      <x:c r="I1181" s="87" t="n">
        <x:v>3</x:v>
      </x:c>
      <x:c r="J1181" s="68" t="n">
        <x:f>IFERROR(H1181/I1181,"")</x:f>
        <x:v>4</x:v>
      </x:c>
      <x:c r="K1181" s="69" t="n">
        <x:f>IFERROR(I1181/H1181,"")</x:f>
        <x:v>0.25</x:v>
      </x:c>
      <x:c r="L1181" s="66" t="str">
        <x:f>IF(K1181="","","1 : "&amp;TEXT(K1181,"0.0"))</x:f>
        <x:v>1 : 0.3</x:v>
      </x:c>
      <x:c r="M1181" s="66" t="str">
        <x:f>IF(J1181="","Baru/Tanpa Data",IF(J1181&lt;='Catatan &amp; Sumber'!$B$14,"Sangat Ketat",IF(J1181&lt;='Catatan &amp; Sumber'!$B$15,"Ketat",IF(J1181&lt;='Catatan &amp; Sumber'!$B$16,"Sedang","Relatif Longgar"))))</x:f>
        <x:v>Relatif Longgar</x:v>
      </x:c>
      <x:c r="N1181" s="66" t="str">
        <x:v>Tidak Ada</x:v>
      </x:c>
      <x:c r="O1181" s="66" t="str">
        <x:v>Sumatera Selatan</x:v>
      </x:c>
      <x:c r="P1181" s="66" t="str">
        <x:v>Kota Palembang</x:v>
      </x:c>
      <x:c r="Q1181" s="66" t="str">
        <x:v>https://snpmb.id/snbp/daya-tampung-snbp</x:v>
      </x:c>
      <x:c r="R1181" s="66" t="str">
        <x:v>https://sidatagrun-public-1076756628210.asia-southeast2.run.app/ptn_sn.php?ptn=271</x:v>
      </x:c>
    </x:row>
    <x:row r="1182">
      <x:c r="A1182" s="87" t="n">
        <x:v>2226</x:v>
      </x:c>
      <x:c r="B1182" s="66" t="n">
        <x:v>271</x:v>
      </x:c>
      <x:c r="C1182" s="66" t="str">
        <x:v>POLITEKNIK NEGERI SRIWIJAYA</x:v>
      </x:c>
      <x:c r="D1182" s="66" t="str">
        <x:v>PTN Vokasi</x:v>
      </x:c>
      <x:c r="E1182" s="66" t="str">
        <x:v>22713022</x:v>
      </x:c>
      <x:c r="F1182" s="66" t="str">
        <x:v>TEKNIK MESIN</x:v>
      </x:c>
      <x:c r="G1182" s="66" t="str">
        <x:v>Diploma Tiga</x:v>
      </x:c>
      <x:c r="H1182" s="87" t="n">
        <x:v>72</x:v>
      </x:c>
      <x:c r="I1182" s="87" t="n">
        <x:v>410</x:v>
      </x:c>
      <x:c r="J1182" s="68" t="n">
        <x:f>IFERROR(H1182/I1182,"")</x:f>
        <x:v>0.17560975609756097</x:v>
      </x:c>
      <x:c r="K1182" s="69" t="n">
        <x:f>IFERROR(I1182/H1182,"")</x:f>
        <x:v>5.694444444444445</x:v>
      </x:c>
      <x:c r="L1182" s="66" t="str">
        <x:f>IF(K1182="","","1 : "&amp;TEXT(K1182,"0.0"))</x:f>
        <x:v>1 : 5.7</x:v>
      </x:c>
      <x:c r="M1182" s="66" t="str">
        <x:f>IF(J1182="","Baru/Tanpa Data",IF(J1182&lt;='Catatan &amp; Sumber'!$B$14,"Sangat Ketat",IF(J1182&lt;='Catatan &amp; Sumber'!$B$15,"Ketat",IF(J1182&lt;='Catatan &amp; Sumber'!$B$16,"Sedang","Relatif Longgar"))))</x:f>
        <x:v>Relatif Longgar</x:v>
      </x:c>
      <x:c r="N1182" s="66" t="str">
        <x:v>Tidak Ada</x:v>
      </x:c>
      <x:c r="O1182" s="66" t="str">
        <x:v>Sumatera Selatan</x:v>
      </x:c>
      <x:c r="P1182" s="66" t="str">
        <x:v>Kota Palembang</x:v>
      </x:c>
      <x:c r="Q1182" s="66" t="str">
        <x:v>https://snpmb.id/snbp/daya-tampung-snbp</x:v>
      </x:c>
      <x:c r="R1182" s="66" t="str">
        <x:v>https://sidatagrun-public-1076756628210.asia-southeast2.run.app/ptn_sn.php?ptn=271</x:v>
      </x:c>
    </x:row>
    <x:row r="1183">
      <x:c r="A1183" s="87" t="n">
        <x:v>2971</x:v>
      </x:c>
      <x:c r="B1183" s="66" t="n">
        <x:v>271</x:v>
      </x:c>
      <x:c r="C1183" s="66" t="str">
        <x:v>POLITEKNIK NEGERI SRIWIJAYA</x:v>
      </x:c>
      <x:c r="D1183" s="66" t="str">
        <x:v>PTN Vokasi</x:v>
      </x:c>
      <x:c r="E1183" s="66" t="str">
        <x:v>22713024</x:v>
      </x:c>
      <x:c r="F1183" s="66" t="str">
        <x:v>AKUNTANSI</x:v>
      </x:c>
      <x:c r="G1183" s="66" t="str">
        <x:v>Diploma Tiga</x:v>
      </x:c>
      <x:c r="H1183" s="87" t="n">
        <x:v>84</x:v>
      </x:c>
      <x:c r="I1183" s="87" t="n">
        <x:v>292</x:v>
      </x:c>
      <x:c r="J1183" s="68" t="n">
        <x:f>IFERROR(H1183/I1183,"")</x:f>
        <x:v>0.2876712328767123</x:v>
      </x:c>
      <x:c r="K1183" s="69" t="n">
        <x:f>IFERROR(I1183/H1183,"")</x:f>
        <x:v>3.4761904761904763</x:v>
      </x:c>
      <x:c r="L1183" s="66" t="str">
        <x:f>IF(K1183="","","1 : "&amp;TEXT(K1183,"0.0"))</x:f>
        <x:v>1 : 3.5</x:v>
      </x:c>
      <x:c r="M1183" s="66" t="str">
        <x:f>IF(J1183="","Baru/Tanpa Data",IF(J1183&lt;='Catatan &amp; Sumber'!$B$14,"Sangat Ketat",IF(J1183&lt;='Catatan &amp; Sumber'!$B$15,"Ketat",IF(J1183&lt;='Catatan &amp; Sumber'!$B$16,"Sedang","Relatif Longgar"))))</x:f>
        <x:v>Relatif Longgar</x:v>
      </x:c>
      <x:c r="N1183" s="66" t="str">
        <x:v>Tidak Ada</x:v>
      </x:c>
      <x:c r="O1183" s="66" t="str">
        <x:v>Sumatera Selatan</x:v>
      </x:c>
      <x:c r="P1183" s="66" t="str">
        <x:v>Kota Palembang</x:v>
      </x:c>
      <x:c r="Q1183" s="66" t="str">
        <x:v>https://snpmb.id/snbp/daya-tampung-snbp</x:v>
      </x:c>
      <x:c r="R1183" s="66" t="str">
        <x:v>https://sidatagrun-public-1076756628210.asia-southeast2.run.app/ptn_sn.php?ptn=271</x:v>
      </x:c>
    </x:row>
    <x:row r="1184">
      <x:c r="A1184" s="87" t="n">
        <x:v>3709</x:v>
      </x:c>
      <x:c r="B1184" s="66" t="n">
        <x:v>271</x:v>
      </x:c>
      <x:c r="C1184" s="66" t="str">
        <x:v>POLITEKNIK NEGERI SRIWIJAYA</x:v>
      </x:c>
      <x:c r="D1184" s="66" t="str">
        <x:v>PTN Vokasi</x:v>
      </x:c>
      <x:c r="E1184" s="66" t="str">
        <x:v>22713025</x:v>
      </x:c>
      <x:c r="F1184" s="66" t="str">
        <x:v>TEKNIK TELEKOMUNIKASI</x:v>
      </x:c>
      <x:c r="G1184" s="66" t="str">
        <x:v>Diploma Tiga</x:v>
      </x:c>
      <x:c r="H1184" s="87" t="n">
        <x:v>38</x:v>
      </x:c>
      <x:c r="I1184" s="87" t="n">
        <x:v>73</x:v>
      </x:c>
      <x:c r="J1184" s="68" t="n">
        <x:f>IFERROR(H1184/I1184,"")</x:f>
        <x:v>0.5205479452054794</x:v>
      </x:c>
      <x:c r="K1184" s="69" t="n">
        <x:f>IFERROR(I1184/H1184,"")</x:f>
        <x:v>1.9210526315789473</x:v>
      </x:c>
      <x:c r="L1184" s="66" t="str">
        <x:f>IF(K1184="","","1 : "&amp;TEXT(K1184,"0.0"))</x:f>
        <x:v>1 : 1.9</x:v>
      </x:c>
      <x:c r="M1184" s="66" t="str">
        <x:f>IF(J1184="","Baru/Tanpa Data",IF(J1184&lt;='Catatan &amp; Sumber'!$B$14,"Sangat Ketat",IF(J1184&lt;='Catatan &amp; Sumber'!$B$15,"Ketat",IF(J1184&lt;='Catatan &amp; Sumber'!$B$16,"Sedang","Relatif Longgar"))))</x:f>
        <x:v>Relatif Longgar</x:v>
      </x:c>
      <x:c r="N1184" s="66" t="str">
        <x:v>Tidak Ada</x:v>
      </x:c>
      <x:c r="O1184" s="66" t="str">
        <x:v>Sumatera Selatan</x:v>
      </x:c>
      <x:c r="P1184" s="66" t="str">
        <x:v>Kota Palembang</x:v>
      </x:c>
      <x:c r="Q1184" s="66" t="str">
        <x:v>https://snpmb.id/snbp/daya-tampung-snbp</x:v>
      </x:c>
      <x:c r="R1184" s="66" t="str">
        <x:v>https://sidatagrun-public-1076756628210.asia-southeast2.run.app/ptn_sn.php?ptn=271</x:v>
      </x:c>
    </x:row>
    <x:row r="1185">
      <x:c r="A1185" s="87" t="n">
        <x:v>2488</x:v>
      </x:c>
      <x:c r="B1185" s="66" t="n">
        <x:v>271</x:v>
      </x:c>
      <x:c r="C1185" s="66" t="str">
        <x:v>POLITEKNIK NEGERI SRIWIJAYA</x:v>
      </x:c>
      <x:c r="D1185" s="66" t="str">
        <x:v>PTN Vokasi</x:v>
      </x:c>
      <x:c r="E1185" s="66" t="str">
        <x:v>22713026</x:v>
      </x:c>
      <x:c r="F1185" s="66" t="str">
        <x:v>TEKNIK LISTRIK</x:v>
      </x:c>
      <x:c r="G1185" s="66" t="str">
        <x:v>Diploma Tiga</x:v>
      </x:c>
      <x:c r="H1185" s="87" t="n">
        <x:v>38</x:v>
      </x:c>
      <x:c r="I1185" s="87" t="n">
        <x:v>182</x:v>
      </x:c>
      <x:c r="J1185" s="68" t="n">
        <x:f>IFERROR(H1185/I1185,"")</x:f>
        <x:v>0.2087912087912088</x:v>
      </x:c>
      <x:c r="K1185" s="69" t="n">
        <x:f>IFERROR(I1185/H1185,"")</x:f>
        <x:v>4.7894736842105265</x:v>
      </x:c>
      <x:c r="L1185" s="66" t="str">
        <x:f>IF(K1185="","","1 : "&amp;TEXT(K1185,"0.0"))</x:f>
        <x:v>1 : 4.8</x:v>
      </x:c>
      <x:c r="M1185" s="66" t="str">
        <x:f>IF(J1185="","Baru/Tanpa Data",IF(J1185&lt;='Catatan &amp; Sumber'!$B$14,"Sangat Ketat",IF(J1185&lt;='Catatan &amp; Sumber'!$B$15,"Ketat",IF(J1185&lt;='Catatan &amp; Sumber'!$B$16,"Sedang","Relatif Longgar"))))</x:f>
        <x:v>Relatif Longgar</x:v>
      </x:c>
      <x:c r="N1185" s="66" t="str">
        <x:v>Tidak Ada</x:v>
      </x:c>
      <x:c r="O1185" s="66" t="str">
        <x:v>Sumatera Selatan</x:v>
      </x:c>
      <x:c r="P1185" s="66" t="str">
        <x:v>Kota Palembang</x:v>
      </x:c>
      <x:c r="Q1185" s="66" t="str">
        <x:v>https://snpmb.id/snbp/daya-tampung-snbp</x:v>
      </x:c>
      <x:c r="R1185" s="66" t="str">
        <x:v>https://sidatagrun-public-1076756628210.asia-southeast2.run.app/ptn_sn.php?ptn=271</x:v>
      </x:c>
    </x:row>
    <x:row r="1186">
      <x:c r="A1186" s="87" t="n">
        <x:v>3553</x:v>
      </x:c>
      <x:c r="B1186" s="66" t="n">
        <x:v>271</x:v>
      </x:c>
      <x:c r="C1186" s="66" t="str">
        <x:v>POLITEKNIK NEGERI SRIWIJAYA</x:v>
      </x:c>
      <x:c r="D1186" s="66" t="str">
        <x:v>PTN Vokasi</x:v>
      </x:c>
      <x:c r="E1186" s="66" t="str">
        <x:v>22713027</x:v>
      </x:c>
      <x:c r="F1186" s="66" t="str">
        <x:v>TEKNOLOGI PANGAN</x:v>
      </x:c>
      <x:c r="G1186" s="66" t="str">
        <x:v>Diploma Tiga</x:v>
      </x:c>
      <x:c r="H1186" s="87" t="n">
        <x:v>28</x:v>
      </x:c>
      <x:c r="I1186" s="87" t="n">
        <x:v>62</x:v>
      </x:c>
      <x:c r="J1186" s="68" t="n">
        <x:f>IFERROR(H1186/I1186,"")</x:f>
        <x:v>0.45161290322580644</x:v>
      </x:c>
      <x:c r="K1186" s="69" t="n">
        <x:f>IFERROR(I1186/H1186,"")</x:f>
        <x:v>2.2142857142857144</x:v>
      </x:c>
      <x:c r="L1186" s="66" t="str">
        <x:f>IF(K1186="","","1 : "&amp;TEXT(K1186,"0.0"))</x:f>
        <x:v>1 : 2.2</x:v>
      </x:c>
      <x:c r="M1186" s="66" t="str">
        <x:f>IF(J1186="","Baru/Tanpa Data",IF(J1186&lt;='Catatan &amp; Sumber'!$B$14,"Sangat Ketat",IF(J1186&lt;='Catatan &amp; Sumber'!$B$15,"Ketat",IF(J1186&lt;='Catatan &amp; Sumber'!$B$16,"Sedang","Relatif Longgar"))))</x:f>
        <x:v>Relatif Longgar</x:v>
      </x:c>
      <x:c r="N1186" s="66" t="str">
        <x:v>Tidak Ada</x:v>
      </x:c>
      <x:c r="O1186" s="66" t="str">
        <x:v>Sumatera Selatan</x:v>
      </x:c>
      <x:c r="P1186" s="66" t="str">
        <x:v>Kota Palembang</x:v>
      </x:c>
      <x:c r="Q1186" s="66" t="str">
        <x:v>https://snpmb.id/snbp/daya-tampung-snbp</x:v>
      </x:c>
      <x:c r="R1186" s="66" t="str">
        <x:v>https://sidatagrun-public-1076756628210.asia-southeast2.run.app/ptn_sn.php?ptn=271</x:v>
      </x:c>
    </x:row>
    <x:row r="1187">
      <x:c r="A1187" s="87" t="n">
        <x:v>4166</x:v>
      </x:c>
      <x:c r="B1187" s="66" t="n">
        <x:v>271</x:v>
      </x:c>
      <x:c r="C1187" s="66" t="str">
        <x:v>POLITEKNIK NEGERI SRIWIJAYA</x:v>
      </x:c>
      <x:c r="D1187" s="66" t="str">
        <x:v>PTN Vokasi</x:v>
      </x:c>
      <x:c r="E1187" s="66" t="str">
        <x:v>22713028</x:v>
      </x:c>
      <x:c r="F1187" s="66" t="str">
        <x:v>BAHASA INGGRIS</x:v>
      </x:c>
      <x:c r="G1187" s="66" t="str">
        <x:v>Diploma Tiga</x:v>
      </x:c>
      <x:c r="H1187" s="87" t="n">
        <x:v>48</x:v>
      </x:c>
      <x:c r="I1187" s="87" t="n">
        <x:v>58</x:v>
      </x:c>
      <x:c r="J1187" s="68" t="n">
        <x:f>IFERROR(H1187/I1187,"")</x:f>
        <x:v>0.8275862068965517</x:v>
      </x:c>
      <x:c r="K1187" s="69" t="n">
        <x:f>IFERROR(I1187/H1187,"")</x:f>
        <x:v>1.2083333333333333</x:v>
      </x:c>
      <x:c r="L1187" s="66" t="str">
        <x:f>IF(K1187="","","1 : "&amp;TEXT(K1187,"0.0"))</x:f>
        <x:v>1 : 1.2</x:v>
      </x:c>
      <x:c r="M1187" s="66" t="str">
        <x:f>IF(J1187="","Baru/Tanpa Data",IF(J1187&lt;='Catatan &amp; Sumber'!$B$14,"Sangat Ketat",IF(J1187&lt;='Catatan &amp; Sumber'!$B$15,"Ketat",IF(J1187&lt;='Catatan &amp; Sumber'!$B$16,"Sedang","Relatif Longgar"))))</x:f>
        <x:v>Relatif Longgar</x:v>
      </x:c>
      <x:c r="N1187" s="66" t="str">
        <x:v>Tidak Ada</x:v>
      </x:c>
      <x:c r="O1187" s="66" t="str">
        <x:v>Sumatera Selatan</x:v>
      </x:c>
      <x:c r="P1187" s="66" t="str">
        <x:v>Kota Palembang</x:v>
      </x:c>
      <x:c r="Q1187" s="66" t="str">
        <x:v>https://snpmb.id/snbp/daya-tampung-snbp</x:v>
      </x:c>
      <x:c r="R1187" s="66" t="str">
        <x:v>https://sidatagrun-public-1076756628210.asia-southeast2.run.app/ptn_sn.php?ptn=271</x:v>
      </x:c>
    </x:row>
    <x:row r="1188">
      <x:c r="A1188" s="87" t="n">
        <x:v>3508</x:v>
      </x:c>
      <x:c r="B1188" s="66" t="n">
        <x:v>271</x:v>
      </x:c>
      <x:c r="C1188" s="66" t="str">
        <x:v>POLITEKNIK NEGERI SRIWIJAYA</x:v>
      </x:c>
      <x:c r="D1188" s="66" t="str">
        <x:v>PTN Vokasi</x:v>
      </x:c>
      <x:c r="E1188" s="66" t="str">
        <x:v>22713029</x:v>
      </x:c>
      <x:c r="F1188" s="66" t="str">
        <x:v>MANAJEMEN INFORMATIKA</x:v>
      </x:c>
      <x:c r="G1188" s="66" t="str">
        <x:v>Diploma Tiga</x:v>
      </x:c>
      <x:c r="H1188" s="87" t="n">
        <x:v>72</x:v>
      </x:c>
      <x:c r="I1188" s="87" t="n">
        <x:v>165</x:v>
      </x:c>
      <x:c r="J1188" s="68" t="n">
        <x:f>IFERROR(H1188/I1188,"")</x:f>
        <x:v>0.43636363636363634</x:v>
      </x:c>
      <x:c r="K1188" s="69" t="n">
        <x:f>IFERROR(I1188/H1188,"")</x:f>
        <x:v>2.2916666666666665</x:v>
      </x:c>
      <x:c r="L1188" s="66" t="str">
        <x:f>IF(K1188="","","1 : "&amp;TEXT(K1188,"0.0"))</x:f>
        <x:v>1 : 2.3</x:v>
      </x:c>
      <x:c r="M1188" s="66" t="str">
        <x:f>IF(J1188="","Baru/Tanpa Data",IF(J1188&lt;='Catatan &amp; Sumber'!$B$14,"Sangat Ketat",IF(J1188&lt;='Catatan &amp; Sumber'!$B$15,"Ketat",IF(J1188&lt;='Catatan &amp; Sumber'!$B$16,"Sedang","Relatif Longgar"))))</x:f>
        <x:v>Relatif Longgar</x:v>
      </x:c>
      <x:c r="N1188" s="66" t="str">
        <x:v>Tidak Ada</x:v>
      </x:c>
      <x:c r="O1188" s="66" t="str">
        <x:v>Sumatera Selatan</x:v>
      </x:c>
      <x:c r="P1188" s="66" t="str">
        <x:v>Kota Palembang</x:v>
      </x:c>
      <x:c r="Q1188" s="66" t="str">
        <x:v>https://snpmb.id/snbp/daya-tampung-snbp</x:v>
      </x:c>
      <x:c r="R1188" s="66" t="str">
        <x:v>https://sidatagrun-public-1076756628210.asia-southeast2.run.app/ptn_sn.php?ptn=271</x:v>
      </x:c>
    </x:row>
    <x:row r="1189">
      <x:c r="A1189" s="87" t="n">
        <x:v>1904</x:v>
      </x:c>
      <x:c r="B1189" s="66" t="n">
        <x:v>271</x:v>
      </x:c>
      <x:c r="C1189" s="66" t="str">
        <x:v>POLITEKNIK NEGERI SRIWIJAYA</x:v>
      </x:c>
      <x:c r="D1189" s="66" t="str">
        <x:v>PTN Vokasi</x:v>
      </x:c>
      <x:c r="E1189" s="66" t="str">
        <x:v>22713030</x:v>
      </x:c>
      <x:c r="F1189" s="66" t="str">
        <x:v>TEKNIK SIPIL</x:v>
      </x:c>
      <x:c r="G1189" s="66" t="str">
        <x:v>Diploma Tiga</x:v>
      </x:c>
      <x:c r="H1189" s="87" t="n">
        <x:v>44</x:v>
      </x:c>
      <x:c r="I1189" s="87" t="n">
        <x:v>312</x:v>
      </x:c>
      <x:c r="J1189" s="68" t="n">
        <x:f>IFERROR(H1189/I1189,"")</x:f>
        <x:v>0.14102564102564102</x:v>
      </x:c>
      <x:c r="K1189" s="69" t="n">
        <x:f>IFERROR(I1189/H1189,"")</x:f>
        <x:v>7.090909090909091</x:v>
      </x:c>
      <x:c r="L1189" s="66" t="str">
        <x:f>IF(K1189="","","1 : "&amp;TEXT(K1189,"0.0"))</x:f>
        <x:v>1 : 7.1</x:v>
      </x:c>
      <x:c r="M1189" s="66" t="str">
        <x:f>IF(J1189="","Baru/Tanpa Data",IF(J1189&lt;='Catatan &amp; Sumber'!$B$14,"Sangat Ketat",IF(J1189&lt;='Catatan &amp; Sumber'!$B$15,"Ketat",IF(J1189&lt;='Catatan &amp; Sumber'!$B$16,"Sedang","Relatif Longgar"))))</x:f>
        <x:v>Relatif Longgar</x:v>
      </x:c>
      <x:c r="N1189" s="66" t="str">
        <x:v>Tidak Ada</x:v>
      </x:c>
      <x:c r="O1189" s="66" t="str">
        <x:v>Sumatera Selatan</x:v>
      </x:c>
      <x:c r="P1189" s="66" t="str">
        <x:v>Kota Palembang</x:v>
      </x:c>
      <x:c r="Q1189" s="66" t="str">
        <x:v>https://snpmb.id/snbp/daya-tampung-snbp</x:v>
      </x:c>
      <x:c r="R1189" s="66" t="str">
        <x:v>https://sidatagrun-public-1076756628210.asia-southeast2.run.app/ptn_sn.php?ptn=271</x:v>
      </x:c>
    </x:row>
    <x:row r="1190">
      <x:c r="A1190" s="87" t="n">
        <x:v>2501</x:v>
      </x:c>
      <x:c r="B1190" s="66" t="n">
        <x:v>271</x:v>
      </x:c>
      <x:c r="C1190" s="66" t="str">
        <x:v>POLITEKNIK NEGERI SRIWIJAYA</x:v>
      </x:c>
      <x:c r="D1190" s="66" t="str">
        <x:v>PTN Vokasi</x:v>
      </x:c>
      <x:c r="E1190" s="66" t="str">
        <x:v>22713031</x:v>
      </x:c>
      <x:c r="F1190" s="66" t="str">
        <x:v>TEKNIK KIMIA</x:v>
      </x:c>
      <x:c r="G1190" s="66" t="str">
        <x:v>Diploma Tiga</x:v>
      </x:c>
      <x:c r="H1190" s="87" t="n">
        <x:v>38</x:v>
      </x:c>
      <x:c r="I1190" s="87" t="n">
        <x:v>180</x:v>
      </x:c>
      <x:c r="J1190" s="68" t="n">
        <x:f>IFERROR(H1190/I1190,"")</x:f>
        <x:v>0.2111111111111111</x:v>
      </x:c>
      <x:c r="K1190" s="69" t="n">
        <x:f>IFERROR(I1190/H1190,"")</x:f>
        <x:v>4.7368421052631575</x:v>
      </x:c>
      <x:c r="L1190" s="66" t="str">
        <x:f>IF(K1190="","","1 : "&amp;TEXT(K1190,"0.0"))</x:f>
        <x:v>1 : 4.7</x:v>
      </x:c>
      <x:c r="M1190" s="66" t="str">
        <x:f>IF(J1190="","Baru/Tanpa Data",IF(J1190&lt;='Catatan &amp; Sumber'!$B$14,"Sangat Ketat",IF(J1190&lt;='Catatan &amp; Sumber'!$B$15,"Ketat",IF(J1190&lt;='Catatan &amp; Sumber'!$B$16,"Sedang","Relatif Longgar"))))</x:f>
        <x:v>Relatif Longgar</x:v>
      </x:c>
      <x:c r="N1190" s="66" t="str">
        <x:v>Tidak Ada</x:v>
      </x:c>
      <x:c r="O1190" s="66" t="str">
        <x:v>Sumatera Selatan</x:v>
      </x:c>
      <x:c r="P1190" s="66" t="str">
        <x:v>Kota Palembang</x:v>
      </x:c>
      <x:c r="Q1190" s="66" t="str">
        <x:v>https://snpmb.id/snbp/daya-tampung-snbp</x:v>
      </x:c>
      <x:c r="R1190" s="66" t="str">
        <x:v>https://sidatagrun-public-1076756628210.asia-southeast2.run.app/ptn_sn.php?ptn=271</x:v>
      </x:c>
    </x:row>
    <x:row r="1191">
      <x:c r="A1191" s="87" t="n">
        <x:v>2128</x:v>
      </x:c>
      <x:c r="B1191" s="66" t="n">
        <x:v>271</x:v>
      </x:c>
      <x:c r="C1191" s="66" t="str">
        <x:v>POLITEKNIK NEGERI SRIWIJAYA</x:v>
      </x:c>
      <x:c r="D1191" s="66" t="str">
        <x:v>PTN Vokasi</x:v>
      </x:c>
      <x:c r="E1191" s="66" t="str">
        <x:v>22713032</x:v>
      </x:c>
      <x:c r="F1191" s="66" t="str">
        <x:v>ADMINISTRASI BISNIS</x:v>
      </x:c>
      <x:c r="G1191" s="66" t="str">
        <x:v>Diploma Tiga</x:v>
      </x:c>
      <x:c r="H1191" s="87" t="n">
        <x:v>64</x:v>
      </x:c>
      <x:c r="I1191" s="87" t="n">
        <x:v>389</x:v>
      </x:c>
      <x:c r="J1191" s="68" t="n">
        <x:f>IFERROR(H1191/I1191,"")</x:f>
        <x:v>0.16452442159383032</x:v>
      </x:c>
      <x:c r="K1191" s="69" t="n">
        <x:f>IFERROR(I1191/H1191,"")</x:f>
        <x:v>6.078125</x:v>
      </x:c>
      <x:c r="L1191" s="66" t="str">
        <x:f>IF(K1191="","","1 : "&amp;TEXT(K1191,"0.0"))</x:f>
        <x:v>1 : 6.1</x:v>
      </x:c>
      <x:c r="M1191" s="66" t="str">
        <x:f>IF(J1191="","Baru/Tanpa Data",IF(J1191&lt;='Catatan &amp; Sumber'!$B$14,"Sangat Ketat",IF(J1191&lt;='Catatan &amp; Sumber'!$B$15,"Ketat",IF(J1191&lt;='Catatan &amp; Sumber'!$B$16,"Sedang","Relatif Longgar"))))</x:f>
        <x:v>Relatif Longgar</x:v>
      </x:c>
      <x:c r="N1191" s="66" t="str">
        <x:v>Tidak Ada</x:v>
      </x:c>
      <x:c r="O1191" s="66" t="str">
        <x:v>Sumatera Selatan</x:v>
      </x:c>
      <x:c r="P1191" s="66" t="str">
        <x:v>Kota Palembang</x:v>
      </x:c>
      <x:c r="Q1191" s="66" t="str">
        <x:v>https://snpmb.id/snbp/daya-tampung-snbp</x:v>
      </x:c>
      <x:c r="R1191" s="66" t="str">
        <x:v>https://sidatagrun-public-1076756628210.asia-southeast2.run.app/ptn_sn.php?ptn=271</x:v>
      </x:c>
    </x:row>
    <x:row r="1192">
      <x:c r="A1192" s="87" t="n">
        <x:v>3097</x:v>
      </x:c>
      <x:c r="B1192" s="66" t="n">
        <x:v>271</x:v>
      </x:c>
      <x:c r="C1192" s="66" t="str">
        <x:v>POLITEKNIK NEGERI SRIWIJAYA</x:v>
      </x:c>
      <x:c r="D1192" s="66" t="str">
        <x:v>PTN Vokasi</x:v>
      </x:c>
      <x:c r="E1192" s="66" t="str">
        <x:v>22713040</x:v>
      </x:c>
      <x:c r="F1192" s="66" t="str">
        <x:v>PEMELIHARAAN ALAT BERAT</x:v>
      </x:c>
      <x:c r="G1192" s="66" t="str">
        <x:v>Diploma Tiga</x:v>
      </x:c>
      <x:c r="H1192" s="87" t="n">
        <x:v>12</x:v>
      </x:c>
      <x:c r="I1192" s="87" t="n">
        <x:v>38</x:v>
      </x:c>
      <x:c r="J1192" s="68" t="n">
        <x:f>IFERROR(H1192/I1192,"")</x:f>
        <x:v>0.3157894736842105</x:v>
      </x:c>
      <x:c r="K1192" s="69" t="n">
        <x:f>IFERROR(I1192/H1192,"")</x:f>
        <x:v>3.1666666666666665</x:v>
      </x:c>
      <x:c r="L1192" s="66" t="str">
        <x:f>IF(K1192="","","1 : "&amp;TEXT(K1192,"0.0"))</x:f>
        <x:v>1 : 3.2</x:v>
      </x:c>
      <x:c r="M1192" s="66" t="str">
        <x:f>IF(J1192="","Baru/Tanpa Data",IF(J1192&lt;='Catatan &amp; Sumber'!$B$14,"Sangat Ketat",IF(J1192&lt;='Catatan &amp; Sumber'!$B$15,"Ketat",IF(J1192&lt;='Catatan &amp; Sumber'!$B$16,"Sedang","Relatif Longgar"))))</x:f>
        <x:v>Relatif Longgar</x:v>
      </x:c>
      <x:c r="N1192" s="66" t="str">
        <x:v>Tidak Ada</x:v>
      </x:c>
      <x:c r="O1192" s="66" t="str">
        <x:v>Sumatera Selatan</x:v>
      </x:c>
      <x:c r="P1192" s="66" t="str">
        <x:v>Kota Palembang</x:v>
      </x:c>
      <x:c r="Q1192" s="66" t="str">
        <x:v>https://snpmb.id/snbp/daya-tampung-snbp</x:v>
      </x:c>
      <x:c r="R1192" s="66" t="str">
        <x:v>https://sidatagrun-public-1076756628210.asia-southeast2.run.app/ptn_sn.php?ptn=271</x:v>
      </x:c>
    </x:row>
    <x:row r="1193">
      <x:c r="A1193" s="87" t="n">
        <x:v>2816</x:v>
      </x:c>
      <x:c r="B1193" s="66" t="n">
        <x:v>281</x:v>
      </x:c>
      <x:c r="C1193" s="66" t="str">
        <x:v>POLITEKNIK MANUFAKTUR NEGERI BANGKA BELITUNG</x:v>
      </x:c>
      <x:c r="D1193" s="66" t="str">
        <x:v>PTN Vokasi</x:v>
      </x:c>
      <x:c r="E1193" s="66" t="str">
        <x:v>22812001</x:v>
      </x:c>
      <x:c r="F1193" s="66" t="str">
        <x:v>TEKNIK MESIN DAN MANUFAKTUR</x:v>
      </x:c>
      <x:c r="G1193" s="66" t="str">
        <x:v>Sarjana Terapan</x:v>
      </x:c>
      <x:c r="H1193" s="87" t="n">
        <x:v>30</x:v>
      </x:c>
      <x:c r="I1193" s="87" t="n">
        <x:v>115</x:v>
      </x:c>
      <x:c r="J1193" s="68" t="n">
        <x:f>IFERROR(H1193/I1193,"")</x:f>
        <x:v>0.2608695652173913</x:v>
      </x:c>
      <x:c r="K1193" s="69" t="n">
        <x:f>IFERROR(I1193/H1193,"")</x:f>
        <x:v>3.8333333333333335</x:v>
      </x:c>
      <x:c r="L1193" s="66" t="str">
        <x:f>IF(K1193="","","1 : "&amp;TEXT(K1193,"0.0"))</x:f>
        <x:v>1 : 3.8</x:v>
      </x:c>
      <x:c r="M1193" s="66" t="str">
        <x:f>IF(J1193="","Baru/Tanpa Data",IF(J1193&lt;='Catatan &amp; Sumber'!$B$14,"Sangat Ketat",IF(J1193&lt;='Catatan &amp; Sumber'!$B$15,"Ketat",IF(J1193&lt;='Catatan &amp; Sumber'!$B$16,"Sedang","Relatif Longgar"))))</x:f>
        <x:v>Relatif Longgar</x:v>
      </x:c>
      <x:c r="N1193" s="66" t="str">
        <x:v>Tidak Ada</x:v>
      </x:c>
      <x:c r="O1193" s="66" t="str">
        <x:v>Kepulauan Bangka Belitung</x:v>
      </x:c>
      <x:c r="P1193" s="66" t="str">
        <x:v>Kabupaten Bangka</x:v>
      </x:c>
      <x:c r="Q1193" s="66" t="str">
        <x:v>https://snpmb.id/snbp/daya-tampung-snbp</x:v>
      </x:c>
      <x:c r="R1193" s="66" t="str">
        <x:v>https://sidatagrun-public-1076756628210.asia-southeast2.run.app/ptn_sn.php?ptn=281</x:v>
      </x:c>
    </x:row>
    <x:row r="1194">
      <x:c r="A1194" s="87" t="n">
        <x:v>2936</x:v>
      </x:c>
      <x:c r="B1194" s="66" t="n">
        <x:v>281</x:v>
      </x:c>
      <x:c r="C1194" s="66" t="str">
        <x:v>POLITEKNIK MANUFAKTUR NEGERI BANGKA BELITUNG</x:v>
      </x:c>
      <x:c r="D1194" s="66" t="str">
        <x:v>PTN Vokasi</x:v>
      </x:c>
      <x:c r="E1194" s="66" t="str">
        <x:v>22812002</x:v>
      </x:c>
      <x:c r="F1194" s="66" t="str">
        <x:v>TEKNIK ELEKTRONIKA</x:v>
      </x:c>
      <x:c r="G1194" s="66" t="str">
        <x:v>Sarjana Terapan</x:v>
      </x:c>
      <x:c r="H1194" s="87" t="n">
        <x:v>30</x:v>
      </x:c>
      <x:c r="I1194" s="87" t="n">
        <x:v>107</x:v>
      </x:c>
      <x:c r="J1194" s="68" t="n">
        <x:f>IFERROR(H1194/I1194,"")</x:f>
        <x:v>0.2803738317757009</x:v>
      </x:c>
      <x:c r="K1194" s="69" t="n">
        <x:f>IFERROR(I1194/H1194,"")</x:f>
        <x:v>3.566666666666667</x:v>
      </x:c>
      <x:c r="L1194" s="66" t="str">
        <x:f>IF(K1194="","","1 : "&amp;TEXT(K1194,"0.0"))</x:f>
        <x:v>1 : 3.6</x:v>
      </x:c>
      <x:c r="M1194" s="66" t="str">
        <x:f>IF(J1194="","Baru/Tanpa Data",IF(J1194&lt;='Catatan &amp; Sumber'!$B$14,"Sangat Ketat",IF(J1194&lt;='Catatan &amp; Sumber'!$B$15,"Ketat",IF(J1194&lt;='Catatan &amp; Sumber'!$B$16,"Sedang","Relatif Longgar"))))</x:f>
        <x:v>Relatif Longgar</x:v>
      </x:c>
      <x:c r="N1194" s="66" t="str">
        <x:v>Tidak Ada</x:v>
      </x:c>
      <x:c r="O1194" s="66" t="str">
        <x:v>Kepulauan Bangka Belitung</x:v>
      </x:c>
      <x:c r="P1194" s="66" t="str">
        <x:v>Kabupaten Bangka</x:v>
      </x:c>
      <x:c r="Q1194" s="66" t="str">
        <x:v>https://snpmb.id/snbp/daya-tampung-snbp</x:v>
      </x:c>
      <x:c r="R1194" s="66" t="str">
        <x:v>https://sidatagrun-public-1076756628210.asia-southeast2.run.app/ptn_sn.php?ptn=281</x:v>
      </x:c>
    </x:row>
    <x:row r="1195">
      <x:c r="A1195" s="87" t="n">
        <x:v>3525</x:v>
      </x:c>
      <x:c r="B1195" s="66" t="n">
        <x:v>281</x:v>
      </x:c>
      <x:c r="C1195" s="66" t="str">
        <x:v>POLITEKNIK MANUFAKTUR NEGERI BANGKA BELITUNG</x:v>
      </x:c>
      <x:c r="D1195" s="66" t="str">
        <x:v>PTN Vokasi</x:v>
      </x:c>
      <x:c r="E1195" s="66" t="str">
        <x:v>22812003</x:v>
      </x:c>
      <x:c r="F1195" s="66" t="str">
        <x:v>TEKNOLOGI REKAYASA PERANGKAT LUNAK</x:v>
      </x:c>
      <x:c r="G1195" s="66" t="str">
        <x:v>Sarjana Terapan</x:v>
      </x:c>
      <x:c r="H1195" s="87" t="n">
        <x:v>42</x:v>
      </x:c>
      <x:c r="I1195" s="87" t="n">
        <x:v>95</x:v>
      </x:c>
      <x:c r="J1195" s="68" t="n">
        <x:f>IFERROR(H1195/I1195,"")</x:f>
        <x:v>0.4421052631578947</x:v>
      </x:c>
      <x:c r="K1195" s="69" t="n">
        <x:f>IFERROR(I1195/H1195,"")</x:f>
        <x:v>2.261904761904762</x:v>
      </x:c>
      <x:c r="L1195" s="66" t="str">
        <x:f>IF(K1195="","","1 : "&amp;TEXT(K1195,"0.0"))</x:f>
        <x:v>1 : 2.3</x:v>
      </x:c>
      <x:c r="M1195" s="66" t="str">
        <x:f>IF(J1195="","Baru/Tanpa Data",IF(J1195&lt;='Catatan &amp; Sumber'!$B$14,"Sangat Ketat",IF(J1195&lt;='Catatan &amp; Sumber'!$B$15,"Ketat",IF(J1195&lt;='Catatan &amp; Sumber'!$B$16,"Sedang","Relatif Longgar"))))</x:f>
        <x:v>Relatif Longgar</x:v>
      </x:c>
      <x:c r="N1195" s="66" t="str">
        <x:v>Tidak Ada</x:v>
      </x:c>
      <x:c r="O1195" s="66" t="str">
        <x:v>Kepulauan Bangka Belitung</x:v>
      </x:c>
      <x:c r="P1195" s="66" t="str">
        <x:v>Kabupaten Bangka</x:v>
      </x:c>
      <x:c r="Q1195" s="66" t="str">
        <x:v>https://snpmb.id/snbp/daya-tampung-snbp</x:v>
      </x:c>
      <x:c r="R1195" s="66" t="str">
        <x:v>https://sidatagrun-public-1076756628210.asia-southeast2.run.app/ptn_sn.php?ptn=281</x:v>
      </x:c>
    </x:row>
    <x:row r="1196">
      <x:c r="A1196" s="87" t="n">
        <x:v>4518</x:v>
      </x:c>
      <x:c r="B1196" s="66" t="n">
        <x:v>281</x:v>
      </x:c>
      <x:c r="C1196" s="66" t="str">
        <x:v>POLITEKNIK MANUFAKTUR NEGERI BANGKA BELITUNG</x:v>
      </x:c>
      <x:c r="D1196" s="66" t="str">
        <x:v>PTN Vokasi</x:v>
      </x:c>
      <x:c r="E1196" s="66" t="str">
        <x:v>22812007</x:v>
      </x:c>
      <x:c r="F1196" s="66" t="str">
        <x:v>TEKNOLOGI REKAYASA PERANCANGAN MANUFAKTUR</x:v>
      </x:c>
      <x:c r="G1196" s="66" t="str">
        <x:v>Sarjana Terapan</x:v>
      </x:c>
      <x:c r="H1196" s="87" t="n">
        <x:v>18</x:v>
      </x:c>
      <x:c r="I1196" s="87" t="n">
        <x:v>13</x:v>
      </x:c>
      <x:c r="J1196" s="68" t="n">
        <x:f>IFERROR(H1196/I1196,"")</x:f>
        <x:v>1.3846153846153846</x:v>
      </x:c>
      <x:c r="K1196" s="69" t="n">
        <x:f>IFERROR(I1196/H1196,"")</x:f>
        <x:v>0.7222222222222222</x:v>
      </x:c>
      <x:c r="L1196" s="66" t="str">
        <x:f>IF(K1196="","","1 : "&amp;TEXT(K1196,"0.0"))</x:f>
        <x:v>1 : 0.7</x:v>
      </x:c>
      <x:c r="M1196" s="66" t="str">
        <x:f>IF(J1196="","Baru/Tanpa Data",IF(J1196&lt;='Catatan &amp; Sumber'!$B$14,"Sangat Ketat",IF(J1196&lt;='Catatan &amp; Sumber'!$B$15,"Ketat",IF(J1196&lt;='Catatan &amp; Sumber'!$B$16,"Sedang","Relatif Longgar"))))</x:f>
        <x:v>Relatif Longgar</x:v>
      </x:c>
      <x:c r="N1196" s="66" t="str">
        <x:v>Tidak Ada</x:v>
      </x:c>
      <x:c r="O1196" s="66" t="str">
        <x:v>Kepulauan Bangka Belitung</x:v>
      </x:c>
      <x:c r="P1196" s="66" t="str">
        <x:v>Kabupaten Bangka</x:v>
      </x:c>
      <x:c r="Q1196" s="66" t="str">
        <x:v>https://snpmb.id/snbp/daya-tampung-snbp</x:v>
      </x:c>
      <x:c r="R1196" s="66" t="str">
        <x:v>https://sidatagrun-public-1076756628210.asia-southeast2.run.app/ptn_sn.php?ptn=281</x:v>
      </x:c>
    </x:row>
    <x:row r="1197">
      <x:c r="A1197" s="87" t="n">
        <x:v>4085</x:v>
      </x:c>
      <x:c r="B1197" s="66" t="n">
        <x:v>281</x:v>
      </x:c>
      <x:c r="C1197" s="66" t="str">
        <x:v>POLITEKNIK MANUFAKTUR NEGERI BANGKA BELITUNG</x:v>
      </x:c>
      <x:c r="D1197" s="66" t="str">
        <x:v>PTN Vokasi</x:v>
      </x:c>
      <x:c r="E1197" s="66" t="str">
        <x:v>22812008</x:v>
      </x:c>
      <x:c r="F1197" s="66" t="str">
        <x:v>PERTANIAN PRESISI</x:v>
      </x:c>
      <x:c r="G1197" s="66" t="str">
        <x:v>Sarjana Terapan</x:v>
      </x:c>
      <x:c r="H1197" s="87" t="n">
        <x:v>30</x:v>
      </x:c>
      <x:c r="I1197" s="87" t="n">
        <x:v>40</x:v>
      </x:c>
      <x:c r="J1197" s="68" t="n">
        <x:f>IFERROR(H1197/I1197,"")</x:f>
        <x:v>0.75</x:v>
      </x:c>
      <x:c r="K1197" s="69" t="n">
        <x:f>IFERROR(I1197/H1197,"")</x:f>
        <x:v>1.3333333333333333</x:v>
      </x:c>
      <x:c r="L1197" s="66" t="str">
        <x:f>IF(K1197="","","1 : "&amp;TEXT(K1197,"0.0"))</x:f>
        <x:v>1 : 1.3</x:v>
      </x:c>
      <x:c r="M1197" s="66" t="str">
        <x:f>IF(J1197="","Baru/Tanpa Data",IF(J1197&lt;='Catatan &amp; Sumber'!$B$14,"Sangat Ketat",IF(J1197&lt;='Catatan &amp; Sumber'!$B$15,"Ketat",IF(J1197&lt;='Catatan &amp; Sumber'!$B$16,"Sedang","Relatif Longgar"))))</x:f>
        <x:v>Relatif Longgar</x:v>
      </x:c>
      <x:c r="N1197" s="66" t="str">
        <x:v>Tidak Ada</x:v>
      </x:c>
      <x:c r="O1197" s="66" t="str">
        <x:v>Kepulauan Bangka Belitung</x:v>
      </x:c>
      <x:c r="P1197" s="66" t="str">
        <x:v>Kabupaten Bangka</x:v>
      </x:c>
      <x:c r="Q1197" s="66" t="str">
        <x:v>https://snpmb.id/snbp/daya-tampung-snbp</x:v>
      </x:c>
      <x:c r="R1197" s="66" t="str">
        <x:v>https://sidatagrun-public-1076756628210.asia-southeast2.run.app/ptn_sn.php?ptn=281</x:v>
      </x:c>
    </x:row>
    <x:row r="1198">
      <x:c r="A1198" s="87" t="n">
        <x:v>3941</x:v>
      </x:c>
      <x:c r="B1198" s="66" t="n">
        <x:v>281</x:v>
      </x:c>
      <x:c r="C1198" s="66" t="str">
        <x:v>POLITEKNIK MANUFAKTUR NEGERI BANGKA BELITUNG</x:v>
      </x:c>
      <x:c r="D1198" s="66" t="str">
        <x:v>PTN Vokasi</x:v>
      </x:c>
      <x:c r="E1198" s="66" t="str">
        <x:v>22812009</x:v>
      </x:c>
      <x:c r="F1198" s="66" t="str">
        <x:v>BISNIS DIGITAL</x:v>
      </x:c>
      <x:c r="G1198" s="66" t="str">
        <x:v>Sarjana Terapan</x:v>
      </x:c>
      <x:c r="H1198" s="87" t="n">
        <x:v>42</x:v>
      </x:c>
      <x:c r="I1198" s="87" t="n">
        <x:v>65</x:v>
      </x:c>
      <x:c r="J1198" s="68" t="n">
        <x:f>IFERROR(H1198/I1198,"")</x:f>
        <x:v>0.6461538461538462</x:v>
      </x:c>
      <x:c r="K1198" s="69" t="n">
        <x:f>IFERROR(I1198/H1198,"")</x:f>
        <x:v>1.5476190476190477</x:v>
      </x:c>
      <x:c r="L1198" s="66" t="str">
        <x:f>IF(K1198="","","1 : "&amp;TEXT(K1198,"0.0"))</x:f>
        <x:v>1 : 1.5</x:v>
      </x:c>
      <x:c r="M1198" s="66" t="str">
        <x:f>IF(J1198="","Baru/Tanpa Data",IF(J1198&lt;='Catatan &amp; Sumber'!$B$14,"Sangat Ketat",IF(J1198&lt;='Catatan &amp; Sumber'!$B$15,"Ketat",IF(J1198&lt;='Catatan &amp; Sumber'!$B$16,"Sedang","Relatif Longgar"))))</x:f>
        <x:v>Relatif Longgar</x:v>
      </x:c>
      <x:c r="N1198" s="66" t="str">
        <x:v>Tidak Ada</x:v>
      </x:c>
      <x:c r="O1198" s="66" t="str">
        <x:v>Kepulauan Bangka Belitung</x:v>
      </x:c>
      <x:c r="P1198" s="66" t="str">
        <x:v>Kabupaten Bangka</x:v>
      </x:c>
      <x:c r="Q1198" s="66" t="str">
        <x:v>https://snpmb.id/snbp/daya-tampung-snbp</x:v>
      </x:c>
      <x:c r="R1198" s="66" t="str">
        <x:v>https://sidatagrun-public-1076756628210.asia-southeast2.run.app/ptn_sn.php?ptn=281</x:v>
      </x:c>
    </x:row>
    <x:row r="1199">
      <x:c r="A1199" s="87"/>
      <x:c r="B1199" s="66" t="n">
        <x:v>281</x:v>
      </x:c>
      <x:c r="C1199" s="66" t="str">
        <x:v>POLITEKNIK MANUFAKTUR NEGERI BANGKA BELITUNG</x:v>
      </x:c>
      <x:c r="D1199" s="66" t="str">
        <x:v>PTN Vokasi</x:v>
      </x:c>
      <x:c r="E1199" s="66" t="str">
        <x:v>22812010</x:v>
      </x:c>
      <x:c r="F1199" s="66" t="str">
        <x:v>PERBANKAN DAN KEUANGAN DIGITAL</x:v>
      </x:c>
      <x:c r="G1199" s="66" t="str">
        <x:v>Sarjana Terapan</x:v>
      </x:c>
      <x:c r="H1199" s="87" t="n">
        <x:v>36</x:v>
      </x:c>
      <x:c r="I1199" s="87"/>
      <x:c r="J1199" s="68" t="str">
        <x:f>IFERROR(H1199/I1199,"")</x:f>
      </x:c>
      <x:c r="K1199" s="69" t="n">
        <x:f>IFERROR(I1199/H1199,"")</x:f>
        <x:v>0</x:v>
      </x:c>
      <x:c r="L1199" s="66" t="str">
        <x:f>IF(K1199="","","1 : "&amp;TEXT(K1199,"0.0"))</x:f>
      </x:c>
      <x:c r="M1199" s="66" t="str">
        <x:f>IF(J1199="","Baru/Tanpa Data",IF(J1199&lt;='Catatan &amp; Sumber'!$B$14,"Sangat Ketat",IF(J1199&lt;='Catatan &amp; Sumber'!$B$15,"Ketat",IF(J1199&lt;='Catatan &amp; Sumber'!$B$16,"Sedang","Relatif Longgar"))))</x:f>
        <x:v>Baru/Tanpa Data</x:v>
      </x:c>
      <x:c r="N1199" s="66" t="str">
        <x:v>Tidak Ada</x:v>
      </x:c>
      <x:c r="O1199" s="66" t="str">
        <x:v>Kepulauan Bangka Belitung</x:v>
      </x:c>
      <x:c r="P1199" s="66" t="str">
        <x:v>Kabupaten Bangka</x:v>
      </x:c>
      <x:c r="Q1199" s="66" t="str">
        <x:v>https://snpmb.id/snbp/daya-tampung-snbp</x:v>
      </x:c>
      <x:c r="R1199" s="66" t="str">
        <x:v>https://sidatagrun-public-1076756628210.asia-southeast2.run.app/ptn_sn.php?ptn=281</x:v>
      </x:c>
    </x:row>
    <x:row r="1200">
      <x:c r="A1200" s="87" t="n">
        <x:v>4028</x:v>
      </x:c>
      <x:c r="B1200" s="66" t="n">
        <x:v>281</x:v>
      </x:c>
      <x:c r="C1200" s="66" t="str">
        <x:v>POLITEKNIK MANUFAKTUR NEGERI BANGKA BELITUNG</x:v>
      </x:c>
      <x:c r="D1200" s="66" t="str">
        <x:v>PTN Vokasi</x:v>
      </x:c>
      <x:c r="E1200" s="66" t="str">
        <x:v>22813004</x:v>
      </x:c>
      <x:c r="F1200" s="66" t="str">
        <x:v>TEKNIK PERAWATAN DAN PERBAIKAN MESIN</x:v>
      </x:c>
      <x:c r="G1200" s="66" t="str">
        <x:v>Diploma Tiga</x:v>
      </x:c>
      <x:c r="H1200" s="87" t="n">
        <x:v>36</x:v>
      </x:c>
      <x:c r="I1200" s="87" t="n">
        <x:v>51</x:v>
      </x:c>
      <x:c r="J1200" s="68" t="n">
        <x:f>IFERROR(H1200/I1200,"")</x:f>
        <x:v>0.7058823529411765</x:v>
      </x:c>
      <x:c r="K1200" s="69" t="n">
        <x:f>IFERROR(I1200/H1200,"")</x:f>
        <x:v>1.4166666666666667</x:v>
      </x:c>
      <x:c r="L1200" s="66" t="str">
        <x:f>IF(K1200="","","1 : "&amp;TEXT(K1200,"0.0"))</x:f>
        <x:v>1 : 1.4</x:v>
      </x:c>
      <x:c r="M1200" s="66" t="str">
        <x:f>IF(J1200="","Baru/Tanpa Data",IF(J1200&lt;='Catatan &amp; Sumber'!$B$14,"Sangat Ketat",IF(J1200&lt;='Catatan &amp; Sumber'!$B$15,"Ketat",IF(J1200&lt;='Catatan &amp; Sumber'!$B$16,"Sedang","Relatif Longgar"))))</x:f>
        <x:v>Relatif Longgar</x:v>
      </x:c>
      <x:c r="N1200" s="66" t="str">
        <x:v>Tidak Ada</x:v>
      </x:c>
      <x:c r="O1200" s="66" t="str">
        <x:v>Kepulauan Bangka Belitung</x:v>
      </x:c>
      <x:c r="P1200" s="66" t="str">
        <x:v>Kabupaten Bangka</x:v>
      </x:c>
      <x:c r="Q1200" s="66" t="str">
        <x:v>https://snpmb.id/snbp/daya-tampung-snbp</x:v>
      </x:c>
      <x:c r="R1200" s="66" t="str">
        <x:v>https://sidatagrun-public-1076756628210.asia-southeast2.run.app/ptn_sn.php?ptn=281</x:v>
      </x:c>
    </x:row>
    <x:row r="1201">
      <x:c r="A1201" s="87" t="n">
        <x:v>4733</x:v>
      </x:c>
      <x:c r="B1201" s="66" t="n">
        <x:v>281</x:v>
      </x:c>
      <x:c r="C1201" s="66" t="str">
        <x:v>POLITEKNIK MANUFAKTUR NEGERI BANGKA BELITUNG</x:v>
      </x:c>
      <x:c r="D1201" s="66" t="str">
        <x:v>PTN Vokasi</x:v>
      </x:c>
      <x:c r="E1201" s="66" t="str">
        <x:v>22813005</x:v>
      </x:c>
      <x:c r="F1201" s="66" t="str">
        <x:v>TEKNIK ELEKTRONIKA</x:v>
      </x:c>
      <x:c r="G1201" s="66" t="str">
        <x:v>Diploma Tiga</x:v>
      </x:c>
      <x:c r="H1201" s="87" t="n">
        <x:v>36</x:v>
      </x:c>
      <x:c r="I1201" s="87" t="n">
        <x:v>14</x:v>
      </x:c>
      <x:c r="J1201" s="68" t="n">
        <x:f>IFERROR(H1201/I1201,"")</x:f>
        <x:v>2.5714285714285716</x:v>
      </x:c>
      <x:c r="K1201" s="69" t="n">
        <x:f>IFERROR(I1201/H1201,"")</x:f>
        <x:v>0.3888888888888889</x:v>
      </x:c>
      <x:c r="L1201" s="66" t="str">
        <x:f>IF(K1201="","","1 : "&amp;TEXT(K1201,"0.0"))</x:f>
        <x:v>1 : 0.4</x:v>
      </x:c>
      <x:c r="M1201" s="66" t="str">
        <x:f>IF(J1201="","Baru/Tanpa Data",IF(J1201&lt;='Catatan &amp; Sumber'!$B$14,"Sangat Ketat",IF(J1201&lt;='Catatan &amp; Sumber'!$B$15,"Ketat",IF(J1201&lt;='Catatan &amp; Sumber'!$B$16,"Sedang","Relatif Longgar"))))</x:f>
        <x:v>Relatif Longgar</x:v>
      </x:c>
      <x:c r="N1201" s="66" t="str">
        <x:v>Tidak Ada</x:v>
      </x:c>
      <x:c r="O1201" s="66" t="str">
        <x:v>Kepulauan Bangka Belitung</x:v>
      </x:c>
      <x:c r="P1201" s="66" t="str">
        <x:v>Kabupaten Bangka</x:v>
      </x:c>
      <x:c r="Q1201" s="66" t="str">
        <x:v>https://snpmb.id/snbp/daya-tampung-snbp</x:v>
      </x:c>
      <x:c r="R1201" s="66" t="str">
        <x:v>https://sidatagrun-public-1076756628210.asia-southeast2.run.app/ptn_sn.php?ptn=281</x:v>
      </x:c>
    </x:row>
    <x:row r="1202">
      <x:c r="A1202" s="87" t="n">
        <x:v>4518</x:v>
      </x:c>
      <x:c r="B1202" s="66" t="n">
        <x:v>281</x:v>
      </x:c>
      <x:c r="C1202" s="66" t="str">
        <x:v>POLITEKNIK MANUFAKTUR NEGERI BANGKA BELITUNG</x:v>
      </x:c>
      <x:c r="D1202" s="66" t="str">
        <x:v>PTN Vokasi</x:v>
      </x:c>
      <x:c r="E1202" s="66" t="str">
        <x:v>22813006</x:v>
      </x:c>
      <x:c r="F1202" s="66" t="str">
        <x:v>TEKNIK PERANCANGAN MEKANIK</x:v>
      </x:c>
      <x:c r="G1202" s="66" t="str">
        <x:v>Diploma Tiga</x:v>
      </x:c>
      <x:c r="H1202" s="87" t="n">
        <x:v>18</x:v>
      </x:c>
      <x:c r="I1202" s="87" t="n">
        <x:v>13</x:v>
      </x:c>
      <x:c r="J1202" s="68" t="n">
        <x:f>IFERROR(H1202/I1202,"")</x:f>
        <x:v>1.3846153846153846</x:v>
      </x:c>
      <x:c r="K1202" s="69" t="n">
        <x:f>IFERROR(I1202/H1202,"")</x:f>
        <x:v>0.7222222222222222</x:v>
      </x:c>
      <x:c r="L1202" s="66" t="str">
        <x:f>IF(K1202="","","1 : "&amp;TEXT(K1202,"0.0"))</x:f>
        <x:v>1 : 0.7</x:v>
      </x:c>
      <x:c r="M1202" s="66" t="str">
        <x:f>IF(J1202="","Baru/Tanpa Data",IF(J1202&lt;='Catatan &amp; Sumber'!$B$14,"Sangat Ketat",IF(J1202&lt;='Catatan &amp; Sumber'!$B$15,"Ketat",IF(J1202&lt;='Catatan &amp; Sumber'!$B$16,"Sedang","Relatif Longgar"))))</x:f>
        <x:v>Relatif Longgar</x:v>
      </x:c>
      <x:c r="N1202" s="66" t="str">
        <x:v>Tidak Ada</x:v>
      </x:c>
      <x:c r="O1202" s="66" t="str">
        <x:v>Kepulauan Bangka Belitung</x:v>
      </x:c>
      <x:c r="P1202" s="66" t="str">
        <x:v>Kabupaten Bangka</x:v>
      </x:c>
      <x:c r="Q1202" s="66" t="str">
        <x:v>https://snpmb.id/snbp/daya-tampung-snbp</x:v>
      </x:c>
      <x:c r="R1202" s="66" t="str">
        <x:v>https://sidatagrun-public-1076756628210.asia-southeast2.run.app/ptn_sn.php?ptn=281</x:v>
      </x:c>
    </x:row>
    <x:row r="1203">
      <x:c r="A1203" s="87" t="n">
        <x:v>4749</x:v>
      </x:c>
      <x:c r="B1203" s="66" t="n">
        <x:v>291</x:v>
      </x:c>
      <x:c r="C1203" s="66" t="str">
        <x:v>POLITEKNIK NEGERI LAMPUNG</x:v>
      </x:c>
      <x:c r="D1203" s="66" t="str">
        <x:v>PTN Vokasi</x:v>
      </x:c>
      <x:c r="E1203" s="66" t="str">
        <x:v>22912001</x:v>
      </x:c>
      <x:c r="F1203" s="66" t="str">
        <x:v>TEKNOLOGI PERBENIHAN</x:v>
      </x:c>
      <x:c r="G1203" s="66" t="str">
        <x:v>Sarjana Terapan</x:v>
      </x:c>
      <x:c r="H1203" s="87" t="n">
        <x:v>42</x:v>
      </x:c>
      <x:c r="I1203" s="87" t="n">
        <x:v>15</x:v>
      </x:c>
      <x:c r="J1203" s="68" t="n">
        <x:f>IFERROR(H1203/I1203,"")</x:f>
        <x:v>2.8</x:v>
      </x:c>
      <x:c r="K1203" s="69" t="n">
        <x:f>IFERROR(I1203/H1203,"")</x:f>
        <x:v>0.35714285714285715</x:v>
      </x:c>
      <x:c r="L1203" s="66" t="str">
        <x:f>IF(K1203="","","1 : "&amp;TEXT(K1203,"0.0"))</x:f>
        <x:v>1 : 0.4</x:v>
      </x:c>
      <x:c r="M1203" s="66" t="str">
        <x:f>IF(J1203="","Baru/Tanpa Data",IF(J1203&lt;='Catatan &amp; Sumber'!$B$14,"Sangat Ketat",IF(J1203&lt;='Catatan &amp; Sumber'!$B$15,"Ketat",IF(J1203&lt;='Catatan &amp; Sumber'!$B$16,"Sedang","Relatif Longgar"))))</x:f>
        <x:v>Relatif Longgar</x:v>
      </x:c>
      <x:c r="N1203" s="66" t="str">
        <x:v>Tidak Ada</x:v>
      </x:c>
      <x:c r="O1203" s="66" t="str">
        <x:v>Lampung</x:v>
      </x:c>
      <x:c r="P1203" s="66" t="str">
        <x:v>Kota Bandar Lampung</x:v>
      </x:c>
      <x:c r="Q1203" s="66" t="str">
        <x:v>https://snpmb.id/snbp/daya-tampung-snbp</x:v>
      </x:c>
      <x:c r="R1203" s="66" t="str">
        <x:v>https://sidatagrun-public-1076756628210.asia-southeast2.run.app/ptn_sn.php?ptn=291</x:v>
      </x:c>
    </x:row>
    <x:row r="1204">
      <x:c r="A1204" s="87" t="n">
        <x:v>4739</x:v>
      </x:c>
      <x:c r="B1204" s="66" t="n">
        <x:v>291</x:v>
      </x:c>
      <x:c r="C1204" s="66" t="str">
        <x:v>POLITEKNIK NEGERI LAMPUNG</x:v>
      </x:c>
      <x:c r="D1204" s="66" t="str">
        <x:v>PTN Vokasi</x:v>
      </x:c>
      <x:c r="E1204" s="66" t="str">
        <x:v>22912002</x:v>
      </x:c>
      <x:c r="F1204" s="66" t="str">
        <x:v>TEKNOLOGI PRODUKSI TANAMAN HORTIKULTURA</x:v>
      </x:c>
      <x:c r="G1204" s="66" t="str">
        <x:v>Sarjana Terapan</x:v>
      </x:c>
      <x:c r="H1204" s="87" t="n">
        <x:v>56</x:v>
      </x:c>
      <x:c r="I1204" s="87" t="n">
        <x:v>21</x:v>
      </x:c>
      <x:c r="J1204" s="68" t="n">
        <x:f>IFERROR(H1204/I1204,"")</x:f>
        <x:v>2.6666666666666665</x:v>
      </x:c>
      <x:c r="K1204" s="69" t="n">
        <x:f>IFERROR(I1204/H1204,"")</x:f>
        <x:v>0.375</x:v>
      </x:c>
      <x:c r="L1204" s="66" t="str">
        <x:f>IF(K1204="","","1 : "&amp;TEXT(K1204,"0.0"))</x:f>
        <x:v>1 : 0.4</x:v>
      </x:c>
      <x:c r="M1204" s="66" t="str">
        <x:f>IF(J1204="","Baru/Tanpa Data",IF(J1204&lt;='Catatan &amp; Sumber'!$B$14,"Sangat Ketat",IF(J1204&lt;='Catatan &amp; Sumber'!$B$15,"Ketat",IF(J1204&lt;='Catatan &amp; Sumber'!$B$16,"Sedang","Relatif Longgar"))))</x:f>
        <x:v>Relatif Longgar</x:v>
      </x:c>
      <x:c r="N1204" s="66" t="str">
        <x:v>Tidak Ada</x:v>
      </x:c>
      <x:c r="O1204" s="66" t="str">
        <x:v>Lampung</x:v>
      </x:c>
      <x:c r="P1204" s="66" t="str">
        <x:v>Kota Bandar Lampung</x:v>
      </x:c>
      <x:c r="Q1204" s="66" t="str">
        <x:v>https://snpmb.id/snbp/daya-tampung-snbp</x:v>
      </x:c>
      <x:c r="R1204" s="66" t="str">
        <x:v>https://sidatagrun-public-1076756628210.asia-southeast2.run.app/ptn_sn.php?ptn=291</x:v>
      </x:c>
    </x:row>
    <x:row r="1205">
      <x:c r="A1205" s="87" t="n">
        <x:v>4451</x:v>
      </x:c>
      <x:c r="B1205" s="66" t="n">
        <x:v>291</x:v>
      </x:c>
      <x:c r="C1205" s="66" t="str">
        <x:v>POLITEKNIK NEGERI LAMPUNG</x:v>
      </x:c>
      <x:c r="D1205" s="66" t="str">
        <x:v>PTN Vokasi</x:v>
      </x:c>
      <x:c r="E1205" s="66" t="str">
        <x:v>22912003</x:v>
      </x:c>
      <x:c r="F1205" s="66" t="str">
        <x:v>PRODUKSI DAN MANAJEMEN INDUSTRI PERKEBUNAN</x:v>
      </x:c>
      <x:c r="G1205" s="66" t="str">
        <x:v>Sarjana Terapan</x:v>
      </x:c>
      <x:c r="H1205" s="87" t="n">
        <x:v>70</x:v>
      </x:c>
      <x:c r="I1205" s="87" t="n">
        <x:v>58</x:v>
      </x:c>
      <x:c r="J1205" s="68" t="n">
        <x:f>IFERROR(H1205/I1205,"")</x:f>
        <x:v>1.206896551724138</x:v>
      </x:c>
      <x:c r="K1205" s="69" t="n">
        <x:f>IFERROR(I1205/H1205,"")</x:f>
        <x:v>0.8285714285714286</x:v>
      </x:c>
      <x:c r="L1205" s="66" t="str">
        <x:f>IF(K1205="","","1 : "&amp;TEXT(K1205,"0.0"))</x:f>
        <x:v>1 : 0.8</x:v>
      </x:c>
      <x:c r="M1205" s="66" t="str">
        <x:f>IF(J1205="","Baru/Tanpa Data",IF(J1205&lt;='Catatan &amp; Sumber'!$B$14,"Sangat Ketat",IF(J1205&lt;='Catatan &amp; Sumber'!$B$15,"Ketat",IF(J1205&lt;='Catatan &amp; Sumber'!$B$16,"Sedang","Relatif Longgar"))))</x:f>
        <x:v>Relatif Longgar</x:v>
      </x:c>
      <x:c r="N1205" s="66" t="str">
        <x:v>Tidak Ada</x:v>
      </x:c>
      <x:c r="O1205" s="66" t="str">
        <x:v>Lampung</x:v>
      </x:c>
      <x:c r="P1205" s="66" t="str">
        <x:v>Kota Bandar Lampung</x:v>
      </x:c>
      <x:c r="Q1205" s="66" t="str">
        <x:v>https://snpmb.id/snbp/daya-tampung-snbp</x:v>
      </x:c>
      <x:c r="R1205" s="66" t="str">
        <x:v>https://sidatagrun-public-1076756628210.asia-southeast2.run.app/ptn_sn.php?ptn=291</x:v>
      </x:c>
    </x:row>
    <x:row r="1206">
      <x:c r="A1206" s="87" t="n">
        <x:v>4526</x:v>
      </x:c>
      <x:c r="B1206" s="66" t="n">
        <x:v>291</x:v>
      </x:c>
      <x:c r="C1206" s="66" t="str">
        <x:v>POLITEKNIK NEGERI LAMPUNG</x:v>
      </x:c>
      <x:c r="D1206" s="66" t="str">
        <x:v>PTN Vokasi</x:v>
      </x:c>
      <x:c r="E1206" s="66" t="str">
        <x:v>22912004</x:v>
      </x:c>
      <x:c r="F1206" s="66" t="str">
        <x:v>TEKNOLOGI REKASAYA KIMIA INDUSTRI</x:v>
      </x:c>
      <x:c r="G1206" s="66" t="str">
        <x:v>Sarjana Terapan</x:v>
      </x:c>
      <x:c r="H1206" s="87" t="n">
        <x:v>42</x:v>
      </x:c>
      <x:c r="I1206" s="87" t="n">
        <x:v>30</x:v>
      </x:c>
      <x:c r="J1206" s="68" t="n">
        <x:f>IFERROR(H1206/I1206,"")</x:f>
        <x:v>1.4</x:v>
      </x:c>
      <x:c r="K1206" s="69" t="n">
        <x:f>IFERROR(I1206/H1206,"")</x:f>
        <x:v>0.7142857142857143</x:v>
      </x:c>
      <x:c r="L1206" s="66" t="str">
        <x:f>IF(K1206="","","1 : "&amp;TEXT(K1206,"0.0"))</x:f>
        <x:v>1 : 0.7</x:v>
      </x:c>
      <x:c r="M1206" s="66" t="str">
        <x:f>IF(J1206="","Baru/Tanpa Data",IF(J1206&lt;='Catatan &amp; Sumber'!$B$14,"Sangat Ketat",IF(J1206&lt;='Catatan &amp; Sumber'!$B$15,"Ketat",IF(J1206&lt;='Catatan &amp; Sumber'!$B$16,"Sedang","Relatif Longgar"))))</x:f>
        <x:v>Relatif Longgar</x:v>
      </x:c>
      <x:c r="N1206" s="66" t="str">
        <x:v>Tidak Ada</x:v>
      </x:c>
      <x:c r="O1206" s="66" t="str">
        <x:v>Lampung</x:v>
      </x:c>
      <x:c r="P1206" s="66" t="str">
        <x:v>Kota Bandar Lampung</x:v>
      </x:c>
      <x:c r="Q1206" s="66" t="str">
        <x:v>https://snpmb.id/snbp/daya-tampung-snbp</x:v>
      </x:c>
      <x:c r="R1206" s="66" t="str">
        <x:v>https://sidatagrun-public-1076756628210.asia-southeast2.run.app/ptn_sn.php?ptn=291</x:v>
      </x:c>
    </x:row>
    <x:row r="1207">
      <x:c r="A1207" s="87" t="n">
        <x:v>4639</x:v>
      </x:c>
      <x:c r="B1207" s="66" t="n">
        <x:v>291</x:v>
      </x:c>
      <x:c r="C1207" s="66" t="str">
        <x:v>POLITEKNIK NEGERI LAMPUNG</x:v>
      </x:c>
      <x:c r="D1207" s="66" t="str">
        <x:v>PTN Vokasi</x:v>
      </x:c>
      <x:c r="E1207" s="66" t="str">
        <x:v>22912005</x:v>
      </x:c>
      <x:c r="F1207" s="66" t="str">
        <x:v>TEKNOLOGI REKAYASA KONSTRUKSI JALAN DAN JEMBATAN</x:v>
      </x:c>
      <x:c r="G1207" s="66" t="str">
        <x:v>Sarjana Terapan</x:v>
      </x:c>
      <x:c r="H1207" s="87" t="n">
        <x:v>40</x:v>
      </x:c>
      <x:c r="I1207" s="87" t="n">
        <x:v>22</x:v>
      </x:c>
      <x:c r="J1207" s="68" t="n">
        <x:f>IFERROR(H1207/I1207,"")</x:f>
        <x:v>1.8181818181818181</x:v>
      </x:c>
      <x:c r="K1207" s="69" t="n">
        <x:f>IFERROR(I1207/H1207,"")</x:f>
        <x:v>0.55</x:v>
      </x:c>
      <x:c r="L1207" s="66" t="str">
        <x:f>IF(K1207="","","1 : "&amp;TEXT(K1207,"0.0"))</x:f>
        <x:v>1 : 0.6</x:v>
      </x:c>
      <x:c r="M1207" s="66" t="str">
        <x:f>IF(J1207="","Baru/Tanpa Data",IF(J1207&lt;='Catatan &amp; Sumber'!$B$14,"Sangat Ketat",IF(J1207&lt;='Catatan &amp; Sumber'!$B$15,"Ketat",IF(J1207&lt;='Catatan &amp; Sumber'!$B$16,"Sedang","Relatif Longgar"))))</x:f>
        <x:v>Relatif Longgar</x:v>
      </x:c>
      <x:c r="N1207" s="66" t="str">
        <x:v>Tidak Ada</x:v>
      </x:c>
      <x:c r="O1207" s="66" t="str">
        <x:v>Lampung</x:v>
      </x:c>
      <x:c r="P1207" s="66" t="str">
        <x:v>Kota Bandar Lampung</x:v>
      </x:c>
      <x:c r="Q1207" s="66" t="str">
        <x:v>https://snpmb.id/snbp/daya-tampung-snbp</x:v>
      </x:c>
      <x:c r="R1207" s="66" t="str">
        <x:v>https://sidatagrun-public-1076756628210.asia-southeast2.run.app/ptn_sn.php?ptn=291</x:v>
      </x:c>
    </x:row>
    <x:row r="1208">
      <x:c r="A1208" s="87" t="n">
        <x:v>4720</x:v>
      </x:c>
      <x:c r="B1208" s="66" t="n">
        <x:v>291</x:v>
      </x:c>
      <x:c r="C1208" s="66" t="str">
        <x:v>POLITEKNIK NEGERI LAMPUNG</x:v>
      </x:c>
      <x:c r="D1208" s="66" t="str">
        <x:v>PTN Vokasi</x:v>
      </x:c>
      <x:c r="E1208" s="66" t="str">
        <x:v>22912006</x:v>
      </x:c>
      <x:c r="F1208" s="66" t="str">
        <x:v>PENGEMBANGAN PRODUK AGRO INDUSTRI</x:v>
      </x:c>
      <x:c r="G1208" s="66" t="str">
        <x:v>Sarjana Terapan</x:v>
      </x:c>
      <x:c r="H1208" s="87" t="n">
        <x:v>56</x:v>
      </x:c>
      <x:c r="I1208" s="87" t="n">
        <x:v>23</x:v>
      </x:c>
      <x:c r="J1208" s="68" t="n">
        <x:f>IFERROR(H1208/I1208,"")</x:f>
        <x:v>2.4347826086956523</x:v>
      </x:c>
      <x:c r="K1208" s="69" t="n">
        <x:f>IFERROR(I1208/H1208,"")</x:f>
        <x:v>0.4107142857142857</x:v>
      </x:c>
      <x:c r="L1208" s="66" t="str">
        <x:f>IF(K1208="","","1 : "&amp;TEXT(K1208,"0.0"))</x:f>
        <x:v>1 : 0.4</x:v>
      </x:c>
      <x:c r="M1208" s="66" t="str">
        <x:f>IF(J1208="","Baru/Tanpa Data",IF(J1208&lt;='Catatan &amp; Sumber'!$B$14,"Sangat Ketat",IF(J1208&lt;='Catatan &amp; Sumber'!$B$15,"Ketat",IF(J1208&lt;='Catatan &amp; Sumber'!$B$16,"Sedang","Relatif Longgar"))))</x:f>
        <x:v>Relatif Longgar</x:v>
      </x:c>
      <x:c r="N1208" s="66" t="str">
        <x:v>Tidak Ada</x:v>
      </x:c>
      <x:c r="O1208" s="66" t="str">
        <x:v>Lampung</x:v>
      </x:c>
      <x:c r="P1208" s="66" t="str">
        <x:v>Kota Bandar Lampung</x:v>
      </x:c>
      <x:c r="Q1208" s="66" t="str">
        <x:v>https://snpmb.id/snbp/daya-tampung-snbp</x:v>
      </x:c>
      <x:c r="R1208" s="66" t="str">
        <x:v>https://sidatagrun-public-1076756628210.asia-southeast2.run.app/ptn_sn.php?ptn=291</x:v>
      </x:c>
    </x:row>
    <x:row r="1209">
      <x:c r="A1209" s="87" t="n">
        <x:v>4462</x:v>
      </x:c>
      <x:c r="B1209" s="66" t="n">
        <x:v>291</x:v>
      </x:c>
      <x:c r="C1209" s="66" t="str">
        <x:v>POLITEKNIK NEGERI LAMPUNG</x:v>
      </x:c>
      <x:c r="D1209" s="66" t="str">
        <x:v>PTN Vokasi</x:v>
      </x:c>
      <x:c r="E1209" s="66" t="str">
        <x:v>22912007</x:v>
      </x:c>
      <x:c r="F1209" s="66" t="str">
        <x:v>TEKNOLOGI PRODUKSI TERNAK</x:v>
      </x:c>
      <x:c r="G1209" s="66" t="str">
        <x:v>Sarjana Terapan</x:v>
      </x:c>
      <x:c r="H1209" s="87" t="n">
        <x:v>56</x:v>
      </x:c>
      <x:c r="I1209" s="87" t="n">
        <x:v>45</x:v>
      </x:c>
      <x:c r="J1209" s="68" t="n">
        <x:f>IFERROR(H1209/I1209,"")</x:f>
        <x:v>1.2444444444444445</x:v>
      </x:c>
      <x:c r="K1209" s="69" t="n">
        <x:f>IFERROR(I1209/H1209,"")</x:f>
        <x:v>0.8035714285714286</x:v>
      </x:c>
      <x:c r="L1209" s="66" t="str">
        <x:f>IF(K1209="","","1 : "&amp;TEXT(K1209,"0.0"))</x:f>
        <x:v>1 : 0.8</x:v>
      </x:c>
      <x:c r="M1209" s="66" t="str">
        <x:f>IF(J1209="","Baru/Tanpa Data",IF(J1209&lt;='Catatan &amp; Sumber'!$B$14,"Sangat Ketat",IF(J1209&lt;='Catatan &amp; Sumber'!$B$15,"Ketat",IF(J1209&lt;='Catatan &amp; Sumber'!$B$16,"Sedang","Relatif Longgar"))))</x:f>
        <x:v>Relatif Longgar</x:v>
      </x:c>
      <x:c r="N1209" s="66" t="str">
        <x:v>Tidak Ada</x:v>
      </x:c>
      <x:c r="O1209" s="66" t="str">
        <x:v>Lampung</x:v>
      </x:c>
      <x:c r="P1209" s="66" t="str">
        <x:v>Kota Bandar Lampung</x:v>
      </x:c>
      <x:c r="Q1209" s="66" t="str">
        <x:v>https://snpmb.id/snbp/daya-tampung-snbp</x:v>
      </x:c>
      <x:c r="R1209" s="66" t="str">
        <x:v>https://sidatagrun-public-1076756628210.asia-southeast2.run.app/ptn_sn.php?ptn=291</x:v>
      </x:c>
    </x:row>
    <x:row r="1210">
      <x:c r="A1210" s="87" t="n">
        <x:v>4720</x:v>
      </x:c>
      <x:c r="B1210" s="66" t="n">
        <x:v>291</x:v>
      </x:c>
      <x:c r="C1210" s="66" t="str">
        <x:v>POLITEKNIK NEGERI LAMPUNG</x:v>
      </x:c>
      <x:c r="D1210" s="66" t="str">
        <x:v>PTN Vokasi</x:v>
      </x:c>
      <x:c r="E1210" s="66" t="str">
        <x:v>22912008</x:v>
      </x:c>
      <x:c r="F1210" s="66" t="str">
        <x:v>TEKNOLOGI PEMBENIHAN IKAN</x:v>
      </x:c>
      <x:c r="G1210" s="66" t="str">
        <x:v>Sarjana Terapan</x:v>
      </x:c>
      <x:c r="H1210" s="87" t="n">
        <x:v>56</x:v>
      </x:c>
      <x:c r="I1210" s="87" t="n">
        <x:v>23</x:v>
      </x:c>
      <x:c r="J1210" s="68" t="n">
        <x:f>IFERROR(H1210/I1210,"")</x:f>
        <x:v>2.4347826086956523</x:v>
      </x:c>
      <x:c r="K1210" s="69" t="n">
        <x:f>IFERROR(I1210/H1210,"")</x:f>
        <x:v>0.4107142857142857</x:v>
      </x:c>
      <x:c r="L1210" s="66" t="str">
        <x:f>IF(K1210="","","1 : "&amp;TEXT(K1210,"0.0"))</x:f>
        <x:v>1 : 0.4</x:v>
      </x:c>
      <x:c r="M1210" s="66" t="str">
        <x:f>IF(J1210="","Baru/Tanpa Data",IF(J1210&lt;='Catatan &amp; Sumber'!$B$14,"Sangat Ketat",IF(J1210&lt;='Catatan &amp; Sumber'!$B$15,"Ketat",IF(J1210&lt;='Catatan &amp; Sumber'!$B$16,"Sedang","Relatif Longgar"))))</x:f>
        <x:v>Relatif Longgar</x:v>
      </x:c>
      <x:c r="N1210" s="66" t="str">
        <x:v>Tidak Ada</x:v>
      </x:c>
      <x:c r="O1210" s="66" t="str">
        <x:v>Lampung</x:v>
      </x:c>
      <x:c r="P1210" s="66" t="str">
        <x:v>Kota Bandar Lampung</x:v>
      </x:c>
      <x:c r="Q1210" s="66" t="str">
        <x:v>https://snpmb.id/snbp/daya-tampung-snbp</x:v>
      </x:c>
      <x:c r="R1210" s="66" t="str">
        <x:v>https://sidatagrun-public-1076756628210.asia-southeast2.run.app/ptn_sn.php?ptn=291</x:v>
      </x:c>
    </x:row>
    <x:row r="1211">
      <x:c r="A1211" s="87" t="n">
        <x:v>4209</x:v>
      </x:c>
      <x:c r="B1211" s="66" t="n">
        <x:v>291</x:v>
      </x:c>
      <x:c r="C1211" s="66" t="str">
        <x:v>POLITEKNIK NEGERI LAMPUNG</x:v>
      </x:c>
      <x:c r="D1211" s="66" t="str">
        <x:v>PTN Vokasi</x:v>
      </x:c>
      <x:c r="E1211" s="66" t="str">
        <x:v>22912009</x:v>
      </x:c>
      <x:c r="F1211" s="66" t="str">
        <x:v>AGRIBISNIS PANGAN</x:v>
      </x:c>
      <x:c r="G1211" s="66" t="str">
        <x:v>Sarjana Terapan</x:v>
      </x:c>
      <x:c r="H1211" s="87" t="n">
        <x:v>70</x:v>
      </x:c>
      <x:c r="I1211" s="87" t="n">
        <x:v>81</x:v>
      </x:c>
      <x:c r="J1211" s="68" t="n">
        <x:f>IFERROR(H1211/I1211,"")</x:f>
        <x:v>0.8641975308641975</x:v>
      </x:c>
      <x:c r="K1211" s="69" t="n">
        <x:f>IFERROR(I1211/H1211,"")</x:f>
        <x:v>1.1571428571428573</x:v>
      </x:c>
      <x:c r="L1211" s="66" t="str">
        <x:f>IF(K1211="","","1 : "&amp;TEXT(K1211,"0.0"))</x:f>
        <x:v>1 : 1.2</x:v>
      </x:c>
      <x:c r="M1211" s="66" t="str">
        <x:f>IF(J1211="","Baru/Tanpa Data",IF(J1211&lt;='Catatan &amp; Sumber'!$B$14,"Sangat Ketat",IF(J1211&lt;='Catatan &amp; Sumber'!$B$15,"Ketat",IF(J1211&lt;='Catatan &amp; Sumber'!$B$16,"Sedang","Relatif Longgar"))))</x:f>
        <x:v>Relatif Longgar</x:v>
      </x:c>
      <x:c r="N1211" s="66" t="str">
        <x:v>Tidak Ada</x:v>
      </x:c>
      <x:c r="O1211" s="66" t="str">
        <x:v>Lampung</x:v>
      </x:c>
      <x:c r="P1211" s="66" t="str">
        <x:v>Kota Bandar Lampung</x:v>
      </x:c>
      <x:c r="Q1211" s="66" t="str">
        <x:v>https://snpmb.id/snbp/daya-tampung-snbp</x:v>
      </x:c>
      <x:c r="R1211" s="66" t="str">
        <x:v>https://sidatagrun-public-1076756628210.asia-southeast2.run.app/ptn_sn.php?ptn=291</x:v>
      </x:c>
    </x:row>
    <x:row r="1212">
      <x:c r="A1212" s="87" t="n">
        <x:v>4800</x:v>
      </x:c>
      <x:c r="B1212" s="66" t="n">
        <x:v>291</x:v>
      </x:c>
      <x:c r="C1212" s="66" t="str">
        <x:v>POLITEKNIK NEGERI LAMPUNG</x:v>
      </x:c>
      <x:c r="D1212" s="66" t="str">
        <x:v>PTN Vokasi</x:v>
      </x:c>
      <x:c r="E1212" s="66" t="str">
        <x:v>22912010</x:v>
      </x:c>
      <x:c r="F1212" s="66" t="str">
        <x:v>PENGELOLAAN PERKEBUNAN KOPI</x:v>
      </x:c>
      <x:c r="G1212" s="66" t="str">
        <x:v>Sarjana Terapan</x:v>
      </x:c>
      <x:c r="H1212" s="87" t="n">
        <x:v>28</x:v>
      </x:c>
      <x:c r="I1212" s="87" t="n">
        <x:v>8</x:v>
      </x:c>
      <x:c r="J1212" s="68" t="n">
        <x:f>IFERROR(H1212/I1212,"")</x:f>
        <x:v>3.5</x:v>
      </x:c>
      <x:c r="K1212" s="69" t="n">
        <x:f>IFERROR(I1212/H1212,"")</x:f>
        <x:v>0.2857142857142857</x:v>
      </x:c>
      <x:c r="L1212" s="66" t="str">
        <x:f>IF(K1212="","","1 : "&amp;TEXT(K1212,"0.0"))</x:f>
        <x:v>1 : 0.3</x:v>
      </x:c>
      <x:c r="M1212" s="66" t="str">
        <x:f>IF(J1212="","Baru/Tanpa Data",IF(J1212&lt;='Catatan &amp; Sumber'!$B$14,"Sangat Ketat",IF(J1212&lt;='Catatan &amp; Sumber'!$B$15,"Ketat",IF(J1212&lt;='Catatan &amp; Sumber'!$B$16,"Sedang","Relatif Longgar"))))</x:f>
        <x:v>Relatif Longgar</x:v>
      </x:c>
      <x:c r="N1212" s="66" t="str">
        <x:v>Tidak Ada</x:v>
      </x:c>
      <x:c r="O1212" s="66" t="str">
        <x:v>Lampung</x:v>
      </x:c>
      <x:c r="P1212" s="66" t="str">
        <x:v>Kota Bandar Lampung</x:v>
      </x:c>
      <x:c r="Q1212" s="66" t="str">
        <x:v>https://snpmb.id/snbp/daya-tampung-snbp</x:v>
      </x:c>
      <x:c r="R1212" s="66" t="str">
        <x:v>https://sidatagrun-public-1076756628210.asia-southeast2.run.app/ptn_sn.php?ptn=291</x:v>
      </x:c>
    </x:row>
    <x:row r="1213">
      <x:c r="A1213" s="87" t="n">
        <x:v>4426</x:v>
      </x:c>
      <x:c r="B1213" s="66" t="n">
        <x:v>291</x:v>
      </x:c>
      <x:c r="C1213" s="66" t="str">
        <x:v>POLITEKNIK NEGERI LAMPUNG</x:v>
      </x:c>
      <x:c r="D1213" s="66" t="str">
        <x:v>PTN Vokasi</x:v>
      </x:c>
      <x:c r="E1213" s="66" t="str">
        <x:v>22912011</x:v>
      </x:c>
      <x:c r="F1213" s="66" t="str">
        <x:v>PENGELOLAAN AGRIBISNIS</x:v>
      </x:c>
      <x:c r="G1213" s="66" t="str">
        <x:v>Sarjana Terapan</x:v>
      </x:c>
      <x:c r="H1213" s="87" t="n">
        <x:v>70</x:v>
      </x:c>
      <x:c r="I1213" s="87" t="n">
        <x:v>60</x:v>
      </x:c>
      <x:c r="J1213" s="68" t="n">
        <x:f>IFERROR(H1213/I1213,"")</x:f>
        <x:v>1.1666666666666667</x:v>
      </x:c>
      <x:c r="K1213" s="69" t="n">
        <x:f>IFERROR(I1213/H1213,"")</x:f>
        <x:v>0.8571428571428571</x:v>
      </x:c>
      <x:c r="L1213" s="66" t="str">
        <x:f>IF(K1213="","","1 : "&amp;TEXT(K1213,"0.0"))</x:f>
        <x:v>1 : 0.9</x:v>
      </x:c>
      <x:c r="M1213" s="66" t="str">
        <x:f>IF(J1213="","Baru/Tanpa Data",IF(J1213&lt;='Catatan &amp; Sumber'!$B$14,"Sangat Ketat",IF(J1213&lt;='Catatan &amp; Sumber'!$B$15,"Ketat",IF(J1213&lt;='Catatan &amp; Sumber'!$B$16,"Sedang","Relatif Longgar"))))</x:f>
        <x:v>Relatif Longgar</x:v>
      </x:c>
      <x:c r="N1213" s="66" t="str">
        <x:v>Tidak Ada</x:v>
      </x:c>
      <x:c r="O1213" s="66" t="str">
        <x:v>Lampung</x:v>
      </x:c>
      <x:c r="P1213" s="66" t="str">
        <x:v>Kota Bandar Lampung</x:v>
      </x:c>
      <x:c r="Q1213" s="66" t="str">
        <x:v>https://snpmb.id/snbp/daya-tampung-snbp</x:v>
      </x:c>
      <x:c r="R1213" s="66" t="str">
        <x:v>https://sidatagrun-public-1076756628210.asia-southeast2.run.app/ptn_sn.php?ptn=291</x:v>
      </x:c>
    </x:row>
    <x:row r="1214">
      <x:c r="A1214" s="87" t="n">
        <x:v>3408</x:v>
      </x:c>
      <x:c r="B1214" s="66" t="n">
        <x:v>291</x:v>
      </x:c>
      <x:c r="C1214" s="66" t="str">
        <x:v>POLITEKNIK NEGERI LAMPUNG</x:v>
      </x:c>
      <x:c r="D1214" s="66" t="str">
        <x:v>PTN Vokasi</x:v>
      </x:c>
      <x:c r="E1214" s="66" t="str">
        <x:v>22912012</x:v>
      </x:c>
      <x:c r="F1214" s="66" t="str">
        <x:v>AKUNTANSI PERPAJAKAN</x:v>
      </x:c>
      <x:c r="G1214" s="66" t="str">
        <x:v>Sarjana Terapan</x:v>
      </x:c>
      <x:c r="H1214" s="87" t="n">
        <x:v>68</x:v>
      </x:c>
      <x:c r="I1214" s="87" t="n">
        <x:v>168</x:v>
      </x:c>
      <x:c r="J1214" s="68" t="n">
        <x:f>IFERROR(H1214/I1214,"")</x:f>
        <x:v>0.40476190476190477</x:v>
      </x:c>
      <x:c r="K1214" s="69" t="n">
        <x:f>IFERROR(I1214/H1214,"")</x:f>
        <x:v>2.4705882352941178</x:v>
      </x:c>
      <x:c r="L1214" s="66" t="str">
        <x:f>IF(K1214="","","1 : "&amp;TEXT(K1214,"0.0"))</x:f>
        <x:v>1 : 2.5</x:v>
      </x:c>
      <x:c r="M1214" s="66" t="str">
        <x:f>IF(J1214="","Baru/Tanpa Data",IF(J1214&lt;='Catatan &amp; Sumber'!$B$14,"Sangat Ketat",IF(J1214&lt;='Catatan &amp; Sumber'!$B$15,"Ketat",IF(J1214&lt;='Catatan &amp; Sumber'!$B$16,"Sedang","Relatif Longgar"))))</x:f>
        <x:v>Relatif Longgar</x:v>
      </x:c>
      <x:c r="N1214" s="66" t="str">
        <x:v>Tidak Ada</x:v>
      </x:c>
      <x:c r="O1214" s="66" t="str">
        <x:v>Lampung</x:v>
      </x:c>
      <x:c r="P1214" s="66" t="str">
        <x:v>Kota Bandar Lampung</x:v>
      </x:c>
      <x:c r="Q1214" s="66" t="str">
        <x:v>https://snpmb.id/snbp/daya-tampung-snbp</x:v>
      </x:c>
      <x:c r="R1214" s="66" t="str">
        <x:v>https://sidatagrun-public-1076756628210.asia-southeast2.run.app/ptn_sn.php?ptn=291</x:v>
      </x:c>
    </x:row>
    <x:row r="1215">
      <x:c r="A1215" s="87" t="n">
        <x:v>4342</x:v>
      </x:c>
      <x:c r="B1215" s="66" t="n">
        <x:v>291</x:v>
      </x:c>
      <x:c r="C1215" s="66" t="str">
        <x:v>POLITEKNIK NEGERI LAMPUNG</x:v>
      </x:c>
      <x:c r="D1215" s="66" t="str">
        <x:v>PTN Vokasi</x:v>
      </x:c>
      <x:c r="E1215" s="66" t="str">
        <x:v>22912014</x:v>
      </x:c>
      <x:c r="F1215" s="66" t="str">
        <x:v>PENGELOLAAN PERHOTELAN</x:v>
      </x:c>
      <x:c r="G1215" s="66" t="str">
        <x:v>Sarjana Terapan</x:v>
      </x:c>
      <x:c r="H1215" s="87" t="n">
        <x:v>70</x:v>
      </x:c>
      <x:c r="I1215" s="87" t="n">
        <x:v>68</x:v>
      </x:c>
      <x:c r="J1215" s="68" t="n">
        <x:f>IFERROR(H1215/I1215,"")</x:f>
        <x:v>1.0294117647058822</x:v>
      </x:c>
      <x:c r="K1215" s="69" t="n">
        <x:f>IFERROR(I1215/H1215,"")</x:f>
        <x:v>0.9714285714285714</x:v>
      </x:c>
      <x:c r="L1215" s="66" t="str">
        <x:f>IF(K1215="","","1 : "&amp;TEXT(K1215,"0.0"))</x:f>
        <x:v>1 : 1.0</x:v>
      </x:c>
      <x:c r="M1215" s="66" t="str">
        <x:f>IF(J1215="","Baru/Tanpa Data",IF(J1215&lt;='Catatan &amp; Sumber'!$B$14,"Sangat Ketat",IF(J1215&lt;='Catatan &amp; Sumber'!$B$15,"Ketat",IF(J1215&lt;='Catatan &amp; Sumber'!$B$16,"Sedang","Relatif Longgar"))))</x:f>
        <x:v>Relatif Longgar</x:v>
      </x:c>
      <x:c r="N1215" s="66" t="str">
        <x:v>Tidak Ada</x:v>
      </x:c>
      <x:c r="O1215" s="66" t="str">
        <x:v>Lampung</x:v>
      </x:c>
      <x:c r="P1215" s="66" t="str">
        <x:v>Kota Bandar Lampung</x:v>
      </x:c>
      <x:c r="Q1215" s="66" t="str">
        <x:v>https://snpmb.id/snbp/daya-tampung-snbp</x:v>
      </x:c>
      <x:c r="R1215" s="66" t="str">
        <x:v>https://sidatagrun-public-1076756628210.asia-southeast2.run.app/ptn_sn.php?ptn=291</x:v>
      </x:c>
    </x:row>
    <x:row r="1216">
      <x:c r="A1216" s="87" t="n">
        <x:v>3718</x:v>
      </x:c>
      <x:c r="B1216" s="66" t="n">
        <x:v>291</x:v>
      </x:c>
      <x:c r="C1216" s="66" t="str">
        <x:v>POLITEKNIK NEGERI LAMPUNG</x:v>
      </x:c>
      <x:c r="D1216" s="66" t="str">
        <x:v>PTN Vokasi</x:v>
      </x:c>
      <x:c r="E1216" s="66" t="str">
        <x:v>22912015</x:v>
      </x:c>
      <x:c r="F1216" s="66" t="str">
        <x:v>AKUNTANSI BISNIS DIGITAL</x:v>
      </x:c>
      <x:c r="G1216" s="66" t="str">
        <x:v>Sarjana Terapan</x:v>
      </x:c>
      <x:c r="H1216" s="87" t="n">
        <x:v>70</x:v>
      </x:c>
      <x:c r="I1216" s="87" t="n">
        <x:v>134</x:v>
      </x:c>
      <x:c r="J1216" s="68" t="n">
        <x:f>IFERROR(H1216/I1216,"")</x:f>
        <x:v>0.5223880597014925</x:v>
      </x:c>
      <x:c r="K1216" s="69" t="n">
        <x:f>IFERROR(I1216/H1216,"")</x:f>
        <x:v>1.9142857142857144</x:v>
      </x:c>
      <x:c r="L1216" s="66" t="str">
        <x:f>IF(K1216="","","1 : "&amp;TEXT(K1216,"0.0"))</x:f>
        <x:v>1 : 1.9</x:v>
      </x:c>
      <x:c r="M1216" s="66" t="str">
        <x:f>IF(J1216="","Baru/Tanpa Data",IF(J1216&lt;='Catatan &amp; Sumber'!$B$14,"Sangat Ketat",IF(J1216&lt;='Catatan &amp; Sumber'!$B$15,"Ketat",IF(J1216&lt;='Catatan &amp; Sumber'!$B$16,"Sedang","Relatif Longgar"))))</x:f>
        <x:v>Relatif Longgar</x:v>
      </x:c>
      <x:c r="N1216" s="66" t="str">
        <x:v>Tidak Ada</x:v>
      </x:c>
      <x:c r="O1216" s="66" t="str">
        <x:v>Lampung</x:v>
      </x:c>
      <x:c r="P1216" s="66" t="str">
        <x:v>Kota Bandar Lampung</x:v>
      </x:c>
      <x:c r="Q1216" s="66" t="str">
        <x:v>https://snpmb.id/snbp/daya-tampung-snbp</x:v>
      </x:c>
      <x:c r="R1216" s="66" t="str">
        <x:v>https://sidatagrun-public-1076756628210.asia-southeast2.run.app/ptn_sn.php?ptn=291</x:v>
      </x:c>
    </x:row>
    <x:row r="1217">
      <x:c r="A1217" s="87" t="n">
        <x:v>4759</x:v>
      </x:c>
      <x:c r="B1217" s="66" t="n">
        <x:v>291</x:v>
      </x:c>
      <x:c r="C1217" s="66" t="str">
        <x:v>POLITEKNIK NEGERI LAMPUNG</x:v>
      </x:c>
      <x:c r="D1217" s="66" t="str">
        <x:v>PTN Vokasi</x:v>
      </x:c>
      <x:c r="E1217" s="66" t="str">
        <x:v>22912029</x:v>
      </x:c>
      <x:c r="F1217" s="66" t="str">
        <x:v>TEKNOLOGI PAKAN TERNAK</x:v>
      </x:c>
      <x:c r="G1217" s="66" t="str">
        <x:v>Sarjana Terapan</x:v>
      </x:c>
      <x:c r="H1217" s="87" t="n">
        <x:v>42</x:v>
      </x:c>
      <x:c r="I1217" s="87" t="n">
        <x:v>14</x:v>
      </x:c>
      <x:c r="J1217" s="68" t="n">
        <x:f>IFERROR(H1217/I1217,"")</x:f>
        <x:v>3</x:v>
      </x:c>
      <x:c r="K1217" s="69" t="n">
        <x:f>IFERROR(I1217/H1217,"")</x:f>
        <x:v>0.3333333333333333</x:v>
      </x:c>
      <x:c r="L1217" s="66" t="str">
        <x:f>IF(K1217="","","1 : "&amp;TEXT(K1217,"0.0"))</x:f>
        <x:v>1 : 0.3</x:v>
      </x:c>
      <x:c r="M1217" s="66" t="str">
        <x:f>IF(J1217="","Baru/Tanpa Data",IF(J1217&lt;='Catatan &amp; Sumber'!$B$14,"Sangat Ketat",IF(J1217&lt;='Catatan &amp; Sumber'!$B$15,"Ketat",IF(J1217&lt;='Catatan &amp; Sumber'!$B$16,"Sedang","Relatif Longgar"))))</x:f>
        <x:v>Relatif Longgar</x:v>
      </x:c>
      <x:c r="N1217" s="66" t="str">
        <x:v>Tidak Ada</x:v>
      </x:c>
      <x:c r="O1217" s="66" t="str">
        <x:v>Lampung</x:v>
      </x:c>
      <x:c r="P1217" s="66" t="str">
        <x:v>Kota Bandar Lampung</x:v>
      </x:c>
      <x:c r="Q1217" s="66" t="str">
        <x:v>https://snpmb.id/snbp/daya-tampung-snbp</x:v>
      </x:c>
      <x:c r="R1217" s="66" t="str">
        <x:v>https://sidatagrun-public-1076756628210.asia-southeast2.run.app/ptn_sn.php?ptn=291</x:v>
      </x:c>
    </x:row>
    <x:row r="1218">
      <x:c r="A1218" s="87" t="n">
        <x:v>4572</x:v>
      </x:c>
      <x:c r="B1218" s="66" t="n">
        <x:v>291</x:v>
      </x:c>
      <x:c r="C1218" s="66" t="str">
        <x:v>POLITEKNIK NEGERI LAMPUNG</x:v>
      </x:c>
      <x:c r="D1218" s="66" t="str">
        <x:v>PTN Vokasi</x:v>
      </x:c>
      <x:c r="E1218" s="66" t="str">
        <x:v>22912030</x:v>
      </x:c>
      <x:c r="F1218" s="66" t="str">
        <x:v>TEKNOLOGI REKAYASA INTERNET</x:v>
      </x:c>
      <x:c r="G1218" s="66" t="str">
        <x:v>Sarjana Terapan</x:v>
      </x:c>
      <x:c r="H1218" s="87" t="n">
        <x:v>70</x:v>
      </x:c>
      <x:c r="I1218" s="87" t="n">
        <x:v>46</x:v>
      </x:c>
      <x:c r="J1218" s="68" t="n">
        <x:f>IFERROR(H1218/I1218,"")</x:f>
        <x:v>1.5217391304347827</x:v>
      </x:c>
      <x:c r="K1218" s="69" t="n">
        <x:f>IFERROR(I1218/H1218,"")</x:f>
        <x:v>0.6571428571428571</x:v>
      </x:c>
      <x:c r="L1218" s="66" t="str">
        <x:f>IF(K1218="","","1 : "&amp;TEXT(K1218,"0.0"))</x:f>
        <x:v>1 : 0.7</x:v>
      </x:c>
      <x:c r="M1218" s="66" t="str">
        <x:f>IF(J1218="","Baru/Tanpa Data",IF(J1218&lt;='Catatan &amp; Sumber'!$B$14,"Sangat Ketat",IF(J1218&lt;='Catatan &amp; Sumber'!$B$15,"Ketat",IF(J1218&lt;='Catatan &amp; Sumber'!$B$16,"Sedang","Relatif Longgar"))))</x:f>
        <x:v>Relatif Longgar</x:v>
      </x:c>
      <x:c r="N1218" s="66" t="str">
        <x:v>Tidak Ada</x:v>
      </x:c>
      <x:c r="O1218" s="66" t="str">
        <x:v>Lampung</x:v>
      </x:c>
      <x:c r="P1218" s="66" t="str">
        <x:v>Kota Bandar Lampung</x:v>
      </x:c>
      <x:c r="Q1218" s="66" t="str">
        <x:v>https://snpmb.id/snbp/daya-tampung-snbp</x:v>
      </x:c>
      <x:c r="R1218" s="66" t="str">
        <x:v>https://sidatagrun-public-1076756628210.asia-southeast2.run.app/ptn_sn.php?ptn=291</x:v>
      </x:c>
    </x:row>
    <x:row r="1219">
      <x:c r="A1219" s="87" t="n">
        <x:v>4249</x:v>
      </x:c>
      <x:c r="B1219" s="66" t="n">
        <x:v>291</x:v>
      </x:c>
      <x:c r="C1219" s="66" t="str">
        <x:v>POLITEKNIK NEGERI LAMPUNG</x:v>
      </x:c>
      <x:c r="D1219" s="66" t="str">
        <x:v>PTN Vokasi</x:v>
      </x:c>
      <x:c r="E1219" s="66" t="str">
        <x:v>22912032</x:v>
      </x:c>
      <x:c r="F1219" s="66" t="str">
        <x:v>TEKNOLOGI REKAYASA PERANGKAT LUNAK</x:v>
      </x:c>
      <x:c r="G1219" s="66" t="str">
        <x:v>Sarjana Terapan</x:v>
      </x:c>
      <x:c r="H1219" s="87" t="n">
        <x:v>56</x:v>
      </x:c>
      <x:c r="I1219" s="87" t="n">
        <x:v>62</x:v>
      </x:c>
      <x:c r="J1219" s="68" t="n">
        <x:f>IFERROR(H1219/I1219,"")</x:f>
        <x:v>0.9032258064516129</x:v>
      </x:c>
      <x:c r="K1219" s="69" t="n">
        <x:f>IFERROR(I1219/H1219,"")</x:f>
        <x:v>1.1071428571428572</x:v>
      </x:c>
      <x:c r="L1219" s="66" t="str">
        <x:f>IF(K1219="","","1 : "&amp;TEXT(K1219,"0.0"))</x:f>
        <x:v>1 : 1.1</x:v>
      </x:c>
      <x:c r="M1219" s="66" t="str">
        <x:f>IF(J1219="","Baru/Tanpa Data",IF(J1219&lt;='Catatan &amp; Sumber'!$B$14,"Sangat Ketat",IF(J1219&lt;='Catatan &amp; Sumber'!$B$15,"Ketat",IF(J1219&lt;='Catatan &amp; Sumber'!$B$16,"Sedang","Relatif Longgar"))))</x:f>
        <x:v>Relatif Longgar</x:v>
      </x:c>
      <x:c r="N1219" s="66" t="str">
        <x:v>Tidak Ada</x:v>
      </x:c>
      <x:c r="O1219" s="66" t="str">
        <x:v>Lampung</x:v>
      </x:c>
      <x:c r="P1219" s="66" t="str">
        <x:v>Kota Bandar Lampung</x:v>
      </x:c>
      <x:c r="Q1219" s="66" t="str">
        <x:v>https://snpmb.id/snbp/daya-tampung-snbp</x:v>
      </x:c>
      <x:c r="R1219" s="66" t="str">
        <x:v>https://sidatagrun-public-1076756628210.asia-southeast2.run.app/ptn_sn.php?ptn=291</x:v>
      </x:c>
    </x:row>
    <x:row r="1220">
      <x:c r="A1220" s="87" t="n">
        <x:v>4732</x:v>
      </x:c>
      <x:c r="B1220" s="66" t="n">
        <x:v>291</x:v>
      </x:c>
      <x:c r="C1220" s="66" t="str">
        <x:v>POLITEKNIK NEGERI LAMPUNG</x:v>
      </x:c>
      <x:c r="D1220" s="66" t="str">
        <x:v>PTN Vokasi</x:v>
      </x:c>
      <x:c r="E1220" s="66" t="str">
        <x:v>22912033</x:v>
      </x:c>
      <x:c r="F1220" s="66" t="str">
        <x:v>TEKNOLOGI REKAYASA ELEKTRONIKA</x:v>
      </x:c>
      <x:c r="G1220" s="66" t="str">
        <x:v>Sarjana Terapan</x:v>
      </x:c>
      <x:c r="H1220" s="87" t="n">
        <x:v>28</x:v>
      </x:c>
      <x:c r="I1220" s="87" t="n">
        <x:v>11</x:v>
      </x:c>
      <x:c r="J1220" s="68" t="n">
        <x:f>IFERROR(H1220/I1220,"")</x:f>
        <x:v>2.5454545454545454</x:v>
      </x:c>
      <x:c r="K1220" s="69" t="n">
        <x:f>IFERROR(I1220/H1220,"")</x:f>
        <x:v>0.39285714285714285</x:v>
      </x:c>
      <x:c r="L1220" s="66" t="str">
        <x:f>IF(K1220="","","1 : "&amp;TEXT(K1220,"0.0"))</x:f>
        <x:v>1 : 0.4</x:v>
      </x:c>
      <x:c r="M1220" s="66" t="str">
        <x:f>IF(J1220="","Baru/Tanpa Data",IF(J1220&lt;='Catatan &amp; Sumber'!$B$14,"Sangat Ketat",IF(J1220&lt;='Catatan &amp; Sumber'!$B$15,"Ketat",IF(J1220&lt;='Catatan &amp; Sumber'!$B$16,"Sedang","Relatif Longgar"))))</x:f>
        <x:v>Relatif Longgar</x:v>
      </x:c>
      <x:c r="N1220" s="66" t="str">
        <x:v>Tidak Ada</x:v>
      </x:c>
      <x:c r="O1220" s="66" t="str">
        <x:v>Lampung</x:v>
      </x:c>
      <x:c r="P1220" s="66" t="str">
        <x:v>Kota Bandar Lampung</x:v>
      </x:c>
      <x:c r="Q1220" s="66" t="str">
        <x:v>https://snpmb.id/snbp/daya-tampung-snbp</x:v>
      </x:c>
      <x:c r="R1220" s="66" t="str">
        <x:v>https://sidatagrun-public-1076756628210.asia-southeast2.run.app/ptn_sn.php?ptn=291</x:v>
      </x:c>
    </x:row>
    <x:row r="1221">
      <x:c r="A1221" s="87" t="n">
        <x:v>4643</x:v>
      </x:c>
      <x:c r="B1221" s="66" t="n">
        <x:v>291</x:v>
      </x:c>
      <x:c r="C1221" s="66" t="str">
        <x:v>POLITEKNIK NEGERI LAMPUNG</x:v>
      </x:c>
      <x:c r="D1221" s="66" t="str">
        <x:v>PTN Vokasi</x:v>
      </x:c>
      <x:c r="E1221" s="66" t="str">
        <x:v>22912034</x:v>
      </x:c>
      <x:c r="F1221" s="66" t="str">
        <x:v>TEKNOLOGI PRODUKSI TANAMAN PANGAN</x:v>
      </x:c>
      <x:c r="G1221" s="66" t="str">
        <x:v>Sarjana Terapan</x:v>
      </x:c>
      <x:c r="H1221" s="87" t="n">
        <x:v>42</x:v>
      </x:c>
      <x:c r="I1221" s="87" t="n">
        <x:v>23</x:v>
      </x:c>
      <x:c r="J1221" s="68" t="n">
        <x:f>IFERROR(H1221/I1221,"")</x:f>
        <x:v>1.826086956521739</x:v>
      </x:c>
      <x:c r="K1221" s="69" t="n">
        <x:f>IFERROR(I1221/H1221,"")</x:f>
        <x:v>0.5476190476190477</x:v>
      </x:c>
      <x:c r="L1221" s="66" t="str">
        <x:f>IF(K1221="","","1 : "&amp;TEXT(K1221,"0.0"))</x:f>
        <x:v>1 : 0.5</x:v>
      </x:c>
      <x:c r="M1221" s="66" t="str">
        <x:f>IF(J1221="","Baru/Tanpa Data",IF(J1221&lt;='Catatan &amp; Sumber'!$B$14,"Sangat Ketat",IF(J1221&lt;='Catatan &amp; Sumber'!$B$15,"Ketat",IF(J1221&lt;='Catatan &amp; Sumber'!$B$16,"Sedang","Relatif Longgar"))))</x:f>
        <x:v>Relatif Longgar</x:v>
      </x:c>
      <x:c r="N1221" s="66" t="str">
        <x:v>Tidak Ada</x:v>
      </x:c>
      <x:c r="O1221" s="66" t="str">
        <x:v>Lampung</x:v>
      </x:c>
      <x:c r="P1221" s="66" t="str">
        <x:v>Kota Bandar Lampung</x:v>
      </x:c>
      <x:c r="Q1221" s="66" t="str">
        <x:v>https://snpmb.id/snbp/daya-tampung-snbp</x:v>
      </x:c>
      <x:c r="R1221" s="66" t="str">
        <x:v>https://sidatagrun-public-1076756628210.asia-southeast2.run.app/ptn_sn.php?ptn=291</x:v>
      </x:c>
    </x:row>
    <x:row r="1222">
      <x:c r="A1222" s="87" t="n">
        <x:v>4500</x:v>
      </x:c>
      <x:c r="B1222" s="66" t="n">
        <x:v>291</x:v>
      </x:c>
      <x:c r="C1222" s="66" t="str">
        <x:v>POLITEKNIK NEGERI LAMPUNG</x:v>
      </x:c>
      <x:c r="D1222" s="66" t="str">
        <x:v>PTN Vokasi</x:v>
      </x:c>
      <x:c r="E1222" s="66" t="str">
        <x:v>22912035</x:v>
      </x:c>
      <x:c r="F1222" s="66" t="str">
        <x:v>AGRIBISNIS PETERNAKAN</x:v>
      </x:c>
      <x:c r="G1222" s="66" t="str">
        <x:v>Sarjana Terapan</x:v>
      </x:c>
      <x:c r="H1222" s="87" t="n">
        <x:v>54</x:v>
      </x:c>
      <x:c r="I1222" s="87" t="n">
        <x:v>41</x:v>
      </x:c>
      <x:c r="J1222" s="68" t="n">
        <x:f>IFERROR(H1222/I1222,"")</x:f>
        <x:v>1.3170731707317074</x:v>
      </x:c>
      <x:c r="K1222" s="69" t="n">
        <x:f>IFERROR(I1222/H1222,"")</x:f>
        <x:v>0.7592592592592593</x:v>
      </x:c>
      <x:c r="L1222" s="66" t="str">
        <x:f>IF(K1222="","","1 : "&amp;TEXT(K1222,"0.0"))</x:f>
        <x:v>1 : 0.8</x:v>
      </x:c>
      <x:c r="M1222" s="66" t="str">
        <x:f>IF(J1222="","Baru/Tanpa Data",IF(J1222&lt;='Catatan &amp; Sumber'!$B$14,"Sangat Ketat",IF(J1222&lt;='Catatan &amp; Sumber'!$B$15,"Ketat",IF(J1222&lt;='Catatan &amp; Sumber'!$B$16,"Sedang","Relatif Longgar"))))</x:f>
        <x:v>Relatif Longgar</x:v>
      </x:c>
      <x:c r="N1222" s="66" t="str">
        <x:v>Tidak Ada</x:v>
      </x:c>
      <x:c r="O1222" s="66" t="str">
        <x:v>Lampung</x:v>
      </x:c>
      <x:c r="P1222" s="66" t="str">
        <x:v>Kota Bandar Lampung</x:v>
      </x:c>
      <x:c r="Q1222" s="66" t="str">
        <x:v>https://snpmb.id/snbp/daya-tampung-snbp</x:v>
      </x:c>
      <x:c r="R1222" s="66" t="str">
        <x:v>https://sidatagrun-public-1076756628210.asia-southeast2.run.app/ptn_sn.php?ptn=291</x:v>
      </x:c>
    </x:row>
    <x:row r="1223">
      <x:c r="A1223" s="87" t="n">
        <x:v>4812</x:v>
      </x:c>
      <x:c r="B1223" s="66" t="n">
        <x:v>291</x:v>
      </x:c>
      <x:c r="C1223" s="66" t="str">
        <x:v>POLITEKNIK NEGERI LAMPUNG</x:v>
      </x:c>
      <x:c r="D1223" s="66" t="str">
        <x:v>PTN Vokasi</x:v>
      </x:c>
      <x:c r="E1223" s="66" t="str">
        <x:v>22912036</x:v>
      </x:c>
      <x:c r="F1223" s="66" t="str">
        <x:v>PENGELOLAAN KONVENSI DAN ACARA</x:v>
      </x:c>
      <x:c r="G1223" s="66" t="str">
        <x:v>Sarjana Terapan</x:v>
      </x:c>
      <x:c r="H1223" s="87" t="n">
        <x:v>28</x:v>
      </x:c>
      <x:c r="I1223" s="87" t="n">
        <x:v>7</x:v>
      </x:c>
      <x:c r="J1223" s="68" t="n">
        <x:f>IFERROR(H1223/I1223,"")</x:f>
        <x:v>4</x:v>
      </x:c>
      <x:c r="K1223" s="69" t="n">
        <x:f>IFERROR(I1223/H1223,"")</x:f>
        <x:v>0.25</x:v>
      </x:c>
      <x:c r="L1223" s="66" t="str">
        <x:f>IF(K1223="","","1 : "&amp;TEXT(K1223,"0.0"))</x:f>
        <x:v>1 : 0.3</x:v>
      </x:c>
      <x:c r="M1223" s="66" t="str">
        <x:f>IF(J1223="","Baru/Tanpa Data",IF(J1223&lt;='Catatan &amp; Sumber'!$B$14,"Sangat Ketat",IF(J1223&lt;='Catatan &amp; Sumber'!$B$15,"Ketat",IF(J1223&lt;='Catatan &amp; Sumber'!$B$16,"Sedang","Relatif Longgar"))))</x:f>
        <x:v>Relatif Longgar</x:v>
      </x:c>
      <x:c r="N1223" s="66" t="str">
        <x:v>Tidak Ada</x:v>
      </x:c>
      <x:c r="O1223" s="66" t="str">
        <x:v>Lampung</x:v>
      </x:c>
      <x:c r="P1223" s="66" t="str">
        <x:v>Kota Bandar Lampung</x:v>
      </x:c>
      <x:c r="Q1223" s="66" t="str">
        <x:v>https://snpmb.id/snbp/daya-tampung-snbp</x:v>
      </x:c>
      <x:c r="R1223" s="66" t="str">
        <x:v>https://sidatagrun-public-1076756628210.asia-southeast2.run.app/ptn_sn.php?ptn=291</x:v>
      </x:c>
    </x:row>
    <x:row r="1224">
      <x:c r="A1224" s="87" t="n">
        <x:v>4873</x:v>
      </x:c>
      <x:c r="B1224" s="66" t="n">
        <x:v>291</x:v>
      </x:c>
      <x:c r="C1224" s="66" t="str">
        <x:v>POLITEKNIK NEGERI LAMPUNG</x:v>
      </x:c>
      <x:c r="D1224" s="66" t="str">
        <x:v>PTN Vokasi</x:v>
      </x:c>
      <x:c r="E1224" s="66" t="str">
        <x:v>22912037</x:v>
      </x:c>
      <x:c r="F1224" s="66" t="str">
        <x:v>KIMIA TERAPAN</x:v>
      </x:c>
      <x:c r="G1224" s="66" t="str">
        <x:v>Sarjana Terapan</x:v>
      </x:c>
      <x:c r="H1224" s="87" t="n">
        <x:v>28</x:v>
      </x:c>
      <x:c r="I1224" s="87" t="n">
        <x:v>4</x:v>
      </x:c>
      <x:c r="J1224" s="68" t="n">
        <x:f>IFERROR(H1224/I1224,"")</x:f>
        <x:v>7</x:v>
      </x:c>
      <x:c r="K1224" s="69" t="n">
        <x:f>IFERROR(I1224/H1224,"")</x:f>
        <x:v>0.14285714285714285</x:v>
      </x:c>
      <x:c r="L1224" s="66" t="str">
        <x:f>IF(K1224="","","1 : "&amp;TEXT(K1224,"0.0"))</x:f>
        <x:v>1 : 0.1</x:v>
      </x:c>
      <x:c r="M1224" s="66" t="str">
        <x:f>IF(J1224="","Baru/Tanpa Data",IF(J1224&lt;='Catatan &amp; Sumber'!$B$14,"Sangat Ketat",IF(J1224&lt;='Catatan &amp; Sumber'!$B$15,"Ketat",IF(J1224&lt;='Catatan &amp; Sumber'!$B$16,"Sedang","Relatif Longgar"))))</x:f>
        <x:v>Relatif Longgar</x:v>
      </x:c>
      <x:c r="N1224" s="66" t="str">
        <x:v>Tidak Ada</x:v>
      </x:c>
      <x:c r="O1224" s="66" t="str">
        <x:v>Lampung</x:v>
      </x:c>
      <x:c r="P1224" s="66" t="str">
        <x:v>Kota Bandar Lampung</x:v>
      </x:c>
      <x:c r="Q1224" s="66" t="str">
        <x:v>https://snpmb.id/snbp/daya-tampung-snbp</x:v>
      </x:c>
      <x:c r="R1224" s="66" t="str">
        <x:v>https://sidatagrun-public-1076756628210.asia-southeast2.run.app/ptn_sn.php?ptn=291</x:v>
      </x:c>
    </x:row>
    <x:row r="1225">
      <x:c r="A1225" s="87" t="n">
        <x:v>4194</x:v>
      </x:c>
      <x:c r="B1225" s="66" t="n">
        <x:v>291</x:v>
      </x:c>
      <x:c r="C1225" s="66" t="str">
        <x:v>POLITEKNIK NEGERI LAMPUNG</x:v>
      </x:c>
      <x:c r="D1225" s="66" t="str">
        <x:v>PTN Vokasi</x:v>
      </x:c>
      <x:c r="E1225" s="66" t="str">
        <x:v>22912038</x:v>
      </x:c>
      <x:c r="F1225" s="66" t="str">
        <x:v>PRODUKSI MEDIA</x:v>
      </x:c>
      <x:c r="G1225" s="66" t="str">
        <x:v>Sarjana Terapan</x:v>
      </x:c>
      <x:c r="H1225" s="87" t="n">
        <x:v>28</x:v>
      </x:c>
      <x:c r="I1225" s="87" t="n">
        <x:v>33</x:v>
      </x:c>
      <x:c r="J1225" s="68" t="n">
        <x:f>IFERROR(H1225/I1225,"")</x:f>
        <x:v>0.8484848484848485</x:v>
      </x:c>
      <x:c r="K1225" s="69" t="n">
        <x:f>IFERROR(I1225/H1225,"")</x:f>
        <x:v>1.1785714285714286</x:v>
      </x:c>
      <x:c r="L1225" s="66" t="str">
        <x:f>IF(K1225="","","1 : "&amp;TEXT(K1225,"0.0"))</x:f>
        <x:v>1 : 1.2</x:v>
      </x:c>
      <x:c r="M1225" s="66" t="str">
        <x:f>IF(J1225="","Baru/Tanpa Data",IF(J1225&lt;='Catatan &amp; Sumber'!$B$14,"Sangat Ketat",IF(J1225&lt;='Catatan &amp; Sumber'!$B$15,"Ketat",IF(J1225&lt;='Catatan &amp; Sumber'!$B$16,"Sedang","Relatif Longgar"))))</x:f>
        <x:v>Relatif Longgar</x:v>
      </x:c>
      <x:c r="N1225" s="66" t="str">
        <x:v>Tidak Ada</x:v>
      </x:c>
      <x:c r="O1225" s="66" t="str">
        <x:v>Lampung</x:v>
      </x:c>
      <x:c r="P1225" s="66" t="str">
        <x:v>Kota Bandar Lampung</x:v>
      </x:c>
      <x:c r="Q1225" s="66" t="str">
        <x:v>https://snpmb.id/snbp/daya-tampung-snbp</x:v>
      </x:c>
      <x:c r="R1225" s="66" t="str">
        <x:v>https://sidatagrun-public-1076756628210.asia-southeast2.run.app/ptn_sn.php?ptn=291</x:v>
      </x:c>
    </x:row>
    <x:row r="1226">
      <x:c r="A1226" s="87" t="n">
        <x:v>4584</x:v>
      </x:c>
      <x:c r="B1226" s="66" t="n">
        <x:v>291</x:v>
      </x:c>
      <x:c r="C1226" s="66" t="str">
        <x:v>POLITEKNIK NEGERI LAMPUNG</x:v>
      </x:c>
      <x:c r="D1226" s="66" t="str">
        <x:v>PTN Vokasi</x:v>
      </x:c>
      <x:c r="E1226" s="66" t="str">
        <x:v>22912039</x:v>
      </x:c>
      <x:c r="F1226" s="66" t="str">
        <x:v>TEKNOLOGI REKAYASA OTOMOTIF</x:v>
      </x:c>
      <x:c r="G1226" s="66" t="str">
        <x:v>Sarjana Terapan</x:v>
      </x:c>
      <x:c r="H1226" s="87" t="n">
        <x:v>40</x:v>
      </x:c>
      <x:c r="I1226" s="87" t="n">
        <x:v>25</x:v>
      </x:c>
      <x:c r="J1226" s="68" t="n">
        <x:f>IFERROR(H1226/I1226,"")</x:f>
        <x:v>1.6</x:v>
      </x:c>
      <x:c r="K1226" s="69" t="n">
        <x:f>IFERROR(I1226/H1226,"")</x:f>
        <x:v>0.625</x:v>
      </x:c>
      <x:c r="L1226" s="66" t="str">
        <x:f>IF(K1226="","","1 : "&amp;TEXT(K1226,"0.0"))</x:f>
        <x:v>1 : 0.6</x:v>
      </x:c>
      <x:c r="M1226" s="66" t="str">
        <x:f>IF(J1226="","Baru/Tanpa Data",IF(J1226&lt;='Catatan &amp; Sumber'!$B$14,"Sangat Ketat",IF(J1226&lt;='Catatan &amp; Sumber'!$B$15,"Ketat",IF(J1226&lt;='Catatan &amp; Sumber'!$B$16,"Sedang","Relatif Longgar"))))</x:f>
        <x:v>Relatif Longgar</x:v>
      </x:c>
      <x:c r="N1226" s="66" t="str">
        <x:v>Tidak Ada</x:v>
      </x:c>
      <x:c r="O1226" s="66" t="str">
        <x:v>Lampung</x:v>
      </x:c>
      <x:c r="P1226" s="66" t="str">
        <x:v>Kota Bandar Lampung</x:v>
      </x:c>
      <x:c r="Q1226" s="66" t="str">
        <x:v>https://snpmb.id/snbp/daya-tampung-snbp</x:v>
      </x:c>
      <x:c r="R1226" s="66" t="str">
        <x:v>https://sidatagrun-public-1076756628210.asia-southeast2.run.app/ptn_sn.php?ptn=291</x:v>
      </x:c>
    </x:row>
    <x:row r="1227">
      <x:c r="A1227" s="87"/>
      <x:c r="B1227" s="66" t="n">
        <x:v>291</x:v>
      </x:c>
      <x:c r="C1227" s="66" t="str">
        <x:v>POLITEKNIK NEGERI LAMPUNG</x:v>
      </x:c>
      <x:c r="D1227" s="66" t="str">
        <x:v>PTN Vokasi</x:v>
      </x:c>
      <x:c r="E1227" s="66" t="str">
        <x:v>22912040</x:v>
      </x:c>
      <x:c r="F1227" s="66" t="str">
        <x:v>BAHASA INGGRIS UNTUK KOMUNIKASI BISNIS DAN PROFESIONAL</x:v>
      </x:c>
      <x:c r="G1227" s="66" t="str">
        <x:v>Sarjana Terapan</x:v>
      </x:c>
      <x:c r="H1227" s="87" t="n">
        <x:v>28</x:v>
      </x:c>
      <x:c r="I1227" s="87"/>
      <x:c r="J1227" s="68" t="str">
        <x:f>IFERROR(H1227/I1227,"")</x:f>
      </x:c>
      <x:c r="K1227" s="69" t="n">
        <x:f>IFERROR(I1227/H1227,"")</x:f>
        <x:v>0</x:v>
      </x:c>
      <x:c r="L1227" s="66" t="str">
        <x:f>IF(K1227="","","1 : "&amp;TEXT(K1227,"0.0"))</x:f>
      </x:c>
      <x:c r="M1227" s="66" t="str">
        <x:f>IF(J1227="","Baru/Tanpa Data",IF(J1227&lt;='Catatan &amp; Sumber'!$B$14,"Sangat Ketat",IF(J1227&lt;='Catatan &amp; Sumber'!$B$15,"Ketat",IF(J1227&lt;='Catatan &amp; Sumber'!$B$16,"Sedang","Relatif Longgar"))))</x:f>
        <x:v>Baru/Tanpa Data</x:v>
      </x:c>
      <x:c r="N1227" s="66" t="str">
        <x:v>Tidak Ada</x:v>
      </x:c>
      <x:c r="O1227" s="66" t="str">
        <x:v>Lampung</x:v>
      </x:c>
      <x:c r="P1227" s="66" t="str">
        <x:v>Kota Bandar Lampung</x:v>
      </x:c>
      <x:c r="Q1227" s="66" t="str">
        <x:v>https://snpmb.id/snbp/daya-tampung-snbp</x:v>
      </x:c>
      <x:c r="R1227" s="66" t="str">
        <x:v>https://sidatagrun-public-1076756628210.asia-southeast2.run.app/ptn_sn.php?ptn=291</x:v>
      </x:c>
    </x:row>
    <x:row r="1228">
      <x:c r="A1228" s="87"/>
      <x:c r="B1228" s="66" t="n">
        <x:v>291</x:v>
      </x:c>
      <x:c r="C1228" s="66" t="str">
        <x:v>POLITEKNIK NEGERI LAMPUNG</x:v>
      </x:c>
      <x:c r="D1228" s="66" t="str">
        <x:v>PTN Vokasi</x:v>
      </x:c>
      <x:c r="E1228" s="66" t="str">
        <x:v>22912041</x:v>
      </x:c>
      <x:c r="F1228" s="66" t="str">
        <x:v>TEKNOLOGI AKUAKULTUR</x:v>
      </x:c>
      <x:c r="G1228" s="66" t="str">
        <x:v>Sarjana Terapan</x:v>
      </x:c>
      <x:c r="H1228" s="87" t="n">
        <x:v>24</x:v>
      </x:c>
      <x:c r="I1228" s="87"/>
      <x:c r="J1228" s="68" t="str">
        <x:f>IFERROR(H1228/I1228,"")</x:f>
      </x:c>
      <x:c r="K1228" s="69" t="n">
        <x:f>IFERROR(I1228/H1228,"")</x:f>
        <x:v>0</x:v>
      </x:c>
      <x:c r="L1228" s="66" t="str">
        <x:f>IF(K1228="","","1 : "&amp;TEXT(K1228,"0.0"))</x:f>
      </x:c>
      <x:c r="M1228" s="66" t="str">
        <x:f>IF(J1228="","Baru/Tanpa Data",IF(J1228&lt;='Catatan &amp; Sumber'!$B$14,"Sangat Ketat",IF(J1228&lt;='Catatan &amp; Sumber'!$B$15,"Ketat",IF(J1228&lt;='Catatan &amp; Sumber'!$B$16,"Sedang","Relatif Longgar"))))</x:f>
        <x:v>Baru/Tanpa Data</x:v>
      </x:c>
      <x:c r="N1228" s="66" t="str">
        <x:v>Tidak Ada</x:v>
      </x:c>
      <x:c r="O1228" s="66" t="str">
        <x:v>Lampung</x:v>
      </x:c>
      <x:c r="P1228" s="66" t="str">
        <x:v>Kota Bandar Lampung</x:v>
      </x:c>
      <x:c r="Q1228" s="66" t="str">
        <x:v>https://snpmb.id/snbp/daya-tampung-snbp</x:v>
      </x:c>
      <x:c r="R1228" s="66" t="str">
        <x:v>https://sidatagrun-public-1076756628210.asia-southeast2.run.app/ptn_sn.php?ptn=291</x:v>
      </x:c>
    </x:row>
    <x:row r="1229">
      <x:c r="A1229" s="87"/>
      <x:c r="B1229" s="66" t="n">
        <x:v>291</x:v>
      </x:c>
      <x:c r="C1229" s="66" t="str">
        <x:v>POLITEKNIK NEGERI LAMPUNG</x:v>
      </x:c>
      <x:c r="D1229" s="66" t="str">
        <x:v>PTN Vokasi</x:v>
      </x:c>
      <x:c r="E1229" s="66" t="str">
        <x:v>22912042</x:v>
      </x:c>
      <x:c r="F1229" s="66" t="str">
        <x:v>TEKNOLOGI CERDAS PENANGKAPAN IKAN</x:v>
      </x:c>
      <x:c r="G1229" s="66" t="str">
        <x:v>Sarjana Terapan</x:v>
      </x:c>
      <x:c r="H1229" s="87" t="n">
        <x:v>28</x:v>
      </x:c>
      <x:c r="I1229" s="87"/>
      <x:c r="J1229" s="68" t="str">
        <x:f>IFERROR(H1229/I1229,"")</x:f>
      </x:c>
      <x:c r="K1229" s="69" t="n">
        <x:f>IFERROR(I1229/H1229,"")</x:f>
        <x:v>0</x:v>
      </x:c>
      <x:c r="L1229" s="66" t="str">
        <x:f>IF(K1229="","","1 : "&amp;TEXT(K1229,"0.0"))</x:f>
      </x:c>
      <x:c r="M1229" s="66" t="str">
        <x:f>IF(J1229="","Baru/Tanpa Data",IF(J1229&lt;='Catatan &amp; Sumber'!$B$14,"Sangat Ketat",IF(J1229&lt;='Catatan &amp; Sumber'!$B$15,"Ketat",IF(J1229&lt;='Catatan &amp; Sumber'!$B$16,"Sedang","Relatif Longgar"))))</x:f>
        <x:v>Baru/Tanpa Data</x:v>
      </x:c>
      <x:c r="N1229" s="66" t="str">
        <x:v>Tidak Ada</x:v>
      </x:c>
      <x:c r="O1229" s="66" t="str">
        <x:v>Lampung</x:v>
      </x:c>
      <x:c r="P1229" s="66" t="str">
        <x:v>Kota Bandar Lampung</x:v>
      </x:c>
      <x:c r="Q1229" s="66" t="str">
        <x:v>https://snpmb.id/snbp/daya-tampung-snbp</x:v>
      </x:c>
      <x:c r="R1229" s="66" t="str">
        <x:v>https://sidatagrun-public-1076756628210.asia-southeast2.run.app/ptn_sn.php?ptn=291</x:v>
      </x:c>
    </x:row>
    <x:row r="1230">
      <x:c r="A1230" s="87"/>
      <x:c r="B1230" s="66" t="n">
        <x:v>291</x:v>
      </x:c>
      <x:c r="C1230" s="66" t="str">
        <x:v>POLITEKNIK NEGERI LAMPUNG</x:v>
      </x:c>
      <x:c r="D1230" s="66" t="str">
        <x:v>PTN Vokasi</x:v>
      </x:c>
      <x:c r="E1230" s="66" t="str">
        <x:v>22912043</x:v>
      </x:c>
      <x:c r="F1230" s="66" t="str">
        <x:v>TEKNOLOGI PRODUKSI TANAMAN PERKEBUNAN</x:v>
      </x:c>
      <x:c r="G1230" s="66" t="str">
        <x:v>Sarjana Terapan</x:v>
      </x:c>
      <x:c r="H1230" s="87" t="n">
        <x:v>28</x:v>
      </x:c>
      <x:c r="I1230" s="87"/>
      <x:c r="J1230" s="68" t="str">
        <x:f>IFERROR(H1230/I1230,"")</x:f>
      </x:c>
      <x:c r="K1230" s="69" t="n">
        <x:f>IFERROR(I1230/H1230,"")</x:f>
        <x:v>0</x:v>
      </x:c>
      <x:c r="L1230" s="66" t="str">
        <x:f>IF(K1230="","","1 : "&amp;TEXT(K1230,"0.0"))</x:f>
      </x:c>
      <x:c r="M1230" s="66" t="str">
        <x:f>IF(J1230="","Baru/Tanpa Data",IF(J1230&lt;='Catatan &amp; Sumber'!$B$14,"Sangat Ketat",IF(J1230&lt;='Catatan &amp; Sumber'!$B$15,"Ketat",IF(J1230&lt;='Catatan &amp; Sumber'!$B$16,"Sedang","Relatif Longgar"))))</x:f>
        <x:v>Baru/Tanpa Data</x:v>
      </x:c>
      <x:c r="N1230" s="66" t="str">
        <x:v>Tidak Ada</x:v>
      </x:c>
      <x:c r="O1230" s="66" t="str">
        <x:v>Lampung</x:v>
      </x:c>
      <x:c r="P1230" s="66" t="str">
        <x:v>Kota Bandar Lampung</x:v>
      </x:c>
      <x:c r="Q1230" s="66" t="str">
        <x:v>https://snpmb.id/snbp/daya-tampung-snbp</x:v>
      </x:c>
      <x:c r="R1230" s="66" t="str">
        <x:v>https://sidatagrun-public-1076756628210.asia-southeast2.run.app/ptn_sn.php?ptn=291</x:v>
      </x:c>
    </x:row>
    <x:row r="1231">
      <x:c r="A1231" s="87"/>
      <x:c r="B1231" s="66" t="n">
        <x:v>291</x:v>
      </x:c>
      <x:c r="C1231" s="66" t="str">
        <x:v>POLITEKNIK NEGERI LAMPUNG</x:v>
      </x:c>
      <x:c r="D1231" s="66" t="str">
        <x:v>PTN Vokasi</x:v>
      </x:c>
      <x:c r="E1231" s="66" t="str">
        <x:v>22912044</x:v>
      </x:c>
      <x:c r="F1231" s="66" t="str">
        <x:v>TEKNOLOGI PANGAN HALAL</x:v>
      </x:c>
      <x:c r="G1231" s="66" t="str">
        <x:v>Sarjana Terapan</x:v>
      </x:c>
      <x:c r="H1231" s="87" t="n">
        <x:v>14</x:v>
      </x:c>
      <x:c r="I1231" s="87"/>
      <x:c r="J1231" s="68" t="str">
        <x:f>IFERROR(H1231/I1231,"")</x:f>
      </x:c>
      <x:c r="K1231" s="69" t="n">
        <x:f>IFERROR(I1231/H1231,"")</x:f>
        <x:v>0</x:v>
      </x:c>
      <x:c r="L1231" s="66" t="str">
        <x:f>IF(K1231="","","1 : "&amp;TEXT(K1231,"0.0"))</x:f>
      </x:c>
      <x:c r="M1231" s="66" t="str">
        <x:f>IF(J1231="","Baru/Tanpa Data",IF(J1231&lt;='Catatan &amp; Sumber'!$B$14,"Sangat Ketat",IF(J1231&lt;='Catatan &amp; Sumber'!$B$15,"Ketat",IF(J1231&lt;='Catatan &amp; Sumber'!$B$16,"Sedang","Relatif Longgar"))))</x:f>
        <x:v>Baru/Tanpa Data</x:v>
      </x:c>
      <x:c r="N1231" s="66" t="str">
        <x:v>Tidak Ada</x:v>
      </x:c>
      <x:c r="O1231" s="66" t="str">
        <x:v>Lampung</x:v>
      </x:c>
      <x:c r="P1231" s="66" t="str">
        <x:v>Kota Bandar Lampung</x:v>
      </x:c>
      <x:c r="Q1231" s="66" t="str">
        <x:v>https://snpmb.id/snbp/daya-tampung-snbp</x:v>
      </x:c>
      <x:c r="R1231" s="66" t="str">
        <x:v>https://sidatagrun-public-1076756628210.asia-southeast2.run.app/ptn_sn.php?ptn=291</x:v>
      </x:c>
    </x:row>
    <x:row r="1232">
      <x:c r="A1232" s="87"/>
      <x:c r="B1232" s="66" t="n">
        <x:v>291</x:v>
      </x:c>
      <x:c r="C1232" s="66" t="str">
        <x:v>POLITEKNIK NEGERI LAMPUNG</x:v>
      </x:c>
      <x:c r="D1232" s="66" t="str">
        <x:v>PTN Vokasi</x:v>
      </x:c>
      <x:c r="E1232" s="66" t="str">
        <x:v>22912045</x:v>
      </x:c>
      <x:c r="F1232" s="66" t="str">
        <x:v>SAINS DATA TERAPAN</x:v>
      </x:c>
      <x:c r="G1232" s="66" t="str">
        <x:v>Sarjana Terapan</x:v>
      </x:c>
      <x:c r="H1232" s="87" t="n">
        <x:v>24</x:v>
      </x:c>
      <x:c r="I1232" s="87"/>
      <x:c r="J1232" s="68" t="str">
        <x:f>IFERROR(H1232/I1232,"")</x:f>
      </x:c>
      <x:c r="K1232" s="69" t="n">
        <x:f>IFERROR(I1232/H1232,"")</x:f>
        <x:v>0</x:v>
      </x:c>
      <x:c r="L1232" s="66" t="str">
        <x:f>IF(K1232="","","1 : "&amp;TEXT(K1232,"0.0"))</x:f>
      </x:c>
      <x:c r="M1232" s="66" t="str">
        <x:f>IF(J1232="","Baru/Tanpa Data",IF(J1232&lt;='Catatan &amp; Sumber'!$B$14,"Sangat Ketat",IF(J1232&lt;='Catatan &amp; Sumber'!$B$15,"Ketat",IF(J1232&lt;='Catatan &amp; Sumber'!$B$16,"Sedang","Relatif Longgar"))))</x:f>
        <x:v>Baru/Tanpa Data</x:v>
      </x:c>
      <x:c r="N1232" s="66" t="str">
        <x:v>Tidak Ada</x:v>
      </x:c>
      <x:c r="O1232" s="66" t="str">
        <x:v>Lampung</x:v>
      </x:c>
      <x:c r="P1232" s="66" t="str">
        <x:v>Kota Bandar Lampung</x:v>
      </x:c>
      <x:c r="Q1232" s="66" t="str">
        <x:v>https://snpmb.id/snbp/daya-tampung-snbp</x:v>
      </x:c>
      <x:c r="R1232" s="66" t="str">
        <x:v>https://sidatagrun-public-1076756628210.asia-southeast2.run.app/ptn_sn.php?ptn=291</x:v>
      </x:c>
    </x:row>
    <x:row r="1233">
      <x:c r="A1233" s="87" t="n">
        <x:v>4627</x:v>
      </x:c>
      <x:c r="B1233" s="66" t="n">
        <x:v>291</x:v>
      </x:c>
      <x:c r="C1233" s="66" t="str">
        <x:v>POLITEKNIK NEGERI LAMPUNG</x:v>
      </x:c>
      <x:c r="D1233" s="66" t="str">
        <x:v>PTN Vokasi</x:v>
      </x:c>
      <x:c r="E1233" s="66" t="str">
        <x:v>22913016</x:v>
      </x:c>
      <x:c r="F1233" s="66" t="str">
        <x:v>PERJALANAN WISATA</x:v>
      </x:c>
      <x:c r="G1233" s="66" t="str">
        <x:v>Diploma Tiga</x:v>
      </x:c>
      <x:c r="H1233" s="87" t="n">
        <x:v>70</x:v>
      </x:c>
      <x:c r="I1233" s="87" t="n">
        <x:v>40</x:v>
      </x:c>
      <x:c r="J1233" s="68" t="n">
        <x:f>IFERROR(H1233/I1233,"")</x:f>
        <x:v>1.75</x:v>
      </x:c>
      <x:c r="K1233" s="69" t="n">
        <x:f>IFERROR(I1233/H1233,"")</x:f>
        <x:v>0.5714285714285714</x:v>
      </x:c>
      <x:c r="L1233" s="66" t="str">
        <x:f>IF(K1233="","","1 : "&amp;TEXT(K1233,"0.0"))</x:f>
        <x:v>1 : 0.6</x:v>
      </x:c>
      <x:c r="M1233" s="66" t="str">
        <x:f>IF(J1233="","Baru/Tanpa Data",IF(J1233&lt;='Catatan &amp; Sumber'!$B$14,"Sangat Ketat",IF(J1233&lt;='Catatan &amp; Sumber'!$B$15,"Ketat",IF(J1233&lt;='Catatan &amp; Sumber'!$B$16,"Sedang","Relatif Longgar"))))</x:f>
        <x:v>Relatif Longgar</x:v>
      </x:c>
      <x:c r="N1233" s="66" t="str">
        <x:v>Tidak Ada</x:v>
      </x:c>
      <x:c r="O1233" s="66" t="str">
        <x:v>Lampung</x:v>
      </x:c>
      <x:c r="P1233" s="66" t="str">
        <x:v>Kota Bandar Lampung</x:v>
      </x:c>
      <x:c r="Q1233" s="66" t="str">
        <x:v>https://snpmb.id/snbp/daya-tampung-snbp</x:v>
      </x:c>
      <x:c r="R1233" s="66" t="str">
        <x:v>https://sidatagrun-public-1076756628210.asia-southeast2.run.app/ptn_sn.php?ptn=291</x:v>
      </x:c>
    </x:row>
    <x:row r="1234">
      <x:c r="A1234" s="87" t="n">
        <x:v>4652</x:v>
      </x:c>
      <x:c r="B1234" s="66" t="n">
        <x:v>291</x:v>
      </x:c>
      <x:c r="C1234" s="66" t="str">
        <x:v>POLITEKNIK NEGERI LAMPUNG</x:v>
      </x:c>
      <x:c r="D1234" s="66" t="str">
        <x:v>PTN Vokasi</x:v>
      </x:c>
      <x:c r="E1234" s="66" t="str">
        <x:v>22913017</x:v>
      </x:c>
      <x:c r="F1234" s="66" t="str">
        <x:v>TEKNOLOGI PANGAN</x:v>
      </x:c>
      <x:c r="G1234" s="66" t="str">
        <x:v>Diploma Tiga</x:v>
      </x:c>
      <x:c r="H1234" s="87" t="n">
        <x:v>42</x:v>
      </x:c>
      <x:c r="I1234" s="87" t="n">
        <x:v>21</x:v>
      </x:c>
      <x:c r="J1234" s="68" t="n">
        <x:f>IFERROR(H1234/I1234,"")</x:f>
        <x:v>2</x:v>
      </x:c>
      <x:c r="K1234" s="69" t="n">
        <x:f>IFERROR(I1234/H1234,"")</x:f>
        <x:v>0.5</x:v>
      </x:c>
      <x:c r="L1234" s="66" t="str">
        <x:f>IF(K1234="","","1 : "&amp;TEXT(K1234,"0.0"))</x:f>
        <x:v>1 : 0.5</x:v>
      </x:c>
      <x:c r="M1234" s="66" t="str">
        <x:f>IF(J1234="","Baru/Tanpa Data",IF(J1234&lt;='Catatan &amp; Sumber'!$B$14,"Sangat Ketat",IF(J1234&lt;='Catatan &amp; Sumber'!$B$15,"Ketat",IF(J1234&lt;='Catatan &amp; Sumber'!$B$16,"Sedang","Relatif Longgar"))))</x:f>
        <x:v>Relatif Longgar</x:v>
      </x:c>
      <x:c r="N1234" s="66" t="str">
        <x:v>Tidak Ada</x:v>
      </x:c>
      <x:c r="O1234" s="66" t="str">
        <x:v>Lampung</x:v>
      </x:c>
      <x:c r="P1234" s="66" t="str">
        <x:v>Kota Bandar Lampung</x:v>
      </x:c>
      <x:c r="Q1234" s="66" t="str">
        <x:v>https://snpmb.id/snbp/daya-tampung-snbp</x:v>
      </x:c>
      <x:c r="R1234" s="66" t="str">
        <x:v>https://sidatagrun-public-1076756628210.asia-southeast2.run.app/ptn_sn.php?ptn=291</x:v>
      </x:c>
    </x:row>
    <x:row r="1235">
      <x:c r="A1235" s="87" t="n">
        <x:v>4812</x:v>
      </x:c>
      <x:c r="B1235" s="66" t="n">
        <x:v>291</x:v>
      </x:c>
      <x:c r="C1235" s="66" t="str">
        <x:v>POLITEKNIK NEGERI LAMPUNG</x:v>
      </x:c>
      <x:c r="D1235" s="66" t="str">
        <x:v>PTN Vokasi</x:v>
      </x:c>
      <x:c r="E1235" s="66" t="str">
        <x:v>22913018</x:v>
      </x:c>
      <x:c r="F1235" s="66" t="str">
        <x:v>TEKNIK SUMBERDAYA LAHAN DAN LINGKUNGAN</x:v>
      </x:c>
      <x:c r="G1235" s="66" t="str">
        <x:v>Diploma Tiga</x:v>
      </x:c>
      <x:c r="H1235" s="87" t="n">
        <x:v>28</x:v>
      </x:c>
      <x:c r="I1235" s="87" t="n">
        <x:v>7</x:v>
      </x:c>
      <x:c r="J1235" s="68" t="n">
        <x:f>IFERROR(H1235/I1235,"")</x:f>
        <x:v>4</x:v>
      </x:c>
      <x:c r="K1235" s="69" t="n">
        <x:f>IFERROR(I1235/H1235,"")</x:f>
        <x:v>0.25</x:v>
      </x:c>
      <x:c r="L1235" s="66" t="str">
        <x:f>IF(K1235="","","1 : "&amp;TEXT(K1235,"0.0"))</x:f>
        <x:v>1 : 0.3</x:v>
      </x:c>
      <x:c r="M1235" s="66" t="str">
        <x:f>IF(J1235="","Baru/Tanpa Data",IF(J1235&lt;='Catatan &amp; Sumber'!$B$14,"Sangat Ketat",IF(J1235&lt;='Catatan &amp; Sumber'!$B$15,"Ketat",IF(J1235&lt;='Catatan &amp; Sumber'!$B$16,"Sedang","Relatif Longgar"))))</x:f>
        <x:v>Relatif Longgar</x:v>
      </x:c>
      <x:c r="N1235" s="66" t="str">
        <x:v>Tidak Ada</x:v>
      </x:c>
      <x:c r="O1235" s="66" t="str">
        <x:v>Lampung</x:v>
      </x:c>
      <x:c r="P1235" s="66" t="str">
        <x:v>Kota Bandar Lampung</x:v>
      </x:c>
      <x:c r="Q1235" s="66" t="str">
        <x:v>https://snpmb.id/snbp/daya-tampung-snbp</x:v>
      </x:c>
      <x:c r="R1235" s="66" t="str">
        <x:v>https://sidatagrun-public-1076756628210.asia-southeast2.run.app/ptn_sn.php?ptn=291</x:v>
      </x:c>
    </x:row>
    <x:row r="1236">
      <x:c r="A1236" s="87" t="n">
        <x:v>4652</x:v>
      </x:c>
      <x:c r="B1236" s="66" t="n">
        <x:v>291</x:v>
      </x:c>
      <x:c r="C1236" s="66" t="str">
        <x:v>POLITEKNIK NEGERI LAMPUNG</x:v>
      </x:c>
      <x:c r="D1236" s="66" t="str">
        <x:v>PTN Vokasi</x:v>
      </x:c>
      <x:c r="E1236" s="66" t="str">
        <x:v>22913020</x:v>
      </x:c>
      <x:c r="F1236" s="66" t="str">
        <x:v>MEKANISASI PERTANIAN</x:v>
      </x:c>
      <x:c r="G1236" s="66" t="str">
        <x:v>Diploma Tiga</x:v>
      </x:c>
      <x:c r="H1236" s="87" t="n">
        <x:v>28</x:v>
      </x:c>
      <x:c r="I1236" s="87" t="n">
        <x:v>14</x:v>
      </x:c>
      <x:c r="J1236" s="68" t="n">
        <x:f>IFERROR(H1236/I1236,"")</x:f>
        <x:v>2</x:v>
      </x:c>
      <x:c r="K1236" s="69" t="n">
        <x:f>IFERROR(I1236/H1236,"")</x:f>
        <x:v>0.5</x:v>
      </x:c>
      <x:c r="L1236" s="66" t="str">
        <x:f>IF(K1236="","","1 : "&amp;TEXT(K1236,"0.0"))</x:f>
        <x:v>1 : 0.5</x:v>
      </x:c>
      <x:c r="M1236" s="66" t="str">
        <x:f>IF(J1236="","Baru/Tanpa Data",IF(J1236&lt;='Catatan &amp; Sumber'!$B$14,"Sangat Ketat",IF(J1236&lt;='Catatan &amp; Sumber'!$B$15,"Ketat",IF(J1236&lt;='Catatan &amp; Sumber'!$B$16,"Sedang","Relatif Longgar"))))</x:f>
        <x:v>Relatif Longgar</x:v>
      </x:c>
      <x:c r="N1236" s="66" t="str">
        <x:v>Tidak Ada</x:v>
      </x:c>
      <x:c r="O1236" s="66" t="str">
        <x:v>Lampung</x:v>
      </x:c>
      <x:c r="P1236" s="66" t="str">
        <x:v>Kota Bandar Lampung</x:v>
      </x:c>
      <x:c r="Q1236" s="66" t="str">
        <x:v>https://snpmb.id/snbp/daya-tampung-snbp</x:v>
      </x:c>
      <x:c r="R1236" s="66" t="str">
        <x:v>https://sidatagrun-public-1076756628210.asia-southeast2.run.app/ptn_sn.php?ptn=291</x:v>
      </x:c>
    </x:row>
    <x:row r="1237">
      <x:c r="A1237" s="87" t="n">
        <x:v>4707</x:v>
      </x:c>
      <x:c r="B1237" s="66" t="n">
        <x:v>291</x:v>
      </x:c>
      <x:c r="C1237" s="66" t="str">
        <x:v>POLITEKNIK NEGERI LAMPUNG</x:v>
      </x:c>
      <x:c r="D1237" s="66" t="str">
        <x:v>PTN Vokasi</x:v>
      </x:c>
      <x:c r="E1237" s="66" t="str">
        <x:v>22913022</x:v>
      </x:c>
      <x:c r="F1237" s="66" t="str">
        <x:v>PERIKANAN TANGKAP</x:v>
      </x:c>
      <x:c r="G1237" s="66" t="str">
        <x:v>Diploma Tiga</x:v>
      </x:c>
      <x:c r="H1237" s="87" t="n">
        <x:v>14</x:v>
      </x:c>
      <x:c r="I1237" s="87" t="n">
        <x:v>6</x:v>
      </x:c>
      <x:c r="J1237" s="68" t="n">
        <x:f>IFERROR(H1237/I1237,"")</x:f>
        <x:v>2.3333333333333335</x:v>
      </x:c>
      <x:c r="K1237" s="69" t="n">
        <x:f>IFERROR(I1237/H1237,"")</x:f>
        <x:v>0.42857142857142855</x:v>
      </x:c>
      <x:c r="L1237" s="66" t="str">
        <x:f>IF(K1237="","","1 : "&amp;TEXT(K1237,"0.0"))</x:f>
        <x:v>1 : 0.4</x:v>
      </x:c>
      <x:c r="M1237" s="66" t="str">
        <x:f>IF(J1237="","Baru/Tanpa Data",IF(J1237&lt;='Catatan &amp; Sumber'!$B$14,"Sangat Ketat",IF(J1237&lt;='Catatan &amp; Sumber'!$B$15,"Ketat",IF(J1237&lt;='Catatan &amp; Sumber'!$B$16,"Sedang","Relatif Longgar"))))</x:f>
        <x:v>Relatif Longgar</x:v>
      </x:c>
      <x:c r="N1237" s="66" t="str">
        <x:v>Tidak Ada</x:v>
      </x:c>
      <x:c r="O1237" s="66" t="str">
        <x:v>Lampung</x:v>
      </x:c>
      <x:c r="P1237" s="66" t="str">
        <x:v>Kota Bandar Lampung</x:v>
      </x:c>
      <x:c r="Q1237" s="66" t="str">
        <x:v>https://snpmb.id/snbp/daya-tampung-snbp</x:v>
      </x:c>
      <x:c r="R1237" s="66" t="str">
        <x:v>https://sidatagrun-public-1076756628210.asia-southeast2.run.app/ptn_sn.php?ptn=291</x:v>
      </x:c>
    </x:row>
    <x:row r="1238">
      <x:c r="A1238" s="87" t="n">
        <x:v>4909</x:v>
      </x:c>
      <x:c r="B1238" s="66" t="n">
        <x:v>291</x:v>
      </x:c>
      <x:c r="C1238" s="66" t="str">
        <x:v>POLITEKNIK NEGERI LAMPUNG</x:v>
      </x:c>
      <x:c r="D1238" s="66" t="str">
        <x:v>PTN Vokasi</x:v>
      </x:c>
      <x:c r="E1238" s="66" t="str">
        <x:v>22913023</x:v>
      </x:c>
      <x:c r="F1238" s="66" t="str">
        <x:v>HORTIKULTURA</x:v>
      </x:c>
      <x:c r="G1238" s="66" t="str">
        <x:v>Diploma Tiga</x:v>
      </x:c>
      <x:c r="H1238" s="87" t="n">
        <x:v>42</x:v>
      </x:c>
      <x:c r="I1238" s="87" t="n">
        <x:v>2</x:v>
      </x:c>
      <x:c r="J1238" s="68" t="n">
        <x:f>IFERROR(H1238/I1238,"")</x:f>
        <x:v>21</x:v>
      </x:c>
      <x:c r="K1238" s="69" t="n">
        <x:f>IFERROR(I1238/H1238,"")</x:f>
        <x:v>0.047619047619047616</x:v>
      </x:c>
      <x:c r="L1238" s="66" t="str">
        <x:f>IF(K1238="","","1 : "&amp;TEXT(K1238,"0.0"))</x:f>
        <x:v>1 : 0.0</x:v>
      </x:c>
      <x:c r="M1238" s="66" t="str">
        <x:f>IF(J1238="","Baru/Tanpa Data",IF(J1238&lt;='Catatan &amp; Sumber'!$B$14,"Sangat Ketat",IF(J1238&lt;='Catatan &amp; Sumber'!$B$15,"Ketat",IF(J1238&lt;='Catatan &amp; Sumber'!$B$16,"Sedang","Relatif Longgar"))))</x:f>
        <x:v>Relatif Longgar</x:v>
      </x:c>
      <x:c r="N1238" s="66" t="str">
        <x:v>Tidak Ada</x:v>
      </x:c>
      <x:c r="O1238" s="66" t="str">
        <x:v>Lampung</x:v>
      </x:c>
      <x:c r="P1238" s="66" t="str">
        <x:v>Kota Bandar Lampung</x:v>
      </x:c>
      <x:c r="Q1238" s="66" t="str">
        <x:v>https://snpmb.id/snbp/daya-tampung-snbp</x:v>
      </x:c>
      <x:c r="R1238" s="66" t="str">
        <x:v>https://sidatagrun-public-1076756628210.asia-southeast2.run.app/ptn_sn.php?ptn=291</x:v>
      </x:c>
    </x:row>
    <x:row r="1239">
      <x:c r="A1239" s="87" t="n">
        <x:v>4598</x:v>
      </x:c>
      <x:c r="B1239" s="66" t="n">
        <x:v>291</x:v>
      </x:c>
      <x:c r="C1239" s="66" t="str">
        <x:v>POLITEKNIK NEGERI LAMPUNG</x:v>
      </x:c>
      <x:c r="D1239" s="66" t="str">
        <x:v>PTN Vokasi</x:v>
      </x:c>
      <x:c r="E1239" s="66" t="str">
        <x:v>22913024</x:v>
      </x:c>
      <x:c r="F1239" s="66" t="str">
        <x:v>MANAJEMEN INFORMATIKA</x:v>
      </x:c>
      <x:c r="G1239" s="66" t="str">
        <x:v>Diploma Tiga</x:v>
      </x:c>
      <x:c r="H1239" s="87" t="n">
        <x:v>70</x:v>
      </x:c>
      <x:c r="I1239" s="87" t="n">
        <x:v>43</x:v>
      </x:c>
      <x:c r="J1239" s="68" t="n">
        <x:f>IFERROR(H1239/I1239,"")</x:f>
        <x:v>1.627906976744186</x:v>
      </x:c>
      <x:c r="K1239" s="69" t="n">
        <x:f>IFERROR(I1239/H1239,"")</x:f>
        <x:v>0.6142857142857143</x:v>
      </x:c>
      <x:c r="L1239" s="66" t="str">
        <x:f>IF(K1239="","","1 : "&amp;TEXT(K1239,"0.0"))</x:f>
        <x:v>1 : 0.6</x:v>
      </x:c>
      <x:c r="M1239" s="66" t="str">
        <x:f>IF(J1239="","Baru/Tanpa Data",IF(J1239&lt;='Catatan &amp; Sumber'!$B$14,"Sangat Ketat",IF(J1239&lt;='Catatan &amp; Sumber'!$B$15,"Ketat",IF(J1239&lt;='Catatan &amp; Sumber'!$B$16,"Sedang","Relatif Longgar"))))</x:f>
        <x:v>Relatif Longgar</x:v>
      </x:c>
      <x:c r="N1239" s="66" t="str">
        <x:v>Tidak Ada</x:v>
      </x:c>
      <x:c r="O1239" s="66" t="str">
        <x:v>Lampung</x:v>
      </x:c>
      <x:c r="P1239" s="66" t="str">
        <x:v>Kota Bandar Lampung</x:v>
      </x:c>
      <x:c r="Q1239" s="66" t="str">
        <x:v>https://snpmb.id/snbp/daya-tampung-snbp</x:v>
      </x:c>
      <x:c r="R1239" s="66" t="str">
        <x:v>https://sidatagrun-public-1076756628210.asia-southeast2.run.app/ptn_sn.php?ptn=291</x:v>
      </x:c>
    </x:row>
    <x:row r="1240">
      <x:c r="A1240" s="87" t="n">
        <x:v>4758</x:v>
      </x:c>
      <x:c r="B1240" s="66" t="n">
        <x:v>291</x:v>
      </x:c>
      <x:c r="C1240" s="66" t="str">
        <x:v>POLITEKNIK NEGERI LAMPUNG</x:v>
      </x:c>
      <x:c r="D1240" s="66" t="str">
        <x:v>PTN Vokasi</x:v>
      </x:c>
      <x:c r="E1240" s="66" t="str">
        <x:v>22913025</x:v>
      </x:c>
      <x:c r="F1240" s="66" t="str">
        <x:v>PRODUKSI TANAMAN PERKEBUNAN</x:v>
      </x:c>
      <x:c r="G1240" s="66" t="str">
        <x:v>Diploma Tiga</x:v>
      </x:c>
      <x:c r="H1240" s="87" t="n">
        <x:v>56</x:v>
      </x:c>
      <x:c r="I1240" s="87" t="n">
        <x:v>19</x:v>
      </x:c>
      <x:c r="J1240" s="68" t="n">
        <x:f>IFERROR(H1240/I1240,"")</x:f>
        <x:v>2.9473684210526314</x:v>
      </x:c>
      <x:c r="K1240" s="69" t="n">
        <x:f>IFERROR(I1240/H1240,"")</x:f>
        <x:v>0.3392857142857143</x:v>
      </x:c>
      <x:c r="L1240" s="66" t="str">
        <x:f>IF(K1240="","","1 : "&amp;TEXT(K1240,"0.0"))</x:f>
        <x:v>1 : 0.3</x:v>
      </x:c>
      <x:c r="M1240" s="66" t="str">
        <x:f>IF(J1240="","Baru/Tanpa Data",IF(J1240&lt;='Catatan &amp; Sumber'!$B$14,"Sangat Ketat",IF(J1240&lt;='Catatan &amp; Sumber'!$B$15,"Ketat",IF(J1240&lt;='Catatan &amp; Sumber'!$B$16,"Sedang","Relatif Longgar"))))</x:f>
        <x:v>Relatif Longgar</x:v>
      </x:c>
      <x:c r="N1240" s="66" t="str">
        <x:v>Tidak Ada</x:v>
      </x:c>
      <x:c r="O1240" s="66" t="str">
        <x:v>Lampung</x:v>
      </x:c>
      <x:c r="P1240" s="66" t="str">
        <x:v>Kota Bandar Lampung</x:v>
      </x:c>
      <x:c r="Q1240" s="66" t="str">
        <x:v>https://snpmb.id/snbp/daya-tampung-snbp</x:v>
      </x:c>
      <x:c r="R1240" s="66" t="str">
        <x:v>https://sidatagrun-public-1076756628210.asia-southeast2.run.app/ptn_sn.php?ptn=291</x:v>
      </x:c>
    </x:row>
    <x:row r="1241">
      <x:c r="A1241" s="87" t="n">
        <x:v>4685</x:v>
      </x:c>
      <x:c r="B1241" s="66" t="n">
        <x:v>291</x:v>
      </x:c>
      <x:c r="C1241" s="66" t="str">
        <x:v>POLITEKNIK NEGERI LAMPUNG</x:v>
      </x:c>
      <x:c r="D1241" s="66" t="str">
        <x:v>PTN Vokasi</x:v>
      </x:c>
      <x:c r="E1241" s="66" t="str">
        <x:v>22913026</x:v>
      </x:c>
      <x:c r="F1241" s="66" t="str">
        <x:v>BUDIDAYA PERIKANAN</x:v>
      </x:c>
      <x:c r="G1241" s="66" t="str">
        <x:v>Diploma Tiga</x:v>
      </x:c>
      <x:c r="H1241" s="87" t="n">
        <x:v>42</x:v>
      </x:c>
      <x:c r="I1241" s="87" t="n">
        <x:v>20</x:v>
      </x:c>
      <x:c r="J1241" s="68" t="n">
        <x:f>IFERROR(H1241/I1241,"")</x:f>
        <x:v>2.1</x:v>
      </x:c>
      <x:c r="K1241" s="69" t="n">
        <x:f>IFERROR(I1241/H1241,"")</x:f>
        <x:v>0.47619047619047616</x:v>
      </x:c>
      <x:c r="L1241" s="66" t="str">
        <x:f>IF(K1241="","","1 : "&amp;TEXT(K1241,"0.0"))</x:f>
        <x:v>1 : 0.5</x:v>
      </x:c>
      <x:c r="M1241" s="66" t="str">
        <x:f>IF(J1241="","Baru/Tanpa Data",IF(J1241&lt;='Catatan &amp; Sumber'!$B$14,"Sangat Ketat",IF(J1241&lt;='Catatan &amp; Sumber'!$B$15,"Ketat",IF(J1241&lt;='Catatan &amp; Sumber'!$B$16,"Sedang","Relatif Longgar"))))</x:f>
        <x:v>Relatif Longgar</x:v>
      </x:c>
      <x:c r="N1241" s="66" t="str">
        <x:v>Tidak Ada</x:v>
      </x:c>
      <x:c r="O1241" s="66" t="str">
        <x:v>Lampung</x:v>
      </x:c>
      <x:c r="P1241" s="66" t="str">
        <x:v>Kota Bandar Lampung</x:v>
      </x:c>
      <x:c r="Q1241" s="66" t="str">
        <x:v>https://snpmb.id/snbp/daya-tampung-snbp</x:v>
      </x:c>
      <x:c r="R1241" s="66" t="str">
        <x:v>https://sidatagrun-public-1076756628210.asia-southeast2.run.app/ptn_sn.php?ptn=291</x:v>
      </x:c>
    </x:row>
    <x:row r="1242">
      <x:c r="A1242" s="87" t="n">
        <x:v>1595</x:v>
      </x:c>
      <x:c r="B1242" s="66" t="n">
        <x:v>311</x:v>
      </x:c>
      <x:c r="C1242" s="66" t="str">
        <x:v>UNIVERSITAS SULTAN AGENG TIRTAYASA</x:v>
      </x:c>
      <x:c r="D1242" s="66" t="str">
        <x:v>PTN Akademik</x:v>
      </x:c>
      <x:c r="E1242" s="66" t="str">
        <x:v>13111001</x:v>
      </x:c>
      <x:c r="F1242" s="66" t="str">
        <x:v>TEKNIK MESIN</x:v>
      </x:c>
      <x:c r="G1242" s="66" t="str">
        <x:v>Sarjana</x:v>
      </x:c>
      <x:c r="H1242" s="87" t="n">
        <x:v>55</x:v>
      </x:c>
      <x:c r="I1242" s="87" t="n">
        <x:v>474</x:v>
      </x:c>
      <x:c r="J1242" s="68" t="n">
        <x:f>IFERROR(H1242/I1242,"")</x:f>
        <x:v>0.1160337552742616</x:v>
      </x:c>
      <x:c r="K1242" s="69" t="n">
        <x:f>IFERROR(I1242/H1242,"")</x:f>
        <x:v>8.618181818181819</x:v>
      </x:c>
      <x:c r="L1242" s="66" t="str">
        <x:f>IF(K1242="","","1 : "&amp;TEXT(K1242,"0.0"))</x:f>
        <x:v>1 : 8.6</x:v>
      </x:c>
      <x:c r="M1242" s="66" t="str">
        <x:f>IF(J1242="","Baru/Tanpa Data",IF(J1242&lt;='Catatan &amp; Sumber'!$B$14,"Sangat Ketat",IF(J1242&lt;='Catatan &amp; Sumber'!$B$15,"Ketat",IF(J1242&lt;='Catatan &amp; Sumber'!$B$16,"Sedang","Relatif Longgar"))))</x:f>
        <x:v>Relatif Longgar</x:v>
      </x:c>
      <x:c r="N1242" s="66" t="str">
        <x:v>Tidak Ada</x:v>
      </x:c>
      <x:c r="O1242" s="66" t="str">
        <x:v>Banten</x:v>
      </x:c>
      <x:c r="P1242" s="66" t="str">
        <x:v>Kabupaten Serang</x:v>
      </x:c>
      <x:c r="Q1242" s="66" t="str">
        <x:v>https://snpmb.id/snbp/daya-tampung-snbp</x:v>
      </x:c>
      <x:c r="R1242" s="66" t="str">
        <x:v>https://sidatagrun-public-1076756628210.asia-southeast2.run.app/ptn_sn.php?ptn=311</x:v>
      </x:c>
    </x:row>
    <x:row r="1243">
      <x:c r="A1243" s="87" t="n">
        <x:v>1341</x:v>
      </x:c>
      <x:c r="B1243" s="66" t="n">
        <x:v>311</x:v>
      </x:c>
      <x:c r="C1243" s="66" t="str">
        <x:v>UNIVERSITAS SULTAN AGENG TIRTAYASA</x:v>
      </x:c>
      <x:c r="D1243" s="66" t="str">
        <x:v>PTN Akademik</x:v>
      </x:c>
      <x:c r="E1243" s="66" t="str">
        <x:v>13111002</x:v>
      </x:c>
      <x:c r="F1243" s="66" t="str">
        <x:v>TEKNIK ELEKTRO</x:v>
      </x:c>
      <x:c r="G1243" s="66" t="str">
        <x:v>Sarjana</x:v>
      </x:c>
      <x:c r="H1243" s="87" t="n">
        <x:v>55</x:v>
      </x:c>
      <x:c r="I1243" s="87" t="n">
        <x:v>561</x:v>
      </x:c>
      <x:c r="J1243" s="68" t="n">
        <x:f>IFERROR(H1243/I1243,"")</x:f>
        <x:v>0.09803921568627451</x:v>
      </x:c>
      <x:c r="K1243" s="69" t="n">
        <x:f>IFERROR(I1243/H1243,"")</x:f>
        <x:v>10.2</x:v>
      </x:c>
      <x:c r="L1243" s="66" t="str">
        <x:f>IF(K1243="","","1 : "&amp;TEXT(K1243,"0.0"))</x:f>
        <x:v>1 : 10.2</x:v>
      </x:c>
      <x:c r="M1243" s="66" t="str">
        <x:f>IF(J1243="","Baru/Tanpa Data",IF(J1243&lt;='Catatan &amp; Sumber'!$B$14,"Sangat Ketat",IF(J1243&lt;='Catatan &amp; Sumber'!$B$15,"Ketat",IF(J1243&lt;='Catatan &amp; Sumber'!$B$16,"Sedang","Relatif Longgar"))))</x:f>
        <x:v>Sedang</x:v>
      </x:c>
      <x:c r="N1243" s="66" t="str">
        <x:v>Tidak Ada</x:v>
      </x:c>
      <x:c r="O1243" s="66" t="str">
        <x:v>Banten</x:v>
      </x:c>
      <x:c r="P1243" s="66" t="str">
        <x:v>Kabupaten Serang</x:v>
      </x:c>
      <x:c r="Q1243" s="66" t="str">
        <x:v>https://snpmb.id/snbp/daya-tampung-snbp</x:v>
      </x:c>
      <x:c r="R1243" s="66" t="str">
        <x:v>https://sidatagrun-public-1076756628210.asia-southeast2.run.app/ptn_sn.php?ptn=311</x:v>
      </x:c>
    </x:row>
    <x:row r="1244">
      <x:c r="A1244" s="87" t="n">
        <x:v>432</x:v>
      </x:c>
      <x:c r="B1244" s="66" t="n">
        <x:v>311</x:v>
      </x:c>
      <x:c r="C1244" s="66" t="str">
        <x:v>UNIVERSITAS SULTAN AGENG TIRTAYASA</x:v>
      </x:c>
      <x:c r="D1244" s="66" t="str">
        <x:v>PTN Akademik</x:v>
      </x:c>
      <x:c r="E1244" s="66" t="str">
        <x:v>13111003</x:v>
      </x:c>
      <x:c r="F1244" s="66" t="str">
        <x:v>TEKNIK INDUSTRI</x:v>
      </x:c>
      <x:c r="G1244" s="66" t="str">
        <x:v>Sarjana</x:v>
      </x:c>
      <x:c r="H1244" s="87" t="n">
        <x:v>55</x:v>
      </x:c>
      <x:c r="I1244" s="87" t="n">
        <x:v>1139</x:v>
      </x:c>
      <x:c r="J1244" s="68" t="n">
        <x:f>IFERROR(H1244/I1244,"")</x:f>
        <x:v>0.048287971905179985</x:v>
      </x:c>
      <x:c r="K1244" s="69" t="n">
        <x:f>IFERROR(I1244/H1244,"")</x:f>
        <x:v>20.70909090909091</x:v>
      </x:c>
      <x:c r="L1244" s="66" t="str">
        <x:f>IF(K1244="","","1 : "&amp;TEXT(K1244,"0.0"))</x:f>
        <x:v>1 : 20.7</x:v>
      </x:c>
      <x:c r="M1244" s="66" t="str">
        <x:f>IF(J1244="","Baru/Tanpa Data",IF(J1244&lt;='Catatan &amp; Sumber'!$B$14,"Sangat Ketat",IF(J1244&lt;='Catatan &amp; Sumber'!$B$15,"Ketat",IF(J1244&lt;='Catatan &amp; Sumber'!$B$16,"Sedang","Relatif Longgar"))))</x:f>
        <x:v>Ketat</x:v>
      </x:c>
      <x:c r="N1244" s="66" t="str">
        <x:v>Tidak Ada</x:v>
      </x:c>
      <x:c r="O1244" s="66" t="str">
        <x:v>Banten</x:v>
      </x:c>
      <x:c r="P1244" s="66" t="str">
        <x:v>Kabupaten Serang</x:v>
      </x:c>
      <x:c r="Q1244" s="66" t="str">
        <x:v>https://snpmb.id/snbp/daya-tampung-snbp</x:v>
      </x:c>
      <x:c r="R1244" s="66" t="str">
        <x:v>https://sidatagrun-public-1076756628210.asia-southeast2.run.app/ptn_sn.php?ptn=311</x:v>
      </x:c>
    </x:row>
    <x:row r="1245">
      <x:c r="A1245" s="87" t="n">
        <x:v>562</x:v>
      </x:c>
      <x:c r="B1245" s="66" t="n">
        <x:v>311</x:v>
      </x:c>
      <x:c r="C1245" s="66" t="str">
        <x:v>UNIVERSITAS SULTAN AGENG TIRTAYASA</x:v>
      </x:c>
      <x:c r="D1245" s="66" t="str">
        <x:v>PTN Akademik</x:v>
      </x:c>
      <x:c r="E1245" s="66" t="str">
        <x:v>13111004</x:v>
      </x:c>
      <x:c r="F1245" s="66" t="str">
        <x:v>TEKNIK METALURGI</x:v>
      </x:c>
      <x:c r="G1245" s="66" t="str">
        <x:v>Sarjana</x:v>
      </x:c>
      <x:c r="H1245" s="87" t="n">
        <x:v>32</x:v>
      </x:c>
      <x:c r="I1245" s="87" t="n">
        <x:v>586</x:v>
      </x:c>
      <x:c r="J1245" s="68" t="n">
        <x:f>IFERROR(H1245/I1245,"")</x:f>
        <x:v>0.05460750853242321</x:v>
      </x:c>
      <x:c r="K1245" s="69" t="n">
        <x:f>IFERROR(I1245/H1245,"")</x:f>
        <x:v>18.3125</x:v>
      </x:c>
      <x:c r="L1245" s="66" t="str">
        <x:f>IF(K1245="","","1 : "&amp;TEXT(K1245,"0.0"))</x:f>
        <x:v>1 : 18.3</x:v>
      </x:c>
      <x:c r="M1245" s="66" t="str">
        <x:f>IF(J1245="","Baru/Tanpa Data",IF(J1245&lt;='Catatan &amp; Sumber'!$B$14,"Sangat Ketat",IF(J1245&lt;='Catatan &amp; Sumber'!$B$15,"Ketat",IF(J1245&lt;='Catatan &amp; Sumber'!$B$16,"Sedang","Relatif Longgar"))))</x:f>
        <x:v>Sedang</x:v>
      </x:c>
      <x:c r="N1245" s="66" t="str">
        <x:v>Tidak Ada</x:v>
      </x:c>
      <x:c r="O1245" s="66" t="str">
        <x:v>Banten</x:v>
      </x:c>
      <x:c r="P1245" s="66" t="str">
        <x:v>Kabupaten Serang</x:v>
      </x:c>
      <x:c r="Q1245" s="66" t="str">
        <x:v>https://snpmb.id/snbp/daya-tampung-snbp</x:v>
      </x:c>
      <x:c r="R1245" s="66" t="str">
        <x:v>https://sidatagrun-public-1076756628210.asia-southeast2.run.app/ptn_sn.php?ptn=311</x:v>
      </x:c>
    </x:row>
    <x:row r="1246">
      <x:c r="A1246" s="87" t="n">
        <x:v>1594</x:v>
      </x:c>
      <x:c r="B1246" s="66" t="n">
        <x:v>311</x:v>
      </x:c>
      <x:c r="C1246" s="66" t="str">
        <x:v>UNIVERSITAS SULTAN AGENG TIRTAYASA</x:v>
      </x:c>
      <x:c r="D1246" s="66" t="str">
        <x:v>PTN Akademik</x:v>
      </x:c>
      <x:c r="E1246" s="66" t="str">
        <x:v>13111005</x:v>
      </x:c>
      <x:c r="F1246" s="66" t="str">
        <x:v>TEKNIK KIMIA</x:v>
      </x:c>
      <x:c r="G1246" s="66" t="str">
        <x:v>Sarjana</x:v>
      </x:c>
      <x:c r="H1246" s="87" t="n">
        <x:v>55</x:v>
      </x:c>
      <x:c r="I1246" s="87" t="n">
        <x:v>475</x:v>
      </x:c>
      <x:c r="J1246" s="68" t="n">
        <x:f>IFERROR(H1246/I1246,"")</x:f>
        <x:v>0.11578947368421053</x:v>
      </x:c>
      <x:c r="K1246" s="69" t="n">
        <x:f>IFERROR(I1246/H1246,"")</x:f>
        <x:v>8.636363636363637</x:v>
      </x:c>
      <x:c r="L1246" s="66" t="str">
        <x:f>IF(K1246="","","1 : "&amp;TEXT(K1246,"0.0"))</x:f>
        <x:v>1 : 8.6</x:v>
      </x:c>
      <x:c r="M1246" s="66" t="str">
        <x:f>IF(J1246="","Baru/Tanpa Data",IF(J1246&lt;='Catatan &amp; Sumber'!$B$14,"Sangat Ketat",IF(J1246&lt;='Catatan &amp; Sumber'!$B$15,"Ketat",IF(J1246&lt;='Catatan &amp; Sumber'!$B$16,"Sedang","Relatif Longgar"))))</x:f>
        <x:v>Relatif Longgar</x:v>
      </x:c>
      <x:c r="N1246" s="66" t="str">
        <x:v>Tidak Ada</x:v>
      </x:c>
      <x:c r="O1246" s="66" t="str">
        <x:v>Banten</x:v>
      </x:c>
      <x:c r="P1246" s="66" t="str">
        <x:v>Kabupaten Serang</x:v>
      </x:c>
      <x:c r="Q1246" s="66" t="str">
        <x:v>https://snpmb.id/snbp/daya-tampung-snbp</x:v>
      </x:c>
      <x:c r="R1246" s="66" t="str">
        <x:v>https://sidatagrun-public-1076756628210.asia-southeast2.run.app/ptn_sn.php?ptn=311</x:v>
      </x:c>
    </x:row>
    <x:row r="1247">
      <x:c r="A1247" s="87" t="n">
        <x:v>1185</x:v>
      </x:c>
      <x:c r="B1247" s="66" t="n">
        <x:v>311</x:v>
      </x:c>
      <x:c r="C1247" s="66" t="str">
        <x:v>UNIVERSITAS SULTAN AGENG TIRTAYASA</x:v>
      </x:c>
      <x:c r="D1247" s="66" t="str">
        <x:v>PTN Akademik</x:v>
      </x:c>
      <x:c r="E1247" s="66" t="str">
        <x:v>13111006</x:v>
      </x:c>
      <x:c r="F1247" s="66" t="str">
        <x:v>TEKNIK SIPIL</x:v>
      </x:c>
      <x:c r="G1247" s="66" t="str">
        <x:v>Sarjana</x:v>
      </x:c>
      <x:c r="H1247" s="87" t="n">
        <x:v>55</x:v>
      </x:c>
      <x:c r="I1247" s="87" t="n">
        <x:v>619</x:v>
      </x:c>
      <x:c r="J1247" s="68" t="n">
        <x:f>IFERROR(H1247/I1247,"")</x:f>
        <x:v>0.0888529886914378</x:v>
      </x:c>
      <x:c r="K1247" s="69" t="n">
        <x:f>IFERROR(I1247/H1247,"")</x:f>
        <x:v>11.254545454545454</x:v>
      </x:c>
      <x:c r="L1247" s="66" t="str">
        <x:f>IF(K1247="","","1 : "&amp;TEXT(K1247,"0.0"))</x:f>
        <x:v>1 : 11.3</x:v>
      </x:c>
      <x:c r="M1247" s="66" t="str">
        <x:f>IF(J1247="","Baru/Tanpa Data",IF(J1247&lt;='Catatan &amp; Sumber'!$B$14,"Sangat Ketat",IF(J1247&lt;='Catatan &amp; Sumber'!$B$15,"Ketat",IF(J1247&lt;='Catatan &amp; Sumber'!$B$16,"Sedang","Relatif Longgar"))))</x:f>
        <x:v>Sedang</x:v>
      </x:c>
      <x:c r="N1247" s="66" t="str">
        <x:v>Tidak Ada</x:v>
      </x:c>
      <x:c r="O1247" s="66" t="str">
        <x:v>Banten</x:v>
      </x:c>
      <x:c r="P1247" s="66" t="str">
        <x:v>Kabupaten Serang</x:v>
      </x:c>
      <x:c r="Q1247" s="66" t="str">
        <x:v>https://snpmb.id/snbp/daya-tampung-snbp</x:v>
      </x:c>
      <x:c r="R1247" s="66" t="str">
        <x:v>https://sidatagrun-public-1076756628210.asia-southeast2.run.app/ptn_sn.php?ptn=311</x:v>
      </x:c>
    </x:row>
    <x:row r="1248">
      <x:c r="A1248" s="87" t="n">
        <x:v>2003</x:v>
      </x:c>
      <x:c r="B1248" s="66" t="n">
        <x:v>311</x:v>
      </x:c>
      <x:c r="C1248" s="66" t="str">
        <x:v>UNIVERSITAS SULTAN AGENG TIRTAYASA</x:v>
      </x:c>
      <x:c r="D1248" s="66" t="str">
        <x:v>PTN Akademik</x:v>
      </x:c>
      <x:c r="E1248" s="66" t="str">
        <x:v>13111007</x:v>
      </x:c>
      <x:c r="F1248" s="66" t="str">
        <x:v>AGRIBISNIS</x:v>
      </x:c>
      <x:c r="G1248" s="66" t="str">
        <x:v>Sarjana</x:v>
      </x:c>
      <x:c r="H1248" s="87" t="n">
        <x:v>82</x:v>
      </x:c>
      <x:c r="I1248" s="87" t="n">
        <x:v>538</x:v>
      </x:c>
      <x:c r="J1248" s="68" t="n">
        <x:f>IFERROR(H1248/I1248,"")</x:f>
        <x:v>0.1524163568773234</x:v>
      </x:c>
      <x:c r="K1248" s="69" t="n">
        <x:f>IFERROR(I1248/H1248,"")</x:f>
        <x:v>6.560975609756097</x:v>
      </x:c>
      <x:c r="L1248" s="66" t="str">
        <x:f>IF(K1248="","","1 : "&amp;TEXT(K1248,"0.0"))</x:f>
        <x:v>1 : 6.6</x:v>
      </x:c>
      <x:c r="M1248" s="66" t="str">
        <x:f>IF(J1248="","Baru/Tanpa Data",IF(J1248&lt;='Catatan &amp; Sumber'!$B$14,"Sangat Ketat",IF(J1248&lt;='Catatan &amp; Sumber'!$B$15,"Ketat",IF(J1248&lt;='Catatan &amp; Sumber'!$B$16,"Sedang","Relatif Longgar"))))</x:f>
        <x:v>Relatif Longgar</x:v>
      </x:c>
      <x:c r="N1248" s="66" t="str">
        <x:v>Tidak Ada</x:v>
      </x:c>
      <x:c r="O1248" s="66" t="str">
        <x:v>Banten</x:v>
      </x:c>
      <x:c r="P1248" s="66" t="str">
        <x:v>Kabupaten Serang</x:v>
      </x:c>
      <x:c r="Q1248" s="66" t="str">
        <x:v>https://snpmb.id/snbp/daya-tampung-snbp</x:v>
      </x:c>
      <x:c r="R1248" s="66" t="str">
        <x:v>https://sidatagrun-public-1076756628210.asia-southeast2.run.app/ptn_sn.php?ptn=311</x:v>
      </x:c>
    </x:row>
    <x:row r="1249">
      <x:c r="A1249" s="87" t="n">
        <x:v>2342</x:v>
      </x:c>
      <x:c r="B1249" s="66" t="n">
        <x:v>311</x:v>
      </x:c>
      <x:c r="C1249" s="66" t="str">
        <x:v>UNIVERSITAS SULTAN AGENG TIRTAYASA</x:v>
      </x:c>
      <x:c r="D1249" s="66" t="str">
        <x:v>PTN Akademik</x:v>
      </x:c>
      <x:c r="E1249" s="66" t="str">
        <x:v>13111008</x:v>
      </x:c>
      <x:c r="F1249" s="66" t="str">
        <x:v>AGROEKOTEKNOLOGI</x:v>
      </x:c>
      <x:c r="G1249" s="66" t="str">
        <x:v>Sarjana</x:v>
      </x:c>
      <x:c r="H1249" s="87" t="n">
        <x:v>90</x:v>
      </x:c>
      <x:c r="I1249" s="87" t="n">
        <x:v>478</x:v>
      </x:c>
      <x:c r="J1249" s="68" t="n">
        <x:f>IFERROR(H1249/I1249,"")</x:f>
        <x:v>0.18828451882845187</x:v>
      </x:c>
      <x:c r="K1249" s="69" t="n">
        <x:f>IFERROR(I1249/H1249,"")</x:f>
        <x:v>5.311111111111111</x:v>
      </x:c>
      <x:c r="L1249" s="66" t="str">
        <x:f>IF(K1249="","","1 : "&amp;TEXT(K1249,"0.0"))</x:f>
        <x:v>1 : 5.3</x:v>
      </x:c>
      <x:c r="M1249" s="66" t="str">
        <x:f>IF(J1249="","Baru/Tanpa Data",IF(J1249&lt;='Catatan &amp; Sumber'!$B$14,"Sangat Ketat",IF(J1249&lt;='Catatan &amp; Sumber'!$B$15,"Ketat",IF(J1249&lt;='Catatan &amp; Sumber'!$B$16,"Sedang","Relatif Longgar"))))</x:f>
        <x:v>Relatif Longgar</x:v>
      </x:c>
      <x:c r="N1249" s="66" t="str">
        <x:v>Tidak Ada</x:v>
      </x:c>
      <x:c r="O1249" s="66" t="str">
        <x:v>Banten</x:v>
      </x:c>
      <x:c r="P1249" s="66" t="str">
        <x:v>Kabupaten Serang</x:v>
      </x:c>
      <x:c r="Q1249" s="66" t="str">
        <x:v>https://snpmb.id/snbp/daya-tampung-snbp</x:v>
      </x:c>
      <x:c r="R1249" s="66" t="str">
        <x:v>https://sidatagrun-public-1076756628210.asia-southeast2.run.app/ptn_sn.php?ptn=311</x:v>
      </x:c>
    </x:row>
    <x:row r="1250">
      <x:c r="A1250" s="87" t="n">
        <x:v>3248</x:v>
      </x:c>
      <x:c r="B1250" s="66" t="n">
        <x:v>311</x:v>
      </x:c>
      <x:c r="C1250" s="66" t="str">
        <x:v>UNIVERSITAS SULTAN AGENG TIRTAYASA</x:v>
      </x:c>
      <x:c r="D1250" s="66" t="str">
        <x:v>PTN Akademik</x:v>
      </x:c>
      <x:c r="E1250" s="66" t="str">
        <x:v>13111009</x:v>
      </x:c>
      <x:c r="F1250" s="66" t="str">
        <x:v>ILMU PERIKANAN</x:v>
      </x:c>
      <x:c r="G1250" s="66" t="str">
        <x:v>Sarjana</x:v>
      </x:c>
      <x:c r="H1250" s="87" t="n">
        <x:v>62</x:v>
      </x:c>
      <x:c r="I1250" s="87" t="n">
        <x:v>174</x:v>
      </x:c>
      <x:c r="J1250" s="68" t="n">
        <x:f>IFERROR(H1250/I1250,"")</x:f>
        <x:v>0.3563218390804598</x:v>
      </x:c>
      <x:c r="K1250" s="69" t="n">
        <x:f>IFERROR(I1250/H1250,"")</x:f>
        <x:v>2.806451612903226</x:v>
      </x:c>
      <x:c r="L1250" s="66" t="str">
        <x:f>IF(K1250="","","1 : "&amp;TEXT(K1250,"0.0"))</x:f>
        <x:v>1 : 2.8</x:v>
      </x:c>
      <x:c r="M1250" s="66" t="str">
        <x:f>IF(J1250="","Baru/Tanpa Data",IF(J1250&lt;='Catatan &amp; Sumber'!$B$14,"Sangat Ketat",IF(J1250&lt;='Catatan &amp; Sumber'!$B$15,"Ketat",IF(J1250&lt;='Catatan &amp; Sumber'!$B$16,"Sedang","Relatif Longgar"))))</x:f>
        <x:v>Relatif Longgar</x:v>
      </x:c>
      <x:c r="N1250" s="66" t="str">
        <x:v>Tidak Ada</x:v>
      </x:c>
      <x:c r="O1250" s="66" t="str">
        <x:v>Banten</x:v>
      </x:c>
      <x:c r="P1250" s="66" t="str">
        <x:v>Kabupaten Serang</x:v>
      </x:c>
      <x:c r="Q1250" s="66" t="str">
        <x:v>https://snpmb.id/snbp/daya-tampung-snbp</x:v>
      </x:c>
      <x:c r="R1250" s="66" t="str">
        <x:v>https://sidatagrun-public-1076756628210.asia-southeast2.run.app/ptn_sn.php?ptn=311</x:v>
      </x:c>
    </x:row>
    <x:row r="1251">
      <x:c r="A1251" s="87" t="n">
        <x:v>1971</x:v>
      </x:c>
      <x:c r="B1251" s="66" t="n">
        <x:v>311</x:v>
      </x:c>
      <x:c r="C1251" s="66" t="str">
        <x:v>UNIVERSITAS SULTAN AGENG TIRTAYASA</x:v>
      </x:c>
      <x:c r="D1251" s="66" t="str">
        <x:v>PTN Akademik</x:v>
      </x:c>
      <x:c r="E1251" s="66" t="str">
        <x:v>13111010</x:v>
      </x:c>
      <x:c r="F1251" s="66" t="str">
        <x:v>PENDIDIKAN BIOLOGI</x:v>
      </x:c>
      <x:c r="G1251" s="66" t="str">
        <x:v>Sarjana</x:v>
      </x:c>
      <x:c r="H1251" s="87" t="n">
        <x:v>50</x:v>
      </x:c>
      <x:c r="I1251" s="87" t="n">
        <x:v>337</x:v>
      </x:c>
      <x:c r="J1251" s="68" t="n">
        <x:f>IFERROR(H1251/I1251,"")</x:f>
        <x:v>0.14836795252225518</x:v>
      </x:c>
      <x:c r="K1251" s="69" t="n">
        <x:f>IFERROR(I1251/H1251,"")</x:f>
        <x:v>6.74</x:v>
      </x:c>
      <x:c r="L1251" s="66" t="str">
        <x:f>IF(K1251="","","1 : "&amp;TEXT(K1251,"0.0"))</x:f>
        <x:v>1 : 6.7</x:v>
      </x:c>
      <x:c r="M1251" s="66" t="str">
        <x:f>IF(J1251="","Baru/Tanpa Data",IF(J1251&lt;='Catatan &amp; Sumber'!$B$14,"Sangat Ketat",IF(J1251&lt;='Catatan &amp; Sumber'!$B$15,"Ketat",IF(J1251&lt;='Catatan &amp; Sumber'!$B$16,"Sedang","Relatif Longgar"))))</x:f>
        <x:v>Relatif Longgar</x:v>
      </x:c>
      <x:c r="N1251" s="66" t="str">
        <x:v>Tidak Ada</x:v>
      </x:c>
      <x:c r="O1251" s="66" t="str">
        <x:v>Banten</x:v>
      </x:c>
      <x:c r="P1251" s="66" t="str">
        <x:v>Kabupaten Serang</x:v>
      </x:c>
      <x:c r="Q1251" s="66" t="str">
        <x:v>https://snpmb.id/snbp/daya-tampung-snbp</x:v>
      </x:c>
      <x:c r="R1251" s="66" t="str">
        <x:v>https://sidatagrun-public-1076756628210.asia-southeast2.run.app/ptn_sn.php?ptn=311</x:v>
      </x:c>
    </x:row>
    <x:row r="1252">
      <x:c r="A1252" s="87" t="n">
        <x:v>2582</x:v>
      </x:c>
      <x:c r="B1252" s="66" t="n">
        <x:v>311</x:v>
      </x:c>
      <x:c r="C1252" s="66" t="str">
        <x:v>UNIVERSITAS SULTAN AGENG TIRTAYASA</x:v>
      </x:c>
      <x:c r="D1252" s="66" t="str">
        <x:v>PTN Akademik</x:v>
      </x:c>
      <x:c r="E1252" s="66" t="str">
        <x:v>13111011</x:v>
      </x:c>
      <x:c r="F1252" s="66" t="str">
        <x:v>PENDIDIKAN MATEMATIKA</x:v>
      </x:c>
      <x:c r="G1252" s="66" t="str">
        <x:v>Sarjana</x:v>
      </x:c>
      <x:c r="H1252" s="87" t="n">
        <x:v>72</x:v>
      </x:c>
      <x:c r="I1252" s="87" t="n">
        <x:v>319</x:v>
      </x:c>
      <x:c r="J1252" s="68" t="n">
        <x:f>IFERROR(H1252/I1252,"")</x:f>
        <x:v>0.22570532915360503</x:v>
      </x:c>
      <x:c r="K1252" s="69" t="n">
        <x:f>IFERROR(I1252/H1252,"")</x:f>
        <x:v>4.430555555555555</x:v>
      </x:c>
      <x:c r="L1252" s="66" t="str">
        <x:f>IF(K1252="","","1 : "&amp;TEXT(K1252,"0.0"))</x:f>
        <x:v>1 : 4.4</x:v>
      </x:c>
      <x:c r="M1252" s="66" t="str">
        <x:f>IF(J1252="","Baru/Tanpa Data",IF(J1252&lt;='Catatan &amp; Sumber'!$B$14,"Sangat Ketat",IF(J1252&lt;='Catatan &amp; Sumber'!$B$15,"Ketat",IF(J1252&lt;='Catatan &amp; Sumber'!$B$16,"Sedang","Relatif Longgar"))))</x:f>
        <x:v>Relatif Longgar</x:v>
      </x:c>
      <x:c r="N1252" s="66" t="str">
        <x:v>Tidak Ada</x:v>
      </x:c>
      <x:c r="O1252" s="66" t="str">
        <x:v>Banten</x:v>
      </x:c>
      <x:c r="P1252" s="66" t="str">
        <x:v>Kabupaten Serang</x:v>
      </x:c>
      <x:c r="Q1252" s="66" t="str">
        <x:v>https://snpmb.id/snbp/daya-tampung-snbp</x:v>
      </x:c>
      <x:c r="R1252" s="66" t="str">
        <x:v>https://sidatagrun-public-1076756628210.asia-southeast2.run.app/ptn_sn.php?ptn=311</x:v>
      </x:c>
    </x:row>
    <x:row r="1253">
      <x:c r="A1253" s="87" t="n">
        <x:v>3010</x:v>
      </x:c>
      <x:c r="B1253" s="66" t="n">
        <x:v>311</x:v>
      </x:c>
      <x:c r="C1253" s="66" t="str">
        <x:v>UNIVERSITAS SULTAN AGENG TIRTAYASA</x:v>
      </x:c>
      <x:c r="D1253" s="66" t="str">
        <x:v>PTN Akademik</x:v>
      </x:c>
      <x:c r="E1253" s="66" t="str">
        <x:v>13111012</x:v>
      </x:c>
      <x:c r="F1253" s="66" t="str">
        <x:v>PENDIDIKAN VOKASIONAL TEKNIK ELEKTRO</x:v>
      </x:c>
      <x:c r="G1253" s="66" t="str">
        <x:v>Sarjana</x:v>
      </x:c>
      <x:c r="H1253" s="87" t="n">
        <x:v>30</x:v>
      </x:c>
      <x:c r="I1253" s="87" t="n">
        <x:v>101</x:v>
      </x:c>
      <x:c r="J1253" s="68" t="n">
        <x:f>IFERROR(H1253/I1253,"")</x:f>
        <x:v>0.297029702970297</x:v>
      </x:c>
      <x:c r="K1253" s="69" t="n">
        <x:f>IFERROR(I1253/H1253,"")</x:f>
        <x:v>3.3666666666666667</x:v>
      </x:c>
      <x:c r="L1253" s="66" t="str">
        <x:f>IF(K1253="","","1 : "&amp;TEXT(K1253,"0.0"))</x:f>
        <x:v>1 : 3.4</x:v>
      </x:c>
      <x:c r="M1253" s="66" t="str">
        <x:f>IF(J1253="","Baru/Tanpa Data",IF(J1253&lt;='Catatan &amp; Sumber'!$B$14,"Sangat Ketat",IF(J1253&lt;='Catatan &amp; Sumber'!$B$15,"Ketat",IF(J1253&lt;='Catatan &amp; Sumber'!$B$16,"Sedang","Relatif Longgar"))))</x:f>
        <x:v>Relatif Longgar</x:v>
      </x:c>
      <x:c r="N1253" s="66" t="str">
        <x:v>Tidak Ada</x:v>
      </x:c>
      <x:c r="O1253" s="66" t="str">
        <x:v>Banten</x:v>
      </x:c>
      <x:c r="P1253" s="66" t="str">
        <x:v>Kabupaten Serang</x:v>
      </x:c>
      <x:c r="Q1253" s="66" t="str">
        <x:v>https://snpmb.id/snbp/daya-tampung-snbp</x:v>
      </x:c>
      <x:c r="R1253" s="66" t="str">
        <x:v>https://sidatagrun-public-1076756628210.asia-southeast2.run.app/ptn_sn.php?ptn=311</x:v>
      </x:c>
    </x:row>
    <x:row r="1254">
      <x:c r="A1254" s="87" t="n">
        <x:v>3380</x:v>
      </x:c>
      <x:c r="B1254" s="66" t="n">
        <x:v>311</x:v>
      </x:c>
      <x:c r="C1254" s="66" t="str">
        <x:v>UNIVERSITAS SULTAN AGENG TIRTAYASA</x:v>
      </x:c>
      <x:c r="D1254" s="66" t="str">
        <x:v>PTN Akademik</x:v>
      </x:c>
      <x:c r="E1254" s="66" t="str">
        <x:v>13111013</x:v>
      </x:c>
      <x:c r="F1254" s="66" t="str">
        <x:v>PENDIDIKAN VOKASIONAL TEKNIK MESIN</x:v>
      </x:c>
      <x:c r="G1254" s="66" t="str">
        <x:v>Sarjana</x:v>
      </x:c>
      <x:c r="H1254" s="87" t="n">
        <x:v>32</x:v>
      </x:c>
      <x:c r="I1254" s="87" t="n">
        <x:v>81</x:v>
      </x:c>
      <x:c r="J1254" s="68" t="n">
        <x:f>IFERROR(H1254/I1254,"")</x:f>
        <x:v>0.3950617283950617</x:v>
      </x:c>
      <x:c r="K1254" s="69" t="n">
        <x:f>IFERROR(I1254/H1254,"")</x:f>
        <x:v>2.53125</x:v>
      </x:c>
      <x:c r="L1254" s="66" t="str">
        <x:f>IF(K1254="","","1 : "&amp;TEXT(K1254,"0.0"))</x:f>
        <x:v>1 : 2.5</x:v>
      </x:c>
      <x:c r="M1254" s="66" t="str">
        <x:f>IF(J1254="","Baru/Tanpa Data",IF(J1254&lt;='Catatan &amp; Sumber'!$B$14,"Sangat Ketat",IF(J1254&lt;='Catatan &amp; Sumber'!$B$15,"Ketat",IF(J1254&lt;='Catatan &amp; Sumber'!$B$16,"Sedang","Relatif Longgar"))))</x:f>
        <x:v>Relatif Longgar</x:v>
      </x:c>
      <x:c r="N1254" s="66" t="str">
        <x:v>Tidak Ada</x:v>
      </x:c>
      <x:c r="O1254" s="66" t="str">
        <x:v>Banten</x:v>
      </x:c>
      <x:c r="P1254" s="66" t="str">
        <x:v>Kabupaten Serang</x:v>
      </x:c>
      <x:c r="Q1254" s="66" t="str">
        <x:v>https://snpmb.id/snbp/daya-tampung-snbp</x:v>
      </x:c>
      <x:c r="R1254" s="66" t="str">
        <x:v>https://sidatagrun-public-1076756628210.asia-southeast2.run.app/ptn_sn.php?ptn=311</x:v>
      </x:c>
    </x:row>
    <x:row r="1255">
      <x:c r="A1255" s="87" t="n">
        <x:v>2592</x:v>
      </x:c>
      <x:c r="B1255" s="66" t="n">
        <x:v>311</x:v>
      </x:c>
      <x:c r="C1255" s="66" t="str">
        <x:v>UNIVERSITAS SULTAN AGENG TIRTAYASA</x:v>
      </x:c>
      <x:c r="D1255" s="66" t="str">
        <x:v>PTN Akademik</x:v>
      </x:c>
      <x:c r="E1255" s="66" t="str">
        <x:v>13111014</x:v>
      </x:c>
      <x:c r="F1255" s="66" t="str">
        <x:v>PENDIDIKAN FISIKA</x:v>
      </x:c>
      <x:c r="G1255" s="66" t="str">
        <x:v>Sarjana</x:v>
      </x:c>
      <x:c r="H1255" s="87" t="n">
        <x:v>32</x:v>
      </x:c>
      <x:c r="I1255" s="87" t="n">
        <x:v>141</x:v>
      </x:c>
      <x:c r="J1255" s="68" t="n">
        <x:f>IFERROR(H1255/I1255,"")</x:f>
        <x:v>0.22695035460992907</x:v>
      </x:c>
      <x:c r="K1255" s="69" t="n">
        <x:f>IFERROR(I1255/H1255,"")</x:f>
        <x:v>4.40625</x:v>
      </x:c>
      <x:c r="L1255" s="66" t="str">
        <x:f>IF(K1255="","","1 : "&amp;TEXT(K1255,"0.0"))</x:f>
        <x:v>1 : 4.4</x:v>
      </x:c>
      <x:c r="M1255" s="66" t="str">
        <x:f>IF(J1255="","Baru/Tanpa Data",IF(J1255&lt;='Catatan &amp; Sumber'!$B$14,"Sangat Ketat",IF(J1255&lt;='Catatan &amp; Sumber'!$B$15,"Ketat",IF(J1255&lt;='Catatan &amp; Sumber'!$B$16,"Sedang","Relatif Longgar"))))</x:f>
        <x:v>Relatif Longgar</x:v>
      </x:c>
      <x:c r="N1255" s="66" t="str">
        <x:v>Tidak Ada</x:v>
      </x:c>
      <x:c r="O1255" s="66" t="str">
        <x:v>Banten</x:v>
      </x:c>
      <x:c r="P1255" s="66" t="str">
        <x:v>Kabupaten Serang</x:v>
      </x:c>
      <x:c r="Q1255" s="66" t="str">
        <x:v>https://snpmb.id/snbp/daya-tampung-snbp</x:v>
      </x:c>
      <x:c r="R1255" s="66" t="str">
        <x:v>https://sidatagrun-public-1076756628210.asia-southeast2.run.app/ptn_sn.php?ptn=311</x:v>
      </x:c>
    </x:row>
    <x:row r="1256">
      <x:c r="A1256" s="87" t="n">
        <x:v>2730</x:v>
      </x:c>
      <x:c r="B1256" s="66" t="n">
        <x:v>311</x:v>
      </x:c>
      <x:c r="C1256" s="66" t="str">
        <x:v>UNIVERSITAS SULTAN AGENG TIRTAYASA</x:v>
      </x:c>
      <x:c r="D1256" s="66" t="str">
        <x:v>PTN Akademik</x:v>
      </x:c>
      <x:c r="E1256" s="66" t="str">
        <x:v>13111015</x:v>
      </x:c>
      <x:c r="F1256" s="66" t="str">
        <x:v>PENDIDIKAN KIMIA</x:v>
      </x:c>
      <x:c r="G1256" s="66" t="str">
        <x:v>Sarjana</x:v>
      </x:c>
      <x:c r="H1256" s="87" t="n">
        <x:v>45</x:v>
      </x:c>
      <x:c r="I1256" s="87" t="n">
        <x:v>181</x:v>
      </x:c>
      <x:c r="J1256" s="68" t="n">
        <x:f>IFERROR(H1256/I1256,"")</x:f>
        <x:v>0.24861878453038674</x:v>
      </x:c>
      <x:c r="K1256" s="69" t="n">
        <x:f>IFERROR(I1256/H1256,"")</x:f>
        <x:v>4.022222222222222</x:v>
      </x:c>
      <x:c r="L1256" s="66" t="str">
        <x:f>IF(K1256="","","1 : "&amp;TEXT(K1256,"0.0"))</x:f>
        <x:v>1 : 4.0</x:v>
      </x:c>
      <x:c r="M1256" s="66" t="str">
        <x:f>IF(J1256="","Baru/Tanpa Data",IF(J1256&lt;='Catatan &amp; Sumber'!$B$14,"Sangat Ketat",IF(J1256&lt;='Catatan &amp; Sumber'!$B$15,"Ketat",IF(J1256&lt;='Catatan &amp; Sumber'!$B$16,"Sedang","Relatif Longgar"))))</x:f>
        <x:v>Relatif Longgar</x:v>
      </x:c>
      <x:c r="N1256" s="66" t="str">
        <x:v>Tidak Ada</x:v>
      </x:c>
      <x:c r="O1256" s="66" t="str">
        <x:v>Banten</x:v>
      </x:c>
      <x:c r="P1256" s="66" t="str">
        <x:v>Kabupaten Serang</x:v>
      </x:c>
      <x:c r="Q1256" s="66" t="str">
        <x:v>https://snpmb.id/snbp/daya-tampung-snbp</x:v>
      </x:c>
      <x:c r="R1256" s="66" t="str">
        <x:v>https://sidatagrun-public-1076756628210.asia-southeast2.run.app/ptn_sn.php?ptn=311</x:v>
      </x:c>
    </x:row>
    <x:row r="1257">
      <x:c r="A1257" s="87" t="n">
        <x:v>2555</x:v>
      </x:c>
      <x:c r="B1257" s="66" t="n">
        <x:v>311</x:v>
      </x:c>
      <x:c r="C1257" s="66" t="str">
        <x:v>UNIVERSITAS SULTAN AGENG TIRTAYASA</x:v>
      </x:c>
      <x:c r="D1257" s="66" t="str">
        <x:v>PTN Akademik</x:v>
      </x:c>
      <x:c r="E1257" s="66" t="str">
        <x:v>13111016</x:v>
      </x:c>
      <x:c r="F1257" s="66" t="str">
        <x:v>PENDIDIKAN IPA</x:v>
      </x:c>
      <x:c r="G1257" s="66" t="str">
        <x:v>Sarjana</x:v>
      </x:c>
      <x:c r="H1257" s="87" t="n">
        <x:v>35</x:v>
      </x:c>
      <x:c r="I1257" s="87" t="n">
        <x:v>159</x:v>
      </x:c>
      <x:c r="J1257" s="68" t="n">
        <x:f>IFERROR(H1257/I1257,"")</x:f>
        <x:v>0.22012578616352202</x:v>
      </x:c>
      <x:c r="K1257" s="69" t="n">
        <x:f>IFERROR(I1257/H1257,"")</x:f>
        <x:v>4.542857142857143</x:v>
      </x:c>
      <x:c r="L1257" s="66" t="str">
        <x:f>IF(K1257="","","1 : "&amp;TEXT(K1257,"0.0"))</x:f>
        <x:v>1 : 4.5</x:v>
      </x:c>
      <x:c r="M1257" s="66" t="str">
        <x:f>IF(J1257="","Baru/Tanpa Data",IF(J1257&lt;='Catatan &amp; Sumber'!$B$14,"Sangat Ketat",IF(J1257&lt;='Catatan &amp; Sumber'!$B$15,"Ketat",IF(J1257&lt;='Catatan &amp; Sumber'!$B$16,"Sedang","Relatif Longgar"))))</x:f>
        <x:v>Relatif Longgar</x:v>
      </x:c>
      <x:c r="N1257" s="66" t="str">
        <x:v>Tidak Ada</x:v>
      </x:c>
      <x:c r="O1257" s="66" t="str">
        <x:v>Banten</x:v>
      </x:c>
      <x:c r="P1257" s="66" t="str">
        <x:v>Kabupaten Serang</x:v>
      </x:c>
      <x:c r="Q1257" s="66" t="str">
        <x:v>https://snpmb.id/snbp/daya-tampung-snbp</x:v>
      </x:c>
      <x:c r="R1257" s="66" t="str">
        <x:v>https://sidatagrun-public-1076756628210.asia-southeast2.run.app/ptn_sn.php?ptn=311</x:v>
      </x:c>
    </x:row>
    <x:row r="1258">
      <x:c r="A1258" s="87" t="n">
        <x:v>1224</x:v>
      </x:c>
      <x:c r="B1258" s="66" t="n">
        <x:v>311</x:v>
      </x:c>
      <x:c r="C1258" s="66" t="str">
        <x:v>UNIVERSITAS SULTAN AGENG TIRTAYASA</x:v>
      </x:c>
      <x:c r="D1258" s="66" t="str">
        <x:v>PTN Akademik</x:v>
      </x:c>
      <x:c r="E1258" s="66" t="str">
        <x:v>13111017</x:v>
      </x:c>
      <x:c r="F1258" s="66" t="str">
        <x:v>TEKNOLOGI PANGAN</x:v>
      </x:c>
      <x:c r="G1258" s="66" t="str">
        <x:v>Sarjana</x:v>
      </x:c>
      <x:c r="H1258" s="87" t="n">
        <x:v>52</x:v>
      </x:c>
      <x:c r="I1258" s="87" t="n">
        <x:v>568</x:v>
      </x:c>
      <x:c r="J1258" s="68" t="n">
        <x:f>IFERROR(H1258/I1258,"")</x:f>
        <x:v>0.09154929577464789</x:v>
      </x:c>
      <x:c r="K1258" s="69" t="n">
        <x:f>IFERROR(I1258/H1258,"")</x:f>
        <x:v>10.923076923076923</x:v>
      </x:c>
      <x:c r="L1258" s="66" t="str">
        <x:f>IF(K1258="","","1 : "&amp;TEXT(K1258,"0.0"))</x:f>
        <x:v>1 : 10.9</x:v>
      </x:c>
      <x:c r="M1258" s="66" t="str">
        <x:f>IF(J1258="","Baru/Tanpa Data",IF(J1258&lt;='Catatan &amp; Sumber'!$B$14,"Sangat Ketat",IF(J1258&lt;='Catatan &amp; Sumber'!$B$15,"Ketat",IF(J1258&lt;='Catatan &amp; Sumber'!$B$16,"Sedang","Relatif Longgar"))))</x:f>
        <x:v>Sedang</x:v>
      </x:c>
      <x:c r="N1258" s="66" t="str">
        <x:v>Tidak Ada</x:v>
      </x:c>
      <x:c r="O1258" s="66" t="str">
        <x:v>Banten</x:v>
      </x:c>
      <x:c r="P1258" s="66" t="str">
        <x:v>Kabupaten Serang</x:v>
      </x:c>
      <x:c r="Q1258" s="66" t="str">
        <x:v>https://snpmb.id/snbp/daya-tampung-snbp</x:v>
      </x:c>
      <x:c r="R1258" s="66" t="str">
        <x:v>https://sidatagrun-public-1076756628210.asia-southeast2.run.app/ptn_sn.php?ptn=311</x:v>
      </x:c>
    </x:row>
    <x:row r="1259">
      <x:c r="A1259" s="87" t="n">
        <x:v>1767</x:v>
      </x:c>
      <x:c r="B1259" s="66" t="n">
        <x:v>311</x:v>
      </x:c>
      <x:c r="C1259" s="66" t="str">
        <x:v>UNIVERSITAS SULTAN AGENG TIRTAYASA</x:v>
      </x:c>
      <x:c r="D1259" s="66" t="str">
        <x:v>PTN Akademik</x:v>
      </x:c>
      <x:c r="E1259" s="66" t="str">
        <x:v>13111018</x:v>
      </x:c>
      <x:c r="F1259" s="66" t="str">
        <x:v>ILMU KEOLAHRAGAAN</x:v>
      </x:c>
      <x:c r="G1259" s="66" t="str">
        <x:v>Sarjana</x:v>
      </x:c>
      <x:c r="H1259" s="87" t="n">
        <x:v>20</x:v>
      </x:c>
      <x:c r="I1259" s="87" t="n">
        <x:v>154</x:v>
      </x:c>
      <x:c r="J1259" s="68" t="n">
        <x:f>IFERROR(H1259/I1259,"")</x:f>
        <x:v>0.12987012987012986</x:v>
      </x:c>
      <x:c r="K1259" s="69" t="n">
        <x:f>IFERROR(I1259/H1259,"")</x:f>
        <x:v>7.7</x:v>
      </x:c>
      <x:c r="L1259" s="66" t="str">
        <x:f>IF(K1259="","","1 : "&amp;TEXT(K1259,"0.0"))</x:f>
        <x:v>1 : 7.7</x:v>
      </x:c>
      <x:c r="M1259" s="66" t="str">
        <x:f>IF(J1259="","Baru/Tanpa Data",IF(J1259&lt;='Catatan &amp; Sumber'!$B$14,"Sangat Ketat",IF(J1259&lt;='Catatan &amp; Sumber'!$B$15,"Ketat",IF(J1259&lt;='Catatan &amp; Sumber'!$B$16,"Sedang","Relatif Longgar"))))</x:f>
        <x:v>Relatif Longgar</x:v>
      </x:c>
      <x:c r="N1259" s="66" t="str">
        <x:v>Olahraga</x:v>
      </x:c>
      <x:c r="O1259" s="66" t="str">
        <x:v>Banten</x:v>
      </x:c>
      <x:c r="P1259" s="66" t="str">
        <x:v>Kabupaten Serang</x:v>
      </x:c>
      <x:c r="Q1259" s="66" t="str">
        <x:v>https://snpmb.id/snbp/daya-tampung-snbp</x:v>
      </x:c>
      <x:c r="R1259" s="66" t="str">
        <x:v>https://sidatagrun-public-1076756628210.asia-southeast2.run.app/ptn_sn.php?ptn=311</x:v>
      </x:c>
    </x:row>
    <x:row r="1260">
      <x:c r="A1260" s="87" t="n">
        <x:v>150</x:v>
      </x:c>
      <x:c r="B1260" s="66" t="n">
        <x:v>311</x:v>
      </x:c>
      <x:c r="C1260" s="66" t="str">
        <x:v>UNIVERSITAS SULTAN AGENG TIRTAYASA</x:v>
      </x:c>
      <x:c r="D1260" s="66" t="str">
        <x:v>PTN Akademik</x:v>
      </x:c>
      <x:c r="E1260" s="66" t="str">
        <x:v>13111019</x:v>
      </x:c>
      <x:c r="F1260" s="66" t="str">
        <x:v>GIZI</x:v>
      </x:c>
      <x:c r="G1260" s="66" t="str">
        <x:v>Sarjana</x:v>
      </x:c>
      <x:c r="H1260" s="87" t="n">
        <x:v>22</x:v>
      </x:c>
      <x:c r="I1260" s="87" t="n">
        <x:v>658</x:v>
      </x:c>
      <x:c r="J1260" s="68" t="n">
        <x:f>IFERROR(H1260/I1260,"")</x:f>
        <x:v>0.03343465045592705</x:v>
      </x:c>
      <x:c r="K1260" s="69" t="n">
        <x:f>IFERROR(I1260/H1260,"")</x:f>
        <x:v>29.90909090909091</x:v>
      </x:c>
      <x:c r="L1260" s="66" t="str">
        <x:f>IF(K1260="","","1 : "&amp;TEXT(K1260,"0.0"))</x:f>
        <x:v>1 : 29.9</x:v>
      </x:c>
      <x:c r="M1260" s="66" t="str">
        <x:f>IF(J1260="","Baru/Tanpa Data",IF(J1260&lt;='Catatan &amp; Sumber'!$B$14,"Sangat Ketat",IF(J1260&lt;='Catatan &amp; Sumber'!$B$15,"Ketat",IF(J1260&lt;='Catatan &amp; Sumber'!$B$16,"Sedang","Relatif Longgar"))))</x:f>
        <x:v>Ketat</x:v>
      </x:c>
      <x:c r="N1260" s="66" t="str">
        <x:v>Tidak Ada</x:v>
      </x:c>
      <x:c r="O1260" s="66" t="str">
        <x:v>Banten</x:v>
      </x:c>
      <x:c r="P1260" s="66" t="str">
        <x:v>Kabupaten Serang</x:v>
      </x:c>
      <x:c r="Q1260" s="66" t="str">
        <x:v>https://snpmb.id/snbp/daya-tampung-snbp</x:v>
      </x:c>
      <x:c r="R1260" s="66" t="str">
        <x:v>https://sidatagrun-public-1076756628210.asia-southeast2.run.app/ptn_sn.php?ptn=311</x:v>
      </x:c>
    </x:row>
    <x:row r="1261">
      <x:c r="A1261" s="87" t="n">
        <x:v>70</x:v>
      </x:c>
      <x:c r="B1261" s="66" t="n">
        <x:v>311</x:v>
      </x:c>
      <x:c r="C1261" s="66" t="str">
        <x:v>UNIVERSITAS SULTAN AGENG TIRTAYASA</x:v>
      </x:c>
      <x:c r="D1261" s="66" t="str">
        <x:v>PTN Akademik</x:v>
      </x:c>
      <x:c r="E1261" s="66" t="str">
        <x:v>13111020</x:v>
      </x:c>
      <x:c r="F1261" s="66" t="str">
        <x:v>KEDOKTERAN</x:v>
      </x:c>
      <x:c r="G1261" s="66" t="str">
        <x:v>Sarjana</x:v>
      </x:c>
      <x:c r="H1261" s="87" t="n">
        <x:v>13</x:v>
      </x:c>
      <x:c r="I1261" s="87" t="n">
        <x:v>511</x:v>
      </x:c>
      <x:c r="J1261" s="68" t="n">
        <x:f>IFERROR(H1261/I1261,"")</x:f>
        <x:v>0.025440313111545987</x:v>
      </x:c>
      <x:c r="K1261" s="69" t="n">
        <x:f>IFERROR(I1261/H1261,"")</x:f>
        <x:v>39.30769230769231</x:v>
      </x:c>
      <x:c r="L1261" s="66" t="str">
        <x:f>IF(K1261="","","1 : "&amp;TEXT(K1261,"0.0"))</x:f>
        <x:v>1 : 39.3</x:v>
      </x:c>
      <x:c r="M1261" s="66" t="str">
        <x:f>IF(J1261="","Baru/Tanpa Data",IF(J1261&lt;='Catatan &amp; Sumber'!$B$14,"Sangat Ketat",IF(J1261&lt;='Catatan &amp; Sumber'!$B$15,"Ketat",IF(J1261&lt;='Catatan &amp; Sumber'!$B$16,"Sedang","Relatif Longgar"))))</x:f>
        <x:v>Ketat</x:v>
      </x:c>
      <x:c r="N1261" s="66" t="str">
        <x:v>Tidak Ada</x:v>
      </x:c>
      <x:c r="O1261" s="66" t="str">
        <x:v>Banten</x:v>
      </x:c>
      <x:c r="P1261" s="66" t="str">
        <x:v>Kabupaten Serang</x:v>
      </x:c>
      <x:c r="Q1261" s="66" t="str">
        <x:v>https://snpmb.id/snbp/daya-tampung-snbp</x:v>
      </x:c>
      <x:c r="R1261" s="66" t="str">
        <x:v>https://sidatagrun-public-1076756628210.asia-southeast2.run.app/ptn_sn.php?ptn=311</x:v>
      </x:c>
    </x:row>
    <x:row r="1262">
      <x:c r="A1262" s="87" t="n">
        <x:v>209</x:v>
      </x:c>
      <x:c r="B1262" s="66" t="n">
        <x:v>311</x:v>
      </x:c>
      <x:c r="C1262" s="66" t="str">
        <x:v>UNIVERSITAS SULTAN AGENG TIRTAYASA</x:v>
      </x:c>
      <x:c r="D1262" s="66" t="str">
        <x:v>PTN Akademik</x:v>
      </x:c>
      <x:c r="E1262" s="66" t="str">
        <x:v>13111021</x:v>
      </x:c>
      <x:c r="F1262" s="66" t="str">
        <x:v>INFORMATIKA</x:v>
      </x:c>
      <x:c r="G1262" s="66" t="str">
        <x:v>Sarjana</x:v>
      </x:c>
      <x:c r="H1262" s="87" t="n">
        <x:v>44</x:v>
      </x:c>
      <x:c r="I1262" s="87" t="n">
        <x:v>1176</x:v>
      </x:c>
      <x:c r="J1262" s="68" t="n">
        <x:f>IFERROR(H1262/I1262,"")</x:f>
        <x:v>0.03741496598639456</x:v>
      </x:c>
      <x:c r="K1262" s="69" t="n">
        <x:f>IFERROR(I1262/H1262,"")</x:f>
        <x:v>26.727272727272727</x:v>
      </x:c>
      <x:c r="L1262" s="66" t="str">
        <x:f>IF(K1262="","","1 : "&amp;TEXT(K1262,"0.0"))</x:f>
        <x:v>1 : 26.7</x:v>
      </x:c>
      <x:c r="M1262" s="66" t="str">
        <x:f>IF(J1262="","Baru/Tanpa Data",IF(J1262&lt;='Catatan &amp; Sumber'!$B$14,"Sangat Ketat",IF(J1262&lt;='Catatan &amp; Sumber'!$B$15,"Ketat",IF(J1262&lt;='Catatan &amp; Sumber'!$B$16,"Sedang","Relatif Longgar"))))</x:f>
        <x:v>Ketat</x:v>
      </x:c>
      <x:c r="N1262" s="66" t="str">
        <x:v>Tidak Ada</x:v>
      </x:c>
      <x:c r="O1262" s="66" t="str">
        <x:v>Banten</x:v>
      </x:c>
      <x:c r="P1262" s="66" t="str">
        <x:v>Kabupaten Serang</x:v>
      </x:c>
      <x:c r="Q1262" s="66" t="str">
        <x:v>https://snpmb.id/snbp/daya-tampung-snbp</x:v>
      </x:c>
      <x:c r="R1262" s="66" t="str">
        <x:v>https://sidatagrun-public-1076756628210.asia-southeast2.run.app/ptn_sn.php?ptn=311</x:v>
      </x:c>
    </x:row>
    <x:row r="1263">
      <x:c r="A1263" s="87" t="n">
        <x:v>44</x:v>
      </x:c>
      <x:c r="B1263" s="66" t="n">
        <x:v>311</x:v>
      </x:c>
      <x:c r="C1263" s="66" t="str">
        <x:v>UNIVERSITAS SULTAN AGENG TIRTAYASA</x:v>
      </x:c>
      <x:c r="D1263" s="66" t="str">
        <x:v>PTN Akademik</x:v>
      </x:c>
      <x:c r="E1263" s="66" t="str">
        <x:v>13111022</x:v>
      </x:c>
      <x:c r="F1263" s="66" t="str">
        <x:v>KEPERAWATAN</x:v>
      </x:c>
      <x:c r="G1263" s="66" t="str">
        <x:v>Sarjana</x:v>
      </x:c>
      <x:c r="H1263" s="87" t="n">
        <x:v>24</x:v>
      </x:c>
      <x:c r="I1263" s="87" t="n">
        <x:v>1137</x:v>
      </x:c>
      <x:c r="J1263" s="68" t="n">
        <x:f>IFERROR(H1263/I1263,"")</x:f>
        <x:v>0.021108179419525065</x:v>
      </x:c>
      <x:c r="K1263" s="69" t="n">
        <x:f>IFERROR(I1263/H1263,"")</x:f>
        <x:v>47.375</x:v>
      </x:c>
      <x:c r="L1263" s="66" t="str">
        <x:f>IF(K1263="","","1 : "&amp;TEXT(K1263,"0.0"))</x:f>
        <x:v>1 : 47.4</x:v>
      </x:c>
      <x:c r="M1263" s="66" t="str">
        <x:f>IF(J1263="","Baru/Tanpa Data",IF(J1263&lt;='Catatan &amp; Sumber'!$B$14,"Sangat Ketat",IF(J1263&lt;='Catatan &amp; Sumber'!$B$15,"Ketat",IF(J1263&lt;='Catatan &amp; Sumber'!$B$16,"Sedang","Relatif Longgar"))))</x:f>
        <x:v>Ketat</x:v>
      </x:c>
      <x:c r="N1263" s="66" t="str">
        <x:v>Tidak Ada</x:v>
      </x:c>
      <x:c r="O1263" s="66" t="str">
        <x:v>Banten</x:v>
      </x:c>
      <x:c r="P1263" s="66" t="str">
        <x:v>Kabupaten Serang</x:v>
      </x:c>
      <x:c r="Q1263" s="66" t="str">
        <x:v>https://snpmb.id/snbp/daya-tampung-snbp</x:v>
      </x:c>
      <x:c r="R1263" s="66" t="str">
        <x:v>https://sidatagrun-public-1076756628210.asia-southeast2.run.app/ptn_sn.php?ptn=311</x:v>
      </x:c>
    </x:row>
    <x:row r="1264">
      <x:c r="A1264" s="87" t="n">
        <x:v>2506</x:v>
      </x:c>
      <x:c r="B1264" s="66" t="n">
        <x:v>311</x:v>
      </x:c>
      <x:c r="C1264" s="66" t="str">
        <x:v>UNIVERSITAS SULTAN AGENG TIRTAYASA</x:v>
      </x:c>
      <x:c r="D1264" s="66" t="str">
        <x:v>PTN Akademik</x:v>
      </x:c>
      <x:c r="E1264" s="66" t="str">
        <x:v>13111023</x:v>
      </x:c>
      <x:c r="F1264" s="66" t="str">
        <x:v>ILMU KELAUTAN</x:v>
      </x:c>
      <x:c r="G1264" s="66" t="str">
        <x:v>Sarjana</x:v>
      </x:c>
      <x:c r="H1264" s="87" t="n">
        <x:v>44</x:v>
      </x:c>
      <x:c r="I1264" s="87" t="n">
        <x:v>207</x:v>
      </x:c>
      <x:c r="J1264" s="68" t="n">
        <x:f>IFERROR(H1264/I1264,"")</x:f>
        <x:v>0.21256038647342995</x:v>
      </x:c>
      <x:c r="K1264" s="69" t="n">
        <x:f>IFERROR(I1264/H1264,"")</x:f>
        <x:v>4.704545454545454</x:v>
      </x:c>
      <x:c r="L1264" s="66" t="str">
        <x:f>IF(K1264="","","1 : "&amp;TEXT(K1264,"0.0"))</x:f>
        <x:v>1 : 4.7</x:v>
      </x:c>
      <x:c r="M1264" s="66" t="str">
        <x:f>IF(J1264="","Baru/Tanpa Data",IF(J1264&lt;='Catatan &amp; Sumber'!$B$14,"Sangat Ketat",IF(J1264&lt;='Catatan &amp; Sumber'!$B$15,"Ketat",IF(J1264&lt;='Catatan &amp; Sumber'!$B$16,"Sedang","Relatif Longgar"))))</x:f>
        <x:v>Relatif Longgar</x:v>
      </x:c>
      <x:c r="N1264" s="66" t="str">
        <x:v>Tidak Ada</x:v>
      </x:c>
      <x:c r="O1264" s="66" t="str">
        <x:v>Banten</x:v>
      </x:c>
      <x:c r="P1264" s="66" t="str">
        <x:v>Kabupaten Serang</x:v>
      </x:c>
      <x:c r="Q1264" s="66" t="str">
        <x:v>https://snpmb.id/snbp/daya-tampung-snbp</x:v>
      </x:c>
      <x:c r="R1264" s="66" t="str">
        <x:v>https://sidatagrun-public-1076756628210.asia-southeast2.run.app/ptn_sn.php?ptn=311</x:v>
      </x:c>
    </x:row>
    <x:row r="1265">
      <x:c r="A1265" s="87" t="n">
        <x:v>2187</x:v>
      </x:c>
      <x:c r="B1265" s="66" t="n">
        <x:v>311</x:v>
      </x:c>
      <x:c r="C1265" s="66" t="str">
        <x:v>UNIVERSITAS SULTAN AGENG TIRTAYASA</x:v>
      </x:c>
      <x:c r="D1265" s="66" t="str">
        <x:v>PTN Akademik</x:v>
      </x:c>
      <x:c r="E1265" s="66" t="str">
        <x:v>13111024</x:v>
      </x:c>
      <x:c r="F1265" s="66" t="str">
        <x:v>HUKUM</x:v>
      </x:c>
      <x:c r="G1265" s="66" t="str">
        <x:v>Sarjana</x:v>
      </x:c>
      <x:c r="H1265" s="87" t="n">
        <x:v>173</x:v>
      </x:c>
      <x:c r="I1265" s="87" t="n">
        <x:v>1017</x:v>
      </x:c>
      <x:c r="J1265" s="68" t="n">
        <x:f>IFERROR(H1265/I1265,"")</x:f>
        <x:v>0.17010816125860373</x:v>
      </x:c>
      <x:c r="K1265" s="69" t="n">
        <x:f>IFERROR(I1265/H1265,"")</x:f>
        <x:v>5.878612716763006</x:v>
      </x:c>
      <x:c r="L1265" s="66" t="str">
        <x:f>IF(K1265="","","1 : "&amp;TEXT(K1265,"0.0"))</x:f>
        <x:v>1 : 5.9</x:v>
      </x:c>
      <x:c r="M1265" s="66" t="str">
        <x:f>IF(J1265="","Baru/Tanpa Data",IF(J1265&lt;='Catatan &amp; Sumber'!$B$14,"Sangat Ketat",IF(J1265&lt;='Catatan &amp; Sumber'!$B$15,"Ketat",IF(J1265&lt;='Catatan &amp; Sumber'!$B$16,"Sedang","Relatif Longgar"))))</x:f>
        <x:v>Relatif Longgar</x:v>
      </x:c>
      <x:c r="N1265" s="66" t="str">
        <x:v>Tidak Ada</x:v>
      </x:c>
      <x:c r="O1265" s="66" t="str">
        <x:v>Banten</x:v>
      </x:c>
      <x:c r="P1265" s="66" t="str">
        <x:v>Kabupaten Serang</x:v>
      </x:c>
      <x:c r="Q1265" s="66" t="str">
        <x:v>https://snpmb.id/snbp/daya-tampung-snbp</x:v>
      </x:c>
      <x:c r="R1265" s="66" t="str">
        <x:v>https://sidatagrun-public-1076756628210.asia-southeast2.run.app/ptn_sn.php?ptn=311</x:v>
      </x:c>
    </x:row>
    <x:row r="1266">
      <x:c r="A1266" s="87" t="n">
        <x:v>377</x:v>
      </x:c>
      <x:c r="B1266" s="66" t="n">
        <x:v>311</x:v>
      </x:c>
      <x:c r="C1266" s="66" t="str">
        <x:v>UNIVERSITAS SULTAN AGENG TIRTAYASA</x:v>
      </x:c>
      <x:c r="D1266" s="66" t="str">
        <x:v>PTN Akademik</x:v>
      </x:c>
      <x:c r="E1266" s="66" t="str">
        <x:v>13111025</x:v>
      </x:c>
      <x:c r="F1266" s="66" t="str">
        <x:v>MANAJEMEN</x:v>
      </x:c>
      <x:c r="G1266" s="66" t="str">
        <x:v>Sarjana</x:v>
      </x:c>
      <x:c r="H1266" s="87" t="n">
        <x:v>83</x:v>
      </x:c>
      <x:c r="I1266" s="87" t="n">
        <x:v>1814</x:v>
      </x:c>
      <x:c r="J1266" s="68" t="n">
        <x:f>IFERROR(H1266/I1266,"")</x:f>
        <x:v>0.04575523704520397</x:v>
      </x:c>
      <x:c r="K1266" s="69" t="n">
        <x:f>IFERROR(I1266/H1266,"")</x:f>
        <x:v>21.85542168674699</x:v>
      </x:c>
      <x:c r="L1266" s="66" t="str">
        <x:f>IF(K1266="","","1 : "&amp;TEXT(K1266,"0.0"))</x:f>
        <x:v>1 : 21.9</x:v>
      </x:c>
      <x:c r="M1266" s="66" t="str">
        <x:f>IF(J1266="","Baru/Tanpa Data",IF(J1266&lt;='Catatan &amp; Sumber'!$B$14,"Sangat Ketat",IF(J1266&lt;='Catatan &amp; Sumber'!$B$15,"Ketat",IF(J1266&lt;='Catatan &amp; Sumber'!$B$16,"Sedang","Relatif Longgar"))))</x:f>
        <x:v>Ketat</x:v>
      </x:c>
      <x:c r="N1266" s="66" t="str">
        <x:v>Tidak Ada</x:v>
      </x:c>
      <x:c r="O1266" s="66" t="str">
        <x:v>Banten</x:v>
      </x:c>
      <x:c r="P1266" s="66" t="str">
        <x:v>Kabupaten Serang</x:v>
      </x:c>
      <x:c r="Q1266" s="66" t="str">
        <x:v>https://snpmb.id/snbp/daya-tampung-snbp</x:v>
      </x:c>
      <x:c r="R1266" s="66" t="str">
        <x:v>https://sidatagrun-public-1076756628210.asia-southeast2.run.app/ptn_sn.php?ptn=311</x:v>
      </x:c>
    </x:row>
    <x:row r="1267">
      <x:c r="A1267" s="87" t="n">
        <x:v>764</x:v>
      </x:c>
      <x:c r="B1267" s="66" t="n">
        <x:v>311</x:v>
      </x:c>
      <x:c r="C1267" s="66" t="str">
        <x:v>UNIVERSITAS SULTAN AGENG TIRTAYASA</x:v>
      </x:c>
      <x:c r="D1267" s="66" t="str">
        <x:v>PTN Akademik</x:v>
      </x:c>
      <x:c r="E1267" s="66" t="str">
        <x:v>13111026</x:v>
      </x:c>
      <x:c r="F1267" s="66" t="str">
        <x:v>AKUNTANSI</x:v>
      </x:c>
      <x:c r="G1267" s="66" t="str">
        <x:v>Sarjana</x:v>
      </x:c>
      <x:c r="H1267" s="87" t="n">
        <x:v>83</x:v>
      </x:c>
      <x:c r="I1267" s="87" t="n">
        <x:v>1275</x:v>
      </x:c>
      <x:c r="J1267" s="68" t="n">
        <x:f>IFERROR(H1267/I1267,"")</x:f>
        <x:v>0.06509803921568627</x:v>
      </x:c>
      <x:c r="K1267" s="69" t="n">
        <x:f>IFERROR(I1267/H1267,"")</x:f>
        <x:v>15.36144578313253</x:v>
      </x:c>
      <x:c r="L1267" s="66" t="str">
        <x:f>IF(K1267="","","1 : "&amp;TEXT(K1267,"0.0"))</x:f>
        <x:v>1 : 15.4</x:v>
      </x:c>
      <x:c r="M1267" s="66" t="str">
        <x:f>IF(J1267="","Baru/Tanpa Data",IF(J1267&lt;='Catatan &amp; Sumber'!$B$14,"Sangat Ketat",IF(J1267&lt;='Catatan &amp; Sumber'!$B$15,"Ketat",IF(J1267&lt;='Catatan &amp; Sumber'!$B$16,"Sedang","Relatif Longgar"))))</x:f>
        <x:v>Sedang</x:v>
      </x:c>
      <x:c r="N1267" s="66" t="str">
        <x:v>Tidak Ada</x:v>
      </x:c>
      <x:c r="O1267" s="66" t="str">
        <x:v>Banten</x:v>
      </x:c>
      <x:c r="P1267" s="66" t="str">
        <x:v>Kabupaten Serang</x:v>
      </x:c>
      <x:c r="Q1267" s="66" t="str">
        <x:v>https://snpmb.id/snbp/daya-tampung-snbp</x:v>
      </x:c>
      <x:c r="R1267" s="66" t="str">
        <x:v>https://sidatagrun-public-1076756628210.asia-southeast2.run.app/ptn_sn.php?ptn=311</x:v>
      </x:c>
    </x:row>
    <x:row r="1268">
      <x:c r="A1268" s="87" t="n">
        <x:v>1866</x:v>
      </x:c>
      <x:c r="B1268" s="66" t="n">
        <x:v>311</x:v>
      </x:c>
      <x:c r="C1268" s="66" t="str">
        <x:v>UNIVERSITAS SULTAN AGENG TIRTAYASA</x:v>
      </x:c>
      <x:c r="D1268" s="66" t="str">
        <x:v>PTN Akademik</x:v>
      </x:c>
      <x:c r="E1268" s="66" t="str">
        <x:v>13111027</x:v>
      </x:c>
      <x:c r="F1268" s="66" t="str">
        <x:v>EKONOMI PEMBANGUNAN</x:v>
      </x:c>
      <x:c r="G1268" s="66" t="str">
        <x:v>Sarjana</x:v>
      </x:c>
      <x:c r="H1268" s="87" t="n">
        <x:v>63</x:v>
      </x:c>
      <x:c r="I1268" s="87" t="n">
        <x:v>457</x:v>
      </x:c>
      <x:c r="J1268" s="68" t="n">
        <x:f>IFERROR(H1268/I1268,"")</x:f>
        <x:v>0.13785557986870897</x:v>
      </x:c>
      <x:c r="K1268" s="69" t="n">
        <x:f>IFERROR(I1268/H1268,"")</x:f>
        <x:v>7.253968253968254</x:v>
      </x:c>
      <x:c r="L1268" s="66" t="str">
        <x:f>IF(K1268="","","1 : "&amp;TEXT(K1268,"0.0"))</x:f>
        <x:v>1 : 7.3</x:v>
      </x:c>
      <x:c r="M1268" s="66" t="str">
        <x:f>IF(J1268="","Baru/Tanpa Data",IF(J1268&lt;='Catatan &amp; Sumber'!$B$14,"Sangat Ketat",IF(J1268&lt;='Catatan &amp; Sumber'!$B$15,"Ketat",IF(J1268&lt;='Catatan &amp; Sumber'!$B$16,"Sedang","Relatif Longgar"))))</x:f>
        <x:v>Relatif Longgar</x:v>
      </x:c>
      <x:c r="N1268" s="66" t="str">
        <x:v>Tidak Ada</x:v>
      </x:c>
      <x:c r="O1268" s="66" t="str">
        <x:v>Banten</x:v>
      </x:c>
      <x:c r="P1268" s="66" t="str">
        <x:v>Kabupaten Serang</x:v>
      </x:c>
      <x:c r="Q1268" s="66" t="str">
        <x:v>https://snpmb.id/snbp/daya-tampung-snbp</x:v>
      </x:c>
      <x:c r="R1268" s="66" t="str">
        <x:v>https://sidatagrun-public-1076756628210.asia-southeast2.run.app/ptn_sn.php?ptn=311</x:v>
      </x:c>
    </x:row>
    <x:row r="1269">
      <x:c r="A1269" s="87" t="n">
        <x:v>859</x:v>
      </x:c>
      <x:c r="B1269" s="66" t="n">
        <x:v>311</x:v>
      </x:c>
      <x:c r="C1269" s="66" t="str">
        <x:v>UNIVERSITAS SULTAN AGENG TIRTAYASA</x:v>
      </x:c>
      <x:c r="D1269" s="66" t="str">
        <x:v>PTN Akademik</x:v>
      </x:c>
      <x:c r="E1269" s="66" t="str">
        <x:v>13111028</x:v>
      </x:c>
      <x:c r="F1269" s="66" t="str">
        <x:v>ADMINISTRASI PUBLIK</x:v>
      </x:c>
      <x:c r="G1269" s="66" t="str">
        <x:v>Sarjana</x:v>
      </x:c>
      <x:c r="H1269" s="87" t="n">
        <x:v>74</x:v>
      </x:c>
      <x:c r="I1269" s="87" t="n">
        <x:v>1063</x:v>
      </x:c>
      <x:c r="J1269" s="68" t="n">
        <x:f>IFERROR(H1269/I1269,"")</x:f>
        <x:v>0.06961429915333961</x:v>
      </x:c>
      <x:c r="K1269" s="69" t="n">
        <x:f>IFERROR(I1269/H1269,"")</x:f>
        <x:v>14.364864864864865</x:v>
      </x:c>
      <x:c r="L1269" s="66" t="str">
        <x:f>IF(K1269="","","1 : "&amp;TEXT(K1269,"0.0"))</x:f>
        <x:v>1 : 14.4</x:v>
      </x:c>
      <x:c r="M1269" s="66" t="str">
        <x:f>IF(J1269="","Baru/Tanpa Data",IF(J1269&lt;='Catatan &amp; Sumber'!$B$14,"Sangat Ketat",IF(J1269&lt;='Catatan &amp; Sumber'!$B$15,"Ketat",IF(J1269&lt;='Catatan &amp; Sumber'!$B$16,"Sedang","Relatif Longgar"))))</x:f>
        <x:v>Sedang</x:v>
      </x:c>
      <x:c r="N1269" s="66" t="str">
        <x:v>Tidak Ada</x:v>
      </x:c>
      <x:c r="O1269" s="66" t="str">
        <x:v>Banten</x:v>
      </x:c>
      <x:c r="P1269" s="66" t="str">
        <x:v>Kabupaten Serang</x:v>
      </x:c>
      <x:c r="Q1269" s="66" t="str">
        <x:v>https://snpmb.id/snbp/daya-tampung-snbp</x:v>
      </x:c>
      <x:c r="R1269" s="66" t="str">
        <x:v>https://sidatagrun-public-1076756628210.asia-southeast2.run.app/ptn_sn.php?ptn=311</x:v>
      </x:c>
    </x:row>
    <x:row r="1270">
      <x:c r="A1270" s="87" t="n">
        <x:v>614</x:v>
      </x:c>
      <x:c r="B1270" s="66" t="n">
        <x:v>311</x:v>
      </x:c>
      <x:c r="C1270" s="66" t="str">
        <x:v>UNIVERSITAS SULTAN AGENG TIRTAYASA</x:v>
      </x:c>
      <x:c r="D1270" s="66" t="str">
        <x:v>PTN Akademik</x:v>
      </x:c>
      <x:c r="E1270" s="66" t="str">
        <x:v>13111029</x:v>
      </x:c>
      <x:c r="F1270" s="66" t="str">
        <x:v>ILMU KOMUNIKASI</x:v>
      </x:c>
      <x:c r="G1270" s="66" t="str">
        <x:v>Sarjana</x:v>
      </x:c>
      <x:c r="H1270" s="87" t="n">
        <x:v>89</x:v>
      </x:c>
      <x:c r="I1270" s="87" t="n">
        <x:v>1529</x:v>
      </x:c>
      <x:c r="J1270" s="68" t="n">
        <x:f>IFERROR(H1270/I1270,"")</x:f>
        <x:v>0.058207979071288427</x:v>
      </x:c>
      <x:c r="K1270" s="69" t="n">
        <x:f>IFERROR(I1270/H1270,"")</x:f>
        <x:v>17.179775280898877</x:v>
      </x:c>
      <x:c r="L1270" s="66" t="str">
        <x:f>IF(K1270="","","1 : "&amp;TEXT(K1270,"0.0"))</x:f>
        <x:v>1 : 17.2</x:v>
      </x:c>
      <x:c r="M1270" s="66" t="str">
        <x:f>IF(J1270="","Baru/Tanpa Data",IF(J1270&lt;='Catatan &amp; Sumber'!$B$14,"Sangat Ketat",IF(J1270&lt;='Catatan &amp; Sumber'!$B$15,"Ketat",IF(J1270&lt;='Catatan &amp; Sumber'!$B$16,"Sedang","Relatif Longgar"))))</x:f>
        <x:v>Sedang</x:v>
      </x:c>
      <x:c r="N1270" s="66" t="str">
        <x:v>Tidak Ada</x:v>
      </x:c>
      <x:c r="O1270" s="66" t="str">
        <x:v>Banten</x:v>
      </x:c>
      <x:c r="P1270" s="66" t="str">
        <x:v>Kabupaten Serang</x:v>
      </x:c>
      <x:c r="Q1270" s="66" t="str">
        <x:v>https://snpmb.id/snbp/daya-tampung-snbp</x:v>
      </x:c>
      <x:c r="R1270" s="66" t="str">
        <x:v>https://sidatagrun-public-1076756628210.asia-southeast2.run.app/ptn_sn.php?ptn=311</x:v>
      </x:c>
    </x:row>
    <x:row r="1271">
      <x:c r="A1271" s="87" t="n">
        <x:v>3340</x:v>
      </x:c>
      <x:c r="B1271" s="66" t="n">
        <x:v>311</x:v>
      </x:c>
      <x:c r="C1271" s="66" t="str">
        <x:v>UNIVERSITAS SULTAN AGENG TIRTAYASA</x:v>
      </x:c>
      <x:c r="D1271" s="66" t="str">
        <x:v>PTN Akademik</x:v>
      </x:c>
      <x:c r="E1271" s="66" t="str">
        <x:v>13111030</x:v>
      </x:c>
      <x:c r="F1271" s="66" t="str">
        <x:v>PENDIDIKAN NON FORMAL</x:v>
      </x:c>
      <x:c r="G1271" s="66" t="str">
        <x:v>Sarjana</x:v>
      </x:c>
      <x:c r="H1271" s="87" t="n">
        <x:v>38</x:v>
      </x:c>
      <x:c r="I1271" s="87" t="n">
        <x:v>99</x:v>
      </x:c>
      <x:c r="J1271" s="68" t="n">
        <x:f>IFERROR(H1271/I1271,"")</x:f>
        <x:v>0.3838383838383838</x:v>
      </x:c>
      <x:c r="K1271" s="69" t="n">
        <x:f>IFERROR(I1271/H1271,"")</x:f>
        <x:v>2.6052631578947367</x:v>
      </x:c>
      <x:c r="L1271" s="66" t="str">
        <x:f>IF(K1271="","","1 : "&amp;TEXT(K1271,"0.0"))</x:f>
        <x:v>1 : 2.6</x:v>
      </x:c>
      <x:c r="M1271" s="66" t="str">
        <x:f>IF(J1271="","Baru/Tanpa Data",IF(J1271&lt;='Catatan &amp; Sumber'!$B$14,"Sangat Ketat",IF(J1271&lt;='Catatan &amp; Sumber'!$B$15,"Ketat",IF(J1271&lt;='Catatan &amp; Sumber'!$B$16,"Sedang","Relatif Longgar"))))</x:f>
        <x:v>Relatif Longgar</x:v>
      </x:c>
      <x:c r="N1271" s="66" t="str">
        <x:v>Tidak Ada</x:v>
      </x:c>
      <x:c r="O1271" s="66" t="str">
        <x:v>Banten</x:v>
      </x:c>
      <x:c r="P1271" s="66" t="str">
        <x:v>Kabupaten Serang</x:v>
      </x:c>
      <x:c r="Q1271" s="66" t="str">
        <x:v>https://snpmb.id/snbp/daya-tampung-snbp</x:v>
      </x:c>
      <x:c r="R1271" s="66" t="str">
        <x:v>https://sidatagrun-public-1076756628210.asia-southeast2.run.app/ptn_sn.php?ptn=311</x:v>
      </x:c>
    </x:row>
    <x:row r="1272">
      <x:c r="A1272" s="87" t="n">
        <x:v>1970</x:v>
      </x:c>
      <x:c r="B1272" s="66" t="n">
        <x:v>311</x:v>
      </x:c>
      <x:c r="C1272" s="66" t="str">
        <x:v>UNIVERSITAS SULTAN AGENG TIRTAYASA</x:v>
      </x:c>
      <x:c r="D1272" s="66" t="str">
        <x:v>PTN Akademik</x:v>
      </x:c>
      <x:c r="E1272" s="66" t="str">
        <x:v>13111031</x:v>
      </x:c>
      <x:c r="F1272" s="66" t="str">
        <x:v>PENDIDIKAN BAHASA INDONESIA</x:v>
      </x:c>
      <x:c r="G1272" s="66" t="str">
        <x:v>Sarjana</x:v>
      </x:c>
      <x:c r="H1272" s="87" t="n">
        <x:v>75</x:v>
      </x:c>
      <x:c r="I1272" s="87" t="n">
        <x:v>506</x:v>
      </x:c>
      <x:c r="J1272" s="68" t="n">
        <x:f>IFERROR(H1272/I1272,"")</x:f>
        <x:v>0.1482213438735178</x:v>
      </x:c>
      <x:c r="K1272" s="69" t="n">
        <x:f>IFERROR(I1272/H1272,"")</x:f>
        <x:v>6.746666666666667</x:v>
      </x:c>
      <x:c r="L1272" s="66" t="str">
        <x:f>IF(K1272="","","1 : "&amp;TEXT(K1272,"0.0"))</x:f>
        <x:v>1 : 6.7</x:v>
      </x:c>
      <x:c r="M1272" s="66" t="str">
        <x:f>IF(J1272="","Baru/Tanpa Data",IF(J1272&lt;='Catatan &amp; Sumber'!$B$14,"Sangat Ketat",IF(J1272&lt;='Catatan &amp; Sumber'!$B$15,"Ketat",IF(J1272&lt;='Catatan &amp; Sumber'!$B$16,"Sedang","Relatif Longgar"))))</x:f>
        <x:v>Relatif Longgar</x:v>
      </x:c>
      <x:c r="N1272" s="66" t="str">
        <x:v>Tidak Ada</x:v>
      </x:c>
      <x:c r="O1272" s="66" t="str">
        <x:v>Banten</x:v>
      </x:c>
      <x:c r="P1272" s="66" t="str">
        <x:v>Kabupaten Serang</x:v>
      </x:c>
      <x:c r="Q1272" s="66" t="str">
        <x:v>https://snpmb.id/snbp/daya-tampung-snbp</x:v>
      </x:c>
      <x:c r="R1272" s="66" t="str">
        <x:v>https://sidatagrun-public-1076756628210.asia-southeast2.run.app/ptn_sn.php?ptn=311</x:v>
      </x:c>
    </x:row>
    <x:row r="1273">
      <x:c r="A1273" s="87" t="n">
        <x:v>1696</x:v>
      </x:c>
      <x:c r="B1273" s="66" t="n">
        <x:v>311</x:v>
      </x:c>
      <x:c r="C1273" s="66" t="str">
        <x:v>UNIVERSITAS SULTAN AGENG TIRTAYASA</x:v>
      </x:c>
      <x:c r="D1273" s="66" t="str">
        <x:v>PTN Akademik</x:v>
      </x:c>
      <x:c r="E1273" s="66" t="str">
        <x:v>13111032</x:v>
      </x:c>
      <x:c r="F1273" s="66" t="str">
        <x:v>PENDIDIKAN BAHASA INGGRIS</x:v>
      </x:c>
      <x:c r="G1273" s="66" t="str">
        <x:v>Sarjana</x:v>
      </x:c>
      <x:c r="H1273" s="87" t="n">
        <x:v>65</x:v>
      </x:c>
      <x:c r="I1273" s="87" t="n">
        <x:v>525</x:v>
      </x:c>
      <x:c r="J1273" s="68" t="n">
        <x:f>IFERROR(H1273/I1273,"")</x:f>
        <x:v>0.12380952380952381</x:v>
      </x:c>
      <x:c r="K1273" s="69" t="n">
        <x:f>IFERROR(I1273/H1273,"")</x:f>
        <x:v>8.076923076923077</x:v>
      </x:c>
      <x:c r="L1273" s="66" t="str">
        <x:f>IF(K1273="","","1 : "&amp;TEXT(K1273,"0.0"))</x:f>
        <x:v>1 : 8.1</x:v>
      </x:c>
      <x:c r="M1273" s="66" t="str">
        <x:f>IF(J1273="","Baru/Tanpa Data",IF(J1273&lt;='Catatan &amp; Sumber'!$B$14,"Sangat Ketat",IF(J1273&lt;='Catatan &amp; Sumber'!$B$15,"Ketat",IF(J1273&lt;='Catatan &amp; Sumber'!$B$16,"Sedang","Relatif Longgar"))))</x:f>
        <x:v>Relatif Longgar</x:v>
      </x:c>
      <x:c r="N1273" s="66" t="str">
        <x:v>Tidak Ada</x:v>
      </x:c>
      <x:c r="O1273" s="66" t="str">
        <x:v>Banten</x:v>
      </x:c>
      <x:c r="P1273" s="66" t="str">
        <x:v>Kabupaten Serang</x:v>
      </x:c>
      <x:c r="Q1273" s="66" t="str">
        <x:v>https://snpmb.id/snbp/daya-tampung-snbp</x:v>
      </x:c>
      <x:c r="R1273" s="66" t="str">
        <x:v>https://sidatagrun-public-1076756628210.asia-southeast2.run.app/ptn_sn.php?ptn=311</x:v>
      </x:c>
    </x:row>
    <x:row r="1274">
      <x:c r="A1274" s="87" t="n">
        <x:v>392</x:v>
      </x:c>
      <x:c r="B1274" s="66" t="n">
        <x:v>311</x:v>
      </x:c>
      <x:c r="C1274" s="66" t="str">
        <x:v>UNIVERSITAS SULTAN AGENG TIRTAYASA</x:v>
      </x:c>
      <x:c r="D1274" s="66" t="str">
        <x:v>PTN Akademik</x:v>
      </x:c>
      <x:c r="E1274" s="66" t="str">
        <x:v>13111033</x:v>
      </x:c>
      <x:c r="F1274" s="66" t="str">
        <x:v>PENDIDIKAN GURU SEKOLAH DASAR</x:v>
      </x:c>
      <x:c r="G1274" s="66" t="str">
        <x:v>Sarjana</x:v>
      </x:c>
      <x:c r="H1274" s="87" t="n">
        <x:v>45</x:v>
      </x:c>
      <x:c r="I1274" s="87" t="n">
        <x:v>971</x:v>
      </x:c>
      <x:c r="J1274" s="68" t="n">
        <x:f>IFERROR(H1274/I1274,"")</x:f>
        <x:v>0.046343975283213185</x:v>
      </x:c>
      <x:c r="K1274" s="69" t="n">
        <x:f>IFERROR(I1274/H1274,"")</x:f>
        <x:v>21.57777777777778</x:v>
      </x:c>
      <x:c r="L1274" s="66" t="str">
        <x:f>IF(K1274="","","1 : "&amp;TEXT(K1274,"0.0"))</x:f>
        <x:v>1 : 21.6</x:v>
      </x:c>
      <x:c r="M1274" s="66" t="str">
        <x:f>IF(J1274="","Baru/Tanpa Data",IF(J1274&lt;='Catatan &amp; Sumber'!$B$14,"Sangat Ketat",IF(J1274&lt;='Catatan &amp; Sumber'!$B$15,"Ketat",IF(J1274&lt;='Catatan &amp; Sumber'!$B$16,"Sedang","Relatif Longgar"))))</x:f>
        <x:v>Ketat</x:v>
      </x:c>
      <x:c r="N1274" s="66" t="str">
        <x:v>Tidak Ada</x:v>
      </x:c>
      <x:c r="O1274" s="66" t="str">
        <x:v>Banten</x:v>
      </x:c>
      <x:c r="P1274" s="66" t="str">
        <x:v>Kabupaten Serang</x:v>
      </x:c>
      <x:c r="Q1274" s="66" t="str">
        <x:v>https://snpmb.id/snbp/daya-tampung-snbp</x:v>
      </x:c>
      <x:c r="R1274" s="66" t="str">
        <x:v>https://sidatagrun-public-1076756628210.asia-southeast2.run.app/ptn_sn.php?ptn=311</x:v>
      </x:c>
    </x:row>
    <x:row r="1275">
      <x:c r="A1275" s="87" t="n">
        <x:v>2963</x:v>
      </x:c>
      <x:c r="B1275" s="66" t="n">
        <x:v>311</x:v>
      </x:c>
      <x:c r="C1275" s="66" t="str">
        <x:v>UNIVERSITAS SULTAN AGENG TIRTAYASA</x:v>
      </x:c>
      <x:c r="D1275" s="66" t="str">
        <x:v>PTN Akademik</x:v>
      </x:c>
      <x:c r="E1275" s="66" t="str">
        <x:v>13111034</x:v>
      </x:c>
      <x:c r="F1275" s="66" t="str">
        <x:v>PENDIDIKAN GURU PENDIDIKAN ANAK USIA DINI</x:v>
      </x:c>
      <x:c r="G1275" s="66" t="str">
        <x:v>Sarjana</x:v>
      </x:c>
      <x:c r="H1275" s="87" t="n">
        <x:v>53</x:v>
      </x:c>
      <x:c r="I1275" s="87" t="n">
        <x:v>185</x:v>
      </x:c>
      <x:c r="J1275" s="68" t="n">
        <x:f>IFERROR(H1275/I1275,"")</x:f>
        <x:v>0.2864864864864865</x:v>
      </x:c>
      <x:c r="K1275" s="69" t="n">
        <x:f>IFERROR(I1275/H1275,"")</x:f>
        <x:v>3.490566037735849</x:v>
      </x:c>
      <x:c r="L1275" s="66" t="str">
        <x:f>IF(K1275="","","1 : "&amp;TEXT(K1275,"0.0"))</x:f>
        <x:v>1 : 3.5</x:v>
      </x:c>
      <x:c r="M1275" s="66" t="str">
        <x:f>IF(J1275="","Baru/Tanpa Data",IF(J1275&lt;='Catatan &amp; Sumber'!$B$14,"Sangat Ketat",IF(J1275&lt;='Catatan &amp; Sumber'!$B$15,"Ketat",IF(J1275&lt;='Catatan &amp; Sumber'!$B$16,"Sedang","Relatif Longgar"))))</x:f>
        <x:v>Relatif Longgar</x:v>
      </x:c>
      <x:c r="N1275" s="66" t="str">
        <x:v>Tidak Ada</x:v>
      </x:c>
      <x:c r="O1275" s="66" t="str">
        <x:v>Banten</x:v>
      </x:c>
      <x:c r="P1275" s="66" t="str">
        <x:v>Kabupaten Serang</x:v>
      </x:c>
      <x:c r="Q1275" s="66" t="str">
        <x:v>https://snpmb.id/snbp/daya-tampung-snbp</x:v>
      </x:c>
      <x:c r="R1275" s="66" t="str">
        <x:v>https://sidatagrun-public-1076756628210.asia-southeast2.run.app/ptn_sn.php?ptn=311</x:v>
      </x:c>
    </x:row>
    <x:row r="1276">
      <x:c r="A1276" s="87" t="n">
        <x:v>2303</x:v>
      </x:c>
      <x:c r="B1276" s="66" t="n">
        <x:v>311</x:v>
      </x:c>
      <x:c r="C1276" s="66" t="str">
        <x:v>UNIVERSITAS SULTAN AGENG TIRTAYASA</x:v>
      </x:c>
      <x:c r="D1276" s="66" t="str">
        <x:v>PTN Akademik</x:v>
      </x:c>
      <x:c r="E1276" s="66" t="str">
        <x:v>13111035</x:v>
      </x:c>
      <x:c r="F1276" s="66" t="str">
        <x:v>EKONOMI SYARIAH</x:v>
      </x:c>
      <x:c r="G1276" s="66" t="str">
        <x:v>Sarjana</x:v>
      </x:c>
      <x:c r="H1276" s="87" t="n">
        <x:v>63</x:v>
      </x:c>
      <x:c r="I1276" s="87" t="n">
        <x:v>342</x:v>
      </x:c>
      <x:c r="J1276" s="68" t="n">
        <x:f>IFERROR(H1276/I1276,"")</x:f>
        <x:v>0.18421052631578946</x:v>
      </x:c>
      <x:c r="K1276" s="69" t="n">
        <x:f>IFERROR(I1276/H1276,"")</x:f>
        <x:v>5.428571428571429</x:v>
      </x:c>
      <x:c r="L1276" s="66" t="str">
        <x:f>IF(K1276="","","1 : "&amp;TEXT(K1276,"0.0"))</x:f>
        <x:v>1 : 5.4</x:v>
      </x:c>
      <x:c r="M1276" s="66" t="str">
        <x:f>IF(J1276="","Baru/Tanpa Data",IF(J1276&lt;='Catatan &amp; Sumber'!$B$14,"Sangat Ketat",IF(J1276&lt;='Catatan &amp; Sumber'!$B$15,"Ketat",IF(J1276&lt;='Catatan &amp; Sumber'!$B$16,"Sedang","Relatif Longgar"))))</x:f>
        <x:v>Relatif Longgar</x:v>
      </x:c>
      <x:c r="N1276" s="66" t="str">
        <x:v>Tidak Ada</x:v>
      </x:c>
      <x:c r="O1276" s="66" t="str">
        <x:v>Banten</x:v>
      </x:c>
      <x:c r="P1276" s="66" t="str">
        <x:v>Kabupaten Serang</x:v>
      </x:c>
      <x:c r="Q1276" s="66" t="str">
        <x:v>https://snpmb.id/snbp/daya-tampung-snbp</x:v>
      </x:c>
      <x:c r="R1276" s="66" t="str">
        <x:v>https://sidatagrun-public-1076756628210.asia-southeast2.run.app/ptn_sn.php?ptn=311</x:v>
      </x:c>
    </x:row>
    <x:row r="1277">
      <x:c r="A1277" s="87" t="n">
        <x:v>1544</x:v>
      </x:c>
      <x:c r="B1277" s="66" t="n">
        <x:v>311</x:v>
      </x:c>
      <x:c r="C1277" s="66" t="str">
        <x:v>UNIVERSITAS SULTAN AGENG TIRTAYASA</x:v>
      </x:c>
      <x:c r="D1277" s="66" t="str">
        <x:v>PTN Akademik</x:v>
      </x:c>
      <x:c r="E1277" s="66" t="str">
        <x:v>13111036</x:v>
      </x:c>
      <x:c r="F1277" s="66" t="str">
        <x:v>PENDIDIKAN SOSIOLOGI</x:v>
      </x:c>
      <x:c r="G1277" s="66" t="str">
        <x:v>Sarjana</x:v>
      </x:c>
      <x:c r="H1277" s="87" t="n">
        <x:v>38</x:v>
      </x:c>
      <x:c r="I1277" s="87" t="n">
        <x:v>337</x:v>
      </x:c>
      <x:c r="J1277" s="68" t="n">
        <x:f>IFERROR(H1277/I1277,"")</x:f>
        <x:v>0.11275964391691394</x:v>
      </x:c>
      <x:c r="K1277" s="69" t="n">
        <x:f>IFERROR(I1277/H1277,"")</x:f>
        <x:v>8.868421052631579</x:v>
      </x:c>
      <x:c r="L1277" s="66" t="str">
        <x:f>IF(K1277="","","1 : "&amp;TEXT(K1277,"0.0"))</x:f>
        <x:v>1 : 8.9</x:v>
      </x:c>
      <x:c r="M1277" s="66" t="str">
        <x:f>IF(J1277="","Baru/Tanpa Data",IF(J1277&lt;='Catatan &amp; Sumber'!$B$14,"Sangat Ketat",IF(J1277&lt;='Catatan &amp; Sumber'!$B$15,"Ketat",IF(J1277&lt;='Catatan &amp; Sumber'!$B$16,"Sedang","Relatif Longgar"))))</x:f>
        <x:v>Relatif Longgar</x:v>
      </x:c>
      <x:c r="N1277" s="66" t="str">
        <x:v>Tidak Ada</x:v>
      </x:c>
      <x:c r="O1277" s="66" t="str">
        <x:v>Banten</x:v>
      </x:c>
      <x:c r="P1277" s="66" t="str">
        <x:v>Kabupaten Serang</x:v>
      </x:c>
      <x:c r="Q1277" s="66" t="str">
        <x:v>https://snpmb.id/snbp/daya-tampung-snbp</x:v>
      </x:c>
      <x:c r="R1277" s="66" t="str">
        <x:v>https://sidatagrun-public-1076756628210.asia-southeast2.run.app/ptn_sn.php?ptn=311</x:v>
      </x:c>
    </x:row>
    <x:row r="1278">
      <x:c r="A1278" s="87" t="n">
        <x:v>1818</x:v>
      </x:c>
      <x:c r="B1278" s="66" t="n">
        <x:v>311</x:v>
      </x:c>
      <x:c r="C1278" s="66" t="str">
        <x:v>UNIVERSITAS SULTAN AGENG TIRTAYASA</x:v>
      </x:c>
      <x:c r="D1278" s="66" t="str">
        <x:v>PTN Akademik</x:v>
      </x:c>
      <x:c r="E1278" s="66" t="str">
        <x:v>13111037</x:v>
      </x:c>
      <x:c r="F1278" s="66" t="str">
        <x:v>PENDIDIKAN SEJARAH</x:v>
      </x:c>
      <x:c r="G1278" s="66" t="str">
        <x:v>Sarjana</x:v>
      </x:c>
      <x:c r="H1278" s="87" t="n">
        <x:v>38</x:v>
      </x:c>
      <x:c r="I1278" s="87" t="n">
        <x:v>284</x:v>
      </x:c>
      <x:c r="J1278" s="68" t="n">
        <x:f>IFERROR(H1278/I1278,"")</x:f>
        <x:v>0.13380281690140844</x:v>
      </x:c>
      <x:c r="K1278" s="69" t="n">
        <x:f>IFERROR(I1278/H1278,"")</x:f>
        <x:v>7.473684210526316</x:v>
      </x:c>
      <x:c r="L1278" s="66" t="str">
        <x:f>IF(K1278="","","1 : "&amp;TEXT(K1278,"0.0"))</x:f>
        <x:v>1 : 7.5</x:v>
      </x:c>
      <x:c r="M1278" s="66" t="str">
        <x:f>IF(J1278="","Baru/Tanpa Data",IF(J1278&lt;='Catatan &amp; Sumber'!$B$14,"Sangat Ketat",IF(J1278&lt;='Catatan &amp; Sumber'!$B$15,"Ketat",IF(J1278&lt;='Catatan &amp; Sumber'!$B$16,"Sedang","Relatif Longgar"))))</x:f>
        <x:v>Relatif Longgar</x:v>
      </x:c>
      <x:c r="N1278" s="66" t="str">
        <x:v>Tidak Ada</x:v>
      </x:c>
      <x:c r="O1278" s="66" t="str">
        <x:v>Banten</x:v>
      </x:c>
      <x:c r="P1278" s="66" t="str">
        <x:v>Kabupaten Serang</x:v>
      </x:c>
      <x:c r="Q1278" s="66" t="str">
        <x:v>https://snpmb.id/snbp/daya-tampung-snbp</x:v>
      </x:c>
      <x:c r="R1278" s="66" t="str">
        <x:v>https://sidatagrun-public-1076756628210.asia-southeast2.run.app/ptn_sn.php?ptn=311</x:v>
      </x:c>
    </x:row>
    <x:row r="1279">
      <x:c r="A1279" s="87" t="n">
        <x:v>2313</x:v>
      </x:c>
      <x:c r="B1279" s="66" t="n">
        <x:v>311</x:v>
      </x:c>
      <x:c r="C1279" s="66" t="str">
        <x:v>UNIVERSITAS SULTAN AGENG TIRTAYASA</x:v>
      </x:c>
      <x:c r="D1279" s="66" t="str">
        <x:v>PTN Akademik</x:v>
      </x:c>
      <x:c r="E1279" s="66" t="str">
        <x:v>13111038</x:v>
      </x:c>
      <x:c r="F1279" s="66" t="str">
        <x:v>PENDIDIKAN PANCASILA DAN KEWARGANEGARAAN</x:v>
      </x:c>
      <x:c r="G1279" s="66" t="str">
        <x:v>Sarjana</x:v>
      </x:c>
      <x:c r="H1279" s="87" t="n">
        <x:v>38</x:v>
      </x:c>
      <x:c r="I1279" s="87" t="n">
        <x:v>205</x:v>
      </x:c>
      <x:c r="J1279" s="68" t="n">
        <x:f>IFERROR(H1279/I1279,"")</x:f>
        <x:v>0.18536585365853658</x:v>
      </x:c>
      <x:c r="K1279" s="69" t="n">
        <x:f>IFERROR(I1279/H1279,"")</x:f>
        <x:v>5.394736842105263</x:v>
      </x:c>
      <x:c r="L1279" s="66" t="str">
        <x:f>IF(K1279="","","1 : "&amp;TEXT(K1279,"0.0"))</x:f>
        <x:v>1 : 5.4</x:v>
      </x:c>
      <x:c r="M1279" s="66" t="str">
        <x:f>IF(J1279="","Baru/Tanpa Data",IF(J1279&lt;='Catatan &amp; Sumber'!$B$14,"Sangat Ketat",IF(J1279&lt;='Catatan &amp; Sumber'!$B$15,"Ketat",IF(J1279&lt;='Catatan &amp; Sumber'!$B$16,"Sedang","Relatif Longgar"))))</x:f>
        <x:v>Relatif Longgar</x:v>
      </x:c>
      <x:c r="N1279" s="66" t="str">
        <x:v>Tidak Ada</x:v>
      </x:c>
      <x:c r="O1279" s="66" t="str">
        <x:v>Banten</x:v>
      </x:c>
      <x:c r="P1279" s="66" t="str">
        <x:v>Kabupaten Serang</x:v>
      </x:c>
      <x:c r="Q1279" s="66" t="str">
        <x:v>https://snpmb.id/snbp/daya-tampung-snbp</x:v>
      </x:c>
      <x:c r="R1279" s="66" t="str">
        <x:v>https://sidatagrun-public-1076756628210.asia-southeast2.run.app/ptn_sn.php?ptn=311</x:v>
      </x:c>
    </x:row>
    <x:row r="1280">
      <x:c r="A1280" s="87" t="n">
        <x:v>3326</x:v>
      </x:c>
      <x:c r="B1280" s="66" t="n">
        <x:v>311</x:v>
      </x:c>
      <x:c r="C1280" s="66" t="str">
        <x:v>UNIVERSITAS SULTAN AGENG TIRTAYASA</x:v>
      </x:c>
      <x:c r="D1280" s="66" t="str">
        <x:v>PTN Akademik</x:v>
      </x:c>
      <x:c r="E1280" s="66" t="str">
        <x:v>13111039</x:v>
      </x:c>
      <x:c r="F1280" s="66" t="str">
        <x:v>PENDIDIKAN SENI PERTUNJUKAN</x:v>
      </x:c>
      <x:c r="G1280" s="66" t="str">
        <x:v>Sarjana</x:v>
      </x:c>
      <x:c r="H1280" s="87" t="n">
        <x:v>30</x:v>
      </x:c>
      <x:c r="I1280" s="87" t="n">
        <x:v>79</x:v>
      </x:c>
      <x:c r="J1280" s="68" t="n">
        <x:f>IFERROR(H1280/I1280,"")</x:f>
        <x:v>0.379746835443038</x:v>
      </x:c>
      <x:c r="K1280" s="69" t="n">
        <x:f>IFERROR(I1280/H1280,"")</x:f>
        <x:v>2.6333333333333333</x:v>
      </x:c>
      <x:c r="L1280" s="66" t="str">
        <x:f>IF(K1280="","","1 : "&amp;TEXT(K1280,"0.0"))</x:f>
        <x:v>1 : 2.6</x:v>
      </x:c>
      <x:c r="M1280" s="66" t="str">
        <x:f>IF(J1280="","Baru/Tanpa Data",IF(J1280&lt;='Catatan &amp; Sumber'!$B$14,"Sangat Ketat",IF(J1280&lt;='Catatan &amp; Sumber'!$B$15,"Ketat",IF(J1280&lt;='Catatan &amp; Sumber'!$B$16,"Sedang","Relatif Longgar"))))</x:f>
        <x:v>Relatif Longgar</x:v>
      </x:c>
      <x:c r="N1280" s="66" t="str">
        <x:v>Sendratasik</x:v>
      </x:c>
      <x:c r="O1280" s="66" t="str">
        <x:v>Banten</x:v>
      </x:c>
      <x:c r="P1280" s="66" t="str">
        <x:v>Kabupaten Serang</x:v>
      </x:c>
      <x:c r="Q1280" s="66" t="str">
        <x:v>https://snpmb.id/snbp/daya-tampung-snbp</x:v>
      </x:c>
      <x:c r="R1280" s="66" t="str">
        <x:v>https://sidatagrun-public-1076756628210.asia-southeast2.run.app/ptn_sn.php?ptn=311</x:v>
      </x:c>
    </x:row>
    <x:row r="1281">
      <x:c r="A1281" s="87" t="n">
        <x:v>630</x:v>
      </x:c>
      <x:c r="B1281" s="66" t="n">
        <x:v>311</x:v>
      </x:c>
      <x:c r="C1281" s="66" t="str">
        <x:v>UNIVERSITAS SULTAN AGENG TIRTAYASA</x:v>
      </x:c>
      <x:c r="D1281" s="66" t="str">
        <x:v>PTN Akademik</x:v>
      </x:c>
      <x:c r="E1281" s="66" t="str">
        <x:v>13111040</x:v>
      </x:c>
      <x:c r="F1281" s="66" t="str">
        <x:v>BIMBINGAN DAN KONSELING</x:v>
      </x:c>
      <x:c r="G1281" s="66" t="str">
        <x:v>Sarjana</x:v>
      </x:c>
      <x:c r="H1281" s="87" t="n">
        <x:v>43</x:v>
      </x:c>
      <x:c r="I1281" s="87" t="n">
        <x:v>733</x:v>
      </x:c>
      <x:c r="J1281" s="68" t="n">
        <x:f>IFERROR(H1281/I1281,"")</x:f>
        <x:v>0.058663028649386086</x:v>
      </x:c>
      <x:c r="K1281" s="69" t="n">
        <x:f>IFERROR(I1281/H1281,"")</x:f>
        <x:v>17.046511627906977</x:v>
      </x:c>
      <x:c r="L1281" s="66" t="str">
        <x:f>IF(K1281="","","1 : "&amp;TEXT(K1281,"0.0"))</x:f>
        <x:v>1 : 17.0</x:v>
      </x:c>
      <x:c r="M1281" s="66" t="str">
        <x:f>IF(J1281="","Baru/Tanpa Data",IF(J1281&lt;='Catatan &amp; Sumber'!$B$14,"Sangat Ketat",IF(J1281&lt;='Catatan &amp; Sumber'!$B$15,"Ketat",IF(J1281&lt;='Catatan &amp; Sumber'!$B$16,"Sedang","Relatif Longgar"))))</x:f>
        <x:v>Sedang</x:v>
      </x:c>
      <x:c r="N1281" s="66" t="str">
        <x:v>Tidak Ada</x:v>
      </x:c>
      <x:c r="O1281" s="66" t="str">
        <x:v>Banten</x:v>
      </x:c>
      <x:c r="P1281" s="66" t="str">
        <x:v>Kabupaten Serang</x:v>
      </x:c>
      <x:c r="Q1281" s="66" t="str">
        <x:v>https://snpmb.id/snbp/daya-tampung-snbp</x:v>
      </x:c>
      <x:c r="R1281" s="66" t="str">
        <x:v>https://sidatagrun-public-1076756628210.asia-southeast2.run.app/ptn_sn.php?ptn=311</x:v>
      </x:c>
    </x:row>
    <x:row r="1282">
      <x:c r="A1282" s="87" t="n">
        <x:v>3177</x:v>
      </x:c>
      <x:c r="B1282" s="66" t="n">
        <x:v>311</x:v>
      </x:c>
      <x:c r="C1282" s="66" t="str">
        <x:v>UNIVERSITAS SULTAN AGENG TIRTAYASA</x:v>
      </x:c>
      <x:c r="D1282" s="66" t="str">
        <x:v>PTN Akademik</x:v>
      </x:c>
      <x:c r="E1282" s="66" t="str">
        <x:v>13111041</x:v>
      </x:c>
      <x:c r="F1282" s="66" t="str">
        <x:v>PENDIDIKAN KHUSUS</x:v>
      </x:c>
      <x:c r="G1282" s="66" t="str">
        <x:v>Sarjana</x:v>
      </x:c>
      <x:c r="H1282" s="87" t="n">
        <x:v>33</x:v>
      </x:c>
      <x:c r="I1282" s="87" t="n">
        <x:v>98</x:v>
      </x:c>
      <x:c r="J1282" s="68" t="n">
        <x:f>IFERROR(H1282/I1282,"")</x:f>
        <x:v>0.336734693877551</x:v>
      </x:c>
      <x:c r="K1282" s="69" t="n">
        <x:f>IFERROR(I1282/H1282,"")</x:f>
        <x:v>2.9696969696969697</x:v>
      </x:c>
      <x:c r="L1282" s="66" t="str">
        <x:f>IF(K1282="","","1 : "&amp;TEXT(K1282,"0.0"))</x:f>
        <x:v>1 : 3.0</x:v>
      </x:c>
      <x:c r="M1282" s="66" t="str">
        <x:f>IF(J1282="","Baru/Tanpa Data",IF(J1282&lt;='Catatan &amp; Sumber'!$B$14,"Sangat Ketat",IF(J1282&lt;='Catatan &amp; Sumber'!$B$15,"Ketat",IF(J1282&lt;='Catatan &amp; Sumber'!$B$16,"Sedang","Relatif Longgar"))))</x:f>
        <x:v>Relatif Longgar</x:v>
      </x:c>
      <x:c r="N1282" s="66" t="str">
        <x:v>Tidak Ada</x:v>
      </x:c>
      <x:c r="O1282" s="66" t="str">
        <x:v>Banten</x:v>
      </x:c>
      <x:c r="P1282" s="66" t="str">
        <x:v>Kabupaten Serang</x:v>
      </x:c>
      <x:c r="Q1282" s="66" t="str">
        <x:v>https://snpmb.id/snbp/daya-tampung-snbp</x:v>
      </x:c>
      <x:c r="R1282" s="66" t="str">
        <x:v>https://sidatagrun-public-1076756628210.asia-southeast2.run.app/ptn_sn.php?ptn=311</x:v>
      </x:c>
    </x:row>
    <x:row r="1283">
      <x:c r="A1283" s="87" t="n">
        <x:v>1860</x:v>
      </x:c>
      <x:c r="B1283" s="66" t="n">
        <x:v>311</x:v>
      </x:c>
      <x:c r="C1283" s="66" t="str">
        <x:v>UNIVERSITAS SULTAN AGENG TIRTAYASA</x:v>
      </x:c>
      <x:c r="D1283" s="66" t="str">
        <x:v>PTN Akademik</x:v>
      </x:c>
      <x:c r="E1283" s="66" t="str">
        <x:v>13111042</x:v>
      </x:c>
      <x:c r="F1283" s="66" t="str">
        <x:v>ILMU PEMERINTAHAN</x:v>
      </x:c>
      <x:c r="G1283" s="66" t="str">
        <x:v>Sarjana</x:v>
      </x:c>
      <x:c r="H1283" s="87" t="n">
        <x:v>62</x:v>
      </x:c>
      <x:c r="I1283" s="87" t="n">
        <x:v>452</x:v>
      </x:c>
      <x:c r="J1283" s="68" t="n">
        <x:f>IFERROR(H1283/I1283,"")</x:f>
        <x:v>0.13716814159292035</x:v>
      </x:c>
      <x:c r="K1283" s="69" t="n">
        <x:f>IFERROR(I1283/H1283,"")</x:f>
        <x:v>7.290322580645161</x:v>
      </x:c>
      <x:c r="L1283" s="66" t="str">
        <x:f>IF(K1283="","","1 : "&amp;TEXT(K1283,"0.0"))</x:f>
        <x:v>1 : 7.3</x:v>
      </x:c>
      <x:c r="M1283" s="66" t="str">
        <x:f>IF(J1283="","Baru/Tanpa Data",IF(J1283&lt;='Catatan &amp; Sumber'!$B$14,"Sangat Ketat",IF(J1283&lt;='Catatan &amp; Sumber'!$B$15,"Ketat",IF(J1283&lt;='Catatan &amp; Sumber'!$B$16,"Sedang","Relatif Longgar"))))</x:f>
        <x:v>Relatif Longgar</x:v>
      </x:c>
      <x:c r="N1283" s="66" t="str">
        <x:v>Tidak Ada</x:v>
      </x:c>
      <x:c r="O1283" s="66" t="str">
        <x:v>Banten</x:v>
      </x:c>
      <x:c r="P1283" s="66" t="str">
        <x:v>Kabupaten Serang</x:v>
      </x:c>
      <x:c r="Q1283" s="66" t="str">
        <x:v>https://snpmb.id/snbp/daya-tampung-snbp</x:v>
      </x:c>
      <x:c r="R1283" s="66" t="str">
        <x:v>https://sidatagrun-public-1076756628210.asia-southeast2.run.app/ptn_sn.php?ptn=311</x:v>
      </x:c>
    </x:row>
    <x:row r="1284">
      <x:c r="A1284" s="87" t="n">
        <x:v>2796</x:v>
      </x:c>
      <x:c r="B1284" s="66" t="n">
        <x:v>311</x:v>
      </x:c>
      <x:c r="C1284" s="66" t="str">
        <x:v>UNIVERSITAS SULTAN AGENG TIRTAYASA</x:v>
      </x:c>
      <x:c r="D1284" s="66" t="str">
        <x:v>PTN Akademik</x:v>
      </x:c>
      <x:c r="E1284" s="66" t="str">
        <x:v>13111049</x:v>
      </x:c>
      <x:c r="F1284" s="66" t="str">
        <x:v>PETERNAKAN</x:v>
      </x:c>
      <x:c r="G1284" s="66" t="str">
        <x:v>Sarjana</x:v>
      </x:c>
      <x:c r="H1284" s="87" t="n">
        <x:v>44</x:v>
      </x:c>
      <x:c r="I1284" s="87" t="n">
        <x:v>171</x:v>
      </x:c>
      <x:c r="J1284" s="68" t="n">
        <x:f>IFERROR(H1284/I1284,"")</x:f>
        <x:v>0.2573099415204678</x:v>
      </x:c>
      <x:c r="K1284" s="69" t="n">
        <x:f>IFERROR(I1284/H1284,"")</x:f>
        <x:v>3.8863636363636362</x:v>
      </x:c>
      <x:c r="L1284" s="66" t="str">
        <x:f>IF(K1284="","","1 : "&amp;TEXT(K1284,"0.0"))</x:f>
        <x:v>1 : 3.9</x:v>
      </x:c>
      <x:c r="M1284" s="66" t="str">
        <x:f>IF(J1284="","Baru/Tanpa Data",IF(J1284&lt;='Catatan &amp; Sumber'!$B$14,"Sangat Ketat",IF(J1284&lt;='Catatan &amp; Sumber'!$B$15,"Ketat",IF(J1284&lt;='Catatan &amp; Sumber'!$B$16,"Sedang","Relatif Longgar"))))</x:f>
        <x:v>Relatif Longgar</x:v>
      </x:c>
      <x:c r="N1284" s="66" t="str">
        <x:v>Tidak Ada</x:v>
      </x:c>
      <x:c r="O1284" s="66" t="str">
        <x:v>Banten</x:v>
      </x:c>
      <x:c r="P1284" s="66" t="str">
        <x:v>Kabupaten Serang</x:v>
      </x:c>
      <x:c r="Q1284" s="66" t="str">
        <x:v>https://snpmb.id/snbp/daya-tampung-snbp</x:v>
      </x:c>
      <x:c r="R1284" s="66" t="str">
        <x:v>https://sidatagrun-public-1076756628210.asia-southeast2.run.app/ptn_sn.php?ptn=311</x:v>
      </x:c>
    </x:row>
    <x:row r="1285">
      <x:c r="A1285" s="87" t="n">
        <x:v>1847</x:v>
      </x:c>
      <x:c r="B1285" s="66" t="n">
        <x:v>311</x:v>
      </x:c>
      <x:c r="C1285" s="66" t="str">
        <x:v>UNIVERSITAS SULTAN AGENG TIRTAYASA</x:v>
      </x:c>
      <x:c r="D1285" s="66" t="str">
        <x:v>PTN Akademik</x:v>
      </x:c>
      <x:c r="E1285" s="66" t="str">
        <x:v>13111050</x:v>
      </x:c>
      <x:c r="F1285" s="66" t="str">
        <x:v>STATISTIKA</x:v>
      </x:c>
      <x:c r="G1285" s="66" t="str">
        <x:v>Sarjana</x:v>
      </x:c>
      <x:c r="H1285" s="87" t="n">
        <x:v>20</x:v>
      </x:c>
      <x:c r="I1285" s="87" t="n">
        <x:v>147</x:v>
      </x:c>
      <x:c r="J1285" s="68" t="n">
        <x:f>IFERROR(H1285/I1285,"")</x:f>
        <x:v>0.1360544217687075</x:v>
      </x:c>
      <x:c r="K1285" s="69" t="n">
        <x:f>IFERROR(I1285/H1285,"")</x:f>
        <x:v>7.35</x:v>
      </x:c>
      <x:c r="L1285" s="66" t="str">
        <x:f>IF(K1285="","","1 : "&amp;TEXT(K1285,"0.0"))</x:f>
        <x:v>1 : 7.4</x:v>
      </x:c>
      <x:c r="M1285" s="66" t="str">
        <x:f>IF(J1285="","Baru/Tanpa Data",IF(J1285&lt;='Catatan &amp; Sumber'!$B$14,"Sangat Ketat",IF(J1285&lt;='Catatan &amp; Sumber'!$B$15,"Ketat",IF(J1285&lt;='Catatan &amp; Sumber'!$B$16,"Sedang","Relatif Longgar"))))</x:f>
        <x:v>Relatif Longgar</x:v>
      </x:c>
      <x:c r="N1285" s="66" t="str">
        <x:v>Tidak Ada</x:v>
      </x:c>
      <x:c r="O1285" s="66" t="str">
        <x:v>Banten</x:v>
      </x:c>
      <x:c r="P1285" s="66" t="str">
        <x:v>Kabupaten Serang</x:v>
      </x:c>
      <x:c r="Q1285" s="66" t="str">
        <x:v>https://snpmb.id/snbp/daya-tampung-snbp</x:v>
      </x:c>
      <x:c r="R1285" s="66" t="str">
        <x:v>https://sidatagrun-public-1076756628210.asia-southeast2.run.app/ptn_sn.php?ptn=311</x:v>
      </x:c>
    </x:row>
    <x:row r="1286">
      <x:c r="A1286" s="87" t="n">
        <x:v>3055</x:v>
      </x:c>
      <x:c r="B1286" s="66" t="n">
        <x:v>311</x:v>
      </x:c>
      <x:c r="C1286" s="66" t="str">
        <x:v>UNIVERSITAS SULTAN AGENG TIRTAYASA</x:v>
      </x:c>
      <x:c r="D1286" s="66" t="str">
        <x:v>PTN Akademik</x:v>
      </x:c>
      <x:c r="E1286" s="66" t="str">
        <x:v>13113044</x:v>
      </x:c>
      <x:c r="F1286" s="66" t="str">
        <x:v>AKUNTANSI</x:v>
      </x:c>
      <x:c r="G1286" s="66" t="str">
        <x:v>Diploma Tiga</x:v>
      </x:c>
      <x:c r="H1286" s="87" t="n">
        <x:v>38</x:v>
      </x:c>
      <x:c r="I1286" s="87" t="n">
        <x:v>125</x:v>
      </x:c>
      <x:c r="J1286" s="68" t="n">
        <x:f>IFERROR(H1286/I1286,"")</x:f>
        <x:v>0.304</x:v>
      </x:c>
      <x:c r="K1286" s="69" t="n">
        <x:f>IFERROR(I1286/H1286,"")</x:f>
        <x:v>3.289473684210526</x:v>
      </x:c>
      <x:c r="L1286" s="66" t="str">
        <x:f>IF(K1286="","","1 : "&amp;TEXT(K1286,"0.0"))</x:f>
        <x:v>1 : 3.3</x:v>
      </x:c>
      <x:c r="M1286" s="66" t="str">
        <x:f>IF(J1286="","Baru/Tanpa Data",IF(J1286&lt;='Catatan &amp; Sumber'!$B$14,"Sangat Ketat",IF(J1286&lt;='Catatan &amp; Sumber'!$B$15,"Ketat",IF(J1286&lt;='Catatan &amp; Sumber'!$B$16,"Sedang","Relatif Longgar"))))</x:f>
        <x:v>Relatif Longgar</x:v>
      </x:c>
      <x:c r="N1286" s="66" t="str">
        <x:v>Tidak Ada</x:v>
      </x:c>
      <x:c r="O1286" s="66" t="str">
        <x:v>Banten</x:v>
      </x:c>
      <x:c r="P1286" s="66" t="str">
        <x:v>Kabupaten Serang</x:v>
      </x:c>
      <x:c r="Q1286" s="66" t="str">
        <x:v>https://snpmb.id/snbp/daya-tampung-snbp</x:v>
      </x:c>
      <x:c r="R1286" s="66" t="str">
        <x:v>https://sidatagrun-public-1076756628210.asia-southeast2.run.app/ptn_sn.php?ptn=311</x:v>
      </x:c>
    </x:row>
    <x:row r="1287">
      <x:c r="A1287" s="87" t="n">
        <x:v>2683</x:v>
      </x:c>
      <x:c r="B1287" s="66" t="n">
        <x:v>311</x:v>
      </x:c>
      <x:c r="C1287" s="66" t="str">
        <x:v>UNIVERSITAS SULTAN AGENG TIRTAYASA</x:v>
      </x:c>
      <x:c r="D1287" s="66" t="str">
        <x:v>PTN Akademik</x:v>
      </x:c>
      <x:c r="E1287" s="66" t="str">
        <x:v>13113045</x:v>
      </x:c>
      <x:c r="F1287" s="66" t="str">
        <x:v>PERBANKAN DAN KEUANGAN</x:v>
      </x:c>
      <x:c r="G1287" s="66" t="str">
        <x:v>Diploma Tiga</x:v>
      </x:c>
      <x:c r="H1287" s="87" t="n">
        <x:v>38</x:v>
      </x:c>
      <x:c r="I1287" s="87" t="n">
        <x:v>158</x:v>
      </x:c>
      <x:c r="J1287" s="68" t="n">
        <x:f>IFERROR(H1287/I1287,"")</x:f>
        <x:v>0.24050632911392406</x:v>
      </x:c>
      <x:c r="K1287" s="69" t="n">
        <x:f>IFERROR(I1287/H1287,"")</x:f>
        <x:v>4.157894736842105</x:v>
      </x:c>
      <x:c r="L1287" s="66" t="str">
        <x:f>IF(K1287="","","1 : "&amp;TEXT(K1287,"0.0"))</x:f>
        <x:v>1 : 4.2</x:v>
      </x:c>
      <x:c r="M1287" s="66" t="str">
        <x:f>IF(J1287="","Baru/Tanpa Data",IF(J1287&lt;='Catatan &amp; Sumber'!$B$14,"Sangat Ketat",IF(J1287&lt;='Catatan &amp; Sumber'!$B$15,"Ketat",IF(J1287&lt;='Catatan &amp; Sumber'!$B$16,"Sedang","Relatif Longgar"))))</x:f>
        <x:v>Relatif Longgar</x:v>
      </x:c>
      <x:c r="N1287" s="66" t="str">
        <x:v>Tidak Ada</x:v>
      </x:c>
      <x:c r="O1287" s="66" t="str">
        <x:v>Banten</x:v>
      </x:c>
      <x:c r="P1287" s="66" t="str">
        <x:v>Kabupaten Serang</x:v>
      </x:c>
      <x:c r="Q1287" s="66" t="str">
        <x:v>https://snpmb.id/snbp/daya-tampung-snbp</x:v>
      </x:c>
      <x:c r="R1287" s="66" t="str">
        <x:v>https://sidatagrun-public-1076756628210.asia-southeast2.run.app/ptn_sn.php?ptn=311</x:v>
      </x:c>
    </x:row>
    <x:row r="1288">
      <x:c r="A1288" s="87" t="n">
        <x:v>2788</x:v>
      </x:c>
      <x:c r="B1288" s="66" t="n">
        <x:v>311</x:v>
      </x:c>
      <x:c r="C1288" s="66" t="str">
        <x:v>UNIVERSITAS SULTAN AGENG TIRTAYASA</x:v>
      </x:c>
      <x:c r="D1288" s="66" t="str">
        <x:v>PTN Akademik</x:v>
      </x:c>
      <x:c r="E1288" s="66" t="str">
        <x:v>13113047</x:v>
      </x:c>
      <x:c r="F1288" s="66" t="str">
        <x:v>MANAJEMEN PEMASARAN</x:v>
      </x:c>
      <x:c r="G1288" s="66" t="str">
        <x:v>Diploma Tiga</x:v>
      </x:c>
      <x:c r="H1288" s="87" t="n">
        <x:v>38</x:v>
      </x:c>
      <x:c r="I1288" s="87" t="n">
        <x:v>148</x:v>
      </x:c>
      <x:c r="J1288" s="68" t="n">
        <x:f>IFERROR(H1288/I1288,"")</x:f>
        <x:v>0.25675675675675674</x:v>
      </x:c>
      <x:c r="K1288" s="69" t="n">
        <x:f>IFERROR(I1288/H1288,"")</x:f>
        <x:v>3.8947368421052633</x:v>
      </x:c>
      <x:c r="L1288" s="66" t="str">
        <x:f>IF(K1288="","","1 : "&amp;TEXT(K1288,"0.0"))</x:f>
        <x:v>1 : 3.9</x:v>
      </x:c>
      <x:c r="M1288" s="66" t="str">
        <x:f>IF(J1288="","Baru/Tanpa Data",IF(J1288&lt;='Catatan &amp; Sumber'!$B$14,"Sangat Ketat",IF(J1288&lt;='Catatan &amp; Sumber'!$B$15,"Ketat",IF(J1288&lt;='Catatan &amp; Sumber'!$B$16,"Sedang","Relatif Longgar"))))</x:f>
        <x:v>Relatif Longgar</x:v>
      </x:c>
      <x:c r="N1288" s="66" t="str">
        <x:v>Tidak Ada</x:v>
      </x:c>
      <x:c r="O1288" s="66" t="str">
        <x:v>Banten</x:v>
      </x:c>
      <x:c r="P1288" s="66" t="str">
        <x:v>Kabupaten Serang</x:v>
      </x:c>
      <x:c r="Q1288" s="66" t="str">
        <x:v>https://snpmb.id/snbp/daya-tampung-snbp</x:v>
      </x:c>
      <x:c r="R1288" s="66" t="str">
        <x:v>https://sidatagrun-public-1076756628210.asia-southeast2.run.app/ptn_sn.php?ptn=311</x:v>
      </x:c>
    </x:row>
    <x:row r="1289">
      <x:c r="A1289" s="87" t="n">
        <x:v>2647</x:v>
      </x:c>
      <x:c r="B1289" s="66" t="n">
        <x:v>311</x:v>
      </x:c>
      <x:c r="C1289" s="66" t="str">
        <x:v>UNIVERSITAS SULTAN AGENG TIRTAYASA</x:v>
      </x:c>
      <x:c r="D1289" s="66" t="str">
        <x:v>PTN Akademik</x:v>
      </x:c>
      <x:c r="E1289" s="66" t="str">
        <x:v>13113048</x:v>
      </x:c>
      <x:c r="F1289" s="66" t="str">
        <x:v>ADMINISTRASI PAJAK</x:v>
      </x:c>
      <x:c r="G1289" s="66" t="str">
        <x:v>Diploma Tiga</x:v>
      </x:c>
      <x:c r="H1289" s="87" t="n">
        <x:v>38</x:v>
      </x:c>
      <x:c r="I1289" s="87" t="n">
        <x:v>162</x:v>
      </x:c>
      <x:c r="J1289" s="68" t="n">
        <x:f>IFERROR(H1289/I1289,"")</x:f>
        <x:v>0.2345679012345679</x:v>
      </x:c>
      <x:c r="K1289" s="69" t="n">
        <x:f>IFERROR(I1289/H1289,"")</x:f>
        <x:v>4.2631578947368425</x:v>
      </x:c>
      <x:c r="L1289" s="66" t="str">
        <x:f>IF(K1289="","","1 : "&amp;TEXT(K1289,"0.0"))</x:f>
        <x:v>1 : 4.3</x:v>
      </x:c>
      <x:c r="M1289" s="66" t="str">
        <x:f>IF(J1289="","Baru/Tanpa Data",IF(J1289&lt;='Catatan &amp; Sumber'!$B$14,"Sangat Ketat",IF(J1289&lt;='Catatan &amp; Sumber'!$B$15,"Ketat",IF(J1289&lt;='Catatan &amp; Sumber'!$B$16,"Sedang","Relatif Longgar"))))</x:f>
        <x:v>Relatif Longgar</x:v>
      </x:c>
      <x:c r="N1289" s="66" t="str">
        <x:v>Tidak Ada</x:v>
      </x:c>
      <x:c r="O1289" s="66" t="str">
        <x:v>Banten</x:v>
      </x:c>
      <x:c r="P1289" s="66" t="str">
        <x:v>Kabupaten Serang</x:v>
      </x:c>
      <x:c r="Q1289" s="66" t="str">
        <x:v>https://snpmb.id/snbp/daya-tampung-snbp</x:v>
      </x:c>
      <x:c r="R1289" s="66" t="str">
        <x:v>https://sidatagrun-public-1076756628210.asia-southeast2.run.app/ptn_sn.php?ptn=311</x:v>
      </x:c>
    </x:row>
    <x:row r="1290">
      <x:c r="A1290" s="87" t="n">
        <x:v>3813</x:v>
      </x:c>
      <x:c r="B1290" s="66" t="n">
        <x:v>312</x:v>
      </x:c>
      <x:c r="C1290" s="66" t="str">
        <x:v>UIN SULTAN MAULANA HASANUDDIN BANTEN</x:v>
      </x:c>
      <x:c r="D1290" s="66" t="str">
        <x:v>PTKIN</x:v>
      </x:c>
      <x:c r="E1290" s="66" t="str">
        <x:v>13121001</x:v>
      </x:c>
      <x:c r="F1290" s="66" t="str">
        <x:v>FISIKA</x:v>
      </x:c>
      <x:c r="G1290" s="66" t="str">
        <x:v>Sarjana</x:v>
      </x:c>
      <x:c r="H1290" s="87" t="n">
        <x:v>11</x:v>
      </x:c>
      <x:c r="I1290" s="87" t="n">
        <x:v>19</x:v>
      </x:c>
      <x:c r="J1290" s="68" t="n">
        <x:f>IFERROR(H1290/I1290,"")</x:f>
        <x:v>0.5789473684210527</x:v>
      </x:c>
      <x:c r="K1290" s="69" t="n">
        <x:f>IFERROR(I1290/H1290,"")</x:f>
        <x:v>1.7272727272727273</x:v>
      </x:c>
      <x:c r="L1290" s="66" t="str">
        <x:f>IF(K1290="","","1 : "&amp;TEXT(K1290,"0.0"))</x:f>
        <x:v>1 : 1.7</x:v>
      </x:c>
      <x:c r="M1290" s="66" t="str">
        <x:f>IF(J1290="","Baru/Tanpa Data",IF(J1290&lt;='Catatan &amp; Sumber'!$B$14,"Sangat Ketat",IF(J1290&lt;='Catatan &amp; Sumber'!$B$15,"Ketat",IF(J1290&lt;='Catatan &amp; Sumber'!$B$16,"Sedang","Relatif Longgar"))))</x:f>
        <x:v>Relatif Longgar</x:v>
      </x:c>
      <x:c r="N1290" s="66" t="str">
        <x:v>Tidak Ada</x:v>
      </x:c>
      <x:c r="O1290" s="66" t="str">
        <x:v>Banten</x:v>
      </x:c>
      <x:c r="P1290" s="66" t="str">
        <x:v>Kota Serang</x:v>
      </x:c>
      <x:c r="Q1290" s="66" t="str">
        <x:v>https://snpmb.id/snbp/daya-tampung-snbp</x:v>
      </x:c>
      <x:c r="R1290" s="66" t="str">
        <x:v>https://sidatagrun-public-1076756628210.asia-southeast2.run.app/ptn_sn.php?ptn=312</x:v>
      </x:c>
    </x:row>
    <x:row r="1291">
      <x:c r="A1291" s="87" t="n">
        <x:v>2735</x:v>
      </x:c>
      <x:c r="B1291" s="66" t="n">
        <x:v>312</x:v>
      </x:c>
      <x:c r="C1291" s="66" t="str">
        <x:v>UIN SULTAN MAULANA HASANUDDIN BANTEN</x:v>
      </x:c>
      <x:c r="D1291" s="66" t="str">
        <x:v>PTKIN</x:v>
      </x:c>
      <x:c r="E1291" s="66" t="str">
        <x:v>13121002</x:v>
      </x:c>
      <x:c r="F1291" s="66" t="str">
        <x:v>BIOLOGI</x:v>
      </x:c>
      <x:c r="G1291" s="66" t="str">
        <x:v>Sarjana</x:v>
      </x:c>
      <x:c r="H1291" s="87" t="n">
        <x:v>21</x:v>
      </x:c>
      <x:c r="I1291" s="87" t="n">
        <x:v>84</x:v>
      </x:c>
      <x:c r="J1291" s="68" t="n">
        <x:f>IFERROR(H1291/I1291,"")</x:f>
        <x:v>0.25</x:v>
      </x:c>
      <x:c r="K1291" s="69" t="n">
        <x:f>IFERROR(I1291/H1291,"")</x:f>
        <x:v>4</x:v>
      </x:c>
      <x:c r="L1291" s="66" t="str">
        <x:f>IF(K1291="","","1 : "&amp;TEXT(K1291,"0.0"))</x:f>
        <x:v>1 : 4.0</x:v>
      </x:c>
      <x:c r="M1291" s="66" t="str">
        <x:f>IF(J1291="","Baru/Tanpa Data",IF(J1291&lt;='Catatan &amp; Sumber'!$B$14,"Sangat Ketat",IF(J1291&lt;='Catatan &amp; Sumber'!$B$15,"Ketat",IF(J1291&lt;='Catatan &amp; Sumber'!$B$16,"Sedang","Relatif Longgar"))))</x:f>
        <x:v>Relatif Longgar</x:v>
      </x:c>
      <x:c r="N1291" s="66" t="str">
        <x:v>Tidak Ada</x:v>
      </x:c>
      <x:c r="O1291" s="66" t="str">
        <x:v>Banten</x:v>
      </x:c>
      <x:c r="P1291" s="66" t="str">
        <x:v>Kota Serang</x:v>
      </x:c>
      <x:c r="Q1291" s="66" t="str">
        <x:v>https://snpmb.id/snbp/daya-tampung-snbp</x:v>
      </x:c>
      <x:c r="R1291" s="66" t="str">
        <x:v>https://sidatagrun-public-1076756628210.asia-southeast2.run.app/ptn_sn.php?ptn=312</x:v>
      </x:c>
    </x:row>
    <x:row r="1292">
      <x:c r="A1292" s="87" t="n">
        <x:v>2267</x:v>
      </x:c>
      <x:c r="B1292" s="66" t="n">
        <x:v>312</x:v>
      </x:c>
      <x:c r="C1292" s="66" t="str">
        <x:v>UIN SULTAN MAULANA HASANUDDIN BANTEN</x:v>
      </x:c>
      <x:c r="D1292" s="66" t="str">
        <x:v>PTKIN</x:v>
      </x:c>
      <x:c r="E1292" s="66" t="str">
        <x:v>13121003</x:v>
      </x:c>
      <x:c r="F1292" s="66" t="str">
        <x:v>INFORMATIKA</x:v>
      </x:c>
      <x:c r="G1292" s="66" t="str">
        <x:v>Sarjana</x:v>
      </x:c>
      <x:c r="H1292" s="87" t="n">
        <x:v>36</x:v>
      </x:c>
      <x:c r="I1292" s="87" t="n">
        <x:v>200</x:v>
      </x:c>
      <x:c r="J1292" s="68" t="n">
        <x:f>IFERROR(H1292/I1292,"")</x:f>
        <x:v>0.18</x:v>
      </x:c>
      <x:c r="K1292" s="69" t="n">
        <x:f>IFERROR(I1292/H1292,"")</x:f>
        <x:v>5.555555555555555</x:v>
      </x:c>
      <x:c r="L1292" s="66" t="str">
        <x:f>IF(K1292="","","1 : "&amp;TEXT(K1292,"0.0"))</x:f>
        <x:v>1 : 5.6</x:v>
      </x:c>
      <x:c r="M1292" s="66" t="str">
        <x:f>IF(J1292="","Baru/Tanpa Data",IF(J1292&lt;='Catatan &amp; Sumber'!$B$14,"Sangat Ketat",IF(J1292&lt;='Catatan &amp; Sumber'!$B$15,"Ketat",IF(J1292&lt;='Catatan &amp; Sumber'!$B$16,"Sedang","Relatif Longgar"))))</x:f>
        <x:v>Relatif Longgar</x:v>
      </x:c>
      <x:c r="N1292" s="66" t="str">
        <x:v>Tidak Ada</x:v>
      </x:c>
      <x:c r="O1292" s="66" t="str">
        <x:v>Banten</x:v>
      </x:c>
      <x:c r="P1292" s="66" t="str">
        <x:v>Kota Serang</x:v>
      </x:c>
      <x:c r="Q1292" s="66" t="str">
        <x:v>https://snpmb.id/snbp/daya-tampung-snbp</x:v>
      </x:c>
      <x:c r="R1292" s="66" t="str">
        <x:v>https://sidatagrun-public-1076756628210.asia-southeast2.run.app/ptn_sn.php?ptn=312</x:v>
      </x:c>
    </x:row>
    <x:row r="1293">
      <x:c r="A1293" s="87" t="n">
        <x:v>3279</x:v>
      </x:c>
      <x:c r="B1293" s="66" t="n">
        <x:v>312</x:v>
      </x:c>
      <x:c r="C1293" s="66" t="str">
        <x:v>UIN SULTAN MAULANA HASANUDDIN BANTEN</x:v>
      </x:c>
      <x:c r="D1293" s="66" t="str">
        <x:v>PTKIN</x:v>
      </x:c>
      <x:c r="E1293" s="66" t="str">
        <x:v>13121004</x:v>
      </x:c>
      <x:c r="F1293" s="66" t="str">
        <x:v>MATEMATIKA</x:v>
      </x:c>
      <x:c r="G1293" s="66" t="str">
        <x:v>Sarjana</x:v>
      </x:c>
      <x:c r="H1293" s="87" t="n">
        <x:v>11</x:v>
      </x:c>
      <x:c r="I1293" s="87" t="n">
        <x:v>30</x:v>
      </x:c>
      <x:c r="J1293" s="68" t="n">
        <x:f>IFERROR(H1293/I1293,"")</x:f>
        <x:v>0.36666666666666664</x:v>
      </x:c>
      <x:c r="K1293" s="69" t="n">
        <x:f>IFERROR(I1293/H1293,"")</x:f>
        <x:v>2.727272727272727</x:v>
      </x:c>
      <x:c r="L1293" s="66" t="str">
        <x:f>IF(K1293="","","1 : "&amp;TEXT(K1293,"0.0"))</x:f>
        <x:v>1 : 2.7</x:v>
      </x:c>
      <x:c r="M1293" s="66" t="str">
        <x:f>IF(J1293="","Baru/Tanpa Data",IF(J1293&lt;='Catatan &amp; Sumber'!$B$14,"Sangat Ketat",IF(J1293&lt;='Catatan &amp; Sumber'!$B$15,"Ketat",IF(J1293&lt;='Catatan &amp; Sumber'!$B$16,"Sedang","Relatif Longgar"))))</x:f>
        <x:v>Relatif Longgar</x:v>
      </x:c>
      <x:c r="N1293" s="66" t="str">
        <x:v>Tidak Ada</x:v>
      </x:c>
      <x:c r="O1293" s="66" t="str">
        <x:v>Banten</x:v>
      </x:c>
      <x:c r="P1293" s="66" t="str">
        <x:v>Kota Serang</x:v>
      </x:c>
      <x:c r="Q1293" s="66" t="str">
        <x:v>https://snpmb.id/snbp/daya-tampung-snbp</x:v>
      </x:c>
      <x:c r="R1293" s="66" t="str">
        <x:v>https://sidatagrun-public-1076756628210.asia-southeast2.run.app/ptn_sn.php?ptn=312</x:v>
      </x:c>
    </x:row>
    <x:row r="1294">
      <x:c r="A1294" s="87" t="n">
        <x:v>2735</x:v>
      </x:c>
      <x:c r="B1294" s="66" t="n">
        <x:v>312</x:v>
      </x:c>
      <x:c r="C1294" s="66" t="str">
        <x:v>UIN SULTAN MAULANA HASANUDDIN BANTEN</x:v>
      </x:c>
      <x:c r="D1294" s="66" t="str">
        <x:v>PTKIN</x:v>
      </x:c>
      <x:c r="E1294" s="66" t="str">
        <x:v>13121005</x:v>
      </x:c>
      <x:c r="F1294" s="66" t="str">
        <x:v>KIMIA</x:v>
      </x:c>
      <x:c r="G1294" s="66" t="str">
        <x:v>Sarjana</x:v>
      </x:c>
      <x:c r="H1294" s="87" t="n">
        <x:v>11</x:v>
      </x:c>
      <x:c r="I1294" s="87" t="n">
        <x:v>44</x:v>
      </x:c>
      <x:c r="J1294" s="68" t="n">
        <x:f>IFERROR(H1294/I1294,"")</x:f>
        <x:v>0.25</x:v>
      </x:c>
      <x:c r="K1294" s="69" t="n">
        <x:f>IFERROR(I1294/H1294,"")</x:f>
        <x:v>4</x:v>
      </x:c>
      <x:c r="L1294" s="66" t="str">
        <x:f>IF(K1294="","","1 : "&amp;TEXT(K1294,"0.0"))</x:f>
        <x:v>1 : 4.0</x:v>
      </x:c>
      <x:c r="M1294" s="66" t="str">
        <x:f>IF(J1294="","Baru/Tanpa Data",IF(J1294&lt;='Catatan &amp; Sumber'!$B$14,"Sangat Ketat",IF(J1294&lt;='Catatan &amp; Sumber'!$B$15,"Ketat",IF(J1294&lt;='Catatan &amp; Sumber'!$B$16,"Sedang","Relatif Longgar"))))</x:f>
        <x:v>Relatif Longgar</x:v>
      </x:c>
      <x:c r="N1294" s="66" t="str">
        <x:v>Tidak Ada</x:v>
      </x:c>
      <x:c r="O1294" s="66" t="str">
        <x:v>Banten</x:v>
      </x:c>
      <x:c r="P1294" s="66" t="str">
        <x:v>Kota Serang</x:v>
      </x:c>
      <x:c r="Q1294" s="66" t="str">
        <x:v>https://snpmb.id/snbp/daya-tampung-snbp</x:v>
      </x:c>
      <x:c r="R1294" s="66" t="str">
        <x:v>https://sidatagrun-public-1076756628210.asia-southeast2.run.app/ptn_sn.php?ptn=312</x:v>
      </x:c>
    </x:row>
    <x:row r="1295">
      <x:c r="A1295" s="87" t="n">
        <x:v>108</x:v>
      </x:c>
      <x:c r="B1295" s="66" t="n">
        <x:v>321</x:v>
      </x:c>
      <x:c r="C1295" s="66" t="str">
        <x:v>UNIVERSITAS INDONESIA</x:v>
      </x:c>
      <x:c r="D1295" s="66" t="str">
        <x:v>PTN Akademik</x:v>
      </x:c>
      <x:c r="E1295" s="66" t="str">
        <x:v>13211001</x:v>
      </x:c>
      <x:c r="F1295" s="66" t="str">
        <x:v>PENDIDIKAN DOKTER</x:v>
      </x:c>
      <x:c r="G1295" s="66" t="str">
        <x:v>Sarjana</x:v>
      </x:c>
      <x:c r="H1295" s="87" t="n">
        <x:v>60</x:v>
      </x:c>
      <x:c r="I1295" s="87" t="n">
        <x:v>2056</x:v>
      </x:c>
      <x:c r="J1295" s="68" t="n">
        <x:f>IFERROR(H1295/I1295,"")</x:f>
        <x:v>0.029182879377431907</x:v>
      </x:c>
      <x:c r="K1295" s="69" t="n">
        <x:f>IFERROR(I1295/H1295,"")</x:f>
        <x:v>34.266666666666666</x:v>
      </x:c>
      <x:c r="L1295" s="66" t="str">
        <x:f>IF(K1295="","","1 : "&amp;TEXT(K1295,"0.0"))</x:f>
        <x:v>1 : 34.3</x:v>
      </x:c>
      <x:c r="M1295" s="66" t="str">
        <x:f>IF(J1295="","Baru/Tanpa Data",IF(J1295&lt;='Catatan &amp; Sumber'!$B$14,"Sangat Ketat",IF(J1295&lt;='Catatan &amp; Sumber'!$B$15,"Ketat",IF(J1295&lt;='Catatan &amp; Sumber'!$B$16,"Sedang","Relatif Longgar"))))</x:f>
        <x:v>Ketat</x:v>
      </x:c>
      <x:c r="N1295" s="66" t="str">
        <x:v>Tidak Ada</x:v>
      </x:c>
      <x:c r="O1295" s="66" t="str">
        <x:v>Jakarta Raya</x:v>
      </x:c>
      <x:c r="P1295" s="66" t="str">
        <x:v>Kota Jakarta Pusat</x:v>
      </x:c>
      <x:c r="Q1295" s="66" t="str">
        <x:v>https://snpmb.id/snbp/daya-tampung-snbp</x:v>
      </x:c>
      <x:c r="R1295" s="66" t="str">
        <x:v>https://sidatagrun-public-1076756628210.asia-southeast2.run.app/ptn_sn.php?ptn=321</x:v>
      </x:c>
    </x:row>
    <x:row r="1296">
      <x:c r="A1296" s="87" t="n">
        <x:v>601</x:v>
      </x:c>
      <x:c r="B1296" s="66" t="n">
        <x:v>321</x:v>
      </x:c>
      <x:c r="C1296" s="66" t="str">
        <x:v>UNIVERSITAS INDONESIA</x:v>
      </x:c>
      <x:c r="D1296" s="66" t="str">
        <x:v>PTN Akademik</x:v>
      </x:c>
      <x:c r="E1296" s="66" t="str">
        <x:v>13211002</x:v>
      </x:c>
      <x:c r="F1296" s="66" t="str">
        <x:v>PENDIDIKAN DOKTER GIGI</x:v>
      </x:c>
      <x:c r="G1296" s="66" t="str">
        <x:v>Sarjana</x:v>
      </x:c>
      <x:c r="H1296" s="87" t="n">
        <x:v>31</x:v>
      </x:c>
      <x:c r="I1296" s="87" t="n">
        <x:v>540</x:v>
      </x:c>
      <x:c r="J1296" s="68" t="n">
        <x:f>IFERROR(H1296/I1296,"")</x:f>
        <x:v>0.05740740740740741</x:v>
      </x:c>
      <x:c r="K1296" s="69" t="n">
        <x:f>IFERROR(I1296/H1296,"")</x:f>
        <x:v>17.419354838709676</x:v>
      </x:c>
      <x:c r="L1296" s="66" t="str">
        <x:f>IF(K1296="","","1 : "&amp;TEXT(K1296,"0.0"))</x:f>
        <x:v>1 : 17.4</x:v>
      </x:c>
      <x:c r="M1296" s="66" t="str">
        <x:f>IF(J1296="","Baru/Tanpa Data",IF(J1296&lt;='Catatan &amp; Sumber'!$B$14,"Sangat Ketat",IF(J1296&lt;='Catatan &amp; Sumber'!$B$15,"Ketat",IF(J1296&lt;='Catatan &amp; Sumber'!$B$16,"Sedang","Relatif Longgar"))))</x:f>
        <x:v>Sedang</x:v>
      </x:c>
      <x:c r="N1296" s="66" t="str">
        <x:v>Tidak Ada</x:v>
      </x:c>
      <x:c r="O1296" s="66" t="str">
        <x:v>Jakarta Raya</x:v>
      </x:c>
      <x:c r="P1296" s="66" t="str">
        <x:v>Kota Jakarta Pusat</x:v>
      </x:c>
      <x:c r="Q1296" s="66" t="str">
        <x:v>https://snpmb.id/snbp/daya-tampung-snbp</x:v>
      </x:c>
      <x:c r="R1296" s="66" t="str">
        <x:v>https://sidatagrun-public-1076756628210.asia-southeast2.run.app/ptn_sn.php?ptn=321</x:v>
      </x:c>
    </x:row>
    <x:row r="1297">
      <x:c r="A1297" s="87" t="n">
        <x:v>683</x:v>
      </x:c>
      <x:c r="B1297" s="66" t="n">
        <x:v>321</x:v>
      </x:c>
      <x:c r="C1297" s="66" t="str">
        <x:v>UNIVERSITAS INDONESIA</x:v>
      </x:c>
      <x:c r="D1297" s="66" t="str">
        <x:v>PTN Akademik</x:v>
      </x:c>
      <x:c r="E1297" s="66" t="str">
        <x:v>13211003</x:v>
      </x:c>
      <x:c r="F1297" s="66" t="str">
        <x:v>MATEMATIKA</x:v>
      </x:c>
      <x:c r="G1297" s="66" t="str">
        <x:v>Sarjana</x:v>
      </x:c>
      <x:c r="H1297" s="87" t="n">
        <x:v>16</x:v>
      </x:c>
      <x:c r="I1297" s="87" t="n">
        <x:v>262</x:v>
      </x:c>
      <x:c r="J1297" s="68" t="n">
        <x:f>IFERROR(H1297/I1297,"")</x:f>
        <x:v>0.061068702290076333</x:v>
      </x:c>
      <x:c r="K1297" s="69" t="n">
        <x:f>IFERROR(I1297/H1297,"")</x:f>
        <x:v>16.375</x:v>
      </x:c>
      <x:c r="L1297" s="66" t="str">
        <x:f>IF(K1297="","","1 : "&amp;TEXT(K1297,"0.0"))</x:f>
        <x:v>1 : 16.4</x:v>
      </x:c>
      <x:c r="M1297" s="66" t="str">
        <x:f>IF(J1297="","Baru/Tanpa Data",IF(J1297&lt;='Catatan &amp; Sumber'!$B$14,"Sangat Ketat",IF(J1297&lt;='Catatan &amp; Sumber'!$B$15,"Ketat",IF(J1297&lt;='Catatan &amp; Sumber'!$B$16,"Sedang","Relatif Longgar"))))</x:f>
        <x:v>Sedang</x:v>
      </x:c>
      <x:c r="N1297" s="66" t="str">
        <x:v>Tidak Ada</x:v>
      </x:c>
      <x:c r="O1297" s="66" t="str">
        <x:v>Jakarta Raya</x:v>
      </x:c>
      <x:c r="P1297" s="66" t="str">
        <x:v>Kota Jakarta Pusat</x:v>
      </x:c>
      <x:c r="Q1297" s="66" t="str">
        <x:v>https://snpmb.id/snbp/daya-tampung-snbp</x:v>
      </x:c>
      <x:c r="R1297" s="66" t="str">
        <x:v>https://sidatagrun-public-1076756628210.asia-southeast2.run.app/ptn_sn.php?ptn=321</x:v>
      </x:c>
    </x:row>
    <x:row r="1298">
      <x:c r="A1298" s="87" t="n">
        <x:v>1793</x:v>
      </x:c>
      <x:c r="B1298" s="66" t="n">
        <x:v>321</x:v>
      </x:c>
      <x:c r="C1298" s="66" t="str">
        <x:v>UNIVERSITAS INDONESIA</x:v>
      </x:c>
      <x:c r="D1298" s="66" t="str">
        <x:v>PTN Akademik</x:v>
      </x:c>
      <x:c r="E1298" s="66" t="str">
        <x:v>13211004</x:v>
      </x:c>
      <x:c r="F1298" s="66" t="str">
        <x:v>FISIKA</x:v>
      </x:c>
      <x:c r="G1298" s="66" t="str">
        <x:v>Sarjana</x:v>
      </x:c>
      <x:c r="H1298" s="87" t="n">
        <x:v>28</x:v>
      </x:c>
      <x:c r="I1298" s="87" t="n">
        <x:v>212</x:v>
      </x:c>
      <x:c r="J1298" s="68" t="n">
        <x:f>IFERROR(H1298/I1298,"")</x:f>
        <x:v>0.1320754716981132</x:v>
      </x:c>
      <x:c r="K1298" s="69" t="n">
        <x:f>IFERROR(I1298/H1298,"")</x:f>
        <x:v>7.571428571428571</x:v>
      </x:c>
      <x:c r="L1298" s="66" t="str">
        <x:f>IF(K1298="","","1 : "&amp;TEXT(K1298,"0.0"))</x:f>
        <x:v>1 : 7.6</x:v>
      </x:c>
      <x:c r="M1298" s="66" t="str">
        <x:f>IF(J1298="","Baru/Tanpa Data",IF(J1298&lt;='Catatan &amp; Sumber'!$B$14,"Sangat Ketat",IF(J1298&lt;='Catatan &amp; Sumber'!$B$15,"Ketat",IF(J1298&lt;='Catatan &amp; Sumber'!$B$16,"Sedang","Relatif Longgar"))))</x:f>
        <x:v>Relatif Longgar</x:v>
      </x:c>
      <x:c r="N1298" s="66" t="str">
        <x:v>Tidak Ada</x:v>
      </x:c>
      <x:c r="O1298" s="66" t="str">
        <x:v>Jakarta Raya</x:v>
      </x:c>
      <x:c r="P1298" s="66" t="str">
        <x:v>Kota Jakarta Pusat</x:v>
      </x:c>
      <x:c r="Q1298" s="66" t="str">
        <x:v>https://snpmb.id/snbp/daya-tampung-snbp</x:v>
      </x:c>
      <x:c r="R1298" s="66" t="str">
        <x:v>https://sidatagrun-public-1076756628210.asia-southeast2.run.app/ptn_sn.php?ptn=321</x:v>
      </x:c>
    </x:row>
    <x:row r="1299">
      <x:c r="A1299" s="87" t="n">
        <x:v>1219</x:v>
      </x:c>
      <x:c r="B1299" s="66" t="n">
        <x:v>321</x:v>
      </x:c>
      <x:c r="C1299" s="66" t="str">
        <x:v>UNIVERSITAS INDONESIA</x:v>
      </x:c>
      <x:c r="D1299" s="66" t="str">
        <x:v>PTN Akademik</x:v>
      </x:c>
      <x:c r="E1299" s="66" t="str">
        <x:v>13211005</x:v>
      </x:c>
      <x:c r="F1299" s="66" t="str">
        <x:v>KIMIA</x:v>
      </x:c>
      <x:c r="G1299" s="66" t="str">
        <x:v>Sarjana</x:v>
      </x:c>
      <x:c r="H1299" s="87" t="n">
        <x:v>28</x:v>
      </x:c>
      <x:c r="I1299" s="87" t="n">
        <x:v>307</x:v>
      </x:c>
      <x:c r="J1299" s="68" t="n">
        <x:f>IFERROR(H1299/I1299,"")</x:f>
        <x:v>0.09120521172638436</x:v>
      </x:c>
      <x:c r="K1299" s="69" t="n">
        <x:f>IFERROR(I1299/H1299,"")</x:f>
        <x:v>10.964285714285714</x:v>
      </x:c>
      <x:c r="L1299" s="66" t="str">
        <x:f>IF(K1299="","","1 : "&amp;TEXT(K1299,"0.0"))</x:f>
        <x:v>1 : 11.0</x:v>
      </x:c>
      <x:c r="M1299" s="66" t="str">
        <x:f>IF(J1299="","Baru/Tanpa Data",IF(J1299&lt;='Catatan &amp; Sumber'!$B$14,"Sangat Ketat",IF(J1299&lt;='Catatan &amp; Sumber'!$B$15,"Ketat",IF(J1299&lt;='Catatan &amp; Sumber'!$B$16,"Sedang","Relatif Longgar"))))</x:f>
        <x:v>Sedang</x:v>
      </x:c>
      <x:c r="N1299" s="66" t="str">
        <x:v>Tidak Ada</x:v>
      </x:c>
      <x:c r="O1299" s="66" t="str">
        <x:v>Jakarta Raya</x:v>
      </x:c>
      <x:c r="P1299" s="66" t="str">
        <x:v>Kota Jakarta Pusat</x:v>
      </x:c>
      <x:c r="Q1299" s="66" t="str">
        <x:v>https://snpmb.id/snbp/daya-tampung-snbp</x:v>
      </x:c>
      <x:c r="R1299" s="66" t="str">
        <x:v>https://sidatagrun-public-1076756628210.asia-southeast2.run.app/ptn_sn.php?ptn=321</x:v>
      </x:c>
    </x:row>
    <x:row r="1300">
      <x:c r="A1300" s="87" t="n">
        <x:v>1263</x:v>
      </x:c>
      <x:c r="B1300" s="66" t="n">
        <x:v>321</x:v>
      </x:c>
      <x:c r="C1300" s="66" t="str">
        <x:v>UNIVERSITAS INDONESIA</x:v>
      </x:c>
      <x:c r="D1300" s="66" t="str">
        <x:v>PTN Akademik</x:v>
      </x:c>
      <x:c r="E1300" s="66" t="str">
        <x:v>13211006</x:v>
      </x:c>
      <x:c r="F1300" s="66" t="str">
        <x:v>BIOLOGI</x:v>
      </x:c>
      <x:c r="G1300" s="66" t="str">
        <x:v>Sarjana</x:v>
      </x:c>
      <x:c r="H1300" s="87" t="n">
        <x:v>27</x:v>
      </x:c>
      <x:c r="I1300" s="87" t="n">
        <x:v>288</x:v>
      </x:c>
      <x:c r="J1300" s="68" t="n">
        <x:f>IFERROR(H1300/I1300,"")</x:f>
        <x:v>0.09375</x:v>
      </x:c>
      <x:c r="K1300" s="69" t="n">
        <x:f>IFERROR(I1300/H1300,"")</x:f>
        <x:v>10.666666666666666</x:v>
      </x:c>
      <x:c r="L1300" s="66" t="str">
        <x:f>IF(K1300="","","1 : "&amp;TEXT(K1300,"0.0"))</x:f>
        <x:v>1 : 10.7</x:v>
      </x:c>
      <x:c r="M1300" s="66" t="str">
        <x:f>IF(J1300="","Baru/Tanpa Data",IF(J1300&lt;='Catatan &amp; Sumber'!$B$14,"Sangat Ketat",IF(J1300&lt;='Catatan &amp; Sumber'!$B$15,"Ketat",IF(J1300&lt;='Catatan &amp; Sumber'!$B$16,"Sedang","Relatif Longgar"))))</x:f>
        <x:v>Sedang</x:v>
      </x:c>
      <x:c r="N1300" s="66" t="str">
        <x:v>Tidak Ada</x:v>
      </x:c>
      <x:c r="O1300" s="66" t="str">
        <x:v>Jakarta Raya</x:v>
      </x:c>
      <x:c r="P1300" s="66" t="str">
        <x:v>Kota Jakarta Pusat</x:v>
      </x:c>
      <x:c r="Q1300" s="66" t="str">
        <x:v>https://snpmb.id/snbp/daya-tampung-snbp</x:v>
      </x:c>
      <x:c r="R1300" s="66" t="str">
        <x:v>https://sidatagrun-public-1076756628210.asia-southeast2.run.app/ptn_sn.php?ptn=321</x:v>
      </x:c>
    </x:row>
    <x:row r="1301">
      <x:c r="A1301" s="87" t="n">
        <x:v>423</x:v>
      </x:c>
      <x:c r="B1301" s="66" t="n">
        <x:v>321</x:v>
      </x:c>
      <x:c r="C1301" s="66" t="str">
        <x:v>UNIVERSITAS INDONESIA</x:v>
      </x:c>
      <x:c r="D1301" s="66" t="str">
        <x:v>PTN Akademik</x:v>
      </x:c>
      <x:c r="E1301" s="66" t="str">
        <x:v>13211007</x:v>
      </x:c>
      <x:c r="F1301" s="66" t="str">
        <x:v>FARMASI</x:v>
      </x:c>
      <x:c r="G1301" s="66" t="str">
        <x:v>Sarjana</x:v>
      </x:c>
      <x:c r="H1301" s="87" t="n">
        <x:v>39</x:v>
      </x:c>
      <x:c r="I1301" s="87" t="n">
        <x:v>814</x:v>
      </x:c>
      <x:c r="J1301" s="68" t="n">
        <x:f>IFERROR(H1301/I1301,"")</x:f>
        <x:v>0.04791154791154791</x:v>
      </x:c>
      <x:c r="K1301" s="69" t="n">
        <x:f>IFERROR(I1301/H1301,"")</x:f>
        <x:v>20.871794871794872</x:v>
      </x:c>
      <x:c r="L1301" s="66" t="str">
        <x:f>IF(K1301="","","1 : "&amp;TEXT(K1301,"0.0"))</x:f>
        <x:v>1 : 20.9</x:v>
      </x:c>
      <x:c r="M1301" s="66" t="str">
        <x:f>IF(J1301="","Baru/Tanpa Data",IF(J1301&lt;='Catatan &amp; Sumber'!$B$14,"Sangat Ketat",IF(J1301&lt;='Catatan &amp; Sumber'!$B$15,"Ketat",IF(J1301&lt;='Catatan &amp; Sumber'!$B$16,"Sedang","Relatif Longgar"))))</x:f>
        <x:v>Ketat</x:v>
      </x:c>
      <x:c r="N1301" s="66" t="str">
        <x:v>Tidak Ada</x:v>
      </x:c>
      <x:c r="O1301" s="66" t="str">
        <x:v>Jakarta Raya</x:v>
      </x:c>
      <x:c r="P1301" s="66" t="str">
        <x:v>Kota Jakarta Pusat</x:v>
      </x:c>
      <x:c r="Q1301" s="66" t="str">
        <x:v>https://snpmb.id/snbp/daya-tampung-snbp</x:v>
      </x:c>
      <x:c r="R1301" s="66" t="str">
        <x:v>https://sidatagrun-public-1076756628210.asia-southeast2.run.app/ptn_sn.php?ptn=321</x:v>
      </x:c>
    </x:row>
    <x:row r="1302">
      <x:c r="A1302" s="87" t="n">
        <x:v>1574</x:v>
      </x:c>
      <x:c r="B1302" s="66" t="n">
        <x:v>321</x:v>
      </x:c>
      <x:c r="C1302" s="66" t="str">
        <x:v>UNIVERSITAS INDONESIA</x:v>
      </x:c>
      <x:c r="D1302" s="66" t="str">
        <x:v>PTN Akademik</x:v>
      </x:c>
      <x:c r="E1302" s="66" t="str">
        <x:v>13211008</x:v>
      </x:c>
      <x:c r="F1302" s="66" t="str">
        <x:v>GEOGRAFI</x:v>
      </x:c>
      <x:c r="G1302" s="66" t="str">
        <x:v>Sarjana</x:v>
      </x:c>
      <x:c r="H1302" s="87" t="n">
        <x:v>28</x:v>
      </x:c>
      <x:c r="I1302" s="87" t="n">
        <x:v>245</x:v>
      </x:c>
      <x:c r="J1302" s="68" t="n">
        <x:f>IFERROR(H1302/I1302,"")</x:f>
        <x:v>0.11428571428571428</x:v>
      </x:c>
      <x:c r="K1302" s="69" t="n">
        <x:f>IFERROR(I1302/H1302,"")</x:f>
        <x:v>8.75</x:v>
      </x:c>
      <x:c r="L1302" s="66" t="str">
        <x:f>IF(K1302="","","1 : "&amp;TEXT(K1302,"0.0"))</x:f>
        <x:v>1 : 8.8</x:v>
      </x:c>
      <x:c r="M1302" s="66" t="str">
        <x:f>IF(J1302="","Baru/Tanpa Data",IF(J1302&lt;='Catatan &amp; Sumber'!$B$14,"Sangat Ketat",IF(J1302&lt;='Catatan &amp; Sumber'!$B$15,"Ketat",IF(J1302&lt;='Catatan &amp; Sumber'!$B$16,"Sedang","Relatif Longgar"))))</x:f>
        <x:v>Relatif Longgar</x:v>
      </x:c>
      <x:c r="N1302" s="66" t="str">
        <x:v>Tidak Ada</x:v>
      </x:c>
      <x:c r="O1302" s="66" t="str">
        <x:v>Jakarta Raya</x:v>
      </x:c>
      <x:c r="P1302" s="66" t="str">
        <x:v>Kota Jakarta Pusat</x:v>
      </x:c>
      <x:c r="Q1302" s="66" t="str">
        <x:v>https://snpmb.id/snbp/daya-tampung-snbp</x:v>
      </x:c>
      <x:c r="R1302" s="66" t="str">
        <x:v>https://sidatagrun-public-1076756628210.asia-southeast2.run.app/ptn_sn.php?ptn=321</x:v>
      </x:c>
    </x:row>
    <x:row r="1303">
      <x:c r="A1303" s="87" t="n">
        <x:v>902</x:v>
      </x:c>
      <x:c r="B1303" s="66" t="n">
        <x:v>321</x:v>
      </x:c>
      <x:c r="C1303" s="66" t="str">
        <x:v>UNIVERSITAS INDONESIA</x:v>
      </x:c>
      <x:c r="D1303" s="66" t="str">
        <x:v>PTN Akademik</x:v>
      </x:c>
      <x:c r="E1303" s="66" t="str">
        <x:v>13211009</x:v>
      </x:c>
      <x:c r="F1303" s="66" t="str">
        <x:v>TEKNIK SIPIL</x:v>
      </x:c>
      <x:c r="G1303" s="66" t="str">
        <x:v>Sarjana</x:v>
      </x:c>
      <x:c r="H1303" s="87" t="n">
        <x:v>40</x:v>
      </x:c>
      <x:c r="I1303" s="87" t="n">
        <x:v>553</x:v>
      </x:c>
      <x:c r="J1303" s="68" t="n">
        <x:f>IFERROR(H1303/I1303,"")</x:f>
        <x:v>0.07233273056057866</x:v>
      </x:c>
      <x:c r="K1303" s="69" t="n">
        <x:f>IFERROR(I1303/H1303,"")</x:f>
        <x:v>13.825</x:v>
      </x:c>
      <x:c r="L1303" s="66" t="str">
        <x:f>IF(K1303="","","1 : "&amp;TEXT(K1303,"0.0"))</x:f>
        <x:v>1 : 13.8</x:v>
      </x:c>
      <x:c r="M1303" s="66" t="str">
        <x:f>IF(J1303="","Baru/Tanpa Data",IF(J1303&lt;='Catatan &amp; Sumber'!$B$14,"Sangat Ketat",IF(J1303&lt;='Catatan &amp; Sumber'!$B$15,"Ketat",IF(J1303&lt;='Catatan &amp; Sumber'!$B$16,"Sedang","Relatif Longgar"))))</x:f>
        <x:v>Sedang</x:v>
      </x:c>
      <x:c r="N1303" s="66" t="str">
        <x:v>Tidak Ada</x:v>
      </x:c>
      <x:c r="O1303" s="66" t="str">
        <x:v>Jakarta Raya</x:v>
      </x:c>
      <x:c r="P1303" s="66" t="str">
        <x:v>Kota Jakarta Pusat</x:v>
      </x:c>
      <x:c r="Q1303" s="66" t="str">
        <x:v>https://snpmb.id/snbp/daya-tampung-snbp</x:v>
      </x:c>
      <x:c r="R1303" s="66" t="str">
        <x:v>https://sidatagrun-public-1076756628210.asia-southeast2.run.app/ptn_sn.php?ptn=321</x:v>
      </x:c>
    </x:row>
    <x:row r="1304">
      <x:c r="A1304" s="87" t="n">
        <x:v>1150</x:v>
      </x:c>
      <x:c r="B1304" s="66" t="n">
        <x:v>321</x:v>
      </x:c>
      <x:c r="C1304" s="66" t="str">
        <x:v>UNIVERSITAS INDONESIA</x:v>
      </x:c>
      <x:c r="D1304" s="66" t="str">
        <x:v>PTN Akademik</x:v>
      </x:c>
      <x:c r="E1304" s="66" t="str">
        <x:v>13211010</x:v>
      </x:c>
      <x:c r="F1304" s="66" t="str">
        <x:v>TEKNIK MESIN</x:v>
      </x:c>
      <x:c r="G1304" s="66" t="str">
        <x:v>Sarjana</x:v>
      </x:c>
      <x:c r="H1304" s="87" t="n">
        <x:v>40</x:v>
      </x:c>
      <x:c r="I1304" s="87" t="n">
        <x:v>460</x:v>
      </x:c>
      <x:c r="J1304" s="68" t="n">
        <x:f>IFERROR(H1304/I1304,"")</x:f>
        <x:v>0.08695652173913043</x:v>
      </x:c>
      <x:c r="K1304" s="69" t="n">
        <x:f>IFERROR(I1304/H1304,"")</x:f>
        <x:v>11.5</x:v>
      </x:c>
      <x:c r="L1304" s="66" t="str">
        <x:f>IF(K1304="","","1 : "&amp;TEXT(K1304,"0.0"))</x:f>
        <x:v>1 : 11.5</x:v>
      </x:c>
      <x:c r="M1304" s="66" t="str">
        <x:f>IF(J1304="","Baru/Tanpa Data",IF(J1304&lt;='Catatan &amp; Sumber'!$B$14,"Sangat Ketat",IF(J1304&lt;='Catatan &amp; Sumber'!$B$15,"Ketat",IF(J1304&lt;='Catatan &amp; Sumber'!$B$16,"Sedang","Relatif Longgar"))))</x:f>
        <x:v>Sedang</x:v>
      </x:c>
      <x:c r="N1304" s="66" t="str">
        <x:v>Tidak Ada</x:v>
      </x:c>
      <x:c r="O1304" s="66" t="str">
        <x:v>Jakarta Raya</x:v>
      </x:c>
      <x:c r="P1304" s="66" t="str">
        <x:v>Kota Jakarta Pusat</x:v>
      </x:c>
      <x:c r="Q1304" s="66" t="str">
        <x:v>https://snpmb.id/snbp/daya-tampung-snbp</x:v>
      </x:c>
      <x:c r="R1304" s="66" t="str">
        <x:v>https://sidatagrun-public-1076756628210.asia-southeast2.run.app/ptn_sn.php?ptn=321</x:v>
      </x:c>
    </x:row>
    <x:row r="1305">
      <x:c r="A1305" s="87" t="n">
        <x:v>648</x:v>
      </x:c>
      <x:c r="B1305" s="66" t="n">
        <x:v>321</x:v>
      </x:c>
      <x:c r="C1305" s="66" t="str">
        <x:v>UNIVERSITAS INDONESIA</x:v>
      </x:c>
      <x:c r="D1305" s="66" t="str">
        <x:v>PTN Akademik</x:v>
      </x:c>
      <x:c r="E1305" s="66" t="str">
        <x:v>13211011</x:v>
      </x:c>
      <x:c r="F1305" s="66" t="str">
        <x:v>TEKNIK ELEKTRO</x:v>
      </x:c>
      <x:c r="G1305" s="66" t="str">
        <x:v>Sarjana</x:v>
      </x:c>
      <x:c r="H1305" s="87" t="n">
        <x:v>30</x:v>
      </x:c>
      <x:c r="I1305" s="87" t="n">
        <x:v>505</x:v>
      </x:c>
      <x:c r="J1305" s="68" t="n">
        <x:f>IFERROR(H1305/I1305,"")</x:f>
        <x:v>0.0594059405940594</x:v>
      </x:c>
      <x:c r="K1305" s="69" t="n">
        <x:f>IFERROR(I1305/H1305,"")</x:f>
        <x:v>16.833333333333332</x:v>
      </x:c>
      <x:c r="L1305" s="66" t="str">
        <x:f>IF(K1305="","","1 : "&amp;TEXT(K1305,"0.0"))</x:f>
        <x:v>1 : 16.8</x:v>
      </x:c>
      <x:c r="M1305" s="66" t="str">
        <x:f>IF(J1305="","Baru/Tanpa Data",IF(J1305&lt;='Catatan &amp; Sumber'!$B$14,"Sangat Ketat",IF(J1305&lt;='Catatan &amp; Sumber'!$B$15,"Ketat",IF(J1305&lt;='Catatan &amp; Sumber'!$B$16,"Sedang","Relatif Longgar"))))</x:f>
        <x:v>Sedang</x:v>
      </x:c>
      <x:c r="N1305" s="66" t="str">
        <x:v>Tidak Ada</x:v>
      </x:c>
      <x:c r="O1305" s="66" t="str">
        <x:v>Jakarta Raya</x:v>
      </x:c>
      <x:c r="P1305" s="66" t="str">
        <x:v>Kota Jakarta Pusat</x:v>
      </x:c>
      <x:c r="Q1305" s="66" t="str">
        <x:v>https://snpmb.id/snbp/daya-tampung-snbp</x:v>
      </x:c>
      <x:c r="R1305" s="66" t="str">
        <x:v>https://sidatagrun-public-1076756628210.asia-southeast2.run.app/ptn_sn.php?ptn=321</x:v>
      </x:c>
    </x:row>
    <x:row r="1306">
      <x:c r="A1306" s="87" t="n">
        <x:v>926</x:v>
      </x:c>
      <x:c r="B1306" s="66" t="n">
        <x:v>321</x:v>
      </x:c>
      <x:c r="C1306" s="66" t="str">
        <x:v>UNIVERSITAS INDONESIA</x:v>
      </x:c>
      <x:c r="D1306" s="66" t="str">
        <x:v>PTN Akademik</x:v>
      </x:c>
      <x:c r="E1306" s="66" t="str">
        <x:v>13211012</x:v>
      </x:c>
      <x:c r="F1306" s="66" t="str">
        <x:v>TEKNIK METALURGI &amp; MATERIAL</x:v>
      </x:c>
      <x:c r="G1306" s="66" t="str">
        <x:v>Sarjana</x:v>
      </x:c>
      <x:c r="H1306" s="87" t="n">
        <x:v>34</x:v>
      </x:c>
      <x:c r="I1306" s="87" t="n">
        <x:v>460</x:v>
      </x:c>
      <x:c r="J1306" s="68" t="n">
        <x:f>IFERROR(H1306/I1306,"")</x:f>
        <x:v>0.07391304347826087</x:v>
      </x:c>
      <x:c r="K1306" s="69" t="n">
        <x:f>IFERROR(I1306/H1306,"")</x:f>
        <x:v>13.529411764705882</x:v>
      </x:c>
      <x:c r="L1306" s="66" t="str">
        <x:f>IF(K1306="","","1 : "&amp;TEXT(K1306,"0.0"))</x:f>
        <x:v>1 : 13.5</x:v>
      </x:c>
      <x:c r="M1306" s="66" t="str">
        <x:f>IF(J1306="","Baru/Tanpa Data",IF(J1306&lt;='Catatan &amp; Sumber'!$B$14,"Sangat Ketat",IF(J1306&lt;='Catatan &amp; Sumber'!$B$15,"Ketat",IF(J1306&lt;='Catatan &amp; Sumber'!$B$16,"Sedang","Relatif Longgar"))))</x:f>
        <x:v>Sedang</x:v>
      </x:c>
      <x:c r="N1306" s="66" t="str">
        <x:v>Tidak Ada</x:v>
      </x:c>
      <x:c r="O1306" s="66" t="str">
        <x:v>Jakarta Raya</x:v>
      </x:c>
      <x:c r="P1306" s="66" t="str">
        <x:v>Kota Jakarta Pusat</x:v>
      </x:c>
      <x:c r="Q1306" s="66" t="str">
        <x:v>https://snpmb.id/snbp/daya-tampung-snbp</x:v>
      </x:c>
      <x:c r="R1306" s="66" t="str">
        <x:v>https://sidatagrun-public-1076756628210.asia-southeast2.run.app/ptn_sn.php?ptn=321</x:v>
      </x:c>
    </x:row>
    <x:row r="1307">
      <x:c r="A1307" s="87" t="n">
        <x:v>162</x:v>
      </x:c>
      <x:c r="B1307" s="66" t="n">
        <x:v>321</x:v>
      </x:c>
      <x:c r="C1307" s="66" t="str">
        <x:v>UNIVERSITAS INDONESIA</x:v>
      </x:c>
      <x:c r="D1307" s="66" t="str">
        <x:v>PTN Akademik</x:v>
      </x:c>
      <x:c r="E1307" s="66" t="str">
        <x:v>13211013</x:v>
      </x:c>
      <x:c r="F1307" s="66" t="str">
        <x:v>ARSITEKTUR</x:v>
      </x:c>
      <x:c r="G1307" s="66" t="str">
        <x:v>Sarjana</x:v>
      </x:c>
      <x:c r="H1307" s="87" t="n">
        <x:v>16</x:v>
      </x:c>
      <x:c r="I1307" s="87" t="n">
        <x:v>465</x:v>
      </x:c>
      <x:c r="J1307" s="68" t="n">
        <x:f>IFERROR(H1307/I1307,"")</x:f>
        <x:v>0.034408602150537634</x:v>
      </x:c>
      <x:c r="K1307" s="69" t="n">
        <x:f>IFERROR(I1307/H1307,"")</x:f>
        <x:v>29.0625</x:v>
      </x:c>
      <x:c r="L1307" s="66" t="str">
        <x:f>IF(K1307="","","1 : "&amp;TEXT(K1307,"0.0"))</x:f>
        <x:v>1 : 29.1</x:v>
      </x:c>
      <x:c r="M1307" s="66" t="str">
        <x:f>IF(J1307="","Baru/Tanpa Data",IF(J1307&lt;='Catatan &amp; Sumber'!$B$14,"Sangat Ketat",IF(J1307&lt;='Catatan &amp; Sumber'!$B$15,"Ketat",IF(J1307&lt;='Catatan &amp; Sumber'!$B$16,"Sedang","Relatif Longgar"))))</x:f>
        <x:v>Ketat</x:v>
      </x:c>
      <x:c r="N1307" s="66" t="str">
        <x:v>Tidak Ada</x:v>
      </x:c>
      <x:c r="O1307" s="66" t="str">
        <x:v>Jakarta Raya</x:v>
      </x:c>
      <x:c r="P1307" s="66" t="str">
        <x:v>Kota Jakarta Pusat</x:v>
      </x:c>
      <x:c r="Q1307" s="66" t="str">
        <x:v>https://snpmb.id/snbp/daya-tampung-snbp</x:v>
      </x:c>
      <x:c r="R1307" s="66" t="str">
        <x:v>https://sidatagrun-public-1076756628210.asia-southeast2.run.app/ptn_sn.php?ptn=321</x:v>
      </x:c>
    </x:row>
    <x:row r="1308">
      <x:c r="A1308" s="87" t="n">
        <x:v>651</x:v>
      </x:c>
      <x:c r="B1308" s="66" t="n">
        <x:v>321</x:v>
      </x:c>
      <x:c r="C1308" s="66" t="str">
        <x:v>UNIVERSITAS INDONESIA</x:v>
      </x:c>
      <x:c r="D1308" s="66" t="str">
        <x:v>PTN Akademik</x:v>
      </x:c>
      <x:c r="E1308" s="66" t="str">
        <x:v>13211014</x:v>
      </x:c>
      <x:c r="F1308" s="66" t="str">
        <x:v>TEKNIK KIMIA</x:v>
      </x:c>
      <x:c r="G1308" s="66" t="str">
        <x:v>Sarjana</x:v>
      </x:c>
      <x:c r="H1308" s="87" t="n">
        <x:v>29</x:v>
      </x:c>
      <x:c r="I1308" s="87" t="n">
        <x:v>488</x:v>
      </x:c>
      <x:c r="J1308" s="68" t="n">
        <x:f>IFERROR(H1308/I1308,"")</x:f>
        <x:v>0.05942622950819672</x:v>
      </x:c>
      <x:c r="K1308" s="69" t="n">
        <x:f>IFERROR(I1308/H1308,"")</x:f>
        <x:v>16.82758620689655</x:v>
      </x:c>
      <x:c r="L1308" s="66" t="str">
        <x:f>IF(K1308="","","1 : "&amp;TEXT(K1308,"0.0"))</x:f>
        <x:v>1 : 16.8</x:v>
      </x:c>
      <x:c r="M1308" s="66" t="str">
        <x:f>IF(J1308="","Baru/Tanpa Data",IF(J1308&lt;='Catatan &amp; Sumber'!$B$14,"Sangat Ketat",IF(J1308&lt;='Catatan &amp; Sumber'!$B$15,"Ketat",IF(J1308&lt;='Catatan &amp; Sumber'!$B$16,"Sedang","Relatif Longgar"))))</x:f>
        <x:v>Sedang</x:v>
      </x:c>
      <x:c r="N1308" s="66" t="str">
        <x:v>Tidak Ada</x:v>
      </x:c>
      <x:c r="O1308" s="66" t="str">
        <x:v>Jakarta Raya</x:v>
      </x:c>
      <x:c r="P1308" s="66" t="str">
        <x:v>Kota Jakarta Pusat</x:v>
      </x:c>
      <x:c r="Q1308" s="66" t="str">
        <x:v>https://snpmb.id/snbp/daya-tampung-snbp</x:v>
      </x:c>
      <x:c r="R1308" s="66" t="str">
        <x:v>https://sidatagrun-public-1076756628210.asia-southeast2.run.app/ptn_sn.php?ptn=321</x:v>
      </x:c>
    </x:row>
    <x:row r="1309">
      <x:c r="A1309" s="87" t="n">
        <x:v>921</x:v>
      </x:c>
      <x:c r="B1309" s="66" t="n">
        <x:v>321</x:v>
      </x:c>
      <x:c r="C1309" s="66" t="str">
        <x:v>UNIVERSITAS INDONESIA</x:v>
      </x:c>
      <x:c r="D1309" s="66" t="str">
        <x:v>PTN Akademik</x:v>
      </x:c>
      <x:c r="E1309" s="66" t="str">
        <x:v>13211015</x:v>
      </x:c>
      <x:c r="F1309" s="66" t="str">
        <x:v>ILMU KEPERAWATAN</x:v>
      </x:c>
      <x:c r="G1309" s="66" t="str">
        <x:v>Sarjana</x:v>
      </x:c>
      <x:c r="H1309" s="87" t="n">
        <x:v>50</x:v>
      </x:c>
      <x:c r="I1309" s="87" t="n">
        <x:v>678</x:v>
      </x:c>
      <x:c r="J1309" s="68" t="n">
        <x:f>IFERROR(H1309/I1309,"")</x:f>
        <x:v>0.07374631268436578</x:v>
      </x:c>
      <x:c r="K1309" s="69" t="n">
        <x:f>IFERROR(I1309/H1309,"")</x:f>
        <x:v>13.56</x:v>
      </x:c>
      <x:c r="L1309" s="66" t="str">
        <x:f>IF(K1309="","","1 : "&amp;TEXT(K1309,"0.0"))</x:f>
        <x:v>1 : 13.6</x:v>
      </x:c>
      <x:c r="M1309" s="66" t="str">
        <x:f>IF(J1309="","Baru/Tanpa Data",IF(J1309&lt;='Catatan &amp; Sumber'!$B$14,"Sangat Ketat",IF(J1309&lt;='Catatan &amp; Sumber'!$B$15,"Ketat",IF(J1309&lt;='Catatan &amp; Sumber'!$B$16,"Sedang","Relatif Longgar"))))</x:f>
        <x:v>Sedang</x:v>
      </x:c>
      <x:c r="N1309" s="66" t="str">
        <x:v>Tidak Ada</x:v>
      </x:c>
      <x:c r="O1309" s="66" t="str">
        <x:v>Jakarta Raya</x:v>
      </x:c>
      <x:c r="P1309" s="66" t="str">
        <x:v>Kota Jakarta Pusat</x:v>
      </x:c>
      <x:c r="Q1309" s="66" t="str">
        <x:v>https://snpmb.id/snbp/daya-tampung-snbp</x:v>
      </x:c>
      <x:c r="R1309" s="66" t="str">
        <x:v>https://sidatagrun-public-1076756628210.asia-southeast2.run.app/ptn_sn.php?ptn=321</x:v>
      </x:c>
    </x:row>
    <x:row r="1310">
      <x:c r="A1310" s="87" t="n">
        <x:v>298</x:v>
      </x:c>
      <x:c r="B1310" s="66" t="n">
        <x:v>321</x:v>
      </x:c>
      <x:c r="C1310" s="66" t="str">
        <x:v>UNIVERSITAS INDONESIA</x:v>
      </x:c>
      <x:c r="D1310" s="66" t="str">
        <x:v>PTN Akademik</x:v>
      </x:c>
      <x:c r="E1310" s="66" t="str">
        <x:v>13211016</x:v>
      </x:c>
      <x:c r="F1310" s="66" t="str">
        <x:v>ILMU KOMPUTER</x:v>
      </x:c>
      <x:c r="G1310" s="66" t="str">
        <x:v>Sarjana</x:v>
      </x:c>
      <x:c r="H1310" s="87" t="n">
        <x:v>50</x:v>
      </x:c>
      <x:c r="I1310" s="87" t="n">
        <x:v>1176</x:v>
      </x:c>
      <x:c r="J1310" s="68" t="n">
        <x:f>IFERROR(H1310/I1310,"")</x:f>
        <x:v>0.04251700680272109</x:v>
      </x:c>
      <x:c r="K1310" s="69" t="n">
        <x:f>IFERROR(I1310/H1310,"")</x:f>
        <x:v>23.52</x:v>
      </x:c>
      <x:c r="L1310" s="66" t="str">
        <x:f>IF(K1310="","","1 : "&amp;TEXT(K1310,"0.0"))</x:f>
        <x:v>1 : 23.5</x:v>
      </x:c>
      <x:c r="M1310" s="66" t="str">
        <x:f>IF(J1310="","Baru/Tanpa Data",IF(J1310&lt;='Catatan &amp; Sumber'!$B$14,"Sangat Ketat",IF(J1310&lt;='Catatan &amp; Sumber'!$B$15,"Ketat",IF(J1310&lt;='Catatan &amp; Sumber'!$B$16,"Sedang","Relatif Longgar"))))</x:f>
        <x:v>Ketat</x:v>
      </x:c>
      <x:c r="N1310" s="66" t="str">
        <x:v>Tidak Ada</x:v>
      </x:c>
      <x:c r="O1310" s="66" t="str">
        <x:v>Jakarta Raya</x:v>
      </x:c>
      <x:c r="P1310" s="66" t="str">
        <x:v>Kota Jakarta Pusat</x:v>
      </x:c>
      <x:c r="Q1310" s="66" t="str">
        <x:v>https://snpmb.id/snbp/daya-tampung-snbp</x:v>
      </x:c>
      <x:c r="R1310" s="66" t="str">
        <x:v>https://sidatagrun-public-1076756628210.asia-southeast2.run.app/ptn_sn.php?ptn=321</x:v>
      </x:c>
    </x:row>
    <x:row r="1311">
      <x:c r="A1311" s="87" t="n">
        <x:v>865</x:v>
      </x:c>
      <x:c r="B1311" s="66" t="n">
        <x:v>321</x:v>
      </x:c>
      <x:c r="C1311" s="66" t="str">
        <x:v>UNIVERSITAS INDONESIA</x:v>
      </x:c>
      <x:c r="D1311" s="66" t="str">
        <x:v>PTN Akademik</x:v>
      </x:c>
      <x:c r="E1311" s="66" t="str">
        <x:v>13211017</x:v>
      </x:c>
      <x:c r="F1311" s="66" t="str">
        <x:v>ILMU KESEHATAN MASYARAKAT</x:v>
      </x:c>
      <x:c r="G1311" s="66" t="str">
        <x:v>Sarjana</x:v>
      </x:c>
      <x:c r="H1311" s="87" t="n">
        <x:v>45</x:v>
      </x:c>
      <x:c r="I1311" s="87" t="n">
        <x:v>642</x:v>
      </x:c>
      <x:c r="J1311" s="68" t="n">
        <x:f>IFERROR(H1311/I1311,"")</x:f>
        <x:v>0.07009345794392523</x:v>
      </x:c>
      <x:c r="K1311" s="69" t="n">
        <x:f>IFERROR(I1311/H1311,"")</x:f>
        <x:v>14.266666666666667</x:v>
      </x:c>
      <x:c r="L1311" s="66" t="str">
        <x:f>IF(K1311="","","1 : "&amp;TEXT(K1311,"0.0"))</x:f>
        <x:v>1 : 14.3</x:v>
      </x:c>
      <x:c r="M1311" s="66" t="str">
        <x:f>IF(J1311="","Baru/Tanpa Data",IF(J1311&lt;='Catatan &amp; Sumber'!$B$14,"Sangat Ketat",IF(J1311&lt;='Catatan &amp; Sumber'!$B$15,"Ketat",IF(J1311&lt;='Catatan &amp; Sumber'!$B$16,"Sedang","Relatif Longgar"))))</x:f>
        <x:v>Sedang</x:v>
      </x:c>
      <x:c r="N1311" s="66" t="str">
        <x:v>Tidak Ada</x:v>
      </x:c>
      <x:c r="O1311" s="66" t="str">
        <x:v>Jakarta Raya</x:v>
      </x:c>
      <x:c r="P1311" s="66" t="str">
        <x:v>Kota Jakarta Pusat</x:v>
      </x:c>
      <x:c r="Q1311" s="66" t="str">
        <x:v>https://snpmb.id/snbp/daya-tampung-snbp</x:v>
      </x:c>
      <x:c r="R1311" s="66" t="str">
        <x:v>https://sidatagrun-public-1076756628210.asia-southeast2.run.app/ptn_sn.php?ptn=321</x:v>
      </x:c>
    </x:row>
    <x:row r="1312">
      <x:c r="A1312" s="87" t="n">
        <x:v>514</x:v>
      </x:c>
      <x:c r="B1312" s="66" t="n">
        <x:v>321</x:v>
      </x:c>
      <x:c r="C1312" s="66" t="str">
        <x:v>UNIVERSITAS INDONESIA</x:v>
      </x:c>
      <x:c r="D1312" s="66" t="str">
        <x:v>PTN Akademik</x:v>
      </x:c>
      <x:c r="E1312" s="66" t="str">
        <x:v>13211018</x:v>
      </x:c>
      <x:c r="F1312" s="66" t="str">
        <x:v>TEKNIK INDUSTRI</x:v>
      </x:c>
      <x:c r="G1312" s="66" t="str">
        <x:v>Sarjana</x:v>
      </x:c>
      <x:c r="H1312" s="87" t="n">
        <x:v>47</x:v>
      </x:c>
      <x:c r="I1312" s="87" t="n">
        <x:v>898</x:v>
      </x:c>
      <x:c r="J1312" s="68" t="n">
        <x:f>IFERROR(H1312/I1312,"")</x:f>
        <x:v>0.052338530066815145</x:v>
      </x:c>
      <x:c r="K1312" s="69" t="n">
        <x:f>IFERROR(I1312/H1312,"")</x:f>
        <x:v>19.106382978723403</x:v>
      </x:c>
      <x:c r="L1312" s="66" t="str">
        <x:f>IF(K1312="","","1 : "&amp;TEXT(K1312,"0.0"))</x:f>
        <x:v>1 : 19.1</x:v>
      </x:c>
      <x:c r="M1312" s="66" t="str">
        <x:f>IF(J1312="","Baru/Tanpa Data",IF(J1312&lt;='Catatan &amp; Sumber'!$B$14,"Sangat Ketat",IF(J1312&lt;='Catatan &amp; Sumber'!$B$15,"Ketat",IF(J1312&lt;='Catatan &amp; Sumber'!$B$16,"Sedang","Relatif Longgar"))))</x:f>
        <x:v>Sedang</x:v>
      </x:c>
      <x:c r="N1312" s="66" t="str">
        <x:v>Tidak Ada</x:v>
      </x:c>
      <x:c r="O1312" s="66" t="str">
        <x:v>Jakarta Raya</x:v>
      </x:c>
      <x:c r="P1312" s="66" t="str">
        <x:v>Kota Jakarta Pusat</x:v>
      </x:c>
      <x:c r="Q1312" s="66" t="str">
        <x:v>https://snpmb.id/snbp/daya-tampung-snbp</x:v>
      </x:c>
      <x:c r="R1312" s="66" t="str">
        <x:v>https://sidatagrun-public-1076756628210.asia-southeast2.run.app/ptn_sn.php?ptn=321</x:v>
      </x:c>
    </x:row>
    <x:row r="1313">
      <x:c r="A1313" s="87" t="n">
        <x:v>1412</x:v>
      </x:c>
      <x:c r="B1313" s="66" t="n">
        <x:v>321</x:v>
      </x:c>
      <x:c r="C1313" s="66" t="str">
        <x:v>UNIVERSITAS INDONESIA</x:v>
      </x:c>
      <x:c r="D1313" s="66" t="str">
        <x:v>PTN Akademik</x:v>
      </x:c>
      <x:c r="E1313" s="66" t="str">
        <x:v>13211019</x:v>
      </x:c>
      <x:c r="F1313" s="66" t="str">
        <x:v>TEKNIK PERKAPALAN</x:v>
      </x:c>
      <x:c r="G1313" s="66" t="str">
        <x:v>Sarjana</x:v>
      </x:c>
      <x:c r="H1313" s="87" t="n">
        <x:v>26</x:v>
      </x:c>
      <x:c r="I1313" s="87" t="n">
        <x:v>252</x:v>
      </x:c>
      <x:c r="J1313" s="68" t="n">
        <x:f>IFERROR(H1313/I1313,"")</x:f>
        <x:v>0.10317460317460317</x:v>
      </x:c>
      <x:c r="K1313" s="69" t="n">
        <x:f>IFERROR(I1313/H1313,"")</x:f>
        <x:v>9.692307692307692</x:v>
      </x:c>
      <x:c r="L1313" s="66" t="str">
        <x:f>IF(K1313="","","1 : "&amp;TEXT(K1313,"0.0"))</x:f>
        <x:v>1 : 9.7</x:v>
      </x:c>
      <x:c r="M1313" s="66" t="str">
        <x:f>IF(J1313="","Baru/Tanpa Data",IF(J1313&lt;='Catatan &amp; Sumber'!$B$14,"Sangat Ketat",IF(J1313&lt;='Catatan &amp; Sumber'!$B$15,"Ketat",IF(J1313&lt;='Catatan &amp; Sumber'!$B$16,"Sedang","Relatif Longgar"))))</x:f>
        <x:v>Relatif Longgar</x:v>
      </x:c>
      <x:c r="N1313" s="66" t="str">
        <x:v>Tidak Ada</x:v>
      </x:c>
      <x:c r="O1313" s="66" t="str">
        <x:v>Jakarta Raya</x:v>
      </x:c>
      <x:c r="P1313" s="66" t="str">
        <x:v>Kota Jakarta Pusat</x:v>
      </x:c>
      <x:c r="Q1313" s="66" t="str">
        <x:v>https://snpmb.id/snbp/daya-tampung-snbp</x:v>
      </x:c>
      <x:c r="R1313" s="66" t="str">
        <x:v>https://sidatagrun-public-1076756628210.asia-southeast2.run.app/ptn_sn.php?ptn=321</x:v>
      </x:c>
    </x:row>
    <x:row r="1314">
      <x:c r="A1314" s="87" t="n">
        <x:v>667</x:v>
      </x:c>
      <x:c r="B1314" s="66" t="n">
        <x:v>321</x:v>
      </x:c>
      <x:c r="C1314" s="66" t="str">
        <x:v>UNIVERSITAS INDONESIA</x:v>
      </x:c>
      <x:c r="D1314" s="66" t="str">
        <x:v>PTN Akademik</x:v>
      </x:c>
      <x:c r="E1314" s="66" t="str">
        <x:v>13211020</x:v>
      </x:c>
      <x:c r="F1314" s="66" t="str">
        <x:v>TEKNIK LINGKUNGAN</x:v>
      </x:c>
      <x:c r="G1314" s="66" t="str">
        <x:v>Sarjana</x:v>
      </x:c>
      <x:c r="H1314" s="87" t="n">
        <x:v>24</x:v>
      </x:c>
      <x:c r="I1314" s="87" t="n">
        <x:v>399</x:v>
      </x:c>
      <x:c r="J1314" s="68" t="n">
        <x:f>IFERROR(H1314/I1314,"")</x:f>
        <x:v>0.06015037593984962</x:v>
      </x:c>
      <x:c r="K1314" s="69" t="n">
        <x:f>IFERROR(I1314/H1314,"")</x:f>
        <x:v>16.625</x:v>
      </x:c>
      <x:c r="L1314" s="66" t="str">
        <x:f>IF(K1314="","","1 : "&amp;TEXT(K1314,"0.0"))</x:f>
        <x:v>1 : 16.6</x:v>
      </x:c>
      <x:c r="M1314" s="66" t="str">
        <x:f>IF(J1314="","Baru/Tanpa Data",IF(J1314&lt;='Catatan &amp; Sumber'!$B$14,"Sangat Ketat",IF(J1314&lt;='Catatan &amp; Sumber'!$B$15,"Ketat",IF(J1314&lt;='Catatan &amp; Sumber'!$B$16,"Sedang","Relatif Longgar"))))</x:f>
        <x:v>Sedang</x:v>
      </x:c>
      <x:c r="N1314" s="66" t="str">
        <x:v>Tidak Ada</x:v>
      </x:c>
      <x:c r="O1314" s="66" t="str">
        <x:v>Jakarta Raya</x:v>
      </x:c>
      <x:c r="P1314" s="66" t="str">
        <x:v>Kota Jakarta Pusat</x:v>
      </x:c>
      <x:c r="Q1314" s="66" t="str">
        <x:v>https://snpmb.id/snbp/daya-tampung-snbp</x:v>
      </x:c>
      <x:c r="R1314" s="66" t="str">
        <x:v>https://sidatagrun-public-1076756628210.asia-southeast2.run.app/ptn_sn.php?ptn=321</x:v>
      </x:c>
    </x:row>
    <x:row r="1315">
      <x:c r="A1315" s="87" t="n">
        <x:v>360</x:v>
      </x:c>
      <x:c r="B1315" s="66" t="n">
        <x:v>321</x:v>
      </x:c>
      <x:c r="C1315" s="66" t="str">
        <x:v>UNIVERSITAS INDONESIA</x:v>
      </x:c>
      <x:c r="D1315" s="66" t="str">
        <x:v>PTN Akademik</x:v>
      </x:c>
      <x:c r="E1315" s="66" t="str">
        <x:v>13211021</x:v>
      </x:c>
      <x:c r="F1315" s="66" t="str">
        <x:v>TEKNIK KOMPUTER</x:v>
      </x:c>
      <x:c r="G1315" s="66" t="str">
        <x:v>Sarjana</x:v>
      </x:c>
      <x:c r="H1315" s="87" t="n">
        <x:v>22</x:v>
      </x:c>
      <x:c r="I1315" s="87" t="n">
        <x:v>488</x:v>
      </x:c>
      <x:c r="J1315" s="68" t="n">
        <x:f>IFERROR(H1315/I1315,"")</x:f>
        <x:v>0.045081967213114756</x:v>
      </x:c>
      <x:c r="K1315" s="69" t="n">
        <x:f>IFERROR(I1315/H1315,"")</x:f>
        <x:v>22.181818181818183</x:v>
      </x:c>
      <x:c r="L1315" s="66" t="str">
        <x:f>IF(K1315="","","1 : "&amp;TEXT(K1315,"0.0"))</x:f>
        <x:v>1 : 22.2</x:v>
      </x:c>
      <x:c r="M1315" s="66" t="str">
        <x:f>IF(J1315="","Baru/Tanpa Data",IF(J1315&lt;='Catatan &amp; Sumber'!$B$14,"Sangat Ketat",IF(J1315&lt;='Catatan &amp; Sumber'!$B$15,"Ketat",IF(J1315&lt;='Catatan &amp; Sumber'!$B$16,"Sedang","Relatif Longgar"))))</x:f>
        <x:v>Ketat</x:v>
      </x:c>
      <x:c r="N1315" s="66" t="str">
        <x:v>Tidak Ada</x:v>
      </x:c>
      <x:c r="O1315" s="66" t="str">
        <x:v>Jakarta Raya</x:v>
      </x:c>
      <x:c r="P1315" s="66" t="str">
        <x:v>Kota Jakarta Pusat</x:v>
      </x:c>
      <x:c r="Q1315" s="66" t="str">
        <x:v>https://snpmb.id/snbp/daya-tampung-snbp</x:v>
      </x:c>
      <x:c r="R1315" s="66" t="str">
        <x:v>https://sidatagrun-public-1076756628210.asia-southeast2.run.app/ptn_sn.php?ptn=321</x:v>
      </x:c>
    </x:row>
    <x:row r="1316">
      <x:c r="A1316" s="87" t="n">
        <x:v>520</x:v>
      </x:c>
      <x:c r="B1316" s="66" t="n">
        <x:v>321</x:v>
      </x:c>
      <x:c r="C1316" s="66" t="str">
        <x:v>UNIVERSITAS INDONESIA</x:v>
      </x:c>
      <x:c r="D1316" s="66" t="str">
        <x:v>PTN Akademik</x:v>
      </x:c>
      <x:c r="E1316" s="66" t="str">
        <x:v>13211022</x:v>
      </x:c>
      <x:c r="F1316" s="66" t="str">
        <x:v>SISTEM INFORMASI</x:v>
      </x:c>
      <x:c r="G1316" s="66" t="str">
        <x:v>Sarjana</x:v>
      </x:c>
      <x:c r="H1316" s="87" t="n">
        <x:v>50</x:v>
      </x:c>
      <x:c r="I1316" s="87" t="n">
        <x:v>952</x:v>
      </x:c>
      <x:c r="J1316" s="68" t="n">
        <x:f>IFERROR(H1316/I1316,"")</x:f>
        <x:v>0.052521008403361345</x:v>
      </x:c>
      <x:c r="K1316" s="69" t="n">
        <x:f>IFERROR(I1316/H1316,"")</x:f>
        <x:v>19.04</x:v>
      </x:c>
      <x:c r="L1316" s="66" t="str">
        <x:f>IF(K1316="","","1 : "&amp;TEXT(K1316,"0.0"))</x:f>
        <x:v>1 : 19.0</x:v>
      </x:c>
      <x:c r="M1316" s="66" t="str">
        <x:f>IF(J1316="","Baru/Tanpa Data",IF(J1316&lt;='Catatan &amp; Sumber'!$B$14,"Sangat Ketat",IF(J1316&lt;='Catatan &amp; Sumber'!$B$15,"Ketat",IF(J1316&lt;='Catatan &amp; Sumber'!$B$16,"Sedang","Relatif Longgar"))))</x:f>
        <x:v>Sedang</x:v>
      </x:c>
      <x:c r="N1316" s="66" t="str">
        <x:v>Tidak Ada</x:v>
      </x:c>
      <x:c r="O1316" s="66" t="str">
        <x:v>Jakarta Raya</x:v>
      </x:c>
      <x:c r="P1316" s="66" t="str">
        <x:v>Kota Jakarta Pusat</x:v>
      </x:c>
      <x:c r="Q1316" s="66" t="str">
        <x:v>https://snpmb.id/snbp/daya-tampung-snbp</x:v>
      </x:c>
      <x:c r="R1316" s="66" t="str">
        <x:v>https://sidatagrun-public-1076756628210.asia-southeast2.run.app/ptn_sn.php?ptn=321</x:v>
      </x:c>
    </x:row>
    <x:row r="1317">
      <x:c r="A1317" s="87" t="n">
        <x:v>215</x:v>
      </x:c>
      <x:c r="B1317" s="66" t="n">
        <x:v>321</x:v>
      </x:c>
      <x:c r="C1317" s="66" t="str">
        <x:v>UNIVERSITAS INDONESIA</x:v>
      </x:c>
      <x:c r="D1317" s="66" t="str">
        <x:v>PTN Akademik</x:v>
      </x:c>
      <x:c r="E1317" s="66" t="str">
        <x:v>13211023</x:v>
      </x:c>
      <x:c r="F1317" s="66" t="str">
        <x:v>ARSITEKTUR INTERIOR</x:v>
      </x:c>
      <x:c r="G1317" s="66" t="str">
        <x:v>Sarjana</x:v>
      </x:c>
      <x:c r="H1317" s="87" t="n">
        <x:v>10</x:v>
      </x:c>
      <x:c r="I1317" s="87" t="n">
        <x:v>266</x:v>
      </x:c>
      <x:c r="J1317" s="68" t="n">
        <x:f>IFERROR(H1317/I1317,"")</x:f>
        <x:v>0.03759398496240601</x:v>
      </x:c>
      <x:c r="K1317" s="69" t="n">
        <x:f>IFERROR(I1317/H1317,"")</x:f>
        <x:v>26.6</x:v>
      </x:c>
      <x:c r="L1317" s="66" t="str">
        <x:f>IF(K1317="","","1 : "&amp;TEXT(K1317,"0.0"))</x:f>
        <x:v>1 : 26.6</x:v>
      </x:c>
      <x:c r="M1317" s="66" t="str">
        <x:f>IF(J1317="","Baru/Tanpa Data",IF(J1317&lt;='Catatan &amp; Sumber'!$B$14,"Sangat Ketat",IF(J1317&lt;='Catatan &amp; Sumber'!$B$15,"Ketat",IF(J1317&lt;='Catatan &amp; Sumber'!$B$16,"Sedang","Relatif Longgar"))))</x:f>
        <x:v>Ketat</x:v>
      </x:c>
      <x:c r="N1317" s="66" t="str">
        <x:v>Tidak Ada</x:v>
      </x:c>
      <x:c r="O1317" s="66" t="str">
        <x:v>Jakarta Raya</x:v>
      </x:c>
      <x:c r="P1317" s="66" t="str">
        <x:v>Kota Jakarta Pusat</x:v>
      </x:c>
      <x:c r="Q1317" s="66" t="str">
        <x:v>https://snpmb.id/snbp/daya-tampung-snbp</x:v>
      </x:c>
      <x:c r="R1317" s="66" t="str">
        <x:v>https://sidatagrun-public-1076756628210.asia-southeast2.run.app/ptn_sn.php?ptn=321</x:v>
      </x:c>
    </x:row>
    <x:row r="1318">
      <x:c r="A1318" s="87" t="n">
        <x:v>276</x:v>
      </x:c>
      <x:c r="B1318" s="66" t="n">
        <x:v>321</x:v>
      </x:c>
      <x:c r="C1318" s="66" t="str">
        <x:v>UNIVERSITAS INDONESIA</x:v>
      </x:c>
      <x:c r="D1318" s="66" t="str">
        <x:v>PTN Akademik</x:v>
      </x:c>
      <x:c r="E1318" s="66" t="str">
        <x:v>13211024</x:v>
      </x:c>
      <x:c r="F1318" s="66" t="str">
        <x:v>TEKNOLOGI BIOPROSES</x:v>
      </x:c>
      <x:c r="G1318" s="66" t="str">
        <x:v>Sarjana</x:v>
      </x:c>
      <x:c r="H1318" s="87" t="n">
        <x:v>14</x:v>
      </x:c>
      <x:c r="I1318" s="87" t="n">
        <x:v>341</x:v>
      </x:c>
      <x:c r="J1318" s="68" t="n">
        <x:f>IFERROR(H1318/I1318,"")</x:f>
        <x:v>0.04105571847507331</x:v>
      </x:c>
      <x:c r="K1318" s="69" t="n">
        <x:f>IFERROR(I1318/H1318,"")</x:f>
        <x:v>24.357142857142858</x:v>
      </x:c>
      <x:c r="L1318" s="66" t="str">
        <x:f>IF(K1318="","","1 : "&amp;TEXT(K1318,"0.0"))</x:f>
        <x:v>1 : 24.4</x:v>
      </x:c>
      <x:c r="M1318" s="66" t="str">
        <x:f>IF(J1318="","Baru/Tanpa Data",IF(J1318&lt;='Catatan &amp; Sumber'!$B$14,"Sangat Ketat",IF(J1318&lt;='Catatan &amp; Sumber'!$B$15,"Ketat",IF(J1318&lt;='Catatan &amp; Sumber'!$B$16,"Sedang","Relatif Longgar"))))</x:f>
        <x:v>Ketat</x:v>
      </x:c>
      <x:c r="N1318" s="66" t="str">
        <x:v>Tidak Ada</x:v>
      </x:c>
      <x:c r="O1318" s="66" t="str">
        <x:v>Jakarta Raya</x:v>
      </x:c>
      <x:c r="P1318" s="66" t="str">
        <x:v>Kota Jakarta Pusat</x:v>
      </x:c>
      <x:c r="Q1318" s="66" t="str">
        <x:v>https://snpmb.id/snbp/daya-tampung-snbp</x:v>
      </x:c>
      <x:c r="R1318" s="66" t="str">
        <x:v>https://sidatagrun-public-1076756628210.asia-southeast2.run.app/ptn_sn.php?ptn=321</x:v>
      </x:c>
    </x:row>
    <x:row r="1319">
      <x:c r="A1319" s="87" t="n">
        <x:v>192</x:v>
      </x:c>
      <x:c r="B1319" s="66" t="n">
        <x:v>321</x:v>
      </x:c>
      <x:c r="C1319" s="66" t="str">
        <x:v>UNIVERSITAS INDONESIA</x:v>
      </x:c>
      <x:c r="D1319" s="66" t="str">
        <x:v>PTN Akademik</x:v>
      </x:c>
      <x:c r="E1319" s="66" t="str">
        <x:v>13211025</x:v>
      </x:c>
      <x:c r="F1319" s="66" t="str">
        <x:v>GIZI</x:v>
      </x:c>
      <x:c r="G1319" s="66" t="str">
        <x:v>Sarjana</x:v>
      </x:c>
      <x:c r="H1319" s="87" t="n">
        <x:v>13</x:v>
      </x:c>
      <x:c r="I1319" s="87" t="n">
        <x:v>355</x:v>
      </x:c>
      <x:c r="J1319" s="68" t="n">
        <x:f>IFERROR(H1319/I1319,"")</x:f>
        <x:v>0.036619718309859155</x:v>
      </x:c>
      <x:c r="K1319" s="69" t="n">
        <x:f>IFERROR(I1319/H1319,"")</x:f>
        <x:v>27.307692307692307</x:v>
      </x:c>
      <x:c r="L1319" s="66" t="str">
        <x:f>IF(K1319="","","1 : "&amp;TEXT(K1319,"0.0"))</x:f>
        <x:v>1 : 27.3</x:v>
      </x:c>
      <x:c r="M1319" s="66" t="str">
        <x:f>IF(J1319="","Baru/Tanpa Data",IF(J1319&lt;='Catatan &amp; Sumber'!$B$14,"Sangat Ketat",IF(J1319&lt;='Catatan &amp; Sumber'!$B$15,"Ketat",IF(J1319&lt;='Catatan &amp; Sumber'!$B$16,"Sedang","Relatif Longgar"))))</x:f>
        <x:v>Ketat</x:v>
      </x:c>
      <x:c r="N1319" s="66" t="str">
        <x:v>Tidak Ada</x:v>
      </x:c>
      <x:c r="O1319" s="66" t="str">
        <x:v>Jakarta Raya</x:v>
      </x:c>
      <x:c r="P1319" s="66" t="str">
        <x:v>Kota Jakarta Pusat</x:v>
      </x:c>
      <x:c r="Q1319" s="66" t="str">
        <x:v>https://snpmb.id/snbp/daya-tampung-snbp</x:v>
      </x:c>
      <x:c r="R1319" s="66" t="str">
        <x:v>https://sidatagrun-public-1076756628210.asia-southeast2.run.app/ptn_sn.php?ptn=321</x:v>
      </x:c>
    </x:row>
    <x:row r="1320">
      <x:c r="A1320" s="87" t="n">
        <x:v>632</x:v>
      </x:c>
      <x:c r="B1320" s="66" t="n">
        <x:v>321</x:v>
      </x:c>
      <x:c r="C1320" s="66" t="str">
        <x:v>UNIVERSITAS INDONESIA</x:v>
      </x:c>
      <x:c r="D1320" s="66" t="str">
        <x:v>PTN Akademik</x:v>
      </x:c>
      <x:c r="E1320" s="66" t="str">
        <x:v>13211026</x:v>
      </x:c>
      <x:c r="F1320" s="66" t="str">
        <x:v>KESEHATAN LINGKUNGAN</x:v>
      </x:c>
      <x:c r="G1320" s="66" t="str">
        <x:v>Sarjana</x:v>
      </x:c>
      <x:c r="H1320" s="87" t="n">
        <x:v>13</x:v>
      </x:c>
      <x:c r="I1320" s="87" t="n">
        <x:v>221</x:v>
      </x:c>
      <x:c r="J1320" s="68" t="n">
        <x:f>IFERROR(H1320/I1320,"")</x:f>
        <x:v>0.058823529411764705</x:v>
      </x:c>
      <x:c r="K1320" s="69" t="n">
        <x:f>IFERROR(I1320/H1320,"")</x:f>
        <x:v>17</x:v>
      </x:c>
      <x:c r="L1320" s="66" t="str">
        <x:f>IF(K1320="","","1 : "&amp;TEXT(K1320,"0.0"))</x:f>
        <x:v>1 : 17.0</x:v>
      </x:c>
      <x:c r="M1320" s="66" t="str">
        <x:f>IF(J1320="","Baru/Tanpa Data",IF(J1320&lt;='Catatan &amp; Sumber'!$B$14,"Sangat Ketat",IF(J1320&lt;='Catatan &amp; Sumber'!$B$15,"Ketat",IF(J1320&lt;='Catatan &amp; Sumber'!$B$16,"Sedang","Relatif Longgar"))))</x:f>
        <x:v>Sedang</x:v>
      </x:c>
      <x:c r="N1320" s="66" t="str">
        <x:v>Tidak Ada</x:v>
      </x:c>
      <x:c r="O1320" s="66" t="str">
        <x:v>Jakarta Raya</x:v>
      </x:c>
      <x:c r="P1320" s="66" t="str">
        <x:v>Kota Jakarta Pusat</x:v>
      </x:c>
      <x:c r="Q1320" s="66" t="str">
        <x:v>https://snpmb.id/snbp/daya-tampung-snbp</x:v>
      </x:c>
      <x:c r="R1320" s="66" t="str">
        <x:v>https://sidatagrun-public-1076756628210.asia-southeast2.run.app/ptn_sn.php?ptn=321</x:v>
      </x:c>
    </x:row>
    <x:row r="1321">
      <x:c r="A1321" s="87" t="n">
        <x:v>223</x:v>
      </x:c>
      <x:c r="B1321" s="66" t="n">
        <x:v>321</x:v>
      </x:c>
      <x:c r="C1321" s="66" t="str">
        <x:v>UNIVERSITAS INDONESIA</x:v>
      </x:c>
      <x:c r="D1321" s="66" t="str">
        <x:v>PTN Akademik</x:v>
      </x:c>
      <x:c r="E1321" s="66" t="str">
        <x:v>13211027</x:v>
      </x:c>
      <x:c r="F1321" s="66" t="str">
        <x:v>KESELAMATAN DAN KESEHATAN KERJA</x:v>
      </x:c>
      <x:c r="G1321" s="66" t="str">
        <x:v>Sarjana</x:v>
      </x:c>
      <x:c r="H1321" s="87" t="n">
        <x:v>18</x:v>
      </x:c>
      <x:c r="I1321" s="87" t="n">
        <x:v>475</x:v>
      </x:c>
      <x:c r="J1321" s="68" t="n">
        <x:f>IFERROR(H1321/I1321,"")</x:f>
        <x:v>0.037894736842105266</x:v>
      </x:c>
      <x:c r="K1321" s="69" t="n">
        <x:f>IFERROR(I1321/H1321,"")</x:f>
        <x:v>26.38888888888889</x:v>
      </x:c>
      <x:c r="L1321" s="66" t="str">
        <x:f>IF(K1321="","","1 : "&amp;TEXT(K1321,"0.0"))</x:f>
        <x:v>1 : 26.4</x:v>
      </x:c>
      <x:c r="M1321" s="66" t="str">
        <x:f>IF(J1321="","Baru/Tanpa Data",IF(J1321&lt;='Catatan &amp; Sumber'!$B$14,"Sangat Ketat",IF(J1321&lt;='Catatan &amp; Sumber'!$B$15,"Ketat",IF(J1321&lt;='Catatan &amp; Sumber'!$B$16,"Sedang","Relatif Longgar"))))</x:f>
        <x:v>Ketat</x:v>
      </x:c>
      <x:c r="N1321" s="66" t="str">
        <x:v>Tidak Ada</x:v>
      </x:c>
      <x:c r="O1321" s="66" t="str">
        <x:v>Jakarta Raya</x:v>
      </x:c>
      <x:c r="P1321" s="66" t="str">
        <x:v>Kota Jakarta Pusat</x:v>
      </x:c>
      <x:c r="Q1321" s="66" t="str">
        <x:v>https://snpmb.id/snbp/daya-tampung-snbp</x:v>
      </x:c>
      <x:c r="R1321" s="66" t="str">
        <x:v>https://sidatagrun-public-1076756628210.asia-southeast2.run.app/ptn_sn.php?ptn=321</x:v>
      </x:c>
    </x:row>
    <x:row r="1322">
      <x:c r="A1322" s="87" t="n">
        <x:v>747</x:v>
      </x:c>
      <x:c r="B1322" s="66" t="n">
        <x:v>321</x:v>
      </x:c>
      <x:c r="C1322" s="66" t="str">
        <x:v>UNIVERSITAS INDONESIA</x:v>
      </x:c>
      <x:c r="D1322" s="66" t="str">
        <x:v>PTN Akademik</x:v>
      </x:c>
      <x:c r="E1322" s="66" t="str">
        <x:v>13211028</x:v>
      </x:c>
      <x:c r="F1322" s="66" t="str">
        <x:v>GEOFISIKA</x:v>
      </x:c>
      <x:c r="G1322" s="66" t="str">
        <x:v>Sarjana</x:v>
      </x:c>
      <x:c r="H1322" s="87" t="n">
        <x:v>16</x:v>
      </x:c>
      <x:c r="I1322" s="87" t="n">
        <x:v>248</x:v>
      </x:c>
      <x:c r="J1322" s="68" t="n">
        <x:f>IFERROR(H1322/I1322,"")</x:f>
        <x:v>0.06451612903225806</x:v>
      </x:c>
      <x:c r="K1322" s="69" t="n">
        <x:f>IFERROR(I1322/H1322,"")</x:f>
        <x:v>15.5</x:v>
      </x:c>
      <x:c r="L1322" s="66" t="str">
        <x:f>IF(K1322="","","1 : "&amp;TEXT(K1322,"0.0"))</x:f>
        <x:v>1 : 15.5</x:v>
      </x:c>
      <x:c r="M1322" s="66" t="str">
        <x:f>IF(J1322="","Baru/Tanpa Data",IF(J1322&lt;='Catatan &amp; Sumber'!$B$14,"Sangat Ketat",IF(J1322&lt;='Catatan &amp; Sumber'!$B$15,"Ketat",IF(J1322&lt;='Catatan &amp; Sumber'!$B$16,"Sedang","Relatif Longgar"))))</x:f>
        <x:v>Sedang</x:v>
      </x:c>
      <x:c r="N1322" s="66" t="str">
        <x:v>Tidak Ada</x:v>
      </x:c>
      <x:c r="O1322" s="66" t="str">
        <x:v>Jakarta Raya</x:v>
      </x:c>
      <x:c r="P1322" s="66" t="str">
        <x:v>Kota Jakarta Pusat</x:v>
      </x:c>
      <x:c r="Q1322" s="66" t="str">
        <x:v>https://snpmb.id/snbp/daya-tampung-snbp</x:v>
      </x:c>
      <x:c r="R1322" s="66" t="str">
        <x:v>https://sidatagrun-public-1076756628210.asia-southeast2.run.app/ptn_sn.php?ptn=321</x:v>
      </x:c>
    </x:row>
    <x:row r="1323">
      <x:c r="A1323" s="87" t="n">
        <x:v>781</x:v>
      </x:c>
      <x:c r="B1323" s="66" t="n">
        <x:v>321</x:v>
      </x:c>
      <x:c r="C1323" s="66" t="str">
        <x:v>UNIVERSITAS INDONESIA</x:v>
      </x:c>
      <x:c r="D1323" s="66" t="str">
        <x:v>PTN Akademik</x:v>
      </x:c>
      <x:c r="E1323" s="66" t="str">
        <x:v>13211029</x:v>
      </x:c>
      <x:c r="F1323" s="66" t="str">
        <x:v>GEOLOGI</x:v>
      </x:c>
      <x:c r="G1323" s="66" t="str">
        <x:v>Sarjana</x:v>
      </x:c>
      <x:c r="H1323" s="87" t="n">
        <x:v>16</x:v>
      </x:c>
      <x:c r="I1323" s="87" t="n">
        <x:v>243</x:v>
      </x:c>
      <x:c r="J1323" s="68" t="n">
        <x:f>IFERROR(H1323/I1323,"")</x:f>
        <x:v>0.06584362139917696</x:v>
      </x:c>
      <x:c r="K1323" s="69" t="n">
        <x:f>IFERROR(I1323/H1323,"")</x:f>
        <x:v>15.1875</x:v>
      </x:c>
      <x:c r="L1323" s="66" t="str">
        <x:f>IF(K1323="","","1 : "&amp;TEXT(K1323,"0.0"))</x:f>
        <x:v>1 : 15.2</x:v>
      </x:c>
      <x:c r="M1323" s="66" t="str">
        <x:f>IF(J1323="","Baru/Tanpa Data",IF(J1323&lt;='Catatan &amp; Sumber'!$B$14,"Sangat Ketat",IF(J1323&lt;='Catatan &amp; Sumber'!$B$15,"Ketat",IF(J1323&lt;='Catatan &amp; Sumber'!$B$16,"Sedang","Relatif Longgar"))))</x:f>
        <x:v>Sedang</x:v>
      </x:c>
      <x:c r="N1323" s="66" t="str">
        <x:v>Tidak Ada</x:v>
      </x:c>
      <x:c r="O1323" s="66" t="str">
        <x:v>Jakarta Raya</x:v>
      </x:c>
      <x:c r="P1323" s="66" t="str">
        <x:v>Kota Jakarta Pusat</x:v>
      </x:c>
      <x:c r="Q1323" s="66" t="str">
        <x:v>https://snpmb.id/snbp/daya-tampung-snbp</x:v>
      </x:c>
      <x:c r="R1323" s="66" t="str">
        <x:v>https://sidatagrun-public-1076756628210.asia-southeast2.run.app/ptn_sn.php?ptn=321</x:v>
      </x:c>
    </x:row>
    <x:row r="1324">
      <x:c r="A1324" s="87" t="n">
        <x:v>562</x:v>
      </x:c>
      <x:c r="B1324" s="66" t="n">
        <x:v>321</x:v>
      </x:c>
      <x:c r="C1324" s="66" t="str">
        <x:v>UNIVERSITAS INDONESIA</x:v>
      </x:c>
      <x:c r="D1324" s="66" t="str">
        <x:v>PTN Akademik</x:v>
      </x:c>
      <x:c r="E1324" s="66" t="str">
        <x:v>13211030</x:v>
      </x:c>
      <x:c r="F1324" s="66" t="str">
        <x:v>STATISTIKA</x:v>
      </x:c>
      <x:c r="G1324" s="66" t="str">
        <x:v>Sarjana</x:v>
      </x:c>
      <x:c r="H1324" s="87" t="n">
        <x:v>16</x:v>
      </x:c>
      <x:c r="I1324" s="87" t="n">
        <x:v>293</x:v>
      </x:c>
      <x:c r="J1324" s="68" t="n">
        <x:f>IFERROR(H1324/I1324,"")</x:f>
        <x:v>0.05460750853242321</x:v>
      </x:c>
      <x:c r="K1324" s="69" t="n">
        <x:f>IFERROR(I1324/H1324,"")</x:f>
        <x:v>18.3125</x:v>
      </x:c>
      <x:c r="L1324" s="66" t="str">
        <x:f>IF(K1324="","","1 : "&amp;TEXT(K1324,"0.0"))</x:f>
        <x:v>1 : 18.3</x:v>
      </x:c>
      <x:c r="M1324" s="66" t="str">
        <x:f>IF(J1324="","Baru/Tanpa Data",IF(J1324&lt;='Catatan &amp; Sumber'!$B$14,"Sangat Ketat",IF(J1324&lt;='Catatan &amp; Sumber'!$B$15,"Ketat",IF(J1324&lt;='Catatan &amp; Sumber'!$B$16,"Sedang","Relatif Longgar"))))</x:f>
        <x:v>Sedang</x:v>
      </x:c>
      <x:c r="N1324" s="66" t="str">
        <x:v>Tidak Ada</x:v>
      </x:c>
      <x:c r="O1324" s="66" t="str">
        <x:v>Jakarta Raya</x:v>
      </x:c>
      <x:c r="P1324" s="66" t="str">
        <x:v>Kota Jakarta Pusat</x:v>
      </x:c>
      <x:c r="Q1324" s="66" t="str">
        <x:v>https://snpmb.id/snbp/daya-tampung-snbp</x:v>
      </x:c>
      <x:c r="R1324" s="66" t="str">
        <x:v>https://sidatagrun-public-1076756628210.asia-southeast2.run.app/ptn_sn.php?ptn=321</x:v>
      </x:c>
    </x:row>
    <x:row r="1325">
      <x:c r="A1325" s="87" t="n">
        <x:v>299</x:v>
      </x:c>
      <x:c r="B1325" s="66" t="n">
        <x:v>321</x:v>
      </x:c>
      <x:c r="C1325" s="66" t="str">
        <x:v>UNIVERSITAS INDONESIA</x:v>
      </x:c>
      <x:c r="D1325" s="66" t="str">
        <x:v>PTN Akademik</x:v>
      </x:c>
      <x:c r="E1325" s="66" t="str">
        <x:v>13211031</x:v>
      </x:c>
      <x:c r="F1325" s="66" t="str">
        <x:v>AKTUARIA</x:v>
      </x:c>
      <x:c r="G1325" s="66" t="str">
        <x:v>Sarjana</x:v>
      </x:c>
      <x:c r="H1325" s="87" t="n">
        <x:v>16</x:v>
      </x:c>
      <x:c r="I1325" s="87" t="n">
        <x:v>376</x:v>
      </x:c>
      <x:c r="J1325" s="68" t="n">
        <x:f>IFERROR(H1325/I1325,"")</x:f>
        <x:v>0.0425531914893617</x:v>
      </x:c>
      <x:c r="K1325" s="69" t="n">
        <x:f>IFERROR(I1325/H1325,"")</x:f>
        <x:v>23.5</x:v>
      </x:c>
      <x:c r="L1325" s="66" t="str">
        <x:f>IF(K1325="","","1 : "&amp;TEXT(K1325,"0.0"))</x:f>
        <x:v>1 : 23.5</x:v>
      </x:c>
      <x:c r="M1325" s="66" t="str">
        <x:f>IF(J1325="","Baru/Tanpa Data",IF(J1325&lt;='Catatan &amp; Sumber'!$B$14,"Sangat Ketat",IF(J1325&lt;='Catatan &amp; Sumber'!$B$15,"Ketat",IF(J1325&lt;='Catatan &amp; Sumber'!$B$16,"Sedang","Relatif Longgar"))))</x:f>
        <x:v>Ketat</x:v>
      </x:c>
      <x:c r="N1325" s="66" t="str">
        <x:v>Tidak Ada</x:v>
      </x:c>
      <x:c r="O1325" s="66" t="str">
        <x:v>Jakarta Raya</x:v>
      </x:c>
      <x:c r="P1325" s="66" t="str">
        <x:v>Kota Jakarta Pusat</x:v>
      </x:c>
      <x:c r="Q1325" s="66" t="str">
        <x:v>https://snpmb.id/snbp/daya-tampung-snbp</x:v>
      </x:c>
      <x:c r="R1325" s="66" t="str">
        <x:v>https://sidatagrun-public-1076756628210.asia-southeast2.run.app/ptn_sn.php?ptn=321</x:v>
      </x:c>
    </x:row>
    <x:row r="1326">
      <x:c r="A1326" s="87" t="n">
        <x:v>230</x:v>
      </x:c>
      <x:c r="B1326" s="66" t="n">
        <x:v>321</x:v>
      </x:c>
      <x:c r="C1326" s="66" t="str">
        <x:v>UNIVERSITAS INDONESIA</x:v>
      </x:c>
      <x:c r="D1326" s="66" t="str">
        <x:v>PTN Akademik</x:v>
      </x:c>
      <x:c r="E1326" s="66" t="str">
        <x:v>13211032</x:v>
      </x:c>
      <x:c r="F1326" s="66" t="str">
        <x:v>TEKNIK BIOMEDIS</x:v>
      </x:c>
      <x:c r="G1326" s="66" t="str">
        <x:v>Sarjana</x:v>
      </x:c>
      <x:c r="H1326" s="87" t="n">
        <x:v>10</x:v>
      </x:c>
      <x:c r="I1326" s="87" t="n">
        <x:v>261</x:v>
      </x:c>
      <x:c r="J1326" s="68" t="n">
        <x:f>IFERROR(H1326/I1326,"")</x:f>
        <x:v>0.038314176245210725</x:v>
      </x:c>
      <x:c r="K1326" s="69" t="n">
        <x:f>IFERROR(I1326/H1326,"")</x:f>
        <x:v>26.1</x:v>
      </x:c>
      <x:c r="L1326" s="66" t="str">
        <x:f>IF(K1326="","","1 : "&amp;TEXT(K1326,"0.0"))</x:f>
        <x:v>1 : 26.1</x:v>
      </x:c>
      <x:c r="M1326" s="66" t="str">
        <x:f>IF(J1326="","Baru/Tanpa Data",IF(J1326&lt;='Catatan &amp; Sumber'!$B$14,"Sangat Ketat",IF(J1326&lt;='Catatan &amp; Sumber'!$B$15,"Ketat",IF(J1326&lt;='Catatan &amp; Sumber'!$B$16,"Sedang","Relatif Longgar"))))</x:f>
        <x:v>Ketat</x:v>
      </x:c>
      <x:c r="N1326" s="66" t="str">
        <x:v>Tidak Ada</x:v>
      </x:c>
      <x:c r="O1326" s="66" t="str">
        <x:v>Jakarta Raya</x:v>
      </x:c>
      <x:c r="P1326" s="66" t="str">
        <x:v>Kota Jakarta Pusat</x:v>
      </x:c>
      <x:c r="Q1326" s="66" t="str">
        <x:v>https://snpmb.id/snbp/daya-tampung-snbp</x:v>
      </x:c>
      <x:c r="R1326" s="66" t="str">
        <x:v>https://sidatagrun-public-1076756628210.asia-southeast2.run.app/ptn_sn.php?ptn=321</x:v>
      </x:c>
    </x:row>
    <x:row r="1327">
      <x:c r="A1327" s="87" t="n">
        <x:v>732</x:v>
      </x:c>
      <x:c r="B1327" s="66" t="n">
        <x:v>321</x:v>
      </x:c>
      <x:c r="C1327" s="66" t="str">
        <x:v>UNIVERSITAS INDONESIA</x:v>
      </x:c>
      <x:c r="D1327" s="66" t="str">
        <x:v>PTN Akademik</x:v>
      </x:c>
      <x:c r="E1327" s="66" t="str">
        <x:v>13211033</x:v>
      </x:c>
      <x:c r="F1327" s="66" t="str">
        <x:v>ILMU HUKUM</x:v>
      </x:c>
      <x:c r="G1327" s="66" t="str">
        <x:v>Sarjana</x:v>
      </x:c>
      <x:c r="H1327" s="87" t="n">
        <x:v>114</x:v>
      </x:c>
      <x:c r="I1327" s="87" t="n">
        <x:v>1787</x:v>
      </x:c>
      <x:c r="J1327" s="68" t="n">
        <x:f>IFERROR(H1327/I1327,"")</x:f>
        <x:v>0.063794068270845</x:v>
      </x:c>
      <x:c r="K1327" s="69" t="n">
        <x:f>IFERROR(I1327/H1327,"")</x:f>
        <x:v>15.675438596491228</x:v>
      </x:c>
      <x:c r="L1327" s="66" t="str">
        <x:f>IF(K1327="","","1 : "&amp;TEXT(K1327,"0.0"))</x:f>
        <x:v>1 : 15.7</x:v>
      </x:c>
      <x:c r="M1327" s="66" t="str">
        <x:f>IF(J1327="","Baru/Tanpa Data",IF(J1327&lt;='Catatan &amp; Sumber'!$B$14,"Sangat Ketat",IF(J1327&lt;='Catatan &amp; Sumber'!$B$15,"Ketat",IF(J1327&lt;='Catatan &amp; Sumber'!$B$16,"Sedang","Relatif Longgar"))))</x:f>
        <x:v>Sedang</x:v>
      </x:c>
      <x:c r="N1327" s="66" t="str">
        <x:v>Tidak Ada</x:v>
      </x:c>
      <x:c r="O1327" s="66" t="str">
        <x:v>Jakarta Raya</x:v>
      </x:c>
      <x:c r="P1327" s="66" t="str">
        <x:v>Kota Jakarta Pusat</x:v>
      </x:c>
      <x:c r="Q1327" s="66" t="str">
        <x:v>https://snpmb.id/snbp/daya-tampung-snbp</x:v>
      </x:c>
      <x:c r="R1327" s="66" t="str">
        <x:v>https://sidatagrun-public-1076756628210.asia-southeast2.run.app/ptn_sn.php?ptn=321</x:v>
      </x:c>
    </x:row>
    <x:row r="1328">
      <x:c r="A1328" s="87" t="n">
        <x:v>1259</x:v>
      </x:c>
      <x:c r="B1328" s="66" t="n">
        <x:v>321</x:v>
      </x:c>
      <x:c r="C1328" s="66" t="str">
        <x:v>UNIVERSITAS INDONESIA</x:v>
      </x:c>
      <x:c r="D1328" s="66" t="str">
        <x:v>PTN Akademik</x:v>
      </x:c>
      <x:c r="E1328" s="66" t="str">
        <x:v>13211034</x:v>
      </x:c>
      <x:c r="F1328" s="66" t="str">
        <x:v>ARKEOLOGI INDONESIA</x:v>
      </x:c>
      <x:c r="G1328" s="66" t="str">
        <x:v>Sarjana</x:v>
      </x:c>
      <x:c r="H1328" s="87" t="n">
        <x:v>16</x:v>
      </x:c>
      <x:c r="I1328" s="87" t="n">
        <x:v>171</x:v>
      </x:c>
      <x:c r="J1328" s="68" t="n">
        <x:f>IFERROR(H1328/I1328,"")</x:f>
        <x:v>0.0935672514619883</x:v>
      </x:c>
      <x:c r="K1328" s="69" t="n">
        <x:f>IFERROR(I1328/H1328,"")</x:f>
        <x:v>10.6875</x:v>
      </x:c>
      <x:c r="L1328" s="66" t="str">
        <x:f>IF(K1328="","","1 : "&amp;TEXT(K1328,"0.0"))</x:f>
        <x:v>1 : 10.7</x:v>
      </x:c>
      <x:c r="M1328" s="66" t="str">
        <x:f>IF(J1328="","Baru/Tanpa Data",IF(J1328&lt;='Catatan &amp; Sumber'!$B$14,"Sangat Ketat",IF(J1328&lt;='Catatan &amp; Sumber'!$B$15,"Ketat",IF(J1328&lt;='Catatan &amp; Sumber'!$B$16,"Sedang","Relatif Longgar"))))</x:f>
        <x:v>Sedang</x:v>
      </x:c>
      <x:c r="N1328" s="66" t="str">
        <x:v>Tidak Ada</x:v>
      </x:c>
      <x:c r="O1328" s="66" t="str">
        <x:v>Jakarta Raya</x:v>
      </x:c>
      <x:c r="P1328" s="66" t="str">
        <x:v>Kota Jakarta Pusat</x:v>
      </x:c>
      <x:c r="Q1328" s="66" t="str">
        <x:v>https://snpmb.id/snbp/daya-tampung-snbp</x:v>
      </x:c>
      <x:c r="R1328" s="66" t="str">
        <x:v>https://sidatagrun-public-1076756628210.asia-southeast2.run.app/ptn_sn.php?ptn=321</x:v>
      </x:c>
    </x:row>
    <x:row r="1329">
      <x:c r="A1329" s="87" t="n">
        <x:v>1326</x:v>
      </x:c>
      <x:c r="B1329" s="66" t="n">
        <x:v>321</x:v>
      </x:c>
      <x:c r="C1329" s="66" t="str">
        <x:v>UNIVERSITAS INDONESIA</x:v>
      </x:c>
      <x:c r="D1329" s="66" t="str">
        <x:v>PTN Akademik</x:v>
      </x:c>
      <x:c r="E1329" s="66" t="str">
        <x:v>13211035</x:v>
      </x:c>
      <x:c r="F1329" s="66" t="str">
        <x:v>ILMU SEJARAH</x:v>
      </x:c>
      <x:c r="G1329" s="66" t="str">
        <x:v>Sarjana</x:v>
      </x:c>
      <x:c r="H1329" s="87" t="n">
        <x:v>16</x:v>
      </x:c>
      <x:c r="I1329" s="87" t="n">
        <x:v>165</x:v>
      </x:c>
      <x:c r="J1329" s="68" t="n">
        <x:f>IFERROR(H1329/I1329,"")</x:f>
        <x:v>0.09696969696969697</x:v>
      </x:c>
      <x:c r="K1329" s="69" t="n">
        <x:f>IFERROR(I1329/H1329,"")</x:f>
        <x:v>10.3125</x:v>
      </x:c>
      <x:c r="L1329" s="66" t="str">
        <x:f>IF(K1329="","","1 : "&amp;TEXT(K1329,"0.0"))</x:f>
        <x:v>1 : 10.3</x:v>
      </x:c>
      <x:c r="M1329" s="66" t="str">
        <x:f>IF(J1329="","Baru/Tanpa Data",IF(J1329&lt;='Catatan &amp; Sumber'!$B$14,"Sangat Ketat",IF(J1329&lt;='Catatan &amp; Sumber'!$B$15,"Ketat",IF(J1329&lt;='Catatan &amp; Sumber'!$B$16,"Sedang","Relatif Longgar"))))</x:f>
        <x:v>Sedang</x:v>
      </x:c>
      <x:c r="N1329" s="66" t="str">
        <x:v>Tidak Ada</x:v>
      </x:c>
      <x:c r="O1329" s="66" t="str">
        <x:v>Jakarta Raya</x:v>
      </x:c>
      <x:c r="P1329" s="66" t="str">
        <x:v>Kota Jakarta Pusat</x:v>
      </x:c>
      <x:c r="Q1329" s="66" t="str">
        <x:v>https://snpmb.id/snbp/daya-tampung-snbp</x:v>
      </x:c>
      <x:c r="R1329" s="66" t="str">
        <x:v>https://sidatagrun-public-1076756628210.asia-southeast2.run.app/ptn_sn.php?ptn=321</x:v>
      </x:c>
    </x:row>
    <x:row r="1330">
      <x:c r="A1330" s="87" t="n">
        <x:v>485</x:v>
      </x:c>
      <x:c r="B1330" s="66" t="n">
        <x:v>321</x:v>
      </x:c>
      <x:c r="C1330" s="66" t="str">
        <x:v>UNIVERSITAS INDONESIA</x:v>
      </x:c>
      <x:c r="D1330" s="66" t="str">
        <x:v>PTN Akademik</x:v>
      </x:c>
      <x:c r="E1330" s="66" t="str">
        <x:v>13211036</x:v>
      </x:c>
      <x:c r="F1330" s="66" t="str">
        <x:v>ILMU PSIKOLOGI</x:v>
      </x:c>
      <x:c r="G1330" s="66" t="str">
        <x:v>Sarjana</x:v>
      </x:c>
      <x:c r="H1330" s="87" t="n">
        <x:v>66</x:v>
      </x:c>
      <x:c r="I1330" s="87" t="n">
        <x:v>1307</x:v>
      </x:c>
      <x:c r="J1330" s="68" t="n">
        <x:f>IFERROR(H1330/I1330,"")</x:f>
        <x:v>0.0504973221117062</x:v>
      </x:c>
      <x:c r="K1330" s="69" t="n">
        <x:f>IFERROR(I1330/H1330,"")</x:f>
        <x:v>19.803030303030305</x:v>
      </x:c>
      <x:c r="L1330" s="66" t="str">
        <x:f>IF(K1330="","","1 : "&amp;TEXT(K1330,"0.0"))</x:f>
        <x:v>1 : 19.8</x:v>
      </x:c>
      <x:c r="M1330" s="66" t="str">
        <x:f>IF(J1330="","Baru/Tanpa Data",IF(J1330&lt;='Catatan &amp; Sumber'!$B$14,"Sangat Ketat",IF(J1330&lt;='Catatan &amp; Sumber'!$B$15,"Ketat",IF(J1330&lt;='Catatan &amp; Sumber'!$B$16,"Sedang","Relatif Longgar"))))</x:f>
        <x:v>Sedang</x:v>
      </x:c>
      <x:c r="N1330" s="66" t="str">
        <x:v>Tidak Ada</x:v>
      </x:c>
      <x:c r="O1330" s="66" t="str">
        <x:v>Jakarta Raya</x:v>
      </x:c>
      <x:c r="P1330" s="66" t="str">
        <x:v>Kota Jakarta Pusat</x:v>
      </x:c>
      <x:c r="Q1330" s="66" t="str">
        <x:v>https://snpmb.id/snbp/daya-tampung-snbp</x:v>
      </x:c>
      <x:c r="R1330" s="66" t="str">
        <x:v>https://sidatagrun-public-1076756628210.asia-southeast2.run.app/ptn_sn.php?ptn=321</x:v>
      </x:c>
    </x:row>
    <x:row r="1331">
      <x:c r="A1331" s="87" t="n">
        <x:v>118</x:v>
      </x:c>
      <x:c r="B1331" s="66" t="n">
        <x:v>321</x:v>
      </x:c>
      <x:c r="C1331" s="66" t="str">
        <x:v>UNIVERSITAS INDONESIA</x:v>
      </x:c>
      <x:c r="D1331" s="66" t="str">
        <x:v>PTN Akademik</x:v>
      </x:c>
      <x:c r="E1331" s="66" t="str">
        <x:v>13211037</x:v>
      </x:c>
      <x:c r="F1331" s="66" t="str">
        <x:v>ILMU KOMUNIKASI</x:v>
      </x:c>
      <x:c r="G1331" s="66" t="str">
        <x:v>Sarjana</x:v>
      </x:c>
      <x:c r="H1331" s="87" t="n">
        <x:v>33</x:v>
      </x:c>
      <x:c r="I1331" s="87" t="n">
        <x:v>1080</x:v>
      </x:c>
      <x:c r="J1331" s="68" t="n">
        <x:f>IFERROR(H1331/I1331,"")</x:f>
        <x:v>0.030555555555555555</x:v>
      </x:c>
      <x:c r="K1331" s="69" t="n">
        <x:f>IFERROR(I1331/H1331,"")</x:f>
        <x:v>32.72727272727273</x:v>
      </x:c>
      <x:c r="L1331" s="66" t="str">
        <x:f>IF(K1331="","","1 : "&amp;TEXT(K1331,"0.0"))</x:f>
        <x:v>1 : 32.7</x:v>
      </x:c>
      <x:c r="M1331" s="66" t="str">
        <x:f>IF(J1331="","Baru/Tanpa Data",IF(J1331&lt;='Catatan &amp; Sumber'!$B$14,"Sangat Ketat",IF(J1331&lt;='Catatan &amp; Sumber'!$B$15,"Ketat",IF(J1331&lt;='Catatan &amp; Sumber'!$B$16,"Sedang","Relatif Longgar"))))</x:f>
        <x:v>Ketat</x:v>
      </x:c>
      <x:c r="N1331" s="66" t="str">
        <x:v>Tidak Ada</x:v>
      </x:c>
      <x:c r="O1331" s="66" t="str">
        <x:v>Jakarta Raya</x:v>
      </x:c>
      <x:c r="P1331" s="66" t="str">
        <x:v>Kota Jakarta Pusat</x:v>
      </x:c>
      <x:c r="Q1331" s="66" t="str">
        <x:v>https://snpmb.id/snbp/daya-tampung-snbp</x:v>
      </x:c>
      <x:c r="R1331" s="66" t="str">
        <x:v>https://sidatagrun-public-1076756628210.asia-southeast2.run.app/ptn_sn.php?ptn=321</x:v>
      </x:c>
    </x:row>
    <x:row r="1332">
      <x:c r="A1332" s="87" t="n">
        <x:v>618</x:v>
      </x:c>
      <x:c r="B1332" s="66" t="n">
        <x:v>321</x:v>
      </x:c>
      <x:c r="C1332" s="66" t="str">
        <x:v>UNIVERSITAS INDONESIA</x:v>
      </x:c>
      <x:c r="D1332" s="66" t="str">
        <x:v>PTN Akademik</x:v>
      </x:c>
      <x:c r="E1332" s="66" t="str">
        <x:v>13211038</x:v>
      </x:c>
      <x:c r="F1332" s="66" t="str">
        <x:v>ILMU POLITIK</x:v>
      </x:c>
      <x:c r="G1332" s="66" t="str">
        <x:v>Sarjana</x:v>
      </x:c>
      <x:c r="H1332" s="87" t="n">
        <x:v>16</x:v>
      </x:c>
      <x:c r="I1332" s="87" t="n">
        <x:v>274</x:v>
      </x:c>
      <x:c r="J1332" s="68" t="n">
        <x:f>IFERROR(H1332/I1332,"")</x:f>
        <x:v>0.058394160583941604</x:v>
      </x:c>
      <x:c r="K1332" s="69" t="n">
        <x:f>IFERROR(I1332/H1332,"")</x:f>
        <x:v>17.125</x:v>
      </x:c>
      <x:c r="L1332" s="66" t="str">
        <x:f>IF(K1332="","","1 : "&amp;TEXT(K1332,"0.0"))</x:f>
        <x:v>1 : 17.1</x:v>
      </x:c>
      <x:c r="M1332" s="66" t="str">
        <x:f>IF(J1332="","Baru/Tanpa Data",IF(J1332&lt;='Catatan &amp; Sumber'!$B$14,"Sangat Ketat",IF(J1332&lt;='Catatan &amp; Sumber'!$B$15,"Ketat",IF(J1332&lt;='Catatan &amp; Sumber'!$B$16,"Sedang","Relatif Longgar"))))</x:f>
        <x:v>Sedang</x:v>
      </x:c>
      <x:c r="N1332" s="66" t="str">
        <x:v>Tidak Ada</x:v>
      </x:c>
      <x:c r="O1332" s="66" t="str">
        <x:v>Jakarta Raya</x:v>
      </x:c>
      <x:c r="P1332" s="66" t="str">
        <x:v>Kota Jakarta Pusat</x:v>
      </x:c>
      <x:c r="Q1332" s="66" t="str">
        <x:v>https://snpmb.id/snbp/daya-tampung-snbp</x:v>
      </x:c>
      <x:c r="R1332" s="66" t="str">
        <x:v>https://sidatagrun-public-1076756628210.asia-southeast2.run.app/ptn_sn.php?ptn=321</x:v>
      </x:c>
    </x:row>
    <x:row r="1333">
      <x:c r="A1333" s="87" t="n">
        <x:v>791</x:v>
      </x:c>
      <x:c r="B1333" s="66" t="n">
        <x:v>321</x:v>
      </x:c>
      <x:c r="C1333" s="66" t="str">
        <x:v>UNIVERSITAS INDONESIA</x:v>
      </x:c>
      <x:c r="D1333" s="66" t="str">
        <x:v>PTN Akademik</x:v>
      </x:c>
      <x:c r="E1333" s="66" t="str">
        <x:v>13211039</x:v>
      </x:c>
      <x:c r="F1333" s="66" t="str">
        <x:v>ILMU ADMINISTRASI NEGARA</x:v>
      </x:c>
      <x:c r="G1333" s="66" t="str">
        <x:v>Sarjana</x:v>
      </x:c>
      <x:c r="H1333" s="87" t="n">
        <x:v>33</x:v>
      </x:c>
      <x:c r="I1333" s="87" t="n">
        <x:v>498</x:v>
      </x:c>
      <x:c r="J1333" s="68" t="n">
        <x:f>IFERROR(H1333/I1333,"")</x:f>
        <x:v>0.06626506024096386</x:v>
      </x:c>
      <x:c r="K1333" s="69" t="n">
        <x:f>IFERROR(I1333/H1333,"")</x:f>
        <x:v>15.090909090909092</x:v>
      </x:c>
      <x:c r="L1333" s="66" t="str">
        <x:f>IF(K1333="","","1 : "&amp;TEXT(K1333,"0.0"))</x:f>
        <x:v>1 : 15.1</x:v>
      </x:c>
      <x:c r="M1333" s="66" t="str">
        <x:f>IF(J1333="","Baru/Tanpa Data",IF(J1333&lt;='Catatan &amp; Sumber'!$B$14,"Sangat Ketat",IF(J1333&lt;='Catatan &amp; Sumber'!$B$15,"Ketat",IF(J1333&lt;='Catatan &amp; Sumber'!$B$16,"Sedang","Relatif Longgar"))))</x:f>
        <x:v>Sedang</x:v>
      </x:c>
      <x:c r="N1333" s="66" t="str">
        <x:v>Tidak Ada</x:v>
      </x:c>
      <x:c r="O1333" s="66" t="str">
        <x:v>Jakarta Raya</x:v>
      </x:c>
      <x:c r="P1333" s="66" t="str">
        <x:v>Kota Jakarta Pusat</x:v>
      </x:c>
      <x:c r="Q1333" s="66" t="str">
        <x:v>https://snpmb.id/snbp/daya-tampung-snbp</x:v>
      </x:c>
      <x:c r="R1333" s="66" t="str">
        <x:v>https://sidatagrun-public-1076756628210.asia-southeast2.run.app/ptn_sn.php?ptn=321</x:v>
      </x:c>
    </x:row>
    <x:row r="1334">
      <x:c r="A1334" s="87" t="n">
        <x:v>52</x:v>
      </x:c>
      <x:c r="B1334" s="66" t="n">
        <x:v>321</x:v>
      </x:c>
      <x:c r="C1334" s="66" t="str">
        <x:v>UNIVERSITAS INDONESIA</x:v>
      </x:c>
      <x:c r="D1334" s="66" t="str">
        <x:v>PTN Akademik</x:v>
      </x:c>
      <x:c r="E1334" s="66" t="str">
        <x:v>13211040</x:v>
      </x:c>
      <x:c r="F1334" s="66" t="str">
        <x:v>KRIMINOLOGI</x:v>
      </x:c>
      <x:c r="G1334" s="66" t="str">
        <x:v>Sarjana</x:v>
      </x:c>
      <x:c r="H1334" s="87" t="n">
        <x:v>15</x:v>
      </x:c>
      <x:c r="I1334" s="87" t="n">
        <x:v>641</x:v>
      </x:c>
      <x:c r="J1334" s="68" t="n">
        <x:f>IFERROR(H1334/I1334,"")</x:f>
        <x:v>0.0234009360374415</x:v>
      </x:c>
      <x:c r="K1334" s="69" t="n">
        <x:f>IFERROR(I1334/H1334,"")</x:f>
        <x:v>42.733333333333334</x:v>
      </x:c>
      <x:c r="L1334" s="66" t="str">
        <x:f>IF(K1334="","","1 : "&amp;TEXT(K1334,"0.0"))</x:f>
        <x:v>1 : 42.7</x:v>
      </x:c>
      <x:c r="M1334" s="66" t="str">
        <x:f>IF(J1334="","Baru/Tanpa Data",IF(J1334&lt;='Catatan &amp; Sumber'!$B$14,"Sangat Ketat",IF(J1334&lt;='Catatan &amp; Sumber'!$B$15,"Ketat",IF(J1334&lt;='Catatan &amp; Sumber'!$B$16,"Sedang","Relatif Longgar"))))</x:f>
        <x:v>Ketat</x:v>
      </x:c>
      <x:c r="N1334" s="66" t="str">
        <x:v>Tidak Ada</x:v>
      </x:c>
      <x:c r="O1334" s="66" t="str">
        <x:v>Jakarta Raya</x:v>
      </x:c>
      <x:c r="P1334" s="66" t="str">
        <x:v>Kota Jakarta Pusat</x:v>
      </x:c>
      <x:c r="Q1334" s="66" t="str">
        <x:v>https://snpmb.id/snbp/daya-tampung-snbp</x:v>
      </x:c>
      <x:c r="R1334" s="66" t="str">
        <x:v>https://sidatagrun-public-1076756628210.asia-southeast2.run.app/ptn_sn.php?ptn=321</x:v>
      </x:c>
    </x:row>
    <x:row r="1335">
      <x:c r="A1335" s="87" t="n">
        <x:v>557</x:v>
      </x:c>
      <x:c r="B1335" s="66" t="n">
        <x:v>321</x:v>
      </x:c>
      <x:c r="C1335" s="66" t="str">
        <x:v>UNIVERSITAS INDONESIA</x:v>
      </x:c>
      <x:c r="D1335" s="66" t="str">
        <x:v>PTN Akademik</x:v>
      </x:c>
      <x:c r="E1335" s="66" t="str">
        <x:v>13211041</x:v>
      </x:c>
      <x:c r="F1335" s="66" t="str">
        <x:v>SOSIOLOGI</x:v>
      </x:c>
      <x:c r="G1335" s="66" t="str">
        <x:v>Sarjana</x:v>
      </x:c>
      <x:c r="H1335" s="87" t="n">
        <x:v>16</x:v>
      </x:c>
      <x:c r="I1335" s="87" t="n">
        <x:v>294</x:v>
      </x:c>
      <x:c r="J1335" s="68" t="n">
        <x:f>IFERROR(H1335/I1335,"")</x:f>
        <x:v>0.05442176870748299</x:v>
      </x:c>
      <x:c r="K1335" s="69" t="n">
        <x:f>IFERROR(I1335/H1335,"")</x:f>
        <x:v>18.375</x:v>
      </x:c>
      <x:c r="L1335" s="66" t="str">
        <x:f>IF(K1335="","","1 : "&amp;TEXT(K1335,"0.0"))</x:f>
        <x:v>1 : 18.4</x:v>
      </x:c>
      <x:c r="M1335" s="66" t="str">
        <x:f>IF(J1335="","Baru/Tanpa Data",IF(J1335&lt;='Catatan &amp; Sumber'!$B$14,"Sangat Ketat",IF(J1335&lt;='Catatan &amp; Sumber'!$B$15,"Ketat",IF(J1335&lt;='Catatan &amp; Sumber'!$B$16,"Sedang","Relatif Longgar"))))</x:f>
        <x:v>Sedang</x:v>
      </x:c>
      <x:c r="N1335" s="66" t="str">
        <x:v>Tidak Ada</x:v>
      </x:c>
      <x:c r="O1335" s="66" t="str">
        <x:v>Jakarta Raya</x:v>
      </x:c>
      <x:c r="P1335" s="66" t="str">
        <x:v>Kota Jakarta Pusat</x:v>
      </x:c>
      <x:c r="Q1335" s="66" t="str">
        <x:v>https://snpmb.id/snbp/daya-tampung-snbp</x:v>
      </x:c>
      <x:c r="R1335" s="66" t="str">
        <x:v>https://sidatagrun-public-1076756628210.asia-southeast2.run.app/ptn_sn.php?ptn=321</x:v>
      </x:c>
    </x:row>
    <x:row r="1336">
      <x:c r="A1336" s="87" t="n">
        <x:v>607</x:v>
      </x:c>
      <x:c r="B1336" s="66" t="n">
        <x:v>321</x:v>
      </x:c>
      <x:c r="C1336" s="66" t="str">
        <x:v>UNIVERSITAS INDONESIA</x:v>
      </x:c>
      <x:c r="D1336" s="66" t="str">
        <x:v>PTN Akademik</x:v>
      </x:c>
      <x:c r="E1336" s="66" t="str">
        <x:v>13211042</x:v>
      </x:c>
      <x:c r="F1336" s="66" t="str">
        <x:v>ILMU KESEJAHTERAAN SOSIAL</x:v>
      </x:c>
      <x:c r="G1336" s="66" t="str">
        <x:v>Sarjana</x:v>
      </x:c>
      <x:c r="H1336" s="87" t="n">
        <x:v>16</x:v>
      </x:c>
      <x:c r="I1336" s="87" t="n">
        <x:v>277</x:v>
      </x:c>
      <x:c r="J1336" s="68" t="n">
        <x:f>IFERROR(H1336/I1336,"")</x:f>
        <x:v>0.05776173285198556</x:v>
      </x:c>
      <x:c r="K1336" s="69" t="n">
        <x:f>IFERROR(I1336/H1336,"")</x:f>
        <x:v>17.3125</x:v>
      </x:c>
      <x:c r="L1336" s="66" t="str">
        <x:f>IF(K1336="","","1 : "&amp;TEXT(K1336,"0.0"))</x:f>
        <x:v>1 : 17.3</x:v>
      </x:c>
      <x:c r="M1336" s="66" t="str">
        <x:f>IF(J1336="","Baru/Tanpa Data",IF(J1336&lt;='Catatan &amp; Sumber'!$B$14,"Sangat Ketat",IF(J1336&lt;='Catatan &amp; Sumber'!$B$15,"Ketat",IF(J1336&lt;='Catatan &amp; Sumber'!$B$16,"Sedang","Relatif Longgar"))))</x:f>
        <x:v>Sedang</x:v>
      </x:c>
      <x:c r="N1336" s="66" t="str">
        <x:v>Tidak Ada</x:v>
      </x:c>
      <x:c r="O1336" s="66" t="str">
        <x:v>Jakarta Raya</x:v>
      </x:c>
      <x:c r="P1336" s="66" t="str">
        <x:v>Kota Jakarta Pusat</x:v>
      </x:c>
      <x:c r="Q1336" s="66" t="str">
        <x:v>https://snpmb.id/snbp/daya-tampung-snbp</x:v>
      </x:c>
      <x:c r="R1336" s="66" t="str">
        <x:v>https://sidatagrun-public-1076756628210.asia-southeast2.run.app/ptn_sn.php?ptn=321</x:v>
      </x:c>
    </x:row>
    <x:row r="1337">
      <x:c r="A1337" s="87" t="n">
        <x:v>806</x:v>
      </x:c>
      <x:c r="B1337" s="66" t="n">
        <x:v>321</x:v>
      </x:c>
      <x:c r="C1337" s="66" t="str">
        <x:v>UNIVERSITAS INDONESIA</x:v>
      </x:c>
      <x:c r="D1337" s="66" t="str">
        <x:v>PTN Akademik</x:v>
      </x:c>
      <x:c r="E1337" s="66" t="str">
        <x:v>13211043</x:v>
      </x:c>
      <x:c r="F1337" s="66" t="str">
        <x:v>ANTROPOLOGI SOSIAL</x:v>
      </x:c>
      <x:c r="G1337" s="66" t="str">
        <x:v>Sarjana</x:v>
      </x:c>
      <x:c r="H1337" s="87" t="n">
        <x:v>16</x:v>
      </x:c>
      <x:c r="I1337" s="87" t="n">
        <x:v>238</x:v>
      </x:c>
      <x:c r="J1337" s="68" t="n">
        <x:f>IFERROR(H1337/I1337,"")</x:f>
        <x:v>0.06722689075630252</x:v>
      </x:c>
      <x:c r="K1337" s="69" t="n">
        <x:f>IFERROR(I1337/H1337,"")</x:f>
        <x:v>14.875</x:v>
      </x:c>
      <x:c r="L1337" s="66" t="str">
        <x:f>IF(K1337="","","1 : "&amp;TEXT(K1337,"0.0"))</x:f>
        <x:v>1 : 14.9</x:v>
      </x:c>
      <x:c r="M1337" s="66" t="str">
        <x:f>IF(J1337="","Baru/Tanpa Data",IF(J1337&lt;='Catatan &amp; Sumber'!$B$14,"Sangat Ketat",IF(J1337&lt;='Catatan &amp; Sumber'!$B$15,"Ketat",IF(J1337&lt;='Catatan &amp; Sumber'!$B$16,"Sedang","Relatif Longgar"))))</x:f>
        <x:v>Sedang</x:v>
      </x:c>
      <x:c r="N1337" s="66" t="str">
        <x:v>Tidak Ada</x:v>
      </x:c>
      <x:c r="O1337" s="66" t="str">
        <x:v>Jakarta Raya</x:v>
      </x:c>
      <x:c r="P1337" s="66" t="str">
        <x:v>Kota Jakarta Pusat</x:v>
      </x:c>
      <x:c r="Q1337" s="66" t="str">
        <x:v>https://snpmb.id/snbp/daya-tampung-snbp</x:v>
      </x:c>
      <x:c r="R1337" s="66" t="str">
        <x:v>https://sidatagrun-public-1076756628210.asia-southeast2.run.app/ptn_sn.php?ptn=321</x:v>
      </x:c>
    </x:row>
    <x:row r="1338">
      <x:c r="A1338" s="87" t="n">
        <x:v>548</x:v>
      </x:c>
      <x:c r="B1338" s="66" t="n">
        <x:v>321</x:v>
      </x:c>
      <x:c r="C1338" s="66" t="str">
        <x:v>UNIVERSITAS INDONESIA</x:v>
      </x:c>
      <x:c r="D1338" s="66" t="str">
        <x:v>PTN Akademik</x:v>
      </x:c>
      <x:c r="E1338" s="66" t="str">
        <x:v>13211044</x:v>
      </x:c>
      <x:c r="F1338" s="66" t="str">
        <x:v>ILMU EKONOMI</x:v>
      </x:c>
      <x:c r="G1338" s="66" t="str">
        <x:v>Sarjana</x:v>
      </x:c>
      <x:c r="H1338" s="87" t="n">
        <x:v>30</x:v>
      </x:c>
      <x:c r="I1338" s="87" t="n">
        <x:v>556</x:v>
      </x:c>
      <x:c r="J1338" s="68" t="n">
        <x:f>IFERROR(H1338/I1338,"")</x:f>
        <x:v>0.0539568345323741</x:v>
      </x:c>
      <x:c r="K1338" s="69" t="n">
        <x:f>IFERROR(I1338/H1338,"")</x:f>
        <x:v>18.533333333333335</x:v>
      </x:c>
      <x:c r="L1338" s="66" t="str">
        <x:f>IF(K1338="","","1 : "&amp;TEXT(K1338,"0.0"))</x:f>
        <x:v>1 : 18.5</x:v>
      </x:c>
      <x:c r="M1338" s="66" t="str">
        <x:f>IF(J1338="","Baru/Tanpa Data",IF(J1338&lt;='Catatan &amp; Sumber'!$B$14,"Sangat Ketat",IF(J1338&lt;='Catatan &amp; Sumber'!$B$15,"Ketat",IF(J1338&lt;='Catatan &amp; Sumber'!$B$16,"Sedang","Relatif Longgar"))))</x:f>
        <x:v>Sedang</x:v>
      </x:c>
      <x:c r="N1338" s="66" t="str">
        <x:v>Tidak Ada</x:v>
      </x:c>
      <x:c r="O1338" s="66" t="str">
        <x:v>Jakarta Raya</x:v>
      </x:c>
      <x:c r="P1338" s="66" t="str">
        <x:v>Kota Jakarta Pusat</x:v>
      </x:c>
      <x:c r="Q1338" s="66" t="str">
        <x:v>https://snpmb.id/snbp/daya-tampung-snbp</x:v>
      </x:c>
      <x:c r="R1338" s="66" t="str">
        <x:v>https://sidatagrun-public-1076756628210.asia-southeast2.run.app/ptn_sn.php?ptn=321</x:v>
      </x:c>
    </x:row>
    <x:row r="1339">
      <x:c r="A1339" s="87" t="n">
        <x:v>587</x:v>
      </x:c>
      <x:c r="B1339" s="66" t="n">
        <x:v>321</x:v>
      </x:c>
      <x:c r="C1339" s="66" t="str">
        <x:v>UNIVERSITAS INDONESIA</x:v>
      </x:c>
      <x:c r="D1339" s="66" t="str">
        <x:v>PTN Akademik</x:v>
      </x:c>
      <x:c r="E1339" s="66" t="str">
        <x:v>13211045</x:v>
      </x:c>
      <x:c r="F1339" s="66" t="str">
        <x:v>ILMU ADMINISTRASI NIAGA</x:v>
      </x:c>
      <x:c r="G1339" s="66" t="str">
        <x:v>Sarjana</x:v>
      </x:c>
      <x:c r="H1339" s="87" t="n">
        <x:v>33</x:v>
      </x:c>
      <x:c r="I1339" s="87" t="n">
        <x:v>586</x:v>
      </x:c>
      <x:c r="J1339" s="68" t="n">
        <x:f>IFERROR(H1339/I1339,"")</x:f>
        <x:v>0.05631399317406143</x:v>
      </x:c>
      <x:c r="K1339" s="69" t="n">
        <x:f>IFERROR(I1339/H1339,"")</x:f>
        <x:v>17.757575757575758</x:v>
      </x:c>
      <x:c r="L1339" s="66" t="str">
        <x:f>IF(K1339="","","1 : "&amp;TEXT(K1339,"0.0"))</x:f>
        <x:v>1 : 17.8</x:v>
      </x:c>
      <x:c r="M1339" s="66" t="str">
        <x:f>IF(J1339="","Baru/Tanpa Data",IF(J1339&lt;='Catatan &amp; Sumber'!$B$14,"Sangat Ketat",IF(J1339&lt;='Catatan &amp; Sumber'!$B$15,"Ketat",IF(J1339&lt;='Catatan &amp; Sumber'!$B$16,"Sedang","Relatif Longgar"))))</x:f>
        <x:v>Sedang</x:v>
      </x:c>
      <x:c r="N1339" s="66" t="str">
        <x:v>Tidak Ada</x:v>
      </x:c>
      <x:c r="O1339" s="66" t="str">
        <x:v>Jakarta Raya</x:v>
      </x:c>
      <x:c r="P1339" s="66" t="str">
        <x:v>Kota Jakarta Pusat</x:v>
      </x:c>
      <x:c r="Q1339" s="66" t="str">
        <x:v>https://snpmb.id/snbp/daya-tampung-snbp</x:v>
      </x:c>
      <x:c r="R1339" s="66" t="str">
        <x:v>https://sidatagrun-public-1076756628210.asia-southeast2.run.app/ptn_sn.php?ptn=321</x:v>
      </x:c>
    </x:row>
    <x:row r="1340">
      <x:c r="A1340" s="87" t="n">
        <x:v>643</x:v>
      </x:c>
      <x:c r="B1340" s="66" t="n">
        <x:v>321</x:v>
      </x:c>
      <x:c r="C1340" s="66" t="str">
        <x:v>UNIVERSITAS INDONESIA</x:v>
      </x:c>
      <x:c r="D1340" s="66" t="str">
        <x:v>PTN Akademik</x:v>
      </x:c>
      <x:c r="E1340" s="66" t="str">
        <x:v>13211046</x:v>
      </x:c>
      <x:c r="F1340" s="66" t="str">
        <x:v>ILMU ADMINISTRASI FISKAL</x:v>
      </x:c>
      <x:c r="G1340" s="66" t="str">
        <x:v>Sarjana</x:v>
      </x:c>
      <x:c r="H1340" s="87" t="n">
        <x:v>33</x:v>
      </x:c>
      <x:c r="I1340" s="87" t="n">
        <x:v>558</x:v>
      </x:c>
      <x:c r="J1340" s="68" t="n">
        <x:f>IFERROR(H1340/I1340,"")</x:f>
        <x:v>0.05913978494623656</x:v>
      </x:c>
      <x:c r="K1340" s="69" t="n">
        <x:f>IFERROR(I1340/H1340,"")</x:f>
        <x:v>16.90909090909091</x:v>
      </x:c>
      <x:c r="L1340" s="66" t="str">
        <x:f>IF(K1340="","","1 : "&amp;TEXT(K1340,"0.0"))</x:f>
        <x:v>1 : 16.9</x:v>
      </x:c>
      <x:c r="M1340" s="66" t="str">
        <x:f>IF(J1340="","Baru/Tanpa Data",IF(J1340&lt;='Catatan &amp; Sumber'!$B$14,"Sangat Ketat",IF(J1340&lt;='Catatan &amp; Sumber'!$B$15,"Ketat",IF(J1340&lt;='Catatan &amp; Sumber'!$B$16,"Sedang","Relatif Longgar"))))</x:f>
        <x:v>Sedang</x:v>
      </x:c>
      <x:c r="N1340" s="66" t="str">
        <x:v>Tidak Ada</x:v>
      </x:c>
      <x:c r="O1340" s="66" t="str">
        <x:v>Jakarta Raya</x:v>
      </x:c>
      <x:c r="P1340" s="66" t="str">
        <x:v>Kota Jakarta Pusat</x:v>
      </x:c>
      <x:c r="Q1340" s="66" t="str">
        <x:v>https://snpmb.id/snbp/daya-tampung-snbp</x:v>
      </x:c>
      <x:c r="R1340" s="66" t="str">
        <x:v>https://sidatagrun-public-1076756628210.asia-southeast2.run.app/ptn_sn.php?ptn=321</x:v>
      </x:c>
    </x:row>
    <x:row r="1341">
      <x:c r="A1341" s="87" t="n">
        <x:v>252</x:v>
      </x:c>
      <x:c r="B1341" s="66" t="n">
        <x:v>321</x:v>
      </x:c>
      <x:c r="C1341" s="66" t="str">
        <x:v>UNIVERSITAS INDONESIA</x:v>
      </x:c>
      <x:c r="D1341" s="66" t="str">
        <x:v>PTN Akademik</x:v>
      </x:c>
      <x:c r="E1341" s="66" t="str">
        <x:v>13211047</x:v>
      </x:c>
      <x:c r="F1341" s="66" t="str">
        <x:v>MANAJEMEN</x:v>
      </x:c>
      <x:c r="G1341" s="66" t="str">
        <x:v>Sarjana</x:v>
      </x:c>
      <x:c r="H1341" s="87" t="n">
        <x:v>60</x:v>
      </x:c>
      <x:c r="I1341" s="87" t="n">
        <x:v>1506</x:v>
      </x:c>
      <x:c r="J1341" s="68" t="n">
        <x:f>IFERROR(H1341/I1341,"")</x:f>
        <x:v>0.0398406374501992</x:v>
      </x:c>
      <x:c r="K1341" s="69" t="n">
        <x:f>IFERROR(I1341/H1341,"")</x:f>
        <x:v>25.1</x:v>
      </x:c>
      <x:c r="L1341" s="66" t="str">
        <x:f>IF(K1341="","","1 : "&amp;TEXT(K1341,"0.0"))</x:f>
        <x:v>1 : 25.1</x:v>
      </x:c>
      <x:c r="M1341" s="66" t="str">
        <x:f>IF(J1341="","Baru/Tanpa Data",IF(J1341&lt;='Catatan &amp; Sumber'!$B$14,"Sangat Ketat",IF(J1341&lt;='Catatan &amp; Sumber'!$B$15,"Ketat",IF(J1341&lt;='Catatan &amp; Sumber'!$B$16,"Sedang","Relatif Longgar"))))</x:f>
        <x:v>Ketat</x:v>
      </x:c>
      <x:c r="N1341" s="66" t="str">
        <x:v>Tidak Ada</x:v>
      </x:c>
      <x:c r="O1341" s="66" t="str">
        <x:v>Jakarta Raya</x:v>
      </x:c>
      <x:c r="P1341" s="66" t="str">
        <x:v>Kota Jakarta Pusat</x:v>
      </x:c>
      <x:c r="Q1341" s="66" t="str">
        <x:v>https://snpmb.id/snbp/daya-tampung-snbp</x:v>
      </x:c>
      <x:c r="R1341" s="66" t="str">
        <x:v>https://sidatagrun-public-1076756628210.asia-southeast2.run.app/ptn_sn.php?ptn=321</x:v>
      </x:c>
    </x:row>
    <x:row r="1342">
      <x:c r="A1342" s="87" t="n">
        <x:v>248</x:v>
      </x:c>
      <x:c r="B1342" s="66" t="n">
        <x:v>321</x:v>
      </x:c>
      <x:c r="C1342" s="66" t="str">
        <x:v>UNIVERSITAS INDONESIA</x:v>
      </x:c>
      <x:c r="D1342" s="66" t="str">
        <x:v>PTN Akademik</x:v>
      </x:c>
      <x:c r="E1342" s="66" t="str">
        <x:v>13211048</x:v>
      </x:c>
      <x:c r="F1342" s="66" t="str">
        <x:v>AKUNTANSI</x:v>
      </x:c>
      <x:c r="G1342" s="66" t="str">
        <x:v>Sarjana</x:v>
      </x:c>
      <x:c r="H1342" s="87" t="n">
        <x:v>60</x:v>
      </x:c>
      <x:c r="I1342" s="87" t="n">
        <x:v>1516</x:v>
      </x:c>
      <x:c r="J1342" s="68" t="n">
        <x:f>IFERROR(H1342/I1342,"")</x:f>
        <x:v>0.0395778364116095</x:v>
      </x:c>
      <x:c r="K1342" s="69" t="n">
        <x:f>IFERROR(I1342/H1342,"")</x:f>
        <x:v>25.266666666666666</x:v>
      </x:c>
      <x:c r="L1342" s="66" t="str">
        <x:f>IF(K1342="","","1 : "&amp;TEXT(K1342,"0.0"))</x:f>
        <x:v>1 : 25.3</x:v>
      </x:c>
      <x:c r="M1342" s="66" t="str">
        <x:f>IF(J1342="","Baru/Tanpa Data",IF(J1342&lt;='Catatan &amp; Sumber'!$B$14,"Sangat Ketat",IF(J1342&lt;='Catatan &amp; Sumber'!$B$15,"Ketat",IF(J1342&lt;='Catatan &amp; Sumber'!$B$16,"Sedang","Relatif Longgar"))))</x:f>
        <x:v>Ketat</x:v>
      </x:c>
      <x:c r="N1342" s="66" t="str">
        <x:v>Tidak Ada</x:v>
      </x:c>
      <x:c r="O1342" s="66" t="str">
        <x:v>Jakarta Raya</x:v>
      </x:c>
      <x:c r="P1342" s="66" t="str">
        <x:v>Kota Jakarta Pusat</x:v>
      </x:c>
      <x:c r="Q1342" s="66" t="str">
        <x:v>https://snpmb.id/snbp/daya-tampung-snbp</x:v>
      </x:c>
      <x:c r="R1342" s="66" t="str">
        <x:v>https://sidatagrun-public-1076756628210.asia-southeast2.run.app/ptn_sn.php?ptn=321</x:v>
      </x:c>
    </x:row>
    <x:row r="1343">
      <x:c r="A1343" s="87" t="n">
        <x:v>39</x:v>
      </x:c>
      <x:c r="B1343" s="66" t="n">
        <x:v>321</x:v>
      </x:c>
      <x:c r="C1343" s="66" t="str">
        <x:v>UNIVERSITAS INDONESIA</x:v>
      </x:c>
      <x:c r="D1343" s="66" t="str">
        <x:v>PTN Akademik</x:v>
      </x:c>
      <x:c r="E1343" s="66" t="str">
        <x:v>13211049</x:v>
      </x:c>
      <x:c r="F1343" s="66" t="str">
        <x:v>ILMU HUBUNGAN INTERNASIONAL</x:v>
      </x:c>
      <x:c r="G1343" s="66" t="str">
        <x:v>Sarjana</x:v>
      </x:c>
      <x:c r="H1343" s="87" t="n">
        <x:v>12</x:v>
      </x:c>
      <x:c r="I1343" s="87" t="n">
        <x:v>582</x:v>
      </x:c>
      <x:c r="J1343" s="68" t="n">
        <x:f>IFERROR(H1343/I1343,"")</x:f>
        <x:v>0.020618556701030927</x:v>
      </x:c>
      <x:c r="K1343" s="69" t="n">
        <x:f>IFERROR(I1343/H1343,"")</x:f>
        <x:v>48.5</x:v>
      </x:c>
      <x:c r="L1343" s="66" t="str">
        <x:f>IF(K1343="","","1 : "&amp;TEXT(K1343,"0.0"))</x:f>
        <x:v>1 : 48.5</x:v>
      </x:c>
      <x:c r="M1343" s="66" t="str">
        <x:f>IF(J1343="","Baru/Tanpa Data",IF(J1343&lt;='Catatan &amp; Sumber'!$B$14,"Sangat Ketat",IF(J1343&lt;='Catatan &amp; Sumber'!$B$15,"Ketat",IF(J1343&lt;='Catatan &amp; Sumber'!$B$16,"Sedang","Relatif Longgar"))))</x:f>
        <x:v>Ketat</x:v>
      </x:c>
      <x:c r="N1343" s="66" t="str">
        <x:v>Tidak Ada</x:v>
      </x:c>
      <x:c r="O1343" s="66" t="str">
        <x:v>Jakarta Raya</x:v>
      </x:c>
      <x:c r="P1343" s="66" t="str">
        <x:v>Kota Jakarta Pusat</x:v>
      </x:c>
      <x:c r="Q1343" s="66" t="str">
        <x:v>https://snpmb.id/snbp/daya-tampung-snbp</x:v>
      </x:c>
      <x:c r="R1343" s="66" t="str">
        <x:v>https://sidatagrun-public-1076756628210.asia-southeast2.run.app/ptn_sn.php?ptn=321</x:v>
      </x:c>
    </x:row>
    <x:row r="1344">
      <x:c r="A1344" s="87" t="n">
        <x:v>1127</x:v>
      </x:c>
      <x:c r="B1344" s="66" t="n">
        <x:v>321</x:v>
      </x:c>
      <x:c r="C1344" s="66" t="str">
        <x:v>UNIVERSITAS INDONESIA</x:v>
      </x:c>
      <x:c r="D1344" s="66" t="str">
        <x:v>PTN Akademik</x:v>
      </x:c>
      <x:c r="E1344" s="66" t="str">
        <x:v>13211050</x:v>
      </x:c>
      <x:c r="F1344" s="66" t="str">
        <x:v>ILMU PERPUSTAKAAN</x:v>
      </x:c>
      <x:c r="G1344" s="66" t="str">
        <x:v>Sarjana</x:v>
      </x:c>
      <x:c r="H1344" s="87" t="n">
        <x:v>16</x:v>
      </x:c>
      <x:c r="I1344" s="87" t="n">
        <x:v>187</x:v>
      </x:c>
      <x:c r="J1344" s="68" t="n">
        <x:f>IFERROR(H1344/I1344,"")</x:f>
        <x:v>0.0855614973262032</x:v>
      </x:c>
      <x:c r="K1344" s="69" t="n">
        <x:f>IFERROR(I1344/H1344,"")</x:f>
        <x:v>11.6875</x:v>
      </x:c>
      <x:c r="L1344" s="66" t="str">
        <x:f>IF(K1344="","","1 : "&amp;TEXT(K1344,"0.0"))</x:f>
        <x:v>1 : 11.7</x:v>
      </x:c>
      <x:c r="M1344" s="66" t="str">
        <x:f>IF(J1344="","Baru/Tanpa Data",IF(J1344&lt;='Catatan &amp; Sumber'!$B$14,"Sangat Ketat",IF(J1344&lt;='Catatan &amp; Sumber'!$B$15,"Ketat",IF(J1344&lt;='Catatan &amp; Sumber'!$B$16,"Sedang","Relatif Longgar"))))</x:f>
        <x:v>Sedang</x:v>
      </x:c>
      <x:c r="N1344" s="66" t="str">
        <x:v>Tidak Ada</x:v>
      </x:c>
      <x:c r="O1344" s="66" t="str">
        <x:v>Jakarta Raya</x:v>
      </x:c>
      <x:c r="P1344" s="66" t="str">
        <x:v>Kota Jakarta Pusat</x:v>
      </x:c>
      <x:c r="Q1344" s="66" t="str">
        <x:v>https://snpmb.id/snbp/daya-tampung-snbp</x:v>
      </x:c>
      <x:c r="R1344" s="66" t="str">
        <x:v>https://sidatagrun-public-1076756628210.asia-southeast2.run.app/ptn_sn.php?ptn=321</x:v>
      </x:c>
    </x:row>
    <x:row r="1345">
      <x:c r="A1345" s="87" t="n">
        <x:v>1426</x:v>
      </x:c>
      <x:c r="B1345" s="66" t="n">
        <x:v>321</x:v>
      </x:c>
      <x:c r="C1345" s="66" t="str">
        <x:v>UNIVERSITAS INDONESIA</x:v>
      </x:c>
      <x:c r="D1345" s="66" t="str">
        <x:v>PTN Akademik</x:v>
      </x:c>
      <x:c r="E1345" s="66" t="str">
        <x:v>13211051</x:v>
      </x:c>
      <x:c r="F1345" s="66" t="str">
        <x:v>ILMU FILSAFAT</x:v>
      </x:c>
      <x:c r="G1345" s="66" t="str">
        <x:v>Sarjana</x:v>
      </x:c>
      <x:c r="H1345" s="87" t="n">
        <x:v>16</x:v>
      </x:c>
      <x:c r="I1345" s="87" t="n">
        <x:v>154</x:v>
      </x:c>
      <x:c r="J1345" s="68" t="n">
        <x:f>IFERROR(H1345/I1345,"")</x:f>
        <x:v>0.1038961038961039</x:v>
      </x:c>
      <x:c r="K1345" s="69" t="n">
        <x:f>IFERROR(I1345/H1345,"")</x:f>
        <x:v>9.625</x:v>
      </x:c>
      <x:c r="L1345" s="66" t="str">
        <x:f>IF(K1345="","","1 : "&amp;TEXT(K1345,"0.0"))</x:f>
        <x:v>1 : 9.6</x:v>
      </x:c>
      <x:c r="M1345" s="66" t="str">
        <x:f>IF(J1345="","Baru/Tanpa Data",IF(J1345&lt;='Catatan &amp; Sumber'!$B$14,"Sangat Ketat",IF(J1345&lt;='Catatan &amp; Sumber'!$B$15,"Ketat",IF(J1345&lt;='Catatan &amp; Sumber'!$B$16,"Sedang","Relatif Longgar"))))</x:f>
        <x:v>Relatif Longgar</x:v>
      </x:c>
      <x:c r="N1345" s="66" t="str">
        <x:v>Tidak Ada</x:v>
      </x:c>
      <x:c r="O1345" s="66" t="str">
        <x:v>Jakarta Raya</x:v>
      </x:c>
      <x:c r="P1345" s="66" t="str">
        <x:v>Kota Jakarta Pusat</x:v>
      </x:c>
      <x:c r="Q1345" s="66" t="str">
        <x:v>https://snpmb.id/snbp/daya-tampung-snbp</x:v>
      </x:c>
      <x:c r="R1345" s="66" t="str">
        <x:v>https://sidatagrun-public-1076756628210.asia-southeast2.run.app/ptn_sn.php?ptn=321</x:v>
      </x:c>
    </x:row>
    <x:row r="1346">
      <x:c r="A1346" s="87" t="n">
        <x:v>836</x:v>
      </x:c>
      <x:c r="B1346" s="66" t="n">
        <x:v>321</x:v>
      </x:c>
      <x:c r="C1346" s="66" t="str">
        <x:v>UNIVERSITAS INDONESIA</x:v>
      </x:c>
      <x:c r="D1346" s="66" t="str">
        <x:v>PTN Akademik</x:v>
      </x:c>
      <x:c r="E1346" s="66" t="str">
        <x:v>13211052</x:v>
      </x:c>
      <x:c r="F1346" s="66" t="str">
        <x:v>SASTRA INDONESIA</x:v>
      </x:c>
      <x:c r="G1346" s="66" t="str">
        <x:v>Sarjana</x:v>
      </x:c>
      <x:c r="H1346" s="87" t="n">
        <x:v>16</x:v>
      </x:c>
      <x:c r="I1346" s="87" t="n">
        <x:v>234</x:v>
      </x:c>
      <x:c r="J1346" s="68" t="n">
        <x:f>IFERROR(H1346/I1346,"")</x:f>
        <x:v>0.06837606837606838</x:v>
      </x:c>
      <x:c r="K1346" s="69" t="n">
        <x:f>IFERROR(I1346/H1346,"")</x:f>
        <x:v>14.625</x:v>
      </x:c>
      <x:c r="L1346" s="66" t="str">
        <x:f>IF(K1346="","","1 : "&amp;TEXT(K1346,"0.0"))</x:f>
        <x:v>1 : 14.6</x:v>
      </x:c>
      <x:c r="M1346" s="66" t="str">
        <x:f>IF(J1346="","Baru/Tanpa Data",IF(J1346&lt;='Catatan &amp; Sumber'!$B$14,"Sangat Ketat",IF(J1346&lt;='Catatan &amp; Sumber'!$B$15,"Ketat",IF(J1346&lt;='Catatan &amp; Sumber'!$B$16,"Sedang","Relatif Longgar"))))</x:f>
        <x:v>Sedang</x:v>
      </x:c>
      <x:c r="N1346" s="66" t="str">
        <x:v>Tidak Ada</x:v>
      </x:c>
      <x:c r="O1346" s="66" t="str">
        <x:v>Jakarta Raya</x:v>
      </x:c>
      <x:c r="P1346" s="66" t="str">
        <x:v>Kota Jakarta Pusat</x:v>
      </x:c>
      <x:c r="Q1346" s="66" t="str">
        <x:v>https://snpmb.id/snbp/daya-tampung-snbp</x:v>
      </x:c>
      <x:c r="R1346" s="66" t="str">
        <x:v>https://sidatagrun-public-1076756628210.asia-southeast2.run.app/ptn_sn.php?ptn=321</x:v>
      </x:c>
    </x:row>
    <x:row r="1347">
      <x:c r="A1347" s="87" t="n">
        <x:v>2735</x:v>
      </x:c>
      <x:c r="B1347" s="66" t="n">
        <x:v>321</x:v>
      </x:c>
      <x:c r="C1347" s="66" t="str">
        <x:v>UNIVERSITAS INDONESIA</x:v>
      </x:c>
      <x:c r="D1347" s="66" t="str">
        <x:v>PTN Akademik</x:v>
      </x:c>
      <x:c r="E1347" s="66" t="str">
        <x:v>13211053</x:v>
      </x:c>
      <x:c r="F1347" s="66" t="str">
        <x:v>SASTRA DAERAH UNTUK SASTRA JAWA</x:v>
      </x:c>
      <x:c r="G1347" s="66" t="str">
        <x:v>Sarjana</x:v>
      </x:c>
      <x:c r="H1347" s="87" t="n">
        <x:v>16</x:v>
      </x:c>
      <x:c r="I1347" s="87" t="n">
        <x:v>64</x:v>
      </x:c>
      <x:c r="J1347" s="68" t="n">
        <x:f>IFERROR(H1347/I1347,"")</x:f>
        <x:v>0.25</x:v>
      </x:c>
      <x:c r="K1347" s="69" t="n">
        <x:f>IFERROR(I1347/H1347,"")</x:f>
        <x:v>4</x:v>
      </x:c>
      <x:c r="L1347" s="66" t="str">
        <x:f>IF(K1347="","","1 : "&amp;TEXT(K1347,"0.0"))</x:f>
        <x:v>1 : 4.0</x:v>
      </x:c>
      <x:c r="M1347" s="66" t="str">
        <x:f>IF(J1347="","Baru/Tanpa Data",IF(J1347&lt;='Catatan &amp; Sumber'!$B$14,"Sangat Ketat",IF(J1347&lt;='Catatan &amp; Sumber'!$B$15,"Ketat",IF(J1347&lt;='Catatan &amp; Sumber'!$B$16,"Sedang","Relatif Longgar"))))</x:f>
        <x:v>Relatif Longgar</x:v>
      </x:c>
      <x:c r="N1347" s="66" t="str">
        <x:v>Tidak Ada</x:v>
      </x:c>
      <x:c r="O1347" s="66" t="str">
        <x:v>Jakarta Raya</x:v>
      </x:c>
      <x:c r="P1347" s="66" t="str">
        <x:v>Kota Jakarta Pusat</x:v>
      </x:c>
      <x:c r="Q1347" s="66" t="str">
        <x:v>https://snpmb.id/snbp/daya-tampung-snbp</x:v>
      </x:c>
      <x:c r="R1347" s="66" t="str">
        <x:v>https://sidatagrun-public-1076756628210.asia-southeast2.run.app/ptn_sn.php?ptn=321</x:v>
      </x:c>
    </x:row>
    <x:row r="1348">
      <x:c r="A1348" s="87" t="n">
        <x:v>353</x:v>
      </x:c>
      <x:c r="B1348" s="66" t="n">
        <x:v>321</x:v>
      </x:c>
      <x:c r="C1348" s="66" t="str">
        <x:v>UNIVERSITAS INDONESIA</x:v>
      </x:c>
      <x:c r="D1348" s="66" t="str">
        <x:v>PTN Akademik</x:v>
      </x:c>
      <x:c r="E1348" s="66" t="str">
        <x:v>13211054</x:v>
      </x:c>
      <x:c r="F1348" s="66" t="str">
        <x:v>SASTRA JEPANG</x:v>
      </x:c>
      <x:c r="G1348" s="66" t="str">
        <x:v>Sarjana</x:v>
      </x:c>
      <x:c r="H1348" s="87" t="n">
        <x:v>16</x:v>
      </x:c>
      <x:c r="I1348" s="87" t="n">
        <x:v>357</x:v>
      </x:c>
      <x:c r="J1348" s="68" t="n">
        <x:f>IFERROR(H1348/I1348,"")</x:f>
        <x:v>0.04481792717086835</x:v>
      </x:c>
      <x:c r="K1348" s="69" t="n">
        <x:f>IFERROR(I1348/H1348,"")</x:f>
        <x:v>22.3125</x:v>
      </x:c>
      <x:c r="L1348" s="66" t="str">
        <x:f>IF(K1348="","","1 : "&amp;TEXT(K1348,"0.0"))</x:f>
        <x:v>1 : 22.3</x:v>
      </x:c>
      <x:c r="M1348" s="66" t="str">
        <x:f>IF(J1348="","Baru/Tanpa Data",IF(J1348&lt;='Catatan &amp; Sumber'!$B$14,"Sangat Ketat",IF(J1348&lt;='Catatan &amp; Sumber'!$B$15,"Ketat",IF(J1348&lt;='Catatan &amp; Sumber'!$B$16,"Sedang","Relatif Longgar"))))</x:f>
        <x:v>Ketat</x:v>
      </x:c>
      <x:c r="N1348" s="66" t="str">
        <x:v>Tidak Ada</x:v>
      </x:c>
      <x:c r="O1348" s="66" t="str">
        <x:v>Jakarta Raya</x:v>
      </x:c>
      <x:c r="P1348" s="66" t="str">
        <x:v>Kota Jakarta Pusat</x:v>
      </x:c>
      <x:c r="Q1348" s="66" t="str">
        <x:v>https://snpmb.id/snbp/daya-tampung-snbp</x:v>
      </x:c>
      <x:c r="R1348" s="66" t="str">
        <x:v>https://sidatagrun-public-1076756628210.asia-southeast2.run.app/ptn_sn.php?ptn=321</x:v>
      </x:c>
    </x:row>
    <x:row r="1349">
      <x:c r="A1349" s="87" t="n">
        <x:v>337</x:v>
      </x:c>
      <x:c r="B1349" s="66" t="n">
        <x:v>321</x:v>
      </x:c>
      <x:c r="C1349" s="66" t="str">
        <x:v>UNIVERSITAS INDONESIA</x:v>
      </x:c>
      <x:c r="D1349" s="66" t="str">
        <x:v>PTN Akademik</x:v>
      </x:c>
      <x:c r="E1349" s="66" t="str">
        <x:v>13211055</x:v>
      </x:c>
      <x:c r="F1349" s="66" t="str">
        <x:v>SASTRA CINA</x:v>
      </x:c>
      <x:c r="G1349" s="66" t="str">
        <x:v>Sarjana</x:v>
      </x:c>
      <x:c r="H1349" s="87" t="n">
        <x:v>16</x:v>
      </x:c>
      <x:c r="I1349" s="87" t="n">
        <x:v>364</x:v>
      </x:c>
      <x:c r="J1349" s="68" t="n">
        <x:f>IFERROR(H1349/I1349,"")</x:f>
        <x:v>0.04395604395604396</x:v>
      </x:c>
      <x:c r="K1349" s="69" t="n">
        <x:f>IFERROR(I1349/H1349,"")</x:f>
        <x:v>22.75</x:v>
      </x:c>
      <x:c r="L1349" s="66" t="str">
        <x:f>IF(K1349="","","1 : "&amp;TEXT(K1349,"0.0"))</x:f>
        <x:v>1 : 22.8</x:v>
      </x:c>
      <x:c r="M1349" s="66" t="str">
        <x:f>IF(J1349="","Baru/Tanpa Data",IF(J1349&lt;='Catatan &amp; Sumber'!$B$14,"Sangat Ketat",IF(J1349&lt;='Catatan &amp; Sumber'!$B$15,"Ketat",IF(J1349&lt;='Catatan &amp; Sumber'!$B$16,"Sedang","Relatif Longgar"))))</x:f>
        <x:v>Ketat</x:v>
      </x:c>
      <x:c r="N1349" s="66" t="str">
        <x:v>Tidak Ada</x:v>
      </x:c>
      <x:c r="O1349" s="66" t="str">
        <x:v>Jakarta Raya</x:v>
      </x:c>
      <x:c r="P1349" s="66" t="str">
        <x:v>Kota Jakarta Pusat</x:v>
      </x:c>
      <x:c r="Q1349" s="66" t="str">
        <x:v>https://snpmb.id/snbp/daya-tampung-snbp</x:v>
      </x:c>
      <x:c r="R1349" s="66" t="str">
        <x:v>https://sidatagrun-public-1076756628210.asia-southeast2.run.app/ptn_sn.php?ptn=321</x:v>
      </x:c>
    </x:row>
    <x:row r="1350">
      <x:c r="A1350" s="87" t="n">
        <x:v>632</x:v>
      </x:c>
      <x:c r="B1350" s="66" t="n">
        <x:v>321</x:v>
      </x:c>
      <x:c r="C1350" s="66" t="str">
        <x:v>UNIVERSITAS INDONESIA</x:v>
      </x:c>
      <x:c r="D1350" s="66" t="str">
        <x:v>PTN Akademik</x:v>
      </x:c>
      <x:c r="E1350" s="66" t="str">
        <x:v>13211056</x:v>
      </x:c>
      <x:c r="F1350" s="66" t="str">
        <x:v>SASTRA ARAB</x:v>
      </x:c>
      <x:c r="G1350" s="66" t="str">
        <x:v>Sarjana</x:v>
      </x:c>
      <x:c r="H1350" s="87" t="n">
        <x:v>16</x:v>
      </x:c>
      <x:c r="I1350" s="87" t="n">
        <x:v>272</x:v>
      </x:c>
      <x:c r="J1350" s="68" t="n">
        <x:f>IFERROR(H1350/I1350,"")</x:f>
        <x:v>0.058823529411764705</x:v>
      </x:c>
      <x:c r="K1350" s="69" t="n">
        <x:f>IFERROR(I1350/H1350,"")</x:f>
        <x:v>17</x:v>
      </x:c>
      <x:c r="L1350" s="66" t="str">
        <x:f>IF(K1350="","","1 : "&amp;TEXT(K1350,"0.0"))</x:f>
        <x:v>1 : 17.0</x:v>
      </x:c>
      <x:c r="M1350" s="66" t="str">
        <x:f>IF(J1350="","Baru/Tanpa Data",IF(J1350&lt;='Catatan &amp; Sumber'!$B$14,"Sangat Ketat",IF(J1350&lt;='Catatan &amp; Sumber'!$B$15,"Ketat",IF(J1350&lt;='Catatan &amp; Sumber'!$B$16,"Sedang","Relatif Longgar"))))</x:f>
        <x:v>Sedang</x:v>
      </x:c>
      <x:c r="N1350" s="66" t="str">
        <x:v>Tidak Ada</x:v>
      </x:c>
      <x:c r="O1350" s="66" t="str">
        <x:v>Jakarta Raya</x:v>
      </x:c>
      <x:c r="P1350" s="66" t="str">
        <x:v>Kota Jakarta Pusat</x:v>
      </x:c>
      <x:c r="Q1350" s="66" t="str">
        <x:v>https://snpmb.id/snbp/daya-tampung-snbp</x:v>
      </x:c>
      <x:c r="R1350" s="66" t="str">
        <x:v>https://sidatagrun-public-1076756628210.asia-southeast2.run.app/ptn_sn.php?ptn=321</x:v>
      </x:c>
    </x:row>
    <x:row r="1351">
      <x:c r="A1351" s="87" t="n">
        <x:v>1102</x:v>
      </x:c>
      <x:c r="B1351" s="66" t="n">
        <x:v>321</x:v>
      </x:c>
      <x:c r="C1351" s="66" t="str">
        <x:v>UNIVERSITAS INDONESIA</x:v>
      </x:c>
      <x:c r="D1351" s="66" t="str">
        <x:v>PTN Akademik</x:v>
      </x:c>
      <x:c r="E1351" s="66" t="str">
        <x:v>13211057</x:v>
      </x:c>
      <x:c r="F1351" s="66" t="str">
        <x:v>SASTRA PERANCIS</x:v>
      </x:c>
      <x:c r="G1351" s="66" t="str">
        <x:v>Sarjana</x:v>
      </x:c>
      <x:c r="H1351" s="87" t="n">
        <x:v>11</x:v>
      </x:c>
      <x:c r="I1351" s="87" t="n">
        <x:v>131</x:v>
      </x:c>
      <x:c r="J1351" s="68" t="n">
        <x:f>IFERROR(H1351/I1351,"")</x:f>
        <x:v>0.08396946564885496</x:v>
      </x:c>
      <x:c r="K1351" s="69" t="n">
        <x:f>IFERROR(I1351/H1351,"")</x:f>
        <x:v>11.909090909090908</x:v>
      </x:c>
      <x:c r="L1351" s="66" t="str">
        <x:f>IF(K1351="","","1 : "&amp;TEXT(K1351,"0.0"))</x:f>
        <x:v>1 : 11.9</x:v>
      </x:c>
      <x:c r="M1351" s="66" t="str">
        <x:f>IF(J1351="","Baru/Tanpa Data",IF(J1351&lt;='Catatan &amp; Sumber'!$B$14,"Sangat Ketat",IF(J1351&lt;='Catatan &amp; Sumber'!$B$15,"Ketat",IF(J1351&lt;='Catatan &amp; Sumber'!$B$16,"Sedang","Relatif Longgar"))))</x:f>
        <x:v>Sedang</x:v>
      </x:c>
      <x:c r="N1351" s="66" t="str">
        <x:v>Tidak Ada</x:v>
      </x:c>
      <x:c r="O1351" s="66" t="str">
        <x:v>Jakarta Raya</x:v>
      </x:c>
      <x:c r="P1351" s="66" t="str">
        <x:v>Kota Jakarta Pusat</x:v>
      </x:c>
      <x:c r="Q1351" s="66" t="str">
        <x:v>https://snpmb.id/snbp/daya-tampung-snbp</x:v>
      </x:c>
      <x:c r="R1351" s="66" t="str">
        <x:v>https://sidatagrun-public-1076756628210.asia-southeast2.run.app/ptn_sn.php?ptn=321</x:v>
      </x:c>
    </x:row>
    <x:row r="1352">
      <x:c r="A1352" s="87" t="n">
        <x:v>268</x:v>
      </x:c>
      <x:c r="B1352" s="66" t="n">
        <x:v>321</x:v>
      </x:c>
      <x:c r="C1352" s="66" t="str">
        <x:v>UNIVERSITAS INDONESIA</x:v>
      </x:c>
      <x:c r="D1352" s="66" t="str">
        <x:v>PTN Akademik</x:v>
      </x:c>
      <x:c r="E1352" s="66" t="str">
        <x:v>13211058</x:v>
      </x:c>
      <x:c r="F1352" s="66" t="str">
        <x:v>SASTRA INGGRIS</x:v>
      </x:c>
      <x:c r="G1352" s="66" t="str">
        <x:v>Sarjana</x:v>
      </x:c>
      <x:c r="H1352" s="87" t="n">
        <x:v>16</x:v>
      </x:c>
      <x:c r="I1352" s="87" t="n">
        <x:v>395</x:v>
      </x:c>
      <x:c r="J1352" s="68" t="n">
        <x:f>IFERROR(H1352/I1352,"")</x:f>
        <x:v>0.04050632911392405</x:v>
      </x:c>
      <x:c r="K1352" s="69" t="n">
        <x:f>IFERROR(I1352/H1352,"")</x:f>
        <x:v>24.6875</x:v>
      </x:c>
      <x:c r="L1352" s="66" t="str">
        <x:f>IF(K1352="","","1 : "&amp;TEXT(K1352,"0.0"))</x:f>
        <x:v>1 : 24.7</x:v>
      </x:c>
      <x:c r="M1352" s="66" t="str">
        <x:f>IF(J1352="","Baru/Tanpa Data",IF(J1352&lt;='Catatan &amp; Sumber'!$B$14,"Sangat Ketat",IF(J1352&lt;='Catatan &amp; Sumber'!$B$15,"Ketat",IF(J1352&lt;='Catatan &amp; Sumber'!$B$16,"Sedang","Relatif Longgar"))))</x:f>
        <x:v>Ketat</x:v>
      </x:c>
      <x:c r="N1352" s="66" t="str">
        <x:v>Tidak Ada</x:v>
      </x:c>
      <x:c r="O1352" s="66" t="str">
        <x:v>Jakarta Raya</x:v>
      </x:c>
      <x:c r="P1352" s="66" t="str">
        <x:v>Kota Jakarta Pusat</x:v>
      </x:c>
      <x:c r="Q1352" s="66" t="str">
        <x:v>https://snpmb.id/snbp/daya-tampung-snbp</x:v>
      </x:c>
      <x:c r="R1352" s="66" t="str">
        <x:v>https://sidatagrun-public-1076756628210.asia-southeast2.run.app/ptn_sn.php?ptn=321</x:v>
      </x:c>
    </x:row>
    <x:row r="1353">
      <x:c r="A1353" s="87" t="n">
        <x:v>745</x:v>
      </x:c>
      <x:c r="B1353" s="66" t="n">
        <x:v>321</x:v>
      </x:c>
      <x:c r="C1353" s="66" t="str">
        <x:v>UNIVERSITAS INDONESIA</x:v>
      </x:c>
      <x:c r="D1353" s="66" t="str">
        <x:v>PTN Akademik</x:v>
      </x:c>
      <x:c r="E1353" s="66" t="str">
        <x:v>13211059</x:v>
      </x:c>
      <x:c r="F1353" s="66" t="str">
        <x:v>SASTRA JERMAN</x:v>
      </x:c>
      <x:c r="G1353" s="66" t="str">
        <x:v>Sarjana</x:v>
      </x:c>
      <x:c r="H1353" s="87" t="n">
        <x:v>11</x:v>
      </x:c>
      <x:c r="I1353" s="87" t="n">
        <x:v>171</x:v>
      </x:c>
      <x:c r="J1353" s="68" t="n">
        <x:f>IFERROR(H1353/I1353,"")</x:f>
        <x:v>0.06432748538011696</x:v>
      </x:c>
      <x:c r="K1353" s="69" t="n">
        <x:f>IFERROR(I1353/H1353,"")</x:f>
        <x:v>15.545454545454545</x:v>
      </x:c>
      <x:c r="L1353" s="66" t="str">
        <x:f>IF(K1353="","","1 : "&amp;TEXT(K1353,"0.0"))</x:f>
        <x:v>1 : 15.5</x:v>
      </x:c>
      <x:c r="M1353" s="66" t="str">
        <x:f>IF(J1353="","Baru/Tanpa Data",IF(J1353&lt;='Catatan &amp; Sumber'!$B$14,"Sangat Ketat",IF(J1353&lt;='Catatan &amp; Sumber'!$B$15,"Ketat",IF(J1353&lt;='Catatan &amp; Sumber'!$B$16,"Sedang","Relatif Longgar"))))</x:f>
        <x:v>Sedang</x:v>
      </x:c>
      <x:c r="N1353" s="66" t="str">
        <x:v>Tidak Ada</x:v>
      </x:c>
      <x:c r="O1353" s="66" t="str">
        <x:v>Jakarta Raya</x:v>
      </x:c>
      <x:c r="P1353" s="66" t="str">
        <x:v>Kota Jakarta Pusat</x:v>
      </x:c>
      <x:c r="Q1353" s="66" t="str">
        <x:v>https://snpmb.id/snbp/daya-tampung-snbp</x:v>
      </x:c>
      <x:c r="R1353" s="66" t="str">
        <x:v>https://sidatagrun-public-1076756628210.asia-southeast2.run.app/ptn_sn.php?ptn=321</x:v>
      </x:c>
    </x:row>
    <x:row r="1354">
      <x:c r="A1354" s="87" t="n">
        <x:v>1276</x:v>
      </x:c>
      <x:c r="B1354" s="66" t="n">
        <x:v>321</x:v>
      </x:c>
      <x:c r="C1354" s="66" t="str">
        <x:v>UNIVERSITAS INDONESIA</x:v>
      </x:c>
      <x:c r="D1354" s="66" t="str">
        <x:v>PTN Akademik</x:v>
      </x:c>
      <x:c r="E1354" s="66" t="str">
        <x:v>13211060</x:v>
      </x:c>
      <x:c r="F1354" s="66" t="str">
        <x:v>SASTRA BELANDA</x:v>
      </x:c>
      <x:c r="G1354" s="66" t="str">
        <x:v>Sarjana</x:v>
      </x:c>
      <x:c r="H1354" s="87" t="n">
        <x:v>16</x:v>
      </x:c>
      <x:c r="I1354" s="87" t="n">
        <x:v>170</x:v>
      </x:c>
      <x:c r="J1354" s="68" t="n">
        <x:f>IFERROR(H1354/I1354,"")</x:f>
        <x:v>0.09411764705882353</x:v>
      </x:c>
      <x:c r="K1354" s="69" t="n">
        <x:f>IFERROR(I1354/H1354,"")</x:f>
        <x:v>10.625</x:v>
      </x:c>
      <x:c r="L1354" s="66" t="str">
        <x:f>IF(K1354="","","1 : "&amp;TEXT(K1354,"0.0"))</x:f>
        <x:v>1 : 10.6</x:v>
      </x:c>
      <x:c r="M1354" s="66" t="str">
        <x:f>IF(J1354="","Baru/Tanpa Data",IF(J1354&lt;='Catatan &amp; Sumber'!$B$14,"Sangat Ketat",IF(J1354&lt;='Catatan &amp; Sumber'!$B$15,"Ketat",IF(J1354&lt;='Catatan &amp; Sumber'!$B$16,"Sedang","Relatif Longgar"))))</x:f>
        <x:v>Sedang</x:v>
      </x:c>
      <x:c r="N1354" s="66" t="str">
        <x:v>Tidak Ada</x:v>
      </x:c>
      <x:c r="O1354" s="66" t="str">
        <x:v>Jakarta Raya</x:v>
      </x:c>
      <x:c r="P1354" s="66" t="str">
        <x:v>Kota Jakarta Pusat</x:v>
      </x:c>
      <x:c r="Q1354" s="66" t="str">
        <x:v>https://snpmb.id/snbp/daya-tampung-snbp</x:v>
      </x:c>
      <x:c r="R1354" s="66" t="str">
        <x:v>https://sidatagrun-public-1076756628210.asia-southeast2.run.app/ptn_sn.php?ptn=321</x:v>
      </x:c>
    </x:row>
    <x:row r="1355">
      <x:c r="A1355" s="87" t="n">
        <x:v>1771</x:v>
      </x:c>
      <x:c r="B1355" s="66" t="n">
        <x:v>321</x:v>
      </x:c>
      <x:c r="C1355" s="66" t="str">
        <x:v>UNIVERSITAS INDONESIA</x:v>
      </x:c>
      <x:c r="D1355" s="66" t="str">
        <x:v>PTN Akademik</x:v>
      </x:c>
      <x:c r="E1355" s="66" t="str">
        <x:v>13211061</x:v>
      </x:c>
      <x:c r="F1355" s="66" t="str">
        <x:v>SASTRA RUSIA</x:v>
      </x:c>
      <x:c r="G1355" s="66" t="str">
        <x:v>Sarjana</x:v>
      </x:c>
      <x:c r="H1355" s="87" t="n">
        <x:v>16</x:v>
      </x:c>
      <x:c r="I1355" s="87" t="n">
        <x:v>123</x:v>
      </x:c>
      <x:c r="J1355" s="68" t="n">
        <x:f>IFERROR(H1355/I1355,"")</x:f>
        <x:v>0.13008130081300814</x:v>
      </x:c>
      <x:c r="K1355" s="69" t="n">
        <x:f>IFERROR(I1355/H1355,"")</x:f>
        <x:v>7.6875</x:v>
      </x:c>
      <x:c r="L1355" s="66" t="str">
        <x:f>IF(K1355="","","1 : "&amp;TEXT(K1355,"0.0"))</x:f>
        <x:v>1 : 7.7</x:v>
      </x:c>
      <x:c r="M1355" s="66" t="str">
        <x:f>IF(J1355="","Baru/Tanpa Data",IF(J1355&lt;='Catatan &amp; Sumber'!$B$14,"Sangat Ketat",IF(J1355&lt;='Catatan &amp; Sumber'!$B$15,"Ketat",IF(J1355&lt;='Catatan &amp; Sumber'!$B$16,"Sedang","Relatif Longgar"))))</x:f>
        <x:v>Relatif Longgar</x:v>
      </x:c>
      <x:c r="N1355" s="66" t="str">
        <x:v>Tidak Ada</x:v>
      </x:c>
      <x:c r="O1355" s="66" t="str">
        <x:v>Jakarta Raya</x:v>
      </x:c>
      <x:c r="P1355" s="66" t="str">
        <x:v>Kota Jakarta Pusat</x:v>
      </x:c>
      <x:c r="Q1355" s="66" t="str">
        <x:v>https://snpmb.id/snbp/daya-tampung-snbp</x:v>
      </x:c>
      <x:c r="R1355" s="66" t="str">
        <x:v>https://sidatagrun-public-1076756628210.asia-southeast2.run.app/ptn_sn.php?ptn=321</x:v>
      </x:c>
    </x:row>
    <x:row r="1356">
      <x:c r="A1356" s="87" t="n">
        <x:v>458</x:v>
      </x:c>
      <x:c r="B1356" s="66" t="n">
        <x:v>321</x:v>
      </x:c>
      <x:c r="C1356" s="66" t="str">
        <x:v>UNIVERSITAS INDONESIA</x:v>
      </x:c>
      <x:c r="D1356" s="66" t="str">
        <x:v>PTN Akademik</x:v>
      </x:c>
      <x:c r="E1356" s="66" t="str">
        <x:v>13211062</x:v>
      </x:c>
      <x:c r="F1356" s="66" t="str">
        <x:v>BAHASA DAN KEBUDAYAAN KOREA</x:v>
      </x:c>
      <x:c r="G1356" s="66" t="str">
        <x:v>Sarjana</x:v>
      </x:c>
      <x:c r="H1356" s="87" t="n">
        <x:v>11</x:v>
      </x:c>
      <x:c r="I1356" s="87" t="n">
        <x:v>223</x:v>
      </x:c>
      <x:c r="J1356" s="68" t="n">
        <x:f>IFERROR(H1356/I1356,"")</x:f>
        <x:v>0.04932735426008968</x:v>
      </x:c>
      <x:c r="K1356" s="69" t="n">
        <x:f>IFERROR(I1356/H1356,"")</x:f>
        <x:v>20.272727272727273</x:v>
      </x:c>
      <x:c r="L1356" s="66" t="str">
        <x:f>IF(K1356="","","1 : "&amp;TEXT(K1356,"0.0"))</x:f>
        <x:v>1 : 20.3</x:v>
      </x:c>
      <x:c r="M1356" s="66" t="str">
        <x:f>IF(J1356="","Baru/Tanpa Data",IF(J1356&lt;='Catatan &amp; Sumber'!$B$14,"Sangat Ketat",IF(J1356&lt;='Catatan &amp; Sumber'!$B$15,"Ketat",IF(J1356&lt;='Catatan &amp; Sumber'!$B$16,"Sedang","Relatif Longgar"))))</x:f>
        <x:v>Ketat</x:v>
      </x:c>
      <x:c r="N1356" s="66" t="str">
        <x:v>Tidak Ada</x:v>
      </x:c>
      <x:c r="O1356" s="66" t="str">
        <x:v>Jakarta Raya</x:v>
      </x:c>
      <x:c r="P1356" s="66" t="str">
        <x:v>Kota Jakarta Pusat</x:v>
      </x:c>
      <x:c r="Q1356" s="66" t="str">
        <x:v>https://snpmb.id/snbp/daya-tampung-snbp</x:v>
      </x:c>
      <x:c r="R1356" s="66" t="str">
        <x:v>https://sidatagrun-public-1076756628210.asia-southeast2.run.app/ptn_sn.php?ptn=321</x:v>
      </x:c>
    </x:row>
    <x:row r="1357">
      <x:c r="A1357" s="87" t="n">
        <x:v>473</x:v>
      </x:c>
      <x:c r="B1357" s="66" t="n">
        <x:v>321</x:v>
      </x:c>
      <x:c r="C1357" s="66" t="str">
        <x:v>UNIVERSITAS INDONESIA</x:v>
      </x:c>
      <x:c r="D1357" s="66" t="str">
        <x:v>PTN Akademik</x:v>
      </x:c>
      <x:c r="E1357" s="66" t="str">
        <x:v>13211063</x:v>
      </x:c>
      <x:c r="F1357" s="66" t="str">
        <x:v>ILMU EKONOMI ISLAM</x:v>
      </x:c>
      <x:c r="G1357" s="66" t="str">
        <x:v>Sarjana</x:v>
      </x:c>
      <x:c r="H1357" s="87" t="n">
        <x:v>10</x:v>
      </x:c>
      <x:c r="I1357" s="87" t="n">
        <x:v>200</x:v>
      </x:c>
      <x:c r="J1357" s="68" t="n">
        <x:f>IFERROR(H1357/I1357,"")</x:f>
        <x:v>0.05</x:v>
      </x:c>
      <x:c r="K1357" s="69" t="n">
        <x:f>IFERROR(I1357/H1357,"")</x:f>
        <x:v>20</x:v>
      </x:c>
      <x:c r="L1357" s="66" t="str">
        <x:f>IF(K1357="","","1 : "&amp;TEXT(K1357,"0.0"))</x:f>
        <x:v>1 : 20.0</x:v>
      </x:c>
      <x:c r="M1357" s="66" t="str">
        <x:f>IF(J1357="","Baru/Tanpa Data",IF(J1357&lt;='Catatan &amp; Sumber'!$B$14,"Sangat Ketat",IF(J1357&lt;='Catatan &amp; Sumber'!$B$15,"Ketat",IF(J1357&lt;='Catatan &amp; Sumber'!$B$16,"Sedang","Relatif Longgar"))))</x:f>
        <x:v>Ketat</x:v>
      </x:c>
      <x:c r="N1357" s="66" t="str">
        <x:v>Tidak Ada</x:v>
      </x:c>
      <x:c r="O1357" s="66" t="str">
        <x:v>Jakarta Raya</x:v>
      </x:c>
      <x:c r="P1357" s="66" t="str">
        <x:v>Kota Jakarta Pusat</x:v>
      </x:c>
      <x:c r="Q1357" s="66" t="str">
        <x:v>https://snpmb.id/snbp/daya-tampung-snbp</x:v>
      </x:c>
      <x:c r="R1357" s="66" t="str">
        <x:v>https://sidatagrun-public-1076756628210.asia-southeast2.run.app/ptn_sn.php?ptn=321</x:v>
      </x:c>
    </x:row>
    <x:row r="1358">
      <x:c r="A1358" s="87" t="n">
        <x:v>505</x:v>
      </x:c>
      <x:c r="B1358" s="66" t="n">
        <x:v>321</x:v>
      </x:c>
      <x:c r="C1358" s="66" t="str">
        <x:v>UNIVERSITAS INDONESIA</x:v>
      </x:c>
      <x:c r="D1358" s="66" t="str">
        <x:v>PTN Akademik</x:v>
      </x:c>
      <x:c r="E1358" s="66" t="str">
        <x:v>13211064</x:v>
      </x:c>
      <x:c r="F1358" s="66" t="str">
        <x:v>BISNIS ISLAM</x:v>
      </x:c>
      <x:c r="G1358" s="66" t="str">
        <x:v>Sarjana</x:v>
      </x:c>
      <x:c r="H1358" s="87" t="n">
        <x:v>10</x:v>
      </x:c>
      <x:c r="I1358" s="87" t="n">
        <x:v>194</x:v>
      </x:c>
      <x:c r="J1358" s="68" t="n">
        <x:f>IFERROR(H1358/I1358,"")</x:f>
        <x:v>0.05154639175257732</x:v>
      </x:c>
      <x:c r="K1358" s="69" t="n">
        <x:f>IFERROR(I1358/H1358,"")</x:f>
        <x:v>19.4</x:v>
      </x:c>
      <x:c r="L1358" s="66" t="str">
        <x:f>IF(K1358="","","1 : "&amp;TEXT(K1358,"0.0"))</x:f>
        <x:v>1 : 19.4</x:v>
      </x:c>
      <x:c r="M1358" s="66" t="str">
        <x:f>IF(J1358="","Baru/Tanpa Data",IF(J1358&lt;='Catatan &amp; Sumber'!$B$14,"Sangat Ketat",IF(J1358&lt;='Catatan &amp; Sumber'!$B$15,"Ketat",IF(J1358&lt;='Catatan &amp; Sumber'!$B$16,"Sedang","Relatif Longgar"))))</x:f>
        <x:v>Sedang</x:v>
      </x:c>
      <x:c r="N1358" s="66" t="str">
        <x:v>Tidak Ada</x:v>
      </x:c>
      <x:c r="O1358" s="66" t="str">
        <x:v>Jakarta Raya</x:v>
      </x:c>
      <x:c r="P1358" s="66" t="str">
        <x:v>Kota Jakarta Pusat</x:v>
      </x:c>
      <x:c r="Q1358" s="66" t="str">
        <x:v>https://snpmb.id/snbp/daya-tampung-snbp</x:v>
      </x:c>
      <x:c r="R1358" s="66" t="str">
        <x:v>https://sidatagrun-public-1076756628210.asia-southeast2.run.app/ptn_sn.php?ptn=321</x:v>
      </x:c>
    </x:row>
    <x:row r="1359">
      <x:c r="A1359" s="87"/>
      <x:c r="B1359" s="66" t="n">
        <x:v>321</x:v>
      </x:c>
      <x:c r="C1359" s="66" t="str">
        <x:v>UNIVERSITAS INDONESIA</x:v>
      </x:c>
      <x:c r="D1359" s="66" t="str">
        <x:v>PTN Akademik</x:v>
      </x:c>
      <x:c r="E1359" s="66" t="str">
        <x:v>13211080</x:v>
      </x:c>
      <x:c r="F1359" s="66" t="str">
        <x:v>KECERDASAN ARTIFISIAL</x:v>
      </x:c>
      <x:c r="G1359" s="66" t="str">
        <x:v>Sarjana</x:v>
      </x:c>
      <x:c r="H1359" s="87" t="n">
        <x:v>12</x:v>
      </x:c>
      <x:c r="I1359" s="87"/>
      <x:c r="J1359" s="68" t="str">
        <x:f>IFERROR(H1359/I1359,"")</x:f>
      </x:c>
      <x:c r="K1359" s="69" t="n">
        <x:f>IFERROR(I1359/H1359,"")</x:f>
        <x:v>0</x:v>
      </x:c>
      <x:c r="L1359" s="66" t="str">
        <x:f>IF(K1359="","","1 : "&amp;TEXT(K1359,"0.0"))</x:f>
      </x:c>
      <x:c r="M1359" s="66" t="str">
        <x:f>IF(J1359="","Baru/Tanpa Data",IF(J1359&lt;='Catatan &amp; Sumber'!$B$14,"Sangat Ketat",IF(J1359&lt;='Catatan &amp; Sumber'!$B$15,"Ketat",IF(J1359&lt;='Catatan &amp; Sumber'!$B$16,"Sedang","Relatif Longgar"))))</x:f>
        <x:v>Baru/Tanpa Data</x:v>
      </x:c>
      <x:c r="N1359" s="66" t="str">
        <x:v>Tidak Ada</x:v>
      </x:c>
      <x:c r="O1359" s="66" t="str">
        <x:v>Jakarta Raya</x:v>
      </x:c>
      <x:c r="P1359" s="66" t="str">
        <x:v>Kota Jakarta Pusat</x:v>
      </x:c>
      <x:c r="Q1359" s="66" t="str">
        <x:v>https://snpmb.id/snbp/daya-tampung-snbp</x:v>
      </x:c>
      <x:c r="R1359" s="66" t="str">
        <x:v>https://sidatagrun-public-1076756628210.asia-southeast2.run.app/ptn_sn.php?ptn=321</x:v>
      </x:c>
    </x:row>
    <x:row r="1360">
      <x:c r="A1360" s="87" t="n">
        <x:v>918</x:v>
      </x:c>
      <x:c r="B1360" s="66" t="n">
        <x:v>321</x:v>
      </x:c>
      <x:c r="C1360" s="66" t="str">
        <x:v>UNIVERSITAS INDONESIA</x:v>
      </x:c>
      <x:c r="D1360" s="66" t="str">
        <x:v>PTN Akademik</x:v>
      </x:c>
      <x:c r="E1360" s="66" t="str">
        <x:v>13212065</x:v>
      </x:c>
      <x:c r="F1360" s="66" t="str">
        <x:v>MANAJEMEN BISNIS PARIWISATA</x:v>
      </x:c>
      <x:c r="G1360" s="66" t="str">
        <x:v>Sarjana Terapan</x:v>
      </x:c>
      <x:c r="H1360" s="87" t="n">
        <x:v>31</x:v>
      </x:c>
      <x:c r="I1360" s="87" t="n">
        <x:v>422</x:v>
      </x:c>
      <x:c r="J1360" s="68" t="n">
        <x:f>IFERROR(H1360/I1360,"")</x:f>
        <x:v>0.07345971563981042</x:v>
      </x:c>
      <x:c r="K1360" s="69" t="n">
        <x:f>IFERROR(I1360/H1360,"")</x:f>
        <x:v>13.612903225806452</x:v>
      </x:c>
      <x:c r="L1360" s="66" t="str">
        <x:f>IF(K1360="","","1 : "&amp;TEXT(K1360,"0.0"))</x:f>
        <x:v>1 : 13.6</x:v>
      </x:c>
      <x:c r="M1360" s="66" t="str">
        <x:f>IF(J1360="","Baru/Tanpa Data",IF(J1360&lt;='Catatan &amp; Sumber'!$B$14,"Sangat Ketat",IF(J1360&lt;='Catatan &amp; Sumber'!$B$15,"Ketat",IF(J1360&lt;='Catatan &amp; Sumber'!$B$16,"Sedang","Relatif Longgar"))))</x:f>
        <x:v>Sedang</x:v>
      </x:c>
      <x:c r="N1360" s="66" t="str">
        <x:v>Tidak Ada</x:v>
      </x:c>
      <x:c r="O1360" s="66" t="str">
        <x:v>Jakarta Raya</x:v>
      </x:c>
      <x:c r="P1360" s="66" t="str">
        <x:v>Kota Jakarta Pusat</x:v>
      </x:c>
      <x:c r="Q1360" s="66" t="str">
        <x:v>https://snpmb.id/snbp/daya-tampung-snbp</x:v>
      </x:c>
      <x:c r="R1360" s="66" t="str">
        <x:v>https://sidatagrun-public-1076756628210.asia-southeast2.run.app/ptn_sn.php?ptn=321</x:v>
      </x:c>
    </x:row>
    <x:row r="1361">
      <x:c r="A1361" s="87" t="n">
        <x:v>1025</x:v>
      </x:c>
      <x:c r="B1361" s="66" t="n">
        <x:v>321</x:v>
      </x:c>
      <x:c r="C1361" s="66" t="str">
        <x:v>UNIVERSITAS INDONESIA</x:v>
      </x:c>
      <x:c r="D1361" s="66" t="str">
        <x:v>PTN Akademik</x:v>
      </x:c>
      <x:c r="E1361" s="66" t="str">
        <x:v>13212066</x:v>
      </x:c>
      <x:c r="F1361" s="66" t="str">
        <x:v>TERAPI OKUPASI</x:v>
      </x:c>
      <x:c r="G1361" s="66" t="str">
        <x:v>Sarjana Terapan</x:v>
      </x:c>
      <x:c r="H1361" s="87" t="n">
        <x:v>31</x:v>
      </x:c>
      <x:c r="I1361" s="87" t="n">
        <x:v>391</x:v>
      </x:c>
      <x:c r="J1361" s="68" t="n">
        <x:f>IFERROR(H1361/I1361,"")</x:f>
        <x:v>0.0792838874680307</x:v>
      </x:c>
      <x:c r="K1361" s="69" t="n">
        <x:f>IFERROR(I1361/H1361,"")</x:f>
        <x:v>12.612903225806452</x:v>
      </x:c>
      <x:c r="L1361" s="66" t="str">
        <x:f>IF(K1361="","","1 : "&amp;TEXT(K1361,"0.0"))</x:f>
        <x:v>1 : 12.6</x:v>
      </x:c>
      <x:c r="M1361" s="66" t="str">
        <x:f>IF(J1361="","Baru/Tanpa Data",IF(J1361&lt;='Catatan &amp; Sumber'!$B$14,"Sangat Ketat",IF(J1361&lt;='Catatan &amp; Sumber'!$B$15,"Ketat",IF(J1361&lt;='Catatan &amp; Sumber'!$B$16,"Sedang","Relatif Longgar"))))</x:f>
        <x:v>Sedang</x:v>
      </x:c>
      <x:c r="N1361" s="66" t="str">
        <x:v>Tidak Ada</x:v>
      </x:c>
      <x:c r="O1361" s="66" t="str">
        <x:v>Jakarta Raya</x:v>
      </x:c>
      <x:c r="P1361" s="66" t="str">
        <x:v>Kota Jakarta Pusat</x:v>
      </x:c>
      <x:c r="Q1361" s="66" t="str">
        <x:v>https://snpmb.id/snbp/daya-tampung-snbp</x:v>
      </x:c>
      <x:c r="R1361" s="66" t="str">
        <x:v>https://sidatagrun-public-1076756628210.asia-southeast2.run.app/ptn_sn.php?ptn=321</x:v>
      </x:c>
    </x:row>
    <x:row r="1362">
      <x:c r="A1362" s="87" t="n">
        <x:v>675</x:v>
      </x:c>
      <x:c r="B1362" s="66" t="n">
        <x:v>321</x:v>
      </x:c>
      <x:c r="C1362" s="66" t="str">
        <x:v>UNIVERSITAS INDONESIA</x:v>
      </x:c>
      <x:c r="D1362" s="66" t="str">
        <x:v>PTN Akademik</x:v>
      </x:c>
      <x:c r="E1362" s="66" t="str">
        <x:v>13212067</x:v>
      </x:c>
      <x:c r="F1362" s="66" t="str">
        <x:v>FISIOTERAPI</x:v>
      </x:c>
      <x:c r="G1362" s="66" t="str">
        <x:v>Sarjana Terapan</x:v>
      </x:c>
      <x:c r="H1362" s="87" t="n">
        <x:v>31</x:v>
      </x:c>
      <x:c r="I1362" s="87" t="n">
        <x:v>513</x:v>
      </x:c>
      <x:c r="J1362" s="68" t="n">
        <x:f>IFERROR(H1362/I1362,"")</x:f>
        <x:v>0.06042884990253411</x:v>
      </x:c>
      <x:c r="K1362" s="69" t="n">
        <x:f>IFERROR(I1362/H1362,"")</x:f>
        <x:v>16.548387096774192</x:v>
      </x:c>
      <x:c r="L1362" s="66" t="str">
        <x:f>IF(K1362="","","1 : "&amp;TEXT(K1362,"0.0"))</x:f>
        <x:v>1 : 16.5</x:v>
      </x:c>
      <x:c r="M1362" s="66" t="str">
        <x:f>IF(J1362="","Baru/Tanpa Data",IF(J1362&lt;='Catatan &amp; Sumber'!$B$14,"Sangat Ketat",IF(J1362&lt;='Catatan &amp; Sumber'!$B$15,"Ketat",IF(J1362&lt;='Catatan &amp; Sumber'!$B$16,"Sedang","Relatif Longgar"))))</x:f>
        <x:v>Sedang</x:v>
      </x:c>
      <x:c r="N1362" s="66" t="str">
        <x:v>Tidak Ada</x:v>
      </x:c>
      <x:c r="O1362" s="66" t="str">
        <x:v>Jakarta Raya</x:v>
      </x:c>
      <x:c r="P1362" s="66" t="str">
        <x:v>Kota Jakarta Pusat</x:v>
      </x:c>
      <x:c r="Q1362" s="66" t="str">
        <x:v>https://snpmb.id/snbp/daya-tampung-snbp</x:v>
      </x:c>
      <x:c r="R1362" s="66" t="str">
        <x:v>https://sidatagrun-public-1076756628210.asia-southeast2.run.app/ptn_sn.php?ptn=321</x:v>
      </x:c>
    </x:row>
    <x:row r="1363">
      <x:c r="A1363" s="87" t="n">
        <x:v>669</x:v>
      </x:c>
      <x:c r="B1363" s="66" t="n">
        <x:v>321</x:v>
      </x:c>
      <x:c r="C1363" s="66" t="str">
        <x:v>UNIVERSITAS INDONESIA</x:v>
      </x:c>
      <x:c r="D1363" s="66" t="str">
        <x:v>PTN Akademik</x:v>
      </x:c>
      <x:c r="E1363" s="66" t="str">
        <x:v>13212068</x:v>
      </x:c>
      <x:c r="F1363" s="66" t="str">
        <x:v>MANAJEMEN REKOD DAN ARSIP</x:v>
      </x:c>
      <x:c r="G1363" s="66" t="str">
        <x:v>Sarjana Terapan</x:v>
      </x:c>
      <x:c r="H1363" s="87" t="n">
        <x:v>31</x:v>
      </x:c>
      <x:c r="I1363" s="87" t="n">
        <x:v>515</x:v>
      </x:c>
      <x:c r="J1363" s="68" t="n">
        <x:f>IFERROR(H1363/I1363,"")</x:f>
        <x:v>0.06019417475728155</x:v>
      </x:c>
      <x:c r="K1363" s="69" t="n">
        <x:f>IFERROR(I1363/H1363,"")</x:f>
        <x:v>16.612903225806452</x:v>
      </x:c>
      <x:c r="L1363" s="66" t="str">
        <x:f>IF(K1363="","","1 : "&amp;TEXT(K1363,"0.0"))</x:f>
        <x:v>1 : 16.6</x:v>
      </x:c>
      <x:c r="M1363" s="66" t="str">
        <x:f>IF(J1363="","Baru/Tanpa Data",IF(J1363&lt;='Catatan &amp; Sumber'!$B$14,"Sangat Ketat",IF(J1363&lt;='Catatan &amp; Sumber'!$B$15,"Ketat",IF(J1363&lt;='Catatan &amp; Sumber'!$B$16,"Sedang","Relatif Longgar"))))</x:f>
        <x:v>Sedang</x:v>
      </x:c>
      <x:c r="N1363" s="66" t="str">
        <x:v>Tidak Ada</x:v>
      </x:c>
      <x:c r="O1363" s="66" t="str">
        <x:v>Jakarta Raya</x:v>
      </x:c>
      <x:c r="P1363" s="66" t="str">
        <x:v>Kota Jakarta Pusat</x:v>
      </x:c>
      <x:c r="Q1363" s="66" t="str">
        <x:v>https://snpmb.id/snbp/daya-tampung-snbp</x:v>
      </x:c>
      <x:c r="R1363" s="66" t="str">
        <x:v>https://sidatagrun-public-1076756628210.asia-southeast2.run.app/ptn_sn.php?ptn=321</x:v>
      </x:c>
    </x:row>
    <x:row r="1364">
      <x:c r="A1364" s="87" t="n">
        <x:v>713</x:v>
      </x:c>
      <x:c r="B1364" s="66" t="n">
        <x:v>321</x:v>
      </x:c>
      <x:c r="C1364" s="66" t="str">
        <x:v>UNIVERSITAS INDONESIA</x:v>
      </x:c>
      <x:c r="D1364" s="66" t="str">
        <x:v>PTN Akademik</x:v>
      </x:c>
      <x:c r="E1364" s="66" t="str">
        <x:v>13212078</x:v>
      </x:c>
      <x:c r="F1364" s="66" t="str">
        <x:v>BISNIS KREATIF</x:v>
      </x:c>
      <x:c r="G1364" s="66" t="str">
        <x:v>Sarjana Terapan</x:v>
      </x:c>
      <x:c r="H1364" s="87" t="n">
        <x:v>31</x:v>
      </x:c>
      <x:c r="I1364" s="87" t="n">
        <x:v>497</x:v>
      </x:c>
      <x:c r="J1364" s="68" t="n">
        <x:f>IFERROR(H1364/I1364,"")</x:f>
        <x:v>0.06237424547283702</x:v>
      </x:c>
      <x:c r="K1364" s="69" t="n">
        <x:f>IFERROR(I1364/H1364,"")</x:f>
        <x:v>16.032258064516128</x:v>
      </x:c>
      <x:c r="L1364" s="66" t="str">
        <x:f>IF(K1364="","","1 : "&amp;TEXT(K1364,"0.0"))</x:f>
        <x:v>1 : 16.0</x:v>
      </x:c>
      <x:c r="M1364" s="66" t="str">
        <x:f>IF(J1364="","Baru/Tanpa Data",IF(J1364&lt;='Catatan &amp; Sumber'!$B$14,"Sangat Ketat",IF(J1364&lt;='Catatan &amp; Sumber'!$B$15,"Ketat",IF(J1364&lt;='Catatan &amp; Sumber'!$B$16,"Sedang","Relatif Longgar"))))</x:f>
        <x:v>Sedang</x:v>
      </x:c>
      <x:c r="N1364" s="66" t="str">
        <x:v>Tidak Ada</x:v>
      </x:c>
      <x:c r="O1364" s="66" t="str">
        <x:v>Jakarta Raya</x:v>
      </x:c>
      <x:c r="P1364" s="66" t="str">
        <x:v>Kota Jakarta Pusat</x:v>
      </x:c>
      <x:c r="Q1364" s="66" t="str">
        <x:v>https://snpmb.id/snbp/daya-tampung-snbp</x:v>
      </x:c>
      <x:c r="R1364" s="66" t="str">
        <x:v>https://sidatagrun-public-1076756628210.asia-southeast2.run.app/ptn_sn.php?ptn=321</x:v>
      </x:c>
    </x:row>
    <x:row r="1365">
      <x:c r="A1365" s="87" t="n">
        <x:v>376</x:v>
      </x:c>
      <x:c r="B1365" s="66" t="n">
        <x:v>321</x:v>
      </x:c>
      <x:c r="C1365" s="66" t="str">
        <x:v>UNIVERSITAS INDONESIA</x:v>
      </x:c>
      <x:c r="D1365" s="66" t="str">
        <x:v>PTN Akademik</x:v>
      </x:c>
      <x:c r="E1365" s="66" t="str">
        <x:v>13212079</x:v>
      </x:c>
      <x:c r="F1365" s="66" t="str">
        <x:v>PRODUKSI MEDIA</x:v>
      </x:c>
      <x:c r="G1365" s="66" t="str">
        <x:v>Sarjana Terapan</x:v>
      </x:c>
      <x:c r="H1365" s="87" t="n">
        <x:v>31</x:v>
      </x:c>
      <x:c r="I1365" s="87" t="n">
        <x:v>679</x:v>
      </x:c>
      <x:c r="J1365" s="68" t="n">
        <x:f>IFERROR(H1365/I1365,"")</x:f>
        <x:v>0.045655375552282766</x:v>
      </x:c>
      <x:c r="K1365" s="69" t="n">
        <x:f>IFERROR(I1365/H1365,"")</x:f>
        <x:v>21.903225806451612</x:v>
      </x:c>
      <x:c r="L1365" s="66" t="str">
        <x:f>IF(K1365="","","1 : "&amp;TEXT(K1365,"0.0"))</x:f>
        <x:v>1 : 21.9</x:v>
      </x:c>
      <x:c r="M1365" s="66" t="str">
        <x:f>IF(J1365="","Baru/Tanpa Data",IF(J1365&lt;='Catatan &amp; Sumber'!$B$14,"Sangat Ketat",IF(J1365&lt;='Catatan &amp; Sumber'!$B$15,"Ketat",IF(J1365&lt;='Catatan &amp; Sumber'!$B$16,"Sedang","Relatif Longgar"))))</x:f>
        <x:v>Ketat</x:v>
      </x:c>
      <x:c r="N1365" s="66" t="str">
        <x:v>Tidak Ada</x:v>
      </x:c>
      <x:c r="O1365" s="66" t="str">
        <x:v>Jakarta Raya</x:v>
      </x:c>
      <x:c r="P1365" s="66" t="str">
        <x:v>Kota Jakarta Pusat</x:v>
      </x:c>
      <x:c r="Q1365" s="66" t="str">
        <x:v>https://snpmb.id/snbp/daya-tampung-snbp</x:v>
      </x:c>
      <x:c r="R1365" s="66" t="str">
        <x:v>https://sidatagrun-public-1076756628210.asia-southeast2.run.app/ptn_sn.php?ptn=321</x:v>
      </x:c>
    </x:row>
    <x:row r="1366">
      <x:c r="A1366" s="87" t="n">
        <x:v>965</x:v>
      </x:c>
      <x:c r="B1366" s="66" t="n">
        <x:v>321</x:v>
      </x:c>
      <x:c r="C1366" s="66" t="str">
        <x:v>UNIVERSITAS INDONESIA</x:v>
      </x:c>
      <x:c r="D1366" s="66" t="str">
        <x:v>PTN Akademik</x:v>
      </x:c>
      <x:c r="E1366" s="66" t="str">
        <x:v>13213069</x:v>
      </x:c>
      <x:c r="F1366" s="66" t="str">
        <x:v>ADMINISTRASI PERPAJAKAN</x:v>
      </x:c>
      <x:c r="G1366" s="66" t="str">
        <x:v>Diploma Tiga</x:v>
      </x:c>
      <x:c r="H1366" s="87" t="n">
        <x:v>20</x:v>
      </x:c>
      <x:c r="I1366" s="87" t="n">
        <x:v>263</x:v>
      </x:c>
      <x:c r="J1366" s="68" t="n">
        <x:f>IFERROR(H1366/I1366,"")</x:f>
        <x:v>0.07604562737642585</x:v>
      </x:c>
      <x:c r="K1366" s="69" t="n">
        <x:f>IFERROR(I1366/H1366,"")</x:f>
        <x:v>13.15</x:v>
      </x:c>
      <x:c r="L1366" s="66" t="str">
        <x:f>IF(K1366="","","1 : "&amp;TEXT(K1366,"0.0"))</x:f>
        <x:v>1 : 13.2</x:v>
      </x:c>
      <x:c r="M1366" s="66" t="str">
        <x:f>IF(J1366="","Baru/Tanpa Data",IF(J1366&lt;='Catatan &amp; Sumber'!$B$14,"Sangat Ketat",IF(J1366&lt;='Catatan &amp; Sumber'!$B$15,"Ketat",IF(J1366&lt;='Catatan &amp; Sumber'!$B$16,"Sedang","Relatif Longgar"))))</x:f>
        <x:v>Sedang</x:v>
      </x:c>
      <x:c r="N1366" s="66" t="str">
        <x:v>Tidak Ada</x:v>
      </x:c>
      <x:c r="O1366" s="66" t="str">
        <x:v>Jakarta Raya</x:v>
      </x:c>
      <x:c r="P1366" s="66" t="str">
        <x:v>Kota Jakarta Pusat</x:v>
      </x:c>
      <x:c r="Q1366" s="66" t="str">
        <x:v>https://snpmb.id/snbp/daya-tampung-snbp</x:v>
      </x:c>
      <x:c r="R1366" s="66" t="str">
        <x:v>https://sidatagrun-public-1076756628210.asia-southeast2.run.app/ptn_sn.php?ptn=321</x:v>
      </x:c>
    </x:row>
    <x:row r="1367">
      <x:c r="A1367" s="87" t="n">
        <x:v>905</x:v>
      </x:c>
      <x:c r="B1367" s="66" t="n">
        <x:v>321</x:v>
      </x:c>
      <x:c r="C1367" s="66" t="str">
        <x:v>UNIVERSITAS INDONESIA</x:v>
      </x:c>
      <x:c r="D1367" s="66" t="str">
        <x:v>PTN Akademik</x:v>
      </x:c>
      <x:c r="E1367" s="66" t="str">
        <x:v>13213070</x:v>
      </x:c>
      <x:c r="F1367" s="66" t="str">
        <x:v>ADMINISTRASI PERKANTORAN</x:v>
      </x:c>
      <x:c r="G1367" s="66" t="str">
        <x:v>Diploma Tiga</x:v>
      </x:c>
      <x:c r="H1367" s="87" t="n">
        <x:v>20</x:v>
      </x:c>
      <x:c r="I1367" s="87" t="n">
        <x:v>275</x:v>
      </x:c>
      <x:c r="J1367" s="68" t="n">
        <x:f>IFERROR(H1367/I1367,"")</x:f>
        <x:v>0.07272727272727272</x:v>
      </x:c>
      <x:c r="K1367" s="69" t="n">
        <x:f>IFERROR(I1367/H1367,"")</x:f>
        <x:v>13.75</x:v>
      </x:c>
      <x:c r="L1367" s="66" t="str">
        <x:f>IF(K1367="","","1 : "&amp;TEXT(K1367,"0.0"))</x:f>
        <x:v>1 : 13.8</x:v>
      </x:c>
      <x:c r="M1367" s="66" t="str">
        <x:f>IF(J1367="","Baru/Tanpa Data",IF(J1367&lt;='Catatan &amp; Sumber'!$B$14,"Sangat Ketat",IF(J1367&lt;='Catatan &amp; Sumber'!$B$15,"Ketat",IF(J1367&lt;='Catatan &amp; Sumber'!$B$16,"Sedang","Relatif Longgar"))))</x:f>
        <x:v>Sedang</x:v>
      </x:c>
      <x:c r="N1367" s="66" t="str">
        <x:v>Tidak Ada</x:v>
      </x:c>
      <x:c r="O1367" s="66" t="str">
        <x:v>Jakarta Raya</x:v>
      </x:c>
      <x:c r="P1367" s="66" t="str">
        <x:v>Kota Jakarta Pusat</x:v>
      </x:c>
      <x:c r="Q1367" s="66" t="str">
        <x:v>https://snpmb.id/snbp/daya-tampung-snbp</x:v>
      </x:c>
      <x:c r="R1367" s="66" t="str">
        <x:v>https://sidatagrun-public-1076756628210.asia-southeast2.run.app/ptn_sn.php?ptn=321</x:v>
      </x:c>
    </x:row>
    <x:row r="1368">
      <x:c r="A1368" s="87" t="n">
        <x:v>923</x:v>
      </x:c>
      <x:c r="B1368" s="66" t="n">
        <x:v>321</x:v>
      </x:c>
      <x:c r="C1368" s="66" t="str">
        <x:v>UNIVERSITAS INDONESIA</x:v>
      </x:c>
      <x:c r="D1368" s="66" t="str">
        <x:v>PTN Akademik</x:v>
      </x:c>
      <x:c r="E1368" s="66" t="str">
        <x:v>13213071</x:v>
      </x:c>
      <x:c r="F1368" s="66" t="str">
        <x:v>ADMINISTRASI RUMAH SAKIT</x:v>
      </x:c>
      <x:c r="G1368" s="66" t="str">
        <x:v>Diploma Tiga</x:v>
      </x:c>
      <x:c r="H1368" s="87" t="n">
        <x:v>20</x:v>
      </x:c>
      <x:c r="I1368" s="87" t="n">
        <x:v>271</x:v>
      </x:c>
      <x:c r="J1368" s="68" t="n">
        <x:f>IFERROR(H1368/I1368,"")</x:f>
        <x:v>0.07380073800738007</x:v>
      </x:c>
      <x:c r="K1368" s="69" t="n">
        <x:f>IFERROR(I1368/H1368,"")</x:f>
        <x:v>13.55</x:v>
      </x:c>
      <x:c r="L1368" s="66" t="str">
        <x:f>IF(K1368="","","1 : "&amp;TEXT(K1368,"0.0"))</x:f>
        <x:v>1 : 13.6</x:v>
      </x:c>
      <x:c r="M1368" s="66" t="str">
        <x:f>IF(J1368="","Baru/Tanpa Data",IF(J1368&lt;='Catatan &amp; Sumber'!$B$14,"Sangat Ketat",IF(J1368&lt;='Catatan &amp; Sumber'!$B$15,"Ketat",IF(J1368&lt;='Catatan &amp; Sumber'!$B$16,"Sedang","Relatif Longgar"))))</x:f>
        <x:v>Sedang</x:v>
      </x:c>
      <x:c r="N1368" s="66" t="str">
        <x:v>Tidak Ada</x:v>
      </x:c>
      <x:c r="O1368" s="66" t="str">
        <x:v>Jakarta Raya</x:v>
      </x:c>
      <x:c r="P1368" s="66" t="str">
        <x:v>Kota Jakarta Pusat</x:v>
      </x:c>
      <x:c r="Q1368" s="66" t="str">
        <x:v>https://snpmb.id/snbp/daya-tampung-snbp</x:v>
      </x:c>
      <x:c r="R1368" s="66" t="str">
        <x:v>https://sidatagrun-public-1076756628210.asia-southeast2.run.app/ptn_sn.php?ptn=321</x:v>
      </x:c>
    </x:row>
    <x:row r="1369">
      <x:c r="A1369" s="87" t="n">
        <x:v>1150</x:v>
      </x:c>
      <x:c r="B1369" s="66" t="n">
        <x:v>321</x:v>
      </x:c>
      <x:c r="C1369" s="66" t="str">
        <x:v>UNIVERSITAS INDONESIA</x:v>
      </x:c>
      <x:c r="D1369" s="66" t="str">
        <x:v>PTN Akademik</x:v>
      </x:c>
      <x:c r="E1369" s="66" t="str">
        <x:v>13213072</x:v>
      </x:c>
      <x:c r="F1369" s="66" t="str">
        <x:v>PENYIARAN MULTIMEDIA</x:v>
      </x:c>
      <x:c r="G1369" s="66" t="str">
        <x:v>Diploma Tiga</x:v>
      </x:c>
      <x:c r="H1369" s="87" t="n">
        <x:v>20</x:v>
      </x:c>
      <x:c r="I1369" s="87" t="n">
        <x:v>230</x:v>
      </x:c>
      <x:c r="J1369" s="68" t="n">
        <x:f>IFERROR(H1369/I1369,"")</x:f>
        <x:v>0.08695652173913043</x:v>
      </x:c>
      <x:c r="K1369" s="69" t="n">
        <x:f>IFERROR(I1369/H1369,"")</x:f>
        <x:v>11.5</x:v>
      </x:c>
      <x:c r="L1369" s="66" t="str">
        <x:f>IF(K1369="","","1 : "&amp;TEXT(K1369,"0.0"))</x:f>
        <x:v>1 : 11.5</x:v>
      </x:c>
      <x:c r="M1369" s="66" t="str">
        <x:f>IF(J1369="","Baru/Tanpa Data",IF(J1369&lt;='Catatan &amp; Sumber'!$B$14,"Sangat Ketat",IF(J1369&lt;='Catatan &amp; Sumber'!$B$15,"Ketat",IF(J1369&lt;='Catatan &amp; Sumber'!$B$16,"Sedang","Relatif Longgar"))))</x:f>
        <x:v>Sedang</x:v>
      </x:c>
      <x:c r="N1369" s="66" t="str">
        <x:v>Tidak Ada</x:v>
      </x:c>
      <x:c r="O1369" s="66" t="str">
        <x:v>Jakarta Raya</x:v>
      </x:c>
      <x:c r="P1369" s="66" t="str">
        <x:v>Kota Jakarta Pusat</x:v>
      </x:c>
      <x:c r="Q1369" s="66" t="str">
        <x:v>https://snpmb.id/snbp/daya-tampung-snbp</x:v>
      </x:c>
      <x:c r="R1369" s="66" t="str">
        <x:v>https://sidatagrun-public-1076756628210.asia-southeast2.run.app/ptn_sn.php?ptn=321</x:v>
      </x:c>
    </x:row>
    <x:row r="1370">
      <x:c r="A1370" s="87" t="n">
        <x:v>1720</x:v>
      </x:c>
      <x:c r="B1370" s="66" t="n">
        <x:v>321</x:v>
      </x:c>
      <x:c r="C1370" s="66" t="str">
        <x:v>UNIVERSITAS INDONESIA</x:v>
      </x:c>
      <x:c r="D1370" s="66" t="str">
        <x:v>PTN Akademik</x:v>
      </x:c>
      <x:c r="E1370" s="66" t="str">
        <x:v>13213073</x:v>
      </x:c>
      <x:c r="F1370" s="66" t="str">
        <x:v>ADMINISTRASI ASURANSI &amp; AKTUARIA</x:v>
      </x:c>
      <x:c r="G1370" s="66" t="str">
        <x:v>Diploma Tiga</x:v>
      </x:c>
      <x:c r="H1370" s="87" t="n">
        <x:v>20</x:v>
      </x:c>
      <x:c r="I1370" s="87" t="n">
        <x:v>159</x:v>
      </x:c>
      <x:c r="J1370" s="68" t="n">
        <x:f>IFERROR(H1370/I1370,"")</x:f>
        <x:v>0.12578616352201258</x:v>
      </x:c>
      <x:c r="K1370" s="69" t="n">
        <x:f>IFERROR(I1370/H1370,"")</x:f>
        <x:v>7.95</x:v>
      </x:c>
      <x:c r="L1370" s="66" t="str">
        <x:f>IF(K1370="","","1 : "&amp;TEXT(K1370,"0.0"))</x:f>
        <x:v>1 : 8.0</x:v>
      </x:c>
      <x:c r="M1370" s="66" t="str">
        <x:f>IF(J1370="","Baru/Tanpa Data",IF(J1370&lt;='Catatan &amp; Sumber'!$B$14,"Sangat Ketat",IF(J1370&lt;='Catatan &amp; Sumber'!$B$15,"Ketat",IF(J1370&lt;='Catatan &amp; Sumber'!$B$16,"Sedang","Relatif Longgar"))))</x:f>
        <x:v>Relatif Longgar</x:v>
      </x:c>
      <x:c r="N1370" s="66" t="str">
        <x:v>Tidak Ada</x:v>
      </x:c>
      <x:c r="O1370" s="66" t="str">
        <x:v>Jakarta Raya</x:v>
      </x:c>
      <x:c r="P1370" s="66" t="str">
        <x:v>Kota Jakarta Pusat</x:v>
      </x:c>
      <x:c r="Q1370" s="66" t="str">
        <x:v>https://snpmb.id/snbp/daya-tampung-snbp</x:v>
      </x:c>
      <x:c r="R1370" s="66" t="str">
        <x:v>https://sidatagrun-public-1076756628210.asia-southeast2.run.app/ptn_sn.php?ptn=321</x:v>
      </x:c>
    </x:row>
    <x:row r="1371">
      <x:c r="A1371" s="87" t="n">
        <x:v>1060</x:v>
      </x:c>
      <x:c r="B1371" s="66" t="n">
        <x:v>321</x:v>
      </x:c>
      <x:c r="C1371" s="66" t="str">
        <x:v>UNIVERSITAS INDONESIA</x:v>
      </x:c>
      <x:c r="D1371" s="66" t="str">
        <x:v>PTN Akademik</x:v>
      </x:c>
      <x:c r="E1371" s="66" t="str">
        <x:v>13213074</x:v>
      </x:c>
      <x:c r="F1371" s="66" t="str">
        <x:v>HUBUNGAN MASYARAKAT</x:v>
      </x:c>
      <x:c r="G1371" s="66" t="str">
        <x:v>Diploma Tiga</x:v>
      </x:c>
      <x:c r="H1371" s="87" t="n">
        <x:v>20</x:v>
      </x:c>
      <x:c r="I1371" s="87" t="n">
        <x:v>245</x:v>
      </x:c>
      <x:c r="J1371" s="68" t="n">
        <x:f>IFERROR(H1371/I1371,"")</x:f>
        <x:v>0.08163265306122448</x:v>
      </x:c>
      <x:c r="K1371" s="69" t="n">
        <x:f>IFERROR(I1371/H1371,"")</x:f>
        <x:v>12.25</x:v>
      </x:c>
      <x:c r="L1371" s="66" t="str">
        <x:f>IF(K1371="","","1 : "&amp;TEXT(K1371,"0.0"))</x:f>
        <x:v>1 : 12.3</x:v>
      </x:c>
      <x:c r="M1371" s="66" t="str">
        <x:f>IF(J1371="","Baru/Tanpa Data",IF(J1371&lt;='Catatan &amp; Sumber'!$B$14,"Sangat Ketat",IF(J1371&lt;='Catatan &amp; Sumber'!$B$15,"Ketat",IF(J1371&lt;='Catatan &amp; Sumber'!$B$16,"Sedang","Relatif Longgar"))))</x:f>
        <x:v>Sedang</x:v>
      </x:c>
      <x:c r="N1371" s="66" t="str">
        <x:v>Tidak Ada</x:v>
      </x:c>
      <x:c r="O1371" s="66" t="str">
        <x:v>Jakarta Raya</x:v>
      </x:c>
      <x:c r="P1371" s="66" t="str">
        <x:v>Kota Jakarta Pusat</x:v>
      </x:c>
      <x:c r="Q1371" s="66" t="str">
        <x:v>https://snpmb.id/snbp/daya-tampung-snbp</x:v>
      </x:c>
      <x:c r="R1371" s="66" t="str">
        <x:v>https://sidatagrun-public-1076756628210.asia-southeast2.run.app/ptn_sn.php?ptn=321</x:v>
      </x:c>
    </x:row>
    <x:row r="1372">
      <x:c r="A1372" s="87" t="n">
        <x:v>695</x:v>
      </x:c>
      <x:c r="B1372" s="66" t="n">
        <x:v>321</x:v>
      </x:c>
      <x:c r="C1372" s="66" t="str">
        <x:v>UNIVERSITAS INDONESIA</x:v>
      </x:c>
      <x:c r="D1372" s="66" t="str">
        <x:v>PTN Akademik</x:v>
      </x:c>
      <x:c r="E1372" s="66" t="str">
        <x:v>13213075</x:v>
      </x:c>
      <x:c r="F1372" s="66" t="str">
        <x:v>PERIKLANAN KREATIF</x:v>
      </x:c>
      <x:c r="G1372" s="66" t="str">
        <x:v>Diploma Tiga</x:v>
      </x:c>
      <x:c r="H1372" s="87" t="n">
        <x:v>20</x:v>
      </x:c>
      <x:c r="I1372" s="87" t="n">
        <x:v>324</x:v>
      </x:c>
      <x:c r="J1372" s="68" t="n">
        <x:f>IFERROR(H1372/I1372,"")</x:f>
        <x:v>0.06172839506172839</x:v>
      </x:c>
      <x:c r="K1372" s="69" t="n">
        <x:f>IFERROR(I1372/H1372,"")</x:f>
        <x:v>16.2</x:v>
      </x:c>
      <x:c r="L1372" s="66" t="str">
        <x:f>IF(K1372="","","1 : "&amp;TEXT(K1372,"0.0"))</x:f>
        <x:v>1 : 16.2</x:v>
      </x:c>
      <x:c r="M1372" s="66" t="str">
        <x:f>IF(J1372="","Baru/Tanpa Data",IF(J1372&lt;='Catatan &amp; Sumber'!$B$14,"Sangat Ketat",IF(J1372&lt;='Catatan &amp; Sumber'!$B$15,"Ketat",IF(J1372&lt;='Catatan &amp; Sumber'!$B$16,"Sedang","Relatif Longgar"))))</x:f>
        <x:v>Sedang</x:v>
      </x:c>
      <x:c r="N1372" s="66" t="str">
        <x:v>Tidak Ada</x:v>
      </x:c>
      <x:c r="O1372" s="66" t="str">
        <x:v>Jakarta Raya</x:v>
      </x:c>
      <x:c r="P1372" s="66" t="str">
        <x:v>Kota Jakarta Pusat</x:v>
      </x:c>
      <x:c r="Q1372" s="66" t="str">
        <x:v>https://snpmb.id/snbp/daya-tampung-snbp</x:v>
      </x:c>
      <x:c r="R1372" s="66" t="str">
        <x:v>https://sidatagrun-public-1076756628210.asia-southeast2.run.app/ptn_sn.php?ptn=321</x:v>
      </x:c>
    </x:row>
    <x:row r="1373">
      <x:c r="A1373" s="87" t="n">
        <x:v>886</x:v>
      </x:c>
      <x:c r="B1373" s="66" t="n">
        <x:v>321</x:v>
      </x:c>
      <x:c r="C1373" s="66" t="str">
        <x:v>UNIVERSITAS INDONESIA</x:v>
      </x:c>
      <x:c r="D1373" s="66" t="str">
        <x:v>PTN Akademik</x:v>
      </x:c>
      <x:c r="E1373" s="66" t="str">
        <x:v>13213076</x:v>
      </x:c>
      <x:c r="F1373" s="66" t="str">
        <x:v>AKUNTANSI</x:v>
      </x:c>
      <x:c r="G1373" s="66" t="str">
        <x:v>Diploma Tiga</x:v>
      </x:c>
      <x:c r="H1373" s="87" t="n">
        <x:v>20</x:v>
      </x:c>
      <x:c r="I1373" s="87" t="n">
        <x:v>281</x:v>
      </x:c>
      <x:c r="J1373" s="68" t="n">
        <x:f>IFERROR(H1373/I1373,"")</x:f>
        <x:v>0.0711743772241993</x:v>
      </x:c>
      <x:c r="K1373" s="69" t="n">
        <x:f>IFERROR(I1373/H1373,"")</x:f>
        <x:v>14.05</x:v>
      </x:c>
      <x:c r="L1373" s="66" t="str">
        <x:f>IF(K1373="","","1 : "&amp;TEXT(K1373,"0.0"))</x:f>
        <x:v>1 : 14.1</x:v>
      </x:c>
      <x:c r="M1373" s="66" t="str">
        <x:f>IF(J1373="","Baru/Tanpa Data",IF(J1373&lt;='Catatan &amp; Sumber'!$B$14,"Sangat Ketat",IF(J1373&lt;='Catatan &amp; Sumber'!$B$15,"Ketat",IF(J1373&lt;='Catatan &amp; Sumber'!$B$16,"Sedang","Relatif Longgar"))))</x:f>
        <x:v>Sedang</x:v>
      </x:c>
      <x:c r="N1373" s="66" t="str">
        <x:v>Tidak Ada</x:v>
      </x:c>
      <x:c r="O1373" s="66" t="str">
        <x:v>Jakarta Raya</x:v>
      </x:c>
      <x:c r="P1373" s="66" t="str">
        <x:v>Kota Jakarta Pusat</x:v>
      </x:c>
      <x:c r="Q1373" s="66" t="str">
        <x:v>https://snpmb.id/snbp/daya-tampung-snbp</x:v>
      </x:c>
      <x:c r="R1373" s="66" t="str">
        <x:v>https://sidatagrun-public-1076756628210.asia-southeast2.run.app/ptn_sn.php?ptn=321</x:v>
      </x:c>
    </x:row>
    <x:row r="1374">
      <x:c r="A1374" s="87" t="n">
        <x:v>1001</x:v>
      </x:c>
      <x:c r="B1374" s="66" t="n">
        <x:v>321</x:v>
      </x:c>
      <x:c r="C1374" s="66" t="str">
        <x:v>UNIVERSITAS INDONESIA</x:v>
      </x:c>
      <x:c r="D1374" s="66" t="str">
        <x:v>PTN Akademik</x:v>
      </x:c>
      <x:c r="E1374" s="66" t="str">
        <x:v>13213077</x:v>
      </x:c>
      <x:c r="F1374" s="66" t="str">
        <x:v>ADMINISTRASI KEUANGAN DAN PERBANKAN</x:v>
      </x:c>
      <x:c r="G1374" s="66" t="str">
        <x:v>Diploma Tiga</x:v>
      </x:c>
      <x:c r="H1374" s="87" t="n">
        <x:v>20</x:v>
      </x:c>
      <x:c r="I1374" s="87" t="n">
        <x:v>256</x:v>
      </x:c>
      <x:c r="J1374" s="68" t="n">
        <x:f>IFERROR(H1374/I1374,"")</x:f>
        <x:v>0.078125</x:v>
      </x:c>
      <x:c r="K1374" s="69" t="n">
        <x:f>IFERROR(I1374/H1374,"")</x:f>
        <x:v>12.8</x:v>
      </x:c>
      <x:c r="L1374" s="66" t="str">
        <x:f>IF(K1374="","","1 : "&amp;TEXT(K1374,"0.0"))</x:f>
        <x:v>1 : 12.8</x:v>
      </x:c>
      <x:c r="M1374" s="66" t="str">
        <x:f>IF(J1374="","Baru/Tanpa Data",IF(J1374&lt;='Catatan &amp; Sumber'!$B$14,"Sangat Ketat",IF(J1374&lt;='Catatan &amp; Sumber'!$B$15,"Ketat",IF(J1374&lt;='Catatan &amp; Sumber'!$B$16,"Sedang","Relatif Longgar"))))</x:f>
        <x:v>Sedang</x:v>
      </x:c>
      <x:c r="N1374" s="66" t="str">
        <x:v>Tidak Ada</x:v>
      </x:c>
      <x:c r="O1374" s="66" t="str">
        <x:v>Jakarta Raya</x:v>
      </x:c>
      <x:c r="P1374" s="66" t="str">
        <x:v>Kota Jakarta Pusat</x:v>
      </x:c>
      <x:c r="Q1374" s="66" t="str">
        <x:v>https://snpmb.id/snbp/daya-tampung-snbp</x:v>
      </x:c>
      <x:c r="R1374" s="66" t="str">
        <x:v>https://sidatagrun-public-1076756628210.asia-southeast2.run.app/ptn_sn.php?ptn=321</x:v>
      </x:c>
    </x:row>
    <x:row r="1375">
      <x:c r="A1375" s="87" t="n">
        <x:v>1649</x:v>
      </x:c>
      <x:c r="B1375" s="66" t="n">
        <x:v>322</x:v>
      </x:c>
      <x:c r="C1375" s="66" t="str">
        <x:v>UIN JAKARTA</x:v>
      </x:c>
      <x:c r="D1375" s="66" t="str">
        <x:v>PTKIN</x:v>
      </x:c>
      <x:c r="E1375" s="66" t="str">
        <x:v>13221001</x:v>
      </x:c>
      <x:c r="F1375" s="66" t="str">
        <x:v>SOSIAL EKONOMI PERTANIAN / AGRIBISNIS</x:v>
      </x:c>
      <x:c r="G1375" s="66" t="str">
        <x:v>Sarjana</x:v>
      </x:c>
      <x:c r="H1375" s="87" t="n">
        <x:v>31</x:v>
      </x:c>
      <x:c r="I1375" s="87" t="n">
        <x:v>258</x:v>
      </x:c>
      <x:c r="J1375" s="68" t="n">
        <x:f>IFERROR(H1375/I1375,"")</x:f>
        <x:v>0.12015503875968993</x:v>
      </x:c>
      <x:c r="K1375" s="69" t="n">
        <x:f>IFERROR(I1375/H1375,"")</x:f>
        <x:v>8.32258064516129</x:v>
      </x:c>
      <x:c r="L1375" s="66" t="str">
        <x:f>IF(K1375="","","1 : "&amp;TEXT(K1375,"0.0"))</x:f>
        <x:v>1 : 8.3</x:v>
      </x:c>
      <x:c r="M1375" s="66" t="str">
        <x:f>IF(J1375="","Baru/Tanpa Data",IF(J1375&lt;='Catatan &amp; Sumber'!$B$14,"Sangat Ketat",IF(J1375&lt;='Catatan &amp; Sumber'!$B$15,"Ketat",IF(J1375&lt;='Catatan &amp; Sumber'!$B$16,"Sedang","Relatif Longgar"))))</x:f>
        <x:v>Relatif Longgar</x:v>
      </x:c>
      <x:c r="N1375" s="66" t="str">
        <x:v>Tidak Ada</x:v>
      </x:c>
      <x:c r="O1375" s="66" t="str">
        <x:v>Banten</x:v>
      </x:c>
      <x:c r="P1375" s="66" t="str">
        <x:v>Kota Tangerang Selatan</x:v>
      </x:c>
      <x:c r="Q1375" s="66" t="str">
        <x:v>https://snpmb.id/snbp/daya-tampung-snbp</x:v>
      </x:c>
      <x:c r="R1375" s="66" t="str">
        <x:v>https://sidatagrun-public-1076756628210.asia-southeast2.run.app/ptn_sn.php?ptn=322</x:v>
      </x:c>
    </x:row>
    <x:row r="1376">
      <x:c r="A1376" s="87" t="n">
        <x:v>286</x:v>
      </x:c>
      <x:c r="B1376" s="66" t="n">
        <x:v>322</x:v>
      </x:c>
      <x:c r="C1376" s="66" t="str">
        <x:v>UIN JAKARTA</x:v>
      </x:c>
      <x:c r="D1376" s="66" t="str">
        <x:v>PTKIN</x:v>
      </x:c>
      <x:c r="E1376" s="66" t="str">
        <x:v>13221002</x:v>
      </x:c>
      <x:c r="F1376" s="66" t="str">
        <x:v>TEKNIK INFORMATIKA</x:v>
      </x:c>
      <x:c r="G1376" s="66" t="str">
        <x:v>Sarjana</x:v>
      </x:c>
      <x:c r="H1376" s="87" t="n">
        <x:v>31</x:v>
      </x:c>
      <x:c r="I1376" s="87" t="n">
        <x:v>741</x:v>
      </x:c>
      <x:c r="J1376" s="68" t="n">
        <x:f>IFERROR(H1376/I1376,"")</x:f>
        <x:v>0.04183535762483131</x:v>
      </x:c>
      <x:c r="K1376" s="69" t="n">
        <x:f>IFERROR(I1376/H1376,"")</x:f>
        <x:v>23.903225806451612</x:v>
      </x:c>
      <x:c r="L1376" s="66" t="str">
        <x:f>IF(K1376="","","1 : "&amp;TEXT(K1376,"0.0"))</x:f>
        <x:v>1 : 23.9</x:v>
      </x:c>
      <x:c r="M1376" s="66" t="str">
        <x:f>IF(J1376="","Baru/Tanpa Data",IF(J1376&lt;='Catatan &amp; Sumber'!$B$14,"Sangat Ketat",IF(J1376&lt;='Catatan &amp; Sumber'!$B$15,"Ketat",IF(J1376&lt;='Catatan &amp; Sumber'!$B$16,"Sedang","Relatif Longgar"))))</x:f>
        <x:v>Ketat</x:v>
      </x:c>
      <x:c r="N1376" s="66" t="str">
        <x:v>Tidak Ada</x:v>
      </x:c>
      <x:c r="O1376" s="66" t="str">
        <x:v>Banten</x:v>
      </x:c>
      <x:c r="P1376" s="66" t="str">
        <x:v>Kota Tangerang Selatan</x:v>
      </x:c>
      <x:c r="Q1376" s="66" t="str">
        <x:v>https://snpmb.id/snbp/daya-tampung-snbp</x:v>
      </x:c>
      <x:c r="R1376" s="66" t="str">
        <x:v>https://sidatagrun-public-1076756628210.asia-southeast2.run.app/ptn_sn.php?ptn=322</x:v>
      </x:c>
    </x:row>
    <x:row r="1377">
      <x:c r="A1377" s="87" t="n">
        <x:v>602</x:v>
      </x:c>
      <x:c r="B1377" s="66" t="n">
        <x:v>322</x:v>
      </x:c>
      <x:c r="C1377" s="66" t="str">
        <x:v>UIN JAKARTA</x:v>
      </x:c>
      <x:c r="D1377" s="66" t="str">
        <x:v>PTKIN</x:v>
      </x:c>
      <x:c r="E1377" s="66" t="str">
        <x:v>13221003</x:v>
      </x:c>
      <x:c r="F1377" s="66" t="str">
        <x:v>SISTEM INFORMASI</x:v>
      </x:c>
      <x:c r="G1377" s="66" t="str">
        <x:v>Sarjana</x:v>
      </x:c>
      <x:c r="H1377" s="87" t="n">
        <x:v>37</x:v>
      </x:c>
      <x:c r="I1377" s="87" t="n">
        <x:v>644</x:v>
      </x:c>
      <x:c r="J1377" s="68" t="n">
        <x:f>IFERROR(H1377/I1377,"")</x:f>
        <x:v>0.05745341614906832</x:v>
      </x:c>
      <x:c r="K1377" s="69" t="n">
        <x:f>IFERROR(I1377/H1377,"")</x:f>
        <x:v>17.405405405405407</x:v>
      </x:c>
      <x:c r="L1377" s="66" t="str">
        <x:f>IF(K1377="","","1 : "&amp;TEXT(K1377,"0.0"))</x:f>
        <x:v>1 : 17.4</x:v>
      </x:c>
      <x:c r="M1377" s="66" t="str">
        <x:f>IF(J1377="","Baru/Tanpa Data",IF(J1377&lt;='Catatan &amp; Sumber'!$B$14,"Sangat Ketat",IF(J1377&lt;='Catatan &amp; Sumber'!$B$15,"Ketat",IF(J1377&lt;='Catatan &amp; Sumber'!$B$16,"Sedang","Relatif Longgar"))))</x:f>
        <x:v>Sedang</x:v>
      </x:c>
      <x:c r="N1377" s="66" t="str">
        <x:v>Tidak Ada</x:v>
      </x:c>
      <x:c r="O1377" s="66" t="str">
        <x:v>Banten</x:v>
      </x:c>
      <x:c r="P1377" s="66" t="str">
        <x:v>Kota Tangerang Selatan</x:v>
      </x:c>
      <x:c r="Q1377" s="66" t="str">
        <x:v>https://snpmb.id/snbp/daya-tampung-snbp</x:v>
      </x:c>
      <x:c r="R1377" s="66" t="str">
        <x:v>https://sidatagrun-public-1076756628210.asia-southeast2.run.app/ptn_sn.php?ptn=322</x:v>
      </x:c>
    </x:row>
    <x:row r="1378">
      <x:c r="A1378" s="87" t="n">
        <x:v>2995</x:v>
      </x:c>
      <x:c r="B1378" s="66" t="n">
        <x:v>322</x:v>
      </x:c>
      <x:c r="C1378" s="66" t="str">
        <x:v>UIN JAKARTA</x:v>
      </x:c>
      <x:c r="D1378" s="66" t="str">
        <x:v>PTKIN</x:v>
      </x:c>
      <x:c r="E1378" s="66" t="str">
        <x:v>13221004</x:v>
      </x:c>
      <x:c r="F1378" s="66" t="str">
        <x:v>MATEMATIKA</x:v>
      </x:c>
      <x:c r="G1378" s="66" t="str">
        <x:v>Sarjana</x:v>
      </x:c>
      <x:c r="H1378" s="87" t="n">
        <x:v>31</x:v>
      </x:c>
      <x:c r="I1378" s="87" t="n">
        <x:v>106</x:v>
      </x:c>
      <x:c r="J1378" s="68" t="n">
        <x:f>IFERROR(H1378/I1378,"")</x:f>
        <x:v>0.29245283018867924</x:v>
      </x:c>
      <x:c r="K1378" s="69" t="n">
        <x:f>IFERROR(I1378/H1378,"")</x:f>
        <x:v>3.4193548387096775</x:v>
      </x:c>
      <x:c r="L1378" s="66" t="str">
        <x:f>IF(K1378="","","1 : "&amp;TEXT(K1378,"0.0"))</x:f>
        <x:v>1 : 3.4</x:v>
      </x:c>
      <x:c r="M1378" s="66" t="str">
        <x:f>IF(J1378="","Baru/Tanpa Data",IF(J1378&lt;='Catatan &amp; Sumber'!$B$14,"Sangat Ketat",IF(J1378&lt;='Catatan &amp; Sumber'!$B$15,"Ketat",IF(J1378&lt;='Catatan &amp; Sumber'!$B$16,"Sedang","Relatif Longgar"))))</x:f>
        <x:v>Relatif Longgar</x:v>
      </x:c>
      <x:c r="N1378" s="66" t="str">
        <x:v>Tidak Ada</x:v>
      </x:c>
      <x:c r="O1378" s="66" t="str">
        <x:v>Banten</x:v>
      </x:c>
      <x:c r="P1378" s="66" t="str">
        <x:v>Kota Tangerang Selatan</x:v>
      </x:c>
      <x:c r="Q1378" s="66" t="str">
        <x:v>https://snpmb.id/snbp/daya-tampung-snbp</x:v>
      </x:c>
      <x:c r="R1378" s="66" t="str">
        <x:v>https://sidatagrun-public-1076756628210.asia-southeast2.run.app/ptn_sn.php?ptn=322</x:v>
      </x:c>
    </x:row>
    <x:row r="1379">
      <x:c r="A1379" s="87" t="n">
        <x:v>2197</x:v>
      </x:c>
      <x:c r="B1379" s="66" t="n">
        <x:v>322</x:v>
      </x:c>
      <x:c r="C1379" s="66" t="str">
        <x:v>UIN JAKARTA</x:v>
      </x:c>
      <x:c r="D1379" s="66" t="str">
        <x:v>PTKIN</x:v>
      </x:c>
      <x:c r="E1379" s="66" t="str">
        <x:v>13221005</x:v>
      </x:c>
      <x:c r="F1379" s="66" t="str">
        <x:v>BIOLOGI</x:v>
      </x:c>
      <x:c r="G1379" s="66" t="str">
        <x:v>Sarjana</x:v>
      </x:c>
      <x:c r="H1379" s="87" t="n">
        <x:v>31</x:v>
      </x:c>
      <x:c r="I1379" s="87" t="n">
        <x:v>181</x:v>
      </x:c>
      <x:c r="J1379" s="68" t="n">
        <x:f>IFERROR(H1379/I1379,"")</x:f>
        <x:v>0.1712707182320442</x:v>
      </x:c>
      <x:c r="K1379" s="69" t="n">
        <x:f>IFERROR(I1379/H1379,"")</x:f>
        <x:v>5.838709677419355</x:v>
      </x:c>
      <x:c r="L1379" s="66" t="str">
        <x:f>IF(K1379="","","1 : "&amp;TEXT(K1379,"0.0"))</x:f>
        <x:v>1 : 5.8</x:v>
      </x:c>
      <x:c r="M1379" s="66" t="str">
        <x:f>IF(J1379="","Baru/Tanpa Data",IF(J1379&lt;='Catatan &amp; Sumber'!$B$14,"Sangat Ketat",IF(J1379&lt;='Catatan &amp; Sumber'!$B$15,"Ketat",IF(J1379&lt;='Catatan &amp; Sumber'!$B$16,"Sedang","Relatif Longgar"))))</x:f>
        <x:v>Relatif Longgar</x:v>
      </x:c>
      <x:c r="N1379" s="66" t="str">
        <x:v>Tidak Ada</x:v>
      </x:c>
      <x:c r="O1379" s="66" t="str">
        <x:v>Banten</x:v>
      </x:c>
      <x:c r="P1379" s="66" t="str">
        <x:v>Kota Tangerang Selatan</x:v>
      </x:c>
      <x:c r="Q1379" s="66" t="str">
        <x:v>https://snpmb.id/snbp/daya-tampung-snbp</x:v>
      </x:c>
      <x:c r="R1379" s="66" t="str">
        <x:v>https://sidatagrun-public-1076756628210.asia-southeast2.run.app/ptn_sn.php?ptn=322</x:v>
      </x:c>
    </x:row>
    <x:row r="1380">
      <x:c r="A1380" s="87" t="n">
        <x:v>3019</x:v>
      </x:c>
      <x:c r="B1380" s="66" t="n">
        <x:v>322</x:v>
      </x:c>
      <x:c r="C1380" s="66" t="str">
        <x:v>UIN JAKARTA</x:v>
      </x:c>
      <x:c r="D1380" s="66" t="str">
        <x:v>PTKIN</x:v>
      </x:c>
      <x:c r="E1380" s="66" t="str">
        <x:v>13221006</x:v>
      </x:c>
      <x:c r="F1380" s="66" t="str">
        <x:v>KIMIA</x:v>
      </x:c>
      <x:c r="G1380" s="66" t="str">
        <x:v>Sarjana</x:v>
      </x:c>
      <x:c r="H1380" s="87" t="n">
        <x:v>37</x:v>
      </x:c>
      <x:c r="I1380" s="87" t="n">
        <x:v>124</x:v>
      </x:c>
      <x:c r="J1380" s="68" t="n">
        <x:f>IFERROR(H1380/I1380,"")</x:f>
        <x:v>0.29838709677419356</x:v>
      </x:c>
      <x:c r="K1380" s="69" t="n">
        <x:f>IFERROR(I1380/H1380,"")</x:f>
        <x:v>3.3513513513513513</x:v>
      </x:c>
      <x:c r="L1380" s="66" t="str">
        <x:f>IF(K1380="","","1 : "&amp;TEXT(K1380,"0.0"))</x:f>
        <x:v>1 : 3.4</x:v>
      </x:c>
      <x:c r="M1380" s="66" t="str">
        <x:f>IF(J1380="","Baru/Tanpa Data",IF(J1380&lt;='Catatan &amp; Sumber'!$B$14,"Sangat Ketat",IF(J1380&lt;='Catatan &amp; Sumber'!$B$15,"Ketat",IF(J1380&lt;='Catatan &amp; Sumber'!$B$16,"Sedang","Relatif Longgar"))))</x:f>
        <x:v>Relatif Longgar</x:v>
      </x:c>
      <x:c r="N1380" s="66" t="str">
        <x:v>Tidak Ada</x:v>
      </x:c>
      <x:c r="O1380" s="66" t="str">
        <x:v>Banten</x:v>
      </x:c>
      <x:c r="P1380" s="66" t="str">
        <x:v>Kota Tangerang Selatan</x:v>
      </x:c>
      <x:c r="Q1380" s="66" t="str">
        <x:v>https://snpmb.id/snbp/daya-tampung-snbp</x:v>
      </x:c>
      <x:c r="R1380" s="66" t="str">
        <x:v>https://sidatagrun-public-1076756628210.asia-southeast2.run.app/ptn_sn.php?ptn=322</x:v>
      </x:c>
    </x:row>
    <x:row r="1381">
      <x:c r="A1381" s="87" t="n">
        <x:v>3472</x:v>
      </x:c>
      <x:c r="B1381" s="66" t="n">
        <x:v>322</x:v>
      </x:c>
      <x:c r="C1381" s="66" t="str">
        <x:v>UIN JAKARTA</x:v>
      </x:c>
      <x:c r="D1381" s="66" t="str">
        <x:v>PTKIN</x:v>
      </x:c>
      <x:c r="E1381" s="66" t="str">
        <x:v>13221007</x:v>
      </x:c>
      <x:c r="F1381" s="66" t="str">
        <x:v>FISIKA</x:v>
      </x:c>
      <x:c r="G1381" s="66" t="str">
        <x:v>Sarjana</x:v>
      </x:c>
      <x:c r="H1381" s="87" t="n">
        <x:v>28</x:v>
      </x:c>
      <x:c r="I1381" s="87" t="n">
        <x:v>66</x:v>
      </x:c>
      <x:c r="J1381" s="68" t="n">
        <x:f>IFERROR(H1381/I1381,"")</x:f>
        <x:v>0.42424242424242425</x:v>
      </x:c>
      <x:c r="K1381" s="69" t="n">
        <x:f>IFERROR(I1381/H1381,"")</x:f>
        <x:v>2.357142857142857</x:v>
      </x:c>
      <x:c r="L1381" s="66" t="str">
        <x:f>IF(K1381="","","1 : "&amp;TEXT(K1381,"0.0"))</x:f>
        <x:v>1 : 2.4</x:v>
      </x:c>
      <x:c r="M1381" s="66" t="str">
        <x:f>IF(J1381="","Baru/Tanpa Data",IF(J1381&lt;='Catatan &amp; Sumber'!$B$14,"Sangat Ketat",IF(J1381&lt;='Catatan &amp; Sumber'!$B$15,"Ketat",IF(J1381&lt;='Catatan &amp; Sumber'!$B$16,"Sedang","Relatif Longgar"))))</x:f>
        <x:v>Relatif Longgar</x:v>
      </x:c>
      <x:c r="N1381" s="66" t="str">
        <x:v>Tidak Ada</x:v>
      </x:c>
      <x:c r="O1381" s="66" t="str">
        <x:v>Banten</x:v>
      </x:c>
      <x:c r="P1381" s="66" t="str">
        <x:v>Kota Tangerang Selatan</x:v>
      </x:c>
      <x:c r="Q1381" s="66" t="str">
        <x:v>https://snpmb.id/snbp/daya-tampung-snbp</x:v>
      </x:c>
      <x:c r="R1381" s="66" t="str">
        <x:v>https://sidatagrun-public-1076756628210.asia-southeast2.run.app/ptn_sn.php?ptn=322</x:v>
      </x:c>
    </x:row>
    <x:row r="1382">
      <x:c r="A1382" s="87" t="n">
        <x:v>754</x:v>
      </x:c>
      <x:c r="B1382" s="66" t="n">
        <x:v>322</x:v>
      </x:c>
      <x:c r="C1382" s="66" t="str">
        <x:v>UIN JAKARTA</x:v>
      </x:c>
      <x:c r="D1382" s="66" t="str">
        <x:v>PTKIN</x:v>
      </x:c>
      <x:c r="E1382" s="66" t="str">
        <x:v>13221008</x:v>
      </x:c>
      <x:c r="F1382" s="66" t="str">
        <x:v>KESEHATAN MASYARAKAT</x:v>
      </x:c>
      <x:c r="G1382" s="66" t="str">
        <x:v>Sarjana</x:v>
      </x:c>
      <x:c r="H1382" s="87" t="n">
        <x:v>37</x:v>
      </x:c>
      <x:c r="I1382" s="87" t="n">
        <x:v>571</x:v>
      </x:c>
      <x:c r="J1382" s="68" t="n">
        <x:f>IFERROR(H1382/I1382,"")</x:f>
        <x:v>0.0647985989492119</x:v>
      </x:c>
      <x:c r="K1382" s="69" t="n">
        <x:f>IFERROR(I1382/H1382,"")</x:f>
        <x:v>15.432432432432432</x:v>
      </x:c>
      <x:c r="L1382" s="66" t="str">
        <x:f>IF(K1382="","","1 : "&amp;TEXT(K1382,"0.0"))</x:f>
        <x:v>1 : 15.4</x:v>
      </x:c>
      <x:c r="M1382" s="66" t="str">
        <x:f>IF(J1382="","Baru/Tanpa Data",IF(J1382&lt;='Catatan &amp; Sumber'!$B$14,"Sangat Ketat",IF(J1382&lt;='Catatan &amp; Sumber'!$B$15,"Ketat",IF(J1382&lt;='Catatan &amp; Sumber'!$B$16,"Sedang","Relatif Longgar"))))</x:f>
        <x:v>Sedang</x:v>
      </x:c>
      <x:c r="N1382" s="66" t="str">
        <x:v>Tidak Ada</x:v>
      </x:c>
      <x:c r="O1382" s="66" t="str">
        <x:v>Banten</x:v>
      </x:c>
      <x:c r="P1382" s="66" t="str">
        <x:v>Kota Tangerang Selatan</x:v>
      </x:c>
      <x:c r="Q1382" s="66" t="str">
        <x:v>https://snpmb.id/snbp/daya-tampung-snbp</x:v>
      </x:c>
      <x:c r="R1382" s="66" t="str">
        <x:v>https://sidatagrun-public-1076756628210.asia-southeast2.run.app/ptn_sn.php?ptn=322</x:v>
      </x:c>
    </x:row>
    <x:row r="1383">
      <x:c r="A1383" s="87" t="n">
        <x:v>168</x:v>
      </x:c>
      <x:c r="B1383" s="66" t="n">
        <x:v>322</x:v>
      </x:c>
      <x:c r="C1383" s="66" t="str">
        <x:v>UIN JAKARTA</x:v>
      </x:c>
      <x:c r="D1383" s="66" t="str">
        <x:v>PTKIN</x:v>
      </x:c>
      <x:c r="E1383" s="66" t="str">
        <x:v>13221009</x:v>
      </x:c>
      <x:c r="F1383" s="66" t="str">
        <x:v>FARMASI</x:v>
      </x:c>
      <x:c r="G1383" s="66" t="str">
        <x:v>Sarjana</x:v>
      </x:c>
      <x:c r="H1383" s="87" t="n">
        <x:v>31</x:v>
      </x:c>
      <x:c r="I1383" s="87" t="n">
        <x:v>891</x:v>
      </x:c>
      <x:c r="J1383" s="68" t="n">
        <x:f>IFERROR(H1383/I1383,"")</x:f>
        <x:v>0.03479236812570146</x:v>
      </x:c>
      <x:c r="K1383" s="69" t="n">
        <x:f>IFERROR(I1383/H1383,"")</x:f>
        <x:v>28.741935483870968</x:v>
      </x:c>
      <x:c r="L1383" s="66" t="str">
        <x:f>IF(K1383="","","1 : "&amp;TEXT(K1383,"0.0"))</x:f>
        <x:v>1 : 28.7</x:v>
      </x:c>
      <x:c r="M1383" s="66" t="str">
        <x:f>IF(J1383="","Baru/Tanpa Data",IF(J1383&lt;='Catatan &amp; Sumber'!$B$14,"Sangat Ketat",IF(J1383&lt;='Catatan &amp; Sumber'!$B$15,"Ketat",IF(J1383&lt;='Catatan &amp; Sumber'!$B$16,"Sedang","Relatif Longgar"))))</x:f>
        <x:v>Ketat</x:v>
      </x:c>
      <x:c r="N1383" s="66" t="str">
        <x:v>Tidak Ada</x:v>
      </x:c>
      <x:c r="O1383" s="66" t="str">
        <x:v>Banten</x:v>
      </x:c>
      <x:c r="P1383" s="66" t="str">
        <x:v>Kota Tangerang Selatan</x:v>
      </x:c>
      <x:c r="Q1383" s="66" t="str">
        <x:v>https://snpmb.id/snbp/daya-tampung-snbp</x:v>
      </x:c>
      <x:c r="R1383" s="66" t="str">
        <x:v>https://sidatagrun-public-1076756628210.asia-southeast2.run.app/ptn_sn.php?ptn=322</x:v>
      </x:c>
    </x:row>
    <x:row r="1384">
      <x:c r="A1384" s="87" t="n">
        <x:v>220</x:v>
      </x:c>
      <x:c r="B1384" s="66" t="n">
        <x:v>322</x:v>
      </x:c>
      <x:c r="C1384" s="66" t="str">
        <x:v>UIN JAKARTA</x:v>
      </x:c>
      <x:c r="D1384" s="66" t="str">
        <x:v>PTKIN</x:v>
      </x:c>
      <x:c r="E1384" s="66" t="str">
        <x:v>13221010</x:v>
      </x:c>
      <x:c r="F1384" s="66" t="str">
        <x:v>ILMU KEPERAWATAN</x:v>
      </x:c>
      <x:c r="G1384" s="66" t="str">
        <x:v>Sarjana</x:v>
      </x:c>
      <x:c r="H1384" s="87" t="n">
        <x:v>31</x:v>
      </x:c>
      <x:c r="I1384" s="87" t="n">
        <x:v>822</x:v>
      </x:c>
      <x:c r="J1384" s="68" t="n">
        <x:f>IFERROR(H1384/I1384,"")</x:f>
        <x:v>0.037712895377128956</x:v>
      </x:c>
      <x:c r="K1384" s="69" t="n">
        <x:f>IFERROR(I1384/H1384,"")</x:f>
        <x:v>26.516129032258064</x:v>
      </x:c>
      <x:c r="L1384" s="66" t="str">
        <x:f>IF(K1384="","","1 : "&amp;TEXT(K1384,"0.0"))</x:f>
        <x:v>1 : 26.5</x:v>
      </x:c>
      <x:c r="M1384" s="66" t="str">
        <x:f>IF(J1384="","Baru/Tanpa Data",IF(J1384&lt;='Catatan &amp; Sumber'!$B$14,"Sangat Ketat",IF(J1384&lt;='Catatan &amp; Sumber'!$B$15,"Ketat",IF(J1384&lt;='Catatan &amp; Sumber'!$B$16,"Sedang","Relatif Longgar"))))</x:f>
        <x:v>Ketat</x:v>
      </x:c>
      <x:c r="N1384" s="66" t="str">
        <x:v>Tidak Ada</x:v>
      </x:c>
      <x:c r="O1384" s="66" t="str">
        <x:v>Banten</x:v>
      </x:c>
      <x:c r="P1384" s="66" t="str">
        <x:v>Kota Tangerang Selatan</x:v>
      </x:c>
      <x:c r="Q1384" s="66" t="str">
        <x:v>https://snpmb.id/snbp/daya-tampung-snbp</x:v>
      </x:c>
      <x:c r="R1384" s="66" t="str">
        <x:v>https://sidatagrun-public-1076756628210.asia-southeast2.run.app/ptn_sn.php?ptn=322</x:v>
      </x:c>
    </x:row>
    <x:row r="1385">
      <x:c r="A1385" s="87" t="n">
        <x:v>387</x:v>
      </x:c>
      <x:c r="B1385" s="66" t="n">
        <x:v>322</x:v>
      </x:c>
      <x:c r="C1385" s="66" t="str">
        <x:v>UIN JAKARTA</x:v>
      </x:c>
      <x:c r="D1385" s="66" t="str">
        <x:v>PTKIN</x:v>
      </x:c>
      <x:c r="E1385" s="66" t="str">
        <x:v>13221011</x:v>
      </x:c>
      <x:c r="F1385" s="66" t="str">
        <x:v>PENDIDIKAN DOKTER</x:v>
      </x:c>
      <x:c r="G1385" s="66" t="str">
        <x:v>Sarjana</x:v>
      </x:c>
      <x:c r="H1385" s="87" t="n">
        <x:v>31</x:v>
      </x:c>
      <x:c r="I1385" s="87" t="n">
        <x:v>673</x:v>
      </x:c>
      <x:c r="J1385" s="68" t="n">
        <x:f>IFERROR(H1385/I1385,"")</x:f>
        <x:v>0.04606240713224369</x:v>
      </x:c>
      <x:c r="K1385" s="69" t="n">
        <x:f>IFERROR(I1385/H1385,"")</x:f>
        <x:v>21.70967741935484</x:v>
      </x:c>
      <x:c r="L1385" s="66" t="str">
        <x:f>IF(K1385="","","1 : "&amp;TEXT(K1385,"0.0"))</x:f>
        <x:v>1 : 21.7</x:v>
      </x:c>
      <x:c r="M1385" s="66" t="str">
        <x:f>IF(J1385="","Baru/Tanpa Data",IF(J1385&lt;='Catatan &amp; Sumber'!$B$14,"Sangat Ketat",IF(J1385&lt;='Catatan &amp; Sumber'!$B$15,"Ketat",IF(J1385&lt;='Catatan &amp; Sumber'!$B$16,"Sedang","Relatif Longgar"))))</x:f>
        <x:v>Ketat</x:v>
      </x:c>
      <x:c r="N1385" s="66" t="str">
        <x:v>Tidak Ada</x:v>
      </x:c>
      <x:c r="O1385" s="66" t="str">
        <x:v>Banten</x:v>
      </x:c>
      <x:c r="P1385" s="66" t="str">
        <x:v>Kota Tangerang Selatan</x:v>
      </x:c>
      <x:c r="Q1385" s="66" t="str">
        <x:v>https://snpmb.id/snbp/daya-tampung-snbp</x:v>
      </x:c>
      <x:c r="R1385" s="66" t="str">
        <x:v>https://sidatagrun-public-1076756628210.asia-southeast2.run.app/ptn_sn.php?ptn=322</x:v>
      </x:c>
    </x:row>
    <x:row r="1386">
      <x:c r="A1386" s="87" t="n">
        <x:v>3250</x:v>
      </x:c>
      <x:c r="B1386" s="66" t="n">
        <x:v>322</x:v>
      </x:c>
      <x:c r="C1386" s="66" t="str">
        <x:v>UIN JAKARTA</x:v>
      </x:c>
      <x:c r="D1386" s="66" t="str">
        <x:v>PTKIN</x:v>
      </x:c>
      <x:c r="E1386" s="66" t="str">
        <x:v>13221012</x:v>
      </x:c>
      <x:c r="F1386" s="66" t="str">
        <x:v>PENDIDIKAN MATEMATIKA</x:v>
      </x:c>
      <x:c r="G1386" s="66" t="str">
        <x:v>Sarjana</x:v>
      </x:c>
      <x:c r="H1386" s="87" t="n">
        <x:v>50</x:v>
      </x:c>
      <x:c r="I1386" s="87" t="n">
        <x:v>140</x:v>
      </x:c>
      <x:c r="J1386" s="68" t="n">
        <x:f>IFERROR(H1386/I1386,"")</x:f>
        <x:v>0.35714285714285715</x:v>
      </x:c>
      <x:c r="K1386" s="69" t="n">
        <x:f>IFERROR(I1386/H1386,"")</x:f>
        <x:v>2.8</x:v>
      </x:c>
      <x:c r="L1386" s="66" t="str">
        <x:f>IF(K1386="","","1 : "&amp;TEXT(K1386,"0.0"))</x:f>
        <x:v>1 : 2.8</x:v>
      </x:c>
      <x:c r="M1386" s="66" t="str">
        <x:f>IF(J1386="","Baru/Tanpa Data",IF(J1386&lt;='Catatan &amp; Sumber'!$B$14,"Sangat Ketat",IF(J1386&lt;='Catatan &amp; Sumber'!$B$15,"Ketat",IF(J1386&lt;='Catatan &amp; Sumber'!$B$16,"Sedang","Relatif Longgar"))))</x:f>
        <x:v>Relatif Longgar</x:v>
      </x:c>
      <x:c r="N1386" s="66" t="str">
        <x:v>Tidak Ada</x:v>
      </x:c>
      <x:c r="O1386" s="66" t="str">
        <x:v>Banten</x:v>
      </x:c>
      <x:c r="P1386" s="66" t="str">
        <x:v>Kota Tangerang Selatan</x:v>
      </x:c>
      <x:c r="Q1386" s="66" t="str">
        <x:v>https://snpmb.id/snbp/daya-tampung-snbp</x:v>
      </x:c>
      <x:c r="R1386" s="66" t="str">
        <x:v>https://sidatagrun-public-1076756628210.asia-southeast2.run.app/ptn_sn.php?ptn=322</x:v>
      </x:c>
    </x:row>
    <x:row r="1387">
      <x:c r="A1387" s="87" t="n">
        <x:v>4294</x:v>
      </x:c>
      <x:c r="B1387" s="66" t="n">
        <x:v>322</x:v>
      </x:c>
      <x:c r="C1387" s="66" t="str">
        <x:v>UIN JAKARTA</x:v>
      </x:c>
      <x:c r="D1387" s="66" t="str">
        <x:v>PTKIN</x:v>
      </x:c>
      <x:c r="E1387" s="66" t="str">
        <x:v>13221014</x:v>
      </x:c>
      <x:c r="F1387" s="66" t="str">
        <x:v>PENDIDIKAN KIMIA</x:v>
      </x:c>
      <x:c r="G1387" s="66" t="str">
        <x:v>Sarjana</x:v>
      </x:c>
      <x:c r="H1387" s="87" t="n">
        <x:v>50</x:v>
      </x:c>
      <x:c r="I1387" s="87" t="n">
        <x:v>52</x:v>
      </x:c>
      <x:c r="J1387" s="68" t="n">
        <x:f>IFERROR(H1387/I1387,"")</x:f>
        <x:v>0.9615384615384616</x:v>
      </x:c>
      <x:c r="K1387" s="69" t="n">
        <x:f>IFERROR(I1387/H1387,"")</x:f>
        <x:v>1.04</x:v>
      </x:c>
      <x:c r="L1387" s="66" t="str">
        <x:f>IF(K1387="","","1 : "&amp;TEXT(K1387,"0.0"))</x:f>
        <x:v>1 : 1.0</x:v>
      </x:c>
      <x:c r="M1387" s="66" t="str">
        <x:f>IF(J1387="","Baru/Tanpa Data",IF(J1387&lt;='Catatan &amp; Sumber'!$B$14,"Sangat Ketat",IF(J1387&lt;='Catatan &amp; Sumber'!$B$15,"Ketat",IF(J1387&lt;='Catatan &amp; Sumber'!$B$16,"Sedang","Relatif Longgar"))))</x:f>
        <x:v>Relatif Longgar</x:v>
      </x:c>
      <x:c r="N1387" s="66" t="str">
        <x:v>Tidak Ada</x:v>
      </x:c>
      <x:c r="O1387" s="66" t="str">
        <x:v>Banten</x:v>
      </x:c>
      <x:c r="P1387" s="66" t="str">
        <x:v>Kota Tangerang Selatan</x:v>
      </x:c>
      <x:c r="Q1387" s="66" t="str">
        <x:v>https://snpmb.id/snbp/daya-tampung-snbp</x:v>
      </x:c>
      <x:c r="R1387" s="66" t="str">
        <x:v>https://sidatagrun-public-1076756628210.asia-southeast2.run.app/ptn_sn.php?ptn=322</x:v>
      </x:c>
    </x:row>
    <x:row r="1388">
      <x:c r="A1388" s="87" t="n">
        <x:v>958</x:v>
      </x:c>
      <x:c r="B1388" s="66" t="n">
        <x:v>322</x:v>
      </x:c>
      <x:c r="C1388" s="66" t="str">
        <x:v>UIN JAKARTA</x:v>
      </x:c>
      <x:c r="D1388" s="66" t="str">
        <x:v>PTKIN</x:v>
      </x:c>
      <x:c r="E1388" s="66" t="str">
        <x:v>13221016</x:v>
      </x:c>
      <x:c r="F1388" s="66" t="str">
        <x:v>TEKNIK PERTAMBANGAN</x:v>
      </x:c>
      <x:c r="G1388" s="66" t="str">
        <x:v>Sarjana</x:v>
      </x:c>
      <x:c r="H1388" s="87" t="n">
        <x:v>25</x:v>
      </x:c>
      <x:c r="I1388" s="87" t="n">
        <x:v>330</x:v>
      </x:c>
      <x:c r="J1388" s="68" t="n">
        <x:f>IFERROR(H1388/I1388,"")</x:f>
        <x:v>0.07575757575757576</x:v>
      </x:c>
      <x:c r="K1388" s="69" t="n">
        <x:f>IFERROR(I1388/H1388,"")</x:f>
        <x:v>13.2</x:v>
      </x:c>
      <x:c r="L1388" s="66" t="str">
        <x:f>IF(K1388="","","1 : "&amp;TEXT(K1388,"0.0"))</x:f>
        <x:v>1 : 13.2</x:v>
      </x:c>
      <x:c r="M1388" s="66" t="str">
        <x:f>IF(J1388="","Baru/Tanpa Data",IF(J1388&lt;='Catatan &amp; Sumber'!$B$14,"Sangat Ketat",IF(J1388&lt;='Catatan &amp; Sumber'!$B$15,"Ketat",IF(J1388&lt;='Catatan &amp; Sumber'!$B$16,"Sedang","Relatif Longgar"))))</x:f>
        <x:v>Sedang</x:v>
      </x:c>
      <x:c r="N1388" s="66" t="str">
        <x:v>Tidak Ada</x:v>
      </x:c>
      <x:c r="O1388" s="66" t="str">
        <x:v>Banten</x:v>
      </x:c>
      <x:c r="P1388" s="66" t="str">
        <x:v>Kota Tangerang Selatan</x:v>
      </x:c>
      <x:c r="Q1388" s="66" t="str">
        <x:v>https://snpmb.id/snbp/daya-tampung-snbp</x:v>
      </x:c>
      <x:c r="R1388" s="66" t="str">
        <x:v>https://sidatagrun-public-1076756628210.asia-southeast2.run.app/ptn_sn.php?ptn=322</x:v>
      </x:c>
    </x:row>
    <x:row r="1389">
      <x:c r="A1389" s="87" t="n">
        <x:v>629</x:v>
      </x:c>
      <x:c r="B1389" s="66" t="n">
        <x:v>322</x:v>
      </x:c>
      <x:c r="C1389" s="66" t="str">
        <x:v>UIN JAKARTA</x:v>
      </x:c>
      <x:c r="D1389" s="66" t="str">
        <x:v>PTKIN</x:v>
      </x:c>
      <x:c r="E1389" s="66" t="str">
        <x:v>13221017</x:v>
      </x:c>
      <x:c r="F1389" s="66" t="str">
        <x:v>AKUNTANSI</x:v>
      </x:c>
      <x:c r="G1389" s="66" t="str">
        <x:v>Sarjana</x:v>
      </x:c>
      <x:c r="H1389" s="87" t="n">
        <x:v>40</x:v>
      </x:c>
      <x:c r="I1389" s="87" t="n">
        <x:v>683</x:v>
      </x:c>
      <x:c r="J1389" s="68" t="n">
        <x:f>IFERROR(H1389/I1389,"")</x:f>
        <x:v>0.05856515373352855</x:v>
      </x:c>
      <x:c r="K1389" s="69" t="n">
        <x:f>IFERROR(I1389/H1389,"")</x:f>
        <x:v>17.075</x:v>
      </x:c>
      <x:c r="L1389" s="66" t="str">
        <x:f>IF(K1389="","","1 : "&amp;TEXT(K1389,"0.0"))</x:f>
        <x:v>1 : 17.1</x:v>
      </x:c>
      <x:c r="M1389" s="66" t="str">
        <x:f>IF(J1389="","Baru/Tanpa Data",IF(J1389&lt;='Catatan &amp; Sumber'!$B$14,"Sangat Ketat",IF(J1389&lt;='Catatan &amp; Sumber'!$B$15,"Ketat",IF(J1389&lt;='Catatan &amp; Sumber'!$B$16,"Sedang","Relatif Longgar"))))</x:f>
        <x:v>Sedang</x:v>
      </x:c>
      <x:c r="N1389" s="66" t="str">
        <x:v>Tidak Ada</x:v>
      </x:c>
      <x:c r="O1389" s="66" t="str">
        <x:v>Banten</x:v>
      </x:c>
      <x:c r="P1389" s="66" t="str">
        <x:v>Kota Tangerang Selatan</x:v>
      </x:c>
      <x:c r="Q1389" s="66" t="str">
        <x:v>https://snpmb.id/snbp/daya-tampung-snbp</x:v>
      </x:c>
      <x:c r="R1389" s="66" t="str">
        <x:v>https://sidatagrun-public-1076756628210.asia-southeast2.run.app/ptn_sn.php?ptn=322</x:v>
      </x:c>
    </x:row>
    <x:row r="1390">
      <x:c r="A1390" s="87" t="n">
        <x:v>1076</x:v>
      </x:c>
      <x:c r="B1390" s="66" t="n">
        <x:v>322</x:v>
      </x:c>
      <x:c r="C1390" s="66" t="str">
        <x:v>UIN JAKARTA</x:v>
      </x:c>
      <x:c r="D1390" s="66" t="str">
        <x:v>PTKIN</x:v>
      </x:c>
      <x:c r="E1390" s="66" t="str">
        <x:v>13221020</x:v>
      </x:c>
      <x:c r="F1390" s="66" t="str">
        <x:v>ILMU EKONOMI DAN STUDI PEMBANGUNAN</x:v>
      </x:c>
      <x:c r="G1390" s="66" t="str">
        <x:v>Sarjana</x:v>
      </x:c>
      <x:c r="H1390" s="87" t="n">
        <x:v>32</x:v>
      </x:c>
      <x:c r="I1390" s="87" t="n">
        <x:v>390</x:v>
      </x:c>
      <x:c r="J1390" s="68" t="n">
        <x:f>IFERROR(H1390/I1390,"")</x:f>
        <x:v>0.08205128205128205</x:v>
      </x:c>
      <x:c r="K1390" s="69" t="n">
        <x:f>IFERROR(I1390/H1390,"")</x:f>
        <x:v>12.1875</x:v>
      </x:c>
      <x:c r="L1390" s="66" t="str">
        <x:f>IF(K1390="","","1 : "&amp;TEXT(K1390,"0.0"))</x:f>
        <x:v>1 : 12.2</x:v>
      </x:c>
      <x:c r="M1390" s="66" t="str">
        <x:f>IF(J1390="","Baru/Tanpa Data",IF(J1390&lt;='Catatan &amp; Sumber'!$B$14,"Sangat Ketat",IF(J1390&lt;='Catatan &amp; Sumber'!$B$15,"Ketat",IF(J1390&lt;='Catatan &amp; Sumber'!$B$16,"Sedang","Relatif Longgar"))))</x:f>
        <x:v>Sedang</x:v>
      </x:c>
      <x:c r="N1390" s="66" t="str">
        <x:v>Tidak Ada</x:v>
      </x:c>
      <x:c r="O1390" s="66" t="str">
        <x:v>Banten</x:v>
      </x:c>
      <x:c r="P1390" s="66" t="str">
        <x:v>Kota Tangerang Selatan</x:v>
      </x:c>
      <x:c r="Q1390" s="66" t="str">
        <x:v>https://snpmb.id/snbp/daya-tampung-snbp</x:v>
      </x:c>
      <x:c r="R1390" s="66" t="str">
        <x:v>https://sidatagrun-public-1076756628210.asia-southeast2.run.app/ptn_sn.php?ptn=322</x:v>
      </x:c>
    </x:row>
    <x:row r="1391">
      <x:c r="A1391" s="87" t="n">
        <x:v>1289</x:v>
      </x:c>
      <x:c r="B1391" s="66" t="n">
        <x:v>322</x:v>
      </x:c>
      <x:c r="C1391" s="66" t="str">
        <x:v>UIN JAKARTA</x:v>
      </x:c>
      <x:c r="D1391" s="66" t="str">
        <x:v>PTKIN</x:v>
      </x:c>
      <x:c r="E1391" s="66" t="str">
        <x:v>13221021</x:v>
      </x:c>
      <x:c r="F1391" s="66" t="str">
        <x:v>ILMU HUBUNGAN INTERNASIONAL</x:v>
      </x:c>
      <x:c r="G1391" s="66" t="str">
        <x:v>Sarjana</x:v>
      </x:c>
      <x:c r="H1391" s="87" t="n">
        <x:v>36</x:v>
      </x:c>
      <x:c r="I1391" s="87" t="n">
        <x:v>380</x:v>
      </x:c>
      <x:c r="J1391" s="68" t="n">
        <x:f>IFERROR(H1391/I1391,"")</x:f>
        <x:v>0.09473684210526316</x:v>
      </x:c>
      <x:c r="K1391" s="69" t="n">
        <x:f>IFERROR(I1391/H1391,"")</x:f>
        <x:v>10.555555555555555</x:v>
      </x:c>
      <x:c r="L1391" s="66" t="str">
        <x:f>IF(K1391="","","1 : "&amp;TEXT(K1391,"0.0"))</x:f>
        <x:v>1 : 10.6</x:v>
      </x:c>
      <x:c r="M1391" s="66" t="str">
        <x:f>IF(J1391="","Baru/Tanpa Data",IF(J1391&lt;='Catatan &amp; Sumber'!$B$14,"Sangat Ketat",IF(J1391&lt;='Catatan &amp; Sumber'!$B$15,"Ketat",IF(J1391&lt;='Catatan &amp; Sumber'!$B$16,"Sedang","Relatif Longgar"))))</x:f>
        <x:v>Sedang</x:v>
      </x:c>
      <x:c r="N1391" s="66" t="str">
        <x:v>Tidak Ada</x:v>
      </x:c>
      <x:c r="O1391" s="66" t="str">
        <x:v>Banten</x:v>
      </x:c>
      <x:c r="P1391" s="66" t="str">
        <x:v>Kota Tangerang Selatan</x:v>
      </x:c>
      <x:c r="Q1391" s="66" t="str">
        <x:v>https://snpmb.id/snbp/daya-tampung-snbp</x:v>
      </x:c>
      <x:c r="R1391" s="66" t="str">
        <x:v>https://sidatagrun-public-1076756628210.asia-southeast2.run.app/ptn_sn.php?ptn=322</x:v>
      </x:c>
    </x:row>
    <x:row r="1392">
      <x:c r="A1392" s="87" t="n">
        <x:v>1333</x:v>
      </x:c>
      <x:c r="B1392" s="66" t="n">
        <x:v>322</x:v>
      </x:c>
      <x:c r="C1392" s="66" t="str">
        <x:v>UIN JAKARTA</x:v>
      </x:c>
      <x:c r="D1392" s="66" t="str">
        <x:v>PTKIN</x:v>
      </x:c>
      <x:c r="E1392" s="66" t="str">
        <x:v>13221022</x:v>
      </x:c>
      <x:c r="F1392" s="66" t="str">
        <x:v>ILMU HUKUM</x:v>
      </x:c>
      <x:c r="G1392" s="66" t="str">
        <x:v>Sarjana</x:v>
      </x:c>
      <x:c r="H1392" s="87" t="n">
        <x:v>40</x:v>
      </x:c>
      <x:c r="I1392" s="87" t="n">
        <x:v>410</x:v>
      </x:c>
      <x:c r="J1392" s="68" t="n">
        <x:f>IFERROR(H1392/I1392,"")</x:f>
        <x:v>0.0975609756097561</x:v>
      </x:c>
      <x:c r="K1392" s="69" t="n">
        <x:f>IFERROR(I1392/H1392,"")</x:f>
        <x:v>10.25</x:v>
      </x:c>
      <x:c r="L1392" s="66" t="str">
        <x:f>IF(K1392="","","1 : "&amp;TEXT(K1392,"0.0"))</x:f>
        <x:v>1 : 10.3</x:v>
      </x:c>
      <x:c r="M1392" s="66" t="str">
        <x:f>IF(J1392="","Baru/Tanpa Data",IF(J1392&lt;='Catatan &amp; Sumber'!$B$14,"Sangat Ketat",IF(J1392&lt;='Catatan &amp; Sumber'!$B$15,"Ketat",IF(J1392&lt;='Catatan &amp; Sumber'!$B$16,"Sedang","Relatif Longgar"))))</x:f>
        <x:v>Sedang</x:v>
      </x:c>
      <x:c r="N1392" s="66" t="str">
        <x:v>Tidak Ada</x:v>
      </x:c>
      <x:c r="O1392" s="66" t="str">
        <x:v>Banten</x:v>
      </x:c>
      <x:c r="P1392" s="66" t="str">
        <x:v>Kota Tangerang Selatan</x:v>
      </x:c>
      <x:c r="Q1392" s="66" t="str">
        <x:v>https://snpmb.id/snbp/daya-tampung-snbp</x:v>
      </x:c>
      <x:c r="R1392" s="66" t="str">
        <x:v>https://sidatagrun-public-1076756628210.asia-southeast2.run.app/ptn_sn.php?ptn=322</x:v>
      </x:c>
    </x:row>
    <x:row r="1393">
      <x:c r="A1393" s="87" t="n">
        <x:v>1966</x:v>
      </x:c>
      <x:c r="B1393" s="66" t="n">
        <x:v>322</x:v>
      </x:c>
      <x:c r="C1393" s="66" t="str">
        <x:v>UIN JAKARTA</x:v>
      </x:c>
      <x:c r="D1393" s="66" t="str">
        <x:v>PTKIN</x:v>
      </x:c>
      <x:c r="E1393" s="66" t="str">
        <x:v>13221023</x:v>
      </x:c>
      <x:c r="F1393" s="66" t="str">
        <x:v>ILMU PERPUSTAKAAN</x:v>
      </x:c>
      <x:c r="G1393" s="66" t="str">
        <x:v>Sarjana</x:v>
      </x:c>
      <x:c r="H1393" s="87" t="n">
        <x:v>37</x:v>
      </x:c>
      <x:c r="I1393" s="87" t="n">
        <x:v>250</x:v>
      </x:c>
      <x:c r="J1393" s="68" t="n">
        <x:f>IFERROR(H1393/I1393,"")</x:f>
        <x:v>0.148</x:v>
      </x:c>
      <x:c r="K1393" s="69" t="n">
        <x:f>IFERROR(I1393/H1393,"")</x:f>
        <x:v>6.756756756756757</x:v>
      </x:c>
      <x:c r="L1393" s="66" t="str">
        <x:f>IF(K1393="","","1 : "&amp;TEXT(K1393,"0.0"))</x:f>
        <x:v>1 : 6.8</x:v>
      </x:c>
      <x:c r="M1393" s="66" t="str">
        <x:f>IF(J1393="","Baru/Tanpa Data",IF(J1393&lt;='Catatan &amp; Sumber'!$B$14,"Sangat Ketat",IF(J1393&lt;='Catatan &amp; Sumber'!$B$15,"Ketat",IF(J1393&lt;='Catatan &amp; Sumber'!$B$16,"Sedang","Relatif Longgar"))))</x:f>
        <x:v>Relatif Longgar</x:v>
      </x:c>
      <x:c r="N1393" s="66" t="str">
        <x:v>Tidak Ada</x:v>
      </x:c>
      <x:c r="O1393" s="66" t="str">
        <x:v>Banten</x:v>
      </x:c>
      <x:c r="P1393" s="66" t="str">
        <x:v>Kota Tangerang Selatan</x:v>
      </x:c>
      <x:c r="Q1393" s="66" t="str">
        <x:v>https://snpmb.id/snbp/daya-tampung-snbp</x:v>
      </x:c>
      <x:c r="R1393" s="66" t="str">
        <x:v>https://sidatagrun-public-1076756628210.asia-southeast2.run.app/ptn_sn.php?ptn=322</x:v>
      </x:c>
    </x:row>
    <x:row r="1394">
      <x:c r="A1394" s="87" t="n">
        <x:v>1517</x:v>
      </x:c>
      <x:c r="B1394" s="66" t="n">
        <x:v>322</x:v>
      </x:c>
      <x:c r="C1394" s="66" t="str">
        <x:v>UIN JAKARTA</x:v>
      </x:c>
      <x:c r="D1394" s="66" t="str">
        <x:v>PTKIN</x:v>
      </x:c>
      <x:c r="E1394" s="66" t="str">
        <x:v>13221025</x:v>
      </x:c>
      <x:c r="F1394" s="66" t="str">
        <x:v>JURNALISTIK</x:v>
      </x:c>
      <x:c r="G1394" s="66" t="str">
        <x:v>Sarjana</x:v>
      </x:c>
      <x:c r="H1394" s="87" t="n">
        <x:v>39</x:v>
      </x:c>
      <x:c r="I1394" s="87" t="n">
        <x:v>351</x:v>
      </x:c>
      <x:c r="J1394" s="68" t="n">
        <x:f>IFERROR(H1394/I1394,"")</x:f>
        <x:v>0.1111111111111111</x:v>
      </x:c>
      <x:c r="K1394" s="69" t="n">
        <x:f>IFERROR(I1394/H1394,"")</x:f>
        <x:v>9</x:v>
      </x:c>
      <x:c r="L1394" s="66" t="str">
        <x:f>IF(K1394="","","1 : "&amp;TEXT(K1394,"0.0"))</x:f>
        <x:v>1 : 9.0</x:v>
      </x:c>
      <x:c r="M1394" s="66" t="str">
        <x:f>IF(J1394="","Baru/Tanpa Data",IF(J1394&lt;='Catatan &amp; Sumber'!$B$14,"Sangat Ketat",IF(J1394&lt;='Catatan &amp; Sumber'!$B$15,"Ketat",IF(J1394&lt;='Catatan &amp; Sumber'!$B$16,"Sedang","Relatif Longgar"))))</x:f>
        <x:v>Relatif Longgar</x:v>
      </x:c>
      <x:c r="N1394" s="66" t="str">
        <x:v>Tidak Ada</x:v>
      </x:c>
      <x:c r="O1394" s="66" t="str">
        <x:v>Banten</x:v>
      </x:c>
      <x:c r="P1394" s="66" t="str">
        <x:v>Kota Tangerang Selatan</x:v>
      </x:c>
      <x:c r="Q1394" s="66" t="str">
        <x:v>https://snpmb.id/snbp/daya-tampung-snbp</x:v>
      </x:c>
      <x:c r="R1394" s="66" t="str">
        <x:v>https://sidatagrun-public-1076756628210.asia-southeast2.run.app/ptn_sn.php?ptn=322</x:v>
      </x:c>
    </x:row>
    <x:row r="1395">
      <x:c r="A1395" s="87" t="n">
        <x:v>459</x:v>
      </x:c>
      <x:c r="B1395" s="66" t="n">
        <x:v>322</x:v>
      </x:c>
      <x:c r="C1395" s="66" t="str">
        <x:v>UIN JAKARTA</x:v>
      </x:c>
      <x:c r="D1395" s="66" t="str">
        <x:v>PTKIN</x:v>
      </x:c>
      <x:c r="E1395" s="66" t="str">
        <x:v>13221026</x:v>
      </x:c>
      <x:c r="F1395" s="66" t="str">
        <x:v>MANAJEMEN</x:v>
      </x:c>
      <x:c r="G1395" s="66" t="str">
        <x:v>Sarjana</x:v>
      </x:c>
      <x:c r="H1395" s="87" t="n">
        <x:v>52</x:v>
      </x:c>
      <x:c r="I1395" s="87" t="n">
        <x:v>1053</x:v>
      </x:c>
      <x:c r="J1395" s="68" t="n">
        <x:f>IFERROR(H1395/I1395,"")</x:f>
        <x:v>0.04938271604938271</x:v>
      </x:c>
      <x:c r="K1395" s="69" t="n">
        <x:f>IFERROR(I1395/H1395,"")</x:f>
        <x:v>20.25</x:v>
      </x:c>
      <x:c r="L1395" s="66" t="str">
        <x:f>IF(K1395="","","1 : "&amp;TEXT(K1395,"0.0"))</x:f>
        <x:v>1 : 20.3</x:v>
      </x:c>
      <x:c r="M1395" s="66" t="str">
        <x:f>IF(J1395="","Baru/Tanpa Data",IF(J1395&lt;='Catatan &amp; Sumber'!$B$14,"Sangat Ketat",IF(J1395&lt;='Catatan &amp; Sumber'!$B$15,"Ketat",IF(J1395&lt;='Catatan &amp; Sumber'!$B$16,"Sedang","Relatif Longgar"))))</x:f>
        <x:v>Ketat</x:v>
      </x:c>
      <x:c r="N1395" s="66" t="str">
        <x:v>Tidak Ada</x:v>
      </x:c>
      <x:c r="O1395" s="66" t="str">
        <x:v>Banten</x:v>
      </x:c>
      <x:c r="P1395" s="66" t="str">
        <x:v>Kota Tangerang Selatan</x:v>
      </x:c>
      <x:c r="Q1395" s="66" t="str">
        <x:v>https://snpmb.id/snbp/daya-tampung-snbp</x:v>
      </x:c>
      <x:c r="R1395" s="66" t="str">
        <x:v>https://sidatagrun-public-1076756628210.asia-southeast2.run.app/ptn_sn.php?ptn=322</x:v>
      </x:c>
    </x:row>
    <x:row r="1396">
      <x:c r="A1396" s="87" t="n">
        <x:v>2251</x:v>
      </x:c>
      <x:c r="B1396" s="66" t="n">
        <x:v>322</x:v>
      </x:c>
      <x:c r="C1396" s="66" t="str">
        <x:v>UIN JAKARTA</x:v>
      </x:c>
      <x:c r="D1396" s="66" t="str">
        <x:v>PTKIN</x:v>
      </x:c>
      <x:c r="E1396" s="66" t="str">
        <x:v>13221028</x:v>
      </x:c>
      <x:c r="F1396" s="66" t="str">
        <x:v>ILMU POLITIK</x:v>
      </x:c>
      <x:c r="G1396" s="66" t="str">
        <x:v>Sarjana</x:v>
      </x:c>
      <x:c r="H1396" s="87" t="n">
        <x:v>40</x:v>
      </x:c>
      <x:c r="I1396" s="87" t="n">
        <x:v>225</x:v>
      </x:c>
      <x:c r="J1396" s="68" t="n">
        <x:f>IFERROR(H1396/I1396,"")</x:f>
        <x:v>0.17777777777777778</x:v>
      </x:c>
      <x:c r="K1396" s="69" t="n">
        <x:f>IFERROR(I1396/H1396,"")</x:f>
        <x:v>5.625</x:v>
      </x:c>
      <x:c r="L1396" s="66" t="str">
        <x:f>IF(K1396="","","1 : "&amp;TEXT(K1396,"0.0"))</x:f>
        <x:v>1 : 5.6</x:v>
      </x:c>
      <x:c r="M1396" s="66" t="str">
        <x:f>IF(J1396="","Baru/Tanpa Data",IF(J1396&lt;='Catatan &amp; Sumber'!$B$14,"Sangat Ketat",IF(J1396&lt;='Catatan &amp; Sumber'!$B$15,"Ketat",IF(J1396&lt;='Catatan &amp; Sumber'!$B$16,"Sedang","Relatif Longgar"))))</x:f>
        <x:v>Relatif Longgar</x:v>
      </x:c>
      <x:c r="N1396" s="66" t="str">
        <x:v>Tidak Ada</x:v>
      </x:c>
      <x:c r="O1396" s="66" t="str">
        <x:v>Banten</x:v>
      </x:c>
      <x:c r="P1396" s="66" t="str">
        <x:v>Kota Tangerang Selatan</x:v>
      </x:c>
      <x:c r="Q1396" s="66" t="str">
        <x:v>https://snpmb.id/snbp/daya-tampung-snbp</x:v>
      </x:c>
      <x:c r="R1396" s="66" t="str">
        <x:v>https://sidatagrun-public-1076756628210.asia-southeast2.run.app/ptn_sn.php?ptn=322</x:v>
      </x:c>
    </x:row>
    <x:row r="1397">
      <x:c r="A1397" s="87" t="n">
        <x:v>1764</x:v>
      </x:c>
      <x:c r="B1397" s="66" t="n">
        <x:v>322</x:v>
      </x:c>
      <x:c r="C1397" s="66" t="str">
        <x:v>UIN JAKARTA</x:v>
      </x:c>
      <x:c r="D1397" s="66" t="str">
        <x:v>PTKIN</x:v>
      </x:c>
      <x:c r="E1397" s="66" t="str">
        <x:v>13221030</x:v>
      </x:c>
      <x:c r="F1397" s="66" t="str">
        <x:v>KESEJAHTERAAN SOSIAL</x:v>
      </x:c>
      <x:c r="G1397" s="66" t="str">
        <x:v>Sarjana</x:v>
      </x:c>
      <x:c r="H1397" s="87" t="n">
        <x:v>36</x:v>
      </x:c>
      <x:c r="I1397" s="87" t="n">
        <x:v>278</x:v>
      </x:c>
      <x:c r="J1397" s="68" t="n">
        <x:f>IFERROR(H1397/I1397,"")</x:f>
        <x:v>0.12949640287769784</x:v>
      </x:c>
      <x:c r="K1397" s="69" t="n">
        <x:f>IFERROR(I1397/H1397,"")</x:f>
        <x:v>7.722222222222222</x:v>
      </x:c>
      <x:c r="L1397" s="66" t="str">
        <x:f>IF(K1397="","","1 : "&amp;TEXT(K1397,"0.0"))</x:f>
        <x:v>1 : 7.7</x:v>
      </x:c>
      <x:c r="M1397" s="66" t="str">
        <x:f>IF(J1397="","Baru/Tanpa Data",IF(J1397&lt;='Catatan &amp; Sumber'!$B$14,"Sangat Ketat",IF(J1397&lt;='Catatan &amp; Sumber'!$B$15,"Ketat",IF(J1397&lt;='Catatan &amp; Sumber'!$B$16,"Sedang","Relatif Longgar"))))</x:f>
        <x:v>Relatif Longgar</x:v>
      </x:c>
      <x:c r="N1397" s="66" t="str">
        <x:v>Tidak Ada</x:v>
      </x:c>
      <x:c r="O1397" s="66" t="str">
        <x:v>Banten</x:v>
      </x:c>
      <x:c r="P1397" s="66" t="str">
        <x:v>Kota Tangerang Selatan</x:v>
      </x:c>
      <x:c r="Q1397" s="66" t="str">
        <x:v>https://snpmb.id/snbp/daya-tampung-snbp</x:v>
      </x:c>
      <x:c r="R1397" s="66" t="str">
        <x:v>https://sidatagrun-public-1076756628210.asia-southeast2.run.app/ptn_sn.php?ptn=322</x:v>
      </x:c>
    </x:row>
    <x:row r="1398">
      <x:c r="A1398" s="87" t="n">
        <x:v>920</x:v>
      </x:c>
      <x:c r="B1398" s="66" t="n">
        <x:v>322</x:v>
      </x:c>
      <x:c r="C1398" s="66" t="str">
        <x:v>UIN JAKARTA</x:v>
      </x:c>
      <x:c r="D1398" s="66" t="str">
        <x:v>PTKIN</x:v>
      </x:c>
      <x:c r="E1398" s="66" t="str">
        <x:v>13221031</x:v>
      </x:c>
      <x:c r="F1398" s="66" t="str">
        <x:v>PSIKOLOGI</x:v>
      </x:c>
      <x:c r="G1398" s="66" t="str">
        <x:v>Sarjana</x:v>
      </x:c>
      <x:c r="H1398" s="87" t="n">
        <x:v>73</x:v>
      </x:c>
      <x:c r="I1398" s="87" t="n">
        <x:v>991</x:v>
      </x:c>
      <x:c r="J1398" s="68" t="n">
        <x:f>IFERROR(H1398/I1398,"")</x:f>
        <x:v>0.07366296670030273</x:v>
      </x:c>
      <x:c r="K1398" s="69" t="n">
        <x:f>IFERROR(I1398/H1398,"")</x:f>
        <x:v>13.575342465753424</x:v>
      </x:c>
      <x:c r="L1398" s="66" t="str">
        <x:f>IF(K1398="","","1 : "&amp;TEXT(K1398,"0.0"))</x:f>
        <x:v>1 : 13.6</x:v>
      </x:c>
      <x:c r="M1398" s="66" t="str">
        <x:f>IF(J1398="","Baru/Tanpa Data",IF(J1398&lt;='Catatan &amp; Sumber'!$B$14,"Sangat Ketat",IF(J1398&lt;='Catatan &amp; Sumber'!$B$15,"Ketat",IF(J1398&lt;='Catatan &amp; Sumber'!$B$16,"Sedang","Relatif Longgar"))))</x:f>
        <x:v>Sedang</x:v>
      </x:c>
      <x:c r="N1398" s="66" t="str">
        <x:v>Tidak Ada</x:v>
      </x:c>
      <x:c r="O1398" s="66" t="str">
        <x:v>Banten</x:v>
      </x:c>
      <x:c r="P1398" s="66" t="str">
        <x:v>Kota Tangerang Selatan</x:v>
      </x:c>
      <x:c r="Q1398" s="66" t="str">
        <x:v>https://snpmb.id/snbp/daya-tampung-snbp</x:v>
      </x:c>
      <x:c r="R1398" s="66" t="str">
        <x:v>https://sidatagrun-public-1076756628210.asia-southeast2.run.app/ptn_sn.php?ptn=322</x:v>
      </x:c>
    </x:row>
    <x:row r="1399">
      <x:c r="A1399" s="87" t="n">
        <x:v>1683</x:v>
      </x:c>
      <x:c r="B1399" s="66" t="n">
        <x:v>322</x:v>
      </x:c>
      <x:c r="C1399" s="66" t="str">
        <x:v>UIN JAKARTA</x:v>
      </x:c>
      <x:c r="D1399" s="66" t="str">
        <x:v>PTKIN</x:v>
      </x:c>
      <x:c r="E1399" s="66" t="str">
        <x:v>13221044</x:v>
      </x:c>
      <x:c r="F1399" s="66" t="str">
        <x:v>SOSIOLOGI</x:v>
      </x:c>
      <x:c r="G1399" s="66" t="str">
        <x:v>Sarjana</x:v>
      </x:c>
      <x:c r="H1399" s="87" t="n">
        <x:v>40</x:v>
      </x:c>
      <x:c r="I1399" s="87" t="n">
        <x:v>326</x:v>
      </x:c>
      <x:c r="J1399" s="68" t="n">
        <x:f>IFERROR(H1399/I1399,"")</x:f>
        <x:v>0.12269938650306748</x:v>
      </x:c>
      <x:c r="K1399" s="69" t="n">
        <x:f>IFERROR(I1399/H1399,"")</x:f>
        <x:v>8.15</x:v>
      </x:c>
      <x:c r="L1399" s="66" t="str">
        <x:f>IF(K1399="","","1 : "&amp;TEXT(K1399,"0.0"))</x:f>
        <x:v>1 : 8.2</x:v>
      </x:c>
      <x:c r="M1399" s="66" t="str">
        <x:f>IF(J1399="","Baru/Tanpa Data",IF(J1399&lt;='Catatan &amp; Sumber'!$B$14,"Sangat Ketat",IF(J1399&lt;='Catatan &amp; Sumber'!$B$15,"Ketat",IF(J1399&lt;='Catatan &amp; Sumber'!$B$16,"Sedang","Relatif Longgar"))))</x:f>
        <x:v>Relatif Longgar</x:v>
      </x:c>
      <x:c r="N1399" s="66" t="str">
        <x:v>Tidak Ada</x:v>
      </x:c>
      <x:c r="O1399" s="66" t="str">
        <x:v>Banten</x:v>
      </x:c>
      <x:c r="P1399" s="66" t="str">
        <x:v>Kota Tangerang Selatan</x:v>
      </x:c>
      <x:c r="Q1399" s="66" t="str">
        <x:v>https://snpmb.id/snbp/daya-tampung-snbp</x:v>
      </x:c>
      <x:c r="R1399" s="66" t="str">
        <x:v>https://sidatagrun-public-1076756628210.asia-southeast2.run.app/ptn_sn.php?ptn=322</x:v>
      </x:c>
    </x:row>
    <x:row r="1400">
      <x:c r="A1400" s="87" t="n">
        <x:v>1278</x:v>
      </x:c>
      <x:c r="B1400" s="66" t="n">
        <x:v>322</x:v>
      </x:c>
      <x:c r="C1400" s="66" t="str">
        <x:v>UIN JAKARTA</x:v>
      </x:c>
      <x:c r="D1400" s="66" t="str">
        <x:v>PTKIN</x:v>
      </x:c>
      <x:c r="E1400" s="66" t="str">
        <x:v>13221045</x:v>
      </x:c>
      <x:c r="F1400" s="66" t="str">
        <x:v>BAHASA DAN SASTRA INGGRIS</x:v>
      </x:c>
      <x:c r="G1400" s="66" t="str">
        <x:v>Sarjana</x:v>
      </x:c>
      <x:c r="H1400" s="87" t="n">
        <x:v>37</x:v>
      </x:c>
      <x:c r="I1400" s="87" t="n">
        <x:v>393</x:v>
      </x:c>
      <x:c r="J1400" s="68" t="n">
        <x:f>IFERROR(H1400/I1400,"")</x:f>
        <x:v>0.09414758269720101</x:v>
      </x:c>
      <x:c r="K1400" s="69" t="n">
        <x:f>IFERROR(I1400/H1400,"")</x:f>
        <x:v>10.621621621621621</x:v>
      </x:c>
      <x:c r="L1400" s="66" t="str">
        <x:f>IF(K1400="","","1 : "&amp;TEXT(K1400,"0.0"))</x:f>
        <x:v>1 : 10.6</x:v>
      </x:c>
      <x:c r="M1400" s="66" t="str">
        <x:f>IF(J1400="","Baru/Tanpa Data",IF(J1400&lt;='Catatan &amp; Sumber'!$B$14,"Sangat Ketat",IF(J1400&lt;='Catatan &amp; Sumber'!$B$15,"Ketat",IF(J1400&lt;='Catatan &amp; Sumber'!$B$16,"Sedang","Relatif Longgar"))))</x:f>
        <x:v>Sedang</x:v>
      </x:c>
      <x:c r="N1400" s="66" t="str">
        <x:v>Tidak Ada</x:v>
      </x:c>
      <x:c r="O1400" s="66" t="str">
        <x:v>Banten</x:v>
      </x:c>
      <x:c r="P1400" s="66" t="str">
        <x:v>Kota Tangerang Selatan</x:v>
      </x:c>
      <x:c r="Q1400" s="66" t="str">
        <x:v>https://snpmb.id/snbp/daya-tampung-snbp</x:v>
      </x:c>
      <x:c r="R1400" s="66" t="str">
        <x:v>https://sidatagrun-public-1076756628210.asia-southeast2.run.app/ptn_sn.php?ptn=322</x:v>
      </x:c>
    </x:row>
    <x:row r="1401">
      <x:c r="A1401" s="87" t="n">
        <x:v>1179</x:v>
      </x:c>
      <x:c r="B1401" s="66" t="n">
        <x:v>323</x:v>
      </x:c>
      <x:c r="C1401" s="66" t="str">
        <x:v>UNIVERSITAS NEGERI JAKARTA</x:v>
      </x:c>
      <x:c r="D1401" s="66" t="str">
        <x:v>PTN Akademik</x:v>
      </x:c>
      <x:c r="E1401" s="66" t="str">
        <x:v>13231001</x:v>
      </x:c>
      <x:c r="F1401" s="66" t="str">
        <x:v>PENDIDIKAN MATEMATIKA</x:v>
      </x:c>
      <x:c r="G1401" s="66" t="str">
        <x:v>Sarjana</x:v>
      </x:c>
      <x:c r="H1401" s="87" t="n">
        <x:v>24</x:v>
      </x:c>
      <x:c r="I1401" s="87" t="n">
        <x:v>271</x:v>
      </x:c>
      <x:c r="J1401" s="68" t="n">
        <x:f>IFERROR(H1401/I1401,"")</x:f>
        <x:v>0.08856088560885608</x:v>
      </x:c>
      <x:c r="K1401" s="69" t="n">
        <x:f>IFERROR(I1401/H1401,"")</x:f>
        <x:v>11.291666666666666</x:v>
      </x:c>
      <x:c r="L1401" s="66" t="str">
        <x:f>IF(K1401="","","1 : "&amp;TEXT(K1401,"0.0"))</x:f>
        <x:v>1 : 11.3</x:v>
      </x:c>
      <x:c r="M1401" s="66" t="str">
        <x:f>IF(J1401="","Baru/Tanpa Data",IF(J1401&lt;='Catatan &amp; Sumber'!$B$14,"Sangat Ketat",IF(J1401&lt;='Catatan &amp; Sumber'!$B$15,"Ketat",IF(J1401&lt;='Catatan &amp; Sumber'!$B$16,"Sedang","Relatif Longgar"))))</x:f>
        <x:v>Sedang</x:v>
      </x:c>
      <x:c r="N1401" s="66" t="str">
        <x:v>Tidak Ada</x:v>
      </x:c>
      <x:c r="O1401" s="66" t="str">
        <x:v>Jakarta Raya</x:v>
      </x:c>
      <x:c r="P1401" s="66" t="str">
        <x:v>Kota Jakarta Timur</x:v>
      </x:c>
      <x:c r="Q1401" s="66" t="str">
        <x:v>https://snpmb.id/snbp/daya-tampung-snbp</x:v>
      </x:c>
      <x:c r="R1401" s="66" t="str">
        <x:v>https://sidatagrun-public-1076756628210.asia-southeast2.run.app/ptn_sn.php?ptn=323</x:v>
      </x:c>
    </x:row>
    <x:row r="1402">
      <x:c r="A1402" s="87" t="n">
        <x:v>2513</x:v>
      </x:c>
      <x:c r="B1402" s="66" t="n">
        <x:v>323</x:v>
      </x:c>
      <x:c r="C1402" s="66" t="str">
        <x:v>UNIVERSITAS NEGERI JAKARTA</x:v>
      </x:c>
      <x:c r="D1402" s="66" t="str">
        <x:v>PTN Akademik</x:v>
      </x:c>
      <x:c r="E1402" s="66" t="str">
        <x:v>13231002</x:v>
      </x:c>
      <x:c r="F1402" s="66" t="str">
        <x:v>PENDIDIKAN FISIKA</x:v>
      </x:c>
      <x:c r="G1402" s="66" t="str">
        <x:v>Sarjana</x:v>
      </x:c>
      <x:c r="H1402" s="87" t="n">
        <x:v>16</x:v>
      </x:c>
      <x:c r="I1402" s="87" t="n">
        <x:v>75</x:v>
      </x:c>
      <x:c r="J1402" s="68" t="n">
        <x:f>IFERROR(H1402/I1402,"")</x:f>
        <x:v>0.21333333333333335</x:v>
      </x:c>
      <x:c r="K1402" s="69" t="n">
        <x:f>IFERROR(I1402/H1402,"")</x:f>
        <x:v>4.6875</x:v>
      </x:c>
      <x:c r="L1402" s="66" t="str">
        <x:f>IF(K1402="","","1 : "&amp;TEXT(K1402,"0.0"))</x:f>
        <x:v>1 : 4.7</x:v>
      </x:c>
      <x:c r="M1402" s="66" t="str">
        <x:f>IF(J1402="","Baru/Tanpa Data",IF(J1402&lt;='Catatan &amp; Sumber'!$B$14,"Sangat Ketat",IF(J1402&lt;='Catatan &amp; Sumber'!$B$15,"Ketat",IF(J1402&lt;='Catatan &amp; Sumber'!$B$16,"Sedang","Relatif Longgar"))))</x:f>
        <x:v>Relatif Longgar</x:v>
      </x:c>
      <x:c r="N1402" s="66" t="str">
        <x:v>Tidak Ada</x:v>
      </x:c>
      <x:c r="O1402" s="66" t="str">
        <x:v>Jakarta Raya</x:v>
      </x:c>
      <x:c r="P1402" s="66" t="str">
        <x:v>Kota Jakarta Timur</x:v>
      </x:c>
      <x:c r="Q1402" s="66" t="str">
        <x:v>https://snpmb.id/snbp/daya-tampung-snbp</x:v>
      </x:c>
      <x:c r="R1402" s="66" t="str">
        <x:v>https://sidatagrun-public-1076756628210.asia-southeast2.run.app/ptn_sn.php?ptn=323</x:v>
      </x:c>
    </x:row>
    <x:row r="1403">
      <x:c r="A1403" s="87" t="n">
        <x:v>1911</x:v>
      </x:c>
      <x:c r="B1403" s="66" t="n">
        <x:v>323</x:v>
      </x:c>
      <x:c r="C1403" s="66" t="str">
        <x:v>UNIVERSITAS NEGERI JAKARTA</x:v>
      </x:c>
      <x:c r="D1403" s="66" t="str">
        <x:v>PTN Akademik</x:v>
      </x:c>
      <x:c r="E1403" s="66" t="str">
        <x:v>13231003</x:v>
      </x:c>
      <x:c r="F1403" s="66" t="str">
        <x:v>PENDIDIKAN KIMIA</x:v>
      </x:c>
      <x:c r="G1403" s="66" t="str">
        <x:v>Sarjana</x:v>
      </x:c>
      <x:c r="H1403" s="87" t="n">
        <x:v>19</x:v>
      </x:c>
      <x:c r="I1403" s="87" t="n">
        <x:v>134</x:v>
      </x:c>
      <x:c r="J1403" s="68" t="n">
        <x:f>IFERROR(H1403/I1403,"")</x:f>
        <x:v>0.1417910447761194</x:v>
      </x:c>
      <x:c r="K1403" s="69" t="n">
        <x:f>IFERROR(I1403/H1403,"")</x:f>
        <x:v>7.052631578947368</x:v>
      </x:c>
      <x:c r="L1403" s="66" t="str">
        <x:f>IF(K1403="","","1 : "&amp;TEXT(K1403,"0.0"))</x:f>
        <x:v>1 : 7.1</x:v>
      </x:c>
      <x:c r="M1403" s="66" t="str">
        <x:f>IF(J1403="","Baru/Tanpa Data",IF(J1403&lt;='Catatan &amp; Sumber'!$B$14,"Sangat Ketat",IF(J1403&lt;='Catatan &amp; Sumber'!$B$15,"Ketat",IF(J1403&lt;='Catatan &amp; Sumber'!$B$16,"Sedang","Relatif Longgar"))))</x:f>
        <x:v>Relatif Longgar</x:v>
      </x:c>
      <x:c r="N1403" s="66" t="str">
        <x:v>Tidak Ada</x:v>
      </x:c>
      <x:c r="O1403" s="66" t="str">
        <x:v>Jakarta Raya</x:v>
      </x:c>
      <x:c r="P1403" s="66" t="str">
        <x:v>Kota Jakarta Timur</x:v>
      </x:c>
      <x:c r="Q1403" s="66" t="str">
        <x:v>https://snpmb.id/snbp/daya-tampung-snbp</x:v>
      </x:c>
      <x:c r="R1403" s="66" t="str">
        <x:v>https://sidatagrun-public-1076756628210.asia-southeast2.run.app/ptn_sn.php?ptn=323</x:v>
      </x:c>
    </x:row>
    <x:row r="1404">
      <x:c r="A1404" s="87" t="n">
        <x:v>1379</x:v>
      </x:c>
      <x:c r="B1404" s="66" t="n">
        <x:v>323</x:v>
      </x:c>
      <x:c r="C1404" s="66" t="str">
        <x:v>UNIVERSITAS NEGERI JAKARTA</x:v>
      </x:c>
      <x:c r="D1404" s="66" t="str">
        <x:v>PTN Akademik</x:v>
      </x:c>
      <x:c r="E1404" s="66" t="str">
        <x:v>13231004</x:v>
      </x:c>
      <x:c r="F1404" s="66" t="str">
        <x:v>PENDIDIKAN BIOLOGI</x:v>
      </x:c>
      <x:c r="G1404" s="66" t="str">
        <x:v>Sarjana</x:v>
      </x:c>
      <x:c r="H1404" s="87" t="n">
        <x:v>24</x:v>
      </x:c>
      <x:c r="I1404" s="87" t="n">
        <x:v>239</x:v>
      </x:c>
      <x:c r="J1404" s="68" t="n">
        <x:f>IFERROR(H1404/I1404,"")</x:f>
        <x:v>0.100418410041841</x:v>
      </x:c>
      <x:c r="K1404" s="69" t="n">
        <x:f>IFERROR(I1404/H1404,"")</x:f>
        <x:v>9.958333333333334</x:v>
      </x:c>
      <x:c r="L1404" s="66" t="str">
        <x:f>IF(K1404="","","1 : "&amp;TEXT(K1404,"0.0"))</x:f>
        <x:v>1 : 10.0</x:v>
      </x:c>
      <x:c r="M1404" s="66" t="str">
        <x:f>IF(J1404="","Baru/Tanpa Data",IF(J1404&lt;='Catatan &amp; Sumber'!$B$14,"Sangat Ketat",IF(J1404&lt;='Catatan &amp; Sumber'!$B$15,"Ketat",IF(J1404&lt;='Catatan &amp; Sumber'!$B$16,"Sedang","Relatif Longgar"))))</x:f>
        <x:v>Relatif Longgar</x:v>
      </x:c>
      <x:c r="N1404" s="66" t="str">
        <x:v>Tidak Ada</x:v>
      </x:c>
      <x:c r="O1404" s="66" t="str">
        <x:v>Jakarta Raya</x:v>
      </x:c>
      <x:c r="P1404" s="66" t="str">
        <x:v>Kota Jakarta Timur</x:v>
      </x:c>
      <x:c r="Q1404" s="66" t="str">
        <x:v>https://snpmb.id/snbp/daya-tampung-snbp</x:v>
      </x:c>
      <x:c r="R1404" s="66" t="str">
        <x:v>https://sidatagrun-public-1076756628210.asia-southeast2.run.app/ptn_sn.php?ptn=323</x:v>
      </x:c>
    </x:row>
    <x:row r="1405">
      <x:c r="A1405" s="87" t="n">
        <x:v>1205</x:v>
      </x:c>
      <x:c r="B1405" s="66" t="n">
        <x:v>323</x:v>
      </x:c>
      <x:c r="C1405" s="66" t="str">
        <x:v>UNIVERSITAS NEGERI JAKARTA</x:v>
      </x:c>
      <x:c r="D1405" s="66" t="str">
        <x:v>PTN Akademik</x:v>
      </x:c>
      <x:c r="E1405" s="66" t="str">
        <x:v>13231005</x:v>
      </x:c>
      <x:c r="F1405" s="66" t="str">
        <x:v>MATEMATIKA</x:v>
      </x:c>
      <x:c r="G1405" s="66" t="str">
        <x:v>Sarjana</x:v>
      </x:c>
      <x:c r="H1405" s="87" t="n">
        <x:v>20</x:v>
      </x:c>
      <x:c r="I1405" s="87" t="n">
        <x:v>222</x:v>
      </x:c>
      <x:c r="J1405" s="68" t="n">
        <x:f>IFERROR(H1405/I1405,"")</x:f>
        <x:v>0.09009009009009009</x:v>
      </x:c>
      <x:c r="K1405" s="69" t="n">
        <x:f>IFERROR(I1405/H1405,"")</x:f>
        <x:v>11.1</x:v>
      </x:c>
      <x:c r="L1405" s="66" t="str">
        <x:f>IF(K1405="","","1 : "&amp;TEXT(K1405,"0.0"))</x:f>
        <x:v>1 : 11.1</x:v>
      </x:c>
      <x:c r="M1405" s="66" t="str">
        <x:f>IF(J1405="","Baru/Tanpa Data",IF(J1405&lt;='Catatan &amp; Sumber'!$B$14,"Sangat Ketat",IF(J1405&lt;='Catatan &amp; Sumber'!$B$15,"Ketat",IF(J1405&lt;='Catatan &amp; Sumber'!$B$16,"Sedang","Relatif Longgar"))))</x:f>
        <x:v>Sedang</x:v>
      </x:c>
      <x:c r="N1405" s="66" t="str">
        <x:v>Tidak Ada</x:v>
      </x:c>
      <x:c r="O1405" s="66" t="str">
        <x:v>Jakarta Raya</x:v>
      </x:c>
      <x:c r="P1405" s="66" t="str">
        <x:v>Kota Jakarta Timur</x:v>
      </x:c>
      <x:c r="Q1405" s="66" t="str">
        <x:v>https://snpmb.id/snbp/daya-tampung-snbp</x:v>
      </x:c>
      <x:c r="R1405" s="66" t="str">
        <x:v>https://sidatagrun-public-1076756628210.asia-southeast2.run.app/ptn_sn.php?ptn=323</x:v>
      </x:c>
    </x:row>
    <x:row r="1406">
      <x:c r="A1406" s="87" t="n">
        <x:v>1875</x:v>
      </x:c>
      <x:c r="B1406" s="66" t="n">
        <x:v>323</x:v>
      </x:c>
      <x:c r="C1406" s="66" t="str">
        <x:v>UNIVERSITAS NEGERI JAKARTA</x:v>
      </x:c>
      <x:c r="D1406" s="66" t="str">
        <x:v>PTN Akademik</x:v>
      </x:c>
      <x:c r="E1406" s="66" t="str">
        <x:v>13231006</x:v>
      </x:c>
      <x:c r="F1406" s="66" t="str">
        <x:v>FISIKA</x:v>
      </x:c>
      <x:c r="G1406" s="66" t="str">
        <x:v>Sarjana</x:v>
      </x:c>
      <x:c r="H1406" s="87" t="n">
        <x:v>20</x:v>
      </x:c>
      <x:c r="I1406" s="87" t="n">
        <x:v>144</x:v>
      </x:c>
      <x:c r="J1406" s="68" t="n">
        <x:f>IFERROR(H1406/I1406,"")</x:f>
        <x:v>0.1388888888888889</x:v>
      </x:c>
      <x:c r="K1406" s="69" t="n">
        <x:f>IFERROR(I1406/H1406,"")</x:f>
        <x:v>7.2</x:v>
      </x:c>
      <x:c r="L1406" s="66" t="str">
        <x:f>IF(K1406="","","1 : "&amp;TEXT(K1406,"0.0"))</x:f>
        <x:v>1 : 7.2</x:v>
      </x:c>
      <x:c r="M1406" s="66" t="str">
        <x:f>IF(J1406="","Baru/Tanpa Data",IF(J1406&lt;='Catatan &amp; Sumber'!$B$14,"Sangat Ketat",IF(J1406&lt;='Catatan &amp; Sumber'!$B$15,"Ketat",IF(J1406&lt;='Catatan &amp; Sumber'!$B$16,"Sedang","Relatif Longgar"))))</x:f>
        <x:v>Relatif Longgar</x:v>
      </x:c>
      <x:c r="N1406" s="66" t="str">
        <x:v>Tidak Ada</x:v>
      </x:c>
      <x:c r="O1406" s="66" t="str">
        <x:v>Jakarta Raya</x:v>
      </x:c>
      <x:c r="P1406" s="66" t="str">
        <x:v>Kota Jakarta Timur</x:v>
      </x:c>
      <x:c r="Q1406" s="66" t="str">
        <x:v>https://snpmb.id/snbp/daya-tampung-snbp</x:v>
      </x:c>
      <x:c r="R1406" s="66" t="str">
        <x:v>https://sidatagrun-public-1076756628210.asia-southeast2.run.app/ptn_sn.php?ptn=323</x:v>
      </x:c>
    </x:row>
    <x:row r="1407">
      <x:c r="A1407" s="87" t="n">
        <x:v>789</x:v>
      </x:c>
      <x:c r="B1407" s="66" t="n">
        <x:v>323</x:v>
      </x:c>
      <x:c r="C1407" s="66" t="str">
        <x:v>UNIVERSITAS NEGERI JAKARTA</x:v>
      </x:c>
      <x:c r="D1407" s="66" t="str">
        <x:v>PTN Akademik</x:v>
      </x:c>
      <x:c r="E1407" s="66" t="str">
        <x:v>13231007</x:v>
      </x:c>
      <x:c r="F1407" s="66" t="str">
        <x:v>KIMIA</x:v>
      </x:c>
      <x:c r="G1407" s="66" t="str">
        <x:v>Sarjana</x:v>
      </x:c>
      <x:c r="H1407" s="87" t="n">
        <x:v>20</x:v>
      </x:c>
      <x:c r="I1407" s="87" t="n">
        <x:v>302</x:v>
      </x:c>
      <x:c r="J1407" s="68" t="n">
        <x:f>IFERROR(H1407/I1407,"")</x:f>
        <x:v>0.06622516556291391</x:v>
      </x:c>
      <x:c r="K1407" s="69" t="n">
        <x:f>IFERROR(I1407/H1407,"")</x:f>
        <x:v>15.1</x:v>
      </x:c>
      <x:c r="L1407" s="66" t="str">
        <x:f>IF(K1407="","","1 : "&amp;TEXT(K1407,"0.0"))</x:f>
        <x:v>1 : 15.1</x:v>
      </x:c>
      <x:c r="M1407" s="66" t="str">
        <x:f>IF(J1407="","Baru/Tanpa Data",IF(J1407&lt;='Catatan &amp; Sumber'!$B$14,"Sangat Ketat",IF(J1407&lt;='Catatan &amp; Sumber'!$B$15,"Ketat",IF(J1407&lt;='Catatan &amp; Sumber'!$B$16,"Sedang","Relatif Longgar"))))</x:f>
        <x:v>Sedang</x:v>
      </x:c>
      <x:c r="N1407" s="66" t="str">
        <x:v>Tidak Ada</x:v>
      </x:c>
      <x:c r="O1407" s="66" t="str">
        <x:v>Jakarta Raya</x:v>
      </x:c>
      <x:c r="P1407" s="66" t="str">
        <x:v>Kota Jakarta Timur</x:v>
      </x:c>
      <x:c r="Q1407" s="66" t="str">
        <x:v>https://snpmb.id/snbp/daya-tampung-snbp</x:v>
      </x:c>
      <x:c r="R1407" s="66" t="str">
        <x:v>https://sidatagrun-public-1076756628210.asia-southeast2.run.app/ptn_sn.php?ptn=323</x:v>
      </x:c>
    </x:row>
    <x:row r="1408">
      <x:c r="A1408" s="87" t="n">
        <x:v>963</x:v>
      </x:c>
      <x:c r="B1408" s="66" t="n">
        <x:v>323</x:v>
      </x:c>
      <x:c r="C1408" s="66" t="str">
        <x:v>UNIVERSITAS NEGERI JAKARTA</x:v>
      </x:c>
      <x:c r="D1408" s="66" t="str">
        <x:v>PTN Akademik</x:v>
      </x:c>
      <x:c r="E1408" s="66" t="str">
        <x:v>13231008</x:v>
      </x:c>
      <x:c r="F1408" s="66" t="str">
        <x:v>BIOLOGI</x:v>
      </x:c>
      <x:c r="G1408" s="66" t="str">
        <x:v>Sarjana</x:v>
      </x:c>
      <x:c r="H1408" s="87" t="n">
        <x:v>24</x:v>
      </x:c>
      <x:c r="I1408" s="87" t="n">
        <x:v>316</x:v>
      </x:c>
      <x:c r="J1408" s="68" t="n">
        <x:f>IFERROR(H1408/I1408,"")</x:f>
        <x:v>0.0759493670886076</x:v>
      </x:c>
      <x:c r="K1408" s="69" t="n">
        <x:f>IFERROR(I1408/H1408,"")</x:f>
        <x:v>13.166666666666666</x:v>
      </x:c>
      <x:c r="L1408" s="66" t="str">
        <x:f>IF(K1408="","","1 : "&amp;TEXT(K1408,"0.0"))</x:f>
        <x:v>1 : 13.2</x:v>
      </x:c>
      <x:c r="M1408" s="66" t="str">
        <x:f>IF(J1408="","Baru/Tanpa Data",IF(J1408&lt;='Catatan &amp; Sumber'!$B$14,"Sangat Ketat",IF(J1408&lt;='Catatan &amp; Sumber'!$B$15,"Ketat",IF(J1408&lt;='Catatan &amp; Sumber'!$B$16,"Sedang","Relatif Longgar"))))</x:f>
        <x:v>Sedang</x:v>
      </x:c>
      <x:c r="N1408" s="66" t="str">
        <x:v>Tidak Ada</x:v>
      </x:c>
      <x:c r="O1408" s="66" t="str">
        <x:v>Jakarta Raya</x:v>
      </x:c>
      <x:c r="P1408" s="66" t="str">
        <x:v>Kota Jakarta Timur</x:v>
      </x:c>
      <x:c r="Q1408" s="66" t="str">
        <x:v>https://snpmb.id/snbp/daya-tampung-snbp</x:v>
      </x:c>
      <x:c r="R1408" s="66" t="str">
        <x:v>https://sidatagrun-public-1076756628210.asia-southeast2.run.app/ptn_sn.php?ptn=323</x:v>
      </x:c>
    </x:row>
    <x:row r="1409">
      <x:c r="A1409" s="87" t="n">
        <x:v>639</x:v>
      </x:c>
      <x:c r="B1409" s="66" t="n">
        <x:v>323</x:v>
      </x:c>
      <x:c r="C1409" s="66" t="str">
        <x:v>UNIVERSITAS NEGERI JAKARTA</x:v>
      </x:c>
      <x:c r="D1409" s="66" t="str">
        <x:v>PTN Akademik</x:v>
      </x:c>
      <x:c r="E1409" s="66" t="str">
        <x:v>13231009</x:v>
      </x:c>
      <x:c r="F1409" s="66" t="str">
        <x:v>PENDIDIKAN TEKNIK ELEKTRO</x:v>
      </x:c>
      <x:c r="G1409" s="66" t="str">
        <x:v>Sarjana</x:v>
      </x:c>
      <x:c r="H1409" s="87" t="n">
        <x:v>18</x:v>
      </x:c>
      <x:c r="I1409" s="87" t="n">
        <x:v>305</x:v>
      </x:c>
      <x:c r="J1409" s="68" t="n">
        <x:f>IFERROR(H1409/I1409,"")</x:f>
        <x:v>0.05901639344262295</x:v>
      </x:c>
      <x:c r="K1409" s="69" t="n">
        <x:f>IFERROR(I1409/H1409,"")</x:f>
        <x:v>16.944444444444443</x:v>
      </x:c>
      <x:c r="L1409" s="66" t="str">
        <x:f>IF(K1409="","","1 : "&amp;TEXT(K1409,"0.0"))</x:f>
        <x:v>1 : 16.9</x:v>
      </x:c>
      <x:c r="M1409" s="66" t="str">
        <x:f>IF(J1409="","Baru/Tanpa Data",IF(J1409&lt;='Catatan &amp; Sumber'!$B$14,"Sangat Ketat",IF(J1409&lt;='Catatan &amp; Sumber'!$B$15,"Ketat",IF(J1409&lt;='Catatan &amp; Sumber'!$B$16,"Sedang","Relatif Longgar"))))</x:f>
        <x:v>Sedang</x:v>
      </x:c>
      <x:c r="N1409" s="66" t="str">
        <x:v>Tidak Ada</x:v>
      </x:c>
      <x:c r="O1409" s="66" t="str">
        <x:v>Jakarta Raya</x:v>
      </x:c>
      <x:c r="P1409" s="66" t="str">
        <x:v>Kota Jakarta Timur</x:v>
      </x:c>
      <x:c r="Q1409" s="66" t="str">
        <x:v>https://snpmb.id/snbp/daya-tampung-snbp</x:v>
      </x:c>
      <x:c r="R1409" s="66" t="str">
        <x:v>https://sidatagrun-public-1076756628210.asia-southeast2.run.app/ptn_sn.php?ptn=323</x:v>
      </x:c>
    </x:row>
    <x:row r="1410">
      <x:c r="A1410" s="87" t="n">
        <x:v>1494</x:v>
      </x:c>
      <x:c r="B1410" s="66" t="n">
        <x:v>323</x:v>
      </x:c>
      <x:c r="C1410" s="66" t="str">
        <x:v>UNIVERSITAS NEGERI JAKARTA</x:v>
      </x:c>
      <x:c r="D1410" s="66" t="str">
        <x:v>PTN Akademik</x:v>
      </x:c>
      <x:c r="E1410" s="66" t="str">
        <x:v>13231010</x:v>
      </x:c>
      <x:c r="F1410" s="66" t="str">
        <x:v>PENDIDIKAN TEKNIK MESIN</x:v>
      </x:c>
      <x:c r="G1410" s="66" t="str">
        <x:v>Sarjana</x:v>
      </x:c>
      <x:c r="H1410" s="87" t="n">
        <x:v>18</x:v>
      </x:c>
      <x:c r="I1410" s="87" t="n">
        <x:v>165</x:v>
      </x:c>
      <x:c r="J1410" s="68" t="n">
        <x:f>IFERROR(H1410/I1410,"")</x:f>
        <x:v>0.10909090909090909</x:v>
      </x:c>
      <x:c r="K1410" s="69" t="n">
        <x:f>IFERROR(I1410/H1410,"")</x:f>
        <x:v>9.166666666666666</x:v>
      </x:c>
      <x:c r="L1410" s="66" t="str">
        <x:f>IF(K1410="","","1 : "&amp;TEXT(K1410,"0.0"))</x:f>
        <x:v>1 : 9.2</x:v>
      </x:c>
      <x:c r="M1410" s="66" t="str">
        <x:f>IF(J1410="","Baru/Tanpa Data",IF(J1410&lt;='Catatan &amp; Sumber'!$B$14,"Sangat Ketat",IF(J1410&lt;='Catatan &amp; Sumber'!$B$15,"Ketat",IF(J1410&lt;='Catatan &amp; Sumber'!$B$16,"Sedang","Relatif Longgar"))))</x:f>
        <x:v>Relatif Longgar</x:v>
      </x:c>
      <x:c r="N1410" s="66" t="str">
        <x:v>Tidak Ada</x:v>
      </x:c>
      <x:c r="O1410" s="66" t="str">
        <x:v>Jakarta Raya</x:v>
      </x:c>
      <x:c r="P1410" s="66" t="str">
        <x:v>Kota Jakarta Timur</x:v>
      </x:c>
      <x:c r="Q1410" s="66" t="str">
        <x:v>https://snpmb.id/snbp/daya-tampung-snbp</x:v>
      </x:c>
      <x:c r="R1410" s="66" t="str">
        <x:v>https://sidatagrun-public-1076756628210.asia-southeast2.run.app/ptn_sn.php?ptn=323</x:v>
      </x:c>
    </x:row>
    <x:row r="1411">
      <x:c r="A1411" s="87" t="n">
        <x:v>1434</x:v>
      </x:c>
      <x:c r="B1411" s="66" t="n">
        <x:v>323</x:v>
      </x:c>
      <x:c r="C1411" s="66" t="str">
        <x:v>UNIVERSITAS NEGERI JAKARTA</x:v>
      </x:c>
      <x:c r="D1411" s="66" t="str">
        <x:v>PTN Akademik</x:v>
      </x:c>
      <x:c r="E1411" s="66" t="str">
        <x:v>13231011</x:v>
      </x:c>
      <x:c r="F1411" s="66" t="str">
        <x:v>PENDIDIKAN TEKNIK BANGUNAN</x:v>
      </x:c>
      <x:c r="G1411" s="66" t="str">
        <x:v>Sarjana</x:v>
      </x:c>
      <x:c r="H1411" s="87" t="n">
        <x:v>18</x:v>
      </x:c>
      <x:c r="I1411" s="87" t="n">
        <x:v>171</x:v>
      </x:c>
      <x:c r="J1411" s="68" t="n">
        <x:f>IFERROR(H1411/I1411,"")</x:f>
        <x:v>0.10526315789473684</x:v>
      </x:c>
      <x:c r="K1411" s="69" t="n">
        <x:f>IFERROR(I1411/H1411,"")</x:f>
        <x:v>9.5</x:v>
      </x:c>
      <x:c r="L1411" s="66" t="str">
        <x:f>IF(K1411="","","1 : "&amp;TEXT(K1411,"0.0"))</x:f>
        <x:v>1 : 9.5</x:v>
      </x:c>
      <x:c r="M1411" s="66" t="str">
        <x:f>IF(J1411="","Baru/Tanpa Data",IF(J1411&lt;='Catatan &amp; Sumber'!$B$14,"Sangat Ketat",IF(J1411&lt;='Catatan &amp; Sumber'!$B$15,"Ketat",IF(J1411&lt;='Catatan &amp; Sumber'!$B$16,"Sedang","Relatif Longgar"))))</x:f>
        <x:v>Relatif Longgar</x:v>
      </x:c>
      <x:c r="N1411" s="66" t="str">
        <x:v>Tidak Ada</x:v>
      </x:c>
      <x:c r="O1411" s="66" t="str">
        <x:v>Jakarta Raya</x:v>
      </x:c>
      <x:c r="P1411" s="66" t="str">
        <x:v>Kota Jakarta Timur</x:v>
      </x:c>
      <x:c r="Q1411" s="66" t="str">
        <x:v>https://snpmb.id/snbp/daya-tampung-snbp</x:v>
      </x:c>
      <x:c r="R1411" s="66" t="str">
        <x:v>https://sidatagrun-public-1076756628210.asia-southeast2.run.app/ptn_sn.php?ptn=323</x:v>
      </x:c>
    </x:row>
    <x:row r="1412">
      <x:c r="A1412" s="87" t="n">
        <x:v>1638</x:v>
      </x:c>
      <x:c r="B1412" s="66" t="n">
        <x:v>323</x:v>
      </x:c>
      <x:c r="C1412" s="66" t="str">
        <x:v>UNIVERSITAS NEGERI JAKARTA</x:v>
      </x:c>
      <x:c r="D1412" s="66" t="str">
        <x:v>PTN Akademik</x:v>
      </x:c>
      <x:c r="E1412" s="66" t="str">
        <x:v>13231012</x:v>
      </x:c>
      <x:c r="F1412" s="66" t="str">
        <x:v>ILMU KEOLAHRAGAAN</x:v>
      </x:c>
      <x:c r="G1412" s="66" t="str">
        <x:v>Sarjana</x:v>
      </x:c>
      <x:c r="H1412" s="87" t="n">
        <x:v>24</x:v>
      </x:c>
      <x:c r="I1412" s="87" t="n">
        <x:v>201</x:v>
      </x:c>
      <x:c r="J1412" s="68" t="n">
        <x:f>IFERROR(H1412/I1412,"")</x:f>
        <x:v>0.11940298507462686</x:v>
      </x:c>
      <x:c r="K1412" s="69" t="n">
        <x:f>IFERROR(I1412/H1412,"")</x:f>
        <x:v>8.375</x:v>
      </x:c>
      <x:c r="L1412" s="66" t="str">
        <x:f>IF(K1412="","","1 : "&amp;TEXT(K1412,"0.0"))</x:f>
        <x:v>1 : 8.4</x:v>
      </x:c>
      <x:c r="M1412" s="66" t="str">
        <x:f>IF(J1412="","Baru/Tanpa Data",IF(J1412&lt;='Catatan &amp; Sumber'!$B$14,"Sangat Ketat",IF(J1412&lt;='Catatan &amp; Sumber'!$B$15,"Ketat",IF(J1412&lt;='Catatan &amp; Sumber'!$B$16,"Sedang","Relatif Longgar"))))</x:f>
        <x:v>Relatif Longgar</x:v>
      </x:c>
      <x:c r="N1412" s="66" t="str">
        <x:v>Olahraga</x:v>
      </x:c>
      <x:c r="O1412" s="66" t="str">
        <x:v>Jakarta Raya</x:v>
      </x:c>
      <x:c r="P1412" s="66" t="str">
        <x:v>Kota Jakarta Timur</x:v>
      </x:c>
      <x:c r="Q1412" s="66" t="str">
        <x:v>https://snpmb.id/snbp/daya-tampung-snbp</x:v>
      </x:c>
      <x:c r="R1412" s="66" t="str">
        <x:v>https://sidatagrun-public-1076756628210.asia-southeast2.run.app/ptn_sn.php?ptn=323</x:v>
      </x:c>
    </x:row>
    <x:row r="1413">
      <x:c r="A1413" s="87" t="n">
        <x:v>513</x:v>
      </x:c>
      <x:c r="B1413" s="66" t="n">
        <x:v>323</x:v>
      </x:c>
      <x:c r="C1413" s="66" t="str">
        <x:v>UNIVERSITAS NEGERI JAKARTA</x:v>
      </x:c>
      <x:c r="D1413" s="66" t="str">
        <x:v>PTN Akademik</x:v>
      </x:c>
      <x:c r="E1413" s="66" t="str">
        <x:v>13231013</x:v>
      </x:c>
      <x:c r="F1413" s="66" t="str">
        <x:v>PENDIDIKAN TEKNIK INFORMATIKA DAN KOMPUTER</x:v>
      </x:c>
      <x:c r="G1413" s="66" t="str">
        <x:v>Sarjana</x:v>
      </x:c>
      <x:c r="H1413" s="87" t="n">
        <x:v>17</x:v>
      </x:c>
      <x:c r="I1413" s="87" t="n">
        <x:v>325</x:v>
      </x:c>
      <x:c r="J1413" s="68" t="n">
        <x:f>IFERROR(H1413/I1413,"")</x:f>
        <x:v>0.052307692307692305</x:v>
      </x:c>
      <x:c r="K1413" s="69" t="n">
        <x:f>IFERROR(I1413/H1413,"")</x:f>
        <x:v>19.11764705882353</x:v>
      </x:c>
      <x:c r="L1413" s="66" t="str">
        <x:f>IF(K1413="","","1 : "&amp;TEXT(K1413,"0.0"))</x:f>
        <x:v>1 : 19.1</x:v>
      </x:c>
      <x:c r="M1413" s="66" t="str">
        <x:f>IF(J1413="","Baru/Tanpa Data",IF(J1413&lt;='Catatan &amp; Sumber'!$B$14,"Sangat Ketat",IF(J1413&lt;='Catatan &amp; Sumber'!$B$15,"Ketat",IF(J1413&lt;='Catatan &amp; Sumber'!$B$16,"Sedang","Relatif Longgar"))))</x:f>
        <x:v>Sedang</x:v>
      </x:c>
      <x:c r="N1413" s="66" t="str">
        <x:v>Tidak Ada</x:v>
      </x:c>
      <x:c r="O1413" s="66" t="str">
        <x:v>Jakarta Raya</x:v>
      </x:c>
      <x:c r="P1413" s="66" t="str">
        <x:v>Kota Jakarta Timur</x:v>
      </x:c>
      <x:c r="Q1413" s="66" t="str">
        <x:v>https://snpmb.id/snbp/daya-tampung-snbp</x:v>
      </x:c>
      <x:c r="R1413" s="66" t="str">
        <x:v>https://sidatagrun-public-1076756628210.asia-southeast2.run.app/ptn_sn.php?ptn=323</x:v>
      </x:c>
    </x:row>
    <x:row r="1414">
      <x:c r="A1414" s="87" t="n">
        <x:v>2019</x:v>
      </x:c>
      <x:c r="B1414" s="66" t="n">
        <x:v>323</x:v>
      </x:c>
      <x:c r="C1414" s="66" t="str">
        <x:v>UNIVERSITAS NEGERI JAKARTA</x:v>
      </x:c>
      <x:c r="D1414" s="66" t="str">
        <x:v>PTN Akademik</x:v>
      </x:c>
      <x:c r="E1414" s="66" t="str">
        <x:v>13231014</x:v>
      </x:c>
      <x:c r="F1414" s="66" t="str">
        <x:v>PENDIDIKAN TEKNIK ELEKTRONIKA</x:v>
      </x:c>
      <x:c r="G1414" s="66" t="str">
        <x:v>Sarjana</x:v>
      </x:c>
      <x:c r="H1414" s="87" t="n">
        <x:v>18</x:v>
      </x:c>
      <x:c r="I1414" s="87" t="n">
        <x:v>117</x:v>
      </x:c>
      <x:c r="J1414" s="68" t="n">
        <x:f>IFERROR(H1414/I1414,"")</x:f>
        <x:v>0.15384615384615385</x:v>
      </x:c>
      <x:c r="K1414" s="69" t="n">
        <x:f>IFERROR(I1414/H1414,"")</x:f>
        <x:v>6.5</x:v>
      </x:c>
      <x:c r="L1414" s="66" t="str">
        <x:f>IF(K1414="","","1 : "&amp;TEXT(K1414,"0.0"))</x:f>
        <x:v>1 : 6.5</x:v>
      </x:c>
      <x:c r="M1414" s="66" t="str">
        <x:f>IF(J1414="","Baru/Tanpa Data",IF(J1414&lt;='Catatan &amp; Sumber'!$B$14,"Sangat Ketat",IF(J1414&lt;='Catatan &amp; Sumber'!$B$15,"Ketat",IF(J1414&lt;='Catatan &amp; Sumber'!$B$16,"Sedang","Relatif Longgar"))))</x:f>
        <x:v>Relatif Longgar</x:v>
      </x:c>
      <x:c r="N1414" s="66" t="str">
        <x:v>Tidak Ada</x:v>
      </x:c>
      <x:c r="O1414" s="66" t="str">
        <x:v>Jakarta Raya</x:v>
      </x:c>
      <x:c r="P1414" s="66" t="str">
        <x:v>Kota Jakarta Timur</x:v>
      </x:c>
      <x:c r="Q1414" s="66" t="str">
        <x:v>https://snpmb.id/snbp/daya-tampung-snbp</x:v>
      </x:c>
      <x:c r="R1414" s="66" t="str">
        <x:v>https://sidatagrun-public-1076756628210.asia-southeast2.run.app/ptn_sn.php?ptn=323</x:v>
      </x:c>
    </x:row>
    <x:row r="1415">
      <x:c r="A1415" s="87" t="n">
        <x:v>4</x:v>
      </x:c>
      <x:c r="B1415" s="66" t="n">
        <x:v>323</x:v>
      </x:c>
      <x:c r="C1415" s="66" t="str">
        <x:v>UNIVERSITAS NEGERI JAKARTA</x:v>
      </x:c>
      <x:c r="D1415" s="66" t="str">
        <x:v>PTN Akademik</x:v>
      </x:c>
      <x:c r="E1415" s="66" t="str">
        <x:v>13231015</x:v>
      </x:c>
      <x:c r="F1415" s="66" t="str">
        <x:v>ILMU KOMPUTER</x:v>
      </x:c>
      <x:c r="G1415" s="66" t="str">
        <x:v>Sarjana</x:v>
      </x:c>
      <x:c r="H1415" s="87" t="n">
        <x:v>16</x:v>
      </x:c>
      <x:c r="I1415" s="87" t="n">
        <x:v>1160</x:v>
      </x:c>
      <x:c r="J1415" s="68" t="n">
        <x:f>IFERROR(H1415/I1415,"")</x:f>
        <x:v>0.013793103448275862</x:v>
      </x:c>
      <x:c r="K1415" s="69" t="n">
        <x:f>IFERROR(I1415/H1415,"")</x:f>
        <x:v>72.5</x:v>
      </x:c>
      <x:c r="L1415" s="66" t="str">
        <x:f>IF(K1415="","","1 : "&amp;TEXT(K1415,"0.0"))</x:f>
        <x:v>1 : 72.5</x:v>
      </x:c>
      <x:c r="M1415" s="66" t="str">
        <x:f>IF(J1415="","Baru/Tanpa Data",IF(J1415&lt;='Catatan &amp; Sumber'!$B$14,"Sangat Ketat",IF(J1415&lt;='Catatan &amp; Sumber'!$B$15,"Ketat",IF(J1415&lt;='Catatan &amp; Sumber'!$B$16,"Sedang","Relatif Longgar"))))</x:f>
        <x:v>Sangat Ketat</x:v>
      </x:c>
      <x:c r="N1415" s="66" t="str">
        <x:v>Tidak Ada</x:v>
      </x:c>
      <x:c r="O1415" s="66" t="str">
        <x:v>Jakarta Raya</x:v>
      </x:c>
      <x:c r="P1415" s="66" t="str">
        <x:v>Kota Jakarta Timur</x:v>
      </x:c>
      <x:c r="Q1415" s="66" t="str">
        <x:v>https://snpmb.id/snbp/daya-tampung-snbp</x:v>
      </x:c>
      <x:c r="R1415" s="66" t="str">
        <x:v>https://sidatagrun-public-1076756628210.asia-southeast2.run.app/ptn_sn.php?ptn=323</x:v>
      </x:c>
    </x:row>
    <x:row r="1416">
      <x:c r="A1416" s="87" t="n">
        <x:v>401</x:v>
      </x:c>
      <x:c r="B1416" s="66" t="n">
        <x:v>323</x:v>
      </x:c>
      <x:c r="C1416" s="66" t="str">
        <x:v>UNIVERSITAS NEGERI JAKARTA</x:v>
      </x:c>
      <x:c r="D1416" s="66" t="str">
        <x:v>PTN Akademik</x:v>
      </x:c>
      <x:c r="E1416" s="66" t="str">
        <x:v>13231016</x:v>
      </x:c>
      <x:c r="F1416" s="66" t="str">
        <x:v>STATISTIKA</x:v>
      </x:c>
      <x:c r="G1416" s="66" t="str">
        <x:v>Sarjana</x:v>
      </x:c>
      <x:c r="H1416" s="87" t="n">
        <x:v>16</x:v>
      </x:c>
      <x:c r="I1416" s="87" t="n">
        <x:v>343</x:v>
      </x:c>
      <x:c r="J1416" s="68" t="n">
        <x:f>IFERROR(H1416/I1416,"")</x:f>
        <x:v>0.04664723032069971</x:v>
      </x:c>
      <x:c r="K1416" s="69" t="n">
        <x:f>IFERROR(I1416/H1416,"")</x:f>
        <x:v>21.4375</x:v>
      </x:c>
      <x:c r="L1416" s="66" t="str">
        <x:f>IF(K1416="","","1 : "&amp;TEXT(K1416,"0.0"))</x:f>
        <x:v>1 : 21.4</x:v>
      </x:c>
      <x:c r="M1416" s="66" t="str">
        <x:f>IF(J1416="","Baru/Tanpa Data",IF(J1416&lt;='Catatan &amp; Sumber'!$B$14,"Sangat Ketat",IF(J1416&lt;='Catatan &amp; Sumber'!$B$15,"Ketat",IF(J1416&lt;='Catatan &amp; Sumber'!$B$16,"Sedang","Relatif Longgar"))))</x:f>
        <x:v>Ketat</x:v>
      </x:c>
      <x:c r="N1416" s="66" t="str">
        <x:v>Tidak Ada</x:v>
      </x:c>
      <x:c r="O1416" s="66" t="str">
        <x:v>Jakarta Raya</x:v>
      </x:c>
      <x:c r="P1416" s="66" t="str">
        <x:v>Kota Jakarta Timur</x:v>
      </x:c>
      <x:c r="Q1416" s="66" t="str">
        <x:v>https://snpmb.id/snbp/daya-tampung-snbp</x:v>
      </x:c>
      <x:c r="R1416" s="66" t="str">
        <x:v>https://sidatagrun-public-1076756628210.asia-southeast2.run.app/ptn_sn.php?ptn=323</x:v>
      </x:c>
    </x:row>
    <x:row r="1417">
      <x:c r="A1417" s="87" t="n">
        <x:v>532</x:v>
      </x:c>
      <x:c r="B1417" s="66" t="n">
        <x:v>323</x:v>
      </x:c>
      <x:c r="C1417" s="66" t="str">
        <x:v>UNIVERSITAS NEGERI JAKARTA</x:v>
      </x:c>
      <x:c r="D1417" s="66" t="str">
        <x:v>PTN Akademik</x:v>
      </x:c>
      <x:c r="E1417" s="66" t="str">
        <x:v>13231017</x:v>
      </x:c>
      <x:c r="F1417" s="66" t="str">
        <x:v>REKAYASA KESELAMATAN KEBAKARAN</x:v>
      </x:c>
      <x:c r="G1417" s="66" t="str">
        <x:v>Sarjana</x:v>
      </x:c>
      <x:c r="H1417" s="87" t="n">
        <x:v>12</x:v>
      </x:c>
      <x:c r="I1417" s="87" t="n">
        <x:v>225</x:v>
      </x:c>
      <x:c r="J1417" s="68" t="n">
        <x:f>IFERROR(H1417/I1417,"")</x:f>
        <x:v>0.05333333333333334</x:v>
      </x:c>
      <x:c r="K1417" s="69" t="n">
        <x:f>IFERROR(I1417/H1417,"")</x:f>
        <x:v>18.75</x:v>
      </x:c>
      <x:c r="L1417" s="66" t="str">
        <x:f>IF(K1417="","","1 : "&amp;TEXT(K1417,"0.0"))</x:f>
        <x:v>1 : 18.8</x:v>
      </x:c>
      <x:c r="M1417" s="66" t="str">
        <x:f>IF(J1417="","Baru/Tanpa Data",IF(J1417&lt;='Catatan &amp; Sumber'!$B$14,"Sangat Ketat",IF(J1417&lt;='Catatan &amp; Sumber'!$B$15,"Ketat",IF(J1417&lt;='Catatan &amp; Sumber'!$B$16,"Sedang","Relatif Longgar"))))</x:f>
        <x:v>Sedang</x:v>
      </x:c>
      <x:c r="N1417" s="66" t="str">
        <x:v>Tidak Ada</x:v>
      </x:c>
      <x:c r="O1417" s="66" t="str">
        <x:v>Jakarta Raya</x:v>
      </x:c>
      <x:c r="P1417" s="66" t="str">
        <x:v>Kota Jakarta Timur</x:v>
      </x:c>
      <x:c r="Q1417" s="66" t="str">
        <x:v>https://snpmb.id/snbp/daya-tampung-snbp</x:v>
      </x:c>
      <x:c r="R1417" s="66" t="str">
        <x:v>https://sidatagrun-public-1076756628210.asia-southeast2.run.app/ptn_sn.php?ptn=323</x:v>
      </x:c>
    </x:row>
    <x:row r="1418">
      <x:c r="A1418" s="87" t="n">
        <x:v>98</x:v>
      </x:c>
      <x:c r="B1418" s="66" t="n">
        <x:v>323</x:v>
      </x:c>
      <x:c r="C1418" s="66" t="str">
        <x:v>UNIVERSITAS NEGERI JAKARTA</x:v>
      </x:c>
      <x:c r="D1418" s="66" t="str">
        <x:v>PTN Akademik</x:v>
      </x:c>
      <x:c r="E1418" s="66" t="str">
        <x:v>13231018</x:v>
      </x:c>
      <x:c r="F1418" s="66" t="str">
        <x:v>TEKNIK MESIN</x:v>
      </x:c>
      <x:c r="G1418" s="66" t="str">
        <x:v>Sarjana</x:v>
      </x:c>
      <x:c r="H1418" s="87" t="n">
        <x:v>18</x:v>
      </x:c>
      <x:c r="I1418" s="87" t="n">
        <x:v>629</x:v>
      </x:c>
      <x:c r="J1418" s="68" t="n">
        <x:f>IFERROR(H1418/I1418,"")</x:f>
        <x:v>0.028616852146263912</x:v>
      </x:c>
      <x:c r="K1418" s="69" t="n">
        <x:f>IFERROR(I1418/H1418,"")</x:f>
        <x:v>34.94444444444444</x:v>
      </x:c>
      <x:c r="L1418" s="66" t="str">
        <x:f>IF(K1418="","","1 : "&amp;TEXT(K1418,"0.0"))</x:f>
        <x:v>1 : 34.9</x:v>
      </x:c>
      <x:c r="M1418" s="66" t="str">
        <x:f>IF(J1418="","Baru/Tanpa Data",IF(J1418&lt;='Catatan &amp; Sumber'!$B$14,"Sangat Ketat",IF(J1418&lt;='Catatan &amp; Sumber'!$B$15,"Ketat",IF(J1418&lt;='Catatan &amp; Sumber'!$B$16,"Sedang","Relatif Longgar"))))</x:f>
        <x:v>Ketat</x:v>
      </x:c>
      <x:c r="N1418" s="66" t="str">
        <x:v>Tidak Ada</x:v>
      </x:c>
      <x:c r="O1418" s="66" t="str">
        <x:v>Jakarta Raya</x:v>
      </x:c>
      <x:c r="P1418" s="66" t="str">
        <x:v>Kota Jakarta Timur</x:v>
      </x:c>
      <x:c r="Q1418" s="66" t="str">
        <x:v>https://snpmb.id/snbp/daya-tampung-snbp</x:v>
      </x:c>
      <x:c r="R1418" s="66" t="str">
        <x:v>https://sidatagrun-public-1076756628210.asia-southeast2.run.app/ptn_sn.php?ptn=323</x:v>
      </x:c>
    </x:row>
    <x:row r="1419">
      <x:c r="A1419" s="87" t="n">
        <x:v>18</x:v>
      </x:c>
      <x:c r="B1419" s="66" t="n">
        <x:v>323</x:v>
      </x:c>
      <x:c r="C1419" s="66" t="str">
        <x:v>UNIVERSITAS NEGERI JAKARTA</x:v>
      </x:c>
      <x:c r="D1419" s="66" t="str">
        <x:v>PTN Akademik</x:v>
      </x:c>
      <x:c r="E1419" s="66" t="str">
        <x:v>13231019</x:v>
      </x:c>
      <x:c r="F1419" s="66" t="str">
        <x:v>SISTEM DAN TEKNOLOGI INFORMASI</x:v>
      </x:c>
      <x:c r="G1419" s="66" t="str">
        <x:v>Sarjana</x:v>
      </x:c>
      <x:c r="H1419" s="87" t="n">
        <x:v>12</x:v>
      </x:c>
      <x:c r="I1419" s="87" t="n">
        <x:v>701</x:v>
      </x:c>
      <x:c r="J1419" s="68" t="n">
        <x:f>IFERROR(H1419/I1419,"")</x:f>
        <x:v>0.017118402282453638</x:v>
      </x:c>
      <x:c r="K1419" s="69" t="n">
        <x:f>IFERROR(I1419/H1419,"")</x:f>
        <x:v>58.416666666666664</x:v>
      </x:c>
      <x:c r="L1419" s="66" t="str">
        <x:f>IF(K1419="","","1 : "&amp;TEXT(K1419,"0.0"))</x:f>
        <x:v>1 : 58.4</x:v>
      </x:c>
      <x:c r="M1419" s="66" t="str">
        <x:f>IF(J1419="","Baru/Tanpa Data",IF(J1419&lt;='Catatan &amp; Sumber'!$B$14,"Sangat Ketat",IF(J1419&lt;='Catatan &amp; Sumber'!$B$15,"Ketat",IF(J1419&lt;='Catatan &amp; Sumber'!$B$16,"Sedang","Relatif Longgar"))))</x:f>
        <x:v>Sangat Ketat</x:v>
      </x:c>
      <x:c r="N1419" s="66" t="str">
        <x:v>Tidak Ada</x:v>
      </x:c>
      <x:c r="O1419" s="66" t="str">
        <x:v>Jakarta Raya</x:v>
      </x:c>
      <x:c r="P1419" s="66" t="str">
        <x:v>Kota Jakarta Timur</x:v>
      </x:c>
      <x:c r="Q1419" s="66" t="str">
        <x:v>https://snpmb.id/snbp/daya-tampung-snbp</x:v>
      </x:c>
      <x:c r="R1419" s="66" t="str">
        <x:v>https://sidatagrun-public-1076756628210.asia-southeast2.run.app/ptn_sn.php?ptn=323</x:v>
      </x:c>
    </x:row>
    <x:row r="1420">
      <x:c r="A1420" s="87" t="n">
        <x:v>1808</x:v>
      </x:c>
      <x:c r="B1420" s="66" t="n">
        <x:v>323</x:v>
      </x:c>
      <x:c r="C1420" s="66" t="str">
        <x:v>UNIVERSITAS NEGERI JAKARTA</x:v>
      </x:c>
      <x:c r="D1420" s="66" t="str">
        <x:v>PTN Akademik</x:v>
      </x:c>
      <x:c r="E1420" s="66" t="str">
        <x:v>13231020</x:v>
      </x:c>
      <x:c r="F1420" s="66" t="str">
        <x:v>TEKNOLOGI PENDIDIKAN</x:v>
      </x:c>
      <x:c r="G1420" s="66" t="str">
        <x:v>Sarjana</x:v>
      </x:c>
      <x:c r="H1420" s="87" t="n">
        <x:v>27</x:v>
      </x:c>
      <x:c r="I1420" s="87" t="n">
        <x:v>203</x:v>
      </x:c>
      <x:c r="J1420" s="68" t="n">
        <x:f>IFERROR(H1420/I1420,"")</x:f>
        <x:v>0.1330049261083744</x:v>
      </x:c>
      <x:c r="K1420" s="69" t="n">
        <x:f>IFERROR(I1420/H1420,"")</x:f>
        <x:v>7.518518518518518</x:v>
      </x:c>
      <x:c r="L1420" s="66" t="str">
        <x:f>IF(K1420="","","1 : "&amp;TEXT(K1420,"0.0"))</x:f>
        <x:v>1 : 7.5</x:v>
      </x:c>
      <x:c r="M1420" s="66" t="str">
        <x:f>IF(J1420="","Baru/Tanpa Data",IF(J1420&lt;='Catatan &amp; Sumber'!$B$14,"Sangat Ketat",IF(J1420&lt;='Catatan &amp; Sumber'!$B$15,"Ketat",IF(J1420&lt;='Catatan &amp; Sumber'!$B$16,"Sedang","Relatif Longgar"))))</x:f>
        <x:v>Relatif Longgar</x:v>
      </x:c>
      <x:c r="N1420" s="66" t="str">
        <x:v>Tidak Ada</x:v>
      </x:c>
      <x:c r="O1420" s="66" t="str">
        <x:v>Jakarta Raya</x:v>
      </x:c>
      <x:c r="P1420" s="66" t="str">
        <x:v>Kota Jakarta Timur</x:v>
      </x:c>
      <x:c r="Q1420" s="66" t="str">
        <x:v>https://snpmb.id/snbp/daya-tampung-snbp</x:v>
      </x:c>
      <x:c r="R1420" s="66" t="str">
        <x:v>https://sidatagrun-public-1076756628210.asia-southeast2.run.app/ptn_sn.php?ptn=323</x:v>
      </x:c>
    </x:row>
    <x:row r="1421">
      <x:c r="A1421" s="87" t="n">
        <x:v>2167</x:v>
      </x:c>
      <x:c r="B1421" s="66" t="n">
        <x:v>323</x:v>
      </x:c>
      <x:c r="C1421" s="66" t="str">
        <x:v>UNIVERSITAS NEGERI JAKARTA</x:v>
      </x:c>
      <x:c r="D1421" s="66" t="str">
        <x:v>PTN Akademik</x:v>
      </x:c>
      <x:c r="E1421" s="66" t="str">
        <x:v>13231021</x:v>
      </x:c>
      <x:c r="F1421" s="66" t="str">
        <x:v>PENDIDIKAN KHUSUS</x:v>
      </x:c>
      <x:c r="G1421" s="66" t="str">
        <x:v>Sarjana</x:v>
      </x:c>
      <x:c r="H1421" s="87" t="n">
        <x:v>30</x:v>
      </x:c>
      <x:c r="I1421" s="87" t="n">
        <x:v>178</x:v>
      </x:c>
      <x:c r="J1421" s="68" t="n">
        <x:f>IFERROR(H1421/I1421,"")</x:f>
        <x:v>0.16853932584269662</x:v>
      </x:c>
      <x:c r="K1421" s="69" t="n">
        <x:f>IFERROR(I1421/H1421,"")</x:f>
        <x:v>5.933333333333334</x:v>
      </x:c>
      <x:c r="L1421" s="66" t="str">
        <x:f>IF(K1421="","","1 : "&amp;TEXT(K1421,"0.0"))</x:f>
        <x:v>1 : 5.9</x:v>
      </x:c>
      <x:c r="M1421" s="66" t="str">
        <x:f>IF(J1421="","Baru/Tanpa Data",IF(J1421&lt;='Catatan &amp; Sumber'!$B$14,"Sangat Ketat",IF(J1421&lt;='Catatan &amp; Sumber'!$B$15,"Ketat",IF(J1421&lt;='Catatan &amp; Sumber'!$B$16,"Sedang","Relatif Longgar"))))</x:f>
        <x:v>Relatif Longgar</x:v>
      </x:c>
      <x:c r="N1421" s="66" t="str">
        <x:v>Tidak Ada</x:v>
      </x:c>
      <x:c r="O1421" s="66" t="str">
        <x:v>Jakarta Raya</x:v>
      </x:c>
      <x:c r="P1421" s="66" t="str">
        <x:v>Kota Jakarta Timur</x:v>
      </x:c>
      <x:c r="Q1421" s="66" t="str">
        <x:v>https://snpmb.id/snbp/daya-tampung-snbp</x:v>
      </x:c>
      <x:c r="R1421" s="66" t="str">
        <x:v>https://sidatagrun-public-1076756628210.asia-southeast2.run.app/ptn_sn.php?ptn=323</x:v>
      </x:c>
    </x:row>
    <x:row r="1422">
      <x:c r="A1422" s="87" t="n">
        <x:v>1038</x:v>
      </x:c>
      <x:c r="B1422" s="66" t="n">
        <x:v>323</x:v>
      </x:c>
      <x:c r="C1422" s="66" t="str">
        <x:v>UNIVERSITAS NEGERI JAKARTA</x:v>
      </x:c>
      <x:c r="D1422" s="66" t="str">
        <x:v>PTN Akademik</x:v>
      </x:c>
      <x:c r="E1422" s="66" t="str">
        <x:v>13231022</x:v>
      </x:c>
      <x:c r="F1422" s="66" t="str">
        <x:v>MANAJEMEN PENDIDIKAN</x:v>
      </x:c>
      <x:c r="G1422" s="66" t="str">
        <x:v>Sarjana</x:v>
      </x:c>
      <x:c r="H1422" s="87" t="n">
        <x:v>30</x:v>
      </x:c>
      <x:c r="I1422" s="87" t="n">
        <x:v>374</x:v>
      </x:c>
      <x:c r="J1422" s="68" t="n">
        <x:f>IFERROR(H1422/I1422,"")</x:f>
        <x:v>0.08021390374331551</x:v>
      </x:c>
      <x:c r="K1422" s="69" t="n">
        <x:f>IFERROR(I1422/H1422,"")</x:f>
        <x:v>12.466666666666667</x:v>
      </x:c>
      <x:c r="L1422" s="66" t="str">
        <x:f>IF(K1422="","","1 : "&amp;TEXT(K1422,"0.0"))</x:f>
        <x:v>1 : 12.5</x:v>
      </x:c>
      <x:c r="M1422" s="66" t="str">
        <x:f>IF(J1422="","Baru/Tanpa Data",IF(J1422&lt;='Catatan &amp; Sumber'!$B$14,"Sangat Ketat",IF(J1422&lt;='Catatan &amp; Sumber'!$B$15,"Ketat",IF(J1422&lt;='Catatan &amp; Sumber'!$B$16,"Sedang","Relatif Longgar"))))</x:f>
        <x:v>Sedang</x:v>
      </x:c>
      <x:c r="N1422" s="66" t="str">
        <x:v>Tidak Ada</x:v>
      </x:c>
      <x:c r="O1422" s="66" t="str">
        <x:v>Jakarta Raya</x:v>
      </x:c>
      <x:c r="P1422" s="66" t="str">
        <x:v>Kota Jakarta Timur</x:v>
      </x:c>
      <x:c r="Q1422" s="66" t="str">
        <x:v>https://snpmb.id/snbp/daya-tampung-snbp</x:v>
      </x:c>
      <x:c r="R1422" s="66" t="str">
        <x:v>https://sidatagrun-public-1076756628210.asia-southeast2.run.app/ptn_sn.php?ptn=323</x:v>
      </x:c>
    </x:row>
    <x:row r="1423">
      <x:c r="A1423" s="87" t="n">
        <x:v>1369</x:v>
      </x:c>
      <x:c r="B1423" s="66" t="n">
        <x:v>323</x:v>
      </x:c>
      <x:c r="C1423" s="66" t="str">
        <x:v>UNIVERSITAS NEGERI JAKARTA</x:v>
      </x:c>
      <x:c r="D1423" s="66" t="str">
        <x:v>PTN Akademik</x:v>
      </x:c>
      <x:c r="E1423" s="66" t="str">
        <x:v>13231023</x:v>
      </x:c>
      <x:c r="F1423" s="66" t="str">
        <x:v>PENDIDIKAN MASYARAKAT</x:v>
      </x:c>
      <x:c r="G1423" s="66" t="str">
        <x:v>Sarjana</x:v>
      </x:c>
      <x:c r="H1423" s="87" t="n">
        <x:v>30</x:v>
      </x:c>
      <x:c r="I1423" s="87" t="n">
        <x:v>301</x:v>
      </x:c>
      <x:c r="J1423" s="68" t="n">
        <x:f>IFERROR(H1423/I1423,"")</x:f>
        <x:v>0.09966777408637874</x:v>
      </x:c>
      <x:c r="K1423" s="69" t="n">
        <x:f>IFERROR(I1423/H1423,"")</x:f>
        <x:v>10.033333333333333</x:v>
      </x:c>
      <x:c r="L1423" s="66" t="str">
        <x:f>IF(K1423="","","1 : "&amp;TEXT(K1423,"0.0"))</x:f>
        <x:v>1 : 10.0</x:v>
      </x:c>
      <x:c r="M1423" s="66" t="str">
        <x:f>IF(J1423="","Baru/Tanpa Data",IF(J1423&lt;='Catatan &amp; Sumber'!$B$14,"Sangat Ketat",IF(J1423&lt;='Catatan &amp; Sumber'!$B$15,"Ketat",IF(J1423&lt;='Catatan &amp; Sumber'!$B$16,"Sedang","Relatif Longgar"))))</x:f>
        <x:v>Sedang</x:v>
      </x:c>
      <x:c r="N1423" s="66" t="str">
        <x:v>Tidak Ada</x:v>
      </x:c>
      <x:c r="O1423" s="66" t="str">
        <x:v>Jakarta Raya</x:v>
      </x:c>
      <x:c r="P1423" s="66" t="str">
        <x:v>Kota Jakarta Timur</x:v>
      </x:c>
      <x:c r="Q1423" s="66" t="str">
        <x:v>https://snpmb.id/snbp/daya-tampung-snbp</x:v>
      </x:c>
      <x:c r="R1423" s="66" t="str">
        <x:v>https://sidatagrun-public-1076756628210.asia-southeast2.run.app/ptn_sn.php?ptn=323</x:v>
      </x:c>
    </x:row>
    <x:row r="1424">
      <x:c r="A1424" s="87" t="n">
        <x:v>1263</x:v>
      </x:c>
      <x:c r="B1424" s="66" t="n">
        <x:v>323</x:v>
      </x:c>
      <x:c r="C1424" s="66" t="str">
        <x:v>UNIVERSITAS NEGERI JAKARTA</x:v>
      </x:c>
      <x:c r="D1424" s="66" t="str">
        <x:v>PTN Akademik</x:v>
      </x:c>
      <x:c r="E1424" s="66" t="str">
        <x:v>13231024</x:v>
      </x:c>
      <x:c r="F1424" s="66" t="str">
        <x:v>PEND. GURU PAUD</x:v>
      </x:c>
      <x:c r="G1424" s="66" t="str">
        <x:v>Sarjana</x:v>
      </x:c>
      <x:c r="H1424" s="87" t="n">
        <x:v>24</x:v>
      </x:c>
      <x:c r="I1424" s="87" t="n">
        <x:v>256</x:v>
      </x:c>
      <x:c r="J1424" s="68" t="n">
        <x:f>IFERROR(H1424/I1424,"")</x:f>
        <x:v>0.09375</x:v>
      </x:c>
      <x:c r="K1424" s="69" t="n">
        <x:f>IFERROR(I1424/H1424,"")</x:f>
        <x:v>10.666666666666666</x:v>
      </x:c>
      <x:c r="L1424" s="66" t="str">
        <x:f>IF(K1424="","","1 : "&amp;TEXT(K1424,"0.0"))</x:f>
        <x:v>1 : 10.7</x:v>
      </x:c>
      <x:c r="M1424" s="66" t="str">
        <x:f>IF(J1424="","Baru/Tanpa Data",IF(J1424&lt;='Catatan &amp; Sumber'!$B$14,"Sangat Ketat",IF(J1424&lt;='Catatan &amp; Sumber'!$B$15,"Ketat",IF(J1424&lt;='Catatan &amp; Sumber'!$B$16,"Sedang","Relatif Longgar"))))</x:f>
        <x:v>Sedang</x:v>
      </x:c>
      <x:c r="N1424" s="66" t="str">
        <x:v>Tidak Ada</x:v>
      </x:c>
      <x:c r="O1424" s="66" t="str">
        <x:v>Jakarta Raya</x:v>
      </x:c>
      <x:c r="P1424" s="66" t="str">
        <x:v>Kota Jakarta Timur</x:v>
      </x:c>
      <x:c r="Q1424" s="66" t="str">
        <x:v>https://snpmb.id/snbp/daya-tampung-snbp</x:v>
      </x:c>
      <x:c r="R1424" s="66" t="str">
        <x:v>https://sidatagrun-public-1076756628210.asia-southeast2.run.app/ptn_sn.php?ptn=323</x:v>
      </x:c>
    </x:row>
    <x:row r="1425">
      <x:c r="A1425" s="87" t="n">
        <x:v>581</x:v>
      </x:c>
      <x:c r="B1425" s="66" t="n">
        <x:v>323</x:v>
      </x:c>
      <x:c r="C1425" s="66" t="str">
        <x:v>UNIVERSITAS NEGERI JAKARTA</x:v>
      </x:c>
      <x:c r="D1425" s="66" t="str">
        <x:v>PTN Akademik</x:v>
      </x:c>
      <x:c r="E1425" s="66" t="str">
        <x:v>13231025</x:v>
      </x:c>
      <x:c r="F1425" s="66" t="str">
        <x:v>BIMBINGAN &amp; KONSELING</x:v>
      </x:c>
      <x:c r="G1425" s="66" t="str">
        <x:v>Sarjana</x:v>
      </x:c>
      <x:c r="H1425" s="87" t="n">
        <x:v>26</x:v>
      </x:c>
      <x:c r="I1425" s="87" t="n">
        <x:v>466</x:v>
      </x:c>
      <x:c r="J1425" s="68" t="n">
        <x:f>IFERROR(H1425/I1425,"")</x:f>
        <x:v>0.055793991416309016</x:v>
      </x:c>
      <x:c r="K1425" s="69" t="n">
        <x:f>IFERROR(I1425/H1425,"")</x:f>
        <x:v>17.923076923076923</x:v>
      </x:c>
      <x:c r="L1425" s="66" t="str">
        <x:f>IF(K1425="","","1 : "&amp;TEXT(K1425,"0.0"))</x:f>
        <x:v>1 : 17.9</x:v>
      </x:c>
      <x:c r="M1425" s="66" t="str">
        <x:f>IF(J1425="","Baru/Tanpa Data",IF(J1425&lt;='Catatan &amp; Sumber'!$B$14,"Sangat Ketat",IF(J1425&lt;='Catatan &amp; Sumber'!$B$15,"Ketat",IF(J1425&lt;='Catatan &amp; Sumber'!$B$16,"Sedang","Relatif Longgar"))))</x:f>
        <x:v>Sedang</x:v>
      </x:c>
      <x:c r="N1425" s="66" t="str">
        <x:v>Tidak Ada</x:v>
      </x:c>
      <x:c r="O1425" s="66" t="str">
        <x:v>Jakarta Raya</x:v>
      </x:c>
      <x:c r="P1425" s="66" t="str">
        <x:v>Kota Jakarta Timur</x:v>
      </x:c>
      <x:c r="Q1425" s="66" t="str">
        <x:v>https://snpmb.id/snbp/daya-tampung-snbp</x:v>
      </x:c>
      <x:c r="R1425" s="66" t="str">
        <x:v>https://sidatagrun-public-1076756628210.asia-southeast2.run.app/ptn_sn.php?ptn=323</x:v>
      </x:c>
    </x:row>
    <x:row r="1426">
      <x:c r="A1426" s="87" t="n">
        <x:v>242</x:v>
      </x:c>
      <x:c r="B1426" s="66" t="n">
        <x:v>323</x:v>
      </x:c>
      <x:c r="C1426" s="66" t="str">
        <x:v>UNIVERSITAS NEGERI JAKARTA</x:v>
      </x:c>
      <x:c r="D1426" s="66" t="str">
        <x:v>PTN Akademik</x:v>
      </x:c>
      <x:c r="E1426" s="66" t="str">
        <x:v>13231026</x:v>
      </x:c>
      <x:c r="F1426" s="66" t="str">
        <x:v>PENDIDIKAN GURU SEKOLAH DASAR</x:v>
      </x:c>
      <x:c r="G1426" s="66" t="str">
        <x:v>Sarjana</x:v>
      </x:c>
      <x:c r="H1426" s="87" t="n">
        <x:v>39</x:v>
      </x:c>
      <x:c r="I1426" s="87" t="n">
        <x:v>997</x:v>
      </x:c>
      <x:c r="J1426" s="68" t="n">
        <x:f>IFERROR(H1426/I1426,"")</x:f>
        <x:v>0.03911735205616851</x:v>
      </x:c>
      <x:c r="K1426" s="69" t="n">
        <x:f>IFERROR(I1426/H1426,"")</x:f>
        <x:v>25.564102564102566</x:v>
      </x:c>
      <x:c r="L1426" s="66" t="str">
        <x:f>IF(K1426="","","1 : "&amp;TEXT(K1426,"0.0"))</x:f>
        <x:v>1 : 25.6</x:v>
      </x:c>
      <x:c r="M1426" s="66" t="str">
        <x:f>IF(J1426="","Baru/Tanpa Data",IF(J1426&lt;='Catatan &amp; Sumber'!$B$14,"Sangat Ketat",IF(J1426&lt;='Catatan &amp; Sumber'!$B$15,"Ketat",IF(J1426&lt;='Catatan &amp; Sumber'!$B$16,"Sedang","Relatif Longgar"))))</x:f>
        <x:v>Ketat</x:v>
      </x:c>
      <x:c r="N1426" s="66" t="str">
        <x:v>Tidak Ada</x:v>
      </x:c>
      <x:c r="O1426" s="66" t="str">
        <x:v>Jakarta Raya</x:v>
      </x:c>
      <x:c r="P1426" s="66" t="str">
        <x:v>Kota Jakarta Timur</x:v>
      </x:c>
      <x:c r="Q1426" s="66" t="str">
        <x:v>https://snpmb.id/snbp/daya-tampung-snbp</x:v>
      </x:c>
      <x:c r="R1426" s="66" t="str">
        <x:v>https://sidatagrun-public-1076756628210.asia-southeast2.run.app/ptn_sn.php?ptn=323</x:v>
      </x:c>
    </x:row>
    <x:row r="1427">
      <x:c r="A1427" s="87" t="n">
        <x:v>526</x:v>
      </x:c>
      <x:c r="B1427" s="66" t="n">
        <x:v>323</x:v>
      </x:c>
      <x:c r="C1427" s="66" t="str">
        <x:v>UNIVERSITAS NEGERI JAKARTA</x:v>
      </x:c>
      <x:c r="D1427" s="66" t="str">
        <x:v>PTN Akademik</x:v>
      </x:c>
      <x:c r="E1427" s="66" t="str">
        <x:v>13231027</x:v>
      </x:c>
      <x:c r="F1427" s="66" t="str">
        <x:v>PSIKOLOGI</x:v>
      </x:c>
      <x:c r="G1427" s="66" t="str">
        <x:v>Sarjana</x:v>
      </x:c>
      <x:c r="H1427" s="87" t="n">
        <x:v>89</x:v>
      </x:c>
      <x:c r="I1427" s="87" t="n">
        <x:v>1687</x:v>
      </x:c>
      <x:c r="J1427" s="68" t="n">
        <x:f>IFERROR(H1427/I1427,"")</x:f>
        <x:v>0.05275637225844695</x:v>
      </x:c>
      <x:c r="K1427" s="69" t="n">
        <x:f>IFERROR(I1427/H1427,"")</x:f>
        <x:v>18.95505617977528</x:v>
      </x:c>
      <x:c r="L1427" s="66" t="str">
        <x:f>IF(K1427="","","1 : "&amp;TEXT(K1427,"0.0"))</x:f>
        <x:v>1 : 19.0</x:v>
      </x:c>
      <x:c r="M1427" s="66" t="str">
        <x:f>IF(J1427="","Baru/Tanpa Data",IF(J1427&lt;='Catatan &amp; Sumber'!$B$14,"Sangat Ketat",IF(J1427&lt;='Catatan &amp; Sumber'!$B$15,"Ketat",IF(J1427&lt;='Catatan &amp; Sumber'!$B$16,"Sedang","Relatif Longgar"))))</x:f>
        <x:v>Sedang</x:v>
      </x:c>
      <x:c r="N1427" s="66" t="str">
        <x:v>Tidak Ada</x:v>
      </x:c>
      <x:c r="O1427" s="66" t="str">
        <x:v>Jakarta Raya</x:v>
      </x:c>
      <x:c r="P1427" s="66" t="str">
        <x:v>Kota Jakarta Timur</x:v>
      </x:c>
      <x:c r="Q1427" s="66" t="str">
        <x:v>https://snpmb.id/snbp/daya-tampung-snbp</x:v>
      </x:c>
      <x:c r="R1427" s="66" t="str">
        <x:v>https://sidatagrun-public-1076756628210.asia-southeast2.run.app/ptn_sn.php?ptn=323</x:v>
      </x:c>
    </x:row>
    <x:row r="1428">
      <x:c r="A1428" s="87" t="n">
        <x:v>864</x:v>
      </x:c>
      <x:c r="B1428" s="66" t="n">
        <x:v>323</x:v>
      </x:c>
      <x:c r="C1428" s="66" t="str">
        <x:v>UNIVERSITAS NEGERI JAKARTA</x:v>
      </x:c>
      <x:c r="D1428" s="66" t="str">
        <x:v>PTN Akademik</x:v>
      </x:c>
      <x:c r="E1428" s="66" t="str">
        <x:v>13231028</x:v>
      </x:c>
      <x:c r="F1428" s="66" t="str">
        <x:v>PENDIDIKAN BAHASA INDONESIA</x:v>
      </x:c>
      <x:c r="G1428" s="66" t="str">
        <x:v>Sarjana</x:v>
      </x:c>
      <x:c r="H1428" s="87" t="n">
        <x:v>24</x:v>
      </x:c>
      <x:c r="I1428" s="87" t="n">
        <x:v>343</x:v>
      </x:c>
      <x:c r="J1428" s="68" t="n">
        <x:f>IFERROR(H1428/I1428,"")</x:f>
        <x:v>0.06997084548104957</x:v>
      </x:c>
      <x:c r="K1428" s="69" t="n">
        <x:f>IFERROR(I1428/H1428,"")</x:f>
        <x:v>14.291666666666666</x:v>
      </x:c>
      <x:c r="L1428" s="66" t="str">
        <x:f>IF(K1428="","","1 : "&amp;TEXT(K1428,"0.0"))</x:f>
        <x:v>1 : 14.3</x:v>
      </x:c>
      <x:c r="M1428" s="66" t="str">
        <x:f>IF(J1428="","Baru/Tanpa Data",IF(J1428&lt;='Catatan &amp; Sumber'!$B$14,"Sangat Ketat",IF(J1428&lt;='Catatan &amp; Sumber'!$B$15,"Ketat",IF(J1428&lt;='Catatan &amp; Sumber'!$B$16,"Sedang","Relatif Longgar"))))</x:f>
        <x:v>Sedang</x:v>
      </x:c>
      <x:c r="N1428" s="66" t="str">
        <x:v>Tidak Ada</x:v>
      </x:c>
      <x:c r="O1428" s="66" t="str">
        <x:v>Jakarta Raya</x:v>
      </x:c>
      <x:c r="P1428" s="66" t="str">
        <x:v>Kota Jakarta Timur</x:v>
      </x:c>
      <x:c r="Q1428" s="66" t="str">
        <x:v>https://snpmb.id/snbp/daya-tampung-snbp</x:v>
      </x:c>
      <x:c r="R1428" s="66" t="str">
        <x:v>https://sidatagrun-public-1076756628210.asia-southeast2.run.app/ptn_sn.php?ptn=323</x:v>
      </x:c>
    </x:row>
    <x:row r="1429">
      <x:c r="A1429" s="87" t="n">
        <x:v>933</x:v>
      </x:c>
      <x:c r="B1429" s="66" t="n">
        <x:v>323</x:v>
      </x:c>
      <x:c r="C1429" s="66" t="str">
        <x:v>UNIVERSITAS NEGERI JAKARTA</x:v>
      </x:c>
      <x:c r="D1429" s="66" t="str">
        <x:v>PTN Akademik</x:v>
      </x:c>
      <x:c r="E1429" s="66" t="str">
        <x:v>13231029</x:v>
      </x:c>
      <x:c r="F1429" s="66" t="str">
        <x:v>SASTRA INDONESIA</x:v>
      </x:c>
      <x:c r="G1429" s="66" t="str">
        <x:v>Sarjana</x:v>
      </x:c>
      <x:c r="H1429" s="87" t="n">
        <x:v>24</x:v>
      </x:c>
      <x:c r="I1429" s="87" t="n">
        <x:v>322</x:v>
      </x:c>
      <x:c r="J1429" s="68" t="n">
        <x:f>IFERROR(H1429/I1429,"")</x:f>
        <x:v>0.07453416149068323</x:v>
      </x:c>
      <x:c r="K1429" s="69" t="n">
        <x:f>IFERROR(I1429/H1429,"")</x:f>
        <x:v>13.416666666666666</x:v>
      </x:c>
      <x:c r="L1429" s="66" t="str">
        <x:f>IF(K1429="","","1 : "&amp;TEXT(K1429,"0.0"))</x:f>
        <x:v>1 : 13.4</x:v>
      </x:c>
      <x:c r="M1429" s="66" t="str">
        <x:f>IF(J1429="","Baru/Tanpa Data",IF(J1429&lt;='Catatan &amp; Sumber'!$B$14,"Sangat Ketat",IF(J1429&lt;='Catatan &amp; Sumber'!$B$15,"Ketat",IF(J1429&lt;='Catatan &amp; Sumber'!$B$16,"Sedang","Relatif Longgar"))))</x:f>
        <x:v>Sedang</x:v>
      </x:c>
      <x:c r="N1429" s="66" t="str">
        <x:v>Tidak Ada</x:v>
      </x:c>
      <x:c r="O1429" s="66" t="str">
        <x:v>Jakarta Raya</x:v>
      </x:c>
      <x:c r="P1429" s="66" t="str">
        <x:v>Kota Jakarta Timur</x:v>
      </x:c>
      <x:c r="Q1429" s="66" t="str">
        <x:v>https://snpmb.id/snbp/daya-tampung-snbp</x:v>
      </x:c>
      <x:c r="R1429" s="66" t="str">
        <x:v>https://sidatagrun-public-1076756628210.asia-southeast2.run.app/ptn_sn.php?ptn=323</x:v>
      </x:c>
    </x:row>
    <x:row r="1430">
      <x:c r="A1430" s="87" t="n">
        <x:v>624</x:v>
      </x:c>
      <x:c r="B1430" s="66" t="n">
        <x:v>323</x:v>
      </x:c>
      <x:c r="C1430" s="66" t="str">
        <x:v>UNIVERSITAS NEGERI JAKARTA</x:v>
      </x:c>
      <x:c r="D1430" s="66" t="str">
        <x:v>PTN Akademik</x:v>
      </x:c>
      <x:c r="E1430" s="66" t="str">
        <x:v>13231030</x:v>
      </x:c>
      <x:c r="F1430" s="66" t="str">
        <x:v>PENDIDIKAN BAHASA INGGRIS</x:v>
      </x:c>
      <x:c r="G1430" s="66" t="str">
        <x:v>Sarjana</x:v>
      </x:c>
      <x:c r="H1430" s="87" t="n">
        <x:v>30</x:v>
      </x:c>
      <x:c r="I1430" s="87" t="n">
        <x:v>513</x:v>
      </x:c>
      <x:c r="J1430" s="68" t="n">
        <x:f>IFERROR(H1430/I1430,"")</x:f>
        <x:v>0.05847953216374269</x:v>
      </x:c>
      <x:c r="K1430" s="69" t="n">
        <x:f>IFERROR(I1430/H1430,"")</x:f>
        <x:v>17.1</x:v>
      </x:c>
      <x:c r="L1430" s="66" t="str">
        <x:f>IF(K1430="","","1 : "&amp;TEXT(K1430,"0.0"))</x:f>
        <x:v>1 : 17.1</x:v>
      </x:c>
      <x:c r="M1430" s="66" t="str">
        <x:f>IF(J1430="","Baru/Tanpa Data",IF(J1430&lt;='Catatan &amp; Sumber'!$B$14,"Sangat Ketat",IF(J1430&lt;='Catatan &amp; Sumber'!$B$15,"Ketat",IF(J1430&lt;='Catatan &amp; Sumber'!$B$16,"Sedang","Relatif Longgar"))))</x:f>
        <x:v>Sedang</x:v>
      </x:c>
      <x:c r="N1430" s="66" t="str">
        <x:v>Tidak Ada</x:v>
      </x:c>
      <x:c r="O1430" s="66" t="str">
        <x:v>Jakarta Raya</x:v>
      </x:c>
      <x:c r="P1430" s="66" t="str">
        <x:v>Kota Jakarta Timur</x:v>
      </x:c>
      <x:c r="Q1430" s="66" t="str">
        <x:v>https://snpmb.id/snbp/daya-tampung-snbp</x:v>
      </x:c>
      <x:c r="R1430" s="66" t="str">
        <x:v>https://sidatagrun-public-1076756628210.asia-southeast2.run.app/ptn_sn.php?ptn=323</x:v>
      </x:c>
    </x:row>
    <x:row r="1431">
      <x:c r="A1431" s="87" t="n">
        <x:v>459</x:v>
      </x:c>
      <x:c r="B1431" s="66" t="n">
        <x:v>323</x:v>
      </x:c>
      <x:c r="C1431" s="66" t="str">
        <x:v>UNIVERSITAS NEGERI JAKARTA</x:v>
      </x:c>
      <x:c r="D1431" s="66" t="str">
        <x:v>PTN Akademik</x:v>
      </x:c>
      <x:c r="E1431" s="66" t="str">
        <x:v>13231031</x:v>
      </x:c>
      <x:c r="F1431" s="66" t="str">
        <x:v>SASTRA INGGRIS</x:v>
      </x:c>
      <x:c r="G1431" s="66" t="str">
        <x:v>Sarjana</x:v>
      </x:c>
      <x:c r="H1431" s="87" t="n">
        <x:v>40</x:v>
      </x:c>
      <x:c r="I1431" s="87" t="n">
        <x:v>810</x:v>
      </x:c>
      <x:c r="J1431" s="68" t="n">
        <x:f>IFERROR(H1431/I1431,"")</x:f>
        <x:v>0.04938271604938271</x:v>
      </x:c>
      <x:c r="K1431" s="69" t="n">
        <x:f>IFERROR(I1431/H1431,"")</x:f>
        <x:v>20.25</x:v>
      </x:c>
      <x:c r="L1431" s="66" t="str">
        <x:f>IF(K1431="","","1 : "&amp;TEXT(K1431,"0.0"))</x:f>
        <x:v>1 : 20.3</x:v>
      </x:c>
      <x:c r="M1431" s="66" t="str">
        <x:f>IF(J1431="","Baru/Tanpa Data",IF(J1431&lt;='Catatan &amp; Sumber'!$B$14,"Sangat Ketat",IF(J1431&lt;='Catatan &amp; Sumber'!$B$15,"Ketat",IF(J1431&lt;='Catatan &amp; Sumber'!$B$16,"Sedang","Relatif Longgar"))))</x:f>
        <x:v>Ketat</x:v>
      </x:c>
      <x:c r="N1431" s="66" t="str">
        <x:v>Tidak Ada</x:v>
      </x:c>
      <x:c r="O1431" s="66" t="str">
        <x:v>Jakarta Raya</x:v>
      </x:c>
      <x:c r="P1431" s="66" t="str">
        <x:v>Kota Jakarta Timur</x:v>
      </x:c>
      <x:c r="Q1431" s="66" t="str">
        <x:v>https://snpmb.id/snbp/daya-tampung-snbp</x:v>
      </x:c>
      <x:c r="R1431" s="66" t="str">
        <x:v>https://sidatagrun-public-1076756628210.asia-southeast2.run.app/ptn_sn.php?ptn=323</x:v>
      </x:c>
    </x:row>
    <x:row r="1432">
      <x:c r="A1432" s="87" t="n">
        <x:v>2106</x:v>
      </x:c>
      <x:c r="B1432" s="66" t="n">
        <x:v>323</x:v>
      </x:c>
      <x:c r="C1432" s="66" t="str">
        <x:v>UNIVERSITAS NEGERI JAKARTA</x:v>
      </x:c>
      <x:c r="D1432" s="66" t="str">
        <x:v>PTN Akademik</x:v>
      </x:c>
      <x:c r="E1432" s="66" t="str">
        <x:v>13231032</x:v>
      </x:c>
      <x:c r="F1432" s="66" t="str">
        <x:v>PENDIDIKAN BAHASA PRANCIS</x:v>
      </x:c>
      <x:c r="G1432" s="66" t="str">
        <x:v>Sarjana</x:v>
      </x:c>
      <x:c r="H1432" s="87" t="n">
        <x:v>24</x:v>
      </x:c>
      <x:c r="I1432" s="87" t="n">
        <x:v>148</x:v>
      </x:c>
      <x:c r="J1432" s="68" t="n">
        <x:f>IFERROR(H1432/I1432,"")</x:f>
        <x:v>0.16216216216216217</x:v>
      </x:c>
      <x:c r="K1432" s="69" t="n">
        <x:f>IFERROR(I1432/H1432,"")</x:f>
        <x:v>6.166666666666667</x:v>
      </x:c>
      <x:c r="L1432" s="66" t="str">
        <x:f>IF(K1432="","","1 : "&amp;TEXT(K1432,"0.0"))</x:f>
        <x:v>1 : 6.2</x:v>
      </x:c>
      <x:c r="M1432" s="66" t="str">
        <x:f>IF(J1432="","Baru/Tanpa Data",IF(J1432&lt;='Catatan &amp; Sumber'!$B$14,"Sangat Ketat",IF(J1432&lt;='Catatan &amp; Sumber'!$B$15,"Ketat",IF(J1432&lt;='Catatan &amp; Sumber'!$B$16,"Sedang","Relatif Longgar"))))</x:f>
        <x:v>Relatif Longgar</x:v>
      </x:c>
      <x:c r="N1432" s="66" t="str">
        <x:v>Tidak Ada</x:v>
      </x:c>
      <x:c r="O1432" s="66" t="str">
        <x:v>Jakarta Raya</x:v>
      </x:c>
      <x:c r="P1432" s="66" t="str">
        <x:v>Kota Jakarta Timur</x:v>
      </x:c>
      <x:c r="Q1432" s="66" t="str">
        <x:v>https://snpmb.id/snbp/daya-tampung-snbp</x:v>
      </x:c>
      <x:c r="R1432" s="66" t="str">
        <x:v>https://sidatagrun-public-1076756628210.asia-southeast2.run.app/ptn_sn.php?ptn=323</x:v>
      </x:c>
    </x:row>
    <x:row r="1433">
      <x:c r="A1433" s="87" t="n">
        <x:v>1960</x:v>
      </x:c>
      <x:c r="B1433" s="66" t="n">
        <x:v>323</x:v>
      </x:c>
      <x:c r="C1433" s="66" t="str">
        <x:v>UNIVERSITAS NEGERI JAKARTA</x:v>
      </x:c>
      <x:c r="D1433" s="66" t="str">
        <x:v>PTN Akademik</x:v>
      </x:c>
      <x:c r="E1433" s="66" t="str">
        <x:v>13231033</x:v>
      </x:c>
      <x:c r="F1433" s="66" t="str">
        <x:v>PENDIDIKAN BAHASA JERMAN</x:v>
      </x:c>
      <x:c r="G1433" s="66" t="str">
        <x:v>Sarjana</x:v>
      </x:c>
      <x:c r="H1433" s="87" t="n">
        <x:v>24</x:v>
      </x:c>
      <x:c r="I1433" s="87" t="n">
        <x:v>163</x:v>
      </x:c>
      <x:c r="J1433" s="68" t="n">
        <x:f>IFERROR(H1433/I1433,"")</x:f>
        <x:v>0.147239263803681</x:v>
      </x:c>
      <x:c r="K1433" s="69" t="n">
        <x:f>IFERROR(I1433/H1433,"")</x:f>
        <x:v>6.791666666666667</x:v>
      </x:c>
      <x:c r="L1433" s="66" t="str">
        <x:f>IF(K1433="","","1 : "&amp;TEXT(K1433,"0.0"))</x:f>
        <x:v>1 : 6.8</x:v>
      </x:c>
      <x:c r="M1433" s="66" t="str">
        <x:f>IF(J1433="","Baru/Tanpa Data",IF(J1433&lt;='Catatan &amp; Sumber'!$B$14,"Sangat Ketat",IF(J1433&lt;='Catatan &amp; Sumber'!$B$15,"Ketat",IF(J1433&lt;='Catatan &amp; Sumber'!$B$16,"Sedang","Relatif Longgar"))))</x:f>
        <x:v>Relatif Longgar</x:v>
      </x:c>
      <x:c r="N1433" s="66" t="str">
        <x:v>Tidak Ada</x:v>
      </x:c>
      <x:c r="O1433" s="66" t="str">
        <x:v>Jakarta Raya</x:v>
      </x:c>
      <x:c r="P1433" s="66" t="str">
        <x:v>Kota Jakarta Timur</x:v>
      </x:c>
      <x:c r="Q1433" s="66" t="str">
        <x:v>https://snpmb.id/snbp/daya-tampung-snbp</x:v>
      </x:c>
      <x:c r="R1433" s="66" t="str">
        <x:v>https://sidatagrun-public-1076756628210.asia-southeast2.run.app/ptn_sn.php?ptn=323</x:v>
      </x:c>
    </x:row>
    <x:row r="1434">
      <x:c r="A1434" s="87" t="n">
        <x:v>1731</x:v>
      </x:c>
      <x:c r="B1434" s="66" t="n">
        <x:v>323</x:v>
      </x:c>
      <x:c r="C1434" s="66" t="str">
        <x:v>UNIVERSITAS NEGERI JAKARTA</x:v>
      </x:c>
      <x:c r="D1434" s="66" t="str">
        <x:v>PTN Akademik</x:v>
      </x:c>
      <x:c r="E1434" s="66" t="str">
        <x:v>13231034</x:v>
      </x:c>
      <x:c r="F1434" s="66" t="str">
        <x:v>PENDIDIKAN BAHASA ARAB</x:v>
      </x:c>
      <x:c r="G1434" s="66" t="str">
        <x:v>Sarjana</x:v>
      </x:c>
      <x:c r="H1434" s="87" t="n">
        <x:v>40</x:v>
      </x:c>
      <x:c r="I1434" s="87" t="n">
        <x:v>316</x:v>
      </x:c>
      <x:c r="J1434" s="68" t="n">
        <x:f>IFERROR(H1434/I1434,"")</x:f>
        <x:v>0.12658227848101267</x:v>
      </x:c>
      <x:c r="K1434" s="69" t="n">
        <x:f>IFERROR(I1434/H1434,"")</x:f>
        <x:v>7.9</x:v>
      </x:c>
      <x:c r="L1434" s="66" t="str">
        <x:f>IF(K1434="","","1 : "&amp;TEXT(K1434,"0.0"))</x:f>
        <x:v>1 : 7.9</x:v>
      </x:c>
      <x:c r="M1434" s="66" t="str">
        <x:f>IF(J1434="","Baru/Tanpa Data",IF(J1434&lt;='Catatan &amp; Sumber'!$B$14,"Sangat Ketat",IF(J1434&lt;='Catatan &amp; Sumber'!$B$15,"Ketat",IF(J1434&lt;='Catatan &amp; Sumber'!$B$16,"Sedang","Relatif Longgar"))))</x:f>
        <x:v>Relatif Longgar</x:v>
      </x:c>
      <x:c r="N1434" s="66" t="str">
        <x:v>Tidak Ada</x:v>
      </x:c>
      <x:c r="O1434" s="66" t="str">
        <x:v>Jakarta Raya</x:v>
      </x:c>
      <x:c r="P1434" s="66" t="str">
        <x:v>Kota Jakarta Timur</x:v>
      </x:c>
      <x:c r="Q1434" s="66" t="str">
        <x:v>https://snpmb.id/snbp/daya-tampung-snbp</x:v>
      </x:c>
      <x:c r="R1434" s="66" t="str">
        <x:v>https://sidatagrun-public-1076756628210.asia-southeast2.run.app/ptn_sn.php?ptn=323</x:v>
      </x:c>
    </x:row>
    <x:row r="1435">
      <x:c r="A1435" s="87" t="n">
        <x:v>618</x:v>
      </x:c>
      <x:c r="B1435" s="66" t="n">
        <x:v>323</x:v>
      </x:c>
      <x:c r="C1435" s="66" t="str">
        <x:v>UNIVERSITAS NEGERI JAKARTA</x:v>
      </x:c>
      <x:c r="D1435" s="66" t="str">
        <x:v>PTN Akademik</x:v>
      </x:c>
      <x:c r="E1435" s="66" t="str">
        <x:v>13231035</x:v>
      </x:c>
      <x:c r="F1435" s="66" t="str">
        <x:v>PENDIDIKAN BAHASA JEPANG</x:v>
      </x:c>
      <x:c r="G1435" s="66" t="str">
        <x:v>Sarjana</x:v>
      </x:c>
      <x:c r="H1435" s="87" t="n">
        <x:v>24</x:v>
      </x:c>
      <x:c r="I1435" s="87" t="n">
        <x:v>411</x:v>
      </x:c>
      <x:c r="J1435" s="68" t="n">
        <x:f>IFERROR(H1435/I1435,"")</x:f>
        <x:v>0.058394160583941604</x:v>
      </x:c>
      <x:c r="K1435" s="69" t="n">
        <x:f>IFERROR(I1435/H1435,"")</x:f>
        <x:v>17.125</x:v>
      </x:c>
      <x:c r="L1435" s="66" t="str">
        <x:f>IF(K1435="","","1 : "&amp;TEXT(K1435,"0.0"))</x:f>
        <x:v>1 : 17.1</x:v>
      </x:c>
      <x:c r="M1435" s="66" t="str">
        <x:f>IF(J1435="","Baru/Tanpa Data",IF(J1435&lt;='Catatan &amp; Sumber'!$B$14,"Sangat Ketat",IF(J1435&lt;='Catatan &amp; Sumber'!$B$15,"Ketat",IF(J1435&lt;='Catatan &amp; Sumber'!$B$16,"Sedang","Relatif Longgar"))))</x:f>
        <x:v>Sedang</x:v>
      </x:c>
      <x:c r="N1435" s="66" t="str">
        <x:v>Tidak Ada</x:v>
      </x:c>
      <x:c r="O1435" s="66" t="str">
        <x:v>Jakarta Raya</x:v>
      </x:c>
      <x:c r="P1435" s="66" t="str">
        <x:v>Kota Jakarta Timur</x:v>
      </x:c>
      <x:c r="Q1435" s="66" t="str">
        <x:v>https://snpmb.id/snbp/daya-tampung-snbp</x:v>
      </x:c>
      <x:c r="R1435" s="66" t="str">
        <x:v>https://sidatagrun-public-1076756628210.asia-southeast2.run.app/ptn_sn.php?ptn=323</x:v>
      </x:c>
    </x:row>
    <x:row r="1436">
      <x:c r="A1436" s="87" t="n">
        <x:v>2084</x:v>
      </x:c>
      <x:c r="B1436" s="66" t="n">
        <x:v>323</x:v>
      </x:c>
      <x:c r="C1436" s="66" t="str">
        <x:v>UNIVERSITAS NEGERI JAKARTA</x:v>
      </x:c>
      <x:c r="D1436" s="66" t="str">
        <x:v>PTN Akademik</x:v>
      </x:c>
      <x:c r="E1436" s="66" t="str">
        <x:v>13231036</x:v>
      </x:c>
      <x:c r="F1436" s="66" t="str">
        <x:v>PENDIDIKAN TARI</x:v>
      </x:c>
      <x:c r="G1436" s="66" t="str">
        <x:v>Sarjana</x:v>
      </x:c>
      <x:c r="H1436" s="87" t="n">
        <x:v>24</x:v>
      </x:c>
      <x:c r="I1436" s="87" t="n">
        <x:v>150</x:v>
      </x:c>
      <x:c r="J1436" s="68" t="n">
        <x:f>IFERROR(H1436/I1436,"")</x:f>
        <x:v>0.16</x:v>
      </x:c>
      <x:c r="K1436" s="69" t="n">
        <x:f>IFERROR(I1436/H1436,"")</x:f>
        <x:v>6.25</x:v>
      </x:c>
      <x:c r="L1436" s="66" t="str">
        <x:f>IF(K1436="","","1 : "&amp;TEXT(K1436,"0.0"))</x:f>
        <x:v>1 : 6.3</x:v>
      </x:c>
      <x:c r="M1436" s="66" t="str">
        <x:f>IF(J1436="","Baru/Tanpa Data",IF(J1436&lt;='Catatan &amp; Sumber'!$B$14,"Sangat Ketat",IF(J1436&lt;='Catatan &amp; Sumber'!$B$15,"Ketat",IF(J1436&lt;='Catatan &amp; Sumber'!$B$16,"Sedang","Relatif Longgar"))))</x:f>
        <x:v>Relatif Longgar</x:v>
      </x:c>
      <x:c r="N1436" s="66" t="str">
        <x:v>Tari</x:v>
      </x:c>
      <x:c r="O1436" s="66" t="str">
        <x:v>Jakarta Raya</x:v>
      </x:c>
      <x:c r="P1436" s="66" t="str">
        <x:v>Kota Jakarta Timur</x:v>
      </x:c>
      <x:c r="Q1436" s="66" t="str">
        <x:v>https://snpmb.id/snbp/daya-tampung-snbp</x:v>
      </x:c>
      <x:c r="R1436" s="66" t="str">
        <x:v>https://sidatagrun-public-1076756628210.asia-southeast2.run.app/ptn_sn.php?ptn=323</x:v>
      </x:c>
    </x:row>
    <x:row r="1437">
      <x:c r="A1437" s="87" t="n">
        <x:v>2060</x:v>
      </x:c>
      <x:c r="B1437" s="66" t="n">
        <x:v>323</x:v>
      </x:c>
      <x:c r="C1437" s="66" t="str">
        <x:v>UNIVERSITAS NEGERI JAKARTA</x:v>
      </x:c>
      <x:c r="D1437" s="66" t="str">
        <x:v>PTN Akademik</x:v>
      </x:c>
      <x:c r="E1437" s="66" t="str">
        <x:v>13231037</x:v>
      </x:c>
      <x:c r="F1437" s="66" t="str">
        <x:v>PENDIDIKAN MUSIK</x:v>
      </x:c>
      <x:c r="G1437" s="66" t="str">
        <x:v>Sarjana</x:v>
      </x:c>
      <x:c r="H1437" s="87" t="n">
        <x:v>15</x:v>
      </x:c>
      <x:c r="I1437" s="87" t="n">
        <x:v>95</x:v>
      </x:c>
      <x:c r="J1437" s="68" t="n">
        <x:f>IFERROR(H1437/I1437,"")</x:f>
        <x:v>0.15789473684210525</x:v>
      </x:c>
      <x:c r="K1437" s="69" t="n">
        <x:f>IFERROR(I1437/H1437,"")</x:f>
        <x:v>6.333333333333333</x:v>
      </x:c>
      <x:c r="L1437" s="66" t="str">
        <x:f>IF(K1437="","","1 : "&amp;TEXT(K1437,"0.0"))</x:f>
        <x:v>1 : 6.3</x:v>
      </x:c>
      <x:c r="M1437" s="66" t="str">
        <x:f>IF(J1437="","Baru/Tanpa Data",IF(J1437&lt;='Catatan &amp; Sumber'!$B$14,"Sangat Ketat",IF(J1437&lt;='Catatan &amp; Sumber'!$B$15,"Ketat",IF(J1437&lt;='Catatan &amp; Sumber'!$B$16,"Sedang","Relatif Longgar"))))</x:f>
        <x:v>Relatif Longgar</x:v>
      </x:c>
      <x:c r="N1437" s="66" t="str">
        <x:v>Musik</x:v>
      </x:c>
      <x:c r="O1437" s="66" t="str">
        <x:v>Jakarta Raya</x:v>
      </x:c>
      <x:c r="P1437" s="66" t="str">
        <x:v>Kota Jakarta Timur</x:v>
      </x:c>
      <x:c r="Q1437" s="66" t="str">
        <x:v>https://snpmb.id/snbp/daya-tampung-snbp</x:v>
      </x:c>
      <x:c r="R1437" s="66" t="str">
        <x:v>https://sidatagrun-public-1076756628210.asia-southeast2.run.app/ptn_sn.php?ptn=323</x:v>
      </x:c>
    </x:row>
    <x:row r="1438">
      <x:c r="A1438" s="87" t="n">
        <x:v>993</x:v>
      </x:c>
      <x:c r="B1438" s="66" t="n">
        <x:v>323</x:v>
      </x:c>
      <x:c r="C1438" s="66" t="str">
        <x:v>UNIVERSITAS NEGERI JAKARTA</x:v>
      </x:c>
      <x:c r="D1438" s="66" t="str">
        <x:v>PTN Akademik</x:v>
      </x:c>
      <x:c r="E1438" s="66" t="str">
        <x:v>13231038</x:v>
      </x:c>
      <x:c r="F1438" s="66" t="str">
        <x:v>PENDIDIKAN SENI RUPA</x:v>
      </x:c>
      <x:c r="G1438" s="66" t="str">
        <x:v>Sarjana</x:v>
      </x:c>
      <x:c r="H1438" s="87" t="n">
        <x:v>15</x:v>
      </x:c>
      <x:c r="I1438" s="87" t="n">
        <x:v>193</x:v>
      </x:c>
      <x:c r="J1438" s="68" t="n">
        <x:f>IFERROR(H1438/I1438,"")</x:f>
        <x:v>0.07772020725388601</x:v>
      </x:c>
      <x:c r="K1438" s="69" t="n">
        <x:f>IFERROR(I1438/H1438,"")</x:f>
        <x:v>12.866666666666667</x:v>
      </x:c>
      <x:c r="L1438" s="66" t="str">
        <x:f>IF(K1438="","","1 : "&amp;TEXT(K1438,"0.0"))</x:f>
        <x:v>1 : 12.9</x:v>
      </x:c>
      <x:c r="M1438" s="66" t="str">
        <x:f>IF(J1438="","Baru/Tanpa Data",IF(J1438&lt;='Catatan &amp; Sumber'!$B$14,"Sangat Ketat",IF(J1438&lt;='Catatan &amp; Sumber'!$B$15,"Ketat",IF(J1438&lt;='Catatan &amp; Sumber'!$B$16,"Sedang","Relatif Longgar"))))</x:f>
        <x:v>Sedang</x:v>
      </x:c>
      <x:c r="N1438" s="66" t="str">
        <x:v>Seni Rupa, Desain, dan Kriya</x:v>
      </x:c>
      <x:c r="O1438" s="66" t="str">
        <x:v>Jakarta Raya</x:v>
      </x:c>
      <x:c r="P1438" s="66" t="str">
        <x:v>Kota Jakarta Timur</x:v>
      </x:c>
      <x:c r="Q1438" s="66" t="str">
        <x:v>https://snpmb.id/snbp/daya-tampung-snbp</x:v>
      </x:c>
      <x:c r="R1438" s="66" t="str">
        <x:v>https://sidatagrun-public-1076756628210.asia-southeast2.run.app/ptn_sn.php?ptn=323</x:v>
      </x:c>
    </x:row>
    <x:row r="1439">
      <x:c r="A1439" s="87" t="n">
        <x:v>1251</x:v>
      </x:c>
      <x:c r="B1439" s="66" t="n">
        <x:v>323</x:v>
      </x:c>
      <x:c r="C1439" s="66" t="str">
        <x:v>UNIVERSITAS NEGERI JAKARTA</x:v>
      </x:c>
      <x:c r="D1439" s="66" t="str">
        <x:v>PTN Akademik</x:v>
      </x:c>
      <x:c r="E1439" s="66" t="str">
        <x:v>13231039</x:v>
      </x:c>
      <x:c r="F1439" s="66" t="str">
        <x:v>PENDIDIKAN PANCASILA &amp; KEWARGANEGARAAN</x:v>
      </x:c>
      <x:c r="G1439" s="66" t="str">
        <x:v>Sarjana</x:v>
      </x:c>
      <x:c r="H1439" s="87" t="n">
        <x:v>24</x:v>
      </x:c>
      <x:c r="I1439" s="87" t="n">
        <x:v>258</x:v>
      </x:c>
      <x:c r="J1439" s="68" t="n">
        <x:f>IFERROR(H1439/I1439,"")</x:f>
        <x:v>0.09302325581395349</x:v>
      </x:c>
      <x:c r="K1439" s="69" t="n">
        <x:f>IFERROR(I1439/H1439,"")</x:f>
        <x:v>10.75</x:v>
      </x:c>
      <x:c r="L1439" s="66" t="str">
        <x:f>IF(K1439="","","1 : "&amp;TEXT(K1439,"0.0"))</x:f>
        <x:v>1 : 10.8</x:v>
      </x:c>
      <x:c r="M1439" s="66" t="str">
        <x:f>IF(J1439="","Baru/Tanpa Data",IF(J1439&lt;='Catatan &amp; Sumber'!$B$14,"Sangat Ketat",IF(J1439&lt;='Catatan &amp; Sumber'!$B$15,"Ketat",IF(J1439&lt;='Catatan &amp; Sumber'!$B$16,"Sedang","Relatif Longgar"))))</x:f>
        <x:v>Sedang</x:v>
      </x:c>
      <x:c r="N1439" s="66" t="str">
        <x:v>Tidak Ada</x:v>
      </x:c>
      <x:c r="O1439" s="66" t="str">
        <x:v>Jakarta Raya</x:v>
      </x:c>
      <x:c r="P1439" s="66" t="str">
        <x:v>Kota Jakarta Timur</x:v>
      </x:c>
      <x:c r="Q1439" s="66" t="str">
        <x:v>https://snpmb.id/snbp/daya-tampung-snbp</x:v>
      </x:c>
      <x:c r="R1439" s="66" t="str">
        <x:v>https://sidatagrun-public-1076756628210.asia-southeast2.run.app/ptn_sn.php?ptn=323</x:v>
      </x:c>
    </x:row>
    <x:row r="1440">
      <x:c r="A1440" s="87" t="n">
        <x:v>1292</x:v>
      </x:c>
      <x:c r="B1440" s="66" t="n">
        <x:v>323</x:v>
      </x:c>
      <x:c r="C1440" s="66" t="str">
        <x:v>UNIVERSITAS NEGERI JAKARTA</x:v>
      </x:c>
      <x:c r="D1440" s="66" t="str">
        <x:v>PTN Akademik</x:v>
      </x:c>
      <x:c r="E1440" s="66" t="str">
        <x:v>13231040</x:v>
      </x:c>
      <x:c r="F1440" s="66" t="str">
        <x:v>PENDIDIKAN GEOGRAFI</x:v>
      </x:c>
      <x:c r="G1440" s="66" t="str">
        <x:v>Sarjana</x:v>
      </x:c>
      <x:c r="H1440" s="87" t="n">
        <x:v>24</x:v>
      </x:c>
      <x:c r="I1440" s="87" t="n">
        <x:v>253</x:v>
      </x:c>
      <x:c r="J1440" s="68" t="n">
        <x:f>IFERROR(H1440/I1440,"")</x:f>
        <x:v>0.09486166007905138</x:v>
      </x:c>
      <x:c r="K1440" s="69" t="n">
        <x:f>IFERROR(I1440/H1440,"")</x:f>
        <x:v>10.541666666666666</x:v>
      </x:c>
      <x:c r="L1440" s="66" t="str">
        <x:f>IF(K1440="","","1 : "&amp;TEXT(K1440,"0.0"))</x:f>
        <x:v>1 : 10.5</x:v>
      </x:c>
      <x:c r="M1440" s="66" t="str">
        <x:f>IF(J1440="","Baru/Tanpa Data",IF(J1440&lt;='Catatan &amp; Sumber'!$B$14,"Sangat Ketat",IF(J1440&lt;='Catatan &amp; Sumber'!$B$15,"Ketat",IF(J1440&lt;='Catatan &amp; Sumber'!$B$16,"Sedang","Relatif Longgar"))))</x:f>
        <x:v>Sedang</x:v>
      </x:c>
      <x:c r="N1440" s="66" t="str">
        <x:v>Tidak Ada</x:v>
      </x:c>
      <x:c r="O1440" s="66" t="str">
        <x:v>Jakarta Raya</x:v>
      </x:c>
      <x:c r="P1440" s="66" t="str">
        <x:v>Kota Jakarta Timur</x:v>
      </x:c>
      <x:c r="Q1440" s="66" t="str">
        <x:v>https://snpmb.id/snbp/daya-tampung-snbp</x:v>
      </x:c>
      <x:c r="R1440" s="66" t="str">
        <x:v>https://sidatagrun-public-1076756628210.asia-southeast2.run.app/ptn_sn.php?ptn=323</x:v>
      </x:c>
    </x:row>
    <x:row r="1441">
      <x:c r="A1441" s="87" t="n">
        <x:v>1297</x:v>
      </x:c>
      <x:c r="B1441" s="66" t="n">
        <x:v>323</x:v>
      </x:c>
      <x:c r="C1441" s="66" t="str">
        <x:v>UNIVERSITAS NEGERI JAKARTA</x:v>
      </x:c>
      <x:c r="D1441" s="66" t="str">
        <x:v>PTN Akademik</x:v>
      </x:c>
      <x:c r="E1441" s="66" t="str">
        <x:v>13231041</x:v>
      </x:c>
      <x:c r="F1441" s="66" t="str">
        <x:v>PENDIDIKAN SEJARAH</x:v>
      </x:c>
      <x:c r="G1441" s="66" t="str">
        <x:v>Sarjana</x:v>
      </x:c>
      <x:c r="H1441" s="87" t="n">
        <x:v>24</x:v>
      </x:c>
      <x:c r="I1441" s="87" t="n">
        <x:v>252</x:v>
      </x:c>
      <x:c r="J1441" s="68" t="n">
        <x:f>IFERROR(H1441/I1441,"")</x:f>
        <x:v>0.09523809523809523</x:v>
      </x:c>
      <x:c r="K1441" s="69" t="n">
        <x:f>IFERROR(I1441/H1441,"")</x:f>
        <x:v>10.5</x:v>
      </x:c>
      <x:c r="L1441" s="66" t="str">
        <x:f>IF(K1441="","","1 : "&amp;TEXT(K1441,"0.0"))</x:f>
        <x:v>1 : 10.5</x:v>
      </x:c>
      <x:c r="M1441" s="66" t="str">
        <x:f>IF(J1441="","Baru/Tanpa Data",IF(J1441&lt;='Catatan &amp; Sumber'!$B$14,"Sangat Ketat",IF(J1441&lt;='Catatan &amp; Sumber'!$B$15,"Ketat",IF(J1441&lt;='Catatan &amp; Sumber'!$B$16,"Sedang","Relatif Longgar"))))</x:f>
        <x:v>Sedang</x:v>
      </x:c>
      <x:c r="N1441" s="66" t="str">
        <x:v>Tidak Ada</x:v>
      </x:c>
      <x:c r="O1441" s="66" t="str">
        <x:v>Jakarta Raya</x:v>
      </x:c>
      <x:c r="P1441" s="66" t="str">
        <x:v>Kota Jakarta Timur</x:v>
      </x:c>
      <x:c r="Q1441" s="66" t="str">
        <x:v>https://snpmb.id/snbp/daya-tampung-snbp</x:v>
      </x:c>
      <x:c r="R1441" s="66" t="str">
        <x:v>https://sidatagrun-public-1076756628210.asia-southeast2.run.app/ptn_sn.php?ptn=323</x:v>
      </x:c>
    </x:row>
    <x:row r="1442">
      <x:c r="A1442" s="87" t="n">
        <x:v>437</x:v>
      </x:c>
      <x:c r="B1442" s="66" t="n">
        <x:v>323</x:v>
      </x:c>
      <x:c r="C1442" s="66" t="str">
        <x:v>UNIVERSITAS NEGERI JAKARTA</x:v>
      </x:c>
      <x:c r="D1442" s="66" t="str">
        <x:v>PTN Akademik</x:v>
      </x:c>
      <x:c r="E1442" s="66" t="str">
        <x:v>13231042</x:v>
      </x:c>
      <x:c r="F1442" s="66" t="str">
        <x:v>PENDIDIKAN AGAMA ISLAM</x:v>
      </x:c>
      <x:c r="G1442" s="66" t="str">
        <x:v>Sarjana</x:v>
      </x:c>
      <x:c r="H1442" s="87" t="n">
        <x:v>30</x:v>
      </x:c>
      <x:c r="I1442" s="87" t="n">
        <x:v>619</x:v>
      </x:c>
      <x:c r="J1442" s="68" t="n">
        <x:f>IFERROR(H1442/I1442,"")</x:f>
        <x:v>0.048465266558966075</x:v>
      </x:c>
      <x:c r="K1442" s="69" t="n">
        <x:f>IFERROR(I1442/H1442,"")</x:f>
        <x:v>20.633333333333333</x:v>
      </x:c>
      <x:c r="L1442" s="66" t="str">
        <x:f>IF(K1442="","","1 : "&amp;TEXT(K1442,"0.0"))</x:f>
        <x:v>1 : 20.6</x:v>
      </x:c>
      <x:c r="M1442" s="66" t="str">
        <x:f>IF(J1442="","Baru/Tanpa Data",IF(J1442&lt;='Catatan &amp; Sumber'!$B$14,"Sangat Ketat",IF(J1442&lt;='Catatan &amp; Sumber'!$B$15,"Ketat",IF(J1442&lt;='Catatan &amp; Sumber'!$B$16,"Sedang","Relatif Longgar"))))</x:f>
        <x:v>Ketat</x:v>
      </x:c>
      <x:c r="N1442" s="66" t="str">
        <x:v>Tidak Ada</x:v>
      </x:c>
      <x:c r="O1442" s="66" t="str">
        <x:v>Jakarta Raya</x:v>
      </x:c>
      <x:c r="P1442" s="66" t="str">
        <x:v>Kota Jakarta Timur</x:v>
      </x:c>
      <x:c r="Q1442" s="66" t="str">
        <x:v>https://snpmb.id/snbp/daya-tampung-snbp</x:v>
      </x:c>
      <x:c r="R1442" s="66" t="str">
        <x:v>https://sidatagrun-public-1076756628210.asia-southeast2.run.app/ptn_sn.php?ptn=323</x:v>
      </x:c>
    </x:row>
    <x:row r="1443">
      <x:c r="A1443" s="87" t="n">
        <x:v>393</x:v>
      </x:c>
      <x:c r="B1443" s="66" t="n">
        <x:v>323</x:v>
      </x:c>
      <x:c r="C1443" s="66" t="str">
        <x:v>UNIVERSITAS NEGERI JAKARTA</x:v>
      </x:c>
      <x:c r="D1443" s="66" t="str">
        <x:v>PTN Akademik</x:v>
      </x:c>
      <x:c r="E1443" s="66" t="str">
        <x:v>13231043</x:v>
      </x:c>
      <x:c r="F1443" s="66" t="str">
        <x:v>SOSIOLOGI</x:v>
      </x:c>
      <x:c r="G1443" s="66" t="str">
        <x:v>Sarjana</x:v>
      </x:c>
      <x:c r="H1443" s="87" t="n">
        <x:v>16</x:v>
      </x:c>
      <x:c r="I1443" s="87" t="n">
        <x:v>345</x:v>
      </x:c>
      <x:c r="J1443" s="68" t="n">
        <x:f>IFERROR(H1443/I1443,"")</x:f>
        <x:v>0.0463768115942029</x:v>
      </x:c>
      <x:c r="K1443" s="69" t="n">
        <x:f>IFERROR(I1443/H1443,"")</x:f>
        <x:v>21.5625</x:v>
      </x:c>
      <x:c r="L1443" s="66" t="str">
        <x:f>IF(K1443="","","1 : "&amp;TEXT(K1443,"0.0"))</x:f>
        <x:v>1 : 21.6</x:v>
      </x:c>
      <x:c r="M1443" s="66" t="str">
        <x:f>IF(J1443="","Baru/Tanpa Data",IF(J1443&lt;='Catatan &amp; Sumber'!$B$14,"Sangat Ketat",IF(J1443&lt;='Catatan &amp; Sumber'!$B$15,"Ketat",IF(J1443&lt;='Catatan &amp; Sumber'!$B$16,"Sedang","Relatif Longgar"))))</x:f>
        <x:v>Ketat</x:v>
      </x:c>
      <x:c r="N1443" s="66" t="str">
        <x:v>Tidak Ada</x:v>
      </x:c>
      <x:c r="O1443" s="66" t="str">
        <x:v>Jakarta Raya</x:v>
      </x:c>
      <x:c r="P1443" s="66" t="str">
        <x:v>Kota Jakarta Timur</x:v>
      </x:c>
      <x:c r="Q1443" s="66" t="str">
        <x:v>https://snpmb.id/snbp/daya-tampung-snbp</x:v>
      </x:c>
      <x:c r="R1443" s="66" t="str">
        <x:v>https://sidatagrun-public-1076756628210.asia-southeast2.run.app/ptn_sn.php?ptn=323</x:v>
      </x:c>
    </x:row>
    <x:row r="1444">
      <x:c r="A1444" s="87" t="n">
        <x:v>1060</x:v>
      </x:c>
      <x:c r="B1444" s="66" t="n">
        <x:v>323</x:v>
      </x:c>
      <x:c r="C1444" s="66" t="str">
        <x:v>UNIVERSITAS NEGERI JAKARTA</x:v>
      </x:c>
      <x:c r="D1444" s="66" t="str">
        <x:v>PTN Akademik</x:v>
      </x:c>
      <x:c r="E1444" s="66" t="str">
        <x:v>13231044</x:v>
      </x:c>
      <x:c r="F1444" s="66" t="str">
        <x:v>PENDIDIKAN SOSIOLOGI</x:v>
      </x:c>
      <x:c r="G1444" s="66" t="str">
        <x:v>Sarjana</x:v>
      </x:c>
      <x:c r="H1444" s="87" t="n">
        <x:v>24</x:v>
      </x:c>
      <x:c r="I1444" s="87" t="n">
        <x:v>294</x:v>
      </x:c>
      <x:c r="J1444" s="68" t="n">
        <x:f>IFERROR(H1444/I1444,"")</x:f>
        <x:v>0.08163265306122448</x:v>
      </x:c>
      <x:c r="K1444" s="69" t="n">
        <x:f>IFERROR(I1444/H1444,"")</x:f>
        <x:v>12.25</x:v>
      </x:c>
      <x:c r="L1444" s="66" t="str">
        <x:f>IF(K1444="","","1 : "&amp;TEXT(K1444,"0.0"))</x:f>
        <x:v>1 : 12.3</x:v>
      </x:c>
      <x:c r="M1444" s="66" t="str">
        <x:f>IF(J1444="","Baru/Tanpa Data",IF(J1444&lt;='Catatan &amp; Sumber'!$B$14,"Sangat Ketat",IF(J1444&lt;='Catatan &amp; Sumber'!$B$15,"Ketat",IF(J1444&lt;='Catatan &amp; Sumber'!$B$16,"Sedang","Relatif Longgar"))))</x:f>
        <x:v>Sedang</x:v>
      </x:c>
      <x:c r="N1444" s="66" t="str">
        <x:v>Tidak Ada</x:v>
      </x:c>
      <x:c r="O1444" s="66" t="str">
        <x:v>Jakarta Raya</x:v>
      </x:c>
      <x:c r="P1444" s="66" t="str">
        <x:v>Kota Jakarta Timur</x:v>
      </x:c>
      <x:c r="Q1444" s="66" t="str">
        <x:v>https://snpmb.id/snbp/daya-tampung-snbp</x:v>
      </x:c>
      <x:c r="R1444" s="66" t="str">
        <x:v>https://sidatagrun-public-1076756628210.asia-southeast2.run.app/ptn_sn.php?ptn=323</x:v>
      </x:c>
    </x:row>
    <x:row r="1445">
      <x:c r="A1445" s="87" t="n">
        <x:v>802</x:v>
      </x:c>
      <x:c r="B1445" s="66" t="n">
        <x:v>323</x:v>
      </x:c>
      <x:c r="C1445" s="66" t="str">
        <x:v>UNIVERSITAS NEGERI JAKARTA</x:v>
      </x:c>
      <x:c r="D1445" s="66" t="str">
        <x:v>PTN Akademik</x:v>
      </x:c>
      <x:c r="E1445" s="66" t="str">
        <x:v>13231045</x:v>
      </x:c>
      <x:c r="F1445" s="66" t="str">
        <x:v>PENDIDIKAN KESEJAHTERAAN KELUARGA</x:v>
      </x:c>
      <x:c r="G1445" s="66" t="str">
        <x:v>Sarjana</x:v>
      </x:c>
      <x:c r="H1445" s="87" t="n">
        <x:v>12</x:v>
      </x:c>
      <x:c r="I1445" s="87" t="n">
        <x:v>179</x:v>
      </x:c>
      <x:c r="J1445" s="68" t="n">
        <x:f>IFERROR(H1445/I1445,"")</x:f>
        <x:v>0.0670391061452514</x:v>
      </x:c>
      <x:c r="K1445" s="69" t="n">
        <x:f>IFERROR(I1445/H1445,"")</x:f>
        <x:v>14.916666666666666</x:v>
      </x:c>
      <x:c r="L1445" s="66" t="str">
        <x:f>IF(K1445="","","1 : "&amp;TEXT(K1445,"0.0"))</x:f>
        <x:v>1 : 14.9</x:v>
      </x:c>
      <x:c r="M1445" s="66" t="str">
        <x:f>IF(J1445="","Baru/Tanpa Data",IF(J1445&lt;='Catatan &amp; Sumber'!$B$14,"Sangat Ketat",IF(J1445&lt;='Catatan &amp; Sumber'!$B$15,"Ketat",IF(J1445&lt;='Catatan &amp; Sumber'!$B$16,"Sedang","Relatif Longgar"))))</x:f>
        <x:v>Sedang</x:v>
      </x:c>
      <x:c r="N1445" s="66" t="str">
        <x:v>Tidak Ada</x:v>
      </x:c>
      <x:c r="O1445" s="66" t="str">
        <x:v>Jakarta Raya</x:v>
      </x:c>
      <x:c r="P1445" s="66" t="str">
        <x:v>Kota Jakarta Timur</x:v>
      </x:c>
      <x:c r="Q1445" s="66" t="str">
        <x:v>https://snpmb.id/snbp/daya-tampung-snbp</x:v>
      </x:c>
      <x:c r="R1445" s="66" t="str">
        <x:v>https://sidatagrun-public-1076756628210.asia-southeast2.run.app/ptn_sn.php?ptn=323</x:v>
      </x:c>
    </x:row>
    <x:row r="1446">
      <x:c r="A1446" s="87" t="n">
        <x:v>2390</x:v>
      </x:c>
      <x:c r="B1446" s="66" t="n">
        <x:v>323</x:v>
      </x:c>
      <x:c r="C1446" s="66" t="str">
        <x:v>UNIVERSITAS NEGERI JAKARTA</x:v>
      </x:c>
      <x:c r="D1446" s="66" t="str">
        <x:v>PTN Akademik</x:v>
      </x:c>
      <x:c r="E1446" s="66" t="str">
        <x:v>13231046</x:v>
      </x:c>
      <x:c r="F1446" s="66" t="str">
        <x:v>PENDIDIKAN JASMANI</x:v>
      </x:c>
      <x:c r="G1446" s="66" t="str">
        <x:v>Sarjana</x:v>
      </x:c>
      <x:c r="H1446" s="87" t="n">
        <x:v>59</x:v>
      </x:c>
      <x:c r="I1446" s="87" t="n">
        <x:v>304</x:v>
      </x:c>
      <x:c r="J1446" s="68" t="n">
        <x:f>IFERROR(H1446/I1446,"")</x:f>
        <x:v>0.19407894736842105</x:v>
      </x:c>
      <x:c r="K1446" s="69" t="n">
        <x:f>IFERROR(I1446/H1446,"")</x:f>
        <x:v>5.1525423728813555</x:v>
      </x:c>
      <x:c r="L1446" s="66" t="str">
        <x:f>IF(K1446="","","1 : "&amp;TEXT(K1446,"0.0"))</x:f>
        <x:v>1 : 5.2</x:v>
      </x:c>
      <x:c r="M1446" s="66" t="str">
        <x:f>IF(J1446="","Baru/Tanpa Data",IF(J1446&lt;='Catatan &amp; Sumber'!$B$14,"Sangat Ketat",IF(J1446&lt;='Catatan &amp; Sumber'!$B$15,"Ketat",IF(J1446&lt;='Catatan &amp; Sumber'!$B$16,"Sedang","Relatif Longgar"))))</x:f>
        <x:v>Relatif Longgar</x:v>
      </x:c>
      <x:c r="N1446" s="66" t="str">
        <x:v>Olahraga</x:v>
      </x:c>
      <x:c r="O1446" s="66" t="str">
        <x:v>Jakarta Raya</x:v>
      </x:c>
      <x:c r="P1446" s="66" t="str">
        <x:v>Kota Jakarta Timur</x:v>
      </x:c>
      <x:c r="Q1446" s="66" t="str">
        <x:v>https://snpmb.id/snbp/daya-tampung-snbp</x:v>
      </x:c>
      <x:c r="R1446" s="66" t="str">
        <x:v>https://sidatagrun-public-1076756628210.asia-southeast2.run.app/ptn_sn.php?ptn=323</x:v>
      </x:c>
    </x:row>
    <x:row r="1447">
      <x:c r="A1447" s="87" t="n">
        <x:v>1957</x:v>
      </x:c>
      <x:c r="B1447" s="66" t="n">
        <x:v>323</x:v>
      </x:c>
      <x:c r="C1447" s="66" t="str">
        <x:v>UNIVERSITAS NEGERI JAKARTA</x:v>
      </x:c>
      <x:c r="D1447" s="66" t="str">
        <x:v>PTN Akademik</x:v>
      </x:c>
      <x:c r="E1447" s="66" t="str">
        <x:v>13231047</x:v>
      </x:c>
      <x:c r="F1447" s="66" t="str">
        <x:v>PENDIDIKAN KEPELATIHAN OLAHRAGA</x:v>
      </x:c>
      <x:c r="G1447" s="66" t="str">
        <x:v>Sarjana</x:v>
      </x:c>
      <x:c r="H1447" s="87" t="n">
        <x:v>36</x:v>
      </x:c>
      <x:c r="I1447" s="87" t="n">
        <x:v>245</x:v>
      </x:c>
      <x:c r="J1447" s="68" t="n">
        <x:f>IFERROR(H1447/I1447,"")</x:f>
        <x:v>0.1469387755102041</x:v>
      </x:c>
      <x:c r="K1447" s="69" t="n">
        <x:f>IFERROR(I1447/H1447,"")</x:f>
        <x:v>6.805555555555555</x:v>
      </x:c>
      <x:c r="L1447" s="66" t="str">
        <x:f>IF(K1447="","","1 : "&amp;TEXT(K1447,"0.0"))</x:f>
        <x:v>1 : 6.8</x:v>
      </x:c>
      <x:c r="M1447" s="66" t="str">
        <x:f>IF(J1447="","Baru/Tanpa Data",IF(J1447&lt;='Catatan &amp; Sumber'!$B$14,"Sangat Ketat",IF(J1447&lt;='Catatan &amp; Sumber'!$B$15,"Ketat",IF(J1447&lt;='Catatan &amp; Sumber'!$B$16,"Sedang","Relatif Longgar"))))</x:f>
        <x:v>Relatif Longgar</x:v>
      </x:c>
      <x:c r="N1447" s="66" t="str">
        <x:v>Olahraga</x:v>
      </x:c>
      <x:c r="O1447" s="66" t="str">
        <x:v>Jakarta Raya</x:v>
      </x:c>
      <x:c r="P1447" s="66" t="str">
        <x:v>Kota Jakarta Timur</x:v>
      </x:c>
      <x:c r="Q1447" s="66" t="str">
        <x:v>https://snpmb.id/snbp/daya-tampung-snbp</x:v>
      </x:c>
      <x:c r="R1447" s="66" t="str">
        <x:v>https://sidatagrun-public-1076756628210.asia-southeast2.run.app/ptn_sn.php?ptn=323</x:v>
      </x:c>
    </x:row>
    <x:row r="1448">
      <x:c r="A1448" s="87" t="n">
        <x:v>1234</x:v>
      </x:c>
      <x:c r="B1448" s="66" t="n">
        <x:v>323</x:v>
      </x:c>
      <x:c r="C1448" s="66" t="str">
        <x:v>UNIVERSITAS NEGERI JAKARTA</x:v>
      </x:c>
      <x:c r="D1448" s="66" t="str">
        <x:v>PTN Akademik</x:v>
      </x:c>
      <x:c r="E1448" s="66" t="str">
        <x:v>13231048</x:v>
      </x:c>
      <x:c r="F1448" s="66" t="str">
        <x:v>PENDIDIKAN EKONOMI</x:v>
      </x:c>
      <x:c r="G1448" s="66" t="str">
        <x:v>Sarjana</x:v>
      </x:c>
      <x:c r="H1448" s="87" t="n">
        <x:v>29</x:v>
      </x:c>
      <x:c r="I1448" s="87" t="n">
        <x:v>315</x:v>
      </x:c>
      <x:c r="J1448" s="68" t="n">
        <x:f>IFERROR(H1448/I1448,"")</x:f>
        <x:v>0.09206349206349207</x:v>
      </x:c>
      <x:c r="K1448" s="69" t="n">
        <x:f>IFERROR(I1448/H1448,"")</x:f>
        <x:v>10.862068965517242</x:v>
      </x:c>
      <x:c r="L1448" s="66" t="str">
        <x:f>IF(K1448="","","1 : "&amp;TEXT(K1448,"0.0"))</x:f>
        <x:v>1 : 10.9</x:v>
      </x:c>
      <x:c r="M1448" s="66" t="str">
        <x:f>IF(J1448="","Baru/Tanpa Data",IF(J1448&lt;='Catatan &amp; Sumber'!$B$14,"Sangat Ketat",IF(J1448&lt;='Catatan &amp; Sumber'!$B$15,"Ketat",IF(J1448&lt;='Catatan &amp; Sumber'!$B$16,"Sedang","Relatif Longgar"))))</x:f>
        <x:v>Sedang</x:v>
      </x:c>
      <x:c r="N1448" s="66" t="str">
        <x:v>Tidak Ada</x:v>
      </x:c>
      <x:c r="O1448" s="66" t="str">
        <x:v>Jakarta Raya</x:v>
      </x:c>
      <x:c r="P1448" s="66" t="str">
        <x:v>Kota Jakarta Timur</x:v>
      </x:c>
      <x:c r="Q1448" s="66" t="str">
        <x:v>https://snpmb.id/snbp/daya-tampung-snbp</x:v>
      </x:c>
      <x:c r="R1448" s="66" t="str">
        <x:v>https://sidatagrun-public-1076756628210.asia-southeast2.run.app/ptn_sn.php?ptn=323</x:v>
      </x:c>
    </x:row>
    <x:row r="1449">
      <x:c r="A1449" s="87" t="n">
        <x:v>27</x:v>
      </x:c>
      <x:c r="B1449" s="66" t="n">
        <x:v>323</x:v>
      </x:c>
      <x:c r="C1449" s="66" t="str">
        <x:v>UNIVERSITAS NEGERI JAKARTA</x:v>
      </x:c>
      <x:c r="D1449" s="66" t="str">
        <x:v>PTN Akademik</x:v>
      </x:c>
      <x:c r="E1449" s="66" t="str">
        <x:v>13231049</x:v>
      </x:c>
      <x:c r="F1449" s="66" t="str">
        <x:v>MANAJEMEN</x:v>
      </x:c>
      <x:c r="G1449" s="66" t="str">
        <x:v>Sarjana</x:v>
      </x:c>
      <x:c r="H1449" s="87" t="n">
        <x:v>47</x:v>
      </x:c>
      <x:c r="I1449" s="87" t="n">
        <x:v>2530</x:v>
      </x:c>
      <x:c r="J1449" s="68" t="n">
        <x:f>IFERROR(H1449/I1449,"")</x:f>
        <x:v>0.01857707509881423</x:v>
      </x:c>
      <x:c r="K1449" s="69" t="n">
        <x:f>IFERROR(I1449/H1449,"")</x:f>
        <x:v>53.829787234042556</x:v>
      </x:c>
      <x:c r="L1449" s="66" t="str">
        <x:f>IF(K1449="","","1 : "&amp;TEXT(K1449,"0.0"))</x:f>
        <x:v>1 : 53.8</x:v>
      </x:c>
      <x:c r="M1449" s="66" t="str">
        <x:f>IF(J1449="","Baru/Tanpa Data",IF(J1449&lt;='Catatan &amp; Sumber'!$B$14,"Sangat Ketat",IF(J1449&lt;='Catatan &amp; Sumber'!$B$15,"Ketat",IF(J1449&lt;='Catatan &amp; Sumber'!$B$16,"Sedang","Relatif Longgar"))))</x:f>
        <x:v>Sangat Ketat</x:v>
      </x:c>
      <x:c r="N1449" s="66" t="str">
        <x:v>Tidak Ada</x:v>
      </x:c>
      <x:c r="O1449" s="66" t="str">
        <x:v>Jakarta Raya</x:v>
      </x:c>
      <x:c r="P1449" s="66" t="str">
        <x:v>Kota Jakarta Timur</x:v>
      </x:c>
      <x:c r="Q1449" s="66" t="str">
        <x:v>https://snpmb.id/snbp/daya-tampung-snbp</x:v>
      </x:c>
      <x:c r="R1449" s="66" t="str">
        <x:v>https://sidatagrun-public-1076756628210.asia-southeast2.run.app/ptn_sn.php?ptn=323</x:v>
      </x:c>
    </x:row>
    <x:row r="1450">
      <x:c r="A1450" s="87" t="n">
        <x:v>46</x:v>
      </x:c>
      <x:c r="B1450" s="66" t="n">
        <x:v>323</x:v>
      </x:c>
      <x:c r="C1450" s="66" t="str">
        <x:v>UNIVERSITAS NEGERI JAKARTA</x:v>
      </x:c>
      <x:c r="D1450" s="66" t="str">
        <x:v>PTN Akademik</x:v>
      </x:c>
      <x:c r="E1450" s="66" t="str">
        <x:v>13231050</x:v>
      </x:c>
      <x:c r="F1450" s="66" t="str">
        <x:v>AKUNTANSI</x:v>
      </x:c>
      <x:c r="G1450" s="66" t="str">
        <x:v>Sarjana</x:v>
      </x:c>
      <x:c r="H1450" s="87" t="n">
        <x:v>39</x:v>
      </x:c>
      <x:c r="I1450" s="87" t="n">
        <x:v>1768</x:v>
      </x:c>
      <x:c r="J1450" s="68" t="n">
        <x:f>IFERROR(H1450/I1450,"")</x:f>
        <x:v>0.022058823529411766</x:v>
      </x:c>
      <x:c r="K1450" s="69" t="n">
        <x:f>IFERROR(I1450/H1450,"")</x:f>
        <x:v>45.333333333333336</x:v>
      </x:c>
      <x:c r="L1450" s="66" t="str">
        <x:f>IF(K1450="","","1 : "&amp;TEXT(K1450,"0.0"))</x:f>
        <x:v>1 : 45.3</x:v>
      </x:c>
      <x:c r="M1450" s="66" t="str">
        <x:f>IF(J1450="","Baru/Tanpa Data",IF(J1450&lt;='Catatan &amp; Sumber'!$B$14,"Sangat Ketat",IF(J1450&lt;='Catatan &amp; Sumber'!$B$15,"Ketat",IF(J1450&lt;='Catatan &amp; Sumber'!$B$16,"Sedang","Relatif Longgar"))))</x:f>
        <x:v>Ketat</x:v>
      </x:c>
      <x:c r="N1450" s="66" t="str">
        <x:v>Tidak Ada</x:v>
      </x:c>
      <x:c r="O1450" s="66" t="str">
        <x:v>Jakarta Raya</x:v>
      </x:c>
      <x:c r="P1450" s="66" t="str">
        <x:v>Kota Jakarta Timur</x:v>
      </x:c>
      <x:c r="Q1450" s="66" t="str">
        <x:v>https://snpmb.id/snbp/daya-tampung-snbp</x:v>
      </x:c>
      <x:c r="R1450" s="66" t="str">
        <x:v>https://sidatagrun-public-1076756628210.asia-southeast2.run.app/ptn_sn.php?ptn=323</x:v>
      </x:c>
    </x:row>
    <x:row r="1451">
      <x:c r="A1451" s="87" t="n">
        <x:v>1541</x:v>
      </x:c>
      <x:c r="B1451" s="66" t="n">
        <x:v>323</x:v>
      </x:c>
      <x:c r="C1451" s="66" t="str">
        <x:v>UNIVERSITAS NEGERI JAKARTA</x:v>
      </x:c>
      <x:c r="D1451" s="66" t="str">
        <x:v>PTN Akademik</x:v>
      </x:c>
      <x:c r="E1451" s="66" t="str">
        <x:v>13231051</x:v>
      </x:c>
      <x:c r="F1451" s="66" t="str">
        <x:v>PENDIDIKAN ILMU PENGETAHUAN SOSIAL</x:v>
      </x:c>
      <x:c r="G1451" s="66" t="str">
        <x:v>Sarjana</x:v>
      </x:c>
      <x:c r="H1451" s="87" t="n">
        <x:v>24</x:v>
      </x:c>
      <x:c r="I1451" s="87" t="n">
        <x:v>213</x:v>
      </x:c>
      <x:c r="J1451" s="68" t="n">
        <x:f>IFERROR(H1451/I1451,"")</x:f>
        <x:v>0.11267605633802817</x:v>
      </x:c>
      <x:c r="K1451" s="69" t="n">
        <x:f>IFERROR(I1451/H1451,"")</x:f>
        <x:v>8.875</x:v>
      </x:c>
      <x:c r="L1451" s="66" t="str">
        <x:f>IF(K1451="","","1 : "&amp;TEXT(K1451,"0.0"))</x:f>
        <x:v>1 : 8.9</x:v>
      </x:c>
      <x:c r="M1451" s="66" t="str">
        <x:f>IF(J1451="","Baru/Tanpa Data",IF(J1451&lt;='Catatan &amp; Sumber'!$B$14,"Sangat Ketat",IF(J1451&lt;='Catatan &amp; Sumber'!$B$15,"Ketat",IF(J1451&lt;='Catatan &amp; Sumber'!$B$16,"Sedang","Relatif Longgar"))))</x:f>
        <x:v>Relatif Longgar</x:v>
      </x:c>
      <x:c r="N1451" s="66" t="str">
        <x:v>Tidak Ada</x:v>
      </x:c>
      <x:c r="O1451" s="66" t="str">
        <x:v>Jakarta Raya</x:v>
      </x:c>
      <x:c r="P1451" s="66" t="str">
        <x:v>Kota Jakarta Timur</x:v>
      </x:c>
      <x:c r="Q1451" s="66" t="str">
        <x:v>https://snpmb.id/snbp/daya-tampung-snbp</x:v>
      </x:c>
      <x:c r="R1451" s="66" t="str">
        <x:v>https://sidatagrun-public-1076756628210.asia-southeast2.run.app/ptn_sn.php?ptn=323</x:v>
      </x:c>
    </x:row>
    <x:row r="1452">
      <x:c r="A1452" s="87" t="n">
        <x:v>84</x:v>
      </x:c>
      <x:c r="B1452" s="66" t="n">
        <x:v>323</x:v>
      </x:c>
      <x:c r="C1452" s="66" t="str">
        <x:v>UNIVERSITAS NEGERI JAKARTA</x:v>
      </x:c>
      <x:c r="D1452" s="66" t="str">
        <x:v>PTN Akademik</x:v>
      </x:c>
      <x:c r="E1452" s="66" t="str">
        <x:v>13231052</x:v>
      </x:c>
      <x:c r="F1452" s="66" t="str">
        <x:v>PENDIDIKAN TATA BOGA</x:v>
      </x:c>
      <x:c r="G1452" s="66" t="str">
        <x:v>Sarjana</x:v>
      </x:c>
      <x:c r="H1452" s="87" t="n">
        <x:v>12</x:v>
      </x:c>
      <x:c r="I1452" s="87" t="n">
        <x:v>448</x:v>
      </x:c>
      <x:c r="J1452" s="68" t="n">
        <x:f>IFERROR(H1452/I1452,"")</x:f>
        <x:v>0.026785714285714284</x:v>
      </x:c>
      <x:c r="K1452" s="69" t="n">
        <x:f>IFERROR(I1452/H1452,"")</x:f>
        <x:v>37.333333333333336</x:v>
      </x:c>
      <x:c r="L1452" s="66" t="str">
        <x:f>IF(K1452="","","1 : "&amp;TEXT(K1452,"0.0"))</x:f>
        <x:v>1 : 37.3</x:v>
      </x:c>
      <x:c r="M1452" s="66" t="str">
        <x:f>IF(J1452="","Baru/Tanpa Data",IF(J1452&lt;='Catatan &amp; Sumber'!$B$14,"Sangat Ketat",IF(J1452&lt;='Catatan &amp; Sumber'!$B$15,"Ketat",IF(J1452&lt;='Catatan &amp; Sumber'!$B$16,"Sedang","Relatif Longgar"))))</x:f>
        <x:v>Ketat</x:v>
      </x:c>
      <x:c r="N1452" s="66" t="str">
        <x:v>Tidak Ada</x:v>
      </x:c>
      <x:c r="O1452" s="66" t="str">
        <x:v>Jakarta Raya</x:v>
      </x:c>
      <x:c r="P1452" s="66" t="str">
        <x:v>Kota Jakarta Timur</x:v>
      </x:c>
      <x:c r="Q1452" s="66" t="str">
        <x:v>https://snpmb.id/snbp/daya-tampung-snbp</x:v>
      </x:c>
      <x:c r="R1452" s="66" t="str">
        <x:v>https://sidatagrun-public-1076756628210.asia-southeast2.run.app/ptn_sn.php?ptn=323</x:v>
      </x:c>
    </x:row>
    <x:row r="1453">
      <x:c r="A1453" s="87" t="n">
        <x:v>299</x:v>
      </x:c>
      <x:c r="B1453" s="66" t="n">
        <x:v>323</x:v>
      </x:c>
      <x:c r="C1453" s="66" t="str">
        <x:v>UNIVERSITAS NEGERI JAKARTA</x:v>
      </x:c>
      <x:c r="D1453" s="66" t="str">
        <x:v>PTN Akademik</x:v>
      </x:c>
      <x:c r="E1453" s="66" t="str">
        <x:v>13231053</x:v>
      </x:c>
      <x:c r="F1453" s="66" t="str">
        <x:v>PENDIDIKAN TATA BUSANA</x:v>
      </x:c>
      <x:c r="G1453" s="66" t="str">
        <x:v>Sarjana</x:v>
      </x:c>
      <x:c r="H1453" s="87" t="n">
        <x:v>12</x:v>
      </x:c>
      <x:c r="I1453" s="87" t="n">
        <x:v>282</x:v>
      </x:c>
      <x:c r="J1453" s="68" t="n">
        <x:f>IFERROR(H1453/I1453,"")</x:f>
        <x:v>0.0425531914893617</x:v>
      </x:c>
      <x:c r="K1453" s="69" t="n">
        <x:f>IFERROR(I1453/H1453,"")</x:f>
        <x:v>23.5</x:v>
      </x:c>
      <x:c r="L1453" s="66" t="str">
        <x:f>IF(K1453="","","1 : "&amp;TEXT(K1453,"0.0"))</x:f>
        <x:v>1 : 23.5</x:v>
      </x:c>
      <x:c r="M1453" s="66" t="str">
        <x:f>IF(J1453="","Baru/Tanpa Data",IF(J1453&lt;='Catatan &amp; Sumber'!$B$14,"Sangat Ketat",IF(J1453&lt;='Catatan &amp; Sumber'!$B$15,"Ketat",IF(J1453&lt;='Catatan &amp; Sumber'!$B$16,"Sedang","Relatif Longgar"))))</x:f>
        <x:v>Ketat</x:v>
      </x:c>
      <x:c r="N1453" s="66" t="str">
        <x:v>Tidak Ada</x:v>
      </x:c>
      <x:c r="O1453" s="66" t="str">
        <x:v>Jakarta Raya</x:v>
      </x:c>
      <x:c r="P1453" s="66" t="str">
        <x:v>Kota Jakarta Timur</x:v>
      </x:c>
      <x:c r="Q1453" s="66" t="str">
        <x:v>https://snpmb.id/snbp/daya-tampung-snbp</x:v>
      </x:c>
      <x:c r="R1453" s="66" t="str">
        <x:v>https://sidatagrun-public-1076756628210.asia-southeast2.run.app/ptn_sn.php?ptn=323</x:v>
      </x:c>
    </x:row>
    <x:row r="1454">
      <x:c r="A1454" s="87" t="n">
        <x:v>551</x:v>
      </x:c>
      <x:c r="B1454" s="66" t="n">
        <x:v>323</x:v>
      </x:c>
      <x:c r="C1454" s="66" t="str">
        <x:v>UNIVERSITAS NEGERI JAKARTA</x:v>
      </x:c>
      <x:c r="D1454" s="66" t="str">
        <x:v>PTN Akademik</x:v>
      </x:c>
      <x:c r="E1454" s="66" t="str">
        <x:v>13231054</x:v>
      </x:c>
      <x:c r="F1454" s="66" t="str">
        <x:v>PENDIDIKAN TATA RIAS</x:v>
      </x:c>
      <x:c r="G1454" s="66" t="str">
        <x:v>Sarjana</x:v>
      </x:c>
      <x:c r="H1454" s="87" t="n">
        <x:v>18</x:v>
      </x:c>
      <x:c r="I1454" s="87" t="n">
        <x:v>333</x:v>
      </x:c>
      <x:c r="J1454" s="68" t="n">
        <x:f>IFERROR(H1454/I1454,"")</x:f>
        <x:v>0.05405405405405406</x:v>
      </x:c>
      <x:c r="K1454" s="69" t="n">
        <x:f>IFERROR(I1454/H1454,"")</x:f>
        <x:v>18.5</x:v>
      </x:c>
      <x:c r="L1454" s="66" t="str">
        <x:f>IF(K1454="","","1 : "&amp;TEXT(K1454,"0.0"))</x:f>
        <x:v>1 : 18.5</x:v>
      </x:c>
      <x:c r="M1454" s="66" t="str">
        <x:f>IF(J1454="","Baru/Tanpa Data",IF(J1454&lt;='Catatan &amp; Sumber'!$B$14,"Sangat Ketat",IF(J1454&lt;='Catatan &amp; Sumber'!$B$15,"Ketat",IF(J1454&lt;='Catatan &amp; Sumber'!$B$16,"Sedang","Relatif Longgar"))))</x:f>
        <x:v>Sedang</x:v>
      </x:c>
      <x:c r="N1454" s="66" t="str">
        <x:v>Tidak Ada</x:v>
      </x:c>
      <x:c r="O1454" s="66" t="str">
        <x:v>Jakarta Raya</x:v>
      </x:c>
      <x:c r="P1454" s="66" t="str">
        <x:v>Kota Jakarta Timur</x:v>
      </x:c>
      <x:c r="Q1454" s="66" t="str">
        <x:v>https://snpmb.id/snbp/daya-tampung-snbp</x:v>
      </x:c>
      <x:c r="R1454" s="66" t="str">
        <x:v>https://sidatagrun-public-1076756628210.asia-southeast2.run.app/ptn_sn.php?ptn=323</x:v>
      </x:c>
    </x:row>
    <x:row r="1455">
      <x:c r="A1455" s="87" t="n">
        <x:v>985</x:v>
      </x:c>
      <x:c r="B1455" s="66" t="n">
        <x:v>323</x:v>
      </x:c>
      <x:c r="C1455" s="66" t="str">
        <x:v>UNIVERSITAS NEGERI JAKARTA</x:v>
      </x:c>
      <x:c r="D1455" s="66" t="str">
        <x:v>PTN Akademik</x:v>
      </x:c>
      <x:c r="E1455" s="66" t="str">
        <x:v>13231055</x:v>
      </x:c>
      <x:c r="F1455" s="66" t="str">
        <x:v>PENDIDIKAN BISNIS</x:v>
      </x:c>
      <x:c r="G1455" s="66" t="str">
        <x:v>Sarjana</x:v>
      </x:c>
      <x:c r="H1455" s="87" t="n">
        <x:v>29</x:v>
      </x:c>
      <x:c r="I1455" s="87" t="n">
        <x:v>376</x:v>
      </x:c>
      <x:c r="J1455" s="68" t="n">
        <x:f>IFERROR(H1455/I1455,"")</x:f>
        <x:v>0.07712765957446809</x:v>
      </x:c>
      <x:c r="K1455" s="69" t="n">
        <x:f>IFERROR(I1455/H1455,"")</x:f>
        <x:v>12.96551724137931</x:v>
      </x:c>
      <x:c r="L1455" s="66" t="str">
        <x:f>IF(K1455="","","1 : "&amp;TEXT(K1455,"0.0"))</x:f>
        <x:v>1 : 13.0</x:v>
      </x:c>
      <x:c r="M1455" s="66" t="str">
        <x:f>IF(J1455="","Baru/Tanpa Data",IF(J1455&lt;='Catatan &amp; Sumber'!$B$14,"Sangat Ketat",IF(J1455&lt;='Catatan &amp; Sumber'!$B$15,"Ketat",IF(J1455&lt;='Catatan &amp; Sumber'!$B$16,"Sedang","Relatif Longgar"))))</x:f>
        <x:v>Sedang</x:v>
      </x:c>
      <x:c r="N1455" s="66" t="str">
        <x:v>Tidak Ada</x:v>
      </x:c>
      <x:c r="O1455" s="66" t="str">
        <x:v>Jakarta Raya</x:v>
      </x:c>
      <x:c r="P1455" s="66" t="str">
        <x:v>Kota Jakarta Timur</x:v>
      </x:c>
      <x:c r="Q1455" s="66" t="str">
        <x:v>https://snpmb.id/snbp/daya-tampung-snbp</x:v>
      </x:c>
      <x:c r="R1455" s="66" t="str">
        <x:v>https://sidatagrun-public-1076756628210.asia-southeast2.run.app/ptn_sn.php?ptn=323</x:v>
      </x:c>
    </x:row>
    <x:row r="1456">
      <x:c r="A1456" s="87" t="n">
        <x:v>1068</x:v>
      </x:c>
      <x:c r="B1456" s="66" t="n">
        <x:v>323</x:v>
      </x:c>
      <x:c r="C1456" s="66" t="str">
        <x:v>UNIVERSITAS NEGERI JAKARTA</x:v>
      </x:c>
      <x:c r="D1456" s="66" t="str">
        <x:v>PTN Akademik</x:v>
      </x:c>
      <x:c r="E1456" s="66" t="str">
        <x:v>13231056</x:v>
      </x:c>
      <x:c r="F1456" s="66" t="str">
        <x:v>PENDIDIKAN BAHASA MANDARIN</x:v>
      </x:c>
      <x:c r="G1456" s="66" t="str">
        <x:v>Sarjana</x:v>
      </x:c>
      <x:c r="H1456" s="87" t="n">
        <x:v>18</x:v>
      </x:c>
      <x:c r="I1456" s="87" t="n">
        <x:v>220</x:v>
      </x:c>
      <x:c r="J1456" s="68" t="n">
        <x:f>IFERROR(H1456/I1456,"")</x:f>
        <x:v>0.08181818181818182</x:v>
      </x:c>
      <x:c r="K1456" s="69" t="n">
        <x:f>IFERROR(I1456/H1456,"")</x:f>
        <x:v>12.222222222222221</x:v>
      </x:c>
      <x:c r="L1456" s="66" t="str">
        <x:f>IF(K1456="","","1 : "&amp;TEXT(K1456,"0.0"))</x:f>
        <x:v>1 : 12.2</x:v>
      </x:c>
      <x:c r="M1456" s="66" t="str">
        <x:f>IF(J1456="","Baru/Tanpa Data",IF(J1456&lt;='Catatan &amp; Sumber'!$B$14,"Sangat Ketat",IF(J1456&lt;='Catatan &amp; Sumber'!$B$15,"Ketat",IF(J1456&lt;='Catatan &amp; Sumber'!$B$16,"Sedang","Relatif Longgar"))))</x:f>
        <x:v>Sedang</x:v>
      </x:c>
      <x:c r="N1456" s="66" t="str">
        <x:v>Tidak Ada</x:v>
      </x:c>
      <x:c r="O1456" s="66" t="str">
        <x:v>Jakarta Raya</x:v>
      </x:c>
      <x:c r="P1456" s="66" t="str">
        <x:v>Kota Jakarta Timur</x:v>
      </x:c>
      <x:c r="Q1456" s="66" t="str">
        <x:v>https://snpmb.id/snbp/daya-tampung-snbp</x:v>
      </x:c>
      <x:c r="R1456" s="66" t="str">
        <x:v>https://sidatagrun-public-1076756628210.asia-southeast2.run.app/ptn_sn.php?ptn=323</x:v>
      </x:c>
    </x:row>
    <x:row r="1457">
      <x:c r="A1457" s="87" t="n">
        <x:v>564</x:v>
      </x:c>
      <x:c r="B1457" s="66" t="n">
        <x:v>323</x:v>
      </x:c>
      <x:c r="C1457" s="66" t="str">
        <x:v>UNIVERSITAS NEGERI JAKARTA</x:v>
      </x:c>
      <x:c r="D1457" s="66" t="str">
        <x:v>PTN Akademik</x:v>
      </x:c>
      <x:c r="E1457" s="66" t="str">
        <x:v>13231057</x:v>
      </x:c>
      <x:c r="F1457" s="66" t="str">
        <x:v>PENDIDIKAN ADMINISTRASI PERKANTORAN</x:v>
      </x:c>
      <x:c r="G1457" s="66" t="str">
        <x:v>Sarjana</x:v>
      </x:c>
      <x:c r="H1457" s="87" t="n">
        <x:v>29</x:v>
      </x:c>
      <x:c r="I1457" s="87" t="n">
        <x:v>529</x:v>
      </x:c>
      <x:c r="J1457" s="68" t="n">
        <x:f>IFERROR(H1457/I1457,"")</x:f>
        <x:v>0.054820415879017016</x:v>
      </x:c>
      <x:c r="K1457" s="69" t="n">
        <x:f>IFERROR(I1457/H1457,"")</x:f>
        <x:v>18.24137931034483</x:v>
      </x:c>
      <x:c r="L1457" s="66" t="str">
        <x:f>IF(K1457="","","1 : "&amp;TEXT(K1457,"0.0"))</x:f>
        <x:v>1 : 18.2</x:v>
      </x:c>
      <x:c r="M1457" s="66" t="str">
        <x:f>IF(J1457="","Baru/Tanpa Data",IF(J1457&lt;='Catatan &amp; Sumber'!$B$14,"Sangat Ketat",IF(J1457&lt;='Catatan &amp; Sumber'!$B$15,"Ketat",IF(J1457&lt;='Catatan &amp; Sumber'!$B$16,"Sedang","Relatif Longgar"))))</x:f>
        <x:v>Sedang</x:v>
      </x:c>
      <x:c r="N1457" s="66" t="str">
        <x:v>Tidak Ada</x:v>
      </x:c>
      <x:c r="O1457" s="66" t="str">
        <x:v>Jakarta Raya</x:v>
      </x:c>
      <x:c r="P1457" s="66" t="str">
        <x:v>Kota Jakarta Timur</x:v>
      </x:c>
      <x:c r="Q1457" s="66" t="str">
        <x:v>https://snpmb.id/snbp/daya-tampung-snbp</x:v>
      </x:c>
      <x:c r="R1457" s="66" t="str">
        <x:v>https://sidatagrun-public-1076756628210.asia-southeast2.run.app/ptn_sn.php?ptn=323</x:v>
      </x:c>
    </x:row>
    <x:row r="1458">
      <x:c r="A1458" s="87" t="n">
        <x:v>3160</x:v>
      </x:c>
      <x:c r="B1458" s="66" t="n">
        <x:v>323</x:v>
      </x:c>
      <x:c r="C1458" s="66" t="str">
        <x:v>UNIVERSITAS NEGERI JAKARTA</x:v>
      </x:c>
      <x:c r="D1458" s="66" t="str">
        <x:v>PTN Akademik</x:v>
      </x:c>
      <x:c r="E1458" s="66" t="str">
        <x:v>13231058</x:v>
      </x:c>
      <x:c r="F1458" s="66" t="str">
        <x:v>OLAHRAGA REKREASI</x:v>
      </x:c>
      <x:c r="G1458" s="66" t="str">
        <x:v>Sarjana</x:v>
      </x:c>
      <x:c r="H1458" s="87" t="n">
        <x:v>30</x:v>
      </x:c>
      <x:c r="I1458" s="87" t="n">
        <x:v>91</x:v>
      </x:c>
      <x:c r="J1458" s="68" t="n">
        <x:f>IFERROR(H1458/I1458,"")</x:f>
        <x:v>0.32967032967032966</x:v>
      </x:c>
      <x:c r="K1458" s="69" t="n">
        <x:f>IFERROR(I1458/H1458,"")</x:f>
        <x:v>3.033333333333333</x:v>
      </x:c>
      <x:c r="L1458" s="66" t="str">
        <x:f>IF(K1458="","","1 : "&amp;TEXT(K1458,"0.0"))</x:f>
        <x:v>1 : 3.0</x:v>
      </x:c>
      <x:c r="M1458" s="66" t="str">
        <x:f>IF(J1458="","Baru/Tanpa Data",IF(J1458&lt;='Catatan &amp; Sumber'!$B$14,"Sangat Ketat",IF(J1458&lt;='Catatan &amp; Sumber'!$B$15,"Ketat",IF(J1458&lt;='Catatan &amp; Sumber'!$B$16,"Sedang","Relatif Longgar"))))</x:f>
        <x:v>Relatif Longgar</x:v>
      </x:c>
      <x:c r="N1458" s="66" t="str">
        <x:v>Olahraga</x:v>
      </x:c>
      <x:c r="O1458" s="66" t="str">
        <x:v>Jakarta Raya</x:v>
      </x:c>
      <x:c r="P1458" s="66" t="str">
        <x:v>Kota Jakarta Timur</x:v>
      </x:c>
      <x:c r="Q1458" s="66" t="str">
        <x:v>https://snpmb.id/snbp/daya-tampung-snbp</x:v>
      </x:c>
      <x:c r="R1458" s="66" t="str">
        <x:v>https://sidatagrun-public-1076756628210.asia-southeast2.run.app/ptn_sn.php?ptn=323</x:v>
      </x:c>
    </x:row>
    <x:row r="1459">
      <x:c r="A1459" s="87" t="n">
        <x:v>2324</x:v>
      </x:c>
      <x:c r="B1459" s="66" t="n">
        <x:v>323</x:v>
      </x:c>
      <x:c r="C1459" s="66" t="str">
        <x:v>UNIVERSITAS NEGERI JAKARTA</x:v>
      </x:c>
      <x:c r="D1459" s="66" t="str">
        <x:v>PTN Akademik</x:v>
      </x:c>
      <x:c r="E1459" s="66" t="str">
        <x:v>13231059</x:v>
      </x:c>
      <x:c r="F1459" s="66" t="str">
        <x:v>KEPELATIHAN KECABANGAN OLAHRAGA</x:v>
      </x:c>
      <x:c r="G1459" s="66" t="str">
        <x:v>Sarjana</x:v>
      </x:c>
      <x:c r="H1459" s="87" t="n">
        <x:v>27</x:v>
      </x:c>
      <x:c r="I1459" s="87" t="n">
        <x:v>145</x:v>
      </x:c>
      <x:c r="J1459" s="68" t="n">
        <x:f>IFERROR(H1459/I1459,"")</x:f>
        <x:v>0.18620689655172415</x:v>
      </x:c>
      <x:c r="K1459" s="69" t="n">
        <x:f>IFERROR(I1459/H1459,"")</x:f>
        <x:v>5.37037037037037</x:v>
      </x:c>
      <x:c r="L1459" s="66" t="str">
        <x:f>IF(K1459="","","1 : "&amp;TEXT(K1459,"0.0"))</x:f>
        <x:v>1 : 5.4</x:v>
      </x:c>
      <x:c r="M1459" s="66" t="str">
        <x:f>IF(J1459="","Baru/Tanpa Data",IF(J1459&lt;='Catatan &amp; Sumber'!$B$14,"Sangat Ketat",IF(J1459&lt;='Catatan &amp; Sumber'!$B$15,"Ketat",IF(J1459&lt;='Catatan &amp; Sumber'!$B$16,"Sedang","Relatif Longgar"))))</x:f>
        <x:v>Relatif Longgar</x:v>
      </x:c>
      <x:c r="N1459" s="66" t="str">
        <x:v>Olahraga</x:v>
      </x:c>
      <x:c r="O1459" s="66" t="str">
        <x:v>Jakarta Raya</x:v>
      </x:c>
      <x:c r="P1459" s="66" t="str">
        <x:v>Kota Jakarta Timur</x:v>
      </x:c>
      <x:c r="Q1459" s="66" t="str">
        <x:v>https://snpmb.id/snbp/daya-tampung-snbp</x:v>
      </x:c>
      <x:c r="R1459" s="66" t="str">
        <x:v>https://sidatagrun-public-1076756628210.asia-southeast2.run.app/ptn_sn.php?ptn=323</x:v>
      </x:c>
    </x:row>
    <x:row r="1460">
      <x:c r="A1460" s="87" t="n">
        <x:v>1</x:v>
      </x:c>
      <x:c r="B1460" s="66" t="n">
        <x:v>323</x:v>
      </x:c>
      <x:c r="C1460" s="66" t="str">
        <x:v>UNIVERSITAS NEGERI JAKARTA</x:v>
      </x:c>
      <x:c r="D1460" s="66" t="str">
        <x:v>PTN Akademik</x:v>
      </x:c>
      <x:c r="E1460" s="66" t="str">
        <x:v>13231060</x:v>
      </x:c>
      <x:c r="F1460" s="66" t="str">
        <x:v>ILMU KOMUNIKASI</x:v>
      </x:c>
      <x:c r="G1460" s="66" t="str">
        <x:v>Sarjana</x:v>
      </x:c>
      <x:c r="H1460" s="87" t="n">
        <x:v>16</x:v>
      </x:c>
      <x:c r="I1460" s="87" t="n">
        <x:v>1429</x:v>
      </x:c>
      <x:c r="J1460" s="68" t="n">
        <x:f>IFERROR(H1460/I1460,"")</x:f>
        <x:v>0.01119664100769769</x:v>
      </x:c>
      <x:c r="K1460" s="69" t="n">
        <x:f>IFERROR(I1460/H1460,"")</x:f>
        <x:v>89.3125</x:v>
      </x:c>
      <x:c r="L1460" s="66" t="str">
        <x:f>IF(K1460="","","1 : "&amp;TEXT(K1460,"0.0"))</x:f>
        <x:v>1 : 89.3</x:v>
      </x:c>
      <x:c r="M1460" s="66" t="str">
        <x:f>IF(J1460="","Baru/Tanpa Data",IF(J1460&lt;='Catatan &amp; Sumber'!$B$14,"Sangat Ketat",IF(J1460&lt;='Catatan &amp; Sumber'!$B$15,"Ketat",IF(J1460&lt;='Catatan &amp; Sumber'!$B$16,"Sedang","Relatif Longgar"))))</x:f>
        <x:v>Sangat Ketat</x:v>
      </x:c>
      <x:c r="N1460" s="66" t="str">
        <x:v>Tidak Ada</x:v>
      </x:c>
      <x:c r="O1460" s="66" t="str">
        <x:v>Jakarta Raya</x:v>
      </x:c>
      <x:c r="P1460" s="66" t="str">
        <x:v>Kota Jakarta Timur</x:v>
      </x:c>
      <x:c r="Q1460" s="66" t="str">
        <x:v>https://snpmb.id/snbp/daya-tampung-snbp</x:v>
      </x:c>
      <x:c r="R1460" s="66" t="str">
        <x:v>https://sidatagrun-public-1076756628210.asia-southeast2.run.app/ptn_sn.php?ptn=323</x:v>
      </x:c>
    </x:row>
    <x:row r="1461">
      <x:c r="A1461" s="87" t="n">
        <x:v>778</x:v>
      </x:c>
      <x:c r="B1461" s="66" t="n">
        <x:v>323</x:v>
      </x:c>
      <x:c r="C1461" s="66" t="str">
        <x:v>UNIVERSITAS NEGERI JAKARTA</x:v>
      </x:c>
      <x:c r="D1461" s="66" t="str">
        <x:v>PTN Akademik</x:v>
      </x:c>
      <x:c r="E1461" s="66" t="str">
        <x:v>13231061</x:v>
      </x:c>
      <x:c r="F1461" s="66" t="str">
        <x:v>GEOGRAFI</x:v>
      </x:c>
      <x:c r="G1461" s="66" t="str">
        <x:v>Sarjana</x:v>
      </x:c>
      <x:c r="H1461" s="87" t="n">
        <x:v>20</x:v>
      </x:c>
      <x:c r="I1461" s="87" t="n">
        <x:v>304</x:v>
      </x:c>
      <x:c r="J1461" s="68" t="n">
        <x:f>IFERROR(H1461/I1461,"")</x:f>
        <x:v>0.06578947368421052</x:v>
      </x:c>
      <x:c r="K1461" s="69" t="n">
        <x:f>IFERROR(I1461/H1461,"")</x:f>
        <x:v>15.2</x:v>
      </x:c>
      <x:c r="L1461" s="66" t="str">
        <x:f>IF(K1461="","","1 : "&amp;TEXT(K1461,"0.0"))</x:f>
        <x:v>1 : 15.2</x:v>
      </x:c>
      <x:c r="M1461" s="66" t="str">
        <x:f>IF(J1461="","Baru/Tanpa Data",IF(J1461&lt;='Catatan &amp; Sumber'!$B$14,"Sangat Ketat",IF(J1461&lt;='Catatan &amp; Sumber'!$B$15,"Ketat",IF(J1461&lt;='Catatan &amp; Sumber'!$B$16,"Sedang","Relatif Longgar"))))</x:f>
        <x:v>Sedang</x:v>
      </x:c>
      <x:c r="N1461" s="66" t="str">
        <x:v>Tidak Ada</x:v>
      </x:c>
      <x:c r="O1461" s="66" t="str">
        <x:v>Jakarta Raya</x:v>
      </x:c>
      <x:c r="P1461" s="66" t="str">
        <x:v>Kota Jakarta Timur</x:v>
      </x:c>
      <x:c r="Q1461" s="66" t="str">
        <x:v>https://snpmb.id/snbp/daya-tampung-snbp</x:v>
      </x:c>
      <x:c r="R1461" s="66" t="str">
        <x:v>https://sidatagrun-public-1076756628210.asia-southeast2.run.app/ptn_sn.php?ptn=323</x:v>
      </x:c>
    </x:row>
    <x:row r="1462">
      <x:c r="A1462" s="87" t="n">
        <x:v>93</x:v>
      </x:c>
      <x:c r="B1462" s="66" t="n">
        <x:v>323</x:v>
      </x:c>
      <x:c r="C1462" s="66" t="str">
        <x:v>UNIVERSITAS NEGERI JAKARTA</x:v>
      </x:c>
      <x:c r="D1462" s="66" t="str">
        <x:v>PTN Akademik</x:v>
      </x:c>
      <x:c r="E1462" s="66" t="str">
        <x:v>13231062</x:v>
      </x:c>
      <x:c r="F1462" s="66" t="str">
        <x:v>BISNIS DIGITAL</x:v>
      </x:c>
      <x:c r="G1462" s="66" t="str">
        <x:v>Sarjana</x:v>
      </x:c>
      <x:c r="H1462" s="87" t="n">
        <x:v>36</x:v>
      </x:c>
      <x:c r="I1462" s="87" t="n">
        <x:v>1287</x:v>
      </x:c>
      <x:c r="J1462" s="68" t="n">
        <x:f>IFERROR(H1462/I1462,"")</x:f>
        <x:v>0.027972027972027972</x:v>
      </x:c>
      <x:c r="K1462" s="69" t="n">
        <x:f>IFERROR(I1462/H1462,"")</x:f>
        <x:v>35.75</x:v>
      </x:c>
      <x:c r="L1462" s="66" t="str">
        <x:f>IF(K1462="","","1 : "&amp;TEXT(K1462,"0.0"))</x:f>
        <x:v>1 : 35.8</x:v>
      </x:c>
      <x:c r="M1462" s="66" t="str">
        <x:f>IF(J1462="","Baru/Tanpa Data",IF(J1462&lt;='Catatan &amp; Sumber'!$B$14,"Sangat Ketat",IF(J1462&lt;='Catatan &amp; Sumber'!$B$15,"Ketat",IF(J1462&lt;='Catatan &amp; Sumber'!$B$16,"Sedang","Relatif Longgar"))))</x:f>
        <x:v>Ketat</x:v>
      </x:c>
      <x:c r="N1462" s="66" t="str">
        <x:v>Tidak Ada</x:v>
      </x:c>
      <x:c r="O1462" s="66" t="str">
        <x:v>Jakarta Raya</x:v>
      </x:c>
      <x:c r="P1462" s="66" t="str">
        <x:v>Kota Jakarta Timur</x:v>
      </x:c>
      <x:c r="Q1462" s="66" t="str">
        <x:v>https://snpmb.id/snbp/daya-tampung-snbp</x:v>
      </x:c>
      <x:c r="R1462" s="66" t="str">
        <x:v>https://sidatagrun-public-1076756628210.asia-southeast2.run.app/ptn_sn.php?ptn=323</x:v>
      </x:c>
    </x:row>
    <x:row r="1463">
      <x:c r="A1463" s="87" t="n">
        <x:v>1052</x:v>
      </x:c>
      <x:c r="B1463" s="66" t="n">
        <x:v>323</x:v>
      </x:c>
      <x:c r="C1463" s="66" t="str">
        <x:v>UNIVERSITAS NEGERI JAKARTA</x:v>
      </x:c>
      <x:c r="D1463" s="66" t="str">
        <x:v>PTN Akademik</x:v>
      </x:c>
      <x:c r="E1463" s="66" t="str">
        <x:v>13231063</x:v>
      </x:c>
      <x:c r="F1463" s="66" t="str">
        <x:v>PENDIDIKAN AKUNTANSI</x:v>
      </x:c>
      <x:c r="G1463" s="66" t="str">
        <x:v>Sarjana</x:v>
      </x:c>
      <x:c r="H1463" s="87" t="n">
        <x:v>33</x:v>
      </x:c>
      <x:c r="I1463" s="87" t="n">
        <x:v>406</x:v>
      </x:c>
      <x:c r="J1463" s="68" t="n">
        <x:f>IFERROR(H1463/I1463,"")</x:f>
        <x:v>0.0812807881773399</x:v>
      </x:c>
      <x:c r="K1463" s="69" t="n">
        <x:f>IFERROR(I1463/H1463,"")</x:f>
        <x:v>12.303030303030303</x:v>
      </x:c>
      <x:c r="L1463" s="66" t="str">
        <x:f>IF(K1463="","","1 : "&amp;TEXT(K1463,"0.0"))</x:f>
        <x:v>1 : 12.3</x:v>
      </x:c>
      <x:c r="M1463" s="66" t="str">
        <x:f>IF(J1463="","Baru/Tanpa Data",IF(J1463&lt;='Catatan &amp; Sumber'!$B$14,"Sangat Ketat",IF(J1463&lt;='Catatan &amp; Sumber'!$B$15,"Ketat",IF(J1463&lt;='Catatan &amp; Sumber'!$B$16,"Sedang","Relatif Longgar"))))</x:f>
        <x:v>Sedang</x:v>
      </x:c>
      <x:c r="N1463" s="66" t="str">
        <x:v>Tidak Ada</x:v>
      </x:c>
      <x:c r="O1463" s="66" t="str">
        <x:v>Jakarta Raya</x:v>
      </x:c>
      <x:c r="P1463" s="66" t="str">
        <x:v>Kota Jakarta Timur</x:v>
      </x:c>
      <x:c r="Q1463" s="66" t="str">
        <x:v>https://snpmb.id/snbp/daya-tampung-snbp</x:v>
      </x:c>
      <x:c r="R1463" s="66" t="str">
        <x:v>https://sidatagrun-public-1076756628210.asia-southeast2.run.app/ptn_sn.php?ptn=323</x:v>
      </x:c>
    </x:row>
    <x:row r="1464">
      <x:c r="A1464" s="87" t="n">
        <x:v>680</x:v>
      </x:c>
      <x:c r="B1464" s="66" t="n">
        <x:v>323</x:v>
      </x:c>
      <x:c r="C1464" s="66" t="str">
        <x:v>UNIVERSITAS NEGERI JAKARTA</x:v>
      </x:c>
      <x:c r="D1464" s="66" t="str">
        <x:v>PTN Akademik</x:v>
      </x:c>
      <x:c r="E1464" s="66" t="str">
        <x:v>13231076</x:v>
      </x:c>
      <x:c r="F1464" s="66" t="str">
        <x:v>PERPUSTAKAAN DAN SAINS INFORMASI</x:v>
      </x:c>
      <x:c r="G1464" s="66" t="str">
        <x:v>Sarjana</x:v>
      </x:c>
      <x:c r="H1464" s="87" t="n">
        <x:v>16</x:v>
      </x:c>
      <x:c r="I1464" s="87" t="n">
        <x:v>263</x:v>
      </x:c>
      <x:c r="J1464" s="68" t="n">
        <x:f>IFERROR(H1464/I1464,"")</x:f>
        <x:v>0.060836501901140684</x:v>
      </x:c>
      <x:c r="K1464" s="69" t="n">
        <x:f>IFERROR(I1464/H1464,"")</x:f>
        <x:v>16.4375</x:v>
      </x:c>
      <x:c r="L1464" s="66" t="str">
        <x:f>IF(K1464="","","1 : "&amp;TEXT(K1464,"0.0"))</x:f>
        <x:v>1 : 16.4</x:v>
      </x:c>
      <x:c r="M1464" s="66" t="str">
        <x:f>IF(J1464="","Baru/Tanpa Data",IF(J1464&lt;='Catatan &amp; Sumber'!$B$14,"Sangat Ketat",IF(J1464&lt;='Catatan &amp; Sumber'!$B$15,"Ketat",IF(J1464&lt;='Catatan &amp; Sumber'!$B$16,"Sedang","Relatif Longgar"))))</x:f>
        <x:v>Sedang</x:v>
      </x:c>
      <x:c r="N1464" s="66" t="str">
        <x:v>Tidak Ada</x:v>
      </x:c>
      <x:c r="O1464" s="66" t="str">
        <x:v>Jakarta Raya</x:v>
      </x:c>
      <x:c r="P1464" s="66" t="str">
        <x:v>Kota Jakarta Timur</x:v>
      </x:c>
      <x:c r="Q1464" s="66" t="str">
        <x:v>https://snpmb.id/snbp/daya-tampung-snbp</x:v>
      </x:c>
      <x:c r="R1464" s="66" t="str">
        <x:v>https://sidatagrun-public-1076756628210.asia-southeast2.run.app/ptn_sn.php?ptn=323</x:v>
      </x:c>
    </x:row>
    <x:row r="1465">
      <x:c r="A1465" s="87" t="n">
        <x:v>131</x:v>
      </x:c>
      <x:c r="B1465" s="66" t="n">
        <x:v>323</x:v>
      </x:c>
      <x:c r="C1465" s="66" t="str">
        <x:v>UNIVERSITAS NEGERI JAKARTA</x:v>
      </x:c>
      <x:c r="D1465" s="66" t="str">
        <x:v>PTN Akademik</x:v>
      </x:c>
      <x:c r="E1465" s="66" t="str">
        <x:v>13231077</x:v>
      </x:c>
      <x:c r="F1465" s="66" t="str">
        <x:v>ILMU HUKUM</x:v>
      </x:c>
      <x:c r="G1465" s="66" t="str">
        <x:v>Sarjana</x:v>
      </x:c>
      <x:c r="H1465" s="87" t="n">
        <x:v>20</x:v>
      </x:c>
      <x:c r="I1465" s="87" t="n">
        <x:v>638</x:v>
      </x:c>
      <x:c r="J1465" s="68" t="n">
        <x:f>IFERROR(H1465/I1465,"")</x:f>
        <x:v>0.03134796238244514</x:v>
      </x:c>
      <x:c r="K1465" s="69" t="n">
        <x:f>IFERROR(I1465/H1465,"")</x:f>
        <x:v>31.9</x:v>
      </x:c>
      <x:c r="L1465" s="66" t="str">
        <x:f>IF(K1465="","","1 : "&amp;TEXT(K1465,"0.0"))</x:f>
        <x:v>1 : 31.9</x:v>
      </x:c>
      <x:c r="M1465" s="66" t="str">
        <x:f>IF(J1465="","Baru/Tanpa Data",IF(J1465&lt;='Catatan &amp; Sumber'!$B$14,"Sangat Ketat",IF(J1465&lt;='Catatan &amp; Sumber'!$B$15,"Ketat",IF(J1465&lt;='Catatan &amp; Sumber'!$B$16,"Sedang","Relatif Longgar"))))</x:f>
        <x:v>Ketat</x:v>
      </x:c>
      <x:c r="N1465" s="66" t="str">
        <x:v>Tidak Ada</x:v>
      </x:c>
      <x:c r="O1465" s="66" t="str">
        <x:v>Jakarta Raya</x:v>
      </x:c>
      <x:c r="P1465" s="66" t="str">
        <x:v>Kota Jakarta Timur</x:v>
      </x:c>
      <x:c r="Q1465" s="66" t="str">
        <x:v>https://snpmb.id/snbp/daya-tampung-snbp</x:v>
      </x:c>
      <x:c r="R1465" s="66" t="str">
        <x:v>https://sidatagrun-public-1076756628210.asia-southeast2.run.app/ptn_sn.php?ptn=323</x:v>
      </x:c>
    </x:row>
    <x:row r="1466">
      <x:c r="A1466" s="87"/>
      <x:c r="B1466" s="66" t="n">
        <x:v>323</x:v>
      </x:c>
      <x:c r="C1466" s="66" t="str">
        <x:v>UNIVERSITAS NEGERI JAKARTA</x:v>
      </x:c>
      <x:c r="D1466" s="66" t="str">
        <x:v>PTN Akademik</x:v>
      </x:c>
      <x:c r="E1466" s="66" t="str">
        <x:v>13231078</x:v>
      </x:c>
      <x:c r="F1466" s="66" t="str">
        <x:v>EKONOMI DAN KEUANGAN ISLAM</x:v>
      </x:c>
      <x:c r="G1466" s="66" t="str">
        <x:v>Sarjana</x:v>
      </x:c>
      <x:c r="H1466" s="87" t="n">
        <x:v>16</x:v>
      </x:c>
      <x:c r="I1466" s="87"/>
      <x:c r="J1466" s="68" t="str">
        <x:f>IFERROR(H1466/I1466,"")</x:f>
      </x:c>
      <x:c r="K1466" s="69" t="n">
        <x:f>IFERROR(I1466/H1466,"")</x:f>
        <x:v>0</x:v>
      </x:c>
      <x:c r="L1466" s="66" t="str">
        <x:f>IF(K1466="","","1 : "&amp;TEXT(K1466,"0.0"))</x:f>
      </x:c>
      <x:c r="M1466" s="66" t="str">
        <x:f>IF(J1466="","Baru/Tanpa Data",IF(J1466&lt;='Catatan &amp; Sumber'!$B$14,"Sangat Ketat",IF(J1466&lt;='Catatan &amp; Sumber'!$B$15,"Ketat",IF(J1466&lt;='Catatan &amp; Sumber'!$B$16,"Sedang","Relatif Longgar"))))</x:f>
        <x:v>Baru/Tanpa Data</x:v>
      </x:c>
      <x:c r="N1466" s="66" t="str">
        <x:v>Tidak Ada</x:v>
      </x:c>
      <x:c r="O1466" s="66" t="str">
        <x:v>Jakarta Raya</x:v>
      </x:c>
      <x:c r="P1466" s="66" t="str">
        <x:v>Kota Jakarta Timur</x:v>
      </x:c>
      <x:c r="Q1466" s="66" t="str">
        <x:v>https://snpmb.id/snbp/daya-tampung-snbp</x:v>
      </x:c>
      <x:c r="R1466" s="66" t="str">
        <x:v>https://sidatagrun-public-1076756628210.asia-southeast2.run.app/ptn_sn.php?ptn=323</x:v>
      </x:c>
    </x:row>
    <x:row r="1467">
      <x:c r="A1467" s="87"/>
      <x:c r="B1467" s="66" t="n">
        <x:v>323</x:v>
      </x:c>
      <x:c r="C1467" s="66" t="str">
        <x:v>UNIVERSITAS NEGERI JAKARTA</x:v>
      </x:c>
      <x:c r="D1467" s="66" t="str">
        <x:v>PTN Akademik</x:v>
      </x:c>
      <x:c r="E1467" s="66" t="str">
        <x:v>13231079</x:v>
      </x:c>
      <x:c r="F1467" s="66" t="str">
        <x:v>ILMU EKONOMI</x:v>
      </x:c>
      <x:c r="G1467" s="66" t="str">
        <x:v>Sarjana</x:v>
      </x:c>
      <x:c r="H1467" s="87" t="n">
        <x:v>16</x:v>
      </x:c>
      <x:c r="I1467" s="87"/>
      <x:c r="J1467" s="68" t="str">
        <x:f>IFERROR(H1467/I1467,"")</x:f>
      </x:c>
      <x:c r="K1467" s="69" t="n">
        <x:f>IFERROR(I1467/H1467,"")</x:f>
        <x:v>0</x:v>
      </x:c>
      <x:c r="L1467" s="66" t="str">
        <x:f>IF(K1467="","","1 : "&amp;TEXT(K1467,"0.0"))</x:f>
      </x:c>
      <x:c r="M1467" s="66" t="str">
        <x:f>IF(J1467="","Baru/Tanpa Data",IF(J1467&lt;='Catatan &amp; Sumber'!$B$14,"Sangat Ketat",IF(J1467&lt;='Catatan &amp; Sumber'!$B$15,"Ketat",IF(J1467&lt;='Catatan &amp; Sumber'!$B$16,"Sedang","Relatif Longgar"))))</x:f>
        <x:v>Baru/Tanpa Data</x:v>
      </x:c>
      <x:c r="N1467" s="66" t="str">
        <x:v>Tidak Ada</x:v>
      </x:c>
      <x:c r="O1467" s="66" t="str">
        <x:v>Jakarta Raya</x:v>
      </x:c>
      <x:c r="P1467" s="66" t="str">
        <x:v>Kota Jakarta Timur</x:v>
      </x:c>
      <x:c r="Q1467" s="66" t="str">
        <x:v>https://snpmb.id/snbp/daya-tampung-snbp</x:v>
      </x:c>
      <x:c r="R1467" s="66" t="str">
        <x:v>https://sidatagrun-public-1076756628210.asia-southeast2.run.app/ptn_sn.php?ptn=323</x:v>
      </x:c>
    </x:row>
    <x:row r="1468">
      <x:c r="A1468" s="87" t="n">
        <x:v>251</x:v>
      </x:c>
      <x:c r="B1468" s="66" t="n">
        <x:v>323</x:v>
      </x:c>
      <x:c r="C1468" s="66" t="str">
        <x:v>UNIVERSITAS NEGERI JAKARTA</x:v>
      </x:c>
      <x:c r="D1468" s="66" t="str">
        <x:v>PTN Akademik</x:v>
      </x:c>
      <x:c r="E1468" s="66" t="str">
        <x:v>13232064</x:v>
      </x:c>
      <x:c r="F1468" s="66" t="str">
        <x:v>HUBUNGAN MASYARAKAT DAN KOMUNIKASI DIGITAL</x:v>
      </x:c>
      <x:c r="G1468" s="66" t="str">
        <x:v>Sarjana Terapan</x:v>
      </x:c>
      <x:c r="H1468" s="87" t="n">
        <x:v>30</x:v>
      </x:c>
      <x:c r="I1468" s="87" t="n">
        <x:v>754</x:v>
      </x:c>
      <x:c r="J1468" s="68" t="n">
        <x:f>IFERROR(H1468/I1468,"")</x:f>
        <x:v>0.03978779840848806</x:v>
      </x:c>
      <x:c r="K1468" s="69" t="n">
        <x:f>IFERROR(I1468/H1468,"")</x:f>
        <x:v>25.133333333333333</x:v>
      </x:c>
      <x:c r="L1468" s="66" t="str">
        <x:f>IF(K1468="","","1 : "&amp;TEXT(K1468,"0.0"))</x:f>
        <x:v>1 : 25.1</x:v>
      </x:c>
      <x:c r="M1468" s="66" t="str">
        <x:f>IF(J1468="","Baru/Tanpa Data",IF(J1468&lt;='Catatan &amp; Sumber'!$B$14,"Sangat Ketat",IF(J1468&lt;='Catatan &amp; Sumber'!$B$15,"Ketat",IF(J1468&lt;='Catatan &amp; Sumber'!$B$16,"Sedang","Relatif Longgar"))))</x:f>
        <x:v>Ketat</x:v>
      </x:c>
      <x:c r="N1468" s="66" t="str">
        <x:v>Tidak Ada</x:v>
      </x:c>
      <x:c r="O1468" s="66" t="str">
        <x:v>Jakarta Raya</x:v>
      </x:c>
      <x:c r="P1468" s="66" t="str">
        <x:v>Kota Jakarta Timur</x:v>
      </x:c>
      <x:c r="Q1468" s="66" t="str">
        <x:v>https://snpmb.id/snbp/daya-tampung-snbp</x:v>
      </x:c>
      <x:c r="R1468" s="66" t="str">
        <x:v>https://sidatagrun-public-1076756628210.asia-southeast2.run.app/ptn_sn.php?ptn=323</x:v>
      </x:c>
    </x:row>
    <x:row r="1469">
      <x:c r="A1469" s="87" t="n">
        <x:v>322</x:v>
      </x:c>
      <x:c r="B1469" s="66" t="n">
        <x:v>323</x:v>
      </x:c>
      <x:c r="C1469" s="66" t="str">
        <x:v>UNIVERSITAS NEGERI JAKARTA</x:v>
      </x:c>
      <x:c r="D1469" s="66" t="str">
        <x:v>PTN Akademik</x:v>
      </x:c>
      <x:c r="E1469" s="66" t="str">
        <x:v>13232065</x:v>
      </x:c>
      <x:c r="F1469" s="66" t="str">
        <x:v>USAHA PERJALANAN WISATA</x:v>
      </x:c>
      <x:c r="G1469" s="66" t="str">
        <x:v>Sarjana Terapan</x:v>
      </x:c>
      <x:c r="H1469" s="87" t="n">
        <x:v>24</x:v>
      </x:c>
      <x:c r="I1469" s="87" t="n">
        <x:v>552</x:v>
      </x:c>
      <x:c r="J1469" s="68" t="n">
        <x:f>IFERROR(H1469/I1469,"")</x:f>
        <x:v>0.043478260869565216</x:v>
      </x:c>
      <x:c r="K1469" s="69" t="n">
        <x:f>IFERROR(I1469/H1469,"")</x:f>
        <x:v>23</x:v>
      </x:c>
      <x:c r="L1469" s="66" t="str">
        <x:f>IF(K1469="","","1 : "&amp;TEXT(K1469,"0.0"))</x:f>
        <x:v>1 : 23.0</x:v>
      </x:c>
      <x:c r="M1469" s="66" t="str">
        <x:f>IF(J1469="","Baru/Tanpa Data",IF(J1469&lt;='Catatan &amp; Sumber'!$B$14,"Sangat Ketat",IF(J1469&lt;='Catatan &amp; Sumber'!$B$15,"Ketat",IF(J1469&lt;='Catatan &amp; Sumber'!$B$16,"Sedang","Relatif Longgar"))))</x:f>
        <x:v>Ketat</x:v>
      </x:c>
      <x:c r="N1469" s="66" t="str">
        <x:v>Tidak Ada</x:v>
      </x:c>
      <x:c r="O1469" s="66" t="str">
        <x:v>Jakarta Raya</x:v>
      </x:c>
      <x:c r="P1469" s="66" t="str">
        <x:v>Kota Jakarta Timur</x:v>
      </x:c>
      <x:c r="Q1469" s="66" t="str">
        <x:v>https://snpmb.id/snbp/daya-tampung-snbp</x:v>
      </x:c>
      <x:c r="R1469" s="66" t="str">
        <x:v>https://sidatagrun-public-1076756628210.asia-southeast2.run.app/ptn_sn.php?ptn=323</x:v>
      </x:c>
    </x:row>
    <x:row r="1470">
      <x:c r="A1470" s="87" t="n">
        <x:v>1229</x:v>
      </x:c>
      <x:c r="B1470" s="66" t="n">
        <x:v>323</x:v>
      </x:c>
      <x:c r="C1470" s="66" t="str">
        <x:v>UNIVERSITAS NEGERI JAKARTA</x:v>
      </x:c>
      <x:c r="D1470" s="66" t="str">
        <x:v>PTN Akademik</x:v>
      </x:c>
      <x:c r="E1470" s="66" t="str">
        <x:v>13232066</x:v>
      </x:c>
      <x:c r="F1470" s="66" t="str">
        <x:v>TEKNOLOGI REKAYASA OTOMASI</x:v>
      </x:c>
      <x:c r="G1470" s="66" t="str">
        <x:v>Sarjana Terapan</x:v>
      </x:c>
      <x:c r="H1470" s="87" t="n">
        <x:v>18</x:v>
      </x:c>
      <x:c r="I1470" s="87" t="n">
        <x:v>196</x:v>
      </x:c>
      <x:c r="J1470" s="68" t="n">
        <x:f>IFERROR(H1470/I1470,"")</x:f>
        <x:v>0.09183673469387756</x:v>
      </x:c>
      <x:c r="K1470" s="69" t="n">
        <x:f>IFERROR(I1470/H1470,"")</x:f>
        <x:v>10.88888888888889</x:v>
      </x:c>
      <x:c r="L1470" s="66" t="str">
        <x:f>IF(K1470="","","1 : "&amp;TEXT(K1470,"0.0"))</x:f>
        <x:v>1 : 10.9</x:v>
      </x:c>
      <x:c r="M1470" s="66" t="str">
        <x:f>IF(J1470="","Baru/Tanpa Data",IF(J1470&lt;='Catatan &amp; Sumber'!$B$14,"Sangat Ketat",IF(J1470&lt;='Catatan &amp; Sumber'!$B$15,"Ketat",IF(J1470&lt;='Catatan &amp; Sumber'!$B$16,"Sedang","Relatif Longgar"))))</x:f>
        <x:v>Sedang</x:v>
      </x:c>
      <x:c r="N1470" s="66" t="str">
        <x:v>Tidak Ada</x:v>
      </x:c>
      <x:c r="O1470" s="66" t="str">
        <x:v>Jakarta Raya</x:v>
      </x:c>
      <x:c r="P1470" s="66" t="str">
        <x:v>Kota Jakarta Timur</x:v>
      </x:c>
      <x:c r="Q1470" s="66" t="str">
        <x:v>https://snpmb.id/snbp/daya-tampung-snbp</x:v>
      </x:c>
      <x:c r="R1470" s="66" t="str">
        <x:v>https://sidatagrun-public-1076756628210.asia-southeast2.run.app/ptn_sn.php?ptn=323</x:v>
      </x:c>
    </x:row>
    <x:row r="1471">
      <x:c r="A1471" s="87" t="n">
        <x:v>1160</x:v>
      </x:c>
      <x:c r="B1471" s="66" t="n">
        <x:v>323</x:v>
      </x:c>
      <x:c r="C1471" s="66" t="str">
        <x:v>UNIVERSITAS NEGERI JAKARTA</x:v>
      </x:c>
      <x:c r="D1471" s="66" t="str">
        <x:v>PTN Akademik</x:v>
      </x:c>
      <x:c r="E1471" s="66" t="str">
        <x:v>13232067</x:v>
      </x:c>
      <x:c r="F1471" s="66" t="str">
        <x:v>TEKNOLOGI REKAYASA MANUFAKTUR</x:v>
      </x:c>
      <x:c r="G1471" s="66" t="str">
        <x:v>Sarjana Terapan</x:v>
      </x:c>
      <x:c r="H1471" s="87" t="n">
        <x:v>12</x:v>
      </x:c>
      <x:c r="I1471" s="87" t="n">
        <x:v>137</x:v>
      </x:c>
      <x:c r="J1471" s="68" t="n">
        <x:f>IFERROR(H1471/I1471,"")</x:f>
        <x:v>0.08759124087591241</x:v>
      </x:c>
      <x:c r="K1471" s="69" t="n">
        <x:f>IFERROR(I1471/H1471,"")</x:f>
        <x:v>11.416666666666666</x:v>
      </x:c>
      <x:c r="L1471" s="66" t="str">
        <x:f>IF(K1471="","","1 : "&amp;TEXT(K1471,"0.0"))</x:f>
        <x:v>1 : 11.4</x:v>
      </x:c>
      <x:c r="M1471" s="66" t="str">
        <x:f>IF(J1471="","Baru/Tanpa Data",IF(J1471&lt;='Catatan &amp; Sumber'!$B$14,"Sangat Ketat",IF(J1471&lt;='Catatan &amp; Sumber'!$B$15,"Ketat",IF(J1471&lt;='Catatan &amp; Sumber'!$B$16,"Sedang","Relatif Longgar"))))</x:f>
        <x:v>Sedang</x:v>
      </x:c>
      <x:c r="N1471" s="66" t="str">
        <x:v>Tidak Ada</x:v>
      </x:c>
      <x:c r="O1471" s="66" t="str">
        <x:v>Jakarta Raya</x:v>
      </x:c>
      <x:c r="P1471" s="66" t="str">
        <x:v>Kota Jakarta Timur</x:v>
      </x:c>
      <x:c r="Q1471" s="66" t="str">
        <x:v>https://snpmb.id/snbp/daya-tampung-snbp</x:v>
      </x:c>
      <x:c r="R1471" s="66" t="str">
        <x:v>https://sidatagrun-public-1076756628210.asia-southeast2.run.app/ptn_sn.php?ptn=323</x:v>
      </x:c>
    </x:row>
    <x:row r="1472">
      <x:c r="A1472" s="87" t="n">
        <x:v>987</x:v>
      </x:c>
      <x:c r="B1472" s="66" t="n">
        <x:v>323</x:v>
      </x:c>
      <x:c r="C1472" s="66" t="str">
        <x:v>UNIVERSITAS NEGERI JAKARTA</x:v>
      </x:c>
      <x:c r="D1472" s="66" t="str">
        <x:v>PTN Akademik</x:v>
      </x:c>
      <x:c r="E1472" s="66" t="str">
        <x:v>13232068</x:v>
      </x:c>
      <x:c r="F1472" s="66" t="str">
        <x:v>TEKNOLOGI REKAYASA KONSTRUKSI BANGUNAN GEDUNG</x:v>
      </x:c>
      <x:c r="G1472" s="66" t="str">
        <x:v>Sarjana Terapan</x:v>
      </x:c>
      <x:c r="H1472" s="87" t="n">
        <x:v>16</x:v>
      </x:c>
      <x:c r="I1472" s="87" t="n">
        <x:v>207</x:v>
      </x:c>
      <x:c r="J1472" s="68" t="n">
        <x:f>IFERROR(H1472/I1472,"")</x:f>
        <x:v>0.07729468599033816</x:v>
      </x:c>
      <x:c r="K1472" s="69" t="n">
        <x:f>IFERROR(I1472/H1472,"")</x:f>
        <x:v>12.9375</x:v>
      </x:c>
      <x:c r="L1472" s="66" t="str">
        <x:f>IF(K1472="","","1 : "&amp;TEXT(K1472,"0.0"))</x:f>
        <x:v>1 : 12.9</x:v>
      </x:c>
      <x:c r="M1472" s="66" t="str">
        <x:f>IF(J1472="","Baru/Tanpa Data",IF(J1472&lt;='Catatan &amp; Sumber'!$B$14,"Sangat Ketat",IF(J1472&lt;='Catatan &amp; Sumber'!$B$15,"Ketat",IF(J1472&lt;='Catatan &amp; Sumber'!$B$16,"Sedang","Relatif Longgar"))))</x:f>
        <x:v>Sedang</x:v>
      </x:c>
      <x:c r="N1472" s="66" t="str">
        <x:v>Tidak Ada</x:v>
      </x:c>
      <x:c r="O1472" s="66" t="str">
        <x:v>Jakarta Raya</x:v>
      </x:c>
      <x:c r="P1472" s="66" t="str">
        <x:v>Kota Jakarta Timur</x:v>
      </x:c>
      <x:c r="Q1472" s="66" t="str">
        <x:v>https://snpmb.id/snbp/daya-tampung-snbp</x:v>
      </x:c>
      <x:c r="R1472" s="66" t="str">
        <x:v>https://sidatagrun-public-1076756628210.asia-southeast2.run.app/ptn_sn.php?ptn=323</x:v>
      </x:c>
    </x:row>
    <x:row r="1473">
      <x:c r="A1473" s="87" t="n">
        <x:v>226</x:v>
      </x:c>
      <x:c r="B1473" s="66" t="n">
        <x:v>323</x:v>
      </x:c>
      <x:c r="C1473" s="66" t="str">
        <x:v>UNIVERSITAS NEGERI JAKARTA</x:v>
      </x:c>
      <x:c r="D1473" s="66" t="str">
        <x:v>PTN Akademik</x:v>
      </x:c>
      <x:c r="E1473" s="66" t="str">
        <x:v>13232069</x:v>
      </x:c>
      <x:c r="F1473" s="66" t="str">
        <x:v>MANAJEMEN PELABUHAN DAN LOGISTIK MARITIM</x:v>
      </x:c>
      <x:c r="G1473" s="66" t="str">
        <x:v>Sarjana Terapan</x:v>
      </x:c>
      <x:c r="H1473" s="87" t="n">
        <x:v>12</x:v>
      </x:c>
      <x:c r="I1473" s="87" t="n">
        <x:v>314</x:v>
      </x:c>
      <x:c r="J1473" s="68" t="n">
        <x:f>IFERROR(H1473/I1473,"")</x:f>
        <x:v>0.03821656050955414</x:v>
      </x:c>
      <x:c r="K1473" s="69" t="n">
        <x:f>IFERROR(I1473/H1473,"")</x:f>
        <x:v>26.166666666666668</x:v>
      </x:c>
      <x:c r="L1473" s="66" t="str">
        <x:f>IF(K1473="","","1 : "&amp;TEXT(K1473,"0.0"))</x:f>
        <x:v>1 : 26.2</x:v>
      </x:c>
      <x:c r="M1473" s="66" t="str">
        <x:f>IF(J1473="","Baru/Tanpa Data",IF(J1473&lt;='Catatan &amp; Sumber'!$B$14,"Sangat Ketat",IF(J1473&lt;='Catatan &amp; Sumber'!$B$15,"Ketat",IF(J1473&lt;='Catatan &amp; Sumber'!$B$16,"Sedang","Relatif Longgar"))))</x:f>
        <x:v>Ketat</x:v>
      </x:c>
      <x:c r="N1473" s="66" t="str">
        <x:v>Tidak Ada</x:v>
      </x:c>
      <x:c r="O1473" s="66" t="str">
        <x:v>Jakarta Raya</x:v>
      </x:c>
      <x:c r="P1473" s="66" t="str">
        <x:v>Kota Jakarta Timur</x:v>
      </x:c>
      <x:c r="Q1473" s="66" t="str">
        <x:v>https://snpmb.id/snbp/daya-tampung-snbp</x:v>
      </x:c>
      <x:c r="R1473" s="66" t="str">
        <x:v>https://sidatagrun-public-1076756628210.asia-southeast2.run.app/ptn_sn.php?ptn=323</x:v>
      </x:c>
    </x:row>
    <x:row r="1474">
      <x:c r="A1474" s="87" t="n">
        <x:v>42</x:v>
      </x:c>
      <x:c r="B1474" s="66" t="n">
        <x:v>323</x:v>
      </x:c>
      <x:c r="C1474" s="66" t="str">
        <x:v>UNIVERSITAS NEGERI JAKARTA</x:v>
      </x:c>
      <x:c r="D1474" s="66" t="str">
        <x:v>PTN Akademik</x:v>
      </x:c>
      <x:c r="E1474" s="66" t="str">
        <x:v>13232070</x:v>
      </x:c>
      <x:c r="F1474" s="66" t="str">
        <x:v>SENI KULINER DAN PENGOLAHAN JASA MAKANAN</x:v>
      </x:c>
      <x:c r="G1474" s="66" t="str">
        <x:v>Sarjana Terapan</x:v>
      </x:c>
      <x:c r="H1474" s="87" t="n">
        <x:v>12</x:v>
      </x:c>
      <x:c r="I1474" s="87" t="n">
        <x:v>571</x:v>
      </x:c>
      <x:c r="J1474" s="68" t="n">
        <x:f>IFERROR(H1474/I1474,"")</x:f>
        <x:v>0.021015761821366025</x:v>
      </x:c>
      <x:c r="K1474" s="69" t="n">
        <x:f>IFERROR(I1474/H1474,"")</x:f>
        <x:v>47.583333333333336</x:v>
      </x:c>
      <x:c r="L1474" s="66" t="str">
        <x:f>IF(K1474="","","1 : "&amp;TEXT(K1474,"0.0"))</x:f>
        <x:v>1 : 47.6</x:v>
      </x:c>
      <x:c r="M1474" s="66" t="str">
        <x:f>IF(J1474="","Baru/Tanpa Data",IF(J1474&lt;='Catatan &amp; Sumber'!$B$14,"Sangat Ketat",IF(J1474&lt;='Catatan &amp; Sumber'!$B$15,"Ketat",IF(J1474&lt;='Catatan &amp; Sumber'!$B$16,"Sedang","Relatif Longgar"))))</x:f>
        <x:v>Ketat</x:v>
      </x:c>
      <x:c r="N1474" s="66" t="str">
        <x:v>Tidak Ada</x:v>
      </x:c>
      <x:c r="O1474" s="66" t="str">
        <x:v>Jakarta Raya</x:v>
      </x:c>
      <x:c r="P1474" s="66" t="str">
        <x:v>Kota Jakarta Timur</x:v>
      </x:c>
      <x:c r="Q1474" s="66" t="str">
        <x:v>https://snpmb.id/snbp/daya-tampung-snbp</x:v>
      </x:c>
      <x:c r="R1474" s="66" t="str">
        <x:v>https://sidatagrun-public-1076756628210.asia-southeast2.run.app/ptn_sn.php?ptn=323</x:v>
      </x:c>
    </x:row>
    <x:row r="1475">
      <x:c r="A1475" s="87" t="n">
        <x:v>361</x:v>
      </x:c>
      <x:c r="B1475" s="66" t="n">
        <x:v>323</x:v>
      </x:c>
      <x:c r="C1475" s="66" t="str">
        <x:v>UNIVERSITAS NEGERI JAKARTA</x:v>
      </x:c>
      <x:c r="D1475" s="66" t="str">
        <x:v>PTN Akademik</x:v>
      </x:c>
      <x:c r="E1475" s="66" t="str">
        <x:v>13232071</x:v>
      </x:c>
      <x:c r="F1475" s="66" t="str">
        <x:v>DESAIN MODE</x:v>
      </x:c>
      <x:c r="G1475" s="66" t="str">
        <x:v>Sarjana Terapan</x:v>
      </x:c>
      <x:c r="H1475" s="87" t="n">
        <x:v>12</x:v>
      </x:c>
      <x:c r="I1475" s="87" t="n">
        <x:v>266</x:v>
      </x:c>
      <x:c r="J1475" s="68" t="n">
        <x:f>IFERROR(H1475/I1475,"")</x:f>
        <x:v>0.045112781954887216</x:v>
      </x:c>
      <x:c r="K1475" s="69" t="n">
        <x:f>IFERROR(I1475/H1475,"")</x:f>
        <x:v>22.166666666666668</x:v>
      </x:c>
      <x:c r="L1475" s="66" t="str">
        <x:f>IF(K1475="","","1 : "&amp;TEXT(K1475,"0.0"))</x:f>
        <x:v>1 : 22.2</x:v>
      </x:c>
      <x:c r="M1475" s="66" t="str">
        <x:f>IF(J1475="","Baru/Tanpa Data",IF(J1475&lt;='Catatan &amp; Sumber'!$B$14,"Sangat Ketat",IF(J1475&lt;='Catatan &amp; Sumber'!$B$15,"Ketat",IF(J1475&lt;='Catatan &amp; Sumber'!$B$16,"Sedang","Relatif Longgar"))))</x:f>
        <x:v>Ketat</x:v>
      </x:c>
      <x:c r="N1475" s="66" t="str">
        <x:v>Tidak Ada</x:v>
      </x:c>
      <x:c r="O1475" s="66" t="str">
        <x:v>Jakarta Raya</x:v>
      </x:c>
      <x:c r="P1475" s="66" t="str">
        <x:v>Kota Jakarta Timur</x:v>
      </x:c>
      <x:c r="Q1475" s="66" t="str">
        <x:v>https://snpmb.id/snbp/daya-tampung-snbp</x:v>
      </x:c>
      <x:c r="R1475" s="66" t="str">
        <x:v>https://sidatagrun-public-1076756628210.asia-southeast2.run.app/ptn_sn.php?ptn=323</x:v>
      </x:c>
    </x:row>
    <x:row r="1476">
      <x:c r="A1476" s="87" t="n">
        <x:v>600</x:v>
      </x:c>
      <x:c r="B1476" s="66" t="n">
        <x:v>323</x:v>
      </x:c>
      <x:c r="C1476" s="66" t="str">
        <x:v>UNIVERSITAS NEGERI JAKARTA</x:v>
      </x:c>
      <x:c r="D1476" s="66" t="str">
        <x:v>PTN Akademik</x:v>
      </x:c>
      <x:c r="E1476" s="66" t="str">
        <x:v>13232072</x:v>
      </x:c>
      <x:c r="F1476" s="66" t="str">
        <x:v>KOSMETIK DAN PERAWATAN KECANTIKAN</x:v>
      </x:c>
      <x:c r="G1476" s="66" t="str">
        <x:v>Sarjana Terapan</x:v>
      </x:c>
      <x:c r="H1476" s="87" t="n">
        <x:v>18</x:v>
      </x:c>
      <x:c r="I1476" s="87" t="n">
        <x:v>314</x:v>
      </x:c>
      <x:c r="J1476" s="68" t="n">
        <x:f>IFERROR(H1476/I1476,"")</x:f>
        <x:v>0.05732484076433121</x:v>
      </x:c>
      <x:c r="K1476" s="69" t="n">
        <x:f>IFERROR(I1476/H1476,"")</x:f>
        <x:v>17.444444444444443</x:v>
      </x:c>
      <x:c r="L1476" s="66" t="str">
        <x:f>IF(K1476="","","1 : "&amp;TEXT(K1476,"0.0"))</x:f>
        <x:v>1 : 17.4</x:v>
      </x:c>
      <x:c r="M1476" s="66" t="str">
        <x:f>IF(J1476="","Baru/Tanpa Data",IF(J1476&lt;='Catatan &amp; Sumber'!$B$14,"Sangat Ketat",IF(J1476&lt;='Catatan &amp; Sumber'!$B$15,"Ketat",IF(J1476&lt;='Catatan &amp; Sumber'!$B$16,"Sedang","Relatif Longgar"))))</x:f>
        <x:v>Sedang</x:v>
      </x:c>
      <x:c r="N1476" s="66" t="str">
        <x:v>Tidak Ada</x:v>
      </x:c>
      <x:c r="O1476" s="66" t="str">
        <x:v>Jakarta Raya</x:v>
      </x:c>
      <x:c r="P1476" s="66" t="str">
        <x:v>Kota Jakarta Timur</x:v>
      </x:c>
      <x:c r="Q1476" s="66" t="str">
        <x:v>https://snpmb.id/snbp/daya-tampung-snbp</x:v>
      </x:c>
      <x:c r="R1476" s="66" t="str">
        <x:v>https://sidatagrun-public-1076756628210.asia-southeast2.run.app/ptn_sn.php?ptn=323</x:v>
      </x:c>
    </x:row>
    <x:row r="1477">
      <x:c r="A1477" s="87" t="n">
        <x:v>527</x:v>
      </x:c>
      <x:c r="B1477" s="66" t="n">
        <x:v>323</x:v>
      </x:c>
      <x:c r="C1477" s="66" t="str">
        <x:v>UNIVERSITAS NEGERI JAKARTA</x:v>
      </x:c>
      <x:c r="D1477" s="66" t="str">
        <x:v>PTN Akademik</x:v>
      </x:c>
      <x:c r="E1477" s="66" t="str">
        <x:v>13232073</x:v>
      </x:c>
      <x:c r="F1477" s="66" t="str">
        <x:v>PEMASARAN DIGITAL</x:v>
      </x:c>
      <x:c r="G1477" s="66" t="str">
        <x:v>Sarjana Terapan</x:v>
      </x:c>
      <x:c r="H1477" s="87" t="n">
        <x:v>29</x:v>
      </x:c>
      <x:c r="I1477" s="87" t="n">
        <x:v>548</x:v>
      </x:c>
      <x:c r="J1477" s="68" t="n">
        <x:f>IFERROR(H1477/I1477,"")</x:f>
        <x:v>0.05291970802919708</x:v>
      </x:c>
      <x:c r="K1477" s="69" t="n">
        <x:f>IFERROR(I1477/H1477,"")</x:f>
        <x:v>18.896551724137932</x:v>
      </x:c>
      <x:c r="L1477" s="66" t="str">
        <x:f>IF(K1477="","","1 : "&amp;TEXT(K1477,"0.0"))</x:f>
        <x:v>1 : 18.9</x:v>
      </x:c>
      <x:c r="M1477" s="66" t="str">
        <x:f>IF(J1477="","Baru/Tanpa Data",IF(J1477&lt;='Catatan &amp; Sumber'!$B$14,"Sangat Ketat",IF(J1477&lt;='Catatan &amp; Sumber'!$B$15,"Ketat",IF(J1477&lt;='Catatan &amp; Sumber'!$B$16,"Sedang","Relatif Longgar"))))</x:f>
        <x:v>Sedang</x:v>
      </x:c>
      <x:c r="N1477" s="66" t="str">
        <x:v>Tidak Ada</x:v>
      </x:c>
      <x:c r="O1477" s="66" t="str">
        <x:v>Jakarta Raya</x:v>
      </x:c>
      <x:c r="P1477" s="66" t="str">
        <x:v>Kota Jakarta Timur</x:v>
      </x:c>
      <x:c r="Q1477" s="66" t="str">
        <x:v>https://snpmb.id/snbp/daya-tampung-snbp</x:v>
      </x:c>
      <x:c r="R1477" s="66" t="str">
        <x:v>https://sidatagrun-public-1076756628210.asia-southeast2.run.app/ptn_sn.php?ptn=323</x:v>
      </x:c>
    </x:row>
    <x:row r="1478">
      <x:c r="A1478" s="87" t="n">
        <x:v>233</x:v>
      </x:c>
      <x:c r="B1478" s="66" t="n">
        <x:v>323</x:v>
      </x:c>
      <x:c r="C1478" s="66" t="str">
        <x:v>UNIVERSITAS NEGERI JAKARTA</x:v>
      </x:c>
      <x:c r="D1478" s="66" t="str">
        <x:v>PTN Akademik</x:v>
      </x:c>
      <x:c r="E1478" s="66" t="str">
        <x:v>13232074</x:v>
      </x:c>
      <x:c r="F1478" s="66" t="str">
        <x:v>ADMINISTRASI PERKANTORAN DIGITAL</x:v>
      </x:c>
      <x:c r="G1478" s="66" t="str">
        <x:v>Sarjana Terapan</x:v>
      </x:c>
      <x:c r="H1478" s="87" t="n">
        <x:v>29</x:v>
      </x:c>
      <x:c r="I1478" s="87" t="n">
        <x:v>753</x:v>
      </x:c>
      <x:c r="J1478" s="68" t="n">
        <x:f>IFERROR(H1478/I1478,"")</x:f>
        <x:v>0.03851261620185923</x:v>
      </x:c>
      <x:c r="K1478" s="69" t="n">
        <x:f>IFERROR(I1478/H1478,"")</x:f>
        <x:v>25.96551724137931</x:v>
      </x:c>
      <x:c r="L1478" s="66" t="str">
        <x:f>IF(K1478="","","1 : "&amp;TEXT(K1478,"0.0"))</x:f>
        <x:v>1 : 26.0</x:v>
      </x:c>
      <x:c r="M1478" s="66" t="str">
        <x:f>IF(J1478="","Baru/Tanpa Data",IF(J1478&lt;='Catatan &amp; Sumber'!$B$14,"Sangat Ketat",IF(J1478&lt;='Catatan &amp; Sumber'!$B$15,"Ketat",IF(J1478&lt;='Catatan &amp; Sumber'!$B$16,"Sedang","Relatif Longgar"))))</x:f>
        <x:v>Ketat</x:v>
      </x:c>
      <x:c r="N1478" s="66" t="str">
        <x:v>Tidak Ada</x:v>
      </x:c>
      <x:c r="O1478" s="66" t="str">
        <x:v>Jakarta Raya</x:v>
      </x:c>
      <x:c r="P1478" s="66" t="str">
        <x:v>Kota Jakarta Timur</x:v>
      </x:c>
      <x:c r="Q1478" s="66" t="str">
        <x:v>https://snpmb.id/snbp/daya-tampung-snbp</x:v>
      </x:c>
      <x:c r="R1478" s="66" t="str">
        <x:v>https://sidatagrun-public-1076756628210.asia-southeast2.run.app/ptn_sn.php?ptn=323</x:v>
      </x:c>
    </x:row>
    <x:row r="1479">
      <x:c r="A1479" s="87" t="n">
        <x:v>344</x:v>
      </x:c>
      <x:c r="B1479" s="66" t="n">
        <x:v>323</x:v>
      </x:c>
      <x:c r="C1479" s="66" t="str">
        <x:v>UNIVERSITAS NEGERI JAKARTA</x:v>
      </x:c>
      <x:c r="D1479" s="66" t="str">
        <x:v>PTN Akademik</x:v>
      </x:c>
      <x:c r="E1479" s="66" t="str">
        <x:v>13232075</x:v>
      </x:c>
      <x:c r="F1479" s="66" t="str">
        <x:v>AKUNTANSI SEKTOR PUBLIK</x:v>
      </x:c>
      <x:c r="G1479" s="66" t="str">
        <x:v>Sarjana Terapan</x:v>
      </x:c>
      <x:c r="H1479" s="87" t="n">
        <x:v>29</x:v>
      </x:c>
      <x:c r="I1479" s="87" t="n">
        <x:v>655</x:v>
      </x:c>
      <x:c r="J1479" s="68" t="n">
        <x:f>IFERROR(H1479/I1479,"")</x:f>
        <x:v>0.044274809160305344</x:v>
      </x:c>
      <x:c r="K1479" s="69" t="n">
        <x:f>IFERROR(I1479/H1479,"")</x:f>
        <x:v>22.586206896551722</x:v>
      </x:c>
      <x:c r="L1479" s="66" t="str">
        <x:f>IF(K1479="","","1 : "&amp;TEXT(K1479,"0.0"))</x:f>
        <x:v>1 : 22.6</x:v>
      </x:c>
      <x:c r="M1479" s="66" t="str">
        <x:f>IF(J1479="","Baru/Tanpa Data",IF(J1479&lt;='Catatan &amp; Sumber'!$B$14,"Sangat Ketat",IF(J1479&lt;='Catatan &amp; Sumber'!$B$15,"Ketat",IF(J1479&lt;='Catatan &amp; Sumber'!$B$16,"Sedang","Relatif Longgar"))))</x:f>
        <x:v>Ketat</x:v>
      </x:c>
      <x:c r="N1479" s="66" t="str">
        <x:v>Tidak Ada</x:v>
      </x:c>
      <x:c r="O1479" s="66" t="str">
        <x:v>Jakarta Raya</x:v>
      </x:c>
      <x:c r="P1479" s="66" t="str">
        <x:v>Kota Jakarta Timur</x:v>
      </x:c>
      <x:c r="Q1479" s="66" t="str">
        <x:v>https://snpmb.id/snbp/daya-tampung-snbp</x:v>
      </x:c>
      <x:c r="R1479" s="66" t="str">
        <x:v>https://sidatagrun-public-1076756628210.asia-southeast2.run.app/ptn_sn.php?ptn=323</x:v>
      </x:c>
    </x:row>
    <x:row r="1480">
      <x:c r="A1480" s="87" t="n">
        <x:v>539</x:v>
      </x:c>
      <x:c r="B1480" s="66" t="n">
        <x:v>324</x:v>
      </x:c>
      <x:c r="C1480" s="66" t="str">
        <x:v>UPN "VETERAN" JAKARTA</x:v>
      </x:c>
      <x:c r="D1480" s="66" t="str">
        <x:v>PTN Akademik</x:v>
      </x:c>
      <x:c r="E1480" s="66" t="str">
        <x:v>13241001</x:v>
      </x:c>
      <x:c r="F1480" s="66" t="str">
        <x:v>TEKNIK MESIN</x:v>
      </x:c>
      <x:c r="G1480" s="66" t="str">
        <x:v>Sarjana</x:v>
      </x:c>
      <x:c r="H1480" s="87" t="n">
        <x:v>28</x:v>
      </x:c>
      <x:c r="I1480" s="87" t="n">
        <x:v>521</x:v>
      </x:c>
      <x:c r="J1480" s="68" t="n">
        <x:f>IFERROR(H1480/I1480,"")</x:f>
        <x:v>0.053742802303262956</x:v>
      </x:c>
      <x:c r="K1480" s="69" t="n">
        <x:f>IFERROR(I1480/H1480,"")</x:f>
        <x:v>18.607142857142858</x:v>
      </x:c>
      <x:c r="L1480" s="66" t="str">
        <x:f>IF(K1480="","","1 : "&amp;TEXT(K1480,"0.0"))</x:f>
        <x:v>1 : 18.6</x:v>
      </x:c>
      <x:c r="M1480" s="66" t="str">
        <x:f>IF(J1480="","Baru/Tanpa Data",IF(J1480&lt;='Catatan &amp; Sumber'!$B$14,"Sangat Ketat",IF(J1480&lt;='Catatan &amp; Sumber'!$B$15,"Ketat",IF(J1480&lt;='Catatan &amp; Sumber'!$B$16,"Sedang","Relatif Longgar"))))</x:f>
        <x:v>Sedang</x:v>
      </x:c>
      <x:c r="N1480" s="66" t="str">
        <x:v>Tidak Ada</x:v>
      </x:c>
      <x:c r="O1480" s="66" t="str">
        <x:v>Jakarta Raya</x:v>
      </x:c>
      <x:c r="P1480" s="66" t="str">
        <x:v>Kota Jakarta Selatan</x:v>
      </x:c>
      <x:c r="Q1480" s="66" t="str">
        <x:v>https://snpmb.id/snbp/daya-tampung-snbp</x:v>
      </x:c>
      <x:c r="R1480" s="66" t="str">
        <x:v>https://sidatagrun-public-1076756628210.asia-southeast2.run.app/ptn_sn.php?ptn=324</x:v>
      </x:c>
    </x:row>
    <x:row r="1481">
      <x:c r="A1481" s="87" t="n">
        <x:v>531</x:v>
      </x:c>
      <x:c r="B1481" s="66" t="n">
        <x:v>324</x:v>
      </x:c>
      <x:c r="C1481" s="66" t="str">
        <x:v>UPN "VETERAN" JAKARTA</x:v>
      </x:c>
      <x:c r="D1481" s="66" t="str">
        <x:v>PTN Akademik</x:v>
      </x:c>
      <x:c r="E1481" s="66" t="str">
        <x:v>13241002</x:v>
      </x:c>
      <x:c r="F1481" s="66" t="str">
        <x:v>TEKNIK PERKAPALAN</x:v>
      </x:c>
      <x:c r="G1481" s="66" t="str">
        <x:v>Sarjana</x:v>
      </x:c>
      <x:c r="H1481" s="87" t="n">
        <x:v>14</x:v>
      </x:c>
      <x:c r="I1481" s="87" t="n">
        <x:v>263</x:v>
      </x:c>
      <x:c r="J1481" s="68" t="n">
        <x:f>IFERROR(H1481/I1481,"")</x:f>
        <x:v>0.053231939163498096</x:v>
      </x:c>
      <x:c r="K1481" s="69" t="n">
        <x:f>IFERROR(I1481/H1481,"")</x:f>
        <x:v>18.785714285714285</x:v>
      </x:c>
      <x:c r="L1481" s="66" t="str">
        <x:f>IF(K1481="","","1 : "&amp;TEXT(K1481,"0.0"))</x:f>
        <x:v>1 : 18.8</x:v>
      </x:c>
      <x:c r="M1481" s="66" t="str">
        <x:f>IF(J1481="","Baru/Tanpa Data",IF(J1481&lt;='Catatan &amp; Sumber'!$B$14,"Sangat Ketat",IF(J1481&lt;='Catatan &amp; Sumber'!$B$15,"Ketat",IF(J1481&lt;='Catatan &amp; Sumber'!$B$16,"Sedang","Relatif Longgar"))))</x:f>
        <x:v>Sedang</x:v>
      </x:c>
      <x:c r="N1481" s="66" t="str">
        <x:v>Tidak Ada</x:v>
      </x:c>
      <x:c r="O1481" s="66" t="str">
        <x:v>Jakarta Raya</x:v>
      </x:c>
      <x:c r="P1481" s="66" t="str">
        <x:v>Kota Jakarta Selatan</x:v>
      </x:c>
      <x:c r="Q1481" s="66" t="str">
        <x:v>https://snpmb.id/snbp/daya-tampung-snbp</x:v>
      </x:c>
      <x:c r="R1481" s="66" t="str">
        <x:v>https://sidatagrun-public-1076756628210.asia-southeast2.run.app/ptn_sn.php?ptn=324</x:v>
      </x:c>
    </x:row>
    <x:row r="1482">
      <x:c r="A1482" s="87" t="n">
        <x:v>112</x:v>
      </x:c>
      <x:c r="B1482" s="66" t="n">
        <x:v>324</x:v>
      </x:c>
      <x:c r="C1482" s="66" t="str">
        <x:v>UPN "VETERAN" JAKARTA</x:v>
      </x:c>
      <x:c r="D1482" s="66" t="str">
        <x:v>PTN Akademik</x:v>
      </x:c>
      <x:c r="E1482" s="66" t="str">
        <x:v>13241003</x:v>
      </x:c>
      <x:c r="F1482" s="66" t="str">
        <x:v>TEKNIK INDUSTRI</x:v>
      </x:c>
      <x:c r="G1482" s="66" t="str">
        <x:v>Sarjana</x:v>
      </x:c>
      <x:c r="H1482" s="87" t="n">
        <x:v>28</x:v>
      </x:c>
      <x:c r="I1482" s="87" t="n">
        <x:v>929</x:v>
      </x:c>
      <x:c r="J1482" s="68" t="n">
        <x:f>IFERROR(H1482/I1482,"")</x:f>
        <x:v>0.030139935414424113</x:v>
      </x:c>
      <x:c r="K1482" s="69" t="n">
        <x:f>IFERROR(I1482/H1482,"")</x:f>
        <x:v>33.17857142857143</x:v>
      </x:c>
      <x:c r="L1482" s="66" t="str">
        <x:f>IF(K1482="","","1 : "&amp;TEXT(K1482,"0.0"))</x:f>
        <x:v>1 : 33.2</x:v>
      </x:c>
      <x:c r="M1482" s="66" t="str">
        <x:f>IF(J1482="","Baru/Tanpa Data",IF(J1482&lt;='Catatan &amp; Sumber'!$B$14,"Sangat Ketat",IF(J1482&lt;='Catatan &amp; Sumber'!$B$15,"Ketat",IF(J1482&lt;='Catatan &amp; Sumber'!$B$16,"Sedang","Relatif Longgar"))))</x:f>
        <x:v>Ketat</x:v>
      </x:c>
      <x:c r="N1482" s="66" t="str">
        <x:v>Tidak Ada</x:v>
      </x:c>
      <x:c r="O1482" s="66" t="str">
        <x:v>Jakarta Raya</x:v>
      </x:c>
      <x:c r="P1482" s="66" t="str">
        <x:v>Kota Jakarta Selatan</x:v>
      </x:c>
      <x:c r="Q1482" s="66" t="str">
        <x:v>https://snpmb.id/snbp/daya-tampung-snbp</x:v>
      </x:c>
      <x:c r="R1482" s="66" t="str">
        <x:v>https://sidatagrun-public-1076756628210.asia-southeast2.run.app/ptn_sn.php?ptn=324</x:v>
      </x:c>
    </x:row>
    <x:row r="1483">
      <x:c r="A1483" s="87" t="n">
        <x:v>365</x:v>
      </x:c>
      <x:c r="B1483" s="66" t="n">
        <x:v>324</x:v>
      </x:c>
      <x:c r="C1483" s="66" t="str">
        <x:v>UPN "VETERAN" JAKARTA</x:v>
      </x:c>
      <x:c r="D1483" s="66" t="str">
        <x:v>PTN Akademik</x:v>
      </x:c>
      <x:c r="E1483" s="66" t="str">
        <x:v>13241004</x:v>
      </x:c>
      <x:c r="F1483" s="66" t="str">
        <x:v>INFORMATIKA</x:v>
      </x:c>
      <x:c r="G1483" s="66" t="str">
        <x:v>Sarjana</x:v>
      </x:c>
      <x:c r="H1483" s="87" t="n">
        <x:v>42</x:v>
      </x:c>
      <x:c r="I1483" s="87" t="n">
        <x:v>930</x:v>
      </x:c>
      <x:c r="J1483" s="68" t="n">
        <x:f>IFERROR(H1483/I1483,"")</x:f>
        <x:v>0.04516129032258064</x:v>
      </x:c>
      <x:c r="K1483" s="69" t="n">
        <x:f>IFERROR(I1483/H1483,"")</x:f>
        <x:v>22.142857142857142</x:v>
      </x:c>
      <x:c r="L1483" s="66" t="str">
        <x:f>IF(K1483="","","1 : "&amp;TEXT(K1483,"0.0"))</x:f>
        <x:v>1 : 22.1</x:v>
      </x:c>
      <x:c r="M1483" s="66" t="str">
        <x:f>IF(J1483="","Baru/Tanpa Data",IF(J1483&lt;='Catatan &amp; Sumber'!$B$14,"Sangat Ketat",IF(J1483&lt;='Catatan &amp; Sumber'!$B$15,"Ketat",IF(J1483&lt;='Catatan &amp; Sumber'!$B$16,"Sedang","Relatif Longgar"))))</x:f>
        <x:v>Ketat</x:v>
      </x:c>
      <x:c r="N1483" s="66" t="str">
        <x:v>Tidak Ada</x:v>
      </x:c>
      <x:c r="O1483" s="66" t="str">
        <x:v>Jakarta Raya</x:v>
      </x:c>
      <x:c r="P1483" s="66" t="str">
        <x:v>Kota Jakarta Selatan</x:v>
      </x:c>
      <x:c r="Q1483" s="66" t="str">
        <x:v>https://snpmb.id/snbp/daya-tampung-snbp</x:v>
      </x:c>
      <x:c r="R1483" s="66" t="str">
        <x:v>https://sidatagrun-public-1076756628210.asia-southeast2.run.app/ptn_sn.php?ptn=324</x:v>
      </x:c>
    </x:row>
    <x:row r="1484">
      <x:c r="A1484" s="87" t="n">
        <x:v>203</x:v>
      </x:c>
      <x:c r="B1484" s="66" t="n">
        <x:v>324</x:v>
      </x:c>
      <x:c r="C1484" s="66" t="str">
        <x:v>UPN "VETERAN" JAKARTA</x:v>
      </x:c>
      <x:c r="D1484" s="66" t="str">
        <x:v>PTN Akademik</x:v>
      </x:c>
      <x:c r="E1484" s="66" t="str">
        <x:v>13241005</x:v>
      </x:c>
      <x:c r="F1484" s="66" t="str">
        <x:v>SISTEM INFORMASI</x:v>
      </x:c>
      <x:c r="G1484" s="66" t="str">
        <x:v>Sarjana</x:v>
      </x:c>
      <x:c r="H1484" s="87" t="n">
        <x:v>42</x:v>
      </x:c>
      <x:c r="I1484" s="87" t="n">
        <x:v>1132</x:v>
      </x:c>
      <x:c r="J1484" s="68" t="n">
        <x:f>IFERROR(H1484/I1484,"")</x:f>
        <x:v>0.037102473498233215</x:v>
      </x:c>
      <x:c r="K1484" s="69" t="n">
        <x:f>IFERROR(I1484/H1484,"")</x:f>
        <x:v>26.952380952380953</x:v>
      </x:c>
      <x:c r="L1484" s="66" t="str">
        <x:f>IF(K1484="","","1 : "&amp;TEXT(K1484,"0.0"))</x:f>
        <x:v>1 : 27.0</x:v>
      </x:c>
      <x:c r="M1484" s="66" t="str">
        <x:f>IF(J1484="","Baru/Tanpa Data",IF(J1484&lt;='Catatan &amp; Sumber'!$B$14,"Sangat Ketat",IF(J1484&lt;='Catatan &amp; Sumber'!$B$15,"Ketat",IF(J1484&lt;='Catatan &amp; Sumber'!$B$16,"Sedang","Relatif Longgar"))))</x:f>
        <x:v>Ketat</x:v>
      </x:c>
      <x:c r="N1484" s="66" t="str">
        <x:v>Tidak Ada</x:v>
      </x:c>
      <x:c r="O1484" s="66" t="str">
        <x:v>Jakarta Raya</x:v>
      </x:c>
      <x:c r="P1484" s="66" t="str">
        <x:v>Kota Jakarta Selatan</x:v>
      </x:c>
      <x:c r="Q1484" s="66" t="str">
        <x:v>https://snpmb.id/snbp/daya-tampung-snbp</x:v>
      </x:c>
      <x:c r="R1484" s="66" t="str">
        <x:v>https://sidatagrun-public-1076756628210.asia-southeast2.run.app/ptn_sn.php?ptn=324</x:v>
      </x:c>
    </x:row>
    <x:row r="1485">
      <x:c r="A1485" s="87" t="n">
        <x:v>343</x:v>
      </x:c>
      <x:c r="B1485" s="66" t="n">
        <x:v>324</x:v>
      </x:c>
      <x:c r="C1485" s="66" t="str">
        <x:v>UPN "VETERAN" JAKARTA</x:v>
      </x:c>
      <x:c r="D1485" s="66" t="str">
        <x:v>PTN Akademik</x:v>
      </x:c>
      <x:c r="E1485" s="66" t="str">
        <x:v>13241006</x:v>
      </x:c>
      <x:c r="F1485" s="66" t="str">
        <x:v>KEDOKTERAN</x:v>
      </x:c>
      <x:c r="G1485" s="66" t="str">
        <x:v>Sarjana</x:v>
      </x:c>
      <x:c r="H1485" s="87" t="n">
        <x:v>41</x:v>
      </x:c>
      <x:c r="I1485" s="87" t="n">
        <x:v>928</x:v>
      </x:c>
      <x:c r="J1485" s="68" t="n">
        <x:f>IFERROR(H1485/I1485,"")</x:f>
        <x:v>0.04418103448275862</x:v>
      </x:c>
      <x:c r="K1485" s="69" t="n">
        <x:f>IFERROR(I1485/H1485,"")</x:f>
        <x:v>22.634146341463413</x:v>
      </x:c>
      <x:c r="L1485" s="66" t="str">
        <x:f>IF(K1485="","","1 : "&amp;TEXT(K1485,"0.0"))</x:f>
        <x:v>1 : 22.6</x:v>
      </x:c>
      <x:c r="M1485" s="66" t="str">
        <x:f>IF(J1485="","Baru/Tanpa Data",IF(J1485&lt;='Catatan &amp; Sumber'!$B$14,"Sangat Ketat",IF(J1485&lt;='Catatan &amp; Sumber'!$B$15,"Ketat",IF(J1485&lt;='Catatan &amp; Sumber'!$B$16,"Sedang","Relatif Longgar"))))</x:f>
        <x:v>Ketat</x:v>
      </x:c>
      <x:c r="N1485" s="66" t="str">
        <x:v>Tidak Ada</x:v>
      </x:c>
      <x:c r="O1485" s="66" t="str">
        <x:v>Jakarta Raya</x:v>
      </x:c>
      <x:c r="P1485" s="66" t="str">
        <x:v>Kota Jakarta Selatan</x:v>
      </x:c>
      <x:c r="Q1485" s="66" t="str">
        <x:v>https://snpmb.id/snbp/daya-tampung-snbp</x:v>
      </x:c>
      <x:c r="R1485" s="66" t="str">
        <x:v>https://sidatagrun-public-1076756628210.asia-southeast2.run.app/ptn_sn.php?ptn=324</x:v>
      </x:c>
    </x:row>
    <x:row r="1486">
      <x:c r="A1486" s="87" t="n">
        <x:v>71</x:v>
      </x:c>
      <x:c r="B1486" s="66" t="n">
        <x:v>324</x:v>
      </x:c>
      <x:c r="C1486" s="66" t="str">
        <x:v>UPN "VETERAN" JAKARTA</x:v>
      </x:c>
      <x:c r="D1486" s="66" t="str">
        <x:v>PTN Akademik</x:v>
      </x:c>
      <x:c r="E1486" s="66" t="str">
        <x:v>13241007</x:v>
      </x:c>
      <x:c r="F1486" s="66" t="str">
        <x:v>KEPERAWATAN</x:v>
      </x:c>
      <x:c r="G1486" s="66" t="str">
        <x:v>Sarjana</x:v>
      </x:c>
      <x:c r="H1486" s="87" t="n">
        <x:v>28</x:v>
      </x:c>
      <x:c r="I1486" s="87" t="n">
        <x:v>1098</x:v>
      </x:c>
      <x:c r="J1486" s="68" t="n">
        <x:f>IFERROR(H1486/I1486,"")</x:f>
        <x:v>0.025500910746812388</x:v>
      </x:c>
      <x:c r="K1486" s="69" t="n">
        <x:f>IFERROR(I1486/H1486,"")</x:f>
        <x:v>39.214285714285715</x:v>
      </x:c>
      <x:c r="L1486" s="66" t="str">
        <x:f>IF(K1486="","","1 : "&amp;TEXT(K1486,"0.0"))</x:f>
        <x:v>1 : 39.2</x:v>
      </x:c>
      <x:c r="M1486" s="66" t="str">
        <x:f>IF(J1486="","Baru/Tanpa Data",IF(J1486&lt;='Catatan &amp; Sumber'!$B$14,"Sangat Ketat",IF(J1486&lt;='Catatan &amp; Sumber'!$B$15,"Ketat",IF(J1486&lt;='Catatan &amp; Sumber'!$B$16,"Sedang","Relatif Longgar"))))</x:f>
        <x:v>Ketat</x:v>
      </x:c>
      <x:c r="N1486" s="66" t="str">
        <x:v>Tidak Ada</x:v>
      </x:c>
      <x:c r="O1486" s="66" t="str">
        <x:v>Jakarta Raya</x:v>
      </x:c>
      <x:c r="P1486" s="66" t="str">
        <x:v>Kota Jakarta Selatan</x:v>
      </x:c>
      <x:c r="Q1486" s="66" t="str">
        <x:v>https://snpmb.id/snbp/daya-tampung-snbp</x:v>
      </x:c>
      <x:c r="R1486" s="66" t="str">
        <x:v>https://sidatagrun-public-1076756628210.asia-southeast2.run.app/ptn_sn.php?ptn=324</x:v>
      </x:c>
    </x:row>
    <x:row r="1487">
      <x:c r="A1487" s="87" t="n">
        <x:v>272</x:v>
      </x:c>
      <x:c r="B1487" s="66" t="n">
        <x:v>324</x:v>
      </x:c>
      <x:c r="C1487" s="66" t="str">
        <x:v>UPN "VETERAN" JAKARTA</x:v>
      </x:c>
      <x:c r="D1487" s="66" t="str">
        <x:v>PTN Akademik</x:v>
      </x:c>
      <x:c r="E1487" s="66" t="str">
        <x:v>13241008</x:v>
      </x:c>
      <x:c r="F1487" s="66" t="str">
        <x:v>KESEHATAN MASYARAKAT</x:v>
      </x:c>
      <x:c r="G1487" s="66" t="str">
        <x:v>Sarjana</x:v>
      </x:c>
      <x:c r="H1487" s="87" t="n">
        <x:v>42</x:v>
      </x:c>
      <x:c r="I1487" s="87" t="n">
        <x:v>1026</x:v>
      </x:c>
      <x:c r="J1487" s="68" t="n">
        <x:f>IFERROR(H1487/I1487,"")</x:f>
        <x:v>0.04093567251461988</x:v>
      </x:c>
      <x:c r="K1487" s="69" t="n">
        <x:f>IFERROR(I1487/H1487,"")</x:f>
        <x:v>24.428571428571427</x:v>
      </x:c>
      <x:c r="L1487" s="66" t="str">
        <x:f>IF(K1487="","","1 : "&amp;TEXT(K1487,"0.0"))</x:f>
        <x:v>1 : 24.4</x:v>
      </x:c>
      <x:c r="M1487" s="66" t="str">
        <x:f>IF(J1487="","Baru/Tanpa Data",IF(J1487&lt;='Catatan &amp; Sumber'!$B$14,"Sangat Ketat",IF(J1487&lt;='Catatan &amp; Sumber'!$B$15,"Ketat",IF(J1487&lt;='Catatan &amp; Sumber'!$B$16,"Sedang","Relatif Longgar"))))</x:f>
        <x:v>Ketat</x:v>
      </x:c>
      <x:c r="N1487" s="66" t="str">
        <x:v>Tidak Ada</x:v>
      </x:c>
      <x:c r="O1487" s="66" t="str">
        <x:v>Jakarta Raya</x:v>
      </x:c>
      <x:c r="P1487" s="66" t="str">
        <x:v>Kota Jakarta Selatan</x:v>
      </x:c>
      <x:c r="Q1487" s="66" t="str">
        <x:v>https://snpmb.id/snbp/daya-tampung-snbp</x:v>
      </x:c>
      <x:c r="R1487" s="66" t="str">
        <x:v>https://sidatagrun-public-1076756628210.asia-southeast2.run.app/ptn_sn.php?ptn=324</x:v>
      </x:c>
    </x:row>
    <x:row r="1488">
      <x:c r="A1488" s="87" t="n">
        <x:v>222</x:v>
      </x:c>
      <x:c r="B1488" s="66" t="n">
        <x:v>324</x:v>
      </x:c>
      <x:c r="C1488" s="66" t="str">
        <x:v>UPN "VETERAN" JAKARTA</x:v>
      </x:c>
      <x:c r="D1488" s="66" t="str">
        <x:v>PTN Akademik</x:v>
      </x:c>
      <x:c r="E1488" s="66" t="str">
        <x:v>13241009</x:v>
      </x:c>
      <x:c r="F1488" s="66" t="str">
        <x:v>GIZI</x:v>
      </x:c>
      <x:c r="G1488" s="66" t="str">
        <x:v>Sarjana</x:v>
      </x:c>
      <x:c r="H1488" s="87" t="n">
        <x:v>28</x:v>
      </x:c>
      <x:c r="I1488" s="87" t="n">
        <x:v>741</x:v>
      </x:c>
      <x:c r="J1488" s="68" t="n">
        <x:f>IFERROR(H1488/I1488,"")</x:f>
        <x:v>0.037786774628879895</x:v>
      </x:c>
      <x:c r="K1488" s="69" t="n">
        <x:f>IFERROR(I1488/H1488,"")</x:f>
        <x:v>26.464285714285715</x:v>
      </x:c>
      <x:c r="L1488" s="66" t="str">
        <x:f>IF(K1488="","","1 : "&amp;TEXT(K1488,"0.0"))</x:f>
        <x:v>1 : 26.5</x:v>
      </x:c>
      <x:c r="M1488" s="66" t="str">
        <x:f>IF(J1488="","Baru/Tanpa Data",IF(J1488&lt;='Catatan &amp; Sumber'!$B$14,"Sangat Ketat",IF(J1488&lt;='Catatan &amp; Sumber'!$B$15,"Ketat",IF(J1488&lt;='Catatan &amp; Sumber'!$B$16,"Sedang","Relatif Longgar"))))</x:f>
        <x:v>Ketat</x:v>
      </x:c>
      <x:c r="N1488" s="66" t="str">
        <x:v>Tidak Ada</x:v>
      </x:c>
      <x:c r="O1488" s="66" t="str">
        <x:v>Jakarta Raya</x:v>
      </x:c>
      <x:c r="P1488" s="66" t="str">
        <x:v>Kota Jakarta Selatan</x:v>
      </x:c>
      <x:c r="Q1488" s="66" t="str">
        <x:v>https://snpmb.id/snbp/daya-tampung-snbp</x:v>
      </x:c>
      <x:c r="R1488" s="66" t="str">
        <x:v>https://sidatagrun-public-1076756628210.asia-southeast2.run.app/ptn_sn.php?ptn=324</x:v>
      </x:c>
    </x:row>
    <x:row r="1489">
      <x:c r="A1489" s="87" t="n">
        <x:v>361</x:v>
      </x:c>
      <x:c r="B1489" s="66" t="n">
        <x:v>324</x:v>
      </x:c>
      <x:c r="C1489" s="66" t="str">
        <x:v>UPN "VETERAN" JAKARTA</x:v>
      </x:c>
      <x:c r="D1489" s="66" t="str">
        <x:v>PTN Akademik</x:v>
      </x:c>
      <x:c r="E1489" s="66" t="str">
        <x:v>13241010</x:v>
      </x:c>
      <x:c r="F1489" s="66" t="str">
        <x:v>TEKNIK ELEKTRO</x:v>
      </x:c>
      <x:c r="G1489" s="66" t="str">
        <x:v>Sarjana</x:v>
      </x:c>
      <x:c r="H1489" s="87" t="n">
        <x:v>24</x:v>
      </x:c>
      <x:c r="I1489" s="87" t="n">
        <x:v>532</x:v>
      </x:c>
      <x:c r="J1489" s="68" t="n">
        <x:f>IFERROR(H1489/I1489,"")</x:f>
        <x:v>0.045112781954887216</x:v>
      </x:c>
      <x:c r="K1489" s="69" t="n">
        <x:f>IFERROR(I1489/H1489,"")</x:f>
        <x:v>22.166666666666668</x:v>
      </x:c>
      <x:c r="L1489" s="66" t="str">
        <x:f>IF(K1489="","","1 : "&amp;TEXT(K1489,"0.0"))</x:f>
        <x:v>1 : 22.2</x:v>
      </x:c>
      <x:c r="M1489" s="66" t="str">
        <x:f>IF(J1489="","Baru/Tanpa Data",IF(J1489&lt;='Catatan &amp; Sumber'!$B$14,"Sangat Ketat",IF(J1489&lt;='Catatan &amp; Sumber'!$B$15,"Ketat",IF(J1489&lt;='Catatan &amp; Sumber'!$B$16,"Sedang","Relatif Longgar"))))</x:f>
        <x:v>Ketat</x:v>
      </x:c>
      <x:c r="N1489" s="66" t="str">
        <x:v>Tidak Ada</x:v>
      </x:c>
      <x:c r="O1489" s="66" t="str">
        <x:v>Jakarta Raya</x:v>
      </x:c>
      <x:c r="P1489" s="66" t="str">
        <x:v>Kota Jakarta Selatan</x:v>
      </x:c>
      <x:c r="Q1489" s="66" t="str">
        <x:v>https://snpmb.id/snbp/daya-tampung-snbp</x:v>
      </x:c>
      <x:c r="R1489" s="66" t="str">
        <x:v>https://sidatagrun-public-1076756628210.asia-southeast2.run.app/ptn_sn.php?ptn=324</x:v>
      </x:c>
    </x:row>
    <x:row r="1490">
      <x:c r="A1490" s="87" t="n">
        <x:v>8</x:v>
      </x:c>
      <x:c r="B1490" s="66" t="n">
        <x:v>324</x:v>
      </x:c>
      <x:c r="C1490" s="66" t="str">
        <x:v>UPN "VETERAN" JAKARTA</x:v>
      </x:c>
      <x:c r="D1490" s="66" t="str">
        <x:v>PTN Akademik</x:v>
      </x:c>
      <x:c r="E1490" s="66" t="str">
        <x:v>13241011</x:v>
      </x:c>
      <x:c r="F1490" s="66" t="str">
        <x:v>FARMASI</x:v>
      </x:c>
      <x:c r="G1490" s="66" t="str">
        <x:v>Sarjana</x:v>
      </x:c>
      <x:c r="H1490" s="87" t="n">
        <x:v>12</x:v>
      </x:c>
      <x:c r="I1490" s="87" t="n">
        <x:v>828</x:v>
      </x:c>
      <x:c r="J1490" s="68" t="n">
        <x:f>IFERROR(H1490/I1490,"")</x:f>
        <x:v>0.014492753623188406</x:v>
      </x:c>
      <x:c r="K1490" s="69" t="n">
        <x:f>IFERROR(I1490/H1490,"")</x:f>
        <x:v>69</x:v>
      </x:c>
      <x:c r="L1490" s="66" t="str">
        <x:f>IF(K1490="","","1 : "&amp;TEXT(K1490,"0.0"))</x:f>
        <x:v>1 : 69.0</x:v>
      </x:c>
      <x:c r="M1490" s="66" t="str">
        <x:f>IF(J1490="","Baru/Tanpa Data",IF(J1490&lt;='Catatan &amp; Sumber'!$B$14,"Sangat Ketat",IF(J1490&lt;='Catatan &amp; Sumber'!$B$15,"Ketat",IF(J1490&lt;='Catatan &amp; Sumber'!$B$16,"Sedang","Relatif Longgar"))))</x:f>
        <x:v>Sangat Ketat</x:v>
      </x:c>
      <x:c r="N1490" s="66" t="str">
        <x:v>Tidak Ada</x:v>
      </x:c>
      <x:c r="O1490" s="66" t="str">
        <x:v>Jakarta Raya</x:v>
      </x:c>
      <x:c r="P1490" s="66" t="str">
        <x:v>Kota Jakarta Selatan</x:v>
      </x:c>
      <x:c r="Q1490" s="66" t="str">
        <x:v>https://snpmb.id/snbp/daya-tampung-snbp</x:v>
      </x:c>
      <x:c r="R1490" s="66" t="str">
        <x:v>https://sidatagrun-public-1076756628210.asia-southeast2.run.app/ptn_sn.php?ptn=324</x:v>
      </x:c>
    </x:row>
    <x:row r="1491">
      <x:c r="A1491" s="87" t="n">
        <x:v>154</x:v>
      </x:c>
      <x:c r="B1491" s="66" t="n">
        <x:v>324</x:v>
      </x:c>
      <x:c r="C1491" s="66" t="str">
        <x:v>UPN "VETERAN" JAKARTA</x:v>
      </x:c>
      <x:c r="D1491" s="66" t="str">
        <x:v>PTN Akademik</x:v>
      </x:c>
      <x:c r="E1491" s="66" t="str">
        <x:v>13241012</x:v>
      </x:c>
      <x:c r="F1491" s="66" t="str">
        <x:v>FISIOTERAPI</x:v>
      </x:c>
      <x:c r="G1491" s="66" t="str">
        <x:v>Sarjana</x:v>
      </x:c>
      <x:c r="H1491" s="87" t="n">
        <x:v>14</x:v>
      </x:c>
      <x:c r="I1491" s="87" t="n">
        <x:v>417</x:v>
      </x:c>
      <x:c r="J1491" s="68" t="n">
        <x:f>IFERROR(H1491/I1491,"")</x:f>
        <x:v>0.03357314148681055</x:v>
      </x:c>
      <x:c r="K1491" s="69" t="n">
        <x:f>IFERROR(I1491/H1491,"")</x:f>
        <x:v>29.785714285714285</x:v>
      </x:c>
      <x:c r="L1491" s="66" t="str">
        <x:f>IF(K1491="","","1 : "&amp;TEXT(K1491,"0.0"))</x:f>
        <x:v>1 : 29.8</x:v>
      </x:c>
      <x:c r="M1491" s="66" t="str">
        <x:f>IF(J1491="","Baru/Tanpa Data",IF(J1491&lt;='Catatan &amp; Sumber'!$B$14,"Sangat Ketat",IF(J1491&lt;='Catatan &amp; Sumber'!$B$15,"Ketat",IF(J1491&lt;='Catatan &amp; Sumber'!$B$16,"Sedang","Relatif Longgar"))))</x:f>
        <x:v>Ketat</x:v>
      </x:c>
      <x:c r="N1491" s="66" t="str">
        <x:v>Tidak Ada</x:v>
      </x:c>
      <x:c r="O1491" s="66" t="str">
        <x:v>Jakarta Raya</x:v>
      </x:c>
      <x:c r="P1491" s="66" t="str">
        <x:v>Kota Jakarta Selatan</x:v>
      </x:c>
      <x:c r="Q1491" s="66" t="str">
        <x:v>https://snpmb.id/snbp/daya-tampung-snbp</x:v>
      </x:c>
      <x:c r="R1491" s="66" t="str">
        <x:v>https://sidatagrun-public-1076756628210.asia-southeast2.run.app/ptn_sn.php?ptn=324</x:v>
      </x:c>
    </x:row>
    <x:row r="1492">
      <x:c r="A1492" s="87" t="n">
        <x:v>320</x:v>
      </x:c>
      <x:c r="B1492" s="66" t="n">
        <x:v>324</x:v>
      </x:c>
      <x:c r="C1492" s="66" t="str">
        <x:v>UPN "VETERAN" JAKARTA</x:v>
      </x:c>
      <x:c r="D1492" s="66" t="str">
        <x:v>PTN Akademik</x:v>
      </x:c>
      <x:c r="E1492" s="66" t="str">
        <x:v>13241013</x:v>
      </x:c>
      <x:c r="F1492" s="66" t="str">
        <x:v>MANAJEMEN</x:v>
      </x:c>
      <x:c r="G1492" s="66" t="str">
        <x:v>Sarjana</x:v>
      </x:c>
      <x:c r="H1492" s="87" t="n">
        <x:v>64</x:v>
      </x:c>
      <x:c r="I1492" s="87" t="n">
        <x:v>1482</x:v>
      </x:c>
      <x:c r="J1492" s="68" t="n">
        <x:f>IFERROR(H1492/I1492,"")</x:f>
        <x:v>0.043184885290148446</x:v>
      </x:c>
      <x:c r="K1492" s="69" t="n">
        <x:f>IFERROR(I1492/H1492,"")</x:f>
        <x:v>23.15625</x:v>
      </x:c>
      <x:c r="L1492" s="66" t="str">
        <x:f>IF(K1492="","","1 : "&amp;TEXT(K1492,"0.0"))</x:f>
        <x:v>1 : 23.2</x:v>
      </x:c>
      <x:c r="M1492" s="66" t="str">
        <x:f>IF(J1492="","Baru/Tanpa Data",IF(J1492&lt;='Catatan &amp; Sumber'!$B$14,"Sangat Ketat",IF(J1492&lt;='Catatan &amp; Sumber'!$B$15,"Ketat",IF(J1492&lt;='Catatan &amp; Sumber'!$B$16,"Sedang","Relatif Longgar"))))</x:f>
        <x:v>Ketat</x:v>
      </x:c>
      <x:c r="N1492" s="66" t="str">
        <x:v>Tidak Ada</x:v>
      </x:c>
      <x:c r="O1492" s="66" t="str">
        <x:v>Jakarta Raya</x:v>
      </x:c>
      <x:c r="P1492" s="66" t="str">
        <x:v>Kota Jakarta Selatan</x:v>
      </x:c>
      <x:c r="Q1492" s="66" t="str">
        <x:v>https://snpmb.id/snbp/daya-tampung-snbp</x:v>
      </x:c>
      <x:c r="R1492" s="66" t="str">
        <x:v>https://sidatagrun-public-1076756628210.asia-southeast2.run.app/ptn_sn.php?ptn=324</x:v>
      </x:c>
    </x:row>
    <x:row r="1493">
      <x:c r="A1493" s="87" t="n">
        <x:v>375</x:v>
      </x:c>
      <x:c r="B1493" s="66" t="n">
        <x:v>324</x:v>
      </x:c>
      <x:c r="C1493" s="66" t="str">
        <x:v>UPN "VETERAN" JAKARTA</x:v>
      </x:c>
      <x:c r="D1493" s="66" t="str">
        <x:v>PTN Akademik</x:v>
      </x:c>
      <x:c r="E1493" s="66" t="str">
        <x:v>13241014</x:v>
      </x:c>
      <x:c r="F1493" s="66" t="str">
        <x:v>AKUNTANSI</x:v>
      </x:c>
      <x:c r="G1493" s="66" t="str">
        <x:v>Sarjana</x:v>
      </x:c>
      <x:c r="H1493" s="87" t="n">
        <x:v>64</x:v>
      </x:c>
      <x:c r="I1493" s="87" t="n">
        <x:v>1402</x:v>
      </x:c>
      <x:c r="J1493" s="68" t="n">
        <x:f>IFERROR(H1493/I1493,"")</x:f>
        <x:v>0.0456490727532097</x:v>
      </x:c>
      <x:c r="K1493" s="69" t="n">
        <x:f>IFERROR(I1493/H1493,"")</x:f>
        <x:v>21.90625</x:v>
      </x:c>
      <x:c r="L1493" s="66" t="str">
        <x:f>IF(K1493="","","1 : "&amp;TEXT(K1493,"0.0"))</x:f>
        <x:v>1 : 21.9</x:v>
      </x:c>
      <x:c r="M1493" s="66" t="str">
        <x:f>IF(J1493="","Baru/Tanpa Data",IF(J1493&lt;='Catatan &amp; Sumber'!$B$14,"Sangat Ketat",IF(J1493&lt;='Catatan &amp; Sumber'!$B$15,"Ketat",IF(J1493&lt;='Catatan &amp; Sumber'!$B$16,"Sedang","Relatif Longgar"))))</x:f>
        <x:v>Ketat</x:v>
      </x:c>
      <x:c r="N1493" s="66" t="str">
        <x:v>Tidak Ada</x:v>
      </x:c>
      <x:c r="O1493" s="66" t="str">
        <x:v>Jakarta Raya</x:v>
      </x:c>
      <x:c r="P1493" s="66" t="str">
        <x:v>Kota Jakarta Selatan</x:v>
      </x:c>
      <x:c r="Q1493" s="66" t="str">
        <x:v>https://snpmb.id/snbp/daya-tampung-snbp</x:v>
      </x:c>
      <x:c r="R1493" s="66" t="str">
        <x:v>https://sidatagrun-public-1076756628210.asia-southeast2.run.app/ptn_sn.php?ptn=324</x:v>
      </x:c>
    </x:row>
    <x:row r="1494">
      <x:c r="A1494" s="87" t="n">
        <x:v>1097</x:v>
      </x:c>
      <x:c r="B1494" s="66" t="n">
        <x:v>324</x:v>
      </x:c>
      <x:c r="C1494" s="66" t="str">
        <x:v>UPN "VETERAN" JAKARTA</x:v>
      </x:c>
      <x:c r="D1494" s="66" t="str">
        <x:v>PTN Akademik</x:v>
      </x:c>
      <x:c r="E1494" s="66" t="str">
        <x:v>13241015</x:v>
      </x:c>
      <x:c r="F1494" s="66" t="str">
        <x:v>HUBUNGAN INTERNASIONAL</x:v>
      </x:c>
      <x:c r="G1494" s="66" t="str">
        <x:v>Sarjana</x:v>
      </x:c>
      <x:c r="H1494" s="87" t="n">
        <x:v>48</x:v>
      </x:c>
      <x:c r="I1494" s="87" t="n">
        <x:v>573</x:v>
      </x:c>
      <x:c r="J1494" s="68" t="n">
        <x:f>IFERROR(H1494/I1494,"")</x:f>
        <x:v>0.08376963350785341</x:v>
      </x:c>
      <x:c r="K1494" s="69" t="n">
        <x:f>IFERROR(I1494/H1494,"")</x:f>
        <x:v>11.9375</x:v>
      </x:c>
      <x:c r="L1494" s="66" t="str">
        <x:f>IF(K1494="","","1 : "&amp;TEXT(K1494,"0.0"))</x:f>
        <x:v>1 : 11.9</x:v>
      </x:c>
      <x:c r="M1494" s="66" t="str">
        <x:f>IF(J1494="","Baru/Tanpa Data",IF(J1494&lt;='Catatan &amp; Sumber'!$B$14,"Sangat Ketat",IF(J1494&lt;='Catatan &amp; Sumber'!$B$15,"Ketat",IF(J1494&lt;='Catatan &amp; Sumber'!$B$16,"Sedang","Relatif Longgar"))))</x:f>
        <x:v>Sedang</x:v>
      </x:c>
      <x:c r="N1494" s="66" t="str">
        <x:v>Tidak Ada</x:v>
      </x:c>
      <x:c r="O1494" s="66" t="str">
        <x:v>Jakarta Raya</x:v>
      </x:c>
      <x:c r="P1494" s="66" t="str">
        <x:v>Kota Jakarta Selatan</x:v>
      </x:c>
      <x:c r="Q1494" s="66" t="str">
        <x:v>https://snpmb.id/snbp/daya-tampung-snbp</x:v>
      </x:c>
      <x:c r="R1494" s="66" t="str">
        <x:v>https://sidatagrun-public-1076756628210.asia-southeast2.run.app/ptn_sn.php?ptn=324</x:v>
      </x:c>
    </x:row>
    <x:row r="1495">
      <x:c r="A1495" s="87" t="n">
        <x:v>199</x:v>
      </x:c>
      <x:c r="B1495" s="66" t="n">
        <x:v>324</x:v>
      </x:c>
      <x:c r="C1495" s="66" t="str">
        <x:v>UPN "VETERAN" JAKARTA</x:v>
      </x:c>
      <x:c r="D1495" s="66" t="str">
        <x:v>PTN Akademik</x:v>
      </x:c>
      <x:c r="E1495" s="66" t="str">
        <x:v>13241016</x:v>
      </x:c>
      <x:c r="F1495" s="66" t="str">
        <x:v>ILMU KOMUNIKASI</x:v>
      </x:c>
      <x:c r="G1495" s="66" t="str">
        <x:v>Sarjana</x:v>
      </x:c>
      <x:c r="H1495" s="87" t="n">
        <x:v>72</x:v>
      </x:c>
      <x:c r="I1495" s="87" t="n">
        <x:v>1949</x:v>
      </x:c>
      <x:c r="J1495" s="68" t="n">
        <x:f>IFERROR(H1495/I1495,"")</x:f>
        <x:v>0.03694202154951257</x:v>
      </x:c>
      <x:c r="K1495" s="69" t="n">
        <x:f>IFERROR(I1495/H1495,"")</x:f>
        <x:v>27.069444444444443</x:v>
      </x:c>
      <x:c r="L1495" s="66" t="str">
        <x:f>IF(K1495="","","1 : "&amp;TEXT(K1495,"0.0"))</x:f>
        <x:v>1 : 27.1</x:v>
      </x:c>
      <x:c r="M1495" s="66" t="str">
        <x:f>IF(J1495="","Baru/Tanpa Data",IF(J1495&lt;='Catatan &amp; Sumber'!$B$14,"Sangat Ketat",IF(J1495&lt;='Catatan &amp; Sumber'!$B$15,"Ketat",IF(J1495&lt;='Catatan &amp; Sumber'!$B$16,"Sedang","Relatif Longgar"))))</x:f>
        <x:v>Ketat</x:v>
      </x:c>
      <x:c r="N1495" s="66" t="str">
        <x:v>Tidak Ada</x:v>
      </x:c>
      <x:c r="O1495" s="66" t="str">
        <x:v>Jakarta Raya</x:v>
      </x:c>
      <x:c r="P1495" s="66" t="str">
        <x:v>Kota Jakarta Selatan</x:v>
      </x:c>
      <x:c r="Q1495" s="66" t="str">
        <x:v>https://snpmb.id/snbp/daya-tampung-snbp</x:v>
      </x:c>
      <x:c r="R1495" s="66" t="str">
        <x:v>https://sidatagrun-public-1076756628210.asia-southeast2.run.app/ptn_sn.php?ptn=324</x:v>
      </x:c>
    </x:row>
    <x:row r="1496">
      <x:c r="A1496" s="87" t="n">
        <x:v>1263</x:v>
      </x:c>
      <x:c r="B1496" s="66" t="n">
        <x:v>324</x:v>
      </x:c>
      <x:c r="C1496" s="66" t="str">
        <x:v>UPN "VETERAN" JAKARTA</x:v>
      </x:c>
      <x:c r="D1496" s="66" t="str">
        <x:v>PTN Akademik</x:v>
      </x:c>
      <x:c r="E1496" s="66" t="str">
        <x:v>13241017</x:v>
      </x:c>
      <x:c r="F1496" s="66" t="str">
        <x:v>HUKUM</x:v>
      </x:c>
      <x:c r="G1496" s="66" t="str">
        <x:v>Sarjana</x:v>
      </x:c>
      <x:c r="H1496" s="87" t="n">
        <x:v>96</x:v>
      </x:c>
      <x:c r="I1496" s="87" t="n">
        <x:v>1024</x:v>
      </x:c>
      <x:c r="J1496" s="68" t="n">
        <x:f>IFERROR(H1496/I1496,"")</x:f>
        <x:v>0.09375</x:v>
      </x:c>
      <x:c r="K1496" s="69" t="n">
        <x:f>IFERROR(I1496/H1496,"")</x:f>
        <x:v>10.666666666666666</x:v>
      </x:c>
      <x:c r="L1496" s="66" t="str">
        <x:f>IF(K1496="","","1 : "&amp;TEXT(K1496,"0.0"))</x:f>
        <x:v>1 : 10.7</x:v>
      </x:c>
      <x:c r="M1496" s="66" t="str">
        <x:f>IF(J1496="","Baru/Tanpa Data",IF(J1496&lt;='Catatan &amp; Sumber'!$B$14,"Sangat Ketat",IF(J1496&lt;='Catatan &amp; Sumber'!$B$15,"Ketat",IF(J1496&lt;='Catatan &amp; Sumber'!$B$16,"Sedang","Relatif Longgar"))))</x:f>
        <x:v>Sedang</x:v>
      </x:c>
      <x:c r="N1496" s="66" t="str">
        <x:v>Tidak Ada</x:v>
      </x:c>
      <x:c r="O1496" s="66" t="str">
        <x:v>Jakarta Raya</x:v>
      </x:c>
      <x:c r="P1496" s="66" t="str">
        <x:v>Kota Jakarta Selatan</x:v>
      </x:c>
      <x:c r="Q1496" s="66" t="str">
        <x:v>https://snpmb.id/snbp/daya-tampung-snbp</x:v>
      </x:c>
      <x:c r="R1496" s="66" t="str">
        <x:v>https://sidatagrun-public-1076756628210.asia-southeast2.run.app/ptn_sn.php?ptn=324</x:v>
      </x:c>
    </x:row>
    <x:row r="1497">
      <x:c r="A1497" s="87" t="n">
        <x:v>258</x:v>
      </x:c>
      <x:c r="B1497" s="66" t="n">
        <x:v>324</x:v>
      </x:c>
      <x:c r="C1497" s="66" t="str">
        <x:v>UPN "VETERAN" JAKARTA</x:v>
      </x:c>
      <x:c r="D1497" s="66" t="str">
        <x:v>PTN Akademik</x:v>
      </x:c>
      <x:c r="E1497" s="66" t="str">
        <x:v>13241018</x:v>
      </x:c>
      <x:c r="F1497" s="66" t="str">
        <x:v>EKONOMI PEMBANGUNAN</x:v>
      </x:c>
      <x:c r="G1497" s="66" t="str">
        <x:v>Sarjana</x:v>
      </x:c>
      <x:c r="H1497" s="87" t="n">
        <x:v>24</x:v>
      </x:c>
      <x:c r="I1497" s="87" t="n">
        <x:v>600</x:v>
      </x:c>
      <x:c r="J1497" s="68" t="n">
        <x:f>IFERROR(H1497/I1497,"")</x:f>
        <x:v>0.04</x:v>
      </x:c>
      <x:c r="K1497" s="69" t="n">
        <x:f>IFERROR(I1497/H1497,"")</x:f>
        <x:v>25</x:v>
      </x:c>
      <x:c r="L1497" s="66" t="str">
        <x:f>IF(K1497="","","1 : "&amp;TEXT(K1497,"0.0"))</x:f>
        <x:v>1 : 25.0</x:v>
      </x:c>
      <x:c r="M1497" s="66" t="str">
        <x:f>IF(J1497="","Baru/Tanpa Data",IF(J1497&lt;='Catatan &amp; Sumber'!$B$14,"Sangat Ketat",IF(J1497&lt;='Catatan &amp; Sumber'!$B$15,"Ketat",IF(J1497&lt;='Catatan &amp; Sumber'!$B$16,"Sedang","Relatif Longgar"))))</x:f>
        <x:v>Ketat</x:v>
      </x:c>
      <x:c r="N1497" s="66" t="str">
        <x:v>Tidak Ada</x:v>
      </x:c>
      <x:c r="O1497" s="66" t="str">
        <x:v>Jakarta Raya</x:v>
      </x:c>
      <x:c r="P1497" s="66" t="str">
        <x:v>Kota Jakarta Selatan</x:v>
      </x:c>
      <x:c r="Q1497" s="66" t="str">
        <x:v>https://snpmb.id/snbp/daya-tampung-snbp</x:v>
      </x:c>
      <x:c r="R1497" s="66" t="str">
        <x:v>https://sidatagrun-public-1076756628210.asia-southeast2.run.app/ptn_sn.php?ptn=324</x:v>
      </x:c>
    </x:row>
    <x:row r="1498">
      <x:c r="A1498" s="87" t="n">
        <x:v>615</x:v>
      </x:c>
      <x:c r="B1498" s="66" t="n">
        <x:v>324</x:v>
      </x:c>
      <x:c r="C1498" s="66" t="str">
        <x:v>UPN "VETERAN" JAKARTA</x:v>
      </x:c>
      <x:c r="D1498" s="66" t="str">
        <x:v>PTN Akademik</x:v>
      </x:c>
      <x:c r="E1498" s="66" t="str">
        <x:v>13241019</x:v>
      </x:c>
      <x:c r="F1498" s="66" t="str">
        <x:v>EKONOMI SYARIAH</x:v>
      </x:c>
      <x:c r="G1498" s="66" t="str">
        <x:v>Sarjana</x:v>
      </x:c>
      <x:c r="H1498" s="87" t="n">
        <x:v>24</x:v>
      </x:c>
      <x:c r="I1498" s="87" t="n">
        <x:v>412</x:v>
      </x:c>
      <x:c r="J1498" s="68" t="n">
        <x:f>IFERROR(H1498/I1498,"")</x:f>
        <x:v>0.05825242718446602</x:v>
      </x:c>
      <x:c r="K1498" s="69" t="n">
        <x:f>IFERROR(I1498/H1498,"")</x:f>
        <x:v>17.166666666666668</x:v>
      </x:c>
      <x:c r="L1498" s="66" t="str">
        <x:f>IF(K1498="","","1 : "&amp;TEXT(K1498,"0.0"))</x:f>
        <x:v>1 : 17.2</x:v>
      </x:c>
      <x:c r="M1498" s="66" t="str">
        <x:f>IF(J1498="","Baru/Tanpa Data",IF(J1498&lt;='Catatan &amp; Sumber'!$B$14,"Sangat Ketat",IF(J1498&lt;='Catatan &amp; Sumber'!$B$15,"Ketat",IF(J1498&lt;='Catatan &amp; Sumber'!$B$16,"Sedang","Relatif Longgar"))))</x:f>
        <x:v>Sedang</x:v>
      </x:c>
      <x:c r="N1498" s="66" t="str">
        <x:v>Tidak Ada</x:v>
      </x:c>
      <x:c r="O1498" s="66" t="str">
        <x:v>Jakarta Raya</x:v>
      </x:c>
      <x:c r="P1498" s="66" t="str">
        <x:v>Kota Jakarta Selatan</x:v>
      </x:c>
      <x:c r="Q1498" s="66" t="str">
        <x:v>https://snpmb.id/snbp/daya-tampung-snbp</x:v>
      </x:c>
      <x:c r="R1498" s="66" t="str">
        <x:v>https://sidatagrun-public-1076756628210.asia-southeast2.run.app/ptn_sn.php?ptn=324</x:v>
      </x:c>
    </x:row>
    <x:row r="1499">
      <x:c r="A1499" s="87" t="n">
        <x:v>1211</x:v>
      </x:c>
      <x:c r="B1499" s="66" t="n">
        <x:v>324</x:v>
      </x:c>
      <x:c r="C1499" s="66" t="str">
        <x:v>UPN "VETERAN" JAKARTA</x:v>
      </x:c>
      <x:c r="D1499" s="66" t="str">
        <x:v>PTN Akademik</x:v>
      </x:c>
      <x:c r="E1499" s="66" t="str">
        <x:v>13241020</x:v>
      </x:c>
      <x:c r="F1499" s="66" t="str">
        <x:v>ILMU POLITIK</x:v>
      </x:c>
      <x:c r="G1499" s="66" t="str">
        <x:v>Sarjana</x:v>
      </x:c>
      <x:c r="H1499" s="87" t="n">
        <x:v>40</x:v>
      </x:c>
      <x:c r="I1499" s="87" t="n">
        <x:v>443</x:v>
      </x:c>
      <x:c r="J1499" s="68" t="n">
        <x:f>IFERROR(H1499/I1499,"")</x:f>
        <x:v>0.09029345372460497</x:v>
      </x:c>
      <x:c r="K1499" s="69" t="n">
        <x:f>IFERROR(I1499/H1499,"")</x:f>
        <x:v>11.075</x:v>
      </x:c>
      <x:c r="L1499" s="66" t="str">
        <x:f>IF(K1499="","","1 : "&amp;TEXT(K1499,"0.0"))</x:f>
        <x:v>1 : 11.1</x:v>
      </x:c>
      <x:c r="M1499" s="66" t="str">
        <x:f>IF(J1499="","Baru/Tanpa Data",IF(J1499&lt;='Catatan &amp; Sumber'!$B$14,"Sangat Ketat",IF(J1499&lt;='Catatan &amp; Sumber'!$B$15,"Ketat",IF(J1499&lt;='Catatan &amp; Sumber'!$B$16,"Sedang","Relatif Longgar"))))</x:f>
        <x:v>Sedang</x:v>
      </x:c>
      <x:c r="N1499" s="66" t="str">
        <x:v>Tidak Ada</x:v>
      </x:c>
      <x:c r="O1499" s="66" t="str">
        <x:v>Jakarta Raya</x:v>
      </x:c>
      <x:c r="P1499" s="66" t="str">
        <x:v>Kota Jakarta Selatan</x:v>
      </x:c>
      <x:c r="Q1499" s="66" t="str">
        <x:v>https://snpmb.id/snbp/daya-tampung-snbp</x:v>
      </x:c>
      <x:c r="R1499" s="66" t="str">
        <x:v>https://sidatagrun-public-1076756628210.asia-southeast2.run.app/ptn_sn.php?ptn=324</x:v>
      </x:c>
    </x:row>
    <x:row r="1500">
      <x:c r="A1500" s="87" t="n">
        <x:v>828</x:v>
      </x:c>
      <x:c r="B1500" s="66" t="n">
        <x:v>324</x:v>
      </x:c>
      <x:c r="C1500" s="66" t="str">
        <x:v>UPN "VETERAN" JAKARTA</x:v>
      </x:c>
      <x:c r="D1500" s="66" t="str">
        <x:v>PTN Akademik</x:v>
      </x:c>
      <x:c r="E1500" s="66" t="str">
        <x:v>13241028</x:v>
      </x:c>
      <x:c r="F1500" s="66" t="str">
        <x:v>SAINS INFORMASI</x:v>
      </x:c>
      <x:c r="G1500" s="66" t="str">
        <x:v>Sarjana</x:v>
      </x:c>
      <x:c r="H1500" s="87" t="n">
        <x:v>24</x:v>
      </x:c>
      <x:c r="I1500" s="87" t="n">
        <x:v>352</x:v>
      </x:c>
      <x:c r="J1500" s="68" t="n">
        <x:f>IFERROR(H1500/I1500,"")</x:f>
        <x:v>0.06818181818181818</x:v>
      </x:c>
      <x:c r="K1500" s="69" t="n">
        <x:f>IFERROR(I1500/H1500,"")</x:f>
        <x:v>14.666666666666666</x:v>
      </x:c>
      <x:c r="L1500" s="66" t="str">
        <x:f>IF(K1500="","","1 : "&amp;TEXT(K1500,"0.0"))</x:f>
        <x:v>1 : 14.7</x:v>
      </x:c>
      <x:c r="M1500" s="66" t="str">
        <x:f>IF(J1500="","Baru/Tanpa Data",IF(J1500&lt;='Catatan &amp; Sumber'!$B$14,"Sangat Ketat",IF(J1500&lt;='Catatan &amp; Sumber'!$B$15,"Ketat",IF(J1500&lt;='Catatan &amp; Sumber'!$B$16,"Sedang","Relatif Longgar"))))</x:f>
        <x:v>Sedang</x:v>
      </x:c>
      <x:c r="N1500" s="66" t="str">
        <x:v>Tidak Ada</x:v>
      </x:c>
      <x:c r="O1500" s="66" t="str">
        <x:v>Jakarta Raya</x:v>
      </x:c>
      <x:c r="P1500" s="66" t="str">
        <x:v>Kota Jakarta Selatan</x:v>
      </x:c>
      <x:c r="Q1500" s="66" t="str">
        <x:v>https://snpmb.id/snbp/daya-tampung-snbp</x:v>
      </x:c>
      <x:c r="R1500" s="66" t="str">
        <x:v>https://sidatagrun-public-1076756628210.asia-southeast2.run.app/ptn_sn.php?ptn=324</x:v>
      </x:c>
    </x:row>
    <x:row r="1501">
      <x:c r="A1501" s="87" t="n">
        <x:v>113</x:v>
      </x:c>
      <x:c r="B1501" s="66" t="n">
        <x:v>324</x:v>
      </x:c>
      <x:c r="C1501" s="66" t="str">
        <x:v>UPN "VETERAN" JAKARTA</x:v>
      </x:c>
      <x:c r="D1501" s="66" t="str">
        <x:v>PTN Akademik</x:v>
      </x:c>
      <x:c r="E1501" s="66" t="str">
        <x:v>13241029</x:v>
      </x:c>
      <x:c r="F1501" s="66" t="str">
        <x:v>KAJIAN FILM, TELEVISI, DAN MEDIA</x:v>
      </x:c>
      <x:c r="G1501" s="66" t="str">
        <x:v>Sarjana</x:v>
      </x:c>
      <x:c r="H1501" s="87" t="n">
        <x:v>8</x:v>
      </x:c>
      <x:c r="I1501" s="87" t="n">
        <x:v>265</x:v>
      </x:c>
      <x:c r="J1501" s="68" t="n">
        <x:f>IFERROR(H1501/I1501,"")</x:f>
        <x:v>0.03018867924528302</x:v>
      </x:c>
      <x:c r="K1501" s="69" t="n">
        <x:f>IFERROR(I1501/H1501,"")</x:f>
        <x:v>33.125</x:v>
      </x:c>
      <x:c r="L1501" s="66" t="str">
        <x:f>IF(K1501="","","1 : "&amp;TEXT(K1501,"0.0"))</x:f>
        <x:v>1 : 33.1</x:v>
      </x:c>
      <x:c r="M1501" s="66" t="str">
        <x:f>IF(J1501="","Baru/Tanpa Data",IF(J1501&lt;='Catatan &amp; Sumber'!$B$14,"Sangat Ketat",IF(J1501&lt;='Catatan &amp; Sumber'!$B$15,"Ketat",IF(J1501&lt;='Catatan &amp; Sumber'!$B$16,"Sedang","Relatif Longgar"))))</x:f>
        <x:v>Ketat</x:v>
      </x:c>
      <x:c r="N1501" s="66" t="str">
        <x:v>Tidak Ada</x:v>
      </x:c>
      <x:c r="O1501" s="66" t="str">
        <x:v>Jakarta Raya</x:v>
      </x:c>
      <x:c r="P1501" s="66" t="str">
        <x:v>Kota Jakarta Selatan</x:v>
      </x:c>
      <x:c r="Q1501" s="66" t="str">
        <x:v>https://snpmb.id/snbp/daya-tampung-snbp</x:v>
      </x:c>
      <x:c r="R1501" s="66" t="str">
        <x:v>https://sidatagrun-public-1076756628210.asia-southeast2.run.app/ptn_sn.php?ptn=324</x:v>
      </x:c>
    </x:row>
    <x:row r="1502">
      <x:c r="A1502" s="87" t="n">
        <x:v>241</x:v>
      </x:c>
      <x:c r="B1502" s="66" t="n">
        <x:v>324</x:v>
      </x:c>
      <x:c r="C1502" s="66" t="str">
        <x:v>UPN "VETERAN" JAKARTA</x:v>
      </x:c>
      <x:c r="D1502" s="66" t="str">
        <x:v>PTN Akademik</x:v>
      </x:c>
      <x:c r="E1502" s="66" t="str">
        <x:v>13241030</x:v>
      </x:c>
      <x:c r="F1502" s="66" t="str">
        <x:v>SAINS DATA</x:v>
      </x:c>
      <x:c r="G1502" s="66" t="str">
        <x:v>Sarjana</x:v>
      </x:c>
      <x:c r="H1502" s="87" t="n">
        <x:v>7</x:v>
      </x:c>
      <x:c r="I1502" s="87" t="n">
        <x:v>179</x:v>
      </x:c>
      <x:c r="J1502" s="68" t="n">
        <x:f>IFERROR(H1502/I1502,"")</x:f>
        <x:v>0.03910614525139665</x:v>
      </x:c>
      <x:c r="K1502" s="69" t="n">
        <x:f>IFERROR(I1502/H1502,"")</x:f>
        <x:v>25.571428571428573</x:v>
      </x:c>
      <x:c r="L1502" s="66" t="str">
        <x:f>IF(K1502="","","1 : "&amp;TEXT(K1502,"0.0"))</x:f>
        <x:v>1 : 25.6</x:v>
      </x:c>
      <x:c r="M1502" s="66" t="str">
        <x:f>IF(J1502="","Baru/Tanpa Data",IF(J1502&lt;='Catatan &amp; Sumber'!$B$14,"Sangat Ketat",IF(J1502&lt;='Catatan &amp; Sumber'!$B$15,"Ketat",IF(J1502&lt;='Catatan &amp; Sumber'!$B$16,"Sedang","Relatif Longgar"))))</x:f>
        <x:v>Ketat</x:v>
      </x:c>
      <x:c r="N1502" s="66" t="str">
        <x:v>Tidak Ada</x:v>
      </x:c>
      <x:c r="O1502" s="66" t="str">
        <x:v>Jakarta Raya</x:v>
      </x:c>
      <x:c r="P1502" s="66" t="str">
        <x:v>Kota Jakarta Selatan</x:v>
      </x:c>
      <x:c r="Q1502" s="66" t="str">
        <x:v>https://snpmb.id/snbp/daya-tampung-snbp</x:v>
      </x:c>
      <x:c r="R1502" s="66" t="str">
        <x:v>https://sidatagrun-public-1076756628210.asia-southeast2.run.app/ptn_sn.php?ptn=324</x:v>
      </x:c>
    </x:row>
    <x:row r="1503">
      <x:c r="A1503" s="87"/>
      <x:c r="B1503" s="66" t="n">
        <x:v>324</x:v>
      </x:c>
      <x:c r="C1503" s="66" t="str">
        <x:v>UPN "VETERAN" JAKARTA</x:v>
      </x:c>
      <x:c r="D1503" s="66" t="str">
        <x:v>PTN Akademik</x:v>
      </x:c>
      <x:c r="E1503" s="66" t="str">
        <x:v>13241031</x:v>
      </x:c>
      <x:c r="F1503" s="66" t="str">
        <x:v>BIOLOGI</x:v>
      </x:c>
      <x:c r="G1503" s="66" t="str">
        <x:v>Sarjana</x:v>
      </x:c>
      <x:c r="H1503" s="87" t="n">
        <x:v>6</x:v>
      </x:c>
      <x:c r="I1503" s="87"/>
      <x:c r="J1503" s="68" t="str">
        <x:f>IFERROR(H1503/I1503,"")</x:f>
      </x:c>
      <x:c r="K1503" s="69" t="n">
        <x:f>IFERROR(I1503/H1503,"")</x:f>
        <x:v>0</x:v>
      </x:c>
      <x:c r="L1503" s="66" t="str">
        <x:f>IF(K1503="","","1 : "&amp;TEXT(K1503,"0.0"))</x:f>
      </x:c>
      <x:c r="M1503" s="66" t="str">
        <x:f>IF(J1503="","Baru/Tanpa Data",IF(J1503&lt;='Catatan &amp; Sumber'!$B$14,"Sangat Ketat",IF(J1503&lt;='Catatan &amp; Sumber'!$B$15,"Ketat",IF(J1503&lt;='Catatan &amp; Sumber'!$B$16,"Sedang","Relatif Longgar"))))</x:f>
        <x:v>Baru/Tanpa Data</x:v>
      </x:c>
      <x:c r="N1503" s="66" t="str">
        <x:v>Tidak Ada</x:v>
      </x:c>
      <x:c r="O1503" s="66" t="str">
        <x:v>Jakarta Raya</x:v>
      </x:c>
      <x:c r="P1503" s="66" t="str">
        <x:v>Kota Jakarta Selatan</x:v>
      </x:c>
      <x:c r="Q1503" s="66" t="str">
        <x:v>https://snpmb.id/snbp/daya-tampung-snbp</x:v>
      </x:c>
      <x:c r="R1503" s="66" t="str">
        <x:v>https://sidatagrun-public-1076756628210.asia-southeast2.run.app/ptn_sn.php?ptn=324</x:v>
      </x:c>
    </x:row>
    <x:row r="1504">
      <x:c r="A1504" s="87"/>
      <x:c r="B1504" s="66" t="n">
        <x:v>324</x:v>
      </x:c>
      <x:c r="C1504" s="66" t="str">
        <x:v>UPN "VETERAN" JAKARTA</x:v>
      </x:c>
      <x:c r="D1504" s="66" t="str">
        <x:v>PTN Akademik</x:v>
      </x:c>
      <x:c r="E1504" s="66" t="str">
        <x:v>13241032</x:v>
      </x:c>
      <x:c r="F1504" s="66" t="str">
        <x:v>HUKUM BISNIS</x:v>
      </x:c>
      <x:c r="G1504" s="66" t="str">
        <x:v>Sarjana</x:v>
      </x:c>
      <x:c r="H1504" s="87" t="n">
        <x:v>16</x:v>
      </x:c>
      <x:c r="I1504" s="87"/>
      <x:c r="J1504" s="68" t="str">
        <x:f>IFERROR(H1504/I1504,"")</x:f>
      </x:c>
      <x:c r="K1504" s="69" t="n">
        <x:f>IFERROR(I1504/H1504,"")</x:f>
        <x:v>0</x:v>
      </x:c>
      <x:c r="L1504" s="66" t="str">
        <x:f>IF(K1504="","","1 : "&amp;TEXT(K1504,"0.0"))</x:f>
      </x:c>
      <x:c r="M1504" s="66" t="str">
        <x:f>IF(J1504="","Baru/Tanpa Data",IF(J1504&lt;='Catatan &amp; Sumber'!$B$14,"Sangat Ketat",IF(J1504&lt;='Catatan &amp; Sumber'!$B$15,"Ketat",IF(J1504&lt;='Catatan &amp; Sumber'!$B$16,"Sedang","Relatif Longgar"))))</x:f>
        <x:v>Baru/Tanpa Data</x:v>
      </x:c>
      <x:c r="N1504" s="66" t="str">
        <x:v>Tidak Ada</x:v>
      </x:c>
      <x:c r="O1504" s="66" t="str">
        <x:v>Jakarta Raya</x:v>
      </x:c>
      <x:c r="P1504" s="66" t="str">
        <x:v>Kota Jakarta Selatan</x:v>
      </x:c>
      <x:c r="Q1504" s="66" t="str">
        <x:v>https://snpmb.id/snbp/daya-tampung-snbp</x:v>
      </x:c>
      <x:c r="R1504" s="66" t="str">
        <x:v>https://sidatagrun-public-1076756628210.asia-southeast2.run.app/ptn_sn.php?ptn=324</x:v>
      </x:c>
    </x:row>
    <x:row r="1505">
      <x:c r="A1505" s="87" t="n">
        <x:v>299</x:v>
      </x:c>
      <x:c r="B1505" s="66" t="n">
        <x:v>324</x:v>
      </x:c>
      <x:c r="C1505" s="66" t="str">
        <x:v>UPN "VETERAN" JAKARTA</x:v>
      </x:c>
      <x:c r="D1505" s="66" t="str">
        <x:v>PTN Akademik</x:v>
      </x:c>
      <x:c r="E1505" s="66" t="str">
        <x:v>13243021</x:v>
      </x:c>
      <x:c r="F1505" s="66" t="str">
        <x:v>KEPERAWATAN</x:v>
      </x:c>
      <x:c r="G1505" s="66" t="str">
        <x:v>Diploma Tiga</x:v>
      </x:c>
      <x:c r="H1505" s="87" t="n">
        <x:v>14</x:v>
      </x:c>
      <x:c r="I1505" s="87" t="n">
        <x:v>329</x:v>
      </x:c>
      <x:c r="J1505" s="68" t="n">
        <x:f>IFERROR(H1505/I1505,"")</x:f>
        <x:v>0.0425531914893617</x:v>
      </x:c>
      <x:c r="K1505" s="69" t="n">
        <x:f>IFERROR(I1505/H1505,"")</x:f>
        <x:v>23.5</x:v>
      </x:c>
      <x:c r="L1505" s="66" t="str">
        <x:f>IF(K1505="","","1 : "&amp;TEXT(K1505,"0.0"))</x:f>
        <x:v>1 : 23.5</x:v>
      </x:c>
      <x:c r="M1505" s="66" t="str">
        <x:f>IF(J1505="","Baru/Tanpa Data",IF(J1505&lt;='Catatan &amp; Sumber'!$B$14,"Sangat Ketat",IF(J1505&lt;='Catatan &amp; Sumber'!$B$15,"Ketat",IF(J1505&lt;='Catatan &amp; Sumber'!$B$16,"Sedang","Relatif Longgar"))))</x:f>
        <x:v>Ketat</x:v>
      </x:c>
      <x:c r="N1505" s="66" t="str">
        <x:v>Tidak Ada</x:v>
      </x:c>
      <x:c r="O1505" s="66" t="str">
        <x:v>Jakarta Raya</x:v>
      </x:c>
      <x:c r="P1505" s="66" t="str">
        <x:v>Kota Jakarta Selatan</x:v>
      </x:c>
      <x:c r="Q1505" s="66" t="str">
        <x:v>https://snpmb.id/snbp/daya-tampung-snbp</x:v>
      </x:c>
      <x:c r="R1505" s="66" t="str">
        <x:v>https://sidatagrun-public-1076756628210.asia-southeast2.run.app/ptn_sn.php?ptn=324</x:v>
      </x:c>
    </x:row>
    <x:row r="1506">
      <x:c r="A1506" s="87" t="n">
        <x:v>811</x:v>
      </x:c>
      <x:c r="B1506" s="66" t="n">
        <x:v>324</x:v>
      </x:c>
      <x:c r="C1506" s="66" t="str">
        <x:v>UPN "VETERAN" JAKARTA</x:v>
      </x:c>
      <x:c r="D1506" s="66" t="str">
        <x:v>PTN Akademik</x:v>
      </x:c>
      <x:c r="E1506" s="66" t="str">
        <x:v>13243022</x:v>
      </x:c>
      <x:c r="F1506" s="66" t="str">
        <x:v>FISIOTERAPI</x:v>
      </x:c>
      <x:c r="G1506" s="66" t="str">
        <x:v>Diploma Tiga</x:v>
      </x:c>
      <x:c r="H1506" s="87" t="n">
        <x:v>14</x:v>
      </x:c>
      <x:c r="I1506" s="87" t="n">
        <x:v>208</x:v>
      </x:c>
      <x:c r="J1506" s="68" t="n">
        <x:f>IFERROR(H1506/I1506,"")</x:f>
        <x:v>0.0673076923076923</x:v>
      </x:c>
      <x:c r="K1506" s="69" t="n">
        <x:f>IFERROR(I1506/H1506,"")</x:f>
        <x:v>14.857142857142858</x:v>
      </x:c>
      <x:c r="L1506" s="66" t="str">
        <x:f>IF(K1506="","","1 : "&amp;TEXT(K1506,"0.0"))</x:f>
        <x:v>1 : 14.9</x:v>
      </x:c>
      <x:c r="M1506" s="66" t="str">
        <x:f>IF(J1506="","Baru/Tanpa Data",IF(J1506&lt;='Catatan &amp; Sumber'!$B$14,"Sangat Ketat",IF(J1506&lt;='Catatan &amp; Sumber'!$B$15,"Ketat",IF(J1506&lt;='Catatan &amp; Sumber'!$B$16,"Sedang","Relatif Longgar"))))</x:f>
        <x:v>Sedang</x:v>
      </x:c>
      <x:c r="N1506" s="66" t="str">
        <x:v>Tidak Ada</x:v>
      </x:c>
      <x:c r="O1506" s="66" t="str">
        <x:v>Jakarta Raya</x:v>
      </x:c>
      <x:c r="P1506" s="66" t="str">
        <x:v>Kota Jakarta Selatan</x:v>
      </x:c>
      <x:c r="Q1506" s="66" t="str">
        <x:v>https://snpmb.id/snbp/daya-tampung-snbp</x:v>
      </x:c>
      <x:c r="R1506" s="66" t="str">
        <x:v>https://sidatagrun-public-1076756628210.asia-southeast2.run.app/ptn_sn.php?ptn=324</x:v>
      </x:c>
    </x:row>
    <x:row r="1507">
      <x:c r="A1507" s="87" t="n">
        <x:v>1726</x:v>
      </x:c>
      <x:c r="B1507" s="66" t="n">
        <x:v>324</x:v>
      </x:c>
      <x:c r="C1507" s="66" t="str">
        <x:v>UPN "VETERAN" JAKARTA</x:v>
      </x:c>
      <x:c r="D1507" s="66" t="str">
        <x:v>PTN Akademik</x:v>
      </x:c>
      <x:c r="E1507" s="66" t="str">
        <x:v>13243024</x:v>
      </x:c>
      <x:c r="F1507" s="66" t="str">
        <x:v>SISTEM INFORMASI</x:v>
      </x:c>
      <x:c r="G1507" s="66" t="str">
        <x:v>Diploma Tiga</x:v>
      </x:c>
      <x:c r="H1507" s="87" t="n">
        <x:v>28</x:v>
      </x:c>
      <x:c r="I1507" s="87" t="n">
        <x:v>222</x:v>
      </x:c>
      <x:c r="J1507" s="68" t="n">
        <x:f>IFERROR(H1507/I1507,"")</x:f>
        <x:v>0.12612612612612611</x:v>
      </x:c>
      <x:c r="K1507" s="69" t="n">
        <x:f>IFERROR(I1507/H1507,"")</x:f>
        <x:v>7.928571428571429</x:v>
      </x:c>
      <x:c r="L1507" s="66" t="str">
        <x:f>IF(K1507="","","1 : "&amp;TEXT(K1507,"0.0"))</x:f>
        <x:v>1 : 7.9</x:v>
      </x:c>
      <x:c r="M1507" s="66" t="str">
        <x:f>IF(J1507="","Baru/Tanpa Data",IF(J1507&lt;='Catatan &amp; Sumber'!$B$14,"Sangat Ketat",IF(J1507&lt;='Catatan &amp; Sumber'!$B$15,"Ketat",IF(J1507&lt;='Catatan &amp; Sumber'!$B$16,"Sedang","Relatif Longgar"))))</x:f>
        <x:v>Relatif Longgar</x:v>
      </x:c>
      <x:c r="N1507" s="66" t="str">
        <x:v>Tidak Ada</x:v>
      </x:c>
      <x:c r="O1507" s="66" t="str">
        <x:v>Jakarta Raya</x:v>
      </x:c>
      <x:c r="P1507" s="66" t="str">
        <x:v>Kota Jakarta Selatan</x:v>
      </x:c>
      <x:c r="Q1507" s="66" t="str">
        <x:v>https://snpmb.id/snbp/daya-tampung-snbp</x:v>
      </x:c>
      <x:c r="R1507" s="66" t="str">
        <x:v>https://sidatagrun-public-1076756628210.asia-southeast2.run.app/ptn_sn.php?ptn=324</x:v>
      </x:c>
    </x:row>
    <x:row r="1508">
      <x:c r="A1508" s="87" t="n">
        <x:v>905</x:v>
      </x:c>
      <x:c r="B1508" s="66" t="n">
        <x:v>324</x:v>
      </x:c>
      <x:c r="C1508" s="66" t="str">
        <x:v>UPN "VETERAN" JAKARTA</x:v>
      </x:c>
      <x:c r="D1508" s="66" t="str">
        <x:v>PTN Akademik</x:v>
      </x:c>
      <x:c r="E1508" s="66" t="str">
        <x:v>13243025</x:v>
      </x:c>
      <x:c r="F1508" s="66" t="str">
        <x:v>PERBANKAN DAN KEUANGAN</x:v>
      </x:c>
      <x:c r="G1508" s="66" t="str">
        <x:v>Diploma Tiga</x:v>
      </x:c>
      <x:c r="H1508" s="87" t="n">
        <x:v>24</x:v>
      </x:c>
      <x:c r="I1508" s="87" t="n">
        <x:v>330</x:v>
      </x:c>
      <x:c r="J1508" s="68" t="n">
        <x:f>IFERROR(H1508/I1508,"")</x:f>
        <x:v>0.07272727272727272</x:v>
      </x:c>
      <x:c r="K1508" s="69" t="n">
        <x:f>IFERROR(I1508/H1508,"")</x:f>
        <x:v>13.75</x:v>
      </x:c>
      <x:c r="L1508" s="66" t="str">
        <x:f>IF(K1508="","","1 : "&amp;TEXT(K1508,"0.0"))</x:f>
        <x:v>1 : 13.8</x:v>
      </x:c>
      <x:c r="M1508" s="66" t="str">
        <x:f>IF(J1508="","Baru/Tanpa Data",IF(J1508&lt;='Catatan &amp; Sumber'!$B$14,"Sangat Ketat",IF(J1508&lt;='Catatan &amp; Sumber'!$B$15,"Ketat",IF(J1508&lt;='Catatan &amp; Sumber'!$B$16,"Sedang","Relatif Longgar"))))</x:f>
        <x:v>Sedang</x:v>
      </x:c>
      <x:c r="N1508" s="66" t="str">
        <x:v>Tidak Ada</x:v>
      </x:c>
      <x:c r="O1508" s="66" t="str">
        <x:v>Jakarta Raya</x:v>
      </x:c>
      <x:c r="P1508" s="66" t="str">
        <x:v>Kota Jakarta Selatan</x:v>
      </x:c>
      <x:c r="Q1508" s="66" t="str">
        <x:v>https://snpmb.id/snbp/daya-tampung-snbp</x:v>
      </x:c>
      <x:c r="R1508" s="66" t="str">
        <x:v>https://sidatagrun-public-1076756628210.asia-southeast2.run.app/ptn_sn.php?ptn=324</x:v>
      </x:c>
    </x:row>
    <x:row r="1509">
      <x:c r="A1509" s="87" t="n">
        <x:v>933</x:v>
      </x:c>
      <x:c r="B1509" s="66" t="n">
        <x:v>324</x:v>
      </x:c>
      <x:c r="C1509" s="66" t="str">
        <x:v>UPN "VETERAN" JAKARTA</x:v>
      </x:c>
      <x:c r="D1509" s="66" t="str">
        <x:v>PTN Akademik</x:v>
      </x:c>
      <x:c r="E1509" s="66" t="str">
        <x:v>13243026</x:v>
      </x:c>
      <x:c r="F1509" s="66" t="str">
        <x:v>AKUNTANSI</x:v>
      </x:c>
      <x:c r="G1509" s="66" t="str">
        <x:v>Diploma Tiga</x:v>
      </x:c>
      <x:c r="H1509" s="87" t="n">
        <x:v>24</x:v>
      </x:c>
      <x:c r="I1509" s="87" t="n">
        <x:v>322</x:v>
      </x:c>
      <x:c r="J1509" s="68" t="n">
        <x:f>IFERROR(H1509/I1509,"")</x:f>
        <x:v>0.07453416149068323</x:v>
      </x:c>
      <x:c r="K1509" s="69" t="n">
        <x:f>IFERROR(I1509/H1509,"")</x:f>
        <x:v>13.416666666666666</x:v>
      </x:c>
      <x:c r="L1509" s="66" t="str">
        <x:f>IF(K1509="","","1 : "&amp;TEXT(K1509,"0.0"))</x:f>
        <x:v>1 : 13.4</x:v>
      </x:c>
      <x:c r="M1509" s="66" t="str">
        <x:f>IF(J1509="","Baru/Tanpa Data",IF(J1509&lt;='Catatan &amp; Sumber'!$B$14,"Sangat Ketat",IF(J1509&lt;='Catatan &amp; Sumber'!$B$15,"Ketat",IF(J1509&lt;='Catatan &amp; Sumber'!$B$16,"Sedang","Relatif Longgar"))))</x:f>
        <x:v>Sedang</x:v>
      </x:c>
      <x:c r="N1509" s="66" t="str">
        <x:v>Tidak Ada</x:v>
      </x:c>
      <x:c r="O1509" s="66" t="str">
        <x:v>Jakarta Raya</x:v>
      </x:c>
      <x:c r="P1509" s="66" t="str">
        <x:v>Kota Jakarta Selatan</x:v>
      </x:c>
      <x:c r="Q1509" s="66" t="str">
        <x:v>https://snpmb.id/snbp/daya-tampung-snbp</x:v>
      </x:c>
      <x:c r="R1509" s="66" t="str">
        <x:v>https://sidatagrun-public-1076756628210.asia-southeast2.run.app/ptn_sn.php?ptn=324</x:v>
      </x:c>
    </x:row>
    <x:row r="1510">
      <x:c r="A1510" s="87"/>
      <x:c r="B1510" s="66" t="n">
        <x:v>329</x:v>
      </x:c>
      <x:c r="C1510" s="66" t="str">
        <x:v>UNIVERSITAS TERBUKA</x:v>
      </x:c>
      <x:c r="D1510" s="66" t="str">
        <x:v>PTN Akademik</x:v>
      </x:c>
      <x:c r="E1510" s="66" t="str">
        <x:v>13291028</x:v>
      </x:c>
      <x:c r="F1510" s="66" t="str">
        <x:v>SISTEM INFORMASI (UT BOGOR)</x:v>
      </x:c>
      <x:c r="G1510" s="66" t="str">
        <x:v>Sarjana</x:v>
      </x:c>
      <x:c r="H1510" s="87" t="n">
        <x:v>37</x:v>
      </x:c>
      <x:c r="I1510" s="87"/>
      <x:c r="J1510" s="68" t="str">
        <x:f>IFERROR(H1510/I1510,"")</x:f>
      </x:c>
      <x:c r="K1510" s="69" t="n">
        <x:f>IFERROR(I1510/H1510,"")</x:f>
        <x:v>0</x:v>
      </x:c>
      <x:c r="L1510" s="66" t="str">
        <x:f>IF(K1510="","","1 : "&amp;TEXT(K1510,"0.0"))</x:f>
      </x:c>
      <x:c r="M1510" s="66" t="str">
        <x:f>IF(J1510="","Baru/Tanpa Data",IF(J1510&lt;='Catatan &amp; Sumber'!$B$14,"Sangat Ketat",IF(J1510&lt;='Catatan &amp; Sumber'!$B$15,"Ketat",IF(J1510&lt;='Catatan &amp; Sumber'!$B$16,"Sedang","Relatif Longgar"))))</x:f>
        <x:v>Baru/Tanpa Data</x:v>
      </x:c>
      <x:c r="N1510" s="66" t="str">
        <x:v>Tidak Ada</x:v>
      </x:c>
      <x:c r="O1510" s="66" t="str">
        <x:v>Banten</x:v>
      </x:c>
      <x:c r="P1510" s="66" t="str">
        <x:v>Kota Tangerang Selatan</x:v>
      </x:c>
      <x:c r="Q1510" s="66" t="str">
        <x:v>https://snpmb.id/snbp/daya-tampung-snbp</x:v>
      </x:c>
      <x:c r="R1510" s="66" t="str">
        <x:v>https://sidatagrun-public-1076756628210.asia-southeast2.run.app/ptn_sn.php?ptn=329</x:v>
      </x:c>
    </x:row>
    <x:row r="1511">
      <x:c r="A1511" s="87"/>
      <x:c r="B1511" s="66" t="n">
        <x:v>329</x:v>
      </x:c>
      <x:c r="C1511" s="66" t="str">
        <x:v>UNIVERSITAS TERBUKA</x:v>
      </x:c>
      <x:c r="D1511" s="66" t="str">
        <x:v>PTN Akademik</x:v>
      </x:c>
      <x:c r="E1511" s="66" t="str">
        <x:v>13291029</x:v>
      </x:c>
      <x:c r="F1511" s="66" t="str">
        <x:v>SISTEM INFORMASI (UT YOGYAKARTA)</x:v>
      </x:c>
      <x:c r="G1511" s="66" t="str">
        <x:v>Sarjana</x:v>
      </x:c>
      <x:c r="H1511" s="87" t="n">
        <x:v>37</x:v>
      </x:c>
      <x:c r="I1511" s="87"/>
      <x:c r="J1511" s="68" t="str">
        <x:f>IFERROR(H1511/I1511,"")</x:f>
      </x:c>
      <x:c r="K1511" s="69" t="n">
        <x:f>IFERROR(I1511/H1511,"")</x:f>
        <x:v>0</x:v>
      </x:c>
      <x:c r="L1511" s="66" t="str">
        <x:f>IF(K1511="","","1 : "&amp;TEXT(K1511,"0.0"))</x:f>
      </x:c>
      <x:c r="M1511" s="66" t="str">
        <x:f>IF(J1511="","Baru/Tanpa Data",IF(J1511&lt;='Catatan &amp; Sumber'!$B$14,"Sangat Ketat",IF(J1511&lt;='Catatan &amp; Sumber'!$B$15,"Ketat",IF(J1511&lt;='Catatan &amp; Sumber'!$B$16,"Sedang","Relatif Longgar"))))</x:f>
        <x:v>Baru/Tanpa Data</x:v>
      </x:c>
      <x:c r="N1511" s="66" t="str">
        <x:v>Tidak Ada</x:v>
      </x:c>
      <x:c r="O1511" s="66" t="str">
        <x:v>Banten</x:v>
      </x:c>
      <x:c r="P1511" s="66" t="str">
        <x:v>Kota Tangerang Selatan</x:v>
      </x:c>
      <x:c r="Q1511" s="66" t="str">
        <x:v>https://snpmb.id/snbp/daya-tampung-snbp</x:v>
      </x:c>
      <x:c r="R1511" s="66" t="str">
        <x:v>https://sidatagrun-public-1076756628210.asia-southeast2.run.app/ptn_sn.php?ptn=329</x:v>
      </x:c>
    </x:row>
    <x:row r="1512">
      <x:c r="A1512" s="87"/>
      <x:c r="B1512" s="66" t="n">
        <x:v>329</x:v>
      </x:c>
      <x:c r="C1512" s="66" t="str">
        <x:v>UNIVERSITAS TERBUKA</x:v>
      </x:c>
      <x:c r="D1512" s="66" t="str">
        <x:v>PTN Akademik</x:v>
      </x:c>
      <x:c r="E1512" s="66" t="str">
        <x:v>13291030</x:v>
      </x:c>
      <x:c r="F1512" s="66" t="str">
        <x:v>ILMU KOMUNIKASI (UT BANDUNG)</x:v>
      </x:c>
      <x:c r="G1512" s="66" t="str">
        <x:v>Sarjana</x:v>
      </x:c>
      <x:c r="H1512" s="87" t="n">
        <x:v>37</x:v>
      </x:c>
      <x:c r="I1512" s="87"/>
      <x:c r="J1512" s="68" t="str">
        <x:f>IFERROR(H1512/I1512,"")</x:f>
      </x:c>
      <x:c r="K1512" s="69" t="n">
        <x:f>IFERROR(I1512/H1512,"")</x:f>
        <x:v>0</x:v>
      </x:c>
      <x:c r="L1512" s="66" t="str">
        <x:f>IF(K1512="","","1 : "&amp;TEXT(K1512,"0.0"))</x:f>
      </x:c>
      <x:c r="M1512" s="66" t="str">
        <x:f>IF(J1512="","Baru/Tanpa Data",IF(J1512&lt;='Catatan &amp; Sumber'!$B$14,"Sangat Ketat",IF(J1512&lt;='Catatan &amp; Sumber'!$B$15,"Ketat",IF(J1512&lt;='Catatan &amp; Sumber'!$B$16,"Sedang","Relatif Longgar"))))</x:f>
        <x:v>Baru/Tanpa Data</x:v>
      </x:c>
      <x:c r="N1512" s="66" t="str">
        <x:v>Tidak Ada</x:v>
      </x:c>
      <x:c r="O1512" s="66" t="str">
        <x:v>Banten</x:v>
      </x:c>
      <x:c r="P1512" s="66" t="str">
        <x:v>Kota Tangerang Selatan</x:v>
      </x:c>
      <x:c r="Q1512" s="66" t="str">
        <x:v>https://snpmb.id/snbp/daya-tampung-snbp</x:v>
      </x:c>
      <x:c r="R1512" s="66" t="str">
        <x:v>https://sidatagrun-public-1076756628210.asia-southeast2.run.app/ptn_sn.php?ptn=329</x:v>
      </x:c>
    </x:row>
    <x:row r="1513">
      <x:c r="A1513" s="87"/>
      <x:c r="B1513" s="66" t="n">
        <x:v>329</x:v>
      </x:c>
      <x:c r="C1513" s="66" t="str">
        <x:v>UNIVERSITAS TERBUKA</x:v>
      </x:c>
      <x:c r="D1513" s="66" t="str">
        <x:v>PTN Akademik</x:v>
      </x:c>
      <x:c r="E1513" s="66" t="str">
        <x:v>13291031</x:v>
      </x:c>
      <x:c r="F1513" s="66" t="str">
        <x:v>ILMU KOMUNIKASI (UT PALEMBANG)</x:v>
      </x:c>
      <x:c r="G1513" s="66" t="str">
        <x:v>Sarjana</x:v>
      </x:c>
      <x:c r="H1513" s="87" t="n">
        <x:v>37</x:v>
      </x:c>
      <x:c r="I1513" s="87"/>
      <x:c r="J1513" s="68" t="str">
        <x:f>IFERROR(H1513/I1513,"")</x:f>
      </x:c>
      <x:c r="K1513" s="69" t="n">
        <x:f>IFERROR(I1513/H1513,"")</x:f>
        <x:v>0</x:v>
      </x:c>
      <x:c r="L1513" s="66" t="str">
        <x:f>IF(K1513="","","1 : "&amp;TEXT(K1513,"0.0"))</x:f>
      </x:c>
      <x:c r="M1513" s="66" t="str">
        <x:f>IF(J1513="","Baru/Tanpa Data",IF(J1513&lt;='Catatan &amp; Sumber'!$B$14,"Sangat Ketat",IF(J1513&lt;='Catatan &amp; Sumber'!$B$15,"Ketat",IF(J1513&lt;='Catatan &amp; Sumber'!$B$16,"Sedang","Relatif Longgar"))))</x:f>
        <x:v>Baru/Tanpa Data</x:v>
      </x:c>
      <x:c r="N1513" s="66" t="str">
        <x:v>Tidak Ada</x:v>
      </x:c>
      <x:c r="O1513" s="66" t="str">
        <x:v>Banten</x:v>
      </x:c>
      <x:c r="P1513" s="66" t="str">
        <x:v>Kota Tangerang Selatan</x:v>
      </x:c>
      <x:c r="Q1513" s="66" t="str">
        <x:v>https://snpmb.id/snbp/daya-tampung-snbp</x:v>
      </x:c>
      <x:c r="R1513" s="66" t="str">
        <x:v>https://sidatagrun-public-1076756628210.asia-southeast2.run.app/ptn_sn.php?ptn=329</x:v>
      </x:c>
    </x:row>
    <x:row r="1514">
      <x:c r="A1514" s="87"/>
      <x:c r="B1514" s="66" t="n">
        <x:v>329</x:v>
      </x:c>
      <x:c r="C1514" s="66" t="str">
        <x:v>UNIVERSITAS TERBUKA</x:v>
      </x:c>
      <x:c r="D1514" s="66" t="str">
        <x:v>PTN Akademik</x:v>
      </x:c>
      <x:c r="E1514" s="66" t="str">
        <x:v>13291032</x:v>
      </x:c>
      <x:c r="F1514" s="66" t="str">
        <x:v>ILMU HUKUM (UT PALU)</x:v>
      </x:c>
      <x:c r="G1514" s="66" t="str">
        <x:v>Sarjana</x:v>
      </x:c>
      <x:c r="H1514" s="87" t="n">
        <x:v>37</x:v>
      </x:c>
      <x:c r="I1514" s="87"/>
      <x:c r="J1514" s="68" t="str">
        <x:f>IFERROR(H1514/I1514,"")</x:f>
      </x:c>
      <x:c r="K1514" s="69" t="n">
        <x:f>IFERROR(I1514/H1514,"")</x:f>
        <x:v>0</x:v>
      </x:c>
      <x:c r="L1514" s="66" t="str">
        <x:f>IF(K1514="","","1 : "&amp;TEXT(K1514,"0.0"))</x:f>
      </x:c>
      <x:c r="M1514" s="66" t="str">
        <x:f>IF(J1514="","Baru/Tanpa Data",IF(J1514&lt;='Catatan &amp; Sumber'!$B$14,"Sangat Ketat",IF(J1514&lt;='Catatan &amp; Sumber'!$B$15,"Ketat",IF(J1514&lt;='Catatan &amp; Sumber'!$B$16,"Sedang","Relatif Longgar"))))</x:f>
        <x:v>Baru/Tanpa Data</x:v>
      </x:c>
      <x:c r="N1514" s="66" t="str">
        <x:v>Tidak Ada</x:v>
      </x:c>
      <x:c r="O1514" s="66" t="str">
        <x:v>Banten</x:v>
      </x:c>
      <x:c r="P1514" s="66" t="str">
        <x:v>Kota Tangerang Selatan</x:v>
      </x:c>
      <x:c r="Q1514" s="66" t="str">
        <x:v>https://snpmb.id/snbp/daya-tampung-snbp</x:v>
      </x:c>
      <x:c r="R1514" s="66" t="str">
        <x:v>https://sidatagrun-public-1076756628210.asia-southeast2.run.app/ptn_sn.php?ptn=329</x:v>
      </x:c>
    </x:row>
    <x:row r="1515">
      <x:c r="A1515" s="87"/>
      <x:c r="B1515" s="66" t="n">
        <x:v>329</x:v>
      </x:c>
      <x:c r="C1515" s="66" t="str">
        <x:v>UNIVERSITAS TERBUKA</x:v>
      </x:c>
      <x:c r="D1515" s="66" t="str">
        <x:v>PTN Akademik</x:v>
      </x:c>
      <x:c r="E1515" s="66" t="str">
        <x:v>13291033</x:v>
      </x:c>
      <x:c r="F1515" s="66" t="str">
        <x:v>AKUNTANSI (UT JEMBER)</x:v>
      </x:c>
      <x:c r="G1515" s="66" t="str">
        <x:v>Sarjana</x:v>
      </x:c>
      <x:c r="H1515" s="87" t="n">
        <x:v>37</x:v>
      </x:c>
      <x:c r="I1515" s="87"/>
      <x:c r="J1515" s="68" t="str">
        <x:f>IFERROR(H1515/I1515,"")</x:f>
      </x:c>
      <x:c r="K1515" s="69" t="n">
        <x:f>IFERROR(I1515/H1515,"")</x:f>
        <x:v>0</x:v>
      </x:c>
      <x:c r="L1515" s="66" t="str">
        <x:f>IF(K1515="","","1 : "&amp;TEXT(K1515,"0.0"))</x:f>
      </x:c>
      <x:c r="M1515" s="66" t="str">
        <x:f>IF(J1515="","Baru/Tanpa Data",IF(J1515&lt;='Catatan &amp; Sumber'!$B$14,"Sangat Ketat",IF(J1515&lt;='Catatan &amp; Sumber'!$B$15,"Ketat",IF(J1515&lt;='Catatan &amp; Sumber'!$B$16,"Sedang","Relatif Longgar"))))</x:f>
        <x:v>Baru/Tanpa Data</x:v>
      </x:c>
      <x:c r="N1515" s="66" t="str">
        <x:v>Tidak Ada</x:v>
      </x:c>
      <x:c r="O1515" s="66" t="str">
        <x:v>Banten</x:v>
      </x:c>
      <x:c r="P1515" s="66" t="str">
        <x:v>Kota Tangerang Selatan</x:v>
      </x:c>
      <x:c r="Q1515" s="66" t="str">
        <x:v>https://snpmb.id/snbp/daya-tampung-snbp</x:v>
      </x:c>
      <x:c r="R1515" s="66" t="str">
        <x:v>https://sidatagrun-public-1076756628210.asia-southeast2.run.app/ptn_sn.php?ptn=329</x:v>
      </x:c>
    </x:row>
    <x:row r="1516">
      <x:c r="A1516" s="87"/>
      <x:c r="B1516" s="66" t="n">
        <x:v>329</x:v>
      </x:c>
      <x:c r="C1516" s="66" t="str">
        <x:v>UNIVERSITAS TERBUKA</x:v>
      </x:c>
      <x:c r="D1516" s="66" t="str">
        <x:v>PTN Akademik</x:v>
      </x:c>
      <x:c r="E1516" s="66" t="str">
        <x:v>13291034</x:v>
      </x:c>
      <x:c r="F1516" s="66" t="str">
        <x:v>MANAJEMEN (UT BOGOR)</x:v>
      </x:c>
      <x:c r="G1516" s="66" t="str">
        <x:v>Sarjana</x:v>
      </x:c>
      <x:c r="H1516" s="87" t="n">
        <x:v>37</x:v>
      </x:c>
      <x:c r="I1516" s="87"/>
      <x:c r="J1516" s="68" t="str">
        <x:f>IFERROR(H1516/I1516,"")</x:f>
      </x:c>
      <x:c r="K1516" s="69" t="n">
        <x:f>IFERROR(I1516/H1516,"")</x:f>
        <x:v>0</x:v>
      </x:c>
      <x:c r="L1516" s="66" t="str">
        <x:f>IF(K1516="","","1 : "&amp;TEXT(K1516,"0.0"))</x:f>
      </x:c>
      <x:c r="M1516" s="66" t="str">
        <x:f>IF(J1516="","Baru/Tanpa Data",IF(J1516&lt;='Catatan &amp; Sumber'!$B$14,"Sangat Ketat",IF(J1516&lt;='Catatan &amp; Sumber'!$B$15,"Ketat",IF(J1516&lt;='Catatan &amp; Sumber'!$B$16,"Sedang","Relatif Longgar"))))</x:f>
        <x:v>Baru/Tanpa Data</x:v>
      </x:c>
      <x:c r="N1516" s="66" t="str">
        <x:v>Tidak Ada</x:v>
      </x:c>
      <x:c r="O1516" s="66" t="str">
        <x:v>Banten</x:v>
      </x:c>
      <x:c r="P1516" s="66" t="str">
        <x:v>Kota Tangerang Selatan</x:v>
      </x:c>
      <x:c r="Q1516" s="66" t="str">
        <x:v>https://snpmb.id/snbp/daya-tampung-snbp</x:v>
      </x:c>
      <x:c r="R1516" s="66" t="str">
        <x:v>https://sidatagrun-public-1076756628210.asia-southeast2.run.app/ptn_sn.php?ptn=329</x:v>
      </x:c>
    </x:row>
    <x:row r="1517">
      <x:c r="A1517" s="87"/>
      <x:c r="B1517" s="66" t="n">
        <x:v>329</x:v>
      </x:c>
      <x:c r="C1517" s="66" t="str">
        <x:v>UNIVERSITAS TERBUKA</x:v>
      </x:c>
      <x:c r="D1517" s="66" t="str">
        <x:v>PTN Akademik</x:v>
      </x:c>
      <x:c r="E1517" s="66" t="str">
        <x:v>13291035</x:v>
      </x:c>
      <x:c r="F1517" s="66" t="str">
        <x:v>PENDIDIKAN GURU SEKOLAH DASAR (UT BANDUNG)</x:v>
      </x:c>
      <x:c r="G1517" s="66" t="str">
        <x:v>Sarjana</x:v>
      </x:c>
      <x:c r="H1517" s="87" t="n">
        <x:v>37</x:v>
      </x:c>
      <x:c r="I1517" s="87"/>
      <x:c r="J1517" s="68" t="str">
        <x:f>IFERROR(H1517/I1517,"")</x:f>
      </x:c>
      <x:c r="K1517" s="69" t="n">
        <x:f>IFERROR(I1517/H1517,"")</x:f>
        <x:v>0</x:v>
      </x:c>
      <x:c r="L1517" s="66" t="str">
        <x:f>IF(K1517="","","1 : "&amp;TEXT(K1517,"0.0"))</x:f>
      </x:c>
      <x:c r="M1517" s="66" t="str">
        <x:f>IF(J1517="","Baru/Tanpa Data",IF(J1517&lt;='Catatan &amp; Sumber'!$B$14,"Sangat Ketat",IF(J1517&lt;='Catatan &amp; Sumber'!$B$15,"Ketat",IF(J1517&lt;='Catatan &amp; Sumber'!$B$16,"Sedang","Relatif Longgar"))))</x:f>
        <x:v>Baru/Tanpa Data</x:v>
      </x:c>
      <x:c r="N1517" s="66" t="str">
        <x:v>Tidak Ada</x:v>
      </x:c>
      <x:c r="O1517" s="66" t="str">
        <x:v>Banten</x:v>
      </x:c>
      <x:c r="P1517" s="66" t="str">
        <x:v>Kota Tangerang Selatan</x:v>
      </x:c>
      <x:c r="Q1517" s="66" t="str">
        <x:v>https://snpmb.id/snbp/daya-tampung-snbp</x:v>
      </x:c>
      <x:c r="R1517" s="66" t="str">
        <x:v>https://sidatagrun-public-1076756628210.asia-southeast2.run.app/ptn_sn.php?ptn=329</x:v>
      </x:c>
    </x:row>
    <x:row r="1518">
      <x:c r="A1518" s="87"/>
      <x:c r="B1518" s="66" t="n">
        <x:v>329</x:v>
      </x:c>
      <x:c r="C1518" s="66" t="str">
        <x:v>UNIVERSITAS TERBUKA</x:v>
      </x:c>
      <x:c r="D1518" s="66" t="str">
        <x:v>PTN Akademik</x:v>
      </x:c>
      <x:c r="E1518" s="66" t="str">
        <x:v>13291036</x:v>
      </x:c>
      <x:c r="F1518" s="66" t="str">
        <x:v>TEKNOLOGI PENDIDIKAN (UT SURABAYA)</x:v>
      </x:c>
      <x:c r="G1518" s="66" t="str">
        <x:v>Sarjana</x:v>
      </x:c>
      <x:c r="H1518" s="87" t="n">
        <x:v>37</x:v>
      </x:c>
      <x:c r="I1518" s="87"/>
      <x:c r="J1518" s="68" t="str">
        <x:f>IFERROR(H1518/I1518,"")</x:f>
      </x:c>
      <x:c r="K1518" s="69" t="n">
        <x:f>IFERROR(I1518/H1518,"")</x:f>
        <x:v>0</x:v>
      </x:c>
      <x:c r="L1518" s="66" t="str">
        <x:f>IF(K1518="","","1 : "&amp;TEXT(K1518,"0.0"))</x:f>
      </x:c>
      <x:c r="M1518" s="66" t="str">
        <x:f>IF(J1518="","Baru/Tanpa Data",IF(J1518&lt;='Catatan &amp; Sumber'!$B$14,"Sangat Ketat",IF(J1518&lt;='Catatan &amp; Sumber'!$B$15,"Ketat",IF(J1518&lt;='Catatan &amp; Sumber'!$B$16,"Sedang","Relatif Longgar"))))</x:f>
        <x:v>Baru/Tanpa Data</x:v>
      </x:c>
      <x:c r="N1518" s="66" t="str">
        <x:v>Tidak Ada</x:v>
      </x:c>
      <x:c r="O1518" s="66" t="str">
        <x:v>Banten</x:v>
      </x:c>
      <x:c r="P1518" s="66" t="str">
        <x:v>Kota Tangerang Selatan</x:v>
      </x:c>
      <x:c r="Q1518" s="66" t="str">
        <x:v>https://snpmb.id/snbp/daya-tampung-snbp</x:v>
      </x:c>
      <x:c r="R1518" s="66" t="str">
        <x:v>https://sidatagrun-public-1076756628210.asia-southeast2.run.app/ptn_sn.php?ptn=329</x:v>
      </x:c>
    </x:row>
    <x:row r="1519">
      <x:c r="A1519" s="87"/>
      <x:c r="B1519" s="66" t="n">
        <x:v>329</x:v>
      </x:c>
      <x:c r="C1519" s="66" t="str">
        <x:v>UNIVERSITAS TERBUKA</x:v>
      </x:c>
      <x:c r="D1519" s="66" t="str">
        <x:v>PTN Akademik</x:v>
      </x:c>
      <x:c r="E1519" s="66" t="str">
        <x:v>13292037</x:v>
      </x:c>
      <x:c r="F1519" s="66" t="str">
        <x:v>KEARSIPAN (UT JEMBER)</x:v>
      </x:c>
      <x:c r="G1519" s="66" t="str">
        <x:v>Sarjana Terapan</x:v>
      </x:c>
      <x:c r="H1519" s="87" t="n">
        <x:v>37</x:v>
      </x:c>
      <x:c r="I1519" s="87"/>
      <x:c r="J1519" s="68" t="str">
        <x:f>IFERROR(H1519/I1519,"")</x:f>
      </x:c>
      <x:c r="K1519" s="69" t="n">
        <x:f>IFERROR(I1519/H1519,"")</x:f>
        <x:v>0</x:v>
      </x:c>
      <x:c r="L1519" s="66" t="str">
        <x:f>IF(K1519="","","1 : "&amp;TEXT(K1519,"0.0"))</x:f>
      </x:c>
      <x:c r="M1519" s="66" t="str">
        <x:f>IF(J1519="","Baru/Tanpa Data",IF(J1519&lt;='Catatan &amp; Sumber'!$B$14,"Sangat Ketat",IF(J1519&lt;='Catatan &amp; Sumber'!$B$15,"Ketat",IF(J1519&lt;='Catatan &amp; Sumber'!$B$16,"Sedang","Relatif Longgar"))))</x:f>
        <x:v>Baru/Tanpa Data</x:v>
      </x:c>
      <x:c r="N1519" s="66" t="str">
        <x:v>Tidak Ada</x:v>
      </x:c>
      <x:c r="O1519" s="66" t="str">
        <x:v>Banten</x:v>
      </x:c>
      <x:c r="P1519" s="66" t="str">
        <x:v>Kota Tangerang Selatan</x:v>
      </x:c>
      <x:c r="Q1519" s="66" t="str">
        <x:v>https://snpmb.id/snbp/daya-tampung-snbp</x:v>
      </x:c>
      <x:c r="R1519" s="66" t="str">
        <x:v>https://sidatagrun-public-1076756628210.asia-southeast2.run.app/ptn_sn.php?ptn=329</x:v>
      </x:c>
    </x:row>
    <x:row r="1520">
      <x:c r="A1520" s="87" t="n">
        <x:v>2734</x:v>
      </x:c>
      <x:c r="B1520" s="66" t="n">
        <x:v>331</x:v>
      </x:c>
      <x:c r="C1520" s="66" t="str">
        <x:v>UNIVERSITAS SINGAPERBANGSA KARAWANG</x:v>
      </x:c>
      <x:c r="D1520" s="66" t="str">
        <x:v>PTN Akademik</x:v>
      </x:c>
      <x:c r="E1520" s="66" t="str">
        <x:v>13311001</x:v>
      </x:c>
      <x:c r="F1520" s="66" t="str">
        <x:v>AGROTEKNOLOGI</x:v>
      </x:c>
      <x:c r="G1520" s="66" t="str">
        <x:v>Sarjana</x:v>
      </x:c>
      <x:c r="H1520" s="87" t="n">
        <x:v>81</x:v>
      </x:c>
      <x:c r="I1520" s="87" t="n">
        <x:v>325</x:v>
      </x:c>
      <x:c r="J1520" s="68" t="n">
        <x:f>IFERROR(H1520/I1520,"")</x:f>
        <x:v>0.24923076923076923</x:v>
      </x:c>
      <x:c r="K1520" s="69" t="n">
        <x:f>IFERROR(I1520/H1520,"")</x:f>
        <x:v>4.012345679012346</x:v>
      </x:c>
      <x:c r="L1520" s="66" t="str">
        <x:f>IF(K1520="","","1 : "&amp;TEXT(K1520,"0.0"))</x:f>
        <x:v>1 : 4.0</x:v>
      </x:c>
      <x:c r="M1520" s="66" t="str">
        <x:f>IF(J1520="","Baru/Tanpa Data",IF(J1520&lt;='Catatan &amp; Sumber'!$B$14,"Sangat Ketat",IF(J1520&lt;='Catatan &amp; Sumber'!$B$15,"Ketat",IF(J1520&lt;='Catatan &amp; Sumber'!$B$16,"Sedang","Relatif Longgar"))))</x:f>
        <x:v>Relatif Longgar</x:v>
      </x:c>
      <x:c r="N1520" s="66" t="str">
        <x:v>Tidak Ada</x:v>
      </x:c>
      <x:c r="O1520" s="66" t="str">
        <x:v>Jawa Barat</x:v>
      </x:c>
      <x:c r="P1520" s="66" t="str">
        <x:v>Kabupaten Karawang</x:v>
      </x:c>
      <x:c r="Q1520" s="66" t="str">
        <x:v>https://snpmb.id/snbp/daya-tampung-snbp</x:v>
      </x:c>
      <x:c r="R1520" s="66" t="str">
        <x:v>https://sidatagrun-public-1076756628210.asia-southeast2.run.app/ptn_sn.php?ptn=331</x:v>
      </x:c>
    </x:row>
    <x:row r="1521">
      <x:c r="A1521" s="87" t="n">
        <x:v>1176</x:v>
      </x:c>
      <x:c r="B1521" s="66" t="n">
        <x:v>331</x:v>
      </x:c>
      <x:c r="C1521" s="66" t="str">
        <x:v>UNIVERSITAS SINGAPERBANGSA KARAWANG</x:v>
      </x:c>
      <x:c r="D1521" s="66" t="str">
        <x:v>PTN Akademik</x:v>
      </x:c>
      <x:c r="E1521" s="66" t="str">
        <x:v>13311002</x:v>
      </x:c>
      <x:c r="F1521" s="66" t="str">
        <x:v>TEKNIK INDUSTRI</x:v>
      </x:c>
      <x:c r="G1521" s="66" t="str">
        <x:v>Sarjana</x:v>
      </x:c>
      <x:c r="H1521" s="87" t="n">
        <x:v>70</x:v>
      </x:c>
      <x:c r="I1521" s="87" t="n">
        <x:v>793</x:v>
      </x:c>
      <x:c r="J1521" s="68" t="n">
        <x:f>IFERROR(H1521/I1521,"")</x:f>
        <x:v>0.08827238335435057</x:v>
      </x:c>
      <x:c r="K1521" s="69" t="n">
        <x:f>IFERROR(I1521/H1521,"")</x:f>
        <x:v>11.32857142857143</x:v>
      </x:c>
      <x:c r="L1521" s="66" t="str">
        <x:f>IF(K1521="","","1 : "&amp;TEXT(K1521,"0.0"))</x:f>
        <x:v>1 : 11.3</x:v>
      </x:c>
      <x:c r="M1521" s="66" t="str">
        <x:f>IF(J1521="","Baru/Tanpa Data",IF(J1521&lt;='Catatan &amp; Sumber'!$B$14,"Sangat Ketat",IF(J1521&lt;='Catatan &amp; Sumber'!$B$15,"Ketat",IF(J1521&lt;='Catatan &amp; Sumber'!$B$16,"Sedang","Relatif Longgar"))))</x:f>
        <x:v>Sedang</x:v>
      </x:c>
      <x:c r="N1521" s="66" t="str">
        <x:v>Tidak Ada</x:v>
      </x:c>
      <x:c r="O1521" s="66" t="str">
        <x:v>Jawa Barat</x:v>
      </x:c>
      <x:c r="P1521" s="66" t="str">
        <x:v>Kabupaten Karawang</x:v>
      </x:c>
      <x:c r="Q1521" s="66" t="str">
        <x:v>https://snpmb.id/snbp/daya-tampung-snbp</x:v>
      </x:c>
      <x:c r="R1521" s="66" t="str">
        <x:v>https://sidatagrun-public-1076756628210.asia-southeast2.run.app/ptn_sn.php?ptn=331</x:v>
      </x:c>
    </x:row>
    <x:row r="1522">
      <x:c r="A1522" s="87" t="n">
        <x:v>1573</x:v>
      </x:c>
      <x:c r="B1522" s="66" t="n">
        <x:v>331</x:v>
      </x:c>
      <x:c r="C1522" s="66" t="str">
        <x:v>UNIVERSITAS SINGAPERBANGSA KARAWANG</x:v>
      </x:c>
      <x:c r="D1522" s="66" t="str">
        <x:v>PTN Akademik</x:v>
      </x:c>
      <x:c r="E1522" s="66" t="str">
        <x:v>13311003</x:v>
      </x:c>
      <x:c r="F1522" s="66" t="str">
        <x:v>TEKNIK MESIN</x:v>
      </x:c>
      <x:c r="G1522" s="66" t="str">
        <x:v>Sarjana</x:v>
      </x:c>
      <x:c r="H1522" s="87" t="n">
        <x:v>49</x:v>
      </x:c>
      <x:c r="I1522" s="87" t="n">
        <x:v>429</x:v>
      </x:c>
      <x:c r="J1522" s="68" t="n">
        <x:f>IFERROR(H1522/I1522,"")</x:f>
        <x:v>0.11421911421911422</x:v>
      </x:c>
      <x:c r="K1522" s="69" t="n">
        <x:f>IFERROR(I1522/H1522,"")</x:f>
        <x:v>8.755102040816327</x:v>
      </x:c>
      <x:c r="L1522" s="66" t="str">
        <x:f>IF(K1522="","","1 : "&amp;TEXT(K1522,"0.0"))</x:f>
        <x:v>1 : 8.8</x:v>
      </x:c>
      <x:c r="M1522" s="66" t="str">
        <x:f>IF(J1522="","Baru/Tanpa Data",IF(J1522&lt;='Catatan &amp; Sumber'!$B$14,"Sangat Ketat",IF(J1522&lt;='Catatan &amp; Sumber'!$B$15,"Ketat",IF(J1522&lt;='Catatan &amp; Sumber'!$B$16,"Sedang","Relatif Longgar"))))</x:f>
        <x:v>Relatif Longgar</x:v>
      </x:c>
      <x:c r="N1522" s="66" t="str">
        <x:v>Tidak Ada</x:v>
      </x:c>
      <x:c r="O1522" s="66" t="str">
        <x:v>Jawa Barat</x:v>
      </x:c>
      <x:c r="P1522" s="66" t="str">
        <x:v>Kabupaten Karawang</x:v>
      </x:c>
      <x:c r="Q1522" s="66" t="str">
        <x:v>https://snpmb.id/snbp/daya-tampung-snbp</x:v>
      </x:c>
      <x:c r="R1522" s="66" t="str">
        <x:v>https://sidatagrun-public-1076756628210.asia-southeast2.run.app/ptn_sn.php?ptn=331</x:v>
      </x:c>
    </x:row>
    <x:row r="1523">
      <x:c r="A1523" s="87" t="n">
        <x:v>1859</x:v>
      </x:c>
      <x:c r="B1523" s="66" t="n">
        <x:v>331</x:v>
      </x:c>
      <x:c r="C1523" s="66" t="str">
        <x:v>UNIVERSITAS SINGAPERBANGSA KARAWANG</x:v>
      </x:c>
      <x:c r="D1523" s="66" t="str">
        <x:v>PTN Akademik</x:v>
      </x:c>
      <x:c r="E1523" s="66" t="str">
        <x:v>13311004</x:v>
      </x:c>
      <x:c r="F1523" s="66" t="str">
        <x:v>TEKNIK ELEKTRO</x:v>
      </x:c>
      <x:c r="G1523" s="66" t="str">
        <x:v>Sarjana</x:v>
      </x:c>
      <x:c r="H1523" s="87" t="n">
        <x:v>48</x:v>
      </x:c>
      <x:c r="I1523" s="87" t="n">
        <x:v>350</x:v>
      </x:c>
      <x:c r="J1523" s="68" t="n">
        <x:f>IFERROR(H1523/I1523,"")</x:f>
        <x:v>0.13714285714285715</x:v>
      </x:c>
      <x:c r="K1523" s="69" t="n">
        <x:f>IFERROR(I1523/H1523,"")</x:f>
        <x:v>7.291666666666667</x:v>
      </x:c>
      <x:c r="L1523" s="66" t="str">
        <x:f>IF(K1523="","","1 : "&amp;TEXT(K1523,"0.0"))</x:f>
        <x:v>1 : 7.3</x:v>
      </x:c>
      <x:c r="M1523" s="66" t="str">
        <x:f>IF(J1523="","Baru/Tanpa Data",IF(J1523&lt;='Catatan &amp; Sumber'!$B$14,"Sangat Ketat",IF(J1523&lt;='Catatan &amp; Sumber'!$B$15,"Ketat",IF(J1523&lt;='Catatan &amp; Sumber'!$B$16,"Sedang","Relatif Longgar"))))</x:f>
        <x:v>Relatif Longgar</x:v>
      </x:c>
      <x:c r="N1523" s="66" t="str">
        <x:v>Tidak Ada</x:v>
      </x:c>
      <x:c r="O1523" s="66" t="str">
        <x:v>Jawa Barat</x:v>
      </x:c>
      <x:c r="P1523" s="66" t="str">
        <x:v>Kabupaten Karawang</x:v>
      </x:c>
      <x:c r="Q1523" s="66" t="str">
        <x:v>https://snpmb.id/snbp/daya-tampung-snbp</x:v>
      </x:c>
      <x:c r="R1523" s="66" t="str">
        <x:v>https://sidatagrun-public-1076756628210.asia-southeast2.run.app/ptn_sn.php?ptn=331</x:v>
      </x:c>
    </x:row>
    <x:row r="1524">
      <x:c r="A1524" s="87" t="n">
        <x:v>623</x:v>
      </x:c>
      <x:c r="B1524" s="66" t="n">
        <x:v>331</x:v>
      </x:c>
      <x:c r="C1524" s="66" t="str">
        <x:v>UNIVERSITAS SINGAPERBANGSA KARAWANG</x:v>
      </x:c>
      <x:c r="D1524" s="66" t="str">
        <x:v>PTN Akademik</x:v>
      </x:c>
      <x:c r="E1524" s="66" t="str">
        <x:v>13311005</x:v>
      </x:c>
      <x:c r="F1524" s="66" t="str">
        <x:v>INFORMATIKA</x:v>
      </x:c>
      <x:c r="G1524" s="66" t="str">
        <x:v>Sarjana</x:v>
      </x:c>
      <x:c r="H1524" s="87" t="n">
        <x:v>38</x:v>
      </x:c>
      <x:c r="I1524" s="87" t="n">
        <x:v>650</x:v>
      </x:c>
      <x:c r="J1524" s="68" t="n">
        <x:f>IFERROR(H1524/I1524,"")</x:f>
        <x:v>0.05846153846153846</x:v>
      </x:c>
      <x:c r="K1524" s="69" t="n">
        <x:f>IFERROR(I1524/H1524,"")</x:f>
        <x:v>17.105263157894736</x:v>
      </x:c>
      <x:c r="L1524" s="66" t="str">
        <x:f>IF(K1524="","","1 : "&amp;TEXT(K1524,"0.0"))</x:f>
        <x:v>1 : 17.1</x:v>
      </x:c>
      <x:c r="M1524" s="66" t="str">
        <x:f>IF(J1524="","Baru/Tanpa Data",IF(J1524&lt;='Catatan &amp; Sumber'!$B$14,"Sangat Ketat",IF(J1524&lt;='Catatan &amp; Sumber'!$B$15,"Ketat",IF(J1524&lt;='Catatan &amp; Sumber'!$B$16,"Sedang","Relatif Longgar"))))</x:f>
        <x:v>Sedang</x:v>
      </x:c>
      <x:c r="N1524" s="66" t="str">
        <x:v>Tidak Ada</x:v>
      </x:c>
      <x:c r="O1524" s="66" t="str">
        <x:v>Jawa Barat</x:v>
      </x:c>
      <x:c r="P1524" s="66" t="str">
        <x:v>Kabupaten Karawang</x:v>
      </x:c>
      <x:c r="Q1524" s="66" t="str">
        <x:v>https://snpmb.id/snbp/daya-tampung-snbp</x:v>
      </x:c>
      <x:c r="R1524" s="66" t="str">
        <x:v>https://sidatagrun-public-1076756628210.asia-southeast2.run.app/ptn_sn.php?ptn=331</x:v>
      </x:c>
    </x:row>
    <x:row r="1525">
      <x:c r="A1525" s="87" t="n">
        <x:v>2996</x:v>
      </x:c>
      <x:c r="B1525" s="66" t="n">
        <x:v>331</x:v>
      </x:c>
      <x:c r="C1525" s="66" t="str">
        <x:v>UNIVERSITAS SINGAPERBANGSA KARAWANG</x:v>
      </x:c>
      <x:c r="D1525" s="66" t="str">
        <x:v>PTN Akademik</x:v>
      </x:c>
      <x:c r="E1525" s="66" t="str">
        <x:v>13311006</x:v>
      </x:c>
      <x:c r="F1525" s="66" t="str">
        <x:v>PEND. MATEMATIKA</x:v>
      </x:c>
      <x:c r="G1525" s="66" t="str">
        <x:v>Sarjana</x:v>
      </x:c>
      <x:c r="H1525" s="87" t="n">
        <x:v>72</x:v>
      </x:c>
      <x:c r="I1525" s="87" t="n">
        <x:v>246</x:v>
      </x:c>
      <x:c r="J1525" s="68" t="n">
        <x:f>IFERROR(H1525/I1525,"")</x:f>
        <x:v>0.2926829268292683</x:v>
      </x:c>
      <x:c r="K1525" s="69" t="n">
        <x:f>IFERROR(I1525/H1525,"")</x:f>
        <x:v>3.4166666666666665</x:v>
      </x:c>
      <x:c r="L1525" s="66" t="str">
        <x:f>IF(K1525="","","1 : "&amp;TEXT(K1525,"0.0"))</x:f>
        <x:v>1 : 3.4</x:v>
      </x:c>
      <x:c r="M1525" s="66" t="str">
        <x:f>IF(J1525="","Baru/Tanpa Data",IF(J1525&lt;='Catatan &amp; Sumber'!$B$14,"Sangat Ketat",IF(J1525&lt;='Catatan &amp; Sumber'!$B$15,"Ketat",IF(J1525&lt;='Catatan &amp; Sumber'!$B$16,"Sedang","Relatif Longgar"))))</x:f>
        <x:v>Relatif Longgar</x:v>
      </x:c>
      <x:c r="N1525" s="66" t="str">
        <x:v>Tidak Ada</x:v>
      </x:c>
      <x:c r="O1525" s="66" t="str">
        <x:v>Jawa Barat</x:v>
      </x:c>
      <x:c r="P1525" s="66" t="str">
        <x:v>Kabupaten Karawang</x:v>
      </x:c>
      <x:c r="Q1525" s="66" t="str">
        <x:v>https://snpmb.id/snbp/daya-tampung-snbp</x:v>
      </x:c>
      <x:c r="R1525" s="66" t="str">
        <x:v>https://sidatagrun-public-1076756628210.asia-southeast2.run.app/ptn_sn.php?ptn=331</x:v>
      </x:c>
    </x:row>
    <x:row r="1526">
      <x:c r="A1526" s="87" t="n">
        <x:v>2423</x:v>
      </x:c>
      <x:c r="B1526" s="66" t="n">
        <x:v>331</x:v>
      </x:c>
      <x:c r="C1526" s="66" t="str">
        <x:v>UNIVERSITAS SINGAPERBANGSA KARAWANG</x:v>
      </x:c>
      <x:c r="D1526" s="66" t="str">
        <x:v>PTN Akademik</x:v>
      </x:c>
      <x:c r="E1526" s="66" t="str">
        <x:v>13311007</x:v>
      </x:c>
      <x:c r="F1526" s="66" t="str">
        <x:v>AGRIBISNIS</x:v>
      </x:c>
      <x:c r="G1526" s="66" t="str">
        <x:v>Sarjana</x:v>
      </x:c>
      <x:c r="H1526" s="87" t="n">
        <x:v>60</x:v>
      </x:c>
      <x:c r="I1526" s="87" t="n">
        <x:v>300</x:v>
      </x:c>
      <x:c r="J1526" s="68" t="n">
        <x:f>IFERROR(H1526/I1526,"")</x:f>
        <x:v>0.2</x:v>
      </x:c>
      <x:c r="K1526" s="69" t="n">
        <x:f>IFERROR(I1526/H1526,"")</x:f>
        <x:v>5</x:v>
      </x:c>
      <x:c r="L1526" s="66" t="str">
        <x:f>IF(K1526="","","1 : "&amp;TEXT(K1526,"0.0"))</x:f>
        <x:v>1 : 5.0</x:v>
      </x:c>
      <x:c r="M1526" s="66" t="str">
        <x:f>IF(J1526="","Baru/Tanpa Data",IF(J1526&lt;='Catatan &amp; Sumber'!$B$14,"Sangat Ketat",IF(J1526&lt;='Catatan &amp; Sumber'!$B$15,"Ketat",IF(J1526&lt;='Catatan &amp; Sumber'!$B$16,"Sedang","Relatif Longgar"))))</x:f>
        <x:v>Relatif Longgar</x:v>
      </x:c>
      <x:c r="N1526" s="66" t="str">
        <x:v>Tidak Ada</x:v>
      </x:c>
      <x:c r="O1526" s="66" t="str">
        <x:v>Jawa Barat</x:v>
      </x:c>
      <x:c r="P1526" s="66" t="str">
        <x:v>Kabupaten Karawang</x:v>
      </x:c>
      <x:c r="Q1526" s="66" t="str">
        <x:v>https://snpmb.id/snbp/daya-tampung-snbp</x:v>
      </x:c>
      <x:c r="R1526" s="66" t="str">
        <x:v>https://sidatagrun-public-1076756628210.asia-southeast2.run.app/ptn_sn.php?ptn=331</x:v>
      </x:c>
    </x:row>
    <x:row r="1527">
      <x:c r="A1527" s="87" t="n">
        <x:v>468</x:v>
      </x:c>
      <x:c r="B1527" s="66" t="n">
        <x:v>331</x:v>
      </x:c>
      <x:c r="C1527" s="66" t="str">
        <x:v>UNIVERSITAS SINGAPERBANGSA KARAWANG</x:v>
      </x:c>
      <x:c r="D1527" s="66" t="str">
        <x:v>PTN Akademik</x:v>
      </x:c>
      <x:c r="E1527" s="66" t="str">
        <x:v>13311008</x:v>
      </x:c>
      <x:c r="F1527" s="66" t="str">
        <x:v>FARMASI</x:v>
      </x:c>
      <x:c r="G1527" s="66" t="str">
        <x:v>Sarjana</x:v>
      </x:c>
      <x:c r="H1527" s="87" t="n">
        <x:v>40</x:v>
      </x:c>
      <x:c r="I1527" s="87" t="n">
        <x:v>805</x:v>
      </x:c>
      <x:c r="J1527" s="68" t="n">
        <x:f>IFERROR(H1527/I1527,"")</x:f>
        <x:v>0.049689440993788817</x:v>
      </x:c>
      <x:c r="K1527" s="69" t="n">
        <x:f>IFERROR(I1527/H1527,"")</x:f>
        <x:v>20.125</x:v>
      </x:c>
      <x:c r="L1527" s="66" t="str">
        <x:f>IF(K1527="","","1 : "&amp;TEXT(K1527,"0.0"))</x:f>
        <x:v>1 : 20.1</x:v>
      </x:c>
      <x:c r="M1527" s="66" t="str">
        <x:f>IF(J1527="","Baru/Tanpa Data",IF(J1527&lt;='Catatan &amp; Sumber'!$B$14,"Sangat Ketat",IF(J1527&lt;='Catatan &amp; Sumber'!$B$15,"Ketat",IF(J1527&lt;='Catatan &amp; Sumber'!$B$16,"Sedang","Relatif Longgar"))))</x:f>
        <x:v>Ketat</x:v>
      </x:c>
      <x:c r="N1527" s="66" t="str">
        <x:v>Tidak Ada</x:v>
      </x:c>
      <x:c r="O1527" s="66" t="str">
        <x:v>Jawa Barat</x:v>
      </x:c>
      <x:c r="P1527" s="66" t="str">
        <x:v>Kabupaten Karawang</x:v>
      </x:c>
      <x:c r="Q1527" s="66" t="str">
        <x:v>https://snpmb.id/snbp/daya-tampung-snbp</x:v>
      </x:c>
      <x:c r="R1527" s="66" t="str">
        <x:v>https://sidatagrun-public-1076756628210.asia-southeast2.run.app/ptn_sn.php?ptn=331</x:v>
      </x:c>
    </x:row>
    <x:row r="1528">
      <x:c r="A1528" s="87" t="n">
        <x:v>1073</x:v>
      </x:c>
      <x:c r="B1528" s="66" t="n">
        <x:v>331</x:v>
      </x:c>
      <x:c r="C1528" s="66" t="str">
        <x:v>UNIVERSITAS SINGAPERBANGSA KARAWANG</x:v>
      </x:c>
      <x:c r="D1528" s="66" t="str">
        <x:v>PTN Akademik</x:v>
      </x:c>
      <x:c r="E1528" s="66" t="str">
        <x:v>13311009</x:v>
      </x:c>
      <x:c r="F1528" s="66" t="str">
        <x:v>GIZI</x:v>
      </x:c>
      <x:c r="G1528" s="66" t="str">
        <x:v>Sarjana</x:v>
      </x:c>
      <x:c r="H1528" s="87" t="n">
        <x:v>40</x:v>
      </x:c>
      <x:c r="I1528" s="87" t="n">
        <x:v>488</x:v>
      </x:c>
      <x:c r="J1528" s="68" t="n">
        <x:f>IFERROR(H1528/I1528,"")</x:f>
        <x:v>0.08196721311475409</x:v>
      </x:c>
      <x:c r="K1528" s="69" t="n">
        <x:f>IFERROR(I1528/H1528,"")</x:f>
        <x:v>12.2</x:v>
      </x:c>
      <x:c r="L1528" s="66" t="str">
        <x:f>IF(K1528="","","1 : "&amp;TEXT(K1528,"0.0"))</x:f>
        <x:v>1 : 12.2</x:v>
      </x:c>
      <x:c r="M1528" s="66" t="str">
        <x:f>IF(J1528="","Baru/Tanpa Data",IF(J1528&lt;='Catatan &amp; Sumber'!$B$14,"Sangat Ketat",IF(J1528&lt;='Catatan &amp; Sumber'!$B$15,"Ketat",IF(J1528&lt;='Catatan &amp; Sumber'!$B$16,"Sedang","Relatif Longgar"))))</x:f>
        <x:v>Sedang</x:v>
      </x:c>
      <x:c r="N1528" s="66" t="str">
        <x:v>Tidak Ada</x:v>
      </x:c>
      <x:c r="O1528" s="66" t="str">
        <x:v>Jawa Barat</x:v>
      </x:c>
      <x:c r="P1528" s="66" t="str">
        <x:v>Kabupaten Karawang</x:v>
      </x:c>
      <x:c r="Q1528" s="66" t="str">
        <x:v>https://snpmb.id/snbp/daya-tampung-snbp</x:v>
      </x:c>
      <x:c r="R1528" s="66" t="str">
        <x:v>https://sidatagrun-public-1076756628210.asia-southeast2.run.app/ptn_sn.php?ptn=331</x:v>
      </x:c>
    </x:row>
    <x:row r="1529">
      <x:c r="A1529" s="87" t="n">
        <x:v>2098</x:v>
      </x:c>
      <x:c r="B1529" s="66" t="n">
        <x:v>331</x:v>
      </x:c>
      <x:c r="C1529" s="66" t="str">
        <x:v>UNIVERSITAS SINGAPERBANGSA KARAWANG</x:v>
      </x:c>
      <x:c r="D1529" s="66" t="str">
        <x:v>PTN Akademik</x:v>
      </x:c>
      <x:c r="E1529" s="66" t="str">
        <x:v>13311010</x:v>
      </x:c>
      <x:c r="F1529" s="66" t="str">
        <x:v>TEKNIK KIMIA</x:v>
      </x:c>
      <x:c r="G1529" s="66" t="str">
        <x:v>Sarjana</x:v>
      </x:c>
      <x:c r="H1529" s="87" t="n">
        <x:v>30</x:v>
      </x:c>
      <x:c r="I1529" s="87" t="n">
        <x:v>186</x:v>
      </x:c>
      <x:c r="J1529" s="68" t="n">
        <x:f>IFERROR(H1529/I1529,"")</x:f>
        <x:v>0.16129032258064516</x:v>
      </x:c>
      <x:c r="K1529" s="69" t="n">
        <x:f>IFERROR(I1529/H1529,"")</x:f>
        <x:v>6.2</x:v>
      </x:c>
      <x:c r="L1529" s="66" t="str">
        <x:f>IF(K1529="","","1 : "&amp;TEXT(K1529,"0.0"))</x:f>
        <x:v>1 : 6.2</x:v>
      </x:c>
      <x:c r="M1529" s="66" t="str">
        <x:f>IF(J1529="","Baru/Tanpa Data",IF(J1529&lt;='Catatan &amp; Sumber'!$B$14,"Sangat Ketat",IF(J1529&lt;='Catatan &amp; Sumber'!$B$15,"Ketat",IF(J1529&lt;='Catatan &amp; Sumber'!$B$16,"Sedang","Relatif Longgar"))))</x:f>
        <x:v>Relatif Longgar</x:v>
      </x:c>
      <x:c r="N1529" s="66" t="str">
        <x:v>Tidak Ada</x:v>
      </x:c>
      <x:c r="O1529" s="66" t="str">
        <x:v>Jawa Barat</x:v>
      </x:c>
      <x:c r="P1529" s="66" t="str">
        <x:v>Kabupaten Karawang</x:v>
      </x:c>
      <x:c r="Q1529" s="66" t="str">
        <x:v>https://snpmb.id/snbp/daya-tampung-snbp</x:v>
      </x:c>
      <x:c r="R1529" s="66" t="str">
        <x:v>https://sidatagrun-public-1076756628210.asia-southeast2.run.app/ptn_sn.php?ptn=331</x:v>
      </x:c>
    </x:row>
    <x:row r="1530">
      <x:c r="A1530" s="87" t="n">
        <x:v>3583</x:v>
      </x:c>
      <x:c r="B1530" s="66" t="n">
        <x:v>331</x:v>
      </x:c>
      <x:c r="C1530" s="66" t="str">
        <x:v>UNIVERSITAS SINGAPERBANGSA KARAWANG</x:v>
      </x:c>
      <x:c r="D1530" s="66" t="str">
        <x:v>PTN Akademik</x:v>
      </x:c>
      <x:c r="E1530" s="66" t="str">
        <x:v>13311011</x:v>
      </x:c>
      <x:c r="F1530" s="66" t="str">
        <x:v>ILMU KEOLAHRAGAAN</x:v>
      </x:c>
      <x:c r="G1530" s="66" t="str">
        <x:v>Sarjana</x:v>
      </x:c>
      <x:c r="H1530" s="87" t="n">
        <x:v>40</x:v>
      </x:c>
      <x:c r="I1530" s="87" t="n">
        <x:v>86</x:v>
      </x:c>
      <x:c r="J1530" s="68" t="n">
        <x:f>IFERROR(H1530/I1530,"")</x:f>
        <x:v>0.46511627906976744</x:v>
      </x:c>
      <x:c r="K1530" s="69" t="n">
        <x:f>IFERROR(I1530/H1530,"")</x:f>
        <x:v>2.15</x:v>
      </x:c>
      <x:c r="L1530" s="66" t="str">
        <x:f>IF(K1530="","","1 : "&amp;TEXT(K1530,"0.0"))</x:f>
        <x:v>1 : 2.2</x:v>
      </x:c>
      <x:c r="M1530" s="66" t="str">
        <x:f>IF(J1530="","Baru/Tanpa Data",IF(J1530&lt;='Catatan &amp; Sumber'!$B$14,"Sangat Ketat",IF(J1530&lt;='Catatan &amp; Sumber'!$B$15,"Ketat",IF(J1530&lt;='Catatan &amp; Sumber'!$B$16,"Sedang","Relatif Longgar"))))</x:f>
        <x:v>Relatif Longgar</x:v>
      </x:c>
      <x:c r="N1530" s="66" t="str">
        <x:v>Olahraga</x:v>
      </x:c>
      <x:c r="O1530" s="66" t="str">
        <x:v>Jawa Barat</x:v>
      </x:c>
      <x:c r="P1530" s="66" t="str">
        <x:v>Kabupaten Karawang</x:v>
      </x:c>
      <x:c r="Q1530" s="66" t="str">
        <x:v>https://snpmb.id/snbp/daya-tampung-snbp</x:v>
      </x:c>
      <x:c r="R1530" s="66" t="str">
        <x:v>https://sidatagrun-public-1076756628210.asia-southeast2.run.app/ptn_sn.php?ptn=331</x:v>
      </x:c>
    </x:row>
    <x:row r="1531">
      <x:c r="A1531" s="87" t="n">
        <x:v>892</x:v>
      </x:c>
      <x:c r="B1531" s="66" t="n">
        <x:v>331</x:v>
      </x:c>
      <x:c r="C1531" s="66" t="str">
        <x:v>UNIVERSITAS SINGAPERBANGSA KARAWANG</x:v>
      </x:c>
      <x:c r="D1531" s="66" t="str">
        <x:v>PTN Akademik</x:v>
      </x:c>
      <x:c r="E1531" s="66" t="str">
        <x:v>13311012</x:v>
      </x:c>
      <x:c r="F1531" s="66" t="str">
        <x:v>SISTEM INFORMASI</x:v>
      </x:c>
      <x:c r="G1531" s="66" t="str">
        <x:v>Sarjana</x:v>
      </x:c>
      <x:c r="H1531" s="87" t="n">
        <x:v>33</x:v>
      </x:c>
      <x:c r="I1531" s="87" t="n">
        <x:v>461</x:v>
      </x:c>
      <x:c r="J1531" s="68" t="n">
        <x:f>IFERROR(H1531/I1531,"")</x:f>
        <x:v>0.07158351409978309</x:v>
      </x:c>
      <x:c r="K1531" s="69" t="n">
        <x:f>IFERROR(I1531/H1531,"")</x:f>
        <x:v>13.969696969696969</x:v>
      </x:c>
      <x:c r="L1531" s="66" t="str">
        <x:f>IF(K1531="","","1 : "&amp;TEXT(K1531,"0.0"))</x:f>
        <x:v>1 : 14.0</x:v>
      </x:c>
      <x:c r="M1531" s="66" t="str">
        <x:f>IF(J1531="","Baru/Tanpa Data",IF(J1531&lt;='Catatan &amp; Sumber'!$B$14,"Sangat Ketat",IF(J1531&lt;='Catatan &amp; Sumber'!$B$15,"Ketat",IF(J1531&lt;='Catatan &amp; Sumber'!$B$16,"Sedang","Relatif Longgar"))))</x:f>
        <x:v>Sedang</x:v>
      </x:c>
      <x:c r="N1531" s="66" t="str">
        <x:v>Tidak Ada</x:v>
      </x:c>
      <x:c r="O1531" s="66" t="str">
        <x:v>Jawa Barat</x:v>
      </x:c>
      <x:c r="P1531" s="66" t="str">
        <x:v>Kabupaten Karawang</x:v>
      </x:c>
      <x:c r="Q1531" s="66" t="str">
        <x:v>https://snpmb.id/snbp/daya-tampung-snbp</x:v>
      </x:c>
      <x:c r="R1531" s="66" t="str">
        <x:v>https://sidatagrun-public-1076756628210.asia-southeast2.run.app/ptn_sn.php?ptn=331</x:v>
      </x:c>
    </x:row>
    <x:row r="1532">
      <x:c r="A1532" s="87" t="n">
        <x:v>1611</x:v>
      </x:c>
      <x:c r="B1532" s="66" t="n">
        <x:v>331</x:v>
      </x:c>
      <x:c r="C1532" s="66" t="str">
        <x:v>UNIVERSITAS SINGAPERBANGSA KARAWANG</x:v>
      </x:c>
      <x:c r="D1532" s="66" t="str">
        <x:v>PTN Akademik</x:v>
      </x:c>
      <x:c r="E1532" s="66" t="str">
        <x:v>13311013</x:v>
      </x:c>
      <x:c r="F1532" s="66" t="str">
        <x:v>TEKNIK LINGKUNGAN</x:v>
      </x:c>
      <x:c r="G1532" s="66" t="str">
        <x:v>Sarjana</x:v>
      </x:c>
      <x:c r="H1532" s="87" t="n">
        <x:v>30</x:v>
      </x:c>
      <x:c r="I1532" s="87" t="n">
        <x:v>256</x:v>
      </x:c>
      <x:c r="J1532" s="68" t="n">
        <x:f>IFERROR(H1532/I1532,"")</x:f>
        <x:v>0.1171875</x:v>
      </x:c>
      <x:c r="K1532" s="69" t="n">
        <x:f>IFERROR(I1532/H1532,"")</x:f>
        <x:v>8.533333333333333</x:v>
      </x:c>
      <x:c r="L1532" s="66" t="str">
        <x:f>IF(K1532="","","1 : "&amp;TEXT(K1532,"0.0"))</x:f>
        <x:v>1 : 8.5</x:v>
      </x:c>
      <x:c r="M1532" s="66" t="str">
        <x:f>IF(J1532="","Baru/Tanpa Data",IF(J1532&lt;='Catatan &amp; Sumber'!$B$14,"Sangat Ketat",IF(J1532&lt;='Catatan &amp; Sumber'!$B$15,"Ketat",IF(J1532&lt;='Catatan &amp; Sumber'!$B$16,"Sedang","Relatif Longgar"))))</x:f>
        <x:v>Relatif Longgar</x:v>
      </x:c>
      <x:c r="N1532" s="66" t="str">
        <x:v>Tidak Ada</x:v>
      </x:c>
      <x:c r="O1532" s="66" t="str">
        <x:v>Jawa Barat</x:v>
      </x:c>
      <x:c r="P1532" s="66" t="str">
        <x:v>Kabupaten Karawang</x:v>
      </x:c>
      <x:c r="Q1532" s="66" t="str">
        <x:v>https://snpmb.id/snbp/daya-tampung-snbp</x:v>
      </x:c>
      <x:c r="R1532" s="66" t="str">
        <x:v>https://sidatagrun-public-1076756628210.asia-southeast2.run.app/ptn_sn.php?ptn=331</x:v>
      </x:c>
    </x:row>
    <x:row r="1533">
      <x:c r="A1533" s="87" t="n">
        <x:v>2466</x:v>
      </x:c>
      <x:c r="B1533" s="66" t="n">
        <x:v>331</x:v>
      </x:c>
      <x:c r="C1533" s="66" t="str">
        <x:v>UNIVERSITAS SINGAPERBANGSA KARAWANG</x:v>
      </x:c>
      <x:c r="D1533" s="66" t="str">
        <x:v>PTN Akademik</x:v>
      </x:c>
      <x:c r="E1533" s="66" t="str">
        <x:v>13311014</x:v>
      </x:c>
      <x:c r="F1533" s="66" t="str">
        <x:v>ILMU HUKUM</x:v>
      </x:c>
      <x:c r="G1533" s="66" t="str">
        <x:v>Sarjana</x:v>
      </x:c>
      <x:c r="H1533" s="87" t="n">
        <x:v>126</x:v>
      </x:c>
      <x:c r="I1533" s="87" t="n">
        <x:v>615</x:v>
      </x:c>
      <x:c r="J1533" s="68" t="n">
        <x:f>IFERROR(H1533/I1533,"")</x:f>
        <x:v>0.2048780487804878</x:v>
      </x:c>
      <x:c r="K1533" s="69" t="n">
        <x:f>IFERROR(I1533/H1533,"")</x:f>
        <x:v>4.880952380952381</x:v>
      </x:c>
      <x:c r="L1533" s="66" t="str">
        <x:f>IF(K1533="","","1 : "&amp;TEXT(K1533,"0.0"))</x:f>
        <x:v>1 : 4.9</x:v>
      </x:c>
      <x:c r="M1533" s="66" t="str">
        <x:f>IF(J1533="","Baru/Tanpa Data",IF(J1533&lt;='Catatan &amp; Sumber'!$B$14,"Sangat Ketat",IF(J1533&lt;='Catatan &amp; Sumber'!$B$15,"Ketat",IF(J1533&lt;='Catatan &amp; Sumber'!$B$16,"Sedang","Relatif Longgar"))))</x:f>
        <x:v>Relatif Longgar</x:v>
      </x:c>
      <x:c r="N1533" s="66" t="str">
        <x:v>Tidak Ada</x:v>
      </x:c>
      <x:c r="O1533" s="66" t="str">
        <x:v>Jawa Barat</x:v>
      </x:c>
      <x:c r="P1533" s="66" t="str">
        <x:v>Kabupaten Karawang</x:v>
      </x:c>
      <x:c r="Q1533" s="66" t="str">
        <x:v>https://snpmb.id/snbp/daya-tampung-snbp</x:v>
      </x:c>
      <x:c r="R1533" s="66" t="str">
        <x:v>https://sidatagrun-public-1076756628210.asia-southeast2.run.app/ptn_sn.php?ptn=331</x:v>
      </x:c>
    </x:row>
    <x:row r="1534">
      <x:c r="A1534" s="87" t="n">
        <x:v>1291</x:v>
      </x:c>
      <x:c r="B1534" s="66" t="n">
        <x:v>331</x:v>
      </x:c>
      <x:c r="C1534" s="66" t="str">
        <x:v>UNIVERSITAS SINGAPERBANGSA KARAWANG</x:v>
      </x:c>
      <x:c r="D1534" s="66" t="str">
        <x:v>PTN Akademik</x:v>
      </x:c>
      <x:c r="E1534" s="66" t="str">
        <x:v>13311015</x:v>
      </x:c>
      <x:c r="F1534" s="66" t="str">
        <x:v>MANAJEMEN</x:v>
      </x:c>
      <x:c r="G1534" s="66" t="str">
        <x:v>Sarjana</x:v>
      </x:c>
      <x:c r="H1534" s="87" t="n">
        <x:v>105</x:v>
      </x:c>
      <x:c r="I1534" s="87" t="n">
        <x:v>1108</x:v>
      </x:c>
      <x:c r="J1534" s="68" t="n">
        <x:f>IFERROR(H1534/I1534,"")</x:f>
        <x:v>0.09476534296028881</x:v>
      </x:c>
      <x:c r="K1534" s="69" t="n">
        <x:f>IFERROR(I1534/H1534,"")</x:f>
        <x:v>10.552380952380952</x:v>
      </x:c>
      <x:c r="L1534" s="66" t="str">
        <x:f>IF(K1534="","","1 : "&amp;TEXT(K1534,"0.0"))</x:f>
        <x:v>1 : 10.6</x:v>
      </x:c>
      <x:c r="M1534" s="66" t="str">
        <x:f>IF(J1534="","Baru/Tanpa Data",IF(J1534&lt;='Catatan &amp; Sumber'!$B$14,"Sangat Ketat",IF(J1534&lt;='Catatan &amp; Sumber'!$B$15,"Ketat",IF(J1534&lt;='Catatan &amp; Sumber'!$B$16,"Sedang","Relatif Longgar"))))</x:f>
        <x:v>Sedang</x:v>
      </x:c>
      <x:c r="N1534" s="66" t="str">
        <x:v>Tidak Ada</x:v>
      </x:c>
      <x:c r="O1534" s="66" t="str">
        <x:v>Jawa Barat</x:v>
      </x:c>
      <x:c r="P1534" s="66" t="str">
        <x:v>Kabupaten Karawang</x:v>
      </x:c>
      <x:c r="Q1534" s="66" t="str">
        <x:v>https://snpmb.id/snbp/daya-tampung-snbp</x:v>
      </x:c>
      <x:c r="R1534" s="66" t="str">
        <x:v>https://sidatagrun-public-1076756628210.asia-southeast2.run.app/ptn_sn.php?ptn=331</x:v>
      </x:c>
    </x:row>
    <x:row r="1535">
      <x:c r="A1535" s="87" t="n">
        <x:v>1547</x:v>
      </x:c>
      <x:c r="B1535" s="66" t="n">
        <x:v>331</x:v>
      </x:c>
      <x:c r="C1535" s="66" t="str">
        <x:v>UNIVERSITAS SINGAPERBANGSA KARAWANG</x:v>
      </x:c>
      <x:c r="D1535" s="66" t="str">
        <x:v>PTN Akademik</x:v>
      </x:c>
      <x:c r="E1535" s="66" t="str">
        <x:v>13311016</x:v>
      </x:c>
      <x:c r="F1535" s="66" t="str">
        <x:v>AKUNTANSI</x:v>
      </x:c>
      <x:c r="G1535" s="66" t="str">
        <x:v>Sarjana</x:v>
      </x:c>
      <x:c r="H1535" s="87" t="n">
        <x:v>97</x:v>
      </x:c>
      <x:c r="I1535" s="87" t="n">
        <x:v>858</x:v>
      </x:c>
      <x:c r="J1535" s="68" t="n">
        <x:f>IFERROR(H1535/I1535,"")</x:f>
        <x:v>0.11305361305361306</x:v>
      </x:c>
      <x:c r="K1535" s="69" t="n">
        <x:f>IFERROR(I1535/H1535,"")</x:f>
        <x:v>8.845360824742269</x:v>
      </x:c>
      <x:c r="L1535" s="66" t="str">
        <x:f>IF(K1535="","","1 : "&amp;TEXT(K1535,"0.0"))</x:f>
        <x:v>1 : 8.8</x:v>
      </x:c>
      <x:c r="M1535" s="66" t="str">
        <x:f>IF(J1535="","Baru/Tanpa Data",IF(J1535&lt;='Catatan &amp; Sumber'!$B$14,"Sangat Ketat",IF(J1535&lt;='Catatan &amp; Sumber'!$B$15,"Ketat",IF(J1535&lt;='Catatan &amp; Sumber'!$B$16,"Sedang","Relatif Longgar"))))</x:f>
        <x:v>Relatif Longgar</x:v>
      </x:c>
      <x:c r="N1535" s="66" t="str">
        <x:v>Tidak Ada</x:v>
      </x:c>
      <x:c r="O1535" s="66" t="str">
        <x:v>Jawa Barat</x:v>
      </x:c>
      <x:c r="P1535" s="66" t="str">
        <x:v>Kabupaten Karawang</x:v>
      </x:c>
      <x:c r="Q1535" s="66" t="str">
        <x:v>https://snpmb.id/snbp/daya-tampung-snbp</x:v>
      </x:c>
      <x:c r="R1535" s="66" t="str">
        <x:v>https://sidatagrun-public-1076756628210.asia-southeast2.run.app/ptn_sn.php?ptn=331</x:v>
      </x:c>
    </x:row>
    <x:row r="1536">
      <x:c r="A1536" s="87" t="n">
        <x:v>2435</x:v>
      </x:c>
      <x:c r="B1536" s="66" t="n">
        <x:v>331</x:v>
      </x:c>
      <x:c r="C1536" s="66" t="str">
        <x:v>UNIVERSITAS SINGAPERBANGSA KARAWANG</x:v>
      </x:c>
      <x:c r="D1536" s="66" t="str">
        <x:v>PTN Akademik</x:v>
      </x:c>
      <x:c r="E1536" s="66" t="str">
        <x:v>13311017</x:v>
      </x:c>
      <x:c r="F1536" s="66" t="str">
        <x:v>PENDIDIKAN MASYARAKAT</x:v>
      </x:c>
      <x:c r="G1536" s="66" t="str">
        <x:v>Sarjana</x:v>
      </x:c>
      <x:c r="H1536" s="87" t="n">
        <x:v>42</x:v>
      </x:c>
      <x:c r="I1536" s="87" t="n">
        <x:v>209</x:v>
      </x:c>
      <x:c r="J1536" s="68" t="n">
        <x:f>IFERROR(H1536/I1536,"")</x:f>
        <x:v>0.20095693779904306</x:v>
      </x:c>
      <x:c r="K1536" s="69" t="n">
        <x:f>IFERROR(I1536/H1536,"")</x:f>
        <x:v>4.976190476190476</x:v>
      </x:c>
      <x:c r="L1536" s="66" t="str">
        <x:f>IF(K1536="","","1 : "&amp;TEXT(K1536,"0.0"))</x:f>
        <x:v>1 : 5.0</x:v>
      </x:c>
      <x:c r="M1536" s="66" t="str">
        <x:f>IF(J1536="","Baru/Tanpa Data",IF(J1536&lt;='Catatan &amp; Sumber'!$B$14,"Sangat Ketat",IF(J1536&lt;='Catatan &amp; Sumber'!$B$15,"Ketat",IF(J1536&lt;='Catatan &amp; Sumber'!$B$16,"Sedang","Relatif Longgar"))))</x:f>
        <x:v>Relatif Longgar</x:v>
      </x:c>
      <x:c r="N1536" s="66" t="str">
        <x:v>Tidak Ada</x:v>
      </x:c>
      <x:c r="O1536" s="66" t="str">
        <x:v>Jawa Barat</x:v>
      </x:c>
      <x:c r="P1536" s="66" t="str">
        <x:v>Kabupaten Karawang</x:v>
      </x:c>
      <x:c r="Q1536" s="66" t="str">
        <x:v>https://snpmb.id/snbp/daya-tampung-snbp</x:v>
      </x:c>
      <x:c r="R1536" s="66" t="str">
        <x:v>https://sidatagrun-public-1076756628210.asia-southeast2.run.app/ptn_sn.php?ptn=331</x:v>
      </x:c>
    </x:row>
    <x:row r="1537">
      <x:c r="A1537" s="87" t="n">
        <x:v>2407</x:v>
      </x:c>
      <x:c r="B1537" s="66" t="n">
        <x:v>331</x:v>
      </x:c>
      <x:c r="C1537" s="66" t="str">
        <x:v>UNIVERSITAS SINGAPERBANGSA KARAWANG</x:v>
      </x:c>
      <x:c r="D1537" s="66" t="str">
        <x:v>PTN Akademik</x:v>
      </x:c>
      <x:c r="E1537" s="66" t="str">
        <x:v>13311018</x:v>
      </x:c>
      <x:c r="F1537" s="66" t="str">
        <x:v>PEND. BAHASA INGGRIS</x:v>
      </x:c>
      <x:c r="G1537" s="66" t="str">
        <x:v>Sarjana</x:v>
      </x:c>
      <x:c r="H1537" s="87" t="n">
        <x:v>71</x:v>
      </x:c>
      <x:c r="I1537" s="87" t="n">
        <x:v>361</x:v>
      </x:c>
      <x:c r="J1537" s="68" t="n">
        <x:f>IFERROR(H1537/I1537,"")</x:f>
        <x:v>0.19667590027700832</x:v>
      </x:c>
      <x:c r="K1537" s="69" t="n">
        <x:f>IFERROR(I1537/H1537,"")</x:f>
        <x:v>5.084507042253521</x:v>
      </x:c>
      <x:c r="L1537" s="66" t="str">
        <x:f>IF(K1537="","","1 : "&amp;TEXT(K1537,"0.0"))</x:f>
        <x:v>1 : 5.1</x:v>
      </x:c>
      <x:c r="M1537" s="66" t="str">
        <x:f>IF(J1537="","Baru/Tanpa Data",IF(J1537&lt;='Catatan &amp; Sumber'!$B$14,"Sangat Ketat",IF(J1537&lt;='Catatan &amp; Sumber'!$B$15,"Ketat",IF(J1537&lt;='Catatan &amp; Sumber'!$B$16,"Sedang","Relatif Longgar"))))</x:f>
        <x:v>Relatif Longgar</x:v>
      </x:c>
      <x:c r="N1537" s="66" t="str">
        <x:v>Tidak Ada</x:v>
      </x:c>
      <x:c r="O1537" s="66" t="str">
        <x:v>Jawa Barat</x:v>
      </x:c>
      <x:c r="P1537" s="66" t="str">
        <x:v>Kabupaten Karawang</x:v>
      </x:c>
      <x:c r="Q1537" s="66" t="str">
        <x:v>https://snpmb.id/snbp/daya-tampung-snbp</x:v>
      </x:c>
      <x:c r="R1537" s="66" t="str">
        <x:v>https://sidatagrun-public-1076756628210.asia-southeast2.run.app/ptn_sn.php?ptn=331</x:v>
      </x:c>
    </x:row>
    <x:row r="1538">
      <x:c r="A1538" s="87" t="n">
        <x:v>3400</x:v>
      </x:c>
      <x:c r="B1538" s="66" t="n">
        <x:v>331</x:v>
      </x:c>
      <x:c r="C1538" s="66" t="str">
        <x:v>UNIVERSITAS SINGAPERBANGSA KARAWANG</x:v>
      </x:c>
      <x:c r="D1538" s="66" t="str">
        <x:v>PTN Akademik</x:v>
      </x:c>
      <x:c r="E1538" s="66" t="str">
        <x:v>13311019</x:v>
      </x:c>
      <x:c r="F1538" s="66" t="str">
        <x:v>PEND. JASMANI, KESEHATAN DAN REKREASI</x:v>
      </x:c>
      <x:c r="G1538" s="66" t="str">
        <x:v>Sarjana</x:v>
      </x:c>
      <x:c r="H1538" s="87" t="n">
        <x:v>70</x:v>
      </x:c>
      <x:c r="I1538" s="87" t="n">
        <x:v>174</x:v>
      </x:c>
      <x:c r="J1538" s="68" t="n">
        <x:f>IFERROR(H1538/I1538,"")</x:f>
        <x:v>0.40229885057471265</x:v>
      </x:c>
      <x:c r="K1538" s="69" t="n">
        <x:f>IFERROR(I1538/H1538,"")</x:f>
        <x:v>2.4857142857142858</x:v>
      </x:c>
      <x:c r="L1538" s="66" t="str">
        <x:f>IF(K1538="","","1 : "&amp;TEXT(K1538,"0.0"))</x:f>
        <x:v>1 : 2.5</x:v>
      </x:c>
      <x:c r="M1538" s="66" t="str">
        <x:f>IF(J1538="","Baru/Tanpa Data",IF(J1538&lt;='Catatan &amp; Sumber'!$B$14,"Sangat Ketat",IF(J1538&lt;='Catatan &amp; Sumber'!$B$15,"Ketat",IF(J1538&lt;='Catatan &amp; Sumber'!$B$16,"Sedang","Relatif Longgar"))))</x:f>
        <x:v>Relatif Longgar</x:v>
      </x:c>
      <x:c r="N1538" s="66" t="str">
        <x:v>Olahraga</x:v>
      </x:c>
      <x:c r="O1538" s="66" t="str">
        <x:v>Jawa Barat</x:v>
      </x:c>
      <x:c r="P1538" s="66" t="str">
        <x:v>Kabupaten Karawang</x:v>
      </x:c>
      <x:c r="Q1538" s="66" t="str">
        <x:v>https://snpmb.id/snbp/daya-tampung-snbp</x:v>
      </x:c>
      <x:c r="R1538" s="66" t="str">
        <x:v>https://sidatagrun-public-1076756628210.asia-southeast2.run.app/ptn_sn.php?ptn=331</x:v>
      </x:c>
    </x:row>
    <x:row r="1539">
      <x:c r="A1539" s="87" t="n">
        <x:v>2266</x:v>
      </x:c>
      <x:c r="B1539" s="66" t="n">
        <x:v>331</x:v>
      </x:c>
      <x:c r="C1539" s="66" t="str">
        <x:v>UNIVERSITAS SINGAPERBANGSA KARAWANG</x:v>
      </x:c>
      <x:c r="D1539" s="66" t="str">
        <x:v>PTN Akademik</x:v>
      </x:c>
      <x:c r="E1539" s="66" t="str">
        <x:v>13311020</x:v>
      </x:c>
      <x:c r="F1539" s="66" t="str">
        <x:v>PEND. BAHASA DAN SASTRA INDONESIA</x:v>
      </x:c>
      <x:c r="G1539" s="66" t="str">
        <x:v>Sarjana</x:v>
      </x:c>
      <x:c r="H1539" s="87" t="n">
        <x:v>70</x:v>
      </x:c>
      <x:c r="I1539" s="87" t="n">
        <x:v>389</x:v>
      </x:c>
      <x:c r="J1539" s="68" t="n">
        <x:f>IFERROR(H1539/I1539,"")</x:f>
        <x:v>0.17994858611825193</x:v>
      </x:c>
      <x:c r="K1539" s="69" t="n">
        <x:f>IFERROR(I1539/H1539,"")</x:f>
        <x:v>5.557142857142857</x:v>
      </x:c>
      <x:c r="L1539" s="66" t="str">
        <x:f>IF(K1539="","","1 : "&amp;TEXT(K1539,"0.0"))</x:f>
        <x:v>1 : 5.6</x:v>
      </x:c>
      <x:c r="M1539" s="66" t="str">
        <x:f>IF(J1539="","Baru/Tanpa Data",IF(J1539&lt;='Catatan &amp; Sumber'!$B$14,"Sangat Ketat",IF(J1539&lt;='Catatan &amp; Sumber'!$B$15,"Ketat",IF(J1539&lt;='Catatan &amp; Sumber'!$B$16,"Sedang","Relatif Longgar"))))</x:f>
        <x:v>Relatif Longgar</x:v>
      </x:c>
      <x:c r="N1539" s="66" t="str">
        <x:v>Tidak Ada</x:v>
      </x:c>
      <x:c r="O1539" s="66" t="str">
        <x:v>Jawa Barat</x:v>
      </x:c>
      <x:c r="P1539" s="66" t="str">
        <x:v>Kabupaten Karawang</x:v>
      </x:c>
      <x:c r="Q1539" s="66" t="str">
        <x:v>https://snpmb.id/snbp/daya-tampung-snbp</x:v>
      </x:c>
      <x:c r="R1539" s="66" t="str">
        <x:v>https://sidatagrun-public-1076756628210.asia-southeast2.run.app/ptn_sn.php?ptn=331</x:v>
      </x:c>
    </x:row>
    <x:row r="1540">
      <x:c r="A1540" s="87" t="n">
        <x:v>2316</x:v>
      </x:c>
      <x:c r="B1540" s="66" t="n">
        <x:v>331</x:v>
      </x:c>
      <x:c r="C1540" s="66" t="str">
        <x:v>UNIVERSITAS SINGAPERBANGSA KARAWANG</x:v>
      </x:c>
      <x:c r="D1540" s="66" t="str">
        <x:v>PTN Akademik</x:v>
      </x:c>
      <x:c r="E1540" s="66" t="str">
        <x:v>13311021</x:v>
      </x:c>
      <x:c r="F1540" s="66" t="str">
        <x:v>ILMU PEMERINTAHAN</x:v>
      </x:c>
      <x:c r="G1540" s="66" t="str">
        <x:v>Sarjana</x:v>
      </x:c>
      <x:c r="H1540" s="87" t="n">
        <x:v>70</x:v>
      </x:c>
      <x:c r="I1540" s="87" t="n">
        <x:v>377</x:v>
      </x:c>
      <x:c r="J1540" s="68" t="n">
        <x:f>IFERROR(H1540/I1540,"")</x:f>
        <x:v>0.1856763925729443</x:v>
      </x:c>
      <x:c r="K1540" s="69" t="n">
        <x:f>IFERROR(I1540/H1540,"")</x:f>
        <x:v>5.385714285714286</x:v>
      </x:c>
      <x:c r="L1540" s="66" t="str">
        <x:f>IF(K1540="","","1 : "&amp;TEXT(K1540,"0.0"))</x:f>
        <x:v>1 : 5.4</x:v>
      </x:c>
      <x:c r="M1540" s="66" t="str">
        <x:f>IF(J1540="","Baru/Tanpa Data",IF(J1540&lt;='Catatan &amp; Sumber'!$B$14,"Sangat Ketat",IF(J1540&lt;='Catatan &amp; Sumber'!$B$15,"Ketat",IF(J1540&lt;='Catatan &amp; Sumber'!$B$16,"Sedang","Relatif Longgar"))))</x:f>
        <x:v>Relatif Longgar</x:v>
      </x:c>
      <x:c r="N1540" s="66" t="str">
        <x:v>Tidak Ada</x:v>
      </x:c>
      <x:c r="O1540" s="66" t="str">
        <x:v>Jawa Barat</x:v>
      </x:c>
      <x:c r="P1540" s="66" t="str">
        <x:v>Kabupaten Karawang</x:v>
      </x:c>
      <x:c r="Q1540" s="66" t="str">
        <x:v>https://snpmb.id/snbp/daya-tampung-snbp</x:v>
      </x:c>
      <x:c r="R1540" s="66" t="str">
        <x:v>https://sidatagrun-public-1076756628210.asia-southeast2.run.app/ptn_sn.php?ptn=331</x:v>
      </x:c>
    </x:row>
    <x:row r="1541">
      <x:c r="A1541" s="87" t="n">
        <x:v>1236</x:v>
      </x:c>
      <x:c r="B1541" s="66" t="n">
        <x:v>331</x:v>
      </x:c>
      <x:c r="C1541" s="66" t="str">
        <x:v>UNIVERSITAS SINGAPERBANGSA KARAWANG</x:v>
      </x:c>
      <x:c r="D1541" s="66" t="str">
        <x:v>PTN Akademik</x:v>
      </x:c>
      <x:c r="E1541" s="66" t="str">
        <x:v>13311022</x:v>
      </x:c>
      <x:c r="F1541" s="66" t="str">
        <x:v>ILMU KOMUNIKASI</x:v>
      </x:c>
      <x:c r="G1541" s="66" t="str">
        <x:v>Sarjana</x:v>
      </x:c>
      <x:c r="H1541" s="87" t="n">
        <x:v>70</x:v>
      </x:c>
      <x:c r="I1541" s="87" t="n">
        <x:v>760</x:v>
      </x:c>
      <x:c r="J1541" s="68" t="n">
        <x:f>IFERROR(H1541/I1541,"")</x:f>
        <x:v>0.09210526315789473</x:v>
      </x:c>
      <x:c r="K1541" s="69" t="n">
        <x:f>IFERROR(I1541/H1541,"")</x:f>
        <x:v>10.857142857142858</x:v>
      </x:c>
      <x:c r="L1541" s="66" t="str">
        <x:f>IF(K1541="","","1 : "&amp;TEXT(K1541,"0.0"))</x:f>
        <x:v>1 : 10.9</x:v>
      </x:c>
      <x:c r="M1541" s="66" t="str">
        <x:f>IF(J1541="","Baru/Tanpa Data",IF(J1541&lt;='Catatan &amp; Sumber'!$B$14,"Sangat Ketat",IF(J1541&lt;='Catatan &amp; Sumber'!$B$15,"Ketat",IF(J1541&lt;='Catatan &amp; Sumber'!$B$16,"Sedang","Relatif Longgar"))))</x:f>
        <x:v>Sedang</x:v>
      </x:c>
      <x:c r="N1541" s="66" t="str">
        <x:v>Tidak Ada</x:v>
      </x:c>
      <x:c r="O1541" s="66" t="str">
        <x:v>Jawa Barat</x:v>
      </x:c>
      <x:c r="P1541" s="66" t="str">
        <x:v>Kabupaten Karawang</x:v>
      </x:c>
      <x:c r="Q1541" s="66" t="str">
        <x:v>https://snpmb.id/snbp/daya-tampung-snbp</x:v>
      </x:c>
      <x:c r="R1541" s="66" t="str">
        <x:v>https://sidatagrun-public-1076756628210.asia-southeast2.run.app/ptn_sn.php?ptn=331</x:v>
      </x:c>
    </x:row>
    <x:row r="1542">
      <x:c r="A1542" s="87" t="n">
        <x:v>1948</x:v>
      </x:c>
      <x:c r="B1542" s="66" t="n">
        <x:v>331</x:v>
      </x:c>
      <x:c r="C1542" s="66" t="str">
        <x:v>UNIVERSITAS SINGAPERBANGSA KARAWANG</x:v>
      </x:c>
      <x:c r="D1542" s="66" t="str">
        <x:v>PTN Akademik</x:v>
      </x:c>
      <x:c r="E1542" s="66" t="str">
        <x:v>13311023</x:v>
      </x:c>
      <x:c r="F1542" s="66" t="str">
        <x:v>HUBUNGAN INTERNASIONAL</x:v>
      </x:c>
      <x:c r="G1542" s="66" t="str">
        <x:v>Sarjana</x:v>
      </x:c>
      <x:c r="H1542" s="87" t="n">
        <x:v>37</x:v>
      </x:c>
      <x:c r="I1542" s="87" t="n">
        <x:v>253</x:v>
      </x:c>
      <x:c r="J1542" s="68" t="n">
        <x:f>IFERROR(H1542/I1542,"")</x:f>
        <x:v>0.14624505928853754</x:v>
      </x:c>
      <x:c r="K1542" s="69" t="n">
        <x:f>IFERROR(I1542/H1542,"")</x:f>
        <x:v>6.837837837837838</x:v>
      </x:c>
      <x:c r="L1542" s="66" t="str">
        <x:f>IF(K1542="","","1 : "&amp;TEXT(K1542,"0.0"))</x:f>
        <x:v>1 : 6.8</x:v>
      </x:c>
      <x:c r="M1542" s="66" t="str">
        <x:f>IF(J1542="","Baru/Tanpa Data",IF(J1542&lt;='Catatan &amp; Sumber'!$B$14,"Sangat Ketat",IF(J1542&lt;='Catatan &amp; Sumber'!$B$15,"Ketat",IF(J1542&lt;='Catatan &amp; Sumber'!$B$16,"Sedang","Relatif Longgar"))))</x:f>
        <x:v>Relatif Longgar</x:v>
      </x:c>
      <x:c r="N1542" s="66" t="str">
        <x:v>Tidak Ada</x:v>
      </x:c>
      <x:c r="O1542" s="66" t="str">
        <x:v>Jawa Barat</x:v>
      </x:c>
      <x:c r="P1542" s="66" t="str">
        <x:v>Kabupaten Karawang</x:v>
      </x:c>
      <x:c r="Q1542" s="66" t="str">
        <x:v>https://snpmb.id/snbp/daya-tampung-snbp</x:v>
      </x:c>
      <x:c r="R1542" s="66" t="str">
        <x:v>https://sidatagrun-public-1076756628210.asia-southeast2.run.app/ptn_sn.php?ptn=331</x:v>
      </x:c>
    </x:row>
    <x:row r="1543">
      <x:c r="A1543" s="87" t="n">
        <x:v>1262</x:v>
      </x:c>
      <x:c r="B1543" s="66" t="n">
        <x:v>331</x:v>
      </x:c>
      <x:c r="C1543" s="66" t="str">
        <x:v>UNIVERSITAS SINGAPERBANGSA KARAWANG</x:v>
      </x:c>
      <x:c r="D1543" s="66" t="str">
        <x:v>PTN Akademik</x:v>
      </x:c>
      <x:c r="E1543" s="66" t="str">
        <x:v>13311027</x:v>
      </x:c>
      <x:c r="F1543" s="66" t="str">
        <x:v>ADMINISTRASI RUMAH SAKIT</x:v>
      </x:c>
      <x:c r="G1543" s="66" t="str">
        <x:v>Sarjana</x:v>
      </x:c>
      <x:c r="H1543" s="87" t="n">
        <x:v>40</x:v>
      </x:c>
      <x:c r="I1543" s="87" t="n">
        <x:v>427</x:v>
      </x:c>
      <x:c r="J1543" s="68" t="n">
        <x:f>IFERROR(H1543/I1543,"")</x:f>
        <x:v>0.0936768149882904</x:v>
      </x:c>
      <x:c r="K1543" s="69" t="n">
        <x:f>IFERROR(I1543/H1543,"")</x:f>
        <x:v>10.675</x:v>
      </x:c>
      <x:c r="L1543" s="66" t="str">
        <x:f>IF(K1543="","","1 : "&amp;TEXT(K1543,"0.0"))</x:f>
        <x:v>1 : 10.7</x:v>
      </x:c>
      <x:c r="M1543" s="66" t="str">
        <x:f>IF(J1543="","Baru/Tanpa Data",IF(J1543&lt;='Catatan &amp; Sumber'!$B$14,"Sangat Ketat",IF(J1543&lt;='Catatan &amp; Sumber'!$B$15,"Ketat",IF(J1543&lt;='Catatan &amp; Sumber'!$B$16,"Sedang","Relatif Longgar"))))</x:f>
        <x:v>Sedang</x:v>
      </x:c>
      <x:c r="N1543" s="66" t="str">
        <x:v>Tidak Ada</x:v>
      </x:c>
      <x:c r="O1543" s="66" t="str">
        <x:v>Jawa Barat</x:v>
      </x:c>
      <x:c r="P1543" s="66" t="str">
        <x:v>Kabupaten Karawang</x:v>
      </x:c>
      <x:c r="Q1543" s="66" t="str">
        <x:v>https://snpmb.id/snbp/daya-tampung-snbp</x:v>
      </x:c>
      <x:c r="R1543" s="66" t="str">
        <x:v>https://sidatagrun-public-1076756628210.asia-southeast2.run.app/ptn_sn.php?ptn=331</x:v>
      </x:c>
    </x:row>
    <x:row r="1544">
      <x:c r="A1544" s="87" t="n">
        <x:v>1795</x:v>
      </x:c>
      <x:c r="B1544" s="66" t="n">
        <x:v>331</x:v>
      </x:c>
      <x:c r="C1544" s="66" t="str">
        <x:v>UNIVERSITAS SINGAPERBANGSA KARAWANG</x:v>
      </x:c>
      <x:c r="D1544" s="66" t="str">
        <x:v>PTN Akademik</x:v>
      </x:c>
      <x:c r="E1544" s="66" t="str">
        <x:v>13311028</x:v>
      </x:c>
      <x:c r="F1544" s="66" t="str">
        <x:v>TEKNIK SIPIL</x:v>
      </x:c>
      <x:c r="G1544" s="66" t="str">
        <x:v>Sarjana</x:v>
      </x:c>
      <x:c r="H1544" s="87" t="n">
        <x:v>30</x:v>
      </x:c>
      <x:c r="I1544" s="87" t="n">
        <x:v>227</x:v>
      </x:c>
      <x:c r="J1544" s="68" t="n">
        <x:f>IFERROR(H1544/I1544,"")</x:f>
        <x:v>0.13215859030837004</x:v>
      </x:c>
      <x:c r="K1544" s="69" t="n">
        <x:f>IFERROR(I1544/H1544,"")</x:f>
        <x:v>7.566666666666666</x:v>
      </x:c>
      <x:c r="L1544" s="66" t="str">
        <x:f>IF(K1544="","","1 : "&amp;TEXT(K1544,"0.0"))</x:f>
        <x:v>1 : 7.6</x:v>
      </x:c>
      <x:c r="M1544" s="66" t="str">
        <x:f>IF(J1544="","Baru/Tanpa Data",IF(J1544&lt;='Catatan &amp; Sumber'!$B$14,"Sangat Ketat",IF(J1544&lt;='Catatan &amp; Sumber'!$B$15,"Ketat",IF(J1544&lt;='Catatan &amp; Sumber'!$B$16,"Sedang","Relatif Longgar"))))</x:f>
        <x:v>Relatif Longgar</x:v>
      </x:c>
      <x:c r="N1544" s="66" t="str">
        <x:v>Tidak Ada</x:v>
      </x:c>
      <x:c r="O1544" s="66" t="str">
        <x:v>Jawa Barat</x:v>
      </x:c>
      <x:c r="P1544" s="66" t="str">
        <x:v>Kabupaten Karawang</x:v>
      </x:c>
      <x:c r="Q1544" s="66" t="str">
        <x:v>https://snpmb.id/snbp/daya-tampung-snbp</x:v>
      </x:c>
      <x:c r="R1544" s="66" t="str">
        <x:v>https://sidatagrun-public-1076756628210.asia-southeast2.run.app/ptn_sn.php?ptn=331</x:v>
      </x:c>
    </x:row>
    <x:row r="1545">
      <x:c r="A1545" s="87" t="n">
        <x:v>3646</x:v>
      </x:c>
      <x:c r="B1545" s="66" t="n">
        <x:v>331</x:v>
      </x:c>
      <x:c r="C1545" s="66" t="str">
        <x:v>UNIVERSITAS SINGAPERBANGSA KARAWANG</x:v>
      </x:c>
      <x:c r="D1545" s="66" t="str">
        <x:v>PTN Akademik</x:v>
      </x:c>
      <x:c r="E1545" s="66" t="str">
        <x:v>13311029</x:v>
      </x:c>
      <x:c r="F1545" s="66" t="str">
        <x:v>FISIKA</x:v>
      </x:c>
      <x:c r="G1545" s="66" t="str">
        <x:v>Sarjana</x:v>
      </x:c>
      <x:c r="H1545" s="87" t="n">
        <x:v>20</x:v>
      </x:c>
      <x:c r="I1545" s="87" t="n">
        <x:v>41</x:v>
      </x:c>
      <x:c r="J1545" s="68" t="n">
        <x:f>IFERROR(H1545/I1545,"")</x:f>
        <x:v>0.4878048780487805</x:v>
      </x:c>
      <x:c r="K1545" s="69" t="n">
        <x:f>IFERROR(I1545/H1545,"")</x:f>
        <x:v>2.05</x:v>
      </x:c>
      <x:c r="L1545" s="66" t="str">
        <x:f>IF(K1545="","","1 : "&amp;TEXT(K1545,"0.0"))</x:f>
        <x:v>1 : 2.1</x:v>
      </x:c>
      <x:c r="M1545" s="66" t="str">
        <x:f>IF(J1545="","Baru/Tanpa Data",IF(J1545&lt;='Catatan &amp; Sumber'!$B$14,"Sangat Ketat",IF(J1545&lt;='Catatan &amp; Sumber'!$B$15,"Ketat",IF(J1545&lt;='Catatan &amp; Sumber'!$B$16,"Sedang","Relatif Longgar"))))</x:f>
        <x:v>Relatif Longgar</x:v>
      </x:c>
      <x:c r="N1545" s="66" t="str">
        <x:v>Tidak Ada</x:v>
      </x:c>
      <x:c r="O1545" s="66" t="str">
        <x:v>Jawa Barat</x:v>
      </x:c>
      <x:c r="P1545" s="66" t="str">
        <x:v>Kabupaten Karawang</x:v>
      </x:c>
      <x:c r="Q1545" s="66" t="str">
        <x:v>https://snpmb.id/snbp/daya-tampung-snbp</x:v>
      </x:c>
      <x:c r="R1545" s="66" t="str">
        <x:v>https://sidatagrun-public-1076756628210.asia-southeast2.run.app/ptn_sn.php?ptn=331</x:v>
      </x:c>
    </x:row>
    <x:row r="1546">
      <x:c r="A1546" s="87"/>
      <x:c r="B1546" s="66" t="n">
        <x:v>331</x:v>
      </x:c>
      <x:c r="C1546" s="66" t="str">
        <x:v>UNIVERSITAS SINGAPERBANGSA KARAWANG</x:v>
      </x:c>
      <x:c r="D1546" s="66" t="str">
        <x:v>PTN Akademik</x:v>
      </x:c>
      <x:c r="E1546" s="66" t="str">
        <x:v>13311030</x:v>
      </x:c>
      <x:c r="F1546" s="66" t="str">
        <x:v>KIMIA</x:v>
      </x:c>
      <x:c r="G1546" s="66" t="str">
        <x:v>Sarjana</x:v>
      </x:c>
      <x:c r="H1546" s="87" t="n">
        <x:v>20</x:v>
      </x:c>
      <x:c r="I1546" s="87"/>
      <x:c r="J1546" s="68" t="str">
        <x:f>IFERROR(H1546/I1546,"")</x:f>
      </x:c>
      <x:c r="K1546" s="69" t="n">
        <x:f>IFERROR(I1546/H1546,"")</x:f>
        <x:v>0</x:v>
      </x:c>
      <x:c r="L1546" s="66" t="str">
        <x:f>IF(K1546="","","1 : "&amp;TEXT(K1546,"0.0"))</x:f>
      </x:c>
      <x:c r="M1546" s="66" t="str">
        <x:f>IF(J1546="","Baru/Tanpa Data",IF(J1546&lt;='Catatan &amp; Sumber'!$B$14,"Sangat Ketat",IF(J1546&lt;='Catatan &amp; Sumber'!$B$15,"Ketat",IF(J1546&lt;='Catatan &amp; Sumber'!$B$16,"Sedang","Relatif Longgar"))))</x:f>
        <x:v>Baru/Tanpa Data</x:v>
      </x:c>
      <x:c r="N1546" s="66" t="str">
        <x:v>Tidak Ada</x:v>
      </x:c>
      <x:c r="O1546" s="66" t="str">
        <x:v>Jawa Barat</x:v>
      </x:c>
      <x:c r="P1546" s="66" t="str">
        <x:v>Kabupaten Karawang</x:v>
      </x:c>
      <x:c r="Q1546" s="66" t="str">
        <x:v>https://snpmb.id/snbp/daya-tampung-snbp</x:v>
      </x:c>
      <x:c r="R1546" s="66" t="str">
        <x:v>https://sidatagrun-public-1076756628210.asia-southeast2.run.app/ptn_sn.php?ptn=331</x:v>
      </x:c>
    </x:row>
    <x:row r="1547">
      <x:c r="A1547" s="87"/>
      <x:c r="B1547" s="66" t="n">
        <x:v>331</x:v>
      </x:c>
      <x:c r="C1547" s="66" t="str">
        <x:v>UNIVERSITAS SINGAPERBANGSA KARAWANG</x:v>
      </x:c>
      <x:c r="D1547" s="66" t="str">
        <x:v>PTN Akademik</x:v>
      </x:c>
      <x:c r="E1547" s="66" t="str">
        <x:v>13311031</x:v>
      </x:c>
      <x:c r="F1547" s="66" t="str">
        <x:v>ARSITEKTUR</x:v>
      </x:c>
      <x:c r="G1547" s="66" t="str">
        <x:v>Sarjana</x:v>
      </x:c>
      <x:c r="H1547" s="87" t="n">
        <x:v>20</x:v>
      </x:c>
      <x:c r="I1547" s="87"/>
      <x:c r="J1547" s="68" t="str">
        <x:f>IFERROR(H1547/I1547,"")</x:f>
      </x:c>
      <x:c r="K1547" s="69" t="n">
        <x:f>IFERROR(I1547/H1547,"")</x:f>
        <x:v>0</x:v>
      </x:c>
      <x:c r="L1547" s="66" t="str">
        <x:f>IF(K1547="","","1 : "&amp;TEXT(K1547,"0.0"))</x:f>
      </x:c>
      <x:c r="M1547" s="66" t="str">
        <x:f>IF(J1547="","Baru/Tanpa Data",IF(J1547&lt;='Catatan &amp; Sumber'!$B$14,"Sangat Ketat",IF(J1547&lt;='Catatan &amp; Sumber'!$B$15,"Ketat",IF(J1547&lt;='Catatan &amp; Sumber'!$B$16,"Sedang","Relatif Longgar"))))</x:f>
        <x:v>Baru/Tanpa Data</x:v>
      </x:c>
      <x:c r="N1547" s="66" t="str">
        <x:v>Tidak Ada</x:v>
      </x:c>
      <x:c r="O1547" s="66" t="str">
        <x:v>Jawa Barat</x:v>
      </x:c>
      <x:c r="P1547" s="66" t="str">
        <x:v>Kabupaten Karawang</x:v>
      </x:c>
      <x:c r="Q1547" s="66" t="str">
        <x:v>https://snpmb.id/snbp/daya-tampung-snbp</x:v>
      </x:c>
      <x:c r="R1547" s="66" t="str">
        <x:v>https://sidatagrun-public-1076756628210.asia-southeast2.run.app/ptn_sn.php?ptn=331</x:v>
      </x:c>
    </x:row>
    <x:row r="1548">
      <x:c r="A1548" s="87"/>
      <x:c r="B1548" s="66" t="n">
        <x:v>331</x:v>
      </x:c>
      <x:c r="C1548" s="66" t="str">
        <x:v>UNIVERSITAS SINGAPERBANGSA KARAWANG</x:v>
      </x:c>
      <x:c r="D1548" s="66" t="str">
        <x:v>PTN Akademik</x:v>
      </x:c>
      <x:c r="E1548" s="66" t="str">
        <x:v>13311032</x:v>
      </x:c>
      <x:c r="F1548" s="66" t="str">
        <x:v>STATISTIKA</x:v>
      </x:c>
      <x:c r="G1548" s="66" t="str">
        <x:v>Sarjana</x:v>
      </x:c>
      <x:c r="H1548" s="87" t="n">
        <x:v>20</x:v>
      </x:c>
      <x:c r="I1548" s="87"/>
      <x:c r="J1548" s="68" t="str">
        <x:f>IFERROR(H1548/I1548,"")</x:f>
      </x:c>
      <x:c r="K1548" s="69" t="n">
        <x:f>IFERROR(I1548/H1548,"")</x:f>
        <x:v>0</x:v>
      </x:c>
      <x:c r="L1548" s="66" t="str">
        <x:f>IF(K1548="","","1 : "&amp;TEXT(K1548,"0.0"))</x:f>
      </x:c>
      <x:c r="M1548" s="66" t="str">
        <x:f>IF(J1548="","Baru/Tanpa Data",IF(J1548&lt;='Catatan &amp; Sumber'!$B$14,"Sangat Ketat",IF(J1548&lt;='Catatan &amp; Sumber'!$B$15,"Ketat",IF(J1548&lt;='Catatan &amp; Sumber'!$B$16,"Sedang","Relatif Longgar"))))</x:f>
        <x:v>Baru/Tanpa Data</x:v>
      </x:c>
      <x:c r="N1548" s="66" t="str">
        <x:v>Tidak Ada</x:v>
      </x:c>
      <x:c r="O1548" s="66" t="str">
        <x:v>Jawa Barat</x:v>
      </x:c>
      <x:c r="P1548" s="66" t="str">
        <x:v>Kabupaten Karawang</x:v>
      </x:c>
      <x:c r="Q1548" s="66" t="str">
        <x:v>https://snpmb.id/snbp/daya-tampung-snbp</x:v>
      </x:c>
      <x:c r="R1548" s="66" t="str">
        <x:v>https://sidatagrun-public-1076756628210.asia-southeast2.run.app/ptn_sn.php?ptn=331</x:v>
      </x:c>
    </x:row>
    <x:row r="1549">
      <x:c r="A1549" s="87"/>
      <x:c r="B1549" s="66" t="n">
        <x:v>331</x:v>
      </x:c>
      <x:c r="C1549" s="66" t="str">
        <x:v>UNIVERSITAS SINGAPERBANGSA KARAWANG</x:v>
      </x:c>
      <x:c r="D1549" s="66" t="str">
        <x:v>PTN Akademik</x:v>
      </x:c>
      <x:c r="E1549" s="66" t="str">
        <x:v>13311033</x:v>
      </x:c>
      <x:c r="F1549" s="66" t="str">
        <x:v>TEKNOLOGI INDUSTRI PERTANIAN</x:v>
      </x:c>
      <x:c r="G1549" s="66" t="str">
        <x:v>Sarjana</x:v>
      </x:c>
      <x:c r="H1549" s="87" t="n">
        <x:v>24</x:v>
      </x:c>
      <x:c r="I1549" s="87"/>
      <x:c r="J1549" s="68" t="str">
        <x:f>IFERROR(H1549/I1549,"")</x:f>
      </x:c>
      <x:c r="K1549" s="69" t="n">
        <x:f>IFERROR(I1549/H1549,"")</x:f>
        <x:v>0</x:v>
      </x:c>
      <x:c r="L1549" s="66" t="str">
        <x:f>IF(K1549="","","1 : "&amp;TEXT(K1549,"0.0"))</x:f>
      </x:c>
      <x:c r="M1549" s="66" t="str">
        <x:f>IF(J1549="","Baru/Tanpa Data",IF(J1549&lt;='Catatan &amp; Sumber'!$B$14,"Sangat Ketat",IF(J1549&lt;='Catatan &amp; Sumber'!$B$15,"Ketat",IF(J1549&lt;='Catatan &amp; Sumber'!$B$16,"Sedang","Relatif Longgar"))))</x:f>
        <x:v>Baru/Tanpa Data</x:v>
      </x:c>
      <x:c r="N1549" s="66" t="str">
        <x:v>Tidak Ada</x:v>
      </x:c>
      <x:c r="O1549" s="66" t="str">
        <x:v>Jawa Barat</x:v>
      </x:c>
      <x:c r="P1549" s="66" t="str">
        <x:v>Kabupaten Karawang</x:v>
      </x:c>
      <x:c r="Q1549" s="66" t="str">
        <x:v>https://snpmb.id/snbp/daya-tampung-snbp</x:v>
      </x:c>
      <x:c r="R1549" s="66" t="str">
        <x:v>https://sidatagrun-public-1076756628210.asia-southeast2.run.app/ptn_sn.php?ptn=331</x:v>
      </x:c>
    </x:row>
    <x:row r="1550">
      <x:c r="A1550" s="87"/>
      <x:c r="B1550" s="66" t="n">
        <x:v>331</x:v>
      </x:c>
      <x:c r="C1550" s="66" t="str">
        <x:v>UNIVERSITAS SINGAPERBANGSA KARAWANG</x:v>
      </x:c>
      <x:c r="D1550" s="66" t="str">
        <x:v>PTN Akademik</x:v>
      </x:c>
      <x:c r="E1550" s="66" t="str">
        <x:v>13311034</x:v>
      </x:c>
      <x:c r="F1550" s="66" t="str">
        <x:v>KEBIDANAN</x:v>
      </x:c>
      <x:c r="G1550" s="66" t="str">
        <x:v>Sarjana</x:v>
      </x:c>
      <x:c r="H1550" s="87" t="n">
        <x:v>24</x:v>
      </x:c>
      <x:c r="I1550" s="87"/>
      <x:c r="J1550" s="68" t="str">
        <x:f>IFERROR(H1550/I1550,"")</x:f>
      </x:c>
      <x:c r="K1550" s="69" t="n">
        <x:f>IFERROR(I1550/H1550,"")</x:f>
        <x:v>0</x:v>
      </x:c>
      <x:c r="L1550" s="66" t="str">
        <x:f>IF(K1550="","","1 : "&amp;TEXT(K1550,"0.0"))</x:f>
      </x:c>
      <x:c r="M1550" s="66" t="str">
        <x:f>IF(J1550="","Baru/Tanpa Data",IF(J1550&lt;='Catatan &amp; Sumber'!$B$14,"Sangat Ketat",IF(J1550&lt;='Catatan &amp; Sumber'!$B$15,"Ketat",IF(J1550&lt;='Catatan &amp; Sumber'!$B$16,"Sedang","Relatif Longgar"))))</x:f>
        <x:v>Baru/Tanpa Data</x:v>
      </x:c>
      <x:c r="N1550" s="66" t="str">
        <x:v>Tidak Ada</x:v>
      </x:c>
      <x:c r="O1550" s="66" t="str">
        <x:v>Jawa Barat</x:v>
      </x:c>
      <x:c r="P1550" s="66" t="str">
        <x:v>Kabupaten Karawang</x:v>
      </x:c>
      <x:c r="Q1550" s="66" t="str">
        <x:v>https://snpmb.id/snbp/daya-tampung-snbp</x:v>
      </x:c>
      <x:c r="R1550" s="66" t="str">
        <x:v>https://sidatagrun-public-1076756628210.asia-southeast2.run.app/ptn_sn.php?ptn=331</x:v>
      </x:c>
    </x:row>
    <x:row r="1551">
      <x:c r="A1551" s="87" t="n">
        <x:v>3048</x:v>
      </x:c>
      <x:c r="B1551" s="66" t="n">
        <x:v>331</x:v>
      </x:c>
      <x:c r="C1551" s="66" t="str">
        <x:v>UNIVERSITAS SINGAPERBANGSA KARAWANG</x:v>
      </x:c>
      <x:c r="D1551" s="66" t="str">
        <x:v>PTN Akademik</x:v>
      </x:c>
      <x:c r="E1551" s="66" t="str">
        <x:v>13313024</x:v>
      </x:c>
      <x:c r="F1551" s="66" t="str">
        <x:v>AKUNTANSI</x:v>
      </x:c>
      <x:c r="G1551" s="66" t="str">
        <x:v>Diploma Tiga</x:v>
      </x:c>
      <x:c r="H1551" s="87" t="n">
        <x:v>48</x:v>
      </x:c>
      <x:c r="I1551" s="87" t="n">
        <x:v>158</x:v>
      </x:c>
      <x:c r="J1551" s="68" t="n">
        <x:f>IFERROR(H1551/I1551,"")</x:f>
        <x:v>0.3037974683544304</x:v>
      </x:c>
      <x:c r="K1551" s="69" t="n">
        <x:f>IFERROR(I1551/H1551,"")</x:f>
        <x:v>3.2916666666666665</x:v>
      </x:c>
      <x:c r="L1551" s="66" t="str">
        <x:f>IF(K1551="","","1 : "&amp;TEXT(K1551,"0.0"))</x:f>
        <x:v>1 : 3.3</x:v>
      </x:c>
      <x:c r="M1551" s="66" t="str">
        <x:f>IF(J1551="","Baru/Tanpa Data",IF(J1551&lt;='Catatan &amp; Sumber'!$B$14,"Sangat Ketat",IF(J1551&lt;='Catatan &amp; Sumber'!$B$15,"Ketat",IF(J1551&lt;='Catatan &amp; Sumber'!$B$16,"Sedang","Relatif Longgar"))))</x:f>
        <x:v>Relatif Longgar</x:v>
      </x:c>
      <x:c r="N1551" s="66" t="str">
        <x:v>Tidak Ada</x:v>
      </x:c>
      <x:c r="O1551" s="66" t="str">
        <x:v>Jawa Barat</x:v>
      </x:c>
      <x:c r="P1551" s="66" t="str">
        <x:v>Kabupaten Karawang</x:v>
      </x:c>
      <x:c r="Q1551" s="66" t="str">
        <x:v>https://snpmb.id/snbp/daya-tampung-snbp</x:v>
      </x:c>
      <x:c r="R1551" s="66" t="str">
        <x:v>https://sidatagrun-public-1076756628210.asia-southeast2.run.app/ptn_sn.php?ptn=331</x:v>
      </x:c>
    </x:row>
    <x:row r="1552">
      <x:c r="A1552" s="87" t="n">
        <x:v>2845</x:v>
      </x:c>
      <x:c r="B1552" s="66" t="n">
        <x:v>331</x:v>
      </x:c>
      <x:c r="C1552" s="66" t="str">
        <x:v>UNIVERSITAS SINGAPERBANGSA KARAWANG</x:v>
      </x:c>
      <x:c r="D1552" s="66" t="str">
        <x:v>PTN Akademik</x:v>
      </x:c>
      <x:c r="E1552" s="66" t="str">
        <x:v>13313025</x:v>
      </x:c>
      <x:c r="F1552" s="66" t="str">
        <x:v>TEKNIK MESIN</x:v>
      </x:c>
      <x:c r="G1552" s="66" t="str">
        <x:v>Diploma Tiga</x:v>
      </x:c>
      <x:c r="H1552" s="87" t="n">
        <x:v>28</x:v>
      </x:c>
      <x:c r="I1552" s="87" t="n">
        <x:v>105</x:v>
      </x:c>
      <x:c r="J1552" s="68" t="n">
        <x:f>IFERROR(H1552/I1552,"")</x:f>
        <x:v>0.26666666666666666</x:v>
      </x:c>
      <x:c r="K1552" s="69" t="n">
        <x:f>IFERROR(I1552/H1552,"")</x:f>
        <x:v>3.75</x:v>
      </x:c>
      <x:c r="L1552" s="66" t="str">
        <x:f>IF(K1552="","","1 : "&amp;TEXT(K1552,"0.0"))</x:f>
        <x:v>1 : 3.8</x:v>
      </x:c>
      <x:c r="M1552" s="66" t="str">
        <x:f>IF(J1552="","Baru/Tanpa Data",IF(J1552&lt;='Catatan &amp; Sumber'!$B$14,"Sangat Ketat",IF(J1552&lt;='Catatan &amp; Sumber'!$B$15,"Ketat",IF(J1552&lt;='Catatan &amp; Sumber'!$B$16,"Sedang","Relatif Longgar"))))</x:f>
        <x:v>Relatif Longgar</x:v>
      </x:c>
      <x:c r="N1552" s="66" t="str">
        <x:v>Tidak Ada</x:v>
      </x:c>
      <x:c r="O1552" s="66" t="str">
        <x:v>Jawa Barat</x:v>
      </x:c>
      <x:c r="P1552" s="66" t="str">
        <x:v>Kabupaten Karawang</x:v>
      </x:c>
      <x:c r="Q1552" s="66" t="str">
        <x:v>https://snpmb.id/snbp/daya-tampung-snbp</x:v>
      </x:c>
      <x:c r="R1552" s="66" t="str">
        <x:v>https://sidatagrun-public-1076756628210.asia-southeast2.run.app/ptn_sn.php?ptn=331</x:v>
      </x:c>
    </x:row>
    <x:row r="1553">
      <x:c r="A1553" s="87" t="n">
        <x:v>1362</x:v>
      </x:c>
      <x:c r="B1553" s="66" t="n">
        <x:v>331</x:v>
      </x:c>
      <x:c r="C1553" s="66" t="str">
        <x:v>UNIVERSITAS SINGAPERBANGSA KARAWANG</x:v>
      </x:c>
      <x:c r="D1553" s="66" t="str">
        <x:v>PTN Akademik</x:v>
      </x:c>
      <x:c r="E1553" s="66" t="str">
        <x:v>13313026</x:v>
      </x:c>
      <x:c r="F1553" s="66" t="str">
        <x:v>KEBIDANAN</x:v>
      </x:c>
      <x:c r="G1553" s="66" t="str">
        <x:v>Diploma Tiga</x:v>
      </x:c>
      <x:c r="H1553" s="87" t="n">
        <x:v>28</x:v>
      </x:c>
      <x:c r="I1553" s="87" t="n">
        <x:v>282</x:v>
      </x:c>
      <x:c r="J1553" s="68" t="n">
        <x:f>IFERROR(H1553/I1553,"")</x:f>
        <x:v>0.09929078014184398</x:v>
      </x:c>
      <x:c r="K1553" s="69" t="n">
        <x:f>IFERROR(I1553/H1553,"")</x:f>
        <x:v>10.071428571428571</x:v>
      </x:c>
      <x:c r="L1553" s="66" t="str">
        <x:f>IF(K1553="","","1 : "&amp;TEXT(K1553,"0.0"))</x:f>
        <x:v>1 : 10.1</x:v>
      </x:c>
      <x:c r="M1553" s="66" t="str">
        <x:f>IF(J1553="","Baru/Tanpa Data",IF(J1553&lt;='Catatan &amp; Sumber'!$B$14,"Sangat Ketat",IF(J1553&lt;='Catatan &amp; Sumber'!$B$15,"Ketat",IF(J1553&lt;='Catatan &amp; Sumber'!$B$16,"Sedang","Relatif Longgar"))))</x:f>
        <x:v>Sedang</x:v>
      </x:c>
      <x:c r="N1553" s="66" t="str">
        <x:v>Tidak Ada</x:v>
      </x:c>
      <x:c r="O1553" s="66" t="str">
        <x:v>Jawa Barat</x:v>
      </x:c>
      <x:c r="P1553" s="66" t="str">
        <x:v>Kabupaten Karawang</x:v>
      </x:c>
      <x:c r="Q1553" s="66" t="str">
        <x:v>https://snpmb.id/snbp/daya-tampung-snbp</x:v>
      </x:c>
      <x:c r="R1553" s="66" t="str">
        <x:v>https://sidatagrun-public-1076756628210.asia-southeast2.run.app/ptn_sn.php?ptn=331</x:v>
      </x:c>
    </x:row>
    <x:row r="1554">
      <x:c r="A1554" s="87" t="n">
        <x:v>976</x:v>
      </x:c>
      <x:c r="B1554" s="66" t="n">
        <x:v>332</x:v>
      </x:c>
      <x:c r="C1554" s="66" t="str">
        <x:v>INSTITUT TEKNOLOGI BANDUNG</x:v>
      </x:c>
      <x:c r="D1554" s="66" t="str">
        <x:v>PTN Akademik</x:v>
      </x:c>
      <x:c r="E1554" s="66" t="str">
        <x:v>13321001</x:v>
      </x:c>
      <x:c r="F1554" s="66" t="str">
        <x:v>FAKULTAS ILMU DAN TEKNOLOGI KEBUMIAN (FITB)</x:v>
      </x:c>
      <x:c r="G1554" s="66" t="str">
        <x:v>Sarjana</x:v>
      </x:c>
      <x:c r="H1554" s="87" t="n">
        <x:v>90</x:v>
      </x:c>
      <x:c r="I1554" s="87" t="n">
        <x:v>1172</x:v>
      </x:c>
      <x:c r="J1554" s="68" t="n">
        <x:f>IFERROR(H1554/I1554,"")</x:f>
        <x:v>0.07679180887372014</x:v>
      </x:c>
      <x:c r="K1554" s="69" t="n">
        <x:f>IFERROR(I1554/H1554,"")</x:f>
        <x:v>13.022222222222222</x:v>
      </x:c>
      <x:c r="L1554" s="66" t="str">
        <x:f>IF(K1554="","","1 : "&amp;TEXT(K1554,"0.0"))</x:f>
        <x:v>1 : 13.0</x:v>
      </x:c>
      <x:c r="M1554" s="66" t="str">
        <x:f>IF(J1554="","Baru/Tanpa Data",IF(J1554&lt;='Catatan &amp; Sumber'!$B$14,"Sangat Ketat",IF(J1554&lt;='Catatan &amp; Sumber'!$B$15,"Ketat",IF(J1554&lt;='Catatan &amp; Sumber'!$B$16,"Sedang","Relatif Longgar"))))</x:f>
        <x:v>Sedang</x:v>
      </x:c>
      <x:c r="N1554" s="66" t="str">
        <x:v>Tidak Ada</x:v>
      </x:c>
      <x:c r="O1554" s="66" t="str">
        <x:v>Jawa Barat</x:v>
      </x:c>
      <x:c r="P1554" s="66" t="str">
        <x:v>Kota Bandung</x:v>
      </x:c>
      <x:c r="Q1554" s="66" t="str">
        <x:v>https://snpmb.id/snbp/daya-tampung-snbp</x:v>
      </x:c>
      <x:c r="R1554" s="66" t="str">
        <x:v>https://sidatagrun-public-1076756628210.asia-southeast2.run.app/ptn_sn.php?ptn=332</x:v>
      </x:c>
    </x:row>
    <x:row r="1555">
      <x:c r="A1555" s="87" t="n">
        <x:v>94</x:v>
      </x:c>
      <x:c r="B1555" s="66" t="n">
        <x:v>332</x:v>
      </x:c>
      <x:c r="C1555" s="66" t="str">
        <x:v>INSTITUT TEKNOLOGI BANDUNG</x:v>
      </x:c>
      <x:c r="D1555" s="66" t="str">
        <x:v>PTN Akademik</x:v>
      </x:c>
      <x:c r="E1555" s="66" t="str">
        <x:v>13321002</x:v>
      </x:c>
      <x:c r="F1555" s="66" t="str">
        <x:v>FAKULTAS TEKNIK PERTAMBANGAN DAN PERMINYAKAN (FTTM)</x:v>
      </x:c>
      <x:c r="G1555" s="66" t="str">
        <x:v>Sarjana</x:v>
      </x:c>
      <x:c r="H1555" s="87" t="n">
        <x:v>80</x:v>
      </x:c>
      <x:c r="I1555" s="87" t="n">
        <x:v>2842</x:v>
      </x:c>
      <x:c r="J1555" s="68" t="n">
        <x:f>IFERROR(H1555/I1555,"")</x:f>
        <x:v>0.028149190710767064</x:v>
      </x:c>
      <x:c r="K1555" s="69" t="n">
        <x:f>IFERROR(I1555/H1555,"")</x:f>
        <x:v>35.525</x:v>
      </x:c>
      <x:c r="L1555" s="66" t="str">
        <x:f>IF(K1555="","","1 : "&amp;TEXT(K1555,"0.0"))</x:f>
        <x:v>1 : 35.5</x:v>
      </x:c>
      <x:c r="M1555" s="66" t="str">
        <x:f>IF(J1555="","Baru/Tanpa Data",IF(J1555&lt;='Catatan &amp; Sumber'!$B$14,"Sangat Ketat",IF(J1555&lt;='Catatan &amp; Sumber'!$B$15,"Ketat",IF(J1555&lt;='Catatan &amp; Sumber'!$B$16,"Sedang","Relatif Longgar"))))</x:f>
        <x:v>Ketat</x:v>
      </x:c>
      <x:c r="N1555" s="66" t="str">
        <x:v>Tidak Ada</x:v>
      </x:c>
      <x:c r="O1555" s="66" t="str">
        <x:v>Jawa Barat</x:v>
      </x:c>
      <x:c r="P1555" s="66" t="str">
        <x:v>Kota Bandung</x:v>
      </x:c>
      <x:c r="Q1555" s="66" t="str">
        <x:v>https://snpmb.id/snbp/daya-tampung-snbp</x:v>
      </x:c>
      <x:c r="R1555" s="66" t="str">
        <x:v>https://sidatagrun-public-1076756628210.asia-southeast2.run.app/ptn_sn.php?ptn=332</x:v>
      </x:c>
    </x:row>
    <x:row r="1556">
      <x:c r="A1556" s="87" t="n">
        <x:v>219</x:v>
      </x:c>
      <x:c r="B1556" s="66" t="n">
        <x:v>332</x:v>
      </x:c>
      <x:c r="C1556" s="66" t="str">
        <x:v>INSTITUT TEKNOLOGI BANDUNG</x:v>
      </x:c>
      <x:c r="D1556" s="66" t="str">
        <x:v>PTN Akademik</x:v>
      </x:c>
      <x:c r="E1556" s="66" t="str">
        <x:v>13321005</x:v>
      </x:c>
      <x:c r="F1556" s="66" t="str">
        <x:v>SEKOLAH FARMASI (SF)</x:v>
      </x:c>
      <x:c r="G1556" s="66" t="str">
        <x:v>Sarjana</x:v>
      </x:c>
      <x:c r="H1556" s="87" t="n">
        <x:v>40</x:v>
      </x:c>
      <x:c r="I1556" s="87" t="n">
        <x:v>1061</x:v>
      </x:c>
      <x:c r="J1556" s="68" t="n">
        <x:f>IFERROR(H1556/I1556,"")</x:f>
        <x:v>0.03770028275212064</x:v>
      </x:c>
      <x:c r="K1556" s="69" t="n">
        <x:f>IFERROR(I1556/H1556,"")</x:f>
        <x:v>26.525</x:v>
      </x:c>
      <x:c r="L1556" s="66" t="str">
        <x:f>IF(K1556="","","1 : "&amp;TEXT(K1556,"0.0"))</x:f>
        <x:v>1 : 26.5</x:v>
      </x:c>
      <x:c r="M1556" s="66" t="str">
        <x:f>IF(J1556="","Baru/Tanpa Data",IF(J1556&lt;='Catatan &amp; Sumber'!$B$14,"Sangat Ketat",IF(J1556&lt;='Catatan &amp; Sumber'!$B$15,"Ketat",IF(J1556&lt;='Catatan &amp; Sumber'!$B$16,"Sedang","Relatif Longgar"))))</x:f>
        <x:v>Ketat</x:v>
      </x:c>
      <x:c r="N1556" s="66" t="str">
        <x:v>Tidak Ada</x:v>
      </x:c>
      <x:c r="O1556" s="66" t="str">
        <x:v>Jawa Barat</x:v>
      </x:c>
      <x:c r="P1556" s="66" t="str">
        <x:v>Kota Bandung</x:v>
      </x:c>
      <x:c r="Q1556" s="66" t="str">
        <x:v>https://snpmb.id/snbp/daya-tampung-snbp</x:v>
      </x:c>
      <x:c r="R1556" s="66" t="str">
        <x:v>https://sidatagrun-public-1076756628210.asia-southeast2.run.app/ptn_sn.php?ptn=332</x:v>
      </x:c>
    </x:row>
    <x:row r="1557">
      <x:c r="A1557" s="87" t="n">
        <x:v>978</x:v>
      </x:c>
      <x:c r="B1557" s="66" t="n">
        <x:v>332</x:v>
      </x:c>
      <x:c r="C1557" s="66" t="str">
        <x:v>INSTITUT TEKNOLOGI BANDUNG</x:v>
      </x:c>
      <x:c r="D1557" s="66" t="str">
        <x:v>PTN Akademik</x:v>
      </x:c>
      <x:c r="E1557" s="66" t="str">
        <x:v>13321006</x:v>
      </x:c>
      <x:c r="F1557" s="66" t="str">
        <x:v>SEKOLAH ILMU DAN TEKNOLOGI HAYATI - SAINS (SITH-S)</x:v>
      </x:c>
      <x:c r="G1557" s="66" t="str">
        <x:v>Sarjana</x:v>
      </x:c>
      <x:c r="H1557" s="87" t="n">
        <x:v>30</x:v>
      </x:c>
      <x:c r="I1557" s="87" t="n">
        <x:v>390</x:v>
      </x:c>
      <x:c r="J1557" s="68" t="n">
        <x:f>IFERROR(H1557/I1557,"")</x:f>
        <x:v>0.07692307692307693</x:v>
      </x:c>
      <x:c r="K1557" s="69" t="n">
        <x:f>IFERROR(I1557/H1557,"")</x:f>
        <x:v>13</x:v>
      </x:c>
      <x:c r="L1557" s="66" t="str">
        <x:f>IF(K1557="","","1 : "&amp;TEXT(K1557,"0.0"))</x:f>
        <x:v>1 : 13.0</x:v>
      </x:c>
      <x:c r="M1557" s="66" t="str">
        <x:f>IF(J1557="","Baru/Tanpa Data",IF(J1557&lt;='Catatan &amp; Sumber'!$B$14,"Sangat Ketat",IF(J1557&lt;='Catatan &amp; Sumber'!$B$15,"Ketat",IF(J1557&lt;='Catatan &amp; Sumber'!$B$16,"Sedang","Relatif Longgar"))))</x:f>
        <x:v>Sedang</x:v>
      </x:c>
      <x:c r="N1557" s="66" t="str">
        <x:v>Tidak Ada</x:v>
      </x:c>
      <x:c r="O1557" s="66" t="str">
        <x:v>Jawa Barat</x:v>
      </x:c>
      <x:c r="P1557" s="66" t="str">
        <x:v>Kota Bandung</x:v>
      </x:c>
      <x:c r="Q1557" s="66" t="str">
        <x:v>https://snpmb.id/snbp/daya-tampung-snbp</x:v>
      </x:c>
      <x:c r="R1557" s="66" t="str">
        <x:v>https://sidatagrun-public-1076756628210.asia-southeast2.run.app/ptn_sn.php?ptn=332</x:v>
      </x:c>
    </x:row>
    <x:row r="1558">
      <x:c r="A1558" s="87" t="n">
        <x:v>396</x:v>
      </x:c>
      <x:c r="B1558" s="66" t="n">
        <x:v>332</x:v>
      </x:c>
      <x:c r="C1558" s="66" t="str">
        <x:v>INSTITUT TEKNOLOGI BANDUNG</x:v>
      </x:c>
      <x:c r="D1558" s="66" t="str">
        <x:v>PTN Akademik</x:v>
      </x:c>
      <x:c r="E1558" s="66" t="str">
        <x:v>13321009</x:v>
      </x:c>
      <x:c r="F1558" s="66" t="str">
        <x:v>FAKULTAS TEKNIK MESIN DAN DIRGANTARA (FTMD)</x:v>
      </x:c>
      <x:c r="G1558" s="66" t="str">
        <x:v>Sarjana</x:v>
      </x:c>
      <x:c r="H1558" s="87" t="n">
        <x:v>70</x:v>
      </x:c>
      <x:c r="I1558" s="87" t="n">
        <x:v>1506</x:v>
      </x:c>
      <x:c r="J1558" s="68" t="n">
        <x:f>IFERROR(H1558/I1558,"")</x:f>
        <x:v>0.04648074369189907</x:v>
      </x:c>
      <x:c r="K1558" s="69" t="n">
        <x:f>IFERROR(I1558/H1558,"")</x:f>
        <x:v>21.514285714285716</x:v>
      </x:c>
      <x:c r="L1558" s="66" t="str">
        <x:f>IF(K1558="","","1 : "&amp;TEXT(K1558,"0.0"))</x:f>
        <x:v>1 : 21.5</x:v>
      </x:c>
      <x:c r="M1558" s="66" t="str">
        <x:f>IF(J1558="","Baru/Tanpa Data",IF(J1558&lt;='Catatan &amp; Sumber'!$B$14,"Sangat Ketat",IF(J1558&lt;='Catatan &amp; Sumber'!$B$15,"Ketat",IF(J1558&lt;='Catatan &amp; Sumber'!$B$16,"Sedang","Relatif Longgar"))))</x:f>
        <x:v>Ketat</x:v>
      </x:c>
      <x:c r="N1558" s="66" t="str">
        <x:v>Tidak Ada</x:v>
      </x:c>
      <x:c r="O1558" s="66" t="str">
        <x:v>Jawa Barat</x:v>
      </x:c>
      <x:c r="P1558" s="66" t="str">
        <x:v>Kota Bandung</x:v>
      </x:c>
      <x:c r="Q1558" s="66" t="str">
        <x:v>https://snpmb.id/snbp/daya-tampung-snbp</x:v>
      </x:c>
      <x:c r="R1558" s="66" t="str">
        <x:v>https://sidatagrun-public-1076756628210.asia-southeast2.run.app/ptn_sn.php?ptn=332</x:v>
      </x:c>
    </x:row>
    <x:row r="1559">
      <x:c r="A1559" s="87" t="n">
        <x:v>1009</x:v>
      </x:c>
      <x:c r="B1559" s="66" t="n">
        <x:v>332</x:v>
      </x:c>
      <x:c r="C1559" s="66" t="str">
        <x:v>INSTITUT TEKNOLOGI BANDUNG</x:v>
      </x:c>
      <x:c r="D1559" s="66" t="str">
        <x:v>PTN Akademik</x:v>
      </x:c>
      <x:c r="E1559" s="66" t="str">
        <x:v>13321012</x:v>
      </x:c>
      <x:c r="F1559" s="66" t="str">
        <x:v>SEKOLAH ILMU DAN TEKNOLOGI HAYATI - REKAYASA (SITH-R)</x:v>
      </x:c>
      <x:c r="G1559" s="66" t="str">
        <x:v>Sarjana</x:v>
      </x:c>
      <x:c r="H1559" s="87" t="n">
        <x:v>50</x:v>
      </x:c>
      <x:c r="I1559" s="87" t="n">
        <x:v>635</x:v>
      </x:c>
      <x:c r="J1559" s="68" t="n">
        <x:f>IFERROR(H1559/I1559,"")</x:f>
        <x:v>0.07874015748031496</x:v>
      </x:c>
      <x:c r="K1559" s="69" t="n">
        <x:f>IFERROR(I1559/H1559,"")</x:f>
        <x:v>12.7</x:v>
      </x:c>
      <x:c r="L1559" s="66" t="str">
        <x:f>IF(K1559="","","1 : "&amp;TEXT(K1559,"0.0"))</x:f>
        <x:v>1 : 12.7</x:v>
      </x:c>
      <x:c r="M1559" s="66" t="str">
        <x:f>IF(J1559="","Baru/Tanpa Data",IF(J1559&lt;='Catatan &amp; Sumber'!$B$14,"Sangat Ketat",IF(J1559&lt;='Catatan &amp; Sumber'!$B$15,"Ketat",IF(J1559&lt;='Catatan &amp; Sumber'!$B$16,"Sedang","Relatif Longgar"))))</x:f>
        <x:v>Sedang</x:v>
      </x:c>
      <x:c r="N1559" s="66" t="str">
        <x:v>Tidak Ada</x:v>
      </x:c>
      <x:c r="O1559" s="66" t="str">
        <x:v>Jawa Barat</x:v>
      </x:c>
      <x:c r="P1559" s="66" t="str">
        <x:v>Kota Bandung</x:v>
      </x:c>
      <x:c r="Q1559" s="66" t="str">
        <x:v>https://snpmb.id/snbp/daya-tampung-snbp</x:v>
      </x:c>
      <x:c r="R1559" s="66" t="str">
        <x:v>https://sidatagrun-public-1076756628210.asia-southeast2.run.app/ptn_sn.php?ptn=332</x:v>
      </x:c>
    </x:row>
    <x:row r="1560">
      <x:c r="A1560" s="87" t="n">
        <x:v>388</x:v>
      </x:c>
      <x:c r="B1560" s="66" t="n">
        <x:v>332</x:v>
      </x:c>
      <x:c r="C1560" s="66" t="str">
        <x:v>INSTITUT TEKNOLOGI BANDUNG</x:v>
      </x:c>
      <x:c r="D1560" s="66" t="str">
        <x:v>PTN Akademik</x:v>
      </x:c>
      <x:c r="E1560" s="66" t="str">
        <x:v>13321015</x:v>
      </x:c>
      <x:c r="F1560" s="66" t="str">
        <x:v>FAKULTAS TEKNOLOGI INDUSTRI - KAMPUS CIREBON (FTI-C)</x:v>
      </x:c>
      <x:c r="G1560" s="66" t="str">
        <x:v>Sarjana</x:v>
      </x:c>
      <x:c r="H1560" s="87" t="n">
        <x:v>22</x:v>
      </x:c>
      <x:c r="I1560" s="87" t="n">
        <x:v>477</x:v>
      </x:c>
      <x:c r="J1560" s="68" t="n">
        <x:f>IFERROR(H1560/I1560,"")</x:f>
        <x:v>0.04612159329140461</x:v>
      </x:c>
      <x:c r="K1560" s="69" t="n">
        <x:f>IFERROR(I1560/H1560,"")</x:f>
        <x:v>21.681818181818183</x:v>
      </x:c>
      <x:c r="L1560" s="66" t="str">
        <x:f>IF(K1560="","","1 : "&amp;TEXT(K1560,"0.0"))</x:f>
        <x:v>1 : 21.7</x:v>
      </x:c>
      <x:c r="M1560" s="66" t="str">
        <x:f>IF(J1560="","Baru/Tanpa Data",IF(J1560&lt;='Catatan &amp; Sumber'!$B$14,"Sangat Ketat",IF(J1560&lt;='Catatan &amp; Sumber'!$B$15,"Ketat",IF(J1560&lt;='Catatan &amp; Sumber'!$B$16,"Sedang","Relatif Longgar"))))</x:f>
        <x:v>Ketat</x:v>
      </x:c>
      <x:c r="N1560" s="66" t="str">
        <x:v>Tidak Ada</x:v>
      </x:c>
      <x:c r="O1560" s="66" t="str">
        <x:v>Jawa Barat</x:v>
      </x:c>
      <x:c r="P1560" s="66" t="str">
        <x:v>Kota Bandung</x:v>
      </x:c>
      <x:c r="Q1560" s="66" t="str">
        <x:v>https://snpmb.id/snbp/daya-tampung-snbp</x:v>
      </x:c>
      <x:c r="R1560" s="66" t="str">
        <x:v>https://sidatagrun-public-1076756628210.asia-southeast2.run.app/ptn_sn.php?ptn=332</x:v>
      </x:c>
    </x:row>
    <x:row r="1561">
      <x:c r="A1561" s="87" t="n">
        <x:v>577</x:v>
      </x:c>
      <x:c r="B1561" s="66" t="n">
        <x:v>332</x:v>
      </x:c>
      <x:c r="C1561" s="66" t="str">
        <x:v>INSTITUT TEKNOLOGI BANDUNG</x:v>
      </x:c>
      <x:c r="D1561" s="66" t="str">
        <x:v>PTN Akademik</x:v>
      </x:c>
      <x:c r="E1561" s="66" t="str">
        <x:v>13321017</x:v>
      </x:c>
      <x:c r="F1561" s="66" t="str">
        <x:v>FAKULTAS TEKNIK PERTAMBANGAN DAN PERMINYAKAN - KAMPUS CIREBON (FTTM-C)</x:v>
      </x:c>
      <x:c r="G1561" s="66" t="str">
        <x:v>Sarjana</x:v>
      </x:c>
      <x:c r="H1561" s="87" t="n">
        <x:v>50</x:v>
      </x:c>
      <x:c r="I1561" s="87" t="n">
        <x:v>900</x:v>
      </x:c>
      <x:c r="J1561" s="68" t="n">
        <x:f>IFERROR(H1561/I1561,"")</x:f>
        <x:v>0.05555555555555555</x:v>
      </x:c>
      <x:c r="K1561" s="69" t="n">
        <x:f>IFERROR(I1561/H1561,"")</x:f>
        <x:v>18</x:v>
      </x:c>
      <x:c r="L1561" s="66" t="str">
        <x:f>IF(K1561="","","1 : "&amp;TEXT(K1561,"0.0"))</x:f>
        <x:v>1 : 18.0</x:v>
      </x:c>
      <x:c r="M1561" s="66" t="str">
        <x:f>IF(J1561="","Baru/Tanpa Data",IF(J1561&lt;='Catatan &amp; Sumber'!$B$14,"Sangat Ketat",IF(J1561&lt;='Catatan &amp; Sumber'!$B$15,"Ketat",IF(J1561&lt;='Catatan &amp; Sumber'!$B$16,"Sedang","Relatif Longgar"))))</x:f>
        <x:v>Sedang</x:v>
      </x:c>
      <x:c r="N1561" s="66" t="str">
        <x:v>Tidak Ada</x:v>
      </x:c>
      <x:c r="O1561" s="66" t="str">
        <x:v>Jawa Barat</x:v>
      </x:c>
      <x:c r="P1561" s="66" t="str">
        <x:v>Kota Bandung</x:v>
      </x:c>
      <x:c r="Q1561" s="66" t="str">
        <x:v>https://snpmb.id/snbp/daya-tampung-snbp</x:v>
      </x:c>
      <x:c r="R1561" s="66" t="str">
        <x:v>https://sidatagrun-public-1076756628210.asia-southeast2.run.app/ptn_sn.php?ptn=332</x:v>
      </x:c>
    </x:row>
    <x:row r="1562">
      <x:c r="A1562" s="87" t="n">
        <x:v>1156</x:v>
      </x:c>
      <x:c r="B1562" s="66" t="n">
        <x:v>332</x:v>
      </x:c>
      <x:c r="C1562" s="66" t="str">
        <x:v>INSTITUT TEKNOLOGI BANDUNG</x:v>
      </x:c>
      <x:c r="D1562" s="66" t="str">
        <x:v>PTN Akademik</x:v>
      </x:c>
      <x:c r="E1562" s="66" t="str">
        <x:v>13321018</x:v>
      </x:c>
      <x:c r="F1562" s="66" t="str">
        <x:v>FAKULTAS ILMU DAN TEKNOLOGI KEBUMIAN - KAMPUS CIREBON (FITB-C)</x:v>
      </x:c>
      <x:c r="G1562" s="66" t="str">
        <x:v>Sarjana</x:v>
      </x:c>
      <x:c r="H1562" s="87" t="n">
        <x:v>20</x:v>
      </x:c>
      <x:c r="I1562" s="87" t="n">
        <x:v>229</x:v>
      </x:c>
      <x:c r="J1562" s="68" t="n">
        <x:f>IFERROR(H1562/I1562,"")</x:f>
        <x:v>0.08733624454148471</x:v>
      </x:c>
      <x:c r="K1562" s="69" t="n">
        <x:f>IFERROR(I1562/H1562,"")</x:f>
        <x:v>11.45</x:v>
      </x:c>
      <x:c r="L1562" s="66" t="str">
        <x:f>IF(K1562="","","1 : "&amp;TEXT(K1562,"0.0"))</x:f>
        <x:v>1 : 11.5</x:v>
      </x:c>
      <x:c r="M1562" s="66" t="str">
        <x:f>IF(J1562="","Baru/Tanpa Data",IF(J1562&lt;='Catatan &amp; Sumber'!$B$14,"Sangat Ketat",IF(J1562&lt;='Catatan &amp; Sumber'!$B$15,"Ketat",IF(J1562&lt;='Catatan &amp; Sumber'!$B$16,"Sedang","Relatif Longgar"))))</x:f>
        <x:v>Sedang</x:v>
      </x:c>
      <x:c r="N1562" s="66" t="str">
        <x:v>Tidak Ada</x:v>
      </x:c>
      <x:c r="O1562" s="66" t="str">
        <x:v>Jawa Barat</x:v>
      </x:c>
      <x:c r="P1562" s="66" t="str">
        <x:v>Kota Bandung</x:v>
      </x:c>
      <x:c r="Q1562" s="66" t="str">
        <x:v>https://snpmb.id/snbp/daya-tampung-snbp</x:v>
      </x:c>
      <x:c r="R1562" s="66" t="str">
        <x:v>https://sidatagrun-public-1076756628210.asia-southeast2.run.app/ptn_sn.php?ptn=332</x:v>
      </x:c>
    </x:row>
    <x:row r="1563">
      <x:c r="A1563" s="87" t="n">
        <x:v>829</x:v>
      </x:c>
      <x:c r="B1563" s="66" t="n">
        <x:v>332</x:v>
      </x:c>
      <x:c r="C1563" s="66" t="str">
        <x:v>INSTITUT TEKNOLOGI BANDUNG</x:v>
      </x:c>
      <x:c r="D1563" s="66" t="str">
        <x:v>PTN Akademik</x:v>
      </x:c>
      <x:c r="E1563" s="66" t="str">
        <x:v>13321019</x:v>
      </x:c>
      <x:c r="F1563" s="66" t="str">
        <x:v>FAKULTAS MATEMATIKA DAN ILMU PENGETAHUAN ALAM - MATEMATIKA (FMIPA-M)</x:v>
      </x:c>
      <x:c r="G1563" s="66" t="str">
        <x:v>Sarjana</x:v>
      </x:c>
      <x:c r="H1563" s="87" t="n">
        <x:v>40</x:v>
      </x:c>
      <x:c r="I1563" s="87" t="n">
        <x:v>586</x:v>
      </x:c>
      <x:c r="J1563" s="68" t="n">
        <x:f>IFERROR(H1563/I1563,"")</x:f>
        <x:v>0.06825938566552901</x:v>
      </x:c>
      <x:c r="K1563" s="69" t="n">
        <x:f>IFERROR(I1563/H1563,"")</x:f>
        <x:v>14.65</x:v>
      </x:c>
      <x:c r="L1563" s="66" t="str">
        <x:f>IF(K1563="","","1 : "&amp;TEXT(K1563,"0.0"))</x:f>
        <x:v>1 : 14.7</x:v>
      </x:c>
      <x:c r="M1563" s="66" t="str">
        <x:f>IF(J1563="","Baru/Tanpa Data",IF(J1563&lt;='Catatan &amp; Sumber'!$B$14,"Sangat Ketat",IF(J1563&lt;='Catatan &amp; Sumber'!$B$15,"Ketat",IF(J1563&lt;='Catatan &amp; Sumber'!$B$16,"Sedang","Relatif Longgar"))))</x:f>
        <x:v>Sedang</x:v>
      </x:c>
      <x:c r="N1563" s="66" t="str">
        <x:v>Tidak Ada</x:v>
      </x:c>
      <x:c r="O1563" s="66" t="str">
        <x:v>Jawa Barat</x:v>
      </x:c>
      <x:c r="P1563" s="66" t="str">
        <x:v>Kota Bandung</x:v>
      </x:c>
      <x:c r="Q1563" s="66" t="str">
        <x:v>https://snpmb.id/snbp/daya-tampung-snbp</x:v>
      </x:c>
      <x:c r="R1563" s="66" t="str">
        <x:v>https://sidatagrun-public-1076756628210.asia-southeast2.run.app/ptn_sn.php?ptn=332</x:v>
      </x:c>
    </x:row>
    <x:row r="1564">
      <x:c r="A1564" s="87" t="n">
        <x:v>1337</x:v>
      </x:c>
      <x:c r="B1564" s="66" t="n">
        <x:v>332</x:v>
      </x:c>
      <x:c r="C1564" s="66" t="str">
        <x:v>INSTITUT TEKNOLOGI BANDUNG</x:v>
      </x:c>
      <x:c r="D1564" s="66" t="str">
        <x:v>PTN Akademik</x:v>
      </x:c>
      <x:c r="E1564" s="66" t="str">
        <x:v>13321020</x:v>
      </x:c>
      <x:c r="F1564" s="66" t="str">
        <x:v>FAKULTAS MATEMATIKA DAN ILMU PENGETAHUAN ALAM - IPA (FMIPA-IPA)</x:v>
      </x:c>
      <x:c r="G1564" s="66" t="str">
        <x:v>Sarjana</x:v>
      </x:c>
      <x:c r="H1564" s="87" t="n">
        <x:v>70</x:v>
      </x:c>
      <x:c r="I1564" s="87" t="n">
        <x:v>716</x:v>
      </x:c>
      <x:c r="J1564" s="68" t="n">
        <x:f>IFERROR(H1564/I1564,"")</x:f>
        <x:v>0.09776536312849161</x:v>
      </x:c>
      <x:c r="K1564" s="69" t="n">
        <x:f>IFERROR(I1564/H1564,"")</x:f>
        <x:v>10.228571428571428</x:v>
      </x:c>
      <x:c r="L1564" s="66" t="str">
        <x:f>IF(K1564="","","1 : "&amp;TEXT(K1564,"0.0"))</x:f>
        <x:v>1 : 10.2</x:v>
      </x:c>
      <x:c r="M1564" s="66" t="str">
        <x:f>IF(J1564="","Baru/Tanpa Data",IF(J1564&lt;='Catatan &amp; Sumber'!$B$14,"Sangat Ketat",IF(J1564&lt;='Catatan &amp; Sumber'!$B$15,"Ketat",IF(J1564&lt;='Catatan &amp; Sumber'!$B$16,"Sedang","Relatif Longgar"))))</x:f>
        <x:v>Sedang</x:v>
      </x:c>
      <x:c r="N1564" s="66" t="str">
        <x:v>Tidak Ada</x:v>
      </x:c>
      <x:c r="O1564" s="66" t="str">
        <x:v>Jawa Barat</x:v>
      </x:c>
      <x:c r="P1564" s="66" t="str">
        <x:v>Kota Bandung</x:v>
      </x:c>
      <x:c r="Q1564" s="66" t="str">
        <x:v>https://snpmb.id/snbp/daya-tampung-snbp</x:v>
      </x:c>
      <x:c r="R1564" s="66" t="str">
        <x:v>https://sidatagrun-public-1076756628210.asia-southeast2.run.app/ptn_sn.php?ptn=332</x:v>
      </x:c>
    </x:row>
    <x:row r="1565">
      <x:c r="A1565" s="87" t="n">
        <x:v>29</x:v>
      </x:c>
      <x:c r="B1565" s="66" t="n">
        <x:v>332</x:v>
      </x:c>
      <x:c r="C1565" s="66" t="str">
        <x:v>INSTITUT TEKNOLOGI BANDUNG</x:v>
      </x:c>
      <x:c r="D1565" s="66" t="str">
        <x:v>PTN Akademik</x:v>
      </x:c>
      <x:c r="E1565" s="66" t="str">
        <x:v>13321021</x:v>
      </x:c>
      <x:c r="F1565" s="66" t="str">
        <x:v>SEKOLAH TEKNIK ELEKTRO DAN INFORMATIKA - KOMPUTASI (STEI-K)</x:v>
      </x:c>
      <x:c r="G1565" s="66" t="str">
        <x:v>Sarjana</x:v>
      </x:c>
      <x:c r="H1565" s="87" t="n">
        <x:v>45</x:v>
      </x:c>
      <x:c r="I1565" s="87" t="n">
        <x:v>2381</x:v>
      </x:c>
      <x:c r="J1565" s="68" t="n">
        <x:f>IFERROR(H1565/I1565,"")</x:f>
        <x:v>0.01889962200755985</x:v>
      </x:c>
      <x:c r="K1565" s="69" t="n">
        <x:f>IFERROR(I1565/H1565,"")</x:f>
        <x:v>52.91111111111111</x:v>
      </x:c>
      <x:c r="L1565" s="66" t="str">
        <x:f>IF(K1565="","","1 : "&amp;TEXT(K1565,"0.0"))</x:f>
        <x:v>1 : 52.9</x:v>
      </x:c>
      <x:c r="M1565" s="66" t="str">
        <x:f>IF(J1565="","Baru/Tanpa Data",IF(J1565&lt;='Catatan &amp; Sumber'!$B$14,"Sangat Ketat",IF(J1565&lt;='Catatan &amp; Sumber'!$B$15,"Ketat",IF(J1565&lt;='Catatan &amp; Sumber'!$B$16,"Sedang","Relatif Longgar"))))</x:f>
        <x:v>Sangat Ketat</x:v>
      </x:c>
      <x:c r="N1565" s="66" t="str">
        <x:v>Tidak Ada</x:v>
      </x:c>
      <x:c r="O1565" s="66" t="str">
        <x:v>Jawa Barat</x:v>
      </x:c>
      <x:c r="P1565" s="66" t="str">
        <x:v>Kota Bandung</x:v>
      </x:c>
      <x:c r="Q1565" s="66" t="str">
        <x:v>https://snpmb.id/snbp/daya-tampung-snbp</x:v>
      </x:c>
      <x:c r="R1565" s="66" t="str">
        <x:v>https://sidatagrun-public-1076756628210.asia-southeast2.run.app/ptn_sn.php?ptn=332</x:v>
      </x:c>
    </x:row>
    <x:row r="1566">
      <x:c r="A1566" s="87" t="n">
        <x:v>277</x:v>
      </x:c>
      <x:c r="B1566" s="66" t="n">
        <x:v>332</x:v>
      </x:c>
      <x:c r="C1566" s="66" t="str">
        <x:v>INSTITUT TEKNOLOGI BANDUNG</x:v>
      </x:c>
      <x:c r="D1566" s="66" t="str">
        <x:v>PTN Akademik</x:v>
      </x:c>
      <x:c r="E1566" s="66" t="str">
        <x:v>13321022</x:v>
      </x:c>
      <x:c r="F1566" s="66" t="str">
        <x:v>SEKOLAH TEKNIK ELEKTRO DAN INFORMATIKA - REKAYASA (STEI-R)</x:v>
      </x:c>
      <x:c r="G1566" s="66" t="str">
        <x:v>Sarjana</x:v>
      </x:c>
      <x:c r="H1566" s="87" t="n">
        <x:v>50</x:v>
      </x:c>
      <x:c r="I1566" s="87" t="n">
        <x:v>1216</x:v>
      </x:c>
      <x:c r="J1566" s="68" t="n">
        <x:f>IFERROR(H1566/I1566,"")</x:f>
        <x:v>0.04111842105263158</x:v>
      </x:c>
      <x:c r="K1566" s="69" t="n">
        <x:f>IFERROR(I1566/H1566,"")</x:f>
        <x:v>24.32</x:v>
      </x:c>
      <x:c r="L1566" s="66" t="str">
        <x:f>IF(K1566="","","1 : "&amp;TEXT(K1566,"0.0"))</x:f>
        <x:v>1 : 24.3</x:v>
      </x:c>
      <x:c r="M1566" s="66" t="str">
        <x:f>IF(J1566="","Baru/Tanpa Data",IF(J1566&lt;='Catatan &amp; Sumber'!$B$14,"Sangat Ketat",IF(J1566&lt;='Catatan &amp; Sumber'!$B$15,"Ketat",IF(J1566&lt;='Catatan &amp; Sumber'!$B$16,"Sedang","Relatif Longgar"))))</x:f>
        <x:v>Ketat</x:v>
      </x:c>
      <x:c r="N1566" s="66" t="str">
        <x:v>Tidak Ada</x:v>
      </x:c>
      <x:c r="O1566" s="66" t="str">
        <x:v>Jawa Barat</x:v>
      </x:c>
      <x:c r="P1566" s="66" t="str">
        <x:v>Kota Bandung</x:v>
      </x:c>
      <x:c r="Q1566" s="66" t="str">
        <x:v>https://snpmb.id/snbp/daya-tampung-snbp</x:v>
      </x:c>
      <x:c r="R1566" s="66" t="str">
        <x:v>https://sidatagrun-public-1076756628210.asia-southeast2.run.app/ptn_sn.php?ptn=332</x:v>
      </x:c>
    </x:row>
    <x:row r="1567">
      <x:c r="A1567" s="87" t="n">
        <x:v>775</x:v>
      </x:c>
      <x:c r="B1567" s="66" t="n">
        <x:v>332</x:v>
      </x:c>
      <x:c r="C1567" s="66" t="str">
        <x:v>INSTITUT TEKNOLOGI BANDUNG</x:v>
      </x:c>
      <x:c r="D1567" s="66" t="str">
        <x:v>PTN Akademik</x:v>
      </x:c>
      <x:c r="E1567" s="66" t="str">
        <x:v>13321023</x:v>
      </x:c>
      <x:c r="F1567" s="66" t="str">
        <x:v>FAKULTAS SENIRUPA DAN DESAIN (FSRD)</x:v>
      </x:c>
      <x:c r="G1567" s="66" t="str">
        <x:v>Sarjana</x:v>
      </x:c>
      <x:c r="H1567" s="87" t="n">
        <x:v>80</x:v>
      </x:c>
      <x:c r="I1567" s="87" t="n">
        <x:v>1219</x:v>
      </x:c>
      <x:c r="J1567" s="68" t="n">
        <x:f>IFERROR(H1567/I1567,"")</x:f>
        <x:v>0.06562756357670221</x:v>
      </x:c>
      <x:c r="K1567" s="69" t="n">
        <x:f>IFERROR(I1567/H1567,"")</x:f>
        <x:v>15.2375</x:v>
      </x:c>
      <x:c r="L1567" s="66" t="str">
        <x:f>IF(K1567="","","1 : "&amp;TEXT(K1567,"0.0"))</x:f>
        <x:v>1 : 15.2</x:v>
      </x:c>
      <x:c r="M1567" s="66" t="str">
        <x:f>IF(J1567="","Baru/Tanpa Data",IF(J1567&lt;='Catatan &amp; Sumber'!$B$14,"Sangat Ketat",IF(J1567&lt;='Catatan &amp; Sumber'!$B$15,"Ketat",IF(J1567&lt;='Catatan &amp; Sumber'!$B$16,"Sedang","Relatif Longgar"))))</x:f>
        <x:v>Sedang</x:v>
      </x:c>
      <x:c r="N1567" s="66" t="str">
        <x:v>Seni Rupa, Desain, dan Kriya</x:v>
      </x:c>
      <x:c r="O1567" s="66" t="str">
        <x:v>Jawa Barat</x:v>
      </x:c>
      <x:c r="P1567" s="66" t="str">
        <x:v>Kota Bandung</x:v>
      </x:c>
      <x:c r="Q1567" s="66" t="str">
        <x:v>https://snpmb.id/snbp/daya-tampung-snbp</x:v>
      </x:c>
      <x:c r="R1567" s="66" t="str">
        <x:v>https://sidatagrun-public-1076756628210.asia-southeast2.run.app/ptn_sn.php?ptn=332</x:v>
      </x:c>
    </x:row>
    <x:row r="1568">
      <x:c r="A1568" s="87" t="n">
        <x:v>133</x:v>
      </x:c>
      <x:c r="B1568" s="66" t="n">
        <x:v>332</x:v>
      </x:c>
      <x:c r="C1568" s="66" t="str">
        <x:v>INSTITUT TEKNOLOGI BANDUNG</x:v>
      </x:c>
      <x:c r="D1568" s="66" t="str">
        <x:v>PTN Akademik</x:v>
      </x:c>
      <x:c r="E1568" s="66" t="str">
        <x:v>13321024</x:v>
      </x:c>
      <x:c r="F1568" s="66" t="str">
        <x:v>SEKOLAH BISNIS DAN MANAJEMEN (SBM)</x:v>
      </x:c>
      <x:c r="G1568" s="66" t="str">
        <x:v>Sarjana</x:v>
      </x:c>
      <x:c r="H1568" s="87" t="n">
        <x:v>40</x:v>
      </x:c>
      <x:c r="I1568" s="87" t="n">
        <x:v>1264</x:v>
      </x:c>
      <x:c r="J1568" s="68" t="n">
        <x:f>IFERROR(H1568/I1568,"")</x:f>
        <x:v>0.03164556962025317</x:v>
      </x:c>
      <x:c r="K1568" s="69" t="n">
        <x:f>IFERROR(I1568/H1568,"")</x:f>
        <x:v>31.6</x:v>
      </x:c>
      <x:c r="L1568" s="66" t="str">
        <x:f>IF(K1568="","","1 : "&amp;TEXT(K1568,"0.0"))</x:f>
        <x:v>1 : 31.6</x:v>
      </x:c>
      <x:c r="M1568" s="66" t="str">
        <x:f>IF(J1568="","Baru/Tanpa Data",IF(J1568&lt;='Catatan &amp; Sumber'!$B$14,"Sangat Ketat",IF(J1568&lt;='Catatan &amp; Sumber'!$B$15,"Ketat",IF(J1568&lt;='Catatan &amp; Sumber'!$B$16,"Sedang","Relatif Longgar"))))</x:f>
        <x:v>Ketat</x:v>
      </x:c>
      <x:c r="N1568" s="66" t="str">
        <x:v>Tidak Ada</x:v>
      </x:c>
      <x:c r="O1568" s="66" t="str">
        <x:v>Jawa Barat</x:v>
      </x:c>
      <x:c r="P1568" s="66" t="str">
        <x:v>Kota Bandung</x:v>
      </x:c>
      <x:c r="Q1568" s="66" t="str">
        <x:v>https://snpmb.id/snbp/daya-tampung-snbp</x:v>
      </x:c>
      <x:c r="R1568" s="66" t="str">
        <x:v>https://sidatagrun-public-1076756628210.asia-southeast2.run.app/ptn_sn.php?ptn=332</x:v>
      </x:c>
    </x:row>
    <x:row r="1569">
      <x:c r="A1569" s="87" t="n">
        <x:v>2318</x:v>
      </x:c>
      <x:c r="B1569" s="66" t="n">
        <x:v>332</x:v>
      </x:c>
      <x:c r="C1569" s="66" t="str">
        <x:v>INSTITUT TEKNOLOGI BANDUNG</x:v>
      </x:c>
      <x:c r="D1569" s="66" t="str">
        <x:v>PTN Akademik</x:v>
      </x:c>
      <x:c r="E1569" s="66" t="str">
        <x:v>13321025</x:v>
      </x:c>
      <x:c r="F1569" s="66" t="str">
        <x:v>FAKULTAS SENIRUPA DAN DESAIN - KAMPUS CIREBON (FSRD-C)</x:v>
      </x:c>
      <x:c r="G1569" s="66" t="str">
        <x:v>Sarjana</x:v>
      </x:c>
      <x:c r="H1569" s="87" t="n">
        <x:v>34</x:v>
      </x:c>
      <x:c r="I1569" s="87" t="n">
        <x:v>183</x:v>
      </x:c>
      <x:c r="J1569" s="68" t="n">
        <x:f>IFERROR(H1569/I1569,"")</x:f>
        <x:v>0.18579234972677597</x:v>
      </x:c>
      <x:c r="K1569" s="69" t="n">
        <x:f>IFERROR(I1569/H1569,"")</x:f>
        <x:v>5.382352941176471</x:v>
      </x:c>
      <x:c r="L1569" s="66" t="str">
        <x:f>IF(K1569="","","1 : "&amp;TEXT(K1569,"0.0"))</x:f>
        <x:v>1 : 5.4</x:v>
      </x:c>
      <x:c r="M1569" s="66" t="str">
        <x:f>IF(J1569="","Baru/Tanpa Data",IF(J1569&lt;='Catatan &amp; Sumber'!$B$14,"Sangat Ketat",IF(J1569&lt;='Catatan &amp; Sumber'!$B$15,"Ketat",IF(J1569&lt;='Catatan &amp; Sumber'!$B$16,"Sedang","Relatif Longgar"))))</x:f>
        <x:v>Relatif Longgar</x:v>
      </x:c>
      <x:c r="N1569" s="66" t="str">
        <x:v>Seni Rupa, Desain, dan Kriya</x:v>
      </x:c>
      <x:c r="O1569" s="66" t="str">
        <x:v>Jawa Barat</x:v>
      </x:c>
      <x:c r="P1569" s="66" t="str">
        <x:v>Kota Bandung</x:v>
      </x:c>
      <x:c r="Q1569" s="66" t="str">
        <x:v>https://snpmb.id/snbp/daya-tampung-snbp</x:v>
      </x:c>
      <x:c r="R1569" s="66" t="str">
        <x:v>https://sidatagrun-public-1076756628210.asia-southeast2.run.app/ptn_sn.php?ptn=332</x:v>
      </x:c>
    </x:row>
    <x:row r="1570">
      <x:c r="A1570" s="87" t="n">
        <x:v>738</x:v>
      </x:c>
      <x:c r="B1570" s="66" t="n">
        <x:v>332</x:v>
      </x:c>
      <x:c r="C1570" s="66" t="str">
        <x:v>INSTITUT TEKNOLOGI BANDUNG</x:v>
      </x:c>
      <x:c r="D1570" s="66" t="str">
        <x:v>PTN Akademik</x:v>
      </x:c>
      <x:c r="E1570" s="66" t="str">
        <x:v>13321026</x:v>
      </x:c>
      <x:c r="F1570" s="66" t="str">
        <x:v>FAKULTAS TEKNIK SIPIL DAN LINGKUNGAN - INFRASTRUKTUR SIPIL, LINGKUNGAN, DAN KELAUTAN</x:v>
      </x:c>
      <x:c r="G1570" s="66" t="str">
        <x:v>Sarjana</x:v>
      </x:c>
      <x:c r="H1570" s="87" t="n">
        <x:v>60</x:v>
      </x:c>
      <x:c r="I1570" s="87" t="n">
        <x:v>935</x:v>
      </x:c>
      <x:c r="J1570" s="68" t="n">
        <x:f>IFERROR(H1570/I1570,"")</x:f>
        <x:v>0.06417112299465241</x:v>
      </x:c>
      <x:c r="K1570" s="69" t="n">
        <x:f>IFERROR(I1570/H1570,"")</x:f>
        <x:v>15.583333333333334</x:v>
      </x:c>
      <x:c r="L1570" s="66" t="str">
        <x:f>IF(K1570="","","1 : "&amp;TEXT(K1570,"0.0"))</x:f>
        <x:v>1 : 15.6</x:v>
      </x:c>
      <x:c r="M1570" s="66" t="str">
        <x:f>IF(J1570="","Baru/Tanpa Data",IF(J1570&lt;='Catatan &amp; Sumber'!$B$14,"Sangat Ketat",IF(J1570&lt;='Catatan &amp; Sumber'!$B$15,"Ketat",IF(J1570&lt;='Catatan &amp; Sumber'!$B$16,"Sedang","Relatif Longgar"))))</x:f>
        <x:v>Sedang</x:v>
      </x:c>
      <x:c r="N1570" s="66" t="str">
        <x:v>Tidak Ada</x:v>
      </x:c>
      <x:c r="O1570" s="66" t="str">
        <x:v>Jawa Barat</x:v>
      </x:c>
      <x:c r="P1570" s="66" t="str">
        <x:v>Kota Bandung</x:v>
      </x:c>
      <x:c r="Q1570" s="66" t="str">
        <x:v>https://snpmb.id/snbp/daya-tampung-snbp</x:v>
      </x:c>
      <x:c r="R1570" s="66" t="str">
        <x:v>https://sidatagrun-public-1076756628210.asia-southeast2.run.app/ptn_sn.php?ptn=332</x:v>
      </x:c>
    </x:row>
    <x:row r="1571">
      <x:c r="A1571" s="87" t="n">
        <x:v>214</x:v>
      </x:c>
      <x:c r="B1571" s="66" t="n">
        <x:v>332</x:v>
      </x:c>
      <x:c r="C1571" s="66" t="str">
        <x:v>INSTITUT TEKNOLOGI BANDUNG</x:v>
      </x:c>
      <x:c r="D1571" s="66" t="str">
        <x:v>PTN Akademik</x:v>
      </x:c>
      <x:c r="E1571" s="66" t="str">
        <x:v>13321027</x:v>
      </x:c>
      <x:c r="F1571" s="66" t="str">
        <x:v>FAKULTAS TEKNIK SIPIL DAN LINGKUNGAN - INFRASTRUKTUR SUMBER DAYA AIR DAN SANITASI LINGKUNGAN</x:v>
      </x:c>
      <x:c r="G1571" s="66" t="str">
        <x:v>Sarjana</x:v>
      </x:c>
      <x:c r="H1571" s="87" t="n">
        <x:v>26</x:v>
      </x:c>
      <x:c r="I1571" s="87" t="n">
        <x:v>692</x:v>
      </x:c>
      <x:c r="J1571" s="68" t="n">
        <x:f>IFERROR(H1571/I1571,"")</x:f>
        <x:v>0.03757225433526012</x:v>
      </x:c>
      <x:c r="K1571" s="69" t="n">
        <x:f>IFERROR(I1571/H1571,"")</x:f>
        <x:v>26.615384615384617</x:v>
      </x:c>
      <x:c r="L1571" s="66" t="str">
        <x:f>IF(K1571="","","1 : "&amp;TEXT(K1571,"0.0"))</x:f>
        <x:v>1 : 26.6</x:v>
      </x:c>
      <x:c r="M1571" s="66" t="str">
        <x:f>IF(J1571="","Baru/Tanpa Data",IF(J1571&lt;='Catatan &amp; Sumber'!$B$14,"Sangat Ketat",IF(J1571&lt;='Catatan &amp; Sumber'!$B$15,"Ketat",IF(J1571&lt;='Catatan &amp; Sumber'!$B$16,"Sedang","Relatif Longgar"))))</x:f>
        <x:v>Ketat</x:v>
      </x:c>
      <x:c r="N1571" s="66" t="str">
        <x:v>Tidak Ada</x:v>
      </x:c>
      <x:c r="O1571" s="66" t="str">
        <x:v>Jawa Barat</x:v>
      </x:c>
      <x:c r="P1571" s="66" t="str">
        <x:v>Kota Bandung</x:v>
      </x:c>
      <x:c r="Q1571" s="66" t="str">
        <x:v>https://snpmb.id/snbp/daya-tampung-snbp</x:v>
      </x:c>
      <x:c r="R1571" s="66" t="str">
        <x:v>https://sidatagrun-public-1076756628210.asia-southeast2.run.app/ptn_sn.php?ptn=332</x:v>
      </x:c>
    </x:row>
    <x:row r="1572">
      <x:c r="A1572" s="87" t="n">
        <x:v>786</x:v>
      </x:c>
      <x:c r="B1572" s="66" t="n">
        <x:v>332</x:v>
      </x:c>
      <x:c r="C1572" s="66" t="str">
        <x:v>INSTITUT TEKNOLOGI BANDUNG</x:v>
      </x:c>
      <x:c r="D1572" s="66" t="str">
        <x:v>PTN Akademik</x:v>
      </x:c>
      <x:c r="E1572" s="66" t="str">
        <x:v>13321028</x:v>
      </x:c>
      <x:c r="F1572" s="66" t="str">
        <x:v>FAKULTAS TEKNOLOGI INDUSTRI - SISTEM DAN PROSES (FTI-SP)</x:v>
      </x:c>
      <x:c r="G1572" s="66" t="str">
        <x:v>Sarjana</x:v>
      </x:c>
      <x:c r="H1572" s="87" t="n">
        <x:v>75</x:v>
      </x:c>
      <x:c r="I1572" s="87" t="n">
        <x:v>1134</x:v>
      </x:c>
      <x:c r="J1572" s="68" t="n">
        <x:f>IFERROR(H1572/I1572,"")</x:f>
        <x:v>0.06613756613756613</x:v>
      </x:c>
      <x:c r="K1572" s="69" t="n">
        <x:f>IFERROR(I1572/H1572,"")</x:f>
        <x:v>15.12</x:v>
      </x:c>
      <x:c r="L1572" s="66" t="str">
        <x:f>IF(K1572="","","1 : "&amp;TEXT(K1572,"0.0"))</x:f>
        <x:v>1 : 15.1</x:v>
      </x:c>
      <x:c r="M1572" s="66" t="str">
        <x:f>IF(J1572="","Baru/Tanpa Data",IF(J1572&lt;='Catatan &amp; Sumber'!$B$14,"Sangat Ketat",IF(J1572&lt;='Catatan &amp; Sumber'!$B$15,"Ketat",IF(J1572&lt;='Catatan &amp; Sumber'!$B$16,"Sedang","Relatif Longgar"))))</x:f>
        <x:v>Sedang</x:v>
      </x:c>
      <x:c r="N1572" s="66" t="str">
        <x:v>Tidak Ada</x:v>
      </x:c>
      <x:c r="O1572" s="66" t="str">
        <x:v>Jawa Barat</x:v>
      </x:c>
      <x:c r="P1572" s="66" t="str">
        <x:v>Kota Bandung</x:v>
      </x:c>
      <x:c r="Q1572" s="66" t="str">
        <x:v>https://snpmb.id/snbp/daya-tampung-snbp</x:v>
      </x:c>
      <x:c r="R1572" s="66" t="str">
        <x:v>https://sidatagrun-public-1076756628210.asia-southeast2.run.app/ptn_sn.php?ptn=332</x:v>
      </x:c>
    </x:row>
    <x:row r="1573">
      <x:c r="A1573" s="87" t="n">
        <x:v>498</x:v>
      </x:c>
      <x:c r="B1573" s="66" t="n">
        <x:v>332</x:v>
      </x:c>
      <x:c r="C1573" s="66" t="str">
        <x:v>INSTITUT TEKNOLOGI BANDUNG</x:v>
      </x:c>
      <x:c r="D1573" s="66" t="str">
        <x:v>PTN Akademik</x:v>
      </x:c>
      <x:c r="E1573" s="66" t="str">
        <x:v>13321029</x:v>
      </x:c>
      <x:c r="F1573" s="66" t="str">
        <x:v>FAKULTAS TEKNOLOGI INDUSTRI - REKAYASA INDUSTRI (FTI-RI)</x:v>
      </x:c>
      <x:c r="G1573" s="66" t="str">
        <x:v>Sarjana</x:v>
      </x:c>
      <x:c r="H1573" s="87" t="n">
        <x:v>40</x:v>
      </x:c>
      <x:c r="I1573" s="87" t="n">
        <x:v>786</x:v>
      </x:c>
      <x:c r="J1573" s="68" t="n">
        <x:f>IFERROR(H1573/I1573,"")</x:f>
        <x:v>0.05089058524173028</x:v>
      </x:c>
      <x:c r="K1573" s="69" t="n">
        <x:f>IFERROR(I1573/H1573,"")</x:f>
        <x:v>19.65</x:v>
      </x:c>
      <x:c r="L1573" s="66" t="str">
        <x:f>IF(K1573="","","1 : "&amp;TEXT(K1573,"0.0"))</x:f>
        <x:v>1 : 19.7</x:v>
      </x:c>
      <x:c r="M1573" s="66" t="str">
        <x:f>IF(J1573="","Baru/Tanpa Data",IF(J1573&lt;='Catatan &amp; Sumber'!$B$14,"Sangat Ketat",IF(J1573&lt;='Catatan &amp; Sumber'!$B$15,"Ketat",IF(J1573&lt;='Catatan &amp; Sumber'!$B$16,"Sedang","Relatif Longgar"))))</x:f>
        <x:v>Sedang</x:v>
      </x:c>
      <x:c r="N1573" s="66" t="str">
        <x:v>Tidak Ada</x:v>
      </x:c>
      <x:c r="O1573" s="66" t="str">
        <x:v>Jawa Barat</x:v>
      </x:c>
      <x:c r="P1573" s="66" t="str">
        <x:v>Kota Bandung</x:v>
      </x:c>
      <x:c r="Q1573" s="66" t="str">
        <x:v>https://snpmb.id/snbp/daya-tampung-snbp</x:v>
      </x:c>
      <x:c r="R1573" s="66" t="str">
        <x:v>https://sidatagrun-public-1076756628210.asia-southeast2.run.app/ptn_sn.php?ptn=332</x:v>
      </x:c>
    </x:row>
    <x:row r="1574">
      <x:c r="A1574" s="87" t="n">
        <x:v>1207</x:v>
      </x:c>
      <x:c r="B1574" s="66" t="n">
        <x:v>332</x:v>
      </x:c>
      <x:c r="C1574" s="66" t="str">
        <x:v>INSTITUT TEKNOLOGI BANDUNG</x:v>
      </x:c>
      <x:c r="D1574" s="66" t="str">
        <x:v>PTN Akademik</x:v>
      </x:c>
      <x:c r="E1574" s="66" t="str">
        <x:v>13321034</x:v>
      </x:c>
      <x:c r="F1574" s="66" t="str">
        <x:v>SEKOLAH ILMU DAN TEKNOLOGI HAYATI - KAMPUS CIREBON (SITH-C)</x:v>
      </x:c>
      <x:c r="G1574" s="66" t="str">
        <x:v>Sarjana</x:v>
      </x:c>
      <x:c r="H1574" s="87" t="n">
        <x:v>12</x:v>
      </x:c>
      <x:c r="I1574" s="87" t="n">
        <x:v>133</x:v>
      </x:c>
      <x:c r="J1574" s="68" t="n">
        <x:f>IFERROR(H1574/I1574,"")</x:f>
        <x:v>0.09022556390977443</x:v>
      </x:c>
      <x:c r="K1574" s="69" t="n">
        <x:f>IFERROR(I1574/H1574,"")</x:f>
        <x:v>11.083333333333334</x:v>
      </x:c>
      <x:c r="L1574" s="66" t="str">
        <x:f>IF(K1574="","","1 : "&amp;TEXT(K1574,"0.0"))</x:f>
        <x:v>1 : 11.1</x:v>
      </x:c>
      <x:c r="M1574" s="66" t="str">
        <x:f>IF(J1574="","Baru/Tanpa Data",IF(J1574&lt;='Catatan &amp; Sumber'!$B$14,"Sangat Ketat",IF(J1574&lt;='Catatan &amp; Sumber'!$B$15,"Ketat",IF(J1574&lt;='Catatan &amp; Sumber'!$B$16,"Sedang","Relatif Longgar"))))</x:f>
        <x:v>Sedang</x:v>
      </x:c>
      <x:c r="N1574" s="66" t="str">
        <x:v>Tidak Ada</x:v>
      </x:c>
      <x:c r="O1574" s="66" t="str">
        <x:v>Jawa Barat</x:v>
      </x:c>
      <x:c r="P1574" s="66" t="str">
        <x:v>Kota Bandung</x:v>
      </x:c>
      <x:c r="Q1574" s="66" t="str">
        <x:v>https://snpmb.id/snbp/daya-tampung-snbp</x:v>
      </x:c>
      <x:c r="R1574" s="66" t="str">
        <x:v>https://sidatagrun-public-1076756628210.asia-southeast2.run.app/ptn_sn.php?ptn=332</x:v>
      </x:c>
    </x:row>
    <x:row r="1575">
      <x:c r="A1575" s="87"/>
      <x:c r="B1575" s="66" t="n">
        <x:v>332</x:v>
      </x:c>
      <x:c r="C1575" s="66" t="str">
        <x:v>INSTITUT TEKNOLOGI BANDUNG</x:v>
      </x:c>
      <x:c r="D1575" s="66" t="str">
        <x:v>PTN Akademik</x:v>
      </x:c>
      <x:c r="E1575" s="66" t="str">
        <x:v>13321036</x:v>
      </x:c>
      <x:c r="F1575" s="66" t="str">
        <x:v>ARSITEKTUR</x:v>
      </x:c>
      <x:c r="G1575" s="66" t="str">
        <x:v>Sarjana</x:v>
      </x:c>
      <x:c r="H1575" s="87" t="n">
        <x:v>20</x:v>
      </x:c>
      <x:c r="I1575" s="87"/>
      <x:c r="J1575" s="68" t="str">
        <x:f>IFERROR(H1575/I1575,"")</x:f>
      </x:c>
      <x:c r="K1575" s="69" t="n">
        <x:f>IFERROR(I1575/H1575,"")</x:f>
        <x:v>0</x:v>
      </x:c>
      <x:c r="L1575" s="66" t="str">
        <x:f>IF(K1575="","","1 : "&amp;TEXT(K1575,"0.0"))</x:f>
      </x:c>
      <x:c r="M1575" s="66" t="str">
        <x:f>IF(J1575="","Baru/Tanpa Data",IF(J1575&lt;='Catatan &amp; Sumber'!$B$14,"Sangat Ketat",IF(J1575&lt;='Catatan &amp; Sumber'!$B$15,"Ketat",IF(J1575&lt;='Catatan &amp; Sumber'!$B$16,"Sedang","Relatif Longgar"))))</x:f>
        <x:v>Baru/Tanpa Data</x:v>
      </x:c>
      <x:c r="N1575" s="66" t="str">
        <x:v>Tidak Ada</x:v>
      </x:c>
      <x:c r="O1575" s="66" t="str">
        <x:v>Jawa Barat</x:v>
      </x:c>
      <x:c r="P1575" s="66" t="str">
        <x:v>Kota Bandung</x:v>
      </x:c>
      <x:c r="Q1575" s="66" t="str">
        <x:v>https://snpmb.id/snbp/daya-tampung-snbp</x:v>
      </x:c>
      <x:c r="R1575" s="66" t="str">
        <x:v>https://sidatagrun-public-1076756628210.asia-southeast2.run.app/ptn_sn.php?ptn=332</x:v>
      </x:c>
    </x:row>
    <x:row r="1576">
      <x:c r="A1576" s="87"/>
      <x:c r="B1576" s="66" t="n">
        <x:v>332</x:v>
      </x:c>
      <x:c r="C1576" s="66" t="str">
        <x:v>INSTITUT TEKNOLOGI BANDUNG</x:v>
      </x:c>
      <x:c r="D1576" s="66" t="str">
        <x:v>PTN Akademik</x:v>
      </x:c>
      <x:c r="E1576" s="66" t="str">
        <x:v>13321037</x:v>
      </x:c>
      <x:c r="F1576" s="66" t="str">
        <x:v>PERENCANAAN WILAYAH DAN KOTA</x:v>
      </x:c>
      <x:c r="G1576" s="66" t="str">
        <x:v>Sarjana</x:v>
      </x:c>
      <x:c r="H1576" s="87" t="n">
        <x:v>25</x:v>
      </x:c>
      <x:c r="I1576" s="87"/>
      <x:c r="J1576" s="68" t="str">
        <x:f>IFERROR(H1576/I1576,"")</x:f>
      </x:c>
      <x:c r="K1576" s="69" t="n">
        <x:f>IFERROR(I1576/H1576,"")</x:f>
        <x:v>0</x:v>
      </x:c>
      <x:c r="L1576" s="66" t="str">
        <x:f>IF(K1576="","","1 : "&amp;TEXT(K1576,"0.0"))</x:f>
      </x:c>
      <x:c r="M1576" s="66" t="str">
        <x:f>IF(J1576="","Baru/Tanpa Data",IF(J1576&lt;='Catatan &amp; Sumber'!$B$14,"Sangat Ketat",IF(J1576&lt;='Catatan &amp; Sumber'!$B$15,"Ketat",IF(J1576&lt;='Catatan &amp; Sumber'!$B$16,"Sedang","Relatif Longgar"))))</x:f>
        <x:v>Baru/Tanpa Data</x:v>
      </x:c>
      <x:c r="N1576" s="66" t="str">
        <x:v>Tidak Ada</x:v>
      </x:c>
      <x:c r="O1576" s="66" t="str">
        <x:v>Jawa Barat</x:v>
      </x:c>
      <x:c r="P1576" s="66" t="str">
        <x:v>Kota Bandung</x:v>
      </x:c>
      <x:c r="Q1576" s="66" t="str">
        <x:v>https://snpmb.id/snbp/daya-tampung-snbp</x:v>
      </x:c>
      <x:c r="R1576" s="66" t="str">
        <x:v>https://sidatagrun-public-1076756628210.asia-southeast2.run.app/ptn_sn.php?ptn=332</x:v>
      </x:c>
    </x:row>
    <x:row r="1577">
      <x:c r="A1577" s="87"/>
      <x:c r="B1577" s="66" t="n">
        <x:v>332</x:v>
      </x:c>
      <x:c r="C1577" s="66" t="str">
        <x:v>INSTITUT TEKNOLOGI BANDUNG</x:v>
      </x:c>
      <x:c r="D1577" s="66" t="str">
        <x:v>PTN Akademik</x:v>
      </x:c>
      <x:c r="E1577" s="66" t="str">
        <x:v>13321038</x:v>
      </x:c>
      <x:c r="F1577" s="66" t="str">
        <x:v>PERENCANAAN WILAYAH DAN KOTA - KAMPUS CIREBON</x:v>
      </x:c>
      <x:c r="G1577" s="66" t="str">
        <x:v>Sarjana</x:v>
      </x:c>
      <x:c r="H1577" s="87" t="n">
        <x:v>20</x:v>
      </x:c>
      <x:c r="I1577" s="87"/>
      <x:c r="J1577" s="68" t="str">
        <x:f>IFERROR(H1577/I1577,"")</x:f>
      </x:c>
      <x:c r="K1577" s="69" t="n">
        <x:f>IFERROR(I1577/H1577,"")</x:f>
        <x:v>0</x:v>
      </x:c>
      <x:c r="L1577" s="66" t="str">
        <x:f>IF(K1577="","","1 : "&amp;TEXT(K1577,"0.0"))</x:f>
      </x:c>
      <x:c r="M1577" s="66" t="str">
        <x:f>IF(J1577="","Baru/Tanpa Data",IF(J1577&lt;='Catatan &amp; Sumber'!$B$14,"Sangat Ketat",IF(J1577&lt;='Catatan &amp; Sumber'!$B$15,"Ketat",IF(J1577&lt;='Catatan &amp; Sumber'!$B$16,"Sedang","Relatif Longgar"))))</x:f>
        <x:v>Baru/Tanpa Data</x:v>
      </x:c>
      <x:c r="N1577" s="66" t="str">
        <x:v>Tidak Ada</x:v>
      </x:c>
      <x:c r="O1577" s="66" t="str">
        <x:v>Jawa Barat</x:v>
      </x:c>
      <x:c r="P1577" s="66" t="str">
        <x:v>Kota Bandung</x:v>
      </x:c>
      <x:c r="Q1577" s="66" t="str">
        <x:v>https://snpmb.id/snbp/daya-tampung-snbp</x:v>
      </x:c>
      <x:c r="R1577" s="66" t="str">
        <x:v>https://sidatagrun-public-1076756628210.asia-southeast2.run.app/ptn_sn.php?ptn=332</x:v>
      </x:c>
    </x:row>
    <x:row r="1578">
      <x:c r="A1578" s="87" t="n">
        <x:v>305</x:v>
      </x:c>
      <x:c r="B1578" s="66" t="n">
        <x:v>333</x:v>
      </x:c>
      <x:c r="C1578" s="66" t="str">
        <x:v>UNIVERSITAS PADJADJARAN</x:v>
      </x:c>
      <x:c r="D1578" s="66" t="str">
        <x:v>PTN Akademik</x:v>
      </x:c>
      <x:c r="E1578" s="66" t="str">
        <x:v>13331001</x:v>
      </x:c>
      <x:c r="F1578" s="66" t="str">
        <x:v>PENDIDIKAN DOKTER</x:v>
      </x:c>
      <x:c r="G1578" s="66" t="str">
        <x:v>Sarjana</x:v>
      </x:c>
      <x:c r="H1578" s="87" t="n">
        <x:v>67</x:v>
      </x:c>
      <x:c r="I1578" s="87" t="n">
        <x:v>1572</x:v>
      </x:c>
      <x:c r="J1578" s="68" t="n">
        <x:f>IFERROR(H1578/I1578,"")</x:f>
        <x:v>0.04262086513994911</x:v>
      </x:c>
      <x:c r="K1578" s="69" t="n">
        <x:f>IFERROR(I1578/H1578,"")</x:f>
        <x:v>23.46268656716418</x:v>
      </x:c>
      <x:c r="L1578" s="66" t="str">
        <x:f>IF(K1578="","","1 : "&amp;TEXT(K1578,"0.0"))</x:f>
        <x:v>1 : 23.5</x:v>
      </x:c>
      <x:c r="M1578" s="66" t="str">
        <x:f>IF(J1578="","Baru/Tanpa Data",IF(J1578&lt;='Catatan &amp; Sumber'!$B$14,"Sangat Ketat",IF(J1578&lt;='Catatan &amp; Sumber'!$B$15,"Ketat",IF(J1578&lt;='Catatan &amp; Sumber'!$B$16,"Sedang","Relatif Longgar"))))</x:f>
        <x:v>Ketat</x:v>
      </x:c>
      <x:c r="N1578" s="66" t="str">
        <x:v>Tidak Ada</x:v>
      </x:c>
      <x:c r="O1578" s="66" t="str">
        <x:v>Jawa Barat</x:v>
      </x:c>
      <x:c r="P1578" s="66" t="str">
        <x:v>Kabupaten Sumedang</x:v>
      </x:c>
      <x:c r="Q1578" s="66" t="str">
        <x:v>https://snpmb.id/snbp/daya-tampung-snbp</x:v>
      </x:c>
      <x:c r="R1578" s="66" t="str">
        <x:v>https://sidatagrun-public-1076756628210.asia-southeast2.run.app/ptn_sn.php?ptn=333</x:v>
      </x:c>
    </x:row>
    <x:row r="1579">
      <x:c r="A1579" s="87" t="n">
        <x:v>1049</x:v>
      </x:c>
      <x:c r="B1579" s="66" t="n">
        <x:v>333</x:v>
      </x:c>
      <x:c r="C1579" s="66" t="str">
        <x:v>UNIVERSITAS PADJADJARAN</x:v>
      </x:c>
      <x:c r="D1579" s="66" t="str">
        <x:v>PTN Akademik</x:v>
      </x:c>
      <x:c r="E1579" s="66" t="str">
        <x:v>13331002</x:v>
      </x:c>
      <x:c r="F1579" s="66" t="str">
        <x:v>MATEMATIKA</x:v>
      </x:c>
      <x:c r="G1579" s="66" t="str">
        <x:v>Sarjana</x:v>
      </x:c>
      <x:c r="H1579" s="87" t="n">
        <x:v>34</x:v>
      </x:c>
      <x:c r="I1579" s="87" t="n">
        <x:v>419</x:v>
      </x:c>
      <x:c r="J1579" s="68" t="n">
        <x:f>IFERROR(H1579/I1579,"")</x:f>
        <x:v>0.081145584725537</x:v>
      </x:c>
      <x:c r="K1579" s="69" t="n">
        <x:f>IFERROR(I1579/H1579,"")</x:f>
        <x:v>12.323529411764707</x:v>
      </x:c>
      <x:c r="L1579" s="66" t="str">
        <x:f>IF(K1579="","","1 : "&amp;TEXT(K1579,"0.0"))</x:f>
        <x:v>1 : 12.3</x:v>
      </x:c>
      <x:c r="M1579" s="66" t="str">
        <x:f>IF(J1579="","Baru/Tanpa Data",IF(J1579&lt;='Catatan &amp; Sumber'!$B$14,"Sangat Ketat",IF(J1579&lt;='Catatan &amp; Sumber'!$B$15,"Ketat",IF(J1579&lt;='Catatan &amp; Sumber'!$B$16,"Sedang","Relatif Longgar"))))</x:f>
        <x:v>Sedang</x:v>
      </x:c>
      <x:c r="N1579" s="66" t="str">
        <x:v>Tidak Ada</x:v>
      </x:c>
      <x:c r="O1579" s="66" t="str">
        <x:v>Jawa Barat</x:v>
      </x:c>
      <x:c r="P1579" s="66" t="str">
        <x:v>Kabupaten Sumedang</x:v>
      </x:c>
      <x:c r="Q1579" s="66" t="str">
        <x:v>https://snpmb.id/snbp/daya-tampung-snbp</x:v>
      </x:c>
      <x:c r="R1579" s="66" t="str">
        <x:v>https://sidatagrun-public-1076756628210.asia-southeast2.run.app/ptn_sn.php?ptn=333</x:v>
      </x:c>
    </x:row>
    <x:row r="1580">
      <x:c r="A1580" s="87" t="n">
        <x:v>1167</x:v>
      </x:c>
      <x:c r="B1580" s="66" t="n">
        <x:v>333</x:v>
      </x:c>
      <x:c r="C1580" s="66" t="str">
        <x:v>UNIVERSITAS PADJADJARAN</x:v>
      </x:c>
      <x:c r="D1580" s="66" t="str">
        <x:v>PTN Akademik</x:v>
      </x:c>
      <x:c r="E1580" s="66" t="str">
        <x:v>13331003</x:v>
      </x:c>
      <x:c r="F1580" s="66" t="str">
        <x:v>KIMIA</x:v>
      </x:c>
      <x:c r="G1580" s="66" t="str">
        <x:v>Sarjana</x:v>
      </x:c>
      <x:c r="H1580" s="87" t="n">
        <x:v>40</x:v>
      </x:c>
      <x:c r="I1580" s="87" t="n">
        <x:v>455</x:v>
      </x:c>
      <x:c r="J1580" s="68" t="n">
        <x:f>IFERROR(H1580/I1580,"")</x:f>
        <x:v>0.08791208791208792</x:v>
      </x:c>
      <x:c r="K1580" s="69" t="n">
        <x:f>IFERROR(I1580/H1580,"")</x:f>
        <x:v>11.375</x:v>
      </x:c>
      <x:c r="L1580" s="66" t="str">
        <x:f>IF(K1580="","","1 : "&amp;TEXT(K1580,"0.0"))</x:f>
        <x:v>1 : 11.4</x:v>
      </x:c>
      <x:c r="M1580" s="66" t="str">
        <x:f>IF(J1580="","Baru/Tanpa Data",IF(J1580&lt;='Catatan &amp; Sumber'!$B$14,"Sangat Ketat",IF(J1580&lt;='Catatan &amp; Sumber'!$B$15,"Ketat",IF(J1580&lt;='Catatan &amp; Sumber'!$B$16,"Sedang","Relatif Longgar"))))</x:f>
        <x:v>Sedang</x:v>
      </x:c>
      <x:c r="N1580" s="66" t="str">
        <x:v>Tidak Ada</x:v>
      </x:c>
      <x:c r="O1580" s="66" t="str">
        <x:v>Jawa Barat</x:v>
      </x:c>
      <x:c r="P1580" s="66" t="str">
        <x:v>Kabupaten Sumedang</x:v>
      </x:c>
      <x:c r="Q1580" s="66" t="str">
        <x:v>https://snpmb.id/snbp/daya-tampung-snbp</x:v>
      </x:c>
      <x:c r="R1580" s="66" t="str">
        <x:v>https://sidatagrun-public-1076756628210.asia-southeast2.run.app/ptn_sn.php?ptn=333</x:v>
      </x:c>
    </x:row>
    <x:row r="1581">
      <x:c r="A1581" s="87" t="n">
        <x:v>1417</x:v>
      </x:c>
      <x:c r="B1581" s="66" t="n">
        <x:v>333</x:v>
      </x:c>
      <x:c r="C1581" s="66" t="str">
        <x:v>UNIVERSITAS PADJADJARAN</x:v>
      </x:c>
      <x:c r="D1581" s="66" t="str">
        <x:v>PTN Akademik</x:v>
      </x:c>
      <x:c r="E1581" s="66" t="str">
        <x:v>13331004</x:v>
      </x:c>
      <x:c r="F1581" s="66" t="str">
        <x:v>FISIKA</x:v>
      </x:c>
      <x:c r="G1581" s="66" t="str">
        <x:v>Sarjana</x:v>
      </x:c>
      <x:c r="H1581" s="87" t="n">
        <x:v>34</x:v>
      </x:c>
      <x:c r="I1581" s="87" t="n">
        <x:v>329</x:v>
      </x:c>
      <x:c r="J1581" s="68" t="n">
        <x:f>IFERROR(H1581/I1581,"")</x:f>
        <x:v>0.1033434650455927</x:v>
      </x:c>
      <x:c r="K1581" s="69" t="n">
        <x:f>IFERROR(I1581/H1581,"")</x:f>
        <x:v>9.676470588235293</x:v>
      </x:c>
      <x:c r="L1581" s="66" t="str">
        <x:f>IF(K1581="","","1 : "&amp;TEXT(K1581,"0.0"))</x:f>
        <x:v>1 : 9.7</x:v>
      </x:c>
      <x:c r="M1581" s="66" t="str">
        <x:f>IF(J1581="","Baru/Tanpa Data",IF(J1581&lt;='Catatan &amp; Sumber'!$B$14,"Sangat Ketat",IF(J1581&lt;='Catatan &amp; Sumber'!$B$15,"Ketat",IF(J1581&lt;='Catatan &amp; Sumber'!$B$16,"Sedang","Relatif Longgar"))))</x:f>
        <x:v>Relatif Longgar</x:v>
      </x:c>
      <x:c r="N1581" s="66" t="str">
        <x:v>Tidak Ada</x:v>
      </x:c>
      <x:c r="O1581" s="66" t="str">
        <x:v>Jawa Barat</x:v>
      </x:c>
      <x:c r="P1581" s="66" t="str">
        <x:v>Kabupaten Sumedang</x:v>
      </x:c>
      <x:c r="Q1581" s="66" t="str">
        <x:v>https://snpmb.id/snbp/daya-tampung-snbp</x:v>
      </x:c>
      <x:c r="R1581" s="66" t="str">
        <x:v>https://sidatagrun-public-1076756628210.asia-southeast2.run.app/ptn_sn.php?ptn=333</x:v>
      </x:c>
    </x:row>
    <x:row r="1582">
      <x:c r="A1582" s="87" t="n">
        <x:v>1133</x:v>
      </x:c>
      <x:c r="B1582" s="66" t="n">
        <x:v>333</x:v>
      </x:c>
      <x:c r="C1582" s="66" t="str">
        <x:v>UNIVERSITAS PADJADJARAN</x:v>
      </x:c>
      <x:c r="D1582" s="66" t="str">
        <x:v>PTN Akademik</x:v>
      </x:c>
      <x:c r="E1582" s="66" t="str">
        <x:v>13331005</x:v>
      </x:c>
      <x:c r="F1582" s="66" t="str">
        <x:v>BIOLOGI</x:v>
      </x:c>
      <x:c r="G1582" s="66" t="str">
        <x:v>Sarjana</x:v>
      </x:c>
      <x:c r="H1582" s="87" t="n">
        <x:v>40</x:v>
      </x:c>
      <x:c r="I1582" s="87" t="n">
        <x:v>465</x:v>
      </x:c>
      <x:c r="J1582" s="68" t="n">
        <x:f>IFERROR(H1582/I1582,"")</x:f>
        <x:v>0.08602150537634409</x:v>
      </x:c>
      <x:c r="K1582" s="69" t="n">
        <x:f>IFERROR(I1582/H1582,"")</x:f>
        <x:v>11.625</x:v>
      </x:c>
      <x:c r="L1582" s="66" t="str">
        <x:f>IF(K1582="","","1 : "&amp;TEXT(K1582,"0.0"))</x:f>
        <x:v>1 : 11.6</x:v>
      </x:c>
      <x:c r="M1582" s="66" t="str">
        <x:f>IF(J1582="","Baru/Tanpa Data",IF(J1582&lt;='Catatan &amp; Sumber'!$B$14,"Sangat Ketat",IF(J1582&lt;='Catatan &amp; Sumber'!$B$15,"Ketat",IF(J1582&lt;='Catatan &amp; Sumber'!$B$16,"Sedang","Relatif Longgar"))))</x:f>
        <x:v>Sedang</x:v>
      </x:c>
      <x:c r="N1582" s="66" t="str">
        <x:v>Tidak Ada</x:v>
      </x:c>
      <x:c r="O1582" s="66" t="str">
        <x:v>Jawa Barat</x:v>
      </x:c>
      <x:c r="P1582" s="66" t="str">
        <x:v>Kabupaten Sumedang</x:v>
      </x:c>
      <x:c r="Q1582" s="66" t="str">
        <x:v>https://snpmb.id/snbp/daya-tampung-snbp</x:v>
      </x:c>
      <x:c r="R1582" s="66" t="str">
        <x:v>https://sidatagrun-public-1076756628210.asia-southeast2.run.app/ptn_sn.php?ptn=333</x:v>
      </x:c>
    </x:row>
    <x:row r="1583">
      <x:c r="A1583" s="87" t="n">
        <x:v>840</x:v>
      </x:c>
      <x:c r="B1583" s="66" t="n">
        <x:v>333</x:v>
      </x:c>
      <x:c r="C1583" s="66" t="str">
        <x:v>UNIVERSITAS PADJADJARAN</x:v>
      </x:c>
      <x:c r="D1583" s="66" t="str">
        <x:v>PTN Akademik</x:v>
      </x:c>
      <x:c r="E1583" s="66" t="str">
        <x:v>13331006</x:v>
      </x:c>
      <x:c r="F1583" s="66" t="str">
        <x:v>STATISTIKA</x:v>
      </x:c>
      <x:c r="G1583" s="66" t="str">
        <x:v>Sarjana</x:v>
      </x:c>
      <x:c r="H1583" s="87" t="n">
        <x:v>33</x:v>
      </x:c>
      <x:c r="I1583" s="87" t="n">
        <x:v>480</x:v>
      </x:c>
      <x:c r="J1583" s="68" t="n">
        <x:f>IFERROR(H1583/I1583,"")</x:f>
        <x:v>0.06875</x:v>
      </x:c>
      <x:c r="K1583" s="69" t="n">
        <x:f>IFERROR(I1583/H1583,"")</x:f>
        <x:v>14.545454545454545</x:v>
      </x:c>
      <x:c r="L1583" s="66" t="str">
        <x:f>IF(K1583="","","1 : "&amp;TEXT(K1583,"0.0"))</x:f>
        <x:v>1 : 14.5</x:v>
      </x:c>
      <x:c r="M1583" s="66" t="str">
        <x:f>IF(J1583="","Baru/Tanpa Data",IF(J1583&lt;='Catatan &amp; Sumber'!$B$14,"Sangat Ketat",IF(J1583&lt;='Catatan &amp; Sumber'!$B$15,"Ketat",IF(J1583&lt;='Catatan &amp; Sumber'!$B$16,"Sedang","Relatif Longgar"))))</x:f>
        <x:v>Sedang</x:v>
      </x:c>
      <x:c r="N1583" s="66" t="str">
        <x:v>Tidak Ada</x:v>
      </x:c>
      <x:c r="O1583" s="66" t="str">
        <x:v>Jawa Barat</x:v>
      </x:c>
      <x:c r="P1583" s="66" t="str">
        <x:v>Kabupaten Sumedang</x:v>
      </x:c>
      <x:c r="Q1583" s="66" t="str">
        <x:v>https://snpmb.id/snbp/daya-tampung-snbp</x:v>
      </x:c>
      <x:c r="R1583" s="66" t="str">
        <x:v>https://sidatagrun-public-1076756628210.asia-southeast2.run.app/ptn_sn.php?ptn=333</x:v>
      </x:c>
    </x:row>
    <x:row r="1584">
      <x:c r="A1584" s="87" t="n">
        <x:v>1850</x:v>
      </x:c>
      <x:c r="B1584" s="66" t="n">
        <x:v>333</x:v>
      </x:c>
      <x:c r="C1584" s="66" t="str">
        <x:v>UNIVERSITAS PADJADJARAN</x:v>
      </x:c>
      <x:c r="D1584" s="66" t="str">
        <x:v>PTN Akademik</x:v>
      </x:c>
      <x:c r="E1584" s="66" t="str">
        <x:v>13331007</x:v>
      </x:c>
      <x:c r="F1584" s="66" t="str">
        <x:v>AGROTEKNOLOGI</x:v>
      </x:c>
      <x:c r="G1584" s="66" t="str">
        <x:v>Sarjana</x:v>
      </x:c>
      <x:c r="H1584" s="87" t="n">
        <x:v>134</x:v>
      </x:c>
      <x:c r="I1584" s="87" t="n">
        <x:v>983</x:v>
      </x:c>
      <x:c r="J1584" s="68" t="n">
        <x:f>IFERROR(H1584/I1584,"")</x:f>
        <x:v>0.1363173957273652</x:v>
      </x:c>
      <x:c r="K1584" s="69" t="n">
        <x:f>IFERROR(I1584/H1584,"")</x:f>
        <x:v>7.335820895522388</x:v>
      </x:c>
      <x:c r="L1584" s="66" t="str">
        <x:f>IF(K1584="","","1 : "&amp;TEXT(K1584,"0.0"))</x:f>
        <x:v>1 : 7.3</x:v>
      </x:c>
      <x:c r="M1584" s="66" t="str">
        <x:f>IF(J1584="","Baru/Tanpa Data",IF(J1584&lt;='Catatan &amp; Sumber'!$B$14,"Sangat Ketat",IF(J1584&lt;='Catatan &amp; Sumber'!$B$15,"Ketat",IF(J1584&lt;='Catatan &amp; Sumber'!$B$16,"Sedang","Relatif Longgar"))))</x:f>
        <x:v>Relatif Longgar</x:v>
      </x:c>
      <x:c r="N1584" s="66" t="str">
        <x:v>Tidak Ada</x:v>
      </x:c>
      <x:c r="O1584" s="66" t="str">
        <x:v>Jawa Barat</x:v>
      </x:c>
      <x:c r="P1584" s="66" t="str">
        <x:v>Kabupaten Sumedang</x:v>
      </x:c>
      <x:c r="Q1584" s="66" t="str">
        <x:v>https://snpmb.id/snbp/daya-tampung-snbp</x:v>
      </x:c>
      <x:c r="R1584" s="66" t="str">
        <x:v>https://sidatagrun-public-1076756628210.asia-southeast2.run.app/ptn_sn.php?ptn=333</x:v>
      </x:c>
    </x:row>
    <x:row r="1585">
      <x:c r="A1585" s="87" t="n">
        <x:v>1094</x:v>
      </x:c>
      <x:c r="B1585" s="66" t="n">
        <x:v>333</x:v>
      </x:c>
      <x:c r="C1585" s="66" t="str">
        <x:v>UNIVERSITAS PADJADJARAN</x:v>
      </x:c>
      <x:c r="D1585" s="66" t="str">
        <x:v>PTN Akademik</x:v>
      </x:c>
      <x:c r="E1585" s="66" t="str">
        <x:v>13331008</x:v>
      </x:c>
      <x:c r="F1585" s="66" t="str">
        <x:v>AGRIBISNIS</x:v>
      </x:c>
      <x:c r="G1585" s="66" t="str">
        <x:v>Sarjana</x:v>
      </x:c>
      <x:c r="H1585" s="87" t="n">
        <x:v>41</x:v>
      </x:c>
      <x:c r="I1585" s="87" t="n">
        <x:v>490</x:v>
      </x:c>
      <x:c r="J1585" s="68" t="n">
        <x:f>IFERROR(H1585/I1585,"")</x:f>
        <x:v>0.0836734693877551</x:v>
      </x:c>
      <x:c r="K1585" s="69" t="n">
        <x:f>IFERROR(I1585/H1585,"")</x:f>
        <x:v>11.951219512195122</x:v>
      </x:c>
      <x:c r="L1585" s="66" t="str">
        <x:f>IF(K1585="","","1 : "&amp;TEXT(K1585,"0.0"))</x:f>
        <x:v>1 : 12.0</x:v>
      </x:c>
      <x:c r="M1585" s="66" t="str">
        <x:f>IF(J1585="","Baru/Tanpa Data",IF(J1585&lt;='Catatan &amp; Sumber'!$B$14,"Sangat Ketat",IF(J1585&lt;='Catatan &amp; Sumber'!$B$15,"Ketat",IF(J1585&lt;='Catatan &amp; Sumber'!$B$16,"Sedang","Relatif Longgar"))))</x:f>
        <x:v>Sedang</x:v>
      </x:c>
      <x:c r="N1585" s="66" t="str">
        <x:v>Tidak Ada</x:v>
      </x:c>
      <x:c r="O1585" s="66" t="str">
        <x:v>Jawa Barat</x:v>
      </x:c>
      <x:c r="P1585" s="66" t="str">
        <x:v>Kabupaten Sumedang</x:v>
      </x:c>
      <x:c r="Q1585" s="66" t="str">
        <x:v>https://snpmb.id/snbp/daya-tampung-snbp</x:v>
      </x:c>
      <x:c r="R1585" s="66" t="str">
        <x:v>https://sidatagrun-public-1076756628210.asia-southeast2.run.app/ptn_sn.php?ptn=333</x:v>
      </x:c>
    </x:row>
    <x:row r="1586">
      <x:c r="A1586" s="87" t="n">
        <x:v>299</x:v>
      </x:c>
      <x:c r="B1586" s="66" t="n">
        <x:v>333</x:v>
      </x:c>
      <x:c r="C1586" s="66" t="str">
        <x:v>UNIVERSITAS PADJADJARAN</x:v>
      </x:c>
      <x:c r="D1586" s="66" t="str">
        <x:v>PTN Akademik</x:v>
      </x:c>
      <x:c r="E1586" s="66" t="str">
        <x:v>13331009</x:v>
      </x:c>
      <x:c r="F1586" s="66" t="str">
        <x:v>PENDIDIKAN DOKTER GIGI</x:v>
      </x:c>
      <x:c r="G1586" s="66" t="str">
        <x:v>Sarjana</x:v>
      </x:c>
      <x:c r="H1586" s="87" t="n">
        <x:v>30</x:v>
      </x:c>
      <x:c r="I1586" s="87" t="n">
        <x:v>705</x:v>
      </x:c>
      <x:c r="J1586" s="68" t="n">
        <x:f>IFERROR(H1586/I1586,"")</x:f>
        <x:v>0.0425531914893617</x:v>
      </x:c>
      <x:c r="K1586" s="69" t="n">
        <x:f>IFERROR(I1586/H1586,"")</x:f>
        <x:v>23.5</x:v>
      </x:c>
      <x:c r="L1586" s="66" t="str">
        <x:f>IF(K1586="","","1 : "&amp;TEXT(K1586,"0.0"))</x:f>
        <x:v>1 : 23.5</x:v>
      </x:c>
      <x:c r="M1586" s="66" t="str">
        <x:f>IF(J1586="","Baru/Tanpa Data",IF(J1586&lt;='Catatan &amp; Sumber'!$B$14,"Sangat Ketat",IF(J1586&lt;='Catatan &amp; Sumber'!$B$15,"Ketat",IF(J1586&lt;='Catatan &amp; Sumber'!$B$16,"Sedang","Relatif Longgar"))))</x:f>
        <x:v>Ketat</x:v>
      </x:c>
      <x:c r="N1586" s="66" t="str">
        <x:v>Tidak Ada</x:v>
      </x:c>
      <x:c r="O1586" s="66" t="str">
        <x:v>Jawa Barat</x:v>
      </x:c>
      <x:c r="P1586" s="66" t="str">
        <x:v>Kabupaten Sumedang</x:v>
      </x:c>
      <x:c r="Q1586" s="66" t="str">
        <x:v>https://snpmb.id/snbp/daya-tampung-snbp</x:v>
      </x:c>
      <x:c r="R1586" s="66" t="str">
        <x:v>https://sidatagrun-public-1076756628210.asia-southeast2.run.app/ptn_sn.php?ptn=333</x:v>
      </x:c>
    </x:row>
    <x:row r="1587">
      <x:c r="A1587" s="87" t="n">
        <x:v>2057</x:v>
      </x:c>
      <x:c r="B1587" s="66" t="n">
        <x:v>333</x:v>
      </x:c>
      <x:c r="C1587" s="66" t="str">
        <x:v>UNIVERSITAS PADJADJARAN</x:v>
      </x:c>
      <x:c r="D1587" s="66" t="str">
        <x:v>PTN Akademik</x:v>
      </x:c>
      <x:c r="E1587" s="66" t="str">
        <x:v>13331010</x:v>
      </x:c>
      <x:c r="F1587" s="66" t="str">
        <x:v>ILMU PETERNAKAN</x:v>
      </x:c>
      <x:c r="G1587" s="66" t="str">
        <x:v>Sarjana</x:v>
      </x:c>
      <x:c r="H1587" s="87" t="n">
        <x:v>122</x:v>
      </x:c>
      <x:c r="I1587" s="87" t="n">
        <x:v>774</x:v>
      </x:c>
      <x:c r="J1587" s="68" t="n">
        <x:f>IFERROR(H1587/I1587,"")</x:f>
        <x:v>0.15762273901808785</x:v>
      </x:c>
      <x:c r="K1587" s="69" t="n">
        <x:f>IFERROR(I1587/H1587,"")</x:f>
        <x:v>6.344262295081967</x:v>
      </x:c>
      <x:c r="L1587" s="66" t="str">
        <x:f>IF(K1587="","","1 : "&amp;TEXT(K1587,"0.0"))</x:f>
        <x:v>1 : 6.3</x:v>
      </x:c>
      <x:c r="M1587" s="66" t="str">
        <x:f>IF(J1587="","Baru/Tanpa Data",IF(J1587&lt;='Catatan &amp; Sumber'!$B$14,"Sangat Ketat",IF(J1587&lt;='Catatan &amp; Sumber'!$B$15,"Ketat",IF(J1587&lt;='Catatan &amp; Sumber'!$B$16,"Sedang","Relatif Longgar"))))</x:f>
        <x:v>Relatif Longgar</x:v>
      </x:c>
      <x:c r="N1587" s="66" t="str">
        <x:v>Tidak Ada</x:v>
      </x:c>
      <x:c r="O1587" s="66" t="str">
        <x:v>Jawa Barat</x:v>
      </x:c>
      <x:c r="P1587" s="66" t="str">
        <x:v>Kabupaten Sumedang</x:v>
      </x:c>
      <x:c r="Q1587" s="66" t="str">
        <x:v>https://snpmb.id/snbp/daya-tampung-snbp</x:v>
      </x:c>
      <x:c r="R1587" s="66" t="str">
        <x:v>https://sidatagrun-public-1076756628210.asia-southeast2.run.app/ptn_sn.php?ptn=333</x:v>
      </x:c>
    </x:row>
    <x:row r="1588">
      <x:c r="A1588" s="87" t="n">
        <x:v>1853</x:v>
      </x:c>
      <x:c r="B1588" s="66" t="n">
        <x:v>333</x:v>
      </x:c>
      <x:c r="C1588" s="66" t="str">
        <x:v>UNIVERSITAS PADJADJARAN</x:v>
      </x:c>
      <x:c r="D1588" s="66" t="str">
        <x:v>PTN Akademik</x:v>
      </x:c>
      <x:c r="E1588" s="66" t="str">
        <x:v>13331011</x:v>
      </x:c>
      <x:c r="F1588" s="66" t="str">
        <x:v>PERIKANAN</x:v>
      </x:c>
      <x:c r="G1588" s="66" t="str">
        <x:v>Sarjana</x:v>
      </x:c>
      <x:c r="H1588" s="87" t="n">
        <x:v>69</x:v>
      </x:c>
      <x:c r="I1588" s="87" t="n">
        <x:v>505</x:v>
      </x:c>
      <x:c r="J1588" s="68" t="n">
        <x:f>IFERROR(H1588/I1588,"")</x:f>
        <x:v>0.13663366336633664</x:v>
      </x:c>
      <x:c r="K1588" s="69" t="n">
        <x:f>IFERROR(I1588/H1588,"")</x:f>
        <x:v>7.318840579710145</x:v>
      </x:c>
      <x:c r="L1588" s="66" t="str">
        <x:f>IF(K1588="","","1 : "&amp;TEXT(K1588,"0.0"))</x:f>
        <x:v>1 : 7.3</x:v>
      </x:c>
      <x:c r="M1588" s="66" t="str">
        <x:f>IF(J1588="","Baru/Tanpa Data",IF(J1588&lt;='Catatan &amp; Sumber'!$B$14,"Sangat Ketat",IF(J1588&lt;='Catatan &amp; Sumber'!$B$15,"Ketat",IF(J1588&lt;='Catatan &amp; Sumber'!$B$16,"Sedang","Relatif Longgar"))))</x:f>
        <x:v>Relatif Longgar</x:v>
      </x:c>
      <x:c r="N1588" s="66" t="str">
        <x:v>Tidak Ada</x:v>
      </x:c>
      <x:c r="O1588" s="66" t="str">
        <x:v>Jawa Barat</x:v>
      </x:c>
      <x:c r="P1588" s="66" t="str">
        <x:v>Kabupaten Sumedang</x:v>
      </x:c>
      <x:c r="Q1588" s="66" t="str">
        <x:v>https://snpmb.id/snbp/daya-tampung-snbp</x:v>
      </x:c>
      <x:c r="R1588" s="66" t="str">
        <x:v>https://sidatagrun-public-1076756628210.asia-southeast2.run.app/ptn_sn.php?ptn=333</x:v>
      </x:c>
    </x:row>
    <x:row r="1589">
      <x:c r="A1589" s="87" t="n">
        <x:v>86</x:v>
      </x:c>
      <x:c r="B1589" s="66" t="n">
        <x:v>333</x:v>
      </x:c>
      <x:c r="C1589" s="66" t="str">
        <x:v>UNIVERSITAS PADJADJARAN</x:v>
      </x:c>
      <x:c r="D1589" s="66" t="str">
        <x:v>PTN Akademik</x:v>
      </x:c>
      <x:c r="E1589" s="66" t="str">
        <x:v>13331012</x:v>
      </x:c>
      <x:c r="F1589" s="66" t="str">
        <x:v>ILMU KEPERAWATAN</x:v>
      </x:c>
      <x:c r="G1589" s="66" t="str">
        <x:v>Sarjana</x:v>
      </x:c>
      <x:c r="H1589" s="87" t="n">
        <x:v>58</x:v>
      </x:c>
      <x:c r="I1589" s="87" t="n">
        <x:v>2152</x:v>
      </x:c>
      <x:c r="J1589" s="68" t="n">
        <x:f>IFERROR(H1589/I1589,"")</x:f>
        <x:v>0.02695167286245353</x:v>
      </x:c>
      <x:c r="K1589" s="69" t="n">
        <x:f>IFERROR(I1589/H1589,"")</x:f>
        <x:v>37.10344827586207</x:v>
      </x:c>
      <x:c r="L1589" s="66" t="str">
        <x:f>IF(K1589="","","1 : "&amp;TEXT(K1589,"0.0"))</x:f>
        <x:v>1 : 37.1</x:v>
      </x:c>
      <x:c r="M1589" s="66" t="str">
        <x:f>IF(J1589="","Baru/Tanpa Data",IF(J1589&lt;='Catatan &amp; Sumber'!$B$14,"Sangat Ketat",IF(J1589&lt;='Catatan &amp; Sumber'!$B$15,"Ketat",IF(J1589&lt;='Catatan &amp; Sumber'!$B$16,"Sedang","Relatif Longgar"))))</x:f>
        <x:v>Ketat</x:v>
      </x:c>
      <x:c r="N1589" s="66" t="str">
        <x:v>Tidak Ada</x:v>
      </x:c>
      <x:c r="O1589" s="66" t="str">
        <x:v>Jawa Barat</x:v>
      </x:c>
      <x:c r="P1589" s="66" t="str">
        <x:v>Kabupaten Sumedang</x:v>
      </x:c>
      <x:c r="Q1589" s="66" t="str">
        <x:v>https://snpmb.id/snbp/daya-tampung-snbp</x:v>
      </x:c>
      <x:c r="R1589" s="66" t="str">
        <x:v>https://sidatagrun-public-1076756628210.asia-southeast2.run.app/ptn_sn.php?ptn=333</x:v>
      </x:c>
    </x:row>
    <x:row r="1590">
      <x:c r="A1590" s="87" t="n">
        <x:v>1115</x:v>
      </x:c>
      <x:c r="B1590" s="66" t="n">
        <x:v>333</x:v>
      </x:c>
      <x:c r="C1590" s="66" t="str">
        <x:v>UNIVERSITAS PADJADJARAN</x:v>
      </x:c>
      <x:c r="D1590" s="66" t="str">
        <x:v>PTN Akademik</x:v>
      </x:c>
      <x:c r="E1590" s="66" t="str">
        <x:v>13331013</x:v>
      </x:c>
      <x:c r="F1590" s="66" t="str">
        <x:v>ILMU KELAUTAN</x:v>
      </x:c>
      <x:c r="G1590" s="66" t="str">
        <x:v>Sarjana</x:v>
      </x:c>
      <x:c r="H1590" s="87" t="n">
        <x:v>43</x:v>
      </x:c>
      <x:c r="I1590" s="87" t="n">
        <x:v>508</x:v>
      </x:c>
      <x:c r="J1590" s="68" t="n">
        <x:f>IFERROR(H1590/I1590,"")</x:f>
        <x:v>0.08464566929133858</x:v>
      </x:c>
      <x:c r="K1590" s="69" t="n">
        <x:f>IFERROR(I1590/H1590,"")</x:f>
        <x:v>11.813953488372093</x:v>
      </x:c>
      <x:c r="L1590" s="66" t="str">
        <x:f>IF(K1590="","","1 : "&amp;TEXT(K1590,"0.0"))</x:f>
        <x:v>1 : 11.8</x:v>
      </x:c>
      <x:c r="M1590" s="66" t="str">
        <x:f>IF(J1590="","Baru/Tanpa Data",IF(J1590&lt;='Catatan &amp; Sumber'!$B$14,"Sangat Ketat",IF(J1590&lt;='Catatan &amp; Sumber'!$B$15,"Ketat",IF(J1590&lt;='Catatan &amp; Sumber'!$B$16,"Sedang","Relatif Longgar"))))</x:f>
        <x:v>Sedang</x:v>
      </x:c>
      <x:c r="N1590" s="66" t="str">
        <x:v>Tidak Ada</x:v>
      </x:c>
      <x:c r="O1590" s="66" t="str">
        <x:v>Jawa Barat</x:v>
      </x:c>
      <x:c r="P1590" s="66" t="str">
        <x:v>Kabupaten Sumedang</x:v>
      </x:c>
      <x:c r="Q1590" s="66" t="str">
        <x:v>https://snpmb.id/snbp/daya-tampung-snbp</x:v>
      </x:c>
      <x:c r="R1590" s="66" t="str">
        <x:v>https://sidatagrun-public-1076756628210.asia-southeast2.run.app/ptn_sn.php?ptn=333</x:v>
      </x:c>
    </x:row>
    <x:row r="1591">
      <x:c r="A1591" s="87" t="n">
        <x:v>405</x:v>
      </x:c>
      <x:c r="B1591" s="66" t="n">
        <x:v>333</x:v>
      </x:c>
      <x:c r="C1591" s="66" t="str">
        <x:v>UNIVERSITAS PADJADJARAN</x:v>
      </x:c>
      <x:c r="D1591" s="66" t="str">
        <x:v>PTN Akademik</x:v>
      </x:c>
      <x:c r="E1591" s="66" t="str">
        <x:v>13331014</x:v>
      </x:c>
      <x:c r="F1591" s="66" t="str">
        <x:v>TEKNOLOGI PANGAN</x:v>
      </x:c>
      <x:c r="G1591" s="66" t="str">
        <x:v>Sarjana</x:v>
      </x:c>
      <x:c r="H1591" s="87" t="n">
        <x:v>41</x:v>
      </x:c>
      <x:c r="I1591" s="87" t="n">
        <x:v>873</x:v>
      </x:c>
      <x:c r="J1591" s="68" t="n">
        <x:f>IFERROR(H1591/I1591,"")</x:f>
        <x:v>0.046964490263459335</x:v>
      </x:c>
      <x:c r="K1591" s="69" t="n">
        <x:f>IFERROR(I1591/H1591,"")</x:f>
        <x:v>21.29268292682927</x:v>
      </x:c>
      <x:c r="L1591" s="66" t="str">
        <x:f>IF(K1591="","","1 : "&amp;TEXT(K1591,"0.0"))</x:f>
        <x:v>1 : 21.3</x:v>
      </x:c>
      <x:c r="M1591" s="66" t="str">
        <x:f>IF(J1591="","Baru/Tanpa Data",IF(J1591&lt;='Catatan &amp; Sumber'!$B$14,"Sangat Ketat",IF(J1591&lt;='Catatan &amp; Sumber'!$B$15,"Ketat",IF(J1591&lt;='Catatan &amp; Sumber'!$B$16,"Sedang","Relatif Longgar"))))</x:f>
        <x:v>Ketat</x:v>
      </x:c>
      <x:c r="N1591" s="66" t="str">
        <x:v>Tidak Ada</x:v>
      </x:c>
      <x:c r="O1591" s="66" t="str">
        <x:v>Jawa Barat</x:v>
      </x:c>
      <x:c r="P1591" s="66" t="str">
        <x:v>Kabupaten Sumedang</x:v>
      </x:c>
      <x:c r="Q1591" s="66" t="str">
        <x:v>https://snpmb.id/snbp/daya-tampung-snbp</x:v>
      </x:c>
      <x:c r="R1591" s="66" t="str">
        <x:v>https://sidatagrun-public-1076756628210.asia-southeast2.run.app/ptn_sn.php?ptn=333</x:v>
      </x:c>
    </x:row>
    <x:row r="1592">
      <x:c r="A1592" s="87" t="n">
        <x:v>1030</x:v>
      </x:c>
      <x:c r="B1592" s="66" t="n">
        <x:v>333</x:v>
      </x:c>
      <x:c r="C1592" s="66" t="str">
        <x:v>UNIVERSITAS PADJADJARAN</x:v>
      </x:c>
      <x:c r="D1592" s="66" t="str">
        <x:v>PTN Akademik</x:v>
      </x:c>
      <x:c r="E1592" s="66" t="str">
        <x:v>13331015</x:v>
      </x:c>
      <x:c r="F1592" s="66" t="str">
        <x:v>TEKNIK PERTANIAN</x:v>
      </x:c>
      <x:c r="G1592" s="66" t="str">
        <x:v>Sarjana</x:v>
      </x:c>
      <x:c r="H1592" s="87" t="n">
        <x:v>48</x:v>
      </x:c>
      <x:c r="I1592" s="87" t="n">
        <x:v>602</x:v>
      </x:c>
      <x:c r="J1592" s="68" t="n">
        <x:f>IFERROR(H1592/I1592,"")</x:f>
        <x:v>0.07973421926910298</x:v>
      </x:c>
      <x:c r="K1592" s="69" t="n">
        <x:f>IFERROR(I1592/H1592,"")</x:f>
        <x:v>12.541666666666666</x:v>
      </x:c>
      <x:c r="L1592" s="66" t="str">
        <x:f>IF(K1592="","","1 : "&amp;TEXT(K1592,"0.0"))</x:f>
        <x:v>1 : 12.5</x:v>
      </x:c>
      <x:c r="M1592" s="66" t="str">
        <x:f>IF(J1592="","Baru/Tanpa Data",IF(J1592&lt;='Catatan &amp; Sumber'!$B$14,"Sangat Ketat",IF(J1592&lt;='Catatan &amp; Sumber'!$B$15,"Ketat",IF(J1592&lt;='Catatan &amp; Sumber'!$B$16,"Sedang","Relatif Longgar"))))</x:f>
        <x:v>Sedang</x:v>
      </x:c>
      <x:c r="N1592" s="66" t="str">
        <x:v>Tidak Ada</x:v>
      </x:c>
      <x:c r="O1592" s="66" t="str">
        <x:v>Jawa Barat</x:v>
      </x:c>
      <x:c r="P1592" s="66" t="str">
        <x:v>Kabupaten Sumedang</x:v>
      </x:c>
      <x:c r="Q1592" s="66" t="str">
        <x:v>https://snpmb.id/snbp/daya-tampung-snbp</x:v>
      </x:c>
      <x:c r="R1592" s="66" t="str">
        <x:v>https://sidatagrun-public-1076756628210.asia-southeast2.run.app/ptn_sn.php?ptn=333</x:v>
      </x:c>
    </x:row>
    <x:row r="1593">
      <x:c r="A1593" s="87" t="n">
        <x:v>45</x:v>
      </x:c>
      <x:c r="B1593" s="66" t="n">
        <x:v>333</x:v>
      </x:c>
      <x:c r="C1593" s="66" t="str">
        <x:v>UNIVERSITAS PADJADJARAN</x:v>
      </x:c>
      <x:c r="D1593" s="66" t="str">
        <x:v>PTN Akademik</x:v>
      </x:c>
      <x:c r="E1593" s="66" t="str">
        <x:v>13331016</x:v>
      </x:c>
      <x:c r="F1593" s="66" t="str">
        <x:v>FARMASI</x:v>
      </x:c>
      <x:c r="G1593" s="66" t="str">
        <x:v>Sarjana</x:v>
      </x:c>
      <x:c r="H1593" s="87" t="n">
        <x:v>50</x:v>
      </x:c>
      <x:c r="I1593" s="87" t="n">
        <x:v>2311</x:v>
      </x:c>
      <x:c r="J1593" s="68" t="n">
        <x:f>IFERROR(H1593/I1593,"")</x:f>
        <x:v>0.021635655560363478</x:v>
      </x:c>
      <x:c r="K1593" s="69" t="n">
        <x:f>IFERROR(I1593/H1593,"")</x:f>
        <x:v>46.22</x:v>
      </x:c>
      <x:c r="L1593" s="66" t="str">
        <x:f>IF(K1593="","","1 : "&amp;TEXT(K1593,"0.0"))</x:f>
        <x:v>1 : 46.2</x:v>
      </x:c>
      <x:c r="M1593" s="66" t="str">
        <x:f>IF(J1593="","Baru/Tanpa Data",IF(J1593&lt;='Catatan &amp; Sumber'!$B$14,"Sangat Ketat",IF(J1593&lt;='Catatan &amp; Sumber'!$B$15,"Ketat",IF(J1593&lt;='Catatan &amp; Sumber'!$B$16,"Sedang","Relatif Longgar"))))</x:f>
        <x:v>Ketat</x:v>
      </x:c>
      <x:c r="N1593" s="66" t="str">
        <x:v>Tidak Ada</x:v>
      </x:c>
      <x:c r="O1593" s="66" t="str">
        <x:v>Jawa Barat</x:v>
      </x:c>
      <x:c r="P1593" s="66" t="str">
        <x:v>Kabupaten Sumedang</x:v>
      </x:c>
      <x:c r="Q1593" s="66" t="str">
        <x:v>https://snpmb.id/snbp/daya-tampung-snbp</x:v>
      </x:c>
      <x:c r="R1593" s="66" t="str">
        <x:v>https://sidatagrun-public-1076756628210.asia-southeast2.run.app/ptn_sn.php?ptn=333</x:v>
      </x:c>
    </x:row>
    <x:row r="1594">
      <x:c r="A1594" s="87" t="n">
        <x:v>661</x:v>
      </x:c>
      <x:c r="B1594" s="66" t="n">
        <x:v>333</x:v>
      </x:c>
      <x:c r="C1594" s="66" t="str">
        <x:v>UNIVERSITAS PADJADJARAN</x:v>
      </x:c>
      <x:c r="D1594" s="66" t="str">
        <x:v>PTN Akademik</x:v>
      </x:c>
      <x:c r="E1594" s="66" t="str">
        <x:v>13331017</x:v>
      </x:c>
      <x:c r="F1594" s="66" t="str">
        <x:v>TEKNIK GEOLOGI</x:v>
      </x:c>
      <x:c r="G1594" s="66" t="str">
        <x:v>Sarjana</x:v>
      </x:c>
      <x:c r="H1594" s="87" t="n">
        <x:v>54</x:v>
      </x:c>
      <x:c r="I1594" s="87" t="n">
        <x:v>902</x:v>
      </x:c>
      <x:c r="J1594" s="68" t="n">
        <x:f>IFERROR(H1594/I1594,"")</x:f>
        <x:v>0.0598669623059867</x:v>
      </x:c>
      <x:c r="K1594" s="69" t="n">
        <x:f>IFERROR(I1594/H1594,"")</x:f>
        <x:v>16.703703703703702</x:v>
      </x:c>
      <x:c r="L1594" s="66" t="str">
        <x:f>IF(K1594="","","1 : "&amp;TEXT(K1594,"0.0"))</x:f>
        <x:v>1 : 16.7</x:v>
      </x:c>
      <x:c r="M1594" s="66" t="str">
        <x:f>IF(J1594="","Baru/Tanpa Data",IF(J1594&lt;='Catatan &amp; Sumber'!$B$14,"Sangat Ketat",IF(J1594&lt;='Catatan &amp; Sumber'!$B$15,"Ketat",IF(J1594&lt;='Catatan &amp; Sumber'!$B$16,"Sedang","Relatif Longgar"))))</x:f>
        <x:v>Sedang</x:v>
      </x:c>
      <x:c r="N1594" s="66" t="str">
        <x:v>Tidak Ada</x:v>
      </x:c>
      <x:c r="O1594" s="66" t="str">
        <x:v>Jawa Barat</x:v>
      </x:c>
      <x:c r="P1594" s="66" t="str">
        <x:v>Kabupaten Sumedang</x:v>
      </x:c>
      <x:c r="Q1594" s="66" t="str">
        <x:v>https://snpmb.id/snbp/daya-tampung-snbp</x:v>
      </x:c>
      <x:c r="R1594" s="66" t="str">
        <x:v>https://sidatagrun-public-1076756628210.asia-southeast2.run.app/ptn_sn.php?ptn=333</x:v>
      </x:c>
    </x:row>
    <x:row r="1595">
      <x:c r="A1595" s="87" t="n">
        <x:v>51</x:v>
      </x:c>
      <x:c r="B1595" s="66" t="n">
        <x:v>333</x:v>
      </x:c>
      <x:c r="C1595" s="66" t="str">
        <x:v>UNIVERSITAS PADJADJARAN</x:v>
      </x:c>
      <x:c r="D1595" s="66" t="str">
        <x:v>PTN Akademik</x:v>
      </x:c>
      <x:c r="E1595" s="66" t="str">
        <x:v>13331018</x:v>
      </x:c>
      <x:c r="F1595" s="66" t="str">
        <x:v>PSIKOLOGI</x:v>
      </x:c>
      <x:c r="G1595" s="66" t="str">
        <x:v>Sarjana</x:v>
      </x:c>
      <x:c r="H1595" s="87" t="n">
        <x:v>47</x:v>
      </x:c>
      <x:c r="I1595" s="87" t="n">
        <x:v>2028</x:v>
      </x:c>
      <x:c r="J1595" s="68" t="n">
        <x:f>IFERROR(H1595/I1595,"")</x:f>
        <x:v>0.023175542406311637</x:v>
      </x:c>
      <x:c r="K1595" s="69" t="n">
        <x:f>IFERROR(I1595/H1595,"")</x:f>
        <x:v>43.148936170212764</x:v>
      </x:c>
      <x:c r="L1595" s="66" t="str">
        <x:f>IF(K1595="","","1 : "&amp;TEXT(K1595,"0.0"))</x:f>
        <x:v>1 : 43.1</x:v>
      </x:c>
      <x:c r="M1595" s="66" t="str">
        <x:f>IF(J1595="","Baru/Tanpa Data",IF(J1595&lt;='Catatan &amp; Sumber'!$B$14,"Sangat Ketat",IF(J1595&lt;='Catatan &amp; Sumber'!$B$15,"Ketat",IF(J1595&lt;='Catatan &amp; Sumber'!$B$16,"Sedang","Relatif Longgar"))))</x:f>
        <x:v>Ketat</x:v>
      </x:c>
      <x:c r="N1595" s="66" t="str">
        <x:v>Tidak Ada</x:v>
      </x:c>
      <x:c r="O1595" s="66" t="str">
        <x:v>Jawa Barat</x:v>
      </x:c>
      <x:c r="P1595" s="66" t="str">
        <x:v>Kabupaten Sumedang</x:v>
      </x:c>
      <x:c r="Q1595" s="66" t="str">
        <x:v>https://snpmb.id/snbp/daya-tampung-snbp</x:v>
      </x:c>
      <x:c r="R1595" s="66" t="str">
        <x:v>https://sidatagrun-public-1076756628210.asia-southeast2.run.app/ptn_sn.php?ptn=333</x:v>
      </x:c>
    </x:row>
    <x:row r="1596">
      <x:c r="A1596" s="87" t="n">
        <x:v>842</x:v>
      </x:c>
      <x:c r="B1596" s="66" t="n">
        <x:v>333</x:v>
      </x:c>
      <x:c r="C1596" s="66" t="str">
        <x:v>UNIVERSITAS PADJADJARAN</x:v>
      </x:c>
      <x:c r="D1596" s="66" t="str">
        <x:v>PTN Akademik</x:v>
      </x:c>
      <x:c r="E1596" s="66" t="str">
        <x:v>13331019</x:v>
      </x:c>
      <x:c r="F1596" s="66" t="str">
        <x:v>GEOFISIKA</x:v>
      </x:c>
      <x:c r="G1596" s="66" t="str">
        <x:v>Sarjana</x:v>
      </x:c>
      <x:c r="H1596" s="87" t="n">
        <x:v>22</x:v>
      </x:c>
      <x:c r="I1596" s="87" t="n">
        <x:v>319</x:v>
      </x:c>
      <x:c r="J1596" s="68" t="n">
        <x:f>IFERROR(H1596/I1596,"")</x:f>
        <x:v>0.06896551724137931</x:v>
      </x:c>
      <x:c r="K1596" s="69" t="n">
        <x:f>IFERROR(I1596/H1596,"")</x:f>
        <x:v>14.5</x:v>
      </x:c>
      <x:c r="L1596" s="66" t="str">
        <x:f>IF(K1596="","","1 : "&amp;TEXT(K1596,"0.0"))</x:f>
        <x:v>1 : 14.5</x:v>
      </x:c>
      <x:c r="M1596" s="66" t="str">
        <x:f>IF(J1596="","Baru/Tanpa Data",IF(J1596&lt;='Catatan &amp; Sumber'!$B$14,"Sangat Ketat",IF(J1596&lt;='Catatan &amp; Sumber'!$B$15,"Ketat",IF(J1596&lt;='Catatan &amp; Sumber'!$B$16,"Sedang","Relatif Longgar"))))</x:f>
        <x:v>Sedang</x:v>
      </x:c>
      <x:c r="N1596" s="66" t="str">
        <x:v>Tidak Ada</x:v>
      </x:c>
      <x:c r="O1596" s="66" t="str">
        <x:v>Jawa Barat</x:v>
      </x:c>
      <x:c r="P1596" s="66" t="str">
        <x:v>Kabupaten Sumedang</x:v>
      </x:c>
      <x:c r="Q1596" s="66" t="str">
        <x:v>https://snpmb.id/snbp/daya-tampung-snbp</x:v>
      </x:c>
      <x:c r="R1596" s="66" t="str">
        <x:v>https://sidatagrun-public-1076756628210.asia-southeast2.run.app/ptn_sn.php?ptn=333</x:v>
      </x:c>
    </x:row>
    <x:row r="1597">
      <x:c r="A1597" s="87" t="n">
        <x:v>12</x:v>
      </x:c>
      <x:c r="B1597" s="66" t="n">
        <x:v>333</x:v>
      </x:c>
      <x:c r="C1597" s="66" t="str">
        <x:v>UNIVERSITAS PADJADJARAN</x:v>
      </x:c>
      <x:c r="D1597" s="66" t="str">
        <x:v>PTN Akademik</x:v>
      </x:c>
      <x:c r="E1597" s="66" t="str">
        <x:v>13331020</x:v>
      </x:c>
      <x:c r="F1597" s="66" t="str">
        <x:v>TEKNIK INFORMATIKA</x:v>
      </x:c>
      <x:c r="G1597" s="66" t="str">
        <x:v>Sarjana</x:v>
      </x:c>
      <x:c r="H1597" s="87" t="n">
        <x:v>23</x:v>
      </x:c>
      <x:c r="I1597" s="87" t="n">
        <x:v>1514</x:v>
      </x:c>
      <x:c r="J1597" s="68" t="n">
        <x:f>IFERROR(H1597/I1597,"")</x:f>
        <x:v>0.015191545574636724</x:v>
      </x:c>
      <x:c r="K1597" s="69" t="n">
        <x:f>IFERROR(I1597/H1597,"")</x:f>
        <x:v>65.82608695652173</x:v>
      </x:c>
      <x:c r="L1597" s="66" t="str">
        <x:f>IF(K1597="","","1 : "&amp;TEXT(K1597,"0.0"))</x:f>
        <x:v>1 : 65.8</x:v>
      </x:c>
      <x:c r="M1597" s="66" t="str">
        <x:f>IF(J1597="","Baru/Tanpa Data",IF(J1597&lt;='Catatan &amp; Sumber'!$B$14,"Sangat Ketat",IF(J1597&lt;='Catatan &amp; Sumber'!$B$15,"Ketat",IF(J1597&lt;='Catatan &amp; Sumber'!$B$16,"Sedang","Relatif Longgar"))))</x:f>
        <x:v>Sangat Ketat</x:v>
      </x:c>
      <x:c r="N1597" s="66" t="str">
        <x:v>Tidak Ada</x:v>
      </x:c>
      <x:c r="O1597" s="66" t="str">
        <x:v>Jawa Barat</x:v>
      </x:c>
      <x:c r="P1597" s="66" t="str">
        <x:v>Kabupaten Sumedang</x:v>
      </x:c>
      <x:c r="Q1597" s="66" t="str">
        <x:v>https://snpmb.id/snbp/daya-tampung-snbp</x:v>
      </x:c>
      <x:c r="R1597" s="66" t="str">
        <x:v>https://sidatagrun-public-1076756628210.asia-southeast2.run.app/ptn_sn.php?ptn=333</x:v>
      </x:c>
    </x:row>
    <x:row r="1598">
      <x:c r="A1598" s="87" t="n">
        <x:v>903</x:v>
      </x:c>
      <x:c r="B1598" s="66" t="n">
        <x:v>333</x:v>
      </x:c>
      <x:c r="C1598" s="66" t="str">
        <x:v>UNIVERSITAS PADJADJARAN</x:v>
      </x:c>
      <x:c r="D1598" s="66" t="str">
        <x:v>PTN Akademik</x:v>
      </x:c>
      <x:c r="E1598" s="66" t="str">
        <x:v>13331021</x:v>
      </x:c>
      <x:c r="F1598" s="66" t="str">
        <x:v>TEKNOLOGI INDUSTRI PERTANIAN</x:v>
      </x:c>
      <x:c r="G1598" s="66" t="str">
        <x:v>Sarjana</x:v>
      </x:c>
      <x:c r="H1598" s="87" t="n">
        <x:v>28</x:v>
      </x:c>
      <x:c r="I1598" s="87" t="n">
        <x:v>387</x:v>
      </x:c>
      <x:c r="J1598" s="68" t="n">
        <x:f>IFERROR(H1598/I1598,"")</x:f>
        <x:v>0.07235142118863049</x:v>
      </x:c>
      <x:c r="K1598" s="69" t="n">
        <x:f>IFERROR(I1598/H1598,"")</x:f>
        <x:v>13.821428571428571</x:v>
      </x:c>
      <x:c r="L1598" s="66" t="str">
        <x:f>IF(K1598="","","1 : "&amp;TEXT(K1598,"0.0"))</x:f>
        <x:v>1 : 13.8</x:v>
      </x:c>
      <x:c r="M1598" s="66" t="str">
        <x:f>IF(J1598="","Baru/Tanpa Data",IF(J1598&lt;='Catatan &amp; Sumber'!$B$14,"Sangat Ketat",IF(J1598&lt;='Catatan &amp; Sumber'!$B$15,"Ketat",IF(J1598&lt;='Catatan &amp; Sumber'!$B$16,"Sedang","Relatif Longgar"))))</x:f>
        <x:v>Sedang</x:v>
      </x:c>
      <x:c r="N1598" s="66" t="str">
        <x:v>Tidak Ada</x:v>
      </x:c>
      <x:c r="O1598" s="66" t="str">
        <x:v>Jawa Barat</x:v>
      </x:c>
      <x:c r="P1598" s="66" t="str">
        <x:v>Kabupaten Sumedang</x:v>
      </x:c>
      <x:c r="Q1598" s="66" t="str">
        <x:v>https://snpmb.id/snbp/daya-tampung-snbp</x:v>
      </x:c>
      <x:c r="R1598" s="66" t="str">
        <x:v>https://sidatagrun-public-1076756628210.asia-southeast2.run.app/ptn_sn.php?ptn=333</x:v>
      </x:c>
    </x:row>
    <x:row r="1599">
      <x:c r="A1599" s="87" t="n">
        <x:v>361</x:v>
      </x:c>
      <x:c r="B1599" s="66" t="n">
        <x:v>333</x:v>
      </x:c>
      <x:c r="C1599" s="66" t="str">
        <x:v>UNIVERSITAS PADJADJARAN</x:v>
      </x:c>
      <x:c r="D1599" s="66" t="str">
        <x:v>PTN Akademik</x:v>
      </x:c>
      <x:c r="E1599" s="66" t="str">
        <x:v>13331022</x:v>
      </x:c>
      <x:c r="F1599" s="66" t="str">
        <x:v>TEKNIK ELEKTRO</x:v>
      </x:c>
      <x:c r="G1599" s="66" t="str">
        <x:v>Sarjana</x:v>
      </x:c>
      <x:c r="H1599" s="87" t="n">
        <x:v>30</x:v>
      </x:c>
      <x:c r="I1599" s="87" t="n">
        <x:v>665</x:v>
      </x:c>
      <x:c r="J1599" s="68" t="n">
        <x:f>IFERROR(H1599/I1599,"")</x:f>
        <x:v>0.045112781954887216</x:v>
      </x:c>
      <x:c r="K1599" s="69" t="n">
        <x:f>IFERROR(I1599/H1599,"")</x:f>
        <x:v>22.166666666666668</x:v>
      </x:c>
      <x:c r="L1599" s="66" t="str">
        <x:f>IF(K1599="","","1 : "&amp;TEXT(K1599,"0.0"))</x:f>
        <x:v>1 : 22.2</x:v>
      </x:c>
      <x:c r="M1599" s="66" t="str">
        <x:f>IF(J1599="","Baru/Tanpa Data",IF(J1599&lt;='Catatan &amp; Sumber'!$B$14,"Sangat Ketat",IF(J1599&lt;='Catatan &amp; Sumber'!$B$15,"Ketat",IF(J1599&lt;='Catatan &amp; Sumber'!$B$16,"Sedang","Relatif Longgar"))))</x:f>
        <x:v>Ketat</x:v>
      </x:c>
      <x:c r="N1599" s="66" t="str">
        <x:v>Tidak Ada</x:v>
      </x:c>
      <x:c r="O1599" s="66" t="str">
        <x:v>Jawa Barat</x:v>
      </x:c>
      <x:c r="P1599" s="66" t="str">
        <x:v>Kabupaten Sumedang</x:v>
      </x:c>
      <x:c r="Q1599" s="66" t="str">
        <x:v>https://snpmb.id/snbp/daya-tampung-snbp</x:v>
      </x:c>
      <x:c r="R1599" s="66" t="str">
        <x:v>https://sidatagrun-public-1076756628210.asia-southeast2.run.app/ptn_sn.php?ptn=333</x:v>
      </x:c>
    </x:row>
    <x:row r="1600">
      <x:c r="A1600" s="87" t="n">
        <x:v>274</x:v>
      </x:c>
      <x:c r="B1600" s="66" t="n">
        <x:v>333</x:v>
      </x:c>
      <x:c r="C1600" s="66" t="str">
        <x:v>UNIVERSITAS PADJADJARAN</x:v>
      </x:c>
      <x:c r="D1600" s="66" t="str">
        <x:v>PTN Akademik</x:v>
      </x:c>
      <x:c r="E1600" s="66" t="str">
        <x:v>13331023</x:v>
      </x:c>
      <x:c r="F1600" s="66" t="str">
        <x:v>KEDOKTERAN HEWAN</x:v>
      </x:c>
      <x:c r="G1600" s="66" t="str">
        <x:v>Sarjana</x:v>
      </x:c>
      <x:c r="H1600" s="87" t="n">
        <x:v>12</x:v>
      </x:c>
      <x:c r="I1600" s="87" t="n">
        <x:v>293</x:v>
      </x:c>
      <x:c r="J1600" s="68" t="n">
        <x:f>IFERROR(H1600/I1600,"")</x:f>
        <x:v>0.040955631399317405</x:v>
      </x:c>
      <x:c r="K1600" s="69" t="n">
        <x:f>IFERROR(I1600/H1600,"")</x:f>
        <x:v>24.416666666666668</x:v>
      </x:c>
      <x:c r="L1600" s="66" t="str">
        <x:f>IF(K1600="","","1 : "&amp;TEXT(K1600,"0.0"))</x:f>
        <x:v>1 : 24.4</x:v>
      </x:c>
      <x:c r="M1600" s="66" t="str">
        <x:f>IF(J1600="","Baru/Tanpa Data",IF(J1600&lt;='Catatan &amp; Sumber'!$B$14,"Sangat Ketat",IF(J1600&lt;='Catatan &amp; Sumber'!$B$15,"Ketat",IF(J1600&lt;='Catatan &amp; Sumber'!$B$16,"Sedang","Relatif Longgar"))))</x:f>
        <x:v>Ketat</x:v>
      </x:c>
      <x:c r="N1600" s="66" t="str">
        <x:v>Tidak Ada</x:v>
      </x:c>
      <x:c r="O1600" s="66" t="str">
        <x:v>Jawa Barat</x:v>
      </x:c>
      <x:c r="P1600" s="66" t="str">
        <x:v>Kabupaten Sumedang</x:v>
      </x:c>
      <x:c r="Q1600" s="66" t="str">
        <x:v>https://snpmb.id/snbp/daya-tampung-snbp</x:v>
      </x:c>
      <x:c r="R1600" s="66" t="str">
        <x:v>https://sidatagrun-public-1076756628210.asia-southeast2.run.app/ptn_sn.php?ptn=333</x:v>
      </x:c>
    </x:row>
    <x:row r="1601">
      <x:c r="A1601" s="87" t="n">
        <x:v>227</x:v>
      </x:c>
      <x:c r="B1601" s="66" t="n">
        <x:v>333</x:v>
      </x:c>
      <x:c r="C1601" s="66" t="str">
        <x:v>UNIVERSITAS PADJADJARAN</x:v>
      </x:c>
      <x:c r="D1601" s="66" t="str">
        <x:v>PTN Akademik</x:v>
      </x:c>
      <x:c r="E1601" s="66" t="str">
        <x:v>13331028</x:v>
      </x:c>
      <x:c r="F1601" s="66" t="str">
        <x:v>ILMU AKTUARIA</x:v>
      </x:c>
      <x:c r="G1601" s="66" t="str">
        <x:v>Sarjana</x:v>
      </x:c>
      <x:c r="H1601" s="87" t="n">
        <x:v>13</x:v>
      </x:c>
      <x:c r="I1601" s="87" t="n">
        <x:v>340</x:v>
      </x:c>
      <x:c r="J1601" s="68" t="n">
        <x:f>IFERROR(H1601/I1601,"")</x:f>
        <x:v>0.03823529411764706</x:v>
      </x:c>
      <x:c r="K1601" s="69" t="n">
        <x:f>IFERROR(I1601/H1601,"")</x:f>
        <x:v>26.153846153846153</x:v>
      </x:c>
      <x:c r="L1601" s="66" t="str">
        <x:f>IF(K1601="","","1 : "&amp;TEXT(K1601,"0.0"))</x:f>
        <x:v>1 : 26.2</x:v>
      </x:c>
      <x:c r="M1601" s="66" t="str">
        <x:f>IF(J1601="","Baru/Tanpa Data",IF(J1601&lt;='Catatan &amp; Sumber'!$B$14,"Sangat Ketat",IF(J1601&lt;='Catatan &amp; Sumber'!$B$15,"Ketat",IF(J1601&lt;='Catatan &amp; Sumber'!$B$16,"Sedang","Relatif Longgar"))))</x:f>
        <x:v>Ketat</x:v>
      </x:c>
      <x:c r="N1601" s="66" t="str">
        <x:v>Tidak Ada</x:v>
      </x:c>
      <x:c r="O1601" s="66" t="str">
        <x:v>Jawa Barat</x:v>
      </x:c>
      <x:c r="P1601" s="66" t="str">
        <x:v>Kabupaten Sumedang</x:v>
      </x:c>
      <x:c r="Q1601" s="66" t="str">
        <x:v>https://snpmb.id/snbp/daya-tampung-snbp</x:v>
      </x:c>
      <x:c r="R1601" s="66" t="str">
        <x:v>https://sidatagrun-public-1076756628210.asia-southeast2.run.app/ptn_sn.php?ptn=333</x:v>
      </x:c>
    </x:row>
    <x:row r="1602">
      <x:c r="A1602" s="87" t="n">
        <x:v>1917</x:v>
      </x:c>
      <x:c r="B1602" s="66" t="n">
        <x:v>333</x:v>
      </x:c>
      <x:c r="C1602" s="66" t="str">
        <x:v>UNIVERSITAS PADJADJARAN</x:v>
      </x:c>
      <x:c r="D1602" s="66" t="str">
        <x:v>PTN Akademik</x:v>
      </x:c>
      <x:c r="E1602" s="66" t="str">
        <x:v>13331030</x:v>
      </x:c>
      <x:c r="F1602" s="66" t="str">
        <x:v>PERIKANAN PSDKU PANGANDARAN</x:v>
      </x:c>
      <x:c r="G1602" s="66" t="str">
        <x:v>Sarjana</x:v>
      </x:c>
      <x:c r="H1602" s="87" t="n">
        <x:v>23</x:v>
      </x:c>
      <x:c r="I1602" s="87" t="n">
        <x:v>161</x:v>
      </x:c>
      <x:c r="J1602" s="68" t="n">
        <x:f>IFERROR(H1602/I1602,"")</x:f>
        <x:v>0.14285714285714285</x:v>
      </x:c>
      <x:c r="K1602" s="69" t="n">
        <x:f>IFERROR(I1602/H1602,"")</x:f>
        <x:v>7</x:v>
      </x:c>
      <x:c r="L1602" s="66" t="str">
        <x:f>IF(K1602="","","1 : "&amp;TEXT(K1602,"0.0"))</x:f>
        <x:v>1 : 7.0</x:v>
      </x:c>
      <x:c r="M1602" s="66" t="str">
        <x:f>IF(J1602="","Baru/Tanpa Data",IF(J1602&lt;='Catatan &amp; Sumber'!$B$14,"Sangat Ketat",IF(J1602&lt;='Catatan &amp; Sumber'!$B$15,"Ketat",IF(J1602&lt;='Catatan &amp; Sumber'!$B$16,"Sedang","Relatif Longgar"))))</x:f>
        <x:v>Relatif Longgar</x:v>
      </x:c>
      <x:c r="N1602" s="66" t="str">
        <x:v>Tidak Ada</x:v>
      </x:c>
      <x:c r="O1602" s="66" t="str">
        <x:v>Jawa Barat</x:v>
      </x:c>
      <x:c r="P1602" s="66" t="str">
        <x:v>Kabupaten Sumedang</x:v>
      </x:c>
      <x:c r="Q1602" s="66" t="str">
        <x:v>https://snpmb.id/snbp/daya-tampung-snbp</x:v>
      </x:c>
      <x:c r="R1602" s="66" t="str">
        <x:v>https://sidatagrun-public-1076756628210.asia-southeast2.run.app/ptn_sn.php?ptn=333</x:v>
      </x:c>
    </x:row>
    <x:row r="1603">
      <x:c r="A1603" s="87" t="n">
        <x:v>1469</x:v>
      </x:c>
      <x:c r="B1603" s="66" t="n">
        <x:v>333</x:v>
      </x:c>
      <x:c r="C1603" s="66" t="str">
        <x:v>UNIVERSITAS PADJADJARAN</x:v>
      </x:c>
      <x:c r="D1603" s="66" t="str">
        <x:v>PTN Akademik</x:v>
      </x:c>
      <x:c r="E1603" s="66" t="str">
        <x:v>13331031</x:v>
      </x:c>
      <x:c r="F1603" s="66" t="str">
        <x:v>PETERNAKAN PSDKU PANGANDARAN</x:v>
      </x:c>
      <x:c r="G1603" s="66" t="str">
        <x:v>Sarjana</x:v>
      </x:c>
      <x:c r="H1603" s="87" t="n">
        <x:v>13</x:v>
      </x:c>
      <x:c r="I1603" s="87" t="n">
        <x:v>121</x:v>
      </x:c>
      <x:c r="J1603" s="68" t="n">
        <x:f>IFERROR(H1603/I1603,"")</x:f>
        <x:v>0.10743801652892562</x:v>
      </x:c>
      <x:c r="K1603" s="69" t="n">
        <x:f>IFERROR(I1603/H1603,"")</x:f>
        <x:v>9.307692307692308</x:v>
      </x:c>
      <x:c r="L1603" s="66" t="str">
        <x:f>IF(K1603="","","1 : "&amp;TEXT(K1603,"0.0"))</x:f>
        <x:v>1 : 9.3</x:v>
      </x:c>
      <x:c r="M1603" s="66" t="str">
        <x:f>IF(J1603="","Baru/Tanpa Data",IF(J1603&lt;='Catatan &amp; Sumber'!$B$14,"Sangat Ketat",IF(J1603&lt;='Catatan &amp; Sumber'!$B$15,"Ketat",IF(J1603&lt;='Catatan &amp; Sumber'!$B$16,"Sedang","Relatif Longgar"))))</x:f>
        <x:v>Relatif Longgar</x:v>
      </x:c>
      <x:c r="N1603" s="66" t="str">
        <x:v>Tidak Ada</x:v>
      </x:c>
      <x:c r="O1603" s="66" t="str">
        <x:v>Jawa Barat</x:v>
      </x:c>
      <x:c r="P1603" s="66" t="str">
        <x:v>Kabupaten Sumedang</x:v>
      </x:c>
      <x:c r="Q1603" s="66" t="str">
        <x:v>https://snpmb.id/snbp/daya-tampung-snbp</x:v>
      </x:c>
      <x:c r="R1603" s="66" t="str">
        <x:v>https://sidatagrun-public-1076756628210.asia-southeast2.run.app/ptn_sn.php?ptn=333</x:v>
      </x:c>
    </x:row>
    <x:row r="1604">
      <x:c r="A1604" s="87" t="n">
        <x:v>689</x:v>
      </x:c>
      <x:c r="B1604" s="66" t="n">
        <x:v>333</x:v>
      </x:c>
      <x:c r="C1604" s="66" t="str">
        <x:v>UNIVERSITAS PADJADJARAN</x:v>
      </x:c>
      <x:c r="D1604" s="66" t="str">
        <x:v>PTN Akademik</x:v>
      </x:c>
      <x:c r="E1604" s="66" t="str">
        <x:v>13331032</x:v>
      </x:c>
      <x:c r="F1604" s="66" t="str">
        <x:v>KEPERAWATAN PSDKU PANGANDARAN</x:v>
      </x:c>
      <x:c r="G1604" s="66" t="str">
        <x:v>Sarjana</x:v>
      </x:c>
      <x:c r="H1604" s="87" t="n">
        <x:v>18</x:v>
      </x:c>
      <x:c r="I1604" s="87" t="n">
        <x:v>293</x:v>
      </x:c>
      <x:c r="J1604" s="68" t="n">
        <x:f>IFERROR(H1604/I1604,"")</x:f>
        <x:v>0.06143344709897611</x:v>
      </x:c>
      <x:c r="K1604" s="69" t="n">
        <x:f>IFERROR(I1604/H1604,"")</x:f>
        <x:v>16.27777777777778</x:v>
      </x:c>
      <x:c r="L1604" s="66" t="str">
        <x:f>IF(K1604="","","1 : "&amp;TEXT(K1604,"0.0"))</x:f>
        <x:v>1 : 16.3</x:v>
      </x:c>
      <x:c r="M1604" s="66" t="str">
        <x:f>IF(J1604="","Baru/Tanpa Data",IF(J1604&lt;='Catatan &amp; Sumber'!$B$14,"Sangat Ketat",IF(J1604&lt;='Catatan &amp; Sumber'!$B$15,"Ketat",IF(J1604&lt;='Catatan &amp; Sumber'!$B$16,"Sedang","Relatif Longgar"))))</x:f>
        <x:v>Sedang</x:v>
      </x:c>
      <x:c r="N1604" s="66" t="str">
        <x:v>Tidak Ada</x:v>
      </x:c>
      <x:c r="O1604" s="66" t="str">
        <x:v>Jawa Barat</x:v>
      </x:c>
      <x:c r="P1604" s="66" t="str">
        <x:v>Kabupaten Sumedang</x:v>
      </x:c>
      <x:c r="Q1604" s="66" t="str">
        <x:v>https://snpmb.id/snbp/daya-tampung-snbp</x:v>
      </x:c>
      <x:c r="R1604" s="66" t="str">
        <x:v>https://sidatagrun-public-1076756628210.asia-southeast2.run.app/ptn_sn.php?ptn=333</x:v>
      </x:c>
    </x:row>
    <x:row r="1605">
      <x:c r="A1605" s="87" t="n">
        <x:v>294</x:v>
      </x:c>
      <x:c r="B1605" s="66" t="n">
        <x:v>333</x:v>
      </x:c>
      <x:c r="C1605" s="66" t="str">
        <x:v>UNIVERSITAS PADJADJARAN</x:v>
      </x:c>
      <x:c r="D1605" s="66" t="str">
        <x:v>PTN Akademik</x:v>
      </x:c>
      <x:c r="E1605" s="66" t="str">
        <x:v>13331033</x:v>
      </x:c>
      <x:c r="F1605" s="66" t="str">
        <x:v>ILMU HUKUM</x:v>
      </x:c>
      <x:c r="G1605" s="66" t="str">
        <x:v>Sarjana</x:v>
      </x:c>
      <x:c r="H1605" s="87" t="n">
        <x:v>88</x:v>
      </x:c>
      <x:c r="I1605" s="87" t="n">
        <x:v>2079</x:v>
      </x:c>
      <x:c r="J1605" s="68" t="n">
        <x:f>IFERROR(H1605/I1605,"")</x:f>
        <x:v>0.042328042328042326</x:v>
      </x:c>
      <x:c r="K1605" s="69" t="n">
        <x:f>IFERROR(I1605/H1605,"")</x:f>
        <x:v>23.625</x:v>
      </x:c>
      <x:c r="L1605" s="66" t="str">
        <x:f>IF(K1605="","","1 : "&amp;TEXT(K1605,"0.0"))</x:f>
        <x:v>1 : 23.6</x:v>
      </x:c>
      <x:c r="M1605" s="66" t="str">
        <x:f>IF(J1605="","Baru/Tanpa Data",IF(J1605&lt;='Catatan &amp; Sumber'!$B$14,"Sangat Ketat",IF(J1605&lt;='Catatan &amp; Sumber'!$B$15,"Ketat",IF(J1605&lt;='Catatan &amp; Sumber'!$B$16,"Sedang","Relatif Longgar"))))</x:f>
        <x:v>Ketat</x:v>
      </x:c>
      <x:c r="N1605" s="66" t="str">
        <x:v>Tidak Ada</x:v>
      </x:c>
      <x:c r="O1605" s="66" t="str">
        <x:v>Jawa Barat</x:v>
      </x:c>
      <x:c r="P1605" s="66" t="str">
        <x:v>Kabupaten Sumedang</x:v>
      </x:c>
      <x:c r="Q1605" s="66" t="str">
        <x:v>https://snpmb.id/snbp/daya-tampung-snbp</x:v>
      </x:c>
      <x:c r="R1605" s="66" t="str">
        <x:v>https://sidatagrun-public-1076756628210.asia-southeast2.run.app/ptn_sn.php?ptn=333</x:v>
      </x:c>
    </x:row>
    <x:row r="1606">
      <x:c r="A1606" s="87" t="n">
        <x:v>54</x:v>
      </x:c>
      <x:c r="B1606" s="66" t="n">
        <x:v>333</x:v>
      </x:c>
      <x:c r="C1606" s="66" t="str">
        <x:v>UNIVERSITAS PADJADJARAN</x:v>
      </x:c>
      <x:c r="D1606" s="66" t="str">
        <x:v>PTN Akademik</x:v>
      </x:c>
      <x:c r="E1606" s="66" t="str">
        <x:v>13331034</x:v>
      </x:c>
      <x:c r="F1606" s="66" t="str">
        <x:v>AKUNTANSI</x:v>
      </x:c>
      <x:c r="G1606" s="66" t="str">
        <x:v>Sarjana</x:v>
      </x:c>
      <x:c r="H1606" s="87" t="n">
        <x:v>32</x:v>
      </x:c>
      <x:c r="I1606" s="87" t="n">
        <x:v>1341</x:v>
      </x:c>
      <x:c r="J1606" s="68" t="n">
        <x:f>IFERROR(H1606/I1606,"")</x:f>
        <x:v>0.023862788963460103</x:v>
      </x:c>
      <x:c r="K1606" s="69" t="n">
        <x:f>IFERROR(I1606/H1606,"")</x:f>
        <x:v>41.90625</x:v>
      </x:c>
      <x:c r="L1606" s="66" t="str">
        <x:f>IF(K1606="","","1 : "&amp;TEXT(K1606,"0.0"))</x:f>
        <x:v>1 : 41.9</x:v>
      </x:c>
      <x:c r="M1606" s="66" t="str">
        <x:f>IF(J1606="","Baru/Tanpa Data",IF(J1606&lt;='Catatan &amp; Sumber'!$B$14,"Sangat Ketat",IF(J1606&lt;='Catatan &amp; Sumber'!$B$15,"Ketat",IF(J1606&lt;='Catatan &amp; Sumber'!$B$16,"Sedang","Relatif Longgar"))))</x:f>
        <x:v>Ketat</x:v>
      </x:c>
      <x:c r="N1606" s="66" t="str">
        <x:v>Tidak Ada</x:v>
      </x:c>
      <x:c r="O1606" s="66" t="str">
        <x:v>Jawa Barat</x:v>
      </x:c>
      <x:c r="P1606" s="66" t="str">
        <x:v>Kabupaten Sumedang</x:v>
      </x:c>
      <x:c r="Q1606" s="66" t="str">
        <x:v>https://snpmb.id/snbp/daya-tampung-snbp</x:v>
      </x:c>
      <x:c r="R1606" s="66" t="str">
        <x:v>https://sidatagrun-public-1076756628210.asia-southeast2.run.app/ptn_sn.php?ptn=333</x:v>
      </x:c>
    </x:row>
    <x:row r="1607">
      <x:c r="A1607" s="87" t="n">
        <x:v>408</x:v>
      </x:c>
      <x:c r="B1607" s="66" t="n">
        <x:v>333</x:v>
      </x:c>
      <x:c r="C1607" s="66" t="str">
        <x:v>UNIVERSITAS PADJADJARAN</x:v>
      </x:c>
      <x:c r="D1607" s="66" t="str">
        <x:v>PTN Akademik</x:v>
      </x:c>
      <x:c r="E1607" s="66" t="str">
        <x:v>13331035</x:v>
      </x:c>
      <x:c r="F1607" s="66" t="str">
        <x:v>ILMU EKONOMI</x:v>
      </x:c>
      <x:c r="G1607" s="66" t="str">
        <x:v>Sarjana</x:v>
      </x:c>
      <x:c r="H1607" s="87" t="n">
        <x:v>41</x:v>
      </x:c>
      <x:c r="I1607" s="87" t="n">
        <x:v>872</x:v>
      </x:c>
      <x:c r="J1607" s="68" t="n">
        <x:f>IFERROR(H1607/I1607,"")</x:f>
        <x:v>0.047018348623853214</x:v>
      </x:c>
      <x:c r="K1607" s="69" t="n">
        <x:f>IFERROR(I1607/H1607,"")</x:f>
        <x:v>21.26829268292683</x:v>
      </x:c>
      <x:c r="L1607" s="66" t="str">
        <x:f>IF(K1607="","","1 : "&amp;TEXT(K1607,"0.0"))</x:f>
        <x:v>1 : 21.3</x:v>
      </x:c>
      <x:c r="M1607" s="66" t="str">
        <x:f>IF(J1607="","Baru/Tanpa Data",IF(J1607&lt;='Catatan &amp; Sumber'!$B$14,"Sangat Ketat",IF(J1607&lt;='Catatan &amp; Sumber'!$B$15,"Ketat",IF(J1607&lt;='Catatan &amp; Sumber'!$B$16,"Sedang","Relatif Longgar"))))</x:f>
        <x:v>Ketat</x:v>
      </x:c>
      <x:c r="N1607" s="66" t="str">
        <x:v>Tidak Ada</x:v>
      </x:c>
      <x:c r="O1607" s="66" t="str">
        <x:v>Jawa Barat</x:v>
      </x:c>
      <x:c r="P1607" s="66" t="str">
        <x:v>Kabupaten Sumedang</x:v>
      </x:c>
      <x:c r="Q1607" s="66" t="str">
        <x:v>https://snpmb.id/snbp/daya-tampung-snbp</x:v>
      </x:c>
      <x:c r="R1607" s="66" t="str">
        <x:v>https://sidatagrun-public-1076756628210.asia-southeast2.run.app/ptn_sn.php?ptn=333</x:v>
      </x:c>
    </x:row>
    <x:row r="1608">
      <x:c r="A1608" s="87" t="n">
        <x:v>35</x:v>
      </x:c>
      <x:c r="B1608" s="66" t="n">
        <x:v>333</x:v>
      </x:c>
      <x:c r="C1608" s="66" t="str">
        <x:v>UNIVERSITAS PADJADJARAN</x:v>
      </x:c>
      <x:c r="D1608" s="66" t="str">
        <x:v>PTN Akademik</x:v>
      </x:c>
      <x:c r="E1608" s="66" t="str">
        <x:v>13331036</x:v>
      </x:c>
      <x:c r="F1608" s="66" t="str">
        <x:v>MANAJEMEN</x:v>
      </x:c>
      <x:c r="G1608" s="66" t="str">
        <x:v>Sarjana</x:v>
      </x:c>
      <x:c r="H1608" s="87" t="n">
        <x:v>33</x:v>
      </x:c>
      <x:c r="I1608" s="87" t="n">
        <x:v>1654</x:v>
      </x:c>
      <x:c r="J1608" s="68" t="n">
        <x:f>IFERROR(H1608/I1608,"")</x:f>
        <x:v>0.01995163240628779</x:v>
      </x:c>
      <x:c r="K1608" s="69" t="n">
        <x:f>IFERROR(I1608/H1608,"")</x:f>
        <x:v>50.121212121212125</x:v>
      </x:c>
      <x:c r="L1608" s="66" t="str">
        <x:f>IF(K1608="","","1 : "&amp;TEXT(K1608,"0.0"))</x:f>
        <x:v>1 : 50.1</x:v>
      </x:c>
      <x:c r="M1608" s="66" t="str">
        <x:f>IF(J1608="","Baru/Tanpa Data",IF(J1608&lt;='Catatan &amp; Sumber'!$B$14,"Sangat Ketat",IF(J1608&lt;='Catatan &amp; Sumber'!$B$15,"Ketat",IF(J1608&lt;='Catatan &amp; Sumber'!$B$16,"Sedang","Relatif Longgar"))))</x:f>
        <x:v>Sangat Ketat</x:v>
      </x:c>
      <x:c r="N1608" s="66" t="str">
        <x:v>Tidak Ada</x:v>
      </x:c>
      <x:c r="O1608" s="66" t="str">
        <x:v>Jawa Barat</x:v>
      </x:c>
      <x:c r="P1608" s="66" t="str">
        <x:v>Kabupaten Sumedang</x:v>
      </x:c>
      <x:c r="Q1608" s="66" t="str">
        <x:v>https://snpmb.id/snbp/daya-tampung-snbp</x:v>
      </x:c>
      <x:c r="R1608" s="66" t="str">
        <x:v>https://sidatagrun-public-1076756628210.asia-southeast2.run.app/ptn_sn.php?ptn=333</x:v>
      </x:c>
    </x:row>
    <x:row r="1609">
      <x:c r="A1609" s="87" t="n">
        <x:v>179</x:v>
      </x:c>
      <x:c r="B1609" s="66" t="n">
        <x:v>333</x:v>
      </x:c>
      <x:c r="C1609" s="66" t="str">
        <x:v>UNIVERSITAS PADJADJARAN</x:v>
      </x:c>
      <x:c r="D1609" s="66" t="str">
        <x:v>PTN Akademik</x:v>
      </x:c>
      <x:c r="E1609" s="66" t="str">
        <x:v>13331037</x:v>
      </x:c>
      <x:c r="F1609" s="66" t="str">
        <x:v>ADMINISTRASI PUBLIK</x:v>
      </x:c>
      <x:c r="G1609" s="66" t="str">
        <x:v>Sarjana</x:v>
      </x:c>
      <x:c r="H1609" s="87" t="n">
        <x:v>27</x:v>
      </x:c>
      <x:c r="I1609" s="87" t="n">
        <x:v>758</x:v>
      </x:c>
      <x:c r="J1609" s="68" t="n">
        <x:f>IFERROR(H1609/I1609,"")</x:f>
        <x:v>0.03562005277044855</x:v>
      </x:c>
      <x:c r="K1609" s="69" t="n">
        <x:f>IFERROR(I1609/H1609,"")</x:f>
        <x:v>28.074074074074073</x:v>
      </x:c>
      <x:c r="L1609" s="66" t="str">
        <x:f>IF(K1609="","","1 : "&amp;TEXT(K1609,"0.0"))</x:f>
        <x:v>1 : 28.1</x:v>
      </x:c>
      <x:c r="M1609" s="66" t="str">
        <x:f>IF(J1609="","Baru/Tanpa Data",IF(J1609&lt;='Catatan &amp; Sumber'!$B$14,"Sangat Ketat",IF(J1609&lt;='Catatan &amp; Sumber'!$B$15,"Ketat",IF(J1609&lt;='Catatan &amp; Sumber'!$B$16,"Sedang","Relatif Longgar"))))</x:f>
        <x:v>Ketat</x:v>
      </x:c>
      <x:c r="N1609" s="66" t="str">
        <x:v>Tidak Ada</x:v>
      </x:c>
      <x:c r="O1609" s="66" t="str">
        <x:v>Jawa Barat</x:v>
      </x:c>
      <x:c r="P1609" s="66" t="str">
        <x:v>Kabupaten Sumedang</x:v>
      </x:c>
      <x:c r="Q1609" s="66" t="str">
        <x:v>https://snpmb.id/snbp/daya-tampung-snbp</x:v>
      </x:c>
      <x:c r="R1609" s="66" t="str">
        <x:v>https://sidatagrun-public-1076756628210.asia-southeast2.run.app/ptn_sn.php?ptn=333</x:v>
      </x:c>
    </x:row>
    <x:row r="1610">
      <x:c r="A1610" s="87" t="n">
        <x:v>206</x:v>
      </x:c>
      <x:c r="B1610" s="66" t="n">
        <x:v>333</x:v>
      </x:c>
      <x:c r="C1610" s="66" t="str">
        <x:v>UNIVERSITAS PADJADJARAN</x:v>
      </x:c>
      <x:c r="D1610" s="66" t="str">
        <x:v>PTN Akademik</x:v>
      </x:c>
      <x:c r="E1610" s="66" t="str">
        <x:v>13331038</x:v>
      </x:c>
      <x:c r="F1610" s="66" t="str">
        <x:v>ILMU HUBUNGAN INTERNASIONAL</x:v>
      </x:c>
      <x:c r="G1610" s="66" t="str">
        <x:v>Sarjana</x:v>
      </x:c>
      <x:c r="H1610" s="87" t="n">
        <x:v>28</x:v>
      </x:c>
      <x:c r="I1610" s="87" t="n">
        <x:v>752</x:v>
      </x:c>
      <x:c r="J1610" s="68" t="n">
        <x:f>IFERROR(H1610/I1610,"")</x:f>
        <x:v>0.03723404255319149</x:v>
      </x:c>
      <x:c r="K1610" s="69" t="n">
        <x:f>IFERROR(I1610/H1610,"")</x:f>
        <x:v>26.857142857142858</x:v>
      </x:c>
      <x:c r="L1610" s="66" t="str">
        <x:f>IF(K1610="","","1 : "&amp;TEXT(K1610,"0.0"))</x:f>
        <x:v>1 : 26.9</x:v>
      </x:c>
      <x:c r="M1610" s="66" t="str">
        <x:f>IF(J1610="","Baru/Tanpa Data",IF(J1610&lt;='Catatan &amp; Sumber'!$B$14,"Sangat Ketat",IF(J1610&lt;='Catatan &amp; Sumber'!$B$15,"Ketat",IF(J1610&lt;='Catatan &amp; Sumber'!$B$16,"Sedang","Relatif Longgar"))))</x:f>
        <x:v>Ketat</x:v>
      </x:c>
      <x:c r="N1610" s="66" t="str">
        <x:v>Tidak Ada</x:v>
      </x:c>
      <x:c r="O1610" s="66" t="str">
        <x:v>Jawa Barat</x:v>
      </x:c>
      <x:c r="P1610" s="66" t="str">
        <x:v>Kabupaten Sumedang</x:v>
      </x:c>
      <x:c r="Q1610" s="66" t="str">
        <x:v>https://snpmb.id/snbp/daya-tampung-snbp</x:v>
      </x:c>
      <x:c r="R1610" s="66" t="str">
        <x:v>https://sidatagrun-public-1076756628210.asia-southeast2.run.app/ptn_sn.php?ptn=333</x:v>
      </x:c>
    </x:row>
    <x:row r="1611">
      <x:c r="A1611" s="87" t="n">
        <x:v>721</x:v>
      </x:c>
      <x:c r="B1611" s="66" t="n">
        <x:v>333</x:v>
      </x:c>
      <x:c r="C1611" s="66" t="str">
        <x:v>UNIVERSITAS PADJADJARAN</x:v>
      </x:c>
      <x:c r="D1611" s="66" t="str">
        <x:v>PTN Akademik</x:v>
      </x:c>
      <x:c r="E1611" s="66" t="str">
        <x:v>13331039</x:v>
      </x:c>
      <x:c r="F1611" s="66" t="str">
        <x:v>ILMU KESEJAHTERAAN SOSIAL</x:v>
      </x:c>
      <x:c r="G1611" s="66" t="str">
        <x:v>Sarjana</x:v>
      </x:c>
      <x:c r="H1611" s="87" t="n">
        <x:v>22</x:v>
      </x:c>
      <x:c r="I1611" s="87" t="n">
        <x:v>348</x:v>
      </x:c>
      <x:c r="J1611" s="68" t="n">
        <x:f>IFERROR(H1611/I1611,"")</x:f>
        <x:v>0.06321839080459771</x:v>
      </x:c>
      <x:c r="K1611" s="69" t="n">
        <x:f>IFERROR(I1611/H1611,"")</x:f>
        <x:v>15.818181818181818</x:v>
      </x:c>
      <x:c r="L1611" s="66" t="str">
        <x:f>IF(K1611="","","1 : "&amp;TEXT(K1611,"0.0"))</x:f>
        <x:v>1 : 15.8</x:v>
      </x:c>
      <x:c r="M1611" s="66" t="str">
        <x:f>IF(J1611="","Baru/Tanpa Data",IF(J1611&lt;='Catatan &amp; Sumber'!$B$14,"Sangat Ketat",IF(J1611&lt;='Catatan &amp; Sumber'!$B$15,"Ketat",IF(J1611&lt;='Catatan &amp; Sumber'!$B$16,"Sedang","Relatif Longgar"))))</x:f>
        <x:v>Sedang</x:v>
      </x:c>
      <x:c r="N1611" s="66" t="str">
        <x:v>Tidak Ada</x:v>
      </x:c>
      <x:c r="O1611" s="66" t="str">
        <x:v>Jawa Barat</x:v>
      </x:c>
      <x:c r="P1611" s="66" t="str">
        <x:v>Kabupaten Sumedang</x:v>
      </x:c>
      <x:c r="Q1611" s="66" t="str">
        <x:v>https://snpmb.id/snbp/daya-tampung-snbp</x:v>
      </x:c>
      <x:c r="R1611" s="66" t="str">
        <x:v>https://sidatagrun-public-1076756628210.asia-southeast2.run.app/ptn_sn.php?ptn=333</x:v>
      </x:c>
    </x:row>
    <x:row r="1612">
      <x:c r="A1612" s="87" t="n">
        <x:v>592</x:v>
      </x:c>
      <x:c r="B1612" s="66" t="n">
        <x:v>333</x:v>
      </x:c>
      <x:c r="C1612" s="66" t="str">
        <x:v>UNIVERSITAS PADJADJARAN</x:v>
      </x:c>
      <x:c r="D1612" s="66" t="str">
        <x:v>PTN Akademik</x:v>
      </x:c>
      <x:c r="E1612" s="66" t="str">
        <x:v>13331040</x:v>
      </x:c>
      <x:c r="F1612" s="66" t="str">
        <x:v>ILMU PEMERINTAHAN</x:v>
      </x:c>
      <x:c r="G1612" s="66" t="str">
        <x:v>Sarjana</x:v>
      </x:c>
      <x:c r="H1612" s="87" t="n">
        <x:v>21</x:v>
      </x:c>
      <x:c r="I1612" s="87" t="n">
        <x:v>368</x:v>
      </x:c>
      <x:c r="J1612" s="68" t="n">
        <x:f>IFERROR(H1612/I1612,"")</x:f>
        <x:v>0.057065217391304345</x:v>
      </x:c>
      <x:c r="K1612" s="69" t="n">
        <x:f>IFERROR(I1612/H1612,"")</x:f>
        <x:v>17.523809523809526</x:v>
      </x:c>
      <x:c r="L1612" s="66" t="str">
        <x:f>IF(K1612="","","1 : "&amp;TEXT(K1612,"0.0"))</x:f>
        <x:v>1 : 17.5</x:v>
      </x:c>
      <x:c r="M1612" s="66" t="str">
        <x:f>IF(J1612="","Baru/Tanpa Data",IF(J1612&lt;='Catatan &amp; Sumber'!$B$14,"Sangat Ketat",IF(J1612&lt;='Catatan &amp; Sumber'!$B$15,"Ketat",IF(J1612&lt;='Catatan &amp; Sumber'!$B$16,"Sedang","Relatif Longgar"))))</x:f>
        <x:v>Sedang</x:v>
      </x:c>
      <x:c r="N1612" s="66" t="str">
        <x:v>Tidak Ada</x:v>
      </x:c>
      <x:c r="O1612" s="66" t="str">
        <x:v>Jawa Barat</x:v>
      </x:c>
      <x:c r="P1612" s="66" t="str">
        <x:v>Kabupaten Sumedang</x:v>
      </x:c>
      <x:c r="Q1612" s="66" t="str">
        <x:v>https://snpmb.id/snbp/daya-tampung-snbp</x:v>
      </x:c>
      <x:c r="R1612" s="66" t="str">
        <x:v>https://sidatagrun-public-1076756628210.asia-southeast2.run.app/ptn_sn.php?ptn=333</x:v>
      </x:c>
    </x:row>
    <x:row r="1613">
      <x:c r="A1613" s="87" t="n">
        <x:v>189</x:v>
      </x:c>
      <x:c r="B1613" s="66" t="n">
        <x:v>333</x:v>
      </x:c>
      <x:c r="C1613" s="66" t="str">
        <x:v>UNIVERSITAS PADJADJARAN</x:v>
      </x:c>
      <x:c r="D1613" s="66" t="str">
        <x:v>PTN Akademik</x:v>
      </x:c>
      <x:c r="E1613" s="66" t="str">
        <x:v>13331041</x:v>
      </x:c>
      <x:c r="F1613" s="66" t="str">
        <x:v>ANTROPOLOGI</x:v>
      </x:c>
      <x:c r="G1613" s="66" t="str">
        <x:v>Sarjana</x:v>
      </x:c>
      <x:c r="H1613" s="87" t="n">
        <x:v>13</x:v>
      </x:c>
      <x:c r="I1613" s="87" t="n">
        <x:v>358</x:v>
      </x:c>
      <x:c r="J1613" s="68" t="n">
        <x:f>IFERROR(H1613/I1613,"")</x:f>
        <x:v>0.036312849162011177</x:v>
      </x:c>
      <x:c r="K1613" s="69" t="n">
        <x:f>IFERROR(I1613/H1613,"")</x:f>
        <x:v>27.53846153846154</x:v>
      </x:c>
      <x:c r="L1613" s="66" t="str">
        <x:f>IF(K1613="","","1 : "&amp;TEXT(K1613,"0.0"))</x:f>
        <x:v>1 : 27.5</x:v>
      </x:c>
      <x:c r="M1613" s="66" t="str">
        <x:f>IF(J1613="","Baru/Tanpa Data",IF(J1613&lt;='Catatan &amp; Sumber'!$B$14,"Sangat Ketat",IF(J1613&lt;='Catatan &amp; Sumber'!$B$15,"Ketat",IF(J1613&lt;='Catatan &amp; Sumber'!$B$16,"Sedang","Relatif Longgar"))))</x:f>
        <x:v>Ketat</x:v>
      </x:c>
      <x:c r="N1613" s="66" t="str">
        <x:v>Tidak Ada</x:v>
      </x:c>
      <x:c r="O1613" s="66" t="str">
        <x:v>Jawa Barat</x:v>
      </x:c>
      <x:c r="P1613" s="66" t="str">
        <x:v>Kabupaten Sumedang</x:v>
      </x:c>
      <x:c r="Q1613" s="66" t="str">
        <x:v>https://snpmb.id/snbp/daya-tampung-snbp</x:v>
      </x:c>
      <x:c r="R1613" s="66" t="str">
        <x:v>https://sidatagrun-public-1076756628210.asia-southeast2.run.app/ptn_sn.php?ptn=333</x:v>
      </x:c>
    </x:row>
    <x:row r="1614">
      <x:c r="A1614" s="87" t="n">
        <x:v>128</x:v>
      </x:c>
      <x:c r="B1614" s="66" t="n">
        <x:v>333</x:v>
      </x:c>
      <x:c r="C1614" s="66" t="str">
        <x:v>UNIVERSITAS PADJADJARAN</x:v>
      </x:c>
      <x:c r="D1614" s="66" t="str">
        <x:v>PTN Akademik</x:v>
      </x:c>
      <x:c r="E1614" s="66" t="str">
        <x:v>13331042</x:v>
      </x:c>
      <x:c r="F1614" s="66" t="str">
        <x:v>ILMU ADMINISTRASI BISNIS</x:v>
      </x:c>
      <x:c r="G1614" s="66" t="str">
        <x:v>Sarjana</x:v>
      </x:c>
      <x:c r="H1614" s="87" t="n">
        <x:v>30</x:v>
      </x:c>
      <x:c r="I1614" s="87" t="n">
        <x:v>970</x:v>
      </x:c>
      <x:c r="J1614" s="68" t="n">
        <x:f>IFERROR(H1614/I1614,"")</x:f>
        <x:v>0.030927835051546393</x:v>
      </x:c>
      <x:c r="K1614" s="69" t="n">
        <x:f>IFERROR(I1614/H1614,"")</x:f>
        <x:v>32.333333333333336</x:v>
      </x:c>
      <x:c r="L1614" s="66" t="str">
        <x:f>IF(K1614="","","1 : "&amp;TEXT(K1614,"0.0"))</x:f>
        <x:v>1 : 32.3</x:v>
      </x:c>
      <x:c r="M1614" s="66" t="str">
        <x:f>IF(J1614="","Baru/Tanpa Data",IF(J1614&lt;='Catatan &amp; Sumber'!$B$14,"Sangat Ketat",IF(J1614&lt;='Catatan &amp; Sumber'!$B$15,"Ketat",IF(J1614&lt;='Catatan &amp; Sumber'!$B$16,"Sedang","Relatif Longgar"))))</x:f>
        <x:v>Ketat</x:v>
      </x:c>
      <x:c r="N1614" s="66" t="str">
        <x:v>Tidak Ada</x:v>
      </x:c>
      <x:c r="O1614" s="66" t="str">
        <x:v>Jawa Barat</x:v>
      </x:c>
      <x:c r="P1614" s="66" t="str">
        <x:v>Kabupaten Sumedang</x:v>
      </x:c>
      <x:c r="Q1614" s="66" t="str">
        <x:v>https://snpmb.id/snbp/daya-tampung-snbp</x:v>
      </x:c>
      <x:c r="R1614" s="66" t="str">
        <x:v>https://sidatagrun-public-1076756628210.asia-southeast2.run.app/ptn_sn.php?ptn=333</x:v>
      </x:c>
    </x:row>
    <x:row r="1615">
      <x:c r="A1615" s="87" t="n">
        <x:v>1261</x:v>
      </x:c>
      <x:c r="B1615" s="66" t="n">
        <x:v>333</x:v>
      </x:c>
      <x:c r="C1615" s="66" t="str">
        <x:v>UNIVERSITAS PADJADJARAN</x:v>
      </x:c>
      <x:c r="D1615" s="66" t="str">
        <x:v>PTN Akademik</x:v>
      </x:c>
      <x:c r="E1615" s="66" t="str">
        <x:v>13331043</x:v>
      </x:c>
      <x:c r="F1615" s="66" t="str">
        <x:v>SASTRA INDONESIA</x:v>
      </x:c>
      <x:c r="G1615" s="66" t="str">
        <x:v>Sarjana</x:v>
      </x:c>
      <x:c r="H1615" s="87" t="n">
        <x:v>37</x:v>
      </x:c>
      <x:c r="I1615" s="87" t="n">
        <x:v>395</x:v>
      </x:c>
      <x:c r="J1615" s="68" t="n">
        <x:f>IFERROR(H1615/I1615,"")</x:f>
        <x:v>0.09367088607594937</x:v>
      </x:c>
      <x:c r="K1615" s="69" t="n">
        <x:f>IFERROR(I1615/H1615,"")</x:f>
        <x:v>10.675675675675675</x:v>
      </x:c>
      <x:c r="L1615" s="66" t="str">
        <x:f>IF(K1615="","","1 : "&amp;TEXT(K1615,"0.0"))</x:f>
        <x:v>1 : 10.7</x:v>
      </x:c>
      <x:c r="M1615" s="66" t="str">
        <x:f>IF(J1615="","Baru/Tanpa Data",IF(J1615&lt;='Catatan &amp; Sumber'!$B$14,"Sangat Ketat",IF(J1615&lt;='Catatan &amp; Sumber'!$B$15,"Ketat",IF(J1615&lt;='Catatan &amp; Sumber'!$B$16,"Sedang","Relatif Longgar"))))</x:f>
        <x:v>Sedang</x:v>
      </x:c>
      <x:c r="N1615" s="66" t="str">
        <x:v>Tidak Ada</x:v>
      </x:c>
      <x:c r="O1615" s="66" t="str">
        <x:v>Jawa Barat</x:v>
      </x:c>
      <x:c r="P1615" s="66" t="str">
        <x:v>Kabupaten Sumedang</x:v>
      </x:c>
      <x:c r="Q1615" s="66" t="str">
        <x:v>https://snpmb.id/snbp/daya-tampung-snbp</x:v>
      </x:c>
      <x:c r="R1615" s="66" t="str">
        <x:v>https://sidatagrun-public-1076756628210.asia-southeast2.run.app/ptn_sn.php?ptn=333</x:v>
      </x:c>
    </x:row>
    <x:row r="1616">
      <x:c r="A1616" s="87" t="n">
        <x:v>1132</x:v>
      </x:c>
      <x:c r="B1616" s="66" t="n">
        <x:v>333</x:v>
      </x:c>
      <x:c r="C1616" s="66" t="str">
        <x:v>UNIVERSITAS PADJADJARAN</x:v>
      </x:c>
      <x:c r="D1616" s="66" t="str">
        <x:v>PTN Akademik</x:v>
      </x:c>
      <x:c r="E1616" s="66" t="str">
        <x:v>13331044</x:v>
      </x:c>
      <x:c r="F1616" s="66" t="str">
        <x:v>SASTRA SUNDA</x:v>
      </x:c>
      <x:c r="G1616" s="66" t="str">
        <x:v>Sarjana</x:v>
      </x:c>
      <x:c r="H1616" s="87" t="n">
        <x:v>20</x:v>
      </x:c>
      <x:c r="I1616" s="87" t="n">
        <x:v>233</x:v>
      </x:c>
      <x:c r="J1616" s="68" t="n">
        <x:f>IFERROR(H1616/I1616,"")</x:f>
        <x:v>0.08583690987124463</x:v>
      </x:c>
      <x:c r="K1616" s="69" t="n">
        <x:f>IFERROR(I1616/H1616,"")</x:f>
        <x:v>11.65</x:v>
      </x:c>
      <x:c r="L1616" s="66" t="str">
        <x:f>IF(K1616="","","1 : "&amp;TEXT(K1616,"0.0"))</x:f>
        <x:v>1 : 11.7</x:v>
      </x:c>
      <x:c r="M1616" s="66" t="str">
        <x:f>IF(J1616="","Baru/Tanpa Data",IF(J1616&lt;='Catatan &amp; Sumber'!$B$14,"Sangat Ketat",IF(J1616&lt;='Catatan &amp; Sumber'!$B$15,"Ketat",IF(J1616&lt;='Catatan &amp; Sumber'!$B$16,"Sedang","Relatif Longgar"))))</x:f>
        <x:v>Sedang</x:v>
      </x:c>
      <x:c r="N1616" s="66" t="str">
        <x:v>Tidak Ada</x:v>
      </x:c>
      <x:c r="O1616" s="66" t="str">
        <x:v>Jawa Barat</x:v>
      </x:c>
      <x:c r="P1616" s="66" t="str">
        <x:v>Kabupaten Sumedang</x:v>
      </x:c>
      <x:c r="Q1616" s="66" t="str">
        <x:v>https://snpmb.id/snbp/daya-tampung-snbp</x:v>
      </x:c>
      <x:c r="R1616" s="66" t="str">
        <x:v>https://sidatagrun-public-1076756628210.asia-southeast2.run.app/ptn_sn.php?ptn=333</x:v>
      </x:c>
    </x:row>
    <x:row r="1617">
      <x:c r="A1617" s="87" t="n">
        <x:v>1089</x:v>
      </x:c>
      <x:c r="B1617" s="66" t="n">
        <x:v>333</x:v>
      </x:c>
      <x:c r="C1617" s="66" t="str">
        <x:v>UNIVERSITAS PADJADJARAN</x:v>
      </x:c>
      <x:c r="D1617" s="66" t="str">
        <x:v>PTN Akademik</x:v>
      </x:c>
      <x:c r="E1617" s="66" t="str">
        <x:v>13331045</x:v>
      </x:c>
      <x:c r="F1617" s="66" t="str">
        <x:v>ILMU SEJARAH</x:v>
      </x:c>
      <x:c r="G1617" s="66" t="str">
        <x:v>Sarjana</x:v>
      </x:c>
      <x:c r="H1617" s="87" t="n">
        <x:v>38</x:v>
      </x:c>
      <x:c r="I1617" s="87" t="n">
        <x:v>458</x:v>
      </x:c>
      <x:c r="J1617" s="68" t="n">
        <x:f>IFERROR(H1617/I1617,"")</x:f>
        <x:v>0.08296943231441048</x:v>
      </x:c>
      <x:c r="K1617" s="69" t="n">
        <x:f>IFERROR(I1617/H1617,"")</x:f>
        <x:v>12.052631578947368</x:v>
      </x:c>
      <x:c r="L1617" s="66" t="str">
        <x:f>IF(K1617="","","1 : "&amp;TEXT(K1617,"0.0"))</x:f>
        <x:v>1 : 12.1</x:v>
      </x:c>
      <x:c r="M1617" s="66" t="str">
        <x:f>IF(J1617="","Baru/Tanpa Data",IF(J1617&lt;='Catatan &amp; Sumber'!$B$14,"Sangat Ketat",IF(J1617&lt;='Catatan &amp; Sumber'!$B$15,"Ketat",IF(J1617&lt;='Catatan &amp; Sumber'!$B$16,"Sedang","Relatif Longgar"))))</x:f>
        <x:v>Sedang</x:v>
      </x:c>
      <x:c r="N1617" s="66" t="str">
        <x:v>Tidak Ada</x:v>
      </x:c>
      <x:c r="O1617" s="66" t="str">
        <x:v>Jawa Barat</x:v>
      </x:c>
      <x:c r="P1617" s="66" t="str">
        <x:v>Kabupaten Sumedang</x:v>
      </x:c>
      <x:c r="Q1617" s="66" t="str">
        <x:v>https://snpmb.id/snbp/daya-tampung-snbp</x:v>
      </x:c>
      <x:c r="R1617" s="66" t="str">
        <x:v>https://sidatagrun-public-1076756628210.asia-southeast2.run.app/ptn_sn.php?ptn=333</x:v>
      </x:c>
    </x:row>
    <x:row r="1618">
      <x:c r="A1618" s="87" t="n">
        <x:v>171</x:v>
      </x:c>
      <x:c r="B1618" s="66" t="n">
        <x:v>333</x:v>
      </x:c>
      <x:c r="C1618" s="66" t="str">
        <x:v>UNIVERSITAS PADJADJARAN</x:v>
      </x:c>
      <x:c r="D1618" s="66" t="str">
        <x:v>PTN Akademik</x:v>
      </x:c>
      <x:c r="E1618" s="66" t="str">
        <x:v>13331046</x:v>
      </x:c>
      <x:c r="F1618" s="66" t="str">
        <x:v>SASTRA INGGRIS</x:v>
      </x:c>
      <x:c r="G1618" s="66" t="str">
        <x:v>Sarjana</x:v>
      </x:c>
      <x:c r="H1618" s="87" t="n">
        <x:v>28</x:v>
      </x:c>
      <x:c r="I1618" s="87" t="n">
        <x:v>800</x:v>
      </x:c>
      <x:c r="J1618" s="68" t="n">
        <x:f>IFERROR(H1618/I1618,"")</x:f>
        <x:v>0.035</x:v>
      </x:c>
      <x:c r="K1618" s="69" t="n">
        <x:f>IFERROR(I1618/H1618,"")</x:f>
        <x:v>28.571428571428573</x:v>
      </x:c>
      <x:c r="L1618" s="66" t="str">
        <x:f>IF(K1618="","","1 : "&amp;TEXT(K1618,"0.0"))</x:f>
        <x:v>1 : 28.6</x:v>
      </x:c>
      <x:c r="M1618" s="66" t="str">
        <x:f>IF(J1618="","Baru/Tanpa Data",IF(J1618&lt;='Catatan &amp; Sumber'!$B$14,"Sangat Ketat",IF(J1618&lt;='Catatan &amp; Sumber'!$B$15,"Ketat",IF(J1618&lt;='Catatan &amp; Sumber'!$B$16,"Sedang","Relatif Longgar"))))</x:f>
        <x:v>Ketat</x:v>
      </x:c>
      <x:c r="N1618" s="66" t="str">
        <x:v>Tidak Ada</x:v>
      </x:c>
      <x:c r="O1618" s="66" t="str">
        <x:v>Jawa Barat</x:v>
      </x:c>
      <x:c r="P1618" s="66" t="str">
        <x:v>Kabupaten Sumedang</x:v>
      </x:c>
      <x:c r="Q1618" s="66" t="str">
        <x:v>https://snpmb.id/snbp/daya-tampung-snbp</x:v>
      </x:c>
      <x:c r="R1618" s="66" t="str">
        <x:v>https://sidatagrun-public-1076756628210.asia-southeast2.run.app/ptn_sn.php?ptn=333</x:v>
      </x:c>
    </x:row>
    <x:row r="1619">
      <x:c r="A1619" s="87" t="n">
        <x:v>1409</x:v>
      </x:c>
      <x:c r="B1619" s="66" t="n">
        <x:v>333</x:v>
      </x:c>
      <x:c r="C1619" s="66" t="str">
        <x:v>UNIVERSITAS PADJADJARAN</x:v>
      </x:c>
      <x:c r="D1619" s="66" t="str">
        <x:v>PTN Akademik</x:v>
      </x:c>
      <x:c r="E1619" s="66" t="str">
        <x:v>13331047</x:v>
      </x:c>
      <x:c r="F1619" s="66" t="str">
        <x:v>SASTRA PERANCIS</x:v>
      </x:c>
      <x:c r="G1619" s="66" t="str">
        <x:v>Sarjana</x:v>
      </x:c>
      <x:c r="H1619" s="87" t="n">
        <x:v>22</x:v>
      </x:c>
      <x:c r="I1619" s="87" t="n">
        <x:v>214</x:v>
      </x:c>
      <x:c r="J1619" s="68" t="n">
        <x:f>IFERROR(H1619/I1619,"")</x:f>
        <x:v>0.102803738317757</x:v>
      </x:c>
      <x:c r="K1619" s="69" t="n">
        <x:f>IFERROR(I1619/H1619,"")</x:f>
        <x:v>9.727272727272727</x:v>
      </x:c>
      <x:c r="L1619" s="66" t="str">
        <x:f>IF(K1619="","","1 : "&amp;TEXT(K1619,"0.0"))</x:f>
        <x:v>1 : 9.7</x:v>
      </x:c>
      <x:c r="M1619" s="66" t="str">
        <x:f>IF(J1619="","Baru/Tanpa Data",IF(J1619&lt;='Catatan &amp; Sumber'!$B$14,"Sangat Ketat",IF(J1619&lt;='Catatan &amp; Sumber'!$B$15,"Ketat",IF(J1619&lt;='Catatan &amp; Sumber'!$B$16,"Sedang","Relatif Longgar"))))</x:f>
        <x:v>Relatif Longgar</x:v>
      </x:c>
      <x:c r="N1619" s="66" t="str">
        <x:v>Tidak Ada</x:v>
      </x:c>
      <x:c r="O1619" s="66" t="str">
        <x:v>Jawa Barat</x:v>
      </x:c>
      <x:c r="P1619" s="66" t="str">
        <x:v>Kabupaten Sumedang</x:v>
      </x:c>
      <x:c r="Q1619" s="66" t="str">
        <x:v>https://snpmb.id/snbp/daya-tampung-snbp</x:v>
      </x:c>
      <x:c r="R1619" s="66" t="str">
        <x:v>https://sidatagrun-public-1076756628210.asia-southeast2.run.app/ptn_sn.php?ptn=333</x:v>
      </x:c>
    </x:row>
    <x:row r="1620">
      <x:c r="A1620" s="87" t="n">
        <x:v>852</x:v>
      </x:c>
      <x:c r="B1620" s="66" t="n">
        <x:v>333</x:v>
      </x:c>
      <x:c r="C1620" s="66" t="str">
        <x:v>UNIVERSITAS PADJADJARAN</x:v>
      </x:c>
      <x:c r="D1620" s="66" t="str">
        <x:v>PTN Akademik</x:v>
      </x:c>
      <x:c r="E1620" s="66" t="str">
        <x:v>13331048</x:v>
      </x:c>
      <x:c r="F1620" s="66" t="str">
        <x:v>SASTRA JEPANG</x:v>
      </x:c>
      <x:c r="G1620" s="66" t="str">
        <x:v>Sarjana</x:v>
      </x:c>
      <x:c r="H1620" s="87" t="n">
        <x:v>39</x:v>
      </x:c>
      <x:c r="I1620" s="87" t="n">
        <x:v>562</x:v>
      </x:c>
      <x:c r="J1620" s="68" t="n">
        <x:f>IFERROR(H1620/I1620,"")</x:f>
        <x:v>0.0693950177935943</x:v>
      </x:c>
      <x:c r="K1620" s="69" t="n">
        <x:f>IFERROR(I1620/H1620,"")</x:f>
        <x:v>14.41025641025641</x:v>
      </x:c>
      <x:c r="L1620" s="66" t="str">
        <x:f>IF(K1620="","","1 : "&amp;TEXT(K1620,"0.0"))</x:f>
        <x:v>1 : 14.4</x:v>
      </x:c>
      <x:c r="M1620" s="66" t="str">
        <x:f>IF(J1620="","Baru/Tanpa Data",IF(J1620&lt;='Catatan &amp; Sumber'!$B$14,"Sangat Ketat",IF(J1620&lt;='Catatan &amp; Sumber'!$B$15,"Ketat",IF(J1620&lt;='Catatan &amp; Sumber'!$B$16,"Sedang","Relatif Longgar"))))</x:f>
        <x:v>Sedang</x:v>
      </x:c>
      <x:c r="N1620" s="66" t="str">
        <x:v>Tidak Ada</x:v>
      </x:c>
      <x:c r="O1620" s="66" t="str">
        <x:v>Jawa Barat</x:v>
      </x:c>
      <x:c r="P1620" s="66" t="str">
        <x:v>Kabupaten Sumedang</x:v>
      </x:c>
      <x:c r="Q1620" s="66" t="str">
        <x:v>https://snpmb.id/snbp/daya-tampung-snbp</x:v>
      </x:c>
      <x:c r="R1620" s="66" t="str">
        <x:v>https://sidatagrun-public-1076756628210.asia-southeast2.run.app/ptn_sn.php?ptn=333</x:v>
      </x:c>
    </x:row>
    <x:row r="1621">
      <x:c r="A1621" s="87" t="n">
        <x:v>1786</x:v>
      </x:c>
      <x:c r="B1621" s="66" t="n">
        <x:v>333</x:v>
      </x:c>
      <x:c r="C1621" s="66" t="str">
        <x:v>UNIVERSITAS PADJADJARAN</x:v>
      </x:c>
      <x:c r="D1621" s="66" t="str">
        <x:v>PTN Akademik</x:v>
      </x:c>
      <x:c r="E1621" s="66" t="str">
        <x:v>13331049</x:v>
      </x:c>
      <x:c r="F1621" s="66" t="str">
        <x:v>SASTRA RUSIA</x:v>
      </x:c>
      <x:c r="G1621" s="66" t="str">
        <x:v>Sarjana</x:v>
      </x:c>
      <x:c r="H1621" s="87" t="n">
        <x:v>21</x:v>
      </x:c>
      <x:c r="I1621" s="87" t="n">
        <x:v>160</x:v>
      </x:c>
      <x:c r="J1621" s="68" t="n">
        <x:f>IFERROR(H1621/I1621,"")</x:f>
        <x:v>0.13125</x:v>
      </x:c>
      <x:c r="K1621" s="69" t="n">
        <x:f>IFERROR(I1621/H1621,"")</x:f>
        <x:v>7.619047619047619</x:v>
      </x:c>
      <x:c r="L1621" s="66" t="str">
        <x:f>IF(K1621="","","1 : "&amp;TEXT(K1621,"0.0"))</x:f>
        <x:v>1 : 7.6</x:v>
      </x:c>
      <x:c r="M1621" s="66" t="str">
        <x:f>IF(J1621="","Baru/Tanpa Data",IF(J1621&lt;='Catatan &amp; Sumber'!$B$14,"Sangat Ketat",IF(J1621&lt;='Catatan &amp; Sumber'!$B$15,"Ketat",IF(J1621&lt;='Catatan &amp; Sumber'!$B$16,"Sedang","Relatif Longgar"))))</x:f>
        <x:v>Relatif Longgar</x:v>
      </x:c>
      <x:c r="N1621" s="66" t="str">
        <x:v>Tidak Ada</x:v>
      </x:c>
      <x:c r="O1621" s="66" t="str">
        <x:v>Jawa Barat</x:v>
      </x:c>
      <x:c r="P1621" s="66" t="str">
        <x:v>Kabupaten Sumedang</x:v>
      </x:c>
      <x:c r="Q1621" s="66" t="str">
        <x:v>https://snpmb.id/snbp/daya-tampung-snbp</x:v>
      </x:c>
      <x:c r="R1621" s="66" t="str">
        <x:v>https://sidatagrun-public-1076756628210.asia-southeast2.run.app/ptn_sn.php?ptn=333</x:v>
      </x:c>
    </x:row>
    <x:row r="1622">
      <x:c r="A1622" s="87" t="n">
        <x:v>746</x:v>
      </x:c>
      <x:c r="B1622" s="66" t="n">
        <x:v>333</x:v>
      </x:c>
      <x:c r="C1622" s="66" t="str">
        <x:v>UNIVERSITAS PADJADJARAN</x:v>
      </x:c>
      <x:c r="D1622" s="66" t="str">
        <x:v>PTN Akademik</x:v>
      </x:c>
      <x:c r="E1622" s="66" t="str">
        <x:v>13331050</x:v>
      </x:c>
      <x:c r="F1622" s="66" t="str">
        <x:v>SASTRA JERMAN</x:v>
      </x:c>
      <x:c r="G1622" s="66" t="str">
        <x:v>Sarjana</x:v>
      </x:c>
      <x:c r="H1622" s="87" t="n">
        <x:v>19</x:v>
      </x:c>
      <x:c r="I1622" s="87" t="n">
        <x:v>295</x:v>
      </x:c>
      <x:c r="J1622" s="68" t="n">
        <x:f>IFERROR(H1622/I1622,"")</x:f>
        <x:v>0.06440677966101695</x:v>
      </x:c>
      <x:c r="K1622" s="69" t="n">
        <x:f>IFERROR(I1622/H1622,"")</x:f>
        <x:v>15.526315789473685</x:v>
      </x:c>
      <x:c r="L1622" s="66" t="str">
        <x:f>IF(K1622="","","1 : "&amp;TEXT(K1622,"0.0"))</x:f>
        <x:v>1 : 15.5</x:v>
      </x:c>
      <x:c r="M1622" s="66" t="str">
        <x:f>IF(J1622="","Baru/Tanpa Data",IF(J1622&lt;='Catatan &amp; Sumber'!$B$14,"Sangat Ketat",IF(J1622&lt;='Catatan &amp; Sumber'!$B$15,"Ketat",IF(J1622&lt;='Catatan &amp; Sumber'!$B$16,"Sedang","Relatif Longgar"))))</x:f>
        <x:v>Sedang</x:v>
      </x:c>
      <x:c r="N1622" s="66" t="str">
        <x:v>Tidak Ada</x:v>
      </x:c>
      <x:c r="O1622" s="66" t="str">
        <x:v>Jawa Barat</x:v>
      </x:c>
      <x:c r="P1622" s="66" t="str">
        <x:v>Kabupaten Sumedang</x:v>
      </x:c>
      <x:c r="Q1622" s="66" t="str">
        <x:v>https://snpmb.id/snbp/daya-tampung-snbp</x:v>
      </x:c>
      <x:c r="R1622" s="66" t="str">
        <x:v>https://sidatagrun-public-1076756628210.asia-southeast2.run.app/ptn_sn.php?ptn=333</x:v>
      </x:c>
    </x:row>
    <x:row r="1623">
      <x:c r="A1623" s="87" t="n">
        <x:v>1314</x:v>
      </x:c>
      <x:c r="B1623" s="66" t="n">
        <x:v>333</x:v>
      </x:c>
      <x:c r="C1623" s="66" t="str">
        <x:v>UNIVERSITAS PADJADJARAN</x:v>
      </x:c>
      <x:c r="D1623" s="66" t="str">
        <x:v>PTN Akademik</x:v>
      </x:c>
      <x:c r="E1623" s="66" t="str">
        <x:v>13331051</x:v>
      </x:c>
      <x:c r="F1623" s="66" t="str">
        <x:v>SASTRA ARAB</x:v>
      </x:c>
      <x:c r="G1623" s="66" t="str">
        <x:v>Sarjana</x:v>
      </x:c>
      <x:c r="H1623" s="87" t="n">
        <x:v>38</x:v>
      </x:c>
      <x:c r="I1623" s="87" t="n">
        <x:v>395</x:v>
      </x:c>
      <x:c r="J1623" s="68" t="n">
        <x:f>IFERROR(H1623/I1623,"")</x:f>
        <x:v>0.09620253164556962</x:v>
      </x:c>
      <x:c r="K1623" s="69" t="n">
        <x:f>IFERROR(I1623/H1623,"")</x:f>
        <x:v>10.394736842105264</x:v>
      </x:c>
      <x:c r="L1623" s="66" t="str">
        <x:f>IF(K1623="","","1 : "&amp;TEXT(K1623,"0.0"))</x:f>
        <x:v>1 : 10.4</x:v>
      </x:c>
      <x:c r="M1623" s="66" t="str">
        <x:f>IF(J1623="","Baru/Tanpa Data",IF(J1623&lt;='Catatan &amp; Sumber'!$B$14,"Sangat Ketat",IF(J1623&lt;='Catatan &amp; Sumber'!$B$15,"Ketat",IF(J1623&lt;='Catatan &amp; Sumber'!$B$16,"Sedang","Relatif Longgar"))))</x:f>
        <x:v>Sedang</x:v>
      </x:c>
      <x:c r="N1623" s="66" t="str">
        <x:v>Tidak Ada</x:v>
      </x:c>
      <x:c r="O1623" s="66" t="str">
        <x:v>Jawa Barat</x:v>
      </x:c>
      <x:c r="P1623" s="66" t="str">
        <x:v>Kabupaten Sumedang</x:v>
      </x:c>
      <x:c r="Q1623" s="66" t="str">
        <x:v>https://snpmb.id/snbp/daya-tampung-snbp</x:v>
      </x:c>
      <x:c r="R1623" s="66" t="str">
        <x:v>https://sidatagrun-public-1076756628210.asia-southeast2.run.app/ptn_sn.php?ptn=333</x:v>
      </x:c>
    </x:row>
    <x:row r="1624">
      <x:c r="A1624" s="87" t="n">
        <x:v>36</x:v>
      </x:c>
      <x:c r="B1624" s="66" t="n">
        <x:v>333</x:v>
      </x:c>
      <x:c r="C1624" s="66" t="str">
        <x:v>UNIVERSITAS PADJADJARAN</x:v>
      </x:c>
      <x:c r="D1624" s="66" t="str">
        <x:v>PTN Akademik</x:v>
      </x:c>
      <x:c r="E1624" s="66" t="str">
        <x:v>13331052</x:v>
      </x:c>
      <x:c r="F1624" s="66" t="str">
        <x:v>ILMU KOMUNIKASI</x:v>
      </x:c>
      <x:c r="G1624" s="66" t="str">
        <x:v>Sarjana</x:v>
      </x:c>
      <x:c r="H1624" s="87" t="n">
        <x:v>31</x:v>
      </x:c>
      <x:c r="I1624" s="87" t="n">
        <x:v>1541</x:v>
      </x:c>
      <x:c r="J1624" s="68" t="n">
        <x:f>IFERROR(H1624/I1624,"")</x:f>
        <x:v>0.020116807268007787</x:v>
      </x:c>
      <x:c r="K1624" s="69" t="n">
        <x:f>IFERROR(I1624/H1624,"")</x:f>
        <x:v>49.70967741935484</x:v>
      </x:c>
      <x:c r="L1624" s="66" t="str">
        <x:f>IF(K1624="","","1 : "&amp;TEXT(K1624,"0.0"))</x:f>
        <x:v>1 : 49.7</x:v>
      </x:c>
      <x:c r="M1624" s="66" t="str">
        <x:f>IF(J1624="","Baru/Tanpa Data",IF(J1624&lt;='Catatan &amp; Sumber'!$B$14,"Sangat Ketat",IF(J1624&lt;='Catatan &amp; Sumber'!$B$15,"Ketat",IF(J1624&lt;='Catatan &amp; Sumber'!$B$16,"Sedang","Relatif Longgar"))))</x:f>
        <x:v>Ketat</x:v>
      </x:c>
      <x:c r="N1624" s="66" t="str">
        <x:v>Tidak Ada</x:v>
      </x:c>
      <x:c r="O1624" s="66" t="str">
        <x:v>Jawa Barat</x:v>
      </x:c>
      <x:c r="P1624" s="66" t="str">
        <x:v>Kabupaten Sumedang</x:v>
      </x:c>
      <x:c r="Q1624" s="66" t="str">
        <x:v>https://snpmb.id/snbp/daya-tampung-snbp</x:v>
      </x:c>
      <x:c r="R1624" s="66" t="str">
        <x:v>https://sidatagrun-public-1076756628210.asia-southeast2.run.app/ptn_sn.php?ptn=333</x:v>
      </x:c>
    </x:row>
    <x:row r="1625">
      <x:c r="A1625" s="87" t="n">
        <x:v>1666</x:v>
      </x:c>
      <x:c r="B1625" s="66" t="n">
        <x:v>333</x:v>
      </x:c>
      <x:c r="C1625" s="66" t="str">
        <x:v>UNIVERSITAS PADJADJARAN</x:v>
      </x:c>
      <x:c r="D1625" s="66" t="str">
        <x:v>PTN Akademik</x:v>
      </x:c>
      <x:c r="E1625" s="66" t="str">
        <x:v>13331053</x:v>
      </x:c>
      <x:c r="F1625" s="66" t="str">
        <x:v>PERPUSTAKAAN DAN SAINS INFORMASI</x:v>
      </x:c>
      <x:c r="G1625" s="66" t="str">
        <x:v>Sarjana</x:v>
      </x:c>
      <x:c r="H1625" s="87" t="n">
        <x:v>40</x:v>
      </x:c>
      <x:c r="I1625" s="87" t="n">
        <x:v>329</x:v>
      </x:c>
      <x:c r="J1625" s="68" t="n">
        <x:f>IFERROR(H1625/I1625,"")</x:f>
        <x:v>0.12158054711246201</x:v>
      </x:c>
      <x:c r="K1625" s="69" t="n">
        <x:f>IFERROR(I1625/H1625,"")</x:f>
        <x:v>8.225</x:v>
      </x:c>
      <x:c r="L1625" s="66" t="str">
        <x:f>IF(K1625="","","1 : "&amp;TEXT(K1625,"0.0"))</x:f>
        <x:v>1 : 8.2</x:v>
      </x:c>
      <x:c r="M1625" s="66" t="str">
        <x:f>IF(J1625="","Baru/Tanpa Data",IF(J1625&lt;='Catatan &amp; Sumber'!$B$14,"Sangat Ketat",IF(J1625&lt;='Catatan &amp; Sumber'!$B$15,"Ketat",IF(J1625&lt;='Catatan &amp; Sumber'!$B$16,"Sedang","Relatif Longgar"))))</x:f>
        <x:v>Relatif Longgar</x:v>
      </x:c>
      <x:c r="N1625" s="66" t="str">
        <x:v>Tidak Ada</x:v>
      </x:c>
      <x:c r="O1625" s="66" t="str">
        <x:v>Jawa Barat</x:v>
      </x:c>
      <x:c r="P1625" s="66" t="str">
        <x:v>Kabupaten Sumedang</x:v>
      </x:c>
      <x:c r="Q1625" s="66" t="str">
        <x:v>https://snpmb.id/snbp/daya-tampung-snbp</x:v>
      </x:c>
      <x:c r="R1625" s="66" t="str">
        <x:v>https://sidatagrun-public-1076756628210.asia-southeast2.run.app/ptn_sn.php?ptn=333</x:v>
      </x:c>
    </x:row>
    <x:row r="1626">
      <x:c r="A1626" s="87" t="n">
        <x:v>190</x:v>
      </x:c>
      <x:c r="B1626" s="66" t="n">
        <x:v>333</x:v>
      </x:c>
      <x:c r="C1626" s="66" t="str">
        <x:v>UNIVERSITAS PADJADJARAN</x:v>
      </x:c>
      <x:c r="D1626" s="66" t="str">
        <x:v>PTN Akademik</x:v>
      </x:c>
      <x:c r="E1626" s="66" t="str">
        <x:v>13331054</x:v>
      </x:c>
      <x:c r="F1626" s="66" t="str">
        <x:v>SOSIOLOGI</x:v>
      </x:c>
      <x:c r="G1626" s="66" t="str">
        <x:v>Sarjana</x:v>
      </x:c>
      <x:c r="H1626" s="87" t="n">
        <x:v>14</x:v>
      </x:c>
      <x:c r="I1626" s="87" t="n">
        <x:v>385</x:v>
      </x:c>
      <x:c r="J1626" s="68" t="n">
        <x:f>IFERROR(H1626/I1626,"")</x:f>
        <x:v>0.03636363636363636</x:v>
      </x:c>
      <x:c r="K1626" s="69" t="n">
        <x:f>IFERROR(I1626/H1626,"")</x:f>
        <x:v>27.5</x:v>
      </x:c>
      <x:c r="L1626" s="66" t="str">
        <x:f>IF(K1626="","","1 : "&amp;TEXT(K1626,"0.0"))</x:f>
        <x:v>1 : 27.5</x:v>
      </x:c>
      <x:c r="M1626" s="66" t="str">
        <x:f>IF(J1626="","Baru/Tanpa Data",IF(J1626&lt;='Catatan &amp; Sumber'!$B$14,"Sangat Ketat",IF(J1626&lt;='Catatan &amp; Sumber'!$B$15,"Ketat",IF(J1626&lt;='Catatan &amp; Sumber'!$B$16,"Sedang","Relatif Longgar"))))</x:f>
        <x:v>Ketat</x:v>
      </x:c>
      <x:c r="N1626" s="66" t="str">
        <x:v>Tidak Ada</x:v>
      </x:c>
      <x:c r="O1626" s="66" t="str">
        <x:v>Jawa Barat</x:v>
      </x:c>
      <x:c r="P1626" s="66" t="str">
        <x:v>Kabupaten Sumedang</x:v>
      </x:c>
      <x:c r="Q1626" s="66" t="str">
        <x:v>https://snpmb.id/snbp/daya-tampung-snbp</x:v>
      </x:c>
      <x:c r="R1626" s="66" t="str">
        <x:v>https://sidatagrun-public-1076756628210.asia-southeast2.run.app/ptn_sn.php?ptn=333</x:v>
      </x:c>
    </x:row>
    <x:row r="1627">
      <x:c r="A1627" s="87" t="n">
        <x:v>528</x:v>
      </x:c>
      <x:c r="B1627" s="66" t="n">
        <x:v>333</x:v>
      </x:c>
      <x:c r="C1627" s="66" t="str">
        <x:v>UNIVERSITAS PADJADJARAN</x:v>
      </x:c>
      <x:c r="D1627" s="66" t="str">
        <x:v>PTN Akademik</x:v>
      </x:c>
      <x:c r="E1627" s="66" t="str">
        <x:v>13331055</x:v>
      </x:c>
      <x:c r="F1627" s="66" t="str">
        <x:v>ILMU POLITIK</x:v>
      </x:c>
      <x:c r="G1627" s="66" t="str">
        <x:v>Sarjana</x:v>
      </x:c>
      <x:c r="H1627" s="87" t="n">
        <x:v>16</x:v>
      </x:c>
      <x:c r="I1627" s="87" t="n">
        <x:v>302</x:v>
      </x:c>
      <x:c r="J1627" s="68" t="n">
        <x:f>IFERROR(H1627/I1627,"")</x:f>
        <x:v>0.052980132450331126</x:v>
      </x:c>
      <x:c r="K1627" s="69" t="n">
        <x:f>IFERROR(I1627/H1627,"")</x:f>
        <x:v>18.875</x:v>
      </x:c>
      <x:c r="L1627" s="66" t="str">
        <x:f>IF(K1627="","","1 : "&amp;TEXT(K1627,"0.0"))</x:f>
        <x:v>1 : 18.9</x:v>
      </x:c>
      <x:c r="M1627" s="66" t="str">
        <x:f>IF(J1627="","Baru/Tanpa Data",IF(J1627&lt;='Catatan &amp; Sumber'!$B$14,"Sangat Ketat",IF(J1627&lt;='Catatan &amp; Sumber'!$B$15,"Ketat",IF(J1627&lt;='Catatan &amp; Sumber'!$B$16,"Sedang","Relatif Longgar"))))</x:f>
        <x:v>Sedang</x:v>
      </x:c>
      <x:c r="N1627" s="66" t="str">
        <x:v>Tidak Ada</x:v>
      </x:c>
      <x:c r="O1627" s="66" t="str">
        <x:v>Jawa Barat</x:v>
      </x:c>
      <x:c r="P1627" s="66" t="str">
        <x:v>Kabupaten Sumedang</x:v>
      </x:c>
      <x:c r="Q1627" s="66" t="str">
        <x:v>https://snpmb.id/snbp/daya-tampung-snbp</x:v>
      </x:c>
      <x:c r="R1627" s="66" t="str">
        <x:v>https://sidatagrun-public-1076756628210.asia-southeast2.run.app/ptn_sn.php?ptn=333</x:v>
      </x:c>
    </x:row>
    <x:row r="1628">
      <x:c r="A1628" s="87" t="n">
        <x:v>646</x:v>
      </x:c>
      <x:c r="B1628" s="66" t="n">
        <x:v>333</x:v>
      </x:c>
      <x:c r="C1628" s="66" t="str">
        <x:v>UNIVERSITAS PADJADJARAN</x:v>
      </x:c>
      <x:c r="D1628" s="66" t="str">
        <x:v>PTN Akademik</x:v>
      </x:c>
      <x:c r="E1628" s="66" t="str">
        <x:v>13331056</x:v>
      </x:c>
      <x:c r="F1628" s="66" t="str">
        <x:v>HUBUNGAN MASYARAKAT</x:v>
      </x:c>
      <x:c r="G1628" s="66" t="str">
        <x:v>Sarjana</x:v>
      </x:c>
      <x:c r="H1628" s="87" t="n">
        <x:v>27</x:v>
      </x:c>
      <x:c r="I1628" s="87" t="n">
        <x:v>455</x:v>
      </x:c>
      <x:c r="J1628" s="68" t="n">
        <x:f>IFERROR(H1628/I1628,"")</x:f>
        <x:v>0.05934065934065934</x:v>
      </x:c>
      <x:c r="K1628" s="69" t="n">
        <x:f>IFERROR(I1628/H1628,"")</x:f>
        <x:v>16.85185185185185</x:v>
      </x:c>
      <x:c r="L1628" s="66" t="str">
        <x:f>IF(K1628="","","1 : "&amp;TEXT(K1628,"0.0"))</x:f>
        <x:v>1 : 16.9</x:v>
      </x:c>
      <x:c r="M1628" s="66" t="str">
        <x:f>IF(J1628="","Baru/Tanpa Data",IF(J1628&lt;='Catatan &amp; Sumber'!$B$14,"Sangat Ketat",IF(J1628&lt;='Catatan &amp; Sumber'!$B$15,"Ketat",IF(J1628&lt;='Catatan &amp; Sumber'!$B$16,"Sedang","Relatif Longgar"))))</x:f>
        <x:v>Sedang</x:v>
      </x:c>
      <x:c r="N1628" s="66" t="str">
        <x:v>Tidak Ada</x:v>
      </x:c>
      <x:c r="O1628" s="66" t="str">
        <x:v>Jawa Barat</x:v>
      </x:c>
      <x:c r="P1628" s="66" t="str">
        <x:v>Kabupaten Sumedang</x:v>
      </x:c>
      <x:c r="Q1628" s="66" t="str">
        <x:v>https://snpmb.id/snbp/daya-tampung-snbp</x:v>
      </x:c>
      <x:c r="R1628" s="66" t="str">
        <x:v>https://sidatagrun-public-1076756628210.asia-southeast2.run.app/ptn_sn.php?ptn=333</x:v>
      </x:c>
    </x:row>
    <x:row r="1629">
      <x:c r="A1629" s="87" t="n">
        <x:v>1845</x:v>
      </x:c>
      <x:c r="B1629" s="66" t="n">
        <x:v>333</x:v>
      </x:c>
      <x:c r="C1629" s="66" t="str">
        <x:v>UNIVERSITAS PADJADJARAN</x:v>
      </x:c>
      <x:c r="D1629" s="66" t="str">
        <x:v>PTN Akademik</x:v>
      </x:c>
      <x:c r="E1629" s="66" t="str">
        <x:v>13331057</x:v>
      </x:c>
      <x:c r="F1629" s="66" t="str">
        <x:v>EKONOMI ISLAM</x:v>
      </x:c>
      <x:c r="G1629" s="66" t="str">
        <x:v>Sarjana</x:v>
      </x:c>
      <x:c r="H1629" s="87" t="n">
        <x:v>50</x:v>
      </x:c>
      <x:c r="I1629" s="87" t="n">
        <x:v>368</x:v>
      </x:c>
      <x:c r="J1629" s="68" t="n">
        <x:f>IFERROR(H1629/I1629,"")</x:f>
        <x:v>0.1358695652173913</x:v>
      </x:c>
      <x:c r="K1629" s="69" t="n">
        <x:f>IFERROR(I1629/H1629,"")</x:f>
        <x:v>7.36</x:v>
      </x:c>
      <x:c r="L1629" s="66" t="str">
        <x:f>IF(K1629="","","1 : "&amp;TEXT(K1629,"0.0"))</x:f>
        <x:v>1 : 7.4</x:v>
      </x:c>
      <x:c r="M1629" s="66" t="str">
        <x:f>IF(J1629="","Baru/Tanpa Data",IF(J1629&lt;='Catatan &amp; Sumber'!$B$14,"Sangat Ketat",IF(J1629&lt;='Catatan &amp; Sumber'!$B$15,"Ketat",IF(J1629&lt;='Catatan &amp; Sumber'!$B$16,"Sedang","Relatif Longgar"))))</x:f>
        <x:v>Relatif Longgar</x:v>
      </x:c>
      <x:c r="N1629" s="66" t="str">
        <x:v>Tidak Ada</x:v>
      </x:c>
      <x:c r="O1629" s="66" t="str">
        <x:v>Jawa Barat</x:v>
      </x:c>
      <x:c r="P1629" s="66" t="str">
        <x:v>Kabupaten Sumedang</x:v>
      </x:c>
      <x:c r="Q1629" s="66" t="str">
        <x:v>https://snpmb.id/snbp/daya-tampung-snbp</x:v>
      </x:c>
      <x:c r="R1629" s="66" t="str">
        <x:v>https://sidatagrun-public-1076756628210.asia-southeast2.run.app/ptn_sn.php?ptn=333</x:v>
      </x:c>
    </x:row>
    <x:row r="1630">
      <x:c r="A1630" s="87" t="n">
        <x:v>659</x:v>
      </x:c>
      <x:c r="B1630" s="66" t="n">
        <x:v>333</x:v>
      </x:c>
      <x:c r="C1630" s="66" t="str">
        <x:v>UNIVERSITAS PADJADJARAN</x:v>
      </x:c>
      <x:c r="D1630" s="66" t="str">
        <x:v>PTN Akademik</x:v>
      </x:c>
      <x:c r="E1630" s="66" t="str">
        <x:v>13331058</x:v>
      </x:c>
      <x:c r="F1630" s="66" t="str">
        <x:v>MANAJEMEN KOMUNIKASI</x:v>
      </x:c>
      <x:c r="G1630" s="66" t="str">
        <x:v>Sarjana</x:v>
      </x:c>
      <x:c r="H1630" s="87" t="n">
        <x:v>34</x:v>
      </x:c>
      <x:c r="I1630" s="87" t="n">
        <x:v>569</x:v>
      </x:c>
      <x:c r="J1630" s="68" t="n">
        <x:f>IFERROR(H1630/I1630,"")</x:f>
        <x:v>0.05975395430579965</x:v>
      </x:c>
      <x:c r="K1630" s="69" t="n">
        <x:f>IFERROR(I1630/H1630,"")</x:f>
        <x:v>16.735294117647058</x:v>
      </x:c>
      <x:c r="L1630" s="66" t="str">
        <x:f>IF(K1630="","","1 : "&amp;TEXT(K1630,"0.0"))</x:f>
        <x:v>1 : 16.7</x:v>
      </x:c>
      <x:c r="M1630" s="66" t="str">
        <x:f>IF(J1630="","Baru/Tanpa Data",IF(J1630&lt;='Catatan &amp; Sumber'!$B$14,"Sangat Ketat",IF(J1630&lt;='Catatan &amp; Sumber'!$B$15,"Ketat",IF(J1630&lt;='Catatan &amp; Sumber'!$B$16,"Sedang","Relatif Longgar"))))</x:f>
        <x:v>Sedang</x:v>
      </x:c>
      <x:c r="N1630" s="66" t="str">
        <x:v>Tidak Ada</x:v>
      </x:c>
      <x:c r="O1630" s="66" t="str">
        <x:v>Jawa Barat</x:v>
      </x:c>
      <x:c r="P1630" s="66" t="str">
        <x:v>Kabupaten Sumedang</x:v>
      </x:c>
      <x:c r="Q1630" s="66" t="str">
        <x:v>https://snpmb.id/snbp/daya-tampung-snbp</x:v>
      </x:c>
      <x:c r="R1630" s="66" t="str">
        <x:v>https://sidatagrun-public-1076756628210.asia-southeast2.run.app/ptn_sn.php?ptn=333</x:v>
      </x:c>
    </x:row>
    <x:row r="1631">
      <x:c r="A1631" s="87" t="n">
        <x:v>1048</x:v>
      </x:c>
      <x:c r="B1631" s="66" t="n">
        <x:v>333</x:v>
      </x:c>
      <x:c r="C1631" s="66" t="str">
        <x:v>UNIVERSITAS PADJADJARAN</x:v>
      </x:c>
      <x:c r="D1631" s="66" t="str">
        <x:v>PTN Akademik</x:v>
      </x:c>
      <x:c r="E1631" s="66" t="str">
        <x:v>13331059</x:v>
      </x:c>
      <x:c r="F1631" s="66" t="str">
        <x:v>JURNALISTIK</x:v>
      </x:c>
      <x:c r="G1631" s="66" t="str">
        <x:v>Sarjana</x:v>
      </x:c>
      <x:c r="H1631" s="87" t="n">
        <x:v>33</x:v>
      </x:c>
      <x:c r="I1631" s="87" t="n">
        <x:v>408</x:v>
      </x:c>
      <x:c r="J1631" s="68" t="n">
        <x:f>IFERROR(H1631/I1631,"")</x:f>
        <x:v>0.08088235294117647</x:v>
      </x:c>
      <x:c r="K1631" s="69" t="n">
        <x:f>IFERROR(I1631/H1631,"")</x:f>
        <x:v>12.363636363636363</x:v>
      </x:c>
      <x:c r="L1631" s="66" t="str">
        <x:f>IF(K1631="","","1 : "&amp;TEXT(K1631,"0.0"))</x:f>
        <x:v>1 : 12.4</x:v>
      </x:c>
      <x:c r="M1631" s="66" t="str">
        <x:f>IF(J1631="","Baru/Tanpa Data",IF(J1631&lt;='Catatan &amp; Sumber'!$B$14,"Sangat Ketat",IF(J1631&lt;='Catatan &amp; Sumber'!$B$15,"Ketat",IF(J1631&lt;='Catatan &amp; Sumber'!$B$16,"Sedang","Relatif Longgar"))))</x:f>
        <x:v>Sedang</x:v>
      </x:c>
      <x:c r="N1631" s="66" t="str">
        <x:v>Tidak Ada</x:v>
      </x:c>
      <x:c r="O1631" s="66" t="str">
        <x:v>Jawa Barat</x:v>
      </x:c>
      <x:c r="P1631" s="66" t="str">
        <x:v>Kabupaten Sumedang</x:v>
      </x:c>
      <x:c r="Q1631" s="66" t="str">
        <x:v>https://snpmb.id/snbp/daya-tampung-snbp</x:v>
      </x:c>
      <x:c r="R1631" s="66" t="str">
        <x:v>https://sidatagrun-public-1076756628210.asia-southeast2.run.app/ptn_sn.php?ptn=333</x:v>
      </x:c>
    </x:row>
    <x:row r="1632">
      <x:c r="A1632" s="87" t="n">
        <x:v>724</x:v>
      </x:c>
      <x:c r="B1632" s="66" t="n">
        <x:v>333</x:v>
      </x:c>
      <x:c r="C1632" s="66" t="str">
        <x:v>UNIVERSITAS PADJADJARAN</x:v>
      </x:c>
      <x:c r="D1632" s="66" t="str">
        <x:v>PTN Akademik</x:v>
      </x:c>
      <x:c r="E1632" s="66" t="str">
        <x:v>13331060</x:v>
      </x:c>
      <x:c r="F1632" s="66" t="str">
        <x:v>TELEVISI DAN FILM</x:v>
      </x:c>
      <x:c r="G1632" s="66" t="str">
        <x:v>Sarjana</x:v>
      </x:c>
      <x:c r="H1632" s="87" t="n">
        <x:v>34</x:v>
      </x:c>
      <x:c r="I1632" s="87" t="n">
        <x:v>537</x:v>
      </x:c>
      <x:c r="J1632" s="68" t="n">
        <x:f>IFERROR(H1632/I1632,"")</x:f>
        <x:v>0.0633147113594041</x:v>
      </x:c>
      <x:c r="K1632" s="69" t="n">
        <x:f>IFERROR(I1632/H1632,"")</x:f>
        <x:v>15.794117647058824</x:v>
      </x:c>
      <x:c r="L1632" s="66" t="str">
        <x:f>IF(K1632="","","1 : "&amp;TEXT(K1632,"0.0"))</x:f>
        <x:v>1 : 15.8</x:v>
      </x:c>
      <x:c r="M1632" s="66" t="str">
        <x:f>IF(J1632="","Baru/Tanpa Data",IF(J1632&lt;='Catatan &amp; Sumber'!$B$14,"Sangat Ketat",IF(J1632&lt;='Catatan &amp; Sumber'!$B$15,"Ketat",IF(J1632&lt;='Catatan &amp; Sumber'!$B$16,"Sedang","Relatif Longgar"))))</x:f>
        <x:v>Sedang</x:v>
      </x:c>
      <x:c r="N1632" s="66" t="str">
        <x:v>Tidak Ada</x:v>
      </x:c>
      <x:c r="O1632" s="66" t="str">
        <x:v>Jawa Barat</x:v>
      </x:c>
      <x:c r="P1632" s="66" t="str">
        <x:v>Kabupaten Sumedang</x:v>
      </x:c>
      <x:c r="Q1632" s="66" t="str">
        <x:v>https://snpmb.id/snbp/daya-tampung-snbp</x:v>
      </x:c>
      <x:c r="R1632" s="66" t="str">
        <x:v>https://sidatagrun-public-1076756628210.asia-southeast2.run.app/ptn_sn.php?ptn=333</x:v>
      </x:c>
    </x:row>
    <x:row r="1633">
      <x:c r="A1633" s="87" t="n">
        <x:v>65</x:v>
      </x:c>
      <x:c r="B1633" s="66" t="n">
        <x:v>333</x:v>
      </x:c>
      <x:c r="C1633" s="66" t="str">
        <x:v>UNIVERSITAS PADJADJARAN</x:v>
      </x:c>
      <x:c r="D1633" s="66" t="str">
        <x:v>PTN Akademik</x:v>
      </x:c>
      <x:c r="E1633" s="66" t="str">
        <x:v>13331064</x:v>
      </x:c>
      <x:c r="F1633" s="66" t="str">
        <x:v>BISNIS DIGITAL</x:v>
      </x:c>
      <x:c r="G1633" s="66" t="str">
        <x:v>Sarjana</x:v>
      </x:c>
      <x:c r="H1633" s="87" t="n">
        <x:v>25</x:v>
      </x:c>
      <x:c r="I1633" s="87" t="n">
        <x:v>1004</x:v>
      </x:c>
      <x:c r="J1633" s="68" t="n">
        <x:f>IFERROR(H1633/I1633,"")</x:f>
        <x:v>0.0249003984063745</x:v>
      </x:c>
      <x:c r="K1633" s="69" t="n">
        <x:f>IFERROR(I1633/H1633,"")</x:f>
        <x:v>40.16</x:v>
      </x:c>
      <x:c r="L1633" s="66" t="str">
        <x:f>IF(K1633="","","1 : "&amp;TEXT(K1633,"0.0"))</x:f>
        <x:v>1 : 40.2</x:v>
      </x:c>
      <x:c r="M1633" s="66" t="str">
        <x:f>IF(J1633="","Baru/Tanpa Data",IF(J1633&lt;='Catatan &amp; Sumber'!$B$14,"Sangat Ketat",IF(J1633&lt;='Catatan &amp; Sumber'!$B$15,"Ketat",IF(J1633&lt;='Catatan &amp; Sumber'!$B$16,"Sedang","Relatif Longgar"))))</x:f>
        <x:v>Ketat</x:v>
      </x:c>
      <x:c r="N1633" s="66" t="str">
        <x:v>Tidak Ada</x:v>
      </x:c>
      <x:c r="O1633" s="66" t="str">
        <x:v>Jawa Barat</x:v>
      </x:c>
      <x:c r="P1633" s="66" t="str">
        <x:v>Kabupaten Sumedang</x:v>
      </x:c>
      <x:c r="Q1633" s="66" t="str">
        <x:v>https://snpmb.id/snbp/daya-tampung-snbp</x:v>
      </x:c>
      <x:c r="R1633" s="66" t="str">
        <x:v>https://sidatagrun-public-1076756628210.asia-southeast2.run.app/ptn_sn.php?ptn=333</x:v>
      </x:c>
    </x:row>
    <x:row r="1634">
      <x:c r="A1634" s="87" t="n">
        <x:v>428</x:v>
      </x:c>
      <x:c r="B1634" s="66" t="n">
        <x:v>333</x:v>
      </x:c>
      <x:c r="C1634" s="66" t="str">
        <x:v>UNIVERSITAS PADJADJARAN</x:v>
      </x:c>
      <x:c r="D1634" s="66" t="str">
        <x:v>PTN Akademik</x:v>
      </x:c>
      <x:c r="E1634" s="66" t="str">
        <x:v>13331065</x:v>
      </x:c>
      <x:c r="F1634" s="66" t="str">
        <x:v>ADMINISTRASI BISNIS PSDKU PANGANDARAN</x:v>
      </x:c>
      <x:c r="G1634" s="66" t="str">
        <x:v>Sarjana</x:v>
      </x:c>
      <x:c r="H1634" s="87" t="n">
        <x:v>13</x:v>
      </x:c>
      <x:c r="I1634" s="87" t="n">
        <x:v>270</x:v>
      </x:c>
      <x:c r="J1634" s="68" t="n">
        <x:f>IFERROR(H1634/I1634,"")</x:f>
        <x:v>0.04814814814814815</x:v>
      </x:c>
      <x:c r="K1634" s="69" t="n">
        <x:f>IFERROR(I1634/H1634,"")</x:f>
        <x:v>20.76923076923077</x:v>
      </x:c>
      <x:c r="L1634" s="66" t="str">
        <x:f>IF(K1634="","","1 : "&amp;TEXT(K1634,"0.0"))</x:f>
        <x:v>1 : 20.8</x:v>
      </x:c>
      <x:c r="M1634" s="66" t="str">
        <x:f>IF(J1634="","Baru/Tanpa Data",IF(J1634&lt;='Catatan &amp; Sumber'!$B$14,"Sangat Ketat",IF(J1634&lt;='Catatan &amp; Sumber'!$B$15,"Ketat",IF(J1634&lt;='Catatan &amp; Sumber'!$B$16,"Sedang","Relatif Longgar"))))</x:f>
        <x:v>Ketat</x:v>
      </x:c>
      <x:c r="N1634" s="66" t="str">
        <x:v>Tidak Ada</x:v>
      </x:c>
      <x:c r="O1634" s="66" t="str">
        <x:v>Jawa Barat</x:v>
      </x:c>
      <x:c r="P1634" s="66" t="str">
        <x:v>Kabupaten Sumedang</x:v>
      </x:c>
      <x:c r="Q1634" s="66" t="str">
        <x:v>https://snpmb.id/snbp/daya-tampung-snbp</x:v>
      </x:c>
      <x:c r="R1634" s="66" t="str">
        <x:v>https://sidatagrun-public-1076756628210.asia-southeast2.run.app/ptn_sn.php?ptn=333</x:v>
      </x:c>
    </x:row>
    <x:row r="1635">
      <x:c r="A1635" s="87" t="n">
        <x:v>884</x:v>
      </x:c>
      <x:c r="B1635" s="66" t="n">
        <x:v>333</x:v>
      </x:c>
      <x:c r="C1635" s="66" t="str">
        <x:v>UNIVERSITAS PADJADJARAN</x:v>
      </x:c>
      <x:c r="D1635" s="66" t="str">
        <x:v>PTN Akademik</x:v>
      </x:c>
      <x:c r="E1635" s="66" t="str">
        <x:v>13331066</x:v>
      </x:c>
      <x:c r="F1635" s="66" t="str">
        <x:v>ILMU KOMUNIKASI PSDKU PANGANDARAN</x:v>
      </x:c>
      <x:c r="G1635" s="66" t="str">
        <x:v>Sarjana</x:v>
      </x:c>
      <x:c r="H1635" s="87" t="n">
        <x:v>16</x:v>
      </x:c>
      <x:c r="I1635" s="87" t="n">
        <x:v>225</x:v>
      </x:c>
      <x:c r="J1635" s="68" t="n">
        <x:f>IFERROR(H1635/I1635,"")</x:f>
        <x:v>0.07111111111111111</x:v>
      </x:c>
      <x:c r="K1635" s="69" t="n">
        <x:f>IFERROR(I1635/H1635,"")</x:f>
        <x:v>14.0625</x:v>
      </x:c>
      <x:c r="L1635" s="66" t="str">
        <x:f>IF(K1635="","","1 : "&amp;TEXT(K1635,"0.0"))</x:f>
        <x:v>1 : 14.1</x:v>
      </x:c>
      <x:c r="M1635" s="66" t="str">
        <x:f>IF(J1635="","Baru/Tanpa Data",IF(J1635&lt;='Catatan &amp; Sumber'!$B$14,"Sangat Ketat",IF(J1635&lt;='Catatan &amp; Sumber'!$B$15,"Ketat",IF(J1635&lt;='Catatan &amp; Sumber'!$B$16,"Sedang","Relatif Longgar"))))</x:f>
        <x:v>Sedang</x:v>
      </x:c>
      <x:c r="N1635" s="66" t="str">
        <x:v>Tidak Ada</x:v>
      </x:c>
      <x:c r="O1635" s="66" t="str">
        <x:v>Jawa Barat</x:v>
      </x:c>
      <x:c r="P1635" s="66" t="str">
        <x:v>Kabupaten Sumedang</x:v>
      </x:c>
      <x:c r="Q1635" s="66" t="str">
        <x:v>https://snpmb.id/snbp/daya-tampung-snbp</x:v>
      </x:c>
      <x:c r="R1635" s="66" t="str">
        <x:v>https://sidatagrun-public-1076756628210.asia-southeast2.run.app/ptn_sn.php?ptn=333</x:v>
      </x:c>
    </x:row>
    <x:row r="1636">
      <x:c r="A1636" s="87"/>
      <x:c r="B1636" s="66" t="n">
        <x:v>333</x:v>
      </x:c>
      <x:c r="C1636" s="66" t="str">
        <x:v>UNIVERSITAS PADJADJARAN</x:v>
      </x:c>
      <x:c r="D1636" s="66" t="str">
        <x:v>PTN Akademik</x:v>
      </x:c>
      <x:c r="E1636" s="66" t="str">
        <x:v>13331081</x:v>
      </x:c>
      <x:c r="F1636" s="66" t="str">
        <x:v>REKAYASA KOSMETIK</x:v>
      </x:c>
      <x:c r="G1636" s="66" t="str">
        <x:v>Sarjana</x:v>
      </x:c>
      <x:c r="H1636" s="87" t="n">
        <x:v>12</x:v>
      </x:c>
      <x:c r="I1636" s="87"/>
      <x:c r="J1636" s="68" t="str">
        <x:f>IFERROR(H1636/I1636,"")</x:f>
      </x:c>
      <x:c r="K1636" s="69" t="n">
        <x:f>IFERROR(I1636/H1636,"")</x:f>
        <x:v>0</x:v>
      </x:c>
      <x:c r="L1636" s="66" t="str">
        <x:f>IF(K1636="","","1 : "&amp;TEXT(K1636,"0.0"))</x:f>
      </x:c>
      <x:c r="M1636" s="66" t="str">
        <x:f>IF(J1636="","Baru/Tanpa Data",IF(J1636&lt;='Catatan &amp; Sumber'!$B$14,"Sangat Ketat",IF(J1636&lt;='Catatan &amp; Sumber'!$B$15,"Ketat",IF(J1636&lt;='Catatan &amp; Sumber'!$B$16,"Sedang","Relatif Longgar"))))</x:f>
        <x:v>Baru/Tanpa Data</x:v>
      </x:c>
      <x:c r="N1636" s="66" t="str">
        <x:v>Tidak Ada</x:v>
      </x:c>
      <x:c r="O1636" s="66" t="str">
        <x:v>Jawa Barat</x:v>
      </x:c>
      <x:c r="P1636" s="66" t="str">
        <x:v>Kabupaten Sumedang</x:v>
      </x:c>
      <x:c r="Q1636" s="66" t="str">
        <x:v>https://snpmb.id/snbp/daya-tampung-snbp</x:v>
      </x:c>
      <x:c r="R1636" s="66" t="str">
        <x:v>https://sidatagrun-public-1076756628210.asia-southeast2.run.app/ptn_sn.php?ptn=333</x:v>
      </x:c>
    </x:row>
    <x:row r="1637">
      <x:c r="A1637" s="87" t="n">
        <x:v>615</x:v>
      </x:c>
      <x:c r="B1637" s="66" t="n">
        <x:v>333</x:v>
      </x:c>
      <x:c r="C1637" s="66" t="str">
        <x:v>UNIVERSITAS PADJADJARAN</x:v>
      </x:c>
      <x:c r="D1637" s="66" t="str">
        <x:v>PTN Akademik</x:v>
      </x:c>
      <x:c r="E1637" s="66" t="str">
        <x:v>13332067</x:v>
      </x:c>
      <x:c r="F1637" s="66" t="str">
        <x:v>AKUNTANSI PERPAJAKAN</x:v>
      </x:c>
      <x:c r="G1637" s="66" t="str">
        <x:v>Sarjana Terapan</x:v>
      </x:c>
      <x:c r="H1637" s="87" t="n">
        <x:v>30</x:v>
      </x:c>
      <x:c r="I1637" s="87" t="n">
        <x:v>515</x:v>
      </x:c>
      <x:c r="J1637" s="68" t="n">
        <x:f>IFERROR(H1637/I1637,"")</x:f>
        <x:v>0.05825242718446602</x:v>
      </x:c>
      <x:c r="K1637" s="69" t="n">
        <x:f>IFERROR(I1637/H1637,"")</x:f>
        <x:v>17.166666666666668</x:v>
      </x:c>
      <x:c r="L1637" s="66" t="str">
        <x:f>IF(K1637="","","1 : "&amp;TEXT(K1637,"0.0"))</x:f>
        <x:v>1 : 17.2</x:v>
      </x:c>
      <x:c r="M1637" s="66" t="str">
        <x:f>IF(J1637="","Baru/Tanpa Data",IF(J1637&lt;='Catatan &amp; Sumber'!$B$14,"Sangat Ketat",IF(J1637&lt;='Catatan &amp; Sumber'!$B$15,"Ketat",IF(J1637&lt;='Catatan &amp; Sumber'!$B$16,"Sedang","Relatif Longgar"))))</x:f>
        <x:v>Sedang</x:v>
      </x:c>
      <x:c r="N1637" s="66" t="str">
        <x:v>Tidak Ada</x:v>
      </x:c>
      <x:c r="O1637" s="66" t="str">
        <x:v>Jawa Barat</x:v>
      </x:c>
      <x:c r="P1637" s="66" t="str">
        <x:v>Kabupaten Sumedang</x:v>
      </x:c>
      <x:c r="Q1637" s="66" t="str">
        <x:v>https://snpmb.id/snbp/daya-tampung-snbp</x:v>
      </x:c>
      <x:c r="R1637" s="66" t="str">
        <x:v>https://sidatagrun-public-1076756628210.asia-southeast2.run.app/ptn_sn.php?ptn=333</x:v>
      </x:c>
    </x:row>
    <x:row r="1638">
      <x:c r="A1638" s="87" t="n">
        <x:v>815</x:v>
      </x:c>
      <x:c r="B1638" s="66" t="n">
        <x:v>333</x:v>
      </x:c>
      <x:c r="C1638" s="66" t="str">
        <x:v>UNIVERSITAS PADJADJARAN</x:v>
      </x:c>
      <x:c r="D1638" s="66" t="str">
        <x:v>PTN Akademik</x:v>
      </x:c>
      <x:c r="E1638" s="66" t="str">
        <x:v>13332068</x:v>
      </x:c>
      <x:c r="F1638" s="66" t="str">
        <x:v>AKUNTANSI SEKTOR PUBLIK</x:v>
      </x:c>
      <x:c r="G1638" s="66" t="str">
        <x:v>Sarjana Terapan</x:v>
      </x:c>
      <x:c r="H1638" s="87" t="n">
        <x:v>39</x:v>
      </x:c>
      <x:c r="I1638" s="87" t="n">
        <x:v>578</x:v>
      </x:c>
      <x:c r="J1638" s="68" t="n">
        <x:f>IFERROR(H1638/I1638,"")</x:f>
        <x:v>0.06747404844290658</x:v>
      </x:c>
      <x:c r="K1638" s="69" t="n">
        <x:f>IFERROR(I1638/H1638,"")</x:f>
        <x:v>14.820512820512821</x:v>
      </x:c>
      <x:c r="L1638" s="66" t="str">
        <x:f>IF(K1638="","","1 : "&amp;TEXT(K1638,"0.0"))</x:f>
        <x:v>1 : 14.8</x:v>
      </x:c>
      <x:c r="M1638" s="66" t="str">
        <x:f>IF(J1638="","Baru/Tanpa Data",IF(J1638&lt;='Catatan &amp; Sumber'!$B$14,"Sangat Ketat",IF(J1638&lt;='Catatan &amp; Sumber'!$B$15,"Ketat",IF(J1638&lt;='Catatan &amp; Sumber'!$B$16,"Sedang","Relatif Longgar"))))</x:f>
        <x:v>Sedang</x:v>
      </x:c>
      <x:c r="N1638" s="66" t="str">
        <x:v>Tidak Ada</x:v>
      </x:c>
      <x:c r="O1638" s="66" t="str">
        <x:v>Jawa Barat</x:v>
      </x:c>
      <x:c r="P1638" s="66" t="str">
        <x:v>Kabupaten Sumedang</x:v>
      </x:c>
      <x:c r="Q1638" s="66" t="str">
        <x:v>https://snpmb.id/snbp/daya-tampung-snbp</x:v>
      </x:c>
      <x:c r="R1638" s="66" t="str">
        <x:v>https://sidatagrun-public-1076756628210.asia-southeast2.run.app/ptn_sn.php?ptn=333</x:v>
      </x:c>
    </x:row>
    <x:row r="1639">
      <x:c r="A1639" s="87" t="n">
        <x:v>801</x:v>
      </x:c>
      <x:c r="B1639" s="66" t="n">
        <x:v>333</x:v>
      </x:c>
      <x:c r="C1639" s="66" t="str">
        <x:v>UNIVERSITAS PADJADJARAN</x:v>
      </x:c>
      <x:c r="D1639" s="66" t="str">
        <x:v>PTN Akademik</x:v>
      </x:c>
      <x:c r="E1639" s="66" t="str">
        <x:v>13332069</x:v>
      </x:c>
      <x:c r="F1639" s="66" t="str">
        <x:v>BISNIS INTERNASIONAL</x:v>
      </x:c>
      <x:c r="G1639" s="66" t="str">
        <x:v>Sarjana Terapan</x:v>
      </x:c>
      <x:c r="H1639" s="87" t="n">
        <x:v>20</x:v>
      </x:c>
      <x:c r="I1639" s="87" t="n">
        <x:v>299</x:v>
      </x:c>
      <x:c r="J1639" s="68" t="n">
        <x:f>IFERROR(H1639/I1639,"")</x:f>
        <x:v>0.06688963210702341</x:v>
      </x:c>
      <x:c r="K1639" s="69" t="n">
        <x:f>IFERROR(I1639/H1639,"")</x:f>
        <x:v>14.95</x:v>
      </x:c>
      <x:c r="L1639" s="66" t="str">
        <x:f>IF(K1639="","","1 : "&amp;TEXT(K1639,"0.0"))</x:f>
        <x:v>1 : 15.0</x:v>
      </x:c>
      <x:c r="M1639" s="66" t="str">
        <x:f>IF(J1639="","Baru/Tanpa Data",IF(J1639&lt;='Catatan &amp; Sumber'!$B$14,"Sangat Ketat",IF(J1639&lt;='Catatan &amp; Sumber'!$B$15,"Ketat",IF(J1639&lt;='Catatan &amp; Sumber'!$B$16,"Sedang","Relatif Longgar"))))</x:f>
        <x:v>Sedang</x:v>
      </x:c>
      <x:c r="N1639" s="66" t="str">
        <x:v>Tidak Ada</x:v>
      </x:c>
      <x:c r="O1639" s="66" t="str">
        <x:v>Jawa Barat</x:v>
      </x:c>
      <x:c r="P1639" s="66" t="str">
        <x:v>Kabupaten Sumedang</x:v>
      </x:c>
      <x:c r="Q1639" s="66" t="str">
        <x:v>https://snpmb.id/snbp/daya-tampung-snbp</x:v>
      </x:c>
      <x:c r="R1639" s="66" t="str">
        <x:v>https://sidatagrun-public-1076756628210.asia-southeast2.run.app/ptn_sn.php?ptn=333</x:v>
      </x:c>
    </x:row>
    <x:row r="1640">
      <x:c r="A1640" s="87" t="n">
        <x:v>641</x:v>
      </x:c>
      <x:c r="B1640" s="66" t="n">
        <x:v>333</x:v>
      </x:c>
      <x:c r="C1640" s="66" t="str">
        <x:v>UNIVERSITAS PADJADJARAN</x:v>
      </x:c>
      <x:c r="D1640" s="66" t="str">
        <x:v>PTN Akademik</x:v>
      </x:c>
      <x:c r="E1640" s="66" t="str">
        <x:v>13332070</x:v>
      </x:c>
      <x:c r="F1640" s="66" t="str">
        <x:v>PEMASARAN DIGITAL</x:v>
      </x:c>
      <x:c r="G1640" s="66" t="str">
        <x:v>Sarjana Terapan</x:v>
      </x:c>
      <x:c r="H1640" s="87" t="n">
        <x:v>13</x:v>
      </x:c>
      <x:c r="I1640" s="87" t="n">
        <x:v>220</x:v>
      </x:c>
      <x:c r="J1640" s="68" t="n">
        <x:f>IFERROR(H1640/I1640,"")</x:f>
        <x:v>0.05909090909090909</x:v>
      </x:c>
      <x:c r="K1640" s="69" t="n">
        <x:f>IFERROR(I1640/H1640,"")</x:f>
        <x:v>16.923076923076923</x:v>
      </x:c>
      <x:c r="L1640" s="66" t="str">
        <x:f>IF(K1640="","","1 : "&amp;TEXT(K1640,"0.0"))</x:f>
        <x:v>1 : 16.9</x:v>
      </x:c>
      <x:c r="M1640" s="66" t="str">
        <x:f>IF(J1640="","Baru/Tanpa Data",IF(J1640&lt;='Catatan &amp; Sumber'!$B$14,"Sangat Ketat",IF(J1640&lt;='Catatan &amp; Sumber'!$B$15,"Ketat",IF(J1640&lt;='Catatan &amp; Sumber'!$B$16,"Sedang","Relatif Longgar"))))</x:f>
        <x:v>Sedang</x:v>
      </x:c>
      <x:c r="N1640" s="66" t="str">
        <x:v>Tidak Ada</x:v>
      </x:c>
      <x:c r="O1640" s="66" t="str">
        <x:v>Jawa Barat</x:v>
      </x:c>
      <x:c r="P1640" s="66" t="str">
        <x:v>Kabupaten Sumedang</x:v>
      </x:c>
      <x:c r="Q1640" s="66" t="str">
        <x:v>https://snpmb.id/snbp/daya-tampung-snbp</x:v>
      </x:c>
      <x:c r="R1640" s="66" t="str">
        <x:v>https://sidatagrun-public-1076756628210.asia-southeast2.run.app/ptn_sn.php?ptn=333</x:v>
      </x:c>
    </x:row>
    <x:row r="1641">
      <x:c r="A1641" s="87" t="n">
        <x:v>23</x:v>
      </x:c>
      <x:c r="B1641" s="66" t="n">
        <x:v>333</x:v>
      </x:c>
      <x:c r="C1641" s="66" t="str">
        <x:v>UNIVERSITAS PADJADJARAN</x:v>
      </x:c>
      <x:c r="D1641" s="66" t="str">
        <x:v>PTN Akademik</x:v>
      </x:c>
      <x:c r="E1641" s="66" t="str">
        <x:v>13332071</x:v>
      </x:c>
      <x:c r="F1641" s="66" t="str">
        <x:v>KEBIDANAN</x:v>
      </x:c>
      <x:c r="G1641" s="66" t="str">
        <x:v>Sarjana Terapan</x:v>
      </x:c>
      <x:c r="H1641" s="87" t="n">
        <x:v>10</x:v>
      </x:c>
      <x:c r="I1641" s="87" t="n">
        <x:v>558</x:v>
      </x:c>
      <x:c r="J1641" s="68" t="n">
        <x:f>IFERROR(H1641/I1641,"")</x:f>
        <x:v>0.017921146953405017</x:v>
      </x:c>
      <x:c r="K1641" s="69" t="n">
        <x:f>IFERROR(I1641/H1641,"")</x:f>
        <x:v>55.8</x:v>
      </x:c>
      <x:c r="L1641" s="66" t="str">
        <x:f>IF(K1641="","","1 : "&amp;TEXT(K1641,"0.0"))</x:f>
        <x:v>1 : 55.8</x:v>
      </x:c>
      <x:c r="M1641" s="66" t="str">
        <x:f>IF(J1641="","Baru/Tanpa Data",IF(J1641&lt;='Catatan &amp; Sumber'!$B$14,"Sangat Ketat",IF(J1641&lt;='Catatan &amp; Sumber'!$B$15,"Ketat",IF(J1641&lt;='Catatan &amp; Sumber'!$B$16,"Sedang","Relatif Longgar"))))</x:f>
        <x:v>Sangat Ketat</x:v>
      </x:c>
      <x:c r="N1641" s="66" t="str">
        <x:v>Tidak Ada</x:v>
      </x:c>
      <x:c r="O1641" s="66" t="str">
        <x:v>Jawa Barat</x:v>
      </x:c>
      <x:c r="P1641" s="66" t="str">
        <x:v>Kabupaten Sumedang</x:v>
      </x:c>
      <x:c r="Q1641" s="66" t="str">
        <x:v>https://snpmb.id/snbp/daya-tampung-snbp</x:v>
      </x:c>
      <x:c r="R1641" s="66" t="str">
        <x:v>https://sidatagrun-public-1076756628210.asia-southeast2.run.app/ptn_sn.php?ptn=333</x:v>
      </x:c>
    </x:row>
    <x:row r="1642">
      <x:c r="A1642" s="87" t="n">
        <x:v>880</x:v>
      </x:c>
      <x:c r="B1642" s="66" t="n">
        <x:v>333</x:v>
      </x:c>
      <x:c r="C1642" s="66" t="str">
        <x:v>UNIVERSITAS PADJADJARAN</x:v>
      </x:c>
      <x:c r="D1642" s="66" t="str">
        <x:v>PTN Akademik</x:v>
      </x:c>
      <x:c r="E1642" s="66" t="str">
        <x:v>13332072</x:v>
      </x:c>
      <x:c r="F1642" s="66" t="str">
        <x:v>TEKNOLOGI INDUSTRI KIMIA</x:v>
      </x:c>
      <x:c r="G1642" s="66" t="str">
        <x:v>Sarjana Terapan</x:v>
      </x:c>
      <x:c r="H1642" s="87" t="n">
        <x:v>18</x:v>
      </x:c>
      <x:c r="I1642" s="87" t="n">
        <x:v>254</x:v>
      </x:c>
      <x:c r="J1642" s="68" t="n">
        <x:f>IFERROR(H1642/I1642,"")</x:f>
        <x:v>0.07086614173228346</x:v>
      </x:c>
      <x:c r="K1642" s="69" t="n">
        <x:f>IFERROR(I1642/H1642,"")</x:f>
        <x:v>14.11111111111111</x:v>
      </x:c>
      <x:c r="L1642" s="66" t="str">
        <x:f>IF(K1642="","","1 : "&amp;TEXT(K1642,"0.0"))</x:f>
        <x:v>1 : 14.1</x:v>
      </x:c>
      <x:c r="M1642" s="66" t="str">
        <x:f>IF(J1642="","Baru/Tanpa Data",IF(J1642&lt;='Catatan &amp; Sumber'!$B$14,"Sangat Ketat",IF(J1642&lt;='Catatan &amp; Sumber'!$B$15,"Ketat",IF(J1642&lt;='Catatan &amp; Sumber'!$B$16,"Sedang","Relatif Longgar"))))</x:f>
        <x:v>Sedang</x:v>
      </x:c>
      <x:c r="N1642" s="66" t="str">
        <x:v>Tidak Ada</x:v>
      </x:c>
      <x:c r="O1642" s="66" t="str">
        <x:v>Jawa Barat</x:v>
      </x:c>
      <x:c r="P1642" s="66" t="str">
        <x:v>Kabupaten Sumedang</x:v>
      </x:c>
      <x:c r="Q1642" s="66" t="str">
        <x:v>https://snpmb.id/snbp/daya-tampung-snbp</x:v>
      </x:c>
      <x:c r="R1642" s="66" t="str">
        <x:v>https://sidatagrun-public-1076756628210.asia-southeast2.run.app/ptn_sn.php?ptn=333</x:v>
      </x:c>
    </x:row>
    <x:row r="1643">
      <x:c r="A1643" s="87" t="n">
        <x:v>2073</x:v>
      </x:c>
      <x:c r="B1643" s="66" t="n">
        <x:v>333</x:v>
      </x:c>
      <x:c r="C1643" s="66" t="str">
        <x:v>UNIVERSITAS PADJADJARAN</x:v>
      </x:c>
      <x:c r="D1643" s="66" t="str">
        <x:v>PTN Akademik</x:v>
      </x:c>
      <x:c r="E1643" s="66" t="str">
        <x:v>13332073</x:v>
      </x:c>
      <x:c r="F1643" s="66" t="str">
        <x:v>AGROTEKNOPRENEUR</x:v>
      </x:c>
      <x:c r="G1643" s="66" t="str">
        <x:v>Sarjana Terapan</x:v>
      </x:c>
      <x:c r="H1643" s="87" t="n">
        <x:v>25</x:v>
      </x:c>
      <x:c r="I1643" s="87" t="n">
        <x:v>157</x:v>
      </x:c>
      <x:c r="J1643" s="68" t="n">
        <x:f>IFERROR(H1643/I1643,"")</x:f>
        <x:v>0.1592356687898089</x:v>
      </x:c>
      <x:c r="K1643" s="69" t="n">
        <x:f>IFERROR(I1643/H1643,"")</x:f>
        <x:v>6.28</x:v>
      </x:c>
      <x:c r="L1643" s="66" t="str">
        <x:f>IF(K1643="","","1 : "&amp;TEXT(K1643,"0.0"))</x:f>
        <x:v>1 : 6.3</x:v>
      </x:c>
      <x:c r="M1643" s="66" t="str">
        <x:f>IF(J1643="","Baru/Tanpa Data",IF(J1643&lt;='Catatan &amp; Sumber'!$B$14,"Sangat Ketat",IF(J1643&lt;='Catatan &amp; Sumber'!$B$15,"Ketat",IF(J1643&lt;='Catatan &amp; Sumber'!$B$16,"Sedang","Relatif Longgar"))))</x:f>
        <x:v>Relatif Longgar</x:v>
      </x:c>
      <x:c r="N1643" s="66" t="str">
        <x:v>Tidak Ada</x:v>
      </x:c>
      <x:c r="O1643" s="66" t="str">
        <x:v>Jawa Barat</x:v>
      </x:c>
      <x:c r="P1643" s="66" t="str">
        <x:v>Kabupaten Sumedang</x:v>
      </x:c>
      <x:c r="Q1643" s="66" t="str">
        <x:v>https://snpmb.id/snbp/daya-tampung-snbp</x:v>
      </x:c>
      <x:c r="R1643" s="66" t="str">
        <x:v>https://sidatagrun-public-1076756628210.asia-southeast2.run.app/ptn_sn.php?ptn=333</x:v>
      </x:c>
    </x:row>
    <x:row r="1644">
      <x:c r="A1644" s="87" t="n">
        <x:v>739</x:v>
      </x:c>
      <x:c r="B1644" s="66" t="n">
        <x:v>333</x:v>
      </x:c>
      <x:c r="C1644" s="66" t="str">
        <x:v>UNIVERSITAS PADJADJARAN</x:v>
      </x:c>
      <x:c r="D1644" s="66" t="str">
        <x:v>PTN Akademik</x:v>
      </x:c>
      <x:c r="E1644" s="66" t="str">
        <x:v>13332074</x:v>
      </x:c>
      <x:c r="F1644" s="66" t="str">
        <x:v>ADMINISTRASI KEUANGAN PUBLIK</x:v>
      </x:c>
      <x:c r="G1644" s="66" t="str">
        <x:v>Sarjana Terapan</x:v>
      </x:c>
      <x:c r="H1644" s="87" t="n">
        <x:v>19</x:v>
      </x:c>
      <x:c r="I1644" s="87" t="n">
        <x:v>296</x:v>
      </x:c>
      <x:c r="J1644" s="68" t="n">
        <x:f>IFERROR(H1644/I1644,"")</x:f>
        <x:v>0.06418918918918919</x:v>
      </x:c>
      <x:c r="K1644" s="69" t="n">
        <x:f>IFERROR(I1644/H1644,"")</x:f>
        <x:v>15.578947368421053</x:v>
      </x:c>
      <x:c r="L1644" s="66" t="str">
        <x:f>IF(K1644="","","1 : "&amp;TEXT(K1644,"0.0"))</x:f>
        <x:v>1 : 15.6</x:v>
      </x:c>
      <x:c r="M1644" s="66" t="str">
        <x:f>IF(J1644="","Baru/Tanpa Data",IF(J1644&lt;='Catatan &amp; Sumber'!$B$14,"Sangat Ketat",IF(J1644&lt;='Catatan &amp; Sumber'!$B$15,"Ketat",IF(J1644&lt;='Catatan &amp; Sumber'!$B$16,"Sedang","Relatif Longgar"))))</x:f>
        <x:v>Sedang</x:v>
      </x:c>
      <x:c r="N1644" s="66" t="str">
        <x:v>Tidak Ada</x:v>
      </x:c>
      <x:c r="O1644" s="66" t="str">
        <x:v>Jawa Barat</x:v>
      </x:c>
      <x:c r="P1644" s="66" t="str">
        <x:v>Kabupaten Sumedang</x:v>
      </x:c>
      <x:c r="Q1644" s="66" t="str">
        <x:v>https://snpmb.id/snbp/daya-tampung-snbp</x:v>
      </x:c>
      <x:c r="R1644" s="66" t="str">
        <x:v>https://sidatagrun-public-1076756628210.asia-southeast2.run.app/ptn_sn.php?ptn=333</x:v>
      </x:c>
    </x:row>
    <x:row r="1645">
      <x:c r="A1645" s="87" t="n">
        <x:v>978</x:v>
      </x:c>
      <x:c r="B1645" s="66" t="n">
        <x:v>333</x:v>
      </x:c>
      <x:c r="C1645" s="66" t="str">
        <x:v>UNIVERSITAS PADJADJARAN</x:v>
      </x:c>
      <x:c r="D1645" s="66" t="str">
        <x:v>PTN Akademik</x:v>
      </x:c>
      <x:c r="E1645" s="66" t="str">
        <x:v>13332075</x:v>
      </x:c>
      <x:c r="F1645" s="66" t="str">
        <x:v>ADMINISTRASI PEMERINTAHAN</x:v>
      </x:c>
      <x:c r="G1645" s="66" t="str">
        <x:v>Sarjana Terapan</x:v>
      </x:c>
      <x:c r="H1645" s="87" t="n">
        <x:v>16</x:v>
      </x:c>
      <x:c r="I1645" s="87" t="n">
        <x:v>208</x:v>
      </x:c>
      <x:c r="J1645" s="68" t="n">
        <x:f>IFERROR(H1645/I1645,"")</x:f>
        <x:v>0.07692307692307693</x:v>
      </x:c>
      <x:c r="K1645" s="69" t="n">
        <x:f>IFERROR(I1645/H1645,"")</x:f>
        <x:v>13</x:v>
      </x:c>
      <x:c r="L1645" s="66" t="str">
        <x:f>IF(K1645="","","1 : "&amp;TEXT(K1645,"0.0"))</x:f>
        <x:v>1 : 13.0</x:v>
      </x:c>
      <x:c r="M1645" s="66" t="str">
        <x:f>IF(J1645="","Baru/Tanpa Data",IF(J1645&lt;='Catatan &amp; Sumber'!$B$14,"Sangat Ketat",IF(J1645&lt;='Catatan &amp; Sumber'!$B$15,"Ketat",IF(J1645&lt;='Catatan &amp; Sumber'!$B$16,"Sedang","Relatif Longgar"))))</x:f>
        <x:v>Sedang</x:v>
      </x:c>
      <x:c r="N1645" s="66" t="str">
        <x:v>Tidak Ada</x:v>
      </x:c>
      <x:c r="O1645" s="66" t="str">
        <x:v>Jawa Barat</x:v>
      </x:c>
      <x:c r="P1645" s="66" t="str">
        <x:v>Kabupaten Sumedang</x:v>
      </x:c>
      <x:c r="Q1645" s="66" t="str">
        <x:v>https://snpmb.id/snbp/daya-tampung-snbp</x:v>
      </x:c>
      <x:c r="R1645" s="66" t="str">
        <x:v>https://sidatagrun-public-1076756628210.asia-southeast2.run.app/ptn_sn.php?ptn=333</x:v>
      </x:c>
    </x:row>
    <x:row r="1646">
      <x:c r="A1646" s="87" t="n">
        <x:v>1118</x:v>
      </x:c>
      <x:c r="B1646" s="66" t="n">
        <x:v>333</x:v>
      </x:c>
      <x:c r="C1646" s="66" t="str">
        <x:v>UNIVERSITAS PADJADJARAN</x:v>
      </x:c>
      <x:c r="D1646" s="66" t="str">
        <x:v>PTN Akademik</x:v>
      </x:c>
      <x:c r="E1646" s="66" t="str">
        <x:v>13332076</x:v>
      </x:c>
      <x:c r="F1646" s="66" t="str">
        <x:v>BISNIS LOGISTIK</x:v>
      </x:c>
      <x:c r="G1646" s="66" t="str">
        <x:v>Sarjana Terapan</x:v>
      </x:c>
      <x:c r="H1646" s="87" t="n">
        <x:v>17</x:v>
      </x:c>
      <x:c r="I1646" s="87" t="n">
        <x:v>200</x:v>
      </x:c>
      <x:c r="J1646" s="68" t="n">
        <x:f>IFERROR(H1646/I1646,"")</x:f>
        <x:v>0.085</x:v>
      </x:c>
      <x:c r="K1646" s="69" t="n">
        <x:f>IFERROR(I1646/H1646,"")</x:f>
        <x:v>11.764705882352942</x:v>
      </x:c>
      <x:c r="L1646" s="66" t="str">
        <x:f>IF(K1646="","","1 : "&amp;TEXT(K1646,"0.0"))</x:f>
        <x:v>1 : 11.8</x:v>
      </x:c>
      <x:c r="M1646" s="66" t="str">
        <x:f>IF(J1646="","Baru/Tanpa Data",IF(J1646&lt;='Catatan &amp; Sumber'!$B$14,"Sangat Ketat",IF(J1646&lt;='Catatan &amp; Sumber'!$B$15,"Ketat",IF(J1646&lt;='Catatan &amp; Sumber'!$B$16,"Sedang","Relatif Longgar"))))</x:f>
        <x:v>Sedang</x:v>
      </x:c>
      <x:c r="N1646" s="66" t="str">
        <x:v>Tidak Ada</x:v>
      </x:c>
      <x:c r="O1646" s="66" t="str">
        <x:v>Jawa Barat</x:v>
      </x:c>
      <x:c r="P1646" s="66" t="str">
        <x:v>Kabupaten Sumedang</x:v>
      </x:c>
      <x:c r="Q1646" s="66" t="str">
        <x:v>https://snpmb.id/snbp/daya-tampung-snbp</x:v>
      </x:c>
      <x:c r="R1646" s="66" t="str">
        <x:v>https://sidatagrun-public-1076756628210.asia-southeast2.run.app/ptn_sn.php?ptn=333</x:v>
      </x:c>
    </x:row>
    <x:row r="1647">
      <x:c r="A1647" s="87" t="n">
        <x:v>627</x:v>
      </x:c>
      <x:c r="B1647" s="66" t="n">
        <x:v>333</x:v>
      </x:c>
      <x:c r="C1647" s="66" t="str">
        <x:v>UNIVERSITAS PADJADJARAN</x:v>
      </x:c>
      <x:c r="D1647" s="66" t="str">
        <x:v>PTN Akademik</x:v>
      </x:c>
      <x:c r="E1647" s="66" t="str">
        <x:v>13332077</x:v>
      </x:c>
      <x:c r="F1647" s="66" t="str">
        <x:v>KEARSIPAN DIGITAL</x:v>
      </x:c>
      <x:c r="G1647" s="66" t="str">
        <x:v>Sarjana Terapan</x:v>
      </x:c>
      <x:c r="H1647" s="87" t="n">
        <x:v>11</x:v>
      </x:c>
      <x:c r="I1647" s="87" t="n">
        <x:v>188</x:v>
      </x:c>
      <x:c r="J1647" s="68" t="n">
        <x:f>IFERROR(H1647/I1647,"")</x:f>
        <x:v>0.05851063829787234</x:v>
      </x:c>
      <x:c r="K1647" s="69" t="n">
        <x:f>IFERROR(I1647/H1647,"")</x:f>
        <x:v>17.09090909090909</x:v>
      </x:c>
      <x:c r="L1647" s="66" t="str">
        <x:f>IF(K1647="","","1 : "&amp;TEXT(K1647,"0.0"))</x:f>
        <x:v>1 : 17.1</x:v>
      </x:c>
      <x:c r="M1647" s="66" t="str">
        <x:f>IF(J1647="","Baru/Tanpa Data",IF(J1647&lt;='Catatan &amp; Sumber'!$B$14,"Sangat Ketat",IF(J1647&lt;='Catatan &amp; Sumber'!$B$15,"Ketat",IF(J1647&lt;='Catatan &amp; Sumber'!$B$16,"Sedang","Relatif Longgar"))))</x:f>
        <x:v>Sedang</x:v>
      </x:c>
      <x:c r="N1647" s="66" t="str">
        <x:v>Tidak Ada</x:v>
      </x:c>
      <x:c r="O1647" s="66" t="str">
        <x:v>Jawa Barat</x:v>
      </x:c>
      <x:c r="P1647" s="66" t="str">
        <x:v>Kabupaten Sumedang</x:v>
      </x:c>
      <x:c r="Q1647" s="66" t="str">
        <x:v>https://snpmb.id/snbp/daya-tampung-snbp</x:v>
      </x:c>
      <x:c r="R1647" s="66" t="str">
        <x:v>https://sidatagrun-public-1076756628210.asia-southeast2.run.app/ptn_sn.php?ptn=333</x:v>
      </x:c>
    </x:row>
    <x:row r="1648">
      <x:c r="A1648" s="87" t="n">
        <x:v>827</x:v>
      </x:c>
      <x:c r="B1648" s="66" t="n">
        <x:v>333</x:v>
      </x:c>
      <x:c r="C1648" s="66" t="str">
        <x:v>UNIVERSITAS PADJADJARAN</x:v>
      </x:c>
      <x:c r="D1648" s="66" t="str">
        <x:v>PTN Akademik</x:v>
      </x:c>
      <x:c r="E1648" s="66" t="str">
        <x:v>13332078</x:v>
      </x:c>
      <x:c r="F1648" s="66" t="str">
        <x:v>BAHASA DAN BUDAYA TIONGKOK</x:v>
      </x:c>
      <x:c r="G1648" s="66" t="str">
        <x:v>Sarjana Terapan</x:v>
      </x:c>
      <x:c r="H1648" s="87" t="n">
        <x:v>16</x:v>
      </x:c>
      <x:c r="I1648" s="87" t="n">
        <x:v>235</x:v>
      </x:c>
      <x:c r="J1648" s="68" t="n">
        <x:f>IFERROR(H1648/I1648,"")</x:f>
        <x:v>0.06808510638297872</x:v>
      </x:c>
      <x:c r="K1648" s="69" t="n">
        <x:f>IFERROR(I1648/H1648,"")</x:f>
        <x:v>14.6875</x:v>
      </x:c>
      <x:c r="L1648" s="66" t="str">
        <x:f>IF(K1648="","","1 : "&amp;TEXT(K1648,"0.0"))</x:f>
        <x:v>1 : 14.7</x:v>
      </x:c>
      <x:c r="M1648" s="66" t="str">
        <x:f>IF(J1648="","Baru/Tanpa Data",IF(J1648&lt;='Catatan &amp; Sumber'!$B$14,"Sangat Ketat",IF(J1648&lt;='Catatan &amp; Sumber'!$B$15,"Ketat",IF(J1648&lt;='Catatan &amp; Sumber'!$B$16,"Sedang","Relatif Longgar"))))</x:f>
        <x:v>Sedang</x:v>
      </x:c>
      <x:c r="N1648" s="66" t="str">
        <x:v>Tidak Ada</x:v>
      </x:c>
      <x:c r="O1648" s="66" t="str">
        <x:v>Jawa Barat</x:v>
      </x:c>
      <x:c r="P1648" s="66" t="str">
        <x:v>Kabupaten Sumedang</x:v>
      </x:c>
      <x:c r="Q1648" s="66" t="str">
        <x:v>https://snpmb.id/snbp/daya-tampung-snbp</x:v>
      </x:c>
      <x:c r="R1648" s="66" t="str">
        <x:v>https://sidatagrun-public-1076756628210.asia-southeast2.run.app/ptn_sn.php?ptn=333</x:v>
      </x:c>
    </x:row>
    <x:row r="1649">
      <x:c r="A1649" s="87" t="n">
        <x:v>1011</x:v>
      </x:c>
      <x:c r="B1649" s="66" t="n">
        <x:v>333</x:v>
      </x:c>
      <x:c r="C1649" s="66" t="str">
        <x:v>UNIVERSITAS PADJADJARAN</x:v>
      </x:c>
      <x:c r="D1649" s="66" t="str">
        <x:v>PTN Akademik</x:v>
      </x:c>
      <x:c r="E1649" s="66" t="str">
        <x:v>13332079</x:v>
      </x:c>
      <x:c r="F1649" s="66" t="str">
        <x:v>MANAJEMEN PRODUKSI MEDIA</x:v>
      </x:c>
      <x:c r="G1649" s="66" t="str">
        <x:v>Sarjana Terapan</x:v>
      </x:c>
      <x:c r="H1649" s="87" t="n">
        <x:v>25</x:v>
      </x:c>
      <x:c r="I1649" s="87" t="n">
        <x:v>317</x:v>
      </x:c>
      <x:c r="J1649" s="68" t="n">
        <x:f>IFERROR(H1649/I1649,"")</x:f>
        <x:v>0.07886435331230283</x:v>
      </x:c>
      <x:c r="K1649" s="69" t="n">
        <x:f>IFERROR(I1649/H1649,"")</x:f>
        <x:v>12.68</x:v>
      </x:c>
      <x:c r="L1649" s="66" t="str">
        <x:f>IF(K1649="","","1 : "&amp;TEXT(K1649,"0.0"))</x:f>
        <x:v>1 : 12.7</x:v>
      </x:c>
      <x:c r="M1649" s="66" t="str">
        <x:f>IF(J1649="","Baru/Tanpa Data",IF(J1649&lt;='Catatan &amp; Sumber'!$B$14,"Sangat Ketat",IF(J1649&lt;='Catatan &amp; Sumber'!$B$15,"Ketat",IF(J1649&lt;='Catatan &amp; Sumber'!$B$16,"Sedang","Relatif Longgar"))))</x:f>
        <x:v>Sedang</x:v>
      </x:c>
      <x:c r="N1649" s="66" t="str">
        <x:v>Tidak Ada</x:v>
      </x:c>
      <x:c r="O1649" s="66" t="str">
        <x:v>Jawa Barat</x:v>
      </x:c>
      <x:c r="P1649" s="66" t="str">
        <x:v>Kabupaten Sumedang</x:v>
      </x:c>
      <x:c r="Q1649" s="66" t="str">
        <x:v>https://snpmb.id/snbp/daya-tampung-snbp</x:v>
      </x:c>
      <x:c r="R1649" s="66" t="str">
        <x:v>https://sidatagrun-public-1076756628210.asia-southeast2.run.app/ptn_sn.php?ptn=333</x:v>
      </x:c>
    </x:row>
    <x:row r="1650">
      <x:c r="A1650" s="87" t="n">
        <x:v>1204</x:v>
      </x:c>
      <x:c r="B1650" s="66" t="n">
        <x:v>333</x:v>
      </x:c>
      <x:c r="C1650" s="66" t="str">
        <x:v>UNIVERSITAS PADJADJARAN</x:v>
      </x:c>
      <x:c r="D1650" s="66" t="str">
        <x:v>PTN Akademik</x:v>
      </x:c>
      <x:c r="E1650" s="66" t="str">
        <x:v>13332080</x:v>
      </x:c>
      <x:c r="F1650" s="66" t="str">
        <x:v>PARIWISATA BAHARI</x:v>
      </x:c>
      <x:c r="G1650" s="66" t="str">
        <x:v>Sarjana Terapan</x:v>
      </x:c>
      <x:c r="H1650" s="87" t="n">
        <x:v>39</x:v>
      </x:c>
      <x:c r="I1650" s="87" t="n">
        <x:v>433</x:v>
      </x:c>
      <x:c r="J1650" s="68" t="n">
        <x:f>IFERROR(H1650/I1650,"")</x:f>
        <x:v>0.09006928406466513</x:v>
      </x:c>
      <x:c r="K1650" s="69" t="n">
        <x:f>IFERROR(I1650/H1650,"")</x:f>
        <x:v>11.102564102564102</x:v>
      </x:c>
      <x:c r="L1650" s="66" t="str">
        <x:f>IF(K1650="","","1 : "&amp;TEXT(K1650,"0.0"))</x:f>
        <x:v>1 : 11.1</x:v>
      </x:c>
      <x:c r="M1650" s="66" t="str">
        <x:f>IF(J1650="","Baru/Tanpa Data",IF(J1650&lt;='Catatan &amp; Sumber'!$B$14,"Sangat Ketat",IF(J1650&lt;='Catatan &amp; Sumber'!$B$15,"Ketat",IF(J1650&lt;='Catatan &amp; Sumber'!$B$16,"Sedang","Relatif Longgar"))))</x:f>
        <x:v>Sedang</x:v>
      </x:c>
      <x:c r="N1650" s="66" t="str">
        <x:v>Tidak Ada</x:v>
      </x:c>
      <x:c r="O1650" s="66" t="str">
        <x:v>Jawa Barat</x:v>
      </x:c>
      <x:c r="P1650" s="66" t="str">
        <x:v>Kabupaten Sumedang</x:v>
      </x:c>
      <x:c r="Q1650" s="66" t="str">
        <x:v>https://snpmb.id/snbp/daya-tampung-snbp</x:v>
      </x:c>
      <x:c r="R1650" s="66" t="str">
        <x:v>https://sidatagrun-public-1076756628210.asia-southeast2.run.app/ptn_sn.php?ptn=333</x:v>
      </x:c>
    </x:row>
    <x:row r="1651">
      <x:c r="A1651" s="87" t="n">
        <x:v>180</x:v>
      </x:c>
      <x:c r="B1651" s="66" t="n">
        <x:v>334</x:v>
      </x:c>
      <x:c r="C1651" s="66" t="str">
        <x:v>UNIVERSITAS PENDIDIKAN INDONESIA</x:v>
      </x:c>
      <x:c r="D1651" s="66" t="str">
        <x:v>PTN Akademik</x:v>
      </x:c>
      <x:c r="E1651" s="66" t="str">
        <x:v>13341001</x:v>
      </x:c>
      <x:c r="F1651" s="66" t="str">
        <x:v>PENDIDIKAN MATEMATIKA</x:v>
      </x:c>
      <x:c r="G1651" s="66" t="str">
        <x:v>Sarjana</x:v>
      </x:c>
      <x:c r="H1651" s="87" t="n">
        <x:v>19</x:v>
      </x:c>
      <x:c r="I1651" s="87" t="n">
        <x:v>531</x:v>
      </x:c>
      <x:c r="J1651" s="68" t="n">
        <x:f>IFERROR(H1651/I1651,"")</x:f>
        <x:v>0.035781544256120526</x:v>
      </x:c>
      <x:c r="K1651" s="69" t="n">
        <x:f>IFERROR(I1651/H1651,"")</x:f>
        <x:v>27.94736842105263</x:v>
      </x:c>
      <x:c r="L1651" s="66" t="str">
        <x:f>IF(K1651="","","1 : "&amp;TEXT(K1651,"0.0"))</x:f>
        <x:v>1 : 27.9</x:v>
      </x:c>
      <x:c r="M1651" s="66" t="str">
        <x:f>IF(J1651="","Baru/Tanpa Data",IF(J1651&lt;='Catatan &amp; Sumber'!$B$14,"Sangat Ketat",IF(J1651&lt;='Catatan &amp; Sumber'!$B$15,"Ketat",IF(J1651&lt;='Catatan &amp; Sumber'!$B$16,"Sedang","Relatif Longgar"))))</x:f>
        <x:v>Ketat</x:v>
      </x:c>
      <x:c r="N1651" s="66" t="str">
        <x:v>Tidak Ada</x:v>
      </x:c>
      <x:c r="O1651" s="66" t="str">
        <x:v>Jawa Barat</x:v>
      </x:c>
      <x:c r="P1651" s="66" t="str">
        <x:v>Kota Bandung</x:v>
      </x:c>
      <x:c r="Q1651" s="66" t="str">
        <x:v>https://snpmb.id/snbp/daya-tampung-snbp</x:v>
      </x:c>
      <x:c r="R1651" s="66" t="str">
        <x:v>https://sidatagrun-public-1076756628210.asia-southeast2.run.app/ptn_sn.php?ptn=334</x:v>
      </x:c>
    </x:row>
    <x:row r="1652">
      <x:c r="A1652" s="87" t="n">
        <x:v>2502</x:v>
      </x:c>
      <x:c r="B1652" s="66" t="n">
        <x:v>334</x:v>
      </x:c>
      <x:c r="C1652" s="66" t="str">
        <x:v>UNIVERSITAS PENDIDIKAN INDONESIA</x:v>
      </x:c>
      <x:c r="D1652" s="66" t="str">
        <x:v>PTN Akademik</x:v>
      </x:c>
      <x:c r="E1652" s="66" t="str">
        <x:v>13341002</x:v>
      </x:c>
      <x:c r="F1652" s="66" t="str">
        <x:v>PENDIDIKAN FISIKA</x:v>
      </x:c>
      <x:c r="G1652" s="66" t="str">
        <x:v>Sarjana</x:v>
      </x:c>
      <x:c r="H1652" s="87" t="n">
        <x:v>45</x:v>
      </x:c>
      <x:c r="I1652" s="87" t="n">
        <x:v>213</x:v>
      </x:c>
      <x:c r="J1652" s="68" t="n">
        <x:f>IFERROR(H1652/I1652,"")</x:f>
        <x:v>0.2112676056338028</x:v>
      </x:c>
      <x:c r="K1652" s="69" t="n">
        <x:f>IFERROR(I1652/H1652,"")</x:f>
        <x:v>4.733333333333333</x:v>
      </x:c>
      <x:c r="L1652" s="66" t="str">
        <x:f>IF(K1652="","","1 : "&amp;TEXT(K1652,"0.0"))</x:f>
        <x:v>1 : 4.7</x:v>
      </x:c>
      <x:c r="M1652" s="66" t="str">
        <x:f>IF(J1652="","Baru/Tanpa Data",IF(J1652&lt;='Catatan &amp; Sumber'!$B$14,"Sangat Ketat",IF(J1652&lt;='Catatan &amp; Sumber'!$B$15,"Ketat",IF(J1652&lt;='Catatan &amp; Sumber'!$B$16,"Sedang","Relatif Longgar"))))</x:f>
        <x:v>Relatif Longgar</x:v>
      </x:c>
      <x:c r="N1652" s="66" t="str">
        <x:v>Tidak Ada</x:v>
      </x:c>
      <x:c r="O1652" s="66" t="str">
        <x:v>Jawa Barat</x:v>
      </x:c>
      <x:c r="P1652" s="66" t="str">
        <x:v>Kota Bandung</x:v>
      </x:c>
      <x:c r="Q1652" s="66" t="str">
        <x:v>https://snpmb.id/snbp/daya-tampung-snbp</x:v>
      </x:c>
      <x:c r="R1652" s="66" t="str">
        <x:v>https://sidatagrun-public-1076756628210.asia-southeast2.run.app/ptn_sn.php?ptn=334</x:v>
      </x:c>
    </x:row>
    <x:row r="1653">
      <x:c r="A1653" s="87" t="n">
        <x:v>441</x:v>
      </x:c>
      <x:c r="B1653" s="66" t="n">
        <x:v>334</x:v>
      </x:c>
      <x:c r="C1653" s="66" t="str">
        <x:v>UNIVERSITAS PENDIDIKAN INDONESIA</x:v>
      </x:c>
      <x:c r="D1653" s="66" t="str">
        <x:v>PTN Akademik</x:v>
      </x:c>
      <x:c r="E1653" s="66" t="str">
        <x:v>13341003</x:v>
      </x:c>
      <x:c r="F1653" s="66" t="str">
        <x:v>PENDIDIKAN BIOLOGI</x:v>
      </x:c>
      <x:c r="G1653" s="66" t="str">
        <x:v>Sarjana</x:v>
      </x:c>
      <x:c r="H1653" s="87" t="n">
        <x:v>23</x:v>
      </x:c>
      <x:c r="I1653" s="87" t="n">
        <x:v>472</x:v>
      </x:c>
      <x:c r="J1653" s="68" t="n">
        <x:f>IFERROR(H1653/I1653,"")</x:f>
        <x:v>0.048728813559322036</x:v>
      </x:c>
      <x:c r="K1653" s="69" t="n">
        <x:f>IFERROR(I1653/H1653,"")</x:f>
        <x:v>20.52173913043478</x:v>
      </x:c>
      <x:c r="L1653" s="66" t="str">
        <x:f>IF(K1653="","","1 : "&amp;TEXT(K1653,"0.0"))</x:f>
        <x:v>1 : 20.5</x:v>
      </x:c>
      <x:c r="M1653" s="66" t="str">
        <x:f>IF(J1653="","Baru/Tanpa Data",IF(J1653&lt;='Catatan &amp; Sumber'!$B$14,"Sangat Ketat",IF(J1653&lt;='Catatan &amp; Sumber'!$B$15,"Ketat",IF(J1653&lt;='Catatan &amp; Sumber'!$B$16,"Sedang","Relatif Longgar"))))</x:f>
        <x:v>Ketat</x:v>
      </x:c>
      <x:c r="N1653" s="66" t="str">
        <x:v>Tidak Ada</x:v>
      </x:c>
      <x:c r="O1653" s="66" t="str">
        <x:v>Jawa Barat</x:v>
      </x:c>
      <x:c r="P1653" s="66" t="str">
        <x:v>Kota Bandung</x:v>
      </x:c>
      <x:c r="Q1653" s="66" t="str">
        <x:v>https://snpmb.id/snbp/daya-tampung-snbp</x:v>
      </x:c>
      <x:c r="R1653" s="66" t="str">
        <x:v>https://sidatagrun-public-1076756628210.asia-southeast2.run.app/ptn_sn.php?ptn=334</x:v>
      </x:c>
    </x:row>
    <x:row r="1654">
      <x:c r="A1654" s="87" t="n">
        <x:v>759</x:v>
      </x:c>
      <x:c r="B1654" s="66" t="n">
        <x:v>334</x:v>
      </x:c>
      <x:c r="C1654" s="66" t="str">
        <x:v>UNIVERSITAS PENDIDIKAN INDONESIA</x:v>
      </x:c>
      <x:c r="D1654" s="66" t="str">
        <x:v>PTN Akademik</x:v>
      </x:c>
      <x:c r="E1654" s="66" t="str">
        <x:v>13341004</x:v>
      </x:c>
      <x:c r="F1654" s="66" t="str">
        <x:v>PENDIDIKAN KIMIA</x:v>
      </x:c>
      <x:c r="G1654" s="66" t="str">
        <x:v>Sarjana</x:v>
      </x:c>
      <x:c r="H1654" s="87" t="n">
        <x:v>16</x:v>
      </x:c>
      <x:c r="I1654" s="87" t="n">
        <x:v>246</x:v>
      </x:c>
      <x:c r="J1654" s="68" t="n">
        <x:f>IFERROR(H1654/I1654,"")</x:f>
        <x:v>0.06504065040650407</x:v>
      </x:c>
      <x:c r="K1654" s="69" t="n">
        <x:f>IFERROR(I1654/H1654,"")</x:f>
        <x:v>15.375</x:v>
      </x:c>
      <x:c r="L1654" s="66" t="str">
        <x:f>IF(K1654="","","1 : "&amp;TEXT(K1654,"0.0"))</x:f>
        <x:v>1 : 15.4</x:v>
      </x:c>
      <x:c r="M1654" s="66" t="str">
        <x:f>IF(J1654="","Baru/Tanpa Data",IF(J1654&lt;='Catatan &amp; Sumber'!$B$14,"Sangat Ketat",IF(J1654&lt;='Catatan &amp; Sumber'!$B$15,"Ketat",IF(J1654&lt;='Catatan &amp; Sumber'!$B$16,"Sedang","Relatif Longgar"))))</x:f>
        <x:v>Sedang</x:v>
      </x:c>
      <x:c r="N1654" s="66" t="str">
        <x:v>Tidak Ada</x:v>
      </x:c>
      <x:c r="O1654" s="66" t="str">
        <x:v>Jawa Barat</x:v>
      </x:c>
      <x:c r="P1654" s="66" t="str">
        <x:v>Kota Bandung</x:v>
      </x:c>
      <x:c r="Q1654" s="66" t="str">
        <x:v>https://snpmb.id/snbp/daya-tampung-snbp</x:v>
      </x:c>
      <x:c r="R1654" s="66" t="str">
        <x:v>https://sidatagrun-public-1076756628210.asia-southeast2.run.app/ptn_sn.php?ptn=334</x:v>
      </x:c>
    </x:row>
    <x:row r="1655">
      <x:c r="A1655" s="87" t="n">
        <x:v>958</x:v>
      </x:c>
      <x:c r="B1655" s="66" t="n">
        <x:v>334</x:v>
      </x:c>
      <x:c r="C1655" s="66" t="str">
        <x:v>UNIVERSITAS PENDIDIKAN INDONESIA</x:v>
      </x:c>
      <x:c r="D1655" s="66" t="str">
        <x:v>PTN Akademik</x:v>
      </x:c>
      <x:c r="E1655" s="66" t="str">
        <x:v>13341005</x:v>
      </x:c>
      <x:c r="F1655" s="66" t="str">
        <x:v>PENDIDIKAN ILMU KOMPUTER</x:v>
      </x:c>
      <x:c r="G1655" s="66" t="str">
        <x:v>Sarjana</x:v>
      </x:c>
      <x:c r="H1655" s="87" t="n">
        <x:v>30</x:v>
      </x:c>
      <x:c r="I1655" s="87" t="n">
        <x:v>396</x:v>
      </x:c>
      <x:c r="J1655" s="68" t="n">
        <x:f>IFERROR(H1655/I1655,"")</x:f>
        <x:v>0.07575757575757576</x:v>
      </x:c>
      <x:c r="K1655" s="69" t="n">
        <x:f>IFERROR(I1655/H1655,"")</x:f>
        <x:v>13.2</x:v>
      </x:c>
      <x:c r="L1655" s="66" t="str">
        <x:f>IF(K1655="","","1 : "&amp;TEXT(K1655,"0.0"))</x:f>
        <x:v>1 : 13.2</x:v>
      </x:c>
      <x:c r="M1655" s="66" t="str">
        <x:f>IF(J1655="","Baru/Tanpa Data",IF(J1655&lt;='Catatan &amp; Sumber'!$B$14,"Sangat Ketat",IF(J1655&lt;='Catatan &amp; Sumber'!$B$15,"Ketat",IF(J1655&lt;='Catatan &amp; Sumber'!$B$16,"Sedang","Relatif Longgar"))))</x:f>
        <x:v>Sedang</x:v>
      </x:c>
      <x:c r="N1655" s="66" t="str">
        <x:v>Tidak Ada</x:v>
      </x:c>
      <x:c r="O1655" s="66" t="str">
        <x:v>Jawa Barat</x:v>
      </x:c>
      <x:c r="P1655" s="66" t="str">
        <x:v>Kota Bandung</x:v>
      </x:c>
      <x:c r="Q1655" s="66" t="str">
        <x:v>https://snpmb.id/snbp/daya-tampung-snbp</x:v>
      </x:c>
      <x:c r="R1655" s="66" t="str">
        <x:v>https://sidatagrun-public-1076756628210.asia-southeast2.run.app/ptn_sn.php?ptn=334</x:v>
      </x:c>
    </x:row>
    <x:row r="1656">
      <x:c r="A1656" s="87" t="n">
        <x:v>550</x:v>
      </x:c>
      <x:c r="B1656" s="66" t="n">
        <x:v>334</x:v>
      </x:c>
      <x:c r="C1656" s="66" t="str">
        <x:v>UNIVERSITAS PENDIDIKAN INDONESIA</x:v>
      </x:c>
      <x:c r="D1656" s="66" t="str">
        <x:v>PTN Akademik</x:v>
      </x:c>
      <x:c r="E1656" s="66" t="str">
        <x:v>13341006</x:v>
      </x:c>
      <x:c r="F1656" s="66" t="str">
        <x:v>MATEMATIKA</x:v>
      </x:c>
      <x:c r="G1656" s="66" t="str">
        <x:v>Sarjana</x:v>
      </x:c>
      <x:c r="H1656" s="87" t="n">
        <x:v>17</x:v>
      </x:c>
      <x:c r="I1656" s="87" t="n">
        <x:v>315</x:v>
      </x:c>
      <x:c r="J1656" s="68" t="n">
        <x:f>IFERROR(H1656/I1656,"")</x:f>
        <x:v>0.05396825396825397</x:v>
      </x:c>
      <x:c r="K1656" s="69" t="n">
        <x:f>IFERROR(I1656/H1656,"")</x:f>
        <x:v>18.529411764705884</x:v>
      </x:c>
      <x:c r="L1656" s="66" t="str">
        <x:f>IF(K1656="","","1 : "&amp;TEXT(K1656,"0.0"))</x:f>
        <x:v>1 : 18.5</x:v>
      </x:c>
      <x:c r="M1656" s="66" t="str">
        <x:f>IF(J1656="","Baru/Tanpa Data",IF(J1656&lt;='Catatan &amp; Sumber'!$B$14,"Sangat Ketat",IF(J1656&lt;='Catatan &amp; Sumber'!$B$15,"Ketat",IF(J1656&lt;='Catatan &amp; Sumber'!$B$16,"Sedang","Relatif Longgar"))))</x:f>
        <x:v>Sedang</x:v>
      </x:c>
      <x:c r="N1656" s="66" t="str">
        <x:v>Tidak Ada</x:v>
      </x:c>
      <x:c r="O1656" s="66" t="str">
        <x:v>Jawa Barat</x:v>
      </x:c>
      <x:c r="P1656" s="66" t="str">
        <x:v>Kota Bandung</x:v>
      </x:c>
      <x:c r="Q1656" s="66" t="str">
        <x:v>https://snpmb.id/snbp/daya-tampung-snbp</x:v>
      </x:c>
      <x:c r="R1656" s="66" t="str">
        <x:v>https://sidatagrun-public-1076756628210.asia-southeast2.run.app/ptn_sn.php?ptn=334</x:v>
      </x:c>
    </x:row>
    <x:row r="1657">
      <x:c r="A1657" s="87" t="n">
        <x:v>2178</x:v>
      </x:c>
      <x:c r="B1657" s="66" t="n">
        <x:v>334</x:v>
      </x:c>
      <x:c r="C1657" s="66" t="str">
        <x:v>UNIVERSITAS PENDIDIKAN INDONESIA</x:v>
      </x:c>
      <x:c r="D1657" s="66" t="str">
        <x:v>PTN Akademik</x:v>
      </x:c>
      <x:c r="E1657" s="66" t="str">
        <x:v>13341007</x:v>
      </x:c>
      <x:c r="F1657" s="66" t="str">
        <x:v>FISIKA</x:v>
      </x:c>
      <x:c r="G1657" s="66" t="str">
        <x:v>Sarjana</x:v>
      </x:c>
      <x:c r="H1657" s="87" t="n">
        <x:v>32</x:v>
      </x:c>
      <x:c r="I1657" s="87" t="n">
        <x:v>189</x:v>
      </x:c>
      <x:c r="J1657" s="68" t="n">
        <x:f>IFERROR(H1657/I1657,"")</x:f>
        <x:v>0.1693121693121693</x:v>
      </x:c>
      <x:c r="K1657" s="69" t="n">
        <x:f>IFERROR(I1657/H1657,"")</x:f>
        <x:v>5.90625</x:v>
      </x:c>
      <x:c r="L1657" s="66" t="str">
        <x:f>IF(K1657="","","1 : "&amp;TEXT(K1657,"0.0"))</x:f>
        <x:v>1 : 5.9</x:v>
      </x:c>
      <x:c r="M1657" s="66" t="str">
        <x:f>IF(J1657="","Baru/Tanpa Data",IF(J1657&lt;='Catatan &amp; Sumber'!$B$14,"Sangat Ketat",IF(J1657&lt;='Catatan &amp; Sumber'!$B$15,"Ketat",IF(J1657&lt;='Catatan &amp; Sumber'!$B$16,"Sedang","Relatif Longgar"))))</x:f>
        <x:v>Relatif Longgar</x:v>
      </x:c>
      <x:c r="N1657" s="66" t="str">
        <x:v>Tidak Ada</x:v>
      </x:c>
      <x:c r="O1657" s="66" t="str">
        <x:v>Jawa Barat</x:v>
      </x:c>
      <x:c r="P1657" s="66" t="str">
        <x:v>Kota Bandung</x:v>
      </x:c>
      <x:c r="Q1657" s="66" t="str">
        <x:v>https://snpmb.id/snbp/daya-tampung-snbp</x:v>
      </x:c>
      <x:c r="R1657" s="66" t="str">
        <x:v>https://sidatagrun-public-1076756628210.asia-southeast2.run.app/ptn_sn.php?ptn=334</x:v>
      </x:c>
    </x:row>
    <x:row r="1658">
      <x:c r="A1658" s="87" t="n">
        <x:v>695</x:v>
      </x:c>
      <x:c r="B1658" s="66" t="n">
        <x:v>334</x:v>
      </x:c>
      <x:c r="C1658" s="66" t="str">
        <x:v>UNIVERSITAS PENDIDIKAN INDONESIA</x:v>
      </x:c>
      <x:c r="D1658" s="66" t="str">
        <x:v>PTN Akademik</x:v>
      </x:c>
      <x:c r="E1658" s="66" t="str">
        <x:v>13341008</x:v>
      </x:c>
      <x:c r="F1658" s="66" t="str">
        <x:v>BIOLOGI</x:v>
      </x:c>
      <x:c r="G1658" s="66" t="str">
        <x:v>Sarjana</x:v>
      </x:c>
      <x:c r="H1658" s="87" t="n">
        <x:v>20</x:v>
      </x:c>
      <x:c r="I1658" s="87" t="n">
        <x:v>324</x:v>
      </x:c>
      <x:c r="J1658" s="68" t="n">
        <x:f>IFERROR(H1658/I1658,"")</x:f>
        <x:v>0.06172839506172839</x:v>
      </x:c>
      <x:c r="K1658" s="69" t="n">
        <x:f>IFERROR(I1658/H1658,"")</x:f>
        <x:v>16.2</x:v>
      </x:c>
      <x:c r="L1658" s="66" t="str">
        <x:f>IF(K1658="","","1 : "&amp;TEXT(K1658,"0.0"))</x:f>
        <x:v>1 : 16.2</x:v>
      </x:c>
      <x:c r="M1658" s="66" t="str">
        <x:f>IF(J1658="","Baru/Tanpa Data",IF(J1658&lt;='Catatan &amp; Sumber'!$B$14,"Sangat Ketat",IF(J1658&lt;='Catatan &amp; Sumber'!$B$15,"Ketat",IF(J1658&lt;='Catatan &amp; Sumber'!$B$16,"Sedang","Relatif Longgar"))))</x:f>
        <x:v>Sedang</x:v>
      </x:c>
      <x:c r="N1658" s="66" t="str">
        <x:v>Tidak Ada</x:v>
      </x:c>
      <x:c r="O1658" s="66" t="str">
        <x:v>Jawa Barat</x:v>
      </x:c>
      <x:c r="P1658" s="66" t="str">
        <x:v>Kota Bandung</x:v>
      </x:c>
      <x:c r="Q1658" s="66" t="str">
        <x:v>https://snpmb.id/snbp/daya-tampung-snbp</x:v>
      </x:c>
      <x:c r="R1658" s="66" t="str">
        <x:v>https://sidatagrun-public-1076756628210.asia-southeast2.run.app/ptn_sn.php?ptn=334</x:v>
      </x:c>
    </x:row>
    <x:row r="1659">
      <x:c r="A1659" s="87" t="n">
        <x:v>862</x:v>
      </x:c>
      <x:c r="B1659" s="66" t="n">
        <x:v>334</x:v>
      </x:c>
      <x:c r="C1659" s="66" t="str">
        <x:v>UNIVERSITAS PENDIDIKAN INDONESIA</x:v>
      </x:c>
      <x:c r="D1659" s="66" t="str">
        <x:v>PTN Akademik</x:v>
      </x:c>
      <x:c r="E1659" s="66" t="str">
        <x:v>13341009</x:v>
      </x:c>
      <x:c r="F1659" s="66" t="str">
        <x:v>KIMIA</x:v>
      </x:c>
      <x:c r="G1659" s="66" t="str">
        <x:v>Sarjana</x:v>
      </x:c>
      <x:c r="H1659" s="87" t="n">
        <x:v>20</x:v>
      </x:c>
      <x:c r="I1659" s="87" t="n">
        <x:v>286</x:v>
      </x:c>
      <x:c r="J1659" s="68" t="n">
        <x:f>IFERROR(H1659/I1659,"")</x:f>
        <x:v>0.06993006993006994</x:v>
      </x:c>
      <x:c r="K1659" s="69" t="n">
        <x:f>IFERROR(I1659/H1659,"")</x:f>
        <x:v>14.3</x:v>
      </x:c>
      <x:c r="L1659" s="66" t="str">
        <x:f>IF(K1659="","","1 : "&amp;TEXT(K1659,"0.0"))</x:f>
        <x:v>1 : 14.3</x:v>
      </x:c>
      <x:c r="M1659" s="66" t="str">
        <x:f>IF(J1659="","Baru/Tanpa Data",IF(J1659&lt;='Catatan &amp; Sumber'!$B$14,"Sangat Ketat",IF(J1659&lt;='Catatan &amp; Sumber'!$B$15,"Ketat",IF(J1659&lt;='Catatan &amp; Sumber'!$B$16,"Sedang","Relatif Longgar"))))</x:f>
        <x:v>Sedang</x:v>
      </x:c>
      <x:c r="N1659" s="66" t="str">
        <x:v>Tidak Ada</x:v>
      </x:c>
      <x:c r="O1659" s="66" t="str">
        <x:v>Jawa Barat</x:v>
      </x:c>
      <x:c r="P1659" s="66" t="str">
        <x:v>Kota Bandung</x:v>
      </x:c>
      <x:c r="Q1659" s="66" t="str">
        <x:v>https://snpmb.id/snbp/daya-tampung-snbp</x:v>
      </x:c>
      <x:c r="R1659" s="66" t="str">
        <x:v>https://sidatagrun-public-1076756628210.asia-southeast2.run.app/ptn_sn.php?ptn=334</x:v>
      </x:c>
    </x:row>
    <x:row r="1660">
      <x:c r="A1660" s="87" t="n">
        <x:v>20</x:v>
      </x:c>
      <x:c r="B1660" s="66" t="n">
        <x:v>334</x:v>
      </x:c>
      <x:c r="C1660" s="66" t="str">
        <x:v>UNIVERSITAS PENDIDIKAN INDONESIA</x:v>
      </x:c>
      <x:c r="D1660" s="66" t="str">
        <x:v>PTN Akademik</x:v>
      </x:c>
      <x:c r="E1660" s="66" t="str">
        <x:v>13341010</x:v>
      </x:c>
      <x:c r="F1660" s="66" t="str">
        <x:v>ILMU KOMPUTER</x:v>
      </x:c>
      <x:c r="G1660" s="66" t="str">
        <x:v>Sarjana</x:v>
      </x:c>
      <x:c r="H1660" s="87" t="n">
        <x:v>16</x:v>
      </x:c>
      <x:c r="I1660" s="87" t="n">
        <x:v>930</x:v>
      </x:c>
      <x:c r="J1660" s="68" t="n">
        <x:f>IFERROR(H1660/I1660,"")</x:f>
        <x:v>0.017204301075268817</x:v>
      </x:c>
      <x:c r="K1660" s="69" t="n">
        <x:f>IFERROR(I1660/H1660,"")</x:f>
        <x:v>58.125</x:v>
      </x:c>
      <x:c r="L1660" s="66" t="str">
        <x:f>IF(K1660="","","1 : "&amp;TEXT(K1660,"0.0"))</x:f>
        <x:v>1 : 58.1</x:v>
      </x:c>
      <x:c r="M1660" s="66" t="str">
        <x:f>IF(J1660="","Baru/Tanpa Data",IF(J1660&lt;='Catatan &amp; Sumber'!$B$14,"Sangat Ketat",IF(J1660&lt;='Catatan &amp; Sumber'!$B$15,"Ketat",IF(J1660&lt;='Catatan &amp; Sumber'!$B$16,"Sedang","Relatif Longgar"))))</x:f>
        <x:v>Sangat Ketat</x:v>
      </x:c>
      <x:c r="N1660" s="66" t="str">
        <x:v>Tidak Ada</x:v>
      </x:c>
      <x:c r="O1660" s="66" t="str">
        <x:v>Jawa Barat</x:v>
      </x:c>
      <x:c r="P1660" s="66" t="str">
        <x:v>Kota Bandung</x:v>
      </x:c>
      <x:c r="Q1660" s="66" t="str">
        <x:v>https://snpmb.id/snbp/daya-tampung-snbp</x:v>
      </x:c>
      <x:c r="R1660" s="66" t="str">
        <x:v>https://sidatagrun-public-1076756628210.asia-southeast2.run.app/ptn_sn.php?ptn=334</x:v>
      </x:c>
    </x:row>
    <x:row r="1661">
      <x:c r="A1661" s="87" t="n">
        <x:v>1679</x:v>
      </x:c>
      <x:c r="B1661" s="66" t="n">
        <x:v>334</x:v>
      </x:c>
      <x:c r="C1661" s="66" t="str">
        <x:v>UNIVERSITAS PENDIDIKAN INDONESIA</x:v>
      </x:c>
      <x:c r="D1661" s="66" t="str">
        <x:v>PTN Akademik</x:v>
      </x:c>
      <x:c r="E1661" s="66" t="str">
        <x:v>13341011</x:v>
      </x:c>
      <x:c r="F1661" s="66" t="str">
        <x:v>PENDIDIKAN TEKNIK ARSITEKTUR</x:v>
      </x:c>
      <x:c r="G1661" s="66" t="str">
        <x:v>Sarjana</x:v>
      </x:c>
      <x:c r="H1661" s="87" t="n">
        <x:v>17</x:v>
      </x:c>
      <x:c r="I1661" s="87" t="n">
        <x:v>139</x:v>
      </x:c>
      <x:c r="J1661" s="68" t="n">
        <x:f>IFERROR(H1661/I1661,"")</x:f>
        <x:v>0.1223021582733813</x:v>
      </x:c>
      <x:c r="K1661" s="69" t="n">
        <x:f>IFERROR(I1661/H1661,"")</x:f>
        <x:v>8.176470588235293</x:v>
      </x:c>
      <x:c r="L1661" s="66" t="str">
        <x:f>IF(K1661="","","1 : "&amp;TEXT(K1661,"0.0"))</x:f>
        <x:v>1 : 8.2</x:v>
      </x:c>
      <x:c r="M1661" s="66" t="str">
        <x:f>IF(J1661="","Baru/Tanpa Data",IF(J1661&lt;='Catatan &amp; Sumber'!$B$14,"Sangat Ketat",IF(J1661&lt;='Catatan &amp; Sumber'!$B$15,"Ketat",IF(J1661&lt;='Catatan &amp; Sumber'!$B$16,"Sedang","Relatif Longgar"))))</x:f>
        <x:v>Relatif Longgar</x:v>
      </x:c>
      <x:c r="N1661" s="66" t="str">
        <x:v>Tidak Ada</x:v>
      </x:c>
      <x:c r="O1661" s="66" t="str">
        <x:v>Jawa Barat</x:v>
      </x:c>
      <x:c r="P1661" s="66" t="str">
        <x:v>Kota Bandung</x:v>
      </x:c>
      <x:c r="Q1661" s="66" t="str">
        <x:v>https://snpmb.id/snbp/daya-tampung-snbp</x:v>
      </x:c>
      <x:c r="R1661" s="66" t="str">
        <x:v>https://sidatagrun-public-1076756628210.asia-southeast2.run.app/ptn_sn.php?ptn=334</x:v>
      </x:c>
    </x:row>
    <x:row r="1662">
      <x:c r="A1662" s="87" t="n">
        <x:v>2915</x:v>
      </x:c>
      <x:c r="B1662" s="66" t="n">
        <x:v>334</x:v>
      </x:c>
      <x:c r="C1662" s="66" t="str">
        <x:v>UNIVERSITAS PENDIDIKAN INDONESIA</x:v>
      </x:c>
      <x:c r="D1662" s="66" t="str">
        <x:v>PTN Akademik</x:v>
      </x:c>
      <x:c r="E1662" s="66" t="str">
        <x:v>13341012</x:v>
      </x:c>
      <x:c r="F1662" s="66" t="str">
        <x:v>PENDIDIKAN TEKNIK BANGUNAN</x:v>
      </x:c>
      <x:c r="G1662" s="66" t="str">
        <x:v>Sarjana</x:v>
      </x:c>
      <x:c r="H1662" s="87" t="n">
        <x:v>31</x:v>
      </x:c>
      <x:c r="I1662" s="87" t="n">
        <x:v>112</x:v>
      </x:c>
      <x:c r="J1662" s="68" t="n">
        <x:f>IFERROR(H1662/I1662,"")</x:f>
        <x:v>0.2767857142857143</x:v>
      </x:c>
      <x:c r="K1662" s="69" t="n">
        <x:f>IFERROR(I1662/H1662,"")</x:f>
        <x:v>3.6129032258064515</x:v>
      </x:c>
      <x:c r="L1662" s="66" t="str">
        <x:f>IF(K1662="","","1 : "&amp;TEXT(K1662,"0.0"))</x:f>
        <x:v>1 : 3.6</x:v>
      </x:c>
      <x:c r="M1662" s="66" t="str">
        <x:f>IF(J1662="","Baru/Tanpa Data",IF(J1662&lt;='Catatan &amp; Sumber'!$B$14,"Sangat Ketat",IF(J1662&lt;='Catatan &amp; Sumber'!$B$15,"Ketat",IF(J1662&lt;='Catatan &amp; Sumber'!$B$16,"Sedang","Relatif Longgar"))))</x:f>
        <x:v>Relatif Longgar</x:v>
      </x:c>
      <x:c r="N1662" s="66" t="str">
        <x:v>Tidak Ada</x:v>
      </x:c>
      <x:c r="O1662" s="66" t="str">
        <x:v>Jawa Barat</x:v>
      </x:c>
      <x:c r="P1662" s="66" t="str">
        <x:v>Kota Bandung</x:v>
      </x:c>
      <x:c r="Q1662" s="66" t="str">
        <x:v>https://snpmb.id/snbp/daya-tampung-snbp</x:v>
      </x:c>
      <x:c r="R1662" s="66" t="str">
        <x:v>https://sidatagrun-public-1076756628210.asia-southeast2.run.app/ptn_sn.php?ptn=334</x:v>
      </x:c>
    </x:row>
    <x:row r="1663">
      <x:c r="A1663" s="87" t="n">
        <x:v>2587</x:v>
      </x:c>
      <x:c r="B1663" s="66" t="n">
        <x:v>334</x:v>
      </x:c>
      <x:c r="C1663" s="66" t="str">
        <x:v>UNIVERSITAS PENDIDIKAN INDONESIA</x:v>
      </x:c>
      <x:c r="D1663" s="66" t="str">
        <x:v>PTN Akademik</x:v>
      </x:c>
      <x:c r="E1663" s="66" t="str">
        <x:v>13341013</x:v>
      </x:c>
      <x:c r="F1663" s="66" t="str">
        <x:v>PENDIDIKAN TEKNIK ELEKTRO</x:v>
      </x:c>
      <x:c r="G1663" s="66" t="str">
        <x:v>Sarjana</x:v>
      </x:c>
      <x:c r="H1663" s="87" t="n">
        <x:v>31</x:v>
      </x:c>
      <x:c r="I1663" s="87" t="n">
        <x:v>137</x:v>
      </x:c>
      <x:c r="J1663" s="68" t="n">
        <x:f>IFERROR(H1663/I1663,"")</x:f>
        <x:v>0.22627737226277372</x:v>
      </x:c>
      <x:c r="K1663" s="69" t="n">
        <x:f>IFERROR(I1663/H1663,"")</x:f>
        <x:v>4.419354838709677</x:v>
      </x:c>
      <x:c r="L1663" s="66" t="str">
        <x:f>IF(K1663="","","1 : "&amp;TEXT(K1663,"0.0"))</x:f>
        <x:v>1 : 4.4</x:v>
      </x:c>
      <x:c r="M1663" s="66" t="str">
        <x:f>IF(J1663="","Baru/Tanpa Data",IF(J1663&lt;='Catatan &amp; Sumber'!$B$14,"Sangat Ketat",IF(J1663&lt;='Catatan &amp; Sumber'!$B$15,"Ketat",IF(J1663&lt;='Catatan &amp; Sumber'!$B$16,"Sedang","Relatif Longgar"))))</x:f>
        <x:v>Relatif Longgar</x:v>
      </x:c>
      <x:c r="N1663" s="66" t="str">
        <x:v>Tidak Ada</x:v>
      </x:c>
      <x:c r="O1663" s="66" t="str">
        <x:v>Jawa Barat</x:v>
      </x:c>
      <x:c r="P1663" s="66" t="str">
        <x:v>Kota Bandung</x:v>
      </x:c>
      <x:c r="Q1663" s="66" t="str">
        <x:v>https://snpmb.id/snbp/daya-tampung-snbp</x:v>
      </x:c>
      <x:c r="R1663" s="66" t="str">
        <x:v>https://sidatagrun-public-1076756628210.asia-southeast2.run.app/ptn_sn.php?ptn=334</x:v>
      </x:c>
    </x:row>
    <x:row r="1664">
      <x:c r="A1664" s="87" t="n">
        <x:v>1650</x:v>
      </x:c>
      <x:c r="B1664" s="66" t="n">
        <x:v>334</x:v>
      </x:c>
      <x:c r="C1664" s="66" t="str">
        <x:v>UNIVERSITAS PENDIDIKAN INDONESIA</x:v>
      </x:c>
      <x:c r="D1664" s="66" t="str">
        <x:v>PTN Akademik</x:v>
      </x:c>
      <x:c r="E1664" s="66" t="str">
        <x:v>13341014</x:v>
      </x:c>
      <x:c r="F1664" s="66" t="str">
        <x:v>PENDIDIKAN TEKNIK MESIN</x:v>
      </x:c>
      <x:c r="G1664" s="66" t="str">
        <x:v>Sarjana</x:v>
      </x:c>
      <x:c r="H1664" s="87" t="n">
        <x:v>35</x:v>
      </x:c>
      <x:c r="I1664" s="87" t="n">
        <x:v>291</x:v>
      </x:c>
      <x:c r="J1664" s="68" t="n">
        <x:f>IFERROR(H1664/I1664,"")</x:f>
        <x:v>0.12027491408934708</x:v>
      </x:c>
      <x:c r="K1664" s="69" t="n">
        <x:f>IFERROR(I1664/H1664,"")</x:f>
        <x:v>8.314285714285715</x:v>
      </x:c>
      <x:c r="L1664" s="66" t="str">
        <x:f>IF(K1664="","","1 : "&amp;TEXT(K1664,"0.0"))</x:f>
        <x:v>1 : 8.3</x:v>
      </x:c>
      <x:c r="M1664" s="66" t="str">
        <x:f>IF(J1664="","Baru/Tanpa Data",IF(J1664&lt;='Catatan &amp; Sumber'!$B$14,"Sangat Ketat",IF(J1664&lt;='Catatan &amp; Sumber'!$B$15,"Ketat",IF(J1664&lt;='Catatan &amp; Sumber'!$B$16,"Sedang","Relatif Longgar"))))</x:f>
        <x:v>Relatif Longgar</x:v>
      </x:c>
      <x:c r="N1664" s="66" t="str">
        <x:v>Tidak Ada</x:v>
      </x:c>
      <x:c r="O1664" s="66" t="str">
        <x:v>Jawa Barat</x:v>
      </x:c>
      <x:c r="P1664" s="66" t="str">
        <x:v>Kota Bandung</x:v>
      </x:c>
      <x:c r="Q1664" s="66" t="str">
        <x:v>https://snpmb.id/snbp/daya-tampung-snbp</x:v>
      </x:c>
      <x:c r="R1664" s="66" t="str">
        <x:v>https://sidatagrun-public-1076756628210.asia-southeast2.run.app/ptn_sn.php?ptn=334</x:v>
      </x:c>
    </x:row>
    <x:row r="1665">
      <x:c r="A1665" s="87" t="n">
        <x:v>2112</x:v>
      </x:c>
      <x:c r="B1665" s="66" t="n">
        <x:v>334</x:v>
      </x:c>
      <x:c r="C1665" s="66" t="str">
        <x:v>UNIVERSITAS PENDIDIKAN INDONESIA</x:v>
      </x:c>
      <x:c r="D1665" s="66" t="str">
        <x:v>PTN Akademik</x:v>
      </x:c>
      <x:c r="E1665" s="66" t="str">
        <x:v>13341015</x:v>
      </x:c>
      <x:c r="F1665" s="66" t="str">
        <x:v>ILMU KEOLAHRAGAAN</x:v>
      </x:c>
      <x:c r="G1665" s="66" t="str">
        <x:v>Sarjana</x:v>
      </x:c>
      <x:c r="H1665" s="87" t="n">
        <x:v>67</x:v>
      </x:c>
      <x:c r="I1665" s="87" t="n">
        <x:v>412</x:v>
      </x:c>
      <x:c r="J1665" s="68" t="n">
        <x:f>IFERROR(H1665/I1665,"")</x:f>
        <x:v>0.16262135922330098</x:v>
      </x:c>
      <x:c r="K1665" s="69" t="n">
        <x:f>IFERROR(I1665/H1665,"")</x:f>
        <x:v>6.149253731343284</x:v>
      </x:c>
      <x:c r="L1665" s="66" t="str">
        <x:f>IF(K1665="","","1 : "&amp;TEXT(K1665,"0.0"))</x:f>
        <x:v>1 : 6.1</x:v>
      </x:c>
      <x:c r="M1665" s="66" t="str">
        <x:f>IF(J1665="","Baru/Tanpa Data",IF(J1665&lt;='Catatan &amp; Sumber'!$B$14,"Sangat Ketat",IF(J1665&lt;='Catatan &amp; Sumber'!$B$15,"Ketat",IF(J1665&lt;='Catatan &amp; Sumber'!$B$16,"Sedang","Relatif Longgar"))))</x:f>
        <x:v>Relatif Longgar</x:v>
      </x:c>
      <x:c r="N1665" s="66" t="str">
        <x:v>Olahraga</x:v>
      </x:c>
      <x:c r="O1665" s="66" t="str">
        <x:v>Jawa Barat</x:v>
      </x:c>
      <x:c r="P1665" s="66" t="str">
        <x:v>Kota Bandung</x:v>
      </x:c>
      <x:c r="Q1665" s="66" t="str">
        <x:v>https://snpmb.id/snbp/daya-tampung-snbp</x:v>
      </x:c>
      <x:c r="R1665" s="66" t="str">
        <x:v>https://sidatagrun-public-1076756628210.asia-southeast2.run.app/ptn_sn.php?ptn=334</x:v>
      </x:c>
    </x:row>
    <x:row r="1666">
      <x:c r="A1666" s="87" t="n">
        <x:v>218</x:v>
      </x:c>
      <x:c r="B1666" s="66" t="n">
        <x:v>334</x:v>
      </x:c>
      <x:c r="C1666" s="66" t="str">
        <x:v>UNIVERSITAS PENDIDIKAN INDONESIA</x:v>
      </x:c>
      <x:c r="D1666" s="66" t="str">
        <x:v>PTN Akademik</x:v>
      </x:c>
      <x:c r="E1666" s="66" t="str">
        <x:v>13341016</x:v>
      </x:c>
      <x:c r="F1666" s="66" t="str">
        <x:v>TEKNIK ELEKTRO</x:v>
      </x:c>
      <x:c r="G1666" s="66" t="str">
        <x:v>Sarjana</x:v>
      </x:c>
      <x:c r="H1666" s="87" t="n">
        <x:v>17</x:v>
      </x:c>
      <x:c r="I1666" s="87" t="n">
        <x:v>451</x:v>
      </x:c>
      <x:c r="J1666" s="68" t="n">
        <x:f>IFERROR(H1666/I1666,"")</x:f>
        <x:v>0.037694013303769404</x:v>
      </x:c>
      <x:c r="K1666" s="69" t="n">
        <x:f>IFERROR(I1666/H1666,"")</x:f>
        <x:v>26.529411764705884</x:v>
      </x:c>
      <x:c r="L1666" s="66" t="str">
        <x:f>IF(K1666="","","1 : "&amp;TEXT(K1666,"0.0"))</x:f>
        <x:v>1 : 26.5</x:v>
      </x:c>
      <x:c r="M1666" s="66" t="str">
        <x:f>IF(J1666="","Baru/Tanpa Data",IF(J1666&lt;='Catatan &amp; Sumber'!$B$14,"Sangat Ketat",IF(J1666&lt;='Catatan &amp; Sumber'!$B$15,"Ketat",IF(J1666&lt;='Catatan &amp; Sumber'!$B$16,"Sedang","Relatif Longgar"))))</x:f>
        <x:v>Ketat</x:v>
      </x:c>
      <x:c r="N1666" s="66" t="str">
        <x:v>Tidak Ada</x:v>
      </x:c>
      <x:c r="O1666" s="66" t="str">
        <x:v>Jawa Barat</x:v>
      </x:c>
      <x:c r="P1666" s="66" t="str">
        <x:v>Kota Bandung</x:v>
      </x:c>
      <x:c r="Q1666" s="66" t="str">
        <x:v>https://snpmb.id/snbp/daya-tampung-snbp</x:v>
      </x:c>
      <x:c r="R1666" s="66" t="str">
        <x:v>https://sidatagrun-public-1076756628210.asia-southeast2.run.app/ptn_sn.php?ptn=334</x:v>
      </x:c>
    </x:row>
    <x:row r="1667">
      <x:c r="A1667" s="87" t="n">
        <x:v>1402</x:v>
      </x:c>
      <x:c r="B1667" s="66" t="n">
        <x:v>334</x:v>
      </x:c>
      <x:c r="C1667" s="66" t="str">
        <x:v>UNIVERSITAS PENDIDIKAN INDONESIA</x:v>
      </x:c>
      <x:c r="D1667" s="66" t="str">
        <x:v>PTN Akademik</x:v>
      </x:c>
      <x:c r="E1667" s="66" t="str">
        <x:v>13341017</x:v>
      </x:c>
      <x:c r="F1667" s="66" t="str">
        <x:v>PENDIDIKAN TEKNOLOGI AGRO INDUSTRI</x:v>
      </x:c>
      <x:c r="G1667" s="66" t="str">
        <x:v>Sarjana</x:v>
      </x:c>
      <x:c r="H1667" s="87" t="n">
        <x:v>28</x:v>
      </x:c>
      <x:c r="I1667" s="87" t="n">
        <x:v>274</x:v>
      </x:c>
      <x:c r="J1667" s="68" t="n">
        <x:f>IFERROR(H1667/I1667,"")</x:f>
        <x:v>0.10218978102189781</x:v>
      </x:c>
      <x:c r="K1667" s="69" t="n">
        <x:f>IFERROR(I1667/H1667,"")</x:f>
        <x:v>9.785714285714286</x:v>
      </x:c>
      <x:c r="L1667" s="66" t="str">
        <x:f>IF(K1667="","","1 : "&amp;TEXT(K1667,"0.0"))</x:f>
        <x:v>1 : 9.8</x:v>
      </x:c>
      <x:c r="M1667" s="66" t="str">
        <x:f>IF(J1667="","Baru/Tanpa Data",IF(J1667&lt;='Catatan &amp; Sumber'!$B$14,"Sangat Ketat",IF(J1667&lt;='Catatan &amp; Sumber'!$B$15,"Ketat",IF(J1667&lt;='Catatan &amp; Sumber'!$B$16,"Sedang","Relatif Longgar"))))</x:f>
        <x:v>Relatif Longgar</x:v>
      </x:c>
      <x:c r="N1667" s="66" t="str">
        <x:v>Tidak Ada</x:v>
      </x:c>
      <x:c r="O1667" s="66" t="str">
        <x:v>Jawa Barat</x:v>
      </x:c>
      <x:c r="P1667" s="66" t="str">
        <x:v>Kota Bandung</x:v>
      </x:c>
      <x:c r="Q1667" s="66" t="str">
        <x:v>https://snpmb.id/snbp/daya-tampung-snbp</x:v>
      </x:c>
      <x:c r="R1667" s="66" t="str">
        <x:v>https://sidatagrun-public-1076756628210.asia-southeast2.run.app/ptn_sn.php?ptn=334</x:v>
      </x:c>
    </x:row>
    <x:row r="1668">
      <x:c r="A1668" s="87" t="n">
        <x:v>729</x:v>
      </x:c>
      <x:c r="B1668" s="66" t="n">
        <x:v>334</x:v>
      </x:c>
      <x:c r="C1668" s="66" t="str">
        <x:v>UNIVERSITAS PENDIDIKAN INDONESIA</x:v>
      </x:c>
      <x:c r="D1668" s="66" t="str">
        <x:v>PTN Akademik</x:v>
      </x:c>
      <x:c r="E1668" s="66" t="str">
        <x:v>13341018</x:v>
      </x:c>
      <x:c r="F1668" s="66" t="str">
        <x:v>TEKNIK SIPIL</x:v>
      </x:c>
      <x:c r="G1668" s="66" t="str">
        <x:v>Sarjana</x:v>
      </x:c>
      <x:c r="H1668" s="87" t="n">
        <x:v>46</x:v>
      </x:c>
      <x:c r="I1668" s="87" t="n">
        <x:v>722</x:v>
      </x:c>
      <x:c r="J1668" s="68" t="n">
        <x:f>IFERROR(H1668/I1668,"")</x:f>
        <x:v>0.06371191135734072</x:v>
      </x:c>
      <x:c r="K1668" s="69" t="n">
        <x:f>IFERROR(I1668/H1668,"")</x:f>
        <x:v>15.695652173913043</x:v>
      </x:c>
      <x:c r="L1668" s="66" t="str">
        <x:f>IF(K1668="","","1 : "&amp;TEXT(K1668,"0.0"))</x:f>
        <x:v>1 : 15.7</x:v>
      </x:c>
      <x:c r="M1668" s="66" t="str">
        <x:f>IF(J1668="","Baru/Tanpa Data",IF(J1668&lt;='Catatan &amp; Sumber'!$B$14,"Sangat Ketat",IF(J1668&lt;='Catatan &amp; Sumber'!$B$15,"Ketat",IF(J1668&lt;='Catatan &amp; Sumber'!$B$16,"Sedang","Relatif Longgar"))))</x:f>
        <x:v>Sedang</x:v>
      </x:c>
      <x:c r="N1668" s="66" t="str">
        <x:v>Tidak Ada</x:v>
      </x:c>
      <x:c r="O1668" s="66" t="str">
        <x:v>Jawa Barat</x:v>
      </x:c>
      <x:c r="P1668" s="66" t="str">
        <x:v>Kota Bandung</x:v>
      </x:c>
      <x:c r="Q1668" s="66" t="str">
        <x:v>https://snpmb.id/snbp/daya-tampung-snbp</x:v>
      </x:c>
      <x:c r="R1668" s="66" t="str">
        <x:v>https://sidatagrun-public-1076756628210.asia-southeast2.run.app/ptn_sn.php?ptn=334</x:v>
      </x:c>
    </x:row>
    <x:row r="1669">
      <x:c r="A1669" s="87" t="n">
        <x:v>1088</x:v>
      </x:c>
      <x:c r="B1669" s="66" t="n">
        <x:v>334</x:v>
      </x:c>
      <x:c r="C1669" s="66" t="str">
        <x:v>UNIVERSITAS PENDIDIKAN INDONESIA</x:v>
      </x:c>
      <x:c r="D1669" s="66" t="str">
        <x:v>PTN Akademik</x:v>
      </x:c>
      <x:c r="E1669" s="66" t="str">
        <x:v>13341019</x:v>
      </x:c>
      <x:c r="F1669" s="66" t="str">
        <x:v>PENDIDIKAN ILMU PENGETAHUAN ALAM</x:v>
      </x:c>
      <x:c r="G1669" s="66" t="str">
        <x:v>Sarjana</x:v>
      </x:c>
      <x:c r="H1669" s="87" t="n">
        <x:v>17</x:v>
      </x:c>
      <x:c r="I1669" s="87" t="n">
        <x:v>205</x:v>
      </x:c>
      <x:c r="J1669" s="68" t="n">
        <x:f>IFERROR(H1669/I1669,"")</x:f>
        <x:v>0.08292682926829269</x:v>
      </x:c>
      <x:c r="K1669" s="69" t="n">
        <x:f>IFERROR(I1669/H1669,"")</x:f>
        <x:v>12.058823529411764</x:v>
      </x:c>
      <x:c r="L1669" s="66" t="str">
        <x:f>IF(K1669="","","1 : "&amp;TEXT(K1669,"0.0"))</x:f>
        <x:v>1 : 12.1</x:v>
      </x:c>
      <x:c r="M1669" s="66" t="str">
        <x:f>IF(J1669="","Baru/Tanpa Data",IF(J1669&lt;='Catatan &amp; Sumber'!$B$14,"Sangat Ketat",IF(J1669&lt;='Catatan &amp; Sumber'!$B$15,"Ketat",IF(J1669&lt;='Catatan &amp; Sumber'!$B$16,"Sedang","Relatif Longgar"))))</x:f>
        <x:v>Sedang</x:v>
      </x:c>
      <x:c r="N1669" s="66" t="str">
        <x:v>Tidak Ada</x:v>
      </x:c>
      <x:c r="O1669" s="66" t="str">
        <x:v>Jawa Barat</x:v>
      </x:c>
      <x:c r="P1669" s="66" t="str">
        <x:v>Kota Bandung</x:v>
      </x:c>
      <x:c r="Q1669" s="66" t="str">
        <x:v>https://snpmb.id/snbp/daya-tampung-snbp</x:v>
      </x:c>
      <x:c r="R1669" s="66" t="str">
        <x:v>https://sidatagrun-public-1076756628210.asia-southeast2.run.app/ptn_sn.php?ptn=334</x:v>
      </x:c>
    </x:row>
    <x:row r="1670">
      <x:c r="A1670" s="87" t="n">
        <x:v>352</x:v>
      </x:c>
      <x:c r="B1670" s="66" t="n">
        <x:v>334</x:v>
      </x:c>
      <x:c r="C1670" s="66" t="str">
        <x:v>UNIVERSITAS PENDIDIKAN INDONESIA</x:v>
      </x:c>
      <x:c r="D1670" s="66" t="str">
        <x:v>PTN Akademik</x:v>
      </x:c>
      <x:c r="E1670" s="66" t="str">
        <x:v>13341020</x:v>
      </x:c>
      <x:c r="F1670" s="66" t="str">
        <x:v>ARSITEKTUR</x:v>
      </x:c>
      <x:c r="G1670" s="66" t="str">
        <x:v>Sarjana</x:v>
      </x:c>
      <x:c r="H1670" s="87" t="n">
        <x:v>25</x:v>
      </x:c>
      <x:c r="I1670" s="87" t="n">
        <x:v>559</x:v>
      </x:c>
      <x:c r="J1670" s="68" t="n">
        <x:f>IFERROR(H1670/I1670,"")</x:f>
        <x:v>0.044722719141323794</x:v>
      </x:c>
      <x:c r="K1670" s="69" t="n">
        <x:f>IFERROR(I1670/H1670,"")</x:f>
        <x:v>22.36</x:v>
      </x:c>
      <x:c r="L1670" s="66" t="str">
        <x:f>IF(K1670="","","1 : "&amp;TEXT(K1670,"0.0"))</x:f>
        <x:v>1 : 22.4</x:v>
      </x:c>
      <x:c r="M1670" s="66" t="str">
        <x:f>IF(J1670="","Baru/Tanpa Data",IF(J1670&lt;='Catatan &amp; Sumber'!$B$14,"Sangat Ketat",IF(J1670&lt;='Catatan &amp; Sumber'!$B$15,"Ketat",IF(J1670&lt;='Catatan &amp; Sumber'!$B$16,"Sedang","Relatif Longgar"))))</x:f>
        <x:v>Ketat</x:v>
      </x:c>
      <x:c r="N1670" s="66" t="str">
        <x:v>Tidak Ada</x:v>
      </x:c>
      <x:c r="O1670" s="66" t="str">
        <x:v>Jawa Barat</x:v>
      </x:c>
      <x:c r="P1670" s="66" t="str">
        <x:v>Kota Bandung</x:v>
      </x:c>
      <x:c r="Q1670" s="66" t="str">
        <x:v>https://snpmb.id/snbp/daya-tampung-snbp</x:v>
      </x:c>
      <x:c r="R1670" s="66" t="str">
        <x:v>https://sidatagrun-public-1076756628210.asia-southeast2.run.app/ptn_sn.php?ptn=334</x:v>
      </x:c>
    </x:row>
    <x:row r="1671">
      <x:c r="A1671" s="87" t="n">
        <x:v>4018</x:v>
      </x:c>
      <x:c r="B1671" s="66" t="n">
        <x:v>334</x:v>
      </x:c>
      <x:c r="C1671" s="66" t="str">
        <x:v>UNIVERSITAS PENDIDIKAN INDONESIA</x:v>
      </x:c>
      <x:c r="D1671" s="66" t="str">
        <x:v>PTN Akademik</x:v>
      </x:c>
      <x:c r="E1671" s="66" t="str">
        <x:v>13341021</x:v>
      </x:c>
      <x:c r="F1671" s="66" t="str">
        <x:v>PENDIDIKAN KELAUTAN DAN PERIKANAN KAMPUS SERANG</x:v>
      </x:c>
      <x:c r="G1671" s="66" t="str">
        <x:v>Sarjana</x:v>
      </x:c>
      <x:c r="H1671" s="87" t="n">
        <x:v>60</x:v>
      </x:c>
      <x:c r="I1671" s="87" t="n">
        <x:v>86</x:v>
      </x:c>
      <x:c r="J1671" s="68" t="n">
        <x:f>IFERROR(H1671/I1671,"")</x:f>
        <x:v>0.6976744186046512</x:v>
      </x:c>
      <x:c r="K1671" s="69" t="n">
        <x:f>IFERROR(I1671/H1671,"")</x:f>
        <x:v>1.4333333333333333</x:v>
      </x:c>
      <x:c r="L1671" s="66" t="str">
        <x:f>IF(K1671="","","1 : "&amp;TEXT(K1671,"0.0"))</x:f>
        <x:v>1 : 1.4</x:v>
      </x:c>
      <x:c r="M1671" s="66" t="str">
        <x:f>IF(J1671="","Baru/Tanpa Data",IF(J1671&lt;='Catatan &amp; Sumber'!$B$14,"Sangat Ketat",IF(J1671&lt;='Catatan &amp; Sumber'!$B$15,"Ketat",IF(J1671&lt;='Catatan &amp; Sumber'!$B$16,"Sedang","Relatif Longgar"))))</x:f>
        <x:v>Relatif Longgar</x:v>
      </x:c>
      <x:c r="N1671" s="66" t="str">
        <x:v>Tidak Ada</x:v>
      </x:c>
      <x:c r="O1671" s="66" t="str">
        <x:v>Jawa Barat</x:v>
      </x:c>
      <x:c r="P1671" s="66" t="str">
        <x:v>Kota Bandung</x:v>
      </x:c>
      <x:c r="Q1671" s="66" t="str">
        <x:v>https://snpmb.id/snbp/daya-tampung-snbp</x:v>
      </x:c>
      <x:c r="R1671" s="66" t="str">
        <x:v>https://sidatagrun-public-1076756628210.asia-southeast2.run.app/ptn_sn.php?ptn=334</x:v>
      </x:c>
    </x:row>
    <x:row r="1672">
      <x:c r="A1672" s="87" t="n">
        <x:v>1669</x:v>
      </x:c>
      <x:c r="B1672" s="66" t="n">
        <x:v>334</x:v>
      </x:c>
      <x:c r="C1672" s="66" t="str">
        <x:v>UNIVERSITAS PENDIDIKAN INDONESIA</x:v>
      </x:c>
      <x:c r="D1672" s="66" t="str">
        <x:v>PTN Akademik</x:v>
      </x:c>
      <x:c r="E1672" s="66" t="str">
        <x:v>13341022</x:v>
      </x:c>
      <x:c r="F1672" s="66" t="str">
        <x:v>PENDIDIKAN MULTIMEDIA KAMPUS CIBIRU</x:v>
      </x:c>
      <x:c r="G1672" s="66" t="str">
        <x:v>Sarjana</x:v>
      </x:c>
      <x:c r="H1672" s="87" t="n">
        <x:v>29</x:v>
      </x:c>
      <x:c r="I1672" s="87" t="n">
        <x:v>238</x:v>
      </x:c>
      <x:c r="J1672" s="68" t="n">
        <x:f>IFERROR(H1672/I1672,"")</x:f>
        <x:v>0.12184873949579832</x:v>
      </x:c>
      <x:c r="K1672" s="69" t="n">
        <x:f>IFERROR(I1672/H1672,"")</x:f>
        <x:v>8.206896551724139</x:v>
      </x:c>
      <x:c r="L1672" s="66" t="str">
        <x:f>IF(K1672="","","1 : "&amp;TEXT(K1672,"0.0"))</x:f>
        <x:v>1 : 8.2</x:v>
      </x:c>
      <x:c r="M1672" s="66" t="str">
        <x:f>IF(J1672="","Baru/Tanpa Data",IF(J1672&lt;='Catatan &amp; Sumber'!$B$14,"Sangat Ketat",IF(J1672&lt;='Catatan &amp; Sumber'!$B$15,"Ketat",IF(J1672&lt;='Catatan &amp; Sumber'!$B$16,"Sedang","Relatif Longgar"))))</x:f>
        <x:v>Relatif Longgar</x:v>
      </x:c>
      <x:c r="N1672" s="66" t="str">
        <x:v>Tidak Ada</x:v>
      </x:c>
      <x:c r="O1672" s="66" t="str">
        <x:v>Jawa Barat</x:v>
      </x:c>
      <x:c r="P1672" s="66" t="str">
        <x:v>Kota Bandung</x:v>
      </x:c>
      <x:c r="Q1672" s="66" t="str">
        <x:v>https://snpmb.id/snbp/daya-tampung-snbp</x:v>
      </x:c>
      <x:c r="R1672" s="66" t="str">
        <x:v>https://sidatagrun-public-1076756628210.asia-southeast2.run.app/ptn_sn.php?ptn=334</x:v>
      </x:c>
    </x:row>
    <x:row r="1673">
      <x:c r="A1673" s="87" t="n">
        <x:v>2037</x:v>
      </x:c>
      <x:c r="B1673" s="66" t="n">
        <x:v>334</x:v>
      </x:c>
      <x:c r="C1673" s="66" t="str">
        <x:v>UNIVERSITAS PENDIDIKAN INDONESIA</x:v>
      </x:c>
      <x:c r="D1673" s="66" t="str">
        <x:v>PTN Akademik</x:v>
      </x:c>
      <x:c r="E1673" s="66" t="str">
        <x:v>13341023</x:v>
      </x:c>
      <x:c r="F1673" s="66" t="str">
        <x:v>PENDIDIKAN SISTEM DAN TEKNOLOGI INFORMASI KAMPUS PURWAKARTA</x:v>
      </x:c>
      <x:c r="G1673" s="66" t="str">
        <x:v>Sarjana</x:v>
      </x:c>
      <x:c r="H1673" s="87" t="n">
        <x:v>40</x:v>
      </x:c>
      <x:c r="I1673" s="87" t="n">
        <x:v>258</x:v>
      </x:c>
      <x:c r="J1673" s="68" t="n">
        <x:f>IFERROR(H1673/I1673,"")</x:f>
        <x:v>0.15503875968992248</x:v>
      </x:c>
      <x:c r="K1673" s="69" t="n">
        <x:f>IFERROR(I1673/H1673,"")</x:f>
        <x:v>6.45</x:v>
      </x:c>
      <x:c r="L1673" s="66" t="str">
        <x:f>IF(K1673="","","1 : "&amp;TEXT(K1673,"0.0"))</x:f>
        <x:v>1 : 6.5</x:v>
      </x:c>
      <x:c r="M1673" s="66" t="str">
        <x:f>IF(J1673="","Baru/Tanpa Data",IF(J1673&lt;='Catatan &amp; Sumber'!$B$14,"Sangat Ketat",IF(J1673&lt;='Catatan &amp; Sumber'!$B$15,"Ketat",IF(J1673&lt;='Catatan &amp; Sumber'!$B$16,"Sedang","Relatif Longgar"))))</x:f>
        <x:v>Relatif Longgar</x:v>
      </x:c>
      <x:c r="N1673" s="66" t="str">
        <x:v>Tidak Ada</x:v>
      </x:c>
      <x:c r="O1673" s="66" t="str">
        <x:v>Jawa Barat</x:v>
      </x:c>
      <x:c r="P1673" s="66" t="str">
        <x:v>Kota Bandung</x:v>
      </x:c>
      <x:c r="Q1673" s="66" t="str">
        <x:v>https://snpmb.id/snbp/daya-tampung-snbp</x:v>
      </x:c>
      <x:c r="R1673" s="66" t="str">
        <x:v>https://sidatagrun-public-1076756628210.asia-southeast2.run.app/ptn_sn.php?ptn=334</x:v>
      </x:c>
    </x:row>
    <x:row r="1674">
      <x:c r="A1674" s="87" t="n">
        <x:v>759</x:v>
      </x:c>
      <x:c r="B1674" s="66" t="n">
        <x:v>334</x:v>
      </x:c>
      <x:c r="C1674" s="66" t="str">
        <x:v>UNIVERSITAS PENDIDIKAN INDONESIA</x:v>
      </x:c>
      <x:c r="D1674" s="66" t="str">
        <x:v>PTN Akademik</x:v>
      </x:c>
      <x:c r="E1674" s="66" t="str">
        <x:v>13341024</x:v>
      </x:c>
      <x:c r="F1674" s="66" t="str">
        <x:v>PENDIDIKAN TEKNIK OTOMOTIF</x:v>
      </x:c>
      <x:c r="G1674" s="66" t="str">
        <x:v>Sarjana</x:v>
      </x:c>
      <x:c r="H1674" s="87" t="n">
        <x:v>16</x:v>
      </x:c>
      <x:c r="I1674" s="87" t="n">
        <x:v>246</x:v>
      </x:c>
      <x:c r="J1674" s="68" t="n">
        <x:f>IFERROR(H1674/I1674,"")</x:f>
        <x:v>0.06504065040650407</x:v>
      </x:c>
      <x:c r="K1674" s="69" t="n">
        <x:f>IFERROR(I1674/H1674,"")</x:f>
        <x:v>15.375</x:v>
      </x:c>
      <x:c r="L1674" s="66" t="str">
        <x:f>IF(K1674="","","1 : "&amp;TEXT(K1674,"0.0"))</x:f>
        <x:v>1 : 15.4</x:v>
      </x:c>
      <x:c r="M1674" s="66" t="str">
        <x:f>IF(J1674="","Baru/Tanpa Data",IF(J1674&lt;='Catatan &amp; Sumber'!$B$14,"Sangat Ketat",IF(J1674&lt;='Catatan &amp; Sumber'!$B$15,"Ketat",IF(J1674&lt;='Catatan &amp; Sumber'!$B$16,"Sedang","Relatif Longgar"))))</x:f>
        <x:v>Sedang</x:v>
      </x:c>
      <x:c r="N1674" s="66" t="str">
        <x:v>Tidak Ada</x:v>
      </x:c>
      <x:c r="O1674" s="66" t="str">
        <x:v>Jawa Barat</x:v>
      </x:c>
      <x:c r="P1674" s="66" t="str">
        <x:v>Kota Bandung</x:v>
      </x:c>
      <x:c r="Q1674" s="66" t="str">
        <x:v>https://snpmb.id/snbp/daya-tampung-snbp</x:v>
      </x:c>
      <x:c r="R1674" s="66" t="str">
        <x:v>https://sidatagrun-public-1076756628210.asia-southeast2.run.app/ptn_sn.php?ptn=334</x:v>
      </x:c>
    </x:row>
    <x:row r="1675">
      <x:c r="A1675" s="87" t="n">
        <x:v>3354</x:v>
      </x:c>
      <x:c r="B1675" s="66" t="n">
        <x:v>334</x:v>
      </x:c>
      <x:c r="C1675" s="66" t="str">
        <x:v>UNIVERSITAS PENDIDIKAN INDONESIA</x:v>
      </x:c>
      <x:c r="D1675" s="66" t="str">
        <x:v>PTN Akademik</x:v>
      </x:c>
      <x:c r="E1675" s="66" t="str">
        <x:v>13341025</x:v>
      </x:c>
      <x:c r="F1675" s="66" t="str">
        <x:v>SISTEM INFORMASI KELAUTAN KAMPUS SERANG</x:v>
      </x:c>
      <x:c r="G1675" s="66" t="str">
        <x:v>Sarjana</x:v>
      </x:c>
      <x:c r="H1675" s="87" t="n">
        <x:v>41</x:v>
      </x:c>
      <x:c r="I1675" s="87" t="n">
        <x:v>106</x:v>
      </x:c>
      <x:c r="J1675" s="68" t="n">
        <x:f>IFERROR(H1675/I1675,"")</x:f>
        <x:v>0.3867924528301887</x:v>
      </x:c>
      <x:c r="K1675" s="69" t="n">
        <x:f>IFERROR(I1675/H1675,"")</x:f>
        <x:v>2.5853658536585367</x:v>
      </x:c>
      <x:c r="L1675" s="66" t="str">
        <x:f>IF(K1675="","","1 : "&amp;TEXT(K1675,"0.0"))</x:f>
        <x:v>1 : 2.6</x:v>
      </x:c>
      <x:c r="M1675" s="66" t="str">
        <x:f>IF(J1675="","Baru/Tanpa Data",IF(J1675&lt;='Catatan &amp; Sumber'!$B$14,"Sangat Ketat",IF(J1675&lt;='Catatan &amp; Sumber'!$B$15,"Ketat",IF(J1675&lt;='Catatan &amp; Sumber'!$B$16,"Sedang","Relatif Longgar"))))</x:f>
        <x:v>Relatif Longgar</x:v>
      </x:c>
      <x:c r="N1675" s="66" t="str">
        <x:v>Tidak Ada</x:v>
      </x:c>
      <x:c r="O1675" s="66" t="str">
        <x:v>Jawa Barat</x:v>
      </x:c>
      <x:c r="P1675" s="66" t="str">
        <x:v>Kota Bandung</x:v>
      </x:c>
      <x:c r="Q1675" s="66" t="str">
        <x:v>https://snpmb.id/snbp/daya-tampung-snbp</x:v>
      </x:c>
      <x:c r="R1675" s="66" t="str">
        <x:v>https://sidatagrun-public-1076756628210.asia-southeast2.run.app/ptn_sn.php?ptn=334</x:v>
      </x:c>
    </x:row>
    <x:row r="1676">
      <x:c r="A1676" s="87" t="n">
        <x:v>2420</x:v>
      </x:c>
      <x:c r="B1676" s="66" t="n">
        <x:v>334</x:v>
      </x:c>
      <x:c r="C1676" s="66" t="str">
        <x:v>UNIVERSITAS PENDIDIKAN INDONESIA</x:v>
      </x:c>
      <x:c r="D1676" s="66" t="str">
        <x:v>PTN Akademik</x:v>
      </x:c>
      <x:c r="E1676" s="66" t="str">
        <x:v>13341026</x:v>
      </x:c>
      <x:c r="F1676" s="66" t="str">
        <x:v>KEPELATIHAN FISIK OLAHRAGA</x:v>
      </x:c>
      <x:c r="G1676" s="66" t="str">
        <x:v>Sarjana</x:v>
      </x:c>
      <x:c r="H1676" s="87" t="n">
        <x:v>41</x:v>
      </x:c>
      <x:c r="I1676" s="87" t="n">
        <x:v>206</x:v>
      </x:c>
      <x:c r="J1676" s="68" t="n">
        <x:f>IFERROR(H1676/I1676,"")</x:f>
        <x:v>0.19902912621359223</x:v>
      </x:c>
      <x:c r="K1676" s="69" t="n">
        <x:f>IFERROR(I1676/H1676,"")</x:f>
        <x:v>5.024390243902439</x:v>
      </x:c>
      <x:c r="L1676" s="66" t="str">
        <x:f>IF(K1676="","","1 : "&amp;TEXT(K1676,"0.0"))</x:f>
        <x:v>1 : 5.0</x:v>
      </x:c>
      <x:c r="M1676" s="66" t="str">
        <x:f>IF(J1676="","Baru/Tanpa Data",IF(J1676&lt;='Catatan &amp; Sumber'!$B$14,"Sangat Ketat",IF(J1676&lt;='Catatan &amp; Sumber'!$B$15,"Ketat",IF(J1676&lt;='Catatan &amp; Sumber'!$B$16,"Sedang","Relatif Longgar"))))</x:f>
        <x:v>Relatif Longgar</x:v>
      </x:c>
      <x:c r="N1676" s="66" t="str">
        <x:v>Olahraga</x:v>
      </x:c>
      <x:c r="O1676" s="66" t="str">
        <x:v>Jawa Barat</x:v>
      </x:c>
      <x:c r="P1676" s="66" t="str">
        <x:v>Kota Bandung</x:v>
      </x:c>
      <x:c r="Q1676" s="66" t="str">
        <x:v>https://snpmb.id/snbp/daya-tampung-snbp</x:v>
      </x:c>
      <x:c r="R1676" s="66" t="str">
        <x:v>https://sidatagrun-public-1076756628210.asia-southeast2.run.app/ptn_sn.php?ptn=334</x:v>
      </x:c>
    </x:row>
    <x:row r="1677">
      <x:c r="A1677" s="87" t="n">
        <x:v>1325</x:v>
      </x:c>
      <x:c r="B1677" s="66" t="n">
        <x:v>334</x:v>
      </x:c>
      <x:c r="C1677" s="66" t="str">
        <x:v>UNIVERSITAS PENDIDIKAN INDONESIA</x:v>
      </x:c>
      <x:c r="D1677" s="66" t="str">
        <x:v>PTN Akademik</x:v>
      </x:c>
      <x:c r="E1677" s="66" t="str">
        <x:v>13341027</x:v>
      </x:c>
      <x:c r="F1677" s="66" t="str">
        <x:v>REKAYASA PERANGKAT LUNAK (KAMPUS UPI CIBIRU)</x:v>
      </x:c>
      <x:c r="G1677" s="66" t="str">
        <x:v>Sarjana</x:v>
      </x:c>
      <x:c r="H1677" s="87" t="n">
        <x:v>35</x:v>
      </x:c>
      <x:c r="I1677" s="87" t="n">
        <x:v>361</x:v>
      </x:c>
      <x:c r="J1677" s="68" t="n">
        <x:f>IFERROR(H1677/I1677,"")</x:f>
        <x:v>0.09695290858725762</x:v>
      </x:c>
      <x:c r="K1677" s="69" t="n">
        <x:f>IFERROR(I1677/H1677,"")</x:f>
        <x:v>10.314285714285715</x:v>
      </x:c>
      <x:c r="L1677" s="66" t="str">
        <x:f>IF(K1677="","","1 : "&amp;TEXT(K1677,"0.0"))</x:f>
        <x:v>1 : 10.3</x:v>
      </x:c>
      <x:c r="M1677" s="66" t="str">
        <x:f>IF(J1677="","Baru/Tanpa Data",IF(J1677&lt;='Catatan &amp; Sumber'!$B$14,"Sangat Ketat",IF(J1677&lt;='Catatan &amp; Sumber'!$B$15,"Ketat",IF(J1677&lt;='Catatan &amp; Sumber'!$B$16,"Sedang","Relatif Longgar"))))</x:f>
        <x:v>Sedang</x:v>
      </x:c>
      <x:c r="N1677" s="66" t="str">
        <x:v>Tidak Ada</x:v>
      </x:c>
      <x:c r="O1677" s="66" t="str">
        <x:v>Jawa Barat</x:v>
      </x:c>
      <x:c r="P1677" s="66" t="str">
        <x:v>Kota Bandung</x:v>
      </x:c>
      <x:c r="Q1677" s="66" t="str">
        <x:v>https://snpmb.id/snbp/daya-tampung-snbp</x:v>
      </x:c>
      <x:c r="R1677" s="66" t="str">
        <x:v>https://sidatagrun-public-1076756628210.asia-southeast2.run.app/ptn_sn.php?ptn=334</x:v>
      </x:c>
    </x:row>
    <x:row r="1678">
      <x:c r="A1678" s="87" t="n">
        <x:v>2141</x:v>
      </x:c>
      <x:c r="B1678" s="66" t="n">
        <x:v>334</x:v>
      </x:c>
      <x:c r="C1678" s="66" t="str">
        <x:v>UNIVERSITAS PENDIDIKAN INDONESIA</x:v>
      </x:c>
      <x:c r="D1678" s="66" t="str">
        <x:v>PTN Akademik</x:v>
      </x:c>
      <x:c r="E1678" s="66" t="str">
        <x:v>13341028</x:v>
      </x:c>
      <x:c r="F1678" s="66" t="str">
        <x:v>SISTEM TELEKOMUNIKASI (KAMPUS UPI PURWAKARTA)</x:v>
      </x:c>
      <x:c r="G1678" s="66" t="str">
        <x:v>Sarjana</x:v>
      </x:c>
      <x:c r="H1678" s="87" t="n">
        <x:v>38</x:v>
      </x:c>
      <x:c r="I1678" s="87" t="n">
        <x:v>230</x:v>
      </x:c>
      <x:c r="J1678" s="68" t="n">
        <x:f>IFERROR(H1678/I1678,"")</x:f>
        <x:v>0.16521739130434782</x:v>
      </x:c>
      <x:c r="K1678" s="69" t="n">
        <x:f>IFERROR(I1678/H1678,"")</x:f>
        <x:v>6.052631578947368</x:v>
      </x:c>
      <x:c r="L1678" s="66" t="str">
        <x:f>IF(K1678="","","1 : "&amp;TEXT(K1678,"0.0"))</x:f>
        <x:v>1 : 6.1</x:v>
      </x:c>
      <x:c r="M1678" s="66" t="str">
        <x:f>IF(J1678="","Baru/Tanpa Data",IF(J1678&lt;='Catatan &amp; Sumber'!$B$14,"Sangat Ketat",IF(J1678&lt;='Catatan &amp; Sumber'!$B$15,"Ketat",IF(J1678&lt;='Catatan &amp; Sumber'!$B$16,"Sedang","Relatif Longgar"))))</x:f>
        <x:v>Relatif Longgar</x:v>
      </x:c>
      <x:c r="N1678" s="66" t="str">
        <x:v>Tidak Ada</x:v>
      </x:c>
      <x:c r="O1678" s="66" t="str">
        <x:v>Jawa Barat</x:v>
      </x:c>
      <x:c r="P1678" s="66" t="str">
        <x:v>Kota Bandung</x:v>
      </x:c>
      <x:c r="Q1678" s="66" t="str">
        <x:v>https://snpmb.id/snbp/daya-tampung-snbp</x:v>
      </x:c>
      <x:c r="R1678" s="66" t="str">
        <x:v>https://sidatagrun-public-1076756628210.asia-southeast2.run.app/ptn_sn.php?ptn=334</x:v>
      </x:c>
    </x:row>
    <x:row r="1679">
      <x:c r="A1679" s="87" t="n">
        <x:v>253</x:v>
      </x:c>
      <x:c r="B1679" s="66" t="n">
        <x:v>334</x:v>
      </x:c>
      <x:c r="C1679" s="66" t="str">
        <x:v>UNIVERSITAS PENDIDIKAN INDONESIA</x:v>
      </x:c>
      <x:c r="D1679" s="66" t="str">
        <x:v>PTN Akademik</x:v>
      </x:c>
      <x:c r="E1679" s="66" t="str">
        <x:v>13341029</x:v>
      </x:c>
      <x:c r="F1679" s="66" t="str">
        <x:v>KEPERAWATAN - KAMPUS SUMEDANG</x:v>
      </x:c>
      <x:c r="G1679" s="66" t="str">
        <x:v>Sarjana</x:v>
      </x:c>
      <x:c r="H1679" s="87" t="n">
        <x:v>48</x:v>
      </x:c>
      <x:c r="I1679" s="87" t="n">
        <x:v>1204</x:v>
      </x:c>
      <x:c r="J1679" s="68" t="n">
        <x:f>IFERROR(H1679/I1679,"")</x:f>
        <x:v>0.03986710963455149</x:v>
      </x:c>
      <x:c r="K1679" s="69" t="n">
        <x:f>IFERROR(I1679/H1679,"")</x:f>
        <x:v>25.083333333333332</x:v>
      </x:c>
      <x:c r="L1679" s="66" t="str">
        <x:f>IF(K1679="","","1 : "&amp;TEXT(K1679,"0.0"))</x:f>
        <x:v>1 : 25.1</x:v>
      </x:c>
      <x:c r="M1679" s="66" t="str">
        <x:f>IF(J1679="","Baru/Tanpa Data",IF(J1679&lt;='Catatan &amp; Sumber'!$B$14,"Sangat Ketat",IF(J1679&lt;='Catatan &amp; Sumber'!$B$15,"Ketat",IF(J1679&lt;='Catatan &amp; Sumber'!$B$16,"Sedang","Relatif Longgar"))))</x:f>
        <x:v>Ketat</x:v>
      </x:c>
      <x:c r="N1679" s="66" t="str">
        <x:v>Tidak Ada</x:v>
      </x:c>
      <x:c r="O1679" s="66" t="str">
        <x:v>Jawa Barat</x:v>
      </x:c>
      <x:c r="P1679" s="66" t="str">
        <x:v>Kota Bandung</x:v>
      </x:c>
      <x:c r="Q1679" s="66" t="str">
        <x:v>https://snpmb.id/snbp/daya-tampung-snbp</x:v>
      </x:c>
      <x:c r="R1679" s="66" t="str">
        <x:v>https://sidatagrun-public-1076756628210.asia-southeast2.run.app/ptn_sn.php?ptn=334</x:v>
      </x:c>
    </x:row>
    <x:row r="1680">
      <x:c r="A1680" s="87" t="n">
        <x:v>1060</x:v>
      </x:c>
      <x:c r="B1680" s="66" t="n">
        <x:v>334</x:v>
      </x:c>
      <x:c r="C1680" s="66" t="str">
        <x:v>UNIVERSITAS PENDIDIKAN INDONESIA</x:v>
      </x:c>
      <x:c r="D1680" s="66" t="str">
        <x:v>PTN Akademik</x:v>
      </x:c>
      <x:c r="E1680" s="66" t="str">
        <x:v>13341030</x:v>
      </x:c>
      <x:c r="F1680" s="66" t="str">
        <x:v>TEKNIK LOGISTIK</x:v>
      </x:c>
      <x:c r="G1680" s="66" t="str">
        <x:v>Sarjana</x:v>
      </x:c>
      <x:c r="H1680" s="87" t="n">
        <x:v>16</x:v>
      </x:c>
      <x:c r="I1680" s="87" t="n">
        <x:v>196</x:v>
      </x:c>
      <x:c r="J1680" s="68" t="n">
        <x:f>IFERROR(H1680/I1680,"")</x:f>
        <x:v>0.08163265306122448</x:v>
      </x:c>
      <x:c r="K1680" s="69" t="n">
        <x:f>IFERROR(I1680/H1680,"")</x:f>
        <x:v>12.25</x:v>
      </x:c>
      <x:c r="L1680" s="66" t="str">
        <x:f>IF(K1680="","","1 : "&amp;TEXT(K1680,"0.0"))</x:f>
        <x:v>1 : 12.3</x:v>
      </x:c>
      <x:c r="M1680" s="66" t="str">
        <x:f>IF(J1680="","Baru/Tanpa Data",IF(J1680&lt;='Catatan &amp; Sumber'!$B$14,"Sangat Ketat",IF(J1680&lt;='Catatan &amp; Sumber'!$B$15,"Ketat",IF(J1680&lt;='Catatan &amp; Sumber'!$B$16,"Sedang","Relatif Longgar"))))</x:f>
        <x:v>Sedang</x:v>
      </x:c>
      <x:c r="N1680" s="66" t="str">
        <x:v>Tidak Ada</x:v>
      </x:c>
      <x:c r="O1680" s="66" t="str">
        <x:v>Jawa Barat</x:v>
      </x:c>
      <x:c r="P1680" s="66" t="str">
        <x:v>Kota Bandung</x:v>
      </x:c>
      <x:c r="Q1680" s="66" t="str">
        <x:v>https://snpmb.id/snbp/daya-tampung-snbp</x:v>
      </x:c>
      <x:c r="R1680" s="66" t="str">
        <x:v>https://sidatagrun-public-1076756628210.asia-southeast2.run.app/ptn_sn.php?ptn=334</x:v>
      </x:c>
    </x:row>
    <x:row r="1681">
      <x:c r="A1681" s="87" t="n">
        <x:v>2247</x:v>
      </x:c>
      <x:c r="B1681" s="66" t="n">
        <x:v>334</x:v>
      </x:c>
      <x:c r="C1681" s="66" t="str">
        <x:v>UNIVERSITAS PENDIDIKAN INDONESIA</x:v>
      </x:c>
      <x:c r="D1681" s="66" t="str">
        <x:v>PTN Akademik</x:v>
      </x:c>
      <x:c r="E1681" s="66" t="str">
        <x:v>13341031</x:v>
      </x:c>
      <x:c r="F1681" s="66" t="str">
        <x:v>PENDIDIKAN TEKNIK OTOMASI INDUSTRI DAN ROBOTIKA</x:v>
      </x:c>
      <x:c r="G1681" s="66" t="str">
        <x:v>Sarjana</x:v>
      </x:c>
      <x:c r="H1681" s="87" t="n">
        <x:v>30</x:v>
      </x:c>
      <x:c r="I1681" s="87" t="n">
        <x:v>169</x:v>
      </x:c>
      <x:c r="J1681" s="68" t="n">
        <x:f>IFERROR(H1681/I1681,"")</x:f>
        <x:v>0.17751479289940827</x:v>
      </x:c>
      <x:c r="K1681" s="69" t="n">
        <x:f>IFERROR(I1681/H1681,"")</x:f>
        <x:v>5.633333333333334</x:v>
      </x:c>
      <x:c r="L1681" s="66" t="str">
        <x:f>IF(K1681="","","1 : "&amp;TEXT(K1681,"0.0"))</x:f>
        <x:v>1 : 5.6</x:v>
      </x:c>
      <x:c r="M1681" s="66" t="str">
        <x:f>IF(J1681="","Baru/Tanpa Data",IF(J1681&lt;='Catatan &amp; Sumber'!$B$14,"Sangat Ketat",IF(J1681&lt;='Catatan &amp; Sumber'!$B$15,"Ketat",IF(J1681&lt;='Catatan &amp; Sumber'!$B$16,"Sedang","Relatif Longgar"))))</x:f>
        <x:v>Relatif Longgar</x:v>
      </x:c>
      <x:c r="N1681" s="66" t="str">
        <x:v>Tidak Ada</x:v>
      </x:c>
      <x:c r="O1681" s="66" t="str">
        <x:v>Jawa Barat</x:v>
      </x:c>
      <x:c r="P1681" s="66" t="str">
        <x:v>Kota Bandung</x:v>
      </x:c>
      <x:c r="Q1681" s="66" t="str">
        <x:v>https://snpmb.id/snbp/daya-tampung-snbp</x:v>
      </x:c>
      <x:c r="R1681" s="66" t="str">
        <x:v>https://sidatagrun-public-1076756628210.asia-southeast2.run.app/ptn_sn.php?ptn=334</x:v>
      </x:c>
    </x:row>
    <x:row r="1682">
      <x:c r="A1682" s="87" t="n">
        <x:v>949</x:v>
      </x:c>
      <x:c r="B1682" s="66" t="n">
        <x:v>334</x:v>
      </x:c>
      <x:c r="C1682" s="66" t="str">
        <x:v>UNIVERSITAS PENDIDIKAN INDONESIA</x:v>
      </x:c>
      <x:c r="D1682" s="66" t="str">
        <x:v>PTN Akademik</x:v>
      </x:c>
      <x:c r="E1682" s="66" t="str">
        <x:v>13341032</x:v>
      </x:c>
      <x:c r="F1682" s="66" t="str">
        <x:v>TEKNIK KOMPUTER - KAMPUS CIBIRU</x:v>
      </x:c>
      <x:c r="G1682" s="66" t="str">
        <x:v>Sarjana</x:v>
      </x:c>
      <x:c r="H1682" s="87" t="n">
        <x:v>23</x:v>
      </x:c>
      <x:c r="I1682" s="87" t="n">
        <x:v>306</x:v>
      </x:c>
      <x:c r="J1682" s="68" t="n">
        <x:f>IFERROR(H1682/I1682,"")</x:f>
        <x:v>0.07516339869281045</x:v>
      </x:c>
      <x:c r="K1682" s="69" t="n">
        <x:f>IFERROR(I1682/H1682,"")</x:f>
        <x:v>13.304347826086957</x:v>
      </x:c>
      <x:c r="L1682" s="66" t="str">
        <x:f>IF(K1682="","","1 : "&amp;TEXT(K1682,"0.0"))</x:f>
        <x:v>1 : 13.3</x:v>
      </x:c>
      <x:c r="M1682" s="66" t="str">
        <x:f>IF(J1682="","Baru/Tanpa Data",IF(J1682&lt;='Catatan &amp; Sumber'!$B$14,"Sangat Ketat",IF(J1682&lt;='Catatan &amp; Sumber'!$B$15,"Ketat",IF(J1682&lt;='Catatan &amp; Sumber'!$B$16,"Sedang","Relatif Longgar"))))</x:f>
        <x:v>Sedang</x:v>
      </x:c>
      <x:c r="N1682" s="66" t="str">
        <x:v>Tidak Ada</x:v>
      </x:c>
      <x:c r="O1682" s="66" t="str">
        <x:v>Jawa Barat</x:v>
      </x:c>
      <x:c r="P1682" s="66" t="str">
        <x:v>Kota Bandung</x:v>
      </x:c>
      <x:c r="Q1682" s="66" t="str">
        <x:v>https://snpmb.id/snbp/daya-tampung-snbp</x:v>
      </x:c>
      <x:c r="R1682" s="66" t="str">
        <x:v>https://sidatagrun-public-1076756628210.asia-southeast2.run.app/ptn_sn.php?ptn=334</x:v>
      </x:c>
    </x:row>
    <x:row r="1683">
      <x:c r="A1683" s="87" t="n">
        <x:v>2693</x:v>
      </x:c>
      <x:c r="B1683" s="66" t="n">
        <x:v>334</x:v>
      </x:c>
      <x:c r="C1683" s="66" t="str">
        <x:v>UNIVERSITAS PENDIDIKAN INDONESIA</x:v>
      </x:c>
      <x:c r="D1683" s="66" t="str">
        <x:v>PTN Akademik</x:v>
      </x:c>
      <x:c r="E1683" s="66" t="str">
        <x:v>13341033</x:v>
      </x:c>
      <x:c r="F1683" s="66" t="str">
        <x:v>LOGISTIK KELAUTAN - KAMPUS SERANG</x:v>
      </x:c>
      <x:c r="G1683" s="66" t="str">
        <x:v>Sarjana</x:v>
      </x:c>
      <x:c r="H1683" s="87" t="n">
        <x:v>40</x:v>
      </x:c>
      <x:c r="I1683" s="87" t="n">
        <x:v>165</x:v>
      </x:c>
      <x:c r="J1683" s="68" t="n">
        <x:f>IFERROR(H1683/I1683,"")</x:f>
        <x:v>0.24242424242424243</x:v>
      </x:c>
      <x:c r="K1683" s="69" t="n">
        <x:f>IFERROR(I1683/H1683,"")</x:f>
        <x:v>4.125</x:v>
      </x:c>
      <x:c r="L1683" s="66" t="str">
        <x:f>IF(K1683="","","1 : "&amp;TEXT(K1683,"0.0"))</x:f>
        <x:v>1 : 4.1</x:v>
      </x:c>
      <x:c r="M1683" s="66" t="str">
        <x:f>IF(J1683="","Baru/Tanpa Data",IF(J1683&lt;='Catatan &amp; Sumber'!$B$14,"Sangat Ketat",IF(J1683&lt;='Catatan &amp; Sumber'!$B$15,"Ketat",IF(J1683&lt;='Catatan &amp; Sumber'!$B$16,"Sedang","Relatif Longgar"))))</x:f>
        <x:v>Relatif Longgar</x:v>
      </x:c>
      <x:c r="N1683" s="66" t="str">
        <x:v>Tidak Ada</x:v>
      </x:c>
      <x:c r="O1683" s="66" t="str">
        <x:v>Jawa Barat</x:v>
      </x:c>
      <x:c r="P1683" s="66" t="str">
        <x:v>Kota Bandung</x:v>
      </x:c>
      <x:c r="Q1683" s="66" t="str">
        <x:v>https://snpmb.id/snbp/daya-tampung-snbp</x:v>
      </x:c>
      <x:c r="R1683" s="66" t="str">
        <x:v>https://sidatagrun-public-1076756628210.asia-southeast2.run.app/ptn_sn.php?ptn=334</x:v>
      </x:c>
    </x:row>
    <x:row r="1684">
      <x:c r="A1684" s="87" t="n">
        <x:v>265</x:v>
      </x:c>
      <x:c r="B1684" s="66" t="n">
        <x:v>334</x:v>
      </x:c>
      <x:c r="C1684" s="66" t="str">
        <x:v>UNIVERSITAS PENDIDIKAN INDONESIA</x:v>
      </x:c>
      <x:c r="D1684" s="66" t="str">
        <x:v>PTN Akademik</x:v>
      </x:c>
      <x:c r="E1684" s="66" t="str">
        <x:v>13341034</x:v>
      </x:c>
      <x:c r="F1684" s="66" t="str">
        <x:v>GIZI</x:v>
      </x:c>
      <x:c r="G1684" s="66" t="str">
        <x:v>Sarjana</x:v>
      </x:c>
      <x:c r="H1684" s="87" t="n">
        <x:v>46</x:v>
      </x:c>
      <x:c r="I1684" s="87" t="n">
        <x:v>1137</x:v>
      </x:c>
      <x:c r="J1684" s="68" t="n">
        <x:f>IFERROR(H1684/I1684,"")</x:f>
        <x:v>0.040457343887423045</x:v>
      </x:c>
      <x:c r="K1684" s="69" t="n">
        <x:f>IFERROR(I1684/H1684,"")</x:f>
        <x:v>24.717391304347824</x:v>
      </x:c>
      <x:c r="L1684" s="66" t="str">
        <x:f>IF(K1684="","","1 : "&amp;TEXT(K1684,"0.0"))</x:f>
        <x:v>1 : 24.7</x:v>
      </x:c>
      <x:c r="M1684" s="66" t="str">
        <x:f>IF(J1684="","Baru/Tanpa Data",IF(J1684&lt;='Catatan &amp; Sumber'!$B$14,"Sangat Ketat",IF(J1684&lt;='Catatan &amp; Sumber'!$B$15,"Ketat",IF(J1684&lt;='Catatan &amp; Sumber'!$B$16,"Sedang","Relatif Longgar"))))</x:f>
        <x:v>Ketat</x:v>
      </x:c>
      <x:c r="N1684" s="66" t="str">
        <x:v>Tidak Ada</x:v>
      </x:c>
      <x:c r="O1684" s="66" t="str">
        <x:v>Jawa Barat</x:v>
      </x:c>
      <x:c r="P1684" s="66" t="str">
        <x:v>Kota Bandung</x:v>
      </x:c>
      <x:c r="Q1684" s="66" t="str">
        <x:v>https://snpmb.id/snbp/daya-tampung-snbp</x:v>
      </x:c>
      <x:c r="R1684" s="66" t="str">
        <x:v>https://sidatagrun-public-1076756628210.asia-southeast2.run.app/ptn_sn.php?ptn=334</x:v>
      </x:c>
    </x:row>
    <x:row r="1685">
      <x:c r="A1685" s="87" t="n">
        <x:v>1930</x:v>
      </x:c>
      <x:c r="B1685" s="66" t="n">
        <x:v>334</x:v>
      </x:c>
      <x:c r="C1685" s="66" t="str">
        <x:v>UNIVERSITAS PENDIDIKAN INDONESIA</x:v>
      </x:c>
      <x:c r="D1685" s="66" t="str">
        <x:v>PTN Akademik</x:v>
      </x:c>
      <x:c r="E1685" s="66" t="str">
        <x:v>13341035</x:v>
      </x:c>
      <x:c r="F1685" s="66" t="str">
        <x:v>MEKATRONIKA DAN KECERDASAN BUATAN - KAMPUS UPI DI PURWAKARTA</x:v>
      </x:c>
      <x:c r="G1685" s="66" t="str">
        <x:v>Sarjana</x:v>
      </x:c>
      <x:c r="H1685" s="87" t="n">
        <x:v>42</x:v>
      </x:c>
      <x:c r="I1685" s="87" t="n">
        <x:v>291</x:v>
      </x:c>
      <x:c r="J1685" s="68" t="n">
        <x:f>IFERROR(H1685/I1685,"")</x:f>
        <x:v>0.14432989690721648</x:v>
      </x:c>
      <x:c r="K1685" s="69" t="n">
        <x:f>IFERROR(I1685/H1685,"")</x:f>
        <x:v>6.928571428571429</x:v>
      </x:c>
      <x:c r="L1685" s="66" t="str">
        <x:f>IF(K1685="","","1 : "&amp;TEXT(K1685,"0.0"))</x:f>
        <x:v>1 : 6.9</x:v>
      </x:c>
      <x:c r="M1685" s="66" t="str">
        <x:f>IF(J1685="","Baru/Tanpa Data",IF(J1685&lt;='Catatan &amp; Sumber'!$B$14,"Sangat Ketat",IF(J1685&lt;='Catatan &amp; Sumber'!$B$15,"Ketat",IF(J1685&lt;='Catatan &amp; Sumber'!$B$16,"Sedang","Relatif Longgar"))))</x:f>
        <x:v>Relatif Longgar</x:v>
      </x:c>
      <x:c r="N1685" s="66" t="str">
        <x:v>Tidak Ada</x:v>
      </x:c>
      <x:c r="O1685" s="66" t="str">
        <x:v>Jawa Barat</x:v>
      </x:c>
      <x:c r="P1685" s="66" t="str">
        <x:v>Kota Bandung</x:v>
      </x:c>
      <x:c r="Q1685" s="66" t="str">
        <x:v>https://snpmb.id/snbp/daya-tampung-snbp</x:v>
      </x:c>
      <x:c r="R1685" s="66" t="str">
        <x:v>https://sidatagrun-public-1076756628210.asia-southeast2.run.app/ptn_sn.php?ptn=334</x:v>
      </x:c>
    </x:row>
    <x:row r="1686">
      <x:c r="A1686" s="87" t="n">
        <x:v>15</x:v>
      </x:c>
      <x:c r="B1686" s="66" t="n">
        <x:v>334</x:v>
      </x:c>
      <x:c r="C1686" s="66" t="str">
        <x:v>UNIVERSITAS PENDIDIKAN INDONESIA</x:v>
      </x:c>
      <x:c r="D1686" s="66" t="str">
        <x:v>PTN Akademik</x:v>
      </x:c>
      <x:c r="E1686" s="66" t="str">
        <x:v>13341037</x:v>
      </x:c>
      <x:c r="F1686" s="66" t="str">
        <x:v>KEPERAWATAN</x:v>
      </x:c>
      <x:c r="G1686" s="66" t="str">
        <x:v>Sarjana</x:v>
      </x:c>
      <x:c r="H1686" s="87" t="n">
        <x:v>29</x:v>
      </x:c>
      <x:c r="I1686" s="87" t="n">
        <x:v>1841</x:v>
      </x:c>
      <x:c r="J1686" s="68" t="n">
        <x:f>IFERROR(H1686/I1686,"")</x:f>
        <x:v>0.015752308527973928</x:v>
      </x:c>
      <x:c r="K1686" s="69" t="n">
        <x:f>IFERROR(I1686/H1686,"")</x:f>
        <x:v>63.48275862068966</x:v>
      </x:c>
      <x:c r="L1686" s="66" t="str">
        <x:f>IF(K1686="","","1 : "&amp;TEXT(K1686,"0.0"))</x:f>
        <x:v>1 : 63.5</x:v>
      </x:c>
      <x:c r="M1686" s="66" t="str">
        <x:f>IF(J1686="","Baru/Tanpa Data",IF(J1686&lt;='Catatan &amp; Sumber'!$B$14,"Sangat Ketat",IF(J1686&lt;='Catatan &amp; Sumber'!$B$15,"Ketat",IF(J1686&lt;='Catatan &amp; Sumber'!$B$16,"Sedang","Relatif Longgar"))))</x:f>
        <x:v>Sangat Ketat</x:v>
      </x:c>
      <x:c r="N1686" s="66" t="str">
        <x:v>Tidak Ada</x:v>
      </x:c>
      <x:c r="O1686" s="66" t="str">
        <x:v>Jawa Barat</x:v>
      </x:c>
      <x:c r="P1686" s="66" t="str">
        <x:v>Kota Bandung</x:v>
      </x:c>
      <x:c r="Q1686" s="66" t="str">
        <x:v>https://snpmb.id/snbp/daya-tampung-snbp</x:v>
      </x:c>
      <x:c r="R1686" s="66" t="str">
        <x:v>https://sidatagrun-public-1076756628210.asia-southeast2.run.app/ptn_sn.php?ptn=334</x:v>
      </x:c>
    </x:row>
    <x:row r="1687">
      <x:c r="A1687" s="87" t="n">
        <x:v>831</x:v>
      </x:c>
      <x:c r="B1687" s="66" t="n">
        <x:v>334</x:v>
      </x:c>
      <x:c r="C1687" s="66" t="str">
        <x:v>UNIVERSITAS PENDIDIKAN INDONESIA</x:v>
      </x:c>
      <x:c r="D1687" s="66" t="str">
        <x:v>PTN Akademik</x:v>
      </x:c>
      <x:c r="E1687" s="66" t="str">
        <x:v>13341038</x:v>
      </x:c>
      <x:c r="F1687" s="66" t="str">
        <x:v>ADMINISTRASI PENDIDIKAN</x:v>
      </x:c>
      <x:c r="G1687" s="66" t="str">
        <x:v>Sarjana</x:v>
      </x:c>
      <x:c r="H1687" s="87" t="n">
        <x:v>31</x:v>
      </x:c>
      <x:c r="I1687" s="87" t="n">
        <x:v>454</x:v>
      </x:c>
      <x:c r="J1687" s="68" t="n">
        <x:f>IFERROR(H1687/I1687,"")</x:f>
        <x:v>0.06828193832599119</x:v>
      </x:c>
      <x:c r="K1687" s="69" t="n">
        <x:f>IFERROR(I1687/H1687,"")</x:f>
        <x:v>14.64516129032258</x:v>
      </x:c>
      <x:c r="L1687" s="66" t="str">
        <x:f>IF(K1687="","","1 : "&amp;TEXT(K1687,"0.0"))</x:f>
        <x:v>1 : 14.6</x:v>
      </x:c>
      <x:c r="M1687" s="66" t="str">
        <x:f>IF(J1687="","Baru/Tanpa Data",IF(J1687&lt;='Catatan &amp; Sumber'!$B$14,"Sangat Ketat",IF(J1687&lt;='Catatan &amp; Sumber'!$B$15,"Ketat",IF(J1687&lt;='Catatan &amp; Sumber'!$B$16,"Sedang","Relatif Longgar"))))</x:f>
        <x:v>Sedang</x:v>
      </x:c>
      <x:c r="N1687" s="66" t="str">
        <x:v>Tidak Ada</x:v>
      </x:c>
      <x:c r="O1687" s="66" t="str">
        <x:v>Jawa Barat</x:v>
      </x:c>
      <x:c r="P1687" s="66" t="str">
        <x:v>Kota Bandung</x:v>
      </x:c>
      <x:c r="Q1687" s="66" t="str">
        <x:v>https://snpmb.id/snbp/daya-tampung-snbp</x:v>
      </x:c>
      <x:c r="R1687" s="66" t="str">
        <x:v>https://sidatagrun-public-1076756628210.asia-southeast2.run.app/ptn_sn.php?ptn=334</x:v>
      </x:c>
    </x:row>
    <x:row r="1688">
      <x:c r="A1688" s="87" t="n">
        <x:v>487</x:v>
      </x:c>
      <x:c r="B1688" s="66" t="n">
        <x:v>334</x:v>
      </x:c>
      <x:c r="C1688" s="66" t="str">
        <x:v>UNIVERSITAS PENDIDIKAN INDONESIA</x:v>
      </x:c>
      <x:c r="D1688" s="66" t="str">
        <x:v>PTN Akademik</x:v>
      </x:c>
      <x:c r="E1688" s="66" t="str">
        <x:v>13341039</x:v>
      </x:c>
      <x:c r="F1688" s="66" t="str">
        <x:v>BIMBINGAN DAN KONSELING</x:v>
      </x:c>
      <x:c r="G1688" s="66" t="str">
        <x:v>Sarjana</x:v>
      </x:c>
      <x:c r="H1688" s="87" t="n">
        <x:v>54</x:v>
      </x:c>
      <x:c r="I1688" s="87" t="n">
        <x:v>1069</x:v>
      </x:c>
      <x:c r="J1688" s="68" t="n">
        <x:f>IFERROR(H1688/I1688,"")</x:f>
        <x:v>0.050514499532273154</x:v>
      </x:c>
      <x:c r="K1688" s="69" t="n">
        <x:f>IFERROR(I1688/H1688,"")</x:f>
        <x:v>19.796296296296298</x:v>
      </x:c>
      <x:c r="L1688" s="66" t="str">
        <x:f>IF(K1688="","","1 : "&amp;TEXT(K1688,"0.0"))</x:f>
        <x:v>1 : 19.8</x:v>
      </x:c>
      <x:c r="M1688" s="66" t="str">
        <x:f>IF(J1688="","Baru/Tanpa Data",IF(J1688&lt;='Catatan &amp; Sumber'!$B$14,"Sangat Ketat",IF(J1688&lt;='Catatan &amp; Sumber'!$B$15,"Ketat",IF(J1688&lt;='Catatan &amp; Sumber'!$B$16,"Sedang","Relatif Longgar"))))</x:f>
        <x:v>Sedang</x:v>
      </x:c>
      <x:c r="N1688" s="66" t="str">
        <x:v>Tidak Ada</x:v>
      </x:c>
      <x:c r="O1688" s="66" t="str">
        <x:v>Jawa Barat</x:v>
      </x:c>
      <x:c r="P1688" s="66" t="str">
        <x:v>Kota Bandung</x:v>
      </x:c>
      <x:c r="Q1688" s="66" t="str">
        <x:v>https://snpmb.id/snbp/daya-tampung-snbp</x:v>
      </x:c>
      <x:c r="R1688" s="66" t="str">
        <x:v>https://sidatagrun-public-1076756628210.asia-southeast2.run.app/ptn_sn.php?ptn=334</x:v>
      </x:c>
    </x:row>
    <x:row r="1689">
      <x:c r="A1689" s="87" t="n">
        <x:v>1700</x:v>
      </x:c>
      <x:c r="B1689" s="66" t="n">
        <x:v>334</x:v>
      </x:c>
      <x:c r="C1689" s="66" t="str">
        <x:v>UNIVERSITAS PENDIDIKAN INDONESIA</x:v>
      </x:c>
      <x:c r="D1689" s="66" t="str">
        <x:v>PTN Akademik</x:v>
      </x:c>
      <x:c r="E1689" s="66" t="str">
        <x:v>13341040</x:v>
      </x:c>
      <x:c r="F1689" s="66" t="str">
        <x:v>PENDIDIKAN MASYARAKAT</x:v>
      </x:c>
      <x:c r="G1689" s="66" t="str">
        <x:v>Sarjana</x:v>
      </x:c>
      <x:c r="H1689" s="87" t="n">
        <x:v>38</x:v>
      </x:c>
      <x:c r="I1689" s="87" t="n">
        <x:v>306</x:v>
      </x:c>
      <x:c r="J1689" s="68" t="n">
        <x:f>IFERROR(H1689/I1689,"")</x:f>
        <x:v>0.12418300653594772</x:v>
      </x:c>
      <x:c r="K1689" s="69" t="n">
        <x:f>IFERROR(I1689/H1689,"")</x:f>
        <x:v>8.052631578947368</x:v>
      </x:c>
      <x:c r="L1689" s="66" t="str">
        <x:f>IF(K1689="","","1 : "&amp;TEXT(K1689,"0.0"))</x:f>
        <x:v>1 : 8.1</x:v>
      </x:c>
      <x:c r="M1689" s="66" t="str">
        <x:f>IF(J1689="","Baru/Tanpa Data",IF(J1689&lt;='Catatan &amp; Sumber'!$B$14,"Sangat Ketat",IF(J1689&lt;='Catatan &amp; Sumber'!$B$15,"Ketat",IF(J1689&lt;='Catatan &amp; Sumber'!$B$16,"Sedang","Relatif Longgar"))))</x:f>
        <x:v>Relatif Longgar</x:v>
      </x:c>
      <x:c r="N1689" s="66" t="str">
        <x:v>Tidak Ada</x:v>
      </x:c>
      <x:c r="O1689" s="66" t="str">
        <x:v>Jawa Barat</x:v>
      </x:c>
      <x:c r="P1689" s="66" t="str">
        <x:v>Kota Bandung</x:v>
      </x:c>
      <x:c r="Q1689" s="66" t="str">
        <x:v>https://snpmb.id/snbp/daya-tampung-snbp</x:v>
      </x:c>
      <x:c r="R1689" s="66" t="str">
        <x:v>https://sidatagrun-public-1076756628210.asia-southeast2.run.app/ptn_sn.php?ptn=334</x:v>
      </x:c>
    </x:row>
    <x:row r="1690">
      <x:c r="A1690" s="87" t="n">
        <x:v>1372</x:v>
      </x:c>
      <x:c r="B1690" s="66" t="n">
        <x:v>334</x:v>
      </x:c>
      <x:c r="C1690" s="66" t="str">
        <x:v>UNIVERSITAS PENDIDIKAN INDONESIA</x:v>
      </x:c>
      <x:c r="D1690" s="66" t="str">
        <x:v>PTN Akademik</x:v>
      </x:c>
      <x:c r="E1690" s="66" t="str">
        <x:v>13341041</x:v>
      </x:c>
      <x:c r="F1690" s="66" t="str">
        <x:v>PENDIDIKAN KHUSUS</x:v>
      </x:c>
      <x:c r="G1690" s="66" t="str">
        <x:v>Sarjana</x:v>
      </x:c>
      <x:c r="H1690" s="87" t="n">
        <x:v>26</x:v>
      </x:c>
      <x:c r="I1690" s="87" t="n">
        <x:v>260</x:v>
      </x:c>
      <x:c r="J1690" s="68" t="n">
        <x:f>IFERROR(H1690/I1690,"")</x:f>
        <x:v>0.1</x:v>
      </x:c>
      <x:c r="K1690" s="69" t="n">
        <x:f>IFERROR(I1690/H1690,"")</x:f>
        <x:v>10</x:v>
      </x:c>
      <x:c r="L1690" s="66" t="str">
        <x:f>IF(K1690="","","1 : "&amp;TEXT(K1690,"0.0"))</x:f>
        <x:v>1 : 10.0</x:v>
      </x:c>
      <x:c r="M1690" s="66" t="str">
        <x:f>IF(J1690="","Baru/Tanpa Data",IF(J1690&lt;='Catatan &amp; Sumber'!$B$14,"Sangat Ketat",IF(J1690&lt;='Catatan &amp; Sumber'!$B$15,"Ketat",IF(J1690&lt;='Catatan &amp; Sumber'!$B$16,"Sedang","Relatif Longgar"))))</x:f>
        <x:v>Sedang</x:v>
      </x:c>
      <x:c r="N1690" s="66" t="str">
        <x:v>Tidak Ada</x:v>
      </x:c>
      <x:c r="O1690" s="66" t="str">
        <x:v>Jawa Barat</x:v>
      </x:c>
      <x:c r="P1690" s="66" t="str">
        <x:v>Kota Bandung</x:v>
      </x:c>
      <x:c r="Q1690" s="66" t="str">
        <x:v>https://snpmb.id/snbp/daya-tampung-snbp</x:v>
      </x:c>
      <x:c r="R1690" s="66" t="str">
        <x:v>https://sidatagrun-public-1076756628210.asia-southeast2.run.app/ptn_sn.php?ptn=334</x:v>
      </x:c>
    </x:row>
    <x:row r="1691">
      <x:c r="A1691" s="87" t="n">
        <x:v>1878</x:v>
      </x:c>
      <x:c r="B1691" s="66" t="n">
        <x:v>334</x:v>
      </x:c>
      <x:c r="C1691" s="66" t="str">
        <x:v>UNIVERSITAS PENDIDIKAN INDONESIA</x:v>
      </x:c>
      <x:c r="D1691" s="66" t="str">
        <x:v>PTN Akademik</x:v>
      </x:c>
      <x:c r="E1691" s="66" t="str">
        <x:v>13341042</x:v>
      </x:c>
      <x:c r="F1691" s="66" t="str">
        <x:v>TEKNOLOGI PENDIDIKAN</x:v>
      </x:c>
      <x:c r="G1691" s="66" t="str">
        <x:v>Sarjana</x:v>
      </x:c>
      <x:c r="H1691" s="87" t="n">
        <x:v>32</x:v>
      </x:c>
      <x:c r="I1691" s="87" t="n">
        <x:v>230</x:v>
      </x:c>
      <x:c r="J1691" s="68" t="n">
        <x:f>IFERROR(H1691/I1691,"")</x:f>
        <x:v>0.1391304347826087</x:v>
      </x:c>
      <x:c r="K1691" s="69" t="n">
        <x:f>IFERROR(I1691/H1691,"")</x:f>
        <x:v>7.1875</x:v>
      </x:c>
      <x:c r="L1691" s="66" t="str">
        <x:f>IF(K1691="","","1 : "&amp;TEXT(K1691,"0.0"))</x:f>
        <x:v>1 : 7.2</x:v>
      </x:c>
      <x:c r="M1691" s="66" t="str">
        <x:f>IF(J1691="","Baru/Tanpa Data",IF(J1691&lt;='Catatan &amp; Sumber'!$B$14,"Sangat Ketat",IF(J1691&lt;='Catatan &amp; Sumber'!$B$15,"Ketat",IF(J1691&lt;='Catatan &amp; Sumber'!$B$16,"Sedang","Relatif Longgar"))))</x:f>
        <x:v>Relatif Longgar</x:v>
      </x:c>
      <x:c r="N1691" s="66" t="str">
        <x:v>Tidak Ada</x:v>
      </x:c>
      <x:c r="O1691" s="66" t="str">
        <x:v>Jawa Barat</x:v>
      </x:c>
      <x:c r="P1691" s="66" t="str">
        <x:v>Kota Bandung</x:v>
      </x:c>
      <x:c r="Q1691" s="66" t="str">
        <x:v>https://snpmb.id/snbp/daya-tampung-snbp</x:v>
      </x:c>
      <x:c r="R1691" s="66" t="str">
        <x:v>https://sidatagrun-public-1076756628210.asia-southeast2.run.app/ptn_sn.php?ptn=334</x:v>
      </x:c>
    </x:row>
    <x:row r="1692">
      <x:c r="A1692" s="87" t="n">
        <x:v>79</x:v>
      </x:c>
      <x:c r="B1692" s="66" t="n">
        <x:v>334</x:v>
      </x:c>
      <x:c r="C1692" s="66" t="str">
        <x:v>UNIVERSITAS PENDIDIKAN INDONESIA</x:v>
      </x:c>
      <x:c r="D1692" s="66" t="str">
        <x:v>PTN Akademik</x:v>
      </x:c>
      <x:c r="E1692" s="66" t="str">
        <x:v>13341043</x:v>
      </x:c>
      <x:c r="F1692" s="66" t="str">
        <x:v>PSIKOLOGI</x:v>
      </x:c>
      <x:c r="G1692" s="66" t="str">
        <x:v>Sarjana</x:v>
      </x:c>
      <x:c r="H1692" s="87" t="n">
        <x:v>48</x:v>
      </x:c>
      <x:c r="I1692" s="87" t="n">
        <x:v>1816</x:v>
      </x:c>
      <x:c r="J1692" s="68" t="n">
        <x:f>IFERROR(H1692/I1692,"")</x:f>
        <x:v>0.02643171806167401</x:v>
      </x:c>
      <x:c r="K1692" s="69" t="n">
        <x:f>IFERROR(I1692/H1692,"")</x:f>
        <x:v>37.833333333333336</x:v>
      </x:c>
      <x:c r="L1692" s="66" t="str">
        <x:f>IF(K1692="","","1 : "&amp;TEXT(K1692,"0.0"))</x:f>
        <x:v>1 : 37.8</x:v>
      </x:c>
      <x:c r="M1692" s="66" t="str">
        <x:f>IF(J1692="","Baru/Tanpa Data",IF(J1692&lt;='Catatan &amp; Sumber'!$B$14,"Sangat Ketat",IF(J1692&lt;='Catatan &amp; Sumber'!$B$15,"Ketat",IF(J1692&lt;='Catatan &amp; Sumber'!$B$16,"Sedang","Relatif Longgar"))))</x:f>
        <x:v>Ketat</x:v>
      </x:c>
      <x:c r="N1692" s="66" t="str">
        <x:v>Tidak Ada</x:v>
      </x:c>
      <x:c r="O1692" s="66" t="str">
        <x:v>Jawa Barat</x:v>
      </x:c>
      <x:c r="P1692" s="66" t="str">
        <x:v>Kota Bandung</x:v>
      </x:c>
      <x:c r="Q1692" s="66" t="str">
        <x:v>https://snpmb.id/snbp/daya-tampung-snbp</x:v>
      </x:c>
      <x:c r="R1692" s="66" t="str">
        <x:v>https://sidatagrun-public-1076756628210.asia-southeast2.run.app/ptn_sn.php?ptn=334</x:v>
      </x:c>
    </x:row>
    <x:row r="1693">
      <x:c r="A1693" s="87" t="n">
        <x:v>1250</x:v>
      </x:c>
      <x:c r="B1693" s="66" t="n">
        <x:v>334</x:v>
      </x:c>
      <x:c r="C1693" s="66" t="str">
        <x:v>UNIVERSITAS PENDIDIKAN INDONESIA</x:v>
      </x:c>
      <x:c r="D1693" s="66" t="str">
        <x:v>PTN Akademik</x:v>
      </x:c>
      <x:c r="E1693" s="66" t="str">
        <x:v>13341044</x:v>
      </x:c>
      <x:c r="F1693" s="66" t="str">
        <x:v>PKN</x:v>
      </x:c>
      <x:c r="G1693" s="66" t="str">
        <x:v>Sarjana</x:v>
      </x:c>
      <x:c r="H1693" s="87" t="n">
        <x:v>29</x:v>
      </x:c>
      <x:c r="I1693" s="87" t="n">
        <x:v>312</x:v>
      </x:c>
      <x:c r="J1693" s="68" t="n">
        <x:f>IFERROR(H1693/I1693,"")</x:f>
        <x:v>0.09294871794871795</x:v>
      </x:c>
      <x:c r="K1693" s="69" t="n">
        <x:f>IFERROR(I1693/H1693,"")</x:f>
        <x:v>10.758620689655173</x:v>
      </x:c>
      <x:c r="L1693" s="66" t="str">
        <x:f>IF(K1693="","","1 : "&amp;TEXT(K1693,"0.0"))</x:f>
        <x:v>1 : 10.8</x:v>
      </x:c>
      <x:c r="M1693" s="66" t="str">
        <x:f>IF(J1693="","Baru/Tanpa Data",IF(J1693&lt;='Catatan &amp; Sumber'!$B$14,"Sangat Ketat",IF(J1693&lt;='Catatan &amp; Sumber'!$B$15,"Ketat",IF(J1693&lt;='Catatan &amp; Sumber'!$B$16,"Sedang","Relatif Longgar"))))</x:f>
        <x:v>Sedang</x:v>
      </x:c>
      <x:c r="N1693" s="66" t="str">
        <x:v>Tidak Ada</x:v>
      </x:c>
      <x:c r="O1693" s="66" t="str">
        <x:v>Jawa Barat</x:v>
      </x:c>
      <x:c r="P1693" s="66" t="str">
        <x:v>Kota Bandung</x:v>
      </x:c>
      <x:c r="Q1693" s="66" t="str">
        <x:v>https://snpmb.id/snbp/daya-tampung-snbp</x:v>
      </x:c>
      <x:c r="R1693" s="66" t="str">
        <x:v>https://sidatagrun-public-1076756628210.asia-southeast2.run.app/ptn_sn.php?ptn=334</x:v>
      </x:c>
    </x:row>
    <x:row r="1694">
      <x:c r="A1694" s="87" t="n">
        <x:v>534</x:v>
      </x:c>
      <x:c r="B1694" s="66" t="n">
        <x:v>334</x:v>
      </x:c>
      <x:c r="C1694" s="66" t="str">
        <x:v>UNIVERSITAS PENDIDIKAN INDONESIA</x:v>
      </x:c>
      <x:c r="D1694" s="66" t="str">
        <x:v>PTN Akademik</x:v>
      </x:c>
      <x:c r="E1694" s="66" t="str">
        <x:v>13341045</x:v>
      </x:c>
      <x:c r="F1694" s="66" t="str">
        <x:v>PENDIDIKAN SEJARAH</x:v>
      </x:c>
      <x:c r="G1694" s="66" t="str">
        <x:v>Sarjana</x:v>
      </x:c>
      <x:c r="H1694" s="87" t="n">
        <x:v>23</x:v>
      </x:c>
      <x:c r="I1694" s="87" t="n">
        <x:v>431</x:v>
      </x:c>
      <x:c r="J1694" s="68" t="n">
        <x:f>IFERROR(H1694/I1694,"")</x:f>
        <x:v>0.05336426914153132</x:v>
      </x:c>
      <x:c r="K1694" s="69" t="n">
        <x:f>IFERROR(I1694/H1694,"")</x:f>
        <x:v>18.73913043478261</x:v>
      </x:c>
      <x:c r="L1694" s="66" t="str">
        <x:f>IF(K1694="","","1 : "&amp;TEXT(K1694,"0.0"))</x:f>
        <x:v>1 : 18.7</x:v>
      </x:c>
      <x:c r="M1694" s="66" t="str">
        <x:f>IF(J1694="","Baru/Tanpa Data",IF(J1694&lt;='Catatan &amp; Sumber'!$B$14,"Sangat Ketat",IF(J1694&lt;='Catatan &amp; Sumber'!$B$15,"Ketat",IF(J1694&lt;='Catatan &amp; Sumber'!$B$16,"Sedang","Relatif Longgar"))))</x:f>
        <x:v>Sedang</x:v>
      </x:c>
      <x:c r="N1694" s="66" t="str">
        <x:v>Tidak Ada</x:v>
      </x:c>
      <x:c r="O1694" s="66" t="str">
        <x:v>Jawa Barat</x:v>
      </x:c>
      <x:c r="P1694" s="66" t="str">
        <x:v>Kota Bandung</x:v>
      </x:c>
      <x:c r="Q1694" s="66" t="str">
        <x:v>https://snpmb.id/snbp/daya-tampung-snbp</x:v>
      </x:c>
      <x:c r="R1694" s="66" t="str">
        <x:v>https://sidatagrun-public-1076756628210.asia-southeast2.run.app/ptn_sn.php?ptn=334</x:v>
      </x:c>
    </x:row>
    <x:row r="1695">
      <x:c r="A1695" s="87" t="n">
        <x:v>1067</x:v>
      </x:c>
      <x:c r="B1695" s="66" t="n">
        <x:v>334</x:v>
      </x:c>
      <x:c r="C1695" s="66" t="str">
        <x:v>UNIVERSITAS PENDIDIKAN INDONESIA</x:v>
      </x:c>
      <x:c r="D1695" s="66" t="str">
        <x:v>PTN Akademik</x:v>
      </x:c>
      <x:c r="E1695" s="66" t="str">
        <x:v>13341046</x:v>
      </x:c>
      <x:c r="F1695" s="66" t="str">
        <x:v>PENDIDIKAN GEOGRAFI</x:v>
      </x:c>
      <x:c r="G1695" s="66" t="str">
        <x:v>Sarjana</x:v>
      </x:c>
      <x:c r="H1695" s="87" t="n">
        <x:v>35</x:v>
      </x:c>
      <x:c r="I1695" s="87" t="n">
        <x:v>428</x:v>
      </x:c>
      <x:c r="J1695" s="68" t="n">
        <x:f>IFERROR(H1695/I1695,"")</x:f>
        <x:v>0.08177570093457943</x:v>
      </x:c>
      <x:c r="K1695" s="69" t="n">
        <x:f>IFERROR(I1695/H1695,"")</x:f>
        <x:v>12.228571428571428</x:v>
      </x:c>
      <x:c r="L1695" s="66" t="str">
        <x:f>IF(K1695="","","1 : "&amp;TEXT(K1695,"0.0"))</x:f>
        <x:v>1 : 12.2</x:v>
      </x:c>
      <x:c r="M1695" s="66" t="str">
        <x:f>IF(J1695="","Baru/Tanpa Data",IF(J1695&lt;='Catatan &amp; Sumber'!$B$14,"Sangat Ketat",IF(J1695&lt;='Catatan &amp; Sumber'!$B$15,"Ketat",IF(J1695&lt;='Catatan &amp; Sumber'!$B$16,"Sedang","Relatif Longgar"))))</x:f>
        <x:v>Sedang</x:v>
      </x:c>
      <x:c r="N1695" s="66" t="str">
        <x:v>Tidak Ada</x:v>
      </x:c>
      <x:c r="O1695" s="66" t="str">
        <x:v>Jawa Barat</x:v>
      </x:c>
      <x:c r="P1695" s="66" t="str">
        <x:v>Kota Bandung</x:v>
      </x:c>
      <x:c r="Q1695" s="66" t="str">
        <x:v>https://snpmb.id/snbp/daya-tampung-snbp</x:v>
      </x:c>
      <x:c r="R1695" s="66" t="str">
        <x:v>https://sidatagrun-public-1076756628210.asia-southeast2.run.app/ptn_sn.php?ptn=334</x:v>
      </x:c>
    </x:row>
    <x:row r="1696">
      <x:c r="A1696" s="87" t="n">
        <x:v>503</x:v>
      </x:c>
      <x:c r="B1696" s="66" t="n">
        <x:v>334</x:v>
      </x:c>
      <x:c r="C1696" s="66" t="str">
        <x:v>UNIVERSITAS PENDIDIKAN INDONESIA</x:v>
      </x:c>
      <x:c r="D1696" s="66" t="str">
        <x:v>PTN Akademik</x:v>
      </x:c>
      <x:c r="E1696" s="66" t="str">
        <x:v>13341047</x:v>
      </x:c>
      <x:c r="F1696" s="66" t="str">
        <x:v>ILMU PENDIDIKAN AGAMA ISLAM</x:v>
      </x:c>
      <x:c r="G1696" s="66" t="str">
        <x:v>Sarjana</x:v>
      </x:c>
      <x:c r="H1696" s="87" t="n">
        <x:v>50</x:v>
      </x:c>
      <x:c r="I1696" s="87" t="n">
        <x:v>972</x:v>
      </x:c>
      <x:c r="J1696" s="68" t="n">
        <x:f>IFERROR(H1696/I1696,"")</x:f>
        <x:v>0.051440329218107</x:v>
      </x:c>
      <x:c r="K1696" s="69" t="n">
        <x:f>IFERROR(I1696/H1696,"")</x:f>
        <x:v>19.44</x:v>
      </x:c>
      <x:c r="L1696" s="66" t="str">
        <x:f>IF(K1696="","","1 : "&amp;TEXT(K1696,"0.0"))</x:f>
        <x:v>1 : 19.4</x:v>
      </x:c>
      <x:c r="M1696" s="66" t="str">
        <x:f>IF(J1696="","Baru/Tanpa Data",IF(J1696&lt;='Catatan &amp; Sumber'!$B$14,"Sangat Ketat",IF(J1696&lt;='Catatan &amp; Sumber'!$B$15,"Ketat",IF(J1696&lt;='Catatan &amp; Sumber'!$B$16,"Sedang","Relatif Longgar"))))</x:f>
        <x:v>Sedang</x:v>
      </x:c>
      <x:c r="N1696" s="66" t="str">
        <x:v>Tidak Ada</x:v>
      </x:c>
      <x:c r="O1696" s="66" t="str">
        <x:v>Jawa Barat</x:v>
      </x:c>
      <x:c r="P1696" s="66" t="str">
        <x:v>Kota Bandung</x:v>
      </x:c>
      <x:c r="Q1696" s="66" t="str">
        <x:v>https://snpmb.id/snbp/daya-tampung-snbp</x:v>
      </x:c>
      <x:c r="R1696" s="66" t="str">
        <x:v>https://sidatagrun-public-1076756628210.asia-southeast2.run.app/ptn_sn.php?ptn=334</x:v>
      </x:c>
    </x:row>
    <x:row r="1697">
      <x:c r="A1697" s="87" t="n">
        <x:v>749</x:v>
      </x:c>
      <x:c r="B1697" s="66" t="n">
        <x:v>334</x:v>
      </x:c>
      <x:c r="C1697" s="66" t="str">
        <x:v>UNIVERSITAS PENDIDIKAN INDONESIA</x:v>
      </x:c>
      <x:c r="D1697" s="66" t="str">
        <x:v>PTN Akademik</x:v>
      </x:c>
      <x:c r="E1697" s="66" t="str">
        <x:v>13341048</x:v>
      </x:c>
      <x:c r="F1697" s="66" t="str">
        <x:v>MANAJEMEN RESORT DAN LEISURE</x:v>
      </x:c>
      <x:c r="G1697" s="66" t="str">
        <x:v>Sarjana</x:v>
      </x:c>
      <x:c r="H1697" s="87" t="n">
        <x:v>29</x:v>
      </x:c>
      <x:c r="I1697" s="87" t="n">
        <x:v>449</x:v>
      </x:c>
      <x:c r="J1697" s="68" t="n">
        <x:f>IFERROR(H1697/I1697,"")</x:f>
        <x:v>0.0645879732739421</x:v>
      </x:c>
      <x:c r="K1697" s="69" t="n">
        <x:f>IFERROR(I1697/H1697,"")</x:f>
        <x:v>15.482758620689655</x:v>
      </x:c>
      <x:c r="L1697" s="66" t="str">
        <x:f>IF(K1697="","","1 : "&amp;TEXT(K1697,"0.0"))</x:f>
        <x:v>1 : 15.5</x:v>
      </x:c>
      <x:c r="M1697" s="66" t="str">
        <x:f>IF(J1697="","Baru/Tanpa Data",IF(J1697&lt;='Catatan &amp; Sumber'!$B$14,"Sangat Ketat",IF(J1697&lt;='Catatan &amp; Sumber'!$B$15,"Ketat",IF(J1697&lt;='Catatan &amp; Sumber'!$B$16,"Sedang","Relatif Longgar"))))</x:f>
        <x:v>Sedang</x:v>
      </x:c>
      <x:c r="N1697" s="66" t="str">
        <x:v>Tidak Ada</x:v>
      </x:c>
      <x:c r="O1697" s="66" t="str">
        <x:v>Jawa Barat</x:v>
      </x:c>
      <x:c r="P1697" s="66" t="str">
        <x:v>Kota Bandung</x:v>
      </x:c>
      <x:c r="Q1697" s="66" t="str">
        <x:v>https://snpmb.id/snbp/daya-tampung-snbp</x:v>
      </x:c>
      <x:c r="R1697" s="66" t="str">
        <x:v>https://sidatagrun-public-1076756628210.asia-southeast2.run.app/ptn_sn.php?ptn=334</x:v>
      </x:c>
    </x:row>
    <x:row r="1698">
      <x:c r="A1698" s="87" t="n">
        <x:v>91</x:v>
      </x:c>
      <x:c r="B1698" s="66" t="n">
        <x:v>334</x:v>
      </x:c>
      <x:c r="C1698" s="66" t="str">
        <x:v>UNIVERSITAS PENDIDIKAN INDONESIA</x:v>
      </x:c>
      <x:c r="D1698" s="66" t="str">
        <x:v>PTN Akademik</x:v>
      </x:c>
      <x:c r="E1698" s="66" t="str">
        <x:v>13341049</x:v>
      </x:c>
      <x:c r="F1698" s="66" t="str">
        <x:v>MANAJEMEN PEMASARAN PARIWISATA</x:v>
      </x:c>
      <x:c r="G1698" s="66" t="str">
        <x:v>Sarjana</x:v>
      </x:c>
      <x:c r="H1698" s="87" t="n">
        <x:v>18</x:v>
      </x:c>
      <x:c r="I1698" s="87" t="n">
        <x:v>656</x:v>
      </x:c>
      <x:c r="J1698" s="68" t="n">
        <x:f>IFERROR(H1698/I1698,"")</x:f>
        <x:v>0.027439024390243903</x:v>
      </x:c>
      <x:c r="K1698" s="69" t="n">
        <x:f>IFERROR(I1698/H1698,"")</x:f>
        <x:v>36.44444444444444</x:v>
      </x:c>
      <x:c r="L1698" s="66" t="str">
        <x:f>IF(K1698="","","1 : "&amp;TEXT(K1698,"0.0"))</x:f>
        <x:v>1 : 36.4</x:v>
      </x:c>
      <x:c r="M1698" s="66" t="str">
        <x:f>IF(J1698="","Baru/Tanpa Data",IF(J1698&lt;='Catatan &amp; Sumber'!$B$14,"Sangat Ketat",IF(J1698&lt;='Catatan &amp; Sumber'!$B$15,"Ketat",IF(J1698&lt;='Catatan &amp; Sumber'!$B$16,"Sedang","Relatif Longgar"))))</x:f>
        <x:v>Ketat</x:v>
      </x:c>
      <x:c r="N1698" s="66" t="str">
        <x:v>Tidak Ada</x:v>
      </x:c>
      <x:c r="O1698" s="66" t="str">
        <x:v>Jawa Barat</x:v>
      </x:c>
      <x:c r="P1698" s="66" t="str">
        <x:v>Kota Bandung</x:v>
      </x:c>
      <x:c r="Q1698" s="66" t="str">
        <x:v>https://snpmb.id/snbp/daya-tampung-snbp</x:v>
      </x:c>
      <x:c r="R1698" s="66" t="str">
        <x:v>https://sidatagrun-public-1076756628210.asia-southeast2.run.app/ptn_sn.php?ptn=334</x:v>
      </x:c>
    </x:row>
    <x:row r="1699">
      <x:c r="A1699" s="87" t="n">
        <x:v>720</x:v>
      </x:c>
      <x:c r="B1699" s="66" t="n">
        <x:v>334</x:v>
      </x:c>
      <x:c r="C1699" s="66" t="str">
        <x:v>UNIVERSITAS PENDIDIKAN INDONESIA</x:v>
      </x:c>
      <x:c r="D1699" s="66" t="str">
        <x:v>PTN Akademik</x:v>
      </x:c>
      <x:c r="E1699" s="66" t="str">
        <x:v>13341050</x:v>
      </x:c>
      <x:c r="F1699" s="66" t="str">
        <x:v>MANAJEMEN INDUSTRI KATERING</x:v>
      </x:c>
      <x:c r="G1699" s="66" t="str">
        <x:v>Sarjana</x:v>
      </x:c>
      <x:c r="H1699" s="87" t="n">
        <x:v>26</x:v>
      </x:c>
      <x:c r="I1699" s="87" t="n">
        <x:v>413</x:v>
      </x:c>
      <x:c r="J1699" s="68" t="n">
        <x:f>IFERROR(H1699/I1699,"")</x:f>
        <x:v>0.06295399515738499</x:v>
      </x:c>
      <x:c r="K1699" s="69" t="n">
        <x:f>IFERROR(I1699/H1699,"")</x:f>
        <x:v>15.884615384615385</x:v>
      </x:c>
      <x:c r="L1699" s="66" t="str">
        <x:f>IF(K1699="","","1 : "&amp;TEXT(K1699,"0.0"))</x:f>
        <x:v>1 : 15.9</x:v>
      </x:c>
      <x:c r="M1699" s="66" t="str">
        <x:f>IF(J1699="","Baru/Tanpa Data",IF(J1699&lt;='Catatan &amp; Sumber'!$B$14,"Sangat Ketat",IF(J1699&lt;='Catatan &amp; Sumber'!$B$15,"Ketat",IF(J1699&lt;='Catatan &amp; Sumber'!$B$16,"Sedang","Relatif Longgar"))))</x:f>
        <x:v>Sedang</x:v>
      </x:c>
      <x:c r="N1699" s="66" t="str">
        <x:v>Tidak Ada</x:v>
      </x:c>
      <x:c r="O1699" s="66" t="str">
        <x:v>Jawa Barat</x:v>
      </x:c>
      <x:c r="P1699" s="66" t="str">
        <x:v>Kota Bandung</x:v>
      </x:c>
      <x:c r="Q1699" s="66" t="str">
        <x:v>https://snpmb.id/snbp/daya-tampung-snbp</x:v>
      </x:c>
      <x:c r="R1699" s="66" t="str">
        <x:v>https://sidatagrun-public-1076756628210.asia-southeast2.run.app/ptn_sn.php?ptn=334</x:v>
      </x:c>
    </x:row>
    <x:row r="1700">
      <x:c r="A1700" s="87" t="n">
        <x:v>207</x:v>
      </x:c>
      <x:c r="B1700" s="66" t="n">
        <x:v>334</x:v>
      </x:c>
      <x:c r="C1700" s="66" t="str">
        <x:v>UNIVERSITAS PENDIDIKAN INDONESIA</x:v>
      </x:c>
      <x:c r="D1700" s="66" t="str">
        <x:v>PTN Akademik</x:v>
      </x:c>
      <x:c r="E1700" s="66" t="str">
        <x:v>13341051</x:v>
      </x:c>
      <x:c r="F1700" s="66" t="str">
        <x:v>PENDIDIKAN BHS.DAN SASTRA INDONESIA</x:v>
      </x:c>
      <x:c r="G1700" s="66" t="str">
        <x:v>Sarjana</x:v>
      </x:c>
      <x:c r="H1700" s="87" t="n">
        <x:v>24</x:v>
      </x:c>
      <x:c r="I1700" s="87" t="n">
        <x:v>644</x:v>
      </x:c>
      <x:c r="J1700" s="68" t="n">
        <x:f>IFERROR(H1700/I1700,"")</x:f>
        <x:v>0.037267080745341616</x:v>
      </x:c>
      <x:c r="K1700" s="69" t="n">
        <x:f>IFERROR(I1700/H1700,"")</x:f>
        <x:v>26.833333333333332</x:v>
      </x:c>
      <x:c r="L1700" s="66" t="str">
        <x:f>IF(K1700="","","1 : "&amp;TEXT(K1700,"0.0"))</x:f>
        <x:v>1 : 26.8</x:v>
      </x:c>
      <x:c r="M1700" s="66" t="str">
        <x:f>IF(J1700="","Baru/Tanpa Data",IF(J1700&lt;='Catatan &amp; Sumber'!$B$14,"Sangat Ketat",IF(J1700&lt;='Catatan &amp; Sumber'!$B$15,"Ketat",IF(J1700&lt;='Catatan &amp; Sumber'!$B$16,"Sedang","Relatif Longgar"))))</x:f>
        <x:v>Ketat</x:v>
      </x:c>
      <x:c r="N1700" s="66" t="str">
        <x:v>Tidak Ada</x:v>
      </x:c>
      <x:c r="O1700" s="66" t="str">
        <x:v>Jawa Barat</x:v>
      </x:c>
      <x:c r="P1700" s="66" t="str">
        <x:v>Kota Bandung</x:v>
      </x:c>
      <x:c r="Q1700" s="66" t="str">
        <x:v>https://snpmb.id/snbp/daya-tampung-snbp</x:v>
      </x:c>
      <x:c r="R1700" s="66" t="str">
        <x:v>https://sidatagrun-public-1076756628210.asia-southeast2.run.app/ptn_sn.php?ptn=334</x:v>
      </x:c>
    </x:row>
    <x:row r="1701">
      <x:c r="A1701" s="87" t="n">
        <x:v>1604</x:v>
      </x:c>
      <x:c r="B1701" s="66" t="n">
        <x:v>334</x:v>
      </x:c>
      <x:c r="C1701" s="66" t="str">
        <x:v>UNIVERSITAS PENDIDIKAN INDONESIA</x:v>
      </x:c>
      <x:c r="D1701" s="66" t="str">
        <x:v>PTN Akademik</x:v>
      </x:c>
      <x:c r="E1701" s="66" t="str">
        <x:v>13341052</x:v>
      </x:c>
      <x:c r="F1701" s="66" t="str">
        <x:v>PENDIDIKAN BAHASA SUNDA</x:v>
      </x:c>
      <x:c r="G1701" s="66" t="str">
        <x:v>Sarjana</x:v>
      </x:c>
      <x:c r="H1701" s="87" t="n">
        <x:v>45</x:v>
      </x:c>
      <x:c r="I1701" s="87" t="n">
        <x:v>386</x:v>
      </x:c>
      <x:c r="J1701" s="68" t="n">
        <x:f>IFERROR(H1701/I1701,"")</x:f>
        <x:v>0.11658031088082901</x:v>
      </x:c>
      <x:c r="K1701" s="69" t="n">
        <x:f>IFERROR(I1701/H1701,"")</x:f>
        <x:v>8.577777777777778</x:v>
      </x:c>
      <x:c r="L1701" s="66" t="str">
        <x:f>IF(K1701="","","1 : "&amp;TEXT(K1701,"0.0"))</x:f>
        <x:v>1 : 8.6</x:v>
      </x:c>
      <x:c r="M1701" s="66" t="str">
        <x:f>IF(J1701="","Baru/Tanpa Data",IF(J1701&lt;='Catatan &amp; Sumber'!$B$14,"Sangat Ketat",IF(J1701&lt;='Catatan &amp; Sumber'!$B$15,"Ketat",IF(J1701&lt;='Catatan &amp; Sumber'!$B$16,"Sedang","Relatif Longgar"))))</x:f>
        <x:v>Relatif Longgar</x:v>
      </x:c>
      <x:c r="N1701" s="66" t="str">
        <x:v>Tidak Ada</x:v>
      </x:c>
      <x:c r="O1701" s="66" t="str">
        <x:v>Jawa Barat</x:v>
      </x:c>
      <x:c r="P1701" s="66" t="str">
        <x:v>Kota Bandung</x:v>
      </x:c>
      <x:c r="Q1701" s="66" t="str">
        <x:v>https://snpmb.id/snbp/daya-tampung-snbp</x:v>
      </x:c>
      <x:c r="R1701" s="66" t="str">
        <x:v>https://sidatagrun-public-1076756628210.asia-southeast2.run.app/ptn_sn.php?ptn=334</x:v>
      </x:c>
    </x:row>
    <x:row r="1702">
      <x:c r="A1702" s="87" t="n">
        <x:v>198</x:v>
      </x:c>
      <x:c r="B1702" s="66" t="n">
        <x:v>334</x:v>
      </x:c>
      <x:c r="C1702" s="66" t="str">
        <x:v>UNIVERSITAS PENDIDIKAN INDONESIA</x:v>
      </x:c>
      <x:c r="D1702" s="66" t="str">
        <x:v>PTN Akademik</x:v>
      </x:c>
      <x:c r="E1702" s="66" t="str">
        <x:v>13341053</x:v>
      </x:c>
      <x:c r="F1702" s="66" t="str">
        <x:v>PENDIDIKAN BAHASA INGGRIS</x:v>
      </x:c>
      <x:c r="G1702" s="66" t="str">
        <x:v>Sarjana</x:v>
      </x:c>
      <x:c r="H1702" s="87" t="n">
        <x:v>27</x:v>
      </x:c>
      <x:c r="I1702" s="87" t="n">
        <x:v>733</x:v>
      </x:c>
      <x:c r="J1702" s="68" t="n">
        <x:f>IFERROR(H1702/I1702,"")</x:f>
        <x:v>0.036834924965893585</x:v>
      </x:c>
      <x:c r="K1702" s="69" t="n">
        <x:f>IFERROR(I1702/H1702,"")</x:f>
        <x:v>27.14814814814815</x:v>
      </x:c>
      <x:c r="L1702" s="66" t="str">
        <x:f>IF(K1702="","","1 : "&amp;TEXT(K1702,"0.0"))</x:f>
        <x:v>1 : 27.1</x:v>
      </x:c>
      <x:c r="M1702" s="66" t="str">
        <x:f>IF(J1702="","Baru/Tanpa Data",IF(J1702&lt;='Catatan &amp; Sumber'!$B$14,"Sangat Ketat",IF(J1702&lt;='Catatan &amp; Sumber'!$B$15,"Ketat",IF(J1702&lt;='Catatan &amp; Sumber'!$B$16,"Sedang","Relatif Longgar"))))</x:f>
        <x:v>Ketat</x:v>
      </x:c>
      <x:c r="N1702" s="66" t="str">
        <x:v>Tidak Ada</x:v>
      </x:c>
      <x:c r="O1702" s="66" t="str">
        <x:v>Jawa Barat</x:v>
      </x:c>
      <x:c r="P1702" s="66" t="str">
        <x:v>Kota Bandung</x:v>
      </x:c>
      <x:c r="Q1702" s="66" t="str">
        <x:v>https://snpmb.id/snbp/daya-tampung-snbp</x:v>
      </x:c>
      <x:c r="R1702" s="66" t="str">
        <x:v>https://sidatagrun-public-1076756628210.asia-southeast2.run.app/ptn_sn.php?ptn=334</x:v>
      </x:c>
    </x:row>
    <x:row r="1703">
      <x:c r="A1703" s="87" t="n">
        <x:v>901</x:v>
      </x:c>
      <x:c r="B1703" s="66" t="n">
        <x:v>334</x:v>
      </x:c>
      <x:c r="C1703" s="66" t="str">
        <x:v>UNIVERSITAS PENDIDIKAN INDONESIA</x:v>
      </x:c>
      <x:c r="D1703" s="66" t="str">
        <x:v>PTN Akademik</x:v>
      </x:c>
      <x:c r="E1703" s="66" t="str">
        <x:v>13341054</x:v>
      </x:c>
      <x:c r="F1703" s="66" t="str">
        <x:v>PENDIDIKAN BAHASA ARAB</x:v>
      </x:c>
      <x:c r="G1703" s="66" t="str">
        <x:v>Sarjana</x:v>
      </x:c>
      <x:c r="H1703" s="87" t="n">
        <x:v>27</x:v>
      </x:c>
      <x:c r="I1703" s="87" t="n">
        <x:v>374</x:v>
      </x:c>
      <x:c r="J1703" s="68" t="n">
        <x:f>IFERROR(H1703/I1703,"")</x:f>
        <x:v>0.07219251336898395</x:v>
      </x:c>
      <x:c r="K1703" s="69" t="n">
        <x:f>IFERROR(I1703/H1703,"")</x:f>
        <x:v>13.851851851851851</x:v>
      </x:c>
      <x:c r="L1703" s="66" t="str">
        <x:f>IF(K1703="","","1 : "&amp;TEXT(K1703,"0.0"))</x:f>
        <x:v>1 : 13.9</x:v>
      </x:c>
      <x:c r="M1703" s="66" t="str">
        <x:f>IF(J1703="","Baru/Tanpa Data",IF(J1703&lt;='Catatan &amp; Sumber'!$B$14,"Sangat Ketat",IF(J1703&lt;='Catatan &amp; Sumber'!$B$15,"Ketat",IF(J1703&lt;='Catatan &amp; Sumber'!$B$16,"Sedang","Relatif Longgar"))))</x:f>
        <x:v>Sedang</x:v>
      </x:c>
      <x:c r="N1703" s="66" t="str">
        <x:v>Tidak Ada</x:v>
      </x:c>
      <x:c r="O1703" s="66" t="str">
        <x:v>Jawa Barat</x:v>
      </x:c>
      <x:c r="P1703" s="66" t="str">
        <x:v>Kota Bandung</x:v>
      </x:c>
      <x:c r="Q1703" s="66" t="str">
        <x:v>https://snpmb.id/snbp/daya-tampung-snbp</x:v>
      </x:c>
      <x:c r="R1703" s="66" t="str">
        <x:v>https://sidatagrun-public-1076756628210.asia-southeast2.run.app/ptn_sn.php?ptn=334</x:v>
      </x:c>
    </x:row>
    <x:row r="1704">
      <x:c r="A1704" s="87" t="n">
        <x:v>509</x:v>
      </x:c>
      <x:c r="B1704" s="66" t="n">
        <x:v>334</x:v>
      </x:c>
      <x:c r="C1704" s="66" t="str">
        <x:v>UNIVERSITAS PENDIDIKAN INDONESIA</x:v>
      </x:c>
      <x:c r="D1704" s="66" t="str">
        <x:v>PTN Akademik</x:v>
      </x:c>
      <x:c r="E1704" s="66" t="str">
        <x:v>13341055</x:v>
      </x:c>
      <x:c r="F1704" s="66" t="str">
        <x:v>PENDIDIKAN BAHASA JEPANG</x:v>
      </x:c>
      <x:c r="G1704" s="66" t="str">
        <x:v>Sarjana</x:v>
      </x:c>
      <x:c r="H1704" s="87" t="n">
        <x:v>27</x:v>
      </x:c>
      <x:c r="I1704" s="87" t="n">
        <x:v>519</x:v>
      </x:c>
      <x:c r="J1704" s="68" t="n">
        <x:f>IFERROR(H1704/I1704,"")</x:f>
        <x:v>0.05202312138728324</x:v>
      </x:c>
      <x:c r="K1704" s="69" t="n">
        <x:f>IFERROR(I1704/H1704,"")</x:f>
        <x:v>19.22222222222222</x:v>
      </x:c>
      <x:c r="L1704" s="66" t="str">
        <x:f>IF(K1704="","","1 : "&amp;TEXT(K1704,"0.0"))</x:f>
        <x:v>1 : 19.2</x:v>
      </x:c>
      <x:c r="M1704" s="66" t="str">
        <x:f>IF(J1704="","Baru/Tanpa Data",IF(J1704&lt;='Catatan &amp; Sumber'!$B$14,"Sangat Ketat",IF(J1704&lt;='Catatan &amp; Sumber'!$B$15,"Ketat",IF(J1704&lt;='Catatan &amp; Sumber'!$B$16,"Sedang","Relatif Longgar"))))</x:f>
        <x:v>Sedang</x:v>
      </x:c>
      <x:c r="N1704" s="66" t="str">
        <x:v>Tidak Ada</x:v>
      </x:c>
      <x:c r="O1704" s="66" t="str">
        <x:v>Jawa Barat</x:v>
      </x:c>
      <x:c r="P1704" s="66" t="str">
        <x:v>Kota Bandung</x:v>
      </x:c>
      <x:c r="Q1704" s="66" t="str">
        <x:v>https://snpmb.id/snbp/daya-tampung-snbp</x:v>
      </x:c>
      <x:c r="R1704" s="66" t="str">
        <x:v>https://sidatagrun-public-1076756628210.asia-southeast2.run.app/ptn_sn.php?ptn=334</x:v>
      </x:c>
    </x:row>
    <x:row r="1705">
      <x:c r="A1705" s="87" t="n">
        <x:v>2294</x:v>
      </x:c>
      <x:c r="B1705" s="66" t="n">
        <x:v>334</x:v>
      </x:c>
      <x:c r="C1705" s="66" t="str">
        <x:v>UNIVERSITAS PENDIDIKAN INDONESIA</x:v>
      </x:c>
      <x:c r="D1705" s="66" t="str">
        <x:v>PTN Akademik</x:v>
      </x:c>
      <x:c r="E1705" s="66" t="str">
        <x:v>13341056</x:v>
      </x:c>
      <x:c r="F1705" s="66" t="str">
        <x:v>PENDIDIKAN BAHASA JERMAN</x:v>
      </x:c>
      <x:c r="G1705" s="66" t="str">
        <x:v>Sarjana</x:v>
      </x:c>
      <x:c r="H1705" s="87" t="n">
        <x:v>32</x:v>
      </x:c>
      <x:c r="I1705" s="87" t="n">
        <x:v>175</x:v>
      </x:c>
      <x:c r="J1705" s="68" t="n">
        <x:f>IFERROR(H1705/I1705,"")</x:f>
        <x:v>0.18285714285714286</x:v>
      </x:c>
      <x:c r="K1705" s="69" t="n">
        <x:f>IFERROR(I1705/H1705,"")</x:f>
        <x:v>5.46875</x:v>
      </x:c>
      <x:c r="L1705" s="66" t="str">
        <x:f>IF(K1705="","","1 : "&amp;TEXT(K1705,"0.0"))</x:f>
        <x:v>1 : 5.5</x:v>
      </x:c>
      <x:c r="M1705" s="66" t="str">
        <x:f>IF(J1705="","Baru/Tanpa Data",IF(J1705&lt;='Catatan &amp; Sumber'!$B$14,"Sangat Ketat",IF(J1705&lt;='Catatan &amp; Sumber'!$B$15,"Ketat",IF(J1705&lt;='Catatan &amp; Sumber'!$B$16,"Sedang","Relatif Longgar"))))</x:f>
        <x:v>Relatif Longgar</x:v>
      </x:c>
      <x:c r="N1705" s="66" t="str">
        <x:v>Tidak Ada</x:v>
      </x:c>
      <x:c r="O1705" s="66" t="str">
        <x:v>Jawa Barat</x:v>
      </x:c>
      <x:c r="P1705" s="66" t="str">
        <x:v>Kota Bandung</x:v>
      </x:c>
      <x:c r="Q1705" s="66" t="str">
        <x:v>https://snpmb.id/snbp/daya-tampung-snbp</x:v>
      </x:c>
      <x:c r="R1705" s="66" t="str">
        <x:v>https://sidatagrun-public-1076756628210.asia-southeast2.run.app/ptn_sn.php?ptn=334</x:v>
      </x:c>
    </x:row>
    <x:row r="1706">
      <x:c r="A1706" s="87" t="n">
        <x:v>2052</x:v>
      </x:c>
      <x:c r="B1706" s="66" t="n">
        <x:v>334</x:v>
      </x:c>
      <x:c r="C1706" s="66" t="str">
        <x:v>UNIVERSITAS PENDIDIKAN INDONESIA</x:v>
      </x:c>
      <x:c r="D1706" s="66" t="str">
        <x:v>PTN Akademik</x:v>
      </x:c>
      <x:c r="E1706" s="66" t="str">
        <x:v>13341057</x:v>
      </x:c>
      <x:c r="F1706" s="66" t="str">
        <x:v>PENDIDIKAN BAHASA PERANCIS</x:v>
      </x:c>
      <x:c r="G1706" s="66" t="str">
        <x:v>Sarjana</x:v>
      </x:c>
      <x:c r="H1706" s="87" t="n">
        <x:v>16</x:v>
      </x:c>
      <x:c r="I1706" s="87" t="n">
        <x:v>102</x:v>
      </x:c>
      <x:c r="J1706" s="68" t="n">
        <x:f>IFERROR(H1706/I1706,"")</x:f>
        <x:v>0.1568627450980392</x:v>
      </x:c>
      <x:c r="K1706" s="69" t="n">
        <x:f>IFERROR(I1706/H1706,"")</x:f>
        <x:v>6.375</x:v>
      </x:c>
      <x:c r="L1706" s="66" t="str">
        <x:f>IF(K1706="","","1 : "&amp;TEXT(K1706,"0.0"))</x:f>
        <x:v>1 : 6.4</x:v>
      </x:c>
      <x:c r="M1706" s="66" t="str">
        <x:f>IF(J1706="","Baru/Tanpa Data",IF(J1706&lt;='Catatan &amp; Sumber'!$B$14,"Sangat Ketat",IF(J1706&lt;='Catatan &amp; Sumber'!$B$15,"Ketat",IF(J1706&lt;='Catatan &amp; Sumber'!$B$16,"Sedang","Relatif Longgar"))))</x:f>
        <x:v>Relatif Longgar</x:v>
      </x:c>
      <x:c r="N1706" s="66" t="str">
        <x:v>Tidak Ada</x:v>
      </x:c>
      <x:c r="O1706" s="66" t="str">
        <x:v>Jawa Barat</x:v>
      </x:c>
      <x:c r="P1706" s="66" t="str">
        <x:v>Kota Bandung</x:v>
      </x:c>
      <x:c r="Q1706" s="66" t="str">
        <x:v>https://snpmb.id/snbp/daya-tampung-snbp</x:v>
      </x:c>
      <x:c r="R1706" s="66" t="str">
        <x:v>https://sidatagrun-public-1076756628210.asia-southeast2.run.app/ptn_sn.php?ptn=334</x:v>
      </x:c>
    </x:row>
    <x:row r="1707">
      <x:c r="A1707" s="87" t="n">
        <x:v>1999</x:v>
      </x:c>
      <x:c r="B1707" s="66" t="n">
        <x:v>334</x:v>
      </x:c>
      <x:c r="C1707" s="66" t="str">
        <x:v>UNIVERSITAS PENDIDIKAN INDONESIA</x:v>
      </x:c>
      <x:c r="D1707" s="66" t="str">
        <x:v>PTN Akademik</x:v>
      </x:c>
      <x:c r="E1707" s="66" t="str">
        <x:v>13341058</x:v>
      </x:c>
      <x:c r="F1707" s="66" t="str">
        <x:v>PENDIDIKAN SENI RUPA DAN KERAJINAN</x:v>
      </x:c>
      <x:c r="G1707" s="66" t="str">
        <x:v>Sarjana</x:v>
      </x:c>
      <x:c r="H1707" s="87" t="n">
        <x:v>31</x:v>
      </x:c>
      <x:c r="I1707" s="87" t="n">
        <x:v>204</x:v>
      </x:c>
      <x:c r="J1707" s="68" t="n">
        <x:f>IFERROR(H1707/I1707,"")</x:f>
        <x:v>0.15196078431372548</x:v>
      </x:c>
      <x:c r="K1707" s="69" t="n">
        <x:f>IFERROR(I1707/H1707,"")</x:f>
        <x:v>6.580645161290323</x:v>
      </x:c>
      <x:c r="L1707" s="66" t="str">
        <x:f>IF(K1707="","","1 : "&amp;TEXT(K1707,"0.0"))</x:f>
        <x:v>1 : 6.6</x:v>
      </x:c>
      <x:c r="M1707" s="66" t="str">
        <x:f>IF(J1707="","Baru/Tanpa Data",IF(J1707&lt;='Catatan &amp; Sumber'!$B$14,"Sangat Ketat",IF(J1707&lt;='Catatan &amp; Sumber'!$B$15,"Ketat",IF(J1707&lt;='Catatan &amp; Sumber'!$B$16,"Sedang","Relatif Longgar"))))</x:f>
        <x:v>Relatif Longgar</x:v>
      </x:c>
      <x:c r="N1707" s="66" t="str">
        <x:v>Seni Rupa, Desain, dan Kriya</x:v>
      </x:c>
      <x:c r="O1707" s="66" t="str">
        <x:v>Jawa Barat</x:v>
      </x:c>
      <x:c r="P1707" s="66" t="str">
        <x:v>Kota Bandung</x:v>
      </x:c>
      <x:c r="Q1707" s="66" t="str">
        <x:v>https://snpmb.id/snbp/daya-tampung-snbp</x:v>
      </x:c>
      <x:c r="R1707" s="66" t="str">
        <x:v>https://sidatagrun-public-1076756628210.asia-southeast2.run.app/ptn_sn.php?ptn=334</x:v>
      </x:c>
    </x:row>
    <x:row r="1708">
      <x:c r="A1708" s="87" t="n">
        <x:v>1952</x:v>
      </x:c>
      <x:c r="B1708" s="66" t="n">
        <x:v>334</x:v>
      </x:c>
      <x:c r="C1708" s="66" t="str">
        <x:v>UNIVERSITAS PENDIDIKAN INDONESIA</x:v>
      </x:c>
      <x:c r="D1708" s="66" t="str">
        <x:v>PTN Akademik</x:v>
      </x:c>
      <x:c r="E1708" s="66" t="str">
        <x:v>13341059</x:v>
      </x:c>
      <x:c r="F1708" s="66" t="str">
        <x:v>PENDIDIKAN SENI TARI</x:v>
      </x:c>
      <x:c r="G1708" s="66" t="str">
        <x:v>Sarjana</x:v>
      </x:c>
      <x:c r="H1708" s="87" t="n">
        <x:v>39</x:v>
      </x:c>
      <x:c r="I1708" s="87" t="n">
        <x:v>266</x:v>
      </x:c>
      <x:c r="J1708" s="68" t="n">
        <x:f>IFERROR(H1708/I1708,"")</x:f>
        <x:v>0.14661654135338345</x:v>
      </x:c>
      <x:c r="K1708" s="69" t="n">
        <x:f>IFERROR(I1708/H1708,"")</x:f>
        <x:v>6.82051282051282</x:v>
      </x:c>
      <x:c r="L1708" s="66" t="str">
        <x:f>IF(K1708="","","1 : "&amp;TEXT(K1708,"0.0"))</x:f>
        <x:v>1 : 6.8</x:v>
      </x:c>
      <x:c r="M1708" s="66" t="str">
        <x:f>IF(J1708="","Baru/Tanpa Data",IF(J1708&lt;='Catatan &amp; Sumber'!$B$14,"Sangat Ketat",IF(J1708&lt;='Catatan &amp; Sumber'!$B$15,"Ketat",IF(J1708&lt;='Catatan &amp; Sumber'!$B$16,"Sedang","Relatif Longgar"))))</x:f>
        <x:v>Relatif Longgar</x:v>
      </x:c>
      <x:c r="N1708" s="66" t="str">
        <x:v>Tari</x:v>
      </x:c>
      <x:c r="O1708" s="66" t="str">
        <x:v>Jawa Barat</x:v>
      </x:c>
      <x:c r="P1708" s="66" t="str">
        <x:v>Kota Bandung</x:v>
      </x:c>
      <x:c r="Q1708" s="66" t="str">
        <x:v>https://snpmb.id/snbp/daya-tampung-snbp</x:v>
      </x:c>
      <x:c r="R1708" s="66" t="str">
        <x:v>https://sidatagrun-public-1076756628210.asia-southeast2.run.app/ptn_sn.php?ptn=334</x:v>
      </x:c>
    </x:row>
    <x:row r="1709">
      <x:c r="A1709" s="87" t="n">
        <x:v>2522</x:v>
      </x:c>
      <x:c r="B1709" s="66" t="n">
        <x:v>334</x:v>
      </x:c>
      <x:c r="C1709" s="66" t="str">
        <x:v>UNIVERSITAS PENDIDIKAN INDONESIA</x:v>
      </x:c>
      <x:c r="D1709" s="66" t="str">
        <x:v>PTN Akademik</x:v>
      </x:c>
      <x:c r="E1709" s="66" t="str">
        <x:v>13341060</x:v>
      </x:c>
      <x:c r="F1709" s="66" t="str">
        <x:v>PENDIDIKAN SENI MUSIK</x:v>
      </x:c>
      <x:c r="G1709" s="66" t="str">
        <x:v>Sarjana</x:v>
      </x:c>
      <x:c r="H1709" s="87" t="n">
        <x:v>48</x:v>
      </x:c>
      <x:c r="I1709" s="87" t="n">
        <x:v>223</x:v>
      </x:c>
      <x:c r="J1709" s="68" t="n">
        <x:f>IFERROR(H1709/I1709,"")</x:f>
        <x:v>0.21524663677130046</x:v>
      </x:c>
      <x:c r="K1709" s="69" t="n">
        <x:f>IFERROR(I1709/H1709,"")</x:f>
        <x:v>4.645833333333333</x:v>
      </x:c>
      <x:c r="L1709" s="66" t="str">
        <x:f>IF(K1709="","","1 : "&amp;TEXT(K1709,"0.0"))</x:f>
        <x:v>1 : 4.6</x:v>
      </x:c>
      <x:c r="M1709" s="66" t="str">
        <x:f>IF(J1709="","Baru/Tanpa Data",IF(J1709&lt;='Catatan &amp; Sumber'!$B$14,"Sangat Ketat",IF(J1709&lt;='Catatan &amp; Sumber'!$B$15,"Ketat",IF(J1709&lt;='Catatan &amp; Sumber'!$B$16,"Sedang","Relatif Longgar"))))</x:f>
        <x:v>Relatif Longgar</x:v>
      </x:c>
      <x:c r="N1709" s="66" t="str">
        <x:v>Musik</x:v>
      </x:c>
      <x:c r="O1709" s="66" t="str">
        <x:v>Jawa Barat</x:v>
      </x:c>
      <x:c r="P1709" s="66" t="str">
        <x:v>Kota Bandung</x:v>
      </x:c>
      <x:c r="Q1709" s="66" t="str">
        <x:v>https://snpmb.id/snbp/daya-tampung-snbp</x:v>
      </x:c>
      <x:c r="R1709" s="66" t="str">
        <x:v>https://sidatagrun-public-1076756628210.asia-southeast2.run.app/ptn_sn.php?ptn=334</x:v>
      </x:c>
    </x:row>
    <x:row r="1710">
      <x:c r="A1710" s="87" t="n">
        <x:v>446</x:v>
      </x:c>
      <x:c r="B1710" s="66" t="n">
        <x:v>334</x:v>
      </x:c>
      <x:c r="C1710" s="66" t="str">
        <x:v>UNIVERSITAS PENDIDIKAN INDONESIA</x:v>
      </x:c>
      <x:c r="D1710" s="66" t="str">
        <x:v>PTN Akademik</x:v>
      </x:c>
      <x:c r="E1710" s="66" t="str">
        <x:v>13341061</x:v>
      </x:c>
      <x:c r="F1710" s="66" t="str">
        <x:v>BAHASA DAN SASTRA INGGRIS</x:v>
      </x:c>
      <x:c r="G1710" s="66" t="str">
        <x:v>Sarjana</x:v>
      </x:c>
      <x:c r="H1710" s="87" t="n">
        <x:v>54</x:v>
      </x:c>
      <x:c r="I1710" s="87" t="n">
        <x:v>1104</x:v>
      </x:c>
      <x:c r="J1710" s="68" t="n">
        <x:f>IFERROR(H1710/I1710,"")</x:f>
        <x:v>0.04891304347826087</x:v>
      </x:c>
      <x:c r="K1710" s="69" t="n">
        <x:f>IFERROR(I1710/H1710,"")</x:f>
        <x:v>20.444444444444443</x:v>
      </x:c>
      <x:c r="L1710" s="66" t="str">
        <x:f>IF(K1710="","","1 : "&amp;TEXT(K1710,"0.0"))</x:f>
        <x:v>1 : 20.4</x:v>
      </x:c>
      <x:c r="M1710" s="66" t="str">
        <x:f>IF(J1710="","Baru/Tanpa Data",IF(J1710&lt;='Catatan &amp; Sumber'!$B$14,"Sangat Ketat",IF(J1710&lt;='Catatan &amp; Sumber'!$B$15,"Ketat",IF(J1710&lt;='Catatan &amp; Sumber'!$B$16,"Sedang","Relatif Longgar"))))</x:f>
        <x:v>Ketat</x:v>
      </x:c>
      <x:c r="N1710" s="66" t="str">
        <x:v>Tidak Ada</x:v>
      </x:c>
      <x:c r="O1710" s="66" t="str">
        <x:v>Jawa Barat</x:v>
      </x:c>
      <x:c r="P1710" s="66" t="str">
        <x:v>Kota Bandung</x:v>
      </x:c>
      <x:c r="Q1710" s="66" t="str">
        <x:v>https://snpmb.id/snbp/daya-tampung-snbp</x:v>
      </x:c>
      <x:c r="R1710" s="66" t="str">
        <x:v>https://sidatagrun-public-1076756628210.asia-southeast2.run.app/ptn_sn.php?ptn=334</x:v>
      </x:c>
    </x:row>
    <x:row r="1711">
      <x:c r="A1711" s="87" t="n">
        <x:v>854</x:v>
      </x:c>
      <x:c r="B1711" s="66" t="n">
        <x:v>334</x:v>
      </x:c>
      <x:c r="C1711" s="66" t="str">
        <x:v>UNIVERSITAS PENDIDIKAN INDONESIA</x:v>
      </x:c>
      <x:c r="D1711" s="66" t="str">
        <x:v>PTN Akademik</x:v>
      </x:c>
      <x:c r="E1711" s="66" t="str">
        <x:v>13341062</x:v>
      </x:c>
      <x:c r="F1711" s="66" t="str">
        <x:v>BAHASA DAN SASTRA INDONESIA</x:v>
      </x:c>
      <x:c r="G1711" s="66" t="str">
        <x:v>Sarjana</x:v>
      </x:c>
      <x:c r="H1711" s="87" t="n">
        <x:v>36</x:v>
      </x:c>
      <x:c r="I1711" s="87" t="n">
        <x:v>518</x:v>
      </x:c>
      <x:c r="J1711" s="68" t="n">
        <x:f>IFERROR(H1711/I1711,"")</x:f>
        <x:v>0.0694980694980695</x:v>
      </x:c>
      <x:c r="K1711" s="69" t="n">
        <x:f>IFERROR(I1711/H1711,"")</x:f>
        <x:v>14.38888888888889</x:v>
      </x:c>
      <x:c r="L1711" s="66" t="str">
        <x:f>IF(K1711="","","1 : "&amp;TEXT(K1711,"0.0"))</x:f>
        <x:v>1 : 14.4</x:v>
      </x:c>
      <x:c r="M1711" s="66" t="str">
        <x:f>IF(J1711="","Baru/Tanpa Data",IF(J1711&lt;='Catatan &amp; Sumber'!$B$14,"Sangat Ketat",IF(J1711&lt;='Catatan &amp; Sumber'!$B$15,"Ketat",IF(J1711&lt;='Catatan &amp; Sumber'!$B$16,"Sedang","Relatif Longgar"))))</x:f>
        <x:v>Sedang</x:v>
      </x:c>
      <x:c r="N1711" s="66" t="str">
        <x:v>Tidak Ada</x:v>
      </x:c>
      <x:c r="O1711" s="66" t="str">
        <x:v>Jawa Barat</x:v>
      </x:c>
      <x:c r="P1711" s="66" t="str">
        <x:v>Kota Bandung</x:v>
      </x:c>
      <x:c r="Q1711" s="66" t="str">
        <x:v>https://snpmb.id/snbp/daya-tampung-snbp</x:v>
      </x:c>
      <x:c r="R1711" s="66" t="str">
        <x:v>https://sidatagrun-public-1076756628210.asia-southeast2.run.app/ptn_sn.php?ptn=334</x:v>
      </x:c>
    </x:row>
    <x:row r="1712">
      <x:c r="A1712" s="87" t="n">
        <x:v>1624</x:v>
      </x:c>
      <x:c r="B1712" s="66" t="n">
        <x:v>334</x:v>
      </x:c>
      <x:c r="C1712" s="66" t="str">
        <x:v>UNIVERSITAS PENDIDIKAN INDONESIA</x:v>
      </x:c>
      <x:c r="D1712" s="66" t="str">
        <x:v>PTN Akademik</x:v>
      </x:c>
      <x:c r="E1712" s="66" t="str">
        <x:v>13341063</x:v>
      </x:c>
      <x:c r="F1712" s="66" t="str">
        <x:v>PENDIDIKAN KESEJAHTERAAN KELUARGA</x:v>
      </x:c>
      <x:c r="G1712" s="66" t="str">
        <x:v>Sarjana</x:v>
      </x:c>
      <x:c r="H1712" s="87" t="n">
        <x:v>24</x:v>
      </x:c>
      <x:c r="I1712" s="87" t="n">
        <x:v>202</x:v>
      </x:c>
      <x:c r="J1712" s="68" t="n">
        <x:f>IFERROR(H1712/I1712,"")</x:f>
        <x:v>0.1188118811881188</x:v>
      </x:c>
      <x:c r="K1712" s="69" t="n">
        <x:f>IFERROR(I1712/H1712,"")</x:f>
        <x:v>8.416666666666666</x:v>
      </x:c>
      <x:c r="L1712" s="66" t="str">
        <x:f>IF(K1712="","","1 : "&amp;TEXT(K1712,"0.0"))</x:f>
        <x:v>1 : 8.4</x:v>
      </x:c>
      <x:c r="M1712" s="66" t="str">
        <x:f>IF(J1712="","Baru/Tanpa Data",IF(J1712&lt;='Catatan &amp; Sumber'!$B$14,"Sangat Ketat",IF(J1712&lt;='Catatan &amp; Sumber'!$B$15,"Ketat",IF(J1712&lt;='Catatan &amp; Sumber'!$B$16,"Sedang","Relatif Longgar"))))</x:f>
        <x:v>Relatif Longgar</x:v>
      </x:c>
      <x:c r="N1712" s="66" t="str">
        <x:v>Tidak Ada</x:v>
      </x:c>
      <x:c r="O1712" s="66" t="str">
        <x:v>Jawa Barat</x:v>
      </x:c>
      <x:c r="P1712" s="66" t="str">
        <x:v>Kota Bandung</x:v>
      </x:c>
      <x:c r="Q1712" s="66" t="str">
        <x:v>https://snpmb.id/snbp/daya-tampung-snbp</x:v>
      </x:c>
      <x:c r="R1712" s="66" t="str">
        <x:v>https://sidatagrun-public-1076756628210.asia-southeast2.run.app/ptn_sn.php?ptn=334</x:v>
      </x:c>
    </x:row>
    <x:row r="1713">
      <x:c r="A1713" s="87" t="n">
        <x:v>19</x:v>
      </x:c>
      <x:c r="B1713" s="66" t="n">
        <x:v>334</x:v>
      </x:c>
      <x:c r="C1713" s="66" t="str">
        <x:v>UNIVERSITAS PENDIDIKAN INDONESIA</x:v>
      </x:c>
      <x:c r="D1713" s="66" t="str">
        <x:v>PTN Akademik</x:v>
      </x:c>
      <x:c r="E1713" s="66" t="str">
        <x:v>13341064</x:v>
      </x:c>
      <x:c r="F1713" s="66" t="str">
        <x:v>PENDIDIKAN TATA BOGA</x:v>
      </x:c>
      <x:c r="G1713" s="66" t="str">
        <x:v>Sarjana</x:v>
      </x:c>
      <x:c r="H1713" s="87" t="n">
        <x:v>16</x:v>
      </x:c>
      <x:c r="I1713" s="87" t="n">
        <x:v>932</x:v>
      </x:c>
      <x:c r="J1713" s="68" t="n">
        <x:f>IFERROR(H1713/I1713,"")</x:f>
        <x:v>0.017167381974248927</x:v>
      </x:c>
      <x:c r="K1713" s="69" t="n">
        <x:f>IFERROR(I1713/H1713,"")</x:f>
        <x:v>58.25</x:v>
      </x:c>
      <x:c r="L1713" s="66" t="str">
        <x:f>IF(K1713="","","1 : "&amp;TEXT(K1713,"0.0"))</x:f>
        <x:v>1 : 58.3</x:v>
      </x:c>
      <x:c r="M1713" s="66" t="str">
        <x:f>IF(J1713="","Baru/Tanpa Data",IF(J1713&lt;='Catatan &amp; Sumber'!$B$14,"Sangat Ketat",IF(J1713&lt;='Catatan &amp; Sumber'!$B$15,"Ketat",IF(J1713&lt;='Catatan &amp; Sumber'!$B$16,"Sedang","Relatif Longgar"))))</x:f>
        <x:v>Sangat Ketat</x:v>
      </x:c>
      <x:c r="N1713" s="66" t="str">
        <x:v>Tidak Ada</x:v>
      </x:c>
      <x:c r="O1713" s="66" t="str">
        <x:v>Jawa Barat</x:v>
      </x:c>
      <x:c r="P1713" s="66" t="str">
        <x:v>Kota Bandung</x:v>
      </x:c>
      <x:c r="Q1713" s="66" t="str">
        <x:v>https://snpmb.id/snbp/daya-tampung-snbp</x:v>
      </x:c>
      <x:c r="R1713" s="66" t="str">
        <x:v>https://sidatagrun-public-1076756628210.asia-southeast2.run.app/ptn_sn.php?ptn=334</x:v>
      </x:c>
    </x:row>
    <x:row r="1714">
      <x:c r="A1714" s="87" t="n">
        <x:v>322</x:v>
      </x:c>
      <x:c r="B1714" s="66" t="n">
        <x:v>334</x:v>
      </x:c>
      <x:c r="C1714" s="66" t="str">
        <x:v>UNIVERSITAS PENDIDIKAN INDONESIA</x:v>
      </x:c>
      <x:c r="D1714" s="66" t="str">
        <x:v>PTN Akademik</x:v>
      </x:c>
      <x:c r="E1714" s="66" t="str">
        <x:v>13341065</x:v>
      </x:c>
      <x:c r="F1714" s="66" t="str">
        <x:v>PENDIDIKAN TATA BUSANA</x:v>
      </x:c>
      <x:c r="G1714" s="66" t="str">
        <x:v>Sarjana</x:v>
      </x:c>
      <x:c r="H1714" s="87" t="n">
        <x:v>24</x:v>
      </x:c>
      <x:c r="I1714" s="87" t="n">
        <x:v>552</x:v>
      </x:c>
      <x:c r="J1714" s="68" t="n">
        <x:f>IFERROR(H1714/I1714,"")</x:f>
        <x:v>0.043478260869565216</x:v>
      </x:c>
      <x:c r="K1714" s="69" t="n">
        <x:f>IFERROR(I1714/H1714,"")</x:f>
        <x:v>23</x:v>
      </x:c>
      <x:c r="L1714" s="66" t="str">
        <x:f>IF(K1714="","","1 : "&amp;TEXT(K1714,"0.0"))</x:f>
        <x:v>1 : 23.0</x:v>
      </x:c>
      <x:c r="M1714" s="66" t="str">
        <x:f>IF(J1714="","Baru/Tanpa Data",IF(J1714&lt;='Catatan &amp; Sumber'!$B$14,"Sangat Ketat",IF(J1714&lt;='Catatan &amp; Sumber'!$B$15,"Ketat",IF(J1714&lt;='Catatan &amp; Sumber'!$B$16,"Sedang","Relatif Longgar"))))</x:f>
        <x:v>Ketat</x:v>
      </x:c>
      <x:c r="N1714" s="66" t="str">
        <x:v>Tidak Ada</x:v>
      </x:c>
      <x:c r="O1714" s="66" t="str">
        <x:v>Jawa Barat</x:v>
      </x:c>
      <x:c r="P1714" s="66" t="str">
        <x:v>Kota Bandung</x:v>
      </x:c>
      <x:c r="Q1714" s="66" t="str">
        <x:v>https://snpmb.id/snbp/daya-tampung-snbp</x:v>
      </x:c>
      <x:c r="R1714" s="66" t="str">
        <x:v>https://sidatagrun-public-1076756628210.asia-southeast2.run.app/ptn_sn.php?ptn=334</x:v>
      </x:c>
    </x:row>
    <x:row r="1715">
      <x:c r="A1715" s="87" t="n">
        <x:v>1796</x:v>
      </x:c>
      <x:c r="B1715" s="66" t="n">
        <x:v>334</x:v>
      </x:c>
      <x:c r="C1715" s="66" t="str">
        <x:v>UNIVERSITAS PENDIDIKAN INDONESIA</x:v>
      </x:c>
      <x:c r="D1715" s="66" t="str">
        <x:v>PTN Akademik</x:v>
      </x:c>
      <x:c r="E1715" s="66" t="str">
        <x:v>13341066</x:v>
      </x:c>
      <x:c r="F1715" s="66" t="str">
        <x:v>PENDIDIKAN KEPELATIHAN OLAHRAGA</x:v>
      </x:c>
      <x:c r="G1715" s="66" t="str">
        <x:v>Sarjana</x:v>
      </x:c>
      <x:c r="H1715" s="87" t="n">
        <x:v>45</x:v>
      </x:c>
      <x:c r="I1715" s="87" t="n">
        <x:v>340</x:v>
      </x:c>
      <x:c r="J1715" s="68" t="n">
        <x:f>IFERROR(H1715/I1715,"")</x:f>
        <x:v>0.1323529411764706</x:v>
      </x:c>
      <x:c r="K1715" s="69" t="n">
        <x:f>IFERROR(I1715/H1715,"")</x:f>
        <x:v>7.555555555555555</x:v>
      </x:c>
      <x:c r="L1715" s="66" t="str">
        <x:f>IF(K1715="","","1 : "&amp;TEXT(K1715,"0.0"))</x:f>
        <x:v>1 : 7.6</x:v>
      </x:c>
      <x:c r="M1715" s="66" t="str">
        <x:f>IF(J1715="","Baru/Tanpa Data",IF(J1715&lt;='Catatan &amp; Sumber'!$B$14,"Sangat Ketat",IF(J1715&lt;='Catatan &amp; Sumber'!$B$15,"Ketat",IF(J1715&lt;='Catatan &amp; Sumber'!$B$16,"Sedang","Relatif Longgar"))))</x:f>
        <x:v>Relatif Longgar</x:v>
      </x:c>
      <x:c r="N1715" s="66" t="str">
        <x:v>Olahraga</x:v>
      </x:c>
      <x:c r="O1715" s="66" t="str">
        <x:v>Jawa Barat</x:v>
      </x:c>
      <x:c r="P1715" s="66" t="str">
        <x:v>Kota Bandung</x:v>
      </x:c>
      <x:c r="Q1715" s="66" t="str">
        <x:v>https://snpmb.id/snbp/daya-tampung-snbp</x:v>
      </x:c>
      <x:c r="R1715" s="66" t="str">
        <x:v>https://sidatagrun-public-1076756628210.asia-southeast2.run.app/ptn_sn.php?ptn=334</x:v>
      </x:c>
    </x:row>
    <x:row r="1716">
      <x:c r="A1716" s="87" t="n">
        <x:v>1714</x:v>
      </x:c>
      <x:c r="B1716" s="66" t="n">
        <x:v>334</x:v>
      </x:c>
      <x:c r="C1716" s="66" t="str">
        <x:v>UNIVERSITAS PENDIDIKAN INDONESIA</x:v>
      </x:c>
      <x:c r="D1716" s="66" t="str">
        <x:v>PTN Akademik</x:v>
      </x:c>
      <x:c r="E1716" s="66" t="str">
        <x:v>13341067</x:v>
      </x:c>
      <x:c r="F1716" s="66" t="str">
        <x:v>PEND. JASMANI KESEHATAN &amp; REKREASI (PJKR)</x:v>
      </x:c>
      <x:c r="G1716" s="66" t="str">
        <x:v>Sarjana</x:v>
      </x:c>
      <x:c r="H1716" s="87" t="n">
        <x:v>101</x:v>
      </x:c>
      <x:c r="I1716" s="87" t="n">
        <x:v>807</x:v>
      </x:c>
      <x:c r="J1716" s="68" t="n">
        <x:f>IFERROR(H1716/I1716,"")</x:f>
        <x:v>0.1251548946716233</x:v>
      </x:c>
      <x:c r="K1716" s="69" t="n">
        <x:f>IFERROR(I1716/H1716,"")</x:f>
        <x:v>7.99009900990099</x:v>
      </x:c>
      <x:c r="L1716" s="66" t="str">
        <x:f>IF(K1716="","","1 : "&amp;TEXT(K1716,"0.0"))</x:f>
        <x:v>1 : 8.0</x:v>
      </x:c>
      <x:c r="M1716" s="66" t="str">
        <x:f>IF(J1716="","Baru/Tanpa Data",IF(J1716&lt;='Catatan &amp; Sumber'!$B$14,"Sangat Ketat",IF(J1716&lt;='Catatan &amp; Sumber'!$B$15,"Ketat",IF(J1716&lt;='Catatan &amp; Sumber'!$B$16,"Sedang","Relatif Longgar"))))</x:f>
        <x:v>Relatif Longgar</x:v>
      </x:c>
      <x:c r="N1716" s="66" t="str">
        <x:v>Olahraga</x:v>
      </x:c>
      <x:c r="O1716" s="66" t="str">
        <x:v>Jawa Barat</x:v>
      </x:c>
      <x:c r="P1716" s="66" t="str">
        <x:v>Kota Bandung</x:v>
      </x:c>
      <x:c r="Q1716" s="66" t="str">
        <x:v>https://snpmb.id/snbp/daya-tampung-snbp</x:v>
      </x:c>
      <x:c r="R1716" s="66" t="str">
        <x:v>https://sidatagrun-public-1076756628210.asia-southeast2.run.app/ptn_sn.php?ptn=334</x:v>
      </x:c>
    </x:row>
    <x:row r="1717">
      <x:c r="A1717" s="87" t="n">
        <x:v>1006</x:v>
      </x:c>
      <x:c r="B1717" s="66" t="n">
        <x:v>334</x:v>
      </x:c>
      <x:c r="C1717" s="66" t="str">
        <x:v>UNIVERSITAS PENDIDIKAN INDONESIA</x:v>
      </x:c>
      <x:c r="D1717" s="66" t="str">
        <x:v>PTN Akademik</x:v>
      </x:c>
      <x:c r="E1717" s="66" t="str">
        <x:v>13341068</x:v>
      </x:c>
      <x:c r="F1717" s="66" t="str">
        <x:v>PENDIDIKAN AKUNTANSI</x:v>
      </x:c>
      <x:c r="G1717" s="66" t="str">
        <x:v>Sarjana</x:v>
      </x:c>
      <x:c r="H1717" s="87" t="n">
        <x:v>25</x:v>
      </x:c>
      <x:c r="I1717" s="87" t="n">
        <x:v>318</x:v>
      </x:c>
      <x:c r="J1717" s="68" t="n">
        <x:f>IFERROR(H1717/I1717,"")</x:f>
        <x:v>0.07861635220125786</x:v>
      </x:c>
      <x:c r="K1717" s="69" t="n">
        <x:f>IFERROR(I1717/H1717,"")</x:f>
        <x:v>12.72</x:v>
      </x:c>
      <x:c r="L1717" s="66" t="str">
        <x:f>IF(K1717="","","1 : "&amp;TEXT(K1717,"0.0"))</x:f>
        <x:v>1 : 12.7</x:v>
      </x:c>
      <x:c r="M1717" s="66" t="str">
        <x:f>IF(J1717="","Baru/Tanpa Data",IF(J1717&lt;='Catatan &amp; Sumber'!$B$14,"Sangat Ketat",IF(J1717&lt;='Catatan &amp; Sumber'!$B$15,"Ketat",IF(J1717&lt;='Catatan &amp; Sumber'!$B$16,"Sedang","Relatif Longgar"))))</x:f>
        <x:v>Sedang</x:v>
      </x:c>
      <x:c r="N1717" s="66" t="str">
        <x:v>Tidak Ada</x:v>
      </x:c>
      <x:c r="O1717" s="66" t="str">
        <x:v>Jawa Barat</x:v>
      </x:c>
      <x:c r="P1717" s="66" t="str">
        <x:v>Kota Bandung</x:v>
      </x:c>
      <x:c r="Q1717" s="66" t="str">
        <x:v>https://snpmb.id/snbp/daya-tampung-snbp</x:v>
      </x:c>
      <x:c r="R1717" s="66" t="str">
        <x:v>https://sidatagrun-public-1076756628210.asia-southeast2.run.app/ptn_sn.php?ptn=334</x:v>
      </x:c>
    </x:row>
    <x:row r="1718">
      <x:c r="A1718" s="87" t="n">
        <x:v>672</x:v>
      </x:c>
      <x:c r="B1718" s="66" t="n">
        <x:v>334</x:v>
      </x:c>
      <x:c r="C1718" s="66" t="str">
        <x:v>UNIVERSITAS PENDIDIKAN INDONESIA</x:v>
      </x:c>
      <x:c r="D1718" s="66" t="str">
        <x:v>PTN Akademik</x:v>
      </x:c>
      <x:c r="E1718" s="66" t="str">
        <x:v>13341069</x:v>
      </x:c>
      <x:c r="F1718" s="66" t="str">
        <x:v>PENDIDIKAN BISNIS</x:v>
      </x:c>
      <x:c r="G1718" s="66" t="str">
        <x:v>Sarjana</x:v>
      </x:c>
      <x:c r="H1718" s="87" t="n">
        <x:v>25</x:v>
      </x:c>
      <x:c r="I1718" s="87" t="n">
        <x:v>414</x:v>
      </x:c>
      <x:c r="J1718" s="68" t="n">
        <x:f>IFERROR(H1718/I1718,"")</x:f>
        <x:v>0.06038647342995169</x:v>
      </x:c>
      <x:c r="K1718" s="69" t="n">
        <x:f>IFERROR(I1718/H1718,"")</x:f>
        <x:v>16.56</x:v>
      </x:c>
      <x:c r="L1718" s="66" t="str">
        <x:f>IF(K1718="","","1 : "&amp;TEXT(K1718,"0.0"))</x:f>
        <x:v>1 : 16.6</x:v>
      </x:c>
      <x:c r="M1718" s="66" t="str">
        <x:f>IF(J1718="","Baru/Tanpa Data",IF(J1718&lt;='Catatan &amp; Sumber'!$B$14,"Sangat Ketat",IF(J1718&lt;='Catatan &amp; Sumber'!$B$15,"Ketat",IF(J1718&lt;='Catatan &amp; Sumber'!$B$16,"Sedang","Relatif Longgar"))))</x:f>
        <x:v>Sedang</x:v>
      </x:c>
      <x:c r="N1718" s="66" t="str">
        <x:v>Tidak Ada</x:v>
      </x:c>
      <x:c r="O1718" s="66" t="str">
        <x:v>Jawa Barat</x:v>
      </x:c>
      <x:c r="P1718" s="66" t="str">
        <x:v>Kota Bandung</x:v>
      </x:c>
      <x:c r="Q1718" s="66" t="str">
        <x:v>https://snpmb.id/snbp/daya-tampung-snbp</x:v>
      </x:c>
      <x:c r="R1718" s="66" t="str">
        <x:v>https://sidatagrun-public-1076756628210.asia-southeast2.run.app/ptn_sn.php?ptn=334</x:v>
      </x:c>
    </x:row>
    <x:row r="1719">
      <x:c r="A1719" s="87" t="n">
        <x:v>344</x:v>
      </x:c>
      <x:c r="B1719" s="66" t="n">
        <x:v>334</x:v>
      </x:c>
      <x:c r="C1719" s="66" t="str">
        <x:v>UNIVERSITAS PENDIDIKAN INDONESIA</x:v>
      </x:c>
      <x:c r="D1719" s="66" t="str">
        <x:v>PTN Akademik</x:v>
      </x:c>
      <x:c r="E1719" s="66" t="str">
        <x:v>13341070</x:v>
      </x:c>
      <x:c r="F1719" s="66" t="str">
        <x:v>PENDIDIKAN MANAJEMEN PERKANTORAN</x:v>
      </x:c>
      <x:c r="G1719" s="66" t="str">
        <x:v>Sarjana</x:v>
      </x:c>
      <x:c r="H1719" s="87" t="n">
        <x:v>29</x:v>
      </x:c>
      <x:c r="I1719" s="87" t="n">
        <x:v>655</x:v>
      </x:c>
      <x:c r="J1719" s="68" t="n">
        <x:f>IFERROR(H1719/I1719,"")</x:f>
        <x:v>0.044274809160305344</x:v>
      </x:c>
      <x:c r="K1719" s="69" t="n">
        <x:f>IFERROR(I1719/H1719,"")</x:f>
        <x:v>22.586206896551722</x:v>
      </x:c>
      <x:c r="L1719" s="66" t="str">
        <x:f>IF(K1719="","","1 : "&amp;TEXT(K1719,"0.0"))</x:f>
        <x:v>1 : 22.6</x:v>
      </x:c>
      <x:c r="M1719" s="66" t="str">
        <x:f>IF(J1719="","Baru/Tanpa Data",IF(J1719&lt;='Catatan &amp; Sumber'!$B$14,"Sangat Ketat",IF(J1719&lt;='Catatan &amp; Sumber'!$B$15,"Ketat",IF(J1719&lt;='Catatan &amp; Sumber'!$B$16,"Sedang","Relatif Longgar"))))</x:f>
        <x:v>Ketat</x:v>
      </x:c>
      <x:c r="N1719" s="66" t="str">
        <x:v>Tidak Ada</x:v>
      </x:c>
      <x:c r="O1719" s="66" t="str">
        <x:v>Jawa Barat</x:v>
      </x:c>
      <x:c r="P1719" s="66" t="str">
        <x:v>Kota Bandung</x:v>
      </x:c>
      <x:c r="Q1719" s="66" t="str">
        <x:v>https://snpmb.id/snbp/daya-tampung-snbp</x:v>
      </x:c>
      <x:c r="R1719" s="66" t="str">
        <x:v>https://sidatagrun-public-1076756628210.asia-southeast2.run.app/ptn_sn.php?ptn=334</x:v>
      </x:c>
    </x:row>
    <x:row r="1720">
      <x:c r="A1720" s="87" t="n">
        <x:v>877</x:v>
      </x:c>
      <x:c r="B1720" s="66" t="n">
        <x:v>334</x:v>
      </x:c>
      <x:c r="C1720" s="66" t="str">
        <x:v>UNIVERSITAS PENDIDIKAN INDONESIA</x:v>
      </x:c>
      <x:c r="D1720" s="66" t="str">
        <x:v>PTN Akademik</x:v>
      </x:c>
      <x:c r="E1720" s="66" t="str">
        <x:v>13341071</x:v>
      </x:c>
      <x:c r="F1720" s="66" t="str">
        <x:v>PENDIDIKAN EKONOMI</x:v>
      </x:c>
      <x:c r="G1720" s="66" t="str">
        <x:v>Sarjana</x:v>
      </x:c>
      <x:c r="H1720" s="87" t="n">
        <x:v>25</x:v>
      </x:c>
      <x:c r="I1720" s="87" t="n">
        <x:v>353</x:v>
      </x:c>
      <x:c r="J1720" s="68" t="n">
        <x:f>IFERROR(H1720/I1720,"")</x:f>
        <x:v>0.0708215297450425</x:v>
      </x:c>
      <x:c r="K1720" s="69" t="n">
        <x:f>IFERROR(I1720/H1720,"")</x:f>
        <x:v>14.12</x:v>
      </x:c>
      <x:c r="L1720" s="66" t="str">
        <x:f>IF(K1720="","","1 : "&amp;TEXT(K1720,"0.0"))</x:f>
        <x:v>1 : 14.1</x:v>
      </x:c>
      <x:c r="M1720" s="66" t="str">
        <x:f>IF(J1720="","Baru/Tanpa Data",IF(J1720&lt;='Catatan &amp; Sumber'!$B$14,"Sangat Ketat",IF(J1720&lt;='Catatan &amp; Sumber'!$B$15,"Ketat",IF(J1720&lt;='Catatan &amp; Sumber'!$B$16,"Sedang","Relatif Longgar"))))</x:f>
        <x:v>Sedang</x:v>
      </x:c>
      <x:c r="N1720" s="66" t="str">
        <x:v>Tidak Ada</x:v>
      </x:c>
      <x:c r="O1720" s="66" t="str">
        <x:v>Jawa Barat</x:v>
      </x:c>
      <x:c r="P1720" s="66" t="str">
        <x:v>Kota Bandung</x:v>
      </x:c>
      <x:c r="Q1720" s="66" t="str">
        <x:v>https://snpmb.id/snbp/daya-tampung-snbp</x:v>
      </x:c>
      <x:c r="R1720" s="66" t="str">
        <x:v>https://sidatagrun-public-1076756628210.asia-southeast2.run.app/ptn_sn.php?ptn=334</x:v>
      </x:c>
    </x:row>
    <x:row r="1721">
      <x:c r="A1721" s="87" t="n">
        <x:v>11</x:v>
      </x:c>
      <x:c r="B1721" s="66" t="n">
        <x:v>334</x:v>
      </x:c>
      <x:c r="C1721" s="66" t="str">
        <x:v>UNIVERSITAS PENDIDIKAN INDONESIA</x:v>
      </x:c>
      <x:c r="D1721" s="66" t="str">
        <x:v>PTN Akademik</x:v>
      </x:c>
      <x:c r="E1721" s="66" t="str">
        <x:v>13341072</x:v>
      </x:c>
      <x:c r="F1721" s="66" t="str">
        <x:v>MANAJEMEN</x:v>
      </x:c>
      <x:c r="G1721" s="66" t="str">
        <x:v>Sarjana</x:v>
      </x:c>
      <x:c r="H1721" s="87" t="n">
        <x:v>25</x:v>
      </x:c>
      <x:c r="I1721" s="87" t="n">
        <x:v>1660</x:v>
      </x:c>
      <x:c r="J1721" s="68" t="n">
        <x:f>IFERROR(H1721/I1721,"")</x:f>
        <x:v>0.015060240963855422</x:v>
      </x:c>
      <x:c r="K1721" s="69" t="n">
        <x:f>IFERROR(I1721/H1721,"")</x:f>
        <x:v>66.4</x:v>
      </x:c>
      <x:c r="L1721" s="66" t="str">
        <x:f>IF(K1721="","","1 : "&amp;TEXT(K1721,"0.0"))</x:f>
        <x:v>1 : 66.4</x:v>
      </x:c>
      <x:c r="M1721" s="66" t="str">
        <x:f>IF(J1721="","Baru/Tanpa Data",IF(J1721&lt;='Catatan &amp; Sumber'!$B$14,"Sangat Ketat",IF(J1721&lt;='Catatan &amp; Sumber'!$B$15,"Ketat",IF(J1721&lt;='Catatan &amp; Sumber'!$B$16,"Sedang","Relatif Longgar"))))</x:f>
        <x:v>Sangat Ketat</x:v>
      </x:c>
      <x:c r="N1721" s="66" t="str">
        <x:v>Tidak Ada</x:v>
      </x:c>
      <x:c r="O1721" s="66" t="str">
        <x:v>Jawa Barat</x:v>
      </x:c>
      <x:c r="P1721" s="66" t="str">
        <x:v>Kota Bandung</x:v>
      </x:c>
      <x:c r="Q1721" s="66" t="str">
        <x:v>https://snpmb.id/snbp/daya-tampung-snbp</x:v>
      </x:c>
      <x:c r="R1721" s="66" t="str">
        <x:v>https://sidatagrun-public-1076756628210.asia-southeast2.run.app/ptn_sn.php?ptn=334</x:v>
      </x:c>
    </x:row>
    <x:row r="1722">
      <x:c r="A1722" s="87" t="n">
        <x:v>25</x:v>
      </x:c>
      <x:c r="B1722" s="66" t="n">
        <x:v>334</x:v>
      </x:c>
      <x:c r="C1722" s="66" t="str">
        <x:v>UNIVERSITAS PENDIDIKAN INDONESIA</x:v>
      </x:c>
      <x:c r="D1722" s="66" t="str">
        <x:v>PTN Akademik</x:v>
      </x:c>
      <x:c r="E1722" s="66" t="str">
        <x:v>13341073</x:v>
      </x:c>
      <x:c r="F1722" s="66" t="str">
        <x:v>AKUNTANSI</x:v>
      </x:c>
      <x:c r="G1722" s="66" t="str">
        <x:v>Sarjana</x:v>
      </x:c>
      <x:c r="H1722" s="87" t="n">
        <x:v>24</x:v>
      </x:c>
      <x:c r="I1722" s="87" t="n">
        <x:v>1298</x:v>
      </x:c>
      <x:c r="J1722" s="68" t="n">
        <x:f>IFERROR(H1722/I1722,"")</x:f>
        <x:v>0.01848998459167951</x:v>
      </x:c>
      <x:c r="K1722" s="69" t="n">
        <x:f>IFERROR(I1722/H1722,"")</x:f>
        <x:v>54.083333333333336</x:v>
      </x:c>
      <x:c r="L1722" s="66" t="str">
        <x:f>IF(K1722="","","1 : "&amp;TEXT(K1722,"0.0"))</x:f>
        <x:v>1 : 54.1</x:v>
      </x:c>
      <x:c r="M1722" s="66" t="str">
        <x:f>IF(J1722="","Baru/Tanpa Data",IF(J1722&lt;='Catatan &amp; Sumber'!$B$14,"Sangat Ketat",IF(J1722&lt;='Catatan &amp; Sumber'!$B$15,"Ketat",IF(J1722&lt;='Catatan &amp; Sumber'!$B$16,"Sedang","Relatif Longgar"))))</x:f>
        <x:v>Sangat Ketat</x:v>
      </x:c>
      <x:c r="N1722" s="66" t="str">
        <x:v>Tidak Ada</x:v>
      </x:c>
      <x:c r="O1722" s="66" t="str">
        <x:v>Jawa Barat</x:v>
      </x:c>
      <x:c r="P1722" s="66" t="str">
        <x:v>Kota Bandung</x:v>
      </x:c>
      <x:c r="Q1722" s="66" t="str">
        <x:v>https://snpmb.id/snbp/daya-tampung-snbp</x:v>
      </x:c>
      <x:c r="R1722" s="66" t="str">
        <x:v>https://sidatagrun-public-1076756628210.asia-southeast2.run.app/ptn_sn.php?ptn=334</x:v>
      </x:c>
    </x:row>
    <x:row r="1723">
      <x:c r="A1723" s="87" t="n">
        <x:v>1406</x:v>
      </x:c>
      <x:c r="B1723" s="66" t="n">
        <x:v>334</x:v>
      </x:c>
      <x:c r="C1723" s="66" t="str">
        <x:v>UNIVERSITAS PENDIDIKAN INDONESIA</x:v>
      </x:c>
      <x:c r="D1723" s="66" t="str">
        <x:v>PTN Akademik</x:v>
      </x:c>
      <x:c r="E1723" s="66" t="str">
        <x:v>13341074</x:v>
      </x:c>
      <x:c r="F1723" s="66" t="str">
        <x:v>PERPUSTAKAAN DAN SAINS INFORMASI</x:v>
      </x:c>
      <x:c r="G1723" s="66" t="str">
        <x:v>Sarjana</x:v>
      </x:c>
      <x:c r="H1723" s="87" t="n">
        <x:v>29</x:v>
      </x:c>
      <x:c r="I1723" s="87" t="n">
        <x:v>283</x:v>
      </x:c>
      <x:c r="J1723" s="68" t="n">
        <x:f>IFERROR(H1723/I1723,"")</x:f>
        <x:v>0.10247349823321555</x:v>
      </x:c>
      <x:c r="K1723" s="69" t="n">
        <x:f>IFERROR(I1723/H1723,"")</x:f>
        <x:v>9.758620689655173</x:v>
      </x:c>
      <x:c r="L1723" s="66" t="str">
        <x:f>IF(K1723="","","1 : "&amp;TEXT(K1723,"0.0"))</x:f>
        <x:v>1 : 9.8</x:v>
      </x:c>
      <x:c r="M1723" s="66" t="str">
        <x:f>IF(J1723="","Baru/Tanpa Data",IF(J1723&lt;='Catatan &amp; Sumber'!$B$14,"Sangat Ketat",IF(J1723&lt;='Catatan &amp; Sumber'!$B$15,"Ketat",IF(J1723&lt;='Catatan &amp; Sumber'!$B$16,"Sedang","Relatif Longgar"))))</x:f>
        <x:v>Relatif Longgar</x:v>
      </x:c>
      <x:c r="N1723" s="66" t="str">
        <x:v>Tidak Ada</x:v>
      </x:c>
      <x:c r="O1723" s="66" t="str">
        <x:v>Jawa Barat</x:v>
      </x:c>
      <x:c r="P1723" s="66" t="str">
        <x:v>Kota Bandung</x:v>
      </x:c>
      <x:c r="Q1723" s="66" t="str">
        <x:v>https://snpmb.id/snbp/daya-tampung-snbp</x:v>
      </x:c>
      <x:c r="R1723" s="66" t="str">
        <x:v>https://sidatagrun-public-1076756628210.asia-southeast2.run.app/ptn_sn.php?ptn=334</x:v>
      </x:c>
    </x:row>
    <x:row r="1724">
      <x:c r="A1724" s="87" t="n">
        <x:v>1287</x:v>
      </x:c>
      <x:c r="B1724" s="66" t="n">
        <x:v>334</x:v>
      </x:c>
      <x:c r="C1724" s="66" t="str">
        <x:v>UNIVERSITAS PENDIDIKAN INDONESIA</x:v>
      </x:c>
      <x:c r="D1724" s="66" t="str">
        <x:v>PTN Akademik</x:v>
      </x:c>
      <x:c r="E1724" s="66" t="str">
        <x:v>13341075</x:v>
      </x:c>
      <x:c r="F1724" s="66" t="str">
        <x:v>PENDIDIKAN IPS</x:v>
      </x:c>
      <x:c r="G1724" s="66" t="str">
        <x:v>Sarjana</x:v>
      </x:c>
      <x:c r="H1724" s="87" t="n">
        <x:v>35</x:v>
      </x:c>
      <x:c r="I1724" s="87" t="n">
        <x:v>370</x:v>
      </x:c>
      <x:c r="J1724" s="68" t="n">
        <x:f>IFERROR(H1724/I1724,"")</x:f>
        <x:v>0.0945945945945946</x:v>
      </x:c>
      <x:c r="K1724" s="69" t="n">
        <x:f>IFERROR(I1724/H1724,"")</x:f>
        <x:v>10.571428571428571</x:v>
      </x:c>
      <x:c r="L1724" s="66" t="str">
        <x:f>IF(K1724="","","1 : "&amp;TEXT(K1724,"0.0"))</x:f>
        <x:v>1 : 10.6</x:v>
      </x:c>
      <x:c r="M1724" s="66" t="str">
        <x:f>IF(J1724="","Baru/Tanpa Data",IF(J1724&lt;='Catatan &amp; Sumber'!$B$14,"Sangat Ketat",IF(J1724&lt;='Catatan &amp; Sumber'!$B$15,"Ketat",IF(J1724&lt;='Catatan &amp; Sumber'!$B$16,"Sedang","Relatif Longgar"))))</x:f>
        <x:v>Sedang</x:v>
      </x:c>
      <x:c r="N1724" s="66" t="str">
        <x:v>Tidak Ada</x:v>
      </x:c>
      <x:c r="O1724" s="66" t="str">
        <x:v>Jawa Barat</x:v>
      </x:c>
      <x:c r="P1724" s="66" t="str">
        <x:v>Kota Bandung</x:v>
      </x:c>
      <x:c r="Q1724" s="66" t="str">
        <x:v>https://snpmb.id/snbp/daya-tampung-snbp</x:v>
      </x:c>
      <x:c r="R1724" s="66" t="str">
        <x:v>https://sidatagrun-public-1076756628210.asia-southeast2.run.app/ptn_sn.php?ptn=334</x:v>
      </x:c>
    </x:row>
    <x:row r="1725">
      <x:c r="A1725" s="87" t="n">
        <x:v>556</x:v>
      </x:c>
      <x:c r="B1725" s="66" t="n">
        <x:v>334</x:v>
      </x:c>
      <x:c r="C1725" s="66" t="str">
        <x:v>UNIVERSITAS PENDIDIKAN INDONESIA</x:v>
      </x:c>
      <x:c r="D1725" s="66" t="str">
        <x:v>PTN Akademik</x:v>
      </x:c>
      <x:c r="E1725" s="66" t="str">
        <x:v>13341076</x:v>
      </x:c>
      <x:c r="F1725" s="66" t="str">
        <x:v>PENDIDIKAN SOSIOLOGI</x:v>
      </x:c>
      <x:c r="G1725" s="66" t="str">
        <x:v>Sarjana</x:v>
      </x:c>
      <x:c r="H1725" s="87" t="n">
        <x:v>29</x:v>
      </x:c>
      <x:c r="I1725" s="87" t="n">
        <x:v>533</x:v>
      </x:c>
      <x:c r="J1725" s="68" t="n">
        <x:f>IFERROR(H1725/I1725,"")</x:f>
        <x:v>0.054409005628517824</x:v>
      </x:c>
      <x:c r="K1725" s="69" t="n">
        <x:f>IFERROR(I1725/H1725,"")</x:f>
        <x:v>18.379310344827587</x:v>
      </x:c>
      <x:c r="L1725" s="66" t="str">
        <x:f>IF(K1725="","","1 : "&amp;TEXT(K1725,"0.0"))</x:f>
        <x:v>1 : 18.4</x:v>
      </x:c>
      <x:c r="M1725" s="66" t="str">
        <x:f>IF(J1725="","Baru/Tanpa Data",IF(J1725&lt;='Catatan &amp; Sumber'!$B$14,"Sangat Ketat",IF(J1725&lt;='Catatan &amp; Sumber'!$B$15,"Ketat",IF(J1725&lt;='Catatan &amp; Sumber'!$B$16,"Sedang","Relatif Longgar"))))</x:f>
        <x:v>Sedang</x:v>
      </x:c>
      <x:c r="N1725" s="66" t="str">
        <x:v>Tidak Ada</x:v>
      </x:c>
      <x:c r="O1725" s="66" t="str">
        <x:v>Jawa Barat</x:v>
      </x:c>
      <x:c r="P1725" s="66" t="str">
        <x:v>Kota Bandung</x:v>
      </x:c>
      <x:c r="Q1725" s="66" t="str">
        <x:v>https://snpmb.id/snbp/daya-tampung-snbp</x:v>
      </x:c>
      <x:c r="R1725" s="66" t="str">
        <x:v>https://sidatagrun-public-1076756628210.asia-southeast2.run.app/ptn_sn.php?ptn=334</x:v>
      </x:c>
    </x:row>
    <x:row r="1726">
      <x:c r="A1726" s="87" t="n">
        <x:v>3194</x:v>
      </x:c>
      <x:c r="B1726" s="66" t="n">
        <x:v>334</x:v>
      </x:c>
      <x:c r="C1726" s="66" t="str">
        <x:v>UNIVERSITAS PENDIDIKAN INDONESIA</x:v>
      </x:c>
      <x:c r="D1726" s="66" t="str">
        <x:v>PTN Akademik</x:v>
      </x:c>
      <x:c r="E1726" s="66" t="str">
        <x:v>13341077</x:v>
      </x:c>
      <x:c r="F1726" s="66" t="str">
        <x:v>PGSD PEND. JASMANI KAMPUS BUMI SILIWANGI</x:v>
      </x:c>
      <x:c r="G1726" s="66" t="str">
        <x:v>Sarjana</x:v>
      </x:c>
      <x:c r="H1726" s="87" t="n">
        <x:v>60</x:v>
      </x:c>
      <x:c r="I1726" s="87" t="n">
        <x:v>176</x:v>
      </x:c>
      <x:c r="J1726" s="68" t="n">
        <x:f>IFERROR(H1726/I1726,"")</x:f>
        <x:v>0.3409090909090909</x:v>
      </x:c>
      <x:c r="K1726" s="69" t="n">
        <x:f>IFERROR(I1726/H1726,"")</x:f>
        <x:v>2.933333333333333</x:v>
      </x:c>
      <x:c r="L1726" s="66" t="str">
        <x:f>IF(K1726="","","1 : "&amp;TEXT(K1726,"0.0"))</x:f>
        <x:v>1 : 2.9</x:v>
      </x:c>
      <x:c r="M1726" s="66" t="str">
        <x:f>IF(J1726="","Baru/Tanpa Data",IF(J1726&lt;='Catatan &amp; Sumber'!$B$14,"Sangat Ketat",IF(J1726&lt;='Catatan &amp; Sumber'!$B$15,"Ketat",IF(J1726&lt;='Catatan &amp; Sumber'!$B$16,"Sedang","Relatif Longgar"))))</x:f>
        <x:v>Relatif Longgar</x:v>
      </x:c>
      <x:c r="N1726" s="66" t="str">
        <x:v>Olahraga</x:v>
      </x:c>
      <x:c r="O1726" s="66" t="str">
        <x:v>Jawa Barat</x:v>
      </x:c>
      <x:c r="P1726" s="66" t="str">
        <x:v>Kota Bandung</x:v>
      </x:c>
      <x:c r="Q1726" s="66" t="str">
        <x:v>https://snpmb.id/snbp/daya-tampung-snbp</x:v>
      </x:c>
      <x:c r="R1726" s="66" t="str">
        <x:v>https://sidatagrun-public-1076756628210.asia-southeast2.run.app/ptn_sn.php?ptn=334</x:v>
      </x:c>
    </x:row>
    <x:row r="1727">
      <x:c r="A1727" s="87" t="n">
        <x:v>583</x:v>
      </x:c>
      <x:c r="B1727" s="66" t="n">
        <x:v>334</x:v>
      </x:c>
      <x:c r="C1727" s="66" t="str">
        <x:v>UNIVERSITAS PENDIDIKAN INDONESIA</x:v>
      </x:c>
      <x:c r="D1727" s="66" t="str">
        <x:v>PTN Akademik</x:v>
      </x:c>
      <x:c r="E1727" s="66" t="str">
        <x:v>13341078</x:v>
      </x:c>
      <x:c r="F1727" s="66" t="str">
        <x:v>PGSD KAMPUS CIBIRU</x:v>
      </x:c>
      <x:c r="G1727" s="66" t="str">
        <x:v>Sarjana</x:v>
      </x:c>
      <x:c r="H1727" s="87" t="n">
        <x:v>72</x:v>
      </x:c>
      <x:c r="I1727" s="87" t="n">
        <x:v>1288</x:v>
      </x:c>
      <x:c r="J1727" s="68" t="n">
        <x:f>IFERROR(H1727/I1727,"")</x:f>
        <x:v>0.055900621118012424</x:v>
      </x:c>
      <x:c r="K1727" s="69" t="n">
        <x:f>IFERROR(I1727/H1727,"")</x:f>
        <x:v>17.88888888888889</x:v>
      </x:c>
      <x:c r="L1727" s="66" t="str">
        <x:f>IF(K1727="","","1 : "&amp;TEXT(K1727,"0.0"))</x:f>
        <x:v>1 : 17.9</x:v>
      </x:c>
      <x:c r="M1727" s="66" t="str">
        <x:f>IF(J1727="","Baru/Tanpa Data",IF(J1727&lt;='Catatan &amp; Sumber'!$B$14,"Sangat Ketat",IF(J1727&lt;='Catatan &amp; Sumber'!$B$15,"Ketat",IF(J1727&lt;='Catatan &amp; Sumber'!$B$16,"Sedang","Relatif Longgar"))))</x:f>
        <x:v>Sedang</x:v>
      </x:c>
      <x:c r="N1727" s="66" t="str">
        <x:v>Tidak Ada</x:v>
      </x:c>
      <x:c r="O1727" s="66" t="str">
        <x:v>Jawa Barat</x:v>
      </x:c>
      <x:c r="P1727" s="66" t="str">
        <x:v>Kota Bandung</x:v>
      </x:c>
      <x:c r="Q1727" s="66" t="str">
        <x:v>https://snpmb.id/snbp/daya-tampung-snbp</x:v>
      </x:c>
      <x:c r="R1727" s="66" t="str">
        <x:v>https://sidatagrun-public-1076756628210.asia-southeast2.run.app/ptn_sn.php?ptn=334</x:v>
      </x:c>
    </x:row>
    <x:row r="1728">
      <x:c r="A1728" s="87" t="n">
        <x:v>2553</x:v>
      </x:c>
      <x:c r="B1728" s="66" t="n">
        <x:v>334</x:v>
      </x:c>
      <x:c r="C1728" s="66" t="str">
        <x:v>UNIVERSITAS PENDIDIKAN INDONESIA</x:v>
      </x:c>
      <x:c r="D1728" s="66" t="str">
        <x:v>PTN Akademik</x:v>
      </x:c>
      <x:c r="E1728" s="66" t="str">
        <x:v>13341079</x:v>
      </x:c>
      <x:c r="F1728" s="66" t="str">
        <x:v>PGPAUD KAMPUS CIBIRU</x:v>
      </x:c>
      <x:c r="G1728" s="66" t="str">
        <x:v>Sarjana</x:v>
      </x:c>
      <x:c r="H1728" s="87" t="n">
        <x:v>64</x:v>
      </x:c>
      <x:c r="I1728" s="87" t="n">
        <x:v>291</x:v>
      </x:c>
      <x:c r="J1728" s="68" t="n">
        <x:f>IFERROR(H1728/I1728,"")</x:f>
        <x:v>0.21993127147766323</x:v>
      </x:c>
      <x:c r="K1728" s="69" t="n">
        <x:f>IFERROR(I1728/H1728,"")</x:f>
        <x:v>4.546875</x:v>
      </x:c>
      <x:c r="L1728" s="66" t="str">
        <x:f>IF(K1728="","","1 : "&amp;TEXT(K1728,"0.0"))</x:f>
        <x:v>1 : 4.5</x:v>
      </x:c>
      <x:c r="M1728" s="66" t="str">
        <x:f>IF(J1728="","Baru/Tanpa Data",IF(J1728&lt;='Catatan &amp; Sumber'!$B$14,"Sangat Ketat",IF(J1728&lt;='Catatan &amp; Sumber'!$B$15,"Ketat",IF(J1728&lt;='Catatan &amp; Sumber'!$B$16,"Sedang","Relatif Longgar"))))</x:f>
        <x:v>Relatif Longgar</x:v>
      </x:c>
      <x:c r="N1728" s="66" t="str">
        <x:v>Tidak Ada</x:v>
      </x:c>
      <x:c r="O1728" s="66" t="str">
        <x:v>Jawa Barat</x:v>
      </x:c>
      <x:c r="P1728" s="66" t="str">
        <x:v>Kota Bandung</x:v>
      </x:c>
      <x:c r="Q1728" s="66" t="str">
        <x:v>https://snpmb.id/snbp/daya-tampung-snbp</x:v>
      </x:c>
      <x:c r="R1728" s="66" t="str">
        <x:v>https://sidatagrun-public-1076756628210.asia-southeast2.run.app/ptn_sn.php?ptn=334</x:v>
      </x:c>
    </x:row>
    <x:row r="1729">
      <x:c r="A1729" s="87" t="n">
        <x:v>578</x:v>
      </x:c>
      <x:c r="B1729" s="66" t="n">
        <x:v>334</x:v>
      </x:c>
      <x:c r="C1729" s="66" t="str">
        <x:v>UNIVERSITAS PENDIDIKAN INDONESIA</x:v>
      </x:c>
      <x:c r="D1729" s="66" t="str">
        <x:v>PTN Akademik</x:v>
      </x:c>
      <x:c r="E1729" s="66" t="str">
        <x:v>13341080</x:v>
      </x:c>
      <x:c r="F1729" s="66" t="str">
        <x:v>PGSD KAMPUS SUMEDANG</x:v>
      </x:c>
      <x:c r="G1729" s="66" t="str">
        <x:v>Sarjana</x:v>
      </x:c>
      <x:c r="H1729" s="87" t="n">
        <x:v>48</x:v>
      </x:c>
      <x:c r="I1729" s="87" t="n">
        <x:v>862</x:v>
      </x:c>
      <x:c r="J1729" s="68" t="n">
        <x:f>IFERROR(H1729/I1729,"")</x:f>
        <x:v>0.05568445475638051</x:v>
      </x:c>
      <x:c r="K1729" s="69" t="n">
        <x:f>IFERROR(I1729/H1729,"")</x:f>
        <x:v>17.958333333333332</x:v>
      </x:c>
      <x:c r="L1729" s="66" t="str">
        <x:f>IF(K1729="","","1 : "&amp;TEXT(K1729,"0.0"))</x:f>
        <x:v>1 : 18.0</x:v>
      </x:c>
      <x:c r="M1729" s="66" t="str">
        <x:f>IF(J1729="","Baru/Tanpa Data",IF(J1729&lt;='Catatan &amp; Sumber'!$B$14,"Sangat Ketat",IF(J1729&lt;='Catatan &amp; Sumber'!$B$15,"Ketat",IF(J1729&lt;='Catatan &amp; Sumber'!$B$16,"Sedang","Relatif Longgar"))))</x:f>
        <x:v>Sedang</x:v>
      </x:c>
      <x:c r="N1729" s="66" t="str">
        <x:v>Tidak Ada</x:v>
      </x:c>
      <x:c r="O1729" s="66" t="str">
        <x:v>Jawa Barat</x:v>
      </x:c>
      <x:c r="P1729" s="66" t="str">
        <x:v>Kota Bandung</x:v>
      </x:c>
      <x:c r="Q1729" s="66" t="str">
        <x:v>https://snpmb.id/snbp/daya-tampung-snbp</x:v>
      </x:c>
      <x:c r="R1729" s="66" t="str">
        <x:v>https://sidatagrun-public-1076756628210.asia-southeast2.run.app/ptn_sn.php?ptn=334</x:v>
      </x:c>
    </x:row>
    <x:row r="1730">
      <x:c r="A1730" s="87" t="n">
        <x:v>3363</x:v>
      </x:c>
      <x:c r="B1730" s="66" t="n">
        <x:v>334</x:v>
      </x:c>
      <x:c r="C1730" s="66" t="str">
        <x:v>UNIVERSITAS PENDIDIKAN INDONESIA</x:v>
      </x:c>
      <x:c r="D1730" s="66" t="str">
        <x:v>PTN Akademik</x:v>
      </x:c>
      <x:c r="E1730" s="66" t="str">
        <x:v>13341081</x:v>
      </x:c>
      <x:c r="F1730" s="66" t="str">
        <x:v>PGSD PENDIDIKAN JASMANI KAMPUS SUMEDANG</x:v>
      </x:c>
      <x:c r="G1730" s="66" t="str">
        <x:v>Sarjana</x:v>
      </x:c>
      <x:c r="H1730" s="87" t="n">
        <x:v>78</x:v>
      </x:c>
      <x:c r="I1730" s="87" t="n">
        <x:v>201</x:v>
      </x:c>
      <x:c r="J1730" s="68" t="n">
        <x:f>IFERROR(H1730/I1730,"")</x:f>
        <x:v>0.3880597014925373</x:v>
      </x:c>
      <x:c r="K1730" s="69" t="n">
        <x:f>IFERROR(I1730/H1730,"")</x:f>
        <x:v>2.576923076923077</x:v>
      </x:c>
      <x:c r="L1730" s="66" t="str">
        <x:f>IF(K1730="","","1 : "&amp;TEXT(K1730,"0.0"))</x:f>
        <x:v>1 : 2.6</x:v>
      </x:c>
      <x:c r="M1730" s="66" t="str">
        <x:f>IF(J1730="","Baru/Tanpa Data",IF(J1730&lt;='Catatan &amp; Sumber'!$B$14,"Sangat Ketat",IF(J1730&lt;='Catatan &amp; Sumber'!$B$15,"Ketat",IF(J1730&lt;='Catatan &amp; Sumber'!$B$16,"Sedang","Relatif Longgar"))))</x:f>
        <x:v>Relatif Longgar</x:v>
      </x:c>
      <x:c r="N1730" s="66" t="str">
        <x:v>Olahraga</x:v>
      </x:c>
      <x:c r="O1730" s="66" t="str">
        <x:v>Jawa Barat</x:v>
      </x:c>
      <x:c r="P1730" s="66" t="str">
        <x:v>Kota Bandung</x:v>
      </x:c>
      <x:c r="Q1730" s="66" t="str">
        <x:v>https://snpmb.id/snbp/daya-tampung-snbp</x:v>
      </x:c>
      <x:c r="R1730" s="66" t="str">
        <x:v>https://sidatagrun-public-1076756628210.asia-southeast2.run.app/ptn_sn.php?ptn=334</x:v>
      </x:c>
    </x:row>
    <x:row r="1731">
      <x:c r="A1731" s="87" t="n">
        <x:v>889</x:v>
      </x:c>
      <x:c r="B1731" s="66" t="n">
        <x:v>334</x:v>
      </x:c>
      <x:c r="C1731" s="66" t="str">
        <x:v>UNIVERSITAS PENDIDIKAN INDONESIA</x:v>
      </x:c>
      <x:c r="D1731" s="66" t="str">
        <x:v>PTN Akademik</x:v>
      </x:c>
      <x:c r="E1731" s="66" t="str">
        <x:v>13341082</x:v>
      </x:c>
      <x:c r="F1731" s="66" t="str">
        <x:v>PGSD KAMPUS PURWAKARTA</x:v>
      </x:c>
      <x:c r="G1731" s="66" t="str">
        <x:v>Sarjana</x:v>
      </x:c>
      <x:c r="H1731" s="87" t="n">
        <x:v>60</x:v>
      </x:c>
      <x:c r="I1731" s="87" t="n">
        <x:v>842</x:v>
      </x:c>
      <x:c r="J1731" s="68" t="n">
        <x:f>IFERROR(H1731/I1731,"")</x:f>
        <x:v>0.07125890736342043</x:v>
      </x:c>
      <x:c r="K1731" s="69" t="n">
        <x:f>IFERROR(I1731/H1731,"")</x:f>
        <x:v>14.033333333333333</x:v>
      </x:c>
      <x:c r="L1731" s="66" t="str">
        <x:f>IF(K1731="","","1 : "&amp;TEXT(K1731,"0.0"))</x:f>
        <x:v>1 : 14.0</x:v>
      </x:c>
      <x:c r="M1731" s="66" t="str">
        <x:f>IF(J1731="","Baru/Tanpa Data",IF(J1731&lt;='Catatan &amp; Sumber'!$B$14,"Sangat Ketat",IF(J1731&lt;='Catatan &amp; Sumber'!$B$15,"Ketat",IF(J1731&lt;='Catatan &amp; Sumber'!$B$16,"Sedang","Relatif Longgar"))))</x:f>
        <x:v>Sedang</x:v>
      </x:c>
      <x:c r="N1731" s="66" t="str">
        <x:v>Tidak Ada</x:v>
      </x:c>
      <x:c r="O1731" s="66" t="str">
        <x:v>Jawa Barat</x:v>
      </x:c>
      <x:c r="P1731" s="66" t="str">
        <x:v>Kota Bandung</x:v>
      </x:c>
      <x:c r="Q1731" s="66" t="str">
        <x:v>https://snpmb.id/snbp/daya-tampung-snbp</x:v>
      </x:c>
      <x:c r="R1731" s="66" t="str">
        <x:v>https://sidatagrun-public-1076756628210.asia-southeast2.run.app/ptn_sn.php?ptn=334</x:v>
      </x:c>
    </x:row>
    <x:row r="1732">
      <x:c r="A1732" s="87" t="n">
        <x:v>1069</x:v>
      </x:c>
      <x:c r="B1732" s="66" t="n">
        <x:v>334</x:v>
      </x:c>
      <x:c r="C1732" s="66" t="str">
        <x:v>UNIVERSITAS PENDIDIKAN INDONESIA</x:v>
      </x:c>
      <x:c r="D1732" s="66" t="str">
        <x:v>PTN Akademik</x:v>
      </x:c>
      <x:c r="E1732" s="66" t="str">
        <x:v>13341083</x:v>
      </x:c>
      <x:c r="F1732" s="66" t="str">
        <x:v>PGSD KAMPUS TASIKMALAYA</x:v>
      </x:c>
      <x:c r="G1732" s="66" t="str">
        <x:v>Sarjana</x:v>
      </x:c>
      <x:c r="H1732" s="87" t="n">
        <x:v>86</x:v>
      </x:c>
      <x:c r="I1732" s="87" t="n">
        <x:v>1051</x:v>
      </x:c>
      <x:c r="J1732" s="68" t="n">
        <x:f>IFERROR(H1732/I1732,"")</x:f>
        <x:v>0.0818268315889629</x:v>
      </x:c>
      <x:c r="K1732" s="69" t="n">
        <x:f>IFERROR(I1732/H1732,"")</x:f>
        <x:v>12.220930232558139</x:v>
      </x:c>
      <x:c r="L1732" s="66" t="str">
        <x:f>IF(K1732="","","1 : "&amp;TEXT(K1732,"0.0"))</x:f>
        <x:v>1 : 12.2</x:v>
      </x:c>
      <x:c r="M1732" s="66" t="str">
        <x:f>IF(J1732="","Baru/Tanpa Data",IF(J1732&lt;='Catatan &amp; Sumber'!$B$14,"Sangat Ketat",IF(J1732&lt;='Catatan &amp; Sumber'!$B$15,"Ketat",IF(J1732&lt;='Catatan &amp; Sumber'!$B$16,"Sedang","Relatif Longgar"))))</x:f>
        <x:v>Sedang</x:v>
      </x:c>
      <x:c r="N1732" s="66" t="str">
        <x:v>Tidak Ada</x:v>
      </x:c>
      <x:c r="O1732" s="66" t="str">
        <x:v>Jawa Barat</x:v>
      </x:c>
      <x:c r="P1732" s="66" t="str">
        <x:v>Kota Bandung</x:v>
      </x:c>
      <x:c r="Q1732" s="66" t="str">
        <x:v>https://snpmb.id/snbp/daya-tampung-snbp</x:v>
      </x:c>
      <x:c r="R1732" s="66" t="str">
        <x:v>https://sidatagrun-public-1076756628210.asia-southeast2.run.app/ptn_sn.php?ptn=334</x:v>
      </x:c>
    </x:row>
    <x:row r="1733">
      <x:c r="A1733" s="87" t="n">
        <x:v>1925</x:v>
      </x:c>
      <x:c r="B1733" s="66" t="n">
        <x:v>334</x:v>
      </x:c>
      <x:c r="C1733" s="66" t="str">
        <x:v>UNIVERSITAS PENDIDIKAN INDONESIA</x:v>
      </x:c>
      <x:c r="D1733" s="66" t="str">
        <x:v>PTN Akademik</x:v>
      </x:c>
      <x:c r="E1733" s="66" t="str">
        <x:v>13341084</x:v>
      </x:c>
      <x:c r="F1733" s="66" t="str">
        <x:v>PGSD KAMPUS SERANG</x:v>
      </x:c>
      <x:c r="G1733" s="66" t="str">
        <x:v>Sarjana</x:v>
      </x:c>
      <x:c r="H1733" s="87" t="n">
        <x:v>60</x:v>
      </x:c>
      <x:c r="I1733" s="87" t="n">
        <x:v>419</x:v>
      </x:c>
      <x:c r="J1733" s="68" t="n">
        <x:f>IFERROR(H1733/I1733,"")</x:f>
        <x:v>0.1431980906921241</x:v>
      </x:c>
      <x:c r="K1733" s="69" t="n">
        <x:f>IFERROR(I1733/H1733,"")</x:f>
        <x:v>6.983333333333333</x:v>
      </x:c>
      <x:c r="L1733" s="66" t="str">
        <x:f>IF(K1733="","","1 : "&amp;TEXT(K1733,"0.0"))</x:f>
        <x:v>1 : 7.0</x:v>
      </x:c>
      <x:c r="M1733" s="66" t="str">
        <x:f>IF(J1733="","Baru/Tanpa Data",IF(J1733&lt;='Catatan &amp; Sumber'!$B$14,"Sangat Ketat",IF(J1733&lt;='Catatan &amp; Sumber'!$B$15,"Ketat",IF(J1733&lt;='Catatan &amp; Sumber'!$B$16,"Sedang","Relatif Longgar"))))</x:f>
        <x:v>Relatif Longgar</x:v>
      </x:c>
      <x:c r="N1733" s="66" t="str">
        <x:v>Tidak Ada</x:v>
      </x:c>
      <x:c r="O1733" s="66" t="str">
        <x:v>Jawa Barat</x:v>
      </x:c>
      <x:c r="P1733" s="66" t="str">
        <x:v>Kota Bandung</x:v>
      </x:c>
      <x:c r="Q1733" s="66" t="str">
        <x:v>https://snpmb.id/snbp/daya-tampung-snbp</x:v>
      </x:c>
      <x:c r="R1733" s="66" t="str">
        <x:v>https://sidatagrun-public-1076756628210.asia-southeast2.run.app/ptn_sn.php?ptn=334</x:v>
      </x:c>
    </x:row>
    <x:row r="1734">
      <x:c r="A1734" s="87" t="n">
        <x:v>667</x:v>
      </x:c>
      <x:c r="B1734" s="66" t="n">
        <x:v>334</x:v>
      </x:c>
      <x:c r="C1734" s="66" t="str">
        <x:v>UNIVERSITAS PENDIDIKAN INDONESIA</x:v>
      </x:c>
      <x:c r="D1734" s="66" t="str">
        <x:v>PTN Akademik</x:v>
      </x:c>
      <x:c r="E1734" s="66" t="str">
        <x:v>13341085</x:v>
      </x:c>
      <x:c r="F1734" s="66" t="str">
        <x:v>PGSD KAMPUS BUMI SILIWANGI</x:v>
      </x:c>
      <x:c r="G1734" s="66" t="str">
        <x:v>Sarjana</x:v>
      </x:c>
      <x:c r="H1734" s="87" t="n">
        <x:v>64</x:v>
      </x:c>
      <x:c r="I1734" s="87" t="n">
        <x:v>1064</x:v>
      </x:c>
      <x:c r="J1734" s="68" t="n">
        <x:f>IFERROR(H1734/I1734,"")</x:f>
        <x:v>0.06015037593984962</x:v>
      </x:c>
      <x:c r="K1734" s="69" t="n">
        <x:f>IFERROR(I1734/H1734,"")</x:f>
        <x:v>16.625</x:v>
      </x:c>
      <x:c r="L1734" s="66" t="str">
        <x:f>IF(K1734="","","1 : "&amp;TEXT(K1734,"0.0"))</x:f>
        <x:v>1 : 16.6</x:v>
      </x:c>
      <x:c r="M1734" s="66" t="str">
        <x:f>IF(J1734="","Baru/Tanpa Data",IF(J1734&lt;='Catatan &amp; Sumber'!$B$14,"Sangat Ketat",IF(J1734&lt;='Catatan &amp; Sumber'!$B$15,"Ketat",IF(J1734&lt;='Catatan &amp; Sumber'!$B$16,"Sedang","Relatif Longgar"))))</x:f>
        <x:v>Sedang</x:v>
      </x:c>
      <x:c r="N1734" s="66" t="str">
        <x:v>Tidak Ada</x:v>
      </x:c>
      <x:c r="O1734" s="66" t="str">
        <x:v>Jawa Barat</x:v>
      </x:c>
      <x:c r="P1734" s="66" t="str">
        <x:v>Kota Bandung</x:v>
      </x:c>
      <x:c r="Q1734" s="66" t="str">
        <x:v>https://snpmb.id/snbp/daya-tampung-snbp</x:v>
      </x:c>
      <x:c r="R1734" s="66" t="str">
        <x:v>https://sidatagrun-public-1076756628210.asia-southeast2.run.app/ptn_sn.php?ptn=334</x:v>
      </x:c>
    </x:row>
    <x:row r="1735">
      <x:c r="A1735" s="87" t="n">
        <x:v>1615</x:v>
      </x:c>
      <x:c r="B1735" s="66" t="n">
        <x:v>334</x:v>
      </x:c>
      <x:c r="C1735" s="66" t="str">
        <x:v>UNIVERSITAS PENDIDIKAN INDONESIA</x:v>
      </x:c>
      <x:c r="D1735" s="66" t="str">
        <x:v>PTN Akademik</x:v>
      </x:c>
      <x:c r="E1735" s="66" t="str">
        <x:v>13341086</x:v>
      </x:c>
      <x:c r="F1735" s="66" t="str">
        <x:v>PGPAUD KAMPUS BUMI SILIWANGI</x:v>
      </x:c>
      <x:c r="G1735" s="66" t="str">
        <x:v>Sarjana</x:v>
      </x:c>
      <x:c r="H1735" s="87" t="n">
        <x:v>23</x:v>
      </x:c>
      <x:c r="I1735" s="87" t="n">
        <x:v>195</x:v>
      </x:c>
      <x:c r="J1735" s="68" t="n">
        <x:f>IFERROR(H1735/I1735,"")</x:f>
        <x:v>0.11794871794871795</x:v>
      </x:c>
      <x:c r="K1735" s="69" t="n">
        <x:f>IFERROR(I1735/H1735,"")</x:f>
        <x:v>8.478260869565217</x:v>
      </x:c>
      <x:c r="L1735" s="66" t="str">
        <x:f>IF(K1735="","","1 : "&amp;TEXT(K1735,"0.0"))</x:f>
        <x:v>1 : 8.5</x:v>
      </x:c>
      <x:c r="M1735" s="66" t="str">
        <x:f>IF(J1735="","Baru/Tanpa Data",IF(J1735&lt;='Catatan &amp; Sumber'!$B$14,"Sangat Ketat",IF(J1735&lt;='Catatan &amp; Sumber'!$B$15,"Ketat",IF(J1735&lt;='Catatan &amp; Sumber'!$B$16,"Sedang","Relatif Longgar"))))</x:f>
        <x:v>Relatif Longgar</x:v>
      </x:c>
      <x:c r="N1735" s="66" t="str">
        <x:v>Tidak Ada</x:v>
      </x:c>
      <x:c r="O1735" s="66" t="str">
        <x:v>Jawa Barat</x:v>
      </x:c>
      <x:c r="P1735" s="66" t="str">
        <x:v>Kota Bandung</x:v>
      </x:c>
      <x:c r="Q1735" s="66" t="str">
        <x:v>https://snpmb.id/snbp/daya-tampung-snbp</x:v>
      </x:c>
      <x:c r="R1735" s="66" t="str">
        <x:v>https://sidatagrun-public-1076756628210.asia-southeast2.run.app/ptn_sn.php?ptn=334</x:v>
      </x:c>
    </x:row>
    <x:row r="1736">
      <x:c r="A1736" s="87" t="n">
        <x:v>14</x:v>
      </x:c>
      <x:c r="B1736" s="66" t="n">
        <x:v>334</x:v>
      </x:c>
      <x:c r="C1736" s="66" t="str">
        <x:v>UNIVERSITAS PENDIDIKAN INDONESIA</x:v>
      </x:c>
      <x:c r="D1736" s="66" t="str">
        <x:v>PTN Akademik</x:v>
      </x:c>
      <x:c r="E1736" s="66" t="str">
        <x:v>13341087</x:v>
      </x:c>
      <x:c r="F1736" s="66" t="str">
        <x:v>ILMU KOMUNIKASI</x:v>
      </x:c>
      <x:c r="G1736" s="66" t="str">
        <x:v>Sarjana</x:v>
      </x:c>
      <x:c r="H1736" s="87" t="n">
        <x:v>23</x:v>
      </x:c>
      <x:c r="I1736" s="87" t="n">
        <x:v>1465</x:v>
      </x:c>
      <x:c r="J1736" s="68" t="n">
        <x:f>IFERROR(H1736/I1736,"")</x:f>
        <x:v>0.015699658703071672</x:v>
      </x:c>
      <x:c r="K1736" s="69" t="n">
        <x:f>IFERROR(I1736/H1736,"")</x:f>
        <x:v>63.69565217391305</x:v>
      </x:c>
      <x:c r="L1736" s="66" t="str">
        <x:f>IF(K1736="","","1 : "&amp;TEXT(K1736,"0.0"))</x:f>
        <x:v>1 : 63.7</x:v>
      </x:c>
      <x:c r="M1736" s="66" t="str">
        <x:f>IF(J1736="","Baru/Tanpa Data",IF(J1736&lt;='Catatan &amp; Sumber'!$B$14,"Sangat Ketat",IF(J1736&lt;='Catatan &amp; Sumber'!$B$15,"Ketat",IF(J1736&lt;='Catatan &amp; Sumber'!$B$16,"Sedang","Relatif Longgar"))))</x:f>
        <x:v>Sangat Ketat</x:v>
      </x:c>
      <x:c r="N1736" s="66" t="str">
        <x:v>Tidak Ada</x:v>
      </x:c>
      <x:c r="O1736" s="66" t="str">
        <x:v>Jawa Barat</x:v>
      </x:c>
      <x:c r="P1736" s="66" t="str">
        <x:v>Kota Bandung</x:v>
      </x:c>
      <x:c r="Q1736" s="66" t="str">
        <x:v>https://snpmb.id/snbp/daya-tampung-snbp</x:v>
      </x:c>
      <x:c r="R1736" s="66" t="str">
        <x:v>https://sidatagrun-public-1076756628210.asia-southeast2.run.app/ptn_sn.php?ptn=334</x:v>
      </x:c>
    </x:row>
    <x:row r="1737">
      <x:c r="A1737" s="87" t="n">
        <x:v>4192</x:v>
      </x:c>
      <x:c r="B1737" s="66" t="n">
        <x:v>334</x:v>
      </x:c>
      <x:c r="C1737" s="66" t="str">
        <x:v>UNIVERSITAS PENDIDIKAN INDONESIA</x:v>
      </x:c>
      <x:c r="D1737" s="66" t="str">
        <x:v>PTN Akademik</x:v>
      </x:c>
      <x:c r="E1737" s="66" t="str">
        <x:v>13341088</x:v>
      </x:c>
      <x:c r="F1737" s="66" t="str">
        <x:v>PGPAUD KAMPUS SERANG</x:v>
      </x:c>
      <x:c r="G1737" s="66" t="str">
        <x:v>Sarjana</x:v>
      </x:c>
      <x:c r="H1737" s="87" t="n">
        <x:v>60</x:v>
      </x:c>
      <x:c r="I1737" s="87" t="n">
        <x:v>71</x:v>
      </x:c>
      <x:c r="J1737" s="68" t="n">
        <x:f>IFERROR(H1737/I1737,"")</x:f>
        <x:v>0.8450704225352113</x:v>
      </x:c>
      <x:c r="K1737" s="69" t="n">
        <x:f>IFERROR(I1737/H1737,"")</x:f>
        <x:v>1.1833333333333333</x:v>
      </x:c>
      <x:c r="L1737" s="66" t="str">
        <x:f>IF(K1737="","","1 : "&amp;TEXT(K1737,"0.0"))</x:f>
        <x:v>1 : 1.2</x:v>
      </x:c>
      <x:c r="M1737" s="66" t="str">
        <x:f>IF(J1737="","Baru/Tanpa Data",IF(J1737&lt;='Catatan &amp; Sumber'!$B$14,"Sangat Ketat",IF(J1737&lt;='Catatan &amp; Sumber'!$B$15,"Ketat",IF(J1737&lt;='Catatan &amp; Sumber'!$B$16,"Sedang","Relatif Longgar"))))</x:f>
        <x:v>Relatif Longgar</x:v>
      </x:c>
      <x:c r="N1737" s="66" t="str">
        <x:v>Tidak Ada</x:v>
      </x:c>
      <x:c r="O1737" s="66" t="str">
        <x:v>Jawa Barat</x:v>
      </x:c>
      <x:c r="P1737" s="66" t="str">
        <x:v>Kota Bandung</x:v>
      </x:c>
      <x:c r="Q1737" s="66" t="str">
        <x:v>https://snpmb.id/snbp/daya-tampung-snbp</x:v>
      </x:c>
      <x:c r="R1737" s="66" t="str">
        <x:v>https://sidatagrun-public-1076756628210.asia-southeast2.run.app/ptn_sn.php?ptn=334</x:v>
      </x:c>
    </x:row>
    <x:row r="1738">
      <x:c r="A1738" s="87" t="n">
        <x:v>367</x:v>
      </x:c>
      <x:c r="B1738" s="66" t="n">
        <x:v>334</x:v>
      </x:c>
      <x:c r="C1738" s="66" t="str">
        <x:v>UNIVERSITAS PENDIDIKAN INDONESIA</x:v>
      </x:c>
      <x:c r="D1738" s="66" t="str">
        <x:v>PTN Akademik</x:v>
      </x:c>
      <x:c r="E1738" s="66" t="str">
        <x:v>13341089</x:v>
      </x:c>
      <x:c r="F1738" s="66" t="str">
        <x:v>ILMU EKONOMI DAN KEUANGAN ISLAM</x:v>
      </x:c>
      <x:c r="G1738" s="66" t="str">
        <x:v>Sarjana</x:v>
      </x:c>
      <x:c r="H1738" s="87" t="n">
        <x:v>16</x:v>
      </x:c>
      <x:c r="I1738" s="87" t="n">
        <x:v>354</x:v>
      </x:c>
      <x:c r="J1738" s="68" t="n">
        <x:f>IFERROR(H1738/I1738,"")</x:f>
        <x:v>0.04519774011299435</x:v>
      </x:c>
      <x:c r="K1738" s="69" t="n">
        <x:f>IFERROR(I1738/H1738,"")</x:f>
        <x:v>22.125</x:v>
      </x:c>
      <x:c r="L1738" s="66" t="str">
        <x:f>IF(K1738="","","1 : "&amp;TEXT(K1738,"0.0"))</x:f>
        <x:v>1 : 22.1</x:v>
      </x:c>
      <x:c r="M1738" s="66" t="str">
        <x:f>IF(J1738="","Baru/Tanpa Data",IF(J1738&lt;='Catatan &amp; Sumber'!$B$14,"Sangat Ketat",IF(J1738&lt;='Catatan &amp; Sumber'!$B$15,"Ketat",IF(J1738&lt;='Catatan &amp; Sumber'!$B$16,"Sedang","Relatif Longgar"))))</x:f>
        <x:v>Ketat</x:v>
      </x:c>
      <x:c r="N1738" s="66" t="str">
        <x:v>Tidak Ada</x:v>
      </x:c>
      <x:c r="O1738" s="66" t="str">
        <x:v>Jawa Barat</x:v>
      </x:c>
      <x:c r="P1738" s="66" t="str">
        <x:v>Kota Bandung</x:v>
      </x:c>
      <x:c r="Q1738" s="66" t="str">
        <x:v>https://snpmb.id/snbp/daya-tampung-snbp</x:v>
      </x:c>
      <x:c r="R1738" s="66" t="str">
        <x:v>https://sidatagrun-public-1076756628210.asia-southeast2.run.app/ptn_sn.php?ptn=334</x:v>
      </x:c>
    </x:row>
    <x:row r="1739">
      <x:c r="A1739" s="87" t="n">
        <x:v>2577</x:v>
      </x:c>
      <x:c r="B1739" s="66" t="n">
        <x:v>334</x:v>
      </x:c>
      <x:c r="C1739" s="66" t="str">
        <x:v>UNIVERSITAS PENDIDIKAN INDONESIA</x:v>
      </x:c>
      <x:c r="D1739" s="66" t="str">
        <x:v>PTN Akademik</x:v>
      </x:c>
      <x:c r="E1739" s="66" t="str">
        <x:v>13341090</x:v>
      </x:c>
      <x:c r="F1739" s="66" t="str">
        <x:v>PGPAUD KAMPUS TASIKMALAYA</x:v>
      </x:c>
      <x:c r="G1739" s="66" t="str">
        <x:v>Sarjana</x:v>
      </x:c>
      <x:c r="H1739" s="87" t="n">
        <x:v>57</x:v>
      </x:c>
      <x:c r="I1739" s="87" t="n">
        <x:v>253</x:v>
      </x:c>
      <x:c r="J1739" s="68" t="n">
        <x:f>IFERROR(H1739/I1739,"")</x:f>
        <x:v>0.22529644268774704</x:v>
      </x:c>
      <x:c r="K1739" s="69" t="n">
        <x:f>IFERROR(I1739/H1739,"")</x:f>
        <x:v>4.43859649122807</x:v>
      </x:c>
      <x:c r="L1739" s="66" t="str">
        <x:f>IF(K1739="","","1 : "&amp;TEXT(K1739,"0.0"))</x:f>
        <x:v>1 : 4.4</x:v>
      </x:c>
      <x:c r="M1739" s="66" t="str">
        <x:f>IF(J1739="","Baru/Tanpa Data",IF(J1739&lt;='Catatan &amp; Sumber'!$B$14,"Sangat Ketat",IF(J1739&lt;='Catatan &amp; Sumber'!$B$15,"Ketat",IF(J1739&lt;='Catatan &amp; Sumber'!$B$16,"Sedang","Relatif Longgar"))))</x:f>
        <x:v>Relatif Longgar</x:v>
      </x:c>
      <x:c r="N1739" s="66" t="str">
        <x:v>Tidak Ada</x:v>
      </x:c>
      <x:c r="O1739" s="66" t="str">
        <x:v>Jawa Barat</x:v>
      </x:c>
      <x:c r="P1739" s="66" t="str">
        <x:v>Kota Bandung</x:v>
      </x:c>
      <x:c r="Q1739" s="66" t="str">
        <x:v>https://snpmb.id/snbp/daya-tampung-snbp</x:v>
      </x:c>
      <x:c r="R1739" s="66" t="str">
        <x:v>https://sidatagrun-public-1076756628210.asia-southeast2.run.app/ptn_sn.php?ptn=334</x:v>
      </x:c>
    </x:row>
    <x:row r="1740">
      <x:c r="A1740" s="87" t="n">
        <x:v>2638</x:v>
      </x:c>
      <x:c r="B1740" s="66" t="n">
        <x:v>334</x:v>
      </x:c>
      <x:c r="C1740" s="66" t="str">
        <x:v>UNIVERSITAS PENDIDIKAN INDONESIA</x:v>
      </x:c>
      <x:c r="D1740" s="66" t="str">
        <x:v>PTN Akademik</x:v>
      </x:c>
      <x:c r="E1740" s="66" t="str">
        <x:v>13341091</x:v>
      </x:c>
      <x:c r="F1740" s="66" t="str">
        <x:v>PGPAUD KAMPUS PURWAKARTA</x:v>
      </x:c>
      <x:c r="G1740" s="66" t="str">
        <x:v>Sarjana</x:v>
      </x:c>
      <x:c r="H1740" s="87" t="n">
        <x:v>39</x:v>
      </x:c>
      <x:c r="I1740" s="87" t="n">
        <x:v>167</x:v>
      </x:c>
      <x:c r="J1740" s="68" t="n">
        <x:f>IFERROR(H1740/I1740,"")</x:f>
        <x:v>0.23353293413173654</x:v>
      </x:c>
      <x:c r="K1740" s="69" t="n">
        <x:f>IFERROR(I1740/H1740,"")</x:f>
        <x:v>4.282051282051282</x:v>
      </x:c>
      <x:c r="L1740" s="66" t="str">
        <x:f>IF(K1740="","","1 : "&amp;TEXT(K1740,"0.0"))</x:f>
        <x:v>1 : 4.3</x:v>
      </x:c>
      <x:c r="M1740" s="66" t="str">
        <x:f>IF(J1740="","Baru/Tanpa Data",IF(J1740&lt;='Catatan &amp; Sumber'!$B$14,"Sangat Ketat",IF(J1740&lt;='Catatan &amp; Sumber'!$B$15,"Ketat",IF(J1740&lt;='Catatan &amp; Sumber'!$B$16,"Sedang","Relatif Longgar"))))</x:f>
        <x:v>Relatif Longgar</x:v>
      </x:c>
      <x:c r="N1740" s="66" t="str">
        <x:v>Tidak Ada</x:v>
      </x:c>
      <x:c r="O1740" s="66" t="str">
        <x:v>Jawa Barat</x:v>
      </x:c>
      <x:c r="P1740" s="66" t="str">
        <x:v>Kota Bandung</x:v>
      </x:c>
      <x:c r="Q1740" s="66" t="str">
        <x:v>https://snpmb.id/snbp/daya-tampung-snbp</x:v>
      </x:c>
      <x:c r="R1740" s="66" t="str">
        <x:v>https://sidatagrun-public-1076756628210.asia-southeast2.run.app/ptn_sn.php?ptn=334</x:v>
      </x:c>
    </x:row>
    <x:row r="1741">
      <x:c r="A1741" s="87" t="n">
        <x:v>1075</x:v>
      </x:c>
      <x:c r="B1741" s="66" t="n">
        <x:v>334</x:v>
      </x:c>
      <x:c r="C1741" s="66" t="str">
        <x:v>UNIVERSITAS PENDIDIKAN INDONESIA</x:v>
      </x:c>
      <x:c r="D1741" s="66" t="str">
        <x:v>PTN Akademik</x:v>
      </x:c>
      <x:c r="E1741" s="66" t="str">
        <x:v>13341092</x:v>
      </x:c>
      <x:c r="F1741" s="66" t="str">
        <x:v>PENDIDIKAN BAHASA KOREA</x:v>
      </x:c>
      <x:c r="G1741" s="66" t="str">
        <x:v>Sarjana</x:v>
      </x:c>
      <x:c r="H1741" s="87" t="n">
        <x:v>31</x:v>
      </x:c>
      <x:c r="I1741" s="87" t="n">
        <x:v>378</x:v>
      </x:c>
      <x:c r="J1741" s="68" t="n">
        <x:f>IFERROR(H1741/I1741,"")</x:f>
        <x:v>0.082010582010582</x:v>
      </x:c>
      <x:c r="K1741" s="69" t="n">
        <x:f>IFERROR(I1741/H1741,"")</x:f>
        <x:v>12.193548387096774</x:v>
      </x:c>
      <x:c r="L1741" s="66" t="str">
        <x:f>IF(K1741="","","1 : "&amp;TEXT(K1741,"0.0"))</x:f>
        <x:v>1 : 12.2</x:v>
      </x:c>
      <x:c r="M1741" s="66" t="str">
        <x:f>IF(J1741="","Baru/Tanpa Data",IF(J1741&lt;='Catatan &amp; Sumber'!$B$14,"Sangat Ketat",IF(J1741&lt;='Catatan &amp; Sumber'!$B$15,"Ketat",IF(J1741&lt;='Catatan &amp; Sumber'!$B$16,"Sedang","Relatif Longgar"))))</x:f>
        <x:v>Sedang</x:v>
      </x:c>
      <x:c r="N1741" s="66" t="str">
        <x:v>Tidak Ada</x:v>
      </x:c>
      <x:c r="O1741" s="66" t="str">
        <x:v>Jawa Barat</x:v>
      </x:c>
      <x:c r="P1741" s="66" t="str">
        <x:v>Kota Bandung</x:v>
      </x:c>
      <x:c r="Q1741" s="66" t="str">
        <x:v>https://snpmb.id/snbp/daya-tampung-snbp</x:v>
      </x:c>
      <x:c r="R1741" s="66" t="str">
        <x:v>https://sidatagrun-public-1076756628210.asia-southeast2.run.app/ptn_sn.php?ptn=334</x:v>
      </x:c>
    </x:row>
    <x:row r="1742">
      <x:c r="A1742" s="87" t="n">
        <x:v>1534</x:v>
      </x:c>
      <x:c r="B1742" s="66" t="n">
        <x:v>334</x:v>
      </x:c>
      <x:c r="C1742" s="66" t="str">
        <x:v>UNIVERSITAS PENDIDIKAN INDONESIA</x:v>
      </x:c>
      <x:c r="D1742" s="66" t="str">
        <x:v>PTN Akademik</x:v>
      </x:c>
      <x:c r="E1742" s="66" t="str">
        <x:v>13341093</x:v>
      </x:c>
      <x:c r="F1742" s="66" t="str">
        <x:v>KEWIRAUSAHAAN KAMPUS TASIKMALAYA</x:v>
      </x:c>
      <x:c r="G1742" s="66" t="str">
        <x:v>Sarjana</x:v>
      </x:c>
      <x:c r="H1742" s="87" t="n">
        <x:v>33</x:v>
      </x:c>
      <x:c r="I1742" s="87" t="n">
        <x:v>295</x:v>
      </x:c>
      <x:c r="J1742" s="68" t="n">
        <x:f>IFERROR(H1742/I1742,"")</x:f>
        <x:v>0.11186440677966102</x:v>
      </x:c>
      <x:c r="K1742" s="69" t="n">
        <x:f>IFERROR(I1742/H1742,"")</x:f>
        <x:v>8.93939393939394</x:v>
      </x:c>
      <x:c r="L1742" s="66" t="str">
        <x:f>IF(K1742="","","1 : "&amp;TEXT(K1742,"0.0"))</x:f>
        <x:v>1 : 8.9</x:v>
      </x:c>
      <x:c r="M1742" s="66" t="str">
        <x:f>IF(J1742="","Baru/Tanpa Data",IF(J1742&lt;='Catatan &amp; Sumber'!$B$14,"Sangat Ketat",IF(J1742&lt;='Catatan &amp; Sumber'!$B$15,"Ketat",IF(J1742&lt;='Catatan &amp; Sumber'!$B$16,"Sedang","Relatif Longgar"))))</x:f>
        <x:v>Relatif Longgar</x:v>
      </x:c>
      <x:c r="N1742" s="66" t="str">
        <x:v>Tidak Ada</x:v>
      </x:c>
      <x:c r="O1742" s="66" t="str">
        <x:v>Jawa Barat</x:v>
      </x:c>
      <x:c r="P1742" s="66" t="str">
        <x:v>Kota Bandung</x:v>
      </x:c>
      <x:c r="Q1742" s="66" t="str">
        <x:v>https://snpmb.id/snbp/daya-tampung-snbp</x:v>
      </x:c>
      <x:c r="R1742" s="66" t="str">
        <x:v>https://sidatagrun-public-1076756628210.asia-southeast2.run.app/ptn_sn.php?ptn=334</x:v>
      </x:c>
    </x:row>
    <x:row r="1743">
      <x:c r="A1743" s="87" t="n">
        <x:v>1533</x:v>
      </x:c>
      <x:c r="B1743" s="66" t="n">
        <x:v>334</x:v>
      </x:c>
      <x:c r="C1743" s="66" t="str">
        <x:v>UNIVERSITAS PENDIDIKAN INDONESIA</x:v>
      </x:c>
      <x:c r="D1743" s="66" t="str">
        <x:v>PTN Akademik</x:v>
      </x:c>
      <x:c r="E1743" s="66" t="str">
        <x:v>13341094</x:v>
      </x:c>
      <x:c r="F1743" s="66" t="str">
        <x:v>SAINS INFORMASI GEOGRAFI</x:v>
      </x:c>
      <x:c r="G1743" s="66" t="str">
        <x:v>Sarjana</x:v>
      </x:c>
      <x:c r="H1743" s="87" t="n">
        <x:v>35</x:v>
      </x:c>
      <x:c r="I1743" s="87" t="n">
        <x:v>313</x:v>
      </x:c>
      <x:c r="J1743" s="68" t="n">
        <x:f>IFERROR(H1743/I1743,"")</x:f>
        <x:v>0.11182108626198083</x:v>
      </x:c>
      <x:c r="K1743" s="69" t="n">
        <x:f>IFERROR(I1743/H1743,"")</x:f>
        <x:v>8.942857142857143</x:v>
      </x:c>
      <x:c r="L1743" s="66" t="str">
        <x:f>IF(K1743="","","1 : "&amp;TEXT(K1743,"0.0"))</x:f>
        <x:v>1 : 8.9</x:v>
      </x:c>
      <x:c r="M1743" s="66" t="str">
        <x:f>IF(J1743="","Baru/Tanpa Data",IF(J1743&lt;='Catatan &amp; Sumber'!$B$14,"Sangat Ketat",IF(J1743&lt;='Catatan &amp; Sumber'!$B$15,"Ketat",IF(J1743&lt;='Catatan &amp; Sumber'!$B$16,"Sedang","Relatif Longgar"))))</x:f>
        <x:v>Relatif Longgar</x:v>
      </x:c>
      <x:c r="N1743" s="66" t="str">
        <x:v>Tidak Ada</x:v>
      </x:c>
      <x:c r="O1743" s="66" t="str">
        <x:v>Jawa Barat</x:v>
      </x:c>
      <x:c r="P1743" s="66" t="str">
        <x:v>Kota Bandung</x:v>
      </x:c>
      <x:c r="Q1743" s="66" t="str">
        <x:v>https://snpmb.id/snbp/daya-tampung-snbp</x:v>
      </x:c>
      <x:c r="R1743" s="66" t="str">
        <x:v>https://sidatagrun-public-1076756628210.asia-southeast2.run.app/ptn_sn.php?ptn=334</x:v>
      </x:c>
    </x:row>
    <x:row r="1744">
      <x:c r="A1744" s="87" t="n">
        <x:v>187</x:v>
      </x:c>
      <x:c r="B1744" s="66" t="n">
        <x:v>334</x:v>
      </x:c>
      <x:c r="C1744" s="66" t="str">
        <x:v>UNIVERSITAS PENDIDIKAN INDONESIA</x:v>
      </x:c>
      <x:c r="D1744" s="66" t="str">
        <x:v>PTN Akademik</x:v>
      </x:c>
      <x:c r="E1744" s="66" t="str">
        <x:v>13341095</x:v>
      </x:c>
      <x:c r="F1744" s="66" t="str">
        <x:v>DESAIN KOMUNIKASI VISUAL</x:v>
      </x:c>
      <x:c r="G1744" s="66" t="str">
        <x:v>Sarjana</x:v>
      </x:c>
      <x:c r="H1744" s="87" t="n">
        <x:v>27</x:v>
      </x:c>
      <x:c r="I1744" s="87" t="n">
        <x:v>745</x:v>
      </x:c>
      <x:c r="J1744" s="68" t="n">
        <x:f>IFERROR(H1744/I1744,"")</x:f>
        <x:v>0.036241610738255034</x:v>
      </x:c>
      <x:c r="K1744" s="69" t="n">
        <x:f>IFERROR(I1744/H1744,"")</x:f>
        <x:v>27.59259259259259</x:v>
      </x:c>
      <x:c r="L1744" s="66" t="str">
        <x:f>IF(K1744="","","1 : "&amp;TEXT(K1744,"0.0"))</x:f>
        <x:v>1 : 27.6</x:v>
      </x:c>
      <x:c r="M1744" s="66" t="str">
        <x:f>IF(J1744="","Baru/Tanpa Data",IF(J1744&lt;='Catatan &amp; Sumber'!$B$14,"Sangat Ketat",IF(J1744&lt;='Catatan &amp; Sumber'!$B$15,"Ketat",IF(J1744&lt;='Catatan &amp; Sumber'!$B$16,"Sedang","Relatif Longgar"))))</x:f>
        <x:v>Ketat</x:v>
      </x:c>
      <x:c r="N1744" s="66" t="str">
        <x:v>Seni Rupa, Desain, dan Kriya</x:v>
      </x:c>
      <x:c r="O1744" s="66" t="str">
        <x:v>Jawa Barat</x:v>
      </x:c>
      <x:c r="P1744" s="66" t="str">
        <x:v>Kota Bandung</x:v>
      </x:c>
      <x:c r="Q1744" s="66" t="str">
        <x:v>https://snpmb.id/snbp/daya-tampung-snbp</x:v>
      </x:c>
      <x:c r="R1744" s="66" t="str">
        <x:v>https://sidatagrun-public-1076756628210.asia-southeast2.run.app/ptn_sn.php?ptn=334</x:v>
      </x:c>
    </x:row>
    <x:row r="1745">
      <x:c r="A1745" s="87" t="n">
        <x:v>824</x:v>
      </x:c>
      <x:c r="B1745" s="66" t="n">
        <x:v>334</x:v>
      </x:c>
      <x:c r="C1745" s="66" t="str">
        <x:v>UNIVERSITAS PENDIDIKAN INDONESIA</x:v>
      </x:c>
      <x:c r="D1745" s="66" t="str">
        <x:v>PTN Akademik</x:v>
      </x:c>
      <x:c r="E1745" s="66" t="str">
        <x:v>13341096</x:v>
      </x:c>
      <x:c r="F1745" s="66" t="str">
        <x:v>PENDIDIKAN PARIWISATA</x:v>
      </x:c>
      <x:c r="G1745" s="66" t="str">
        <x:v>Sarjana</x:v>
      </x:c>
      <x:c r="H1745" s="87" t="n">
        <x:v>29</x:v>
      </x:c>
      <x:c r="I1745" s="87" t="n">
        <x:v>427</x:v>
      </x:c>
      <x:c r="J1745" s="68" t="n">
        <x:f>IFERROR(H1745/I1745,"")</x:f>
        <x:v>0.06791569086651054</x:v>
      </x:c>
      <x:c r="K1745" s="69" t="n">
        <x:f>IFERROR(I1745/H1745,"")</x:f>
        <x:v>14.724137931034482</x:v>
      </x:c>
      <x:c r="L1745" s="66" t="str">
        <x:f>IF(K1745="","","1 : "&amp;TEXT(K1745,"0.0"))</x:f>
        <x:v>1 : 14.7</x:v>
      </x:c>
      <x:c r="M1745" s="66" t="str">
        <x:f>IF(J1745="","Baru/Tanpa Data",IF(J1745&lt;='Catatan &amp; Sumber'!$B$14,"Sangat Ketat",IF(J1745&lt;='Catatan &amp; Sumber'!$B$15,"Ketat",IF(J1745&lt;='Catatan &amp; Sumber'!$B$16,"Sedang","Relatif Longgar"))))</x:f>
        <x:v>Sedang</x:v>
      </x:c>
      <x:c r="N1745" s="66" t="str">
        <x:v>Tidak Ada</x:v>
      </x:c>
      <x:c r="O1745" s="66" t="str">
        <x:v>Jawa Barat</x:v>
      </x:c>
      <x:c r="P1745" s="66" t="str">
        <x:v>Kota Bandung</x:v>
      </x:c>
      <x:c r="Q1745" s="66" t="str">
        <x:v>https://snpmb.id/snbp/daya-tampung-snbp</x:v>
      </x:c>
      <x:c r="R1745" s="66" t="str">
        <x:v>https://sidatagrun-public-1076756628210.asia-southeast2.run.app/ptn_sn.php?ptn=334</x:v>
      </x:c>
    </x:row>
    <x:row r="1746">
      <x:c r="A1746" s="87" t="n">
        <x:v>795</x:v>
      </x:c>
      <x:c r="B1746" s="66" t="n">
        <x:v>334</x:v>
      </x:c>
      <x:c r="C1746" s="66" t="str">
        <x:v>UNIVERSITAS PENDIDIKAN INDONESIA</x:v>
      </x:c>
      <x:c r="D1746" s="66" t="str">
        <x:v>PTN Akademik</x:v>
      </x:c>
      <x:c r="E1746" s="66" t="str">
        <x:v>13341097</x:v>
      </x:c>
      <x:c r="F1746" s="66" t="str">
        <x:v>FILM DAN TELEVISI</x:v>
      </x:c>
      <x:c r="G1746" s="66" t="str">
        <x:v>Sarjana</x:v>
      </x:c>
      <x:c r="H1746" s="87" t="n">
        <x:v>20</x:v>
      </x:c>
      <x:c r="I1746" s="87" t="n">
        <x:v>301</x:v>
      </x:c>
      <x:c r="J1746" s="68" t="n">
        <x:f>IFERROR(H1746/I1746,"")</x:f>
        <x:v>0.0664451827242525</x:v>
      </x:c>
      <x:c r="K1746" s="69" t="n">
        <x:f>IFERROR(I1746/H1746,"")</x:f>
        <x:v>15.05</x:v>
      </x:c>
      <x:c r="L1746" s="66" t="str">
        <x:f>IF(K1746="","","1 : "&amp;TEXT(K1746,"0.0"))</x:f>
        <x:v>1 : 15.1</x:v>
      </x:c>
      <x:c r="M1746" s="66" t="str">
        <x:f>IF(J1746="","Baru/Tanpa Data",IF(J1746&lt;='Catatan &amp; Sumber'!$B$14,"Sangat Ketat",IF(J1746&lt;='Catatan &amp; Sumber'!$B$15,"Ketat",IF(J1746&lt;='Catatan &amp; Sumber'!$B$16,"Sedang","Relatif Longgar"))))</x:f>
        <x:v>Sedang</x:v>
      </x:c>
      <x:c r="N1746" s="66" t="str">
        <x:v>Film dan Televisi</x:v>
      </x:c>
      <x:c r="O1746" s="66" t="str">
        <x:v>Jawa Barat</x:v>
      </x:c>
      <x:c r="P1746" s="66" t="str">
        <x:v>Kota Bandung</x:v>
      </x:c>
      <x:c r="Q1746" s="66" t="str">
        <x:v>https://snpmb.id/snbp/daya-tampung-snbp</x:v>
      </x:c>
      <x:c r="R1746" s="66" t="str">
        <x:v>https://sidatagrun-public-1076756628210.asia-southeast2.run.app/ptn_sn.php?ptn=334</x:v>
      </x:c>
    </x:row>
    <x:row r="1747">
      <x:c r="A1747" s="87" t="n">
        <x:v>776</x:v>
      </x:c>
      <x:c r="B1747" s="66" t="n">
        <x:v>334</x:v>
      </x:c>
      <x:c r="C1747" s="66" t="str">
        <x:v>UNIVERSITAS PENDIDIKAN INDONESIA</x:v>
      </x:c>
      <x:c r="D1747" s="66" t="str">
        <x:v>PTN Akademik</x:v>
      </x:c>
      <x:c r="E1747" s="66" t="str">
        <x:v>13341098</x:v>
      </x:c>
      <x:c r="F1747" s="66" t="str">
        <x:v>BISNIS DIGITAL (KAMPUS UPI TASIKMALAYA)</x:v>
      </x:c>
      <x:c r="G1747" s="66" t="str">
        <x:v>Sarjana</x:v>
      </x:c>
      <x:c r="H1747" s="87" t="n">
        <x:v>40</x:v>
      </x:c>
      <x:c r="I1747" s="87" t="n">
        <x:v>609</x:v>
      </x:c>
      <x:c r="J1747" s="68" t="n">
        <x:f>IFERROR(H1747/I1747,"")</x:f>
        <x:v>0.06568144499178982</x:v>
      </x:c>
      <x:c r="K1747" s="69" t="n">
        <x:f>IFERROR(I1747/H1747,"")</x:f>
        <x:v>15.225</x:v>
      </x:c>
      <x:c r="L1747" s="66" t="str">
        <x:f>IF(K1747="","","1 : "&amp;TEXT(K1747,"0.0"))</x:f>
        <x:v>1 : 15.2</x:v>
      </x:c>
      <x:c r="M1747" s="66" t="str">
        <x:f>IF(J1747="","Baru/Tanpa Data",IF(J1747&lt;='Catatan &amp; Sumber'!$B$14,"Sangat Ketat",IF(J1747&lt;='Catatan &amp; Sumber'!$B$15,"Ketat",IF(J1747&lt;='Catatan &amp; Sumber'!$B$16,"Sedang","Relatif Longgar"))))</x:f>
        <x:v>Sedang</x:v>
      </x:c>
      <x:c r="N1747" s="66" t="str">
        <x:v>Tidak Ada</x:v>
      </x:c>
      <x:c r="O1747" s="66" t="str">
        <x:v>Jawa Barat</x:v>
      </x:c>
      <x:c r="P1747" s="66" t="str">
        <x:v>Kota Bandung</x:v>
      </x:c>
      <x:c r="Q1747" s="66" t="str">
        <x:v>https://snpmb.id/snbp/daya-tampung-snbp</x:v>
      </x:c>
      <x:c r="R1747" s="66" t="str">
        <x:v>https://sidatagrun-public-1076756628210.asia-southeast2.run.app/ptn_sn.php?ptn=334</x:v>
      </x:c>
    </x:row>
    <x:row r="1748">
      <x:c r="A1748" s="87" t="n">
        <x:v>2887</x:v>
      </x:c>
      <x:c r="B1748" s="66" t="n">
        <x:v>334</x:v>
      </x:c>
      <x:c r="C1748" s="66" t="str">
        <x:v>UNIVERSITAS PENDIDIKAN INDONESIA</x:v>
      </x:c>
      <x:c r="D1748" s="66" t="str">
        <x:v>PTN Akademik</x:v>
      </x:c>
      <x:c r="E1748" s="66" t="str">
        <x:v>13341099</x:v>
      </x:c>
      <x:c r="F1748" s="66" t="str">
        <x:v>MUSIK</x:v>
      </x:c>
      <x:c r="G1748" s="66" t="str">
        <x:v>Sarjana</x:v>
      </x:c>
      <x:c r="H1748" s="87" t="n">
        <x:v>46</x:v>
      </x:c>
      <x:c r="I1748" s="87" t="n">
        <x:v>169</x:v>
      </x:c>
      <x:c r="J1748" s="68" t="n">
        <x:f>IFERROR(H1748/I1748,"")</x:f>
        <x:v>0.27218934911242604</x:v>
      </x:c>
      <x:c r="K1748" s="69" t="n">
        <x:f>IFERROR(I1748/H1748,"")</x:f>
        <x:v>3.6739130434782608</x:v>
      </x:c>
      <x:c r="L1748" s="66" t="str">
        <x:f>IF(K1748="","","1 : "&amp;TEXT(K1748,"0.0"))</x:f>
        <x:v>1 : 3.7</x:v>
      </x:c>
      <x:c r="M1748" s="66" t="str">
        <x:f>IF(J1748="","Baru/Tanpa Data",IF(J1748&lt;='Catatan &amp; Sumber'!$B$14,"Sangat Ketat",IF(J1748&lt;='Catatan &amp; Sumber'!$B$15,"Ketat",IF(J1748&lt;='Catatan &amp; Sumber'!$B$16,"Sedang","Relatif Longgar"))))</x:f>
        <x:v>Relatif Longgar</x:v>
      </x:c>
      <x:c r="N1748" s="66" t="str">
        <x:v>Musik</x:v>
      </x:c>
      <x:c r="O1748" s="66" t="str">
        <x:v>Jawa Barat</x:v>
      </x:c>
      <x:c r="P1748" s="66" t="str">
        <x:v>Kota Bandung</x:v>
      </x:c>
      <x:c r="Q1748" s="66" t="str">
        <x:v>https://snpmb.id/snbp/daya-tampung-snbp</x:v>
      </x:c>
      <x:c r="R1748" s="66" t="str">
        <x:v>https://sidatagrun-public-1076756628210.asia-southeast2.run.app/ptn_sn.php?ptn=334</x:v>
      </x:c>
    </x:row>
    <x:row r="1749">
      <x:c r="A1749" s="87" t="n">
        <x:v>1688</x:v>
      </x:c>
      <x:c r="B1749" s="66" t="n">
        <x:v>334</x:v>
      </x:c>
      <x:c r="C1749" s="66" t="str">
        <x:v>UNIVERSITAS PENDIDIKAN INDONESIA</x:v>
      </x:c>
      <x:c r="D1749" s="66" t="str">
        <x:v>PTN Akademik</x:v>
      </x:c>
      <x:c r="E1749" s="66" t="str">
        <x:v>13341100</x:v>
      </x:c>
      <x:c r="F1749" s="66" t="str">
        <x:v>INDUSTRI PARIWISATA KAMPUS SUMEDANG</x:v>
      </x:c>
      <x:c r="G1749" s="66" t="str">
        <x:v>Sarjana</x:v>
      </x:c>
      <x:c r="H1749" s="87" t="n">
        <x:v>72</x:v>
      </x:c>
      <x:c r="I1749" s="87" t="n">
        <x:v>583</x:v>
      </x:c>
      <x:c r="J1749" s="68" t="n">
        <x:f>IFERROR(H1749/I1749,"")</x:f>
        <x:v>0.1234991423670669</x:v>
      </x:c>
      <x:c r="K1749" s="69" t="n">
        <x:f>IFERROR(I1749/H1749,"")</x:f>
        <x:v>8.097222222222221</x:v>
      </x:c>
      <x:c r="L1749" s="66" t="str">
        <x:f>IF(K1749="","","1 : "&amp;TEXT(K1749,"0.0"))</x:f>
        <x:v>1 : 8.1</x:v>
      </x:c>
      <x:c r="M1749" s="66" t="str">
        <x:f>IF(J1749="","Baru/Tanpa Data",IF(J1749&lt;='Catatan &amp; Sumber'!$B$14,"Sangat Ketat",IF(J1749&lt;='Catatan &amp; Sumber'!$B$15,"Ketat",IF(J1749&lt;='Catatan &amp; Sumber'!$B$16,"Sedang","Relatif Longgar"))))</x:f>
        <x:v>Relatif Longgar</x:v>
      </x:c>
      <x:c r="N1749" s="66" t="str">
        <x:v>Tidak Ada</x:v>
      </x:c>
      <x:c r="O1749" s="66" t="str">
        <x:v>Jawa Barat</x:v>
      </x:c>
      <x:c r="P1749" s="66" t="str">
        <x:v>Kota Bandung</x:v>
      </x:c>
      <x:c r="Q1749" s="66" t="str">
        <x:v>https://snpmb.id/snbp/daya-tampung-snbp</x:v>
      </x:c>
      <x:c r="R1749" s="66" t="str">
        <x:v>https://sidatagrun-public-1076756628210.asia-southeast2.run.app/ptn_sn.php?ptn=334</x:v>
      </x:c>
    </x:row>
    <x:row r="1750">
      <x:c r="A1750" s="87" t="n">
        <x:v>3539</x:v>
      </x:c>
      <x:c r="B1750" s="66" t="n">
        <x:v>334</x:v>
      </x:c>
      <x:c r="C1750" s="66" t="str">
        <x:v>UNIVERSITAS PENDIDIKAN INDONESIA</x:v>
      </x:c>
      <x:c r="D1750" s="66" t="str">
        <x:v>PTN Akademik</x:v>
      </x:c>
      <x:c r="E1750" s="66" t="str">
        <x:v>13341101</x:v>
      </x:c>
      <x:c r="F1750" s="66" t="str">
        <x:v>DESAIN PRODUK INDUSTRI - KAMPUS UPI DI TASIKMALAYA</x:v>
      </x:c>
      <x:c r="G1750" s="66" t="str">
        <x:v>Sarjana</x:v>
      </x:c>
      <x:c r="H1750" s="87" t="n">
        <x:v>38</x:v>
      </x:c>
      <x:c r="I1750" s="87" t="n">
        <x:v>85</x:v>
      </x:c>
      <x:c r="J1750" s="68" t="n">
        <x:f>IFERROR(H1750/I1750,"")</x:f>
        <x:v>0.4470588235294118</x:v>
      </x:c>
      <x:c r="K1750" s="69" t="n">
        <x:f>IFERROR(I1750/H1750,"")</x:f>
        <x:v>2.236842105263158</x:v>
      </x:c>
      <x:c r="L1750" s="66" t="str">
        <x:f>IF(K1750="","","1 : "&amp;TEXT(K1750,"0.0"))</x:f>
        <x:v>1 : 2.2</x:v>
      </x:c>
      <x:c r="M1750" s="66" t="str">
        <x:f>IF(J1750="","Baru/Tanpa Data",IF(J1750&lt;='Catatan &amp; Sumber'!$B$14,"Sangat Ketat",IF(J1750&lt;='Catatan &amp; Sumber'!$B$15,"Ketat",IF(J1750&lt;='Catatan &amp; Sumber'!$B$16,"Sedang","Relatif Longgar"))))</x:f>
        <x:v>Relatif Longgar</x:v>
      </x:c>
      <x:c r="N1750" s="66" t="str">
        <x:v>Seni Rupa, Desain, dan Kriya</x:v>
      </x:c>
      <x:c r="O1750" s="66" t="str">
        <x:v>Jawa Barat</x:v>
      </x:c>
      <x:c r="P1750" s="66" t="str">
        <x:v>Kota Bandung</x:v>
      </x:c>
      <x:c r="Q1750" s="66" t="str">
        <x:v>https://snpmb.id/snbp/daya-tampung-snbp</x:v>
      </x:c>
      <x:c r="R1750" s="66" t="str">
        <x:v>https://sidatagrun-public-1076756628210.asia-southeast2.run.app/ptn_sn.php?ptn=334</x:v>
      </x:c>
    </x:row>
    <x:row r="1751">
      <x:c r="A1751" s="87" t="n">
        <x:v>13</x:v>
      </x:c>
      <x:c r="B1751" s="66" t="n">
        <x:v>334</x:v>
      </x:c>
      <x:c r="C1751" s="66" t="str">
        <x:v>UNIVERSITAS PENDIDIKAN INDONESIA</x:v>
      </x:c>
      <x:c r="D1751" s="66" t="str">
        <x:v>PTN Akademik</x:v>
      </x:c>
      <x:c r="E1751" s="66" t="str">
        <x:v>13341106</x:v>
      </x:c>
      <x:c r="F1751" s="66" t="str">
        <x:v>KEDOKTERAN</x:v>
      </x:c>
      <x:c r="G1751" s="66" t="str">
        <x:v>Sarjana</x:v>
      </x:c>
      <x:c r="H1751" s="87" t="n">
        <x:v>10</x:v>
      </x:c>
      <x:c r="I1751" s="87" t="n">
        <x:v>640</x:v>
      </x:c>
      <x:c r="J1751" s="68" t="n">
        <x:f>IFERROR(H1751/I1751,"")</x:f>
        <x:v>0.015625</x:v>
      </x:c>
      <x:c r="K1751" s="69" t="n">
        <x:f>IFERROR(I1751/H1751,"")</x:f>
        <x:v>64</x:v>
      </x:c>
      <x:c r="L1751" s="66" t="str">
        <x:f>IF(K1751="","","1 : "&amp;TEXT(K1751,"0.0"))</x:f>
        <x:v>1 : 64.0</x:v>
      </x:c>
      <x:c r="M1751" s="66" t="str">
        <x:f>IF(J1751="","Baru/Tanpa Data",IF(J1751&lt;='Catatan &amp; Sumber'!$B$14,"Sangat Ketat",IF(J1751&lt;='Catatan &amp; Sumber'!$B$15,"Ketat",IF(J1751&lt;='Catatan &amp; Sumber'!$B$16,"Sedang","Relatif Longgar"))))</x:f>
        <x:v>Sangat Ketat</x:v>
      </x:c>
      <x:c r="N1751" s="66" t="str">
        <x:v>Tidak Ada</x:v>
      </x:c>
      <x:c r="O1751" s="66" t="str">
        <x:v>Jawa Barat</x:v>
      </x:c>
      <x:c r="P1751" s="66" t="str">
        <x:v>Kota Bandung</x:v>
      </x:c>
      <x:c r="Q1751" s="66" t="str">
        <x:v>https://snpmb.id/snbp/daya-tampung-snbp</x:v>
      </x:c>
      <x:c r="R1751" s="66" t="str">
        <x:v>https://sidatagrun-public-1076756628210.asia-southeast2.run.app/ptn_sn.php?ptn=334</x:v>
      </x:c>
    </x:row>
    <x:row r="1752">
      <x:c r="A1752" s="87" t="n">
        <x:v>37</x:v>
      </x:c>
      <x:c r="B1752" s="66" t="n">
        <x:v>334</x:v>
      </x:c>
      <x:c r="C1752" s="66" t="str">
        <x:v>UNIVERSITAS PENDIDIKAN INDONESIA</x:v>
      </x:c>
      <x:c r="D1752" s="66" t="str">
        <x:v>PTN Akademik</x:v>
      </x:c>
      <x:c r="E1752" s="66" t="str">
        <x:v>13341107</x:v>
      </x:c>
      <x:c r="F1752" s="66" t="str">
        <x:v>TEKNOLOGI PANGAN</x:v>
      </x:c>
      <x:c r="G1752" s="66" t="str">
        <x:v>Sarjana</x:v>
      </x:c>
      <x:c r="H1752" s="87" t="n">
        <x:v>12</x:v>
      </x:c>
      <x:c r="I1752" s="87" t="n">
        <x:v>590</x:v>
      </x:c>
      <x:c r="J1752" s="68" t="n">
        <x:f>IFERROR(H1752/I1752,"")</x:f>
        <x:v>0.020338983050847456</x:v>
      </x:c>
      <x:c r="K1752" s="69" t="n">
        <x:f>IFERROR(I1752/H1752,"")</x:f>
        <x:v>49.166666666666664</x:v>
      </x:c>
      <x:c r="L1752" s="66" t="str">
        <x:f>IF(K1752="","","1 : "&amp;TEXT(K1752,"0.0"))</x:f>
        <x:v>1 : 49.2</x:v>
      </x:c>
      <x:c r="M1752" s="66" t="str">
        <x:f>IF(J1752="","Baru/Tanpa Data",IF(J1752&lt;='Catatan &amp; Sumber'!$B$14,"Sangat Ketat",IF(J1752&lt;='Catatan &amp; Sumber'!$B$15,"Ketat",IF(J1752&lt;='Catatan &amp; Sumber'!$B$16,"Sedang","Relatif Longgar"))))</x:f>
        <x:v>Ketat</x:v>
      </x:c>
      <x:c r="N1752" s="66" t="str">
        <x:v>Tidak Ada</x:v>
      </x:c>
      <x:c r="O1752" s="66" t="str">
        <x:v>Jawa Barat</x:v>
      </x:c>
      <x:c r="P1752" s="66" t="str">
        <x:v>Kota Bandung</x:v>
      </x:c>
      <x:c r="Q1752" s="66" t="str">
        <x:v>https://snpmb.id/snbp/daya-tampung-snbp</x:v>
      </x:c>
      <x:c r="R1752" s="66" t="str">
        <x:v>https://sidatagrun-public-1076756628210.asia-southeast2.run.app/ptn_sn.php?ptn=334</x:v>
      </x:c>
    </x:row>
    <x:row r="1753">
      <x:c r="A1753" s="87" t="n">
        <x:v>1848</x:v>
      </x:c>
      <x:c r="B1753" s="66" t="n">
        <x:v>334</x:v>
      </x:c>
      <x:c r="C1753" s="66" t="str">
        <x:v>UNIVERSITAS PENDIDIKAN INDONESIA</x:v>
      </x:c>
      <x:c r="D1753" s="66" t="str">
        <x:v>PTN Akademik</x:v>
      </x:c>
      <x:c r="E1753" s="66" t="str">
        <x:v>13341108</x:v>
      </x:c>
      <x:c r="F1753" s="66" t="str">
        <x:v>TEKNIK ENERGI TERBARUKAN</x:v>
      </x:c>
      <x:c r="G1753" s="66" t="str">
        <x:v>Sarjana</x:v>
      </x:c>
      <x:c r="H1753" s="87" t="n">
        <x:v>26</x:v>
      </x:c>
      <x:c r="I1753" s="87" t="n">
        <x:v>191</x:v>
      </x:c>
      <x:c r="J1753" s="68" t="n">
        <x:f>IFERROR(H1753/I1753,"")</x:f>
        <x:v>0.13612565445026178</x:v>
      </x:c>
      <x:c r="K1753" s="69" t="n">
        <x:f>IFERROR(I1753/H1753,"")</x:f>
        <x:v>7.346153846153846</x:v>
      </x:c>
      <x:c r="L1753" s="66" t="str">
        <x:f>IF(K1753="","","1 : "&amp;TEXT(K1753,"0.0"))</x:f>
        <x:v>1 : 7.3</x:v>
      </x:c>
      <x:c r="M1753" s="66" t="str">
        <x:f>IF(J1753="","Baru/Tanpa Data",IF(J1753&lt;='Catatan &amp; Sumber'!$B$14,"Sangat Ketat",IF(J1753&lt;='Catatan &amp; Sumber'!$B$15,"Ketat",IF(J1753&lt;='Catatan &amp; Sumber'!$B$16,"Sedang","Relatif Longgar"))))</x:f>
        <x:v>Relatif Longgar</x:v>
      </x:c>
      <x:c r="N1753" s="66" t="str">
        <x:v>Tidak Ada</x:v>
      </x:c>
      <x:c r="O1753" s="66" t="str">
        <x:v>Jawa Barat</x:v>
      </x:c>
      <x:c r="P1753" s="66" t="str">
        <x:v>Kota Bandung</x:v>
      </x:c>
      <x:c r="Q1753" s="66" t="str">
        <x:v>https://snpmb.id/snbp/daya-tampung-snbp</x:v>
      </x:c>
      <x:c r="R1753" s="66" t="str">
        <x:v>https://sidatagrun-public-1076756628210.asia-southeast2.run.app/ptn_sn.php?ptn=334</x:v>
      </x:c>
    </x:row>
    <x:row r="1754">
      <x:c r="A1754" s="87" t="n">
        <x:v>609</x:v>
      </x:c>
      <x:c r="B1754" s="66" t="n">
        <x:v>334</x:v>
      </x:c>
      <x:c r="C1754" s="66" t="str">
        <x:v>UNIVERSITAS PENDIDIKAN INDONESIA</x:v>
      </x:c>
      <x:c r="D1754" s="66" t="str">
        <x:v>PTN Akademik</x:v>
      </x:c>
      <x:c r="E1754" s="66" t="str">
        <x:v>13341109</x:v>
      </x:c>
      <x:c r="F1754" s="66" t="str">
        <x:v>TEKNIK KIMIA</x:v>
      </x:c>
      <x:c r="G1754" s="66" t="str">
        <x:v>Sarjana</x:v>
      </x:c>
      <x:c r="H1754" s="87" t="n">
        <x:v>12</x:v>
      </x:c>
      <x:c r="I1754" s="87" t="n">
        <x:v>207</x:v>
      </x:c>
      <x:c r="J1754" s="68" t="n">
        <x:f>IFERROR(H1754/I1754,"")</x:f>
        <x:v>0.057971014492753624</x:v>
      </x:c>
      <x:c r="K1754" s="69" t="n">
        <x:f>IFERROR(I1754/H1754,"")</x:f>
        <x:v>17.25</x:v>
      </x:c>
      <x:c r="L1754" s="66" t="str">
        <x:f>IF(K1754="","","1 : "&amp;TEXT(K1754,"0.0"))</x:f>
        <x:v>1 : 17.3</x:v>
      </x:c>
      <x:c r="M1754" s="66" t="str">
        <x:f>IF(J1754="","Baru/Tanpa Data",IF(J1754&lt;='Catatan &amp; Sumber'!$B$14,"Sangat Ketat",IF(J1754&lt;='Catatan &amp; Sumber'!$B$15,"Ketat",IF(J1754&lt;='Catatan &amp; Sumber'!$B$16,"Sedang","Relatif Longgar"))))</x:f>
        <x:v>Sedang</x:v>
      </x:c>
      <x:c r="N1754" s="66" t="str">
        <x:v>Tidak Ada</x:v>
      </x:c>
      <x:c r="O1754" s="66" t="str">
        <x:v>Jawa Barat</x:v>
      </x:c>
      <x:c r="P1754" s="66" t="str">
        <x:v>Kota Bandung</x:v>
      </x:c>
      <x:c r="Q1754" s="66" t="str">
        <x:v>https://snpmb.id/snbp/daya-tampung-snbp</x:v>
      </x:c>
      <x:c r="R1754" s="66" t="str">
        <x:v>https://sidatagrun-public-1076756628210.asia-southeast2.run.app/ptn_sn.php?ptn=334</x:v>
      </x:c>
    </x:row>
    <x:row r="1755">
      <x:c r="A1755" s="87" t="n">
        <x:v>126</x:v>
      </x:c>
      <x:c r="B1755" s="66" t="n">
        <x:v>334</x:v>
      </x:c>
      <x:c r="C1755" s="66" t="str">
        <x:v>UNIVERSITAS PENDIDIKAN INDONESIA</x:v>
      </x:c>
      <x:c r="D1755" s="66" t="str">
        <x:v>PTN Akademik</x:v>
      </x:c>
      <x:c r="E1755" s="66" t="str">
        <x:v>13341110</x:v>
      </x:c>
      <x:c r="F1755" s="66" t="str">
        <x:v>ILMU HUKUM</x:v>
      </x:c>
      <x:c r="G1755" s="66" t="str">
        <x:v>Sarjana</x:v>
      </x:c>
      <x:c r="H1755" s="87" t="n">
        <x:v>30</x:v>
      </x:c>
      <x:c r="I1755" s="87" t="n">
        <x:v>973</x:v>
      </x:c>
      <x:c r="J1755" s="68" t="n">
        <x:f>IFERROR(H1755/I1755,"")</x:f>
        <x:v>0.030832476875642344</x:v>
      </x:c>
      <x:c r="K1755" s="69" t="n">
        <x:f>IFERROR(I1755/H1755,"")</x:f>
        <x:v>32.43333333333333</x:v>
      </x:c>
      <x:c r="L1755" s="66" t="str">
        <x:f>IF(K1755="","","1 : "&amp;TEXT(K1755,"0.0"))</x:f>
        <x:v>1 : 32.4</x:v>
      </x:c>
      <x:c r="M1755" s="66" t="str">
        <x:f>IF(J1755="","Baru/Tanpa Data",IF(J1755&lt;='Catatan &amp; Sumber'!$B$14,"Sangat Ketat",IF(J1755&lt;='Catatan &amp; Sumber'!$B$15,"Ketat",IF(J1755&lt;='Catatan &amp; Sumber'!$B$16,"Sedang","Relatif Longgar"))))</x:f>
        <x:v>Ketat</x:v>
      </x:c>
      <x:c r="N1755" s="66" t="str">
        <x:v>Tidak Ada</x:v>
      </x:c>
      <x:c r="O1755" s="66" t="str">
        <x:v>Jawa Barat</x:v>
      </x:c>
      <x:c r="P1755" s="66" t="str">
        <x:v>Kota Bandung</x:v>
      </x:c>
      <x:c r="Q1755" s="66" t="str">
        <x:v>https://snpmb.id/snbp/daya-tampung-snbp</x:v>
      </x:c>
      <x:c r="R1755" s="66" t="str">
        <x:v>https://sidatagrun-public-1076756628210.asia-southeast2.run.app/ptn_sn.php?ptn=334</x:v>
      </x:c>
    </x:row>
    <x:row r="1756">
      <x:c r="A1756" s="87" t="n">
        <x:v>1761</x:v>
      </x:c>
      <x:c r="B1756" s="66" t="n">
        <x:v>334</x:v>
      </x:c>
      <x:c r="C1756" s="66" t="str">
        <x:v>UNIVERSITAS PENDIDIKAN INDONESIA</x:v>
      </x:c>
      <x:c r="D1756" s="66" t="str">
        <x:v>PTN Akademik</x:v>
      </x:c>
      <x:c r="E1756" s="66" t="str">
        <x:v>13342036</x:v>
      </x:c>
      <x:c r="F1756" s="66" t="str">
        <x:v>SURVEI PEMETAAN DAN INFORMASI GEOGRAFIS</x:v>
      </x:c>
      <x:c r="G1756" s="66" t="str">
        <x:v>Sarjana Terapan</x:v>
      </x:c>
      <x:c r="H1756" s="87" t="n">
        <x:v>33</x:v>
      </x:c>
      <x:c r="I1756" s="87" t="n">
        <x:v>255</x:v>
      </x:c>
      <x:c r="J1756" s="68" t="n">
        <x:f>IFERROR(H1756/I1756,"")</x:f>
        <x:v>0.12941176470588237</x:v>
      </x:c>
      <x:c r="K1756" s="69" t="n">
        <x:f>IFERROR(I1756/H1756,"")</x:f>
        <x:v>7.7272727272727275</x:v>
      </x:c>
      <x:c r="L1756" s="66" t="str">
        <x:f>IF(K1756="","","1 : "&amp;TEXT(K1756,"0.0"))</x:f>
        <x:v>1 : 7.7</x:v>
      </x:c>
      <x:c r="M1756" s="66" t="str">
        <x:f>IF(J1756="","Baru/Tanpa Data",IF(J1756&lt;='Catatan &amp; Sumber'!$B$14,"Sangat Ketat",IF(J1756&lt;='Catatan &amp; Sumber'!$B$15,"Ketat",IF(J1756&lt;='Catatan &amp; Sumber'!$B$16,"Sedang","Relatif Longgar"))))</x:f>
        <x:v>Relatif Longgar</x:v>
      </x:c>
      <x:c r="N1756" s="66" t="str">
        <x:v>Tidak Ada</x:v>
      </x:c>
      <x:c r="O1756" s="66" t="str">
        <x:v>Jawa Barat</x:v>
      </x:c>
      <x:c r="P1756" s="66" t="str">
        <x:v>Kota Bandung</x:v>
      </x:c>
      <x:c r="Q1756" s="66" t="str">
        <x:v>https://snpmb.id/snbp/daya-tampung-snbp</x:v>
      </x:c>
      <x:c r="R1756" s="66" t="str">
        <x:v>https://sidatagrun-public-1076756628210.asia-southeast2.run.app/ptn_sn.php?ptn=334</x:v>
      </x:c>
    </x:row>
    <x:row r="1757">
      <x:c r="A1757" s="87" t="n">
        <x:v>1230</x:v>
      </x:c>
      <x:c r="B1757" s="66" t="n">
        <x:v>335</x:v>
      </x:c>
      <x:c r="C1757" s="66" t="str">
        <x:v>ISBI BANDUNG</x:v>
      </x:c>
      <x:c r="D1757" s="66" t="str">
        <x:v>PTN Akademik</x:v>
      </x:c>
      <x:c r="E1757" s="66" t="str">
        <x:v>13351001</x:v>
      </x:c>
      <x:c r="F1757" s="66" t="str">
        <x:v>TARI</x:v>
      </x:c>
      <x:c r="G1757" s="66" t="str">
        <x:v>Sarjana</x:v>
      </x:c>
      <x:c r="H1757" s="87" t="n">
        <x:v>16</x:v>
      </x:c>
      <x:c r="I1757" s="87" t="n">
        <x:v>174</x:v>
      </x:c>
      <x:c r="J1757" s="68" t="n">
        <x:f>IFERROR(H1757/I1757,"")</x:f>
        <x:v>0.09195402298850575</x:v>
      </x:c>
      <x:c r="K1757" s="69" t="n">
        <x:f>IFERROR(I1757/H1757,"")</x:f>
        <x:v>10.875</x:v>
      </x:c>
      <x:c r="L1757" s="66" t="str">
        <x:f>IF(K1757="","","1 : "&amp;TEXT(K1757,"0.0"))</x:f>
        <x:v>1 : 10.9</x:v>
      </x:c>
      <x:c r="M1757" s="66" t="str">
        <x:f>IF(J1757="","Baru/Tanpa Data",IF(J1757&lt;='Catatan &amp; Sumber'!$B$14,"Sangat Ketat",IF(J1757&lt;='Catatan &amp; Sumber'!$B$15,"Ketat",IF(J1757&lt;='Catatan &amp; Sumber'!$B$16,"Sedang","Relatif Longgar"))))</x:f>
        <x:v>Sedang</x:v>
      </x:c>
      <x:c r="N1757" s="66" t="str">
        <x:v>Tari</x:v>
      </x:c>
      <x:c r="O1757" s="66" t="str">
        <x:v>Jawa Barat</x:v>
      </x:c>
      <x:c r="P1757" s="66" t="str">
        <x:v>Kota Bandung</x:v>
      </x:c>
      <x:c r="Q1757" s="66" t="str">
        <x:v>https://snpmb.id/snbp/daya-tampung-snbp</x:v>
      </x:c>
      <x:c r="R1757" s="66" t="str">
        <x:v>https://sidatagrun-public-1076756628210.asia-southeast2.run.app/ptn_sn.php?ptn=335</x:v>
      </x:c>
    </x:row>
    <x:row r="1758">
      <x:c r="A1758" s="87" t="n">
        <x:v>3479</x:v>
      </x:c>
      <x:c r="B1758" s="66" t="n">
        <x:v>335</x:v>
      </x:c>
      <x:c r="C1758" s="66" t="str">
        <x:v>ISBI BANDUNG</x:v>
      </x:c>
      <x:c r="D1758" s="66" t="str">
        <x:v>PTN Akademik</x:v>
      </x:c>
      <x:c r="E1758" s="66" t="str">
        <x:v>13351002</x:v>
      </x:c>
      <x:c r="F1758" s="66" t="str">
        <x:v>KARAWITAN</x:v>
      </x:c>
      <x:c r="G1758" s="66" t="str">
        <x:v>Sarjana</x:v>
      </x:c>
      <x:c r="H1758" s="87" t="n">
        <x:v>30</x:v>
      </x:c>
      <x:c r="I1758" s="87" t="n">
        <x:v>70</x:v>
      </x:c>
      <x:c r="J1758" s="68" t="n">
        <x:f>IFERROR(H1758/I1758,"")</x:f>
        <x:v>0.42857142857142855</x:v>
      </x:c>
      <x:c r="K1758" s="69" t="n">
        <x:f>IFERROR(I1758/H1758,"")</x:f>
        <x:v>2.3333333333333335</x:v>
      </x:c>
      <x:c r="L1758" s="66" t="str">
        <x:f>IF(K1758="","","1 : "&amp;TEXT(K1758,"0.0"))</x:f>
        <x:v>1 : 2.3</x:v>
      </x:c>
      <x:c r="M1758" s="66" t="str">
        <x:f>IF(J1758="","Baru/Tanpa Data",IF(J1758&lt;='Catatan &amp; Sumber'!$B$14,"Sangat Ketat",IF(J1758&lt;='Catatan &amp; Sumber'!$B$15,"Ketat",IF(J1758&lt;='Catatan &amp; Sumber'!$B$16,"Sedang","Relatif Longgar"))))</x:f>
        <x:v>Relatif Longgar</x:v>
      </x:c>
      <x:c r="N1758" s="66" t="str">
        <x:v>Seni Karawitan</x:v>
      </x:c>
      <x:c r="O1758" s="66" t="str">
        <x:v>Jawa Barat</x:v>
      </x:c>
      <x:c r="P1758" s="66" t="str">
        <x:v>Kota Bandung</x:v>
      </x:c>
      <x:c r="Q1758" s="66" t="str">
        <x:v>https://snpmb.id/snbp/daya-tampung-snbp</x:v>
      </x:c>
      <x:c r="R1758" s="66" t="str">
        <x:v>https://sidatagrun-public-1076756628210.asia-southeast2.run.app/ptn_sn.php?ptn=335</x:v>
      </x:c>
    </x:row>
    <x:row r="1759">
      <x:c r="A1759" s="87" t="n">
        <x:v>3847</x:v>
      </x:c>
      <x:c r="B1759" s="66" t="n">
        <x:v>335</x:v>
      </x:c>
      <x:c r="C1759" s="66" t="str">
        <x:v>ISBI BANDUNG</x:v>
      </x:c>
      <x:c r="D1759" s="66" t="str">
        <x:v>PTN Akademik</x:v>
      </x:c>
      <x:c r="E1759" s="66" t="str">
        <x:v>13351003</x:v>
      </x:c>
      <x:c r="F1759" s="66" t="str">
        <x:v>TEATER</x:v>
      </x:c>
      <x:c r="G1759" s="66" t="str">
        <x:v>Sarjana</x:v>
      </x:c>
      <x:c r="H1759" s="87" t="n">
        <x:v>24</x:v>
      </x:c>
      <x:c r="I1759" s="87" t="n">
        <x:v>40</x:v>
      </x:c>
      <x:c r="J1759" s="68" t="n">
        <x:f>IFERROR(H1759/I1759,"")</x:f>
        <x:v>0.6</x:v>
      </x:c>
      <x:c r="K1759" s="69" t="n">
        <x:f>IFERROR(I1759/H1759,"")</x:f>
        <x:v>1.6666666666666667</x:v>
      </x:c>
      <x:c r="L1759" s="66" t="str">
        <x:f>IF(K1759="","","1 : "&amp;TEXT(K1759,"0.0"))</x:f>
        <x:v>1 : 1.7</x:v>
      </x:c>
      <x:c r="M1759" s="66" t="str">
        <x:f>IF(J1759="","Baru/Tanpa Data",IF(J1759&lt;='Catatan &amp; Sumber'!$B$14,"Sangat Ketat",IF(J1759&lt;='Catatan &amp; Sumber'!$B$15,"Ketat",IF(J1759&lt;='Catatan &amp; Sumber'!$B$16,"Sedang","Relatif Longgar"))))</x:f>
        <x:v>Relatif Longgar</x:v>
      </x:c>
      <x:c r="N1759" s="66" t="str">
        <x:v>Teater</x:v>
      </x:c>
      <x:c r="O1759" s="66" t="str">
        <x:v>Jawa Barat</x:v>
      </x:c>
      <x:c r="P1759" s="66" t="str">
        <x:v>Kota Bandung</x:v>
      </x:c>
      <x:c r="Q1759" s="66" t="str">
        <x:v>https://snpmb.id/snbp/daya-tampung-snbp</x:v>
      </x:c>
      <x:c r="R1759" s="66" t="str">
        <x:v>https://sidatagrun-public-1076756628210.asia-southeast2.run.app/ptn_sn.php?ptn=335</x:v>
      </x:c>
    </x:row>
    <x:row r="1760">
      <x:c r="A1760" s="87" t="n">
        <x:v>2277</x:v>
      </x:c>
      <x:c r="B1760" s="66" t="n">
        <x:v>335</x:v>
      </x:c>
      <x:c r="C1760" s="66" t="str">
        <x:v>ISBI BANDUNG</x:v>
      </x:c>
      <x:c r="D1760" s="66" t="str">
        <x:v>PTN Akademik</x:v>
      </x:c>
      <x:c r="E1760" s="66" t="str">
        <x:v>13351004</x:v>
      </x:c>
      <x:c r="F1760" s="66" t="str">
        <x:v>SENI MURNI</x:v>
      </x:c>
      <x:c r="G1760" s="66" t="str">
        <x:v>Sarjana</x:v>
      </x:c>
      <x:c r="H1760" s="87" t="n">
        <x:v>18</x:v>
      </x:c>
      <x:c r="I1760" s="87" t="n">
        <x:v>99</x:v>
      </x:c>
      <x:c r="J1760" s="68" t="n">
        <x:f>IFERROR(H1760/I1760,"")</x:f>
        <x:v>0.18181818181818182</x:v>
      </x:c>
      <x:c r="K1760" s="69" t="n">
        <x:f>IFERROR(I1760/H1760,"")</x:f>
        <x:v>5.5</x:v>
      </x:c>
      <x:c r="L1760" s="66" t="str">
        <x:f>IF(K1760="","","1 : "&amp;TEXT(K1760,"0.0"))</x:f>
        <x:v>1 : 5.5</x:v>
      </x:c>
      <x:c r="M1760" s="66" t="str">
        <x:f>IF(J1760="","Baru/Tanpa Data",IF(J1760&lt;='Catatan &amp; Sumber'!$B$14,"Sangat Ketat",IF(J1760&lt;='Catatan &amp; Sumber'!$B$15,"Ketat",IF(J1760&lt;='Catatan &amp; Sumber'!$B$16,"Sedang","Relatif Longgar"))))</x:f>
        <x:v>Relatif Longgar</x:v>
      </x:c>
      <x:c r="N1760" s="66" t="str">
        <x:v>Seni Rupa, Desain, dan Kriya</x:v>
      </x:c>
      <x:c r="O1760" s="66" t="str">
        <x:v>Jawa Barat</x:v>
      </x:c>
      <x:c r="P1760" s="66" t="str">
        <x:v>Kota Bandung</x:v>
      </x:c>
      <x:c r="Q1760" s="66" t="str">
        <x:v>https://snpmb.id/snbp/daya-tampung-snbp</x:v>
      </x:c>
      <x:c r="R1760" s="66" t="str">
        <x:v>https://sidatagrun-public-1076756628210.asia-southeast2.run.app/ptn_sn.php?ptn=335</x:v>
      </x:c>
    </x:row>
    <x:row r="1761">
      <x:c r="A1761" s="87" t="n">
        <x:v>1912</x:v>
      </x:c>
      <x:c r="B1761" s="66" t="n">
        <x:v>335</x:v>
      </x:c>
      <x:c r="C1761" s="66" t="str">
        <x:v>ISBI BANDUNG</x:v>
      </x:c>
      <x:c r="D1761" s="66" t="str">
        <x:v>PTN Akademik</x:v>
      </x:c>
      <x:c r="E1761" s="66" t="str">
        <x:v>13351005</x:v>
      </x:c>
      <x:c r="F1761" s="66" t="str">
        <x:v>ANTROPOLOGI BUDAYA</x:v>
      </x:c>
      <x:c r="G1761" s="66" t="str">
        <x:v>Sarjana</x:v>
      </x:c>
      <x:c r="H1761" s="87" t="n">
        <x:v>20</x:v>
      </x:c>
      <x:c r="I1761" s="87" t="n">
        <x:v>141</x:v>
      </x:c>
      <x:c r="J1761" s="68" t="n">
        <x:f>IFERROR(H1761/I1761,"")</x:f>
        <x:v>0.14184397163120568</x:v>
      </x:c>
      <x:c r="K1761" s="69" t="n">
        <x:f>IFERROR(I1761/H1761,"")</x:f>
        <x:v>7.05</x:v>
      </x:c>
      <x:c r="L1761" s="66" t="str">
        <x:f>IF(K1761="","","1 : "&amp;TEXT(K1761,"0.0"))</x:f>
        <x:v>1 : 7.1</x:v>
      </x:c>
      <x:c r="M1761" s="66" t="str">
        <x:f>IF(J1761="","Baru/Tanpa Data",IF(J1761&lt;='Catatan &amp; Sumber'!$B$14,"Sangat Ketat",IF(J1761&lt;='Catatan &amp; Sumber'!$B$15,"Ketat",IF(J1761&lt;='Catatan &amp; Sumber'!$B$16,"Sedang","Relatif Longgar"))))</x:f>
        <x:v>Relatif Longgar</x:v>
      </x:c>
      <x:c r="N1761" s="66" t="str">
        <x:v>Tidak Ada</x:v>
      </x:c>
      <x:c r="O1761" s="66" t="str">
        <x:v>Jawa Barat</x:v>
      </x:c>
      <x:c r="P1761" s="66" t="str">
        <x:v>Kota Bandung</x:v>
      </x:c>
      <x:c r="Q1761" s="66" t="str">
        <x:v>https://snpmb.id/snbp/daya-tampung-snbp</x:v>
      </x:c>
      <x:c r="R1761" s="66" t="str">
        <x:v>https://sidatagrun-public-1076756628210.asia-southeast2.run.app/ptn_sn.php?ptn=335</x:v>
      </x:c>
    </x:row>
    <x:row r="1762">
      <x:c r="A1762" s="87" t="n">
        <x:v>3548</x:v>
      </x:c>
      <x:c r="B1762" s="66" t="n">
        <x:v>335</x:v>
      </x:c>
      <x:c r="C1762" s="66" t="str">
        <x:v>ISBI BANDUNG</x:v>
      </x:c>
      <x:c r="D1762" s="66" t="str">
        <x:v>PTN Akademik</x:v>
      </x:c>
      <x:c r="E1762" s="66" t="str">
        <x:v>13351011</x:v>
      </x:c>
      <x:c r="F1762" s="66" t="str">
        <x:v>KRIYA</x:v>
      </x:c>
      <x:c r="G1762" s="66" t="str">
        <x:v>Sarjana</x:v>
      </x:c>
      <x:c r="H1762" s="87" t="n">
        <x:v>9</x:v>
      </x:c>
      <x:c r="I1762" s="87" t="n">
        <x:v>20</x:v>
      </x:c>
      <x:c r="J1762" s="68" t="n">
        <x:f>IFERROR(H1762/I1762,"")</x:f>
        <x:v>0.45</x:v>
      </x:c>
      <x:c r="K1762" s="69" t="n">
        <x:f>IFERROR(I1762/H1762,"")</x:f>
        <x:v>2.2222222222222223</x:v>
      </x:c>
      <x:c r="L1762" s="66" t="str">
        <x:f>IF(K1762="","","1 : "&amp;TEXT(K1762,"0.0"))</x:f>
        <x:v>1 : 2.2</x:v>
      </x:c>
      <x:c r="M1762" s="66" t="str">
        <x:f>IF(J1762="","Baru/Tanpa Data",IF(J1762&lt;='Catatan &amp; Sumber'!$B$14,"Sangat Ketat",IF(J1762&lt;='Catatan &amp; Sumber'!$B$15,"Ketat",IF(J1762&lt;='Catatan &amp; Sumber'!$B$16,"Sedang","Relatif Longgar"))))</x:f>
        <x:v>Relatif Longgar</x:v>
      </x:c>
      <x:c r="N1762" s="66" t="str">
        <x:v>Seni Rupa, Desain, dan Kriya</x:v>
      </x:c>
      <x:c r="O1762" s="66" t="str">
        <x:v>Jawa Barat</x:v>
      </x:c>
      <x:c r="P1762" s="66" t="str">
        <x:v>Kota Bandung</x:v>
      </x:c>
      <x:c r="Q1762" s="66" t="str">
        <x:v>https://snpmb.id/snbp/daya-tampung-snbp</x:v>
      </x:c>
      <x:c r="R1762" s="66" t="str">
        <x:v>https://sidatagrun-public-1076756628210.asia-southeast2.run.app/ptn_sn.php?ptn=335</x:v>
      </x:c>
    </x:row>
    <x:row r="1763">
      <x:c r="A1763" s="87" t="n">
        <x:v>137</x:v>
      </x:c>
      <x:c r="B1763" s="66" t="n">
        <x:v>335</x:v>
      </x:c>
      <x:c r="C1763" s="66" t="str">
        <x:v>ISBI BANDUNG</x:v>
      </x:c>
      <x:c r="D1763" s="66" t="str">
        <x:v>PTN Akademik</x:v>
      </x:c>
      <x:c r="E1763" s="66" t="str">
        <x:v>13351012</x:v>
      </x:c>
      <x:c r="F1763" s="66" t="str">
        <x:v>DESAIN KOMUNIKASI VISUAL</x:v>
      </x:c>
      <x:c r="G1763" s="66" t="str">
        <x:v>Sarjana</x:v>
      </x:c>
      <x:c r="H1763" s="87" t="n">
        <x:v>9</x:v>
      </x:c>
      <x:c r="I1763" s="87" t="n">
        <x:v>282</x:v>
      </x:c>
      <x:c r="J1763" s="68" t="n">
        <x:f>IFERROR(H1763/I1763,"")</x:f>
        <x:v>0.031914893617021274</x:v>
      </x:c>
      <x:c r="K1763" s="69" t="n">
        <x:f>IFERROR(I1763/H1763,"")</x:f>
        <x:v>31.333333333333332</x:v>
      </x:c>
      <x:c r="L1763" s="66" t="str">
        <x:f>IF(K1763="","","1 : "&amp;TEXT(K1763,"0.0"))</x:f>
        <x:v>1 : 31.3</x:v>
      </x:c>
      <x:c r="M1763" s="66" t="str">
        <x:f>IF(J1763="","Baru/Tanpa Data",IF(J1763&lt;='Catatan &amp; Sumber'!$B$14,"Sangat Ketat",IF(J1763&lt;='Catatan &amp; Sumber'!$B$15,"Ketat",IF(J1763&lt;='Catatan &amp; Sumber'!$B$16,"Sedang","Relatif Longgar"))))</x:f>
        <x:v>Ketat</x:v>
      </x:c>
      <x:c r="N1763" s="66" t="str">
        <x:v>Seni Rupa, Desain, dan Kriya</x:v>
      </x:c>
      <x:c r="O1763" s="66" t="str">
        <x:v>Jawa Barat</x:v>
      </x:c>
      <x:c r="P1763" s="66" t="str">
        <x:v>Kota Bandung</x:v>
      </x:c>
      <x:c r="Q1763" s="66" t="str">
        <x:v>https://snpmb.id/snbp/daya-tampung-snbp</x:v>
      </x:c>
      <x:c r="R1763" s="66" t="str">
        <x:v>https://sidatagrun-public-1076756628210.asia-southeast2.run.app/ptn_sn.php?ptn=335</x:v>
      </x:c>
    </x:row>
    <x:row r="1764">
      <x:c r="A1764" s="87" t="n">
        <x:v>2006</x:v>
      </x:c>
      <x:c r="B1764" s="66" t="n">
        <x:v>335</x:v>
      </x:c>
      <x:c r="C1764" s="66" t="str">
        <x:v>ISBI BANDUNG</x:v>
      </x:c>
      <x:c r="D1764" s="66" t="str">
        <x:v>PTN Akademik</x:v>
      </x:c>
      <x:c r="E1764" s="66" t="str">
        <x:v>13351013</x:v>
      </x:c>
      <x:c r="F1764" s="66" t="str">
        <x:v>DESAIN INTERIOR</x:v>
      </x:c>
      <x:c r="G1764" s="66" t="str">
        <x:v>Sarjana</x:v>
      </x:c>
      <x:c r="H1764" s="87" t="n">
        <x:v>9</x:v>
      </x:c>
      <x:c r="I1764" s="87" t="n">
        <x:v>59</x:v>
      </x:c>
      <x:c r="J1764" s="68" t="n">
        <x:f>IFERROR(H1764/I1764,"")</x:f>
        <x:v>0.15254237288135594</x:v>
      </x:c>
      <x:c r="K1764" s="69" t="n">
        <x:f>IFERROR(I1764/H1764,"")</x:f>
        <x:v>6.555555555555555</x:v>
      </x:c>
      <x:c r="L1764" s="66" t="str">
        <x:f>IF(K1764="","","1 : "&amp;TEXT(K1764,"0.0"))</x:f>
        <x:v>1 : 6.6</x:v>
      </x:c>
      <x:c r="M1764" s="66" t="str">
        <x:f>IF(J1764="","Baru/Tanpa Data",IF(J1764&lt;='Catatan &amp; Sumber'!$B$14,"Sangat Ketat",IF(J1764&lt;='Catatan &amp; Sumber'!$B$15,"Ketat",IF(J1764&lt;='Catatan &amp; Sumber'!$B$16,"Sedang","Relatif Longgar"))))</x:f>
        <x:v>Relatif Longgar</x:v>
      </x:c>
      <x:c r="N1764" s="66" t="str">
        <x:v>Seni Rupa, Desain, dan Kriya</x:v>
      </x:c>
      <x:c r="O1764" s="66" t="str">
        <x:v>Jawa Barat</x:v>
      </x:c>
      <x:c r="P1764" s="66" t="str">
        <x:v>Kota Bandung</x:v>
      </x:c>
      <x:c r="Q1764" s="66" t="str">
        <x:v>https://snpmb.id/snbp/daya-tampung-snbp</x:v>
      </x:c>
      <x:c r="R1764" s="66" t="str">
        <x:v>https://sidatagrun-public-1076756628210.asia-southeast2.run.app/ptn_sn.php?ptn=335</x:v>
      </x:c>
    </x:row>
    <x:row r="1765">
      <x:c r="A1765" s="87" t="n">
        <x:v>4711</x:v>
      </x:c>
      <x:c r="B1765" s="66" t="n">
        <x:v>335</x:v>
      </x:c>
      <x:c r="C1765" s="66" t="str">
        <x:v>ISBI BANDUNG</x:v>
      </x:c>
      <x:c r="D1765" s="66" t="str">
        <x:v>PTN Akademik</x:v>
      </x:c>
      <x:c r="E1765" s="66" t="str">
        <x:v>13352006</x:v>
      </x:c>
      <x:c r="F1765" s="66" t="str">
        <x:v>ANGKLUNG DAN MUSIK BAMBU</x:v>
      </x:c>
      <x:c r="G1765" s="66" t="str">
        <x:v>Sarjana Terapan</x:v>
      </x:c>
      <x:c r="H1765" s="87" t="n">
        <x:v>12</x:v>
      </x:c>
      <x:c r="I1765" s="87" t="n">
        <x:v>5</x:v>
      </x:c>
      <x:c r="J1765" s="68" t="n">
        <x:f>IFERROR(H1765/I1765,"")</x:f>
        <x:v>2.4</x:v>
      </x:c>
      <x:c r="K1765" s="69" t="n">
        <x:f>IFERROR(I1765/H1765,"")</x:f>
        <x:v>0.4166666666666667</x:v>
      </x:c>
      <x:c r="L1765" s="66" t="str">
        <x:f>IF(K1765="","","1 : "&amp;TEXT(K1765,"0.0"))</x:f>
        <x:v>1 : 0.4</x:v>
      </x:c>
      <x:c r="M1765" s="66" t="str">
        <x:f>IF(J1765="","Baru/Tanpa Data",IF(J1765&lt;='Catatan &amp; Sumber'!$B$14,"Sangat Ketat",IF(J1765&lt;='Catatan &amp; Sumber'!$B$15,"Ketat",IF(J1765&lt;='Catatan &amp; Sumber'!$B$16,"Sedang","Relatif Longgar"))))</x:f>
        <x:v>Relatif Longgar</x:v>
      </x:c>
      <x:c r="N1765" s="66" t="str">
        <x:v>Musik</x:v>
      </x:c>
      <x:c r="O1765" s="66" t="str">
        <x:v>Jawa Barat</x:v>
      </x:c>
      <x:c r="P1765" s="66" t="str">
        <x:v>Kota Bandung</x:v>
      </x:c>
      <x:c r="Q1765" s="66" t="str">
        <x:v>https://snpmb.id/snbp/daya-tampung-snbp</x:v>
      </x:c>
      <x:c r="R1765" s="66" t="str">
        <x:v>https://sidatagrun-public-1076756628210.asia-southeast2.run.app/ptn_sn.php?ptn=335</x:v>
      </x:c>
    </x:row>
    <x:row r="1766">
      <x:c r="A1766" s="87" t="n">
        <x:v>2803</x:v>
      </x:c>
      <x:c r="B1766" s="66" t="n">
        <x:v>335</x:v>
      </x:c>
      <x:c r="C1766" s="66" t="str">
        <x:v>ISBI BANDUNG</x:v>
      </x:c>
      <x:c r="D1766" s="66" t="str">
        <x:v>PTN Akademik</x:v>
      </x:c>
      <x:c r="E1766" s="66" t="str">
        <x:v>13352007</x:v>
      </x:c>
      <x:c r="F1766" s="66" t="str">
        <x:v>TARI SUNDA</x:v>
      </x:c>
      <x:c r="G1766" s="66" t="str">
        <x:v>Sarjana Terapan</x:v>
      </x:c>
      <x:c r="H1766" s="87" t="n">
        <x:v>7</x:v>
      </x:c>
      <x:c r="I1766" s="87" t="n">
        <x:v>27</x:v>
      </x:c>
      <x:c r="J1766" s="68" t="n">
        <x:f>IFERROR(H1766/I1766,"")</x:f>
        <x:v>0.25925925925925924</x:v>
      </x:c>
      <x:c r="K1766" s="69" t="n">
        <x:f>IFERROR(I1766/H1766,"")</x:f>
        <x:v>3.857142857142857</x:v>
      </x:c>
      <x:c r="L1766" s="66" t="str">
        <x:f>IF(K1766="","","1 : "&amp;TEXT(K1766,"0.0"))</x:f>
        <x:v>1 : 3.9</x:v>
      </x:c>
      <x:c r="M1766" s="66" t="str">
        <x:f>IF(J1766="","Baru/Tanpa Data",IF(J1766&lt;='Catatan &amp; Sumber'!$B$14,"Sangat Ketat",IF(J1766&lt;='Catatan &amp; Sumber'!$B$15,"Ketat",IF(J1766&lt;='Catatan &amp; Sumber'!$B$16,"Sedang","Relatif Longgar"))))</x:f>
        <x:v>Relatif Longgar</x:v>
      </x:c>
      <x:c r="N1766" s="66" t="str">
        <x:v>Tari</x:v>
      </x:c>
      <x:c r="O1766" s="66" t="str">
        <x:v>Jawa Barat</x:v>
      </x:c>
      <x:c r="P1766" s="66" t="str">
        <x:v>Kota Bandung</x:v>
      </x:c>
      <x:c r="Q1766" s="66" t="str">
        <x:v>https://snpmb.id/snbp/daya-tampung-snbp</x:v>
      </x:c>
      <x:c r="R1766" s="66" t="str">
        <x:v>https://sidatagrun-public-1076756628210.asia-southeast2.run.app/ptn_sn.php?ptn=335</x:v>
      </x:c>
    </x:row>
    <x:row r="1767">
      <x:c r="A1767" s="87" t="n">
        <x:v>2364</x:v>
      </x:c>
      <x:c r="B1767" s="66" t="n">
        <x:v>335</x:v>
      </x:c>
      <x:c r="C1767" s="66" t="str">
        <x:v>ISBI BANDUNG</x:v>
      </x:c>
      <x:c r="D1767" s="66" t="str">
        <x:v>PTN Akademik</x:v>
      </x:c>
      <x:c r="E1767" s="66" t="str">
        <x:v>13352008</x:v>
      </x:c>
      <x:c r="F1767" s="66" t="str">
        <x:v>TELEVISI DAN FILM</x:v>
      </x:c>
      <x:c r="G1767" s="66" t="str">
        <x:v>Sarjana Terapan</x:v>
      </x:c>
      <x:c r="H1767" s="87" t="n">
        <x:v>30</x:v>
      </x:c>
      <x:c r="I1767" s="87" t="n">
        <x:v>157</x:v>
      </x:c>
      <x:c r="J1767" s="68" t="n">
        <x:f>IFERROR(H1767/I1767,"")</x:f>
        <x:v>0.1910828025477707</x:v>
      </x:c>
      <x:c r="K1767" s="69" t="n">
        <x:f>IFERROR(I1767/H1767,"")</x:f>
        <x:v>5.233333333333333</x:v>
      </x:c>
      <x:c r="L1767" s="66" t="str">
        <x:f>IF(K1767="","","1 : "&amp;TEXT(K1767,"0.0"))</x:f>
        <x:v>1 : 5.2</x:v>
      </x:c>
      <x:c r="M1767" s="66" t="str">
        <x:f>IF(J1767="","Baru/Tanpa Data",IF(J1767&lt;='Catatan &amp; Sumber'!$B$14,"Sangat Ketat",IF(J1767&lt;='Catatan &amp; Sumber'!$B$15,"Ketat",IF(J1767&lt;='Catatan &amp; Sumber'!$B$16,"Sedang","Relatif Longgar"))))</x:f>
        <x:v>Relatif Longgar</x:v>
      </x:c>
      <x:c r="N1767" s="66" t="str">
        <x:v>Film dan Televisi</x:v>
      </x:c>
      <x:c r="O1767" s="66" t="str">
        <x:v>Jawa Barat</x:v>
      </x:c>
      <x:c r="P1767" s="66" t="str">
        <x:v>Kota Bandung</x:v>
      </x:c>
      <x:c r="Q1767" s="66" t="str">
        <x:v>https://snpmb.id/snbp/daya-tampung-snbp</x:v>
      </x:c>
      <x:c r="R1767" s="66" t="str">
        <x:v>https://sidatagrun-public-1076756628210.asia-southeast2.run.app/ptn_sn.php?ptn=335</x:v>
      </x:c>
    </x:row>
    <x:row r="1768">
      <x:c r="A1768" s="87" t="n">
        <x:v>2327</x:v>
      </x:c>
      <x:c r="B1768" s="66" t="n">
        <x:v>335</x:v>
      </x:c>
      <x:c r="C1768" s="66" t="str">
        <x:v>ISBI BANDUNG</x:v>
      </x:c>
      <x:c r="D1768" s="66" t="str">
        <x:v>PTN Akademik</x:v>
      </x:c>
      <x:c r="E1768" s="66" t="str">
        <x:v>13352009</x:v>
      </x:c>
      <x:c r="F1768" s="66" t="str">
        <x:v>TATA RIAS DAN BUSANA</x:v>
      </x:c>
      <x:c r="G1768" s="66" t="str">
        <x:v>Sarjana Terapan</x:v>
      </x:c>
      <x:c r="H1768" s="87" t="n">
        <x:v>14</x:v>
      </x:c>
      <x:c r="I1768" s="87" t="n">
        <x:v>75</x:v>
      </x:c>
      <x:c r="J1768" s="68" t="n">
        <x:f>IFERROR(H1768/I1768,"")</x:f>
        <x:v>0.18666666666666668</x:v>
      </x:c>
      <x:c r="K1768" s="69" t="n">
        <x:f>IFERROR(I1768/H1768,"")</x:f>
        <x:v>5.357142857142857</x:v>
      </x:c>
      <x:c r="L1768" s="66" t="str">
        <x:f>IF(K1768="","","1 : "&amp;TEXT(K1768,"0.0"))</x:f>
        <x:v>1 : 5.4</x:v>
      </x:c>
      <x:c r="M1768" s="66" t="str">
        <x:f>IF(J1768="","Baru/Tanpa Data",IF(J1768&lt;='Catatan &amp; Sumber'!$B$14,"Sangat Ketat",IF(J1768&lt;='Catatan &amp; Sumber'!$B$15,"Ketat",IF(J1768&lt;='Catatan &amp; Sumber'!$B$16,"Sedang","Relatif Longgar"))))</x:f>
        <x:v>Relatif Longgar</x:v>
      </x:c>
      <x:c r="N1768" s="66" t="str">
        <x:v>Seni Rupa, Desain, dan Kriya</x:v>
      </x:c>
      <x:c r="O1768" s="66" t="str">
        <x:v>Jawa Barat</x:v>
      </x:c>
      <x:c r="P1768" s="66" t="str">
        <x:v>Kota Bandung</x:v>
      </x:c>
      <x:c r="Q1768" s="66" t="str">
        <x:v>https://snpmb.id/snbp/daya-tampung-snbp</x:v>
      </x:c>
      <x:c r="R1768" s="66" t="str">
        <x:v>https://sidatagrun-public-1076756628210.asia-southeast2.run.app/ptn_sn.php?ptn=335</x:v>
      </x:c>
    </x:row>
    <x:row r="1769">
      <x:c r="A1769" s="87" t="n">
        <x:v>1932</x:v>
      </x:c>
      <x:c r="B1769" s="66" t="n">
        <x:v>336</x:v>
      </x:c>
      <x:c r="C1769" s="66" t="str">
        <x:v>UIN SUNAN GUNUNG DJATI</x:v>
      </x:c>
      <x:c r="D1769" s="66" t="str">
        <x:v>PTKIN</x:v>
      </x:c>
      <x:c r="E1769" s="66" t="str">
        <x:v>13361002</x:v>
      </x:c>
      <x:c r="F1769" s="66" t="str">
        <x:v>MATEMATIKA</x:v>
      </x:c>
      <x:c r="G1769" s="66" t="str">
        <x:v>Sarjana</x:v>
      </x:c>
      <x:c r="H1769" s="87" t="n">
        <x:v>27</x:v>
      </x:c>
      <x:c r="I1769" s="87" t="n">
        <x:v>187</x:v>
      </x:c>
      <x:c r="J1769" s="68" t="n">
        <x:f>IFERROR(H1769/I1769,"")</x:f>
        <x:v>0.1443850267379679</x:v>
      </x:c>
      <x:c r="K1769" s="69" t="n">
        <x:f>IFERROR(I1769/H1769,"")</x:f>
        <x:v>6.925925925925926</x:v>
      </x:c>
      <x:c r="L1769" s="66" t="str">
        <x:f>IF(K1769="","","1 : "&amp;TEXT(K1769,"0.0"))</x:f>
        <x:v>1 : 6.9</x:v>
      </x:c>
      <x:c r="M1769" s="66" t="str">
        <x:f>IF(J1769="","Baru/Tanpa Data",IF(J1769&lt;='Catatan &amp; Sumber'!$B$14,"Sangat Ketat",IF(J1769&lt;='Catatan &amp; Sumber'!$B$15,"Ketat",IF(J1769&lt;='Catatan &amp; Sumber'!$B$16,"Sedang","Relatif Longgar"))))</x:f>
        <x:v>Relatif Longgar</x:v>
      </x:c>
      <x:c r="N1769" s="66" t="str">
        <x:v>Tidak Ada</x:v>
      </x:c>
      <x:c r="O1769" s="66" t="str">
        <x:v>Jawa Barat</x:v>
      </x:c>
      <x:c r="P1769" s="66" t="str">
        <x:v>Kota Bandung</x:v>
      </x:c>
      <x:c r="Q1769" s="66" t="str">
        <x:v>https://snpmb.id/snbp/daya-tampung-snbp</x:v>
      </x:c>
      <x:c r="R1769" s="66" t="str">
        <x:v>https://sidatagrun-public-1076756628210.asia-southeast2.run.app/ptn_sn.php?ptn=336</x:v>
      </x:c>
    </x:row>
    <x:row r="1770">
      <x:c r="A1770" s="87" t="n">
        <x:v>1661</x:v>
      </x:c>
      <x:c r="B1770" s="66" t="n">
        <x:v>336</x:v>
      </x:c>
      <x:c r="C1770" s="66" t="str">
        <x:v>UIN SUNAN GUNUNG DJATI</x:v>
      </x:c>
      <x:c r="D1770" s="66" t="str">
        <x:v>PTKIN</x:v>
      </x:c>
      <x:c r="E1770" s="66" t="str">
        <x:v>13361003</x:v>
      </x:c>
      <x:c r="F1770" s="66" t="str">
        <x:v>BIOLOGI</x:v>
      </x:c>
      <x:c r="G1770" s="66" t="str">
        <x:v>Sarjana</x:v>
      </x:c>
      <x:c r="H1770" s="87" t="n">
        <x:v>31</x:v>
      </x:c>
      <x:c r="I1770" s="87" t="n">
        <x:v>256</x:v>
      </x:c>
      <x:c r="J1770" s="68" t="n">
        <x:f>IFERROR(H1770/I1770,"")</x:f>
        <x:v>0.12109375</x:v>
      </x:c>
      <x:c r="K1770" s="69" t="n">
        <x:f>IFERROR(I1770/H1770,"")</x:f>
        <x:v>8.258064516129032</x:v>
      </x:c>
      <x:c r="L1770" s="66" t="str">
        <x:f>IF(K1770="","","1 : "&amp;TEXT(K1770,"0.0"))</x:f>
        <x:v>1 : 8.3</x:v>
      </x:c>
      <x:c r="M1770" s="66" t="str">
        <x:f>IF(J1770="","Baru/Tanpa Data",IF(J1770&lt;='Catatan &amp; Sumber'!$B$14,"Sangat Ketat",IF(J1770&lt;='Catatan &amp; Sumber'!$B$15,"Ketat",IF(J1770&lt;='Catatan &amp; Sumber'!$B$16,"Sedang","Relatif Longgar"))))</x:f>
        <x:v>Relatif Longgar</x:v>
      </x:c>
      <x:c r="N1770" s="66" t="str">
        <x:v>Tidak Ada</x:v>
      </x:c>
      <x:c r="O1770" s="66" t="str">
        <x:v>Jawa Barat</x:v>
      </x:c>
      <x:c r="P1770" s="66" t="str">
        <x:v>Kota Bandung</x:v>
      </x:c>
      <x:c r="Q1770" s="66" t="str">
        <x:v>https://snpmb.id/snbp/daya-tampung-snbp</x:v>
      </x:c>
      <x:c r="R1770" s="66" t="str">
        <x:v>https://sidatagrun-public-1076756628210.asia-southeast2.run.app/ptn_sn.php?ptn=336</x:v>
      </x:c>
    </x:row>
    <x:row r="1771">
      <x:c r="A1771" s="87" t="n">
        <x:v>3185</x:v>
      </x:c>
      <x:c r="B1771" s="66" t="n">
        <x:v>336</x:v>
      </x:c>
      <x:c r="C1771" s="66" t="str">
        <x:v>UIN SUNAN GUNUNG DJATI</x:v>
      </x:c>
      <x:c r="D1771" s="66" t="str">
        <x:v>PTKIN</x:v>
      </x:c>
      <x:c r="E1771" s="66" t="str">
        <x:v>13361004</x:v>
      </x:c>
      <x:c r="F1771" s="66" t="str">
        <x:v>FISIKA</x:v>
      </x:c>
      <x:c r="G1771" s="66" t="str">
        <x:v>Sarjana</x:v>
      </x:c>
      <x:c r="H1771" s="87" t="n">
        <x:v>21</x:v>
      </x:c>
      <x:c r="I1771" s="87" t="n">
        <x:v>62</x:v>
      </x:c>
      <x:c r="J1771" s="68" t="n">
        <x:f>IFERROR(H1771/I1771,"")</x:f>
        <x:v>0.3387096774193548</x:v>
      </x:c>
      <x:c r="K1771" s="69" t="n">
        <x:f>IFERROR(I1771/H1771,"")</x:f>
        <x:v>2.9523809523809526</x:v>
      </x:c>
      <x:c r="L1771" s="66" t="str">
        <x:f>IF(K1771="","","1 : "&amp;TEXT(K1771,"0.0"))</x:f>
        <x:v>1 : 3.0</x:v>
      </x:c>
      <x:c r="M1771" s="66" t="str">
        <x:f>IF(J1771="","Baru/Tanpa Data",IF(J1771&lt;='Catatan &amp; Sumber'!$B$14,"Sangat Ketat",IF(J1771&lt;='Catatan &amp; Sumber'!$B$15,"Ketat",IF(J1771&lt;='Catatan &amp; Sumber'!$B$16,"Sedang","Relatif Longgar"))))</x:f>
        <x:v>Relatif Longgar</x:v>
      </x:c>
      <x:c r="N1771" s="66" t="str">
        <x:v>Tidak Ada</x:v>
      </x:c>
      <x:c r="O1771" s="66" t="str">
        <x:v>Jawa Barat</x:v>
      </x:c>
      <x:c r="P1771" s="66" t="str">
        <x:v>Kota Bandung</x:v>
      </x:c>
      <x:c r="Q1771" s="66" t="str">
        <x:v>https://snpmb.id/snbp/daya-tampung-snbp</x:v>
      </x:c>
      <x:c r="R1771" s="66" t="str">
        <x:v>https://sidatagrun-public-1076756628210.asia-southeast2.run.app/ptn_sn.php?ptn=336</x:v>
      </x:c>
    </x:row>
    <x:row r="1772">
      <x:c r="A1772" s="87" t="n">
        <x:v>2129</x:v>
      </x:c>
      <x:c r="B1772" s="66" t="n">
        <x:v>336</x:v>
      </x:c>
      <x:c r="C1772" s="66" t="str">
        <x:v>UIN SUNAN GUNUNG DJATI</x:v>
      </x:c>
      <x:c r="D1772" s="66" t="str">
        <x:v>PTKIN</x:v>
      </x:c>
      <x:c r="E1772" s="66" t="str">
        <x:v>13361005</x:v>
      </x:c>
      <x:c r="F1772" s="66" t="str">
        <x:v>KIMIA</x:v>
      </x:c>
      <x:c r="G1772" s="66" t="str">
        <x:v>Sarjana</x:v>
      </x:c>
      <x:c r="H1772" s="87" t="n">
        <x:v>27</x:v>
      </x:c>
      <x:c r="I1772" s="87" t="n">
        <x:v>164</x:v>
      </x:c>
      <x:c r="J1772" s="68" t="n">
        <x:f>IFERROR(H1772/I1772,"")</x:f>
        <x:v>0.16463414634146342</x:v>
      </x:c>
      <x:c r="K1772" s="69" t="n">
        <x:f>IFERROR(I1772/H1772,"")</x:f>
        <x:v>6.074074074074074</x:v>
      </x:c>
      <x:c r="L1772" s="66" t="str">
        <x:f>IF(K1772="","","1 : "&amp;TEXT(K1772,"0.0"))</x:f>
        <x:v>1 : 6.1</x:v>
      </x:c>
      <x:c r="M1772" s="66" t="str">
        <x:f>IF(J1772="","Baru/Tanpa Data",IF(J1772&lt;='Catatan &amp; Sumber'!$B$14,"Sangat Ketat",IF(J1772&lt;='Catatan &amp; Sumber'!$B$15,"Ketat",IF(J1772&lt;='Catatan &amp; Sumber'!$B$16,"Sedang","Relatif Longgar"))))</x:f>
        <x:v>Relatif Longgar</x:v>
      </x:c>
      <x:c r="N1772" s="66" t="str">
        <x:v>Tidak Ada</x:v>
      </x:c>
      <x:c r="O1772" s="66" t="str">
        <x:v>Jawa Barat</x:v>
      </x:c>
      <x:c r="P1772" s="66" t="str">
        <x:v>Kota Bandung</x:v>
      </x:c>
      <x:c r="Q1772" s="66" t="str">
        <x:v>https://snpmb.id/snbp/daya-tampung-snbp</x:v>
      </x:c>
      <x:c r="R1772" s="66" t="str">
        <x:v>https://sidatagrun-public-1076756628210.asia-southeast2.run.app/ptn_sn.php?ptn=336</x:v>
      </x:c>
    </x:row>
    <x:row r="1773">
      <x:c r="A1773" s="87" t="n">
        <x:v>507</x:v>
      </x:c>
      <x:c r="B1773" s="66" t="n">
        <x:v>336</x:v>
      </x:c>
      <x:c r="C1773" s="66" t="str">
        <x:v>UIN SUNAN GUNUNG DJATI</x:v>
      </x:c>
      <x:c r="D1773" s="66" t="str">
        <x:v>PTKIN</x:v>
      </x:c>
      <x:c r="E1773" s="66" t="str">
        <x:v>13361006</x:v>
      </x:c>
      <x:c r="F1773" s="66" t="str">
        <x:v>TEKNIK INFORMATIKA</x:v>
      </x:c>
      <x:c r="G1773" s="66" t="str">
        <x:v>Sarjana</x:v>
      </x:c>
      <x:c r="H1773" s="87" t="n">
        <x:v>40</x:v>
      </x:c>
      <x:c r="I1773" s="87" t="n">
        <x:v>771</x:v>
      </x:c>
      <x:c r="J1773" s="68" t="n">
        <x:f>IFERROR(H1773/I1773,"")</x:f>
        <x:v>0.05188067444876784</x:v>
      </x:c>
      <x:c r="K1773" s="69" t="n">
        <x:f>IFERROR(I1773/H1773,"")</x:f>
        <x:v>19.275</x:v>
      </x:c>
      <x:c r="L1773" s="66" t="str">
        <x:f>IF(K1773="","","1 : "&amp;TEXT(K1773,"0.0"))</x:f>
        <x:v>1 : 19.3</x:v>
      </x:c>
      <x:c r="M1773" s="66" t="str">
        <x:f>IF(J1773="","Baru/Tanpa Data",IF(J1773&lt;='Catatan &amp; Sumber'!$B$14,"Sangat Ketat",IF(J1773&lt;='Catatan &amp; Sumber'!$B$15,"Ketat",IF(J1773&lt;='Catatan &amp; Sumber'!$B$16,"Sedang","Relatif Longgar"))))</x:f>
        <x:v>Sedang</x:v>
      </x:c>
      <x:c r="N1773" s="66" t="str">
        <x:v>Tidak Ada</x:v>
      </x:c>
      <x:c r="O1773" s="66" t="str">
        <x:v>Jawa Barat</x:v>
      </x:c>
      <x:c r="P1773" s="66" t="str">
        <x:v>Kota Bandung</x:v>
      </x:c>
      <x:c r="Q1773" s="66" t="str">
        <x:v>https://snpmb.id/snbp/daya-tampung-snbp</x:v>
      </x:c>
      <x:c r="R1773" s="66" t="str">
        <x:v>https://sidatagrun-public-1076756628210.asia-southeast2.run.app/ptn_sn.php?ptn=336</x:v>
      </x:c>
    </x:row>
    <x:row r="1774">
      <x:c r="A1774" s="87" t="n">
        <x:v>1717</x:v>
      </x:c>
      <x:c r="B1774" s="66" t="n">
        <x:v>336</x:v>
      </x:c>
      <x:c r="C1774" s="66" t="str">
        <x:v>UIN SUNAN GUNUNG DJATI</x:v>
      </x:c>
      <x:c r="D1774" s="66" t="str">
        <x:v>PTKIN</x:v>
      </x:c>
      <x:c r="E1774" s="66" t="str">
        <x:v>13361007</x:v>
      </x:c>
      <x:c r="F1774" s="66" t="str">
        <x:v>TEKNIK ELEKTRO</x:v>
      </x:c>
      <x:c r="G1774" s="66" t="str">
        <x:v>Sarjana</x:v>
      </x:c>
      <x:c r="H1774" s="87" t="n">
        <x:v>27</x:v>
      </x:c>
      <x:c r="I1774" s="87" t="n">
        <x:v>215</x:v>
      </x:c>
      <x:c r="J1774" s="68" t="n">
        <x:f>IFERROR(H1774/I1774,"")</x:f>
        <x:v>0.12558139534883722</x:v>
      </x:c>
      <x:c r="K1774" s="69" t="n">
        <x:f>IFERROR(I1774/H1774,"")</x:f>
        <x:v>7.962962962962963</x:v>
      </x:c>
      <x:c r="L1774" s="66" t="str">
        <x:f>IF(K1774="","","1 : "&amp;TEXT(K1774,"0.0"))</x:f>
        <x:v>1 : 8.0</x:v>
      </x:c>
      <x:c r="M1774" s="66" t="str">
        <x:f>IF(J1774="","Baru/Tanpa Data",IF(J1774&lt;='Catatan &amp; Sumber'!$B$14,"Sangat Ketat",IF(J1774&lt;='Catatan &amp; Sumber'!$B$15,"Ketat",IF(J1774&lt;='Catatan &amp; Sumber'!$B$16,"Sedang","Relatif Longgar"))))</x:f>
        <x:v>Relatif Longgar</x:v>
      </x:c>
      <x:c r="N1774" s="66" t="str">
        <x:v>Tidak Ada</x:v>
      </x:c>
      <x:c r="O1774" s="66" t="str">
        <x:v>Jawa Barat</x:v>
      </x:c>
      <x:c r="P1774" s="66" t="str">
        <x:v>Kota Bandung</x:v>
      </x:c>
      <x:c r="Q1774" s="66" t="str">
        <x:v>https://snpmb.id/snbp/daya-tampung-snbp</x:v>
      </x:c>
      <x:c r="R1774" s="66" t="str">
        <x:v>https://sidatagrun-public-1076756628210.asia-southeast2.run.app/ptn_sn.php?ptn=336</x:v>
      </x:c>
    </x:row>
    <x:row r="1775">
      <x:c r="A1775" s="87" t="n">
        <x:v>1491</x:v>
      </x:c>
      <x:c r="B1775" s="66" t="n">
        <x:v>336</x:v>
      </x:c>
      <x:c r="C1775" s="66" t="str">
        <x:v>UIN SUNAN GUNUNG DJATI</x:v>
      </x:c>
      <x:c r="D1775" s="66" t="str">
        <x:v>PTKIN</x:v>
      </x:c>
      <x:c r="E1775" s="66" t="str">
        <x:v>13361008</x:v>
      </x:c>
      <x:c r="F1775" s="66" t="str">
        <x:v>AGROTEKNOLOGI</x:v>
      </x:c>
      <x:c r="G1775" s="66" t="str">
        <x:v>Sarjana</x:v>
      </x:c>
      <x:c r="H1775" s="87" t="n">
        <x:v>27</x:v>
      </x:c>
      <x:c r="I1775" s="87" t="n">
        <x:v>248</x:v>
      </x:c>
      <x:c r="J1775" s="68" t="n">
        <x:f>IFERROR(H1775/I1775,"")</x:f>
        <x:v>0.10887096774193548</x:v>
      </x:c>
      <x:c r="K1775" s="69" t="n">
        <x:f>IFERROR(I1775/H1775,"")</x:f>
        <x:v>9.185185185185185</x:v>
      </x:c>
      <x:c r="L1775" s="66" t="str">
        <x:f>IF(K1775="","","1 : "&amp;TEXT(K1775,"0.0"))</x:f>
        <x:v>1 : 9.2</x:v>
      </x:c>
      <x:c r="M1775" s="66" t="str">
        <x:f>IF(J1775="","Baru/Tanpa Data",IF(J1775&lt;='Catatan &amp; Sumber'!$B$14,"Sangat Ketat",IF(J1775&lt;='Catatan &amp; Sumber'!$B$15,"Ketat",IF(J1775&lt;='Catatan &amp; Sumber'!$B$16,"Sedang","Relatif Longgar"))))</x:f>
        <x:v>Relatif Longgar</x:v>
      </x:c>
      <x:c r="N1775" s="66" t="str">
        <x:v>Tidak Ada</x:v>
      </x:c>
      <x:c r="O1775" s="66" t="str">
        <x:v>Jawa Barat</x:v>
      </x:c>
      <x:c r="P1775" s="66" t="str">
        <x:v>Kota Bandung</x:v>
      </x:c>
      <x:c r="Q1775" s="66" t="str">
        <x:v>https://snpmb.id/snbp/daya-tampung-snbp</x:v>
      </x:c>
      <x:c r="R1775" s="66" t="str">
        <x:v>https://sidatagrun-public-1076756628210.asia-southeast2.run.app/ptn_sn.php?ptn=336</x:v>
      </x:c>
    </x:row>
    <x:row r="1776">
      <x:c r="A1776" s="87" t="n">
        <x:v>1889</x:v>
      </x:c>
      <x:c r="B1776" s="66" t="n">
        <x:v>336</x:v>
      </x:c>
      <x:c r="C1776" s="66" t="str">
        <x:v>UIN SUNAN GUNUNG DJATI</x:v>
      </x:c>
      <x:c r="D1776" s="66" t="str">
        <x:v>PTKIN</x:v>
      </x:c>
      <x:c r="E1776" s="66" t="str">
        <x:v>13361012</x:v>
      </x:c>
      <x:c r="F1776" s="66" t="str">
        <x:v>SOSIOLOGI</x:v>
      </x:c>
      <x:c r="G1776" s="66" t="str">
        <x:v>Sarjana</x:v>
      </x:c>
      <x:c r="H1776" s="87" t="n">
        <x:v>60</x:v>
      </x:c>
      <x:c r="I1776" s="87" t="n">
        <x:v>428</x:v>
      </x:c>
      <x:c r="J1776" s="68" t="n">
        <x:f>IFERROR(H1776/I1776,"")</x:f>
        <x:v>0.14018691588785046</x:v>
      </x:c>
      <x:c r="K1776" s="69" t="n">
        <x:f>IFERROR(I1776/H1776,"")</x:f>
        <x:v>7.133333333333334</x:v>
      </x:c>
      <x:c r="L1776" s="66" t="str">
        <x:f>IF(K1776="","","1 : "&amp;TEXT(K1776,"0.0"))</x:f>
        <x:v>1 : 7.1</x:v>
      </x:c>
      <x:c r="M1776" s="66" t="str">
        <x:f>IF(J1776="","Baru/Tanpa Data",IF(J1776&lt;='Catatan &amp; Sumber'!$B$14,"Sangat Ketat",IF(J1776&lt;='Catatan &amp; Sumber'!$B$15,"Ketat",IF(J1776&lt;='Catatan &amp; Sumber'!$B$16,"Sedang","Relatif Longgar"))))</x:f>
        <x:v>Relatif Longgar</x:v>
      </x:c>
      <x:c r="N1776" s="66" t="str">
        <x:v>Tidak Ada</x:v>
      </x:c>
      <x:c r="O1776" s="66" t="str">
        <x:v>Jawa Barat</x:v>
      </x:c>
      <x:c r="P1776" s="66" t="str">
        <x:v>Kota Bandung</x:v>
      </x:c>
      <x:c r="Q1776" s="66" t="str">
        <x:v>https://snpmb.id/snbp/daya-tampung-snbp</x:v>
      </x:c>
      <x:c r="R1776" s="66" t="str">
        <x:v>https://sidatagrun-public-1076756628210.asia-southeast2.run.app/ptn_sn.php?ptn=336</x:v>
      </x:c>
    </x:row>
    <x:row r="1777">
      <x:c r="A1777" s="87" t="n">
        <x:v>1487</x:v>
      </x:c>
      <x:c r="B1777" s="66" t="n">
        <x:v>336</x:v>
      </x:c>
      <x:c r="C1777" s="66" t="str">
        <x:v>UIN SUNAN GUNUNG DJATI</x:v>
      </x:c>
      <x:c r="D1777" s="66" t="str">
        <x:v>PTKIN</x:v>
      </x:c>
      <x:c r="E1777" s="66" t="str">
        <x:v>13361014</x:v>
      </x:c>
      <x:c r="F1777" s="66" t="str">
        <x:v>ILMU HUKUM</x:v>
      </x:c>
      <x:c r="G1777" s="66" t="str">
        <x:v>Sarjana</x:v>
      </x:c>
      <x:c r="H1777" s="87" t="n">
        <x:v>67</x:v>
      </x:c>
      <x:c r="I1777" s="87" t="n">
        <x:v>616</x:v>
      </x:c>
      <x:c r="J1777" s="68" t="n">
        <x:f>IFERROR(H1777/I1777,"")</x:f>
        <x:v>0.10876623376623376</x:v>
      </x:c>
      <x:c r="K1777" s="69" t="n">
        <x:f>IFERROR(I1777/H1777,"")</x:f>
        <x:v>9.194029850746269</x:v>
      </x:c>
      <x:c r="L1777" s="66" t="str">
        <x:f>IF(K1777="","","1 : "&amp;TEXT(K1777,"0.0"))</x:f>
        <x:v>1 : 9.2</x:v>
      </x:c>
      <x:c r="M1777" s="66" t="str">
        <x:f>IF(J1777="","Baru/Tanpa Data",IF(J1777&lt;='Catatan &amp; Sumber'!$B$14,"Sangat Ketat",IF(J1777&lt;='Catatan &amp; Sumber'!$B$15,"Ketat",IF(J1777&lt;='Catatan &amp; Sumber'!$B$16,"Sedang","Relatif Longgar"))))</x:f>
        <x:v>Relatif Longgar</x:v>
      </x:c>
      <x:c r="N1777" s="66" t="str">
        <x:v>Tidak Ada</x:v>
      </x:c>
      <x:c r="O1777" s="66" t="str">
        <x:v>Jawa Barat</x:v>
      </x:c>
      <x:c r="P1777" s="66" t="str">
        <x:v>Kota Bandung</x:v>
      </x:c>
      <x:c r="Q1777" s="66" t="str">
        <x:v>https://snpmb.id/snbp/daya-tampung-snbp</x:v>
      </x:c>
      <x:c r="R1777" s="66" t="str">
        <x:v>https://sidatagrun-public-1076756628210.asia-southeast2.run.app/ptn_sn.php?ptn=336</x:v>
      </x:c>
    </x:row>
    <x:row r="1778">
      <x:c r="A1778" s="87" t="n">
        <x:v>740</x:v>
      </x:c>
      <x:c r="B1778" s="66" t="n">
        <x:v>336</x:v>
      </x:c>
      <x:c r="C1778" s="66" t="str">
        <x:v>UIN SUNAN GUNUNG DJATI</x:v>
      </x:c>
      <x:c r="D1778" s="66" t="str">
        <x:v>PTKIN</x:v>
      </x:c>
      <x:c r="E1778" s="66" t="str">
        <x:v>13361015</x:v>
      </x:c>
      <x:c r="F1778" s="66" t="str">
        <x:v>MANAJEMEN</x:v>
      </x:c>
      <x:c r="G1778" s="66" t="str">
        <x:v>Sarjana</x:v>
      </x:c>
      <x:c r="H1778" s="87" t="n">
        <x:v>81</x:v>
      </x:c>
      <x:c r="I1778" s="87" t="n">
        <x:v>1261</x:v>
      </x:c>
      <x:c r="J1778" s="68" t="n">
        <x:f>IFERROR(H1778/I1778,"")</x:f>
        <x:v>0.06423473433782712</x:v>
      </x:c>
      <x:c r="K1778" s="69" t="n">
        <x:f>IFERROR(I1778/H1778,"")</x:f>
        <x:v>15.567901234567902</x:v>
      </x:c>
      <x:c r="L1778" s="66" t="str">
        <x:f>IF(K1778="","","1 : "&amp;TEXT(K1778,"0.0"))</x:f>
        <x:v>1 : 15.6</x:v>
      </x:c>
      <x:c r="M1778" s="66" t="str">
        <x:f>IF(J1778="","Baru/Tanpa Data",IF(J1778&lt;='Catatan &amp; Sumber'!$B$14,"Sangat Ketat",IF(J1778&lt;='Catatan &amp; Sumber'!$B$15,"Ketat",IF(J1778&lt;='Catatan &amp; Sumber'!$B$16,"Sedang","Relatif Longgar"))))</x:f>
        <x:v>Sedang</x:v>
      </x:c>
      <x:c r="N1778" s="66" t="str">
        <x:v>Tidak Ada</x:v>
      </x:c>
      <x:c r="O1778" s="66" t="str">
        <x:v>Jawa Barat</x:v>
      </x:c>
      <x:c r="P1778" s="66" t="str">
        <x:v>Kota Bandung</x:v>
      </x:c>
      <x:c r="Q1778" s="66" t="str">
        <x:v>https://snpmb.id/snbp/daya-tampung-snbp</x:v>
      </x:c>
      <x:c r="R1778" s="66" t="str">
        <x:v>https://sidatagrun-public-1076756628210.asia-southeast2.run.app/ptn_sn.php?ptn=336</x:v>
      </x:c>
    </x:row>
    <x:row r="1779">
      <x:c r="A1779" s="87" t="n">
        <x:v>1178</x:v>
      </x:c>
      <x:c r="B1779" s="66" t="n">
        <x:v>336</x:v>
      </x:c>
      <x:c r="C1779" s="66" t="str">
        <x:v>UIN SUNAN GUNUNG DJATI</x:v>
      </x:c>
      <x:c r="D1779" s="66" t="str">
        <x:v>PTKIN</x:v>
      </x:c>
      <x:c r="E1779" s="66" t="str">
        <x:v>13361016</x:v>
      </x:c>
      <x:c r="F1779" s="66" t="str">
        <x:v>ADMINISTRASI PUBLIK</x:v>
      </x:c>
      <x:c r="G1779" s="66" t="str">
        <x:v>Sarjana</x:v>
      </x:c>
      <x:c r="H1779" s="87" t="n">
        <x:v>60</x:v>
      </x:c>
      <x:c r="I1779" s="87" t="n">
        <x:v>679</x:v>
      </x:c>
      <x:c r="J1779" s="68" t="n">
        <x:f>IFERROR(H1779/I1779,"")</x:f>
        <x:v>0.08836524300441827</x:v>
      </x:c>
      <x:c r="K1779" s="69" t="n">
        <x:f>IFERROR(I1779/H1779,"")</x:f>
        <x:v>11.316666666666666</x:v>
      </x:c>
      <x:c r="L1779" s="66" t="str">
        <x:f>IF(K1779="","","1 : "&amp;TEXT(K1779,"0.0"))</x:f>
        <x:v>1 : 11.3</x:v>
      </x:c>
      <x:c r="M1779" s="66" t="str">
        <x:f>IF(J1779="","Baru/Tanpa Data",IF(J1779&lt;='Catatan &amp; Sumber'!$B$14,"Sangat Ketat",IF(J1779&lt;='Catatan &amp; Sumber'!$B$15,"Ketat",IF(J1779&lt;='Catatan &amp; Sumber'!$B$16,"Sedang","Relatif Longgar"))))</x:f>
        <x:v>Sedang</x:v>
      </x:c>
      <x:c r="N1779" s="66" t="str">
        <x:v>Tidak Ada</x:v>
      </x:c>
      <x:c r="O1779" s="66" t="str">
        <x:v>Jawa Barat</x:v>
      </x:c>
      <x:c r="P1779" s="66" t="str">
        <x:v>Kota Bandung</x:v>
      </x:c>
      <x:c r="Q1779" s="66" t="str">
        <x:v>https://snpmb.id/snbp/daya-tampung-snbp</x:v>
      </x:c>
      <x:c r="R1779" s="66" t="str">
        <x:v>https://sidatagrun-public-1076756628210.asia-southeast2.run.app/ptn_sn.php?ptn=336</x:v>
      </x:c>
    </x:row>
    <x:row r="1780">
      <x:c r="A1780" s="87" t="n">
        <x:v>1549</x:v>
      </x:c>
      <x:c r="B1780" s="66" t="n">
        <x:v>336</x:v>
      </x:c>
      <x:c r="C1780" s="66" t="str">
        <x:v>UIN SUNAN GUNUNG DJATI</x:v>
      </x:c>
      <x:c r="D1780" s="66" t="str">
        <x:v>PTKIN</x:v>
      </x:c>
      <x:c r="E1780" s="66" t="str">
        <x:v>13361017</x:v>
      </x:c>
      <x:c r="F1780" s="66" t="str">
        <x:v>ILMU KOM. KONST. HUMAS</x:v>
      </x:c>
      <x:c r="G1780" s="66" t="str">
        <x:v>Sarjana</x:v>
      </x:c>
      <x:c r="H1780" s="87" t="n">
        <x:v>54</x:v>
      </x:c>
      <x:c r="I1780" s="87" t="n">
        <x:v>477</x:v>
      </x:c>
      <x:c r="J1780" s="68" t="n">
        <x:f>IFERROR(H1780/I1780,"")</x:f>
        <x:v>0.11320754716981132</x:v>
      </x:c>
      <x:c r="K1780" s="69" t="n">
        <x:f>IFERROR(I1780/H1780,"")</x:f>
        <x:v>8.833333333333334</x:v>
      </x:c>
      <x:c r="L1780" s="66" t="str">
        <x:f>IF(K1780="","","1 : "&amp;TEXT(K1780,"0.0"))</x:f>
        <x:v>1 : 8.8</x:v>
      </x:c>
      <x:c r="M1780" s="66" t="str">
        <x:f>IF(J1780="","Baru/Tanpa Data",IF(J1780&lt;='Catatan &amp; Sumber'!$B$14,"Sangat Ketat",IF(J1780&lt;='Catatan &amp; Sumber'!$B$15,"Ketat",IF(J1780&lt;='Catatan &amp; Sumber'!$B$16,"Sedang","Relatif Longgar"))))</x:f>
        <x:v>Relatif Longgar</x:v>
      </x:c>
      <x:c r="N1780" s="66" t="str">
        <x:v>Tidak Ada</x:v>
      </x:c>
      <x:c r="O1780" s="66" t="str">
        <x:v>Jawa Barat</x:v>
      </x:c>
      <x:c r="P1780" s="66" t="str">
        <x:v>Kota Bandung</x:v>
      </x:c>
      <x:c r="Q1780" s="66" t="str">
        <x:v>https://snpmb.id/snbp/daya-tampung-snbp</x:v>
      </x:c>
      <x:c r="R1780" s="66" t="str">
        <x:v>https://sidatagrun-public-1076756628210.asia-southeast2.run.app/ptn_sn.php?ptn=336</x:v>
      </x:c>
    </x:row>
    <x:row r="1781">
      <x:c r="A1781" s="87" t="n">
        <x:v>1781</x:v>
      </x:c>
      <x:c r="B1781" s="66" t="n">
        <x:v>336</x:v>
      </x:c>
      <x:c r="C1781" s="66" t="str">
        <x:v>UIN SUNAN GUNUNG DJATI</x:v>
      </x:c>
      <x:c r="D1781" s="66" t="str">
        <x:v>PTKIN</x:v>
      </x:c>
      <x:c r="E1781" s="66" t="str">
        <x:v>13361018</x:v>
      </x:c>
      <x:c r="F1781" s="66" t="str">
        <x:v>ILMU KOM. KONST. JURNALISTIK</x:v>
      </x:c>
      <x:c r="G1781" s="66" t="str">
        <x:v>Sarjana</x:v>
      </x:c>
      <x:c r="H1781" s="87" t="n">
        <x:v>54</x:v>
      </x:c>
      <x:c r="I1781" s="87" t="n">
        <x:v>412</x:v>
      </x:c>
      <x:c r="J1781" s="68" t="n">
        <x:f>IFERROR(H1781/I1781,"")</x:f>
        <x:v>0.13106796116504854</x:v>
      </x:c>
      <x:c r="K1781" s="69" t="n">
        <x:f>IFERROR(I1781/H1781,"")</x:f>
        <x:v>7.62962962962963</x:v>
      </x:c>
      <x:c r="L1781" s="66" t="str">
        <x:f>IF(K1781="","","1 : "&amp;TEXT(K1781,"0.0"))</x:f>
        <x:v>1 : 7.6</x:v>
      </x:c>
      <x:c r="M1781" s="66" t="str">
        <x:f>IF(J1781="","Baru/Tanpa Data",IF(J1781&lt;='Catatan &amp; Sumber'!$B$14,"Sangat Ketat",IF(J1781&lt;='Catatan &amp; Sumber'!$B$15,"Ketat",IF(J1781&lt;='Catatan &amp; Sumber'!$B$16,"Sedang","Relatif Longgar"))))</x:f>
        <x:v>Relatif Longgar</x:v>
      </x:c>
      <x:c r="N1781" s="66" t="str">
        <x:v>Tidak Ada</x:v>
      </x:c>
      <x:c r="O1781" s="66" t="str">
        <x:v>Jawa Barat</x:v>
      </x:c>
      <x:c r="P1781" s="66" t="str">
        <x:v>Kota Bandung</x:v>
      </x:c>
      <x:c r="Q1781" s="66" t="str">
        <x:v>https://snpmb.id/snbp/daya-tampung-snbp</x:v>
      </x:c>
      <x:c r="R1781" s="66" t="str">
        <x:v>https://sidatagrun-public-1076756628210.asia-southeast2.run.app/ptn_sn.php?ptn=336</x:v>
      </x:c>
    </x:row>
    <x:row r="1782">
      <x:c r="A1782" s="87" t="n">
        <x:v>1989</x:v>
      </x:c>
      <x:c r="B1782" s="66" t="n">
        <x:v>336</x:v>
      </x:c>
      <x:c r="C1782" s="66" t="str">
        <x:v>UIN SUNAN GUNUNG DJATI</x:v>
      </x:c>
      <x:c r="D1782" s="66" t="str">
        <x:v>PTKIN</x:v>
      </x:c>
      <x:c r="E1782" s="66" t="str">
        <x:v>13361019</x:v>
      </x:c>
      <x:c r="F1782" s="66" t="str">
        <x:v>BAHASA DAN SASTRA INGGRIS</x:v>
      </x:c>
      <x:c r="G1782" s="66" t="str">
        <x:v>Sarjana</x:v>
      </x:c>
      <x:c r="H1782" s="87" t="n">
        <x:v>81</x:v>
      </x:c>
      <x:c r="I1782" s="87" t="n">
        <x:v>538</x:v>
      </x:c>
      <x:c r="J1782" s="68" t="n">
        <x:f>IFERROR(H1782/I1782,"")</x:f>
        <x:v>0.15055762081784388</x:v>
      </x:c>
      <x:c r="K1782" s="69" t="n">
        <x:f>IFERROR(I1782/H1782,"")</x:f>
        <x:v>6.6419753086419755</x:v>
      </x:c>
      <x:c r="L1782" s="66" t="str">
        <x:f>IF(K1782="","","1 : "&amp;TEXT(K1782,"0.0"))</x:f>
        <x:v>1 : 6.6</x:v>
      </x:c>
      <x:c r="M1782" s="66" t="str">
        <x:f>IF(J1782="","Baru/Tanpa Data",IF(J1782&lt;='Catatan &amp; Sumber'!$B$14,"Sangat Ketat",IF(J1782&lt;='Catatan &amp; Sumber'!$B$15,"Ketat",IF(J1782&lt;='Catatan &amp; Sumber'!$B$16,"Sedang","Relatif Longgar"))))</x:f>
        <x:v>Relatif Longgar</x:v>
      </x:c>
      <x:c r="N1782" s="66" t="str">
        <x:v>Tidak Ada</x:v>
      </x:c>
      <x:c r="O1782" s="66" t="str">
        <x:v>Jawa Barat</x:v>
      </x:c>
      <x:c r="P1782" s="66" t="str">
        <x:v>Kota Bandung</x:v>
      </x:c>
      <x:c r="Q1782" s="66" t="str">
        <x:v>https://snpmb.id/snbp/daya-tampung-snbp</x:v>
      </x:c>
      <x:c r="R1782" s="66" t="str">
        <x:v>https://sidatagrun-public-1076756628210.asia-southeast2.run.app/ptn_sn.php?ptn=336</x:v>
      </x:c>
    </x:row>
    <x:row r="1783">
      <x:c r="A1783" s="87" t="n">
        <x:v>953</x:v>
      </x:c>
      <x:c r="B1783" s="66" t="n">
        <x:v>336</x:v>
      </x:c>
      <x:c r="C1783" s="66" t="str">
        <x:v>UIN SUNAN GUNUNG DJATI</x:v>
      </x:c>
      <x:c r="D1783" s="66" t="str">
        <x:v>PTKIN</x:v>
      </x:c>
      <x:c r="E1783" s="66" t="str">
        <x:v>13361020</x:v>
      </x:c>
      <x:c r="F1783" s="66" t="str">
        <x:v>PSIKOLOGI</x:v>
      </x:c>
      <x:c r="G1783" s="66" t="str">
        <x:v>Sarjana</x:v>
      </x:c>
      <x:c r="H1783" s="87" t="n">
        <x:v>79</x:v>
      </x:c>
      <x:c r="I1783" s="87" t="n">
        <x:v>1047</x:v>
      </x:c>
      <x:c r="J1783" s="68" t="n">
        <x:f>IFERROR(H1783/I1783,"")</x:f>
        <x:v>0.07545367717287488</x:v>
      </x:c>
      <x:c r="K1783" s="69" t="n">
        <x:f>IFERROR(I1783/H1783,"")</x:f>
        <x:v>13.253164556962025</x:v>
      </x:c>
      <x:c r="L1783" s="66" t="str">
        <x:f>IF(K1783="","","1 : "&amp;TEXT(K1783,"0.0"))</x:f>
        <x:v>1 : 13.3</x:v>
      </x:c>
      <x:c r="M1783" s="66" t="str">
        <x:f>IF(J1783="","Baru/Tanpa Data",IF(J1783&lt;='Catatan &amp; Sumber'!$B$14,"Sangat Ketat",IF(J1783&lt;='Catatan &amp; Sumber'!$B$15,"Ketat",IF(J1783&lt;='Catatan &amp; Sumber'!$B$16,"Sedang","Relatif Longgar"))))</x:f>
        <x:v>Sedang</x:v>
      </x:c>
      <x:c r="N1783" s="66" t="str">
        <x:v>Tidak Ada</x:v>
      </x:c>
      <x:c r="O1783" s="66" t="str">
        <x:v>Jawa Barat</x:v>
      </x:c>
      <x:c r="P1783" s="66" t="str">
        <x:v>Kota Bandung</x:v>
      </x:c>
      <x:c r="Q1783" s="66" t="str">
        <x:v>https://snpmb.id/snbp/daya-tampung-snbp</x:v>
      </x:c>
      <x:c r="R1783" s="66" t="str">
        <x:v>https://sidatagrun-public-1076756628210.asia-southeast2.run.app/ptn_sn.php?ptn=336</x:v>
      </x:c>
    </x:row>
    <x:row r="1784">
      <x:c r="A1784" s="87" t="n">
        <x:v>2343</x:v>
      </x:c>
      <x:c r="B1784" s="66" t="n">
        <x:v>336</x:v>
      </x:c>
      <x:c r="C1784" s="66" t="str">
        <x:v>UIN SUNAN GUNUNG DJATI</x:v>
      </x:c>
      <x:c r="D1784" s="66" t="str">
        <x:v>PTKIN</x:v>
      </x:c>
      <x:c r="E1784" s="66" t="str">
        <x:v>13361041</x:v>
      </x:c>
      <x:c r="F1784" s="66" t="str">
        <x:v>ILMU POLITIK</x:v>
      </x:c>
      <x:c r="G1784" s="66" t="str">
        <x:v>Sarjana</x:v>
      </x:c>
      <x:c r="H1784" s="87" t="n">
        <x:v>36</x:v>
      </x:c>
      <x:c r="I1784" s="87" t="n">
        <x:v>191</x:v>
      </x:c>
      <x:c r="J1784" s="68" t="n">
        <x:f>IFERROR(H1784/I1784,"")</x:f>
        <x:v>0.18848167539267016</x:v>
      </x:c>
      <x:c r="K1784" s="69" t="n">
        <x:f>IFERROR(I1784/H1784,"")</x:f>
        <x:v>5.305555555555555</x:v>
      </x:c>
      <x:c r="L1784" s="66" t="str">
        <x:f>IF(K1784="","","1 : "&amp;TEXT(K1784,"0.0"))</x:f>
        <x:v>1 : 5.3</x:v>
      </x:c>
      <x:c r="M1784" s="66" t="str">
        <x:f>IF(J1784="","Baru/Tanpa Data",IF(J1784&lt;='Catatan &amp; Sumber'!$B$14,"Sangat Ketat",IF(J1784&lt;='Catatan &amp; Sumber'!$B$15,"Ketat",IF(J1784&lt;='Catatan &amp; Sumber'!$B$16,"Sedang","Relatif Longgar"))))</x:f>
        <x:v>Relatif Longgar</x:v>
      </x:c>
      <x:c r="N1784" s="66" t="str">
        <x:v>Tidak Ada</x:v>
      </x:c>
      <x:c r="O1784" s="66" t="str">
        <x:v>Jawa Barat</x:v>
      </x:c>
      <x:c r="P1784" s="66" t="str">
        <x:v>Kota Bandung</x:v>
      </x:c>
      <x:c r="Q1784" s="66" t="str">
        <x:v>https://snpmb.id/snbp/daya-tampung-snbp</x:v>
      </x:c>
      <x:c r="R1784" s="66" t="str">
        <x:v>https://sidatagrun-public-1076756628210.asia-southeast2.run.app/ptn_sn.php?ptn=336</x:v>
      </x:c>
    </x:row>
    <x:row r="1785">
      <x:c r="A1785" s="87"/>
      <x:c r="B1785" s="66" t="n">
        <x:v>336</x:v>
      </x:c>
      <x:c r="C1785" s="66" t="str">
        <x:v>UIN SUNAN GUNUNG DJATI</x:v>
      </x:c>
      <x:c r="D1785" s="66" t="str">
        <x:v>PTKIN</x:v>
      </x:c>
      <x:c r="E1785" s="66" t="str">
        <x:v>13361042</x:v>
      </x:c>
      <x:c r="F1785" s="66" t="str">
        <x:v>TEKNIK LINGKUNGAN</x:v>
      </x:c>
      <x:c r="G1785" s="66" t="str">
        <x:v>Sarjana</x:v>
      </x:c>
      <x:c r="H1785" s="87" t="n">
        <x:v>12</x:v>
      </x:c>
      <x:c r="I1785" s="87"/>
      <x:c r="J1785" s="68" t="str">
        <x:f>IFERROR(H1785/I1785,"")</x:f>
      </x:c>
      <x:c r="K1785" s="69" t="n">
        <x:f>IFERROR(I1785/H1785,"")</x:f>
        <x:v>0</x:v>
      </x:c>
      <x:c r="L1785" s="66" t="str">
        <x:f>IF(K1785="","","1 : "&amp;TEXT(K1785,"0.0"))</x:f>
      </x:c>
      <x:c r="M1785" s="66" t="str">
        <x:f>IF(J1785="","Baru/Tanpa Data",IF(J1785&lt;='Catatan &amp; Sumber'!$B$14,"Sangat Ketat",IF(J1785&lt;='Catatan &amp; Sumber'!$B$15,"Ketat",IF(J1785&lt;='Catatan &amp; Sumber'!$B$16,"Sedang","Relatif Longgar"))))</x:f>
        <x:v>Baru/Tanpa Data</x:v>
      </x:c>
      <x:c r="N1785" s="66" t="str">
        <x:v>Tidak Ada</x:v>
      </x:c>
      <x:c r="O1785" s="66" t="str">
        <x:v>Jawa Barat</x:v>
      </x:c>
      <x:c r="P1785" s="66" t="str">
        <x:v>Kota Bandung</x:v>
      </x:c>
      <x:c r="Q1785" s="66" t="str">
        <x:v>https://snpmb.id/snbp/daya-tampung-snbp</x:v>
      </x:c>
      <x:c r="R1785" s="66" t="str">
        <x:v>https://sidatagrun-public-1076756628210.asia-southeast2.run.app/ptn_sn.php?ptn=336</x:v>
      </x:c>
    </x:row>
    <x:row r="1786">
      <x:c r="A1786" s="87" t="n">
        <x:v>809</x:v>
      </x:c>
      <x:c r="B1786" s="66" t="n">
        <x:v>341</x:v>
      </x:c>
      <x:c r="C1786" s="66" t="str">
        <x:v>INSTITUT PERTANIAN BOGOR</x:v>
      </x:c>
      <x:c r="D1786" s="66" t="str">
        <x:v>PTN Akademik</x:v>
      </x:c>
      <x:c r="E1786" s="66" t="str">
        <x:v>13411001</x:v>
      </x:c>
      <x:c r="F1786" s="66" t="str">
        <x:v>AGRIBISNIS</x:v>
      </x:c>
      <x:c r="G1786" s="66" t="str">
        <x:v>Sarjana</x:v>
      </x:c>
      <x:c r="H1786" s="87" t="n">
        <x:v>60</x:v>
      </x:c>
      <x:c r="I1786" s="87" t="n">
        <x:v>892</x:v>
      </x:c>
      <x:c r="J1786" s="68" t="n">
        <x:f>IFERROR(H1786/I1786,"")</x:f>
        <x:v>0.06726457399103139</x:v>
      </x:c>
      <x:c r="K1786" s="69" t="n">
        <x:f>IFERROR(I1786/H1786,"")</x:f>
        <x:v>14.866666666666667</x:v>
      </x:c>
      <x:c r="L1786" s="66" t="str">
        <x:f>IF(K1786="","","1 : "&amp;TEXT(K1786,"0.0"))</x:f>
        <x:v>1 : 14.9</x:v>
      </x:c>
      <x:c r="M1786" s="66" t="str">
        <x:f>IF(J1786="","Baru/Tanpa Data",IF(J1786&lt;='Catatan &amp; Sumber'!$B$14,"Sangat Ketat",IF(J1786&lt;='Catatan &amp; Sumber'!$B$15,"Ketat",IF(J1786&lt;='Catatan &amp; Sumber'!$B$16,"Sedang","Relatif Longgar"))))</x:f>
        <x:v>Sedang</x:v>
      </x:c>
      <x:c r="N1786" s="66" t="str">
        <x:v>Tidak Ada</x:v>
      </x:c>
      <x:c r="O1786" s="66" t="str">
        <x:v>Jawa Barat</x:v>
      </x:c>
      <x:c r="P1786" s="66" t="str">
        <x:v>Kabupaten Bogor</x:v>
      </x:c>
      <x:c r="Q1786" s="66" t="str">
        <x:v>https://snpmb.id/snbp/daya-tampung-snbp</x:v>
      </x:c>
      <x:c r="R1786" s="66" t="str">
        <x:v>https://sidatagrun-public-1076756628210.asia-southeast2.run.app/ptn_sn.php?ptn=341</x:v>
      </x:c>
    </x:row>
    <x:row r="1787">
      <x:c r="A1787" s="87" t="n">
        <x:v>1492</x:v>
      </x:c>
      <x:c r="B1787" s="66" t="n">
        <x:v>341</x:v>
      </x:c>
      <x:c r="C1787" s="66" t="str">
        <x:v>INSTITUT PERTANIAN BOGOR</x:v>
      </x:c>
      <x:c r="D1787" s="66" t="str">
        <x:v>PTN Akademik</x:v>
      </x:c>
      <x:c r="E1787" s="66" t="str">
        <x:v>13411002</x:v>
      </x:c>
      <x:c r="F1787" s="66" t="str">
        <x:v>AGRONOMI DAN HORTIKULTURA</x:v>
      </x:c>
      <x:c r="G1787" s="66" t="str">
        <x:v>Sarjana</x:v>
      </x:c>
      <x:c r="H1787" s="87" t="n">
        <x:v>90</x:v>
      </x:c>
      <x:c r="I1787" s="87" t="n">
        <x:v>826</x:v>
      </x:c>
      <x:c r="J1787" s="68" t="n">
        <x:f>IFERROR(H1787/I1787,"")</x:f>
        <x:v>0.1089588377723971</x:v>
      </x:c>
      <x:c r="K1787" s="69" t="n">
        <x:f>IFERROR(I1787/H1787,"")</x:f>
        <x:v>9.177777777777777</x:v>
      </x:c>
      <x:c r="L1787" s="66" t="str">
        <x:f>IF(K1787="","","1 : "&amp;TEXT(K1787,"0.0"))</x:f>
        <x:v>1 : 9.2</x:v>
      </x:c>
      <x:c r="M1787" s="66" t="str">
        <x:f>IF(J1787="","Baru/Tanpa Data",IF(J1787&lt;='Catatan &amp; Sumber'!$B$14,"Sangat Ketat",IF(J1787&lt;='Catatan &amp; Sumber'!$B$15,"Ketat",IF(J1787&lt;='Catatan &amp; Sumber'!$B$16,"Sedang","Relatif Longgar"))))</x:f>
        <x:v>Relatif Longgar</x:v>
      </x:c>
      <x:c r="N1787" s="66" t="str">
        <x:v>Tidak Ada</x:v>
      </x:c>
      <x:c r="O1787" s="66" t="str">
        <x:v>Jawa Barat</x:v>
      </x:c>
      <x:c r="P1787" s="66" t="str">
        <x:v>Kabupaten Bogor</x:v>
      </x:c>
      <x:c r="Q1787" s="66" t="str">
        <x:v>https://snpmb.id/snbp/daya-tampung-snbp</x:v>
      </x:c>
      <x:c r="R1787" s="66" t="str">
        <x:v>https://sidatagrun-public-1076756628210.asia-southeast2.run.app/ptn_sn.php?ptn=341</x:v>
      </x:c>
    </x:row>
    <x:row r="1788">
      <x:c r="A1788" s="87" t="n">
        <x:v>1311</x:v>
      </x:c>
      <x:c r="B1788" s="66" t="n">
        <x:v>341</x:v>
      </x:c>
      <x:c r="C1788" s="66" t="str">
        <x:v>INSTITUT PERTANIAN BOGOR</x:v>
      </x:c>
      <x:c r="D1788" s="66" t="str">
        <x:v>PTN Akademik</x:v>
      </x:c>
      <x:c r="E1788" s="66" t="str">
        <x:v>13411003</x:v>
      </x:c>
      <x:c r="F1788" s="66" t="str">
        <x:v>ARSITEKTUR LANSKAP</x:v>
      </x:c>
      <x:c r="G1788" s="66" t="str">
        <x:v>Sarjana</x:v>
      </x:c>
      <x:c r="H1788" s="87" t="n">
        <x:v>40</x:v>
      </x:c>
      <x:c r="I1788" s="87" t="n">
        <x:v>416</x:v>
      </x:c>
      <x:c r="J1788" s="68" t="n">
        <x:f>IFERROR(H1788/I1788,"")</x:f>
        <x:v>0.09615384615384616</x:v>
      </x:c>
      <x:c r="K1788" s="69" t="n">
        <x:f>IFERROR(I1788/H1788,"")</x:f>
        <x:v>10.4</x:v>
      </x:c>
      <x:c r="L1788" s="66" t="str">
        <x:f>IF(K1788="","","1 : "&amp;TEXT(K1788,"0.0"))</x:f>
        <x:v>1 : 10.4</x:v>
      </x:c>
      <x:c r="M1788" s="66" t="str">
        <x:f>IF(J1788="","Baru/Tanpa Data",IF(J1788&lt;='Catatan &amp; Sumber'!$B$14,"Sangat Ketat",IF(J1788&lt;='Catatan &amp; Sumber'!$B$15,"Ketat",IF(J1788&lt;='Catatan &amp; Sumber'!$B$16,"Sedang","Relatif Longgar"))))</x:f>
        <x:v>Sedang</x:v>
      </x:c>
      <x:c r="N1788" s="66" t="str">
        <x:v>Tidak Ada</x:v>
      </x:c>
      <x:c r="O1788" s="66" t="str">
        <x:v>Jawa Barat</x:v>
      </x:c>
      <x:c r="P1788" s="66" t="str">
        <x:v>Kabupaten Bogor</x:v>
      </x:c>
      <x:c r="Q1788" s="66" t="str">
        <x:v>https://snpmb.id/snbp/daya-tampung-snbp</x:v>
      </x:c>
      <x:c r="R1788" s="66" t="str">
        <x:v>https://sidatagrun-public-1076756628210.asia-southeast2.run.app/ptn_sn.php?ptn=341</x:v>
      </x:c>
    </x:row>
    <x:row r="1789">
      <x:c r="A1789" s="87" t="n">
        <x:v>1333</x:v>
      </x:c>
      <x:c r="B1789" s="66" t="n">
        <x:v>341</x:v>
      </x:c>
      <x:c r="C1789" s="66" t="str">
        <x:v>INSTITUT PERTANIAN BOGOR</x:v>
      </x:c>
      <x:c r="D1789" s="66" t="str">
        <x:v>PTN Akademik</x:v>
      </x:c>
      <x:c r="E1789" s="66" t="str">
        <x:v>13411004</x:v>
      </x:c>
      <x:c r="F1789" s="66" t="str">
        <x:v>BIOKIMIA</x:v>
      </x:c>
      <x:c r="G1789" s="66" t="str">
        <x:v>Sarjana</x:v>
      </x:c>
      <x:c r="H1789" s="87" t="n">
        <x:v>44</x:v>
      </x:c>
      <x:c r="I1789" s="87" t="n">
        <x:v>451</x:v>
      </x:c>
      <x:c r="J1789" s="68" t="n">
        <x:f>IFERROR(H1789/I1789,"")</x:f>
        <x:v>0.0975609756097561</x:v>
      </x:c>
      <x:c r="K1789" s="69" t="n">
        <x:f>IFERROR(I1789/H1789,"")</x:f>
        <x:v>10.25</x:v>
      </x:c>
      <x:c r="L1789" s="66" t="str">
        <x:f>IF(K1789="","","1 : "&amp;TEXT(K1789,"0.0"))</x:f>
        <x:v>1 : 10.3</x:v>
      </x:c>
      <x:c r="M1789" s="66" t="str">
        <x:f>IF(J1789="","Baru/Tanpa Data",IF(J1789&lt;='Catatan &amp; Sumber'!$B$14,"Sangat Ketat",IF(J1789&lt;='Catatan &amp; Sumber'!$B$15,"Ketat",IF(J1789&lt;='Catatan &amp; Sumber'!$B$16,"Sedang","Relatif Longgar"))))</x:f>
        <x:v>Sedang</x:v>
      </x:c>
      <x:c r="N1789" s="66" t="str">
        <x:v>Tidak Ada</x:v>
      </x:c>
      <x:c r="O1789" s="66" t="str">
        <x:v>Jawa Barat</x:v>
      </x:c>
      <x:c r="P1789" s="66" t="str">
        <x:v>Kabupaten Bogor</x:v>
      </x:c>
      <x:c r="Q1789" s="66" t="str">
        <x:v>https://snpmb.id/snbp/daya-tampung-snbp</x:v>
      </x:c>
      <x:c r="R1789" s="66" t="str">
        <x:v>https://sidatagrun-public-1076756628210.asia-southeast2.run.app/ptn_sn.php?ptn=341</x:v>
      </x:c>
    </x:row>
    <x:row r="1790">
      <x:c r="A1790" s="87" t="n">
        <x:v>1430</x:v>
      </x:c>
      <x:c r="B1790" s="66" t="n">
        <x:v>341</x:v>
      </x:c>
      <x:c r="C1790" s="66" t="str">
        <x:v>INSTITUT PERTANIAN BOGOR</x:v>
      </x:c>
      <x:c r="D1790" s="66" t="str">
        <x:v>PTN Akademik</x:v>
      </x:c>
      <x:c r="E1790" s="66" t="str">
        <x:v>13411005</x:v>
      </x:c>
      <x:c r="F1790" s="66" t="str">
        <x:v>BIOLOGI</x:v>
      </x:c>
      <x:c r="G1790" s="66" t="str">
        <x:v>Sarjana</x:v>
      </x:c>
      <x:c r="H1790" s="87" t="n">
        <x:v>44</x:v>
      </x:c>
      <x:c r="I1790" s="87" t="n">
        <x:v>421</x:v>
      </x:c>
      <x:c r="J1790" s="68" t="n">
        <x:f>IFERROR(H1790/I1790,"")</x:f>
        <x:v>0.10451306413301663</x:v>
      </x:c>
      <x:c r="K1790" s="69" t="n">
        <x:f>IFERROR(I1790/H1790,"")</x:f>
        <x:v>9.568181818181818</x:v>
      </x:c>
      <x:c r="L1790" s="66" t="str">
        <x:f>IF(K1790="","","1 : "&amp;TEXT(K1790,"0.0"))</x:f>
        <x:v>1 : 9.6</x:v>
      </x:c>
      <x:c r="M1790" s="66" t="str">
        <x:f>IF(J1790="","Baru/Tanpa Data",IF(J1790&lt;='Catatan &amp; Sumber'!$B$14,"Sangat Ketat",IF(J1790&lt;='Catatan &amp; Sumber'!$B$15,"Ketat",IF(J1790&lt;='Catatan &amp; Sumber'!$B$16,"Sedang","Relatif Longgar"))))</x:f>
        <x:v>Relatif Longgar</x:v>
      </x:c>
      <x:c r="N1790" s="66" t="str">
        <x:v>Tidak Ada</x:v>
      </x:c>
      <x:c r="O1790" s="66" t="str">
        <x:v>Jawa Barat</x:v>
      </x:c>
      <x:c r="P1790" s="66" t="str">
        <x:v>Kabupaten Bogor</x:v>
      </x:c>
      <x:c r="Q1790" s="66" t="str">
        <x:v>https://snpmb.id/snbp/daya-tampung-snbp</x:v>
      </x:c>
      <x:c r="R1790" s="66" t="str">
        <x:v>https://sidatagrun-public-1076756628210.asia-southeast2.run.app/ptn_sn.php?ptn=341</x:v>
      </x:c>
    </x:row>
    <x:row r="1791">
      <x:c r="A1791" s="87" t="n">
        <x:v>1303</x:v>
      </x:c>
      <x:c r="B1791" s="66" t="n">
        <x:v>341</x:v>
      </x:c>
      <x:c r="C1791" s="66" t="str">
        <x:v>INSTITUT PERTANIAN BOGOR</x:v>
      </x:c>
      <x:c r="D1791" s="66" t="str">
        <x:v>PTN Akademik</x:v>
      </x:c>
      <x:c r="E1791" s="66" t="str">
        <x:v>13411006</x:v>
      </x:c>
      <x:c r="F1791" s="66" t="str">
        <x:v>EKONOMI SUMBERDAYA DAN LINGKUNGAN</x:v>
      </x:c>
      <x:c r="G1791" s="66" t="str">
        <x:v>Sarjana</x:v>
      </x:c>
      <x:c r="H1791" s="87" t="n">
        <x:v>52</x:v>
      </x:c>
      <x:c r="I1791" s="87" t="n">
        <x:v>544</x:v>
      </x:c>
      <x:c r="J1791" s="68" t="n">
        <x:f>IFERROR(H1791/I1791,"")</x:f>
        <x:v>0.09558823529411764</x:v>
      </x:c>
      <x:c r="K1791" s="69" t="n">
        <x:f>IFERROR(I1791/H1791,"")</x:f>
        <x:v>10.461538461538462</x:v>
      </x:c>
      <x:c r="L1791" s="66" t="str">
        <x:f>IF(K1791="","","1 : "&amp;TEXT(K1791,"0.0"))</x:f>
        <x:v>1 : 10.5</x:v>
      </x:c>
      <x:c r="M1791" s="66" t="str">
        <x:f>IF(J1791="","Baru/Tanpa Data",IF(J1791&lt;='Catatan &amp; Sumber'!$B$14,"Sangat Ketat",IF(J1791&lt;='Catatan &amp; Sumber'!$B$15,"Ketat",IF(J1791&lt;='Catatan &amp; Sumber'!$B$16,"Sedang","Relatif Longgar"))))</x:f>
        <x:v>Sedang</x:v>
      </x:c>
      <x:c r="N1791" s="66" t="str">
        <x:v>Tidak Ada</x:v>
      </x:c>
      <x:c r="O1791" s="66" t="str">
        <x:v>Jawa Barat</x:v>
      </x:c>
      <x:c r="P1791" s="66" t="str">
        <x:v>Kabupaten Bogor</x:v>
      </x:c>
      <x:c r="Q1791" s="66" t="str">
        <x:v>https://snpmb.id/snbp/daya-tampung-snbp</x:v>
      </x:c>
      <x:c r="R1791" s="66" t="str">
        <x:v>https://sidatagrun-public-1076756628210.asia-southeast2.run.app/ptn_sn.php?ptn=341</x:v>
      </x:c>
    </x:row>
    <x:row r="1792">
      <x:c r="A1792" s="87" t="n">
        <x:v>1759</x:v>
      </x:c>
      <x:c r="B1792" s="66" t="n">
        <x:v>341</x:v>
      </x:c>
      <x:c r="C1792" s="66" t="str">
        <x:v>INSTITUT PERTANIAN BOGOR</x:v>
      </x:c>
      <x:c r="D1792" s="66" t="str">
        <x:v>PTN Akademik</x:v>
      </x:c>
      <x:c r="E1792" s="66" t="str">
        <x:v>13411007</x:v>
      </x:c>
      <x:c r="F1792" s="66" t="str">
        <x:v>ILMU DAN TEKNOLOGI KELAUTAN</x:v>
      </x:c>
      <x:c r="G1792" s="66" t="str">
        <x:v>Sarjana</x:v>
      </x:c>
      <x:c r="H1792" s="87" t="n">
        <x:v>52</x:v>
      </x:c>
      <x:c r="I1792" s="87" t="n">
        <x:v>402</x:v>
      </x:c>
      <x:c r="J1792" s="68" t="n">
        <x:f>IFERROR(H1792/I1792,"")</x:f>
        <x:v>0.12935323383084577</x:v>
      </x:c>
      <x:c r="K1792" s="69" t="n">
        <x:f>IFERROR(I1792/H1792,"")</x:f>
        <x:v>7.730769230769231</x:v>
      </x:c>
      <x:c r="L1792" s="66" t="str">
        <x:f>IF(K1792="","","1 : "&amp;TEXT(K1792,"0.0"))</x:f>
        <x:v>1 : 7.7</x:v>
      </x:c>
      <x:c r="M1792" s="66" t="str">
        <x:f>IF(J1792="","Baru/Tanpa Data",IF(J1792&lt;='Catatan &amp; Sumber'!$B$14,"Sangat Ketat",IF(J1792&lt;='Catatan &amp; Sumber'!$B$15,"Ketat",IF(J1792&lt;='Catatan &amp; Sumber'!$B$16,"Sedang","Relatif Longgar"))))</x:f>
        <x:v>Relatif Longgar</x:v>
      </x:c>
      <x:c r="N1792" s="66" t="str">
        <x:v>Tidak Ada</x:v>
      </x:c>
      <x:c r="O1792" s="66" t="str">
        <x:v>Jawa Barat</x:v>
      </x:c>
      <x:c r="P1792" s="66" t="str">
        <x:v>Kabupaten Bogor</x:v>
      </x:c>
      <x:c r="Q1792" s="66" t="str">
        <x:v>https://snpmb.id/snbp/daya-tampung-snbp</x:v>
      </x:c>
      <x:c r="R1792" s="66" t="str">
        <x:v>https://sidatagrun-public-1076756628210.asia-southeast2.run.app/ptn_sn.php?ptn=341</x:v>
      </x:c>
    </x:row>
    <x:row r="1793">
      <x:c r="A1793" s="87" t="n">
        <x:v>472</x:v>
      </x:c>
      <x:c r="B1793" s="66" t="n">
        <x:v>341</x:v>
      </x:c>
      <x:c r="C1793" s="66" t="str">
        <x:v>INSTITUT PERTANIAN BOGOR</x:v>
      </x:c>
      <x:c r="D1793" s="66" t="str">
        <x:v>PTN Akademik</x:v>
      </x:c>
      <x:c r="E1793" s="66" t="str">
        <x:v>13411008</x:v>
      </x:c>
      <x:c r="F1793" s="66" t="str">
        <x:v>ILMU KOMPUTER</x:v>
      </x:c>
      <x:c r="G1793" s="66" t="str">
        <x:v>Sarjana</x:v>
      </x:c>
      <x:c r="H1793" s="87" t="n">
        <x:v>68</x:v>
      </x:c>
      <x:c r="I1793" s="87" t="n">
        <x:v>1364</x:v>
      </x:c>
      <x:c r="J1793" s="68" t="n">
        <x:f>IFERROR(H1793/I1793,"")</x:f>
        <x:v>0.04985337243401759</x:v>
      </x:c>
      <x:c r="K1793" s="69" t="n">
        <x:f>IFERROR(I1793/H1793,"")</x:f>
        <x:v>20.058823529411764</x:v>
      </x:c>
      <x:c r="L1793" s="66" t="str">
        <x:f>IF(K1793="","","1 : "&amp;TEXT(K1793,"0.0"))</x:f>
        <x:v>1 : 20.1</x:v>
      </x:c>
      <x:c r="M1793" s="66" t="str">
        <x:f>IF(J1793="","Baru/Tanpa Data",IF(J1793&lt;='Catatan &amp; Sumber'!$B$14,"Sangat Ketat",IF(J1793&lt;='Catatan &amp; Sumber'!$B$15,"Ketat",IF(J1793&lt;='Catatan &amp; Sumber'!$B$16,"Sedang","Relatif Longgar"))))</x:f>
        <x:v>Ketat</x:v>
      </x:c>
      <x:c r="N1793" s="66" t="str">
        <x:v>Tidak Ada</x:v>
      </x:c>
      <x:c r="O1793" s="66" t="str">
        <x:v>Jawa Barat</x:v>
      </x:c>
      <x:c r="P1793" s="66" t="str">
        <x:v>Kabupaten Bogor</x:v>
      </x:c>
      <x:c r="Q1793" s="66" t="str">
        <x:v>https://snpmb.id/snbp/daya-tampung-snbp</x:v>
      </x:c>
      <x:c r="R1793" s="66" t="str">
        <x:v>https://sidatagrun-public-1076756628210.asia-southeast2.run.app/ptn_sn.php?ptn=341</x:v>
      </x:c>
    </x:row>
    <x:row r="1794">
      <x:c r="A1794" s="87" t="n">
        <x:v>1740</x:v>
      </x:c>
      <x:c r="B1794" s="66" t="n">
        <x:v>341</x:v>
      </x:c>
      <x:c r="C1794" s="66" t="str">
        <x:v>INSTITUT PERTANIAN BOGOR</x:v>
      </x:c>
      <x:c r="D1794" s="66" t="str">
        <x:v>PTN Akademik</x:v>
      </x:c>
      <x:c r="E1794" s="66" t="str">
        <x:v>13411009</x:v>
      </x:c>
      <x:c r="F1794" s="66" t="str">
        <x:v>KEDOKTERAN HEWAN</x:v>
      </x:c>
      <x:c r="G1794" s="66" t="str">
        <x:v>Sarjana</x:v>
      </x:c>
      <x:c r="H1794" s="87" t="n">
        <x:v>88</x:v>
      </x:c>
      <x:c r="I1794" s="87" t="n">
        <x:v>691</x:v>
      </x:c>
      <x:c r="J1794" s="68" t="n">
        <x:f>IFERROR(H1794/I1794,"")</x:f>
        <x:v>0.12735166425470332</x:v>
      </x:c>
      <x:c r="K1794" s="69" t="n">
        <x:f>IFERROR(I1794/H1794,"")</x:f>
        <x:v>7.8522727272727275</x:v>
      </x:c>
      <x:c r="L1794" s="66" t="str">
        <x:f>IF(K1794="","","1 : "&amp;TEXT(K1794,"0.0"))</x:f>
        <x:v>1 : 7.9</x:v>
      </x:c>
      <x:c r="M1794" s="66" t="str">
        <x:f>IF(J1794="","Baru/Tanpa Data",IF(J1794&lt;='Catatan &amp; Sumber'!$B$14,"Sangat Ketat",IF(J1794&lt;='Catatan &amp; Sumber'!$B$15,"Ketat",IF(J1794&lt;='Catatan &amp; Sumber'!$B$16,"Sedang","Relatif Longgar"))))</x:f>
        <x:v>Relatif Longgar</x:v>
      </x:c>
      <x:c r="N1794" s="66" t="str">
        <x:v>Tidak Ada</x:v>
      </x:c>
      <x:c r="O1794" s="66" t="str">
        <x:v>Jawa Barat</x:v>
      </x:c>
      <x:c r="P1794" s="66" t="str">
        <x:v>Kabupaten Bogor</x:v>
      </x:c>
      <x:c r="Q1794" s="66" t="str">
        <x:v>https://snpmb.id/snbp/daya-tampung-snbp</x:v>
      </x:c>
      <x:c r="R1794" s="66" t="str">
        <x:v>https://sidatagrun-public-1076756628210.asia-southeast2.run.app/ptn_sn.php?ptn=341</x:v>
      </x:c>
    </x:row>
    <x:row r="1795">
      <x:c r="A1795" s="87" t="n">
        <x:v>1351</x:v>
      </x:c>
      <x:c r="B1795" s="66" t="n">
        <x:v>341</x:v>
      </x:c>
      <x:c r="C1795" s="66" t="str">
        <x:v>INSTITUT PERTANIAN BOGOR</x:v>
      </x:c>
      <x:c r="D1795" s="66" t="str">
        <x:v>PTN Akademik</x:v>
      </x:c>
      <x:c r="E1795" s="66" t="str">
        <x:v>13411010</x:v>
      </x:c>
      <x:c r="F1795" s="66" t="str">
        <x:v>KIMIA</x:v>
      </x:c>
      <x:c r="G1795" s="66" t="str">
        <x:v>Sarjana</x:v>
      </x:c>
      <x:c r="H1795" s="87" t="n">
        <x:v>48</x:v>
      </x:c>
      <x:c r="I1795" s="87" t="n">
        <x:v>487</x:v>
      </x:c>
      <x:c r="J1795" s="68" t="n">
        <x:f>IFERROR(H1795/I1795,"")</x:f>
        <x:v>0.09856262833675565</x:v>
      </x:c>
      <x:c r="K1795" s="69" t="n">
        <x:f>IFERROR(I1795/H1795,"")</x:f>
        <x:v>10.145833333333334</x:v>
      </x:c>
      <x:c r="L1795" s="66" t="str">
        <x:f>IF(K1795="","","1 : "&amp;TEXT(K1795,"0.0"))</x:f>
        <x:v>1 : 10.1</x:v>
      </x:c>
      <x:c r="M1795" s="66" t="str">
        <x:f>IF(J1795="","Baru/Tanpa Data",IF(J1795&lt;='Catatan &amp; Sumber'!$B$14,"Sangat Ketat",IF(J1795&lt;='Catatan &amp; Sumber'!$B$15,"Ketat",IF(J1795&lt;='Catatan &amp; Sumber'!$B$16,"Sedang","Relatif Longgar"))))</x:f>
        <x:v>Sedang</x:v>
      </x:c>
      <x:c r="N1795" s="66" t="str">
        <x:v>Tidak Ada</x:v>
      </x:c>
      <x:c r="O1795" s="66" t="str">
        <x:v>Jawa Barat</x:v>
      </x:c>
      <x:c r="P1795" s="66" t="str">
        <x:v>Kabupaten Bogor</x:v>
      </x:c>
      <x:c r="Q1795" s="66" t="str">
        <x:v>https://snpmb.id/snbp/daya-tampung-snbp</x:v>
      </x:c>
      <x:c r="R1795" s="66" t="str">
        <x:v>https://sidatagrun-public-1076756628210.asia-southeast2.run.app/ptn_sn.php?ptn=341</x:v>
      </x:c>
    </x:row>
    <x:row r="1796">
      <x:c r="A1796" s="87" t="n">
        <x:v>796</x:v>
      </x:c>
      <x:c r="B1796" s="66" t="n">
        <x:v>341</x:v>
      </x:c>
      <x:c r="C1796" s="66" t="str">
        <x:v>INSTITUT PERTANIAN BOGOR</x:v>
      </x:c>
      <x:c r="D1796" s="66" t="str">
        <x:v>PTN Akademik</x:v>
      </x:c>
      <x:c r="E1796" s="66" t="str">
        <x:v>13411011</x:v>
      </x:c>
      <x:c r="F1796" s="66" t="str">
        <x:v>KOMUNIKASI DAN PENGEMBANGAN MASYARAKAT</x:v>
      </x:c>
      <x:c r="G1796" s="66" t="str">
        <x:v>Sarjana</x:v>
      </x:c>
      <x:c r="H1796" s="87" t="n">
        <x:v>70</x:v>
      </x:c>
      <x:c r="I1796" s="87" t="n">
        <x:v>1053</x:v>
      </x:c>
      <x:c r="J1796" s="68" t="n">
        <x:f>IFERROR(H1796/I1796,"")</x:f>
        <x:v>0.06647673314339982</x:v>
      </x:c>
      <x:c r="K1796" s="69" t="n">
        <x:f>IFERROR(I1796/H1796,"")</x:f>
        <x:v>15.042857142857143</x:v>
      </x:c>
      <x:c r="L1796" s="66" t="str">
        <x:f>IF(K1796="","","1 : "&amp;TEXT(K1796,"0.0"))</x:f>
        <x:v>1 : 15.0</x:v>
      </x:c>
      <x:c r="M1796" s="66" t="str">
        <x:f>IF(J1796="","Baru/Tanpa Data",IF(J1796&lt;='Catatan &amp; Sumber'!$B$14,"Sangat Ketat",IF(J1796&lt;='Catatan &amp; Sumber'!$B$15,"Ketat",IF(J1796&lt;='Catatan &amp; Sumber'!$B$16,"Sedang","Relatif Longgar"))))</x:f>
        <x:v>Sedang</x:v>
      </x:c>
      <x:c r="N1796" s="66" t="str">
        <x:v>Tidak Ada</x:v>
      </x:c>
      <x:c r="O1796" s="66" t="str">
        <x:v>Jawa Barat</x:v>
      </x:c>
      <x:c r="P1796" s="66" t="str">
        <x:v>Kabupaten Bogor</x:v>
      </x:c>
      <x:c r="Q1796" s="66" t="str">
        <x:v>https://snpmb.id/snbp/daya-tampung-snbp</x:v>
      </x:c>
      <x:c r="R1796" s="66" t="str">
        <x:v>https://sidatagrun-public-1076756628210.asia-southeast2.run.app/ptn_sn.php?ptn=341</x:v>
      </x:c>
    </x:row>
    <x:row r="1797">
      <x:c r="A1797" s="87" t="n">
        <x:v>1610</x:v>
      </x:c>
      <x:c r="B1797" s="66" t="n">
        <x:v>341</x:v>
      </x:c>
      <x:c r="C1797" s="66" t="str">
        <x:v>INSTITUT PERTANIAN BOGOR</x:v>
      </x:c>
      <x:c r="D1797" s="66" t="str">
        <x:v>PTN Akademik</x:v>
      </x:c>
      <x:c r="E1797" s="66" t="str">
        <x:v>13411012</x:v>
      </x:c>
      <x:c r="F1797" s="66" t="str">
        <x:v>KONSERVASI SUMBERDAYA HUTAN DAN EKOWISATA</x:v>
      </x:c>
      <x:c r="G1797" s="66" t="str">
        <x:v>Sarjana</x:v>
      </x:c>
      <x:c r="H1797" s="87" t="n">
        <x:v>56</x:v>
      </x:c>
      <x:c r="I1797" s="87" t="n">
        <x:v>478</x:v>
      </x:c>
      <x:c r="J1797" s="68" t="n">
        <x:f>IFERROR(H1797/I1797,"")</x:f>
        <x:v>0.11715481171548117</x:v>
      </x:c>
      <x:c r="K1797" s="69" t="n">
        <x:f>IFERROR(I1797/H1797,"")</x:f>
        <x:v>8.535714285714286</x:v>
      </x:c>
      <x:c r="L1797" s="66" t="str">
        <x:f>IF(K1797="","","1 : "&amp;TEXT(K1797,"0.0"))</x:f>
        <x:v>1 : 8.5</x:v>
      </x:c>
      <x:c r="M1797" s="66" t="str">
        <x:f>IF(J1797="","Baru/Tanpa Data",IF(J1797&lt;='Catatan &amp; Sumber'!$B$14,"Sangat Ketat",IF(J1797&lt;='Catatan &amp; Sumber'!$B$15,"Ketat",IF(J1797&lt;='Catatan &amp; Sumber'!$B$16,"Sedang","Relatif Longgar"))))</x:f>
        <x:v>Relatif Longgar</x:v>
      </x:c>
      <x:c r="N1797" s="66" t="str">
        <x:v>Tidak Ada</x:v>
      </x:c>
      <x:c r="O1797" s="66" t="str">
        <x:v>Jawa Barat</x:v>
      </x:c>
      <x:c r="P1797" s="66" t="str">
        <x:v>Kabupaten Bogor</x:v>
      </x:c>
      <x:c r="Q1797" s="66" t="str">
        <x:v>https://snpmb.id/snbp/daya-tampung-snbp</x:v>
      </x:c>
      <x:c r="R1797" s="66" t="str">
        <x:v>https://sidatagrun-public-1076756628210.asia-southeast2.run.app/ptn_sn.php?ptn=341</x:v>
      </x:c>
    </x:row>
    <x:row r="1798">
      <x:c r="A1798" s="87" t="n">
        <x:v>1478</x:v>
      </x:c>
      <x:c r="B1798" s="66" t="n">
        <x:v>341</x:v>
      </x:c>
      <x:c r="C1798" s="66" t="str">
        <x:v>INSTITUT PERTANIAN BOGOR</x:v>
      </x:c>
      <x:c r="D1798" s="66" t="str">
        <x:v>PTN Akademik</x:v>
      </x:c>
      <x:c r="E1798" s="66" t="str">
        <x:v>13411013</x:v>
      </x:c>
      <x:c r="F1798" s="66" t="str">
        <x:v>MANAJEMEN HUTAN</x:v>
      </x:c>
      <x:c r="G1798" s="66" t="str">
        <x:v>Sarjana</x:v>
      </x:c>
      <x:c r="H1798" s="87" t="n">
        <x:v>56</x:v>
      </x:c>
      <x:c r="I1798" s="87" t="n">
        <x:v>518</x:v>
      </x:c>
      <x:c r="J1798" s="68" t="n">
        <x:f>IFERROR(H1798/I1798,"")</x:f>
        <x:v>0.10810810810810811</x:v>
      </x:c>
      <x:c r="K1798" s="69" t="n">
        <x:f>IFERROR(I1798/H1798,"")</x:f>
        <x:v>9.25</x:v>
      </x:c>
      <x:c r="L1798" s="66" t="str">
        <x:f>IF(K1798="","","1 : "&amp;TEXT(K1798,"0.0"))</x:f>
        <x:v>1 : 9.3</x:v>
      </x:c>
      <x:c r="M1798" s="66" t="str">
        <x:f>IF(J1798="","Baru/Tanpa Data",IF(J1798&lt;='Catatan &amp; Sumber'!$B$14,"Sangat Ketat",IF(J1798&lt;='Catatan &amp; Sumber'!$B$15,"Ketat",IF(J1798&lt;='Catatan &amp; Sumber'!$B$16,"Sedang","Relatif Longgar"))))</x:f>
        <x:v>Relatif Longgar</x:v>
      </x:c>
      <x:c r="N1798" s="66" t="str">
        <x:v>Tidak Ada</x:v>
      </x:c>
      <x:c r="O1798" s="66" t="str">
        <x:v>Jawa Barat</x:v>
      </x:c>
      <x:c r="P1798" s="66" t="str">
        <x:v>Kabupaten Bogor</x:v>
      </x:c>
      <x:c r="Q1798" s="66" t="str">
        <x:v>https://snpmb.id/snbp/daya-tampung-snbp</x:v>
      </x:c>
      <x:c r="R1798" s="66" t="str">
        <x:v>https://sidatagrun-public-1076756628210.asia-southeast2.run.app/ptn_sn.php?ptn=341</x:v>
      </x:c>
    </x:row>
    <x:row r="1799">
      <x:c r="A1799" s="87" t="n">
        <x:v>440</x:v>
      </x:c>
      <x:c r="B1799" s="66" t="n">
        <x:v>341</x:v>
      </x:c>
      <x:c r="C1799" s="66" t="str">
        <x:v>INSTITUT PERTANIAN BOGOR</x:v>
      </x:c>
      <x:c r="D1799" s="66" t="str">
        <x:v>PTN Akademik</x:v>
      </x:c>
      <x:c r="E1799" s="66" t="str">
        <x:v>13411014</x:v>
      </x:c>
      <x:c r="F1799" s="66" t="str">
        <x:v>STATISTIKA DAN SAINS DATA</x:v>
      </x:c>
      <x:c r="G1799" s="66" t="str">
        <x:v>Sarjana</x:v>
      </x:c>
      <x:c r="H1799" s="87" t="n">
        <x:v>48</x:v>
      </x:c>
      <x:c r="I1799" s="87" t="n">
        <x:v>987</x:v>
      </x:c>
      <x:c r="J1799" s="68" t="n">
        <x:f>IFERROR(H1799/I1799,"")</x:f>
        <x:v>0.0486322188449848</x:v>
      </x:c>
      <x:c r="K1799" s="69" t="n">
        <x:f>IFERROR(I1799/H1799,"")</x:f>
        <x:v>20.5625</x:v>
      </x:c>
      <x:c r="L1799" s="66" t="str">
        <x:f>IF(K1799="","","1 : "&amp;TEXT(K1799,"0.0"))</x:f>
        <x:v>1 : 20.6</x:v>
      </x:c>
      <x:c r="M1799" s="66" t="str">
        <x:f>IF(J1799="","Baru/Tanpa Data",IF(J1799&lt;='Catatan &amp; Sumber'!$B$14,"Sangat Ketat",IF(J1799&lt;='Catatan &amp; Sumber'!$B$15,"Ketat",IF(J1799&lt;='Catatan &amp; Sumber'!$B$16,"Sedang","Relatif Longgar"))))</x:f>
        <x:v>Ketat</x:v>
      </x:c>
      <x:c r="N1799" s="66" t="str">
        <x:v>Tidak Ada</x:v>
      </x:c>
      <x:c r="O1799" s="66" t="str">
        <x:v>Jawa Barat</x:v>
      </x:c>
      <x:c r="P1799" s="66" t="str">
        <x:v>Kabupaten Bogor</x:v>
      </x:c>
      <x:c r="Q1799" s="66" t="str">
        <x:v>https://snpmb.id/snbp/daya-tampung-snbp</x:v>
      </x:c>
      <x:c r="R1799" s="66" t="str">
        <x:v>https://sidatagrun-public-1076756628210.asia-southeast2.run.app/ptn_sn.php?ptn=341</x:v>
      </x:c>
    </x:row>
    <x:row r="1800">
      <x:c r="A1800" s="87" t="n">
        <x:v>1196</x:v>
      </x:c>
      <x:c r="B1800" s="66" t="n">
        <x:v>341</x:v>
      </x:c>
      <x:c r="C1800" s="66" t="str">
        <x:v>INSTITUT PERTANIAN BOGOR</x:v>
      </x:c>
      <x:c r="D1800" s="66" t="str">
        <x:v>PTN Akademik</x:v>
      </x:c>
      <x:c r="E1800" s="66" t="str">
        <x:v>13411015</x:v>
      </x:c>
      <x:c r="F1800" s="66" t="str">
        <x:v>TEKNIK PERTANIAN DAN BIOSISTEM</x:v>
      </x:c>
      <x:c r="G1800" s="66" t="str">
        <x:v>Sarjana</x:v>
      </x:c>
      <x:c r="H1800" s="87" t="n">
        <x:v>48</x:v>
      </x:c>
      <x:c r="I1800" s="87" t="n">
        <x:v>537</x:v>
      </x:c>
      <x:c r="J1800" s="68" t="n">
        <x:f>IFERROR(H1800/I1800,"")</x:f>
        <x:v>0.0893854748603352</x:v>
      </x:c>
      <x:c r="K1800" s="69" t="n">
        <x:f>IFERROR(I1800/H1800,"")</x:f>
        <x:v>11.1875</x:v>
      </x:c>
      <x:c r="L1800" s="66" t="str">
        <x:f>IF(K1800="","","1 : "&amp;TEXT(K1800,"0.0"))</x:f>
        <x:v>1 : 11.2</x:v>
      </x:c>
      <x:c r="M1800" s="66" t="str">
        <x:f>IF(J1800="","Baru/Tanpa Data",IF(J1800&lt;='Catatan &amp; Sumber'!$B$14,"Sangat Ketat",IF(J1800&lt;='Catatan &amp; Sumber'!$B$15,"Ketat",IF(J1800&lt;='Catatan &amp; Sumber'!$B$16,"Sedang","Relatif Longgar"))))</x:f>
        <x:v>Sedang</x:v>
      </x:c>
      <x:c r="N1800" s="66" t="str">
        <x:v>Tidak Ada</x:v>
      </x:c>
      <x:c r="O1800" s="66" t="str">
        <x:v>Jawa Barat</x:v>
      </x:c>
      <x:c r="P1800" s="66" t="str">
        <x:v>Kabupaten Bogor</x:v>
      </x:c>
      <x:c r="Q1800" s="66" t="str">
        <x:v>https://snpmb.id/snbp/daya-tampung-snbp</x:v>
      </x:c>
      <x:c r="R1800" s="66" t="str">
        <x:v>https://sidatagrun-public-1076756628210.asia-southeast2.run.app/ptn_sn.php?ptn=341</x:v>
      </x:c>
    </x:row>
    <x:row r="1801">
      <x:c r="A1801" s="87" t="n">
        <x:v>1858</x:v>
      </x:c>
      <x:c r="B1801" s="66" t="n">
        <x:v>341</x:v>
      </x:c>
      <x:c r="C1801" s="66" t="str">
        <x:v>INSTITUT PERTANIAN BOGOR</x:v>
      </x:c>
      <x:c r="D1801" s="66" t="str">
        <x:v>PTN Akademik</x:v>
      </x:c>
      <x:c r="E1801" s="66" t="str">
        <x:v>13411016</x:v>
      </x:c>
      <x:c r="F1801" s="66" t="str">
        <x:v>TEKNOLOGI HASIL HUTAN</x:v>
      </x:c>
      <x:c r="G1801" s="66" t="str">
        <x:v>Sarjana</x:v>
      </x:c>
      <x:c r="H1801" s="87" t="n">
        <x:v>44</x:v>
      </x:c>
      <x:c r="I1801" s="87" t="n">
        <x:v>321</x:v>
      </x:c>
      <x:c r="J1801" s="68" t="n">
        <x:f>IFERROR(H1801/I1801,"")</x:f>
        <x:v>0.13707165109034267</x:v>
      </x:c>
      <x:c r="K1801" s="69" t="n">
        <x:f>IFERROR(I1801/H1801,"")</x:f>
        <x:v>7.295454545454546</x:v>
      </x:c>
      <x:c r="L1801" s="66" t="str">
        <x:f>IF(K1801="","","1 : "&amp;TEXT(K1801,"0.0"))</x:f>
        <x:v>1 : 7.3</x:v>
      </x:c>
      <x:c r="M1801" s="66" t="str">
        <x:f>IF(J1801="","Baru/Tanpa Data",IF(J1801&lt;='Catatan &amp; Sumber'!$B$14,"Sangat Ketat",IF(J1801&lt;='Catatan &amp; Sumber'!$B$15,"Ketat",IF(J1801&lt;='Catatan &amp; Sumber'!$B$16,"Sedang","Relatif Longgar"))))</x:f>
        <x:v>Relatif Longgar</x:v>
      </x:c>
      <x:c r="N1801" s="66" t="str">
        <x:v>Tidak Ada</x:v>
      </x:c>
      <x:c r="O1801" s="66" t="str">
        <x:v>Jawa Barat</x:v>
      </x:c>
      <x:c r="P1801" s="66" t="str">
        <x:v>Kabupaten Bogor</x:v>
      </x:c>
      <x:c r="Q1801" s="66" t="str">
        <x:v>https://snpmb.id/snbp/daya-tampung-snbp</x:v>
      </x:c>
      <x:c r="R1801" s="66" t="str">
        <x:v>https://sidatagrun-public-1076756628210.asia-southeast2.run.app/ptn_sn.php?ptn=341</x:v>
      </x:c>
    </x:row>
    <x:row r="1802">
      <x:c r="A1802" s="87" t="n">
        <x:v>640</x:v>
      </x:c>
      <x:c r="B1802" s="66" t="n">
        <x:v>341</x:v>
      </x:c>
      <x:c r="C1802" s="66" t="str">
        <x:v>INSTITUT PERTANIAN BOGOR</x:v>
      </x:c>
      <x:c r="D1802" s="66" t="str">
        <x:v>PTN Akademik</x:v>
      </x:c>
      <x:c r="E1802" s="66" t="str">
        <x:v>13411017</x:v>
      </x:c>
      <x:c r="F1802" s="66" t="str">
        <x:v>TEKNIK INDUSTRI PERTANIAN</x:v>
      </x:c>
      <x:c r="G1802" s="66" t="str">
        <x:v>Sarjana</x:v>
      </x:c>
      <x:c r="H1802" s="87" t="n">
        <x:v>52</x:v>
      </x:c>
      <x:c r="I1802" s="87" t="n">
        <x:v>881</x:v>
      </x:c>
      <x:c r="J1802" s="68" t="n">
        <x:f>IFERROR(H1802/I1802,"")</x:f>
        <x:v>0.05902383654937571</x:v>
      </x:c>
      <x:c r="K1802" s="69" t="n">
        <x:f>IFERROR(I1802/H1802,"")</x:f>
        <x:v>16.942307692307693</x:v>
      </x:c>
      <x:c r="L1802" s="66" t="str">
        <x:f>IF(K1802="","","1 : "&amp;TEXT(K1802,"0.0"))</x:f>
        <x:v>1 : 16.9</x:v>
      </x:c>
      <x:c r="M1802" s="66" t="str">
        <x:f>IF(J1802="","Baru/Tanpa Data",IF(J1802&lt;='Catatan &amp; Sumber'!$B$14,"Sangat Ketat",IF(J1802&lt;='Catatan &amp; Sumber'!$B$15,"Ketat",IF(J1802&lt;='Catatan &amp; Sumber'!$B$16,"Sedang","Relatif Longgar"))))</x:f>
        <x:v>Sedang</x:v>
      </x:c>
      <x:c r="N1802" s="66" t="str">
        <x:v>Tidak Ada</x:v>
      </x:c>
      <x:c r="O1802" s="66" t="str">
        <x:v>Jawa Barat</x:v>
      </x:c>
      <x:c r="P1802" s="66" t="str">
        <x:v>Kabupaten Bogor</x:v>
      </x:c>
      <x:c r="Q1802" s="66" t="str">
        <x:v>https://snpmb.id/snbp/daya-tampung-snbp</x:v>
      </x:c>
      <x:c r="R1802" s="66" t="str">
        <x:v>https://sidatagrun-public-1076756628210.asia-southeast2.run.app/ptn_sn.php?ptn=341</x:v>
      </x:c>
    </x:row>
    <x:row r="1803">
      <x:c r="A1803" s="87" t="n">
        <x:v>269</x:v>
      </x:c>
      <x:c r="B1803" s="66" t="n">
        <x:v>341</x:v>
      </x:c>
      <x:c r="C1803" s="66" t="str">
        <x:v>INSTITUT PERTANIAN BOGOR</x:v>
      </x:c>
      <x:c r="D1803" s="66" t="str">
        <x:v>PTN Akademik</x:v>
      </x:c>
      <x:c r="E1803" s="66" t="str">
        <x:v>13411018</x:v>
      </x:c>
      <x:c r="F1803" s="66" t="str">
        <x:v>TEKNOLOGI PANGAN</x:v>
      </x:c>
      <x:c r="G1803" s="66" t="str">
        <x:v>Sarjana</x:v>
      </x:c>
      <x:c r="H1803" s="87" t="n">
        <x:v>52</x:v>
      </x:c>
      <x:c r="I1803" s="87" t="n">
        <x:v>1279</x:v>
      </x:c>
      <x:c r="J1803" s="68" t="n">
        <x:f>IFERROR(H1803/I1803,"")</x:f>
        <x:v>0.040656763096168884</x:v>
      </x:c>
      <x:c r="K1803" s="69" t="n">
        <x:f>IFERROR(I1803/H1803,"")</x:f>
        <x:v>24.596153846153847</x:v>
      </x:c>
      <x:c r="L1803" s="66" t="str">
        <x:f>IF(K1803="","","1 : "&amp;TEXT(K1803,"0.0"))</x:f>
        <x:v>1 : 24.6</x:v>
      </x:c>
      <x:c r="M1803" s="66" t="str">
        <x:f>IF(J1803="","Baru/Tanpa Data",IF(J1803&lt;='Catatan &amp; Sumber'!$B$14,"Sangat Ketat",IF(J1803&lt;='Catatan &amp; Sumber'!$B$15,"Ketat",IF(J1803&lt;='Catatan &amp; Sumber'!$B$16,"Sedang","Relatif Longgar"))))</x:f>
        <x:v>Ketat</x:v>
      </x:c>
      <x:c r="N1803" s="66" t="str">
        <x:v>Tidak Ada</x:v>
      </x:c>
      <x:c r="O1803" s="66" t="str">
        <x:v>Jawa Barat</x:v>
      </x:c>
      <x:c r="P1803" s="66" t="str">
        <x:v>Kabupaten Bogor</x:v>
      </x:c>
      <x:c r="Q1803" s="66" t="str">
        <x:v>https://snpmb.id/snbp/daya-tampung-snbp</x:v>
      </x:c>
      <x:c r="R1803" s="66" t="str">
        <x:v>https://sidatagrun-public-1076756628210.asia-southeast2.run.app/ptn_sn.php?ptn=341</x:v>
      </x:c>
    </x:row>
    <x:row r="1804">
      <x:c r="A1804" s="87" t="n">
        <x:v>1733</x:v>
      </x:c>
      <x:c r="B1804" s="66" t="n">
        <x:v>341</x:v>
      </x:c>
      <x:c r="C1804" s="66" t="str">
        <x:v>INSTITUT PERTANIAN BOGOR</x:v>
      </x:c>
      <x:c r="D1804" s="66" t="str">
        <x:v>PTN Akademik</x:v>
      </x:c>
      <x:c r="E1804" s="66" t="str">
        <x:v>13411019</x:v>
      </x:c>
      <x:c r="F1804" s="66" t="str">
        <x:v>NUTRISI DAN TEKNOLOGI PAKAN</x:v>
      </x:c>
      <x:c r="G1804" s="66" t="str">
        <x:v>Sarjana</x:v>
      </x:c>
      <x:c r="H1804" s="87" t="n">
        <x:v>64</x:v>
      </x:c>
      <x:c r="I1804" s="87" t="n">
        <x:v>505</x:v>
      </x:c>
      <x:c r="J1804" s="68" t="n">
        <x:f>IFERROR(H1804/I1804,"")</x:f>
        <x:v>0.12673267326732673</x:v>
      </x:c>
      <x:c r="K1804" s="69" t="n">
        <x:f>IFERROR(I1804/H1804,"")</x:f>
        <x:v>7.890625</x:v>
      </x:c>
      <x:c r="L1804" s="66" t="str">
        <x:f>IF(K1804="","","1 : "&amp;TEXT(K1804,"0.0"))</x:f>
        <x:v>1 : 7.9</x:v>
      </x:c>
      <x:c r="M1804" s="66" t="str">
        <x:f>IF(J1804="","Baru/Tanpa Data",IF(J1804&lt;='Catatan &amp; Sumber'!$B$14,"Sangat Ketat",IF(J1804&lt;='Catatan &amp; Sumber'!$B$15,"Ketat",IF(J1804&lt;='Catatan &amp; Sumber'!$B$16,"Sedang","Relatif Longgar"))))</x:f>
        <x:v>Relatif Longgar</x:v>
      </x:c>
      <x:c r="N1804" s="66" t="str">
        <x:v>Tidak Ada</x:v>
      </x:c>
      <x:c r="O1804" s="66" t="str">
        <x:v>Jawa Barat</x:v>
      </x:c>
      <x:c r="P1804" s="66" t="str">
        <x:v>Kabupaten Bogor</x:v>
      </x:c>
      <x:c r="Q1804" s="66" t="str">
        <x:v>https://snpmb.id/snbp/daya-tampung-snbp</x:v>
      </x:c>
      <x:c r="R1804" s="66" t="str">
        <x:v>https://sidatagrun-public-1076756628210.asia-southeast2.run.app/ptn_sn.php?ptn=341</x:v>
      </x:c>
    </x:row>
    <x:row r="1805">
      <x:c r="A1805" s="87" t="n">
        <x:v>1988</x:v>
      </x:c>
      <x:c r="B1805" s="66" t="n">
        <x:v>341</x:v>
      </x:c>
      <x:c r="C1805" s="66" t="str">
        <x:v>INSTITUT PERTANIAN BOGOR</x:v>
      </x:c>
      <x:c r="D1805" s="66" t="str">
        <x:v>PTN Akademik</x:v>
      </x:c>
      <x:c r="E1805" s="66" t="str">
        <x:v>13411020</x:v>
      </x:c>
      <x:c r="F1805" s="66" t="str">
        <x:v>TEKNOLOGI PRODUKSI TERNAK</x:v>
      </x:c>
      <x:c r="G1805" s="66" t="str">
        <x:v>Sarjana</x:v>
      </x:c>
      <x:c r="H1805" s="87" t="n">
        <x:v>48</x:v>
      </x:c>
      <x:c r="I1805" s="87" t="n">
        <x:v>319</x:v>
      </x:c>
      <x:c r="J1805" s="68" t="n">
        <x:f>IFERROR(H1805/I1805,"")</x:f>
        <x:v>0.15047021943573669</x:v>
      </x:c>
      <x:c r="K1805" s="69" t="n">
        <x:f>IFERROR(I1805/H1805,"")</x:f>
        <x:v>6.645833333333333</x:v>
      </x:c>
      <x:c r="L1805" s="66" t="str">
        <x:f>IF(K1805="","","1 : "&amp;TEXT(K1805,"0.0"))</x:f>
        <x:v>1 : 6.6</x:v>
      </x:c>
      <x:c r="M1805" s="66" t="str">
        <x:f>IF(J1805="","Baru/Tanpa Data",IF(J1805&lt;='Catatan &amp; Sumber'!$B$14,"Sangat Ketat",IF(J1805&lt;='Catatan &amp; Sumber'!$B$15,"Ketat",IF(J1805&lt;='Catatan &amp; Sumber'!$B$16,"Sedang","Relatif Longgar"))))</x:f>
        <x:v>Relatif Longgar</x:v>
      </x:c>
      <x:c r="N1805" s="66" t="str">
        <x:v>Tidak Ada</x:v>
      </x:c>
      <x:c r="O1805" s="66" t="str">
        <x:v>Jawa Barat</x:v>
      </x:c>
      <x:c r="P1805" s="66" t="str">
        <x:v>Kabupaten Bogor</x:v>
      </x:c>
      <x:c r="Q1805" s="66" t="str">
        <x:v>https://snpmb.id/snbp/daya-tampung-snbp</x:v>
      </x:c>
      <x:c r="R1805" s="66" t="str">
        <x:v>https://sidatagrun-public-1076756628210.asia-southeast2.run.app/ptn_sn.php?ptn=341</x:v>
      </x:c>
    </x:row>
    <x:row r="1806">
      <x:c r="A1806" s="87" t="n">
        <x:v>540</x:v>
      </x:c>
      <x:c r="B1806" s="66" t="n">
        <x:v>341</x:v>
      </x:c>
      <x:c r="C1806" s="66" t="str">
        <x:v>INSTITUT PERTANIAN BOGOR</x:v>
      </x:c>
      <x:c r="D1806" s="66" t="str">
        <x:v>PTN Akademik</x:v>
      </x:c>
      <x:c r="E1806" s="66" t="str">
        <x:v>13411021</x:v>
      </x:c>
      <x:c r="F1806" s="66" t="str">
        <x:v>TEKNIK SIPIL DAN LINGKUNGAN</x:v>
      </x:c>
      <x:c r="G1806" s="66" t="str">
        <x:v>Sarjana</x:v>
      </x:c>
      <x:c r="H1806" s="87" t="n">
        <x:v>40</x:v>
      </x:c>
      <x:c r="I1806" s="87" t="n">
        <x:v>744</x:v>
      </x:c>
      <x:c r="J1806" s="68" t="n">
        <x:f>IFERROR(H1806/I1806,"")</x:f>
        <x:v>0.053763440860215055</x:v>
      </x:c>
      <x:c r="K1806" s="69" t="n">
        <x:f>IFERROR(I1806/H1806,"")</x:f>
        <x:v>18.6</x:v>
      </x:c>
      <x:c r="L1806" s="66" t="str">
        <x:f>IF(K1806="","","1 : "&amp;TEXT(K1806,"0.0"))</x:f>
        <x:v>1 : 18.6</x:v>
      </x:c>
      <x:c r="M1806" s="66" t="str">
        <x:f>IF(J1806="","Baru/Tanpa Data",IF(J1806&lt;='Catatan &amp; Sumber'!$B$14,"Sangat Ketat",IF(J1806&lt;='Catatan &amp; Sumber'!$B$15,"Ketat",IF(J1806&lt;='Catatan &amp; Sumber'!$B$16,"Sedang","Relatif Longgar"))))</x:f>
        <x:v>Sedang</x:v>
      </x:c>
      <x:c r="N1806" s="66" t="str">
        <x:v>Tidak Ada</x:v>
      </x:c>
      <x:c r="O1806" s="66" t="str">
        <x:v>Jawa Barat</x:v>
      </x:c>
      <x:c r="P1806" s="66" t="str">
        <x:v>Kabupaten Bogor</x:v>
      </x:c>
      <x:c r="Q1806" s="66" t="str">
        <x:v>https://snpmb.id/snbp/daya-tampung-snbp</x:v>
      </x:c>
      <x:c r="R1806" s="66" t="str">
        <x:v>https://sidatagrun-public-1076756628210.asia-southeast2.run.app/ptn_sn.php?ptn=341</x:v>
      </x:c>
    </x:row>
    <x:row r="1807">
      <x:c r="A1807" s="87" t="n">
        <x:v>2311</x:v>
      </x:c>
      <x:c r="B1807" s="66" t="n">
        <x:v>341</x:v>
      </x:c>
      <x:c r="C1807" s="66" t="str">
        <x:v>INSTITUT PERTANIAN BOGOR</x:v>
      </x:c>
      <x:c r="D1807" s="66" t="str">
        <x:v>PTN Akademik</x:v>
      </x:c>
      <x:c r="E1807" s="66" t="str">
        <x:v>13411022</x:v>
      </x:c>
      <x:c r="F1807" s="66" t="str">
        <x:v>TEKNOLOGI DAN MANAJEMEN PERIKANAN BUDIDAYA</x:v>
      </x:c>
      <x:c r="G1807" s="66" t="str">
        <x:v>Sarjana</x:v>
      </x:c>
      <x:c r="H1807" s="87" t="n">
        <x:v>48</x:v>
      </x:c>
      <x:c r="I1807" s="87" t="n">
        <x:v>259</x:v>
      </x:c>
      <x:c r="J1807" s="68" t="n">
        <x:f>IFERROR(H1807/I1807,"")</x:f>
        <x:v>0.18532818532818532</x:v>
      </x:c>
      <x:c r="K1807" s="69" t="n">
        <x:f>IFERROR(I1807/H1807,"")</x:f>
        <x:v>5.395833333333333</x:v>
      </x:c>
      <x:c r="L1807" s="66" t="str">
        <x:f>IF(K1807="","","1 : "&amp;TEXT(K1807,"0.0"))</x:f>
        <x:v>1 : 5.4</x:v>
      </x:c>
      <x:c r="M1807" s="66" t="str">
        <x:f>IF(J1807="","Baru/Tanpa Data",IF(J1807&lt;='Catatan &amp; Sumber'!$B$14,"Sangat Ketat",IF(J1807&lt;='Catatan &amp; Sumber'!$B$15,"Ketat",IF(J1807&lt;='Catatan &amp; Sumber'!$B$16,"Sedang","Relatif Longgar"))))</x:f>
        <x:v>Relatif Longgar</x:v>
      </x:c>
      <x:c r="N1807" s="66" t="str">
        <x:v>Tidak Ada</x:v>
      </x:c>
      <x:c r="O1807" s="66" t="str">
        <x:v>Jawa Barat</x:v>
      </x:c>
      <x:c r="P1807" s="66" t="str">
        <x:v>Kabupaten Bogor</x:v>
      </x:c>
      <x:c r="Q1807" s="66" t="str">
        <x:v>https://snpmb.id/snbp/daya-tampung-snbp</x:v>
      </x:c>
      <x:c r="R1807" s="66" t="str">
        <x:v>https://sidatagrun-public-1076756628210.asia-southeast2.run.app/ptn_sn.php?ptn=341</x:v>
      </x:c>
    </x:row>
    <x:row r="1808">
      <x:c r="A1808" s="87" t="n">
        <x:v>951</x:v>
      </x:c>
      <x:c r="B1808" s="66" t="n">
        <x:v>341</x:v>
      </x:c>
      <x:c r="C1808" s="66" t="str">
        <x:v>INSTITUT PERTANIAN BOGOR</x:v>
      </x:c>
      <x:c r="D1808" s="66" t="str">
        <x:v>PTN Akademik</x:v>
      </x:c>
      <x:c r="E1808" s="66" t="str">
        <x:v>13411023</x:v>
      </x:c>
      <x:c r="F1808" s="66" t="str">
        <x:v>EKONOMI PEMBANGUNAN</x:v>
      </x:c>
      <x:c r="G1808" s="66" t="str">
        <x:v>Sarjana</x:v>
      </x:c>
      <x:c r="H1808" s="87" t="n">
        <x:v>52</x:v>
      </x:c>
      <x:c r="I1808" s="87" t="n">
        <x:v>690</x:v>
      </x:c>
      <x:c r="J1808" s="68" t="n">
        <x:f>IFERROR(H1808/I1808,"")</x:f>
        <x:v>0.07536231884057971</x:v>
      </x:c>
      <x:c r="K1808" s="69" t="n">
        <x:f>IFERROR(I1808/H1808,"")</x:f>
        <x:v>13.26923076923077</x:v>
      </x:c>
      <x:c r="L1808" s="66" t="str">
        <x:f>IF(K1808="","","1 : "&amp;TEXT(K1808,"0.0"))</x:f>
        <x:v>1 : 13.3</x:v>
      </x:c>
      <x:c r="M1808" s="66" t="str">
        <x:f>IF(J1808="","Baru/Tanpa Data",IF(J1808&lt;='Catatan &amp; Sumber'!$B$14,"Sangat Ketat",IF(J1808&lt;='Catatan &amp; Sumber'!$B$15,"Ketat",IF(J1808&lt;='Catatan &amp; Sumber'!$B$16,"Sedang","Relatif Longgar"))))</x:f>
        <x:v>Sedang</x:v>
      </x:c>
      <x:c r="N1808" s="66" t="str">
        <x:v>Tidak Ada</x:v>
      </x:c>
      <x:c r="O1808" s="66" t="str">
        <x:v>Jawa Barat</x:v>
      </x:c>
      <x:c r="P1808" s="66" t="str">
        <x:v>Kabupaten Bogor</x:v>
      </x:c>
      <x:c r="Q1808" s="66" t="str">
        <x:v>https://snpmb.id/snbp/daya-tampung-snbp</x:v>
      </x:c>
      <x:c r="R1808" s="66" t="str">
        <x:v>https://sidatagrun-public-1076756628210.asia-southeast2.run.app/ptn_sn.php?ptn=341</x:v>
      </x:c>
    </x:row>
    <x:row r="1809">
      <x:c r="A1809" s="87" t="n">
        <x:v>205</x:v>
      </x:c>
      <x:c r="B1809" s="66" t="n">
        <x:v>341</x:v>
      </x:c>
      <x:c r="C1809" s="66" t="str">
        <x:v>INSTITUT PERTANIAN BOGOR</x:v>
      </x:c>
      <x:c r="D1809" s="66" t="str">
        <x:v>PTN Akademik</x:v>
      </x:c>
      <x:c r="E1809" s="66" t="str">
        <x:v>13411024</x:v>
      </x:c>
      <x:c r="F1809" s="66" t="str">
        <x:v>MANAJEMEN</x:v>
      </x:c>
      <x:c r="G1809" s="66" t="str">
        <x:v>Sarjana</x:v>
      </x:c>
      <x:c r="H1809" s="87" t="n">
        <x:v>52</x:v>
      </x:c>
      <x:c r="I1809" s="87" t="n">
        <x:v>1399</x:v>
      </x:c>
      <x:c r="J1809" s="68" t="n">
        <x:f>IFERROR(H1809/I1809,"")</x:f>
        <x:v>0.03716940671908506</x:v>
      </x:c>
      <x:c r="K1809" s="69" t="n">
        <x:f>IFERROR(I1809/H1809,"")</x:f>
        <x:v>26.903846153846153</x:v>
      </x:c>
      <x:c r="L1809" s="66" t="str">
        <x:f>IF(K1809="","","1 : "&amp;TEXT(K1809,"0.0"))</x:f>
        <x:v>1 : 26.9</x:v>
      </x:c>
      <x:c r="M1809" s="66" t="str">
        <x:f>IF(J1809="","Baru/Tanpa Data",IF(J1809&lt;='Catatan &amp; Sumber'!$B$14,"Sangat Ketat",IF(J1809&lt;='Catatan &amp; Sumber'!$B$15,"Ketat",IF(J1809&lt;='Catatan &amp; Sumber'!$B$16,"Sedang","Relatif Longgar"))))</x:f>
        <x:v>Ketat</x:v>
      </x:c>
      <x:c r="N1809" s="66" t="str">
        <x:v>Tidak Ada</x:v>
      </x:c>
      <x:c r="O1809" s="66" t="str">
        <x:v>Jawa Barat</x:v>
      </x:c>
      <x:c r="P1809" s="66" t="str">
        <x:v>Kabupaten Bogor</x:v>
      </x:c>
      <x:c r="Q1809" s="66" t="str">
        <x:v>https://snpmb.id/snbp/daya-tampung-snbp</x:v>
      </x:c>
      <x:c r="R1809" s="66" t="str">
        <x:v>https://sidatagrun-public-1076756628210.asia-southeast2.run.app/ptn_sn.php?ptn=341</x:v>
      </x:c>
    </x:row>
    <x:row r="1810">
      <x:c r="A1810" s="87" t="n">
        <x:v>160</x:v>
      </x:c>
      <x:c r="B1810" s="66" t="n">
        <x:v>341</x:v>
      </x:c>
      <x:c r="C1810" s="66" t="str">
        <x:v>INSTITUT PERTANIAN BOGOR</x:v>
      </x:c>
      <x:c r="D1810" s="66" t="str">
        <x:v>PTN Akademik</x:v>
      </x:c>
      <x:c r="E1810" s="66" t="str">
        <x:v>13411025</x:v>
      </x:c>
      <x:c r="F1810" s="66" t="str">
        <x:v>ILMU GIZI</x:v>
      </x:c>
      <x:c r="G1810" s="66" t="str">
        <x:v>Sarjana</x:v>
      </x:c>
      <x:c r="H1810" s="87" t="n">
        <x:v>40</x:v>
      </x:c>
      <x:c r="I1810" s="87" t="n">
        <x:v>1170</x:v>
      </x:c>
      <x:c r="J1810" s="68" t="n">
        <x:f>IFERROR(H1810/I1810,"")</x:f>
        <x:v>0.03418803418803419</x:v>
      </x:c>
      <x:c r="K1810" s="69" t="n">
        <x:f>IFERROR(I1810/H1810,"")</x:f>
        <x:v>29.25</x:v>
      </x:c>
      <x:c r="L1810" s="66" t="str">
        <x:f>IF(K1810="","","1 : "&amp;TEXT(K1810,"0.0"))</x:f>
        <x:v>1 : 29.3</x:v>
      </x:c>
      <x:c r="M1810" s="66" t="str">
        <x:f>IF(J1810="","Baru/Tanpa Data",IF(J1810&lt;='Catatan &amp; Sumber'!$B$14,"Sangat Ketat",IF(J1810&lt;='Catatan &amp; Sumber'!$B$15,"Ketat",IF(J1810&lt;='Catatan &amp; Sumber'!$B$16,"Sedang","Relatif Longgar"))))</x:f>
        <x:v>Ketat</x:v>
      </x:c>
      <x:c r="N1810" s="66" t="str">
        <x:v>Tidak Ada</x:v>
      </x:c>
      <x:c r="O1810" s="66" t="str">
        <x:v>Jawa Barat</x:v>
      </x:c>
      <x:c r="P1810" s="66" t="str">
        <x:v>Kabupaten Bogor</x:v>
      </x:c>
      <x:c r="Q1810" s="66" t="str">
        <x:v>https://snpmb.id/snbp/daya-tampung-snbp</x:v>
      </x:c>
      <x:c r="R1810" s="66" t="str">
        <x:v>https://sidatagrun-public-1076756628210.asia-southeast2.run.app/ptn_sn.php?ptn=341</x:v>
      </x:c>
    </x:row>
    <x:row r="1811">
      <x:c r="A1811" s="87" t="n">
        <x:v>1339</x:v>
      </x:c>
      <x:c r="B1811" s="66" t="n">
        <x:v>341</x:v>
      </x:c>
      <x:c r="C1811" s="66" t="str">
        <x:v>INSTITUT PERTANIAN BOGOR</x:v>
      </x:c>
      <x:c r="D1811" s="66" t="str">
        <x:v>PTN Akademik</x:v>
      </x:c>
      <x:c r="E1811" s="66" t="str">
        <x:v>13411026</x:v>
      </x:c>
      <x:c r="F1811" s="66" t="str">
        <x:v>ILMU EKONOMI SYARIAH</x:v>
      </x:c>
      <x:c r="G1811" s="66" t="str">
        <x:v>Sarjana</x:v>
      </x:c>
      <x:c r="H1811" s="87" t="n">
        <x:v>52</x:v>
      </x:c>
      <x:c r="I1811" s="87" t="n">
        <x:v>531</x:v>
      </x:c>
      <x:c r="J1811" s="68" t="n">
        <x:f>IFERROR(H1811/I1811,"")</x:f>
        <x:v>0.09792843691148775</x:v>
      </x:c>
      <x:c r="K1811" s="69" t="n">
        <x:f>IFERROR(I1811/H1811,"")</x:f>
        <x:v>10.211538461538462</x:v>
      </x:c>
      <x:c r="L1811" s="66" t="str">
        <x:f>IF(K1811="","","1 : "&amp;TEXT(K1811,"0.0"))</x:f>
        <x:v>1 : 10.2</x:v>
      </x:c>
      <x:c r="M1811" s="66" t="str">
        <x:f>IF(J1811="","Baru/Tanpa Data",IF(J1811&lt;='Catatan &amp; Sumber'!$B$14,"Sangat Ketat",IF(J1811&lt;='Catatan &amp; Sumber'!$B$15,"Ketat",IF(J1811&lt;='Catatan &amp; Sumber'!$B$16,"Sedang","Relatif Longgar"))))</x:f>
        <x:v>Sedang</x:v>
      </x:c>
      <x:c r="N1811" s="66" t="str">
        <x:v>Tidak Ada</x:v>
      </x:c>
      <x:c r="O1811" s="66" t="str">
        <x:v>Jawa Barat</x:v>
      </x:c>
      <x:c r="P1811" s="66" t="str">
        <x:v>Kabupaten Bogor</x:v>
      </x:c>
      <x:c r="Q1811" s="66" t="str">
        <x:v>https://snpmb.id/snbp/daya-tampung-snbp</x:v>
      </x:c>
      <x:c r="R1811" s="66" t="str">
        <x:v>https://sidatagrun-public-1076756628210.asia-southeast2.run.app/ptn_sn.php?ptn=341</x:v>
      </x:c>
    </x:row>
    <x:row r="1812">
      <x:c r="A1812" s="87" t="n">
        <x:v>1199</x:v>
      </x:c>
      <x:c r="B1812" s="66" t="n">
        <x:v>341</x:v>
      </x:c>
      <x:c r="C1812" s="66" t="str">
        <x:v>INSTITUT PERTANIAN BOGOR</x:v>
      </x:c>
      <x:c r="D1812" s="66" t="str">
        <x:v>PTN Akademik</x:v>
      </x:c>
      <x:c r="E1812" s="66" t="str">
        <x:v>13411027</x:v>
      </x:c>
      <x:c r="F1812" s="66" t="str">
        <x:v>MANAJEMEN SUMBERDAYA LAHAN</x:v>
      </x:c>
      <x:c r="G1812" s="66" t="str">
        <x:v>Sarjana</x:v>
      </x:c>
      <x:c r="H1812" s="87" t="n">
        <x:v>36</x:v>
      </x:c>
      <x:c r="I1812" s="87" t="n">
        <x:v>402</x:v>
      </x:c>
      <x:c r="J1812" s="68" t="n">
        <x:f>IFERROR(H1812/I1812,"")</x:f>
        <x:v>0.08955223880597014</x:v>
      </x:c>
      <x:c r="K1812" s="69" t="n">
        <x:f>IFERROR(I1812/H1812,"")</x:f>
        <x:v>11.166666666666666</x:v>
      </x:c>
      <x:c r="L1812" s="66" t="str">
        <x:f>IF(K1812="","","1 : "&amp;TEXT(K1812,"0.0"))</x:f>
        <x:v>1 : 11.2</x:v>
      </x:c>
      <x:c r="M1812" s="66" t="str">
        <x:f>IF(J1812="","Baru/Tanpa Data",IF(J1812&lt;='Catatan &amp; Sumber'!$B$14,"Sangat Ketat",IF(J1812&lt;='Catatan &amp; Sumber'!$B$15,"Ketat",IF(J1812&lt;='Catatan &amp; Sumber'!$B$16,"Sedang","Relatif Longgar"))))</x:f>
        <x:v>Sedang</x:v>
      </x:c>
      <x:c r="N1812" s="66" t="str">
        <x:v>Tidak Ada</x:v>
      </x:c>
      <x:c r="O1812" s="66" t="str">
        <x:v>Jawa Barat</x:v>
      </x:c>
      <x:c r="P1812" s="66" t="str">
        <x:v>Kabupaten Bogor</x:v>
      </x:c>
      <x:c r="Q1812" s="66" t="str">
        <x:v>https://snpmb.id/snbp/daya-tampung-snbp</x:v>
      </x:c>
      <x:c r="R1812" s="66" t="str">
        <x:v>https://sidatagrun-public-1076756628210.asia-southeast2.run.app/ptn_sn.php?ptn=341</x:v>
      </x:c>
    </x:row>
    <x:row r="1813">
      <x:c r="A1813" s="87" t="n">
        <x:v>1531</x:v>
      </x:c>
      <x:c r="B1813" s="66" t="n">
        <x:v>341</x:v>
      </x:c>
      <x:c r="C1813" s="66" t="str">
        <x:v>INSTITUT PERTANIAN BOGOR</x:v>
      </x:c>
      <x:c r="D1813" s="66" t="str">
        <x:v>PTN Akademik</x:v>
      </x:c>
      <x:c r="E1813" s="66" t="str">
        <x:v>13411028</x:v>
      </x:c>
      <x:c r="F1813" s="66" t="str">
        <x:v>PROTEKSI TANAMAN</x:v>
      </x:c>
      <x:c r="G1813" s="66" t="str">
        <x:v>Sarjana</x:v>
      </x:c>
      <x:c r="H1813" s="87" t="n">
        <x:v>40</x:v>
      </x:c>
      <x:c r="I1813" s="87" t="n">
        <x:v>358</x:v>
      </x:c>
      <x:c r="J1813" s="68" t="n">
        <x:f>IFERROR(H1813/I1813,"")</x:f>
        <x:v>0.11173184357541899</x:v>
      </x:c>
      <x:c r="K1813" s="69" t="n">
        <x:f>IFERROR(I1813/H1813,"")</x:f>
        <x:v>8.95</x:v>
      </x:c>
      <x:c r="L1813" s="66" t="str">
        <x:f>IF(K1813="","","1 : "&amp;TEXT(K1813,"0.0"))</x:f>
        <x:v>1 : 9.0</x:v>
      </x:c>
      <x:c r="M1813" s="66" t="str">
        <x:f>IF(J1813="","Baru/Tanpa Data",IF(J1813&lt;='Catatan &amp; Sumber'!$B$14,"Sangat Ketat",IF(J1813&lt;='Catatan &amp; Sumber'!$B$15,"Ketat",IF(J1813&lt;='Catatan &amp; Sumber'!$B$16,"Sedang","Relatif Longgar"))))</x:f>
        <x:v>Relatif Longgar</x:v>
      </x:c>
      <x:c r="N1813" s="66" t="str">
        <x:v>Tidak Ada</x:v>
      </x:c>
      <x:c r="O1813" s="66" t="str">
        <x:v>Jawa Barat</x:v>
      </x:c>
      <x:c r="P1813" s="66" t="str">
        <x:v>Kabupaten Bogor</x:v>
      </x:c>
      <x:c r="Q1813" s="66" t="str">
        <x:v>https://snpmb.id/snbp/daya-tampung-snbp</x:v>
      </x:c>
      <x:c r="R1813" s="66" t="str">
        <x:v>https://sidatagrun-public-1076756628210.asia-southeast2.run.app/ptn_sn.php?ptn=341</x:v>
      </x:c>
    </x:row>
    <x:row r="1814">
      <x:c r="A1814" s="87" t="n">
        <x:v>1995</x:v>
      </x:c>
      <x:c r="B1814" s="66" t="n">
        <x:v>341</x:v>
      </x:c>
      <x:c r="C1814" s="66" t="str">
        <x:v>INSTITUT PERTANIAN BOGOR</x:v>
      </x:c>
      <x:c r="D1814" s="66" t="str">
        <x:v>PTN Akademik</x:v>
      </x:c>
      <x:c r="E1814" s="66" t="str">
        <x:v>13411029</x:v>
      </x:c>
      <x:c r="F1814" s="66" t="str">
        <x:v>MANAJEMEN SUMBERDAYA PERAIRAN</x:v>
      </x:c>
      <x:c r="G1814" s="66" t="str">
        <x:v>Sarjana</x:v>
      </x:c>
      <x:c r="H1814" s="87" t="n">
        <x:v>40</x:v>
      </x:c>
      <x:c r="I1814" s="87" t="n">
        <x:v>264</x:v>
      </x:c>
      <x:c r="J1814" s="68" t="n">
        <x:f>IFERROR(H1814/I1814,"")</x:f>
        <x:v>0.15151515151515152</x:v>
      </x:c>
      <x:c r="K1814" s="69" t="n">
        <x:f>IFERROR(I1814/H1814,"")</x:f>
        <x:v>6.6</x:v>
      </x:c>
      <x:c r="L1814" s="66" t="str">
        <x:f>IF(K1814="","","1 : "&amp;TEXT(K1814,"0.0"))</x:f>
        <x:v>1 : 6.6</x:v>
      </x:c>
      <x:c r="M1814" s="66" t="str">
        <x:f>IF(J1814="","Baru/Tanpa Data",IF(J1814&lt;='Catatan &amp; Sumber'!$B$14,"Sangat Ketat",IF(J1814&lt;='Catatan &amp; Sumber'!$B$15,"Ketat",IF(J1814&lt;='Catatan &amp; Sumber'!$B$16,"Sedang","Relatif Longgar"))))</x:f>
        <x:v>Relatif Longgar</x:v>
      </x:c>
      <x:c r="N1814" s="66" t="str">
        <x:v>Tidak Ada</x:v>
      </x:c>
      <x:c r="O1814" s="66" t="str">
        <x:v>Jawa Barat</x:v>
      </x:c>
      <x:c r="P1814" s="66" t="str">
        <x:v>Kabupaten Bogor</x:v>
      </x:c>
      <x:c r="Q1814" s="66" t="str">
        <x:v>https://snpmb.id/snbp/daya-tampung-snbp</x:v>
      </x:c>
      <x:c r="R1814" s="66" t="str">
        <x:v>https://sidatagrun-public-1076756628210.asia-southeast2.run.app/ptn_sn.php?ptn=341</x:v>
      </x:c>
    </x:row>
    <x:row r="1815">
      <x:c r="A1815" s="87" t="n">
        <x:v>2234</x:v>
      </x:c>
      <x:c r="B1815" s="66" t="n">
        <x:v>341</x:v>
      </x:c>
      <x:c r="C1815" s="66" t="str">
        <x:v>INSTITUT PERTANIAN BOGOR</x:v>
      </x:c>
      <x:c r="D1815" s="66" t="str">
        <x:v>PTN Akademik</x:v>
      </x:c>
      <x:c r="E1815" s="66" t="str">
        <x:v>13411030</x:v>
      </x:c>
      <x:c r="F1815" s="66" t="str">
        <x:v>TEKNOLOGI HASIL PERAIRAN</x:v>
      </x:c>
      <x:c r="G1815" s="66" t="str">
        <x:v>Sarjana</x:v>
      </x:c>
      <x:c r="H1815" s="87" t="n">
        <x:v>42</x:v>
      </x:c>
      <x:c r="I1815" s="87" t="n">
        <x:v>238</x:v>
      </x:c>
      <x:c r="J1815" s="68" t="n">
        <x:f>IFERROR(H1815/I1815,"")</x:f>
        <x:v>0.17647058823529413</x:v>
      </x:c>
      <x:c r="K1815" s="69" t="n">
        <x:f>IFERROR(I1815/H1815,"")</x:f>
        <x:v>5.666666666666667</x:v>
      </x:c>
      <x:c r="L1815" s="66" t="str">
        <x:f>IF(K1815="","","1 : "&amp;TEXT(K1815,"0.0"))</x:f>
        <x:v>1 : 5.7</x:v>
      </x:c>
      <x:c r="M1815" s="66" t="str">
        <x:f>IF(J1815="","Baru/Tanpa Data",IF(J1815&lt;='Catatan &amp; Sumber'!$B$14,"Sangat Ketat",IF(J1815&lt;='Catatan &amp; Sumber'!$B$15,"Ketat",IF(J1815&lt;='Catatan &amp; Sumber'!$B$16,"Sedang","Relatif Longgar"))))</x:f>
        <x:v>Relatif Longgar</x:v>
      </x:c>
      <x:c r="N1815" s="66" t="str">
        <x:v>Tidak Ada</x:v>
      </x:c>
      <x:c r="O1815" s="66" t="str">
        <x:v>Jawa Barat</x:v>
      </x:c>
      <x:c r="P1815" s="66" t="str">
        <x:v>Kabupaten Bogor</x:v>
      </x:c>
      <x:c r="Q1815" s="66" t="str">
        <x:v>https://snpmb.id/snbp/daya-tampung-snbp</x:v>
      </x:c>
      <x:c r="R1815" s="66" t="str">
        <x:v>https://sidatagrun-public-1076756628210.asia-southeast2.run.app/ptn_sn.php?ptn=341</x:v>
      </x:c>
    </x:row>
    <x:row r="1816">
      <x:c r="A1816" s="87" t="n">
        <x:v>2491</x:v>
      </x:c>
      <x:c r="B1816" s="66" t="n">
        <x:v>341</x:v>
      </x:c>
      <x:c r="C1816" s="66" t="str">
        <x:v>INSTITUT PERTANIAN BOGOR</x:v>
      </x:c>
      <x:c r="D1816" s="66" t="str">
        <x:v>PTN Akademik</x:v>
      </x:c>
      <x:c r="E1816" s="66" t="str">
        <x:v>13411031</x:v>
      </x:c>
      <x:c r="F1816" s="66" t="str">
        <x:v>TEKNOLOGI DAN MANAJEMEN PERIKANAN TANGKAP</x:v>
      </x:c>
      <x:c r="G1816" s="66" t="str">
        <x:v>Sarjana</x:v>
      </x:c>
      <x:c r="H1816" s="87" t="n">
        <x:v>48</x:v>
      </x:c>
      <x:c r="I1816" s="87" t="n">
        <x:v>229</x:v>
      </x:c>
      <x:c r="J1816" s="68" t="n">
        <x:f>IFERROR(H1816/I1816,"")</x:f>
        <x:v>0.2096069868995633</x:v>
      </x:c>
      <x:c r="K1816" s="69" t="n">
        <x:f>IFERROR(I1816/H1816,"")</x:f>
        <x:v>4.770833333333333</x:v>
      </x:c>
      <x:c r="L1816" s="66" t="str">
        <x:f>IF(K1816="","","1 : "&amp;TEXT(K1816,"0.0"))</x:f>
        <x:v>1 : 4.8</x:v>
      </x:c>
      <x:c r="M1816" s="66" t="str">
        <x:f>IF(J1816="","Baru/Tanpa Data",IF(J1816&lt;='Catatan &amp; Sumber'!$B$14,"Sangat Ketat",IF(J1816&lt;='Catatan &amp; Sumber'!$B$15,"Ketat",IF(J1816&lt;='Catatan &amp; Sumber'!$B$16,"Sedang","Relatif Longgar"))))</x:f>
        <x:v>Relatif Longgar</x:v>
      </x:c>
      <x:c r="N1816" s="66" t="str">
        <x:v>Tidak Ada</x:v>
      </x:c>
      <x:c r="O1816" s="66" t="str">
        <x:v>Jawa Barat</x:v>
      </x:c>
      <x:c r="P1816" s="66" t="str">
        <x:v>Kabupaten Bogor</x:v>
      </x:c>
      <x:c r="Q1816" s="66" t="str">
        <x:v>https://snpmb.id/snbp/daya-tampung-snbp</x:v>
      </x:c>
      <x:c r="R1816" s="66" t="str">
        <x:v>https://sidatagrun-public-1076756628210.asia-southeast2.run.app/ptn_sn.php?ptn=341</x:v>
      </x:c>
    </x:row>
    <x:row r="1817">
      <x:c r="A1817" s="87" t="n">
        <x:v>1772</x:v>
      </x:c>
      <x:c r="B1817" s="66" t="n">
        <x:v>341</x:v>
      </x:c>
      <x:c r="C1817" s="66" t="str">
        <x:v>INSTITUT PERTANIAN BOGOR</x:v>
      </x:c>
      <x:c r="D1817" s="66" t="str">
        <x:v>PTN Akademik</x:v>
      </x:c>
      <x:c r="E1817" s="66" t="str">
        <x:v>13411032</x:v>
      </x:c>
      <x:c r="F1817" s="66" t="str">
        <x:v>SILVIKULTUR</x:v>
      </x:c>
      <x:c r="G1817" s="66" t="str">
        <x:v>Sarjana</x:v>
      </x:c>
      <x:c r="H1817" s="87" t="n">
        <x:v>44</x:v>
      </x:c>
      <x:c r="I1817" s="87" t="n">
        <x:v>338</x:v>
      </x:c>
      <x:c r="J1817" s="68" t="n">
        <x:f>IFERROR(H1817/I1817,"")</x:f>
        <x:v>0.1301775147928994</x:v>
      </x:c>
      <x:c r="K1817" s="69" t="n">
        <x:f>IFERROR(I1817/H1817,"")</x:f>
        <x:v>7.681818181818182</x:v>
      </x:c>
      <x:c r="L1817" s="66" t="str">
        <x:f>IF(K1817="","","1 : "&amp;TEXT(K1817,"0.0"))</x:f>
        <x:v>1 : 7.7</x:v>
      </x:c>
      <x:c r="M1817" s="66" t="str">
        <x:f>IF(J1817="","Baru/Tanpa Data",IF(J1817&lt;='Catatan &amp; Sumber'!$B$14,"Sangat Ketat",IF(J1817&lt;='Catatan &amp; Sumber'!$B$15,"Ketat",IF(J1817&lt;='Catatan &amp; Sumber'!$B$16,"Sedang","Relatif Longgar"))))</x:f>
        <x:v>Relatif Longgar</x:v>
      </x:c>
      <x:c r="N1817" s="66" t="str">
        <x:v>Tidak Ada</x:v>
      </x:c>
      <x:c r="O1817" s="66" t="str">
        <x:v>Jawa Barat</x:v>
      </x:c>
      <x:c r="P1817" s="66" t="str">
        <x:v>Kabupaten Bogor</x:v>
      </x:c>
      <x:c r="Q1817" s="66" t="str">
        <x:v>https://snpmb.id/snbp/daya-tampung-snbp</x:v>
      </x:c>
      <x:c r="R1817" s="66" t="str">
        <x:v>https://sidatagrun-public-1076756628210.asia-southeast2.run.app/ptn_sn.php?ptn=341</x:v>
      </x:c>
    </x:row>
    <x:row r="1818">
      <x:c r="A1818" s="87" t="n">
        <x:v>1612</x:v>
      </x:c>
      <x:c r="B1818" s="66" t="n">
        <x:v>341</x:v>
      </x:c>
      <x:c r="C1818" s="66" t="str">
        <x:v>INSTITUT PERTANIAN BOGOR</x:v>
      </x:c>
      <x:c r="D1818" s="66" t="str">
        <x:v>PTN Akademik</x:v>
      </x:c>
      <x:c r="E1818" s="66" t="str">
        <x:v>13411033</x:v>
      </x:c>
      <x:c r="F1818" s="66" t="str">
        <x:v>METEOROLOGI TERAPAN</x:v>
      </x:c>
      <x:c r="G1818" s="66" t="str">
        <x:v>Sarjana</x:v>
      </x:c>
      <x:c r="H1818" s="87" t="n">
        <x:v>40</x:v>
      </x:c>
      <x:c r="I1818" s="87" t="n">
        <x:v>341</x:v>
      </x:c>
      <x:c r="J1818" s="68" t="n">
        <x:f>IFERROR(H1818/I1818,"")</x:f>
        <x:v>0.11730205278592376</x:v>
      </x:c>
      <x:c r="K1818" s="69" t="n">
        <x:f>IFERROR(I1818/H1818,"")</x:f>
        <x:v>8.525</x:v>
      </x:c>
      <x:c r="L1818" s="66" t="str">
        <x:f>IF(K1818="","","1 : "&amp;TEXT(K1818,"0.0"))</x:f>
        <x:v>1 : 8.5</x:v>
      </x:c>
      <x:c r="M1818" s="66" t="str">
        <x:f>IF(J1818="","Baru/Tanpa Data",IF(J1818&lt;='Catatan &amp; Sumber'!$B$14,"Sangat Ketat",IF(J1818&lt;='Catatan &amp; Sumber'!$B$15,"Ketat",IF(J1818&lt;='Catatan &amp; Sumber'!$B$16,"Sedang","Relatif Longgar"))))</x:f>
        <x:v>Relatif Longgar</x:v>
      </x:c>
      <x:c r="N1818" s="66" t="str">
        <x:v>Tidak Ada</x:v>
      </x:c>
      <x:c r="O1818" s="66" t="str">
        <x:v>Jawa Barat</x:v>
      </x:c>
      <x:c r="P1818" s="66" t="str">
        <x:v>Kabupaten Bogor</x:v>
      </x:c>
      <x:c r="Q1818" s="66" t="str">
        <x:v>https://snpmb.id/snbp/daya-tampung-snbp</x:v>
      </x:c>
      <x:c r="R1818" s="66" t="str">
        <x:v>https://sidatagrun-public-1076756628210.asia-southeast2.run.app/ptn_sn.php?ptn=341</x:v>
      </x:c>
    </x:row>
    <x:row r="1819">
      <x:c r="A1819" s="87" t="n">
        <x:v>1545</x:v>
      </x:c>
      <x:c r="B1819" s="66" t="n">
        <x:v>341</x:v>
      </x:c>
      <x:c r="C1819" s="66" t="str">
        <x:v>INSTITUT PERTANIAN BOGOR</x:v>
      </x:c>
      <x:c r="D1819" s="66" t="str">
        <x:v>PTN Akademik</x:v>
      </x:c>
      <x:c r="E1819" s="66" t="str">
        <x:v>13411034</x:v>
      </x:c>
      <x:c r="F1819" s="66" t="str">
        <x:v>MATEMATIKA</x:v>
      </x:c>
      <x:c r="G1819" s="66" t="str">
        <x:v>Sarjana</x:v>
      </x:c>
      <x:c r="H1819" s="87" t="n">
        <x:v>44</x:v>
      </x:c>
      <x:c r="I1819" s="87" t="n">
        <x:v>390</x:v>
      </x:c>
      <x:c r="J1819" s="68" t="n">
        <x:f>IFERROR(H1819/I1819,"")</x:f>
        <x:v>0.11282051282051282</x:v>
      </x:c>
      <x:c r="K1819" s="69" t="n">
        <x:f>IFERROR(I1819/H1819,"")</x:f>
        <x:v>8.863636363636363</x:v>
      </x:c>
      <x:c r="L1819" s="66" t="str">
        <x:f>IF(K1819="","","1 : "&amp;TEXT(K1819,"0.0"))</x:f>
        <x:v>1 : 8.9</x:v>
      </x:c>
      <x:c r="M1819" s="66" t="str">
        <x:f>IF(J1819="","Baru/Tanpa Data",IF(J1819&lt;='Catatan &amp; Sumber'!$B$14,"Sangat Ketat",IF(J1819&lt;='Catatan &amp; Sumber'!$B$15,"Ketat",IF(J1819&lt;='Catatan &amp; Sumber'!$B$16,"Sedang","Relatif Longgar"))))</x:f>
        <x:v>Relatif Longgar</x:v>
      </x:c>
      <x:c r="N1819" s="66" t="str">
        <x:v>Tidak Ada</x:v>
      </x:c>
      <x:c r="O1819" s="66" t="str">
        <x:v>Jawa Barat</x:v>
      </x:c>
      <x:c r="P1819" s="66" t="str">
        <x:v>Kabupaten Bogor</x:v>
      </x:c>
      <x:c r="Q1819" s="66" t="str">
        <x:v>https://snpmb.id/snbp/daya-tampung-snbp</x:v>
      </x:c>
      <x:c r="R1819" s="66" t="str">
        <x:v>https://sidatagrun-public-1076756628210.asia-southeast2.run.app/ptn_sn.php?ptn=341</x:v>
      </x:c>
    </x:row>
    <x:row r="1820">
      <x:c r="A1820" s="87" t="n">
        <x:v>2277</x:v>
      </x:c>
      <x:c r="B1820" s="66" t="n">
        <x:v>341</x:v>
      </x:c>
      <x:c r="C1820" s="66" t="str">
        <x:v>INSTITUT PERTANIAN BOGOR</x:v>
      </x:c>
      <x:c r="D1820" s="66" t="str">
        <x:v>PTN Akademik</x:v>
      </x:c>
      <x:c r="E1820" s="66" t="str">
        <x:v>13411035</x:v>
      </x:c>
      <x:c r="F1820" s="66" t="str">
        <x:v>FISIKA</x:v>
      </x:c>
      <x:c r="G1820" s="66" t="str">
        <x:v>Sarjana</x:v>
      </x:c>
      <x:c r="H1820" s="87" t="n">
        <x:v>48</x:v>
      </x:c>
      <x:c r="I1820" s="87" t="n">
        <x:v>264</x:v>
      </x:c>
      <x:c r="J1820" s="68" t="n">
        <x:f>IFERROR(H1820/I1820,"")</x:f>
        <x:v>0.18181818181818182</x:v>
      </x:c>
      <x:c r="K1820" s="69" t="n">
        <x:f>IFERROR(I1820/H1820,"")</x:f>
        <x:v>5.5</x:v>
      </x:c>
      <x:c r="L1820" s="66" t="str">
        <x:f>IF(K1820="","","1 : "&amp;TEXT(K1820,"0.0"))</x:f>
        <x:v>1 : 5.5</x:v>
      </x:c>
      <x:c r="M1820" s="66" t="str">
        <x:f>IF(J1820="","Baru/Tanpa Data",IF(J1820&lt;='Catatan &amp; Sumber'!$B$14,"Sangat Ketat",IF(J1820&lt;='Catatan &amp; Sumber'!$B$15,"Ketat",IF(J1820&lt;='Catatan &amp; Sumber'!$B$16,"Sedang","Relatif Longgar"))))</x:f>
        <x:v>Relatif Longgar</x:v>
      </x:c>
      <x:c r="N1820" s="66" t="str">
        <x:v>Tidak Ada</x:v>
      </x:c>
      <x:c r="O1820" s="66" t="str">
        <x:v>Jawa Barat</x:v>
      </x:c>
      <x:c r="P1820" s="66" t="str">
        <x:v>Kabupaten Bogor</x:v>
      </x:c>
      <x:c r="Q1820" s="66" t="str">
        <x:v>https://snpmb.id/snbp/daya-tampung-snbp</x:v>
      </x:c>
      <x:c r="R1820" s="66" t="str">
        <x:v>https://sidatagrun-public-1076756628210.asia-southeast2.run.app/ptn_sn.php?ptn=341</x:v>
      </x:c>
    </x:row>
    <x:row r="1821">
      <x:c r="A1821" s="87" t="n">
        <x:v>1391</x:v>
      </x:c>
      <x:c r="B1821" s="66" t="n">
        <x:v>341</x:v>
      </x:c>
      <x:c r="C1821" s="66" t="str">
        <x:v>INSTITUT PERTANIAN BOGOR</x:v>
      </x:c>
      <x:c r="D1821" s="66" t="str">
        <x:v>PTN Akademik</x:v>
      </x:c>
      <x:c r="E1821" s="66" t="str">
        <x:v>13411036</x:v>
      </x:c>
      <x:c r="F1821" s="66" t="str">
        <x:v>ILMU KELUARGA DAN KONSUMEN</x:v>
      </x:c>
      <x:c r="G1821" s="66" t="str">
        <x:v>Sarjana</x:v>
      </x:c>
      <x:c r="H1821" s="87" t="n">
        <x:v>48</x:v>
      </x:c>
      <x:c r="I1821" s="87" t="n">
        <x:v>474</x:v>
      </x:c>
      <x:c r="J1821" s="68" t="n">
        <x:f>IFERROR(H1821/I1821,"")</x:f>
        <x:v>0.10126582278481013</x:v>
      </x:c>
      <x:c r="K1821" s="69" t="n">
        <x:f>IFERROR(I1821/H1821,"")</x:f>
        <x:v>9.875</x:v>
      </x:c>
      <x:c r="L1821" s="66" t="str">
        <x:f>IF(K1821="","","1 : "&amp;TEXT(K1821,"0.0"))</x:f>
        <x:v>1 : 9.9</x:v>
      </x:c>
      <x:c r="M1821" s="66" t="str">
        <x:f>IF(J1821="","Baru/Tanpa Data",IF(J1821&lt;='Catatan &amp; Sumber'!$B$14,"Sangat Ketat",IF(J1821&lt;='Catatan &amp; Sumber'!$B$15,"Ketat",IF(J1821&lt;='Catatan &amp; Sumber'!$B$16,"Sedang","Relatif Longgar"))))</x:f>
        <x:v>Relatif Longgar</x:v>
      </x:c>
      <x:c r="N1821" s="66" t="str">
        <x:v>Tidak Ada</x:v>
      </x:c>
      <x:c r="O1821" s="66" t="str">
        <x:v>Jawa Barat</x:v>
      </x:c>
      <x:c r="P1821" s="66" t="str">
        <x:v>Kabupaten Bogor</x:v>
      </x:c>
      <x:c r="Q1821" s="66" t="str">
        <x:v>https://snpmb.id/snbp/daya-tampung-snbp</x:v>
      </x:c>
      <x:c r="R1821" s="66" t="str">
        <x:v>https://sidatagrun-public-1076756628210.asia-southeast2.run.app/ptn_sn.php?ptn=341</x:v>
      </x:c>
    </x:row>
    <x:row r="1822">
      <x:c r="A1822" s="87" t="n">
        <x:v>1109</x:v>
      </x:c>
      <x:c r="B1822" s="66" t="n">
        <x:v>341</x:v>
      </x:c>
      <x:c r="C1822" s="66" t="str">
        <x:v>INSTITUT PERTANIAN BOGOR</x:v>
      </x:c>
      <x:c r="D1822" s="66" t="str">
        <x:v>PTN Akademik</x:v>
      </x:c>
      <x:c r="E1822" s="66" t="str">
        <x:v>13411037</x:v>
      </x:c>
      <x:c r="F1822" s="66" t="str">
        <x:v>BISNIS</x:v>
      </x:c>
      <x:c r="G1822" s="66" t="str">
        <x:v>Sarjana</x:v>
      </x:c>
      <x:c r="H1822" s="87" t="n">
        <x:v>96</x:v>
      </x:c>
      <x:c r="I1822" s="87" t="n">
        <x:v>1140</x:v>
      </x:c>
      <x:c r="J1822" s="68" t="n">
        <x:f>IFERROR(H1822/I1822,"")</x:f>
        <x:v>0.08421052631578947</x:v>
      </x:c>
      <x:c r="K1822" s="69" t="n">
        <x:f>IFERROR(I1822/H1822,"")</x:f>
        <x:v>11.875</x:v>
      </x:c>
      <x:c r="L1822" s="66" t="str">
        <x:f>IF(K1822="","","1 : "&amp;TEXT(K1822,"0.0"))</x:f>
        <x:v>1 : 11.9</x:v>
      </x:c>
      <x:c r="M1822" s="66" t="str">
        <x:f>IF(J1822="","Baru/Tanpa Data",IF(J1822&lt;='Catatan &amp; Sumber'!$B$14,"Sangat Ketat",IF(J1822&lt;='Catatan &amp; Sumber'!$B$15,"Ketat",IF(J1822&lt;='Catatan &amp; Sumber'!$B$16,"Sedang","Relatif Longgar"))))</x:f>
        <x:v>Sedang</x:v>
      </x:c>
      <x:c r="N1822" s="66" t="str">
        <x:v>Tidak Ada</x:v>
      </x:c>
      <x:c r="O1822" s="66" t="str">
        <x:v>Jawa Barat</x:v>
      </x:c>
      <x:c r="P1822" s="66" t="str">
        <x:v>Kabupaten Bogor</x:v>
      </x:c>
      <x:c r="Q1822" s="66" t="str">
        <x:v>https://snpmb.id/snbp/daya-tampung-snbp</x:v>
      </x:c>
      <x:c r="R1822" s="66" t="str">
        <x:v>https://sidatagrun-public-1076756628210.asia-southeast2.run.app/ptn_sn.php?ptn=341</x:v>
      </x:c>
    </x:row>
    <x:row r="1823">
      <x:c r="A1823" s="87" t="n">
        <x:v>1785</x:v>
      </x:c>
      <x:c r="B1823" s="66" t="n">
        <x:v>341</x:v>
      </x:c>
      <x:c r="C1823" s="66" t="str">
        <x:v>INSTITUT PERTANIAN BOGOR</x:v>
      </x:c>
      <x:c r="D1823" s="66" t="str">
        <x:v>PTN Akademik</x:v>
      </x:c>
      <x:c r="E1823" s="66" t="str">
        <x:v>13411038</x:v>
      </x:c>
      <x:c r="F1823" s="66" t="str">
        <x:v>TEKNOLOGI HASIL TERNAK</x:v>
      </x:c>
      <x:c r="G1823" s="66" t="str">
        <x:v>Sarjana</x:v>
      </x:c>
      <x:c r="H1823" s="87" t="n">
        <x:v>40</x:v>
      </x:c>
      <x:c r="I1823" s="87" t="n">
        <x:v>305</x:v>
      </x:c>
      <x:c r="J1823" s="68" t="n">
        <x:f>IFERROR(H1823/I1823,"")</x:f>
        <x:v>0.13114754098360656</x:v>
      </x:c>
      <x:c r="K1823" s="69" t="n">
        <x:f>IFERROR(I1823/H1823,"")</x:f>
        <x:v>7.625</x:v>
      </x:c>
      <x:c r="L1823" s="66" t="str">
        <x:f>IF(K1823="","","1 : "&amp;TEXT(K1823,"0.0"))</x:f>
        <x:v>1 : 7.6</x:v>
      </x:c>
      <x:c r="M1823" s="66" t="str">
        <x:f>IF(J1823="","Baru/Tanpa Data",IF(J1823&lt;='Catatan &amp; Sumber'!$B$14,"Sangat Ketat",IF(J1823&lt;='Catatan &amp; Sumber'!$B$15,"Ketat",IF(J1823&lt;='Catatan &amp; Sumber'!$B$16,"Sedang","Relatif Longgar"))))</x:f>
        <x:v>Relatif Longgar</x:v>
      </x:c>
      <x:c r="N1823" s="66" t="str">
        <x:v>Tidak Ada</x:v>
      </x:c>
      <x:c r="O1823" s="66" t="str">
        <x:v>Jawa Barat</x:v>
      </x:c>
      <x:c r="P1823" s="66" t="str">
        <x:v>Kabupaten Bogor</x:v>
      </x:c>
      <x:c r="Q1823" s="66" t="str">
        <x:v>https://snpmb.id/snbp/daya-tampung-snbp</x:v>
      </x:c>
      <x:c r="R1823" s="66" t="str">
        <x:v>https://sidatagrun-public-1076756628210.asia-southeast2.run.app/ptn_sn.php?ptn=341</x:v>
      </x:c>
    </x:row>
    <x:row r="1824">
      <x:c r="A1824" s="87" t="n">
        <x:v>744</x:v>
      </x:c>
      <x:c r="B1824" s="66" t="n">
        <x:v>341</x:v>
      </x:c>
      <x:c r="C1824" s="66" t="str">
        <x:v>INSTITUT PERTANIAN BOGOR</x:v>
      </x:c>
      <x:c r="D1824" s="66" t="str">
        <x:v>PTN Akademik</x:v>
      </x:c>
      <x:c r="E1824" s="66" t="str">
        <x:v>13411039</x:v>
      </x:c>
      <x:c r="F1824" s="66" t="str">
        <x:v>AKTUARIA</x:v>
      </x:c>
      <x:c r="G1824" s="66" t="str">
        <x:v>Sarjana</x:v>
      </x:c>
      <x:c r="H1824" s="87" t="n">
        <x:v>38</x:v>
      </x:c>
      <x:c r="I1824" s="87" t="n">
        <x:v>591</x:v>
      </x:c>
      <x:c r="J1824" s="68" t="n">
        <x:f>IFERROR(H1824/I1824,"")</x:f>
        <x:v>0.06429780033840947</x:v>
      </x:c>
      <x:c r="K1824" s="69" t="n">
        <x:f>IFERROR(I1824/H1824,"")</x:f>
        <x:v>15.552631578947368</x:v>
      </x:c>
      <x:c r="L1824" s="66" t="str">
        <x:f>IF(K1824="","","1 : "&amp;TEXT(K1824,"0.0"))</x:f>
        <x:v>1 : 15.6</x:v>
      </x:c>
      <x:c r="M1824" s="66" t="str">
        <x:f>IF(J1824="","Baru/Tanpa Data",IF(J1824&lt;='Catatan &amp; Sumber'!$B$14,"Sangat Ketat",IF(J1824&lt;='Catatan &amp; Sumber'!$B$15,"Ketat",IF(J1824&lt;='Catatan &amp; Sumber'!$B$16,"Sedang","Relatif Longgar"))))</x:f>
        <x:v>Sedang</x:v>
      </x:c>
      <x:c r="N1824" s="66" t="str">
        <x:v>Tidak Ada</x:v>
      </x:c>
      <x:c r="O1824" s="66" t="str">
        <x:v>Jawa Barat</x:v>
      </x:c>
      <x:c r="P1824" s="66" t="str">
        <x:v>Kabupaten Bogor</x:v>
      </x:c>
      <x:c r="Q1824" s="66" t="str">
        <x:v>https://snpmb.id/snbp/daya-tampung-snbp</x:v>
      </x:c>
      <x:c r="R1824" s="66" t="str">
        <x:v>https://sidatagrun-public-1076756628210.asia-southeast2.run.app/ptn_sn.php?ptn=341</x:v>
      </x:c>
    </x:row>
    <x:row r="1825">
      <x:c r="A1825" s="87" t="n">
        <x:v>6</x:v>
      </x:c>
      <x:c r="B1825" s="66" t="n">
        <x:v>341</x:v>
      </x:c>
      <x:c r="C1825" s="66" t="str">
        <x:v>INSTITUT PERTANIAN BOGOR</x:v>
      </x:c>
      <x:c r="D1825" s="66" t="str">
        <x:v>PTN Akademik</x:v>
      </x:c>
      <x:c r="E1825" s="66" t="str">
        <x:v>13411063</x:v>
      </x:c>
      <x:c r="F1825" s="66" t="str">
        <x:v>KEDOKTERAN</x:v>
      </x:c>
      <x:c r="G1825" s="66" t="str">
        <x:v>Sarjana</x:v>
      </x:c>
      <x:c r="H1825" s="87" t="n">
        <x:v>10</x:v>
      </x:c>
      <x:c r="I1825" s="87" t="n">
        <x:v>716</x:v>
      </x:c>
      <x:c r="J1825" s="68" t="n">
        <x:f>IFERROR(H1825/I1825,"")</x:f>
        <x:v>0.013966480446927373</x:v>
      </x:c>
      <x:c r="K1825" s="69" t="n">
        <x:f>IFERROR(I1825/H1825,"")</x:f>
        <x:v>71.6</x:v>
      </x:c>
      <x:c r="L1825" s="66" t="str">
        <x:f>IF(K1825="","","1 : "&amp;TEXT(K1825,"0.0"))</x:f>
        <x:v>1 : 71.6</x:v>
      </x:c>
      <x:c r="M1825" s="66" t="str">
        <x:f>IF(J1825="","Baru/Tanpa Data",IF(J1825&lt;='Catatan &amp; Sumber'!$B$14,"Sangat Ketat",IF(J1825&lt;='Catatan &amp; Sumber'!$B$15,"Ketat",IF(J1825&lt;='Catatan &amp; Sumber'!$B$16,"Sedang","Relatif Longgar"))))</x:f>
        <x:v>Sangat Ketat</x:v>
      </x:c>
      <x:c r="N1825" s="66" t="str">
        <x:v>Tidak Ada</x:v>
      </x:c>
      <x:c r="O1825" s="66" t="str">
        <x:v>Jawa Barat</x:v>
      </x:c>
      <x:c r="P1825" s="66" t="str">
        <x:v>Kabupaten Bogor</x:v>
      </x:c>
      <x:c r="Q1825" s="66" t="str">
        <x:v>https://snpmb.id/snbp/daya-tampung-snbp</x:v>
      </x:c>
      <x:c r="R1825" s="66" t="str">
        <x:v>https://sidatagrun-public-1076756628210.asia-southeast2.run.app/ptn_sn.php?ptn=341</x:v>
      </x:c>
    </x:row>
    <x:row r="1826">
      <x:c r="A1826" s="87" t="n">
        <x:v>358</x:v>
      </x:c>
      <x:c r="B1826" s="66" t="n">
        <x:v>341</x:v>
      </x:c>
      <x:c r="C1826" s="66" t="str">
        <x:v>INSTITUT PERTANIAN BOGOR</x:v>
      </x:c>
      <x:c r="D1826" s="66" t="str">
        <x:v>PTN Akademik</x:v>
      </x:c>
      <x:c r="E1826" s="66" t="str">
        <x:v>13411064</x:v>
      </x:c>
      <x:c r="F1826" s="66" t="str">
        <x:v>SAINS BIOMEDIS</x:v>
      </x:c>
      <x:c r="G1826" s="66" t="str">
        <x:v>Sarjana</x:v>
      </x:c>
      <x:c r="H1826" s="87" t="n">
        <x:v>20</x:v>
      </x:c>
      <x:c r="I1826" s="87" t="n">
        <x:v>444</x:v>
      </x:c>
      <x:c r="J1826" s="68" t="n">
        <x:f>IFERROR(H1826/I1826,"")</x:f>
        <x:v>0.04504504504504504</x:v>
      </x:c>
      <x:c r="K1826" s="69" t="n">
        <x:f>IFERROR(I1826/H1826,"")</x:f>
        <x:v>22.2</x:v>
      </x:c>
      <x:c r="L1826" s="66" t="str">
        <x:f>IF(K1826="","","1 : "&amp;TEXT(K1826,"0.0"))</x:f>
        <x:v>1 : 22.2</x:v>
      </x:c>
      <x:c r="M1826" s="66" t="str">
        <x:f>IF(J1826="","Baru/Tanpa Data",IF(J1826&lt;='Catatan &amp; Sumber'!$B$14,"Sangat Ketat",IF(J1826&lt;='Catatan &amp; Sumber'!$B$15,"Ketat",IF(J1826&lt;='Catatan &amp; Sumber'!$B$16,"Sedang","Relatif Longgar"))))</x:f>
        <x:v>Ketat</x:v>
      </x:c>
      <x:c r="N1826" s="66" t="str">
        <x:v>Tidak Ada</x:v>
      </x:c>
      <x:c r="O1826" s="66" t="str">
        <x:v>Jawa Barat</x:v>
      </x:c>
      <x:c r="P1826" s="66" t="str">
        <x:v>Kabupaten Bogor</x:v>
      </x:c>
      <x:c r="Q1826" s="66" t="str">
        <x:v>https://snpmb.id/snbp/daya-tampung-snbp</x:v>
      </x:c>
      <x:c r="R1826" s="66" t="str">
        <x:v>https://sidatagrun-public-1076756628210.asia-southeast2.run.app/ptn_sn.php?ptn=341</x:v>
      </x:c>
    </x:row>
    <x:row r="1827">
      <x:c r="A1827" s="87" t="n">
        <x:v>545</x:v>
      </x:c>
      <x:c r="B1827" s="66" t="n">
        <x:v>341</x:v>
      </x:c>
      <x:c r="C1827" s="66" t="str">
        <x:v>INSTITUT PERTANIAN BOGOR</x:v>
      </x:c>
      <x:c r="D1827" s="66" t="str">
        <x:v>PTN Akademik</x:v>
      </x:c>
      <x:c r="E1827" s="66" t="str">
        <x:v>13411070</x:v>
      </x:c>
      <x:c r="F1827" s="66" t="str">
        <x:v>SMART AGRICULTURE</x:v>
      </x:c>
      <x:c r="G1827" s="66" t="str">
        <x:v>Sarjana</x:v>
      </x:c>
      <x:c r="H1827" s="87" t="n">
        <x:v>16</x:v>
      </x:c>
      <x:c r="I1827" s="87" t="n">
        <x:v>297</x:v>
      </x:c>
      <x:c r="J1827" s="68" t="n">
        <x:f>IFERROR(H1827/I1827,"")</x:f>
        <x:v>0.05387205387205387</x:v>
      </x:c>
      <x:c r="K1827" s="69" t="n">
        <x:f>IFERROR(I1827/H1827,"")</x:f>
        <x:v>18.5625</x:v>
      </x:c>
      <x:c r="L1827" s="66" t="str">
        <x:f>IF(K1827="","","1 : "&amp;TEXT(K1827,"0.0"))</x:f>
        <x:v>1 : 18.6</x:v>
      </x:c>
      <x:c r="M1827" s="66" t="str">
        <x:f>IF(J1827="","Baru/Tanpa Data",IF(J1827&lt;='Catatan &amp; Sumber'!$B$14,"Sangat Ketat",IF(J1827&lt;='Catatan &amp; Sumber'!$B$15,"Ketat",IF(J1827&lt;='Catatan &amp; Sumber'!$B$16,"Sedang","Relatif Longgar"))))</x:f>
        <x:v>Sedang</x:v>
      </x:c>
      <x:c r="N1827" s="66" t="str">
        <x:v>Tidak Ada</x:v>
      </x:c>
      <x:c r="O1827" s="66" t="str">
        <x:v>Jawa Barat</x:v>
      </x:c>
      <x:c r="P1827" s="66" t="str">
        <x:v>Kabupaten Bogor</x:v>
      </x:c>
      <x:c r="Q1827" s="66" t="str">
        <x:v>https://snpmb.id/snbp/daya-tampung-snbp</x:v>
      </x:c>
      <x:c r="R1827" s="66" t="str">
        <x:v>https://sidatagrun-public-1076756628210.asia-southeast2.run.app/ptn_sn.php?ptn=341</x:v>
      </x:c>
    </x:row>
    <x:row r="1828">
      <x:c r="A1828" s="87" t="n">
        <x:v>1507</x:v>
      </x:c>
      <x:c r="B1828" s="66" t="n">
        <x:v>341</x:v>
      </x:c>
      <x:c r="C1828" s="66" t="str">
        <x:v>INSTITUT PERTANIAN BOGOR</x:v>
      </x:c>
      <x:c r="D1828" s="66" t="str">
        <x:v>PTN Akademik</x:v>
      </x:c>
      <x:c r="E1828" s="66" t="str">
        <x:v>13411071</x:v>
      </x:c>
      <x:c r="F1828" s="66" t="str">
        <x:v>BIOINFORMATIKA</x:v>
      </x:c>
      <x:c r="G1828" s="66" t="str">
        <x:v>Sarjana</x:v>
      </x:c>
      <x:c r="H1828" s="87" t="n">
        <x:v>20</x:v>
      </x:c>
      <x:c r="I1828" s="87" t="n">
        <x:v>182</x:v>
      </x:c>
      <x:c r="J1828" s="68" t="n">
        <x:f>IFERROR(H1828/I1828,"")</x:f>
        <x:v>0.10989010989010989</x:v>
      </x:c>
      <x:c r="K1828" s="69" t="n">
        <x:f>IFERROR(I1828/H1828,"")</x:f>
        <x:v>9.1</x:v>
      </x:c>
      <x:c r="L1828" s="66" t="str">
        <x:f>IF(K1828="","","1 : "&amp;TEXT(K1828,"0.0"))</x:f>
        <x:v>1 : 9.1</x:v>
      </x:c>
      <x:c r="M1828" s="66" t="str">
        <x:f>IF(J1828="","Baru/Tanpa Data",IF(J1828&lt;='Catatan &amp; Sumber'!$B$14,"Sangat Ketat",IF(J1828&lt;='Catatan &amp; Sumber'!$B$15,"Ketat",IF(J1828&lt;='Catatan &amp; Sumber'!$B$16,"Sedang","Relatif Longgar"))))</x:f>
        <x:v>Relatif Longgar</x:v>
      </x:c>
      <x:c r="N1828" s="66" t="str">
        <x:v>Tidak Ada</x:v>
      </x:c>
      <x:c r="O1828" s="66" t="str">
        <x:v>Jawa Barat</x:v>
      </x:c>
      <x:c r="P1828" s="66" t="str">
        <x:v>Kabupaten Bogor</x:v>
      </x:c>
      <x:c r="Q1828" s="66" t="str">
        <x:v>https://snpmb.id/snbp/daya-tampung-snbp</x:v>
      </x:c>
      <x:c r="R1828" s="66" t="str">
        <x:v>https://sidatagrun-public-1076756628210.asia-southeast2.run.app/ptn_sn.php?ptn=341</x:v>
      </x:c>
    </x:row>
    <x:row r="1829">
      <x:c r="A1829" s="87" t="n">
        <x:v>368</x:v>
      </x:c>
      <x:c r="B1829" s="66" t="n">
        <x:v>341</x:v>
      </x:c>
      <x:c r="C1829" s="66" t="str">
        <x:v>INSTITUT PERTANIAN BOGOR</x:v>
      </x:c>
      <x:c r="D1829" s="66" t="str">
        <x:v>PTN Akademik</x:v>
      </x:c>
      <x:c r="E1829" s="66" t="str">
        <x:v>13411072</x:v>
      </x:c>
      <x:c r="F1829" s="66" t="str">
        <x:v>KECERDASAN BUATAN</x:v>
      </x:c>
      <x:c r="G1829" s="66" t="str">
        <x:v>Sarjana</x:v>
      </x:c>
      <x:c r="H1829" s="87" t="n">
        <x:v>28</x:v>
      </x:c>
      <x:c r="I1829" s="87" t="n">
        <x:v>619</x:v>
      </x:c>
      <x:c r="J1829" s="68" t="n">
        <x:f>IFERROR(H1829/I1829,"")</x:f>
        <x:v>0.045234248788368334</x:v>
      </x:c>
      <x:c r="K1829" s="69" t="n">
        <x:f>IFERROR(I1829/H1829,"")</x:f>
        <x:v>22.107142857142858</x:v>
      </x:c>
      <x:c r="L1829" s="66" t="str">
        <x:f>IF(K1829="","","1 : "&amp;TEXT(K1829,"0.0"))</x:f>
        <x:v>1 : 22.1</x:v>
      </x:c>
      <x:c r="M1829" s="66" t="str">
        <x:f>IF(J1829="","Baru/Tanpa Data",IF(J1829&lt;='Catatan &amp; Sumber'!$B$14,"Sangat Ketat",IF(J1829&lt;='Catatan &amp; Sumber'!$B$15,"Ketat",IF(J1829&lt;='Catatan &amp; Sumber'!$B$16,"Sedang","Relatif Longgar"))))</x:f>
        <x:v>Ketat</x:v>
      </x:c>
      <x:c r="N1829" s="66" t="str">
        <x:v>Tidak Ada</x:v>
      </x:c>
      <x:c r="O1829" s="66" t="str">
        <x:v>Jawa Barat</x:v>
      </x:c>
      <x:c r="P1829" s="66" t="str">
        <x:v>Kabupaten Bogor</x:v>
      </x:c>
      <x:c r="Q1829" s="66" t="str">
        <x:v>https://snpmb.id/snbp/daya-tampung-snbp</x:v>
      </x:c>
      <x:c r="R1829" s="66" t="str">
        <x:v>https://sidatagrun-public-1076756628210.asia-southeast2.run.app/ptn_sn.php?ptn=341</x:v>
      </x:c>
    </x:row>
    <x:row r="1830">
      <x:c r="A1830" s="87"/>
      <x:c r="B1830" s="66" t="n">
        <x:v>341</x:v>
      </x:c>
      <x:c r="C1830" s="66" t="str">
        <x:v>INSTITUT PERTANIAN BOGOR</x:v>
      </x:c>
      <x:c r="D1830" s="66" t="str">
        <x:v>PTN Akademik</x:v>
      </x:c>
      <x:c r="E1830" s="66" t="str">
        <x:v>13411074</x:v>
      </x:c>
      <x:c r="F1830" s="66" t="str">
        <x:v>TEKNIK MESIN</x:v>
      </x:c>
      <x:c r="G1830" s="66" t="str">
        <x:v>Sarjana</x:v>
      </x:c>
      <x:c r="H1830" s="87" t="n">
        <x:v>24</x:v>
      </x:c>
      <x:c r="I1830" s="87"/>
      <x:c r="J1830" s="68" t="str">
        <x:f>IFERROR(H1830/I1830,"")</x:f>
      </x:c>
      <x:c r="K1830" s="69" t="n">
        <x:f>IFERROR(I1830/H1830,"")</x:f>
        <x:v>0</x:v>
      </x:c>
      <x:c r="L1830" s="66" t="str">
        <x:f>IF(K1830="","","1 : "&amp;TEXT(K1830,"0.0"))</x:f>
      </x:c>
      <x:c r="M1830" s="66" t="str">
        <x:f>IF(J1830="","Baru/Tanpa Data",IF(J1830&lt;='Catatan &amp; Sumber'!$B$14,"Sangat Ketat",IF(J1830&lt;='Catatan &amp; Sumber'!$B$15,"Ketat",IF(J1830&lt;='Catatan &amp; Sumber'!$B$16,"Sedang","Relatif Longgar"))))</x:f>
        <x:v>Baru/Tanpa Data</x:v>
      </x:c>
      <x:c r="N1830" s="66" t="str">
        <x:v>Tidak Ada</x:v>
      </x:c>
      <x:c r="O1830" s="66" t="str">
        <x:v>Jawa Barat</x:v>
      </x:c>
      <x:c r="P1830" s="66" t="str">
        <x:v>Kabupaten Bogor</x:v>
      </x:c>
      <x:c r="Q1830" s="66" t="str">
        <x:v>https://snpmb.id/snbp/daya-tampung-snbp</x:v>
      </x:c>
      <x:c r="R1830" s="66" t="str">
        <x:v>https://sidatagrun-public-1076756628210.asia-southeast2.run.app/ptn_sn.php?ptn=341</x:v>
      </x:c>
    </x:row>
    <x:row r="1831">
      <x:c r="A1831" s="87"/>
      <x:c r="B1831" s="66" t="n">
        <x:v>341</x:v>
      </x:c>
      <x:c r="C1831" s="66" t="str">
        <x:v>INSTITUT PERTANIAN BOGOR</x:v>
      </x:c>
      <x:c r="D1831" s="66" t="str">
        <x:v>PTN Akademik</x:v>
      </x:c>
      <x:c r="E1831" s="66" t="str">
        <x:v>13411076</x:v>
      </x:c>
      <x:c r="F1831" s="66" t="str">
        <x:v>TEKNIK KIMIA</x:v>
      </x:c>
      <x:c r="G1831" s="66" t="str">
        <x:v>Sarjana</x:v>
      </x:c>
      <x:c r="H1831" s="87" t="n">
        <x:v>24</x:v>
      </x:c>
      <x:c r="I1831" s="87"/>
      <x:c r="J1831" s="68" t="str">
        <x:f>IFERROR(H1831/I1831,"")</x:f>
      </x:c>
      <x:c r="K1831" s="69" t="n">
        <x:f>IFERROR(I1831/H1831,"")</x:f>
        <x:v>0</x:v>
      </x:c>
      <x:c r="L1831" s="66" t="str">
        <x:f>IF(K1831="","","1 : "&amp;TEXT(K1831,"0.0"))</x:f>
      </x:c>
      <x:c r="M1831" s="66" t="str">
        <x:f>IF(J1831="","Baru/Tanpa Data",IF(J1831&lt;='Catatan &amp; Sumber'!$B$14,"Sangat Ketat",IF(J1831&lt;='Catatan &amp; Sumber'!$B$15,"Ketat",IF(J1831&lt;='Catatan &amp; Sumber'!$B$16,"Sedang","Relatif Longgar"))))</x:f>
        <x:v>Baru/Tanpa Data</x:v>
      </x:c>
      <x:c r="N1831" s="66" t="str">
        <x:v>Tidak Ada</x:v>
      </x:c>
      <x:c r="O1831" s="66" t="str">
        <x:v>Jawa Barat</x:v>
      </x:c>
      <x:c r="P1831" s="66" t="str">
        <x:v>Kabupaten Bogor</x:v>
      </x:c>
      <x:c r="Q1831" s="66" t="str">
        <x:v>https://snpmb.id/snbp/daya-tampung-snbp</x:v>
      </x:c>
      <x:c r="R1831" s="66" t="str">
        <x:v>https://sidatagrun-public-1076756628210.asia-southeast2.run.app/ptn_sn.php?ptn=341</x:v>
      </x:c>
    </x:row>
    <x:row r="1832">
      <x:c r="A1832" s="87" t="n">
        <x:v>682</x:v>
      </x:c>
      <x:c r="B1832" s="66" t="n">
        <x:v>341</x:v>
      </x:c>
      <x:c r="C1832" s="66" t="str">
        <x:v>INSTITUT PERTANIAN BOGOR</x:v>
      </x:c>
      <x:c r="D1832" s="66" t="str">
        <x:v>PTN Akademik</x:v>
      </x:c>
      <x:c r="E1832" s="66" t="str">
        <x:v>13412042</x:v>
      </x:c>
      <x:c r="F1832" s="66" t="str">
        <x:v>KOMUNIKASI DIGITAL DAN MEDIA</x:v>
      </x:c>
      <x:c r="G1832" s="66" t="str">
        <x:v>Sarjana Terapan</x:v>
      </x:c>
      <x:c r="H1832" s="87" t="n">
        <x:v>84</x:v>
      </x:c>
      <x:c r="I1832" s="87" t="n">
        <x:v>1377</x:v>
      </x:c>
      <x:c r="J1832" s="68" t="n">
        <x:f>IFERROR(H1832/I1832,"")</x:f>
        <x:v>0.06100217864923747</x:v>
      </x:c>
      <x:c r="K1832" s="69" t="n">
        <x:f>IFERROR(I1832/H1832,"")</x:f>
        <x:v>16.392857142857142</x:v>
      </x:c>
      <x:c r="L1832" s="66" t="str">
        <x:f>IF(K1832="","","1 : "&amp;TEXT(K1832,"0.0"))</x:f>
        <x:v>1 : 16.4</x:v>
      </x:c>
      <x:c r="M1832" s="66" t="str">
        <x:f>IF(J1832="","Baru/Tanpa Data",IF(J1832&lt;='Catatan &amp; Sumber'!$B$14,"Sangat Ketat",IF(J1832&lt;='Catatan &amp; Sumber'!$B$15,"Ketat",IF(J1832&lt;='Catatan &amp; Sumber'!$B$16,"Sedang","Relatif Longgar"))))</x:f>
        <x:v>Sedang</x:v>
      </x:c>
      <x:c r="N1832" s="66" t="str">
        <x:v>Tidak Ada</x:v>
      </x:c>
      <x:c r="O1832" s="66" t="str">
        <x:v>Jawa Barat</x:v>
      </x:c>
      <x:c r="P1832" s="66" t="str">
        <x:v>Kabupaten Bogor</x:v>
      </x:c>
      <x:c r="Q1832" s="66" t="str">
        <x:v>https://snpmb.id/snbp/daya-tampung-snbp</x:v>
      </x:c>
      <x:c r="R1832" s="66" t="str">
        <x:v>https://sidatagrun-public-1076756628210.asia-southeast2.run.app/ptn_sn.php?ptn=341</x:v>
      </x:c>
    </x:row>
    <x:row r="1833">
      <x:c r="A1833" s="87" t="n">
        <x:v>2221</x:v>
      </x:c>
      <x:c r="B1833" s="66" t="n">
        <x:v>341</x:v>
      </x:c>
      <x:c r="C1833" s="66" t="str">
        <x:v>INSTITUT PERTANIAN BOGOR</x:v>
      </x:c>
      <x:c r="D1833" s="66" t="str">
        <x:v>PTN Akademik</x:v>
      </x:c>
      <x:c r="E1833" s="66" t="str">
        <x:v>13412043</x:v>
      </x:c>
      <x:c r="F1833" s="66" t="str">
        <x:v>KOMUNIKASI DIGITAL DAN MEDIA (KAMPUS SUKABUMI)</x:v>
      </x:c>
      <x:c r="G1833" s="66" t="str">
        <x:v>Sarjana Terapan</x:v>
      </x:c>
      <x:c r="H1833" s="87" t="n">
        <x:v>54</x:v>
      </x:c>
      <x:c r="I1833" s="87" t="n">
        <x:v>309</x:v>
      </x:c>
      <x:c r="J1833" s="68" t="n">
        <x:f>IFERROR(H1833/I1833,"")</x:f>
        <x:v>0.17475728155339806</x:v>
      </x:c>
      <x:c r="K1833" s="69" t="n">
        <x:f>IFERROR(I1833/H1833,"")</x:f>
        <x:v>5.722222222222222</x:v>
      </x:c>
      <x:c r="L1833" s="66" t="str">
        <x:f>IF(K1833="","","1 : "&amp;TEXT(K1833,"0.0"))</x:f>
        <x:v>1 : 5.7</x:v>
      </x:c>
      <x:c r="M1833" s="66" t="str">
        <x:f>IF(J1833="","Baru/Tanpa Data",IF(J1833&lt;='Catatan &amp; Sumber'!$B$14,"Sangat Ketat",IF(J1833&lt;='Catatan &amp; Sumber'!$B$15,"Ketat",IF(J1833&lt;='Catatan &amp; Sumber'!$B$16,"Sedang","Relatif Longgar"))))</x:f>
        <x:v>Relatif Longgar</x:v>
      </x:c>
      <x:c r="N1833" s="66" t="str">
        <x:v>Tidak Ada</x:v>
      </x:c>
      <x:c r="O1833" s="66" t="str">
        <x:v>Jawa Barat</x:v>
      </x:c>
      <x:c r="P1833" s="66" t="str">
        <x:v>Kabupaten Bogor</x:v>
      </x:c>
      <x:c r="Q1833" s="66" t="str">
        <x:v>https://snpmb.id/snbp/daya-tampung-snbp</x:v>
      </x:c>
      <x:c r="R1833" s="66" t="str">
        <x:v>https://sidatagrun-public-1076756628210.asia-southeast2.run.app/ptn_sn.php?ptn=341</x:v>
      </x:c>
    </x:row>
    <x:row r="1834">
      <x:c r="A1834" s="87" t="n">
        <x:v>1297</x:v>
      </x:c>
      <x:c r="B1834" s="66" t="n">
        <x:v>341</x:v>
      </x:c>
      <x:c r="C1834" s="66" t="str">
        <x:v>INSTITUT PERTANIAN BOGOR</x:v>
      </x:c>
      <x:c r="D1834" s="66" t="str">
        <x:v>PTN Akademik</x:v>
      </x:c>
      <x:c r="E1834" s="66" t="str">
        <x:v>13412044</x:v>
      </x:c>
      <x:c r="F1834" s="66" t="str">
        <x:v>EKOWISATA</x:v>
      </x:c>
      <x:c r="G1834" s="66" t="str">
        <x:v>Sarjana Terapan</x:v>
      </x:c>
      <x:c r="H1834" s="87" t="n">
        <x:v>40</x:v>
      </x:c>
      <x:c r="I1834" s="87" t="n">
        <x:v>420</x:v>
      </x:c>
      <x:c r="J1834" s="68" t="n">
        <x:f>IFERROR(H1834/I1834,"")</x:f>
        <x:v>0.09523809523809523</x:v>
      </x:c>
      <x:c r="K1834" s="69" t="n">
        <x:f>IFERROR(I1834/H1834,"")</x:f>
        <x:v>10.5</x:v>
      </x:c>
      <x:c r="L1834" s="66" t="str">
        <x:f>IF(K1834="","","1 : "&amp;TEXT(K1834,"0.0"))</x:f>
        <x:v>1 : 10.5</x:v>
      </x:c>
      <x:c r="M1834" s="66" t="str">
        <x:f>IF(J1834="","Baru/Tanpa Data",IF(J1834&lt;='Catatan &amp; Sumber'!$B$14,"Sangat Ketat",IF(J1834&lt;='Catatan &amp; Sumber'!$B$15,"Ketat",IF(J1834&lt;='Catatan &amp; Sumber'!$B$16,"Sedang","Relatif Longgar"))))</x:f>
        <x:v>Sedang</x:v>
      </x:c>
      <x:c r="N1834" s="66" t="str">
        <x:v>Tidak Ada</x:v>
      </x:c>
      <x:c r="O1834" s="66" t="str">
        <x:v>Jawa Barat</x:v>
      </x:c>
      <x:c r="P1834" s="66" t="str">
        <x:v>Kabupaten Bogor</x:v>
      </x:c>
      <x:c r="Q1834" s="66" t="str">
        <x:v>https://snpmb.id/snbp/daya-tampung-snbp</x:v>
      </x:c>
      <x:c r="R1834" s="66" t="str">
        <x:v>https://sidatagrun-public-1076756628210.asia-southeast2.run.app/ptn_sn.php?ptn=341</x:v>
      </x:c>
    </x:row>
    <x:row r="1835">
      <x:c r="A1835" s="87" t="n">
        <x:v>2357</x:v>
      </x:c>
      <x:c r="B1835" s="66" t="n">
        <x:v>341</x:v>
      </x:c>
      <x:c r="C1835" s="66" t="str">
        <x:v>INSTITUT PERTANIAN BOGOR</x:v>
      </x:c>
      <x:c r="D1835" s="66" t="str">
        <x:v>PTN Akademik</x:v>
      </x:c>
      <x:c r="E1835" s="66" t="str">
        <x:v>13412045</x:v>
      </x:c>
      <x:c r="F1835" s="66" t="str">
        <x:v>EKOWISATA (KAMPUS SUKABUMI)</x:v>
      </x:c>
      <x:c r="G1835" s="66" t="str">
        <x:v>Sarjana Terapan</x:v>
      </x:c>
      <x:c r="H1835" s="87" t="n">
        <x:v>36</x:v>
      </x:c>
      <x:c r="I1835" s="87" t="n">
        <x:v>189</x:v>
      </x:c>
      <x:c r="J1835" s="68" t="n">
        <x:f>IFERROR(H1835/I1835,"")</x:f>
        <x:v>0.19047619047619047</x:v>
      </x:c>
      <x:c r="K1835" s="69" t="n">
        <x:f>IFERROR(I1835/H1835,"")</x:f>
        <x:v>5.25</x:v>
      </x:c>
      <x:c r="L1835" s="66" t="str">
        <x:f>IF(K1835="","","1 : "&amp;TEXT(K1835,"0.0"))</x:f>
        <x:v>1 : 5.3</x:v>
      </x:c>
      <x:c r="M1835" s="66" t="str">
        <x:f>IF(J1835="","Baru/Tanpa Data",IF(J1835&lt;='Catatan &amp; Sumber'!$B$14,"Sangat Ketat",IF(J1835&lt;='Catatan &amp; Sumber'!$B$15,"Ketat",IF(J1835&lt;='Catatan &amp; Sumber'!$B$16,"Sedang","Relatif Longgar"))))</x:f>
        <x:v>Relatif Longgar</x:v>
      </x:c>
      <x:c r="N1835" s="66" t="str">
        <x:v>Tidak Ada</x:v>
      </x:c>
      <x:c r="O1835" s="66" t="str">
        <x:v>Jawa Barat</x:v>
      </x:c>
      <x:c r="P1835" s="66" t="str">
        <x:v>Kabupaten Bogor</x:v>
      </x:c>
      <x:c r="Q1835" s="66" t="str">
        <x:v>https://snpmb.id/snbp/daya-tampung-snbp</x:v>
      </x:c>
      <x:c r="R1835" s="66" t="str">
        <x:v>https://sidatagrun-public-1076756628210.asia-southeast2.run.app/ptn_sn.php?ptn=341</x:v>
      </x:c>
    </x:row>
    <x:row r="1836">
      <x:c r="A1836" s="87" t="n">
        <x:v>1171</x:v>
      </x:c>
      <x:c r="B1836" s="66" t="n">
        <x:v>341</x:v>
      </x:c>
      <x:c r="C1836" s="66" t="str">
        <x:v>INSTITUT PERTANIAN BOGOR</x:v>
      </x:c>
      <x:c r="D1836" s="66" t="str">
        <x:v>PTN Akademik</x:v>
      </x:c>
      <x:c r="E1836" s="66" t="str">
        <x:v>13412046</x:v>
      </x:c>
      <x:c r="F1836" s="66" t="str">
        <x:v>TEKNOLOGI REKAYASA PERANGKAT LUNAK</x:v>
      </x:c>
      <x:c r="G1836" s="66" t="str">
        <x:v>Sarjana Terapan</x:v>
      </x:c>
      <x:c r="H1836" s="87" t="n">
        <x:v>56</x:v>
      </x:c>
      <x:c r="I1836" s="87" t="n">
        <x:v>635</x:v>
      </x:c>
      <x:c r="J1836" s="68" t="n">
        <x:f>IFERROR(H1836/I1836,"")</x:f>
        <x:v>0.08818897637795275</x:v>
      </x:c>
      <x:c r="K1836" s="69" t="n">
        <x:f>IFERROR(I1836/H1836,"")</x:f>
        <x:v>11.339285714285714</x:v>
      </x:c>
      <x:c r="L1836" s="66" t="str">
        <x:f>IF(K1836="","","1 : "&amp;TEXT(K1836,"0.0"))</x:f>
        <x:v>1 : 11.3</x:v>
      </x:c>
      <x:c r="M1836" s="66" t="str">
        <x:f>IF(J1836="","Baru/Tanpa Data",IF(J1836&lt;='Catatan &amp; Sumber'!$B$14,"Sangat Ketat",IF(J1836&lt;='Catatan &amp; Sumber'!$B$15,"Ketat",IF(J1836&lt;='Catatan &amp; Sumber'!$B$16,"Sedang","Relatif Longgar"))))</x:f>
        <x:v>Sedang</x:v>
      </x:c>
      <x:c r="N1836" s="66" t="str">
        <x:v>Tidak Ada</x:v>
      </x:c>
      <x:c r="O1836" s="66" t="str">
        <x:v>Jawa Barat</x:v>
      </x:c>
      <x:c r="P1836" s="66" t="str">
        <x:v>Kabupaten Bogor</x:v>
      </x:c>
      <x:c r="Q1836" s="66" t="str">
        <x:v>https://snpmb.id/snbp/daya-tampung-snbp</x:v>
      </x:c>
      <x:c r="R1836" s="66" t="str">
        <x:v>https://sidatagrun-public-1076756628210.asia-southeast2.run.app/ptn_sn.php?ptn=341</x:v>
      </x:c>
    </x:row>
    <x:row r="1837">
      <x:c r="A1837" s="87" t="n">
        <x:v>1408</x:v>
      </x:c>
      <x:c r="B1837" s="66" t="n">
        <x:v>341</x:v>
      </x:c>
      <x:c r="C1837" s="66" t="str">
        <x:v>INSTITUT PERTANIAN BOGOR</x:v>
      </x:c>
      <x:c r="D1837" s="66" t="str">
        <x:v>PTN Akademik</x:v>
      </x:c>
      <x:c r="E1837" s="66" t="str">
        <x:v>13412047</x:v>
      </x:c>
      <x:c r="F1837" s="66" t="str">
        <x:v>TEKNOLOGI REKAYASA KOMPUTER</x:v>
      </x:c>
      <x:c r="G1837" s="66" t="str">
        <x:v>Sarjana Terapan</x:v>
      </x:c>
      <x:c r="H1837" s="87" t="n">
        <x:v>56</x:v>
      </x:c>
      <x:c r="I1837" s="87" t="n">
        <x:v>545</x:v>
      </x:c>
      <x:c r="J1837" s="68" t="n">
        <x:f>IFERROR(H1837/I1837,"")</x:f>
        <x:v>0.10275229357798166</x:v>
      </x:c>
      <x:c r="K1837" s="69" t="n">
        <x:f>IFERROR(I1837/H1837,"")</x:f>
        <x:v>9.732142857142858</x:v>
      </x:c>
      <x:c r="L1837" s="66" t="str">
        <x:f>IF(K1837="","","1 : "&amp;TEXT(K1837,"0.0"))</x:f>
        <x:v>1 : 9.7</x:v>
      </x:c>
      <x:c r="M1837" s="66" t="str">
        <x:f>IF(J1837="","Baru/Tanpa Data",IF(J1837&lt;='Catatan &amp; Sumber'!$B$14,"Sangat Ketat",IF(J1837&lt;='Catatan &amp; Sumber'!$B$15,"Ketat",IF(J1837&lt;='Catatan &amp; Sumber'!$B$16,"Sedang","Relatif Longgar"))))</x:f>
        <x:v>Relatif Longgar</x:v>
      </x:c>
      <x:c r="N1837" s="66" t="str">
        <x:v>Tidak Ada</x:v>
      </x:c>
      <x:c r="O1837" s="66" t="str">
        <x:v>Jawa Barat</x:v>
      </x:c>
      <x:c r="P1837" s="66" t="str">
        <x:v>Kabupaten Bogor</x:v>
      </x:c>
      <x:c r="Q1837" s="66" t="str">
        <x:v>https://snpmb.id/snbp/daya-tampung-snbp</x:v>
      </x:c>
      <x:c r="R1837" s="66" t="str">
        <x:v>https://sidatagrun-public-1076756628210.asia-southeast2.run.app/ptn_sn.php?ptn=341</x:v>
      </x:c>
    </x:row>
    <x:row r="1838">
      <x:c r="A1838" s="87" t="n">
        <x:v>1331</x:v>
      </x:c>
      <x:c r="B1838" s="66" t="n">
        <x:v>341</x:v>
      </x:c>
      <x:c r="C1838" s="66" t="str">
        <x:v>INSTITUT PERTANIAN BOGOR</x:v>
      </x:c>
      <x:c r="D1838" s="66" t="str">
        <x:v>PTN Akademik</x:v>
      </x:c>
      <x:c r="E1838" s="66" t="str">
        <x:v>13412048</x:v>
      </x:c>
      <x:c r="F1838" s="66" t="str">
        <x:v>SUPERVISOR JAMINAN MUTU PANGAN</x:v>
      </x:c>
      <x:c r="G1838" s="66" t="str">
        <x:v>Sarjana Terapan</x:v>
      </x:c>
      <x:c r="H1838" s="87" t="n">
        <x:v>56</x:v>
      </x:c>
      <x:c r="I1838" s="87" t="n">
        <x:v>575</x:v>
      </x:c>
      <x:c r="J1838" s="68" t="n">
        <x:f>IFERROR(H1838/I1838,"")</x:f>
        <x:v>0.09739130434782609</x:v>
      </x:c>
      <x:c r="K1838" s="69" t="n">
        <x:f>IFERROR(I1838/H1838,"")</x:f>
        <x:v>10.267857142857142</x:v>
      </x:c>
      <x:c r="L1838" s="66" t="str">
        <x:f>IF(K1838="","","1 : "&amp;TEXT(K1838,"0.0"))</x:f>
        <x:v>1 : 10.3</x:v>
      </x:c>
      <x:c r="M1838" s="66" t="str">
        <x:f>IF(J1838="","Baru/Tanpa Data",IF(J1838&lt;='Catatan &amp; Sumber'!$B$14,"Sangat Ketat",IF(J1838&lt;='Catatan &amp; Sumber'!$B$15,"Ketat",IF(J1838&lt;='Catatan &amp; Sumber'!$B$16,"Sedang","Relatif Longgar"))))</x:f>
        <x:v>Sedang</x:v>
      </x:c>
      <x:c r="N1838" s="66" t="str">
        <x:v>Tidak Ada</x:v>
      </x:c>
      <x:c r="O1838" s="66" t="str">
        <x:v>Jawa Barat</x:v>
      </x:c>
      <x:c r="P1838" s="66" t="str">
        <x:v>Kabupaten Bogor</x:v>
      </x:c>
      <x:c r="Q1838" s="66" t="str">
        <x:v>https://snpmb.id/snbp/daya-tampung-snbp</x:v>
      </x:c>
      <x:c r="R1838" s="66" t="str">
        <x:v>https://sidatagrun-public-1076756628210.asia-southeast2.run.app/ptn_sn.php?ptn=341</x:v>
      </x:c>
    </x:row>
    <x:row r="1839">
      <x:c r="A1839" s="87" t="n">
        <x:v>1164</x:v>
      </x:c>
      <x:c r="B1839" s="66" t="n">
        <x:v>341</x:v>
      </x:c>
      <x:c r="C1839" s="66" t="str">
        <x:v>INSTITUT PERTANIAN BOGOR</x:v>
      </x:c>
      <x:c r="D1839" s="66" t="str">
        <x:v>PTN Akademik</x:v>
      </x:c>
      <x:c r="E1839" s="66" t="str">
        <x:v>13412049</x:v>
      </x:c>
      <x:c r="F1839" s="66" t="str">
        <x:v>MANAJEMEN INDUSTRI JASA MAKANAN DAN GIZI</x:v>
      </x:c>
      <x:c r="G1839" s="66" t="str">
        <x:v>Sarjana Terapan</x:v>
      </x:c>
      <x:c r="H1839" s="87" t="n">
        <x:v>56</x:v>
      </x:c>
      <x:c r="I1839" s="87" t="n">
        <x:v>639</x:v>
      </x:c>
      <x:c r="J1839" s="68" t="n">
        <x:f>IFERROR(H1839/I1839,"")</x:f>
        <x:v>0.08763693270735524</x:v>
      </x:c>
      <x:c r="K1839" s="69" t="n">
        <x:f>IFERROR(I1839/H1839,"")</x:f>
        <x:v>11.410714285714286</x:v>
      </x:c>
      <x:c r="L1839" s="66" t="str">
        <x:f>IF(K1839="","","1 : "&amp;TEXT(K1839,"0.0"))</x:f>
        <x:v>1 : 11.4</x:v>
      </x:c>
      <x:c r="M1839" s="66" t="str">
        <x:f>IF(J1839="","Baru/Tanpa Data",IF(J1839&lt;='Catatan &amp; Sumber'!$B$14,"Sangat Ketat",IF(J1839&lt;='Catatan &amp; Sumber'!$B$15,"Ketat",IF(J1839&lt;='Catatan &amp; Sumber'!$B$16,"Sedang","Relatif Longgar"))))</x:f>
        <x:v>Sedang</x:v>
      </x:c>
      <x:c r="N1839" s="66" t="str">
        <x:v>Tidak Ada</x:v>
      </x:c>
      <x:c r="O1839" s="66" t="str">
        <x:v>Jawa Barat</x:v>
      </x:c>
      <x:c r="P1839" s="66" t="str">
        <x:v>Kabupaten Bogor</x:v>
      </x:c>
      <x:c r="Q1839" s="66" t="str">
        <x:v>https://snpmb.id/snbp/daya-tampung-snbp</x:v>
      </x:c>
      <x:c r="R1839" s="66" t="str">
        <x:v>https://sidatagrun-public-1076756628210.asia-southeast2.run.app/ptn_sn.php?ptn=341</x:v>
      </x:c>
    </x:row>
    <x:row r="1840">
      <x:c r="A1840" s="87" t="n">
        <x:v>2357</x:v>
      </x:c>
      <x:c r="B1840" s="66" t="n">
        <x:v>341</x:v>
      </x:c>
      <x:c r="C1840" s="66" t="str">
        <x:v>INSTITUT PERTANIAN BOGOR</x:v>
      </x:c>
      <x:c r="D1840" s="66" t="str">
        <x:v>PTN Akademik</x:v>
      </x:c>
      <x:c r="E1840" s="66" t="str">
        <x:v>13412050</x:v>
      </x:c>
      <x:c r="F1840" s="66" t="str">
        <x:v>TEKNOLOGI DAN MANAJEMEN PEMBENIHAN IKAN</x:v>
      </x:c>
      <x:c r="G1840" s="66" t="str">
        <x:v>Sarjana Terapan</x:v>
      </x:c>
      <x:c r="H1840" s="87" t="n">
        <x:v>28</x:v>
      </x:c>
      <x:c r="I1840" s="87" t="n">
        <x:v>147</x:v>
      </x:c>
      <x:c r="J1840" s="68" t="n">
        <x:f>IFERROR(H1840/I1840,"")</x:f>
        <x:v>0.19047619047619047</x:v>
      </x:c>
      <x:c r="K1840" s="69" t="n">
        <x:f>IFERROR(I1840/H1840,"")</x:f>
        <x:v>5.25</x:v>
      </x:c>
      <x:c r="L1840" s="66" t="str">
        <x:f>IF(K1840="","","1 : "&amp;TEXT(K1840,"0.0"))</x:f>
        <x:v>1 : 5.3</x:v>
      </x:c>
      <x:c r="M1840" s="66" t="str">
        <x:f>IF(J1840="","Baru/Tanpa Data",IF(J1840&lt;='Catatan &amp; Sumber'!$B$14,"Sangat Ketat",IF(J1840&lt;='Catatan &amp; Sumber'!$B$15,"Ketat",IF(J1840&lt;='Catatan &amp; Sumber'!$B$16,"Sedang","Relatif Longgar"))))</x:f>
        <x:v>Relatif Longgar</x:v>
      </x:c>
      <x:c r="N1840" s="66" t="str">
        <x:v>Tidak Ada</x:v>
      </x:c>
      <x:c r="O1840" s="66" t="str">
        <x:v>Jawa Barat</x:v>
      </x:c>
      <x:c r="P1840" s="66" t="str">
        <x:v>Kabupaten Bogor</x:v>
      </x:c>
      <x:c r="Q1840" s="66" t="str">
        <x:v>https://snpmb.id/snbp/daya-tampung-snbp</x:v>
      </x:c>
      <x:c r="R1840" s="66" t="str">
        <x:v>https://sidatagrun-public-1076756628210.asia-southeast2.run.app/ptn_sn.php?ptn=341</x:v>
      </x:c>
    </x:row>
    <x:row r="1841">
      <x:c r="A1841" s="87" t="n">
        <x:v>3245</x:v>
      </x:c>
      <x:c r="B1841" s="66" t="n">
        <x:v>341</x:v>
      </x:c>
      <x:c r="C1841" s="66" t="str">
        <x:v>INSTITUT PERTANIAN BOGOR</x:v>
      </x:c>
      <x:c r="D1841" s="66" t="str">
        <x:v>PTN Akademik</x:v>
      </x:c>
      <x:c r="E1841" s="66" t="str">
        <x:v>13412051</x:v>
      </x:c>
      <x:c r="F1841" s="66" t="str">
        <x:v>TEKNOLOGI DAN MANAJEMEN PEMBENIHAN IKAN (KAMPUS SUKABUMI)</x:v>
      </x:c>
      <x:c r="G1841" s="66" t="str">
        <x:v>Sarjana Terapan</x:v>
      </x:c>
      <x:c r="H1841" s="87" t="n">
        <x:v>28</x:v>
      </x:c>
      <x:c r="I1841" s="87" t="n">
        <x:v>79</x:v>
      </x:c>
      <x:c r="J1841" s="68" t="n">
        <x:f>IFERROR(H1841/I1841,"")</x:f>
        <x:v>0.35443037974683544</x:v>
      </x:c>
      <x:c r="K1841" s="69" t="n">
        <x:f>IFERROR(I1841/H1841,"")</x:f>
        <x:v>2.8214285714285716</x:v>
      </x:c>
      <x:c r="L1841" s="66" t="str">
        <x:f>IF(K1841="","","1 : "&amp;TEXT(K1841,"0.0"))</x:f>
        <x:v>1 : 2.8</x:v>
      </x:c>
      <x:c r="M1841" s="66" t="str">
        <x:f>IF(J1841="","Baru/Tanpa Data",IF(J1841&lt;='Catatan &amp; Sumber'!$B$14,"Sangat Ketat",IF(J1841&lt;='Catatan &amp; Sumber'!$B$15,"Ketat",IF(J1841&lt;='Catatan &amp; Sumber'!$B$16,"Sedang","Relatif Longgar"))))</x:f>
        <x:v>Relatif Longgar</x:v>
      </x:c>
      <x:c r="N1841" s="66" t="str">
        <x:v>Tidak Ada</x:v>
      </x:c>
      <x:c r="O1841" s="66" t="str">
        <x:v>Jawa Barat</x:v>
      </x:c>
      <x:c r="P1841" s="66" t="str">
        <x:v>Kabupaten Bogor</x:v>
      </x:c>
      <x:c r="Q1841" s="66" t="str">
        <x:v>https://snpmb.id/snbp/daya-tampung-snbp</x:v>
      </x:c>
      <x:c r="R1841" s="66" t="str">
        <x:v>https://sidatagrun-public-1076756628210.asia-southeast2.run.app/ptn_sn.php?ptn=341</x:v>
      </x:c>
    </x:row>
    <x:row r="1842">
      <x:c r="A1842" s="87" t="n">
        <x:v>1434</x:v>
      </x:c>
      <x:c r="B1842" s="66" t="n">
        <x:v>341</x:v>
      </x:c>
      <x:c r="C1842" s="66" t="str">
        <x:v>INSTITUT PERTANIAN BOGOR</x:v>
      </x:c>
      <x:c r="D1842" s="66" t="str">
        <x:v>PTN Akademik</x:v>
      </x:c>
      <x:c r="E1842" s="66" t="str">
        <x:v>13412052</x:v>
      </x:c>
      <x:c r="F1842" s="66" t="str">
        <x:v>TEKNOLOGI DAN MANAJEMEN TERNAK</x:v>
      </x:c>
      <x:c r="G1842" s="66" t="str">
        <x:v>Sarjana Terapan</x:v>
      </x:c>
      <x:c r="H1842" s="87" t="n">
        <x:v>28</x:v>
      </x:c>
      <x:c r="I1842" s="87" t="n">
        <x:v>266</x:v>
      </x:c>
      <x:c r="J1842" s="68" t="n">
        <x:f>IFERROR(H1842/I1842,"")</x:f>
        <x:v>0.10526315789473684</x:v>
      </x:c>
      <x:c r="K1842" s="69" t="n">
        <x:f>IFERROR(I1842/H1842,"")</x:f>
        <x:v>9.5</x:v>
      </x:c>
      <x:c r="L1842" s="66" t="str">
        <x:f>IF(K1842="","","1 : "&amp;TEXT(K1842,"0.0"))</x:f>
        <x:v>1 : 9.5</x:v>
      </x:c>
      <x:c r="M1842" s="66" t="str">
        <x:f>IF(J1842="","Baru/Tanpa Data",IF(J1842&lt;='Catatan &amp; Sumber'!$B$14,"Sangat Ketat",IF(J1842&lt;='Catatan &amp; Sumber'!$B$15,"Ketat",IF(J1842&lt;='Catatan &amp; Sumber'!$B$16,"Sedang","Relatif Longgar"))))</x:f>
        <x:v>Relatif Longgar</x:v>
      </x:c>
      <x:c r="N1842" s="66" t="str">
        <x:v>Tidak Ada</x:v>
      </x:c>
      <x:c r="O1842" s="66" t="str">
        <x:v>Jawa Barat</x:v>
      </x:c>
      <x:c r="P1842" s="66" t="str">
        <x:v>Kabupaten Bogor</x:v>
      </x:c>
      <x:c r="Q1842" s="66" t="str">
        <x:v>https://snpmb.id/snbp/daya-tampung-snbp</x:v>
      </x:c>
      <x:c r="R1842" s="66" t="str">
        <x:v>https://sidatagrun-public-1076756628210.asia-southeast2.run.app/ptn_sn.php?ptn=341</x:v>
      </x:c>
    </x:row>
    <x:row r="1843">
      <x:c r="A1843" s="87" t="n">
        <x:v>2790</x:v>
      </x:c>
      <x:c r="B1843" s="66" t="n">
        <x:v>341</x:v>
      </x:c>
      <x:c r="C1843" s="66" t="str">
        <x:v>INSTITUT PERTANIAN BOGOR</x:v>
      </x:c>
      <x:c r="D1843" s="66" t="str">
        <x:v>PTN Akademik</x:v>
      </x:c>
      <x:c r="E1843" s="66" t="str">
        <x:v>13412053</x:v>
      </x:c>
      <x:c r="F1843" s="66" t="str">
        <x:v>TEKNOLOGI DAN MANAJEMEN TERNAK (KAMPUS SUKABUMI)</x:v>
      </x:c>
      <x:c r="G1843" s="66" t="str">
        <x:v>Sarjana Terapan</x:v>
      </x:c>
      <x:c r="H1843" s="87" t="n">
        <x:v>28</x:v>
      </x:c>
      <x:c r="I1843" s="87" t="n">
        <x:v>109</x:v>
      </x:c>
      <x:c r="J1843" s="68" t="n">
        <x:f>IFERROR(H1843/I1843,"")</x:f>
        <x:v>0.25688073394495414</x:v>
      </x:c>
      <x:c r="K1843" s="69" t="n">
        <x:f>IFERROR(I1843/H1843,"")</x:f>
        <x:v>3.892857142857143</x:v>
      </x:c>
      <x:c r="L1843" s="66" t="str">
        <x:f>IF(K1843="","","1 : "&amp;TEXT(K1843,"0.0"))</x:f>
        <x:v>1 : 3.9</x:v>
      </x:c>
      <x:c r="M1843" s="66" t="str">
        <x:f>IF(J1843="","Baru/Tanpa Data",IF(J1843&lt;='Catatan &amp; Sumber'!$B$14,"Sangat Ketat",IF(J1843&lt;='Catatan &amp; Sumber'!$B$15,"Ketat",IF(J1843&lt;='Catatan &amp; Sumber'!$B$16,"Sedang","Relatif Longgar"))))</x:f>
        <x:v>Relatif Longgar</x:v>
      </x:c>
      <x:c r="N1843" s="66" t="str">
        <x:v>Tidak Ada</x:v>
      </x:c>
      <x:c r="O1843" s="66" t="str">
        <x:v>Jawa Barat</x:v>
      </x:c>
      <x:c r="P1843" s="66" t="str">
        <x:v>Kabupaten Bogor</x:v>
      </x:c>
      <x:c r="Q1843" s="66" t="str">
        <x:v>https://snpmb.id/snbp/daya-tampung-snbp</x:v>
      </x:c>
      <x:c r="R1843" s="66" t="str">
        <x:v>https://sidatagrun-public-1076756628210.asia-southeast2.run.app/ptn_sn.php?ptn=341</x:v>
      </x:c>
    </x:row>
    <x:row r="1844">
      <x:c r="A1844" s="87" t="n">
        <x:v>1789</x:v>
      </x:c>
      <x:c r="B1844" s="66" t="n">
        <x:v>341</x:v>
      </x:c>
      <x:c r="C1844" s="66" t="str">
        <x:v>INSTITUT PERTANIAN BOGOR</x:v>
      </x:c>
      <x:c r="D1844" s="66" t="str">
        <x:v>PTN Akademik</x:v>
      </x:c>
      <x:c r="E1844" s="66" t="str">
        <x:v>13412054</x:v>
      </x:c>
      <x:c r="F1844" s="66" t="str">
        <x:v>MANAJEMEN AGRIBISNIS</x:v>
      </x:c>
      <x:c r="G1844" s="66" t="str">
        <x:v>Sarjana Terapan</x:v>
      </x:c>
      <x:c r="H1844" s="87" t="n">
        <x:v>112</x:v>
      </x:c>
      <x:c r="I1844" s="87" t="n">
        <x:v>852</x:v>
      </x:c>
      <x:c r="J1844" s="68" t="n">
        <x:f>IFERROR(H1844/I1844,"")</x:f>
        <x:v>0.13145539906103287</x:v>
      </x:c>
      <x:c r="K1844" s="69" t="n">
        <x:f>IFERROR(I1844/H1844,"")</x:f>
        <x:v>7.607142857142857</x:v>
      </x:c>
      <x:c r="L1844" s="66" t="str">
        <x:f>IF(K1844="","","1 : "&amp;TEXT(K1844,"0.0"))</x:f>
        <x:v>1 : 7.6</x:v>
      </x:c>
      <x:c r="M1844" s="66" t="str">
        <x:f>IF(J1844="","Baru/Tanpa Data",IF(J1844&lt;='Catatan &amp; Sumber'!$B$14,"Sangat Ketat",IF(J1844&lt;='Catatan &amp; Sumber'!$B$15,"Ketat",IF(J1844&lt;='Catatan &amp; Sumber'!$B$16,"Sedang","Relatif Longgar"))))</x:f>
        <x:v>Relatif Longgar</x:v>
      </x:c>
      <x:c r="N1844" s="66" t="str">
        <x:v>Tidak Ada</x:v>
      </x:c>
      <x:c r="O1844" s="66" t="str">
        <x:v>Jawa Barat</x:v>
      </x:c>
      <x:c r="P1844" s="66" t="str">
        <x:v>Kabupaten Bogor</x:v>
      </x:c>
      <x:c r="Q1844" s="66" t="str">
        <x:v>https://snpmb.id/snbp/daya-tampung-snbp</x:v>
      </x:c>
      <x:c r="R1844" s="66" t="str">
        <x:v>https://sidatagrun-public-1076756628210.asia-southeast2.run.app/ptn_sn.php?ptn=341</x:v>
      </x:c>
    </x:row>
    <x:row r="1845">
      <x:c r="A1845" s="87" t="n">
        <x:v>1939</x:v>
      </x:c>
      <x:c r="B1845" s="66" t="n">
        <x:v>341</x:v>
      </x:c>
      <x:c r="C1845" s="66" t="str">
        <x:v>INSTITUT PERTANIAN BOGOR</x:v>
      </x:c>
      <x:c r="D1845" s="66" t="str">
        <x:v>PTN Akademik</x:v>
      </x:c>
      <x:c r="E1845" s="66" t="str">
        <x:v>13412055</x:v>
      </x:c>
      <x:c r="F1845" s="66" t="str">
        <x:v>MANAJEMEN AGRIBISNIS (KAMPUS SUKABUMI)</x:v>
      </x:c>
      <x:c r="G1845" s="66" t="str">
        <x:v>Sarjana Terapan</x:v>
      </x:c>
      <x:c r="H1845" s="87" t="n">
        <x:v>36</x:v>
      </x:c>
      <x:c r="I1845" s="87" t="n">
        <x:v>248</x:v>
      </x:c>
      <x:c r="J1845" s="68" t="n">
        <x:f>IFERROR(H1845/I1845,"")</x:f>
        <x:v>0.14516129032258066</x:v>
      </x:c>
      <x:c r="K1845" s="69" t="n">
        <x:f>IFERROR(I1845/H1845,"")</x:f>
        <x:v>6.888888888888889</x:v>
      </x:c>
      <x:c r="L1845" s="66" t="str">
        <x:f>IF(K1845="","","1 : "&amp;TEXT(K1845,"0.0"))</x:f>
        <x:v>1 : 6.9</x:v>
      </x:c>
      <x:c r="M1845" s="66" t="str">
        <x:f>IF(J1845="","Baru/Tanpa Data",IF(J1845&lt;='Catatan &amp; Sumber'!$B$14,"Sangat Ketat",IF(J1845&lt;='Catatan &amp; Sumber'!$B$15,"Ketat",IF(J1845&lt;='Catatan &amp; Sumber'!$B$16,"Sedang","Relatif Longgar"))))</x:f>
        <x:v>Relatif Longgar</x:v>
      </x:c>
      <x:c r="N1845" s="66" t="str">
        <x:v>Tidak Ada</x:v>
      </x:c>
      <x:c r="O1845" s="66" t="str">
        <x:v>Jawa Barat</x:v>
      </x:c>
      <x:c r="P1845" s="66" t="str">
        <x:v>Kabupaten Bogor</x:v>
      </x:c>
      <x:c r="Q1845" s="66" t="str">
        <x:v>https://snpmb.id/snbp/daya-tampung-snbp</x:v>
      </x:c>
      <x:c r="R1845" s="66" t="str">
        <x:v>https://sidatagrun-public-1076756628210.asia-southeast2.run.app/ptn_sn.php?ptn=341</x:v>
      </x:c>
    </x:row>
    <x:row r="1846">
      <x:c r="A1846" s="87" t="n">
        <x:v>1360</x:v>
      </x:c>
      <x:c r="B1846" s="66" t="n">
        <x:v>341</x:v>
      </x:c>
      <x:c r="C1846" s="66" t="str">
        <x:v>INSTITUT PERTANIAN BOGOR</x:v>
      </x:c>
      <x:c r="D1846" s="66" t="str">
        <x:v>PTN Akademik</x:v>
      </x:c>
      <x:c r="E1846" s="66" t="str">
        <x:v>13412056</x:v>
      </x:c>
      <x:c r="F1846" s="66" t="str">
        <x:v>MANAJEMEN INDUSTRI</x:v>
      </x:c>
      <x:c r="G1846" s="66" t="str">
        <x:v>Sarjana Terapan</x:v>
      </x:c>
      <x:c r="H1846" s="87" t="n">
        <x:v>56</x:v>
      </x:c>
      <x:c r="I1846" s="87" t="n">
        <x:v>566</x:v>
      </x:c>
      <x:c r="J1846" s="68" t="n">
        <x:f>IFERROR(H1846/I1846,"")</x:f>
        <x:v>0.0989399293286219</x:v>
      </x:c>
      <x:c r="K1846" s="69" t="n">
        <x:f>IFERROR(I1846/H1846,"")</x:f>
        <x:v>10.107142857142858</x:v>
      </x:c>
      <x:c r="L1846" s="66" t="str">
        <x:f>IF(K1846="","","1 : "&amp;TEXT(K1846,"0.0"))</x:f>
        <x:v>1 : 10.1</x:v>
      </x:c>
      <x:c r="M1846" s="66" t="str">
        <x:f>IF(J1846="","Baru/Tanpa Data",IF(J1846&lt;='Catatan &amp; Sumber'!$B$14,"Sangat Ketat",IF(J1846&lt;='Catatan &amp; Sumber'!$B$15,"Ketat",IF(J1846&lt;='Catatan &amp; Sumber'!$B$16,"Sedang","Relatif Longgar"))))</x:f>
        <x:v>Sedang</x:v>
      </x:c>
      <x:c r="N1846" s="66" t="str">
        <x:v>Tidak Ada</x:v>
      </x:c>
      <x:c r="O1846" s="66" t="str">
        <x:v>Jawa Barat</x:v>
      </x:c>
      <x:c r="P1846" s="66" t="str">
        <x:v>Kabupaten Bogor</x:v>
      </x:c>
      <x:c r="Q1846" s="66" t="str">
        <x:v>https://snpmb.id/snbp/daya-tampung-snbp</x:v>
      </x:c>
      <x:c r="R1846" s="66" t="str">
        <x:v>https://sidatagrun-public-1076756628210.asia-southeast2.run.app/ptn_sn.php?ptn=341</x:v>
      </x:c>
    </x:row>
    <x:row r="1847">
      <x:c r="A1847" s="87" t="n">
        <x:v>1579</x:v>
      </x:c>
      <x:c r="B1847" s="66" t="n">
        <x:v>341</x:v>
      </x:c>
      <x:c r="C1847" s="66" t="str">
        <x:v>INSTITUT PERTANIAN BOGOR</x:v>
      </x:c>
      <x:c r="D1847" s="66" t="str">
        <x:v>PTN Akademik</x:v>
      </x:c>
      <x:c r="E1847" s="66" t="str">
        <x:v>13412057</x:v>
      </x:c>
      <x:c r="F1847" s="66" t="str">
        <x:v>ANALISIS KIMIA</x:v>
      </x:c>
      <x:c r="G1847" s="66" t="str">
        <x:v>Sarjana Terapan</x:v>
      </x:c>
      <x:c r="H1847" s="87" t="n">
        <x:v>56</x:v>
      </x:c>
      <x:c r="I1847" s="87" t="n">
        <x:v>489</x:v>
      </x:c>
      <x:c r="J1847" s="68" t="n">
        <x:f>IFERROR(H1847/I1847,"")</x:f>
        <x:v>0.11451942740286299</x:v>
      </x:c>
      <x:c r="K1847" s="69" t="n">
        <x:f>IFERROR(I1847/H1847,"")</x:f>
        <x:v>8.732142857142858</x:v>
      </x:c>
      <x:c r="L1847" s="66" t="str">
        <x:f>IF(K1847="","","1 : "&amp;TEXT(K1847,"0.0"))</x:f>
        <x:v>1 : 8.7</x:v>
      </x:c>
      <x:c r="M1847" s="66" t="str">
        <x:f>IF(J1847="","Baru/Tanpa Data",IF(J1847&lt;='Catatan &amp; Sumber'!$B$14,"Sangat Ketat",IF(J1847&lt;='Catatan &amp; Sumber'!$B$15,"Ketat",IF(J1847&lt;='Catatan &amp; Sumber'!$B$16,"Sedang","Relatif Longgar"))))</x:f>
        <x:v>Relatif Longgar</x:v>
      </x:c>
      <x:c r="N1847" s="66" t="str">
        <x:v>Tidak Ada</x:v>
      </x:c>
      <x:c r="O1847" s="66" t="str">
        <x:v>Jawa Barat</x:v>
      </x:c>
      <x:c r="P1847" s="66" t="str">
        <x:v>Kabupaten Bogor</x:v>
      </x:c>
      <x:c r="Q1847" s="66" t="str">
        <x:v>https://snpmb.id/snbp/daya-tampung-snbp</x:v>
      </x:c>
      <x:c r="R1847" s="66" t="str">
        <x:v>https://sidatagrun-public-1076756628210.asia-southeast2.run.app/ptn_sn.php?ptn=341</x:v>
      </x:c>
    </x:row>
    <x:row r="1848">
      <x:c r="A1848" s="87" t="n">
        <x:v>1297</x:v>
      </x:c>
      <x:c r="B1848" s="66" t="n">
        <x:v>341</x:v>
      </x:c>
      <x:c r="C1848" s="66" t="str">
        <x:v>INSTITUT PERTANIAN BOGOR</x:v>
      </x:c>
      <x:c r="D1848" s="66" t="str">
        <x:v>PTN Akademik</x:v>
      </x:c>
      <x:c r="E1848" s="66" t="str">
        <x:v>13412058</x:v>
      </x:c>
      <x:c r="F1848" s="66" t="str">
        <x:v>TEKNIK DAN MANAJEMEN LINGKUNGAN</x:v>
      </x:c>
      <x:c r="G1848" s="66" t="str">
        <x:v>Sarjana Terapan</x:v>
      </x:c>
      <x:c r="H1848" s="87" t="n">
        <x:v>56</x:v>
      </x:c>
      <x:c r="I1848" s="87" t="n">
        <x:v>588</x:v>
      </x:c>
      <x:c r="J1848" s="68" t="n">
        <x:f>IFERROR(H1848/I1848,"")</x:f>
        <x:v>0.09523809523809523</x:v>
      </x:c>
      <x:c r="K1848" s="69" t="n">
        <x:f>IFERROR(I1848/H1848,"")</x:f>
        <x:v>10.5</x:v>
      </x:c>
      <x:c r="L1848" s="66" t="str">
        <x:f>IF(K1848="","","1 : "&amp;TEXT(K1848,"0.0"))</x:f>
        <x:v>1 : 10.5</x:v>
      </x:c>
      <x:c r="M1848" s="66" t="str">
        <x:f>IF(J1848="","Baru/Tanpa Data",IF(J1848&lt;='Catatan &amp; Sumber'!$B$14,"Sangat Ketat",IF(J1848&lt;='Catatan &amp; Sumber'!$B$15,"Ketat",IF(J1848&lt;='Catatan &amp; Sumber'!$B$16,"Sedang","Relatif Longgar"))))</x:f>
        <x:v>Sedang</x:v>
      </x:c>
      <x:c r="N1848" s="66" t="str">
        <x:v>Tidak Ada</x:v>
      </x:c>
      <x:c r="O1848" s="66" t="str">
        <x:v>Jawa Barat</x:v>
      </x:c>
      <x:c r="P1848" s="66" t="str">
        <x:v>Kabupaten Bogor</x:v>
      </x:c>
      <x:c r="Q1848" s="66" t="str">
        <x:v>https://snpmb.id/snbp/daya-tampung-snbp</x:v>
      </x:c>
      <x:c r="R1848" s="66" t="str">
        <x:v>https://sidatagrun-public-1076756628210.asia-southeast2.run.app/ptn_sn.php?ptn=341</x:v>
      </x:c>
    </x:row>
    <x:row r="1849">
      <x:c r="A1849" s="87" t="n">
        <x:v>1280</x:v>
      </x:c>
      <x:c r="B1849" s="66" t="n">
        <x:v>341</x:v>
      </x:c>
      <x:c r="C1849" s="66" t="str">
        <x:v>INSTITUT PERTANIAN BOGOR</x:v>
      </x:c>
      <x:c r="D1849" s="66" t="str">
        <x:v>PTN Akademik</x:v>
      </x:c>
      <x:c r="E1849" s="66" t="str">
        <x:v>13412059</x:v>
      </x:c>
      <x:c r="F1849" s="66" t="str">
        <x:v>AKUNTANSI</x:v>
      </x:c>
      <x:c r="G1849" s="66" t="str">
        <x:v>Sarjana Terapan</x:v>
      </x:c>
      <x:c r="H1849" s="87" t="n">
        <x:v>112</x:v>
      </x:c>
      <x:c r="I1849" s="87" t="n">
        <x:v>1188</x:v>
      </x:c>
      <x:c r="J1849" s="68" t="n">
        <x:f>IFERROR(H1849/I1849,"")</x:f>
        <x:v>0.09427609427609428</x:v>
      </x:c>
      <x:c r="K1849" s="69" t="n">
        <x:f>IFERROR(I1849/H1849,"")</x:f>
        <x:v>10.607142857142858</x:v>
      </x:c>
      <x:c r="L1849" s="66" t="str">
        <x:f>IF(K1849="","","1 : "&amp;TEXT(K1849,"0.0"))</x:f>
        <x:v>1 : 10.6</x:v>
      </x:c>
      <x:c r="M1849" s="66" t="str">
        <x:f>IF(J1849="","Baru/Tanpa Data",IF(J1849&lt;='Catatan &amp; Sumber'!$B$14,"Sangat Ketat",IF(J1849&lt;='Catatan &amp; Sumber'!$B$15,"Ketat",IF(J1849&lt;='Catatan &amp; Sumber'!$B$16,"Sedang","Relatif Longgar"))))</x:f>
        <x:v>Sedang</x:v>
      </x:c>
      <x:c r="N1849" s="66" t="str">
        <x:v>Tidak Ada</x:v>
      </x:c>
      <x:c r="O1849" s="66" t="str">
        <x:v>Jawa Barat</x:v>
      </x:c>
      <x:c r="P1849" s="66" t="str">
        <x:v>Kabupaten Bogor</x:v>
      </x:c>
      <x:c r="Q1849" s="66" t="str">
        <x:v>https://snpmb.id/snbp/daya-tampung-snbp</x:v>
      </x:c>
      <x:c r="R1849" s="66" t="str">
        <x:v>https://sidatagrun-public-1076756628210.asia-southeast2.run.app/ptn_sn.php?ptn=341</x:v>
      </x:c>
    </x:row>
    <x:row r="1850">
      <x:c r="A1850" s="87" t="n">
        <x:v>2097</x:v>
      </x:c>
      <x:c r="B1850" s="66" t="n">
        <x:v>341</x:v>
      </x:c>
      <x:c r="C1850" s="66" t="str">
        <x:v>INSTITUT PERTANIAN BOGOR</x:v>
      </x:c>
      <x:c r="D1850" s="66" t="str">
        <x:v>PTN Akademik</x:v>
      </x:c>
      <x:c r="E1850" s="66" t="str">
        <x:v>13412060</x:v>
      </x:c>
      <x:c r="F1850" s="66" t="str">
        <x:v>PARAMEDIK VETERINER</x:v>
      </x:c>
      <x:c r="G1850" s="66" t="str">
        <x:v>Sarjana Terapan</x:v>
      </x:c>
      <x:c r="H1850" s="87" t="n">
        <x:v>34</x:v>
      </x:c>
      <x:c r="I1850" s="87" t="n">
        <x:v>211</x:v>
      </x:c>
      <x:c r="J1850" s="68" t="n">
        <x:f>IFERROR(H1850/I1850,"")</x:f>
        <x:v>0.16113744075829384</x:v>
      </x:c>
      <x:c r="K1850" s="69" t="n">
        <x:f>IFERROR(I1850/H1850,"")</x:f>
        <x:v>6.205882352941177</x:v>
      </x:c>
      <x:c r="L1850" s="66" t="str">
        <x:f>IF(K1850="","","1 : "&amp;TEXT(K1850,"0.0"))</x:f>
        <x:v>1 : 6.2</x:v>
      </x:c>
      <x:c r="M1850" s="66" t="str">
        <x:f>IF(J1850="","Baru/Tanpa Data",IF(J1850&lt;='Catatan &amp; Sumber'!$B$14,"Sangat Ketat",IF(J1850&lt;='Catatan &amp; Sumber'!$B$15,"Ketat",IF(J1850&lt;='Catatan &amp; Sumber'!$B$16,"Sedang","Relatif Longgar"))))</x:f>
        <x:v>Relatif Longgar</x:v>
      </x:c>
      <x:c r="N1850" s="66" t="str">
        <x:v>Tidak Ada</x:v>
      </x:c>
      <x:c r="O1850" s="66" t="str">
        <x:v>Jawa Barat</x:v>
      </x:c>
      <x:c r="P1850" s="66" t="str">
        <x:v>Kabupaten Bogor</x:v>
      </x:c>
      <x:c r="Q1850" s="66" t="str">
        <x:v>https://snpmb.id/snbp/daya-tampung-snbp</x:v>
      </x:c>
      <x:c r="R1850" s="66" t="str">
        <x:v>https://sidatagrun-public-1076756628210.asia-southeast2.run.app/ptn_sn.php?ptn=341</x:v>
      </x:c>
    </x:row>
    <x:row r="1851">
      <x:c r="A1851" s="87" t="n">
        <x:v>1930</x:v>
      </x:c>
      <x:c r="B1851" s="66" t="n">
        <x:v>341</x:v>
      </x:c>
      <x:c r="C1851" s="66" t="str">
        <x:v>INSTITUT PERTANIAN BOGOR</x:v>
      </x:c>
      <x:c r="D1851" s="66" t="str">
        <x:v>PTN Akademik</x:v>
      </x:c>
      <x:c r="E1851" s="66" t="str">
        <x:v>13412061</x:v>
      </x:c>
      <x:c r="F1851" s="66" t="str">
        <x:v>TEKNOLOGI DAN MANAJEMEN PRODUKSI PERKEBUNAN</x:v>
      </x:c>
      <x:c r="G1851" s="66" t="str">
        <x:v>Sarjana Terapan</x:v>
      </x:c>
      <x:c r="H1851" s="87" t="n">
        <x:v>42</x:v>
      </x:c>
      <x:c r="I1851" s="87" t="n">
        <x:v>291</x:v>
      </x:c>
      <x:c r="J1851" s="68" t="n">
        <x:f>IFERROR(H1851/I1851,"")</x:f>
        <x:v>0.14432989690721648</x:v>
      </x:c>
      <x:c r="K1851" s="69" t="n">
        <x:f>IFERROR(I1851/H1851,"")</x:f>
        <x:v>6.928571428571429</x:v>
      </x:c>
      <x:c r="L1851" s="66" t="str">
        <x:f>IF(K1851="","","1 : "&amp;TEXT(K1851,"0.0"))</x:f>
        <x:v>1 : 6.9</x:v>
      </x:c>
      <x:c r="M1851" s="66" t="str">
        <x:f>IF(J1851="","Baru/Tanpa Data",IF(J1851&lt;='Catatan &amp; Sumber'!$B$14,"Sangat Ketat",IF(J1851&lt;='Catatan &amp; Sumber'!$B$15,"Ketat",IF(J1851&lt;='Catatan &amp; Sumber'!$B$16,"Sedang","Relatif Longgar"))))</x:f>
        <x:v>Relatif Longgar</x:v>
      </x:c>
      <x:c r="N1851" s="66" t="str">
        <x:v>Tidak Ada</x:v>
      </x:c>
      <x:c r="O1851" s="66" t="str">
        <x:v>Jawa Barat</x:v>
      </x:c>
      <x:c r="P1851" s="66" t="str">
        <x:v>Kabupaten Bogor</x:v>
      </x:c>
      <x:c r="Q1851" s="66" t="str">
        <x:v>https://snpmb.id/snbp/daya-tampung-snbp</x:v>
      </x:c>
      <x:c r="R1851" s="66" t="str">
        <x:v>https://sidatagrun-public-1076756628210.asia-southeast2.run.app/ptn_sn.php?ptn=341</x:v>
      </x:c>
    </x:row>
    <x:row r="1852">
      <x:c r="A1852" s="87" t="n">
        <x:v>1446</x:v>
      </x:c>
      <x:c r="B1852" s="66" t="n">
        <x:v>341</x:v>
      </x:c>
      <x:c r="C1852" s="66" t="str">
        <x:v>INSTITUT PERTANIAN BOGOR</x:v>
      </x:c>
      <x:c r="D1852" s="66" t="str">
        <x:v>PTN Akademik</x:v>
      </x:c>
      <x:c r="E1852" s="66" t="str">
        <x:v>13412062</x:v>
      </x:c>
      <x:c r="F1852" s="66" t="str">
        <x:v>TEKNOLOGI PRODUKSI DAN PENGEMBANGAN MASYARAKAT PERTANIAN</x:v>
      </x:c>
      <x:c r="G1852" s="66" t="str">
        <x:v>Sarjana Terapan</x:v>
      </x:c>
      <x:c r="H1852" s="87" t="n">
        <x:v>28</x:v>
      </x:c>
      <x:c r="I1852" s="87" t="n">
        <x:v>265</x:v>
      </x:c>
      <x:c r="J1852" s="68" t="n">
        <x:f>IFERROR(H1852/I1852,"")</x:f>
        <x:v>0.10566037735849057</x:v>
      </x:c>
      <x:c r="K1852" s="69" t="n">
        <x:f>IFERROR(I1852/H1852,"")</x:f>
        <x:v>9.464285714285714</x:v>
      </x:c>
      <x:c r="L1852" s="66" t="str">
        <x:f>IF(K1852="","","1 : "&amp;TEXT(K1852,"0.0"))</x:f>
        <x:v>1 : 9.5</x:v>
      </x:c>
      <x:c r="M1852" s="66" t="str">
        <x:f>IF(J1852="","Baru/Tanpa Data",IF(J1852&lt;='Catatan &amp; Sumber'!$B$14,"Sangat Ketat",IF(J1852&lt;='Catatan &amp; Sumber'!$B$15,"Ketat",IF(J1852&lt;='Catatan &amp; Sumber'!$B$16,"Sedang","Relatif Longgar"))))</x:f>
        <x:v>Relatif Longgar</x:v>
      </x:c>
      <x:c r="N1852" s="66" t="str">
        <x:v>Tidak Ada</x:v>
      </x:c>
      <x:c r="O1852" s="66" t="str">
        <x:v>Jawa Barat</x:v>
      </x:c>
      <x:c r="P1852" s="66" t="str">
        <x:v>Kabupaten Bogor</x:v>
      </x:c>
      <x:c r="Q1852" s="66" t="str">
        <x:v>https://snpmb.id/snbp/daya-tampung-snbp</x:v>
      </x:c>
      <x:c r="R1852" s="66" t="str">
        <x:v>https://sidatagrun-public-1076756628210.asia-southeast2.run.app/ptn_sn.php?ptn=341</x:v>
      </x:c>
    </x:row>
    <x:row r="1853">
      <x:c r="A1853" s="87"/>
      <x:c r="B1853" s="66" t="n">
        <x:v>341</x:v>
      </x:c>
      <x:c r="C1853" s="66" t="str">
        <x:v>INSTITUT PERTANIAN BOGOR</x:v>
      </x:c>
      <x:c r="D1853" s="66" t="str">
        <x:v>PTN Akademik</x:v>
      </x:c>
      <x:c r="E1853" s="66" t="str">
        <x:v>13412073</x:v>
      </x:c>
      <x:c r="F1853" s="66" t="str">
        <x:v>PEMULIAAN TANAMAN DAN TEKNOLOGI BENIH</x:v>
      </x:c>
      <x:c r="G1853" s="66" t="str">
        <x:v>Sarjana Terapan</x:v>
      </x:c>
      <x:c r="H1853" s="87" t="n">
        <x:v>28</x:v>
      </x:c>
      <x:c r="I1853" s="87"/>
      <x:c r="J1853" s="68" t="str">
        <x:f>IFERROR(H1853/I1853,"")</x:f>
      </x:c>
      <x:c r="K1853" s="69" t="n">
        <x:f>IFERROR(I1853/H1853,"")</x:f>
        <x:v>0</x:v>
      </x:c>
      <x:c r="L1853" s="66" t="str">
        <x:f>IF(K1853="","","1 : "&amp;TEXT(K1853,"0.0"))</x:f>
      </x:c>
      <x:c r="M1853" s="66" t="str">
        <x:f>IF(J1853="","Baru/Tanpa Data",IF(J1853&lt;='Catatan &amp; Sumber'!$B$14,"Sangat Ketat",IF(J1853&lt;='Catatan &amp; Sumber'!$B$15,"Ketat",IF(J1853&lt;='Catatan &amp; Sumber'!$B$16,"Sedang","Relatif Longgar"))))</x:f>
        <x:v>Baru/Tanpa Data</x:v>
      </x:c>
      <x:c r="N1853" s="66" t="str">
        <x:v>Tidak Ada</x:v>
      </x:c>
      <x:c r="O1853" s="66" t="str">
        <x:v>Jawa Barat</x:v>
      </x:c>
      <x:c r="P1853" s="66" t="str">
        <x:v>Kabupaten Bogor</x:v>
      </x:c>
      <x:c r="Q1853" s="66" t="str">
        <x:v>https://snpmb.id/snbp/daya-tampung-snbp</x:v>
      </x:c>
      <x:c r="R1853" s="66" t="str">
        <x:v>https://sidatagrun-public-1076756628210.asia-southeast2.run.app/ptn_sn.php?ptn=341</x:v>
      </x:c>
    </x:row>
    <x:row r="1854">
      <x:c r="A1854" s="87" t="n">
        <x:v>1917</x:v>
      </x:c>
      <x:c r="B1854" s="66" t="n">
        <x:v>342</x:v>
      </x:c>
      <x:c r="C1854" s="66" t="str">
        <x:v>UNIVERSITAS SILIWANGI</x:v>
      </x:c>
      <x:c r="D1854" s="66" t="str">
        <x:v>PTN Akademik</x:v>
      </x:c>
      <x:c r="E1854" s="66" t="str">
        <x:v>13421001</x:v>
      </x:c>
      <x:c r="F1854" s="66" t="str">
        <x:v>PENDIDIKAN MATEMATIKA</x:v>
      </x:c>
      <x:c r="G1854" s="66" t="str">
        <x:v>Sarjana</x:v>
      </x:c>
      <x:c r="H1854" s="87" t="n">
        <x:v>60</x:v>
      </x:c>
      <x:c r="I1854" s="87" t="n">
        <x:v>420</x:v>
      </x:c>
      <x:c r="J1854" s="68" t="n">
        <x:f>IFERROR(H1854/I1854,"")</x:f>
        <x:v>0.14285714285714285</x:v>
      </x:c>
      <x:c r="K1854" s="69" t="n">
        <x:f>IFERROR(I1854/H1854,"")</x:f>
        <x:v>7</x:v>
      </x:c>
      <x:c r="L1854" s="66" t="str">
        <x:f>IF(K1854="","","1 : "&amp;TEXT(K1854,"0.0"))</x:f>
        <x:v>1 : 7.0</x:v>
      </x:c>
      <x:c r="M1854" s="66" t="str">
        <x:f>IF(J1854="","Baru/Tanpa Data",IF(J1854&lt;='Catatan &amp; Sumber'!$B$14,"Sangat Ketat",IF(J1854&lt;='Catatan &amp; Sumber'!$B$15,"Ketat",IF(J1854&lt;='Catatan &amp; Sumber'!$B$16,"Sedang","Relatif Longgar"))))</x:f>
        <x:v>Relatif Longgar</x:v>
      </x:c>
      <x:c r="N1854" s="66" t="str">
        <x:v>Tidak Ada</x:v>
      </x:c>
      <x:c r="O1854" s="66" t="str">
        <x:v>Jawa Barat</x:v>
      </x:c>
      <x:c r="P1854" s="66" t="str">
        <x:v>Kota Tasikmalaya</x:v>
      </x:c>
      <x:c r="Q1854" s="66" t="str">
        <x:v>https://snpmb.id/snbp/daya-tampung-snbp</x:v>
      </x:c>
      <x:c r="R1854" s="66" t="str">
        <x:v>https://sidatagrun-public-1076756628210.asia-southeast2.run.app/ptn_sn.php?ptn=342</x:v>
      </x:c>
    </x:row>
    <x:row r="1855">
      <x:c r="A1855" s="87" t="n">
        <x:v>1835</x:v>
      </x:c>
      <x:c r="B1855" s="66" t="n">
        <x:v>342</x:v>
      </x:c>
      <x:c r="C1855" s="66" t="str">
        <x:v>UNIVERSITAS SILIWANGI</x:v>
      </x:c>
      <x:c r="D1855" s="66" t="str">
        <x:v>PTN Akademik</x:v>
      </x:c>
      <x:c r="E1855" s="66" t="str">
        <x:v>13421002</x:v>
      </x:c>
      <x:c r="F1855" s="66" t="str">
        <x:v>PENDIDIKAN BIOLOGI</x:v>
      </x:c>
      <x:c r="G1855" s="66" t="str">
        <x:v>Sarjana</x:v>
      </x:c>
      <x:c r="H1855" s="87" t="n">
        <x:v>58</x:v>
      </x:c>
      <x:c r="I1855" s="87" t="n">
        <x:v>429</x:v>
      </x:c>
      <x:c r="J1855" s="68" t="n">
        <x:f>IFERROR(H1855/I1855,"")</x:f>
        <x:v>0.1351981351981352</x:v>
      </x:c>
      <x:c r="K1855" s="69" t="n">
        <x:f>IFERROR(I1855/H1855,"")</x:f>
        <x:v>7.396551724137931</x:v>
      </x:c>
      <x:c r="L1855" s="66" t="str">
        <x:f>IF(K1855="","","1 : "&amp;TEXT(K1855,"0.0"))</x:f>
        <x:v>1 : 7.4</x:v>
      </x:c>
      <x:c r="M1855" s="66" t="str">
        <x:f>IF(J1855="","Baru/Tanpa Data",IF(J1855&lt;='Catatan &amp; Sumber'!$B$14,"Sangat Ketat",IF(J1855&lt;='Catatan &amp; Sumber'!$B$15,"Ketat",IF(J1855&lt;='Catatan &amp; Sumber'!$B$16,"Sedang","Relatif Longgar"))))</x:f>
        <x:v>Relatif Longgar</x:v>
      </x:c>
      <x:c r="N1855" s="66" t="str">
        <x:v>Tidak Ada</x:v>
      </x:c>
      <x:c r="O1855" s="66" t="str">
        <x:v>Jawa Barat</x:v>
      </x:c>
      <x:c r="P1855" s="66" t="str">
        <x:v>Kota Tasikmalaya</x:v>
      </x:c>
      <x:c r="Q1855" s="66" t="str">
        <x:v>https://snpmb.id/snbp/daya-tampung-snbp</x:v>
      </x:c>
      <x:c r="R1855" s="66" t="str">
        <x:v>https://sidatagrun-public-1076756628210.asia-southeast2.run.app/ptn_sn.php?ptn=342</x:v>
      </x:c>
    </x:row>
    <x:row r="1856">
      <x:c r="A1856" s="87" t="n">
        <x:v>1840</x:v>
      </x:c>
      <x:c r="B1856" s="66" t="n">
        <x:v>342</x:v>
      </x:c>
      <x:c r="C1856" s="66" t="str">
        <x:v>UNIVERSITAS SILIWANGI</x:v>
      </x:c>
      <x:c r="D1856" s="66" t="str">
        <x:v>PTN Akademik</x:v>
      </x:c>
      <x:c r="E1856" s="66" t="str">
        <x:v>13421003</x:v>
      </x:c>
      <x:c r="F1856" s="66" t="str">
        <x:v>AGROTEKNOLOGI</x:v>
      </x:c>
      <x:c r="G1856" s="66" t="str">
        <x:v>Sarjana</x:v>
      </x:c>
      <x:c r="H1856" s="87" t="n">
        <x:v>53</x:v>
      </x:c>
      <x:c r="I1856" s="87" t="n">
        <x:v>391</x:v>
      </x:c>
      <x:c r="J1856" s="68" t="n">
        <x:f>IFERROR(H1856/I1856,"")</x:f>
        <x:v>0.13554987212276215</x:v>
      </x:c>
      <x:c r="K1856" s="69" t="n">
        <x:f>IFERROR(I1856/H1856,"")</x:f>
        <x:v>7.377358490566038</x:v>
      </x:c>
      <x:c r="L1856" s="66" t="str">
        <x:f>IF(K1856="","","1 : "&amp;TEXT(K1856,"0.0"))</x:f>
        <x:v>1 : 7.4</x:v>
      </x:c>
      <x:c r="M1856" s="66" t="str">
        <x:f>IF(J1856="","Baru/Tanpa Data",IF(J1856&lt;='Catatan &amp; Sumber'!$B$14,"Sangat Ketat",IF(J1856&lt;='Catatan &amp; Sumber'!$B$15,"Ketat",IF(J1856&lt;='Catatan &amp; Sumber'!$B$16,"Sedang","Relatif Longgar"))))</x:f>
        <x:v>Relatif Longgar</x:v>
      </x:c>
      <x:c r="N1856" s="66" t="str">
        <x:v>Tidak Ada</x:v>
      </x:c>
      <x:c r="O1856" s="66" t="str">
        <x:v>Jawa Barat</x:v>
      </x:c>
      <x:c r="P1856" s="66" t="str">
        <x:v>Kota Tasikmalaya</x:v>
      </x:c>
      <x:c r="Q1856" s="66" t="str">
        <x:v>https://snpmb.id/snbp/daya-tampung-snbp</x:v>
      </x:c>
      <x:c r="R1856" s="66" t="str">
        <x:v>https://sidatagrun-public-1076756628210.asia-southeast2.run.app/ptn_sn.php?ptn=342</x:v>
      </x:c>
    </x:row>
    <x:row r="1857">
      <x:c r="A1857" s="87" t="n">
        <x:v>1891</x:v>
      </x:c>
      <x:c r="B1857" s="66" t="n">
        <x:v>342</x:v>
      </x:c>
      <x:c r="C1857" s="66" t="str">
        <x:v>UNIVERSITAS SILIWANGI</x:v>
      </x:c>
      <x:c r="D1857" s="66" t="str">
        <x:v>PTN Akademik</x:v>
      </x:c>
      <x:c r="E1857" s="66" t="str">
        <x:v>13421004</x:v>
      </x:c>
      <x:c r="F1857" s="66" t="str">
        <x:v>AGRIBISNIS</x:v>
      </x:c>
      <x:c r="G1857" s="66" t="str">
        <x:v>Sarjana</x:v>
      </x:c>
      <x:c r="H1857" s="87" t="n">
        <x:v>68</x:v>
      </x:c>
      <x:c r="I1857" s="87" t="n">
        <x:v>485</x:v>
      </x:c>
      <x:c r="J1857" s="68" t="n">
        <x:f>IFERROR(H1857/I1857,"")</x:f>
        <x:v>0.1402061855670103</x:v>
      </x:c>
      <x:c r="K1857" s="69" t="n">
        <x:f>IFERROR(I1857/H1857,"")</x:f>
        <x:v>7.132352941176471</x:v>
      </x:c>
      <x:c r="L1857" s="66" t="str">
        <x:f>IF(K1857="","","1 : "&amp;TEXT(K1857,"0.0"))</x:f>
        <x:v>1 : 7.1</x:v>
      </x:c>
      <x:c r="M1857" s="66" t="str">
        <x:f>IF(J1857="","Baru/Tanpa Data",IF(J1857&lt;='Catatan &amp; Sumber'!$B$14,"Sangat Ketat",IF(J1857&lt;='Catatan &amp; Sumber'!$B$15,"Ketat",IF(J1857&lt;='Catatan &amp; Sumber'!$B$16,"Sedang","Relatif Longgar"))))</x:f>
        <x:v>Relatif Longgar</x:v>
      </x:c>
      <x:c r="N1857" s="66" t="str">
        <x:v>Tidak Ada</x:v>
      </x:c>
      <x:c r="O1857" s="66" t="str">
        <x:v>Jawa Barat</x:v>
      </x:c>
      <x:c r="P1857" s="66" t="str">
        <x:v>Kota Tasikmalaya</x:v>
      </x:c>
      <x:c r="Q1857" s="66" t="str">
        <x:v>https://snpmb.id/snbp/daya-tampung-snbp</x:v>
      </x:c>
      <x:c r="R1857" s="66" t="str">
        <x:v>https://sidatagrun-public-1076756628210.asia-southeast2.run.app/ptn_sn.php?ptn=342</x:v>
      </x:c>
    </x:row>
    <x:row r="1858">
      <x:c r="A1858" s="87" t="n">
        <x:v>1537</x:v>
      </x:c>
      <x:c r="B1858" s="66" t="n">
        <x:v>342</x:v>
      </x:c>
      <x:c r="C1858" s="66" t="str">
        <x:v>UNIVERSITAS SILIWANGI</x:v>
      </x:c>
      <x:c r="D1858" s="66" t="str">
        <x:v>PTN Akademik</x:v>
      </x:c>
      <x:c r="E1858" s="66" t="str">
        <x:v>13421005</x:v>
      </x:c>
      <x:c r="F1858" s="66" t="str">
        <x:v>TEKNIK SIPIL</x:v>
      </x:c>
      <x:c r="G1858" s="66" t="str">
        <x:v>Sarjana</x:v>
      </x:c>
      <x:c r="H1858" s="87" t="n">
        <x:v>52</x:v>
      </x:c>
      <x:c r="I1858" s="87" t="n">
        <x:v>463</x:v>
      </x:c>
      <x:c r="J1858" s="68" t="n">
        <x:f>IFERROR(H1858/I1858,"")</x:f>
        <x:v>0.11231101511879049</x:v>
      </x:c>
      <x:c r="K1858" s="69" t="n">
        <x:f>IFERROR(I1858/H1858,"")</x:f>
        <x:v>8.903846153846153</x:v>
      </x:c>
      <x:c r="L1858" s="66" t="str">
        <x:f>IF(K1858="","","1 : "&amp;TEXT(K1858,"0.0"))</x:f>
        <x:v>1 : 8.9</x:v>
      </x:c>
      <x:c r="M1858" s="66" t="str">
        <x:f>IF(J1858="","Baru/Tanpa Data",IF(J1858&lt;='Catatan &amp; Sumber'!$B$14,"Sangat Ketat",IF(J1858&lt;='Catatan &amp; Sumber'!$B$15,"Ketat",IF(J1858&lt;='Catatan &amp; Sumber'!$B$16,"Sedang","Relatif Longgar"))))</x:f>
        <x:v>Relatif Longgar</x:v>
      </x:c>
      <x:c r="N1858" s="66" t="str">
        <x:v>Tidak Ada</x:v>
      </x:c>
      <x:c r="O1858" s="66" t="str">
        <x:v>Jawa Barat</x:v>
      </x:c>
      <x:c r="P1858" s="66" t="str">
        <x:v>Kota Tasikmalaya</x:v>
      </x:c>
      <x:c r="Q1858" s="66" t="str">
        <x:v>https://snpmb.id/snbp/daya-tampung-snbp</x:v>
      </x:c>
      <x:c r="R1858" s="66" t="str">
        <x:v>https://sidatagrun-public-1076756628210.asia-southeast2.run.app/ptn_sn.php?ptn=342</x:v>
      </x:c>
    </x:row>
    <x:row r="1859">
      <x:c r="A1859" s="87" t="n">
        <x:v>2038</x:v>
      </x:c>
      <x:c r="B1859" s="66" t="n">
        <x:v>342</x:v>
      </x:c>
      <x:c r="C1859" s="66" t="str">
        <x:v>UNIVERSITAS SILIWANGI</x:v>
      </x:c>
      <x:c r="D1859" s="66" t="str">
        <x:v>PTN Akademik</x:v>
      </x:c>
      <x:c r="E1859" s="66" t="str">
        <x:v>13421006</x:v>
      </x:c>
      <x:c r="F1859" s="66" t="str">
        <x:v>TEKNIK ELEKTRO</x:v>
      </x:c>
      <x:c r="G1859" s="66" t="str">
        <x:v>Sarjana</x:v>
      </x:c>
      <x:c r="H1859" s="87" t="n">
        <x:v>38</x:v>
      </x:c>
      <x:c r="I1859" s="87" t="n">
        <x:v>245</x:v>
      </x:c>
      <x:c r="J1859" s="68" t="n">
        <x:f>IFERROR(H1859/I1859,"")</x:f>
        <x:v>0.15510204081632653</x:v>
      </x:c>
      <x:c r="K1859" s="69" t="n">
        <x:f>IFERROR(I1859/H1859,"")</x:f>
        <x:v>6.447368421052632</x:v>
      </x:c>
      <x:c r="L1859" s="66" t="str">
        <x:f>IF(K1859="","","1 : "&amp;TEXT(K1859,"0.0"))</x:f>
        <x:v>1 : 6.4</x:v>
      </x:c>
      <x:c r="M1859" s="66" t="str">
        <x:f>IF(J1859="","Baru/Tanpa Data",IF(J1859&lt;='Catatan &amp; Sumber'!$B$14,"Sangat Ketat",IF(J1859&lt;='Catatan &amp; Sumber'!$B$15,"Ketat",IF(J1859&lt;='Catatan &amp; Sumber'!$B$16,"Sedang","Relatif Longgar"))))</x:f>
        <x:v>Relatif Longgar</x:v>
      </x:c>
      <x:c r="N1859" s="66" t="str">
        <x:v>Tidak Ada</x:v>
      </x:c>
      <x:c r="O1859" s="66" t="str">
        <x:v>Jawa Barat</x:v>
      </x:c>
      <x:c r="P1859" s="66" t="str">
        <x:v>Kota Tasikmalaya</x:v>
      </x:c>
      <x:c r="Q1859" s="66" t="str">
        <x:v>https://snpmb.id/snbp/daya-tampung-snbp</x:v>
      </x:c>
      <x:c r="R1859" s="66" t="str">
        <x:v>https://sidatagrun-public-1076756628210.asia-southeast2.run.app/ptn_sn.php?ptn=342</x:v>
      </x:c>
    </x:row>
    <x:row r="1860">
      <x:c r="A1860" s="87" t="n">
        <x:v>1081</x:v>
      </x:c>
      <x:c r="B1860" s="66" t="n">
        <x:v>342</x:v>
      </x:c>
      <x:c r="C1860" s="66" t="str">
        <x:v>UNIVERSITAS SILIWANGI</x:v>
      </x:c>
      <x:c r="D1860" s="66" t="str">
        <x:v>PTN Akademik</x:v>
      </x:c>
      <x:c r="E1860" s="66" t="str">
        <x:v>13421007</x:v>
      </x:c>
      <x:c r="F1860" s="66" t="str">
        <x:v>INFORMATIKA</x:v>
      </x:c>
      <x:c r="G1860" s="66" t="str">
        <x:v>Sarjana</x:v>
      </x:c>
      <x:c r="H1860" s="87" t="n">
        <x:v>70</x:v>
      </x:c>
      <x:c r="I1860" s="87" t="n">
        <x:v>849</x:v>
      </x:c>
      <x:c r="J1860" s="68" t="n">
        <x:f>IFERROR(H1860/I1860,"")</x:f>
        <x:v>0.08244994110718493</x:v>
      </x:c>
      <x:c r="K1860" s="69" t="n">
        <x:f>IFERROR(I1860/H1860,"")</x:f>
        <x:v>12.128571428571428</x:v>
      </x:c>
      <x:c r="L1860" s="66" t="str">
        <x:f>IF(K1860="","","1 : "&amp;TEXT(K1860,"0.0"))</x:f>
        <x:v>1 : 12.1</x:v>
      </x:c>
      <x:c r="M1860" s="66" t="str">
        <x:f>IF(J1860="","Baru/Tanpa Data",IF(J1860&lt;='Catatan &amp; Sumber'!$B$14,"Sangat Ketat",IF(J1860&lt;='Catatan &amp; Sumber'!$B$15,"Ketat",IF(J1860&lt;='Catatan &amp; Sumber'!$B$16,"Sedang","Relatif Longgar"))))</x:f>
        <x:v>Sedang</x:v>
      </x:c>
      <x:c r="N1860" s="66" t="str">
        <x:v>Tidak Ada</x:v>
      </x:c>
      <x:c r="O1860" s="66" t="str">
        <x:v>Jawa Barat</x:v>
      </x:c>
      <x:c r="P1860" s="66" t="str">
        <x:v>Kota Tasikmalaya</x:v>
      </x:c>
      <x:c r="Q1860" s="66" t="str">
        <x:v>https://snpmb.id/snbp/daya-tampung-snbp</x:v>
      </x:c>
      <x:c r="R1860" s="66" t="str">
        <x:v>https://sidatagrun-public-1076756628210.asia-southeast2.run.app/ptn_sn.php?ptn=342</x:v>
      </x:c>
    </x:row>
    <x:row r="1861">
      <x:c r="A1861" s="87" t="n">
        <x:v>966</x:v>
      </x:c>
      <x:c r="B1861" s="66" t="n">
        <x:v>342</x:v>
      </x:c>
      <x:c r="C1861" s="66" t="str">
        <x:v>UNIVERSITAS SILIWANGI</x:v>
      </x:c>
      <x:c r="D1861" s="66" t="str">
        <x:v>PTN Akademik</x:v>
      </x:c>
      <x:c r="E1861" s="66" t="str">
        <x:v>13421008</x:v>
      </x:c>
      <x:c r="F1861" s="66" t="str">
        <x:v>KESEHATAN MASYARAKAT</x:v>
      </x:c>
      <x:c r="G1861" s="66" t="str">
        <x:v>Sarjana</x:v>
      </x:c>
      <x:c r="H1861" s="87" t="n">
        <x:v>66</x:v>
      </x:c>
      <x:c r="I1861" s="87" t="n">
        <x:v>867</x:v>
      </x:c>
      <x:c r="J1861" s="68" t="n">
        <x:f>IFERROR(H1861/I1861,"")</x:f>
        <x:v>0.07612456747404844</x:v>
      </x:c>
      <x:c r="K1861" s="69" t="n">
        <x:f>IFERROR(I1861/H1861,"")</x:f>
        <x:v>13.136363636363637</x:v>
      </x:c>
      <x:c r="L1861" s="66" t="str">
        <x:f>IF(K1861="","","1 : "&amp;TEXT(K1861,"0.0"))</x:f>
        <x:v>1 : 13.1</x:v>
      </x:c>
      <x:c r="M1861" s="66" t="str">
        <x:f>IF(J1861="","Baru/Tanpa Data",IF(J1861&lt;='Catatan &amp; Sumber'!$B$14,"Sangat Ketat",IF(J1861&lt;='Catatan &amp; Sumber'!$B$15,"Ketat",IF(J1861&lt;='Catatan &amp; Sumber'!$B$16,"Sedang","Relatif Longgar"))))</x:f>
        <x:v>Sedang</x:v>
      </x:c>
      <x:c r="N1861" s="66" t="str">
        <x:v>Tidak Ada</x:v>
      </x:c>
      <x:c r="O1861" s="66" t="str">
        <x:v>Jawa Barat</x:v>
      </x:c>
      <x:c r="P1861" s="66" t="str">
        <x:v>Kota Tasikmalaya</x:v>
      </x:c>
      <x:c r="Q1861" s="66" t="str">
        <x:v>https://snpmb.id/snbp/daya-tampung-snbp</x:v>
      </x:c>
      <x:c r="R1861" s="66" t="str">
        <x:v>https://sidatagrun-public-1076756628210.asia-southeast2.run.app/ptn_sn.php?ptn=342</x:v>
      </x:c>
    </x:row>
    <x:row r="1862">
      <x:c r="A1862" s="87" t="n">
        <x:v>2464</x:v>
      </x:c>
      <x:c r="B1862" s="66" t="n">
        <x:v>342</x:v>
      </x:c>
      <x:c r="C1862" s="66" t="str">
        <x:v>UNIVERSITAS SILIWANGI</x:v>
      </x:c>
      <x:c r="D1862" s="66" t="str">
        <x:v>PTN Akademik</x:v>
      </x:c>
      <x:c r="E1862" s="66" t="str">
        <x:v>13421009</x:v>
      </x:c>
      <x:c r="F1862" s="66" t="str">
        <x:v>PENDIDIKAN FISIKA</x:v>
      </x:c>
      <x:c r="G1862" s="66" t="str">
        <x:v>Sarjana</x:v>
      </x:c>
      <x:c r="H1862" s="87" t="n">
        <x:v>39</x:v>
      </x:c>
      <x:c r="I1862" s="87" t="n">
        <x:v>191</x:v>
      </x:c>
      <x:c r="J1862" s="68" t="n">
        <x:f>IFERROR(H1862/I1862,"")</x:f>
        <x:v>0.20418848167539266</x:v>
      </x:c>
      <x:c r="K1862" s="69" t="n">
        <x:f>IFERROR(I1862/H1862,"")</x:f>
        <x:v>4.897435897435898</x:v>
      </x:c>
      <x:c r="L1862" s="66" t="str">
        <x:f>IF(K1862="","","1 : "&amp;TEXT(K1862,"0.0"))</x:f>
        <x:v>1 : 4.9</x:v>
      </x:c>
      <x:c r="M1862" s="66" t="str">
        <x:f>IF(J1862="","Baru/Tanpa Data",IF(J1862&lt;='Catatan &amp; Sumber'!$B$14,"Sangat Ketat",IF(J1862&lt;='Catatan &amp; Sumber'!$B$15,"Ketat",IF(J1862&lt;='Catatan &amp; Sumber'!$B$16,"Sedang","Relatif Longgar"))))</x:f>
        <x:v>Relatif Longgar</x:v>
      </x:c>
      <x:c r="N1862" s="66" t="str">
        <x:v>Tidak Ada</x:v>
      </x:c>
      <x:c r="O1862" s="66" t="str">
        <x:v>Jawa Barat</x:v>
      </x:c>
      <x:c r="P1862" s="66" t="str">
        <x:v>Kota Tasikmalaya</x:v>
      </x:c>
      <x:c r="Q1862" s="66" t="str">
        <x:v>https://snpmb.id/snbp/daya-tampung-snbp</x:v>
      </x:c>
      <x:c r="R1862" s="66" t="str">
        <x:v>https://sidatagrun-public-1076756628210.asia-southeast2.run.app/ptn_sn.php?ptn=342</x:v>
      </x:c>
    </x:row>
    <x:row r="1863">
      <x:c r="A1863" s="87" t="n">
        <x:v>830</x:v>
      </x:c>
      <x:c r="B1863" s="66" t="n">
        <x:v>342</x:v>
      </x:c>
      <x:c r="C1863" s="66" t="str">
        <x:v>UNIVERSITAS SILIWANGI</x:v>
      </x:c>
      <x:c r="D1863" s="66" t="str">
        <x:v>PTN Akademik</x:v>
      </x:c>
      <x:c r="E1863" s="66" t="str">
        <x:v>13421010</x:v>
      </x:c>
      <x:c r="F1863" s="66" t="str">
        <x:v>GIZI</x:v>
      </x:c>
      <x:c r="G1863" s="66" t="str">
        <x:v>Sarjana</x:v>
      </x:c>
      <x:c r="H1863" s="87" t="n">
        <x:v>54</x:v>
      </x:c>
      <x:c r="I1863" s="87" t="n">
        <x:v>791</x:v>
      </x:c>
      <x:c r="J1863" s="68" t="n">
        <x:f>IFERROR(H1863/I1863,"")</x:f>
        <x:v>0.06826801517067003</x:v>
      </x:c>
      <x:c r="K1863" s="69" t="n">
        <x:f>IFERROR(I1863/H1863,"")</x:f>
        <x:v>14.648148148148149</x:v>
      </x:c>
      <x:c r="L1863" s="66" t="str">
        <x:f>IF(K1863="","","1 : "&amp;TEXT(K1863,"0.0"))</x:f>
        <x:v>1 : 14.6</x:v>
      </x:c>
      <x:c r="M1863" s="66" t="str">
        <x:f>IF(J1863="","Baru/Tanpa Data",IF(J1863&lt;='Catatan &amp; Sumber'!$B$14,"Sangat Ketat",IF(J1863&lt;='Catatan &amp; Sumber'!$B$15,"Ketat",IF(J1863&lt;='Catatan &amp; Sumber'!$B$16,"Sedang","Relatif Longgar"))))</x:f>
        <x:v>Sedang</x:v>
      </x:c>
      <x:c r="N1863" s="66" t="str">
        <x:v>Tidak Ada</x:v>
      </x:c>
      <x:c r="O1863" s="66" t="str">
        <x:v>Jawa Barat</x:v>
      </x:c>
      <x:c r="P1863" s="66" t="str">
        <x:v>Kota Tasikmalaya</x:v>
      </x:c>
      <x:c r="Q1863" s="66" t="str">
        <x:v>https://snpmb.id/snbp/daya-tampung-snbp</x:v>
      </x:c>
      <x:c r="R1863" s="66" t="str">
        <x:v>https://sidatagrun-public-1076756628210.asia-southeast2.run.app/ptn_sn.php?ptn=342</x:v>
      </x:c>
    </x:row>
    <x:row r="1864">
      <x:c r="A1864" s="87" t="n">
        <x:v>2299</x:v>
      </x:c>
      <x:c r="B1864" s="66" t="n">
        <x:v>342</x:v>
      </x:c>
      <x:c r="C1864" s="66" t="str">
        <x:v>UNIVERSITAS SILIWANGI</x:v>
      </x:c>
      <x:c r="D1864" s="66" t="str">
        <x:v>PTN Akademik</x:v>
      </x:c>
      <x:c r="E1864" s="66" t="str">
        <x:v>13421011</x:v>
      </x:c>
      <x:c r="F1864" s="66" t="str">
        <x:v>PENDIDIKAN MASYARAKAT</x:v>
      </x:c>
      <x:c r="G1864" s="66" t="str">
        <x:v>Sarjana</x:v>
      </x:c>
      <x:c r="H1864" s="87" t="n">
        <x:v>58</x:v>
      </x:c>
      <x:c r="I1864" s="87" t="n">
        <x:v>316</x:v>
      </x:c>
      <x:c r="J1864" s="68" t="n">
        <x:f>IFERROR(H1864/I1864,"")</x:f>
        <x:v>0.18354430379746836</x:v>
      </x:c>
      <x:c r="K1864" s="69" t="n">
        <x:f>IFERROR(I1864/H1864,"")</x:f>
        <x:v>5.448275862068965</x:v>
      </x:c>
      <x:c r="L1864" s="66" t="str">
        <x:f>IF(K1864="","","1 : "&amp;TEXT(K1864,"0.0"))</x:f>
        <x:v>1 : 5.4</x:v>
      </x:c>
      <x:c r="M1864" s="66" t="str">
        <x:f>IF(J1864="","Baru/Tanpa Data",IF(J1864&lt;='Catatan &amp; Sumber'!$B$14,"Sangat Ketat",IF(J1864&lt;='Catatan &amp; Sumber'!$B$15,"Ketat",IF(J1864&lt;='Catatan &amp; Sumber'!$B$16,"Sedang","Relatif Longgar"))))</x:f>
        <x:v>Relatif Longgar</x:v>
      </x:c>
      <x:c r="N1864" s="66" t="str">
        <x:v>Tidak Ada</x:v>
      </x:c>
      <x:c r="O1864" s="66" t="str">
        <x:v>Jawa Barat</x:v>
      </x:c>
      <x:c r="P1864" s="66" t="str">
        <x:v>Kota Tasikmalaya</x:v>
      </x:c>
      <x:c r="Q1864" s="66" t="str">
        <x:v>https://snpmb.id/snbp/daya-tampung-snbp</x:v>
      </x:c>
      <x:c r="R1864" s="66" t="str">
        <x:v>https://sidatagrun-public-1076756628210.asia-southeast2.run.app/ptn_sn.php?ptn=342</x:v>
      </x:c>
    </x:row>
    <x:row r="1865">
      <x:c r="A1865" s="87" t="n">
        <x:v>2209</x:v>
      </x:c>
      <x:c r="B1865" s="66" t="n">
        <x:v>342</x:v>
      </x:c>
      <x:c r="C1865" s="66" t="str">
        <x:v>UNIVERSITAS SILIWANGI</x:v>
      </x:c>
      <x:c r="D1865" s="66" t="str">
        <x:v>PTN Akademik</x:v>
      </x:c>
      <x:c r="E1865" s="66" t="str">
        <x:v>13421012</x:v>
      </x:c>
      <x:c r="F1865" s="66" t="str">
        <x:v>PENDIDIKAN EKONOMI</x:v>
      </x:c>
      <x:c r="G1865" s="66" t="str">
        <x:v>Sarjana</x:v>
      </x:c>
      <x:c r="H1865" s="87" t="n">
        <x:v>58</x:v>
      </x:c>
      <x:c r="I1865" s="87" t="n">
        <x:v>336</x:v>
      </x:c>
      <x:c r="J1865" s="68" t="n">
        <x:f>IFERROR(H1865/I1865,"")</x:f>
        <x:v>0.17261904761904762</x:v>
      </x:c>
      <x:c r="K1865" s="69" t="n">
        <x:f>IFERROR(I1865/H1865,"")</x:f>
        <x:v>5.793103448275862</x:v>
      </x:c>
      <x:c r="L1865" s="66" t="str">
        <x:f>IF(K1865="","","1 : "&amp;TEXT(K1865,"0.0"))</x:f>
        <x:v>1 : 5.8</x:v>
      </x:c>
      <x:c r="M1865" s="66" t="str">
        <x:f>IF(J1865="","Baru/Tanpa Data",IF(J1865&lt;='Catatan &amp; Sumber'!$B$14,"Sangat Ketat",IF(J1865&lt;='Catatan &amp; Sumber'!$B$15,"Ketat",IF(J1865&lt;='Catatan &amp; Sumber'!$B$16,"Sedang","Relatif Longgar"))))</x:f>
        <x:v>Relatif Longgar</x:v>
      </x:c>
      <x:c r="N1865" s="66" t="str">
        <x:v>Tidak Ada</x:v>
      </x:c>
      <x:c r="O1865" s="66" t="str">
        <x:v>Jawa Barat</x:v>
      </x:c>
      <x:c r="P1865" s="66" t="str">
        <x:v>Kota Tasikmalaya</x:v>
      </x:c>
      <x:c r="Q1865" s="66" t="str">
        <x:v>https://snpmb.id/snbp/daya-tampung-snbp</x:v>
      </x:c>
      <x:c r="R1865" s="66" t="str">
        <x:v>https://sidatagrun-public-1076756628210.asia-southeast2.run.app/ptn_sn.php?ptn=342</x:v>
      </x:c>
    </x:row>
    <x:row r="1866">
      <x:c r="A1866" s="87" t="n">
        <x:v>2113</x:v>
      </x:c>
      <x:c r="B1866" s="66" t="n">
        <x:v>342</x:v>
      </x:c>
      <x:c r="C1866" s="66" t="str">
        <x:v>UNIVERSITAS SILIWANGI</x:v>
      </x:c>
      <x:c r="D1866" s="66" t="str">
        <x:v>PTN Akademik</x:v>
      </x:c>
      <x:c r="E1866" s="66" t="str">
        <x:v>13421013</x:v>
      </x:c>
      <x:c r="F1866" s="66" t="str">
        <x:v>PENDIDIKAN GEOGRAFI</x:v>
      </x:c>
      <x:c r="G1866" s="66" t="str">
        <x:v>Sarjana</x:v>
      </x:c>
      <x:c r="H1866" s="87" t="n">
        <x:v>56</x:v>
      </x:c>
      <x:c r="I1866" s="87" t="n">
        <x:v>344</x:v>
      </x:c>
      <x:c r="J1866" s="68" t="n">
        <x:f>IFERROR(H1866/I1866,"")</x:f>
        <x:v>0.16279069767441862</x:v>
      </x:c>
      <x:c r="K1866" s="69" t="n">
        <x:f>IFERROR(I1866/H1866,"")</x:f>
        <x:v>6.142857142857143</x:v>
      </x:c>
      <x:c r="L1866" s="66" t="str">
        <x:f>IF(K1866="","","1 : "&amp;TEXT(K1866,"0.0"))</x:f>
        <x:v>1 : 6.1</x:v>
      </x:c>
      <x:c r="M1866" s="66" t="str">
        <x:f>IF(J1866="","Baru/Tanpa Data",IF(J1866&lt;='Catatan &amp; Sumber'!$B$14,"Sangat Ketat",IF(J1866&lt;='Catatan &amp; Sumber'!$B$15,"Ketat",IF(J1866&lt;='Catatan &amp; Sumber'!$B$16,"Sedang","Relatif Longgar"))))</x:f>
        <x:v>Relatif Longgar</x:v>
      </x:c>
      <x:c r="N1866" s="66" t="str">
        <x:v>Tidak Ada</x:v>
      </x:c>
      <x:c r="O1866" s="66" t="str">
        <x:v>Jawa Barat</x:v>
      </x:c>
      <x:c r="P1866" s="66" t="str">
        <x:v>Kota Tasikmalaya</x:v>
      </x:c>
      <x:c r="Q1866" s="66" t="str">
        <x:v>https://snpmb.id/snbp/daya-tampung-snbp</x:v>
      </x:c>
      <x:c r="R1866" s="66" t="str">
        <x:v>https://sidatagrun-public-1076756628210.asia-southeast2.run.app/ptn_sn.php?ptn=342</x:v>
      </x:c>
    </x:row>
    <x:row r="1867">
      <x:c r="A1867" s="87" t="n">
        <x:v>2034</x:v>
      </x:c>
      <x:c r="B1867" s="66" t="n">
        <x:v>342</x:v>
      </x:c>
      <x:c r="C1867" s="66" t="str">
        <x:v>UNIVERSITAS SILIWANGI</x:v>
      </x:c>
      <x:c r="D1867" s="66" t="str">
        <x:v>PTN Akademik</x:v>
      </x:c>
      <x:c r="E1867" s="66" t="str">
        <x:v>13421014</x:v>
      </x:c>
      <x:c r="F1867" s="66" t="str">
        <x:v>PENDIDIKAN SEJARAH</x:v>
      </x:c>
      <x:c r="G1867" s="66" t="str">
        <x:v>Sarjana</x:v>
      </x:c>
      <x:c r="H1867" s="87" t="n">
        <x:v>69</x:v>
      </x:c>
      <x:c r="I1867" s="87" t="n">
        <x:v>446</x:v>
      </x:c>
      <x:c r="J1867" s="68" t="n">
        <x:f>IFERROR(H1867/I1867,"")</x:f>
        <x:v>0.1547085201793722</x:v>
      </x:c>
      <x:c r="K1867" s="69" t="n">
        <x:f>IFERROR(I1867/H1867,"")</x:f>
        <x:v>6.463768115942029</x:v>
      </x:c>
      <x:c r="L1867" s="66" t="str">
        <x:f>IF(K1867="","","1 : "&amp;TEXT(K1867,"0.0"))</x:f>
        <x:v>1 : 6.5</x:v>
      </x:c>
      <x:c r="M1867" s="66" t="str">
        <x:f>IF(J1867="","Baru/Tanpa Data",IF(J1867&lt;='Catatan &amp; Sumber'!$B$14,"Sangat Ketat",IF(J1867&lt;='Catatan &amp; Sumber'!$B$15,"Ketat",IF(J1867&lt;='Catatan &amp; Sumber'!$B$16,"Sedang","Relatif Longgar"))))</x:f>
        <x:v>Relatif Longgar</x:v>
      </x:c>
      <x:c r="N1867" s="66" t="str">
        <x:v>Tidak Ada</x:v>
      </x:c>
      <x:c r="O1867" s="66" t="str">
        <x:v>Jawa Barat</x:v>
      </x:c>
      <x:c r="P1867" s="66" t="str">
        <x:v>Kota Tasikmalaya</x:v>
      </x:c>
      <x:c r="Q1867" s="66" t="str">
        <x:v>https://snpmb.id/snbp/daya-tampung-snbp</x:v>
      </x:c>
      <x:c r="R1867" s="66" t="str">
        <x:v>https://sidatagrun-public-1076756628210.asia-southeast2.run.app/ptn_sn.php?ptn=342</x:v>
      </x:c>
    </x:row>
    <x:row r="1868">
      <x:c r="A1868" s="87" t="n">
        <x:v>2701</x:v>
      </x:c>
      <x:c r="B1868" s="66" t="n">
        <x:v>342</x:v>
      </x:c>
      <x:c r="C1868" s="66" t="str">
        <x:v>UNIVERSITAS SILIWANGI</x:v>
      </x:c>
      <x:c r="D1868" s="66" t="str">
        <x:v>PTN Akademik</x:v>
      </x:c>
      <x:c r="E1868" s="66" t="str">
        <x:v>13421015</x:v>
      </x:c>
      <x:c r="F1868" s="66" t="str">
        <x:v>PENDIDIKAN JASMANI</x:v>
      </x:c>
      <x:c r="G1868" s="66" t="str">
        <x:v>Sarjana</x:v>
      </x:c>
      <x:c r="H1868" s="87" t="n">
        <x:v>113</x:v>
      </x:c>
      <x:c r="I1868" s="87" t="n">
        <x:v>464</x:v>
      </x:c>
      <x:c r="J1868" s="68" t="n">
        <x:f>IFERROR(H1868/I1868,"")</x:f>
        <x:v>0.2435344827586207</x:v>
      </x:c>
      <x:c r="K1868" s="69" t="n">
        <x:f>IFERROR(I1868/H1868,"")</x:f>
        <x:v>4.106194690265487</x:v>
      </x:c>
      <x:c r="L1868" s="66" t="str">
        <x:f>IF(K1868="","","1 : "&amp;TEXT(K1868,"0.0"))</x:f>
        <x:v>1 : 4.1</x:v>
      </x:c>
      <x:c r="M1868" s="66" t="str">
        <x:f>IF(J1868="","Baru/Tanpa Data",IF(J1868&lt;='Catatan &amp; Sumber'!$B$14,"Sangat Ketat",IF(J1868&lt;='Catatan &amp; Sumber'!$B$15,"Ketat",IF(J1868&lt;='Catatan &amp; Sumber'!$B$16,"Sedang","Relatif Longgar"))))</x:f>
        <x:v>Relatif Longgar</x:v>
      </x:c>
      <x:c r="N1868" s="66" t="str">
        <x:v>Olahraga</x:v>
      </x:c>
      <x:c r="O1868" s="66" t="str">
        <x:v>Jawa Barat</x:v>
      </x:c>
      <x:c r="P1868" s="66" t="str">
        <x:v>Kota Tasikmalaya</x:v>
      </x:c>
      <x:c r="Q1868" s="66" t="str">
        <x:v>https://snpmb.id/snbp/daya-tampung-snbp</x:v>
      </x:c>
      <x:c r="R1868" s="66" t="str">
        <x:v>https://sidatagrun-public-1076756628210.asia-southeast2.run.app/ptn_sn.php?ptn=342</x:v>
      </x:c>
    </x:row>
    <x:row r="1869">
      <x:c r="A1869" s="87" t="n">
        <x:v>2292</x:v>
      </x:c>
      <x:c r="B1869" s="66" t="n">
        <x:v>342</x:v>
      </x:c>
      <x:c r="C1869" s="66" t="str">
        <x:v>UNIVERSITAS SILIWANGI</x:v>
      </x:c>
      <x:c r="D1869" s="66" t="str">
        <x:v>PTN Akademik</x:v>
      </x:c>
      <x:c r="E1869" s="66" t="str">
        <x:v>13421016</x:v>
      </x:c>
      <x:c r="F1869" s="66" t="str">
        <x:v>EKONOMI PEMBANGUNAN</x:v>
      </x:c>
      <x:c r="G1869" s="66" t="str">
        <x:v>Sarjana</x:v>
      </x:c>
      <x:c r="H1869" s="87" t="n">
        <x:v>107</x:v>
      </x:c>
      <x:c r="I1869" s="87" t="n">
        <x:v>586</x:v>
      </x:c>
      <x:c r="J1869" s="68" t="n">
        <x:f>IFERROR(H1869/I1869,"")</x:f>
        <x:v>0.1825938566552901</x:v>
      </x:c>
      <x:c r="K1869" s="69" t="n">
        <x:f>IFERROR(I1869/H1869,"")</x:f>
        <x:v>5.4766355140186915</x:v>
      </x:c>
      <x:c r="L1869" s="66" t="str">
        <x:f>IF(K1869="","","1 : "&amp;TEXT(K1869,"0.0"))</x:f>
        <x:v>1 : 5.5</x:v>
      </x:c>
      <x:c r="M1869" s="66" t="str">
        <x:f>IF(J1869="","Baru/Tanpa Data",IF(J1869&lt;='Catatan &amp; Sumber'!$B$14,"Sangat Ketat",IF(J1869&lt;='Catatan &amp; Sumber'!$B$15,"Ketat",IF(J1869&lt;='Catatan &amp; Sumber'!$B$16,"Sedang","Relatif Longgar"))))</x:f>
        <x:v>Relatif Longgar</x:v>
      </x:c>
      <x:c r="N1869" s="66" t="str">
        <x:v>Tidak Ada</x:v>
      </x:c>
      <x:c r="O1869" s="66" t="str">
        <x:v>Jawa Barat</x:v>
      </x:c>
      <x:c r="P1869" s="66" t="str">
        <x:v>Kota Tasikmalaya</x:v>
      </x:c>
      <x:c r="Q1869" s="66" t="str">
        <x:v>https://snpmb.id/snbp/daya-tampung-snbp</x:v>
      </x:c>
      <x:c r="R1869" s="66" t="str">
        <x:v>https://sidatagrun-public-1076756628210.asia-southeast2.run.app/ptn_sn.php?ptn=342</x:v>
      </x:c>
    </x:row>
    <x:row r="1870">
      <x:c r="A1870" s="87" t="n">
        <x:v>1328</x:v>
      </x:c>
      <x:c r="B1870" s="66" t="n">
        <x:v>342</x:v>
      </x:c>
      <x:c r="C1870" s="66" t="str">
        <x:v>UNIVERSITAS SILIWANGI</x:v>
      </x:c>
      <x:c r="D1870" s="66" t="str">
        <x:v>PTN Akademik</x:v>
      </x:c>
      <x:c r="E1870" s="66" t="str">
        <x:v>13421017</x:v>
      </x:c>
      <x:c r="F1870" s="66" t="str">
        <x:v>MANAJEMEN</x:v>
      </x:c>
      <x:c r="G1870" s="66" t="str">
        <x:v>Sarjana</x:v>
      </x:c>
      <x:c r="H1870" s="87" t="n">
        <x:v>129</x:v>
      </x:c>
      <x:c r="I1870" s="87" t="n">
        <x:v>1327</x:v>
      </x:c>
      <x:c r="J1870" s="68" t="n">
        <x:f>IFERROR(H1870/I1870,"")</x:f>
        <x:v>0.09721175584024115</x:v>
      </x:c>
      <x:c r="K1870" s="69" t="n">
        <x:f>IFERROR(I1870/H1870,"")</x:f>
        <x:v>10.286821705426357</x:v>
      </x:c>
      <x:c r="L1870" s="66" t="str">
        <x:f>IF(K1870="","","1 : "&amp;TEXT(K1870,"0.0"))</x:f>
        <x:v>1 : 10.3</x:v>
      </x:c>
      <x:c r="M1870" s="66" t="str">
        <x:f>IF(J1870="","Baru/Tanpa Data",IF(J1870&lt;='Catatan &amp; Sumber'!$B$14,"Sangat Ketat",IF(J1870&lt;='Catatan &amp; Sumber'!$B$15,"Ketat",IF(J1870&lt;='Catatan &amp; Sumber'!$B$16,"Sedang","Relatif Longgar"))))</x:f>
        <x:v>Sedang</x:v>
      </x:c>
      <x:c r="N1870" s="66" t="str">
        <x:v>Tidak Ada</x:v>
      </x:c>
      <x:c r="O1870" s="66" t="str">
        <x:v>Jawa Barat</x:v>
      </x:c>
      <x:c r="P1870" s="66" t="str">
        <x:v>Kota Tasikmalaya</x:v>
      </x:c>
      <x:c r="Q1870" s="66" t="str">
        <x:v>https://snpmb.id/snbp/daya-tampung-snbp</x:v>
      </x:c>
      <x:c r="R1870" s="66" t="str">
        <x:v>https://sidatagrun-public-1076756628210.asia-southeast2.run.app/ptn_sn.php?ptn=342</x:v>
      </x:c>
    </x:row>
    <x:row r="1871">
      <x:c r="A1871" s="87" t="n">
        <x:v>1676</x:v>
      </x:c>
      <x:c r="B1871" s="66" t="n">
        <x:v>342</x:v>
      </x:c>
      <x:c r="C1871" s="66" t="str">
        <x:v>UNIVERSITAS SILIWANGI</x:v>
      </x:c>
      <x:c r="D1871" s="66" t="str">
        <x:v>PTN Akademik</x:v>
      </x:c>
      <x:c r="E1871" s="66" t="str">
        <x:v>13421018</x:v>
      </x:c>
      <x:c r="F1871" s="66" t="str">
        <x:v>AKUNTANSI</x:v>
      </x:c>
      <x:c r="G1871" s="66" t="str">
        <x:v>Sarjana</x:v>
      </x:c>
      <x:c r="H1871" s="87" t="n">
        <x:v>110</x:v>
      </x:c>
      <x:c r="I1871" s="87" t="n">
        <x:v>901</x:v>
      </x:c>
      <x:c r="J1871" s="68" t="n">
        <x:f>IFERROR(H1871/I1871,"")</x:f>
        <x:v>0.1220865704772475</x:v>
      </x:c>
      <x:c r="K1871" s="69" t="n">
        <x:f>IFERROR(I1871/H1871,"")</x:f>
        <x:v>8.190909090909091</x:v>
      </x:c>
      <x:c r="L1871" s="66" t="str">
        <x:f>IF(K1871="","","1 : "&amp;TEXT(K1871,"0.0"))</x:f>
        <x:v>1 : 8.2</x:v>
      </x:c>
      <x:c r="M1871" s="66" t="str">
        <x:f>IF(J1871="","Baru/Tanpa Data",IF(J1871&lt;='Catatan &amp; Sumber'!$B$14,"Sangat Ketat",IF(J1871&lt;='Catatan &amp; Sumber'!$B$15,"Ketat",IF(J1871&lt;='Catatan &amp; Sumber'!$B$16,"Sedang","Relatif Longgar"))))</x:f>
        <x:v>Relatif Longgar</x:v>
      </x:c>
      <x:c r="N1871" s="66" t="str">
        <x:v>Tidak Ada</x:v>
      </x:c>
      <x:c r="O1871" s="66" t="str">
        <x:v>Jawa Barat</x:v>
      </x:c>
      <x:c r="P1871" s="66" t="str">
        <x:v>Kota Tasikmalaya</x:v>
      </x:c>
      <x:c r="Q1871" s="66" t="str">
        <x:v>https://snpmb.id/snbp/daya-tampung-snbp</x:v>
      </x:c>
      <x:c r="R1871" s="66" t="str">
        <x:v>https://sidatagrun-public-1076756628210.asia-southeast2.run.app/ptn_sn.php?ptn=342</x:v>
      </x:c>
    </x:row>
    <x:row r="1872">
      <x:c r="A1872" s="87" t="n">
        <x:v>2458</x:v>
      </x:c>
      <x:c r="B1872" s="66" t="n">
        <x:v>342</x:v>
      </x:c>
      <x:c r="C1872" s="66" t="str">
        <x:v>UNIVERSITAS SILIWANGI</x:v>
      </x:c>
      <x:c r="D1872" s="66" t="str">
        <x:v>PTN Akademik</x:v>
      </x:c>
      <x:c r="E1872" s="66" t="str">
        <x:v>13421020</x:v>
      </x:c>
      <x:c r="F1872" s="66" t="str">
        <x:v>EKONOMI SYARIAH</x:v>
      </x:c>
      <x:c r="G1872" s="66" t="str">
        <x:v>Sarjana</x:v>
      </x:c>
      <x:c r="H1872" s="87" t="n">
        <x:v>81</x:v>
      </x:c>
      <x:c r="I1872" s="87" t="n">
        <x:v>398</x:v>
      </x:c>
      <x:c r="J1872" s="68" t="n">
        <x:f>IFERROR(H1872/I1872,"")</x:f>
        <x:v>0.20351758793969849</x:v>
      </x:c>
      <x:c r="K1872" s="69" t="n">
        <x:f>IFERROR(I1872/H1872,"")</x:f>
        <x:v>4.91358024691358</x:v>
      </x:c>
      <x:c r="L1872" s="66" t="str">
        <x:f>IF(K1872="","","1 : "&amp;TEXT(K1872,"0.0"))</x:f>
        <x:v>1 : 4.9</x:v>
      </x:c>
      <x:c r="M1872" s="66" t="str">
        <x:f>IF(J1872="","Baru/Tanpa Data",IF(J1872&lt;='Catatan &amp; Sumber'!$B$14,"Sangat Ketat",IF(J1872&lt;='Catatan &amp; Sumber'!$B$15,"Ketat",IF(J1872&lt;='Catatan &amp; Sumber'!$B$16,"Sedang","Relatif Longgar"))))</x:f>
        <x:v>Relatif Longgar</x:v>
      </x:c>
      <x:c r="N1872" s="66" t="str">
        <x:v>Tidak Ada</x:v>
      </x:c>
      <x:c r="O1872" s="66" t="str">
        <x:v>Jawa Barat</x:v>
      </x:c>
      <x:c r="P1872" s="66" t="str">
        <x:v>Kota Tasikmalaya</x:v>
      </x:c>
      <x:c r="Q1872" s="66" t="str">
        <x:v>https://snpmb.id/snbp/daya-tampung-snbp</x:v>
      </x:c>
      <x:c r="R1872" s="66" t="str">
        <x:v>https://sidatagrun-public-1076756628210.asia-southeast2.run.app/ptn_sn.php?ptn=342</x:v>
      </x:c>
    </x:row>
    <x:row r="1873">
      <x:c r="A1873" s="87" t="n">
        <x:v>2456</x:v>
      </x:c>
      <x:c r="B1873" s="66" t="n">
        <x:v>342</x:v>
      </x:c>
      <x:c r="C1873" s="66" t="str">
        <x:v>UNIVERSITAS SILIWANGI</x:v>
      </x:c>
      <x:c r="D1873" s="66" t="str">
        <x:v>PTN Akademik</x:v>
      </x:c>
      <x:c r="E1873" s="66" t="str">
        <x:v>13421021</x:v>
      </x:c>
      <x:c r="F1873" s="66" t="str">
        <x:v>ILMU POLITIK</x:v>
      </x:c>
      <x:c r="G1873" s="66" t="str">
        <x:v>Sarjana</x:v>
      </x:c>
      <x:c r="H1873" s="87" t="n">
        <x:v>75</x:v>
      </x:c>
      <x:c r="I1873" s="87" t="n">
        <x:v>369</x:v>
      </x:c>
      <x:c r="J1873" s="68" t="n">
        <x:f>IFERROR(H1873/I1873,"")</x:f>
        <x:v>0.2032520325203252</x:v>
      </x:c>
      <x:c r="K1873" s="69" t="n">
        <x:f>IFERROR(I1873/H1873,"")</x:f>
        <x:v>4.92</x:v>
      </x:c>
      <x:c r="L1873" s="66" t="str">
        <x:f>IF(K1873="","","1 : "&amp;TEXT(K1873,"0.0"))</x:f>
        <x:v>1 : 4.9</x:v>
      </x:c>
      <x:c r="M1873" s="66" t="str">
        <x:f>IF(J1873="","Baru/Tanpa Data",IF(J1873&lt;='Catatan &amp; Sumber'!$B$14,"Sangat Ketat",IF(J1873&lt;='Catatan &amp; Sumber'!$B$15,"Ketat",IF(J1873&lt;='Catatan &amp; Sumber'!$B$16,"Sedang","Relatif Longgar"))))</x:f>
        <x:v>Relatif Longgar</x:v>
      </x:c>
      <x:c r="N1873" s="66" t="str">
        <x:v>Tidak Ada</x:v>
      </x:c>
      <x:c r="O1873" s="66" t="str">
        <x:v>Jawa Barat</x:v>
      </x:c>
      <x:c r="P1873" s="66" t="str">
        <x:v>Kota Tasikmalaya</x:v>
      </x:c>
      <x:c r="Q1873" s="66" t="str">
        <x:v>https://snpmb.id/snbp/daya-tampung-snbp</x:v>
      </x:c>
      <x:c r="R1873" s="66" t="str">
        <x:v>https://sidatagrun-public-1076756628210.asia-southeast2.run.app/ptn_sn.php?ptn=342</x:v>
      </x:c>
    </x:row>
    <x:row r="1874">
      <x:c r="A1874" s="87" t="n">
        <x:v>1047</x:v>
      </x:c>
      <x:c r="B1874" s="66" t="n">
        <x:v>342</x:v>
      </x:c>
      <x:c r="C1874" s="66" t="str">
        <x:v>UNIVERSITAS SILIWANGI</x:v>
      </x:c>
      <x:c r="D1874" s="66" t="str">
        <x:v>PTN Akademik</x:v>
      </x:c>
      <x:c r="E1874" s="66" t="str">
        <x:v>13421022</x:v>
      </x:c>
      <x:c r="F1874" s="66" t="str">
        <x:v>PENDIDIKAN BAHASA INDONESIA</x:v>
      </x:c>
      <x:c r="G1874" s="66" t="str">
        <x:v>Sarjana</x:v>
      </x:c>
      <x:c r="H1874" s="87" t="n">
        <x:v>59</x:v>
      </x:c>
      <x:c r="I1874" s="87" t="n">
        <x:v>730</x:v>
      </x:c>
      <x:c r="J1874" s="68" t="n">
        <x:f>IFERROR(H1874/I1874,"")</x:f>
        <x:v>0.08082191780821918</x:v>
      </x:c>
      <x:c r="K1874" s="69" t="n">
        <x:f>IFERROR(I1874/H1874,"")</x:f>
        <x:v>12.372881355932204</x:v>
      </x:c>
      <x:c r="L1874" s="66" t="str">
        <x:f>IF(K1874="","","1 : "&amp;TEXT(K1874,"0.0"))</x:f>
        <x:v>1 : 12.4</x:v>
      </x:c>
      <x:c r="M1874" s="66" t="str">
        <x:f>IF(J1874="","Baru/Tanpa Data",IF(J1874&lt;='Catatan &amp; Sumber'!$B$14,"Sangat Ketat",IF(J1874&lt;='Catatan &amp; Sumber'!$B$15,"Ketat",IF(J1874&lt;='Catatan &amp; Sumber'!$B$16,"Sedang","Relatif Longgar"))))</x:f>
        <x:v>Sedang</x:v>
      </x:c>
      <x:c r="N1874" s="66" t="str">
        <x:v>Tidak Ada</x:v>
      </x:c>
      <x:c r="O1874" s="66" t="str">
        <x:v>Jawa Barat</x:v>
      </x:c>
      <x:c r="P1874" s="66" t="str">
        <x:v>Kota Tasikmalaya</x:v>
      </x:c>
      <x:c r="Q1874" s="66" t="str">
        <x:v>https://snpmb.id/snbp/daya-tampung-snbp</x:v>
      </x:c>
      <x:c r="R1874" s="66" t="str">
        <x:v>https://sidatagrun-public-1076756628210.asia-southeast2.run.app/ptn_sn.php?ptn=342</x:v>
      </x:c>
    </x:row>
    <x:row r="1875">
      <x:c r="A1875" s="87" t="n">
        <x:v>1849</x:v>
      </x:c>
      <x:c r="B1875" s="66" t="n">
        <x:v>342</x:v>
      </x:c>
      <x:c r="C1875" s="66" t="str">
        <x:v>UNIVERSITAS SILIWANGI</x:v>
      </x:c>
      <x:c r="D1875" s="66" t="str">
        <x:v>PTN Akademik</x:v>
      </x:c>
      <x:c r="E1875" s="66" t="str">
        <x:v>13421023</x:v>
      </x:c>
      <x:c r="F1875" s="66" t="str">
        <x:v>PENDIDIKAN BAHASA INGGRIS</x:v>
      </x:c>
      <x:c r="G1875" s="66" t="str">
        <x:v>Sarjana</x:v>
      </x:c>
      <x:c r="H1875" s="87" t="n">
        <x:v>71</x:v>
      </x:c>
      <x:c r="I1875" s="87" t="n">
        <x:v>521</x:v>
      </x:c>
      <x:c r="J1875" s="68" t="n">
        <x:f>IFERROR(H1875/I1875,"")</x:f>
        <x:v>0.1362763915547025</x:v>
      </x:c>
      <x:c r="K1875" s="69" t="n">
        <x:f>IFERROR(I1875/H1875,"")</x:f>
        <x:v>7.338028169014085</x:v>
      </x:c>
      <x:c r="L1875" s="66" t="str">
        <x:f>IF(K1875="","","1 : "&amp;TEXT(K1875,"0.0"))</x:f>
        <x:v>1 : 7.3</x:v>
      </x:c>
      <x:c r="M1875" s="66" t="str">
        <x:f>IF(J1875="","Baru/Tanpa Data",IF(J1875&lt;='Catatan &amp; Sumber'!$B$14,"Sangat Ketat",IF(J1875&lt;='Catatan &amp; Sumber'!$B$15,"Ketat",IF(J1875&lt;='Catatan &amp; Sumber'!$B$16,"Sedang","Relatif Longgar"))))</x:f>
        <x:v>Relatif Longgar</x:v>
      </x:c>
      <x:c r="N1875" s="66" t="str">
        <x:v>Tidak Ada</x:v>
      </x:c>
      <x:c r="O1875" s="66" t="str">
        <x:v>Jawa Barat</x:v>
      </x:c>
      <x:c r="P1875" s="66" t="str">
        <x:v>Kota Tasikmalaya</x:v>
      </x:c>
      <x:c r="Q1875" s="66" t="str">
        <x:v>https://snpmb.id/snbp/daya-tampung-snbp</x:v>
      </x:c>
      <x:c r="R1875" s="66" t="str">
        <x:v>https://sidatagrun-public-1076756628210.asia-southeast2.run.app/ptn_sn.php?ptn=342</x:v>
      </x:c>
    </x:row>
    <x:row r="1876">
      <x:c r="A1876" s="87" t="n">
        <x:v>1012</x:v>
      </x:c>
      <x:c r="B1876" s="66" t="n">
        <x:v>342</x:v>
      </x:c>
      <x:c r="C1876" s="66" t="str">
        <x:v>UNIVERSITAS SILIWANGI</x:v>
      </x:c>
      <x:c r="D1876" s="66" t="str">
        <x:v>PTN Akademik</x:v>
      </x:c>
      <x:c r="E1876" s="66" t="str">
        <x:v>13421025</x:v>
      </x:c>
      <x:c r="F1876" s="66" t="str">
        <x:v>SISTEM INFORMASI</x:v>
      </x:c>
      <x:c r="G1876" s="66" t="str">
        <x:v>Sarjana</x:v>
      </x:c>
      <x:c r="H1876" s="87" t="n">
        <x:v>39</x:v>
      </x:c>
      <x:c r="I1876" s="87" t="n">
        <x:v>494</x:v>
      </x:c>
      <x:c r="J1876" s="68" t="n">
        <x:f>IFERROR(H1876/I1876,"")</x:f>
        <x:v>0.07894736842105263</x:v>
      </x:c>
      <x:c r="K1876" s="69" t="n">
        <x:f>IFERROR(I1876/H1876,"")</x:f>
        <x:v>12.666666666666666</x:v>
      </x:c>
      <x:c r="L1876" s="66" t="str">
        <x:f>IF(K1876="","","1 : "&amp;TEXT(K1876,"0.0"))</x:f>
        <x:v>1 : 12.7</x:v>
      </x:c>
      <x:c r="M1876" s="66" t="str">
        <x:f>IF(J1876="","Baru/Tanpa Data",IF(J1876&lt;='Catatan &amp; Sumber'!$B$14,"Sangat Ketat",IF(J1876&lt;='Catatan &amp; Sumber'!$B$15,"Ketat",IF(J1876&lt;='Catatan &amp; Sumber'!$B$16,"Sedang","Relatif Longgar"))))</x:f>
        <x:v>Sedang</x:v>
      </x:c>
      <x:c r="N1876" s="66" t="str">
        <x:v>Tidak Ada</x:v>
      </x:c>
      <x:c r="O1876" s="66" t="str">
        <x:v>Jawa Barat</x:v>
      </x:c>
      <x:c r="P1876" s="66" t="str">
        <x:v>Kota Tasikmalaya</x:v>
      </x:c>
      <x:c r="Q1876" s="66" t="str">
        <x:v>https://snpmb.id/snbp/daya-tampung-snbp</x:v>
      </x:c>
      <x:c r="R1876" s="66" t="str">
        <x:v>https://sidatagrun-public-1076756628210.asia-southeast2.run.app/ptn_sn.php?ptn=342</x:v>
      </x:c>
    </x:row>
    <x:row r="1877">
      <x:c r="A1877" s="87" t="n">
        <x:v>2175</x:v>
      </x:c>
      <x:c r="B1877" s="66" t="n">
        <x:v>342</x:v>
      </x:c>
      <x:c r="C1877" s="66" t="str">
        <x:v>UNIVERSITAS SILIWANGI</x:v>
      </x:c>
      <x:c r="D1877" s="66" t="str">
        <x:v>PTN Akademik</x:v>
      </x:c>
      <x:c r="E1877" s="66" t="str">
        <x:v>13421026</x:v>
      </x:c>
      <x:c r="F1877" s="66" t="str">
        <x:v>MANAJEMEN MUTU HALAL</x:v>
      </x:c>
      <x:c r="G1877" s="66" t="str">
        <x:v>Sarjana</x:v>
      </x:c>
      <x:c r="H1877" s="87" t="n">
        <x:v>24</x:v>
      </x:c>
      <x:c r="I1877" s="87" t="n">
        <x:v>142</x:v>
      </x:c>
      <x:c r="J1877" s="68" t="n">
        <x:f>IFERROR(H1877/I1877,"")</x:f>
        <x:v>0.16901408450704225</x:v>
      </x:c>
      <x:c r="K1877" s="69" t="n">
        <x:f>IFERROR(I1877/H1877,"")</x:f>
        <x:v>5.916666666666667</x:v>
      </x:c>
      <x:c r="L1877" s="66" t="str">
        <x:f>IF(K1877="","","1 : "&amp;TEXT(K1877,"0.0"))</x:f>
        <x:v>1 : 5.9</x:v>
      </x:c>
      <x:c r="M1877" s="66" t="str">
        <x:f>IF(J1877="","Baru/Tanpa Data",IF(J1877&lt;='Catatan &amp; Sumber'!$B$14,"Sangat Ketat",IF(J1877&lt;='Catatan &amp; Sumber'!$B$15,"Ketat",IF(J1877&lt;='Catatan &amp; Sumber'!$B$16,"Sedang","Relatif Longgar"))))</x:f>
        <x:v>Relatif Longgar</x:v>
      </x:c>
      <x:c r="N1877" s="66" t="str">
        <x:v>Tidak Ada</x:v>
      </x:c>
      <x:c r="O1877" s="66" t="str">
        <x:v>Jawa Barat</x:v>
      </x:c>
      <x:c r="P1877" s="66" t="str">
        <x:v>Kota Tasikmalaya</x:v>
      </x:c>
      <x:c r="Q1877" s="66" t="str">
        <x:v>https://snpmb.id/snbp/daya-tampung-snbp</x:v>
      </x:c>
      <x:c r="R1877" s="66" t="str">
        <x:v>https://sidatagrun-public-1076756628210.asia-southeast2.run.app/ptn_sn.php?ptn=342</x:v>
      </x:c>
    </x:row>
    <x:row r="1878">
      <x:c r="A1878" s="87" t="n">
        <x:v>978</x:v>
      </x:c>
      <x:c r="B1878" s="66" t="n">
        <x:v>342</x:v>
      </x:c>
      <x:c r="C1878" s="66" t="str">
        <x:v>UNIVERSITAS SILIWANGI</x:v>
      </x:c>
      <x:c r="D1878" s="66" t="str">
        <x:v>PTN Akademik</x:v>
      </x:c>
      <x:c r="E1878" s="66" t="str">
        <x:v>13421027</x:v>
      </x:c>
      <x:c r="F1878" s="66" t="str">
        <x:v>TEKNOLOGI PANGAN DAN HASIL PERTANIAN</x:v>
      </x:c>
      <x:c r="G1878" s="66" t="str">
        <x:v>Sarjana</x:v>
      </x:c>
      <x:c r="H1878" s="87" t="n">
        <x:v>22</x:v>
      </x:c>
      <x:c r="I1878" s="87" t="n">
        <x:v>286</x:v>
      </x:c>
      <x:c r="J1878" s="68" t="n">
        <x:f>IFERROR(H1878/I1878,"")</x:f>
        <x:v>0.07692307692307693</x:v>
      </x:c>
      <x:c r="K1878" s="69" t="n">
        <x:f>IFERROR(I1878/H1878,"")</x:f>
        <x:v>13</x:v>
      </x:c>
      <x:c r="L1878" s="66" t="str">
        <x:f>IF(K1878="","","1 : "&amp;TEXT(K1878,"0.0"))</x:f>
        <x:v>1 : 13.0</x:v>
      </x:c>
      <x:c r="M1878" s="66" t="str">
        <x:f>IF(J1878="","Baru/Tanpa Data",IF(J1878&lt;='Catatan &amp; Sumber'!$B$14,"Sangat Ketat",IF(J1878&lt;='Catatan &amp; Sumber'!$B$15,"Ketat",IF(J1878&lt;='Catatan &amp; Sumber'!$B$16,"Sedang","Relatif Longgar"))))</x:f>
        <x:v>Sedang</x:v>
      </x:c>
      <x:c r="N1878" s="66" t="str">
        <x:v>Tidak Ada</x:v>
      </x:c>
      <x:c r="O1878" s="66" t="str">
        <x:v>Jawa Barat</x:v>
      </x:c>
      <x:c r="P1878" s="66" t="str">
        <x:v>Kota Tasikmalaya</x:v>
      </x:c>
      <x:c r="Q1878" s="66" t="str">
        <x:v>https://snpmb.id/snbp/daya-tampung-snbp</x:v>
      </x:c>
      <x:c r="R1878" s="66" t="str">
        <x:v>https://sidatagrun-public-1076756628210.asia-southeast2.run.app/ptn_sn.php?ptn=342</x:v>
      </x:c>
    </x:row>
    <x:row r="1879">
      <x:c r="A1879" s="87"/>
      <x:c r="B1879" s="66" t="n">
        <x:v>342</x:v>
      </x:c>
      <x:c r="C1879" s="66" t="str">
        <x:v>UNIVERSITAS SILIWANGI</x:v>
      </x:c>
      <x:c r="D1879" s="66" t="str">
        <x:v>PTN Akademik</x:v>
      </x:c>
      <x:c r="E1879" s="66" t="str">
        <x:v>13421029</x:v>
      </x:c>
      <x:c r="F1879" s="66" t="str">
        <x:v>SAINS DATA</x:v>
      </x:c>
      <x:c r="G1879" s="66" t="str">
        <x:v>Sarjana</x:v>
      </x:c>
      <x:c r="H1879" s="87" t="n">
        <x:v>18</x:v>
      </x:c>
      <x:c r="I1879" s="87"/>
      <x:c r="J1879" s="68" t="str">
        <x:f>IFERROR(H1879/I1879,"")</x:f>
      </x:c>
      <x:c r="K1879" s="69" t="n">
        <x:f>IFERROR(I1879/H1879,"")</x:f>
        <x:v>0</x:v>
      </x:c>
      <x:c r="L1879" s="66" t="str">
        <x:f>IF(K1879="","","1 : "&amp;TEXT(K1879,"0.0"))</x:f>
      </x:c>
      <x:c r="M1879" s="66" t="str">
        <x:f>IF(J1879="","Baru/Tanpa Data",IF(J1879&lt;='Catatan &amp; Sumber'!$B$14,"Sangat Ketat",IF(J1879&lt;='Catatan &amp; Sumber'!$B$15,"Ketat",IF(J1879&lt;='Catatan &amp; Sumber'!$B$16,"Sedang","Relatif Longgar"))))</x:f>
        <x:v>Baru/Tanpa Data</x:v>
      </x:c>
      <x:c r="N1879" s="66" t="str">
        <x:v>Tidak Ada</x:v>
      </x:c>
      <x:c r="O1879" s="66" t="str">
        <x:v>Jawa Barat</x:v>
      </x:c>
      <x:c r="P1879" s="66" t="str">
        <x:v>Kota Tasikmalaya</x:v>
      </x:c>
      <x:c r="Q1879" s="66" t="str">
        <x:v>https://snpmb.id/snbp/daya-tampung-snbp</x:v>
      </x:c>
      <x:c r="R1879" s="66" t="str">
        <x:v>https://sidatagrun-public-1076756628210.asia-southeast2.run.app/ptn_sn.php?ptn=342</x:v>
      </x:c>
    </x:row>
    <x:row r="1880">
      <x:c r="A1880" s="87" t="n">
        <x:v>2145</x:v>
      </x:c>
      <x:c r="B1880" s="66" t="n">
        <x:v>342</x:v>
      </x:c>
      <x:c r="C1880" s="66" t="str">
        <x:v>UNIVERSITAS SILIWANGI</x:v>
      </x:c>
      <x:c r="D1880" s="66" t="str">
        <x:v>PTN Akademik</x:v>
      </x:c>
      <x:c r="E1880" s="66" t="str">
        <x:v>13422028</x:v>
      </x:c>
      <x:c r="F1880" s="66" t="str">
        <x:v>PERBANKAN DAN KEUANGAN DIGITAL</x:v>
      </x:c>
      <x:c r="G1880" s="66" t="str">
        <x:v>Sarjana Terapan</x:v>
      </x:c>
      <x:c r="H1880" s="87" t="n">
        <x:v>24</x:v>
      </x:c>
      <x:c r="I1880" s="87" t="n">
        <x:v>145</x:v>
      </x:c>
      <x:c r="J1880" s="68" t="n">
        <x:f>IFERROR(H1880/I1880,"")</x:f>
        <x:v>0.16551724137931034</x:v>
      </x:c>
      <x:c r="K1880" s="69" t="n">
        <x:f>IFERROR(I1880/H1880,"")</x:f>
        <x:v>6.041666666666667</x:v>
      </x:c>
      <x:c r="L1880" s="66" t="str">
        <x:f>IF(K1880="","","1 : "&amp;TEXT(K1880,"0.0"))</x:f>
        <x:v>1 : 6.0</x:v>
      </x:c>
      <x:c r="M1880" s="66" t="str">
        <x:f>IF(J1880="","Baru/Tanpa Data",IF(J1880&lt;='Catatan &amp; Sumber'!$B$14,"Sangat Ketat",IF(J1880&lt;='Catatan &amp; Sumber'!$B$15,"Ketat",IF(J1880&lt;='Catatan &amp; Sumber'!$B$16,"Sedang","Relatif Longgar"))))</x:f>
        <x:v>Relatif Longgar</x:v>
      </x:c>
      <x:c r="N1880" s="66" t="str">
        <x:v>Tidak Ada</x:v>
      </x:c>
      <x:c r="O1880" s="66" t="str">
        <x:v>Jawa Barat</x:v>
      </x:c>
      <x:c r="P1880" s="66" t="str">
        <x:v>Kota Tasikmalaya</x:v>
      </x:c>
      <x:c r="Q1880" s="66" t="str">
        <x:v>https://snpmb.id/snbp/daya-tampung-snbp</x:v>
      </x:c>
      <x:c r="R1880" s="66" t="str">
        <x:v>https://sidatagrun-public-1076756628210.asia-southeast2.run.app/ptn_sn.php?ptn=342</x:v>
      </x:c>
    </x:row>
    <x:row r="1881">
      <x:c r="A1881" s="87" t="n">
        <x:v>2753</x:v>
      </x:c>
      <x:c r="B1881" s="66" t="n">
        <x:v>342</x:v>
      </x:c>
      <x:c r="C1881" s="66" t="str">
        <x:v>UNIVERSITAS SILIWANGI</x:v>
      </x:c>
      <x:c r="D1881" s="66" t="str">
        <x:v>PTN Akademik</x:v>
      </x:c>
      <x:c r="E1881" s="66" t="str">
        <x:v>13423024</x:v>
      </x:c>
      <x:c r="F1881" s="66" t="str">
        <x:v>PERBANKAN DAN KEUANGAN</x:v>
      </x:c>
      <x:c r="G1881" s="66" t="str">
        <x:v>Diploma Tiga</x:v>
      </x:c>
      <x:c r="H1881" s="87" t="n">
        <x:v>80</x:v>
      </x:c>
      <x:c r="I1881" s="87" t="n">
        <x:v>318</x:v>
      </x:c>
      <x:c r="J1881" s="68" t="n">
        <x:f>IFERROR(H1881/I1881,"")</x:f>
        <x:v>0.25157232704402516</x:v>
      </x:c>
      <x:c r="K1881" s="69" t="n">
        <x:f>IFERROR(I1881/H1881,"")</x:f>
        <x:v>3.975</x:v>
      </x:c>
      <x:c r="L1881" s="66" t="str">
        <x:f>IF(K1881="","","1 : "&amp;TEXT(K1881,"0.0"))</x:f>
        <x:v>1 : 4.0</x:v>
      </x:c>
      <x:c r="M1881" s="66" t="str">
        <x:f>IF(J1881="","Baru/Tanpa Data",IF(J1881&lt;='Catatan &amp; Sumber'!$B$14,"Sangat Ketat",IF(J1881&lt;='Catatan &amp; Sumber'!$B$15,"Ketat",IF(J1881&lt;='Catatan &amp; Sumber'!$B$16,"Sedang","Relatif Longgar"))))</x:f>
        <x:v>Relatif Longgar</x:v>
      </x:c>
      <x:c r="N1881" s="66" t="str">
        <x:v>Tidak Ada</x:v>
      </x:c>
      <x:c r="O1881" s="66" t="str">
        <x:v>Jawa Barat</x:v>
      </x:c>
      <x:c r="P1881" s="66" t="str">
        <x:v>Kota Tasikmalaya</x:v>
      </x:c>
      <x:c r="Q1881" s="66" t="str">
        <x:v>https://snpmb.id/snbp/daya-tampung-snbp</x:v>
      </x:c>
      <x:c r="R1881" s="66" t="str">
        <x:v>https://sidatagrun-public-1076756628210.asia-southeast2.run.app/ptn_sn.php?ptn=342</x:v>
      </x:c>
    </x:row>
    <x:row r="1882">
      <x:c r="A1882" s="87" t="n">
        <x:v>3082</x:v>
      </x:c>
      <x:c r="B1882" s="66" t="n">
        <x:v>351</x:v>
      </x:c>
      <x:c r="C1882" s="66" t="str">
        <x:v>UNIVERSITAS JENDERAL SOEDIRMAN</x:v>
      </x:c>
      <x:c r="D1882" s="66" t="str">
        <x:v>PTN Akademik</x:v>
      </x:c>
      <x:c r="E1882" s="66" t="str">
        <x:v>13511001</x:v>
      </x:c>
      <x:c r="F1882" s="66" t="str">
        <x:v>BIOLOGI</x:v>
      </x:c>
      <x:c r="G1882" s="66" t="str">
        <x:v>Sarjana</x:v>
      </x:c>
      <x:c r="H1882" s="87" t="n">
        <x:v>120</x:v>
      </x:c>
      <x:c r="I1882" s="87" t="n">
        <x:v>385</x:v>
      </x:c>
      <x:c r="J1882" s="68" t="n">
        <x:f>IFERROR(H1882/I1882,"")</x:f>
        <x:v>0.3116883116883117</x:v>
      </x:c>
      <x:c r="K1882" s="69" t="n">
        <x:f>IFERROR(I1882/H1882,"")</x:f>
        <x:v>3.2083333333333335</x:v>
      </x:c>
      <x:c r="L1882" s="66" t="str">
        <x:f>IF(K1882="","","1 : "&amp;TEXT(K1882,"0.0"))</x:f>
        <x:v>1 : 3.2</x:v>
      </x:c>
      <x:c r="M1882" s="66" t="str">
        <x:f>IF(J1882="","Baru/Tanpa Data",IF(J1882&lt;='Catatan &amp; Sumber'!$B$14,"Sangat Ketat",IF(J1882&lt;='Catatan &amp; Sumber'!$B$15,"Ketat",IF(J1882&lt;='Catatan &amp; Sumber'!$B$16,"Sedang","Relatif Longgar"))))</x:f>
        <x:v>Relatif Longgar</x:v>
      </x:c>
      <x:c r="N1882" s="66" t="str">
        <x:v>Tidak Ada</x:v>
      </x:c>
      <x:c r="O1882" s="66" t="str">
        <x:v>Jawa Tengah</x:v>
      </x:c>
      <x:c r="P1882" s="66" t="str">
        <x:v>Kabupaten Banyumas</x:v>
      </x:c>
      <x:c r="Q1882" s="66" t="str">
        <x:v>https://snpmb.id/snbp/daya-tampung-snbp</x:v>
      </x:c>
      <x:c r="R1882" s="66" t="str">
        <x:v>https://sidatagrun-public-1076756628210.asia-southeast2.run.app/ptn_sn.php?ptn=351</x:v>
      </x:c>
    </x:row>
    <x:row r="1883">
      <x:c r="A1883" s="87" t="n">
        <x:v>2898</x:v>
      </x:c>
      <x:c r="B1883" s="66" t="n">
        <x:v>351</x:v>
      </x:c>
      <x:c r="C1883" s="66" t="str">
        <x:v>UNIVERSITAS JENDERAL SOEDIRMAN</x:v>
      </x:c>
      <x:c r="D1883" s="66" t="str">
        <x:v>PTN Akademik</x:v>
      </x:c>
      <x:c r="E1883" s="66" t="str">
        <x:v>13511002</x:v>
      </x:c>
      <x:c r="F1883" s="66" t="str">
        <x:v>KIMIA</x:v>
      </x:c>
      <x:c r="G1883" s="66" t="str">
        <x:v>Sarjana</x:v>
      </x:c>
      <x:c r="H1883" s="87" t="n">
        <x:v>88</x:v>
      </x:c>
      <x:c r="I1883" s="87" t="n">
        <x:v>321</x:v>
      </x:c>
      <x:c r="J1883" s="68" t="n">
        <x:f>IFERROR(H1883/I1883,"")</x:f>
        <x:v>0.27414330218068533</x:v>
      </x:c>
      <x:c r="K1883" s="69" t="n">
        <x:f>IFERROR(I1883/H1883,"")</x:f>
        <x:v>3.647727272727273</x:v>
      </x:c>
      <x:c r="L1883" s="66" t="str">
        <x:f>IF(K1883="","","1 : "&amp;TEXT(K1883,"0.0"))</x:f>
        <x:v>1 : 3.6</x:v>
      </x:c>
      <x:c r="M1883" s="66" t="str">
        <x:f>IF(J1883="","Baru/Tanpa Data",IF(J1883&lt;='Catatan &amp; Sumber'!$B$14,"Sangat Ketat",IF(J1883&lt;='Catatan &amp; Sumber'!$B$15,"Ketat",IF(J1883&lt;='Catatan &amp; Sumber'!$B$16,"Sedang","Relatif Longgar"))))</x:f>
        <x:v>Relatif Longgar</x:v>
      </x:c>
      <x:c r="N1883" s="66" t="str">
        <x:v>Tidak Ada</x:v>
      </x:c>
      <x:c r="O1883" s="66" t="str">
        <x:v>Jawa Tengah</x:v>
      </x:c>
      <x:c r="P1883" s="66" t="str">
        <x:v>Kabupaten Banyumas</x:v>
      </x:c>
      <x:c r="Q1883" s="66" t="str">
        <x:v>https://snpmb.id/snbp/daya-tampung-snbp</x:v>
      </x:c>
      <x:c r="R1883" s="66" t="str">
        <x:v>https://sidatagrun-public-1076756628210.asia-southeast2.run.app/ptn_sn.php?ptn=351</x:v>
      </x:c>
    </x:row>
    <x:row r="1884">
      <x:c r="A1884" s="87" t="n">
        <x:v>2853</x:v>
      </x:c>
      <x:c r="B1884" s="66" t="n">
        <x:v>351</x:v>
      </x:c>
      <x:c r="C1884" s="66" t="str">
        <x:v>UNIVERSITAS JENDERAL SOEDIRMAN</x:v>
      </x:c>
      <x:c r="D1884" s="66" t="str">
        <x:v>PTN Akademik</x:v>
      </x:c>
      <x:c r="E1884" s="66" t="str">
        <x:v>13511003</x:v>
      </x:c>
      <x:c r="F1884" s="66" t="str">
        <x:v>MATEMATIKA</x:v>
      </x:c>
      <x:c r="G1884" s="66" t="str">
        <x:v>Sarjana</x:v>
      </x:c>
      <x:c r="H1884" s="87" t="n">
        <x:v>88</x:v>
      </x:c>
      <x:c r="I1884" s="87" t="n">
        <x:v>329</x:v>
      </x:c>
      <x:c r="J1884" s="68" t="n">
        <x:f>IFERROR(H1884/I1884,"")</x:f>
        <x:v>0.2674772036474164</x:v>
      </x:c>
      <x:c r="K1884" s="69" t="n">
        <x:f>IFERROR(I1884/H1884,"")</x:f>
        <x:v>3.7386363636363638</x:v>
      </x:c>
      <x:c r="L1884" s="66" t="str">
        <x:f>IF(K1884="","","1 : "&amp;TEXT(K1884,"0.0"))</x:f>
        <x:v>1 : 3.7</x:v>
      </x:c>
      <x:c r="M1884" s="66" t="str">
        <x:f>IF(J1884="","Baru/Tanpa Data",IF(J1884&lt;='Catatan &amp; Sumber'!$B$14,"Sangat Ketat",IF(J1884&lt;='Catatan &amp; Sumber'!$B$15,"Ketat",IF(J1884&lt;='Catatan &amp; Sumber'!$B$16,"Sedang","Relatif Longgar"))))</x:f>
        <x:v>Relatif Longgar</x:v>
      </x:c>
      <x:c r="N1884" s="66" t="str">
        <x:v>Tidak Ada</x:v>
      </x:c>
      <x:c r="O1884" s="66" t="str">
        <x:v>Jawa Tengah</x:v>
      </x:c>
      <x:c r="P1884" s="66" t="str">
        <x:v>Kabupaten Banyumas</x:v>
      </x:c>
      <x:c r="Q1884" s="66" t="str">
        <x:v>https://snpmb.id/snbp/daya-tampung-snbp</x:v>
      </x:c>
      <x:c r="R1884" s="66" t="str">
        <x:v>https://sidatagrun-public-1076756628210.asia-southeast2.run.app/ptn_sn.php?ptn=351</x:v>
      </x:c>
    </x:row>
    <x:row r="1885">
      <x:c r="A1885" s="87" t="n">
        <x:v>3825</x:v>
      </x:c>
      <x:c r="B1885" s="66" t="n">
        <x:v>351</x:v>
      </x:c>
      <x:c r="C1885" s="66" t="str">
        <x:v>UNIVERSITAS JENDERAL SOEDIRMAN</x:v>
      </x:c>
      <x:c r="D1885" s="66" t="str">
        <x:v>PTN Akademik</x:v>
      </x:c>
      <x:c r="E1885" s="66" t="str">
        <x:v>13511004</x:v>
      </x:c>
      <x:c r="F1885" s="66" t="str">
        <x:v>FISIKA</x:v>
      </x:c>
      <x:c r="G1885" s="66" t="str">
        <x:v>Sarjana</x:v>
      </x:c>
      <x:c r="H1885" s="87" t="n">
        <x:v>88</x:v>
      </x:c>
      <x:c r="I1885" s="87" t="n">
        <x:v>150</x:v>
      </x:c>
      <x:c r="J1885" s="68" t="n">
        <x:f>IFERROR(H1885/I1885,"")</x:f>
        <x:v>0.5866666666666667</x:v>
      </x:c>
      <x:c r="K1885" s="69" t="n">
        <x:f>IFERROR(I1885/H1885,"")</x:f>
        <x:v>1.7045454545454546</x:v>
      </x:c>
      <x:c r="L1885" s="66" t="str">
        <x:f>IF(K1885="","","1 : "&amp;TEXT(K1885,"0.0"))</x:f>
        <x:v>1 : 1.7</x:v>
      </x:c>
      <x:c r="M1885" s="66" t="str">
        <x:f>IF(J1885="","Baru/Tanpa Data",IF(J1885&lt;='Catatan &amp; Sumber'!$B$14,"Sangat Ketat",IF(J1885&lt;='Catatan &amp; Sumber'!$B$15,"Ketat",IF(J1885&lt;='Catatan &amp; Sumber'!$B$16,"Sedang","Relatif Longgar"))))</x:f>
        <x:v>Relatif Longgar</x:v>
      </x:c>
      <x:c r="N1885" s="66" t="str">
        <x:v>Tidak Ada</x:v>
      </x:c>
      <x:c r="O1885" s="66" t="str">
        <x:v>Jawa Tengah</x:v>
      </x:c>
      <x:c r="P1885" s="66" t="str">
        <x:v>Kabupaten Banyumas</x:v>
      </x:c>
      <x:c r="Q1885" s="66" t="str">
        <x:v>https://snpmb.id/snbp/daya-tampung-snbp</x:v>
      </x:c>
      <x:c r="R1885" s="66" t="str">
        <x:v>https://sidatagrun-public-1076756628210.asia-southeast2.run.app/ptn_sn.php?ptn=351</x:v>
      </x:c>
    </x:row>
    <x:row r="1886">
      <x:c r="A1886" s="87" t="n">
        <x:v>2902</x:v>
      </x:c>
      <x:c r="B1886" s="66" t="n">
        <x:v>351</x:v>
      </x:c>
      <x:c r="C1886" s="66" t="str">
        <x:v>UNIVERSITAS JENDERAL SOEDIRMAN</x:v>
      </x:c>
      <x:c r="D1886" s="66" t="str">
        <x:v>PTN Akademik</x:v>
      </x:c>
      <x:c r="E1886" s="66" t="str">
        <x:v>13511005</x:v>
      </x:c>
      <x:c r="F1886" s="66" t="str">
        <x:v>MANAJEMEN SUMBERDAYA PERAIRAN</x:v>
      </x:c>
      <x:c r="G1886" s="66" t="str">
        <x:v>Sarjana</x:v>
      </x:c>
      <x:c r="H1886" s="87" t="n">
        <x:v>60</x:v>
      </x:c>
      <x:c r="I1886" s="87" t="n">
        <x:v>218</x:v>
      </x:c>
      <x:c r="J1886" s="68" t="n">
        <x:f>IFERROR(H1886/I1886,"")</x:f>
        <x:v>0.27522935779816515</x:v>
      </x:c>
      <x:c r="K1886" s="69" t="n">
        <x:f>IFERROR(I1886/H1886,"")</x:f>
        <x:v>3.6333333333333333</x:v>
      </x:c>
      <x:c r="L1886" s="66" t="str">
        <x:f>IF(K1886="","","1 : "&amp;TEXT(K1886,"0.0"))</x:f>
        <x:v>1 : 3.6</x:v>
      </x:c>
      <x:c r="M1886" s="66" t="str">
        <x:f>IF(J1886="","Baru/Tanpa Data",IF(J1886&lt;='Catatan &amp; Sumber'!$B$14,"Sangat Ketat",IF(J1886&lt;='Catatan &amp; Sumber'!$B$15,"Ketat",IF(J1886&lt;='Catatan &amp; Sumber'!$B$16,"Sedang","Relatif Longgar"))))</x:f>
        <x:v>Relatif Longgar</x:v>
      </x:c>
      <x:c r="N1886" s="66" t="str">
        <x:v>Tidak Ada</x:v>
      </x:c>
      <x:c r="O1886" s="66" t="str">
        <x:v>Jawa Tengah</x:v>
      </x:c>
      <x:c r="P1886" s="66" t="str">
        <x:v>Kabupaten Banyumas</x:v>
      </x:c>
      <x:c r="Q1886" s="66" t="str">
        <x:v>https://snpmb.id/snbp/daya-tampung-snbp</x:v>
      </x:c>
      <x:c r="R1886" s="66" t="str">
        <x:v>https://sidatagrun-public-1076756628210.asia-southeast2.run.app/ptn_sn.php?ptn=351</x:v>
      </x:c>
    </x:row>
    <x:row r="1887">
      <x:c r="A1887" s="87" t="n">
        <x:v>2861</x:v>
      </x:c>
      <x:c r="B1887" s="66" t="n">
        <x:v>351</x:v>
      </x:c>
      <x:c r="C1887" s="66" t="str">
        <x:v>UNIVERSITAS JENDERAL SOEDIRMAN</x:v>
      </x:c>
      <x:c r="D1887" s="66" t="str">
        <x:v>PTN Akademik</x:v>
      </x:c>
      <x:c r="E1887" s="66" t="str">
        <x:v>13511006</x:v>
      </x:c>
      <x:c r="F1887" s="66" t="str">
        <x:v>AKUAKULTUR</x:v>
      </x:c>
      <x:c r="G1887" s="66" t="str">
        <x:v>Sarjana</x:v>
      </x:c>
      <x:c r="H1887" s="87" t="n">
        <x:v>60</x:v>
      </x:c>
      <x:c r="I1887" s="87" t="n">
        <x:v>223</x:v>
      </x:c>
      <x:c r="J1887" s="68" t="n">
        <x:f>IFERROR(H1887/I1887,"")</x:f>
        <x:v>0.26905829596412556</x:v>
      </x:c>
      <x:c r="K1887" s="69" t="n">
        <x:f>IFERROR(I1887/H1887,"")</x:f>
        <x:v>3.716666666666667</x:v>
      </x:c>
      <x:c r="L1887" s="66" t="str">
        <x:f>IF(K1887="","","1 : "&amp;TEXT(K1887,"0.0"))</x:f>
        <x:v>1 : 3.7</x:v>
      </x:c>
      <x:c r="M1887" s="66" t="str">
        <x:f>IF(J1887="","Baru/Tanpa Data",IF(J1887&lt;='Catatan &amp; Sumber'!$B$14,"Sangat Ketat",IF(J1887&lt;='Catatan &amp; Sumber'!$B$15,"Ketat",IF(J1887&lt;='Catatan &amp; Sumber'!$B$16,"Sedang","Relatif Longgar"))))</x:f>
        <x:v>Relatif Longgar</x:v>
      </x:c>
      <x:c r="N1887" s="66" t="str">
        <x:v>Tidak Ada</x:v>
      </x:c>
      <x:c r="O1887" s="66" t="str">
        <x:v>Jawa Tengah</x:v>
      </x:c>
      <x:c r="P1887" s="66" t="str">
        <x:v>Kabupaten Banyumas</x:v>
      </x:c>
      <x:c r="Q1887" s="66" t="str">
        <x:v>https://snpmb.id/snbp/daya-tampung-snbp</x:v>
      </x:c>
      <x:c r="R1887" s="66" t="str">
        <x:v>https://sidatagrun-public-1076756628210.asia-southeast2.run.app/ptn_sn.php?ptn=351</x:v>
      </x:c>
    </x:row>
    <x:row r="1888">
      <x:c r="A1888" s="87" t="n">
        <x:v>1821</x:v>
      </x:c>
      <x:c r="B1888" s="66" t="n">
        <x:v>351</x:v>
      </x:c>
      <x:c r="C1888" s="66" t="str">
        <x:v>UNIVERSITAS JENDERAL SOEDIRMAN</x:v>
      </x:c>
      <x:c r="D1888" s="66" t="str">
        <x:v>PTN Akademik</x:v>
      </x:c>
      <x:c r="E1888" s="66" t="str">
        <x:v>13511007</x:v>
      </x:c>
      <x:c r="F1888" s="66" t="str">
        <x:v>TEKNIK PERTANIAN</x:v>
      </x:c>
      <x:c r="G1888" s="66" t="str">
        <x:v>Sarjana</x:v>
      </x:c>
      <x:c r="H1888" s="87" t="n">
        <x:v>60</x:v>
      </x:c>
      <x:c r="I1888" s="87" t="n">
        <x:v>448</x:v>
      </x:c>
      <x:c r="J1888" s="68" t="n">
        <x:f>IFERROR(H1888/I1888,"")</x:f>
        <x:v>0.13392857142857142</x:v>
      </x:c>
      <x:c r="K1888" s="69" t="n">
        <x:f>IFERROR(I1888/H1888,"")</x:f>
        <x:v>7.466666666666667</x:v>
      </x:c>
      <x:c r="L1888" s="66" t="str">
        <x:f>IF(K1888="","","1 : "&amp;TEXT(K1888,"0.0"))</x:f>
        <x:v>1 : 7.5</x:v>
      </x:c>
      <x:c r="M1888" s="66" t="str">
        <x:f>IF(J1888="","Baru/Tanpa Data",IF(J1888&lt;='Catatan &amp; Sumber'!$B$14,"Sangat Ketat",IF(J1888&lt;='Catatan &amp; Sumber'!$B$15,"Ketat",IF(J1888&lt;='Catatan &amp; Sumber'!$B$16,"Sedang","Relatif Longgar"))))</x:f>
        <x:v>Relatif Longgar</x:v>
      </x:c>
      <x:c r="N1888" s="66" t="str">
        <x:v>Tidak Ada</x:v>
      </x:c>
      <x:c r="O1888" s="66" t="str">
        <x:v>Jawa Tengah</x:v>
      </x:c>
      <x:c r="P1888" s="66" t="str">
        <x:v>Kabupaten Banyumas</x:v>
      </x:c>
      <x:c r="Q1888" s="66" t="str">
        <x:v>https://snpmb.id/snbp/daya-tampung-snbp</x:v>
      </x:c>
      <x:c r="R1888" s="66" t="str">
        <x:v>https://sidatagrun-public-1076756628210.asia-southeast2.run.app/ptn_sn.php?ptn=351</x:v>
      </x:c>
    </x:row>
    <x:row r="1889">
      <x:c r="A1889" s="87" t="n">
        <x:v>1596</x:v>
      </x:c>
      <x:c r="B1889" s="66" t="n">
        <x:v>351</x:v>
      </x:c>
      <x:c r="C1889" s="66" t="str">
        <x:v>UNIVERSITAS JENDERAL SOEDIRMAN</x:v>
      </x:c>
      <x:c r="D1889" s="66" t="str">
        <x:v>PTN Akademik</x:v>
      </x:c>
      <x:c r="E1889" s="66" t="str">
        <x:v>13511008</x:v>
      </x:c>
      <x:c r="F1889" s="66" t="str">
        <x:v>TEKNIK ELEKTRO</x:v>
      </x:c>
      <x:c r="G1889" s="66" t="str">
        <x:v>Sarjana</x:v>
      </x:c>
      <x:c r="H1889" s="87" t="n">
        <x:v>60</x:v>
      </x:c>
      <x:c r="I1889" s="87" t="n">
        <x:v>517</x:v>
      </x:c>
      <x:c r="J1889" s="68" t="n">
        <x:f>IFERROR(H1889/I1889,"")</x:f>
        <x:v>0.11605415860735009</x:v>
      </x:c>
      <x:c r="K1889" s="69" t="n">
        <x:f>IFERROR(I1889/H1889,"")</x:f>
        <x:v>8.616666666666667</x:v>
      </x:c>
      <x:c r="L1889" s="66" t="str">
        <x:f>IF(K1889="","","1 : "&amp;TEXT(K1889,"0.0"))</x:f>
        <x:v>1 : 8.6</x:v>
      </x:c>
      <x:c r="M1889" s="66" t="str">
        <x:f>IF(J1889="","Baru/Tanpa Data",IF(J1889&lt;='Catatan &amp; Sumber'!$B$14,"Sangat Ketat",IF(J1889&lt;='Catatan &amp; Sumber'!$B$15,"Ketat",IF(J1889&lt;='Catatan &amp; Sumber'!$B$16,"Sedang","Relatif Longgar"))))</x:f>
        <x:v>Relatif Longgar</x:v>
      </x:c>
      <x:c r="N1889" s="66" t="str">
        <x:v>Tidak Ada</x:v>
      </x:c>
      <x:c r="O1889" s="66" t="str">
        <x:v>Jawa Tengah</x:v>
      </x:c>
      <x:c r="P1889" s="66" t="str">
        <x:v>Kabupaten Banyumas</x:v>
      </x:c>
      <x:c r="Q1889" s="66" t="str">
        <x:v>https://snpmb.id/snbp/daya-tampung-snbp</x:v>
      </x:c>
      <x:c r="R1889" s="66" t="str">
        <x:v>https://sidatagrun-public-1076756628210.asia-southeast2.run.app/ptn_sn.php?ptn=351</x:v>
      </x:c>
    </x:row>
    <x:row r="1890">
      <x:c r="A1890" s="87" t="n">
        <x:v>1384</x:v>
      </x:c>
      <x:c r="B1890" s="66" t="n">
        <x:v>351</x:v>
      </x:c>
      <x:c r="C1890" s="66" t="str">
        <x:v>UNIVERSITAS JENDERAL SOEDIRMAN</x:v>
      </x:c>
      <x:c r="D1890" s="66" t="str">
        <x:v>PTN Akademik</x:v>
      </x:c>
      <x:c r="E1890" s="66" t="str">
        <x:v>13511009</x:v>
      </x:c>
      <x:c r="F1890" s="66" t="str">
        <x:v>TEKNIK SIPIL</x:v>
      </x:c>
      <x:c r="G1890" s="66" t="str">
        <x:v>Sarjana</x:v>
      </x:c>
      <x:c r="H1890" s="87" t="n">
        <x:v>60</x:v>
      </x:c>
      <x:c r="I1890" s="87" t="n">
        <x:v>594</x:v>
      </x:c>
      <x:c r="J1890" s="68" t="n">
        <x:f>IFERROR(H1890/I1890,"")</x:f>
        <x:v>0.10101010101010101</x:v>
      </x:c>
      <x:c r="K1890" s="69" t="n">
        <x:f>IFERROR(I1890/H1890,"")</x:f>
        <x:v>9.9</x:v>
      </x:c>
      <x:c r="L1890" s="66" t="str">
        <x:f>IF(K1890="","","1 : "&amp;TEXT(K1890,"0.0"))</x:f>
        <x:v>1 : 9.9</x:v>
      </x:c>
      <x:c r="M1890" s="66" t="str">
        <x:f>IF(J1890="","Baru/Tanpa Data",IF(J1890&lt;='Catatan &amp; Sumber'!$B$14,"Sangat Ketat",IF(J1890&lt;='Catatan &amp; Sumber'!$B$15,"Ketat",IF(J1890&lt;='Catatan &amp; Sumber'!$B$16,"Sedang","Relatif Longgar"))))</x:f>
        <x:v>Relatif Longgar</x:v>
      </x:c>
      <x:c r="N1890" s="66" t="str">
        <x:v>Tidak Ada</x:v>
      </x:c>
      <x:c r="O1890" s="66" t="str">
        <x:v>Jawa Tengah</x:v>
      </x:c>
      <x:c r="P1890" s="66" t="str">
        <x:v>Kabupaten Banyumas</x:v>
      </x:c>
      <x:c r="Q1890" s="66" t="str">
        <x:v>https://snpmb.id/snbp/daya-tampung-snbp</x:v>
      </x:c>
      <x:c r="R1890" s="66" t="str">
        <x:v>https://sidatagrun-public-1076756628210.asia-southeast2.run.app/ptn_sn.php?ptn=351</x:v>
      </x:c>
    </x:row>
    <x:row r="1891">
      <x:c r="A1891" s="87" t="n">
        <x:v>606</x:v>
      </x:c>
      <x:c r="B1891" s="66" t="n">
        <x:v>351</x:v>
      </x:c>
      <x:c r="C1891" s="66" t="str">
        <x:v>UNIVERSITAS JENDERAL SOEDIRMAN</x:v>
      </x:c>
      <x:c r="D1891" s="66" t="str">
        <x:v>PTN Akademik</x:v>
      </x:c>
      <x:c r="E1891" s="66" t="str">
        <x:v>13511010</x:v>
      </x:c>
      <x:c r="F1891" s="66" t="str">
        <x:v>PENDIDIKAN DOKTER</x:v>
      </x:c>
      <x:c r="G1891" s="66" t="str">
        <x:v>Sarjana</x:v>
      </x:c>
      <x:c r="H1891" s="87" t="n">
        <x:v>53</x:v>
      </x:c>
      <x:c r="I1891" s="87" t="n">
        <x:v>918</x:v>
      </x:c>
      <x:c r="J1891" s="68" t="n">
        <x:f>IFERROR(H1891/I1891,"")</x:f>
        <x:v>0.05773420479302832</x:v>
      </x:c>
      <x:c r="K1891" s="69" t="n">
        <x:f>IFERROR(I1891/H1891,"")</x:f>
        <x:v>17.32075471698113</x:v>
      </x:c>
      <x:c r="L1891" s="66" t="str">
        <x:f>IF(K1891="","","1 : "&amp;TEXT(K1891,"0.0"))</x:f>
        <x:v>1 : 17.3</x:v>
      </x:c>
      <x:c r="M1891" s="66" t="str">
        <x:f>IF(J1891="","Baru/Tanpa Data",IF(J1891&lt;='Catatan &amp; Sumber'!$B$14,"Sangat Ketat",IF(J1891&lt;='Catatan &amp; Sumber'!$B$15,"Ketat",IF(J1891&lt;='Catatan &amp; Sumber'!$B$16,"Sedang","Relatif Longgar"))))</x:f>
        <x:v>Sedang</x:v>
      </x:c>
      <x:c r="N1891" s="66" t="str">
        <x:v>Tidak Ada</x:v>
      </x:c>
      <x:c r="O1891" s="66" t="str">
        <x:v>Jawa Tengah</x:v>
      </x:c>
      <x:c r="P1891" s="66" t="str">
        <x:v>Kabupaten Banyumas</x:v>
      </x:c>
      <x:c r="Q1891" s="66" t="str">
        <x:v>https://snpmb.id/snbp/daya-tampung-snbp</x:v>
      </x:c>
      <x:c r="R1891" s="66" t="str">
        <x:v>https://sidatagrun-public-1076756628210.asia-southeast2.run.app/ptn_sn.php?ptn=351</x:v>
      </x:c>
    </x:row>
    <x:row r="1892">
      <x:c r="A1892" s="87" t="n">
        <x:v>861</x:v>
      </x:c>
      <x:c r="B1892" s="66" t="n">
        <x:v>351</x:v>
      </x:c>
      <x:c r="C1892" s="66" t="str">
        <x:v>UNIVERSITAS JENDERAL SOEDIRMAN</x:v>
      </x:c>
      <x:c r="D1892" s="66" t="str">
        <x:v>PTN Akademik</x:v>
      </x:c>
      <x:c r="E1892" s="66" t="str">
        <x:v>13511011</x:v>
      </x:c>
      <x:c r="F1892" s="66" t="str">
        <x:v>KESEHATAN MASYARAKAT</x:v>
      </x:c>
      <x:c r="G1892" s="66" t="str">
        <x:v>Sarjana</x:v>
      </x:c>
      <x:c r="H1892" s="87" t="n">
        <x:v>66</x:v>
      </x:c>
      <x:c r="I1892" s="87" t="n">
        <x:v>946</x:v>
      </x:c>
      <x:c r="J1892" s="68" t="n">
        <x:f>IFERROR(H1892/I1892,"")</x:f>
        <x:v>0.06976744186046512</x:v>
      </x:c>
      <x:c r="K1892" s="69" t="n">
        <x:f>IFERROR(I1892/H1892,"")</x:f>
        <x:v>14.333333333333334</x:v>
      </x:c>
      <x:c r="L1892" s="66" t="str">
        <x:f>IF(K1892="","","1 : "&amp;TEXT(K1892,"0.0"))</x:f>
        <x:v>1 : 14.3</x:v>
      </x:c>
      <x:c r="M1892" s="66" t="str">
        <x:f>IF(J1892="","Baru/Tanpa Data",IF(J1892&lt;='Catatan &amp; Sumber'!$B$14,"Sangat Ketat",IF(J1892&lt;='Catatan &amp; Sumber'!$B$15,"Ketat",IF(J1892&lt;='Catatan &amp; Sumber'!$B$16,"Sedang","Relatif Longgar"))))</x:f>
        <x:v>Sedang</x:v>
      </x:c>
      <x:c r="N1892" s="66" t="str">
        <x:v>Tidak Ada</x:v>
      </x:c>
      <x:c r="O1892" s="66" t="str">
        <x:v>Jawa Tengah</x:v>
      </x:c>
      <x:c r="P1892" s="66" t="str">
        <x:v>Kabupaten Banyumas</x:v>
      </x:c>
      <x:c r="Q1892" s="66" t="str">
        <x:v>https://snpmb.id/snbp/daya-tampung-snbp</x:v>
      </x:c>
      <x:c r="R1892" s="66" t="str">
        <x:v>https://sidatagrun-public-1076756628210.asia-southeast2.run.app/ptn_sn.php?ptn=351</x:v>
      </x:c>
    </x:row>
    <x:row r="1893">
      <x:c r="A1893" s="87" t="n">
        <x:v>421</x:v>
      </x:c>
      <x:c r="B1893" s="66" t="n">
        <x:v>351</x:v>
      </x:c>
      <x:c r="C1893" s="66" t="str">
        <x:v>UNIVERSITAS JENDERAL SOEDIRMAN</x:v>
      </x:c>
      <x:c r="D1893" s="66" t="str">
        <x:v>PTN Akademik</x:v>
      </x:c>
      <x:c r="E1893" s="66" t="str">
        <x:v>13511012</x:v>
      </x:c>
      <x:c r="F1893" s="66" t="str">
        <x:v>KEPERAWATAN</x:v>
      </x:c>
      <x:c r="G1893" s="66" t="str">
        <x:v>Sarjana</x:v>
      </x:c>
      <x:c r="H1893" s="87" t="n">
        <x:v>65</x:v>
      </x:c>
      <x:c r="I1893" s="87" t="n">
        <x:v>1359</x:v>
      </x:c>
      <x:c r="J1893" s="68" t="n">
        <x:f>IFERROR(H1893/I1893,"")</x:f>
        <x:v>0.047829286239882265</x:v>
      </x:c>
      <x:c r="K1893" s="69" t="n">
        <x:f>IFERROR(I1893/H1893,"")</x:f>
        <x:v>20.907692307692308</x:v>
      </x:c>
      <x:c r="L1893" s="66" t="str">
        <x:f>IF(K1893="","","1 : "&amp;TEXT(K1893,"0.0"))</x:f>
        <x:v>1 : 20.9</x:v>
      </x:c>
      <x:c r="M1893" s="66" t="str">
        <x:f>IF(J1893="","Baru/Tanpa Data",IF(J1893&lt;='Catatan &amp; Sumber'!$B$14,"Sangat Ketat",IF(J1893&lt;='Catatan &amp; Sumber'!$B$15,"Ketat",IF(J1893&lt;='Catatan &amp; Sumber'!$B$16,"Sedang","Relatif Longgar"))))</x:f>
        <x:v>Ketat</x:v>
      </x:c>
      <x:c r="N1893" s="66" t="str">
        <x:v>Tidak Ada</x:v>
      </x:c>
      <x:c r="O1893" s="66" t="str">
        <x:v>Jawa Tengah</x:v>
      </x:c>
      <x:c r="P1893" s="66" t="str">
        <x:v>Kabupaten Banyumas</x:v>
      </x:c>
      <x:c r="Q1893" s="66" t="str">
        <x:v>https://snpmb.id/snbp/daya-tampung-snbp</x:v>
      </x:c>
      <x:c r="R1893" s="66" t="str">
        <x:v>https://sidatagrun-public-1076756628210.asia-southeast2.run.app/ptn_sn.php?ptn=351</x:v>
      </x:c>
    </x:row>
    <x:row r="1894">
      <x:c r="A1894" s="87" t="n">
        <x:v>566</x:v>
      </x:c>
      <x:c r="B1894" s="66" t="n">
        <x:v>351</x:v>
      </x:c>
      <x:c r="C1894" s="66" t="str">
        <x:v>UNIVERSITAS JENDERAL SOEDIRMAN</x:v>
      </x:c>
      <x:c r="D1894" s="66" t="str">
        <x:v>PTN Akademik</x:v>
      </x:c>
      <x:c r="E1894" s="66" t="str">
        <x:v>13511013</x:v>
      </x:c>
      <x:c r="F1894" s="66" t="str">
        <x:v>FARMASI</x:v>
      </x:c>
      <x:c r="G1894" s="66" t="str">
        <x:v>Sarjana</x:v>
      </x:c>
      <x:c r="H1894" s="87" t="n">
        <x:v>66</x:v>
      </x:c>
      <x:c r="I1894" s="87" t="n">
        <x:v>1198</x:v>
      </x:c>
      <x:c r="J1894" s="68" t="n">
        <x:f>IFERROR(H1894/I1894,"")</x:f>
        <x:v>0.05509181969949917</x:v>
      </x:c>
      <x:c r="K1894" s="69" t="n">
        <x:f>IFERROR(I1894/H1894,"")</x:f>
        <x:v>18.151515151515152</x:v>
      </x:c>
      <x:c r="L1894" s="66" t="str">
        <x:f>IF(K1894="","","1 : "&amp;TEXT(K1894,"0.0"))</x:f>
        <x:v>1 : 18.2</x:v>
      </x:c>
      <x:c r="M1894" s="66" t="str">
        <x:f>IF(J1894="","Baru/Tanpa Data",IF(J1894&lt;='Catatan &amp; Sumber'!$B$14,"Sangat Ketat",IF(J1894&lt;='Catatan &amp; Sumber'!$B$15,"Ketat",IF(J1894&lt;='Catatan &amp; Sumber'!$B$16,"Sedang","Relatif Longgar"))))</x:f>
        <x:v>Sedang</x:v>
      </x:c>
      <x:c r="N1894" s="66" t="str">
        <x:v>Tidak Ada</x:v>
      </x:c>
      <x:c r="O1894" s="66" t="str">
        <x:v>Jawa Tengah</x:v>
      </x:c>
      <x:c r="P1894" s="66" t="str">
        <x:v>Kabupaten Banyumas</x:v>
      </x:c>
      <x:c r="Q1894" s="66" t="str">
        <x:v>https://snpmb.id/snbp/daya-tampung-snbp</x:v>
      </x:c>
      <x:c r="R1894" s="66" t="str">
        <x:v>https://sidatagrun-public-1076756628210.asia-southeast2.run.app/ptn_sn.php?ptn=351</x:v>
      </x:c>
    </x:row>
    <x:row r="1895">
      <x:c r="A1895" s="87" t="n">
        <x:v>1500</x:v>
      </x:c>
      <x:c r="B1895" s="66" t="n">
        <x:v>351</x:v>
      </x:c>
      <x:c r="C1895" s="66" t="str">
        <x:v>UNIVERSITAS JENDERAL SOEDIRMAN</x:v>
      </x:c>
      <x:c r="D1895" s="66" t="str">
        <x:v>PTN Akademik</x:v>
      </x:c>
      <x:c r="E1895" s="66" t="str">
        <x:v>13511014</x:v>
      </x:c>
      <x:c r="F1895" s="66" t="str">
        <x:v>TEKNIK GEOLOGI</x:v>
      </x:c>
      <x:c r="G1895" s="66" t="str">
        <x:v>Sarjana</x:v>
      </x:c>
      <x:c r="H1895" s="87" t="n">
        <x:v>60</x:v>
      </x:c>
      <x:c r="I1895" s="87" t="n">
        <x:v>549</x:v>
      </x:c>
      <x:c r="J1895" s="68" t="n">
        <x:f>IFERROR(H1895/I1895,"")</x:f>
        <x:v>0.1092896174863388</x:v>
      </x:c>
      <x:c r="K1895" s="69" t="n">
        <x:f>IFERROR(I1895/H1895,"")</x:f>
        <x:v>9.15</x:v>
      </x:c>
      <x:c r="L1895" s="66" t="str">
        <x:f>IF(K1895="","","1 : "&amp;TEXT(K1895,"0.0"))</x:f>
        <x:v>1 : 9.2</x:v>
      </x:c>
      <x:c r="M1895" s="66" t="str">
        <x:f>IF(J1895="","Baru/Tanpa Data",IF(J1895&lt;='Catatan &amp; Sumber'!$B$14,"Sangat Ketat",IF(J1895&lt;='Catatan &amp; Sumber'!$B$15,"Ketat",IF(J1895&lt;='Catatan &amp; Sumber'!$B$16,"Sedang","Relatif Longgar"))))</x:f>
        <x:v>Relatif Longgar</x:v>
      </x:c>
      <x:c r="N1895" s="66" t="str">
        <x:v>Tidak Ada</x:v>
      </x:c>
      <x:c r="O1895" s="66" t="str">
        <x:v>Jawa Tengah</x:v>
      </x:c>
      <x:c r="P1895" s="66" t="str">
        <x:v>Kabupaten Banyumas</x:v>
      </x:c>
      <x:c r="Q1895" s="66" t="str">
        <x:v>https://snpmb.id/snbp/daya-tampung-snbp</x:v>
      </x:c>
      <x:c r="R1895" s="66" t="str">
        <x:v>https://sidatagrun-public-1076756628210.asia-southeast2.run.app/ptn_sn.php?ptn=351</x:v>
      </x:c>
    </x:row>
    <x:row r="1896">
      <x:c r="A1896" s="87" t="n">
        <x:v>3018</x:v>
      </x:c>
      <x:c r="B1896" s="66" t="n">
        <x:v>351</x:v>
      </x:c>
      <x:c r="C1896" s="66" t="str">
        <x:v>UNIVERSITAS JENDERAL SOEDIRMAN</x:v>
      </x:c>
      <x:c r="D1896" s="66" t="str">
        <x:v>PTN Akademik</x:v>
      </x:c>
      <x:c r="E1896" s="66" t="str">
        <x:v>13511015</x:v>
      </x:c>
      <x:c r="F1896" s="66" t="str">
        <x:v>ILMU KELAUTAN</x:v>
      </x:c>
      <x:c r="G1896" s="66" t="str">
        <x:v>Sarjana</x:v>
      </x:c>
      <x:c r="H1896" s="87" t="n">
        <x:v>65</x:v>
      </x:c>
      <x:c r="I1896" s="87" t="n">
        <x:v>218</x:v>
      </x:c>
      <x:c r="J1896" s="68" t="n">
        <x:f>IFERROR(H1896/I1896,"")</x:f>
        <x:v>0.2981651376146789</x:v>
      </x:c>
      <x:c r="K1896" s="69" t="n">
        <x:f>IFERROR(I1896/H1896,"")</x:f>
        <x:v>3.353846153846154</x:v>
      </x:c>
      <x:c r="L1896" s="66" t="str">
        <x:f>IF(K1896="","","1 : "&amp;TEXT(K1896,"0.0"))</x:f>
        <x:v>1 : 3.4</x:v>
      </x:c>
      <x:c r="M1896" s="66" t="str">
        <x:f>IF(J1896="","Baru/Tanpa Data",IF(J1896&lt;='Catatan &amp; Sumber'!$B$14,"Sangat Ketat",IF(J1896&lt;='Catatan &amp; Sumber'!$B$15,"Ketat",IF(J1896&lt;='Catatan &amp; Sumber'!$B$16,"Sedang","Relatif Longgar"))))</x:f>
        <x:v>Relatif Longgar</x:v>
      </x:c>
      <x:c r="N1896" s="66" t="str">
        <x:v>Tidak Ada</x:v>
      </x:c>
      <x:c r="O1896" s="66" t="str">
        <x:v>Jawa Tengah</x:v>
      </x:c>
      <x:c r="P1896" s="66" t="str">
        <x:v>Kabupaten Banyumas</x:v>
      </x:c>
      <x:c r="Q1896" s="66" t="str">
        <x:v>https://snpmb.id/snbp/daya-tampung-snbp</x:v>
      </x:c>
      <x:c r="R1896" s="66" t="str">
        <x:v>https://sidatagrun-public-1076756628210.asia-southeast2.run.app/ptn_sn.php?ptn=351</x:v>
      </x:c>
    </x:row>
    <x:row r="1897">
      <x:c r="A1897" s="87" t="n">
        <x:v>2074</x:v>
      </x:c>
      <x:c r="B1897" s="66" t="n">
        <x:v>351</x:v>
      </x:c>
      <x:c r="C1897" s="66" t="str">
        <x:v>UNIVERSITAS JENDERAL SOEDIRMAN</x:v>
      </x:c>
      <x:c r="D1897" s="66" t="str">
        <x:v>PTN Akademik</x:v>
      </x:c>
      <x:c r="E1897" s="66" t="str">
        <x:v>13511016</x:v>
      </x:c>
      <x:c r="F1897" s="66" t="str">
        <x:v>AGROTEKNOLOGI</x:v>
      </x:c>
      <x:c r="G1897" s="66" t="str">
        <x:v>Sarjana</x:v>
      </x:c>
      <x:c r="H1897" s="87" t="n">
        <x:v>90</x:v>
      </x:c>
      <x:c r="I1897" s="87" t="n">
        <x:v>565</x:v>
      </x:c>
      <x:c r="J1897" s="68" t="n">
        <x:f>IFERROR(H1897/I1897,"")</x:f>
        <x:v>0.1592920353982301</x:v>
      </x:c>
      <x:c r="K1897" s="69" t="n">
        <x:f>IFERROR(I1897/H1897,"")</x:f>
        <x:v>6.277777777777778</x:v>
      </x:c>
      <x:c r="L1897" s="66" t="str">
        <x:f>IF(K1897="","","1 : "&amp;TEXT(K1897,"0.0"))</x:f>
        <x:v>1 : 6.3</x:v>
      </x:c>
      <x:c r="M1897" s="66" t="str">
        <x:f>IF(J1897="","Baru/Tanpa Data",IF(J1897&lt;='Catatan &amp; Sumber'!$B$14,"Sangat Ketat",IF(J1897&lt;='Catatan &amp; Sumber'!$B$15,"Ketat",IF(J1897&lt;='Catatan &amp; Sumber'!$B$16,"Sedang","Relatif Longgar"))))</x:f>
        <x:v>Relatif Longgar</x:v>
      </x:c>
      <x:c r="N1897" s="66" t="str">
        <x:v>Tidak Ada</x:v>
      </x:c>
      <x:c r="O1897" s="66" t="str">
        <x:v>Jawa Tengah</x:v>
      </x:c>
      <x:c r="P1897" s="66" t="str">
        <x:v>Kabupaten Banyumas</x:v>
      </x:c>
      <x:c r="Q1897" s="66" t="str">
        <x:v>https://snpmb.id/snbp/daya-tampung-snbp</x:v>
      </x:c>
      <x:c r="R1897" s="66" t="str">
        <x:v>https://sidatagrun-public-1076756628210.asia-southeast2.run.app/ptn_sn.php?ptn=351</x:v>
      </x:c>
    </x:row>
    <x:row r="1898">
      <x:c r="A1898" s="87" t="n">
        <x:v>1647</x:v>
      </x:c>
      <x:c r="B1898" s="66" t="n">
        <x:v>351</x:v>
      </x:c>
      <x:c r="C1898" s="66" t="str">
        <x:v>UNIVERSITAS JENDERAL SOEDIRMAN</x:v>
      </x:c>
      <x:c r="D1898" s="66" t="str">
        <x:v>PTN Akademik</x:v>
      </x:c>
      <x:c r="E1898" s="66" t="str">
        <x:v>13511017</x:v>
      </x:c>
      <x:c r="F1898" s="66" t="str">
        <x:v>AGRIBISNIS</x:v>
      </x:c>
      <x:c r="G1898" s="66" t="str">
        <x:v>Sarjana</x:v>
      </x:c>
      <x:c r="H1898" s="87" t="n">
        <x:v>63</x:v>
      </x:c>
      <x:c r="I1898" s="87" t="n">
        <x:v>525</x:v>
      </x:c>
      <x:c r="J1898" s="68" t="n">
        <x:f>IFERROR(H1898/I1898,"")</x:f>
        <x:v>0.12</x:v>
      </x:c>
      <x:c r="K1898" s="69" t="n">
        <x:f>IFERROR(I1898/H1898,"")</x:f>
        <x:v>8.333333333333334</x:v>
      </x:c>
      <x:c r="L1898" s="66" t="str">
        <x:f>IF(K1898="","","1 : "&amp;TEXT(K1898,"0.0"))</x:f>
        <x:v>1 : 8.3</x:v>
      </x:c>
      <x:c r="M1898" s="66" t="str">
        <x:f>IF(J1898="","Baru/Tanpa Data",IF(J1898&lt;='Catatan &amp; Sumber'!$B$14,"Sangat Ketat",IF(J1898&lt;='Catatan &amp; Sumber'!$B$15,"Ketat",IF(J1898&lt;='Catatan &amp; Sumber'!$B$16,"Sedang","Relatif Longgar"))))</x:f>
        <x:v>Relatif Longgar</x:v>
      </x:c>
      <x:c r="N1898" s="66" t="str">
        <x:v>Tidak Ada</x:v>
      </x:c>
      <x:c r="O1898" s="66" t="str">
        <x:v>Jawa Tengah</x:v>
      </x:c>
      <x:c r="P1898" s="66" t="str">
        <x:v>Kabupaten Banyumas</x:v>
      </x:c>
      <x:c r="Q1898" s="66" t="str">
        <x:v>https://snpmb.id/snbp/daya-tampung-snbp</x:v>
      </x:c>
      <x:c r="R1898" s="66" t="str">
        <x:v>https://sidatagrun-public-1076756628210.asia-southeast2.run.app/ptn_sn.php?ptn=351</x:v>
      </x:c>
    </x:row>
    <x:row r="1899">
      <x:c r="A1899" s="87" t="n">
        <x:v>1225</x:v>
      </x:c>
      <x:c r="B1899" s="66" t="n">
        <x:v>351</x:v>
      </x:c>
      <x:c r="C1899" s="66" t="str">
        <x:v>UNIVERSITAS JENDERAL SOEDIRMAN</x:v>
      </x:c>
      <x:c r="D1899" s="66" t="str">
        <x:v>PTN Akademik</x:v>
      </x:c>
      <x:c r="E1899" s="66" t="str">
        <x:v>13511018</x:v>
      </x:c>
      <x:c r="F1899" s="66" t="str">
        <x:v>TEKNOLOGI PANGAN</x:v>
      </x:c>
      <x:c r="G1899" s="66" t="str">
        <x:v>Sarjana</x:v>
      </x:c>
      <x:c r="H1899" s="87" t="n">
        <x:v>60</x:v>
      </x:c>
      <x:c r="I1899" s="87" t="n">
        <x:v>655</x:v>
      </x:c>
      <x:c r="J1899" s="68" t="n">
        <x:f>IFERROR(H1899/I1899,"")</x:f>
        <x:v>0.0916030534351145</x:v>
      </x:c>
      <x:c r="K1899" s="69" t="n">
        <x:f>IFERROR(I1899/H1899,"")</x:f>
        <x:v>10.916666666666666</x:v>
      </x:c>
      <x:c r="L1899" s="66" t="str">
        <x:f>IF(K1899="","","1 : "&amp;TEXT(K1899,"0.0"))</x:f>
        <x:v>1 : 10.9</x:v>
      </x:c>
      <x:c r="M1899" s="66" t="str">
        <x:f>IF(J1899="","Baru/Tanpa Data",IF(J1899&lt;='Catatan &amp; Sumber'!$B$14,"Sangat Ketat",IF(J1899&lt;='Catatan &amp; Sumber'!$B$15,"Ketat",IF(J1899&lt;='Catatan &amp; Sumber'!$B$16,"Sedang","Relatif Longgar"))))</x:f>
        <x:v>Sedang</x:v>
      </x:c>
      <x:c r="N1899" s="66" t="str">
        <x:v>Tidak Ada</x:v>
      </x:c>
      <x:c r="O1899" s="66" t="str">
        <x:v>Jawa Tengah</x:v>
      </x:c>
      <x:c r="P1899" s="66" t="str">
        <x:v>Kabupaten Banyumas</x:v>
      </x:c>
      <x:c r="Q1899" s="66" t="str">
        <x:v>https://snpmb.id/snbp/daya-tampung-snbp</x:v>
      </x:c>
      <x:c r="R1899" s="66" t="str">
        <x:v>https://sidatagrun-public-1076756628210.asia-southeast2.run.app/ptn_sn.php?ptn=351</x:v>
      </x:c>
    </x:row>
    <x:row r="1900">
      <x:c r="A1900" s="87" t="n">
        <x:v>2469</x:v>
      </x:c>
      <x:c r="B1900" s="66" t="n">
        <x:v>351</x:v>
      </x:c>
      <x:c r="C1900" s="66" t="str">
        <x:v>UNIVERSITAS JENDERAL SOEDIRMAN</x:v>
      </x:c>
      <x:c r="D1900" s="66" t="str">
        <x:v>PTN Akademik</x:v>
      </x:c>
      <x:c r="E1900" s="66" t="str">
        <x:v>13511019</x:v>
      </x:c>
      <x:c r="F1900" s="66" t="str">
        <x:v>PETERNAKAN</x:v>
      </x:c>
      <x:c r="G1900" s="66" t="str">
        <x:v>Sarjana</x:v>
      </x:c>
      <x:c r="H1900" s="87" t="n">
        <x:v>95</x:v>
      </x:c>
      <x:c r="I1900" s="87" t="n">
        <x:v>463</x:v>
      </x:c>
      <x:c r="J1900" s="68" t="n">
        <x:f>IFERROR(H1900/I1900,"")</x:f>
        <x:v>0.20518358531317496</x:v>
      </x:c>
      <x:c r="K1900" s="69" t="n">
        <x:f>IFERROR(I1900/H1900,"")</x:f>
        <x:v>4.873684210526315</x:v>
      </x:c>
      <x:c r="L1900" s="66" t="str">
        <x:f>IF(K1900="","","1 : "&amp;TEXT(K1900,"0.0"))</x:f>
        <x:v>1 : 4.9</x:v>
      </x:c>
      <x:c r="M1900" s="66" t="str">
        <x:f>IF(J1900="","Baru/Tanpa Data",IF(J1900&lt;='Catatan &amp; Sumber'!$B$14,"Sangat Ketat",IF(J1900&lt;='Catatan &amp; Sumber'!$B$15,"Ketat",IF(J1900&lt;='Catatan &amp; Sumber'!$B$16,"Sedang","Relatif Longgar"))))</x:f>
        <x:v>Relatif Longgar</x:v>
      </x:c>
      <x:c r="N1900" s="66" t="str">
        <x:v>Tidak Ada</x:v>
      </x:c>
      <x:c r="O1900" s="66" t="str">
        <x:v>Jawa Tengah</x:v>
      </x:c>
      <x:c r="P1900" s="66" t="str">
        <x:v>Kabupaten Banyumas</x:v>
      </x:c>
      <x:c r="Q1900" s="66" t="str">
        <x:v>https://snpmb.id/snbp/daya-tampung-snbp</x:v>
      </x:c>
      <x:c r="R1900" s="66" t="str">
        <x:v>https://sidatagrun-public-1076756628210.asia-southeast2.run.app/ptn_sn.php?ptn=351</x:v>
      </x:c>
    </x:row>
    <x:row r="1901">
      <x:c r="A1901" s="87" t="n">
        <x:v>845</x:v>
      </x:c>
      <x:c r="B1901" s="66" t="n">
        <x:v>351</x:v>
      </x:c>
      <x:c r="C1901" s="66" t="str">
        <x:v>UNIVERSITAS JENDERAL SOEDIRMAN</x:v>
      </x:c>
      <x:c r="D1901" s="66" t="str">
        <x:v>PTN Akademik</x:v>
      </x:c>
      <x:c r="E1901" s="66" t="str">
        <x:v>13511020</x:v>
      </x:c>
      <x:c r="F1901" s="66" t="str">
        <x:v>INFORMATIKA</x:v>
      </x:c>
      <x:c r="G1901" s="66" t="str">
        <x:v>Sarjana</x:v>
      </x:c>
      <x:c r="H1901" s="87" t="n">
        <x:v>60</x:v>
      </x:c>
      <x:c r="I1901" s="87" t="n">
        <x:v>868</x:v>
      </x:c>
      <x:c r="J1901" s="68" t="n">
        <x:f>IFERROR(H1901/I1901,"")</x:f>
        <x:v>0.06912442396313365</x:v>
      </x:c>
      <x:c r="K1901" s="69" t="n">
        <x:f>IFERROR(I1901/H1901,"")</x:f>
        <x:v>14.466666666666667</x:v>
      </x:c>
      <x:c r="L1901" s="66" t="str">
        <x:f>IF(K1901="","","1 : "&amp;TEXT(K1901,"0.0"))</x:f>
        <x:v>1 : 14.5</x:v>
      </x:c>
      <x:c r="M1901" s="66" t="str">
        <x:f>IF(J1901="","Baru/Tanpa Data",IF(J1901&lt;='Catatan &amp; Sumber'!$B$14,"Sangat Ketat",IF(J1901&lt;='Catatan &amp; Sumber'!$B$15,"Ketat",IF(J1901&lt;='Catatan &amp; Sumber'!$B$16,"Sedang","Relatif Longgar"))))</x:f>
        <x:v>Sedang</x:v>
      </x:c>
      <x:c r="N1901" s="66" t="str">
        <x:v>Tidak Ada</x:v>
      </x:c>
      <x:c r="O1901" s="66" t="str">
        <x:v>Jawa Tengah</x:v>
      </x:c>
      <x:c r="P1901" s="66" t="str">
        <x:v>Kabupaten Banyumas</x:v>
      </x:c>
      <x:c r="Q1901" s="66" t="str">
        <x:v>https://snpmb.id/snbp/daya-tampung-snbp</x:v>
      </x:c>
      <x:c r="R1901" s="66" t="str">
        <x:v>https://sidatagrun-public-1076756628210.asia-southeast2.run.app/ptn_sn.php?ptn=351</x:v>
      </x:c>
    </x:row>
    <x:row r="1902">
      <x:c r="A1902" s="87" t="n">
        <x:v>149</x:v>
      </x:c>
      <x:c r="B1902" s="66" t="n">
        <x:v>351</x:v>
      </x:c>
      <x:c r="C1902" s="66" t="str">
        <x:v>UNIVERSITAS JENDERAL SOEDIRMAN</x:v>
      </x:c>
      <x:c r="D1902" s="66" t="str">
        <x:v>PTN Akademik</x:v>
      </x:c>
      <x:c r="E1902" s="66" t="str">
        <x:v>13511021</x:v>
      </x:c>
      <x:c r="F1902" s="66" t="str">
        <x:v>KEDOKTERAN GIGI</x:v>
      </x:c>
      <x:c r="G1902" s="66" t="str">
        <x:v>Sarjana</x:v>
      </x:c>
      <x:c r="H1902" s="87" t="n">
        <x:v>21</x:v>
      </x:c>
      <x:c r="I1902" s="87" t="n">
        <x:v>631</x:v>
      </x:c>
      <x:c r="J1902" s="68" t="n">
        <x:f>IFERROR(H1902/I1902,"")</x:f>
        <x:v>0.03328050713153724</x:v>
      </x:c>
      <x:c r="K1902" s="69" t="n">
        <x:f>IFERROR(I1902/H1902,"")</x:f>
        <x:v>30.047619047619047</x:v>
      </x:c>
      <x:c r="L1902" s="66" t="str">
        <x:f>IF(K1902="","","1 : "&amp;TEXT(K1902,"0.0"))</x:f>
        <x:v>1 : 30.0</x:v>
      </x:c>
      <x:c r="M1902" s="66" t="str">
        <x:f>IF(J1902="","Baru/Tanpa Data",IF(J1902&lt;='Catatan &amp; Sumber'!$B$14,"Sangat Ketat",IF(J1902&lt;='Catatan &amp; Sumber'!$B$15,"Ketat",IF(J1902&lt;='Catatan &amp; Sumber'!$B$16,"Sedang","Relatif Longgar"))))</x:f>
        <x:v>Ketat</x:v>
      </x:c>
      <x:c r="N1902" s="66" t="str">
        <x:v>Tidak Ada</x:v>
      </x:c>
      <x:c r="O1902" s="66" t="str">
        <x:v>Jawa Tengah</x:v>
      </x:c>
      <x:c r="P1902" s="66" t="str">
        <x:v>Kabupaten Banyumas</x:v>
      </x:c>
      <x:c r="Q1902" s="66" t="str">
        <x:v>https://snpmb.id/snbp/daya-tampung-snbp</x:v>
      </x:c>
      <x:c r="R1902" s="66" t="str">
        <x:v>https://sidatagrun-public-1076756628210.asia-southeast2.run.app/ptn_sn.php?ptn=351</x:v>
      </x:c>
    </x:row>
    <x:row r="1903">
      <x:c r="A1903" s="87" t="n">
        <x:v>969</x:v>
      </x:c>
      <x:c r="B1903" s="66" t="n">
        <x:v>351</x:v>
      </x:c>
      <x:c r="C1903" s="66" t="str">
        <x:v>UNIVERSITAS JENDERAL SOEDIRMAN</x:v>
      </x:c>
      <x:c r="D1903" s="66" t="str">
        <x:v>PTN Akademik</x:v>
      </x:c>
      <x:c r="E1903" s="66" t="str">
        <x:v>13511022</x:v>
      </x:c>
      <x:c r="F1903" s="66" t="str">
        <x:v>ILMU GIZI</x:v>
      </x:c>
      <x:c r="G1903" s="66" t="str">
        <x:v>Sarjana</x:v>
      </x:c>
      <x:c r="H1903" s="87" t="n">
        <x:v>66</x:v>
      </x:c>
      <x:c r="I1903" s="87" t="n">
        <x:v>865</x:v>
      </x:c>
      <x:c r="J1903" s="68" t="n">
        <x:f>IFERROR(H1903/I1903,"")</x:f>
        <x:v>0.07630057803468208</x:v>
      </x:c>
      <x:c r="K1903" s="69" t="n">
        <x:f>IFERROR(I1903/H1903,"")</x:f>
        <x:v>13.106060606060606</x:v>
      </x:c>
      <x:c r="L1903" s="66" t="str">
        <x:f>IF(K1903="","","1 : "&amp;TEXT(K1903,"0.0"))</x:f>
        <x:v>1 : 13.1</x:v>
      </x:c>
      <x:c r="M1903" s="66" t="str">
        <x:f>IF(J1903="","Baru/Tanpa Data",IF(J1903&lt;='Catatan &amp; Sumber'!$B$14,"Sangat Ketat",IF(J1903&lt;='Catatan &amp; Sumber'!$B$15,"Ketat",IF(J1903&lt;='Catatan &amp; Sumber'!$B$16,"Sedang","Relatif Longgar"))))</x:f>
        <x:v>Sedang</x:v>
      </x:c>
      <x:c r="N1903" s="66" t="str">
        <x:v>Tidak Ada</x:v>
      </x:c>
      <x:c r="O1903" s="66" t="str">
        <x:v>Jawa Tengah</x:v>
      </x:c>
      <x:c r="P1903" s="66" t="str">
        <x:v>Kabupaten Banyumas</x:v>
      </x:c>
      <x:c r="Q1903" s="66" t="str">
        <x:v>https://snpmb.id/snbp/daya-tampung-snbp</x:v>
      </x:c>
      <x:c r="R1903" s="66" t="str">
        <x:v>https://sidatagrun-public-1076756628210.asia-southeast2.run.app/ptn_sn.php?ptn=351</x:v>
      </x:c>
    </x:row>
    <x:row r="1904">
      <x:c r="A1904" s="87" t="n">
        <x:v>2150</x:v>
      </x:c>
      <x:c r="B1904" s="66" t="n">
        <x:v>351</x:v>
      </x:c>
      <x:c r="C1904" s="66" t="str">
        <x:v>UNIVERSITAS JENDERAL SOEDIRMAN</x:v>
      </x:c>
      <x:c r="D1904" s="66" t="str">
        <x:v>PTN Akademik</x:v>
      </x:c>
      <x:c r="E1904" s="66" t="str">
        <x:v>13511023</x:v>
      </x:c>
      <x:c r="F1904" s="66" t="str">
        <x:v>PENDIDIKAN JASMANI</x:v>
      </x:c>
      <x:c r="G1904" s="66" t="str">
        <x:v>Sarjana</x:v>
      </x:c>
      <x:c r="H1904" s="87" t="n">
        <x:v>66</x:v>
      </x:c>
      <x:c r="I1904" s="87" t="n">
        <x:v>397</x:v>
      </x:c>
      <x:c r="J1904" s="68" t="n">
        <x:f>IFERROR(H1904/I1904,"")</x:f>
        <x:v>0.16624685138539042</x:v>
      </x:c>
      <x:c r="K1904" s="69" t="n">
        <x:f>IFERROR(I1904/H1904,"")</x:f>
        <x:v>6.015151515151516</x:v>
      </x:c>
      <x:c r="L1904" s="66" t="str">
        <x:f>IF(K1904="","","1 : "&amp;TEXT(K1904,"0.0"))</x:f>
        <x:v>1 : 6.0</x:v>
      </x:c>
      <x:c r="M1904" s="66" t="str">
        <x:f>IF(J1904="","Baru/Tanpa Data",IF(J1904&lt;='Catatan &amp; Sumber'!$B$14,"Sangat Ketat",IF(J1904&lt;='Catatan &amp; Sumber'!$B$15,"Ketat",IF(J1904&lt;='Catatan &amp; Sumber'!$B$16,"Sedang","Relatif Longgar"))))</x:f>
        <x:v>Relatif Longgar</x:v>
      </x:c>
      <x:c r="N1904" s="66" t="str">
        <x:v>Olahraga</x:v>
      </x:c>
      <x:c r="O1904" s="66" t="str">
        <x:v>Jawa Tengah</x:v>
      </x:c>
      <x:c r="P1904" s="66" t="str">
        <x:v>Kabupaten Banyumas</x:v>
      </x:c>
      <x:c r="Q1904" s="66" t="str">
        <x:v>https://snpmb.id/snbp/daya-tampung-snbp</x:v>
      </x:c>
      <x:c r="R1904" s="66" t="str">
        <x:v>https://sidatagrun-public-1076756628210.asia-southeast2.run.app/ptn_sn.php?ptn=351</x:v>
      </x:c>
    </x:row>
    <x:row r="1905">
      <x:c r="A1905" s="87" t="n">
        <x:v>925</x:v>
      </x:c>
      <x:c r="B1905" s="66" t="n">
        <x:v>351</x:v>
      </x:c>
      <x:c r="C1905" s="66" t="str">
        <x:v>UNIVERSITAS JENDERAL SOEDIRMAN</x:v>
      </x:c>
      <x:c r="D1905" s="66" t="str">
        <x:v>PTN Akademik</x:v>
      </x:c>
      <x:c r="E1905" s="66" t="str">
        <x:v>13511024</x:v>
      </x:c>
      <x:c r="F1905" s="66" t="str">
        <x:v>TEKNIK INDUSTRI</x:v>
      </x:c>
      <x:c r="G1905" s="66" t="str">
        <x:v>Sarjana</x:v>
      </x:c>
      <x:c r="H1905" s="87" t="n">
        <x:v>48</x:v>
      </x:c>
      <x:c r="I1905" s="87" t="n">
        <x:v>650</x:v>
      </x:c>
      <x:c r="J1905" s="68" t="n">
        <x:f>IFERROR(H1905/I1905,"")</x:f>
        <x:v>0.07384615384615385</x:v>
      </x:c>
      <x:c r="K1905" s="69" t="n">
        <x:f>IFERROR(I1905/H1905,"")</x:f>
        <x:v>13.541666666666666</x:v>
      </x:c>
      <x:c r="L1905" s="66" t="str">
        <x:f>IF(K1905="","","1 : "&amp;TEXT(K1905,"0.0"))</x:f>
        <x:v>1 : 13.5</x:v>
      </x:c>
      <x:c r="M1905" s="66" t="str">
        <x:f>IF(J1905="","Baru/Tanpa Data",IF(J1905&lt;='Catatan &amp; Sumber'!$B$14,"Sangat Ketat",IF(J1905&lt;='Catatan &amp; Sumber'!$B$15,"Ketat",IF(J1905&lt;='Catatan &amp; Sumber'!$B$16,"Sedang","Relatif Longgar"))))</x:f>
        <x:v>Sedang</x:v>
      </x:c>
      <x:c r="N1905" s="66" t="str">
        <x:v>Tidak Ada</x:v>
      </x:c>
      <x:c r="O1905" s="66" t="str">
        <x:v>Jawa Tengah</x:v>
      </x:c>
      <x:c r="P1905" s="66" t="str">
        <x:v>Kabupaten Banyumas</x:v>
      </x:c>
      <x:c r="Q1905" s="66" t="str">
        <x:v>https://snpmb.id/snbp/daya-tampung-snbp</x:v>
      </x:c>
      <x:c r="R1905" s="66" t="str">
        <x:v>https://sidatagrun-public-1076756628210.asia-southeast2.run.app/ptn_sn.php?ptn=351</x:v>
      </x:c>
    </x:row>
    <x:row r="1906">
      <x:c r="A1906" s="87" t="n">
        <x:v>1724</x:v>
      </x:c>
      <x:c r="B1906" s="66" t="n">
        <x:v>351</x:v>
      </x:c>
      <x:c r="C1906" s="66" t="str">
        <x:v>UNIVERSITAS JENDERAL SOEDIRMAN</x:v>
      </x:c>
      <x:c r="D1906" s="66" t="str">
        <x:v>PTN Akademik</x:v>
      </x:c>
      <x:c r="E1906" s="66" t="str">
        <x:v>13511025</x:v>
      </x:c>
      <x:c r="F1906" s="66" t="str">
        <x:v>HUKUM</x:v>
      </x:c>
      <x:c r="G1906" s="66" t="str">
        <x:v>Sarjana</x:v>
      </x:c>
      <x:c r="H1906" s="87" t="n">
        <x:v>96</x:v>
      </x:c>
      <x:c r="I1906" s="87" t="n">
        <x:v>762</x:v>
      </x:c>
      <x:c r="J1906" s="68" t="n">
        <x:f>IFERROR(H1906/I1906,"")</x:f>
        <x:v>0.12598425196850394</x:v>
      </x:c>
      <x:c r="K1906" s="69" t="n">
        <x:f>IFERROR(I1906/H1906,"")</x:f>
        <x:v>7.9375</x:v>
      </x:c>
      <x:c r="L1906" s="66" t="str">
        <x:f>IF(K1906="","","1 : "&amp;TEXT(K1906,"0.0"))</x:f>
        <x:v>1 : 7.9</x:v>
      </x:c>
      <x:c r="M1906" s="66" t="str">
        <x:f>IF(J1906="","Baru/Tanpa Data",IF(J1906&lt;='Catatan &amp; Sumber'!$B$14,"Sangat Ketat",IF(J1906&lt;='Catatan &amp; Sumber'!$B$15,"Ketat",IF(J1906&lt;='Catatan &amp; Sumber'!$B$16,"Sedang","Relatif Longgar"))))</x:f>
        <x:v>Relatif Longgar</x:v>
      </x:c>
      <x:c r="N1906" s="66" t="str">
        <x:v>Tidak Ada</x:v>
      </x:c>
      <x:c r="O1906" s="66" t="str">
        <x:v>Jawa Tengah</x:v>
      </x:c>
      <x:c r="P1906" s="66" t="str">
        <x:v>Kabupaten Banyumas</x:v>
      </x:c>
      <x:c r="Q1906" s="66" t="str">
        <x:v>https://snpmb.id/snbp/daya-tampung-snbp</x:v>
      </x:c>
      <x:c r="R1906" s="66" t="str">
        <x:v>https://sidatagrun-public-1076756628210.asia-southeast2.run.app/ptn_sn.php?ptn=351</x:v>
      </x:c>
    </x:row>
    <x:row r="1907">
      <x:c r="A1907" s="87" t="n">
        <x:v>1945</x:v>
      </x:c>
      <x:c r="B1907" s="66" t="n">
        <x:v>351</x:v>
      </x:c>
      <x:c r="C1907" s="66" t="str">
        <x:v>UNIVERSITAS JENDERAL SOEDIRMAN</x:v>
      </x:c>
      <x:c r="D1907" s="66" t="str">
        <x:v>PTN Akademik</x:v>
      </x:c>
      <x:c r="E1907" s="66" t="str">
        <x:v>13511026</x:v>
      </x:c>
      <x:c r="F1907" s="66" t="str">
        <x:v>SOSIOLOGI</x:v>
      </x:c>
      <x:c r="G1907" s="66" t="str">
        <x:v>Sarjana</x:v>
      </x:c>
      <x:c r="H1907" s="87" t="n">
        <x:v>66</x:v>
      </x:c>
      <x:c r="I1907" s="87" t="n">
        <x:v>452</x:v>
      </x:c>
      <x:c r="J1907" s="68" t="n">
        <x:f>IFERROR(H1907/I1907,"")</x:f>
        <x:v>0.14601769911504425</x:v>
      </x:c>
      <x:c r="K1907" s="69" t="n">
        <x:f>IFERROR(I1907/H1907,"")</x:f>
        <x:v>6.848484848484849</x:v>
      </x:c>
      <x:c r="L1907" s="66" t="str">
        <x:f>IF(K1907="","","1 : "&amp;TEXT(K1907,"0.0"))</x:f>
        <x:v>1 : 6.8</x:v>
      </x:c>
      <x:c r="M1907" s="66" t="str">
        <x:f>IF(J1907="","Baru/Tanpa Data",IF(J1907&lt;='Catatan &amp; Sumber'!$B$14,"Sangat Ketat",IF(J1907&lt;='Catatan &amp; Sumber'!$B$15,"Ketat",IF(J1907&lt;='Catatan &amp; Sumber'!$B$16,"Sedang","Relatif Longgar"))))</x:f>
        <x:v>Relatif Longgar</x:v>
      </x:c>
      <x:c r="N1907" s="66" t="str">
        <x:v>Tidak Ada</x:v>
      </x:c>
      <x:c r="O1907" s="66" t="str">
        <x:v>Jawa Tengah</x:v>
      </x:c>
      <x:c r="P1907" s="66" t="str">
        <x:v>Kabupaten Banyumas</x:v>
      </x:c>
      <x:c r="Q1907" s="66" t="str">
        <x:v>https://snpmb.id/snbp/daya-tampung-snbp</x:v>
      </x:c>
      <x:c r="R1907" s="66" t="str">
        <x:v>https://sidatagrun-public-1076756628210.asia-southeast2.run.app/ptn_sn.php?ptn=351</x:v>
      </x:c>
    </x:row>
    <x:row r="1908">
      <x:c r="A1908" s="87" t="n">
        <x:v>1028</x:v>
      </x:c>
      <x:c r="B1908" s="66" t="n">
        <x:v>351</x:v>
      </x:c>
      <x:c r="C1908" s="66" t="str">
        <x:v>UNIVERSITAS JENDERAL SOEDIRMAN</x:v>
      </x:c>
      <x:c r="D1908" s="66" t="str">
        <x:v>PTN Akademik</x:v>
      </x:c>
      <x:c r="E1908" s="66" t="str">
        <x:v>13511027</x:v>
      </x:c>
      <x:c r="F1908" s="66" t="str">
        <x:v>ADMINISTRASI PUBLIK</x:v>
      </x:c>
      <x:c r="G1908" s="66" t="str">
        <x:v>Sarjana</x:v>
      </x:c>
      <x:c r="H1908" s="87" t="n">
        <x:v>66</x:v>
      </x:c>
      <x:c r="I1908" s="87" t="n">
        <x:v>829</x:v>
      </x:c>
      <x:c r="J1908" s="68" t="n">
        <x:f>IFERROR(H1908/I1908,"")</x:f>
        <x:v>0.07961399276236429</x:v>
      </x:c>
      <x:c r="K1908" s="69" t="n">
        <x:f>IFERROR(I1908/H1908,"")</x:f>
        <x:v>12.56060606060606</x:v>
      </x:c>
      <x:c r="L1908" s="66" t="str">
        <x:f>IF(K1908="","","1 : "&amp;TEXT(K1908,"0.0"))</x:f>
        <x:v>1 : 12.6</x:v>
      </x:c>
      <x:c r="M1908" s="66" t="str">
        <x:f>IF(J1908="","Baru/Tanpa Data",IF(J1908&lt;='Catatan &amp; Sumber'!$B$14,"Sangat Ketat",IF(J1908&lt;='Catatan &amp; Sumber'!$B$15,"Ketat",IF(J1908&lt;='Catatan &amp; Sumber'!$B$16,"Sedang","Relatif Longgar"))))</x:f>
        <x:v>Sedang</x:v>
      </x:c>
      <x:c r="N1908" s="66" t="str">
        <x:v>Tidak Ada</x:v>
      </x:c>
      <x:c r="O1908" s="66" t="str">
        <x:v>Jawa Tengah</x:v>
      </x:c>
      <x:c r="P1908" s="66" t="str">
        <x:v>Kabupaten Banyumas</x:v>
      </x:c>
      <x:c r="Q1908" s="66" t="str">
        <x:v>https://snpmb.id/snbp/daya-tampung-snbp</x:v>
      </x:c>
      <x:c r="R1908" s="66" t="str">
        <x:v>https://sidatagrun-public-1076756628210.asia-southeast2.run.app/ptn_sn.php?ptn=351</x:v>
      </x:c>
    </x:row>
    <x:row r="1909">
      <x:c r="A1909" s="87" t="n">
        <x:v>255</x:v>
      </x:c>
      <x:c r="B1909" s="66" t="n">
        <x:v>351</x:v>
      </x:c>
      <x:c r="C1909" s="66" t="str">
        <x:v>UNIVERSITAS JENDERAL SOEDIRMAN</x:v>
      </x:c>
      <x:c r="D1909" s="66" t="str">
        <x:v>PTN Akademik</x:v>
      </x:c>
      <x:c r="E1909" s="66" t="str">
        <x:v>13511028</x:v>
      </x:c>
      <x:c r="F1909" s="66" t="str">
        <x:v>MANAJEMEN</x:v>
      </x:c>
      <x:c r="G1909" s="66" t="str">
        <x:v>Sarjana</x:v>
      </x:c>
      <x:c r="H1909" s="87" t="n">
        <x:v>42</x:v>
      </x:c>
      <x:c r="I1909" s="87" t="n">
        <x:v>1053</x:v>
      </x:c>
      <x:c r="J1909" s="68" t="n">
        <x:f>IFERROR(H1909/I1909,"")</x:f>
        <x:v>0.039886039886039885</x:v>
      </x:c>
      <x:c r="K1909" s="69" t="n">
        <x:f>IFERROR(I1909/H1909,"")</x:f>
        <x:v>25.071428571428573</x:v>
      </x:c>
      <x:c r="L1909" s="66" t="str">
        <x:f>IF(K1909="","","1 : "&amp;TEXT(K1909,"0.0"))</x:f>
        <x:v>1 : 25.1</x:v>
      </x:c>
      <x:c r="M1909" s="66" t="str">
        <x:f>IF(J1909="","Baru/Tanpa Data",IF(J1909&lt;='Catatan &amp; Sumber'!$B$14,"Sangat Ketat",IF(J1909&lt;='Catatan &amp; Sumber'!$B$15,"Ketat",IF(J1909&lt;='Catatan &amp; Sumber'!$B$16,"Sedang","Relatif Longgar"))))</x:f>
        <x:v>Ketat</x:v>
      </x:c>
      <x:c r="N1909" s="66" t="str">
        <x:v>Tidak Ada</x:v>
      </x:c>
      <x:c r="O1909" s="66" t="str">
        <x:v>Jawa Tengah</x:v>
      </x:c>
      <x:c r="P1909" s="66" t="str">
        <x:v>Kabupaten Banyumas</x:v>
      </x:c>
      <x:c r="Q1909" s="66" t="str">
        <x:v>https://snpmb.id/snbp/daya-tampung-snbp</x:v>
      </x:c>
      <x:c r="R1909" s="66" t="str">
        <x:v>https://sidatagrun-public-1076756628210.asia-southeast2.run.app/ptn_sn.php?ptn=351</x:v>
      </x:c>
    </x:row>
    <x:row r="1910">
      <x:c r="A1910" s="87" t="n">
        <x:v>1029</x:v>
      </x:c>
      <x:c r="B1910" s="66" t="n">
        <x:v>351</x:v>
      </x:c>
      <x:c r="C1910" s="66" t="str">
        <x:v>UNIVERSITAS JENDERAL SOEDIRMAN</x:v>
      </x:c>
      <x:c r="D1910" s="66" t="str">
        <x:v>PTN Akademik</x:v>
      </x:c>
      <x:c r="E1910" s="66" t="str">
        <x:v>13511029</x:v>
      </x:c>
      <x:c r="F1910" s="66" t="str">
        <x:v>EKONOMI PEMBANGUNAN</x:v>
      </x:c>
      <x:c r="G1910" s="66" t="str">
        <x:v>Sarjana</x:v>
      </x:c>
      <x:c r="H1910" s="87" t="n">
        <x:v>42</x:v>
      </x:c>
      <x:c r="I1910" s="87" t="n">
        <x:v>527</x:v>
      </x:c>
      <x:c r="J1910" s="68" t="n">
        <x:f>IFERROR(H1910/I1910,"")</x:f>
        <x:v>0.07969639468690702</x:v>
      </x:c>
      <x:c r="K1910" s="69" t="n">
        <x:f>IFERROR(I1910/H1910,"")</x:f>
        <x:v>12.547619047619047</x:v>
      </x:c>
      <x:c r="L1910" s="66" t="str">
        <x:f>IF(K1910="","","1 : "&amp;TEXT(K1910,"0.0"))</x:f>
        <x:v>1 : 12.5</x:v>
      </x:c>
      <x:c r="M1910" s="66" t="str">
        <x:f>IF(J1910="","Baru/Tanpa Data",IF(J1910&lt;='Catatan &amp; Sumber'!$B$14,"Sangat Ketat",IF(J1910&lt;='Catatan &amp; Sumber'!$B$15,"Ketat",IF(J1910&lt;='Catatan &amp; Sumber'!$B$16,"Sedang","Relatif Longgar"))))</x:f>
        <x:v>Sedang</x:v>
      </x:c>
      <x:c r="N1910" s="66" t="str">
        <x:v>Tidak Ada</x:v>
      </x:c>
      <x:c r="O1910" s="66" t="str">
        <x:v>Jawa Tengah</x:v>
      </x:c>
      <x:c r="P1910" s="66" t="str">
        <x:v>Kabupaten Banyumas</x:v>
      </x:c>
      <x:c r="Q1910" s="66" t="str">
        <x:v>https://snpmb.id/snbp/daya-tampung-snbp</x:v>
      </x:c>
      <x:c r="R1910" s="66" t="str">
        <x:v>https://sidatagrun-public-1076756628210.asia-southeast2.run.app/ptn_sn.php?ptn=351</x:v>
      </x:c>
    </x:row>
    <x:row r="1911">
      <x:c r="A1911" s="87" t="n">
        <x:v>390</x:v>
      </x:c>
      <x:c r="B1911" s="66" t="n">
        <x:v>351</x:v>
      </x:c>
      <x:c r="C1911" s="66" t="str">
        <x:v>UNIVERSITAS JENDERAL SOEDIRMAN</x:v>
      </x:c>
      <x:c r="D1911" s="66" t="str">
        <x:v>PTN Akademik</x:v>
      </x:c>
      <x:c r="E1911" s="66" t="str">
        <x:v>13511030</x:v>
      </x:c>
      <x:c r="F1911" s="66" t="str">
        <x:v>AKUNTANSI</x:v>
      </x:c>
      <x:c r="G1911" s="66" t="str">
        <x:v>Sarjana</x:v>
      </x:c>
      <x:c r="H1911" s="87" t="n">
        <x:v>42</x:v>
      </x:c>
      <x:c r="I1911" s="87" t="n">
        <x:v>908</x:v>
      </x:c>
      <x:c r="J1911" s="68" t="n">
        <x:f>IFERROR(H1911/I1911,"")</x:f>
        <x:v>0.046255506607929514</x:v>
      </x:c>
      <x:c r="K1911" s="69" t="n">
        <x:f>IFERROR(I1911/H1911,"")</x:f>
        <x:v>21.61904761904762</x:v>
      </x:c>
      <x:c r="L1911" s="66" t="str">
        <x:f>IF(K1911="","","1 : "&amp;TEXT(K1911,"0.0"))</x:f>
        <x:v>1 : 21.6</x:v>
      </x:c>
      <x:c r="M1911" s="66" t="str">
        <x:f>IF(J1911="","Baru/Tanpa Data",IF(J1911&lt;='Catatan &amp; Sumber'!$B$14,"Sangat Ketat",IF(J1911&lt;='Catatan &amp; Sumber'!$B$15,"Ketat",IF(J1911&lt;='Catatan &amp; Sumber'!$B$16,"Sedang","Relatif Longgar"))))</x:f>
        <x:v>Ketat</x:v>
      </x:c>
      <x:c r="N1911" s="66" t="str">
        <x:v>Tidak Ada</x:v>
      </x:c>
      <x:c r="O1911" s="66" t="str">
        <x:v>Jawa Tengah</x:v>
      </x:c>
      <x:c r="P1911" s="66" t="str">
        <x:v>Kabupaten Banyumas</x:v>
      </x:c>
      <x:c r="Q1911" s="66" t="str">
        <x:v>https://snpmb.id/snbp/daya-tampung-snbp</x:v>
      </x:c>
      <x:c r="R1911" s="66" t="str">
        <x:v>https://sidatagrun-public-1076756628210.asia-southeast2.run.app/ptn_sn.php?ptn=351</x:v>
      </x:c>
    </x:row>
    <x:row r="1912">
      <x:c r="A1912" s="87" t="n">
        <x:v>1022</x:v>
      </x:c>
      <x:c r="B1912" s="66" t="n">
        <x:v>351</x:v>
      </x:c>
      <x:c r="C1912" s="66" t="str">
        <x:v>UNIVERSITAS JENDERAL SOEDIRMAN</x:v>
      </x:c>
      <x:c r="D1912" s="66" t="str">
        <x:v>PTN Akademik</x:v>
      </x:c>
      <x:c r="E1912" s="66" t="str">
        <x:v>13511031</x:v>
      </x:c>
      <x:c r="F1912" s="66" t="str">
        <x:v>ILMU KOMUNIKASI</x:v>
      </x:c>
      <x:c r="G1912" s="66" t="str">
        <x:v>Sarjana</x:v>
      </x:c>
      <x:c r="H1912" s="87" t="n">
        <x:v>69</x:v>
      </x:c>
      <x:c r="I1912" s="87" t="n">
        <x:v>871</x:v>
      </x:c>
      <x:c r="J1912" s="68" t="n">
        <x:f>IFERROR(H1912/I1912,"")</x:f>
        <x:v>0.07921928817451206</x:v>
      </x:c>
      <x:c r="K1912" s="69" t="n">
        <x:f>IFERROR(I1912/H1912,"")</x:f>
        <x:v>12.623188405797102</x:v>
      </x:c>
      <x:c r="L1912" s="66" t="str">
        <x:f>IF(K1912="","","1 : "&amp;TEXT(K1912,"0.0"))</x:f>
        <x:v>1 : 12.6</x:v>
      </x:c>
      <x:c r="M1912" s="66" t="str">
        <x:f>IF(J1912="","Baru/Tanpa Data",IF(J1912&lt;='Catatan &amp; Sumber'!$B$14,"Sangat Ketat",IF(J1912&lt;='Catatan &amp; Sumber'!$B$15,"Ketat",IF(J1912&lt;='Catatan &amp; Sumber'!$B$16,"Sedang","Relatif Longgar"))))</x:f>
        <x:v>Sedang</x:v>
      </x:c>
      <x:c r="N1912" s="66" t="str">
        <x:v>Tidak Ada</x:v>
      </x:c>
      <x:c r="O1912" s="66" t="str">
        <x:v>Jawa Tengah</x:v>
      </x:c>
      <x:c r="P1912" s="66" t="str">
        <x:v>Kabupaten Banyumas</x:v>
      </x:c>
      <x:c r="Q1912" s="66" t="str">
        <x:v>https://snpmb.id/snbp/daya-tampung-snbp</x:v>
      </x:c>
      <x:c r="R1912" s="66" t="str">
        <x:v>https://sidatagrun-public-1076756628210.asia-southeast2.run.app/ptn_sn.php?ptn=351</x:v>
      </x:c>
    </x:row>
    <x:row r="1913">
      <x:c r="A1913" s="87" t="n">
        <x:v>2249</x:v>
      </x:c>
      <x:c r="B1913" s="66" t="n">
        <x:v>351</x:v>
      </x:c>
      <x:c r="C1913" s="66" t="str">
        <x:v>UNIVERSITAS JENDERAL SOEDIRMAN</x:v>
      </x:c>
      <x:c r="D1913" s="66" t="str">
        <x:v>PTN Akademik</x:v>
      </x:c>
      <x:c r="E1913" s="66" t="str">
        <x:v>13511032</x:v>
      </x:c>
      <x:c r="F1913" s="66" t="str">
        <x:v>ILMU POLITIK</x:v>
      </x:c>
      <x:c r="G1913" s="66" t="str">
        <x:v>Sarjana</x:v>
      </x:c>
      <x:c r="H1913" s="87" t="n">
        <x:v>54</x:v>
      </x:c>
      <x:c r="I1913" s="87" t="n">
        <x:v>304</x:v>
      </x:c>
      <x:c r="J1913" s="68" t="n">
        <x:f>IFERROR(H1913/I1913,"")</x:f>
        <x:v>0.17763157894736842</x:v>
      </x:c>
      <x:c r="K1913" s="69" t="n">
        <x:f>IFERROR(I1913/H1913,"")</x:f>
        <x:v>5.62962962962963</x:v>
      </x:c>
      <x:c r="L1913" s="66" t="str">
        <x:f>IF(K1913="","","1 : "&amp;TEXT(K1913,"0.0"))</x:f>
        <x:v>1 : 5.6</x:v>
      </x:c>
      <x:c r="M1913" s="66" t="str">
        <x:f>IF(J1913="","Baru/Tanpa Data",IF(J1913&lt;='Catatan &amp; Sumber'!$B$14,"Sangat Ketat",IF(J1913&lt;='Catatan &amp; Sumber'!$B$15,"Ketat",IF(J1913&lt;='Catatan &amp; Sumber'!$B$16,"Sedang","Relatif Longgar"))))</x:f>
        <x:v>Relatif Longgar</x:v>
      </x:c>
      <x:c r="N1913" s="66" t="str">
        <x:v>Tidak Ada</x:v>
      </x:c>
      <x:c r="O1913" s="66" t="str">
        <x:v>Jawa Tengah</x:v>
      </x:c>
      <x:c r="P1913" s="66" t="str">
        <x:v>Kabupaten Banyumas</x:v>
      </x:c>
      <x:c r="Q1913" s="66" t="str">
        <x:v>https://snpmb.id/snbp/daya-tampung-snbp</x:v>
      </x:c>
      <x:c r="R1913" s="66" t="str">
        <x:v>https://sidatagrun-public-1076756628210.asia-southeast2.run.app/ptn_sn.php?ptn=351</x:v>
      </x:c>
    </x:row>
    <x:row r="1914">
      <x:c r="A1914" s="87" t="n">
        <x:v>2017</x:v>
      </x:c>
      <x:c r="B1914" s="66" t="n">
        <x:v>351</x:v>
      </x:c>
      <x:c r="C1914" s="66" t="str">
        <x:v>UNIVERSITAS JENDERAL SOEDIRMAN</x:v>
      </x:c>
      <x:c r="D1914" s="66" t="str">
        <x:v>PTN Akademik</x:v>
      </x:c>
      <x:c r="E1914" s="66" t="str">
        <x:v>13511033</x:v>
      </x:c>
      <x:c r="F1914" s="66" t="str">
        <x:v>SASTRA INDONESIA</x:v>
      </x:c>
      <x:c r="G1914" s="66" t="str">
        <x:v>Sarjana</x:v>
      </x:c>
      <x:c r="H1914" s="87" t="n">
        <x:v>48</x:v>
      </x:c>
      <x:c r="I1914" s="87" t="n">
        <x:v>313</x:v>
      </x:c>
      <x:c r="J1914" s="68" t="n">
        <x:f>IFERROR(H1914/I1914,"")</x:f>
        <x:v>0.15335463258785942</x:v>
      </x:c>
      <x:c r="K1914" s="69" t="n">
        <x:f>IFERROR(I1914/H1914,"")</x:f>
        <x:v>6.520833333333333</x:v>
      </x:c>
      <x:c r="L1914" s="66" t="str">
        <x:f>IF(K1914="","","1 : "&amp;TEXT(K1914,"0.0"))</x:f>
        <x:v>1 : 6.5</x:v>
      </x:c>
      <x:c r="M1914" s="66" t="str">
        <x:f>IF(J1914="","Baru/Tanpa Data",IF(J1914&lt;='Catatan &amp; Sumber'!$B$14,"Sangat Ketat",IF(J1914&lt;='Catatan &amp; Sumber'!$B$15,"Ketat",IF(J1914&lt;='Catatan &amp; Sumber'!$B$16,"Sedang","Relatif Longgar"))))</x:f>
        <x:v>Relatif Longgar</x:v>
      </x:c>
      <x:c r="N1914" s="66" t="str">
        <x:v>Tidak Ada</x:v>
      </x:c>
      <x:c r="O1914" s="66" t="str">
        <x:v>Jawa Tengah</x:v>
      </x:c>
      <x:c r="P1914" s="66" t="str">
        <x:v>Kabupaten Banyumas</x:v>
      </x:c>
      <x:c r="Q1914" s="66" t="str">
        <x:v>https://snpmb.id/snbp/daya-tampung-snbp</x:v>
      </x:c>
      <x:c r="R1914" s="66" t="str">
        <x:v>https://sidatagrun-public-1076756628210.asia-southeast2.run.app/ptn_sn.php?ptn=351</x:v>
      </x:c>
    </x:row>
    <x:row r="1915">
      <x:c r="A1915" s="87" t="n">
        <x:v>1414</x:v>
      </x:c>
      <x:c r="B1915" s="66" t="n">
        <x:v>351</x:v>
      </x:c>
      <x:c r="C1915" s="66" t="str">
        <x:v>UNIVERSITAS JENDERAL SOEDIRMAN</x:v>
      </x:c>
      <x:c r="D1915" s="66" t="str">
        <x:v>PTN Akademik</x:v>
      </x:c>
      <x:c r="E1915" s="66" t="str">
        <x:v>13511034</x:v>
      </x:c>
      <x:c r="F1915" s="66" t="str">
        <x:v>SASTRA INGGRIS</x:v>
      </x:c>
      <x:c r="G1915" s="66" t="str">
        <x:v>Sarjana</x:v>
      </x:c>
      <x:c r="H1915" s="87" t="n">
        <x:v>48</x:v>
      </x:c>
      <x:c r="I1915" s="87" t="n">
        <x:v>465</x:v>
      </x:c>
      <x:c r="J1915" s="68" t="n">
        <x:f>IFERROR(H1915/I1915,"")</x:f>
        <x:v>0.1032258064516129</x:v>
      </x:c>
      <x:c r="K1915" s="69" t="n">
        <x:f>IFERROR(I1915/H1915,"")</x:f>
        <x:v>9.6875</x:v>
      </x:c>
      <x:c r="L1915" s="66" t="str">
        <x:f>IF(K1915="","","1 : "&amp;TEXT(K1915,"0.0"))</x:f>
        <x:v>1 : 9.7</x:v>
      </x:c>
      <x:c r="M1915" s="66" t="str">
        <x:f>IF(J1915="","Baru/Tanpa Data",IF(J1915&lt;='Catatan &amp; Sumber'!$B$14,"Sangat Ketat",IF(J1915&lt;='Catatan &amp; Sumber'!$B$15,"Ketat",IF(J1915&lt;='Catatan &amp; Sumber'!$B$16,"Sedang","Relatif Longgar"))))</x:f>
        <x:v>Relatif Longgar</x:v>
      </x:c>
      <x:c r="N1915" s="66" t="str">
        <x:v>Tidak Ada</x:v>
      </x:c>
      <x:c r="O1915" s="66" t="str">
        <x:v>Jawa Tengah</x:v>
      </x:c>
      <x:c r="P1915" s="66" t="str">
        <x:v>Kabupaten Banyumas</x:v>
      </x:c>
      <x:c r="Q1915" s="66" t="str">
        <x:v>https://snpmb.id/snbp/daya-tampung-snbp</x:v>
      </x:c>
      <x:c r="R1915" s="66" t="str">
        <x:v>https://sidatagrun-public-1076756628210.asia-southeast2.run.app/ptn_sn.php?ptn=351</x:v>
      </x:c>
    </x:row>
    <x:row r="1916">
      <x:c r="A1916" s="87" t="n">
        <x:v>1893</x:v>
      </x:c>
      <x:c r="B1916" s="66" t="n">
        <x:v>351</x:v>
      </x:c>
      <x:c r="C1916" s="66" t="str">
        <x:v>UNIVERSITAS JENDERAL SOEDIRMAN</x:v>
      </x:c>
      <x:c r="D1916" s="66" t="str">
        <x:v>PTN Akademik</x:v>
      </x:c>
      <x:c r="E1916" s="66" t="str">
        <x:v>13511035</x:v>
      </x:c>
      <x:c r="F1916" s="66" t="str">
        <x:v>HUBUNGAN INTERNASIONAL</x:v>
      </x:c>
      <x:c r="G1916" s="66" t="str">
        <x:v>Sarjana</x:v>
      </x:c>
      <x:c r="H1916" s="87" t="n">
        <x:v>57</x:v>
      </x:c>
      <x:c r="I1916" s="87" t="n">
        <x:v>406</x:v>
      </x:c>
      <x:c r="J1916" s="68" t="n">
        <x:f>IFERROR(H1916/I1916,"")</x:f>
        <x:v>0.14039408866995073</x:v>
      </x:c>
      <x:c r="K1916" s="69" t="n">
        <x:f>IFERROR(I1916/H1916,"")</x:f>
        <x:v>7.12280701754386</x:v>
      </x:c>
      <x:c r="L1916" s="66" t="str">
        <x:f>IF(K1916="","","1 : "&amp;TEXT(K1916,"0.0"))</x:f>
        <x:v>1 : 7.1</x:v>
      </x:c>
      <x:c r="M1916" s="66" t="str">
        <x:f>IF(J1916="","Baru/Tanpa Data",IF(J1916&lt;='Catatan &amp; Sumber'!$B$14,"Sangat Ketat",IF(J1916&lt;='Catatan &amp; Sumber'!$B$15,"Ketat",IF(J1916&lt;='Catatan &amp; Sumber'!$B$16,"Sedang","Relatif Longgar"))))</x:f>
        <x:v>Relatif Longgar</x:v>
      </x:c>
      <x:c r="N1916" s="66" t="str">
        <x:v>Tidak Ada</x:v>
      </x:c>
      <x:c r="O1916" s="66" t="str">
        <x:v>Jawa Tengah</x:v>
      </x:c>
      <x:c r="P1916" s="66" t="str">
        <x:v>Kabupaten Banyumas</x:v>
      </x:c>
      <x:c r="Q1916" s="66" t="str">
        <x:v>https://snpmb.id/snbp/daya-tampung-snbp</x:v>
      </x:c>
      <x:c r="R1916" s="66" t="str">
        <x:v>https://sidatagrun-public-1076756628210.asia-southeast2.run.app/ptn_sn.php?ptn=351</x:v>
      </x:c>
    </x:row>
    <x:row r="1917">
      <x:c r="A1917" s="87" t="n">
        <x:v>1982</x:v>
      </x:c>
      <x:c r="B1917" s="66" t="n">
        <x:v>351</x:v>
      </x:c>
      <x:c r="C1917" s="66" t="str">
        <x:v>UNIVERSITAS JENDERAL SOEDIRMAN</x:v>
      </x:c>
      <x:c r="D1917" s="66" t="str">
        <x:v>PTN Akademik</x:v>
      </x:c>
      <x:c r="E1917" s="66" t="str">
        <x:v>13511036</x:v>
      </x:c>
      <x:c r="F1917" s="66" t="str">
        <x:v>SASTRA JEPANG</x:v>
      </x:c>
      <x:c r="G1917" s="66" t="str">
        <x:v>Sarjana</x:v>
      </x:c>
      <x:c r="H1917" s="87" t="n">
        <x:v>48</x:v>
      </x:c>
      <x:c r="I1917" s="87" t="n">
        <x:v>321</x:v>
      </x:c>
      <x:c r="J1917" s="68" t="n">
        <x:f>IFERROR(H1917/I1917,"")</x:f>
        <x:v>0.14953271028037382</x:v>
      </x:c>
      <x:c r="K1917" s="69" t="n">
        <x:f>IFERROR(I1917/H1917,"")</x:f>
        <x:v>6.6875</x:v>
      </x:c>
      <x:c r="L1917" s="66" t="str">
        <x:f>IF(K1917="","","1 : "&amp;TEXT(K1917,"0.0"))</x:f>
        <x:v>1 : 6.7</x:v>
      </x:c>
      <x:c r="M1917" s="66" t="str">
        <x:f>IF(J1917="","Baru/Tanpa Data",IF(J1917&lt;='Catatan &amp; Sumber'!$B$14,"Sangat Ketat",IF(J1917&lt;='Catatan &amp; Sumber'!$B$15,"Ketat",IF(J1917&lt;='Catatan &amp; Sumber'!$B$16,"Sedang","Relatif Longgar"))))</x:f>
        <x:v>Relatif Longgar</x:v>
      </x:c>
      <x:c r="N1917" s="66" t="str">
        <x:v>Tidak Ada</x:v>
      </x:c>
      <x:c r="O1917" s="66" t="str">
        <x:v>Jawa Tengah</x:v>
      </x:c>
      <x:c r="P1917" s="66" t="str">
        <x:v>Kabupaten Banyumas</x:v>
      </x:c>
      <x:c r="Q1917" s="66" t="str">
        <x:v>https://snpmb.id/snbp/daya-tampung-snbp</x:v>
      </x:c>
      <x:c r="R1917" s="66" t="str">
        <x:v>https://sidatagrun-public-1076756628210.asia-southeast2.run.app/ptn_sn.php?ptn=351</x:v>
      </x:c>
    </x:row>
    <x:row r="1918">
      <x:c r="A1918" s="87" t="n">
        <x:v>1087</x:v>
      </x:c>
      <x:c r="B1918" s="66" t="n">
        <x:v>351</x:v>
      </x:c>
      <x:c r="C1918" s="66" t="str">
        <x:v>UNIVERSITAS JENDERAL SOEDIRMAN</x:v>
      </x:c>
      <x:c r="D1918" s="66" t="str">
        <x:v>PTN Akademik</x:v>
      </x:c>
      <x:c r="E1918" s="66" t="str">
        <x:v>13511037</x:v>
      </x:c>
      <x:c r="F1918" s="66" t="str">
        <x:v>PENDIDIKAN EKONOMI</x:v>
      </x:c>
      <x:c r="G1918" s="66" t="str">
        <x:v>Sarjana</x:v>
      </x:c>
      <x:c r="H1918" s="87" t="n">
        <x:v>30</x:v>
      </x:c>
      <x:c r="I1918" s="87" t="n">
        <x:v>362</x:v>
      </x:c>
      <x:c r="J1918" s="68" t="n">
        <x:f>IFERROR(H1918/I1918,"")</x:f>
        <x:v>0.08287292817679558</x:v>
      </x:c>
      <x:c r="K1918" s="69" t="n">
        <x:f>IFERROR(I1918/H1918,"")</x:f>
        <x:v>12.066666666666666</x:v>
      </x:c>
      <x:c r="L1918" s="66" t="str">
        <x:f>IF(K1918="","","1 : "&amp;TEXT(K1918,"0.0"))</x:f>
        <x:v>1 : 12.1</x:v>
      </x:c>
      <x:c r="M1918" s="66" t="str">
        <x:f>IF(J1918="","Baru/Tanpa Data",IF(J1918&lt;='Catatan &amp; Sumber'!$B$14,"Sangat Ketat",IF(J1918&lt;='Catatan &amp; Sumber'!$B$15,"Ketat",IF(J1918&lt;='Catatan &amp; Sumber'!$B$16,"Sedang","Relatif Longgar"))))</x:f>
        <x:v>Sedang</x:v>
      </x:c>
      <x:c r="N1918" s="66" t="str">
        <x:v>Tidak Ada</x:v>
      </x:c>
      <x:c r="O1918" s="66" t="str">
        <x:v>Jawa Tengah</x:v>
      </x:c>
      <x:c r="P1918" s="66" t="str">
        <x:v>Kabupaten Banyumas</x:v>
      </x:c>
      <x:c r="Q1918" s="66" t="str">
        <x:v>https://snpmb.id/snbp/daya-tampung-snbp</x:v>
      </x:c>
      <x:c r="R1918" s="66" t="str">
        <x:v>https://sidatagrun-public-1076756628210.asia-southeast2.run.app/ptn_sn.php?ptn=351</x:v>
      </x:c>
    </x:row>
    <x:row r="1919">
      <x:c r="A1919" s="87" t="n">
        <x:v>890</x:v>
      </x:c>
      <x:c r="B1919" s="66" t="n">
        <x:v>351</x:v>
      </x:c>
      <x:c r="C1919" s="66" t="str">
        <x:v>UNIVERSITAS JENDERAL SOEDIRMAN</x:v>
      </x:c>
      <x:c r="D1919" s="66" t="str">
        <x:v>PTN Akademik</x:v>
      </x:c>
      <x:c r="E1919" s="66" t="str">
        <x:v>13511038</x:v>
      </x:c>
      <x:c r="F1919" s="66" t="str">
        <x:v>PENDIDIKAN BAHASA INDONESIA</x:v>
      </x:c>
      <x:c r="G1919" s="66" t="str">
        <x:v>Sarjana</x:v>
      </x:c>
      <x:c r="H1919" s="87" t="n">
        <x:v>48</x:v>
      </x:c>
      <x:c r="I1919" s="87" t="n">
        <x:v>672</x:v>
      </x:c>
      <x:c r="J1919" s="68" t="n">
        <x:f>IFERROR(H1919/I1919,"")</x:f>
        <x:v>0.07142857142857142</x:v>
      </x:c>
      <x:c r="K1919" s="69" t="n">
        <x:f>IFERROR(I1919/H1919,"")</x:f>
        <x:v>14</x:v>
      </x:c>
      <x:c r="L1919" s="66" t="str">
        <x:f>IF(K1919="","","1 : "&amp;TEXT(K1919,"0.0"))</x:f>
        <x:v>1 : 14.0</x:v>
      </x:c>
      <x:c r="M1919" s="66" t="str">
        <x:f>IF(J1919="","Baru/Tanpa Data",IF(J1919&lt;='Catatan &amp; Sumber'!$B$14,"Sangat Ketat",IF(J1919&lt;='Catatan &amp; Sumber'!$B$15,"Ketat",IF(J1919&lt;='Catatan &amp; Sumber'!$B$16,"Sedang","Relatif Longgar"))))</x:f>
        <x:v>Sedang</x:v>
      </x:c>
      <x:c r="N1919" s="66" t="str">
        <x:v>Tidak Ada</x:v>
      </x:c>
      <x:c r="O1919" s="66" t="str">
        <x:v>Jawa Tengah</x:v>
      </x:c>
      <x:c r="P1919" s="66" t="str">
        <x:v>Kabupaten Banyumas</x:v>
      </x:c>
      <x:c r="Q1919" s="66" t="str">
        <x:v>https://snpmb.id/snbp/daya-tampung-snbp</x:v>
      </x:c>
      <x:c r="R1919" s="66" t="str">
        <x:v>https://sidatagrun-public-1076756628210.asia-southeast2.run.app/ptn_sn.php?ptn=351</x:v>
      </x:c>
    </x:row>
    <x:row r="1920">
      <x:c r="A1920" s="87" t="n">
        <x:v>1379</x:v>
      </x:c>
      <x:c r="B1920" s="66" t="n">
        <x:v>351</x:v>
      </x:c>
      <x:c r="C1920" s="66" t="str">
        <x:v>UNIVERSITAS JENDERAL SOEDIRMAN</x:v>
      </x:c>
      <x:c r="D1920" s="66" t="str">
        <x:v>PTN Akademik</x:v>
      </x:c>
      <x:c r="E1920" s="66" t="str">
        <x:v>13511039</x:v>
      </x:c>
      <x:c r="F1920" s="66" t="str">
        <x:v>PENDIDIKAN BAHASA INGGRIS</x:v>
      </x:c>
      <x:c r="G1920" s="66" t="str">
        <x:v>Sarjana</x:v>
      </x:c>
      <x:c r="H1920" s="87" t="n">
        <x:v>48</x:v>
      </x:c>
      <x:c r="I1920" s="87" t="n">
        <x:v>478</x:v>
      </x:c>
      <x:c r="J1920" s="68" t="n">
        <x:f>IFERROR(H1920/I1920,"")</x:f>
        <x:v>0.100418410041841</x:v>
      </x:c>
      <x:c r="K1920" s="69" t="n">
        <x:f>IFERROR(I1920/H1920,"")</x:f>
        <x:v>9.958333333333334</x:v>
      </x:c>
      <x:c r="L1920" s="66" t="str">
        <x:f>IF(K1920="","","1 : "&amp;TEXT(K1920,"0.0"))</x:f>
        <x:v>1 : 10.0</x:v>
      </x:c>
      <x:c r="M1920" s="66" t="str">
        <x:f>IF(J1920="","Baru/Tanpa Data",IF(J1920&lt;='Catatan &amp; Sumber'!$B$14,"Sangat Ketat",IF(J1920&lt;='Catatan &amp; Sumber'!$B$15,"Ketat",IF(J1920&lt;='Catatan &amp; Sumber'!$B$16,"Sedang","Relatif Longgar"))))</x:f>
        <x:v>Relatif Longgar</x:v>
      </x:c>
      <x:c r="N1920" s="66" t="str">
        <x:v>Tidak Ada</x:v>
      </x:c>
      <x:c r="O1920" s="66" t="str">
        <x:v>Jawa Tengah</x:v>
      </x:c>
      <x:c r="P1920" s="66" t="str">
        <x:v>Kabupaten Banyumas</x:v>
      </x:c>
      <x:c r="Q1920" s="66" t="str">
        <x:v>https://snpmb.id/snbp/daya-tampung-snbp</x:v>
      </x:c>
      <x:c r="R1920" s="66" t="str">
        <x:v>https://sidatagrun-public-1076756628210.asia-southeast2.run.app/ptn_sn.php?ptn=351</x:v>
      </x:c>
    </x:row>
    <x:row r="1921">
      <x:c r="A1921" s="87" t="n">
        <x:v>2346</x:v>
      </x:c>
      <x:c r="B1921" s="66" t="n">
        <x:v>351</x:v>
      </x:c>
      <x:c r="C1921" s="66" t="str">
        <x:v>UNIVERSITAS JENDERAL SOEDIRMAN</x:v>
      </x:c>
      <x:c r="D1921" s="66" t="str">
        <x:v>PTN Akademik</x:v>
      </x:c>
      <x:c r="E1921" s="66" t="str">
        <x:v>13511053</x:v>
      </x:c>
      <x:c r="F1921" s="66" t="str">
        <x:v>MIKROBIOLOGI</x:v>
      </x:c>
      <x:c r="G1921" s="66" t="str">
        <x:v>Sarjana</x:v>
      </x:c>
      <x:c r="H1921" s="87" t="n">
        <x:v>32</x:v>
      </x:c>
      <x:c r="I1921" s="87" t="n">
        <x:v>169</x:v>
      </x:c>
      <x:c r="J1921" s="68" t="n">
        <x:f>IFERROR(H1921/I1921,"")</x:f>
        <x:v>0.1893491124260355</x:v>
      </x:c>
      <x:c r="K1921" s="69" t="n">
        <x:f>IFERROR(I1921/H1921,"")</x:f>
        <x:v>5.28125</x:v>
      </x:c>
      <x:c r="L1921" s="66" t="str">
        <x:f>IF(K1921="","","1 : "&amp;TEXT(K1921,"0.0"))</x:f>
        <x:v>1 : 5.3</x:v>
      </x:c>
      <x:c r="M1921" s="66" t="str">
        <x:f>IF(J1921="","Baru/Tanpa Data",IF(J1921&lt;='Catatan &amp; Sumber'!$B$14,"Sangat Ketat",IF(J1921&lt;='Catatan &amp; Sumber'!$B$15,"Ketat",IF(J1921&lt;='Catatan &amp; Sumber'!$B$16,"Sedang","Relatif Longgar"))))</x:f>
        <x:v>Relatif Longgar</x:v>
      </x:c>
      <x:c r="N1921" s="66" t="str">
        <x:v>Tidak Ada</x:v>
      </x:c>
      <x:c r="O1921" s="66" t="str">
        <x:v>Jawa Tengah</x:v>
      </x:c>
      <x:c r="P1921" s="66" t="str">
        <x:v>Kabupaten Banyumas</x:v>
      </x:c>
      <x:c r="Q1921" s="66" t="str">
        <x:v>https://snpmb.id/snbp/daya-tampung-snbp</x:v>
      </x:c>
      <x:c r="R1921" s="66" t="str">
        <x:v>https://sidatagrun-public-1076756628210.asia-southeast2.run.app/ptn_sn.php?ptn=351</x:v>
      </x:c>
    </x:row>
    <x:row r="1922">
      <x:c r="A1922" s="87" t="n">
        <x:v>869</x:v>
      </x:c>
      <x:c r="B1922" s="66" t="n">
        <x:v>351</x:v>
      </x:c>
      <x:c r="C1922" s="66" t="str">
        <x:v>UNIVERSITAS JENDERAL SOEDIRMAN</x:v>
      </x:c>
      <x:c r="D1922" s="66" t="str">
        <x:v>PTN Akademik</x:v>
      </x:c>
      <x:c r="E1922" s="66" t="str">
        <x:v>13511054</x:v>
      </x:c>
      <x:c r="F1922" s="66" t="str">
        <x:v>TEKNIK MESIN</x:v>
      </x:c>
      <x:c r="G1922" s="66" t="str">
        <x:v>Sarjana</x:v>
      </x:c>
      <x:c r="H1922" s="87" t="n">
        <x:v>24</x:v>
      </x:c>
      <x:c r="I1922" s="87" t="n">
        <x:v>341</x:v>
      </x:c>
      <x:c r="J1922" s="68" t="n">
        <x:f>IFERROR(H1922/I1922,"")</x:f>
        <x:v>0.07038123167155426</x:v>
      </x:c>
      <x:c r="K1922" s="69" t="n">
        <x:f>IFERROR(I1922/H1922,"")</x:f>
        <x:v>14.208333333333334</x:v>
      </x:c>
      <x:c r="L1922" s="66" t="str">
        <x:f>IF(K1922="","","1 : "&amp;TEXT(K1922,"0.0"))</x:f>
        <x:v>1 : 14.2</x:v>
      </x:c>
      <x:c r="M1922" s="66" t="str">
        <x:f>IF(J1922="","Baru/Tanpa Data",IF(J1922&lt;='Catatan &amp; Sumber'!$B$14,"Sangat Ketat",IF(J1922&lt;='Catatan &amp; Sumber'!$B$15,"Ketat",IF(J1922&lt;='Catatan &amp; Sumber'!$B$16,"Sedang","Relatif Longgar"))))</x:f>
        <x:v>Sedang</x:v>
      </x:c>
      <x:c r="N1922" s="66" t="str">
        <x:v>Tidak Ada</x:v>
      </x:c>
      <x:c r="O1922" s="66" t="str">
        <x:v>Jawa Tengah</x:v>
      </x:c>
      <x:c r="P1922" s="66" t="str">
        <x:v>Kabupaten Banyumas</x:v>
      </x:c>
      <x:c r="Q1922" s="66" t="str">
        <x:v>https://snpmb.id/snbp/daya-tampung-snbp</x:v>
      </x:c>
      <x:c r="R1922" s="66" t="str">
        <x:v>https://sidatagrun-public-1076756628210.asia-southeast2.run.app/ptn_sn.php?ptn=351</x:v>
      </x:c>
    </x:row>
    <x:row r="1923">
      <x:c r="A1923" s="87" t="n">
        <x:v>2969</x:v>
      </x:c>
      <x:c r="B1923" s="66" t="n">
        <x:v>351</x:v>
      </x:c>
      <x:c r="C1923" s="66" t="str">
        <x:v>UNIVERSITAS JENDERAL SOEDIRMAN</x:v>
      </x:c>
      <x:c r="D1923" s="66" t="str">
        <x:v>PTN Akademik</x:v>
      </x:c>
      <x:c r="E1923" s="66" t="str">
        <x:v>13511055</x:v>
      </x:c>
      <x:c r="F1923" s="66" t="str">
        <x:v>PENDIDIKAN BAHASA JEPANG</x:v>
      </x:c>
      <x:c r="G1923" s="66" t="str">
        <x:v>Sarjana</x:v>
      </x:c>
      <x:c r="H1923" s="87" t="n">
        <x:v>48</x:v>
      </x:c>
      <x:c r="I1923" s="87" t="n">
        <x:v>167</x:v>
      </x:c>
      <x:c r="J1923" s="68" t="n">
        <x:f>IFERROR(H1923/I1923,"")</x:f>
        <x:v>0.2874251497005988</x:v>
      </x:c>
      <x:c r="K1923" s="69" t="n">
        <x:f>IFERROR(I1923/H1923,"")</x:f>
        <x:v>3.4791666666666665</x:v>
      </x:c>
      <x:c r="L1923" s="66" t="str">
        <x:f>IF(K1923="","","1 : "&amp;TEXT(K1923,"0.0"))</x:f>
        <x:v>1 : 3.5</x:v>
      </x:c>
      <x:c r="M1923" s="66" t="str">
        <x:f>IF(J1923="","Baru/Tanpa Data",IF(J1923&lt;='Catatan &amp; Sumber'!$B$14,"Sangat Ketat",IF(J1923&lt;='Catatan &amp; Sumber'!$B$15,"Ketat",IF(J1923&lt;='Catatan &amp; Sumber'!$B$16,"Sedang","Relatif Longgar"))))</x:f>
        <x:v>Relatif Longgar</x:v>
      </x:c>
      <x:c r="N1923" s="66" t="str">
        <x:v>Tidak Ada</x:v>
      </x:c>
      <x:c r="O1923" s="66" t="str">
        <x:v>Jawa Tengah</x:v>
      </x:c>
      <x:c r="P1923" s="66" t="str">
        <x:v>Kabupaten Banyumas</x:v>
      </x:c>
      <x:c r="Q1923" s="66" t="str">
        <x:v>https://snpmb.id/snbp/daya-tampung-snbp</x:v>
      </x:c>
      <x:c r="R1923" s="66" t="str">
        <x:v>https://sidatagrun-public-1076756628210.asia-southeast2.run.app/ptn_sn.php?ptn=351</x:v>
      </x:c>
    </x:row>
    <x:row r="1924">
      <x:c r="A1924" s="87" t="n">
        <x:v>2610</x:v>
      </x:c>
      <x:c r="B1924" s="66" t="n">
        <x:v>351</x:v>
      </x:c>
      <x:c r="C1924" s="66" t="str">
        <x:v>UNIVERSITAS JENDERAL SOEDIRMAN</x:v>
      </x:c>
      <x:c r="D1924" s="66" t="str">
        <x:v>PTN Akademik</x:v>
      </x:c>
      <x:c r="E1924" s="66" t="str">
        <x:v>13511056</x:v>
      </x:c>
      <x:c r="F1924" s="66" t="str">
        <x:v>PROTEKSI TANAMAN</x:v>
      </x:c>
      <x:c r="G1924" s="66" t="str">
        <x:v>Sarjana</x:v>
      </x:c>
      <x:c r="H1924" s="87" t="n">
        <x:v>28</x:v>
      </x:c>
      <x:c r="I1924" s="87" t="n">
        <x:v>122</x:v>
      </x:c>
      <x:c r="J1924" s="68" t="n">
        <x:f>IFERROR(H1924/I1924,"")</x:f>
        <x:v>0.22950819672131148</x:v>
      </x:c>
      <x:c r="K1924" s="69" t="n">
        <x:f>IFERROR(I1924/H1924,"")</x:f>
        <x:v>4.357142857142857</x:v>
      </x:c>
      <x:c r="L1924" s="66" t="str">
        <x:f>IF(K1924="","","1 : "&amp;TEXT(K1924,"0.0"))</x:f>
        <x:v>1 : 4.4</x:v>
      </x:c>
      <x:c r="M1924" s="66" t="str">
        <x:f>IF(J1924="","Baru/Tanpa Data",IF(J1924&lt;='Catatan &amp; Sumber'!$B$14,"Sangat Ketat",IF(J1924&lt;='Catatan &amp; Sumber'!$B$15,"Ketat",IF(J1924&lt;='Catatan &amp; Sumber'!$B$16,"Sedang","Relatif Longgar"))))</x:f>
        <x:v>Relatif Longgar</x:v>
      </x:c>
      <x:c r="N1924" s="66" t="str">
        <x:v>Tidak Ada</x:v>
      </x:c>
      <x:c r="O1924" s="66" t="str">
        <x:v>Jawa Tengah</x:v>
      </x:c>
      <x:c r="P1924" s="66" t="str">
        <x:v>Kabupaten Banyumas</x:v>
      </x:c>
      <x:c r="Q1924" s="66" t="str">
        <x:v>https://snpmb.id/snbp/daya-tampung-snbp</x:v>
      </x:c>
      <x:c r="R1924" s="66" t="str">
        <x:v>https://sidatagrun-public-1076756628210.asia-southeast2.run.app/ptn_sn.php?ptn=351</x:v>
      </x:c>
    </x:row>
    <x:row r="1925">
      <x:c r="A1925" s="87" t="n">
        <x:v>1877</x:v>
      </x:c>
      <x:c r="B1925" s="66" t="n">
        <x:v>351</x:v>
      </x:c>
      <x:c r="C1925" s="66" t="str">
        <x:v>UNIVERSITAS JENDERAL SOEDIRMAN</x:v>
      </x:c>
      <x:c r="D1925" s="66" t="str">
        <x:v>PTN Akademik</x:v>
      </x:c>
      <x:c r="E1925" s="66" t="str">
        <x:v>13511057</x:v>
      </x:c>
      <x:c r="F1925" s="66" t="str">
        <x:v>STATISTIK</x:v>
      </x:c>
      <x:c r="G1925" s="66" t="str">
        <x:v>Sarjana</x:v>
      </x:c>
      <x:c r="H1925" s="87" t="n">
        <x:v>36</x:v>
      </x:c>
      <x:c r="I1925" s="87" t="n">
        <x:v>259</x:v>
      </x:c>
      <x:c r="J1925" s="68" t="n">
        <x:f>IFERROR(H1925/I1925,"")</x:f>
        <x:v>0.138996138996139</x:v>
      </x:c>
      <x:c r="K1925" s="69" t="n">
        <x:f>IFERROR(I1925/H1925,"")</x:f>
        <x:v>7.194444444444445</x:v>
      </x:c>
      <x:c r="L1925" s="66" t="str">
        <x:f>IF(K1925="","","1 : "&amp;TEXT(K1925,"0.0"))</x:f>
        <x:v>1 : 7.2</x:v>
      </x:c>
      <x:c r="M1925" s="66" t="str">
        <x:f>IF(J1925="","Baru/Tanpa Data",IF(J1925&lt;='Catatan &amp; Sumber'!$B$14,"Sangat Ketat",IF(J1925&lt;='Catatan &amp; Sumber'!$B$15,"Ketat",IF(J1925&lt;='Catatan &amp; Sumber'!$B$16,"Sedang","Relatif Longgar"))))</x:f>
        <x:v>Relatif Longgar</x:v>
      </x:c>
      <x:c r="N1925" s="66" t="str">
        <x:v>Tidak Ada</x:v>
      </x:c>
      <x:c r="O1925" s="66" t="str">
        <x:v>Jawa Tengah</x:v>
      </x:c>
      <x:c r="P1925" s="66" t="str">
        <x:v>Kabupaten Banyumas</x:v>
      </x:c>
      <x:c r="Q1925" s="66" t="str">
        <x:v>https://snpmb.id/snbp/daya-tampung-snbp</x:v>
      </x:c>
      <x:c r="R1925" s="66" t="str">
        <x:v>https://sidatagrun-public-1076756628210.asia-southeast2.run.app/ptn_sn.php?ptn=351</x:v>
      </x:c>
    </x:row>
    <x:row r="1926">
      <x:c r="A1926" s="87" t="n">
        <x:v>2578</x:v>
      </x:c>
      <x:c r="B1926" s="66" t="n">
        <x:v>351</x:v>
      </x:c>
      <x:c r="C1926" s="66" t="str">
        <x:v>UNIVERSITAS JENDERAL SOEDIRMAN</x:v>
      </x:c>
      <x:c r="D1926" s="66" t="str">
        <x:v>PTN Akademik</x:v>
      </x:c>
      <x:c r="E1926" s="66" t="str">
        <x:v>13511058</x:v>
      </x:c>
      <x:c r="F1926" s="66" t="str">
        <x:v>BIOLOGI TERAPAN</x:v>
      </x:c>
      <x:c r="G1926" s="66" t="str">
        <x:v>Sarjana</x:v>
      </x:c>
      <x:c r="H1926" s="87" t="n">
        <x:v>32</x:v>
      </x:c>
      <x:c r="I1926" s="87" t="n">
        <x:v>142</x:v>
      </x:c>
      <x:c r="J1926" s="68" t="n">
        <x:f>IFERROR(H1926/I1926,"")</x:f>
        <x:v>0.22535211267605634</x:v>
      </x:c>
      <x:c r="K1926" s="69" t="n">
        <x:f>IFERROR(I1926/H1926,"")</x:f>
        <x:v>4.4375</x:v>
      </x:c>
      <x:c r="L1926" s="66" t="str">
        <x:f>IF(K1926="","","1 : "&amp;TEXT(K1926,"0.0"))</x:f>
        <x:v>1 : 4.4</x:v>
      </x:c>
      <x:c r="M1926" s="66" t="str">
        <x:f>IF(J1926="","Baru/Tanpa Data",IF(J1926&lt;='Catatan &amp; Sumber'!$B$14,"Sangat Ketat",IF(J1926&lt;='Catatan &amp; Sumber'!$B$15,"Ketat",IF(J1926&lt;='Catatan &amp; Sumber'!$B$16,"Sedang","Relatif Longgar"))))</x:f>
        <x:v>Relatif Longgar</x:v>
      </x:c>
      <x:c r="N1926" s="66" t="str">
        <x:v>Tidak Ada</x:v>
      </x:c>
      <x:c r="O1926" s="66" t="str">
        <x:v>Jawa Tengah</x:v>
      </x:c>
      <x:c r="P1926" s="66" t="str">
        <x:v>Kabupaten Banyumas</x:v>
      </x:c>
      <x:c r="Q1926" s="66" t="str">
        <x:v>https://snpmb.id/snbp/daya-tampung-snbp</x:v>
      </x:c>
      <x:c r="R1926" s="66" t="str">
        <x:v>https://sidatagrun-public-1076756628210.asia-southeast2.run.app/ptn_sn.php?ptn=351</x:v>
      </x:c>
    </x:row>
    <x:row r="1927">
      <x:c r="A1927" s="87" t="n">
        <x:v>698</x:v>
      </x:c>
      <x:c r="B1927" s="66" t="n">
        <x:v>351</x:v>
      </x:c>
      <x:c r="C1927" s="66" t="str">
        <x:v>UNIVERSITAS JENDERAL SOEDIRMAN</x:v>
      </x:c>
      <x:c r="D1927" s="66" t="str">
        <x:v>PTN Akademik</x:v>
      </x:c>
      <x:c r="E1927" s="66" t="str">
        <x:v>13511059</x:v>
      </x:c>
      <x:c r="F1927" s="66" t="str">
        <x:v>TEKNIK KOMPUTER</x:v>
      </x:c>
      <x:c r="G1927" s="66" t="str">
        <x:v>Sarjana</x:v>
      </x:c>
      <x:c r="H1927" s="87" t="n">
        <x:v>24</x:v>
      </x:c>
      <x:c r="I1927" s="87" t="n">
        <x:v>388</x:v>
      </x:c>
      <x:c r="J1927" s="68" t="n">
        <x:f>IFERROR(H1927/I1927,"")</x:f>
        <x:v>0.061855670103092786</x:v>
      </x:c>
      <x:c r="K1927" s="69" t="n">
        <x:f>IFERROR(I1927/H1927,"")</x:f>
        <x:v>16.166666666666668</x:v>
      </x:c>
      <x:c r="L1927" s="66" t="str">
        <x:f>IF(K1927="","","1 : "&amp;TEXT(K1927,"0.0"))</x:f>
        <x:v>1 : 16.2</x:v>
      </x:c>
      <x:c r="M1927" s="66" t="str">
        <x:f>IF(J1927="","Baru/Tanpa Data",IF(J1927&lt;='Catatan &amp; Sumber'!$B$14,"Sangat Ketat",IF(J1927&lt;='Catatan &amp; Sumber'!$B$15,"Ketat",IF(J1927&lt;='Catatan &amp; Sumber'!$B$16,"Sedang","Relatif Longgar"))))</x:f>
        <x:v>Sedang</x:v>
      </x:c>
      <x:c r="N1927" s="66" t="str">
        <x:v>Tidak Ada</x:v>
      </x:c>
      <x:c r="O1927" s="66" t="str">
        <x:v>Jawa Tengah</x:v>
      </x:c>
      <x:c r="P1927" s="66" t="str">
        <x:v>Kabupaten Banyumas</x:v>
      </x:c>
      <x:c r="Q1927" s="66" t="str">
        <x:v>https://snpmb.id/snbp/daya-tampung-snbp</x:v>
      </x:c>
      <x:c r="R1927" s="66" t="str">
        <x:v>https://sidatagrun-public-1076756628210.asia-southeast2.run.app/ptn_sn.php?ptn=351</x:v>
      </x:c>
    </x:row>
    <x:row r="1928">
      <x:c r="A1928" s="87"/>
      <x:c r="B1928" s="66" t="n">
        <x:v>351</x:v>
      </x:c>
      <x:c r="C1928" s="66" t="str">
        <x:v>UNIVERSITAS JENDERAL SOEDIRMAN</x:v>
      </x:c>
      <x:c r="D1928" s="66" t="str">
        <x:v>PTN Akademik</x:v>
      </x:c>
      <x:c r="E1928" s="66" t="str">
        <x:v>13511060</x:v>
      </x:c>
      <x:c r="F1928" s="66" t="str">
        <x:v>ARSITEKTUR</x:v>
      </x:c>
      <x:c r="G1928" s="66" t="str">
        <x:v>Sarjana</x:v>
      </x:c>
      <x:c r="H1928" s="87" t="n">
        <x:v>18</x:v>
      </x:c>
      <x:c r="I1928" s="87"/>
      <x:c r="J1928" s="68" t="str">
        <x:f>IFERROR(H1928/I1928,"")</x:f>
      </x:c>
      <x:c r="K1928" s="69" t="n">
        <x:f>IFERROR(I1928/H1928,"")</x:f>
        <x:v>0</x:v>
      </x:c>
      <x:c r="L1928" s="66" t="str">
        <x:f>IF(K1928="","","1 : "&amp;TEXT(K1928,"0.0"))</x:f>
      </x:c>
      <x:c r="M1928" s="66" t="str">
        <x:f>IF(J1928="","Baru/Tanpa Data",IF(J1928&lt;='Catatan &amp; Sumber'!$B$14,"Sangat Ketat",IF(J1928&lt;='Catatan &amp; Sumber'!$B$15,"Ketat",IF(J1928&lt;='Catatan &amp; Sumber'!$B$16,"Sedang","Relatif Longgar"))))</x:f>
        <x:v>Baru/Tanpa Data</x:v>
      </x:c>
      <x:c r="N1928" s="66" t="str">
        <x:v>Tidak Ada</x:v>
      </x:c>
      <x:c r="O1928" s="66" t="str">
        <x:v>Jawa Tengah</x:v>
      </x:c>
      <x:c r="P1928" s="66" t="str">
        <x:v>Kabupaten Banyumas</x:v>
      </x:c>
      <x:c r="Q1928" s="66" t="str">
        <x:v>https://snpmb.id/snbp/daya-tampung-snbp</x:v>
      </x:c>
      <x:c r="R1928" s="66" t="str">
        <x:v>https://sidatagrun-public-1076756628210.asia-southeast2.run.app/ptn_sn.php?ptn=351</x:v>
      </x:c>
    </x:row>
    <x:row r="1929">
      <x:c r="A1929" s="87" t="n">
        <x:v>1091</x:v>
      </x:c>
      <x:c r="B1929" s="66" t="n">
        <x:v>351</x:v>
      </x:c>
      <x:c r="C1929" s="66" t="str">
        <x:v>UNIVERSITAS JENDERAL SOEDIRMAN</x:v>
      </x:c>
      <x:c r="D1929" s="66" t="str">
        <x:v>PTN Akademik</x:v>
      </x:c>
      <x:c r="E1929" s="66" t="str">
        <x:v>13513040</x:v>
      </x:c>
      <x:c r="F1929" s="66" t="str">
        <x:v>ADMINISTRASI BISNIS</x:v>
      </x:c>
      <x:c r="G1929" s="66" t="str">
        <x:v>Diploma Tiga</x:v>
      </x:c>
      <x:c r="H1929" s="87" t="n">
        <x:v>36</x:v>
      </x:c>
      <x:c r="I1929" s="87" t="n">
        <x:v>433</x:v>
      </x:c>
      <x:c r="J1929" s="68" t="n">
        <x:f>IFERROR(H1929/I1929,"")</x:f>
        <x:v>0.08314087759815242</x:v>
      </x:c>
      <x:c r="K1929" s="69" t="n">
        <x:f>IFERROR(I1929/H1929,"")</x:f>
        <x:v>12.027777777777779</x:v>
      </x:c>
      <x:c r="L1929" s="66" t="str">
        <x:f>IF(K1929="","","1 : "&amp;TEXT(K1929,"0.0"))</x:f>
        <x:v>1 : 12.0</x:v>
      </x:c>
      <x:c r="M1929" s="66" t="str">
        <x:f>IF(J1929="","Baru/Tanpa Data",IF(J1929&lt;='Catatan &amp; Sumber'!$B$14,"Sangat Ketat",IF(J1929&lt;='Catatan &amp; Sumber'!$B$15,"Ketat",IF(J1929&lt;='Catatan &amp; Sumber'!$B$16,"Sedang","Relatif Longgar"))))</x:f>
        <x:v>Sedang</x:v>
      </x:c>
      <x:c r="N1929" s="66" t="str">
        <x:v>Tidak Ada</x:v>
      </x:c>
      <x:c r="O1929" s="66" t="str">
        <x:v>Jawa Tengah</x:v>
      </x:c>
      <x:c r="P1929" s="66" t="str">
        <x:v>Kabupaten Banyumas</x:v>
      </x:c>
      <x:c r="Q1929" s="66" t="str">
        <x:v>https://snpmb.id/snbp/daya-tampung-snbp</x:v>
      </x:c>
      <x:c r="R1929" s="66" t="str">
        <x:v>https://sidatagrun-public-1076756628210.asia-southeast2.run.app/ptn_sn.php?ptn=351</x:v>
      </x:c>
    </x:row>
    <x:row r="1930">
      <x:c r="A1930" s="87" t="n">
        <x:v>4109</x:v>
      </x:c>
      <x:c r="B1930" s="66" t="n">
        <x:v>351</x:v>
      </x:c>
      <x:c r="C1930" s="66" t="str">
        <x:v>UNIVERSITAS JENDERAL SOEDIRMAN</x:v>
      </x:c>
      <x:c r="D1930" s="66" t="str">
        <x:v>PTN Akademik</x:v>
      </x:c>
      <x:c r="E1930" s="66" t="str">
        <x:v>13513041</x:v>
      </x:c>
      <x:c r="F1930" s="66" t="str">
        <x:v>BAHASA MANDARIN</x:v>
      </x:c>
      <x:c r="G1930" s="66" t="str">
        <x:v>Diploma Tiga</x:v>
      </x:c>
      <x:c r="H1930" s="87" t="n">
        <x:v>56</x:v>
      </x:c>
      <x:c r="I1930" s="87" t="n">
        <x:v>73</x:v>
      </x:c>
      <x:c r="J1930" s="68" t="n">
        <x:f>IFERROR(H1930/I1930,"")</x:f>
        <x:v>0.7671232876712328</x:v>
      </x:c>
      <x:c r="K1930" s="69" t="n">
        <x:f>IFERROR(I1930/H1930,"")</x:f>
        <x:v>1.3035714285714286</x:v>
      </x:c>
      <x:c r="L1930" s="66" t="str">
        <x:f>IF(K1930="","","1 : "&amp;TEXT(K1930,"0.0"))</x:f>
        <x:v>1 : 1.3</x:v>
      </x:c>
      <x:c r="M1930" s="66" t="str">
        <x:f>IF(J1930="","Baru/Tanpa Data",IF(J1930&lt;='Catatan &amp; Sumber'!$B$14,"Sangat Ketat",IF(J1930&lt;='Catatan &amp; Sumber'!$B$15,"Ketat",IF(J1930&lt;='Catatan &amp; Sumber'!$B$16,"Sedang","Relatif Longgar"))))</x:f>
        <x:v>Relatif Longgar</x:v>
      </x:c>
      <x:c r="N1930" s="66" t="str">
        <x:v>Tidak Ada</x:v>
      </x:c>
      <x:c r="O1930" s="66" t="str">
        <x:v>Jawa Tengah</x:v>
      </x:c>
      <x:c r="P1930" s="66" t="str">
        <x:v>Kabupaten Banyumas</x:v>
      </x:c>
      <x:c r="Q1930" s="66" t="str">
        <x:v>https://snpmb.id/snbp/daya-tampung-snbp</x:v>
      </x:c>
      <x:c r="R1930" s="66" t="str">
        <x:v>https://sidatagrun-public-1076756628210.asia-southeast2.run.app/ptn_sn.php?ptn=351</x:v>
      </x:c>
    </x:row>
    <x:row r="1931">
      <x:c r="A1931" s="87" t="n">
        <x:v>4575</x:v>
      </x:c>
      <x:c r="B1931" s="66" t="n">
        <x:v>351</x:v>
      </x:c>
      <x:c r="C1931" s="66" t="str">
        <x:v>UNIVERSITAS JENDERAL SOEDIRMAN</x:v>
      </x:c>
      <x:c r="D1931" s="66" t="str">
        <x:v>PTN Akademik</x:v>
      </x:c>
      <x:c r="E1931" s="66" t="str">
        <x:v>13513042</x:v>
      </x:c>
      <x:c r="F1931" s="66" t="str">
        <x:v>BUDI DAYA IKAN</x:v>
      </x:c>
      <x:c r="G1931" s="66" t="str">
        <x:v>Diploma Tiga</x:v>
      </x:c>
      <x:c r="H1931" s="87" t="n">
        <x:v>48</x:v>
      </x:c>
      <x:c r="I1931" s="87" t="n">
        <x:v>31</x:v>
      </x:c>
      <x:c r="J1931" s="68" t="n">
        <x:f>IFERROR(H1931/I1931,"")</x:f>
        <x:v>1.5483870967741935</x:v>
      </x:c>
      <x:c r="K1931" s="69" t="n">
        <x:f>IFERROR(I1931/H1931,"")</x:f>
        <x:v>0.6458333333333334</x:v>
      </x:c>
      <x:c r="L1931" s="66" t="str">
        <x:f>IF(K1931="","","1 : "&amp;TEXT(K1931,"0.0"))</x:f>
        <x:v>1 : 0.6</x:v>
      </x:c>
      <x:c r="M1931" s="66" t="str">
        <x:f>IF(J1931="","Baru/Tanpa Data",IF(J1931&lt;='Catatan &amp; Sumber'!$B$14,"Sangat Ketat",IF(J1931&lt;='Catatan &amp; Sumber'!$B$15,"Ketat",IF(J1931&lt;='Catatan &amp; Sumber'!$B$16,"Sedang","Relatif Longgar"))))</x:f>
        <x:v>Relatif Longgar</x:v>
      </x:c>
      <x:c r="N1931" s="66" t="str">
        <x:v>Tidak Ada</x:v>
      </x:c>
      <x:c r="O1931" s="66" t="str">
        <x:v>Jawa Tengah</x:v>
      </x:c>
      <x:c r="P1931" s="66" t="str">
        <x:v>Kabupaten Banyumas</x:v>
      </x:c>
      <x:c r="Q1931" s="66" t="str">
        <x:v>https://snpmb.id/snbp/daya-tampung-snbp</x:v>
      </x:c>
      <x:c r="R1931" s="66" t="str">
        <x:v>https://sidatagrun-public-1076756628210.asia-southeast2.run.app/ptn_sn.php?ptn=351</x:v>
      </x:c>
    </x:row>
    <x:row r="1932">
      <x:c r="A1932" s="87" t="n">
        <x:v>3385</x:v>
      </x:c>
      <x:c r="B1932" s="66" t="n">
        <x:v>351</x:v>
      </x:c>
      <x:c r="C1932" s="66" t="str">
        <x:v>UNIVERSITAS JENDERAL SOEDIRMAN</x:v>
      </x:c>
      <x:c r="D1932" s="66" t="str">
        <x:v>PTN Akademik</x:v>
      </x:c>
      <x:c r="E1932" s="66" t="str">
        <x:v>13513043</x:v>
      </x:c>
      <x:c r="F1932" s="66" t="str">
        <x:v>AGRIBISNIS</x:v>
      </x:c>
      <x:c r="G1932" s="66" t="str">
        <x:v>Diploma Tiga</x:v>
      </x:c>
      <x:c r="H1932" s="87" t="n">
        <x:v>48</x:v>
      </x:c>
      <x:c r="I1932" s="87" t="n">
        <x:v>121</x:v>
      </x:c>
      <x:c r="J1932" s="68" t="n">
        <x:f>IFERROR(H1932/I1932,"")</x:f>
        <x:v>0.39669421487603307</x:v>
      </x:c>
      <x:c r="K1932" s="69" t="n">
        <x:f>IFERROR(I1932/H1932,"")</x:f>
        <x:v>2.5208333333333335</x:v>
      </x:c>
      <x:c r="L1932" s="66" t="str">
        <x:f>IF(K1932="","","1 : "&amp;TEXT(K1932,"0.0"))</x:f>
        <x:v>1 : 2.5</x:v>
      </x:c>
      <x:c r="M1932" s="66" t="str">
        <x:f>IF(J1932="","Baru/Tanpa Data",IF(J1932&lt;='Catatan &amp; Sumber'!$B$14,"Sangat Ketat",IF(J1932&lt;='Catatan &amp; Sumber'!$B$15,"Ketat",IF(J1932&lt;='Catatan &amp; Sumber'!$B$16,"Sedang","Relatif Longgar"))))</x:f>
        <x:v>Relatif Longgar</x:v>
      </x:c>
      <x:c r="N1932" s="66" t="str">
        <x:v>Tidak Ada</x:v>
      </x:c>
      <x:c r="O1932" s="66" t="str">
        <x:v>Jawa Tengah</x:v>
      </x:c>
      <x:c r="P1932" s="66" t="str">
        <x:v>Kabupaten Banyumas</x:v>
      </x:c>
      <x:c r="Q1932" s="66" t="str">
        <x:v>https://snpmb.id/snbp/daya-tampung-snbp</x:v>
      </x:c>
      <x:c r="R1932" s="66" t="str">
        <x:v>https://sidatagrun-public-1076756628210.asia-southeast2.run.app/ptn_sn.php?ptn=351</x:v>
      </x:c>
    </x:row>
    <x:row r="1933">
      <x:c r="A1933" s="87" t="n">
        <x:v>4135</x:v>
      </x:c>
      <x:c r="B1933" s="66" t="n">
        <x:v>351</x:v>
      </x:c>
      <x:c r="C1933" s="66" t="str">
        <x:v>UNIVERSITAS JENDERAL SOEDIRMAN</x:v>
      </x:c>
      <x:c r="D1933" s="66" t="str">
        <x:v>PTN Akademik</x:v>
      </x:c>
      <x:c r="E1933" s="66" t="str">
        <x:v>13513044</x:v>
      </x:c>
      <x:c r="F1933" s="66" t="str">
        <x:v>PERENCANAAN SUMBER DAYA LAHAN</x:v>
      </x:c>
      <x:c r="G1933" s="66" t="str">
        <x:v>Diploma Tiga</x:v>
      </x:c>
      <x:c r="H1933" s="87" t="n">
        <x:v>48</x:v>
      </x:c>
      <x:c r="I1933" s="87" t="n">
        <x:v>60</x:v>
      </x:c>
      <x:c r="J1933" s="68" t="n">
        <x:f>IFERROR(H1933/I1933,"")</x:f>
        <x:v>0.8</x:v>
      </x:c>
      <x:c r="K1933" s="69" t="n">
        <x:f>IFERROR(I1933/H1933,"")</x:f>
        <x:v>1.25</x:v>
      </x:c>
      <x:c r="L1933" s="66" t="str">
        <x:f>IF(K1933="","","1 : "&amp;TEXT(K1933,"0.0"))</x:f>
        <x:v>1 : 1.3</x:v>
      </x:c>
      <x:c r="M1933" s="66" t="str">
        <x:f>IF(J1933="","Baru/Tanpa Data",IF(J1933&lt;='Catatan &amp; Sumber'!$B$14,"Sangat Ketat",IF(J1933&lt;='Catatan &amp; Sumber'!$B$15,"Ketat",IF(J1933&lt;='Catatan &amp; Sumber'!$B$16,"Sedang","Relatif Longgar"))))</x:f>
        <x:v>Relatif Longgar</x:v>
      </x:c>
      <x:c r="N1933" s="66" t="str">
        <x:v>Tidak Ada</x:v>
      </x:c>
      <x:c r="O1933" s="66" t="str">
        <x:v>Jawa Tengah</x:v>
      </x:c>
      <x:c r="P1933" s="66" t="str">
        <x:v>Kabupaten Banyumas</x:v>
      </x:c>
      <x:c r="Q1933" s="66" t="str">
        <x:v>https://snpmb.id/snbp/daya-tampung-snbp</x:v>
      </x:c>
      <x:c r="R1933" s="66" t="str">
        <x:v>https://sidatagrun-public-1076756628210.asia-southeast2.run.app/ptn_sn.php?ptn=351</x:v>
      </x:c>
    </x:row>
    <x:row r="1934">
      <x:c r="A1934" s="87" t="n">
        <x:v>3442</x:v>
      </x:c>
      <x:c r="B1934" s="66" t="n">
        <x:v>351</x:v>
      </x:c>
      <x:c r="C1934" s="66" t="str">
        <x:v>UNIVERSITAS JENDERAL SOEDIRMAN</x:v>
      </x:c>
      <x:c r="D1934" s="66" t="str">
        <x:v>PTN Akademik</x:v>
      </x:c>
      <x:c r="E1934" s="66" t="str">
        <x:v>13513046</x:v>
      </x:c>
      <x:c r="F1934" s="66" t="str">
        <x:v>BAHASA INGGRIS</x:v>
      </x:c>
      <x:c r="G1934" s="66" t="str">
        <x:v>Diploma Tiga</x:v>
      </x:c>
      <x:c r="H1934" s="87" t="n">
        <x:v>56</x:v>
      </x:c>
      <x:c r="I1934" s="87" t="n">
        <x:v>135</x:v>
      </x:c>
      <x:c r="J1934" s="68" t="n">
        <x:f>IFERROR(H1934/I1934,"")</x:f>
        <x:v>0.4148148148148148</x:v>
      </x:c>
      <x:c r="K1934" s="69" t="n">
        <x:f>IFERROR(I1934/H1934,"")</x:f>
        <x:v>2.4107142857142856</x:v>
      </x:c>
      <x:c r="L1934" s="66" t="str">
        <x:f>IF(K1934="","","1 : "&amp;TEXT(K1934,"0.0"))</x:f>
        <x:v>1 : 2.4</x:v>
      </x:c>
      <x:c r="M1934" s="66" t="str">
        <x:f>IF(J1934="","Baru/Tanpa Data",IF(J1934&lt;='Catatan &amp; Sumber'!$B$14,"Sangat Ketat",IF(J1934&lt;='Catatan &amp; Sumber'!$B$15,"Ketat",IF(J1934&lt;='Catatan &amp; Sumber'!$B$16,"Sedang","Relatif Longgar"))))</x:f>
        <x:v>Relatif Longgar</x:v>
      </x:c>
      <x:c r="N1934" s="66" t="str">
        <x:v>Tidak Ada</x:v>
      </x:c>
      <x:c r="O1934" s="66" t="str">
        <x:v>Jawa Tengah</x:v>
      </x:c>
      <x:c r="P1934" s="66" t="str">
        <x:v>Kabupaten Banyumas</x:v>
      </x:c>
      <x:c r="Q1934" s="66" t="str">
        <x:v>https://snpmb.id/snbp/daya-tampung-snbp</x:v>
      </x:c>
      <x:c r="R1934" s="66" t="str">
        <x:v>https://sidatagrun-public-1076756628210.asia-southeast2.run.app/ptn_sn.php?ptn=351</x:v>
      </x:c>
    </x:row>
    <x:row r="1935">
      <x:c r="A1935" s="87" t="n">
        <x:v>2014</x:v>
      </x:c>
      <x:c r="B1935" s="66" t="n">
        <x:v>351</x:v>
      </x:c>
      <x:c r="C1935" s="66" t="str">
        <x:v>UNIVERSITAS JENDERAL SOEDIRMAN</x:v>
      </x:c>
      <x:c r="D1935" s="66" t="str">
        <x:v>PTN Akademik</x:v>
      </x:c>
      <x:c r="E1935" s="66" t="str">
        <x:v>13513048</x:v>
      </x:c>
      <x:c r="F1935" s="66" t="str">
        <x:v>AKUNTANSI</x:v>
      </x:c>
      <x:c r="G1935" s="66" t="str">
        <x:v>Diploma Tiga</x:v>
      </x:c>
      <x:c r="H1935" s="87" t="n">
        <x:v>36</x:v>
      </x:c>
      <x:c r="I1935" s="87" t="n">
        <x:v>235</x:v>
      </x:c>
      <x:c r="J1935" s="68" t="n">
        <x:f>IFERROR(H1935/I1935,"")</x:f>
        <x:v>0.15319148936170213</x:v>
      </x:c>
      <x:c r="K1935" s="69" t="n">
        <x:f>IFERROR(I1935/H1935,"")</x:f>
        <x:v>6.527777777777778</x:v>
      </x:c>
      <x:c r="L1935" s="66" t="str">
        <x:f>IF(K1935="","","1 : "&amp;TEXT(K1935,"0.0"))</x:f>
        <x:v>1 : 6.5</x:v>
      </x:c>
      <x:c r="M1935" s="66" t="str">
        <x:f>IF(J1935="","Baru/Tanpa Data",IF(J1935&lt;='Catatan &amp; Sumber'!$B$14,"Sangat Ketat",IF(J1935&lt;='Catatan &amp; Sumber'!$B$15,"Ketat",IF(J1935&lt;='Catatan &amp; Sumber'!$B$16,"Sedang","Relatif Longgar"))))</x:f>
        <x:v>Relatif Longgar</x:v>
      </x:c>
      <x:c r="N1935" s="66" t="str">
        <x:v>Tidak Ada</x:v>
      </x:c>
      <x:c r="O1935" s="66" t="str">
        <x:v>Jawa Tengah</x:v>
      </x:c>
      <x:c r="P1935" s="66" t="str">
        <x:v>Kabupaten Banyumas</x:v>
      </x:c>
      <x:c r="Q1935" s="66" t="str">
        <x:v>https://snpmb.id/snbp/daya-tampung-snbp</x:v>
      </x:c>
      <x:c r="R1935" s="66" t="str">
        <x:v>https://sidatagrun-public-1076756628210.asia-southeast2.run.app/ptn_sn.php?ptn=351</x:v>
      </x:c>
    </x:row>
    <x:row r="1936">
      <x:c r="A1936" s="87" t="n">
        <x:v>2791</x:v>
      </x:c>
      <x:c r="B1936" s="66" t="n">
        <x:v>351</x:v>
      </x:c>
      <x:c r="C1936" s="66" t="str">
        <x:v>UNIVERSITAS JENDERAL SOEDIRMAN</x:v>
      </x:c>
      <x:c r="D1936" s="66" t="str">
        <x:v>PTN Akademik</x:v>
      </x:c>
      <x:c r="E1936" s="66" t="str">
        <x:v>13513049</x:v>
      </x:c>
      <x:c r="F1936" s="66" t="str">
        <x:v>BISNIS INTERNASIONAL</x:v>
      </x:c>
      <x:c r="G1936" s="66" t="str">
        <x:v>Diploma Tiga</x:v>
      </x:c>
      <x:c r="H1936" s="87" t="n">
        <x:v>36</x:v>
      </x:c>
      <x:c r="I1936" s="87" t="n">
        <x:v>140</x:v>
      </x:c>
      <x:c r="J1936" s="68" t="n">
        <x:f>IFERROR(H1936/I1936,"")</x:f>
        <x:v>0.2571428571428571</x:v>
      </x:c>
      <x:c r="K1936" s="69" t="n">
        <x:f>IFERROR(I1936/H1936,"")</x:f>
        <x:v>3.888888888888889</x:v>
      </x:c>
      <x:c r="L1936" s="66" t="str">
        <x:f>IF(K1936="","","1 : "&amp;TEXT(K1936,"0.0"))</x:f>
        <x:v>1 : 3.9</x:v>
      </x:c>
      <x:c r="M1936" s="66" t="str">
        <x:f>IF(J1936="","Baru/Tanpa Data",IF(J1936&lt;='Catatan &amp; Sumber'!$B$14,"Sangat Ketat",IF(J1936&lt;='Catatan &amp; Sumber'!$B$15,"Ketat",IF(J1936&lt;='Catatan &amp; Sumber'!$B$16,"Sedang","Relatif Longgar"))))</x:f>
        <x:v>Relatif Longgar</x:v>
      </x:c>
      <x:c r="N1936" s="66" t="str">
        <x:v>Tidak Ada</x:v>
      </x:c>
      <x:c r="O1936" s="66" t="str">
        <x:v>Jawa Tengah</x:v>
      </x:c>
      <x:c r="P1936" s="66" t="str">
        <x:v>Kabupaten Banyumas</x:v>
      </x:c>
      <x:c r="Q1936" s="66" t="str">
        <x:v>https://snpmb.id/snbp/daya-tampung-snbp</x:v>
      </x:c>
      <x:c r="R1936" s="66" t="str">
        <x:v>https://sidatagrun-public-1076756628210.asia-southeast2.run.app/ptn_sn.php?ptn=351</x:v>
      </x:c>
    </x:row>
    <x:row r="1937">
      <x:c r="A1937" s="87" t="n">
        <x:v>1705</x:v>
      </x:c>
      <x:c r="B1937" s="66" t="n">
        <x:v>351</x:v>
      </x:c>
      <x:c r="C1937" s="66" t="str">
        <x:v>UNIVERSITAS JENDERAL SOEDIRMAN</x:v>
      </x:c>
      <x:c r="D1937" s="66" t="str">
        <x:v>PTN Akademik</x:v>
      </x:c>
      <x:c r="E1937" s="66" t="str">
        <x:v>13513051</x:v>
      </x:c>
      <x:c r="F1937" s="66" t="str">
        <x:v>ADMINISTRASI PERKANTORAN</x:v>
      </x:c>
      <x:c r="G1937" s="66" t="str">
        <x:v>Diploma Tiga</x:v>
      </x:c>
      <x:c r="H1937" s="87" t="n">
        <x:v>36</x:v>
      </x:c>
      <x:c r="I1937" s="87" t="n">
        <x:v>289</x:v>
      </x:c>
      <x:c r="J1937" s="68" t="n">
        <x:f>IFERROR(H1937/I1937,"")</x:f>
        <x:v>0.1245674740484429</x:v>
      </x:c>
      <x:c r="K1937" s="69" t="n">
        <x:f>IFERROR(I1937/H1937,"")</x:f>
        <x:v>8.027777777777779</x:v>
      </x:c>
      <x:c r="L1937" s="66" t="str">
        <x:f>IF(K1937="","","1 : "&amp;TEXT(K1937,"0.0"))</x:f>
        <x:v>1 : 8.0</x:v>
      </x:c>
      <x:c r="M1937" s="66" t="str">
        <x:f>IF(J1937="","Baru/Tanpa Data",IF(J1937&lt;='Catatan &amp; Sumber'!$B$14,"Sangat Ketat",IF(J1937&lt;='Catatan &amp; Sumber'!$B$15,"Ketat",IF(J1937&lt;='Catatan &amp; Sumber'!$B$16,"Sedang","Relatif Longgar"))))</x:f>
        <x:v>Relatif Longgar</x:v>
      </x:c>
      <x:c r="N1937" s="66" t="str">
        <x:v>Tidak Ada</x:v>
      </x:c>
      <x:c r="O1937" s="66" t="str">
        <x:v>Jawa Tengah</x:v>
      </x:c>
      <x:c r="P1937" s="66" t="str">
        <x:v>Kabupaten Banyumas</x:v>
      </x:c>
      <x:c r="Q1937" s="66" t="str">
        <x:v>https://snpmb.id/snbp/daya-tampung-snbp</x:v>
      </x:c>
      <x:c r="R1937" s="66" t="str">
        <x:v>https://sidatagrun-public-1076756628210.asia-southeast2.run.app/ptn_sn.php?ptn=351</x:v>
      </x:c>
    </x:row>
    <x:row r="1938">
      <x:c r="A1938" s="87" t="n">
        <x:v>4237</x:v>
      </x:c>
      <x:c r="B1938" s="66" t="n">
        <x:v>351</x:v>
      </x:c>
      <x:c r="C1938" s="66" t="str">
        <x:v>UNIVERSITAS JENDERAL SOEDIRMAN</x:v>
      </x:c>
      <x:c r="D1938" s="66" t="str">
        <x:v>PTN Akademik</x:v>
      </x:c>
      <x:c r="E1938" s="66" t="str">
        <x:v>13513052</x:v>
      </x:c>
      <x:c r="F1938" s="66" t="str">
        <x:v>BUDI DAYA TERNAK</x:v>
      </x:c>
      <x:c r="G1938" s="66" t="str">
        <x:v>Diploma Tiga</x:v>
      </x:c>
      <x:c r="H1938" s="87" t="n">
        <x:v>92</x:v>
      </x:c>
      <x:c r="I1938" s="87" t="n">
        <x:v>103</x:v>
      </x:c>
      <x:c r="J1938" s="68" t="n">
        <x:f>IFERROR(H1938/I1938,"")</x:f>
        <x:v>0.8932038834951457</x:v>
      </x:c>
      <x:c r="K1938" s="69" t="n">
        <x:f>IFERROR(I1938/H1938,"")</x:f>
        <x:v>1.1195652173913044</x:v>
      </x:c>
      <x:c r="L1938" s="66" t="str">
        <x:f>IF(K1938="","","1 : "&amp;TEXT(K1938,"0.0"))</x:f>
        <x:v>1 : 1.1</x:v>
      </x:c>
      <x:c r="M1938" s="66" t="str">
        <x:f>IF(J1938="","Baru/Tanpa Data",IF(J1938&lt;='Catatan &amp; Sumber'!$B$14,"Sangat Ketat",IF(J1938&lt;='Catatan &amp; Sumber'!$B$15,"Ketat",IF(J1938&lt;='Catatan &amp; Sumber'!$B$16,"Sedang","Relatif Longgar"))))</x:f>
        <x:v>Relatif Longgar</x:v>
      </x:c>
      <x:c r="N1938" s="66" t="str">
        <x:v>Tidak Ada</x:v>
      </x:c>
      <x:c r="O1938" s="66" t="str">
        <x:v>Jawa Tengah</x:v>
      </x:c>
      <x:c r="P1938" s="66" t="str">
        <x:v>Kabupaten Banyumas</x:v>
      </x:c>
      <x:c r="Q1938" s="66" t="str">
        <x:v>https://snpmb.id/snbp/daya-tampung-snbp</x:v>
      </x:c>
      <x:c r="R1938" s="66" t="str">
        <x:v>https://sidatagrun-public-1076756628210.asia-southeast2.run.app/ptn_sn.php?ptn=351</x:v>
      </x:c>
    </x:row>
    <x:row r="1939">
      <x:c r="A1939" s="87" t="n">
        <x:v>1484</x:v>
      </x:c>
      <x:c r="B1939" s="66" t="n">
        <x:v>352</x:v>
      </x:c>
      <x:c r="C1939" s="66" t="str">
        <x:v>UNIVERSITAS TIDAR</x:v>
      </x:c>
      <x:c r="D1939" s="66" t="str">
        <x:v>PTN Akademik</x:v>
      </x:c>
      <x:c r="E1939" s="66" t="str">
        <x:v>13521001</x:v>
      </x:c>
      <x:c r="F1939" s="66" t="str">
        <x:v>AGROTEKNOLOGI</x:v>
      </x:c>
      <x:c r="G1939" s="66" t="str">
        <x:v>Sarjana</x:v>
      </x:c>
      <x:c r="H1939" s="87" t="n">
        <x:v>45</x:v>
      </x:c>
      <x:c r="I1939" s="87" t="n">
        <x:v>414</x:v>
      </x:c>
      <x:c r="J1939" s="68" t="n">
        <x:f>IFERROR(H1939/I1939,"")</x:f>
        <x:v>0.10869565217391304</x:v>
      </x:c>
      <x:c r="K1939" s="69" t="n">
        <x:f>IFERROR(I1939/H1939,"")</x:f>
        <x:v>9.2</x:v>
      </x:c>
      <x:c r="L1939" s="66" t="str">
        <x:f>IF(K1939="","","1 : "&amp;TEXT(K1939,"0.0"))</x:f>
        <x:v>1 : 9.2</x:v>
      </x:c>
      <x:c r="M1939" s="66" t="str">
        <x:f>IF(J1939="","Baru/Tanpa Data",IF(J1939&lt;='Catatan &amp; Sumber'!$B$14,"Sangat Ketat",IF(J1939&lt;='Catatan &amp; Sumber'!$B$15,"Ketat",IF(J1939&lt;='Catatan &amp; Sumber'!$B$16,"Sedang","Relatif Longgar"))))</x:f>
        <x:v>Relatif Longgar</x:v>
      </x:c>
      <x:c r="N1939" s="66" t="str">
        <x:v>Tidak Ada</x:v>
      </x:c>
      <x:c r="O1939" s="66" t="str">
        <x:v>Jawa Tengah</x:v>
      </x:c>
      <x:c r="P1939" s="66" t="str">
        <x:v>Kota Magelang</x:v>
      </x:c>
      <x:c r="Q1939" s="66" t="str">
        <x:v>https://snpmb.id/snbp/daya-tampung-snbp</x:v>
      </x:c>
      <x:c r="R1939" s="66" t="str">
        <x:v>https://sidatagrun-public-1076756628210.asia-southeast2.run.app/ptn_sn.php?ptn=352</x:v>
      </x:c>
    </x:row>
    <x:row r="1940">
      <x:c r="A1940" s="87" t="n">
        <x:v>1215</x:v>
      </x:c>
      <x:c r="B1940" s="66" t="n">
        <x:v>352</x:v>
      </x:c>
      <x:c r="C1940" s="66" t="str">
        <x:v>UNIVERSITAS TIDAR</x:v>
      </x:c>
      <x:c r="D1940" s="66" t="str">
        <x:v>PTN Akademik</x:v>
      </x:c>
      <x:c r="E1940" s="66" t="str">
        <x:v>13521002</x:v>
      </x:c>
      <x:c r="F1940" s="66" t="str">
        <x:v>TEKNIK SIPIL</x:v>
      </x:c>
      <x:c r="G1940" s="66" t="str">
        <x:v>Sarjana</x:v>
      </x:c>
      <x:c r="H1940" s="87" t="n">
        <x:v>32</x:v>
      </x:c>
      <x:c r="I1940" s="87" t="n">
        <x:v>352</x:v>
      </x:c>
      <x:c r="J1940" s="68" t="n">
        <x:f>IFERROR(H1940/I1940,"")</x:f>
        <x:v>0.09090909090909091</x:v>
      </x:c>
      <x:c r="K1940" s="69" t="n">
        <x:f>IFERROR(I1940/H1940,"")</x:f>
        <x:v>11</x:v>
      </x:c>
      <x:c r="L1940" s="66" t="str">
        <x:f>IF(K1940="","","1 : "&amp;TEXT(K1940,"0.0"))</x:f>
        <x:v>1 : 11.0</x:v>
      </x:c>
      <x:c r="M1940" s="66" t="str">
        <x:f>IF(J1940="","Baru/Tanpa Data",IF(J1940&lt;='Catatan &amp; Sumber'!$B$14,"Sangat Ketat",IF(J1940&lt;='Catatan &amp; Sumber'!$B$15,"Ketat",IF(J1940&lt;='Catatan &amp; Sumber'!$B$16,"Sedang","Relatif Longgar"))))</x:f>
        <x:v>Sedang</x:v>
      </x:c>
      <x:c r="N1940" s="66" t="str">
        <x:v>Tidak Ada</x:v>
      </x:c>
      <x:c r="O1940" s="66" t="str">
        <x:v>Jawa Tengah</x:v>
      </x:c>
      <x:c r="P1940" s="66" t="str">
        <x:v>Kota Magelang</x:v>
      </x:c>
      <x:c r="Q1940" s="66" t="str">
        <x:v>https://snpmb.id/snbp/daya-tampung-snbp</x:v>
      </x:c>
      <x:c r="R1940" s="66" t="str">
        <x:v>https://sidatagrun-public-1076756628210.asia-southeast2.run.app/ptn_sn.php?ptn=352</x:v>
      </x:c>
    </x:row>
    <x:row r="1941">
      <x:c r="A1941" s="87" t="n">
        <x:v>1346</x:v>
      </x:c>
      <x:c r="B1941" s="66" t="n">
        <x:v>352</x:v>
      </x:c>
      <x:c r="C1941" s="66" t="str">
        <x:v>UNIVERSITAS TIDAR</x:v>
      </x:c>
      <x:c r="D1941" s="66" t="str">
        <x:v>PTN Akademik</x:v>
      </x:c>
      <x:c r="E1941" s="66" t="str">
        <x:v>13521003</x:v>
      </x:c>
      <x:c r="F1941" s="66" t="str">
        <x:v>TEKNIK MESIN</x:v>
      </x:c>
      <x:c r="G1941" s="66" t="str">
        <x:v>Sarjana</x:v>
      </x:c>
      <x:c r="H1941" s="87" t="n">
        <x:v>32</x:v>
      </x:c>
      <x:c r="I1941" s="87" t="n">
        <x:v>326</x:v>
      </x:c>
      <x:c r="J1941" s="68" t="n">
        <x:f>IFERROR(H1941/I1941,"")</x:f>
        <x:v>0.09815950920245399</x:v>
      </x:c>
      <x:c r="K1941" s="69" t="n">
        <x:f>IFERROR(I1941/H1941,"")</x:f>
        <x:v>10.1875</x:v>
      </x:c>
      <x:c r="L1941" s="66" t="str">
        <x:f>IF(K1941="","","1 : "&amp;TEXT(K1941,"0.0"))</x:f>
        <x:v>1 : 10.2</x:v>
      </x:c>
      <x:c r="M1941" s="66" t="str">
        <x:f>IF(J1941="","Baru/Tanpa Data",IF(J1941&lt;='Catatan &amp; Sumber'!$B$14,"Sangat Ketat",IF(J1941&lt;='Catatan &amp; Sumber'!$B$15,"Ketat",IF(J1941&lt;='Catatan &amp; Sumber'!$B$16,"Sedang","Relatif Longgar"))))</x:f>
        <x:v>Sedang</x:v>
      </x:c>
      <x:c r="N1941" s="66" t="str">
        <x:v>Tidak Ada</x:v>
      </x:c>
      <x:c r="O1941" s="66" t="str">
        <x:v>Jawa Tengah</x:v>
      </x:c>
      <x:c r="P1941" s="66" t="str">
        <x:v>Kota Magelang</x:v>
      </x:c>
      <x:c r="Q1941" s="66" t="str">
        <x:v>https://snpmb.id/snbp/daya-tampung-snbp</x:v>
      </x:c>
      <x:c r="R1941" s="66" t="str">
        <x:v>https://sidatagrun-public-1076756628210.asia-southeast2.run.app/ptn_sn.php?ptn=352</x:v>
      </x:c>
    </x:row>
    <x:row r="1942">
      <x:c r="A1942" s="87" t="n">
        <x:v>1509</x:v>
      </x:c>
      <x:c r="B1942" s="66" t="n">
        <x:v>352</x:v>
      </x:c>
      <x:c r="C1942" s="66" t="str">
        <x:v>UNIVERSITAS TIDAR</x:v>
      </x:c>
      <x:c r="D1942" s="66" t="str">
        <x:v>PTN Akademik</x:v>
      </x:c>
      <x:c r="E1942" s="66" t="str">
        <x:v>13521004</x:v>
      </x:c>
      <x:c r="F1942" s="66" t="str">
        <x:v>TEKNIK ELEKTRO</x:v>
      </x:c>
      <x:c r="G1942" s="66" t="str">
        <x:v>Sarjana</x:v>
      </x:c>
      <x:c r="H1942" s="87" t="n">
        <x:v>24</x:v>
      </x:c>
      <x:c r="I1942" s="87" t="n">
        <x:v>218</x:v>
      </x:c>
      <x:c r="J1942" s="68" t="n">
        <x:f>IFERROR(H1942/I1942,"")</x:f>
        <x:v>0.11009174311926606</x:v>
      </x:c>
      <x:c r="K1942" s="69" t="n">
        <x:f>IFERROR(I1942/H1942,"")</x:f>
        <x:v>9.083333333333334</x:v>
      </x:c>
      <x:c r="L1942" s="66" t="str">
        <x:f>IF(K1942="","","1 : "&amp;TEXT(K1942,"0.0"))</x:f>
        <x:v>1 : 9.1</x:v>
      </x:c>
      <x:c r="M1942" s="66" t="str">
        <x:f>IF(J1942="","Baru/Tanpa Data",IF(J1942&lt;='Catatan &amp; Sumber'!$B$14,"Sangat Ketat",IF(J1942&lt;='Catatan &amp; Sumber'!$B$15,"Ketat",IF(J1942&lt;='Catatan &amp; Sumber'!$B$16,"Sedang","Relatif Longgar"))))</x:f>
        <x:v>Relatif Longgar</x:v>
      </x:c>
      <x:c r="N1942" s="66" t="str">
        <x:v>Tidak Ada</x:v>
      </x:c>
      <x:c r="O1942" s="66" t="str">
        <x:v>Jawa Tengah</x:v>
      </x:c>
      <x:c r="P1942" s="66" t="str">
        <x:v>Kota Magelang</x:v>
      </x:c>
      <x:c r="Q1942" s="66" t="str">
        <x:v>https://snpmb.id/snbp/daya-tampung-snbp</x:v>
      </x:c>
      <x:c r="R1942" s="66" t="str">
        <x:v>https://sidatagrun-public-1076756628210.asia-southeast2.run.app/ptn_sn.php?ptn=352</x:v>
      </x:c>
    </x:row>
    <x:row r="1943">
      <x:c r="A1943" s="87" t="n">
        <x:v>1993</x:v>
      </x:c>
      <x:c r="B1943" s="66" t="n">
        <x:v>352</x:v>
      </x:c>
      <x:c r="C1943" s="66" t="str">
        <x:v>UNIVERSITAS TIDAR</x:v>
      </x:c>
      <x:c r="D1943" s="66" t="str">
        <x:v>PTN Akademik</x:v>
      </x:c>
      <x:c r="E1943" s="66" t="str">
        <x:v>13521005</x:v>
      </x:c>
      <x:c r="F1943" s="66" t="str">
        <x:v>PETERNAKAN</x:v>
      </x:c>
      <x:c r="G1943" s="66" t="str">
        <x:v>Sarjana</x:v>
      </x:c>
      <x:c r="H1943" s="87" t="n">
        <x:v>45</x:v>
      </x:c>
      <x:c r="I1943" s="87" t="n">
        <x:v>298</x:v>
      </x:c>
      <x:c r="J1943" s="68" t="n">
        <x:f>IFERROR(H1943/I1943,"")</x:f>
        <x:v>0.15100671140939598</x:v>
      </x:c>
      <x:c r="K1943" s="69" t="n">
        <x:f>IFERROR(I1943/H1943,"")</x:f>
        <x:v>6.622222222222222</x:v>
      </x:c>
      <x:c r="L1943" s="66" t="str">
        <x:f>IF(K1943="","","1 : "&amp;TEXT(K1943,"0.0"))</x:f>
        <x:v>1 : 6.6</x:v>
      </x:c>
      <x:c r="M1943" s="66" t="str">
        <x:f>IF(J1943="","Baru/Tanpa Data",IF(J1943&lt;='Catatan &amp; Sumber'!$B$14,"Sangat Ketat",IF(J1943&lt;='Catatan &amp; Sumber'!$B$15,"Ketat",IF(J1943&lt;='Catatan &amp; Sumber'!$B$16,"Sedang","Relatif Longgar"))))</x:f>
        <x:v>Relatif Longgar</x:v>
      </x:c>
      <x:c r="N1943" s="66" t="str">
        <x:v>Tidak Ada</x:v>
      </x:c>
      <x:c r="O1943" s="66" t="str">
        <x:v>Jawa Tengah</x:v>
      </x:c>
      <x:c r="P1943" s="66" t="str">
        <x:v>Kota Magelang</x:v>
      </x:c>
      <x:c r="Q1943" s="66" t="str">
        <x:v>https://snpmb.id/snbp/daya-tampung-snbp</x:v>
      </x:c>
      <x:c r="R1943" s="66" t="str">
        <x:v>https://sidatagrun-public-1076756628210.asia-southeast2.run.app/ptn_sn.php?ptn=352</x:v>
      </x:c>
    </x:row>
    <x:row r="1944">
      <x:c r="A1944" s="87" t="n">
        <x:v>1804</x:v>
      </x:c>
      <x:c r="B1944" s="66" t="n">
        <x:v>352</x:v>
      </x:c>
      <x:c r="C1944" s="66" t="str">
        <x:v>UNIVERSITAS TIDAR</x:v>
      </x:c>
      <x:c r="D1944" s="66" t="str">
        <x:v>PTN Akademik</x:v>
      </x:c>
      <x:c r="E1944" s="66" t="str">
        <x:v>13521006</x:v>
      </x:c>
      <x:c r="F1944" s="66" t="str">
        <x:v>PENDIDIKAN ILMU PENGETAHUAN ALAM</x:v>
      </x:c>
      <x:c r="G1944" s="66" t="str">
        <x:v>Sarjana</x:v>
      </x:c>
      <x:c r="H1944" s="87" t="n">
        <x:v>32</x:v>
      </x:c>
      <x:c r="I1944" s="87" t="n">
        <x:v>241</x:v>
      </x:c>
      <x:c r="J1944" s="68" t="n">
        <x:f>IFERROR(H1944/I1944,"")</x:f>
        <x:v>0.13278008298755187</x:v>
      </x:c>
      <x:c r="K1944" s="69" t="n">
        <x:f>IFERROR(I1944/H1944,"")</x:f>
        <x:v>7.53125</x:v>
      </x:c>
      <x:c r="L1944" s="66" t="str">
        <x:f>IF(K1944="","","1 : "&amp;TEXT(K1944,"0.0"))</x:f>
        <x:v>1 : 7.5</x:v>
      </x:c>
      <x:c r="M1944" s="66" t="str">
        <x:f>IF(J1944="","Baru/Tanpa Data",IF(J1944&lt;='Catatan &amp; Sumber'!$B$14,"Sangat Ketat",IF(J1944&lt;='Catatan &amp; Sumber'!$B$15,"Ketat",IF(J1944&lt;='Catatan &amp; Sumber'!$B$16,"Sedang","Relatif Longgar"))))</x:f>
        <x:v>Relatif Longgar</x:v>
      </x:c>
      <x:c r="N1944" s="66" t="str">
        <x:v>Tidak Ada</x:v>
      </x:c>
      <x:c r="O1944" s="66" t="str">
        <x:v>Jawa Tengah</x:v>
      </x:c>
      <x:c r="P1944" s="66" t="str">
        <x:v>Kota Magelang</x:v>
      </x:c>
      <x:c r="Q1944" s="66" t="str">
        <x:v>https://snpmb.id/snbp/daya-tampung-snbp</x:v>
      </x:c>
      <x:c r="R1944" s="66" t="str">
        <x:v>https://sidatagrun-public-1076756628210.asia-southeast2.run.app/ptn_sn.php?ptn=352</x:v>
      </x:c>
    </x:row>
    <x:row r="1945">
      <x:c r="A1945" s="87" t="n">
        <x:v>1285</x:v>
      </x:c>
      <x:c r="B1945" s="66" t="n">
        <x:v>352</x:v>
      </x:c>
      <x:c r="C1945" s="66" t="str">
        <x:v>UNIVERSITAS TIDAR</x:v>
      </x:c>
      <x:c r="D1945" s="66" t="str">
        <x:v>PTN Akademik</x:v>
      </x:c>
      <x:c r="E1945" s="66" t="str">
        <x:v>13521007</x:v>
      </x:c>
      <x:c r="F1945" s="66" t="str">
        <x:v>PENDIDIKAN BIOLOGI</x:v>
      </x:c>
      <x:c r="G1945" s="66" t="str">
        <x:v>Sarjana</x:v>
      </x:c>
      <x:c r="H1945" s="87" t="n">
        <x:v>24</x:v>
      </x:c>
      <x:c r="I1945" s="87" t="n">
        <x:v>254</x:v>
      </x:c>
      <x:c r="J1945" s="68" t="n">
        <x:f>IFERROR(H1945/I1945,"")</x:f>
        <x:v>0.09448818897637795</x:v>
      </x:c>
      <x:c r="K1945" s="69" t="n">
        <x:f>IFERROR(I1945/H1945,"")</x:f>
        <x:v>10.583333333333334</x:v>
      </x:c>
      <x:c r="L1945" s="66" t="str">
        <x:f>IF(K1945="","","1 : "&amp;TEXT(K1945,"0.0"))</x:f>
        <x:v>1 : 10.6</x:v>
      </x:c>
      <x:c r="M1945" s="66" t="str">
        <x:f>IF(J1945="","Baru/Tanpa Data",IF(J1945&lt;='Catatan &amp; Sumber'!$B$14,"Sangat Ketat",IF(J1945&lt;='Catatan &amp; Sumber'!$B$15,"Ketat",IF(J1945&lt;='Catatan &amp; Sumber'!$B$16,"Sedang","Relatif Longgar"))))</x:f>
        <x:v>Sedang</x:v>
      </x:c>
      <x:c r="N1945" s="66" t="str">
        <x:v>Tidak Ada</x:v>
      </x:c>
      <x:c r="O1945" s="66" t="str">
        <x:v>Jawa Tengah</x:v>
      </x:c>
      <x:c r="P1945" s="66" t="str">
        <x:v>Kota Magelang</x:v>
      </x:c>
      <x:c r="Q1945" s="66" t="str">
        <x:v>https://snpmb.id/snbp/daya-tampung-snbp</x:v>
      </x:c>
      <x:c r="R1945" s="66" t="str">
        <x:v>https://sidatagrun-public-1076756628210.asia-southeast2.run.app/ptn_sn.php?ptn=352</x:v>
      </x:c>
    </x:row>
    <x:row r="1946">
      <x:c r="A1946" s="87" t="n">
        <x:v>1498</x:v>
      </x:c>
      <x:c r="B1946" s="66" t="n">
        <x:v>352</x:v>
      </x:c>
      <x:c r="C1946" s="66" t="str">
        <x:v>UNIVERSITAS TIDAR</x:v>
      </x:c>
      <x:c r="D1946" s="66" t="str">
        <x:v>PTN Akademik</x:v>
      </x:c>
      <x:c r="E1946" s="66" t="str">
        <x:v>13521008</x:v>
      </x:c>
      <x:c r="F1946" s="66" t="str">
        <x:v>PENDIDIKAN MATEMATIKA</x:v>
      </x:c>
      <x:c r="G1946" s="66" t="str">
        <x:v>Sarjana</x:v>
      </x:c>
      <x:c r="H1946" s="87" t="n">
        <x:v>32</x:v>
      </x:c>
      <x:c r="I1946" s="87" t="n">
        <x:v>293</x:v>
      </x:c>
      <x:c r="J1946" s="68" t="n">
        <x:f>IFERROR(H1946/I1946,"")</x:f>
        <x:v>0.10921501706484642</x:v>
      </x:c>
      <x:c r="K1946" s="69" t="n">
        <x:f>IFERROR(I1946/H1946,"")</x:f>
        <x:v>9.15625</x:v>
      </x:c>
      <x:c r="L1946" s="66" t="str">
        <x:f>IF(K1946="","","1 : "&amp;TEXT(K1946,"0.0"))</x:f>
        <x:v>1 : 9.2</x:v>
      </x:c>
      <x:c r="M1946" s="66" t="str">
        <x:f>IF(J1946="","Baru/Tanpa Data",IF(J1946&lt;='Catatan &amp; Sumber'!$B$14,"Sangat Ketat",IF(J1946&lt;='Catatan &amp; Sumber'!$B$15,"Ketat",IF(J1946&lt;='Catatan &amp; Sumber'!$B$16,"Sedang","Relatif Longgar"))))</x:f>
        <x:v>Relatif Longgar</x:v>
      </x:c>
      <x:c r="N1946" s="66" t="str">
        <x:v>Tidak Ada</x:v>
      </x:c>
      <x:c r="O1946" s="66" t="str">
        <x:v>Jawa Tengah</x:v>
      </x:c>
      <x:c r="P1946" s="66" t="str">
        <x:v>Kota Magelang</x:v>
      </x:c>
      <x:c r="Q1946" s="66" t="str">
        <x:v>https://snpmb.id/snbp/daya-tampung-snbp</x:v>
      </x:c>
      <x:c r="R1946" s="66" t="str">
        <x:v>https://sidatagrun-public-1076756628210.asia-southeast2.run.app/ptn_sn.php?ptn=352</x:v>
      </x:c>
    </x:row>
    <x:row r="1947">
      <x:c r="A1947" s="87" t="n">
        <x:v>2909</x:v>
      </x:c>
      <x:c r="B1947" s="66" t="n">
        <x:v>352</x:v>
      </x:c>
      <x:c r="C1947" s="66" t="str">
        <x:v>UNIVERSITAS TIDAR</x:v>
      </x:c>
      <x:c r="D1947" s="66" t="str">
        <x:v>PTN Akademik</x:v>
      </x:c>
      <x:c r="E1947" s="66" t="str">
        <x:v>13521009</x:v>
      </x:c>
      <x:c r="F1947" s="66" t="str">
        <x:v>AKUAKULTUR</x:v>
      </x:c>
      <x:c r="G1947" s="66" t="str">
        <x:v>Sarjana</x:v>
      </x:c>
      <x:c r="H1947" s="87" t="n">
        <x:v>45</x:v>
      </x:c>
      <x:c r="I1947" s="87" t="n">
        <x:v>163</x:v>
      </x:c>
      <x:c r="J1947" s="68" t="n">
        <x:f>IFERROR(H1947/I1947,"")</x:f>
        <x:v>0.27607361963190186</x:v>
      </x:c>
      <x:c r="K1947" s="69" t="n">
        <x:f>IFERROR(I1947/H1947,"")</x:f>
        <x:v>3.6222222222222222</x:v>
      </x:c>
      <x:c r="L1947" s="66" t="str">
        <x:f>IF(K1947="","","1 : "&amp;TEXT(K1947,"0.0"))</x:f>
        <x:v>1 : 3.6</x:v>
      </x:c>
      <x:c r="M1947" s="66" t="str">
        <x:f>IF(J1947="","Baru/Tanpa Data",IF(J1947&lt;='Catatan &amp; Sumber'!$B$14,"Sangat Ketat",IF(J1947&lt;='Catatan &amp; Sumber'!$B$15,"Ketat",IF(J1947&lt;='Catatan &amp; Sumber'!$B$16,"Sedang","Relatif Longgar"))))</x:f>
        <x:v>Relatif Longgar</x:v>
      </x:c>
      <x:c r="N1947" s="66" t="str">
        <x:v>Tidak Ada</x:v>
      </x:c>
      <x:c r="O1947" s="66" t="str">
        <x:v>Jawa Tengah</x:v>
      </x:c>
      <x:c r="P1947" s="66" t="str">
        <x:v>Kota Magelang</x:v>
      </x:c>
      <x:c r="Q1947" s="66" t="str">
        <x:v>https://snpmb.id/snbp/daya-tampung-snbp</x:v>
      </x:c>
      <x:c r="R1947" s="66" t="str">
        <x:v>https://sidatagrun-public-1076756628210.asia-southeast2.run.app/ptn_sn.php?ptn=352</x:v>
      </x:c>
    </x:row>
    <x:row r="1948">
      <x:c r="A1948" s="87" t="n">
        <x:v>1133</x:v>
      </x:c>
      <x:c r="B1948" s="66" t="n">
        <x:v>352</x:v>
      </x:c>
      <x:c r="C1948" s="66" t="str">
        <x:v>UNIVERSITAS TIDAR</x:v>
      </x:c>
      <x:c r="D1948" s="66" t="str">
        <x:v>PTN Akademik</x:v>
      </x:c>
      <x:c r="E1948" s="66" t="str">
        <x:v>13521010</x:v>
      </x:c>
      <x:c r="F1948" s="66" t="str">
        <x:v>EKONOMI PEMBANGUNAN</x:v>
      </x:c>
      <x:c r="G1948" s="66" t="str">
        <x:v>Sarjana</x:v>
      </x:c>
      <x:c r="H1948" s="87" t="n">
        <x:v>40</x:v>
      </x:c>
      <x:c r="I1948" s="87" t="n">
        <x:v>465</x:v>
      </x:c>
      <x:c r="J1948" s="68" t="n">
        <x:f>IFERROR(H1948/I1948,"")</x:f>
        <x:v>0.08602150537634409</x:v>
      </x:c>
      <x:c r="K1948" s="69" t="n">
        <x:f>IFERROR(I1948/H1948,"")</x:f>
        <x:v>11.625</x:v>
      </x:c>
      <x:c r="L1948" s="66" t="str">
        <x:f>IF(K1948="","","1 : "&amp;TEXT(K1948,"0.0"))</x:f>
        <x:v>1 : 11.6</x:v>
      </x:c>
      <x:c r="M1948" s="66" t="str">
        <x:f>IF(J1948="","Baru/Tanpa Data",IF(J1948&lt;='Catatan &amp; Sumber'!$B$14,"Sangat Ketat",IF(J1948&lt;='Catatan &amp; Sumber'!$B$15,"Ketat",IF(J1948&lt;='Catatan &amp; Sumber'!$B$16,"Sedang","Relatif Longgar"))))</x:f>
        <x:v>Sedang</x:v>
      </x:c>
      <x:c r="N1948" s="66" t="str">
        <x:v>Tidak Ada</x:v>
      </x:c>
      <x:c r="O1948" s="66" t="str">
        <x:v>Jawa Tengah</x:v>
      </x:c>
      <x:c r="P1948" s="66" t="str">
        <x:v>Kota Magelang</x:v>
      </x:c>
      <x:c r="Q1948" s="66" t="str">
        <x:v>https://snpmb.id/snbp/daya-tampung-snbp</x:v>
      </x:c>
      <x:c r="R1948" s="66" t="str">
        <x:v>https://sidatagrun-public-1076756628210.asia-southeast2.run.app/ptn_sn.php?ptn=352</x:v>
      </x:c>
    </x:row>
    <x:row r="1949">
      <x:c r="A1949" s="87" t="n">
        <x:v>1016</x:v>
      </x:c>
      <x:c r="B1949" s="66" t="n">
        <x:v>352</x:v>
      </x:c>
      <x:c r="C1949" s="66" t="str">
        <x:v>UNIVERSITAS TIDAR</x:v>
      </x:c>
      <x:c r="D1949" s="66" t="str">
        <x:v>PTN Akademik</x:v>
      </x:c>
      <x:c r="E1949" s="66" t="str">
        <x:v>13521011</x:v>
      </x:c>
      <x:c r="F1949" s="66" t="str">
        <x:v>ILMU ADMINISTRASI NEGARA</x:v>
      </x:c>
      <x:c r="G1949" s="66" t="str">
        <x:v>Sarjana</x:v>
      </x:c>
      <x:c r="H1949" s="87" t="n">
        <x:v>50</x:v>
      </x:c>
      <x:c r="I1949" s="87" t="n">
        <x:v>633</x:v>
      </x:c>
      <x:c r="J1949" s="68" t="n">
        <x:f>IFERROR(H1949/I1949,"")</x:f>
        <x:v>0.07898894154818326</x:v>
      </x:c>
      <x:c r="K1949" s="69" t="n">
        <x:f>IFERROR(I1949/H1949,"")</x:f>
        <x:v>12.66</x:v>
      </x:c>
      <x:c r="L1949" s="66" t="str">
        <x:f>IF(K1949="","","1 : "&amp;TEXT(K1949,"0.0"))</x:f>
        <x:v>1 : 12.7</x:v>
      </x:c>
      <x:c r="M1949" s="66" t="str">
        <x:f>IF(J1949="","Baru/Tanpa Data",IF(J1949&lt;='Catatan &amp; Sumber'!$B$14,"Sangat Ketat",IF(J1949&lt;='Catatan &amp; Sumber'!$B$15,"Ketat",IF(J1949&lt;='Catatan &amp; Sumber'!$B$16,"Sedang","Relatif Longgar"))))</x:f>
        <x:v>Sedang</x:v>
      </x:c>
      <x:c r="N1949" s="66" t="str">
        <x:v>Tidak Ada</x:v>
      </x:c>
      <x:c r="O1949" s="66" t="str">
        <x:v>Jawa Tengah</x:v>
      </x:c>
      <x:c r="P1949" s="66" t="str">
        <x:v>Kota Magelang</x:v>
      </x:c>
      <x:c r="Q1949" s="66" t="str">
        <x:v>https://snpmb.id/snbp/daya-tampung-snbp</x:v>
      </x:c>
      <x:c r="R1949" s="66" t="str">
        <x:v>https://sidatagrun-public-1076756628210.asia-southeast2.run.app/ptn_sn.php?ptn=352</x:v>
      </x:c>
    </x:row>
    <x:row r="1950">
      <x:c r="A1950" s="87" t="n">
        <x:v>1507</x:v>
      </x:c>
      <x:c r="B1950" s="66" t="n">
        <x:v>352</x:v>
      </x:c>
      <x:c r="C1950" s="66" t="str">
        <x:v>UNIVERSITAS TIDAR</x:v>
      </x:c>
      <x:c r="D1950" s="66" t="str">
        <x:v>PTN Akademik</x:v>
      </x:c>
      <x:c r="E1950" s="66" t="str">
        <x:v>13521012</x:v>
      </x:c>
      <x:c r="F1950" s="66" t="str">
        <x:v>PENDIDIKAN BAHASA INGGRIS</x:v>
      </x:c>
      <x:c r="G1950" s="66" t="str">
        <x:v>Sarjana</x:v>
      </x:c>
      <x:c r="H1950" s="87" t="n">
        <x:v>40</x:v>
      </x:c>
      <x:c r="I1950" s="87" t="n">
        <x:v>364</x:v>
      </x:c>
      <x:c r="J1950" s="68" t="n">
        <x:f>IFERROR(H1950/I1950,"")</x:f>
        <x:v>0.10989010989010989</x:v>
      </x:c>
      <x:c r="K1950" s="69" t="n">
        <x:f>IFERROR(I1950/H1950,"")</x:f>
        <x:v>9.1</x:v>
      </x:c>
      <x:c r="L1950" s="66" t="str">
        <x:f>IF(K1950="","","1 : "&amp;TEXT(K1950,"0.0"))</x:f>
        <x:v>1 : 9.1</x:v>
      </x:c>
      <x:c r="M1950" s="66" t="str">
        <x:f>IF(J1950="","Baru/Tanpa Data",IF(J1950&lt;='Catatan &amp; Sumber'!$B$14,"Sangat Ketat",IF(J1950&lt;='Catatan &amp; Sumber'!$B$15,"Ketat",IF(J1950&lt;='Catatan &amp; Sumber'!$B$16,"Sedang","Relatif Longgar"))))</x:f>
        <x:v>Relatif Longgar</x:v>
      </x:c>
      <x:c r="N1950" s="66" t="str">
        <x:v>Tidak Ada</x:v>
      </x:c>
      <x:c r="O1950" s="66" t="str">
        <x:v>Jawa Tengah</x:v>
      </x:c>
      <x:c r="P1950" s="66" t="str">
        <x:v>Kota Magelang</x:v>
      </x:c>
      <x:c r="Q1950" s="66" t="str">
        <x:v>https://snpmb.id/snbp/daya-tampung-snbp</x:v>
      </x:c>
      <x:c r="R1950" s="66" t="str">
        <x:v>https://sidatagrun-public-1076756628210.asia-southeast2.run.app/ptn_sn.php?ptn=352</x:v>
      </x:c>
    </x:row>
    <x:row r="1951">
      <x:c r="A1951" s="87" t="n">
        <x:v>837</x:v>
      </x:c>
      <x:c r="B1951" s="66" t="n">
        <x:v>352</x:v>
      </x:c>
      <x:c r="C1951" s="66" t="str">
        <x:v>UNIVERSITAS TIDAR</x:v>
      </x:c>
      <x:c r="D1951" s="66" t="str">
        <x:v>PTN Akademik</x:v>
      </x:c>
      <x:c r="E1951" s="66" t="str">
        <x:v>13521013</x:v>
      </x:c>
      <x:c r="F1951" s="66" t="str">
        <x:v>PENDIDIKAN BAHASA DAN SASTRA INDONESIA</x:v>
      </x:c>
      <x:c r="G1951" s="66" t="str">
        <x:v>Sarjana</x:v>
      </x:c>
      <x:c r="H1951" s="87" t="n">
        <x:v>40</x:v>
      </x:c>
      <x:c r="I1951" s="87" t="n">
        <x:v>584</x:v>
      </x:c>
      <x:c r="J1951" s="68" t="n">
        <x:f>IFERROR(H1951/I1951,"")</x:f>
        <x:v>0.0684931506849315</x:v>
      </x:c>
      <x:c r="K1951" s="69" t="n">
        <x:f>IFERROR(I1951/H1951,"")</x:f>
        <x:v>14.6</x:v>
      </x:c>
      <x:c r="L1951" s="66" t="str">
        <x:f>IF(K1951="","","1 : "&amp;TEXT(K1951,"0.0"))</x:f>
        <x:v>1 : 14.6</x:v>
      </x:c>
      <x:c r="M1951" s="66" t="str">
        <x:f>IF(J1951="","Baru/Tanpa Data",IF(J1951&lt;='Catatan &amp; Sumber'!$B$14,"Sangat Ketat",IF(J1951&lt;='Catatan &amp; Sumber'!$B$15,"Ketat",IF(J1951&lt;='Catatan &amp; Sumber'!$B$16,"Sedang","Relatif Longgar"))))</x:f>
        <x:v>Sedang</x:v>
      </x:c>
      <x:c r="N1951" s="66" t="str">
        <x:v>Tidak Ada</x:v>
      </x:c>
      <x:c r="O1951" s="66" t="str">
        <x:v>Jawa Tengah</x:v>
      </x:c>
      <x:c r="P1951" s="66" t="str">
        <x:v>Kota Magelang</x:v>
      </x:c>
      <x:c r="Q1951" s="66" t="str">
        <x:v>https://snpmb.id/snbp/daya-tampung-snbp</x:v>
      </x:c>
      <x:c r="R1951" s="66" t="str">
        <x:v>https://sidatagrun-public-1076756628210.asia-southeast2.run.app/ptn_sn.php?ptn=352</x:v>
      </x:c>
    </x:row>
    <x:row r="1952">
      <x:c r="A1952" s="87" t="n">
        <x:v>1138</x:v>
      </x:c>
      <x:c r="B1952" s="66" t="n">
        <x:v>352</x:v>
      </x:c>
      <x:c r="C1952" s="66" t="str">
        <x:v>UNIVERSITAS TIDAR</x:v>
      </x:c>
      <x:c r="D1952" s="66" t="str">
        <x:v>PTN Akademik</x:v>
      </x:c>
      <x:c r="E1952" s="66" t="str">
        <x:v>13521014</x:v>
      </x:c>
      <x:c r="F1952" s="66" t="str">
        <x:v>HUKUM</x:v>
      </x:c>
      <x:c r="G1952" s="66" t="str">
        <x:v>Sarjana</x:v>
      </x:c>
      <x:c r="H1952" s="87" t="n">
        <x:v>50</x:v>
      </x:c>
      <x:c r="I1952" s="87" t="n">
        <x:v>581</x:v>
      </x:c>
      <x:c r="J1952" s="68" t="n">
        <x:f>IFERROR(H1952/I1952,"")</x:f>
        <x:v>0.08605851979345955</x:v>
      </x:c>
      <x:c r="K1952" s="69" t="n">
        <x:f>IFERROR(I1952/H1952,"")</x:f>
        <x:v>11.62</x:v>
      </x:c>
      <x:c r="L1952" s="66" t="str">
        <x:f>IF(K1952="","","1 : "&amp;TEXT(K1952,"0.0"))</x:f>
        <x:v>1 : 11.6</x:v>
      </x:c>
      <x:c r="M1952" s="66" t="str">
        <x:f>IF(J1952="","Baru/Tanpa Data",IF(J1952&lt;='Catatan &amp; Sumber'!$B$14,"Sangat Ketat",IF(J1952&lt;='Catatan &amp; Sumber'!$B$15,"Ketat",IF(J1952&lt;='Catatan &amp; Sumber'!$B$16,"Sedang","Relatif Longgar"))))</x:f>
        <x:v>Sedang</x:v>
      </x:c>
      <x:c r="N1952" s="66" t="str">
        <x:v>Tidak Ada</x:v>
      </x:c>
      <x:c r="O1952" s="66" t="str">
        <x:v>Jawa Tengah</x:v>
      </x:c>
      <x:c r="P1952" s="66" t="str">
        <x:v>Kota Magelang</x:v>
      </x:c>
      <x:c r="Q1952" s="66" t="str">
        <x:v>https://snpmb.id/snbp/daya-tampung-snbp</x:v>
      </x:c>
      <x:c r="R1952" s="66" t="str">
        <x:v>https://sidatagrun-public-1076756628210.asia-southeast2.run.app/ptn_sn.php?ptn=352</x:v>
      </x:c>
    </x:row>
    <x:row r="1953">
      <x:c r="A1953" s="87" t="n">
        <x:v>546</x:v>
      </x:c>
      <x:c r="B1953" s="66" t="n">
        <x:v>352</x:v>
      </x:c>
      <x:c r="C1953" s="66" t="str">
        <x:v>UNIVERSITAS TIDAR</x:v>
      </x:c>
      <x:c r="D1953" s="66" t="str">
        <x:v>PTN Akademik</x:v>
      </x:c>
      <x:c r="E1953" s="66" t="str">
        <x:v>13521015</x:v>
      </x:c>
      <x:c r="F1953" s="66" t="str">
        <x:v>MANAJEMEN</x:v>
      </x:c>
      <x:c r="G1953" s="66" t="str">
        <x:v>Sarjana</x:v>
      </x:c>
      <x:c r="H1953" s="87" t="n">
        <x:v>40</x:v>
      </x:c>
      <x:c r="I1953" s="87" t="n">
        <x:v>742</x:v>
      </x:c>
      <x:c r="J1953" s="68" t="n">
        <x:f>IFERROR(H1953/I1953,"")</x:f>
        <x:v>0.05390835579514825</x:v>
      </x:c>
      <x:c r="K1953" s="69" t="n">
        <x:f>IFERROR(I1953/H1953,"")</x:f>
        <x:v>18.55</x:v>
      </x:c>
      <x:c r="L1953" s="66" t="str">
        <x:f>IF(K1953="","","1 : "&amp;TEXT(K1953,"0.0"))</x:f>
        <x:v>1 : 18.6</x:v>
      </x:c>
      <x:c r="M1953" s="66" t="str">
        <x:f>IF(J1953="","Baru/Tanpa Data",IF(J1953&lt;='Catatan &amp; Sumber'!$B$14,"Sangat Ketat",IF(J1953&lt;='Catatan &amp; Sumber'!$B$15,"Ketat",IF(J1953&lt;='Catatan &amp; Sumber'!$B$16,"Sedang","Relatif Longgar"))))</x:f>
        <x:v>Sedang</x:v>
      </x:c>
      <x:c r="N1953" s="66" t="str">
        <x:v>Tidak Ada</x:v>
      </x:c>
      <x:c r="O1953" s="66" t="str">
        <x:v>Jawa Tengah</x:v>
      </x:c>
      <x:c r="P1953" s="66" t="str">
        <x:v>Kota Magelang</x:v>
      </x:c>
      <x:c r="Q1953" s="66" t="str">
        <x:v>https://snpmb.id/snbp/daya-tampung-snbp</x:v>
      </x:c>
      <x:c r="R1953" s="66" t="str">
        <x:v>https://sidatagrun-public-1076756628210.asia-southeast2.run.app/ptn_sn.php?ptn=352</x:v>
      </x:c>
    </x:row>
    <x:row r="1954">
      <x:c r="A1954" s="87" t="n">
        <x:v>706</x:v>
      </x:c>
      <x:c r="B1954" s="66" t="n">
        <x:v>352</x:v>
      </x:c>
      <x:c r="C1954" s="66" t="str">
        <x:v>UNIVERSITAS TIDAR</x:v>
      </x:c>
      <x:c r="D1954" s="66" t="str">
        <x:v>PTN Akademik</x:v>
      </x:c>
      <x:c r="E1954" s="66" t="str">
        <x:v>13521016</x:v>
      </x:c>
      <x:c r="F1954" s="66" t="str">
        <x:v>ILMU KOMUNIKASI</x:v>
      </x:c>
      <x:c r="G1954" s="66" t="str">
        <x:v>Sarjana</x:v>
      </x:c>
      <x:c r="H1954" s="87" t="n">
        <x:v>46</x:v>
      </x:c>
      <x:c r="I1954" s="87" t="n">
        <x:v>742</x:v>
      </x:c>
      <x:c r="J1954" s="68" t="n">
        <x:f>IFERROR(H1954/I1954,"")</x:f>
        <x:v>0.06199460916442048</x:v>
      </x:c>
      <x:c r="K1954" s="69" t="n">
        <x:f>IFERROR(I1954/H1954,"")</x:f>
        <x:v>16.130434782608695</x:v>
      </x:c>
      <x:c r="L1954" s="66" t="str">
        <x:f>IF(K1954="","","1 : "&amp;TEXT(K1954,"0.0"))</x:f>
        <x:v>1 : 16.1</x:v>
      </x:c>
      <x:c r="M1954" s="66" t="str">
        <x:f>IF(J1954="","Baru/Tanpa Data",IF(J1954&lt;='Catatan &amp; Sumber'!$B$14,"Sangat Ketat",IF(J1954&lt;='Catatan &amp; Sumber'!$B$15,"Ketat",IF(J1954&lt;='Catatan &amp; Sumber'!$B$16,"Sedang","Relatif Longgar"))))</x:f>
        <x:v>Sedang</x:v>
      </x:c>
      <x:c r="N1954" s="66" t="str">
        <x:v>Tidak Ada</x:v>
      </x:c>
      <x:c r="O1954" s="66" t="str">
        <x:v>Jawa Tengah</x:v>
      </x:c>
      <x:c r="P1954" s="66" t="str">
        <x:v>Kota Magelang</x:v>
      </x:c>
      <x:c r="Q1954" s="66" t="str">
        <x:v>https://snpmb.id/snbp/daya-tampung-snbp</x:v>
      </x:c>
      <x:c r="R1954" s="66" t="str">
        <x:v>https://sidatagrun-public-1076756628210.asia-southeast2.run.app/ptn_sn.php?ptn=352</x:v>
      </x:c>
    </x:row>
    <x:row r="1955">
      <x:c r="A1955" s="87" t="n">
        <x:v>683</x:v>
      </x:c>
      <x:c r="B1955" s="66" t="n">
        <x:v>352</x:v>
      </x:c>
      <x:c r="C1955" s="66" t="str">
        <x:v>UNIVERSITAS TIDAR</x:v>
      </x:c>
      <x:c r="D1955" s="66" t="str">
        <x:v>PTN Akademik</x:v>
      </x:c>
      <x:c r="E1955" s="66" t="str">
        <x:v>13521017</x:v>
      </x:c>
      <x:c r="F1955" s="66" t="str">
        <x:v>AKUNTANSI</x:v>
      </x:c>
      <x:c r="G1955" s="66" t="str">
        <x:v>Sarjana</x:v>
      </x:c>
      <x:c r="H1955" s="87" t="n">
        <x:v>40</x:v>
      </x:c>
      <x:c r="I1955" s="87" t="n">
        <x:v>655</x:v>
      </x:c>
      <x:c r="J1955" s="68" t="n">
        <x:f>IFERROR(H1955/I1955,"")</x:f>
        <x:v>0.061068702290076333</x:v>
      </x:c>
      <x:c r="K1955" s="69" t="n">
        <x:f>IFERROR(I1955/H1955,"")</x:f>
        <x:v>16.375</x:v>
      </x:c>
      <x:c r="L1955" s="66" t="str">
        <x:f>IF(K1955="","","1 : "&amp;TEXT(K1955,"0.0"))</x:f>
        <x:v>1 : 16.4</x:v>
      </x:c>
      <x:c r="M1955" s="66" t="str">
        <x:f>IF(J1955="","Baru/Tanpa Data",IF(J1955&lt;='Catatan &amp; Sumber'!$B$14,"Sangat Ketat",IF(J1955&lt;='Catatan &amp; Sumber'!$B$15,"Ketat",IF(J1955&lt;='Catatan &amp; Sumber'!$B$16,"Sedang","Relatif Longgar"))))</x:f>
        <x:v>Sedang</x:v>
      </x:c>
      <x:c r="N1955" s="66" t="str">
        <x:v>Tidak Ada</x:v>
      </x:c>
      <x:c r="O1955" s="66" t="str">
        <x:v>Jawa Tengah</x:v>
      </x:c>
      <x:c r="P1955" s="66" t="str">
        <x:v>Kota Magelang</x:v>
      </x:c>
      <x:c r="Q1955" s="66" t="str">
        <x:v>https://snpmb.id/snbp/daya-tampung-snbp</x:v>
      </x:c>
      <x:c r="R1955" s="66" t="str">
        <x:v>https://sidatagrun-public-1076756628210.asia-southeast2.run.app/ptn_sn.php?ptn=352</x:v>
      </x:c>
    </x:row>
    <x:row r="1956">
      <x:c r="A1956" s="87" t="n">
        <x:v>996</x:v>
      </x:c>
      <x:c r="B1956" s="66" t="n">
        <x:v>352</x:v>
      </x:c>
      <x:c r="C1956" s="66" t="str">
        <x:v>UNIVERSITAS TIDAR</x:v>
      </x:c>
      <x:c r="D1956" s="66" t="str">
        <x:v>PTN Akademik</x:v>
      </x:c>
      <x:c r="E1956" s="66" t="str">
        <x:v>13521020</x:v>
      </x:c>
      <x:c r="F1956" s="66" t="str">
        <x:v>PARIWISATA</x:v>
      </x:c>
      <x:c r="G1956" s="66" t="str">
        <x:v>Sarjana</x:v>
      </x:c>
      <x:c r="H1956" s="87" t="n">
        <x:v>35</x:v>
      </x:c>
      <x:c r="I1956" s="87" t="n">
        <x:v>450</x:v>
      </x:c>
      <x:c r="J1956" s="68" t="n">
        <x:f>IFERROR(H1956/I1956,"")</x:f>
        <x:v>0.07777777777777778</x:v>
      </x:c>
      <x:c r="K1956" s="69" t="n">
        <x:f>IFERROR(I1956/H1956,"")</x:f>
        <x:v>12.857142857142858</x:v>
      </x:c>
      <x:c r="L1956" s="66" t="str">
        <x:f>IF(K1956="","","1 : "&amp;TEXT(K1956,"0.0"))</x:f>
        <x:v>1 : 12.9</x:v>
      </x:c>
      <x:c r="M1956" s="66" t="str">
        <x:f>IF(J1956="","Baru/Tanpa Data",IF(J1956&lt;='Catatan &amp; Sumber'!$B$14,"Sangat Ketat",IF(J1956&lt;='Catatan &amp; Sumber'!$B$15,"Ketat",IF(J1956&lt;='Catatan &amp; Sumber'!$B$16,"Sedang","Relatif Longgar"))))</x:f>
        <x:v>Sedang</x:v>
      </x:c>
      <x:c r="N1956" s="66" t="str">
        <x:v>Tidak Ada</x:v>
      </x:c>
      <x:c r="O1956" s="66" t="str">
        <x:v>Jawa Tengah</x:v>
      </x:c>
      <x:c r="P1956" s="66" t="str">
        <x:v>Kota Magelang</x:v>
      </x:c>
      <x:c r="Q1956" s="66" t="str">
        <x:v>https://snpmb.id/snbp/daya-tampung-snbp</x:v>
      </x:c>
      <x:c r="R1956" s="66" t="str">
        <x:v>https://sidatagrun-public-1076756628210.asia-southeast2.run.app/ptn_sn.php?ptn=352</x:v>
      </x:c>
    </x:row>
    <x:row r="1957">
      <x:c r="A1957" s="87" t="n">
        <x:v>822</x:v>
      </x:c>
      <x:c r="B1957" s="66" t="n">
        <x:v>352</x:v>
      </x:c>
      <x:c r="C1957" s="66" t="str">
        <x:v>UNIVERSITAS TIDAR</x:v>
      </x:c>
      <x:c r="D1957" s="66" t="str">
        <x:v>PTN Akademik</x:v>
      </x:c>
      <x:c r="E1957" s="66" t="str">
        <x:v>13521021</x:v>
      </x:c>
      <x:c r="F1957" s="66" t="str">
        <x:v>TEKNOLOGI PANGAN</x:v>
      </x:c>
      <x:c r="G1957" s="66" t="str">
        <x:v>Sarjana</x:v>
      </x:c>
      <x:c r="H1957" s="87" t="n">
        <x:v>30</x:v>
      </x:c>
      <x:c r="I1957" s="87" t="n">
        <x:v>443</x:v>
      </x:c>
      <x:c r="J1957" s="68" t="n">
        <x:f>IFERROR(H1957/I1957,"")</x:f>
        <x:v>0.06772009029345373</x:v>
      </x:c>
      <x:c r="K1957" s="69" t="n">
        <x:f>IFERROR(I1957/H1957,"")</x:f>
        <x:v>14.766666666666667</x:v>
      </x:c>
      <x:c r="L1957" s="66" t="str">
        <x:f>IF(K1957="","","1 : "&amp;TEXT(K1957,"0.0"))</x:f>
        <x:v>1 : 14.8</x:v>
      </x:c>
      <x:c r="M1957" s="66" t="str">
        <x:f>IF(J1957="","Baru/Tanpa Data",IF(J1957&lt;='Catatan &amp; Sumber'!$B$14,"Sangat Ketat",IF(J1957&lt;='Catatan &amp; Sumber'!$B$15,"Ketat",IF(J1957&lt;='Catatan &amp; Sumber'!$B$16,"Sedang","Relatif Longgar"))))</x:f>
        <x:v>Sedang</x:v>
      </x:c>
      <x:c r="N1957" s="66" t="str">
        <x:v>Tidak Ada</x:v>
      </x:c>
      <x:c r="O1957" s="66" t="str">
        <x:v>Jawa Tengah</x:v>
      </x:c>
      <x:c r="P1957" s="66" t="str">
        <x:v>Kota Magelang</x:v>
      </x:c>
      <x:c r="Q1957" s="66" t="str">
        <x:v>https://snpmb.id/snbp/daya-tampung-snbp</x:v>
      </x:c>
      <x:c r="R1957" s="66" t="str">
        <x:v>https://sidatagrun-public-1076756628210.asia-southeast2.run.app/ptn_sn.php?ptn=352</x:v>
      </x:c>
    </x:row>
    <x:row r="1958">
      <x:c r="A1958" s="87" t="n">
        <x:v>292</x:v>
      </x:c>
      <x:c r="B1958" s="66" t="n">
        <x:v>352</x:v>
      </x:c>
      <x:c r="C1958" s="66" t="str">
        <x:v>UNIVERSITAS TIDAR</x:v>
      </x:c>
      <x:c r="D1958" s="66" t="str">
        <x:v>PTN Akademik</x:v>
      </x:c>
      <x:c r="E1958" s="66" t="str">
        <x:v>13521022</x:v>
      </x:c>
      <x:c r="F1958" s="66" t="str">
        <x:v>TEKNOLOGI INFORMASI</x:v>
      </x:c>
      <x:c r="G1958" s="66" t="str">
        <x:v>Sarjana</x:v>
      </x:c>
      <x:c r="H1958" s="87" t="n">
        <x:v>16</x:v>
      </x:c>
      <x:c r="I1958" s="87" t="n">
        <x:v>379</x:v>
      </x:c>
      <x:c r="J1958" s="68" t="n">
        <x:f>IFERROR(H1958/I1958,"")</x:f>
        <x:v>0.04221635883905013</x:v>
      </x:c>
      <x:c r="K1958" s="69" t="n">
        <x:f>IFERROR(I1958/H1958,"")</x:f>
        <x:v>23.6875</x:v>
      </x:c>
      <x:c r="L1958" s="66" t="str">
        <x:f>IF(K1958="","","1 : "&amp;TEXT(K1958,"0.0"))</x:f>
        <x:v>1 : 23.7</x:v>
      </x:c>
      <x:c r="M1958" s="66" t="str">
        <x:f>IF(J1958="","Baru/Tanpa Data",IF(J1958&lt;='Catatan &amp; Sumber'!$B$14,"Sangat Ketat",IF(J1958&lt;='Catatan &amp; Sumber'!$B$15,"Ketat",IF(J1958&lt;='Catatan &amp; Sumber'!$B$16,"Sedang","Relatif Longgar"))))</x:f>
        <x:v>Ketat</x:v>
      </x:c>
      <x:c r="N1958" s="66" t="str">
        <x:v>Tidak Ada</x:v>
      </x:c>
      <x:c r="O1958" s="66" t="str">
        <x:v>Jawa Tengah</x:v>
      </x:c>
      <x:c r="P1958" s="66" t="str">
        <x:v>Kota Magelang</x:v>
      </x:c>
      <x:c r="Q1958" s="66" t="str">
        <x:v>https://snpmb.id/snbp/daya-tampung-snbp</x:v>
      </x:c>
      <x:c r="R1958" s="66" t="str">
        <x:v>https://sidatagrun-public-1076756628210.asia-southeast2.run.app/ptn_sn.php?ptn=352</x:v>
      </x:c>
    </x:row>
    <x:row r="1959">
      <x:c r="A1959" s="87" t="n">
        <x:v>2277</x:v>
      </x:c>
      <x:c r="B1959" s="66" t="n">
        <x:v>352</x:v>
      </x:c>
      <x:c r="C1959" s="66" t="str">
        <x:v>UNIVERSITAS TIDAR</x:v>
      </x:c>
      <x:c r="D1959" s="66" t="str">
        <x:v>PTN Akademik</x:v>
      </x:c>
      <x:c r="E1959" s="66" t="str">
        <x:v>13521023</x:v>
      </x:c>
      <x:c r="F1959" s="66" t="str">
        <x:v>TEKNIK MEKATRONIKA</x:v>
      </x:c>
      <x:c r="G1959" s="66" t="str">
        <x:v>Sarjana</x:v>
      </x:c>
      <x:c r="H1959" s="87" t="n">
        <x:v>16</x:v>
      </x:c>
      <x:c r="I1959" s="87" t="n">
        <x:v>88</x:v>
      </x:c>
      <x:c r="J1959" s="68" t="n">
        <x:f>IFERROR(H1959/I1959,"")</x:f>
        <x:v>0.18181818181818182</x:v>
      </x:c>
      <x:c r="K1959" s="69" t="n">
        <x:f>IFERROR(I1959/H1959,"")</x:f>
        <x:v>5.5</x:v>
      </x:c>
      <x:c r="L1959" s="66" t="str">
        <x:f>IF(K1959="","","1 : "&amp;TEXT(K1959,"0.0"))</x:f>
        <x:v>1 : 5.5</x:v>
      </x:c>
      <x:c r="M1959" s="66" t="str">
        <x:f>IF(J1959="","Baru/Tanpa Data",IF(J1959&lt;='Catatan &amp; Sumber'!$B$14,"Sangat Ketat",IF(J1959&lt;='Catatan &amp; Sumber'!$B$15,"Ketat",IF(J1959&lt;='Catatan &amp; Sumber'!$B$16,"Sedang","Relatif Longgar"))))</x:f>
        <x:v>Relatif Longgar</x:v>
      </x:c>
      <x:c r="N1959" s="66" t="str">
        <x:v>Tidak Ada</x:v>
      </x:c>
      <x:c r="O1959" s="66" t="str">
        <x:v>Jawa Tengah</x:v>
      </x:c>
      <x:c r="P1959" s="66" t="str">
        <x:v>Kota Magelang</x:v>
      </x:c>
      <x:c r="Q1959" s="66" t="str">
        <x:v>https://snpmb.id/snbp/daya-tampung-snbp</x:v>
      </x:c>
      <x:c r="R1959" s="66" t="str">
        <x:v>https://sidatagrun-public-1076756628210.asia-southeast2.run.app/ptn_sn.php?ptn=352</x:v>
      </x:c>
    </x:row>
    <x:row r="1960">
      <x:c r="A1960" s="87" t="n">
        <x:v>372</x:v>
      </x:c>
      <x:c r="B1960" s="66" t="n">
        <x:v>352</x:v>
      </x:c>
      <x:c r="C1960" s="66" t="str">
        <x:v>UNIVERSITAS TIDAR</x:v>
      </x:c>
      <x:c r="D1960" s="66" t="str">
        <x:v>PTN Akademik</x:v>
      </x:c>
      <x:c r="E1960" s="66" t="str">
        <x:v>13521024</x:v>
      </x:c>
      <x:c r="F1960" s="66" t="str">
        <x:v>TEKNIK INDUSTRI</x:v>
      </x:c>
      <x:c r="G1960" s="66" t="str">
        <x:v>Sarjana</x:v>
      </x:c>
      <x:c r="H1960" s="87" t="n">
        <x:v>16</x:v>
      </x:c>
      <x:c r="I1960" s="87" t="n">
        <x:v>352</x:v>
      </x:c>
      <x:c r="J1960" s="68" t="n">
        <x:f>IFERROR(H1960/I1960,"")</x:f>
        <x:v>0.045454545454545456</x:v>
      </x:c>
      <x:c r="K1960" s="69" t="n">
        <x:f>IFERROR(I1960/H1960,"")</x:f>
        <x:v>22</x:v>
      </x:c>
      <x:c r="L1960" s="66" t="str">
        <x:f>IF(K1960="","","1 : "&amp;TEXT(K1960,"0.0"))</x:f>
        <x:v>1 : 22.0</x:v>
      </x:c>
      <x:c r="M1960" s="66" t="str">
        <x:f>IF(J1960="","Baru/Tanpa Data",IF(J1960&lt;='Catatan &amp; Sumber'!$B$14,"Sangat Ketat",IF(J1960&lt;='Catatan &amp; Sumber'!$B$15,"Ketat",IF(J1960&lt;='Catatan &amp; Sumber'!$B$16,"Sedang","Relatif Longgar"))))</x:f>
        <x:v>Ketat</x:v>
      </x:c>
      <x:c r="N1960" s="66" t="str">
        <x:v>Tidak Ada</x:v>
      </x:c>
      <x:c r="O1960" s="66" t="str">
        <x:v>Jawa Tengah</x:v>
      </x:c>
      <x:c r="P1960" s="66" t="str">
        <x:v>Kota Magelang</x:v>
      </x:c>
      <x:c r="Q1960" s="66" t="str">
        <x:v>https://snpmb.id/snbp/daya-tampung-snbp</x:v>
      </x:c>
      <x:c r="R1960" s="66" t="str">
        <x:v>https://sidatagrun-public-1076756628210.asia-southeast2.run.app/ptn_sn.php?ptn=352</x:v>
      </x:c>
    </x:row>
    <x:row r="1961">
      <x:c r="A1961" s="87" t="n">
        <x:v>1184</x:v>
      </x:c>
      <x:c r="B1961" s="66" t="n">
        <x:v>352</x:v>
      </x:c>
      <x:c r="C1961" s="66" t="str">
        <x:v>UNIVERSITAS TIDAR</x:v>
      </x:c>
      <x:c r="D1961" s="66" t="str">
        <x:v>PTN Akademik</x:v>
      </x:c>
      <x:c r="E1961" s="66" t="str">
        <x:v>13521025</x:v>
      </x:c>
      <x:c r="F1961" s="66" t="str">
        <x:v>AGRIBISNIS</x:v>
      </x:c>
      <x:c r="G1961" s="66" t="str">
        <x:v>Sarjana</x:v>
      </x:c>
      <x:c r="H1961" s="87" t="n">
        <x:v>30</x:v>
      </x:c>
      <x:c r="I1961" s="87" t="n">
        <x:v>338</x:v>
      </x:c>
      <x:c r="J1961" s="68" t="n">
        <x:f>IFERROR(H1961/I1961,"")</x:f>
        <x:v>0.08875739644970414</x:v>
      </x:c>
      <x:c r="K1961" s="69" t="n">
        <x:f>IFERROR(I1961/H1961,"")</x:f>
        <x:v>11.266666666666667</x:v>
      </x:c>
      <x:c r="L1961" s="66" t="str">
        <x:f>IF(K1961="","","1 : "&amp;TEXT(K1961,"0.0"))</x:f>
        <x:v>1 : 11.3</x:v>
      </x:c>
      <x:c r="M1961" s="66" t="str">
        <x:f>IF(J1961="","Baru/Tanpa Data",IF(J1961&lt;='Catatan &amp; Sumber'!$B$14,"Sangat Ketat",IF(J1961&lt;='Catatan &amp; Sumber'!$B$15,"Ketat",IF(J1961&lt;='Catatan &amp; Sumber'!$B$16,"Sedang","Relatif Longgar"))))</x:f>
        <x:v>Sedang</x:v>
      </x:c>
      <x:c r="N1961" s="66" t="str">
        <x:v>Tidak Ada</x:v>
      </x:c>
      <x:c r="O1961" s="66" t="str">
        <x:v>Jawa Tengah</x:v>
      </x:c>
      <x:c r="P1961" s="66" t="str">
        <x:v>Kota Magelang</x:v>
      </x:c>
      <x:c r="Q1961" s="66" t="str">
        <x:v>https://snpmb.id/snbp/daya-tampung-snbp</x:v>
      </x:c>
      <x:c r="R1961" s="66" t="str">
        <x:v>https://sidatagrun-public-1076756628210.asia-southeast2.run.app/ptn_sn.php?ptn=352</x:v>
      </x:c>
    </x:row>
    <x:row r="1962">
      <x:c r="A1962" s="87" t="n">
        <x:v>582</x:v>
      </x:c>
      <x:c r="B1962" s="66" t="n">
        <x:v>352</x:v>
      </x:c>
      <x:c r="C1962" s="66" t="str">
        <x:v>UNIVERSITAS TIDAR</x:v>
      </x:c>
      <x:c r="D1962" s="66" t="str">
        <x:v>PTN Akademik</x:v>
      </x:c>
      <x:c r="E1962" s="66" t="str">
        <x:v>13521026</x:v>
      </x:c>
      <x:c r="F1962" s="66" t="str">
        <x:v>GIZI</x:v>
      </x:c>
      <x:c r="G1962" s="66" t="str">
        <x:v>Sarjana</x:v>
      </x:c>
      <x:c r="H1962" s="87" t="n">
        <x:v>30</x:v>
      </x:c>
      <x:c r="I1962" s="87" t="n">
        <x:v>537</x:v>
      </x:c>
      <x:c r="J1962" s="68" t="n">
        <x:f>IFERROR(H1962/I1962,"")</x:f>
        <x:v>0.055865921787709494</x:v>
      </x:c>
      <x:c r="K1962" s="69" t="n">
        <x:f>IFERROR(I1962/H1962,"")</x:f>
        <x:v>17.9</x:v>
      </x:c>
      <x:c r="L1962" s="66" t="str">
        <x:f>IF(K1962="","","1 : "&amp;TEXT(K1962,"0.0"))</x:f>
        <x:v>1 : 17.9</x:v>
      </x:c>
      <x:c r="M1962" s="66" t="str">
        <x:f>IF(J1962="","Baru/Tanpa Data",IF(J1962&lt;='Catatan &amp; Sumber'!$B$14,"Sangat Ketat",IF(J1962&lt;='Catatan &amp; Sumber'!$B$15,"Ketat",IF(J1962&lt;='Catatan &amp; Sumber'!$B$16,"Sedang","Relatif Longgar"))))</x:f>
        <x:v>Sedang</x:v>
      </x:c>
      <x:c r="N1962" s="66" t="str">
        <x:v>Tidak Ada</x:v>
      </x:c>
      <x:c r="O1962" s="66" t="str">
        <x:v>Jawa Tengah</x:v>
      </x:c>
      <x:c r="P1962" s="66" t="str">
        <x:v>Kota Magelang</x:v>
      </x:c>
      <x:c r="Q1962" s="66" t="str">
        <x:v>https://snpmb.id/snbp/daya-tampung-snbp</x:v>
      </x:c>
      <x:c r="R1962" s="66" t="str">
        <x:v>https://sidatagrun-public-1076756628210.asia-southeast2.run.app/ptn_sn.php?ptn=352</x:v>
      </x:c>
    </x:row>
    <x:row r="1963">
      <x:c r="A1963" s="87" t="n">
        <x:v>2383</x:v>
      </x:c>
      <x:c r="B1963" s="66" t="n">
        <x:v>352</x:v>
      </x:c>
      <x:c r="C1963" s="66" t="str">
        <x:v>UNIVERSITAS TIDAR</x:v>
      </x:c>
      <x:c r="D1963" s="66" t="str">
        <x:v>PTN Akademik</x:v>
      </x:c>
      <x:c r="E1963" s="66" t="str">
        <x:v>13522019</x:v>
      </x:c>
      <x:c r="F1963" s="66" t="str">
        <x:v>TEKNOLOGI REKAYASA PERANCANGAN MANUFAKTUR</x:v>
      </x:c>
      <x:c r="G1963" s="66" t="str">
        <x:v>Sarjana Terapan</x:v>
      </x:c>
      <x:c r="H1963" s="87" t="n">
        <x:v>12</x:v>
      </x:c>
      <x:c r="I1963" s="87" t="n">
        <x:v>62</x:v>
      </x:c>
      <x:c r="J1963" s="68" t="n">
        <x:f>IFERROR(H1963/I1963,"")</x:f>
        <x:v>0.1935483870967742</x:v>
      </x:c>
      <x:c r="K1963" s="69" t="n">
        <x:f>IFERROR(I1963/H1963,"")</x:f>
        <x:v>5.166666666666667</x:v>
      </x:c>
      <x:c r="L1963" s="66" t="str">
        <x:f>IF(K1963="","","1 : "&amp;TEXT(K1963,"0.0"))</x:f>
        <x:v>1 : 5.2</x:v>
      </x:c>
      <x:c r="M1963" s="66" t="str">
        <x:f>IF(J1963="","Baru/Tanpa Data",IF(J1963&lt;='Catatan &amp; Sumber'!$B$14,"Sangat Ketat",IF(J1963&lt;='Catatan &amp; Sumber'!$B$15,"Ketat",IF(J1963&lt;='Catatan &amp; Sumber'!$B$16,"Sedang","Relatif Longgar"))))</x:f>
        <x:v>Relatif Longgar</x:v>
      </x:c>
      <x:c r="N1963" s="66" t="str">
        <x:v>Tidak Ada</x:v>
      </x:c>
      <x:c r="O1963" s="66" t="str">
        <x:v>Jawa Tengah</x:v>
      </x:c>
      <x:c r="P1963" s="66" t="str">
        <x:v>Kota Magelang</x:v>
      </x:c>
      <x:c r="Q1963" s="66" t="str">
        <x:v>https://snpmb.id/snbp/daya-tampung-snbp</x:v>
      </x:c>
      <x:c r="R1963" s="66" t="str">
        <x:v>https://sidatagrun-public-1076756628210.asia-southeast2.run.app/ptn_sn.php?ptn=352</x:v>
      </x:c>
    </x:row>
    <x:row r="1964">
      <x:c r="A1964" s="87" t="n">
        <x:v>1384</x:v>
      </x:c>
      <x:c r="B1964" s="66" t="n">
        <x:v>352</x:v>
      </x:c>
      <x:c r="C1964" s="66" t="str">
        <x:v>UNIVERSITAS TIDAR</x:v>
      </x:c>
      <x:c r="D1964" s="66" t="str">
        <x:v>PTN Akademik</x:v>
      </x:c>
      <x:c r="E1964" s="66" t="str">
        <x:v>13522027</x:v>
      </x:c>
      <x:c r="F1964" s="66" t="str">
        <x:v>AKUNTANSI PERPAJAKAN</x:v>
      </x:c>
      <x:c r="G1964" s="66" t="str">
        <x:v>Sarjana Terapan</x:v>
      </x:c>
      <x:c r="H1964" s="87" t="n">
        <x:v>20</x:v>
      </x:c>
      <x:c r="I1964" s="87" t="n">
        <x:v>198</x:v>
      </x:c>
      <x:c r="J1964" s="68" t="n">
        <x:f>IFERROR(H1964/I1964,"")</x:f>
        <x:v>0.10101010101010101</x:v>
      </x:c>
      <x:c r="K1964" s="69" t="n">
        <x:f>IFERROR(I1964/H1964,"")</x:f>
        <x:v>9.9</x:v>
      </x:c>
      <x:c r="L1964" s="66" t="str">
        <x:f>IF(K1964="","","1 : "&amp;TEXT(K1964,"0.0"))</x:f>
        <x:v>1 : 9.9</x:v>
      </x:c>
      <x:c r="M1964" s="66" t="str">
        <x:f>IF(J1964="","Baru/Tanpa Data",IF(J1964&lt;='Catatan &amp; Sumber'!$B$14,"Sangat Ketat",IF(J1964&lt;='Catatan &amp; Sumber'!$B$15,"Ketat",IF(J1964&lt;='Catatan &amp; Sumber'!$B$16,"Sedang","Relatif Longgar"))))</x:f>
        <x:v>Relatif Longgar</x:v>
      </x:c>
      <x:c r="N1964" s="66" t="str">
        <x:v>Tidak Ada</x:v>
      </x:c>
      <x:c r="O1964" s="66" t="str">
        <x:v>Jawa Tengah</x:v>
      </x:c>
      <x:c r="P1964" s="66" t="str">
        <x:v>Kota Magelang</x:v>
      </x:c>
      <x:c r="Q1964" s="66" t="str">
        <x:v>https://snpmb.id/snbp/daya-tampung-snbp</x:v>
      </x:c>
      <x:c r="R1964" s="66" t="str">
        <x:v>https://sidatagrun-public-1076756628210.asia-southeast2.run.app/ptn_sn.php?ptn=352</x:v>
      </x:c>
    </x:row>
    <x:row r="1965">
      <x:c r="A1965" s="87" t="n">
        <x:v>2829</x:v>
      </x:c>
      <x:c r="B1965" s="66" t="n">
        <x:v>352</x:v>
      </x:c>
      <x:c r="C1965" s="66" t="str">
        <x:v>UNIVERSITAS TIDAR</x:v>
      </x:c>
      <x:c r="D1965" s="66" t="str">
        <x:v>PTN Akademik</x:v>
      </x:c>
      <x:c r="E1965" s="66" t="str">
        <x:v>13523018</x:v>
      </x:c>
      <x:c r="F1965" s="66" t="str">
        <x:v>AKUNTANSI</x:v>
      </x:c>
      <x:c r="G1965" s="66" t="str">
        <x:v>Diploma Tiga</x:v>
      </x:c>
      <x:c r="H1965" s="87" t="n">
        <x:v>50</x:v>
      </x:c>
      <x:c r="I1965" s="87" t="n">
        <x:v>190</x:v>
      </x:c>
      <x:c r="J1965" s="68" t="n">
        <x:f>IFERROR(H1965/I1965,"")</x:f>
        <x:v>0.2631578947368421</x:v>
      </x:c>
      <x:c r="K1965" s="69" t="n">
        <x:f>IFERROR(I1965/H1965,"")</x:f>
        <x:v>3.8</x:v>
      </x:c>
      <x:c r="L1965" s="66" t="str">
        <x:f>IF(K1965="","","1 : "&amp;TEXT(K1965,"0.0"))</x:f>
        <x:v>1 : 3.8</x:v>
      </x:c>
      <x:c r="M1965" s="66" t="str">
        <x:f>IF(J1965="","Baru/Tanpa Data",IF(J1965&lt;='Catatan &amp; Sumber'!$B$14,"Sangat Ketat",IF(J1965&lt;='Catatan &amp; Sumber'!$B$15,"Ketat",IF(J1965&lt;='Catatan &amp; Sumber'!$B$16,"Sedang","Relatif Longgar"))))</x:f>
        <x:v>Relatif Longgar</x:v>
      </x:c>
      <x:c r="N1965" s="66" t="str">
        <x:v>Tidak Ada</x:v>
      </x:c>
      <x:c r="O1965" s="66" t="str">
        <x:v>Jawa Tengah</x:v>
      </x:c>
      <x:c r="P1965" s="66" t="str">
        <x:v>Kota Magelang</x:v>
      </x:c>
      <x:c r="Q1965" s="66" t="str">
        <x:v>https://snpmb.id/snbp/daya-tampung-snbp</x:v>
      </x:c>
      <x:c r="R1965" s="66" t="str">
        <x:v>https://sidatagrun-public-1076756628210.asia-southeast2.run.app/ptn_sn.php?ptn=352</x:v>
      </x:c>
    </x:row>
    <x:row r="1966">
      <x:c r="A1966" s="87" t="n">
        <x:v>759</x:v>
      </x:c>
      <x:c r="B1966" s="66" t="n">
        <x:v>352</x:v>
      </x:c>
      <x:c r="C1966" s="66" t="str">
        <x:v>UNIVERSITAS TIDAR</x:v>
      </x:c>
      <x:c r="D1966" s="66" t="str">
        <x:v>PTN Akademik</x:v>
      </x:c>
      <x:c r="E1966" s="66" t="str">
        <x:v>13523028</x:v>
      </x:c>
      <x:c r="F1966" s="66" t="str">
        <x:v>FARMASI</x:v>
      </x:c>
      <x:c r="G1966" s="66" t="str">
        <x:v>Diploma Tiga</x:v>
      </x:c>
      <x:c r="H1966" s="87" t="n">
        <x:v>24</x:v>
      </x:c>
      <x:c r="I1966" s="87" t="n">
        <x:v>369</x:v>
      </x:c>
      <x:c r="J1966" s="68" t="n">
        <x:f>IFERROR(H1966/I1966,"")</x:f>
        <x:v>0.06504065040650407</x:v>
      </x:c>
      <x:c r="K1966" s="69" t="n">
        <x:f>IFERROR(I1966/H1966,"")</x:f>
        <x:v>15.375</x:v>
      </x:c>
      <x:c r="L1966" s="66" t="str">
        <x:f>IF(K1966="","","1 : "&amp;TEXT(K1966,"0.0"))</x:f>
        <x:v>1 : 15.4</x:v>
      </x:c>
      <x:c r="M1966" s="66" t="str">
        <x:f>IF(J1966="","Baru/Tanpa Data",IF(J1966&lt;='Catatan &amp; Sumber'!$B$14,"Sangat Ketat",IF(J1966&lt;='Catatan &amp; Sumber'!$B$15,"Ketat",IF(J1966&lt;='Catatan &amp; Sumber'!$B$16,"Sedang","Relatif Longgar"))))</x:f>
        <x:v>Sedang</x:v>
      </x:c>
      <x:c r="N1966" s="66" t="str">
        <x:v>Tidak Ada</x:v>
      </x:c>
      <x:c r="O1966" s="66" t="str">
        <x:v>Jawa Tengah</x:v>
      </x:c>
      <x:c r="P1966" s="66" t="str">
        <x:v>Kota Magelang</x:v>
      </x:c>
      <x:c r="Q1966" s="66" t="str">
        <x:v>https://snpmb.id/snbp/daya-tampung-snbp</x:v>
      </x:c>
      <x:c r="R1966" s="66" t="str">
        <x:v>https://sidatagrun-public-1076756628210.asia-southeast2.run.app/ptn_sn.php?ptn=352</x:v>
      </x:c>
    </x:row>
    <x:row r="1967">
      <x:c r="A1967" s="87" t="n">
        <x:v>245</x:v>
      </x:c>
      <x:c r="B1967" s="66" t="n">
        <x:v>353</x:v>
      </x:c>
      <x:c r="C1967" s="66" t="str">
        <x:v>UNIVERSITAS SEBELAS MARET</x:v>
      </x:c>
      <x:c r="D1967" s="66" t="str">
        <x:v>PTN Akademik</x:v>
      </x:c>
      <x:c r="E1967" s="66" t="str">
        <x:v>13531001</x:v>
      </x:c>
      <x:c r="F1967" s="66" t="str">
        <x:v>KEDOKTERAN</x:v>
      </x:c>
      <x:c r="G1967" s="66" t="str">
        <x:v>Sarjana</x:v>
      </x:c>
      <x:c r="H1967" s="87" t="n">
        <x:v>48</x:v>
      </x:c>
      <x:c r="I1967" s="87" t="n">
        <x:v>1220</x:v>
      </x:c>
      <x:c r="J1967" s="68" t="n">
        <x:f>IFERROR(H1967/I1967,"")</x:f>
        <x:v>0.03934426229508197</x:v>
      </x:c>
      <x:c r="K1967" s="69" t="n">
        <x:f>IFERROR(I1967/H1967,"")</x:f>
        <x:v>25.416666666666668</x:v>
      </x:c>
      <x:c r="L1967" s="66" t="str">
        <x:f>IF(K1967="","","1 : "&amp;TEXT(K1967,"0.0"))</x:f>
        <x:v>1 : 25.4</x:v>
      </x:c>
      <x:c r="M1967" s="66" t="str">
        <x:f>IF(J1967="","Baru/Tanpa Data",IF(J1967&lt;='Catatan &amp; Sumber'!$B$14,"Sangat Ketat",IF(J1967&lt;='Catatan &amp; Sumber'!$B$15,"Ketat",IF(J1967&lt;='Catatan &amp; Sumber'!$B$16,"Sedang","Relatif Longgar"))))</x:f>
        <x:v>Ketat</x:v>
      </x:c>
      <x:c r="N1967" s="66" t="str">
        <x:v>Tidak Ada</x:v>
      </x:c>
      <x:c r="O1967" s="66" t="str">
        <x:v>Jawa Tengah</x:v>
      </x:c>
      <x:c r="P1967" s="66" t="str">
        <x:v>Kota Surakarta</x:v>
      </x:c>
      <x:c r="Q1967" s="66" t="str">
        <x:v>https://snpmb.id/snbp/daya-tampung-snbp</x:v>
      </x:c>
      <x:c r="R1967" s="66" t="str">
        <x:v>https://sidatagrun-public-1076756628210.asia-southeast2.run.app/ptn_sn.php?ptn=353</x:v>
      </x:c>
    </x:row>
    <x:row r="1968">
      <x:c r="A1968" s="87" t="n">
        <x:v>448</x:v>
      </x:c>
      <x:c r="B1968" s="66" t="n">
        <x:v>353</x:v>
      </x:c>
      <x:c r="C1968" s="66" t="str">
        <x:v>UNIVERSITAS SEBELAS MARET</x:v>
      </x:c>
      <x:c r="D1968" s="66" t="str">
        <x:v>PTN Akademik</x:v>
      </x:c>
      <x:c r="E1968" s="66" t="str">
        <x:v>13531002</x:v>
      </x:c>
      <x:c r="F1968" s="66" t="str">
        <x:v>PSIKOLOGI</x:v>
      </x:c>
      <x:c r="G1968" s="66" t="str">
        <x:v>Sarjana</x:v>
      </x:c>
      <x:c r="H1968" s="87" t="n">
        <x:v>60</x:v>
      </x:c>
      <x:c r="I1968" s="87" t="n">
        <x:v>1225</x:v>
      </x:c>
      <x:c r="J1968" s="68" t="n">
        <x:f>IFERROR(H1968/I1968,"")</x:f>
        <x:v>0.04897959183673469</x:v>
      </x:c>
      <x:c r="K1968" s="69" t="n">
        <x:f>IFERROR(I1968/H1968,"")</x:f>
        <x:v>20.416666666666668</x:v>
      </x:c>
      <x:c r="L1968" s="66" t="str">
        <x:f>IF(K1968="","","1 : "&amp;TEXT(K1968,"0.0"))</x:f>
        <x:v>1 : 20.4</x:v>
      </x:c>
      <x:c r="M1968" s="66" t="str">
        <x:f>IF(J1968="","Baru/Tanpa Data",IF(J1968&lt;='Catatan &amp; Sumber'!$B$14,"Sangat Ketat",IF(J1968&lt;='Catatan &amp; Sumber'!$B$15,"Ketat",IF(J1968&lt;='Catatan &amp; Sumber'!$B$16,"Sedang","Relatif Longgar"))))</x:f>
        <x:v>Ketat</x:v>
      </x:c>
      <x:c r="N1968" s="66" t="str">
        <x:v>Tidak Ada</x:v>
      </x:c>
      <x:c r="O1968" s="66" t="str">
        <x:v>Jawa Tengah</x:v>
      </x:c>
      <x:c r="P1968" s="66" t="str">
        <x:v>Kota Surakarta</x:v>
      </x:c>
      <x:c r="Q1968" s="66" t="str">
        <x:v>https://snpmb.id/snbp/daya-tampung-snbp</x:v>
      </x:c>
      <x:c r="R1968" s="66" t="str">
        <x:v>https://sidatagrun-public-1076756628210.asia-southeast2.run.app/ptn_sn.php?ptn=353</x:v>
      </x:c>
    </x:row>
    <x:row r="1969">
      <x:c r="A1969" s="87" t="n">
        <x:v>839</x:v>
      </x:c>
      <x:c r="B1969" s="66" t="n">
        <x:v>353</x:v>
      </x:c>
      <x:c r="C1969" s="66" t="str">
        <x:v>UNIVERSITAS SEBELAS MARET</x:v>
      </x:c>
      <x:c r="D1969" s="66" t="str">
        <x:v>PTN Akademik</x:v>
      </x:c>
      <x:c r="E1969" s="66" t="str">
        <x:v>13531003</x:v>
      </x:c>
      <x:c r="F1969" s="66" t="str">
        <x:v>AGROTEKNOLOGI / AGROEKOTEKNOLOGI</x:v>
      </x:c>
      <x:c r="G1969" s="66" t="str">
        <x:v>Sarjana</x:v>
      </x:c>
      <x:c r="H1969" s="87" t="n">
        <x:v>36</x:v>
      </x:c>
      <x:c r="I1969" s="87" t="n">
        <x:v>525</x:v>
      </x:c>
      <x:c r="J1969" s="68" t="n">
        <x:f>IFERROR(H1969/I1969,"")</x:f>
        <x:v>0.06857142857142857</x:v>
      </x:c>
      <x:c r="K1969" s="69" t="n">
        <x:f>IFERROR(I1969/H1969,"")</x:f>
        <x:v>14.583333333333334</x:v>
      </x:c>
      <x:c r="L1969" s="66" t="str">
        <x:f>IF(K1969="","","1 : "&amp;TEXT(K1969,"0.0"))</x:f>
        <x:v>1 : 14.6</x:v>
      </x:c>
      <x:c r="M1969" s="66" t="str">
        <x:f>IF(J1969="","Baru/Tanpa Data",IF(J1969&lt;='Catatan &amp; Sumber'!$B$14,"Sangat Ketat",IF(J1969&lt;='Catatan &amp; Sumber'!$B$15,"Ketat",IF(J1969&lt;='Catatan &amp; Sumber'!$B$16,"Sedang","Relatif Longgar"))))</x:f>
        <x:v>Sedang</x:v>
      </x:c>
      <x:c r="N1969" s="66" t="str">
        <x:v>Tidak Ada</x:v>
      </x:c>
      <x:c r="O1969" s="66" t="str">
        <x:v>Jawa Tengah</x:v>
      </x:c>
      <x:c r="P1969" s="66" t="str">
        <x:v>Kota Surakarta</x:v>
      </x:c>
      <x:c r="Q1969" s="66" t="str">
        <x:v>https://snpmb.id/snbp/daya-tampung-snbp</x:v>
      </x:c>
      <x:c r="R1969" s="66" t="str">
        <x:v>https://sidatagrun-public-1076756628210.asia-southeast2.run.app/ptn_sn.php?ptn=353</x:v>
      </x:c>
    </x:row>
    <x:row r="1970">
      <x:c r="A1970" s="87" t="n">
        <x:v>626</x:v>
      </x:c>
      <x:c r="B1970" s="66" t="n">
        <x:v>353</x:v>
      </x:c>
      <x:c r="C1970" s="66" t="str">
        <x:v>UNIVERSITAS SEBELAS MARET</x:v>
      </x:c>
      <x:c r="D1970" s="66" t="str">
        <x:v>PTN Akademik</x:v>
      </x:c>
      <x:c r="E1970" s="66" t="str">
        <x:v>13531004</x:v>
      </x:c>
      <x:c r="F1970" s="66" t="str">
        <x:v>AGRIBISNIS</x:v>
      </x:c>
      <x:c r="G1970" s="66" t="str">
        <x:v>Sarjana</x:v>
      </x:c>
      <x:c r="H1970" s="87" t="n">
        <x:v>32</x:v>
      </x:c>
      <x:c r="I1970" s="87" t="n">
        <x:v>547</x:v>
      </x:c>
      <x:c r="J1970" s="68" t="n">
        <x:f>IFERROR(H1970/I1970,"")</x:f>
        <x:v>0.05850091407678245</x:v>
      </x:c>
      <x:c r="K1970" s="69" t="n">
        <x:f>IFERROR(I1970/H1970,"")</x:f>
        <x:v>17.09375</x:v>
      </x:c>
      <x:c r="L1970" s="66" t="str">
        <x:f>IF(K1970="","","1 : "&amp;TEXT(K1970,"0.0"))</x:f>
        <x:v>1 : 17.1</x:v>
      </x:c>
      <x:c r="M1970" s="66" t="str">
        <x:f>IF(J1970="","Baru/Tanpa Data",IF(J1970&lt;='Catatan &amp; Sumber'!$B$14,"Sangat Ketat",IF(J1970&lt;='Catatan &amp; Sumber'!$B$15,"Ketat",IF(J1970&lt;='Catatan &amp; Sumber'!$B$16,"Sedang","Relatif Longgar"))))</x:f>
        <x:v>Sedang</x:v>
      </x:c>
      <x:c r="N1970" s="66" t="str">
        <x:v>Tidak Ada</x:v>
      </x:c>
      <x:c r="O1970" s="66" t="str">
        <x:v>Jawa Tengah</x:v>
      </x:c>
      <x:c r="P1970" s="66" t="str">
        <x:v>Kota Surakarta</x:v>
      </x:c>
      <x:c r="Q1970" s="66" t="str">
        <x:v>https://snpmb.id/snbp/daya-tampung-snbp</x:v>
      </x:c>
      <x:c r="R1970" s="66" t="str">
        <x:v>https://sidatagrun-public-1076756628210.asia-southeast2.run.app/ptn_sn.php?ptn=353</x:v>
      </x:c>
    </x:row>
    <x:row r="1971">
      <x:c r="A1971" s="87" t="n">
        <x:v>2046</x:v>
      </x:c>
      <x:c r="B1971" s="66" t="n">
        <x:v>353</x:v>
      </x:c>
      <x:c r="C1971" s="66" t="str">
        <x:v>UNIVERSITAS SEBELAS MARET</x:v>
      </x:c>
      <x:c r="D1971" s="66" t="str">
        <x:v>PTN Akademik</x:v>
      </x:c>
      <x:c r="E1971" s="66" t="str">
        <x:v>13531005</x:v>
      </x:c>
      <x:c r="F1971" s="66" t="str">
        <x:v>PETERNAKAN</x:v>
      </x:c>
      <x:c r="G1971" s="66" t="str">
        <x:v>Sarjana</x:v>
      </x:c>
      <x:c r="H1971" s="87" t="n">
        <x:v>75</x:v>
      </x:c>
      <x:c r="I1971" s="87" t="n">
        <x:v>481</x:v>
      </x:c>
      <x:c r="J1971" s="68" t="n">
        <x:f>IFERROR(H1971/I1971,"")</x:f>
        <x:v>0.15592515592515593</x:v>
      </x:c>
      <x:c r="K1971" s="69" t="n">
        <x:f>IFERROR(I1971/H1971,"")</x:f>
        <x:v>6.413333333333333</x:v>
      </x:c>
      <x:c r="L1971" s="66" t="str">
        <x:f>IF(K1971="","","1 : "&amp;TEXT(K1971,"0.0"))</x:f>
        <x:v>1 : 6.4</x:v>
      </x:c>
      <x:c r="M1971" s="66" t="str">
        <x:f>IF(J1971="","Baru/Tanpa Data",IF(J1971&lt;='Catatan &amp; Sumber'!$B$14,"Sangat Ketat",IF(J1971&lt;='Catatan &amp; Sumber'!$B$15,"Ketat",IF(J1971&lt;='Catatan &amp; Sumber'!$B$16,"Sedang","Relatif Longgar"))))</x:f>
        <x:v>Relatif Longgar</x:v>
      </x:c>
      <x:c r="N1971" s="66" t="str">
        <x:v>Tidak Ada</x:v>
      </x:c>
      <x:c r="O1971" s="66" t="str">
        <x:v>Jawa Tengah</x:v>
      </x:c>
      <x:c r="P1971" s="66" t="str">
        <x:v>Kota Surakarta</x:v>
      </x:c>
      <x:c r="Q1971" s="66" t="str">
        <x:v>https://snpmb.id/snbp/daya-tampung-snbp</x:v>
      </x:c>
      <x:c r="R1971" s="66" t="str">
        <x:v>https://sidatagrun-public-1076756628210.asia-southeast2.run.app/ptn_sn.php?ptn=353</x:v>
      </x:c>
    </x:row>
    <x:row r="1972">
      <x:c r="A1972" s="87" t="n">
        <x:v>232</x:v>
      </x:c>
      <x:c r="B1972" s="66" t="n">
        <x:v>353</x:v>
      </x:c>
      <x:c r="C1972" s="66" t="str">
        <x:v>UNIVERSITAS SEBELAS MARET</x:v>
      </x:c>
      <x:c r="D1972" s="66" t="str">
        <x:v>PTN Akademik</x:v>
      </x:c>
      <x:c r="E1972" s="66" t="str">
        <x:v>13531006</x:v>
      </x:c>
      <x:c r="F1972" s="66" t="str">
        <x:v>ILMU DAN TEKNOLOGI PANGAN</x:v>
      </x:c>
      <x:c r="G1972" s="66" t="str">
        <x:v>Sarjana</x:v>
      </x:c>
      <x:c r="H1972" s="87" t="n">
        <x:v>24</x:v>
      </x:c>
      <x:c r="I1972" s="87" t="n">
        <x:v>626</x:v>
      </x:c>
      <x:c r="J1972" s="68" t="n">
        <x:f>IFERROR(H1972/I1972,"")</x:f>
        <x:v>0.038338658146964855</x:v>
      </x:c>
      <x:c r="K1972" s="69" t="n">
        <x:f>IFERROR(I1972/H1972,"")</x:f>
        <x:v>26.083333333333332</x:v>
      </x:c>
      <x:c r="L1972" s="66" t="str">
        <x:f>IF(K1972="","","1 : "&amp;TEXT(K1972,"0.0"))</x:f>
        <x:v>1 : 26.1</x:v>
      </x:c>
      <x:c r="M1972" s="66" t="str">
        <x:f>IF(J1972="","Baru/Tanpa Data",IF(J1972&lt;='Catatan &amp; Sumber'!$B$14,"Sangat Ketat",IF(J1972&lt;='Catatan &amp; Sumber'!$B$15,"Ketat",IF(J1972&lt;='Catatan &amp; Sumber'!$B$16,"Sedang","Relatif Longgar"))))</x:f>
        <x:v>Ketat</x:v>
      </x:c>
      <x:c r="N1972" s="66" t="str">
        <x:v>Tidak Ada</x:v>
      </x:c>
      <x:c r="O1972" s="66" t="str">
        <x:v>Jawa Tengah</x:v>
      </x:c>
      <x:c r="P1972" s="66" t="str">
        <x:v>Kota Surakarta</x:v>
      </x:c>
      <x:c r="Q1972" s="66" t="str">
        <x:v>https://snpmb.id/snbp/daya-tampung-snbp</x:v>
      </x:c>
      <x:c r="R1972" s="66" t="str">
        <x:v>https://sidatagrun-public-1076756628210.asia-southeast2.run.app/ptn_sn.php?ptn=353</x:v>
      </x:c>
    </x:row>
    <x:row r="1973">
      <x:c r="A1973" s="87" t="n">
        <x:v>334</x:v>
      </x:c>
      <x:c r="B1973" s="66" t="n">
        <x:v>353</x:v>
      </x:c>
      <x:c r="C1973" s="66" t="str">
        <x:v>UNIVERSITAS SEBELAS MARET</x:v>
      </x:c>
      <x:c r="D1973" s="66" t="str">
        <x:v>PTN Akademik</x:v>
      </x:c>
      <x:c r="E1973" s="66" t="str">
        <x:v>13531007</x:v>
      </x:c>
      <x:c r="F1973" s="66" t="str">
        <x:v>TEKNIK SIPIL</x:v>
      </x:c>
      <x:c r="G1973" s="66" t="str">
        <x:v>Sarjana</x:v>
      </x:c>
      <x:c r="H1973" s="87" t="n">
        <x:v>36</x:v>
      </x:c>
      <x:c r="I1973" s="87" t="n">
        <x:v>820</x:v>
      </x:c>
      <x:c r="J1973" s="68" t="n">
        <x:f>IFERROR(H1973/I1973,"")</x:f>
        <x:v>0.04390243902439024</x:v>
      </x:c>
      <x:c r="K1973" s="69" t="n">
        <x:f>IFERROR(I1973/H1973,"")</x:f>
        <x:v>22.77777777777778</x:v>
      </x:c>
      <x:c r="L1973" s="66" t="str">
        <x:f>IF(K1973="","","1 : "&amp;TEXT(K1973,"0.0"))</x:f>
        <x:v>1 : 22.8</x:v>
      </x:c>
      <x:c r="M1973" s="66" t="str">
        <x:f>IF(J1973="","Baru/Tanpa Data",IF(J1973&lt;='Catatan &amp; Sumber'!$B$14,"Sangat Ketat",IF(J1973&lt;='Catatan &amp; Sumber'!$B$15,"Ketat",IF(J1973&lt;='Catatan &amp; Sumber'!$B$16,"Sedang","Relatif Longgar"))))</x:f>
        <x:v>Ketat</x:v>
      </x:c>
      <x:c r="N1973" s="66" t="str">
        <x:v>Tidak Ada</x:v>
      </x:c>
      <x:c r="O1973" s="66" t="str">
        <x:v>Jawa Tengah</x:v>
      </x:c>
      <x:c r="P1973" s="66" t="str">
        <x:v>Kota Surakarta</x:v>
      </x:c>
      <x:c r="Q1973" s="66" t="str">
        <x:v>https://snpmb.id/snbp/daya-tampung-snbp</x:v>
      </x:c>
      <x:c r="R1973" s="66" t="str">
        <x:v>https://sidatagrun-public-1076756628210.asia-southeast2.run.app/ptn_sn.php?ptn=353</x:v>
      </x:c>
    </x:row>
    <x:row r="1974">
      <x:c r="A1974" s="87" t="n">
        <x:v>712</x:v>
      </x:c>
      <x:c r="B1974" s="66" t="n">
        <x:v>353</x:v>
      </x:c>
      <x:c r="C1974" s="66" t="str">
        <x:v>UNIVERSITAS SEBELAS MARET</x:v>
      </x:c>
      <x:c r="D1974" s="66" t="str">
        <x:v>PTN Akademik</x:v>
      </x:c>
      <x:c r="E1974" s="66" t="str">
        <x:v>13531008</x:v>
      </x:c>
      <x:c r="F1974" s="66" t="str">
        <x:v>ARSITEKTUR</x:v>
      </x:c>
      <x:c r="G1974" s="66" t="str">
        <x:v>Sarjana</x:v>
      </x:c>
      <x:c r="H1974" s="87" t="n">
        <x:v>26</x:v>
      </x:c>
      <x:c r="I1974" s="87" t="n">
        <x:v>417</x:v>
      </x:c>
      <x:c r="J1974" s="68" t="n">
        <x:f>IFERROR(H1974/I1974,"")</x:f>
        <x:v>0.06235011990407674</x:v>
      </x:c>
      <x:c r="K1974" s="69" t="n">
        <x:f>IFERROR(I1974/H1974,"")</x:f>
        <x:v>16.03846153846154</x:v>
      </x:c>
      <x:c r="L1974" s="66" t="str">
        <x:f>IF(K1974="","","1 : "&amp;TEXT(K1974,"0.0"))</x:f>
        <x:v>1 : 16.0</x:v>
      </x:c>
      <x:c r="M1974" s="66" t="str">
        <x:f>IF(J1974="","Baru/Tanpa Data",IF(J1974&lt;='Catatan &amp; Sumber'!$B$14,"Sangat Ketat",IF(J1974&lt;='Catatan &amp; Sumber'!$B$15,"Ketat",IF(J1974&lt;='Catatan &amp; Sumber'!$B$16,"Sedang","Relatif Longgar"))))</x:f>
        <x:v>Sedang</x:v>
      </x:c>
      <x:c r="N1974" s="66" t="str">
        <x:v>Tidak Ada</x:v>
      </x:c>
      <x:c r="O1974" s="66" t="str">
        <x:v>Jawa Tengah</x:v>
      </x:c>
      <x:c r="P1974" s="66" t="str">
        <x:v>Kota Surakarta</x:v>
      </x:c>
      <x:c r="Q1974" s="66" t="str">
        <x:v>https://snpmb.id/snbp/daya-tampung-snbp</x:v>
      </x:c>
      <x:c r="R1974" s="66" t="str">
        <x:v>https://sidatagrun-public-1076756628210.asia-southeast2.run.app/ptn_sn.php?ptn=353</x:v>
      </x:c>
    </x:row>
    <x:row r="1975">
      <x:c r="A1975" s="87" t="n">
        <x:v>146</x:v>
      </x:c>
      <x:c r="B1975" s="66" t="n">
        <x:v>353</x:v>
      </x:c>
      <x:c r="C1975" s="66" t="str">
        <x:v>UNIVERSITAS SEBELAS MARET</x:v>
      </x:c>
      <x:c r="D1975" s="66" t="str">
        <x:v>PTN Akademik</x:v>
      </x:c>
      <x:c r="E1975" s="66" t="str">
        <x:v>13531009</x:v>
      </x:c>
      <x:c r="F1975" s="66" t="str">
        <x:v>TEKNIK INDUSTRI</x:v>
      </x:c>
      <x:c r="G1975" s="66" t="str">
        <x:v>Sarjana</x:v>
      </x:c>
      <x:c r="H1975" s="87" t="n">
        <x:v>26</x:v>
      </x:c>
      <x:c r="I1975" s="87" t="n">
        <x:v>786</x:v>
      </x:c>
      <x:c r="J1975" s="68" t="n">
        <x:f>IFERROR(H1975/I1975,"")</x:f>
        <x:v>0.03307888040712468</x:v>
      </x:c>
      <x:c r="K1975" s="69" t="n">
        <x:f>IFERROR(I1975/H1975,"")</x:f>
        <x:v>30.23076923076923</x:v>
      </x:c>
      <x:c r="L1975" s="66" t="str">
        <x:f>IF(K1975="","","1 : "&amp;TEXT(K1975,"0.0"))</x:f>
        <x:v>1 : 30.2</x:v>
      </x:c>
      <x:c r="M1975" s="66" t="str">
        <x:f>IF(J1975="","Baru/Tanpa Data",IF(J1975&lt;='Catatan &amp; Sumber'!$B$14,"Sangat Ketat",IF(J1975&lt;='Catatan &amp; Sumber'!$B$15,"Ketat",IF(J1975&lt;='Catatan &amp; Sumber'!$B$16,"Sedang","Relatif Longgar"))))</x:f>
        <x:v>Ketat</x:v>
      </x:c>
      <x:c r="N1975" s="66" t="str">
        <x:v>Tidak Ada</x:v>
      </x:c>
      <x:c r="O1975" s="66" t="str">
        <x:v>Jawa Tengah</x:v>
      </x:c>
      <x:c r="P1975" s="66" t="str">
        <x:v>Kota Surakarta</x:v>
      </x:c>
      <x:c r="Q1975" s="66" t="str">
        <x:v>https://snpmb.id/snbp/daya-tampung-snbp</x:v>
      </x:c>
      <x:c r="R1975" s="66" t="str">
        <x:v>https://sidatagrun-public-1076756628210.asia-southeast2.run.app/ptn_sn.php?ptn=353</x:v>
      </x:c>
    </x:row>
    <x:row r="1976">
      <x:c r="A1976" s="87" t="n">
        <x:v>291</x:v>
      </x:c>
      <x:c r="B1976" s="66" t="n">
        <x:v>353</x:v>
      </x:c>
      <x:c r="C1976" s="66" t="str">
        <x:v>UNIVERSITAS SEBELAS MARET</x:v>
      </x:c>
      <x:c r="D1976" s="66" t="str">
        <x:v>PTN Akademik</x:v>
      </x:c>
      <x:c r="E1976" s="66" t="str">
        <x:v>13531010</x:v>
      </x:c>
      <x:c r="F1976" s="66" t="str">
        <x:v>TEKNIK MESIN</x:v>
      </x:c>
      <x:c r="G1976" s="66" t="str">
        <x:v>Sarjana</x:v>
      </x:c>
      <x:c r="H1976" s="87" t="n">
        <x:v>32</x:v>
      </x:c>
      <x:c r="I1976" s="87" t="n">
        <x:v>760</x:v>
      </x:c>
      <x:c r="J1976" s="68" t="n">
        <x:f>IFERROR(H1976/I1976,"")</x:f>
        <x:v>0.042105263157894736</x:v>
      </x:c>
      <x:c r="K1976" s="69" t="n">
        <x:f>IFERROR(I1976/H1976,"")</x:f>
        <x:v>23.75</x:v>
      </x:c>
      <x:c r="L1976" s="66" t="str">
        <x:f>IF(K1976="","","1 : "&amp;TEXT(K1976,"0.0"))</x:f>
        <x:v>1 : 23.8</x:v>
      </x:c>
      <x:c r="M1976" s="66" t="str">
        <x:f>IF(J1976="","Baru/Tanpa Data",IF(J1976&lt;='Catatan &amp; Sumber'!$B$14,"Sangat Ketat",IF(J1976&lt;='Catatan &amp; Sumber'!$B$15,"Ketat",IF(J1976&lt;='Catatan &amp; Sumber'!$B$16,"Sedang","Relatif Longgar"))))</x:f>
        <x:v>Ketat</x:v>
      </x:c>
      <x:c r="N1976" s="66" t="str">
        <x:v>Tidak Ada</x:v>
      </x:c>
      <x:c r="O1976" s="66" t="str">
        <x:v>Jawa Tengah</x:v>
      </x:c>
      <x:c r="P1976" s="66" t="str">
        <x:v>Kota Surakarta</x:v>
      </x:c>
      <x:c r="Q1976" s="66" t="str">
        <x:v>https://snpmb.id/snbp/daya-tampung-snbp</x:v>
      </x:c>
      <x:c r="R1976" s="66" t="str">
        <x:v>https://sidatagrun-public-1076756628210.asia-southeast2.run.app/ptn_sn.php?ptn=353</x:v>
      </x:c>
    </x:row>
    <x:row r="1977">
      <x:c r="A1977" s="87" t="n">
        <x:v>802</x:v>
      </x:c>
      <x:c r="B1977" s="66" t="n">
        <x:v>353</x:v>
      </x:c>
      <x:c r="C1977" s="66" t="str">
        <x:v>UNIVERSITAS SEBELAS MARET</x:v>
      </x:c>
      <x:c r="D1977" s="66" t="str">
        <x:v>PTN Akademik</x:v>
      </x:c>
      <x:c r="E1977" s="66" t="str">
        <x:v>13531011</x:v>
      </x:c>
      <x:c r="F1977" s="66" t="str">
        <x:v>TEKNIK KIMIA</x:v>
      </x:c>
      <x:c r="G1977" s="66" t="str">
        <x:v>Sarjana</x:v>
      </x:c>
      <x:c r="H1977" s="87" t="n">
        <x:v>24</x:v>
      </x:c>
      <x:c r="I1977" s="87" t="n">
        <x:v>358</x:v>
      </x:c>
      <x:c r="J1977" s="68" t="n">
        <x:f>IFERROR(H1977/I1977,"")</x:f>
        <x:v>0.0670391061452514</x:v>
      </x:c>
      <x:c r="K1977" s="69" t="n">
        <x:f>IFERROR(I1977/H1977,"")</x:f>
        <x:v>14.916666666666666</x:v>
      </x:c>
      <x:c r="L1977" s="66" t="str">
        <x:f>IF(K1977="","","1 : "&amp;TEXT(K1977,"0.0"))</x:f>
        <x:v>1 : 14.9</x:v>
      </x:c>
      <x:c r="M1977" s="66" t="str">
        <x:f>IF(J1977="","Baru/Tanpa Data",IF(J1977&lt;='Catatan &amp; Sumber'!$B$14,"Sangat Ketat",IF(J1977&lt;='Catatan &amp; Sumber'!$B$15,"Ketat",IF(J1977&lt;='Catatan &amp; Sumber'!$B$16,"Sedang","Relatif Longgar"))))</x:f>
        <x:v>Sedang</x:v>
      </x:c>
      <x:c r="N1977" s="66" t="str">
        <x:v>Tidak Ada</x:v>
      </x:c>
      <x:c r="O1977" s="66" t="str">
        <x:v>Jawa Tengah</x:v>
      </x:c>
      <x:c r="P1977" s="66" t="str">
        <x:v>Kota Surakarta</x:v>
      </x:c>
      <x:c r="Q1977" s="66" t="str">
        <x:v>https://snpmb.id/snbp/daya-tampung-snbp</x:v>
      </x:c>
      <x:c r="R1977" s="66" t="str">
        <x:v>https://sidatagrun-public-1076756628210.asia-southeast2.run.app/ptn_sn.php?ptn=353</x:v>
      </x:c>
    </x:row>
    <x:row r="1978">
      <x:c r="A1978" s="87" t="n">
        <x:v>1498</x:v>
      </x:c>
      <x:c r="B1978" s="66" t="n">
        <x:v>353</x:v>
      </x:c>
      <x:c r="C1978" s="66" t="str">
        <x:v>UNIVERSITAS SEBELAS MARET</x:v>
      </x:c>
      <x:c r="D1978" s="66" t="str">
        <x:v>PTN Akademik</x:v>
      </x:c>
      <x:c r="E1978" s="66" t="str">
        <x:v>13531012</x:v>
      </x:c>
      <x:c r="F1978" s="66" t="str">
        <x:v>MATEMATIKA</x:v>
      </x:c>
      <x:c r="G1978" s="66" t="str">
        <x:v>Sarjana</x:v>
      </x:c>
      <x:c r="H1978" s="87" t="n">
        <x:v>32</x:v>
      </x:c>
      <x:c r="I1978" s="87" t="n">
        <x:v>293</x:v>
      </x:c>
      <x:c r="J1978" s="68" t="n">
        <x:f>IFERROR(H1978/I1978,"")</x:f>
        <x:v>0.10921501706484642</x:v>
      </x:c>
      <x:c r="K1978" s="69" t="n">
        <x:f>IFERROR(I1978/H1978,"")</x:f>
        <x:v>9.15625</x:v>
      </x:c>
      <x:c r="L1978" s="66" t="str">
        <x:f>IF(K1978="","","1 : "&amp;TEXT(K1978,"0.0"))</x:f>
        <x:v>1 : 9.2</x:v>
      </x:c>
      <x:c r="M1978" s="66" t="str">
        <x:f>IF(J1978="","Baru/Tanpa Data",IF(J1978&lt;='Catatan &amp; Sumber'!$B$14,"Sangat Ketat",IF(J1978&lt;='Catatan &amp; Sumber'!$B$15,"Ketat",IF(J1978&lt;='Catatan &amp; Sumber'!$B$16,"Sedang","Relatif Longgar"))))</x:f>
        <x:v>Relatif Longgar</x:v>
      </x:c>
      <x:c r="N1978" s="66" t="str">
        <x:v>Tidak Ada</x:v>
      </x:c>
      <x:c r="O1978" s="66" t="str">
        <x:v>Jawa Tengah</x:v>
      </x:c>
      <x:c r="P1978" s="66" t="str">
        <x:v>Kota Surakarta</x:v>
      </x:c>
      <x:c r="Q1978" s="66" t="str">
        <x:v>https://snpmb.id/snbp/daya-tampung-snbp</x:v>
      </x:c>
      <x:c r="R1978" s="66" t="str">
        <x:v>https://sidatagrun-public-1076756628210.asia-southeast2.run.app/ptn_sn.php?ptn=353</x:v>
      </x:c>
    </x:row>
    <x:row r="1979">
      <x:c r="A1979" s="87" t="n">
        <x:v>2391</x:v>
      </x:c>
      <x:c r="B1979" s="66" t="n">
        <x:v>353</x:v>
      </x:c>
      <x:c r="C1979" s="66" t="str">
        <x:v>UNIVERSITAS SEBELAS MARET</x:v>
      </x:c>
      <x:c r="D1979" s="66" t="str">
        <x:v>PTN Akademik</x:v>
      </x:c>
      <x:c r="E1979" s="66" t="str">
        <x:v>13531013</x:v>
      </x:c>
      <x:c r="F1979" s="66" t="str">
        <x:v>FISIKA</x:v>
      </x:c>
      <x:c r="G1979" s="66" t="str">
        <x:v>Sarjana</x:v>
      </x:c>
      <x:c r="H1979" s="87" t="n">
        <x:v>27</x:v>
      </x:c>
      <x:c r="I1979" s="87" t="n">
        <x:v>139</x:v>
      </x:c>
      <x:c r="J1979" s="68" t="n">
        <x:f>IFERROR(H1979/I1979,"")</x:f>
        <x:v>0.19424460431654678</x:v>
      </x:c>
      <x:c r="K1979" s="69" t="n">
        <x:f>IFERROR(I1979/H1979,"")</x:f>
        <x:v>5.148148148148148</x:v>
      </x:c>
      <x:c r="L1979" s="66" t="str">
        <x:f>IF(K1979="","","1 : "&amp;TEXT(K1979,"0.0"))</x:f>
        <x:v>1 : 5.1</x:v>
      </x:c>
      <x:c r="M1979" s="66" t="str">
        <x:f>IF(J1979="","Baru/Tanpa Data",IF(J1979&lt;='Catatan &amp; Sumber'!$B$14,"Sangat Ketat",IF(J1979&lt;='Catatan &amp; Sumber'!$B$15,"Ketat",IF(J1979&lt;='Catatan &amp; Sumber'!$B$16,"Sedang","Relatif Longgar"))))</x:f>
        <x:v>Relatif Longgar</x:v>
      </x:c>
      <x:c r="N1979" s="66" t="str">
        <x:v>Tidak Ada</x:v>
      </x:c>
      <x:c r="O1979" s="66" t="str">
        <x:v>Jawa Tengah</x:v>
      </x:c>
      <x:c r="P1979" s="66" t="str">
        <x:v>Kota Surakarta</x:v>
      </x:c>
      <x:c r="Q1979" s="66" t="str">
        <x:v>https://snpmb.id/snbp/daya-tampung-snbp</x:v>
      </x:c>
      <x:c r="R1979" s="66" t="str">
        <x:v>https://sidatagrun-public-1076756628210.asia-southeast2.run.app/ptn_sn.php?ptn=353</x:v>
      </x:c>
    </x:row>
    <x:row r="1980">
      <x:c r="A1980" s="87" t="n">
        <x:v>1539</x:v>
      </x:c>
      <x:c r="B1980" s="66" t="n">
        <x:v>353</x:v>
      </x:c>
      <x:c r="C1980" s="66" t="str">
        <x:v>UNIVERSITAS SEBELAS MARET</x:v>
      </x:c>
      <x:c r="D1980" s="66" t="str">
        <x:v>PTN Akademik</x:v>
      </x:c>
      <x:c r="E1980" s="66" t="str">
        <x:v>13531014</x:v>
      </x:c>
      <x:c r="F1980" s="66" t="str">
        <x:v>KIMIA</x:v>
      </x:c>
      <x:c r="G1980" s="66" t="str">
        <x:v>Sarjana</x:v>
      </x:c>
      <x:c r="H1980" s="87" t="n">
        <x:v>27</x:v>
      </x:c>
      <x:c r="I1980" s="87" t="n">
        <x:v>240</x:v>
      </x:c>
      <x:c r="J1980" s="68" t="n">
        <x:f>IFERROR(H1980/I1980,"")</x:f>
        <x:v>0.1125</x:v>
      </x:c>
      <x:c r="K1980" s="69" t="n">
        <x:f>IFERROR(I1980/H1980,"")</x:f>
        <x:v>8.88888888888889</x:v>
      </x:c>
      <x:c r="L1980" s="66" t="str">
        <x:f>IF(K1980="","","1 : "&amp;TEXT(K1980,"0.0"))</x:f>
        <x:v>1 : 8.9</x:v>
      </x:c>
      <x:c r="M1980" s="66" t="str">
        <x:f>IF(J1980="","Baru/Tanpa Data",IF(J1980&lt;='Catatan &amp; Sumber'!$B$14,"Sangat Ketat",IF(J1980&lt;='Catatan &amp; Sumber'!$B$15,"Ketat",IF(J1980&lt;='Catatan &amp; Sumber'!$B$16,"Sedang","Relatif Longgar"))))</x:f>
        <x:v>Relatif Longgar</x:v>
      </x:c>
      <x:c r="N1980" s="66" t="str">
        <x:v>Tidak Ada</x:v>
      </x:c>
      <x:c r="O1980" s="66" t="str">
        <x:v>Jawa Tengah</x:v>
      </x:c>
      <x:c r="P1980" s="66" t="str">
        <x:v>Kota Surakarta</x:v>
      </x:c>
      <x:c r="Q1980" s="66" t="str">
        <x:v>https://snpmb.id/snbp/daya-tampung-snbp</x:v>
      </x:c>
      <x:c r="R1980" s="66" t="str">
        <x:v>https://sidatagrun-public-1076756628210.asia-southeast2.run.app/ptn_sn.php?ptn=353</x:v>
      </x:c>
    </x:row>
    <x:row r="1981">
      <x:c r="A1981" s="87" t="n">
        <x:v>1338</x:v>
      </x:c>
      <x:c r="B1981" s="66" t="n">
        <x:v>353</x:v>
      </x:c>
      <x:c r="C1981" s="66" t="str">
        <x:v>UNIVERSITAS SEBELAS MARET</x:v>
      </x:c>
      <x:c r="D1981" s="66" t="str">
        <x:v>PTN Akademik</x:v>
      </x:c>
      <x:c r="E1981" s="66" t="str">
        <x:v>13531015</x:v>
      </x:c>
      <x:c r="F1981" s="66" t="str">
        <x:v>BIOLOGI</x:v>
      </x:c>
      <x:c r="G1981" s="66" t="str">
        <x:v>Sarjana</x:v>
      </x:c>
      <x:c r="H1981" s="87" t="n">
        <x:v>27</x:v>
      </x:c>
      <x:c r="I1981" s="87" t="n">
        <x:v>276</x:v>
      </x:c>
      <x:c r="J1981" s="68" t="n">
        <x:f>IFERROR(H1981/I1981,"")</x:f>
        <x:v>0.09782608695652174</x:v>
      </x:c>
      <x:c r="K1981" s="69" t="n">
        <x:f>IFERROR(I1981/H1981,"")</x:f>
        <x:v>10.222222222222221</x:v>
      </x:c>
      <x:c r="L1981" s="66" t="str">
        <x:f>IF(K1981="","","1 : "&amp;TEXT(K1981,"0.0"))</x:f>
        <x:v>1 : 10.2</x:v>
      </x:c>
      <x:c r="M1981" s="66" t="str">
        <x:f>IF(J1981="","Baru/Tanpa Data",IF(J1981&lt;='Catatan &amp; Sumber'!$B$14,"Sangat Ketat",IF(J1981&lt;='Catatan &amp; Sumber'!$B$15,"Ketat",IF(J1981&lt;='Catatan &amp; Sumber'!$B$16,"Sedang","Relatif Longgar"))))</x:f>
        <x:v>Sedang</x:v>
      </x:c>
      <x:c r="N1981" s="66" t="str">
        <x:v>Tidak Ada</x:v>
      </x:c>
      <x:c r="O1981" s="66" t="str">
        <x:v>Jawa Tengah</x:v>
      </x:c>
      <x:c r="P1981" s="66" t="str">
        <x:v>Kota Surakarta</x:v>
      </x:c>
      <x:c r="Q1981" s="66" t="str">
        <x:v>https://snpmb.id/snbp/daya-tampung-snbp</x:v>
      </x:c>
      <x:c r="R1981" s="66" t="str">
        <x:v>https://sidatagrun-public-1076756628210.asia-southeast2.run.app/ptn_sn.php?ptn=353</x:v>
      </x:c>
    </x:row>
    <x:row r="1982">
      <x:c r="A1982" s="87" t="n">
        <x:v>737</x:v>
      </x:c>
      <x:c r="B1982" s="66" t="n">
        <x:v>353</x:v>
      </x:c>
      <x:c r="C1982" s="66" t="str">
        <x:v>UNIVERSITAS SEBELAS MARET</x:v>
      </x:c>
      <x:c r="D1982" s="66" t="str">
        <x:v>PTN Akademik</x:v>
      </x:c>
      <x:c r="E1982" s="66" t="str">
        <x:v>13531016</x:v>
      </x:c>
      <x:c r="F1982" s="66" t="str">
        <x:v>PERENCANAAN WILAYAH DAN KOTA (PWK)</x:v>
      </x:c>
      <x:c r="G1982" s="66" t="str">
        <x:v>Sarjana</x:v>
      </x:c>
      <x:c r="H1982" s="87" t="n">
        <x:v>22</x:v>
      </x:c>
      <x:c r="I1982" s="87" t="n">
        <x:v>343</x:v>
      </x:c>
      <x:c r="J1982" s="68" t="n">
        <x:f>IFERROR(H1982/I1982,"")</x:f>
        <x:v>0.0641399416909621</x:v>
      </x:c>
      <x:c r="K1982" s="69" t="n">
        <x:f>IFERROR(I1982/H1982,"")</x:f>
        <x:v>15.590909090909092</x:v>
      </x:c>
      <x:c r="L1982" s="66" t="str">
        <x:f>IF(K1982="","","1 : "&amp;TEXT(K1982,"0.0"))</x:f>
        <x:v>1 : 15.6</x:v>
      </x:c>
      <x:c r="M1982" s="66" t="str">
        <x:f>IF(J1982="","Baru/Tanpa Data",IF(J1982&lt;='Catatan &amp; Sumber'!$B$14,"Sangat Ketat",IF(J1982&lt;='Catatan &amp; Sumber'!$B$15,"Ketat",IF(J1982&lt;='Catatan &amp; Sumber'!$B$16,"Sedang","Relatif Longgar"))))</x:f>
        <x:v>Sedang</x:v>
      </x:c>
      <x:c r="N1982" s="66" t="str">
        <x:v>Tidak Ada</x:v>
      </x:c>
      <x:c r="O1982" s="66" t="str">
        <x:v>Jawa Tengah</x:v>
      </x:c>
      <x:c r="P1982" s="66" t="str">
        <x:v>Kota Surakarta</x:v>
      </x:c>
      <x:c r="Q1982" s="66" t="str">
        <x:v>https://snpmb.id/snbp/daya-tampung-snbp</x:v>
      </x:c>
      <x:c r="R1982" s="66" t="str">
        <x:v>https://sidatagrun-public-1076756628210.asia-southeast2.run.app/ptn_sn.php?ptn=353</x:v>
      </x:c>
    </x:row>
    <x:row r="1983">
      <x:c r="A1983" s="87" t="n">
        <x:v>74</x:v>
      </x:c>
      <x:c r="B1983" s="66" t="n">
        <x:v>353</x:v>
      </x:c>
      <x:c r="C1983" s="66" t="str">
        <x:v>UNIVERSITAS SEBELAS MARET</x:v>
      </x:c>
      <x:c r="D1983" s="66" t="str">
        <x:v>PTN Akademik</x:v>
      </x:c>
      <x:c r="E1983" s="66" t="str">
        <x:v>13531017</x:v>
      </x:c>
      <x:c r="F1983" s="66" t="str">
        <x:v>INFORMATIKA</x:v>
      </x:c>
      <x:c r="G1983" s="66" t="str">
        <x:v>Sarjana</x:v>
      </x:c>
      <x:c r="H1983" s="87" t="n">
        <x:v>30</x:v>
      </x:c>
      <x:c r="I1983" s="87" t="n">
        <x:v>1157</x:v>
      </x:c>
      <x:c r="J1983" s="68" t="n">
        <x:f>IFERROR(H1983/I1983,"")</x:f>
        <x:v>0.02592912705272256</x:v>
      </x:c>
      <x:c r="K1983" s="69" t="n">
        <x:f>IFERROR(I1983/H1983,"")</x:f>
        <x:v>38.56666666666667</x:v>
      </x:c>
      <x:c r="L1983" s="66" t="str">
        <x:f>IF(K1983="","","1 : "&amp;TEXT(K1983,"0.0"))</x:f>
        <x:v>1 : 38.6</x:v>
      </x:c>
      <x:c r="M1983" s="66" t="str">
        <x:f>IF(J1983="","Baru/Tanpa Data",IF(J1983&lt;='Catatan &amp; Sumber'!$B$14,"Sangat Ketat",IF(J1983&lt;='Catatan &amp; Sumber'!$B$15,"Ketat",IF(J1983&lt;='Catatan &amp; Sumber'!$B$16,"Sedang","Relatif Longgar"))))</x:f>
        <x:v>Ketat</x:v>
      </x:c>
      <x:c r="N1983" s="66" t="str">
        <x:v>Tidak Ada</x:v>
      </x:c>
      <x:c r="O1983" s="66" t="str">
        <x:v>Jawa Tengah</x:v>
      </x:c>
      <x:c r="P1983" s="66" t="str">
        <x:v>Kota Surakarta</x:v>
      </x:c>
      <x:c r="Q1983" s="66" t="str">
        <x:v>https://snpmb.id/snbp/daya-tampung-snbp</x:v>
      </x:c>
      <x:c r="R1983" s="66" t="str">
        <x:v>https://sidatagrun-public-1076756628210.asia-southeast2.run.app/ptn_sn.php?ptn=353</x:v>
      </x:c>
    </x:row>
    <x:row r="1984">
      <x:c r="A1984" s="87" t="n">
        <x:v>2560</x:v>
      </x:c>
      <x:c r="B1984" s="66" t="n">
        <x:v>353</x:v>
      </x:c>
      <x:c r="C1984" s="66" t="str">
        <x:v>UNIVERSITAS SEBELAS MARET</x:v>
      </x:c>
      <x:c r="D1984" s="66" t="str">
        <x:v>PTN Akademik</x:v>
      </x:c>
      <x:c r="E1984" s="66" t="str">
        <x:v>13531018</x:v>
      </x:c>
      <x:c r="F1984" s="66" t="str">
        <x:v>PENDIDIKAN FISIKA</x:v>
      </x:c>
      <x:c r="G1984" s="66" t="str">
        <x:v>Sarjana</x:v>
      </x:c>
      <x:c r="H1984" s="87" t="n">
        <x:v>27</x:v>
      </x:c>
      <x:c r="I1984" s="87" t="n">
        <x:v>122</x:v>
      </x:c>
      <x:c r="J1984" s="68" t="n">
        <x:f>IFERROR(H1984/I1984,"")</x:f>
        <x:v>0.22131147540983606</x:v>
      </x:c>
      <x:c r="K1984" s="69" t="n">
        <x:f>IFERROR(I1984/H1984,"")</x:f>
        <x:v>4.518518518518518</x:v>
      </x:c>
      <x:c r="L1984" s="66" t="str">
        <x:f>IF(K1984="","","1 : "&amp;TEXT(K1984,"0.0"))</x:f>
        <x:v>1 : 4.5</x:v>
      </x:c>
      <x:c r="M1984" s="66" t="str">
        <x:f>IF(J1984="","Baru/Tanpa Data",IF(J1984&lt;='Catatan &amp; Sumber'!$B$14,"Sangat Ketat",IF(J1984&lt;='Catatan &amp; Sumber'!$B$15,"Ketat",IF(J1984&lt;='Catatan &amp; Sumber'!$B$16,"Sedang","Relatif Longgar"))))</x:f>
        <x:v>Relatif Longgar</x:v>
      </x:c>
      <x:c r="N1984" s="66" t="str">
        <x:v>Tidak Ada</x:v>
      </x:c>
      <x:c r="O1984" s="66" t="str">
        <x:v>Jawa Tengah</x:v>
      </x:c>
      <x:c r="P1984" s="66" t="str">
        <x:v>Kota Surakarta</x:v>
      </x:c>
      <x:c r="Q1984" s="66" t="str">
        <x:v>https://snpmb.id/snbp/daya-tampung-snbp</x:v>
      </x:c>
      <x:c r="R1984" s="66" t="str">
        <x:v>https://sidatagrun-public-1076756628210.asia-southeast2.run.app/ptn_sn.php?ptn=353</x:v>
      </x:c>
    </x:row>
    <x:row r="1985">
      <x:c r="A1985" s="87" t="n">
        <x:v>1901</x:v>
      </x:c>
      <x:c r="B1985" s="66" t="n">
        <x:v>353</x:v>
      </x:c>
      <x:c r="C1985" s="66" t="str">
        <x:v>UNIVERSITAS SEBELAS MARET</x:v>
      </x:c>
      <x:c r="D1985" s="66" t="str">
        <x:v>PTN Akademik</x:v>
      </x:c>
      <x:c r="E1985" s="66" t="str">
        <x:v>13531019</x:v>
      </x:c>
      <x:c r="F1985" s="66" t="str">
        <x:v>PENDIDIKAN KIMIA</x:v>
      </x:c>
      <x:c r="G1985" s="66" t="str">
        <x:v>Sarjana</x:v>
      </x:c>
      <x:c r="H1985" s="87" t="n">
        <x:v>30</x:v>
      </x:c>
      <x:c r="I1985" s="87" t="n">
        <x:v>213</x:v>
      </x:c>
      <x:c r="J1985" s="68" t="n">
        <x:f>IFERROR(H1985/I1985,"")</x:f>
        <x:v>0.14084507042253522</x:v>
      </x:c>
      <x:c r="K1985" s="69" t="n">
        <x:f>IFERROR(I1985/H1985,"")</x:f>
        <x:v>7.1</x:v>
      </x:c>
      <x:c r="L1985" s="66" t="str">
        <x:f>IF(K1985="","","1 : "&amp;TEXT(K1985,"0.0"))</x:f>
        <x:v>1 : 7.1</x:v>
      </x:c>
      <x:c r="M1985" s="66" t="str">
        <x:f>IF(J1985="","Baru/Tanpa Data",IF(J1985&lt;='Catatan &amp; Sumber'!$B$14,"Sangat Ketat",IF(J1985&lt;='Catatan &amp; Sumber'!$B$15,"Ketat",IF(J1985&lt;='Catatan &amp; Sumber'!$B$16,"Sedang","Relatif Longgar"))))</x:f>
        <x:v>Relatif Longgar</x:v>
      </x:c>
      <x:c r="N1985" s="66" t="str">
        <x:v>Tidak Ada</x:v>
      </x:c>
      <x:c r="O1985" s="66" t="str">
        <x:v>Jawa Tengah</x:v>
      </x:c>
      <x:c r="P1985" s="66" t="str">
        <x:v>Kota Surakarta</x:v>
      </x:c>
      <x:c r="Q1985" s="66" t="str">
        <x:v>https://snpmb.id/snbp/daya-tampung-snbp</x:v>
      </x:c>
      <x:c r="R1985" s="66" t="str">
        <x:v>https://sidatagrun-public-1076756628210.asia-southeast2.run.app/ptn_sn.php?ptn=353</x:v>
      </x:c>
    </x:row>
    <x:row r="1986">
      <x:c r="A1986" s="87" t="n">
        <x:v>911</x:v>
      </x:c>
      <x:c r="B1986" s="66" t="n">
        <x:v>353</x:v>
      </x:c>
      <x:c r="C1986" s="66" t="str">
        <x:v>UNIVERSITAS SEBELAS MARET</x:v>
      </x:c>
      <x:c r="D1986" s="66" t="str">
        <x:v>PTN Akademik</x:v>
      </x:c>
      <x:c r="E1986" s="66" t="str">
        <x:v>13531020</x:v>
      </x:c>
      <x:c r="F1986" s="66" t="str">
        <x:v>PENDIDIKAN BIOLOGI</x:v>
      </x:c>
      <x:c r="G1986" s="66" t="str">
        <x:v>Sarjana</x:v>
      </x:c>
      <x:c r="H1986" s="87" t="n">
        <x:v>20</x:v>
      </x:c>
      <x:c r="I1986" s="87" t="n">
        <x:v>274</x:v>
      </x:c>
      <x:c r="J1986" s="68" t="n">
        <x:f>IFERROR(H1986/I1986,"")</x:f>
        <x:v>0.072992700729927</x:v>
      </x:c>
      <x:c r="K1986" s="69" t="n">
        <x:f>IFERROR(I1986/H1986,"")</x:f>
        <x:v>13.7</x:v>
      </x:c>
      <x:c r="L1986" s="66" t="str">
        <x:f>IF(K1986="","","1 : "&amp;TEXT(K1986,"0.0"))</x:f>
        <x:v>1 : 13.7</x:v>
      </x:c>
      <x:c r="M1986" s="66" t="str">
        <x:f>IF(J1986="","Baru/Tanpa Data",IF(J1986&lt;='Catatan &amp; Sumber'!$B$14,"Sangat Ketat",IF(J1986&lt;='Catatan &amp; Sumber'!$B$15,"Ketat",IF(J1986&lt;='Catatan &amp; Sumber'!$B$16,"Sedang","Relatif Longgar"))))</x:f>
        <x:v>Sedang</x:v>
      </x:c>
      <x:c r="N1986" s="66" t="str">
        <x:v>Tidak Ada</x:v>
      </x:c>
      <x:c r="O1986" s="66" t="str">
        <x:v>Jawa Tengah</x:v>
      </x:c>
      <x:c r="P1986" s="66" t="str">
        <x:v>Kota Surakarta</x:v>
      </x:c>
      <x:c r="Q1986" s="66" t="str">
        <x:v>https://snpmb.id/snbp/daya-tampung-snbp</x:v>
      </x:c>
      <x:c r="R1986" s="66" t="str">
        <x:v>https://sidatagrun-public-1076756628210.asia-southeast2.run.app/ptn_sn.php?ptn=353</x:v>
      </x:c>
    </x:row>
    <x:row r="1987">
      <x:c r="A1987" s="87" t="n">
        <x:v>722</x:v>
      </x:c>
      <x:c r="B1987" s="66" t="n">
        <x:v>353</x:v>
      </x:c>
      <x:c r="C1987" s="66" t="str">
        <x:v>UNIVERSITAS SEBELAS MARET</x:v>
      </x:c>
      <x:c r="D1987" s="66" t="str">
        <x:v>PTN Akademik</x:v>
      </x:c>
      <x:c r="E1987" s="66" t="str">
        <x:v>13531021</x:v>
      </x:c>
      <x:c r="F1987" s="66" t="str">
        <x:v>PENDIDIKAN MATEMATIKA</x:v>
      </x:c>
      <x:c r="G1987" s="66" t="str">
        <x:v>Sarjana</x:v>
      </x:c>
      <x:c r="H1987" s="87" t="n">
        <x:v>20</x:v>
      </x:c>
      <x:c r="I1987" s="87" t="n">
        <x:v>316</x:v>
      </x:c>
      <x:c r="J1987" s="68" t="n">
        <x:f>IFERROR(H1987/I1987,"")</x:f>
        <x:v>0.06329113924050633</x:v>
      </x:c>
      <x:c r="K1987" s="69" t="n">
        <x:f>IFERROR(I1987/H1987,"")</x:f>
        <x:v>15.8</x:v>
      </x:c>
      <x:c r="L1987" s="66" t="str">
        <x:f>IF(K1987="","","1 : "&amp;TEXT(K1987,"0.0"))</x:f>
        <x:v>1 : 15.8</x:v>
      </x:c>
      <x:c r="M1987" s="66" t="str">
        <x:f>IF(J1987="","Baru/Tanpa Data",IF(J1987&lt;='Catatan &amp; Sumber'!$B$14,"Sangat Ketat",IF(J1987&lt;='Catatan &amp; Sumber'!$B$15,"Ketat",IF(J1987&lt;='Catatan &amp; Sumber'!$B$16,"Sedang","Relatif Longgar"))))</x:f>
        <x:v>Sedang</x:v>
      </x:c>
      <x:c r="N1987" s="66" t="str">
        <x:v>Tidak Ada</x:v>
      </x:c>
      <x:c r="O1987" s="66" t="str">
        <x:v>Jawa Tengah</x:v>
      </x:c>
      <x:c r="P1987" s="66" t="str">
        <x:v>Kota Surakarta</x:v>
      </x:c>
      <x:c r="Q1987" s="66" t="str">
        <x:v>https://snpmb.id/snbp/daya-tampung-snbp</x:v>
      </x:c>
      <x:c r="R1987" s="66" t="str">
        <x:v>https://sidatagrun-public-1076756628210.asia-southeast2.run.app/ptn_sn.php?ptn=353</x:v>
      </x:c>
    </x:row>
    <x:row r="1988">
      <x:c r="A1988" s="87" t="n">
        <x:v>2182</x:v>
      </x:c>
      <x:c r="B1988" s="66" t="n">
        <x:v>353</x:v>
      </x:c>
      <x:c r="C1988" s="66" t="str">
        <x:v>UNIVERSITAS SEBELAS MARET</x:v>
      </x:c>
      <x:c r="D1988" s="66" t="str">
        <x:v>PTN Akademik</x:v>
      </x:c>
      <x:c r="E1988" s="66" t="str">
        <x:v>13531022</x:v>
      </x:c>
      <x:c r="F1988" s="66" t="str">
        <x:v>PENDIDIKAN TEKNIK MESIN</x:v>
      </x:c>
      <x:c r="G1988" s="66" t="str">
        <x:v>Sarjana</x:v>
      </x:c>
      <x:c r="H1988" s="87" t="n">
        <x:v>27</x:v>
      </x:c>
      <x:c r="I1988" s="87" t="n">
        <x:v>159</x:v>
      </x:c>
      <x:c r="J1988" s="68" t="n">
        <x:f>IFERROR(H1988/I1988,"")</x:f>
        <x:v>0.16981132075471697</x:v>
      </x:c>
      <x:c r="K1988" s="69" t="n">
        <x:f>IFERROR(I1988/H1988,"")</x:f>
        <x:v>5.888888888888889</x:v>
      </x:c>
      <x:c r="L1988" s="66" t="str">
        <x:f>IF(K1988="","","1 : "&amp;TEXT(K1988,"0.0"))</x:f>
        <x:v>1 : 5.9</x:v>
      </x:c>
      <x:c r="M1988" s="66" t="str">
        <x:f>IF(J1988="","Baru/Tanpa Data",IF(J1988&lt;='Catatan &amp; Sumber'!$B$14,"Sangat Ketat",IF(J1988&lt;='Catatan &amp; Sumber'!$B$15,"Ketat",IF(J1988&lt;='Catatan &amp; Sumber'!$B$16,"Sedang","Relatif Longgar"))))</x:f>
        <x:v>Relatif Longgar</x:v>
      </x:c>
      <x:c r="N1988" s="66" t="str">
        <x:v>Tidak Ada</x:v>
      </x:c>
      <x:c r="O1988" s="66" t="str">
        <x:v>Jawa Tengah</x:v>
      </x:c>
      <x:c r="P1988" s="66" t="str">
        <x:v>Kota Surakarta</x:v>
      </x:c>
      <x:c r="Q1988" s="66" t="str">
        <x:v>https://snpmb.id/snbp/daya-tampung-snbp</x:v>
      </x:c>
      <x:c r="R1988" s="66" t="str">
        <x:v>https://sidatagrun-public-1076756628210.asia-southeast2.run.app/ptn_sn.php?ptn=353</x:v>
      </x:c>
    </x:row>
    <x:row r="1989">
      <x:c r="A1989" s="87" t="n">
        <x:v>2591</x:v>
      </x:c>
      <x:c r="B1989" s="66" t="n">
        <x:v>353</x:v>
      </x:c>
      <x:c r="C1989" s="66" t="str">
        <x:v>UNIVERSITAS SEBELAS MARET</x:v>
      </x:c>
      <x:c r="D1989" s="66" t="str">
        <x:v>PTN Akademik</x:v>
      </x:c>
      <x:c r="E1989" s="66" t="str">
        <x:v>13531023</x:v>
      </x:c>
      <x:c r="F1989" s="66" t="str">
        <x:v>PENDIDIKAN TEKNIK BANGUNAN</x:v>
      </x:c>
      <x:c r="G1989" s="66" t="str">
        <x:v>Sarjana</x:v>
      </x:c>
      <x:c r="H1989" s="87" t="n">
        <x:v>27</x:v>
      </x:c>
      <x:c r="I1989" s="87" t="n">
        <x:v>119</x:v>
      </x:c>
      <x:c r="J1989" s="68" t="n">
        <x:f>IFERROR(H1989/I1989,"")</x:f>
        <x:v>0.226890756302521</x:v>
      </x:c>
      <x:c r="K1989" s="69" t="n">
        <x:f>IFERROR(I1989/H1989,"")</x:f>
        <x:v>4.407407407407407</x:v>
      </x:c>
      <x:c r="L1989" s="66" t="str">
        <x:f>IF(K1989="","","1 : "&amp;TEXT(K1989,"0.0"))</x:f>
        <x:v>1 : 4.4</x:v>
      </x:c>
      <x:c r="M1989" s="66" t="str">
        <x:f>IF(J1989="","Baru/Tanpa Data",IF(J1989&lt;='Catatan &amp; Sumber'!$B$14,"Sangat Ketat",IF(J1989&lt;='Catatan &amp; Sumber'!$B$15,"Ketat",IF(J1989&lt;='Catatan &amp; Sumber'!$B$16,"Sedang","Relatif Longgar"))))</x:f>
        <x:v>Relatif Longgar</x:v>
      </x:c>
      <x:c r="N1989" s="66" t="str">
        <x:v>Tidak Ada</x:v>
      </x:c>
      <x:c r="O1989" s="66" t="str">
        <x:v>Jawa Tengah</x:v>
      </x:c>
      <x:c r="P1989" s="66" t="str">
        <x:v>Kota Surakarta</x:v>
      </x:c>
      <x:c r="Q1989" s="66" t="str">
        <x:v>https://snpmb.id/snbp/daya-tampung-snbp</x:v>
      </x:c>
      <x:c r="R1989" s="66" t="str">
        <x:v>https://sidatagrun-public-1076756628210.asia-southeast2.run.app/ptn_sn.php?ptn=353</x:v>
      </x:c>
    </x:row>
    <x:row r="1990">
      <x:c r="A1990" s="87" t="n">
        <x:v>698</x:v>
      </x:c>
      <x:c r="B1990" s="66" t="n">
        <x:v>353</x:v>
      </x:c>
      <x:c r="C1990" s="66" t="str">
        <x:v>UNIVERSITAS SEBELAS MARET</x:v>
      </x:c>
      <x:c r="D1990" s="66" t="str">
        <x:v>PTN Akademik</x:v>
      </x:c>
      <x:c r="E1990" s="66" t="str">
        <x:v>13531024</x:v>
      </x:c>
      <x:c r="F1990" s="66" t="str">
        <x:v>PENDIDIKAN TEKNIK INFORMATIKA &amp; KOMPUTER</x:v>
      </x:c>
      <x:c r="G1990" s="66" t="str">
        <x:v>Sarjana</x:v>
      </x:c>
      <x:c r="H1990" s="87" t="n">
        <x:v>18</x:v>
      </x:c>
      <x:c r="I1990" s="87" t="n">
        <x:v>291</x:v>
      </x:c>
      <x:c r="J1990" s="68" t="n">
        <x:f>IFERROR(H1990/I1990,"")</x:f>
        <x:v>0.061855670103092786</x:v>
      </x:c>
      <x:c r="K1990" s="69" t="n">
        <x:f>IFERROR(I1990/H1990,"")</x:f>
        <x:v>16.166666666666668</x:v>
      </x:c>
      <x:c r="L1990" s="66" t="str">
        <x:f>IF(K1990="","","1 : "&amp;TEXT(K1990,"0.0"))</x:f>
        <x:v>1 : 16.2</x:v>
      </x:c>
      <x:c r="M1990" s="66" t="str">
        <x:f>IF(J1990="","Baru/Tanpa Data",IF(J1990&lt;='Catatan &amp; Sumber'!$B$14,"Sangat Ketat",IF(J1990&lt;='Catatan &amp; Sumber'!$B$15,"Ketat",IF(J1990&lt;='Catatan &amp; Sumber'!$B$16,"Sedang","Relatif Longgar"))))</x:f>
        <x:v>Sedang</x:v>
      </x:c>
      <x:c r="N1990" s="66" t="str">
        <x:v>Tidak Ada</x:v>
      </x:c>
      <x:c r="O1990" s="66" t="str">
        <x:v>Jawa Tengah</x:v>
      </x:c>
      <x:c r="P1990" s="66" t="str">
        <x:v>Kota Surakarta</x:v>
      </x:c>
      <x:c r="Q1990" s="66" t="str">
        <x:v>https://snpmb.id/snbp/daya-tampung-snbp</x:v>
      </x:c>
      <x:c r="R1990" s="66" t="str">
        <x:v>https://sidatagrun-public-1076756628210.asia-southeast2.run.app/ptn_sn.php?ptn=353</x:v>
      </x:c>
    </x:row>
    <x:row r="1991">
      <x:c r="A1991" s="87" t="n">
        <x:v>1580</x:v>
      </x:c>
      <x:c r="B1991" s="66" t="n">
        <x:v>353</x:v>
      </x:c>
      <x:c r="C1991" s="66" t="str">
        <x:v>UNIVERSITAS SEBELAS MARET</x:v>
      </x:c>
      <x:c r="D1991" s="66" t="str">
        <x:v>PTN Akademik</x:v>
      </x:c>
      <x:c r="E1991" s="66" t="str">
        <x:v>13531025</x:v>
      </x:c>
      <x:c r="F1991" s="66" t="str">
        <x:v>ILMU TANAH</x:v>
      </x:c>
      <x:c r="G1991" s="66" t="str">
        <x:v>Sarjana</x:v>
      </x:c>
      <x:c r="H1991" s="87" t="n">
        <x:v>26</x:v>
      </x:c>
      <x:c r="I1991" s="87" t="n">
        <x:v>227</x:v>
      </x:c>
      <x:c r="J1991" s="68" t="n">
        <x:f>IFERROR(H1991/I1991,"")</x:f>
        <x:v>0.1145374449339207</x:v>
      </x:c>
      <x:c r="K1991" s="69" t="n">
        <x:f>IFERROR(I1991/H1991,"")</x:f>
        <x:v>8.73076923076923</x:v>
      </x:c>
      <x:c r="L1991" s="66" t="str">
        <x:f>IF(K1991="","","1 : "&amp;TEXT(K1991,"0.0"))</x:f>
        <x:v>1 : 8.7</x:v>
      </x:c>
      <x:c r="M1991" s="66" t="str">
        <x:f>IF(J1991="","Baru/Tanpa Data",IF(J1991&lt;='Catatan &amp; Sumber'!$B$14,"Sangat Ketat",IF(J1991&lt;='Catatan &amp; Sumber'!$B$15,"Ketat",IF(J1991&lt;='Catatan &amp; Sumber'!$B$16,"Sedang","Relatif Longgar"))))</x:f>
        <x:v>Relatif Longgar</x:v>
      </x:c>
      <x:c r="N1991" s="66" t="str">
        <x:v>Tidak Ada</x:v>
      </x:c>
      <x:c r="O1991" s="66" t="str">
        <x:v>Jawa Tengah</x:v>
      </x:c>
      <x:c r="P1991" s="66" t="str">
        <x:v>Kota Surakarta</x:v>
      </x:c>
      <x:c r="Q1991" s="66" t="str">
        <x:v>https://snpmb.id/snbp/daya-tampung-snbp</x:v>
      </x:c>
      <x:c r="R1991" s="66" t="str">
        <x:v>https://sidatagrun-public-1076756628210.asia-southeast2.run.app/ptn_sn.php?ptn=353</x:v>
      </x:c>
    </x:row>
    <x:row r="1992">
      <x:c r="A1992" s="87" t="n">
        <x:v>1309</x:v>
      </x:c>
      <x:c r="B1992" s="66" t="n">
        <x:v>353</x:v>
      </x:c>
      <x:c r="C1992" s="66" t="str">
        <x:v>UNIVERSITAS SEBELAS MARET</x:v>
      </x:c>
      <x:c r="D1992" s="66" t="str">
        <x:v>PTN Akademik</x:v>
      </x:c>
      <x:c r="E1992" s="66" t="str">
        <x:v>13531026</x:v>
      </x:c>
      <x:c r="F1992" s="66" t="str">
        <x:v>PENYULUHAN DAN KOMUNIKASI PERTANIAN</x:v>
      </x:c>
      <x:c r="G1992" s="66" t="str">
        <x:v>Sarjana</x:v>
      </x:c>
      <x:c r="H1992" s="87" t="n">
        <x:v>24</x:v>
      </x:c>
      <x:c r="I1992" s="87" t="n">
        <x:v>250</x:v>
      </x:c>
      <x:c r="J1992" s="68" t="n">
        <x:f>IFERROR(H1992/I1992,"")</x:f>
        <x:v>0.096</x:v>
      </x:c>
      <x:c r="K1992" s="69" t="n">
        <x:f>IFERROR(I1992/H1992,"")</x:f>
        <x:v>10.416666666666666</x:v>
      </x:c>
      <x:c r="L1992" s="66" t="str">
        <x:f>IF(K1992="","","1 : "&amp;TEXT(K1992,"0.0"))</x:f>
        <x:v>1 : 10.4</x:v>
      </x:c>
      <x:c r="M1992" s="66" t="str">
        <x:f>IF(J1992="","Baru/Tanpa Data",IF(J1992&lt;='Catatan &amp; Sumber'!$B$14,"Sangat Ketat",IF(J1992&lt;='Catatan &amp; Sumber'!$B$15,"Ketat",IF(J1992&lt;='Catatan &amp; Sumber'!$B$16,"Sedang","Relatif Longgar"))))</x:f>
        <x:v>Sedang</x:v>
      </x:c>
      <x:c r="N1992" s="66" t="str">
        <x:v>Tidak Ada</x:v>
      </x:c>
      <x:c r="O1992" s="66" t="str">
        <x:v>Jawa Tengah</x:v>
      </x:c>
      <x:c r="P1992" s="66" t="str">
        <x:v>Kota Surakarta</x:v>
      </x:c>
      <x:c r="Q1992" s="66" t="str">
        <x:v>https://snpmb.id/snbp/daya-tampung-snbp</x:v>
      </x:c>
      <x:c r="R1992" s="66" t="str">
        <x:v>https://sidatagrun-public-1076756628210.asia-southeast2.run.app/ptn_sn.php?ptn=353</x:v>
      </x:c>
    </x:row>
    <x:row r="1993">
      <x:c r="A1993" s="87" t="n">
        <x:v>9</x:v>
      </x:c>
      <x:c r="B1993" s="66" t="n">
        <x:v>353</x:v>
      </x:c>
      <x:c r="C1993" s="66" t="str">
        <x:v>UNIVERSITAS SEBELAS MARET</x:v>
      </x:c>
      <x:c r="D1993" s="66" t="str">
        <x:v>PTN Akademik</x:v>
      </x:c>
      <x:c r="E1993" s="66" t="str">
        <x:v>13531027</x:v>
      </x:c>
      <x:c r="F1993" s="66" t="str">
        <x:v>FARMASI</x:v>
      </x:c>
      <x:c r="G1993" s="66" t="str">
        <x:v>Sarjana</x:v>
      </x:c>
      <x:c r="H1993" s="87" t="n">
        <x:v>16</x:v>
      </x:c>
      <x:c r="I1993" s="87" t="n">
        <x:v>1103</x:v>
      </x:c>
      <x:c r="J1993" s="68" t="n">
        <x:f>IFERROR(H1993/I1993,"")</x:f>
        <x:v>0.014505893019038985</x:v>
      </x:c>
      <x:c r="K1993" s="69" t="n">
        <x:f>IFERROR(I1993/H1993,"")</x:f>
        <x:v>68.9375</x:v>
      </x:c>
      <x:c r="L1993" s="66" t="str">
        <x:f>IF(K1993="","","1 : "&amp;TEXT(K1993,"0.0"))</x:f>
        <x:v>1 : 68.9</x:v>
      </x:c>
      <x:c r="M1993" s="66" t="str">
        <x:f>IF(J1993="","Baru/Tanpa Data",IF(J1993&lt;='Catatan &amp; Sumber'!$B$14,"Sangat Ketat",IF(J1993&lt;='Catatan &amp; Sumber'!$B$15,"Ketat",IF(J1993&lt;='Catatan &amp; Sumber'!$B$16,"Sedang","Relatif Longgar"))))</x:f>
        <x:v>Sangat Ketat</x:v>
      </x:c>
      <x:c r="N1993" s="66" t="str">
        <x:v>Tidak Ada</x:v>
      </x:c>
      <x:c r="O1993" s="66" t="str">
        <x:v>Jawa Tengah</x:v>
      </x:c>
      <x:c r="P1993" s="66" t="str">
        <x:v>Kota Surakarta</x:v>
      </x:c>
      <x:c r="Q1993" s="66" t="str">
        <x:v>https://snpmb.id/snbp/daya-tampung-snbp</x:v>
      </x:c>
      <x:c r="R1993" s="66" t="str">
        <x:v>https://sidatagrun-public-1076756628210.asia-southeast2.run.app/ptn_sn.php?ptn=353</x:v>
      </x:c>
    </x:row>
    <x:row r="1994">
      <x:c r="A1994" s="87" t="n">
        <x:v>229</x:v>
      </x:c>
      <x:c r="B1994" s="66" t="n">
        <x:v>353</x:v>
      </x:c>
      <x:c r="C1994" s="66" t="str">
        <x:v>UNIVERSITAS SEBELAS MARET</x:v>
      </x:c>
      <x:c r="D1994" s="66" t="str">
        <x:v>PTN Akademik</x:v>
      </x:c>
      <x:c r="E1994" s="66" t="str">
        <x:v>13531028</x:v>
      </x:c>
      <x:c r="F1994" s="66" t="str">
        <x:v>TEKNIK ELEKTRO</x:v>
      </x:c>
      <x:c r="G1994" s="66" t="str">
        <x:v>Sarjana</x:v>
      </x:c>
      <x:c r="H1994" s="87" t="n">
        <x:v>16</x:v>
      </x:c>
      <x:c r="I1994" s="87" t="n">
        <x:v>418</x:v>
      </x:c>
      <x:c r="J1994" s="68" t="n">
        <x:f>IFERROR(H1994/I1994,"")</x:f>
        <x:v>0.03827751196172249</x:v>
      </x:c>
      <x:c r="K1994" s="69" t="n">
        <x:f>IFERROR(I1994/H1994,"")</x:f>
        <x:v>26.125</x:v>
      </x:c>
      <x:c r="L1994" s="66" t="str">
        <x:f>IF(K1994="","","1 : "&amp;TEXT(K1994,"0.0"))</x:f>
        <x:v>1 : 26.1</x:v>
      </x:c>
      <x:c r="M1994" s="66" t="str">
        <x:f>IF(J1994="","Baru/Tanpa Data",IF(J1994&lt;='Catatan &amp; Sumber'!$B$14,"Sangat Ketat",IF(J1994&lt;='Catatan &amp; Sumber'!$B$15,"Ketat",IF(J1994&lt;='Catatan &amp; Sumber'!$B$16,"Sedang","Relatif Longgar"))))</x:f>
        <x:v>Ketat</x:v>
      </x:c>
      <x:c r="N1994" s="66" t="str">
        <x:v>Tidak Ada</x:v>
      </x:c>
      <x:c r="O1994" s="66" t="str">
        <x:v>Jawa Tengah</x:v>
      </x:c>
      <x:c r="P1994" s="66" t="str">
        <x:v>Kota Surakarta</x:v>
      </x:c>
      <x:c r="Q1994" s="66" t="str">
        <x:v>https://snpmb.id/snbp/daya-tampung-snbp</x:v>
      </x:c>
      <x:c r="R1994" s="66" t="str">
        <x:v>https://sidatagrun-public-1076756628210.asia-southeast2.run.app/ptn_sn.php?ptn=353</x:v>
      </x:c>
    </x:row>
    <x:row r="1995">
      <x:c r="A1995" s="87" t="n">
        <x:v>653</x:v>
      </x:c>
      <x:c r="B1995" s="66" t="n">
        <x:v>353</x:v>
      </x:c>
      <x:c r="C1995" s="66" t="str">
        <x:v>UNIVERSITAS SEBELAS MARET</x:v>
      </x:c>
      <x:c r="D1995" s="66" t="str">
        <x:v>PTN Akademik</x:v>
      </x:c>
      <x:c r="E1995" s="66" t="str">
        <x:v>13531029</x:v>
      </x:c>
      <x:c r="F1995" s="66" t="str">
        <x:v>STATISTIKA</x:v>
      </x:c>
      <x:c r="G1995" s="66" t="str">
        <x:v>Sarjana</x:v>
      </x:c>
      <x:c r="H1995" s="87" t="n">
        <x:v>22</x:v>
      </x:c>
      <x:c r="I1995" s="87" t="n">
        <x:v>370</x:v>
      </x:c>
      <x:c r="J1995" s="68" t="n">
        <x:f>IFERROR(H1995/I1995,"")</x:f>
        <x:v>0.05945945945945946</x:v>
      </x:c>
      <x:c r="K1995" s="69" t="n">
        <x:f>IFERROR(I1995/H1995,"")</x:f>
        <x:v>16.818181818181817</x:v>
      </x:c>
      <x:c r="L1995" s="66" t="str">
        <x:f>IF(K1995="","","1 : "&amp;TEXT(K1995,"0.0"))</x:f>
        <x:v>1 : 16.8</x:v>
      </x:c>
      <x:c r="M1995" s="66" t="str">
        <x:f>IF(J1995="","Baru/Tanpa Data",IF(J1995&lt;='Catatan &amp; Sumber'!$B$14,"Sangat Ketat",IF(J1995&lt;='Catatan &amp; Sumber'!$B$15,"Ketat",IF(J1995&lt;='Catatan &amp; Sumber'!$B$16,"Sedang","Relatif Longgar"))))</x:f>
        <x:v>Sedang</x:v>
      </x:c>
      <x:c r="N1995" s="66" t="str">
        <x:v>Tidak Ada</x:v>
      </x:c>
      <x:c r="O1995" s="66" t="str">
        <x:v>Jawa Tengah</x:v>
      </x:c>
      <x:c r="P1995" s="66" t="str">
        <x:v>Kota Surakarta</x:v>
      </x:c>
      <x:c r="Q1995" s="66" t="str">
        <x:v>https://snpmb.id/snbp/daya-tampung-snbp</x:v>
      </x:c>
      <x:c r="R1995" s="66" t="str">
        <x:v>https://sidatagrun-public-1076756628210.asia-southeast2.run.app/ptn_sn.php?ptn=353</x:v>
      </x:c>
    </x:row>
    <x:row r="1996">
      <x:c r="A1996" s="87" t="n">
        <x:v>1356</x:v>
      </x:c>
      <x:c r="B1996" s="66" t="n">
        <x:v>353</x:v>
      </x:c>
      <x:c r="C1996" s="66" t="str">
        <x:v>UNIVERSITAS SEBELAS MARET</x:v>
      </x:c>
      <x:c r="D1996" s="66" t="str">
        <x:v>PTN Akademik</x:v>
      </x:c>
      <x:c r="E1996" s="66" t="str">
        <x:v>13531030</x:v>
      </x:c>
      <x:c r="F1996" s="66" t="str">
        <x:v>PENDIDIKAN IPA</x:v>
      </x:c>
      <x:c r="G1996" s="66" t="str">
        <x:v>Sarjana</x:v>
      </x:c>
      <x:c r="H1996" s="87" t="n">
        <x:v>16</x:v>
      </x:c>
      <x:c r="I1996" s="87" t="n">
        <x:v>162</x:v>
      </x:c>
      <x:c r="J1996" s="68" t="n">
        <x:f>IFERROR(H1996/I1996,"")</x:f>
        <x:v>0.09876543209876543</x:v>
      </x:c>
      <x:c r="K1996" s="69" t="n">
        <x:f>IFERROR(I1996/H1996,"")</x:f>
        <x:v>10.125</x:v>
      </x:c>
      <x:c r="L1996" s="66" t="str">
        <x:f>IF(K1996="","","1 : "&amp;TEXT(K1996,"0.0"))</x:f>
        <x:v>1 : 10.1</x:v>
      </x:c>
      <x:c r="M1996" s="66" t="str">
        <x:f>IF(J1996="","Baru/Tanpa Data",IF(J1996&lt;='Catatan &amp; Sumber'!$B$14,"Sangat Ketat",IF(J1996&lt;='Catatan &amp; Sumber'!$B$15,"Ketat",IF(J1996&lt;='Catatan &amp; Sumber'!$B$16,"Sedang","Relatif Longgar"))))</x:f>
        <x:v>Sedang</x:v>
      </x:c>
      <x:c r="N1996" s="66" t="str">
        <x:v>Tidak Ada</x:v>
      </x:c>
      <x:c r="O1996" s="66" t="str">
        <x:v>Jawa Tengah</x:v>
      </x:c>
      <x:c r="P1996" s="66" t="str">
        <x:v>Kota Surakarta</x:v>
      </x:c>
      <x:c r="Q1996" s="66" t="str">
        <x:v>https://snpmb.id/snbp/daya-tampung-snbp</x:v>
      </x:c>
      <x:c r="R1996" s="66" t="str">
        <x:v>https://sidatagrun-public-1076756628210.asia-southeast2.run.app/ptn_sn.php?ptn=353</x:v>
      </x:c>
    </x:row>
    <x:row r="1997">
      <x:c r="A1997" s="87" t="n">
        <x:v>854</x:v>
      </x:c>
      <x:c r="B1997" s="66" t="n">
        <x:v>353</x:v>
      </x:c>
      <x:c r="C1997" s="66" t="str">
        <x:v>UNIVERSITAS SEBELAS MARET</x:v>
      </x:c>
      <x:c r="D1997" s="66" t="str">
        <x:v>PTN Akademik</x:v>
      </x:c>
      <x:c r="E1997" s="66" t="str">
        <x:v>13531031</x:v>
      </x:c>
      <x:c r="F1997" s="66" t="str">
        <x:v>ILMU LINGKUNGAN</x:v>
      </x:c>
      <x:c r="G1997" s="66" t="str">
        <x:v>Sarjana</x:v>
      </x:c>
      <x:c r="H1997" s="87" t="n">
        <x:v>18</x:v>
      </x:c>
      <x:c r="I1997" s="87" t="n">
        <x:v>259</x:v>
      </x:c>
      <x:c r="J1997" s="68" t="n">
        <x:f>IFERROR(H1997/I1997,"")</x:f>
        <x:v>0.0694980694980695</x:v>
      </x:c>
      <x:c r="K1997" s="69" t="n">
        <x:f>IFERROR(I1997/H1997,"")</x:f>
        <x:v>14.38888888888889</x:v>
      </x:c>
      <x:c r="L1997" s="66" t="str">
        <x:f>IF(K1997="","","1 : "&amp;TEXT(K1997,"0.0"))</x:f>
        <x:v>1 : 14.4</x:v>
      </x:c>
      <x:c r="M1997" s="66" t="str">
        <x:f>IF(J1997="","Baru/Tanpa Data",IF(J1997&lt;='Catatan &amp; Sumber'!$B$14,"Sangat Ketat",IF(J1997&lt;='Catatan &amp; Sumber'!$B$15,"Ketat",IF(J1997&lt;='Catatan &amp; Sumber'!$B$16,"Sedang","Relatif Longgar"))))</x:f>
        <x:v>Sedang</x:v>
      </x:c>
      <x:c r="N1997" s="66" t="str">
        <x:v>Tidak Ada</x:v>
      </x:c>
      <x:c r="O1997" s="66" t="str">
        <x:v>Jawa Tengah</x:v>
      </x:c>
      <x:c r="P1997" s="66" t="str">
        <x:v>Kota Surakarta</x:v>
      </x:c>
      <x:c r="Q1997" s="66" t="str">
        <x:v>https://snpmb.id/snbp/daya-tampung-snbp</x:v>
      </x:c>
      <x:c r="R1997" s="66" t="str">
        <x:v>https://sidatagrun-public-1076756628210.asia-southeast2.run.app/ptn_sn.php?ptn=353</x:v>
      </x:c>
    </x:row>
    <x:row r="1998">
      <x:c r="A1998" s="87" t="n">
        <x:v>1095</x:v>
      </x:c>
      <x:c r="B1998" s="66" t="n">
        <x:v>353</x:v>
      </x:c>
      <x:c r="C1998" s="66" t="str">
        <x:v>UNIVERSITAS SEBELAS MARET</x:v>
      </x:c>
      <x:c r="D1998" s="66" t="str">
        <x:v>PTN Akademik</x:v>
      </x:c>
      <x:c r="E1998" s="66" t="str">
        <x:v>13531032</x:v>
      </x:c>
      <x:c r="F1998" s="66" t="str">
        <x:v>PENGELOLAAN HUTAN</x:v>
      </x:c>
      <x:c r="G1998" s="66" t="str">
        <x:v>Sarjana</x:v>
      </x:c>
      <x:c r="H1998" s="87" t="n">
        <x:v>20</x:v>
      </x:c>
      <x:c r="I1998" s="87" t="n">
        <x:v>239</x:v>
      </x:c>
      <x:c r="J1998" s="68" t="n">
        <x:f>IFERROR(H1998/I1998,"")</x:f>
        <x:v>0.08368200836820083</x:v>
      </x:c>
      <x:c r="K1998" s="69" t="n">
        <x:f>IFERROR(I1998/H1998,"")</x:f>
        <x:v>11.95</x:v>
      </x:c>
      <x:c r="L1998" s="66" t="str">
        <x:f>IF(K1998="","","1 : "&amp;TEXT(K1998,"0.0"))</x:f>
        <x:v>1 : 12.0</x:v>
      </x:c>
      <x:c r="M1998" s="66" t="str">
        <x:f>IF(J1998="","Baru/Tanpa Data",IF(J1998&lt;='Catatan &amp; Sumber'!$B$14,"Sangat Ketat",IF(J1998&lt;='Catatan &amp; Sumber'!$B$15,"Ketat",IF(J1998&lt;='Catatan &amp; Sumber'!$B$16,"Sedang","Relatif Longgar"))))</x:f>
        <x:v>Sedang</x:v>
      </x:c>
      <x:c r="N1998" s="66" t="str">
        <x:v>Tidak Ada</x:v>
      </x:c>
      <x:c r="O1998" s="66" t="str">
        <x:v>Jawa Tengah</x:v>
      </x:c>
      <x:c r="P1998" s="66" t="str">
        <x:v>Kota Surakarta</x:v>
      </x:c>
      <x:c r="Q1998" s="66" t="str">
        <x:v>https://snpmb.id/snbp/daya-tampung-snbp</x:v>
      </x:c>
      <x:c r="R1998" s="66" t="str">
        <x:v>https://sidatagrun-public-1076756628210.asia-southeast2.run.app/ptn_sn.php?ptn=353</x:v>
      </x:c>
    </x:row>
    <x:row r="1999">
      <x:c r="A1999" s="87" t="n">
        <x:v>158</x:v>
      </x:c>
      <x:c r="B1999" s="66" t="n">
        <x:v>353</x:v>
      </x:c>
      <x:c r="C1999" s="66" t="str">
        <x:v>UNIVERSITAS SEBELAS MARET</x:v>
      </x:c>
      <x:c r="D1999" s="66" t="str">
        <x:v>PTN Akademik</x:v>
      </x:c>
      <x:c r="E1999" s="66" t="str">
        <x:v>13531034</x:v>
      </x:c>
      <x:c r="F1999" s="66" t="str">
        <x:v>KEBIDANAN</x:v>
      </x:c>
      <x:c r="G1999" s="66" t="str">
        <x:v>Sarjana</x:v>
      </x:c>
      <x:c r="H1999" s="87" t="n">
        <x:v>14</x:v>
      </x:c>
      <x:c r="I1999" s="87" t="n">
        <x:v>411</x:v>
      </x:c>
      <x:c r="J1999" s="68" t="n">
        <x:f>IFERROR(H1999/I1999,"")</x:f>
        <x:v>0.0340632603406326</x:v>
      </x:c>
      <x:c r="K1999" s="69" t="n">
        <x:f>IFERROR(I1999/H1999,"")</x:f>
        <x:v>29.357142857142858</x:v>
      </x:c>
      <x:c r="L1999" s="66" t="str">
        <x:f>IF(K1999="","","1 : "&amp;TEXT(K1999,"0.0"))</x:f>
        <x:v>1 : 29.4</x:v>
      </x:c>
      <x:c r="M1999" s="66" t="str">
        <x:f>IF(J1999="","Baru/Tanpa Data",IF(J1999&lt;='Catatan &amp; Sumber'!$B$14,"Sangat Ketat",IF(J1999&lt;='Catatan &amp; Sumber'!$B$15,"Ketat",IF(J1999&lt;='Catatan &amp; Sumber'!$B$16,"Sedang","Relatif Longgar"))))</x:f>
        <x:v>Ketat</x:v>
      </x:c>
      <x:c r="N1999" s="66" t="str">
        <x:v>Tidak Ada</x:v>
      </x:c>
      <x:c r="O1999" s="66" t="str">
        <x:v>Jawa Tengah</x:v>
      </x:c>
      <x:c r="P1999" s="66" t="str">
        <x:v>Kota Surakarta</x:v>
      </x:c>
      <x:c r="Q1999" s="66" t="str">
        <x:v>https://snpmb.id/snbp/daya-tampung-snbp</x:v>
      </x:c>
      <x:c r="R1999" s="66" t="str">
        <x:v>https://sidatagrun-public-1076756628210.asia-southeast2.run.app/ptn_sn.php?ptn=353</x:v>
      </x:c>
    </x:row>
    <x:row r="2000">
      <x:c r="A2000" s="87" t="n">
        <x:v>435</x:v>
      </x:c>
      <x:c r="B2000" s="66" t="n">
        <x:v>353</x:v>
      </x:c>
      <x:c r="C2000" s="66" t="str">
        <x:v>UNIVERSITAS SEBELAS MARET</x:v>
      </x:c>
      <x:c r="D2000" s="66" t="str">
        <x:v>PTN Akademik</x:v>
      </x:c>
      <x:c r="E2000" s="66" t="str">
        <x:v>13531035</x:v>
      </x:c>
      <x:c r="F2000" s="66" t="str">
        <x:v>ILMU ADMINISTRASI NEGARA</x:v>
      </x:c>
      <x:c r="G2000" s="66" t="str">
        <x:v>Sarjana</x:v>
      </x:c>
      <x:c r="H2000" s="87" t="n">
        <x:v>29</x:v>
      </x:c>
      <x:c r="I2000" s="87" t="n">
        <x:v>599</x:v>
      </x:c>
      <x:c r="J2000" s="68" t="n">
        <x:f>IFERROR(H2000/I2000,"")</x:f>
        <x:v>0.048414023372287146</x:v>
      </x:c>
      <x:c r="K2000" s="69" t="n">
        <x:f>IFERROR(I2000/H2000,"")</x:f>
        <x:v>20.655172413793103</x:v>
      </x:c>
      <x:c r="L2000" s="66" t="str">
        <x:f>IF(K2000="","","1 : "&amp;TEXT(K2000,"0.0"))</x:f>
        <x:v>1 : 20.7</x:v>
      </x:c>
      <x:c r="M2000" s="66" t="str">
        <x:f>IF(J2000="","Baru/Tanpa Data",IF(J2000&lt;='Catatan &amp; Sumber'!$B$14,"Sangat Ketat",IF(J2000&lt;='Catatan &amp; Sumber'!$B$15,"Ketat",IF(J2000&lt;='Catatan &amp; Sumber'!$B$16,"Sedang","Relatif Longgar"))))</x:f>
        <x:v>Ketat</x:v>
      </x:c>
      <x:c r="N2000" s="66" t="str">
        <x:v>Tidak Ada</x:v>
      </x:c>
      <x:c r="O2000" s="66" t="str">
        <x:v>Jawa Tengah</x:v>
      </x:c>
      <x:c r="P2000" s="66" t="str">
        <x:v>Kota Surakarta</x:v>
      </x:c>
      <x:c r="Q2000" s="66" t="str">
        <x:v>https://snpmb.id/snbp/daya-tampung-snbp</x:v>
      </x:c>
      <x:c r="R2000" s="66" t="str">
        <x:v>https://sidatagrun-public-1076756628210.asia-southeast2.run.app/ptn_sn.php?ptn=353</x:v>
      </x:c>
    </x:row>
    <x:row r="2001">
      <x:c r="A2001" s="87" t="n">
        <x:v>101</x:v>
      </x:c>
      <x:c r="B2001" s="66" t="n">
        <x:v>353</x:v>
      </x:c>
      <x:c r="C2001" s="66" t="str">
        <x:v>UNIVERSITAS SEBELAS MARET</x:v>
      </x:c>
      <x:c r="D2001" s="66" t="str">
        <x:v>PTN Akademik</x:v>
      </x:c>
      <x:c r="E2001" s="66" t="str">
        <x:v>13531036</x:v>
      </x:c>
      <x:c r="F2001" s="66" t="str">
        <x:v>ILMU KOMUNIKASI</x:v>
      </x:c>
      <x:c r="G2001" s="66" t="str">
        <x:v>Sarjana</x:v>
      </x:c>
      <x:c r="H2001" s="87" t="n">
        <x:v>28</x:v>
      </x:c>
      <x:c r="I2001" s="87" t="n">
        <x:v>969</x:v>
      </x:c>
      <x:c r="J2001" s="68" t="n">
        <x:f>IFERROR(H2001/I2001,"")</x:f>
        <x:v>0.02889576883384933</x:v>
      </x:c>
      <x:c r="K2001" s="69" t="n">
        <x:f>IFERROR(I2001/H2001,"")</x:f>
        <x:v>34.607142857142854</x:v>
      </x:c>
      <x:c r="L2001" s="66" t="str">
        <x:f>IF(K2001="","","1 : "&amp;TEXT(K2001,"0.0"))</x:f>
        <x:v>1 : 34.6</x:v>
      </x:c>
      <x:c r="M2001" s="66" t="str">
        <x:f>IF(J2001="","Baru/Tanpa Data",IF(J2001&lt;='Catatan &amp; Sumber'!$B$14,"Sangat Ketat",IF(J2001&lt;='Catatan &amp; Sumber'!$B$15,"Ketat",IF(J2001&lt;='Catatan &amp; Sumber'!$B$16,"Sedang","Relatif Longgar"))))</x:f>
        <x:v>Ketat</x:v>
      </x:c>
      <x:c r="N2001" s="66" t="str">
        <x:v>Tidak Ada</x:v>
      </x:c>
      <x:c r="O2001" s="66" t="str">
        <x:v>Jawa Tengah</x:v>
      </x:c>
      <x:c r="P2001" s="66" t="str">
        <x:v>Kota Surakarta</x:v>
      </x:c>
      <x:c r="Q2001" s="66" t="str">
        <x:v>https://snpmb.id/snbp/daya-tampung-snbp</x:v>
      </x:c>
      <x:c r="R2001" s="66" t="str">
        <x:v>https://sidatagrun-public-1076756628210.asia-southeast2.run.app/ptn_sn.php?ptn=353</x:v>
      </x:c>
    </x:row>
    <x:row r="2002">
      <x:c r="A2002" s="87" t="n">
        <x:v>1392</x:v>
      </x:c>
      <x:c r="B2002" s="66" t="n">
        <x:v>353</x:v>
      </x:c>
      <x:c r="C2002" s="66" t="str">
        <x:v>UNIVERSITAS SEBELAS MARET</x:v>
      </x:c>
      <x:c r="D2002" s="66" t="str">
        <x:v>PTN Akademik</x:v>
      </x:c>
      <x:c r="E2002" s="66" t="str">
        <x:v>13531037</x:v>
      </x:c>
      <x:c r="F2002" s="66" t="str">
        <x:v>SOSIOLOGI</x:v>
      </x:c>
      <x:c r="G2002" s="66" t="str">
        <x:v>Sarjana</x:v>
      </x:c>
      <x:c r="H2002" s="87" t="n">
        <x:v>30</x:v>
      </x:c>
      <x:c r="I2002" s="87" t="n">
        <x:v>296</x:v>
      </x:c>
      <x:c r="J2002" s="68" t="n">
        <x:f>IFERROR(H2002/I2002,"")</x:f>
        <x:v>0.10135135135135136</x:v>
      </x:c>
      <x:c r="K2002" s="69" t="n">
        <x:f>IFERROR(I2002/H2002,"")</x:f>
        <x:v>9.866666666666667</x:v>
      </x:c>
      <x:c r="L2002" s="66" t="str">
        <x:f>IF(K2002="","","1 : "&amp;TEXT(K2002,"0.0"))</x:f>
        <x:v>1 : 9.9</x:v>
      </x:c>
      <x:c r="M2002" s="66" t="str">
        <x:f>IF(J2002="","Baru/Tanpa Data",IF(J2002&lt;='Catatan &amp; Sumber'!$B$14,"Sangat Ketat",IF(J2002&lt;='Catatan &amp; Sumber'!$B$15,"Ketat",IF(J2002&lt;='Catatan &amp; Sumber'!$B$16,"Sedang","Relatif Longgar"))))</x:f>
        <x:v>Relatif Longgar</x:v>
      </x:c>
      <x:c r="N2002" s="66" t="str">
        <x:v>Tidak Ada</x:v>
      </x:c>
      <x:c r="O2002" s="66" t="str">
        <x:v>Jawa Tengah</x:v>
      </x:c>
      <x:c r="P2002" s="66" t="str">
        <x:v>Kota Surakarta</x:v>
      </x:c>
      <x:c r="Q2002" s="66" t="str">
        <x:v>https://snpmb.id/snbp/daya-tampung-snbp</x:v>
      </x:c>
      <x:c r="R2002" s="66" t="str">
        <x:v>https://sidatagrun-public-1076756628210.asia-southeast2.run.app/ptn_sn.php?ptn=353</x:v>
      </x:c>
    </x:row>
    <x:row r="2003">
      <x:c r="A2003" s="87" t="n">
        <x:v>1241</x:v>
      </x:c>
      <x:c r="B2003" s="66" t="n">
        <x:v>353</x:v>
      </x:c>
      <x:c r="C2003" s="66" t="str">
        <x:v>UNIVERSITAS SEBELAS MARET</x:v>
      </x:c>
      <x:c r="D2003" s="66" t="str">
        <x:v>PTN Akademik</x:v>
      </x:c>
      <x:c r="E2003" s="66" t="str">
        <x:v>13531038</x:v>
      </x:c>
      <x:c r="F2003" s="66" t="str">
        <x:v>ILMU HUKUM</x:v>
      </x:c>
      <x:c r="G2003" s="66" t="str">
        <x:v>Sarjana</x:v>
      </x:c>
      <x:c r="H2003" s="87" t="n">
        <x:v>120</x:v>
      </x:c>
      <x:c r="I2003" s="87" t="n">
        <x:v>1296</x:v>
      </x:c>
      <x:c r="J2003" s="68" t="n">
        <x:f>IFERROR(H2003/I2003,"")</x:f>
        <x:v>0.09259259259259259</x:v>
      </x:c>
      <x:c r="K2003" s="69" t="n">
        <x:f>IFERROR(I2003/H2003,"")</x:f>
        <x:v>10.8</x:v>
      </x:c>
      <x:c r="L2003" s="66" t="str">
        <x:f>IF(K2003="","","1 : "&amp;TEXT(K2003,"0.0"))</x:f>
        <x:v>1 : 10.8</x:v>
      </x:c>
      <x:c r="M2003" s="66" t="str">
        <x:f>IF(J2003="","Baru/Tanpa Data",IF(J2003&lt;='Catatan &amp; Sumber'!$B$14,"Sangat Ketat",IF(J2003&lt;='Catatan &amp; Sumber'!$B$15,"Ketat",IF(J2003&lt;='Catatan &amp; Sumber'!$B$16,"Sedang","Relatif Longgar"))))</x:f>
        <x:v>Sedang</x:v>
      </x:c>
      <x:c r="N2003" s="66" t="str">
        <x:v>Tidak Ada</x:v>
      </x:c>
      <x:c r="O2003" s="66" t="str">
        <x:v>Jawa Tengah</x:v>
      </x:c>
      <x:c r="P2003" s="66" t="str">
        <x:v>Kota Surakarta</x:v>
      </x:c>
      <x:c r="Q2003" s="66" t="str">
        <x:v>https://snpmb.id/snbp/daya-tampung-snbp</x:v>
      </x:c>
      <x:c r="R2003" s="66" t="str">
        <x:v>https://sidatagrun-public-1076756628210.asia-southeast2.run.app/ptn_sn.php?ptn=353</x:v>
      </x:c>
    </x:row>
    <x:row r="2004">
      <x:c r="A2004" s="87" t="n">
        <x:v>719</x:v>
      </x:c>
      <x:c r="B2004" s="66" t="n">
        <x:v>353</x:v>
      </x:c>
      <x:c r="C2004" s="66" t="str">
        <x:v>UNIVERSITAS SEBELAS MARET</x:v>
      </x:c>
      <x:c r="D2004" s="66" t="str">
        <x:v>PTN Akademik</x:v>
      </x:c>
      <x:c r="E2004" s="66" t="str">
        <x:v>13531039</x:v>
      </x:c>
      <x:c r="F2004" s="66" t="str">
        <x:v>EKONOMI PEMBANGUNAN</x:v>
      </x:c>
      <x:c r="G2004" s="66" t="str">
        <x:v>Sarjana</x:v>
      </x:c>
      <x:c r="H2004" s="87" t="n">
        <x:v>36</x:v>
      </x:c>
      <x:c r="I2004" s="87" t="n">
        <x:v>572</x:v>
      </x:c>
      <x:c r="J2004" s="68" t="n">
        <x:f>IFERROR(H2004/I2004,"")</x:f>
        <x:v>0.06293706293706294</x:v>
      </x:c>
      <x:c r="K2004" s="69" t="n">
        <x:f>IFERROR(I2004/H2004,"")</x:f>
        <x:v>15.88888888888889</x:v>
      </x:c>
      <x:c r="L2004" s="66" t="str">
        <x:f>IF(K2004="","","1 : "&amp;TEXT(K2004,"0.0"))</x:f>
        <x:v>1 : 15.9</x:v>
      </x:c>
      <x:c r="M2004" s="66" t="str">
        <x:f>IF(J2004="","Baru/Tanpa Data",IF(J2004&lt;='Catatan &amp; Sumber'!$B$14,"Sangat Ketat",IF(J2004&lt;='Catatan &amp; Sumber'!$B$15,"Ketat",IF(J2004&lt;='Catatan &amp; Sumber'!$B$16,"Sedang","Relatif Longgar"))))</x:f>
        <x:v>Sedang</x:v>
      </x:c>
      <x:c r="N2004" s="66" t="str">
        <x:v>Tidak Ada</x:v>
      </x:c>
      <x:c r="O2004" s="66" t="str">
        <x:v>Jawa Tengah</x:v>
      </x:c>
      <x:c r="P2004" s="66" t="str">
        <x:v>Kota Surakarta</x:v>
      </x:c>
      <x:c r="Q2004" s="66" t="str">
        <x:v>https://snpmb.id/snbp/daya-tampung-snbp</x:v>
      </x:c>
      <x:c r="R2004" s="66" t="str">
        <x:v>https://sidatagrun-public-1076756628210.asia-southeast2.run.app/ptn_sn.php?ptn=353</x:v>
      </x:c>
    </x:row>
    <x:row r="2005">
      <x:c r="A2005" s="87" t="n">
        <x:v>68</x:v>
      </x:c>
      <x:c r="B2005" s="66" t="n">
        <x:v>353</x:v>
      </x:c>
      <x:c r="C2005" s="66" t="str">
        <x:v>UNIVERSITAS SEBELAS MARET</x:v>
      </x:c>
      <x:c r="D2005" s="66" t="str">
        <x:v>PTN Akademik</x:v>
      </x:c>
      <x:c r="E2005" s="66" t="str">
        <x:v>13531040</x:v>
      </x:c>
      <x:c r="F2005" s="66" t="str">
        <x:v>MANAJEMEN</x:v>
      </x:c>
      <x:c r="G2005" s="66" t="str">
        <x:v>Sarjana</x:v>
      </x:c>
      <x:c r="H2005" s="87" t="n">
        <x:v>40</x:v>
      </x:c>
      <x:c r="I2005" s="87" t="n">
        <x:v>1590</x:v>
      </x:c>
      <x:c r="J2005" s="68" t="n">
        <x:f>IFERROR(H2005/I2005,"")</x:f>
        <x:v>0.025157232704402517</x:v>
      </x:c>
      <x:c r="K2005" s="69" t="n">
        <x:f>IFERROR(I2005/H2005,"")</x:f>
        <x:v>39.75</x:v>
      </x:c>
      <x:c r="L2005" s="66" t="str">
        <x:f>IF(K2005="","","1 : "&amp;TEXT(K2005,"0.0"))</x:f>
        <x:v>1 : 39.8</x:v>
      </x:c>
      <x:c r="M2005" s="66" t="str">
        <x:f>IF(J2005="","Baru/Tanpa Data",IF(J2005&lt;='Catatan &amp; Sumber'!$B$14,"Sangat Ketat",IF(J2005&lt;='Catatan &amp; Sumber'!$B$15,"Ketat",IF(J2005&lt;='Catatan &amp; Sumber'!$B$16,"Sedang","Relatif Longgar"))))</x:f>
        <x:v>Ketat</x:v>
      </x:c>
      <x:c r="N2005" s="66" t="str">
        <x:v>Tidak Ada</x:v>
      </x:c>
      <x:c r="O2005" s="66" t="str">
        <x:v>Jawa Tengah</x:v>
      </x:c>
      <x:c r="P2005" s="66" t="str">
        <x:v>Kota Surakarta</x:v>
      </x:c>
      <x:c r="Q2005" s="66" t="str">
        <x:v>https://snpmb.id/snbp/daya-tampung-snbp</x:v>
      </x:c>
      <x:c r="R2005" s="66" t="str">
        <x:v>https://sidatagrun-public-1076756628210.asia-southeast2.run.app/ptn_sn.php?ptn=353</x:v>
      </x:c>
    </x:row>
    <x:row r="2006">
      <x:c r="A2006" s="87" t="n">
        <x:v>104</x:v>
      </x:c>
      <x:c r="B2006" s="66" t="n">
        <x:v>353</x:v>
      </x:c>
      <x:c r="C2006" s="66" t="str">
        <x:v>UNIVERSITAS SEBELAS MARET</x:v>
      </x:c>
      <x:c r="D2006" s="66" t="str">
        <x:v>PTN Akademik</x:v>
      </x:c>
      <x:c r="E2006" s="66" t="str">
        <x:v>13531041</x:v>
      </x:c>
      <x:c r="F2006" s="66" t="str">
        <x:v>AKUNTANSI</x:v>
      </x:c>
      <x:c r="G2006" s="66" t="str">
        <x:v>Sarjana</x:v>
      </x:c>
      <x:c r="H2006" s="87" t="n">
        <x:v>35</x:v>
      </x:c>
      <x:c r="I2006" s="87" t="n">
        <x:v>1206</x:v>
      </x:c>
      <x:c r="J2006" s="68" t="n">
        <x:f>IFERROR(H2006/I2006,"")</x:f>
        <x:v>0.02902155887230514</x:v>
      </x:c>
      <x:c r="K2006" s="69" t="n">
        <x:f>IFERROR(I2006/H2006,"")</x:f>
        <x:v>34.457142857142856</x:v>
      </x:c>
      <x:c r="L2006" s="66" t="str">
        <x:f>IF(K2006="","","1 : "&amp;TEXT(K2006,"0.0"))</x:f>
        <x:v>1 : 34.5</x:v>
      </x:c>
      <x:c r="M2006" s="66" t="str">
        <x:f>IF(J2006="","Baru/Tanpa Data",IF(J2006&lt;='Catatan &amp; Sumber'!$B$14,"Sangat Ketat",IF(J2006&lt;='Catatan &amp; Sumber'!$B$15,"Ketat",IF(J2006&lt;='Catatan &amp; Sumber'!$B$16,"Sedang","Relatif Longgar"))))</x:f>
        <x:v>Ketat</x:v>
      </x:c>
      <x:c r="N2006" s="66" t="str">
        <x:v>Tidak Ada</x:v>
      </x:c>
      <x:c r="O2006" s="66" t="str">
        <x:v>Jawa Tengah</x:v>
      </x:c>
      <x:c r="P2006" s="66" t="str">
        <x:v>Kota Surakarta</x:v>
      </x:c>
      <x:c r="Q2006" s="66" t="str">
        <x:v>https://snpmb.id/snbp/daya-tampung-snbp</x:v>
      </x:c>
      <x:c r="R2006" s="66" t="str">
        <x:v>https://sidatagrun-public-1076756628210.asia-southeast2.run.app/ptn_sn.php?ptn=353</x:v>
      </x:c>
    </x:row>
    <x:row r="2007">
      <x:c r="A2007" s="87" t="n">
        <x:v>1421</x:v>
      </x:c>
      <x:c r="B2007" s="66" t="n">
        <x:v>353</x:v>
      </x:c>
      <x:c r="C2007" s="66" t="str">
        <x:v>UNIVERSITAS SEBELAS MARET</x:v>
      </x:c>
      <x:c r="D2007" s="66" t="str">
        <x:v>PTN Akademik</x:v>
      </x:c>
      <x:c r="E2007" s="66" t="str">
        <x:v>13531042</x:v>
      </x:c>
      <x:c r="F2007" s="66" t="str">
        <x:v>ILMU SEJARAH</x:v>
      </x:c>
      <x:c r="G2007" s="66" t="str">
        <x:v>Sarjana</x:v>
      </x:c>
      <x:c r="H2007" s="87" t="n">
        <x:v>17</x:v>
      </x:c>
      <x:c r="I2007" s="87" t="n">
        <x:v>164</x:v>
      </x:c>
      <x:c r="J2007" s="68" t="n">
        <x:f>IFERROR(H2007/I2007,"")</x:f>
        <x:v>0.10365853658536585</x:v>
      </x:c>
      <x:c r="K2007" s="69" t="n">
        <x:f>IFERROR(I2007/H2007,"")</x:f>
        <x:v>9.647058823529411</x:v>
      </x:c>
      <x:c r="L2007" s="66" t="str">
        <x:f>IF(K2007="","","1 : "&amp;TEXT(K2007,"0.0"))</x:f>
        <x:v>1 : 9.6</x:v>
      </x:c>
      <x:c r="M2007" s="66" t="str">
        <x:f>IF(J2007="","Baru/Tanpa Data",IF(J2007&lt;='Catatan &amp; Sumber'!$B$14,"Sangat Ketat",IF(J2007&lt;='Catatan &amp; Sumber'!$B$15,"Ketat",IF(J2007&lt;='Catatan &amp; Sumber'!$B$16,"Sedang","Relatif Longgar"))))</x:f>
        <x:v>Relatif Longgar</x:v>
      </x:c>
      <x:c r="N2007" s="66" t="str">
        <x:v>Tidak Ada</x:v>
      </x:c>
      <x:c r="O2007" s="66" t="str">
        <x:v>Jawa Tengah</x:v>
      </x:c>
      <x:c r="P2007" s="66" t="str">
        <x:v>Kota Surakarta</x:v>
      </x:c>
      <x:c r="Q2007" s="66" t="str">
        <x:v>https://snpmb.id/snbp/daya-tampung-snbp</x:v>
      </x:c>
      <x:c r="R2007" s="66" t="str">
        <x:v>https://sidatagrun-public-1076756628210.asia-southeast2.run.app/ptn_sn.php?ptn=353</x:v>
      </x:c>
    </x:row>
    <x:row r="2008">
      <x:c r="A2008" s="87" t="n">
        <x:v>758</x:v>
      </x:c>
      <x:c r="B2008" s="66" t="n">
        <x:v>353</x:v>
      </x:c>
      <x:c r="C2008" s="66" t="str">
        <x:v>UNIVERSITAS SEBELAS MARET</x:v>
      </x:c>
      <x:c r="D2008" s="66" t="str">
        <x:v>PTN Akademik</x:v>
      </x:c>
      <x:c r="E2008" s="66" t="str">
        <x:v>13531043</x:v>
      </x:c>
      <x:c r="F2008" s="66" t="str">
        <x:v>SASTRA INDONESIA</x:v>
      </x:c>
      <x:c r="G2008" s="66" t="str">
        <x:v>Sarjana</x:v>
      </x:c>
      <x:c r="H2008" s="87" t="n">
        <x:v>17</x:v>
      </x:c>
      <x:c r="I2008" s="87" t="n">
        <x:v>262</x:v>
      </x:c>
      <x:c r="J2008" s="68" t="n">
        <x:f>IFERROR(H2008/I2008,"")</x:f>
        <x:v>0.0648854961832061</x:v>
      </x:c>
      <x:c r="K2008" s="69" t="n">
        <x:f>IFERROR(I2008/H2008,"")</x:f>
        <x:v>15.411764705882353</x:v>
      </x:c>
      <x:c r="L2008" s="66" t="str">
        <x:f>IF(K2008="","","1 : "&amp;TEXT(K2008,"0.0"))</x:f>
        <x:v>1 : 15.4</x:v>
      </x:c>
      <x:c r="M2008" s="66" t="str">
        <x:f>IF(J2008="","Baru/Tanpa Data",IF(J2008&lt;='Catatan &amp; Sumber'!$B$14,"Sangat Ketat",IF(J2008&lt;='Catatan &amp; Sumber'!$B$15,"Ketat",IF(J2008&lt;='Catatan &amp; Sumber'!$B$16,"Sedang","Relatif Longgar"))))</x:f>
        <x:v>Sedang</x:v>
      </x:c>
      <x:c r="N2008" s="66" t="str">
        <x:v>Tidak Ada</x:v>
      </x:c>
      <x:c r="O2008" s="66" t="str">
        <x:v>Jawa Tengah</x:v>
      </x:c>
      <x:c r="P2008" s="66" t="str">
        <x:v>Kota Surakarta</x:v>
      </x:c>
      <x:c r="Q2008" s="66" t="str">
        <x:v>https://snpmb.id/snbp/daya-tampung-snbp</x:v>
      </x:c>
      <x:c r="R2008" s="66" t="str">
        <x:v>https://sidatagrun-public-1076756628210.asia-southeast2.run.app/ptn_sn.php?ptn=353</x:v>
      </x:c>
    </x:row>
    <x:row r="2009">
      <x:c r="A2009" s="87" t="n">
        <x:v>321</x:v>
      </x:c>
      <x:c r="B2009" s="66" t="n">
        <x:v>353</x:v>
      </x:c>
      <x:c r="C2009" s="66" t="str">
        <x:v>UNIVERSITAS SEBELAS MARET</x:v>
      </x:c>
      <x:c r="D2009" s="66" t="str">
        <x:v>PTN Akademik</x:v>
      </x:c>
      <x:c r="E2009" s="66" t="str">
        <x:v>13531044</x:v>
      </x:c>
      <x:c r="F2009" s="66" t="str">
        <x:v>SASTRA INGGRIS</x:v>
      </x:c>
      <x:c r="G2009" s="66" t="str">
        <x:v>Sarjana</x:v>
      </x:c>
      <x:c r="H2009" s="87" t="n">
        <x:v>18</x:v>
      </x:c>
      <x:c r="I2009" s="87" t="n">
        <x:v>416</x:v>
      </x:c>
      <x:c r="J2009" s="68" t="n">
        <x:f>IFERROR(H2009/I2009,"")</x:f>
        <x:v>0.04326923076923077</x:v>
      </x:c>
      <x:c r="K2009" s="69" t="n">
        <x:f>IFERROR(I2009/H2009,"")</x:f>
        <x:v>23.11111111111111</x:v>
      </x:c>
      <x:c r="L2009" s="66" t="str">
        <x:f>IF(K2009="","","1 : "&amp;TEXT(K2009,"0.0"))</x:f>
        <x:v>1 : 23.1</x:v>
      </x:c>
      <x:c r="M2009" s="66" t="str">
        <x:f>IF(J2009="","Baru/Tanpa Data",IF(J2009&lt;='Catatan &amp; Sumber'!$B$14,"Sangat Ketat",IF(J2009&lt;='Catatan &amp; Sumber'!$B$15,"Ketat",IF(J2009&lt;='Catatan &amp; Sumber'!$B$16,"Sedang","Relatif Longgar"))))</x:f>
        <x:v>Ketat</x:v>
      </x:c>
      <x:c r="N2009" s="66" t="str">
        <x:v>Tidak Ada</x:v>
      </x:c>
      <x:c r="O2009" s="66" t="str">
        <x:v>Jawa Tengah</x:v>
      </x:c>
      <x:c r="P2009" s="66" t="str">
        <x:v>Kota Surakarta</x:v>
      </x:c>
      <x:c r="Q2009" s="66" t="str">
        <x:v>https://snpmb.id/snbp/daya-tampung-snbp</x:v>
      </x:c>
      <x:c r="R2009" s="66" t="str">
        <x:v>https://sidatagrun-public-1076756628210.asia-southeast2.run.app/ptn_sn.php?ptn=353</x:v>
      </x:c>
    </x:row>
    <x:row r="2010">
      <x:c r="A2010" s="87" t="n">
        <x:v>2368</x:v>
      </x:c>
      <x:c r="B2010" s="66" t="n">
        <x:v>353</x:v>
      </x:c>
      <x:c r="C2010" s="66" t="str">
        <x:v>UNIVERSITAS SEBELAS MARET</x:v>
      </x:c>
      <x:c r="D2010" s="66" t="str">
        <x:v>PTN Akademik</x:v>
      </x:c>
      <x:c r="E2010" s="66" t="str">
        <x:v>13531045</x:v>
      </x:c>
      <x:c r="F2010" s="66" t="str">
        <x:v>SASTRA DAERAH UNTUK SASTRA JAWA</x:v>
      </x:c>
      <x:c r="G2010" s="66" t="str">
        <x:v>Sarjana</x:v>
      </x:c>
      <x:c r="H2010" s="87" t="n">
        <x:v>26</x:v>
      </x:c>
      <x:c r="I2010" s="87" t="n">
        <x:v>136</x:v>
      </x:c>
      <x:c r="J2010" s="68" t="n">
        <x:f>IFERROR(H2010/I2010,"")</x:f>
        <x:v>0.19117647058823528</x:v>
      </x:c>
      <x:c r="K2010" s="69" t="n">
        <x:f>IFERROR(I2010/H2010,"")</x:f>
        <x:v>5.230769230769231</x:v>
      </x:c>
      <x:c r="L2010" s="66" t="str">
        <x:f>IF(K2010="","","1 : "&amp;TEXT(K2010,"0.0"))</x:f>
        <x:v>1 : 5.2</x:v>
      </x:c>
      <x:c r="M2010" s="66" t="str">
        <x:f>IF(J2010="","Baru/Tanpa Data",IF(J2010&lt;='Catatan &amp; Sumber'!$B$14,"Sangat Ketat",IF(J2010&lt;='Catatan &amp; Sumber'!$B$15,"Ketat",IF(J2010&lt;='Catatan &amp; Sumber'!$B$16,"Sedang","Relatif Longgar"))))</x:f>
        <x:v>Relatif Longgar</x:v>
      </x:c>
      <x:c r="N2010" s="66" t="str">
        <x:v>Tidak Ada</x:v>
      </x:c>
      <x:c r="O2010" s="66" t="str">
        <x:v>Jawa Tengah</x:v>
      </x:c>
      <x:c r="P2010" s="66" t="str">
        <x:v>Kota Surakarta</x:v>
      </x:c>
      <x:c r="Q2010" s="66" t="str">
        <x:v>https://snpmb.id/snbp/daya-tampung-snbp</x:v>
      </x:c>
      <x:c r="R2010" s="66" t="str">
        <x:v>https://sidatagrun-public-1076756628210.asia-southeast2.run.app/ptn_sn.php?ptn=353</x:v>
      </x:c>
    </x:row>
    <x:row r="2011">
      <x:c r="A2011" s="87" t="n">
        <x:v>2888</x:v>
      </x:c>
      <x:c r="B2011" s="66" t="n">
        <x:v>353</x:v>
      </x:c>
      <x:c r="C2011" s="66" t="str">
        <x:v>UNIVERSITAS SEBELAS MARET</x:v>
      </x:c>
      <x:c r="D2011" s="66" t="str">
        <x:v>PTN Akademik</x:v>
      </x:c>
      <x:c r="E2011" s="66" t="str">
        <x:v>13531046</x:v>
      </x:c>
      <x:c r="F2011" s="66" t="str">
        <x:v>DESAIN MODE</x:v>
      </x:c>
      <x:c r="G2011" s="66" t="str">
        <x:v>Sarjana</x:v>
      </x:c>
      <x:c r="H2011" s="87" t="n">
        <x:v>18</x:v>
      </x:c>
      <x:c r="I2011" s="87" t="n">
        <x:v>66</x:v>
      </x:c>
      <x:c r="J2011" s="68" t="n">
        <x:f>IFERROR(H2011/I2011,"")</x:f>
        <x:v>0.2727272727272727</x:v>
      </x:c>
      <x:c r="K2011" s="69" t="n">
        <x:f>IFERROR(I2011/H2011,"")</x:f>
        <x:v>3.6666666666666665</x:v>
      </x:c>
      <x:c r="L2011" s="66" t="str">
        <x:f>IF(K2011="","","1 : "&amp;TEXT(K2011,"0.0"))</x:f>
        <x:v>1 : 3.7</x:v>
      </x:c>
      <x:c r="M2011" s="66" t="str">
        <x:f>IF(J2011="","Baru/Tanpa Data",IF(J2011&lt;='Catatan &amp; Sumber'!$B$14,"Sangat Ketat",IF(J2011&lt;='Catatan &amp; Sumber'!$B$15,"Ketat",IF(J2011&lt;='Catatan &amp; Sumber'!$B$16,"Sedang","Relatif Longgar"))))</x:f>
        <x:v>Relatif Longgar</x:v>
      </x:c>
      <x:c r="N2011" s="66" t="str">
        <x:v>Seni Rupa, Desain, dan Kriya</x:v>
      </x:c>
      <x:c r="O2011" s="66" t="str">
        <x:v>Jawa Tengah</x:v>
      </x:c>
      <x:c r="P2011" s="66" t="str">
        <x:v>Kota Surakarta</x:v>
      </x:c>
      <x:c r="Q2011" s="66" t="str">
        <x:v>https://snpmb.id/snbp/daya-tampung-snbp</x:v>
      </x:c>
      <x:c r="R2011" s="66" t="str">
        <x:v>https://sidatagrun-public-1076756628210.asia-southeast2.run.app/ptn_sn.php?ptn=353</x:v>
      </x:c>
    </x:row>
    <x:row r="2012">
      <x:c r="A2012" s="87" t="n">
        <x:v>3239</x:v>
      </x:c>
      <x:c r="B2012" s="66" t="n">
        <x:v>353</x:v>
      </x:c>
      <x:c r="C2012" s="66" t="str">
        <x:v>UNIVERSITAS SEBELAS MARET</x:v>
      </x:c>
      <x:c r="D2012" s="66" t="str">
        <x:v>PTN Akademik</x:v>
      </x:c>
      <x:c r="E2012" s="66" t="str">
        <x:v>13531047</x:v>
      </x:c>
      <x:c r="F2012" s="66" t="str">
        <x:v>SENI RUPA</x:v>
      </x:c>
      <x:c r="G2012" s="66" t="str">
        <x:v>Sarjana</x:v>
      </x:c>
      <x:c r="H2012" s="87" t="n">
        <x:v>18</x:v>
      </x:c>
      <x:c r="I2012" s="87" t="n">
        <x:v>51</x:v>
      </x:c>
      <x:c r="J2012" s="68" t="n">
        <x:f>IFERROR(H2012/I2012,"")</x:f>
        <x:v>0.35294117647058826</x:v>
      </x:c>
      <x:c r="K2012" s="69" t="n">
        <x:f>IFERROR(I2012/H2012,"")</x:f>
        <x:v>2.8333333333333335</x:v>
      </x:c>
      <x:c r="L2012" s="66" t="str">
        <x:f>IF(K2012="","","1 : "&amp;TEXT(K2012,"0.0"))</x:f>
        <x:v>1 : 2.8</x:v>
      </x:c>
      <x:c r="M2012" s="66" t="str">
        <x:f>IF(J2012="","Baru/Tanpa Data",IF(J2012&lt;='Catatan &amp; Sumber'!$B$14,"Sangat Ketat",IF(J2012&lt;='Catatan &amp; Sumber'!$B$15,"Ketat",IF(J2012&lt;='Catatan &amp; Sumber'!$B$16,"Sedang","Relatif Longgar"))))</x:f>
        <x:v>Relatif Longgar</x:v>
      </x:c>
      <x:c r="N2012" s="66" t="str">
        <x:v>Seni Rupa, Desain, dan Kriya</x:v>
      </x:c>
      <x:c r="O2012" s="66" t="str">
        <x:v>Jawa Tengah</x:v>
      </x:c>
      <x:c r="P2012" s="66" t="str">
        <x:v>Kota Surakarta</x:v>
      </x:c>
      <x:c r="Q2012" s="66" t="str">
        <x:v>https://snpmb.id/snbp/daya-tampung-snbp</x:v>
      </x:c>
      <x:c r="R2012" s="66" t="str">
        <x:v>https://sidatagrun-public-1076756628210.asia-southeast2.run.app/ptn_sn.php?ptn=353</x:v>
      </x:c>
    </x:row>
    <x:row r="2013">
      <x:c r="A2013" s="87" t="n">
        <x:v>1635</x:v>
      </x:c>
      <x:c r="B2013" s="66" t="n">
        <x:v>353</x:v>
      </x:c>
      <x:c r="C2013" s="66" t="str">
        <x:v>UNIVERSITAS SEBELAS MARET</x:v>
      </x:c>
      <x:c r="D2013" s="66" t="str">
        <x:v>PTN Akademik</x:v>
      </x:c>
      <x:c r="E2013" s="66" t="str">
        <x:v>13531048</x:v>
      </x:c>
      <x:c r="F2013" s="66" t="str">
        <x:v>DESAIN INTERIOR</x:v>
      </x:c>
      <x:c r="G2013" s="66" t="str">
        <x:v>Sarjana</x:v>
      </x:c>
      <x:c r="H2013" s="87" t="n">
        <x:v>18</x:v>
      </x:c>
      <x:c r="I2013" s="87" t="n">
        <x:v>151</x:v>
      </x:c>
      <x:c r="J2013" s="68" t="n">
        <x:f>IFERROR(H2013/I2013,"")</x:f>
        <x:v>0.11920529801324503</x:v>
      </x:c>
      <x:c r="K2013" s="69" t="n">
        <x:f>IFERROR(I2013/H2013,"")</x:f>
        <x:v>8.38888888888889</x:v>
      </x:c>
      <x:c r="L2013" s="66" t="str">
        <x:f>IF(K2013="","","1 : "&amp;TEXT(K2013,"0.0"))</x:f>
        <x:v>1 : 8.4</x:v>
      </x:c>
      <x:c r="M2013" s="66" t="str">
        <x:f>IF(J2013="","Baru/Tanpa Data",IF(J2013&lt;='Catatan &amp; Sumber'!$B$14,"Sangat Ketat",IF(J2013&lt;='Catatan &amp; Sumber'!$B$15,"Ketat",IF(J2013&lt;='Catatan &amp; Sumber'!$B$16,"Sedang","Relatif Longgar"))))</x:f>
        <x:v>Relatif Longgar</x:v>
      </x:c>
      <x:c r="N2013" s="66" t="str">
        <x:v>Seni Rupa, Desain, dan Kriya</x:v>
      </x:c>
      <x:c r="O2013" s="66" t="str">
        <x:v>Jawa Tengah</x:v>
      </x:c>
      <x:c r="P2013" s="66" t="str">
        <x:v>Kota Surakarta</x:v>
      </x:c>
      <x:c r="Q2013" s="66" t="str">
        <x:v>https://snpmb.id/snbp/daya-tampung-snbp</x:v>
      </x:c>
      <x:c r="R2013" s="66" t="str">
        <x:v>https://sidatagrun-public-1076756628210.asia-southeast2.run.app/ptn_sn.php?ptn=353</x:v>
      </x:c>
    </x:row>
    <x:row r="2014">
      <x:c r="A2014" s="87" t="n">
        <x:v>765</x:v>
      </x:c>
      <x:c r="B2014" s="66" t="n">
        <x:v>353</x:v>
      </x:c>
      <x:c r="C2014" s="66" t="str">
        <x:v>UNIVERSITAS SEBELAS MARET</x:v>
      </x:c>
      <x:c r="D2014" s="66" t="str">
        <x:v>PTN Akademik</x:v>
      </x:c>
      <x:c r="E2014" s="66" t="str">
        <x:v>13531049</x:v>
      </x:c>
      <x:c r="F2014" s="66" t="str">
        <x:v>DESAIN KOMUNIKASI VISUAL</x:v>
      </x:c>
      <x:c r="G2014" s="66" t="str">
        <x:v>Sarjana</x:v>
      </x:c>
      <x:c r="H2014" s="87" t="n">
        <x:v>30</x:v>
      </x:c>
      <x:c r="I2014" s="87" t="n">
        <x:v>460</x:v>
      </x:c>
      <x:c r="J2014" s="68" t="n">
        <x:f>IFERROR(H2014/I2014,"")</x:f>
        <x:v>0.06521739130434782</x:v>
      </x:c>
      <x:c r="K2014" s="69" t="n">
        <x:f>IFERROR(I2014/H2014,"")</x:f>
        <x:v>15.333333333333334</x:v>
      </x:c>
      <x:c r="L2014" s="66" t="str">
        <x:f>IF(K2014="","","1 : "&amp;TEXT(K2014,"0.0"))</x:f>
        <x:v>1 : 15.3</x:v>
      </x:c>
      <x:c r="M2014" s="66" t="str">
        <x:f>IF(J2014="","Baru/Tanpa Data",IF(J2014&lt;='Catatan &amp; Sumber'!$B$14,"Sangat Ketat",IF(J2014&lt;='Catatan &amp; Sumber'!$B$15,"Ketat",IF(J2014&lt;='Catatan &amp; Sumber'!$B$16,"Sedang","Relatif Longgar"))))</x:f>
        <x:v>Sedang</x:v>
      </x:c>
      <x:c r="N2014" s="66" t="str">
        <x:v>Seni Rupa, Desain, dan Kriya</x:v>
      </x:c>
      <x:c r="O2014" s="66" t="str">
        <x:v>Jawa Tengah</x:v>
      </x:c>
      <x:c r="P2014" s="66" t="str">
        <x:v>Kota Surakarta</x:v>
      </x:c>
      <x:c r="Q2014" s="66" t="str">
        <x:v>https://snpmb.id/snbp/daya-tampung-snbp</x:v>
      </x:c>
      <x:c r="R2014" s="66" t="str">
        <x:v>https://sidatagrun-public-1076756628210.asia-southeast2.run.app/ptn_sn.php?ptn=353</x:v>
      </x:c>
    </x:row>
    <x:row r="2015">
      <x:c r="A2015" s="87" t="n">
        <x:v>1474</x:v>
      </x:c>
      <x:c r="B2015" s="66" t="n">
        <x:v>353</x:v>
      </x:c>
      <x:c r="C2015" s="66" t="str">
        <x:v>UNIVERSITAS SEBELAS MARET</x:v>
      </x:c>
      <x:c r="D2015" s="66" t="str">
        <x:v>PTN Akademik</x:v>
      </x:c>
      <x:c r="E2015" s="66" t="str">
        <x:v>13531050</x:v>
      </x:c>
      <x:c r="F2015" s="66" t="str">
        <x:v>PENDIDIKAN SEJARAH</x:v>
      </x:c>
      <x:c r="G2015" s="66" t="str">
        <x:v>Sarjana</x:v>
      </x:c>
      <x:c r="H2015" s="87" t="n">
        <x:v>18</x:v>
      </x:c>
      <x:c r="I2015" s="87" t="n">
        <x:v>167</x:v>
      </x:c>
      <x:c r="J2015" s="68" t="n">
        <x:f>IFERROR(H2015/I2015,"")</x:f>
        <x:v>0.10778443113772455</x:v>
      </x:c>
      <x:c r="K2015" s="69" t="n">
        <x:f>IFERROR(I2015/H2015,"")</x:f>
        <x:v>9.277777777777779</x:v>
      </x:c>
      <x:c r="L2015" s="66" t="str">
        <x:f>IF(K2015="","","1 : "&amp;TEXT(K2015,"0.0"))</x:f>
        <x:v>1 : 9.3</x:v>
      </x:c>
      <x:c r="M2015" s="66" t="str">
        <x:f>IF(J2015="","Baru/Tanpa Data",IF(J2015&lt;='Catatan &amp; Sumber'!$B$14,"Sangat Ketat",IF(J2015&lt;='Catatan &amp; Sumber'!$B$15,"Ketat",IF(J2015&lt;='Catatan &amp; Sumber'!$B$16,"Sedang","Relatif Longgar"))))</x:f>
        <x:v>Relatif Longgar</x:v>
      </x:c>
      <x:c r="N2015" s="66" t="str">
        <x:v>Tidak Ada</x:v>
      </x:c>
      <x:c r="O2015" s="66" t="str">
        <x:v>Jawa Tengah</x:v>
      </x:c>
      <x:c r="P2015" s="66" t="str">
        <x:v>Kota Surakarta</x:v>
      </x:c>
      <x:c r="Q2015" s="66" t="str">
        <x:v>https://snpmb.id/snbp/daya-tampung-snbp</x:v>
      </x:c>
      <x:c r="R2015" s="66" t="str">
        <x:v>https://sidatagrun-public-1076756628210.asia-southeast2.run.app/ptn_sn.php?ptn=353</x:v>
      </x:c>
    </x:row>
    <x:row r="2016">
      <x:c r="A2016" s="87" t="n">
        <x:v>1510</x:v>
      </x:c>
      <x:c r="B2016" s="66" t="n">
        <x:v>353</x:v>
      </x:c>
      <x:c r="C2016" s="66" t="str">
        <x:v>UNIVERSITAS SEBELAS MARET</x:v>
      </x:c>
      <x:c r="D2016" s="66" t="str">
        <x:v>PTN Akademik</x:v>
      </x:c>
      <x:c r="E2016" s="66" t="str">
        <x:v>13531051</x:v>
      </x:c>
      <x:c r="F2016" s="66" t="str">
        <x:v>PENDIDIKAN GEOGRAFI</x:v>
      </x:c>
      <x:c r="G2016" s="66" t="str">
        <x:v>Sarjana</x:v>
      </x:c>
      <x:c r="H2016" s="87" t="n">
        <x:v>27</x:v>
      </x:c>
      <x:c r="I2016" s="87" t="n">
        <x:v>245</x:v>
      </x:c>
      <x:c r="J2016" s="68" t="n">
        <x:f>IFERROR(H2016/I2016,"")</x:f>
        <x:v>0.11020408163265306</x:v>
      </x:c>
      <x:c r="K2016" s="69" t="n">
        <x:f>IFERROR(I2016/H2016,"")</x:f>
        <x:v>9.074074074074074</x:v>
      </x:c>
      <x:c r="L2016" s="66" t="str">
        <x:f>IF(K2016="","","1 : "&amp;TEXT(K2016,"0.0"))</x:f>
        <x:v>1 : 9.1</x:v>
      </x:c>
      <x:c r="M2016" s="66" t="str">
        <x:f>IF(J2016="","Baru/Tanpa Data",IF(J2016&lt;='Catatan &amp; Sumber'!$B$14,"Sangat Ketat",IF(J2016&lt;='Catatan &amp; Sumber'!$B$15,"Ketat",IF(J2016&lt;='Catatan &amp; Sumber'!$B$16,"Sedang","Relatif Longgar"))))</x:f>
        <x:v>Relatif Longgar</x:v>
      </x:c>
      <x:c r="N2016" s="66" t="str">
        <x:v>Tidak Ada</x:v>
      </x:c>
      <x:c r="O2016" s="66" t="str">
        <x:v>Jawa Tengah</x:v>
      </x:c>
      <x:c r="P2016" s="66" t="str">
        <x:v>Kota Surakarta</x:v>
      </x:c>
      <x:c r="Q2016" s="66" t="str">
        <x:v>https://snpmb.id/snbp/daya-tampung-snbp</x:v>
      </x:c>
      <x:c r="R2016" s="66" t="str">
        <x:v>https://sidatagrun-public-1076756628210.asia-southeast2.run.app/ptn_sn.php?ptn=353</x:v>
      </x:c>
    </x:row>
    <x:row r="2017">
      <x:c r="A2017" s="87" t="n">
        <x:v>854</x:v>
      </x:c>
      <x:c r="B2017" s="66" t="n">
        <x:v>353</x:v>
      </x:c>
      <x:c r="C2017" s="66" t="str">
        <x:v>UNIVERSITAS SEBELAS MARET</x:v>
      </x:c>
      <x:c r="D2017" s="66" t="str">
        <x:v>PTN Akademik</x:v>
      </x:c>
      <x:c r="E2017" s="66" t="str">
        <x:v>13531052</x:v>
      </x:c>
      <x:c r="F2017" s="66" t="str">
        <x:v>PEND. PANCASILA &amp; KEWARGANEGARAAN (PPKN)</x:v>
      </x:c>
      <x:c r="G2017" s="66" t="str">
        <x:v>Sarjana</x:v>
      </x:c>
      <x:c r="H2017" s="87" t="n">
        <x:v>18</x:v>
      </x:c>
      <x:c r="I2017" s="87" t="n">
        <x:v>259</x:v>
      </x:c>
      <x:c r="J2017" s="68" t="n">
        <x:f>IFERROR(H2017/I2017,"")</x:f>
        <x:v>0.0694980694980695</x:v>
      </x:c>
      <x:c r="K2017" s="69" t="n">
        <x:f>IFERROR(I2017/H2017,"")</x:f>
        <x:v>14.38888888888889</x:v>
      </x:c>
      <x:c r="L2017" s="66" t="str">
        <x:f>IF(K2017="","","1 : "&amp;TEXT(K2017,"0.0"))</x:f>
        <x:v>1 : 14.4</x:v>
      </x:c>
      <x:c r="M2017" s="66" t="str">
        <x:f>IF(J2017="","Baru/Tanpa Data",IF(J2017&lt;='Catatan &amp; Sumber'!$B$14,"Sangat Ketat",IF(J2017&lt;='Catatan &amp; Sumber'!$B$15,"Ketat",IF(J2017&lt;='Catatan &amp; Sumber'!$B$16,"Sedang","Relatif Longgar"))))</x:f>
        <x:v>Sedang</x:v>
      </x:c>
      <x:c r="N2017" s="66" t="str">
        <x:v>Tidak Ada</x:v>
      </x:c>
      <x:c r="O2017" s="66" t="str">
        <x:v>Jawa Tengah</x:v>
      </x:c>
      <x:c r="P2017" s="66" t="str">
        <x:v>Kota Surakarta</x:v>
      </x:c>
      <x:c r="Q2017" s="66" t="str">
        <x:v>https://snpmb.id/snbp/daya-tampung-snbp</x:v>
      </x:c>
      <x:c r="R2017" s="66" t="str">
        <x:v>https://sidatagrun-public-1076756628210.asia-southeast2.run.app/ptn_sn.php?ptn=353</x:v>
      </x:c>
    </x:row>
    <x:row r="2018">
      <x:c r="A2018" s="87" t="n">
        <x:v>1695</x:v>
      </x:c>
      <x:c r="B2018" s="66" t="n">
        <x:v>353</x:v>
      </x:c>
      <x:c r="C2018" s="66" t="str">
        <x:v>UNIVERSITAS SEBELAS MARET</x:v>
      </x:c>
      <x:c r="D2018" s="66" t="str">
        <x:v>PTN Akademik</x:v>
      </x:c>
      <x:c r="E2018" s="66" t="str">
        <x:v>13531053</x:v>
      </x:c>
      <x:c r="F2018" s="66" t="str">
        <x:v>PENDIDIKAN LUAR BIASA (PENDIDIKAN KHUSUS)</x:v>
      </x:c>
      <x:c r="G2018" s="66" t="str">
        <x:v>Sarjana</x:v>
      </x:c>
      <x:c r="H2018" s="87" t="n">
        <x:v>24</x:v>
      </x:c>
      <x:c r="I2018" s="87" t="n">
        <x:v>194</x:v>
      </x:c>
      <x:c r="J2018" s="68" t="n">
        <x:f>IFERROR(H2018/I2018,"")</x:f>
        <x:v>0.12371134020618557</x:v>
      </x:c>
      <x:c r="K2018" s="69" t="n">
        <x:f>IFERROR(I2018/H2018,"")</x:f>
        <x:v>8.083333333333334</x:v>
      </x:c>
      <x:c r="L2018" s="66" t="str">
        <x:f>IF(K2018="","","1 : "&amp;TEXT(K2018,"0.0"))</x:f>
        <x:v>1 : 8.1</x:v>
      </x:c>
      <x:c r="M2018" s="66" t="str">
        <x:f>IF(J2018="","Baru/Tanpa Data",IF(J2018&lt;='Catatan &amp; Sumber'!$B$14,"Sangat Ketat",IF(J2018&lt;='Catatan &amp; Sumber'!$B$15,"Ketat",IF(J2018&lt;='Catatan &amp; Sumber'!$B$16,"Sedang","Relatif Longgar"))))</x:f>
        <x:v>Relatif Longgar</x:v>
      </x:c>
      <x:c r="N2018" s="66" t="str">
        <x:v>Tidak Ada</x:v>
      </x:c>
      <x:c r="O2018" s="66" t="str">
        <x:v>Jawa Tengah</x:v>
      </x:c>
      <x:c r="P2018" s="66" t="str">
        <x:v>Kota Surakarta</x:v>
      </x:c>
      <x:c r="Q2018" s="66" t="str">
        <x:v>https://snpmb.id/snbp/daya-tampung-snbp</x:v>
      </x:c>
      <x:c r="R2018" s="66" t="str">
        <x:v>https://sidatagrun-public-1076756628210.asia-southeast2.run.app/ptn_sn.php?ptn=353</x:v>
      </x:c>
    </x:row>
    <x:row r="2019">
      <x:c r="A2019" s="87" t="n">
        <x:v>968</x:v>
      </x:c>
      <x:c r="B2019" s="66" t="n">
        <x:v>353</x:v>
      </x:c>
      <x:c r="C2019" s="66" t="str">
        <x:v>UNIVERSITAS SEBELAS MARET</x:v>
      </x:c>
      <x:c r="D2019" s="66" t="str">
        <x:v>PTN Akademik</x:v>
      </x:c>
      <x:c r="E2019" s="66" t="str">
        <x:v>13531054</x:v>
      </x:c>
      <x:c r="F2019" s="66" t="str">
        <x:v>PENDIDIKAN JASMANI, KESEHATAN &amp; REKREASI</x:v>
      </x:c>
      <x:c r="G2019" s="66" t="str">
        <x:v>Sarjana</x:v>
      </x:c>
      <x:c r="H2019" s="87" t="n">
        <x:v>32</x:v>
      </x:c>
      <x:c r="I2019" s="87" t="n">
        <x:v>420</x:v>
      </x:c>
      <x:c r="J2019" s="68" t="n">
        <x:f>IFERROR(H2019/I2019,"")</x:f>
        <x:v>0.0761904761904762</x:v>
      </x:c>
      <x:c r="K2019" s="69" t="n">
        <x:f>IFERROR(I2019/H2019,"")</x:f>
        <x:v>13.125</x:v>
      </x:c>
      <x:c r="L2019" s="66" t="str">
        <x:f>IF(K2019="","","1 : "&amp;TEXT(K2019,"0.0"))</x:f>
        <x:v>1 : 13.1</x:v>
      </x:c>
      <x:c r="M2019" s="66" t="str">
        <x:f>IF(J2019="","Baru/Tanpa Data",IF(J2019&lt;='Catatan &amp; Sumber'!$B$14,"Sangat Ketat",IF(J2019&lt;='Catatan &amp; Sumber'!$B$15,"Ketat",IF(J2019&lt;='Catatan &amp; Sumber'!$B$16,"Sedang","Relatif Longgar"))))</x:f>
        <x:v>Sedang</x:v>
      </x:c>
      <x:c r="N2019" s="66" t="str">
        <x:v>Olahraga</x:v>
      </x:c>
      <x:c r="O2019" s="66" t="str">
        <x:v>Jawa Tengah</x:v>
      </x:c>
      <x:c r="P2019" s="66" t="str">
        <x:v>Kota Surakarta</x:v>
      </x:c>
      <x:c r="Q2019" s="66" t="str">
        <x:v>https://snpmb.id/snbp/daya-tampung-snbp</x:v>
      </x:c>
      <x:c r="R2019" s="66" t="str">
        <x:v>https://sidatagrun-public-1076756628210.asia-southeast2.run.app/ptn_sn.php?ptn=353</x:v>
      </x:c>
    </x:row>
    <x:row r="2020">
      <x:c r="A2020" s="87" t="n">
        <x:v>1148</x:v>
      </x:c>
      <x:c r="B2020" s="66" t="n">
        <x:v>353</x:v>
      </x:c>
      <x:c r="C2020" s="66" t="str">
        <x:v>UNIVERSITAS SEBELAS MARET</x:v>
      </x:c>
      <x:c r="D2020" s="66" t="str">
        <x:v>PTN Akademik</x:v>
      </x:c>
      <x:c r="E2020" s="66" t="str">
        <x:v>13531055</x:v>
      </x:c>
      <x:c r="F2020" s="66" t="str">
        <x:v>PENDIDIKAN KEPELATIHAN OLAHRAGA</x:v>
      </x:c>
      <x:c r="G2020" s="66" t="str">
        <x:v>Sarjana</x:v>
      </x:c>
      <x:c r="H2020" s="87" t="n">
        <x:v>33</x:v>
      </x:c>
      <x:c r="I2020" s="87" t="n">
        <x:v>380</x:v>
      </x:c>
      <x:c r="J2020" s="68" t="n">
        <x:f>IFERROR(H2020/I2020,"")</x:f>
        <x:v>0.0868421052631579</x:v>
      </x:c>
      <x:c r="K2020" s="69" t="n">
        <x:f>IFERROR(I2020/H2020,"")</x:f>
        <x:v>11.515151515151516</x:v>
      </x:c>
      <x:c r="L2020" s="66" t="str">
        <x:f>IF(K2020="","","1 : "&amp;TEXT(K2020,"0.0"))</x:f>
        <x:v>1 : 11.5</x:v>
      </x:c>
      <x:c r="M2020" s="66" t="str">
        <x:f>IF(J2020="","Baru/Tanpa Data",IF(J2020&lt;='Catatan &amp; Sumber'!$B$14,"Sangat Ketat",IF(J2020&lt;='Catatan &amp; Sumber'!$B$15,"Ketat",IF(J2020&lt;='Catatan &amp; Sumber'!$B$16,"Sedang","Relatif Longgar"))))</x:f>
        <x:v>Sedang</x:v>
      </x:c>
      <x:c r="N2020" s="66" t="str">
        <x:v>Olahraga</x:v>
      </x:c>
      <x:c r="O2020" s="66" t="str">
        <x:v>Jawa Tengah</x:v>
      </x:c>
      <x:c r="P2020" s="66" t="str">
        <x:v>Kota Surakarta</x:v>
      </x:c>
      <x:c r="Q2020" s="66" t="str">
        <x:v>https://snpmb.id/snbp/daya-tampung-snbp</x:v>
      </x:c>
      <x:c r="R2020" s="66" t="str">
        <x:v>https://sidatagrun-public-1076756628210.asia-southeast2.run.app/ptn_sn.php?ptn=353</x:v>
      </x:c>
    </x:row>
    <x:row r="2021">
      <x:c r="A2021" s="87" t="n">
        <x:v>469</x:v>
      </x:c>
      <x:c r="B2021" s="66" t="n">
        <x:v>353</x:v>
      </x:c>
      <x:c r="C2021" s="66" t="str">
        <x:v>UNIVERSITAS SEBELAS MARET</x:v>
      </x:c>
      <x:c r="D2021" s="66" t="str">
        <x:v>PTN Akademik</x:v>
      </x:c>
      <x:c r="E2021" s="66" t="str">
        <x:v>13531057</x:v>
      </x:c>
      <x:c r="F2021" s="66" t="str">
        <x:v>PEND. BAHASA, SASTRA INDONESIA &amp; DAERAH</x:v>
      </x:c>
      <x:c r="G2021" s="66" t="str">
        <x:v>Sarjana</x:v>
      </x:c>
      <x:c r="H2021" s="87" t="n">
        <x:v>18</x:v>
      </x:c>
      <x:c r="I2021" s="87" t="n">
        <x:v>362</x:v>
      </x:c>
      <x:c r="J2021" s="68" t="n">
        <x:f>IFERROR(H2021/I2021,"")</x:f>
        <x:v>0.049723756906077346</x:v>
      </x:c>
      <x:c r="K2021" s="69" t="n">
        <x:f>IFERROR(I2021/H2021,"")</x:f>
        <x:v>20.11111111111111</x:v>
      </x:c>
      <x:c r="L2021" s="66" t="str">
        <x:f>IF(K2021="","","1 : "&amp;TEXT(K2021,"0.0"))</x:f>
        <x:v>1 : 20.1</x:v>
      </x:c>
      <x:c r="M2021" s="66" t="str">
        <x:f>IF(J2021="","Baru/Tanpa Data",IF(J2021&lt;='Catatan &amp; Sumber'!$B$14,"Sangat Ketat",IF(J2021&lt;='Catatan &amp; Sumber'!$B$15,"Ketat",IF(J2021&lt;='Catatan &amp; Sumber'!$B$16,"Sedang","Relatif Longgar"))))</x:f>
        <x:v>Ketat</x:v>
      </x:c>
      <x:c r="N2021" s="66" t="str">
        <x:v>Tidak Ada</x:v>
      </x:c>
      <x:c r="O2021" s="66" t="str">
        <x:v>Jawa Tengah</x:v>
      </x:c>
      <x:c r="P2021" s="66" t="str">
        <x:v>Kota Surakarta</x:v>
      </x:c>
      <x:c r="Q2021" s="66" t="str">
        <x:v>https://snpmb.id/snbp/daya-tampung-snbp</x:v>
      </x:c>
      <x:c r="R2021" s="66" t="str">
        <x:v>https://sidatagrun-public-1076756628210.asia-southeast2.run.app/ptn_sn.php?ptn=353</x:v>
      </x:c>
    </x:row>
    <x:row r="2022">
      <x:c r="A2022" s="87" t="n">
        <x:v>314</x:v>
      </x:c>
      <x:c r="B2022" s="66" t="n">
        <x:v>353</x:v>
      </x:c>
      <x:c r="C2022" s="66" t="str">
        <x:v>UNIVERSITAS SEBELAS MARET</x:v>
      </x:c>
      <x:c r="D2022" s="66" t="str">
        <x:v>PTN Akademik</x:v>
      </x:c>
      <x:c r="E2022" s="66" t="str">
        <x:v>13531058</x:v>
      </x:c>
      <x:c r="F2022" s="66" t="str">
        <x:v>PENDIDIKAN BAHASA INGGRIS</x:v>
      </x:c>
      <x:c r="G2022" s="66" t="str">
        <x:v>Sarjana</x:v>
      </x:c>
      <x:c r="H2022" s="87" t="n">
        <x:v>18</x:v>
      </x:c>
      <x:c r="I2022" s="87" t="n">
        <x:v>420</x:v>
      </x:c>
      <x:c r="J2022" s="68" t="n">
        <x:f>IFERROR(H2022/I2022,"")</x:f>
        <x:v>0.04285714285714286</x:v>
      </x:c>
      <x:c r="K2022" s="69" t="n">
        <x:f>IFERROR(I2022/H2022,"")</x:f>
        <x:v>23.333333333333332</x:v>
      </x:c>
      <x:c r="L2022" s="66" t="str">
        <x:f>IF(K2022="","","1 : "&amp;TEXT(K2022,"0.0"))</x:f>
        <x:v>1 : 23.3</x:v>
      </x:c>
      <x:c r="M2022" s="66" t="str">
        <x:f>IF(J2022="","Baru/Tanpa Data",IF(J2022&lt;='Catatan &amp; Sumber'!$B$14,"Sangat Ketat",IF(J2022&lt;='Catatan &amp; Sumber'!$B$15,"Ketat",IF(J2022&lt;='Catatan &amp; Sumber'!$B$16,"Sedang","Relatif Longgar"))))</x:f>
        <x:v>Ketat</x:v>
      </x:c>
      <x:c r="N2022" s="66" t="str">
        <x:v>Tidak Ada</x:v>
      </x:c>
      <x:c r="O2022" s="66" t="str">
        <x:v>Jawa Tengah</x:v>
      </x:c>
      <x:c r="P2022" s="66" t="str">
        <x:v>Kota Surakarta</x:v>
      </x:c>
      <x:c r="Q2022" s="66" t="str">
        <x:v>https://snpmb.id/snbp/daya-tampung-snbp</x:v>
      </x:c>
      <x:c r="R2022" s="66" t="str">
        <x:v>https://sidatagrun-public-1076756628210.asia-southeast2.run.app/ptn_sn.php?ptn=353</x:v>
      </x:c>
    </x:row>
    <x:row r="2023">
      <x:c r="A2023" s="87" t="n">
        <x:v>3048</x:v>
      </x:c>
      <x:c r="B2023" s="66" t="n">
        <x:v>353</x:v>
      </x:c>
      <x:c r="C2023" s="66" t="str">
        <x:v>UNIVERSITAS SEBELAS MARET</x:v>
      </x:c>
      <x:c r="D2023" s="66" t="str">
        <x:v>PTN Akademik</x:v>
      </x:c>
      <x:c r="E2023" s="66" t="str">
        <x:v>13531059</x:v>
      </x:c>
      <x:c r="F2023" s="66" t="str">
        <x:v>PENDIDIKAN SENI RUPA</x:v>
      </x:c>
      <x:c r="G2023" s="66" t="str">
        <x:v>Sarjana</x:v>
      </x:c>
      <x:c r="H2023" s="87" t="n">
        <x:v>24</x:v>
      </x:c>
      <x:c r="I2023" s="87" t="n">
        <x:v>79</x:v>
      </x:c>
      <x:c r="J2023" s="68" t="n">
        <x:f>IFERROR(H2023/I2023,"")</x:f>
        <x:v>0.3037974683544304</x:v>
      </x:c>
      <x:c r="K2023" s="69" t="n">
        <x:f>IFERROR(I2023/H2023,"")</x:f>
        <x:v>3.2916666666666665</x:v>
      </x:c>
      <x:c r="L2023" s="66" t="str">
        <x:f>IF(K2023="","","1 : "&amp;TEXT(K2023,"0.0"))</x:f>
        <x:v>1 : 3.3</x:v>
      </x:c>
      <x:c r="M2023" s="66" t="str">
        <x:f>IF(J2023="","Baru/Tanpa Data",IF(J2023&lt;='Catatan &amp; Sumber'!$B$14,"Sangat Ketat",IF(J2023&lt;='Catatan &amp; Sumber'!$B$15,"Ketat",IF(J2023&lt;='Catatan &amp; Sumber'!$B$16,"Sedang","Relatif Longgar"))))</x:f>
        <x:v>Relatif Longgar</x:v>
      </x:c>
      <x:c r="N2023" s="66" t="str">
        <x:v>Seni Rupa, Desain, dan Kriya</x:v>
      </x:c>
      <x:c r="O2023" s="66" t="str">
        <x:v>Jawa Tengah</x:v>
      </x:c>
      <x:c r="P2023" s="66" t="str">
        <x:v>Kota Surakarta</x:v>
      </x:c>
      <x:c r="Q2023" s="66" t="str">
        <x:v>https://snpmb.id/snbp/daya-tampung-snbp</x:v>
      </x:c>
      <x:c r="R2023" s="66" t="str">
        <x:v>https://sidatagrun-public-1076756628210.asia-southeast2.run.app/ptn_sn.php?ptn=353</x:v>
      </x:c>
    </x:row>
    <x:row r="2024">
      <x:c r="A2024" s="87" t="n">
        <x:v>1020</x:v>
      </x:c>
      <x:c r="B2024" s="66" t="n">
        <x:v>353</x:v>
      </x:c>
      <x:c r="C2024" s="66" t="str">
        <x:v>UNIVERSITAS SEBELAS MARET</x:v>
      </x:c>
      <x:c r="D2024" s="66" t="str">
        <x:v>PTN Akademik</x:v>
      </x:c>
      <x:c r="E2024" s="66" t="str">
        <x:v>13531060</x:v>
      </x:c>
      <x:c r="F2024" s="66" t="str">
        <x:v>PENDIDIKAN SOSIOLOGI ANTROPOLOGI</x:v>
      </x:c>
      <x:c r="G2024" s="66" t="str">
        <x:v>Sarjana</x:v>
      </x:c>
      <x:c r="H2024" s="87" t="n">
        <x:v>16</x:v>
      </x:c>
      <x:c r="I2024" s="87" t="n">
        <x:v>202</x:v>
      </x:c>
      <x:c r="J2024" s="68" t="n">
        <x:f>IFERROR(H2024/I2024,"")</x:f>
        <x:v>0.07920792079207921</x:v>
      </x:c>
      <x:c r="K2024" s="69" t="n">
        <x:f>IFERROR(I2024/H2024,"")</x:f>
        <x:v>12.625</x:v>
      </x:c>
      <x:c r="L2024" s="66" t="str">
        <x:f>IF(K2024="","","1 : "&amp;TEXT(K2024,"0.0"))</x:f>
        <x:v>1 : 12.6</x:v>
      </x:c>
      <x:c r="M2024" s="66" t="str">
        <x:f>IF(J2024="","Baru/Tanpa Data",IF(J2024&lt;='Catatan &amp; Sumber'!$B$14,"Sangat Ketat",IF(J2024&lt;='Catatan &amp; Sumber'!$B$15,"Ketat",IF(J2024&lt;='Catatan &amp; Sumber'!$B$16,"Sedang","Relatif Longgar"))))</x:f>
        <x:v>Sedang</x:v>
      </x:c>
      <x:c r="N2024" s="66" t="str">
        <x:v>Tidak Ada</x:v>
      </x:c>
      <x:c r="O2024" s="66" t="str">
        <x:v>Jawa Tengah</x:v>
      </x:c>
      <x:c r="P2024" s="66" t="str">
        <x:v>Kota Surakarta</x:v>
      </x:c>
      <x:c r="Q2024" s="66" t="str">
        <x:v>https://snpmb.id/snbp/daya-tampung-snbp</x:v>
      </x:c>
      <x:c r="R2024" s="66" t="str">
        <x:v>https://sidatagrun-public-1076756628210.asia-southeast2.run.app/ptn_sn.php?ptn=353</x:v>
      </x:c>
    </x:row>
    <x:row r="2025">
      <x:c r="A2025" s="87" t="n">
        <x:v>196</x:v>
      </x:c>
      <x:c r="B2025" s="66" t="n">
        <x:v>353</x:v>
      </x:c>
      <x:c r="C2025" s="66" t="str">
        <x:v>UNIVERSITAS SEBELAS MARET</x:v>
      </x:c>
      <x:c r="D2025" s="66" t="str">
        <x:v>PTN Akademik</x:v>
      </x:c>
      <x:c r="E2025" s="66" t="str">
        <x:v>13531061</x:v>
      </x:c>
      <x:c r="F2025" s="66" t="str">
        <x:v>PEND. GURU SEKOLAH DASAR (PGSD) SURAKARTA</x:v>
      </x:c>
      <x:c r="G2025" s="66" t="str">
        <x:v>Sarjana</x:v>
      </x:c>
      <x:c r="H2025" s="87" t="n">
        <x:v>43</x:v>
      </x:c>
      <x:c r="I2025" s="87" t="n">
        <x:v>1169</x:v>
      </x:c>
      <x:c r="J2025" s="68" t="n">
        <x:f>IFERROR(H2025/I2025,"")</x:f>
        <x:v>0.036783575705731396</x:v>
      </x:c>
      <x:c r="K2025" s="69" t="n">
        <x:f>IFERROR(I2025/H2025,"")</x:f>
        <x:v>27.186046511627907</x:v>
      </x:c>
      <x:c r="L2025" s="66" t="str">
        <x:f>IF(K2025="","","1 : "&amp;TEXT(K2025,"0.0"))</x:f>
        <x:v>1 : 27.2</x:v>
      </x:c>
      <x:c r="M2025" s="66" t="str">
        <x:f>IF(J2025="","Baru/Tanpa Data",IF(J2025&lt;='Catatan &amp; Sumber'!$B$14,"Sangat Ketat",IF(J2025&lt;='Catatan &amp; Sumber'!$B$15,"Ketat",IF(J2025&lt;='Catatan &amp; Sumber'!$B$16,"Sedang","Relatif Longgar"))))</x:f>
        <x:v>Ketat</x:v>
      </x:c>
      <x:c r="N2025" s="66" t="str">
        <x:v>Tidak Ada</x:v>
      </x:c>
      <x:c r="O2025" s="66" t="str">
        <x:v>Jawa Tengah</x:v>
      </x:c>
      <x:c r="P2025" s="66" t="str">
        <x:v>Kota Surakarta</x:v>
      </x:c>
      <x:c r="Q2025" s="66" t="str">
        <x:v>https://snpmb.id/snbp/daya-tampung-snbp</x:v>
      </x:c>
      <x:c r="R2025" s="66" t="str">
        <x:v>https://sidatagrun-public-1076756628210.asia-southeast2.run.app/ptn_sn.php?ptn=353</x:v>
      </x:c>
    </x:row>
    <x:row r="2026">
      <x:c r="A2026" s="87" t="n">
        <x:v>355</x:v>
      </x:c>
      <x:c r="B2026" s="66" t="n">
        <x:v>353</x:v>
      </x:c>
      <x:c r="C2026" s="66" t="str">
        <x:v>UNIVERSITAS SEBELAS MARET</x:v>
      </x:c>
      <x:c r="D2026" s="66" t="str">
        <x:v>PTN Akademik</x:v>
      </x:c>
      <x:c r="E2026" s="66" t="str">
        <x:v>13531062</x:v>
      </x:c>
      <x:c r="F2026" s="66" t="str">
        <x:v>BIMBINGAN DAN KONSELING</x:v>
      </x:c>
      <x:c r="G2026" s="66" t="str">
        <x:v>Sarjana</x:v>
      </x:c>
      <x:c r="H2026" s="87" t="n">
        <x:v>18</x:v>
      </x:c>
      <x:c r="I2026" s="87" t="n">
        <x:v>401</x:v>
      </x:c>
      <x:c r="J2026" s="68" t="n">
        <x:f>IFERROR(H2026/I2026,"")</x:f>
        <x:v>0.04488778054862843</x:v>
      </x:c>
      <x:c r="K2026" s="69" t="n">
        <x:f>IFERROR(I2026/H2026,"")</x:f>
        <x:v>22.27777777777778</x:v>
      </x:c>
      <x:c r="L2026" s="66" t="str">
        <x:f>IF(K2026="","","1 : "&amp;TEXT(K2026,"0.0"))</x:f>
        <x:v>1 : 22.3</x:v>
      </x:c>
      <x:c r="M2026" s="66" t="str">
        <x:f>IF(J2026="","Baru/Tanpa Data",IF(J2026&lt;='Catatan &amp; Sumber'!$B$14,"Sangat Ketat",IF(J2026&lt;='Catatan &amp; Sumber'!$B$15,"Ketat",IF(J2026&lt;='Catatan &amp; Sumber'!$B$16,"Sedang","Relatif Longgar"))))</x:f>
        <x:v>Ketat</x:v>
      </x:c>
      <x:c r="N2026" s="66" t="str">
        <x:v>Tidak Ada</x:v>
      </x:c>
      <x:c r="O2026" s="66" t="str">
        <x:v>Jawa Tengah</x:v>
      </x:c>
      <x:c r="P2026" s="66" t="str">
        <x:v>Kota Surakarta</x:v>
      </x:c>
      <x:c r="Q2026" s="66" t="str">
        <x:v>https://snpmb.id/snbp/daya-tampung-snbp</x:v>
      </x:c>
      <x:c r="R2026" s="66" t="str">
        <x:v>https://sidatagrun-public-1076756628210.asia-southeast2.run.app/ptn_sn.php?ptn=353</x:v>
      </x:c>
    </x:row>
    <x:row r="2027">
      <x:c r="A2027" s="87" t="n">
        <x:v>1317</x:v>
      </x:c>
      <x:c r="B2027" s="66" t="n">
        <x:v>353</x:v>
      </x:c>
      <x:c r="C2027" s="66" t="str">
        <x:v>UNIVERSITAS SEBELAS MARET</x:v>
      </x:c>
      <x:c r="D2027" s="66" t="str">
        <x:v>PTN Akademik</x:v>
      </x:c>
      <x:c r="E2027" s="66" t="str">
        <x:v>13531063</x:v>
      </x:c>
      <x:c r="F2027" s="66" t="str">
        <x:v>PEND. GURU PEND ANAK USIA DINI (PG-PAUD)</x:v>
      </x:c>
      <x:c r="G2027" s="66" t="str">
        <x:v>Sarjana</x:v>
      </x:c>
      <x:c r="H2027" s="87" t="n">
        <x:v>16</x:v>
      </x:c>
      <x:c r="I2027" s="87" t="n">
        <x:v>166</x:v>
      </x:c>
      <x:c r="J2027" s="68" t="n">
        <x:f>IFERROR(H2027/I2027,"")</x:f>
        <x:v>0.0963855421686747</x:v>
      </x:c>
      <x:c r="K2027" s="69" t="n">
        <x:f>IFERROR(I2027/H2027,"")</x:f>
        <x:v>10.375</x:v>
      </x:c>
      <x:c r="L2027" s="66" t="str">
        <x:f>IF(K2027="","","1 : "&amp;TEXT(K2027,"0.0"))</x:f>
        <x:v>1 : 10.4</x:v>
      </x:c>
      <x:c r="M2027" s="66" t="str">
        <x:f>IF(J2027="","Baru/Tanpa Data",IF(J2027&lt;='Catatan &amp; Sumber'!$B$14,"Sangat Ketat",IF(J2027&lt;='Catatan &amp; Sumber'!$B$15,"Ketat",IF(J2027&lt;='Catatan &amp; Sumber'!$B$16,"Sedang","Relatif Longgar"))))</x:f>
        <x:v>Sedang</x:v>
      </x:c>
      <x:c r="N2027" s="66" t="str">
        <x:v>Tidak Ada</x:v>
      </x:c>
      <x:c r="O2027" s="66" t="str">
        <x:v>Jawa Tengah</x:v>
      </x:c>
      <x:c r="P2027" s="66" t="str">
        <x:v>Kota Surakarta</x:v>
      </x:c>
      <x:c r="Q2027" s="66" t="str">
        <x:v>https://snpmb.id/snbp/daya-tampung-snbp</x:v>
      </x:c>
      <x:c r="R2027" s="66" t="str">
        <x:v>https://sidatagrun-public-1076756628210.asia-southeast2.run.app/ptn_sn.php?ptn=353</x:v>
      </x:c>
    </x:row>
    <x:row r="2028">
      <x:c r="A2028" s="87" t="n">
        <x:v>1147</x:v>
      </x:c>
      <x:c r="B2028" s="66" t="n">
        <x:v>353</x:v>
      </x:c>
      <x:c r="C2028" s="66" t="str">
        <x:v>UNIVERSITAS SEBELAS MARET</x:v>
      </x:c>
      <x:c r="D2028" s="66" t="str">
        <x:v>PTN Akademik</x:v>
      </x:c>
      <x:c r="E2028" s="66" t="str">
        <x:v>13531064</x:v>
      </x:c>
      <x:c r="F2028" s="66" t="str">
        <x:v>SASTRA ARAB</x:v>
      </x:c>
      <x:c r="G2028" s="66" t="str">
        <x:v>Sarjana</x:v>
      </x:c>
      <x:c r="H2028" s="87" t="n">
        <x:v>17</x:v>
      </x:c>
      <x:c r="I2028" s="87" t="n">
        <x:v>196</x:v>
      </x:c>
      <x:c r="J2028" s="68" t="n">
        <x:f>IFERROR(H2028/I2028,"")</x:f>
        <x:v>0.08673469387755102</x:v>
      </x:c>
      <x:c r="K2028" s="69" t="n">
        <x:f>IFERROR(I2028/H2028,"")</x:f>
        <x:v>11.529411764705882</x:v>
      </x:c>
      <x:c r="L2028" s="66" t="str">
        <x:f>IF(K2028="","","1 : "&amp;TEXT(K2028,"0.0"))</x:f>
        <x:v>1 : 11.5</x:v>
      </x:c>
      <x:c r="M2028" s="66" t="str">
        <x:f>IF(J2028="","Baru/Tanpa Data",IF(J2028&lt;='Catatan &amp; Sumber'!$B$14,"Sangat Ketat",IF(J2028&lt;='Catatan &amp; Sumber'!$B$15,"Ketat",IF(J2028&lt;='Catatan &amp; Sumber'!$B$16,"Sedang","Relatif Longgar"))))</x:f>
        <x:v>Sedang</x:v>
      </x:c>
      <x:c r="N2028" s="66" t="str">
        <x:v>Tidak Ada</x:v>
      </x:c>
      <x:c r="O2028" s="66" t="str">
        <x:v>Jawa Tengah</x:v>
      </x:c>
      <x:c r="P2028" s="66" t="str">
        <x:v>Kota Surakarta</x:v>
      </x:c>
      <x:c r="Q2028" s="66" t="str">
        <x:v>https://snpmb.id/snbp/daya-tampung-snbp</x:v>
      </x:c>
      <x:c r="R2028" s="66" t="str">
        <x:v>https://sidatagrun-public-1076756628210.asia-southeast2.run.app/ptn_sn.php?ptn=353</x:v>
      </x:c>
    </x:row>
    <x:row r="2029">
      <x:c r="A2029" s="87" t="n">
        <x:v>1553</x:v>
      </x:c>
      <x:c r="B2029" s="66" t="n">
        <x:v>353</x:v>
      </x:c>
      <x:c r="C2029" s="66" t="str">
        <x:v>UNIVERSITAS SEBELAS MARET</x:v>
      </x:c>
      <x:c r="D2029" s="66" t="str">
        <x:v>PTN Akademik</x:v>
      </x:c>
      <x:c r="E2029" s="66" t="str">
        <x:v>13531065</x:v>
      </x:c>
      <x:c r="F2029" s="66" t="str">
        <x:v>PENDIDIKAN BAHASA JAWA</x:v>
      </x:c>
      <x:c r="G2029" s="66" t="str">
        <x:v>Sarjana</x:v>
      </x:c>
      <x:c r="H2029" s="87" t="n">
        <x:v>27</x:v>
      </x:c>
      <x:c r="I2029" s="87" t="n">
        <x:v>238</x:v>
      </x:c>
      <x:c r="J2029" s="68" t="n">
        <x:f>IFERROR(H2029/I2029,"")</x:f>
        <x:v>0.1134453781512605</x:v>
      </x:c>
      <x:c r="K2029" s="69" t="n">
        <x:f>IFERROR(I2029/H2029,"")</x:f>
        <x:v>8.814814814814815</x:v>
      </x:c>
      <x:c r="L2029" s="66" t="str">
        <x:f>IF(K2029="","","1 : "&amp;TEXT(K2029,"0.0"))</x:f>
        <x:v>1 : 8.8</x:v>
      </x:c>
      <x:c r="M2029" s="66" t="str">
        <x:f>IF(J2029="","Baru/Tanpa Data",IF(J2029&lt;='Catatan &amp; Sumber'!$B$14,"Sangat Ketat",IF(J2029&lt;='Catatan &amp; Sumber'!$B$15,"Ketat",IF(J2029&lt;='Catatan &amp; Sumber'!$B$16,"Sedang","Relatif Longgar"))))</x:f>
        <x:v>Relatif Longgar</x:v>
      </x:c>
      <x:c r="N2029" s="66" t="str">
        <x:v>Tidak Ada</x:v>
      </x:c>
      <x:c r="O2029" s="66" t="str">
        <x:v>Jawa Tengah</x:v>
      </x:c>
      <x:c r="P2029" s="66" t="str">
        <x:v>Kota Surakarta</x:v>
      </x:c>
      <x:c r="Q2029" s="66" t="str">
        <x:v>https://snpmb.id/snbp/daya-tampung-snbp</x:v>
      </x:c>
      <x:c r="R2029" s="66" t="str">
        <x:v>https://sidatagrun-public-1076756628210.asia-southeast2.run.app/ptn_sn.php?ptn=353</x:v>
      </x:c>
    </x:row>
    <x:row r="2030">
      <x:c r="A2030" s="87" t="n">
        <x:v>895</x:v>
      </x:c>
      <x:c r="B2030" s="66" t="n">
        <x:v>353</x:v>
      </x:c>
      <x:c r="C2030" s="66" t="str">
        <x:v>UNIVERSITAS SEBELAS MARET</x:v>
      </x:c>
      <x:c r="D2030" s="66" t="str">
        <x:v>PTN Akademik</x:v>
      </x:c>
      <x:c r="E2030" s="66" t="str">
        <x:v>13531066</x:v>
      </x:c>
      <x:c r="F2030" s="66" t="str">
        <x:v>PEND. GURU SEKOLAH DASAR (PGSD) KEBUMEN</x:v>
      </x:c>
      <x:c r="G2030" s="66" t="str">
        <x:v>Sarjana</x:v>
      </x:c>
      <x:c r="H2030" s="87" t="n">
        <x:v>24</x:v>
      </x:c>
      <x:c r="I2030" s="87" t="n">
        <x:v>334</x:v>
      </x:c>
      <x:c r="J2030" s="68" t="n">
        <x:f>IFERROR(H2030/I2030,"")</x:f>
        <x:v>0.0718562874251497</x:v>
      </x:c>
      <x:c r="K2030" s="69" t="n">
        <x:f>IFERROR(I2030/H2030,"")</x:f>
        <x:v>13.916666666666666</x:v>
      </x:c>
      <x:c r="L2030" s="66" t="str">
        <x:f>IF(K2030="","","1 : "&amp;TEXT(K2030,"0.0"))</x:f>
        <x:v>1 : 13.9</x:v>
      </x:c>
      <x:c r="M2030" s="66" t="str">
        <x:f>IF(J2030="","Baru/Tanpa Data",IF(J2030&lt;='Catatan &amp; Sumber'!$B$14,"Sangat Ketat",IF(J2030&lt;='Catatan &amp; Sumber'!$B$15,"Ketat",IF(J2030&lt;='Catatan &amp; Sumber'!$B$16,"Sedang","Relatif Longgar"))))</x:f>
        <x:v>Sedang</x:v>
      </x:c>
      <x:c r="N2030" s="66" t="str">
        <x:v>Tidak Ada</x:v>
      </x:c>
      <x:c r="O2030" s="66" t="str">
        <x:v>Jawa Tengah</x:v>
      </x:c>
      <x:c r="P2030" s="66" t="str">
        <x:v>Kota Surakarta</x:v>
      </x:c>
      <x:c r="Q2030" s="66" t="str">
        <x:v>https://snpmb.id/snbp/daya-tampung-snbp</x:v>
      </x:c>
      <x:c r="R2030" s="66" t="str">
        <x:v>https://sidatagrun-public-1076756628210.asia-southeast2.run.app/ptn_sn.php?ptn=353</x:v>
      </x:c>
    </x:row>
    <x:row r="2031">
      <x:c r="A2031" s="87" t="n">
        <x:v>509</x:v>
      </x:c>
      <x:c r="B2031" s="66" t="n">
        <x:v>353</x:v>
      </x:c>
      <x:c r="C2031" s="66" t="str">
        <x:v>UNIVERSITAS SEBELAS MARET</x:v>
      </x:c>
      <x:c r="D2031" s="66" t="str">
        <x:v>PTN Akademik</x:v>
      </x:c>
      <x:c r="E2031" s="66" t="str">
        <x:v>13531067</x:v>
      </x:c>
      <x:c r="F2031" s="66" t="str">
        <x:v>HUBUNGAN INTERNASIONAL</x:v>
      </x:c>
      <x:c r="G2031" s="66" t="str">
        <x:v>Sarjana</x:v>
      </x:c>
      <x:c r="H2031" s="87" t="n">
        <x:v>18</x:v>
      </x:c>
      <x:c r="I2031" s="87" t="n">
        <x:v>346</x:v>
      </x:c>
      <x:c r="J2031" s="68" t="n">
        <x:f>IFERROR(H2031/I2031,"")</x:f>
        <x:v>0.05202312138728324</x:v>
      </x:c>
      <x:c r="K2031" s="69" t="n">
        <x:f>IFERROR(I2031/H2031,"")</x:f>
        <x:v>19.22222222222222</x:v>
      </x:c>
      <x:c r="L2031" s="66" t="str">
        <x:f>IF(K2031="","","1 : "&amp;TEXT(K2031,"0.0"))</x:f>
        <x:v>1 : 19.2</x:v>
      </x:c>
      <x:c r="M2031" s="66" t="str">
        <x:f>IF(J2031="","Baru/Tanpa Data",IF(J2031&lt;='Catatan &amp; Sumber'!$B$14,"Sangat Ketat",IF(J2031&lt;='Catatan &amp; Sumber'!$B$15,"Ketat",IF(J2031&lt;='Catatan &amp; Sumber'!$B$16,"Sedang","Relatif Longgar"))))</x:f>
        <x:v>Sedang</x:v>
      </x:c>
      <x:c r="N2031" s="66" t="str">
        <x:v>Tidak Ada</x:v>
      </x:c>
      <x:c r="O2031" s="66" t="str">
        <x:v>Jawa Tengah</x:v>
      </x:c>
      <x:c r="P2031" s="66" t="str">
        <x:v>Kota Surakarta</x:v>
      </x:c>
      <x:c r="Q2031" s="66" t="str">
        <x:v>https://snpmb.id/snbp/daya-tampung-snbp</x:v>
      </x:c>
      <x:c r="R2031" s="66" t="str">
        <x:v>https://sidatagrun-public-1076756628210.asia-southeast2.run.app/ptn_sn.php?ptn=353</x:v>
      </x:c>
    </x:row>
    <x:row r="2032">
      <x:c r="A2032" s="87" t="n">
        <x:v>1254</x:v>
      </x:c>
      <x:c r="B2032" s="66" t="n">
        <x:v>353</x:v>
      </x:c>
      <x:c r="C2032" s="66" t="str">
        <x:v>UNIVERSITAS SEBELAS MARET</x:v>
      </x:c>
      <x:c r="D2032" s="66" t="str">
        <x:v>PTN Akademik</x:v>
      </x:c>
      <x:c r="E2032" s="66" t="str">
        <x:v>13531068</x:v>
      </x:c>
      <x:c r="F2032" s="66" t="str">
        <x:v>PENDIDIKAN AKUNTANSI</x:v>
      </x:c>
      <x:c r="G2032" s="66" t="str">
        <x:v>Sarjana</x:v>
      </x:c>
      <x:c r="H2032" s="87" t="n">
        <x:v>27</x:v>
      </x:c>
      <x:c r="I2032" s="87" t="n">
        <x:v>290</x:v>
      </x:c>
      <x:c r="J2032" s="68" t="n">
        <x:f>IFERROR(H2032/I2032,"")</x:f>
        <x:v>0.09310344827586207</x:v>
      </x:c>
      <x:c r="K2032" s="69" t="n">
        <x:f>IFERROR(I2032/H2032,"")</x:f>
        <x:v>10.74074074074074</x:v>
      </x:c>
      <x:c r="L2032" s="66" t="str">
        <x:f>IF(K2032="","","1 : "&amp;TEXT(K2032,"0.0"))</x:f>
        <x:v>1 : 10.7</x:v>
      </x:c>
      <x:c r="M2032" s="66" t="str">
        <x:f>IF(J2032="","Baru/Tanpa Data",IF(J2032&lt;='Catatan &amp; Sumber'!$B$14,"Sangat Ketat",IF(J2032&lt;='Catatan &amp; Sumber'!$B$15,"Ketat",IF(J2032&lt;='Catatan &amp; Sumber'!$B$16,"Sedang","Relatif Longgar"))))</x:f>
        <x:v>Sedang</x:v>
      </x:c>
      <x:c r="N2032" s="66" t="str">
        <x:v>Tidak Ada</x:v>
      </x:c>
      <x:c r="O2032" s="66" t="str">
        <x:v>Jawa Tengah</x:v>
      </x:c>
      <x:c r="P2032" s="66" t="str">
        <x:v>Kota Surakarta</x:v>
      </x:c>
      <x:c r="Q2032" s="66" t="str">
        <x:v>https://snpmb.id/snbp/daya-tampung-snbp</x:v>
      </x:c>
      <x:c r="R2032" s="66" t="str">
        <x:v>https://sidatagrun-public-1076756628210.asia-southeast2.run.app/ptn_sn.php?ptn=353</x:v>
      </x:c>
    </x:row>
    <x:row r="2033">
      <x:c r="A2033" s="87" t="n">
        <x:v>1125</x:v>
      </x:c>
      <x:c r="B2033" s="66" t="n">
        <x:v>353</x:v>
      </x:c>
      <x:c r="C2033" s="66" t="str">
        <x:v>UNIVERSITAS SEBELAS MARET</x:v>
      </x:c>
      <x:c r="D2033" s="66" t="str">
        <x:v>PTN Akademik</x:v>
      </x:c>
      <x:c r="E2033" s="66" t="str">
        <x:v>13531069</x:v>
      </x:c>
      <x:c r="F2033" s="66" t="str">
        <x:v>PENDIDIKAN ADMINISTRASI PERKANTORAN</x:v>
      </x:c>
      <x:c r="G2033" s="66" t="str">
        <x:v>Sarjana</x:v>
      </x:c>
      <x:c r="H2033" s="87" t="n">
        <x:v>20</x:v>
      </x:c>
      <x:c r="I2033" s="87" t="n">
        <x:v>234</x:v>
      </x:c>
      <x:c r="J2033" s="68" t="n">
        <x:f>IFERROR(H2033/I2033,"")</x:f>
        <x:v>0.08547008547008547</x:v>
      </x:c>
      <x:c r="K2033" s="69" t="n">
        <x:f>IFERROR(I2033/H2033,"")</x:f>
        <x:v>11.7</x:v>
      </x:c>
      <x:c r="L2033" s="66" t="str">
        <x:f>IF(K2033="","","1 : "&amp;TEXT(K2033,"0.0"))</x:f>
        <x:v>1 : 11.7</x:v>
      </x:c>
      <x:c r="M2033" s="66" t="str">
        <x:f>IF(J2033="","Baru/Tanpa Data",IF(J2033&lt;='Catatan &amp; Sumber'!$B$14,"Sangat Ketat",IF(J2033&lt;='Catatan &amp; Sumber'!$B$15,"Ketat",IF(J2033&lt;='Catatan &amp; Sumber'!$B$16,"Sedang","Relatif Longgar"))))</x:f>
        <x:v>Sedang</x:v>
      </x:c>
      <x:c r="N2033" s="66" t="str">
        <x:v>Tidak Ada</x:v>
      </x:c>
      <x:c r="O2033" s="66" t="str">
        <x:v>Jawa Tengah</x:v>
      </x:c>
      <x:c r="P2033" s="66" t="str">
        <x:v>Kota Surakarta</x:v>
      </x:c>
      <x:c r="Q2033" s="66" t="str">
        <x:v>https://snpmb.id/snbp/daya-tampung-snbp</x:v>
      </x:c>
      <x:c r="R2033" s="66" t="str">
        <x:v>https://sidatagrun-public-1076756628210.asia-southeast2.run.app/ptn_sn.php?ptn=353</x:v>
      </x:c>
    </x:row>
    <x:row r="2034">
      <x:c r="A2034" s="87" t="n">
        <x:v>1172</x:v>
      </x:c>
      <x:c r="B2034" s="66" t="n">
        <x:v>353</x:v>
      </x:c>
      <x:c r="C2034" s="66" t="str">
        <x:v>UNIVERSITAS SEBELAS MARET</x:v>
      </x:c>
      <x:c r="D2034" s="66" t="str">
        <x:v>PTN Akademik</x:v>
      </x:c>
      <x:c r="E2034" s="66" t="str">
        <x:v>13531070</x:v>
      </x:c>
      <x:c r="F2034" s="66" t="str">
        <x:v>PENDIDIKAN EKONOMI</x:v>
      </x:c>
      <x:c r="G2034" s="66" t="str">
        <x:v>Sarjana</x:v>
      </x:c>
      <x:c r="H2034" s="87" t="n">
        <x:v>24</x:v>
      </x:c>
      <x:c r="I2034" s="87" t="n">
        <x:v>272</x:v>
      </x:c>
      <x:c r="J2034" s="68" t="n">
        <x:f>IFERROR(H2034/I2034,"")</x:f>
        <x:v>0.08823529411764706</x:v>
      </x:c>
      <x:c r="K2034" s="69" t="n">
        <x:f>IFERROR(I2034/H2034,"")</x:f>
        <x:v>11.333333333333334</x:v>
      </x:c>
      <x:c r="L2034" s="66" t="str">
        <x:f>IF(K2034="","","1 : "&amp;TEXT(K2034,"0.0"))</x:f>
        <x:v>1 : 11.3</x:v>
      </x:c>
      <x:c r="M2034" s="66" t="str">
        <x:f>IF(J2034="","Baru/Tanpa Data",IF(J2034&lt;='Catatan &amp; Sumber'!$B$14,"Sangat Ketat",IF(J2034&lt;='Catatan &amp; Sumber'!$B$15,"Ketat",IF(J2034&lt;='Catatan &amp; Sumber'!$B$16,"Sedang","Relatif Longgar"))))</x:f>
        <x:v>Sedang</x:v>
      </x:c>
      <x:c r="N2034" s="66" t="str">
        <x:v>Tidak Ada</x:v>
      </x:c>
      <x:c r="O2034" s="66" t="str">
        <x:v>Jawa Tengah</x:v>
      </x:c>
      <x:c r="P2034" s="66" t="str">
        <x:v>Kota Surakarta</x:v>
      </x:c>
      <x:c r="Q2034" s="66" t="str">
        <x:v>https://snpmb.id/snbp/daya-tampung-snbp</x:v>
      </x:c>
      <x:c r="R2034" s="66" t="str">
        <x:v>https://sidatagrun-public-1076756628210.asia-southeast2.run.app/ptn_sn.php?ptn=353</x:v>
      </x:c>
    </x:row>
    <x:row r="2035">
      <x:c r="A2035" s="87" t="n">
        <x:v>1282</x:v>
      </x:c>
      <x:c r="B2035" s="66" t="n">
        <x:v>353</x:v>
      </x:c>
      <x:c r="C2035" s="66" t="str">
        <x:v>UNIVERSITAS SEBELAS MARET</x:v>
      </x:c>
      <x:c r="D2035" s="66" t="str">
        <x:v>PTN Akademik</x:v>
      </x:c>
      <x:c r="E2035" s="66" t="str">
        <x:v>13531094</x:v>
      </x:c>
      <x:c r="F2035" s="66" t="str">
        <x:v>TEKNOLOGI PENDIDIKAN</x:v>
      </x:c>
      <x:c r="G2035" s="66" t="str">
        <x:v>Sarjana</x:v>
      </x:c>
      <x:c r="H2035" s="87" t="n">
        <x:v>20</x:v>
      </x:c>
      <x:c r="I2035" s="87" t="n">
        <x:v>212</x:v>
      </x:c>
      <x:c r="J2035" s="68" t="n">
        <x:f>IFERROR(H2035/I2035,"")</x:f>
        <x:v>0.09433962264150944</x:v>
      </x:c>
      <x:c r="K2035" s="69" t="n">
        <x:f>IFERROR(I2035/H2035,"")</x:f>
        <x:v>10.6</x:v>
      </x:c>
      <x:c r="L2035" s="66" t="str">
        <x:f>IF(K2035="","","1 : "&amp;TEXT(K2035,"0.0"))</x:f>
        <x:v>1 : 10.6</x:v>
      </x:c>
      <x:c r="M2035" s="66" t="str">
        <x:f>IF(J2035="","Baru/Tanpa Data",IF(J2035&lt;='Catatan &amp; Sumber'!$B$14,"Sangat Ketat",IF(J2035&lt;='Catatan &amp; Sumber'!$B$15,"Ketat",IF(J2035&lt;='Catatan &amp; Sumber'!$B$16,"Sedang","Relatif Longgar"))))</x:f>
        <x:v>Sedang</x:v>
      </x:c>
      <x:c r="N2035" s="66" t="str">
        <x:v>Tidak Ada</x:v>
      </x:c>
      <x:c r="O2035" s="66" t="str">
        <x:v>Jawa Tengah</x:v>
      </x:c>
      <x:c r="P2035" s="66" t="str">
        <x:v>Kota Surakarta</x:v>
      </x:c>
      <x:c r="Q2035" s="66" t="str">
        <x:v>https://snpmb.id/snbp/daya-tampung-snbp</x:v>
      </x:c>
      <x:c r="R2035" s="66" t="str">
        <x:v>https://sidatagrun-public-1076756628210.asia-southeast2.run.app/ptn_sn.php?ptn=353</x:v>
      </x:c>
    </x:row>
    <x:row r="2036">
      <x:c r="A2036" s="87" t="n">
        <x:v>1321</x:v>
      </x:c>
      <x:c r="B2036" s="66" t="n">
        <x:v>353</x:v>
      </x:c>
      <x:c r="C2036" s="66" t="str">
        <x:v>UNIVERSITAS SEBELAS MARET</x:v>
      </x:c>
      <x:c r="D2036" s="66" t="str">
        <x:v>PTN Akademik</x:v>
      </x:c>
      <x:c r="E2036" s="66" t="str">
        <x:v>13531095</x:v>
      </x:c>
      <x:c r="F2036" s="66" t="str">
        <x:v>BAHASA MANDARIN DAN KEBUDAYAAN TIONGKOK</x:v>
      </x:c>
      <x:c r="G2036" s="66" t="str">
        <x:v>Sarjana</x:v>
      </x:c>
      <x:c r="H2036" s="87" t="n">
        <x:v>23</x:v>
      </x:c>
      <x:c r="I2036" s="87" t="n">
        <x:v>238</x:v>
      </x:c>
      <x:c r="J2036" s="68" t="n">
        <x:f>IFERROR(H2036/I2036,"")</x:f>
        <x:v>0.09663865546218488</x:v>
      </x:c>
      <x:c r="K2036" s="69" t="n">
        <x:f>IFERROR(I2036/H2036,"")</x:f>
        <x:v>10.347826086956522</x:v>
      </x:c>
      <x:c r="L2036" s="66" t="str">
        <x:f>IF(K2036="","","1 : "&amp;TEXT(K2036,"0.0"))</x:f>
        <x:v>1 : 10.3</x:v>
      </x:c>
      <x:c r="M2036" s="66" t="str">
        <x:f>IF(J2036="","Baru/Tanpa Data",IF(J2036&lt;='Catatan &amp; Sumber'!$B$14,"Sangat Ketat",IF(J2036&lt;='Catatan &amp; Sumber'!$B$15,"Ketat",IF(J2036&lt;='Catatan &amp; Sumber'!$B$16,"Sedang","Relatif Longgar"))))</x:f>
        <x:v>Sedang</x:v>
      </x:c>
      <x:c r="N2036" s="66" t="str">
        <x:v>Tidak Ada</x:v>
      </x:c>
      <x:c r="O2036" s="66" t="str">
        <x:v>Jawa Tengah</x:v>
      </x:c>
      <x:c r="P2036" s="66" t="str">
        <x:v>Kota Surakarta</x:v>
      </x:c>
      <x:c r="Q2036" s="66" t="str">
        <x:v>https://snpmb.id/snbp/daya-tampung-snbp</x:v>
      </x:c>
      <x:c r="R2036" s="66" t="str">
        <x:v>https://sidatagrun-public-1076756628210.asia-southeast2.run.app/ptn_sn.php?ptn=353</x:v>
      </x:c>
    </x:row>
    <x:row r="2037">
      <x:c r="A2037" s="87" t="n">
        <x:v>87</x:v>
      </x:c>
      <x:c r="B2037" s="66" t="n">
        <x:v>353</x:v>
      </x:c>
      <x:c r="C2037" s="66" t="str">
        <x:v>UNIVERSITAS SEBELAS MARET</x:v>
      </x:c>
      <x:c r="D2037" s="66" t="str">
        <x:v>PTN Akademik</x:v>
      </x:c>
      <x:c r="E2037" s="66" t="str">
        <x:v>13531096</x:v>
      </x:c>
      <x:c r="F2037" s="66" t="str">
        <x:v>BISNIS DIGITAL</x:v>
      </x:c>
      <x:c r="G2037" s="66" t="str">
        <x:v>Sarjana</x:v>
      </x:c>
      <x:c r="H2037" s="87" t="n">
        <x:v>27</x:v>
      </x:c>
      <x:c r="I2037" s="87" t="n">
        <x:v>1000</x:v>
      </x:c>
      <x:c r="J2037" s="68" t="n">
        <x:f>IFERROR(H2037/I2037,"")</x:f>
        <x:v>0.027</x:v>
      </x:c>
      <x:c r="K2037" s="69" t="n">
        <x:f>IFERROR(I2037/H2037,"")</x:f>
        <x:v>37.03703703703704</x:v>
      </x:c>
      <x:c r="L2037" s="66" t="str">
        <x:f>IF(K2037="","","1 : "&amp;TEXT(K2037,"0.0"))</x:f>
        <x:v>1 : 37.0</x:v>
      </x:c>
      <x:c r="M2037" s="66" t="str">
        <x:f>IF(J2037="","Baru/Tanpa Data",IF(J2037&lt;='Catatan &amp; Sumber'!$B$14,"Sangat Ketat",IF(J2037&lt;='Catatan &amp; Sumber'!$B$15,"Ketat",IF(J2037&lt;='Catatan &amp; Sumber'!$B$16,"Sedang","Relatif Longgar"))))</x:f>
        <x:v>Ketat</x:v>
      </x:c>
      <x:c r="N2037" s="66" t="str">
        <x:v>Tidak Ada</x:v>
      </x:c>
      <x:c r="O2037" s="66" t="str">
        <x:v>Jawa Tengah</x:v>
      </x:c>
      <x:c r="P2037" s="66" t="str">
        <x:v>Kota Surakarta</x:v>
      </x:c>
      <x:c r="Q2037" s="66" t="str">
        <x:v>https://snpmb.id/snbp/daya-tampung-snbp</x:v>
      </x:c>
      <x:c r="R2037" s="66" t="str">
        <x:v>https://sidatagrun-public-1076756628210.asia-southeast2.run.app/ptn_sn.php?ptn=353</x:v>
      </x:c>
    </x:row>
    <x:row r="2038">
      <x:c r="A2038" s="87" t="n">
        <x:v>120</x:v>
      </x:c>
      <x:c r="B2038" s="66" t="n">
        <x:v>353</x:v>
      </x:c>
      <x:c r="C2038" s="66" t="str">
        <x:v>UNIVERSITAS SEBELAS MARET</x:v>
      </x:c>
      <x:c r="D2038" s="66" t="str">
        <x:v>PTN Akademik</x:v>
      </x:c>
      <x:c r="E2038" s="66" t="str">
        <x:v>13531097</x:v>
      </x:c>
      <x:c r="F2038" s="66" t="str">
        <x:v>SAINS DATA</x:v>
      </x:c>
      <x:c r="G2038" s="66" t="str">
        <x:v>Sarjana</x:v>
      </x:c>
      <x:c r="H2038" s="87" t="n">
        <x:v>12</x:v>
      </x:c>
      <x:c r="I2038" s="87" t="n">
        <x:v>391</x:v>
      </x:c>
      <x:c r="J2038" s="68" t="n">
        <x:f>IFERROR(H2038/I2038,"")</x:f>
        <x:v>0.030690537084398978</x:v>
      </x:c>
      <x:c r="K2038" s="69" t="n">
        <x:f>IFERROR(I2038/H2038,"")</x:f>
        <x:v>32.583333333333336</x:v>
      </x:c>
      <x:c r="L2038" s="66" t="str">
        <x:f>IF(K2038="","","1 : "&amp;TEXT(K2038,"0.0"))</x:f>
        <x:v>1 : 32.6</x:v>
      </x:c>
      <x:c r="M2038" s="66" t="str">
        <x:f>IF(J2038="","Baru/Tanpa Data",IF(J2038&lt;='Catatan &amp; Sumber'!$B$14,"Sangat Ketat",IF(J2038&lt;='Catatan &amp; Sumber'!$B$15,"Ketat",IF(J2038&lt;='Catatan &amp; Sumber'!$B$16,"Sedang","Relatif Longgar"))))</x:f>
        <x:v>Ketat</x:v>
      </x:c>
      <x:c r="N2038" s="66" t="str">
        <x:v>Tidak Ada</x:v>
      </x:c>
      <x:c r="O2038" s="66" t="str">
        <x:v>Jawa Tengah</x:v>
      </x:c>
      <x:c r="P2038" s="66" t="str">
        <x:v>Kota Surakarta</x:v>
      </x:c>
      <x:c r="Q2038" s="66" t="str">
        <x:v>https://snpmb.id/snbp/daya-tampung-snbp</x:v>
      </x:c>
      <x:c r="R2038" s="66" t="str">
        <x:v>https://sidatagrun-public-1076756628210.asia-southeast2.run.app/ptn_sn.php?ptn=353</x:v>
      </x:c>
    </x:row>
    <x:row r="2039">
      <x:c r="A2039" s="87" t="n">
        <x:v>2996</x:v>
      </x:c>
      <x:c r="B2039" s="66" t="n">
        <x:v>353</x:v>
      </x:c>
      <x:c r="C2039" s="66" t="str">
        <x:v>UNIVERSITAS SEBELAS MARET</x:v>
      </x:c>
      <x:c r="D2039" s="66" t="str">
        <x:v>PTN Akademik</x:v>
      </x:c>
      <x:c r="E2039" s="66" t="str">
        <x:v>13531104</x:v>
      </x:c>
      <x:c r="F2039" s="66" t="str">
        <x:v>ILMU ADMINISTRASI NEGARA (KAMPUS KABUPATEN KEBUMEN)</x:v>
      </x:c>
      <x:c r="G2039" s="66" t="str">
        <x:v>Sarjana</x:v>
      </x:c>
      <x:c r="H2039" s="87" t="n">
        <x:v>24</x:v>
      </x:c>
      <x:c r="I2039" s="87" t="n">
        <x:v>82</x:v>
      </x:c>
      <x:c r="J2039" s="68" t="n">
        <x:f>IFERROR(H2039/I2039,"")</x:f>
        <x:v>0.2926829268292683</x:v>
      </x:c>
      <x:c r="K2039" s="69" t="n">
        <x:f>IFERROR(I2039/H2039,"")</x:f>
        <x:v>3.4166666666666665</x:v>
      </x:c>
      <x:c r="L2039" s="66" t="str">
        <x:f>IF(K2039="","","1 : "&amp;TEXT(K2039,"0.0"))</x:f>
        <x:v>1 : 3.4</x:v>
      </x:c>
      <x:c r="M2039" s="66" t="str">
        <x:f>IF(J2039="","Baru/Tanpa Data",IF(J2039&lt;='Catatan &amp; Sumber'!$B$14,"Sangat Ketat",IF(J2039&lt;='Catatan &amp; Sumber'!$B$15,"Ketat",IF(J2039&lt;='Catatan &amp; Sumber'!$B$16,"Sedang","Relatif Longgar"))))</x:f>
        <x:v>Relatif Longgar</x:v>
      </x:c>
      <x:c r="N2039" s="66" t="str">
        <x:v>Tidak Ada</x:v>
      </x:c>
      <x:c r="O2039" s="66" t="str">
        <x:v>Jawa Tengah</x:v>
      </x:c>
      <x:c r="P2039" s="66" t="str">
        <x:v>Kota Surakarta</x:v>
      </x:c>
      <x:c r="Q2039" s="66" t="str">
        <x:v>https://snpmb.id/snbp/daya-tampung-snbp</x:v>
      </x:c>
      <x:c r="R2039" s="66" t="str">
        <x:v>https://sidatagrun-public-1076756628210.asia-southeast2.run.app/ptn_sn.php?ptn=353</x:v>
      </x:c>
    </x:row>
    <x:row r="2040">
      <x:c r="A2040" s="87" t="n">
        <x:v>2374</x:v>
      </x:c>
      <x:c r="B2040" s="66" t="n">
        <x:v>353</x:v>
      </x:c>
      <x:c r="C2040" s="66" t="str">
        <x:v>UNIVERSITAS SEBELAS MARET</x:v>
      </x:c>
      <x:c r="D2040" s="66" t="str">
        <x:v>PTN Akademik</x:v>
      </x:c>
      <x:c r="E2040" s="66" t="str">
        <x:v>13531105</x:v>
      </x:c>
      <x:c r="F2040" s="66" t="str">
        <x:v>INFORMATIKA (KAMPUS KABUPATEN KEBUMEN)</x:v>
      </x:c>
      <x:c r="G2040" s="66" t="str">
        <x:v>Sarjana</x:v>
      </x:c>
      <x:c r="H2040" s="87" t="n">
        <x:v>15</x:v>
      </x:c>
      <x:c r="I2040" s="87" t="n">
        <x:v>78</x:v>
      </x:c>
      <x:c r="J2040" s="68" t="n">
        <x:f>IFERROR(H2040/I2040,"")</x:f>
        <x:v>0.19230769230769232</x:v>
      </x:c>
      <x:c r="K2040" s="69" t="n">
        <x:f>IFERROR(I2040/H2040,"")</x:f>
        <x:v>5.2</x:v>
      </x:c>
      <x:c r="L2040" s="66" t="str">
        <x:f>IF(K2040="","","1 : "&amp;TEXT(K2040,"0.0"))</x:f>
        <x:v>1 : 5.2</x:v>
      </x:c>
      <x:c r="M2040" s="66" t="str">
        <x:f>IF(J2040="","Baru/Tanpa Data",IF(J2040&lt;='Catatan &amp; Sumber'!$B$14,"Sangat Ketat",IF(J2040&lt;='Catatan &amp; Sumber'!$B$15,"Ketat",IF(J2040&lt;='Catatan &amp; Sumber'!$B$16,"Sedang","Relatif Longgar"))))</x:f>
        <x:v>Relatif Longgar</x:v>
      </x:c>
      <x:c r="N2040" s="66" t="str">
        <x:v>Tidak Ada</x:v>
      </x:c>
      <x:c r="O2040" s="66" t="str">
        <x:v>Jawa Tengah</x:v>
      </x:c>
      <x:c r="P2040" s="66" t="str">
        <x:v>Kota Surakarta</x:v>
      </x:c>
      <x:c r="Q2040" s="66" t="str">
        <x:v>https://snpmb.id/snbp/daya-tampung-snbp</x:v>
      </x:c>
      <x:c r="R2040" s="66" t="str">
        <x:v>https://sidatagrun-public-1076756628210.asia-southeast2.run.app/ptn_sn.php?ptn=353</x:v>
      </x:c>
    </x:row>
    <x:row r="2041">
      <x:c r="A2041" s="87" t="n">
        <x:v>2888</x:v>
      </x:c>
      <x:c r="B2041" s="66" t="n">
        <x:v>353</x:v>
      </x:c>
      <x:c r="C2041" s="66" t="str">
        <x:v>UNIVERSITAS SEBELAS MARET</x:v>
      </x:c>
      <x:c r="D2041" s="66" t="str">
        <x:v>PTN Akademik</x:v>
      </x:c>
      <x:c r="E2041" s="66" t="str">
        <x:v>13531106</x:v>
      </x:c>
      <x:c r="F2041" s="66" t="str">
        <x:v>PROTEKSI TANAMAN</x:v>
      </x:c>
      <x:c r="G2041" s="66" t="str">
        <x:v>Sarjana</x:v>
      </x:c>
      <x:c r="H2041" s="87" t="n">
        <x:v>24</x:v>
      </x:c>
      <x:c r="I2041" s="87" t="n">
        <x:v>88</x:v>
      </x:c>
      <x:c r="J2041" s="68" t="n">
        <x:f>IFERROR(H2041/I2041,"")</x:f>
        <x:v>0.2727272727272727</x:v>
      </x:c>
      <x:c r="K2041" s="69" t="n">
        <x:f>IFERROR(I2041/H2041,"")</x:f>
        <x:v>3.6666666666666665</x:v>
      </x:c>
      <x:c r="L2041" s="66" t="str">
        <x:f>IF(K2041="","","1 : "&amp;TEXT(K2041,"0.0"))</x:f>
        <x:v>1 : 3.7</x:v>
      </x:c>
      <x:c r="M2041" s="66" t="str">
        <x:f>IF(J2041="","Baru/Tanpa Data",IF(J2041&lt;='Catatan &amp; Sumber'!$B$14,"Sangat Ketat",IF(J2041&lt;='Catatan &amp; Sumber'!$B$15,"Ketat",IF(J2041&lt;='Catatan &amp; Sumber'!$B$16,"Sedang","Relatif Longgar"))))</x:f>
        <x:v>Relatif Longgar</x:v>
      </x:c>
      <x:c r="N2041" s="66" t="str">
        <x:v>Tidak Ada</x:v>
      </x:c>
      <x:c r="O2041" s="66" t="str">
        <x:v>Jawa Tengah</x:v>
      </x:c>
      <x:c r="P2041" s="66" t="str">
        <x:v>Kota Surakarta</x:v>
      </x:c>
      <x:c r="Q2041" s="66" t="str">
        <x:v>https://snpmb.id/snbp/daya-tampung-snbp</x:v>
      </x:c>
      <x:c r="R2041" s="66" t="str">
        <x:v>https://sidatagrun-public-1076756628210.asia-southeast2.run.app/ptn_sn.php?ptn=353</x:v>
      </x:c>
    </x:row>
    <x:row r="2042">
      <x:c r="A2042" s="87" t="n">
        <x:v>90</x:v>
      </x:c>
      <x:c r="B2042" s="66" t="n">
        <x:v>353</x:v>
      </x:c>
      <x:c r="C2042" s="66" t="str">
        <x:v>UNIVERSITAS SEBELAS MARET</x:v>
      </x:c>
      <x:c r="D2042" s="66" t="str">
        <x:v>PTN Akademik</x:v>
      </x:c>
      <x:c r="E2042" s="66" t="str">
        <x:v>13532033</x:v>
      </x:c>
      <x:c r="F2042" s="66" t="str">
        <x:v>KESELAMATAN DAN KESEHATAN KERJA</x:v>
      </x:c>
      <x:c r="G2042" s="66" t="str">
        <x:v>Sarjana Terapan</x:v>
      </x:c>
      <x:c r="H2042" s="87" t="n">
        <x:v>27</x:v>
      </x:c>
      <x:c r="I2042" s="87" t="n">
        <x:v>988</x:v>
      </x:c>
      <x:c r="J2042" s="68" t="n">
        <x:f>IFERROR(H2042/I2042,"")</x:f>
        <x:v>0.027327935222672066</x:v>
      </x:c>
      <x:c r="K2042" s="69" t="n">
        <x:f>IFERROR(I2042/H2042,"")</x:f>
        <x:v>36.592592592592595</x:v>
      </x:c>
      <x:c r="L2042" s="66" t="str">
        <x:f>IF(K2042="","","1 : "&amp;TEXT(K2042,"0.0"))</x:f>
        <x:v>1 : 36.6</x:v>
      </x:c>
      <x:c r="M2042" s="66" t="str">
        <x:f>IF(J2042="","Baru/Tanpa Data",IF(J2042&lt;='Catatan &amp; Sumber'!$B$14,"Sangat Ketat",IF(J2042&lt;='Catatan &amp; Sumber'!$B$15,"Ketat",IF(J2042&lt;='Catatan &amp; Sumber'!$B$16,"Sedang","Relatif Longgar"))))</x:f>
        <x:v>Ketat</x:v>
      </x:c>
      <x:c r="N2042" s="66" t="str">
        <x:v>Tidak Ada</x:v>
      </x:c>
      <x:c r="O2042" s="66" t="str">
        <x:v>Jawa Tengah</x:v>
      </x:c>
      <x:c r="P2042" s="66" t="str">
        <x:v>Kota Surakarta</x:v>
      </x:c>
      <x:c r="Q2042" s="66" t="str">
        <x:v>https://snpmb.id/snbp/daya-tampung-snbp</x:v>
      </x:c>
      <x:c r="R2042" s="66" t="str">
        <x:v>https://sidatagrun-public-1076756628210.asia-southeast2.run.app/ptn_sn.php?ptn=353</x:v>
      </x:c>
    </x:row>
    <x:row r="2043">
      <x:c r="A2043" s="87" t="n">
        <x:v>1577</x:v>
      </x:c>
      <x:c r="B2043" s="66" t="n">
        <x:v>353</x:v>
      </x:c>
      <x:c r="C2043" s="66" t="str">
        <x:v>UNIVERSITAS SEBELAS MARET</x:v>
      </x:c>
      <x:c r="D2043" s="66" t="str">
        <x:v>PTN Akademik</x:v>
      </x:c>
      <x:c r="E2043" s="66" t="str">
        <x:v>13532071</x:v>
      </x:c>
      <x:c r="F2043" s="66" t="str">
        <x:v>DEMOGRAFI DAN PENCATATAN SIPIL</x:v>
      </x:c>
      <x:c r="G2043" s="66" t="str">
        <x:v>Sarjana Terapan</x:v>
      </x:c>
      <x:c r="H2043" s="87" t="n">
        <x:v>30</x:v>
      </x:c>
      <x:c r="I2043" s="87" t="n">
        <x:v>262</x:v>
      </x:c>
      <x:c r="J2043" s="68" t="n">
        <x:f>IFERROR(H2043/I2043,"")</x:f>
        <x:v>0.11450381679389313</x:v>
      </x:c>
      <x:c r="K2043" s="69" t="n">
        <x:f>IFERROR(I2043/H2043,"")</x:f>
        <x:v>8.733333333333333</x:v>
      </x:c>
      <x:c r="L2043" s="66" t="str">
        <x:f>IF(K2043="","","1 : "&amp;TEXT(K2043,"0.0"))</x:f>
        <x:v>1 : 8.7</x:v>
      </x:c>
      <x:c r="M2043" s="66" t="str">
        <x:f>IF(J2043="","Baru/Tanpa Data",IF(J2043&lt;='Catatan &amp; Sumber'!$B$14,"Sangat Ketat",IF(J2043&lt;='Catatan &amp; Sumber'!$B$15,"Ketat",IF(J2043&lt;='Catatan &amp; Sumber'!$B$16,"Sedang","Relatif Longgar"))))</x:f>
        <x:v>Relatif Longgar</x:v>
      </x:c>
      <x:c r="N2043" s="66" t="str">
        <x:v>Tidak Ada</x:v>
      </x:c>
      <x:c r="O2043" s="66" t="str">
        <x:v>Jawa Tengah</x:v>
      </x:c>
      <x:c r="P2043" s="66" t="str">
        <x:v>Kota Surakarta</x:v>
      </x:c>
      <x:c r="Q2043" s="66" t="str">
        <x:v>https://snpmb.id/snbp/daya-tampung-snbp</x:v>
      </x:c>
      <x:c r="R2043" s="66" t="str">
        <x:v>https://sidatagrun-public-1076756628210.asia-southeast2.run.app/ptn_sn.php?ptn=353</x:v>
      </x:c>
    </x:row>
    <x:row r="2044">
      <x:c r="A2044" s="87" t="n">
        <x:v>2</x:v>
      </x:c>
      <x:c r="B2044" s="66" t="n">
        <x:v>353</x:v>
      </x:c>
      <x:c r="C2044" s="66" t="str">
        <x:v>UNIVERSITAS SEBELAS MARET</x:v>
      </x:c>
      <x:c r="D2044" s="66" t="str">
        <x:v>PTN Akademik</x:v>
      </x:c>
      <x:c r="E2044" s="66" t="str">
        <x:v>13532098</x:v>
      </x:c>
      <x:c r="F2044" s="66" t="str">
        <x:v>KEPERAWATAN ANESTESIOLOGI</x:v>
      </x:c>
      <x:c r="G2044" s="66" t="str">
        <x:v>Sarjana Terapan</x:v>
      </x:c>
      <x:c r="H2044" s="87" t="n">
        <x:v>15</x:v>
      </x:c>
      <x:c r="I2044" s="87" t="n">
        <x:v>1279</x:v>
      </x:c>
      <x:c r="J2044" s="68" t="n">
        <x:f>IFERROR(H2044/I2044,"")</x:f>
        <x:v>0.011727912431587178</x:v>
      </x:c>
      <x:c r="K2044" s="69" t="n">
        <x:f>IFERROR(I2044/H2044,"")</x:f>
        <x:v>85.26666666666667</x:v>
      </x:c>
      <x:c r="L2044" s="66" t="str">
        <x:f>IF(K2044="","","1 : "&amp;TEXT(K2044,"0.0"))</x:f>
        <x:v>1 : 85.3</x:v>
      </x:c>
      <x:c r="M2044" s="66" t="str">
        <x:f>IF(J2044="","Baru/Tanpa Data",IF(J2044&lt;='Catatan &amp; Sumber'!$B$14,"Sangat Ketat",IF(J2044&lt;='Catatan &amp; Sumber'!$B$15,"Ketat",IF(J2044&lt;='Catatan &amp; Sumber'!$B$16,"Sedang","Relatif Longgar"))))</x:f>
        <x:v>Sangat Ketat</x:v>
      </x:c>
      <x:c r="N2044" s="66" t="str">
        <x:v>Tidak Ada</x:v>
      </x:c>
      <x:c r="O2044" s="66" t="str">
        <x:v>Jawa Tengah</x:v>
      </x:c>
      <x:c r="P2044" s="66" t="str">
        <x:v>Kota Surakarta</x:v>
      </x:c>
      <x:c r="Q2044" s="66" t="str">
        <x:v>https://snpmb.id/snbp/daya-tampung-snbp</x:v>
      </x:c>
      <x:c r="R2044" s="66" t="str">
        <x:v>https://sidatagrun-public-1076756628210.asia-southeast2.run.app/ptn_sn.php?ptn=353</x:v>
      </x:c>
    </x:row>
    <x:row r="2045">
      <x:c r="A2045" s="87" t="n">
        <x:v>2019</x:v>
      </x:c>
      <x:c r="B2045" s="66" t="n">
        <x:v>353</x:v>
      </x:c>
      <x:c r="C2045" s="66" t="str">
        <x:v>UNIVERSITAS SEBELAS MARET</x:v>
      </x:c>
      <x:c r="D2045" s="66" t="str">
        <x:v>PTN Akademik</x:v>
      </x:c>
      <x:c r="E2045" s="66" t="str">
        <x:v>13532099</x:v>
      </x:c>
      <x:c r="F2045" s="66" t="str">
        <x:v>TEKNOLOGI REKAYASA MANUFAKTUR</x:v>
      </x:c>
      <x:c r="G2045" s="66" t="str">
        <x:v>Sarjana Terapan</x:v>
      </x:c>
      <x:c r="H2045" s="87" t="n">
        <x:v>18</x:v>
      </x:c>
      <x:c r="I2045" s="87" t="n">
        <x:v>117</x:v>
      </x:c>
      <x:c r="J2045" s="68" t="n">
        <x:f>IFERROR(H2045/I2045,"")</x:f>
        <x:v>0.15384615384615385</x:v>
      </x:c>
      <x:c r="K2045" s="69" t="n">
        <x:f>IFERROR(I2045/H2045,"")</x:f>
        <x:v>6.5</x:v>
      </x:c>
      <x:c r="L2045" s="66" t="str">
        <x:f>IF(K2045="","","1 : "&amp;TEXT(K2045,"0.0"))</x:f>
        <x:v>1 : 6.5</x:v>
      </x:c>
      <x:c r="M2045" s="66" t="str">
        <x:f>IF(J2045="","Baru/Tanpa Data",IF(J2045&lt;='Catatan &amp; Sumber'!$B$14,"Sangat Ketat",IF(J2045&lt;='Catatan &amp; Sumber'!$B$15,"Ketat",IF(J2045&lt;='Catatan &amp; Sumber'!$B$16,"Sedang","Relatif Longgar"))))</x:f>
        <x:v>Relatif Longgar</x:v>
      </x:c>
      <x:c r="N2045" s="66" t="str">
        <x:v>Tidak Ada</x:v>
      </x:c>
      <x:c r="O2045" s="66" t="str">
        <x:v>Jawa Tengah</x:v>
      </x:c>
      <x:c r="P2045" s="66" t="str">
        <x:v>Kota Surakarta</x:v>
      </x:c>
      <x:c r="Q2045" s="66" t="str">
        <x:v>https://snpmb.id/snbp/daya-tampung-snbp</x:v>
      </x:c>
      <x:c r="R2045" s="66" t="str">
        <x:v>https://sidatagrun-public-1076756628210.asia-southeast2.run.app/ptn_sn.php?ptn=353</x:v>
      </x:c>
    </x:row>
    <x:row r="2046">
      <x:c r="A2046" s="87" t="n">
        <x:v>678</x:v>
      </x:c>
      <x:c r="B2046" s="66" t="n">
        <x:v>353</x:v>
      </x:c>
      <x:c r="C2046" s="66" t="str">
        <x:v>UNIVERSITAS SEBELAS MARET</x:v>
      </x:c>
      <x:c r="D2046" s="66" t="str">
        <x:v>PTN Akademik</x:v>
      </x:c>
      <x:c r="E2046" s="66" t="str">
        <x:v>13532100</x:v>
      </x:c>
      <x:c r="F2046" s="66" t="str">
        <x:v>PEMASARAN DIGITAL</x:v>
      </x:c>
      <x:c r="G2046" s="66" t="str">
        <x:v>Sarjana Terapan</x:v>
      </x:c>
      <x:c r="H2046" s="87" t="n">
        <x:v>21</x:v>
      </x:c>
      <x:c r="I2046" s="87" t="n">
        <x:v>347</x:v>
      </x:c>
      <x:c r="J2046" s="68" t="n">
        <x:f>IFERROR(H2046/I2046,"")</x:f>
        <x:v>0.06051873198847262</x:v>
      </x:c>
      <x:c r="K2046" s="69" t="n">
        <x:f>IFERROR(I2046/H2046,"")</x:f>
        <x:v>16.523809523809526</x:v>
      </x:c>
      <x:c r="L2046" s="66" t="str">
        <x:f>IF(K2046="","","1 : "&amp;TEXT(K2046,"0.0"))</x:f>
        <x:v>1 : 16.5</x:v>
      </x:c>
      <x:c r="M2046" s="66" t="str">
        <x:f>IF(J2046="","Baru/Tanpa Data",IF(J2046&lt;='Catatan &amp; Sumber'!$B$14,"Sangat Ketat",IF(J2046&lt;='Catatan &amp; Sumber'!$B$15,"Ketat",IF(J2046&lt;='Catatan &amp; Sumber'!$B$16,"Sedang","Relatif Longgar"))))</x:f>
        <x:v>Sedang</x:v>
      </x:c>
      <x:c r="N2046" s="66" t="str">
        <x:v>Tidak Ada</x:v>
      </x:c>
      <x:c r="O2046" s="66" t="str">
        <x:v>Jawa Tengah</x:v>
      </x:c>
      <x:c r="P2046" s="66" t="str">
        <x:v>Kota Surakarta</x:v>
      </x:c>
      <x:c r="Q2046" s="66" t="str">
        <x:v>https://snpmb.id/snbp/daya-tampung-snbp</x:v>
      </x:c>
      <x:c r="R2046" s="66" t="str">
        <x:v>https://sidatagrun-public-1076756628210.asia-southeast2.run.app/ptn_sn.php?ptn=353</x:v>
      </x:c>
    </x:row>
    <x:row r="2047">
      <x:c r="A2047" s="87" t="n">
        <x:v>812</x:v>
      </x:c>
      <x:c r="B2047" s="66" t="n">
        <x:v>353</x:v>
      </x:c>
      <x:c r="C2047" s="66" t="str">
        <x:v>UNIVERSITAS SEBELAS MARET</x:v>
      </x:c>
      <x:c r="D2047" s="66" t="str">
        <x:v>PTN Akademik</x:v>
      </x:c>
      <x:c r="E2047" s="66" t="str">
        <x:v>13532101</x:v>
      </x:c>
      <x:c r="F2047" s="66" t="str">
        <x:v>PERBANKAN DAN KEUANGAN DIGITAL</x:v>
      </x:c>
      <x:c r="G2047" s="66" t="str">
        <x:v>Sarjana Terapan</x:v>
      </x:c>
      <x:c r="H2047" s="87" t="n">
        <x:v>24</x:v>
      </x:c>
      <x:c r="I2047" s="87" t="n">
        <x:v>356</x:v>
      </x:c>
      <x:c r="J2047" s="68" t="n">
        <x:f>IFERROR(H2047/I2047,"")</x:f>
        <x:v>0.06741573033707865</x:v>
      </x:c>
      <x:c r="K2047" s="69" t="n">
        <x:f>IFERROR(I2047/H2047,"")</x:f>
        <x:v>14.833333333333334</x:v>
      </x:c>
      <x:c r="L2047" s="66" t="str">
        <x:f>IF(K2047="","","1 : "&amp;TEXT(K2047,"0.0"))</x:f>
        <x:v>1 : 14.8</x:v>
      </x:c>
      <x:c r="M2047" s="66" t="str">
        <x:f>IF(J2047="","Baru/Tanpa Data",IF(J2047&lt;='Catatan &amp; Sumber'!$B$14,"Sangat Ketat",IF(J2047&lt;='Catatan &amp; Sumber'!$B$15,"Ketat",IF(J2047&lt;='Catatan &amp; Sumber'!$B$16,"Sedang","Relatif Longgar"))))</x:f>
        <x:v>Sedang</x:v>
      </x:c>
      <x:c r="N2047" s="66" t="str">
        <x:v>Tidak Ada</x:v>
      </x:c>
      <x:c r="O2047" s="66" t="str">
        <x:v>Jawa Tengah</x:v>
      </x:c>
      <x:c r="P2047" s="66" t="str">
        <x:v>Kota Surakarta</x:v>
      </x:c>
      <x:c r="Q2047" s="66" t="str">
        <x:v>https://snpmb.id/snbp/daya-tampung-snbp</x:v>
      </x:c>
      <x:c r="R2047" s="66" t="str">
        <x:v>https://sidatagrun-public-1076756628210.asia-southeast2.run.app/ptn_sn.php?ptn=353</x:v>
      </x:c>
    </x:row>
    <x:row r="2048">
      <x:c r="A2048" s="87" t="n">
        <x:v>1976</x:v>
      </x:c>
      <x:c r="B2048" s="66" t="n">
        <x:v>353</x:v>
      </x:c>
      <x:c r="C2048" s="66" t="str">
        <x:v>UNIVERSITAS SEBELAS MARET</x:v>
      </x:c>
      <x:c r="D2048" s="66" t="str">
        <x:v>PTN Akademik</x:v>
      </x:c>
      <x:c r="E2048" s="66" t="str">
        <x:v>13532107</x:v>
      </x:c>
      <x:c r="F2048" s="66" t="str">
        <x:v>BAHASA MANDARIN UNTUK KOMUNIKASI BISNIS DAN PROFESIONAL</x:v>
      </x:c>
      <x:c r="G2048" s="66" t="str">
        <x:v>Sarjana Terapan</x:v>
      </x:c>
      <x:c r="H2048" s="87" t="n">
        <x:v>18</x:v>
      </x:c>
      <x:c r="I2048" s="87" t="n">
        <x:v>121</x:v>
      </x:c>
      <x:c r="J2048" s="68" t="n">
        <x:f>IFERROR(H2048/I2048,"")</x:f>
        <x:v>0.1487603305785124</x:v>
      </x:c>
      <x:c r="K2048" s="69" t="n">
        <x:f>IFERROR(I2048/H2048,"")</x:f>
        <x:v>6.722222222222222</x:v>
      </x:c>
      <x:c r="L2048" s="66" t="str">
        <x:f>IF(K2048="","","1 : "&amp;TEXT(K2048,"0.0"))</x:f>
        <x:v>1 : 6.7</x:v>
      </x:c>
      <x:c r="M2048" s="66" t="str">
        <x:f>IF(J2048="","Baru/Tanpa Data",IF(J2048&lt;='Catatan &amp; Sumber'!$B$14,"Sangat Ketat",IF(J2048&lt;='Catatan &amp; Sumber'!$B$15,"Ketat",IF(J2048&lt;='Catatan &amp; Sumber'!$B$16,"Sedang","Relatif Longgar"))))</x:f>
        <x:v>Relatif Longgar</x:v>
      </x:c>
      <x:c r="N2048" s="66" t="str">
        <x:v>Tidak Ada</x:v>
      </x:c>
      <x:c r="O2048" s="66" t="str">
        <x:v>Jawa Tengah</x:v>
      </x:c>
      <x:c r="P2048" s="66" t="str">
        <x:v>Kota Surakarta</x:v>
      </x:c>
      <x:c r="Q2048" s="66" t="str">
        <x:v>https://snpmb.id/snbp/daya-tampung-snbp</x:v>
      </x:c>
      <x:c r="R2048" s="66" t="str">
        <x:v>https://sidatagrun-public-1076756628210.asia-southeast2.run.app/ptn_sn.php?ptn=353</x:v>
      </x:c>
    </x:row>
    <x:row r="2049">
      <x:c r="A2049" s="87"/>
      <x:c r="B2049" s="66" t="n">
        <x:v>353</x:v>
      </x:c>
      <x:c r="C2049" s="66" t="str">
        <x:v>UNIVERSITAS SEBELAS MARET</x:v>
      </x:c>
      <x:c r="D2049" s="66" t="str">
        <x:v>PTN Akademik</x:v>
      </x:c>
      <x:c r="E2049" s="66" t="str">
        <x:v>13532108</x:v>
      </x:c>
      <x:c r="F2049" s="66" t="str">
        <x:v>MANAJEMEN KONSTRUKSI</x:v>
      </x:c>
      <x:c r="G2049" s="66" t="str">
        <x:v>Sarjana Terapan</x:v>
      </x:c>
      <x:c r="H2049" s="87" t="n">
        <x:v>18</x:v>
      </x:c>
      <x:c r="I2049" s="87"/>
      <x:c r="J2049" s="68" t="str">
        <x:f>IFERROR(H2049/I2049,"")</x:f>
      </x:c>
      <x:c r="K2049" s="69" t="n">
        <x:f>IFERROR(I2049/H2049,"")</x:f>
        <x:v>0</x:v>
      </x:c>
      <x:c r="L2049" s="66" t="str">
        <x:f>IF(K2049="","","1 : "&amp;TEXT(K2049,"0.0"))</x:f>
      </x:c>
      <x:c r="M2049" s="66" t="str">
        <x:f>IF(J2049="","Baru/Tanpa Data",IF(J2049&lt;='Catatan &amp; Sumber'!$B$14,"Sangat Ketat",IF(J2049&lt;='Catatan &amp; Sumber'!$B$15,"Ketat",IF(J2049&lt;='Catatan &amp; Sumber'!$B$16,"Sedang","Relatif Longgar"))))</x:f>
        <x:v>Baru/Tanpa Data</x:v>
      </x:c>
      <x:c r="N2049" s="66" t="str">
        <x:v>Tidak Ada</x:v>
      </x:c>
      <x:c r="O2049" s="66" t="str">
        <x:v>Jawa Tengah</x:v>
      </x:c>
      <x:c r="P2049" s="66" t="str">
        <x:v>Kota Surakarta</x:v>
      </x:c>
      <x:c r="Q2049" s="66" t="str">
        <x:v>https://snpmb.id/snbp/daya-tampung-snbp</x:v>
      </x:c>
      <x:c r="R2049" s="66" t="str">
        <x:v>https://sidatagrun-public-1076756628210.asia-southeast2.run.app/ptn_sn.php?ptn=353</x:v>
      </x:c>
    </x:row>
    <x:row r="2050">
      <x:c r="A2050" s="87"/>
      <x:c r="B2050" s="66" t="n">
        <x:v>353</x:v>
      </x:c>
      <x:c r="C2050" s="66" t="str">
        <x:v>UNIVERSITAS SEBELAS MARET</x:v>
      </x:c>
      <x:c r="D2050" s="66" t="str">
        <x:v>PTN Akademik</x:v>
      </x:c>
      <x:c r="E2050" s="66" t="str">
        <x:v>13532109</x:v>
      </x:c>
      <x:c r="F2050" s="66" t="str">
        <x:v>BAHASA INGGRIS UNTUK KOMUNIKASI BISNIS DAN PROFESIONAL</x:v>
      </x:c>
      <x:c r="G2050" s="66" t="str">
        <x:v>Sarjana Terapan</x:v>
      </x:c>
      <x:c r="H2050" s="87" t="n">
        <x:v>14</x:v>
      </x:c>
      <x:c r="I2050" s="87"/>
      <x:c r="J2050" s="68" t="str">
        <x:f>IFERROR(H2050/I2050,"")</x:f>
      </x:c>
      <x:c r="K2050" s="69" t="n">
        <x:f>IFERROR(I2050/H2050,"")</x:f>
        <x:v>0</x:v>
      </x:c>
      <x:c r="L2050" s="66" t="str">
        <x:f>IF(K2050="","","1 : "&amp;TEXT(K2050,"0.0"))</x:f>
      </x:c>
      <x:c r="M2050" s="66" t="str">
        <x:f>IF(J2050="","Baru/Tanpa Data",IF(J2050&lt;='Catatan &amp; Sumber'!$B$14,"Sangat Ketat",IF(J2050&lt;='Catatan &amp; Sumber'!$B$15,"Ketat",IF(J2050&lt;='Catatan &amp; Sumber'!$B$16,"Sedang","Relatif Longgar"))))</x:f>
        <x:v>Baru/Tanpa Data</x:v>
      </x:c>
      <x:c r="N2050" s="66" t="str">
        <x:v>Tidak Ada</x:v>
      </x:c>
      <x:c r="O2050" s="66" t="str">
        <x:v>Jawa Tengah</x:v>
      </x:c>
      <x:c r="P2050" s="66" t="str">
        <x:v>Kota Surakarta</x:v>
      </x:c>
      <x:c r="Q2050" s="66" t="str">
        <x:v>https://snpmb.id/snbp/daya-tampung-snbp</x:v>
      </x:c>
      <x:c r="R2050" s="66" t="str">
        <x:v>https://sidatagrun-public-1076756628210.asia-southeast2.run.app/ptn_sn.php?ptn=353</x:v>
      </x:c>
    </x:row>
    <x:row r="2051">
      <x:c r="A2051" s="87"/>
      <x:c r="B2051" s="66" t="n">
        <x:v>353</x:v>
      </x:c>
      <x:c r="C2051" s="66" t="str">
        <x:v>UNIVERSITAS SEBELAS MARET</x:v>
      </x:c>
      <x:c r="D2051" s="66" t="str">
        <x:v>PTN Akademik</x:v>
      </x:c>
      <x:c r="E2051" s="66" t="str">
        <x:v>13532110</x:v>
      </x:c>
      <x:c r="F2051" s="66" t="str">
        <x:v>MANAJEMEN BISNIS</x:v>
      </x:c>
      <x:c r="G2051" s="66" t="str">
        <x:v>Sarjana Terapan</x:v>
      </x:c>
      <x:c r="H2051" s="87" t="n">
        <x:v>14</x:v>
      </x:c>
      <x:c r="I2051" s="87"/>
      <x:c r="J2051" s="68" t="str">
        <x:f>IFERROR(H2051/I2051,"")</x:f>
      </x:c>
      <x:c r="K2051" s="69" t="n">
        <x:f>IFERROR(I2051/H2051,"")</x:f>
        <x:v>0</x:v>
      </x:c>
      <x:c r="L2051" s="66" t="str">
        <x:f>IF(K2051="","","1 : "&amp;TEXT(K2051,"0.0"))</x:f>
      </x:c>
      <x:c r="M2051" s="66" t="str">
        <x:f>IF(J2051="","Baru/Tanpa Data",IF(J2051&lt;='Catatan &amp; Sumber'!$B$14,"Sangat Ketat",IF(J2051&lt;='Catatan &amp; Sumber'!$B$15,"Ketat",IF(J2051&lt;='Catatan &amp; Sumber'!$B$16,"Sedang","Relatif Longgar"))))</x:f>
        <x:v>Baru/Tanpa Data</x:v>
      </x:c>
      <x:c r="N2051" s="66" t="str">
        <x:v>Tidak Ada</x:v>
      </x:c>
      <x:c r="O2051" s="66" t="str">
        <x:v>Jawa Tengah</x:v>
      </x:c>
      <x:c r="P2051" s="66" t="str">
        <x:v>Kota Surakarta</x:v>
      </x:c>
      <x:c r="Q2051" s="66" t="str">
        <x:v>https://snpmb.id/snbp/daya-tampung-snbp</x:v>
      </x:c>
      <x:c r="R2051" s="66" t="str">
        <x:v>https://sidatagrun-public-1076756628210.asia-southeast2.run.app/ptn_sn.php?ptn=353</x:v>
      </x:c>
    </x:row>
    <x:row r="2052">
      <x:c r="A2052" s="87"/>
      <x:c r="B2052" s="66" t="n">
        <x:v>353</x:v>
      </x:c>
      <x:c r="C2052" s="66" t="str">
        <x:v>UNIVERSITAS SEBELAS MARET</x:v>
      </x:c>
      <x:c r="D2052" s="66" t="str">
        <x:v>PTN Akademik</x:v>
      </x:c>
      <x:c r="E2052" s="66" t="str">
        <x:v>13532111</x:v>
      </x:c>
      <x:c r="F2052" s="66" t="str">
        <x:v>DESAIN MEDIA DIGITAL</x:v>
      </x:c>
      <x:c r="G2052" s="66" t="str">
        <x:v>Sarjana Terapan</x:v>
      </x:c>
      <x:c r="H2052" s="87" t="n">
        <x:v>12</x:v>
      </x:c>
      <x:c r="I2052" s="87"/>
      <x:c r="J2052" s="68" t="str">
        <x:f>IFERROR(H2052/I2052,"")</x:f>
      </x:c>
      <x:c r="K2052" s="69" t="n">
        <x:f>IFERROR(I2052/H2052,"")</x:f>
        <x:v>0</x:v>
      </x:c>
      <x:c r="L2052" s="66" t="str">
        <x:f>IF(K2052="","","1 : "&amp;TEXT(K2052,"0.0"))</x:f>
      </x:c>
      <x:c r="M2052" s="66" t="str">
        <x:f>IF(J2052="","Baru/Tanpa Data",IF(J2052&lt;='Catatan &amp; Sumber'!$B$14,"Sangat Ketat",IF(J2052&lt;='Catatan &amp; Sumber'!$B$15,"Ketat",IF(J2052&lt;='Catatan &amp; Sumber'!$B$16,"Sedang","Relatif Longgar"))))</x:f>
        <x:v>Baru/Tanpa Data</x:v>
      </x:c>
      <x:c r="N2052" s="66" t="str">
        <x:v>Seni Rupa, Desain, dan Kriya</x:v>
      </x:c>
      <x:c r="O2052" s="66" t="str">
        <x:v>Jawa Tengah</x:v>
      </x:c>
      <x:c r="P2052" s="66" t="str">
        <x:v>Kota Surakarta</x:v>
      </x:c>
      <x:c r="Q2052" s="66" t="str">
        <x:v>https://snpmb.id/snbp/daya-tampung-snbp</x:v>
      </x:c>
      <x:c r="R2052" s="66" t="str">
        <x:v>https://sidatagrun-public-1076756628210.asia-southeast2.run.app/ptn_sn.php?ptn=353</x:v>
      </x:c>
    </x:row>
    <x:row r="2053">
      <x:c r="A2053" s="87"/>
      <x:c r="B2053" s="66" t="n">
        <x:v>353</x:v>
      </x:c>
      <x:c r="C2053" s="66" t="str">
        <x:v>UNIVERSITAS SEBELAS MARET</x:v>
      </x:c>
      <x:c r="D2053" s="66" t="str">
        <x:v>PTN Akademik</x:v>
      </x:c>
      <x:c r="E2053" s="66" t="str">
        <x:v>13532112</x:v>
      </x:c>
      <x:c r="F2053" s="66" t="str">
        <x:v>MANAJEMEN PERDAGANGAN INTERNASIONAL</x:v>
      </x:c>
      <x:c r="G2053" s="66" t="str">
        <x:v>Sarjana Terapan</x:v>
      </x:c>
      <x:c r="H2053" s="87" t="n">
        <x:v>18</x:v>
      </x:c>
      <x:c r="I2053" s="87"/>
      <x:c r="J2053" s="68" t="str">
        <x:f>IFERROR(H2053/I2053,"")</x:f>
      </x:c>
      <x:c r="K2053" s="69" t="n">
        <x:f>IFERROR(I2053/H2053,"")</x:f>
        <x:v>0</x:v>
      </x:c>
      <x:c r="L2053" s="66" t="str">
        <x:f>IF(K2053="","","1 : "&amp;TEXT(K2053,"0.0"))</x:f>
      </x:c>
      <x:c r="M2053" s="66" t="str">
        <x:f>IF(J2053="","Baru/Tanpa Data",IF(J2053&lt;='Catatan &amp; Sumber'!$B$14,"Sangat Ketat",IF(J2053&lt;='Catatan &amp; Sumber'!$B$15,"Ketat",IF(J2053&lt;='Catatan &amp; Sumber'!$B$16,"Sedang","Relatif Longgar"))))</x:f>
        <x:v>Baru/Tanpa Data</x:v>
      </x:c>
      <x:c r="N2053" s="66" t="str">
        <x:v>Tidak Ada</x:v>
      </x:c>
      <x:c r="O2053" s="66" t="str">
        <x:v>Jawa Tengah</x:v>
      </x:c>
      <x:c r="P2053" s="66" t="str">
        <x:v>Kota Surakarta</x:v>
      </x:c>
      <x:c r="Q2053" s="66" t="str">
        <x:v>https://snpmb.id/snbp/daya-tampung-snbp</x:v>
      </x:c>
      <x:c r="R2053" s="66" t="str">
        <x:v>https://sidatagrun-public-1076756628210.asia-southeast2.run.app/ptn_sn.php?ptn=353</x:v>
      </x:c>
    </x:row>
    <x:row r="2054">
      <x:c r="A2054" s="87" t="n">
        <x:v>488</x:v>
      </x:c>
      <x:c r="B2054" s="66" t="n">
        <x:v>353</x:v>
      </x:c>
      <x:c r="C2054" s="66" t="str">
        <x:v>UNIVERSITAS SEBELAS MARET</x:v>
      </x:c>
      <x:c r="D2054" s="66" t="str">
        <x:v>PTN Akademik</x:v>
      </x:c>
      <x:c r="E2054" s="66" t="str">
        <x:v>13533072</x:v>
      </x:c>
      <x:c r="F2054" s="66" t="str">
        <x:v>AKUNTANSI</x:v>
      </x:c>
      <x:c r="G2054" s="66" t="str">
        <x:v>Diploma Tiga</x:v>
      </x:c>
      <x:c r="H2054" s="87" t="n">
        <x:v>18</x:v>
      </x:c>
      <x:c r="I2054" s="87" t="n">
        <x:v>356</x:v>
      </x:c>
      <x:c r="J2054" s="68" t="n">
        <x:f>IFERROR(H2054/I2054,"")</x:f>
        <x:v>0.05056179775280899</x:v>
      </x:c>
      <x:c r="K2054" s="69" t="n">
        <x:f>IFERROR(I2054/H2054,"")</x:f>
        <x:v>19.77777777777778</x:v>
      </x:c>
      <x:c r="L2054" s="66" t="str">
        <x:f>IF(K2054="","","1 : "&amp;TEXT(K2054,"0.0"))</x:f>
        <x:v>1 : 19.8</x:v>
      </x:c>
      <x:c r="M2054" s="66" t="str">
        <x:f>IF(J2054="","Baru/Tanpa Data",IF(J2054&lt;='Catatan &amp; Sumber'!$B$14,"Sangat Ketat",IF(J2054&lt;='Catatan &amp; Sumber'!$B$15,"Ketat",IF(J2054&lt;='Catatan &amp; Sumber'!$B$16,"Sedang","Relatif Longgar"))))</x:f>
        <x:v>Sedang</x:v>
      </x:c>
      <x:c r="N2054" s="66" t="str">
        <x:v>Tidak Ada</x:v>
      </x:c>
      <x:c r="O2054" s="66" t="str">
        <x:v>Jawa Tengah</x:v>
      </x:c>
      <x:c r="P2054" s="66" t="str">
        <x:v>Kota Surakarta</x:v>
      </x:c>
      <x:c r="Q2054" s="66" t="str">
        <x:v>https://snpmb.id/snbp/daya-tampung-snbp</x:v>
      </x:c>
      <x:c r="R2054" s="66" t="str">
        <x:v>https://sidatagrun-public-1076756628210.asia-southeast2.run.app/ptn_sn.php?ptn=353</x:v>
      </x:c>
    </x:row>
    <x:row r="2055">
      <x:c r="A2055" s="87" t="n">
        <x:v>782</x:v>
      </x:c>
      <x:c r="B2055" s="66" t="n">
        <x:v>353</x:v>
      </x:c>
      <x:c r="C2055" s="66" t="str">
        <x:v>UNIVERSITAS SEBELAS MARET</x:v>
      </x:c>
      <x:c r="D2055" s="66" t="str">
        <x:v>PTN Akademik</x:v>
      </x:c>
      <x:c r="E2055" s="66" t="str">
        <x:v>13533073</x:v>
      </x:c>
      <x:c r="F2055" s="66" t="str">
        <x:v>KEBIDANAN</x:v>
      </x:c>
      <x:c r="G2055" s="66" t="str">
        <x:v>Diploma Tiga</x:v>
      </x:c>
      <x:c r="H2055" s="87" t="n">
        <x:v>18</x:v>
      </x:c>
      <x:c r="I2055" s="87" t="n">
        <x:v>273</x:v>
      </x:c>
      <x:c r="J2055" s="68" t="n">
        <x:f>IFERROR(H2055/I2055,"")</x:f>
        <x:v>0.06593406593406594</x:v>
      </x:c>
      <x:c r="K2055" s="69" t="n">
        <x:f>IFERROR(I2055/H2055,"")</x:f>
        <x:v>15.166666666666666</x:v>
      </x:c>
      <x:c r="L2055" s="66" t="str">
        <x:f>IF(K2055="","","1 : "&amp;TEXT(K2055,"0.0"))</x:f>
        <x:v>1 : 15.2</x:v>
      </x:c>
      <x:c r="M2055" s="66" t="str">
        <x:f>IF(J2055="","Baru/Tanpa Data",IF(J2055&lt;='Catatan &amp; Sumber'!$B$14,"Sangat Ketat",IF(J2055&lt;='Catatan &amp; Sumber'!$B$15,"Ketat",IF(J2055&lt;='Catatan &amp; Sumber'!$B$16,"Sedang","Relatif Longgar"))))</x:f>
        <x:v>Sedang</x:v>
      </x:c>
      <x:c r="N2055" s="66" t="str">
        <x:v>Tidak Ada</x:v>
      </x:c>
      <x:c r="O2055" s="66" t="str">
        <x:v>Jawa Tengah</x:v>
      </x:c>
      <x:c r="P2055" s="66" t="str">
        <x:v>Kota Surakarta</x:v>
      </x:c>
      <x:c r="Q2055" s="66" t="str">
        <x:v>https://snpmb.id/snbp/daya-tampung-snbp</x:v>
      </x:c>
      <x:c r="R2055" s="66" t="str">
        <x:v>https://sidatagrun-public-1076756628210.asia-southeast2.run.app/ptn_sn.php?ptn=353</x:v>
      </x:c>
    </x:row>
    <x:row r="2056">
      <x:c r="A2056" s="87" t="n">
        <x:v>603</x:v>
      </x:c>
      <x:c r="B2056" s="66" t="n">
        <x:v>353</x:v>
      </x:c>
      <x:c r="C2056" s="66" t="str">
        <x:v>UNIVERSITAS SEBELAS MARET</x:v>
      </x:c>
      <x:c r="D2056" s="66" t="str">
        <x:v>PTN Akademik</x:v>
      </x:c>
      <x:c r="E2056" s="66" t="str">
        <x:v>13533078</x:v>
      </x:c>
      <x:c r="F2056" s="66" t="str">
        <x:v>PERPAJAKAN</x:v>
      </x:c>
      <x:c r="G2056" s="66" t="str">
        <x:v>Diploma Tiga</x:v>
      </x:c>
      <x:c r="H2056" s="87" t="n">
        <x:v>18</x:v>
      </x:c>
      <x:c r="I2056" s="87" t="n">
        <x:v>313</x:v>
      </x:c>
      <x:c r="J2056" s="68" t="n">
        <x:f>IFERROR(H2056/I2056,"")</x:f>
        <x:v>0.05750798722044728</x:v>
      </x:c>
      <x:c r="K2056" s="69" t="n">
        <x:f>IFERROR(I2056/H2056,"")</x:f>
        <x:v>17.38888888888889</x:v>
      </x:c>
      <x:c r="L2056" s="66" t="str">
        <x:f>IF(K2056="","","1 : "&amp;TEXT(K2056,"0.0"))</x:f>
        <x:v>1 : 17.4</x:v>
      </x:c>
      <x:c r="M2056" s="66" t="str">
        <x:f>IF(J2056="","Baru/Tanpa Data",IF(J2056&lt;='Catatan &amp; Sumber'!$B$14,"Sangat Ketat",IF(J2056&lt;='Catatan &amp; Sumber'!$B$15,"Ketat",IF(J2056&lt;='Catatan &amp; Sumber'!$B$16,"Sedang","Relatif Longgar"))))</x:f>
        <x:v>Sedang</x:v>
      </x:c>
      <x:c r="N2056" s="66" t="str">
        <x:v>Tidak Ada</x:v>
      </x:c>
      <x:c r="O2056" s="66" t="str">
        <x:v>Jawa Tengah</x:v>
      </x:c>
      <x:c r="P2056" s="66" t="str">
        <x:v>Kota Surakarta</x:v>
      </x:c>
      <x:c r="Q2056" s="66" t="str">
        <x:v>https://snpmb.id/snbp/daya-tampung-snbp</x:v>
      </x:c>
      <x:c r="R2056" s="66" t="str">
        <x:v>https://sidatagrun-public-1076756628210.asia-southeast2.run.app/ptn_sn.php?ptn=353</x:v>
      </x:c>
    </x:row>
    <x:row r="2057">
      <x:c r="A2057" s="87" t="n">
        <x:v>849</x:v>
      </x:c>
      <x:c r="B2057" s="66" t="n">
        <x:v>353</x:v>
      </x:c>
      <x:c r="C2057" s="66" t="str">
        <x:v>UNIVERSITAS SEBELAS MARET</x:v>
      </x:c>
      <x:c r="D2057" s="66" t="str">
        <x:v>PTN Akademik</x:v>
      </x:c>
      <x:c r="E2057" s="66" t="str">
        <x:v>13533081</x:v>
      </x:c>
      <x:c r="F2057" s="66" t="str">
        <x:v>USAHA PERJALANAN WISATA</x:v>
      </x:c>
      <x:c r="G2057" s="66" t="str">
        <x:v>Diploma Tiga</x:v>
      </x:c>
      <x:c r="H2057" s="87" t="n">
        <x:v>18</x:v>
      </x:c>
      <x:c r="I2057" s="87" t="n">
        <x:v>260</x:v>
      </x:c>
      <x:c r="J2057" s="68" t="n">
        <x:f>IFERROR(H2057/I2057,"")</x:f>
        <x:v>0.06923076923076923</x:v>
      </x:c>
      <x:c r="K2057" s="69" t="n">
        <x:f>IFERROR(I2057/H2057,"")</x:f>
        <x:v>14.444444444444445</x:v>
      </x:c>
      <x:c r="L2057" s="66" t="str">
        <x:f>IF(K2057="","","1 : "&amp;TEXT(K2057,"0.0"))</x:f>
        <x:v>1 : 14.4</x:v>
      </x:c>
      <x:c r="M2057" s="66" t="str">
        <x:f>IF(J2057="","Baru/Tanpa Data",IF(J2057&lt;='Catatan &amp; Sumber'!$B$14,"Sangat Ketat",IF(J2057&lt;='Catatan &amp; Sumber'!$B$15,"Ketat",IF(J2057&lt;='Catatan &amp; Sumber'!$B$16,"Sedang","Relatif Longgar"))))</x:f>
        <x:v>Sedang</x:v>
      </x:c>
      <x:c r="N2057" s="66" t="str">
        <x:v>Tidak Ada</x:v>
      </x:c>
      <x:c r="O2057" s="66" t="str">
        <x:v>Jawa Tengah</x:v>
      </x:c>
      <x:c r="P2057" s="66" t="str">
        <x:v>Kota Surakarta</x:v>
      </x:c>
      <x:c r="Q2057" s="66" t="str">
        <x:v>https://snpmb.id/snbp/daya-tampung-snbp</x:v>
      </x:c>
      <x:c r="R2057" s="66" t="str">
        <x:v>https://sidatagrun-public-1076756628210.asia-southeast2.run.app/ptn_sn.php?ptn=353</x:v>
      </x:c>
    </x:row>
    <x:row r="2058">
      <x:c r="A2058" s="87" t="n">
        <x:v>1659</x:v>
      </x:c>
      <x:c r="B2058" s="66" t="n">
        <x:v>353</x:v>
      </x:c>
      <x:c r="C2058" s="66" t="str">
        <x:v>UNIVERSITAS SEBELAS MARET</x:v>
      </x:c>
      <x:c r="D2058" s="66" t="str">
        <x:v>PTN Akademik</x:v>
      </x:c>
      <x:c r="E2058" s="66" t="str">
        <x:v>13533082</x:v>
      </x:c>
      <x:c r="F2058" s="66" t="str">
        <x:v>AGRIBISNIS</x:v>
      </x:c>
      <x:c r="G2058" s="66" t="str">
        <x:v>Diploma Tiga</x:v>
      </x:c>
      <x:c r="H2058" s="87" t="n">
        <x:v>26</x:v>
      </x:c>
      <x:c r="I2058" s="87" t="n">
        <x:v>215</x:v>
      </x:c>
      <x:c r="J2058" s="68" t="n">
        <x:f>IFERROR(H2058/I2058,"")</x:f>
        <x:v>0.12093023255813953</x:v>
      </x:c>
      <x:c r="K2058" s="69" t="n">
        <x:f>IFERROR(I2058/H2058,"")</x:f>
        <x:v>8.26923076923077</x:v>
      </x:c>
      <x:c r="L2058" s="66" t="str">
        <x:f>IF(K2058="","","1 : "&amp;TEXT(K2058,"0.0"))</x:f>
        <x:v>1 : 8.3</x:v>
      </x:c>
      <x:c r="M2058" s="66" t="str">
        <x:f>IF(J2058="","Baru/Tanpa Data",IF(J2058&lt;='Catatan &amp; Sumber'!$B$14,"Sangat Ketat",IF(J2058&lt;='Catatan &amp; Sumber'!$B$15,"Ketat",IF(J2058&lt;='Catatan &amp; Sumber'!$B$16,"Sedang","Relatif Longgar"))))</x:f>
        <x:v>Relatif Longgar</x:v>
      </x:c>
      <x:c r="N2058" s="66" t="str">
        <x:v>Tidak Ada</x:v>
      </x:c>
      <x:c r="O2058" s="66" t="str">
        <x:v>Jawa Tengah</x:v>
      </x:c>
      <x:c r="P2058" s="66" t="str">
        <x:v>Kota Surakarta</x:v>
      </x:c>
      <x:c r="Q2058" s="66" t="str">
        <x:v>https://snpmb.id/snbp/daya-tampung-snbp</x:v>
      </x:c>
      <x:c r="R2058" s="66" t="str">
        <x:v>https://sidatagrun-public-1076756628210.asia-southeast2.run.app/ptn_sn.php?ptn=353</x:v>
      </x:c>
    </x:row>
    <x:row r="2059">
      <x:c r="A2059" s="87" t="n">
        <x:v>2121</x:v>
      </x:c>
      <x:c r="B2059" s="66" t="n">
        <x:v>353</x:v>
      </x:c>
      <x:c r="C2059" s="66" t="str">
        <x:v>UNIVERSITAS SEBELAS MARET</x:v>
      </x:c>
      <x:c r="D2059" s="66" t="str">
        <x:v>PTN Akademik</x:v>
      </x:c>
      <x:c r="E2059" s="66" t="str">
        <x:v>13533083</x:v>
      </x:c>
      <x:c r="F2059" s="66" t="str">
        <x:v>TEKNIK KIMIA</x:v>
      </x:c>
      <x:c r="G2059" s="66" t="str">
        <x:v>Diploma Tiga</x:v>
      </x:c>
      <x:c r="H2059" s="87" t="n">
        <x:v>10</x:v>
      </x:c>
      <x:c r="I2059" s="87" t="n">
        <x:v>61</x:v>
      </x:c>
      <x:c r="J2059" s="68" t="n">
        <x:f>IFERROR(H2059/I2059,"")</x:f>
        <x:v>0.16393442622950818</x:v>
      </x:c>
      <x:c r="K2059" s="69" t="n">
        <x:f>IFERROR(I2059/H2059,"")</x:f>
        <x:v>6.1</x:v>
      </x:c>
      <x:c r="L2059" s="66" t="str">
        <x:f>IF(K2059="","","1 : "&amp;TEXT(K2059,"0.0"))</x:f>
        <x:v>1 : 6.1</x:v>
      </x:c>
      <x:c r="M2059" s="66" t="str">
        <x:f>IF(J2059="","Baru/Tanpa Data",IF(J2059&lt;='Catatan &amp; Sumber'!$B$14,"Sangat Ketat",IF(J2059&lt;='Catatan &amp; Sumber'!$B$15,"Ketat",IF(J2059&lt;='Catatan &amp; Sumber'!$B$16,"Sedang","Relatif Longgar"))))</x:f>
        <x:v>Relatif Longgar</x:v>
      </x:c>
      <x:c r="N2059" s="66" t="str">
        <x:v>Tidak Ada</x:v>
      </x:c>
      <x:c r="O2059" s="66" t="str">
        <x:v>Jawa Tengah</x:v>
      </x:c>
      <x:c r="P2059" s="66" t="str">
        <x:v>Kota Surakarta</x:v>
      </x:c>
      <x:c r="Q2059" s="66" t="str">
        <x:v>https://snpmb.id/snbp/daya-tampung-snbp</x:v>
      </x:c>
      <x:c r="R2059" s="66" t="str">
        <x:v>https://sidatagrun-public-1076756628210.asia-southeast2.run.app/ptn_sn.php?ptn=353</x:v>
      </x:c>
    </x:row>
    <x:row r="2060">
      <x:c r="A2060" s="87" t="n">
        <x:v>58</x:v>
      </x:c>
      <x:c r="B2060" s="66" t="n">
        <x:v>353</x:v>
      </x:c>
      <x:c r="C2060" s="66" t="str">
        <x:v>UNIVERSITAS SEBELAS MARET</x:v>
      </x:c>
      <x:c r="D2060" s="66" t="str">
        <x:v>PTN Akademik</x:v>
      </x:c>
      <x:c r="E2060" s="66" t="str">
        <x:v>13533089</x:v>
      </x:c>
      <x:c r="F2060" s="66" t="str">
        <x:v>FARMASI</x:v>
      </x:c>
      <x:c r="G2060" s="66" t="str">
        <x:v>Diploma Tiga</x:v>
      </x:c>
      <x:c r="H2060" s="87" t="n">
        <x:v>17</x:v>
      </x:c>
      <x:c r="I2060" s="87" t="n">
        <x:v>702</x:v>
      </x:c>
      <x:c r="J2060" s="68" t="n">
        <x:f>IFERROR(H2060/I2060,"")</x:f>
        <x:v>0.024216524216524215</x:v>
      </x:c>
      <x:c r="K2060" s="69" t="n">
        <x:f>IFERROR(I2060/H2060,"")</x:f>
        <x:v>41.294117647058826</x:v>
      </x:c>
      <x:c r="L2060" s="66" t="str">
        <x:f>IF(K2060="","","1 : "&amp;TEXT(K2060,"0.0"))</x:f>
        <x:v>1 : 41.3</x:v>
      </x:c>
      <x:c r="M2060" s="66" t="str">
        <x:f>IF(J2060="","Baru/Tanpa Data",IF(J2060&lt;='Catatan &amp; Sumber'!$B$14,"Sangat Ketat",IF(J2060&lt;='Catatan &amp; Sumber'!$B$15,"Ketat",IF(J2060&lt;='Catatan &amp; Sumber'!$B$16,"Sedang","Relatif Longgar"))))</x:f>
        <x:v>Ketat</x:v>
      </x:c>
      <x:c r="N2060" s="66" t="str">
        <x:v>Tidak Ada</x:v>
      </x:c>
      <x:c r="O2060" s="66" t="str">
        <x:v>Jawa Tengah</x:v>
      </x:c>
      <x:c r="P2060" s="66" t="str">
        <x:v>Kota Surakarta</x:v>
      </x:c>
      <x:c r="Q2060" s="66" t="str">
        <x:v>https://snpmb.id/snbp/daya-tampung-snbp</x:v>
      </x:c>
      <x:c r="R2060" s="66" t="str">
        <x:v>https://sidatagrun-public-1076756628210.asia-southeast2.run.app/ptn_sn.php?ptn=353</x:v>
      </x:c>
    </x:row>
    <x:row r="2061">
      <x:c r="A2061" s="87" t="n">
        <x:v>2042</x:v>
      </x:c>
      <x:c r="B2061" s="66" t="n">
        <x:v>353</x:v>
      </x:c>
      <x:c r="C2061" s="66" t="str">
        <x:v>UNIVERSITAS SEBELAS MARET</x:v>
      </x:c>
      <x:c r="D2061" s="66" t="str">
        <x:v>PTN Akademik</x:v>
      </x:c>
      <x:c r="E2061" s="66" t="str">
        <x:v>13533090</x:v>
      </x:c>
      <x:c r="F2061" s="66" t="str">
        <x:v>BUDI DAYA TERNAK</x:v>
      </x:c>
      <x:c r="G2061" s="66" t="str">
        <x:v>Diploma Tiga</x:v>
      </x:c>
      <x:c r="H2061" s="87" t="n">
        <x:v>12</x:v>
      </x:c>
      <x:c r="I2061" s="87" t="n">
        <x:v>77</x:v>
      </x:c>
      <x:c r="J2061" s="68" t="n">
        <x:f>IFERROR(H2061/I2061,"")</x:f>
        <x:v>0.15584415584415584</x:v>
      </x:c>
      <x:c r="K2061" s="69" t="n">
        <x:f>IFERROR(I2061/H2061,"")</x:f>
        <x:v>6.416666666666667</x:v>
      </x:c>
      <x:c r="L2061" s="66" t="str">
        <x:f>IF(K2061="","","1 : "&amp;TEXT(K2061,"0.0"))</x:f>
        <x:v>1 : 6.4</x:v>
      </x:c>
      <x:c r="M2061" s="66" t="str">
        <x:f>IF(J2061="","Baru/Tanpa Data",IF(J2061&lt;='Catatan &amp; Sumber'!$B$14,"Sangat Ketat",IF(J2061&lt;='Catatan &amp; Sumber'!$B$15,"Ketat",IF(J2061&lt;='Catatan &amp; Sumber'!$B$16,"Sedang","Relatif Longgar"))))</x:f>
        <x:v>Relatif Longgar</x:v>
      </x:c>
      <x:c r="N2061" s="66" t="str">
        <x:v>Tidak Ada</x:v>
      </x:c>
      <x:c r="O2061" s="66" t="str">
        <x:v>Jawa Tengah</x:v>
      </x:c>
      <x:c r="P2061" s="66" t="str">
        <x:v>Kota Surakarta</x:v>
      </x:c>
      <x:c r="Q2061" s="66" t="str">
        <x:v>https://snpmb.id/snbp/daya-tampung-snbp</x:v>
      </x:c>
      <x:c r="R2061" s="66" t="str">
        <x:v>https://sidatagrun-public-1076756628210.asia-southeast2.run.app/ptn_sn.php?ptn=353</x:v>
      </x:c>
    </x:row>
    <x:row r="2062">
      <x:c r="A2062" s="87" t="n">
        <x:v>317</x:v>
      </x:c>
      <x:c r="B2062" s="66" t="n">
        <x:v>353</x:v>
      </x:c>
      <x:c r="C2062" s="66" t="str">
        <x:v>UNIVERSITAS SEBELAS MARET</x:v>
      </x:c>
      <x:c r="D2062" s="66" t="str">
        <x:v>PTN Akademik</x:v>
      </x:c>
      <x:c r="E2062" s="66" t="str">
        <x:v>13533091</x:v>
      </x:c>
      <x:c r="F2062" s="66" t="str">
        <x:v>MANAJEMEN ADMINISTRASI</x:v>
      </x:c>
      <x:c r="G2062" s="66" t="str">
        <x:v>Diploma Tiga</x:v>
      </x:c>
      <x:c r="H2062" s="87" t="n">
        <x:v>18</x:v>
      </x:c>
      <x:c r="I2062" s="87" t="n">
        <x:v>419</x:v>
      </x:c>
      <x:c r="J2062" s="68" t="n">
        <x:f>IFERROR(H2062/I2062,"")</x:f>
        <x:v>0.04295942720763723</x:v>
      </x:c>
      <x:c r="K2062" s="69" t="n">
        <x:f>IFERROR(I2062/H2062,"")</x:f>
        <x:v>23.27777777777778</x:v>
      </x:c>
      <x:c r="L2062" s="66" t="str">
        <x:f>IF(K2062="","","1 : "&amp;TEXT(K2062,"0.0"))</x:f>
        <x:v>1 : 23.3</x:v>
      </x:c>
      <x:c r="M2062" s="66" t="str">
        <x:f>IF(J2062="","Baru/Tanpa Data",IF(J2062&lt;='Catatan &amp; Sumber'!$B$14,"Sangat Ketat",IF(J2062&lt;='Catatan &amp; Sumber'!$B$15,"Ketat",IF(J2062&lt;='Catatan &amp; Sumber'!$B$16,"Sedang","Relatif Longgar"))))</x:f>
        <x:v>Ketat</x:v>
      </x:c>
      <x:c r="N2062" s="66" t="str">
        <x:v>Tidak Ada</x:v>
      </x:c>
      <x:c r="O2062" s="66" t="str">
        <x:v>Jawa Tengah</x:v>
      </x:c>
      <x:c r="P2062" s="66" t="str">
        <x:v>Kota Surakarta</x:v>
      </x:c>
      <x:c r="Q2062" s="66" t="str">
        <x:v>https://snpmb.id/snbp/daya-tampung-snbp</x:v>
      </x:c>
      <x:c r="R2062" s="66" t="str">
        <x:v>https://sidatagrun-public-1076756628210.asia-southeast2.run.app/ptn_sn.php?ptn=353</x:v>
      </x:c>
    </x:row>
    <x:row r="2063">
      <x:c r="A2063" s="87" t="n">
        <x:v>3815</x:v>
      </x:c>
      <x:c r="B2063" s="66" t="n">
        <x:v>353</x:v>
      </x:c>
      <x:c r="C2063" s="66" t="str">
        <x:v>UNIVERSITAS SEBELAS MARET</x:v>
      </x:c>
      <x:c r="D2063" s="66" t="str">
        <x:v>PTN Akademik</x:v>
      </x:c>
      <x:c r="E2063" s="66" t="str">
        <x:v>13533102</x:v>
      </x:c>
      <x:c r="F2063" s="66" t="str">
        <x:v>TEKNIK INFORMATIKA (KAMPUS KABUPATEN MADIUN)</x:v>
      </x:c>
      <x:c r="G2063" s="66" t="str">
        <x:v>Diploma Tiga</x:v>
      </x:c>
      <x:c r="H2063" s="87" t="n">
        <x:v>18</x:v>
      </x:c>
      <x:c r="I2063" s="87" t="n">
        <x:v>31</x:v>
      </x:c>
      <x:c r="J2063" s="68" t="n">
        <x:f>IFERROR(H2063/I2063,"")</x:f>
        <x:v>0.5806451612903226</x:v>
      </x:c>
      <x:c r="K2063" s="69" t="n">
        <x:f>IFERROR(I2063/H2063,"")</x:f>
        <x:v>1.7222222222222223</x:v>
      </x:c>
      <x:c r="L2063" s="66" t="str">
        <x:f>IF(K2063="","","1 : "&amp;TEXT(K2063,"0.0"))</x:f>
        <x:v>1 : 1.7</x:v>
      </x:c>
      <x:c r="M2063" s="66" t="str">
        <x:f>IF(J2063="","Baru/Tanpa Data",IF(J2063&lt;='Catatan &amp; Sumber'!$B$14,"Sangat Ketat",IF(J2063&lt;='Catatan &amp; Sumber'!$B$15,"Ketat",IF(J2063&lt;='Catatan &amp; Sumber'!$B$16,"Sedang","Relatif Longgar"))))</x:f>
        <x:v>Relatif Longgar</x:v>
      </x:c>
      <x:c r="N2063" s="66" t="str">
        <x:v>Tidak Ada</x:v>
      </x:c>
      <x:c r="O2063" s="66" t="str">
        <x:v>Jawa Tengah</x:v>
      </x:c>
      <x:c r="P2063" s="66" t="str">
        <x:v>Kota Surakarta</x:v>
      </x:c>
      <x:c r="Q2063" s="66" t="str">
        <x:v>https://snpmb.id/snbp/daya-tampung-snbp</x:v>
      </x:c>
      <x:c r="R2063" s="66" t="str">
        <x:v>https://sidatagrun-public-1076756628210.asia-southeast2.run.app/ptn_sn.php?ptn=353</x:v>
      </x:c>
    </x:row>
    <x:row r="2064">
      <x:c r="A2064" s="87" t="n">
        <x:v>4241</x:v>
      </x:c>
      <x:c r="B2064" s="66" t="n">
        <x:v>353</x:v>
      </x:c>
      <x:c r="C2064" s="66" t="str">
        <x:v>UNIVERSITAS SEBELAS MARET</x:v>
      </x:c>
      <x:c r="D2064" s="66" t="str">
        <x:v>PTN Akademik</x:v>
      </x:c>
      <x:c r="E2064" s="66" t="str">
        <x:v>13533103</x:v>
      </x:c>
      <x:c r="F2064" s="66" t="str">
        <x:v>AKUNTANSI (KAMPUS KABUPATEN MADIUN)</x:v>
      </x:c>
      <x:c r="G2064" s="66" t="str">
        <x:v>Diploma Tiga</x:v>
      </x:c>
      <x:c r="H2064" s="87" t="n">
        <x:v>18</x:v>
      </x:c>
      <x:c r="I2064" s="87" t="n">
        <x:v>20</x:v>
      </x:c>
      <x:c r="J2064" s="68" t="n">
        <x:f>IFERROR(H2064/I2064,"")</x:f>
        <x:v>0.9</x:v>
      </x:c>
      <x:c r="K2064" s="69" t="n">
        <x:f>IFERROR(I2064/H2064,"")</x:f>
        <x:v>1.1111111111111112</x:v>
      </x:c>
      <x:c r="L2064" s="66" t="str">
        <x:f>IF(K2064="","","1 : "&amp;TEXT(K2064,"0.0"))</x:f>
        <x:v>1 : 1.1</x:v>
      </x:c>
      <x:c r="M2064" s="66" t="str">
        <x:f>IF(J2064="","Baru/Tanpa Data",IF(J2064&lt;='Catatan &amp; Sumber'!$B$14,"Sangat Ketat",IF(J2064&lt;='Catatan &amp; Sumber'!$B$15,"Ketat",IF(J2064&lt;='Catatan &amp; Sumber'!$B$16,"Sedang","Relatif Longgar"))))</x:f>
        <x:v>Relatif Longgar</x:v>
      </x:c>
      <x:c r="N2064" s="66" t="str">
        <x:v>Tidak Ada</x:v>
      </x:c>
      <x:c r="O2064" s="66" t="str">
        <x:v>Jawa Tengah</x:v>
      </x:c>
      <x:c r="P2064" s="66" t="str">
        <x:v>Kota Surakarta</x:v>
      </x:c>
      <x:c r="Q2064" s="66" t="str">
        <x:v>https://snpmb.id/snbp/daya-tampung-snbp</x:v>
      </x:c>
      <x:c r="R2064" s="66" t="str">
        <x:v>https://sidatagrun-public-1076756628210.asia-southeast2.run.app/ptn_sn.php?ptn=353</x:v>
      </x:c>
    </x:row>
    <x:row r="2065">
      <x:c r="A2065" s="87" t="n">
        <x:v>3003</x:v>
      </x:c>
      <x:c r="B2065" s="66" t="n">
        <x:v>354</x:v>
      </x:c>
      <x:c r="C2065" s="66" t="str">
        <x:v>ISI SURAKARTA</x:v>
      </x:c>
      <x:c r="D2065" s="66" t="str">
        <x:v>PTN Akademik</x:v>
      </x:c>
      <x:c r="E2065" s="66" t="str">
        <x:v>13541001</x:v>
      </x:c>
      <x:c r="F2065" s="66" t="str">
        <x:v>TARI</x:v>
      </x:c>
      <x:c r="G2065" s="66" t="str">
        <x:v>Sarjana</x:v>
      </x:c>
      <x:c r="H2065" s="87" t="n">
        <x:v>52</x:v>
      </x:c>
      <x:c r="I2065" s="87" t="n">
        <x:v>177</x:v>
      </x:c>
      <x:c r="J2065" s="68" t="n">
        <x:f>IFERROR(H2065/I2065,"")</x:f>
        <x:v>0.2937853107344633</x:v>
      </x:c>
      <x:c r="K2065" s="69" t="n">
        <x:f>IFERROR(I2065/H2065,"")</x:f>
        <x:v>3.4038461538461537</x:v>
      </x:c>
      <x:c r="L2065" s="66" t="str">
        <x:f>IF(K2065="","","1 : "&amp;TEXT(K2065,"0.0"))</x:f>
        <x:v>1 : 3.4</x:v>
      </x:c>
      <x:c r="M2065" s="66" t="str">
        <x:f>IF(J2065="","Baru/Tanpa Data",IF(J2065&lt;='Catatan &amp; Sumber'!$B$14,"Sangat Ketat",IF(J2065&lt;='Catatan &amp; Sumber'!$B$15,"Ketat",IF(J2065&lt;='Catatan &amp; Sumber'!$B$16,"Sedang","Relatif Longgar"))))</x:f>
        <x:v>Relatif Longgar</x:v>
      </x:c>
      <x:c r="N2065" s="66" t="str">
        <x:v>Tari</x:v>
      </x:c>
      <x:c r="O2065" s="66" t="str">
        <x:v>Jawa Tengah</x:v>
      </x:c>
      <x:c r="P2065" s="66" t="str">
        <x:v>Kota Surakarta</x:v>
      </x:c>
      <x:c r="Q2065" s="66" t="str">
        <x:v>https://snpmb.id/snbp/daya-tampung-snbp</x:v>
      </x:c>
      <x:c r="R2065" s="66" t="str">
        <x:v>https://sidatagrun-public-1076756628210.asia-southeast2.run.app/ptn_sn.php?ptn=354</x:v>
      </x:c>
    </x:row>
    <x:row r="2066">
      <x:c r="A2066" s="87" t="n">
        <x:v>4584</x:v>
      </x:c>
      <x:c r="B2066" s="66" t="n">
        <x:v>354</x:v>
      </x:c>
      <x:c r="C2066" s="66" t="str">
        <x:v>ISI SURAKARTA</x:v>
      </x:c>
      <x:c r="D2066" s="66" t="str">
        <x:v>PTN Akademik</x:v>
      </x:c>
      <x:c r="E2066" s="66" t="str">
        <x:v>13541002</x:v>
      </x:c>
      <x:c r="F2066" s="66" t="str">
        <x:v>ETNOMUSIKOLOGI</x:v>
      </x:c>
      <x:c r="G2066" s="66" t="str">
        <x:v>Sarjana</x:v>
      </x:c>
      <x:c r="H2066" s="87" t="n">
        <x:v>32</x:v>
      </x:c>
      <x:c r="I2066" s="87" t="n">
        <x:v>20</x:v>
      </x:c>
      <x:c r="J2066" s="68" t="n">
        <x:f>IFERROR(H2066/I2066,"")</x:f>
        <x:v>1.6</x:v>
      </x:c>
      <x:c r="K2066" s="69" t="n">
        <x:f>IFERROR(I2066/H2066,"")</x:f>
        <x:v>0.625</x:v>
      </x:c>
      <x:c r="L2066" s="66" t="str">
        <x:f>IF(K2066="","","1 : "&amp;TEXT(K2066,"0.0"))</x:f>
        <x:v>1 : 0.6</x:v>
      </x:c>
      <x:c r="M2066" s="66" t="str">
        <x:f>IF(J2066="","Baru/Tanpa Data",IF(J2066&lt;='Catatan &amp; Sumber'!$B$14,"Sangat Ketat",IF(J2066&lt;='Catatan &amp; Sumber'!$B$15,"Ketat",IF(J2066&lt;='Catatan &amp; Sumber'!$B$16,"Sedang","Relatif Longgar"))))</x:f>
        <x:v>Relatif Longgar</x:v>
      </x:c>
      <x:c r="N2066" s="66" t="str">
        <x:v>Etnomusikologi</x:v>
      </x:c>
      <x:c r="O2066" s="66" t="str">
        <x:v>Jawa Tengah</x:v>
      </x:c>
      <x:c r="P2066" s="66" t="str">
        <x:v>Kota Surakarta</x:v>
      </x:c>
      <x:c r="Q2066" s="66" t="str">
        <x:v>https://snpmb.id/snbp/daya-tampung-snbp</x:v>
      </x:c>
      <x:c r="R2066" s="66" t="str">
        <x:v>https://sidatagrun-public-1076756628210.asia-southeast2.run.app/ptn_sn.php?ptn=354</x:v>
      </x:c>
    </x:row>
    <x:row r="2067">
      <x:c r="A2067" s="87" t="n">
        <x:v>4278</x:v>
      </x:c>
      <x:c r="B2067" s="66" t="n">
        <x:v>354</x:v>
      </x:c>
      <x:c r="C2067" s="66" t="str">
        <x:v>ISI SURAKARTA</x:v>
      </x:c>
      <x:c r="D2067" s="66" t="str">
        <x:v>PTN Akademik</x:v>
      </x:c>
      <x:c r="E2067" s="66" t="str">
        <x:v>13541003</x:v>
      </x:c>
      <x:c r="F2067" s="66" t="str">
        <x:v>TEATER</x:v>
      </x:c>
      <x:c r="G2067" s="66" t="str">
        <x:v>Sarjana</x:v>
      </x:c>
      <x:c r="H2067" s="87" t="n">
        <x:v>16</x:v>
      </x:c>
      <x:c r="I2067" s="87" t="n">
        <x:v>17</x:v>
      </x:c>
      <x:c r="J2067" s="68" t="n">
        <x:f>IFERROR(H2067/I2067,"")</x:f>
        <x:v>0.9411764705882353</x:v>
      </x:c>
      <x:c r="K2067" s="69" t="n">
        <x:f>IFERROR(I2067/H2067,"")</x:f>
        <x:v>1.0625</x:v>
      </x:c>
      <x:c r="L2067" s="66" t="str">
        <x:f>IF(K2067="","","1 : "&amp;TEXT(K2067,"0.0"))</x:f>
        <x:v>1 : 1.1</x:v>
      </x:c>
      <x:c r="M2067" s="66" t="str">
        <x:f>IF(J2067="","Baru/Tanpa Data",IF(J2067&lt;='Catatan &amp; Sumber'!$B$14,"Sangat Ketat",IF(J2067&lt;='Catatan &amp; Sumber'!$B$15,"Ketat",IF(J2067&lt;='Catatan &amp; Sumber'!$B$16,"Sedang","Relatif Longgar"))))</x:f>
        <x:v>Relatif Longgar</x:v>
      </x:c>
      <x:c r="N2067" s="66" t="str">
        <x:v>Teater</x:v>
      </x:c>
      <x:c r="O2067" s="66" t="str">
        <x:v>Jawa Tengah</x:v>
      </x:c>
      <x:c r="P2067" s="66" t="str">
        <x:v>Kota Surakarta</x:v>
      </x:c>
      <x:c r="Q2067" s="66" t="str">
        <x:v>https://snpmb.id/snbp/daya-tampung-snbp</x:v>
      </x:c>
      <x:c r="R2067" s="66" t="str">
        <x:v>https://sidatagrun-public-1076756628210.asia-southeast2.run.app/ptn_sn.php?ptn=354</x:v>
      </x:c>
    </x:row>
    <x:row r="2068">
      <x:c r="A2068" s="87" t="n">
        <x:v>4397</x:v>
      </x:c>
      <x:c r="B2068" s="66" t="n">
        <x:v>354</x:v>
      </x:c>
      <x:c r="C2068" s="66" t="str">
        <x:v>ISI SURAKARTA</x:v>
      </x:c>
      <x:c r="D2068" s="66" t="str">
        <x:v>PTN Akademik</x:v>
      </x:c>
      <x:c r="E2068" s="66" t="str">
        <x:v>13541004</x:v>
      </x:c>
      <x:c r="F2068" s="66" t="str">
        <x:v>KRIYA</x:v>
      </x:c>
      <x:c r="G2068" s="66" t="str">
        <x:v>Sarjana</x:v>
      </x:c>
      <x:c r="H2068" s="87" t="n">
        <x:v>28</x:v>
      </x:c>
      <x:c r="I2068" s="87" t="n">
        <x:v>25</x:v>
      </x:c>
      <x:c r="J2068" s="68" t="n">
        <x:f>IFERROR(H2068/I2068,"")</x:f>
        <x:v>1.12</x:v>
      </x:c>
      <x:c r="K2068" s="69" t="n">
        <x:f>IFERROR(I2068/H2068,"")</x:f>
        <x:v>0.8928571428571429</x:v>
      </x:c>
      <x:c r="L2068" s="66" t="str">
        <x:f>IF(K2068="","","1 : "&amp;TEXT(K2068,"0.0"))</x:f>
        <x:v>1 : 0.9</x:v>
      </x:c>
      <x:c r="M2068" s="66" t="str">
        <x:f>IF(J2068="","Baru/Tanpa Data",IF(J2068&lt;='Catatan &amp; Sumber'!$B$14,"Sangat Ketat",IF(J2068&lt;='Catatan &amp; Sumber'!$B$15,"Ketat",IF(J2068&lt;='Catatan &amp; Sumber'!$B$16,"Sedang","Relatif Longgar"))))</x:f>
        <x:v>Relatif Longgar</x:v>
      </x:c>
      <x:c r="N2068" s="66" t="str">
        <x:v>Seni Rupa, Desain, dan Kriya</x:v>
      </x:c>
      <x:c r="O2068" s="66" t="str">
        <x:v>Jawa Tengah</x:v>
      </x:c>
      <x:c r="P2068" s="66" t="str">
        <x:v>Kota Surakarta</x:v>
      </x:c>
      <x:c r="Q2068" s="66" t="str">
        <x:v>https://snpmb.id/snbp/daya-tampung-snbp</x:v>
      </x:c>
      <x:c r="R2068" s="66" t="str">
        <x:v>https://sidatagrun-public-1076756628210.asia-southeast2.run.app/ptn_sn.php?ptn=354</x:v>
      </x:c>
    </x:row>
    <x:row r="2069">
      <x:c r="A2069" s="87" t="n">
        <x:v>3220</x:v>
      </x:c>
      <x:c r="B2069" s="66" t="n">
        <x:v>354</x:v>
      </x:c>
      <x:c r="C2069" s="66" t="str">
        <x:v>ISI SURAKARTA</x:v>
      </x:c>
      <x:c r="D2069" s="66" t="str">
        <x:v>PTN Akademik</x:v>
      </x:c>
      <x:c r="E2069" s="66" t="str">
        <x:v>13541005</x:v>
      </x:c>
      <x:c r="F2069" s="66" t="str">
        <x:v>SENI MURNI</x:v>
      </x:c>
      <x:c r="G2069" s="66" t="str">
        <x:v>Sarjana</x:v>
      </x:c>
      <x:c r="H2069" s="87" t="n">
        <x:v>32</x:v>
      </x:c>
      <x:c r="I2069" s="87" t="n">
        <x:v>92</x:v>
      </x:c>
      <x:c r="J2069" s="68" t="n">
        <x:f>IFERROR(H2069/I2069,"")</x:f>
        <x:v>0.34782608695652173</x:v>
      </x:c>
      <x:c r="K2069" s="69" t="n">
        <x:f>IFERROR(I2069/H2069,"")</x:f>
        <x:v>2.875</x:v>
      </x:c>
      <x:c r="L2069" s="66" t="str">
        <x:f>IF(K2069="","","1 : "&amp;TEXT(K2069,"0.0"))</x:f>
        <x:v>1 : 2.9</x:v>
      </x:c>
      <x:c r="M2069" s="66" t="str">
        <x:f>IF(J2069="","Baru/Tanpa Data",IF(J2069&lt;='Catatan &amp; Sumber'!$B$14,"Sangat Ketat",IF(J2069&lt;='Catatan &amp; Sumber'!$B$15,"Ketat",IF(J2069&lt;='Catatan &amp; Sumber'!$B$16,"Sedang","Relatif Longgar"))))</x:f>
        <x:v>Relatif Longgar</x:v>
      </x:c>
      <x:c r="N2069" s="66" t="str">
        <x:v>Seni Rupa, Desain, dan Kriya</x:v>
      </x:c>
      <x:c r="O2069" s="66" t="str">
        <x:v>Jawa Tengah</x:v>
      </x:c>
      <x:c r="P2069" s="66" t="str">
        <x:v>Kota Surakarta</x:v>
      </x:c>
      <x:c r="Q2069" s="66" t="str">
        <x:v>https://snpmb.id/snbp/daya-tampung-snbp</x:v>
      </x:c>
      <x:c r="R2069" s="66" t="str">
        <x:v>https://sidatagrun-public-1076756628210.asia-southeast2.run.app/ptn_sn.php?ptn=354</x:v>
      </x:c>
    </x:row>
    <x:row r="2070">
      <x:c r="A2070" s="87" t="n">
        <x:v>3422</x:v>
      </x:c>
      <x:c r="B2070" s="66" t="n">
        <x:v>354</x:v>
      </x:c>
      <x:c r="C2070" s="66" t="str">
        <x:v>ISI SURAKARTA</x:v>
      </x:c>
      <x:c r="D2070" s="66" t="str">
        <x:v>PTN Akademik</x:v>
      </x:c>
      <x:c r="E2070" s="66" t="str">
        <x:v>13541006</x:v>
      </x:c>
      <x:c r="F2070" s="66" t="str">
        <x:v>DESAIN INTERIOR</x:v>
      </x:c>
      <x:c r="G2070" s="66" t="str">
        <x:v>Sarjana</x:v>
      </x:c>
      <x:c r="H2070" s="87" t="n">
        <x:v>44</x:v>
      </x:c>
      <x:c r="I2070" s="87" t="n">
        <x:v>108</x:v>
      </x:c>
      <x:c r="J2070" s="68" t="n">
        <x:f>IFERROR(H2070/I2070,"")</x:f>
        <x:v>0.4074074074074074</x:v>
      </x:c>
      <x:c r="K2070" s="69" t="n">
        <x:f>IFERROR(I2070/H2070,"")</x:f>
        <x:v>2.4545454545454546</x:v>
      </x:c>
      <x:c r="L2070" s="66" t="str">
        <x:f>IF(K2070="","","1 : "&amp;TEXT(K2070,"0.0"))</x:f>
        <x:v>1 : 2.5</x:v>
      </x:c>
      <x:c r="M2070" s="66" t="str">
        <x:f>IF(J2070="","Baru/Tanpa Data",IF(J2070&lt;='Catatan &amp; Sumber'!$B$14,"Sangat Ketat",IF(J2070&lt;='Catatan &amp; Sumber'!$B$15,"Ketat",IF(J2070&lt;='Catatan &amp; Sumber'!$B$16,"Sedang","Relatif Longgar"))))</x:f>
        <x:v>Relatif Longgar</x:v>
      </x:c>
      <x:c r="N2070" s="66" t="str">
        <x:v>Seni Rupa, Desain, dan Kriya</x:v>
      </x:c>
      <x:c r="O2070" s="66" t="str">
        <x:v>Jawa Tengah</x:v>
      </x:c>
      <x:c r="P2070" s="66" t="str">
        <x:v>Kota Surakarta</x:v>
      </x:c>
      <x:c r="Q2070" s="66" t="str">
        <x:v>https://snpmb.id/snbp/daya-tampung-snbp</x:v>
      </x:c>
      <x:c r="R2070" s="66" t="str">
        <x:v>https://sidatagrun-public-1076756628210.asia-southeast2.run.app/ptn_sn.php?ptn=354</x:v>
      </x:c>
    </x:row>
    <x:row r="2071">
      <x:c r="A2071" s="87" t="n">
        <x:v>1600</x:v>
      </x:c>
      <x:c r="B2071" s="66" t="n">
        <x:v>354</x:v>
      </x:c>
      <x:c r="C2071" s="66" t="str">
        <x:v>ISI SURAKARTA</x:v>
      </x:c>
      <x:c r="D2071" s="66" t="str">
        <x:v>PTN Akademik</x:v>
      </x:c>
      <x:c r="E2071" s="66" t="str">
        <x:v>13541007</x:v>
      </x:c>
      <x:c r="F2071" s="66" t="str">
        <x:v>DESAIN KOMUNIKASI VISUAL</x:v>
      </x:c>
      <x:c r="G2071" s="66" t="str">
        <x:v>Sarjana</x:v>
      </x:c>
      <x:c r="H2071" s="87" t="n">
        <x:v>72</x:v>
      </x:c>
      <x:c r="I2071" s="87" t="n">
        <x:v>619</x:v>
      </x:c>
      <x:c r="J2071" s="68" t="n">
        <x:f>IFERROR(H2071/I2071,"")</x:f>
        <x:v>0.11631663974151858</x:v>
      </x:c>
      <x:c r="K2071" s="69" t="n">
        <x:f>IFERROR(I2071/H2071,"")</x:f>
        <x:v>8.597222222222221</x:v>
      </x:c>
      <x:c r="L2071" s="66" t="str">
        <x:f>IF(K2071="","","1 : "&amp;TEXT(K2071,"0.0"))</x:f>
        <x:v>1 : 8.6</x:v>
      </x:c>
      <x:c r="M2071" s="66" t="str">
        <x:f>IF(J2071="","Baru/Tanpa Data",IF(J2071&lt;='Catatan &amp; Sumber'!$B$14,"Sangat Ketat",IF(J2071&lt;='Catatan &amp; Sumber'!$B$15,"Ketat",IF(J2071&lt;='Catatan &amp; Sumber'!$B$16,"Sedang","Relatif Longgar"))))</x:f>
        <x:v>Relatif Longgar</x:v>
      </x:c>
      <x:c r="N2071" s="66" t="str">
        <x:v>Seni Rupa, Desain, dan Kriya</x:v>
      </x:c>
      <x:c r="O2071" s="66" t="str">
        <x:v>Jawa Tengah</x:v>
      </x:c>
      <x:c r="P2071" s="66" t="str">
        <x:v>Kota Surakarta</x:v>
      </x:c>
      <x:c r="Q2071" s="66" t="str">
        <x:v>https://snpmb.id/snbp/daya-tampung-snbp</x:v>
      </x:c>
      <x:c r="R2071" s="66" t="str">
        <x:v>https://sidatagrun-public-1076756628210.asia-southeast2.run.app/ptn_sn.php?ptn=354</x:v>
      </x:c>
    </x:row>
    <x:row r="2072">
      <x:c r="A2072" s="87" t="n">
        <x:v>2691</x:v>
      </x:c>
      <x:c r="B2072" s="66" t="n">
        <x:v>354</x:v>
      </x:c>
      <x:c r="C2072" s="66" t="str">
        <x:v>ISI SURAKARTA</x:v>
      </x:c>
      <x:c r="D2072" s="66" t="str">
        <x:v>PTN Akademik</x:v>
      </x:c>
      <x:c r="E2072" s="66" t="str">
        <x:v>13541008</x:v>
      </x:c>
      <x:c r="F2072" s="66" t="str">
        <x:v>FILM DAN TELEVISI</x:v>
      </x:c>
      <x:c r="G2072" s="66" t="str">
        <x:v>Sarjana</x:v>
      </x:c>
      <x:c r="H2072" s="87" t="n">
        <x:v>60</x:v>
      </x:c>
      <x:c r="I2072" s="87" t="n">
        <x:v>248</x:v>
      </x:c>
      <x:c r="J2072" s="68" t="n">
        <x:f>IFERROR(H2072/I2072,"")</x:f>
        <x:v>0.24193548387096775</x:v>
      </x:c>
      <x:c r="K2072" s="69" t="n">
        <x:f>IFERROR(I2072/H2072,"")</x:f>
        <x:v>4.133333333333334</x:v>
      </x:c>
      <x:c r="L2072" s="66" t="str">
        <x:f>IF(K2072="","","1 : "&amp;TEXT(K2072,"0.0"))</x:f>
        <x:v>1 : 4.1</x:v>
      </x:c>
      <x:c r="M2072" s="66" t="str">
        <x:f>IF(J2072="","Baru/Tanpa Data",IF(J2072&lt;='Catatan &amp; Sumber'!$B$14,"Sangat Ketat",IF(J2072&lt;='Catatan &amp; Sumber'!$B$15,"Ketat",IF(J2072&lt;='Catatan &amp; Sumber'!$B$16,"Sedang","Relatif Longgar"))))</x:f>
        <x:v>Relatif Longgar</x:v>
      </x:c>
      <x:c r="N2072" s="66" t="str">
        <x:v>Film dan Televisi</x:v>
      </x:c>
      <x:c r="O2072" s="66" t="str">
        <x:v>Jawa Tengah</x:v>
      </x:c>
      <x:c r="P2072" s="66" t="str">
        <x:v>Kota Surakarta</x:v>
      </x:c>
      <x:c r="Q2072" s="66" t="str">
        <x:v>https://snpmb.id/snbp/daya-tampung-snbp</x:v>
      </x:c>
      <x:c r="R2072" s="66" t="str">
        <x:v>https://sidatagrun-public-1076756628210.asia-southeast2.run.app/ptn_sn.php?ptn=354</x:v>
      </x:c>
    </x:row>
    <x:row r="2073">
      <x:c r="A2073" s="87" t="n">
        <x:v>3654</x:v>
      </x:c>
      <x:c r="B2073" s="66" t="n">
        <x:v>354</x:v>
      </x:c>
      <x:c r="C2073" s="66" t="str">
        <x:v>ISI SURAKARTA</x:v>
      </x:c>
      <x:c r="D2073" s="66" t="str">
        <x:v>PTN Akademik</x:v>
      </x:c>
      <x:c r="E2073" s="66" t="str">
        <x:v>13541009</x:v>
      </x:c>
      <x:c r="F2073" s="66" t="str">
        <x:v>FOTOGRAFI</x:v>
      </x:c>
      <x:c r="G2073" s="66" t="str">
        <x:v>Sarjana</x:v>
      </x:c>
      <x:c r="H2073" s="87" t="n">
        <x:v>48</x:v>
      </x:c>
      <x:c r="I2073" s="87" t="n">
        <x:v>96</x:v>
      </x:c>
      <x:c r="J2073" s="68" t="n">
        <x:f>IFERROR(H2073/I2073,"")</x:f>
        <x:v>0.5</x:v>
      </x:c>
      <x:c r="K2073" s="69" t="n">
        <x:f>IFERROR(I2073/H2073,"")</x:f>
        <x:v>2</x:v>
      </x:c>
      <x:c r="L2073" s="66" t="str">
        <x:f>IF(K2073="","","1 : "&amp;TEXT(K2073,"0.0"))</x:f>
        <x:v>1 : 2.0</x:v>
      </x:c>
      <x:c r="M2073" s="66" t="str">
        <x:f>IF(J2073="","Baru/Tanpa Data",IF(J2073&lt;='Catatan &amp; Sumber'!$B$14,"Sangat Ketat",IF(J2073&lt;='Catatan &amp; Sumber'!$B$15,"Ketat",IF(J2073&lt;='Catatan &amp; Sumber'!$B$16,"Sedang","Relatif Longgar"))))</x:f>
        <x:v>Relatif Longgar</x:v>
      </x:c>
      <x:c r="N2073" s="66" t="str">
        <x:v>Fotografi</x:v>
      </x:c>
      <x:c r="O2073" s="66" t="str">
        <x:v>Jawa Tengah</x:v>
      </x:c>
      <x:c r="P2073" s="66" t="str">
        <x:v>Kota Surakarta</x:v>
      </x:c>
      <x:c r="Q2073" s="66" t="str">
        <x:v>https://snpmb.id/snbp/daya-tampung-snbp</x:v>
      </x:c>
      <x:c r="R2073" s="66" t="str">
        <x:v>https://sidatagrun-public-1076756628210.asia-southeast2.run.app/ptn_sn.php?ptn=354</x:v>
      </x:c>
    </x:row>
    <x:row r="2074">
      <x:c r="A2074" s="87" t="n">
        <x:v>3675</x:v>
      </x:c>
      <x:c r="B2074" s="66" t="n">
        <x:v>354</x:v>
      </x:c>
      <x:c r="C2074" s="66" t="str">
        <x:v>ISI SURAKARTA</x:v>
      </x:c>
      <x:c r="D2074" s="66" t="str">
        <x:v>PTN Akademik</x:v>
      </x:c>
      <x:c r="E2074" s="66" t="str">
        <x:v>13541010</x:v>
      </x:c>
      <x:c r="F2074" s="66" t="str">
        <x:v>SENI KARAWITAN</x:v>
      </x:c>
      <x:c r="G2074" s="66" t="str">
        <x:v>Sarjana</x:v>
      </x:c>
      <x:c r="H2074" s="87" t="n">
        <x:v>44</x:v>
      </x:c>
      <x:c r="I2074" s="87" t="n">
        <x:v>87</x:v>
      </x:c>
      <x:c r="J2074" s="68" t="n">
        <x:f>IFERROR(H2074/I2074,"")</x:f>
        <x:v>0.5057471264367817</x:v>
      </x:c>
      <x:c r="K2074" s="69" t="n">
        <x:f>IFERROR(I2074/H2074,"")</x:f>
        <x:v>1.9772727272727273</x:v>
      </x:c>
      <x:c r="L2074" s="66" t="str">
        <x:f>IF(K2074="","","1 : "&amp;TEXT(K2074,"0.0"))</x:f>
        <x:v>1 : 2.0</x:v>
      </x:c>
      <x:c r="M2074" s="66" t="str">
        <x:f>IF(J2074="","Baru/Tanpa Data",IF(J2074&lt;='Catatan &amp; Sumber'!$B$14,"Sangat Ketat",IF(J2074&lt;='Catatan &amp; Sumber'!$B$15,"Ketat",IF(J2074&lt;='Catatan &amp; Sumber'!$B$16,"Sedang","Relatif Longgar"))))</x:f>
        <x:v>Relatif Longgar</x:v>
      </x:c>
      <x:c r="N2074" s="66" t="str">
        <x:v>Seni Karawitan</x:v>
      </x:c>
      <x:c r="O2074" s="66" t="str">
        <x:v>Jawa Tengah</x:v>
      </x:c>
      <x:c r="P2074" s="66" t="str">
        <x:v>Kota Surakarta</x:v>
      </x:c>
      <x:c r="Q2074" s="66" t="str">
        <x:v>https://snpmb.id/snbp/daya-tampung-snbp</x:v>
      </x:c>
      <x:c r="R2074" s="66" t="str">
        <x:v>https://sidatagrun-public-1076756628210.asia-southeast2.run.app/ptn_sn.php?ptn=354</x:v>
      </x:c>
    </x:row>
    <x:row r="2075">
      <x:c r="A2075" s="87" t="n">
        <x:v>4077</x:v>
      </x:c>
      <x:c r="B2075" s="66" t="n">
        <x:v>354</x:v>
      </x:c>
      <x:c r="C2075" s="66" t="str">
        <x:v>ISI SURAKARTA</x:v>
      </x:c>
      <x:c r="D2075" s="66" t="str">
        <x:v>PTN Akademik</x:v>
      </x:c>
      <x:c r="E2075" s="66" t="str">
        <x:v>13541011</x:v>
      </x:c>
      <x:c r="F2075" s="66" t="str">
        <x:v>SENI PEDALANGAN</x:v>
      </x:c>
      <x:c r="G2075" s="66" t="str">
        <x:v>Sarjana</x:v>
      </x:c>
      <x:c r="H2075" s="87" t="n">
        <x:v>20</x:v>
      </x:c>
      <x:c r="I2075" s="87" t="n">
        <x:v>27</x:v>
      </x:c>
      <x:c r="J2075" s="68" t="n">
        <x:f>IFERROR(H2075/I2075,"")</x:f>
        <x:v>0.7407407407407407</x:v>
      </x:c>
      <x:c r="K2075" s="69" t="n">
        <x:f>IFERROR(I2075/H2075,"")</x:f>
        <x:v>1.35</x:v>
      </x:c>
      <x:c r="L2075" s="66" t="str">
        <x:f>IF(K2075="","","1 : "&amp;TEXT(K2075,"0.0"))</x:f>
        <x:v>1 : 1.4</x:v>
      </x:c>
      <x:c r="M2075" s="66" t="str">
        <x:f>IF(J2075="","Baru/Tanpa Data",IF(J2075&lt;='Catatan &amp; Sumber'!$B$14,"Sangat Ketat",IF(J2075&lt;='Catatan &amp; Sumber'!$B$15,"Ketat",IF(J2075&lt;='Catatan &amp; Sumber'!$B$16,"Sedang","Relatif Longgar"))))</x:f>
        <x:v>Relatif Longgar</x:v>
      </x:c>
      <x:c r="N2075" s="66" t="str">
        <x:v>Seni Pedalangan</x:v>
      </x:c>
      <x:c r="O2075" s="66" t="str">
        <x:v>Jawa Tengah</x:v>
      </x:c>
      <x:c r="P2075" s="66" t="str">
        <x:v>Kota Surakarta</x:v>
      </x:c>
      <x:c r="Q2075" s="66" t="str">
        <x:v>https://snpmb.id/snbp/daya-tampung-snbp</x:v>
      </x:c>
      <x:c r="R2075" s="66" t="str">
        <x:v>https://sidatagrun-public-1076756628210.asia-southeast2.run.app/ptn_sn.php?ptn=354</x:v>
      </x:c>
    </x:row>
    <x:row r="2076">
      <x:c r="A2076" s="87" t="n">
        <x:v>3133</x:v>
      </x:c>
      <x:c r="B2076" s="66" t="n">
        <x:v>354</x:v>
      </x:c>
      <x:c r="C2076" s="66" t="str">
        <x:v>ISI SURAKARTA</x:v>
      </x:c>
      <x:c r="D2076" s="66" t="str">
        <x:v>PTN Akademik</x:v>
      </x:c>
      <x:c r="E2076" s="66" t="str">
        <x:v>13541014</x:v>
      </x:c>
      <x:c r="F2076" s="66" t="str">
        <x:v>SENI INTERMEDIA</x:v>
      </x:c>
      <x:c r="G2076" s="66" t="str">
        <x:v>Sarjana</x:v>
      </x:c>
      <x:c r="H2076" s="87" t="n">
        <x:v>10</x:v>
      </x:c>
      <x:c r="I2076" s="87" t="n">
        <x:v>31</x:v>
      </x:c>
      <x:c r="J2076" s="68" t="n">
        <x:f>IFERROR(H2076/I2076,"")</x:f>
        <x:v>0.3225806451612903</x:v>
      </x:c>
      <x:c r="K2076" s="69" t="n">
        <x:f>IFERROR(I2076/H2076,"")</x:f>
        <x:v>3.1</x:v>
      </x:c>
      <x:c r="L2076" s="66" t="str">
        <x:f>IF(K2076="","","1 : "&amp;TEXT(K2076,"0.0"))</x:f>
        <x:v>1 : 3.1</x:v>
      </x:c>
      <x:c r="M2076" s="66" t="str">
        <x:f>IF(J2076="","Baru/Tanpa Data",IF(J2076&lt;='Catatan &amp; Sumber'!$B$14,"Sangat Ketat",IF(J2076&lt;='Catatan &amp; Sumber'!$B$15,"Ketat",IF(J2076&lt;='Catatan &amp; Sumber'!$B$16,"Sedang","Relatif Longgar"))))</x:f>
        <x:v>Relatif Longgar</x:v>
      </x:c>
      <x:c r="N2076" s="66" t="str">
        <x:v>Tidak Ada</x:v>
      </x:c>
      <x:c r="O2076" s="66" t="str">
        <x:v>Jawa Tengah</x:v>
      </x:c>
      <x:c r="P2076" s="66" t="str">
        <x:v>Kota Surakarta</x:v>
      </x:c>
      <x:c r="Q2076" s="66" t="str">
        <x:v>https://snpmb.id/snbp/daya-tampung-snbp</x:v>
      </x:c>
      <x:c r="R2076" s="66" t="str">
        <x:v>https://sidatagrun-public-1076756628210.asia-southeast2.run.app/ptn_sn.php?ptn=354</x:v>
      </x:c>
    </x:row>
    <x:row r="2077">
      <x:c r="A2077" s="87" t="n">
        <x:v>3958</x:v>
      </x:c>
      <x:c r="B2077" s="66" t="n">
        <x:v>354</x:v>
      </x:c>
      <x:c r="C2077" s="66" t="str">
        <x:v>ISI SURAKARTA</x:v>
      </x:c>
      <x:c r="D2077" s="66" t="str">
        <x:v>PTN Akademik</x:v>
      </x:c>
      <x:c r="E2077" s="66" t="str">
        <x:v>13541015</x:v>
      </x:c>
      <x:c r="F2077" s="66" t="str">
        <x:v>KOREOGRAFI INKUIRI</x:v>
      </x:c>
      <x:c r="G2077" s="66" t="str">
        <x:v>Sarjana</x:v>
      </x:c>
      <x:c r="H2077" s="87" t="n">
        <x:v>10</x:v>
      </x:c>
      <x:c r="I2077" s="87" t="n">
        <x:v>15</x:v>
      </x:c>
      <x:c r="J2077" s="68" t="n">
        <x:f>IFERROR(H2077/I2077,"")</x:f>
        <x:v>0.6666666666666666</x:v>
      </x:c>
      <x:c r="K2077" s="69" t="n">
        <x:f>IFERROR(I2077/H2077,"")</x:f>
        <x:v>1.5</x:v>
      </x:c>
      <x:c r="L2077" s="66" t="str">
        <x:f>IF(K2077="","","1 : "&amp;TEXT(K2077,"0.0"))</x:f>
        <x:v>1 : 1.5</x:v>
      </x:c>
      <x:c r="M2077" s="66" t="str">
        <x:f>IF(J2077="","Baru/Tanpa Data",IF(J2077&lt;='Catatan &amp; Sumber'!$B$14,"Sangat Ketat",IF(J2077&lt;='Catatan &amp; Sumber'!$B$15,"Ketat",IF(J2077&lt;='Catatan &amp; Sumber'!$B$16,"Sedang","Relatif Longgar"))))</x:f>
        <x:v>Relatif Longgar</x:v>
      </x:c>
      <x:c r="N2077" s="66" t="str">
        <x:v>Tidak Ada</x:v>
      </x:c>
      <x:c r="O2077" s="66" t="str">
        <x:v>Jawa Tengah</x:v>
      </x:c>
      <x:c r="P2077" s="66" t="str">
        <x:v>Kota Surakarta</x:v>
      </x:c>
      <x:c r="Q2077" s="66" t="str">
        <x:v>https://snpmb.id/snbp/daya-tampung-snbp</x:v>
      </x:c>
      <x:c r="R2077" s="66" t="str">
        <x:v>https://sidatagrun-public-1076756628210.asia-southeast2.run.app/ptn_sn.php?ptn=354</x:v>
      </x:c>
    </x:row>
    <x:row r="2078">
      <x:c r="A2078" s="87" t="n">
        <x:v>3654</x:v>
      </x:c>
      <x:c r="B2078" s="66" t="n">
        <x:v>354</x:v>
      </x:c>
      <x:c r="C2078" s="66" t="str">
        <x:v>ISI SURAKARTA</x:v>
      </x:c>
      <x:c r="D2078" s="66" t="str">
        <x:v>PTN Akademik</x:v>
      </x:c>
      <x:c r="E2078" s="66" t="str">
        <x:v>13541017</x:v>
      </x:c>
      <x:c r="F2078" s="66" t="str">
        <x:v>DESAIN PRODUK INDUSTRI</x:v>
      </x:c>
      <x:c r="G2078" s="66" t="str">
        <x:v>Sarjana</x:v>
      </x:c>
      <x:c r="H2078" s="87" t="n">
        <x:v>12</x:v>
      </x:c>
      <x:c r="I2078" s="87" t="n">
        <x:v>24</x:v>
      </x:c>
      <x:c r="J2078" s="68" t="n">
        <x:f>IFERROR(H2078/I2078,"")</x:f>
        <x:v>0.5</x:v>
      </x:c>
      <x:c r="K2078" s="69" t="n">
        <x:f>IFERROR(I2078/H2078,"")</x:f>
        <x:v>2</x:v>
      </x:c>
      <x:c r="L2078" s="66" t="str">
        <x:f>IF(K2078="","","1 : "&amp;TEXT(K2078,"0.0"))</x:f>
        <x:v>1 : 2.0</x:v>
      </x:c>
      <x:c r="M2078" s="66" t="str">
        <x:f>IF(J2078="","Baru/Tanpa Data",IF(J2078&lt;='Catatan &amp; Sumber'!$B$14,"Sangat Ketat",IF(J2078&lt;='Catatan &amp; Sumber'!$B$15,"Ketat",IF(J2078&lt;='Catatan &amp; Sumber'!$B$16,"Sedang","Relatif Longgar"))))</x:f>
        <x:v>Relatif Longgar</x:v>
      </x:c>
      <x:c r="N2078" s="66" t="str">
        <x:v>Seni Rupa, Desain, dan Kriya</x:v>
      </x:c>
      <x:c r="O2078" s="66" t="str">
        <x:v>Jawa Tengah</x:v>
      </x:c>
      <x:c r="P2078" s="66" t="str">
        <x:v>Kota Surakarta</x:v>
      </x:c>
      <x:c r="Q2078" s="66" t="str">
        <x:v>https://snpmb.id/snbp/daya-tampung-snbp</x:v>
      </x:c>
      <x:c r="R2078" s="66" t="str">
        <x:v>https://sidatagrun-public-1076756628210.asia-southeast2.run.app/ptn_sn.php?ptn=354</x:v>
      </x:c>
    </x:row>
    <x:row r="2079">
      <x:c r="A2079" s="87" t="n">
        <x:v>2121</x:v>
      </x:c>
      <x:c r="B2079" s="66" t="n">
        <x:v>354</x:v>
      </x:c>
      <x:c r="C2079" s="66" t="str">
        <x:v>ISI SURAKARTA</x:v>
      </x:c>
      <x:c r="D2079" s="66" t="str">
        <x:v>PTN Akademik</x:v>
      </x:c>
      <x:c r="E2079" s="66" t="str">
        <x:v>13541020</x:v>
      </x:c>
      <x:c r="F2079" s="66" t="str">
        <x:v>ARSITEKTUR</x:v>
      </x:c>
      <x:c r="G2079" s="66" t="str">
        <x:v>Sarjana</x:v>
      </x:c>
      <x:c r="H2079" s="87" t="n">
        <x:v>10</x:v>
      </x:c>
      <x:c r="I2079" s="87" t="n">
        <x:v>61</x:v>
      </x:c>
      <x:c r="J2079" s="68" t="n">
        <x:f>IFERROR(H2079/I2079,"")</x:f>
        <x:v>0.16393442622950818</x:v>
      </x:c>
      <x:c r="K2079" s="69" t="n">
        <x:f>IFERROR(I2079/H2079,"")</x:f>
        <x:v>6.1</x:v>
      </x:c>
      <x:c r="L2079" s="66" t="str">
        <x:f>IF(K2079="","","1 : "&amp;TEXT(K2079,"0.0"))</x:f>
        <x:v>1 : 6.1</x:v>
      </x:c>
      <x:c r="M2079" s="66" t="str">
        <x:f>IF(J2079="","Baru/Tanpa Data",IF(J2079&lt;='Catatan &amp; Sumber'!$B$14,"Sangat Ketat",IF(J2079&lt;='Catatan &amp; Sumber'!$B$15,"Ketat",IF(J2079&lt;='Catatan &amp; Sumber'!$B$16,"Sedang","Relatif Longgar"))))</x:f>
        <x:v>Relatif Longgar</x:v>
      </x:c>
      <x:c r="N2079" s="66" t="str">
        <x:v>Seni Rupa, Desain, dan Kriya</x:v>
      </x:c>
      <x:c r="O2079" s="66" t="str">
        <x:v>Jawa Tengah</x:v>
      </x:c>
      <x:c r="P2079" s="66" t="str">
        <x:v>Kota Surakarta</x:v>
      </x:c>
      <x:c r="Q2079" s="66" t="str">
        <x:v>https://snpmb.id/snbp/daya-tampung-snbp</x:v>
      </x:c>
      <x:c r="R2079" s="66" t="str">
        <x:v>https://sidatagrun-public-1076756628210.asia-southeast2.run.app/ptn_sn.php?ptn=354</x:v>
      </x:c>
    </x:row>
    <x:row r="2080">
      <x:c r="A2080" s="87"/>
      <x:c r="B2080" s="66" t="n">
        <x:v>354</x:v>
      </x:c>
      <x:c r="C2080" s="66" t="str">
        <x:v>ISI SURAKARTA</x:v>
      </x:c>
      <x:c r="D2080" s="66" t="str">
        <x:v>PTN Akademik</x:v>
      </x:c>
      <x:c r="E2080" s="66" t="str">
        <x:v>13541021</x:v>
      </x:c>
      <x:c r="F2080" s="66" t="str">
        <x:v>BISNIS MUSIK</x:v>
      </x:c>
      <x:c r="G2080" s="66" t="str">
        <x:v>Sarjana</x:v>
      </x:c>
      <x:c r="H2080" s="87" t="n">
        <x:v>10</x:v>
      </x:c>
      <x:c r="I2080" s="87"/>
      <x:c r="J2080" s="68" t="str">
        <x:f>IFERROR(H2080/I2080,"")</x:f>
      </x:c>
      <x:c r="K2080" s="69" t="n">
        <x:f>IFERROR(I2080/H2080,"")</x:f>
        <x:v>0</x:v>
      </x:c>
      <x:c r="L2080" s="66" t="str">
        <x:f>IF(K2080="","","1 : "&amp;TEXT(K2080,"0.0"))</x:f>
      </x:c>
      <x:c r="M2080" s="66" t="str">
        <x:f>IF(J2080="","Baru/Tanpa Data",IF(J2080&lt;='Catatan &amp; Sumber'!$B$14,"Sangat Ketat",IF(J2080&lt;='Catatan &amp; Sumber'!$B$15,"Ketat",IF(J2080&lt;='Catatan &amp; Sumber'!$B$16,"Sedang","Relatif Longgar"))))</x:f>
        <x:v>Baru/Tanpa Data</x:v>
      </x:c>
      <x:c r="N2080" s="66" t="str">
        <x:v>Tidak Ada</x:v>
      </x:c>
      <x:c r="O2080" s="66" t="str">
        <x:v>Jawa Tengah</x:v>
      </x:c>
      <x:c r="P2080" s="66" t="str">
        <x:v>Kota Surakarta</x:v>
      </x:c>
      <x:c r="Q2080" s="66" t="str">
        <x:v>https://snpmb.id/snbp/daya-tampung-snbp</x:v>
      </x:c>
      <x:c r="R2080" s="66" t="str">
        <x:v>https://sidatagrun-public-1076756628210.asia-southeast2.run.app/ptn_sn.php?ptn=354</x:v>
      </x:c>
    </x:row>
    <x:row r="2081">
      <x:c r="A2081" s="87" t="n">
        <x:v>4786</x:v>
      </x:c>
      <x:c r="B2081" s="66" t="n">
        <x:v>354</x:v>
      </x:c>
      <x:c r="C2081" s="66" t="str">
        <x:v>ISI SURAKARTA</x:v>
      </x:c>
      <x:c r="D2081" s="66" t="str">
        <x:v>PTN Akademik</x:v>
      </x:c>
      <x:c r="E2081" s="66" t="str">
        <x:v>13542012</x:v>
      </x:c>
      <x:c r="F2081" s="66" t="str">
        <x:v>SENJATA TRADISIONAL KERIS</x:v>
      </x:c>
      <x:c r="G2081" s="66" t="str">
        <x:v>Sarjana Terapan</x:v>
      </x:c>
      <x:c r="H2081" s="87" t="n">
        <x:v>10</x:v>
      </x:c>
      <x:c r="I2081" s="87" t="n">
        <x:v>3</x:v>
      </x:c>
      <x:c r="J2081" s="68" t="n">
        <x:f>IFERROR(H2081/I2081,"")</x:f>
        <x:v>3.3333333333333335</x:v>
      </x:c>
      <x:c r="K2081" s="69" t="n">
        <x:f>IFERROR(I2081/H2081,"")</x:f>
        <x:v>0.3</x:v>
      </x:c>
      <x:c r="L2081" s="66" t="str">
        <x:f>IF(K2081="","","1 : "&amp;TEXT(K2081,"0.0"))</x:f>
        <x:v>1 : 0.3</x:v>
      </x:c>
      <x:c r="M2081" s="66" t="str">
        <x:f>IF(J2081="","Baru/Tanpa Data",IF(J2081&lt;='Catatan &amp; Sumber'!$B$14,"Sangat Ketat",IF(J2081&lt;='Catatan &amp; Sumber'!$B$15,"Ketat",IF(J2081&lt;='Catatan &amp; Sumber'!$B$16,"Sedang","Relatif Longgar"))))</x:f>
        <x:v>Relatif Longgar</x:v>
      </x:c>
      <x:c r="N2081" s="66" t="str">
        <x:v>Tidak Ada</x:v>
      </x:c>
      <x:c r="O2081" s="66" t="str">
        <x:v>Jawa Tengah</x:v>
      </x:c>
      <x:c r="P2081" s="66" t="str">
        <x:v>Kota Surakarta</x:v>
      </x:c>
      <x:c r="Q2081" s="66" t="str">
        <x:v>https://snpmb.id/snbp/daya-tampung-snbp</x:v>
      </x:c>
      <x:c r="R2081" s="66" t="str">
        <x:v>https://sidatagrun-public-1076756628210.asia-southeast2.run.app/ptn_sn.php?ptn=354</x:v>
      </x:c>
    </x:row>
    <x:row r="2082">
      <x:c r="A2082" s="87" t="n">
        <x:v>4070</x:v>
      </x:c>
      <x:c r="B2082" s="66" t="n">
        <x:v>354</x:v>
      </x:c>
      <x:c r="C2082" s="66" t="str">
        <x:v>ISI SURAKARTA</x:v>
      </x:c>
      <x:c r="D2082" s="66" t="str">
        <x:v>PTN Akademik</x:v>
      </x:c>
      <x:c r="E2082" s="66" t="str">
        <x:v>13542013</x:v>
      </x:c>
      <x:c r="F2082" s="66" t="str">
        <x:v>DESAIN MODE BATIK</x:v>
      </x:c>
      <x:c r="G2082" s="66" t="str">
        <x:v>Sarjana Terapan</x:v>
      </x:c>
      <x:c r="H2082" s="87" t="n">
        <x:v>36</x:v>
      </x:c>
      <x:c r="I2082" s="87" t="n">
        <x:v>49</x:v>
      </x:c>
      <x:c r="J2082" s="68" t="n">
        <x:f>IFERROR(H2082/I2082,"")</x:f>
        <x:v>0.7346938775510204</x:v>
      </x:c>
      <x:c r="K2082" s="69" t="n">
        <x:f>IFERROR(I2082/H2082,"")</x:f>
        <x:v>1.3611111111111112</x:v>
      </x:c>
      <x:c r="L2082" s="66" t="str">
        <x:f>IF(K2082="","","1 : "&amp;TEXT(K2082,"0.0"))</x:f>
        <x:v>1 : 1.4</x:v>
      </x:c>
      <x:c r="M2082" s="66" t="str">
        <x:f>IF(J2082="","Baru/Tanpa Data",IF(J2082&lt;='Catatan &amp; Sumber'!$B$14,"Sangat Ketat",IF(J2082&lt;='Catatan &amp; Sumber'!$B$15,"Ketat",IF(J2082&lt;='Catatan &amp; Sumber'!$B$16,"Sedang","Relatif Longgar"))))</x:f>
        <x:v>Relatif Longgar</x:v>
      </x:c>
      <x:c r="N2082" s="66" t="str">
        <x:v>Seni Rupa, Desain, dan Kriya</x:v>
      </x:c>
      <x:c r="O2082" s="66" t="str">
        <x:v>Jawa Tengah</x:v>
      </x:c>
      <x:c r="P2082" s="66" t="str">
        <x:v>Kota Surakarta</x:v>
      </x:c>
      <x:c r="Q2082" s="66" t="str">
        <x:v>https://snpmb.id/snbp/daya-tampung-snbp</x:v>
      </x:c>
      <x:c r="R2082" s="66" t="str">
        <x:v>https://sidatagrun-public-1076756628210.asia-southeast2.run.app/ptn_sn.php?ptn=354</x:v>
      </x:c>
    </x:row>
    <x:row r="2083">
      <x:c r="A2083" s="87" t="n">
        <x:v>2652</x:v>
      </x:c>
      <x:c r="B2083" s="66" t="n">
        <x:v>354</x:v>
      </x:c>
      <x:c r="C2083" s="66" t="str">
        <x:v>ISI SURAKARTA</x:v>
      </x:c>
      <x:c r="D2083" s="66" t="str">
        <x:v>PTN Akademik</x:v>
      </x:c>
      <x:c r="E2083" s="66" t="str">
        <x:v>13542016</x:v>
      </x:c>
      <x:c r="F2083" s="66" t="str">
        <x:v>ANIMASI</x:v>
      </x:c>
      <x:c r="G2083" s="66" t="str">
        <x:v>Sarjana Terapan</x:v>
      </x:c>
      <x:c r="H2083" s="87" t="n">
        <x:v>16</x:v>
      </x:c>
      <x:c r="I2083" s="87" t="n">
        <x:v>68</x:v>
      </x:c>
      <x:c r="J2083" s="68" t="n">
        <x:f>IFERROR(H2083/I2083,"")</x:f>
        <x:v>0.23529411764705882</x:v>
      </x:c>
      <x:c r="K2083" s="69" t="n">
        <x:f>IFERROR(I2083/H2083,"")</x:f>
        <x:v>4.25</x:v>
      </x:c>
      <x:c r="L2083" s="66" t="str">
        <x:f>IF(K2083="","","1 : "&amp;TEXT(K2083,"0.0"))</x:f>
        <x:v>1 : 4.3</x:v>
      </x:c>
      <x:c r="M2083" s="66" t="str">
        <x:f>IF(J2083="","Baru/Tanpa Data",IF(J2083&lt;='Catatan &amp; Sumber'!$B$14,"Sangat Ketat",IF(J2083&lt;='Catatan &amp; Sumber'!$B$15,"Ketat",IF(J2083&lt;='Catatan &amp; Sumber'!$B$16,"Sedang","Relatif Longgar"))))</x:f>
        <x:v>Relatif Longgar</x:v>
      </x:c>
      <x:c r="N2083" s="66" t="str">
        <x:v>Seni Rupa, Desain, dan Kriya</x:v>
      </x:c>
      <x:c r="O2083" s="66" t="str">
        <x:v>Jawa Tengah</x:v>
      </x:c>
      <x:c r="P2083" s="66" t="str">
        <x:v>Kota Surakarta</x:v>
      </x:c>
      <x:c r="Q2083" s="66" t="str">
        <x:v>https://snpmb.id/snbp/daya-tampung-snbp</x:v>
      </x:c>
      <x:c r="R2083" s="66" t="str">
        <x:v>https://sidatagrun-public-1076756628210.asia-southeast2.run.app/ptn_sn.php?ptn=354</x:v>
      </x:c>
    </x:row>
    <x:row r="2084">
      <x:c r="A2084" s="87" t="n">
        <x:v>3654</x:v>
      </x:c>
      <x:c r="B2084" s="66" t="n">
        <x:v>354</x:v>
      </x:c>
      <x:c r="C2084" s="66" t="str">
        <x:v>ISI SURAKARTA</x:v>
      </x:c>
      <x:c r="D2084" s="66" t="str">
        <x:v>PTN Akademik</x:v>
      </x:c>
      <x:c r="E2084" s="66" t="str">
        <x:v>13542018</x:v>
      </x:c>
      <x:c r="F2084" s="66" t="str">
        <x:v>TATA KELOLA SENI</x:v>
      </x:c>
      <x:c r="G2084" s="66" t="str">
        <x:v>Sarjana Terapan</x:v>
      </x:c>
      <x:c r="H2084" s="87" t="n">
        <x:v>10</x:v>
      </x:c>
      <x:c r="I2084" s="87" t="n">
        <x:v>20</x:v>
      </x:c>
      <x:c r="J2084" s="68" t="n">
        <x:f>IFERROR(H2084/I2084,"")</x:f>
        <x:v>0.5</x:v>
      </x:c>
      <x:c r="K2084" s="69" t="n">
        <x:f>IFERROR(I2084/H2084,"")</x:f>
        <x:v>2</x:v>
      </x:c>
      <x:c r="L2084" s="66" t="str">
        <x:f>IF(K2084="","","1 : "&amp;TEXT(K2084,"0.0"))</x:f>
        <x:v>1 : 2.0</x:v>
      </x:c>
      <x:c r="M2084" s="66" t="str">
        <x:f>IF(J2084="","Baru/Tanpa Data",IF(J2084&lt;='Catatan &amp; Sumber'!$B$14,"Sangat Ketat",IF(J2084&lt;='Catatan &amp; Sumber'!$B$15,"Ketat",IF(J2084&lt;='Catatan &amp; Sumber'!$B$16,"Sedang","Relatif Longgar"))))</x:f>
        <x:v>Relatif Longgar</x:v>
      </x:c>
      <x:c r="N2084" s="66" t="str">
        <x:v>Tidak Ada</x:v>
      </x:c>
      <x:c r="O2084" s="66" t="str">
        <x:v>Jawa Tengah</x:v>
      </x:c>
      <x:c r="P2084" s="66" t="str">
        <x:v>Kota Surakarta</x:v>
      </x:c>
      <x:c r="Q2084" s="66" t="str">
        <x:v>https://snpmb.id/snbp/daya-tampung-snbp</x:v>
      </x:c>
      <x:c r="R2084" s="66" t="str">
        <x:v>https://sidatagrun-public-1076756628210.asia-southeast2.run.app/ptn_sn.php?ptn=354</x:v>
      </x:c>
    </x:row>
    <x:row r="2085">
      <x:c r="A2085" s="87" t="n">
        <x:v>4602</x:v>
      </x:c>
      <x:c r="B2085" s="66" t="n">
        <x:v>354</x:v>
      </x:c>
      <x:c r="C2085" s="66" t="str">
        <x:v>ISI SURAKARTA</x:v>
      </x:c>
      <x:c r="D2085" s="66" t="str">
        <x:v>PTN Akademik</x:v>
      </x:c>
      <x:c r="E2085" s="66" t="str">
        <x:v>13542019</x:v>
      </x:c>
      <x:c r="F2085" s="66" t="str">
        <x:v>DESTINASI PARIWISATA</x:v>
      </x:c>
      <x:c r="G2085" s="66" t="str">
        <x:v>Sarjana Terapan</x:v>
      </x:c>
      <x:c r="H2085" s="87" t="n">
        <x:v>10</x:v>
      </x:c>
      <x:c r="I2085" s="87" t="n">
        <x:v>6</x:v>
      </x:c>
      <x:c r="J2085" s="68" t="n">
        <x:f>IFERROR(H2085/I2085,"")</x:f>
        <x:v>1.6666666666666667</x:v>
      </x:c>
      <x:c r="K2085" s="69" t="n">
        <x:f>IFERROR(I2085/H2085,"")</x:f>
        <x:v>0.6</x:v>
      </x:c>
      <x:c r="L2085" s="66" t="str">
        <x:f>IF(K2085="","","1 : "&amp;TEXT(K2085,"0.0"))</x:f>
        <x:v>1 : 0.6</x:v>
      </x:c>
      <x:c r="M2085" s="66" t="str">
        <x:f>IF(J2085="","Baru/Tanpa Data",IF(J2085&lt;='Catatan &amp; Sumber'!$B$14,"Sangat Ketat",IF(J2085&lt;='Catatan &amp; Sumber'!$B$15,"Ketat",IF(J2085&lt;='Catatan &amp; Sumber'!$B$16,"Sedang","Relatif Longgar"))))</x:f>
        <x:v>Relatif Longgar</x:v>
      </x:c>
      <x:c r="N2085" s="66" t="str">
        <x:v>Tidak Ada</x:v>
      </x:c>
      <x:c r="O2085" s="66" t="str">
        <x:v>Jawa Tengah</x:v>
      </x:c>
      <x:c r="P2085" s="66" t="str">
        <x:v>Kota Surakarta</x:v>
      </x:c>
      <x:c r="Q2085" s="66" t="str">
        <x:v>https://snpmb.id/snbp/daya-tampung-snbp</x:v>
      </x:c>
      <x:c r="R2085" s="66" t="str">
        <x:v>https://sidatagrun-public-1076756628210.asia-southeast2.run.app/ptn_sn.php?ptn=354</x:v>
      </x:c>
    </x:row>
    <x:row r="2086">
      <x:c r="A2086" s="87" t="n">
        <x:v>599</x:v>
      </x:c>
      <x:c r="B2086" s="66" t="n">
        <x:v>355</x:v>
      </x:c>
      <x:c r="C2086" s="66" t="str">
        <x:v>UNIVERSITAS DIPONEGORO</x:v>
      </x:c>
      <x:c r="D2086" s="66" t="str">
        <x:v>PTN Akademik</x:v>
      </x:c>
      <x:c r="E2086" s="66" t="str">
        <x:v>13551001</x:v>
      </x:c>
      <x:c r="F2086" s="66" t="str">
        <x:v>KESEHATAN MASYARAKAT</x:v>
      </x:c>
      <x:c r="G2086" s="66" t="str">
        <x:v>Sarjana</x:v>
      </x:c>
      <x:c r="H2086" s="87" t="n">
        <x:v>82</x:v>
      </x:c>
      <x:c r="I2086" s="87" t="n">
        <x:v>1431</x:v>
      </x:c>
      <x:c r="J2086" s="68" t="n">
        <x:f>IFERROR(H2086/I2086,"")</x:f>
        <x:v>0.0573025856044724</x:v>
      </x:c>
      <x:c r="K2086" s="69" t="n">
        <x:f>IFERROR(I2086/H2086,"")</x:f>
        <x:v>17.451219512195124</x:v>
      </x:c>
      <x:c r="L2086" s="66" t="str">
        <x:f>IF(K2086="","","1 : "&amp;TEXT(K2086,"0.0"))</x:f>
        <x:v>1 : 17.5</x:v>
      </x:c>
      <x:c r="M2086" s="66" t="str">
        <x:f>IF(J2086="","Baru/Tanpa Data",IF(J2086&lt;='Catatan &amp; Sumber'!$B$14,"Sangat Ketat",IF(J2086&lt;='Catatan &amp; Sumber'!$B$15,"Ketat",IF(J2086&lt;='Catatan &amp; Sumber'!$B$16,"Sedang","Relatif Longgar"))))</x:f>
        <x:v>Sedang</x:v>
      </x:c>
      <x:c r="N2086" s="66" t="str">
        <x:v>Tidak Ada</x:v>
      </x:c>
      <x:c r="O2086" s="66" t="str">
        <x:v>Jawa Tengah</x:v>
      </x:c>
      <x:c r="P2086" s="66" t="str">
        <x:v>Kota Semarang</x:v>
      </x:c>
      <x:c r="Q2086" s="66" t="str">
        <x:v>https://snpmb.id/snbp/daya-tampung-snbp</x:v>
      </x:c>
      <x:c r="R2086" s="66" t="str">
        <x:v>https://sidatagrun-public-1076756628210.asia-southeast2.run.app/ptn_sn.php?ptn=355</x:v>
      </x:c>
    </x:row>
    <x:row r="2087">
      <x:c r="A2087" s="87" t="n">
        <x:v>463</x:v>
      </x:c>
      <x:c r="B2087" s="66" t="n">
        <x:v>355</x:v>
      </x:c>
      <x:c r="C2087" s="66" t="str">
        <x:v>UNIVERSITAS DIPONEGORO</x:v>
      </x:c>
      <x:c r="D2087" s="66" t="str">
        <x:v>PTN Akademik</x:v>
      </x:c>
      <x:c r="E2087" s="66" t="str">
        <x:v>13551002</x:v>
      </x:c>
      <x:c r="F2087" s="66" t="str">
        <x:v>KEDOKTERAN</x:v>
      </x:c>
      <x:c r="G2087" s="66" t="str">
        <x:v>Sarjana</x:v>
      </x:c>
      <x:c r="H2087" s="87" t="n">
        <x:v>60</x:v>
      </x:c>
      <x:c r="I2087" s="87" t="n">
        <x:v>1213</x:v>
      </x:c>
      <x:c r="J2087" s="68" t="n">
        <x:f>IFERROR(H2087/I2087,"")</x:f>
        <x:v>0.0494641384995878</x:v>
      </x:c>
      <x:c r="K2087" s="69" t="n">
        <x:f>IFERROR(I2087/H2087,"")</x:f>
        <x:v>20.216666666666665</x:v>
      </x:c>
      <x:c r="L2087" s="66" t="str">
        <x:f>IF(K2087="","","1 : "&amp;TEXT(K2087,"0.0"))</x:f>
        <x:v>1 : 20.2</x:v>
      </x:c>
      <x:c r="M2087" s="66" t="str">
        <x:f>IF(J2087="","Baru/Tanpa Data",IF(J2087&lt;='Catatan &amp; Sumber'!$B$14,"Sangat Ketat",IF(J2087&lt;='Catatan &amp; Sumber'!$B$15,"Ketat",IF(J2087&lt;='Catatan &amp; Sumber'!$B$16,"Sedang","Relatif Longgar"))))</x:f>
        <x:v>Ketat</x:v>
      </x:c>
      <x:c r="N2087" s="66" t="str">
        <x:v>Tidak Ada</x:v>
      </x:c>
      <x:c r="O2087" s="66" t="str">
        <x:v>Jawa Tengah</x:v>
      </x:c>
      <x:c r="P2087" s="66" t="str">
        <x:v>Kota Semarang</x:v>
      </x:c>
      <x:c r="Q2087" s="66" t="str">
        <x:v>https://snpmb.id/snbp/daya-tampung-snbp</x:v>
      </x:c>
      <x:c r="R2087" s="66" t="str">
        <x:v>https://sidatagrun-public-1076756628210.asia-southeast2.run.app/ptn_sn.php?ptn=355</x:v>
      </x:c>
    </x:row>
    <x:row r="2088">
      <x:c r="A2088" s="87" t="n">
        <x:v>141</x:v>
      </x:c>
      <x:c r="B2088" s="66" t="n">
        <x:v>355</x:v>
      </x:c>
      <x:c r="C2088" s="66" t="str">
        <x:v>UNIVERSITAS DIPONEGORO</x:v>
      </x:c>
      <x:c r="D2088" s="66" t="str">
        <x:v>PTN Akademik</x:v>
      </x:c>
      <x:c r="E2088" s="66" t="str">
        <x:v>13551003</x:v>
      </x:c>
      <x:c r="F2088" s="66" t="str">
        <x:v>KEPERAWATAN</x:v>
      </x:c>
      <x:c r="G2088" s="66" t="str">
        <x:v>Sarjana</x:v>
      </x:c>
      <x:c r="H2088" s="87" t="n">
        <x:v>55</x:v>
      </x:c>
      <x:c r="I2088" s="87" t="n">
        <x:v>1694</x:v>
      </x:c>
      <x:c r="J2088" s="68" t="n">
        <x:f>IFERROR(H2088/I2088,"")</x:f>
        <x:v>0.032467532467532464</x:v>
      </x:c>
      <x:c r="K2088" s="69" t="n">
        <x:f>IFERROR(I2088/H2088,"")</x:f>
        <x:v>30.8</x:v>
      </x:c>
      <x:c r="L2088" s="66" t="str">
        <x:f>IF(K2088="","","1 : "&amp;TEXT(K2088,"0.0"))</x:f>
        <x:v>1 : 30.8</x:v>
      </x:c>
      <x:c r="M2088" s="66" t="str">
        <x:f>IF(J2088="","Baru/Tanpa Data",IF(J2088&lt;='Catatan &amp; Sumber'!$B$14,"Sangat Ketat",IF(J2088&lt;='Catatan &amp; Sumber'!$B$15,"Ketat",IF(J2088&lt;='Catatan &amp; Sumber'!$B$16,"Sedang","Relatif Longgar"))))</x:f>
        <x:v>Ketat</x:v>
      </x:c>
      <x:c r="N2088" s="66" t="str">
        <x:v>Tidak Ada</x:v>
      </x:c>
      <x:c r="O2088" s="66" t="str">
        <x:v>Jawa Tengah</x:v>
      </x:c>
      <x:c r="P2088" s="66" t="str">
        <x:v>Kota Semarang</x:v>
      </x:c>
      <x:c r="Q2088" s="66" t="str">
        <x:v>https://snpmb.id/snbp/daya-tampung-snbp</x:v>
      </x:c>
      <x:c r="R2088" s="66" t="str">
        <x:v>https://sidatagrun-public-1076756628210.asia-southeast2.run.app/ptn_sn.php?ptn=355</x:v>
      </x:c>
    </x:row>
    <x:row r="2089">
      <x:c r="A2089" s="87" t="n">
        <x:v>258</x:v>
      </x:c>
      <x:c r="B2089" s="66" t="n">
        <x:v>355</x:v>
      </x:c>
      <x:c r="C2089" s="66" t="str">
        <x:v>UNIVERSITAS DIPONEGORO</x:v>
      </x:c>
      <x:c r="D2089" s="66" t="str">
        <x:v>PTN Akademik</x:v>
      </x:c>
      <x:c r="E2089" s="66" t="str">
        <x:v>13551004</x:v>
      </x:c>
      <x:c r="F2089" s="66" t="str">
        <x:v>GIZI</x:v>
      </x:c>
      <x:c r="G2089" s="66" t="str">
        <x:v>Sarjana</x:v>
      </x:c>
      <x:c r="H2089" s="87" t="n">
        <x:v>35</x:v>
      </x:c>
      <x:c r="I2089" s="87" t="n">
        <x:v>875</x:v>
      </x:c>
      <x:c r="J2089" s="68" t="n">
        <x:f>IFERROR(H2089/I2089,"")</x:f>
        <x:v>0.04</x:v>
      </x:c>
      <x:c r="K2089" s="69" t="n">
        <x:f>IFERROR(I2089/H2089,"")</x:f>
        <x:v>25</x:v>
      </x:c>
      <x:c r="L2089" s="66" t="str">
        <x:f>IF(K2089="","","1 : "&amp;TEXT(K2089,"0.0"))</x:f>
        <x:v>1 : 25.0</x:v>
      </x:c>
      <x:c r="M2089" s="66" t="str">
        <x:f>IF(J2089="","Baru/Tanpa Data",IF(J2089&lt;='Catatan &amp; Sumber'!$B$14,"Sangat Ketat",IF(J2089&lt;='Catatan &amp; Sumber'!$B$15,"Ketat",IF(J2089&lt;='Catatan &amp; Sumber'!$B$16,"Sedang","Relatif Longgar"))))</x:f>
        <x:v>Ketat</x:v>
      </x:c>
      <x:c r="N2089" s="66" t="str">
        <x:v>Tidak Ada</x:v>
      </x:c>
      <x:c r="O2089" s="66" t="str">
        <x:v>Jawa Tengah</x:v>
      </x:c>
      <x:c r="P2089" s="66" t="str">
        <x:v>Kota Semarang</x:v>
      </x:c>
      <x:c r="Q2089" s="66" t="str">
        <x:v>https://snpmb.id/snbp/daya-tampung-snbp</x:v>
      </x:c>
      <x:c r="R2089" s="66" t="str">
        <x:v>https://sidatagrun-public-1076756628210.asia-southeast2.run.app/ptn_sn.php?ptn=355</x:v>
      </x:c>
    </x:row>
    <x:row r="2090">
      <x:c r="A2090" s="87" t="n">
        <x:v>1837</x:v>
      </x:c>
      <x:c r="B2090" s="66" t="n">
        <x:v>355</x:v>
      </x:c>
      <x:c r="C2090" s="66" t="str">
        <x:v>UNIVERSITAS DIPONEGORO</x:v>
      </x:c>
      <x:c r="D2090" s="66" t="str">
        <x:v>PTN Akademik</x:v>
      </x:c>
      <x:c r="E2090" s="66" t="str">
        <x:v>13551005</x:v>
      </x:c>
      <x:c r="F2090" s="66" t="str">
        <x:v>MATEMATIKA</x:v>
      </x:c>
      <x:c r="G2090" s="66" t="str">
        <x:v>Sarjana</x:v>
      </x:c>
      <x:c r="H2090" s="87" t="n">
        <x:v>66</x:v>
      </x:c>
      <x:c r="I2090" s="87" t="n">
        <x:v>488</x:v>
      </x:c>
      <x:c r="J2090" s="68" t="n">
        <x:f>IFERROR(H2090/I2090,"")</x:f>
        <x:v>0.13524590163934427</x:v>
      </x:c>
      <x:c r="K2090" s="69" t="n">
        <x:f>IFERROR(I2090/H2090,"")</x:f>
        <x:v>7.393939393939394</x:v>
      </x:c>
      <x:c r="L2090" s="66" t="str">
        <x:f>IF(K2090="","","1 : "&amp;TEXT(K2090,"0.0"))</x:f>
        <x:v>1 : 7.4</x:v>
      </x:c>
      <x:c r="M2090" s="66" t="str">
        <x:f>IF(J2090="","Baru/Tanpa Data",IF(J2090&lt;='Catatan &amp; Sumber'!$B$14,"Sangat Ketat",IF(J2090&lt;='Catatan &amp; Sumber'!$B$15,"Ketat",IF(J2090&lt;='Catatan &amp; Sumber'!$B$16,"Sedang","Relatif Longgar"))))</x:f>
        <x:v>Relatif Longgar</x:v>
      </x:c>
      <x:c r="N2090" s="66" t="str">
        <x:v>Tidak Ada</x:v>
      </x:c>
      <x:c r="O2090" s="66" t="str">
        <x:v>Jawa Tengah</x:v>
      </x:c>
      <x:c r="P2090" s="66" t="str">
        <x:v>Kota Semarang</x:v>
      </x:c>
      <x:c r="Q2090" s="66" t="str">
        <x:v>https://snpmb.id/snbp/daya-tampung-snbp</x:v>
      </x:c>
      <x:c r="R2090" s="66" t="str">
        <x:v>https://sidatagrun-public-1076756628210.asia-southeast2.run.app/ptn_sn.php?ptn=355</x:v>
      </x:c>
    </x:row>
    <x:row r="2091">
      <x:c r="A2091" s="87" t="n">
        <x:v>1735</x:v>
      </x:c>
      <x:c r="B2091" s="66" t="n">
        <x:v>355</x:v>
      </x:c>
      <x:c r="C2091" s="66" t="str">
        <x:v>UNIVERSITAS DIPONEGORO</x:v>
      </x:c>
      <x:c r="D2091" s="66" t="str">
        <x:v>PTN Akademik</x:v>
      </x:c>
      <x:c r="E2091" s="66" t="str">
        <x:v>13551006</x:v>
      </x:c>
      <x:c r="F2091" s="66" t="str">
        <x:v>BIOLOGI</x:v>
      </x:c>
      <x:c r="G2091" s="66" t="str">
        <x:v>Sarjana</x:v>
      </x:c>
      <x:c r="H2091" s="87" t="n">
        <x:v>63</x:v>
      </x:c>
      <x:c r="I2091" s="87" t="n">
        <x:v>497</x:v>
      </x:c>
      <x:c r="J2091" s="68" t="n">
        <x:f>IFERROR(H2091/I2091,"")</x:f>
        <x:v>0.1267605633802817</x:v>
      </x:c>
      <x:c r="K2091" s="69" t="n">
        <x:f>IFERROR(I2091/H2091,"")</x:f>
        <x:v>7.888888888888889</x:v>
      </x:c>
      <x:c r="L2091" s="66" t="str">
        <x:f>IF(K2091="","","1 : "&amp;TEXT(K2091,"0.0"))</x:f>
        <x:v>1 : 7.9</x:v>
      </x:c>
      <x:c r="M2091" s="66" t="str">
        <x:f>IF(J2091="","Baru/Tanpa Data",IF(J2091&lt;='Catatan &amp; Sumber'!$B$14,"Sangat Ketat",IF(J2091&lt;='Catatan &amp; Sumber'!$B$15,"Ketat",IF(J2091&lt;='Catatan &amp; Sumber'!$B$16,"Sedang","Relatif Longgar"))))</x:f>
        <x:v>Relatif Longgar</x:v>
      </x:c>
      <x:c r="N2091" s="66" t="str">
        <x:v>Tidak Ada</x:v>
      </x:c>
      <x:c r="O2091" s="66" t="str">
        <x:v>Jawa Tengah</x:v>
      </x:c>
      <x:c r="P2091" s="66" t="str">
        <x:v>Kota Semarang</x:v>
      </x:c>
      <x:c r="Q2091" s="66" t="str">
        <x:v>https://snpmb.id/snbp/daya-tampung-snbp</x:v>
      </x:c>
      <x:c r="R2091" s="66" t="str">
        <x:v>https://sidatagrun-public-1076756628210.asia-southeast2.run.app/ptn_sn.php?ptn=355</x:v>
      </x:c>
    </x:row>
    <x:row r="2092">
      <x:c r="A2092" s="87" t="n">
        <x:v>1680</x:v>
      </x:c>
      <x:c r="B2092" s="66" t="n">
        <x:v>355</x:v>
      </x:c>
      <x:c r="C2092" s="66" t="str">
        <x:v>UNIVERSITAS DIPONEGORO</x:v>
      </x:c>
      <x:c r="D2092" s="66" t="str">
        <x:v>PTN Akademik</x:v>
      </x:c>
      <x:c r="E2092" s="66" t="str">
        <x:v>13551007</x:v>
      </x:c>
      <x:c r="F2092" s="66" t="str">
        <x:v>KIMIA</x:v>
      </x:c>
      <x:c r="G2092" s="66" t="str">
        <x:v>Sarjana</x:v>
      </x:c>
      <x:c r="H2092" s="87" t="n">
        <x:v>63</x:v>
      </x:c>
      <x:c r="I2092" s="87" t="n">
        <x:v>515</x:v>
      </x:c>
      <x:c r="J2092" s="68" t="n">
        <x:f>IFERROR(H2092/I2092,"")</x:f>
        <x:v>0.12233009708737864</x:v>
      </x:c>
      <x:c r="K2092" s="69" t="n">
        <x:f>IFERROR(I2092/H2092,"")</x:f>
        <x:v>8.174603174603174</x:v>
      </x:c>
      <x:c r="L2092" s="66" t="str">
        <x:f>IF(K2092="","","1 : "&amp;TEXT(K2092,"0.0"))</x:f>
        <x:v>1 : 8.2</x:v>
      </x:c>
      <x:c r="M2092" s="66" t="str">
        <x:f>IF(J2092="","Baru/Tanpa Data",IF(J2092&lt;='Catatan &amp; Sumber'!$B$14,"Sangat Ketat",IF(J2092&lt;='Catatan &amp; Sumber'!$B$15,"Ketat",IF(J2092&lt;='Catatan &amp; Sumber'!$B$16,"Sedang","Relatif Longgar"))))</x:f>
        <x:v>Relatif Longgar</x:v>
      </x:c>
      <x:c r="N2092" s="66" t="str">
        <x:v>Tidak Ada</x:v>
      </x:c>
      <x:c r="O2092" s="66" t="str">
        <x:v>Jawa Tengah</x:v>
      </x:c>
      <x:c r="P2092" s="66" t="str">
        <x:v>Kota Semarang</x:v>
      </x:c>
      <x:c r="Q2092" s="66" t="str">
        <x:v>https://snpmb.id/snbp/daya-tampung-snbp</x:v>
      </x:c>
      <x:c r="R2092" s="66" t="str">
        <x:v>https://sidatagrun-public-1076756628210.asia-southeast2.run.app/ptn_sn.php?ptn=355</x:v>
      </x:c>
    </x:row>
    <x:row r="2093">
      <x:c r="A2093" s="87" t="n">
        <x:v>2557</x:v>
      </x:c>
      <x:c r="B2093" s="66" t="n">
        <x:v>355</x:v>
      </x:c>
      <x:c r="C2093" s="66" t="str">
        <x:v>UNIVERSITAS DIPONEGORO</x:v>
      </x:c>
      <x:c r="D2093" s="66" t="str">
        <x:v>PTN Akademik</x:v>
      </x:c>
      <x:c r="E2093" s="66" t="str">
        <x:v>13551008</x:v>
      </x:c>
      <x:c r="F2093" s="66" t="str">
        <x:v>FISIKA</x:v>
      </x:c>
      <x:c r="G2093" s="66" t="str">
        <x:v>Sarjana</x:v>
      </x:c>
      <x:c r="H2093" s="87" t="n">
        <x:v>63</x:v>
      </x:c>
      <x:c r="I2093" s="87" t="n">
        <x:v>286</x:v>
      </x:c>
      <x:c r="J2093" s="68" t="n">
        <x:f>IFERROR(H2093/I2093,"")</x:f>
        <x:v>0.2202797202797203</x:v>
      </x:c>
      <x:c r="K2093" s="69" t="n">
        <x:f>IFERROR(I2093/H2093,"")</x:f>
        <x:v>4.5396825396825395</x:v>
      </x:c>
      <x:c r="L2093" s="66" t="str">
        <x:f>IF(K2093="","","1 : "&amp;TEXT(K2093,"0.0"))</x:f>
        <x:v>1 : 4.5</x:v>
      </x:c>
      <x:c r="M2093" s="66" t="str">
        <x:f>IF(J2093="","Baru/Tanpa Data",IF(J2093&lt;='Catatan &amp; Sumber'!$B$14,"Sangat Ketat",IF(J2093&lt;='Catatan &amp; Sumber'!$B$15,"Ketat",IF(J2093&lt;='Catatan &amp; Sumber'!$B$16,"Sedang","Relatif Longgar"))))</x:f>
        <x:v>Relatif Longgar</x:v>
      </x:c>
      <x:c r="N2093" s="66" t="str">
        <x:v>Tidak Ada</x:v>
      </x:c>
      <x:c r="O2093" s="66" t="str">
        <x:v>Jawa Tengah</x:v>
      </x:c>
      <x:c r="P2093" s="66" t="str">
        <x:v>Kota Semarang</x:v>
      </x:c>
      <x:c r="Q2093" s="66" t="str">
        <x:v>https://snpmb.id/snbp/daya-tampung-snbp</x:v>
      </x:c>
      <x:c r="R2093" s="66" t="str">
        <x:v>https://sidatagrun-public-1076756628210.asia-southeast2.run.app/ptn_sn.php?ptn=355</x:v>
      </x:c>
    </x:row>
    <x:row r="2094">
      <x:c r="A2094" s="87" t="n">
        <x:v>930</x:v>
      </x:c>
      <x:c r="B2094" s="66" t="n">
        <x:v>355</x:v>
      </x:c>
      <x:c r="C2094" s="66" t="str">
        <x:v>UNIVERSITAS DIPONEGORO</x:v>
      </x:c>
      <x:c r="D2094" s="66" t="str">
        <x:v>PTN Akademik</x:v>
      </x:c>
      <x:c r="E2094" s="66" t="str">
        <x:v>13551009</x:v>
      </x:c>
      <x:c r="F2094" s="66" t="str">
        <x:v>STATISTIKA</x:v>
      </x:c>
      <x:c r="G2094" s="66" t="str">
        <x:v>Sarjana</x:v>
      </x:c>
      <x:c r="H2094" s="87" t="n">
        <x:v>44</x:v>
      </x:c>
      <x:c r="I2094" s="87" t="n">
        <x:v>593</x:v>
      </x:c>
      <x:c r="J2094" s="68" t="n">
        <x:f>IFERROR(H2094/I2094,"")</x:f>
        <x:v>0.07419898819561552</x:v>
      </x:c>
      <x:c r="K2094" s="69" t="n">
        <x:f>IFERROR(I2094/H2094,"")</x:f>
        <x:v>13.477272727272727</x:v>
      </x:c>
      <x:c r="L2094" s="66" t="str">
        <x:f>IF(K2094="","","1 : "&amp;TEXT(K2094,"0.0"))</x:f>
        <x:v>1 : 13.5</x:v>
      </x:c>
      <x:c r="M2094" s="66" t="str">
        <x:f>IF(J2094="","Baru/Tanpa Data",IF(J2094&lt;='Catatan &amp; Sumber'!$B$14,"Sangat Ketat",IF(J2094&lt;='Catatan &amp; Sumber'!$B$15,"Ketat",IF(J2094&lt;='Catatan &amp; Sumber'!$B$16,"Sedang","Relatif Longgar"))))</x:f>
        <x:v>Sedang</x:v>
      </x:c>
      <x:c r="N2094" s="66" t="str">
        <x:v>Tidak Ada</x:v>
      </x:c>
      <x:c r="O2094" s="66" t="str">
        <x:v>Jawa Tengah</x:v>
      </x:c>
      <x:c r="P2094" s="66" t="str">
        <x:v>Kota Semarang</x:v>
      </x:c>
      <x:c r="Q2094" s="66" t="str">
        <x:v>https://snpmb.id/snbp/daya-tampung-snbp</x:v>
      </x:c>
      <x:c r="R2094" s="66" t="str">
        <x:v>https://sidatagrun-public-1076756628210.asia-southeast2.run.app/ptn_sn.php?ptn=355</x:v>
      </x:c>
    </x:row>
    <x:row r="2095">
      <x:c r="A2095" s="87" t="n">
        <x:v>236</x:v>
      </x:c>
      <x:c r="B2095" s="66" t="n">
        <x:v>355</x:v>
      </x:c>
      <x:c r="C2095" s="66" t="str">
        <x:v>UNIVERSITAS DIPONEGORO</x:v>
      </x:c>
      <x:c r="D2095" s="66" t="str">
        <x:v>PTN Akademik</x:v>
      </x:c>
      <x:c r="E2095" s="66" t="str">
        <x:v>13551010</x:v>
      </x:c>
      <x:c r="F2095" s="66" t="str">
        <x:v>INFORMATIKA</x:v>
      </x:c>
      <x:c r="G2095" s="66" t="str">
        <x:v>Sarjana</x:v>
      </x:c>
      <x:c r="H2095" s="87" t="n">
        <x:v>50</x:v>
      </x:c>
      <x:c r="I2095" s="87" t="n">
        <x:v>1295</x:v>
      </x:c>
      <x:c r="J2095" s="68" t="n">
        <x:f>IFERROR(H2095/I2095,"")</x:f>
        <x:v>0.03861003861003861</x:v>
      </x:c>
      <x:c r="K2095" s="69" t="n">
        <x:f>IFERROR(I2095/H2095,"")</x:f>
        <x:v>25.9</x:v>
      </x:c>
      <x:c r="L2095" s="66" t="str">
        <x:f>IF(K2095="","","1 : "&amp;TEXT(K2095,"0.0"))</x:f>
        <x:v>1 : 25.9</x:v>
      </x:c>
      <x:c r="M2095" s="66" t="str">
        <x:f>IF(J2095="","Baru/Tanpa Data",IF(J2095&lt;='Catatan &amp; Sumber'!$B$14,"Sangat Ketat",IF(J2095&lt;='Catatan &amp; Sumber'!$B$15,"Ketat",IF(J2095&lt;='Catatan &amp; Sumber'!$B$16,"Sedang","Relatif Longgar"))))</x:f>
        <x:v>Ketat</x:v>
      </x:c>
      <x:c r="N2095" s="66" t="str">
        <x:v>Tidak Ada</x:v>
      </x:c>
      <x:c r="O2095" s="66" t="str">
        <x:v>Jawa Tengah</x:v>
      </x:c>
      <x:c r="P2095" s="66" t="str">
        <x:v>Kota Semarang</x:v>
      </x:c>
      <x:c r="Q2095" s="66" t="str">
        <x:v>https://snpmb.id/snbp/daya-tampung-snbp</x:v>
      </x:c>
      <x:c r="R2095" s="66" t="str">
        <x:v>https://sidatagrun-public-1076756628210.asia-southeast2.run.app/ptn_sn.php?ptn=355</x:v>
      </x:c>
    </x:row>
    <x:row r="2096">
      <x:c r="A2096" s="87" t="n">
        <x:v>2160</x:v>
      </x:c>
      <x:c r="B2096" s="66" t="n">
        <x:v>355</x:v>
      </x:c>
      <x:c r="C2096" s="66" t="str">
        <x:v>UNIVERSITAS DIPONEGORO</x:v>
      </x:c>
      <x:c r="D2096" s="66" t="str">
        <x:v>PTN Akademik</x:v>
      </x:c>
      <x:c r="E2096" s="66" t="str">
        <x:v>13551011</x:v>
      </x:c>
      <x:c r="F2096" s="66" t="str">
        <x:v>MANAJEMEN SUMBERDAYA PERAIRAN</x:v>
      </x:c>
      <x:c r="G2096" s="66" t="str">
        <x:v>Sarjana</x:v>
      </x:c>
      <x:c r="H2096" s="87" t="n">
        <x:v>37</x:v>
      </x:c>
      <x:c r="I2096" s="87" t="n">
        <x:v>221</x:v>
      </x:c>
      <x:c r="J2096" s="68" t="n">
        <x:f>IFERROR(H2096/I2096,"")</x:f>
        <x:v>0.167420814479638</x:v>
      </x:c>
      <x:c r="K2096" s="69" t="n">
        <x:f>IFERROR(I2096/H2096,"")</x:f>
        <x:v>5.972972972972973</x:v>
      </x:c>
      <x:c r="L2096" s="66" t="str">
        <x:f>IF(K2096="","","1 : "&amp;TEXT(K2096,"0.0"))</x:f>
        <x:v>1 : 6.0</x:v>
      </x:c>
      <x:c r="M2096" s="66" t="str">
        <x:f>IF(J2096="","Baru/Tanpa Data",IF(J2096&lt;='Catatan &amp; Sumber'!$B$14,"Sangat Ketat",IF(J2096&lt;='Catatan &amp; Sumber'!$B$15,"Ketat",IF(J2096&lt;='Catatan &amp; Sumber'!$B$16,"Sedang","Relatif Longgar"))))</x:f>
        <x:v>Relatif Longgar</x:v>
      </x:c>
      <x:c r="N2096" s="66" t="str">
        <x:v>Tidak Ada</x:v>
      </x:c>
      <x:c r="O2096" s="66" t="str">
        <x:v>Jawa Tengah</x:v>
      </x:c>
      <x:c r="P2096" s="66" t="str">
        <x:v>Kota Semarang</x:v>
      </x:c>
      <x:c r="Q2096" s="66" t="str">
        <x:v>https://snpmb.id/snbp/daya-tampung-snbp</x:v>
      </x:c>
      <x:c r="R2096" s="66" t="str">
        <x:v>https://sidatagrun-public-1076756628210.asia-southeast2.run.app/ptn_sn.php?ptn=355</x:v>
      </x:c>
    </x:row>
    <x:row r="2097">
      <x:c r="A2097" s="87" t="n">
        <x:v>2436</x:v>
      </x:c>
      <x:c r="B2097" s="66" t="n">
        <x:v>355</x:v>
      </x:c>
      <x:c r="C2097" s="66" t="str">
        <x:v>UNIVERSITAS DIPONEGORO</x:v>
      </x:c>
      <x:c r="D2097" s="66" t="str">
        <x:v>PTN Akademik</x:v>
      </x:c>
      <x:c r="E2097" s="66" t="str">
        <x:v>13551012</x:v>
      </x:c>
      <x:c r="F2097" s="66" t="str">
        <x:v>AKUAKULTUR</x:v>
      </x:c>
      <x:c r="G2097" s="66" t="str">
        <x:v>Sarjana</x:v>
      </x:c>
      <x:c r="H2097" s="87" t="n">
        <x:v>40</x:v>
      </x:c>
      <x:c r="I2097" s="87" t="n">
        <x:v>199</x:v>
      </x:c>
      <x:c r="J2097" s="68" t="n">
        <x:f>IFERROR(H2097/I2097,"")</x:f>
        <x:v>0.20100502512562815</x:v>
      </x:c>
      <x:c r="K2097" s="69" t="n">
        <x:f>IFERROR(I2097/H2097,"")</x:f>
        <x:v>4.975</x:v>
      </x:c>
      <x:c r="L2097" s="66" t="str">
        <x:f>IF(K2097="","","1 : "&amp;TEXT(K2097,"0.0"))</x:f>
        <x:v>1 : 5.0</x:v>
      </x:c>
      <x:c r="M2097" s="66" t="str">
        <x:f>IF(J2097="","Baru/Tanpa Data",IF(J2097&lt;='Catatan &amp; Sumber'!$B$14,"Sangat Ketat",IF(J2097&lt;='Catatan &amp; Sumber'!$B$15,"Ketat",IF(J2097&lt;='Catatan &amp; Sumber'!$B$16,"Sedang","Relatif Longgar"))))</x:f>
        <x:v>Relatif Longgar</x:v>
      </x:c>
      <x:c r="N2097" s="66" t="str">
        <x:v>Tidak Ada</x:v>
      </x:c>
      <x:c r="O2097" s="66" t="str">
        <x:v>Jawa Tengah</x:v>
      </x:c>
      <x:c r="P2097" s="66" t="str">
        <x:v>Kota Semarang</x:v>
      </x:c>
      <x:c r="Q2097" s="66" t="str">
        <x:v>https://snpmb.id/snbp/daya-tampung-snbp</x:v>
      </x:c>
      <x:c r="R2097" s="66" t="str">
        <x:v>https://sidatagrun-public-1076756628210.asia-southeast2.run.app/ptn_sn.php?ptn=355</x:v>
      </x:c>
    </x:row>
    <x:row r="2098">
      <x:c r="A2098" s="87" t="n">
        <x:v>2707</x:v>
      </x:c>
      <x:c r="B2098" s="66" t="n">
        <x:v>355</x:v>
      </x:c>
      <x:c r="C2098" s="66" t="str">
        <x:v>UNIVERSITAS DIPONEGORO</x:v>
      </x:c>
      <x:c r="D2098" s="66" t="str">
        <x:v>PTN Akademik</x:v>
      </x:c>
      <x:c r="E2098" s="66" t="str">
        <x:v>13551013</x:v>
      </x:c>
      <x:c r="F2098" s="66" t="str">
        <x:v>PERIKANAN TANGKAP</x:v>
      </x:c>
      <x:c r="G2098" s="66" t="str">
        <x:v>Sarjana</x:v>
      </x:c>
      <x:c r="H2098" s="87" t="n">
        <x:v>35</x:v>
      </x:c>
      <x:c r="I2098" s="87" t="n">
        <x:v>143</x:v>
      </x:c>
      <x:c r="J2098" s="68" t="n">
        <x:f>IFERROR(H2098/I2098,"")</x:f>
        <x:v>0.24475524475524477</x:v>
      </x:c>
      <x:c r="K2098" s="69" t="n">
        <x:f>IFERROR(I2098/H2098,"")</x:f>
        <x:v>4.085714285714285</x:v>
      </x:c>
      <x:c r="L2098" s="66" t="str">
        <x:f>IF(K2098="","","1 : "&amp;TEXT(K2098,"0.0"))</x:f>
        <x:v>1 : 4.1</x:v>
      </x:c>
      <x:c r="M2098" s="66" t="str">
        <x:f>IF(J2098="","Baru/Tanpa Data",IF(J2098&lt;='Catatan &amp; Sumber'!$B$14,"Sangat Ketat",IF(J2098&lt;='Catatan &amp; Sumber'!$B$15,"Ketat",IF(J2098&lt;='Catatan &amp; Sumber'!$B$16,"Sedang","Relatif Longgar"))))</x:f>
        <x:v>Relatif Longgar</x:v>
      </x:c>
      <x:c r="N2098" s="66" t="str">
        <x:v>Tidak Ada</x:v>
      </x:c>
      <x:c r="O2098" s="66" t="str">
        <x:v>Jawa Tengah</x:v>
      </x:c>
      <x:c r="P2098" s="66" t="str">
        <x:v>Kota Semarang</x:v>
      </x:c>
      <x:c r="Q2098" s="66" t="str">
        <x:v>https://snpmb.id/snbp/daya-tampung-snbp</x:v>
      </x:c>
      <x:c r="R2098" s="66" t="str">
        <x:v>https://sidatagrun-public-1076756628210.asia-southeast2.run.app/ptn_sn.php?ptn=355</x:v>
      </x:c>
    </x:row>
    <x:row r="2099">
      <x:c r="A2099" s="87" t="n">
        <x:v>2399</x:v>
      </x:c>
      <x:c r="B2099" s="66" t="n">
        <x:v>355</x:v>
      </x:c>
      <x:c r="C2099" s="66" t="str">
        <x:v>UNIVERSITAS DIPONEGORO</x:v>
      </x:c>
      <x:c r="D2099" s="66" t="str">
        <x:v>PTN Akademik</x:v>
      </x:c>
      <x:c r="E2099" s="66" t="str">
        <x:v>13551014</x:v>
      </x:c>
      <x:c r="F2099" s="66" t="str">
        <x:v>ILMU KELAUTAN</x:v>
      </x:c>
      <x:c r="G2099" s="66" t="str">
        <x:v>Sarjana</x:v>
      </x:c>
      <x:c r="H2099" s="87" t="n">
        <x:v>50</x:v>
      </x:c>
      <x:c r="I2099" s="87" t="n">
        <x:v>256</x:v>
      </x:c>
      <x:c r="J2099" s="68" t="n">
        <x:f>IFERROR(H2099/I2099,"")</x:f>
        <x:v>0.1953125</x:v>
      </x:c>
      <x:c r="K2099" s="69" t="n">
        <x:f>IFERROR(I2099/H2099,"")</x:f>
        <x:v>5.12</x:v>
      </x:c>
      <x:c r="L2099" s="66" t="str">
        <x:f>IF(K2099="","","1 : "&amp;TEXT(K2099,"0.0"))</x:f>
        <x:v>1 : 5.1</x:v>
      </x:c>
      <x:c r="M2099" s="66" t="str">
        <x:f>IF(J2099="","Baru/Tanpa Data",IF(J2099&lt;='Catatan &amp; Sumber'!$B$14,"Sangat Ketat",IF(J2099&lt;='Catatan &amp; Sumber'!$B$15,"Ketat",IF(J2099&lt;='Catatan &amp; Sumber'!$B$16,"Sedang","Relatif Longgar"))))</x:f>
        <x:v>Relatif Longgar</x:v>
      </x:c>
      <x:c r="N2099" s="66" t="str">
        <x:v>Tidak Ada</x:v>
      </x:c>
      <x:c r="O2099" s="66" t="str">
        <x:v>Jawa Tengah</x:v>
      </x:c>
      <x:c r="P2099" s="66" t="str">
        <x:v>Kota Semarang</x:v>
      </x:c>
      <x:c r="Q2099" s="66" t="str">
        <x:v>https://snpmb.id/snbp/daya-tampung-snbp</x:v>
      </x:c>
      <x:c r="R2099" s="66" t="str">
        <x:v>https://sidatagrun-public-1076756628210.asia-southeast2.run.app/ptn_sn.php?ptn=355</x:v>
      </x:c>
    </x:row>
    <x:row r="2100">
      <x:c r="A2100" s="87" t="n">
        <x:v>2539</x:v>
      </x:c>
      <x:c r="B2100" s="66" t="n">
        <x:v>355</x:v>
      </x:c>
      <x:c r="C2100" s="66" t="str">
        <x:v>UNIVERSITAS DIPONEGORO</x:v>
      </x:c>
      <x:c r="D2100" s="66" t="str">
        <x:v>PTN Akademik</x:v>
      </x:c>
      <x:c r="E2100" s="66" t="str">
        <x:v>13551015</x:v>
      </x:c>
      <x:c r="F2100" s="66" t="str">
        <x:v>OCEANOGRAFI</x:v>
      </x:c>
      <x:c r="G2100" s="66" t="str">
        <x:v>Sarjana</x:v>
      </x:c>
      <x:c r="H2100" s="87" t="n">
        <x:v>46</x:v>
      </x:c>
      <x:c r="I2100" s="87" t="n">
        <x:v>211</x:v>
      </x:c>
      <x:c r="J2100" s="68" t="n">
        <x:f>IFERROR(H2100/I2100,"")</x:f>
        <x:v>0.21800947867298578</x:v>
      </x:c>
      <x:c r="K2100" s="69" t="n">
        <x:f>IFERROR(I2100/H2100,"")</x:f>
        <x:v>4.586956521739131</x:v>
      </x:c>
      <x:c r="L2100" s="66" t="str">
        <x:f>IF(K2100="","","1 : "&amp;TEXT(K2100,"0.0"))</x:f>
        <x:v>1 : 4.6</x:v>
      </x:c>
      <x:c r="M2100" s="66" t="str">
        <x:f>IF(J2100="","Baru/Tanpa Data",IF(J2100&lt;='Catatan &amp; Sumber'!$B$14,"Sangat Ketat",IF(J2100&lt;='Catatan &amp; Sumber'!$B$15,"Ketat",IF(J2100&lt;='Catatan &amp; Sumber'!$B$16,"Sedang","Relatif Longgar"))))</x:f>
        <x:v>Relatif Longgar</x:v>
      </x:c>
      <x:c r="N2100" s="66" t="str">
        <x:v>Tidak Ada</x:v>
      </x:c>
      <x:c r="O2100" s="66" t="str">
        <x:v>Jawa Tengah</x:v>
      </x:c>
      <x:c r="P2100" s="66" t="str">
        <x:v>Kota Semarang</x:v>
      </x:c>
      <x:c r="Q2100" s="66" t="str">
        <x:v>https://snpmb.id/snbp/daya-tampung-snbp</x:v>
      </x:c>
      <x:c r="R2100" s="66" t="str">
        <x:v>https://sidatagrun-public-1076756628210.asia-southeast2.run.app/ptn_sn.php?ptn=355</x:v>
      </x:c>
    </x:row>
    <x:row r="2101">
      <x:c r="A2101" s="87" t="n">
        <x:v>2386</x:v>
      </x:c>
      <x:c r="B2101" s="66" t="n">
        <x:v>355</x:v>
      </x:c>
      <x:c r="C2101" s="66" t="str">
        <x:v>UNIVERSITAS DIPONEGORO</x:v>
      </x:c>
      <x:c r="D2101" s="66" t="str">
        <x:v>PTN Akademik</x:v>
      </x:c>
      <x:c r="E2101" s="66" t="str">
        <x:v>13551016</x:v>
      </x:c>
      <x:c r="F2101" s="66" t="str">
        <x:v>TEKNOLOGI HASIL PERIKANAN</x:v>
      </x:c>
      <x:c r="G2101" s="66" t="str">
        <x:v>Sarjana</x:v>
      </x:c>
      <x:c r="H2101" s="87" t="n">
        <x:v>37</x:v>
      </x:c>
      <x:c r="I2101" s="87" t="n">
        <x:v>191</x:v>
      </x:c>
      <x:c r="J2101" s="68" t="n">
        <x:f>IFERROR(H2101/I2101,"")</x:f>
        <x:v>0.193717277486911</x:v>
      </x:c>
      <x:c r="K2101" s="69" t="n">
        <x:f>IFERROR(I2101/H2101,"")</x:f>
        <x:v>5.162162162162162</x:v>
      </x:c>
      <x:c r="L2101" s="66" t="str">
        <x:f>IF(K2101="","","1 : "&amp;TEXT(K2101,"0.0"))</x:f>
        <x:v>1 : 5.2</x:v>
      </x:c>
      <x:c r="M2101" s="66" t="str">
        <x:f>IF(J2101="","Baru/Tanpa Data",IF(J2101&lt;='Catatan &amp; Sumber'!$B$14,"Sangat Ketat",IF(J2101&lt;='Catatan &amp; Sumber'!$B$15,"Ketat",IF(J2101&lt;='Catatan &amp; Sumber'!$B$16,"Sedang","Relatif Longgar"))))</x:f>
        <x:v>Relatif Longgar</x:v>
      </x:c>
      <x:c r="N2101" s="66" t="str">
        <x:v>Tidak Ada</x:v>
      </x:c>
      <x:c r="O2101" s="66" t="str">
        <x:v>Jawa Tengah</x:v>
      </x:c>
      <x:c r="P2101" s="66" t="str">
        <x:v>Kota Semarang</x:v>
      </x:c>
      <x:c r="Q2101" s="66" t="str">
        <x:v>https://snpmb.id/snbp/daya-tampung-snbp</x:v>
      </x:c>
      <x:c r="R2101" s="66" t="str">
        <x:v>https://sidatagrun-public-1076756628210.asia-southeast2.run.app/ptn_sn.php?ptn=355</x:v>
      </x:c>
    </x:row>
    <x:row r="2102">
      <x:c r="A2102" s="87" t="n">
        <x:v>476</x:v>
      </x:c>
      <x:c r="B2102" s="66" t="n">
        <x:v>355</x:v>
      </x:c>
      <x:c r="C2102" s="66" t="str">
        <x:v>UNIVERSITAS DIPONEGORO</x:v>
      </x:c>
      <x:c r="D2102" s="66" t="str">
        <x:v>PTN Akademik</x:v>
      </x:c>
      <x:c r="E2102" s="66" t="str">
        <x:v>13551017</x:v>
      </x:c>
      <x:c r="F2102" s="66" t="str">
        <x:v>TEKNIK SIPIL</x:v>
      </x:c>
      <x:c r="G2102" s="66" t="str">
        <x:v>Sarjana</x:v>
      </x:c>
      <x:c r="H2102" s="87" t="n">
        <x:v>50</x:v>
      </x:c>
      <x:c r="I2102" s="87" t="n">
        <x:v>999</x:v>
      </x:c>
      <x:c r="J2102" s="68" t="n">
        <x:f>IFERROR(H2102/I2102,"")</x:f>
        <x:v>0.05005005005005005</x:v>
      </x:c>
      <x:c r="K2102" s="69" t="n">
        <x:f>IFERROR(I2102/H2102,"")</x:f>
        <x:v>19.98</x:v>
      </x:c>
      <x:c r="L2102" s="66" t="str">
        <x:f>IF(K2102="","","1 : "&amp;TEXT(K2102,"0.0"))</x:f>
        <x:v>1 : 20.0</x:v>
      </x:c>
      <x:c r="M2102" s="66" t="str">
        <x:f>IF(J2102="","Baru/Tanpa Data",IF(J2102&lt;='Catatan &amp; Sumber'!$B$14,"Sangat Ketat",IF(J2102&lt;='Catatan &amp; Sumber'!$B$15,"Ketat",IF(J2102&lt;='Catatan &amp; Sumber'!$B$16,"Sedang","Relatif Longgar"))))</x:f>
        <x:v>Sedang</x:v>
      </x:c>
      <x:c r="N2102" s="66" t="str">
        <x:v>Tidak Ada</x:v>
      </x:c>
      <x:c r="O2102" s="66" t="str">
        <x:v>Jawa Tengah</x:v>
      </x:c>
      <x:c r="P2102" s="66" t="str">
        <x:v>Kota Semarang</x:v>
      </x:c>
      <x:c r="Q2102" s="66" t="str">
        <x:v>https://snpmb.id/snbp/daya-tampung-snbp</x:v>
      </x:c>
      <x:c r="R2102" s="66" t="str">
        <x:v>https://sidatagrun-public-1076756628210.asia-southeast2.run.app/ptn_sn.php?ptn=355</x:v>
      </x:c>
    </x:row>
    <x:row r="2103">
      <x:c r="A2103" s="87" t="n">
        <x:v>820</x:v>
      </x:c>
      <x:c r="B2103" s="66" t="n">
        <x:v>355</x:v>
      </x:c>
      <x:c r="C2103" s="66" t="str">
        <x:v>UNIVERSITAS DIPONEGORO</x:v>
      </x:c>
      <x:c r="D2103" s="66" t="str">
        <x:v>PTN Akademik</x:v>
      </x:c>
      <x:c r="E2103" s="66" t="str">
        <x:v>13551018</x:v>
      </x:c>
      <x:c r="F2103" s="66" t="str">
        <x:v>ARSITEKTUR</x:v>
      </x:c>
      <x:c r="G2103" s="66" t="str">
        <x:v>Sarjana</x:v>
      </x:c>
      <x:c r="H2103" s="87" t="n">
        <x:v>44</x:v>
      </x:c>
      <x:c r="I2103" s="87" t="n">
        <x:v>651</x:v>
      </x:c>
      <x:c r="J2103" s="68" t="n">
        <x:f>IFERROR(H2103/I2103,"")</x:f>
        <x:v>0.06758832565284179</x:v>
      </x:c>
      <x:c r="K2103" s="69" t="n">
        <x:f>IFERROR(I2103/H2103,"")</x:f>
        <x:v>14.795454545454545</x:v>
      </x:c>
      <x:c r="L2103" s="66" t="str">
        <x:f>IF(K2103="","","1 : "&amp;TEXT(K2103,"0.0"))</x:f>
        <x:v>1 : 14.8</x:v>
      </x:c>
      <x:c r="M2103" s="66" t="str">
        <x:f>IF(J2103="","Baru/Tanpa Data",IF(J2103&lt;='Catatan &amp; Sumber'!$B$14,"Sangat Ketat",IF(J2103&lt;='Catatan &amp; Sumber'!$B$15,"Ketat",IF(J2103&lt;='Catatan &amp; Sumber'!$B$16,"Sedang","Relatif Longgar"))))</x:f>
        <x:v>Sedang</x:v>
      </x:c>
      <x:c r="N2103" s="66" t="str">
        <x:v>Tidak Ada</x:v>
      </x:c>
      <x:c r="O2103" s="66" t="str">
        <x:v>Jawa Tengah</x:v>
      </x:c>
      <x:c r="P2103" s="66" t="str">
        <x:v>Kota Semarang</x:v>
      </x:c>
      <x:c r="Q2103" s="66" t="str">
        <x:v>https://snpmb.id/snbp/daya-tampung-snbp</x:v>
      </x:c>
      <x:c r="R2103" s="66" t="str">
        <x:v>https://sidatagrun-public-1076756628210.asia-southeast2.run.app/ptn_sn.php?ptn=355</x:v>
      </x:c>
    </x:row>
    <x:row r="2104">
      <x:c r="A2104" s="87" t="n">
        <x:v>544</x:v>
      </x:c>
      <x:c r="B2104" s="66" t="n">
        <x:v>355</x:v>
      </x:c>
      <x:c r="C2104" s="66" t="str">
        <x:v>UNIVERSITAS DIPONEGORO</x:v>
      </x:c>
      <x:c r="D2104" s="66" t="str">
        <x:v>PTN Akademik</x:v>
      </x:c>
      <x:c r="E2104" s="66" t="str">
        <x:v>13551019</x:v>
      </x:c>
      <x:c r="F2104" s="66" t="str">
        <x:v>TEKNIK MESIN</x:v>
      </x:c>
      <x:c r="G2104" s="66" t="str">
        <x:v>Sarjana</x:v>
      </x:c>
      <x:c r="H2104" s="87" t="n">
        <x:v>46</x:v>
      </x:c>
      <x:c r="I2104" s="87" t="n">
        <x:v>854</x:v>
      </x:c>
      <x:c r="J2104" s="68" t="n">
        <x:f>IFERROR(H2104/I2104,"")</x:f>
        <x:v>0.053864168618266976</x:v>
      </x:c>
      <x:c r="K2104" s="69" t="n">
        <x:f>IFERROR(I2104/H2104,"")</x:f>
        <x:v>18.565217391304348</x:v>
      </x:c>
      <x:c r="L2104" s="66" t="str">
        <x:f>IF(K2104="","","1 : "&amp;TEXT(K2104,"0.0"))</x:f>
        <x:v>1 : 18.6</x:v>
      </x:c>
      <x:c r="M2104" s="66" t="str">
        <x:f>IF(J2104="","Baru/Tanpa Data",IF(J2104&lt;='Catatan &amp; Sumber'!$B$14,"Sangat Ketat",IF(J2104&lt;='Catatan &amp; Sumber'!$B$15,"Ketat",IF(J2104&lt;='Catatan &amp; Sumber'!$B$16,"Sedang","Relatif Longgar"))))</x:f>
        <x:v>Sedang</x:v>
      </x:c>
      <x:c r="N2104" s="66" t="str">
        <x:v>Tidak Ada</x:v>
      </x:c>
      <x:c r="O2104" s="66" t="str">
        <x:v>Jawa Tengah</x:v>
      </x:c>
      <x:c r="P2104" s="66" t="str">
        <x:v>Kota Semarang</x:v>
      </x:c>
      <x:c r="Q2104" s="66" t="str">
        <x:v>https://snpmb.id/snbp/daya-tampung-snbp</x:v>
      </x:c>
      <x:c r="R2104" s="66" t="str">
        <x:v>https://sidatagrun-public-1076756628210.asia-southeast2.run.app/ptn_sn.php?ptn=355</x:v>
      </x:c>
    </x:row>
    <x:row r="2105">
      <x:c r="A2105" s="87" t="n">
        <x:v>825</x:v>
      </x:c>
      <x:c r="B2105" s="66" t="n">
        <x:v>355</x:v>
      </x:c>
      <x:c r="C2105" s="66" t="str">
        <x:v>UNIVERSITAS DIPONEGORO</x:v>
      </x:c>
      <x:c r="D2105" s="66" t="str">
        <x:v>PTN Akademik</x:v>
      </x:c>
      <x:c r="E2105" s="66" t="str">
        <x:v>13551020</x:v>
      </x:c>
      <x:c r="F2105" s="66" t="str">
        <x:v>TEKNIK KIMIA</x:v>
      </x:c>
      <x:c r="G2105" s="66" t="str">
        <x:v>Sarjana</x:v>
      </x:c>
      <x:c r="H2105" s="87" t="n">
        <x:v>50</x:v>
      </x:c>
      <x:c r="I2105" s="87" t="n">
        <x:v>736</x:v>
      </x:c>
      <x:c r="J2105" s="68" t="n">
        <x:f>IFERROR(H2105/I2105,"")</x:f>
        <x:v>0.06793478260869565</x:v>
      </x:c>
      <x:c r="K2105" s="69" t="n">
        <x:f>IFERROR(I2105/H2105,"")</x:f>
        <x:v>14.72</x:v>
      </x:c>
      <x:c r="L2105" s="66" t="str">
        <x:f>IF(K2105="","","1 : "&amp;TEXT(K2105,"0.0"))</x:f>
        <x:v>1 : 14.7</x:v>
      </x:c>
      <x:c r="M2105" s="66" t="str">
        <x:f>IF(J2105="","Baru/Tanpa Data",IF(J2105&lt;='Catatan &amp; Sumber'!$B$14,"Sangat Ketat",IF(J2105&lt;='Catatan &amp; Sumber'!$B$15,"Ketat",IF(J2105&lt;='Catatan &amp; Sumber'!$B$16,"Sedang","Relatif Longgar"))))</x:f>
        <x:v>Sedang</x:v>
      </x:c>
      <x:c r="N2105" s="66" t="str">
        <x:v>Tidak Ada</x:v>
      </x:c>
      <x:c r="O2105" s="66" t="str">
        <x:v>Jawa Tengah</x:v>
      </x:c>
      <x:c r="P2105" s="66" t="str">
        <x:v>Kota Semarang</x:v>
      </x:c>
      <x:c r="Q2105" s="66" t="str">
        <x:v>https://snpmb.id/snbp/daya-tampung-snbp</x:v>
      </x:c>
      <x:c r="R2105" s="66" t="str">
        <x:v>https://sidatagrun-public-1076756628210.asia-southeast2.run.app/ptn_sn.php?ptn=355</x:v>
      </x:c>
    </x:row>
    <x:row r="2106">
      <x:c r="A2106" s="87" t="n">
        <x:v>768</x:v>
      </x:c>
      <x:c r="B2106" s="66" t="n">
        <x:v>355</x:v>
      </x:c>
      <x:c r="C2106" s="66" t="str">
        <x:v>UNIVERSITAS DIPONEGORO</x:v>
      </x:c>
      <x:c r="D2106" s="66" t="str">
        <x:v>PTN Akademik</x:v>
      </x:c>
      <x:c r="E2106" s="66" t="str">
        <x:v>13551021</x:v>
      </x:c>
      <x:c r="F2106" s="66" t="str">
        <x:v>TEKNIK ELEKTRO</x:v>
      </x:c>
      <x:c r="G2106" s="66" t="str">
        <x:v>Sarjana</x:v>
      </x:c>
      <x:c r="H2106" s="87" t="n">
        <x:v>46</x:v>
      </x:c>
      <x:c r="I2106" s="87" t="n">
        <x:v>704</x:v>
      </x:c>
      <x:c r="J2106" s="68" t="n">
        <x:f>IFERROR(H2106/I2106,"")</x:f>
        <x:v>0.06534090909090909</x:v>
      </x:c>
      <x:c r="K2106" s="69" t="n">
        <x:f>IFERROR(I2106/H2106,"")</x:f>
        <x:v>15.304347826086957</x:v>
      </x:c>
      <x:c r="L2106" s="66" t="str">
        <x:f>IF(K2106="","","1 : "&amp;TEXT(K2106,"0.0"))</x:f>
        <x:v>1 : 15.3</x:v>
      </x:c>
      <x:c r="M2106" s="66" t="str">
        <x:f>IF(J2106="","Baru/Tanpa Data",IF(J2106&lt;='Catatan &amp; Sumber'!$B$14,"Sangat Ketat",IF(J2106&lt;='Catatan &amp; Sumber'!$B$15,"Ketat",IF(J2106&lt;='Catatan &amp; Sumber'!$B$16,"Sedang","Relatif Longgar"))))</x:f>
        <x:v>Sedang</x:v>
      </x:c>
      <x:c r="N2106" s="66" t="str">
        <x:v>Tidak Ada</x:v>
      </x:c>
      <x:c r="O2106" s="66" t="str">
        <x:v>Jawa Tengah</x:v>
      </x:c>
      <x:c r="P2106" s="66" t="str">
        <x:v>Kota Semarang</x:v>
      </x:c>
      <x:c r="Q2106" s="66" t="str">
        <x:v>https://snpmb.id/snbp/daya-tampung-snbp</x:v>
      </x:c>
      <x:c r="R2106" s="66" t="str">
        <x:v>https://sidatagrun-public-1076756628210.asia-southeast2.run.app/ptn_sn.php?ptn=355</x:v>
      </x:c>
    </x:row>
    <x:row r="2107">
      <x:c r="A2107" s="87" t="n">
        <x:v>1043</x:v>
      </x:c>
      <x:c r="B2107" s="66" t="n">
        <x:v>355</x:v>
      </x:c>
      <x:c r="C2107" s="66" t="str">
        <x:v>UNIVERSITAS DIPONEGORO</x:v>
      </x:c>
      <x:c r="D2107" s="66" t="str">
        <x:v>PTN Akademik</x:v>
      </x:c>
      <x:c r="E2107" s="66" t="str">
        <x:v>13551022</x:v>
      </x:c>
      <x:c r="F2107" s="66" t="str">
        <x:v>PERENCANAAN WILAYAH DAN KOTA</x:v>
      </x:c>
      <x:c r="G2107" s="66" t="str">
        <x:v>Sarjana</x:v>
      </x:c>
      <x:c r="H2107" s="87" t="n">
        <x:v>50</x:v>
      </x:c>
      <x:c r="I2107" s="87" t="n">
        <x:v>621</x:v>
      </x:c>
      <x:c r="J2107" s="68" t="n">
        <x:f>IFERROR(H2107/I2107,"")</x:f>
        <x:v>0.08051529790660225</x:v>
      </x:c>
      <x:c r="K2107" s="69" t="n">
        <x:f>IFERROR(I2107/H2107,"")</x:f>
        <x:v>12.42</x:v>
      </x:c>
      <x:c r="L2107" s="66" t="str">
        <x:f>IF(K2107="","","1 : "&amp;TEXT(K2107,"0.0"))</x:f>
        <x:v>1 : 12.4</x:v>
      </x:c>
      <x:c r="M2107" s="66" t="str">
        <x:f>IF(J2107="","Baru/Tanpa Data",IF(J2107&lt;='Catatan &amp; Sumber'!$B$14,"Sangat Ketat",IF(J2107&lt;='Catatan &amp; Sumber'!$B$15,"Ketat",IF(J2107&lt;='Catatan &amp; Sumber'!$B$16,"Sedang","Relatif Longgar"))))</x:f>
        <x:v>Sedang</x:v>
      </x:c>
      <x:c r="N2107" s="66" t="str">
        <x:v>Tidak Ada</x:v>
      </x:c>
      <x:c r="O2107" s="66" t="str">
        <x:v>Jawa Tengah</x:v>
      </x:c>
      <x:c r="P2107" s="66" t="str">
        <x:v>Kota Semarang</x:v>
      </x:c>
      <x:c r="Q2107" s="66" t="str">
        <x:v>https://snpmb.id/snbp/daya-tampung-snbp</x:v>
      </x:c>
      <x:c r="R2107" s="66" t="str">
        <x:v>https://sidatagrun-public-1076756628210.asia-southeast2.run.app/ptn_sn.php?ptn=355</x:v>
      </x:c>
    </x:row>
    <x:row r="2108">
      <x:c r="A2108" s="87" t="n">
        <x:v>250</x:v>
      </x:c>
      <x:c r="B2108" s="66" t="n">
        <x:v>355</x:v>
      </x:c>
      <x:c r="C2108" s="66" t="str">
        <x:v>UNIVERSITAS DIPONEGORO</x:v>
      </x:c>
      <x:c r="D2108" s="66" t="str">
        <x:v>PTN Akademik</x:v>
      </x:c>
      <x:c r="E2108" s="66" t="str">
        <x:v>13551023</x:v>
      </x:c>
      <x:c r="F2108" s="66" t="str">
        <x:v>TEKNIK INDUSTRI</x:v>
      </x:c>
      <x:c r="G2108" s="66" t="str">
        <x:v>Sarjana</x:v>
      </x:c>
      <x:c r="H2108" s="87" t="n">
        <x:v>48</x:v>
      </x:c>
      <x:c r="I2108" s="87" t="n">
        <x:v>1211</x:v>
      </x:c>
      <x:c r="J2108" s="68" t="n">
        <x:f>IFERROR(H2108/I2108,"")</x:f>
        <x:v>0.03963666391412056</x:v>
      </x:c>
      <x:c r="K2108" s="69" t="n">
        <x:f>IFERROR(I2108/H2108,"")</x:f>
        <x:v>25.229166666666668</x:v>
      </x:c>
      <x:c r="L2108" s="66" t="str">
        <x:f>IF(K2108="","","1 : "&amp;TEXT(K2108,"0.0"))</x:f>
        <x:v>1 : 25.2</x:v>
      </x:c>
      <x:c r="M2108" s="66" t="str">
        <x:f>IF(J2108="","Baru/Tanpa Data",IF(J2108&lt;='Catatan &amp; Sumber'!$B$14,"Sangat Ketat",IF(J2108&lt;='Catatan &amp; Sumber'!$B$15,"Ketat",IF(J2108&lt;='Catatan &amp; Sumber'!$B$16,"Sedang","Relatif Longgar"))))</x:f>
        <x:v>Ketat</x:v>
      </x:c>
      <x:c r="N2108" s="66" t="str">
        <x:v>Tidak Ada</x:v>
      </x:c>
      <x:c r="O2108" s="66" t="str">
        <x:v>Jawa Tengah</x:v>
      </x:c>
      <x:c r="P2108" s="66" t="str">
        <x:v>Kota Semarang</x:v>
      </x:c>
      <x:c r="Q2108" s="66" t="str">
        <x:v>https://snpmb.id/snbp/daya-tampung-snbp</x:v>
      </x:c>
      <x:c r="R2108" s="66" t="str">
        <x:v>https://sidatagrun-public-1076756628210.asia-southeast2.run.app/ptn_sn.php?ptn=355</x:v>
      </x:c>
    </x:row>
    <x:row r="2109">
      <x:c r="A2109" s="87" t="n">
        <x:v>596</x:v>
      </x:c>
      <x:c r="B2109" s="66" t="n">
        <x:v>355</x:v>
      </x:c>
      <x:c r="C2109" s="66" t="str">
        <x:v>UNIVERSITAS DIPONEGORO</x:v>
      </x:c>
      <x:c r="D2109" s="66" t="str">
        <x:v>PTN Akademik</x:v>
      </x:c>
      <x:c r="E2109" s="66" t="str">
        <x:v>13551024</x:v>
      </x:c>
      <x:c r="F2109" s="66" t="str">
        <x:v>TEKNIK LINGKUNGAN</x:v>
      </x:c>
      <x:c r="G2109" s="66" t="str">
        <x:v>Sarjana</x:v>
      </x:c>
      <x:c r="H2109" s="87" t="n">
        <x:v>44</x:v>
      </x:c>
      <x:c r="I2109" s="87" t="n">
        <x:v>768</x:v>
      </x:c>
      <x:c r="J2109" s="68" t="n">
        <x:f>IFERROR(H2109/I2109,"")</x:f>
        <x:v>0.057291666666666664</x:v>
      </x:c>
      <x:c r="K2109" s="69" t="n">
        <x:f>IFERROR(I2109/H2109,"")</x:f>
        <x:v>17.454545454545453</x:v>
      </x:c>
      <x:c r="L2109" s="66" t="str">
        <x:f>IF(K2109="","","1 : "&amp;TEXT(K2109,"0.0"))</x:f>
        <x:v>1 : 17.5</x:v>
      </x:c>
      <x:c r="M2109" s="66" t="str">
        <x:f>IF(J2109="","Baru/Tanpa Data",IF(J2109&lt;='Catatan &amp; Sumber'!$B$14,"Sangat Ketat",IF(J2109&lt;='Catatan &amp; Sumber'!$B$15,"Ketat",IF(J2109&lt;='Catatan &amp; Sumber'!$B$16,"Sedang","Relatif Longgar"))))</x:f>
        <x:v>Sedang</x:v>
      </x:c>
      <x:c r="N2109" s="66" t="str">
        <x:v>Tidak Ada</x:v>
      </x:c>
      <x:c r="O2109" s="66" t="str">
        <x:v>Jawa Tengah</x:v>
      </x:c>
      <x:c r="P2109" s="66" t="str">
        <x:v>Kota Semarang</x:v>
      </x:c>
      <x:c r="Q2109" s="66" t="str">
        <x:v>https://snpmb.id/snbp/daya-tampung-snbp</x:v>
      </x:c>
      <x:c r="R2109" s="66" t="str">
        <x:v>https://sidatagrun-public-1076756628210.asia-southeast2.run.app/ptn_sn.php?ptn=355</x:v>
      </x:c>
    </x:row>
    <x:row r="2110">
      <x:c r="A2110" s="87" t="n">
        <x:v>1530</x:v>
      </x:c>
      <x:c r="B2110" s="66" t="n">
        <x:v>355</x:v>
      </x:c>
      <x:c r="C2110" s="66" t="str">
        <x:v>UNIVERSITAS DIPONEGORO</x:v>
      </x:c>
      <x:c r="D2110" s="66" t="str">
        <x:v>PTN Akademik</x:v>
      </x:c>
      <x:c r="E2110" s="66" t="str">
        <x:v>13551025</x:v>
      </x:c>
      <x:c r="F2110" s="66" t="str">
        <x:v>TEKNIK PERKAPALAN</x:v>
      </x:c>
      <x:c r="G2110" s="66" t="str">
        <x:v>Sarjana</x:v>
      </x:c>
      <x:c r="H2110" s="87" t="n">
        <x:v>42</x:v>
      </x:c>
      <x:c r="I2110" s="87" t="n">
        <x:v>376</x:v>
      </x:c>
      <x:c r="J2110" s="68" t="n">
        <x:f>IFERROR(H2110/I2110,"")</x:f>
        <x:v>0.11170212765957446</x:v>
      </x:c>
      <x:c r="K2110" s="69" t="n">
        <x:f>IFERROR(I2110/H2110,"")</x:f>
        <x:v>8.952380952380953</x:v>
      </x:c>
      <x:c r="L2110" s="66" t="str">
        <x:f>IF(K2110="","","1 : "&amp;TEXT(K2110,"0.0"))</x:f>
        <x:v>1 : 9.0</x:v>
      </x:c>
      <x:c r="M2110" s="66" t="str">
        <x:f>IF(J2110="","Baru/Tanpa Data",IF(J2110&lt;='Catatan &amp; Sumber'!$B$14,"Sangat Ketat",IF(J2110&lt;='Catatan &amp; Sumber'!$B$15,"Ketat",IF(J2110&lt;='Catatan &amp; Sumber'!$B$16,"Sedang","Relatif Longgar"))))</x:f>
        <x:v>Relatif Longgar</x:v>
      </x:c>
      <x:c r="N2110" s="66" t="str">
        <x:v>Tidak Ada</x:v>
      </x:c>
      <x:c r="O2110" s="66" t="str">
        <x:v>Jawa Tengah</x:v>
      </x:c>
      <x:c r="P2110" s="66" t="str">
        <x:v>Kota Semarang</x:v>
      </x:c>
      <x:c r="Q2110" s="66" t="str">
        <x:v>https://snpmb.id/snbp/daya-tampung-snbp</x:v>
      </x:c>
      <x:c r="R2110" s="66" t="str">
        <x:v>https://sidatagrun-public-1076756628210.asia-southeast2.run.app/ptn_sn.php?ptn=355</x:v>
      </x:c>
    </x:row>
    <x:row r="2111">
      <x:c r="A2111" s="87" t="n">
        <x:v>457</x:v>
      </x:c>
      <x:c r="B2111" s="66" t="n">
        <x:v>355</x:v>
      </x:c>
      <x:c r="C2111" s="66" t="str">
        <x:v>UNIVERSITAS DIPONEGORO</x:v>
      </x:c>
      <x:c r="D2111" s="66" t="str">
        <x:v>PTN Akademik</x:v>
      </x:c>
      <x:c r="E2111" s="66" t="str">
        <x:v>13551026</x:v>
      </x:c>
      <x:c r="F2111" s="66" t="str">
        <x:v>TEKNIK GEOLOGI</x:v>
      </x:c>
      <x:c r="G2111" s="66" t="str">
        <x:v>Sarjana</x:v>
      </x:c>
      <x:c r="H2111" s="87" t="n">
        <x:v>38</x:v>
      </x:c>
      <x:c r="I2111" s="87" t="n">
        <x:v>771</x:v>
      </x:c>
      <x:c r="J2111" s="68" t="n">
        <x:f>IFERROR(H2111/I2111,"")</x:f>
        <x:v>0.04928664072632944</x:v>
      </x:c>
      <x:c r="K2111" s="69" t="n">
        <x:f>IFERROR(I2111/H2111,"")</x:f>
        <x:v>20.289473684210527</x:v>
      </x:c>
      <x:c r="L2111" s="66" t="str">
        <x:f>IF(K2111="","","1 : "&amp;TEXT(K2111,"0.0"))</x:f>
        <x:v>1 : 20.3</x:v>
      </x:c>
      <x:c r="M2111" s="66" t="str">
        <x:f>IF(J2111="","Baru/Tanpa Data",IF(J2111&lt;='Catatan &amp; Sumber'!$B$14,"Sangat Ketat",IF(J2111&lt;='Catatan &amp; Sumber'!$B$15,"Ketat",IF(J2111&lt;='Catatan &amp; Sumber'!$B$16,"Sedang","Relatif Longgar"))))</x:f>
        <x:v>Ketat</x:v>
      </x:c>
      <x:c r="N2111" s="66" t="str">
        <x:v>Tidak Ada</x:v>
      </x:c>
      <x:c r="O2111" s="66" t="str">
        <x:v>Jawa Tengah</x:v>
      </x:c>
      <x:c r="P2111" s="66" t="str">
        <x:v>Kota Semarang</x:v>
      </x:c>
      <x:c r="Q2111" s="66" t="str">
        <x:v>https://snpmb.id/snbp/daya-tampung-snbp</x:v>
      </x:c>
      <x:c r="R2111" s="66" t="str">
        <x:v>https://sidatagrun-public-1076756628210.asia-southeast2.run.app/ptn_sn.php?ptn=355</x:v>
      </x:c>
    </x:row>
    <x:row r="2112">
      <x:c r="A2112" s="87" t="n">
        <x:v>1104</x:v>
      </x:c>
      <x:c r="B2112" s="66" t="n">
        <x:v>355</x:v>
      </x:c>
      <x:c r="C2112" s="66" t="str">
        <x:v>UNIVERSITAS DIPONEGORO</x:v>
      </x:c>
      <x:c r="D2112" s="66" t="str">
        <x:v>PTN Akademik</x:v>
      </x:c>
      <x:c r="E2112" s="66" t="str">
        <x:v>13551027</x:v>
      </x:c>
      <x:c r="F2112" s="66" t="str">
        <x:v>TEKNIK GEODESI</x:v>
      </x:c>
      <x:c r="G2112" s="66" t="str">
        <x:v>Sarjana</x:v>
      </x:c>
      <x:c r="H2112" s="87" t="n">
        <x:v>40</x:v>
      </x:c>
      <x:c r="I2112" s="87" t="n">
        <x:v>476</x:v>
      </x:c>
      <x:c r="J2112" s="68" t="n">
        <x:f>IFERROR(H2112/I2112,"")</x:f>
        <x:v>0.08403361344537816</x:v>
      </x:c>
      <x:c r="K2112" s="69" t="n">
        <x:f>IFERROR(I2112/H2112,"")</x:f>
        <x:v>11.9</x:v>
      </x:c>
      <x:c r="L2112" s="66" t="str">
        <x:f>IF(K2112="","","1 : "&amp;TEXT(K2112,"0.0"))</x:f>
        <x:v>1 : 11.9</x:v>
      </x:c>
      <x:c r="M2112" s="66" t="str">
        <x:f>IF(J2112="","Baru/Tanpa Data",IF(J2112&lt;='Catatan &amp; Sumber'!$B$14,"Sangat Ketat",IF(J2112&lt;='Catatan &amp; Sumber'!$B$15,"Ketat",IF(J2112&lt;='Catatan &amp; Sumber'!$B$16,"Sedang","Relatif Longgar"))))</x:f>
        <x:v>Sedang</x:v>
      </x:c>
      <x:c r="N2112" s="66" t="str">
        <x:v>Tidak Ada</x:v>
      </x:c>
      <x:c r="O2112" s="66" t="str">
        <x:v>Jawa Tengah</x:v>
      </x:c>
      <x:c r="P2112" s="66" t="str">
        <x:v>Kota Semarang</x:v>
      </x:c>
      <x:c r="Q2112" s="66" t="str">
        <x:v>https://snpmb.id/snbp/daya-tampung-snbp</x:v>
      </x:c>
      <x:c r="R2112" s="66" t="str">
        <x:v>https://sidatagrun-public-1076756628210.asia-southeast2.run.app/ptn_sn.php?ptn=355</x:v>
      </x:c>
    </x:row>
    <x:row r="2113">
      <x:c r="A2113" s="87" t="n">
        <x:v>543</x:v>
      </x:c>
      <x:c r="B2113" s="66" t="n">
        <x:v>355</x:v>
      </x:c>
      <x:c r="C2113" s="66" t="str">
        <x:v>UNIVERSITAS DIPONEGORO</x:v>
      </x:c>
      <x:c r="D2113" s="66" t="str">
        <x:v>PTN Akademik</x:v>
      </x:c>
      <x:c r="E2113" s="66" t="str">
        <x:v>13551028</x:v>
      </x:c>
      <x:c r="F2113" s="66" t="str">
        <x:v>TEKNIK KOMPUTER</x:v>
      </x:c>
      <x:c r="G2113" s="66" t="str">
        <x:v>Sarjana</x:v>
      </x:c>
      <x:c r="H2113" s="87" t="n">
        <x:v>42</x:v>
      </x:c>
      <x:c r="I2113" s="87" t="n">
        <x:v>780</x:v>
      </x:c>
      <x:c r="J2113" s="68" t="n">
        <x:f>IFERROR(H2113/I2113,"")</x:f>
        <x:v>0.05384615384615385</x:v>
      </x:c>
      <x:c r="K2113" s="69" t="n">
        <x:f>IFERROR(I2113/H2113,"")</x:f>
        <x:v>18.571428571428573</x:v>
      </x:c>
      <x:c r="L2113" s="66" t="str">
        <x:f>IF(K2113="","","1 : "&amp;TEXT(K2113,"0.0"))</x:f>
        <x:v>1 : 18.6</x:v>
      </x:c>
      <x:c r="M2113" s="66" t="str">
        <x:f>IF(J2113="","Baru/Tanpa Data",IF(J2113&lt;='Catatan &amp; Sumber'!$B$14,"Sangat Ketat",IF(J2113&lt;='Catatan &amp; Sumber'!$B$15,"Ketat",IF(J2113&lt;='Catatan &amp; Sumber'!$B$16,"Sedang","Relatif Longgar"))))</x:f>
        <x:v>Sedang</x:v>
      </x:c>
      <x:c r="N2113" s="66" t="str">
        <x:v>Tidak Ada</x:v>
      </x:c>
      <x:c r="O2113" s="66" t="str">
        <x:v>Jawa Tengah</x:v>
      </x:c>
      <x:c r="P2113" s="66" t="str">
        <x:v>Kota Semarang</x:v>
      </x:c>
      <x:c r="Q2113" s="66" t="str">
        <x:v>https://snpmb.id/snbp/daya-tampung-snbp</x:v>
      </x:c>
      <x:c r="R2113" s="66" t="str">
        <x:v>https://sidatagrun-public-1076756628210.asia-southeast2.run.app/ptn_sn.php?ptn=355</x:v>
      </x:c>
    </x:row>
    <x:row r="2114">
      <x:c r="A2114" s="87" t="n">
        <x:v>1778</x:v>
      </x:c>
      <x:c r="B2114" s="66" t="n">
        <x:v>355</x:v>
      </x:c>
      <x:c r="C2114" s="66" t="str">
        <x:v>UNIVERSITAS DIPONEGORO</x:v>
      </x:c>
      <x:c r="D2114" s="66" t="str">
        <x:v>PTN Akademik</x:v>
      </x:c>
      <x:c r="E2114" s="66" t="str">
        <x:v>13551029</x:v>
      </x:c>
      <x:c r="F2114" s="66" t="str">
        <x:v>PETERNAKAN</x:v>
      </x:c>
      <x:c r="G2114" s="66" t="str">
        <x:v>Sarjana</x:v>
      </x:c>
      <x:c r="H2114" s="87" t="n">
        <x:v>70</x:v>
      </x:c>
      <x:c r="I2114" s="87" t="n">
        <x:v>536</x:v>
      </x:c>
      <x:c r="J2114" s="68" t="n">
        <x:f>IFERROR(H2114/I2114,"")</x:f>
        <x:v>0.13059701492537312</x:v>
      </x:c>
      <x:c r="K2114" s="69" t="n">
        <x:f>IFERROR(I2114/H2114,"")</x:f>
        <x:v>7.6571428571428575</x:v>
      </x:c>
      <x:c r="L2114" s="66" t="str">
        <x:f>IF(K2114="","","1 : "&amp;TEXT(K2114,"0.0"))</x:f>
        <x:v>1 : 7.7</x:v>
      </x:c>
      <x:c r="M2114" s="66" t="str">
        <x:f>IF(J2114="","Baru/Tanpa Data",IF(J2114&lt;='Catatan &amp; Sumber'!$B$14,"Sangat Ketat",IF(J2114&lt;='Catatan &amp; Sumber'!$B$15,"Ketat",IF(J2114&lt;='Catatan &amp; Sumber'!$B$16,"Sedang","Relatif Longgar"))))</x:f>
        <x:v>Relatif Longgar</x:v>
      </x:c>
      <x:c r="N2114" s="66" t="str">
        <x:v>Tidak Ada</x:v>
      </x:c>
      <x:c r="O2114" s="66" t="str">
        <x:v>Jawa Tengah</x:v>
      </x:c>
      <x:c r="P2114" s="66" t="str">
        <x:v>Kota Semarang</x:v>
      </x:c>
      <x:c r="Q2114" s="66" t="str">
        <x:v>https://snpmb.id/snbp/daya-tampung-snbp</x:v>
      </x:c>
      <x:c r="R2114" s="66" t="str">
        <x:v>https://sidatagrun-public-1076756628210.asia-southeast2.run.app/ptn_sn.php?ptn=355</x:v>
      </x:c>
    </x:row>
    <x:row r="2115">
      <x:c r="A2115" s="87" t="n">
        <x:v>466</x:v>
      </x:c>
      <x:c r="B2115" s="66" t="n">
        <x:v>355</x:v>
      </x:c>
      <x:c r="C2115" s="66" t="str">
        <x:v>UNIVERSITAS DIPONEGORO</x:v>
      </x:c>
      <x:c r="D2115" s="66" t="str">
        <x:v>PTN Akademik</x:v>
      </x:c>
      <x:c r="E2115" s="66" t="str">
        <x:v>13551030</x:v>
      </x:c>
      <x:c r="F2115" s="66" t="str">
        <x:v>TEKNOLOGI PANGAN</x:v>
      </x:c>
      <x:c r="G2115" s="66" t="str">
        <x:v>Sarjana</x:v>
      </x:c>
      <x:c r="H2115" s="87" t="n">
        <x:v>48</x:v>
      </x:c>
      <x:c r="I2115" s="87" t="n">
        <x:v>967</x:v>
      </x:c>
      <x:c r="J2115" s="68" t="n">
        <x:f>IFERROR(H2115/I2115,"")</x:f>
        <x:v>0.04963805584281282</x:v>
      </x:c>
      <x:c r="K2115" s="69" t="n">
        <x:f>IFERROR(I2115/H2115,"")</x:f>
        <x:v>20.145833333333332</x:v>
      </x:c>
      <x:c r="L2115" s="66" t="str">
        <x:f>IF(K2115="","","1 : "&amp;TEXT(K2115,"0.0"))</x:f>
        <x:v>1 : 20.1</x:v>
      </x:c>
      <x:c r="M2115" s="66" t="str">
        <x:f>IF(J2115="","Baru/Tanpa Data",IF(J2115&lt;='Catatan &amp; Sumber'!$B$14,"Sangat Ketat",IF(J2115&lt;='Catatan &amp; Sumber'!$B$15,"Ketat",IF(J2115&lt;='Catatan &amp; Sumber'!$B$16,"Sedang","Relatif Longgar"))))</x:f>
        <x:v>Ketat</x:v>
      </x:c>
      <x:c r="N2115" s="66" t="str">
        <x:v>Tidak Ada</x:v>
      </x:c>
      <x:c r="O2115" s="66" t="str">
        <x:v>Jawa Tengah</x:v>
      </x:c>
      <x:c r="P2115" s="66" t="str">
        <x:v>Kota Semarang</x:v>
      </x:c>
      <x:c r="Q2115" s="66" t="str">
        <x:v>https://snpmb.id/snbp/daya-tampung-snbp</x:v>
      </x:c>
      <x:c r="R2115" s="66" t="str">
        <x:v>https://sidatagrun-public-1076756628210.asia-southeast2.run.app/ptn_sn.php?ptn=355</x:v>
      </x:c>
    </x:row>
    <x:row r="2116">
      <x:c r="A2116" s="87" t="n">
        <x:v>1026</x:v>
      </x:c>
      <x:c r="B2116" s="66" t="n">
        <x:v>355</x:v>
      </x:c>
      <x:c r="C2116" s="66" t="str">
        <x:v>UNIVERSITAS DIPONEGORO</x:v>
      </x:c>
      <x:c r="D2116" s="66" t="str">
        <x:v>PTN Akademik</x:v>
      </x:c>
      <x:c r="E2116" s="66" t="str">
        <x:v>13551031</x:v>
      </x:c>
      <x:c r="F2116" s="66" t="str">
        <x:v>AGROEKOTEKNOLOGI</x:v>
      </x:c>
      <x:c r="G2116" s="66" t="str">
        <x:v>Sarjana</x:v>
      </x:c>
      <x:c r="H2116" s="87" t="n">
        <x:v>44</x:v>
      </x:c>
      <x:c r="I2116" s="87" t="n">
        <x:v>553</x:v>
      </x:c>
      <x:c r="J2116" s="68" t="n">
        <x:f>IFERROR(H2116/I2116,"")</x:f>
        <x:v>0.07956600361663653</x:v>
      </x:c>
      <x:c r="K2116" s="69" t="n">
        <x:f>IFERROR(I2116/H2116,"")</x:f>
        <x:v>12.568181818181818</x:v>
      </x:c>
      <x:c r="L2116" s="66" t="str">
        <x:f>IF(K2116="","","1 : "&amp;TEXT(K2116,"0.0"))</x:f>
        <x:v>1 : 12.6</x:v>
      </x:c>
      <x:c r="M2116" s="66" t="str">
        <x:f>IF(J2116="","Baru/Tanpa Data",IF(J2116&lt;='Catatan &amp; Sumber'!$B$14,"Sangat Ketat",IF(J2116&lt;='Catatan &amp; Sumber'!$B$15,"Ketat",IF(J2116&lt;='Catatan &amp; Sumber'!$B$16,"Sedang","Relatif Longgar"))))</x:f>
        <x:v>Sedang</x:v>
      </x:c>
      <x:c r="N2116" s="66" t="str">
        <x:v>Tidak Ada</x:v>
      </x:c>
      <x:c r="O2116" s="66" t="str">
        <x:v>Jawa Tengah</x:v>
      </x:c>
      <x:c r="P2116" s="66" t="str">
        <x:v>Kota Semarang</x:v>
      </x:c>
      <x:c r="Q2116" s="66" t="str">
        <x:v>https://snpmb.id/snbp/daya-tampung-snbp</x:v>
      </x:c>
      <x:c r="R2116" s="66" t="str">
        <x:v>https://sidatagrun-public-1076756628210.asia-southeast2.run.app/ptn_sn.php?ptn=355</x:v>
      </x:c>
    </x:row>
    <x:row r="2117">
      <x:c r="A2117" s="87" t="n">
        <x:v>957</x:v>
      </x:c>
      <x:c r="B2117" s="66" t="n">
        <x:v>355</x:v>
      </x:c>
      <x:c r="C2117" s="66" t="str">
        <x:v>UNIVERSITAS DIPONEGORO</x:v>
      </x:c>
      <x:c r="D2117" s="66" t="str">
        <x:v>PTN Akademik</x:v>
      </x:c>
      <x:c r="E2117" s="66" t="str">
        <x:v>13551032</x:v>
      </x:c>
      <x:c r="F2117" s="66" t="str">
        <x:v>AGRIBISNIS</x:v>
      </x:c>
      <x:c r="G2117" s="66" t="str">
        <x:v>Sarjana</x:v>
      </x:c>
      <x:c r="H2117" s="87" t="n">
        <x:v>44</x:v>
      </x:c>
      <x:c r="I2117" s="87" t="n">
        <x:v>581</x:v>
      </x:c>
      <x:c r="J2117" s="68" t="n">
        <x:f>IFERROR(H2117/I2117,"")</x:f>
        <x:v>0.0757314974182444</x:v>
      </x:c>
      <x:c r="K2117" s="69" t="n">
        <x:f>IFERROR(I2117/H2117,"")</x:f>
        <x:v>13.204545454545455</x:v>
      </x:c>
      <x:c r="L2117" s="66" t="str">
        <x:f>IF(K2117="","","1 : "&amp;TEXT(K2117,"0.0"))</x:f>
        <x:v>1 : 13.2</x:v>
      </x:c>
      <x:c r="M2117" s="66" t="str">
        <x:f>IF(J2117="","Baru/Tanpa Data",IF(J2117&lt;='Catatan &amp; Sumber'!$B$14,"Sangat Ketat",IF(J2117&lt;='Catatan &amp; Sumber'!$B$15,"Ketat",IF(J2117&lt;='Catatan &amp; Sumber'!$B$16,"Sedang","Relatif Longgar"))))</x:f>
        <x:v>Sedang</x:v>
      </x:c>
      <x:c r="N2117" s="66" t="str">
        <x:v>Tidak Ada</x:v>
      </x:c>
      <x:c r="O2117" s="66" t="str">
        <x:v>Jawa Tengah</x:v>
      </x:c>
      <x:c r="P2117" s="66" t="str">
        <x:v>Kota Semarang</x:v>
      </x:c>
      <x:c r="Q2117" s="66" t="str">
        <x:v>https://snpmb.id/snbp/daya-tampung-snbp</x:v>
      </x:c>
      <x:c r="R2117" s="66" t="str">
        <x:v>https://sidatagrun-public-1076756628210.asia-southeast2.run.app/ptn_sn.php?ptn=355</x:v>
      </x:c>
    </x:row>
    <x:row r="2118">
      <x:c r="A2118" s="87" t="n">
        <x:v>32</x:v>
      </x:c>
      <x:c r="B2118" s="66" t="n">
        <x:v>355</x:v>
      </x:c>
      <x:c r="C2118" s="66" t="str">
        <x:v>UNIVERSITAS DIPONEGORO</x:v>
      </x:c>
      <x:c r="D2118" s="66" t="str">
        <x:v>PTN Akademik</x:v>
      </x:c>
      <x:c r="E2118" s="66" t="str">
        <x:v>13551033</x:v>
      </x:c>
      <x:c r="F2118" s="66" t="str">
        <x:v>KEDOKTERAN GIGI</x:v>
      </x:c>
      <x:c r="G2118" s="66" t="str">
        <x:v>Sarjana</x:v>
      </x:c>
      <x:c r="H2118" s="87" t="n">
        <x:v>12</x:v>
      </x:c>
      <x:c r="I2118" s="87" t="n">
        <x:v>612</x:v>
      </x:c>
      <x:c r="J2118" s="68" t="n">
        <x:f>IFERROR(H2118/I2118,"")</x:f>
        <x:v>0.0196078431372549</x:v>
      </x:c>
      <x:c r="K2118" s="69" t="n">
        <x:f>IFERROR(I2118/H2118,"")</x:f>
        <x:v>51</x:v>
      </x:c>
      <x:c r="L2118" s="66" t="str">
        <x:f>IF(K2118="","","1 : "&amp;TEXT(K2118,"0.0"))</x:f>
        <x:v>1 : 51.0</x:v>
      </x:c>
      <x:c r="M2118" s="66" t="str">
        <x:f>IF(J2118="","Baru/Tanpa Data",IF(J2118&lt;='Catatan &amp; Sumber'!$B$14,"Sangat Ketat",IF(J2118&lt;='Catatan &amp; Sumber'!$B$15,"Ketat",IF(J2118&lt;='Catatan &amp; Sumber'!$B$16,"Sedang","Relatif Longgar"))))</x:f>
        <x:v>Sangat Ketat</x:v>
      </x:c>
      <x:c r="N2118" s="66" t="str">
        <x:v>Tidak Ada</x:v>
      </x:c>
      <x:c r="O2118" s="66" t="str">
        <x:v>Jawa Tengah</x:v>
      </x:c>
      <x:c r="P2118" s="66" t="str">
        <x:v>Kota Semarang</x:v>
      </x:c>
      <x:c r="Q2118" s="66" t="str">
        <x:v>https://snpmb.id/snbp/daya-tampung-snbp</x:v>
      </x:c>
      <x:c r="R2118" s="66" t="str">
        <x:v>https://sidatagrun-public-1076756628210.asia-southeast2.run.app/ptn_sn.php?ptn=355</x:v>
      </x:c>
    </x:row>
    <x:row r="2119">
      <x:c r="A2119" s="87" t="n">
        <x:v>47</x:v>
      </x:c>
      <x:c r="B2119" s="66" t="n">
        <x:v>355</x:v>
      </x:c>
      <x:c r="C2119" s="66" t="str">
        <x:v>UNIVERSITAS DIPONEGORO</x:v>
      </x:c>
      <x:c r="D2119" s="66" t="str">
        <x:v>PTN Akademik</x:v>
      </x:c>
      <x:c r="E2119" s="66" t="str">
        <x:v>13551034</x:v>
      </x:c>
      <x:c r="F2119" s="66" t="str">
        <x:v>FARMASI</x:v>
      </x:c>
      <x:c r="G2119" s="66" t="str">
        <x:v>Sarjana</x:v>
      </x:c>
      <x:c r="H2119" s="87" t="n">
        <x:v>20</x:v>
      </x:c>
      <x:c r="I2119" s="87" t="n">
        <x:v>904</x:v>
      </x:c>
      <x:c r="J2119" s="68" t="n">
        <x:f>IFERROR(H2119/I2119,"")</x:f>
        <x:v>0.022123893805309734</x:v>
      </x:c>
      <x:c r="K2119" s="69" t="n">
        <x:f>IFERROR(I2119/H2119,"")</x:f>
        <x:v>45.2</x:v>
      </x:c>
      <x:c r="L2119" s="66" t="str">
        <x:f>IF(K2119="","","1 : "&amp;TEXT(K2119,"0.0"))</x:f>
        <x:v>1 : 45.2</x:v>
      </x:c>
      <x:c r="M2119" s="66" t="str">
        <x:f>IF(J2119="","Baru/Tanpa Data",IF(J2119&lt;='Catatan &amp; Sumber'!$B$14,"Sangat Ketat",IF(J2119&lt;='Catatan &amp; Sumber'!$B$15,"Ketat",IF(J2119&lt;='Catatan &amp; Sumber'!$B$16,"Sedang","Relatif Longgar"))))</x:f>
        <x:v>Ketat</x:v>
      </x:c>
      <x:c r="N2119" s="66" t="str">
        <x:v>Tidak Ada</x:v>
      </x:c>
      <x:c r="O2119" s="66" t="str">
        <x:v>Jawa Tengah</x:v>
      </x:c>
      <x:c r="P2119" s="66" t="str">
        <x:v>Kota Semarang</x:v>
      </x:c>
      <x:c r="Q2119" s="66" t="str">
        <x:v>https://snpmb.id/snbp/daya-tampung-snbp</x:v>
      </x:c>
      <x:c r="R2119" s="66" t="str">
        <x:v>https://sidatagrun-public-1076756628210.asia-southeast2.run.app/ptn_sn.php?ptn=355</x:v>
      </x:c>
    </x:row>
    <x:row r="2120">
      <x:c r="A2120" s="87" t="n">
        <x:v>580</x:v>
      </x:c>
      <x:c r="B2120" s="66" t="n">
        <x:v>355</x:v>
      </x:c>
      <x:c r="C2120" s="66" t="str">
        <x:v>UNIVERSITAS DIPONEGORO</x:v>
      </x:c>
      <x:c r="D2120" s="66" t="str">
        <x:v>PTN Akademik</x:v>
      </x:c>
      <x:c r="E2120" s="66" t="str">
        <x:v>13551035</x:v>
      </x:c>
      <x:c r="F2120" s="66" t="str">
        <x:v>BIOTEKNOLOGI</x:v>
      </x:c>
      <x:c r="G2120" s="66" t="str">
        <x:v>Sarjana</x:v>
      </x:c>
      <x:c r="H2120" s="87" t="n">
        <x:v>28</x:v>
      </x:c>
      <x:c r="I2120" s="87" t="n">
        <x:v>502</x:v>
      </x:c>
      <x:c r="J2120" s="68" t="n">
        <x:f>IFERROR(H2120/I2120,"")</x:f>
        <x:v>0.055776892430278883</x:v>
      </x:c>
      <x:c r="K2120" s="69" t="n">
        <x:f>IFERROR(I2120/H2120,"")</x:f>
        <x:v>17.928571428571427</x:v>
      </x:c>
      <x:c r="L2120" s="66" t="str">
        <x:f>IF(K2120="","","1 : "&amp;TEXT(K2120,"0.0"))</x:f>
        <x:v>1 : 17.9</x:v>
      </x:c>
      <x:c r="M2120" s="66" t="str">
        <x:f>IF(J2120="","Baru/Tanpa Data",IF(J2120&lt;='Catatan &amp; Sumber'!$B$14,"Sangat Ketat",IF(J2120&lt;='Catatan &amp; Sumber'!$B$15,"Ketat",IF(J2120&lt;='Catatan &amp; Sumber'!$B$16,"Sedang","Relatif Longgar"))))</x:f>
        <x:v>Sedang</x:v>
      </x:c>
      <x:c r="N2120" s="66" t="str">
        <x:v>Tidak Ada</x:v>
      </x:c>
      <x:c r="O2120" s="66" t="str">
        <x:v>Jawa Tengah</x:v>
      </x:c>
      <x:c r="P2120" s="66" t="str">
        <x:v>Kota Semarang</x:v>
      </x:c>
      <x:c r="Q2120" s="66" t="str">
        <x:v>https://snpmb.id/snbp/daya-tampung-snbp</x:v>
      </x:c>
      <x:c r="R2120" s="66" t="str">
        <x:v>https://sidatagrun-public-1076756628210.asia-southeast2.run.app/ptn_sn.php?ptn=355</x:v>
      </x:c>
    </x:row>
    <x:row r="2121">
      <x:c r="A2121" s="87" t="n">
        <x:v>1529</x:v>
      </x:c>
      <x:c r="B2121" s="66" t="n">
        <x:v>355</x:v>
      </x:c>
      <x:c r="C2121" s="66" t="str">
        <x:v>UNIVERSITAS DIPONEGORO</x:v>
      </x:c>
      <x:c r="D2121" s="66" t="str">
        <x:v>PTN Akademik</x:v>
      </x:c>
      <x:c r="E2121" s="66" t="str">
        <x:v>13551036</x:v>
      </x:c>
      <x:c r="F2121" s="66" t="str">
        <x:v>SASTRA INDONESIA</x:v>
      </x:c>
      <x:c r="G2121" s="66" t="str">
        <x:v>Sarjana</x:v>
      </x:c>
      <x:c r="H2121" s="87" t="n">
        <x:v>44</x:v>
      </x:c>
      <x:c r="I2121" s="87" t="n">
        <x:v>394</x:v>
      </x:c>
      <x:c r="J2121" s="68" t="n">
        <x:f>IFERROR(H2121/I2121,"")</x:f>
        <x:v>0.1116751269035533</x:v>
      </x:c>
      <x:c r="K2121" s="69" t="n">
        <x:f>IFERROR(I2121/H2121,"")</x:f>
        <x:v>8.954545454545455</x:v>
      </x:c>
      <x:c r="L2121" s="66" t="str">
        <x:f>IF(K2121="","","1 : "&amp;TEXT(K2121,"0.0"))</x:f>
        <x:v>1 : 9.0</x:v>
      </x:c>
      <x:c r="M2121" s="66" t="str">
        <x:f>IF(J2121="","Baru/Tanpa Data",IF(J2121&lt;='Catatan &amp; Sumber'!$B$14,"Sangat Ketat",IF(J2121&lt;='Catatan &amp; Sumber'!$B$15,"Ketat",IF(J2121&lt;='Catatan &amp; Sumber'!$B$16,"Sedang","Relatif Longgar"))))</x:f>
        <x:v>Relatif Longgar</x:v>
      </x:c>
      <x:c r="N2121" s="66" t="str">
        <x:v>Tidak Ada</x:v>
      </x:c>
      <x:c r="O2121" s="66" t="str">
        <x:v>Jawa Tengah</x:v>
      </x:c>
      <x:c r="P2121" s="66" t="str">
        <x:v>Kota Semarang</x:v>
      </x:c>
      <x:c r="Q2121" s="66" t="str">
        <x:v>https://snpmb.id/snbp/daya-tampung-snbp</x:v>
      </x:c>
      <x:c r="R2121" s="66" t="str">
        <x:v>https://sidatagrun-public-1076756628210.asia-southeast2.run.app/ptn_sn.php?ptn=355</x:v>
      </x:c>
    </x:row>
    <x:row r="2122">
      <x:c r="A2122" s="87" t="n">
        <x:v>709</x:v>
      </x:c>
      <x:c r="B2122" s="66" t="n">
        <x:v>355</x:v>
      </x:c>
      <x:c r="C2122" s="66" t="str">
        <x:v>UNIVERSITAS DIPONEGORO</x:v>
      </x:c>
      <x:c r="D2122" s="66" t="str">
        <x:v>PTN Akademik</x:v>
      </x:c>
      <x:c r="E2122" s="66" t="str">
        <x:v>13551037</x:v>
      </x:c>
      <x:c r="F2122" s="66" t="str">
        <x:v>SASTRA INGGRIS</x:v>
      </x:c>
      <x:c r="G2122" s="66" t="str">
        <x:v>Sarjana</x:v>
      </x:c>
      <x:c r="H2122" s="87" t="n">
        <x:v>43</x:v>
      </x:c>
      <x:c r="I2122" s="87" t="n">
        <x:v>692</x:v>
      </x:c>
      <x:c r="J2122" s="68" t="n">
        <x:f>IFERROR(H2122/I2122,"")</x:f>
        <x:v>0.06213872832369942</x:v>
      </x:c>
      <x:c r="K2122" s="69" t="n">
        <x:f>IFERROR(I2122/H2122,"")</x:f>
        <x:v>16.093023255813954</x:v>
      </x:c>
      <x:c r="L2122" s="66" t="str">
        <x:f>IF(K2122="","","1 : "&amp;TEXT(K2122,"0.0"))</x:f>
        <x:v>1 : 16.1</x:v>
      </x:c>
      <x:c r="M2122" s="66" t="str">
        <x:f>IF(J2122="","Baru/Tanpa Data",IF(J2122&lt;='Catatan &amp; Sumber'!$B$14,"Sangat Ketat",IF(J2122&lt;='Catatan &amp; Sumber'!$B$15,"Ketat",IF(J2122&lt;='Catatan &amp; Sumber'!$B$16,"Sedang","Relatif Longgar"))))</x:f>
        <x:v>Sedang</x:v>
      </x:c>
      <x:c r="N2122" s="66" t="str">
        <x:v>Tidak Ada</x:v>
      </x:c>
      <x:c r="O2122" s="66" t="str">
        <x:v>Jawa Tengah</x:v>
      </x:c>
      <x:c r="P2122" s="66" t="str">
        <x:v>Kota Semarang</x:v>
      </x:c>
      <x:c r="Q2122" s="66" t="str">
        <x:v>https://snpmb.id/snbp/daya-tampung-snbp</x:v>
      </x:c>
      <x:c r="R2122" s="66" t="str">
        <x:v>https://sidatagrun-public-1076756628210.asia-southeast2.run.app/ptn_sn.php?ptn=355</x:v>
      </x:c>
    </x:row>
    <x:row r="2123">
      <x:c r="A2123" s="87" t="n">
        <x:v>1826</x:v>
      </x:c>
      <x:c r="B2123" s="66" t="n">
        <x:v>355</x:v>
      </x:c>
      <x:c r="C2123" s="66" t="str">
        <x:v>UNIVERSITAS DIPONEGORO</x:v>
      </x:c>
      <x:c r="D2123" s="66" t="str">
        <x:v>PTN Akademik</x:v>
      </x:c>
      <x:c r="E2123" s="66" t="str">
        <x:v>13551038</x:v>
      </x:c>
      <x:c r="F2123" s="66" t="str">
        <x:v>SEJARAH</x:v>
      </x:c>
      <x:c r="G2123" s="66" t="str">
        <x:v>Sarjana</x:v>
      </x:c>
      <x:c r="H2123" s="87" t="n">
        <x:v>35</x:v>
      </x:c>
      <x:c r="I2123" s="87" t="n">
        <x:v>260</x:v>
      </x:c>
      <x:c r="J2123" s="68" t="n">
        <x:f>IFERROR(H2123/I2123,"")</x:f>
        <x:v>0.1346153846153846</x:v>
      </x:c>
      <x:c r="K2123" s="69" t="n">
        <x:f>IFERROR(I2123/H2123,"")</x:f>
        <x:v>7.428571428571429</x:v>
      </x:c>
      <x:c r="L2123" s="66" t="str">
        <x:f>IF(K2123="","","1 : "&amp;TEXT(K2123,"0.0"))</x:f>
        <x:v>1 : 7.4</x:v>
      </x:c>
      <x:c r="M2123" s="66" t="str">
        <x:f>IF(J2123="","Baru/Tanpa Data",IF(J2123&lt;='Catatan &amp; Sumber'!$B$14,"Sangat Ketat",IF(J2123&lt;='Catatan &amp; Sumber'!$B$15,"Ketat",IF(J2123&lt;='Catatan &amp; Sumber'!$B$16,"Sedang","Relatif Longgar"))))</x:f>
        <x:v>Relatif Longgar</x:v>
      </x:c>
      <x:c r="N2123" s="66" t="str">
        <x:v>Tidak Ada</x:v>
      </x:c>
      <x:c r="O2123" s="66" t="str">
        <x:v>Jawa Tengah</x:v>
      </x:c>
      <x:c r="P2123" s="66" t="str">
        <x:v>Kota Semarang</x:v>
      </x:c>
      <x:c r="Q2123" s="66" t="str">
        <x:v>https://snpmb.id/snbp/daya-tampung-snbp</x:v>
      </x:c>
      <x:c r="R2123" s="66" t="str">
        <x:v>https://sidatagrun-public-1076756628210.asia-southeast2.run.app/ptn_sn.php?ptn=355</x:v>
      </x:c>
    </x:row>
    <x:row r="2124">
      <x:c r="A2124" s="87" t="n">
        <x:v>1422</x:v>
      </x:c>
      <x:c r="B2124" s="66" t="n">
        <x:v>355</x:v>
      </x:c>
      <x:c r="C2124" s="66" t="str">
        <x:v>UNIVERSITAS DIPONEGORO</x:v>
      </x:c>
      <x:c r="D2124" s="66" t="str">
        <x:v>PTN Akademik</x:v>
      </x:c>
      <x:c r="E2124" s="66" t="str">
        <x:v>13551039</x:v>
      </x:c>
      <x:c r="F2124" s="66" t="str">
        <x:v>ILMU PERPUSTAKAAN</x:v>
      </x:c>
      <x:c r="G2124" s="66" t="str">
        <x:v>Sarjana</x:v>
      </x:c>
      <x:c r="H2124" s="87" t="n">
        <x:v>39</x:v>
      </x:c>
      <x:c r="I2124" s="87" t="n">
        <x:v>376</x:v>
      </x:c>
      <x:c r="J2124" s="68" t="n">
        <x:f>IFERROR(H2124/I2124,"")</x:f>
        <x:v>0.10372340425531915</x:v>
      </x:c>
      <x:c r="K2124" s="69" t="n">
        <x:f>IFERROR(I2124/H2124,"")</x:f>
        <x:v>9.64102564102564</x:v>
      </x:c>
      <x:c r="L2124" s="66" t="str">
        <x:f>IF(K2124="","","1 : "&amp;TEXT(K2124,"0.0"))</x:f>
        <x:v>1 : 9.6</x:v>
      </x:c>
      <x:c r="M2124" s="66" t="str">
        <x:f>IF(J2124="","Baru/Tanpa Data",IF(J2124&lt;='Catatan &amp; Sumber'!$B$14,"Sangat Ketat",IF(J2124&lt;='Catatan &amp; Sumber'!$B$15,"Ketat",IF(J2124&lt;='Catatan &amp; Sumber'!$B$16,"Sedang","Relatif Longgar"))))</x:f>
        <x:v>Relatif Longgar</x:v>
      </x:c>
      <x:c r="N2124" s="66" t="str">
        <x:v>Tidak Ada</x:v>
      </x:c>
      <x:c r="O2124" s="66" t="str">
        <x:v>Jawa Tengah</x:v>
      </x:c>
      <x:c r="P2124" s="66" t="str">
        <x:v>Kota Semarang</x:v>
      </x:c>
      <x:c r="Q2124" s="66" t="str">
        <x:v>https://snpmb.id/snbp/daya-tampung-snbp</x:v>
      </x:c>
      <x:c r="R2124" s="66" t="str">
        <x:v>https://sidatagrun-public-1076756628210.asia-southeast2.run.app/ptn_sn.php?ptn=355</x:v>
      </x:c>
    </x:row>
    <x:row r="2125">
      <x:c r="A2125" s="87" t="n">
        <x:v>1268</x:v>
      </x:c>
      <x:c r="B2125" s="66" t="n">
        <x:v>355</x:v>
      </x:c>
      <x:c r="C2125" s="66" t="str">
        <x:v>UNIVERSITAS DIPONEGORO</x:v>
      </x:c>
      <x:c r="D2125" s="66" t="str">
        <x:v>PTN Akademik</x:v>
      </x:c>
      <x:c r="E2125" s="66" t="str">
        <x:v>13551040</x:v>
      </x:c>
      <x:c r="F2125" s="66" t="str">
        <x:v>HUKUM</x:v>
      </x:c>
      <x:c r="G2125" s="66" t="str">
        <x:v>Sarjana</x:v>
      </x:c>
      <x:c r="H2125" s="87" t="n">
        <x:v>184</x:v>
      </x:c>
      <x:c r="I2125" s="87" t="n">
        <x:v>1958</x:v>
      </x:c>
      <x:c r="J2125" s="68" t="n">
        <x:f>IFERROR(H2125/I2125,"")</x:f>
        <x:v>0.09397344228804903</x:v>
      </x:c>
      <x:c r="K2125" s="69" t="n">
        <x:f>IFERROR(I2125/H2125,"")</x:f>
        <x:v>10.641304347826088</x:v>
      </x:c>
      <x:c r="L2125" s="66" t="str">
        <x:f>IF(K2125="","","1 : "&amp;TEXT(K2125,"0.0"))</x:f>
        <x:v>1 : 10.6</x:v>
      </x:c>
      <x:c r="M2125" s="66" t="str">
        <x:f>IF(J2125="","Baru/Tanpa Data",IF(J2125&lt;='Catatan &amp; Sumber'!$B$14,"Sangat Ketat",IF(J2125&lt;='Catatan &amp; Sumber'!$B$15,"Ketat",IF(J2125&lt;='Catatan &amp; Sumber'!$B$16,"Sedang","Relatif Longgar"))))</x:f>
        <x:v>Sedang</x:v>
      </x:c>
      <x:c r="N2125" s="66" t="str">
        <x:v>Tidak Ada</x:v>
      </x:c>
      <x:c r="O2125" s="66" t="str">
        <x:v>Jawa Tengah</x:v>
      </x:c>
      <x:c r="P2125" s="66" t="str">
        <x:v>Kota Semarang</x:v>
      </x:c>
      <x:c r="Q2125" s="66" t="str">
        <x:v>https://snpmb.id/snbp/daya-tampung-snbp</x:v>
      </x:c>
      <x:c r="R2125" s="66" t="str">
        <x:v>https://sidatagrun-public-1076756628210.asia-southeast2.run.app/ptn_sn.php?ptn=355</x:v>
      </x:c>
    </x:row>
    <x:row r="2126">
      <x:c r="A2126" s="87" t="n">
        <x:v>501</x:v>
      </x:c>
      <x:c r="B2126" s="66" t="n">
        <x:v>355</x:v>
      </x:c>
      <x:c r="C2126" s="66" t="str">
        <x:v>UNIVERSITAS DIPONEGORO</x:v>
      </x:c>
      <x:c r="D2126" s="66" t="str">
        <x:v>PTN Akademik</x:v>
      </x:c>
      <x:c r="E2126" s="66" t="str">
        <x:v>13551041</x:v>
      </x:c>
      <x:c r="F2126" s="66" t="str">
        <x:v>MANAJEMEN</x:v>
      </x:c>
      <x:c r="G2126" s="66" t="str">
        <x:v>Sarjana</x:v>
      </x:c>
      <x:c r="H2126" s="87" t="n">
        <x:v>78</x:v>
      </x:c>
      <x:c r="I2126" s="87" t="n">
        <x:v>1524</x:v>
      </x:c>
      <x:c r="J2126" s="68" t="n">
        <x:f>IFERROR(H2126/I2126,"")</x:f>
        <x:v>0.051181102362204724</x:v>
      </x:c>
      <x:c r="K2126" s="69" t="n">
        <x:f>IFERROR(I2126/H2126,"")</x:f>
        <x:v>19.53846153846154</x:v>
      </x:c>
      <x:c r="L2126" s="66" t="str">
        <x:f>IF(K2126="","","1 : "&amp;TEXT(K2126,"0.0"))</x:f>
        <x:v>1 : 19.5</x:v>
      </x:c>
      <x:c r="M2126" s="66" t="str">
        <x:f>IF(J2126="","Baru/Tanpa Data",IF(J2126&lt;='Catatan &amp; Sumber'!$B$14,"Sangat Ketat",IF(J2126&lt;='Catatan &amp; Sumber'!$B$15,"Ketat",IF(J2126&lt;='Catatan &amp; Sumber'!$B$16,"Sedang","Relatif Longgar"))))</x:f>
        <x:v>Sedang</x:v>
      </x:c>
      <x:c r="N2126" s="66" t="str">
        <x:v>Tidak Ada</x:v>
      </x:c>
      <x:c r="O2126" s="66" t="str">
        <x:v>Jawa Tengah</x:v>
      </x:c>
      <x:c r="P2126" s="66" t="str">
        <x:v>Kota Semarang</x:v>
      </x:c>
      <x:c r="Q2126" s="66" t="str">
        <x:v>https://snpmb.id/snbp/daya-tampung-snbp</x:v>
      </x:c>
      <x:c r="R2126" s="66" t="str">
        <x:v>https://sidatagrun-public-1076756628210.asia-southeast2.run.app/ptn_sn.php?ptn=355</x:v>
      </x:c>
    </x:row>
    <x:row r="2127">
      <x:c r="A2127" s="87" t="n">
        <x:v>997</x:v>
      </x:c>
      <x:c r="B2127" s="66" t="n">
        <x:v>355</x:v>
      </x:c>
      <x:c r="C2127" s="66" t="str">
        <x:v>UNIVERSITAS DIPONEGORO</x:v>
      </x:c>
      <x:c r="D2127" s="66" t="str">
        <x:v>PTN Akademik</x:v>
      </x:c>
      <x:c r="E2127" s="66" t="str">
        <x:v>13551042</x:v>
      </x:c>
      <x:c r="F2127" s="66" t="str">
        <x:v>EKONOMI</x:v>
      </x:c>
      <x:c r="G2127" s="66" t="str">
        <x:v>Sarjana</x:v>
      </x:c>
      <x:c r="H2127" s="87" t="n">
        <x:v>60</x:v>
      </x:c>
      <x:c r="I2127" s="87" t="n">
        <x:v>770</x:v>
      </x:c>
      <x:c r="J2127" s="68" t="n">
        <x:f>IFERROR(H2127/I2127,"")</x:f>
        <x:v>0.07792207792207792</x:v>
      </x:c>
      <x:c r="K2127" s="69" t="n">
        <x:f>IFERROR(I2127/H2127,"")</x:f>
        <x:v>12.833333333333334</x:v>
      </x:c>
      <x:c r="L2127" s="66" t="str">
        <x:f>IF(K2127="","","1 : "&amp;TEXT(K2127,"0.0"))</x:f>
        <x:v>1 : 12.8</x:v>
      </x:c>
      <x:c r="M2127" s="66" t="str">
        <x:f>IF(J2127="","Baru/Tanpa Data",IF(J2127&lt;='Catatan &amp; Sumber'!$B$14,"Sangat Ketat",IF(J2127&lt;='Catatan &amp; Sumber'!$B$15,"Ketat",IF(J2127&lt;='Catatan &amp; Sumber'!$B$16,"Sedang","Relatif Longgar"))))</x:f>
        <x:v>Sedang</x:v>
      </x:c>
      <x:c r="N2127" s="66" t="str">
        <x:v>Tidak Ada</x:v>
      </x:c>
      <x:c r="O2127" s="66" t="str">
        <x:v>Jawa Tengah</x:v>
      </x:c>
      <x:c r="P2127" s="66" t="str">
        <x:v>Kota Semarang</x:v>
      </x:c>
      <x:c r="Q2127" s="66" t="str">
        <x:v>https://snpmb.id/snbp/daya-tampung-snbp</x:v>
      </x:c>
      <x:c r="R2127" s="66" t="str">
        <x:v>https://sidatagrun-public-1076756628210.asia-southeast2.run.app/ptn_sn.php?ptn=355</x:v>
      </x:c>
    </x:row>
    <x:row r="2128">
      <x:c r="A2128" s="87" t="n">
        <x:v>443</x:v>
      </x:c>
      <x:c r="B2128" s="66" t="n">
        <x:v>355</x:v>
      </x:c>
      <x:c r="C2128" s="66" t="str">
        <x:v>UNIVERSITAS DIPONEGORO</x:v>
      </x:c>
      <x:c r="D2128" s="66" t="str">
        <x:v>PTN Akademik</x:v>
      </x:c>
      <x:c r="E2128" s="66" t="str">
        <x:v>13551043</x:v>
      </x:c>
      <x:c r="F2128" s="66" t="str">
        <x:v>AKUNTANSI</x:v>
      </x:c>
      <x:c r="G2128" s="66" t="str">
        <x:v>Sarjana</x:v>
      </x:c>
      <x:c r="H2128" s="87" t="n">
        <x:v>78</x:v>
      </x:c>
      <x:c r="I2128" s="87" t="n">
        <x:v>1596</x:v>
      </x:c>
      <x:c r="J2128" s="68" t="n">
        <x:f>IFERROR(H2128/I2128,"")</x:f>
        <x:v>0.04887218045112782</x:v>
      </x:c>
      <x:c r="K2128" s="69" t="n">
        <x:f>IFERROR(I2128/H2128,"")</x:f>
        <x:v>20.46153846153846</x:v>
      </x:c>
      <x:c r="L2128" s="66" t="str">
        <x:f>IF(K2128="","","1 : "&amp;TEXT(K2128,"0.0"))</x:f>
        <x:v>1 : 20.5</x:v>
      </x:c>
      <x:c r="M2128" s="66" t="str">
        <x:f>IF(J2128="","Baru/Tanpa Data",IF(J2128&lt;='Catatan &amp; Sumber'!$B$14,"Sangat Ketat",IF(J2128&lt;='Catatan &amp; Sumber'!$B$15,"Ketat",IF(J2128&lt;='Catatan &amp; Sumber'!$B$16,"Sedang","Relatif Longgar"))))</x:f>
        <x:v>Ketat</x:v>
      </x:c>
      <x:c r="N2128" s="66" t="str">
        <x:v>Tidak Ada</x:v>
      </x:c>
      <x:c r="O2128" s="66" t="str">
        <x:v>Jawa Tengah</x:v>
      </x:c>
      <x:c r="P2128" s="66" t="str">
        <x:v>Kota Semarang</x:v>
      </x:c>
      <x:c r="Q2128" s="66" t="str">
        <x:v>https://snpmb.id/snbp/daya-tampung-snbp</x:v>
      </x:c>
      <x:c r="R2128" s="66" t="str">
        <x:v>https://sidatagrun-public-1076756628210.asia-southeast2.run.app/ptn_sn.php?ptn=355</x:v>
      </x:c>
    </x:row>
    <x:row r="2129">
      <x:c r="A2129" s="87" t="n">
        <x:v>742</x:v>
      </x:c>
      <x:c r="B2129" s="66" t="n">
        <x:v>355</x:v>
      </x:c>
      <x:c r="C2129" s="66" t="str">
        <x:v>UNIVERSITAS DIPONEGORO</x:v>
      </x:c>
      <x:c r="D2129" s="66" t="str">
        <x:v>PTN Akademik</x:v>
      </x:c>
      <x:c r="E2129" s="66" t="str">
        <x:v>13551044</x:v>
      </x:c>
      <x:c r="F2129" s="66" t="str">
        <x:v>ADMINISTRASI PUBLIK</x:v>
      </x:c>
      <x:c r="G2129" s="66" t="str">
        <x:v>Sarjana</x:v>
      </x:c>
      <x:c r="H2129" s="87" t="n">
        <x:v>50</x:v>
      </x:c>
      <x:c r="I2129" s="87" t="n">
        <x:v>778</x:v>
      </x:c>
      <x:c r="J2129" s="68" t="n">
        <x:f>IFERROR(H2129/I2129,"")</x:f>
        <x:v>0.06426735218508997</x:v>
      </x:c>
      <x:c r="K2129" s="69" t="n">
        <x:f>IFERROR(I2129/H2129,"")</x:f>
        <x:v>15.56</x:v>
      </x:c>
      <x:c r="L2129" s="66" t="str">
        <x:f>IF(K2129="","","1 : "&amp;TEXT(K2129,"0.0"))</x:f>
        <x:v>1 : 15.6</x:v>
      </x:c>
      <x:c r="M2129" s="66" t="str">
        <x:f>IF(J2129="","Baru/Tanpa Data",IF(J2129&lt;='Catatan &amp; Sumber'!$B$14,"Sangat Ketat",IF(J2129&lt;='Catatan &amp; Sumber'!$B$15,"Ketat",IF(J2129&lt;='Catatan &amp; Sumber'!$B$16,"Sedang","Relatif Longgar"))))</x:f>
        <x:v>Sedang</x:v>
      </x:c>
      <x:c r="N2129" s="66" t="str">
        <x:v>Tidak Ada</x:v>
      </x:c>
      <x:c r="O2129" s="66" t="str">
        <x:v>Jawa Tengah</x:v>
      </x:c>
      <x:c r="P2129" s="66" t="str">
        <x:v>Kota Semarang</x:v>
      </x:c>
      <x:c r="Q2129" s="66" t="str">
        <x:v>https://snpmb.id/snbp/daya-tampung-snbp</x:v>
      </x:c>
      <x:c r="R2129" s="66" t="str">
        <x:v>https://sidatagrun-public-1076756628210.asia-southeast2.run.app/ptn_sn.php?ptn=355</x:v>
      </x:c>
    </x:row>
    <x:row r="2130">
      <x:c r="A2130" s="87" t="n">
        <x:v>313</x:v>
      </x:c>
      <x:c r="B2130" s="66" t="n">
        <x:v>355</x:v>
      </x:c>
      <x:c r="C2130" s="66" t="str">
        <x:v>UNIVERSITAS DIPONEGORO</x:v>
      </x:c>
      <x:c r="D2130" s="66" t="str">
        <x:v>PTN Akademik</x:v>
      </x:c>
      <x:c r="E2130" s="66" t="str">
        <x:v>13551045</x:v>
      </x:c>
      <x:c r="F2130" s="66" t="str">
        <x:v>ADMINISTRASI BISNIS</x:v>
      </x:c>
      <x:c r="G2130" s="66" t="str">
        <x:v>Sarjana</x:v>
      </x:c>
      <x:c r="H2130" s="87" t="n">
        <x:v>56</x:v>
      </x:c>
      <x:c r="I2130" s="87" t="n">
        <x:v>1308</x:v>
      </x:c>
      <x:c r="J2130" s="68" t="n">
        <x:f>IFERROR(H2130/I2130,"")</x:f>
        <x:v>0.04281345565749235</x:v>
      </x:c>
      <x:c r="K2130" s="69" t="n">
        <x:f>IFERROR(I2130/H2130,"")</x:f>
        <x:v>23.357142857142858</x:v>
      </x:c>
      <x:c r="L2130" s="66" t="str">
        <x:f>IF(K2130="","","1 : "&amp;TEXT(K2130,"0.0"))</x:f>
        <x:v>1 : 23.4</x:v>
      </x:c>
      <x:c r="M2130" s="66" t="str">
        <x:f>IF(J2130="","Baru/Tanpa Data",IF(J2130&lt;='Catatan &amp; Sumber'!$B$14,"Sangat Ketat",IF(J2130&lt;='Catatan &amp; Sumber'!$B$15,"Ketat",IF(J2130&lt;='Catatan &amp; Sumber'!$B$16,"Sedang","Relatif Longgar"))))</x:f>
        <x:v>Ketat</x:v>
      </x:c>
      <x:c r="N2130" s="66" t="str">
        <x:v>Tidak Ada</x:v>
      </x:c>
      <x:c r="O2130" s="66" t="str">
        <x:v>Jawa Tengah</x:v>
      </x:c>
      <x:c r="P2130" s="66" t="str">
        <x:v>Kota Semarang</x:v>
      </x:c>
      <x:c r="Q2130" s="66" t="str">
        <x:v>https://snpmb.id/snbp/daya-tampung-snbp</x:v>
      </x:c>
      <x:c r="R2130" s="66" t="str">
        <x:v>https://sidatagrun-public-1076756628210.asia-southeast2.run.app/ptn_sn.php?ptn=355</x:v>
      </x:c>
    </x:row>
    <x:row r="2131">
      <x:c r="A2131" s="87" t="n">
        <x:v>1251</x:v>
      </x:c>
      <x:c r="B2131" s="66" t="n">
        <x:v>355</x:v>
      </x:c>
      <x:c r="C2131" s="66" t="str">
        <x:v>UNIVERSITAS DIPONEGORO</x:v>
      </x:c>
      <x:c r="D2131" s="66" t="str">
        <x:v>PTN Akademik</x:v>
      </x:c>
      <x:c r="E2131" s="66" t="str">
        <x:v>13551046</x:v>
      </x:c>
      <x:c r="F2131" s="66" t="str">
        <x:v>ILMU PEMERINTAHAN</x:v>
      </x:c>
      <x:c r="G2131" s="66" t="str">
        <x:v>Sarjana</x:v>
      </x:c>
      <x:c r="H2131" s="87" t="n">
        <x:v>52</x:v>
      </x:c>
      <x:c r="I2131" s="87" t="n">
        <x:v>559</x:v>
      </x:c>
      <x:c r="J2131" s="68" t="n">
        <x:f>IFERROR(H2131/I2131,"")</x:f>
        <x:v>0.09302325581395349</x:v>
      </x:c>
      <x:c r="K2131" s="69" t="n">
        <x:f>IFERROR(I2131/H2131,"")</x:f>
        <x:v>10.75</x:v>
      </x:c>
      <x:c r="L2131" s="66" t="str">
        <x:f>IF(K2131="","","1 : "&amp;TEXT(K2131,"0.0"))</x:f>
        <x:v>1 : 10.8</x:v>
      </x:c>
      <x:c r="M2131" s="66" t="str">
        <x:f>IF(J2131="","Baru/Tanpa Data",IF(J2131&lt;='Catatan &amp; Sumber'!$B$14,"Sangat Ketat",IF(J2131&lt;='Catatan &amp; Sumber'!$B$15,"Ketat",IF(J2131&lt;='Catatan &amp; Sumber'!$B$16,"Sedang","Relatif Longgar"))))</x:f>
        <x:v>Sedang</x:v>
      </x:c>
      <x:c r="N2131" s="66" t="str">
        <x:v>Tidak Ada</x:v>
      </x:c>
      <x:c r="O2131" s="66" t="str">
        <x:v>Jawa Tengah</x:v>
      </x:c>
      <x:c r="P2131" s="66" t="str">
        <x:v>Kota Semarang</x:v>
      </x:c>
      <x:c r="Q2131" s="66" t="str">
        <x:v>https://snpmb.id/snbp/daya-tampung-snbp</x:v>
      </x:c>
      <x:c r="R2131" s="66" t="str">
        <x:v>https://sidatagrun-public-1076756628210.asia-southeast2.run.app/ptn_sn.php?ptn=355</x:v>
      </x:c>
    </x:row>
    <x:row r="2132">
      <x:c r="A2132" s="87" t="n">
        <x:v>431</x:v>
      </x:c>
      <x:c r="B2132" s="66" t="n">
        <x:v>355</x:v>
      </x:c>
      <x:c r="C2132" s="66" t="str">
        <x:v>UNIVERSITAS DIPONEGORO</x:v>
      </x:c>
      <x:c r="D2132" s="66" t="str">
        <x:v>PTN Akademik</x:v>
      </x:c>
      <x:c r="E2132" s="66" t="str">
        <x:v>13551047</x:v>
      </x:c>
      <x:c r="F2132" s="66" t="str">
        <x:v>ILMU KOMUNIKASI</x:v>
      </x:c>
      <x:c r="G2132" s="66" t="str">
        <x:v>Sarjana</x:v>
      </x:c>
      <x:c r="H2132" s="87" t="n">
        <x:v>56</x:v>
      </x:c>
      <x:c r="I2132" s="87" t="n">
        <x:v>1160</x:v>
      </x:c>
      <x:c r="J2132" s="68" t="n">
        <x:f>IFERROR(H2132/I2132,"")</x:f>
        <x:v>0.04827586206896552</x:v>
      </x:c>
      <x:c r="K2132" s="69" t="n">
        <x:f>IFERROR(I2132/H2132,"")</x:f>
        <x:v>20.714285714285715</x:v>
      </x:c>
      <x:c r="L2132" s="66" t="str">
        <x:f>IF(K2132="","","1 : "&amp;TEXT(K2132,"0.0"))</x:f>
        <x:v>1 : 20.7</x:v>
      </x:c>
      <x:c r="M2132" s="66" t="str">
        <x:f>IF(J2132="","Baru/Tanpa Data",IF(J2132&lt;='Catatan &amp; Sumber'!$B$14,"Sangat Ketat",IF(J2132&lt;='Catatan &amp; Sumber'!$B$15,"Ketat",IF(J2132&lt;='Catatan &amp; Sumber'!$B$16,"Sedang","Relatif Longgar"))))</x:f>
        <x:v>Ketat</x:v>
      </x:c>
      <x:c r="N2132" s="66" t="str">
        <x:v>Tidak Ada</x:v>
      </x:c>
      <x:c r="O2132" s="66" t="str">
        <x:v>Jawa Tengah</x:v>
      </x:c>
      <x:c r="P2132" s="66" t="str">
        <x:v>Kota Semarang</x:v>
      </x:c>
      <x:c r="Q2132" s="66" t="str">
        <x:v>https://snpmb.id/snbp/daya-tampung-snbp</x:v>
      </x:c>
      <x:c r="R2132" s="66" t="str">
        <x:v>https://sidatagrun-public-1076756628210.asia-southeast2.run.app/ptn_sn.php?ptn=355</x:v>
      </x:c>
    </x:row>
    <x:row r="2133">
      <x:c r="A2133" s="87" t="n">
        <x:v>283</x:v>
      </x:c>
      <x:c r="B2133" s="66" t="n">
        <x:v>355</x:v>
      </x:c>
      <x:c r="C2133" s="66" t="str">
        <x:v>UNIVERSITAS DIPONEGORO</x:v>
      </x:c>
      <x:c r="D2133" s="66" t="str">
        <x:v>PTN Akademik</x:v>
      </x:c>
      <x:c r="E2133" s="66" t="str">
        <x:v>13551048</x:v>
      </x:c>
      <x:c r="F2133" s="66" t="str">
        <x:v>PSIKOLOGI</x:v>
      </x:c>
      <x:c r="G2133" s="66" t="str">
        <x:v>Sarjana</x:v>
      </x:c>
      <x:c r="H2133" s="87" t="n">
        <x:v>80</x:v>
      </x:c>
      <x:c r="I2133" s="87" t="n">
        <x:v>1928</x:v>
      </x:c>
      <x:c r="J2133" s="68" t="n">
        <x:f>IFERROR(H2133/I2133,"")</x:f>
        <x:v>0.04149377593360996</x:v>
      </x:c>
      <x:c r="K2133" s="69" t="n">
        <x:f>IFERROR(I2133/H2133,"")</x:f>
        <x:v>24.1</x:v>
      </x:c>
      <x:c r="L2133" s="66" t="str">
        <x:f>IF(K2133="","","1 : "&amp;TEXT(K2133,"0.0"))</x:f>
        <x:v>1 : 24.1</x:v>
      </x:c>
      <x:c r="M2133" s="66" t="str">
        <x:f>IF(J2133="","Baru/Tanpa Data",IF(J2133&lt;='Catatan &amp; Sumber'!$B$14,"Sangat Ketat",IF(J2133&lt;='Catatan &amp; Sumber'!$B$15,"Ketat",IF(J2133&lt;='Catatan &amp; Sumber'!$B$16,"Sedang","Relatif Longgar"))))</x:f>
        <x:v>Ketat</x:v>
      </x:c>
      <x:c r="N2133" s="66" t="str">
        <x:v>Tidak Ada</x:v>
      </x:c>
      <x:c r="O2133" s="66" t="str">
        <x:v>Jawa Tengah</x:v>
      </x:c>
      <x:c r="P2133" s="66" t="str">
        <x:v>Kota Semarang</x:v>
      </x:c>
      <x:c r="Q2133" s="66" t="str">
        <x:v>https://snpmb.id/snbp/daya-tampung-snbp</x:v>
      </x:c>
      <x:c r="R2133" s="66" t="str">
        <x:v>https://sidatagrun-public-1076756628210.asia-southeast2.run.app/ptn_sn.php?ptn=355</x:v>
      </x:c>
    </x:row>
    <x:row r="2134">
      <x:c r="A2134" s="87" t="n">
        <x:v>1355</x:v>
      </x:c>
      <x:c r="B2134" s="66" t="n">
        <x:v>355</x:v>
      </x:c>
      <x:c r="C2134" s="66" t="str">
        <x:v>UNIVERSITAS DIPONEGORO</x:v>
      </x:c>
      <x:c r="D2134" s="66" t="str">
        <x:v>PTN Akademik</x:v>
      </x:c>
      <x:c r="E2134" s="66" t="str">
        <x:v>13551049</x:v>
      </x:c>
      <x:c r="F2134" s="66" t="str">
        <x:v>BAHASA DAN KEBUDAYAAN JEPANG</x:v>
      </x:c>
      <x:c r="G2134" s="66" t="str">
        <x:v>Sarjana</x:v>
      </x:c>
      <x:c r="H2134" s="87" t="n">
        <x:v>39</x:v>
      </x:c>
      <x:c r="I2134" s="87" t="n">
        <x:v>395</x:v>
      </x:c>
      <x:c r="J2134" s="68" t="n">
        <x:f>IFERROR(H2134/I2134,"")</x:f>
        <x:v>0.09873417721518987</x:v>
      </x:c>
      <x:c r="K2134" s="69" t="n">
        <x:f>IFERROR(I2134/H2134,"")</x:f>
        <x:v>10.128205128205128</x:v>
      </x:c>
      <x:c r="L2134" s="66" t="str">
        <x:f>IF(K2134="","","1 : "&amp;TEXT(K2134,"0.0"))</x:f>
        <x:v>1 : 10.1</x:v>
      </x:c>
      <x:c r="M2134" s="66" t="str">
        <x:f>IF(J2134="","Baru/Tanpa Data",IF(J2134&lt;='Catatan &amp; Sumber'!$B$14,"Sangat Ketat",IF(J2134&lt;='Catatan &amp; Sumber'!$B$15,"Ketat",IF(J2134&lt;='Catatan &amp; Sumber'!$B$16,"Sedang","Relatif Longgar"))))</x:f>
        <x:v>Sedang</x:v>
      </x:c>
      <x:c r="N2134" s="66" t="str">
        <x:v>Tidak Ada</x:v>
      </x:c>
      <x:c r="O2134" s="66" t="str">
        <x:v>Jawa Tengah</x:v>
      </x:c>
      <x:c r="P2134" s="66" t="str">
        <x:v>Kota Semarang</x:v>
      </x:c>
      <x:c r="Q2134" s="66" t="str">
        <x:v>https://snpmb.id/snbp/daya-tampung-snbp</x:v>
      </x:c>
      <x:c r="R2134" s="66" t="str">
        <x:v>https://sidatagrun-public-1076756628210.asia-southeast2.run.app/ptn_sn.php?ptn=355</x:v>
      </x:c>
    </x:row>
    <x:row r="2135">
      <x:c r="A2135" s="87" t="n">
        <x:v>927</x:v>
      </x:c>
      <x:c r="B2135" s="66" t="n">
        <x:v>355</x:v>
      </x:c>
      <x:c r="C2135" s="66" t="str">
        <x:v>UNIVERSITAS DIPONEGORO</x:v>
      </x:c>
      <x:c r="D2135" s="66" t="str">
        <x:v>PTN Akademik</x:v>
      </x:c>
      <x:c r="E2135" s="66" t="str">
        <x:v>13551050</x:v>
      </x:c>
      <x:c r="F2135" s="66" t="str">
        <x:v>HUBUNGAN INTERNASIONAL</x:v>
      </x:c>
      <x:c r="G2135" s="66" t="str">
        <x:v>Sarjana</x:v>
      </x:c>
      <x:c r="H2135" s="87" t="n">
        <x:v>42</x:v>
      </x:c>
      <x:c r="I2135" s="87" t="n">
        <x:v>568</x:v>
      </x:c>
      <x:c r="J2135" s="68" t="n">
        <x:f>IFERROR(H2135/I2135,"")</x:f>
        <x:v>0.07394366197183098</x:v>
      </x:c>
      <x:c r="K2135" s="69" t="n">
        <x:f>IFERROR(I2135/H2135,"")</x:f>
        <x:v>13.523809523809524</x:v>
      </x:c>
      <x:c r="L2135" s="66" t="str">
        <x:f>IF(K2135="","","1 : "&amp;TEXT(K2135,"0.0"))</x:f>
        <x:v>1 : 13.5</x:v>
      </x:c>
      <x:c r="M2135" s="66" t="str">
        <x:f>IF(J2135="","Baru/Tanpa Data",IF(J2135&lt;='Catatan &amp; Sumber'!$B$14,"Sangat Ketat",IF(J2135&lt;='Catatan &amp; Sumber'!$B$15,"Ketat",IF(J2135&lt;='Catatan &amp; Sumber'!$B$16,"Sedang","Relatif Longgar"))))</x:f>
        <x:v>Sedang</x:v>
      </x:c>
      <x:c r="N2135" s="66" t="str">
        <x:v>Tidak Ada</x:v>
      </x:c>
      <x:c r="O2135" s="66" t="str">
        <x:v>Jawa Tengah</x:v>
      </x:c>
      <x:c r="P2135" s="66" t="str">
        <x:v>Kota Semarang</x:v>
      </x:c>
      <x:c r="Q2135" s="66" t="str">
        <x:v>https://snpmb.id/snbp/daya-tampung-snbp</x:v>
      </x:c>
      <x:c r="R2135" s="66" t="str">
        <x:v>https://sidatagrun-public-1076756628210.asia-southeast2.run.app/ptn_sn.php?ptn=355</x:v>
      </x:c>
    </x:row>
    <x:row r="2136">
      <x:c r="A2136" s="87" t="n">
        <x:v>1429</x:v>
      </x:c>
      <x:c r="B2136" s="66" t="n">
        <x:v>355</x:v>
      </x:c>
      <x:c r="C2136" s="66" t="str">
        <x:v>UNIVERSITAS DIPONEGORO</x:v>
      </x:c>
      <x:c r="D2136" s="66" t="str">
        <x:v>PTN Akademik</x:v>
      </x:c>
      <x:c r="E2136" s="66" t="str">
        <x:v>13551051</x:v>
      </x:c>
      <x:c r="F2136" s="66" t="str">
        <x:v>ANTROPOLOGI SOSIAL</x:v>
      </x:c>
      <x:c r="G2136" s="66" t="str">
        <x:v>Sarjana</x:v>
      </x:c>
      <x:c r="H2136" s="87" t="n">
        <x:v>40</x:v>
      </x:c>
      <x:c r="I2136" s="87" t="n">
        <x:v>384</x:v>
      </x:c>
      <x:c r="J2136" s="68" t="n">
        <x:f>IFERROR(H2136/I2136,"")</x:f>
        <x:v>0.10416666666666667</x:v>
      </x:c>
      <x:c r="K2136" s="69" t="n">
        <x:f>IFERROR(I2136/H2136,"")</x:f>
        <x:v>9.6</x:v>
      </x:c>
      <x:c r="L2136" s="66" t="str">
        <x:f>IF(K2136="","","1 : "&amp;TEXT(K2136,"0.0"))</x:f>
        <x:v>1 : 9.6</x:v>
      </x:c>
      <x:c r="M2136" s="66" t="str">
        <x:f>IF(J2136="","Baru/Tanpa Data",IF(J2136&lt;='Catatan &amp; Sumber'!$B$14,"Sangat Ketat",IF(J2136&lt;='Catatan &amp; Sumber'!$B$15,"Ketat",IF(J2136&lt;='Catatan &amp; Sumber'!$B$16,"Sedang","Relatif Longgar"))))</x:f>
        <x:v>Relatif Longgar</x:v>
      </x:c>
      <x:c r="N2136" s="66" t="str">
        <x:v>Tidak Ada</x:v>
      </x:c>
      <x:c r="O2136" s="66" t="str">
        <x:v>Jawa Tengah</x:v>
      </x:c>
      <x:c r="P2136" s="66" t="str">
        <x:v>Kota Semarang</x:v>
      </x:c>
      <x:c r="Q2136" s="66" t="str">
        <x:v>https://snpmb.id/snbp/daya-tampung-snbp</x:v>
      </x:c>
      <x:c r="R2136" s="66" t="str">
        <x:v>https://sidatagrun-public-1076756628210.asia-southeast2.run.app/ptn_sn.php?ptn=355</x:v>
      </x:c>
    </x:row>
    <x:row r="2137">
      <x:c r="A2137" s="87" t="n">
        <x:v>1448</x:v>
      </x:c>
      <x:c r="B2137" s="66" t="n">
        <x:v>355</x:v>
      </x:c>
      <x:c r="C2137" s="66" t="str">
        <x:v>UNIVERSITAS DIPONEGORO</x:v>
      </x:c>
      <x:c r="D2137" s="66" t="str">
        <x:v>PTN Akademik</x:v>
      </x:c>
      <x:c r="E2137" s="66" t="str">
        <x:v>13551052</x:v>
      </x:c>
      <x:c r="F2137" s="66" t="str">
        <x:v>EKONOMI ISLAM</x:v>
      </x:c>
      <x:c r="G2137" s="66" t="str">
        <x:v>Sarjana</x:v>
      </x:c>
      <x:c r="H2137" s="87" t="n">
        <x:v>36</x:v>
      </x:c>
      <x:c r="I2137" s="87" t="n">
        <x:v>340</x:v>
      </x:c>
      <x:c r="J2137" s="68" t="n">
        <x:f>IFERROR(H2137/I2137,"")</x:f>
        <x:v>0.10588235294117647</x:v>
      </x:c>
      <x:c r="K2137" s="69" t="n">
        <x:f>IFERROR(I2137/H2137,"")</x:f>
        <x:v>9.444444444444445</x:v>
      </x:c>
      <x:c r="L2137" s="66" t="str">
        <x:f>IF(K2137="","","1 : "&amp;TEXT(K2137,"0.0"))</x:f>
        <x:v>1 : 9.4</x:v>
      </x:c>
      <x:c r="M2137" s="66" t="str">
        <x:f>IF(J2137="","Baru/Tanpa Data",IF(J2137&lt;='Catatan &amp; Sumber'!$B$14,"Sangat Ketat",IF(J2137&lt;='Catatan &amp; Sumber'!$B$15,"Ketat",IF(J2137&lt;='Catatan &amp; Sumber'!$B$16,"Sedang","Relatif Longgar"))))</x:f>
        <x:v>Relatif Longgar</x:v>
      </x:c>
      <x:c r="N2137" s="66" t="str">
        <x:v>Tidak Ada</x:v>
      </x:c>
      <x:c r="O2137" s="66" t="str">
        <x:v>Jawa Tengah</x:v>
      </x:c>
      <x:c r="P2137" s="66" t="str">
        <x:v>Kota Semarang</x:v>
      </x:c>
      <x:c r="Q2137" s="66" t="str">
        <x:v>https://snpmb.id/snbp/daya-tampung-snbp</x:v>
      </x:c>
      <x:c r="R2137" s="66" t="str">
        <x:v>https://sidatagrun-public-1076756628210.asia-southeast2.run.app/ptn_sn.php?ptn=355</x:v>
      </x:c>
    </x:row>
    <x:row r="2138">
      <x:c r="A2138" s="87" t="n">
        <x:v>1875</x:v>
      </x:c>
      <x:c r="B2138" s="66" t="n">
        <x:v>355</x:v>
      </x:c>
      <x:c r="C2138" s="66" t="str">
        <x:v>UNIVERSITAS DIPONEGORO</x:v>
      </x:c>
      <x:c r="D2138" s="66" t="str">
        <x:v>PTN Akademik</x:v>
      </x:c>
      <x:c r="E2138" s="66" t="str">
        <x:v>13551053</x:v>
      </x:c>
      <x:c r="F2138" s="66" t="str">
        <x:v>ADMINISTRASI PUBLIK KAMPUS REMBANG</x:v>
      </x:c>
      <x:c r="G2138" s="66" t="str">
        <x:v>Sarjana</x:v>
      </x:c>
      <x:c r="H2138" s="87" t="n">
        <x:v>30</x:v>
      </x:c>
      <x:c r="I2138" s="87" t="n">
        <x:v>216</x:v>
      </x:c>
      <x:c r="J2138" s="68" t="n">
        <x:f>IFERROR(H2138/I2138,"")</x:f>
        <x:v>0.1388888888888889</x:v>
      </x:c>
      <x:c r="K2138" s="69" t="n">
        <x:f>IFERROR(I2138/H2138,"")</x:f>
        <x:v>7.2</x:v>
      </x:c>
      <x:c r="L2138" s="66" t="str">
        <x:f>IF(K2138="","","1 : "&amp;TEXT(K2138,"0.0"))</x:f>
        <x:v>1 : 7.2</x:v>
      </x:c>
      <x:c r="M2138" s="66" t="str">
        <x:f>IF(J2138="","Baru/Tanpa Data",IF(J2138&lt;='Catatan &amp; Sumber'!$B$14,"Sangat Ketat",IF(J2138&lt;='Catatan &amp; Sumber'!$B$15,"Ketat",IF(J2138&lt;='Catatan &amp; Sumber'!$B$16,"Sedang","Relatif Longgar"))))</x:f>
        <x:v>Relatif Longgar</x:v>
      </x:c>
      <x:c r="N2138" s="66" t="str">
        <x:v>Tidak Ada</x:v>
      </x:c>
      <x:c r="O2138" s="66" t="str">
        <x:v>Jawa Tengah</x:v>
      </x:c>
      <x:c r="P2138" s="66" t="str">
        <x:v>Kota Semarang</x:v>
      </x:c>
      <x:c r="Q2138" s="66" t="str">
        <x:v>https://snpmb.id/snbp/daya-tampung-snbp</x:v>
      </x:c>
      <x:c r="R2138" s="66" t="str">
        <x:v>https://sidatagrun-public-1076756628210.asia-southeast2.run.app/ptn_sn.php?ptn=355</x:v>
      </x:c>
    </x:row>
    <x:row r="2139">
      <x:c r="A2139" s="87" t="n">
        <x:v>114</x:v>
      </x:c>
      <x:c r="B2139" s="66" t="n">
        <x:v>355</x:v>
      </x:c>
      <x:c r="C2139" s="66" t="str">
        <x:v>UNIVERSITAS DIPONEGORO</x:v>
      </x:c>
      <x:c r="D2139" s="66" t="str">
        <x:v>PTN Akademik</x:v>
      </x:c>
      <x:c r="E2139" s="66" t="str">
        <x:v>13551086</x:v>
      </x:c>
      <x:c r="F2139" s="66" t="str">
        <x:v>BISNIS DIGITAL</x:v>
      </x:c>
      <x:c r="G2139" s="66" t="str">
        <x:v>Sarjana</x:v>
      </x:c>
      <x:c r="H2139" s="87" t="n">
        <x:v>24</x:v>
      </x:c>
      <x:c r="I2139" s="87" t="n">
        <x:v>793</x:v>
      </x:c>
      <x:c r="J2139" s="68" t="n">
        <x:f>IFERROR(H2139/I2139,"")</x:f>
        <x:v>0.03026481715006305</x:v>
      </x:c>
      <x:c r="K2139" s="69" t="n">
        <x:f>IFERROR(I2139/H2139,"")</x:f>
        <x:v>33.041666666666664</x:v>
      </x:c>
      <x:c r="L2139" s="66" t="str">
        <x:f>IF(K2139="","","1 : "&amp;TEXT(K2139,"0.0"))</x:f>
        <x:v>1 : 33.0</x:v>
      </x:c>
      <x:c r="M2139" s="66" t="str">
        <x:f>IF(J2139="","Baru/Tanpa Data",IF(J2139&lt;='Catatan &amp; Sumber'!$B$14,"Sangat Ketat",IF(J2139&lt;='Catatan &amp; Sumber'!$B$15,"Ketat",IF(J2139&lt;='Catatan &amp; Sumber'!$B$16,"Sedang","Relatif Longgar"))))</x:f>
        <x:v>Ketat</x:v>
      </x:c>
      <x:c r="N2139" s="66" t="str">
        <x:v>Tidak Ada</x:v>
      </x:c>
      <x:c r="O2139" s="66" t="str">
        <x:v>Jawa Tengah</x:v>
      </x:c>
      <x:c r="P2139" s="66" t="str">
        <x:v>Kota Semarang</x:v>
      </x:c>
      <x:c r="Q2139" s="66" t="str">
        <x:v>https://snpmb.id/snbp/daya-tampung-snbp</x:v>
      </x:c>
      <x:c r="R2139" s="66" t="str">
        <x:v>https://sidatagrun-public-1076756628210.asia-southeast2.run.app/ptn_sn.php?ptn=355</x:v>
      </x:c>
    </x:row>
    <x:row r="2140">
      <x:c r="A2140" s="87" t="n">
        <x:v>62</x:v>
      </x:c>
      <x:c r="B2140" s="66" t="n">
        <x:v>355</x:v>
      </x:c>
      <x:c r="C2140" s="66" t="str">
        <x:v>UNIVERSITAS DIPONEGORO</x:v>
      </x:c>
      <x:c r="D2140" s="66" t="str">
        <x:v>PTN Akademik</x:v>
      </x:c>
      <x:c r="E2140" s="66" t="str">
        <x:v>13551087</x:v>
      </x:c>
      <x:c r="F2140" s="66" t="str">
        <x:v>KESELAMATAN DAN KESEHATAN KERJA</x:v>
      </x:c>
      <x:c r="G2140" s="66" t="str">
        <x:v>Sarjana</x:v>
      </x:c>
      <x:c r="H2140" s="87" t="n">
        <x:v>27</x:v>
      </x:c>
      <x:c r="I2140" s="87" t="n">
        <x:v>1104</x:v>
      </x:c>
      <x:c r="J2140" s="68" t="n">
        <x:f>IFERROR(H2140/I2140,"")</x:f>
        <x:v>0.024456521739130436</x:v>
      </x:c>
      <x:c r="K2140" s="69" t="n">
        <x:f>IFERROR(I2140/H2140,"")</x:f>
        <x:v>40.888888888888886</x:v>
      </x:c>
      <x:c r="L2140" s="66" t="str">
        <x:f>IF(K2140="","","1 : "&amp;TEXT(K2140,"0.0"))</x:f>
        <x:v>1 : 40.9</x:v>
      </x:c>
      <x:c r="M2140" s="66" t="str">
        <x:f>IF(J2140="","Baru/Tanpa Data",IF(J2140&lt;='Catatan &amp; Sumber'!$B$14,"Sangat Ketat",IF(J2140&lt;='Catatan &amp; Sumber'!$B$15,"Ketat",IF(J2140&lt;='Catatan &amp; Sumber'!$B$16,"Sedang","Relatif Longgar"))))</x:f>
        <x:v>Ketat</x:v>
      </x:c>
      <x:c r="N2140" s="66" t="str">
        <x:v>Tidak Ada</x:v>
      </x:c>
      <x:c r="O2140" s="66" t="str">
        <x:v>Jawa Tengah</x:v>
      </x:c>
      <x:c r="P2140" s="66" t="str">
        <x:v>Kota Semarang</x:v>
      </x:c>
      <x:c r="Q2140" s="66" t="str">
        <x:v>https://snpmb.id/snbp/daya-tampung-snbp</x:v>
      </x:c>
      <x:c r="R2140" s="66" t="str">
        <x:v>https://sidatagrun-public-1076756628210.asia-southeast2.run.app/ptn_sn.php?ptn=355</x:v>
      </x:c>
    </x:row>
    <x:row r="2141">
      <x:c r="A2141" s="87" t="n">
        <x:v>2984</x:v>
      </x:c>
      <x:c r="B2141" s="66" t="n">
        <x:v>355</x:v>
      </x:c>
      <x:c r="C2141" s="66" t="str">
        <x:v>UNIVERSITAS DIPONEGORO</x:v>
      </x:c>
      <x:c r="D2141" s="66" t="str">
        <x:v>PTN Akademik</x:v>
      </x:c>
      <x:c r="E2141" s="66" t="str">
        <x:v>13551088</x:v>
      </x:c>
      <x:c r="F2141" s="66" t="str">
        <x:v>AGRIBISNIS KAMPUS BATANG</x:v>
      </x:c>
      <x:c r="G2141" s="66" t="str">
        <x:v>Sarjana</x:v>
      </x:c>
      <x:c r="H2141" s="87" t="n">
        <x:v>20</x:v>
      </x:c>
      <x:c r="I2141" s="87" t="n">
        <x:v>69</x:v>
      </x:c>
      <x:c r="J2141" s="68" t="n">
        <x:f>IFERROR(H2141/I2141,"")</x:f>
        <x:v>0.2898550724637681</x:v>
      </x:c>
      <x:c r="K2141" s="69" t="n">
        <x:f>IFERROR(I2141/H2141,"")</x:f>
        <x:v>3.45</x:v>
      </x:c>
      <x:c r="L2141" s="66" t="str">
        <x:f>IF(K2141="","","1 : "&amp;TEXT(K2141,"0.0"))</x:f>
        <x:v>1 : 3.5</x:v>
      </x:c>
      <x:c r="M2141" s="66" t="str">
        <x:f>IF(J2141="","Baru/Tanpa Data",IF(J2141&lt;='Catatan &amp; Sumber'!$B$14,"Sangat Ketat",IF(J2141&lt;='Catatan &amp; Sumber'!$B$15,"Ketat",IF(J2141&lt;='Catatan &amp; Sumber'!$B$16,"Sedang","Relatif Longgar"))))</x:f>
        <x:v>Relatif Longgar</x:v>
      </x:c>
      <x:c r="N2141" s="66" t="str">
        <x:v>Tidak Ada</x:v>
      </x:c>
      <x:c r="O2141" s="66" t="str">
        <x:v>Jawa Tengah</x:v>
      </x:c>
      <x:c r="P2141" s="66" t="str">
        <x:v>Kota Semarang</x:v>
      </x:c>
      <x:c r="Q2141" s="66" t="str">
        <x:v>https://snpmb.id/snbp/daya-tampung-snbp</x:v>
      </x:c>
      <x:c r="R2141" s="66" t="str">
        <x:v>https://sidatagrun-public-1076756628210.asia-southeast2.run.app/ptn_sn.php?ptn=355</x:v>
      </x:c>
    </x:row>
    <x:row r="2142">
      <x:c r="A2142" s="87" t="n">
        <x:v>2234</x:v>
      </x:c>
      <x:c r="B2142" s="66" t="n">
        <x:v>355</x:v>
      </x:c>
      <x:c r="C2142" s="66" t="str">
        <x:v>UNIVERSITAS DIPONEGORO</x:v>
      </x:c>
      <x:c r="D2142" s="66" t="str">
        <x:v>PTN Akademik</x:v>
      </x:c>
      <x:c r="E2142" s="66" t="str">
        <x:v>13551089</x:v>
      </x:c>
      <x:c r="F2142" s="66" t="str">
        <x:v>TEKNOLOGI DAN BISNIS PERIKANAN DAN KELAUTAN</x:v>
      </x:c>
      <x:c r="G2142" s="66" t="str">
        <x:v>Sarjana</x:v>
      </x:c>
      <x:c r="H2142" s="87" t="n">
        <x:v>15</x:v>
      </x:c>
      <x:c r="I2142" s="87" t="n">
        <x:v>85</x:v>
      </x:c>
      <x:c r="J2142" s="68" t="n">
        <x:f>IFERROR(H2142/I2142,"")</x:f>
        <x:v>0.17647058823529413</x:v>
      </x:c>
      <x:c r="K2142" s="69" t="n">
        <x:f>IFERROR(I2142/H2142,"")</x:f>
        <x:v>5.666666666666667</x:v>
      </x:c>
      <x:c r="L2142" s="66" t="str">
        <x:f>IF(K2142="","","1 : "&amp;TEXT(K2142,"0.0"))</x:f>
        <x:v>1 : 5.7</x:v>
      </x:c>
      <x:c r="M2142" s="66" t="str">
        <x:f>IF(J2142="","Baru/Tanpa Data",IF(J2142&lt;='Catatan &amp; Sumber'!$B$14,"Sangat Ketat",IF(J2142&lt;='Catatan &amp; Sumber'!$B$15,"Ketat",IF(J2142&lt;='Catatan &amp; Sumber'!$B$16,"Sedang","Relatif Longgar"))))</x:f>
        <x:v>Relatif Longgar</x:v>
      </x:c>
      <x:c r="N2142" s="66" t="str">
        <x:v>Tidak Ada</x:v>
      </x:c>
      <x:c r="O2142" s="66" t="str">
        <x:v>Jawa Tengah</x:v>
      </x:c>
      <x:c r="P2142" s="66" t="str">
        <x:v>Kota Semarang</x:v>
      </x:c>
      <x:c r="Q2142" s="66" t="str">
        <x:v>https://snpmb.id/snbp/daya-tampung-snbp</x:v>
      </x:c>
      <x:c r="R2142" s="66" t="str">
        <x:v>https://sidatagrun-public-1076756628210.asia-southeast2.run.app/ptn_sn.php?ptn=355</x:v>
      </x:c>
    </x:row>
    <x:row r="2143">
      <x:c r="A2143" s="87"/>
      <x:c r="B2143" s="66" t="n">
        <x:v>355</x:v>
      </x:c>
      <x:c r="C2143" s="66" t="str">
        <x:v>UNIVERSITAS DIPONEGORO</x:v>
      </x:c>
      <x:c r="D2143" s="66" t="str">
        <x:v>PTN Akademik</x:v>
      </x:c>
      <x:c r="E2143" s="66" t="str">
        <x:v>13551090</x:v>
      </x:c>
      <x:c r="F2143" s="66" t="str">
        <x:v>TEKNIK INDUSTRI KAMPUS BATANG</x:v>
      </x:c>
      <x:c r="G2143" s="66" t="str">
        <x:v>Sarjana</x:v>
      </x:c>
      <x:c r="H2143" s="87" t="n">
        <x:v>12</x:v>
      </x:c>
      <x:c r="I2143" s="87"/>
      <x:c r="J2143" s="68" t="str">
        <x:f>IFERROR(H2143/I2143,"")</x:f>
      </x:c>
      <x:c r="K2143" s="69" t="n">
        <x:f>IFERROR(I2143/H2143,"")</x:f>
        <x:v>0</x:v>
      </x:c>
      <x:c r="L2143" s="66" t="str">
        <x:f>IF(K2143="","","1 : "&amp;TEXT(K2143,"0.0"))</x:f>
      </x:c>
      <x:c r="M2143" s="66" t="str">
        <x:f>IF(J2143="","Baru/Tanpa Data",IF(J2143&lt;='Catatan &amp; Sumber'!$B$14,"Sangat Ketat",IF(J2143&lt;='Catatan &amp; Sumber'!$B$15,"Ketat",IF(J2143&lt;='Catatan &amp; Sumber'!$B$16,"Sedang","Relatif Longgar"))))</x:f>
        <x:v>Baru/Tanpa Data</x:v>
      </x:c>
      <x:c r="N2143" s="66" t="str">
        <x:v>Tidak Ada</x:v>
      </x:c>
      <x:c r="O2143" s="66" t="str">
        <x:v>Jawa Tengah</x:v>
      </x:c>
      <x:c r="P2143" s="66" t="str">
        <x:v>Kota Semarang</x:v>
      </x:c>
      <x:c r="Q2143" s="66" t="str">
        <x:v>https://snpmb.id/snbp/daya-tampung-snbp</x:v>
      </x:c>
      <x:c r="R2143" s="66" t="str">
        <x:v>https://sidatagrun-public-1076756628210.asia-southeast2.run.app/ptn_sn.php?ptn=355</x:v>
      </x:c>
    </x:row>
    <x:row r="2144">
      <x:c r="A2144" s="87" t="n">
        <x:v>860</x:v>
      </x:c>
      <x:c r="B2144" s="66" t="n">
        <x:v>355</x:v>
      </x:c>
      <x:c r="C2144" s="66" t="str">
        <x:v>UNIVERSITAS DIPONEGORO</x:v>
      </x:c>
      <x:c r="D2144" s="66" t="str">
        <x:v>PTN Akademik</x:v>
      </x:c>
      <x:c r="E2144" s="66" t="str">
        <x:v>13552075</x:v>
      </x:c>
      <x:c r="F2144" s="66" t="str">
        <x:v>TEKNOLOGI REKAYASA KIMIA INDUSTRI</x:v>
      </x:c>
      <x:c r="G2144" s="66" t="str">
        <x:v>Sarjana Terapan</x:v>
      </x:c>
      <x:c r="H2144" s="87" t="n">
        <x:v>26</x:v>
      </x:c>
      <x:c r="I2144" s="87" t="n">
        <x:v>373</x:v>
      </x:c>
      <x:c r="J2144" s="68" t="n">
        <x:f>IFERROR(H2144/I2144,"")</x:f>
        <x:v>0.06970509383378017</x:v>
      </x:c>
      <x:c r="K2144" s="69" t="n">
        <x:f>IFERROR(I2144/H2144,"")</x:f>
        <x:v>14.346153846153847</x:v>
      </x:c>
      <x:c r="L2144" s="66" t="str">
        <x:f>IF(K2144="","","1 : "&amp;TEXT(K2144,"0.0"))</x:f>
        <x:v>1 : 14.3</x:v>
      </x:c>
      <x:c r="M2144" s="66" t="str">
        <x:f>IF(J2144="","Baru/Tanpa Data",IF(J2144&lt;='Catatan &amp; Sumber'!$B$14,"Sangat Ketat",IF(J2144&lt;='Catatan &amp; Sumber'!$B$15,"Ketat",IF(J2144&lt;='Catatan &amp; Sumber'!$B$16,"Sedang","Relatif Longgar"))))</x:f>
        <x:v>Sedang</x:v>
      </x:c>
      <x:c r="N2144" s="66" t="str">
        <x:v>Tidak Ada</x:v>
      </x:c>
      <x:c r="O2144" s="66" t="str">
        <x:v>Jawa Tengah</x:v>
      </x:c>
      <x:c r="P2144" s="66" t="str">
        <x:v>Kota Semarang</x:v>
      </x:c>
      <x:c r="Q2144" s="66" t="str">
        <x:v>https://snpmb.id/snbp/daya-tampung-snbp</x:v>
      </x:c>
      <x:c r="R2144" s="66" t="str">
        <x:v>https://sidatagrun-public-1076756628210.asia-southeast2.run.app/ptn_sn.php?ptn=355</x:v>
      </x:c>
    </x:row>
    <x:row r="2145">
      <x:c r="A2145" s="87" t="n">
        <x:v>1461</x:v>
      </x:c>
      <x:c r="B2145" s="66" t="n">
        <x:v>355</x:v>
      </x:c>
      <x:c r="C2145" s="66" t="str">
        <x:v>UNIVERSITAS DIPONEGORO</x:v>
      </x:c>
      <x:c r="D2145" s="66" t="str">
        <x:v>PTN Akademik</x:v>
      </x:c>
      <x:c r="E2145" s="66" t="str">
        <x:v>13552076</x:v>
      </x:c>
      <x:c r="F2145" s="66" t="str">
        <x:v>TEKNOLOGI REKAYASA OTOMASI</x:v>
      </x:c>
      <x:c r="G2145" s="66" t="str">
        <x:v>Sarjana Terapan</x:v>
      </x:c>
      <x:c r="H2145" s="87" t="n">
        <x:v>26</x:v>
      </x:c>
      <x:c r="I2145" s="87" t="n">
        <x:v>244</x:v>
      </x:c>
      <x:c r="J2145" s="68" t="n">
        <x:f>IFERROR(H2145/I2145,"")</x:f>
        <x:v>0.10655737704918032</x:v>
      </x:c>
      <x:c r="K2145" s="69" t="n">
        <x:f>IFERROR(I2145/H2145,"")</x:f>
        <x:v>9.384615384615385</x:v>
      </x:c>
      <x:c r="L2145" s="66" t="str">
        <x:f>IF(K2145="","","1 : "&amp;TEXT(K2145,"0.0"))</x:f>
        <x:v>1 : 9.4</x:v>
      </x:c>
      <x:c r="M2145" s="66" t="str">
        <x:f>IF(J2145="","Baru/Tanpa Data",IF(J2145&lt;='Catatan &amp; Sumber'!$B$14,"Sangat Ketat",IF(J2145&lt;='Catatan &amp; Sumber'!$B$15,"Ketat",IF(J2145&lt;='Catatan &amp; Sumber'!$B$16,"Sedang","Relatif Longgar"))))</x:f>
        <x:v>Relatif Longgar</x:v>
      </x:c>
      <x:c r="N2145" s="66" t="str">
        <x:v>Tidak Ada</x:v>
      </x:c>
      <x:c r="O2145" s="66" t="str">
        <x:v>Jawa Tengah</x:v>
      </x:c>
      <x:c r="P2145" s="66" t="str">
        <x:v>Kota Semarang</x:v>
      </x:c>
      <x:c r="Q2145" s="66" t="str">
        <x:v>https://snpmb.id/snbp/daya-tampung-snbp</x:v>
      </x:c>
      <x:c r="R2145" s="66" t="str">
        <x:v>https://sidatagrun-public-1076756628210.asia-southeast2.run.app/ptn_sn.php?ptn=355</x:v>
      </x:c>
    </x:row>
    <x:row r="2146">
      <x:c r="A2146" s="87" t="n">
        <x:v>1769</x:v>
      </x:c>
      <x:c r="B2146" s="66" t="n">
        <x:v>355</x:v>
      </x:c>
      <x:c r="C2146" s="66" t="str">
        <x:v>UNIVERSITAS DIPONEGORO</x:v>
      </x:c>
      <x:c r="D2146" s="66" t="str">
        <x:v>PTN Akademik</x:v>
      </x:c>
      <x:c r="E2146" s="66" t="str">
        <x:v>13552077</x:v>
      </x:c>
      <x:c r="F2146" s="66" t="str">
        <x:v>REKAYASA PERANCANGAN MEKANIK</x:v>
      </x:c>
      <x:c r="G2146" s="66" t="str">
        <x:v>Sarjana Terapan</x:v>
      </x:c>
      <x:c r="H2146" s="87" t="n">
        <x:v>26</x:v>
      </x:c>
      <x:c r="I2146" s="87" t="n">
        <x:v>200</x:v>
      </x:c>
      <x:c r="J2146" s="68" t="n">
        <x:f>IFERROR(H2146/I2146,"")</x:f>
        <x:v>0.13</x:v>
      </x:c>
      <x:c r="K2146" s="69" t="n">
        <x:f>IFERROR(I2146/H2146,"")</x:f>
        <x:v>7.6923076923076925</x:v>
      </x:c>
      <x:c r="L2146" s="66" t="str">
        <x:f>IF(K2146="","","1 : "&amp;TEXT(K2146,"0.0"))</x:f>
        <x:v>1 : 7.7</x:v>
      </x:c>
      <x:c r="M2146" s="66" t="str">
        <x:f>IF(J2146="","Baru/Tanpa Data",IF(J2146&lt;='Catatan &amp; Sumber'!$B$14,"Sangat Ketat",IF(J2146&lt;='Catatan &amp; Sumber'!$B$15,"Ketat",IF(J2146&lt;='Catatan &amp; Sumber'!$B$16,"Sedang","Relatif Longgar"))))</x:f>
        <x:v>Relatif Longgar</x:v>
      </x:c>
      <x:c r="N2146" s="66" t="str">
        <x:v>Tidak Ada</x:v>
      </x:c>
      <x:c r="O2146" s="66" t="str">
        <x:v>Jawa Tengah</x:v>
      </x:c>
      <x:c r="P2146" s="66" t="str">
        <x:v>Kota Semarang</x:v>
      </x:c>
      <x:c r="Q2146" s="66" t="str">
        <x:v>https://snpmb.id/snbp/daya-tampung-snbp</x:v>
      </x:c>
      <x:c r="R2146" s="66" t="str">
        <x:v>https://sidatagrun-public-1076756628210.asia-southeast2.run.app/ptn_sn.php?ptn=355</x:v>
      </x:c>
    </x:row>
    <x:row r="2147">
      <x:c r="A2147" s="87" t="n">
        <x:v>2151</x:v>
      </x:c>
      <x:c r="B2147" s="66" t="n">
        <x:v>355</x:v>
      </x:c>
      <x:c r="C2147" s="66" t="str">
        <x:v>UNIVERSITAS DIPONEGORO</x:v>
      </x:c>
      <x:c r="D2147" s="66" t="str">
        <x:v>PTN Akademik</x:v>
      </x:c>
      <x:c r="E2147" s="66" t="str">
        <x:v>13552078</x:v>
      </x:c>
      <x:c r="F2147" s="66" t="str">
        <x:v>TEKNOLOGI REKAYASA KONSTRUKSI PERKAPALAN</x:v>
      </x:c>
      <x:c r="G2147" s="66" t="str">
        <x:v>Sarjana Terapan</x:v>
      </x:c>
      <x:c r="H2147" s="87" t="n">
        <x:v>24</x:v>
      </x:c>
      <x:c r="I2147" s="87" t="n">
        <x:v>144</x:v>
      </x:c>
      <x:c r="J2147" s="68" t="n">
        <x:f>IFERROR(H2147/I2147,"")</x:f>
        <x:v>0.16666666666666666</x:v>
      </x:c>
      <x:c r="K2147" s="69" t="n">
        <x:f>IFERROR(I2147/H2147,"")</x:f>
        <x:v>6</x:v>
      </x:c>
      <x:c r="L2147" s="66" t="str">
        <x:f>IF(K2147="","","1 : "&amp;TEXT(K2147,"0.0"))</x:f>
        <x:v>1 : 6.0</x:v>
      </x:c>
      <x:c r="M2147" s="66" t="str">
        <x:f>IF(J2147="","Baru/Tanpa Data",IF(J2147&lt;='Catatan &amp; Sumber'!$B$14,"Sangat Ketat",IF(J2147&lt;='Catatan &amp; Sumber'!$B$15,"Ketat",IF(J2147&lt;='Catatan &amp; Sumber'!$B$16,"Sedang","Relatif Longgar"))))</x:f>
        <x:v>Relatif Longgar</x:v>
      </x:c>
      <x:c r="N2147" s="66" t="str">
        <x:v>Tidak Ada</x:v>
      </x:c>
      <x:c r="O2147" s="66" t="str">
        <x:v>Jawa Tengah</x:v>
      </x:c>
      <x:c r="P2147" s="66" t="str">
        <x:v>Kota Semarang</x:v>
      </x:c>
      <x:c r="Q2147" s="66" t="str">
        <x:v>https://snpmb.id/snbp/daya-tampung-snbp</x:v>
      </x:c>
      <x:c r="R2147" s="66" t="str">
        <x:v>https://sidatagrun-public-1076756628210.asia-southeast2.run.app/ptn_sn.php?ptn=355</x:v>
      </x:c>
    </x:row>
    <x:row r="2148">
      <x:c r="A2148" s="87" t="n">
        <x:v>1556</x:v>
      </x:c>
      <x:c r="B2148" s="66" t="n">
        <x:v>355</x:v>
      </x:c>
      <x:c r="C2148" s="66" t="str">
        <x:v>UNIVERSITAS DIPONEGORO</x:v>
      </x:c>
      <x:c r="D2148" s="66" t="str">
        <x:v>PTN Akademik</x:v>
      </x:c>
      <x:c r="E2148" s="66" t="str">
        <x:v>13552079</x:v>
      </x:c>
      <x:c r="F2148" s="66" t="str">
        <x:v>TEKNIK LISTRIK INDUSTRI</x:v>
      </x:c>
      <x:c r="G2148" s="66" t="str">
        <x:v>Sarjana Terapan</x:v>
      </x:c>
      <x:c r="H2148" s="87" t="n">
        <x:v>26</x:v>
      </x:c>
      <x:c r="I2148" s="87" t="n">
        <x:v>229</x:v>
      </x:c>
      <x:c r="J2148" s="68" t="n">
        <x:f>IFERROR(H2148/I2148,"")</x:f>
        <x:v>0.11353711790393013</x:v>
      </x:c>
      <x:c r="K2148" s="69" t="n">
        <x:f>IFERROR(I2148/H2148,"")</x:f>
        <x:v>8.807692307692308</x:v>
      </x:c>
      <x:c r="L2148" s="66" t="str">
        <x:f>IF(K2148="","","1 : "&amp;TEXT(K2148,"0.0"))</x:f>
        <x:v>1 : 8.8</x:v>
      </x:c>
      <x:c r="M2148" s="66" t="str">
        <x:f>IF(J2148="","Baru/Tanpa Data",IF(J2148&lt;='Catatan &amp; Sumber'!$B$14,"Sangat Ketat",IF(J2148&lt;='Catatan &amp; Sumber'!$B$15,"Ketat",IF(J2148&lt;='Catatan &amp; Sumber'!$B$16,"Sedang","Relatif Longgar"))))</x:f>
        <x:v>Relatif Longgar</x:v>
      </x:c>
      <x:c r="N2148" s="66" t="str">
        <x:v>Tidak Ada</x:v>
      </x:c>
      <x:c r="O2148" s="66" t="str">
        <x:v>Jawa Tengah</x:v>
      </x:c>
      <x:c r="P2148" s="66" t="str">
        <x:v>Kota Semarang</x:v>
      </x:c>
      <x:c r="Q2148" s="66" t="str">
        <x:v>https://snpmb.id/snbp/daya-tampung-snbp</x:v>
      </x:c>
      <x:c r="R2148" s="66" t="str">
        <x:v>https://sidatagrun-public-1076756628210.asia-southeast2.run.app/ptn_sn.php?ptn=355</x:v>
      </x:c>
    </x:row>
    <x:row r="2149">
      <x:c r="A2149" s="87" t="n">
        <x:v>1263</x:v>
      </x:c>
      <x:c r="B2149" s="66" t="n">
        <x:v>355</x:v>
      </x:c>
      <x:c r="C2149" s="66" t="str">
        <x:v>UNIVERSITAS DIPONEGORO</x:v>
      </x:c>
      <x:c r="D2149" s="66" t="str">
        <x:v>PTN Akademik</x:v>
      </x:c>
      <x:c r="E2149" s="66" t="str">
        <x:v>13552080</x:v>
      </x:c>
      <x:c r="F2149" s="66" t="str">
        <x:v>PERENCANAAN TATA RUANG DAN PERTANAHAN</x:v>
      </x:c>
      <x:c r="G2149" s="66" t="str">
        <x:v>Sarjana Terapan</x:v>
      </x:c>
      <x:c r="H2149" s="87" t="n">
        <x:v>30</x:v>
      </x:c>
      <x:c r="I2149" s="87" t="n">
        <x:v>320</x:v>
      </x:c>
      <x:c r="J2149" s="68" t="n">
        <x:f>IFERROR(H2149/I2149,"")</x:f>
        <x:v>0.09375</x:v>
      </x:c>
      <x:c r="K2149" s="69" t="n">
        <x:f>IFERROR(I2149/H2149,"")</x:f>
        <x:v>10.666666666666666</x:v>
      </x:c>
      <x:c r="L2149" s="66" t="str">
        <x:f>IF(K2149="","","1 : "&amp;TEXT(K2149,"0.0"))</x:f>
        <x:v>1 : 10.7</x:v>
      </x:c>
      <x:c r="M2149" s="66" t="str">
        <x:f>IF(J2149="","Baru/Tanpa Data",IF(J2149&lt;='Catatan &amp; Sumber'!$B$14,"Sangat Ketat",IF(J2149&lt;='Catatan &amp; Sumber'!$B$15,"Ketat",IF(J2149&lt;='Catatan &amp; Sumber'!$B$16,"Sedang","Relatif Longgar"))))</x:f>
        <x:v>Sedang</x:v>
      </x:c>
      <x:c r="N2149" s="66" t="str">
        <x:v>Tidak Ada</x:v>
      </x:c>
      <x:c r="O2149" s="66" t="str">
        <x:v>Jawa Tengah</x:v>
      </x:c>
      <x:c r="P2149" s="66" t="str">
        <x:v>Kota Semarang</x:v>
      </x:c>
      <x:c r="Q2149" s="66" t="str">
        <x:v>https://snpmb.id/snbp/daya-tampung-snbp</x:v>
      </x:c>
      <x:c r="R2149" s="66" t="str">
        <x:v>https://sidatagrun-public-1076756628210.asia-southeast2.run.app/ptn_sn.php?ptn=355</x:v>
      </x:c>
    </x:row>
    <x:row r="2150">
      <x:c r="A2150" s="87" t="n">
        <x:v>924</x:v>
      </x:c>
      <x:c r="B2150" s="66" t="n">
        <x:v>355</x:v>
      </x:c>
      <x:c r="C2150" s="66" t="str">
        <x:v>UNIVERSITAS DIPONEGORO</x:v>
      </x:c>
      <x:c r="D2150" s="66" t="str">
        <x:v>PTN Akademik</x:v>
      </x:c>
      <x:c r="E2150" s="66" t="str">
        <x:v>13552081</x:v>
      </x:c>
      <x:c r="F2150" s="66" t="str">
        <x:v>TEKNIK INFRASTRUKTUR SIPIL DAN PERANCANGAN ARSITEKTUR</x:v>
      </x:c>
      <x:c r="G2150" s="66" t="str">
        <x:v>Sarjana Terapan</x:v>
      </x:c>
      <x:c r="H2150" s="87" t="n">
        <x:v>42</x:v>
      </x:c>
      <x:c r="I2150" s="87" t="n">
        <x:v>569</x:v>
      </x:c>
      <x:c r="J2150" s="68" t="n">
        <x:f>IFERROR(H2150/I2150,"")</x:f>
        <x:v>0.07381370826010544</x:v>
      </x:c>
      <x:c r="K2150" s="69" t="n">
        <x:f>IFERROR(I2150/H2150,"")</x:f>
        <x:v>13.547619047619047</x:v>
      </x:c>
      <x:c r="L2150" s="66" t="str">
        <x:f>IF(K2150="","","1 : "&amp;TEXT(K2150,"0.0"))</x:f>
        <x:v>1 : 13.5</x:v>
      </x:c>
      <x:c r="M2150" s="66" t="str">
        <x:f>IF(J2150="","Baru/Tanpa Data",IF(J2150&lt;='Catatan &amp; Sumber'!$B$14,"Sangat Ketat",IF(J2150&lt;='Catatan &amp; Sumber'!$B$15,"Ketat",IF(J2150&lt;='Catatan &amp; Sumber'!$B$16,"Sedang","Relatif Longgar"))))</x:f>
        <x:v>Sedang</x:v>
      </x:c>
      <x:c r="N2150" s="66" t="str">
        <x:v>Tidak Ada</x:v>
      </x:c>
      <x:c r="O2150" s="66" t="str">
        <x:v>Jawa Tengah</x:v>
      </x:c>
      <x:c r="P2150" s="66" t="str">
        <x:v>Kota Semarang</x:v>
      </x:c>
      <x:c r="Q2150" s="66" t="str">
        <x:v>https://snpmb.id/snbp/daya-tampung-snbp</x:v>
      </x:c>
      <x:c r="R2150" s="66" t="str">
        <x:v>https://sidatagrun-public-1076756628210.asia-southeast2.run.app/ptn_sn.php?ptn=355</x:v>
      </x:c>
    </x:row>
    <x:row r="2151">
      <x:c r="A2151" s="87" t="n">
        <x:v>1397</x:v>
      </x:c>
      <x:c r="B2151" s="66" t="n">
        <x:v>355</x:v>
      </x:c>
      <x:c r="C2151" s="66" t="str">
        <x:v>UNIVERSITAS DIPONEGORO</x:v>
      </x:c>
      <x:c r="D2151" s="66" t="str">
        <x:v>PTN Akademik</x:v>
      </x:c>
      <x:c r="E2151" s="66" t="str">
        <x:v>13552082</x:v>
      </x:c>
      <x:c r="F2151" s="66" t="str">
        <x:v>AKUNTANSI PERPAJAKAN</x:v>
      </x:c>
      <x:c r="G2151" s="66" t="str">
        <x:v>Sarjana Terapan</x:v>
      </x:c>
      <x:c r="H2151" s="87" t="n">
        <x:v>86</x:v>
      </x:c>
      <x:c r="I2151" s="87" t="n">
        <x:v>845</x:v>
      </x:c>
      <x:c r="J2151" s="68" t="n">
        <x:f>IFERROR(H2151/I2151,"")</x:f>
        <x:v>0.10177514792899409</x:v>
      </x:c>
      <x:c r="K2151" s="69" t="n">
        <x:f>IFERROR(I2151/H2151,"")</x:f>
        <x:v>9.825581395348838</x:v>
      </x:c>
      <x:c r="L2151" s="66" t="str">
        <x:f>IF(K2151="","","1 : "&amp;TEXT(K2151,"0.0"))</x:f>
        <x:v>1 : 9.8</x:v>
      </x:c>
      <x:c r="M2151" s="66" t="str">
        <x:f>IF(J2151="","Baru/Tanpa Data",IF(J2151&lt;='Catatan &amp; Sumber'!$B$14,"Sangat Ketat",IF(J2151&lt;='Catatan &amp; Sumber'!$B$15,"Ketat",IF(J2151&lt;='Catatan &amp; Sumber'!$B$16,"Sedang","Relatif Longgar"))))</x:f>
        <x:v>Relatif Longgar</x:v>
      </x:c>
      <x:c r="N2151" s="66" t="str">
        <x:v>Tidak Ada</x:v>
      </x:c>
      <x:c r="O2151" s="66" t="str">
        <x:v>Jawa Tengah</x:v>
      </x:c>
      <x:c r="P2151" s="66" t="str">
        <x:v>Kota Semarang</x:v>
      </x:c>
      <x:c r="Q2151" s="66" t="str">
        <x:v>https://snpmb.id/snbp/daya-tampung-snbp</x:v>
      </x:c>
      <x:c r="R2151" s="66" t="str">
        <x:v>https://sidatagrun-public-1076756628210.asia-southeast2.run.app/ptn_sn.php?ptn=355</x:v>
      </x:c>
    </x:row>
    <x:row r="2152">
      <x:c r="A2152" s="87" t="n">
        <x:v>945</x:v>
      </x:c>
      <x:c r="B2152" s="66" t="n">
        <x:v>355</x:v>
      </x:c>
      <x:c r="C2152" s="66" t="str">
        <x:v>UNIVERSITAS DIPONEGORO</x:v>
      </x:c>
      <x:c r="D2152" s="66" t="str">
        <x:v>PTN Akademik</x:v>
      </x:c>
      <x:c r="E2152" s="66" t="str">
        <x:v>13552083</x:v>
      </x:c>
      <x:c r="F2152" s="66" t="str">
        <x:v>MANAJEMEN DAN ADMINISTRASI LOGISTIK</x:v>
      </x:c>
      <x:c r="G2152" s="66" t="str">
        <x:v>Sarjana Terapan</x:v>
      </x:c>
      <x:c r="H2152" s="87" t="n">
        <x:v>46</x:v>
      </x:c>
      <x:c r="I2152" s="87" t="n">
        <x:v>614</x:v>
      </x:c>
      <x:c r="J2152" s="68" t="n">
        <x:f>IFERROR(H2152/I2152,"")</x:f>
        <x:v>0.0749185667752443</x:v>
      </x:c>
      <x:c r="K2152" s="69" t="n">
        <x:f>IFERROR(I2152/H2152,"")</x:f>
        <x:v>13.347826086956522</x:v>
      </x:c>
      <x:c r="L2152" s="66" t="str">
        <x:f>IF(K2152="","","1 : "&amp;TEXT(K2152,"0.0"))</x:f>
        <x:v>1 : 13.3</x:v>
      </x:c>
      <x:c r="M2152" s="66" t="str">
        <x:f>IF(J2152="","Baru/Tanpa Data",IF(J2152&lt;='Catatan &amp; Sumber'!$B$14,"Sangat Ketat",IF(J2152&lt;='Catatan &amp; Sumber'!$B$15,"Ketat",IF(J2152&lt;='Catatan &amp; Sumber'!$B$16,"Sedang","Relatif Longgar"))))</x:f>
        <x:v>Sedang</x:v>
      </x:c>
      <x:c r="N2152" s="66" t="str">
        <x:v>Tidak Ada</x:v>
      </x:c>
      <x:c r="O2152" s="66" t="str">
        <x:v>Jawa Tengah</x:v>
      </x:c>
      <x:c r="P2152" s="66" t="str">
        <x:v>Kota Semarang</x:v>
      </x:c>
      <x:c r="Q2152" s="66" t="str">
        <x:v>https://snpmb.id/snbp/daya-tampung-snbp</x:v>
      </x:c>
      <x:c r="R2152" s="66" t="str">
        <x:v>https://sidatagrun-public-1076756628210.asia-southeast2.run.app/ptn_sn.php?ptn=355</x:v>
      </x:c>
    </x:row>
    <x:row r="2153">
      <x:c r="A2153" s="87" t="n">
        <x:v>1458</x:v>
      </x:c>
      <x:c r="B2153" s="66" t="n">
        <x:v>355</x:v>
      </x:c>
      <x:c r="C2153" s="66" t="str">
        <x:v>UNIVERSITAS DIPONEGORO</x:v>
      </x:c>
      <x:c r="D2153" s="66" t="str">
        <x:v>PTN Akademik</x:v>
      </x:c>
      <x:c r="E2153" s="66" t="str">
        <x:v>13552084</x:v>
      </x:c>
      <x:c r="F2153" s="66" t="str">
        <x:v>BAHASA ASING TERAPAN</x:v>
      </x:c>
      <x:c r="G2153" s="66" t="str">
        <x:v>Sarjana Terapan</x:v>
      </x:c>
      <x:c r="H2153" s="87" t="n">
        <x:v>30</x:v>
      </x:c>
      <x:c r="I2153" s="87" t="n">
        <x:v>282</x:v>
      </x:c>
      <x:c r="J2153" s="68" t="n">
        <x:f>IFERROR(H2153/I2153,"")</x:f>
        <x:v>0.10638297872340426</x:v>
      </x:c>
      <x:c r="K2153" s="69" t="n">
        <x:f>IFERROR(I2153/H2153,"")</x:f>
        <x:v>9.4</x:v>
      </x:c>
      <x:c r="L2153" s="66" t="str">
        <x:f>IF(K2153="","","1 : "&amp;TEXT(K2153,"0.0"))</x:f>
        <x:v>1 : 9.4</x:v>
      </x:c>
      <x:c r="M2153" s="66" t="str">
        <x:f>IF(J2153="","Baru/Tanpa Data",IF(J2153&lt;='Catatan &amp; Sumber'!$B$14,"Sangat Ketat",IF(J2153&lt;='Catatan &amp; Sumber'!$B$15,"Ketat",IF(J2153&lt;='Catatan &amp; Sumber'!$B$16,"Sedang","Relatif Longgar"))))</x:f>
        <x:v>Relatif Longgar</x:v>
      </x:c>
      <x:c r="N2153" s="66" t="str">
        <x:v>Tidak Ada</x:v>
      </x:c>
      <x:c r="O2153" s="66" t="str">
        <x:v>Jawa Tengah</x:v>
      </x:c>
      <x:c r="P2153" s="66" t="str">
        <x:v>Kota Semarang</x:v>
      </x:c>
      <x:c r="Q2153" s="66" t="str">
        <x:v>https://snpmb.id/snbp/daya-tampung-snbp</x:v>
      </x:c>
      <x:c r="R2153" s="66" t="str">
        <x:v>https://sidatagrun-public-1076756628210.asia-southeast2.run.app/ptn_sn.php?ptn=355</x:v>
      </x:c>
    </x:row>
    <x:row r="2154">
      <x:c r="A2154" s="87" t="n">
        <x:v>1482</x:v>
      </x:c>
      <x:c r="B2154" s="66" t="n">
        <x:v>355</x:v>
      </x:c>
      <x:c r="C2154" s="66" t="str">
        <x:v>UNIVERSITAS DIPONEGORO</x:v>
      </x:c>
      <x:c r="D2154" s="66" t="str">
        <x:v>PTN Akademik</x:v>
      </x:c>
      <x:c r="E2154" s="66" t="str">
        <x:v>13552085</x:v>
      </x:c>
      <x:c r="F2154" s="66" t="str">
        <x:v>INFORMASI DAN HUMAS</x:v>
      </x:c>
      <x:c r="G2154" s="66" t="str">
        <x:v>Sarjana Terapan</x:v>
      </x:c>
      <x:c r="H2154" s="87" t="n">
        <x:v>46</x:v>
      </x:c>
      <x:c r="I2154" s="87" t="n">
        <x:v>424</x:v>
      </x:c>
      <x:c r="J2154" s="68" t="n">
        <x:f>IFERROR(H2154/I2154,"")</x:f>
        <x:v>0.10849056603773585</x:v>
      </x:c>
      <x:c r="K2154" s="69" t="n">
        <x:f>IFERROR(I2154/H2154,"")</x:f>
        <x:v>9.217391304347826</x:v>
      </x:c>
      <x:c r="L2154" s="66" t="str">
        <x:f>IF(K2154="","","1 : "&amp;TEXT(K2154,"0.0"))</x:f>
        <x:v>1 : 9.2</x:v>
      </x:c>
      <x:c r="M2154" s="66" t="str">
        <x:f>IF(J2154="","Baru/Tanpa Data",IF(J2154&lt;='Catatan &amp; Sumber'!$B$14,"Sangat Ketat",IF(J2154&lt;='Catatan &amp; Sumber'!$B$15,"Ketat",IF(J2154&lt;='Catatan &amp; Sumber'!$B$16,"Sedang","Relatif Longgar"))))</x:f>
        <x:v>Relatif Longgar</x:v>
      </x:c>
      <x:c r="N2154" s="66" t="str">
        <x:v>Tidak Ada</x:v>
      </x:c>
      <x:c r="O2154" s="66" t="str">
        <x:v>Jawa Tengah</x:v>
      </x:c>
      <x:c r="P2154" s="66" t="str">
        <x:v>Kota Semarang</x:v>
      </x:c>
      <x:c r="Q2154" s="66" t="str">
        <x:v>https://snpmb.id/snbp/daya-tampung-snbp</x:v>
      </x:c>
      <x:c r="R2154" s="66" t="str">
        <x:v>https://sidatagrun-public-1076756628210.asia-southeast2.run.app/ptn_sn.php?ptn=355</x:v>
      </x:c>
    </x:row>
    <x:row r="2155">
      <x:c r="A2155" s="87" t="n">
        <x:v>847</x:v>
      </x:c>
      <x:c r="B2155" s="66" t="n">
        <x:v>356</x:v>
      </x:c>
      <x:c r="C2155" s="66" t="str">
        <x:v>UNIVERSITAS NEGERI SEMARANG</x:v>
      </x:c>
      <x:c r="D2155" s="66" t="str">
        <x:v>PTN Akademik</x:v>
      </x:c>
      <x:c r="E2155" s="66" t="str">
        <x:v>13561001</x:v>
      </x:c>
      <x:c r="F2155" s="66" t="str">
        <x:v>PENDIDIKAN MATEMATIKA</x:v>
      </x:c>
      <x:c r="G2155" s="66" t="str">
        <x:v>Sarjana</x:v>
      </x:c>
      <x:c r="H2155" s="87" t="n">
        <x:v>39</x:v>
      </x:c>
      <x:c r="I2155" s="87" t="n">
        <x:v>564</x:v>
      </x:c>
      <x:c r="J2155" s="68" t="n">
        <x:f>IFERROR(H2155/I2155,"")</x:f>
        <x:v>0.06914893617021277</x:v>
      </x:c>
      <x:c r="K2155" s="69" t="n">
        <x:f>IFERROR(I2155/H2155,"")</x:f>
        <x:v>14.461538461538462</x:v>
      </x:c>
      <x:c r="L2155" s="66" t="str">
        <x:f>IF(K2155="","","1 : "&amp;TEXT(K2155,"0.0"))</x:f>
        <x:v>1 : 14.5</x:v>
      </x:c>
      <x:c r="M2155" s="66" t="str">
        <x:f>IF(J2155="","Baru/Tanpa Data",IF(J2155&lt;='Catatan &amp; Sumber'!$B$14,"Sangat Ketat",IF(J2155&lt;='Catatan &amp; Sumber'!$B$15,"Ketat",IF(J2155&lt;='Catatan &amp; Sumber'!$B$16,"Sedang","Relatif Longgar"))))</x:f>
        <x:v>Sedang</x:v>
      </x:c>
      <x:c r="N2155" s="66" t="str">
        <x:v>Tidak Ada</x:v>
      </x:c>
      <x:c r="O2155" s="66" t="str">
        <x:v>Jawa Tengah</x:v>
      </x:c>
      <x:c r="P2155" s="66" t="str">
        <x:v>Kota Semarang</x:v>
      </x:c>
      <x:c r="Q2155" s="66" t="str">
        <x:v>https://snpmb.id/snbp/daya-tampung-snbp</x:v>
      </x:c>
      <x:c r="R2155" s="66" t="str">
        <x:v>https://sidatagrun-public-1076756628210.asia-southeast2.run.app/ptn_sn.php?ptn=356</x:v>
      </x:c>
    </x:row>
    <x:row r="2156">
      <x:c r="A2156" s="87" t="n">
        <x:v>2191</x:v>
      </x:c>
      <x:c r="B2156" s="66" t="n">
        <x:v>356</x:v>
      </x:c>
      <x:c r="C2156" s="66" t="str">
        <x:v>UNIVERSITAS NEGERI SEMARANG</x:v>
      </x:c>
      <x:c r="D2156" s="66" t="str">
        <x:v>PTN Akademik</x:v>
      </x:c>
      <x:c r="E2156" s="66" t="str">
        <x:v>13561002</x:v>
      </x:c>
      <x:c r="F2156" s="66" t="str">
        <x:v>PENDIDIKAN FISIKA</x:v>
      </x:c>
      <x:c r="G2156" s="66" t="str">
        <x:v>Sarjana</x:v>
      </x:c>
      <x:c r="H2156" s="87" t="n">
        <x:v>31</x:v>
      </x:c>
      <x:c r="I2156" s="87" t="n">
        <x:v>182</x:v>
      </x:c>
      <x:c r="J2156" s="68" t="n">
        <x:f>IFERROR(H2156/I2156,"")</x:f>
        <x:v>0.17032967032967034</x:v>
      </x:c>
      <x:c r="K2156" s="69" t="n">
        <x:f>IFERROR(I2156/H2156,"")</x:f>
        <x:v>5.870967741935484</x:v>
      </x:c>
      <x:c r="L2156" s="66" t="str">
        <x:f>IF(K2156="","","1 : "&amp;TEXT(K2156,"0.0"))</x:f>
        <x:v>1 : 5.9</x:v>
      </x:c>
      <x:c r="M2156" s="66" t="str">
        <x:f>IF(J2156="","Baru/Tanpa Data",IF(J2156&lt;='Catatan &amp; Sumber'!$B$14,"Sangat Ketat",IF(J2156&lt;='Catatan &amp; Sumber'!$B$15,"Ketat",IF(J2156&lt;='Catatan &amp; Sumber'!$B$16,"Sedang","Relatif Longgar"))))</x:f>
        <x:v>Relatif Longgar</x:v>
      </x:c>
      <x:c r="N2156" s="66" t="str">
        <x:v>Tidak Ada</x:v>
      </x:c>
      <x:c r="O2156" s="66" t="str">
        <x:v>Jawa Tengah</x:v>
      </x:c>
      <x:c r="P2156" s="66" t="str">
        <x:v>Kota Semarang</x:v>
      </x:c>
      <x:c r="Q2156" s="66" t="str">
        <x:v>https://snpmb.id/snbp/daya-tampung-snbp</x:v>
      </x:c>
      <x:c r="R2156" s="66" t="str">
        <x:v>https://sidatagrun-public-1076756628210.asia-southeast2.run.app/ptn_sn.php?ptn=356</x:v>
      </x:c>
    </x:row>
    <x:row r="2157">
      <x:c r="A2157" s="87" t="n">
        <x:v>1585</x:v>
      </x:c>
      <x:c r="B2157" s="66" t="n">
        <x:v>356</x:v>
      </x:c>
      <x:c r="C2157" s="66" t="str">
        <x:v>UNIVERSITAS NEGERI SEMARANG</x:v>
      </x:c>
      <x:c r="D2157" s="66" t="str">
        <x:v>PTN Akademik</x:v>
      </x:c>
      <x:c r="E2157" s="66" t="str">
        <x:v>13561003</x:v>
      </x:c>
      <x:c r="F2157" s="66" t="str">
        <x:v>PENDIDIKAN KIMIA</x:v>
      </x:c>
      <x:c r="G2157" s="66" t="str">
        <x:v>Sarjana</x:v>
      </x:c>
      <x:c r="H2157" s="87" t="n">
        <x:v>31</x:v>
      </x:c>
      <x:c r="I2157" s="87" t="n">
        <x:v>270</x:v>
      </x:c>
      <x:c r="J2157" s="68" t="n">
        <x:f>IFERROR(H2157/I2157,"")</x:f>
        <x:v>0.11481481481481481</x:v>
      </x:c>
      <x:c r="K2157" s="69" t="n">
        <x:f>IFERROR(I2157/H2157,"")</x:f>
        <x:v>8.709677419354838</x:v>
      </x:c>
      <x:c r="L2157" s="66" t="str">
        <x:f>IF(K2157="","","1 : "&amp;TEXT(K2157,"0.0"))</x:f>
        <x:v>1 : 8.7</x:v>
      </x:c>
      <x:c r="M2157" s="66" t="str">
        <x:f>IF(J2157="","Baru/Tanpa Data",IF(J2157&lt;='Catatan &amp; Sumber'!$B$14,"Sangat Ketat",IF(J2157&lt;='Catatan &amp; Sumber'!$B$15,"Ketat",IF(J2157&lt;='Catatan &amp; Sumber'!$B$16,"Sedang","Relatif Longgar"))))</x:f>
        <x:v>Relatif Longgar</x:v>
      </x:c>
      <x:c r="N2157" s="66" t="str">
        <x:v>Tidak Ada</x:v>
      </x:c>
      <x:c r="O2157" s="66" t="str">
        <x:v>Jawa Tengah</x:v>
      </x:c>
      <x:c r="P2157" s="66" t="str">
        <x:v>Kota Semarang</x:v>
      </x:c>
      <x:c r="Q2157" s="66" t="str">
        <x:v>https://snpmb.id/snbp/daya-tampung-snbp</x:v>
      </x:c>
      <x:c r="R2157" s="66" t="str">
        <x:v>https://sidatagrun-public-1076756628210.asia-southeast2.run.app/ptn_sn.php?ptn=356</x:v>
      </x:c>
    </x:row>
    <x:row r="2158">
      <x:c r="A2158" s="87" t="n">
        <x:v>621</x:v>
      </x:c>
      <x:c r="B2158" s="66" t="n">
        <x:v>356</x:v>
      </x:c>
      <x:c r="C2158" s="66" t="str">
        <x:v>UNIVERSITAS NEGERI SEMARANG</x:v>
      </x:c>
      <x:c r="D2158" s="66" t="str">
        <x:v>PTN Akademik</x:v>
      </x:c>
      <x:c r="E2158" s="66" t="str">
        <x:v>13561004</x:v>
      </x:c>
      <x:c r="F2158" s="66" t="str">
        <x:v>PENDIDIKAN BIOLOGI</x:v>
      </x:c>
      <x:c r="G2158" s="66" t="str">
        <x:v>Sarjana</x:v>
      </x:c>
      <x:c r="H2158" s="87" t="n">
        <x:v>27</x:v>
      </x:c>
      <x:c r="I2158" s="87" t="n">
        <x:v>462</x:v>
      </x:c>
      <x:c r="J2158" s="68" t="n">
        <x:f>IFERROR(H2158/I2158,"")</x:f>
        <x:v>0.05844155844155844</x:v>
      </x:c>
      <x:c r="K2158" s="69" t="n">
        <x:f>IFERROR(I2158/H2158,"")</x:f>
        <x:v>17.11111111111111</x:v>
      </x:c>
      <x:c r="L2158" s="66" t="str">
        <x:f>IF(K2158="","","1 : "&amp;TEXT(K2158,"0.0"))</x:f>
        <x:v>1 : 17.1</x:v>
      </x:c>
      <x:c r="M2158" s="66" t="str">
        <x:f>IF(J2158="","Baru/Tanpa Data",IF(J2158&lt;='Catatan &amp; Sumber'!$B$14,"Sangat Ketat",IF(J2158&lt;='Catatan &amp; Sumber'!$B$15,"Ketat",IF(J2158&lt;='Catatan &amp; Sumber'!$B$16,"Sedang","Relatif Longgar"))))</x:f>
        <x:v>Sedang</x:v>
      </x:c>
      <x:c r="N2158" s="66" t="str">
        <x:v>Tidak Ada</x:v>
      </x:c>
      <x:c r="O2158" s="66" t="str">
        <x:v>Jawa Tengah</x:v>
      </x:c>
      <x:c r="P2158" s="66" t="str">
        <x:v>Kota Semarang</x:v>
      </x:c>
      <x:c r="Q2158" s="66" t="str">
        <x:v>https://snpmb.id/snbp/daya-tampung-snbp</x:v>
      </x:c>
      <x:c r="R2158" s="66" t="str">
        <x:v>https://sidatagrun-public-1076756628210.asia-southeast2.run.app/ptn_sn.php?ptn=356</x:v>
      </x:c>
    </x:row>
    <x:row r="2159">
      <x:c r="A2159" s="87" t="n">
        <x:v>2479</x:v>
      </x:c>
      <x:c r="B2159" s="66" t="n">
        <x:v>356</x:v>
      </x:c>
      <x:c r="C2159" s="66" t="str">
        <x:v>UNIVERSITAS NEGERI SEMARANG</x:v>
      </x:c>
      <x:c r="D2159" s="66" t="str">
        <x:v>PTN Akademik</x:v>
      </x:c>
      <x:c r="E2159" s="66" t="str">
        <x:v>13561005</x:v>
      </x:c>
      <x:c r="F2159" s="66" t="str">
        <x:v>PENDIDIKAN TEKNIK BANGUNAN</x:v>
      </x:c>
      <x:c r="G2159" s="66" t="str">
        <x:v>Sarjana</x:v>
      </x:c>
      <x:c r="H2159" s="87" t="n">
        <x:v>27</x:v>
      </x:c>
      <x:c r="I2159" s="87" t="n">
        <x:v>130</x:v>
      </x:c>
      <x:c r="J2159" s="68" t="n">
        <x:f>IFERROR(H2159/I2159,"")</x:f>
        <x:v>0.2076923076923077</x:v>
      </x:c>
      <x:c r="K2159" s="69" t="n">
        <x:f>IFERROR(I2159/H2159,"")</x:f>
        <x:v>4.814814814814815</x:v>
      </x:c>
      <x:c r="L2159" s="66" t="str">
        <x:f>IF(K2159="","","1 : "&amp;TEXT(K2159,"0.0"))</x:f>
        <x:v>1 : 4.8</x:v>
      </x:c>
      <x:c r="M2159" s="66" t="str">
        <x:f>IF(J2159="","Baru/Tanpa Data",IF(J2159&lt;='Catatan &amp; Sumber'!$B$14,"Sangat Ketat",IF(J2159&lt;='Catatan &amp; Sumber'!$B$15,"Ketat",IF(J2159&lt;='Catatan &amp; Sumber'!$B$16,"Sedang","Relatif Longgar"))))</x:f>
        <x:v>Relatif Longgar</x:v>
      </x:c>
      <x:c r="N2159" s="66" t="str">
        <x:v>Tidak Ada</x:v>
      </x:c>
      <x:c r="O2159" s="66" t="str">
        <x:v>Jawa Tengah</x:v>
      </x:c>
      <x:c r="P2159" s="66" t="str">
        <x:v>Kota Semarang</x:v>
      </x:c>
      <x:c r="Q2159" s="66" t="str">
        <x:v>https://snpmb.id/snbp/daya-tampung-snbp</x:v>
      </x:c>
      <x:c r="R2159" s="66" t="str">
        <x:v>https://sidatagrun-public-1076756628210.asia-southeast2.run.app/ptn_sn.php?ptn=356</x:v>
      </x:c>
    </x:row>
    <x:row r="2160">
      <x:c r="A2160" s="87" t="n">
        <x:v>2249</x:v>
      </x:c>
      <x:c r="B2160" s="66" t="n">
        <x:v>356</x:v>
      </x:c>
      <x:c r="C2160" s="66" t="str">
        <x:v>UNIVERSITAS NEGERI SEMARANG</x:v>
      </x:c>
      <x:c r="D2160" s="66" t="str">
        <x:v>PTN Akademik</x:v>
      </x:c>
      <x:c r="E2160" s="66" t="str">
        <x:v>13561006</x:v>
      </x:c>
      <x:c r="F2160" s="66" t="str">
        <x:v>PENDIDIKAN TEKNIK MESIN</x:v>
      </x:c>
      <x:c r="G2160" s="66" t="str">
        <x:v>Sarjana</x:v>
      </x:c>
      <x:c r="H2160" s="87" t="n">
        <x:v>27</x:v>
      </x:c>
      <x:c r="I2160" s="87" t="n">
        <x:v>152</x:v>
      </x:c>
      <x:c r="J2160" s="68" t="n">
        <x:f>IFERROR(H2160/I2160,"")</x:f>
        <x:v>0.17763157894736842</x:v>
      </x:c>
      <x:c r="K2160" s="69" t="n">
        <x:f>IFERROR(I2160/H2160,"")</x:f>
        <x:v>5.62962962962963</x:v>
      </x:c>
      <x:c r="L2160" s="66" t="str">
        <x:f>IF(K2160="","","1 : "&amp;TEXT(K2160,"0.0"))</x:f>
        <x:v>1 : 5.6</x:v>
      </x:c>
      <x:c r="M2160" s="66" t="str">
        <x:f>IF(J2160="","Baru/Tanpa Data",IF(J2160&lt;='Catatan &amp; Sumber'!$B$14,"Sangat Ketat",IF(J2160&lt;='Catatan &amp; Sumber'!$B$15,"Ketat",IF(J2160&lt;='Catatan &amp; Sumber'!$B$16,"Sedang","Relatif Longgar"))))</x:f>
        <x:v>Relatif Longgar</x:v>
      </x:c>
      <x:c r="N2160" s="66" t="str">
        <x:v>Tidak Ada</x:v>
      </x:c>
      <x:c r="O2160" s="66" t="str">
        <x:v>Jawa Tengah</x:v>
      </x:c>
      <x:c r="P2160" s="66" t="str">
        <x:v>Kota Semarang</x:v>
      </x:c>
      <x:c r="Q2160" s="66" t="str">
        <x:v>https://snpmb.id/snbp/daya-tampung-snbp</x:v>
      </x:c>
      <x:c r="R2160" s="66" t="str">
        <x:v>https://sidatagrun-public-1076756628210.asia-southeast2.run.app/ptn_sn.php?ptn=356</x:v>
      </x:c>
    </x:row>
    <x:row r="2161">
      <x:c r="A2161" s="87" t="n">
        <x:v>2454</x:v>
      </x:c>
      <x:c r="B2161" s="66" t="n">
        <x:v>356</x:v>
      </x:c>
      <x:c r="C2161" s="66" t="str">
        <x:v>UNIVERSITAS NEGERI SEMARANG</x:v>
      </x:c>
      <x:c r="D2161" s="66" t="str">
        <x:v>PTN Akademik</x:v>
      </x:c>
      <x:c r="E2161" s="66" t="str">
        <x:v>13561007</x:v>
      </x:c>
      <x:c r="F2161" s="66" t="str">
        <x:v>PENDIDIKAN TEKNIK ELEKTRO</x:v>
      </x:c>
      <x:c r="G2161" s="66" t="str">
        <x:v>Sarjana</x:v>
      </x:c>
      <x:c r="H2161" s="87" t="n">
        <x:v>27</x:v>
      </x:c>
      <x:c r="I2161" s="87" t="n">
        <x:v>133</x:v>
      </x:c>
      <x:c r="J2161" s="68" t="n">
        <x:f>IFERROR(H2161/I2161,"")</x:f>
        <x:v>0.20300751879699247</x:v>
      </x:c>
      <x:c r="K2161" s="69" t="n">
        <x:f>IFERROR(I2161/H2161,"")</x:f>
        <x:v>4.925925925925926</x:v>
      </x:c>
      <x:c r="L2161" s="66" t="str">
        <x:f>IF(K2161="","","1 : "&amp;TEXT(K2161,"0.0"))</x:f>
        <x:v>1 : 4.9</x:v>
      </x:c>
      <x:c r="M2161" s="66" t="str">
        <x:f>IF(J2161="","Baru/Tanpa Data",IF(J2161&lt;='Catatan &amp; Sumber'!$B$14,"Sangat Ketat",IF(J2161&lt;='Catatan &amp; Sumber'!$B$15,"Ketat",IF(J2161&lt;='Catatan &amp; Sumber'!$B$16,"Sedang","Relatif Longgar"))))</x:f>
        <x:v>Relatif Longgar</x:v>
      </x:c>
      <x:c r="N2161" s="66" t="str">
        <x:v>Tidak Ada</x:v>
      </x:c>
      <x:c r="O2161" s="66" t="str">
        <x:v>Jawa Tengah</x:v>
      </x:c>
      <x:c r="P2161" s="66" t="str">
        <x:v>Kota Semarang</x:v>
      </x:c>
      <x:c r="Q2161" s="66" t="str">
        <x:v>https://snpmb.id/snbp/daya-tampung-snbp</x:v>
      </x:c>
      <x:c r="R2161" s="66" t="str">
        <x:v>https://sidatagrun-public-1076756628210.asia-southeast2.run.app/ptn_sn.php?ptn=356</x:v>
      </x:c>
    </x:row>
    <x:row r="2162">
      <x:c r="A2162" s="87" t="n">
        <x:v>1629</x:v>
      </x:c>
      <x:c r="B2162" s="66" t="n">
        <x:v>356</x:v>
      </x:c>
      <x:c r="C2162" s="66" t="str">
        <x:v>UNIVERSITAS NEGERI SEMARANG</x:v>
      </x:c>
      <x:c r="D2162" s="66" t="str">
        <x:v>PTN Akademik</x:v>
      </x:c>
      <x:c r="E2162" s="66" t="str">
        <x:v>13561008</x:v>
      </x:c>
      <x:c r="F2162" s="66" t="str">
        <x:v>ILMU KEOLAHRAGAAN</x:v>
      </x:c>
      <x:c r="G2162" s="66" t="str">
        <x:v>Sarjana</x:v>
      </x:c>
      <x:c r="H2162" s="87" t="n">
        <x:v>25</x:v>
      </x:c>
      <x:c r="I2162" s="87" t="n">
        <x:v>210</x:v>
      </x:c>
      <x:c r="J2162" s="68" t="n">
        <x:f>IFERROR(H2162/I2162,"")</x:f>
        <x:v>0.11904761904761904</x:v>
      </x:c>
      <x:c r="K2162" s="69" t="n">
        <x:f>IFERROR(I2162/H2162,"")</x:f>
        <x:v>8.4</x:v>
      </x:c>
      <x:c r="L2162" s="66" t="str">
        <x:f>IF(K2162="","","1 : "&amp;TEXT(K2162,"0.0"))</x:f>
        <x:v>1 : 8.4</x:v>
      </x:c>
      <x:c r="M2162" s="66" t="str">
        <x:f>IF(J2162="","Baru/Tanpa Data",IF(J2162&lt;='Catatan &amp; Sumber'!$B$14,"Sangat Ketat",IF(J2162&lt;='Catatan &amp; Sumber'!$B$15,"Ketat",IF(J2162&lt;='Catatan &amp; Sumber'!$B$16,"Sedang","Relatif Longgar"))))</x:f>
        <x:v>Relatif Longgar</x:v>
      </x:c>
      <x:c r="N2162" s="66" t="str">
        <x:v>Olahraga</x:v>
      </x:c>
      <x:c r="O2162" s="66" t="str">
        <x:v>Jawa Tengah</x:v>
      </x:c>
      <x:c r="P2162" s="66" t="str">
        <x:v>Kota Semarang</x:v>
      </x:c>
      <x:c r="Q2162" s="66" t="str">
        <x:v>https://snpmb.id/snbp/daya-tampung-snbp</x:v>
      </x:c>
      <x:c r="R2162" s="66" t="str">
        <x:v>https://sidatagrun-public-1076756628210.asia-southeast2.run.app/ptn_sn.php?ptn=356</x:v>
      </x:c>
    </x:row>
    <x:row r="2163">
      <x:c r="A2163" s="87" t="n">
        <x:v>1150</x:v>
      </x:c>
      <x:c r="B2163" s="66" t="n">
        <x:v>356</x:v>
      </x:c>
      <x:c r="C2163" s="66" t="str">
        <x:v>UNIVERSITAS NEGERI SEMARANG</x:v>
      </x:c>
      <x:c r="D2163" s="66" t="str">
        <x:v>PTN Akademik</x:v>
      </x:c>
      <x:c r="E2163" s="66" t="str">
        <x:v>13561009</x:v>
      </x:c>
      <x:c r="F2163" s="66" t="str">
        <x:v>MATEMATIKA</x:v>
      </x:c>
      <x:c r="G2163" s="66" t="str">
        <x:v>Sarjana</x:v>
      </x:c>
      <x:c r="H2163" s="87" t="n">
        <x:v>18</x:v>
      </x:c>
      <x:c r="I2163" s="87" t="n">
        <x:v>207</x:v>
      </x:c>
      <x:c r="J2163" s="68" t="n">
        <x:f>IFERROR(H2163/I2163,"")</x:f>
        <x:v>0.08695652173913043</x:v>
      </x:c>
      <x:c r="K2163" s="69" t="n">
        <x:f>IFERROR(I2163/H2163,"")</x:f>
        <x:v>11.5</x:v>
      </x:c>
      <x:c r="L2163" s="66" t="str">
        <x:f>IF(K2163="","","1 : "&amp;TEXT(K2163,"0.0"))</x:f>
        <x:v>1 : 11.5</x:v>
      </x:c>
      <x:c r="M2163" s="66" t="str">
        <x:f>IF(J2163="","Baru/Tanpa Data",IF(J2163&lt;='Catatan &amp; Sumber'!$B$14,"Sangat Ketat",IF(J2163&lt;='Catatan &amp; Sumber'!$B$15,"Ketat",IF(J2163&lt;='Catatan &amp; Sumber'!$B$16,"Sedang","Relatif Longgar"))))</x:f>
        <x:v>Sedang</x:v>
      </x:c>
      <x:c r="N2163" s="66" t="str">
        <x:v>Tidak Ada</x:v>
      </x:c>
      <x:c r="O2163" s="66" t="str">
        <x:v>Jawa Tengah</x:v>
      </x:c>
      <x:c r="P2163" s="66" t="str">
        <x:v>Kota Semarang</x:v>
      </x:c>
      <x:c r="Q2163" s="66" t="str">
        <x:v>https://snpmb.id/snbp/daya-tampung-snbp</x:v>
      </x:c>
      <x:c r="R2163" s="66" t="str">
        <x:v>https://sidatagrun-public-1076756628210.asia-southeast2.run.app/ptn_sn.php?ptn=356</x:v>
      </x:c>
    </x:row>
    <x:row r="2164">
      <x:c r="A2164" s="87" t="n">
        <x:v>2412</x:v>
      </x:c>
      <x:c r="B2164" s="66" t="n">
        <x:v>356</x:v>
      </x:c>
      <x:c r="C2164" s="66" t="str">
        <x:v>UNIVERSITAS NEGERI SEMARANG</x:v>
      </x:c>
      <x:c r="D2164" s="66" t="str">
        <x:v>PTN Akademik</x:v>
      </x:c>
      <x:c r="E2164" s="66" t="str">
        <x:v>13561010</x:v>
      </x:c>
      <x:c r="F2164" s="66" t="str">
        <x:v>FISIKA</x:v>
      </x:c>
      <x:c r="G2164" s="66" t="str">
        <x:v>Sarjana</x:v>
      </x:c>
      <x:c r="H2164" s="87" t="n">
        <x:v>27</x:v>
      </x:c>
      <x:c r="I2164" s="87" t="n">
        <x:v>137</x:v>
      </x:c>
      <x:c r="J2164" s="68" t="n">
        <x:f>IFERROR(H2164/I2164,"")</x:f>
        <x:v>0.19708029197080293</x:v>
      </x:c>
      <x:c r="K2164" s="69" t="n">
        <x:f>IFERROR(I2164/H2164,"")</x:f>
        <x:v>5.074074074074074</x:v>
      </x:c>
      <x:c r="L2164" s="66" t="str">
        <x:f>IF(K2164="","","1 : "&amp;TEXT(K2164,"0.0"))</x:f>
        <x:v>1 : 5.1</x:v>
      </x:c>
      <x:c r="M2164" s="66" t="str">
        <x:f>IF(J2164="","Baru/Tanpa Data",IF(J2164&lt;='Catatan &amp; Sumber'!$B$14,"Sangat Ketat",IF(J2164&lt;='Catatan &amp; Sumber'!$B$15,"Ketat",IF(J2164&lt;='Catatan &amp; Sumber'!$B$16,"Sedang","Relatif Longgar"))))</x:f>
        <x:v>Relatif Longgar</x:v>
      </x:c>
      <x:c r="N2164" s="66" t="str">
        <x:v>Tidak Ada</x:v>
      </x:c>
      <x:c r="O2164" s="66" t="str">
        <x:v>Jawa Tengah</x:v>
      </x:c>
      <x:c r="P2164" s="66" t="str">
        <x:v>Kota Semarang</x:v>
      </x:c>
      <x:c r="Q2164" s="66" t="str">
        <x:v>https://snpmb.id/snbp/daya-tampung-snbp</x:v>
      </x:c>
      <x:c r="R2164" s="66" t="str">
        <x:v>https://sidatagrun-public-1076756628210.asia-southeast2.run.app/ptn_sn.php?ptn=356</x:v>
      </x:c>
    </x:row>
    <x:row r="2165">
      <x:c r="A2165" s="87" t="n">
        <x:v>1156</x:v>
      </x:c>
      <x:c r="B2165" s="66" t="n">
        <x:v>356</x:v>
      </x:c>
      <x:c r="C2165" s="66" t="str">
        <x:v>UNIVERSITAS NEGERI SEMARANG</x:v>
      </x:c>
      <x:c r="D2165" s="66" t="str">
        <x:v>PTN Akademik</x:v>
      </x:c>
      <x:c r="E2165" s="66" t="str">
        <x:v>13561011</x:v>
      </x:c>
      <x:c r="F2165" s="66" t="str">
        <x:v>KIMIA</x:v>
      </x:c>
      <x:c r="G2165" s="66" t="str">
        <x:v>Sarjana</x:v>
      </x:c>
      <x:c r="H2165" s="87" t="n">
        <x:v>20</x:v>
      </x:c>
      <x:c r="I2165" s="87" t="n">
        <x:v>229</x:v>
      </x:c>
      <x:c r="J2165" s="68" t="n">
        <x:f>IFERROR(H2165/I2165,"")</x:f>
        <x:v>0.08733624454148471</x:v>
      </x:c>
      <x:c r="K2165" s="69" t="n">
        <x:f>IFERROR(I2165/H2165,"")</x:f>
        <x:v>11.45</x:v>
      </x:c>
      <x:c r="L2165" s="66" t="str">
        <x:f>IF(K2165="","","1 : "&amp;TEXT(K2165,"0.0"))</x:f>
        <x:v>1 : 11.5</x:v>
      </x:c>
      <x:c r="M2165" s="66" t="str">
        <x:f>IF(J2165="","Baru/Tanpa Data",IF(J2165&lt;='Catatan &amp; Sumber'!$B$14,"Sangat Ketat",IF(J2165&lt;='Catatan &amp; Sumber'!$B$15,"Ketat",IF(J2165&lt;='Catatan &amp; Sumber'!$B$16,"Sedang","Relatif Longgar"))))</x:f>
        <x:v>Sedang</x:v>
      </x:c>
      <x:c r="N2165" s="66" t="str">
        <x:v>Tidak Ada</x:v>
      </x:c>
      <x:c r="O2165" s="66" t="str">
        <x:v>Jawa Tengah</x:v>
      </x:c>
      <x:c r="P2165" s="66" t="str">
        <x:v>Kota Semarang</x:v>
      </x:c>
      <x:c r="Q2165" s="66" t="str">
        <x:v>https://snpmb.id/snbp/daya-tampung-snbp</x:v>
      </x:c>
      <x:c r="R2165" s="66" t="str">
        <x:v>https://sidatagrun-public-1076756628210.asia-southeast2.run.app/ptn_sn.php?ptn=356</x:v>
      </x:c>
    </x:row>
    <x:row r="2166">
      <x:c r="A2166" s="87" t="n">
        <x:v>938</x:v>
      </x:c>
      <x:c r="B2166" s="66" t="n">
        <x:v>356</x:v>
      </x:c>
      <x:c r="C2166" s="66" t="str">
        <x:v>UNIVERSITAS NEGERI SEMARANG</x:v>
      </x:c>
      <x:c r="D2166" s="66" t="str">
        <x:v>PTN Akademik</x:v>
      </x:c>
      <x:c r="E2166" s="66" t="str">
        <x:v>13561012</x:v>
      </x:c>
      <x:c r="F2166" s="66" t="str">
        <x:v>BIOLOGI</x:v>
      </x:c>
      <x:c r="G2166" s="66" t="str">
        <x:v>Sarjana</x:v>
      </x:c>
      <x:c r="H2166" s="87" t="n">
        <x:v>20</x:v>
      </x:c>
      <x:c r="I2166" s="87" t="n">
        <x:v>268</x:v>
      </x:c>
      <x:c r="J2166" s="68" t="n">
        <x:f>IFERROR(H2166/I2166,"")</x:f>
        <x:v>0.07462686567164178</x:v>
      </x:c>
      <x:c r="K2166" s="69" t="n">
        <x:f>IFERROR(I2166/H2166,"")</x:f>
        <x:v>13.4</x:v>
      </x:c>
      <x:c r="L2166" s="66" t="str">
        <x:f>IF(K2166="","","1 : "&amp;TEXT(K2166,"0.0"))</x:f>
        <x:v>1 : 13.4</x:v>
      </x:c>
      <x:c r="M2166" s="66" t="str">
        <x:f>IF(J2166="","Baru/Tanpa Data",IF(J2166&lt;='Catatan &amp; Sumber'!$B$14,"Sangat Ketat",IF(J2166&lt;='Catatan &amp; Sumber'!$B$15,"Ketat",IF(J2166&lt;='Catatan &amp; Sumber'!$B$16,"Sedang","Relatif Longgar"))))</x:f>
        <x:v>Sedang</x:v>
      </x:c>
      <x:c r="N2166" s="66" t="str">
        <x:v>Tidak Ada</x:v>
      </x:c>
      <x:c r="O2166" s="66" t="str">
        <x:v>Jawa Tengah</x:v>
      </x:c>
      <x:c r="P2166" s="66" t="str">
        <x:v>Kota Semarang</x:v>
      </x:c>
      <x:c r="Q2166" s="66" t="str">
        <x:v>https://snpmb.id/snbp/daya-tampung-snbp</x:v>
      </x:c>
      <x:c r="R2166" s="66" t="str">
        <x:v>https://sidatagrun-public-1076756628210.asia-southeast2.run.app/ptn_sn.php?ptn=356</x:v>
      </x:c>
    </x:row>
    <x:row r="2167">
      <x:c r="A2167" s="87" t="n">
        <x:v>119</x:v>
      </x:c>
      <x:c r="B2167" s="66" t="n">
        <x:v>356</x:v>
      </x:c>
      <x:c r="C2167" s="66" t="str">
        <x:v>UNIVERSITAS NEGERI SEMARANG</x:v>
      </x:c>
      <x:c r="D2167" s="66" t="str">
        <x:v>PTN Akademik</x:v>
      </x:c>
      <x:c r="E2167" s="66" t="str">
        <x:v>13561013</x:v>
      </x:c>
      <x:c r="F2167" s="66" t="str">
        <x:v>KESEHATAN MASYARAKAT</x:v>
      </x:c>
      <x:c r="G2167" s="66" t="str">
        <x:v>Sarjana</x:v>
      </x:c>
      <x:c r="H2167" s="87" t="n">
        <x:v>58</x:v>
      </x:c>
      <x:c r="I2167" s="87" t="n">
        <x:v>1890</x:v>
      </x:c>
      <x:c r="J2167" s="68" t="n">
        <x:f>IFERROR(H2167/I2167,"")</x:f>
        <x:v>0.030687830687830688</x:v>
      </x:c>
      <x:c r="K2167" s="69" t="n">
        <x:f>IFERROR(I2167/H2167,"")</x:f>
        <x:v>32.58620689655172</x:v>
      </x:c>
      <x:c r="L2167" s="66" t="str">
        <x:f>IF(K2167="","","1 : "&amp;TEXT(K2167,"0.0"))</x:f>
        <x:v>1 : 32.6</x:v>
      </x:c>
      <x:c r="M2167" s="66" t="str">
        <x:f>IF(J2167="","Baru/Tanpa Data",IF(J2167&lt;='Catatan &amp; Sumber'!$B$14,"Sangat Ketat",IF(J2167&lt;='Catatan &amp; Sumber'!$B$15,"Ketat",IF(J2167&lt;='Catatan &amp; Sumber'!$B$16,"Sedang","Relatif Longgar"))))</x:f>
        <x:v>Ketat</x:v>
      </x:c>
      <x:c r="N2167" s="66" t="str">
        <x:v>Tidak Ada</x:v>
      </x:c>
      <x:c r="O2167" s="66" t="str">
        <x:v>Jawa Tengah</x:v>
      </x:c>
      <x:c r="P2167" s="66" t="str">
        <x:v>Kota Semarang</x:v>
      </x:c>
      <x:c r="Q2167" s="66" t="str">
        <x:v>https://snpmb.id/snbp/daya-tampung-snbp</x:v>
      </x:c>
      <x:c r="R2167" s="66" t="str">
        <x:v>https://sidatagrun-public-1076756628210.asia-southeast2.run.app/ptn_sn.php?ptn=356</x:v>
      </x:c>
    </x:row>
    <x:row r="2168">
      <x:c r="A2168" s="87" t="n">
        <x:v>1119</x:v>
      </x:c>
      <x:c r="B2168" s="66" t="n">
        <x:v>356</x:v>
      </x:c>
      <x:c r="C2168" s="66" t="str">
        <x:v>UNIVERSITAS NEGERI SEMARANG</x:v>
      </x:c>
      <x:c r="D2168" s="66" t="str">
        <x:v>PTN Akademik</x:v>
      </x:c>
      <x:c r="E2168" s="66" t="str">
        <x:v>13561014</x:v>
      </x:c>
      <x:c r="F2168" s="66" t="str">
        <x:v>PENDIDIKAN IPA</x:v>
      </x:c>
      <x:c r="G2168" s="66" t="str">
        <x:v>Sarjana</x:v>
      </x:c>
      <x:c r="H2168" s="87" t="n">
        <x:v>25</x:v>
      </x:c>
      <x:c r="I2168" s="87" t="n">
        <x:v>294</x:v>
      </x:c>
      <x:c r="J2168" s="68" t="n">
        <x:f>IFERROR(H2168/I2168,"")</x:f>
        <x:v>0.08503401360544217</x:v>
      </x:c>
      <x:c r="K2168" s="69" t="n">
        <x:f>IFERROR(I2168/H2168,"")</x:f>
        <x:v>11.76</x:v>
      </x:c>
      <x:c r="L2168" s="66" t="str">
        <x:f>IF(K2168="","","1 : "&amp;TEXT(K2168,"0.0"))</x:f>
        <x:v>1 : 11.8</x:v>
      </x:c>
      <x:c r="M2168" s="66" t="str">
        <x:f>IF(J2168="","Baru/Tanpa Data",IF(J2168&lt;='Catatan &amp; Sumber'!$B$14,"Sangat Ketat",IF(J2168&lt;='Catatan &amp; Sumber'!$B$15,"Ketat",IF(J2168&lt;='Catatan &amp; Sumber'!$B$16,"Sedang","Relatif Longgar"))))</x:f>
        <x:v>Sedang</x:v>
      </x:c>
      <x:c r="N2168" s="66" t="str">
        <x:v>Tidak Ada</x:v>
      </x:c>
      <x:c r="O2168" s="66" t="str">
        <x:v>Jawa Tengah</x:v>
      </x:c>
      <x:c r="P2168" s="66" t="str">
        <x:v>Kota Semarang</x:v>
      </x:c>
      <x:c r="Q2168" s="66" t="str">
        <x:v>https://snpmb.id/snbp/daya-tampung-snbp</x:v>
      </x:c>
      <x:c r="R2168" s="66" t="str">
        <x:v>https://sidatagrun-public-1076756628210.asia-southeast2.run.app/ptn_sn.php?ptn=356</x:v>
      </x:c>
    </x:row>
    <x:row r="2169">
      <x:c r="A2169" s="87" t="n">
        <x:v>806</x:v>
      </x:c>
      <x:c r="B2169" s="66" t="n">
        <x:v>356</x:v>
      </x:c>
      <x:c r="C2169" s="66" t="str">
        <x:v>UNIVERSITAS NEGERI SEMARANG</x:v>
      </x:c>
      <x:c r="D2169" s="66" t="str">
        <x:v>PTN Akademik</x:v>
      </x:c>
      <x:c r="E2169" s="66" t="str">
        <x:v>13561015</x:v>
      </x:c>
      <x:c r="F2169" s="66" t="str">
        <x:v>PEND. TEKNIK INFORMATIKA &amp; KOMPUTER</x:v>
      </x:c>
      <x:c r="G2169" s="66" t="str">
        <x:v>Sarjana</x:v>
      </x:c>
      <x:c r="H2169" s="87" t="n">
        <x:v>24</x:v>
      </x:c>
      <x:c r="I2169" s="87" t="n">
        <x:v>357</x:v>
      </x:c>
      <x:c r="J2169" s="68" t="n">
        <x:f>IFERROR(H2169/I2169,"")</x:f>
        <x:v>0.06722689075630252</x:v>
      </x:c>
      <x:c r="K2169" s="69" t="n">
        <x:f>IFERROR(I2169/H2169,"")</x:f>
        <x:v>14.875</x:v>
      </x:c>
      <x:c r="L2169" s="66" t="str">
        <x:f>IF(K2169="","","1 : "&amp;TEXT(K2169,"0.0"))</x:f>
        <x:v>1 : 14.9</x:v>
      </x:c>
      <x:c r="M2169" s="66" t="str">
        <x:f>IF(J2169="","Baru/Tanpa Data",IF(J2169&lt;='Catatan &amp; Sumber'!$B$14,"Sangat Ketat",IF(J2169&lt;='Catatan &amp; Sumber'!$B$15,"Ketat",IF(J2169&lt;='Catatan &amp; Sumber'!$B$16,"Sedang","Relatif Longgar"))))</x:f>
        <x:v>Sedang</x:v>
      </x:c>
      <x:c r="N2169" s="66" t="str">
        <x:v>Tidak Ada</x:v>
      </x:c>
      <x:c r="O2169" s="66" t="str">
        <x:v>Jawa Tengah</x:v>
      </x:c>
      <x:c r="P2169" s="66" t="str">
        <x:v>Kota Semarang</x:v>
      </x:c>
      <x:c r="Q2169" s="66" t="str">
        <x:v>https://snpmb.id/snbp/daya-tampung-snbp</x:v>
      </x:c>
      <x:c r="R2169" s="66" t="str">
        <x:v>https://sidatagrun-public-1076756628210.asia-southeast2.run.app/ptn_sn.php?ptn=356</x:v>
      </x:c>
    </x:row>
    <x:row r="2170">
      <x:c r="A2170" s="87" t="n">
        <x:v>1065</x:v>
      </x:c>
      <x:c r="B2170" s="66" t="n">
        <x:v>356</x:v>
      </x:c>
      <x:c r="C2170" s="66" t="str">
        <x:v>UNIVERSITAS NEGERI SEMARANG</x:v>
      </x:c>
      <x:c r="D2170" s="66" t="str">
        <x:v>PTN Akademik</x:v>
      </x:c>
      <x:c r="E2170" s="66" t="str">
        <x:v>13561016</x:v>
      </x:c>
      <x:c r="F2170" s="66" t="str">
        <x:v>TEKNIK ARSITEKTUR</x:v>
      </x:c>
      <x:c r="G2170" s="66" t="str">
        <x:v>Sarjana</x:v>
      </x:c>
      <x:c r="H2170" s="87" t="n">
        <x:v>33</x:v>
      </x:c>
      <x:c r="I2170" s="87" t="n">
        <x:v>404</x:v>
      </x:c>
      <x:c r="J2170" s="68" t="n">
        <x:f>IFERROR(H2170/I2170,"")</x:f>
        <x:v>0.08168316831683169</x:v>
      </x:c>
      <x:c r="K2170" s="69" t="n">
        <x:f>IFERROR(I2170/H2170,"")</x:f>
        <x:v>12.242424242424242</x:v>
      </x:c>
      <x:c r="L2170" s="66" t="str">
        <x:f>IF(K2170="","","1 : "&amp;TEXT(K2170,"0.0"))</x:f>
        <x:v>1 : 12.2</x:v>
      </x:c>
      <x:c r="M2170" s="66" t="str">
        <x:f>IF(J2170="","Baru/Tanpa Data",IF(J2170&lt;='Catatan &amp; Sumber'!$B$14,"Sangat Ketat",IF(J2170&lt;='Catatan &amp; Sumber'!$B$15,"Ketat",IF(J2170&lt;='Catatan &amp; Sumber'!$B$16,"Sedang","Relatif Longgar"))))</x:f>
        <x:v>Sedang</x:v>
      </x:c>
      <x:c r="N2170" s="66" t="str">
        <x:v>Tidak Ada</x:v>
      </x:c>
      <x:c r="O2170" s="66" t="str">
        <x:v>Jawa Tengah</x:v>
      </x:c>
      <x:c r="P2170" s="66" t="str">
        <x:v>Kota Semarang</x:v>
      </x:c>
      <x:c r="Q2170" s="66" t="str">
        <x:v>https://snpmb.id/snbp/daya-tampung-snbp</x:v>
      </x:c>
      <x:c r="R2170" s="66" t="str">
        <x:v>https://sidatagrun-public-1076756628210.asia-southeast2.run.app/ptn_sn.php?ptn=356</x:v>
      </x:c>
    </x:row>
    <x:row r="2171">
      <x:c r="A2171" s="87" t="n">
        <x:v>1332</x:v>
      </x:c>
      <x:c r="B2171" s="66" t="n">
        <x:v>356</x:v>
      </x:c>
      <x:c r="C2171" s="66" t="str">
        <x:v>UNIVERSITAS NEGERI SEMARANG</x:v>
      </x:c>
      <x:c r="D2171" s="66" t="str">
        <x:v>PTN Akademik</x:v>
      </x:c>
      <x:c r="E2171" s="66" t="str">
        <x:v>13561017</x:v>
      </x:c>
      <x:c r="F2171" s="66" t="str">
        <x:v>PENDIDIKAN TEKNIK OTOMOTIF</x:v>
      </x:c>
      <x:c r="G2171" s="66" t="str">
        <x:v>Sarjana</x:v>
      </x:c>
      <x:c r="H2171" s="87" t="n">
        <x:v>27</x:v>
      </x:c>
      <x:c r="I2171" s="87" t="n">
        <x:v>277</x:v>
      </x:c>
      <x:c r="J2171" s="68" t="n">
        <x:f>IFERROR(H2171/I2171,"")</x:f>
        <x:v>0.09747292418772563</x:v>
      </x:c>
      <x:c r="K2171" s="69" t="n">
        <x:f>IFERROR(I2171/H2171,"")</x:f>
        <x:v>10.25925925925926</x:v>
      </x:c>
      <x:c r="L2171" s="66" t="str">
        <x:f>IF(K2171="","","1 : "&amp;TEXT(K2171,"0.0"))</x:f>
        <x:v>1 : 10.3</x:v>
      </x:c>
      <x:c r="M2171" s="66" t="str">
        <x:f>IF(J2171="","Baru/Tanpa Data",IF(J2171&lt;='Catatan &amp; Sumber'!$B$14,"Sangat Ketat",IF(J2171&lt;='Catatan &amp; Sumber'!$B$15,"Ketat",IF(J2171&lt;='Catatan &amp; Sumber'!$B$16,"Sedang","Relatif Longgar"))))</x:f>
        <x:v>Sedang</x:v>
      </x:c>
      <x:c r="N2171" s="66" t="str">
        <x:v>Tidak Ada</x:v>
      </x:c>
      <x:c r="O2171" s="66" t="str">
        <x:v>Jawa Tengah</x:v>
      </x:c>
      <x:c r="P2171" s="66" t="str">
        <x:v>Kota Semarang</x:v>
      </x:c>
      <x:c r="Q2171" s="66" t="str">
        <x:v>https://snpmb.id/snbp/daya-tampung-snbp</x:v>
      </x:c>
      <x:c r="R2171" s="66" t="str">
        <x:v>https://sidatagrun-public-1076756628210.asia-southeast2.run.app/ptn_sn.php?ptn=356</x:v>
      </x:c>
    </x:row>
    <x:row r="2172">
      <x:c r="A2172" s="87" t="n">
        <x:v>1170</x:v>
      </x:c>
      <x:c r="B2172" s="66" t="n">
        <x:v>356</x:v>
      </x:c>
      <x:c r="C2172" s="66" t="str">
        <x:v>UNIVERSITAS NEGERI SEMARANG</x:v>
      </x:c>
      <x:c r="D2172" s="66" t="str">
        <x:v>PTN Akademik</x:v>
      </x:c>
      <x:c r="E2172" s="66" t="str">
        <x:v>13561018</x:v>
      </x:c>
      <x:c r="F2172" s="66" t="str">
        <x:v>TEKNIK KIMIA</x:v>
      </x:c>
      <x:c r="G2172" s="66" t="str">
        <x:v>Sarjana</x:v>
      </x:c>
      <x:c r="H2172" s="87" t="n">
        <x:v>33</x:v>
      </x:c>
      <x:c r="I2172" s="87" t="n">
        <x:v>375</x:v>
      </x:c>
      <x:c r="J2172" s="68" t="n">
        <x:f>IFERROR(H2172/I2172,"")</x:f>
        <x:v>0.088</x:v>
      </x:c>
      <x:c r="K2172" s="69" t="n">
        <x:f>IFERROR(I2172/H2172,"")</x:f>
        <x:v>11.363636363636363</x:v>
      </x:c>
      <x:c r="L2172" s="66" t="str">
        <x:f>IF(K2172="","","1 : "&amp;TEXT(K2172,"0.0"))</x:f>
        <x:v>1 : 11.4</x:v>
      </x:c>
      <x:c r="M2172" s="66" t="str">
        <x:f>IF(J2172="","Baru/Tanpa Data",IF(J2172&lt;='Catatan &amp; Sumber'!$B$14,"Sangat Ketat",IF(J2172&lt;='Catatan &amp; Sumber'!$B$15,"Ketat",IF(J2172&lt;='Catatan &amp; Sumber'!$B$16,"Sedang","Relatif Longgar"))))</x:f>
        <x:v>Sedang</x:v>
      </x:c>
      <x:c r="N2172" s="66" t="str">
        <x:v>Tidak Ada</x:v>
      </x:c>
      <x:c r="O2172" s="66" t="str">
        <x:v>Jawa Tengah</x:v>
      </x:c>
      <x:c r="P2172" s="66" t="str">
        <x:v>Kota Semarang</x:v>
      </x:c>
      <x:c r="Q2172" s="66" t="str">
        <x:v>https://snpmb.id/snbp/daya-tampung-snbp</x:v>
      </x:c>
      <x:c r="R2172" s="66" t="str">
        <x:v>https://sidatagrun-public-1076756628210.asia-southeast2.run.app/ptn_sn.php?ptn=356</x:v>
      </x:c>
    </x:row>
    <x:row r="2173">
      <x:c r="A2173" s="87" t="n">
        <x:v>414</x:v>
      </x:c>
      <x:c r="B2173" s="66" t="n">
        <x:v>356</x:v>
      </x:c>
      <x:c r="C2173" s="66" t="str">
        <x:v>UNIVERSITAS NEGERI SEMARANG</x:v>
      </x:c>
      <x:c r="D2173" s="66" t="str">
        <x:v>PTN Akademik</x:v>
      </x:c>
      <x:c r="E2173" s="66" t="str">
        <x:v>13561019</x:v>
      </x:c>
      <x:c r="F2173" s="66" t="str">
        <x:v>TEKNIK MESIN</x:v>
      </x:c>
      <x:c r="G2173" s="66" t="str">
        <x:v>Sarjana</x:v>
      </x:c>
      <x:c r="H2173" s="87" t="n">
        <x:v>38</x:v>
      </x:c>
      <x:c r="I2173" s="87" t="n">
        <x:v>801</x:v>
      </x:c>
      <x:c r="J2173" s="68" t="n">
        <x:f>IFERROR(H2173/I2173,"")</x:f>
        <x:v>0.04744069912609238</x:v>
      </x:c>
      <x:c r="K2173" s="69" t="n">
        <x:f>IFERROR(I2173/H2173,"")</x:f>
        <x:v>21.07894736842105</x:v>
      </x:c>
      <x:c r="L2173" s="66" t="str">
        <x:f>IF(K2173="","","1 : "&amp;TEXT(K2173,"0.0"))</x:f>
        <x:v>1 : 21.1</x:v>
      </x:c>
      <x:c r="M2173" s="66" t="str">
        <x:f>IF(J2173="","Baru/Tanpa Data",IF(J2173&lt;='Catatan &amp; Sumber'!$B$14,"Sangat Ketat",IF(J2173&lt;='Catatan &amp; Sumber'!$B$15,"Ketat",IF(J2173&lt;='Catatan &amp; Sumber'!$B$16,"Sedang","Relatif Longgar"))))</x:f>
        <x:v>Ketat</x:v>
      </x:c>
      <x:c r="N2173" s="66" t="str">
        <x:v>Tidak Ada</x:v>
      </x:c>
      <x:c r="O2173" s="66" t="str">
        <x:v>Jawa Tengah</x:v>
      </x:c>
      <x:c r="P2173" s="66" t="str">
        <x:v>Kota Semarang</x:v>
      </x:c>
      <x:c r="Q2173" s="66" t="str">
        <x:v>https://snpmb.id/snbp/daya-tampung-snbp</x:v>
      </x:c>
      <x:c r="R2173" s="66" t="str">
        <x:v>https://sidatagrun-public-1076756628210.asia-southeast2.run.app/ptn_sn.php?ptn=356</x:v>
      </x:c>
    </x:row>
    <x:row r="2174">
      <x:c r="A2174" s="87" t="n">
        <x:v>536</x:v>
      </x:c>
      <x:c r="B2174" s="66" t="n">
        <x:v>356</x:v>
      </x:c>
      <x:c r="C2174" s="66" t="str">
        <x:v>UNIVERSITAS NEGERI SEMARANG</x:v>
      </x:c>
      <x:c r="D2174" s="66" t="str">
        <x:v>PTN Akademik</x:v>
      </x:c>
      <x:c r="E2174" s="66" t="str">
        <x:v>13561020</x:v>
      </x:c>
      <x:c r="F2174" s="66" t="str">
        <x:v>TEKNIK SIPIL</x:v>
      </x:c>
      <x:c r="G2174" s="66" t="str">
        <x:v>Sarjana</x:v>
      </x:c>
      <x:c r="H2174" s="87" t="n">
        <x:v>38</x:v>
      </x:c>
      <x:c r="I2174" s="87" t="n">
        <x:v>708</x:v>
      </x:c>
      <x:c r="J2174" s="68" t="n">
        <x:f>IFERROR(H2174/I2174,"")</x:f>
        <x:v>0.05367231638418079</x:v>
      </x:c>
      <x:c r="K2174" s="69" t="n">
        <x:f>IFERROR(I2174/H2174,"")</x:f>
        <x:v>18.63157894736842</x:v>
      </x:c>
      <x:c r="L2174" s="66" t="str">
        <x:f>IF(K2174="","","1 : "&amp;TEXT(K2174,"0.0"))</x:f>
        <x:v>1 : 18.6</x:v>
      </x:c>
      <x:c r="M2174" s="66" t="str">
        <x:f>IF(J2174="","Baru/Tanpa Data",IF(J2174&lt;='Catatan &amp; Sumber'!$B$14,"Sangat Ketat",IF(J2174&lt;='Catatan &amp; Sumber'!$B$15,"Ketat",IF(J2174&lt;='Catatan &amp; Sumber'!$B$16,"Sedang","Relatif Longgar"))))</x:f>
        <x:v>Sedang</x:v>
      </x:c>
      <x:c r="N2174" s="66" t="str">
        <x:v>Tidak Ada</x:v>
      </x:c>
      <x:c r="O2174" s="66" t="str">
        <x:v>Jawa Tengah</x:v>
      </x:c>
      <x:c r="P2174" s="66" t="str">
        <x:v>Kota Semarang</x:v>
      </x:c>
      <x:c r="Q2174" s="66" t="str">
        <x:v>https://snpmb.id/snbp/daya-tampung-snbp</x:v>
      </x:c>
      <x:c r="R2174" s="66" t="str">
        <x:v>https://sidatagrun-public-1076756628210.asia-southeast2.run.app/ptn_sn.php?ptn=356</x:v>
      </x:c>
    </x:row>
    <x:row r="2175">
      <x:c r="A2175" s="87" t="n">
        <x:v>107</x:v>
      </x:c>
      <x:c r="B2175" s="66" t="n">
        <x:v>356</x:v>
      </x:c>
      <x:c r="C2175" s="66" t="str">
        <x:v>UNIVERSITAS NEGERI SEMARANG</x:v>
      </x:c>
      <x:c r="D2175" s="66" t="str">
        <x:v>PTN Akademik</x:v>
      </x:c>
      <x:c r="E2175" s="66" t="str">
        <x:v>13561021</x:v>
      </x:c>
      <x:c r="F2175" s="66" t="str">
        <x:v>TEKNIK INFORMATIKA</x:v>
      </x:c>
      <x:c r="G2175" s="66" t="str">
        <x:v>Sarjana</x:v>
      </x:c>
      <x:c r="H2175" s="87" t="n">
        <x:v>39</x:v>
      </x:c>
      <x:c r="I2175" s="87" t="n">
        <x:v>1341</x:v>
      </x:c>
      <x:c r="J2175" s="68" t="n">
        <x:f>IFERROR(H2175/I2175,"")</x:f>
        <x:v>0.029082774049217</x:v>
      </x:c>
      <x:c r="K2175" s="69" t="n">
        <x:f>IFERROR(I2175/H2175,"")</x:f>
        <x:v>34.38461538461539</x:v>
      </x:c>
      <x:c r="L2175" s="66" t="str">
        <x:f>IF(K2175="","","1 : "&amp;TEXT(K2175,"0.0"))</x:f>
        <x:v>1 : 34.4</x:v>
      </x:c>
      <x:c r="M2175" s="66" t="str">
        <x:f>IF(J2175="","Baru/Tanpa Data",IF(J2175&lt;='Catatan &amp; Sumber'!$B$14,"Sangat Ketat",IF(J2175&lt;='Catatan &amp; Sumber'!$B$15,"Ketat",IF(J2175&lt;='Catatan &amp; Sumber'!$B$16,"Sedang","Relatif Longgar"))))</x:f>
        <x:v>Ketat</x:v>
      </x:c>
      <x:c r="N2175" s="66" t="str">
        <x:v>Tidak Ada</x:v>
      </x:c>
      <x:c r="O2175" s="66" t="str">
        <x:v>Jawa Tengah</x:v>
      </x:c>
      <x:c r="P2175" s="66" t="str">
        <x:v>Kota Semarang</x:v>
      </x:c>
      <x:c r="Q2175" s="66" t="str">
        <x:v>https://snpmb.id/snbp/daya-tampung-snbp</x:v>
      </x:c>
      <x:c r="R2175" s="66" t="str">
        <x:v>https://sidatagrun-public-1076756628210.asia-southeast2.run.app/ptn_sn.php?ptn=356</x:v>
      </x:c>
    </x:row>
    <x:row r="2176">
      <x:c r="A2176" s="87" t="n">
        <x:v>756</x:v>
      </x:c>
      <x:c r="B2176" s="66" t="n">
        <x:v>356</x:v>
      </x:c>
      <x:c r="C2176" s="66" t="str">
        <x:v>UNIVERSITAS NEGERI SEMARANG</x:v>
      </x:c>
      <x:c r="D2176" s="66" t="str">
        <x:v>PTN Akademik</x:v>
      </x:c>
      <x:c r="E2176" s="66" t="str">
        <x:v>13561022</x:v>
      </x:c>
      <x:c r="F2176" s="66" t="str">
        <x:v>TEKNIK ELEKTRO</x:v>
      </x:c>
      <x:c r="G2176" s="66" t="str">
        <x:v>Sarjana</x:v>
      </x:c>
      <x:c r="H2176" s="87" t="n">
        <x:v>33</x:v>
      </x:c>
      <x:c r="I2176" s="87" t="n">
        <x:v>509</x:v>
      </x:c>
      <x:c r="J2176" s="68" t="n">
        <x:f>IFERROR(H2176/I2176,"")</x:f>
        <x:v>0.06483300589390963</x:v>
      </x:c>
      <x:c r="K2176" s="69" t="n">
        <x:f>IFERROR(I2176/H2176,"")</x:f>
        <x:v>15.424242424242424</x:v>
      </x:c>
      <x:c r="L2176" s="66" t="str">
        <x:f>IF(K2176="","","1 : "&amp;TEXT(K2176,"0.0"))</x:f>
        <x:v>1 : 15.4</x:v>
      </x:c>
      <x:c r="M2176" s="66" t="str">
        <x:f>IF(J2176="","Baru/Tanpa Data",IF(J2176&lt;='Catatan &amp; Sumber'!$B$14,"Sangat Ketat",IF(J2176&lt;='Catatan &amp; Sumber'!$B$15,"Ketat",IF(J2176&lt;='Catatan &amp; Sumber'!$B$16,"Sedang","Relatif Longgar"))))</x:f>
        <x:v>Sedang</x:v>
      </x:c>
      <x:c r="N2176" s="66" t="str">
        <x:v>Tidak Ada</x:v>
      </x:c>
      <x:c r="O2176" s="66" t="str">
        <x:v>Jawa Tengah</x:v>
      </x:c>
      <x:c r="P2176" s="66" t="str">
        <x:v>Kota Semarang</x:v>
      </x:c>
      <x:c r="Q2176" s="66" t="str">
        <x:v>https://snpmb.id/snbp/daya-tampung-snbp</x:v>
      </x:c>
      <x:c r="R2176" s="66" t="str">
        <x:v>https://sidatagrun-public-1076756628210.asia-southeast2.run.app/ptn_sn.php?ptn=356</x:v>
      </x:c>
    </x:row>
    <x:row r="2177">
      <x:c r="A2177" s="87" t="n">
        <x:v>333</x:v>
      </x:c>
      <x:c r="B2177" s="66" t="n">
        <x:v>356</x:v>
      </x:c>
      <x:c r="C2177" s="66" t="str">
        <x:v>UNIVERSITAS NEGERI SEMARANG</x:v>
      </x:c>
      <x:c r="D2177" s="66" t="str">
        <x:v>PTN Akademik</x:v>
      </x:c>
      <x:c r="E2177" s="66" t="str">
        <x:v>13561023</x:v>
      </x:c>
      <x:c r="F2177" s="66" t="str">
        <x:v>GIZI</x:v>
      </x:c>
      <x:c r="G2177" s="66" t="str">
        <x:v>Sarjana</x:v>
      </x:c>
      <x:c r="H2177" s="87" t="n">
        <x:v>38</x:v>
      </x:c>
      <x:c r="I2177" s="87" t="n">
        <x:v>866</x:v>
      </x:c>
      <x:c r="J2177" s="68" t="n">
        <x:f>IFERROR(H2177/I2177,"")</x:f>
        <x:v>0.04387990762124711</x:v>
      </x:c>
      <x:c r="K2177" s="69" t="n">
        <x:f>IFERROR(I2177/H2177,"")</x:f>
        <x:v>22.789473684210527</x:v>
      </x:c>
      <x:c r="L2177" s="66" t="str">
        <x:f>IF(K2177="","","1 : "&amp;TEXT(K2177,"0.0"))</x:f>
        <x:v>1 : 22.8</x:v>
      </x:c>
      <x:c r="M2177" s="66" t="str">
        <x:f>IF(J2177="","Baru/Tanpa Data",IF(J2177&lt;='Catatan &amp; Sumber'!$B$14,"Sangat Ketat",IF(J2177&lt;='Catatan &amp; Sumber'!$B$15,"Ketat",IF(J2177&lt;='Catatan &amp; Sumber'!$B$16,"Sedang","Relatif Longgar"))))</x:f>
        <x:v>Ketat</x:v>
      </x:c>
      <x:c r="N2177" s="66" t="str">
        <x:v>Tidak Ada</x:v>
      </x:c>
      <x:c r="O2177" s="66" t="str">
        <x:v>Jawa Tengah</x:v>
      </x:c>
      <x:c r="P2177" s="66" t="str">
        <x:v>Kota Semarang</x:v>
      </x:c>
      <x:c r="Q2177" s="66" t="str">
        <x:v>https://snpmb.id/snbp/daya-tampung-snbp</x:v>
      </x:c>
      <x:c r="R2177" s="66" t="str">
        <x:v>https://sidatagrun-public-1076756628210.asia-southeast2.run.app/ptn_sn.php?ptn=356</x:v>
      </x:c>
    </x:row>
    <x:row r="2178">
      <x:c r="A2178" s="87" t="n">
        <x:v>174</x:v>
      </x:c>
      <x:c r="B2178" s="66" t="n">
        <x:v>356</x:v>
      </x:c>
      <x:c r="C2178" s="66" t="str">
        <x:v>UNIVERSITAS NEGERI SEMARANG</x:v>
      </x:c>
      <x:c r="D2178" s="66" t="str">
        <x:v>PTN Akademik</x:v>
      </x:c>
      <x:c r="E2178" s="66" t="str">
        <x:v>13561024</x:v>
      </x:c>
      <x:c r="F2178" s="66" t="str">
        <x:v>SISTEM INFORMASI</x:v>
      </x:c>
      <x:c r="G2178" s="66" t="str">
        <x:v>Sarjana</x:v>
      </x:c>
      <x:c r="H2178" s="87" t="n">
        <x:v>23</x:v>
      </x:c>
      <x:c r="I2178" s="87" t="n">
        <x:v>653</x:v>
      </x:c>
      <x:c r="J2178" s="68" t="n">
        <x:f>IFERROR(H2178/I2178,"")</x:f>
        <x:v>0.03522205206738132</x:v>
      </x:c>
      <x:c r="K2178" s="69" t="n">
        <x:f>IFERROR(I2178/H2178,"")</x:f>
        <x:v>28.391304347826086</x:v>
      </x:c>
      <x:c r="L2178" s="66" t="str">
        <x:f>IF(K2178="","","1 : "&amp;TEXT(K2178,"0.0"))</x:f>
        <x:v>1 : 28.4</x:v>
      </x:c>
      <x:c r="M2178" s="66" t="str">
        <x:f>IF(J2178="","Baru/Tanpa Data",IF(J2178&lt;='Catatan &amp; Sumber'!$B$14,"Sangat Ketat",IF(J2178&lt;='Catatan &amp; Sumber'!$B$15,"Ketat",IF(J2178&lt;='Catatan &amp; Sumber'!$B$16,"Sedang","Relatif Longgar"))))</x:f>
        <x:v>Ketat</x:v>
      </x:c>
      <x:c r="N2178" s="66" t="str">
        <x:v>Tidak Ada</x:v>
      </x:c>
      <x:c r="O2178" s="66" t="str">
        <x:v>Jawa Tengah</x:v>
      </x:c>
      <x:c r="P2178" s="66" t="str">
        <x:v>Kota Semarang</x:v>
      </x:c>
      <x:c r="Q2178" s="66" t="str">
        <x:v>https://snpmb.id/snbp/daya-tampung-snbp</x:v>
      </x:c>
      <x:c r="R2178" s="66" t="str">
        <x:v>https://sidatagrun-public-1076756628210.asia-southeast2.run.app/ptn_sn.php?ptn=356</x:v>
      </x:c>
    </x:row>
    <x:row r="2179">
      <x:c r="A2179" s="87" t="n">
        <x:v>750</x:v>
      </x:c>
      <x:c r="B2179" s="66" t="n">
        <x:v>356</x:v>
      </x:c>
      <x:c r="C2179" s="66" t="str">
        <x:v>UNIVERSITAS NEGERI SEMARANG</x:v>
      </x:c>
      <x:c r="D2179" s="66" t="str">
        <x:v>PTN Akademik</x:v>
      </x:c>
      <x:c r="E2179" s="66" t="str">
        <x:v>13561025</x:v>
      </x:c>
      <x:c r="F2179" s="66" t="str">
        <x:v>ILMU LINGKUNGAN</x:v>
      </x:c>
      <x:c r="G2179" s="66" t="str">
        <x:v>Sarjana</x:v>
      </x:c>
      <x:c r="H2179" s="87" t="n">
        <x:v>21</x:v>
      </x:c>
      <x:c r="I2179" s="87" t="n">
        <x:v>325</x:v>
      </x:c>
      <x:c r="J2179" s="68" t="n">
        <x:f>IFERROR(H2179/I2179,"")</x:f>
        <x:v>0.06461538461538462</x:v>
      </x:c>
      <x:c r="K2179" s="69" t="n">
        <x:f>IFERROR(I2179/H2179,"")</x:f>
        <x:v>15.476190476190476</x:v>
      </x:c>
      <x:c r="L2179" s="66" t="str">
        <x:f>IF(K2179="","","1 : "&amp;TEXT(K2179,"0.0"))</x:f>
        <x:v>1 : 15.5</x:v>
      </x:c>
      <x:c r="M2179" s="66" t="str">
        <x:f>IF(J2179="","Baru/Tanpa Data",IF(J2179&lt;='Catatan &amp; Sumber'!$B$14,"Sangat Ketat",IF(J2179&lt;='Catatan &amp; Sumber'!$B$15,"Ketat",IF(J2179&lt;='Catatan &amp; Sumber'!$B$16,"Sedang","Relatif Longgar"))))</x:f>
        <x:v>Sedang</x:v>
      </x:c>
      <x:c r="N2179" s="66" t="str">
        <x:v>Tidak Ada</x:v>
      </x:c>
      <x:c r="O2179" s="66" t="str">
        <x:v>Jawa Tengah</x:v>
      </x:c>
      <x:c r="P2179" s="66" t="str">
        <x:v>Kota Semarang</x:v>
      </x:c>
      <x:c r="Q2179" s="66" t="str">
        <x:v>https://snpmb.id/snbp/daya-tampung-snbp</x:v>
      </x:c>
      <x:c r="R2179" s="66" t="str">
        <x:v>https://sidatagrun-public-1076756628210.asia-southeast2.run.app/ptn_sn.php?ptn=356</x:v>
      </x:c>
    </x:row>
    <x:row r="2180">
      <x:c r="A2180" s="87" t="n">
        <x:v>66</x:v>
      </x:c>
      <x:c r="B2180" s="66" t="n">
        <x:v>356</x:v>
      </x:c>
      <x:c r="C2180" s="66" t="str">
        <x:v>UNIVERSITAS NEGERI SEMARANG</x:v>
      </x:c>
      <x:c r="D2180" s="66" t="str">
        <x:v>PTN Akademik</x:v>
      </x:c>
      <x:c r="E2180" s="66" t="str">
        <x:v>13561026</x:v>
      </x:c>
      <x:c r="F2180" s="66" t="str">
        <x:v>FARMASI</x:v>
      </x:c>
      <x:c r="G2180" s="66" t="str">
        <x:v>Sarjana</x:v>
      </x:c>
      <x:c r="H2180" s="87" t="n">
        <x:v>30</x:v>
      </x:c>
      <x:c r="I2180" s="87" t="n">
        <x:v>1202</x:v>
      </x:c>
      <x:c r="J2180" s="68" t="n">
        <x:f>IFERROR(H2180/I2180,"")</x:f>
        <x:v>0.024958402662229616</x:v>
      </x:c>
      <x:c r="K2180" s="69" t="n">
        <x:f>IFERROR(I2180/H2180,"")</x:f>
        <x:v>40.06666666666667</x:v>
      </x:c>
      <x:c r="L2180" s="66" t="str">
        <x:f>IF(K2180="","","1 : "&amp;TEXT(K2180,"0.0"))</x:f>
        <x:v>1 : 40.1</x:v>
      </x:c>
      <x:c r="M2180" s="66" t="str">
        <x:f>IF(J2180="","Baru/Tanpa Data",IF(J2180&lt;='Catatan &amp; Sumber'!$B$14,"Sangat Ketat",IF(J2180&lt;='Catatan &amp; Sumber'!$B$15,"Ketat",IF(J2180&lt;='Catatan &amp; Sumber'!$B$16,"Sedang","Relatif Longgar"))))</x:f>
        <x:v>Ketat</x:v>
      </x:c>
      <x:c r="N2180" s="66" t="str">
        <x:v>Tidak Ada</x:v>
      </x:c>
      <x:c r="O2180" s="66" t="str">
        <x:v>Jawa Tengah</x:v>
      </x:c>
      <x:c r="P2180" s="66" t="str">
        <x:v>Kota Semarang</x:v>
      </x:c>
      <x:c r="Q2180" s="66" t="str">
        <x:v>https://snpmb.id/snbp/daya-tampung-snbp</x:v>
      </x:c>
      <x:c r="R2180" s="66" t="str">
        <x:v>https://sidatagrun-public-1076756628210.asia-southeast2.run.app/ptn_sn.php?ptn=356</x:v>
      </x:c>
    </x:row>
    <x:row r="2181">
      <x:c r="A2181" s="87" t="n">
        <x:v>157</x:v>
      </x:c>
      <x:c r="B2181" s="66" t="n">
        <x:v>356</x:v>
      </x:c>
      <x:c r="C2181" s="66" t="str">
        <x:v>UNIVERSITAS NEGERI SEMARANG</x:v>
      </x:c>
      <x:c r="D2181" s="66" t="str">
        <x:v>PTN Akademik</x:v>
      </x:c>
      <x:c r="E2181" s="66" t="str">
        <x:v>13561027</x:v>
      </x:c>
      <x:c r="F2181" s="66" t="str">
        <x:v>TEKNIK KOMPUTER</x:v>
      </x:c>
      <x:c r="G2181" s="66" t="str">
        <x:v>Sarjana</x:v>
      </x:c>
      <x:c r="H2181" s="87" t="n">
        <x:v>13</x:v>
      </x:c>
      <x:c r="I2181" s="87" t="n">
        <x:v>382</x:v>
      </x:c>
      <x:c r="J2181" s="68" t="n">
        <x:f>IFERROR(H2181/I2181,"")</x:f>
        <x:v>0.034031413612565446</x:v>
      </x:c>
      <x:c r="K2181" s="69" t="n">
        <x:f>IFERROR(I2181/H2181,"")</x:f>
        <x:v>29.384615384615383</x:v>
      </x:c>
      <x:c r="L2181" s="66" t="str">
        <x:f>IF(K2181="","","1 : "&amp;TEXT(K2181,"0.0"))</x:f>
        <x:v>1 : 29.4</x:v>
      </x:c>
      <x:c r="M2181" s="66" t="str">
        <x:f>IF(J2181="","Baru/Tanpa Data",IF(J2181&lt;='Catatan &amp; Sumber'!$B$14,"Sangat Ketat",IF(J2181&lt;='Catatan &amp; Sumber'!$B$15,"Ketat",IF(J2181&lt;='Catatan &amp; Sumber'!$B$16,"Sedang","Relatif Longgar"))))</x:f>
        <x:v>Ketat</x:v>
      </x:c>
      <x:c r="N2181" s="66" t="str">
        <x:v>Tidak Ada</x:v>
      </x:c>
      <x:c r="O2181" s="66" t="str">
        <x:v>Jawa Tengah</x:v>
      </x:c>
      <x:c r="P2181" s="66" t="str">
        <x:v>Kota Semarang</x:v>
      </x:c>
      <x:c r="Q2181" s="66" t="str">
        <x:v>https://snpmb.id/snbp/daya-tampung-snbp</x:v>
      </x:c>
      <x:c r="R2181" s="66" t="str">
        <x:v>https://sidatagrun-public-1076756628210.asia-southeast2.run.app/ptn_sn.php?ptn=356</x:v>
      </x:c>
    </x:row>
    <x:row r="2182">
      <x:c r="A2182" s="87" t="n">
        <x:v>310</x:v>
      </x:c>
      <x:c r="B2182" s="66" t="n">
        <x:v>356</x:v>
      </x:c>
      <x:c r="C2182" s="66" t="str">
        <x:v>UNIVERSITAS NEGERI SEMARANG</x:v>
      </x:c>
      <x:c r="D2182" s="66" t="str">
        <x:v>PTN Akademik</x:v>
      </x:c>
      <x:c r="E2182" s="66" t="str">
        <x:v>13561028</x:v>
      </x:c>
      <x:c r="F2182" s="66" t="str">
        <x:v>BIMBINGAN DAN KONSELING</x:v>
      </x:c>
      <x:c r="G2182" s="66" t="str">
        <x:v>Sarjana</x:v>
      </x:c>
      <x:c r="H2182" s="87" t="n">
        <x:v>32</x:v>
      </x:c>
      <x:c r="I2182" s="87" t="n">
        <x:v>749</x:v>
      </x:c>
      <x:c r="J2182" s="68" t="n">
        <x:f>IFERROR(H2182/I2182,"")</x:f>
        <x:v>0.042723631508678236</x:v>
      </x:c>
      <x:c r="K2182" s="69" t="n">
        <x:f>IFERROR(I2182/H2182,"")</x:f>
        <x:v>23.40625</x:v>
      </x:c>
      <x:c r="L2182" s="66" t="str">
        <x:f>IF(K2182="","","1 : "&amp;TEXT(K2182,"0.0"))</x:f>
        <x:v>1 : 23.4</x:v>
      </x:c>
      <x:c r="M2182" s="66" t="str">
        <x:f>IF(J2182="","Baru/Tanpa Data",IF(J2182&lt;='Catatan &amp; Sumber'!$B$14,"Sangat Ketat",IF(J2182&lt;='Catatan &amp; Sumber'!$B$15,"Ketat",IF(J2182&lt;='Catatan &amp; Sumber'!$B$16,"Sedang","Relatif Longgar"))))</x:f>
        <x:v>Ketat</x:v>
      </x:c>
      <x:c r="N2182" s="66" t="str">
        <x:v>Tidak Ada</x:v>
      </x:c>
      <x:c r="O2182" s="66" t="str">
        <x:v>Jawa Tengah</x:v>
      </x:c>
      <x:c r="P2182" s="66" t="str">
        <x:v>Kota Semarang</x:v>
      </x:c>
      <x:c r="Q2182" s="66" t="str">
        <x:v>https://snpmb.id/snbp/daya-tampung-snbp</x:v>
      </x:c>
      <x:c r="R2182" s="66" t="str">
        <x:v>https://sidatagrun-public-1076756628210.asia-southeast2.run.app/ptn_sn.php?ptn=356</x:v>
      </x:c>
    </x:row>
    <x:row r="2183">
      <x:c r="A2183" s="87" t="n">
        <x:v>2182</x:v>
      </x:c>
      <x:c r="B2183" s="66" t="n">
        <x:v>356</x:v>
      </x:c>
      <x:c r="C2183" s="66" t="str">
        <x:v>UNIVERSITAS NEGERI SEMARANG</x:v>
      </x:c>
      <x:c r="D2183" s="66" t="str">
        <x:v>PTN Akademik</x:v>
      </x:c>
      <x:c r="E2183" s="66" t="str">
        <x:v>13561029</x:v>
      </x:c>
      <x:c r="F2183" s="66" t="str">
        <x:v>TEKNOLOGI PENDIDIKAN</x:v>
      </x:c>
      <x:c r="G2183" s="66" t="str">
        <x:v>Sarjana</x:v>
      </x:c>
      <x:c r="H2183" s="87" t="n">
        <x:v>36</x:v>
      </x:c>
      <x:c r="I2183" s="87" t="n">
        <x:v>212</x:v>
      </x:c>
      <x:c r="J2183" s="68" t="n">
        <x:f>IFERROR(H2183/I2183,"")</x:f>
        <x:v>0.16981132075471697</x:v>
      </x:c>
      <x:c r="K2183" s="69" t="n">
        <x:f>IFERROR(I2183/H2183,"")</x:f>
        <x:v>5.888888888888889</x:v>
      </x:c>
      <x:c r="L2183" s="66" t="str">
        <x:f>IF(K2183="","","1 : "&amp;TEXT(K2183,"0.0"))</x:f>
        <x:v>1 : 5.9</x:v>
      </x:c>
      <x:c r="M2183" s="66" t="str">
        <x:f>IF(J2183="","Baru/Tanpa Data",IF(J2183&lt;='Catatan &amp; Sumber'!$B$14,"Sangat Ketat",IF(J2183&lt;='Catatan &amp; Sumber'!$B$15,"Ketat",IF(J2183&lt;='Catatan &amp; Sumber'!$B$16,"Sedang","Relatif Longgar"))))</x:f>
        <x:v>Relatif Longgar</x:v>
      </x:c>
      <x:c r="N2183" s="66" t="str">
        <x:v>Tidak Ada</x:v>
      </x:c>
      <x:c r="O2183" s="66" t="str">
        <x:v>Jawa Tengah</x:v>
      </x:c>
      <x:c r="P2183" s="66" t="str">
        <x:v>Kota Semarang</x:v>
      </x:c>
      <x:c r="Q2183" s="66" t="str">
        <x:v>https://snpmb.id/snbp/daya-tampung-snbp</x:v>
      </x:c>
      <x:c r="R2183" s="66" t="str">
        <x:v>https://sidatagrun-public-1076756628210.asia-southeast2.run.app/ptn_sn.php?ptn=356</x:v>
      </x:c>
    </x:row>
    <x:row r="2184">
      <x:c r="A2184" s="87" t="n">
        <x:v>3025</x:v>
      </x:c>
      <x:c r="B2184" s="66" t="n">
        <x:v>356</x:v>
      </x:c>
      <x:c r="C2184" s="66" t="str">
        <x:v>UNIVERSITAS NEGERI SEMARANG</x:v>
      </x:c>
      <x:c r="D2184" s="66" t="str">
        <x:v>PTN Akademik</x:v>
      </x:c>
      <x:c r="E2184" s="66" t="str">
        <x:v>13561030</x:v>
      </x:c>
      <x:c r="F2184" s="66" t="str">
        <x:v>PENDIDIKAN NON FORMAL</x:v>
      </x:c>
      <x:c r="G2184" s="66" t="str">
        <x:v>Sarjana</x:v>
      </x:c>
      <x:c r="H2184" s="87" t="n">
        <x:v>30</x:v>
      </x:c>
      <x:c r="I2184" s="87" t="n">
        <x:v>100</x:v>
      </x:c>
      <x:c r="J2184" s="68" t="n">
        <x:f>IFERROR(H2184/I2184,"")</x:f>
        <x:v>0.3</x:v>
      </x:c>
      <x:c r="K2184" s="69" t="n">
        <x:f>IFERROR(I2184/H2184,"")</x:f>
        <x:v>3.3333333333333335</x:v>
      </x:c>
      <x:c r="L2184" s="66" t="str">
        <x:f>IF(K2184="","","1 : "&amp;TEXT(K2184,"0.0"))</x:f>
        <x:v>1 : 3.3</x:v>
      </x:c>
      <x:c r="M2184" s="66" t="str">
        <x:f>IF(J2184="","Baru/Tanpa Data",IF(J2184&lt;='Catatan &amp; Sumber'!$B$14,"Sangat Ketat",IF(J2184&lt;='Catatan &amp; Sumber'!$B$15,"Ketat",IF(J2184&lt;='Catatan &amp; Sumber'!$B$16,"Sedang","Relatif Longgar"))))</x:f>
        <x:v>Relatif Longgar</x:v>
      </x:c>
      <x:c r="N2184" s="66" t="str">
        <x:v>Tidak Ada</x:v>
      </x:c>
      <x:c r="O2184" s="66" t="str">
        <x:v>Jawa Tengah</x:v>
      </x:c>
      <x:c r="P2184" s="66" t="str">
        <x:v>Kota Semarang</x:v>
      </x:c>
      <x:c r="Q2184" s="66" t="str">
        <x:v>https://snpmb.id/snbp/daya-tampung-snbp</x:v>
      </x:c>
      <x:c r="R2184" s="66" t="str">
        <x:v>https://sidatagrun-public-1076756628210.asia-southeast2.run.app/ptn_sn.php?ptn=356</x:v>
      </x:c>
    </x:row>
    <x:row r="2185">
      <x:c r="A2185" s="87" t="n">
        <x:v>656</x:v>
      </x:c>
      <x:c r="B2185" s="66" t="n">
        <x:v>356</x:v>
      </x:c>
      <x:c r="C2185" s="66" t="str">
        <x:v>UNIVERSITAS NEGERI SEMARANG</x:v>
      </x:c>
      <x:c r="D2185" s="66" t="str">
        <x:v>PTN Akademik</x:v>
      </x:c>
      <x:c r="E2185" s="66" t="str">
        <x:v>13561031</x:v>
      </x:c>
      <x:c r="F2185" s="66" t="str">
        <x:v>PENDIDIKAN PANCASILA &amp; KEWARGANEGARAAN</x:v>
      </x:c>
      <x:c r="G2185" s="66" t="str">
        <x:v>Sarjana</x:v>
      </x:c>
      <x:c r="H2185" s="87" t="n">
        <x:v>30</x:v>
      </x:c>
      <x:c r="I2185" s="87" t="n">
        <x:v>504</x:v>
      </x:c>
      <x:c r="J2185" s="68" t="n">
        <x:f>IFERROR(H2185/I2185,"")</x:f>
        <x:v>0.05952380952380952</x:v>
      </x:c>
      <x:c r="K2185" s="69" t="n">
        <x:f>IFERROR(I2185/H2185,"")</x:f>
        <x:v>16.8</x:v>
      </x:c>
      <x:c r="L2185" s="66" t="str">
        <x:f>IF(K2185="","","1 : "&amp;TEXT(K2185,"0.0"))</x:f>
        <x:v>1 : 16.8</x:v>
      </x:c>
      <x:c r="M2185" s="66" t="str">
        <x:f>IF(J2185="","Baru/Tanpa Data",IF(J2185&lt;='Catatan &amp; Sumber'!$B$14,"Sangat Ketat",IF(J2185&lt;='Catatan &amp; Sumber'!$B$15,"Ketat",IF(J2185&lt;='Catatan &amp; Sumber'!$B$16,"Sedang","Relatif Longgar"))))</x:f>
        <x:v>Sedang</x:v>
      </x:c>
      <x:c r="N2185" s="66" t="str">
        <x:v>Tidak Ada</x:v>
      </x:c>
      <x:c r="O2185" s="66" t="str">
        <x:v>Jawa Tengah</x:v>
      </x:c>
      <x:c r="P2185" s="66" t="str">
        <x:v>Kota Semarang</x:v>
      </x:c>
      <x:c r="Q2185" s="66" t="str">
        <x:v>https://snpmb.id/snbp/daya-tampung-snbp</x:v>
      </x:c>
      <x:c r="R2185" s="66" t="str">
        <x:v>https://sidatagrun-public-1076756628210.asia-southeast2.run.app/ptn_sn.php?ptn=356</x:v>
      </x:c>
    </x:row>
    <x:row r="2186">
      <x:c r="A2186" s="87" t="n">
        <x:v>905</x:v>
      </x:c>
      <x:c r="B2186" s="66" t="n">
        <x:v>356</x:v>
      </x:c>
      <x:c r="C2186" s="66" t="str">
        <x:v>UNIVERSITAS NEGERI SEMARANG</x:v>
      </x:c>
      <x:c r="D2186" s="66" t="str">
        <x:v>PTN Akademik</x:v>
      </x:c>
      <x:c r="E2186" s="66" t="str">
        <x:v>13561032</x:v>
      </x:c>
      <x:c r="F2186" s="66" t="str">
        <x:v>PENDIDIKAN GEOGRAFI</x:v>
      </x:c>
      <x:c r="G2186" s="66" t="str">
        <x:v>Sarjana</x:v>
      </x:c>
      <x:c r="H2186" s="87" t="n">
        <x:v>20</x:v>
      </x:c>
      <x:c r="I2186" s="87" t="n">
        <x:v>275</x:v>
      </x:c>
      <x:c r="J2186" s="68" t="n">
        <x:f>IFERROR(H2186/I2186,"")</x:f>
        <x:v>0.07272727272727272</x:v>
      </x:c>
      <x:c r="K2186" s="69" t="n">
        <x:f>IFERROR(I2186/H2186,"")</x:f>
        <x:v>13.75</x:v>
      </x:c>
      <x:c r="L2186" s="66" t="str">
        <x:f>IF(K2186="","","1 : "&amp;TEXT(K2186,"0.0"))</x:f>
        <x:v>1 : 13.8</x:v>
      </x:c>
      <x:c r="M2186" s="66" t="str">
        <x:f>IF(J2186="","Baru/Tanpa Data",IF(J2186&lt;='Catatan &amp; Sumber'!$B$14,"Sangat Ketat",IF(J2186&lt;='Catatan &amp; Sumber'!$B$15,"Ketat",IF(J2186&lt;='Catatan &amp; Sumber'!$B$16,"Sedang","Relatif Longgar"))))</x:f>
        <x:v>Sedang</x:v>
      </x:c>
      <x:c r="N2186" s="66" t="str">
        <x:v>Tidak Ada</x:v>
      </x:c>
      <x:c r="O2186" s="66" t="str">
        <x:v>Jawa Tengah</x:v>
      </x:c>
      <x:c r="P2186" s="66" t="str">
        <x:v>Kota Semarang</x:v>
      </x:c>
      <x:c r="Q2186" s="66" t="str">
        <x:v>https://snpmb.id/snbp/daya-tampung-snbp</x:v>
      </x:c>
      <x:c r="R2186" s="66" t="str">
        <x:v>https://sidatagrun-public-1076756628210.asia-southeast2.run.app/ptn_sn.php?ptn=356</x:v>
      </x:c>
    </x:row>
    <x:row r="2187">
      <x:c r="A2187" s="87" t="n">
        <x:v>716</x:v>
      </x:c>
      <x:c r="B2187" s="66" t="n">
        <x:v>356</x:v>
      </x:c>
      <x:c r="C2187" s="66" t="str">
        <x:v>UNIVERSITAS NEGERI SEMARANG</x:v>
      </x:c>
      <x:c r="D2187" s="66" t="str">
        <x:v>PTN Akademik</x:v>
      </x:c>
      <x:c r="E2187" s="66" t="str">
        <x:v>13561033</x:v>
      </x:c>
      <x:c r="F2187" s="66" t="str">
        <x:v>PENDIDIKAN SEJARAH</x:v>
      </x:c>
      <x:c r="G2187" s="66" t="str">
        <x:v>Sarjana</x:v>
      </x:c>
      <x:c r="H2187" s="87" t="n">
        <x:v>20</x:v>
      </x:c>
      <x:c r="I2187" s="87" t="n">
        <x:v>319</x:v>
      </x:c>
      <x:c r="J2187" s="68" t="n">
        <x:f>IFERROR(H2187/I2187,"")</x:f>
        <x:v>0.06269592476489028</x:v>
      </x:c>
      <x:c r="K2187" s="69" t="n">
        <x:f>IFERROR(I2187/H2187,"")</x:f>
        <x:v>15.95</x:v>
      </x:c>
      <x:c r="L2187" s="66" t="str">
        <x:f>IF(K2187="","","1 : "&amp;TEXT(K2187,"0.0"))</x:f>
        <x:v>1 : 16.0</x:v>
      </x:c>
      <x:c r="M2187" s="66" t="str">
        <x:f>IF(J2187="","Baru/Tanpa Data",IF(J2187&lt;='Catatan &amp; Sumber'!$B$14,"Sangat Ketat",IF(J2187&lt;='Catatan &amp; Sumber'!$B$15,"Ketat",IF(J2187&lt;='Catatan &amp; Sumber'!$B$16,"Sedang","Relatif Longgar"))))</x:f>
        <x:v>Sedang</x:v>
      </x:c>
      <x:c r="N2187" s="66" t="str">
        <x:v>Tidak Ada</x:v>
      </x:c>
      <x:c r="O2187" s="66" t="str">
        <x:v>Jawa Tengah</x:v>
      </x:c>
      <x:c r="P2187" s="66" t="str">
        <x:v>Kota Semarang</x:v>
      </x:c>
      <x:c r="Q2187" s="66" t="str">
        <x:v>https://snpmb.id/snbp/daya-tampung-snbp</x:v>
      </x:c>
      <x:c r="R2187" s="66" t="str">
        <x:v>https://sidatagrun-public-1076756628210.asia-southeast2.run.app/ptn_sn.php?ptn=356</x:v>
      </x:c>
    </x:row>
    <x:row r="2188">
      <x:c r="A2188" s="87" t="n">
        <x:v>946</x:v>
      </x:c>
      <x:c r="B2188" s="66" t="n">
        <x:v>356</x:v>
      </x:c>
      <x:c r="C2188" s="66" t="str">
        <x:v>UNIVERSITAS NEGERI SEMARANG</x:v>
      </x:c>
      <x:c r="D2188" s="66" t="str">
        <x:v>PTN Akademik</x:v>
      </x:c>
      <x:c r="E2188" s="66" t="str">
        <x:v>13561034</x:v>
      </x:c>
      <x:c r="F2188" s="66" t="str">
        <x:v>PENDIDIKAN JASMANI, KESEHATAN &amp; REKREASI</x:v>
      </x:c>
      <x:c r="G2188" s="66" t="str">
        <x:v>Sarjana</x:v>
      </x:c>
      <x:c r="H2188" s="87" t="n">
        <x:v>58</x:v>
      </x:c>
      <x:c r="I2188" s="87" t="n">
        <x:v>774</x:v>
      </x:c>
      <x:c r="J2188" s="68" t="n">
        <x:f>IFERROR(H2188/I2188,"")</x:f>
        <x:v>0.07493540051679587</x:v>
      </x:c>
      <x:c r="K2188" s="69" t="n">
        <x:f>IFERROR(I2188/H2188,"")</x:f>
        <x:v>13.344827586206897</x:v>
      </x:c>
      <x:c r="L2188" s="66" t="str">
        <x:f>IF(K2188="","","1 : "&amp;TEXT(K2188,"0.0"))</x:f>
        <x:v>1 : 13.3</x:v>
      </x:c>
      <x:c r="M2188" s="66" t="str">
        <x:f>IF(J2188="","Baru/Tanpa Data",IF(J2188&lt;='Catatan &amp; Sumber'!$B$14,"Sangat Ketat",IF(J2188&lt;='Catatan &amp; Sumber'!$B$15,"Ketat",IF(J2188&lt;='Catatan &amp; Sumber'!$B$16,"Sedang","Relatif Longgar"))))</x:f>
        <x:v>Sedang</x:v>
      </x:c>
      <x:c r="N2188" s="66" t="str">
        <x:v>Olahraga</x:v>
      </x:c>
      <x:c r="O2188" s="66" t="str">
        <x:v>Jawa Tengah</x:v>
      </x:c>
      <x:c r="P2188" s="66" t="str">
        <x:v>Kota Semarang</x:v>
      </x:c>
      <x:c r="Q2188" s="66" t="str">
        <x:v>https://snpmb.id/snbp/daya-tampung-snbp</x:v>
      </x:c>
      <x:c r="R2188" s="66" t="str">
        <x:v>https://sidatagrun-public-1076756628210.asia-southeast2.run.app/ptn_sn.php?ptn=356</x:v>
      </x:c>
    </x:row>
    <x:row r="2189">
      <x:c r="A2189" s="87" t="n">
        <x:v>1220</x:v>
      </x:c>
      <x:c r="B2189" s="66" t="n">
        <x:v>356</x:v>
      </x:c>
      <x:c r="C2189" s="66" t="str">
        <x:v>UNIVERSITAS NEGERI SEMARANG</x:v>
      </x:c>
      <x:c r="D2189" s="66" t="str">
        <x:v>PTN Akademik</x:v>
      </x:c>
      <x:c r="E2189" s="66" t="str">
        <x:v>13561035</x:v>
      </x:c>
      <x:c r="F2189" s="66" t="str">
        <x:v>PENDIDIKAN KEPELATIHAN OLAHRAGA</x:v>
      </x:c>
      <x:c r="G2189" s="66" t="str">
        <x:v>Sarjana</x:v>
      </x:c>
      <x:c r="H2189" s="87" t="n">
        <x:v>43</x:v>
      </x:c>
      <x:c r="I2189" s="87" t="n">
        <x:v>471</x:v>
      </x:c>
      <x:c r="J2189" s="68" t="n">
        <x:f>IFERROR(H2189/I2189,"")</x:f>
        <x:v>0.09129511677282377</x:v>
      </x:c>
      <x:c r="K2189" s="69" t="n">
        <x:f>IFERROR(I2189/H2189,"")</x:f>
        <x:v>10.953488372093023</x:v>
      </x:c>
      <x:c r="L2189" s="66" t="str">
        <x:f>IF(K2189="","","1 : "&amp;TEXT(K2189,"0.0"))</x:f>
        <x:v>1 : 11.0</x:v>
      </x:c>
      <x:c r="M2189" s="66" t="str">
        <x:f>IF(J2189="","Baru/Tanpa Data",IF(J2189&lt;='Catatan &amp; Sumber'!$B$14,"Sangat Ketat",IF(J2189&lt;='Catatan &amp; Sumber'!$B$15,"Ketat",IF(J2189&lt;='Catatan &amp; Sumber'!$B$16,"Sedang","Relatif Longgar"))))</x:f>
        <x:v>Sedang</x:v>
      </x:c>
      <x:c r="N2189" s="66" t="str">
        <x:v>Olahraga</x:v>
      </x:c>
      <x:c r="O2189" s="66" t="str">
        <x:v>Jawa Tengah</x:v>
      </x:c>
      <x:c r="P2189" s="66" t="str">
        <x:v>Kota Semarang</x:v>
      </x:c>
      <x:c r="Q2189" s="66" t="str">
        <x:v>https://snpmb.id/snbp/daya-tampung-snbp</x:v>
      </x:c>
      <x:c r="R2189" s="66" t="str">
        <x:v>https://sidatagrun-public-1076756628210.asia-southeast2.run.app/ptn_sn.php?ptn=356</x:v>
      </x:c>
    </x:row>
    <x:row r="2190">
      <x:c r="A2190" s="87" t="n">
        <x:v>284</x:v>
      </x:c>
      <x:c r="B2190" s="66" t="n">
        <x:v>356</x:v>
      </x:c>
      <x:c r="C2190" s="66" t="str">
        <x:v>UNIVERSITAS NEGERI SEMARANG</x:v>
      </x:c>
      <x:c r="D2190" s="66" t="str">
        <x:v>PTN Akademik</x:v>
      </x:c>
      <x:c r="E2190" s="66" t="str">
        <x:v>13561036</x:v>
      </x:c>
      <x:c r="F2190" s="66" t="str">
        <x:v>PENDIDIKAN TATA BOGA</x:v>
      </x:c>
      <x:c r="G2190" s="66" t="str">
        <x:v>Sarjana</x:v>
      </x:c>
      <x:c r="H2190" s="87" t="n">
        <x:v>23</x:v>
      </x:c>
      <x:c r="I2190" s="87" t="n">
        <x:v>552</x:v>
      </x:c>
      <x:c r="J2190" s="68" t="n">
        <x:f>IFERROR(H2190/I2190,"")</x:f>
        <x:v>0.041666666666666664</x:v>
      </x:c>
      <x:c r="K2190" s="69" t="n">
        <x:f>IFERROR(I2190/H2190,"")</x:f>
        <x:v>24</x:v>
      </x:c>
      <x:c r="L2190" s="66" t="str">
        <x:f>IF(K2190="","","1 : "&amp;TEXT(K2190,"0.0"))</x:f>
        <x:v>1 : 24.0</x:v>
      </x:c>
      <x:c r="M2190" s="66" t="str">
        <x:f>IF(J2190="","Baru/Tanpa Data",IF(J2190&lt;='Catatan &amp; Sumber'!$B$14,"Sangat Ketat",IF(J2190&lt;='Catatan &amp; Sumber'!$B$15,"Ketat",IF(J2190&lt;='Catatan &amp; Sumber'!$B$16,"Sedang","Relatif Longgar"))))</x:f>
        <x:v>Ketat</x:v>
      </x:c>
      <x:c r="N2190" s="66" t="str">
        <x:v>Tidak Ada</x:v>
      </x:c>
      <x:c r="O2190" s="66" t="str">
        <x:v>Jawa Tengah</x:v>
      </x:c>
      <x:c r="P2190" s="66" t="str">
        <x:v>Kota Semarang</x:v>
      </x:c>
      <x:c r="Q2190" s="66" t="str">
        <x:v>https://snpmb.id/snbp/daya-tampung-snbp</x:v>
      </x:c>
      <x:c r="R2190" s="66" t="str">
        <x:v>https://sidatagrun-public-1076756628210.asia-southeast2.run.app/ptn_sn.php?ptn=356</x:v>
      </x:c>
    </x:row>
    <x:row r="2191">
      <x:c r="A2191" s="87" t="n">
        <x:v>266</x:v>
      </x:c>
      <x:c r="B2191" s="66" t="n">
        <x:v>356</x:v>
      </x:c>
      <x:c r="C2191" s="66" t="str">
        <x:v>UNIVERSITAS NEGERI SEMARANG</x:v>
      </x:c>
      <x:c r="D2191" s="66" t="str">
        <x:v>PTN Akademik</x:v>
      </x:c>
      <x:c r="E2191" s="66" t="str">
        <x:v>13561037</x:v>
      </x:c>
      <x:c r="F2191" s="66" t="str">
        <x:v>PENDIDIKAN TATA BUSANA</x:v>
      </x:c>
      <x:c r="G2191" s="66" t="str">
        <x:v>Sarjana</x:v>
      </x:c>
      <x:c r="H2191" s="87" t="n">
        <x:v>20</x:v>
      </x:c>
      <x:c r="I2191" s="87" t="n">
        <x:v>494</x:v>
      </x:c>
      <x:c r="J2191" s="68" t="n">
        <x:f>IFERROR(H2191/I2191,"")</x:f>
        <x:v>0.04048582995951417</x:v>
      </x:c>
      <x:c r="K2191" s="69" t="n">
        <x:f>IFERROR(I2191/H2191,"")</x:f>
        <x:v>24.7</x:v>
      </x:c>
      <x:c r="L2191" s="66" t="str">
        <x:f>IF(K2191="","","1 : "&amp;TEXT(K2191,"0.0"))</x:f>
        <x:v>1 : 24.7</x:v>
      </x:c>
      <x:c r="M2191" s="66" t="str">
        <x:f>IF(J2191="","Baru/Tanpa Data",IF(J2191&lt;='Catatan &amp; Sumber'!$B$14,"Sangat Ketat",IF(J2191&lt;='Catatan &amp; Sumber'!$B$15,"Ketat",IF(J2191&lt;='Catatan &amp; Sumber'!$B$16,"Sedang","Relatif Longgar"))))</x:f>
        <x:v>Ketat</x:v>
      </x:c>
      <x:c r="N2191" s="66" t="str">
        <x:v>Tidak Ada</x:v>
      </x:c>
      <x:c r="O2191" s="66" t="str">
        <x:v>Jawa Tengah</x:v>
      </x:c>
      <x:c r="P2191" s="66" t="str">
        <x:v>Kota Semarang</x:v>
      </x:c>
      <x:c r="Q2191" s="66" t="str">
        <x:v>https://snpmb.id/snbp/daya-tampung-snbp</x:v>
      </x:c>
      <x:c r="R2191" s="66" t="str">
        <x:v>https://sidatagrun-public-1076756628210.asia-southeast2.run.app/ptn_sn.php?ptn=356</x:v>
      </x:c>
    </x:row>
    <x:row r="2192">
      <x:c r="A2192" s="87" t="n">
        <x:v>833</x:v>
      </x:c>
      <x:c r="B2192" s="66" t="n">
        <x:v>356</x:v>
      </x:c>
      <x:c r="C2192" s="66" t="str">
        <x:v>UNIVERSITAS NEGERI SEMARANG</x:v>
      </x:c>
      <x:c r="D2192" s="66" t="str">
        <x:v>PTN Akademik</x:v>
      </x:c>
      <x:c r="E2192" s="66" t="str">
        <x:v>13561038</x:v>
      </x:c>
      <x:c r="F2192" s="66" t="str">
        <x:v>PENDIDIKAN SOSIOLOGI &amp; ANTROPOLOGI</x:v>
      </x:c>
      <x:c r="G2192" s="66" t="str">
        <x:v>Sarjana</x:v>
      </x:c>
      <x:c r="H2192" s="87" t="n">
        <x:v>30</x:v>
      </x:c>
      <x:c r="I2192" s="87" t="n">
        <x:v>439</x:v>
      </x:c>
      <x:c r="J2192" s="68" t="n">
        <x:f>IFERROR(H2192/I2192,"")</x:f>
        <x:v>0.0683371298405467</x:v>
      </x:c>
      <x:c r="K2192" s="69" t="n">
        <x:f>IFERROR(I2192/H2192,"")</x:f>
        <x:v>14.633333333333333</x:v>
      </x:c>
      <x:c r="L2192" s="66" t="str">
        <x:f>IF(K2192="","","1 : "&amp;TEXT(K2192,"0.0"))</x:f>
        <x:v>1 : 14.6</x:v>
      </x:c>
      <x:c r="M2192" s="66" t="str">
        <x:f>IF(J2192="","Baru/Tanpa Data",IF(J2192&lt;='Catatan &amp; Sumber'!$B$14,"Sangat Ketat",IF(J2192&lt;='Catatan &amp; Sumber'!$B$15,"Ketat",IF(J2192&lt;='Catatan &amp; Sumber'!$B$16,"Sedang","Relatif Longgar"))))</x:f>
        <x:v>Sedang</x:v>
      </x:c>
      <x:c r="N2192" s="66" t="str">
        <x:v>Tidak Ada</x:v>
      </x:c>
      <x:c r="O2192" s="66" t="str">
        <x:v>Jawa Tengah</x:v>
      </x:c>
      <x:c r="P2192" s="66" t="str">
        <x:v>Kota Semarang</x:v>
      </x:c>
      <x:c r="Q2192" s="66" t="str">
        <x:v>https://snpmb.id/snbp/daya-tampung-snbp</x:v>
      </x:c>
      <x:c r="R2192" s="66" t="str">
        <x:v>https://sidatagrun-public-1076756628210.asia-southeast2.run.app/ptn_sn.php?ptn=356</x:v>
      </x:c>
    </x:row>
    <x:row r="2193">
      <x:c r="A2193" s="87" t="n">
        <x:v>1269</x:v>
      </x:c>
      <x:c r="B2193" s="66" t="n">
        <x:v>356</x:v>
      </x:c>
      <x:c r="C2193" s="66" t="str">
        <x:v>UNIVERSITAS NEGERI SEMARANG</x:v>
      </x:c>
      <x:c r="D2193" s="66" t="str">
        <x:v>PTN Akademik</x:v>
      </x:c>
      <x:c r="E2193" s="66" t="str">
        <x:v>13561039</x:v>
      </x:c>
      <x:c r="F2193" s="66" t="str">
        <x:v>EKONOMI PEMBANGUNAN</x:v>
      </x:c>
      <x:c r="G2193" s="66" t="str">
        <x:v>Sarjana</x:v>
      </x:c>
      <x:c r="H2193" s="87" t="n">
        <x:v>63</x:v>
      </x:c>
      <x:c r="I2193" s="87" t="n">
        <x:v>670</x:v>
      </x:c>
      <x:c r="J2193" s="68" t="n">
        <x:f>IFERROR(H2193/I2193,"")</x:f>
        <x:v>0.09402985074626866</x:v>
      </x:c>
      <x:c r="K2193" s="69" t="n">
        <x:f>IFERROR(I2193/H2193,"")</x:f>
        <x:v>10.634920634920634</x:v>
      </x:c>
      <x:c r="L2193" s="66" t="str">
        <x:f>IF(K2193="","","1 : "&amp;TEXT(K2193,"0.0"))</x:f>
        <x:v>1 : 10.6</x:v>
      </x:c>
      <x:c r="M2193" s="66" t="str">
        <x:f>IF(J2193="","Baru/Tanpa Data",IF(J2193&lt;='Catatan &amp; Sumber'!$B$14,"Sangat Ketat",IF(J2193&lt;='Catatan &amp; Sumber'!$B$15,"Ketat",IF(J2193&lt;='Catatan &amp; Sumber'!$B$16,"Sedang","Relatif Longgar"))))</x:f>
        <x:v>Sedang</x:v>
      </x:c>
      <x:c r="N2193" s="66" t="str">
        <x:v>Tidak Ada</x:v>
      </x:c>
      <x:c r="O2193" s="66" t="str">
        <x:v>Jawa Tengah</x:v>
      </x:c>
      <x:c r="P2193" s="66" t="str">
        <x:v>Kota Semarang</x:v>
      </x:c>
      <x:c r="Q2193" s="66" t="str">
        <x:v>https://snpmb.id/snbp/daya-tampung-snbp</x:v>
      </x:c>
      <x:c r="R2193" s="66" t="str">
        <x:v>https://sidatagrun-public-1076756628210.asia-southeast2.run.app/ptn_sn.php?ptn=356</x:v>
      </x:c>
    </x:row>
    <x:row r="2194">
      <x:c r="A2194" s="87" t="n">
        <x:v>281</x:v>
      </x:c>
      <x:c r="B2194" s="66" t="n">
        <x:v>356</x:v>
      </x:c>
      <x:c r="C2194" s="66" t="str">
        <x:v>UNIVERSITAS NEGERI SEMARANG</x:v>
      </x:c>
      <x:c r="D2194" s="66" t="str">
        <x:v>PTN Akademik</x:v>
      </x:c>
      <x:c r="E2194" s="66" t="str">
        <x:v>13561040</x:v>
      </x:c>
      <x:c r="F2194" s="66" t="str">
        <x:v>MANAJEMEN</x:v>
      </x:c>
      <x:c r="G2194" s="66" t="str">
        <x:v>Sarjana</x:v>
      </x:c>
      <x:c r="H2194" s="87" t="n">
        <x:v>99</x:v>
      </x:c>
      <x:c r="I2194" s="87" t="n">
        <x:v>2397</x:v>
      </x:c>
      <x:c r="J2194" s="68" t="n">
        <x:f>IFERROR(H2194/I2194,"")</x:f>
        <x:v>0.04130162703379224</x:v>
      </x:c>
      <x:c r="K2194" s="69" t="n">
        <x:f>IFERROR(I2194/H2194,"")</x:f>
        <x:v>24.21212121212121</x:v>
      </x:c>
      <x:c r="L2194" s="66" t="str">
        <x:f>IF(K2194="","","1 : "&amp;TEXT(K2194,"0.0"))</x:f>
        <x:v>1 : 24.2</x:v>
      </x:c>
      <x:c r="M2194" s="66" t="str">
        <x:f>IF(J2194="","Baru/Tanpa Data",IF(J2194&lt;='Catatan &amp; Sumber'!$B$14,"Sangat Ketat",IF(J2194&lt;='Catatan &amp; Sumber'!$B$15,"Ketat",IF(J2194&lt;='Catatan &amp; Sumber'!$B$16,"Sedang","Relatif Longgar"))))</x:f>
        <x:v>Ketat</x:v>
      </x:c>
      <x:c r="N2194" s="66" t="str">
        <x:v>Tidak Ada</x:v>
      </x:c>
      <x:c r="O2194" s="66" t="str">
        <x:v>Jawa Tengah</x:v>
      </x:c>
      <x:c r="P2194" s="66" t="str">
        <x:v>Kota Semarang</x:v>
      </x:c>
      <x:c r="Q2194" s="66" t="str">
        <x:v>https://snpmb.id/snbp/daya-tampung-snbp</x:v>
      </x:c>
      <x:c r="R2194" s="66" t="str">
        <x:v>https://sidatagrun-public-1076756628210.asia-southeast2.run.app/ptn_sn.php?ptn=356</x:v>
      </x:c>
    </x:row>
    <x:row r="2195">
      <x:c r="A2195" s="87" t="n">
        <x:v>416</x:v>
      </x:c>
      <x:c r="B2195" s="66" t="n">
        <x:v>356</x:v>
      </x:c>
      <x:c r="C2195" s="66" t="str">
        <x:v>UNIVERSITAS NEGERI SEMARANG</x:v>
      </x:c>
      <x:c r="D2195" s="66" t="str">
        <x:v>PTN Akademik</x:v>
      </x:c>
      <x:c r="E2195" s="66" t="str">
        <x:v>13561041</x:v>
      </x:c>
      <x:c r="F2195" s="66" t="str">
        <x:v>PSIKOLOGI</x:v>
      </x:c>
      <x:c r="G2195" s="66" t="str">
        <x:v>Sarjana</x:v>
      </x:c>
      <x:c r="H2195" s="87" t="n">
        <x:v>49</x:v>
      </x:c>
      <x:c r="I2195" s="87" t="n">
        <x:v>1031</x:v>
      </x:c>
      <x:c r="J2195" s="68" t="n">
        <x:f>IFERROR(H2195/I2195,"")</x:f>
        <x:v>0.0475266731328807</x:v>
      </x:c>
      <x:c r="K2195" s="69" t="n">
        <x:f>IFERROR(I2195/H2195,"")</x:f>
        <x:v>21.040816326530614</x:v>
      </x:c>
      <x:c r="L2195" s="66" t="str">
        <x:f>IF(K2195="","","1 : "&amp;TEXT(K2195,"0.0"))</x:f>
        <x:v>1 : 21.0</x:v>
      </x:c>
      <x:c r="M2195" s="66" t="str">
        <x:f>IF(J2195="","Baru/Tanpa Data",IF(J2195&lt;='Catatan &amp; Sumber'!$B$14,"Sangat Ketat",IF(J2195&lt;='Catatan &amp; Sumber'!$B$15,"Ketat",IF(J2195&lt;='Catatan &amp; Sumber'!$B$16,"Sedang","Relatif Longgar"))))</x:f>
        <x:v>Ketat</x:v>
      </x:c>
      <x:c r="N2195" s="66" t="str">
        <x:v>Tidak Ada</x:v>
      </x:c>
      <x:c r="O2195" s="66" t="str">
        <x:v>Jawa Tengah</x:v>
      </x:c>
      <x:c r="P2195" s="66" t="str">
        <x:v>Kota Semarang</x:v>
      </x:c>
      <x:c r="Q2195" s="66" t="str">
        <x:v>https://snpmb.id/snbp/daya-tampung-snbp</x:v>
      </x:c>
      <x:c r="R2195" s="66" t="str">
        <x:v>https://sidatagrun-public-1076756628210.asia-southeast2.run.app/ptn_sn.php?ptn=356</x:v>
      </x:c>
    </x:row>
    <x:row r="2196">
      <x:c r="A2196" s="87" t="n">
        <x:v>1526</x:v>
      </x:c>
      <x:c r="B2196" s="66" t="n">
        <x:v>356</x:v>
      </x:c>
      <x:c r="C2196" s="66" t="str">
        <x:v>UNIVERSITAS NEGERI SEMARANG</x:v>
      </x:c>
      <x:c r="D2196" s="66" t="str">
        <x:v>PTN Akademik</x:v>
      </x:c>
      <x:c r="E2196" s="66" t="str">
        <x:v>13561042</x:v>
      </x:c>
      <x:c r="F2196" s="66" t="str">
        <x:v>GEOGRAFI</x:v>
      </x:c>
      <x:c r="G2196" s="66" t="str">
        <x:v>Sarjana</x:v>
      </x:c>
      <x:c r="H2196" s="87" t="n">
        <x:v>48</x:v>
      </x:c>
      <x:c r="I2196" s="87" t="n">
        <x:v>430</x:v>
      </x:c>
      <x:c r="J2196" s="68" t="n">
        <x:f>IFERROR(H2196/I2196,"")</x:f>
        <x:v>0.11162790697674418</x:v>
      </x:c>
      <x:c r="K2196" s="69" t="n">
        <x:f>IFERROR(I2196/H2196,"")</x:f>
        <x:v>8.958333333333334</x:v>
      </x:c>
      <x:c r="L2196" s="66" t="str">
        <x:f>IF(K2196="","","1 : "&amp;TEXT(K2196,"0.0"))</x:f>
        <x:v>1 : 9.0</x:v>
      </x:c>
      <x:c r="M2196" s="66" t="str">
        <x:f>IF(J2196="","Baru/Tanpa Data",IF(J2196&lt;='Catatan &amp; Sumber'!$B$14,"Sangat Ketat",IF(J2196&lt;='Catatan &amp; Sumber'!$B$15,"Ketat",IF(J2196&lt;='Catatan &amp; Sumber'!$B$16,"Sedang","Relatif Longgar"))))</x:f>
        <x:v>Relatif Longgar</x:v>
      </x:c>
      <x:c r="N2196" s="66" t="str">
        <x:v>Tidak Ada</x:v>
      </x:c>
      <x:c r="O2196" s="66" t="str">
        <x:v>Jawa Tengah</x:v>
      </x:c>
      <x:c r="P2196" s="66" t="str">
        <x:v>Kota Semarang</x:v>
      </x:c>
      <x:c r="Q2196" s="66" t="str">
        <x:v>https://snpmb.id/snbp/daya-tampung-snbp</x:v>
      </x:c>
      <x:c r="R2196" s="66" t="str">
        <x:v>https://sidatagrun-public-1076756628210.asia-southeast2.run.app/ptn_sn.php?ptn=356</x:v>
      </x:c>
    </x:row>
    <x:row r="2197">
      <x:c r="A2197" s="87" t="n">
        <x:v>1784</x:v>
      </x:c>
      <x:c r="B2197" s="66" t="n">
        <x:v>356</x:v>
      </x:c>
      <x:c r="C2197" s="66" t="str">
        <x:v>UNIVERSITAS NEGERI SEMARANG</x:v>
      </x:c>
      <x:c r="D2197" s="66" t="str">
        <x:v>PTN Akademik</x:v>
      </x:c>
      <x:c r="E2197" s="66" t="str">
        <x:v>13561043</x:v>
      </x:c>
      <x:c r="F2197" s="66" t="str">
        <x:v>ILMU HUKUM</x:v>
      </x:c>
      <x:c r="G2197" s="66" t="str">
        <x:v>Sarjana</x:v>
      </x:c>
      <x:c r="H2197" s="87" t="n">
        <x:v>188</x:v>
      </x:c>
      <x:c r="I2197" s="87" t="n">
        <x:v>1434</x:v>
      </x:c>
      <x:c r="J2197" s="68" t="n">
        <x:f>IFERROR(H2197/I2197,"")</x:f>
        <x:v>0.13110181311018132</x:v>
      </x:c>
      <x:c r="K2197" s="69" t="n">
        <x:f>IFERROR(I2197/H2197,"")</x:f>
        <x:v>7.627659574468085</x:v>
      </x:c>
      <x:c r="L2197" s="66" t="str">
        <x:f>IF(K2197="","","1 : "&amp;TEXT(K2197,"0.0"))</x:f>
        <x:v>1 : 7.6</x:v>
      </x:c>
      <x:c r="M2197" s="66" t="str">
        <x:f>IF(J2197="","Baru/Tanpa Data",IF(J2197&lt;='Catatan &amp; Sumber'!$B$14,"Sangat Ketat",IF(J2197&lt;='Catatan &amp; Sumber'!$B$15,"Ketat",IF(J2197&lt;='Catatan &amp; Sumber'!$B$16,"Sedang","Relatif Longgar"))))</x:f>
        <x:v>Relatif Longgar</x:v>
      </x:c>
      <x:c r="N2197" s="66" t="str">
        <x:v>Tidak Ada</x:v>
      </x:c>
      <x:c r="O2197" s="66" t="str">
        <x:v>Jawa Tengah</x:v>
      </x:c>
      <x:c r="P2197" s="66" t="str">
        <x:v>Kota Semarang</x:v>
      </x:c>
      <x:c r="Q2197" s="66" t="str">
        <x:v>https://snpmb.id/snbp/daya-tampung-snbp</x:v>
      </x:c>
      <x:c r="R2197" s="66" t="str">
        <x:v>https://sidatagrun-public-1076756628210.asia-southeast2.run.app/ptn_sn.php?ptn=356</x:v>
      </x:c>
    </x:row>
    <x:row r="2198">
      <x:c r="A2198" s="87" t="n">
        <x:v>445</x:v>
      </x:c>
      <x:c r="B2198" s="66" t="n">
        <x:v>356</x:v>
      </x:c>
      <x:c r="C2198" s="66" t="str">
        <x:v>UNIVERSITAS NEGERI SEMARANG</x:v>
      </x:c>
      <x:c r="D2198" s="66" t="str">
        <x:v>PTN Akademik</x:v>
      </x:c>
      <x:c r="E2198" s="66" t="str">
        <x:v>13561044</x:v>
      </x:c>
      <x:c r="F2198" s="66" t="str">
        <x:v>AKUNTANSI</x:v>
      </x:c>
      <x:c r="G2198" s="66" t="str">
        <x:v>Sarjana</x:v>
      </x:c>
      <x:c r="H2198" s="87" t="n">
        <x:v>87</x:v>
      </x:c>
      <x:c r="I2198" s="87" t="n">
        <x:v>1780</x:v>
      </x:c>
      <x:c r="J2198" s="68" t="n">
        <x:f>IFERROR(H2198/I2198,"")</x:f>
        <x:v>0.04887640449438202</x:v>
      </x:c>
      <x:c r="K2198" s="69" t="n">
        <x:f>IFERROR(I2198/H2198,"")</x:f>
        <x:v>20.45977011494253</x:v>
      </x:c>
      <x:c r="L2198" s="66" t="str">
        <x:f>IF(K2198="","","1 : "&amp;TEXT(K2198,"0.0"))</x:f>
        <x:v>1 : 20.5</x:v>
      </x:c>
      <x:c r="M2198" s="66" t="str">
        <x:f>IF(J2198="","Baru/Tanpa Data",IF(J2198&lt;='Catatan &amp; Sumber'!$B$14,"Sangat Ketat",IF(J2198&lt;='Catatan &amp; Sumber'!$B$15,"Ketat",IF(J2198&lt;='Catatan &amp; Sumber'!$B$16,"Sedang","Relatif Longgar"))))</x:f>
        <x:v>Ketat</x:v>
      </x:c>
      <x:c r="N2198" s="66" t="str">
        <x:v>Tidak Ada</x:v>
      </x:c>
      <x:c r="O2198" s="66" t="str">
        <x:v>Jawa Tengah</x:v>
      </x:c>
      <x:c r="P2198" s="66" t="str">
        <x:v>Kota Semarang</x:v>
      </x:c>
      <x:c r="Q2198" s="66" t="str">
        <x:v>https://snpmb.id/snbp/daya-tampung-snbp</x:v>
      </x:c>
      <x:c r="R2198" s="66" t="str">
        <x:v>https://sidatagrun-public-1076756628210.asia-southeast2.run.app/ptn_sn.php?ptn=356</x:v>
      </x:c>
    </x:row>
    <x:row r="2199">
      <x:c r="A2199" s="87" t="n">
        <x:v>2060</x:v>
      </x:c>
      <x:c r="B2199" s="66" t="n">
        <x:v>356</x:v>
      </x:c>
      <x:c r="C2199" s="66" t="str">
        <x:v>UNIVERSITAS NEGERI SEMARANG</x:v>
      </x:c>
      <x:c r="D2199" s="66" t="str">
        <x:v>PTN Akademik</x:v>
      </x:c>
      <x:c r="E2199" s="66" t="str">
        <x:v>13561045</x:v>
      </x:c>
      <x:c r="F2199" s="66" t="str">
        <x:v>SENI RUPA (DKV,LUKIS,PTNG,GRAFIS,GBR KRIYA)</x:v>
      </x:c>
      <x:c r="G2199" s="66" t="str">
        <x:v>Sarjana</x:v>
      </x:c>
      <x:c r="H2199" s="87" t="n">
        <x:v>30</x:v>
      </x:c>
      <x:c r="I2199" s="87" t="n">
        <x:v>190</x:v>
      </x:c>
      <x:c r="J2199" s="68" t="n">
        <x:f>IFERROR(H2199/I2199,"")</x:f>
        <x:v>0.15789473684210525</x:v>
      </x:c>
      <x:c r="K2199" s="69" t="n">
        <x:f>IFERROR(I2199/H2199,"")</x:f>
        <x:v>6.333333333333333</x:v>
      </x:c>
      <x:c r="L2199" s="66" t="str">
        <x:f>IF(K2199="","","1 : "&amp;TEXT(K2199,"0.0"))</x:f>
        <x:v>1 : 6.3</x:v>
      </x:c>
      <x:c r="M2199" s="66" t="str">
        <x:f>IF(J2199="","Baru/Tanpa Data",IF(J2199&lt;='Catatan &amp; Sumber'!$B$14,"Sangat Ketat",IF(J2199&lt;='Catatan &amp; Sumber'!$B$15,"Ketat",IF(J2199&lt;='Catatan &amp; Sumber'!$B$16,"Sedang","Relatif Longgar"))))</x:f>
        <x:v>Relatif Longgar</x:v>
      </x:c>
      <x:c r="N2199" s="66" t="str">
        <x:v>Seni Rupa, Desain, dan Kriya</x:v>
      </x:c>
      <x:c r="O2199" s="66" t="str">
        <x:v>Jawa Tengah</x:v>
      </x:c>
      <x:c r="P2199" s="66" t="str">
        <x:v>Kota Semarang</x:v>
      </x:c>
      <x:c r="Q2199" s="66" t="str">
        <x:v>https://snpmb.id/snbp/daya-tampung-snbp</x:v>
      </x:c>
      <x:c r="R2199" s="66" t="str">
        <x:v>https://sidatagrun-public-1076756628210.asia-southeast2.run.app/ptn_sn.php?ptn=356</x:v>
      </x:c>
    </x:row>
    <x:row r="2200">
      <x:c r="A2200" s="87" t="n">
        <x:v>1727</x:v>
      </x:c>
      <x:c r="B2200" s="66" t="n">
        <x:v>356</x:v>
      </x:c>
      <x:c r="C2200" s="66" t="str">
        <x:v>UNIVERSITAS NEGERI SEMARANG</x:v>
      </x:c>
      <x:c r="D2200" s="66" t="str">
        <x:v>PTN Akademik</x:v>
      </x:c>
      <x:c r="E2200" s="66" t="str">
        <x:v>13561046</x:v>
      </x:c>
      <x:c r="F2200" s="66" t="str">
        <x:v>PENDIDIKAN AKUNTANSI</x:v>
      </x:c>
      <x:c r="G2200" s="66" t="str">
        <x:v>Sarjana</x:v>
      </x:c>
      <x:c r="H2200" s="87" t="n">
        <x:v>27</x:v>
      </x:c>
      <x:c r="I2200" s="87" t="n">
        <x:v>214</x:v>
      </x:c>
      <x:c r="J2200" s="68" t="n">
        <x:f>IFERROR(H2200/I2200,"")</x:f>
        <x:v>0.1261682242990654</x:v>
      </x:c>
      <x:c r="K2200" s="69" t="n">
        <x:f>IFERROR(I2200/H2200,"")</x:f>
        <x:v>7.925925925925926</x:v>
      </x:c>
      <x:c r="L2200" s="66" t="str">
        <x:f>IF(K2200="","","1 : "&amp;TEXT(K2200,"0.0"))</x:f>
        <x:v>1 : 7.9</x:v>
      </x:c>
      <x:c r="M2200" s="66" t="str">
        <x:f>IF(J2200="","Baru/Tanpa Data",IF(J2200&lt;='Catatan &amp; Sumber'!$B$14,"Sangat Ketat",IF(J2200&lt;='Catatan &amp; Sumber'!$B$15,"Ketat",IF(J2200&lt;='Catatan &amp; Sumber'!$B$16,"Sedang","Relatif Longgar"))))</x:f>
        <x:v>Relatif Longgar</x:v>
      </x:c>
      <x:c r="N2200" s="66" t="str">
        <x:v>Tidak Ada</x:v>
      </x:c>
      <x:c r="O2200" s="66" t="str">
        <x:v>Jawa Tengah</x:v>
      </x:c>
      <x:c r="P2200" s="66" t="str">
        <x:v>Kota Semarang</x:v>
      </x:c>
      <x:c r="Q2200" s="66" t="str">
        <x:v>https://snpmb.id/snbp/daya-tampung-snbp</x:v>
      </x:c>
      <x:c r="R2200" s="66" t="str">
        <x:v>https://sidatagrun-public-1076756628210.asia-southeast2.run.app/ptn_sn.php?ptn=356</x:v>
      </x:c>
    </x:row>
    <x:row r="2201">
      <x:c r="A2201" s="87" t="n">
        <x:v>492</x:v>
      </x:c>
      <x:c r="B2201" s="66" t="n">
        <x:v>356</x:v>
      </x:c>
      <x:c r="C2201" s="66" t="str">
        <x:v>UNIVERSITAS NEGERI SEMARANG</x:v>
      </x:c>
      <x:c r="D2201" s="66" t="str">
        <x:v>PTN Akademik</x:v>
      </x:c>
      <x:c r="E2201" s="66" t="str">
        <x:v>13561047</x:v>
      </x:c>
      <x:c r="F2201" s="66" t="str">
        <x:v>PENDIDIKAN EKONOMI</x:v>
      </x:c>
      <x:c r="G2201" s="66" t="str">
        <x:v>Sarjana</x:v>
      </x:c>
      <x:c r="H2201" s="87" t="n">
        <x:v>30</x:v>
      </x:c>
      <x:c r="I2201" s="87" t="n">
        <x:v>592</x:v>
      </x:c>
      <x:c r="J2201" s="68" t="n">
        <x:f>IFERROR(H2201/I2201,"")</x:f>
        <x:v>0.05067567567567568</x:v>
      </x:c>
      <x:c r="K2201" s="69" t="n">
        <x:f>IFERROR(I2201/H2201,"")</x:f>
        <x:v>19.733333333333334</x:v>
      </x:c>
      <x:c r="L2201" s="66" t="str">
        <x:f>IF(K2201="","","1 : "&amp;TEXT(K2201,"0.0"))</x:f>
        <x:v>1 : 19.7</x:v>
      </x:c>
      <x:c r="M2201" s="66" t="str">
        <x:f>IF(J2201="","Baru/Tanpa Data",IF(J2201&lt;='Catatan &amp; Sumber'!$B$14,"Sangat Ketat",IF(J2201&lt;='Catatan &amp; Sumber'!$B$15,"Ketat",IF(J2201&lt;='Catatan &amp; Sumber'!$B$16,"Sedang","Relatif Longgar"))))</x:f>
        <x:v>Sedang</x:v>
      </x:c>
      <x:c r="N2201" s="66" t="str">
        <x:v>Tidak Ada</x:v>
      </x:c>
      <x:c r="O2201" s="66" t="str">
        <x:v>Jawa Tengah</x:v>
      </x:c>
      <x:c r="P2201" s="66" t="str">
        <x:v>Kota Semarang</x:v>
      </x:c>
      <x:c r="Q2201" s="66" t="str">
        <x:v>https://snpmb.id/snbp/daya-tampung-snbp</x:v>
      </x:c>
      <x:c r="R2201" s="66" t="str">
        <x:v>https://sidatagrun-public-1076756628210.asia-southeast2.run.app/ptn_sn.php?ptn=356</x:v>
      </x:c>
    </x:row>
    <x:row r="2202">
      <x:c r="A2202" s="87" t="n">
        <x:v>647</x:v>
      </x:c>
      <x:c r="B2202" s="66" t="n">
        <x:v>356</x:v>
      </x:c>
      <x:c r="C2202" s="66" t="str">
        <x:v>UNIVERSITAS NEGERI SEMARANG</x:v>
      </x:c>
      <x:c r="D2202" s="66" t="str">
        <x:v>PTN Akademik</x:v>
      </x:c>
      <x:c r="E2202" s="66" t="str">
        <x:v>13561048</x:v>
      </x:c>
      <x:c r="F2202" s="66" t="str">
        <x:v>PENDIDIKAN ADMINISTRASI PERKANTORAN</x:v>
      </x:c>
      <x:c r="G2202" s="66" t="str">
        <x:v>Sarjana</x:v>
      </x:c>
      <x:c r="H2202" s="87" t="n">
        <x:v>25</x:v>
      </x:c>
      <x:c r="I2202" s="87" t="n">
        <x:v>421</x:v>
      </x:c>
      <x:c r="J2202" s="68" t="n">
        <x:f>IFERROR(H2202/I2202,"")</x:f>
        <x:v>0.05938242280285035</x:v>
      </x:c>
      <x:c r="K2202" s="69" t="n">
        <x:f>IFERROR(I2202/H2202,"")</x:f>
        <x:v>16.84</x:v>
      </x:c>
      <x:c r="L2202" s="66" t="str">
        <x:f>IF(K2202="","","1 : "&amp;TEXT(K2202,"0.0"))</x:f>
        <x:v>1 : 16.8</x:v>
      </x:c>
      <x:c r="M2202" s="66" t="str">
        <x:f>IF(J2202="","Baru/Tanpa Data",IF(J2202&lt;='Catatan &amp; Sumber'!$B$14,"Sangat Ketat",IF(J2202&lt;='Catatan &amp; Sumber'!$B$15,"Ketat",IF(J2202&lt;='Catatan &amp; Sumber'!$B$16,"Sedang","Relatif Longgar"))))</x:f>
        <x:v>Sedang</x:v>
      </x:c>
      <x:c r="N2202" s="66" t="str">
        <x:v>Tidak Ada</x:v>
      </x:c>
      <x:c r="O2202" s="66" t="str">
        <x:v>Jawa Tengah</x:v>
      </x:c>
      <x:c r="P2202" s="66" t="str">
        <x:v>Kota Semarang</x:v>
      </x:c>
      <x:c r="Q2202" s="66" t="str">
        <x:v>https://snpmb.id/snbp/daya-tampung-snbp</x:v>
      </x:c>
      <x:c r="R2202" s="66" t="str">
        <x:v>https://sidatagrun-public-1076756628210.asia-southeast2.run.app/ptn_sn.php?ptn=356</x:v>
      </x:c>
    </x:row>
    <x:row r="2203">
      <x:c r="A2203" s="87" t="n">
        <x:v>962</x:v>
      </x:c>
      <x:c r="B2203" s="66" t="n">
        <x:v>356</x:v>
      </x:c>
      <x:c r="C2203" s="66" t="str">
        <x:v>UNIVERSITAS NEGERI SEMARANG</x:v>
      </x:c>
      <x:c r="D2203" s="66" t="str">
        <x:v>PTN Akademik</x:v>
      </x:c>
      <x:c r="E2203" s="66" t="str">
        <x:v>13561049</x:v>
      </x:c>
      <x:c r="F2203" s="66" t="str">
        <x:v>PENDIDIKAN BAHASA DAN SASTRA INDONESIA</x:v>
      </x:c>
      <x:c r="G2203" s="66" t="str">
        <x:v>Sarjana</x:v>
      </x:c>
      <x:c r="H2203" s="87" t="n">
        <x:v>65</x:v>
      </x:c>
      <x:c r="I2203" s="87" t="n">
        <x:v>856</x:v>
      </x:c>
      <x:c r="J2203" s="68" t="n">
        <x:f>IFERROR(H2203/I2203,"")</x:f>
        <x:v>0.07593457943925233</x:v>
      </x:c>
      <x:c r="K2203" s="69" t="n">
        <x:f>IFERROR(I2203/H2203,"")</x:f>
        <x:v>13.169230769230769</x:v>
      </x:c>
      <x:c r="L2203" s="66" t="str">
        <x:f>IF(K2203="","","1 : "&amp;TEXT(K2203,"0.0"))</x:f>
        <x:v>1 : 13.2</x:v>
      </x:c>
      <x:c r="M2203" s="66" t="str">
        <x:f>IF(J2203="","Baru/Tanpa Data",IF(J2203&lt;='Catatan &amp; Sumber'!$B$14,"Sangat Ketat",IF(J2203&lt;='Catatan &amp; Sumber'!$B$15,"Ketat",IF(J2203&lt;='Catatan &amp; Sumber'!$B$16,"Sedang","Relatif Longgar"))))</x:f>
        <x:v>Sedang</x:v>
      </x:c>
      <x:c r="N2203" s="66" t="str">
        <x:v>Tidak Ada</x:v>
      </x:c>
      <x:c r="O2203" s="66" t="str">
        <x:v>Jawa Tengah</x:v>
      </x:c>
      <x:c r="P2203" s="66" t="str">
        <x:v>Kota Semarang</x:v>
      </x:c>
      <x:c r="Q2203" s="66" t="str">
        <x:v>https://snpmb.id/snbp/daya-tampung-snbp</x:v>
      </x:c>
      <x:c r="R2203" s="66" t="str">
        <x:v>https://sidatagrun-public-1076756628210.asia-southeast2.run.app/ptn_sn.php?ptn=356</x:v>
      </x:c>
    </x:row>
    <x:row r="2204">
      <x:c r="A2204" s="87" t="n">
        <x:v>670</x:v>
      </x:c>
      <x:c r="B2204" s="66" t="n">
        <x:v>356</x:v>
      </x:c>
      <x:c r="C2204" s="66" t="str">
        <x:v>UNIVERSITAS NEGERI SEMARANG</x:v>
      </x:c>
      <x:c r="D2204" s="66" t="str">
        <x:v>PTN Akademik</x:v>
      </x:c>
      <x:c r="E2204" s="66" t="str">
        <x:v>13561050</x:v>
      </x:c>
      <x:c r="F2204" s="66" t="str">
        <x:v>PENDIDIKAN BAHASA INGGRIS</x:v>
      </x:c>
      <x:c r="G2204" s="66" t="str">
        <x:v>Sarjana</x:v>
      </x:c>
      <x:c r="H2204" s="87" t="n">
        <x:v>43</x:v>
      </x:c>
      <x:c r="I2204" s="87" t="n">
        <x:v>714</x:v>
      </x:c>
      <x:c r="J2204" s="68" t="n">
        <x:f>IFERROR(H2204/I2204,"")</x:f>
        <x:v>0.06022408963585434</x:v>
      </x:c>
      <x:c r="K2204" s="69" t="n">
        <x:f>IFERROR(I2204/H2204,"")</x:f>
        <x:v>16.6046511627907</x:v>
      </x:c>
      <x:c r="L2204" s="66" t="str">
        <x:f>IF(K2204="","","1 : "&amp;TEXT(K2204,"0.0"))</x:f>
        <x:v>1 : 16.6</x:v>
      </x:c>
      <x:c r="M2204" s="66" t="str">
        <x:f>IF(J2204="","Baru/Tanpa Data",IF(J2204&lt;='Catatan &amp; Sumber'!$B$14,"Sangat Ketat",IF(J2204&lt;='Catatan &amp; Sumber'!$B$15,"Ketat",IF(J2204&lt;='Catatan &amp; Sumber'!$B$16,"Sedang","Relatif Longgar"))))</x:f>
        <x:v>Sedang</x:v>
      </x:c>
      <x:c r="N2204" s="66" t="str">
        <x:v>Tidak Ada</x:v>
      </x:c>
      <x:c r="O2204" s="66" t="str">
        <x:v>Jawa Tengah</x:v>
      </x:c>
      <x:c r="P2204" s="66" t="str">
        <x:v>Kota Semarang</x:v>
      </x:c>
      <x:c r="Q2204" s="66" t="str">
        <x:v>https://snpmb.id/snbp/daya-tampung-snbp</x:v>
      </x:c>
      <x:c r="R2204" s="66" t="str">
        <x:v>https://sidatagrun-public-1076756628210.asia-southeast2.run.app/ptn_sn.php?ptn=356</x:v>
      </x:c>
    </x:row>
    <x:row r="2205">
      <x:c r="A2205" s="87" t="n">
        <x:v>3710</x:v>
      </x:c>
      <x:c r="B2205" s="66" t="n">
        <x:v>356</x:v>
      </x:c>
      <x:c r="C2205" s="66" t="str">
        <x:v>UNIVERSITAS NEGERI SEMARANG</x:v>
      </x:c>
      <x:c r="D2205" s="66" t="str">
        <x:v>PTN Akademik</x:v>
      </x:c>
      <x:c r="E2205" s="66" t="str">
        <x:v>13561051</x:v>
      </x:c>
      <x:c r="F2205" s="66" t="str">
        <x:v>PENDIDIKAN BAHASA PRANCIS</x:v>
      </x:c>
      <x:c r="G2205" s="66" t="str">
        <x:v>Sarjana</x:v>
      </x:c>
      <x:c r="H2205" s="87" t="n">
        <x:v>25</x:v>
      </x:c>
      <x:c r="I2205" s="87" t="n">
        <x:v>48</x:v>
      </x:c>
      <x:c r="J2205" s="68" t="n">
        <x:f>IFERROR(H2205/I2205,"")</x:f>
        <x:v>0.5208333333333334</x:v>
      </x:c>
      <x:c r="K2205" s="69" t="n">
        <x:f>IFERROR(I2205/H2205,"")</x:f>
        <x:v>1.92</x:v>
      </x:c>
      <x:c r="L2205" s="66" t="str">
        <x:f>IF(K2205="","","1 : "&amp;TEXT(K2205,"0.0"))</x:f>
        <x:v>1 : 1.9</x:v>
      </x:c>
      <x:c r="M2205" s="66" t="str">
        <x:f>IF(J2205="","Baru/Tanpa Data",IF(J2205&lt;='Catatan &amp; Sumber'!$B$14,"Sangat Ketat",IF(J2205&lt;='Catatan &amp; Sumber'!$B$15,"Ketat",IF(J2205&lt;='Catatan &amp; Sumber'!$B$16,"Sedang","Relatif Longgar"))))</x:f>
        <x:v>Relatif Longgar</x:v>
      </x:c>
      <x:c r="N2205" s="66" t="str">
        <x:v>Tidak Ada</x:v>
      </x:c>
      <x:c r="O2205" s="66" t="str">
        <x:v>Jawa Tengah</x:v>
      </x:c>
      <x:c r="P2205" s="66" t="str">
        <x:v>Kota Semarang</x:v>
      </x:c>
      <x:c r="Q2205" s="66" t="str">
        <x:v>https://snpmb.id/snbp/daya-tampung-snbp</x:v>
      </x:c>
      <x:c r="R2205" s="66" t="str">
        <x:v>https://sidatagrun-public-1076756628210.asia-southeast2.run.app/ptn_sn.php?ptn=356</x:v>
      </x:c>
    </x:row>
    <x:row r="2206">
      <x:c r="A2206" s="87" t="n">
        <x:v>2870</x:v>
      </x:c>
      <x:c r="B2206" s="66" t="n">
        <x:v>356</x:v>
      </x:c>
      <x:c r="C2206" s="66" t="str">
        <x:v>UNIVERSITAS NEGERI SEMARANG</x:v>
      </x:c>
      <x:c r="D2206" s="66" t="str">
        <x:v>PTN Akademik</x:v>
      </x:c>
      <x:c r="E2206" s="66" t="str">
        <x:v>13561052</x:v>
      </x:c>
      <x:c r="F2206" s="66" t="str">
        <x:v>PENDIDIKAN SENI RUPA</x:v>
      </x:c>
      <x:c r="G2206" s="66" t="str">
        <x:v>Sarjana</x:v>
      </x:c>
      <x:c r="H2206" s="87" t="n">
        <x:v>36</x:v>
      </x:c>
      <x:c r="I2206" s="87" t="n">
        <x:v>133</x:v>
      </x:c>
      <x:c r="J2206" s="68" t="n">
        <x:f>IFERROR(H2206/I2206,"")</x:f>
        <x:v>0.2706766917293233</x:v>
      </x:c>
      <x:c r="K2206" s="69" t="n">
        <x:f>IFERROR(I2206/H2206,"")</x:f>
        <x:v>3.6944444444444446</x:v>
      </x:c>
      <x:c r="L2206" s="66" t="str">
        <x:f>IF(K2206="","","1 : "&amp;TEXT(K2206,"0.0"))</x:f>
        <x:v>1 : 3.7</x:v>
      </x:c>
      <x:c r="M2206" s="66" t="str">
        <x:f>IF(J2206="","Baru/Tanpa Data",IF(J2206&lt;='Catatan &amp; Sumber'!$B$14,"Sangat Ketat",IF(J2206&lt;='Catatan &amp; Sumber'!$B$15,"Ketat",IF(J2206&lt;='Catatan &amp; Sumber'!$B$16,"Sedang","Relatif Longgar"))))</x:f>
        <x:v>Relatif Longgar</x:v>
      </x:c>
      <x:c r="N2206" s="66" t="str">
        <x:v>Seni Rupa, Desain, dan Kriya</x:v>
      </x:c>
      <x:c r="O2206" s="66" t="str">
        <x:v>Jawa Tengah</x:v>
      </x:c>
      <x:c r="P2206" s="66" t="str">
        <x:v>Kota Semarang</x:v>
      </x:c>
      <x:c r="Q2206" s="66" t="str">
        <x:v>https://snpmb.id/snbp/daya-tampung-snbp</x:v>
      </x:c>
      <x:c r="R2206" s="66" t="str">
        <x:v>https://sidatagrun-public-1076756628210.asia-southeast2.run.app/ptn_sn.php?ptn=356</x:v>
      </x:c>
    </x:row>
    <x:row r="2207">
      <x:c r="A2207" s="87" t="n">
        <x:v>848</x:v>
      </x:c>
      <x:c r="B2207" s="66" t="n">
        <x:v>356</x:v>
      </x:c>
      <x:c r="C2207" s="66" t="str">
        <x:v>UNIVERSITAS NEGERI SEMARANG</x:v>
      </x:c>
      <x:c r="D2207" s="66" t="str">
        <x:v>PTN Akademik</x:v>
      </x:c>
      <x:c r="E2207" s="66" t="str">
        <x:v>13561053</x:v>
      </x:c>
      <x:c r="F2207" s="66" t="str">
        <x:v>SASTRA INDONESIA</x:v>
      </x:c>
      <x:c r="G2207" s="66" t="str">
        <x:v>Sarjana</x:v>
      </x:c>
      <x:c r="H2207" s="87" t="n">
        <x:v>20</x:v>
      </x:c>
      <x:c r="I2207" s="87" t="n">
        <x:v>289</x:v>
      </x:c>
      <x:c r="J2207" s="68" t="n">
        <x:f>IFERROR(H2207/I2207,"")</x:f>
        <x:v>0.06920415224913495</x:v>
      </x:c>
      <x:c r="K2207" s="69" t="n">
        <x:f>IFERROR(I2207/H2207,"")</x:f>
        <x:v>14.45</x:v>
      </x:c>
      <x:c r="L2207" s="66" t="str">
        <x:f>IF(K2207="","","1 : "&amp;TEXT(K2207,"0.0"))</x:f>
        <x:v>1 : 14.5</x:v>
      </x:c>
      <x:c r="M2207" s="66" t="str">
        <x:f>IF(J2207="","Baru/Tanpa Data",IF(J2207&lt;='Catatan &amp; Sumber'!$B$14,"Sangat Ketat",IF(J2207&lt;='Catatan &amp; Sumber'!$B$15,"Ketat",IF(J2207&lt;='Catatan &amp; Sumber'!$B$16,"Sedang","Relatif Longgar"))))</x:f>
        <x:v>Sedang</x:v>
      </x:c>
      <x:c r="N2207" s="66" t="str">
        <x:v>Tidak Ada</x:v>
      </x:c>
      <x:c r="O2207" s="66" t="str">
        <x:v>Jawa Tengah</x:v>
      </x:c>
      <x:c r="P2207" s="66" t="str">
        <x:v>Kota Semarang</x:v>
      </x:c>
      <x:c r="Q2207" s="66" t="str">
        <x:v>https://snpmb.id/snbp/daya-tampung-snbp</x:v>
      </x:c>
      <x:c r="R2207" s="66" t="str">
        <x:v>https://sidatagrun-public-1076756628210.asia-southeast2.run.app/ptn_sn.php?ptn=356</x:v>
      </x:c>
    </x:row>
    <x:row r="2208">
      <x:c r="A2208" s="87" t="n">
        <x:v>893</x:v>
      </x:c>
      <x:c r="B2208" s="66" t="n">
        <x:v>356</x:v>
      </x:c>
      <x:c r="C2208" s="66" t="str">
        <x:v>UNIVERSITAS NEGERI SEMARANG</x:v>
      </x:c>
      <x:c r="D2208" s="66" t="str">
        <x:v>PTN Akademik</x:v>
      </x:c>
      <x:c r="E2208" s="66" t="str">
        <x:v>13561054</x:v>
      </x:c>
      <x:c r="F2208" s="66" t="str">
        <x:v>SASTRA INGGRIS</x:v>
      </x:c>
      <x:c r="G2208" s="66" t="str">
        <x:v>Sarjana</x:v>
      </x:c>
      <x:c r="H2208" s="87" t="n">
        <x:v>39</x:v>
      </x:c>
      <x:c r="I2208" s="87" t="n">
        <x:v>544</x:v>
      </x:c>
      <x:c r="J2208" s="68" t="n">
        <x:f>IFERROR(H2208/I2208,"")</x:f>
        <x:v>0.07169117647058823</x:v>
      </x:c>
      <x:c r="K2208" s="69" t="n">
        <x:f>IFERROR(I2208/H2208,"")</x:f>
        <x:v>13.948717948717949</x:v>
      </x:c>
      <x:c r="L2208" s="66" t="str">
        <x:f>IF(K2208="","","1 : "&amp;TEXT(K2208,"0.0"))</x:f>
        <x:v>1 : 13.9</x:v>
      </x:c>
      <x:c r="M2208" s="66" t="str">
        <x:f>IF(J2208="","Baru/Tanpa Data",IF(J2208&lt;='Catatan &amp; Sumber'!$B$14,"Sangat Ketat",IF(J2208&lt;='Catatan &amp; Sumber'!$B$15,"Ketat",IF(J2208&lt;='Catatan &amp; Sumber'!$B$16,"Sedang","Relatif Longgar"))))</x:f>
        <x:v>Sedang</x:v>
      </x:c>
      <x:c r="N2208" s="66" t="str">
        <x:v>Tidak Ada</x:v>
      </x:c>
      <x:c r="O2208" s="66" t="str">
        <x:v>Jawa Tengah</x:v>
      </x:c>
      <x:c r="P2208" s="66" t="str">
        <x:v>Kota Semarang</x:v>
      </x:c>
      <x:c r="Q2208" s="66" t="str">
        <x:v>https://snpmb.id/snbp/daya-tampung-snbp</x:v>
      </x:c>
      <x:c r="R2208" s="66" t="str">
        <x:v>https://sidatagrun-public-1076756628210.asia-southeast2.run.app/ptn_sn.php?ptn=356</x:v>
      </x:c>
    </x:row>
    <x:row r="2209">
      <x:c r="A2209" s="87" t="n">
        <x:v>3046</x:v>
      </x:c>
      <x:c r="B2209" s="66" t="n">
        <x:v>356</x:v>
      </x:c>
      <x:c r="C2209" s="66" t="str">
        <x:v>UNIVERSITAS NEGERI SEMARANG</x:v>
      </x:c>
      <x:c r="D2209" s="66" t="str">
        <x:v>PTN Akademik</x:v>
      </x:c>
      <x:c r="E2209" s="66" t="str">
        <x:v>13561055</x:v>
      </x:c>
      <x:c r="F2209" s="66" t="str">
        <x:v>SASTRA PRANCIS</x:v>
      </x:c>
      <x:c r="G2209" s="66" t="str">
        <x:v>Sarjana</x:v>
      </x:c>
      <x:c r="H2209" s="87" t="n">
        <x:v>27</x:v>
      </x:c>
      <x:c r="I2209" s="87" t="n">
        <x:v>89</x:v>
      </x:c>
      <x:c r="J2209" s="68" t="n">
        <x:f>IFERROR(H2209/I2209,"")</x:f>
        <x:v>0.30337078651685395</x:v>
      </x:c>
      <x:c r="K2209" s="69" t="n">
        <x:f>IFERROR(I2209/H2209,"")</x:f>
        <x:v>3.2962962962962963</x:v>
      </x:c>
      <x:c r="L2209" s="66" t="str">
        <x:f>IF(K2209="","","1 : "&amp;TEXT(K2209,"0.0"))</x:f>
        <x:v>1 : 3.3</x:v>
      </x:c>
      <x:c r="M2209" s="66" t="str">
        <x:f>IF(J2209="","Baru/Tanpa Data",IF(J2209&lt;='Catatan &amp; Sumber'!$B$14,"Sangat Ketat",IF(J2209&lt;='Catatan &amp; Sumber'!$B$15,"Ketat",IF(J2209&lt;='Catatan &amp; Sumber'!$B$16,"Sedang","Relatif Longgar"))))</x:f>
        <x:v>Relatif Longgar</x:v>
      </x:c>
      <x:c r="N2209" s="66" t="str">
        <x:v>Tidak Ada</x:v>
      </x:c>
      <x:c r="O2209" s="66" t="str">
        <x:v>Jawa Tengah</x:v>
      </x:c>
      <x:c r="P2209" s="66" t="str">
        <x:v>Kota Semarang</x:v>
      </x:c>
      <x:c r="Q2209" s="66" t="str">
        <x:v>https://snpmb.id/snbp/daya-tampung-snbp</x:v>
      </x:c>
      <x:c r="R2209" s="66" t="str">
        <x:v>https://sidatagrun-public-1076756628210.asia-southeast2.run.app/ptn_sn.php?ptn=356</x:v>
      </x:c>
    </x:row>
    <x:row r="2210">
      <x:c r="A2210" s="87" t="n">
        <x:v>1251</x:v>
      </x:c>
      <x:c r="B2210" s="66" t="n">
        <x:v>356</x:v>
      </x:c>
      <x:c r="C2210" s="66" t="str">
        <x:v>UNIVERSITAS NEGERI SEMARANG</x:v>
      </x:c>
      <x:c r="D2210" s="66" t="str">
        <x:v>PTN Akademik</x:v>
      </x:c>
      <x:c r="E2210" s="66" t="str">
        <x:v>13561056</x:v>
      </x:c>
      <x:c r="F2210" s="66" t="str">
        <x:v>ILMU SEJARAH</x:v>
      </x:c>
      <x:c r="G2210" s="66" t="str">
        <x:v>Sarjana</x:v>
      </x:c>
      <x:c r="H2210" s="87" t="n">
        <x:v>20</x:v>
      </x:c>
      <x:c r="I2210" s="87" t="n">
        <x:v>215</x:v>
      </x:c>
      <x:c r="J2210" s="68" t="n">
        <x:f>IFERROR(H2210/I2210,"")</x:f>
        <x:v>0.09302325581395349</x:v>
      </x:c>
      <x:c r="K2210" s="69" t="n">
        <x:f>IFERROR(I2210/H2210,"")</x:f>
        <x:v>10.75</x:v>
      </x:c>
      <x:c r="L2210" s="66" t="str">
        <x:f>IF(K2210="","","1 : "&amp;TEXT(K2210,"0.0"))</x:f>
        <x:v>1 : 10.8</x:v>
      </x:c>
      <x:c r="M2210" s="66" t="str">
        <x:f>IF(J2210="","Baru/Tanpa Data",IF(J2210&lt;='Catatan &amp; Sumber'!$B$14,"Sangat Ketat",IF(J2210&lt;='Catatan &amp; Sumber'!$B$15,"Ketat",IF(J2210&lt;='Catatan &amp; Sumber'!$B$16,"Sedang","Relatif Longgar"))))</x:f>
        <x:v>Sedang</x:v>
      </x:c>
      <x:c r="N2210" s="66" t="str">
        <x:v>Tidak Ada</x:v>
      </x:c>
      <x:c r="O2210" s="66" t="str">
        <x:v>Jawa Tengah</x:v>
      </x:c>
      <x:c r="P2210" s="66" t="str">
        <x:v>Kota Semarang</x:v>
      </x:c>
      <x:c r="Q2210" s="66" t="str">
        <x:v>https://snpmb.id/snbp/daya-tampung-snbp</x:v>
      </x:c>
      <x:c r="R2210" s="66" t="str">
        <x:v>https://sidatagrun-public-1076756628210.asia-southeast2.run.app/ptn_sn.php?ptn=356</x:v>
      </x:c>
    </x:row>
    <x:row r="2211">
      <x:c r="A2211" s="87" t="n">
        <x:v>2098</x:v>
      </x:c>
      <x:c r="B2211" s="66" t="n">
        <x:v>356</x:v>
      </x:c>
      <x:c r="C2211" s="66" t="str">
        <x:v>UNIVERSITAS NEGERI SEMARANG</x:v>
      </x:c>
      <x:c r="D2211" s="66" t="str">
        <x:v>PTN Akademik</x:v>
      </x:c>
      <x:c r="E2211" s="66" t="str">
        <x:v>13561057</x:v>
      </x:c>
      <x:c r="F2211" s="66" t="str">
        <x:v>SASTRA JAWA</x:v>
      </x:c>
      <x:c r="G2211" s="66" t="str">
        <x:v>Sarjana</x:v>
      </x:c>
      <x:c r="H2211" s="87" t="n">
        <x:v>20</x:v>
      </x:c>
      <x:c r="I2211" s="87" t="n">
        <x:v>124</x:v>
      </x:c>
      <x:c r="J2211" s="68" t="n">
        <x:f>IFERROR(H2211/I2211,"")</x:f>
        <x:v>0.16129032258064516</x:v>
      </x:c>
      <x:c r="K2211" s="69" t="n">
        <x:f>IFERROR(I2211/H2211,"")</x:f>
        <x:v>6.2</x:v>
      </x:c>
      <x:c r="L2211" s="66" t="str">
        <x:f>IF(K2211="","","1 : "&amp;TEXT(K2211,"0.0"))</x:f>
        <x:v>1 : 6.2</x:v>
      </x:c>
      <x:c r="M2211" s="66" t="str">
        <x:f>IF(J2211="","Baru/Tanpa Data",IF(J2211&lt;='Catatan &amp; Sumber'!$B$14,"Sangat Ketat",IF(J2211&lt;='Catatan &amp; Sumber'!$B$15,"Ketat",IF(J2211&lt;='Catatan &amp; Sumber'!$B$16,"Sedang","Relatif Longgar"))))</x:f>
        <x:v>Relatif Longgar</x:v>
      </x:c>
      <x:c r="N2211" s="66" t="str">
        <x:v>Tidak Ada</x:v>
      </x:c>
      <x:c r="O2211" s="66" t="str">
        <x:v>Jawa Tengah</x:v>
      </x:c>
      <x:c r="P2211" s="66" t="str">
        <x:v>Kota Semarang</x:v>
      </x:c>
      <x:c r="Q2211" s="66" t="str">
        <x:v>https://snpmb.id/snbp/daya-tampung-snbp</x:v>
      </x:c>
      <x:c r="R2211" s="66" t="str">
        <x:v>https://sidatagrun-public-1076756628210.asia-southeast2.run.app/ptn_sn.php?ptn=356</x:v>
      </x:c>
    </x:row>
    <x:row r="2212">
      <x:c r="A2212" s="87" t="n">
        <x:v>1619</x:v>
      </x:c>
      <x:c r="B2212" s="66" t="n">
        <x:v>356</x:v>
      </x:c>
      <x:c r="C2212" s="66" t="str">
        <x:v>UNIVERSITAS NEGERI SEMARANG</x:v>
      </x:c>
      <x:c r="D2212" s="66" t="str">
        <x:v>PTN Akademik</x:v>
      </x:c>
      <x:c r="E2212" s="66" t="str">
        <x:v>13561058</x:v>
      </x:c>
      <x:c r="F2212" s="66" t="str">
        <x:v>PENDIDIKAN BAHASA DAN SASTRA JAWA</x:v>
      </x:c>
      <x:c r="G2212" s="66" t="str">
        <x:v>Sarjana</x:v>
      </x:c>
      <x:c r="H2212" s="87" t="n">
        <x:v>40</x:v>
      </x:c>
      <x:c r="I2212" s="87" t="n">
        <x:v>337</x:v>
      </x:c>
      <x:c r="J2212" s="68" t="n">
        <x:f>IFERROR(H2212/I2212,"")</x:f>
        <x:v>0.11869436201780416</x:v>
      </x:c>
      <x:c r="K2212" s="69" t="n">
        <x:f>IFERROR(I2212/H2212,"")</x:f>
        <x:v>8.425</x:v>
      </x:c>
      <x:c r="L2212" s="66" t="str">
        <x:f>IF(K2212="","","1 : "&amp;TEXT(K2212,"0.0"))</x:f>
        <x:v>1 : 8.4</x:v>
      </x:c>
      <x:c r="M2212" s="66" t="str">
        <x:f>IF(J2212="","Baru/Tanpa Data",IF(J2212&lt;='Catatan &amp; Sumber'!$B$14,"Sangat Ketat",IF(J2212&lt;='Catatan &amp; Sumber'!$B$15,"Ketat",IF(J2212&lt;='Catatan &amp; Sumber'!$B$16,"Sedang","Relatif Longgar"))))</x:f>
        <x:v>Relatif Longgar</x:v>
      </x:c>
      <x:c r="N2212" s="66" t="str">
        <x:v>Tidak Ada</x:v>
      </x:c>
      <x:c r="O2212" s="66" t="str">
        <x:v>Jawa Tengah</x:v>
      </x:c>
      <x:c r="P2212" s="66" t="str">
        <x:v>Kota Semarang</x:v>
      </x:c>
      <x:c r="Q2212" s="66" t="str">
        <x:v>https://snpmb.id/snbp/daya-tampung-snbp</x:v>
      </x:c>
      <x:c r="R2212" s="66" t="str">
        <x:v>https://sidatagrun-public-1076756628210.asia-southeast2.run.app/ptn_sn.php?ptn=356</x:v>
      </x:c>
    </x:row>
    <x:row r="2213">
      <x:c r="A2213" s="87" t="n">
        <x:v>2708</x:v>
      </x:c>
      <x:c r="B2213" s="66" t="n">
        <x:v>356</x:v>
      </x:c>
      <x:c r="C2213" s="66" t="str">
        <x:v>UNIVERSITAS NEGERI SEMARANG</x:v>
      </x:c>
      <x:c r="D2213" s="66" t="str">
        <x:v>PTN Akademik</x:v>
      </x:c>
      <x:c r="E2213" s="66" t="str">
        <x:v>13561059</x:v>
      </x:c>
      <x:c r="F2213" s="66" t="str">
        <x:v>P. SENI DRAMA, TARI &amp; MUSIK (P. SENI TARI)</x:v>
      </x:c>
      <x:c r="G2213" s="66" t="str">
        <x:v>Sarjana</x:v>
      </x:c>
      <x:c r="H2213" s="87" t="n">
        <x:v>36</x:v>
      </x:c>
      <x:c r="I2213" s="87" t="n">
        <x:v>147</x:v>
      </x:c>
      <x:c r="J2213" s="68" t="n">
        <x:f>IFERROR(H2213/I2213,"")</x:f>
        <x:v>0.24489795918367346</x:v>
      </x:c>
      <x:c r="K2213" s="69" t="n">
        <x:f>IFERROR(I2213/H2213,"")</x:f>
        <x:v>4.083333333333333</x:v>
      </x:c>
      <x:c r="L2213" s="66" t="str">
        <x:f>IF(K2213="","","1 : "&amp;TEXT(K2213,"0.0"))</x:f>
        <x:v>1 : 4.1</x:v>
      </x:c>
      <x:c r="M2213" s="66" t="str">
        <x:f>IF(J2213="","Baru/Tanpa Data",IF(J2213&lt;='Catatan &amp; Sumber'!$B$14,"Sangat Ketat",IF(J2213&lt;='Catatan &amp; Sumber'!$B$15,"Ketat",IF(J2213&lt;='Catatan &amp; Sumber'!$B$16,"Sedang","Relatif Longgar"))))</x:f>
        <x:v>Relatif Longgar</x:v>
      </x:c>
      <x:c r="N2213" s="66" t="str">
        <x:v>Tari</x:v>
      </x:c>
      <x:c r="O2213" s="66" t="str">
        <x:v>Jawa Tengah</x:v>
      </x:c>
      <x:c r="P2213" s="66" t="str">
        <x:v>Kota Semarang</x:v>
      </x:c>
      <x:c r="Q2213" s="66" t="str">
        <x:v>https://snpmb.id/snbp/daya-tampung-snbp</x:v>
      </x:c>
      <x:c r="R2213" s="66" t="str">
        <x:v>https://sidatagrun-public-1076756628210.asia-southeast2.run.app/ptn_sn.php?ptn=356</x:v>
      </x:c>
    </x:row>
    <x:row r="2214">
      <x:c r="A2214" s="87" t="n">
        <x:v>3034</x:v>
      </x:c>
      <x:c r="B2214" s="66" t="n">
        <x:v>356</x:v>
      </x:c>
      <x:c r="C2214" s="66" t="str">
        <x:v>UNIVERSITAS NEGERI SEMARANG</x:v>
      </x:c>
      <x:c r="D2214" s="66" t="str">
        <x:v>PTN Akademik</x:v>
      </x:c>
      <x:c r="E2214" s="66" t="str">
        <x:v>13561060</x:v>
      </x:c>
      <x:c r="F2214" s="66" t="str">
        <x:v>P. SENI DRAMA, TARI &amp; MUSIK (P. SENI MUSIK)</x:v>
      </x:c>
      <x:c r="G2214" s="66" t="str">
        <x:v>Sarjana</x:v>
      </x:c>
      <x:c r="H2214" s="87" t="n">
        <x:v>40</x:v>
      </x:c>
      <x:c r="I2214" s="87" t="n">
        <x:v>133</x:v>
      </x:c>
      <x:c r="J2214" s="68" t="n">
        <x:f>IFERROR(H2214/I2214,"")</x:f>
        <x:v>0.3007518796992481</x:v>
      </x:c>
      <x:c r="K2214" s="69" t="n">
        <x:f>IFERROR(I2214/H2214,"")</x:f>
        <x:v>3.325</x:v>
      </x:c>
      <x:c r="L2214" s="66" t="str">
        <x:f>IF(K2214="","","1 : "&amp;TEXT(K2214,"0.0"))</x:f>
        <x:v>1 : 3.3</x:v>
      </x:c>
      <x:c r="M2214" s="66" t="str">
        <x:f>IF(J2214="","Baru/Tanpa Data",IF(J2214&lt;='Catatan &amp; Sumber'!$B$14,"Sangat Ketat",IF(J2214&lt;='Catatan &amp; Sumber'!$B$15,"Ketat",IF(J2214&lt;='Catatan &amp; Sumber'!$B$16,"Sedang","Relatif Longgar"))))</x:f>
        <x:v>Relatif Longgar</x:v>
      </x:c>
      <x:c r="N2214" s="66" t="str">
        <x:v>Musik</x:v>
      </x:c>
      <x:c r="O2214" s="66" t="str">
        <x:v>Jawa Tengah</x:v>
      </x:c>
      <x:c r="P2214" s="66" t="str">
        <x:v>Kota Semarang</x:v>
      </x:c>
      <x:c r="Q2214" s="66" t="str">
        <x:v>https://snpmb.id/snbp/daya-tampung-snbp</x:v>
      </x:c>
      <x:c r="R2214" s="66" t="str">
        <x:v>https://sidatagrun-public-1076756628210.asia-southeast2.run.app/ptn_sn.php?ptn=356</x:v>
      </x:c>
    </x:row>
    <x:row r="2215">
      <x:c r="A2215" s="87" t="n">
        <x:v>772</x:v>
      </x:c>
      <x:c r="B2215" s="66" t="n">
        <x:v>356</x:v>
      </x:c>
      <x:c r="C2215" s="66" t="str">
        <x:v>UNIVERSITAS NEGERI SEMARANG</x:v>
      </x:c>
      <x:c r="D2215" s="66" t="str">
        <x:v>PTN Akademik</x:v>
      </x:c>
      <x:c r="E2215" s="66" t="str">
        <x:v>13561061</x:v>
      </x:c>
      <x:c r="F2215" s="66" t="str">
        <x:v>PENDIDIKAN BAHASA JEPANG</x:v>
      </x:c>
      <x:c r="G2215" s="66" t="str">
        <x:v>Sarjana</x:v>
      </x:c>
      <x:c r="H2215" s="87" t="n">
        <x:v>20</x:v>
      </x:c>
      <x:c r="I2215" s="87" t="n">
        <x:v>305</x:v>
      </x:c>
      <x:c r="J2215" s="68" t="n">
        <x:f>IFERROR(H2215/I2215,"")</x:f>
        <x:v>0.06557377049180328</x:v>
      </x:c>
      <x:c r="K2215" s="69" t="n">
        <x:f>IFERROR(I2215/H2215,"")</x:f>
        <x:v>15.25</x:v>
      </x:c>
      <x:c r="L2215" s="66" t="str">
        <x:f>IF(K2215="","","1 : "&amp;TEXT(K2215,"0.0"))</x:f>
        <x:v>1 : 15.3</x:v>
      </x:c>
      <x:c r="M2215" s="66" t="str">
        <x:f>IF(J2215="","Baru/Tanpa Data",IF(J2215&lt;='Catatan &amp; Sumber'!$B$14,"Sangat Ketat",IF(J2215&lt;='Catatan &amp; Sumber'!$B$15,"Ketat",IF(J2215&lt;='Catatan &amp; Sumber'!$B$16,"Sedang","Relatif Longgar"))))</x:f>
        <x:v>Sedang</x:v>
      </x:c>
      <x:c r="N2215" s="66" t="str">
        <x:v>Tidak Ada</x:v>
      </x:c>
      <x:c r="O2215" s="66" t="str">
        <x:v>Jawa Tengah</x:v>
      </x:c>
      <x:c r="P2215" s="66" t="str">
        <x:v>Kota Semarang</x:v>
      </x:c>
      <x:c r="Q2215" s="66" t="str">
        <x:v>https://snpmb.id/snbp/daya-tampung-snbp</x:v>
      </x:c>
      <x:c r="R2215" s="66" t="str">
        <x:v>https://sidatagrun-public-1076756628210.asia-southeast2.run.app/ptn_sn.php?ptn=356</x:v>
      </x:c>
    </x:row>
    <x:row r="2216">
      <x:c r="A2216" s="87" t="n">
        <x:v>1900</x:v>
      </x:c>
      <x:c r="B2216" s="66" t="n">
        <x:v>356</x:v>
      </x:c>
      <x:c r="C2216" s="66" t="str">
        <x:v>UNIVERSITAS NEGERI SEMARANG</x:v>
      </x:c>
      <x:c r="D2216" s="66" t="str">
        <x:v>PTN Akademik</x:v>
      </x:c>
      <x:c r="E2216" s="66" t="str">
        <x:v>13561062</x:v>
      </x:c>
      <x:c r="F2216" s="66" t="str">
        <x:v>PENDIDIKAN BAHASA ARAB</x:v>
      </x:c>
      <x:c r="G2216" s="66" t="str">
        <x:v>Sarjana</x:v>
      </x:c>
      <x:c r="H2216" s="87" t="n">
        <x:v>36</x:v>
      </x:c>
      <x:c r="I2216" s="87" t="n">
        <x:v>256</x:v>
      </x:c>
      <x:c r="J2216" s="68" t="n">
        <x:f>IFERROR(H2216/I2216,"")</x:f>
        <x:v>0.140625</x:v>
      </x:c>
      <x:c r="K2216" s="69" t="n">
        <x:f>IFERROR(I2216/H2216,"")</x:f>
        <x:v>7.111111111111111</x:v>
      </x:c>
      <x:c r="L2216" s="66" t="str">
        <x:f>IF(K2216="","","1 : "&amp;TEXT(K2216,"0.0"))</x:f>
        <x:v>1 : 7.1</x:v>
      </x:c>
      <x:c r="M2216" s="66" t="str">
        <x:f>IF(J2216="","Baru/Tanpa Data",IF(J2216&lt;='Catatan &amp; Sumber'!$B$14,"Sangat Ketat",IF(J2216&lt;='Catatan &amp; Sumber'!$B$15,"Ketat",IF(J2216&lt;='Catatan &amp; Sumber'!$B$16,"Sedang","Relatif Longgar"))))</x:f>
        <x:v>Relatif Longgar</x:v>
      </x:c>
      <x:c r="N2216" s="66" t="str">
        <x:v>Tidak Ada</x:v>
      </x:c>
      <x:c r="O2216" s="66" t="str">
        <x:v>Jawa Tengah</x:v>
      </x:c>
      <x:c r="P2216" s="66" t="str">
        <x:v>Kota Semarang</x:v>
      </x:c>
      <x:c r="Q2216" s="66" t="str">
        <x:v>https://snpmb.id/snbp/daya-tampung-snbp</x:v>
      </x:c>
      <x:c r="R2216" s="66" t="str">
        <x:v>https://sidatagrun-public-1076756628210.asia-southeast2.run.app/ptn_sn.php?ptn=356</x:v>
      </x:c>
    </x:row>
    <x:row r="2217">
      <x:c r="A2217" s="87" t="n">
        <x:v>318</x:v>
      </x:c>
      <x:c r="B2217" s="66" t="n">
        <x:v>356</x:v>
      </x:c>
      <x:c r="C2217" s="66" t="str">
        <x:v>UNIVERSITAS NEGERI SEMARANG</x:v>
      </x:c>
      <x:c r="D2217" s="66" t="str">
        <x:v>PTN Akademik</x:v>
      </x:c>
      <x:c r="E2217" s="66" t="str">
        <x:v>13561063</x:v>
      </x:c>
      <x:c r="F2217" s="66" t="str">
        <x:v>PENDIDIKAN GURU SEKOLAH DASAR</x:v>
      </x:c>
      <x:c r="G2217" s="66" t="str">
        <x:v>Sarjana</x:v>
      </x:c>
      <x:c r="H2217" s="87" t="n">
        <x:v>120</x:v>
      </x:c>
      <x:c r="I2217" s="87" t="n">
        <x:v>2787</x:v>
      </x:c>
      <x:c r="J2217" s="68" t="n">
        <x:f>IFERROR(H2217/I2217,"")</x:f>
        <x:v>0.04305705059203445</x:v>
      </x:c>
      <x:c r="K2217" s="69" t="n">
        <x:f>IFERROR(I2217/H2217,"")</x:f>
        <x:v>23.225</x:v>
      </x:c>
      <x:c r="L2217" s="66" t="str">
        <x:f>IF(K2217="","","1 : "&amp;TEXT(K2217,"0.0"))</x:f>
        <x:v>1 : 23.2</x:v>
      </x:c>
      <x:c r="M2217" s="66" t="str">
        <x:f>IF(J2217="","Baru/Tanpa Data",IF(J2217&lt;='Catatan &amp; Sumber'!$B$14,"Sangat Ketat",IF(J2217&lt;='Catatan &amp; Sumber'!$B$15,"Ketat",IF(J2217&lt;='Catatan &amp; Sumber'!$B$16,"Sedang","Relatif Longgar"))))</x:f>
        <x:v>Ketat</x:v>
      </x:c>
      <x:c r="N2217" s="66" t="str">
        <x:v>Tidak Ada</x:v>
      </x:c>
      <x:c r="O2217" s="66" t="str">
        <x:v>Jawa Tengah</x:v>
      </x:c>
      <x:c r="P2217" s="66" t="str">
        <x:v>Kota Semarang</x:v>
      </x:c>
      <x:c r="Q2217" s="66" t="str">
        <x:v>https://snpmb.id/snbp/daya-tampung-snbp</x:v>
      </x:c>
      <x:c r="R2217" s="66" t="str">
        <x:v>https://sidatagrun-public-1076756628210.asia-southeast2.run.app/ptn_sn.php?ptn=356</x:v>
      </x:c>
    </x:row>
    <x:row r="2218">
      <x:c r="A2218" s="87" t="n">
        <x:v>1861</x:v>
      </x:c>
      <x:c r="B2218" s="66" t="n">
        <x:v>356</x:v>
      </x:c>
      <x:c r="C2218" s="66" t="str">
        <x:v>UNIVERSITAS NEGERI SEMARANG</x:v>
      </x:c>
      <x:c r="D2218" s="66" t="str">
        <x:v>PTN Akademik</x:v>
      </x:c>
      <x:c r="E2218" s="66" t="str">
        <x:v>13561064</x:v>
      </x:c>
      <x:c r="F2218" s="66" t="str">
        <x:v>PEND.GURU PEND. ANAK USIA DINI (PGPAUD)</x:v>
      </x:c>
      <x:c r="G2218" s="66" t="str">
        <x:v>Sarjana</x:v>
      </x:c>
      <x:c r="H2218" s="87" t="n">
        <x:v>39</x:v>
      </x:c>
      <x:c r="I2218" s="87" t="n">
        <x:v>284</x:v>
      </x:c>
      <x:c r="J2218" s="68" t="n">
        <x:f>IFERROR(H2218/I2218,"")</x:f>
        <x:v>0.13732394366197184</x:v>
      </x:c>
      <x:c r="K2218" s="69" t="n">
        <x:f>IFERROR(I2218/H2218,"")</x:f>
        <x:v>7.282051282051282</x:v>
      </x:c>
      <x:c r="L2218" s="66" t="str">
        <x:f>IF(K2218="","","1 : "&amp;TEXT(K2218,"0.0"))</x:f>
        <x:v>1 : 7.3</x:v>
      </x:c>
      <x:c r="M2218" s="66" t="str">
        <x:f>IF(J2218="","Baru/Tanpa Data",IF(J2218&lt;='Catatan &amp; Sumber'!$B$14,"Sangat Ketat",IF(J2218&lt;='Catatan &amp; Sumber'!$B$15,"Ketat",IF(J2218&lt;='Catatan &amp; Sumber'!$B$16,"Sedang","Relatif Longgar"))))</x:f>
        <x:v>Relatif Longgar</x:v>
      </x:c>
      <x:c r="N2218" s="66" t="str">
        <x:v>Tidak Ada</x:v>
      </x:c>
      <x:c r="O2218" s="66" t="str">
        <x:v>Jawa Tengah</x:v>
      </x:c>
      <x:c r="P2218" s="66" t="str">
        <x:v>Kota Semarang</x:v>
      </x:c>
      <x:c r="Q2218" s="66" t="str">
        <x:v>https://snpmb.id/snbp/daya-tampung-snbp</x:v>
      </x:c>
      <x:c r="R2218" s="66" t="str">
        <x:v>https://sidatagrun-public-1076756628210.asia-southeast2.run.app/ptn_sn.php?ptn=356</x:v>
      </x:c>
    </x:row>
    <x:row r="2219">
      <x:c r="A2219" s="87" t="n">
        <x:v>508</x:v>
      </x:c>
      <x:c r="B2219" s="66" t="n">
        <x:v>356</x:v>
      </x:c>
      <x:c r="C2219" s="66" t="str">
        <x:v>UNIVERSITAS NEGERI SEMARANG</x:v>
      </x:c>
      <x:c r="D2219" s="66" t="str">
        <x:v>PTN Akademik</x:v>
      </x:c>
      <x:c r="E2219" s="66" t="str">
        <x:v>13561065</x:v>
      </x:c>
      <x:c r="F2219" s="66" t="str">
        <x:v>PENDIDIKAN TATA KECANTIKAN</x:v>
      </x:c>
      <x:c r="G2219" s="66" t="str">
        <x:v>Sarjana</x:v>
      </x:c>
      <x:c r="H2219" s="87" t="n">
        <x:v>23</x:v>
      </x:c>
      <x:c r="I2219" s="87" t="n">
        <x:v>443</x:v>
      </x:c>
      <x:c r="J2219" s="68" t="n">
        <x:f>IFERROR(H2219/I2219,"")</x:f>
        <x:v>0.05191873589164785</x:v>
      </x:c>
      <x:c r="K2219" s="69" t="n">
        <x:f>IFERROR(I2219/H2219,"")</x:f>
        <x:v>19.26086956521739</x:v>
      </x:c>
      <x:c r="L2219" s="66" t="str">
        <x:f>IF(K2219="","","1 : "&amp;TEXT(K2219,"0.0"))</x:f>
        <x:v>1 : 19.3</x:v>
      </x:c>
      <x:c r="M2219" s="66" t="str">
        <x:f>IF(J2219="","Baru/Tanpa Data",IF(J2219&lt;='Catatan &amp; Sumber'!$B$14,"Sangat Ketat",IF(J2219&lt;='Catatan &amp; Sumber'!$B$15,"Ketat",IF(J2219&lt;='Catatan &amp; Sumber'!$B$16,"Sedang","Relatif Longgar"))))</x:f>
        <x:v>Sedang</x:v>
      </x:c>
      <x:c r="N2219" s="66" t="str">
        <x:v>Tidak Ada</x:v>
      </x:c>
      <x:c r="O2219" s="66" t="str">
        <x:v>Jawa Tengah</x:v>
      </x:c>
      <x:c r="P2219" s="66" t="str">
        <x:v>Kota Semarang</x:v>
      </x:c>
      <x:c r="Q2219" s="66" t="str">
        <x:v>https://snpmb.id/snbp/daya-tampung-snbp</x:v>
      </x:c>
      <x:c r="R2219" s="66" t="str">
        <x:v>https://sidatagrun-public-1076756628210.asia-southeast2.run.app/ptn_sn.php?ptn=356</x:v>
      </x:c>
    </x:row>
    <x:row r="2220">
      <x:c r="A2220" s="87" t="n">
        <x:v>1199</x:v>
      </x:c>
      <x:c r="B2220" s="66" t="n">
        <x:v>356</x:v>
      </x:c>
      <x:c r="C2220" s="66" t="str">
        <x:v>UNIVERSITAS NEGERI SEMARANG</x:v>
      </x:c>
      <x:c r="D2220" s="66" t="str">
        <x:v>PTN Akademik</x:v>
      </x:c>
      <x:c r="E2220" s="66" t="str">
        <x:v>13561066</x:v>
      </x:c>
      <x:c r="F2220" s="66" t="str">
        <x:v>PENDIDIKAN BAHASA MANDARIN</x:v>
      </x:c>
      <x:c r="G2220" s="66" t="str">
        <x:v>Sarjana</x:v>
      </x:c>
      <x:c r="H2220" s="87" t="n">
        <x:v>12</x:v>
      </x:c>
      <x:c r="I2220" s="87" t="n">
        <x:v>134</x:v>
      </x:c>
      <x:c r="J2220" s="68" t="n">
        <x:f>IFERROR(H2220/I2220,"")</x:f>
        <x:v>0.08955223880597014</x:v>
      </x:c>
      <x:c r="K2220" s="69" t="n">
        <x:f>IFERROR(I2220/H2220,"")</x:f>
        <x:v>11.166666666666666</x:v>
      </x:c>
      <x:c r="L2220" s="66" t="str">
        <x:f>IF(K2220="","","1 : "&amp;TEXT(K2220,"0.0"))</x:f>
        <x:v>1 : 11.2</x:v>
      </x:c>
      <x:c r="M2220" s="66" t="str">
        <x:f>IF(J2220="","Baru/Tanpa Data",IF(J2220&lt;='Catatan &amp; Sumber'!$B$14,"Sangat Ketat",IF(J2220&lt;='Catatan &amp; Sumber'!$B$15,"Ketat",IF(J2220&lt;='Catatan &amp; Sumber'!$B$16,"Sedang","Relatif Longgar"))))</x:f>
        <x:v>Sedang</x:v>
      </x:c>
      <x:c r="N2220" s="66" t="str">
        <x:v>Tidak Ada</x:v>
      </x:c>
      <x:c r="O2220" s="66" t="str">
        <x:v>Jawa Tengah</x:v>
      </x:c>
      <x:c r="P2220" s="66" t="str">
        <x:v>Kota Semarang</x:v>
      </x:c>
      <x:c r="Q2220" s="66" t="str">
        <x:v>https://snpmb.id/snbp/daya-tampung-snbp</x:v>
      </x:c>
      <x:c r="R2220" s="66" t="str">
        <x:v>https://sidatagrun-public-1076756628210.asia-southeast2.run.app/ptn_sn.php?ptn=356</x:v>
      </x:c>
    </x:row>
    <x:row r="2221">
      <x:c r="A2221" s="87" t="n">
        <x:v>2114</x:v>
      </x:c>
      <x:c r="B2221" s="66" t="n">
        <x:v>356</x:v>
      </x:c>
      <x:c r="C2221" s="66" t="str">
        <x:v>UNIVERSITAS NEGERI SEMARANG</x:v>
      </x:c>
      <x:c r="D2221" s="66" t="str">
        <x:v>PTN Akademik</x:v>
      </x:c>
      <x:c r="E2221" s="66" t="str">
        <x:v>13561067</x:v>
      </x:c>
      <x:c r="F2221" s="66" t="str">
        <x:v>ILMU POLITIK</x:v>
      </x:c>
      <x:c r="G2221" s="66" t="str">
        <x:v>Sarjana</x:v>
      </x:c>
      <x:c r="H2221" s="87" t="n">
        <x:v>53</x:v>
      </x:c>
      <x:c r="I2221" s="87" t="n">
        <x:v>325</x:v>
      </x:c>
      <x:c r="J2221" s="68" t="n">
        <x:f>IFERROR(H2221/I2221,"")</x:f>
        <x:v>0.16307692307692306</x:v>
      </x:c>
      <x:c r="K2221" s="69" t="n">
        <x:f>IFERROR(I2221/H2221,"")</x:f>
        <x:v>6.132075471698113</x:v>
      </x:c>
      <x:c r="L2221" s="66" t="str">
        <x:f>IF(K2221="","","1 : "&amp;TEXT(K2221,"0.0"))</x:f>
        <x:v>1 : 6.1</x:v>
      </x:c>
      <x:c r="M2221" s="66" t="str">
        <x:f>IF(J2221="","Baru/Tanpa Data",IF(J2221&lt;='Catatan &amp; Sumber'!$B$14,"Sangat Ketat",IF(J2221&lt;='Catatan &amp; Sumber'!$B$15,"Ketat",IF(J2221&lt;='Catatan &amp; Sumber'!$B$16,"Sedang","Relatif Longgar"))))</x:f>
        <x:v>Relatif Longgar</x:v>
      </x:c>
      <x:c r="N2221" s="66" t="str">
        <x:v>Tidak Ada</x:v>
      </x:c>
      <x:c r="O2221" s="66" t="str">
        <x:v>Jawa Tengah</x:v>
      </x:c>
      <x:c r="P2221" s="66" t="str">
        <x:v>Kota Semarang</x:v>
      </x:c>
      <x:c r="Q2221" s="66" t="str">
        <x:v>https://snpmb.id/snbp/daya-tampung-snbp</x:v>
      </x:c>
      <x:c r="R2221" s="66" t="str">
        <x:v>https://sidatagrun-public-1076756628210.asia-southeast2.run.app/ptn_sn.php?ptn=356</x:v>
      </x:c>
    </x:row>
    <x:row r="2222">
      <x:c r="A2222" s="87" t="n">
        <x:v>1104</x:v>
      </x:c>
      <x:c r="B2222" s="66" t="n">
        <x:v>356</x:v>
      </x:c>
      <x:c r="C2222" s="66" t="str">
        <x:v>UNIVERSITAS NEGERI SEMARANG</x:v>
      </x:c>
      <x:c r="D2222" s="66" t="str">
        <x:v>PTN Akademik</x:v>
      </x:c>
      <x:c r="E2222" s="66" t="str">
        <x:v>13561068</x:v>
      </x:c>
      <x:c r="F2222" s="66" t="str">
        <x:v>PENDIDIKAN JASMANI SEKOLAH DASAR</x:v>
      </x:c>
      <x:c r="G2222" s="66" t="str">
        <x:v>Sarjana</x:v>
      </x:c>
      <x:c r="H2222" s="87" t="n">
        <x:v>20</x:v>
      </x:c>
      <x:c r="I2222" s="87" t="n">
        <x:v>238</x:v>
      </x:c>
      <x:c r="J2222" s="68" t="n">
        <x:f>IFERROR(H2222/I2222,"")</x:f>
        <x:v>0.08403361344537816</x:v>
      </x:c>
      <x:c r="K2222" s="69" t="n">
        <x:f>IFERROR(I2222/H2222,"")</x:f>
        <x:v>11.9</x:v>
      </x:c>
      <x:c r="L2222" s="66" t="str">
        <x:f>IF(K2222="","","1 : "&amp;TEXT(K2222,"0.0"))</x:f>
        <x:v>1 : 11.9</x:v>
      </x:c>
      <x:c r="M2222" s="66" t="str">
        <x:f>IF(J2222="","Baru/Tanpa Data",IF(J2222&lt;='Catatan &amp; Sumber'!$B$14,"Sangat Ketat",IF(J2222&lt;='Catatan &amp; Sumber'!$B$15,"Ketat",IF(J2222&lt;='Catatan &amp; Sumber'!$B$16,"Sedang","Relatif Longgar"))))</x:f>
        <x:v>Sedang</x:v>
      </x:c>
      <x:c r="N2222" s="66" t="str">
        <x:v>Olahraga</x:v>
      </x:c>
      <x:c r="O2222" s="66" t="str">
        <x:v>Jawa Tengah</x:v>
      </x:c>
      <x:c r="P2222" s="66" t="str">
        <x:v>Kota Semarang</x:v>
      </x:c>
      <x:c r="Q2222" s="66" t="str">
        <x:v>https://snpmb.id/snbp/daya-tampung-snbp</x:v>
      </x:c>
      <x:c r="R2222" s="66" t="str">
        <x:v>https://sidatagrun-public-1076756628210.asia-southeast2.run.app/ptn_sn.php?ptn=356</x:v>
      </x:c>
    </x:row>
    <x:row r="2223">
      <x:c r="A2223" s="87" t="n">
        <x:v>1384</x:v>
      </x:c>
      <x:c r="B2223" s="66" t="n">
        <x:v>356</x:v>
      </x:c>
      <x:c r="C2223" s="66" t="str">
        <x:v>UNIVERSITAS NEGERI SEMARANG</x:v>
      </x:c>
      <x:c r="D2223" s="66" t="str">
        <x:v>PTN Akademik</x:v>
      </x:c>
      <x:c r="E2223" s="66" t="str">
        <x:v>13561070</x:v>
      </x:c>
      <x:c r="F2223" s="66" t="str">
        <x:v>PENDIDIKAN ILMU PENGETAHUAN SOSIAL</x:v>
      </x:c>
      <x:c r="G2223" s="66" t="str">
        <x:v>Sarjana</x:v>
      </x:c>
      <x:c r="H2223" s="87" t="n">
        <x:v>30</x:v>
      </x:c>
      <x:c r="I2223" s="87" t="n">
        <x:v>297</x:v>
      </x:c>
      <x:c r="J2223" s="68" t="n">
        <x:f>IFERROR(H2223/I2223,"")</x:f>
        <x:v>0.10101010101010101</x:v>
      </x:c>
      <x:c r="K2223" s="69" t="n">
        <x:f>IFERROR(I2223/H2223,"")</x:f>
        <x:v>9.9</x:v>
      </x:c>
      <x:c r="L2223" s="66" t="str">
        <x:f>IF(K2223="","","1 : "&amp;TEXT(K2223,"0.0"))</x:f>
        <x:v>1 : 9.9</x:v>
      </x:c>
      <x:c r="M2223" s="66" t="str">
        <x:f>IF(J2223="","Baru/Tanpa Data",IF(J2223&lt;='Catatan &amp; Sumber'!$B$14,"Sangat Ketat",IF(J2223&lt;='Catatan &amp; Sumber'!$B$15,"Ketat",IF(J2223&lt;='Catatan &amp; Sumber'!$B$16,"Sedang","Relatif Longgar"))))</x:f>
        <x:v>Relatif Longgar</x:v>
      </x:c>
      <x:c r="N2223" s="66" t="str">
        <x:v>Tidak Ada</x:v>
      </x:c>
      <x:c r="O2223" s="66" t="str">
        <x:v>Jawa Tengah</x:v>
      </x:c>
      <x:c r="P2223" s="66" t="str">
        <x:v>Kota Semarang</x:v>
      </x:c>
      <x:c r="Q2223" s="66" t="str">
        <x:v>https://snpmb.id/snbp/daya-tampung-snbp</x:v>
      </x:c>
      <x:c r="R2223" s="66" t="str">
        <x:v>https://sidatagrun-public-1076756628210.asia-southeast2.run.app/ptn_sn.php?ptn=356</x:v>
      </x:c>
    </x:row>
    <x:row r="2224">
      <x:c r="A2224" s="87" t="n">
        <x:v>1215</x:v>
      </x:c>
      <x:c r="B2224" s="66" t="n">
        <x:v>356</x:v>
      </x:c>
      <x:c r="C2224" s="66" t="str">
        <x:v>UNIVERSITAS NEGERI SEMARANG</x:v>
      </x:c>
      <x:c r="D2224" s="66" t="str">
        <x:v>PTN Akademik</x:v>
      </x:c>
      <x:c r="E2224" s="66" t="str">
        <x:v>13561071</x:v>
      </x:c>
      <x:c r="F2224" s="66" t="str">
        <x:v>PENDIDIKAN KESEJAHTERAAN KELUARGA</x:v>
      </x:c>
      <x:c r="G2224" s="66" t="str">
        <x:v>Sarjana</x:v>
      </x:c>
      <x:c r="H2224" s="87" t="n">
        <x:v>15</x:v>
      </x:c>
      <x:c r="I2224" s="87" t="n">
        <x:v>165</x:v>
      </x:c>
      <x:c r="J2224" s="68" t="n">
        <x:f>IFERROR(H2224/I2224,"")</x:f>
        <x:v>0.09090909090909091</x:v>
      </x:c>
      <x:c r="K2224" s="69" t="n">
        <x:f>IFERROR(I2224/H2224,"")</x:f>
        <x:v>11</x:v>
      </x:c>
      <x:c r="L2224" s="66" t="str">
        <x:f>IF(K2224="","","1 : "&amp;TEXT(K2224,"0.0"))</x:f>
        <x:v>1 : 11.0</x:v>
      </x:c>
      <x:c r="M2224" s="66" t="str">
        <x:f>IF(J2224="","Baru/Tanpa Data",IF(J2224&lt;='Catatan &amp; Sumber'!$B$14,"Sangat Ketat",IF(J2224&lt;='Catatan &amp; Sumber'!$B$15,"Ketat",IF(J2224&lt;='Catatan &amp; Sumber'!$B$16,"Sedang","Relatif Longgar"))))</x:f>
        <x:v>Sedang</x:v>
      </x:c>
      <x:c r="N2224" s="66" t="str">
        <x:v>Tidak Ada</x:v>
      </x:c>
      <x:c r="O2224" s="66" t="str">
        <x:v>Jawa Tengah</x:v>
      </x:c>
      <x:c r="P2224" s="66" t="str">
        <x:v>Kota Semarang</x:v>
      </x:c>
      <x:c r="Q2224" s="66" t="str">
        <x:v>https://snpmb.id/snbp/daya-tampung-snbp</x:v>
      </x:c>
      <x:c r="R2224" s="66" t="str">
        <x:v>https://sidatagrun-public-1076756628210.asia-southeast2.run.app/ptn_sn.php?ptn=356</x:v>
      </x:c>
    </x:row>
    <x:row r="2225">
      <x:c r="A2225" s="87" t="n">
        <x:v>685</x:v>
      </x:c>
      <x:c r="B2225" s="66" t="n">
        <x:v>356</x:v>
      </x:c>
      <x:c r="C2225" s="66" t="str">
        <x:v>UNIVERSITAS NEGERI SEMARANG</x:v>
      </x:c>
      <x:c r="D2225" s="66" t="str">
        <x:v>PTN Akademik</x:v>
      </x:c>
      <x:c r="E2225" s="66" t="str">
        <x:v>13561074</x:v>
      </x:c>
      <x:c r="F2225" s="66" t="str">
        <x:v>STATISTIKA DAN SAINS DATA</x:v>
      </x:c>
      <x:c r="G2225" s="66" t="str">
        <x:v>Sarjana</x:v>
      </x:c>
      <x:c r="H2225" s="87" t="n">
        <x:v>19</x:v>
      </x:c>
      <x:c r="I2225" s="87" t="n">
        <x:v>311</x:v>
      </x:c>
      <x:c r="J2225" s="68" t="n">
        <x:f>IFERROR(H2225/I2225,"")</x:f>
        <x:v>0.06109324758842444</x:v>
      </x:c>
      <x:c r="K2225" s="69" t="n">
        <x:f>IFERROR(I2225/H2225,"")</x:f>
        <x:v>16.36842105263158</x:v>
      </x:c>
      <x:c r="L2225" s="66" t="str">
        <x:f>IF(K2225="","","1 : "&amp;TEXT(K2225,"0.0"))</x:f>
        <x:v>1 : 16.4</x:v>
      </x:c>
      <x:c r="M2225" s="66" t="str">
        <x:f>IF(J2225="","Baru/Tanpa Data",IF(J2225&lt;='Catatan &amp; Sumber'!$B$14,"Sangat Ketat",IF(J2225&lt;='Catatan &amp; Sumber'!$B$15,"Ketat",IF(J2225&lt;='Catatan &amp; Sumber'!$B$16,"Sedang","Relatif Longgar"))))</x:f>
        <x:v>Sedang</x:v>
      </x:c>
      <x:c r="N2225" s="66" t="str">
        <x:v>Tidak Ada</x:v>
      </x:c>
      <x:c r="O2225" s="66" t="str">
        <x:v>Jawa Tengah</x:v>
      </x:c>
      <x:c r="P2225" s="66" t="str">
        <x:v>Kota Semarang</x:v>
      </x:c>
      <x:c r="Q2225" s="66" t="str">
        <x:v>https://snpmb.id/snbp/daya-tampung-snbp</x:v>
      </x:c>
      <x:c r="R2225" s="66" t="str">
        <x:v>https://sidatagrun-public-1076756628210.asia-southeast2.run.app/ptn_sn.php?ptn=356</x:v>
      </x:c>
    </x:row>
    <x:row r="2226">
      <x:c r="A2226" s="87" t="n">
        <x:v>788</x:v>
      </x:c>
      <x:c r="B2226" s="66" t="n">
        <x:v>356</x:v>
      </x:c>
      <x:c r="C2226" s="66" t="str">
        <x:v>UNIVERSITAS NEGERI SEMARANG</x:v>
      </x:c>
      <x:c r="D2226" s="66" t="str">
        <x:v>PTN Akademik</x:v>
      </x:c>
      <x:c r="E2226" s="66" t="str">
        <x:v>13561075</x:v>
      </x:c>
      <x:c r="F2226" s="66" t="str">
        <x:v>EKONOMI DAN KEUANGAN ISLAM</x:v>
      </x:c>
      <x:c r="G2226" s="66" t="str">
        <x:v>Sarjana</x:v>
      </x:c>
      <x:c r="H2226" s="87" t="n">
        <x:v>19</x:v>
      </x:c>
      <x:c r="I2226" s="87" t="n">
        <x:v>287</x:v>
      </x:c>
      <x:c r="J2226" s="68" t="n">
        <x:f>IFERROR(H2226/I2226,"")</x:f>
        <x:v>0.06620209059233449</x:v>
      </x:c>
      <x:c r="K2226" s="69" t="n">
        <x:f>IFERROR(I2226/H2226,"")</x:f>
        <x:v>15.105263157894736</x:v>
      </x:c>
      <x:c r="L2226" s="66" t="str">
        <x:f>IF(K2226="","","1 : "&amp;TEXT(K2226,"0.0"))</x:f>
        <x:v>1 : 15.1</x:v>
      </x:c>
      <x:c r="M2226" s="66" t="str">
        <x:f>IF(J2226="","Baru/Tanpa Data",IF(J2226&lt;='Catatan &amp; Sumber'!$B$14,"Sangat Ketat",IF(J2226&lt;='Catatan &amp; Sumber'!$B$15,"Ketat",IF(J2226&lt;='Catatan &amp; Sumber'!$B$16,"Sedang","Relatif Longgar"))))</x:f>
        <x:v>Sedang</x:v>
      </x:c>
      <x:c r="N2226" s="66" t="str">
        <x:v>Tidak Ada</x:v>
      </x:c>
      <x:c r="O2226" s="66" t="str">
        <x:v>Jawa Tengah</x:v>
      </x:c>
      <x:c r="P2226" s="66" t="str">
        <x:v>Kota Semarang</x:v>
      </x:c>
      <x:c r="Q2226" s="66" t="str">
        <x:v>https://snpmb.id/snbp/daya-tampung-snbp</x:v>
      </x:c>
      <x:c r="R2226" s="66" t="str">
        <x:v>https://sidatagrun-public-1076756628210.asia-southeast2.run.app/ptn_sn.php?ptn=356</x:v>
      </x:c>
    </x:row>
    <x:row r="2227">
      <x:c r="A2227" s="87" t="n">
        <x:v>28</x:v>
      </x:c>
      <x:c r="B2227" s="66" t="n">
        <x:v>356</x:v>
      </x:c>
      <x:c r="C2227" s="66" t="str">
        <x:v>UNIVERSITAS NEGERI SEMARANG</x:v>
      </x:c>
      <x:c r="D2227" s="66" t="str">
        <x:v>PTN Akademik</x:v>
      </x:c>
      <x:c r="E2227" s="66" t="str">
        <x:v>13561076</x:v>
      </x:c>
      <x:c r="F2227" s="66" t="str">
        <x:v>KEDOKTERAN</x:v>
      </x:c>
      <x:c r="G2227" s="66" t="str">
        <x:v>Sarjana</x:v>
      </x:c>
      <x:c r="H2227" s="87" t="n">
        <x:v>10</x:v>
      </x:c>
      <x:c r="I2227" s="87" t="n">
        <x:v>538</x:v>
      </x:c>
      <x:c r="J2227" s="68" t="n">
        <x:f>IFERROR(H2227/I2227,"")</x:f>
        <x:v>0.01858736059479554</x:v>
      </x:c>
      <x:c r="K2227" s="69" t="n">
        <x:f>IFERROR(I2227/H2227,"")</x:f>
        <x:v>53.8</x:v>
      </x:c>
      <x:c r="L2227" s="66" t="str">
        <x:f>IF(K2227="","","1 : "&amp;TEXT(K2227,"0.0"))</x:f>
        <x:v>1 : 53.8</x:v>
      </x:c>
      <x:c r="M2227" s="66" t="str">
        <x:f>IF(J2227="","Baru/Tanpa Data",IF(J2227&lt;='Catatan &amp; Sumber'!$B$14,"Sangat Ketat",IF(J2227&lt;='Catatan &amp; Sumber'!$B$15,"Ketat",IF(J2227&lt;='Catatan &amp; Sumber'!$B$16,"Sedang","Relatif Longgar"))))</x:f>
        <x:v>Sangat Ketat</x:v>
      </x:c>
      <x:c r="N2227" s="66" t="str">
        <x:v>Tidak Ada</x:v>
      </x:c>
      <x:c r="O2227" s="66" t="str">
        <x:v>Jawa Tengah</x:v>
      </x:c>
      <x:c r="P2227" s="66" t="str">
        <x:v>Kota Semarang</x:v>
      </x:c>
      <x:c r="Q2227" s="66" t="str">
        <x:v>https://snpmb.id/snbp/daya-tampung-snbp</x:v>
      </x:c>
      <x:c r="R2227" s="66" t="str">
        <x:v>https://sidatagrun-public-1076756628210.asia-southeast2.run.app/ptn_sn.php?ptn=356</x:v>
      </x:c>
    </x:row>
    <x:row r="2228">
      <x:c r="A2228" s="87" t="n">
        <x:v>63</x:v>
      </x:c>
      <x:c r="B2228" s="66" t="n">
        <x:v>356</x:v>
      </x:c>
      <x:c r="C2228" s="66" t="str">
        <x:v>UNIVERSITAS NEGERI SEMARANG</x:v>
      </x:c>
      <x:c r="D2228" s="66" t="str">
        <x:v>PTN Akademik</x:v>
      </x:c>
      <x:c r="E2228" s="66" t="str">
        <x:v>13561077</x:v>
      </x:c>
      <x:c r="F2228" s="66" t="str">
        <x:v>ILMU KOMUNIKASI</x:v>
      </x:c>
      <x:c r="G2228" s="66" t="str">
        <x:v>Sarjana</x:v>
      </x:c>
      <x:c r="H2228" s="87" t="n">
        <x:v>27</x:v>
      </x:c>
      <x:c r="I2228" s="87" t="n">
        <x:v>1101</x:v>
      </x:c>
      <x:c r="J2228" s="68" t="n">
        <x:f>IFERROR(H2228/I2228,"")</x:f>
        <x:v>0.02452316076294278</x:v>
      </x:c>
      <x:c r="K2228" s="69" t="n">
        <x:f>IFERROR(I2228/H2228,"")</x:f>
        <x:v>40.77777777777778</x:v>
      </x:c>
      <x:c r="L2228" s="66" t="str">
        <x:f>IF(K2228="","","1 : "&amp;TEXT(K2228,"0.0"))</x:f>
        <x:v>1 : 40.8</x:v>
      </x:c>
      <x:c r="M2228" s="66" t="str">
        <x:f>IF(J2228="","Baru/Tanpa Data",IF(J2228&lt;='Catatan &amp; Sumber'!$B$14,"Sangat Ketat",IF(J2228&lt;='Catatan &amp; Sumber'!$B$15,"Ketat",IF(J2228&lt;='Catatan &amp; Sumber'!$B$16,"Sedang","Relatif Longgar"))))</x:f>
        <x:v>Ketat</x:v>
      </x:c>
      <x:c r="N2228" s="66" t="str">
        <x:v>Tidak Ada</x:v>
      </x:c>
      <x:c r="O2228" s="66" t="str">
        <x:v>Jawa Tengah</x:v>
      </x:c>
      <x:c r="P2228" s="66" t="str">
        <x:v>Kota Semarang</x:v>
      </x:c>
      <x:c r="Q2228" s="66" t="str">
        <x:v>https://snpmb.id/snbp/daya-tampung-snbp</x:v>
      </x:c>
      <x:c r="R2228" s="66" t="str">
        <x:v>https://sidatagrun-public-1076756628210.asia-southeast2.run.app/ptn_sn.php?ptn=356</x:v>
      </x:c>
    </x:row>
    <x:row r="2229">
      <x:c r="A2229" s="87"/>
      <x:c r="B2229" s="66" t="n">
        <x:v>356</x:v>
      </x:c>
      <x:c r="C2229" s="66" t="str">
        <x:v>UNIVERSITAS NEGERI SEMARANG</x:v>
      </x:c>
      <x:c r="D2229" s="66" t="str">
        <x:v>PTN Akademik</x:v>
      </x:c>
      <x:c r="E2229" s="66" t="str">
        <x:v>13561078</x:v>
      </x:c>
      <x:c r="F2229" s="66" t="str">
        <x:v>KEDOKTERAN HEWAN</x:v>
      </x:c>
      <x:c r="G2229" s="66" t="str">
        <x:v>Sarjana</x:v>
      </x:c>
      <x:c r="H2229" s="87" t="n">
        <x:v>10</x:v>
      </x:c>
      <x:c r="I2229" s="87"/>
      <x:c r="J2229" s="68" t="str">
        <x:f>IFERROR(H2229/I2229,"")</x:f>
      </x:c>
      <x:c r="K2229" s="69" t="n">
        <x:f>IFERROR(I2229/H2229,"")</x:f>
        <x:v>0</x:v>
      </x:c>
      <x:c r="L2229" s="66" t="str">
        <x:f>IF(K2229="","","1 : "&amp;TEXT(K2229,"0.0"))</x:f>
      </x:c>
      <x:c r="M2229" s="66" t="str">
        <x:f>IF(J2229="","Baru/Tanpa Data",IF(J2229&lt;='Catatan &amp; Sumber'!$B$14,"Sangat Ketat",IF(J2229&lt;='Catatan &amp; Sumber'!$B$15,"Ketat",IF(J2229&lt;='Catatan &amp; Sumber'!$B$16,"Sedang","Relatif Longgar"))))</x:f>
        <x:v>Baru/Tanpa Data</x:v>
      </x:c>
      <x:c r="N2229" s="66" t="str">
        <x:v>Tidak Ada</x:v>
      </x:c>
      <x:c r="O2229" s="66" t="str">
        <x:v>Jawa Tengah</x:v>
      </x:c>
      <x:c r="P2229" s="66" t="str">
        <x:v>Kota Semarang</x:v>
      </x:c>
      <x:c r="Q2229" s="66" t="str">
        <x:v>https://snpmb.id/snbp/daya-tampung-snbp</x:v>
      </x:c>
      <x:c r="R2229" s="66" t="str">
        <x:v>https://sidatagrun-public-1076756628210.asia-southeast2.run.app/ptn_sn.php?ptn=356</x:v>
      </x:c>
    </x:row>
    <x:row r="2230">
      <x:c r="A2230" s="87" t="n">
        <x:v>992</x:v>
      </x:c>
      <x:c r="B2230" s="66" t="n">
        <x:v>356</x:v>
      </x:c>
      <x:c r="C2230" s="66" t="str">
        <x:v>UNIVERSITAS NEGERI SEMARANG</x:v>
      </x:c>
      <x:c r="D2230" s="66" t="str">
        <x:v>PTN Akademik</x:v>
      </x:c>
      <x:c r="E2230" s="66" t="str">
        <x:v>13563072</x:v>
      </x:c>
      <x:c r="F2230" s="66" t="str">
        <x:v>DESAIN KOMUNIKASI VISUAL</x:v>
      </x:c>
      <x:c r="G2230" s="66" t="str">
        <x:v>Diploma Tiga</x:v>
      </x:c>
      <x:c r="H2230" s="87" t="n">
        <x:v>8</x:v>
      </x:c>
      <x:c r="I2230" s="87" t="n">
        <x:v>103</x:v>
      </x:c>
      <x:c r="J2230" s="68" t="n">
        <x:f>IFERROR(H2230/I2230,"")</x:f>
        <x:v>0.07766990291262135</x:v>
      </x:c>
      <x:c r="K2230" s="69" t="n">
        <x:f>IFERROR(I2230/H2230,"")</x:f>
        <x:v>12.875</x:v>
      </x:c>
      <x:c r="L2230" s="66" t="str">
        <x:f>IF(K2230="","","1 : "&amp;TEXT(K2230,"0.0"))</x:f>
        <x:v>1 : 12.9</x:v>
      </x:c>
      <x:c r="M2230" s="66" t="str">
        <x:f>IF(J2230="","Baru/Tanpa Data",IF(J2230&lt;='Catatan &amp; Sumber'!$B$14,"Sangat Ketat",IF(J2230&lt;='Catatan &amp; Sumber'!$B$15,"Ketat",IF(J2230&lt;='Catatan &amp; Sumber'!$B$16,"Sedang","Relatif Longgar"))))</x:f>
        <x:v>Sedang</x:v>
      </x:c>
      <x:c r="N2230" s="66" t="str">
        <x:v>Seni Rupa, Desain, dan Kriya</x:v>
      </x:c>
      <x:c r="O2230" s="66" t="str">
        <x:v>Jawa Tengah</x:v>
      </x:c>
      <x:c r="P2230" s="66" t="str">
        <x:v>Kota Semarang</x:v>
      </x:c>
      <x:c r="Q2230" s="66" t="str">
        <x:v>https://snpmb.id/snbp/daya-tampung-snbp</x:v>
      </x:c>
      <x:c r="R2230" s="66" t="str">
        <x:v>https://sidatagrun-public-1076756628210.asia-southeast2.run.app/ptn_sn.php?ptn=356</x:v>
      </x:c>
    </x:row>
    <x:row r="2231">
      <x:c r="A2231" s="87" t="n">
        <x:v>1517</x:v>
      </x:c>
      <x:c r="B2231" s="66" t="n">
        <x:v>356</x:v>
      </x:c>
      <x:c r="C2231" s="66" t="str">
        <x:v>UNIVERSITAS NEGERI SEMARANG</x:v>
      </x:c>
      <x:c r="D2231" s="66" t="str">
        <x:v>PTN Akademik</x:v>
      </x:c>
      <x:c r="E2231" s="66" t="str">
        <x:v>13563073</x:v>
      </x:c>
      <x:c r="F2231" s="66" t="str">
        <x:v>STATISTIKA TERAPAN DAN KOMPUTASI</x:v>
      </x:c>
      <x:c r="G2231" s="66" t="str">
        <x:v>Diploma Tiga</x:v>
      </x:c>
      <x:c r="H2231" s="87" t="n">
        <x:v>8</x:v>
      </x:c>
      <x:c r="I2231" s="87" t="n">
        <x:v>72</x:v>
      </x:c>
      <x:c r="J2231" s="68" t="n">
        <x:f>IFERROR(H2231/I2231,"")</x:f>
        <x:v>0.1111111111111111</x:v>
      </x:c>
      <x:c r="K2231" s="69" t="n">
        <x:f>IFERROR(I2231/H2231,"")</x:f>
        <x:v>9</x:v>
      </x:c>
      <x:c r="L2231" s="66" t="str">
        <x:f>IF(K2231="","","1 : "&amp;TEXT(K2231,"0.0"))</x:f>
        <x:v>1 : 9.0</x:v>
      </x:c>
      <x:c r="M2231" s="66" t="str">
        <x:f>IF(J2231="","Baru/Tanpa Data",IF(J2231&lt;='Catatan &amp; Sumber'!$B$14,"Sangat Ketat",IF(J2231&lt;='Catatan &amp; Sumber'!$B$15,"Ketat",IF(J2231&lt;='Catatan &amp; Sumber'!$B$16,"Sedang","Relatif Longgar"))))</x:f>
        <x:v>Relatif Longgar</x:v>
      </x:c>
      <x:c r="N2231" s="66" t="str">
        <x:v>Tidak Ada</x:v>
      </x:c>
      <x:c r="O2231" s="66" t="str">
        <x:v>Jawa Tengah</x:v>
      </x:c>
      <x:c r="P2231" s="66" t="str">
        <x:v>Kota Semarang</x:v>
      </x:c>
      <x:c r="Q2231" s="66" t="str">
        <x:v>https://snpmb.id/snbp/daya-tampung-snbp</x:v>
      </x:c>
      <x:c r="R2231" s="66" t="str">
        <x:v>https://sidatagrun-public-1076756628210.asia-southeast2.run.app/ptn_sn.php?ptn=356</x:v>
      </x:c>
    </x:row>
    <x:row r="2232">
      <x:c r="A2232" s="87" t="n">
        <x:v>2651</x:v>
      </x:c>
      <x:c r="B2232" s="66" t="n">
        <x:v>357</x:v>
      </x:c>
      <x:c r="C2232" s="66" t="str">
        <x:v>UIN WALISONGO</x:v>
      </x:c>
      <x:c r="D2232" s="66" t="str">
        <x:v>PTKIN</x:v>
      </x:c>
      <x:c r="E2232" s="66" t="str">
        <x:v>13571005</x:v>
      </x:c>
      <x:c r="F2232" s="66" t="str">
        <x:v>GIZI</x:v>
      </x:c>
      <x:c r="G2232" s="66" t="str">
        <x:v>Sarjana</x:v>
      </x:c>
      <x:c r="H2232" s="87" t="n">
        <x:v>70</x:v>
      </x:c>
      <x:c r="I2232" s="87" t="n">
        <x:v>298</x:v>
      </x:c>
      <x:c r="J2232" s="68" t="n">
        <x:f>IFERROR(H2232/I2232,"")</x:f>
        <x:v>0.2348993288590604</x:v>
      </x:c>
      <x:c r="K2232" s="69" t="n">
        <x:f>IFERROR(I2232/H2232,"")</x:f>
        <x:v>4.257142857142857</x:v>
      </x:c>
      <x:c r="L2232" s="66" t="str">
        <x:f>IF(K2232="","","1 : "&amp;TEXT(K2232,"0.0"))</x:f>
        <x:v>1 : 4.3</x:v>
      </x:c>
      <x:c r="M2232" s="66" t="str">
        <x:f>IF(J2232="","Baru/Tanpa Data",IF(J2232&lt;='Catatan &amp; Sumber'!$B$14,"Sangat Ketat",IF(J2232&lt;='Catatan &amp; Sumber'!$B$15,"Ketat",IF(J2232&lt;='Catatan &amp; Sumber'!$B$16,"Sedang","Relatif Longgar"))))</x:f>
        <x:v>Relatif Longgar</x:v>
      </x:c>
      <x:c r="N2232" s="66" t="str">
        <x:v>Tidak Ada</x:v>
      </x:c>
      <x:c r="O2232" s="66" t="str">
        <x:v>Jawa Tengah</x:v>
      </x:c>
      <x:c r="P2232" s="66" t="str">
        <x:v>Kota Semarang</x:v>
      </x:c>
      <x:c r="Q2232" s="66" t="str">
        <x:v>https://snpmb.id/snbp/daya-tampung-snbp</x:v>
      </x:c>
      <x:c r="R2232" s="66" t="str">
        <x:v>https://sidatagrun-public-1076756628210.asia-southeast2.run.app/ptn_sn.php?ptn=357</x:v>
      </x:c>
    </x:row>
    <x:row r="2233">
      <x:c r="A2233" s="87" t="n">
        <x:v>4084</x:v>
      </x:c>
      <x:c r="B2233" s="66" t="n">
        <x:v>357</x:v>
      </x:c>
      <x:c r="C2233" s="66" t="str">
        <x:v>UIN WALISONGO</x:v>
      </x:c>
      <x:c r="D2233" s="66" t="str">
        <x:v>PTKIN</x:v>
      </x:c>
      <x:c r="E2233" s="66" t="str">
        <x:v>13571006</x:v>
      </x:c>
      <x:c r="F2233" s="66" t="str">
        <x:v>MATEMATIKA</x:v>
      </x:c>
      <x:c r="G2233" s="66" t="str">
        <x:v>Sarjana</x:v>
      </x:c>
      <x:c r="H2233" s="87" t="n">
        <x:v>53</x:v>
      </x:c>
      <x:c r="I2233" s="87" t="n">
        <x:v>71</x:v>
      </x:c>
      <x:c r="J2233" s="68" t="n">
        <x:f>IFERROR(H2233/I2233,"")</x:f>
        <x:v>0.7464788732394366</x:v>
      </x:c>
      <x:c r="K2233" s="69" t="n">
        <x:f>IFERROR(I2233/H2233,"")</x:f>
        <x:v>1.3396226415094339</x:v>
      </x:c>
      <x:c r="L2233" s="66" t="str">
        <x:f>IF(K2233="","","1 : "&amp;TEXT(K2233,"0.0"))</x:f>
        <x:v>1 : 1.3</x:v>
      </x:c>
      <x:c r="M2233" s="66" t="str">
        <x:f>IF(J2233="","Baru/Tanpa Data",IF(J2233&lt;='Catatan &amp; Sumber'!$B$14,"Sangat Ketat",IF(J2233&lt;='Catatan &amp; Sumber'!$B$15,"Ketat",IF(J2233&lt;='Catatan &amp; Sumber'!$B$16,"Sedang","Relatif Longgar"))))</x:f>
        <x:v>Relatif Longgar</x:v>
      </x:c>
      <x:c r="N2233" s="66" t="str">
        <x:v>Tidak Ada</x:v>
      </x:c>
      <x:c r="O2233" s="66" t="str">
        <x:v>Jawa Tengah</x:v>
      </x:c>
      <x:c r="P2233" s="66" t="str">
        <x:v>Kota Semarang</x:v>
      </x:c>
      <x:c r="Q2233" s="66" t="str">
        <x:v>https://snpmb.id/snbp/daya-tampung-snbp</x:v>
      </x:c>
      <x:c r="R2233" s="66" t="str">
        <x:v>https://sidatagrun-public-1076756628210.asia-southeast2.run.app/ptn_sn.php?ptn=357</x:v>
      </x:c>
    </x:row>
    <x:row r="2234">
      <x:c r="A2234" s="87" t="n">
        <x:v>4502</x:v>
      </x:c>
      <x:c r="B2234" s="66" t="n">
        <x:v>357</x:v>
      </x:c>
      <x:c r="C2234" s="66" t="str">
        <x:v>UIN WALISONGO</x:v>
      </x:c>
      <x:c r="D2234" s="66" t="str">
        <x:v>PTKIN</x:v>
      </x:c>
      <x:c r="E2234" s="66" t="str">
        <x:v>13571007</x:v>
      </x:c>
      <x:c r="F2234" s="66" t="str">
        <x:v>KIMIA</x:v>
      </x:c>
      <x:c r="G2234" s="66" t="str">
        <x:v>Sarjana</x:v>
      </x:c>
      <x:c r="H2234" s="87" t="n">
        <x:v>53</x:v>
      </x:c>
      <x:c r="I2234" s="87" t="n">
        <x:v>40</x:v>
      </x:c>
      <x:c r="J2234" s="68" t="n">
        <x:f>IFERROR(H2234/I2234,"")</x:f>
        <x:v>1.325</x:v>
      </x:c>
      <x:c r="K2234" s="69" t="n">
        <x:f>IFERROR(I2234/H2234,"")</x:f>
        <x:v>0.7547169811320755</x:v>
      </x:c>
      <x:c r="L2234" s="66" t="str">
        <x:f>IF(K2234="","","1 : "&amp;TEXT(K2234,"0.0"))</x:f>
        <x:v>1 : 0.8</x:v>
      </x:c>
      <x:c r="M2234" s="66" t="str">
        <x:f>IF(J2234="","Baru/Tanpa Data",IF(J2234&lt;='Catatan &amp; Sumber'!$B$14,"Sangat Ketat",IF(J2234&lt;='Catatan &amp; Sumber'!$B$15,"Ketat",IF(J2234&lt;='Catatan &amp; Sumber'!$B$16,"Sedang","Relatif Longgar"))))</x:f>
        <x:v>Relatif Longgar</x:v>
      </x:c>
      <x:c r="N2234" s="66" t="str">
        <x:v>Tidak Ada</x:v>
      </x:c>
      <x:c r="O2234" s="66" t="str">
        <x:v>Jawa Tengah</x:v>
      </x:c>
      <x:c r="P2234" s="66" t="str">
        <x:v>Kota Semarang</x:v>
      </x:c>
      <x:c r="Q2234" s="66" t="str">
        <x:v>https://snpmb.id/snbp/daya-tampung-snbp</x:v>
      </x:c>
      <x:c r="R2234" s="66" t="str">
        <x:v>https://sidatagrun-public-1076756628210.asia-southeast2.run.app/ptn_sn.php?ptn=357</x:v>
      </x:c>
    </x:row>
    <x:row r="2235">
      <x:c r="A2235" s="87" t="n">
        <x:v>4572</x:v>
      </x:c>
      <x:c r="B2235" s="66" t="n">
        <x:v>357</x:v>
      </x:c>
      <x:c r="C2235" s="66" t="str">
        <x:v>UIN WALISONGO</x:v>
      </x:c>
      <x:c r="D2235" s="66" t="str">
        <x:v>PTKIN</x:v>
      </x:c>
      <x:c r="E2235" s="66" t="str">
        <x:v>13571008</x:v>
      </x:c>
      <x:c r="F2235" s="66" t="str">
        <x:v>FISIKA</x:v>
      </x:c>
      <x:c r="G2235" s="66" t="str">
        <x:v>Sarjana</x:v>
      </x:c>
      <x:c r="H2235" s="87" t="n">
        <x:v>35</x:v>
      </x:c>
      <x:c r="I2235" s="87" t="n">
        <x:v>23</x:v>
      </x:c>
      <x:c r="J2235" s="68" t="n">
        <x:f>IFERROR(H2235/I2235,"")</x:f>
        <x:v>1.5217391304347827</x:v>
      </x:c>
      <x:c r="K2235" s="69" t="n">
        <x:f>IFERROR(I2235/H2235,"")</x:f>
        <x:v>0.6571428571428571</x:v>
      </x:c>
      <x:c r="L2235" s="66" t="str">
        <x:f>IF(K2235="","","1 : "&amp;TEXT(K2235,"0.0"))</x:f>
        <x:v>1 : 0.7</x:v>
      </x:c>
      <x:c r="M2235" s="66" t="str">
        <x:f>IF(J2235="","Baru/Tanpa Data",IF(J2235&lt;='Catatan &amp; Sumber'!$B$14,"Sangat Ketat",IF(J2235&lt;='Catatan &amp; Sumber'!$B$15,"Ketat",IF(J2235&lt;='Catatan &amp; Sumber'!$B$16,"Sedang","Relatif Longgar"))))</x:f>
        <x:v>Relatif Longgar</x:v>
      </x:c>
      <x:c r="N2235" s="66" t="str">
        <x:v>Tidak Ada</x:v>
      </x:c>
      <x:c r="O2235" s="66" t="str">
        <x:v>Jawa Tengah</x:v>
      </x:c>
      <x:c r="P2235" s="66" t="str">
        <x:v>Kota Semarang</x:v>
      </x:c>
      <x:c r="Q2235" s="66" t="str">
        <x:v>https://snpmb.id/snbp/daya-tampung-snbp</x:v>
      </x:c>
      <x:c r="R2235" s="66" t="str">
        <x:v>https://sidatagrun-public-1076756628210.asia-southeast2.run.app/ptn_sn.php?ptn=357</x:v>
      </x:c>
    </x:row>
    <x:row r="2236">
      <x:c r="A2236" s="87" t="n">
        <x:v>3765</x:v>
      </x:c>
      <x:c r="B2236" s="66" t="n">
        <x:v>357</x:v>
      </x:c>
      <x:c r="C2236" s="66" t="str">
        <x:v>UIN WALISONGO</x:v>
      </x:c>
      <x:c r="D2236" s="66" t="str">
        <x:v>PTKIN</x:v>
      </x:c>
      <x:c r="E2236" s="66" t="str">
        <x:v>13571009</x:v>
      </x:c>
      <x:c r="F2236" s="66" t="str">
        <x:v>BIOLOGI</x:v>
      </x:c>
      <x:c r="G2236" s="66" t="str">
        <x:v>Sarjana</x:v>
      </x:c>
      <x:c r="H2236" s="87" t="n">
        <x:v>53</x:v>
      </x:c>
      <x:c r="I2236" s="87" t="n">
        <x:v>96</x:v>
      </x:c>
      <x:c r="J2236" s="68" t="n">
        <x:f>IFERROR(H2236/I2236,"")</x:f>
        <x:v>0.5520833333333334</x:v>
      </x:c>
      <x:c r="K2236" s="69" t="n">
        <x:f>IFERROR(I2236/H2236,"")</x:f>
        <x:v>1.8113207547169812</x:v>
      </x:c>
      <x:c r="L2236" s="66" t="str">
        <x:f>IF(K2236="","","1 : "&amp;TEXT(K2236,"0.0"))</x:f>
        <x:v>1 : 1.8</x:v>
      </x:c>
      <x:c r="M2236" s="66" t="str">
        <x:f>IF(J2236="","Baru/Tanpa Data",IF(J2236&lt;='Catatan &amp; Sumber'!$B$14,"Sangat Ketat",IF(J2236&lt;='Catatan &amp; Sumber'!$B$15,"Ketat",IF(J2236&lt;='Catatan &amp; Sumber'!$B$16,"Sedang","Relatif Longgar"))))</x:f>
        <x:v>Relatif Longgar</x:v>
      </x:c>
      <x:c r="N2236" s="66" t="str">
        <x:v>Tidak Ada</x:v>
      </x:c>
      <x:c r="O2236" s="66" t="str">
        <x:v>Jawa Tengah</x:v>
      </x:c>
      <x:c r="P2236" s="66" t="str">
        <x:v>Kota Semarang</x:v>
      </x:c>
      <x:c r="Q2236" s="66" t="str">
        <x:v>https://snpmb.id/snbp/daya-tampung-snbp</x:v>
      </x:c>
      <x:c r="R2236" s="66" t="str">
        <x:v>https://sidatagrun-public-1076756628210.asia-southeast2.run.app/ptn_sn.php?ptn=357</x:v>
      </x:c>
    </x:row>
    <x:row r="2237">
      <x:c r="A2237" s="87" t="n">
        <x:v>3267</x:v>
      </x:c>
      <x:c r="B2237" s="66" t="n">
        <x:v>357</x:v>
      </x:c>
      <x:c r="C2237" s="66" t="str">
        <x:v>UIN WALISONGO</x:v>
      </x:c>
      <x:c r="D2237" s="66" t="str">
        <x:v>PTKIN</x:v>
      </x:c>
      <x:c r="E2237" s="66" t="str">
        <x:v>13571010</x:v>
      </x:c>
      <x:c r="F2237" s="66" t="str">
        <x:v>TEKNOLOGI INFORMASI</x:v>
      </x:c>
      <x:c r="G2237" s="66" t="str">
        <x:v>Sarjana</x:v>
      </x:c>
      <x:c r="H2237" s="87" t="n">
        <x:v>88</x:v>
      </x:c>
      <x:c r="I2237" s="87" t="n">
        <x:v>243</x:v>
      </x:c>
      <x:c r="J2237" s="68" t="n">
        <x:f>IFERROR(H2237/I2237,"")</x:f>
        <x:v>0.36213991769547327</x:v>
      </x:c>
      <x:c r="K2237" s="69" t="n">
        <x:f>IFERROR(I2237/H2237,"")</x:f>
        <x:v>2.7613636363636362</x:v>
      </x:c>
      <x:c r="L2237" s="66" t="str">
        <x:f>IF(K2237="","","1 : "&amp;TEXT(K2237,"0.0"))</x:f>
        <x:v>1 : 2.8</x:v>
      </x:c>
      <x:c r="M2237" s="66" t="str">
        <x:f>IF(J2237="","Baru/Tanpa Data",IF(J2237&lt;='Catatan &amp; Sumber'!$B$14,"Sangat Ketat",IF(J2237&lt;='Catatan &amp; Sumber'!$B$15,"Ketat",IF(J2237&lt;='Catatan &amp; Sumber'!$B$16,"Sedang","Relatif Longgar"))))</x:f>
        <x:v>Relatif Longgar</x:v>
      </x:c>
      <x:c r="N2237" s="66" t="str">
        <x:v>Tidak Ada</x:v>
      </x:c>
      <x:c r="O2237" s="66" t="str">
        <x:v>Jawa Tengah</x:v>
      </x:c>
      <x:c r="P2237" s="66" t="str">
        <x:v>Kota Semarang</x:v>
      </x:c>
      <x:c r="Q2237" s="66" t="str">
        <x:v>https://snpmb.id/snbp/daya-tampung-snbp</x:v>
      </x:c>
      <x:c r="R2237" s="66" t="str">
        <x:v>https://sidatagrun-public-1076756628210.asia-southeast2.run.app/ptn_sn.php?ptn=357</x:v>
      </x:c>
    </x:row>
    <x:row r="2238">
      <x:c r="A2238" s="87" t="n">
        <x:v>2917</x:v>
      </x:c>
      <x:c r="B2238" s="66" t="n">
        <x:v>357</x:v>
      </x:c>
      <x:c r="C2238" s="66" t="str">
        <x:v>UIN WALISONGO</x:v>
      </x:c>
      <x:c r="D2238" s="66" t="str">
        <x:v>PTKIN</x:v>
      </x:c>
      <x:c r="E2238" s="66" t="str">
        <x:v>13571029</x:v>
      </x:c>
      <x:c r="F2238" s="66" t="str">
        <x:v>PSIKOLOGI</x:v>
      </x:c>
      <x:c r="G2238" s="66" t="str">
        <x:v>Sarjana</x:v>
      </x:c>
      <x:c r="H2238" s="87" t="n">
        <x:v>90</x:v>
      </x:c>
      <x:c r="I2238" s="87" t="n">
        <x:v>325</x:v>
      </x:c>
      <x:c r="J2238" s="68" t="n">
        <x:f>IFERROR(H2238/I2238,"")</x:f>
        <x:v>0.27692307692307694</x:v>
      </x:c>
      <x:c r="K2238" s="69" t="n">
        <x:f>IFERROR(I2238/H2238,"")</x:f>
        <x:v>3.611111111111111</x:v>
      </x:c>
      <x:c r="L2238" s="66" t="str">
        <x:f>IF(K2238="","","1 : "&amp;TEXT(K2238,"0.0"))</x:f>
        <x:v>1 : 3.6</x:v>
      </x:c>
      <x:c r="M2238" s="66" t="str">
        <x:f>IF(J2238="","Baru/Tanpa Data",IF(J2238&lt;='Catatan &amp; Sumber'!$B$14,"Sangat Ketat",IF(J2238&lt;='Catatan &amp; Sumber'!$B$15,"Ketat",IF(J2238&lt;='Catatan &amp; Sumber'!$B$16,"Sedang","Relatif Longgar"))))</x:f>
        <x:v>Relatif Longgar</x:v>
      </x:c>
      <x:c r="N2238" s="66" t="str">
        <x:v>Tidak Ada</x:v>
      </x:c>
      <x:c r="O2238" s="66" t="str">
        <x:v>Jawa Tengah</x:v>
      </x:c>
      <x:c r="P2238" s="66" t="str">
        <x:v>Kota Semarang</x:v>
      </x:c>
      <x:c r="Q2238" s="66" t="str">
        <x:v>https://snpmb.id/snbp/daya-tampung-snbp</x:v>
      </x:c>
      <x:c r="R2238" s="66" t="str">
        <x:v>https://sidatagrun-public-1076756628210.asia-southeast2.run.app/ptn_sn.php?ptn=357</x:v>
      </x:c>
    </x:row>
    <x:row r="2239">
      <x:c r="A2239" s="87" t="n">
        <x:v>3388</x:v>
      </x:c>
      <x:c r="B2239" s="66" t="n">
        <x:v>357</x:v>
      </x:c>
      <x:c r="C2239" s="66" t="str">
        <x:v>UIN WALISONGO</x:v>
      </x:c>
      <x:c r="D2239" s="66" t="str">
        <x:v>PTKIN</x:v>
      </x:c>
      <x:c r="E2239" s="66" t="str">
        <x:v>13571030</x:v>
      </x:c>
      <x:c r="F2239" s="66" t="str">
        <x:v>SOSIOLOGI</x:v>
      </x:c>
      <x:c r="G2239" s="66" t="str">
        <x:v>Sarjana</x:v>
      </x:c>
      <x:c r="H2239" s="87" t="n">
        <x:v>60</x:v>
      </x:c>
      <x:c r="I2239" s="87" t="n">
        <x:v>151</x:v>
      </x:c>
      <x:c r="J2239" s="68" t="n">
        <x:f>IFERROR(H2239/I2239,"")</x:f>
        <x:v>0.3973509933774834</x:v>
      </x:c>
      <x:c r="K2239" s="69" t="n">
        <x:f>IFERROR(I2239/H2239,"")</x:f>
        <x:v>2.5166666666666666</x:v>
      </x:c>
      <x:c r="L2239" s="66" t="str">
        <x:f>IF(K2239="","","1 : "&amp;TEXT(K2239,"0.0"))</x:f>
        <x:v>1 : 2.5</x:v>
      </x:c>
      <x:c r="M2239" s="66" t="str">
        <x:f>IF(J2239="","Baru/Tanpa Data",IF(J2239&lt;='Catatan &amp; Sumber'!$B$14,"Sangat Ketat",IF(J2239&lt;='Catatan &amp; Sumber'!$B$15,"Ketat",IF(J2239&lt;='Catatan &amp; Sumber'!$B$16,"Sedang","Relatif Longgar"))))</x:f>
        <x:v>Relatif Longgar</x:v>
      </x:c>
      <x:c r="N2239" s="66" t="str">
        <x:v>Tidak Ada</x:v>
      </x:c>
      <x:c r="O2239" s="66" t="str">
        <x:v>Jawa Tengah</x:v>
      </x:c>
      <x:c r="P2239" s="66" t="str">
        <x:v>Kota Semarang</x:v>
      </x:c>
      <x:c r="Q2239" s="66" t="str">
        <x:v>https://snpmb.id/snbp/daya-tampung-snbp</x:v>
      </x:c>
      <x:c r="R2239" s="66" t="str">
        <x:v>https://sidatagrun-public-1076756628210.asia-southeast2.run.app/ptn_sn.php?ptn=357</x:v>
      </x:c>
    </x:row>
    <x:row r="2240">
      <x:c r="A2240" s="87" t="n">
        <x:v>4110</x:v>
      </x:c>
      <x:c r="B2240" s="66" t="n">
        <x:v>357</x:v>
      </x:c>
      <x:c r="C2240" s="66" t="str">
        <x:v>UIN WALISONGO</x:v>
      </x:c>
      <x:c r="D2240" s="66" t="str">
        <x:v>PTKIN</x:v>
      </x:c>
      <x:c r="E2240" s="66" t="str">
        <x:v>13571031</x:v>
      </x:c>
      <x:c r="F2240" s="66" t="str">
        <x:v>ILMU POLITIK</x:v>
      </x:c>
      <x:c r="G2240" s="66" t="str">
        <x:v>Sarjana</x:v>
      </x:c>
      <x:c r="H2240" s="87" t="n">
        <x:v>60</x:v>
      </x:c>
      <x:c r="I2240" s="87" t="n">
        <x:v>78</x:v>
      </x:c>
      <x:c r="J2240" s="68" t="n">
        <x:f>IFERROR(H2240/I2240,"")</x:f>
        <x:v>0.7692307692307693</x:v>
      </x:c>
      <x:c r="K2240" s="69" t="n">
        <x:f>IFERROR(I2240/H2240,"")</x:f>
        <x:v>1.3</x:v>
      </x:c>
      <x:c r="L2240" s="66" t="str">
        <x:f>IF(K2240="","","1 : "&amp;TEXT(K2240,"0.0"))</x:f>
        <x:v>1 : 1.3</x:v>
      </x:c>
      <x:c r="M2240" s="66" t="str">
        <x:f>IF(J2240="","Baru/Tanpa Data",IF(J2240&lt;='Catatan &amp; Sumber'!$B$14,"Sangat Ketat",IF(J2240&lt;='Catatan &amp; Sumber'!$B$15,"Ketat",IF(J2240&lt;='Catatan &amp; Sumber'!$B$16,"Sedang","Relatif Longgar"))))</x:f>
        <x:v>Relatif Longgar</x:v>
      </x:c>
      <x:c r="N2240" s="66" t="str">
        <x:v>Tidak Ada</x:v>
      </x:c>
      <x:c r="O2240" s="66" t="str">
        <x:v>Jawa Tengah</x:v>
      </x:c>
      <x:c r="P2240" s="66" t="str">
        <x:v>Kota Semarang</x:v>
      </x:c>
      <x:c r="Q2240" s="66" t="str">
        <x:v>https://snpmb.id/snbp/daya-tampung-snbp</x:v>
      </x:c>
      <x:c r="R2240" s="66" t="str">
        <x:v>https://sidatagrun-public-1076756628210.asia-southeast2.run.app/ptn_sn.php?ptn=357</x:v>
      </x:c>
    </x:row>
    <x:row r="2241">
      <x:c r="A2241" s="87" t="n">
        <x:v>3599</x:v>
      </x:c>
      <x:c r="B2241" s="66" t="n">
        <x:v>357</x:v>
      </x:c>
      <x:c r="C2241" s="66" t="str">
        <x:v>UIN WALISONGO</x:v>
      </x:c>
      <x:c r="D2241" s="66" t="str">
        <x:v>PTKIN</x:v>
      </x:c>
      <x:c r="E2241" s="66" t="str">
        <x:v>13571032</x:v>
      </x:c>
      <x:c r="F2241" s="66" t="str">
        <x:v>ILMU HUKUM</x:v>
      </x:c>
      <x:c r="G2241" s="66" t="str">
        <x:v>Sarjana</x:v>
      </x:c>
      <x:c r="H2241" s="87" t="n">
        <x:v>100</x:v>
      </x:c>
      <x:c r="I2241" s="87" t="n">
        <x:v>213</x:v>
      </x:c>
      <x:c r="J2241" s="68" t="n">
        <x:f>IFERROR(H2241/I2241,"")</x:f>
        <x:v>0.4694835680751174</x:v>
      </x:c>
      <x:c r="K2241" s="69" t="n">
        <x:f>IFERROR(I2241/H2241,"")</x:f>
        <x:v>2.13</x:v>
      </x:c>
      <x:c r="L2241" s="66" t="str">
        <x:f>IF(K2241="","","1 : "&amp;TEXT(K2241,"0.0"))</x:f>
        <x:v>1 : 2.1</x:v>
      </x:c>
      <x:c r="M2241" s="66" t="str">
        <x:f>IF(J2241="","Baru/Tanpa Data",IF(J2241&lt;='Catatan &amp; Sumber'!$B$14,"Sangat Ketat",IF(J2241&lt;='Catatan &amp; Sumber'!$B$15,"Ketat",IF(J2241&lt;='Catatan &amp; Sumber'!$B$16,"Sedang","Relatif Longgar"))))</x:f>
        <x:v>Relatif Longgar</x:v>
      </x:c>
      <x:c r="N2241" s="66" t="str">
        <x:v>Tidak Ada</x:v>
      </x:c>
      <x:c r="O2241" s="66" t="str">
        <x:v>Jawa Tengah</x:v>
      </x:c>
      <x:c r="P2241" s="66" t="str">
        <x:v>Kota Semarang</x:v>
      </x:c>
      <x:c r="Q2241" s="66" t="str">
        <x:v>https://snpmb.id/snbp/daya-tampung-snbp</x:v>
      </x:c>
      <x:c r="R2241" s="66" t="str">
        <x:v>https://sidatagrun-public-1076756628210.asia-southeast2.run.app/ptn_sn.php?ptn=357</x:v>
      </x:c>
    </x:row>
    <x:row r="2242">
      <x:c r="A2242" s="87" t="n">
        <x:v>2315</x:v>
      </x:c>
      <x:c r="B2242" s="66" t="n">
        <x:v>357</x:v>
      </x:c>
      <x:c r="C2242" s="66" t="str">
        <x:v>UIN WALISONGO</x:v>
      </x:c>
      <x:c r="D2242" s="66" t="str">
        <x:v>PTKIN</x:v>
      </x:c>
      <x:c r="E2242" s="66" t="str">
        <x:v>13571033</x:v>
      </x:c>
      <x:c r="F2242" s="66" t="str">
        <x:v>MANAJEMEN</x:v>
      </x:c>
      <x:c r="G2242" s="66" t="str">
        <x:v>Sarjana</x:v>
      </x:c>
      <x:c r="H2242" s="87" t="n">
        <x:v>100</x:v>
      </x:c>
      <x:c r="I2242" s="87" t="n">
        <x:v>539</x:v>
      </x:c>
      <x:c r="J2242" s="68" t="n">
        <x:f>IFERROR(H2242/I2242,"")</x:f>
        <x:v>0.18552875695732837</x:v>
      </x:c>
      <x:c r="K2242" s="69" t="n">
        <x:f>IFERROR(I2242/H2242,"")</x:f>
        <x:v>5.39</x:v>
      </x:c>
      <x:c r="L2242" s="66" t="str">
        <x:f>IF(K2242="","","1 : "&amp;TEXT(K2242,"0.0"))</x:f>
        <x:v>1 : 5.4</x:v>
      </x:c>
      <x:c r="M2242" s="66" t="str">
        <x:f>IF(J2242="","Baru/Tanpa Data",IF(J2242&lt;='Catatan &amp; Sumber'!$B$14,"Sangat Ketat",IF(J2242&lt;='Catatan &amp; Sumber'!$B$15,"Ketat",IF(J2242&lt;='Catatan &amp; Sumber'!$B$16,"Sedang","Relatif Longgar"))))</x:f>
        <x:v>Relatif Longgar</x:v>
      </x:c>
      <x:c r="N2242" s="66" t="str">
        <x:v>Tidak Ada</x:v>
      </x:c>
      <x:c r="O2242" s="66" t="str">
        <x:v>Jawa Tengah</x:v>
      </x:c>
      <x:c r="P2242" s="66" t="str">
        <x:v>Kota Semarang</x:v>
      </x:c>
      <x:c r="Q2242" s="66" t="str">
        <x:v>https://snpmb.id/snbp/daya-tampung-snbp</x:v>
      </x:c>
      <x:c r="R2242" s="66" t="str">
        <x:v>https://sidatagrun-public-1076756628210.asia-southeast2.run.app/ptn_sn.php?ptn=357</x:v>
      </x:c>
    </x:row>
    <x:row r="2243">
      <x:c r="A2243" s="87" t="n">
        <x:v>3532</x:v>
      </x:c>
      <x:c r="B2243" s="66" t="n">
        <x:v>357</x:v>
      </x:c>
      <x:c r="C2243" s="66" t="str">
        <x:v>UIN WALISONGO</x:v>
      </x:c>
      <x:c r="D2243" s="66" t="str">
        <x:v>PTKIN</x:v>
      </x:c>
      <x:c r="E2243" s="66" t="str">
        <x:v>13571034</x:v>
      </x:c>
      <x:c r="F2243" s="66" t="str">
        <x:v>TEKNIK LINGKUNGAN</x:v>
      </x:c>
      <x:c r="G2243" s="66" t="str">
        <x:v>Sarjana</x:v>
      </x:c>
      <x:c r="H2243" s="87" t="n">
        <x:v>70</x:v>
      </x:c>
      <x:c r="I2243" s="87" t="n">
        <x:v>157</x:v>
      </x:c>
      <x:c r="J2243" s="68" t="n">
        <x:f>IFERROR(H2243/I2243,"")</x:f>
        <x:v>0.445859872611465</x:v>
      </x:c>
      <x:c r="K2243" s="69" t="n">
        <x:f>IFERROR(I2243/H2243,"")</x:f>
        <x:v>2.242857142857143</x:v>
      </x:c>
      <x:c r="L2243" s="66" t="str">
        <x:f>IF(K2243="","","1 : "&amp;TEXT(K2243,"0.0"))</x:f>
        <x:v>1 : 2.2</x:v>
      </x:c>
      <x:c r="M2243" s="66" t="str">
        <x:f>IF(J2243="","Baru/Tanpa Data",IF(J2243&lt;='Catatan &amp; Sumber'!$B$14,"Sangat Ketat",IF(J2243&lt;='Catatan &amp; Sumber'!$B$15,"Ketat",IF(J2243&lt;='Catatan &amp; Sumber'!$B$16,"Sedang","Relatif Longgar"))))</x:f>
        <x:v>Relatif Longgar</x:v>
      </x:c>
      <x:c r="N2243" s="66" t="str">
        <x:v>Tidak Ada</x:v>
      </x:c>
      <x:c r="O2243" s="66" t="str">
        <x:v>Jawa Tengah</x:v>
      </x:c>
      <x:c r="P2243" s="66" t="str">
        <x:v>Kota Semarang</x:v>
      </x:c>
      <x:c r="Q2243" s="66" t="str">
        <x:v>https://snpmb.id/snbp/daya-tampung-snbp</x:v>
      </x:c>
      <x:c r="R2243" s="66" t="str">
        <x:v>https://sidatagrun-public-1076756628210.asia-southeast2.run.app/ptn_sn.php?ptn=357</x:v>
      </x:c>
    </x:row>
    <x:row r="2244">
      <x:c r="A2244" s="87"/>
      <x:c r="B2244" s="66" t="n">
        <x:v>357</x:v>
      </x:c>
      <x:c r="C2244" s="66" t="str">
        <x:v>UIN WALISONGO</x:v>
      </x:c>
      <x:c r="D2244" s="66" t="str">
        <x:v>PTKIN</x:v>
      </x:c>
      <x:c r="E2244" s="66" t="str">
        <x:v>13571035</x:v>
      </x:c>
      <x:c r="F2244" s="66" t="str">
        <x:v>KEDOKTERAN</x:v>
      </x:c>
      <x:c r="G2244" s="66" t="str">
        <x:v>Sarjana</x:v>
      </x:c>
      <x:c r="H2244" s="87" t="n">
        <x:v>10</x:v>
      </x:c>
      <x:c r="I2244" s="87"/>
      <x:c r="J2244" s="68" t="str">
        <x:f>IFERROR(H2244/I2244,"")</x:f>
      </x:c>
      <x:c r="K2244" s="69" t="n">
        <x:f>IFERROR(I2244/H2244,"")</x:f>
        <x:v>0</x:v>
      </x:c>
      <x:c r="L2244" s="66" t="str">
        <x:f>IF(K2244="","","1 : "&amp;TEXT(K2244,"0.0"))</x:f>
      </x:c>
      <x:c r="M2244" s="66" t="str">
        <x:f>IF(J2244="","Baru/Tanpa Data",IF(J2244&lt;='Catatan &amp; Sumber'!$B$14,"Sangat Ketat",IF(J2244&lt;='Catatan &amp; Sumber'!$B$15,"Ketat",IF(J2244&lt;='Catatan &amp; Sumber'!$B$16,"Sedang","Relatif Longgar"))))</x:f>
        <x:v>Baru/Tanpa Data</x:v>
      </x:c>
      <x:c r="N2244" s="66" t="str">
        <x:v>Tidak Ada</x:v>
      </x:c>
      <x:c r="O2244" s="66" t="str">
        <x:v>Jawa Tengah</x:v>
      </x:c>
      <x:c r="P2244" s="66" t="str">
        <x:v>Kota Semarang</x:v>
      </x:c>
      <x:c r="Q2244" s="66" t="str">
        <x:v>https://snpmb.id/snbp/daya-tampung-snbp</x:v>
      </x:c>
      <x:c r="R2244" s="66" t="str">
        <x:v>https://sidatagrun-public-1076756628210.asia-southeast2.run.app/ptn_sn.php?ptn=357</x:v>
      </x:c>
    </x:row>
    <x:row r="2245">
      <x:c r="A2245" s="87"/>
      <x:c r="B2245" s="66" t="n">
        <x:v>357</x:v>
      </x:c>
      <x:c r="C2245" s="66" t="str">
        <x:v>UIN WALISONGO</x:v>
      </x:c>
      <x:c r="D2245" s="66" t="str">
        <x:v>PTKIN</x:v>
      </x:c>
      <x:c r="E2245" s="66" t="str">
        <x:v>13571037</x:v>
      </x:c>
      <x:c r="F2245" s="66" t="str">
        <x:v>BISNIS DIGITAL</x:v>
      </x:c>
      <x:c r="G2245" s="66" t="str">
        <x:v>Sarjana</x:v>
      </x:c>
      <x:c r="H2245" s="87" t="n">
        <x:v>40</x:v>
      </x:c>
      <x:c r="I2245" s="87"/>
      <x:c r="J2245" s="68" t="str">
        <x:f>IFERROR(H2245/I2245,"")</x:f>
      </x:c>
      <x:c r="K2245" s="69" t="n">
        <x:f>IFERROR(I2245/H2245,"")</x:f>
        <x:v>0</x:v>
      </x:c>
      <x:c r="L2245" s="66" t="str">
        <x:f>IF(K2245="","","1 : "&amp;TEXT(K2245,"0.0"))</x:f>
      </x:c>
      <x:c r="M2245" s="66" t="str">
        <x:f>IF(J2245="","Baru/Tanpa Data",IF(J2245&lt;='Catatan &amp; Sumber'!$B$14,"Sangat Ketat",IF(J2245&lt;='Catatan &amp; Sumber'!$B$15,"Ketat",IF(J2245&lt;='Catatan &amp; Sumber'!$B$16,"Sedang","Relatif Longgar"))))</x:f>
        <x:v>Baru/Tanpa Data</x:v>
      </x:c>
      <x:c r="N2245" s="66" t="str">
        <x:v>Tidak Ada</x:v>
      </x:c>
      <x:c r="O2245" s="66" t="str">
        <x:v>Jawa Tengah</x:v>
      </x:c>
      <x:c r="P2245" s="66" t="str">
        <x:v>Kota Semarang</x:v>
      </x:c>
      <x:c r="Q2245" s="66" t="str">
        <x:v>https://snpmb.id/snbp/daya-tampung-snbp</x:v>
      </x:c>
      <x:c r="R2245" s="66" t="str">
        <x:v>https://sidatagrun-public-1076756628210.asia-southeast2.run.app/ptn_sn.php?ptn=357</x:v>
      </x:c>
    </x:row>
    <x:row r="2246">
      <x:c r="A2246" s="87" t="n">
        <x:v>3140</x:v>
      </x:c>
      <x:c r="B2246" s="66" t="n">
        <x:v>358</x:v>
      </x:c>
      <x:c r="C2246" s="66" t="str">
        <x:v>UIN RADEN MAS SAID SURAKARTA</x:v>
      </x:c>
      <x:c r="D2246" s="66" t="str">
        <x:v>PTKIN</x:v>
      </x:c>
      <x:c r="E2246" s="66" t="str">
        <x:v>13581001</x:v>
      </x:c>
      <x:c r="F2246" s="66" t="str">
        <x:v>ILMU LINGKUNGAN</x:v>
      </x:c>
      <x:c r="G2246" s="66" t="str">
        <x:v>Sarjana</x:v>
      </x:c>
      <x:c r="H2246" s="87" t="n">
        <x:v>28</x:v>
      </x:c>
      <x:c r="I2246" s="87" t="n">
        <x:v>86</x:v>
      </x:c>
      <x:c r="J2246" s="68" t="n">
        <x:f>IFERROR(H2246/I2246,"")</x:f>
        <x:v>0.32558139534883723</x:v>
      </x:c>
      <x:c r="K2246" s="69" t="n">
        <x:f>IFERROR(I2246/H2246,"")</x:f>
        <x:v>3.0714285714285716</x:v>
      </x:c>
      <x:c r="L2246" s="66" t="str">
        <x:f>IF(K2246="","","1 : "&amp;TEXT(K2246,"0.0"))</x:f>
        <x:v>1 : 3.1</x:v>
      </x:c>
      <x:c r="M2246" s="66" t="str">
        <x:f>IF(J2246="","Baru/Tanpa Data",IF(J2246&lt;='Catatan &amp; Sumber'!$B$14,"Sangat Ketat",IF(J2246&lt;='Catatan &amp; Sumber'!$B$15,"Ketat",IF(J2246&lt;='Catatan &amp; Sumber'!$B$16,"Sedang","Relatif Longgar"))))</x:f>
        <x:v>Relatif Longgar</x:v>
      </x:c>
      <x:c r="N2246" s="66" t="str">
        <x:v>Tidak Ada</x:v>
      </x:c>
      <x:c r="O2246" s="66" t="str">
        <x:v>Jawa Tengah</x:v>
      </x:c>
      <x:c r="P2246" s="66" t="str">
        <x:v>Kabupaten Sukoharjo</x:v>
      </x:c>
      <x:c r="Q2246" s="66" t="str">
        <x:v>https://snpmb.id/snbp/daya-tampung-snbp</x:v>
      </x:c>
      <x:c r="R2246" s="66" t="str">
        <x:v>https://sidatagrun-public-1076756628210.asia-southeast2.run.app/ptn_sn.php?ptn=358</x:v>
      </x:c>
    </x:row>
    <x:row r="2247">
      <x:c r="A2247" s="87" t="n">
        <x:v>2453</x:v>
      </x:c>
      <x:c r="B2247" s="66" t="n">
        <x:v>358</x:v>
      </x:c>
      <x:c r="C2247" s="66" t="str">
        <x:v>UIN RADEN MAS SAID SURAKARTA</x:v>
      </x:c>
      <x:c r="D2247" s="66" t="str">
        <x:v>PTKIN</x:v>
      </x:c>
      <x:c r="E2247" s="66" t="str">
        <x:v>13581002</x:v>
      </x:c>
      <x:c r="F2247" s="66" t="str">
        <x:v>TEKNOLOGI PANGAN</x:v>
      </x:c>
      <x:c r="G2247" s="66" t="str">
        <x:v>Sarjana</x:v>
      </x:c>
      <x:c r="H2247" s="87" t="n">
        <x:v>28</x:v>
      </x:c>
      <x:c r="I2247" s="87" t="n">
        <x:v>138</x:v>
      </x:c>
      <x:c r="J2247" s="68" t="n">
        <x:f>IFERROR(H2247/I2247,"")</x:f>
        <x:v>0.2028985507246377</x:v>
      </x:c>
      <x:c r="K2247" s="69" t="n">
        <x:f>IFERROR(I2247/H2247,"")</x:f>
        <x:v>4.928571428571429</x:v>
      </x:c>
      <x:c r="L2247" s="66" t="str">
        <x:f>IF(K2247="","","1 : "&amp;TEXT(K2247,"0.0"))</x:f>
        <x:v>1 : 4.9</x:v>
      </x:c>
      <x:c r="M2247" s="66" t="str">
        <x:f>IF(J2247="","Baru/Tanpa Data",IF(J2247&lt;='Catatan &amp; Sumber'!$B$14,"Sangat Ketat",IF(J2247&lt;='Catatan &amp; Sumber'!$B$15,"Ketat",IF(J2247&lt;='Catatan &amp; Sumber'!$B$16,"Sedang","Relatif Longgar"))))</x:f>
        <x:v>Relatif Longgar</x:v>
      </x:c>
      <x:c r="N2247" s="66" t="str">
        <x:v>Tidak Ada</x:v>
      </x:c>
      <x:c r="O2247" s="66" t="str">
        <x:v>Jawa Tengah</x:v>
      </x:c>
      <x:c r="P2247" s="66" t="str">
        <x:v>Kabupaten Sukoharjo</x:v>
      </x:c>
      <x:c r="Q2247" s="66" t="str">
        <x:v>https://snpmb.id/snbp/daya-tampung-snbp</x:v>
      </x:c>
      <x:c r="R2247" s="66" t="str">
        <x:v>https://sidatagrun-public-1076756628210.asia-southeast2.run.app/ptn_sn.php?ptn=358</x:v>
      </x:c>
    </x:row>
    <x:row r="2248">
      <x:c r="A2248" s="87" t="n">
        <x:v>3285</x:v>
      </x:c>
      <x:c r="B2248" s="66" t="n">
        <x:v>358</x:v>
      </x:c>
      <x:c r="C2248" s="66" t="str">
        <x:v>UIN RADEN MAS SAID SURAKARTA</x:v>
      </x:c>
      <x:c r="D2248" s="66" t="str">
        <x:v>PTKIN</x:v>
      </x:c>
      <x:c r="E2248" s="66" t="str">
        <x:v>13581003</x:v>
      </x:c>
      <x:c r="F2248" s="66" t="str">
        <x:v>SAINS DATA</x:v>
      </x:c>
      <x:c r="G2248" s="66" t="str">
        <x:v>Sarjana</x:v>
      </x:c>
      <x:c r="H2248" s="87" t="n">
        <x:v>28</x:v>
      </x:c>
      <x:c r="I2248" s="87" t="n">
        <x:v>76</x:v>
      </x:c>
      <x:c r="J2248" s="68" t="n">
        <x:f>IFERROR(H2248/I2248,"")</x:f>
        <x:v>0.3684210526315789</x:v>
      </x:c>
      <x:c r="K2248" s="69" t="n">
        <x:f>IFERROR(I2248/H2248,"")</x:f>
        <x:v>2.7142857142857144</x:v>
      </x:c>
      <x:c r="L2248" s="66" t="str">
        <x:f>IF(K2248="","","1 : "&amp;TEXT(K2248,"0.0"))</x:f>
        <x:v>1 : 2.7</x:v>
      </x:c>
      <x:c r="M2248" s="66" t="str">
        <x:f>IF(J2248="","Baru/Tanpa Data",IF(J2248&lt;='Catatan &amp; Sumber'!$B$14,"Sangat Ketat",IF(J2248&lt;='Catatan &amp; Sumber'!$B$15,"Ketat",IF(J2248&lt;='Catatan &amp; Sumber'!$B$16,"Sedang","Relatif Longgar"))))</x:f>
        <x:v>Relatif Longgar</x:v>
      </x:c>
      <x:c r="N2248" s="66" t="str">
        <x:v>Tidak Ada</x:v>
      </x:c>
      <x:c r="O2248" s="66" t="str">
        <x:v>Jawa Tengah</x:v>
      </x:c>
      <x:c r="P2248" s="66" t="str">
        <x:v>Kabupaten Sukoharjo</x:v>
      </x:c>
      <x:c r="Q2248" s="66" t="str">
        <x:v>https://snpmb.id/snbp/daya-tampung-snbp</x:v>
      </x:c>
      <x:c r="R2248" s="66" t="str">
        <x:v>https://sidatagrun-public-1076756628210.asia-southeast2.run.app/ptn_sn.php?ptn=358</x:v>
      </x:c>
    </x:row>
    <x:row r="2249">
      <x:c r="A2249" s="87" t="n">
        <x:v>3724</x:v>
      </x:c>
      <x:c r="B2249" s="66" t="n">
        <x:v>358</x:v>
      </x:c>
      <x:c r="C2249" s="66" t="str">
        <x:v>UIN RADEN MAS SAID SURAKARTA</x:v>
      </x:c>
      <x:c r="D2249" s="66" t="str">
        <x:v>PTKIN</x:v>
      </x:c>
      <x:c r="E2249" s="66" t="str">
        <x:v>13581004</x:v>
      </x:c>
      <x:c r="F2249" s="66" t="str">
        <x:v>BIOTEKNOLOGI</x:v>
      </x:c>
      <x:c r="G2249" s="66" t="str">
        <x:v>Sarjana</x:v>
      </x:c>
      <x:c r="H2249" s="87" t="n">
        <x:v>28</x:v>
      </x:c>
      <x:c r="I2249" s="87" t="n">
        <x:v>53</x:v>
      </x:c>
      <x:c r="J2249" s="68" t="n">
        <x:f>IFERROR(H2249/I2249,"")</x:f>
        <x:v>0.5283018867924528</x:v>
      </x:c>
      <x:c r="K2249" s="69" t="n">
        <x:f>IFERROR(I2249/H2249,"")</x:f>
        <x:v>1.8928571428571428</x:v>
      </x:c>
      <x:c r="L2249" s="66" t="str">
        <x:f>IF(K2249="","","1 : "&amp;TEXT(K2249,"0.0"))</x:f>
        <x:v>1 : 1.9</x:v>
      </x:c>
      <x:c r="M2249" s="66" t="str">
        <x:f>IF(J2249="","Baru/Tanpa Data",IF(J2249&lt;='Catatan &amp; Sumber'!$B$14,"Sangat Ketat",IF(J2249&lt;='Catatan &amp; Sumber'!$B$15,"Ketat",IF(J2249&lt;='Catatan &amp; Sumber'!$B$16,"Sedang","Relatif Longgar"))))</x:f>
        <x:v>Relatif Longgar</x:v>
      </x:c>
      <x:c r="N2249" s="66" t="str">
        <x:v>Tidak Ada</x:v>
      </x:c>
      <x:c r="O2249" s="66" t="str">
        <x:v>Jawa Tengah</x:v>
      </x:c>
      <x:c r="P2249" s="66" t="str">
        <x:v>Kabupaten Sukoharjo</x:v>
      </x:c>
      <x:c r="Q2249" s="66" t="str">
        <x:v>https://snpmb.id/snbp/daya-tampung-snbp</x:v>
      </x:c>
      <x:c r="R2249" s="66" t="str">
        <x:v>https://sidatagrun-public-1076756628210.asia-southeast2.run.app/ptn_sn.php?ptn=358</x:v>
      </x:c>
    </x:row>
    <x:row r="2250">
      <x:c r="A2250" s="87"/>
      <x:c r="B2250" s="66" t="n">
        <x:v>358</x:v>
      </x:c>
      <x:c r="C2250" s="66" t="str">
        <x:v>UIN RADEN MAS SAID SURAKARTA</x:v>
      </x:c>
      <x:c r="D2250" s="66" t="str">
        <x:v>PTKIN</x:v>
      </x:c>
      <x:c r="E2250" s="66" t="str">
        <x:v>13581005</x:v>
      </x:c>
      <x:c r="F2250" s="66" t="str">
        <x:v>HUKUM BISNIS</x:v>
      </x:c>
      <x:c r="G2250" s="66" t="str">
        <x:v>Sarjana</x:v>
      </x:c>
      <x:c r="H2250" s="87" t="n">
        <x:v>28</x:v>
      </x:c>
      <x:c r="I2250" s="87"/>
      <x:c r="J2250" s="68" t="str">
        <x:f>IFERROR(H2250/I2250,"")</x:f>
      </x:c>
      <x:c r="K2250" s="69" t="n">
        <x:f>IFERROR(I2250/H2250,"")</x:f>
        <x:v>0</x:v>
      </x:c>
      <x:c r="L2250" s="66" t="str">
        <x:f>IF(K2250="","","1 : "&amp;TEXT(K2250,"0.0"))</x:f>
      </x:c>
      <x:c r="M2250" s="66" t="str">
        <x:f>IF(J2250="","Baru/Tanpa Data",IF(J2250&lt;='Catatan &amp; Sumber'!$B$14,"Sangat Ketat",IF(J2250&lt;='Catatan &amp; Sumber'!$B$15,"Ketat",IF(J2250&lt;='Catatan &amp; Sumber'!$B$16,"Sedang","Relatif Longgar"))))</x:f>
        <x:v>Baru/Tanpa Data</x:v>
      </x:c>
      <x:c r="N2250" s="66" t="str">
        <x:v>Tidak Ada</x:v>
      </x:c>
      <x:c r="O2250" s="66" t="str">
        <x:v>Jawa Tengah</x:v>
      </x:c>
      <x:c r="P2250" s="66" t="str">
        <x:v>Kabupaten Sukoharjo</x:v>
      </x:c>
      <x:c r="Q2250" s="66" t="str">
        <x:v>https://snpmb.id/snbp/daya-tampung-snbp</x:v>
      </x:c>
      <x:c r="R2250" s="66" t="str">
        <x:v>https://sidatagrun-public-1076756628210.asia-southeast2.run.app/ptn_sn.php?ptn=358</x:v>
      </x:c>
    </x:row>
    <x:row r="2251">
      <x:c r="A2251" s="87"/>
      <x:c r="B2251" s="66" t="n">
        <x:v>358</x:v>
      </x:c>
      <x:c r="C2251" s="66" t="str">
        <x:v>UIN RADEN MAS SAID SURAKARTA</x:v>
      </x:c>
      <x:c r="D2251" s="66" t="str">
        <x:v>PTKIN</x:v>
      </x:c>
      <x:c r="E2251" s="66" t="str">
        <x:v>13581006</x:v>
      </x:c>
      <x:c r="F2251" s="66" t="str">
        <x:v>BISNIS DIGITAL</x:v>
      </x:c>
      <x:c r="G2251" s="66" t="str">
        <x:v>Sarjana</x:v>
      </x:c>
      <x:c r="H2251" s="87" t="n">
        <x:v>32</x:v>
      </x:c>
      <x:c r="I2251" s="87"/>
      <x:c r="J2251" s="68" t="str">
        <x:f>IFERROR(H2251/I2251,"")</x:f>
      </x:c>
      <x:c r="K2251" s="69" t="n">
        <x:f>IFERROR(I2251/H2251,"")</x:f>
        <x:v>0</x:v>
      </x:c>
      <x:c r="L2251" s="66" t="str">
        <x:f>IF(K2251="","","1 : "&amp;TEXT(K2251,"0.0"))</x:f>
      </x:c>
      <x:c r="M2251" s="66" t="str">
        <x:f>IF(J2251="","Baru/Tanpa Data",IF(J2251&lt;='Catatan &amp; Sumber'!$B$14,"Sangat Ketat",IF(J2251&lt;='Catatan &amp; Sumber'!$B$15,"Ketat",IF(J2251&lt;='Catatan &amp; Sumber'!$B$16,"Sedang","Relatif Longgar"))))</x:f>
        <x:v>Baru/Tanpa Data</x:v>
      </x:c>
      <x:c r="N2251" s="66" t="str">
        <x:v>Tidak Ada</x:v>
      </x:c>
      <x:c r="O2251" s="66" t="str">
        <x:v>Jawa Tengah</x:v>
      </x:c>
      <x:c r="P2251" s="66" t="str">
        <x:v>Kabupaten Sukoharjo</x:v>
      </x:c>
      <x:c r="Q2251" s="66" t="str">
        <x:v>https://snpmb.id/snbp/daya-tampung-snbp</x:v>
      </x:c>
      <x:c r="R2251" s="66" t="str">
        <x:v>https://sidatagrun-public-1076756628210.asia-southeast2.run.app/ptn_sn.php?ptn=358</x:v>
      </x:c>
    </x:row>
    <x:row r="2252">
      <x:c r="A2252" s="87"/>
      <x:c r="B2252" s="66" t="n">
        <x:v>358</x:v>
      </x:c>
      <x:c r="C2252" s="66" t="str">
        <x:v>UIN RADEN MAS SAID SURAKARTA</x:v>
      </x:c>
      <x:c r="D2252" s="66" t="str">
        <x:v>PTKIN</x:v>
      </x:c>
      <x:c r="E2252" s="66" t="str">
        <x:v>13581007</x:v>
      </x:c>
      <x:c r="F2252" s="66" t="str">
        <x:v>INFORMATIKA</x:v>
      </x:c>
      <x:c r="G2252" s="66" t="str">
        <x:v>Sarjana</x:v>
      </x:c>
      <x:c r="H2252" s="87" t="n">
        <x:v>28</x:v>
      </x:c>
      <x:c r="I2252" s="87"/>
      <x:c r="J2252" s="68" t="str">
        <x:f>IFERROR(H2252/I2252,"")</x:f>
      </x:c>
      <x:c r="K2252" s="69" t="n">
        <x:f>IFERROR(I2252/H2252,"")</x:f>
        <x:v>0</x:v>
      </x:c>
      <x:c r="L2252" s="66" t="str">
        <x:f>IF(K2252="","","1 : "&amp;TEXT(K2252,"0.0"))</x:f>
      </x:c>
      <x:c r="M2252" s="66" t="str">
        <x:f>IF(J2252="","Baru/Tanpa Data",IF(J2252&lt;='Catatan &amp; Sumber'!$B$14,"Sangat Ketat",IF(J2252&lt;='Catatan &amp; Sumber'!$B$15,"Ketat",IF(J2252&lt;='Catatan &amp; Sumber'!$B$16,"Sedang","Relatif Longgar"))))</x:f>
        <x:v>Baru/Tanpa Data</x:v>
      </x:c>
      <x:c r="N2252" s="66" t="str">
        <x:v>Tidak Ada</x:v>
      </x:c>
      <x:c r="O2252" s="66" t="str">
        <x:v>Jawa Tengah</x:v>
      </x:c>
      <x:c r="P2252" s="66" t="str">
        <x:v>Kabupaten Sukoharjo</x:v>
      </x:c>
      <x:c r="Q2252" s="66" t="str">
        <x:v>https://snpmb.id/snbp/daya-tampung-snbp</x:v>
      </x:c>
      <x:c r="R2252" s="66" t="str">
        <x:v>https://sidatagrun-public-1076756628210.asia-southeast2.run.app/ptn_sn.php?ptn=358</x:v>
      </x:c>
    </x:row>
    <x:row r="2253">
      <x:c r="A2253" s="87" t="n">
        <x:v>2414</x:v>
      </x:c>
      <x:c r="B2253" s="66" t="n">
        <x:v>361</x:v>
      </x:c>
      <x:c r="C2253" s="66" t="str">
        <x:v>UNIVERSITAS GADJAH MADA</x:v>
      </x:c>
      <x:c r="D2253" s="66" t="str">
        <x:v>PTN Akademik</x:v>
      </x:c>
      <x:c r="E2253" s="66" t="str">
        <x:v>13611001</x:v>
      </x:c>
      <x:c r="F2253" s="66" t="str">
        <x:v>BIOLOGI</x:v>
      </x:c>
      <x:c r="G2253" s="66" t="str">
        <x:v>Sarjana</x:v>
      </x:c>
      <x:c r="H2253" s="87" t="n">
        <x:v>68</x:v>
      </x:c>
      <x:c r="I2253" s="87" t="n">
        <x:v>344</x:v>
      </x:c>
      <x:c r="J2253" s="68" t="n">
        <x:f>IFERROR(H2253/I2253,"")</x:f>
        <x:v>0.19767441860465115</x:v>
      </x:c>
      <x:c r="K2253" s="69" t="n">
        <x:f>IFERROR(I2253/H2253,"")</x:f>
        <x:v>5.0588235294117645</x:v>
      </x:c>
      <x:c r="L2253" s="66" t="str">
        <x:f>IF(K2253="","","1 : "&amp;TEXT(K2253,"0.0"))</x:f>
        <x:v>1 : 5.1</x:v>
      </x:c>
      <x:c r="M2253" s="66" t="str">
        <x:f>IF(J2253="","Baru/Tanpa Data",IF(J2253&lt;='Catatan &amp; Sumber'!$B$14,"Sangat Ketat",IF(J2253&lt;='Catatan &amp; Sumber'!$B$15,"Ketat",IF(J2253&lt;='Catatan &amp; Sumber'!$B$16,"Sedang","Relatif Longgar"))))</x:f>
        <x:v>Relatif Longgar</x:v>
      </x:c>
      <x:c r="N2253" s="66" t="str">
        <x:v>Tidak Ada</x:v>
      </x:c>
      <x:c r="O2253" s="66" t="str">
        <x:v>Yogyakarta</x:v>
      </x:c>
      <x:c r="P2253" s="66" t="str">
        <x:v>Kabupaten Sleman</x:v>
      </x:c>
      <x:c r="Q2253" s="66" t="str">
        <x:v>https://snpmb.id/snbp/daya-tampung-snbp</x:v>
      </x:c>
      <x:c r="R2253" s="66" t="str">
        <x:v>https://sidatagrun-public-1076756628210.asia-southeast2.run.app/ptn_sn.php?ptn=361</x:v>
      </x:c>
    </x:row>
    <x:row r="2254">
      <x:c r="A2254" s="87" t="n">
        <x:v>511</x:v>
      </x:c>
      <x:c r="B2254" s="66" t="n">
        <x:v>361</x:v>
      </x:c>
      <x:c r="C2254" s="66" t="str">
        <x:v>UNIVERSITAS GADJAH MADA</x:v>
      </x:c>
      <x:c r="D2254" s="66" t="str">
        <x:v>PTN Akademik</x:v>
      </x:c>
      <x:c r="E2254" s="66" t="str">
        <x:v>13611002</x:v>
      </x:c>
      <x:c r="F2254" s="66" t="str">
        <x:v>FARMASI</x:v>
      </x:c>
      <x:c r="G2254" s="66" t="str">
        <x:v>Sarjana</x:v>
      </x:c>
      <x:c r="H2254" s="87" t="n">
        <x:v>72</x:v>
      </x:c>
      <x:c r="I2254" s="87" t="n">
        <x:v>1381</x:v>
      </x:c>
      <x:c r="J2254" s="68" t="n">
        <x:f>IFERROR(H2254/I2254,"")</x:f>
        <x:v>0.05213613323678494</x:v>
      </x:c>
      <x:c r="K2254" s="69" t="n">
        <x:f>IFERROR(I2254/H2254,"")</x:f>
        <x:v>19.180555555555557</x:v>
      </x:c>
      <x:c r="L2254" s="66" t="str">
        <x:f>IF(K2254="","","1 : "&amp;TEXT(K2254,"0.0"))</x:f>
        <x:v>1 : 19.2</x:v>
      </x:c>
      <x:c r="M2254" s="66" t="str">
        <x:f>IF(J2254="","Baru/Tanpa Data",IF(J2254&lt;='Catatan &amp; Sumber'!$B$14,"Sangat Ketat",IF(J2254&lt;='Catatan &amp; Sumber'!$B$15,"Ketat",IF(J2254&lt;='Catatan &amp; Sumber'!$B$16,"Sedang","Relatif Longgar"))))</x:f>
        <x:v>Sedang</x:v>
      </x:c>
      <x:c r="N2254" s="66" t="str">
        <x:v>Tidak Ada</x:v>
      </x:c>
      <x:c r="O2254" s="66" t="str">
        <x:v>Yogyakarta</x:v>
      </x:c>
      <x:c r="P2254" s="66" t="str">
        <x:v>Kabupaten Sleman</x:v>
      </x:c>
      <x:c r="Q2254" s="66" t="str">
        <x:v>https://snpmb.id/snbp/daya-tampung-snbp</x:v>
      </x:c>
      <x:c r="R2254" s="66" t="str">
        <x:v>https://sidatagrun-public-1076756628210.asia-southeast2.run.app/ptn_sn.php?ptn=361</x:v>
      </x:c>
    </x:row>
    <x:row r="2255">
      <x:c r="A2255" s="87" t="n">
        <x:v>1693</x:v>
      </x:c>
      <x:c r="B2255" s="66" t="n">
        <x:v>361</x:v>
      </x:c>
      <x:c r="C2255" s="66" t="str">
        <x:v>UNIVERSITAS GADJAH MADA</x:v>
      </x:c>
      <x:c r="D2255" s="66" t="str">
        <x:v>PTN Akademik</x:v>
      </x:c>
      <x:c r="E2255" s="66" t="str">
        <x:v>13611003</x:v>
      </x:c>
      <x:c r="F2255" s="66" t="str">
        <x:v>GEOGRAFI LINGKUNGAN</x:v>
      </x:c>
      <x:c r="G2255" s="66" t="str">
        <x:v>Sarjana</x:v>
      </x:c>
      <x:c r="H2255" s="87" t="n">
        <x:v>35</x:v>
      </x:c>
      <x:c r="I2255" s="87" t="n">
        <x:v>283</x:v>
      </x:c>
      <x:c r="J2255" s="68" t="n">
        <x:f>IFERROR(H2255/I2255,"")</x:f>
        <x:v>0.12367491166077739</x:v>
      </x:c>
      <x:c r="K2255" s="69" t="n">
        <x:f>IFERROR(I2255/H2255,"")</x:f>
        <x:v>8.085714285714285</x:v>
      </x:c>
      <x:c r="L2255" s="66" t="str">
        <x:f>IF(K2255="","","1 : "&amp;TEXT(K2255,"0.0"))</x:f>
        <x:v>1 : 8.1</x:v>
      </x:c>
      <x:c r="M2255" s="66" t="str">
        <x:f>IF(J2255="","Baru/Tanpa Data",IF(J2255&lt;='Catatan &amp; Sumber'!$B$14,"Sangat Ketat",IF(J2255&lt;='Catatan &amp; Sumber'!$B$15,"Ketat",IF(J2255&lt;='Catatan &amp; Sumber'!$B$16,"Sedang","Relatif Longgar"))))</x:f>
        <x:v>Relatif Longgar</x:v>
      </x:c>
      <x:c r="N2255" s="66" t="str">
        <x:v>Tidak Ada</x:v>
      </x:c>
      <x:c r="O2255" s="66" t="str">
        <x:v>Yogyakarta</x:v>
      </x:c>
      <x:c r="P2255" s="66" t="str">
        <x:v>Kabupaten Sleman</x:v>
      </x:c>
      <x:c r="Q2255" s="66" t="str">
        <x:v>https://snpmb.id/snbp/daya-tampung-snbp</x:v>
      </x:c>
      <x:c r="R2255" s="66" t="str">
        <x:v>https://sidatagrun-public-1076756628210.asia-southeast2.run.app/ptn_sn.php?ptn=361</x:v>
      </x:c>
    </x:row>
    <x:row r="2256">
      <x:c r="A2256" s="87" t="n">
        <x:v>2277</x:v>
      </x:c>
      <x:c r="B2256" s="66" t="n">
        <x:v>361</x:v>
      </x:c>
      <x:c r="C2256" s="66" t="str">
        <x:v>UNIVERSITAS GADJAH MADA</x:v>
      </x:c>
      <x:c r="D2256" s="66" t="str">
        <x:v>PTN Akademik</x:v>
      </x:c>
      <x:c r="E2256" s="66" t="str">
        <x:v>13611004</x:v>
      </x:c>
      <x:c r="F2256" s="66" t="str">
        <x:v>KARTOGRAFI DAN PENGINDERAAN JAUH</x:v>
      </x:c>
      <x:c r="G2256" s="66" t="str">
        <x:v>Sarjana</x:v>
      </x:c>
      <x:c r="H2256" s="87" t="n">
        <x:v>30</x:v>
      </x:c>
      <x:c r="I2256" s="87" t="n">
        <x:v>165</x:v>
      </x:c>
      <x:c r="J2256" s="68" t="n">
        <x:f>IFERROR(H2256/I2256,"")</x:f>
        <x:v>0.18181818181818182</x:v>
      </x:c>
      <x:c r="K2256" s="69" t="n">
        <x:f>IFERROR(I2256/H2256,"")</x:f>
        <x:v>5.5</x:v>
      </x:c>
      <x:c r="L2256" s="66" t="str">
        <x:f>IF(K2256="","","1 : "&amp;TEXT(K2256,"0.0"))</x:f>
        <x:v>1 : 5.5</x:v>
      </x:c>
      <x:c r="M2256" s="66" t="str">
        <x:f>IF(J2256="","Baru/Tanpa Data",IF(J2256&lt;='Catatan &amp; Sumber'!$B$14,"Sangat Ketat",IF(J2256&lt;='Catatan &amp; Sumber'!$B$15,"Ketat",IF(J2256&lt;='Catatan &amp; Sumber'!$B$16,"Sedang","Relatif Longgar"))))</x:f>
        <x:v>Relatif Longgar</x:v>
      </x:c>
      <x:c r="N2256" s="66" t="str">
        <x:v>Tidak Ada</x:v>
      </x:c>
      <x:c r="O2256" s="66" t="str">
        <x:v>Yogyakarta</x:v>
      </x:c>
      <x:c r="P2256" s="66" t="str">
        <x:v>Kabupaten Sleman</x:v>
      </x:c>
      <x:c r="Q2256" s="66" t="str">
        <x:v>https://snpmb.id/snbp/daya-tampung-snbp</x:v>
      </x:c>
      <x:c r="R2256" s="66" t="str">
        <x:v>https://sidatagrun-public-1076756628210.asia-southeast2.run.app/ptn_sn.php?ptn=361</x:v>
      </x:c>
    </x:row>
    <x:row r="2257">
      <x:c r="A2257" s="87" t="n">
        <x:v>1588</x:v>
      </x:c>
      <x:c r="B2257" s="66" t="n">
        <x:v>361</x:v>
      </x:c>
      <x:c r="C2257" s="66" t="str">
        <x:v>UNIVERSITAS GADJAH MADA</x:v>
      </x:c>
      <x:c r="D2257" s="66" t="str">
        <x:v>PTN Akademik</x:v>
      </x:c>
      <x:c r="E2257" s="66" t="str">
        <x:v>13611005</x:v>
      </x:c>
      <x:c r="F2257" s="66" t="str">
        <x:v>PEMBANGUNAN WILAYAH</x:v>
      </x:c>
      <x:c r="G2257" s="66" t="str">
        <x:v>Sarjana</x:v>
      </x:c>
      <x:c r="H2257" s="87" t="n">
        <x:v>24</x:v>
      </x:c>
      <x:c r="I2257" s="87" t="n">
        <x:v>208</x:v>
      </x:c>
      <x:c r="J2257" s="68" t="n">
        <x:f>IFERROR(H2257/I2257,"")</x:f>
        <x:v>0.11538461538461539</x:v>
      </x:c>
      <x:c r="K2257" s="69" t="n">
        <x:f>IFERROR(I2257/H2257,"")</x:f>
        <x:v>8.666666666666666</x:v>
      </x:c>
      <x:c r="L2257" s="66" t="str">
        <x:f>IF(K2257="","","1 : "&amp;TEXT(K2257,"0.0"))</x:f>
        <x:v>1 : 8.7</x:v>
      </x:c>
      <x:c r="M2257" s="66" t="str">
        <x:f>IF(J2257="","Baru/Tanpa Data",IF(J2257&lt;='Catatan &amp; Sumber'!$B$14,"Sangat Ketat",IF(J2257&lt;='Catatan &amp; Sumber'!$B$15,"Ketat",IF(J2257&lt;='Catatan &amp; Sumber'!$B$16,"Sedang","Relatif Longgar"))))</x:f>
        <x:v>Relatif Longgar</x:v>
      </x:c>
      <x:c r="N2257" s="66" t="str">
        <x:v>Tidak Ada</x:v>
      </x:c>
      <x:c r="O2257" s="66" t="str">
        <x:v>Yogyakarta</x:v>
      </x:c>
      <x:c r="P2257" s="66" t="str">
        <x:v>Kabupaten Sleman</x:v>
      </x:c>
      <x:c r="Q2257" s="66" t="str">
        <x:v>https://snpmb.id/snbp/daya-tampung-snbp</x:v>
      </x:c>
      <x:c r="R2257" s="66" t="str">
        <x:v>https://sidatagrun-public-1076756628210.asia-southeast2.run.app/ptn_sn.php?ptn=361</x:v>
      </x:c>
    </x:row>
    <x:row r="2258">
      <x:c r="A2258" s="87" t="n">
        <x:v>83</x:v>
      </x:c>
      <x:c r="B2258" s="66" t="n">
        <x:v>361</x:v>
      </x:c>
      <x:c r="C2258" s="66" t="str">
        <x:v>UNIVERSITAS GADJAH MADA</x:v>
      </x:c>
      <x:c r="D2258" s="66" t="str">
        <x:v>PTN Akademik</x:v>
      </x:c>
      <x:c r="E2258" s="66" t="str">
        <x:v>13611006</x:v>
      </x:c>
      <x:c r="F2258" s="66" t="str">
        <x:v>KEDOKTERAN</x:v>
      </x:c>
      <x:c r="G2258" s="66" t="str">
        <x:v>Sarjana</x:v>
      </x:c>
      <x:c r="H2258" s="87" t="n">
        <x:v>53</x:v>
      </x:c>
      <x:c r="I2258" s="87" t="n">
        <x:v>1979</x:v>
      </x:c>
      <x:c r="J2258" s="68" t="n">
        <x:f>IFERROR(H2258/I2258,"")</x:f>
        <x:v>0.026781202627589692</x:v>
      </x:c>
      <x:c r="K2258" s="69" t="n">
        <x:f>IFERROR(I2258/H2258,"")</x:f>
        <x:v>37.339622641509436</x:v>
      </x:c>
      <x:c r="L2258" s="66" t="str">
        <x:f>IF(K2258="","","1 : "&amp;TEXT(K2258,"0.0"))</x:f>
        <x:v>1 : 37.3</x:v>
      </x:c>
      <x:c r="M2258" s="66" t="str">
        <x:f>IF(J2258="","Baru/Tanpa Data",IF(J2258&lt;='Catatan &amp; Sumber'!$B$14,"Sangat Ketat",IF(J2258&lt;='Catatan &amp; Sumber'!$B$15,"Ketat",IF(J2258&lt;='Catatan &amp; Sumber'!$B$16,"Sedang","Relatif Longgar"))))</x:f>
        <x:v>Ketat</x:v>
      </x:c>
      <x:c r="N2258" s="66" t="str">
        <x:v>Tidak Ada</x:v>
      </x:c>
      <x:c r="O2258" s="66" t="str">
        <x:v>Yogyakarta</x:v>
      </x:c>
      <x:c r="P2258" s="66" t="str">
        <x:v>Kabupaten Sleman</x:v>
      </x:c>
      <x:c r="Q2258" s="66" t="str">
        <x:v>https://snpmb.id/snbp/daya-tampung-snbp</x:v>
      </x:c>
      <x:c r="R2258" s="66" t="str">
        <x:v>https://sidatagrun-public-1076756628210.asia-southeast2.run.app/ptn_sn.php?ptn=361</x:v>
      </x:c>
    </x:row>
    <x:row r="2259">
      <x:c r="A2259" s="87" t="n">
        <x:v>399</x:v>
      </x:c>
      <x:c r="B2259" s="66" t="n">
        <x:v>361</x:v>
      </x:c>
      <x:c r="C2259" s="66" t="str">
        <x:v>UNIVERSITAS GADJAH MADA</x:v>
      </x:c>
      <x:c r="D2259" s="66" t="str">
        <x:v>PTN Akademik</x:v>
      </x:c>
      <x:c r="E2259" s="66" t="str">
        <x:v>13611007</x:v>
      </x:c>
      <x:c r="F2259" s="66" t="str">
        <x:v>ILMU KEPERAWATAN</x:v>
      </x:c>
      <x:c r="G2259" s="66" t="str">
        <x:v>Sarjana</x:v>
      </x:c>
      <x:c r="H2259" s="87" t="n">
        <x:v>36</x:v>
      </x:c>
      <x:c r="I2259" s="87" t="n">
        <x:v>773</x:v>
      </x:c>
      <x:c r="J2259" s="68" t="n">
        <x:f>IFERROR(H2259/I2259,"")</x:f>
        <x:v>0.04657179818887452</x:v>
      </x:c>
      <x:c r="K2259" s="69" t="n">
        <x:f>IFERROR(I2259/H2259,"")</x:f>
        <x:v>21.47222222222222</x:v>
      </x:c>
      <x:c r="L2259" s="66" t="str">
        <x:f>IF(K2259="","","1 : "&amp;TEXT(K2259,"0.0"))</x:f>
        <x:v>1 : 21.5</x:v>
      </x:c>
      <x:c r="M2259" s="66" t="str">
        <x:f>IF(J2259="","Baru/Tanpa Data",IF(J2259&lt;='Catatan &amp; Sumber'!$B$14,"Sangat Ketat",IF(J2259&lt;='Catatan &amp; Sumber'!$B$15,"Ketat",IF(J2259&lt;='Catatan &amp; Sumber'!$B$16,"Sedang","Relatif Longgar"))))</x:f>
        <x:v>Ketat</x:v>
      </x:c>
      <x:c r="N2259" s="66" t="str">
        <x:v>Tidak Ada</x:v>
      </x:c>
      <x:c r="O2259" s="66" t="str">
        <x:v>Yogyakarta</x:v>
      </x:c>
      <x:c r="P2259" s="66" t="str">
        <x:v>Kabupaten Sleman</x:v>
      </x:c>
      <x:c r="Q2259" s="66" t="str">
        <x:v>https://snpmb.id/snbp/daya-tampung-snbp</x:v>
      </x:c>
      <x:c r="R2259" s="66" t="str">
        <x:v>https://sidatagrun-public-1076756628210.asia-southeast2.run.app/ptn_sn.php?ptn=361</x:v>
      </x:c>
    </x:row>
    <x:row r="2260">
      <x:c r="A2260" s="87" t="n">
        <x:v>386</x:v>
      </x:c>
      <x:c r="B2260" s="66" t="n">
        <x:v>361</x:v>
      </x:c>
      <x:c r="C2260" s="66" t="str">
        <x:v>UNIVERSITAS GADJAH MADA</x:v>
      </x:c>
      <x:c r="D2260" s="66" t="str">
        <x:v>PTN Akademik</x:v>
      </x:c>
      <x:c r="E2260" s="66" t="str">
        <x:v>13611008</x:v>
      </x:c>
      <x:c r="F2260" s="66" t="str">
        <x:v>GIZI</x:v>
      </x:c>
      <x:c r="G2260" s="66" t="str">
        <x:v>Sarjana</x:v>
      </x:c>
      <x:c r="H2260" s="87" t="n">
        <x:v>30</x:v>
      </x:c>
      <x:c r="I2260" s="87" t="n">
        <x:v>652</x:v>
      </x:c>
      <x:c r="J2260" s="68" t="n">
        <x:f>IFERROR(H2260/I2260,"")</x:f>
        <x:v>0.046012269938650305</x:v>
      </x:c>
      <x:c r="K2260" s="69" t="n">
        <x:f>IFERROR(I2260/H2260,"")</x:f>
        <x:v>21.733333333333334</x:v>
      </x:c>
      <x:c r="L2260" s="66" t="str">
        <x:f>IF(K2260="","","1 : "&amp;TEXT(K2260,"0.0"))</x:f>
        <x:v>1 : 21.7</x:v>
      </x:c>
      <x:c r="M2260" s="66" t="str">
        <x:f>IF(J2260="","Baru/Tanpa Data",IF(J2260&lt;='Catatan &amp; Sumber'!$B$14,"Sangat Ketat",IF(J2260&lt;='Catatan &amp; Sumber'!$B$15,"Ketat",IF(J2260&lt;='Catatan &amp; Sumber'!$B$16,"Sedang","Relatif Longgar"))))</x:f>
        <x:v>Ketat</x:v>
      </x:c>
      <x:c r="N2260" s="66" t="str">
        <x:v>Tidak Ada</x:v>
      </x:c>
      <x:c r="O2260" s="66" t="str">
        <x:v>Yogyakarta</x:v>
      </x:c>
      <x:c r="P2260" s="66" t="str">
        <x:v>Kabupaten Sleman</x:v>
      </x:c>
      <x:c r="Q2260" s="66" t="str">
        <x:v>https://snpmb.id/snbp/daya-tampung-snbp</x:v>
      </x:c>
      <x:c r="R2260" s="66" t="str">
        <x:v>https://sidatagrun-public-1076756628210.asia-southeast2.run.app/ptn_sn.php?ptn=361</x:v>
      </x:c>
    </x:row>
    <x:row r="2261">
      <x:c r="A2261" s="87" t="n">
        <x:v>899</x:v>
      </x:c>
      <x:c r="B2261" s="66" t="n">
        <x:v>361</x:v>
      </x:c>
      <x:c r="C2261" s="66" t="str">
        <x:v>UNIVERSITAS GADJAH MADA</x:v>
      </x:c>
      <x:c r="D2261" s="66" t="str">
        <x:v>PTN Akademik</x:v>
      </x:c>
      <x:c r="E2261" s="66" t="str">
        <x:v>13611009</x:v>
      </x:c>
      <x:c r="F2261" s="66" t="str">
        <x:v>KEDOKTERAN GIGI</x:v>
      </x:c>
      <x:c r="G2261" s="66" t="str">
        <x:v>Sarjana</x:v>
      </x:c>
      <x:c r="H2261" s="87" t="n">
        <x:v>45</x:v>
      </x:c>
      <x:c r="I2261" s="87" t="n">
        <x:v>624</x:v>
      </x:c>
      <x:c r="J2261" s="68" t="n">
        <x:f>IFERROR(H2261/I2261,"")</x:f>
        <x:v>0.07211538461538461</x:v>
      </x:c>
      <x:c r="K2261" s="69" t="n">
        <x:f>IFERROR(I2261/H2261,"")</x:f>
        <x:v>13.866666666666667</x:v>
      </x:c>
      <x:c r="L2261" s="66" t="str">
        <x:f>IF(K2261="","","1 : "&amp;TEXT(K2261,"0.0"))</x:f>
        <x:v>1 : 13.9</x:v>
      </x:c>
      <x:c r="M2261" s="66" t="str">
        <x:f>IF(J2261="","Baru/Tanpa Data",IF(J2261&lt;='Catatan &amp; Sumber'!$B$14,"Sangat Ketat",IF(J2261&lt;='Catatan &amp; Sumber'!$B$15,"Ketat",IF(J2261&lt;='Catatan &amp; Sumber'!$B$16,"Sedang","Relatif Longgar"))))</x:f>
        <x:v>Sedang</x:v>
      </x:c>
      <x:c r="N2261" s="66" t="str">
        <x:v>Tidak Ada</x:v>
      </x:c>
      <x:c r="O2261" s="66" t="str">
        <x:v>Yogyakarta</x:v>
      </x:c>
      <x:c r="P2261" s="66" t="str">
        <x:v>Kabupaten Sleman</x:v>
      </x:c>
      <x:c r="Q2261" s="66" t="str">
        <x:v>https://snpmb.id/snbp/daya-tampung-snbp</x:v>
      </x:c>
      <x:c r="R2261" s="66" t="str">
        <x:v>https://sidatagrun-public-1076756628210.asia-southeast2.run.app/ptn_sn.php?ptn=361</x:v>
      </x:c>
    </x:row>
    <x:row r="2262">
      <x:c r="A2262" s="87" t="n">
        <x:v>2026</x:v>
      </x:c>
      <x:c r="B2262" s="66" t="n">
        <x:v>361</x:v>
      </x:c>
      <x:c r="C2262" s="66" t="str">
        <x:v>UNIVERSITAS GADJAH MADA</x:v>
      </x:c>
      <x:c r="D2262" s="66" t="str">
        <x:v>PTN Akademik</x:v>
      </x:c>
      <x:c r="E2262" s="66" t="str">
        <x:v>13611010</x:v>
      </x:c>
      <x:c r="F2262" s="66" t="str">
        <x:v>KEDOKTERAN HEWAN</x:v>
      </x:c>
      <x:c r="G2262" s="66" t="str">
        <x:v>Sarjana</x:v>
      </x:c>
      <x:c r="H2262" s="87" t="n">
        <x:v>60</x:v>
      </x:c>
      <x:c r="I2262" s="87" t="n">
        <x:v>389</x:v>
      </x:c>
      <x:c r="J2262" s="68" t="n">
        <x:f>IFERROR(H2262/I2262,"")</x:f>
        <x:v>0.15424164524421594</x:v>
      </x:c>
      <x:c r="K2262" s="69" t="n">
        <x:f>IFERROR(I2262/H2262,"")</x:f>
        <x:v>6.483333333333333</x:v>
      </x:c>
      <x:c r="L2262" s="66" t="str">
        <x:f>IF(K2262="","","1 : "&amp;TEXT(K2262,"0.0"))</x:f>
        <x:v>1 : 6.5</x:v>
      </x:c>
      <x:c r="M2262" s="66" t="str">
        <x:f>IF(J2262="","Baru/Tanpa Data",IF(J2262&lt;='Catatan &amp; Sumber'!$B$14,"Sangat Ketat",IF(J2262&lt;='Catatan &amp; Sumber'!$B$15,"Ketat",IF(J2262&lt;='Catatan &amp; Sumber'!$B$16,"Sedang","Relatif Longgar"))))</x:f>
        <x:v>Relatif Longgar</x:v>
      </x:c>
      <x:c r="N2262" s="66" t="str">
        <x:v>Tidak Ada</x:v>
      </x:c>
      <x:c r="O2262" s="66" t="str">
        <x:v>Yogyakarta</x:v>
      </x:c>
      <x:c r="P2262" s="66" t="str">
        <x:v>Kabupaten Sleman</x:v>
      </x:c>
      <x:c r="Q2262" s="66" t="str">
        <x:v>https://snpmb.id/snbp/daya-tampung-snbp</x:v>
      </x:c>
      <x:c r="R2262" s="66" t="str">
        <x:v>https://sidatagrun-public-1076756628210.asia-southeast2.run.app/ptn_sn.php?ptn=361</x:v>
      </x:c>
    </x:row>
    <x:row r="2263">
      <x:c r="A2263" s="87" t="n">
        <x:v>1903</x:v>
      </x:c>
      <x:c r="B2263" s="66" t="n">
        <x:v>361</x:v>
      </x:c>
      <x:c r="C2263" s="66" t="str">
        <x:v>UNIVERSITAS GADJAH MADA</x:v>
      </x:c>
      <x:c r="D2263" s="66" t="str">
        <x:v>PTN Akademik</x:v>
      </x:c>
      <x:c r="E2263" s="66" t="str">
        <x:v>13611011</x:v>
      </x:c>
      <x:c r="F2263" s="66" t="str">
        <x:v>FISIKA</x:v>
      </x:c>
      <x:c r="G2263" s="66" t="str">
        <x:v>Sarjana</x:v>
      </x:c>
      <x:c r="H2263" s="87" t="n">
        <x:v>21</x:v>
      </x:c>
      <x:c r="I2263" s="87" t="n">
        <x:v>149</x:v>
      </x:c>
      <x:c r="J2263" s="68" t="n">
        <x:f>IFERROR(H2263/I2263,"")</x:f>
        <x:v>0.14093959731543623</x:v>
      </x:c>
      <x:c r="K2263" s="69" t="n">
        <x:f>IFERROR(I2263/H2263,"")</x:f>
        <x:v>7.095238095238095</x:v>
      </x:c>
      <x:c r="L2263" s="66" t="str">
        <x:f>IF(K2263="","","1 : "&amp;TEXT(K2263,"0.0"))</x:f>
        <x:v>1 : 7.1</x:v>
      </x:c>
      <x:c r="M2263" s="66" t="str">
        <x:f>IF(J2263="","Baru/Tanpa Data",IF(J2263&lt;='Catatan &amp; Sumber'!$B$14,"Sangat Ketat",IF(J2263&lt;='Catatan &amp; Sumber'!$B$15,"Ketat",IF(J2263&lt;='Catatan &amp; Sumber'!$B$16,"Sedang","Relatif Longgar"))))</x:f>
        <x:v>Relatif Longgar</x:v>
      </x:c>
      <x:c r="N2263" s="66" t="str">
        <x:v>Tidak Ada</x:v>
      </x:c>
      <x:c r="O2263" s="66" t="str">
        <x:v>Yogyakarta</x:v>
      </x:c>
      <x:c r="P2263" s="66" t="str">
        <x:v>Kabupaten Sleman</x:v>
      </x:c>
      <x:c r="Q2263" s="66" t="str">
        <x:v>https://snpmb.id/snbp/daya-tampung-snbp</x:v>
      </x:c>
      <x:c r="R2263" s="66" t="str">
        <x:v>https://sidatagrun-public-1076756628210.asia-southeast2.run.app/ptn_sn.php?ptn=361</x:v>
      </x:c>
    </x:row>
    <x:row r="2264">
      <x:c r="A2264" s="87" t="n">
        <x:v>2167</x:v>
      </x:c>
      <x:c r="B2264" s="66" t="n">
        <x:v>361</x:v>
      </x:c>
      <x:c r="C2264" s="66" t="str">
        <x:v>UNIVERSITAS GADJAH MADA</x:v>
      </x:c>
      <x:c r="D2264" s="66" t="str">
        <x:v>PTN Akademik</x:v>
      </x:c>
      <x:c r="E2264" s="66" t="str">
        <x:v>13611012</x:v>
      </x:c>
      <x:c r="F2264" s="66" t="str">
        <x:v>KIMIA</x:v>
      </x:c>
      <x:c r="G2264" s="66" t="str">
        <x:v>Sarjana</x:v>
      </x:c>
      <x:c r="H2264" s="87" t="n">
        <x:v>45</x:v>
      </x:c>
      <x:c r="I2264" s="87" t="n">
        <x:v>267</x:v>
      </x:c>
      <x:c r="J2264" s="68" t="n">
        <x:f>IFERROR(H2264/I2264,"")</x:f>
        <x:v>0.16853932584269662</x:v>
      </x:c>
      <x:c r="K2264" s="69" t="n">
        <x:f>IFERROR(I2264/H2264,"")</x:f>
        <x:v>5.933333333333334</x:v>
      </x:c>
      <x:c r="L2264" s="66" t="str">
        <x:f>IF(K2264="","","1 : "&amp;TEXT(K2264,"0.0"))</x:f>
        <x:v>1 : 5.9</x:v>
      </x:c>
      <x:c r="M2264" s="66" t="str">
        <x:f>IF(J2264="","Baru/Tanpa Data",IF(J2264&lt;='Catatan &amp; Sumber'!$B$14,"Sangat Ketat",IF(J2264&lt;='Catatan &amp; Sumber'!$B$15,"Ketat",IF(J2264&lt;='Catatan &amp; Sumber'!$B$16,"Sedang","Relatif Longgar"))))</x:f>
        <x:v>Relatif Longgar</x:v>
      </x:c>
      <x:c r="N2264" s="66" t="str">
        <x:v>Tidak Ada</x:v>
      </x:c>
      <x:c r="O2264" s="66" t="str">
        <x:v>Yogyakarta</x:v>
      </x:c>
      <x:c r="P2264" s="66" t="str">
        <x:v>Kabupaten Sleman</x:v>
      </x:c>
      <x:c r="Q2264" s="66" t="str">
        <x:v>https://snpmb.id/snbp/daya-tampung-snbp</x:v>
      </x:c>
      <x:c r="R2264" s="66" t="str">
        <x:v>https://sidatagrun-public-1076756628210.asia-southeast2.run.app/ptn_sn.php?ptn=361</x:v>
      </x:c>
    </x:row>
    <x:row r="2265">
      <x:c r="A2265" s="87" t="n">
        <x:v>1311</x:v>
      </x:c>
      <x:c r="B2265" s="66" t="n">
        <x:v>361</x:v>
      </x:c>
      <x:c r="C2265" s="66" t="str">
        <x:v>UNIVERSITAS GADJAH MADA</x:v>
      </x:c>
      <x:c r="D2265" s="66" t="str">
        <x:v>PTN Akademik</x:v>
      </x:c>
      <x:c r="E2265" s="66" t="str">
        <x:v>13611013</x:v>
      </x:c>
      <x:c r="F2265" s="66" t="str">
        <x:v>MATEMATIKA</x:v>
      </x:c>
      <x:c r="G2265" s="66" t="str">
        <x:v>Sarjana</x:v>
      </x:c>
      <x:c r="H2265" s="87" t="n">
        <x:v>20</x:v>
      </x:c>
      <x:c r="I2265" s="87" t="n">
        <x:v>208</x:v>
      </x:c>
      <x:c r="J2265" s="68" t="n">
        <x:f>IFERROR(H2265/I2265,"")</x:f>
        <x:v>0.09615384615384616</x:v>
      </x:c>
      <x:c r="K2265" s="69" t="n">
        <x:f>IFERROR(I2265/H2265,"")</x:f>
        <x:v>10.4</x:v>
      </x:c>
      <x:c r="L2265" s="66" t="str">
        <x:f>IF(K2265="","","1 : "&amp;TEXT(K2265,"0.0"))</x:f>
        <x:v>1 : 10.4</x:v>
      </x:c>
      <x:c r="M2265" s="66" t="str">
        <x:f>IF(J2265="","Baru/Tanpa Data",IF(J2265&lt;='Catatan &amp; Sumber'!$B$14,"Sangat Ketat",IF(J2265&lt;='Catatan &amp; Sumber'!$B$15,"Ketat",IF(J2265&lt;='Catatan &amp; Sumber'!$B$16,"Sedang","Relatif Longgar"))))</x:f>
        <x:v>Sedang</x:v>
      </x:c>
      <x:c r="N2265" s="66" t="str">
        <x:v>Tidak Ada</x:v>
      </x:c>
      <x:c r="O2265" s="66" t="str">
        <x:v>Yogyakarta</x:v>
      </x:c>
      <x:c r="P2265" s="66" t="str">
        <x:v>Kabupaten Sleman</x:v>
      </x:c>
      <x:c r="Q2265" s="66" t="str">
        <x:v>https://snpmb.id/snbp/daya-tampung-snbp</x:v>
      </x:c>
      <x:c r="R2265" s="66" t="str">
        <x:v>https://sidatagrun-public-1076756628210.asia-southeast2.run.app/ptn_sn.php?ptn=361</x:v>
      </x:c>
    </x:row>
    <x:row r="2266">
      <x:c r="A2266" s="87" t="n">
        <x:v>246</x:v>
      </x:c>
      <x:c r="B2266" s="66" t="n">
        <x:v>361</x:v>
      </x:c>
      <x:c r="C2266" s="66" t="str">
        <x:v>UNIVERSITAS GADJAH MADA</x:v>
      </x:c>
      <x:c r="D2266" s="66" t="str">
        <x:v>PTN Akademik</x:v>
      </x:c>
      <x:c r="E2266" s="66" t="str">
        <x:v>13611014</x:v>
      </x:c>
      <x:c r="F2266" s="66" t="str">
        <x:v>ILMU KOMPUTER</x:v>
      </x:c>
      <x:c r="G2266" s="66" t="str">
        <x:v>Sarjana</x:v>
      </x:c>
      <x:c r="H2266" s="87" t="n">
        <x:v>27</x:v>
      </x:c>
      <x:c r="I2266" s="87" t="n">
        <x:v>684</x:v>
      </x:c>
      <x:c r="J2266" s="68" t="n">
        <x:f>IFERROR(H2266/I2266,"")</x:f>
        <x:v>0.039473684210526314</x:v>
      </x:c>
      <x:c r="K2266" s="69" t="n">
        <x:f>IFERROR(I2266/H2266,"")</x:f>
        <x:v>25.333333333333332</x:v>
      </x:c>
      <x:c r="L2266" s="66" t="str">
        <x:f>IF(K2266="","","1 : "&amp;TEXT(K2266,"0.0"))</x:f>
        <x:v>1 : 25.3</x:v>
      </x:c>
      <x:c r="M2266" s="66" t="str">
        <x:f>IF(J2266="","Baru/Tanpa Data",IF(J2266&lt;='Catatan &amp; Sumber'!$B$14,"Sangat Ketat",IF(J2266&lt;='Catatan &amp; Sumber'!$B$15,"Ketat",IF(J2266&lt;='Catatan &amp; Sumber'!$B$16,"Sedang","Relatif Longgar"))))</x:f>
        <x:v>Ketat</x:v>
      </x:c>
      <x:c r="N2266" s="66" t="str">
        <x:v>Tidak Ada</x:v>
      </x:c>
      <x:c r="O2266" s="66" t="str">
        <x:v>Yogyakarta</x:v>
      </x:c>
      <x:c r="P2266" s="66" t="str">
        <x:v>Kabupaten Sleman</x:v>
      </x:c>
      <x:c r="Q2266" s="66" t="str">
        <x:v>https://snpmb.id/snbp/daya-tampung-snbp</x:v>
      </x:c>
      <x:c r="R2266" s="66" t="str">
        <x:v>https://sidatagrun-public-1076756628210.asia-southeast2.run.app/ptn_sn.php?ptn=361</x:v>
      </x:c>
    </x:row>
    <x:row r="2267">
      <x:c r="A2267" s="87" t="n">
        <x:v>752</x:v>
      </x:c>
      <x:c r="B2267" s="66" t="n">
        <x:v>361</x:v>
      </x:c>
      <x:c r="C2267" s="66" t="str">
        <x:v>UNIVERSITAS GADJAH MADA</x:v>
      </x:c>
      <x:c r="D2267" s="66" t="str">
        <x:v>PTN Akademik</x:v>
      </x:c>
      <x:c r="E2267" s="66" t="str">
        <x:v>13611015</x:v>
      </x:c>
      <x:c r="F2267" s="66" t="str">
        <x:v>STATISTIKA</x:v>
      </x:c>
      <x:c r="G2267" s="66" t="str">
        <x:v>Sarjana</x:v>
      </x:c>
      <x:c r="H2267" s="87" t="n">
        <x:v>20</x:v>
      </x:c>
      <x:c r="I2267" s="87" t="n">
        <x:v>309</x:v>
      </x:c>
      <x:c r="J2267" s="68" t="n">
        <x:f>IFERROR(H2267/I2267,"")</x:f>
        <x:v>0.06472491909385113</x:v>
      </x:c>
      <x:c r="K2267" s="69" t="n">
        <x:f>IFERROR(I2267/H2267,"")</x:f>
        <x:v>15.45</x:v>
      </x:c>
      <x:c r="L2267" s="66" t="str">
        <x:f>IF(K2267="","","1 : "&amp;TEXT(K2267,"0.0"))</x:f>
        <x:v>1 : 15.5</x:v>
      </x:c>
      <x:c r="M2267" s="66" t="str">
        <x:f>IF(J2267="","Baru/Tanpa Data",IF(J2267&lt;='Catatan &amp; Sumber'!$B$14,"Sangat Ketat",IF(J2267&lt;='Catatan &amp; Sumber'!$B$15,"Ketat",IF(J2267&lt;='Catatan &amp; Sumber'!$B$16,"Sedang","Relatif Longgar"))))</x:f>
        <x:v>Sedang</x:v>
      </x:c>
      <x:c r="N2267" s="66" t="str">
        <x:v>Tidak Ada</x:v>
      </x:c>
      <x:c r="O2267" s="66" t="str">
        <x:v>Yogyakarta</x:v>
      </x:c>
      <x:c r="P2267" s="66" t="str">
        <x:v>Kabupaten Sleman</x:v>
      </x:c>
      <x:c r="Q2267" s="66" t="str">
        <x:v>https://snpmb.id/snbp/daya-tampung-snbp</x:v>
      </x:c>
      <x:c r="R2267" s="66" t="str">
        <x:v>https://sidatagrun-public-1076756628210.asia-southeast2.run.app/ptn_sn.php?ptn=361</x:v>
      </x:c>
    </x:row>
    <x:row r="2268">
      <x:c r="A2268" s="87" t="n">
        <x:v>1367</x:v>
      </x:c>
      <x:c r="B2268" s="66" t="n">
        <x:v>361</x:v>
      </x:c>
      <x:c r="C2268" s="66" t="str">
        <x:v>UNIVERSITAS GADJAH MADA</x:v>
      </x:c>
      <x:c r="D2268" s="66" t="str">
        <x:v>PTN Akademik</x:v>
      </x:c>
      <x:c r="E2268" s="66" t="str">
        <x:v>13611016</x:v>
      </x:c>
      <x:c r="F2268" s="66" t="str">
        <x:v>GEOFISIKA</x:v>
      </x:c>
      <x:c r="G2268" s="66" t="str">
        <x:v>Sarjana</x:v>
      </x:c>
      <x:c r="H2268" s="87" t="n">
        <x:v>21</x:v>
      </x:c>
      <x:c r="I2268" s="87" t="n">
        <x:v>211</x:v>
      </x:c>
      <x:c r="J2268" s="68" t="n">
        <x:f>IFERROR(H2268/I2268,"")</x:f>
        <x:v>0.0995260663507109</x:v>
      </x:c>
      <x:c r="K2268" s="69" t="n">
        <x:f>IFERROR(I2268/H2268,"")</x:f>
        <x:v>10.047619047619047</x:v>
      </x:c>
      <x:c r="L2268" s="66" t="str">
        <x:f>IF(K2268="","","1 : "&amp;TEXT(K2268,"0.0"))</x:f>
        <x:v>1 : 10.0</x:v>
      </x:c>
      <x:c r="M2268" s="66" t="str">
        <x:f>IF(J2268="","Baru/Tanpa Data",IF(J2268&lt;='Catatan &amp; Sumber'!$B$14,"Sangat Ketat",IF(J2268&lt;='Catatan &amp; Sumber'!$B$15,"Ketat",IF(J2268&lt;='Catatan &amp; Sumber'!$B$16,"Sedang","Relatif Longgar"))))</x:f>
        <x:v>Sedang</x:v>
      </x:c>
      <x:c r="N2268" s="66" t="str">
        <x:v>Tidak Ada</x:v>
      </x:c>
      <x:c r="O2268" s="66" t="str">
        <x:v>Yogyakarta</x:v>
      </x:c>
      <x:c r="P2268" s="66" t="str">
        <x:v>Kabupaten Sleman</x:v>
      </x:c>
      <x:c r="Q2268" s="66" t="str">
        <x:v>https://snpmb.id/snbp/daya-tampung-snbp</x:v>
      </x:c>
      <x:c r="R2268" s="66" t="str">
        <x:v>https://sidatagrun-public-1076756628210.asia-southeast2.run.app/ptn_sn.php?ptn=361</x:v>
      </x:c>
    </x:row>
    <x:row r="2269">
      <x:c r="A2269" s="87" t="n">
        <x:v>1944</x:v>
      </x:c>
      <x:c r="B2269" s="66" t="n">
        <x:v>361</x:v>
      </x:c>
      <x:c r="C2269" s="66" t="str">
        <x:v>UNIVERSITAS GADJAH MADA</x:v>
      </x:c>
      <x:c r="D2269" s="66" t="str">
        <x:v>PTN Akademik</x:v>
      </x:c>
      <x:c r="E2269" s="66" t="str">
        <x:v>13611017</x:v>
      </x:c>
      <x:c r="F2269" s="66" t="str">
        <x:v>ELEKTRONIKA DAN INSTRUMENTASI</x:v>
      </x:c>
      <x:c r="G2269" s="66" t="str">
        <x:v>Sarjana</x:v>
      </x:c>
      <x:c r="H2269" s="87" t="n">
        <x:v>27</x:v>
      </x:c>
      <x:c r="I2269" s="87" t="n">
        <x:v>185</x:v>
      </x:c>
      <x:c r="J2269" s="68" t="n">
        <x:f>IFERROR(H2269/I2269,"")</x:f>
        <x:v>0.14594594594594595</x:v>
      </x:c>
      <x:c r="K2269" s="69" t="n">
        <x:f>IFERROR(I2269/H2269,"")</x:f>
        <x:v>6.851851851851852</x:v>
      </x:c>
      <x:c r="L2269" s="66" t="str">
        <x:f>IF(K2269="","","1 : "&amp;TEXT(K2269,"0.0"))</x:f>
        <x:v>1 : 6.9</x:v>
      </x:c>
      <x:c r="M2269" s="66" t="str">
        <x:f>IF(J2269="","Baru/Tanpa Data",IF(J2269&lt;='Catatan &amp; Sumber'!$B$14,"Sangat Ketat",IF(J2269&lt;='Catatan &amp; Sumber'!$B$15,"Ketat",IF(J2269&lt;='Catatan &amp; Sumber'!$B$16,"Sedang","Relatif Longgar"))))</x:f>
        <x:v>Relatif Longgar</x:v>
      </x:c>
      <x:c r="N2269" s="66" t="str">
        <x:v>Tidak Ada</x:v>
      </x:c>
      <x:c r="O2269" s="66" t="str">
        <x:v>Yogyakarta</x:v>
      </x:c>
      <x:c r="P2269" s="66" t="str">
        <x:v>Kabupaten Sleman</x:v>
      </x:c>
      <x:c r="Q2269" s="66" t="str">
        <x:v>https://snpmb.id/snbp/daya-tampung-snbp</x:v>
      </x:c>
      <x:c r="R2269" s="66" t="str">
        <x:v>https://sidatagrun-public-1076756628210.asia-southeast2.run.app/ptn_sn.php?ptn=361</x:v>
      </x:c>
    </x:row>
    <x:row r="2270">
      <x:c r="A2270" s="87" t="n">
        <x:v>2106</x:v>
      </x:c>
      <x:c r="B2270" s="66" t="n">
        <x:v>361</x:v>
      </x:c>
      <x:c r="C2270" s="66" t="str">
        <x:v>UNIVERSITAS GADJAH MADA</x:v>
      </x:c>
      <x:c r="D2270" s="66" t="str">
        <x:v>PTN Akademik</x:v>
      </x:c>
      <x:c r="E2270" s="66" t="str">
        <x:v>13611018</x:v>
      </x:c>
      <x:c r="F2270" s="66" t="str">
        <x:v>AGRONOMI</x:v>
      </x:c>
      <x:c r="G2270" s="66" t="str">
        <x:v>Sarjana</x:v>
      </x:c>
      <x:c r="H2270" s="87" t="n">
        <x:v>24</x:v>
      </x:c>
      <x:c r="I2270" s="87" t="n">
        <x:v>148</x:v>
      </x:c>
      <x:c r="J2270" s="68" t="n">
        <x:f>IFERROR(H2270/I2270,"")</x:f>
        <x:v>0.16216216216216217</x:v>
      </x:c>
      <x:c r="K2270" s="69" t="n">
        <x:f>IFERROR(I2270/H2270,"")</x:f>
        <x:v>6.166666666666667</x:v>
      </x:c>
      <x:c r="L2270" s="66" t="str">
        <x:f>IF(K2270="","","1 : "&amp;TEXT(K2270,"0.0"))</x:f>
        <x:v>1 : 6.2</x:v>
      </x:c>
      <x:c r="M2270" s="66" t="str">
        <x:f>IF(J2270="","Baru/Tanpa Data",IF(J2270&lt;='Catatan &amp; Sumber'!$B$14,"Sangat Ketat",IF(J2270&lt;='Catatan &amp; Sumber'!$B$15,"Ketat",IF(J2270&lt;='Catatan &amp; Sumber'!$B$16,"Sedang","Relatif Longgar"))))</x:f>
        <x:v>Relatif Longgar</x:v>
      </x:c>
      <x:c r="N2270" s="66" t="str">
        <x:v>Tidak Ada</x:v>
      </x:c>
      <x:c r="O2270" s="66" t="str">
        <x:v>Yogyakarta</x:v>
      </x:c>
      <x:c r="P2270" s="66" t="str">
        <x:v>Kabupaten Sleman</x:v>
      </x:c>
      <x:c r="Q2270" s="66" t="str">
        <x:v>https://snpmb.id/snbp/daya-tampung-snbp</x:v>
      </x:c>
      <x:c r="R2270" s="66" t="str">
        <x:v>https://sidatagrun-public-1076756628210.asia-southeast2.run.app/ptn_sn.php?ptn=361</x:v>
      </x:c>
    </x:row>
    <x:row r="2271">
      <x:c r="A2271" s="87" t="n">
        <x:v>1864</x:v>
      </x:c>
      <x:c r="B2271" s="66" t="n">
        <x:v>361</x:v>
      </x:c>
      <x:c r="C2271" s="66" t="str">
        <x:v>UNIVERSITAS GADJAH MADA</x:v>
      </x:c>
      <x:c r="D2271" s="66" t="str">
        <x:v>PTN Akademik</x:v>
      </x:c>
      <x:c r="E2271" s="66" t="str">
        <x:v>13611020</x:v>
      </x:c>
      <x:c r="F2271" s="66" t="str">
        <x:v>ILMU TANAH</x:v>
      </x:c>
      <x:c r="G2271" s="66" t="str">
        <x:v>Sarjana</x:v>
      </x:c>
      <x:c r="H2271" s="87" t="n">
        <x:v>23</x:v>
      </x:c>
      <x:c r="I2271" s="87" t="n">
        <x:v>167</x:v>
      </x:c>
      <x:c r="J2271" s="68" t="n">
        <x:f>IFERROR(H2271/I2271,"")</x:f>
        <x:v>0.1377245508982036</x:v>
      </x:c>
      <x:c r="K2271" s="69" t="n">
        <x:f>IFERROR(I2271/H2271,"")</x:f>
        <x:v>7.260869565217392</x:v>
      </x:c>
      <x:c r="L2271" s="66" t="str">
        <x:f>IF(K2271="","","1 : "&amp;TEXT(K2271,"0.0"))</x:f>
        <x:v>1 : 7.3</x:v>
      </x:c>
      <x:c r="M2271" s="66" t="str">
        <x:f>IF(J2271="","Baru/Tanpa Data",IF(J2271&lt;='Catatan &amp; Sumber'!$B$14,"Sangat Ketat",IF(J2271&lt;='Catatan &amp; Sumber'!$B$15,"Ketat",IF(J2271&lt;='Catatan &amp; Sumber'!$B$16,"Sedang","Relatif Longgar"))))</x:f>
        <x:v>Relatif Longgar</x:v>
      </x:c>
      <x:c r="N2271" s="66" t="str">
        <x:v>Tidak Ada</x:v>
      </x:c>
      <x:c r="O2271" s="66" t="str">
        <x:v>Yogyakarta</x:v>
      </x:c>
      <x:c r="P2271" s="66" t="str">
        <x:v>Kabupaten Sleman</x:v>
      </x:c>
      <x:c r="Q2271" s="66" t="str">
        <x:v>https://snpmb.id/snbp/daya-tampung-snbp</x:v>
      </x:c>
      <x:c r="R2271" s="66" t="str">
        <x:v>https://sidatagrun-public-1076756628210.asia-southeast2.run.app/ptn_sn.php?ptn=361</x:v>
      </x:c>
    </x:row>
    <x:row r="2272">
      <x:c r="A2272" s="87" t="n">
        <x:v>1564</x:v>
      </x:c>
      <x:c r="B2272" s="66" t="n">
        <x:v>361</x:v>
      </x:c>
      <x:c r="C2272" s="66" t="str">
        <x:v>UNIVERSITAS GADJAH MADA</x:v>
      </x:c>
      <x:c r="D2272" s="66" t="str">
        <x:v>PTN Akademik</x:v>
      </x:c>
      <x:c r="E2272" s="66" t="str">
        <x:v>13611021</x:v>
      </x:c>
      <x:c r="F2272" s="66" t="str">
        <x:v>EKONOMI PERTANIAN DAN AGRIBISNIS</x:v>
      </x:c>
      <x:c r="G2272" s="66" t="str">
        <x:v>Sarjana</x:v>
      </x:c>
      <x:c r="H2272" s="87" t="n">
        <x:v>27</x:v>
      </x:c>
      <x:c r="I2272" s="87" t="n">
        <x:v>237</x:v>
      </x:c>
      <x:c r="J2272" s="68" t="n">
        <x:f>IFERROR(H2272/I2272,"")</x:f>
        <x:v>0.11392405063291139</x:v>
      </x:c>
      <x:c r="K2272" s="69" t="n">
        <x:f>IFERROR(I2272/H2272,"")</x:f>
        <x:v>8.777777777777779</x:v>
      </x:c>
      <x:c r="L2272" s="66" t="str">
        <x:f>IF(K2272="","","1 : "&amp;TEXT(K2272,"0.0"))</x:f>
        <x:v>1 : 8.8</x:v>
      </x:c>
      <x:c r="M2272" s="66" t="str">
        <x:f>IF(J2272="","Baru/Tanpa Data",IF(J2272&lt;='Catatan &amp; Sumber'!$B$14,"Sangat Ketat",IF(J2272&lt;='Catatan &amp; Sumber'!$B$15,"Ketat",IF(J2272&lt;='Catatan &amp; Sumber'!$B$16,"Sedang","Relatif Longgar"))))</x:f>
        <x:v>Relatif Longgar</x:v>
      </x:c>
      <x:c r="N2272" s="66" t="str">
        <x:v>Tidak Ada</x:v>
      </x:c>
      <x:c r="O2272" s="66" t="str">
        <x:v>Yogyakarta</x:v>
      </x:c>
      <x:c r="P2272" s="66" t="str">
        <x:v>Kabupaten Sleman</x:v>
      </x:c>
      <x:c r="Q2272" s="66" t="str">
        <x:v>https://snpmb.id/snbp/daya-tampung-snbp</x:v>
      </x:c>
      <x:c r="R2272" s="66" t="str">
        <x:v>https://sidatagrun-public-1076756628210.asia-southeast2.run.app/ptn_sn.php?ptn=361</x:v>
      </x:c>
    </x:row>
    <x:row r="2273">
      <x:c r="A2273" s="87" t="n">
        <x:v>1411</x:v>
      </x:c>
      <x:c r="B2273" s="66" t="n">
        <x:v>361</x:v>
      </x:c>
      <x:c r="C2273" s="66" t="str">
        <x:v>UNIVERSITAS GADJAH MADA</x:v>
      </x:c>
      <x:c r="D2273" s="66" t="str">
        <x:v>PTN Akademik</x:v>
      </x:c>
      <x:c r="E2273" s="66" t="str">
        <x:v>13611022</x:v>
      </x:c>
      <x:c r="F2273" s="66" t="str">
        <x:v>PROTEKSI TANAMAN (ILMU HAMA DAN PENYAKIT TUMBUHAN)</x:v>
      </x:c>
      <x:c r="G2273" s="66" t="str">
        <x:v>Sarjana</x:v>
      </x:c>
      <x:c r="H2273" s="87" t="n">
        <x:v>23</x:v>
      </x:c>
      <x:c r="I2273" s="87" t="n">
        <x:v>223</x:v>
      </x:c>
      <x:c r="J2273" s="68" t="n">
        <x:f>IFERROR(H2273/I2273,"")</x:f>
        <x:v>0.1031390134529148</x:v>
      </x:c>
      <x:c r="K2273" s="69" t="n">
        <x:f>IFERROR(I2273/H2273,"")</x:f>
        <x:v>9.695652173913043</x:v>
      </x:c>
      <x:c r="L2273" s="66" t="str">
        <x:f>IF(K2273="","","1 : "&amp;TEXT(K2273,"0.0"))</x:f>
        <x:v>1 : 9.7</x:v>
      </x:c>
      <x:c r="M2273" s="66" t="str">
        <x:f>IF(J2273="","Baru/Tanpa Data",IF(J2273&lt;='Catatan &amp; Sumber'!$B$14,"Sangat Ketat",IF(J2273&lt;='Catatan &amp; Sumber'!$B$15,"Ketat",IF(J2273&lt;='Catatan &amp; Sumber'!$B$16,"Sedang","Relatif Longgar"))))</x:f>
        <x:v>Relatif Longgar</x:v>
      </x:c>
      <x:c r="N2273" s="66" t="str">
        <x:v>Tidak Ada</x:v>
      </x:c>
      <x:c r="O2273" s="66" t="str">
        <x:v>Yogyakarta</x:v>
      </x:c>
      <x:c r="P2273" s="66" t="str">
        <x:v>Kabupaten Sleman</x:v>
      </x:c>
      <x:c r="Q2273" s="66" t="str">
        <x:v>https://snpmb.id/snbp/daya-tampung-snbp</x:v>
      </x:c>
      <x:c r="R2273" s="66" t="str">
        <x:v>https://sidatagrun-public-1076756628210.asia-southeast2.run.app/ptn_sn.php?ptn=361</x:v>
      </x:c>
    </x:row>
    <x:row r="2274">
      <x:c r="A2274" s="87" t="n">
        <x:v>1306</x:v>
      </x:c>
      <x:c r="B2274" s="66" t="n">
        <x:v>361</x:v>
      </x:c>
      <x:c r="C2274" s="66" t="str">
        <x:v>UNIVERSITAS GADJAH MADA</x:v>
      </x:c>
      <x:c r="D2274" s="66" t="str">
        <x:v>PTN Akademik</x:v>
      </x:c>
      <x:c r="E2274" s="66" t="str">
        <x:v>13611023</x:v>
      </x:c>
      <x:c r="F2274" s="66" t="str">
        <x:v>PENYULUHAN DAN KOMUNIKASI PERTANIAN</x:v>
      </x:c>
      <x:c r="G2274" s="66" t="str">
        <x:v>Sarjana</x:v>
      </x:c>
      <x:c r="H2274" s="87" t="n">
        <x:v>9</x:v>
      </x:c>
      <x:c r="I2274" s="87" t="n">
        <x:v>94</x:v>
      </x:c>
      <x:c r="J2274" s="68" t="n">
        <x:f>IFERROR(H2274/I2274,"")</x:f>
        <x:v>0.09574468085106383</x:v>
      </x:c>
      <x:c r="K2274" s="69" t="n">
        <x:f>IFERROR(I2274/H2274,"")</x:f>
        <x:v>10.444444444444445</x:v>
      </x:c>
      <x:c r="L2274" s="66" t="str">
        <x:f>IF(K2274="","","1 : "&amp;TEXT(K2274,"0.0"))</x:f>
        <x:v>1 : 10.4</x:v>
      </x:c>
      <x:c r="M2274" s="66" t="str">
        <x:f>IF(J2274="","Baru/Tanpa Data",IF(J2274&lt;='Catatan &amp; Sumber'!$B$14,"Sangat Ketat",IF(J2274&lt;='Catatan &amp; Sumber'!$B$15,"Ketat",IF(J2274&lt;='Catatan &amp; Sumber'!$B$16,"Sedang","Relatif Longgar"))))</x:f>
        <x:v>Sedang</x:v>
      </x:c>
      <x:c r="N2274" s="66" t="str">
        <x:v>Tidak Ada</x:v>
      </x:c>
      <x:c r="O2274" s="66" t="str">
        <x:v>Yogyakarta</x:v>
      </x:c>
      <x:c r="P2274" s="66" t="str">
        <x:v>Kabupaten Sleman</x:v>
      </x:c>
      <x:c r="Q2274" s="66" t="str">
        <x:v>https://snpmb.id/snbp/daya-tampung-snbp</x:v>
      </x:c>
      <x:c r="R2274" s="66" t="str">
        <x:v>https://sidatagrun-public-1076756628210.asia-southeast2.run.app/ptn_sn.php?ptn=361</x:v>
      </x:c>
    </x:row>
    <x:row r="2275">
      <x:c r="A2275" s="87" t="n">
        <x:v>2396</x:v>
      </x:c>
      <x:c r="B2275" s="66" t="n">
        <x:v>361</x:v>
      </x:c>
      <x:c r="C2275" s="66" t="str">
        <x:v>UNIVERSITAS GADJAH MADA</x:v>
      </x:c>
      <x:c r="D2275" s="66" t="str">
        <x:v>PTN Akademik</x:v>
      </x:c>
      <x:c r="E2275" s="66" t="str">
        <x:v>13611024</x:v>
      </x:c>
      <x:c r="F2275" s="66" t="str">
        <x:v>AKUAKULTUR (BUDIDAYA PERIKANAN)</x:v>
      </x:c>
      <x:c r="G2275" s="66" t="str">
        <x:v>Sarjana</x:v>
      </x:c>
      <x:c r="H2275" s="87" t="n">
        <x:v>23</x:v>
      </x:c>
      <x:c r="I2275" s="87" t="n">
        <x:v>118</x:v>
      </x:c>
      <x:c r="J2275" s="68" t="n">
        <x:f>IFERROR(H2275/I2275,"")</x:f>
        <x:v>0.19491525423728814</x:v>
      </x:c>
      <x:c r="K2275" s="69" t="n">
        <x:f>IFERROR(I2275/H2275,"")</x:f>
        <x:v>5.130434782608695</x:v>
      </x:c>
      <x:c r="L2275" s="66" t="str">
        <x:f>IF(K2275="","","1 : "&amp;TEXT(K2275,"0.0"))</x:f>
        <x:v>1 : 5.1</x:v>
      </x:c>
      <x:c r="M2275" s="66" t="str">
        <x:f>IF(J2275="","Baru/Tanpa Data",IF(J2275&lt;='Catatan &amp; Sumber'!$B$14,"Sangat Ketat",IF(J2275&lt;='Catatan &amp; Sumber'!$B$15,"Ketat",IF(J2275&lt;='Catatan &amp; Sumber'!$B$16,"Sedang","Relatif Longgar"))))</x:f>
        <x:v>Relatif Longgar</x:v>
      </x:c>
      <x:c r="N2275" s="66" t="str">
        <x:v>Tidak Ada</x:v>
      </x:c>
      <x:c r="O2275" s="66" t="str">
        <x:v>Yogyakarta</x:v>
      </x:c>
      <x:c r="P2275" s="66" t="str">
        <x:v>Kabupaten Sleman</x:v>
      </x:c>
      <x:c r="Q2275" s="66" t="str">
        <x:v>https://snpmb.id/snbp/daya-tampung-snbp</x:v>
      </x:c>
      <x:c r="R2275" s="66" t="str">
        <x:v>https://sidatagrun-public-1076756628210.asia-southeast2.run.app/ptn_sn.php?ptn=361</x:v>
      </x:c>
    </x:row>
    <x:row r="2276">
      <x:c r="A2276" s="87" t="n">
        <x:v>2151</x:v>
      </x:c>
      <x:c r="B2276" s="66" t="n">
        <x:v>361</x:v>
      </x:c>
      <x:c r="C2276" s="66" t="str">
        <x:v>UNIVERSITAS GADJAH MADA</x:v>
      </x:c>
      <x:c r="D2276" s="66" t="str">
        <x:v>PTN Akademik</x:v>
      </x:c>
      <x:c r="E2276" s="66" t="str">
        <x:v>13611025</x:v>
      </x:c>
      <x:c r="F2276" s="66" t="str">
        <x:v>TEKNOLOGI HASIL PERIKANAN</x:v>
      </x:c>
      <x:c r="G2276" s="66" t="str">
        <x:v>Sarjana</x:v>
      </x:c>
      <x:c r="H2276" s="87" t="n">
        <x:v>23</x:v>
      </x:c>
      <x:c r="I2276" s="87" t="n">
        <x:v>138</x:v>
      </x:c>
      <x:c r="J2276" s="68" t="n">
        <x:f>IFERROR(H2276/I2276,"")</x:f>
        <x:v>0.16666666666666666</x:v>
      </x:c>
      <x:c r="K2276" s="69" t="n">
        <x:f>IFERROR(I2276/H2276,"")</x:f>
        <x:v>6</x:v>
      </x:c>
      <x:c r="L2276" s="66" t="str">
        <x:f>IF(K2276="","","1 : "&amp;TEXT(K2276,"0.0"))</x:f>
        <x:v>1 : 6.0</x:v>
      </x:c>
      <x:c r="M2276" s="66" t="str">
        <x:f>IF(J2276="","Baru/Tanpa Data",IF(J2276&lt;='Catatan &amp; Sumber'!$B$14,"Sangat Ketat",IF(J2276&lt;='Catatan &amp; Sumber'!$B$15,"Ketat",IF(J2276&lt;='Catatan &amp; Sumber'!$B$16,"Sedang","Relatif Longgar"))))</x:f>
        <x:v>Relatif Longgar</x:v>
      </x:c>
      <x:c r="N2276" s="66" t="str">
        <x:v>Tidak Ada</x:v>
      </x:c>
      <x:c r="O2276" s="66" t="str">
        <x:v>Yogyakarta</x:v>
      </x:c>
      <x:c r="P2276" s="66" t="str">
        <x:v>Kabupaten Sleman</x:v>
      </x:c>
      <x:c r="Q2276" s="66" t="str">
        <x:v>https://snpmb.id/snbp/daya-tampung-snbp</x:v>
      </x:c>
      <x:c r="R2276" s="66" t="str">
        <x:v>https://sidatagrun-public-1076756628210.asia-southeast2.run.app/ptn_sn.php?ptn=361</x:v>
      </x:c>
    </x:row>
    <x:row r="2277">
      <x:c r="A2277" s="87" t="n">
        <x:v>2489</x:v>
      </x:c>
      <x:c r="B2277" s="66" t="n">
        <x:v>361</x:v>
      </x:c>
      <x:c r="C2277" s="66" t="str">
        <x:v>UNIVERSITAS GADJAH MADA</x:v>
      </x:c>
      <x:c r="D2277" s="66" t="str">
        <x:v>PTN Akademik</x:v>
      </x:c>
      <x:c r="E2277" s="66" t="str">
        <x:v>13611026</x:v>
      </x:c>
      <x:c r="F2277" s="66" t="str">
        <x:v>MANAJEMEN SUMBERDAYA AKUATIK (MANAJEMEN SUMBER DAYA PERIKANAN)</x:v>
      </x:c>
      <x:c r="G2277" s="66" t="str">
        <x:v>Sarjana</x:v>
      </x:c>
      <x:c r="H2277" s="87" t="n">
        <x:v>23</x:v>
      </x:c>
      <x:c r="I2277" s="87" t="n">
        <x:v>110</x:v>
      </x:c>
      <x:c r="J2277" s="68" t="n">
        <x:f>IFERROR(H2277/I2277,"")</x:f>
        <x:v>0.20909090909090908</x:v>
      </x:c>
      <x:c r="K2277" s="69" t="n">
        <x:f>IFERROR(I2277/H2277,"")</x:f>
        <x:v>4.782608695652174</x:v>
      </x:c>
      <x:c r="L2277" s="66" t="str">
        <x:f>IF(K2277="","","1 : "&amp;TEXT(K2277,"0.0"))</x:f>
        <x:v>1 : 4.8</x:v>
      </x:c>
      <x:c r="M2277" s="66" t="str">
        <x:f>IF(J2277="","Baru/Tanpa Data",IF(J2277&lt;='Catatan &amp; Sumber'!$B$14,"Sangat Ketat",IF(J2277&lt;='Catatan &amp; Sumber'!$B$15,"Ketat",IF(J2277&lt;='Catatan &amp; Sumber'!$B$16,"Sedang","Relatif Longgar"))))</x:f>
        <x:v>Relatif Longgar</x:v>
      </x:c>
      <x:c r="N2277" s="66" t="str">
        <x:v>Tidak Ada</x:v>
      </x:c>
      <x:c r="O2277" s="66" t="str">
        <x:v>Yogyakarta</x:v>
      </x:c>
      <x:c r="P2277" s="66" t="str">
        <x:v>Kabupaten Sleman</x:v>
      </x:c>
      <x:c r="Q2277" s="66" t="str">
        <x:v>https://snpmb.id/snbp/daya-tampung-snbp</x:v>
      </x:c>
      <x:c r="R2277" s="66" t="str">
        <x:v>https://sidatagrun-public-1076756628210.asia-southeast2.run.app/ptn_sn.php?ptn=361</x:v>
      </x:c>
    </x:row>
    <x:row r="2278">
      <x:c r="A2278" s="87" t="n">
        <x:v>999</x:v>
      </x:c>
      <x:c r="B2278" s="66" t="n">
        <x:v>361</x:v>
      </x:c>
      <x:c r="C2278" s="66" t="str">
        <x:v>UNIVERSITAS GADJAH MADA</x:v>
      </x:c>
      <x:c r="D2278" s="66" t="str">
        <x:v>PTN Akademik</x:v>
      </x:c>
      <x:c r="E2278" s="66" t="str">
        <x:v>13611027</x:v>
      </x:c>
      <x:c r="F2278" s="66" t="str">
        <x:v>MIKROBIOLOGI PERTANIAN</x:v>
      </x:c>
      <x:c r="G2278" s="66" t="str">
        <x:v>Sarjana</x:v>
      </x:c>
      <x:c r="H2278" s="87" t="n">
        <x:v>11</x:v>
      </x:c>
      <x:c r="I2278" s="87" t="n">
        <x:v>141</x:v>
      </x:c>
      <x:c r="J2278" s="68" t="n">
        <x:f>IFERROR(H2278/I2278,"")</x:f>
        <x:v>0.07801418439716312</x:v>
      </x:c>
      <x:c r="K2278" s="69" t="n">
        <x:f>IFERROR(I2278/H2278,"")</x:f>
        <x:v>12.818181818181818</x:v>
      </x:c>
      <x:c r="L2278" s="66" t="str">
        <x:f>IF(K2278="","","1 : "&amp;TEXT(K2278,"0.0"))</x:f>
        <x:v>1 : 12.8</x:v>
      </x:c>
      <x:c r="M2278" s="66" t="str">
        <x:f>IF(J2278="","Baru/Tanpa Data",IF(J2278&lt;='Catatan &amp; Sumber'!$B$14,"Sangat Ketat",IF(J2278&lt;='Catatan &amp; Sumber'!$B$15,"Ketat",IF(J2278&lt;='Catatan &amp; Sumber'!$B$16,"Sedang","Relatif Longgar"))))</x:f>
        <x:v>Sedang</x:v>
      </x:c>
      <x:c r="N2278" s="66" t="str">
        <x:v>Tidak Ada</x:v>
      </x:c>
      <x:c r="O2278" s="66" t="str">
        <x:v>Yogyakarta</x:v>
      </x:c>
      <x:c r="P2278" s="66" t="str">
        <x:v>Kabupaten Sleman</x:v>
      </x:c>
      <x:c r="Q2278" s="66" t="str">
        <x:v>https://snpmb.id/snbp/daya-tampung-snbp</x:v>
      </x:c>
      <x:c r="R2278" s="66" t="str">
        <x:v>https://sidatagrun-public-1076756628210.asia-southeast2.run.app/ptn_sn.php?ptn=361</x:v>
      </x:c>
    </x:row>
    <x:row r="2279">
      <x:c r="A2279" s="87" t="n">
        <x:v>2718</x:v>
      </x:c>
      <x:c r="B2279" s="66" t="n">
        <x:v>361</x:v>
      </x:c>
      <x:c r="C2279" s="66" t="str">
        <x:v>UNIVERSITAS GADJAH MADA</x:v>
      </x:c>
      <x:c r="D2279" s="66" t="str">
        <x:v>PTN Akademik</x:v>
      </x:c>
      <x:c r="E2279" s="66" t="str">
        <x:v>13611028</x:v>
      </x:c>
      <x:c r="F2279" s="66" t="str">
        <x:v>ILMU DAN INDUSTRI PETERNAKAN</x:v>
      </x:c>
      <x:c r="G2279" s="66" t="str">
        <x:v>Sarjana</x:v>
      </x:c>
      <x:c r="H2279" s="87" t="n">
        <x:v>90</x:v>
      </x:c>
      <x:c r="I2279" s="87" t="n">
        <x:v>365</x:v>
      </x:c>
      <x:c r="J2279" s="68" t="n">
        <x:f>IFERROR(H2279/I2279,"")</x:f>
        <x:v>0.2465753424657534</x:v>
      </x:c>
      <x:c r="K2279" s="69" t="n">
        <x:f>IFERROR(I2279/H2279,"")</x:f>
        <x:v>4.055555555555555</x:v>
      </x:c>
      <x:c r="L2279" s="66" t="str">
        <x:f>IF(K2279="","","1 : "&amp;TEXT(K2279,"0.0"))</x:f>
        <x:v>1 : 4.1</x:v>
      </x:c>
      <x:c r="M2279" s="66" t="str">
        <x:f>IF(J2279="","Baru/Tanpa Data",IF(J2279&lt;='Catatan &amp; Sumber'!$B$14,"Sangat Ketat",IF(J2279&lt;='Catatan &amp; Sumber'!$B$15,"Ketat",IF(J2279&lt;='Catatan &amp; Sumber'!$B$16,"Sedang","Relatif Longgar"))))</x:f>
        <x:v>Relatif Longgar</x:v>
      </x:c>
      <x:c r="N2279" s="66" t="str">
        <x:v>Tidak Ada</x:v>
      </x:c>
      <x:c r="O2279" s="66" t="str">
        <x:v>Yogyakarta</x:v>
      </x:c>
      <x:c r="P2279" s="66" t="str">
        <x:v>Kabupaten Sleman</x:v>
      </x:c>
      <x:c r="Q2279" s="66" t="str">
        <x:v>https://snpmb.id/snbp/daya-tampung-snbp</x:v>
      </x:c>
      <x:c r="R2279" s="66" t="str">
        <x:v>https://sidatagrun-public-1076756628210.asia-southeast2.run.app/ptn_sn.php?ptn=361</x:v>
      </x:c>
    </x:row>
    <x:row r="2280">
      <x:c r="A2280" s="87" t="n">
        <x:v>632</x:v>
      </x:c>
      <x:c r="B2280" s="66" t="n">
        <x:v>361</x:v>
      </x:c>
      <x:c r="C2280" s="66" t="str">
        <x:v>UNIVERSITAS GADJAH MADA</x:v>
      </x:c>
      <x:c r="D2280" s="66" t="str">
        <x:v>PTN Akademik</x:v>
      </x:c>
      <x:c r="E2280" s="66" t="str">
        <x:v>13611029</x:v>
      </x:c>
      <x:c r="F2280" s="66" t="str">
        <x:v>ARSITEKTUR</x:v>
      </x:c>
      <x:c r="G2280" s="66" t="str">
        <x:v>Sarjana</x:v>
      </x:c>
      <x:c r="H2280" s="87" t="n">
        <x:v>24</x:v>
      </x:c>
      <x:c r="I2280" s="87" t="n">
        <x:v>408</x:v>
      </x:c>
      <x:c r="J2280" s="68" t="n">
        <x:f>IFERROR(H2280/I2280,"")</x:f>
        <x:v>0.058823529411764705</x:v>
      </x:c>
      <x:c r="K2280" s="69" t="n">
        <x:f>IFERROR(I2280/H2280,"")</x:f>
        <x:v>17</x:v>
      </x:c>
      <x:c r="L2280" s="66" t="str">
        <x:f>IF(K2280="","","1 : "&amp;TEXT(K2280,"0.0"))</x:f>
        <x:v>1 : 17.0</x:v>
      </x:c>
      <x:c r="M2280" s="66" t="str">
        <x:f>IF(J2280="","Baru/Tanpa Data",IF(J2280&lt;='Catatan &amp; Sumber'!$B$14,"Sangat Ketat",IF(J2280&lt;='Catatan &amp; Sumber'!$B$15,"Ketat",IF(J2280&lt;='Catatan &amp; Sumber'!$B$16,"Sedang","Relatif Longgar"))))</x:f>
        <x:v>Sedang</x:v>
      </x:c>
      <x:c r="N2280" s="66" t="str">
        <x:v>Tidak Ada</x:v>
      </x:c>
      <x:c r="O2280" s="66" t="str">
        <x:v>Yogyakarta</x:v>
      </x:c>
      <x:c r="P2280" s="66" t="str">
        <x:v>Kabupaten Sleman</x:v>
      </x:c>
      <x:c r="Q2280" s="66" t="str">
        <x:v>https://snpmb.id/snbp/daya-tampung-snbp</x:v>
      </x:c>
      <x:c r="R2280" s="66" t="str">
        <x:v>https://sidatagrun-public-1076756628210.asia-southeast2.run.app/ptn_sn.php?ptn=361</x:v>
      </x:c>
    </x:row>
    <x:row r="2281">
      <x:c r="A2281" s="87" t="n">
        <x:v>1517</x:v>
      </x:c>
      <x:c r="B2281" s="66" t="n">
        <x:v>361</x:v>
      </x:c>
      <x:c r="C2281" s="66" t="str">
        <x:v>UNIVERSITAS GADJAH MADA</x:v>
      </x:c>
      <x:c r="D2281" s="66" t="str">
        <x:v>PTN Akademik</x:v>
      </x:c>
      <x:c r="E2281" s="66" t="str">
        <x:v>13611030</x:v>
      </x:c>
      <x:c r="F2281" s="66" t="str">
        <x:v>PERENCANAAN WILAYAH DAN KOTA</x:v>
      </x:c>
      <x:c r="G2281" s="66" t="str">
        <x:v>Sarjana</x:v>
      </x:c>
      <x:c r="H2281" s="87" t="n">
        <x:v>23</x:v>
      </x:c>
      <x:c r="I2281" s="87" t="n">
        <x:v>207</x:v>
      </x:c>
      <x:c r="J2281" s="68" t="n">
        <x:f>IFERROR(H2281/I2281,"")</x:f>
        <x:v>0.1111111111111111</x:v>
      </x:c>
      <x:c r="K2281" s="69" t="n">
        <x:f>IFERROR(I2281/H2281,"")</x:f>
        <x:v>9</x:v>
      </x:c>
      <x:c r="L2281" s="66" t="str">
        <x:f>IF(K2281="","","1 : "&amp;TEXT(K2281,"0.0"))</x:f>
        <x:v>1 : 9.0</x:v>
      </x:c>
      <x:c r="M2281" s="66" t="str">
        <x:f>IF(J2281="","Baru/Tanpa Data",IF(J2281&lt;='Catatan &amp; Sumber'!$B$14,"Sangat Ketat",IF(J2281&lt;='Catatan &amp; Sumber'!$B$15,"Ketat",IF(J2281&lt;='Catatan &amp; Sumber'!$B$16,"Sedang","Relatif Longgar"))))</x:f>
        <x:v>Relatif Longgar</x:v>
      </x:c>
      <x:c r="N2281" s="66" t="str">
        <x:v>Tidak Ada</x:v>
      </x:c>
      <x:c r="O2281" s="66" t="str">
        <x:v>Yogyakarta</x:v>
      </x:c>
      <x:c r="P2281" s="66" t="str">
        <x:v>Kabupaten Sleman</x:v>
      </x:c>
      <x:c r="Q2281" s="66" t="str">
        <x:v>https://snpmb.id/snbp/daya-tampung-snbp</x:v>
      </x:c>
      <x:c r="R2281" s="66" t="str">
        <x:v>https://sidatagrun-public-1076756628210.asia-southeast2.run.app/ptn_sn.php?ptn=361</x:v>
      </x:c>
    </x:row>
    <x:row r="2282">
      <x:c r="A2282" s="87" t="n">
        <x:v>1870</x:v>
      </x:c>
      <x:c r="B2282" s="66" t="n">
        <x:v>361</x:v>
      </x:c>
      <x:c r="C2282" s="66" t="str">
        <x:v>UNIVERSITAS GADJAH MADA</x:v>
      </x:c>
      <x:c r="D2282" s="66" t="str">
        <x:v>PTN Akademik</x:v>
      </x:c>
      <x:c r="E2282" s="66" t="str">
        <x:v>13611031</x:v>
      </x:c>
      <x:c r="F2282" s="66" t="str">
        <x:v>TEKNIK GEODESI</x:v>
      </x:c>
      <x:c r="G2282" s="66" t="str">
        <x:v>Sarjana</x:v>
      </x:c>
      <x:c r="H2282" s="87" t="n">
        <x:v>35</x:v>
      </x:c>
      <x:c r="I2282" s="87" t="n">
        <x:v>253</x:v>
      </x:c>
      <x:c r="J2282" s="68" t="n">
        <x:f>IFERROR(H2282/I2282,"")</x:f>
        <x:v>0.1383399209486166</x:v>
      </x:c>
      <x:c r="K2282" s="69" t="n">
        <x:f>IFERROR(I2282/H2282,"")</x:f>
        <x:v>7.228571428571429</x:v>
      </x:c>
      <x:c r="L2282" s="66" t="str">
        <x:f>IF(K2282="","","1 : "&amp;TEXT(K2282,"0.0"))</x:f>
        <x:v>1 : 7.2</x:v>
      </x:c>
      <x:c r="M2282" s="66" t="str">
        <x:f>IF(J2282="","Baru/Tanpa Data",IF(J2282&lt;='Catatan &amp; Sumber'!$B$14,"Sangat Ketat",IF(J2282&lt;='Catatan &amp; Sumber'!$B$15,"Ketat",IF(J2282&lt;='Catatan &amp; Sumber'!$B$16,"Sedang","Relatif Longgar"))))</x:f>
        <x:v>Relatif Longgar</x:v>
      </x:c>
      <x:c r="N2282" s="66" t="str">
        <x:v>Tidak Ada</x:v>
      </x:c>
      <x:c r="O2282" s="66" t="str">
        <x:v>Yogyakarta</x:v>
      </x:c>
      <x:c r="P2282" s="66" t="str">
        <x:v>Kabupaten Sleman</x:v>
      </x:c>
      <x:c r="Q2282" s="66" t="str">
        <x:v>https://snpmb.id/snbp/daya-tampung-snbp</x:v>
      </x:c>
      <x:c r="R2282" s="66" t="str">
        <x:v>https://sidatagrun-public-1076756628210.asia-southeast2.run.app/ptn_sn.php?ptn=361</x:v>
      </x:c>
    </x:row>
    <x:row r="2283">
      <x:c r="A2283" s="87" t="n">
        <x:v>1212</x:v>
      </x:c>
      <x:c r="B2283" s="66" t="n">
        <x:v>361</x:v>
      </x:c>
      <x:c r="C2283" s="66" t="str">
        <x:v>UNIVERSITAS GADJAH MADA</x:v>
      </x:c>
      <x:c r="D2283" s="66" t="str">
        <x:v>PTN Akademik</x:v>
      </x:c>
      <x:c r="E2283" s="66" t="str">
        <x:v>13611032</x:v>
      </x:c>
      <x:c r="F2283" s="66" t="str">
        <x:v>TEKNIK GEOLOGI</x:v>
      </x:c>
      <x:c r="G2283" s="66" t="str">
        <x:v>Sarjana</x:v>
      </x:c>
      <x:c r="H2283" s="87" t="n">
        <x:v>36</x:v>
      </x:c>
      <x:c r="I2283" s="87" t="n">
        <x:v>398</x:v>
      </x:c>
      <x:c r="J2283" s="68" t="n">
        <x:f>IFERROR(H2283/I2283,"")</x:f>
        <x:v>0.09045226130653267</x:v>
      </x:c>
      <x:c r="K2283" s="69" t="n">
        <x:f>IFERROR(I2283/H2283,"")</x:f>
        <x:v>11.055555555555555</x:v>
      </x:c>
      <x:c r="L2283" s="66" t="str">
        <x:f>IF(K2283="","","1 : "&amp;TEXT(K2283,"0.0"))</x:f>
        <x:v>1 : 11.1</x:v>
      </x:c>
      <x:c r="M2283" s="66" t="str">
        <x:f>IF(J2283="","Baru/Tanpa Data",IF(J2283&lt;='Catatan &amp; Sumber'!$B$14,"Sangat Ketat",IF(J2283&lt;='Catatan &amp; Sumber'!$B$15,"Ketat",IF(J2283&lt;='Catatan &amp; Sumber'!$B$16,"Sedang","Relatif Longgar"))))</x:f>
        <x:v>Sedang</x:v>
      </x:c>
      <x:c r="N2283" s="66" t="str">
        <x:v>Tidak Ada</x:v>
      </x:c>
      <x:c r="O2283" s="66" t="str">
        <x:v>Yogyakarta</x:v>
      </x:c>
      <x:c r="P2283" s="66" t="str">
        <x:v>Kabupaten Sleman</x:v>
      </x:c>
      <x:c r="Q2283" s="66" t="str">
        <x:v>https://snpmb.id/snbp/daya-tampung-snbp</x:v>
      </x:c>
      <x:c r="R2283" s="66" t="str">
        <x:v>https://sidatagrun-public-1076756628210.asia-southeast2.run.app/ptn_sn.php?ptn=361</x:v>
      </x:c>
    </x:row>
    <x:row r="2284">
      <x:c r="A2284" s="87" t="n">
        <x:v>1112</x:v>
      </x:c>
      <x:c r="B2284" s="66" t="n">
        <x:v>361</x:v>
      </x:c>
      <x:c r="C2284" s="66" t="str">
        <x:v>UNIVERSITAS GADJAH MADA</x:v>
      </x:c>
      <x:c r="D2284" s="66" t="str">
        <x:v>PTN Akademik</x:v>
      </x:c>
      <x:c r="E2284" s="66" t="str">
        <x:v>13611033</x:v>
      </x:c>
      <x:c r="F2284" s="66" t="str">
        <x:v>TEKNIK KIMIA</x:v>
      </x:c>
      <x:c r="G2284" s="66" t="str">
        <x:v>Sarjana</x:v>
      </x:c>
      <x:c r="H2284" s="87" t="n">
        <x:v>42</x:v>
      </x:c>
      <x:c r="I2284" s="87" t="n">
        <x:v>497</x:v>
      </x:c>
      <x:c r="J2284" s="68" t="n">
        <x:f>IFERROR(H2284/I2284,"")</x:f>
        <x:v>0.08450704225352113</x:v>
      </x:c>
      <x:c r="K2284" s="69" t="n">
        <x:f>IFERROR(I2284/H2284,"")</x:f>
        <x:v>11.833333333333334</x:v>
      </x:c>
      <x:c r="L2284" s="66" t="str">
        <x:f>IF(K2284="","","1 : "&amp;TEXT(K2284,"0.0"))</x:f>
        <x:v>1 : 11.8</x:v>
      </x:c>
      <x:c r="M2284" s="66" t="str">
        <x:f>IF(J2284="","Baru/Tanpa Data",IF(J2284&lt;='Catatan &amp; Sumber'!$B$14,"Sangat Ketat",IF(J2284&lt;='Catatan &amp; Sumber'!$B$15,"Ketat",IF(J2284&lt;='Catatan &amp; Sumber'!$B$16,"Sedang","Relatif Longgar"))))</x:f>
        <x:v>Sedang</x:v>
      </x:c>
      <x:c r="N2284" s="66" t="str">
        <x:v>Tidak Ada</x:v>
      </x:c>
      <x:c r="O2284" s="66" t="str">
        <x:v>Yogyakarta</x:v>
      </x:c>
      <x:c r="P2284" s="66" t="str">
        <x:v>Kabupaten Sleman</x:v>
      </x:c>
      <x:c r="Q2284" s="66" t="str">
        <x:v>https://snpmb.id/snbp/daya-tampung-snbp</x:v>
      </x:c>
      <x:c r="R2284" s="66" t="str">
        <x:v>https://sidatagrun-public-1076756628210.asia-southeast2.run.app/ptn_sn.php?ptn=361</x:v>
      </x:c>
    </x:row>
    <x:row r="2285">
      <x:c r="A2285" s="87" t="n">
        <x:v>1149</x:v>
      </x:c>
      <x:c r="B2285" s="66" t="n">
        <x:v>361</x:v>
      </x:c>
      <x:c r="C2285" s="66" t="str">
        <x:v>UNIVERSITAS GADJAH MADA</x:v>
      </x:c>
      <x:c r="D2285" s="66" t="str">
        <x:v>PTN Akademik</x:v>
      </x:c>
      <x:c r="E2285" s="66" t="str">
        <x:v>13611034</x:v>
      </x:c>
      <x:c r="F2285" s="66" t="str">
        <x:v>TEKNIK ELEKTRO</x:v>
      </x:c>
      <x:c r="G2285" s="66" t="str">
        <x:v>Sarjana</x:v>
      </x:c>
      <x:c r="H2285" s="87" t="n">
        <x:v>35</x:v>
      </x:c>
      <x:c r="I2285" s="87" t="n">
        <x:v>403</x:v>
      </x:c>
      <x:c r="J2285" s="68" t="n">
        <x:f>IFERROR(H2285/I2285,"")</x:f>
        <x:v>0.08684863523573201</x:v>
      </x:c>
      <x:c r="K2285" s="69" t="n">
        <x:f>IFERROR(I2285/H2285,"")</x:f>
        <x:v>11.514285714285714</x:v>
      </x:c>
      <x:c r="L2285" s="66" t="str">
        <x:f>IF(K2285="","","1 : "&amp;TEXT(K2285,"0.0"))</x:f>
        <x:v>1 : 11.5</x:v>
      </x:c>
      <x:c r="M2285" s="66" t="str">
        <x:f>IF(J2285="","Baru/Tanpa Data",IF(J2285&lt;='Catatan &amp; Sumber'!$B$14,"Sangat Ketat",IF(J2285&lt;='Catatan &amp; Sumber'!$B$15,"Ketat",IF(J2285&lt;='Catatan &amp; Sumber'!$B$16,"Sedang","Relatif Longgar"))))</x:f>
        <x:v>Sedang</x:v>
      </x:c>
      <x:c r="N2285" s="66" t="str">
        <x:v>Tidak Ada</x:v>
      </x:c>
      <x:c r="O2285" s="66" t="str">
        <x:v>Yogyakarta</x:v>
      </x:c>
      <x:c r="P2285" s="66" t="str">
        <x:v>Kabupaten Sleman</x:v>
      </x:c>
      <x:c r="Q2285" s="66" t="str">
        <x:v>https://snpmb.id/snbp/daya-tampung-snbp</x:v>
      </x:c>
      <x:c r="R2285" s="66" t="str">
        <x:v>https://sidatagrun-public-1076756628210.asia-southeast2.run.app/ptn_sn.php?ptn=361</x:v>
      </x:c>
    </x:row>
    <x:row r="2286">
      <x:c r="A2286" s="87" t="n">
        <x:v>1249</x:v>
      </x:c>
      <x:c r="B2286" s="66" t="n">
        <x:v>361</x:v>
      </x:c>
      <x:c r="C2286" s="66" t="str">
        <x:v>UNIVERSITAS GADJAH MADA</x:v>
      </x:c>
      <x:c r="D2286" s="66" t="str">
        <x:v>PTN Akademik</x:v>
      </x:c>
      <x:c r="E2286" s="66" t="str">
        <x:v>13611035</x:v>
      </x:c>
      <x:c r="F2286" s="66" t="str">
        <x:v>TEKNIK MESIN</x:v>
      </x:c>
      <x:c r="G2286" s="66" t="str">
        <x:v>Sarjana</x:v>
      </x:c>
      <x:c r="H2286" s="87" t="n">
        <x:v>51</x:v>
      </x:c>
      <x:c r="I2286" s="87" t="n">
        <x:v>549</x:v>
      </x:c>
      <x:c r="J2286" s="68" t="n">
        <x:f>IFERROR(H2286/I2286,"")</x:f>
        <x:v>0.09289617486338798</x:v>
      </x:c>
      <x:c r="K2286" s="69" t="n">
        <x:f>IFERROR(I2286/H2286,"")</x:f>
        <x:v>10.764705882352942</x:v>
      </x:c>
      <x:c r="L2286" s="66" t="str">
        <x:f>IF(K2286="","","1 : "&amp;TEXT(K2286,"0.0"))</x:f>
        <x:v>1 : 10.8</x:v>
      </x:c>
      <x:c r="M2286" s="66" t="str">
        <x:f>IF(J2286="","Baru/Tanpa Data",IF(J2286&lt;='Catatan &amp; Sumber'!$B$14,"Sangat Ketat",IF(J2286&lt;='Catatan &amp; Sumber'!$B$15,"Ketat",IF(J2286&lt;='Catatan &amp; Sumber'!$B$16,"Sedang","Relatif Longgar"))))</x:f>
        <x:v>Sedang</x:v>
      </x:c>
      <x:c r="N2286" s="66" t="str">
        <x:v>Tidak Ada</x:v>
      </x:c>
      <x:c r="O2286" s="66" t="str">
        <x:v>Yogyakarta</x:v>
      </x:c>
      <x:c r="P2286" s="66" t="str">
        <x:v>Kabupaten Sleman</x:v>
      </x:c>
      <x:c r="Q2286" s="66" t="str">
        <x:v>https://snpmb.id/snbp/daya-tampung-snbp</x:v>
      </x:c>
      <x:c r="R2286" s="66" t="str">
        <x:v>https://sidatagrun-public-1076756628210.asia-southeast2.run.app/ptn_sn.php?ptn=361</x:v>
      </x:c>
    </x:row>
    <x:row r="2287">
      <x:c r="A2287" s="87" t="n">
        <x:v>605</x:v>
      </x:c>
      <x:c r="B2287" s="66" t="n">
        <x:v>361</x:v>
      </x:c>
      <x:c r="C2287" s="66" t="str">
        <x:v>UNIVERSITAS GADJAH MADA</x:v>
      </x:c>
      <x:c r="D2287" s="66" t="str">
        <x:v>PTN Akademik</x:v>
      </x:c>
      <x:c r="E2287" s="66" t="str">
        <x:v>13611036</x:v>
      </x:c>
      <x:c r="F2287" s="66" t="str">
        <x:v>TEKNIK SIPIL</x:v>
      </x:c>
      <x:c r="G2287" s="66" t="str">
        <x:v>Sarjana</x:v>
      </x:c>
      <x:c r="H2287" s="87" t="n">
        <x:v>33</x:v>
      </x:c>
      <x:c r="I2287" s="87" t="n">
        <x:v>572</x:v>
      </x:c>
      <x:c r="J2287" s="68" t="n">
        <x:f>IFERROR(H2287/I2287,"")</x:f>
        <x:v>0.057692307692307696</x:v>
      </x:c>
      <x:c r="K2287" s="69" t="n">
        <x:f>IFERROR(I2287/H2287,"")</x:f>
        <x:v>17.333333333333332</x:v>
      </x:c>
      <x:c r="L2287" s="66" t="str">
        <x:f>IF(K2287="","","1 : "&amp;TEXT(K2287,"0.0"))</x:f>
        <x:v>1 : 17.3</x:v>
      </x:c>
      <x:c r="M2287" s="66" t="str">
        <x:f>IF(J2287="","Baru/Tanpa Data",IF(J2287&lt;='Catatan &amp; Sumber'!$B$14,"Sangat Ketat",IF(J2287&lt;='Catatan &amp; Sumber'!$B$15,"Ketat",IF(J2287&lt;='Catatan &amp; Sumber'!$B$16,"Sedang","Relatif Longgar"))))</x:f>
        <x:v>Sedang</x:v>
      </x:c>
      <x:c r="N2287" s="66" t="str">
        <x:v>Tidak Ada</x:v>
      </x:c>
      <x:c r="O2287" s="66" t="str">
        <x:v>Yogyakarta</x:v>
      </x:c>
      <x:c r="P2287" s="66" t="str">
        <x:v>Kabupaten Sleman</x:v>
      </x:c>
      <x:c r="Q2287" s="66" t="str">
        <x:v>https://snpmb.id/snbp/daya-tampung-snbp</x:v>
      </x:c>
      <x:c r="R2287" s="66" t="str">
        <x:v>https://sidatagrun-public-1076756628210.asia-southeast2.run.app/ptn_sn.php?ptn=361</x:v>
      </x:c>
    </x:row>
    <x:row r="2288">
      <x:c r="A2288" s="87" t="n">
        <x:v>717</x:v>
      </x:c>
      <x:c r="B2288" s="66" t="n">
        <x:v>361</x:v>
      </x:c>
      <x:c r="C2288" s="66" t="str">
        <x:v>UNIVERSITAS GADJAH MADA</x:v>
      </x:c>
      <x:c r="D2288" s="66" t="str">
        <x:v>PTN Akademik</x:v>
      </x:c>
      <x:c r="E2288" s="66" t="str">
        <x:v>13611037</x:v>
      </x:c>
      <x:c r="F2288" s="66" t="str">
        <x:v>TEKNIK NUKLIR</x:v>
      </x:c>
      <x:c r="G2288" s="66" t="str">
        <x:v>Sarjana</x:v>
      </x:c>
      <x:c r="H2288" s="87" t="n">
        <x:v>15</x:v>
      </x:c>
      <x:c r="I2288" s="87" t="n">
        <x:v>239</x:v>
      </x:c>
      <x:c r="J2288" s="68" t="n">
        <x:f>IFERROR(H2288/I2288,"")</x:f>
        <x:v>0.06276150627615062</x:v>
      </x:c>
      <x:c r="K2288" s="69" t="n">
        <x:f>IFERROR(I2288/H2288,"")</x:f>
        <x:v>15.933333333333334</x:v>
      </x:c>
      <x:c r="L2288" s="66" t="str">
        <x:f>IF(K2288="","","1 : "&amp;TEXT(K2288,"0.0"))</x:f>
        <x:v>1 : 15.9</x:v>
      </x:c>
      <x:c r="M2288" s="66" t="str">
        <x:f>IF(J2288="","Baru/Tanpa Data",IF(J2288&lt;='Catatan &amp; Sumber'!$B$14,"Sangat Ketat",IF(J2288&lt;='Catatan &amp; Sumber'!$B$15,"Ketat",IF(J2288&lt;='Catatan &amp; Sumber'!$B$16,"Sedang","Relatif Longgar"))))</x:f>
        <x:v>Sedang</x:v>
      </x:c>
      <x:c r="N2288" s="66" t="str">
        <x:v>Tidak Ada</x:v>
      </x:c>
      <x:c r="O2288" s="66" t="str">
        <x:v>Yogyakarta</x:v>
      </x:c>
      <x:c r="P2288" s="66" t="str">
        <x:v>Kabupaten Sleman</x:v>
      </x:c>
      <x:c r="Q2288" s="66" t="str">
        <x:v>https://snpmb.id/snbp/daya-tampung-snbp</x:v>
      </x:c>
      <x:c r="R2288" s="66" t="str">
        <x:v>https://sidatagrun-public-1076756628210.asia-southeast2.run.app/ptn_sn.php?ptn=361</x:v>
      </x:c>
    </x:row>
    <x:row r="2289">
      <x:c r="A2289" s="87" t="n">
        <x:v>1855</x:v>
      </x:c>
      <x:c r="B2289" s="66" t="n">
        <x:v>361</x:v>
      </x:c>
      <x:c r="C2289" s="66" t="str">
        <x:v>UNIVERSITAS GADJAH MADA</x:v>
      </x:c>
      <x:c r="D2289" s="66" t="str">
        <x:v>PTN Akademik</x:v>
      </x:c>
      <x:c r="E2289" s="66" t="str">
        <x:v>13611038</x:v>
      </x:c>
      <x:c r="F2289" s="66" t="str">
        <x:v>TEKNIK FISIKA</x:v>
      </x:c>
      <x:c r="G2289" s="66" t="str">
        <x:v>Sarjana</x:v>
      </x:c>
      <x:c r="H2289" s="87" t="n">
        <x:v>36</x:v>
      </x:c>
      <x:c r="I2289" s="87" t="n">
        <x:v>263</x:v>
      </x:c>
      <x:c r="J2289" s="68" t="n">
        <x:f>IFERROR(H2289/I2289,"")</x:f>
        <x:v>0.13688212927756654</x:v>
      </x:c>
      <x:c r="K2289" s="69" t="n">
        <x:f>IFERROR(I2289/H2289,"")</x:f>
        <x:v>7.305555555555555</x:v>
      </x:c>
      <x:c r="L2289" s="66" t="str">
        <x:f>IF(K2289="","","1 : "&amp;TEXT(K2289,"0.0"))</x:f>
        <x:v>1 : 7.3</x:v>
      </x:c>
      <x:c r="M2289" s="66" t="str">
        <x:f>IF(J2289="","Baru/Tanpa Data",IF(J2289&lt;='Catatan &amp; Sumber'!$B$14,"Sangat Ketat",IF(J2289&lt;='Catatan &amp; Sumber'!$B$15,"Ketat",IF(J2289&lt;='Catatan &amp; Sumber'!$B$16,"Sedang","Relatif Longgar"))))</x:f>
        <x:v>Relatif Longgar</x:v>
      </x:c>
      <x:c r="N2289" s="66" t="str">
        <x:v>Tidak Ada</x:v>
      </x:c>
      <x:c r="O2289" s="66" t="str">
        <x:v>Yogyakarta</x:v>
      </x:c>
      <x:c r="P2289" s="66" t="str">
        <x:v>Kabupaten Sleman</x:v>
      </x:c>
      <x:c r="Q2289" s="66" t="str">
        <x:v>https://snpmb.id/snbp/daya-tampung-snbp</x:v>
      </x:c>
      <x:c r="R2289" s="66" t="str">
        <x:v>https://sidatagrun-public-1076756628210.asia-southeast2.run.app/ptn_sn.php?ptn=361</x:v>
      </x:c>
    </x:row>
    <x:row r="2290">
      <x:c r="A2290" s="87" t="n">
        <x:v>574</x:v>
      </x:c>
      <x:c r="B2290" s="66" t="n">
        <x:v>361</x:v>
      </x:c>
      <x:c r="C2290" s="66" t="str">
        <x:v>UNIVERSITAS GADJAH MADA</x:v>
      </x:c>
      <x:c r="D2290" s="66" t="str">
        <x:v>PTN Akademik</x:v>
      </x:c>
      <x:c r="E2290" s="66" t="str">
        <x:v>13611039</x:v>
      </x:c>
      <x:c r="F2290" s="66" t="str">
        <x:v>TEKNIK INDUSTRI</x:v>
      </x:c>
      <x:c r="G2290" s="66" t="str">
        <x:v>Sarjana</x:v>
      </x:c>
      <x:c r="H2290" s="87" t="n">
        <x:v>36</x:v>
      </x:c>
      <x:c r="I2290" s="87" t="n">
        <x:v>649</x:v>
      </x:c>
      <x:c r="J2290" s="68" t="n">
        <x:f>IFERROR(H2290/I2290,"")</x:f>
        <x:v>0.05546995377503852</x:v>
      </x:c>
      <x:c r="K2290" s="69" t="n">
        <x:f>IFERROR(I2290/H2290,"")</x:f>
        <x:v>18.02777777777778</x:v>
      </x:c>
      <x:c r="L2290" s="66" t="str">
        <x:f>IF(K2290="","","1 : "&amp;TEXT(K2290,"0.0"))</x:f>
        <x:v>1 : 18.0</x:v>
      </x:c>
      <x:c r="M2290" s="66" t="str">
        <x:f>IF(J2290="","Baru/Tanpa Data",IF(J2290&lt;='Catatan &amp; Sumber'!$B$14,"Sangat Ketat",IF(J2290&lt;='Catatan &amp; Sumber'!$B$15,"Ketat",IF(J2290&lt;='Catatan &amp; Sumber'!$B$16,"Sedang","Relatif Longgar"))))</x:f>
        <x:v>Sedang</x:v>
      </x:c>
      <x:c r="N2290" s="66" t="str">
        <x:v>Tidak Ada</x:v>
      </x:c>
      <x:c r="O2290" s="66" t="str">
        <x:v>Yogyakarta</x:v>
      </x:c>
      <x:c r="P2290" s="66" t="str">
        <x:v>Kabupaten Sleman</x:v>
      </x:c>
      <x:c r="Q2290" s="66" t="str">
        <x:v>https://snpmb.id/snbp/daya-tampung-snbp</x:v>
      </x:c>
      <x:c r="R2290" s="66" t="str">
        <x:v>https://sidatagrun-public-1076756628210.asia-southeast2.run.app/ptn_sn.php?ptn=361</x:v>
      </x:c>
    </x:row>
    <x:row r="2291">
      <x:c r="A2291" s="87" t="n">
        <x:v>2087</x:v>
      </x:c>
      <x:c r="B2291" s="66" t="n">
        <x:v>361</x:v>
      </x:c>
      <x:c r="C2291" s="66" t="str">
        <x:v>UNIVERSITAS GADJAH MADA</x:v>
      </x:c>
      <x:c r="D2291" s="66" t="str">
        <x:v>PTN Akademik</x:v>
      </x:c>
      <x:c r="E2291" s="66" t="str">
        <x:v>13611040</x:v>
      </x:c>
      <x:c r="F2291" s="66" t="str">
        <x:v>TEKNIK PERTANIAN</x:v>
      </x:c>
      <x:c r="G2291" s="66" t="str">
        <x:v>Sarjana</x:v>
      </x:c>
      <x:c r="H2291" s="87" t="n">
        <x:v>29</x:v>
      </x:c>
      <x:c r="I2291" s="87" t="n">
        <x:v>181</x:v>
      </x:c>
      <x:c r="J2291" s="68" t="n">
        <x:f>IFERROR(H2291/I2291,"")</x:f>
        <x:v>0.16022099447513813</x:v>
      </x:c>
      <x:c r="K2291" s="69" t="n">
        <x:f>IFERROR(I2291/H2291,"")</x:f>
        <x:v>6.241379310344827</x:v>
      </x:c>
      <x:c r="L2291" s="66" t="str">
        <x:f>IF(K2291="","","1 : "&amp;TEXT(K2291,"0.0"))</x:f>
        <x:v>1 : 6.2</x:v>
      </x:c>
      <x:c r="M2291" s="66" t="str">
        <x:f>IF(J2291="","Baru/Tanpa Data",IF(J2291&lt;='Catatan &amp; Sumber'!$B$14,"Sangat Ketat",IF(J2291&lt;='Catatan &amp; Sumber'!$B$15,"Ketat",IF(J2291&lt;='Catatan &amp; Sumber'!$B$16,"Sedang","Relatif Longgar"))))</x:f>
        <x:v>Relatif Longgar</x:v>
      </x:c>
      <x:c r="N2291" s="66" t="str">
        <x:v>Tidak Ada</x:v>
      </x:c>
      <x:c r="O2291" s="66" t="str">
        <x:v>Yogyakarta</x:v>
      </x:c>
      <x:c r="P2291" s="66" t="str">
        <x:v>Kabupaten Sleman</x:v>
      </x:c>
      <x:c r="Q2291" s="66" t="str">
        <x:v>https://snpmb.id/snbp/daya-tampung-snbp</x:v>
      </x:c>
      <x:c r="R2291" s="66" t="str">
        <x:v>https://sidatagrun-public-1076756628210.asia-southeast2.run.app/ptn_sn.php?ptn=361</x:v>
      </x:c>
    </x:row>
    <x:row r="2292">
      <x:c r="A2292" s="87" t="n">
        <x:v>756</x:v>
      </x:c>
      <x:c r="B2292" s="66" t="n">
        <x:v>361</x:v>
      </x:c>
      <x:c r="C2292" s="66" t="str">
        <x:v>UNIVERSITAS GADJAH MADA</x:v>
      </x:c>
      <x:c r="D2292" s="66" t="str">
        <x:v>PTN Akademik</x:v>
      </x:c>
      <x:c r="E2292" s="66" t="str">
        <x:v>13611041</x:v>
      </x:c>
      <x:c r="F2292" s="66" t="str">
        <x:v>TEKNOLOGI PANGAN DAN HASIL PERTANIAN</x:v>
      </x:c>
      <x:c r="G2292" s="66" t="str">
        <x:v>Sarjana</x:v>
      </x:c>
      <x:c r="H2292" s="87" t="n">
        <x:v>33</x:v>
      </x:c>
      <x:c r="I2292" s="87" t="n">
        <x:v>509</x:v>
      </x:c>
      <x:c r="J2292" s="68" t="n">
        <x:f>IFERROR(H2292/I2292,"")</x:f>
        <x:v>0.06483300589390963</x:v>
      </x:c>
      <x:c r="K2292" s="69" t="n">
        <x:f>IFERROR(I2292/H2292,"")</x:f>
        <x:v>15.424242424242424</x:v>
      </x:c>
      <x:c r="L2292" s="66" t="str">
        <x:f>IF(K2292="","","1 : "&amp;TEXT(K2292,"0.0"))</x:f>
        <x:v>1 : 15.4</x:v>
      </x:c>
      <x:c r="M2292" s="66" t="str">
        <x:f>IF(J2292="","Baru/Tanpa Data",IF(J2292&lt;='Catatan &amp; Sumber'!$B$14,"Sangat Ketat",IF(J2292&lt;='Catatan &amp; Sumber'!$B$15,"Ketat",IF(J2292&lt;='Catatan &amp; Sumber'!$B$16,"Sedang","Relatif Longgar"))))</x:f>
        <x:v>Sedang</x:v>
      </x:c>
      <x:c r="N2292" s="66" t="str">
        <x:v>Tidak Ada</x:v>
      </x:c>
      <x:c r="O2292" s="66" t="str">
        <x:v>Yogyakarta</x:v>
      </x:c>
      <x:c r="P2292" s="66" t="str">
        <x:v>Kabupaten Sleman</x:v>
      </x:c>
      <x:c r="Q2292" s="66" t="str">
        <x:v>https://snpmb.id/snbp/daya-tampung-snbp</x:v>
      </x:c>
      <x:c r="R2292" s="66" t="str">
        <x:v>https://sidatagrun-public-1076756628210.asia-southeast2.run.app/ptn_sn.php?ptn=361</x:v>
      </x:c>
    </x:row>
    <x:row r="2293">
      <x:c r="A2293" s="87" t="n">
        <x:v>2047</x:v>
      </x:c>
      <x:c r="B2293" s="66" t="n">
        <x:v>361</x:v>
      </x:c>
      <x:c r="C2293" s="66" t="str">
        <x:v>UNIVERSITAS GADJAH MADA</x:v>
      </x:c>
      <x:c r="D2293" s="66" t="str">
        <x:v>PTN Akademik</x:v>
      </x:c>
      <x:c r="E2293" s="66" t="str">
        <x:v>13611042</x:v>
      </x:c>
      <x:c r="F2293" s="66" t="str">
        <x:v>TEKNOLOGI INDUSTRI PERTANIAN</x:v>
      </x:c>
      <x:c r="G2293" s="66" t="str">
        <x:v>Sarjana</x:v>
      </x:c>
      <x:c r="H2293" s="87" t="n">
        <x:v>30</x:v>
      </x:c>
      <x:c r="I2293" s="87" t="n">
        <x:v>192</x:v>
      </x:c>
      <x:c r="J2293" s="68" t="n">
        <x:f>IFERROR(H2293/I2293,"")</x:f>
        <x:v>0.15625</x:v>
      </x:c>
      <x:c r="K2293" s="69" t="n">
        <x:f>IFERROR(I2293/H2293,"")</x:f>
        <x:v>6.4</x:v>
      </x:c>
      <x:c r="L2293" s="66" t="str">
        <x:f>IF(K2293="","","1 : "&amp;TEXT(K2293,"0.0"))</x:f>
        <x:v>1 : 6.4</x:v>
      </x:c>
      <x:c r="M2293" s="66" t="str">
        <x:f>IF(J2293="","Baru/Tanpa Data",IF(J2293&lt;='Catatan &amp; Sumber'!$B$14,"Sangat Ketat",IF(J2293&lt;='Catatan &amp; Sumber'!$B$15,"Ketat",IF(J2293&lt;='Catatan &amp; Sumber'!$B$16,"Sedang","Relatif Longgar"))))</x:f>
        <x:v>Relatif Longgar</x:v>
      </x:c>
      <x:c r="N2293" s="66" t="str">
        <x:v>Tidak Ada</x:v>
      </x:c>
      <x:c r="O2293" s="66" t="str">
        <x:v>Yogyakarta</x:v>
      </x:c>
      <x:c r="P2293" s="66" t="str">
        <x:v>Kabupaten Sleman</x:v>
      </x:c>
      <x:c r="Q2293" s="66" t="str">
        <x:v>https://snpmb.id/snbp/daya-tampung-snbp</x:v>
      </x:c>
      <x:c r="R2293" s="66" t="str">
        <x:v>https://sidatagrun-public-1076756628210.asia-southeast2.run.app/ptn_sn.php?ptn=361</x:v>
      </x:c>
    </x:row>
    <x:row r="2294">
      <x:c r="A2294" s="87" t="n">
        <x:v>1364</x:v>
      </x:c>
      <x:c r="B2294" s="66" t="n">
        <x:v>361</x:v>
      </x:c>
      <x:c r="C2294" s="66" t="str">
        <x:v>UNIVERSITAS GADJAH MADA</x:v>
      </x:c>
      <x:c r="D2294" s="66" t="str">
        <x:v>PTN Akademik</x:v>
      </x:c>
      <x:c r="E2294" s="66" t="str">
        <x:v>13611043</x:v>
      </x:c>
      <x:c r="F2294" s="66" t="str">
        <x:v>HIGIENE GIGI</x:v>
      </x:c>
      <x:c r="G2294" s="66" t="str">
        <x:v>Sarjana</x:v>
      </x:c>
      <x:c r="H2294" s="87" t="n">
        <x:v>17</x:v>
      </x:c>
      <x:c r="I2294" s="87" t="n">
        <x:v>171</x:v>
      </x:c>
      <x:c r="J2294" s="68" t="n">
        <x:f>IFERROR(H2294/I2294,"")</x:f>
        <x:v>0.09941520467836257</x:v>
      </x:c>
      <x:c r="K2294" s="69" t="n">
        <x:f>IFERROR(I2294/H2294,"")</x:f>
        <x:v>10.058823529411764</x:v>
      </x:c>
      <x:c r="L2294" s="66" t="str">
        <x:f>IF(K2294="","","1 : "&amp;TEXT(K2294,"0.0"))</x:f>
        <x:v>1 : 10.1</x:v>
      </x:c>
      <x:c r="M2294" s="66" t="str">
        <x:f>IF(J2294="","Baru/Tanpa Data",IF(J2294&lt;='Catatan &amp; Sumber'!$B$14,"Sangat Ketat",IF(J2294&lt;='Catatan &amp; Sumber'!$B$15,"Ketat",IF(J2294&lt;='Catatan &amp; Sumber'!$B$16,"Sedang","Relatif Longgar"))))</x:f>
        <x:v>Sedang</x:v>
      </x:c>
      <x:c r="N2294" s="66" t="str">
        <x:v>Tidak Ada</x:v>
      </x:c>
      <x:c r="O2294" s="66" t="str">
        <x:v>Yogyakarta</x:v>
      </x:c>
      <x:c r="P2294" s="66" t="str">
        <x:v>Kabupaten Sleman</x:v>
      </x:c>
      <x:c r="Q2294" s="66" t="str">
        <x:v>https://snpmb.id/snbp/daya-tampung-snbp</x:v>
      </x:c>
      <x:c r="R2294" s="66" t="str">
        <x:v>https://sidatagrun-public-1076756628210.asia-southeast2.run.app/ptn_sn.php?ptn=361</x:v>
      </x:c>
    </x:row>
    <x:row r="2295">
      <x:c r="A2295" s="87" t="n">
        <x:v>2376</x:v>
      </x:c>
      <x:c r="B2295" s="66" t="n">
        <x:v>361</x:v>
      </x:c>
      <x:c r="C2295" s="66" t="str">
        <x:v>UNIVERSITAS GADJAH MADA</x:v>
      </x:c>
      <x:c r="D2295" s="66" t="str">
        <x:v>PTN Akademik</x:v>
      </x:c>
      <x:c r="E2295" s="66" t="str">
        <x:v>13611044</x:v>
      </x:c>
      <x:c r="F2295" s="66" t="str">
        <x:v>KEHUTANAN</x:v>
      </x:c>
      <x:c r="G2295" s="66" t="str">
        <x:v>Sarjana</x:v>
      </x:c>
      <x:c r="H2295" s="87" t="n">
        <x:v>90</x:v>
      </x:c>
      <x:c r="I2295" s="87" t="n">
        <x:v>467</x:v>
      </x:c>
      <x:c r="J2295" s="68" t="n">
        <x:f>IFERROR(H2295/I2295,"")</x:f>
        <x:v>0.19271948608137046</x:v>
      </x:c>
      <x:c r="K2295" s="69" t="n">
        <x:f>IFERROR(I2295/H2295,"")</x:f>
        <x:v>5.188888888888889</x:v>
      </x:c>
      <x:c r="L2295" s="66" t="str">
        <x:f>IF(K2295="","","1 : "&amp;TEXT(K2295,"0.0"))</x:f>
        <x:v>1 : 5.2</x:v>
      </x:c>
      <x:c r="M2295" s="66" t="str">
        <x:f>IF(J2295="","Baru/Tanpa Data",IF(J2295&lt;='Catatan &amp; Sumber'!$B$14,"Sangat Ketat",IF(J2295&lt;='Catatan &amp; Sumber'!$B$15,"Ketat",IF(J2295&lt;='Catatan &amp; Sumber'!$B$16,"Sedang","Relatif Longgar"))))</x:f>
        <x:v>Relatif Longgar</x:v>
      </x:c>
      <x:c r="N2295" s="66" t="str">
        <x:v>Tidak Ada</x:v>
      </x:c>
      <x:c r="O2295" s="66" t="str">
        <x:v>Yogyakarta</x:v>
      </x:c>
      <x:c r="P2295" s="66" t="str">
        <x:v>Kabupaten Sleman</x:v>
      </x:c>
      <x:c r="Q2295" s="66" t="str">
        <x:v>https://snpmb.id/snbp/daya-tampung-snbp</x:v>
      </x:c>
      <x:c r="R2295" s="66" t="str">
        <x:v>https://sidatagrun-public-1076756628210.asia-southeast2.run.app/ptn_sn.php?ptn=361</x:v>
      </x:c>
    </x:row>
    <x:row r="2296">
      <x:c r="A2296" s="87" t="n">
        <x:v>357</x:v>
      </x:c>
      <x:c r="B2296" s="66" t="n">
        <x:v>361</x:v>
      </x:c>
      <x:c r="C2296" s="66" t="str">
        <x:v>UNIVERSITAS GADJAH MADA</x:v>
      </x:c>
      <x:c r="D2296" s="66" t="str">
        <x:v>PTN Akademik</x:v>
      </x:c>
      <x:c r="E2296" s="66" t="str">
        <x:v>13611045</x:v>
      </x:c>
      <x:c r="F2296" s="66" t="str">
        <x:v>TEKNOLOGI INFORMASI</x:v>
      </x:c>
      <x:c r="G2296" s="66" t="str">
        <x:v>Sarjana</x:v>
      </x:c>
      <x:c r="H2296" s="87" t="n">
        <x:v>29</x:v>
      </x:c>
      <x:c r="I2296" s="87" t="n">
        <x:v>645</x:v>
      </x:c>
      <x:c r="J2296" s="68" t="n">
        <x:f>IFERROR(H2296/I2296,"")</x:f>
        <x:v>0.04496124031007752</x:v>
      </x:c>
      <x:c r="K2296" s="69" t="n">
        <x:f>IFERROR(I2296/H2296,"")</x:f>
        <x:v>22.24137931034483</x:v>
      </x:c>
      <x:c r="L2296" s="66" t="str">
        <x:f>IF(K2296="","","1 : "&amp;TEXT(K2296,"0.0"))</x:f>
        <x:v>1 : 22.2</x:v>
      </x:c>
      <x:c r="M2296" s="66" t="str">
        <x:f>IF(J2296="","Baru/Tanpa Data",IF(J2296&lt;='Catatan &amp; Sumber'!$B$14,"Sangat Ketat",IF(J2296&lt;='Catatan &amp; Sumber'!$B$15,"Ketat",IF(J2296&lt;='Catatan &amp; Sumber'!$B$16,"Sedang","Relatif Longgar"))))</x:f>
        <x:v>Ketat</x:v>
      </x:c>
      <x:c r="N2296" s="66" t="str">
        <x:v>Tidak Ada</x:v>
      </x:c>
      <x:c r="O2296" s="66" t="str">
        <x:v>Yogyakarta</x:v>
      </x:c>
      <x:c r="P2296" s="66" t="str">
        <x:v>Kabupaten Sleman</x:v>
      </x:c>
      <x:c r="Q2296" s="66" t="str">
        <x:v>https://snpmb.id/snbp/daya-tampung-snbp</x:v>
      </x:c>
      <x:c r="R2296" s="66" t="str">
        <x:v>https://sidatagrun-public-1076756628210.asia-southeast2.run.app/ptn_sn.php?ptn=361</x:v>
      </x:c>
    </x:row>
    <x:row r="2297">
      <x:c r="A2297" s="87" t="n">
        <x:v>725</x:v>
      </x:c>
      <x:c r="B2297" s="66" t="n">
        <x:v>361</x:v>
      </x:c>
      <x:c r="C2297" s="66" t="str">
        <x:v>UNIVERSITAS GADJAH MADA</x:v>
      </x:c>
      <x:c r="D2297" s="66" t="str">
        <x:v>PTN Akademik</x:v>
      </x:c>
      <x:c r="E2297" s="66" t="str">
        <x:v>13611046</x:v>
      </x:c>
      <x:c r="F2297" s="66" t="str">
        <x:v>ILMU AKTUARIA</x:v>
      </x:c>
      <x:c r="G2297" s="66" t="str">
        <x:v>Sarjana</x:v>
      </x:c>
      <x:c r="H2297" s="87" t="n">
        <x:v>17</x:v>
      </x:c>
      <x:c r="I2297" s="87" t="n">
        <x:v>268</x:v>
      </x:c>
      <x:c r="J2297" s="68" t="n">
        <x:f>IFERROR(H2297/I2297,"")</x:f>
        <x:v>0.06343283582089553</x:v>
      </x:c>
      <x:c r="K2297" s="69" t="n">
        <x:f>IFERROR(I2297/H2297,"")</x:f>
        <x:v>15.764705882352942</x:v>
      </x:c>
      <x:c r="L2297" s="66" t="str">
        <x:f>IF(K2297="","","1 : "&amp;TEXT(K2297,"0.0"))</x:f>
        <x:v>1 : 15.8</x:v>
      </x:c>
      <x:c r="M2297" s="66" t="str">
        <x:f>IF(J2297="","Baru/Tanpa Data",IF(J2297&lt;='Catatan &amp; Sumber'!$B$14,"Sangat Ketat",IF(J2297&lt;='Catatan &amp; Sumber'!$B$15,"Ketat",IF(J2297&lt;='Catatan &amp; Sumber'!$B$16,"Sedang","Relatif Longgar"))))</x:f>
        <x:v>Sedang</x:v>
      </x:c>
      <x:c r="N2297" s="66" t="str">
        <x:v>Tidak Ada</x:v>
      </x:c>
      <x:c r="O2297" s="66" t="str">
        <x:v>Yogyakarta</x:v>
      </x:c>
      <x:c r="P2297" s="66" t="str">
        <x:v>Kabupaten Sleman</x:v>
      </x:c>
      <x:c r="Q2297" s="66" t="str">
        <x:v>https://snpmb.id/snbp/daya-tampung-snbp</x:v>
      </x:c>
      <x:c r="R2297" s="66" t="str">
        <x:v>https://sidatagrun-public-1076756628210.asia-southeast2.run.app/ptn_sn.php?ptn=361</x:v>
      </x:c>
    </x:row>
    <x:row r="2298">
      <x:c r="A2298" s="87" t="n">
        <x:v>770</x:v>
      </x:c>
      <x:c r="B2298" s="66" t="n">
        <x:v>361</x:v>
      </x:c>
      <x:c r="C2298" s="66" t="str">
        <x:v>UNIVERSITAS GADJAH MADA</x:v>
      </x:c>
      <x:c r="D2298" s="66" t="str">
        <x:v>PTN Akademik</x:v>
      </x:c>
      <x:c r="E2298" s="66" t="str">
        <x:v>13611047</x:v>
      </x:c>
      <x:c r="F2298" s="66" t="str">
        <x:v>TEKNIK BIOMEDIS</x:v>
      </x:c>
      <x:c r="G2298" s="66" t="str">
        <x:v>Sarjana</x:v>
      </x:c>
      <x:c r="H2298" s="87" t="n">
        <x:v>18</x:v>
      </x:c>
      <x:c r="I2298" s="87" t="n">
        <x:v>275</x:v>
      </x:c>
      <x:c r="J2298" s="68" t="n">
        <x:f>IFERROR(H2298/I2298,"")</x:f>
        <x:v>0.06545454545454546</x:v>
      </x:c>
      <x:c r="K2298" s="69" t="n">
        <x:f>IFERROR(I2298/H2298,"")</x:f>
        <x:v>15.277777777777779</x:v>
      </x:c>
      <x:c r="L2298" s="66" t="str">
        <x:f>IF(K2298="","","1 : "&amp;TEXT(K2298,"0.0"))</x:f>
        <x:v>1 : 15.3</x:v>
      </x:c>
      <x:c r="M2298" s="66" t="str">
        <x:f>IF(J2298="","Baru/Tanpa Data",IF(J2298&lt;='Catatan &amp; Sumber'!$B$14,"Sangat Ketat",IF(J2298&lt;='Catatan &amp; Sumber'!$B$15,"Ketat",IF(J2298&lt;='Catatan &amp; Sumber'!$B$16,"Sedang","Relatif Longgar"))))</x:f>
        <x:v>Sedang</x:v>
      </x:c>
      <x:c r="N2298" s="66" t="str">
        <x:v>Tidak Ada</x:v>
      </x:c>
      <x:c r="O2298" s="66" t="str">
        <x:v>Yogyakarta</x:v>
      </x:c>
      <x:c r="P2298" s="66" t="str">
        <x:v>Kabupaten Sleman</x:v>
      </x:c>
      <x:c r="Q2298" s="66" t="str">
        <x:v>https://snpmb.id/snbp/daya-tampung-snbp</x:v>
      </x:c>
      <x:c r="R2298" s="66" t="str">
        <x:v>https://sidatagrun-public-1076756628210.asia-southeast2.run.app/ptn_sn.php?ptn=361</x:v>
      </x:c>
    </x:row>
    <x:row r="2299">
      <x:c r="A2299" s="87" t="n">
        <x:v>1038</x:v>
      </x:c>
      <x:c r="B2299" s="66" t="n">
        <x:v>361</x:v>
      </x:c>
      <x:c r="C2299" s="66" t="str">
        <x:v>UNIVERSITAS GADJAH MADA</x:v>
      </x:c>
      <x:c r="D2299" s="66" t="str">
        <x:v>PTN Akademik</x:v>
      </x:c>
      <x:c r="E2299" s="66" t="str">
        <x:v>13611062</x:v>
      </x:c>
      <x:c r="F2299" s="66" t="str">
        <x:v>TEKNIK INFRASTRUKTUR LINGKUNGAN</x:v>
      </x:c>
      <x:c r="G2299" s="66" t="str">
        <x:v>Sarjana</x:v>
      </x:c>
      <x:c r="H2299" s="87" t="n">
        <x:v>15</x:v>
      </x:c>
      <x:c r="I2299" s="87" t="n">
        <x:v>187</x:v>
      </x:c>
      <x:c r="J2299" s="68" t="n">
        <x:f>IFERROR(H2299/I2299,"")</x:f>
        <x:v>0.08021390374331551</x:v>
      </x:c>
      <x:c r="K2299" s="69" t="n">
        <x:f>IFERROR(I2299/H2299,"")</x:f>
        <x:v>12.466666666666667</x:v>
      </x:c>
      <x:c r="L2299" s="66" t="str">
        <x:f>IF(K2299="","","1 : "&amp;TEXT(K2299,"0.0"))</x:f>
        <x:v>1 : 12.5</x:v>
      </x:c>
      <x:c r="M2299" s="66" t="str">
        <x:f>IF(J2299="","Baru/Tanpa Data",IF(J2299&lt;='Catatan &amp; Sumber'!$B$14,"Sangat Ketat",IF(J2299&lt;='Catatan &amp; Sumber'!$B$15,"Ketat",IF(J2299&lt;='Catatan &amp; Sumber'!$B$16,"Sedang","Relatif Longgar"))))</x:f>
        <x:v>Sedang</x:v>
      </x:c>
      <x:c r="N2299" s="66" t="str">
        <x:v>Tidak Ada</x:v>
      </x:c>
      <x:c r="O2299" s="66" t="str">
        <x:v>Yogyakarta</x:v>
      </x:c>
      <x:c r="P2299" s="66" t="str">
        <x:v>Kabupaten Sleman</x:v>
      </x:c>
      <x:c r="Q2299" s="66" t="str">
        <x:v>https://snpmb.id/snbp/daya-tampung-snbp</x:v>
      </x:c>
      <x:c r="R2299" s="66" t="str">
        <x:v>https://sidatagrun-public-1076756628210.asia-southeast2.run.app/ptn_sn.php?ptn=361</x:v>
      </x:c>
    </x:row>
    <x:row r="2300">
      <x:c r="A2300" s="87" t="n">
        <x:v>1270</x:v>
      </x:c>
      <x:c r="B2300" s="66" t="n">
        <x:v>361</x:v>
      </x:c>
      <x:c r="C2300" s="66" t="str">
        <x:v>UNIVERSITAS GADJAH MADA</x:v>
      </x:c>
      <x:c r="D2300" s="66" t="str">
        <x:v>PTN Akademik</x:v>
      </x:c>
      <x:c r="E2300" s="66" t="str">
        <x:v>13611063</x:v>
      </x:c>
      <x:c r="F2300" s="66" t="str">
        <x:v>ILMU EKONOMI</x:v>
      </x:c>
      <x:c r="G2300" s="66" t="str">
        <x:v>Sarjana</x:v>
      </x:c>
      <x:c r="H2300" s="87" t="n">
        <x:v>30</x:v>
      </x:c>
      <x:c r="I2300" s="87" t="n">
        <x:v>319</x:v>
      </x:c>
      <x:c r="J2300" s="68" t="n">
        <x:f>IFERROR(H2300/I2300,"")</x:f>
        <x:v>0.09404388714733543</x:v>
      </x:c>
      <x:c r="K2300" s="69" t="n">
        <x:f>IFERROR(I2300/H2300,"")</x:f>
        <x:v>10.633333333333333</x:v>
      </x:c>
      <x:c r="L2300" s="66" t="str">
        <x:f>IF(K2300="","","1 : "&amp;TEXT(K2300,"0.0"))</x:f>
        <x:v>1 : 10.6</x:v>
      </x:c>
      <x:c r="M2300" s="66" t="str">
        <x:f>IF(J2300="","Baru/Tanpa Data",IF(J2300&lt;='Catatan &amp; Sumber'!$B$14,"Sangat Ketat",IF(J2300&lt;='Catatan &amp; Sumber'!$B$15,"Ketat",IF(J2300&lt;='Catatan &amp; Sumber'!$B$16,"Sedang","Relatif Longgar"))))</x:f>
        <x:v>Sedang</x:v>
      </x:c>
      <x:c r="N2300" s="66" t="str">
        <x:v>Tidak Ada</x:v>
      </x:c>
      <x:c r="O2300" s="66" t="str">
        <x:v>Yogyakarta</x:v>
      </x:c>
      <x:c r="P2300" s="66" t="str">
        <x:v>Kabupaten Sleman</x:v>
      </x:c>
      <x:c r="Q2300" s="66" t="str">
        <x:v>https://snpmb.id/snbp/daya-tampung-snbp</x:v>
      </x:c>
      <x:c r="R2300" s="66" t="str">
        <x:v>https://sidatagrun-public-1076756628210.asia-southeast2.run.app/ptn_sn.php?ptn=361</x:v>
      </x:c>
    </x:row>
    <x:row r="2301">
      <x:c r="A2301" s="87" t="n">
        <x:v>279</x:v>
      </x:c>
      <x:c r="B2301" s="66" t="n">
        <x:v>361</x:v>
      </x:c>
      <x:c r="C2301" s="66" t="str">
        <x:v>UNIVERSITAS GADJAH MADA</x:v>
      </x:c>
      <x:c r="D2301" s="66" t="str">
        <x:v>PTN Akademik</x:v>
      </x:c>
      <x:c r="E2301" s="66" t="str">
        <x:v>13611064</x:v>
      </x:c>
      <x:c r="F2301" s="66" t="str">
        <x:v>MANAJEMEN</x:v>
      </x:c>
      <x:c r="G2301" s="66" t="str">
        <x:v>Sarjana</x:v>
      </x:c>
      <x:c r="H2301" s="87" t="n">
        <x:v>45</x:v>
      </x:c>
      <x:c r="I2301" s="87" t="n">
        <x:v>1091</x:v>
      </x:c>
      <x:c r="J2301" s="68" t="n">
        <x:f>IFERROR(H2301/I2301,"")</x:f>
        <x:v>0.04124656278643447</x:v>
      </x:c>
      <x:c r="K2301" s="69" t="n">
        <x:f>IFERROR(I2301/H2301,"")</x:f>
        <x:v>24.244444444444444</x:v>
      </x:c>
      <x:c r="L2301" s="66" t="str">
        <x:f>IF(K2301="","","1 : "&amp;TEXT(K2301,"0.0"))</x:f>
        <x:v>1 : 24.2</x:v>
      </x:c>
      <x:c r="M2301" s="66" t="str">
        <x:f>IF(J2301="","Baru/Tanpa Data",IF(J2301&lt;='Catatan &amp; Sumber'!$B$14,"Sangat Ketat",IF(J2301&lt;='Catatan &amp; Sumber'!$B$15,"Ketat",IF(J2301&lt;='Catatan &amp; Sumber'!$B$16,"Sedang","Relatif Longgar"))))</x:f>
        <x:v>Ketat</x:v>
      </x:c>
      <x:c r="N2301" s="66" t="str">
        <x:v>Tidak Ada</x:v>
      </x:c>
      <x:c r="O2301" s="66" t="str">
        <x:v>Yogyakarta</x:v>
      </x:c>
      <x:c r="P2301" s="66" t="str">
        <x:v>Kabupaten Sleman</x:v>
      </x:c>
      <x:c r="Q2301" s="66" t="str">
        <x:v>https://snpmb.id/snbp/daya-tampung-snbp</x:v>
      </x:c>
      <x:c r="R2301" s="66" t="str">
        <x:v>https://sidatagrun-public-1076756628210.asia-southeast2.run.app/ptn_sn.php?ptn=361</x:v>
      </x:c>
    </x:row>
    <x:row r="2302">
      <x:c r="A2302" s="87" t="n">
        <x:v>261</x:v>
      </x:c>
      <x:c r="B2302" s="66" t="n">
        <x:v>361</x:v>
      </x:c>
      <x:c r="C2302" s="66" t="str">
        <x:v>UNIVERSITAS GADJAH MADA</x:v>
      </x:c>
      <x:c r="D2302" s="66" t="str">
        <x:v>PTN Akademik</x:v>
      </x:c>
      <x:c r="E2302" s="66" t="str">
        <x:v>13611065</x:v>
      </x:c>
      <x:c r="F2302" s="66" t="str">
        <x:v>AKUNTANSI</x:v>
      </x:c>
      <x:c r="G2302" s="66" t="str">
        <x:v>Sarjana</x:v>
      </x:c>
      <x:c r="H2302" s="87" t="n">
        <x:v>45</x:v>
      </x:c>
      <x:c r="I2302" s="87" t="n">
        <x:v>1120</x:v>
      </x:c>
      <x:c r="J2302" s="68" t="n">
        <x:f>IFERROR(H2302/I2302,"")</x:f>
        <x:v>0.04017857142857143</x:v>
      </x:c>
      <x:c r="K2302" s="69" t="n">
        <x:f>IFERROR(I2302/H2302,"")</x:f>
        <x:v>24.88888888888889</x:v>
      </x:c>
      <x:c r="L2302" s="66" t="str">
        <x:f>IF(K2302="","","1 : "&amp;TEXT(K2302,"0.0"))</x:f>
        <x:v>1 : 24.9</x:v>
      </x:c>
      <x:c r="M2302" s="66" t="str">
        <x:f>IF(J2302="","Baru/Tanpa Data",IF(J2302&lt;='Catatan &amp; Sumber'!$B$14,"Sangat Ketat",IF(J2302&lt;='Catatan &amp; Sumber'!$B$15,"Ketat",IF(J2302&lt;='Catatan &amp; Sumber'!$B$16,"Sedang","Relatif Longgar"))))</x:f>
        <x:v>Ketat</x:v>
      </x:c>
      <x:c r="N2302" s="66" t="str">
        <x:v>Tidak Ada</x:v>
      </x:c>
      <x:c r="O2302" s="66" t="str">
        <x:v>Yogyakarta</x:v>
      </x:c>
      <x:c r="P2302" s="66" t="str">
        <x:v>Kabupaten Sleman</x:v>
      </x:c>
      <x:c r="Q2302" s="66" t="str">
        <x:v>https://snpmb.id/snbp/daya-tampung-snbp</x:v>
      </x:c>
      <x:c r="R2302" s="66" t="str">
        <x:v>https://sidatagrun-public-1076756628210.asia-southeast2.run.app/ptn_sn.php?ptn=361</x:v>
      </x:c>
    </x:row>
    <x:row r="2303">
      <x:c r="A2303" s="87" t="n">
        <x:v>2593</x:v>
      </x:c>
      <x:c r="B2303" s="66" t="n">
        <x:v>361</x:v>
      </x:c>
      <x:c r="C2303" s="66" t="str">
        <x:v>UNIVERSITAS GADJAH MADA</x:v>
      </x:c>
      <x:c r="D2303" s="66" t="str">
        <x:v>PTN Akademik</x:v>
      </x:c>
      <x:c r="E2303" s="66" t="str">
        <x:v>13611066</x:v>
      </x:c>
      <x:c r="F2303" s="66" t="str">
        <x:v>FILSAFAT</x:v>
      </x:c>
      <x:c r="G2303" s="66" t="str">
        <x:v>Sarjana</x:v>
      </x:c>
      <x:c r="H2303" s="87" t="n">
        <x:v>45</x:v>
      </x:c>
      <x:c r="I2303" s="87" t="n">
        <x:v>198</x:v>
      </x:c>
      <x:c r="J2303" s="68" t="n">
        <x:f>IFERROR(H2303/I2303,"")</x:f>
        <x:v>0.22727272727272727</x:v>
      </x:c>
      <x:c r="K2303" s="69" t="n">
        <x:f>IFERROR(I2303/H2303,"")</x:f>
        <x:v>4.4</x:v>
      </x:c>
      <x:c r="L2303" s="66" t="str">
        <x:f>IF(K2303="","","1 : "&amp;TEXT(K2303,"0.0"))</x:f>
        <x:v>1 : 4.4</x:v>
      </x:c>
      <x:c r="M2303" s="66" t="str">
        <x:f>IF(J2303="","Baru/Tanpa Data",IF(J2303&lt;='Catatan &amp; Sumber'!$B$14,"Sangat Ketat",IF(J2303&lt;='Catatan &amp; Sumber'!$B$15,"Ketat",IF(J2303&lt;='Catatan &amp; Sumber'!$B$16,"Sedang","Relatif Longgar"))))</x:f>
        <x:v>Relatif Longgar</x:v>
      </x:c>
      <x:c r="N2303" s="66" t="str">
        <x:v>Tidak Ada</x:v>
      </x:c>
      <x:c r="O2303" s="66" t="str">
        <x:v>Yogyakarta</x:v>
      </x:c>
      <x:c r="P2303" s="66" t="str">
        <x:v>Kabupaten Sleman</x:v>
      </x:c>
      <x:c r="Q2303" s="66" t="str">
        <x:v>https://snpmb.id/snbp/daya-tampung-snbp</x:v>
      </x:c>
      <x:c r="R2303" s="66" t="str">
        <x:v>https://sidatagrun-public-1076756628210.asia-southeast2.run.app/ptn_sn.php?ptn=361</x:v>
      </x:c>
    </x:row>
    <x:row r="2304">
      <x:c r="A2304" s="87" t="n">
        <x:v>773</x:v>
      </x:c>
      <x:c r="B2304" s="66" t="n">
        <x:v>361</x:v>
      </x:c>
      <x:c r="C2304" s="66" t="str">
        <x:v>UNIVERSITAS GADJAH MADA</x:v>
      </x:c>
      <x:c r="D2304" s="66" t="str">
        <x:v>PTN Akademik</x:v>
      </x:c>
      <x:c r="E2304" s="66" t="str">
        <x:v>13611067</x:v>
      </x:c>
      <x:c r="F2304" s="66" t="str">
        <x:v>HUKUM</x:v>
      </x:c>
      <x:c r="G2304" s="66" t="str">
        <x:v>Sarjana</x:v>
      </x:c>
      <x:c r="H2304" s="87" t="n">
        <x:v>96</x:v>
      </x:c>
      <x:c r="I2304" s="87" t="n">
        <x:v>1463</x:v>
      </x:c>
      <x:c r="J2304" s="68" t="n">
        <x:f>IFERROR(H2304/I2304,"")</x:f>
        <x:v>0.06561859193438141</x:v>
      </x:c>
      <x:c r="K2304" s="69" t="n">
        <x:f>IFERROR(I2304/H2304,"")</x:f>
        <x:v>15.239583333333334</x:v>
      </x:c>
      <x:c r="L2304" s="66" t="str">
        <x:f>IF(K2304="","","1 : "&amp;TEXT(K2304,"0.0"))</x:f>
        <x:v>1 : 15.2</x:v>
      </x:c>
      <x:c r="M2304" s="66" t="str">
        <x:f>IF(J2304="","Baru/Tanpa Data",IF(J2304&lt;='Catatan &amp; Sumber'!$B$14,"Sangat Ketat",IF(J2304&lt;='Catatan &amp; Sumber'!$B$15,"Ketat",IF(J2304&lt;='Catatan &amp; Sumber'!$B$16,"Sedang","Relatif Longgar"))))</x:f>
        <x:v>Sedang</x:v>
      </x:c>
      <x:c r="N2304" s="66" t="str">
        <x:v>Tidak Ada</x:v>
      </x:c>
      <x:c r="O2304" s="66" t="str">
        <x:v>Yogyakarta</x:v>
      </x:c>
      <x:c r="P2304" s="66" t="str">
        <x:v>Kabupaten Sleman</x:v>
      </x:c>
      <x:c r="Q2304" s="66" t="str">
        <x:v>https://snpmb.id/snbp/daya-tampung-snbp</x:v>
      </x:c>
      <x:c r="R2304" s="66" t="str">
        <x:v>https://sidatagrun-public-1076756628210.asia-southeast2.run.app/ptn_sn.php?ptn=361</x:v>
      </x:c>
    </x:row>
    <x:row r="2305">
      <x:c r="A2305" s="87" t="n">
        <x:v>1940</x:v>
      </x:c>
      <x:c r="B2305" s="66" t="n">
        <x:v>361</x:v>
      </x:c>
      <x:c r="C2305" s="66" t="str">
        <x:v>UNIVERSITAS GADJAH MADA</x:v>
      </x:c>
      <x:c r="D2305" s="66" t="str">
        <x:v>PTN Akademik</x:v>
      </x:c>
      <x:c r="E2305" s="66" t="str">
        <x:v>13611068</x:v>
      </x:c>
      <x:c r="F2305" s="66" t="str">
        <x:v>ANTROPOLOGI BUDAYA</x:v>
      </x:c>
      <x:c r="G2305" s="66" t="str">
        <x:v>Sarjana</x:v>
      </x:c>
      <x:c r="H2305" s="87" t="n">
        <x:v>30</x:v>
      </x:c>
      <x:c r="I2305" s="87" t="n">
        <x:v>206</x:v>
      </x:c>
      <x:c r="J2305" s="68" t="n">
        <x:f>IFERROR(H2305/I2305,"")</x:f>
        <x:v>0.14563106796116504</x:v>
      </x:c>
      <x:c r="K2305" s="69" t="n">
        <x:f>IFERROR(I2305/H2305,"")</x:f>
        <x:v>6.866666666666666</x:v>
      </x:c>
      <x:c r="L2305" s="66" t="str">
        <x:f>IF(K2305="","","1 : "&amp;TEXT(K2305,"0.0"))</x:f>
        <x:v>1 : 6.9</x:v>
      </x:c>
      <x:c r="M2305" s="66" t="str">
        <x:f>IF(J2305="","Baru/Tanpa Data",IF(J2305&lt;='Catatan &amp; Sumber'!$B$14,"Sangat Ketat",IF(J2305&lt;='Catatan &amp; Sumber'!$B$15,"Ketat",IF(J2305&lt;='Catatan &amp; Sumber'!$B$16,"Sedang","Relatif Longgar"))))</x:f>
        <x:v>Relatif Longgar</x:v>
      </x:c>
      <x:c r="N2305" s="66" t="str">
        <x:v>Tidak Ada</x:v>
      </x:c>
      <x:c r="O2305" s="66" t="str">
        <x:v>Yogyakarta</x:v>
      </x:c>
      <x:c r="P2305" s="66" t="str">
        <x:v>Kabupaten Sleman</x:v>
      </x:c>
      <x:c r="Q2305" s="66" t="str">
        <x:v>https://snpmb.id/snbp/daya-tampung-snbp</x:v>
      </x:c>
      <x:c r="R2305" s="66" t="str">
        <x:v>https://sidatagrun-public-1076756628210.asia-southeast2.run.app/ptn_sn.php?ptn=361</x:v>
      </x:c>
    </x:row>
    <x:row r="2306">
      <x:c r="A2306" s="87" t="n">
        <x:v>1570</x:v>
      </x:c>
      <x:c r="B2306" s="66" t="n">
        <x:v>361</x:v>
      </x:c>
      <x:c r="C2306" s="66" t="str">
        <x:v>UNIVERSITAS GADJAH MADA</x:v>
      </x:c>
      <x:c r="D2306" s="66" t="str">
        <x:v>PTN Akademik</x:v>
      </x:c>
      <x:c r="E2306" s="66" t="str">
        <x:v>13611069</x:v>
      </x:c>
      <x:c r="F2306" s="66" t="str">
        <x:v>ARKEOLOGI</x:v>
      </x:c>
      <x:c r="G2306" s="66" t="str">
        <x:v>Sarjana</x:v>
      </x:c>
      <x:c r="H2306" s="87" t="n">
        <x:v>21</x:v>
      </x:c>
      <x:c r="I2306" s="87" t="n">
        <x:v>184</x:v>
      </x:c>
      <x:c r="J2306" s="68" t="n">
        <x:f>IFERROR(H2306/I2306,"")</x:f>
        <x:v>0.11413043478260869</x:v>
      </x:c>
      <x:c r="K2306" s="69" t="n">
        <x:f>IFERROR(I2306/H2306,"")</x:f>
        <x:v>8.761904761904763</x:v>
      </x:c>
      <x:c r="L2306" s="66" t="str">
        <x:f>IF(K2306="","","1 : "&amp;TEXT(K2306,"0.0"))</x:f>
        <x:v>1 : 8.8</x:v>
      </x:c>
      <x:c r="M2306" s="66" t="str">
        <x:f>IF(J2306="","Baru/Tanpa Data",IF(J2306&lt;='Catatan &amp; Sumber'!$B$14,"Sangat Ketat",IF(J2306&lt;='Catatan &amp; Sumber'!$B$15,"Ketat",IF(J2306&lt;='Catatan &amp; Sumber'!$B$16,"Sedang","Relatif Longgar"))))</x:f>
        <x:v>Relatif Longgar</x:v>
      </x:c>
      <x:c r="N2306" s="66" t="str">
        <x:v>Tidak Ada</x:v>
      </x:c>
      <x:c r="O2306" s="66" t="str">
        <x:v>Yogyakarta</x:v>
      </x:c>
      <x:c r="P2306" s="66" t="str">
        <x:v>Kabupaten Sleman</x:v>
      </x:c>
      <x:c r="Q2306" s="66" t="str">
        <x:v>https://snpmb.id/snbp/daya-tampung-snbp</x:v>
      </x:c>
      <x:c r="R2306" s="66" t="str">
        <x:v>https://sidatagrun-public-1076756628210.asia-southeast2.run.app/ptn_sn.php?ptn=361</x:v>
      </x:c>
    </x:row>
    <x:row r="2307">
      <x:c r="A2307" s="87" t="n">
        <x:v>1667</x:v>
      </x:c>
      <x:c r="B2307" s="66" t="n">
        <x:v>361</x:v>
      </x:c>
      <x:c r="C2307" s="66" t="str">
        <x:v>UNIVERSITAS GADJAH MADA</x:v>
      </x:c>
      <x:c r="D2307" s="66" t="str">
        <x:v>PTN Akademik</x:v>
      </x:c>
      <x:c r="E2307" s="66" t="str">
        <x:v>13611070</x:v>
      </x:c>
      <x:c r="F2307" s="66" t="str">
        <x:v>SEJARAH</x:v>
      </x:c>
      <x:c r="G2307" s="66" t="str">
        <x:v>Sarjana</x:v>
      </x:c>
      <x:c r="H2307" s="87" t="n">
        <x:v>18</x:v>
      </x:c>
      <x:c r="I2307" s="87" t="n">
        <x:v>148</x:v>
      </x:c>
      <x:c r="J2307" s="68" t="n">
        <x:f>IFERROR(H2307/I2307,"")</x:f>
        <x:v>0.12162162162162163</x:v>
      </x:c>
      <x:c r="K2307" s="69" t="n">
        <x:f>IFERROR(I2307/H2307,"")</x:f>
        <x:v>8.222222222222221</x:v>
      </x:c>
      <x:c r="L2307" s="66" t="str">
        <x:f>IF(K2307="","","1 : "&amp;TEXT(K2307,"0.0"))</x:f>
        <x:v>1 : 8.2</x:v>
      </x:c>
      <x:c r="M2307" s="66" t="str">
        <x:f>IF(J2307="","Baru/Tanpa Data",IF(J2307&lt;='Catatan &amp; Sumber'!$B$14,"Sangat Ketat",IF(J2307&lt;='Catatan &amp; Sumber'!$B$15,"Ketat",IF(J2307&lt;='Catatan &amp; Sumber'!$B$16,"Sedang","Relatif Longgar"))))</x:f>
        <x:v>Relatif Longgar</x:v>
      </x:c>
      <x:c r="N2307" s="66" t="str">
        <x:v>Tidak Ada</x:v>
      </x:c>
      <x:c r="O2307" s="66" t="str">
        <x:v>Yogyakarta</x:v>
      </x:c>
      <x:c r="P2307" s="66" t="str">
        <x:v>Kabupaten Sleman</x:v>
      </x:c>
      <x:c r="Q2307" s="66" t="str">
        <x:v>https://snpmb.id/snbp/daya-tampung-snbp</x:v>
      </x:c>
      <x:c r="R2307" s="66" t="str">
        <x:v>https://sidatagrun-public-1076756628210.asia-southeast2.run.app/ptn_sn.php?ptn=361</x:v>
      </x:c>
    </x:row>
    <x:row r="2308">
      <x:c r="A2308" s="87" t="n">
        <x:v>1000</x:v>
      </x:c>
      <x:c r="B2308" s="66" t="n">
        <x:v>361</x:v>
      </x:c>
      <x:c r="C2308" s="66" t="str">
        <x:v>UNIVERSITAS GADJAH MADA</x:v>
      </x:c>
      <x:c r="D2308" s="66" t="str">
        <x:v>PTN Akademik</x:v>
      </x:c>
      <x:c r="E2308" s="66" t="str">
        <x:v>13611071</x:v>
      </x:c>
      <x:c r="F2308" s="66" t="str">
        <x:v>SASTRA ARAB</x:v>
      </x:c>
      <x:c r="G2308" s="66" t="str">
        <x:v>Sarjana</x:v>
      </x:c>
      <x:c r="H2308" s="87" t="n">
        <x:v>21</x:v>
      </x:c>
      <x:c r="I2308" s="87" t="n">
        <x:v>269</x:v>
      </x:c>
      <x:c r="J2308" s="68" t="n">
        <x:f>IFERROR(H2308/I2308,"")</x:f>
        <x:v>0.07806691449814127</x:v>
      </x:c>
      <x:c r="K2308" s="69" t="n">
        <x:f>IFERROR(I2308/H2308,"")</x:f>
        <x:v>12.80952380952381</x:v>
      </x:c>
      <x:c r="L2308" s="66" t="str">
        <x:f>IF(K2308="","","1 : "&amp;TEXT(K2308,"0.0"))</x:f>
        <x:v>1 : 12.8</x:v>
      </x:c>
      <x:c r="M2308" s="66" t="str">
        <x:f>IF(J2308="","Baru/Tanpa Data",IF(J2308&lt;='Catatan &amp; Sumber'!$B$14,"Sangat Ketat",IF(J2308&lt;='Catatan &amp; Sumber'!$B$15,"Ketat",IF(J2308&lt;='Catatan &amp; Sumber'!$B$16,"Sedang","Relatif Longgar"))))</x:f>
        <x:v>Sedang</x:v>
      </x:c>
      <x:c r="N2308" s="66" t="str">
        <x:v>Tidak Ada</x:v>
      </x:c>
      <x:c r="O2308" s="66" t="str">
        <x:v>Yogyakarta</x:v>
      </x:c>
      <x:c r="P2308" s="66" t="str">
        <x:v>Kabupaten Sleman</x:v>
      </x:c>
      <x:c r="Q2308" s="66" t="str">
        <x:v>https://snpmb.id/snbp/daya-tampung-snbp</x:v>
      </x:c>
      <x:c r="R2308" s="66" t="str">
        <x:v>https://sidatagrun-public-1076756628210.asia-southeast2.run.app/ptn_sn.php?ptn=361</x:v>
      </x:c>
    </x:row>
    <x:row r="2309">
      <x:c r="A2309" s="87" t="n">
        <x:v>1484</x:v>
      </x:c>
      <x:c r="B2309" s="66" t="n">
        <x:v>361</x:v>
      </x:c>
      <x:c r="C2309" s="66" t="str">
        <x:v>UNIVERSITAS GADJAH MADA</x:v>
      </x:c>
      <x:c r="D2309" s="66" t="str">
        <x:v>PTN Akademik</x:v>
      </x:c>
      <x:c r="E2309" s="66" t="str">
        <x:v>13611072</x:v>
      </x:c>
      <x:c r="F2309" s="66" t="str">
        <x:v>BAHASA DAN SASTRA INDONESIA</x:v>
      </x:c>
      <x:c r="G2309" s="66" t="str">
        <x:v>Sarjana</x:v>
      </x:c>
      <x:c r="H2309" s="87" t="n">
        <x:v>30</x:v>
      </x:c>
      <x:c r="I2309" s="87" t="n">
        <x:v>276</x:v>
      </x:c>
      <x:c r="J2309" s="68" t="n">
        <x:f>IFERROR(H2309/I2309,"")</x:f>
        <x:v>0.10869565217391304</x:v>
      </x:c>
      <x:c r="K2309" s="69" t="n">
        <x:f>IFERROR(I2309/H2309,"")</x:f>
        <x:v>9.2</x:v>
      </x:c>
      <x:c r="L2309" s="66" t="str">
        <x:f>IF(K2309="","","1 : "&amp;TEXT(K2309,"0.0"))</x:f>
        <x:v>1 : 9.2</x:v>
      </x:c>
      <x:c r="M2309" s="66" t="str">
        <x:f>IF(J2309="","Baru/Tanpa Data",IF(J2309&lt;='Catatan &amp; Sumber'!$B$14,"Sangat Ketat",IF(J2309&lt;='Catatan &amp; Sumber'!$B$15,"Ketat",IF(J2309&lt;='Catatan &amp; Sumber'!$B$16,"Sedang","Relatif Longgar"))))</x:f>
        <x:v>Relatif Longgar</x:v>
      </x:c>
      <x:c r="N2309" s="66" t="str">
        <x:v>Tidak Ada</x:v>
      </x:c>
      <x:c r="O2309" s="66" t="str">
        <x:v>Yogyakarta</x:v>
      </x:c>
      <x:c r="P2309" s="66" t="str">
        <x:v>Kabupaten Sleman</x:v>
      </x:c>
      <x:c r="Q2309" s="66" t="str">
        <x:v>https://snpmb.id/snbp/daya-tampung-snbp</x:v>
      </x:c>
      <x:c r="R2309" s="66" t="str">
        <x:v>https://sidatagrun-public-1076756628210.asia-southeast2.run.app/ptn_sn.php?ptn=361</x:v>
      </x:c>
    </x:row>
    <x:row r="2310">
      <x:c r="A2310" s="87" t="n">
        <x:v>638</x:v>
      </x:c>
      <x:c r="B2310" s="66" t="n">
        <x:v>361</x:v>
      </x:c>
      <x:c r="C2310" s="66" t="str">
        <x:v>UNIVERSITAS GADJAH MADA</x:v>
      </x:c>
      <x:c r="D2310" s="66" t="str">
        <x:v>PTN Akademik</x:v>
      </x:c>
      <x:c r="E2310" s="66" t="str">
        <x:v>13611073</x:v>
      </x:c>
      <x:c r="F2310" s="66" t="str">
        <x:v>SASTRA INGGRIS</x:v>
      </x:c>
      <x:c r="G2310" s="66" t="str">
        <x:v>Sarjana</x:v>
      </x:c>
      <x:c r="H2310" s="87" t="n">
        <x:v>21</x:v>
      </x:c>
      <x:c r="I2310" s="87" t="n">
        <x:v>356</x:v>
      </x:c>
      <x:c r="J2310" s="68" t="n">
        <x:f>IFERROR(H2310/I2310,"")</x:f>
        <x:v>0.05898876404494382</x:v>
      </x:c>
      <x:c r="K2310" s="69" t="n">
        <x:f>IFERROR(I2310/H2310,"")</x:f>
        <x:v>16.952380952380953</x:v>
      </x:c>
      <x:c r="L2310" s="66" t="str">
        <x:f>IF(K2310="","","1 : "&amp;TEXT(K2310,"0.0"))</x:f>
        <x:v>1 : 17.0</x:v>
      </x:c>
      <x:c r="M2310" s="66" t="str">
        <x:f>IF(J2310="","Baru/Tanpa Data",IF(J2310&lt;='Catatan &amp; Sumber'!$B$14,"Sangat Ketat",IF(J2310&lt;='Catatan &amp; Sumber'!$B$15,"Ketat",IF(J2310&lt;='Catatan &amp; Sumber'!$B$16,"Sedang","Relatif Longgar"))))</x:f>
        <x:v>Sedang</x:v>
      </x:c>
      <x:c r="N2310" s="66" t="str">
        <x:v>Tidak Ada</x:v>
      </x:c>
      <x:c r="O2310" s="66" t="str">
        <x:v>Yogyakarta</x:v>
      </x:c>
      <x:c r="P2310" s="66" t="str">
        <x:v>Kabupaten Sleman</x:v>
      </x:c>
      <x:c r="Q2310" s="66" t="str">
        <x:v>https://snpmb.id/snbp/daya-tampung-snbp</x:v>
      </x:c>
      <x:c r="R2310" s="66" t="str">
        <x:v>https://sidatagrun-public-1076756628210.asia-southeast2.run.app/ptn_sn.php?ptn=361</x:v>
      </x:c>
    </x:row>
    <x:row r="2311">
      <x:c r="A2311" s="87" t="n">
        <x:v>1907</x:v>
      </x:c>
      <x:c r="B2311" s="66" t="n">
        <x:v>361</x:v>
      </x:c>
      <x:c r="C2311" s="66" t="str">
        <x:v>UNIVERSITAS GADJAH MADA</x:v>
      </x:c>
      <x:c r="D2311" s="66" t="str">
        <x:v>PTN Akademik</x:v>
      </x:c>
      <x:c r="E2311" s="66" t="str">
        <x:v>13611074</x:v>
      </x:c>
      <x:c r="F2311" s="66" t="str">
        <x:v>BAHASA, SASTRA, DAN BUDAYA JAWA</x:v>
      </x:c>
      <x:c r="G2311" s="66" t="str">
        <x:v>Sarjana</x:v>
      </x:c>
      <x:c r="H2311" s="87" t="n">
        <x:v>15</x:v>
      </x:c>
      <x:c r="I2311" s="87" t="n">
        <x:v>106</x:v>
      </x:c>
      <x:c r="J2311" s="68" t="n">
        <x:f>IFERROR(H2311/I2311,"")</x:f>
        <x:v>0.14150943396226415</x:v>
      </x:c>
      <x:c r="K2311" s="69" t="n">
        <x:f>IFERROR(I2311/H2311,"")</x:f>
        <x:v>7.066666666666666</x:v>
      </x:c>
      <x:c r="L2311" s="66" t="str">
        <x:f>IF(K2311="","","1 : "&amp;TEXT(K2311,"0.0"))</x:f>
        <x:v>1 : 7.1</x:v>
      </x:c>
      <x:c r="M2311" s="66" t="str">
        <x:f>IF(J2311="","Baru/Tanpa Data",IF(J2311&lt;='Catatan &amp; Sumber'!$B$14,"Sangat Ketat",IF(J2311&lt;='Catatan &amp; Sumber'!$B$15,"Ketat",IF(J2311&lt;='Catatan &amp; Sumber'!$B$16,"Sedang","Relatif Longgar"))))</x:f>
        <x:v>Relatif Longgar</x:v>
      </x:c>
      <x:c r="N2311" s="66" t="str">
        <x:v>Tidak Ada</x:v>
      </x:c>
      <x:c r="O2311" s="66" t="str">
        <x:v>Yogyakarta</x:v>
      </x:c>
      <x:c r="P2311" s="66" t="str">
        <x:v>Kabupaten Sleman</x:v>
      </x:c>
      <x:c r="Q2311" s="66" t="str">
        <x:v>https://snpmb.id/snbp/daya-tampung-snbp</x:v>
      </x:c>
      <x:c r="R2311" s="66" t="str">
        <x:v>https://sidatagrun-public-1076756628210.asia-southeast2.run.app/ptn_sn.php?ptn=361</x:v>
      </x:c>
    </x:row>
    <x:row r="2312">
      <x:c r="A2312" s="87" t="n">
        <x:v>1873</x:v>
      </x:c>
      <x:c r="B2312" s="66" t="n">
        <x:v>361</x:v>
      </x:c>
      <x:c r="C2312" s="66" t="str">
        <x:v>UNIVERSITAS GADJAH MADA</x:v>
      </x:c>
      <x:c r="D2312" s="66" t="str">
        <x:v>PTN Akademik</x:v>
      </x:c>
      <x:c r="E2312" s="66" t="str">
        <x:v>13611075</x:v>
      </x:c>
      <x:c r="F2312" s="66" t="str">
        <x:v>BAHASA DAN SASTRA PRANCIS</x:v>
      </x:c>
      <x:c r="G2312" s="66" t="str">
        <x:v>Sarjana</x:v>
      </x:c>
      <x:c r="H2312" s="87" t="n">
        <x:v>14</x:v>
      </x:c>
      <x:c r="I2312" s="87" t="n">
        <x:v>101</x:v>
      </x:c>
      <x:c r="J2312" s="68" t="n">
        <x:f>IFERROR(H2312/I2312,"")</x:f>
        <x:v>0.13861386138613863</x:v>
      </x:c>
      <x:c r="K2312" s="69" t="n">
        <x:f>IFERROR(I2312/H2312,"")</x:f>
        <x:v>7.214285714285714</x:v>
      </x:c>
      <x:c r="L2312" s="66" t="str">
        <x:f>IF(K2312="","","1 : "&amp;TEXT(K2312,"0.0"))</x:f>
        <x:v>1 : 7.2</x:v>
      </x:c>
      <x:c r="M2312" s="66" t="str">
        <x:f>IF(J2312="","Baru/Tanpa Data",IF(J2312&lt;='Catatan &amp; Sumber'!$B$14,"Sangat Ketat",IF(J2312&lt;='Catatan &amp; Sumber'!$B$15,"Ketat",IF(J2312&lt;='Catatan &amp; Sumber'!$B$16,"Sedang","Relatif Longgar"))))</x:f>
        <x:v>Relatif Longgar</x:v>
      </x:c>
      <x:c r="N2312" s="66" t="str">
        <x:v>Tidak Ada</x:v>
      </x:c>
      <x:c r="O2312" s="66" t="str">
        <x:v>Yogyakarta</x:v>
      </x:c>
      <x:c r="P2312" s="66" t="str">
        <x:v>Kabupaten Sleman</x:v>
      </x:c>
      <x:c r="Q2312" s="66" t="str">
        <x:v>https://snpmb.id/snbp/daya-tampung-snbp</x:v>
      </x:c>
      <x:c r="R2312" s="66" t="str">
        <x:v>https://sidatagrun-public-1076756628210.asia-southeast2.run.app/ptn_sn.php?ptn=361</x:v>
      </x:c>
    </x:row>
    <x:row r="2313">
      <x:c r="A2313" s="87" t="n">
        <x:v>1116</x:v>
      </x:c>
      <x:c r="B2313" s="66" t="n">
        <x:v>361</x:v>
      </x:c>
      <x:c r="C2313" s="66" t="str">
        <x:v>UNIVERSITAS GADJAH MADA</x:v>
      </x:c>
      <x:c r="D2313" s="66" t="str">
        <x:v>PTN Akademik</x:v>
      </x:c>
      <x:c r="E2313" s="66" t="str">
        <x:v>13611076</x:v>
      </x:c>
      <x:c r="F2313" s="66" t="str">
        <x:v>BAHASA DAN KEBUDAYAAN JEPANG</x:v>
      </x:c>
      <x:c r="G2313" s="66" t="str">
        <x:v>Sarjana</x:v>
      </x:c>
      <x:c r="H2313" s="87" t="n">
        <x:v>18</x:v>
      </x:c>
      <x:c r="I2313" s="87" t="n">
        <x:v>212</x:v>
      </x:c>
      <x:c r="J2313" s="68" t="n">
        <x:f>IFERROR(H2313/I2313,"")</x:f>
        <x:v>0.08490566037735849</x:v>
      </x:c>
      <x:c r="K2313" s="69" t="n">
        <x:f>IFERROR(I2313/H2313,"")</x:f>
        <x:v>11.777777777777779</x:v>
      </x:c>
      <x:c r="L2313" s="66" t="str">
        <x:f>IF(K2313="","","1 : "&amp;TEXT(K2313,"0.0"))</x:f>
        <x:v>1 : 11.8</x:v>
      </x:c>
      <x:c r="M2313" s="66" t="str">
        <x:f>IF(J2313="","Baru/Tanpa Data",IF(J2313&lt;='Catatan &amp; Sumber'!$B$14,"Sangat Ketat",IF(J2313&lt;='Catatan &amp; Sumber'!$B$15,"Ketat",IF(J2313&lt;='Catatan &amp; Sumber'!$B$16,"Sedang","Relatif Longgar"))))</x:f>
        <x:v>Sedang</x:v>
      </x:c>
      <x:c r="N2313" s="66" t="str">
        <x:v>Tidak Ada</x:v>
      </x:c>
      <x:c r="O2313" s="66" t="str">
        <x:v>Yogyakarta</x:v>
      </x:c>
      <x:c r="P2313" s="66" t="str">
        <x:v>Kabupaten Sleman</x:v>
      </x:c>
      <x:c r="Q2313" s="66" t="str">
        <x:v>https://snpmb.id/snbp/daya-tampung-snbp</x:v>
      </x:c>
      <x:c r="R2313" s="66" t="str">
        <x:v>https://sidatagrun-public-1076756628210.asia-southeast2.run.app/ptn_sn.php?ptn=361</x:v>
      </x:c>
    </x:row>
    <x:row r="2314">
      <x:c r="A2314" s="87" t="n">
        <x:v>1041</x:v>
      </x:c>
      <x:c r="B2314" s="66" t="n">
        <x:v>361</x:v>
      </x:c>
      <x:c r="C2314" s="66" t="str">
        <x:v>UNIVERSITAS GADJAH MADA</x:v>
      </x:c>
      <x:c r="D2314" s="66" t="str">
        <x:v>PTN Akademik</x:v>
      </x:c>
      <x:c r="E2314" s="66" t="str">
        <x:v>13611077</x:v>
      </x:c>
      <x:c r="F2314" s="66" t="str">
        <x:v>BAHASA DAN KEBUDAYAAN KOREA</x:v>
      </x:c>
      <x:c r="G2314" s="66" t="str">
        <x:v>Sarjana</x:v>
      </x:c>
      <x:c r="H2314" s="87" t="n">
        <x:v>18</x:v>
      </x:c>
      <x:c r="I2314" s="87" t="n">
        <x:v>224</x:v>
      </x:c>
      <x:c r="J2314" s="68" t="n">
        <x:f>IFERROR(H2314/I2314,"")</x:f>
        <x:v>0.08035714285714286</x:v>
      </x:c>
      <x:c r="K2314" s="69" t="n">
        <x:f>IFERROR(I2314/H2314,"")</x:f>
        <x:v>12.444444444444445</x:v>
      </x:c>
      <x:c r="L2314" s="66" t="str">
        <x:f>IF(K2314="","","1 : "&amp;TEXT(K2314,"0.0"))</x:f>
        <x:v>1 : 12.4</x:v>
      </x:c>
      <x:c r="M2314" s="66" t="str">
        <x:f>IF(J2314="","Baru/Tanpa Data",IF(J2314&lt;='Catatan &amp; Sumber'!$B$14,"Sangat Ketat",IF(J2314&lt;='Catatan &amp; Sumber'!$B$15,"Ketat",IF(J2314&lt;='Catatan &amp; Sumber'!$B$16,"Sedang","Relatif Longgar"))))</x:f>
        <x:v>Sedang</x:v>
      </x:c>
      <x:c r="N2314" s="66" t="str">
        <x:v>Tidak Ada</x:v>
      </x:c>
      <x:c r="O2314" s="66" t="str">
        <x:v>Yogyakarta</x:v>
      </x:c>
      <x:c r="P2314" s="66" t="str">
        <x:v>Kabupaten Sleman</x:v>
      </x:c>
      <x:c r="Q2314" s="66" t="str">
        <x:v>https://snpmb.id/snbp/daya-tampung-snbp</x:v>
      </x:c>
      <x:c r="R2314" s="66" t="str">
        <x:v>https://sidatagrun-public-1076756628210.asia-southeast2.run.app/ptn_sn.php?ptn=361</x:v>
      </x:c>
    </x:row>
    <x:row r="2315">
      <x:c r="A2315" s="87" t="n">
        <x:v>1225</x:v>
      </x:c>
      <x:c r="B2315" s="66" t="n">
        <x:v>361</x:v>
      </x:c>
      <x:c r="C2315" s="66" t="str">
        <x:v>UNIVERSITAS GADJAH MADA</x:v>
      </x:c>
      <x:c r="D2315" s="66" t="str">
        <x:v>PTN Akademik</x:v>
      </x:c>
      <x:c r="E2315" s="66" t="str">
        <x:v>13611078</x:v>
      </x:c>
      <x:c r="F2315" s="66" t="str">
        <x:v>MANAJEMEN DAN KEBIJAKAN PUBLIK</x:v>
      </x:c>
      <x:c r="G2315" s="66" t="str">
        <x:v>Sarjana</x:v>
      </x:c>
      <x:c r="H2315" s="87" t="n">
        <x:v>24</x:v>
      </x:c>
      <x:c r="I2315" s="87" t="n">
        <x:v>262</x:v>
      </x:c>
      <x:c r="J2315" s="68" t="n">
        <x:f>IFERROR(H2315/I2315,"")</x:f>
        <x:v>0.0916030534351145</x:v>
      </x:c>
      <x:c r="K2315" s="69" t="n">
        <x:f>IFERROR(I2315/H2315,"")</x:f>
        <x:v>10.916666666666666</x:v>
      </x:c>
      <x:c r="L2315" s="66" t="str">
        <x:f>IF(K2315="","","1 : "&amp;TEXT(K2315,"0.0"))</x:f>
        <x:v>1 : 10.9</x:v>
      </x:c>
      <x:c r="M2315" s="66" t="str">
        <x:f>IF(J2315="","Baru/Tanpa Data",IF(J2315&lt;='Catatan &amp; Sumber'!$B$14,"Sangat Ketat",IF(J2315&lt;='Catatan &amp; Sumber'!$B$15,"Ketat",IF(J2315&lt;='Catatan &amp; Sumber'!$B$16,"Sedang","Relatif Longgar"))))</x:f>
        <x:v>Sedang</x:v>
      </x:c>
      <x:c r="N2315" s="66" t="str">
        <x:v>Tidak Ada</x:v>
      </x:c>
      <x:c r="O2315" s="66" t="str">
        <x:v>Yogyakarta</x:v>
      </x:c>
      <x:c r="P2315" s="66" t="str">
        <x:v>Kabupaten Sleman</x:v>
      </x:c>
      <x:c r="Q2315" s="66" t="str">
        <x:v>https://snpmb.id/snbp/daya-tampung-snbp</x:v>
      </x:c>
      <x:c r="R2315" s="66" t="str">
        <x:v>https://sidatagrun-public-1076756628210.asia-southeast2.run.app/ptn_sn.php?ptn=361</x:v>
      </x:c>
    </x:row>
    <x:row r="2316">
      <x:c r="A2316" s="87" t="n">
        <x:v>400</x:v>
      </x:c>
      <x:c r="B2316" s="66" t="n">
        <x:v>361</x:v>
      </x:c>
      <x:c r="C2316" s="66" t="str">
        <x:v>UNIVERSITAS GADJAH MADA</x:v>
      </x:c>
      <x:c r="D2316" s="66" t="str">
        <x:v>PTN Akademik</x:v>
      </x:c>
      <x:c r="E2316" s="66" t="str">
        <x:v>13611079</x:v>
      </x:c>
      <x:c r="F2316" s="66" t="str">
        <x:v>ILMU HUBUNGAN INTERNASIONAL</x:v>
      </x:c>
      <x:c r="G2316" s="66" t="str">
        <x:v>Sarjana</x:v>
      </x:c>
      <x:c r="H2316" s="87" t="n">
        <x:v>24</x:v>
      </x:c>
      <x:c r="I2316" s="87" t="n">
        <x:v>515</x:v>
      </x:c>
      <x:c r="J2316" s="68" t="n">
        <x:f>IFERROR(H2316/I2316,"")</x:f>
        <x:v>0.04660194174757282</x:v>
      </x:c>
      <x:c r="K2316" s="69" t="n">
        <x:f>IFERROR(I2316/H2316,"")</x:f>
        <x:v>21.458333333333332</x:v>
      </x:c>
      <x:c r="L2316" s="66" t="str">
        <x:f>IF(K2316="","","1 : "&amp;TEXT(K2316,"0.0"))</x:f>
        <x:v>1 : 21.5</x:v>
      </x:c>
      <x:c r="M2316" s="66" t="str">
        <x:f>IF(J2316="","Baru/Tanpa Data",IF(J2316&lt;='Catatan &amp; Sumber'!$B$14,"Sangat Ketat",IF(J2316&lt;='Catatan &amp; Sumber'!$B$15,"Ketat",IF(J2316&lt;='Catatan &amp; Sumber'!$B$16,"Sedang","Relatif Longgar"))))</x:f>
        <x:v>Ketat</x:v>
      </x:c>
      <x:c r="N2316" s="66" t="str">
        <x:v>Tidak Ada</x:v>
      </x:c>
      <x:c r="O2316" s="66" t="str">
        <x:v>Yogyakarta</x:v>
      </x:c>
      <x:c r="P2316" s="66" t="str">
        <x:v>Kabupaten Sleman</x:v>
      </x:c>
      <x:c r="Q2316" s="66" t="str">
        <x:v>https://snpmb.id/snbp/daya-tampung-snbp</x:v>
      </x:c>
      <x:c r="R2316" s="66" t="str">
        <x:v>https://sidatagrun-public-1076756628210.asia-southeast2.run.app/ptn_sn.php?ptn=361</x:v>
      </x:c>
    </x:row>
    <x:row r="2317">
      <x:c r="A2317" s="87" t="n">
        <x:v>1401</x:v>
      </x:c>
      <x:c r="B2317" s="66" t="n">
        <x:v>361</x:v>
      </x:c>
      <x:c r="C2317" s="66" t="str">
        <x:v>UNIVERSITAS GADJAH MADA</x:v>
      </x:c>
      <x:c r="D2317" s="66" t="str">
        <x:v>PTN Akademik</x:v>
      </x:c>
      <x:c r="E2317" s="66" t="str">
        <x:v>13611080</x:v>
      </x:c>
      <x:c r="F2317" s="66" t="str">
        <x:v>POLITIK DAN PEMERINTAHAN</x:v>
      </x:c>
      <x:c r="G2317" s="66" t="str">
        <x:v>Sarjana</x:v>
      </x:c>
      <x:c r="H2317" s="87" t="n">
        <x:v>24</x:v>
      </x:c>
      <x:c r="I2317" s="87" t="n">
        <x:v>235</x:v>
      </x:c>
      <x:c r="J2317" s="68" t="n">
        <x:f>IFERROR(H2317/I2317,"")</x:f>
        <x:v>0.10212765957446808</x:v>
      </x:c>
      <x:c r="K2317" s="69" t="n">
        <x:f>IFERROR(I2317/H2317,"")</x:f>
        <x:v>9.791666666666666</x:v>
      </x:c>
      <x:c r="L2317" s="66" t="str">
        <x:f>IF(K2317="","","1 : "&amp;TEXT(K2317,"0.0"))</x:f>
        <x:v>1 : 9.8</x:v>
      </x:c>
      <x:c r="M2317" s="66" t="str">
        <x:f>IF(J2317="","Baru/Tanpa Data",IF(J2317&lt;='Catatan &amp; Sumber'!$B$14,"Sangat Ketat",IF(J2317&lt;='Catatan &amp; Sumber'!$B$15,"Ketat",IF(J2317&lt;='Catatan &amp; Sumber'!$B$16,"Sedang","Relatif Longgar"))))</x:f>
        <x:v>Relatif Longgar</x:v>
      </x:c>
      <x:c r="N2317" s="66" t="str">
        <x:v>Tidak Ada</x:v>
      </x:c>
      <x:c r="O2317" s="66" t="str">
        <x:v>Yogyakarta</x:v>
      </x:c>
      <x:c r="P2317" s="66" t="str">
        <x:v>Kabupaten Sleman</x:v>
      </x:c>
      <x:c r="Q2317" s="66" t="str">
        <x:v>https://snpmb.id/snbp/daya-tampung-snbp</x:v>
      </x:c>
      <x:c r="R2317" s="66" t="str">
        <x:v>https://sidatagrun-public-1076756628210.asia-southeast2.run.app/ptn_sn.php?ptn=361</x:v>
      </x:c>
    </x:row>
    <x:row r="2318">
      <x:c r="A2318" s="87" t="n">
        <x:v>1160</x:v>
      </x:c>
      <x:c r="B2318" s="66" t="n">
        <x:v>361</x:v>
      </x:c>
      <x:c r="C2318" s="66" t="str">
        <x:v>UNIVERSITAS GADJAH MADA</x:v>
      </x:c>
      <x:c r="D2318" s="66" t="str">
        <x:v>PTN Akademik</x:v>
      </x:c>
      <x:c r="E2318" s="66" t="str">
        <x:v>13611081</x:v>
      </x:c>
      <x:c r="F2318" s="66" t="str">
        <x:v>PEMBANGUNAN SOSIAL DAN KESEJAHTERAAN</x:v>
      </x:c>
      <x:c r="G2318" s="66" t="str">
        <x:v>Sarjana</x:v>
      </x:c>
      <x:c r="H2318" s="87" t="n">
        <x:v>24</x:v>
      </x:c>
      <x:c r="I2318" s="87" t="n">
        <x:v>274</x:v>
      </x:c>
      <x:c r="J2318" s="68" t="n">
        <x:f>IFERROR(H2318/I2318,"")</x:f>
        <x:v>0.08759124087591241</x:v>
      </x:c>
      <x:c r="K2318" s="69" t="n">
        <x:f>IFERROR(I2318/H2318,"")</x:f>
        <x:v>11.416666666666666</x:v>
      </x:c>
      <x:c r="L2318" s="66" t="str">
        <x:f>IF(K2318="","","1 : "&amp;TEXT(K2318,"0.0"))</x:f>
        <x:v>1 : 11.4</x:v>
      </x:c>
      <x:c r="M2318" s="66" t="str">
        <x:f>IF(J2318="","Baru/Tanpa Data",IF(J2318&lt;='Catatan &amp; Sumber'!$B$14,"Sangat Ketat",IF(J2318&lt;='Catatan &amp; Sumber'!$B$15,"Ketat",IF(J2318&lt;='Catatan &amp; Sumber'!$B$16,"Sedang","Relatif Longgar"))))</x:f>
        <x:v>Sedang</x:v>
      </x:c>
      <x:c r="N2318" s="66" t="str">
        <x:v>Tidak Ada</x:v>
      </x:c>
      <x:c r="O2318" s="66" t="str">
        <x:v>Yogyakarta</x:v>
      </x:c>
      <x:c r="P2318" s="66" t="str">
        <x:v>Kabupaten Sleman</x:v>
      </x:c>
      <x:c r="Q2318" s="66" t="str">
        <x:v>https://snpmb.id/snbp/daya-tampung-snbp</x:v>
      </x:c>
      <x:c r="R2318" s="66" t="str">
        <x:v>https://sidatagrun-public-1076756628210.asia-southeast2.run.app/ptn_sn.php?ptn=361</x:v>
      </x:c>
    </x:row>
    <x:row r="2319">
      <x:c r="A2319" s="87" t="n">
        <x:v>221</x:v>
      </x:c>
      <x:c r="B2319" s="66" t="n">
        <x:v>361</x:v>
      </x:c>
      <x:c r="C2319" s="66" t="str">
        <x:v>UNIVERSITAS GADJAH MADA</x:v>
      </x:c>
      <x:c r="D2319" s="66" t="str">
        <x:v>PTN Akademik</x:v>
      </x:c>
      <x:c r="E2319" s="66" t="str">
        <x:v>13611082</x:v>
      </x:c>
      <x:c r="F2319" s="66" t="str">
        <x:v>ILMU KOMUNIKASI</x:v>
      </x:c>
      <x:c r="G2319" s="66" t="str">
        <x:v>Sarjana</x:v>
      </x:c>
      <x:c r="H2319" s="87" t="n">
        <x:v>24</x:v>
      </x:c>
      <x:c r="I2319" s="87" t="n">
        <x:v>636</x:v>
      </x:c>
      <x:c r="J2319" s="68" t="n">
        <x:f>IFERROR(H2319/I2319,"")</x:f>
        <x:v>0.03773584905660377</x:v>
      </x:c>
      <x:c r="K2319" s="69" t="n">
        <x:f>IFERROR(I2319/H2319,"")</x:f>
        <x:v>26.5</x:v>
      </x:c>
      <x:c r="L2319" s="66" t="str">
        <x:f>IF(K2319="","","1 : "&amp;TEXT(K2319,"0.0"))</x:f>
        <x:v>1 : 26.5</x:v>
      </x:c>
      <x:c r="M2319" s="66" t="str">
        <x:f>IF(J2319="","Baru/Tanpa Data",IF(J2319&lt;='Catatan &amp; Sumber'!$B$14,"Sangat Ketat",IF(J2319&lt;='Catatan &amp; Sumber'!$B$15,"Ketat",IF(J2319&lt;='Catatan &amp; Sumber'!$B$16,"Sedang","Relatif Longgar"))))</x:f>
        <x:v>Ketat</x:v>
      </x:c>
      <x:c r="N2319" s="66" t="str">
        <x:v>Tidak Ada</x:v>
      </x:c>
      <x:c r="O2319" s="66" t="str">
        <x:v>Yogyakarta</x:v>
      </x:c>
      <x:c r="P2319" s="66" t="str">
        <x:v>Kabupaten Sleman</x:v>
      </x:c>
      <x:c r="Q2319" s="66" t="str">
        <x:v>https://snpmb.id/snbp/daya-tampung-snbp</x:v>
      </x:c>
      <x:c r="R2319" s="66" t="str">
        <x:v>https://sidatagrun-public-1076756628210.asia-southeast2.run.app/ptn_sn.php?ptn=361</x:v>
      </x:c>
    </x:row>
    <x:row r="2320">
      <x:c r="A2320" s="87" t="n">
        <x:v>1426</x:v>
      </x:c>
      <x:c r="B2320" s="66" t="n">
        <x:v>361</x:v>
      </x:c>
      <x:c r="C2320" s="66" t="str">
        <x:v>UNIVERSITAS GADJAH MADA</x:v>
      </x:c>
      <x:c r="D2320" s="66" t="str">
        <x:v>PTN Akademik</x:v>
      </x:c>
      <x:c r="E2320" s="66" t="str">
        <x:v>13611083</x:v>
      </x:c>
      <x:c r="F2320" s="66" t="str">
        <x:v>SOSIOLOGI</x:v>
      </x:c>
      <x:c r="G2320" s="66" t="str">
        <x:v>Sarjana</x:v>
      </x:c>
      <x:c r="H2320" s="87" t="n">
        <x:v>24</x:v>
      </x:c>
      <x:c r="I2320" s="87" t="n">
        <x:v>231</x:v>
      </x:c>
      <x:c r="J2320" s="68" t="n">
        <x:f>IFERROR(H2320/I2320,"")</x:f>
        <x:v>0.1038961038961039</x:v>
      </x:c>
      <x:c r="K2320" s="69" t="n">
        <x:f>IFERROR(I2320/H2320,"")</x:f>
        <x:v>9.625</x:v>
      </x:c>
      <x:c r="L2320" s="66" t="str">
        <x:f>IF(K2320="","","1 : "&amp;TEXT(K2320,"0.0"))</x:f>
        <x:v>1 : 9.6</x:v>
      </x:c>
      <x:c r="M2320" s="66" t="str">
        <x:f>IF(J2320="","Baru/Tanpa Data",IF(J2320&lt;='Catatan &amp; Sumber'!$B$14,"Sangat Ketat",IF(J2320&lt;='Catatan &amp; Sumber'!$B$15,"Ketat",IF(J2320&lt;='Catatan &amp; Sumber'!$B$16,"Sedang","Relatif Longgar"))))</x:f>
        <x:v>Relatif Longgar</x:v>
      </x:c>
      <x:c r="N2320" s="66" t="str">
        <x:v>Tidak Ada</x:v>
      </x:c>
      <x:c r="O2320" s="66" t="str">
        <x:v>Yogyakarta</x:v>
      </x:c>
      <x:c r="P2320" s="66" t="str">
        <x:v>Kabupaten Sleman</x:v>
      </x:c>
      <x:c r="Q2320" s="66" t="str">
        <x:v>https://snpmb.id/snbp/daya-tampung-snbp</x:v>
      </x:c>
      <x:c r="R2320" s="66" t="str">
        <x:v>https://sidatagrun-public-1076756628210.asia-southeast2.run.app/ptn_sn.php?ptn=361</x:v>
      </x:c>
    </x:row>
    <x:row r="2321">
      <x:c r="A2321" s="87" t="n">
        <x:v>410</x:v>
      </x:c>
      <x:c r="B2321" s="66" t="n">
        <x:v>361</x:v>
      </x:c>
      <x:c r="C2321" s="66" t="str">
        <x:v>UNIVERSITAS GADJAH MADA</x:v>
      </x:c>
      <x:c r="D2321" s="66" t="str">
        <x:v>PTN Akademik</x:v>
      </x:c>
      <x:c r="E2321" s="66" t="str">
        <x:v>13611084</x:v>
      </x:c>
      <x:c r="F2321" s="66" t="str">
        <x:v>PSIKOLOGI</x:v>
      </x:c>
      <x:c r="G2321" s="66" t="str">
        <x:v>Sarjana</x:v>
      </x:c>
      <x:c r="H2321" s="87" t="n">
        <x:v>68</x:v>
      </x:c>
      <x:c r="I2321" s="87" t="n">
        <x:v>1441</x:v>
      </x:c>
      <x:c r="J2321" s="68" t="n">
        <x:f>IFERROR(H2321/I2321,"")</x:f>
        <x:v>0.04718945176960444</x:v>
      </x:c>
      <x:c r="K2321" s="69" t="n">
        <x:f>IFERROR(I2321/H2321,"")</x:f>
        <x:v>21.191176470588236</x:v>
      </x:c>
      <x:c r="L2321" s="66" t="str">
        <x:f>IF(K2321="","","1 : "&amp;TEXT(K2321,"0.0"))</x:f>
        <x:v>1 : 21.2</x:v>
      </x:c>
      <x:c r="M2321" s="66" t="str">
        <x:f>IF(J2321="","Baru/Tanpa Data",IF(J2321&lt;='Catatan &amp; Sumber'!$B$14,"Sangat Ketat",IF(J2321&lt;='Catatan &amp; Sumber'!$B$15,"Ketat",IF(J2321&lt;='Catatan &amp; Sumber'!$B$16,"Sedang","Relatif Longgar"))))</x:f>
        <x:v>Ketat</x:v>
      </x:c>
      <x:c r="N2321" s="66" t="str">
        <x:v>Tidak Ada</x:v>
      </x:c>
      <x:c r="O2321" s="66" t="str">
        <x:v>Yogyakarta</x:v>
      </x:c>
      <x:c r="P2321" s="66" t="str">
        <x:v>Kabupaten Sleman</x:v>
      </x:c>
      <x:c r="Q2321" s="66" t="str">
        <x:v>https://snpmb.id/snbp/daya-tampung-snbp</x:v>
      </x:c>
      <x:c r="R2321" s="66" t="str">
        <x:v>https://sidatagrun-public-1076756628210.asia-southeast2.run.app/ptn_sn.php?ptn=361</x:v>
      </x:c>
    </x:row>
    <x:row r="2322">
      <x:c r="A2322" s="87" t="n">
        <x:v>481</x:v>
      </x:c>
      <x:c r="B2322" s="66" t="n">
        <x:v>361</x:v>
      </x:c>
      <x:c r="C2322" s="66" t="str">
        <x:v>UNIVERSITAS GADJAH MADA</x:v>
      </x:c>
      <x:c r="D2322" s="66" t="str">
        <x:v>PTN Akademik</x:v>
      </x:c>
      <x:c r="E2322" s="66" t="str">
        <x:v>13611085</x:v>
      </x:c>
      <x:c r="F2322" s="66" t="str">
        <x:v>PARIWISATA</x:v>
      </x:c>
      <x:c r="G2322" s="66" t="str">
        <x:v>Sarjana</x:v>
      </x:c>
      <x:c r="H2322" s="87" t="n">
        <x:v>21</x:v>
      </x:c>
      <x:c r="I2322" s="87" t="n">
        <x:v>417</x:v>
      </x:c>
      <x:c r="J2322" s="68" t="n">
        <x:f>IFERROR(H2322/I2322,"")</x:f>
        <x:v>0.050359712230215826</x:v>
      </x:c>
      <x:c r="K2322" s="69" t="n">
        <x:f>IFERROR(I2322/H2322,"")</x:f>
        <x:v>19.857142857142858</x:v>
      </x:c>
      <x:c r="L2322" s="66" t="str">
        <x:f>IF(K2322="","","1 : "&amp;TEXT(K2322,"0.0"))</x:f>
        <x:v>1 : 19.9</x:v>
      </x:c>
      <x:c r="M2322" s="66" t="str">
        <x:f>IF(J2322="","Baru/Tanpa Data",IF(J2322&lt;='Catatan &amp; Sumber'!$B$14,"Sangat Ketat",IF(J2322&lt;='Catatan &amp; Sumber'!$B$15,"Ketat",IF(J2322&lt;='Catatan &amp; Sumber'!$B$16,"Sedang","Relatif Longgar"))))</x:f>
        <x:v>Sedang</x:v>
      </x:c>
      <x:c r="N2322" s="66" t="str">
        <x:v>Tidak Ada</x:v>
      </x:c>
      <x:c r="O2322" s="66" t="str">
        <x:v>Yogyakarta</x:v>
      </x:c>
      <x:c r="P2322" s="66" t="str">
        <x:v>Kabupaten Sleman</x:v>
      </x:c>
      <x:c r="Q2322" s="66" t="str">
        <x:v>https://snpmb.id/snbp/daya-tampung-snbp</x:v>
      </x:c>
      <x:c r="R2322" s="66" t="str">
        <x:v>https://sidatagrun-public-1076756628210.asia-southeast2.run.app/ptn_sn.php?ptn=361</x:v>
      </x:c>
    </x:row>
    <x:row r="2323">
      <x:c r="A2323" s="87" t="n">
        <x:v>1907</x:v>
      </x:c>
      <x:c r="B2323" s="66" t="n">
        <x:v>361</x:v>
      </x:c>
      <x:c r="C2323" s="66" t="str">
        <x:v>UNIVERSITAS GADJAH MADA</x:v>
      </x:c>
      <x:c r="D2323" s="66" t="str">
        <x:v>PTN Akademik</x:v>
      </x:c>
      <x:c r="E2323" s="66" t="str">
        <x:v>13611116</x:v>
      </x:c>
      <x:c r="F2323" s="66" t="str">
        <x:v>TEKNIK SUMBER DAYA AIR</x:v>
      </x:c>
      <x:c r="G2323" s="66" t="str">
        <x:v>Sarjana</x:v>
      </x:c>
      <x:c r="H2323" s="87" t="n">
        <x:v>15</x:v>
      </x:c>
      <x:c r="I2323" s="87" t="n">
        <x:v>106</x:v>
      </x:c>
      <x:c r="J2323" s="68" t="n">
        <x:f>IFERROR(H2323/I2323,"")</x:f>
        <x:v>0.14150943396226415</x:v>
      </x:c>
      <x:c r="K2323" s="69" t="n">
        <x:f>IFERROR(I2323/H2323,"")</x:f>
        <x:v>7.066666666666666</x:v>
      </x:c>
      <x:c r="L2323" s="66" t="str">
        <x:f>IF(K2323="","","1 : "&amp;TEXT(K2323,"0.0"))</x:f>
        <x:v>1 : 7.1</x:v>
      </x:c>
      <x:c r="M2323" s="66" t="str">
        <x:f>IF(J2323="","Baru/Tanpa Data",IF(J2323&lt;='Catatan &amp; Sumber'!$B$14,"Sangat Ketat",IF(J2323&lt;='Catatan &amp; Sumber'!$B$15,"Ketat",IF(J2323&lt;='Catatan &amp; Sumber'!$B$16,"Sedang","Relatif Longgar"))))</x:f>
        <x:v>Relatif Longgar</x:v>
      </x:c>
      <x:c r="N2323" s="66" t="str">
        <x:v>Tidak Ada</x:v>
      </x:c>
      <x:c r="O2323" s="66" t="str">
        <x:v>Yogyakarta</x:v>
      </x:c>
      <x:c r="P2323" s="66" t="str">
        <x:v>Kabupaten Sleman</x:v>
      </x:c>
      <x:c r="Q2323" s="66" t="str">
        <x:v>https://snpmb.id/snbp/daya-tampung-snbp</x:v>
      </x:c>
      <x:c r="R2323" s="66" t="str">
        <x:v>https://sidatagrun-public-1076756628210.asia-southeast2.run.app/ptn_sn.php?ptn=361</x:v>
      </x:c>
    </x:row>
    <x:row r="2324">
      <x:c r="A2324" s="87" t="n">
        <x:v>1005</x:v>
      </x:c>
      <x:c r="B2324" s="66" t="n">
        <x:v>361</x:v>
      </x:c>
      <x:c r="C2324" s="66" t="str">
        <x:v>UNIVERSITAS GADJAH MADA</x:v>
      </x:c>
      <x:c r="D2324" s="66" t="str">
        <x:v>PTN Akademik</x:v>
      </x:c>
      <x:c r="E2324" s="66" t="str">
        <x:v>13612048</x:v>
      </x:c>
      <x:c r="F2324" s="66" t="str">
        <x:v>MANAJEMEN INFORMASI KESEHATAN</x:v>
      </x:c>
      <x:c r="G2324" s="66" t="str">
        <x:v>Sarjana Terapan</x:v>
      </x:c>
      <x:c r="H2324" s="87" t="n">
        <x:v>36</x:v>
      </x:c>
      <x:c r="I2324" s="87" t="n">
        <x:v>458</x:v>
      </x:c>
      <x:c r="J2324" s="68" t="n">
        <x:f>IFERROR(H2324/I2324,"")</x:f>
        <x:v>0.07860262008733625</x:v>
      </x:c>
      <x:c r="K2324" s="69" t="n">
        <x:f>IFERROR(I2324/H2324,"")</x:f>
        <x:v>12.722222222222221</x:v>
      </x:c>
      <x:c r="L2324" s="66" t="str">
        <x:f>IF(K2324="","","1 : "&amp;TEXT(K2324,"0.0"))</x:f>
        <x:v>1 : 12.7</x:v>
      </x:c>
      <x:c r="M2324" s="66" t="str">
        <x:f>IF(J2324="","Baru/Tanpa Data",IF(J2324&lt;='Catatan &amp; Sumber'!$B$14,"Sangat Ketat",IF(J2324&lt;='Catatan &amp; Sumber'!$B$15,"Ketat",IF(J2324&lt;='Catatan &amp; Sumber'!$B$16,"Sedang","Relatif Longgar"))))</x:f>
        <x:v>Sedang</x:v>
      </x:c>
      <x:c r="N2324" s="66" t="str">
        <x:v>Tidak Ada</x:v>
      </x:c>
      <x:c r="O2324" s="66" t="str">
        <x:v>Yogyakarta</x:v>
      </x:c>
      <x:c r="P2324" s="66" t="str">
        <x:v>Kabupaten Sleman</x:v>
      </x:c>
      <x:c r="Q2324" s="66" t="str">
        <x:v>https://snpmb.id/snbp/daya-tampung-snbp</x:v>
      </x:c>
      <x:c r="R2324" s="66" t="str">
        <x:v>https://sidatagrun-public-1076756628210.asia-southeast2.run.app/ptn_sn.php?ptn=361</x:v>
      </x:c>
    </x:row>
    <x:row r="2325">
      <x:c r="A2325" s="87" t="n">
        <x:v>1657</x:v>
      </x:c>
      <x:c r="B2325" s="66" t="n">
        <x:v>361</x:v>
      </x:c>
      <x:c r="C2325" s="66" t="str">
        <x:v>UNIVERSITAS GADJAH MADA</x:v>
      </x:c>
      <x:c r="D2325" s="66" t="str">
        <x:v>PTN Akademik</x:v>
      </x:c>
      <x:c r="E2325" s="66" t="str">
        <x:v>13612049</x:v>
      </x:c>
      <x:c r="F2325" s="66" t="str">
        <x:v>TEKNOLOGI REKAYASA PERANGKAT LUNAK</x:v>
      </x:c>
      <x:c r="G2325" s="66" t="str">
        <x:v>Sarjana Terapan</x:v>
      </x:c>
      <x:c r="H2325" s="87" t="n">
        <x:v>29</x:v>
      </x:c>
      <x:c r="I2325" s="87" t="n">
        <x:v>240</x:v>
      </x:c>
      <x:c r="J2325" s="68" t="n">
        <x:f>IFERROR(H2325/I2325,"")</x:f>
        <x:v>0.12083333333333333</x:v>
      </x:c>
      <x:c r="K2325" s="69" t="n">
        <x:f>IFERROR(I2325/H2325,"")</x:f>
        <x:v>8.275862068965518</x:v>
      </x:c>
      <x:c r="L2325" s="66" t="str">
        <x:f>IF(K2325="","","1 : "&amp;TEXT(K2325,"0.0"))</x:f>
        <x:v>1 : 8.3</x:v>
      </x:c>
      <x:c r="M2325" s="66" t="str">
        <x:f>IF(J2325="","Baru/Tanpa Data",IF(J2325&lt;='Catatan &amp; Sumber'!$B$14,"Sangat Ketat",IF(J2325&lt;='Catatan &amp; Sumber'!$B$15,"Ketat",IF(J2325&lt;='Catatan &amp; Sumber'!$B$16,"Sedang","Relatif Longgar"))))</x:f>
        <x:v>Relatif Longgar</x:v>
      </x:c>
      <x:c r="N2325" s="66" t="str">
        <x:v>Tidak Ada</x:v>
      </x:c>
      <x:c r="O2325" s="66" t="str">
        <x:v>Yogyakarta</x:v>
      </x:c>
      <x:c r="P2325" s="66" t="str">
        <x:v>Kabupaten Sleman</x:v>
      </x:c>
      <x:c r="Q2325" s="66" t="str">
        <x:v>https://snpmb.id/snbp/daya-tampung-snbp</x:v>
      </x:c>
      <x:c r="R2325" s="66" t="str">
        <x:v>https://sidatagrun-public-1076756628210.asia-southeast2.run.app/ptn_sn.php?ptn=361</x:v>
      </x:c>
    </x:row>
    <x:row r="2326">
      <x:c r="A2326" s="87" t="n">
        <x:v>2171</x:v>
      </x:c>
      <x:c r="B2326" s="66" t="n">
        <x:v>361</x:v>
      </x:c>
      <x:c r="C2326" s="66" t="str">
        <x:v>UNIVERSITAS GADJAH MADA</x:v>
      </x:c>
      <x:c r="D2326" s="66" t="str">
        <x:v>PTN Akademik</x:v>
      </x:c>
      <x:c r="E2326" s="66" t="str">
        <x:v>13612050</x:v>
      </x:c>
      <x:c r="F2326" s="66" t="str">
        <x:v>TEKNOLOGI REKAYASA ELEKTRO</x:v>
      </x:c>
      <x:c r="G2326" s="66" t="str">
        <x:v>Sarjana Terapan</x:v>
      </x:c>
      <x:c r="H2326" s="87" t="n">
        <x:v>27</x:v>
      </x:c>
      <x:c r="I2326" s="87" t="n">
        <x:v>160</x:v>
      </x:c>
      <x:c r="J2326" s="68" t="n">
        <x:f>IFERROR(H2326/I2326,"")</x:f>
        <x:v>0.16875</x:v>
      </x:c>
      <x:c r="K2326" s="69" t="n">
        <x:f>IFERROR(I2326/H2326,"")</x:f>
        <x:v>5.925925925925926</x:v>
      </x:c>
      <x:c r="L2326" s="66" t="str">
        <x:f>IF(K2326="","","1 : "&amp;TEXT(K2326,"0.0"))</x:f>
        <x:v>1 : 5.9</x:v>
      </x:c>
      <x:c r="M2326" s="66" t="str">
        <x:f>IF(J2326="","Baru/Tanpa Data",IF(J2326&lt;='Catatan &amp; Sumber'!$B$14,"Sangat Ketat",IF(J2326&lt;='Catatan &amp; Sumber'!$B$15,"Ketat",IF(J2326&lt;='Catatan &amp; Sumber'!$B$16,"Sedang","Relatif Longgar"))))</x:f>
        <x:v>Relatif Longgar</x:v>
      </x:c>
      <x:c r="N2326" s="66" t="str">
        <x:v>Tidak Ada</x:v>
      </x:c>
      <x:c r="O2326" s="66" t="str">
        <x:v>Yogyakarta</x:v>
      </x:c>
      <x:c r="P2326" s="66" t="str">
        <x:v>Kabupaten Sleman</x:v>
      </x:c>
      <x:c r="Q2326" s="66" t="str">
        <x:v>https://snpmb.id/snbp/daya-tampung-snbp</x:v>
      </x:c>
      <x:c r="R2326" s="66" t="str">
        <x:v>https://sidatagrun-public-1076756628210.asia-southeast2.run.app/ptn_sn.php?ptn=361</x:v>
      </x:c>
    </x:row>
    <x:row r="2327">
      <x:c r="A2327" s="87" t="n">
        <x:v>1761</x:v>
      </x:c>
      <x:c r="B2327" s="66" t="n">
        <x:v>361</x:v>
      </x:c>
      <x:c r="C2327" s="66" t="str">
        <x:v>UNIVERSITAS GADJAH MADA</x:v>
      </x:c>
      <x:c r="D2327" s="66" t="str">
        <x:v>PTN Akademik</x:v>
      </x:c>
      <x:c r="E2327" s="66" t="str">
        <x:v>13612051</x:v>
      </x:c>
      <x:c r="F2327" s="66" t="str">
        <x:v>TEKNOLOGI REKAYASA INSTRUMENTASI DAN KONTROL</x:v>
      </x:c>
      <x:c r="G2327" s="66" t="str">
        <x:v>Sarjana Terapan</x:v>
      </x:c>
      <x:c r="H2327" s="87" t="n">
        <x:v>22</x:v>
      </x:c>
      <x:c r="I2327" s="87" t="n">
        <x:v>170</x:v>
      </x:c>
      <x:c r="J2327" s="68" t="n">
        <x:f>IFERROR(H2327/I2327,"")</x:f>
        <x:v>0.12941176470588237</x:v>
      </x:c>
      <x:c r="K2327" s="69" t="n">
        <x:f>IFERROR(I2327/H2327,"")</x:f>
        <x:v>7.7272727272727275</x:v>
      </x:c>
      <x:c r="L2327" s="66" t="str">
        <x:f>IF(K2327="","","1 : "&amp;TEXT(K2327,"0.0"))</x:f>
        <x:v>1 : 7.7</x:v>
      </x:c>
      <x:c r="M2327" s="66" t="str">
        <x:f>IF(J2327="","Baru/Tanpa Data",IF(J2327&lt;='Catatan &amp; Sumber'!$B$14,"Sangat Ketat",IF(J2327&lt;='Catatan &amp; Sumber'!$B$15,"Ketat",IF(J2327&lt;='Catatan &amp; Sumber'!$B$16,"Sedang","Relatif Longgar"))))</x:f>
        <x:v>Relatif Longgar</x:v>
      </x:c>
      <x:c r="N2327" s="66" t="str">
        <x:v>Tidak Ada</x:v>
      </x:c>
      <x:c r="O2327" s="66" t="str">
        <x:v>Yogyakarta</x:v>
      </x:c>
      <x:c r="P2327" s="66" t="str">
        <x:v>Kabupaten Sleman</x:v>
      </x:c>
      <x:c r="Q2327" s="66" t="str">
        <x:v>https://snpmb.id/snbp/daya-tampung-snbp</x:v>
      </x:c>
      <x:c r="R2327" s="66" t="str">
        <x:v>https://sidatagrun-public-1076756628210.asia-southeast2.run.app/ptn_sn.php?ptn=361</x:v>
      </x:c>
    </x:row>
    <x:row r="2328">
      <x:c r="A2328" s="87" t="n">
        <x:v>2147</x:v>
      </x:c>
      <x:c r="B2328" s="66" t="n">
        <x:v>361</x:v>
      </x:c>
      <x:c r="C2328" s="66" t="str">
        <x:v>UNIVERSITAS GADJAH MADA</x:v>
      </x:c>
      <x:c r="D2328" s="66" t="str">
        <x:v>PTN Akademik</x:v>
      </x:c>
      <x:c r="E2328" s="66" t="str">
        <x:v>13612052</x:v>
      </x:c>
      <x:c r="F2328" s="66" t="str">
        <x:v>TEKNOLOGI REKAYASA INTERNET</x:v>
      </x:c>
      <x:c r="G2328" s="66" t="str">
        <x:v>Sarjana Terapan</x:v>
      </x:c>
      <x:c r="H2328" s="87" t="n">
        <x:v>29</x:v>
      </x:c>
      <x:c r="I2328" s="87" t="n">
        <x:v>175</x:v>
      </x:c>
      <x:c r="J2328" s="68" t="n">
        <x:f>IFERROR(H2328/I2328,"")</x:f>
        <x:v>0.1657142857142857</x:v>
      </x:c>
      <x:c r="K2328" s="69" t="n">
        <x:f>IFERROR(I2328/H2328,"")</x:f>
        <x:v>6.0344827586206895</x:v>
      </x:c>
      <x:c r="L2328" s="66" t="str">
        <x:f>IF(K2328="","","1 : "&amp;TEXT(K2328,"0.0"))</x:f>
        <x:v>1 : 6.0</x:v>
      </x:c>
      <x:c r="M2328" s="66" t="str">
        <x:f>IF(J2328="","Baru/Tanpa Data",IF(J2328&lt;='Catatan &amp; Sumber'!$B$14,"Sangat Ketat",IF(J2328&lt;='Catatan &amp; Sumber'!$B$15,"Ketat",IF(J2328&lt;='Catatan &amp; Sumber'!$B$16,"Sedang","Relatif Longgar"))))</x:f>
        <x:v>Relatif Longgar</x:v>
      </x:c>
      <x:c r="N2328" s="66" t="str">
        <x:v>Tidak Ada</x:v>
      </x:c>
      <x:c r="O2328" s="66" t="str">
        <x:v>Yogyakarta</x:v>
      </x:c>
      <x:c r="P2328" s="66" t="str">
        <x:v>Kabupaten Sleman</x:v>
      </x:c>
      <x:c r="Q2328" s="66" t="str">
        <x:v>https://snpmb.id/snbp/daya-tampung-snbp</x:v>
      </x:c>
      <x:c r="R2328" s="66" t="str">
        <x:v>https://sidatagrun-public-1076756628210.asia-southeast2.run.app/ptn_sn.php?ptn=361</x:v>
      </x:c>
    </x:row>
    <x:row r="2329">
      <x:c r="A2329" s="87" t="n">
        <x:v>1854</x:v>
      </x:c>
      <x:c r="B2329" s="66" t="n">
        <x:v>361</x:v>
      </x:c>
      <x:c r="C2329" s="66" t="str">
        <x:v>UNIVERSITAS GADJAH MADA</x:v>
      </x:c>
      <x:c r="D2329" s="66" t="str">
        <x:v>PTN Akademik</x:v>
      </x:c>
      <x:c r="E2329" s="66" t="str">
        <x:v>13612053</x:v>
      </x:c>
      <x:c r="F2329" s="66" t="str">
        <x:v>TEKNIK PENGELOLAAN DAN PEMELIHARAAN INFRASTRUKTUR SIPIL</x:v>
      </x:c>
      <x:c r="G2329" s="66" t="str">
        <x:v>Sarjana Terapan</x:v>
      </x:c>
      <x:c r="H2329" s="87" t="n">
        <x:v>22</x:v>
      </x:c>
      <x:c r="I2329" s="87" t="n">
        <x:v>161</x:v>
      </x:c>
      <x:c r="J2329" s="68" t="n">
        <x:f>IFERROR(H2329/I2329,"")</x:f>
        <x:v>0.13664596273291926</x:v>
      </x:c>
      <x:c r="K2329" s="69" t="n">
        <x:f>IFERROR(I2329/H2329,"")</x:f>
        <x:v>7.318181818181818</x:v>
      </x:c>
      <x:c r="L2329" s="66" t="str">
        <x:f>IF(K2329="","","1 : "&amp;TEXT(K2329,"0.0"))</x:f>
        <x:v>1 : 7.3</x:v>
      </x:c>
      <x:c r="M2329" s="66" t="str">
        <x:f>IF(J2329="","Baru/Tanpa Data",IF(J2329&lt;='Catatan &amp; Sumber'!$B$14,"Sangat Ketat",IF(J2329&lt;='Catatan &amp; Sumber'!$B$15,"Ketat",IF(J2329&lt;='Catatan &amp; Sumber'!$B$16,"Sedang","Relatif Longgar"))))</x:f>
        <x:v>Relatif Longgar</x:v>
      </x:c>
      <x:c r="N2329" s="66" t="str">
        <x:v>Tidak Ada</x:v>
      </x:c>
      <x:c r="O2329" s="66" t="str">
        <x:v>Yogyakarta</x:v>
      </x:c>
      <x:c r="P2329" s="66" t="str">
        <x:v>Kabupaten Sleman</x:v>
      </x:c>
      <x:c r="Q2329" s="66" t="str">
        <x:v>https://snpmb.id/snbp/daya-tampung-snbp</x:v>
      </x:c>
      <x:c r="R2329" s="66" t="str">
        <x:v>https://sidatagrun-public-1076756628210.asia-southeast2.run.app/ptn_sn.php?ptn=361</x:v>
      </x:c>
    </x:row>
    <x:row r="2330">
      <x:c r="A2330" s="87" t="n">
        <x:v>2002</x:v>
      </x:c>
      <x:c r="B2330" s="66" t="n">
        <x:v>361</x:v>
      </x:c>
      <x:c r="C2330" s="66" t="str">
        <x:v>UNIVERSITAS GADJAH MADA</x:v>
      </x:c>
      <x:c r="D2330" s="66" t="str">
        <x:v>PTN Akademik</x:v>
      </x:c>
      <x:c r="E2330" s="66" t="str">
        <x:v>13612054</x:v>
      </x:c>
      <x:c r="F2330" s="66" t="str">
        <x:v>TEKNOLOGI REKAYASA MESIN</x:v>
      </x:c>
      <x:c r="G2330" s="66" t="str">
        <x:v>Sarjana Terapan</x:v>
      </x:c>
      <x:c r="H2330" s="87" t="n">
        <x:v>23</x:v>
      </x:c>
      <x:c r="I2330" s="87" t="n">
        <x:v>151</x:v>
      </x:c>
      <x:c r="J2330" s="68" t="n">
        <x:f>IFERROR(H2330/I2330,"")</x:f>
        <x:v>0.152317880794702</x:v>
      </x:c>
      <x:c r="K2330" s="69" t="n">
        <x:f>IFERROR(I2330/H2330,"")</x:f>
        <x:v>6.565217391304348</x:v>
      </x:c>
      <x:c r="L2330" s="66" t="str">
        <x:f>IF(K2330="","","1 : "&amp;TEXT(K2330,"0.0"))</x:f>
        <x:v>1 : 6.6</x:v>
      </x:c>
      <x:c r="M2330" s="66" t="str">
        <x:f>IF(J2330="","Baru/Tanpa Data",IF(J2330&lt;='Catatan &amp; Sumber'!$B$14,"Sangat Ketat",IF(J2330&lt;='Catatan &amp; Sumber'!$B$15,"Ketat",IF(J2330&lt;='Catatan &amp; Sumber'!$B$16,"Sedang","Relatif Longgar"))))</x:f>
        <x:v>Relatif Longgar</x:v>
      </x:c>
      <x:c r="N2330" s="66" t="str">
        <x:v>Tidak Ada</x:v>
      </x:c>
      <x:c r="O2330" s="66" t="str">
        <x:v>Yogyakarta</x:v>
      </x:c>
      <x:c r="P2330" s="66" t="str">
        <x:v>Kabupaten Sleman</x:v>
      </x:c>
      <x:c r="Q2330" s="66" t="str">
        <x:v>https://snpmb.id/snbp/daya-tampung-snbp</x:v>
      </x:c>
      <x:c r="R2330" s="66" t="str">
        <x:v>https://sidatagrun-public-1076756628210.asia-southeast2.run.app/ptn_sn.php?ptn=361</x:v>
      </x:c>
    </x:row>
    <x:row r="2331">
      <x:c r="A2331" s="87" t="n">
        <x:v>1660</x:v>
      </x:c>
      <x:c r="B2331" s="66" t="n">
        <x:v>361</x:v>
      </x:c>
      <x:c r="C2331" s="66" t="str">
        <x:v>UNIVERSITAS GADJAH MADA</x:v>
      </x:c>
      <x:c r="D2331" s="66" t="str">
        <x:v>PTN Akademik</x:v>
      </x:c>
      <x:c r="E2331" s="66" t="str">
        <x:v>13612055</x:v>
      </x:c>
      <x:c r="F2331" s="66" t="str">
        <x:v>TEKNIK PENGELOLAAN DAN PERAWATAN ALAT BERAT</x:v>
      </x:c>
      <x:c r="G2331" s="66" t="str">
        <x:v>Sarjana Terapan</x:v>
      </x:c>
      <x:c r="H2331" s="87" t="n">
        <x:v>23</x:v>
      </x:c>
      <x:c r="I2331" s="87" t="n">
        <x:v>190</x:v>
      </x:c>
      <x:c r="J2331" s="68" t="n">
        <x:f>IFERROR(H2331/I2331,"")</x:f>
        <x:v>0.12105263157894737</x:v>
      </x:c>
      <x:c r="K2331" s="69" t="n">
        <x:f>IFERROR(I2331/H2331,"")</x:f>
        <x:v>8.26086956521739</x:v>
      </x:c>
      <x:c r="L2331" s="66" t="str">
        <x:f>IF(K2331="","","1 : "&amp;TEXT(K2331,"0.0"))</x:f>
        <x:v>1 : 8.3</x:v>
      </x:c>
      <x:c r="M2331" s="66" t="str">
        <x:f>IF(J2331="","Baru/Tanpa Data",IF(J2331&lt;='Catatan &amp; Sumber'!$B$14,"Sangat Ketat",IF(J2331&lt;='Catatan &amp; Sumber'!$B$15,"Ketat",IF(J2331&lt;='Catatan &amp; Sumber'!$B$16,"Sedang","Relatif Longgar"))))</x:f>
        <x:v>Relatif Longgar</x:v>
      </x:c>
      <x:c r="N2331" s="66" t="str">
        <x:v>Tidak Ada</x:v>
      </x:c>
      <x:c r="O2331" s="66" t="str">
        <x:v>Yogyakarta</x:v>
      </x:c>
      <x:c r="P2331" s="66" t="str">
        <x:v>Kabupaten Sleman</x:v>
      </x:c>
      <x:c r="Q2331" s="66" t="str">
        <x:v>https://snpmb.id/snbp/daya-tampung-snbp</x:v>
      </x:c>
      <x:c r="R2331" s="66" t="str">
        <x:v>https://sidatagrun-public-1076756628210.asia-southeast2.run.app/ptn_sn.php?ptn=361</x:v>
      </x:c>
    </x:row>
    <x:row r="2332">
      <x:c r="A2332" s="87" t="n">
        <x:v>2419</x:v>
      </x:c>
      <x:c r="B2332" s="66" t="n">
        <x:v>361</x:v>
      </x:c>
      <x:c r="C2332" s="66" t="str">
        <x:v>UNIVERSITAS GADJAH MADA</x:v>
      </x:c>
      <x:c r="D2332" s="66" t="str">
        <x:v>PTN Akademik</x:v>
      </x:c>
      <x:c r="E2332" s="66" t="str">
        <x:v>13612056</x:v>
      </x:c>
      <x:c r="F2332" s="66" t="str">
        <x:v>PENGELOLAAN HUTAN</x:v>
      </x:c>
      <x:c r="G2332" s="66" t="str">
        <x:v>Sarjana Terapan</x:v>
      </x:c>
      <x:c r="H2332" s="87" t="n">
        <x:v>27</x:v>
      </x:c>
      <x:c r="I2332" s="87" t="n">
        <x:v>136</x:v>
      </x:c>
      <x:c r="J2332" s="68" t="n">
        <x:f>IFERROR(H2332/I2332,"")</x:f>
        <x:v>0.19852941176470587</x:v>
      </x:c>
      <x:c r="K2332" s="69" t="n">
        <x:f>IFERROR(I2332/H2332,"")</x:f>
        <x:v>5.037037037037037</x:v>
      </x:c>
      <x:c r="L2332" s="66" t="str">
        <x:f>IF(K2332="","","1 : "&amp;TEXT(K2332,"0.0"))</x:f>
        <x:v>1 : 5.0</x:v>
      </x:c>
      <x:c r="M2332" s="66" t="str">
        <x:f>IF(J2332="","Baru/Tanpa Data",IF(J2332&lt;='Catatan &amp; Sumber'!$B$14,"Sangat Ketat",IF(J2332&lt;='Catatan &amp; Sumber'!$B$15,"Ketat",IF(J2332&lt;='Catatan &amp; Sumber'!$B$16,"Sedang","Relatif Longgar"))))</x:f>
        <x:v>Relatif Longgar</x:v>
      </x:c>
      <x:c r="N2332" s="66" t="str">
        <x:v>Tidak Ada</x:v>
      </x:c>
      <x:c r="O2332" s="66" t="str">
        <x:v>Yogyakarta</x:v>
      </x:c>
      <x:c r="P2332" s="66" t="str">
        <x:v>Kabupaten Sleman</x:v>
      </x:c>
      <x:c r="Q2332" s="66" t="str">
        <x:v>https://snpmb.id/snbp/daya-tampung-snbp</x:v>
      </x:c>
      <x:c r="R2332" s="66" t="str">
        <x:v>https://sidatagrun-public-1076756628210.asia-southeast2.run.app/ptn_sn.php?ptn=361</x:v>
      </x:c>
    </x:row>
    <x:row r="2333">
      <x:c r="A2333" s="87" t="n">
        <x:v>2162</x:v>
      </x:c>
      <x:c r="B2333" s="66" t="n">
        <x:v>361</x:v>
      </x:c>
      <x:c r="C2333" s="66" t="str">
        <x:v>UNIVERSITAS GADJAH MADA</x:v>
      </x:c>
      <x:c r="D2333" s="66" t="str">
        <x:v>PTN Akademik</x:v>
      </x:c>
      <x:c r="E2333" s="66" t="str">
        <x:v>13612057</x:v>
      </x:c>
      <x:c r="F2333" s="66" t="str">
        <x:v>TEKNOLOGI VETERINER</x:v>
      </x:c>
      <x:c r="G2333" s="66" t="str">
        <x:v>Sarjana Terapan</x:v>
      </x:c>
      <x:c r="H2333" s="87" t="n">
        <x:v>27</x:v>
      </x:c>
      <x:c r="I2333" s="87" t="n">
        <x:v>161</x:v>
      </x:c>
      <x:c r="J2333" s="68" t="n">
        <x:f>IFERROR(H2333/I2333,"")</x:f>
        <x:v>0.16770186335403728</x:v>
      </x:c>
      <x:c r="K2333" s="69" t="n">
        <x:f>IFERROR(I2333/H2333,"")</x:f>
        <x:v>5.962962962962963</x:v>
      </x:c>
      <x:c r="L2333" s="66" t="str">
        <x:f>IF(K2333="","","1 : "&amp;TEXT(K2333,"0.0"))</x:f>
        <x:v>1 : 6.0</x:v>
      </x:c>
      <x:c r="M2333" s="66" t="str">
        <x:f>IF(J2333="","Baru/Tanpa Data",IF(J2333&lt;='Catatan &amp; Sumber'!$B$14,"Sangat Ketat",IF(J2333&lt;='Catatan &amp; Sumber'!$B$15,"Ketat",IF(J2333&lt;='Catatan &amp; Sumber'!$B$16,"Sedang","Relatif Longgar"))))</x:f>
        <x:v>Relatif Longgar</x:v>
      </x:c>
      <x:c r="N2333" s="66" t="str">
        <x:v>Tidak Ada</x:v>
      </x:c>
      <x:c r="O2333" s="66" t="str">
        <x:v>Yogyakarta</x:v>
      </x:c>
      <x:c r="P2333" s="66" t="str">
        <x:v>Kabupaten Sleman</x:v>
      </x:c>
      <x:c r="Q2333" s="66" t="str">
        <x:v>https://snpmb.id/snbp/daya-tampung-snbp</x:v>
      </x:c>
      <x:c r="R2333" s="66" t="str">
        <x:v>https://sidatagrun-public-1076756628210.asia-southeast2.run.app/ptn_sn.php?ptn=361</x:v>
      </x:c>
    </x:row>
    <x:row r="2334">
      <x:c r="A2334" s="87" t="n">
        <x:v>2507</x:v>
      </x:c>
      <x:c r="B2334" s="66" t="n">
        <x:v>361</x:v>
      </x:c>
      <x:c r="C2334" s="66" t="str">
        <x:v>UNIVERSITAS GADJAH MADA</x:v>
      </x:c>
      <x:c r="D2334" s="66" t="str">
        <x:v>PTN Akademik</x:v>
      </x:c>
      <x:c r="E2334" s="66" t="str">
        <x:v>13612058</x:v>
      </x:c>
      <x:c r="F2334" s="66" t="str">
        <x:v>PENGEMBANGAN PRODUK AGROINDUSTRI</x:v>
      </x:c>
      <x:c r="G2334" s="66" t="str">
        <x:v>Sarjana Terapan</x:v>
      </x:c>
      <x:c r="H2334" s="87" t="n">
        <x:v>27</x:v>
      </x:c>
      <x:c r="I2334" s="87" t="n">
        <x:v>127</x:v>
      </x:c>
      <x:c r="J2334" s="68" t="n">
        <x:f>IFERROR(H2334/I2334,"")</x:f>
        <x:v>0.2125984251968504</x:v>
      </x:c>
      <x:c r="K2334" s="69" t="n">
        <x:f>IFERROR(I2334/H2334,"")</x:f>
        <x:v>4.703703703703703</x:v>
      </x:c>
      <x:c r="L2334" s="66" t="str">
        <x:f>IF(K2334="","","1 : "&amp;TEXT(K2334,"0.0"))</x:f>
        <x:v>1 : 4.7</x:v>
      </x:c>
      <x:c r="M2334" s="66" t="str">
        <x:f>IF(J2334="","Baru/Tanpa Data",IF(J2334&lt;='Catatan &amp; Sumber'!$B$14,"Sangat Ketat",IF(J2334&lt;='Catatan &amp; Sumber'!$B$15,"Ketat",IF(J2334&lt;='Catatan &amp; Sumber'!$B$16,"Sedang","Relatif Longgar"))))</x:f>
        <x:v>Relatif Longgar</x:v>
      </x:c>
      <x:c r="N2334" s="66" t="str">
        <x:v>Tidak Ada</x:v>
      </x:c>
      <x:c r="O2334" s="66" t="str">
        <x:v>Yogyakarta</x:v>
      </x:c>
      <x:c r="P2334" s="66" t="str">
        <x:v>Kabupaten Sleman</x:v>
      </x:c>
      <x:c r="Q2334" s="66" t="str">
        <x:v>https://snpmb.id/snbp/daya-tampung-snbp</x:v>
      </x:c>
      <x:c r="R2334" s="66" t="str">
        <x:v>https://sidatagrun-public-1076756628210.asia-southeast2.run.app/ptn_sn.php?ptn=361</x:v>
      </x:c>
    </x:row>
    <x:row r="2335">
      <x:c r="A2335" s="87" t="n">
        <x:v>2947</x:v>
      </x:c>
      <x:c r="B2335" s="66" t="n">
        <x:v>361</x:v>
      </x:c>
      <x:c r="C2335" s="66" t="str">
        <x:v>UNIVERSITAS GADJAH MADA</x:v>
      </x:c>
      <x:c r="D2335" s="66" t="str">
        <x:v>PTN Akademik</x:v>
      </x:c>
      <x:c r="E2335" s="66" t="str">
        <x:v>13612059</x:v>
      </x:c>
      <x:c r="F2335" s="66" t="str">
        <x:v>TEKNOLOGI SURVEI DAN PEMETAAN DASAR</x:v>
      </x:c>
      <x:c r="G2335" s="66" t="str">
        <x:v>Sarjana Terapan</x:v>
      </x:c>
      <x:c r="H2335" s="87" t="n">
        <x:v>21</x:v>
      </x:c>
      <x:c r="I2335" s="87" t="n">
        <x:v>74</x:v>
      </x:c>
      <x:c r="J2335" s="68" t="n">
        <x:f>IFERROR(H2335/I2335,"")</x:f>
        <x:v>0.28378378378378377</x:v>
      </x:c>
      <x:c r="K2335" s="69" t="n">
        <x:f>IFERROR(I2335/H2335,"")</x:f>
        <x:v>3.5238095238095237</x:v>
      </x:c>
      <x:c r="L2335" s="66" t="str">
        <x:f>IF(K2335="","","1 : "&amp;TEXT(K2335,"0.0"))</x:f>
        <x:v>1 : 3.5</x:v>
      </x:c>
      <x:c r="M2335" s="66" t="str">
        <x:f>IF(J2335="","Baru/Tanpa Data",IF(J2335&lt;='Catatan &amp; Sumber'!$B$14,"Sangat Ketat",IF(J2335&lt;='Catatan &amp; Sumber'!$B$15,"Ketat",IF(J2335&lt;='Catatan &amp; Sumber'!$B$16,"Sedang","Relatif Longgar"))))</x:f>
        <x:v>Relatif Longgar</x:v>
      </x:c>
      <x:c r="N2335" s="66" t="str">
        <x:v>Tidak Ada</x:v>
      </x:c>
      <x:c r="O2335" s="66" t="str">
        <x:v>Yogyakarta</x:v>
      </x:c>
      <x:c r="P2335" s="66" t="str">
        <x:v>Kabupaten Sleman</x:v>
      </x:c>
      <x:c r="Q2335" s="66" t="str">
        <x:v>https://snpmb.id/snbp/daya-tampung-snbp</x:v>
      </x:c>
      <x:c r="R2335" s="66" t="str">
        <x:v>https://sidatagrun-public-1076756628210.asia-southeast2.run.app/ptn_sn.php?ptn=361</x:v>
      </x:c>
    </x:row>
    <x:row r="2336">
      <x:c r="A2336" s="87" t="n">
        <x:v>1917</x:v>
      </x:c>
      <x:c r="B2336" s="66" t="n">
        <x:v>361</x:v>
      </x:c>
      <x:c r="C2336" s="66" t="str">
        <x:v>UNIVERSITAS GADJAH MADA</x:v>
      </x:c>
      <x:c r="D2336" s="66" t="str">
        <x:v>PTN Akademik</x:v>
      </x:c>
      <x:c r="E2336" s="66" t="str">
        <x:v>13612060</x:v>
      </x:c>
      <x:c r="F2336" s="66" t="str">
        <x:v>SISTEM INFORMASI GEOGRAFIS</x:v>
      </x:c>
      <x:c r="G2336" s="66" t="str">
        <x:v>Sarjana Terapan</x:v>
      </x:c>
      <x:c r="H2336" s="87" t="n">
        <x:v>21</x:v>
      </x:c>
      <x:c r="I2336" s="87" t="n">
        <x:v>147</x:v>
      </x:c>
      <x:c r="J2336" s="68" t="n">
        <x:f>IFERROR(H2336/I2336,"")</x:f>
        <x:v>0.14285714285714285</x:v>
      </x:c>
      <x:c r="K2336" s="69" t="n">
        <x:f>IFERROR(I2336/H2336,"")</x:f>
        <x:v>7</x:v>
      </x:c>
      <x:c r="L2336" s="66" t="str">
        <x:f>IF(K2336="","","1 : "&amp;TEXT(K2336,"0.0"))</x:f>
        <x:v>1 : 7.0</x:v>
      </x:c>
      <x:c r="M2336" s="66" t="str">
        <x:f>IF(J2336="","Baru/Tanpa Data",IF(J2336&lt;='Catatan &amp; Sumber'!$B$14,"Sangat Ketat",IF(J2336&lt;='Catatan &amp; Sumber'!$B$15,"Ketat",IF(J2336&lt;='Catatan &amp; Sumber'!$B$16,"Sedang","Relatif Longgar"))))</x:f>
        <x:v>Relatif Longgar</x:v>
      </x:c>
      <x:c r="N2336" s="66" t="str">
        <x:v>Tidak Ada</x:v>
      </x:c>
      <x:c r="O2336" s="66" t="str">
        <x:v>Yogyakarta</x:v>
      </x:c>
      <x:c r="P2336" s="66" t="str">
        <x:v>Kabupaten Sleman</x:v>
      </x:c>
      <x:c r="Q2336" s="66" t="str">
        <x:v>https://snpmb.id/snbp/daya-tampung-snbp</x:v>
      </x:c>
      <x:c r="R2336" s="66" t="str">
        <x:v>https://sidatagrun-public-1076756628210.asia-southeast2.run.app/ptn_sn.php?ptn=361</x:v>
      </x:c>
    </x:row>
    <x:row r="2337">
      <x:c r="A2337" s="87" t="n">
        <x:v>1756</x:v>
      </x:c>
      <x:c r="B2337" s="66" t="n">
        <x:v>361</x:v>
      </x:c>
      <x:c r="C2337" s="66" t="str">
        <x:v>UNIVERSITAS GADJAH MADA</x:v>
      </x:c>
      <x:c r="D2337" s="66" t="str">
        <x:v>PTN Akademik</x:v>
      </x:c>
      <x:c r="E2337" s="66" t="str">
        <x:v>13612061</x:v>
      </x:c>
      <x:c r="F2337" s="66" t="str">
        <x:v>TEKNOLOGI REKAYASA PELAKSANAAN BANGUNAN SIPIL</x:v>
      </x:c>
      <x:c r="G2337" s="66" t="str">
        <x:v>Sarjana Terapan</x:v>
      </x:c>
      <x:c r="H2337" s="87" t="n">
        <x:v>17</x:v>
      </x:c>
      <x:c r="I2337" s="87" t="n">
        <x:v>132</x:v>
      </x:c>
      <x:c r="J2337" s="68" t="n">
        <x:f>IFERROR(H2337/I2337,"")</x:f>
        <x:v>0.12878787878787878</x:v>
      </x:c>
      <x:c r="K2337" s="69" t="n">
        <x:f>IFERROR(I2337/H2337,"")</x:f>
        <x:v>7.764705882352941</x:v>
      </x:c>
      <x:c r="L2337" s="66" t="str">
        <x:f>IF(K2337="","","1 : "&amp;TEXT(K2337,"0.0"))</x:f>
        <x:v>1 : 7.8</x:v>
      </x:c>
      <x:c r="M2337" s="66" t="str">
        <x:f>IF(J2337="","Baru/Tanpa Data",IF(J2337&lt;='Catatan &amp; Sumber'!$B$14,"Sangat Ketat",IF(J2337&lt;='Catatan &amp; Sumber'!$B$15,"Ketat",IF(J2337&lt;='Catatan &amp; Sumber'!$B$16,"Sedang","Relatif Longgar"))))</x:f>
        <x:v>Relatif Longgar</x:v>
      </x:c>
      <x:c r="N2337" s="66" t="str">
        <x:v>Tidak Ada</x:v>
      </x:c>
      <x:c r="O2337" s="66" t="str">
        <x:v>Yogyakarta</x:v>
      </x:c>
      <x:c r="P2337" s="66" t="str">
        <x:v>Kabupaten Sleman</x:v>
      </x:c>
      <x:c r="Q2337" s="66" t="str">
        <x:v>https://snpmb.id/snbp/daya-tampung-snbp</x:v>
      </x:c>
      <x:c r="R2337" s="66" t="str">
        <x:v>https://sidatagrun-public-1076756628210.asia-southeast2.run.app/ptn_sn.php?ptn=361</x:v>
      </x:c>
    </x:row>
    <x:row r="2338">
      <x:c r="A2338" s="87" t="n">
        <x:v>2423</x:v>
      </x:c>
      <x:c r="B2338" s="66" t="n">
        <x:v>361</x:v>
      </x:c>
      <x:c r="C2338" s="66" t="str">
        <x:v>UNIVERSITAS GADJAH MADA</x:v>
      </x:c>
      <x:c r="D2338" s="66" t="str">
        <x:v>PTN Akademik</x:v>
      </x:c>
      <x:c r="E2338" s="66" t="str">
        <x:v>13612086</x:v>
      </x:c>
      <x:c r="F2338" s="66" t="str">
        <x:v>MANAJEMEN DAN PENILAIAN PROPERTI</x:v>
      </x:c>
      <x:c r="G2338" s="66" t="str">
        <x:v>Sarjana Terapan</x:v>
      </x:c>
      <x:c r="H2338" s="87" t="n">
        <x:v>30</x:v>
      </x:c>
      <x:c r="I2338" s="87" t="n">
        <x:v>150</x:v>
      </x:c>
      <x:c r="J2338" s="68" t="n">
        <x:f>IFERROR(H2338/I2338,"")</x:f>
        <x:v>0.2</x:v>
      </x:c>
      <x:c r="K2338" s="69" t="n">
        <x:f>IFERROR(I2338/H2338,"")</x:f>
        <x:v>5</x:v>
      </x:c>
      <x:c r="L2338" s="66" t="str">
        <x:f>IF(K2338="","","1 : "&amp;TEXT(K2338,"0.0"))</x:f>
        <x:v>1 : 5.0</x:v>
      </x:c>
      <x:c r="M2338" s="66" t="str">
        <x:f>IF(J2338="","Baru/Tanpa Data",IF(J2338&lt;='Catatan &amp; Sumber'!$B$14,"Sangat Ketat",IF(J2338&lt;='Catatan &amp; Sumber'!$B$15,"Ketat",IF(J2338&lt;='Catatan &amp; Sumber'!$B$16,"Sedang","Relatif Longgar"))))</x:f>
        <x:v>Relatif Longgar</x:v>
      </x:c>
      <x:c r="N2338" s="66" t="str">
        <x:v>Tidak Ada</x:v>
      </x:c>
      <x:c r="O2338" s="66" t="str">
        <x:v>Yogyakarta</x:v>
      </x:c>
      <x:c r="P2338" s="66" t="str">
        <x:v>Kabupaten Sleman</x:v>
      </x:c>
      <x:c r="Q2338" s="66" t="str">
        <x:v>https://snpmb.id/snbp/daya-tampung-snbp</x:v>
      </x:c>
      <x:c r="R2338" s="66" t="str">
        <x:v>https://sidatagrun-public-1076756628210.asia-southeast2.run.app/ptn_sn.php?ptn=361</x:v>
      </x:c>
    </x:row>
    <x:row r="2339">
      <x:c r="A2339" s="87" t="n">
        <x:v>2006</x:v>
      </x:c>
      <x:c r="B2339" s="66" t="n">
        <x:v>361</x:v>
      </x:c>
      <x:c r="C2339" s="66" t="str">
        <x:v>UNIVERSITAS GADJAH MADA</x:v>
      </x:c>
      <x:c r="D2339" s="66" t="str">
        <x:v>PTN Akademik</x:v>
      </x:c>
      <x:c r="E2339" s="66" t="str">
        <x:v>13612087</x:v>
      </x:c>
      <x:c r="F2339" s="66" t="str">
        <x:v>PERBANKAN</x:v>
      </x:c>
      <x:c r="G2339" s="66" t="str">
        <x:v>Sarjana Terapan</x:v>
      </x:c>
      <x:c r="H2339" s="87" t="n">
        <x:v>36</x:v>
      </x:c>
      <x:c r="I2339" s="87" t="n">
        <x:v>236</x:v>
      </x:c>
      <x:c r="J2339" s="68" t="n">
        <x:f>IFERROR(H2339/I2339,"")</x:f>
        <x:v>0.15254237288135594</x:v>
      </x:c>
      <x:c r="K2339" s="69" t="n">
        <x:f>IFERROR(I2339/H2339,"")</x:f>
        <x:v>6.555555555555555</x:v>
      </x:c>
      <x:c r="L2339" s="66" t="str">
        <x:f>IF(K2339="","","1 : "&amp;TEXT(K2339,"0.0"))</x:f>
        <x:v>1 : 6.6</x:v>
      </x:c>
      <x:c r="M2339" s="66" t="str">
        <x:f>IF(J2339="","Baru/Tanpa Data",IF(J2339&lt;='Catatan &amp; Sumber'!$B$14,"Sangat Ketat",IF(J2339&lt;='Catatan &amp; Sumber'!$B$15,"Ketat",IF(J2339&lt;='Catatan &amp; Sumber'!$B$16,"Sedang","Relatif Longgar"))))</x:f>
        <x:v>Relatif Longgar</x:v>
      </x:c>
      <x:c r="N2339" s="66" t="str">
        <x:v>Tidak Ada</x:v>
      </x:c>
      <x:c r="O2339" s="66" t="str">
        <x:v>Yogyakarta</x:v>
      </x:c>
      <x:c r="P2339" s="66" t="str">
        <x:v>Kabupaten Sleman</x:v>
      </x:c>
      <x:c r="Q2339" s="66" t="str">
        <x:v>https://snpmb.id/snbp/daya-tampung-snbp</x:v>
      </x:c>
      <x:c r="R2339" s="66" t="str">
        <x:v>https://sidatagrun-public-1076756628210.asia-southeast2.run.app/ptn_sn.php?ptn=361</x:v>
      </x:c>
    </x:row>
    <x:row r="2340">
      <x:c r="A2340" s="87" t="n">
        <x:v>1186</x:v>
      </x:c>
      <x:c r="B2340" s="66" t="n">
        <x:v>361</x:v>
      </x:c>
      <x:c r="C2340" s="66" t="str">
        <x:v>UNIVERSITAS GADJAH MADA</x:v>
      </x:c>
      <x:c r="D2340" s="66" t="str">
        <x:v>PTN Akademik</x:v>
      </x:c>
      <x:c r="E2340" s="66" t="str">
        <x:v>13612088</x:v>
      </x:c>
      <x:c r="F2340" s="66" t="str">
        <x:v>AKUNTANSI SEKTOR PUBLIK</x:v>
      </x:c>
      <x:c r="G2340" s="66" t="str">
        <x:v>Sarjana Terapan</x:v>
      </x:c>
      <x:c r="H2340" s="87" t="n">
        <x:v>30</x:v>
      </x:c>
      <x:c r="I2340" s="87" t="n">
        <x:v>337</x:v>
      </x:c>
      <x:c r="J2340" s="68" t="n">
        <x:f>IFERROR(H2340/I2340,"")</x:f>
        <x:v>0.08902077151335312</x:v>
      </x:c>
      <x:c r="K2340" s="69" t="n">
        <x:f>IFERROR(I2340/H2340,"")</x:f>
        <x:v>11.233333333333333</x:v>
      </x:c>
      <x:c r="L2340" s="66" t="str">
        <x:f>IF(K2340="","","1 : "&amp;TEXT(K2340,"0.0"))</x:f>
        <x:v>1 : 11.2</x:v>
      </x:c>
      <x:c r="M2340" s="66" t="str">
        <x:f>IF(J2340="","Baru/Tanpa Data",IF(J2340&lt;='Catatan &amp; Sumber'!$B$14,"Sangat Ketat",IF(J2340&lt;='Catatan &amp; Sumber'!$B$15,"Ketat",IF(J2340&lt;='Catatan &amp; Sumber'!$B$16,"Sedang","Relatif Longgar"))))</x:f>
        <x:v>Sedang</x:v>
      </x:c>
      <x:c r="N2340" s="66" t="str">
        <x:v>Tidak Ada</x:v>
      </x:c>
      <x:c r="O2340" s="66" t="str">
        <x:v>Yogyakarta</x:v>
      </x:c>
      <x:c r="P2340" s="66" t="str">
        <x:v>Kabupaten Sleman</x:v>
      </x:c>
      <x:c r="Q2340" s="66" t="str">
        <x:v>https://snpmb.id/snbp/daya-tampung-snbp</x:v>
      </x:c>
      <x:c r="R2340" s="66" t="str">
        <x:v>https://sidatagrun-public-1076756628210.asia-southeast2.run.app/ptn_sn.php?ptn=361</x:v>
      </x:c>
    </x:row>
    <x:row r="2341">
      <x:c r="A2341" s="87" t="n">
        <x:v>1940</x:v>
      </x:c>
      <x:c r="B2341" s="66" t="n">
        <x:v>361</x:v>
      </x:c>
      <x:c r="C2341" s="66" t="str">
        <x:v>UNIVERSITAS GADJAH MADA</x:v>
      </x:c>
      <x:c r="D2341" s="66" t="str">
        <x:v>PTN Akademik</x:v>
      </x:c>
      <x:c r="E2341" s="66" t="str">
        <x:v>13612089</x:v>
      </x:c>
      <x:c r="F2341" s="66" t="str">
        <x:v>PEMBANGUNAN EKONOMI KEWILAYAHAN</x:v>
      </x:c>
      <x:c r="G2341" s="66" t="str">
        <x:v>Sarjana Terapan</x:v>
      </x:c>
      <x:c r="H2341" s="87" t="n">
        <x:v>30</x:v>
      </x:c>
      <x:c r="I2341" s="87" t="n">
        <x:v>206</x:v>
      </x:c>
      <x:c r="J2341" s="68" t="n">
        <x:f>IFERROR(H2341/I2341,"")</x:f>
        <x:v>0.14563106796116504</x:v>
      </x:c>
      <x:c r="K2341" s="69" t="n">
        <x:f>IFERROR(I2341/H2341,"")</x:f>
        <x:v>6.866666666666666</x:v>
      </x:c>
      <x:c r="L2341" s="66" t="str">
        <x:f>IF(K2341="","","1 : "&amp;TEXT(K2341,"0.0"))</x:f>
        <x:v>1 : 6.9</x:v>
      </x:c>
      <x:c r="M2341" s="66" t="str">
        <x:f>IF(J2341="","Baru/Tanpa Data",IF(J2341&lt;='Catatan &amp; Sumber'!$B$14,"Sangat Ketat",IF(J2341&lt;='Catatan &amp; Sumber'!$B$15,"Ketat",IF(J2341&lt;='Catatan &amp; Sumber'!$B$16,"Sedang","Relatif Longgar"))))</x:f>
        <x:v>Relatif Longgar</x:v>
      </x:c>
      <x:c r="N2341" s="66" t="str">
        <x:v>Tidak Ada</x:v>
      </x:c>
      <x:c r="O2341" s="66" t="str">
        <x:v>Yogyakarta</x:v>
      </x:c>
      <x:c r="P2341" s="66" t="str">
        <x:v>Kabupaten Sleman</x:v>
      </x:c>
      <x:c r="Q2341" s="66" t="str">
        <x:v>https://snpmb.id/snbp/daya-tampung-snbp</x:v>
      </x:c>
      <x:c r="R2341" s="66" t="str">
        <x:v>https://sidatagrun-public-1076756628210.asia-southeast2.run.app/ptn_sn.php?ptn=361</x:v>
      </x:c>
    </x:row>
    <x:row r="2342">
      <x:c r="A2342" s="87" t="n">
        <x:v>1348</x:v>
      </x:c>
      <x:c r="B2342" s="66" t="n">
        <x:v>361</x:v>
      </x:c>
      <x:c r="C2342" s="66" t="str">
        <x:v>UNIVERSITAS GADJAH MADA</x:v>
      </x:c>
      <x:c r="D2342" s="66" t="str">
        <x:v>PTN Akademik</x:v>
      </x:c>
      <x:c r="E2342" s="66" t="str">
        <x:v>13612090</x:v>
      </x:c>
      <x:c r="F2342" s="66" t="str">
        <x:v>PENGELOLAAN ARSIP DAN REKAMAN INFORMASI</x:v>
      </x:c>
      <x:c r="G2342" s="66" t="str">
        <x:v>Sarjana Terapan</x:v>
      </x:c>
      <x:c r="H2342" s="87" t="n">
        <x:v>23</x:v>
      </x:c>
      <x:c r="I2342" s="87" t="n">
        <x:v>234</x:v>
      </x:c>
      <x:c r="J2342" s="68" t="n">
        <x:f>IFERROR(H2342/I2342,"")</x:f>
        <x:v>0.09829059829059829</x:v>
      </x:c>
      <x:c r="K2342" s="69" t="n">
        <x:f>IFERROR(I2342/H2342,"")</x:f>
        <x:v>10.173913043478262</x:v>
      </x:c>
      <x:c r="L2342" s="66" t="str">
        <x:f>IF(K2342="","","1 : "&amp;TEXT(K2342,"0.0"))</x:f>
        <x:v>1 : 10.2</x:v>
      </x:c>
      <x:c r="M2342" s="66" t="str">
        <x:f>IF(J2342="","Baru/Tanpa Data",IF(J2342&lt;='Catatan &amp; Sumber'!$B$14,"Sangat Ketat",IF(J2342&lt;='Catatan &amp; Sumber'!$B$15,"Ketat",IF(J2342&lt;='Catatan &amp; Sumber'!$B$16,"Sedang","Relatif Longgar"))))</x:f>
        <x:v>Sedang</x:v>
      </x:c>
      <x:c r="N2342" s="66" t="str">
        <x:v>Tidak Ada</x:v>
      </x:c>
      <x:c r="O2342" s="66" t="str">
        <x:v>Yogyakarta</x:v>
      </x:c>
      <x:c r="P2342" s="66" t="str">
        <x:v>Kabupaten Sleman</x:v>
      </x:c>
      <x:c r="Q2342" s="66" t="str">
        <x:v>https://snpmb.id/snbp/daya-tampung-snbp</x:v>
      </x:c>
      <x:c r="R2342" s="66" t="str">
        <x:v>https://sidatagrun-public-1076756628210.asia-southeast2.run.app/ptn_sn.php?ptn=361</x:v>
      </x:c>
    </x:row>
    <x:row r="2343">
      <x:c r="A2343" s="87" t="n">
        <x:v>1987</x:v>
      </x:c>
      <x:c r="B2343" s="66" t="n">
        <x:v>361</x:v>
      </x:c>
      <x:c r="C2343" s="66" t="str">
        <x:v>UNIVERSITAS GADJAH MADA</x:v>
      </x:c>
      <x:c r="D2343" s="66" t="str">
        <x:v>PTN Akademik</x:v>
      </x:c>
      <x:c r="E2343" s="66" t="str">
        <x:v>13612091</x:v>
      </x:c>
      <x:c r="F2343" s="66" t="str">
        <x:v>BAHASA INGGRIS</x:v>
      </x:c>
      <x:c r="G2343" s="66" t="str">
        <x:v>Sarjana Terapan</x:v>
      </x:c>
      <x:c r="H2343" s="87" t="n">
        <x:v>23</x:v>
      </x:c>
      <x:c r="I2343" s="87" t="n">
        <x:v>153</x:v>
      </x:c>
      <x:c r="J2343" s="68" t="n">
        <x:f>IFERROR(H2343/I2343,"")</x:f>
        <x:v>0.1503267973856209</x:v>
      </x:c>
      <x:c r="K2343" s="69" t="n">
        <x:f>IFERROR(I2343/H2343,"")</x:f>
        <x:v>6.6521739130434785</x:v>
      </x:c>
      <x:c r="L2343" s="66" t="str">
        <x:f>IF(K2343="","","1 : "&amp;TEXT(K2343,"0.0"))</x:f>
        <x:v>1 : 6.7</x:v>
      </x:c>
      <x:c r="M2343" s="66" t="str">
        <x:f>IF(J2343="","Baru/Tanpa Data",IF(J2343&lt;='Catatan &amp; Sumber'!$B$14,"Sangat Ketat",IF(J2343&lt;='Catatan &amp; Sumber'!$B$15,"Ketat",IF(J2343&lt;='Catatan &amp; Sumber'!$B$16,"Sedang","Relatif Longgar"))))</x:f>
        <x:v>Relatif Longgar</x:v>
      </x:c>
      <x:c r="N2343" s="66" t="str">
        <x:v>Tidak Ada</x:v>
      </x:c>
      <x:c r="O2343" s="66" t="str">
        <x:v>Yogyakarta</x:v>
      </x:c>
      <x:c r="P2343" s="66" t="str">
        <x:v>Kabupaten Sleman</x:v>
      </x:c>
      <x:c r="Q2343" s="66" t="str">
        <x:v>https://snpmb.id/snbp/daya-tampung-snbp</x:v>
      </x:c>
      <x:c r="R2343" s="66" t="str">
        <x:v>https://sidatagrun-public-1076756628210.asia-southeast2.run.app/ptn_sn.php?ptn=361</x:v>
      </x:c>
    </x:row>
    <x:row r="2344">
      <x:c r="A2344" s="87" t="n">
        <x:v>1888</x:v>
      </x:c>
      <x:c r="B2344" s="66" t="n">
        <x:v>361</x:v>
      </x:c>
      <x:c r="C2344" s="66" t="str">
        <x:v>UNIVERSITAS GADJAH MADA</x:v>
      </x:c>
      <x:c r="D2344" s="66" t="str">
        <x:v>PTN Akademik</x:v>
      </x:c>
      <x:c r="E2344" s="66" t="str">
        <x:v>13612092</x:v>
      </x:c>
      <x:c r="F2344" s="66" t="str">
        <x:v>BISNIS PERJALANAN WISATA</x:v>
      </x:c>
      <x:c r="G2344" s="66" t="str">
        <x:v>Sarjana Terapan</x:v>
      </x:c>
      <x:c r="H2344" s="87" t="n">
        <x:v>27</x:v>
      </x:c>
      <x:c r="I2344" s="87" t="n">
        <x:v>193</x:v>
      </x:c>
      <x:c r="J2344" s="68" t="n">
        <x:f>IFERROR(H2344/I2344,"")</x:f>
        <x:v>0.13989637305699482</x:v>
      </x:c>
      <x:c r="K2344" s="69" t="n">
        <x:f>IFERROR(I2344/H2344,"")</x:f>
        <x:v>7.148148148148148</x:v>
      </x:c>
      <x:c r="L2344" s="66" t="str">
        <x:f>IF(K2344="","","1 : "&amp;TEXT(K2344,"0.0"))</x:f>
        <x:v>1 : 7.1</x:v>
      </x:c>
      <x:c r="M2344" s="66" t="str">
        <x:f>IF(J2344="","Baru/Tanpa Data",IF(J2344&lt;='Catatan &amp; Sumber'!$B$14,"Sangat Ketat",IF(J2344&lt;='Catatan &amp; Sumber'!$B$15,"Ketat",IF(J2344&lt;='Catatan &amp; Sumber'!$B$16,"Sedang","Relatif Longgar"))))</x:f>
        <x:v>Relatif Longgar</x:v>
      </x:c>
      <x:c r="N2344" s="66" t="str">
        <x:v>Tidak Ada</x:v>
      </x:c>
      <x:c r="O2344" s="66" t="str">
        <x:v>Yogyakarta</x:v>
      </x:c>
      <x:c r="P2344" s="66" t="str">
        <x:v>Kabupaten Sleman</x:v>
      </x:c>
      <x:c r="Q2344" s="66" t="str">
        <x:v>https://snpmb.id/snbp/daya-tampung-snbp</x:v>
      </x:c>
      <x:c r="R2344" s="66" t="str">
        <x:v>https://sidatagrun-public-1076756628210.asia-southeast2.run.app/ptn_sn.php?ptn=361</x:v>
      </x:c>
    </x:row>
    <x:row r="2345">
      <x:c r="A2345" s="87" t="n">
        <x:v>1514</x:v>
      </x:c>
      <x:c r="B2345" s="66" t="n">
        <x:v>361</x:v>
      </x:c>
      <x:c r="C2345" s="66" t="str">
        <x:v>UNIVERSITAS GADJAH MADA</x:v>
      </x:c>
      <x:c r="D2345" s="66" t="str">
        <x:v>PTN Akademik</x:v>
      </x:c>
      <x:c r="E2345" s="66" t="str">
        <x:v>13612115</x:v>
      </x:c>
      <x:c r="F2345" s="66" t="str">
        <x:v>BAHASA JEPANG UNTUK KOMUNIKASI BISNIS DAN PROFESIONAL</x:v>
      </x:c>
      <x:c r="G2345" s="66" t="str">
        <x:v>Sarjana Terapan</x:v>
      </x:c>
      <x:c r="H2345" s="87" t="n">
        <x:v>18</x:v>
      </x:c>
      <x:c r="I2345" s="87" t="n">
        <x:v>163</x:v>
      </x:c>
      <x:c r="J2345" s="68" t="n">
        <x:f>IFERROR(H2345/I2345,"")</x:f>
        <x:v>0.11042944785276074</x:v>
      </x:c>
      <x:c r="K2345" s="69" t="n">
        <x:f>IFERROR(I2345/H2345,"")</x:f>
        <x:v>9.055555555555555</x:v>
      </x:c>
      <x:c r="L2345" s="66" t="str">
        <x:f>IF(K2345="","","1 : "&amp;TEXT(K2345,"0.0"))</x:f>
        <x:v>1 : 9.1</x:v>
      </x:c>
      <x:c r="M2345" s="66" t="str">
        <x:f>IF(J2345="","Baru/Tanpa Data",IF(J2345&lt;='Catatan &amp; Sumber'!$B$14,"Sangat Ketat",IF(J2345&lt;='Catatan &amp; Sumber'!$B$15,"Ketat",IF(J2345&lt;='Catatan &amp; Sumber'!$B$16,"Sedang","Relatif Longgar"))))</x:f>
        <x:v>Relatif Longgar</x:v>
      </x:c>
      <x:c r="N2345" s="66" t="str">
        <x:v>Tidak Ada</x:v>
      </x:c>
      <x:c r="O2345" s="66" t="str">
        <x:v>Yogyakarta</x:v>
      </x:c>
      <x:c r="P2345" s="66" t="str">
        <x:v>Kabupaten Sleman</x:v>
      </x:c>
      <x:c r="Q2345" s="66" t="str">
        <x:v>https://snpmb.id/snbp/daya-tampung-snbp</x:v>
      </x:c>
      <x:c r="R2345" s="66" t="str">
        <x:v>https://sidatagrun-public-1076756628210.asia-southeast2.run.app/ptn_sn.php?ptn=361</x:v>
      </x:c>
    </x:row>
    <x:row r="2346">
      <x:c r="A2346" s="87" t="n">
        <x:v>537</x:v>
      </x:c>
      <x:c r="B2346" s="66" t="n">
        <x:v>362</x:v>
      </x:c>
      <x:c r="C2346" s="66" t="str">
        <x:v>UNIVERSITAS NEGERI YOGYAKARTA</x:v>
      </x:c>
      <x:c r="D2346" s="66" t="str">
        <x:v>PTN Akademik</x:v>
      </x:c>
      <x:c r="E2346" s="66" t="str">
        <x:v>13621001</x:v>
      </x:c>
      <x:c r="F2346" s="66" t="str">
        <x:v>PENDIDIKAN MATEMATIKA</x:v>
      </x:c>
      <x:c r="G2346" s="66" t="str">
        <x:v>Sarjana</x:v>
      </x:c>
      <x:c r="H2346" s="87" t="n">
        <x:v>16</x:v>
      </x:c>
      <x:c r="I2346" s="87" t="n">
        <x:v>298</x:v>
      </x:c>
      <x:c r="J2346" s="68" t="n">
        <x:f>IFERROR(H2346/I2346,"")</x:f>
        <x:v>0.053691275167785234</x:v>
      </x:c>
      <x:c r="K2346" s="69" t="n">
        <x:f>IFERROR(I2346/H2346,"")</x:f>
        <x:v>18.625</x:v>
      </x:c>
      <x:c r="L2346" s="66" t="str">
        <x:f>IF(K2346="","","1 : "&amp;TEXT(K2346,"0.0"))</x:f>
        <x:v>1 : 18.6</x:v>
      </x:c>
      <x:c r="M2346" s="66" t="str">
        <x:f>IF(J2346="","Baru/Tanpa Data",IF(J2346&lt;='Catatan &amp; Sumber'!$B$14,"Sangat Ketat",IF(J2346&lt;='Catatan &amp; Sumber'!$B$15,"Ketat",IF(J2346&lt;='Catatan &amp; Sumber'!$B$16,"Sedang","Relatif Longgar"))))</x:f>
        <x:v>Sedang</x:v>
      </x:c>
      <x:c r="N2346" s="66" t="str">
        <x:v>Tidak Ada</x:v>
      </x:c>
      <x:c r="O2346" s="66" t="str">
        <x:v>Yogyakarta</x:v>
      </x:c>
      <x:c r="P2346" s="66" t="str">
        <x:v>Kabupaten Sleman</x:v>
      </x:c>
      <x:c r="Q2346" s="66" t="str">
        <x:v>https://snpmb.id/snbp/daya-tampung-snbp</x:v>
      </x:c>
      <x:c r="R2346" s="66" t="str">
        <x:v>https://sidatagrun-public-1076756628210.asia-southeast2.run.app/ptn_sn.php?ptn=362</x:v>
      </x:c>
    </x:row>
    <x:row r="2347">
      <x:c r="A2347" s="87" t="n">
        <x:v>2517</x:v>
      </x:c>
      <x:c r="B2347" s="66" t="n">
        <x:v>362</x:v>
      </x:c>
      <x:c r="C2347" s="66" t="str">
        <x:v>UNIVERSITAS NEGERI YOGYAKARTA</x:v>
      </x:c>
      <x:c r="D2347" s="66" t="str">
        <x:v>PTN Akademik</x:v>
      </x:c>
      <x:c r="E2347" s="66" t="str">
        <x:v>13621002</x:v>
      </x:c>
      <x:c r="F2347" s="66" t="str">
        <x:v>PENDIDIKAN FISIKA</x:v>
      </x:c>
      <x:c r="G2347" s="66" t="str">
        <x:v>Sarjana</x:v>
      </x:c>
      <x:c r="H2347" s="87" t="n">
        <x:v>24</x:v>
      </x:c>
      <x:c r="I2347" s="87" t="n">
        <x:v>112</x:v>
      </x:c>
      <x:c r="J2347" s="68" t="n">
        <x:f>IFERROR(H2347/I2347,"")</x:f>
        <x:v>0.21428571428571427</x:v>
      </x:c>
      <x:c r="K2347" s="69" t="n">
        <x:f>IFERROR(I2347/H2347,"")</x:f>
        <x:v>4.666666666666667</x:v>
      </x:c>
      <x:c r="L2347" s="66" t="str">
        <x:f>IF(K2347="","","1 : "&amp;TEXT(K2347,"0.0"))</x:f>
        <x:v>1 : 4.7</x:v>
      </x:c>
      <x:c r="M2347" s="66" t="str">
        <x:f>IF(J2347="","Baru/Tanpa Data",IF(J2347&lt;='Catatan &amp; Sumber'!$B$14,"Sangat Ketat",IF(J2347&lt;='Catatan &amp; Sumber'!$B$15,"Ketat",IF(J2347&lt;='Catatan &amp; Sumber'!$B$16,"Sedang","Relatif Longgar"))))</x:f>
        <x:v>Relatif Longgar</x:v>
      </x:c>
      <x:c r="N2347" s="66" t="str">
        <x:v>Tidak Ada</x:v>
      </x:c>
      <x:c r="O2347" s="66" t="str">
        <x:v>Yogyakarta</x:v>
      </x:c>
      <x:c r="P2347" s="66" t="str">
        <x:v>Kabupaten Sleman</x:v>
      </x:c>
      <x:c r="Q2347" s="66" t="str">
        <x:v>https://snpmb.id/snbp/daya-tampung-snbp</x:v>
      </x:c>
      <x:c r="R2347" s="66" t="str">
        <x:v>https://sidatagrun-public-1076756628210.asia-southeast2.run.app/ptn_sn.php?ptn=362</x:v>
      </x:c>
    </x:row>
    <x:row r="2348">
      <x:c r="A2348" s="87" t="n">
        <x:v>1462</x:v>
      </x:c>
      <x:c r="B2348" s="66" t="n">
        <x:v>362</x:v>
      </x:c>
      <x:c r="C2348" s="66" t="str">
        <x:v>UNIVERSITAS NEGERI YOGYAKARTA</x:v>
      </x:c>
      <x:c r="D2348" s="66" t="str">
        <x:v>PTN Akademik</x:v>
      </x:c>
      <x:c r="E2348" s="66" t="str">
        <x:v>13621003</x:v>
      </x:c>
      <x:c r="F2348" s="66" t="str">
        <x:v>PENDIDIKAN KIMIA</x:v>
      </x:c>
      <x:c r="G2348" s="66" t="str">
        <x:v>Sarjana</x:v>
      </x:c>
      <x:c r="H2348" s="87" t="n">
        <x:v>16</x:v>
      </x:c>
      <x:c r="I2348" s="87" t="n">
        <x:v>150</x:v>
      </x:c>
      <x:c r="J2348" s="68" t="n">
        <x:f>IFERROR(H2348/I2348,"")</x:f>
        <x:v>0.10666666666666667</x:v>
      </x:c>
      <x:c r="K2348" s="69" t="n">
        <x:f>IFERROR(I2348/H2348,"")</x:f>
        <x:v>9.375</x:v>
      </x:c>
      <x:c r="L2348" s="66" t="str">
        <x:f>IF(K2348="","","1 : "&amp;TEXT(K2348,"0.0"))</x:f>
        <x:v>1 : 9.4</x:v>
      </x:c>
      <x:c r="M2348" s="66" t="str">
        <x:f>IF(J2348="","Baru/Tanpa Data",IF(J2348&lt;='Catatan &amp; Sumber'!$B$14,"Sangat Ketat",IF(J2348&lt;='Catatan &amp; Sumber'!$B$15,"Ketat",IF(J2348&lt;='Catatan &amp; Sumber'!$B$16,"Sedang","Relatif Longgar"))))</x:f>
        <x:v>Relatif Longgar</x:v>
      </x:c>
      <x:c r="N2348" s="66" t="str">
        <x:v>Tidak Ada</x:v>
      </x:c>
      <x:c r="O2348" s="66" t="str">
        <x:v>Yogyakarta</x:v>
      </x:c>
      <x:c r="P2348" s="66" t="str">
        <x:v>Kabupaten Sleman</x:v>
      </x:c>
      <x:c r="Q2348" s="66" t="str">
        <x:v>https://snpmb.id/snbp/daya-tampung-snbp</x:v>
      </x:c>
      <x:c r="R2348" s="66" t="str">
        <x:v>https://sidatagrun-public-1076756628210.asia-southeast2.run.app/ptn_sn.php?ptn=362</x:v>
      </x:c>
    </x:row>
    <x:row r="2349">
      <x:c r="A2349" s="87" t="n">
        <x:v>1128</x:v>
      </x:c>
      <x:c r="B2349" s="66" t="n">
        <x:v>362</x:v>
      </x:c>
      <x:c r="C2349" s="66" t="str">
        <x:v>UNIVERSITAS NEGERI YOGYAKARTA</x:v>
      </x:c>
      <x:c r="D2349" s="66" t="str">
        <x:v>PTN Akademik</x:v>
      </x:c>
      <x:c r="E2349" s="66" t="str">
        <x:v>13621004</x:v>
      </x:c>
      <x:c r="F2349" s="66" t="str">
        <x:v>PENDIDIKAN BIOLOGI</x:v>
      </x:c>
      <x:c r="G2349" s="66" t="str">
        <x:v>Sarjana</x:v>
      </x:c>
      <x:c r="H2349" s="87" t="n">
        <x:v>19</x:v>
      </x:c>
      <x:c r="I2349" s="87" t="n">
        <x:v>222</x:v>
      </x:c>
      <x:c r="J2349" s="68" t="n">
        <x:f>IFERROR(H2349/I2349,"")</x:f>
        <x:v>0.08558558558558559</x:v>
      </x:c>
      <x:c r="K2349" s="69" t="n">
        <x:f>IFERROR(I2349/H2349,"")</x:f>
        <x:v>11.68421052631579</x:v>
      </x:c>
      <x:c r="L2349" s="66" t="str">
        <x:f>IF(K2349="","","1 : "&amp;TEXT(K2349,"0.0"))</x:f>
        <x:v>1 : 11.7</x:v>
      </x:c>
      <x:c r="M2349" s="66" t="str">
        <x:f>IF(J2349="","Baru/Tanpa Data",IF(J2349&lt;='Catatan &amp; Sumber'!$B$14,"Sangat Ketat",IF(J2349&lt;='Catatan &amp; Sumber'!$B$15,"Ketat",IF(J2349&lt;='Catatan &amp; Sumber'!$B$16,"Sedang","Relatif Longgar"))))</x:f>
        <x:v>Sedang</x:v>
      </x:c>
      <x:c r="N2349" s="66" t="str">
        <x:v>Tidak Ada</x:v>
      </x:c>
      <x:c r="O2349" s="66" t="str">
        <x:v>Yogyakarta</x:v>
      </x:c>
      <x:c r="P2349" s="66" t="str">
        <x:v>Kabupaten Sleman</x:v>
      </x:c>
      <x:c r="Q2349" s="66" t="str">
        <x:v>https://snpmb.id/snbp/daya-tampung-snbp</x:v>
      </x:c>
      <x:c r="R2349" s="66" t="str">
        <x:v>https://sidatagrun-public-1076756628210.asia-southeast2.run.app/ptn_sn.php?ptn=362</x:v>
      </x:c>
    </x:row>
    <x:row r="2350">
      <x:c r="A2350" s="87" t="n">
        <x:v>2496</x:v>
      </x:c>
      <x:c r="B2350" s="66" t="n">
        <x:v>362</x:v>
      </x:c>
      <x:c r="C2350" s="66" t="str">
        <x:v>UNIVERSITAS NEGERI YOGYAKARTA</x:v>
      </x:c>
      <x:c r="D2350" s="66" t="str">
        <x:v>PTN Akademik</x:v>
      </x:c>
      <x:c r="E2350" s="66" t="str">
        <x:v>13621005</x:v>
      </x:c>
      <x:c r="F2350" s="66" t="str">
        <x:v>PENDIDIKAN TEKNIK ELEKTRONIKA</x:v>
      </x:c>
      <x:c r="G2350" s="66" t="str">
        <x:v>Sarjana</x:v>
      </x:c>
      <x:c r="H2350" s="87" t="n">
        <x:v>8</x:v>
      </x:c>
      <x:c r="I2350" s="87" t="n">
        <x:v>38</x:v>
      </x:c>
      <x:c r="J2350" s="68" t="n">
        <x:f>IFERROR(H2350/I2350,"")</x:f>
        <x:v>0.21052631578947367</x:v>
      </x:c>
      <x:c r="K2350" s="69" t="n">
        <x:f>IFERROR(I2350/H2350,"")</x:f>
        <x:v>4.75</x:v>
      </x:c>
      <x:c r="L2350" s="66" t="str">
        <x:f>IF(K2350="","","1 : "&amp;TEXT(K2350,"0.0"))</x:f>
        <x:v>1 : 4.8</x:v>
      </x:c>
      <x:c r="M2350" s="66" t="str">
        <x:f>IF(J2350="","Baru/Tanpa Data",IF(J2350&lt;='Catatan &amp; Sumber'!$B$14,"Sangat Ketat",IF(J2350&lt;='Catatan &amp; Sumber'!$B$15,"Ketat",IF(J2350&lt;='Catatan &amp; Sumber'!$B$16,"Sedang","Relatif Longgar"))))</x:f>
        <x:v>Relatif Longgar</x:v>
      </x:c>
      <x:c r="N2350" s="66" t="str">
        <x:v>Tidak Ada</x:v>
      </x:c>
      <x:c r="O2350" s="66" t="str">
        <x:v>Yogyakarta</x:v>
      </x:c>
      <x:c r="P2350" s="66" t="str">
        <x:v>Kabupaten Sleman</x:v>
      </x:c>
      <x:c r="Q2350" s="66" t="str">
        <x:v>https://snpmb.id/snbp/daya-tampung-snbp</x:v>
      </x:c>
      <x:c r="R2350" s="66" t="str">
        <x:v>https://sidatagrun-public-1076756628210.asia-southeast2.run.app/ptn_sn.php?ptn=362</x:v>
      </x:c>
    </x:row>
    <x:row r="2351">
      <x:c r="A2351" s="87" t="n">
        <x:v>1296</x:v>
      </x:c>
      <x:c r="B2351" s="66" t="n">
        <x:v>362</x:v>
      </x:c>
      <x:c r="C2351" s="66" t="str">
        <x:v>UNIVERSITAS NEGERI YOGYAKARTA</x:v>
      </x:c>
      <x:c r="D2351" s="66" t="str">
        <x:v>PTN Akademik</x:v>
      </x:c>
      <x:c r="E2351" s="66" t="str">
        <x:v>13621006</x:v>
      </x:c>
      <x:c r="F2351" s="66" t="str">
        <x:v>PENDIDIKAN TEKNIK OTOMOTIF</x:v>
      </x:c>
      <x:c r="G2351" s="66" t="str">
        <x:v>Sarjana</x:v>
      </x:c>
      <x:c r="H2351" s="87" t="n">
        <x:v>19</x:v>
      </x:c>
      <x:c r="I2351" s="87" t="n">
        <x:v>200</x:v>
      </x:c>
      <x:c r="J2351" s="68" t="n">
        <x:f>IFERROR(H2351/I2351,"")</x:f>
        <x:v>0.095</x:v>
      </x:c>
      <x:c r="K2351" s="69" t="n">
        <x:f>IFERROR(I2351/H2351,"")</x:f>
        <x:v>10.526315789473685</x:v>
      </x:c>
      <x:c r="L2351" s="66" t="str">
        <x:f>IF(K2351="","","1 : "&amp;TEXT(K2351,"0.0"))</x:f>
        <x:v>1 : 10.5</x:v>
      </x:c>
      <x:c r="M2351" s="66" t="str">
        <x:f>IF(J2351="","Baru/Tanpa Data",IF(J2351&lt;='Catatan &amp; Sumber'!$B$14,"Sangat Ketat",IF(J2351&lt;='Catatan &amp; Sumber'!$B$15,"Ketat",IF(J2351&lt;='Catatan &amp; Sumber'!$B$16,"Sedang","Relatif Longgar"))))</x:f>
        <x:v>Sedang</x:v>
      </x:c>
      <x:c r="N2351" s="66" t="str">
        <x:v>Tidak Ada</x:v>
      </x:c>
      <x:c r="O2351" s="66" t="str">
        <x:v>Yogyakarta</x:v>
      </x:c>
      <x:c r="P2351" s="66" t="str">
        <x:v>Kabupaten Sleman</x:v>
      </x:c>
      <x:c r="Q2351" s="66" t="str">
        <x:v>https://snpmb.id/snbp/daya-tampung-snbp</x:v>
      </x:c>
      <x:c r="R2351" s="66" t="str">
        <x:v>https://sidatagrun-public-1076756628210.asia-southeast2.run.app/ptn_sn.php?ptn=362</x:v>
      </x:c>
    </x:row>
    <x:row r="2352">
      <x:c r="A2352" s="87" t="n">
        <x:v>1400</x:v>
      </x:c>
      <x:c r="B2352" s="66" t="n">
        <x:v>362</x:v>
      </x:c>
      <x:c r="C2352" s="66" t="str">
        <x:v>UNIVERSITAS NEGERI YOGYAKARTA</x:v>
      </x:c>
      <x:c r="D2352" s="66" t="str">
        <x:v>PTN Akademik</x:v>
      </x:c>
      <x:c r="E2352" s="66" t="str">
        <x:v>13621007</x:v>
      </x:c>
      <x:c r="F2352" s="66" t="str">
        <x:v>PENDIDIKAN TEKNIK MESIN</x:v>
      </x:c>
      <x:c r="G2352" s="66" t="str">
        <x:v>Sarjana</x:v>
      </x:c>
      <x:c r="H2352" s="87" t="n">
        <x:v>16</x:v>
      </x:c>
      <x:c r="I2352" s="87" t="n">
        <x:v>157</x:v>
      </x:c>
      <x:c r="J2352" s="68" t="n">
        <x:f>IFERROR(H2352/I2352,"")</x:f>
        <x:v>0.10191082802547771</x:v>
      </x:c>
      <x:c r="K2352" s="69" t="n">
        <x:f>IFERROR(I2352/H2352,"")</x:f>
        <x:v>9.8125</x:v>
      </x:c>
      <x:c r="L2352" s="66" t="str">
        <x:f>IF(K2352="","","1 : "&amp;TEXT(K2352,"0.0"))</x:f>
        <x:v>1 : 9.8</x:v>
      </x:c>
      <x:c r="M2352" s="66" t="str">
        <x:f>IF(J2352="","Baru/Tanpa Data",IF(J2352&lt;='Catatan &amp; Sumber'!$B$14,"Sangat Ketat",IF(J2352&lt;='Catatan &amp; Sumber'!$B$15,"Ketat",IF(J2352&lt;='Catatan &amp; Sumber'!$B$16,"Sedang","Relatif Longgar"))))</x:f>
        <x:v>Relatif Longgar</x:v>
      </x:c>
      <x:c r="N2352" s="66" t="str">
        <x:v>Tidak Ada</x:v>
      </x:c>
      <x:c r="O2352" s="66" t="str">
        <x:v>Yogyakarta</x:v>
      </x:c>
      <x:c r="P2352" s="66" t="str">
        <x:v>Kabupaten Sleman</x:v>
      </x:c>
      <x:c r="Q2352" s="66" t="str">
        <x:v>https://snpmb.id/snbp/daya-tampung-snbp</x:v>
      </x:c>
      <x:c r="R2352" s="66" t="str">
        <x:v>https://sidatagrun-public-1076756628210.asia-southeast2.run.app/ptn_sn.php?ptn=362</x:v>
      </x:c>
    </x:row>
    <x:row r="2353">
      <x:c r="A2353" s="87" t="n">
        <x:v>2136</x:v>
      </x:c>
      <x:c r="B2353" s="66" t="n">
        <x:v>362</x:v>
      </x:c>
      <x:c r="C2353" s="66" t="str">
        <x:v>UNIVERSITAS NEGERI YOGYAKARTA</x:v>
      </x:c>
      <x:c r="D2353" s="66" t="str">
        <x:v>PTN Akademik</x:v>
      </x:c>
      <x:c r="E2353" s="66" t="str">
        <x:v>13621008</x:v>
      </x:c>
      <x:c r="F2353" s="66" t="str">
        <x:v>PENDIDIKAN TEKNIK ELEKTRO</x:v>
      </x:c>
      <x:c r="G2353" s="66" t="str">
        <x:v>Sarjana</x:v>
      </x:c>
      <x:c r="H2353" s="87" t="n">
        <x:v>16</x:v>
      </x:c>
      <x:c r="I2353" s="87" t="n">
        <x:v>97</x:v>
      </x:c>
      <x:c r="J2353" s="68" t="n">
        <x:f>IFERROR(H2353/I2353,"")</x:f>
        <x:v>0.16494845360824742</x:v>
      </x:c>
      <x:c r="K2353" s="69" t="n">
        <x:f>IFERROR(I2353/H2353,"")</x:f>
        <x:v>6.0625</x:v>
      </x:c>
      <x:c r="L2353" s="66" t="str">
        <x:f>IF(K2353="","","1 : "&amp;TEXT(K2353,"0.0"))</x:f>
        <x:v>1 : 6.1</x:v>
      </x:c>
      <x:c r="M2353" s="66" t="str">
        <x:f>IF(J2353="","Baru/Tanpa Data",IF(J2353&lt;='Catatan &amp; Sumber'!$B$14,"Sangat Ketat",IF(J2353&lt;='Catatan &amp; Sumber'!$B$15,"Ketat",IF(J2353&lt;='Catatan &amp; Sumber'!$B$16,"Sedang","Relatif Longgar"))))</x:f>
        <x:v>Relatif Longgar</x:v>
      </x:c>
      <x:c r="N2353" s="66" t="str">
        <x:v>Tidak Ada</x:v>
      </x:c>
      <x:c r="O2353" s="66" t="str">
        <x:v>Yogyakarta</x:v>
      </x:c>
      <x:c r="P2353" s="66" t="str">
        <x:v>Kabupaten Sleman</x:v>
      </x:c>
      <x:c r="Q2353" s="66" t="str">
        <x:v>https://snpmb.id/snbp/daya-tampung-snbp</x:v>
      </x:c>
      <x:c r="R2353" s="66" t="str">
        <x:v>https://sidatagrun-public-1076756628210.asia-southeast2.run.app/ptn_sn.php?ptn=362</x:v>
      </x:c>
    </x:row>
    <x:row r="2354">
      <x:c r="A2354" s="87" t="n">
        <x:v>2066</x:v>
      </x:c>
      <x:c r="B2354" s="66" t="n">
        <x:v>362</x:v>
      </x:c>
      <x:c r="C2354" s="66" t="str">
        <x:v>UNIVERSITAS NEGERI YOGYAKARTA</x:v>
      </x:c>
      <x:c r="D2354" s="66" t="str">
        <x:v>PTN Akademik</x:v>
      </x:c>
      <x:c r="E2354" s="66" t="str">
        <x:v>13621009</x:v>
      </x:c>
      <x:c r="F2354" s="66" t="str">
        <x:v>PENDIDIKAN TEKNIK SIPIL &amp; PERENCANAAN</x:v>
      </x:c>
      <x:c r="G2354" s="66" t="str">
        <x:v>Sarjana</x:v>
      </x:c>
      <x:c r="H2354" s="87" t="n">
        <x:v>16</x:v>
      </x:c>
      <x:c r="I2354" s="87" t="n">
        <x:v>101</x:v>
      </x:c>
      <x:c r="J2354" s="68" t="n">
        <x:f>IFERROR(H2354/I2354,"")</x:f>
        <x:v>0.15841584158415842</x:v>
      </x:c>
      <x:c r="K2354" s="69" t="n">
        <x:f>IFERROR(I2354/H2354,"")</x:f>
        <x:v>6.3125</x:v>
      </x:c>
      <x:c r="L2354" s="66" t="str">
        <x:f>IF(K2354="","","1 : "&amp;TEXT(K2354,"0.0"))</x:f>
        <x:v>1 : 6.3</x:v>
      </x:c>
      <x:c r="M2354" s="66" t="str">
        <x:f>IF(J2354="","Baru/Tanpa Data",IF(J2354&lt;='Catatan &amp; Sumber'!$B$14,"Sangat Ketat",IF(J2354&lt;='Catatan &amp; Sumber'!$B$15,"Ketat",IF(J2354&lt;='Catatan &amp; Sumber'!$B$16,"Sedang","Relatif Longgar"))))</x:f>
        <x:v>Relatif Longgar</x:v>
      </x:c>
      <x:c r="N2354" s="66" t="str">
        <x:v>Tidak Ada</x:v>
      </x:c>
      <x:c r="O2354" s="66" t="str">
        <x:v>Yogyakarta</x:v>
      </x:c>
      <x:c r="P2354" s="66" t="str">
        <x:v>Kabupaten Sleman</x:v>
      </x:c>
      <x:c r="Q2354" s="66" t="str">
        <x:v>https://snpmb.id/snbp/daya-tampung-snbp</x:v>
      </x:c>
      <x:c r="R2354" s="66" t="str">
        <x:v>https://sidatagrun-public-1076756628210.asia-southeast2.run.app/ptn_sn.php?ptn=362</x:v>
      </x:c>
    </x:row>
    <x:row r="2355">
      <x:c r="A2355" s="87" t="n">
        <x:v>1307</x:v>
      </x:c>
      <x:c r="B2355" s="66" t="n">
        <x:v>362</x:v>
      </x:c>
      <x:c r="C2355" s="66" t="str">
        <x:v>UNIVERSITAS NEGERI YOGYAKARTA</x:v>
      </x:c>
      <x:c r="D2355" s="66" t="str">
        <x:v>PTN Akademik</x:v>
      </x:c>
      <x:c r="E2355" s="66" t="str">
        <x:v>13621010</x:v>
      </x:c>
      <x:c r="F2355" s="66" t="str">
        <x:v>MATEMATIKA</x:v>
      </x:c>
      <x:c r="G2355" s="66" t="str">
        <x:v>Sarjana</x:v>
      </x:c>
      <x:c r="H2355" s="87" t="n">
        <x:v>16</x:v>
      </x:c>
      <x:c r="I2355" s="87" t="n">
        <x:v>167</x:v>
      </x:c>
      <x:c r="J2355" s="68" t="n">
        <x:f>IFERROR(H2355/I2355,"")</x:f>
        <x:v>0.09580838323353294</x:v>
      </x:c>
      <x:c r="K2355" s="69" t="n">
        <x:f>IFERROR(I2355/H2355,"")</x:f>
        <x:v>10.4375</x:v>
      </x:c>
      <x:c r="L2355" s="66" t="str">
        <x:f>IF(K2355="","","1 : "&amp;TEXT(K2355,"0.0"))</x:f>
        <x:v>1 : 10.4</x:v>
      </x:c>
      <x:c r="M2355" s="66" t="str">
        <x:f>IF(J2355="","Baru/Tanpa Data",IF(J2355&lt;='Catatan &amp; Sumber'!$B$14,"Sangat Ketat",IF(J2355&lt;='Catatan &amp; Sumber'!$B$15,"Ketat",IF(J2355&lt;='Catatan &amp; Sumber'!$B$16,"Sedang","Relatif Longgar"))))</x:f>
        <x:v>Sedang</x:v>
      </x:c>
      <x:c r="N2355" s="66" t="str">
        <x:v>Tidak Ada</x:v>
      </x:c>
      <x:c r="O2355" s="66" t="str">
        <x:v>Yogyakarta</x:v>
      </x:c>
      <x:c r="P2355" s="66" t="str">
        <x:v>Kabupaten Sleman</x:v>
      </x:c>
      <x:c r="Q2355" s="66" t="str">
        <x:v>https://snpmb.id/snbp/daya-tampung-snbp</x:v>
      </x:c>
      <x:c r="R2355" s="66" t="str">
        <x:v>https://sidatagrun-public-1076756628210.asia-southeast2.run.app/ptn_sn.php?ptn=362</x:v>
      </x:c>
    </x:row>
    <x:row r="2356">
      <x:c r="A2356" s="87" t="n">
        <x:v>2652</x:v>
      </x:c>
      <x:c r="B2356" s="66" t="n">
        <x:v>362</x:v>
      </x:c>
      <x:c r="C2356" s="66" t="str">
        <x:v>UNIVERSITAS NEGERI YOGYAKARTA</x:v>
      </x:c>
      <x:c r="D2356" s="66" t="str">
        <x:v>PTN Akademik</x:v>
      </x:c>
      <x:c r="E2356" s="66" t="str">
        <x:v>13621011</x:v>
      </x:c>
      <x:c r="F2356" s="66" t="str">
        <x:v>FISIKA</x:v>
      </x:c>
      <x:c r="G2356" s="66" t="str">
        <x:v>Sarjana</x:v>
      </x:c>
      <x:c r="H2356" s="87" t="n">
        <x:v>24</x:v>
      </x:c>
      <x:c r="I2356" s="87" t="n">
        <x:v>102</x:v>
      </x:c>
      <x:c r="J2356" s="68" t="n">
        <x:f>IFERROR(H2356/I2356,"")</x:f>
        <x:v>0.23529411764705882</x:v>
      </x:c>
      <x:c r="K2356" s="69" t="n">
        <x:f>IFERROR(I2356/H2356,"")</x:f>
        <x:v>4.25</x:v>
      </x:c>
      <x:c r="L2356" s="66" t="str">
        <x:f>IF(K2356="","","1 : "&amp;TEXT(K2356,"0.0"))</x:f>
        <x:v>1 : 4.3</x:v>
      </x:c>
      <x:c r="M2356" s="66" t="str">
        <x:f>IF(J2356="","Baru/Tanpa Data",IF(J2356&lt;='Catatan &amp; Sumber'!$B$14,"Sangat Ketat",IF(J2356&lt;='Catatan &amp; Sumber'!$B$15,"Ketat",IF(J2356&lt;='Catatan &amp; Sumber'!$B$16,"Sedang","Relatif Longgar"))))</x:f>
        <x:v>Relatif Longgar</x:v>
      </x:c>
      <x:c r="N2356" s="66" t="str">
        <x:v>Tidak Ada</x:v>
      </x:c>
      <x:c r="O2356" s="66" t="str">
        <x:v>Yogyakarta</x:v>
      </x:c>
      <x:c r="P2356" s="66" t="str">
        <x:v>Kabupaten Sleman</x:v>
      </x:c>
      <x:c r="Q2356" s="66" t="str">
        <x:v>https://snpmb.id/snbp/daya-tampung-snbp</x:v>
      </x:c>
      <x:c r="R2356" s="66" t="str">
        <x:v>https://sidatagrun-public-1076756628210.asia-southeast2.run.app/ptn_sn.php?ptn=362</x:v>
      </x:c>
    </x:row>
    <x:row r="2357">
      <x:c r="A2357" s="87" t="n">
        <x:v>1196</x:v>
      </x:c>
      <x:c r="B2357" s="66" t="n">
        <x:v>362</x:v>
      </x:c>
      <x:c r="C2357" s="66" t="str">
        <x:v>UNIVERSITAS NEGERI YOGYAKARTA</x:v>
      </x:c>
      <x:c r="D2357" s="66" t="str">
        <x:v>PTN Akademik</x:v>
      </x:c>
      <x:c r="E2357" s="66" t="str">
        <x:v>13621012</x:v>
      </x:c>
      <x:c r="F2357" s="66" t="str">
        <x:v>KIMIA</x:v>
      </x:c>
      <x:c r="G2357" s="66" t="str">
        <x:v>Sarjana</x:v>
      </x:c>
      <x:c r="H2357" s="87" t="n">
        <x:v>16</x:v>
      </x:c>
      <x:c r="I2357" s="87" t="n">
        <x:v>179</x:v>
      </x:c>
      <x:c r="J2357" s="68" t="n">
        <x:f>IFERROR(H2357/I2357,"")</x:f>
        <x:v>0.0893854748603352</x:v>
      </x:c>
      <x:c r="K2357" s="69" t="n">
        <x:f>IFERROR(I2357/H2357,"")</x:f>
        <x:v>11.1875</x:v>
      </x:c>
      <x:c r="L2357" s="66" t="str">
        <x:f>IF(K2357="","","1 : "&amp;TEXT(K2357,"0.0"))</x:f>
        <x:v>1 : 11.2</x:v>
      </x:c>
      <x:c r="M2357" s="66" t="str">
        <x:f>IF(J2357="","Baru/Tanpa Data",IF(J2357&lt;='Catatan &amp; Sumber'!$B$14,"Sangat Ketat",IF(J2357&lt;='Catatan &amp; Sumber'!$B$15,"Ketat",IF(J2357&lt;='Catatan &amp; Sumber'!$B$16,"Sedang","Relatif Longgar"))))</x:f>
        <x:v>Sedang</x:v>
      </x:c>
      <x:c r="N2357" s="66" t="str">
        <x:v>Tidak Ada</x:v>
      </x:c>
      <x:c r="O2357" s="66" t="str">
        <x:v>Yogyakarta</x:v>
      </x:c>
      <x:c r="P2357" s="66" t="str">
        <x:v>Kabupaten Sleman</x:v>
      </x:c>
      <x:c r="Q2357" s="66" t="str">
        <x:v>https://snpmb.id/snbp/daya-tampung-snbp</x:v>
      </x:c>
      <x:c r="R2357" s="66" t="str">
        <x:v>https://sidatagrun-public-1076756628210.asia-southeast2.run.app/ptn_sn.php?ptn=362</x:v>
      </x:c>
    </x:row>
    <x:row r="2358">
      <x:c r="A2358" s="87" t="n">
        <x:v>1167</x:v>
      </x:c>
      <x:c r="B2358" s="66" t="n">
        <x:v>362</x:v>
      </x:c>
      <x:c r="C2358" s="66" t="str">
        <x:v>UNIVERSITAS NEGERI YOGYAKARTA</x:v>
      </x:c>
      <x:c r="D2358" s="66" t="str">
        <x:v>PTN Akademik</x:v>
      </x:c>
      <x:c r="E2358" s="66" t="str">
        <x:v>13621013</x:v>
      </x:c>
      <x:c r="F2358" s="66" t="str">
        <x:v>BIOLOGI</x:v>
      </x:c>
      <x:c r="G2358" s="66" t="str">
        <x:v>Sarjana</x:v>
      </x:c>
      <x:c r="H2358" s="87" t="n">
        <x:v>16</x:v>
      </x:c>
      <x:c r="I2358" s="87" t="n">
        <x:v>182</x:v>
      </x:c>
      <x:c r="J2358" s="68" t="n">
        <x:f>IFERROR(H2358/I2358,"")</x:f>
        <x:v>0.08791208791208792</x:v>
      </x:c>
      <x:c r="K2358" s="69" t="n">
        <x:f>IFERROR(I2358/H2358,"")</x:f>
        <x:v>11.375</x:v>
      </x:c>
      <x:c r="L2358" s="66" t="str">
        <x:f>IF(K2358="","","1 : "&amp;TEXT(K2358,"0.0"))</x:f>
        <x:v>1 : 11.4</x:v>
      </x:c>
      <x:c r="M2358" s="66" t="str">
        <x:f>IF(J2358="","Baru/Tanpa Data",IF(J2358&lt;='Catatan &amp; Sumber'!$B$14,"Sangat Ketat",IF(J2358&lt;='Catatan &amp; Sumber'!$B$15,"Ketat",IF(J2358&lt;='Catatan &amp; Sumber'!$B$16,"Sedang","Relatif Longgar"))))</x:f>
        <x:v>Sedang</x:v>
      </x:c>
      <x:c r="N2358" s="66" t="str">
        <x:v>Tidak Ada</x:v>
      </x:c>
      <x:c r="O2358" s="66" t="str">
        <x:v>Yogyakarta</x:v>
      </x:c>
      <x:c r="P2358" s="66" t="str">
        <x:v>Kabupaten Sleman</x:v>
      </x:c>
      <x:c r="Q2358" s="66" t="str">
        <x:v>https://snpmb.id/snbp/daya-tampung-snbp</x:v>
      </x:c>
      <x:c r="R2358" s="66" t="str">
        <x:v>https://sidatagrun-public-1076756628210.asia-southeast2.run.app/ptn_sn.php?ptn=362</x:v>
      </x:c>
    </x:row>
    <x:row r="2359">
      <x:c r="A2359" s="87" t="n">
        <x:v>2652</x:v>
      </x:c>
      <x:c r="B2359" s="66" t="n">
        <x:v>362</x:v>
      </x:c>
      <x:c r="C2359" s="66" t="str">
        <x:v>UNIVERSITAS NEGERI YOGYAKARTA</x:v>
      </x:c>
      <x:c r="D2359" s="66" t="str">
        <x:v>PTN Akademik</x:v>
      </x:c>
      <x:c r="E2359" s="66" t="str">
        <x:v>13621014</x:v>
      </x:c>
      <x:c r="F2359" s="66" t="str">
        <x:v>PENDIDIKAN TEKNIK MEKATRONIKA</x:v>
      </x:c>
      <x:c r="G2359" s="66" t="str">
        <x:v>Sarjana</x:v>
      </x:c>
      <x:c r="H2359" s="87" t="n">
        <x:v>16</x:v>
      </x:c>
      <x:c r="I2359" s="87" t="n">
        <x:v>68</x:v>
      </x:c>
      <x:c r="J2359" s="68" t="n">
        <x:f>IFERROR(H2359/I2359,"")</x:f>
        <x:v>0.23529411764705882</x:v>
      </x:c>
      <x:c r="K2359" s="69" t="n">
        <x:f>IFERROR(I2359/H2359,"")</x:f>
        <x:v>4.25</x:v>
      </x:c>
      <x:c r="L2359" s="66" t="str">
        <x:f>IF(K2359="","","1 : "&amp;TEXT(K2359,"0.0"))</x:f>
        <x:v>1 : 4.3</x:v>
      </x:c>
      <x:c r="M2359" s="66" t="str">
        <x:f>IF(J2359="","Baru/Tanpa Data",IF(J2359&lt;='Catatan &amp; Sumber'!$B$14,"Sangat Ketat",IF(J2359&lt;='Catatan &amp; Sumber'!$B$15,"Ketat",IF(J2359&lt;='Catatan &amp; Sumber'!$B$16,"Sedang","Relatif Longgar"))))</x:f>
        <x:v>Relatif Longgar</x:v>
      </x:c>
      <x:c r="N2359" s="66" t="str">
        <x:v>Tidak Ada</x:v>
      </x:c>
      <x:c r="O2359" s="66" t="str">
        <x:v>Yogyakarta</x:v>
      </x:c>
      <x:c r="P2359" s="66" t="str">
        <x:v>Kabupaten Sleman</x:v>
      </x:c>
      <x:c r="Q2359" s="66" t="str">
        <x:v>https://snpmb.id/snbp/daya-tampung-snbp</x:v>
      </x:c>
      <x:c r="R2359" s="66" t="str">
        <x:v>https://sidatagrun-public-1076756628210.asia-southeast2.run.app/ptn_sn.php?ptn=362</x:v>
      </x:c>
    </x:row>
    <x:row r="2360">
      <x:c r="A2360" s="87" t="n">
        <x:v>342</x:v>
      </x:c>
      <x:c r="B2360" s="66" t="n">
        <x:v>362</x:v>
      </x:c>
      <x:c r="C2360" s="66" t="str">
        <x:v>UNIVERSITAS NEGERI YOGYAKARTA</x:v>
      </x:c>
      <x:c r="D2360" s="66" t="str">
        <x:v>PTN Akademik</x:v>
      </x:c>
      <x:c r="E2360" s="66" t="str">
        <x:v>13621015</x:v>
      </x:c>
      <x:c r="F2360" s="66" t="str">
        <x:v>PENDIDIKAN TEKNIK INFORMATIKA</x:v>
      </x:c>
      <x:c r="G2360" s="66" t="str">
        <x:v>Sarjana</x:v>
      </x:c>
      <x:c r="H2360" s="87" t="n">
        <x:v>17</x:v>
      </x:c>
      <x:c r="I2360" s="87" t="n">
        <x:v>385</x:v>
      </x:c>
      <x:c r="J2360" s="68" t="n">
        <x:f>IFERROR(H2360/I2360,"")</x:f>
        <x:v>0.04415584415584416</x:v>
      </x:c>
      <x:c r="K2360" s="69" t="n">
        <x:f>IFERROR(I2360/H2360,"")</x:f>
        <x:v>22.647058823529413</x:v>
      </x:c>
      <x:c r="L2360" s="66" t="str">
        <x:f>IF(K2360="","","1 : "&amp;TEXT(K2360,"0.0"))</x:f>
        <x:v>1 : 22.6</x:v>
      </x:c>
      <x:c r="M2360" s="66" t="str">
        <x:f>IF(J2360="","Baru/Tanpa Data",IF(J2360&lt;='Catatan &amp; Sumber'!$B$14,"Sangat Ketat",IF(J2360&lt;='Catatan &amp; Sumber'!$B$15,"Ketat",IF(J2360&lt;='Catatan &amp; Sumber'!$B$16,"Sedang","Relatif Longgar"))))</x:f>
        <x:v>Ketat</x:v>
      </x:c>
      <x:c r="N2360" s="66" t="str">
        <x:v>Tidak Ada</x:v>
      </x:c>
      <x:c r="O2360" s="66" t="str">
        <x:v>Yogyakarta</x:v>
      </x:c>
      <x:c r="P2360" s="66" t="str">
        <x:v>Kabupaten Sleman</x:v>
      </x:c>
      <x:c r="Q2360" s="66" t="str">
        <x:v>https://snpmb.id/snbp/daya-tampung-snbp</x:v>
      </x:c>
      <x:c r="R2360" s="66" t="str">
        <x:v>https://sidatagrun-public-1076756628210.asia-southeast2.run.app/ptn_sn.php?ptn=362</x:v>
      </x:c>
    </x:row>
    <x:row r="2361">
      <x:c r="A2361" s="87" t="n">
        <x:v>2509</x:v>
      </x:c>
      <x:c r="B2361" s="66" t="n">
        <x:v>362</x:v>
      </x:c>
      <x:c r="C2361" s="66" t="str">
        <x:v>UNIVERSITAS NEGERI YOGYAKARTA</x:v>
      </x:c>
      <x:c r="D2361" s="66" t="str">
        <x:v>PTN Akademik</x:v>
      </x:c>
      <x:c r="E2361" s="66" t="str">
        <x:v>13621016</x:v>
      </x:c>
      <x:c r="F2361" s="66" t="str">
        <x:v>PENDIDIKAN IPA</x:v>
      </x:c>
      <x:c r="G2361" s="66" t="str">
        <x:v>Sarjana</x:v>
      </x:c>
      <x:c r="H2361" s="87" t="n">
        <x:v>36</x:v>
      </x:c>
      <x:c r="I2361" s="87" t="n">
        <x:v>169</x:v>
      </x:c>
      <x:c r="J2361" s="68" t="n">
        <x:f>IFERROR(H2361/I2361,"")</x:f>
        <x:v>0.21301775147928995</x:v>
      </x:c>
      <x:c r="K2361" s="69" t="n">
        <x:f>IFERROR(I2361/H2361,"")</x:f>
        <x:v>4.694444444444445</x:v>
      </x:c>
      <x:c r="L2361" s="66" t="str">
        <x:f>IF(K2361="","","1 : "&amp;TEXT(K2361,"0.0"))</x:f>
        <x:v>1 : 4.7</x:v>
      </x:c>
      <x:c r="M2361" s="66" t="str">
        <x:f>IF(J2361="","Baru/Tanpa Data",IF(J2361&lt;='Catatan &amp; Sumber'!$B$14,"Sangat Ketat",IF(J2361&lt;='Catatan &amp; Sumber'!$B$15,"Ketat",IF(J2361&lt;='Catatan &amp; Sumber'!$B$16,"Sedang","Relatif Longgar"))))</x:f>
        <x:v>Relatif Longgar</x:v>
      </x:c>
      <x:c r="N2361" s="66" t="str">
        <x:v>Tidak Ada</x:v>
      </x:c>
      <x:c r="O2361" s="66" t="str">
        <x:v>Yogyakarta</x:v>
      </x:c>
      <x:c r="P2361" s="66" t="str">
        <x:v>Kabupaten Sleman</x:v>
      </x:c>
      <x:c r="Q2361" s="66" t="str">
        <x:v>https://snpmb.id/snbp/daya-tampung-snbp</x:v>
      </x:c>
      <x:c r="R2361" s="66" t="str">
        <x:v>https://sidatagrun-public-1076756628210.asia-southeast2.run.app/ptn_sn.php?ptn=362</x:v>
      </x:c>
    </x:row>
    <x:row r="2362">
      <x:c r="A2362" s="87" t="n">
        <x:v>1851</x:v>
      </x:c>
      <x:c r="B2362" s="66" t="n">
        <x:v>362</x:v>
      </x:c>
      <x:c r="C2362" s="66" t="str">
        <x:v>UNIVERSITAS NEGERI YOGYAKARTA</x:v>
      </x:c>
      <x:c r="D2362" s="66" t="str">
        <x:v>PTN Akademik</x:v>
      </x:c>
      <x:c r="E2362" s="66" t="str">
        <x:v>13621017</x:v>
      </x:c>
      <x:c r="F2362" s="66" t="str">
        <x:v>ILMU KEOLAHRAGAAN</x:v>
      </x:c>
      <x:c r="G2362" s="66" t="str">
        <x:v>Sarjana</x:v>
      </x:c>
      <x:c r="H2362" s="87" t="n">
        <x:v>24</x:v>
      </x:c>
      <x:c r="I2362" s="87" t="n">
        <x:v>176</x:v>
      </x:c>
      <x:c r="J2362" s="68" t="n">
        <x:f>IFERROR(H2362/I2362,"")</x:f>
        <x:v>0.13636363636363635</x:v>
      </x:c>
      <x:c r="K2362" s="69" t="n">
        <x:f>IFERROR(I2362/H2362,"")</x:f>
        <x:v>7.333333333333333</x:v>
      </x:c>
      <x:c r="L2362" s="66" t="str">
        <x:f>IF(K2362="","","1 : "&amp;TEXT(K2362,"0.0"))</x:f>
        <x:v>1 : 7.3</x:v>
      </x:c>
      <x:c r="M2362" s="66" t="str">
        <x:f>IF(J2362="","Baru/Tanpa Data",IF(J2362&lt;='Catatan &amp; Sumber'!$B$14,"Sangat Ketat",IF(J2362&lt;='Catatan &amp; Sumber'!$B$15,"Ketat",IF(J2362&lt;='Catatan &amp; Sumber'!$B$16,"Sedang","Relatif Longgar"))))</x:f>
        <x:v>Relatif Longgar</x:v>
      </x:c>
      <x:c r="N2362" s="66" t="str">
        <x:v>Olahraga</x:v>
      </x:c>
      <x:c r="O2362" s="66" t="str">
        <x:v>Yogyakarta</x:v>
      </x:c>
      <x:c r="P2362" s="66" t="str">
        <x:v>Kabupaten Sleman</x:v>
      </x:c>
      <x:c r="Q2362" s="66" t="str">
        <x:v>https://snpmb.id/snbp/daya-tampung-snbp</x:v>
      </x:c>
      <x:c r="R2362" s="66" t="str">
        <x:v>https://sidatagrun-public-1076756628210.asia-southeast2.run.app/ptn_sn.php?ptn=362</x:v>
      </x:c>
    </x:row>
    <x:row r="2363">
      <x:c r="A2363" s="87" t="n">
        <x:v>816</x:v>
      </x:c>
      <x:c r="B2363" s="66" t="n">
        <x:v>362</x:v>
      </x:c>
      <x:c r="C2363" s="66" t="str">
        <x:v>UNIVERSITAS NEGERI YOGYAKARTA</x:v>
      </x:c>
      <x:c r="D2363" s="66" t="str">
        <x:v>PTN Akademik</x:v>
      </x:c>
      <x:c r="E2363" s="66" t="str">
        <x:v>13621018</x:v>
      </x:c>
      <x:c r="F2363" s="66" t="str">
        <x:v>STATISTIKA</x:v>
      </x:c>
      <x:c r="G2363" s="66" t="str">
        <x:v>Sarjana</x:v>
      </x:c>
      <x:c r="H2363" s="87" t="n">
        <x:v>16</x:v>
      </x:c>
      <x:c r="I2363" s="87" t="n">
        <x:v>237</x:v>
      </x:c>
      <x:c r="J2363" s="68" t="n">
        <x:f>IFERROR(H2363/I2363,"")</x:f>
        <x:v>0.06751054852320675</x:v>
      </x:c>
      <x:c r="K2363" s="69" t="n">
        <x:f>IFERROR(I2363/H2363,"")</x:f>
        <x:v>14.8125</x:v>
      </x:c>
      <x:c r="L2363" s="66" t="str">
        <x:f>IF(K2363="","","1 : "&amp;TEXT(K2363,"0.0"))</x:f>
        <x:v>1 : 14.8</x:v>
      </x:c>
      <x:c r="M2363" s="66" t="str">
        <x:f>IF(J2363="","Baru/Tanpa Data",IF(J2363&lt;='Catatan &amp; Sumber'!$B$14,"Sangat Ketat",IF(J2363&lt;='Catatan &amp; Sumber'!$B$15,"Ketat",IF(J2363&lt;='Catatan &amp; Sumber'!$B$16,"Sedang","Relatif Longgar"))))</x:f>
        <x:v>Sedang</x:v>
      </x:c>
      <x:c r="N2363" s="66" t="str">
        <x:v>Tidak Ada</x:v>
      </x:c>
      <x:c r="O2363" s="66" t="str">
        <x:v>Yogyakarta</x:v>
      </x:c>
      <x:c r="P2363" s="66" t="str">
        <x:v>Kabupaten Sleman</x:v>
      </x:c>
      <x:c r="Q2363" s="66" t="str">
        <x:v>https://snpmb.id/snbp/daya-tampung-snbp</x:v>
      </x:c>
      <x:c r="R2363" s="66" t="str">
        <x:v>https://sidatagrun-public-1076756628210.asia-southeast2.run.app/ptn_sn.php?ptn=362</x:v>
      </x:c>
    </x:row>
    <x:row r="2364">
      <x:c r="A2364" s="87" t="n">
        <x:v>931</x:v>
      </x:c>
      <x:c r="B2364" s="66" t="n">
        <x:v>362</x:v>
      </x:c>
      <x:c r="C2364" s="66" t="str">
        <x:v>UNIVERSITAS NEGERI YOGYAKARTA</x:v>
      </x:c>
      <x:c r="D2364" s="66" t="str">
        <x:v>PTN Akademik</x:v>
      </x:c>
      <x:c r="E2364" s="66" t="str">
        <x:v>13621019</x:v>
      </x:c>
      <x:c r="F2364" s="66" t="str">
        <x:v>PENDIDIKAN JASMANI KESEHATAN DAN REKREASI</x:v>
      </x:c>
      <x:c r="G2364" s="66" t="str">
        <x:v>Sarjana</x:v>
      </x:c>
      <x:c r="H2364" s="87" t="n">
        <x:v>40</x:v>
      </x:c>
      <x:c r="I2364" s="87" t="n">
        <x:v>539</x:v>
      </x:c>
      <x:c r="J2364" s="68" t="n">
        <x:f>IFERROR(H2364/I2364,"")</x:f>
        <x:v>0.07421150278293136</x:v>
      </x:c>
      <x:c r="K2364" s="69" t="n">
        <x:f>IFERROR(I2364/H2364,"")</x:f>
        <x:v>13.475</x:v>
      </x:c>
      <x:c r="L2364" s="66" t="str">
        <x:f>IF(K2364="","","1 : "&amp;TEXT(K2364,"0.0"))</x:f>
        <x:v>1 : 13.5</x:v>
      </x:c>
      <x:c r="M2364" s="66" t="str">
        <x:f>IF(J2364="","Baru/Tanpa Data",IF(J2364&lt;='Catatan &amp; Sumber'!$B$14,"Sangat Ketat",IF(J2364&lt;='Catatan &amp; Sumber'!$B$15,"Ketat",IF(J2364&lt;='Catatan &amp; Sumber'!$B$16,"Sedang","Relatif Longgar"))))</x:f>
        <x:v>Sedang</x:v>
      </x:c>
      <x:c r="N2364" s="66" t="str">
        <x:v>Olahraga</x:v>
      </x:c>
      <x:c r="O2364" s="66" t="str">
        <x:v>Yogyakarta</x:v>
      </x:c>
      <x:c r="P2364" s="66" t="str">
        <x:v>Kabupaten Sleman</x:v>
      </x:c>
      <x:c r="Q2364" s="66" t="str">
        <x:v>https://snpmb.id/snbp/daya-tampung-snbp</x:v>
      </x:c>
      <x:c r="R2364" s="66" t="str">
        <x:v>https://sidatagrun-public-1076756628210.asia-southeast2.run.app/ptn_sn.php?ptn=362</x:v>
      </x:c>
    </x:row>
    <x:row r="2365">
      <x:c r="A2365" s="87" t="n">
        <x:v>1565</x:v>
      </x:c>
      <x:c r="B2365" s="66" t="n">
        <x:v>362</x:v>
      </x:c>
      <x:c r="C2365" s="66" t="str">
        <x:v>UNIVERSITAS NEGERI YOGYAKARTA</x:v>
      </x:c>
      <x:c r="D2365" s="66" t="str">
        <x:v>PTN Akademik</x:v>
      </x:c>
      <x:c r="E2365" s="66" t="str">
        <x:v>13621020</x:v>
      </x:c>
      <x:c r="F2365" s="66" t="str">
        <x:v>PENDIDIKAN KEPELATIHAN OLAHRAGA</x:v>
      </x:c>
      <x:c r="G2365" s="66" t="str">
        <x:v>Sarjana</x:v>
      </x:c>
      <x:c r="H2365" s="87" t="n">
        <x:v>40</x:v>
      </x:c>
      <x:c r="I2365" s="87" t="n">
        <x:v>351</x:v>
      </x:c>
      <x:c r="J2365" s="68" t="n">
        <x:f>IFERROR(H2365/I2365,"")</x:f>
        <x:v>0.11396011396011396</x:v>
      </x:c>
      <x:c r="K2365" s="69" t="n">
        <x:f>IFERROR(I2365/H2365,"")</x:f>
        <x:v>8.775</x:v>
      </x:c>
      <x:c r="L2365" s="66" t="str">
        <x:f>IF(K2365="","","1 : "&amp;TEXT(K2365,"0.0"))</x:f>
        <x:v>1 : 8.8</x:v>
      </x:c>
      <x:c r="M2365" s="66" t="str">
        <x:f>IF(J2365="","Baru/Tanpa Data",IF(J2365&lt;='Catatan &amp; Sumber'!$B$14,"Sangat Ketat",IF(J2365&lt;='Catatan &amp; Sumber'!$B$15,"Ketat",IF(J2365&lt;='Catatan &amp; Sumber'!$B$16,"Sedang","Relatif Longgar"))))</x:f>
        <x:v>Relatif Longgar</x:v>
      </x:c>
      <x:c r="N2365" s="66" t="str">
        <x:v>Olahraga</x:v>
      </x:c>
      <x:c r="O2365" s="66" t="str">
        <x:v>Yogyakarta</x:v>
      </x:c>
      <x:c r="P2365" s="66" t="str">
        <x:v>Kabupaten Sleman</x:v>
      </x:c>
      <x:c r="Q2365" s="66" t="str">
        <x:v>https://snpmb.id/snbp/daya-tampung-snbp</x:v>
      </x:c>
      <x:c r="R2365" s="66" t="str">
        <x:v>https://sidatagrun-public-1076756628210.asia-southeast2.run.app/ptn_sn.php?ptn=362</x:v>
      </x:c>
    </x:row>
    <x:row r="2366">
      <x:c r="A2366" s="87" t="n">
        <x:v>1743</x:v>
      </x:c>
      <x:c r="B2366" s="66" t="n">
        <x:v>362</x:v>
      </x:c>
      <x:c r="C2366" s="66" t="str">
        <x:v>UNIVERSITAS NEGERI YOGYAKARTA</x:v>
      </x:c>
      <x:c r="D2366" s="66" t="str">
        <x:v>PTN Akademik</x:v>
      </x:c>
      <x:c r="E2366" s="66" t="str">
        <x:v>13621021</x:v>
      </x:c>
      <x:c r="F2366" s="66" t="str">
        <x:v>PENDIDIKAN JASMANI SEKOLAH DASAR</x:v>
      </x:c>
      <x:c r="G2366" s="66" t="str">
        <x:v>Sarjana</x:v>
      </x:c>
      <x:c r="H2366" s="87" t="n">
        <x:v>24</x:v>
      </x:c>
      <x:c r="I2366" s="87" t="n">
        <x:v>188</x:v>
      </x:c>
      <x:c r="J2366" s="68" t="n">
        <x:f>IFERROR(H2366/I2366,"")</x:f>
        <x:v>0.1276595744680851</x:v>
      </x:c>
      <x:c r="K2366" s="69" t="n">
        <x:f>IFERROR(I2366/H2366,"")</x:f>
        <x:v>7.833333333333333</x:v>
      </x:c>
      <x:c r="L2366" s="66" t="str">
        <x:f>IF(K2366="","","1 : "&amp;TEXT(K2366,"0.0"))</x:f>
        <x:v>1 : 7.8</x:v>
      </x:c>
      <x:c r="M2366" s="66" t="str">
        <x:f>IF(J2366="","Baru/Tanpa Data",IF(J2366&lt;='Catatan &amp; Sumber'!$B$14,"Sangat Ketat",IF(J2366&lt;='Catatan &amp; Sumber'!$B$15,"Ketat",IF(J2366&lt;='Catatan &amp; Sumber'!$B$16,"Sedang","Relatif Longgar"))))</x:f>
        <x:v>Relatif Longgar</x:v>
      </x:c>
      <x:c r="N2366" s="66" t="str">
        <x:v>Olahraga</x:v>
      </x:c>
      <x:c r="O2366" s="66" t="str">
        <x:v>Yogyakarta</x:v>
      </x:c>
      <x:c r="P2366" s="66" t="str">
        <x:v>Kabupaten Sleman</x:v>
      </x:c>
      <x:c r="Q2366" s="66" t="str">
        <x:v>https://snpmb.id/snbp/daya-tampung-snbp</x:v>
      </x:c>
      <x:c r="R2366" s="66" t="str">
        <x:v>https://sidatagrun-public-1076756628210.asia-southeast2.run.app/ptn_sn.php?ptn=362</x:v>
      </x:c>
    </x:row>
    <x:row r="2367">
      <x:c r="A2367" s="87" t="n">
        <x:v>153</x:v>
      </x:c>
      <x:c r="B2367" s="66" t="n">
        <x:v>362</x:v>
      </x:c>
      <x:c r="C2367" s="66" t="str">
        <x:v>UNIVERSITAS NEGERI YOGYAKARTA</x:v>
      </x:c>
      <x:c r="D2367" s="66" t="str">
        <x:v>PTN Akademik</x:v>
      </x:c>
      <x:c r="E2367" s="66" t="str">
        <x:v>13621022</x:v>
      </x:c>
      <x:c r="F2367" s="66" t="str">
        <x:v>TEKNIK ELEKTRO</x:v>
      </x:c>
      <x:c r="G2367" s="66" t="str">
        <x:v>Sarjana</x:v>
      </x:c>
      <x:c r="H2367" s="87" t="n">
        <x:v>16</x:v>
      </x:c>
      <x:c r="I2367" s="87" t="n">
        <x:v>477</x:v>
      </x:c>
      <x:c r="J2367" s="68" t="n">
        <x:f>IFERROR(H2367/I2367,"")</x:f>
        <x:v>0.033542976939203356</x:v>
      </x:c>
      <x:c r="K2367" s="69" t="n">
        <x:f>IFERROR(I2367/H2367,"")</x:f>
        <x:v>29.8125</x:v>
      </x:c>
      <x:c r="L2367" s="66" t="str">
        <x:f>IF(K2367="","","1 : "&amp;TEXT(K2367,"0.0"))</x:f>
        <x:v>1 : 29.8</x:v>
      </x:c>
      <x:c r="M2367" s="66" t="str">
        <x:f>IF(J2367="","Baru/Tanpa Data",IF(J2367&lt;='Catatan &amp; Sumber'!$B$14,"Sangat Ketat",IF(J2367&lt;='Catatan &amp; Sumber'!$B$15,"Ketat",IF(J2367&lt;='Catatan &amp; Sumber'!$B$16,"Sedang","Relatif Longgar"))))</x:f>
        <x:v>Ketat</x:v>
      </x:c>
      <x:c r="N2367" s="66" t="str">
        <x:v>Tidak Ada</x:v>
      </x:c>
      <x:c r="O2367" s="66" t="str">
        <x:v>Yogyakarta</x:v>
      </x:c>
      <x:c r="P2367" s="66" t="str">
        <x:v>Kabupaten Sleman</x:v>
      </x:c>
      <x:c r="Q2367" s="66" t="str">
        <x:v>https://snpmb.id/snbp/daya-tampung-snbp</x:v>
      </x:c>
      <x:c r="R2367" s="66" t="str">
        <x:v>https://sidatagrun-public-1076756628210.asia-southeast2.run.app/ptn_sn.php?ptn=362</x:v>
      </x:c>
    </x:row>
    <x:row r="2368">
      <x:c r="A2368" s="87" t="n">
        <x:v>240</x:v>
      </x:c>
      <x:c r="B2368" s="66" t="n">
        <x:v>362</x:v>
      </x:c>
      <x:c r="C2368" s="66" t="str">
        <x:v>UNIVERSITAS NEGERI YOGYAKARTA</x:v>
      </x:c>
      <x:c r="D2368" s="66" t="str">
        <x:v>PTN Akademik</x:v>
      </x:c>
      <x:c r="E2368" s="66" t="str">
        <x:v>13621023</x:v>
      </x:c>
      <x:c r="F2368" s="66" t="str">
        <x:v>TEKNOLOGI INFORMASI</x:v>
      </x:c>
      <x:c r="G2368" s="66" t="str">
        <x:v>Sarjana</x:v>
      </x:c>
      <x:c r="H2368" s="87" t="n">
        <x:v>24</x:v>
      </x:c>
      <x:c r="I2368" s="87" t="n">
        <x:v>615</x:v>
      </x:c>
      <x:c r="J2368" s="68" t="n">
        <x:f>IFERROR(H2368/I2368,"")</x:f>
        <x:v>0.03902439024390244</x:v>
      </x:c>
      <x:c r="K2368" s="69" t="n">
        <x:f>IFERROR(I2368/H2368,"")</x:f>
        <x:v>25.625</x:v>
      </x:c>
      <x:c r="L2368" s="66" t="str">
        <x:f>IF(K2368="","","1 : "&amp;TEXT(K2368,"0.0"))</x:f>
        <x:v>1 : 25.6</x:v>
      </x:c>
      <x:c r="M2368" s="66" t="str">
        <x:f>IF(J2368="","Baru/Tanpa Data",IF(J2368&lt;='Catatan &amp; Sumber'!$B$14,"Sangat Ketat",IF(J2368&lt;='Catatan &amp; Sumber'!$B$15,"Ketat",IF(J2368&lt;='Catatan &amp; Sumber'!$B$16,"Sedang","Relatif Longgar"))))</x:f>
        <x:v>Ketat</x:v>
      </x:c>
      <x:c r="N2368" s="66" t="str">
        <x:v>Tidak Ada</x:v>
      </x:c>
      <x:c r="O2368" s="66" t="str">
        <x:v>Yogyakarta</x:v>
      </x:c>
      <x:c r="P2368" s="66" t="str">
        <x:v>Kabupaten Sleman</x:v>
      </x:c>
      <x:c r="Q2368" s="66" t="str">
        <x:v>https://snpmb.id/snbp/daya-tampung-snbp</x:v>
      </x:c>
      <x:c r="R2368" s="66" t="str">
        <x:v>https://sidatagrun-public-1076756628210.asia-southeast2.run.app/ptn_sn.php?ptn=362</x:v>
      </x:c>
    </x:row>
    <x:row r="2369">
      <x:c r="A2369" s="87" t="n">
        <x:v>1490</x:v>
      </x:c>
      <x:c r="B2369" s="66" t="n">
        <x:v>362</x:v>
      </x:c>
      <x:c r="C2369" s="66" t="str">
        <x:v>UNIVERSITAS NEGERI YOGYAKARTA</x:v>
      </x:c>
      <x:c r="D2369" s="66" t="str">
        <x:v>PTN Akademik</x:v>
      </x:c>
      <x:c r="E2369" s="66" t="str">
        <x:v>13621024</x:v>
      </x:c>
      <x:c r="F2369" s="66" t="str">
        <x:v>TEKNIK MANUFAKTUR</x:v>
      </x:c>
      <x:c r="G2369" s="66" t="str">
        <x:v>Sarjana</x:v>
      </x:c>
      <x:c r="H2369" s="87" t="n">
        <x:v>16</x:v>
      </x:c>
      <x:c r="I2369" s="87" t="n">
        <x:v>147</x:v>
      </x:c>
      <x:c r="J2369" s="68" t="n">
        <x:f>IFERROR(H2369/I2369,"")</x:f>
        <x:v>0.10884353741496598</x:v>
      </x:c>
      <x:c r="K2369" s="69" t="n">
        <x:f>IFERROR(I2369/H2369,"")</x:f>
        <x:v>9.1875</x:v>
      </x:c>
      <x:c r="L2369" s="66" t="str">
        <x:f>IF(K2369="","","1 : "&amp;TEXT(K2369,"0.0"))</x:f>
        <x:v>1 : 9.2</x:v>
      </x:c>
      <x:c r="M2369" s="66" t="str">
        <x:f>IF(J2369="","Baru/Tanpa Data",IF(J2369&lt;='Catatan &amp; Sumber'!$B$14,"Sangat Ketat",IF(J2369&lt;='Catatan &amp; Sumber'!$B$15,"Ketat",IF(J2369&lt;='Catatan &amp; Sumber'!$B$16,"Sedang","Relatif Longgar"))))</x:f>
        <x:v>Relatif Longgar</x:v>
      </x:c>
      <x:c r="N2369" s="66" t="str">
        <x:v>Tidak Ada</x:v>
      </x:c>
      <x:c r="O2369" s="66" t="str">
        <x:v>Yogyakarta</x:v>
      </x:c>
      <x:c r="P2369" s="66" t="str">
        <x:v>Kabupaten Sleman</x:v>
      </x:c>
      <x:c r="Q2369" s="66" t="str">
        <x:v>https://snpmb.id/snbp/daya-tampung-snbp</x:v>
      </x:c>
      <x:c r="R2369" s="66" t="str">
        <x:v>https://sidatagrun-public-1076756628210.asia-southeast2.run.app/ptn_sn.php?ptn=362</x:v>
      </x:c>
    </x:row>
    <x:row r="2370">
      <x:c r="A2370" s="87" t="n">
        <x:v>258</x:v>
      </x:c>
      <x:c r="B2370" s="66" t="n">
        <x:v>362</x:v>
      </x:c>
      <x:c r="C2370" s="66" t="str">
        <x:v>UNIVERSITAS NEGERI YOGYAKARTA</x:v>
      </x:c>
      <x:c r="D2370" s="66" t="str">
        <x:v>PTN Akademik</x:v>
      </x:c>
      <x:c r="E2370" s="66" t="str">
        <x:v>13621025</x:v>
      </x:c>
      <x:c r="F2370" s="66" t="str">
        <x:v>TEKNIK SIPIL</x:v>
      </x:c>
      <x:c r="G2370" s="66" t="str">
        <x:v>Sarjana</x:v>
      </x:c>
      <x:c r="H2370" s="87" t="n">
        <x:v>27</x:v>
      </x:c>
      <x:c r="I2370" s="87" t="n">
        <x:v>675</x:v>
      </x:c>
      <x:c r="J2370" s="68" t="n">
        <x:f>IFERROR(H2370/I2370,"")</x:f>
        <x:v>0.04</x:v>
      </x:c>
      <x:c r="K2370" s="69" t="n">
        <x:f>IFERROR(I2370/H2370,"")</x:f>
        <x:v>25</x:v>
      </x:c>
      <x:c r="L2370" s="66" t="str">
        <x:f>IF(K2370="","","1 : "&amp;TEXT(K2370,"0.0"))</x:f>
        <x:v>1 : 25.0</x:v>
      </x:c>
      <x:c r="M2370" s="66" t="str">
        <x:f>IF(J2370="","Baru/Tanpa Data",IF(J2370&lt;='Catatan &amp; Sumber'!$B$14,"Sangat Ketat",IF(J2370&lt;='Catatan &amp; Sumber'!$B$15,"Ketat",IF(J2370&lt;='Catatan &amp; Sumber'!$B$16,"Sedang","Relatif Longgar"))))</x:f>
        <x:v>Ketat</x:v>
      </x:c>
      <x:c r="N2370" s="66" t="str">
        <x:v>Tidak Ada</x:v>
      </x:c>
      <x:c r="O2370" s="66" t="str">
        <x:v>Yogyakarta</x:v>
      </x:c>
      <x:c r="P2370" s="66" t="str">
        <x:v>Kabupaten Sleman</x:v>
      </x:c>
      <x:c r="Q2370" s="66" t="str">
        <x:v>https://snpmb.id/snbp/daya-tampung-snbp</x:v>
      </x:c>
      <x:c r="R2370" s="66" t="str">
        <x:v>https://sidatagrun-public-1076756628210.asia-southeast2.run.app/ptn_sn.php?ptn=362</x:v>
      </x:c>
    </x:row>
    <x:row r="2371">
      <x:c r="A2371" s="87" t="n">
        <x:v>975</x:v>
      </x:c>
      <x:c r="B2371" s="66" t="n">
        <x:v>362</x:v>
      </x:c>
      <x:c r="C2371" s="66" t="str">
        <x:v>UNIVERSITAS NEGERI YOGYAKARTA</x:v>
      </x:c>
      <x:c r="D2371" s="66" t="str">
        <x:v>PTN Akademik</x:v>
      </x:c>
      <x:c r="E2371" s="66" t="str">
        <x:v>13621026</x:v>
      </x:c>
      <x:c r="F2371" s="66" t="str">
        <x:v>MANAJEMEN PENDIDIKAN</x:v>
      </x:c>
      <x:c r="G2371" s="66" t="str">
        <x:v>Sarjana</x:v>
      </x:c>
      <x:c r="H2371" s="87" t="n">
        <x:v>16</x:v>
      </x:c>
      <x:c r="I2371" s="87" t="n">
        <x:v>209</x:v>
      </x:c>
      <x:c r="J2371" s="68" t="n">
        <x:f>IFERROR(H2371/I2371,"")</x:f>
        <x:v>0.07655502392344497</x:v>
      </x:c>
      <x:c r="K2371" s="69" t="n">
        <x:f>IFERROR(I2371/H2371,"")</x:f>
        <x:v>13.0625</x:v>
      </x:c>
      <x:c r="L2371" s="66" t="str">
        <x:f>IF(K2371="","","1 : "&amp;TEXT(K2371,"0.0"))</x:f>
        <x:v>1 : 13.1</x:v>
      </x:c>
      <x:c r="M2371" s="66" t="str">
        <x:f>IF(J2371="","Baru/Tanpa Data",IF(J2371&lt;='Catatan &amp; Sumber'!$B$14,"Sangat Ketat",IF(J2371&lt;='Catatan &amp; Sumber'!$B$15,"Ketat",IF(J2371&lt;='Catatan &amp; Sumber'!$B$16,"Sedang","Relatif Longgar"))))</x:f>
        <x:v>Sedang</x:v>
      </x:c>
      <x:c r="N2371" s="66" t="str">
        <x:v>Tidak Ada</x:v>
      </x:c>
      <x:c r="O2371" s="66" t="str">
        <x:v>Yogyakarta</x:v>
      </x:c>
      <x:c r="P2371" s="66" t="str">
        <x:v>Kabupaten Sleman</x:v>
      </x:c>
      <x:c r="Q2371" s="66" t="str">
        <x:v>https://snpmb.id/snbp/daya-tampung-snbp</x:v>
      </x:c>
      <x:c r="R2371" s="66" t="str">
        <x:v>https://sidatagrun-public-1076756628210.asia-southeast2.run.app/ptn_sn.php?ptn=362</x:v>
      </x:c>
    </x:row>
    <x:row r="2372">
      <x:c r="A2372" s="87" t="n">
        <x:v>289</x:v>
      </x:c>
      <x:c r="B2372" s="66" t="n">
        <x:v>362</x:v>
      </x:c>
      <x:c r="C2372" s="66" t="str">
        <x:v>UNIVERSITAS NEGERI YOGYAKARTA</x:v>
      </x:c>
      <x:c r="D2372" s="66" t="str">
        <x:v>PTN Akademik</x:v>
      </x:c>
      <x:c r="E2372" s="66" t="str">
        <x:v>13621027</x:v>
      </x:c>
      <x:c r="F2372" s="66" t="str">
        <x:v>BIMBINGAN &amp; KONSELING</x:v>
      </x:c>
      <x:c r="G2372" s="66" t="str">
        <x:v>Sarjana</x:v>
      </x:c>
      <x:c r="H2372" s="87" t="n">
        <x:v>24</x:v>
      </x:c>
      <x:c r="I2372" s="87" t="n">
        <x:v>573</x:v>
      </x:c>
      <x:c r="J2372" s="68" t="n">
        <x:f>IFERROR(H2372/I2372,"")</x:f>
        <x:v>0.041884816753926704</x:v>
      </x:c>
      <x:c r="K2372" s="69" t="n">
        <x:f>IFERROR(I2372/H2372,"")</x:f>
        <x:v>23.875</x:v>
      </x:c>
      <x:c r="L2372" s="66" t="str">
        <x:f>IF(K2372="","","1 : "&amp;TEXT(K2372,"0.0"))</x:f>
        <x:v>1 : 23.9</x:v>
      </x:c>
      <x:c r="M2372" s="66" t="str">
        <x:f>IF(J2372="","Baru/Tanpa Data",IF(J2372&lt;='Catatan &amp; Sumber'!$B$14,"Sangat Ketat",IF(J2372&lt;='Catatan &amp; Sumber'!$B$15,"Ketat",IF(J2372&lt;='Catatan &amp; Sumber'!$B$16,"Sedang","Relatif Longgar"))))</x:f>
        <x:v>Ketat</x:v>
      </x:c>
      <x:c r="N2372" s="66" t="str">
        <x:v>Tidak Ada</x:v>
      </x:c>
      <x:c r="O2372" s="66" t="str">
        <x:v>Yogyakarta</x:v>
      </x:c>
      <x:c r="P2372" s="66" t="str">
        <x:v>Kabupaten Sleman</x:v>
      </x:c>
      <x:c r="Q2372" s="66" t="str">
        <x:v>https://snpmb.id/snbp/daya-tampung-snbp</x:v>
      </x:c>
      <x:c r="R2372" s="66" t="str">
        <x:v>https://sidatagrun-public-1076756628210.asia-southeast2.run.app/ptn_sn.php?ptn=362</x:v>
      </x:c>
    </x:row>
    <x:row r="2373">
      <x:c r="A2373" s="87" t="n">
        <x:v>1724</x:v>
      </x:c>
      <x:c r="B2373" s="66" t="n">
        <x:v>362</x:v>
      </x:c>
      <x:c r="C2373" s="66" t="str">
        <x:v>UNIVERSITAS NEGERI YOGYAKARTA</x:v>
      </x:c>
      <x:c r="D2373" s="66" t="str">
        <x:v>PTN Akademik</x:v>
      </x:c>
      <x:c r="E2373" s="66" t="str">
        <x:v>13621028</x:v>
      </x:c>
      <x:c r="F2373" s="66" t="str">
        <x:v>TEKNOLOGI PENDIDIKAN</x:v>
      </x:c>
      <x:c r="G2373" s="66" t="str">
        <x:v>Sarjana</x:v>
      </x:c>
      <x:c r="H2373" s="87" t="n">
        <x:v>16</x:v>
      </x:c>
      <x:c r="I2373" s="87" t="n">
        <x:v>127</x:v>
      </x:c>
      <x:c r="J2373" s="68" t="n">
        <x:f>IFERROR(H2373/I2373,"")</x:f>
        <x:v>0.12598425196850394</x:v>
      </x:c>
      <x:c r="K2373" s="69" t="n">
        <x:f>IFERROR(I2373/H2373,"")</x:f>
        <x:v>7.9375</x:v>
      </x:c>
      <x:c r="L2373" s="66" t="str">
        <x:f>IF(K2373="","","1 : "&amp;TEXT(K2373,"0.0"))</x:f>
        <x:v>1 : 7.9</x:v>
      </x:c>
      <x:c r="M2373" s="66" t="str">
        <x:f>IF(J2373="","Baru/Tanpa Data",IF(J2373&lt;='Catatan &amp; Sumber'!$B$14,"Sangat Ketat",IF(J2373&lt;='Catatan &amp; Sumber'!$B$15,"Ketat",IF(J2373&lt;='Catatan &amp; Sumber'!$B$16,"Sedang","Relatif Longgar"))))</x:f>
        <x:v>Relatif Longgar</x:v>
      </x:c>
      <x:c r="N2373" s="66" t="str">
        <x:v>Tidak Ada</x:v>
      </x:c>
      <x:c r="O2373" s="66" t="str">
        <x:v>Yogyakarta</x:v>
      </x:c>
      <x:c r="P2373" s="66" t="str">
        <x:v>Kabupaten Sleman</x:v>
      </x:c>
      <x:c r="Q2373" s="66" t="str">
        <x:v>https://snpmb.id/snbp/daya-tampung-snbp</x:v>
      </x:c>
      <x:c r="R2373" s="66" t="str">
        <x:v>https://sidatagrun-public-1076756628210.asia-southeast2.run.app/ptn_sn.php?ptn=362</x:v>
      </x:c>
    </x:row>
    <x:row r="2374">
      <x:c r="A2374" s="87" t="n">
        <x:v>2042</x:v>
      </x:c>
      <x:c r="B2374" s="66" t="n">
        <x:v>362</x:v>
      </x:c>
      <x:c r="C2374" s="66" t="str">
        <x:v>UNIVERSITAS NEGERI YOGYAKARTA</x:v>
      </x:c>
      <x:c r="D2374" s="66" t="str">
        <x:v>PTN Akademik</x:v>
      </x:c>
      <x:c r="E2374" s="66" t="str">
        <x:v>13621029</x:v>
      </x:c>
      <x:c r="F2374" s="66" t="str">
        <x:v>PENDIDIKAN LUAR BIASA</x:v>
      </x:c>
      <x:c r="G2374" s="66" t="str">
        <x:v>Sarjana</x:v>
      </x:c>
      <x:c r="H2374" s="87" t="n">
        <x:v>24</x:v>
      </x:c>
      <x:c r="I2374" s="87" t="n">
        <x:v>154</x:v>
      </x:c>
      <x:c r="J2374" s="68" t="n">
        <x:f>IFERROR(H2374/I2374,"")</x:f>
        <x:v>0.15584415584415584</x:v>
      </x:c>
      <x:c r="K2374" s="69" t="n">
        <x:f>IFERROR(I2374/H2374,"")</x:f>
        <x:v>6.416666666666667</x:v>
      </x:c>
      <x:c r="L2374" s="66" t="str">
        <x:f>IF(K2374="","","1 : "&amp;TEXT(K2374,"0.0"))</x:f>
        <x:v>1 : 6.4</x:v>
      </x:c>
      <x:c r="M2374" s="66" t="str">
        <x:f>IF(J2374="","Baru/Tanpa Data",IF(J2374&lt;='Catatan &amp; Sumber'!$B$14,"Sangat Ketat",IF(J2374&lt;='Catatan &amp; Sumber'!$B$15,"Ketat",IF(J2374&lt;='Catatan &amp; Sumber'!$B$16,"Sedang","Relatif Longgar"))))</x:f>
        <x:v>Relatif Longgar</x:v>
      </x:c>
      <x:c r="N2374" s="66" t="str">
        <x:v>Tidak Ada</x:v>
      </x:c>
      <x:c r="O2374" s="66" t="str">
        <x:v>Yogyakarta</x:v>
      </x:c>
      <x:c r="P2374" s="66" t="str">
        <x:v>Kabupaten Sleman</x:v>
      </x:c>
      <x:c r="Q2374" s="66" t="str">
        <x:v>https://snpmb.id/snbp/daya-tampung-snbp</x:v>
      </x:c>
      <x:c r="R2374" s="66" t="str">
        <x:v>https://sidatagrun-public-1076756628210.asia-southeast2.run.app/ptn_sn.php?ptn=362</x:v>
      </x:c>
    </x:row>
    <x:row r="2375">
      <x:c r="A2375" s="87" t="n">
        <x:v>2548</x:v>
      </x:c>
      <x:c r="B2375" s="66" t="n">
        <x:v>362</x:v>
      </x:c>
      <x:c r="C2375" s="66" t="str">
        <x:v>UNIVERSITAS NEGERI YOGYAKARTA</x:v>
      </x:c>
      <x:c r="D2375" s="66" t="str">
        <x:v>PTN Akademik</x:v>
      </x:c>
      <x:c r="E2375" s="66" t="str">
        <x:v>13621030</x:v>
      </x:c>
      <x:c r="F2375" s="66" t="str">
        <x:v>PENDIDIKAN LUAR SEKOLAH</x:v>
      </x:c>
      <x:c r="G2375" s="66" t="str">
        <x:v>Sarjana</x:v>
      </x:c>
      <x:c r="H2375" s="87" t="n">
        <x:v>16</x:v>
      </x:c>
      <x:c r="I2375" s="87" t="n">
        <x:v>73</x:v>
      </x:c>
      <x:c r="J2375" s="68" t="n">
        <x:f>IFERROR(H2375/I2375,"")</x:f>
        <x:v>0.2191780821917808</x:v>
      </x:c>
      <x:c r="K2375" s="69" t="n">
        <x:f>IFERROR(I2375/H2375,"")</x:f>
        <x:v>4.5625</x:v>
      </x:c>
      <x:c r="L2375" s="66" t="str">
        <x:f>IF(K2375="","","1 : "&amp;TEXT(K2375,"0.0"))</x:f>
        <x:v>1 : 4.6</x:v>
      </x:c>
      <x:c r="M2375" s="66" t="str">
        <x:f>IF(J2375="","Baru/Tanpa Data",IF(J2375&lt;='Catatan &amp; Sumber'!$B$14,"Sangat Ketat",IF(J2375&lt;='Catatan &amp; Sumber'!$B$15,"Ketat",IF(J2375&lt;='Catatan &amp; Sumber'!$B$16,"Sedang","Relatif Longgar"))))</x:f>
        <x:v>Relatif Longgar</x:v>
      </x:c>
      <x:c r="N2375" s="66" t="str">
        <x:v>Tidak Ada</x:v>
      </x:c>
      <x:c r="O2375" s="66" t="str">
        <x:v>Yogyakarta</x:v>
      </x:c>
      <x:c r="P2375" s="66" t="str">
        <x:v>Kabupaten Sleman</x:v>
      </x:c>
      <x:c r="Q2375" s="66" t="str">
        <x:v>https://snpmb.id/snbp/daya-tampung-snbp</x:v>
      </x:c>
      <x:c r="R2375" s="66" t="str">
        <x:v>https://sidatagrun-public-1076756628210.asia-southeast2.run.app/ptn_sn.php?ptn=362</x:v>
      </x:c>
    </x:row>
    <x:row r="2376">
      <x:c r="A2376" s="87" t="n">
        <x:v>3220</x:v>
      </x:c>
      <x:c r="B2376" s="66" t="n">
        <x:v>362</x:v>
      </x:c>
      <x:c r="C2376" s="66" t="str">
        <x:v>UNIVERSITAS NEGERI YOGYAKARTA</x:v>
      </x:c>
      <x:c r="D2376" s="66" t="str">
        <x:v>PTN Akademik</x:v>
      </x:c>
      <x:c r="E2376" s="66" t="str">
        <x:v>13621031</x:v>
      </x:c>
      <x:c r="F2376" s="66" t="str">
        <x:v>PENDIDIKAN KRIYA</x:v>
      </x:c>
      <x:c r="G2376" s="66" t="str">
        <x:v>Sarjana</x:v>
      </x:c>
      <x:c r="H2376" s="87" t="n">
        <x:v>24</x:v>
      </x:c>
      <x:c r="I2376" s="87" t="n">
        <x:v>69</x:v>
      </x:c>
      <x:c r="J2376" s="68" t="n">
        <x:f>IFERROR(H2376/I2376,"")</x:f>
        <x:v>0.34782608695652173</x:v>
      </x:c>
      <x:c r="K2376" s="69" t="n">
        <x:f>IFERROR(I2376/H2376,"")</x:f>
        <x:v>2.875</x:v>
      </x:c>
      <x:c r="L2376" s="66" t="str">
        <x:f>IF(K2376="","","1 : "&amp;TEXT(K2376,"0.0"))</x:f>
        <x:v>1 : 2.9</x:v>
      </x:c>
      <x:c r="M2376" s="66" t="str">
        <x:f>IF(J2376="","Baru/Tanpa Data",IF(J2376&lt;='Catatan &amp; Sumber'!$B$14,"Sangat Ketat",IF(J2376&lt;='Catatan &amp; Sumber'!$B$15,"Ketat",IF(J2376&lt;='Catatan &amp; Sumber'!$B$16,"Sedang","Relatif Longgar"))))</x:f>
        <x:v>Relatif Longgar</x:v>
      </x:c>
      <x:c r="N2376" s="66" t="str">
        <x:v>Seni Rupa, Desain, dan Kriya</x:v>
      </x:c>
      <x:c r="O2376" s="66" t="str">
        <x:v>Yogyakarta</x:v>
      </x:c>
      <x:c r="P2376" s="66" t="str">
        <x:v>Kabupaten Sleman</x:v>
      </x:c>
      <x:c r="Q2376" s="66" t="str">
        <x:v>https://snpmb.id/snbp/daya-tampung-snbp</x:v>
      </x:c>
      <x:c r="R2376" s="66" t="str">
        <x:v>https://sidatagrun-public-1076756628210.asia-southeast2.run.app/ptn_sn.php?ptn=362</x:v>
      </x:c>
    </x:row>
    <x:row r="2377">
      <x:c r="A2377" s="87" t="n">
        <x:v>1046</x:v>
      </x:c>
      <x:c r="B2377" s="66" t="n">
        <x:v>362</x:v>
      </x:c>
      <x:c r="C2377" s="66" t="str">
        <x:v>UNIVERSITAS NEGERI YOGYAKARTA</x:v>
      </x:c>
      <x:c r="D2377" s="66" t="str">
        <x:v>PTN Akademik</x:v>
      </x:c>
      <x:c r="E2377" s="66" t="str">
        <x:v>13621032</x:v>
      </x:c>
      <x:c r="F2377" s="66" t="str">
        <x:v>PENDIDIKAN KEWARGANEGARAAN</x:v>
      </x:c>
      <x:c r="G2377" s="66" t="str">
        <x:v>Sarjana</x:v>
      </x:c>
      <x:c r="H2377" s="87" t="n">
        <x:v>16</x:v>
      </x:c>
      <x:c r="I2377" s="87" t="n">
        <x:v>198</x:v>
      </x:c>
      <x:c r="J2377" s="68" t="n">
        <x:f>IFERROR(H2377/I2377,"")</x:f>
        <x:v>0.08080808080808081</x:v>
      </x:c>
      <x:c r="K2377" s="69" t="n">
        <x:f>IFERROR(I2377/H2377,"")</x:f>
        <x:v>12.375</x:v>
      </x:c>
      <x:c r="L2377" s="66" t="str">
        <x:f>IF(K2377="","","1 : "&amp;TEXT(K2377,"0.0"))</x:f>
        <x:v>1 : 12.4</x:v>
      </x:c>
      <x:c r="M2377" s="66" t="str">
        <x:f>IF(J2377="","Baru/Tanpa Data",IF(J2377&lt;='Catatan &amp; Sumber'!$B$14,"Sangat Ketat",IF(J2377&lt;='Catatan &amp; Sumber'!$B$15,"Ketat",IF(J2377&lt;='Catatan &amp; Sumber'!$B$16,"Sedang","Relatif Longgar"))))</x:f>
        <x:v>Sedang</x:v>
      </x:c>
      <x:c r="N2377" s="66" t="str">
        <x:v>Tidak Ada</x:v>
      </x:c>
      <x:c r="O2377" s="66" t="str">
        <x:v>Yogyakarta</x:v>
      </x:c>
      <x:c r="P2377" s="66" t="str">
        <x:v>Kabupaten Sleman</x:v>
      </x:c>
      <x:c r="Q2377" s="66" t="str">
        <x:v>https://snpmb.id/snbp/daya-tampung-snbp</x:v>
      </x:c>
      <x:c r="R2377" s="66" t="str">
        <x:v>https://sidatagrun-public-1076756628210.asia-southeast2.run.app/ptn_sn.php?ptn=362</x:v>
      </x:c>
    </x:row>
    <x:row r="2378">
      <x:c r="A2378" s="87" t="n">
        <x:v>2226</x:v>
      </x:c>
      <x:c r="B2378" s="66" t="n">
        <x:v>362</x:v>
      </x:c>
      <x:c r="C2378" s="66" t="str">
        <x:v>UNIVERSITAS NEGERI YOGYAKARTA</x:v>
      </x:c>
      <x:c r="D2378" s="66" t="str">
        <x:v>PTN Akademik</x:v>
      </x:c>
      <x:c r="E2378" s="66" t="str">
        <x:v>13621033</x:v>
      </x:c>
      <x:c r="F2378" s="66" t="str">
        <x:v>PENDIDIKAN SEJARAH</x:v>
      </x:c>
      <x:c r="G2378" s="66" t="str">
        <x:v>Sarjana</x:v>
      </x:c>
      <x:c r="H2378" s="87" t="n">
        <x:v>36</x:v>
      </x:c>
      <x:c r="I2378" s="87" t="n">
        <x:v>205</x:v>
      </x:c>
      <x:c r="J2378" s="68" t="n">
        <x:f>IFERROR(H2378/I2378,"")</x:f>
        <x:v>0.17560975609756097</x:v>
      </x:c>
      <x:c r="K2378" s="69" t="n">
        <x:f>IFERROR(I2378/H2378,"")</x:f>
        <x:v>5.694444444444445</x:v>
      </x:c>
      <x:c r="L2378" s="66" t="str">
        <x:f>IF(K2378="","","1 : "&amp;TEXT(K2378,"0.0"))</x:f>
        <x:v>1 : 5.7</x:v>
      </x:c>
      <x:c r="M2378" s="66" t="str">
        <x:f>IF(J2378="","Baru/Tanpa Data",IF(J2378&lt;='Catatan &amp; Sumber'!$B$14,"Sangat Ketat",IF(J2378&lt;='Catatan &amp; Sumber'!$B$15,"Ketat",IF(J2378&lt;='Catatan &amp; Sumber'!$B$16,"Sedang","Relatif Longgar"))))</x:f>
        <x:v>Relatif Longgar</x:v>
      </x:c>
      <x:c r="N2378" s="66" t="str">
        <x:v>Tidak Ada</x:v>
      </x:c>
      <x:c r="O2378" s="66" t="str">
        <x:v>Yogyakarta</x:v>
      </x:c>
      <x:c r="P2378" s="66" t="str">
        <x:v>Kabupaten Sleman</x:v>
      </x:c>
      <x:c r="Q2378" s="66" t="str">
        <x:v>https://snpmb.id/snbp/daya-tampung-snbp</x:v>
      </x:c>
      <x:c r="R2378" s="66" t="str">
        <x:v>https://sidatagrun-public-1076756628210.asia-southeast2.run.app/ptn_sn.php?ptn=362</x:v>
      </x:c>
    </x:row>
    <x:row r="2379">
      <x:c r="A2379" s="87" t="n">
        <x:v>941</x:v>
      </x:c>
      <x:c r="B2379" s="66" t="n">
        <x:v>362</x:v>
      </x:c>
      <x:c r="C2379" s="66" t="str">
        <x:v>UNIVERSITAS NEGERI YOGYAKARTA</x:v>
      </x:c>
      <x:c r="D2379" s="66" t="str">
        <x:v>PTN Akademik</x:v>
      </x:c>
      <x:c r="E2379" s="66" t="str">
        <x:v>13621034</x:v>
      </x:c>
      <x:c r="F2379" s="66" t="str">
        <x:v>PENDIDIKAN GEOGRAFI</x:v>
      </x:c>
      <x:c r="G2379" s="66" t="str">
        <x:v>Sarjana</x:v>
      </x:c>
      <x:c r="H2379" s="87" t="n">
        <x:v>16</x:v>
      </x:c>
      <x:c r="I2379" s="87" t="n">
        <x:v>214</x:v>
      </x:c>
      <x:c r="J2379" s="68" t="n">
        <x:f>IFERROR(H2379/I2379,"")</x:f>
        <x:v>0.07476635514018691</x:v>
      </x:c>
      <x:c r="K2379" s="69" t="n">
        <x:f>IFERROR(I2379/H2379,"")</x:f>
        <x:v>13.375</x:v>
      </x:c>
      <x:c r="L2379" s="66" t="str">
        <x:f>IF(K2379="","","1 : "&amp;TEXT(K2379,"0.0"))</x:f>
        <x:v>1 : 13.4</x:v>
      </x:c>
      <x:c r="M2379" s="66" t="str">
        <x:f>IF(J2379="","Baru/Tanpa Data",IF(J2379&lt;='Catatan &amp; Sumber'!$B$14,"Sangat Ketat",IF(J2379&lt;='Catatan &amp; Sumber'!$B$15,"Ketat",IF(J2379&lt;='Catatan &amp; Sumber'!$B$16,"Sedang","Relatif Longgar"))))</x:f>
        <x:v>Sedang</x:v>
      </x:c>
      <x:c r="N2379" s="66" t="str">
        <x:v>Tidak Ada</x:v>
      </x:c>
      <x:c r="O2379" s="66" t="str">
        <x:v>Yogyakarta</x:v>
      </x:c>
      <x:c r="P2379" s="66" t="str">
        <x:v>Kabupaten Sleman</x:v>
      </x:c>
      <x:c r="Q2379" s="66" t="str">
        <x:v>https://snpmb.id/snbp/daya-tampung-snbp</x:v>
      </x:c>
      <x:c r="R2379" s="66" t="str">
        <x:v>https://sidatagrun-public-1076756628210.asia-southeast2.run.app/ptn_sn.php?ptn=362</x:v>
      </x:c>
    </x:row>
    <x:row r="2380">
      <x:c r="A2380" s="87" t="n">
        <x:v>145</x:v>
      </x:c>
      <x:c r="B2380" s="66" t="n">
        <x:v>362</x:v>
      </x:c>
      <x:c r="C2380" s="66" t="str">
        <x:v>UNIVERSITAS NEGERI YOGYAKARTA</x:v>
      </x:c>
      <x:c r="D2380" s="66" t="str">
        <x:v>PTN Akademik</x:v>
      </x:c>
      <x:c r="E2380" s="66" t="str">
        <x:v>13621037</x:v>
      </x:c>
      <x:c r="F2380" s="66" t="str">
        <x:v>PENDIDIKAN TEKNIK BUSANA</x:v>
      </x:c>
      <x:c r="G2380" s="66" t="str">
        <x:v>Sarjana</x:v>
      </x:c>
      <x:c r="H2380" s="87" t="n">
        <x:v>16</x:v>
      </x:c>
      <x:c r="I2380" s="87" t="n">
        <x:v>487</x:v>
      </x:c>
      <x:c r="J2380" s="68" t="n">
        <x:f>IFERROR(H2380/I2380,"")</x:f>
        <x:v>0.03285420944558522</x:v>
      </x:c>
      <x:c r="K2380" s="69" t="n">
        <x:f>IFERROR(I2380/H2380,"")</x:f>
        <x:v>30.4375</x:v>
      </x:c>
      <x:c r="L2380" s="66" t="str">
        <x:f>IF(K2380="","","1 : "&amp;TEXT(K2380,"0.0"))</x:f>
        <x:v>1 : 30.4</x:v>
      </x:c>
      <x:c r="M2380" s="66" t="str">
        <x:f>IF(J2380="","Baru/Tanpa Data",IF(J2380&lt;='Catatan &amp; Sumber'!$B$14,"Sangat Ketat",IF(J2380&lt;='Catatan &amp; Sumber'!$B$15,"Ketat",IF(J2380&lt;='Catatan &amp; Sumber'!$B$16,"Sedang","Relatif Longgar"))))</x:f>
        <x:v>Ketat</x:v>
      </x:c>
      <x:c r="N2380" s="66" t="str">
        <x:v>Tidak Ada</x:v>
      </x:c>
      <x:c r="O2380" s="66" t="str">
        <x:v>Yogyakarta</x:v>
      </x:c>
      <x:c r="P2380" s="66" t="str">
        <x:v>Kabupaten Sleman</x:v>
      </x:c>
      <x:c r="Q2380" s="66" t="str">
        <x:v>https://snpmb.id/snbp/daya-tampung-snbp</x:v>
      </x:c>
      <x:c r="R2380" s="66" t="str">
        <x:v>https://sidatagrun-public-1076756628210.asia-southeast2.run.app/ptn_sn.php?ptn=362</x:v>
      </x:c>
    </x:row>
    <x:row r="2381">
      <x:c r="A2381" s="87" t="n">
        <x:v>173</x:v>
      </x:c>
      <x:c r="B2381" s="66" t="n">
        <x:v>362</x:v>
      </x:c>
      <x:c r="C2381" s="66" t="str">
        <x:v>UNIVERSITAS NEGERI YOGYAKARTA</x:v>
      </x:c>
      <x:c r="D2381" s="66" t="str">
        <x:v>PTN Akademik</x:v>
      </x:c>
      <x:c r="E2381" s="66" t="str">
        <x:v>13621038</x:v>
      </x:c>
      <x:c r="F2381" s="66" t="str">
        <x:v>PENDIDIKAN TEKNIK BOGA</x:v>
      </x:c>
      <x:c r="G2381" s="66" t="str">
        <x:v>Sarjana</x:v>
      </x:c>
      <x:c r="H2381" s="87" t="n">
        <x:v>19</x:v>
      </x:c>
      <x:c r="I2381" s="87" t="n">
        <x:v>542</x:v>
      </x:c>
      <x:c r="J2381" s="68" t="n">
        <x:f>IFERROR(H2381/I2381,"")</x:f>
        <x:v>0.03505535055350553</x:v>
      </x:c>
      <x:c r="K2381" s="69" t="n">
        <x:f>IFERROR(I2381/H2381,"")</x:f>
        <x:v>28.526315789473685</x:v>
      </x:c>
      <x:c r="L2381" s="66" t="str">
        <x:f>IF(K2381="","","1 : "&amp;TEXT(K2381,"0.0"))</x:f>
        <x:v>1 : 28.5</x:v>
      </x:c>
      <x:c r="M2381" s="66" t="str">
        <x:f>IF(J2381="","Baru/Tanpa Data",IF(J2381&lt;='Catatan &amp; Sumber'!$B$14,"Sangat Ketat",IF(J2381&lt;='Catatan &amp; Sumber'!$B$15,"Ketat",IF(J2381&lt;='Catatan &amp; Sumber'!$B$16,"Sedang","Relatif Longgar"))))</x:f>
        <x:v>Ketat</x:v>
      </x:c>
      <x:c r="N2381" s="66" t="str">
        <x:v>Tidak Ada</x:v>
      </x:c>
      <x:c r="O2381" s="66" t="str">
        <x:v>Yogyakarta</x:v>
      </x:c>
      <x:c r="P2381" s="66" t="str">
        <x:v>Kabupaten Sleman</x:v>
      </x:c>
      <x:c r="Q2381" s="66" t="str">
        <x:v>https://snpmb.id/snbp/daya-tampung-snbp</x:v>
      </x:c>
      <x:c r="R2381" s="66" t="str">
        <x:v>https://sidatagrun-public-1076756628210.asia-southeast2.run.app/ptn_sn.php?ptn=362</x:v>
      </x:c>
    </x:row>
    <x:row r="2382">
      <x:c r="A2382" s="87" t="n">
        <x:v>919</x:v>
      </x:c>
      <x:c r="B2382" s="66" t="n">
        <x:v>362</x:v>
      </x:c>
      <x:c r="C2382" s="66" t="str">
        <x:v>UNIVERSITAS NEGERI YOGYAKARTA</x:v>
      </x:c>
      <x:c r="D2382" s="66" t="str">
        <x:v>PTN Akademik</x:v>
      </x:c>
      <x:c r="E2382" s="66" t="str">
        <x:v>13621039</x:v>
      </x:c>
      <x:c r="F2382" s="66" t="str">
        <x:v>PENDIDIKAN ADMINISTRASI PERKANTORAN</x:v>
      </x:c>
      <x:c r="G2382" s="66" t="str">
        <x:v>Sarjana</x:v>
      </x:c>
      <x:c r="H2382" s="87" t="n">
        <x:v>24</x:v>
      </x:c>
      <x:c r="I2382" s="87" t="n">
        <x:v>326</x:v>
      </x:c>
      <x:c r="J2382" s="68" t="n">
        <x:f>IFERROR(H2382/I2382,"")</x:f>
        <x:v>0.0736196319018405</x:v>
      </x:c>
      <x:c r="K2382" s="69" t="n">
        <x:f>IFERROR(I2382/H2382,"")</x:f>
        <x:v>13.583333333333334</x:v>
      </x:c>
      <x:c r="L2382" s="66" t="str">
        <x:f>IF(K2382="","","1 : "&amp;TEXT(K2382,"0.0"))</x:f>
        <x:v>1 : 13.6</x:v>
      </x:c>
      <x:c r="M2382" s="66" t="str">
        <x:f>IF(J2382="","Baru/Tanpa Data",IF(J2382&lt;='Catatan &amp; Sumber'!$B$14,"Sangat Ketat",IF(J2382&lt;='Catatan &amp; Sumber'!$B$15,"Ketat",IF(J2382&lt;='Catatan &amp; Sumber'!$B$16,"Sedang","Relatif Longgar"))))</x:f>
        <x:v>Sedang</x:v>
      </x:c>
      <x:c r="N2382" s="66" t="str">
        <x:v>Tidak Ada</x:v>
      </x:c>
      <x:c r="O2382" s="66" t="str">
        <x:v>Yogyakarta</x:v>
      </x:c>
      <x:c r="P2382" s="66" t="str">
        <x:v>Kabupaten Sleman</x:v>
      </x:c>
      <x:c r="Q2382" s="66" t="str">
        <x:v>https://snpmb.id/snbp/daya-tampung-snbp</x:v>
      </x:c>
      <x:c r="R2382" s="66" t="str">
        <x:v>https://sidatagrun-public-1076756628210.asia-southeast2.run.app/ptn_sn.php?ptn=362</x:v>
      </x:c>
    </x:row>
    <x:row r="2383">
      <x:c r="A2383" s="87" t="n">
        <x:v>1455</x:v>
      </x:c>
      <x:c r="B2383" s="66" t="n">
        <x:v>362</x:v>
      </x:c>
      <x:c r="C2383" s="66" t="str">
        <x:v>UNIVERSITAS NEGERI YOGYAKARTA</x:v>
      </x:c>
      <x:c r="D2383" s="66" t="str">
        <x:v>PTN Akademik</x:v>
      </x:c>
      <x:c r="E2383" s="66" t="str">
        <x:v>13621040</x:v>
      </x:c>
      <x:c r="F2383" s="66" t="str">
        <x:v>PENDIDIKAN AKUNTANSI</x:v>
      </x:c>
      <x:c r="G2383" s="66" t="str">
        <x:v>Sarjana</x:v>
      </x:c>
      <x:c r="H2383" s="87" t="n">
        <x:v>24</x:v>
      </x:c>
      <x:c r="I2383" s="87" t="n">
        <x:v>226</x:v>
      </x:c>
      <x:c r="J2383" s="68" t="n">
        <x:f>IFERROR(H2383/I2383,"")</x:f>
        <x:v>0.10619469026548672</x:v>
      </x:c>
      <x:c r="K2383" s="69" t="n">
        <x:f>IFERROR(I2383/H2383,"")</x:f>
        <x:v>9.416666666666666</x:v>
      </x:c>
      <x:c r="L2383" s="66" t="str">
        <x:f>IF(K2383="","","1 : "&amp;TEXT(K2383,"0.0"))</x:f>
        <x:v>1 : 9.4</x:v>
      </x:c>
      <x:c r="M2383" s="66" t="str">
        <x:f>IF(J2383="","Baru/Tanpa Data",IF(J2383&lt;='Catatan &amp; Sumber'!$B$14,"Sangat Ketat",IF(J2383&lt;='Catatan &amp; Sumber'!$B$15,"Ketat",IF(J2383&lt;='Catatan &amp; Sumber'!$B$16,"Sedang","Relatif Longgar"))))</x:f>
        <x:v>Relatif Longgar</x:v>
      </x:c>
      <x:c r="N2383" s="66" t="str">
        <x:v>Tidak Ada</x:v>
      </x:c>
      <x:c r="O2383" s="66" t="str">
        <x:v>Yogyakarta</x:v>
      </x:c>
      <x:c r="P2383" s="66" t="str">
        <x:v>Kabupaten Sleman</x:v>
      </x:c>
      <x:c r="Q2383" s="66" t="str">
        <x:v>https://snpmb.id/snbp/daya-tampung-snbp</x:v>
      </x:c>
      <x:c r="R2383" s="66" t="str">
        <x:v>https://sidatagrun-public-1076756628210.asia-southeast2.run.app/ptn_sn.php?ptn=362</x:v>
      </x:c>
    </x:row>
    <x:row r="2384">
      <x:c r="A2384" s="87" t="n">
        <x:v>1588</x:v>
      </x:c>
      <x:c r="B2384" s="66" t="n">
        <x:v>362</x:v>
      </x:c>
      <x:c r="C2384" s="66" t="str">
        <x:v>UNIVERSITAS NEGERI YOGYAKARTA</x:v>
      </x:c>
      <x:c r="D2384" s="66" t="str">
        <x:v>PTN Akademik</x:v>
      </x:c>
      <x:c r="E2384" s="66" t="str">
        <x:v>13621041</x:v>
      </x:c>
      <x:c r="F2384" s="66" t="str">
        <x:v>PENDIDIKAN EKONOMI</x:v>
      </x:c>
      <x:c r="G2384" s="66" t="str">
        <x:v>Sarjana</x:v>
      </x:c>
      <x:c r="H2384" s="87" t="n">
        <x:v>27</x:v>
      </x:c>
      <x:c r="I2384" s="87" t="n">
        <x:v>234</x:v>
      </x:c>
      <x:c r="J2384" s="68" t="n">
        <x:f>IFERROR(H2384/I2384,"")</x:f>
        <x:v>0.11538461538461539</x:v>
      </x:c>
      <x:c r="K2384" s="69" t="n">
        <x:f>IFERROR(I2384/H2384,"")</x:f>
        <x:v>8.666666666666666</x:v>
      </x:c>
      <x:c r="L2384" s="66" t="str">
        <x:f>IF(K2384="","","1 : "&amp;TEXT(K2384,"0.0"))</x:f>
        <x:v>1 : 8.7</x:v>
      </x:c>
      <x:c r="M2384" s="66" t="str">
        <x:f>IF(J2384="","Baru/Tanpa Data",IF(J2384&lt;='Catatan &amp; Sumber'!$B$14,"Sangat Ketat",IF(J2384&lt;='Catatan &amp; Sumber'!$B$15,"Ketat",IF(J2384&lt;='Catatan &amp; Sumber'!$B$16,"Sedang","Relatif Longgar"))))</x:f>
        <x:v>Relatif Longgar</x:v>
      </x:c>
      <x:c r="N2384" s="66" t="str">
        <x:v>Tidak Ada</x:v>
      </x:c>
      <x:c r="O2384" s="66" t="str">
        <x:v>Yogyakarta</x:v>
      </x:c>
      <x:c r="P2384" s="66" t="str">
        <x:v>Kabupaten Sleman</x:v>
      </x:c>
      <x:c r="Q2384" s="66" t="str">
        <x:v>https://snpmb.id/snbp/daya-tampung-snbp</x:v>
      </x:c>
      <x:c r="R2384" s="66" t="str">
        <x:v>https://sidatagrun-public-1076756628210.asia-southeast2.run.app/ptn_sn.php?ptn=362</x:v>
      </x:c>
    </x:row>
    <x:row r="2385">
      <x:c r="A2385" s="87" t="n">
        <x:v>96</x:v>
      </x:c>
      <x:c r="B2385" s="66" t="n">
        <x:v>362</x:v>
      </x:c>
      <x:c r="C2385" s="66" t="str">
        <x:v>UNIVERSITAS NEGERI YOGYAKARTA</x:v>
      </x:c>
      <x:c r="D2385" s="66" t="str">
        <x:v>PTN Akademik</x:v>
      </x:c>
      <x:c r="E2385" s="66" t="str">
        <x:v>13621042</x:v>
      </x:c>
      <x:c r="F2385" s="66" t="str">
        <x:v>MANAJEMEN</x:v>
      </x:c>
      <x:c r="G2385" s="66" t="str">
        <x:v>Sarjana</x:v>
      </x:c>
      <x:c r="H2385" s="87" t="n">
        <x:v>51</x:v>
      </x:c>
      <x:c r="I2385" s="87" t="n">
        <x:v>1796</x:v>
      </x:c>
      <x:c r="J2385" s="68" t="n">
        <x:f>IFERROR(H2385/I2385,"")</x:f>
        <x:v>0.02839643652561247</x:v>
      </x:c>
      <x:c r="K2385" s="69" t="n">
        <x:f>IFERROR(I2385/H2385,"")</x:f>
        <x:v>35.21568627450981</x:v>
      </x:c>
      <x:c r="L2385" s="66" t="str">
        <x:f>IF(K2385="","","1 : "&amp;TEXT(K2385,"0.0"))</x:f>
        <x:v>1 : 35.2</x:v>
      </x:c>
      <x:c r="M2385" s="66" t="str">
        <x:f>IF(J2385="","Baru/Tanpa Data",IF(J2385&lt;='Catatan &amp; Sumber'!$B$14,"Sangat Ketat",IF(J2385&lt;='Catatan &amp; Sumber'!$B$15,"Ketat",IF(J2385&lt;='Catatan &amp; Sumber'!$B$16,"Sedang","Relatif Longgar"))))</x:f>
        <x:v>Ketat</x:v>
      </x:c>
      <x:c r="N2385" s="66" t="str">
        <x:v>Tidak Ada</x:v>
      </x:c>
      <x:c r="O2385" s="66" t="str">
        <x:v>Yogyakarta</x:v>
      </x:c>
      <x:c r="P2385" s="66" t="str">
        <x:v>Kabupaten Sleman</x:v>
      </x:c>
      <x:c r="Q2385" s="66" t="str">
        <x:v>https://snpmb.id/snbp/daya-tampung-snbp</x:v>
      </x:c>
      <x:c r="R2385" s="66" t="str">
        <x:v>https://sidatagrun-public-1076756628210.asia-southeast2.run.app/ptn_sn.php?ptn=362</x:v>
      </x:c>
    </x:row>
    <x:row r="2386">
      <x:c r="A2386" s="87" t="n">
        <x:v>1434</x:v>
      </x:c>
      <x:c r="B2386" s="66" t="n">
        <x:v>362</x:v>
      </x:c>
      <x:c r="C2386" s="66" t="str">
        <x:v>UNIVERSITAS NEGERI YOGYAKARTA</x:v>
      </x:c>
      <x:c r="D2386" s="66" t="str">
        <x:v>PTN Akademik</x:v>
      </x:c>
      <x:c r="E2386" s="66" t="str">
        <x:v>13621043</x:v>
      </x:c>
      <x:c r="F2386" s="66" t="str">
        <x:v>ILMU SEJARAH</x:v>
      </x:c>
      <x:c r="G2386" s="66" t="str">
        <x:v>Sarjana</x:v>
      </x:c>
      <x:c r="H2386" s="87" t="n">
        <x:v>16</x:v>
      </x:c>
      <x:c r="I2386" s="87" t="n">
        <x:v>152</x:v>
      </x:c>
      <x:c r="J2386" s="68" t="n">
        <x:f>IFERROR(H2386/I2386,"")</x:f>
        <x:v>0.10526315789473684</x:v>
      </x:c>
      <x:c r="K2386" s="69" t="n">
        <x:f>IFERROR(I2386/H2386,"")</x:f>
        <x:v>9.5</x:v>
      </x:c>
      <x:c r="L2386" s="66" t="str">
        <x:f>IF(K2386="","","1 : "&amp;TEXT(K2386,"0.0"))</x:f>
        <x:v>1 : 9.5</x:v>
      </x:c>
      <x:c r="M2386" s="66" t="str">
        <x:f>IF(J2386="","Baru/Tanpa Data",IF(J2386&lt;='Catatan &amp; Sumber'!$B$14,"Sangat Ketat",IF(J2386&lt;='Catatan &amp; Sumber'!$B$15,"Ketat",IF(J2386&lt;='Catatan &amp; Sumber'!$B$16,"Sedang","Relatif Longgar"))))</x:f>
        <x:v>Relatif Longgar</x:v>
      </x:c>
      <x:c r="N2386" s="66" t="str">
        <x:v>Tidak Ada</x:v>
      </x:c>
      <x:c r="O2386" s="66" t="str">
        <x:v>Yogyakarta</x:v>
      </x:c>
      <x:c r="P2386" s="66" t="str">
        <x:v>Kabupaten Sleman</x:v>
      </x:c>
      <x:c r="Q2386" s="66" t="str">
        <x:v>https://snpmb.id/snbp/daya-tampung-snbp</x:v>
      </x:c>
      <x:c r="R2386" s="66" t="str">
        <x:v>https://sidatagrun-public-1076756628210.asia-southeast2.run.app/ptn_sn.php?ptn=362</x:v>
      </x:c>
    </x:row>
    <x:row r="2387">
      <x:c r="A2387" s="87" t="n">
        <x:v>75</x:v>
      </x:c>
      <x:c r="B2387" s="66" t="n">
        <x:v>362</x:v>
      </x:c>
      <x:c r="C2387" s="66" t="str">
        <x:v>UNIVERSITAS NEGERI YOGYAKARTA</x:v>
      </x:c>
      <x:c r="D2387" s="66" t="str">
        <x:v>PTN Akademik</x:v>
      </x:c>
      <x:c r="E2387" s="66" t="str">
        <x:v>13621044</x:v>
      </x:c>
      <x:c r="F2387" s="66" t="str">
        <x:v>AKUNTANSI</x:v>
      </x:c>
      <x:c r="G2387" s="66" t="str">
        <x:v>Sarjana</x:v>
      </x:c>
      <x:c r="H2387" s="87" t="n">
        <x:v>32</x:v>
      </x:c>
      <x:c r="I2387" s="87" t="n">
        <x:v>1230</x:v>
      </x:c>
      <x:c r="J2387" s="68" t="n">
        <x:f>IFERROR(H2387/I2387,"")</x:f>
        <x:v>0.026016260162601626</x:v>
      </x:c>
      <x:c r="K2387" s="69" t="n">
        <x:f>IFERROR(I2387/H2387,"")</x:f>
        <x:v>38.4375</x:v>
      </x:c>
      <x:c r="L2387" s="66" t="str">
        <x:f>IF(K2387="","","1 : "&amp;TEXT(K2387,"0.0"))</x:f>
        <x:v>1 : 38.4</x:v>
      </x:c>
      <x:c r="M2387" s="66" t="str">
        <x:f>IF(J2387="","Baru/Tanpa Data",IF(J2387&lt;='Catatan &amp; Sumber'!$B$14,"Sangat Ketat",IF(J2387&lt;='Catatan &amp; Sumber'!$B$15,"Ketat",IF(J2387&lt;='Catatan &amp; Sumber'!$B$16,"Sedang","Relatif Longgar"))))</x:f>
        <x:v>Ketat</x:v>
      </x:c>
      <x:c r="N2387" s="66" t="str">
        <x:v>Tidak Ada</x:v>
      </x:c>
      <x:c r="O2387" s="66" t="str">
        <x:v>Yogyakarta</x:v>
      </x:c>
      <x:c r="P2387" s="66" t="str">
        <x:v>Kabupaten Sleman</x:v>
      </x:c>
      <x:c r="Q2387" s="66" t="str">
        <x:v>https://snpmb.id/snbp/daya-tampung-snbp</x:v>
      </x:c>
      <x:c r="R2387" s="66" t="str">
        <x:v>https://sidatagrun-public-1076756628210.asia-southeast2.run.app/ptn_sn.php?ptn=362</x:v>
      </x:c>
    </x:row>
    <x:row r="2388">
      <x:c r="A2388" s="87" t="n">
        <x:v>759</x:v>
      </x:c>
      <x:c r="B2388" s="66" t="n">
        <x:v>362</x:v>
      </x:c>
      <x:c r="C2388" s="66" t="str">
        <x:v>UNIVERSITAS NEGERI YOGYAKARTA</x:v>
      </x:c>
      <x:c r="D2388" s="66" t="str">
        <x:v>PTN Akademik</x:v>
      </x:c>
      <x:c r="E2388" s="66" t="str">
        <x:v>13621045</x:v>
      </x:c>
      <x:c r="F2388" s="66" t="str">
        <x:v>PENDIDIKAN SOSIOLOGI</x:v>
      </x:c>
      <x:c r="G2388" s="66" t="str">
        <x:v>Sarjana</x:v>
      </x:c>
      <x:c r="H2388" s="87" t="n">
        <x:v>16</x:v>
      </x:c>
      <x:c r="I2388" s="87" t="n">
        <x:v>246</x:v>
      </x:c>
      <x:c r="J2388" s="68" t="n">
        <x:f>IFERROR(H2388/I2388,"")</x:f>
        <x:v>0.06504065040650407</x:v>
      </x:c>
      <x:c r="K2388" s="69" t="n">
        <x:f>IFERROR(I2388/H2388,"")</x:f>
        <x:v>15.375</x:v>
      </x:c>
      <x:c r="L2388" s="66" t="str">
        <x:f>IF(K2388="","","1 : "&amp;TEXT(K2388,"0.0"))</x:f>
        <x:v>1 : 15.4</x:v>
      </x:c>
      <x:c r="M2388" s="66" t="str">
        <x:f>IF(J2388="","Baru/Tanpa Data",IF(J2388&lt;='Catatan &amp; Sumber'!$B$14,"Sangat Ketat",IF(J2388&lt;='Catatan &amp; Sumber'!$B$15,"Ketat",IF(J2388&lt;='Catatan &amp; Sumber'!$B$16,"Sedang","Relatif Longgar"))))</x:f>
        <x:v>Sedang</x:v>
      </x:c>
      <x:c r="N2388" s="66" t="str">
        <x:v>Tidak Ada</x:v>
      </x:c>
      <x:c r="O2388" s="66" t="str">
        <x:v>Yogyakarta</x:v>
      </x:c>
      <x:c r="P2388" s="66" t="str">
        <x:v>Kabupaten Sleman</x:v>
      </x:c>
      <x:c r="Q2388" s="66" t="str">
        <x:v>https://snpmb.id/snbp/daya-tampung-snbp</x:v>
      </x:c>
      <x:c r="R2388" s="66" t="str">
        <x:v>https://sidatagrun-public-1076756628210.asia-southeast2.run.app/ptn_sn.php?ptn=362</x:v>
      </x:c>
    </x:row>
    <x:row r="2389">
      <x:c r="A2389" s="87" t="n">
        <x:v>1691</x:v>
      </x:c>
      <x:c r="B2389" s="66" t="n">
        <x:v>362</x:v>
      </x:c>
      <x:c r="C2389" s="66" t="str">
        <x:v>UNIVERSITAS NEGERI YOGYAKARTA</x:v>
      </x:c>
      <x:c r="D2389" s="66" t="str">
        <x:v>PTN Akademik</x:v>
      </x:c>
      <x:c r="E2389" s="66" t="str">
        <x:v>13621046</x:v>
      </x:c>
      <x:c r="F2389" s="66" t="str">
        <x:v>PENDIDIKAN IPS</x:v>
      </x:c>
      <x:c r="G2389" s="66" t="str">
        <x:v>Sarjana</x:v>
      </x:c>
      <x:c r="H2389" s="87" t="n">
        <x:v>22</x:v>
      </x:c>
      <x:c r="I2389" s="87" t="n">
        <x:v>178</x:v>
      </x:c>
      <x:c r="J2389" s="68" t="n">
        <x:f>IFERROR(H2389/I2389,"")</x:f>
        <x:v>0.12359550561797752</x:v>
      </x:c>
      <x:c r="K2389" s="69" t="n">
        <x:f>IFERROR(I2389/H2389,"")</x:f>
        <x:v>8.090909090909092</x:v>
      </x:c>
      <x:c r="L2389" s="66" t="str">
        <x:f>IF(K2389="","","1 : "&amp;TEXT(K2389,"0.0"))</x:f>
        <x:v>1 : 8.1</x:v>
      </x:c>
      <x:c r="M2389" s="66" t="str">
        <x:f>IF(J2389="","Baru/Tanpa Data",IF(J2389&lt;='Catatan &amp; Sumber'!$B$14,"Sangat Ketat",IF(J2389&lt;='Catatan &amp; Sumber'!$B$15,"Ketat",IF(J2389&lt;='Catatan &amp; Sumber'!$B$16,"Sedang","Relatif Longgar"))))</x:f>
        <x:v>Relatif Longgar</x:v>
      </x:c>
      <x:c r="N2389" s="66" t="str">
        <x:v>Tidak Ada</x:v>
      </x:c>
      <x:c r="O2389" s="66" t="str">
        <x:v>Yogyakarta</x:v>
      </x:c>
      <x:c r="P2389" s="66" t="str">
        <x:v>Kabupaten Sleman</x:v>
      </x:c>
      <x:c r="Q2389" s="66" t="str">
        <x:v>https://snpmb.id/snbp/daya-tampung-snbp</x:v>
      </x:c>
      <x:c r="R2389" s="66" t="str">
        <x:v>https://sidatagrun-public-1076756628210.asia-southeast2.run.app/ptn_sn.php?ptn=362</x:v>
      </x:c>
    </x:row>
    <x:row r="2390">
      <x:c r="A2390" s="87" t="n">
        <x:v>170</x:v>
      </x:c>
      <x:c r="B2390" s="66" t="n">
        <x:v>362</x:v>
      </x:c>
      <x:c r="C2390" s="66" t="str">
        <x:v>UNIVERSITAS NEGERI YOGYAKARTA</x:v>
      </x:c>
      <x:c r="D2390" s="66" t="str">
        <x:v>PTN Akademik</x:v>
      </x:c>
      <x:c r="E2390" s="66" t="str">
        <x:v>13621047</x:v>
      </x:c>
      <x:c r="F2390" s="66" t="str">
        <x:v>ADMINISTRASI PUBLIK</x:v>
      </x:c>
      <x:c r="G2390" s="66" t="str">
        <x:v>Sarjana</x:v>
      </x:c>
      <x:c r="H2390" s="87" t="n">
        <x:v>33</x:v>
      </x:c>
      <x:c r="I2390" s="87" t="n">
        <x:v>943</x:v>
      </x:c>
      <x:c r="J2390" s="68" t="n">
        <x:f>IFERROR(H2390/I2390,"")</x:f>
        <x:v>0.03499469777306469</x:v>
      </x:c>
      <x:c r="K2390" s="69" t="n">
        <x:f>IFERROR(I2390/H2390,"")</x:f>
        <x:v>28.575757575757574</x:v>
      </x:c>
      <x:c r="L2390" s="66" t="str">
        <x:f>IF(K2390="","","1 : "&amp;TEXT(K2390,"0.0"))</x:f>
        <x:v>1 : 28.6</x:v>
      </x:c>
      <x:c r="M2390" s="66" t="str">
        <x:f>IF(J2390="","Baru/Tanpa Data",IF(J2390&lt;='Catatan &amp; Sumber'!$B$14,"Sangat Ketat",IF(J2390&lt;='Catatan &amp; Sumber'!$B$15,"Ketat",IF(J2390&lt;='Catatan &amp; Sumber'!$B$16,"Sedang","Relatif Longgar"))))</x:f>
        <x:v>Ketat</x:v>
      </x:c>
      <x:c r="N2390" s="66" t="str">
        <x:v>Tidak Ada</x:v>
      </x:c>
      <x:c r="O2390" s="66" t="str">
        <x:v>Yogyakarta</x:v>
      </x:c>
      <x:c r="P2390" s="66" t="str">
        <x:v>Kabupaten Sleman</x:v>
      </x:c>
      <x:c r="Q2390" s="66" t="str">
        <x:v>https://snpmb.id/snbp/daya-tampung-snbp</x:v>
      </x:c>
      <x:c r="R2390" s="66" t="str">
        <x:v>https://sidatagrun-public-1076756628210.asia-southeast2.run.app/ptn_sn.php?ptn=362</x:v>
      </x:c>
    </x:row>
    <x:row r="2391">
      <x:c r="A2391" s="87" t="n">
        <x:v>1677</x:v>
      </x:c>
      <x:c r="B2391" s="66" t="n">
        <x:v>362</x:v>
      </x:c>
      <x:c r="C2391" s="66" t="str">
        <x:v>UNIVERSITAS NEGERI YOGYAKARTA</x:v>
      </x:c>
      <x:c r="D2391" s="66" t="str">
        <x:v>PTN Akademik</x:v>
      </x:c>
      <x:c r="E2391" s="66" t="str">
        <x:v>13621048</x:v>
      </x:c>
      <x:c r="F2391" s="66" t="str">
        <x:v>KEBIJAKAN PENDIDIKAN</x:v>
      </x:c>
      <x:c r="G2391" s="66" t="str">
        <x:v>Sarjana</x:v>
      </x:c>
      <x:c r="H2391" s="87" t="n">
        <x:v>16</x:v>
      </x:c>
      <x:c r="I2391" s="87" t="n">
        <x:v>131</x:v>
      </x:c>
      <x:c r="J2391" s="68" t="n">
        <x:f>IFERROR(H2391/I2391,"")</x:f>
        <x:v>0.12213740458015267</x:v>
      </x:c>
      <x:c r="K2391" s="69" t="n">
        <x:f>IFERROR(I2391/H2391,"")</x:f>
        <x:v>8.1875</x:v>
      </x:c>
      <x:c r="L2391" s="66" t="str">
        <x:f>IF(K2391="","","1 : "&amp;TEXT(K2391,"0.0"))</x:f>
        <x:v>1 : 8.2</x:v>
      </x:c>
      <x:c r="M2391" s="66" t="str">
        <x:f>IF(J2391="","Baru/Tanpa Data",IF(J2391&lt;='Catatan &amp; Sumber'!$B$14,"Sangat Ketat",IF(J2391&lt;='Catatan &amp; Sumber'!$B$15,"Ketat",IF(J2391&lt;='Catatan &amp; Sumber'!$B$16,"Sedang","Relatif Longgar"))))</x:f>
        <x:v>Relatif Longgar</x:v>
      </x:c>
      <x:c r="N2391" s="66" t="str">
        <x:v>Tidak Ada</x:v>
      </x:c>
      <x:c r="O2391" s="66" t="str">
        <x:v>Yogyakarta</x:v>
      </x:c>
      <x:c r="P2391" s="66" t="str">
        <x:v>Kabupaten Sleman</x:v>
      </x:c>
      <x:c r="Q2391" s="66" t="str">
        <x:v>https://snpmb.id/snbp/daya-tampung-snbp</x:v>
      </x:c>
      <x:c r="R2391" s="66" t="str">
        <x:v>https://sidatagrun-public-1076756628210.asia-southeast2.run.app/ptn_sn.php?ptn=362</x:v>
      </x:c>
    </x:row>
    <x:row r="2392">
      <x:c r="A2392" s="87" t="n">
        <x:v>197</x:v>
      </x:c>
      <x:c r="B2392" s="66" t="n">
        <x:v>362</x:v>
      </x:c>
      <x:c r="C2392" s="66" t="str">
        <x:v>UNIVERSITAS NEGERI YOGYAKARTA</x:v>
      </x:c>
      <x:c r="D2392" s="66" t="str">
        <x:v>PTN Akademik</x:v>
      </x:c>
      <x:c r="E2392" s="66" t="str">
        <x:v>13621049</x:v>
      </x:c>
      <x:c r="F2392" s="66" t="str">
        <x:v>PENDIDIKAN GURU SEKOLAH DASAR</x:v>
      </x:c>
      <x:c r="G2392" s="66" t="str">
        <x:v>Sarjana</x:v>
      </x:c>
      <x:c r="H2392" s="87" t="n">
        <x:v>51</x:v>
      </x:c>
      <x:c r="I2392" s="87" t="n">
        <x:v>1386</x:v>
      </x:c>
      <x:c r="J2392" s="68" t="n">
        <x:f>IFERROR(H2392/I2392,"")</x:f>
        <x:v>0.0367965367965368</x:v>
      </x:c>
      <x:c r="K2392" s="69" t="n">
        <x:f>IFERROR(I2392/H2392,"")</x:f>
        <x:v>27.176470588235293</x:v>
      </x:c>
      <x:c r="L2392" s="66" t="str">
        <x:f>IF(K2392="","","1 : "&amp;TEXT(K2392,"0.0"))</x:f>
        <x:v>1 : 27.2</x:v>
      </x:c>
      <x:c r="M2392" s="66" t="str">
        <x:f>IF(J2392="","Baru/Tanpa Data",IF(J2392&lt;='Catatan &amp; Sumber'!$B$14,"Sangat Ketat",IF(J2392&lt;='Catatan &amp; Sumber'!$B$15,"Ketat",IF(J2392&lt;='Catatan &amp; Sumber'!$B$16,"Sedang","Relatif Longgar"))))</x:f>
        <x:v>Ketat</x:v>
      </x:c>
      <x:c r="N2392" s="66" t="str">
        <x:v>Tidak Ada</x:v>
      </x:c>
      <x:c r="O2392" s="66" t="str">
        <x:v>Yogyakarta</x:v>
      </x:c>
      <x:c r="P2392" s="66" t="str">
        <x:v>Kabupaten Sleman</x:v>
      </x:c>
      <x:c r="Q2392" s="66" t="str">
        <x:v>https://snpmb.id/snbp/daya-tampung-snbp</x:v>
      </x:c>
      <x:c r="R2392" s="66" t="str">
        <x:v>https://sidatagrun-public-1076756628210.asia-southeast2.run.app/ptn_sn.php?ptn=362</x:v>
      </x:c>
    </x:row>
    <x:row r="2393">
      <x:c r="A2393" s="87" t="n">
        <x:v>1450</x:v>
      </x:c>
      <x:c r="B2393" s="66" t="n">
        <x:v>362</x:v>
      </x:c>
      <x:c r="C2393" s="66" t="str">
        <x:v>UNIVERSITAS NEGERI YOGYAKARTA</x:v>
      </x:c>
      <x:c r="D2393" s="66" t="str">
        <x:v>PTN Akademik</x:v>
      </x:c>
      <x:c r="E2393" s="66" t="str">
        <x:v>13621050</x:v>
      </x:c>
      <x:c r="F2393" s="66" t="str">
        <x:v>PENDIDIKAN GURU PAUD</x:v>
      </x:c>
      <x:c r="G2393" s="66" t="str">
        <x:v>Sarjana</x:v>
      </x:c>
      <x:c r="H2393" s="87" t="n">
        <x:v>16</x:v>
      </x:c>
      <x:c r="I2393" s="87" t="n">
        <x:v>151</x:v>
      </x:c>
      <x:c r="J2393" s="68" t="n">
        <x:f>IFERROR(H2393/I2393,"")</x:f>
        <x:v>0.10596026490066225</x:v>
      </x:c>
      <x:c r="K2393" s="69" t="n">
        <x:f>IFERROR(I2393/H2393,"")</x:f>
        <x:v>9.4375</x:v>
      </x:c>
      <x:c r="L2393" s="66" t="str">
        <x:f>IF(K2393="","","1 : "&amp;TEXT(K2393,"0.0"))</x:f>
        <x:v>1 : 9.4</x:v>
      </x:c>
      <x:c r="M2393" s="66" t="str">
        <x:f>IF(J2393="","Baru/Tanpa Data",IF(J2393&lt;='Catatan &amp; Sumber'!$B$14,"Sangat Ketat",IF(J2393&lt;='Catatan &amp; Sumber'!$B$15,"Ketat",IF(J2393&lt;='Catatan &amp; Sumber'!$B$16,"Sedang","Relatif Longgar"))))</x:f>
        <x:v>Relatif Longgar</x:v>
      </x:c>
      <x:c r="N2393" s="66" t="str">
        <x:v>Tidak Ada</x:v>
      </x:c>
      <x:c r="O2393" s="66" t="str">
        <x:v>Yogyakarta</x:v>
      </x:c>
      <x:c r="P2393" s="66" t="str">
        <x:v>Kabupaten Sleman</x:v>
      </x:c>
      <x:c r="Q2393" s="66" t="str">
        <x:v>https://snpmb.id/snbp/daya-tampung-snbp</x:v>
      </x:c>
      <x:c r="R2393" s="66" t="str">
        <x:v>https://sidatagrun-public-1076756628210.asia-southeast2.run.app/ptn_sn.php?ptn=362</x:v>
      </x:c>
    </x:row>
    <x:row r="2394">
      <x:c r="A2394" s="87" t="n">
        <x:v>1078</x:v>
      </x:c>
      <x:c r="B2394" s="66" t="n">
        <x:v>362</x:v>
      </x:c>
      <x:c r="C2394" s="66" t="str">
        <x:v>UNIVERSITAS NEGERI YOGYAKARTA</x:v>
      </x:c>
      <x:c r="D2394" s="66" t="str">
        <x:v>PTN Akademik</x:v>
      </x:c>
      <x:c r="E2394" s="66" t="str">
        <x:v>13621052</x:v>
      </x:c>
      <x:c r="F2394" s="66" t="str">
        <x:v>PENDIDIKAN BAHASA INGGRIS</x:v>
      </x:c>
      <x:c r="G2394" s="66" t="str">
        <x:v>Sarjana</x:v>
      </x:c>
      <x:c r="H2394" s="87" t="n">
        <x:v>51</x:v>
      </x:c>
      <x:c r="I2394" s="87" t="n">
        <x:v>621</x:v>
      </x:c>
      <x:c r="J2394" s="68" t="n">
        <x:f>IFERROR(H2394/I2394,"")</x:f>
        <x:v>0.0821256038647343</x:v>
      </x:c>
      <x:c r="K2394" s="69" t="n">
        <x:f>IFERROR(I2394/H2394,"")</x:f>
        <x:v>12.176470588235293</x:v>
      </x:c>
      <x:c r="L2394" s="66" t="str">
        <x:f>IF(K2394="","","1 : "&amp;TEXT(K2394,"0.0"))</x:f>
        <x:v>1 : 12.2</x:v>
      </x:c>
      <x:c r="M2394" s="66" t="str">
        <x:f>IF(J2394="","Baru/Tanpa Data",IF(J2394&lt;='Catatan &amp; Sumber'!$B$14,"Sangat Ketat",IF(J2394&lt;='Catatan &amp; Sumber'!$B$15,"Ketat",IF(J2394&lt;='Catatan &amp; Sumber'!$B$16,"Sedang","Relatif Longgar"))))</x:f>
        <x:v>Sedang</x:v>
      </x:c>
      <x:c r="N2394" s="66" t="str">
        <x:v>Tidak Ada</x:v>
      </x:c>
      <x:c r="O2394" s="66" t="str">
        <x:v>Yogyakarta</x:v>
      </x:c>
      <x:c r="P2394" s="66" t="str">
        <x:v>Kabupaten Sleman</x:v>
      </x:c>
      <x:c r="Q2394" s="66" t="str">
        <x:v>https://snpmb.id/snbp/daya-tampung-snbp</x:v>
      </x:c>
      <x:c r="R2394" s="66" t="str">
        <x:v>https://sidatagrun-public-1076756628210.asia-southeast2.run.app/ptn_sn.php?ptn=362</x:v>
      </x:c>
    </x:row>
    <x:row r="2395">
      <x:c r="A2395" s="87" t="n">
        <x:v>3097</x:v>
      </x:c>
      <x:c r="B2395" s="66" t="n">
        <x:v>362</x:v>
      </x:c>
      <x:c r="C2395" s="66" t="str">
        <x:v>UNIVERSITAS NEGERI YOGYAKARTA</x:v>
      </x:c>
      <x:c r="D2395" s="66" t="str">
        <x:v>PTN Akademik</x:v>
      </x:c>
      <x:c r="E2395" s="66" t="str">
        <x:v>13621053</x:v>
      </x:c>
      <x:c r="F2395" s="66" t="str">
        <x:v>PENDIDIKAN BAHASA JERMAN</x:v>
      </x:c>
      <x:c r="G2395" s="66" t="str">
        <x:v>Sarjana</x:v>
      </x:c>
      <x:c r="H2395" s="87" t="n">
        <x:v>24</x:v>
      </x:c>
      <x:c r="I2395" s="87" t="n">
        <x:v>76</x:v>
      </x:c>
      <x:c r="J2395" s="68" t="n">
        <x:f>IFERROR(H2395/I2395,"")</x:f>
        <x:v>0.3157894736842105</x:v>
      </x:c>
      <x:c r="K2395" s="69" t="n">
        <x:f>IFERROR(I2395/H2395,"")</x:f>
        <x:v>3.1666666666666665</x:v>
      </x:c>
      <x:c r="L2395" s="66" t="str">
        <x:f>IF(K2395="","","1 : "&amp;TEXT(K2395,"0.0"))</x:f>
        <x:v>1 : 3.2</x:v>
      </x:c>
      <x:c r="M2395" s="66" t="str">
        <x:f>IF(J2395="","Baru/Tanpa Data",IF(J2395&lt;='Catatan &amp; Sumber'!$B$14,"Sangat Ketat",IF(J2395&lt;='Catatan &amp; Sumber'!$B$15,"Ketat",IF(J2395&lt;='Catatan &amp; Sumber'!$B$16,"Sedang","Relatif Longgar"))))</x:f>
        <x:v>Relatif Longgar</x:v>
      </x:c>
      <x:c r="N2395" s="66" t="str">
        <x:v>Tidak Ada</x:v>
      </x:c>
      <x:c r="O2395" s="66" t="str">
        <x:v>Yogyakarta</x:v>
      </x:c>
      <x:c r="P2395" s="66" t="str">
        <x:v>Kabupaten Sleman</x:v>
      </x:c>
      <x:c r="Q2395" s="66" t="str">
        <x:v>https://snpmb.id/snbp/daya-tampung-snbp</x:v>
      </x:c>
      <x:c r="R2395" s="66" t="str">
        <x:v>https://sidatagrun-public-1076756628210.asia-southeast2.run.app/ptn_sn.php?ptn=362</x:v>
      </x:c>
    </x:row>
    <x:row r="2396">
      <x:c r="A2396" s="87" t="n">
        <x:v>3508</x:v>
      </x:c>
      <x:c r="B2396" s="66" t="n">
        <x:v>362</x:v>
      </x:c>
      <x:c r="C2396" s="66" t="str">
        <x:v>UNIVERSITAS NEGERI YOGYAKARTA</x:v>
      </x:c>
      <x:c r="D2396" s="66" t="str">
        <x:v>PTN Akademik</x:v>
      </x:c>
      <x:c r="E2396" s="66" t="str">
        <x:v>13621054</x:v>
      </x:c>
      <x:c r="F2396" s="66" t="str">
        <x:v>PENDIDIKAN BAHASA PRANCIS</x:v>
      </x:c>
      <x:c r="G2396" s="66" t="str">
        <x:v>Sarjana</x:v>
      </x:c>
      <x:c r="H2396" s="87" t="n">
        <x:v>24</x:v>
      </x:c>
      <x:c r="I2396" s="87" t="n">
        <x:v>55</x:v>
      </x:c>
      <x:c r="J2396" s="68" t="n">
        <x:f>IFERROR(H2396/I2396,"")</x:f>
        <x:v>0.43636363636363634</x:v>
      </x:c>
      <x:c r="K2396" s="69" t="n">
        <x:f>IFERROR(I2396/H2396,"")</x:f>
        <x:v>2.2916666666666665</x:v>
      </x:c>
      <x:c r="L2396" s="66" t="str">
        <x:f>IF(K2396="","","1 : "&amp;TEXT(K2396,"0.0"))</x:f>
        <x:v>1 : 2.3</x:v>
      </x:c>
      <x:c r="M2396" s="66" t="str">
        <x:f>IF(J2396="","Baru/Tanpa Data",IF(J2396&lt;='Catatan &amp; Sumber'!$B$14,"Sangat Ketat",IF(J2396&lt;='Catatan &amp; Sumber'!$B$15,"Ketat",IF(J2396&lt;='Catatan &amp; Sumber'!$B$16,"Sedang","Relatif Longgar"))))</x:f>
        <x:v>Relatif Longgar</x:v>
      </x:c>
      <x:c r="N2396" s="66" t="str">
        <x:v>Tidak Ada</x:v>
      </x:c>
      <x:c r="O2396" s="66" t="str">
        <x:v>Yogyakarta</x:v>
      </x:c>
      <x:c r="P2396" s="66" t="str">
        <x:v>Kabupaten Sleman</x:v>
      </x:c>
      <x:c r="Q2396" s="66" t="str">
        <x:v>https://snpmb.id/snbp/daya-tampung-snbp</x:v>
      </x:c>
      <x:c r="R2396" s="66" t="str">
        <x:v>https://sidatagrun-public-1076756628210.asia-southeast2.run.app/ptn_sn.php?ptn=362</x:v>
      </x:c>
    </x:row>
    <x:row r="2397">
      <x:c r="A2397" s="87" t="n">
        <x:v>2604</x:v>
      </x:c>
      <x:c r="B2397" s="66" t="n">
        <x:v>362</x:v>
      </x:c>
      <x:c r="C2397" s="66" t="str">
        <x:v>UNIVERSITAS NEGERI YOGYAKARTA</x:v>
      </x:c>
      <x:c r="D2397" s="66" t="str">
        <x:v>PTN Akademik</x:v>
      </x:c>
      <x:c r="E2397" s="66" t="str">
        <x:v>13621055</x:v>
      </x:c>
      <x:c r="F2397" s="66" t="str">
        <x:v>PENDIDIKAN SENI RUPA</x:v>
      </x:c>
      <x:c r="G2397" s="66" t="str">
        <x:v>Sarjana</x:v>
      </x:c>
      <x:c r="H2397" s="87" t="n">
        <x:v>24</x:v>
      </x:c>
      <x:c r="I2397" s="87" t="n">
        <x:v>105</x:v>
      </x:c>
      <x:c r="J2397" s="68" t="n">
        <x:f>IFERROR(H2397/I2397,"")</x:f>
        <x:v>0.22857142857142856</x:v>
      </x:c>
      <x:c r="K2397" s="69" t="n">
        <x:f>IFERROR(I2397/H2397,"")</x:f>
        <x:v>4.375</x:v>
      </x:c>
      <x:c r="L2397" s="66" t="str">
        <x:f>IF(K2397="","","1 : "&amp;TEXT(K2397,"0.0"))</x:f>
        <x:v>1 : 4.4</x:v>
      </x:c>
      <x:c r="M2397" s="66" t="str">
        <x:f>IF(J2397="","Baru/Tanpa Data",IF(J2397&lt;='Catatan &amp; Sumber'!$B$14,"Sangat Ketat",IF(J2397&lt;='Catatan &amp; Sumber'!$B$15,"Ketat",IF(J2397&lt;='Catatan &amp; Sumber'!$B$16,"Sedang","Relatif Longgar"))))</x:f>
        <x:v>Relatif Longgar</x:v>
      </x:c>
      <x:c r="N2397" s="66" t="str">
        <x:v>Seni Rupa, Desain, dan Kriya</x:v>
      </x:c>
      <x:c r="O2397" s="66" t="str">
        <x:v>Yogyakarta</x:v>
      </x:c>
      <x:c r="P2397" s="66" t="str">
        <x:v>Kabupaten Sleman</x:v>
      </x:c>
      <x:c r="Q2397" s="66" t="str">
        <x:v>https://snpmb.id/snbp/daya-tampung-snbp</x:v>
      </x:c>
      <x:c r="R2397" s="66" t="str">
        <x:v>https://sidatagrun-public-1076756628210.asia-southeast2.run.app/ptn_sn.php?ptn=362</x:v>
      </x:c>
    </x:row>
    <x:row r="2398">
      <x:c r="A2398" s="87" t="n">
        <x:v>1361</x:v>
      </x:c>
      <x:c r="B2398" s="66" t="n">
        <x:v>362</x:v>
      </x:c>
      <x:c r="C2398" s="66" t="str">
        <x:v>UNIVERSITAS NEGERI YOGYAKARTA</x:v>
      </x:c>
      <x:c r="D2398" s="66" t="str">
        <x:v>PTN Akademik</x:v>
      </x:c>
      <x:c r="E2398" s="66" t="str">
        <x:v>13621056</x:v>
      </x:c>
      <x:c r="F2398" s="66" t="str">
        <x:v>SASTRA INDONESIA</x:v>
      </x:c>
      <x:c r="G2398" s="66" t="str">
        <x:v>Sarjana</x:v>
      </x:c>
      <x:c r="H2398" s="87" t="n">
        <x:v>24</x:v>
      </x:c>
      <x:c r="I2398" s="87" t="n">
        <x:v>242</x:v>
      </x:c>
      <x:c r="J2398" s="68" t="n">
        <x:f>IFERROR(H2398/I2398,"")</x:f>
        <x:v>0.09917355371900827</x:v>
      </x:c>
      <x:c r="K2398" s="69" t="n">
        <x:f>IFERROR(I2398/H2398,"")</x:f>
        <x:v>10.083333333333334</x:v>
      </x:c>
      <x:c r="L2398" s="66" t="str">
        <x:f>IF(K2398="","","1 : "&amp;TEXT(K2398,"0.0"))</x:f>
        <x:v>1 : 10.1</x:v>
      </x:c>
      <x:c r="M2398" s="66" t="str">
        <x:f>IF(J2398="","Baru/Tanpa Data",IF(J2398&lt;='Catatan &amp; Sumber'!$B$14,"Sangat Ketat",IF(J2398&lt;='Catatan &amp; Sumber'!$B$15,"Ketat",IF(J2398&lt;='Catatan &amp; Sumber'!$B$16,"Sedang","Relatif Longgar"))))</x:f>
        <x:v>Sedang</x:v>
      </x:c>
      <x:c r="N2398" s="66" t="str">
        <x:v>Tidak Ada</x:v>
      </x:c>
      <x:c r="O2398" s="66" t="str">
        <x:v>Yogyakarta</x:v>
      </x:c>
      <x:c r="P2398" s="66" t="str">
        <x:v>Kabupaten Sleman</x:v>
      </x:c>
      <x:c r="Q2398" s="66" t="str">
        <x:v>https://snpmb.id/snbp/daya-tampung-snbp</x:v>
      </x:c>
      <x:c r="R2398" s="66" t="str">
        <x:v>https://sidatagrun-public-1076756628210.asia-southeast2.run.app/ptn_sn.php?ptn=362</x:v>
      </x:c>
    </x:row>
    <x:row r="2399">
      <x:c r="A2399" s="87" t="n">
        <x:v>568</x:v>
      </x:c>
      <x:c r="B2399" s="66" t="n">
        <x:v>362</x:v>
      </x:c>
      <x:c r="C2399" s="66" t="str">
        <x:v>UNIVERSITAS NEGERI YOGYAKARTA</x:v>
      </x:c>
      <x:c r="D2399" s="66" t="str">
        <x:v>PTN Akademik</x:v>
      </x:c>
      <x:c r="E2399" s="66" t="str">
        <x:v>13621057</x:v>
      </x:c>
      <x:c r="F2399" s="66" t="str">
        <x:v>SASTRA INGGRIS</x:v>
      </x:c>
      <x:c r="G2399" s="66" t="str">
        <x:v>Sarjana</x:v>
      </x:c>
      <x:c r="H2399" s="87" t="n">
        <x:v>24</x:v>
      </x:c>
      <x:c r="I2399" s="87" t="n">
        <x:v>435</x:v>
      </x:c>
      <x:c r="J2399" s="68" t="n">
        <x:f>IFERROR(H2399/I2399,"")</x:f>
        <x:v>0.05517241379310345</x:v>
      </x:c>
      <x:c r="K2399" s="69" t="n">
        <x:f>IFERROR(I2399/H2399,"")</x:f>
        <x:v>18.125</x:v>
      </x:c>
      <x:c r="L2399" s="66" t="str">
        <x:f>IF(K2399="","","1 : "&amp;TEXT(K2399,"0.0"))</x:f>
        <x:v>1 : 18.1</x:v>
      </x:c>
      <x:c r="M2399" s="66" t="str">
        <x:f>IF(J2399="","Baru/Tanpa Data",IF(J2399&lt;='Catatan &amp; Sumber'!$B$14,"Sangat Ketat",IF(J2399&lt;='Catatan &amp; Sumber'!$B$15,"Ketat",IF(J2399&lt;='Catatan &amp; Sumber'!$B$16,"Sedang","Relatif Longgar"))))</x:f>
        <x:v>Sedang</x:v>
      </x:c>
      <x:c r="N2399" s="66" t="str">
        <x:v>Tidak Ada</x:v>
      </x:c>
      <x:c r="O2399" s="66" t="str">
        <x:v>Yogyakarta</x:v>
      </x:c>
      <x:c r="P2399" s="66" t="str">
        <x:v>Kabupaten Sleman</x:v>
      </x:c>
      <x:c r="Q2399" s="66" t="str">
        <x:v>https://snpmb.id/snbp/daya-tampung-snbp</x:v>
      </x:c>
      <x:c r="R2399" s="66" t="str">
        <x:v>https://sidatagrun-public-1076756628210.asia-southeast2.run.app/ptn_sn.php?ptn=362</x:v>
      </x:c>
    </x:row>
    <x:row r="2400">
      <x:c r="A2400" s="87" t="n">
        <x:v>2019</x:v>
      </x:c>
      <x:c r="B2400" s="66" t="n">
        <x:v>362</x:v>
      </x:c>
      <x:c r="C2400" s="66" t="str">
        <x:v>UNIVERSITAS NEGERI YOGYAKARTA</x:v>
      </x:c>
      <x:c r="D2400" s="66" t="str">
        <x:v>PTN Akademik</x:v>
      </x:c>
      <x:c r="E2400" s="66" t="str">
        <x:v>13621058</x:v>
      </x:c>
      <x:c r="F2400" s="66" t="str">
        <x:v>PENDIDIKAN SENI TARI</x:v>
      </x:c>
      <x:c r="G2400" s="66" t="str">
        <x:v>Sarjana</x:v>
      </x:c>
      <x:c r="H2400" s="87" t="n">
        <x:v>24</x:v>
      </x:c>
      <x:c r="I2400" s="87" t="n">
        <x:v>156</x:v>
      </x:c>
      <x:c r="J2400" s="68" t="n">
        <x:f>IFERROR(H2400/I2400,"")</x:f>
        <x:v>0.15384615384615385</x:v>
      </x:c>
      <x:c r="K2400" s="69" t="n">
        <x:f>IFERROR(I2400/H2400,"")</x:f>
        <x:v>6.5</x:v>
      </x:c>
      <x:c r="L2400" s="66" t="str">
        <x:f>IF(K2400="","","1 : "&amp;TEXT(K2400,"0.0"))</x:f>
        <x:v>1 : 6.5</x:v>
      </x:c>
      <x:c r="M2400" s="66" t="str">
        <x:f>IF(J2400="","Baru/Tanpa Data",IF(J2400&lt;='Catatan &amp; Sumber'!$B$14,"Sangat Ketat",IF(J2400&lt;='Catatan &amp; Sumber'!$B$15,"Ketat",IF(J2400&lt;='Catatan &amp; Sumber'!$B$16,"Sedang","Relatif Longgar"))))</x:f>
        <x:v>Relatif Longgar</x:v>
      </x:c>
      <x:c r="N2400" s="66" t="str">
        <x:v>Tari</x:v>
      </x:c>
      <x:c r="O2400" s="66" t="str">
        <x:v>Yogyakarta</x:v>
      </x:c>
      <x:c r="P2400" s="66" t="str">
        <x:v>Kabupaten Sleman</x:v>
      </x:c>
      <x:c r="Q2400" s="66" t="str">
        <x:v>https://snpmb.id/snbp/daya-tampung-snbp</x:v>
      </x:c>
      <x:c r="R2400" s="66" t="str">
        <x:v>https://sidatagrun-public-1076756628210.asia-southeast2.run.app/ptn_sn.php?ptn=362</x:v>
      </x:c>
    </x:row>
    <x:row r="2401">
      <x:c r="A2401" s="87" t="n">
        <x:v>2604</x:v>
      </x:c>
      <x:c r="B2401" s="66" t="n">
        <x:v>362</x:v>
      </x:c>
      <x:c r="C2401" s="66" t="str">
        <x:v>UNIVERSITAS NEGERI YOGYAKARTA</x:v>
      </x:c>
      <x:c r="D2401" s="66" t="str">
        <x:v>PTN Akademik</x:v>
      </x:c>
      <x:c r="E2401" s="66" t="str">
        <x:v>13621059</x:v>
      </x:c>
      <x:c r="F2401" s="66" t="str">
        <x:v>PENDIDIKAN SENI MUSIK</x:v>
      </x:c>
      <x:c r="G2401" s="66" t="str">
        <x:v>Sarjana</x:v>
      </x:c>
      <x:c r="H2401" s="87" t="n">
        <x:v>24</x:v>
      </x:c>
      <x:c r="I2401" s="87" t="n">
        <x:v>105</x:v>
      </x:c>
      <x:c r="J2401" s="68" t="n">
        <x:f>IFERROR(H2401/I2401,"")</x:f>
        <x:v>0.22857142857142856</x:v>
      </x:c>
      <x:c r="K2401" s="69" t="n">
        <x:f>IFERROR(I2401/H2401,"")</x:f>
        <x:v>4.375</x:v>
      </x:c>
      <x:c r="L2401" s="66" t="str">
        <x:f>IF(K2401="","","1 : "&amp;TEXT(K2401,"0.0"))</x:f>
        <x:v>1 : 4.4</x:v>
      </x:c>
      <x:c r="M2401" s="66" t="str">
        <x:f>IF(J2401="","Baru/Tanpa Data",IF(J2401&lt;='Catatan &amp; Sumber'!$B$14,"Sangat Ketat",IF(J2401&lt;='Catatan &amp; Sumber'!$B$15,"Ketat",IF(J2401&lt;='Catatan &amp; Sumber'!$B$16,"Sedang","Relatif Longgar"))))</x:f>
        <x:v>Relatif Longgar</x:v>
      </x:c>
      <x:c r="N2401" s="66" t="str">
        <x:v>Musik</x:v>
      </x:c>
      <x:c r="O2401" s="66" t="str">
        <x:v>Yogyakarta</x:v>
      </x:c>
      <x:c r="P2401" s="66" t="str">
        <x:v>Kabupaten Sleman</x:v>
      </x:c>
      <x:c r="Q2401" s="66" t="str">
        <x:v>https://snpmb.id/snbp/daya-tampung-snbp</x:v>
      </x:c>
      <x:c r="R2401" s="66" t="str">
        <x:v>https://sidatagrun-public-1076756628210.asia-southeast2.run.app/ptn_sn.php?ptn=362</x:v>
      </x:c>
    </x:row>
    <x:row r="2402">
      <x:c r="A2402" s="87" t="n">
        <x:v>1036</x:v>
      </x:c>
      <x:c r="B2402" s="66" t="n">
        <x:v>362</x:v>
      </x:c>
      <x:c r="C2402" s="66" t="str">
        <x:v>UNIVERSITAS NEGERI YOGYAKARTA</x:v>
      </x:c>
      <x:c r="D2402" s="66" t="str">
        <x:v>PTN Akademik</x:v>
      </x:c>
      <x:c r="E2402" s="66" t="str">
        <x:v>13621060</x:v>
      </x:c>
      <x:c r="F2402" s="66" t="str">
        <x:v>PENDIDIKAN BAHASA DAN SASTRA INDONESIA</x:v>
      </x:c>
      <x:c r="G2402" s="66" t="str">
        <x:v>Sarjana</x:v>
      </x:c>
      <x:c r="H2402" s="87" t="n">
        <x:v>47</x:v>
      </x:c>
      <x:c r="I2402" s="87" t="n">
        <x:v>586</x:v>
      </x:c>
      <x:c r="J2402" s="68" t="n">
        <x:f>IFERROR(H2402/I2402,"")</x:f>
        <x:v>0.08020477815699659</x:v>
      </x:c>
      <x:c r="K2402" s="69" t="n">
        <x:f>IFERROR(I2402/H2402,"")</x:f>
        <x:v>12.46808510638298</x:v>
      </x:c>
      <x:c r="L2402" s="66" t="str">
        <x:f>IF(K2402="","","1 : "&amp;TEXT(K2402,"0.0"))</x:f>
        <x:v>1 : 12.5</x:v>
      </x:c>
      <x:c r="M2402" s="66" t="str">
        <x:f>IF(J2402="","Baru/Tanpa Data",IF(J2402&lt;='Catatan &amp; Sumber'!$B$14,"Sangat Ketat",IF(J2402&lt;='Catatan &amp; Sumber'!$B$15,"Ketat",IF(J2402&lt;='Catatan &amp; Sumber'!$B$16,"Sedang","Relatif Longgar"))))</x:f>
        <x:v>Sedang</x:v>
      </x:c>
      <x:c r="N2402" s="66" t="str">
        <x:v>Tidak Ada</x:v>
      </x:c>
      <x:c r="O2402" s="66" t="str">
        <x:v>Yogyakarta</x:v>
      </x:c>
      <x:c r="P2402" s="66" t="str">
        <x:v>Kabupaten Sleman</x:v>
      </x:c>
      <x:c r="Q2402" s="66" t="str">
        <x:v>https://snpmb.id/snbp/daya-tampung-snbp</x:v>
      </x:c>
      <x:c r="R2402" s="66" t="str">
        <x:v>https://sidatagrun-public-1076756628210.asia-southeast2.run.app/ptn_sn.php?ptn=362</x:v>
      </x:c>
    </x:row>
    <x:row r="2403">
      <x:c r="A2403" s="87" t="n">
        <x:v>2667</x:v>
      </x:c>
      <x:c r="B2403" s="66" t="n">
        <x:v>362</x:v>
      </x:c>
      <x:c r="C2403" s="66" t="str">
        <x:v>UNIVERSITAS NEGERI YOGYAKARTA</x:v>
      </x:c>
      <x:c r="D2403" s="66" t="str">
        <x:v>PTN Akademik</x:v>
      </x:c>
      <x:c r="E2403" s="66" t="str">
        <x:v>13621061</x:v>
      </x:c>
      <x:c r="F2403" s="66" t="str">
        <x:v>PENDIDIKAN BAHASA JAWA</x:v>
      </x:c>
      <x:c r="G2403" s="66" t="str">
        <x:v>Sarjana</x:v>
      </x:c>
      <x:c r="H2403" s="87" t="n">
        <x:v>54</x:v>
      </x:c>
      <x:c r="I2403" s="87" t="n">
        <x:v>227</x:v>
      </x:c>
      <x:c r="J2403" s="68" t="n">
        <x:f>IFERROR(H2403/I2403,"")</x:f>
        <x:v>0.23788546255506607</x:v>
      </x:c>
      <x:c r="K2403" s="69" t="n">
        <x:f>IFERROR(I2403/H2403,"")</x:f>
        <x:v>4.203703703703703</x:v>
      </x:c>
      <x:c r="L2403" s="66" t="str">
        <x:f>IF(K2403="","","1 : "&amp;TEXT(K2403,"0.0"))</x:f>
        <x:v>1 : 4.2</x:v>
      </x:c>
      <x:c r="M2403" s="66" t="str">
        <x:f>IF(J2403="","Baru/Tanpa Data",IF(J2403&lt;='Catatan &amp; Sumber'!$B$14,"Sangat Ketat",IF(J2403&lt;='Catatan &amp; Sumber'!$B$15,"Ketat",IF(J2403&lt;='Catatan &amp; Sumber'!$B$16,"Sedang","Relatif Longgar"))))</x:f>
        <x:v>Relatif Longgar</x:v>
      </x:c>
      <x:c r="N2403" s="66" t="str">
        <x:v>Tidak Ada</x:v>
      </x:c>
      <x:c r="O2403" s="66" t="str">
        <x:v>Yogyakarta</x:v>
      </x:c>
      <x:c r="P2403" s="66" t="str">
        <x:v>Kabupaten Sleman</x:v>
      </x:c>
      <x:c r="Q2403" s="66" t="str">
        <x:v>https://snpmb.id/snbp/daya-tampung-snbp</x:v>
      </x:c>
      <x:c r="R2403" s="66" t="str">
        <x:v>https://sidatagrun-public-1076756628210.asia-southeast2.run.app/ptn_sn.php?ptn=362</x:v>
      </x:c>
    </x:row>
    <x:row r="2404">
      <x:c r="A2404" s="87" t="n">
        <x:v>192</x:v>
      </x:c>
      <x:c r="B2404" s="66" t="n">
        <x:v>362</x:v>
      </x:c>
      <x:c r="C2404" s="66" t="str">
        <x:v>UNIVERSITAS NEGERI YOGYAKARTA</x:v>
      </x:c>
      <x:c r="D2404" s="66" t="str">
        <x:v>PTN Akademik</x:v>
      </x:c>
      <x:c r="E2404" s="66" t="str">
        <x:v>13621062</x:v>
      </x:c>
      <x:c r="F2404" s="66" t="str">
        <x:v>ILMU KOMUNIKASI</x:v>
      </x:c>
      <x:c r="G2404" s="66" t="str">
        <x:v>Sarjana</x:v>
      </x:c>
      <x:c r="H2404" s="87" t="n">
        <x:v>39</x:v>
      </x:c>
      <x:c r="I2404" s="87" t="n">
        <x:v>1065</x:v>
      </x:c>
      <x:c r="J2404" s="68" t="n">
        <x:f>IFERROR(H2404/I2404,"")</x:f>
        <x:v>0.036619718309859155</x:v>
      </x:c>
      <x:c r="K2404" s="69" t="n">
        <x:f>IFERROR(I2404/H2404,"")</x:f>
        <x:v>27.307692307692307</x:v>
      </x:c>
      <x:c r="L2404" s="66" t="str">
        <x:f>IF(K2404="","","1 : "&amp;TEXT(K2404,"0.0"))</x:f>
        <x:v>1 : 27.3</x:v>
      </x:c>
      <x:c r="M2404" s="66" t="str">
        <x:f>IF(J2404="","Baru/Tanpa Data",IF(J2404&lt;='Catatan &amp; Sumber'!$B$14,"Sangat Ketat",IF(J2404&lt;='Catatan &amp; Sumber'!$B$15,"Ketat",IF(J2404&lt;='Catatan &amp; Sumber'!$B$16,"Sedang","Relatif Longgar"))))</x:f>
        <x:v>Ketat</x:v>
      </x:c>
      <x:c r="N2404" s="66" t="str">
        <x:v>Tidak Ada</x:v>
      </x:c>
      <x:c r="O2404" s="66" t="str">
        <x:v>Yogyakarta</x:v>
      </x:c>
      <x:c r="P2404" s="66" t="str">
        <x:v>Kabupaten Sleman</x:v>
      </x:c>
      <x:c r="Q2404" s="66" t="str">
        <x:v>https://snpmb.id/snbp/daya-tampung-snbp</x:v>
      </x:c>
      <x:c r="R2404" s="66" t="str">
        <x:v>https://sidatagrun-public-1076756628210.asia-southeast2.run.app/ptn_sn.php?ptn=362</x:v>
      </x:c>
    </x:row>
    <x:row r="2405">
      <x:c r="A2405" s="87" t="n">
        <x:v>169</x:v>
      </x:c>
      <x:c r="B2405" s="66" t="n">
        <x:v>362</x:v>
      </x:c>
      <x:c r="C2405" s="66" t="str">
        <x:v>UNIVERSITAS NEGERI YOGYAKARTA</x:v>
      </x:c>
      <x:c r="D2405" s="66" t="str">
        <x:v>PTN Akademik</x:v>
      </x:c>
      <x:c r="E2405" s="66" t="str">
        <x:v>13621063</x:v>
      </x:c>
      <x:c r="F2405" s="66" t="str">
        <x:v>PSIKOLOGI</x:v>
      </x:c>
      <x:c r="G2405" s="66" t="str">
        <x:v>Sarjana</x:v>
      </x:c>
      <x:c r="H2405" s="87" t="n">
        <x:v>47</x:v>
      </x:c>
      <x:c r="I2405" s="87" t="n">
        <x:v>1350</x:v>
      </x:c>
      <x:c r="J2405" s="68" t="n">
        <x:f>IFERROR(H2405/I2405,"")</x:f>
        <x:v>0.03481481481481481</x:v>
      </x:c>
      <x:c r="K2405" s="69" t="n">
        <x:f>IFERROR(I2405/H2405,"")</x:f>
        <x:v>28.72340425531915</x:v>
      </x:c>
      <x:c r="L2405" s="66" t="str">
        <x:f>IF(K2405="","","1 : "&amp;TEXT(K2405,"0.0"))</x:f>
        <x:v>1 : 28.7</x:v>
      </x:c>
      <x:c r="M2405" s="66" t="str">
        <x:f>IF(J2405="","Baru/Tanpa Data",IF(J2405&lt;='Catatan &amp; Sumber'!$B$14,"Sangat Ketat",IF(J2405&lt;='Catatan &amp; Sumber'!$B$15,"Ketat",IF(J2405&lt;='Catatan &amp; Sumber'!$B$16,"Sedang","Relatif Longgar"))))</x:f>
        <x:v>Ketat</x:v>
      </x:c>
      <x:c r="N2405" s="66" t="str">
        <x:v>Tidak Ada</x:v>
      </x:c>
      <x:c r="O2405" s="66" t="str">
        <x:v>Yogyakarta</x:v>
      </x:c>
      <x:c r="P2405" s="66" t="str">
        <x:v>Kabupaten Sleman</x:v>
      </x:c>
      <x:c r="Q2405" s="66" t="str">
        <x:v>https://snpmb.id/snbp/daya-tampung-snbp</x:v>
      </x:c>
      <x:c r="R2405" s="66" t="str">
        <x:v>https://sidatagrun-public-1076756628210.asia-southeast2.run.app/ptn_sn.php?ptn=362</x:v>
      </x:c>
    </x:row>
    <x:row r="2406">
      <x:c r="A2406" s="87" t="n">
        <x:v>164</x:v>
      </x:c>
      <x:c r="B2406" s="66" t="n">
        <x:v>362</x:v>
      </x:c>
      <x:c r="C2406" s="66" t="str">
        <x:v>UNIVERSITAS NEGERI YOGYAKARTA</x:v>
      </x:c>
      <x:c r="D2406" s="66" t="str">
        <x:v>PTN Akademik</x:v>
      </x:c>
      <x:c r="E2406" s="66" t="str">
        <x:v>13621075</x:v>
      </x:c>
      <x:c r="F2406" s="66" t="str">
        <x:v>ARSITEKTUR</x:v>
      </x:c>
      <x:c r="G2406" s="66" t="str">
        <x:v>Sarjana</x:v>
      </x:c>
      <x:c r="H2406" s="87" t="n">
        <x:v>8</x:v>
      </x:c>
      <x:c r="I2406" s="87" t="n">
        <x:v>232</x:v>
      </x:c>
      <x:c r="J2406" s="68" t="n">
        <x:f>IFERROR(H2406/I2406,"")</x:f>
        <x:v>0.034482758620689655</x:v>
      </x:c>
      <x:c r="K2406" s="69" t="n">
        <x:f>IFERROR(I2406/H2406,"")</x:f>
        <x:v>29</x:v>
      </x:c>
      <x:c r="L2406" s="66" t="str">
        <x:f>IF(K2406="","","1 : "&amp;TEXT(K2406,"0.0"))</x:f>
        <x:v>1 : 29.0</x:v>
      </x:c>
      <x:c r="M2406" s="66" t="str">
        <x:f>IF(J2406="","Baru/Tanpa Data",IF(J2406&lt;='Catatan &amp; Sumber'!$B$14,"Sangat Ketat",IF(J2406&lt;='Catatan &amp; Sumber'!$B$15,"Ketat",IF(J2406&lt;='Catatan &amp; Sumber'!$B$16,"Sedang","Relatif Longgar"))))</x:f>
        <x:v>Ketat</x:v>
      </x:c>
      <x:c r="N2406" s="66" t="str">
        <x:v>Tidak Ada</x:v>
      </x:c>
      <x:c r="O2406" s="66" t="str">
        <x:v>Yogyakarta</x:v>
      </x:c>
      <x:c r="P2406" s="66" t="str">
        <x:v>Kabupaten Sleman</x:v>
      </x:c>
      <x:c r="Q2406" s="66" t="str">
        <x:v>https://snpmb.id/snbp/daya-tampung-snbp</x:v>
      </x:c>
      <x:c r="R2406" s="66" t="str">
        <x:v>https://sidatagrun-public-1076756628210.asia-southeast2.run.app/ptn_sn.php?ptn=362</x:v>
      </x:c>
    </x:row>
    <x:row r="2407">
      <x:c r="A2407" s="87" t="n">
        <x:v>191</x:v>
      </x:c>
      <x:c r="B2407" s="66" t="n">
        <x:v>362</x:v>
      </x:c>
      <x:c r="C2407" s="66" t="str">
        <x:v>UNIVERSITAS NEGERI YOGYAKARTA</x:v>
      </x:c>
      <x:c r="D2407" s="66" t="str">
        <x:v>PTN Akademik</x:v>
      </x:c>
      <x:c r="E2407" s="66" t="str">
        <x:v>13621090</x:v>
      </x:c>
      <x:c r="F2407" s="66" t="str">
        <x:v>TEKNIK INDUSTRI</x:v>
      </x:c>
      <x:c r="G2407" s="66" t="str">
        <x:v>Sarjana</x:v>
      </x:c>
      <x:c r="H2407" s="87" t="n">
        <x:v>27</x:v>
      </x:c>
      <x:c r="I2407" s="87" t="n">
        <x:v>739</x:v>
      </x:c>
      <x:c r="J2407" s="68" t="n">
        <x:f>IFERROR(H2407/I2407,"")</x:f>
        <x:v>0.036535859269282815</x:v>
      </x:c>
      <x:c r="K2407" s="69" t="n">
        <x:f>IFERROR(I2407/H2407,"")</x:f>
        <x:v>27.37037037037037</x:v>
      </x:c>
      <x:c r="L2407" s="66" t="str">
        <x:f>IF(K2407="","","1 : "&amp;TEXT(K2407,"0.0"))</x:f>
        <x:v>1 : 27.4</x:v>
      </x:c>
      <x:c r="M2407" s="66" t="str">
        <x:f>IF(J2407="","Baru/Tanpa Data",IF(J2407&lt;='Catatan &amp; Sumber'!$B$14,"Sangat Ketat",IF(J2407&lt;='Catatan &amp; Sumber'!$B$15,"Ketat",IF(J2407&lt;='Catatan &amp; Sumber'!$B$16,"Sedang","Relatif Longgar"))))</x:f>
        <x:v>Ketat</x:v>
      </x:c>
      <x:c r="N2407" s="66" t="str">
        <x:v>Tidak Ada</x:v>
      </x:c>
      <x:c r="O2407" s="66" t="str">
        <x:v>Yogyakarta</x:v>
      </x:c>
      <x:c r="P2407" s="66" t="str">
        <x:v>Kabupaten Sleman</x:v>
      </x:c>
      <x:c r="Q2407" s="66" t="str">
        <x:v>https://snpmb.id/snbp/daya-tampung-snbp</x:v>
      </x:c>
      <x:c r="R2407" s="66" t="str">
        <x:v>https://sidatagrun-public-1076756628210.asia-southeast2.run.app/ptn_sn.php?ptn=362</x:v>
      </x:c>
    </x:row>
    <x:row r="2408">
      <x:c r="A2408" s="87" t="n">
        <x:v>105</x:v>
      </x:c>
      <x:c r="B2408" s="66" t="n">
        <x:v>362</x:v>
      </x:c>
      <x:c r="C2408" s="66" t="str">
        <x:v>UNIVERSITAS NEGERI YOGYAKARTA</x:v>
      </x:c>
      <x:c r="D2408" s="66" t="str">
        <x:v>PTN Akademik</x:v>
      </x:c>
      <x:c r="E2408" s="66" t="str">
        <x:v>13621091</x:v>
      </x:c>
      <x:c r="F2408" s="66" t="str">
        <x:v>PARIWISATA</x:v>
      </x:c>
      <x:c r="G2408" s="66" t="str">
        <x:v>Sarjana</x:v>
      </x:c>
      <x:c r="H2408" s="87" t="n">
        <x:v>24</x:v>
      </x:c>
      <x:c r="I2408" s="87" t="n">
        <x:v>826</x:v>
      </x:c>
      <x:c r="J2408" s="68" t="n">
        <x:f>IFERROR(H2408/I2408,"")</x:f>
        <x:v>0.029055690072639227</x:v>
      </x:c>
      <x:c r="K2408" s="69" t="n">
        <x:f>IFERROR(I2408/H2408,"")</x:f>
        <x:v>34.416666666666664</x:v>
      </x:c>
      <x:c r="L2408" s="66" t="str">
        <x:f>IF(K2408="","","1 : "&amp;TEXT(K2408,"0.0"))</x:f>
        <x:v>1 : 34.4</x:v>
      </x:c>
      <x:c r="M2408" s="66" t="str">
        <x:f>IF(J2408="","Baru/Tanpa Data",IF(J2408&lt;='Catatan &amp; Sumber'!$B$14,"Sangat Ketat",IF(J2408&lt;='Catatan &amp; Sumber'!$B$15,"Ketat",IF(J2408&lt;='Catatan &amp; Sumber'!$B$16,"Sedang","Relatif Longgar"))))</x:f>
        <x:v>Ketat</x:v>
      </x:c>
      <x:c r="N2408" s="66" t="str">
        <x:v>Tidak Ada</x:v>
      </x:c>
      <x:c r="O2408" s="66" t="str">
        <x:v>Yogyakarta</x:v>
      </x:c>
      <x:c r="P2408" s="66" t="str">
        <x:v>Kabupaten Sleman</x:v>
      </x:c>
      <x:c r="Q2408" s="66" t="str">
        <x:v>https://snpmb.id/snbp/daya-tampung-snbp</x:v>
      </x:c>
      <x:c r="R2408" s="66" t="str">
        <x:v>https://sidatagrun-public-1076756628210.asia-southeast2.run.app/ptn_sn.php?ptn=362</x:v>
      </x:c>
    </x:row>
    <x:row r="2409">
      <x:c r="A2409" s="87" t="n">
        <x:v>2066</x:v>
      </x:c>
      <x:c r="B2409" s="66" t="n">
        <x:v>362</x:v>
      </x:c>
      <x:c r="C2409" s="66" t="str">
        <x:v>UNIVERSITAS NEGERI YOGYAKARTA</x:v>
      </x:c>
      <x:c r="D2409" s="66" t="str">
        <x:v>PTN Akademik</x:v>
      </x:c>
      <x:c r="E2409" s="66" t="str">
        <x:v>13621092</x:v>
      </x:c>
      <x:c r="F2409" s="66" t="str">
        <x:v>ILMU POLITIK</x:v>
      </x:c>
      <x:c r="G2409" s="66" t="str">
        <x:v>Sarjana</x:v>
      </x:c>
      <x:c r="H2409" s="87" t="n">
        <x:v>16</x:v>
      </x:c>
      <x:c r="I2409" s="87" t="n">
        <x:v>101</x:v>
      </x:c>
      <x:c r="J2409" s="68" t="n">
        <x:f>IFERROR(H2409/I2409,"")</x:f>
        <x:v>0.15841584158415842</x:v>
      </x:c>
      <x:c r="K2409" s="69" t="n">
        <x:f>IFERROR(I2409/H2409,"")</x:f>
        <x:v>6.3125</x:v>
      </x:c>
      <x:c r="L2409" s="66" t="str">
        <x:f>IF(K2409="","","1 : "&amp;TEXT(K2409,"0.0"))</x:f>
        <x:v>1 : 6.3</x:v>
      </x:c>
      <x:c r="M2409" s="66" t="str">
        <x:f>IF(J2409="","Baru/Tanpa Data",IF(J2409&lt;='Catatan &amp; Sumber'!$B$14,"Sangat Ketat",IF(J2409&lt;='Catatan &amp; Sumber'!$B$15,"Ketat",IF(J2409&lt;='Catatan &amp; Sumber'!$B$16,"Sedang","Relatif Longgar"))))</x:f>
        <x:v>Relatif Longgar</x:v>
      </x:c>
      <x:c r="N2409" s="66" t="str">
        <x:v>Tidak Ada</x:v>
      </x:c>
      <x:c r="O2409" s="66" t="str">
        <x:v>Yogyakarta</x:v>
      </x:c>
      <x:c r="P2409" s="66" t="str">
        <x:v>Kabupaten Sleman</x:v>
      </x:c>
      <x:c r="Q2409" s="66" t="str">
        <x:v>https://snpmb.id/snbp/daya-tampung-snbp</x:v>
      </x:c>
      <x:c r="R2409" s="66" t="str">
        <x:v>https://sidatagrun-public-1076756628210.asia-southeast2.run.app/ptn_sn.php?ptn=362</x:v>
      </x:c>
    </x:row>
    <x:row r="2410">
      <x:c r="A2410" s="87" t="n">
        <x:v>234</x:v>
      </x:c>
      <x:c r="B2410" s="66" t="n">
        <x:v>362</x:v>
      </x:c>
      <x:c r="C2410" s="66" t="str">
        <x:v>UNIVERSITAS NEGERI YOGYAKARTA</x:v>
      </x:c>
      <x:c r="D2410" s="66" t="str">
        <x:v>PTN Akademik</x:v>
      </x:c>
      <x:c r="E2410" s="66" t="str">
        <x:v>13621093</x:v>
      </x:c>
      <x:c r="F2410" s="66" t="str">
        <x:v>ILMU HUKUM</x:v>
      </x:c>
      <x:c r="G2410" s="66" t="str">
        <x:v>Sarjana</x:v>
      </x:c>
      <x:c r="H2410" s="87" t="n">
        <x:v>24</x:v>
      </x:c>
      <x:c r="I2410" s="87" t="n">
        <x:v>623</x:v>
      </x:c>
      <x:c r="J2410" s="68" t="n">
        <x:f>IFERROR(H2410/I2410,"")</x:f>
        <x:v>0.038523274478330656</x:v>
      </x:c>
      <x:c r="K2410" s="69" t="n">
        <x:f>IFERROR(I2410/H2410,"")</x:f>
        <x:v>25.958333333333332</x:v>
      </x:c>
      <x:c r="L2410" s="66" t="str">
        <x:f>IF(K2410="","","1 : "&amp;TEXT(K2410,"0.0"))</x:f>
        <x:v>1 : 26.0</x:v>
      </x:c>
      <x:c r="M2410" s="66" t="str">
        <x:f>IF(J2410="","Baru/Tanpa Data",IF(J2410&lt;='Catatan &amp; Sumber'!$B$14,"Sangat Ketat",IF(J2410&lt;='Catatan &amp; Sumber'!$B$15,"Ketat",IF(J2410&lt;='Catatan &amp; Sumber'!$B$16,"Sedang","Relatif Longgar"))))</x:f>
        <x:v>Ketat</x:v>
      </x:c>
      <x:c r="N2410" s="66" t="str">
        <x:v>Tidak Ada</x:v>
      </x:c>
      <x:c r="O2410" s="66" t="str">
        <x:v>Yogyakarta</x:v>
      </x:c>
      <x:c r="P2410" s="66" t="str">
        <x:v>Kabupaten Sleman</x:v>
      </x:c>
      <x:c r="Q2410" s="66" t="str">
        <x:v>https://snpmb.id/snbp/daya-tampung-snbp</x:v>
      </x:c>
      <x:c r="R2410" s="66" t="str">
        <x:v>https://sidatagrun-public-1076756628210.asia-southeast2.run.app/ptn_sn.php?ptn=362</x:v>
      </x:c>
    </x:row>
    <x:row r="2411">
      <x:c r="A2411" s="87" t="n">
        <x:v>21</x:v>
      </x:c>
      <x:c r="B2411" s="66" t="n">
        <x:v>362</x:v>
      </x:c>
      <x:c r="C2411" s="66" t="str">
        <x:v>UNIVERSITAS NEGERI YOGYAKARTA</x:v>
      </x:c>
      <x:c r="D2411" s="66" t="str">
        <x:v>PTN Akademik</x:v>
      </x:c>
      <x:c r="E2411" s="66" t="str">
        <x:v>13621094</x:v>
      </x:c>
      <x:c r="F2411" s="66" t="str">
        <x:v>KEDOKTERAN</x:v>
      </x:c>
      <x:c r="G2411" s="66" t="str">
        <x:v>Sarjana</x:v>
      </x:c>
      <x:c r="H2411" s="87" t="n">
        <x:v>10</x:v>
      </x:c>
      <x:c r="I2411" s="87" t="n">
        <x:v>562</x:v>
      </x:c>
      <x:c r="J2411" s="68" t="n">
        <x:f>IFERROR(H2411/I2411,"")</x:f>
        <x:v>0.017793594306049824</x:v>
      </x:c>
      <x:c r="K2411" s="69" t="n">
        <x:f>IFERROR(I2411/H2411,"")</x:f>
        <x:v>56.2</x:v>
      </x:c>
      <x:c r="L2411" s="66" t="str">
        <x:f>IF(K2411="","","1 : "&amp;TEXT(K2411,"0.0"))</x:f>
        <x:v>1 : 56.2</x:v>
      </x:c>
      <x:c r="M2411" s="66" t="str">
        <x:f>IF(J2411="","Baru/Tanpa Data",IF(J2411&lt;='Catatan &amp; Sumber'!$B$14,"Sangat Ketat",IF(J2411&lt;='Catatan &amp; Sumber'!$B$15,"Ketat",IF(J2411&lt;='Catatan &amp; Sumber'!$B$16,"Sedang","Relatif Longgar"))))</x:f>
        <x:v>Sangat Ketat</x:v>
      </x:c>
      <x:c r="N2411" s="66" t="str">
        <x:v>Tidak Ada</x:v>
      </x:c>
      <x:c r="O2411" s="66" t="str">
        <x:v>Yogyakarta</x:v>
      </x:c>
      <x:c r="P2411" s="66" t="str">
        <x:v>Kabupaten Sleman</x:v>
      </x:c>
      <x:c r="Q2411" s="66" t="str">
        <x:v>https://snpmb.id/snbp/daya-tampung-snbp</x:v>
      </x:c>
      <x:c r="R2411" s="66" t="str">
        <x:v>https://sidatagrun-public-1076756628210.asia-southeast2.run.app/ptn_sn.php?ptn=362</x:v>
      </x:c>
    </x:row>
    <x:row r="2412">
      <x:c r="A2412" s="87" t="n">
        <x:v>1517</x:v>
      </x:c>
      <x:c r="B2412" s="66" t="n">
        <x:v>362</x:v>
      </x:c>
      <x:c r="C2412" s="66" t="str">
        <x:v>UNIVERSITAS NEGERI YOGYAKARTA</x:v>
      </x:c>
      <x:c r="D2412" s="66" t="str">
        <x:v>PTN Akademik</x:v>
      </x:c>
      <x:c r="E2412" s="66" t="str">
        <x:v>13621095</x:v>
      </x:c>
      <x:c r="F2412" s="66" t="str">
        <x:v>DESAIN KOMUNIKASI VISUAL</x:v>
      </x:c>
      <x:c r="G2412" s="66" t="str">
        <x:v>Sarjana</x:v>
      </x:c>
      <x:c r="H2412" s="87" t="n">
        <x:v>16</x:v>
      </x:c>
      <x:c r="I2412" s="87" t="n">
        <x:v>144</x:v>
      </x:c>
      <x:c r="J2412" s="68" t="n">
        <x:f>IFERROR(H2412/I2412,"")</x:f>
        <x:v>0.1111111111111111</x:v>
      </x:c>
      <x:c r="K2412" s="69" t="n">
        <x:f>IFERROR(I2412/H2412,"")</x:f>
        <x:v>9</x:v>
      </x:c>
      <x:c r="L2412" s="66" t="str">
        <x:f>IF(K2412="","","1 : "&amp;TEXT(K2412,"0.0"))</x:f>
        <x:v>1 : 9.0</x:v>
      </x:c>
      <x:c r="M2412" s="66" t="str">
        <x:f>IF(J2412="","Baru/Tanpa Data",IF(J2412&lt;='Catatan &amp; Sumber'!$B$14,"Sangat Ketat",IF(J2412&lt;='Catatan &amp; Sumber'!$B$15,"Ketat",IF(J2412&lt;='Catatan &amp; Sumber'!$B$16,"Sedang","Relatif Longgar"))))</x:f>
        <x:v>Relatif Longgar</x:v>
      </x:c>
      <x:c r="N2412" s="66" t="str">
        <x:v>Seni Rupa, Desain, dan Kriya</x:v>
      </x:c>
      <x:c r="O2412" s="66" t="str">
        <x:v>Yogyakarta</x:v>
      </x:c>
      <x:c r="P2412" s="66" t="str">
        <x:v>Kabupaten Sleman</x:v>
      </x:c>
      <x:c r="Q2412" s="66" t="str">
        <x:v>https://snpmb.id/snbp/daya-tampung-snbp</x:v>
      </x:c>
      <x:c r="R2412" s="66" t="str">
        <x:v>https://sidatagrun-public-1076756628210.asia-southeast2.run.app/ptn_sn.php?ptn=362</x:v>
      </x:c>
    </x:row>
    <x:row r="2413">
      <x:c r="A2413" s="87"/>
      <x:c r="B2413" s="66" t="n">
        <x:v>362</x:v>
      </x:c>
      <x:c r="C2413" s="66" t="str">
        <x:v>UNIVERSITAS NEGERI YOGYAKARTA</x:v>
      </x:c>
      <x:c r="D2413" s="66" t="str">
        <x:v>PTN Akademik</x:v>
      </x:c>
      <x:c r="E2413" s="66" t="str">
        <x:v>13621096</x:v>
      </x:c>
      <x:c r="F2413" s="66" t="str">
        <x:v>PENDIDIKAN AGAMA ISLAM</x:v>
      </x:c>
      <x:c r="G2413" s="66" t="str">
        <x:v>Sarjana</x:v>
      </x:c>
      <x:c r="H2413" s="87" t="n">
        <x:v>16</x:v>
      </x:c>
      <x:c r="I2413" s="87"/>
      <x:c r="J2413" s="68" t="str">
        <x:f>IFERROR(H2413/I2413,"")</x:f>
      </x:c>
      <x:c r="K2413" s="69" t="n">
        <x:f>IFERROR(I2413/H2413,"")</x:f>
        <x:v>0</x:v>
      </x:c>
      <x:c r="L2413" s="66" t="str">
        <x:f>IF(K2413="","","1 : "&amp;TEXT(K2413,"0.0"))</x:f>
      </x:c>
      <x:c r="M2413" s="66" t="str">
        <x:f>IF(J2413="","Baru/Tanpa Data",IF(J2413&lt;='Catatan &amp; Sumber'!$B$14,"Sangat Ketat",IF(J2413&lt;='Catatan &amp; Sumber'!$B$15,"Ketat",IF(J2413&lt;='Catatan &amp; Sumber'!$B$16,"Sedang","Relatif Longgar"))))</x:f>
        <x:v>Baru/Tanpa Data</x:v>
      </x:c>
      <x:c r="N2413" s="66" t="str">
        <x:v>Tidak Ada</x:v>
      </x:c>
      <x:c r="O2413" s="66" t="str">
        <x:v>Yogyakarta</x:v>
      </x:c>
      <x:c r="P2413" s="66" t="str">
        <x:v>Kabupaten Sleman</x:v>
      </x:c>
      <x:c r="Q2413" s="66" t="str">
        <x:v>https://snpmb.id/snbp/daya-tampung-snbp</x:v>
      </x:c>
      <x:c r="R2413" s="66" t="str">
        <x:v>https://sidatagrun-public-1076756628210.asia-southeast2.run.app/ptn_sn.php?ptn=362</x:v>
      </x:c>
    </x:row>
    <x:row r="2414">
      <x:c r="A2414" s="87" t="n">
        <x:v>329</x:v>
      </x:c>
      <x:c r="B2414" s="66" t="n">
        <x:v>362</x:v>
      </x:c>
      <x:c r="C2414" s="66" t="str">
        <x:v>UNIVERSITAS NEGERI YOGYAKARTA</x:v>
      </x:c>
      <x:c r="D2414" s="66" t="str">
        <x:v>PTN Akademik</x:v>
      </x:c>
      <x:c r="E2414" s="66" t="str">
        <x:v>13622076</x:v>
      </x:c>
      <x:c r="F2414" s="66" t="str">
        <x:v>TATA BUSANA</x:v>
      </x:c>
      <x:c r="G2414" s="66" t="str">
        <x:v>Sarjana Terapan</x:v>
      </x:c>
      <x:c r="H2414" s="87" t="n">
        <x:v>16</x:v>
      </x:c>
      <x:c r="I2414" s="87" t="n">
        <x:v>366</x:v>
      </x:c>
      <x:c r="J2414" s="68" t="n">
        <x:f>IFERROR(H2414/I2414,"")</x:f>
        <x:v>0.04371584699453552</x:v>
      </x:c>
      <x:c r="K2414" s="69" t="n">
        <x:f>IFERROR(I2414/H2414,"")</x:f>
        <x:v>22.875</x:v>
      </x:c>
      <x:c r="L2414" s="66" t="str">
        <x:f>IF(K2414="","","1 : "&amp;TEXT(K2414,"0.0"))</x:f>
        <x:v>1 : 22.9</x:v>
      </x:c>
      <x:c r="M2414" s="66" t="str">
        <x:f>IF(J2414="","Baru/Tanpa Data",IF(J2414&lt;='Catatan &amp; Sumber'!$B$14,"Sangat Ketat",IF(J2414&lt;='Catatan &amp; Sumber'!$B$15,"Ketat",IF(J2414&lt;='Catatan &amp; Sumber'!$B$16,"Sedang","Relatif Longgar"))))</x:f>
        <x:v>Ketat</x:v>
      </x:c>
      <x:c r="N2414" s="66" t="str">
        <x:v>Tidak Ada</x:v>
      </x:c>
      <x:c r="O2414" s="66" t="str">
        <x:v>Yogyakarta</x:v>
      </x:c>
      <x:c r="P2414" s="66" t="str">
        <x:v>Kabupaten Sleman</x:v>
      </x:c>
      <x:c r="Q2414" s="66" t="str">
        <x:v>https://snpmb.id/snbp/daya-tampung-snbp</x:v>
      </x:c>
      <x:c r="R2414" s="66" t="str">
        <x:v>https://sidatagrun-public-1076756628210.asia-southeast2.run.app/ptn_sn.php?ptn=362</x:v>
      </x:c>
    </x:row>
    <x:row r="2415">
      <x:c r="A2415" s="87" t="n">
        <x:v>785</x:v>
      </x:c>
      <x:c r="B2415" s="66" t="n">
        <x:v>362</x:v>
      </x:c>
      <x:c r="C2415" s="66" t="str">
        <x:v>UNIVERSITAS NEGERI YOGYAKARTA</x:v>
      </x:c>
      <x:c r="D2415" s="66" t="str">
        <x:v>PTN Akademik</x:v>
      </x:c>
      <x:c r="E2415" s="66" t="str">
        <x:v>13622077</x:v>
      </x:c>
      <x:c r="F2415" s="66" t="str">
        <x:v>TATA RIAS DAN KECANTIKAN</x:v>
      </x:c>
      <x:c r="G2415" s="66" t="str">
        <x:v>Sarjana Terapan</x:v>
      </x:c>
      <x:c r="H2415" s="87" t="n">
        <x:v>24</x:v>
      </x:c>
      <x:c r="I2415" s="87" t="n">
        <x:v>363</x:v>
      </x:c>
      <x:c r="J2415" s="68" t="n">
        <x:f>IFERROR(H2415/I2415,"")</x:f>
        <x:v>0.06611570247933884</x:v>
      </x:c>
      <x:c r="K2415" s="69" t="n">
        <x:f>IFERROR(I2415/H2415,"")</x:f>
        <x:v>15.125</x:v>
      </x:c>
      <x:c r="L2415" s="66" t="str">
        <x:f>IF(K2415="","","1 : "&amp;TEXT(K2415,"0.0"))</x:f>
        <x:v>1 : 15.1</x:v>
      </x:c>
      <x:c r="M2415" s="66" t="str">
        <x:f>IF(J2415="","Baru/Tanpa Data",IF(J2415&lt;='Catatan &amp; Sumber'!$B$14,"Sangat Ketat",IF(J2415&lt;='Catatan &amp; Sumber'!$B$15,"Ketat",IF(J2415&lt;='Catatan &amp; Sumber'!$B$16,"Sedang","Relatif Longgar"))))</x:f>
        <x:v>Sedang</x:v>
      </x:c>
      <x:c r="N2415" s="66" t="str">
        <x:v>Tidak Ada</x:v>
      </x:c>
      <x:c r="O2415" s="66" t="str">
        <x:v>Yogyakarta</x:v>
      </x:c>
      <x:c r="P2415" s="66" t="str">
        <x:v>Kabupaten Sleman</x:v>
      </x:c>
      <x:c r="Q2415" s="66" t="str">
        <x:v>https://snpmb.id/snbp/daya-tampung-snbp</x:v>
      </x:c>
      <x:c r="R2415" s="66" t="str">
        <x:v>https://sidatagrun-public-1076756628210.asia-southeast2.run.app/ptn_sn.php?ptn=362</x:v>
      </x:c>
    </x:row>
    <x:row r="2416">
      <x:c r="A2416" s="87" t="n">
        <x:v>1825</x:v>
      </x:c>
      <x:c r="B2416" s="66" t="n">
        <x:v>362</x:v>
      </x:c>
      <x:c r="C2416" s="66" t="str">
        <x:v>UNIVERSITAS NEGERI YOGYAKARTA</x:v>
      </x:c>
      <x:c r="D2416" s="66" t="str">
        <x:v>PTN Akademik</x:v>
      </x:c>
      <x:c r="E2416" s="66" t="str">
        <x:v>13622078</x:v>
      </x:c>
      <x:c r="F2416" s="66" t="str">
        <x:v>TEKNIK ELEKTRONIKA</x:v>
      </x:c>
      <x:c r="G2416" s="66" t="str">
        <x:v>Sarjana Terapan</x:v>
      </x:c>
      <x:c r="H2416" s="87" t="n">
        <x:v>16</x:v>
      </x:c>
      <x:c r="I2416" s="87" t="n">
        <x:v>119</x:v>
      </x:c>
      <x:c r="J2416" s="68" t="n">
        <x:f>IFERROR(H2416/I2416,"")</x:f>
        <x:v>0.13445378151260504</x:v>
      </x:c>
      <x:c r="K2416" s="69" t="n">
        <x:f>IFERROR(I2416/H2416,"")</x:f>
        <x:v>7.4375</x:v>
      </x:c>
      <x:c r="L2416" s="66" t="str">
        <x:f>IF(K2416="","","1 : "&amp;TEXT(K2416,"0.0"))</x:f>
        <x:v>1 : 7.4</x:v>
      </x:c>
      <x:c r="M2416" s="66" t="str">
        <x:f>IF(J2416="","Baru/Tanpa Data",IF(J2416&lt;='Catatan &amp; Sumber'!$B$14,"Sangat Ketat",IF(J2416&lt;='Catatan &amp; Sumber'!$B$15,"Ketat",IF(J2416&lt;='Catatan &amp; Sumber'!$B$16,"Sedang","Relatif Longgar"))))</x:f>
        <x:v>Relatif Longgar</x:v>
      </x:c>
      <x:c r="N2416" s="66" t="str">
        <x:v>Tidak Ada</x:v>
      </x:c>
      <x:c r="O2416" s="66" t="str">
        <x:v>Yogyakarta</x:v>
      </x:c>
      <x:c r="P2416" s="66" t="str">
        <x:v>Kabupaten Sleman</x:v>
      </x:c>
      <x:c r="Q2416" s="66" t="str">
        <x:v>https://snpmb.id/snbp/daya-tampung-snbp</x:v>
      </x:c>
      <x:c r="R2416" s="66" t="str">
        <x:v>https://sidatagrun-public-1076756628210.asia-southeast2.run.app/ptn_sn.php?ptn=362</x:v>
      </x:c>
    </x:row>
    <x:row r="2417">
      <x:c r="A2417" s="87" t="n">
        <x:v>941</x:v>
      </x:c>
      <x:c r="B2417" s="66" t="n">
        <x:v>362</x:v>
      </x:c>
      <x:c r="C2417" s="66" t="str">
        <x:v>UNIVERSITAS NEGERI YOGYAKARTA</x:v>
      </x:c>
      <x:c r="D2417" s="66" t="str">
        <x:v>PTN Akademik</x:v>
      </x:c>
      <x:c r="E2417" s="66" t="str">
        <x:v>13622079</x:v>
      </x:c>
      <x:c r="F2417" s="66" t="str">
        <x:v>AKUNTANSI</x:v>
      </x:c>
      <x:c r="G2417" s="66" t="str">
        <x:v>Sarjana Terapan</x:v>
      </x:c>
      <x:c r="H2417" s="87" t="n">
        <x:v>24</x:v>
      </x:c>
      <x:c r="I2417" s="87" t="n">
        <x:v>321</x:v>
      </x:c>
      <x:c r="J2417" s="68" t="n">
        <x:f>IFERROR(H2417/I2417,"")</x:f>
        <x:v>0.07476635514018691</x:v>
      </x:c>
      <x:c r="K2417" s="69" t="n">
        <x:f>IFERROR(I2417/H2417,"")</x:f>
        <x:v>13.375</x:v>
      </x:c>
      <x:c r="L2417" s="66" t="str">
        <x:f>IF(K2417="","","1 : "&amp;TEXT(K2417,"0.0"))</x:f>
        <x:v>1 : 13.4</x:v>
      </x:c>
      <x:c r="M2417" s="66" t="str">
        <x:f>IF(J2417="","Baru/Tanpa Data",IF(J2417&lt;='Catatan &amp; Sumber'!$B$14,"Sangat Ketat",IF(J2417&lt;='Catatan &amp; Sumber'!$B$15,"Ketat",IF(J2417&lt;='Catatan &amp; Sumber'!$B$16,"Sedang","Relatif Longgar"))))</x:f>
        <x:v>Sedang</x:v>
      </x:c>
      <x:c r="N2417" s="66" t="str">
        <x:v>Tidak Ada</x:v>
      </x:c>
      <x:c r="O2417" s="66" t="str">
        <x:v>Yogyakarta</x:v>
      </x:c>
      <x:c r="P2417" s="66" t="str">
        <x:v>Kabupaten Sleman</x:v>
      </x:c>
      <x:c r="Q2417" s="66" t="str">
        <x:v>https://snpmb.id/snbp/daya-tampung-snbp</x:v>
      </x:c>
      <x:c r="R2417" s="66" t="str">
        <x:v>https://sidatagrun-public-1076756628210.asia-southeast2.run.app/ptn_sn.php?ptn=362</x:v>
      </x:c>
    </x:row>
    <x:row r="2418">
      <x:c r="A2418" s="87" t="n">
        <x:v>806</x:v>
      </x:c>
      <x:c r="B2418" s="66" t="n">
        <x:v>362</x:v>
      </x:c>
      <x:c r="C2418" s="66" t="str">
        <x:v>UNIVERSITAS NEGERI YOGYAKARTA</x:v>
      </x:c>
      <x:c r="D2418" s="66" t="str">
        <x:v>PTN Akademik</x:v>
      </x:c>
      <x:c r="E2418" s="66" t="str">
        <x:v>13622080</x:v>
      </x:c>
      <x:c r="F2418" s="66" t="str">
        <x:v>TEKNIK ELEKTRO</x:v>
      </x:c>
      <x:c r="G2418" s="66" t="str">
        <x:v>Sarjana Terapan</x:v>
      </x:c>
      <x:c r="H2418" s="87" t="n">
        <x:v>8</x:v>
      </x:c>
      <x:c r="I2418" s="87" t="n">
        <x:v>119</x:v>
      </x:c>
      <x:c r="J2418" s="68" t="n">
        <x:f>IFERROR(H2418/I2418,"")</x:f>
        <x:v>0.06722689075630252</x:v>
      </x:c>
      <x:c r="K2418" s="69" t="n">
        <x:f>IFERROR(I2418/H2418,"")</x:f>
        <x:v>14.875</x:v>
      </x:c>
      <x:c r="L2418" s="66" t="str">
        <x:f>IF(K2418="","","1 : "&amp;TEXT(K2418,"0.0"))</x:f>
        <x:v>1 : 14.9</x:v>
      </x:c>
      <x:c r="M2418" s="66" t="str">
        <x:f>IF(J2418="","Baru/Tanpa Data",IF(J2418&lt;='Catatan &amp; Sumber'!$B$14,"Sangat Ketat",IF(J2418&lt;='Catatan &amp; Sumber'!$B$15,"Ketat",IF(J2418&lt;='Catatan &amp; Sumber'!$B$16,"Sedang","Relatif Longgar"))))</x:f>
        <x:v>Sedang</x:v>
      </x:c>
      <x:c r="N2418" s="66" t="str">
        <x:v>Tidak Ada</x:v>
      </x:c>
      <x:c r="O2418" s="66" t="str">
        <x:v>Yogyakarta</x:v>
      </x:c>
      <x:c r="P2418" s="66" t="str">
        <x:v>Kabupaten Sleman</x:v>
      </x:c>
      <x:c r="Q2418" s="66" t="str">
        <x:v>https://snpmb.id/snbp/daya-tampung-snbp</x:v>
      </x:c>
      <x:c r="R2418" s="66" t="str">
        <x:v>https://sidatagrun-public-1076756628210.asia-southeast2.run.app/ptn_sn.php?ptn=362</x:v>
      </x:c>
    </x:row>
    <x:row r="2419">
      <x:c r="A2419" s="87" t="n">
        <x:v>842</x:v>
      </x:c>
      <x:c r="B2419" s="66" t="n">
        <x:v>362</x:v>
      </x:c>
      <x:c r="C2419" s="66" t="str">
        <x:v>UNIVERSITAS NEGERI YOGYAKARTA</x:v>
      </x:c>
      <x:c r="D2419" s="66" t="str">
        <x:v>PTN Akademik</x:v>
      </x:c>
      <x:c r="E2419" s="66" t="str">
        <x:v>13622081</x:v>
      </x:c>
      <x:c r="F2419" s="66" t="str">
        <x:v>MANAJEMEN PEMASARAN</x:v>
      </x:c>
      <x:c r="G2419" s="66" t="str">
        <x:v>Sarjana Terapan</x:v>
      </x:c>
      <x:c r="H2419" s="87" t="n">
        <x:v>24</x:v>
      </x:c>
      <x:c r="I2419" s="87" t="n">
        <x:v>348</x:v>
      </x:c>
      <x:c r="J2419" s="68" t="n">
        <x:f>IFERROR(H2419/I2419,"")</x:f>
        <x:v>0.06896551724137931</x:v>
      </x:c>
      <x:c r="K2419" s="69" t="n">
        <x:f>IFERROR(I2419/H2419,"")</x:f>
        <x:v>14.5</x:v>
      </x:c>
      <x:c r="L2419" s="66" t="str">
        <x:f>IF(K2419="","","1 : "&amp;TEXT(K2419,"0.0"))</x:f>
        <x:v>1 : 14.5</x:v>
      </x:c>
      <x:c r="M2419" s="66" t="str">
        <x:f>IF(J2419="","Baru/Tanpa Data",IF(J2419&lt;='Catatan &amp; Sumber'!$B$14,"Sangat Ketat",IF(J2419&lt;='Catatan &amp; Sumber'!$B$15,"Ketat",IF(J2419&lt;='Catatan &amp; Sumber'!$B$16,"Sedang","Relatif Longgar"))))</x:f>
        <x:v>Sedang</x:v>
      </x:c>
      <x:c r="N2419" s="66" t="str">
        <x:v>Tidak Ada</x:v>
      </x:c>
      <x:c r="O2419" s="66" t="str">
        <x:v>Yogyakarta</x:v>
      </x:c>
      <x:c r="P2419" s="66" t="str">
        <x:v>Kabupaten Sleman</x:v>
      </x:c>
      <x:c r="Q2419" s="66" t="str">
        <x:v>https://snpmb.id/snbp/daya-tampung-snbp</x:v>
      </x:c>
      <x:c r="R2419" s="66" t="str">
        <x:v>https://sidatagrun-public-1076756628210.asia-southeast2.run.app/ptn_sn.php?ptn=362</x:v>
      </x:c>
    </x:row>
    <x:row r="2420">
      <x:c r="A2420" s="87" t="n">
        <x:v>99</x:v>
      </x:c>
      <x:c r="B2420" s="66" t="n">
        <x:v>362</x:v>
      </x:c>
      <x:c r="C2420" s="66" t="str">
        <x:v>UNIVERSITAS NEGERI YOGYAKARTA</x:v>
      </x:c>
      <x:c r="D2420" s="66" t="str">
        <x:v>PTN Akademik</x:v>
      </x:c>
      <x:c r="E2420" s="66" t="str">
        <x:v>13622082</x:v>
      </x:c>
      <x:c r="F2420" s="66" t="str">
        <x:v>TEKNIK MESIN</x:v>
      </x:c>
      <x:c r="G2420" s="66" t="str">
        <x:v>Sarjana Terapan</x:v>
      </x:c>
      <x:c r="H2420" s="87" t="n">
        <x:v>8</x:v>
      </x:c>
      <x:c r="I2420" s="87" t="n">
        <x:v>278</x:v>
      </x:c>
      <x:c r="J2420" s="68" t="n">
        <x:f>IFERROR(H2420/I2420,"")</x:f>
        <x:v>0.02877697841726619</x:v>
      </x:c>
      <x:c r="K2420" s="69" t="n">
        <x:f>IFERROR(I2420/H2420,"")</x:f>
        <x:v>34.75</x:v>
      </x:c>
      <x:c r="L2420" s="66" t="str">
        <x:f>IF(K2420="","","1 : "&amp;TEXT(K2420,"0.0"))</x:f>
        <x:v>1 : 34.8</x:v>
      </x:c>
      <x:c r="M2420" s="66" t="str">
        <x:f>IF(J2420="","Baru/Tanpa Data",IF(J2420&lt;='Catatan &amp; Sumber'!$B$14,"Sangat Ketat",IF(J2420&lt;='Catatan &amp; Sumber'!$B$15,"Ketat",IF(J2420&lt;='Catatan &amp; Sumber'!$B$16,"Sedang","Relatif Longgar"))))</x:f>
        <x:v>Ketat</x:v>
      </x:c>
      <x:c r="N2420" s="66" t="str">
        <x:v>Tidak Ada</x:v>
      </x:c>
      <x:c r="O2420" s="66" t="str">
        <x:v>Yogyakarta</x:v>
      </x:c>
      <x:c r="P2420" s="66" t="str">
        <x:v>Kabupaten Sleman</x:v>
      </x:c>
      <x:c r="Q2420" s="66" t="str">
        <x:v>https://snpmb.id/snbp/daya-tampung-snbp</x:v>
      </x:c>
      <x:c r="R2420" s="66" t="str">
        <x:v>https://sidatagrun-public-1076756628210.asia-southeast2.run.app/ptn_sn.php?ptn=362</x:v>
      </x:c>
    </x:row>
    <x:row r="2421">
      <x:c r="A2421" s="87" t="n">
        <x:v>473</x:v>
      </x:c>
      <x:c r="B2421" s="66" t="n">
        <x:v>362</x:v>
      </x:c>
      <x:c r="C2421" s="66" t="str">
        <x:v>UNIVERSITAS NEGERI YOGYAKARTA</x:v>
      </x:c>
      <x:c r="D2421" s="66" t="str">
        <x:v>PTN Akademik</x:v>
      </x:c>
      <x:c r="E2421" s="66" t="str">
        <x:v>13622083</x:v>
      </x:c>
      <x:c r="F2421" s="66" t="str">
        <x:v>TEKNIK SIPIL</x:v>
      </x:c>
      <x:c r="G2421" s="66" t="str">
        <x:v>Sarjana Terapan</x:v>
      </x:c>
      <x:c r="H2421" s="87" t="n">
        <x:v>8</x:v>
      </x:c>
      <x:c r="I2421" s="87" t="n">
        <x:v>160</x:v>
      </x:c>
      <x:c r="J2421" s="68" t="n">
        <x:f>IFERROR(H2421/I2421,"")</x:f>
        <x:v>0.05</x:v>
      </x:c>
      <x:c r="K2421" s="69" t="n">
        <x:f>IFERROR(I2421/H2421,"")</x:f>
        <x:v>20</x:v>
      </x:c>
      <x:c r="L2421" s="66" t="str">
        <x:f>IF(K2421="","","1 : "&amp;TEXT(K2421,"0.0"))</x:f>
        <x:v>1 : 20.0</x:v>
      </x:c>
      <x:c r="M2421" s="66" t="str">
        <x:f>IF(J2421="","Baru/Tanpa Data",IF(J2421&lt;='Catatan &amp; Sumber'!$B$14,"Sangat Ketat",IF(J2421&lt;='Catatan &amp; Sumber'!$B$15,"Ketat",IF(J2421&lt;='Catatan &amp; Sumber'!$B$16,"Sedang","Relatif Longgar"))))</x:f>
        <x:v>Ketat</x:v>
      </x:c>
      <x:c r="N2421" s="66" t="str">
        <x:v>Tidak Ada</x:v>
      </x:c>
      <x:c r="O2421" s="66" t="str">
        <x:v>Yogyakarta</x:v>
      </x:c>
      <x:c r="P2421" s="66" t="str">
        <x:v>Kabupaten Sleman</x:v>
      </x:c>
      <x:c r="Q2421" s="66" t="str">
        <x:v>https://snpmb.id/snbp/daya-tampung-snbp</x:v>
      </x:c>
      <x:c r="R2421" s="66" t="str">
        <x:v>https://sidatagrun-public-1076756628210.asia-southeast2.run.app/ptn_sn.php?ptn=362</x:v>
      </x:c>
    </x:row>
    <x:row r="2422">
      <x:c r="A2422" s="87" t="n">
        <x:v>78</x:v>
      </x:c>
      <x:c r="B2422" s="66" t="n">
        <x:v>362</x:v>
      </x:c>
      <x:c r="C2422" s="66" t="str">
        <x:v>UNIVERSITAS NEGERI YOGYAKARTA</x:v>
      </x:c>
      <x:c r="D2422" s="66" t="str">
        <x:v>PTN Akademik</x:v>
      </x:c>
      <x:c r="E2422" s="66" t="str">
        <x:v>13622084</x:v>
      </x:c>
      <x:c r="F2422" s="66" t="str">
        <x:v>TATA BOGA</x:v>
      </x:c>
      <x:c r="G2422" s="66" t="str">
        <x:v>Sarjana Terapan</x:v>
      </x:c>
      <x:c r="H2422" s="87" t="n">
        <x:v>22</x:v>
      </x:c>
      <x:c r="I2422" s="87" t="n">
        <x:v>837</x:v>
      </x:c>
      <x:c r="J2422" s="68" t="n">
        <x:f>IFERROR(H2422/I2422,"")</x:f>
        <x:v>0.026284348864994027</x:v>
      </x:c>
      <x:c r="K2422" s="69" t="n">
        <x:f>IFERROR(I2422/H2422,"")</x:f>
        <x:v>38.04545454545455</x:v>
      </x:c>
      <x:c r="L2422" s="66" t="str">
        <x:f>IF(K2422="","","1 : "&amp;TEXT(K2422,"0.0"))</x:f>
        <x:v>1 : 38.0</x:v>
      </x:c>
      <x:c r="M2422" s="66" t="str">
        <x:f>IF(J2422="","Baru/Tanpa Data",IF(J2422&lt;='Catatan &amp; Sumber'!$B$14,"Sangat Ketat",IF(J2422&lt;='Catatan &amp; Sumber'!$B$15,"Ketat",IF(J2422&lt;='Catatan &amp; Sumber'!$B$16,"Sedang","Relatif Longgar"))))</x:f>
        <x:v>Ketat</x:v>
      </x:c>
      <x:c r="N2422" s="66" t="str">
        <x:v>Tidak Ada</x:v>
      </x:c>
      <x:c r="O2422" s="66" t="str">
        <x:v>Yogyakarta</x:v>
      </x:c>
      <x:c r="P2422" s="66" t="str">
        <x:v>Kabupaten Sleman</x:v>
      </x:c>
      <x:c r="Q2422" s="66" t="str">
        <x:v>https://snpmb.id/snbp/daya-tampung-snbp</x:v>
      </x:c>
      <x:c r="R2422" s="66" t="str">
        <x:v>https://sidatagrun-public-1076756628210.asia-southeast2.run.app/ptn_sn.php?ptn=362</x:v>
      </x:c>
    </x:row>
    <x:row r="2423">
      <x:c r="A2423" s="87" t="n">
        <x:v>568</x:v>
      </x:c>
      <x:c r="B2423" s="66" t="n">
        <x:v>362</x:v>
      </x:c>
      <x:c r="C2423" s="66" t="str">
        <x:v>UNIVERSITAS NEGERI YOGYAKARTA</x:v>
      </x:c>
      <x:c r="D2423" s="66" t="str">
        <x:v>PTN Akademik</x:v>
      </x:c>
      <x:c r="E2423" s="66" t="str">
        <x:v>13622085</x:v>
      </x:c>
      <x:c r="F2423" s="66" t="str">
        <x:v>MESIN OTOMOTIF</x:v>
      </x:c>
      <x:c r="G2423" s="66" t="str">
        <x:v>Sarjana Terapan</x:v>
      </x:c>
      <x:c r="H2423" s="87" t="n">
        <x:v>8</x:v>
      </x:c>
      <x:c r="I2423" s="87" t="n">
        <x:v>145</x:v>
      </x:c>
      <x:c r="J2423" s="68" t="n">
        <x:f>IFERROR(H2423/I2423,"")</x:f>
        <x:v>0.05517241379310345</x:v>
      </x:c>
      <x:c r="K2423" s="69" t="n">
        <x:f>IFERROR(I2423/H2423,"")</x:f>
        <x:v>18.125</x:v>
      </x:c>
      <x:c r="L2423" s="66" t="str">
        <x:f>IF(K2423="","","1 : "&amp;TEXT(K2423,"0.0"))</x:f>
        <x:v>1 : 18.1</x:v>
      </x:c>
      <x:c r="M2423" s="66" t="str">
        <x:f>IF(J2423="","Baru/Tanpa Data",IF(J2423&lt;='Catatan &amp; Sumber'!$B$14,"Sangat Ketat",IF(J2423&lt;='Catatan &amp; Sumber'!$B$15,"Ketat",IF(J2423&lt;='Catatan &amp; Sumber'!$B$16,"Sedang","Relatif Longgar"))))</x:f>
        <x:v>Sedang</x:v>
      </x:c>
      <x:c r="N2423" s="66" t="str">
        <x:v>Tidak Ada</x:v>
      </x:c>
      <x:c r="O2423" s="66" t="str">
        <x:v>Yogyakarta</x:v>
      </x:c>
      <x:c r="P2423" s="66" t="str">
        <x:v>Kabupaten Sleman</x:v>
      </x:c>
      <x:c r="Q2423" s="66" t="str">
        <x:v>https://snpmb.id/snbp/daya-tampung-snbp</x:v>
      </x:c>
      <x:c r="R2423" s="66" t="str">
        <x:v>https://sidatagrun-public-1076756628210.asia-southeast2.run.app/ptn_sn.php?ptn=362</x:v>
      </x:c>
    </x:row>
    <x:row r="2424">
      <x:c r="A2424" s="87" t="n">
        <x:v>594</x:v>
      </x:c>
      <x:c r="B2424" s="66" t="n">
        <x:v>362</x:v>
      </x:c>
      <x:c r="C2424" s="66" t="str">
        <x:v>UNIVERSITAS NEGERI YOGYAKARTA</x:v>
      </x:c>
      <x:c r="D2424" s="66" t="str">
        <x:v>PTN Akademik</x:v>
      </x:c>
      <x:c r="E2424" s="66" t="str">
        <x:v>13622086</x:v>
      </x:c>
      <x:c r="F2424" s="66" t="str">
        <x:v>ADMINISTRASI PERKANTORAN</x:v>
      </x:c>
      <x:c r="G2424" s="66" t="str">
        <x:v>Sarjana Terapan</x:v>
      </x:c>
      <x:c r="H2424" s="87" t="n">
        <x:v>24</x:v>
      </x:c>
      <x:c r="I2424" s="87" t="n">
        <x:v>420</x:v>
      </x:c>
      <x:c r="J2424" s="68" t="n">
        <x:f>IFERROR(H2424/I2424,"")</x:f>
        <x:v>0.05714285714285714</x:v>
      </x:c>
      <x:c r="K2424" s="69" t="n">
        <x:f>IFERROR(I2424/H2424,"")</x:f>
        <x:v>17.5</x:v>
      </x:c>
      <x:c r="L2424" s="66" t="str">
        <x:f>IF(K2424="","","1 : "&amp;TEXT(K2424,"0.0"))</x:f>
        <x:v>1 : 17.5</x:v>
      </x:c>
      <x:c r="M2424" s="66" t="str">
        <x:f>IF(J2424="","Baru/Tanpa Data",IF(J2424&lt;='Catatan &amp; Sumber'!$B$14,"Sangat Ketat",IF(J2424&lt;='Catatan &amp; Sumber'!$B$15,"Ketat",IF(J2424&lt;='Catatan &amp; Sumber'!$B$16,"Sedang","Relatif Longgar"))))</x:f>
        <x:v>Sedang</x:v>
      </x:c>
      <x:c r="N2424" s="66" t="str">
        <x:v>Tidak Ada</x:v>
      </x:c>
      <x:c r="O2424" s="66" t="str">
        <x:v>Yogyakarta</x:v>
      </x:c>
      <x:c r="P2424" s="66" t="str">
        <x:v>Kabupaten Sleman</x:v>
      </x:c>
      <x:c r="Q2424" s="66" t="str">
        <x:v>https://snpmb.id/snbp/daya-tampung-snbp</x:v>
      </x:c>
      <x:c r="R2424" s="66" t="str">
        <x:v>https://sidatagrun-public-1076756628210.asia-southeast2.run.app/ptn_sn.php?ptn=362</x:v>
      </x:c>
    </x:row>
    <x:row r="2425">
      <x:c r="A2425" s="87" t="n">
        <x:v>2334</x:v>
      </x:c>
      <x:c r="B2425" s="66" t="n">
        <x:v>362</x:v>
      </x:c>
      <x:c r="C2425" s="66" t="str">
        <x:v>UNIVERSITAS NEGERI YOGYAKARTA</x:v>
      </x:c>
      <x:c r="D2425" s="66" t="str">
        <x:v>PTN Akademik</x:v>
      </x:c>
      <x:c r="E2425" s="66" t="str">
        <x:v>13622087</x:v>
      </x:c>
      <x:c r="F2425" s="66" t="str">
        <x:v>PENGOBATAN TRADISIONAL INDONESIA</x:v>
      </x:c>
      <x:c r="G2425" s="66" t="str">
        <x:v>Sarjana Terapan</x:v>
      </x:c>
      <x:c r="H2425" s="87" t="n">
        <x:v>12</x:v>
      </x:c>
      <x:c r="I2425" s="87" t="n">
        <x:v>64</x:v>
      </x:c>
      <x:c r="J2425" s="68" t="n">
        <x:f>IFERROR(H2425/I2425,"")</x:f>
        <x:v>0.1875</x:v>
      </x:c>
      <x:c r="K2425" s="69" t="n">
        <x:f>IFERROR(I2425/H2425,"")</x:f>
        <x:v>5.333333333333333</x:v>
      </x:c>
      <x:c r="L2425" s="66" t="str">
        <x:f>IF(K2425="","","1 : "&amp;TEXT(K2425,"0.0"))</x:f>
        <x:v>1 : 5.3</x:v>
      </x:c>
      <x:c r="M2425" s="66" t="str">
        <x:f>IF(J2425="","Baru/Tanpa Data",IF(J2425&lt;='Catatan &amp; Sumber'!$B$14,"Sangat Ketat",IF(J2425&lt;='Catatan &amp; Sumber'!$B$15,"Ketat",IF(J2425&lt;='Catatan &amp; Sumber'!$B$16,"Sedang","Relatif Longgar"))))</x:f>
        <x:v>Relatif Longgar</x:v>
      </x:c>
      <x:c r="N2425" s="66" t="str">
        <x:v>Tidak Ada</x:v>
      </x:c>
      <x:c r="O2425" s="66" t="str">
        <x:v>Yogyakarta</x:v>
      </x:c>
      <x:c r="P2425" s="66" t="str">
        <x:v>Kabupaten Sleman</x:v>
      </x:c>
      <x:c r="Q2425" s="66" t="str">
        <x:v>https://snpmb.id/snbp/daya-tampung-snbp</x:v>
      </x:c>
      <x:c r="R2425" s="66" t="str">
        <x:v>https://sidatagrun-public-1076756628210.asia-southeast2.run.app/ptn_sn.php?ptn=362</x:v>
      </x:c>
    </x:row>
    <x:row r="2426">
      <x:c r="A2426" s="87" t="n">
        <x:v>1905</x:v>
      </x:c>
      <x:c r="B2426" s="66" t="n">
        <x:v>362</x:v>
      </x:c>
      <x:c r="C2426" s="66" t="str">
        <x:v>UNIVERSITAS NEGERI YOGYAKARTA</x:v>
      </x:c>
      <x:c r="D2426" s="66" t="str">
        <x:v>PTN Akademik</x:v>
      </x:c>
      <x:c r="E2426" s="66" t="str">
        <x:v>13622088</x:v>
      </x:c>
      <x:c r="F2426" s="66" t="str">
        <x:v>PENGELOLAAN USAHA REKREASI</x:v>
      </x:c>
      <x:c r="G2426" s="66" t="str">
        <x:v>Sarjana Terapan</x:v>
      </x:c>
      <x:c r="H2426" s="87" t="n">
        <x:v>12</x:v>
      </x:c>
      <x:c r="I2426" s="87" t="n">
        <x:v>85</x:v>
      </x:c>
      <x:c r="J2426" s="68" t="n">
        <x:f>IFERROR(H2426/I2426,"")</x:f>
        <x:v>0.1411764705882353</x:v>
      </x:c>
      <x:c r="K2426" s="69" t="n">
        <x:f>IFERROR(I2426/H2426,"")</x:f>
        <x:v>7.083333333333333</x:v>
      </x:c>
      <x:c r="L2426" s="66" t="str">
        <x:f>IF(K2426="","","1 : "&amp;TEXT(K2426,"0.0"))</x:f>
        <x:v>1 : 7.1</x:v>
      </x:c>
      <x:c r="M2426" s="66" t="str">
        <x:f>IF(J2426="","Baru/Tanpa Data",IF(J2426&lt;='Catatan &amp; Sumber'!$B$14,"Sangat Ketat",IF(J2426&lt;='Catatan &amp; Sumber'!$B$15,"Ketat",IF(J2426&lt;='Catatan &amp; Sumber'!$B$16,"Sedang","Relatif Longgar"))))</x:f>
        <x:v>Relatif Longgar</x:v>
      </x:c>
      <x:c r="N2426" s="66" t="str">
        <x:v>Tidak Ada</x:v>
      </x:c>
      <x:c r="O2426" s="66" t="str">
        <x:v>Yogyakarta</x:v>
      </x:c>
      <x:c r="P2426" s="66" t="str">
        <x:v>Kabupaten Sleman</x:v>
      </x:c>
      <x:c r="Q2426" s="66" t="str">
        <x:v>https://snpmb.id/snbp/daya-tampung-snbp</x:v>
      </x:c>
      <x:c r="R2426" s="66" t="str">
        <x:v>https://sidatagrun-public-1076756628210.asia-southeast2.run.app/ptn_sn.php?ptn=362</x:v>
      </x:c>
    </x:row>
    <x:row r="2427">
      <x:c r="A2427" s="87" t="n">
        <x:v>1101</x:v>
      </x:c>
      <x:c r="B2427" s="66" t="n">
        <x:v>362</x:v>
      </x:c>
      <x:c r="C2427" s="66" t="str">
        <x:v>UNIVERSITAS NEGERI YOGYAKARTA</x:v>
      </x:c>
      <x:c r="D2427" s="66" t="str">
        <x:v>PTN Akademik</x:v>
      </x:c>
      <x:c r="E2427" s="66" t="str">
        <x:v>13622089</x:v>
      </x:c>
      <x:c r="F2427" s="66" t="str">
        <x:v>PROMOSI KESEHATAN</x:v>
      </x:c>
      <x:c r="G2427" s="66" t="str">
        <x:v>Sarjana Terapan</x:v>
      </x:c>
      <x:c r="H2427" s="87" t="n">
        <x:v>12</x:v>
      </x:c>
      <x:c r="I2427" s="87" t="n">
        <x:v>143</x:v>
      </x:c>
      <x:c r="J2427" s="68" t="n">
        <x:f>IFERROR(H2427/I2427,"")</x:f>
        <x:v>0.08391608391608392</x:v>
      </x:c>
      <x:c r="K2427" s="69" t="n">
        <x:f>IFERROR(I2427/H2427,"")</x:f>
        <x:v>11.916666666666666</x:v>
      </x:c>
      <x:c r="L2427" s="66" t="str">
        <x:f>IF(K2427="","","1 : "&amp;TEXT(K2427,"0.0"))</x:f>
        <x:v>1 : 11.9</x:v>
      </x:c>
      <x:c r="M2427" s="66" t="str">
        <x:f>IF(J2427="","Baru/Tanpa Data",IF(J2427&lt;='Catatan &amp; Sumber'!$B$14,"Sangat Ketat",IF(J2427&lt;='Catatan &amp; Sumber'!$B$15,"Ketat",IF(J2427&lt;='Catatan &amp; Sumber'!$B$16,"Sedang","Relatif Longgar"))))</x:f>
        <x:v>Sedang</x:v>
      </x:c>
      <x:c r="N2427" s="66" t="str">
        <x:v>Tidak Ada</x:v>
      </x:c>
      <x:c r="O2427" s="66" t="str">
        <x:v>Yogyakarta</x:v>
      </x:c>
      <x:c r="P2427" s="66" t="str">
        <x:v>Kabupaten Sleman</x:v>
      </x:c>
      <x:c r="Q2427" s="66" t="str">
        <x:v>https://snpmb.id/snbp/daya-tampung-snbp</x:v>
      </x:c>
      <x:c r="R2427" s="66" t="str">
        <x:v>https://sidatagrun-public-1076756628210.asia-southeast2.run.app/ptn_sn.php?ptn=362</x:v>
      </x:c>
    </x:row>
    <x:row r="2428">
      <x:c r="A2428" s="87" t="n">
        <x:v>522</x:v>
      </x:c>
      <x:c r="B2428" s="66" t="n">
        <x:v>363</x:v>
      </x:c>
      <x:c r="C2428" s="66" t="str">
        <x:v>UPN "VETERAN" YOGYAKARTA</x:v>
      </x:c>
      <x:c r="D2428" s="66" t="str">
        <x:v>PTN Akademik</x:v>
      </x:c>
      <x:c r="E2428" s="66" t="str">
        <x:v>13631001</x:v>
      </x:c>
      <x:c r="F2428" s="66" t="str">
        <x:v>TEKNIK GEOLOGI</x:v>
      </x:c>
      <x:c r="G2428" s="66" t="str">
        <x:v>Sarjana</x:v>
      </x:c>
      <x:c r="H2428" s="87" t="n">
        <x:v>65</x:v>
      </x:c>
      <x:c r="I2428" s="87" t="n">
        <x:v>1234</x:v>
      </x:c>
      <x:c r="J2428" s="68" t="n">
        <x:f>IFERROR(H2428/I2428,"")</x:f>
        <x:v>0.0526742301458671</x:v>
      </x:c>
      <x:c r="K2428" s="69" t="n">
        <x:f>IFERROR(I2428/H2428,"")</x:f>
        <x:v>18.984615384615385</x:v>
      </x:c>
      <x:c r="L2428" s="66" t="str">
        <x:f>IF(K2428="","","1 : "&amp;TEXT(K2428,"0.0"))</x:f>
        <x:v>1 : 19.0</x:v>
      </x:c>
      <x:c r="M2428" s="66" t="str">
        <x:f>IF(J2428="","Baru/Tanpa Data",IF(J2428&lt;='Catatan &amp; Sumber'!$B$14,"Sangat Ketat",IF(J2428&lt;='Catatan &amp; Sumber'!$B$15,"Ketat",IF(J2428&lt;='Catatan &amp; Sumber'!$B$16,"Sedang","Relatif Longgar"))))</x:f>
        <x:v>Sedang</x:v>
      </x:c>
      <x:c r="N2428" s="66" t="str">
        <x:v>Tidak Ada</x:v>
      </x:c>
      <x:c r="O2428" s="66" t="str">
        <x:v>Yogyakarta</x:v>
      </x:c>
      <x:c r="P2428" s="66" t="str">
        <x:v>Kabupaten Sleman</x:v>
      </x:c>
      <x:c r="Q2428" s="66" t="str">
        <x:v>https://snpmb.id/snbp/daya-tampung-snbp</x:v>
      </x:c>
      <x:c r="R2428" s="66" t="str">
        <x:v>https://sidatagrun-public-1076756628210.asia-southeast2.run.app/ptn_sn.php?ptn=363</x:v>
      </x:c>
    </x:row>
    <x:row r="2429">
      <x:c r="A2429" s="87" t="n">
        <x:v>102</x:v>
      </x:c>
      <x:c r="B2429" s="66" t="n">
        <x:v>363</x:v>
      </x:c>
      <x:c r="C2429" s="66" t="str">
        <x:v>UPN "VETERAN" YOGYAKARTA</x:v>
      </x:c>
      <x:c r="D2429" s="66" t="str">
        <x:v>PTN Akademik</x:v>
      </x:c>
      <x:c r="E2429" s="66" t="str">
        <x:v>13631002</x:v>
      </x:c>
      <x:c r="F2429" s="66" t="str">
        <x:v>TEKNIK PERTAMBANGAN</x:v>
      </x:c>
      <x:c r="G2429" s="66" t="str">
        <x:v>Sarjana</x:v>
      </x:c>
      <x:c r="H2429" s="87" t="n">
        <x:v>52</x:v>
      </x:c>
      <x:c r="I2429" s="87" t="n">
        <x:v>1799</x:v>
      </x:c>
      <x:c r="J2429" s="68" t="n">
        <x:f>IFERROR(H2429/I2429,"")</x:f>
        <x:v>0.028904947192884937</x:v>
      </x:c>
      <x:c r="K2429" s="69" t="n">
        <x:f>IFERROR(I2429/H2429,"")</x:f>
        <x:v>34.59615384615385</x:v>
      </x:c>
      <x:c r="L2429" s="66" t="str">
        <x:f>IF(K2429="","","1 : "&amp;TEXT(K2429,"0.0"))</x:f>
        <x:v>1 : 34.6</x:v>
      </x:c>
      <x:c r="M2429" s="66" t="str">
        <x:f>IF(J2429="","Baru/Tanpa Data",IF(J2429&lt;='Catatan &amp; Sumber'!$B$14,"Sangat Ketat",IF(J2429&lt;='Catatan &amp; Sumber'!$B$15,"Ketat",IF(J2429&lt;='Catatan &amp; Sumber'!$B$16,"Sedang","Relatif Longgar"))))</x:f>
        <x:v>Ketat</x:v>
      </x:c>
      <x:c r="N2429" s="66" t="str">
        <x:v>Tidak Ada</x:v>
      </x:c>
      <x:c r="O2429" s="66" t="str">
        <x:v>Yogyakarta</x:v>
      </x:c>
      <x:c r="P2429" s="66" t="str">
        <x:v>Kabupaten Sleman</x:v>
      </x:c>
      <x:c r="Q2429" s="66" t="str">
        <x:v>https://snpmb.id/snbp/daya-tampung-snbp</x:v>
      </x:c>
      <x:c r="R2429" s="66" t="str">
        <x:v>https://sidatagrun-public-1076756628210.asia-southeast2.run.app/ptn_sn.php?ptn=363</x:v>
      </x:c>
    </x:row>
    <x:row r="2430">
      <x:c r="A2430" s="87" t="n">
        <x:v>364</x:v>
      </x:c>
      <x:c r="B2430" s="66" t="n">
        <x:v>363</x:v>
      </x:c>
      <x:c r="C2430" s="66" t="str">
        <x:v>UPN "VETERAN" YOGYAKARTA</x:v>
      </x:c>
      <x:c r="D2430" s="66" t="str">
        <x:v>PTN Akademik</x:v>
      </x:c>
      <x:c r="E2430" s="66" t="str">
        <x:v>13631003</x:v>
      </x:c>
      <x:c r="F2430" s="66" t="str">
        <x:v>TEKNIK PERMINYAKAN</x:v>
      </x:c>
      <x:c r="G2430" s="66" t="str">
        <x:v>Sarjana</x:v>
      </x:c>
      <x:c r="H2430" s="87" t="n">
        <x:v>43</x:v>
      </x:c>
      <x:c r="I2430" s="87" t="n">
        <x:v>953</x:v>
      </x:c>
      <x:c r="J2430" s="68" t="n">
        <x:f>IFERROR(H2430/I2430,"")</x:f>
        <x:v>0.04512067156348373</x:v>
      </x:c>
      <x:c r="K2430" s="69" t="n">
        <x:f>IFERROR(I2430/H2430,"")</x:f>
        <x:v>22.162790697674417</x:v>
      </x:c>
      <x:c r="L2430" s="66" t="str">
        <x:f>IF(K2430="","","1 : "&amp;TEXT(K2430,"0.0"))</x:f>
        <x:v>1 : 22.2</x:v>
      </x:c>
      <x:c r="M2430" s="66" t="str">
        <x:f>IF(J2430="","Baru/Tanpa Data",IF(J2430&lt;='Catatan &amp; Sumber'!$B$14,"Sangat Ketat",IF(J2430&lt;='Catatan &amp; Sumber'!$B$15,"Ketat",IF(J2430&lt;='Catatan &amp; Sumber'!$B$16,"Sedang","Relatif Longgar"))))</x:f>
        <x:v>Ketat</x:v>
      </x:c>
      <x:c r="N2430" s="66" t="str">
        <x:v>Tidak Ada</x:v>
      </x:c>
      <x:c r="O2430" s="66" t="str">
        <x:v>Yogyakarta</x:v>
      </x:c>
      <x:c r="P2430" s="66" t="str">
        <x:v>Kabupaten Sleman</x:v>
      </x:c>
      <x:c r="Q2430" s="66" t="str">
        <x:v>https://snpmb.id/snbp/daya-tampung-snbp</x:v>
      </x:c>
      <x:c r="R2430" s="66" t="str">
        <x:v>https://sidatagrun-public-1076756628210.asia-southeast2.run.app/ptn_sn.php?ptn=363</x:v>
      </x:c>
    </x:row>
    <x:row r="2431">
      <x:c r="A2431" s="87" t="n">
        <x:v>674</x:v>
      </x:c>
      <x:c r="B2431" s="66" t="n">
        <x:v>363</x:v>
      </x:c>
      <x:c r="C2431" s="66" t="str">
        <x:v>UPN "VETERAN" YOGYAKARTA</x:v>
      </x:c>
      <x:c r="D2431" s="66" t="str">
        <x:v>PTN Akademik</x:v>
      </x:c>
      <x:c r="E2431" s="66" t="str">
        <x:v>13631004</x:v>
      </x:c>
      <x:c r="F2431" s="66" t="str">
        <x:v>TEKNIK LINGKUNGAN</x:v>
      </x:c>
      <x:c r="G2431" s="66" t="str">
        <x:v>Sarjana</x:v>
      </x:c>
      <x:c r="H2431" s="87" t="n">
        <x:v>40</x:v>
      </x:c>
      <x:c r="I2431" s="87" t="n">
        <x:v>662</x:v>
      </x:c>
      <x:c r="J2431" s="68" t="n">
        <x:f>IFERROR(H2431/I2431,"")</x:f>
        <x:v>0.06042296072507553</x:v>
      </x:c>
      <x:c r="K2431" s="69" t="n">
        <x:f>IFERROR(I2431/H2431,"")</x:f>
        <x:v>16.55</x:v>
      </x:c>
      <x:c r="L2431" s="66" t="str">
        <x:f>IF(K2431="","","1 : "&amp;TEXT(K2431,"0.0"))</x:f>
        <x:v>1 : 16.6</x:v>
      </x:c>
      <x:c r="M2431" s="66" t="str">
        <x:f>IF(J2431="","Baru/Tanpa Data",IF(J2431&lt;='Catatan &amp; Sumber'!$B$14,"Sangat Ketat",IF(J2431&lt;='Catatan &amp; Sumber'!$B$15,"Ketat",IF(J2431&lt;='Catatan &amp; Sumber'!$B$16,"Sedang","Relatif Longgar"))))</x:f>
        <x:v>Sedang</x:v>
      </x:c>
      <x:c r="N2431" s="66" t="str">
        <x:v>Tidak Ada</x:v>
      </x:c>
      <x:c r="O2431" s="66" t="str">
        <x:v>Yogyakarta</x:v>
      </x:c>
      <x:c r="P2431" s="66" t="str">
        <x:v>Kabupaten Sleman</x:v>
      </x:c>
      <x:c r="Q2431" s="66" t="str">
        <x:v>https://snpmb.id/snbp/daya-tampung-snbp</x:v>
      </x:c>
      <x:c r="R2431" s="66" t="str">
        <x:v>https://sidatagrun-public-1076756628210.asia-southeast2.run.app/ptn_sn.php?ptn=363</x:v>
      </x:c>
    </x:row>
    <x:row r="2432">
      <x:c r="A2432" s="87" t="n">
        <x:v>1007</x:v>
      </x:c>
      <x:c r="B2432" s="66" t="n">
        <x:v>363</x:v>
      </x:c>
      <x:c r="C2432" s="66" t="str">
        <x:v>UPN "VETERAN" YOGYAKARTA</x:v>
      </x:c>
      <x:c r="D2432" s="66" t="str">
        <x:v>PTN Akademik</x:v>
      </x:c>
      <x:c r="E2432" s="66" t="str">
        <x:v>13631005</x:v>
      </x:c>
      <x:c r="F2432" s="66" t="str">
        <x:v>TEKNIK GEOFISIKA</x:v>
      </x:c>
      <x:c r="G2432" s="66" t="str">
        <x:v>Sarjana</x:v>
      </x:c>
      <x:c r="H2432" s="87" t="n">
        <x:v>27</x:v>
      </x:c>
      <x:c r="I2432" s="87" t="n">
        <x:v>343</x:v>
      </x:c>
      <x:c r="J2432" s="68" t="n">
        <x:f>IFERROR(H2432/I2432,"")</x:f>
        <x:v>0.07871720116618076</x:v>
      </x:c>
      <x:c r="K2432" s="69" t="n">
        <x:f>IFERROR(I2432/H2432,"")</x:f>
        <x:v>12.703703703703704</x:v>
      </x:c>
      <x:c r="L2432" s="66" t="str">
        <x:f>IF(K2432="","","1 : "&amp;TEXT(K2432,"0.0"))</x:f>
        <x:v>1 : 12.7</x:v>
      </x:c>
      <x:c r="M2432" s="66" t="str">
        <x:f>IF(J2432="","Baru/Tanpa Data",IF(J2432&lt;='Catatan &amp; Sumber'!$B$14,"Sangat Ketat",IF(J2432&lt;='Catatan &amp; Sumber'!$B$15,"Ketat",IF(J2432&lt;='Catatan &amp; Sumber'!$B$16,"Sedang","Relatif Longgar"))))</x:f>
        <x:v>Sedang</x:v>
      </x:c>
      <x:c r="N2432" s="66" t="str">
        <x:v>Tidak Ada</x:v>
      </x:c>
      <x:c r="O2432" s="66" t="str">
        <x:v>Yogyakarta</x:v>
      </x:c>
      <x:c r="P2432" s="66" t="str">
        <x:v>Kabupaten Sleman</x:v>
      </x:c>
      <x:c r="Q2432" s="66" t="str">
        <x:v>https://snpmb.id/snbp/daya-tampung-snbp</x:v>
      </x:c>
      <x:c r="R2432" s="66" t="str">
        <x:v>https://sidatagrun-public-1076756628210.asia-southeast2.run.app/ptn_sn.php?ptn=363</x:v>
      </x:c>
    </x:row>
    <x:row r="2433">
      <x:c r="A2433" s="87" t="n">
        <x:v>1257</x:v>
      </x:c>
      <x:c r="B2433" s="66" t="n">
        <x:v>363</x:v>
      </x:c>
      <x:c r="C2433" s="66" t="str">
        <x:v>UPN "VETERAN" YOGYAKARTA</x:v>
      </x:c>
      <x:c r="D2433" s="66" t="str">
        <x:v>PTN Akademik</x:v>
      </x:c>
      <x:c r="E2433" s="66" t="str">
        <x:v>13631006</x:v>
      </x:c>
      <x:c r="F2433" s="66" t="str">
        <x:v>TEKNIK KIMIA</x:v>
      </x:c>
      <x:c r="G2433" s="66" t="str">
        <x:v>Sarjana</x:v>
      </x:c>
      <x:c r="H2433" s="87" t="n">
        <x:v>55</x:v>
      </x:c>
      <x:c r="I2433" s="87" t="n">
        <x:v>589</x:v>
      </x:c>
      <x:c r="J2433" s="68" t="n">
        <x:f>IFERROR(H2433/I2433,"")</x:f>
        <x:v>0.0933786078098472</x:v>
      </x:c>
      <x:c r="K2433" s="69" t="n">
        <x:f>IFERROR(I2433/H2433,"")</x:f>
        <x:v>10.709090909090909</x:v>
      </x:c>
      <x:c r="L2433" s="66" t="str">
        <x:f>IF(K2433="","","1 : "&amp;TEXT(K2433,"0.0"))</x:f>
        <x:v>1 : 10.7</x:v>
      </x:c>
      <x:c r="M2433" s="66" t="str">
        <x:f>IF(J2433="","Baru/Tanpa Data",IF(J2433&lt;='Catatan &amp; Sumber'!$B$14,"Sangat Ketat",IF(J2433&lt;='Catatan &amp; Sumber'!$B$15,"Ketat",IF(J2433&lt;='Catatan &amp; Sumber'!$B$16,"Sedang","Relatif Longgar"))))</x:f>
        <x:v>Sedang</x:v>
      </x:c>
      <x:c r="N2433" s="66" t="str">
        <x:v>Tidak Ada</x:v>
      </x:c>
      <x:c r="O2433" s="66" t="str">
        <x:v>Yogyakarta</x:v>
      </x:c>
      <x:c r="P2433" s="66" t="str">
        <x:v>Kabupaten Sleman</x:v>
      </x:c>
      <x:c r="Q2433" s="66" t="str">
        <x:v>https://snpmb.id/snbp/daya-tampung-snbp</x:v>
      </x:c>
      <x:c r="R2433" s="66" t="str">
        <x:v>https://sidatagrun-public-1076756628210.asia-southeast2.run.app/ptn_sn.php?ptn=363</x:v>
      </x:c>
    </x:row>
    <x:row r="2434">
      <x:c r="A2434" s="87" t="n">
        <x:v>235</x:v>
      </x:c>
      <x:c r="B2434" s="66" t="n">
        <x:v>363</x:v>
      </x:c>
      <x:c r="C2434" s="66" t="str">
        <x:v>UPN "VETERAN" YOGYAKARTA</x:v>
      </x:c>
      <x:c r="D2434" s="66" t="str">
        <x:v>PTN Akademik</x:v>
      </x:c>
      <x:c r="E2434" s="66" t="str">
        <x:v>13631007</x:v>
      </x:c>
      <x:c r="F2434" s="66" t="str">
        <x:v>TEKNIK INDUSTRI</x:v>
      </x:c>
      <x:c r="G2434" s="66" t="str">
        <x:v>Sarjana</x:v>
      </x:c>
      <x:c r="H2434" s="87" t="n">
        <x:v>56</x:v>
      </x:c>
      <x:c r="I2434" s="87" t="n">
        <x:v>1453</x:v>
      </x:c>
      <x:c r="J2434" s="68" t="n">
        <x:f>IFERROR(H2434/I2434,"")</x:f>
        <x:v>0.038540949759119064</x:v>
      </x:c>
      <x:c r="K2434" s="69" t="n">
        <x:f>IFERROR(I2434/H2434,"")</x:f>
        <x:v>25.946428571428573</x:v>
      </x:c>
      <x:c r="L2434" s="66" t="str">
        <x:f>IF(K2434="","","1 : "&amp;TEXT(K2434,"0.0"))</x:f>
        <x:v>1 : 25.9</x:v>
      </x:c>
      <x:c r="M2434" s="66" t="str">
        <x:f>IF(J2434="","Baru/Tanpa Data",IF(J2434&lt;='Catatan &amp; Sumber'!$B$14,"Sangat Ketat",IF(J2434&lt;='Catatan &amp; Sumber'!$B$15,"Ketat",IF(J2434&lt;='Catatan &amp; Sumber'!$B$16,"Sedang","Relatif Longgar"))))</x:f>
        <x:v>Ketat</x:v>
      </x:c>
      <x:c r="N2434" s="66" t="str">
        <x:v>Tidak Ada</x:v>
      </x:c>
      <x:c r="O2434" s="66" t="str">
        <x:v>Yogyakarta</x:v>
      </x:c>
      <x:c r="P2434" s="66" t="str">
        <x:v>Kabupaten Sleman</x:v>
      </x:c>
      <x:c r="Q2434" s="66" t="str">
        <x:v>https://snpmb.id/snbp/daya-tampung-snbp</x:v>
      </x:c>
      <x:c r="R2434" s="66" t="str">
        <x:v>https://sidatagrun-public-1076756628210.asia-southeast2.run.app/ptn_sn.php?ptn=363</x:v>
      </x:c>
    </x:row>
    <x:row r="2435">
      <x:c r="A2435" s="87" t="n">
        <x:v>613</x:v>
      </x:c>
      <x:c r="B2435" s="66" t="n">
        <x:v>363</x:v>
      </x:c>
      <x:c r="C2435" s="66" t="str">
        <x:v>UPN "VETERAN" YOGYAKARTA</x:v>
      </x:c>
      <x:c r="D2435" s="66" t="str">
        <x:v>PTN Akademik</x:v>
      </x:c>
      <x:c r="E2435" s="66" t="str">
        <x:v>13631008</x:v>
      </x:c>
      <x:c r="F2435" s="66" t="str">
        <x:v>TEKNIK INFORMATIKA</x:v>
      </x:c>
      <x:c r="G2435" s="66" t="str">
        <x:v>Sarjana</x:v>
      </x:c>
      <x:c r="H2435" s="87" t="n">
        <x:v>52</x:v>
      </x:c>
      <x:c r="I2435" s="87" t="n">
        <x:v>895</x:v>
      </x:c>
      <x:c r="J2435" s="68" t="n">
        <x:f>IFERROR(H2435/I2435,"")</x:f>
        <x:v>0.05810055865921788</x:v>
      </x:c>
      <x:c r="K2435" s="69" t="n">
        <x:f>IFERROR(I2435/H2435,"")</x:f>
        <x:v>17.21153846153846</x:v>
      </x:c>
      <x:c r="L2435" s="66" t="str">
        <x:f>IF(K2435="","","1 : "&amp;TEXT(K2435,"0.0"))</x:f>
        <x:v>1 : 17.2</x:v>
      </x:c>
      <x:c r="M2435" s="66" t="str">
        <x:f>IF(J2435="","Baru/Tanpa Data",IF(J2435&lt;='Catatan &amp; Sumber'!$B$14,"Sangat Ketat",IF(J2435&lt;='Catatan &amp; Sumber'!$B$15,"Ketat",IF(J2435&lt;='Catatan &amp; Sumber'!$B$16,"Sedang","Relatif Longgar"))))</x:f>
        <x:v>Sedang</x:v>
      </x:c>
      <x:c r="N2435" s="66" t="str">
        <x:v>Tidak Ada</x:v>
      </x:c>
      <x:c r="O2435" s="66" t="str">
        <x:v>Yogyakarta</x:v>
      </x:c>
      <x:c r="P2435" s="66" t="str">
        <x:v>Kabupaten Sleman</x:v>
      </x:c>
      <x:c r="Q2435" s="66" t="str">
        <x:v>https://snpmb.id/snbp/daya-tampung-snbp</x:v>
      </x:c>
      <x:c r="R2435" s="66" t="str">
        <x:v>https://sidatagrun-public-1076756628210.asia-southeast2.run.app/ptn_sn.php?ptn=363</x:v>
      </x:c>
    </x:row>
    <x:row r="2436">
      <x:c r="A2436" s="87" t="n">
        <x:v>1698</x:v>
      </x:c>
      <x:c r="B2436" s="66" t="n">
        <x:v>363</x:v>
      </x:c>
      <x:c r="C2436" s="66" t="str">
        <x:v>UPN "VETERAN" YOGYAKARTA</x:v>
      </x:c>
      <x:c r="D2436" s="66" t="str">
        <x:v>PTN Akademik</x:v>
      </x:c>
      <x:c r="E2436" s="66" t="str">
        <x:v>13631009</x:v>
      </x:c>
      <x:c r="F2436" s="66" t="str">
        <x:v>AGROTEKNOLOGI</x:v>
      </x:c>
      <x:c r="G2436" s="66" t="str">
        <x:v>Sarjana</x:v>
      </x:c>
      <x:c r="H2436" s="87" t="n">
        <x:v>69</x:v>
      </x:c>
      <x:c r="I2436" s="87" t="n">
        <x:v>557</x:v>
      </x:c>
      <x:c r="J2436" s="68" t="n">
        <x:f>IFERROR(H2436/I2436,"")</x:f>
        <x:v>0.12387791741472172</x:v>
      </x:c>
      <x:c r="K2436" s="69" t="n">
        <x:f>IFERROR(I2436/H2436,"")</x:f>
        <x:v>8.072463768115941</x:v>
      </x:c>
      <x:c r="L2436" s="66" t="str">
        <x:f>IF(K2436="","","1 : "&amp;TEXT(K2436,"0.0"))</x:f>
        <x:v>1 : 8.1</x:v>
      </x:c>
      <x:c r="M2436" s="66" t="str">
        <x:f>IF(J2436="","Baru/Tanpa Data",IF(J2436&lt;='Catatan &amp; Sumber'!$B$14,"Sangat Ketat",IF(J2436&lt;='Catatan &amp; Sumber'!$B$15,"Ketat",IF(J2436&lt;='Catatan &amp; Sumber'!$B$16,"Sedang","Relatif Longgar"))))</x:f>
        <x:v>Relatif Longgar</x:v>
      </x:c>
      <x:c r="N2436" s="66" t="str">
        <x:v>Tidak Ada</x:v>
      </x:c>
      <x:c r="O2436" s="66" t="str">
        <x:v>Yogyakarta</x:v>
      </x:c>
      <x:c r="P2436" s="66" t="str">
        <x:v>Kabupaten Sleman</x:v>
      </x:c>
      <x:c r="Q2436" s="66" t="str">
        <x:v>https://snpmb.id/snbp/daya-tampung-snbp</x:v>
      </x:c>
      <x:c r="R2436" s="66" t="str">
        <x:v>https://sidatagrun-public-1076756628210.asia-southeast2.run.app/ptn_sn.php?ptn=363</x:v>
      </x:c>
    </x:row>
    <x:row r="2437">
      <x:c r="A2437" s="87" t="n">
        <x:v>1407</x:v>
      </x:c>
      <x:c r="B2437" s="66" t="n">
        <x:v>363</x:v>
      </x:c>
      <x:c r="C2437" s="66" t="str">
        <x:v>UPN "VETERAN" YOGYAKARTA</x:v>
      </x:c>
      <x:c r="D2437" s="66" t="str">
        <x:v>PTN Akademik</x:v>
      </x:c>
      <x:c r="E2437" s="66" t="str">
        <x:v>13631010</x:v>
      </x:c>
      <x:c r="F2437" s="66" t="str">
        <x:v>AGRIBISNIS</x:v>
      </x:c>
      <x:c r="G2437" s="66" t="str">
        <x:v>Sarjana</x:v>
      </x:c>
      <x:c r="H2437" s="87" t="n">
        <x:v>54</x:v>
      </x:c>
      <x:c r="I2437" s="87" t="n">
        <x:v>526</x:v>
      </x:c>
      <x:c r="J2437" s="68" t="n">
        <x:f>IFERROR(H2437/I2437,"")</x:f>
        <x:v>0.10266159695817491</x:v>
      </x:c>
      <x:c r="K2437" s="69" t="n">
        <x:f>IFERROR(I2437/H2437,"")</x:f>
        <x:v>9.74074074074074</x:v>
      </x:c>
      <x:c r="L2437" s="66" t="str">
        <x:f>IF(K2437="","","1 : "&amp;TEXT(K2437,"0.0"))</x:f>
        <x:v>1 : 9.7</x:v>
      </x:c>
      <x:c r="M2437" s="66" t="str">
        <x:f>IF(J2437="","Baru/Tanpa Data",IF(J2437&lt;='Catatan &amp; Sumber'!$B$14,"Sangat Ketat",IF(J2437&lt;='Catatan &amp; Sumber'!$B$15,"Ketat",IF(J2437&lt;='Catatan &amp; Sumber'!$B$16,"Sedang","Relatif Longgar"))))</x:f>
        <x:v>Relatif Longgar</x:v>
      </x:c>
      <x:c r="N2437" s="66" t="str">
        <x:v>Tidak Ada</x:v>
      </x:c>
      <x:c r="O2437" s="66" t="str">
        <x:v>Yogyakarta</x:v>
      </x:c>
      <x:c r="P2437" s="66" t="str">
        <x:v>Kabupaten Sleman</x:v>
      </x:c>
      <x:c r="Q2437" s="66" t="str">
        <x:v>https://snpmb.id/snbp/daya-tampung-snbp</x:v>
      </x:c>
      <x:c r="R2437" s="66" t="str">
        <x:v>https://sidatagrun-public-1076756628210.asia-southeast2.run.app/ptn_sn.php?ptn=363</x:v>
      </x:c>
    </x:row>
    <x:row r="2438">
      <x:c r="A2438" s="87" t="n">
        <x:v>389</x:v>
      </x:c>
      <x:c r="B2438" s="66" t="n">
        <x:v>363</x:v>
      </x:c>
      <x:c r="C2438" s="66" t="str">
        <x:v>UPN "VETERAN" YOGYAKARTA</x:v>
      </x:c>
      <x:c r="D2438" s="66" t="str">
        <x:v>PTN Akademik</x:v>
      </x:c>
      <x:c r="E2438" s="66" t="str">
        <x:v>13631011</x:v>
      </x:c>
      <x:c r="F2438" s="66" t="str">
        <x:v>METALURGI</x:v>
      </x:c>
      <x:c r="G2438" s="66" t="str">
        <x:v>Sarjana</x:v>
      </x:c>
      <x:c r="H2438" s="87" t="n">
        <x:v>28</x:v>
      </x:c>
      <x:c r="I2438" s="87" t="n">
        <x:v>607</x:v>
      </x:c>
      <x:c r="J2438" s="68" t="n">
        <x:f>IFERROR(H2438/I2438,"")</x:f>
        <x:v>0.04612850082372323</x:v>
      </x:c>
      <x:c r="K2438" s="69" t="n">
        <x:f>IFERROR(I2438/H2438,"")</x:f>
        <x:v>21.678571428571427</x:v>
      </x:c>
      <x:c r="L2438" s="66" t="str">
        <x:f>IF(K2438="","","1 : "&amp;TEXT(K2438,"0.0"))</x:f>
        <x:v>1 : 21.7</x:v>
      </x:c>
      <x:c r="M2438" s="66" t="str">
        <x:f>IF(J2438="","Baru/Tanpa Data",IF(J2438&lt;='Catatan &amp; Sumber'!$B$14,"Sangat Ketat",IF(J2438&lt;='Catatan &amp; Sumber'!$B$15,"Ketat",IF(J2438&lt;='Catatan &amp; Sumber'!$B$16,"Sedang","Relatif Longgar"))))</x:f>
        <x:v>Ketat</x:v>
      </x:c>
      <x:c r="N2438" s="66" t="str">
        <x:v>Tidak Ada</x:v>
      </x:c>
      <x:c r="O2438" s="66" t="str">
        <x:v>Yogyakarta</x:v>
      </x:c>
      <x:c r="P2438" s="66" t="str">
        <x:v>Kabupaten Sleman</x:v>
      </x:c>
      <x:c r="Q2438" s="66" t="str">
        <x:v>https://snpmb.id/snbp/daya-tampung-snbp</x:v>
      </x:c>
      <x:c r="R2438" s="66" t="str">
        <x:v>https://sidatagrun-public-1076756628210.asia-southeast2.run.app/ptn_sn.php?ptn=363</x:v>
      </x:c>
    </x:row>
    <x:row r="2439">
      <x:c r="A2439" s="87" t="n">
        <x:v>2165</x:v>
      </x:c>
      <x:c r="B2439" s="66" t="n">
        <x:v>363</x:v>
      </x:c>
      <x:c r="C2439" s="66" t="str">
        <x:v>UPN "VETERAN" YOGYAKARTA</x:v>
      </x:c>
      <x:c r="D2439" s="66" t="str">
        <x:v>PTN Akademik</x:v>
      </x:c>
      <x:c r="E2439" s="66" t="str">
        <x:v>13631012</x:v>
      </x:c>
      <x:c r="F2439" s="66" t="str">
        <x:v>ILMU TANAH</x:v>
      </x:c>
      <x:c r="G2439" s="66" t="str">
        <x:v>Sarjana</x:v>
      </x:c>
      <x:c r="H2439" s="87" t="n">
        <x:v>35</x:v>
      </x:c>
      <x:c r="I2439" s="87" t="n">
        <x:v>208</x:v>
      </x:c>
      <x:c r="J2439" s="68" t="n">
        <x:f>IFERROR(H2439/I2439,"")</x:f>
        <x:v>0.16826923076923078</x:v>
      </x:c>
      <x:c r="K2439" s="69" t="n">
        <x:f>IFERROR(I2439/H2439,"")</x:f>
        <x:v>5.942857142857143</x:v>
      </x:c>
      <x:c r="L2439" s="66" t="str">
        <x:f>IF(K2439="","","1 : "&amp;TEXT(K2439,"0.0"))</x:f>
        <x:v>1 : 5.9</x:v>
      </x:c>
      <x:c r="M2439" s="66" t="str">
        <x:f>IF(J2439="","Baru/Tanpa Data",IF(J2439&lt;='Catatan &amp; Sumber'!$B$14,"Sangat Ketat",IF(J2439&lt;='Catatan &amp; Sumber'!$B$15,"Ketat",IF(J2439&lt;='Catatan &amp; Sumber'!$B$16,"Sedang","Relatif Longgar"))))</x:f>
        <x:v>Relatif Longgar</x:v>
      </x:c>
      <x:c r="N2439" s="66" t="str">
        <x:v>Tidak Ada</x:v>
      </x:c>
      <x:c r="O2439" s="66" t="str">
        <x:v>Yogyakarta</x:v>
      </x:c>
      <x:c r="P2439" s="66" t="str">
        <x:v>Kabupaten Sleman</x:v>
      </x:c>
      <x:c r="Q2439" s="66" t="str">
        <x:v>https://snpmb.id/snbp/daya-tampung-snbp</x:v>
      </x:c>
      <x:c r="R2439" s="66" t="str">
        <x:v>https://sidatagrun-public-1076756628210.asia-southeast2.run.app/ptn_sn.php?ptn=363</x:v>
      </x:c>
    </x:row>
    <x:row r="2440">
      <x:c r="A2440" s="87" t="n">
        <x:v>734</x:v>
      </x:c>
      <x:c r="B2440" s="66" t="n">
        <x:v>363</x:v>
      </x:c>
      <x:c r="C2440" s="66" t="str">
        <x:v>UPN "VETERAN" YOGYAKARTA</x:v>
      </x:c>
      <x:c r="D2440" s="66" t="str">
        <x:v>PTN Akademik</x:v>
      </x:c>
      <x:c r="E2440" s="66" t="str">
        <x:v>13631013</x:v>
      </x:c>
      <x:c r="F2440" s="66" t="str">
        <x:v>SISTEM INFORMASI</x:v>
      </x:c>
      <x:c r="G2440" s="66" t="str">
        <x:v>Sarjana</x:v>
      </x:c>
      <x:c r="H2440" s="87" t="n">
        <x:v>41</x:v>
      </x:c>
      <x:c r="I2440" s="87" t="n">
        <x:v>641</x:v>
      </x:c>
      <x:c r="J2440" s="68" t="n">
        <x:f>IFERROR(H2440/I2440,"")</x:f>
        <x:v>0.06396255850234009</x:v>
      </x:c>
      <x:c r="K2440" s="69" t="n">
        <x:f>IFERROR(I2440/H2440,"")</x:f>
        <x:v>15.634146341463415</x:v>
      </x:c>
      <x:c r="L2440" s="66" t="str">
        <x:f>IF(K2440="","","1 : "&amp;TEXT(K2440,"0.0"))</x:f>
        <x:v>1 : 15.6</x:v>
      </x:c>
      <x:c r="M2440" s="66" t="str">
        <x:f>IF(J2440="","Baru/Tanpa Data",IF(J2440&lt;='Catatan &amp; Sumber'!$B$14,"Sangat Ketat",IF(J2440&lt;='Catatan &amp; Sumber'!$B$15,"Ketat",IF(J2440&lt;='Catatan &amp; Sumber'!$B$16,"Sedang","Relatif Longgar"))))</x:f>
        <x:v>Sedang</x:v>
      </x:c>
      <x:c r="N2440" s="66" t="str">
        <x:v>Tidak Ada</x:v>
      </x:c>
      <x:c r="O2440" s="66" t="str">
        <x:v>Yogyakarta</x:v>
      </x:c>
      <x:c r="P2440" s="66" t="str">
        <x:v>Kabupaten Sleman</x:v>
      </x:c>
      <x:c r="Q2440" s="66" t="str">
        <x:v>https://snpmb.id/snbp/daya-tampung-snbp</x:v>
      </x:c>
      <x:c r="R2440" s="66" t="str">
        <x:v>https://sidatagrun-public-1076756628210.asia-southeast2.run.app/ptn_sn.php?ptn=363</x:v>
      </x:c>
    </x:row>
    <x:row r="2441">
      <x:c r="A2441" s="87" t="n">
        <x:v>1670</x:v>
      </x:c>
      <x:c r="B2441" s="66" t="n">
        <x:v>363</x:v>
      </x:c>
      <x:c r="C2441" s="66" t="str">
        <x:v>UPN "VETERAN" YOGYAKARTA</x:v>
      </x:c>
      <x:c r="D2441" s="66" t="str">
        <x:v>PTN Akademik</x:v>
      </x:c>
      <x:c r="E2441" s="66" t="str">
        <x:v>13631014</x:v>
      </x:c>
      <x:c r="F2441" s="66" t="str">
        <x:v>TEKNIK GEOMATIKA</x:v>
      </x:c>
      <x:c r="G2441" s="66" t="str">
        <x:v>Sarjana</x:v>
      </x:c>
      <x:c r="H2441" s="87" t="n">
        <x:v>25</x:v>
      </x:c>
      <x:c r="I2441" s="87" t="n">
        <x:v>205</x:v>
      </x:c>
      <x:c r="J2441" s="68" t="n">
        <x:f>IFERROR(H2441/I2441,"")</x:f>
        <x:v>0.12195121951219512</x:v>
      </x:c>
      <x:c r="K2441" s="69" t="n">
        <x:f>IFERROR(I2441/H2441,"")</x:f>
        <x:v>8.2</x:v>
      </x:c>
      <x:c r="L2441" s="66" t="str">
        <x:f>IF(K2441="","","1 : "&amp;TEXT(K2441,"0.0"))</x:f>
        <x:v>1 : 8.2</x:v>
      </x:c>
      <x:c r="M2441" s="66" t="str">
        <x:f>IF(J2441="","Baru/Tanpa Data",IF(J2441&lt;='Catatan &amp; Sumber'!$B$14,"Sangat Ketat",IF(J2441&lt;='Catatan &amp; Sumber'!$B$15,"Ketat",IF(J2441&lt;='Catatan &amp; Sumber'!$B$16,"Sedang","Relatif Longgar"))))</x:f>
        <x:v>Relatif Longgar</x:v>
      </x:c>
      <x:c r="N2441" s="66" t="str">
        <x:v>Tidak Ada</x:v>
      </x:c>
      <x:c r="O2441" s="66" t="str">
        <x:v>Yogyakarta</x:v>
      </x:c>
      <x:c r="P2441" s="66" t="str">
        <x:v>Kabupaten Sleman</x:v>
      </x:c>
      <x:c r="Q2441" s="66" t="str">
        <x:v>https://snpmb.id/snbp/daya-tampung-snbp</x:v>
      </x:c>
      <x:c r="R2441" s="66" t="str">
        <x:v>https://sidatagrun-public-1076756628210.asia-southeast2.run.app/ptn_sn.php?ptn=363</x:v>
      </x:c>
    </x:row>
    <x:row r="2442">
      <x:c r="A2442" s="87" t="n">
        <x:v>1558</x:v>
      </x:c>
      <x:c r="B2442" s="66" t="n">
        <x:v>363</x:v>
      </x:c>
      <x:c r="C2442" s="66" t="str">
        <x:v>UPN "VETERAN" YOGYAKARTA</x:v>
      </x:c>
      <x:c r="D2442" s="66" t="str">
        <x:v>PTN Akademik</x:v>
      </x:c>
      <x:c r="E2442" s="66" t="str">
        <x:v>13631015</x:v>
      </x:c>
      <x:c r="F2442" s="66" t="str">
        <x:v>MANAJEMEN</x:v>
      </x:c>
      <x:c r="G2442" s="66" t="str">
        <x:v>Sarjana</x:v>
      </x:c>
      <x:c r="H2442" s="87" t="n">
        <x:v>142</x:v>
      </x:c>
      <x:c r="I2442" s="87" t="n">
        <x:v>1250</x:v>
      </x:c>
      <x:c r="J2442" s="68" t="n">
        <x:f>IFERROR(H2442/I2442,"")</x:f>
        <x:v>0.1136</x:v>
      </x:c>
      <x:c r="K2442" s="69" t="n">
        <x:f>IFERROR(I2442/H2442,"")</x:f>
        <x:v>8.80281690140845</x:v>
      </x:c>
      <x:c r="L2442" s="66" t="str">
        <x:f>IF(K2442="","","1 : "&amp;TEXT(K2442,"0.0"))</x:f>
        <x:v>1 : 8.8</x:v>
      </x:c>
      <x:c r="M2442" s="66" t="str">
        <x:f>IF(J2442="","Baru/Tanpa Data",IF(J2442&lt;='Catatan &amp; Sumber'!$B$14,"Sangat Ketat",IF(J2442&lt;='Catatan &amp; Sumber'!$B$15,"Ketat",IF(J2442&lt;='Catatan &amp; Sumber'!$B$16,"Sedang","Relatif Longgar"))))</x:f>
        <x:v>Relatif Longgar</x:v>
      </x:c>
      <x:c r="N2442" s="66" t="str">
        <x:v>Tidak Ada</x:v>
      </x:c>
      <x:c r="O2442" s="66" t="str">
        <x:v>Yogyakarta</x:v>
      </x:c>
      <x:c r="P2442" s="66" t="str">
        <x:v>Kabupaten Sleman</x:v>
      </x:c>
      <x:c r="Q2442" s="66" t="str">
        <x:v>https://snpmb.id/snbp/daya-tampung-snbp</x:v>
      </x:c>
      <x:c r="R2442" s="66" t="str">
        <x:v>https://sidatagrun-public-1076756628210.asia-southeast2.run.app/ptn_sn.php?ptn=363</x:v>
      </x:c>
    </x:row>
    <x:row r="2443">
      <x:c r="A2443" s="87" t="n">
        <x:v>1137</x:v>
      </x:c>
      <x:c r="B2443" s="66" t="n">
        <x:v>363</x:v>
      </x:c>
      <x:c r="C2443" s="66" t="str">
        <x:v>UPN "VETERAN" YOGYAKARTA</x:v>
      </x:c>
      <x:c r="D2443" s="66" t="str">
        <x:v>PTN Akademik</x:v>
      </x:c>
      <x:c r="E2443" s="66" t="str">
        <x:v>13631016</x:v>
      </x:c>
      <x:c r="F2443" s="66" t="str">
        <x:v>AKUNTANSI</x:v>
      </x:c>
      <x:c r="G2443" s="66" t="str">
        <x:v>Sarjana</x:v>
      </x:c>
      <x:c r="H2443" s="87" t="n">
        <x:v>87</x:v>
      </x:c>
      <x:c r="I2443" s="87" t="n">
        <x:v>1011</x:v>
      </x:c>
      <x:c r="J2443" s="68" t="n">
        <x:f>IFERROR(H2443/I2443,"")</x:f>
        <x:v>0.08605341246290801</x:v>
      </x:c>
      <x:c r="K2443" s="69" t="n">
        <x:f>IFERROR(I2443/H2443,"")</x:f>
        <x:v>11.620689655172415</x:v>
      </x:c>
      <x:c r="L2443" s="66" t="str">
        <x:f>IF(K2443="","","1 : "&amp;TEXT(K2443,"0.0"))</x:f>
        <x:v>1 : 11.6</x:v>
      </x:c>
      <x:c r="M2443" s="66" t="str">
        <x:f>IF(J2443="","Baru/Tanpa Data",IF(J2443&lt;='Catatan &amp; Sumber'!$B$14,"Sangat Ketat",IF(J2443&lt;='Catatan &amp; Sumber'!$B$15,"Ketat",IF(J2443&lt;='Catatan &amp; Sumber'!$B$16,"Sedang","Relatif Longgar"))))</x:f>
        <x:v>Sedang</x:v>
      </x:c>
      <x:c r="N2443" s="66" t="str">
        <x:v>Tidak Ada</x:v>
      </x:c>
      <x:c r="O2443" s="66" t="str">
        <x:v>Yogyakarta</x:v>
      </x:c>
      <x:c r="P2443" s="66" t="str">
        <x:v>Kabupaten Sleman</x:v>
      </x:c>
      <x:c r="Q2443" s="66" t="str">
        <x:v>https://snpmb.id/snbp/daya-tampung-snbp</x:v>
      </x:c>
      <x:c r="R2443" s="66" t="str">
        <x:v>https://sidatagrun-public-1076756628210.asia-southeast2.run.app/ptn_sn.php?ptn=363</x:v>
      </x:c>
    </x:row>
    <x:row r="2444">
      <x:c r="A2444" s="87" t="n">
        <x:v>2116</x:v>
      </x:c>
      <x:c r="B2444" s="66" t="n">
        <x:v>363</x:v>
      </x:c>
      <x:c r="C2444" s="66" t="str">
        <x:v>UPN "VETERAN" YOGYAKARTA</x:v>
      </x:c>
      <x:c r="D2444" s="66" t="str">
        <x:v>PTN Akademik</x:v>
      </x:c>
      <x:c r="E2444" s="66" t="str">
        <x:v>13631017</x:v>
      </x:c>
      <x:c r="F2444" s="66" t="str">
        <x:v>EKONOMI PEMBANGUNAN</x:v>
      </x:c>
      <x:c r="G2444" s="66" t="str">
        <x:v>Sarjana</x:v>
      </x:c>
      <x:c r="H2444" s="87" t="n">
        <x:v>77</x:v>
      </x:c>
      <x:c r="I2444" s="87" t="n">
        <x:v>472</x:v>
      </x:c>
      <x:c r="J2444" s="68" t="n">
        <x:f>IFERROR(H2444/I2444,"")</x:f>
        <x:v>0.163135593220339</x:v>
      </x:c>
      <x:c r="K2444" s="69" t="n">
        <x:f>IFERROR(I2444/H2444,"")</x:f>
        <x:v>6.12987012987013</x:v>
      </x:c>
      <x:c r="L2444" s="66" t="str">
        <x:f>IF(K2444="","","1 : "&amp;TEXT(K2444,"0.0"))</x:f>
        <x:v>1 : 6.1</x:v>
      </x:c>
      <x:c r="M2444" s="66" t="str">
        <x:f>IF(J2444="","Baru/Tanpa Data",IF(J2444&lt;='Catatan &amp; Sumber'!$B$14,"Sangat Ketat",IF(J2444&lt;='Catatan &amp; Sumber'!$B$15,"Ketat",IF(J2444&lt;='Catatan &amp; Sumber'!$B$16,"Sedang","Relatif Longgar"))))</x:f>
        <x:v>Relatif Longgar</x:v>
      </x:c>
      <x:c r="N2444" s="66" t="str">
        <x:v>Tidak Ada</x:v>
      </x:c>
      <x:c r="O2444" s="66" t="str">
        <x:v>Yogyakarta</x:v>
      </x:c>
      <x:c r="P2444" s="66" t="str">
        <x:v>Kabupaten Sleman</x:v>
      </x:c>
      <x:c r="Q2444" s="66" t="str">
        <x:v>https://snpmb.id/snbp/daya-tampung-snbp</x:v>
      </x:c>
      <x:c r="R2444" s="66" t="str">
        <x:v>https://sidatagrun-public-1076756628210.asia-southeast2.run.app/ptn_sn.php?ptn=363</x:v>
      </x:c>
    </x:row>
    <x:row r="2445">
      <x:c r="A2445" s="87" t="n">
        <x:v>1770</x:v>
      </x:c>
      <x:c r="B2445" s="66" t="n">
        <x:v>363</x:v>
      </x:c>
      <x:c r="C2445" s="66" t="str">
        <x:v>UPN "VETERAN" YOGYAKARTA</x:v>
      </x:c>
      <x:c r="D2445" s="66" t="str">
        <x:v>PTN Akademik</x:v>
      </x:c>
      <x:c r="E2445" s="66" t="str">
        <x:v>13631018</x:v>
      </x:c>
      <x:c r="F2445" s="66" t="str">
        <x:v>ILMU HUBUNGAN INTERNASIONAL</x:v>
      </x:c>
      <x:c r="G2445" s="66" t="str">
        <x:v>Sarjana</x:v>
      </x:c>
      <x:c r="H2445" s="87" t="n">
        <x:v>55</x:v>
      </x:c>
      <x:c r="I2445" s="87" t="n">
        <x:v>423</x:v>
      </x:c>
      <x:c r="J2445" s="68" t="n">
        <x:f>IFERROR(H2445/I2445,"")</x:f>
        <x:v>0.13002364066193853</x:v>
      </x:c>
      <x:c r="K2445" s="69" t="n">
        <x:f>IFERROR(I2445/H2445,"")</x:f>
        <x:v>7.6909090909090905</x:v>
      </x:c>
      <x:c r="L2445" s="66" t="str">
        <x:f>IF(K2445="","","1 : "&amp;TEXT(K2445,"0.0"))</x:f>
        <x:v>1 : 7.7</x:v>
      </x:c>
      <x:c r="M2445" s="66" t="str">
        <x:f>IF(J2445="","Baru/Tanpa Data",IF(J2445&lt;='Catatan &amp; Sumber'!$B$14,"Sangat Ketat",IF(J2445&lt;='Catatan &amp; Sumber'!$B$15,"Ketat",IF(J2445&lt;='Catatan &amp; Sumber'!$B$16,"Sedang","Relatif Longgar"))))</x:f>
        <x:v>Relatif Longgar</x:v>
      </x:c>
      <x:c r="N2445" s="66" t="str">
        <x:v>Tidak Ada</x:v>
      </x:c>
      <x:c r="O2445" s="66" t="str">
        <x:v>Yogyakarta</x:v>
      </x:c>
      <x:c r="P2445" s="66" t="str">
        <x:v>Kabupaten Sleman</x:v>
      </x:c>
      <x:c r="Q2445" s="66" t="str">
        <x:v>https://snpmb.id/snbp/daya-tampung-snbp</x:v>
      </x:c>
      <x:c r="R2445" s="66" t="str">
        <x:v>https://sidatagrun-public-1076756628210.asia-southeast2.run.app/ptn_sn.php?ptn=363</x:v>
      </x:c>
    </x:row>
    <x:row r="2446">
      <x:c r="A2446" s="87" t="n">
        <x:v>714</x:v>
      </x:c>
      <x:c r="B2446" s="66" t="n">
        <x:v>363</x:v>
      </x:c>
      <x:c r="C2446" s="66" t="str">
        <x:v>UPN "VETERAN" YOGYAKARTA</x:v>
      </x:c>
      <x:c r="D2446" s="66" t="str">
        <x:v>PTN Akademik</x:v>
      </x:c>
      <x:c r="E2446" s="66" t="str">
        <x:v>13631019</x:v>
      </x:c>
      <x:c r="F2446" s="66" t="str">
        <x:v>ILMU ADMINISTRASI BISNIS</x:v>
      </x:c>
      <x:c r="G2446" s="66" t="str">
        <x:v>Sarjana</x:v>
      </x:c>
      <x:c r="H2446" s="87" t="n">
        <x:v>55</x:v>
      </x:c>
      <x:c r="I2446" s="87" t="n">
        <x:v>880</x:v>
      </x:c>
      <x:c r="J2446" s="68" t="n">
        <x:f>IFERROR(H2446/I2446,"")</x:f>
        <x:v>0.0625</x:v>
      </x:c>
      <x:c r="K2446" s="69" t="n">
        <x:f>IFERROR(I2446/H2446,"")</x:f>
        <x:v>16</x:v>
      </x:c>
      <x:c r="L2446" s="66" t="str">
        <x:f>IF(K2446="","","1 : "&amp;TEXT(K2446,"0.0"))</x:f>
        <x:v>1 : 16.0</x:v>
      </x:c>
      <x:c r="M2446" s="66" t="str">
        <x:f>IF(J2446="","Baru/Tanpa Data",IF(J2446&lt;='Catatan &amp; Sumber'!$B$14,"Sangat Ketat",IF(J2446&lt;='Catatan &amp; Sumber'!$B$15,"Ketat",IF(J2446&lt;='Catatan &amp; Sumber'!$B$16,"Sedang","Relatif Longgar"))))</x:f>
        <x:v>Sedang</x:v>
      </x:c>
      <x:c r="N2446" s="66" t="str">
        <x:v>Tidak Ada</x:v>
      </x:c>
      <x:c r="O2446" s="66" t="str">
        <x:v>Yogyakarta</x:v>
      </x:c>
      <x:c r="P2446" s="66" t="str">
        <x:v>Kabupaten Sleman</x:v>
      </x:c>
      <x:c r="Q2446" s="66" t="str">
        <x:v>https://snpmb.id/snbp/daya-tampung-snbp</x:v>
      </x:c>
      <x:c r="R2446" s="66" t="str">
        <x:v>https://sidatagrun-public-1076756628210.asia-southeast2.run.app/ptn_sn.php?ptn=363</x:v>
      </x:c>
    </x:row>
    <x:row r="2447">
      <x:c r="A2447" s="87" t="n">
        <x:v>728</x:v>
      </x:c>
      <x:c r="B2447" s="66" t="n">
        <x:v>363</x:v>
      </x:c>
      <x:c r="C2447" s="66" t="str">
        <x:v>UPN "VETERAN" YOGYAKARTA</x:v>
      </x:c>
      <x:c r="D2447" s="66" t="str">
        <x:v>PTN Akademik</x:v>
      </x:c>
      <x:c r="E2447" s="66" t="str">
        <x:v>13631020</x:v>
      </x:c>
      <x:c r="F2447" s="66" t="str">
        <x:v>ILMU KOMUNIKASI</x:v>
      </x:c>
      <x:c r="G2447" s="66" t="str">
        <x:v>Sarjana</x:v>
      </x:c>
      <x:c r="H2447" s="87" t="n">
        <x:v>56</x:v>
      </x:c>
      <x:c r="I2447" s="87" t="n">
        <x:v>879</x:v>
      </x:c>
      <x:c r="J2447" s="68" t="n">
        <x:f>IFERROR(H2447/I2447,"")</x:f>
        <x:v>0.06370875995449374</x:v>
      </x:c>
      <x:c r="K2447" s="69" t="n">
        <x:f>IFERROR(I2447/H2447,"")</x:f>
        <x:v>15.696428571428571</x:v>
      </x:c>
      <x:c r="L2447" s="66" t="str">
        <x:f>IF(K2447="","","1 : "&amp;TEXT(K2447,"0.0"))</x:f>
        <x:v>1 : 15.7</x:v>
      </x:c>
      <x:c r="M2447" s="66" t="str">
        <x:f>IF(J2447="","Baru/Tanpa Data",IF(J2447&lt;='Catatan &amp; Sumber'!$B$14,"Sangat Ketat",IF(J2447&lt;='Catatan &amp; Sumber'!$B$15,"Ketat",IF(J2447&lt;='Catatan &amp; Sumber'!$B$16,"Sedang","Relatif Longgar"))))</x:f>
        <x:v>Sedang</x:v>
      </x:c>
      <x:c r="N2447" s="66" t="str">
        <x:v>Tidak Ada</x:v>
      </x:c>
      <x:c r="O2447" s="66" t="str">
        <x:v>Yogyakarta</x:v>
      </x:c>
      <x:c r="P2447" s="66" t="str">
        <x:v>Kabupaten Sleman</x:v>
      </x:c>
      <x:c r="Q2447" s="66" t="str">
        <x:v>https://snpmb.id/snbp/daya-tampung-snbp</x:v>
      </x:c>
      <x:c r="R2447" s="66" t="str">
        <x:v>https://sidatagrun-public-1076756628210.asia-southeast2.run.app/ptn_sn.php?ptn=363</x:v>
      </x:c>
    </x:row>
    <x:row r="2448">
      <x:c r="A2448" s="87" t="n">
        <x:v>1064</x:v>
      </x:c>
      <x:c r="B2448" s="66" t="n">
        <x:v>363</x:v>
      </x:c>
      <x:c r="C2448" s="66" t="str">
        <x:v>UPN "VETERAN" YOGYAKARTA</x:v>
      </x:c>
      <x:c r="D2448" s="66" t="str">
        <x:v>PTN Akademik</x:v>
      </x:c>
      <x:c r="E2448" s="66" t="str">
        <x:v>13631021</x:v>
      </x:c>
      <x:c r="F2448" s="66" t="str">
        <x:v>HUBUNGAN MASYARAKAT</x:v>
      </x:c>
      <x:c r="G2448" s="66" t="str">
        <x:v>Sarjana</x:v>
      </x:c>
      <x:c r="H2448" s="87" t="n">
        <x:v>45</x:v>
      </x:c>
      <x:c r="I2448" s="87" t="n">
        <x:v>551</x:v>
      </x:c>
      <x:c r="J2448" s="68" t="n">
        <x:f>IFERROR(H2448/I2448,"")</x:f>
        <x:v>0.08166969147005444</x:v>
      </x:c>
      <x:c r="K2448" s="69" t="n">
        <x:f>IFERROR(I2448/H2448,"")</x:f>
        <x:v>12.244444444444444</x:v>
      </x:c>
      <x:c r="L2448" s="66" t="str">
        <x:f>IF(K2448="","","1 : "&amp;TEXT(K2448,"0.0"))</x:f>
        <x:v>1 : 12.2</x:v>
      </x:c>
      <x:c r="M2448" s="66" t="str">
        <x:f>IF(J2448="","Baru/Tanpa Data",IF(J2448&lt;='Catatan &amp; Sumber'!$B$14,"Sangat Ketat",IF(J2448&lt;='Catatan &amp; Sumber'!$B$15,"Ketat",IF(J2448&lt;='Catatan &amp; Sumber'!$B$16,"Sedang","Relatif Longgar"))))</x:f>
        <x:v>Sedang</x:v>
      </x:c>
      <x:c r="N2448" s="66" t="str">
        <x:v>Tidak Ada</x:v>
      </x:c>
      <x:c r="O2448" s="66" t="str">
        <x:v>Yogyakarta</x:v>
      </x:c>
      <x:c r="P2448" s="66" t="str">
        <x:v>Kabupaten Sleman</x:v>
      </x:c>
      <x:c r="Q2448" s="66" t="str">
        <x:v>https://snpmb.id/snbp/daya-tampung-snbp</x:v>
      </x:c>
      <x:c r="R2448" s="66" t="str">
        <x:v>https://sidatagrun-public-1076756628210.asia-southeast2.run.app/ptn_sn.php?ptn=363</x:v>
      </x:c>
    </x:row>
    <x:row r="2449">
      <x:c r="A2449" s="87" t="n">
        <x:v>3516</x:v>
      </x:c>
      <x:c r="B2449" s="66" t="n">
        <x:v>363</x:v>
      </x:c>
      <x:c r="C2449" s="66" t="str">
        <x:v>UPN "VETERAN" YOGYAKARTA</x:v>
      </x:c>
      <x:c r="D2449" s="66" t="str">
        <x:v>PTN Akademik</x:v>
      </x:c>
      <x:c r="E2449" s="66" t="str">
        <x:v>13633022</x:v>
      </x:c>
      <x:c r="F2449" s="66" t="str">
        <x:v>TEKNIK KIMIA</x:v>
      </x:c>
      <x:c r="G2449" s="66" t="str">
        <x:v>Diploma Tiga</x:v>
      </x:c>
      <x:c r="H2449" s="87" t="n">
        <x:v>43</x:v>
      </x:c>
      <x:c r="I2449" s="87" t="n">
        <x:v>98</x:v>
      </x:c>
      <x:c r="J2449" s="68" t="n">
        <x:f>IFERROR(H2449/I2449,"")</x:f>
        <x:v>0.4387755102040816</x:v>
      </x:c>
      <x:c r="K2449" s="69" t="n">
        <x:f>IFERROR(I2449/H2449,"")</x:f>
        <x:v>2.2790697674418605</x:v>
      </x:c>
      <x:c r="L2449" s="66" t="str">
        <x:f>IF(K2449="","","1 : "&amp;TEXT(K2449,"0.0"))</x:f>
        <x:v>1 : 2.3</x:v>
      </x:c>
      <x:c r="M2449" s="66" t="str">
        <x:f>IF(J2449="","Baru/Tanpa Data",IF(J2449&lt;='Catatan &amp; Sumber'!$B$14,"Sangat Ketat",IF(J2449&lt;='Catatan &amp; Sumber'!$B$15,"Ketat",IF(J2449&lt;='Catatan &amp; Sumber'!$B$16,"Sedang","Relatif Longgar"))))</x:f>
        <x:v>Relatif Longgar</x:v>
      </x:c>
      <x:c r="N2449" s="66" t="str">
        <x:v>Tidak Ada</x:v>
      </x:c>
      <x:c r="O2449" s="66" t="str">
        <x:v>Yogyakarta</x:v>
      </x:c>
      <x:c r="P2449" s="66" t="str">
        <x:v>Kabupaten Sleman</x:v>
      </x:c>
      <x:c r="Q2449" s="66" t="str">
        <x:v>https://snpmb.id/snbp/daya-tampung-snbp</x:v>
      </x:c>
      <x:c r="R2449" s="66" t="str">
        <x:v>https://sidatagrun-public-1076756628210.asia-southeast2.run.app/ptn_sn.php?ptn=363</x:v>
      </x:c>
    </x:row>
    <x:row r="2450">
      <x:c r="A2450" s="87" t="n">
        <x:v>1718</x:v>
      </x:c>
      <x:c r="B2450" s="66" t="n">
        <x:v>364</x:v>
      </x:c>
      <x:c r="C2450" s="66" t="str">
        <x:v>ISI YOGYAKARTA</x:v>
      </x:c>
      <x:c r="D2450" s="66" t="str">
        <x:v>PTN Akademik</x:v>
      </x:c>
      <x:c r="E2450" s="66" t="str">
        <x:v>13641001</x:v>
      </x:c>
      <x:c r="F2450" s="66" t="str">
        <x:v>SENI TARI</x:v>
      </x:c>
      <x:c r="G2450" s="66" t="str">
        <x:v>Sarjana</x:v>
      </x:c>
      <x:c r="H2450" s="87" t="n">
        <x:v>24</x:v>
      </x:c>
      <x:c r="I2450" s="87" t="n">
        <x:v>191</x:v>
      </x:c>
      <x:c r="J2450" s="68" t="n">
        <x:f>IFERROR(H2450/I2450,"")</x:f>
        <x:v>0.1256544502617801</x:v>
      </x:c>
      <x:c r="K2450" s="69" t="n">
        <x:f>IFERROR(I2450/H2450,"")</x:f>
        <x:v>7.958333333333333</x:v>
      </x:c>
      <x:c r="L2450" s="66" t="str">
        <x:f>IF(K2450="","","1 : "&amp;TEXT(K2450,"0.0"))</x:f>
        <x:v>1 : 8.0</x:v>
      </x:c>
      <x:c r="M2450" s="66" t="str">
        <x:f>IF(J2450="","Baru/Tanpa Data",IF(J2450&lt;='Catatan &amp; Sumber'!$B$14,"Sangat Ketat",IF(J2450&lt;='Catatan &amp; Sumber'!$B$15,"Ketat",IF(J2450&lt;='Catatan &amp; Sumber'!$B$16,"Sedang","Relatif Longgar"))))</x:f>
        <x:v>Relatif Longgar</x:v>
      </x:c>
      <x:c r="N2450" s="66" t="str">
        <x:v>Tari</x:v>
      </x:c>
      <x:c r="O2450" s="66" t="str">
        <x:v>Yogyakarta</x:v>
      </x:c>
      <x:c r="P2450" s="66" t="str">
        <x:v>Kabupaten Bantul</x:v>
      </x:c>
      <x:c r="Q2450" s="66" t="str">
        <x:v>https://snpmb.id/snbp/daya-tampung-snbp</x:v>
      </x:c>
      <x:c r="R2450" s="66" t="str">
        <x:v>https://sidatagrun-public-1076756628210.asia-southeast2.run.app/ptn_sn.php?ptn=364</x:v>
      </x:c>
    </x:row>
    <x:row r="2451">
      <x:c r="A2451" s="87" t="n">
        <x:v>3024</x:v>
      </x:c>
      <x:c r="B2451" s="66" t="n">
        <x:v>364</x:v>
      </x:c>
      <x:c r="C2451" s="66" t="str">
        <x:v>ISI YOGYAKARTA</x:v>
      </x:c>
      <x:c r="D2451" s="66" t="str">
        <x:v>PTN Akademik</x:v>
      </x:c>
      <x:c r="E2451" s="66" t="str">
        <x:v>13641002</x:v>
      </x:c>
      <x:c r="F2451" s="66" t="str">
        <x:v>SENI MUSIK</x:v>
      </x:c>
      <x:c r="G2451" s="66" t="str">
        <x:v>Sarjana</x:v>
      </x:c>
      <x:c r="H2451" s="87" t="n">
        <x:v>38</x:v>
      </x:c>
      <x:c r="I2451" s="87" t="n">
        <x:v>127</x:v>
      </x:c>
      <x:c r="J2451" s="68" t="n">
        <x:f>IFERROR(H2451/I2451,"")</x:f>
        <x:v>0.2992125984251969</x:v>
      </x:c>
      <x:c r="K2451" s="69" t="n">
        <x:f>IFERROR(I2451/H2451,"")</x:f>
        <x:v>3.3421052631578947</x:v>
      </x:c>
      <x:c r="L2451" s="66" t="str">
        <x:f>IF(K2451="","","1 : "&amp;TEXT(K2451,"0.0"))</x:f>
        <x:v>1 : 3.3</x:v>
      </x:c>
      <x:c r="M2451" s="66" t="str">
        <x:f>IF(J2451="","Baru/Tanpa Data",IF(J2451&lt;='Catatan &amp; Sumber'!$B$14,"Sangat Ketat",IF(J2451&lt;='Catatan &amp; Sumber'!$B$15,"Ketat",IF(J2451&lt;='Catatan &amp; Sumber'!$B$16,"Sedang","Relatif Longgar"))))</x:f>
        <x:v>Relatif Longgar</x:v>
      </x:c>
      <x:c r="N2451" s="66" t="str">
        <x:v>Musik</x:v>
      </x:c>
      <x:c r="O2451" s="66" t="str">
        <x:v>Yogyakarta</x:v>
      </x:c>
      <x:c r="P2451" s="66" t="str">
        <x:v>Kabupaten Bantul</x:v>
      </x:c>
      <x:c r="Q2451" s="66" t="str">
        <x:v>https://snpmb.id/snbp/daya-tampung-snbp</x:v>
      </x:c>
      <x:c r="R2451" s="66" t="str">
        <x:v>https://sidatagrun-public-1076756628210.asia-southeast2.run.app/ptn_sn.php?ptn=364</x:v>
      </x:c>
    </x:row>
    <x:row r="2452">
      <x:c r="A2452" s="87" t="n">
        <x:v>2490</x:v>
      </x:c>
      <x:c r="B2452" s="66" t="n">
        <x:v>364</x:v>
      </x:c>
      <x:c r="C2452" s="66" t="str">
        <x:v>ISI YOGYAKARTA</x:v>
      </x:c>
      <x:c r="D2452" s="66" t="str">
        <x:v>PTN Akademik</x:v>
      </x:c>
      <x:c r="E2452" s="66" t="str">
        <x:v>13641003</x:v>
      </x:c>
      <x:c r="F2452" s="66" t="str">
        <x:v>PENDIDIKAN MUSIK</x:v>
      </x:c>
      <x:c r="G2452" s="66" t="str">
        <x:v>Sarjana</x:v>
      </x:c>
      <x:c r="H2452" s="87" t="n">
        <x:v>27</x:v>
      </x:c>
      <x:c r="I2452" s="87" t="n">
        <x:v>129</x:v>
      </x:c>
      <x:c r="J2452" s="68" t="n">
        <x:f>IFERROR(H2452/I2452,"")</x:f>
        <x:v>0.20930232558139536</x:v>
      </x:c>
      <x:c r="K2452" s="69" t="n">
        <x:f>IFERROR(I2452/H2452,"")</x:f>
        <x:v>4.777777777777778</x:v>
      </x:c>
      <x:c r="L2452" s="66" t="str">
        <x:f>IF(K2452="","","1 : "&amp;TEXT(K2452,"0.0"))</x:f>
        <x:v>1 : 4.8</x:v>
      </x:c>
      <x:c r="M2452" s="66" t="str">
        <x:f>IF(J2452="","Baru/Tanpa Data",IF(J2452&lt;='Catatan &amp; Sumber'!$B$14,"Sangat Ketat",IF(J2452&lt;='Catatan &amp; Sumber'!$B$15,"Ketat",IF(J2452&lt;='Catatan &amp; Sumber'!$B$16,"Sedang","Relatif Longgar"))))</x:f>
        <x:v>Relatif Longgar</x:v>
      </x:c>
      <x:c r="N2452" s="66" t="str">
        <x:v>Musik</x:v>
      </x:c>
      <x:c r="O2452" s="66" t="str">
        <x:v>Yogyakarta</x:v>
      </x:c>
      <x:c r="P2452" s="66" t="str">
        <x:v>Kabupaten Bantul</x:v>
      </x:c>
      <x:c r="Q2452" s="66" t="str">
        <x:v>https://snpmb.id/snbp/daya-tampung-snbp</x:v>
      </x:c>
      <x:c r="R2452" s="66" t="str">
        <x:v>https://sidatagrun-public-1076756628210.asia-southeast2.run.app/ptn_sn.php?ptn=364</x:v>
      </x:c>
    </x:row>
    <x:row r="2453">
      <x:c r="A2453" s="87" t="n">
        <x:v>3115</x:v>
      </x:c>
      <x:c r="B2453" s="66" t="n">
        <x:v>364</x:v>
      </x:c>
      <x:c r="C2453" s="66" t="str">
        <x:v>ISI YOGYAKARTA</x:v>
      </x:c>
      <x:c r="D2453" s="66" t="str">
        <x:v>PTN Akademik</x:v>
      </x:c>
      <x:c r="E2453" s="66" t="str">
        <x:v>13641004</x:v>
      </x:c>
      <x:c r="F2453" s="66" t="str">
        <x:v>PENCIPTAAN MUSIK</x:v>
      </x:c>
      <x:c r="G2453" s="66" t="str">
        <x:v>Sarjana</x:v>
      </x:c>
      <x:c r="H2453" s="87" t="n">
        <x:v>14</x:v>
      </x:c>
      <x:c r="I2453" s="87" t="n">
        <x:v>44</x:v>
      </x:c>
      <x:c r="J2453" s="68" t="n">
        <x:f>IFERROR(H2453/I2453,"")</x:f>
        <x:v>0.3181818181818182</x:v>
      </x:c>
      <x:c r="K2453" s="69" t="n">
        <x:f>IFERROR(I2453/H2453,"")</x:f>
        <x:v>3.142857142857143</x:v>
      </x:c>
      <x:c r="L2453" s="66" t="str">
        <x:f>IF(K2453="","","1 : "&amp;TEXT(K2453,"0.0"))</x:f>
        <x:v>1 : 3.1</x:v>
      </x:c>
      <x:c r="M2453" s="66" t="str">
        <x:f>IF(J2453="","Baru/Tanpa Data",IF(J2453&lt;='Catatan &amp; Sumber'!$B$14,"Sangat Ketat",IF(J2453&lt;='Catatan &amp; Sumber'!$B$15,"Ketat",IF(J2453&lt;='Catatan &amp; Sumber'!$B$16,"Sedang","Relatif Longgar"))))</x:f>
        <x:v>Relatif Longgar</x:v>
      </x:c>
      <x:c r="N2453" s="66" t="str">
        <x:v>Musik</x:v>
      </x:c>
      <x:c r="O2453" s="66" t="str">
        <x:v>Yogyakarta</x:v>
      </x:c>
      <x:c r="P2453" s="66" t="str">
        <x:v>Kabupaten Bantul</x:v>
      </x:c>
      <x:c r="Q2453" s="66" t="str">
        <x:v>https://snpmb.id/snbp/daya-tampung-snbp</x:v>
      </x:c>
      <x:c r="R2453" s="66" t="str">
        <x:v>https://sidatagrun-public-1076756628210.asia-southeast2.run.app/ptn_sn.php?ptn=364</x:v>
      </x:c>
    </x:row>
    <x:row r="2454">
      <x:c r="A2454" s="87" t="n">
        <x:v>3298</x:v>
      </x:c>
      <x:c r="B2454" s="66" t="n">
        <x:v>364</x:v>
      </x:c>
      <x:c r="C2454" s="66" t="str">
        <x:v>ISI YOGYAKARTA</x:v>
      </x:c>
      <x:c r="D2454" s="66" t="str">
        <x:v>PTN Akademik</x:v>
      </x:c>
      <x:c r="E2454" s="66" t="str">
        <x:v>13641005</x:v>
      </x:c>
      <x:c r="F2454" s="66" t="str">
        <x:v>SENI TEATER</x:v>
      </x:c>
      <x:c r="G2454" s="66" t="str">
        <x:v>Sarjana</x:v>
      </x:c>
      <x:c r="H2454" s="87" t="n">
        <x:v>21</x:v>
      </x:c>
      <x:c r="I2454" s="87" t="n">
        <x:v>56</x:v>
      </x:c>
      <x:c r="J2454" s="68" t="n">
        <x:f>IFERROR(H2454/I2454,"")</x:f>
        <x:v>0.375</x:v>
      </x:c>
      <x:c r="K2454" s="69" t="n">
        <x:f>IFERROR(I2454/H2454,"")</x:f>
        <x:v>2.6666666666666665</x:v>
      </x:c>
      <x:c r="L2454" s="66" t="str">
        <x:f>IF(K2454="","","1 : "&amp;TEXT(K2454,"0.0"))</x:f>
        <x:v>1 : 2.7</x:v>
      </x:c>
      <x:c r="M2454" s="66" t="str">
        <x:f>IF(J2454="","Baru/Tanpa Data",IF(J2454&lt;='Catatan &amp; Sumber'!$B$14,"Sangat Ketat",IF(J2454&lt;='Catatan &amp; Sumber'!$B$15,"Ketat",IF(J2454&lt;='Catatan &amp; Sumber'!$B$16,"Sedang","Relatif Longgar"))))</x:f>
        <x:v>Relatif Longgar</x:v>
      </x:c>
      <x:c r="N2454" s="66" t="str">
        <x:v>Teater</x:v>
      </x:c>
      <x:c r="O2454" s="66" t="str">
        <x:v>Yogyakarta</x:v>
      </x:c>
      <x:c r="P2454" s="66" t="str">
        <x:v>Kabupaten Bantul</x:v>
      </x:c>
      <x:c r="Q2454" s="66" t="str">
        <x:v>https://snpmb.id/snbp/daya-tampung-snbp</x:v>
      </x:c>
      <x:c r="R2454" s="66" t="str">
        <x:v>https://sidatagrun-public-1076756628210.asia-southeast2.run.app/ptn_sn.php?ptn=364</x:v>
      </x:c>
    </x:row>
    <x:row r="2455">
      <x:c r="A2455" s="87" t="n">
        <x:v>2636</x:v>
      </x:c>
      <x:c r="B2455" s="66" t="n">
        <x:v>364</x:v>
      </x:c>
      <x:c r="C2455" s="66" t="str">
        <x:v>ISI YOGYAKARTA</x:v>
      </x:c>
      <x:c r="D2455" s="66" t="str">
        <x:v>PTN Akademik</x:v>
      </x:c>
      <x:c r="E2455" s="66" t="str">
        <x:v>13641006</x:v>
      </x:c>
      <x:c r="F2455" s="66" t="str">
        <x:v>PENDIDIKAN SENI DRAMA, TARI, DAN MUSIK</x:v>
      </x:c>
      <x:c r="G2455" s="66" t="str">
        <x:v>Sarjana</x:v>
      </x:c>
      <x:c r="H2455" s="87" t="n">
        <x:v>14</x:v>
      </x:c>
      <x:c r="I2455" s="87" t="n">
        <x:v>60</x:v>
      </x:c>
      <x:c r="J2455" s="68" t="n">
        <x:f>IFERROR(H2455/I2455,"")</x:f>
        <x:v>0.23333333333333334</x:v>
      </x:c>
      <x:c r="K2455" s="69" t="n">
        <x:f>IFERROR(I2455/H2455,"")</x:f>
        <x:v>4.285714285714286</x:v>
      </x:c>
      <x:c r="L2455" s="66" t="str">
        <x:f>IF(K2455="","","1 : "&amp;TEXT(K2455,"0.0"))</x:f>
        <x:v>1 : 4.3</x:v>
      </x:c>
      <x:c r="M2455" s="66" t="str">
        <x:f>IF(J2455="","Baru/Tanpa Data",IF(J2455&lt;='Catatan &amp; Sumber'!$B$14,"Sangat Ketat",IF(J2455&lt;='Catatan &amp; Sumber'!$B$15,"Ketat",IF(J2455&lt;='Catatan &amp; Sumber'!$B$16,"Sedang","Relatif Longgar"))))</x:f>
        <x:v>Relatif Longgar</x:v>
      </x:c>
      <x:c r="N2455" s="66" t="str">
        <x:v>Sendratasik</x:v>
      </x:c>
      <x:c r="O2455" s="66" t="str">
        <x:v>Yogyakarta</x:v>
      </x:c>
      <x:c r="P2455" s="66" t="str">
        <x:v>Kabupaten Bantul</x:v>
      </x:c>
      <x:c r="Q2455" s="66" t="str">
        <x:v>https://snpmb.id/snbp/daya-tampung-snbp</x:v>
      </x:c>
      <x:c r="R2455" s="66" t="str">
        <x:v>https://sidatagrun-public-1076756628210.asia-southeast2.run.app/ptn_sn.php?ptn=364</x:v>
      </x:c>
    </x:row>
    <x:row r="2456">
      <x:c r="A2456" s="87" t="n">
        <x:v>2401</x:v>
      </x:c>
      <x:c r="B2456" s="66" t="n">
        <x:v>364</x:v>
      </x:c>
      <x:c r="C2456" s="66" t="str">
        <x:v>ISI YOGYAKARTA</x:v>
      </x:c>
      <x:c r="D2456" s="66" t="str">
        <x:v>PTN Akademik</x:v>
      </x:c>
      <x:c r="E2456" s="66" t="str">
        <x:v>13641007</x:v>
      </x:c>
      <x:c r="F2456" s="66" t="str">
        <x:v>SENI RUPA MURNI</x:v>
      </x:c>
      <x:c r="G2456" s="66" t="str">
        <x:v>Sarjana</x:v>
      </x:c>
      <x:c r="H2456" s="87" t="n">
        <x:v>36</x:v>
      </x:c>
      <x:c r="I2456" s="87" t="n">
        <x:v>184</x:v>
      </x:c>
      <x:c r="J2456" s="68" t="n">
        <x:f>IFERROR(H2456/I2456,"")</x:f>
        <x:v>0.1956521739130435</x:v>
      </x:c>
      <x:c r="K2456" s="69" t="n">
        <x:f>IFERROR(I2456/H2456,"")</x:f>
        <x:v>5.111111111111111</x:v>
      </x:c>
      <x:c r="L2456" s="66" t="str">
        <x:f>IF(K2456="","","1 : "&amp;TEXT(K2456,"0.0"))</x:f>
        <x:v>1 : 5.1</x:v>
      </x:c>
      <x:c r="M2456" s="66" t="str">
        <x:f>IF(J2456="","Baru/Tanpa Data",IF(J2456&lt;='Catatan &amp; Sumber'!$B$14,"Sangat Ketat",IF(J2456&lt;='Catatan &amp; Sumber'!$B$15,"Ketat",IF(J2456&lt;='Catatan &amp; Sumber'!$B$16,"Sedang","Relatif Longgar"))))</x:f>
        <x:v>Relatif Longgar</x:v>
      </x:c>
      <x:c r="N2456" s="66" t="str">
        <x:v>Seni Rupa, Desain, dan Kriya</x:v>
      </x:c>
      <x:c r="O2456" s="66" t="str">
        <x:v>Yogyakarta</x:v>
      </x:c>
      <x:c r="P2456" s="66" t="str">
        <x:v>Kabupaten Bantul</x:v>
      </x:c>
      <x:c r="Q2456" s="66" t="str">
        <x:v>https://snpmb.id/snbp/daya-tampung-snbp</x:v>
      </x:c>
      <x:c r="R2456" s="66" t="str">
        <x:v>https://sidatagrun-public-1076756628210.asia-southeast2.run.app/ptn_sn.php?ptn=364</x:v>
      </x:c>
    </x:row>
    <x:row r="2457">
      <x:c r="A2457" s="87" t="n">
        <x:v>3750</x:v>
      </x:c>
      <x:c r="B2457" s="66" t="n">
        <x:v>364</x:v>
      </x:c>
      <x:c r="C2457" s="66" t="str">
        <x:v>ISI YOGYAKARTA</x:v>
      </x:c>
      <x:c r="D2457" s="66" t="str">
        <x:v>PTN Akademik</x:v>
      </x:c>
      <x:c r="E2457" s="66" t="str">
        <x:v>13641008</x:v>
      </x:c>
      <x:c r="F2457" s="66" t="str">
        <x:v>KRIYA SENI</x:v>
      </x:c>
      <x:c r="G2457" s="66" t="str">
        <x:v>Sarjana</x:v>
      </x:c>
      <x:c r="H2457" s="87" t="n">
        <x:v>36</x:v>
      </x:c>
      <x:c r="I2457" s="87" t="n">
        <x:v>66</x:v>
      </x:c>
      <x:c r="J2457" s="68" t="n">
        <x:f>IFERROR(H2457/I2457,"")</x:f>
        <x:v>0.5454545454545454</x:v>
      </x:c>
      <x:c r="K2457" s="69" t="n">
        <x:f>IFERROR(I2457/H2457,"")</x:f>
        <x:v>1.8333333333333333</x:v>
      </x:c>
      <x:c r="L2457" s="66" t="str">
        <x:f>IF(K2457="","","1 : "&amp;TEXT(K2457,"0.0"))</x:f>
        <x:v>1 : 1.8</x:v>
      </x:c>
      <x:c r="M2457" s="66" t="str">
        <x:f>IF(J2457="","Baru/Tanpa Data",IF(J2457&lt;='Catatan &amp; Sumber'!$B$14,"Sangat Ketat",IF(J2457&lt;='Catatan &amp; Sumber'!$B$15,"Ketat",IF(J2457&lt;='Catatan &amp; Sumber'!$B$16,"Sedang","Relatif Longgar"))))</x:f>
        <x:v>Relatif Longgar</x:v>
      </x:c>
      <x:c r="N2457" s="66" t="str">
        <x:v>Seni Rupa, Desain, dan Kriya</x:v>
      </x:c>
      <x:c r="O2457" s="66" t="str">
        <x:v>Yogyakarta</x:v>
      </x:c>
      <x:c r="P2457" s="66" t="str">
        <x:v>Kabupaten Bantul</x:v>
      </x:c>
      <x:c r="Q2457" s="66" t="str">
        <x:v>https://snpmb.id/snbp/daya-tampung-snbp</x:v>
      </x:c>
      <x:c r="R2457" s="66" t="str">
        <x:v>https://sidatagrun-public-1076756628210.asia-southeast2.run.app/ptn_sn.php?ptn=364</x:v>
      </x:c>
    </x:row>
    <x:row r="2458">
      <x:c r="A2458" s="87" t="n">
        <x:v>2302</x:v>
      </x:c>
      <x:c r="B2458" s="66" t="n">
        <x:v>364</x:v>
      </x:c>
      <x:c r="C2458" s="66" t="str">
        <x:v>ISI YOGYAKARTA</x:v>
      </x:c>
      <x:c r="D2458" s="66" t="str">
        <x:v>PTN Akademik</x:v>
      </x:c>
      <x:c r="E2458" s="66" t="str">
        <x:v>13641009</x:v>
      </x:c>
      <x:c r="F2458" s="66" t="str">
        <x:v>DESAIN INTERIOR</x:v>
      </x:c>
      <x:c r="G2458" s="66" t="str">
        <x:v>Sarjana</x:v>
      </x:c>
      <x:c r="H2458" s="87" t="n">
        <x:v>44</x:v>
      </x:c>
      <x:c r="I2458" s="87" t="n">
        <x:v>239</x:v>
      </x:c>
      <x:c r="J2458" s="68" t="n">
        <x:f>IFERROR(H2458/I2458,"")</x:f>
        <x:v>0.18410041841004185</x:v>
      </x:c>
      <x:c r="K2458" s="69" t="n">
        <x:f>IFERROR(I2458/H2458,"")</x:f>
        <x:v>5.431818181818182</x:v>
      </x:c>
      <x:c r="L2458" s="66" t="str">
        <x:f>IF(K2458="","","1 : "&amp;TEXT(K2458,"0.0"))</x:f>
        <x:v>1 : 5.4</x:v>
      </x:c>
      <x:c r="M2458" s="66" t="str">
        <x:f>IF(J2458="","Baru/Tanpa Data",IF(J2458&lt;='Catatan &amp; Sumber'!$B$14,"Sangat Ketat",IF(J2458&lt;='Catatan &amp; Sumber'!$B$15,"Ketat",IF(J2458&lt;='Catatan &amp; Sumber'!$B$16,"Sedang","Relatif Longgar"))))</x:f>
        <x:v>Relatif Longgar</x:v>
      </x:c>
      <x:c r="N2458" s="66" t="str">
        <x:v>Seni Rupa, Desain, dan Kriya</x:v>
      </x:c>
      <x:c r="O2458" s="66" t="str">
        <x:v>Yogyakarta</x:v>
      </x:c>
      <x:c r="P2458" s="66" t="str">
        <x:v>Kabupaten Bantul</x:v>
      </x:c>
      <x:c r="Q2458" s="66" t="str">
        <x:v>https://snpmb.id/snbp/daya-tampung-snbp</x:v>
      </x:c>
      <x:c r="R2458" s="66" t="str">
        <x:v>https://sidatagrun-public-1076756628210.asia-southeast2.run.app/ptn_sn.php?ptn=364</x:v>
      </x:c>
    </x:row>
    <x:row r="2459">
      <x:c r="A2459" s="87" t="n">
        <x:v>253</x:v>
      </x:c>
      <x:c r="B2459" s="66" t="n">
        <x:v>364</x:v>
      </x:c>
      <x:c r="C2459" s="66" t="str">
        <x:v>ISI YOGYAKARTA</x:v>
      </x:c>
      <x:c r="D2459" s="66" t="str">
        <x:v>PTN Akademik</x:v>
      </x:c>
      <x:c r="E2459" s="66" t="str">
        <x:v>13641010</x:v>
      </x:c>
      <x:c r="F2459" s="66" t="str">
        <x:v>DESAIN KOMUNIKASI VISUAL</x:v>
      </x:c>
      <x:c r="G2459" s="66" t="str">
        <x:v>Sarjana</x:v>
      </x:c>
      <x:c r="H2459" s="87" t="n">
        <x:v>36</x:v>
      </x:c>
      <x:c r="I2459" s="87" t="n">
        <x:v>903</x:v>
      </x:c>
      <x:c r="J2459" s="68" t="n">
        <x:f>IFERROR(H2459/I2459,"")</x:f>
        <x:v>0.03986710963455149</x:v>
      </x:c>
      <x:c r="K2459" s="69" t="n">
        <x:f>IFERROR(I2459/H2459,"")</x:f>
        <x:v>25.083333333333332</x:v>
      </x:c>
      <x:c r="L2459" s="66" t="str">
        <x:f>IF(K2459="","","1 : "&amp;TEXT(K2459,"0.0"))</x:f>
        <x:v>1 : 25.1</x:v>
      </x:c>
      <x:c r="M2459" s="66" t="str">
        <x:f>IF(J2459="","Baru/Tanpa Data",IF(J2459&lt;='Catatan &amp; Sumber'!$B$14,"Sangat Ketat",IF(J2459&lt;='Catatan &amp; Sumber'!$B$15,"Ketat",IF(J2459&lt;='Catatan &amp; Sumber'!$B$16,"Sedang","Relatif Longgar"))))</x:f>
        <x:v>Ketat</x:v>
      </x:c>
      <x:c r="N2459" s="66" t="str">
        <x:v>Seni Rupa, Desain, dan Kriya</x:v>
      </x:c>
      <x:c r="O2459" s="66" t="str">
        <x:v>Yogyakarta</x:v>
      </x:c>
      <x:c r="P2459" s="66" t="str">
        <x:v>Kabupaten Bantul</x:v>
      </x:c>
      <x:c r="Q2459" s="66" t="str">
        <x:v>https://snpmb.id/snbp/daya-tampung-snbp</x:v>
      </x:c>
      <x:c r="R2459" s="66" t="str">
        <x:v>https://sidatagrun-public-1076756628210.asia-southeast2.run.app/ptn_sn.php?ptn=364</x:v>
      </x:c>
    </x:row>
    <x:row r="2460">
      <x:c r="A2460" s="87" t="n">
        <x:v>2634</x:v>
      </x:c>
      <x:c r="B2460" s="66" t="n">
        <x:v>364</x:v>
      </x:c>
      <x:c r="C2460" s="66" t="str">
        <x:v>ISI YOGYAKARTA</x:v>
      </x:c>
      <x:c r="D2460" s="66" t="str">
        <x:v>PTN Akademik</x:v>
      </x:c>
      <x:c r="E2460" s="66" t="str">
        <x:v>13641011</x:v>
      </x:c>
      <x:c r="F2460" s="66" t="str">
        <x:v>DESAIN PRODUK</x:v>
      </x:c>
      <x:c r="G2460" s="66" t="str">
        <x:v>Sarjana</x:v>
      </x:c>
      <x:c r="H2460" s="87" t="n">
        <x:v>24</x:v>
      </x:c>
      <x:c r="I2460" s="87" t="n">
        <x:v>103</x:v>
      </x:c>
      <x:c r="J2460" s="68" t="n">
        <x:f>IFERROR(H2460/I2460,"")</x:f>
        <x:v>0.23300970873786409</x:v>
      </x:c>
      <x:c r="K2460" s="69" t="n">
        <x:f>IFERROR(I2460/H2460,"")</x:f>
        <x:v>4.291666666666667</x:v>
      </x:c>
      <x:c r="L2460" s="66" t="str">
        <x:f>IF(K2460="","","1 : "&amp;TEXT(K2460,"0.0"))</x:f>
        <x:v>1 : 4.3</x:v>
      </x:c>
      <x:c r="M2460" s="66" t="str">
        <x:f>IF(J2460="","Baru/Tanpa Data",IF(J2460&lt;='Catatan &amp; Sumber'!$B$14,"Sangat Ketat",IF(J2460&lt;='Catatan &amp; Sumber'!$B$15,"Ketat",IF(J2460&lt;='Catatan &amp; Sumber'!$B$16,"Sedang","Relatif Longgar"))))</x:f>
        <x:v>Relatif Longgar</x:v>
      </x:c>
      <x:c r="N2460" s="66" t="str">
        <x:v>Seni Rupa, Desain, dan Kriya</x:v>
      </x:c>
      <x:c r="O2460" s="66" t="str">
        <x:v>Yogyakarta</x:v>
      </x:c>
      <x:c r="P2460" s="66" t="str">
        <x:v>Kabupaten Bantul</x:v>
      </x:c>
      <x:c r="Q2460" s="66" t="str">
        <x:v>https://snpmb.id/snbp/daya-tampung-snbp</x:v>
      </x:c>
      <x:c r="R2460" s="66" t="str">
        <x:v>https://sidatagrun-public-1076756628210.asia-southeast2.run.app/ptn_sn.php?ptn=364</x:v>
      </x:c>
    </x:row>
    <x:row r="2461">
      <x:c r="A2461" s="87" t="n">
        <x:v>1053</x:v>
      </x:c>
      <x:c r="B2461" s="66" t="n">
        <x:v>364</x:v>
      </x:c>
      <x:c r="C2461" s="66" t="str">
        <x:v>ISI YOGYAKARTA</x:v>
      </x:c>
      <x:c r="D2461" s="66" t="str">
        <x:v>PTN Akademik</x:v>
      </x:c>
      <x:c r="E2461" s="66" t="str">
        <x:v>13641012</x:v>
      </x:c>
      <x:c r="F2461" s="66" t="str">
        <x:v>TELEVISI DAN FILM</x:v>
      </x:c>
      <x:c r="G2461" s="66" t="str">
        <x:v>Sarjana</x:v>
      </x:c>
      <x:c r="H2461" s="87" t="n">
        <x:v>30</x:v>
      </x:c>
      <x:c r="I2461" s="87" t="n">
        <x:v>369</x:v>
      </x:c>
      <x:c r="J2461" s="68" t="n">
        <x:f>IFERROR(H2461/I2461,"")</x:f>
        <x:v>0.08130081300813008</x:v>
      </x:c>
      <x:c r="K2461" s="69" t="n">
        <x:f>IFERROR(I2461/H2461,"")</x:f>
        <x:v>12.3</x:v>
      </x:c>
      <x:c r="L2461" s="66" t="str">
        <x:f>IF(K2461="","","1 : "&amp;TEXT(K2461,"0.0"))</x:f>
        <x:v>1 : 12.3</x:v>
      </x:c>
      <x:c r="M2461" s="66" t="str">
        <x:f>IF(J2461="","Baru/Tanpa Data",IF(J2461&lt;='Catatan &amp; Sumber'!$B$14,"Sangat Ketat",IF(J2461&lt;='Catatan &amp; Sumber'!$B$15,"Ketat",IF(J2461&lt;='Catatan &amp; Sumber'!$B$16,"Sedang","Relatif Longgar"))))</x:f>
        <x:v>Sedang</x:v>
      </x:c>
      <x:c r="N2461" s="66" t="str">
        <x:v>Film dan Televisi</x:v>
      </x:c>
      <x:c r="O2461" s="66" t="str">
        <x:v>Yogyakarta</x:v>
      </x:c>
      <x:c r="P2461" s="66" t="str">
        <x:v>Kabupaten Bantul</x:v>
      </x:c>
      <x:c r="Q2461" s="66" t="str">
        <x:v>https://snpmb.id/snbp/daya-tampung-snbp</x:v>
      </x:c>
      <x:c r="R2461" s="66" t="str">
        <x:v>https://sidatagrun-public-1076756628210.asia-southeast2.run.app/ptn_sn.php?ptn=364</x:v>
      </x:c>
    </x:row>
    <x:row r="2462">
      <x:c r="A2462" s="87" t="n">
        <x:v>2457</x:v>
      </x:c>
      <x:c r="B2462" s="66" t="n">
        <x:v>364</x:v>
      </x:c>
      <x:c r="C2462" s="66" t="str">
        <x:v>ISI YOGYAKARTA</x:v>
      </x:c>
      <x:c r="D2462" s="66" t="str">
        <x:v>PTN Akademik</x:v>
      </x:c>
      <x:c r="E2462" s="66" t="str">
        <x:v>13641013</x:v>
      </x:c>
      <x:c r="F2462" s="66" t="str">
        <x:v>FOTOGRAFI</x:v>
      </x:c>
      <x:c r="G2462" s="66" t="str">
        <x:v>Sarjana</x:v>
      </x:c>
      <x:c r="H2462" s="87" t="n">
        <x:v>36</x:v>
      </x:c>
      <x:c r="I2462" s="87" t="n">
        <x:v>177</x:v>
      </x:c>
      <x:c r="J2462" s="68" t="n">
        <x:f>IFERROR(H2462/I2462,"")</x:f>
        <x:v>0.2033898305084746</x:v>
      </x:c>
      <x:c r="K2462" s="69" t="n">
        <x:f>IFERROR(I2462/H2462,"")</x:f>
        <x:v>4.916666666666667</x:v>
      </x:c>
      <x:c r="L2462" s="66" t="str">
        <x:f>IF(K2462="","","1 : "&amp;TEXT(K2462,"0.0"))</x:f>
        <x:v>1 : 4.9</x:v>
      </x:c>
      <x:c r="M2462" s="66" t="str">
        <x:f>IF(J2462="","Baru/Tanpa Data",IF(J2462&lt;='Catatan &amp; Sumber'!$B$14,"Sangat Ketat",IF(J2462&lt;='Catatan &amp; Sumber'!$B$15,"Ketat",IF(J2462&lt;='Catatan &amp; Sumber'!$B$16,"Sedang","Relatif Longgar"))))</x:f>
        <x:v>Relatif Longgar</x:v>
      </x:c>
      <x:c r="N2462" s="66" t="str">
        <x:v>Fotografi</x:v>
      </x:c>
      <x:c r="O2462" s="66" t="str">
        <x:v>Yogyakarta</x:v>
      </x:c>
      <x:c r="P2462" s="66" t="str">
        <x:v>Kabupaten Bantul</x:v>
      </x:c>
      <x:c r="Q2462" s="66" t="str">
        <x:v>https://snpmb.id/snbp/daya-tampung-snbp</x:v>
      </x:c>
      <x:c r="R2462" s="66" t="str">
        <x:v>https://sidatagrun-public-1076756628210.asia-southeast2.run.app/ptn_sn.php?ptn=364</x:v>
      </x:c>
    </x:row>
    <x:row r="2463">
      <x:c r="A2463" s="87" t="n">
        <x:v>3479</x:v>
      </x:c>
      <x:c r="B2463" s="66" t="n">
        <x:v>364</x:v>
      </x:c>
      <x:c r="C2463" s="66" t="str">
        <x:v>ISI YOGYAKARTA</x:v>
      </x:c>
      <x:c r="D2463" s="66" t="str">
        <x:v>PTN Akademik</x:v>
      </x:c>
      <x:c r="E2463" s="66" t="str">
        <x:v>13641014</x:v>
      </x:c>
      <x:c r="F2463" s="66" t="str">
        <x:v>SENI KARAWITAN</x:v>
      </x:c>
      <x:c r="G2463" s="66" t="str">
        <x:v>Sarjana</x:v>
      </x:c>
      <x:c r="H2463" s="87" t="n">
        <x:v>15</x:v>
      </x:c>
      <x:c r="I2463" s="87" t="n">
        <x:v>35</x:v>
      </x:c>
      <x:c r="J2463" s="68" t="n">
        <x:f>IFERROR(H2463/I2463,"")</x:f>
        <x:v>0.42857142857142855</x:v>
      </x:c>
      <x:c r="K2463" s="69" t="n">
        <x:f>IFERROR(I2463/H2463,"")</x:f>
        <x:v>2.3333333333333335</x:v>
      </x:c>
      <x:c r="L2463" s="66" t="str">
        <x:f>IF(K2463="","","1 : "&amp;TEXT(K2463,"0.0"))</x:f>
        <x:v>1 : 2.3</x:v>
      </x:c>
      <x:c r="M2463" s="66" t="str">
        <x:f>IF(J2463="","Baru/Tanpa Data",IF(J2463&lt;='Catatan &amp; Sumber'!$B$14,"Sangat Ketat",IF(J2463&lt;='Catatan &amp; Sumber'!$B$15,"Ketat",IF(J2463&lt;='Catatan &amp; Sumber'!$B$16,"Sedang","Relatif Longgar"))))</x:f>
        <x:v>Relatif Longgar</x:v>
      </x:c>
      <x:c r="N2463" s="66" t="str">
        <x:v>Seni Karawitan</x:v>
      </x:c>
      <x:c r="O2463" s="66" t="str">
        <x:v>Yogyakarta</x:v>
      </x:c>
      <x:c r="P2463" s="66" t="str">
        <x:v>Kabupaten Bantul</x:v>
      </x:c>
      <x:c r="Q2463" s="66" t="str">
        <x:v>https://snpmb.id/snbp/daya-tampung-snbp</x:v>
      </x:c>
      <x:c r="R2463" s="66" t="str">
        <x:v>https://sidatagrun-public-1076756628210.asia-southeast2.run.app/ptn_sn.php?ptn=364</x:v>
      </x:c>
    </x:row>
    <x:row r="2464">
      <x:c r="A2464" s="87" t="n">
        <x:v>4037</x:v>
      </x:c>
      <x:c r="B2464" s="66" t="n">
        <x:v>364</x:v>
      </x:c>
      <x:c r="C2464" s="66" t="str">
        <x:v>ISI YOGYAKARTA</x:v>
      </x:c>
      <x:c r="D2464" s="66" t="str">
        <x:v>PTN Akademik</x:v>
      </x:c>
      <x:c r="E2464" s="66" t="str">
        <x:v>13641015</x:v>
      </x:c>
      <x:c r="F2464" s="66" t="str">
        <x:v>ETNOMUSIKOLOGI</x:v>
      </x:c>
      <x:c r="G2464" s="66" t="str">
        <x:v>Sarjana</x:v>
      </x:c>
      <x:c r="H2464" s="87" t="n">
        <x:v>15</x:v>
      </x:c>
      <x:c r="I2464" s="87" t="n">
        <x:v>21</x:v>
      </x:c>
      <x:c r="J2464" s="68" t="n">
        <x:f>IFERROR(H2464/I2464,"")</x:f>
        <x:v>0.7142857142857143</x:v>
      </x:c>
      <x:c r="K2464" s="69" t="n">
        <x:f>IFERROR(I2464/H2464,"")</x:f>
        <x:v>1.4</x:v>
      </x:c>
      <x:c r="L2464" s="66" t="str">
        <x:f>IF(K2464="","","1 : "&amp;TEXT(K2464,"0.0"))</x:f>
        <x:v>1 : 1.4</x:v>
      </x:c>
      <x:c r="M2464" s="66" t="str">
        <x:f>IF(J2464="","Baru/Tanpa Data",IF(J2464&lt;='Catatan &amp; Sumber'!$B$14,"Sangat Ketat",IF(J2464&lt;='Catatan &amp; Sumber'!$B$15,"Ketat",IF(J2464&lt;='Catatan &amp; Sumber'!$B$16,"Sedang","Relatif Longgar"))))</x:f>
        <x:v>Relatif Longgar</x:v>
      </x:c>
      <x:c r="N2464" s="66" t="str">
        <x:v>Etnomusikologi</x:v>
      </x:c>
      <x:c r="O2464" s="66" t="str">
        <x:v>Yogyakarta</x:v>
      </x:c>
      <x:c r="P2464" s="66" t="str">
        <x:v>Kabupaten Bantul</x:v>
      </x:c>
      <x:c r="Q2464" s="66" t="str">
        <x:v>https://snpmb.id/snbp/daya-tampung-snbp</x:v>
      </x:c>
      <x:c r="R2464" s="66" t="str">
        <x:v>https://sidatagrun-public-1076756628210.asia-southeast2.run.app/ptn_sn.php?ptn=364</x:v>
      </x:c>
    </x:row>
    <x:row r="2465">
      <x:c r="A2465" s="87" t="n">
        <x:v>3899</x:v>
      </x:c>
      <x:c r="B2465" s="66" t="n">
        <x:v>364</x:v>
      </x:c>
      <x:c r="C2465" s="66" t="str">
        <x:v>ISI YOGYAKARTA</x:v>
      </x:c>
      <x:c r="D2465" s="66" t="str">
        <x:v>PTN Akademik</x:v>
      </x:c>
      <x:c r="E2465" s="66" t="str">
        <x:v>13641016</x:v>
      </x:c>
      <x:c r="F2465" s="66" t="str">
        <x:v>SENI PEDALANGAN</x:v>
      </x:c>
      <x:c r="G2465" s="66" t="str">
        <x:v>Sarjana</x:v>
      </x:c>
      <x:c r="H2465" s="87" t="n">
        <x:v>5</x:v>
      </x:c>
      <x:c r="I2465" s="87" t="n">
        <x:v>8</x:v>
      </x:c>
      <x:c r="J2465" s="68" t="n">
        <x:f>IFERROR(H2465/I2465,"")</x:f>
        <x:v>0.625</x:v>
      </x:c>
      <x:c r="K2465" s="69" t="n">
        <x:f>IFERROR(I2465/H2465,"")</x:f>
        <x:v>1.6</x:v>
      </x:c>
      <x:c r="L2465" s="66" t="str">
        <x:f>IF(K2465="","","1 : "&amp;TEXT(K2465,"0.0"))</x:f>
        <x:v>1 : 1.6</x:v>
      </x:c>
      <x:c r="M2465" s="66" t="str">
        <x:f>IF(J2465="","Baru/Tanpa Data",IF(J2465&lt;='Catatan &amp; Sumber'!$B$14,"Sangat Ketat",IF(J2465&lt;='Catatan &amp; Sumber'!$B$15,"Ketat",IF(J2465&lt;='Catatan &amp; Sumber'!$B$16,"Sedang","Relatif Longgar"))))</x:f>
        <x:v>Relatif Longgar</x:v>
      </x:c>
      <x:c r="N2465" s="66" t="str">
        <x:v>Seni Pedalangan</x:v>
      </x:c>
      <x:c r="O2465" s="66" t="str">
        <x:v>Yogyakarta</x:v>
      </x:c>
      <x:c r="P2465" s="66" t="str">
        <x:v>Kabupaten Bantul</x:v>
      </x:c>
      <x:c r="Q2465" s="66" t="str">
        <x:v>https://snpmb.id/snbp/daya-tampung-snbp</x:v>
      </x:c>
      <x:c r="R2465" s="66" t="str">
        <x:v>https://sidatagrun-public-1076756628210.asia-southeast2.run.app/ptn_sn.php?ptn=364</x:v>
      </x:c>
    </x:row>
    <x:row r="2466">
      <x:c r="A2466" s="87" t="n">
        <x:v>2970</x:v>
      </x:c>
      <x:c r="B2466" s="66" t="n">
        <x:v>364</x:v>
      </x:c>
      <x:c r="C2466" s="66" t="str">
        <x:v>ISI YOGYAKARTA</x:v>
      </x:c>
      <x:c r="D2466" s="66" t="str">
        <x:v>PTN Akademik</x:v>
      </x:c>
      <x:c r="E2466" s="66" t="str">
        <x:v>13641017</x:v>
      </x:c>
      <x:c r="F2466" s="66" t="str">
        <x:v>TATA KELOLA SENI</x:v>
      </x:c>
      <x:c r="G2466" s="66" t="str">
        <x:v>Sarjana</x:v>
      </x:c>
      <x:c r="H2466" s="87" t="n">
        <x:v>23</x:v>
      </x:c>
      <x:c r="I2466" s="87" t="n">
        <x:v>80</x:v>
      </x:c>
      <x:c r="J2466" s="68" t="n">
        <x:f>IFERROR(H2466/I2466,"")</x:f>
        <x:v>0.2875</x:v>
      </x:c>
      <x:c r="K2466" s="69" t="n">
        <x:f>IFERROR(I2466/H2466,"")</x:f>
        <x:v>3.4782608695652173</x:v>
      </x:c>
      <x:c r="L2466" s="66" t="str">
        <x:f>IF(K2466="","","1 : "&amp;TEXT(K2466,"0.0"))</x:f>
        <x:v>1 : 3.5</x:v>
      </x:c>
      <x:c r="M2466" s="66" t="str">
        <x:f>IF(J2466="","Baru/Tanpa Data",IF(J2466&lt;='Catatan &amp; Sumber'!$B$14,"Sangat Ketat",IF(J2466&lt;='Catatan &amp; Sumber'!$B$15,"Ketat",IF(J2466&lt;='Catatan &amp; Sumber'!$B$16,"Sedang","Relatif Longgar"))))</x:f>
        <x:v>Relatif Longgar</x:v>
      </x:c>
      <x:c r="N2466" s="66" t="str">
        <x:v>Tidak Ada</x:v>
      </x:c>
      <x:c r="O2466" s="66" t="str">
        <x:v>Yogyakarta</x:v>
      </x:c>
      <x:c r="P2466" s="66" t="str">
        <x:v>Kabupaten Bantul</x:v>
      </x:c>
      <x:c r="Q2466" s="66" t="str">
        <x:v>https://snpmb.id/snbp/daya-tampung-snbp</x:v>
      </x:c>
      <x:c r="R2466" s="66" t="str">
        <x:v>https://sidatagrun-public-1076756628210.asia-southeast2.run.app/ptn_sn.php?ptn=364</x:v>
      </x:c>
    </x:row>
    <x:row r="2467">
      <x:c r="A2467" s="87" t="n">
        <x:v>3719</x:v>
      </x:c>
      <x:c r="B2467" s="66" t="n">
        <x:v>364</x:v>
      </x:c>
      <x:c r="C2467" s="66" t="str">
        <x:v>ISI YOGYAKARTA</x:v>
      </x:c>
      <x:c r="D2467" s="66" t="str">
        <x:v>PTN Akademik</x:v>
      </x:c>
      <x:c r="E2467" s="66" t="str">
        <x:v>13641021</x:v>
      </x:c>
      <x:c r="F2467" s="66" t="str">
        <x:v>KONSERVASI SENI</x:v>
      </x:c>
      <x:c r="G2467" s="66" t="str">
        <x:v>Sarjana</x:v>
      </x:c>
      <x:c r="H2467" s="87" t="n">
        <x:v>11</x:v>
      </x:c>
      <x:c r="I2467" s="87" t="n">
        <x:v>21</x:v>
      </x:c>
      <x:c r="J2467" s="68" t="n">
        <x:f>IFERROR(H2467/I2467,"")</x:f>
        <x:v>0.5238095238095238</x:v>
      </x:c>
      <x:c r="K2467" s="69" t="n">
        <x:f>IFERROR(I2467/H2467,"")</x:f>
        <x:v>1.9090909090909092</x:v>
      </x:c>
      <x:c r="L2467" s="66" t="str">
        <x:f>IF(K2467="","","1 : "&amp;TEXT(K2467,"0.0"))</x:f>
        <x:v>1 : 1.9</x:v>
      </x:c>
      <x:c r="M2467" s="66" t="str">
        <x:f>IF(J2467="","Baru/Tanpa Data",IF(J2467&lt;='Catatan &amp; Sumber'!$B$14,"Sangat Ketat",IF(J2467&lt;='Catatan &amp; Sumber'!$B$15,"Ketat",IF(J2467&lt;='Catatan &amp; Sumber'!$B$16,"Sedang","Relatif Longgar"))))</x:f>
        <x:v>Relatif Longgar</x:v>
      </x:c>
      <x:c r="N2467" s="66" t="str">
        <x:v>Seni Rupa, Desain, dan Kriya</x:v>
      </x:c>
      <x:c r="O2467" s="66" t="str">
        <x:v>Yogyakarta</x:v>
      </x:c>
      <x:c r="P2467" s="66" t="str">
        <x:v>Kabupaten Bantul</x:v>
      </x:c>
      <x:c r="Q2467" s="66" t="str">
        <x:v>https://snpmb.id/snbp/daya-tampung-snbp</x:v>
      </x:c>
      <x:c r="R2467" s="66" t="str">
        <x:v>https://sidatagrun-public-1076756628210.asia-southeast2.run.app/ptn_sn.php?ptn=364</x:v>
      </x:c>
    </x:row>
    <x:row r="2468">
      <x:c r="A2468" s="87" t="n">
        <x:v>2953</x:v>
      </x:c>
      <x:c r="B2468" s="66" t="n">
        <x:v>364</x:v>
      </x:c>
      <x:c r="C2468" s="66" t="str">
        <x:v>ISI YOGYAKARTA</x:v>
      </x:c>
      <x:c r="D2468" s="66" t="str">
        <x:v>PTN Akademik</x:v>
      </x:c>
      <x:c r="E2468" s="66" t="str">
        <x:v>13642018</x:v>
      </x:c>
      <x:c r="F2468" s="66" t="str">
        <x:v>PENYAJIAN MUSIK</x:v>
      </x:c>
      <x:c r="G2468" s="66" t="str">
        <x:v>Sarjana Terapan</x:v>
      </x:c>
      <x:c r="H2468" s="87" t="n">
        <x:v>14</x:v>
      </x:c>
      <x:c r="I2468" s="87" t="n">
        <x:v>49</x:v>
      </x:c>
      <x:c r="J2468" s="68" t="n">
        <x:f>IFERROR(H2468/I2468,"")</x:f>
        <x:v>0.2857142857142857</x:v>
      </x:c>
      <x:c r="K2468" s="69" t="n">
        <x:f>IFERROR(I2468/H2468,"")</x:f>
        <x:v>3.5</x:v>
      </x:c>
      <x:c r="L2468" s="66" t="str">
        <x:f>IF(K2468="","","1 : "&amp;TEXT(K2468,"0.0"))</x:f>
        <x:v>1 : 3.5</x:v>
      </x:c>
      <x:c r="M2468" s="66" t="str">
        <x:f>IF(J2468="","Baru/Tanpa Data",IF(J2468&lt;='Catatan &amp; Sumber'!$B$14,"Sangat Ketat",IF(J2468&lt;='Catatan &amp; Sumber'!$B$15,"Ketat",IF(J2468&lt;='Catatan &amp; Sumber'!$B$16,"Sedang","Relatif Longgar"))))</x:f>
        <x:v>Relatif Longgar</x:v>
      </x:c>
      <x:c r="N2468" s="66" t="str">
        <x:v>Musik</x:v>
      </x:c>
      <x:c r="O2468" s="66" t="str">
        <x:v>Yogyakarta</x:v>
      </x:c>
      <x:c r="P2468" s="66" t="str">
        <x:v>Kabupaten Bantul</x:v>
      </x:c>
      <x:c r="Q2468" s="66" t="str">
        <x:v>https://snpmb.id/snbp/daya-tampung-snbp</x:v>
      </x:c>
      <x:c r="R2468" s="66" t="str">
        <x:v>https://sidatagrun-public-1076756628210.asia-southeast2.run.app/ptn_sn.php?ptn=364</x:v>
      </x:c>
    </x:row>
    <x:row r="2469">
      <x:c r="A2469" s="87" t="n">
        <x:v>2074</x:v>
      </x:c>
      <x:c r="B2469" s="66" t="n">
        <x:v>364</x:v>
      </x:c>
      <x:c r="C2469" s="66" t="str">
        <x:v>ISI YOGYAKARTA</x:v>
      </x:c>
      <x:c r="D2469" s="66" t="str">
        <x:v>PTN Akademik</x:v>
      </x:c>
      <x:c r="E2469" s="66" t="str">
        <x:v>13642022</x:v>
      </x:c>
      <x:c r="F2469" s="66" t="str">
        <x:v>ANIMASI</x:v>
      </x:c>
      <x:c r="G2469" s="66" t="str">
        <x:v>Sarjana Terapan</x:v>
      </x:c>
      <x:c r="H2469" s="87" t="n">
        <x:v>36</x:v>
      </x:c>
      <x:c r="I2469" s="87" t="n">
        <x:v>226</x:v>
      </x:c>
      <x:c r="J2469" s="68" t="n">
        <x:f>IFERROR(H2469/I2469,"")</x:f>
        <x:v>0.1592920353982301</x:v>
      </x:c>
      <x:c r="K2469" s="69" t="n">
        <x:f>IFERROR(I2469/H2469,"")</x:f>
        <x:v>6.277777777777778</x:v>
      </x:c>
      <x:c r="L2469" s="66" t="str">
        <x:f>IF(K2469="","","1 : "&amp;TEXT(K2469,"0.0"))</x:f>
        <x:v>1 : 6.3</x:v>
      </x:c>
      <x:c r="M2469" s="66" t="str">
        <x:f>IF(J2469="","Baru/Tanpa Data",IF(J2469&lt;='Catatan &amp; Sumber'!$B$14,"Sangat Ketat",IF(J2469&lt;='Catatan &amp; Sumber'!$B$15,"Ketat",IF(J2469&lt;='Catatan &amp; Sumber'!$B$16,"Sedang","Relatif Longgar"))))</x:f>
        <x:v>Relatif Longgar</x:v>
      </x:c>
      <x:c r="N2469" s="66" t="str">
        <x:v>Seni Rupa, Desain, dan Kriya</x:v>
      </x:c>
      <x:c r="O2469" s="66" t="str">
        <x:v>Yogyakarta</x:v>
      </x:c>
      <x:c r="P2469" s="66" t="str">
        <x:v>Kabupaten Bantul</x:v>
      </x:c>
      <x:c r="Q2469" s="66" t="str">
        <x:v>https://snpmb.id/snbp/daya-tampung-snbp</x:v>
      </x:c>
      <x:c r="R2469" s="66" t="str">
        <x:v>https://sidatagrun-public-1076756628210.asia-southeast2.run.app/ptn_sn.php?ptn=364</x:v>
      </x:c>
    </x:row>
    <x:row r="2470">
      <x:c r="A2470" s="87" t="n">
        <x:v>3474</x:v>
      </x:c>
      <x:c r="B2470" s="66" t="n">
        <x:v>364</x:v>
      </x:c>
      <x:c r="C2470" s="66" t="str">
        <x:v>ISI YOGYAKARTA</x:v>
      </x:c>
      <x:c r="D2470" s="66" t="str">
        <x:v>PTN Akademik</x:v>
      </x:c>
      <x:c r="E2470" s="66" t="str">
        <x:v>13642023</x:v>
      </x:c>
      <x:c r="F2470" s="66" t="str">
        <x:v>DESAIN MODE KRIYA BATIK</x:v>
      </x:c>
      <x:c r="G2470" s="66" t="str">
        <x:v>Sarjana Terapan</x:v>
      </x:c>
      <x:c r="H2470" s="87" t="n">
        <x:v>23</x:v>
      </x:c>
      <x:c r="I2470" s="87" t="n">
        <x:v>54</x:v>
      </x:c>
      <x:c r="J2470" s="68" t="n">
        <x:f>IFERROR(H2470/I2470,"")</x:f>
        <x:v>0.42592592592592593</x:v>
      </x:c>
      <x:c r="K2470" s="69" t="n">
        <x:f>IFERROR(I2470/H2470,"")</x:f>
        <x:v>2.347826086956522</x:v>
      </x:c>
      <x:c r="L2470" s="66" t="str">
        <x:f>IF(K2470="","","1 : "&amp;TEXT(K2470,"0.0"))</x:f>
        <x:v>1 : 2.3</x:v>
      </x:c>
      <x:c r="M2470" s="66" t="str">
        <x:f>IF(J2470="","Baru/Tanpa Data",IF(J2470&lt;='Catatan &amp; Sumber'!$B$14,"Sangat Ketat",IF(J2470&lt;='Catatan &amp; Sumber'!$B$15,"Ketat",IF(J2470&lt;='Catatan &amp; Sumber'!$B$16,"Sedang","Relatif Longgar"))))</x:f>
        <x:v>Relatif Longgar</x:v>
      </x:c>
      <x:c r="N2470" s="66" t="str">
        <x:v>Seni Rupa, Desain, dan Kriya</x:v>
      </x:c>
      <x:c r="O2470" s="66" t="str">
        <x:v>Yogyakarta</x:v>
      </x:c>
      <x:c r="P2470" s="66" t="str">
        <x:v>Kabupaten Bantul</x:v>
      </x:c>
      <x:c r="Q2470" s="66" t="str">
        <x:v>https://snpmb.id/snbp/daya-tampung-snbp</x:v>
      </x:c>
      <x:c r="R2470" s="66" t="str">
        <x:v>https://sidatagrun-public-1076756628210.asia-southeast2.run.app/ptn_sn.php?ptn=364</x:v>
      </x:c>
    </x:row>
    <x:row r="2471">
      <x:c r="A2471" s="87" t="n">
        <x:v>3647</x:v>
      </x:c>
      <x:c r="B2471" s="66" t="n">
        <x:v>364</x:v>
      </x:c>
      <x:c r="C2471" s="66" t="str">
        <x:v>ISI YOGYAKARTA</x:v>
      </x:c>
      <x:c r="D2471" s="66" t="str">
        <x:v>PTN Akademik</x:v>
      </x:c>
      <x:c r="E2471" s="66" t="str">
        <x:v>13642024</x:v>
      </x:c>
      <x:c r="F2471" s="66" t="str">
        <x:v>DESAIN MEDIA</x:v>
      </x:c>
      <x:c r="G2471" s="66" t="str">
        <x:v>Sarjana Terapan</x:v>
      </x:c>
      <x:c r="H2471" s="87" t="n">
        <x:v>23</x:v>
      </x:c>
      <x:c r="I2471" s="87" t="n">
        <x:v>47</x:v>
      </x:c>
      <x:c r="J2471" s="68" t="n">
        <x:f>IFERROR(H2471/I2471,"")</x:f>
        <x:v>0.48936170212765956</x:v>
      </x:c>
      <x:c r="K2471" s="69" t="n">
        <x:f>IFERROR(I2471/H2471,"")</x:f>
        <x:v>2.0434782608695654</x:v>
      </x:c>
      <x:c r="L2471" s="66" t="str">
        <x:f>IF(K2471="","","1 : "&amp;TEXT(K2471,"0.0"))</x:f>
        <x:v>1 : 2.0</x:v>
      </x:c>
      <x:c r="M2471" s="66" t="str">
        <x:f>IF(J2471="","Baru/Tanpa Data",IF(J2471&lt;='Catatan &amp; Sumber'!$B$14,"Sangat Ketat",IF(J2471&lt;='Catatan &amp; Sumber'!$B$15,"Ketat",IF(J2471&lt;='Catatan &amp; Sumber'!$B$16,"Sedang","Relatif Longgar"))))</x:f>
        <x:v>Relatif Longgar</x:v>
      </x:c>
      <x:c r="N2471" s="66" t="str">
        <x:v>Seni Rupa, Desain, dan Kriya</x:v>
      </x:c>
      <x:c r="O2471" s="66" t="str">
        <x:v>Yogyakarta</x:v>
      </x:c>
      <x:c r="P2471" s="66" t="str">
        <x:v>Kabupaten Bantul</x:v>
      </x:c>
      <x:c r="Q2471" s="66" t="str">
        <x:v>https://snpmb.id/snbp/daya-tampung-snbp</x:v>
      </x:c>
      <x:c r="R2471" s="66" t="str">
        <x:v>https://sidatagrun-public-1076756628210.asia-southeast2.run.app/ptn_sn.php?ptn=364</x:v>
      </x:c>
    </x:row>
    <x:row r="2472">
      <x:c r="A2472" s="87" t="n">
        <x:v>2009</x:v>
      </x:c>
      <x:c r="B2472" s="66" t="n">
        <x:v>364</x:v>
      </x:c>
      <x:c r="C2472" s="66" t="str">
        <x:v>ISI YOGYAKARTA</x:v>
      </x:c>
      <x:c r="D2472" s="66" t="str">
        <x:v>PTN Akademik</x:v>
      </x:c>
      <x:c r="E2472" s="66" t="str">
        <x:v>13642025</x:v>
      </x:c>
      <x:c r="F2472" s="66" t="str">
        <x:v>PRODUKSI FILM DAN TELEVISI</x:v>
      </x:c>
      <x:c r="G2472" s="66" t="str">
        <x:v>Sarjana Terapan</x:v>
      </x:c>
      <x:c r="H2472" s="87" t="n">
        <x:v>11</x:v>
      </x:c>
      <x:c r="I2472" s="87" t="n">
        <x:v>72</x:v>
      </x:c>
      <x:c r="J2472" s="68" t="n">
        <x:f>IFERROR(H2472/I2472,"")</x:f>
        <x:v>0.1527777777777778</x:v>
      </x:c>
      <x:c r="K2472" s="69" t="n">
        <x:f>IFERROR(I2472/H2472,"")</x:f>
        <x:v>6.545454545454546</x:v>
      </x:c>
      <x:c r="L2472" s="66" t="str">
        <x:f>IF(K2472="","","1 : "&amp;TEXT(K2472,"0.0"))</x:f>
        <x:v>1 : 6.5</x:v>
      </x:c>
      <x:c r="M2472" s="66" t="str">
        <x:f>IF(J2472="","Baru/Tanpa Data",IF(J2472&lt;='Catatan &amp; Sumber'!$B$14,"Sangat Ketat",IF(J2472&lt;='Catatan &amp; Sumber'!$B$15,"Ketat",IF(J2472&lt;='Catatan &amp; Sumber'!$B$16,"Sedang","Relatif Longgar"))))</x:f>
        <x:v>Relatif Longgar</x:v>
      </x:c>
      <x:c r="N2472" s="66" t="str">
        <x:v>Film dan Televisi</x:v>
      </x:c>
      <x:c r="O2472" s="66" t="str">
        <x:v>Yogyakarta</x:v>
      </x:c>
      <x:c r="P2472" s="66" t="str">
        <x:v>Kabupaten Bantul</x:v>
      </x:c>
      <x:c r="Q2472" s="66" t="str">
        <x:v>https://snpmb.id/snbp/daya-tampung-snbp</x:v>
      </x:c>
      <x:c r="R2472" s="66" t="str">
        <x:v>https://sidatagrun-public-1076756628210.asia-southeast2.run.app/ptn_sn.php?ptn=364</x:v>
      </x:c>
    </x:row>
    <x:row r="2473">
      <x:c r="A2473" s="87" t="n">
        <x:v>4812</x:v>
      </x:c>
      <x:c r="B2473" s="66" t="n">
        <x:v>364</x:v>
      </x:c>
      <x:c r="C2473" s="66" t="str">
        <x:v>ISI YOGYAKARTA</x:v>
      </x:c>
      <x:c r="D2473" s="66" t="str">
        <x:v>PTN Akademik</x:v>
      </x:c>
      <x:c r="E2473" s="66" t="str">
        <x:v>13642026</x:v>
      </x:c>
      <x:c r="F2473" s="66" t="str">
        <x:v>TEATER MUSIKAL</x:v>
      </x:c>
      <x:c r="G2473" s="66" t="str">
        <x:v>Sarjana Terapan</x:v>
      </x:c>
      <x:c r="H2473" s="87" t="n">
        <x:v>8</x:v>
      </x:c>
      <x:c r="I2473" s="87" t="n">
        <x:v>2</x:v>
      </x:c>
      <x:c r="J2473" s="68" t="n">
        <x:f>IFERROR(H2473/I2473,"")</x:f>
        <x:v>4</x:v>
      </x:c>
      <x:c r="K2473" s="69" t="n">
        <x:f>IFERROR(I2473/H2473,"")</x:f>
        <x:v>0.25</x:v>
      </x:c>
      <x:c r="L2473" s="66" t="str">
        <x:f>IF(K2473="","","1 : "&amp;TEXT(K2473,"0.0"))</x:f>
        <x:v>1 : 0.3</x:v>
      </x:c>
      <x:c r="M2473" s="66" t="str">
        <x:f>IF(J2473="","Baru/Tanpa Data",IF(J2473&lt;='Catatan &amp; Sumber'!$B$14,"Sangat Ketat",IF(J2473&lt;='Catatan &amp; Sumber'!$B$15,"Ketat",IF(J2473&lt;='Catatan &amp; Sumber'!$B$16,"Sedang","Relatif Longgar"))))</x:f>
        <x:v>Relatif Longgar</x:v>
      </x:c>
      <x:c r="N2473" s="66" t="str">
        <x:v>Sendratasik</x:v>
      </x:c>
      <x:c r="O2473" s="66" t="str">
        <x:v>Yogyakarta</x:v>
      </x:c>
      <x:c r="P2473" s="66" t="str">
        <x:v>Kabupaten Bantul</x:v>
      </x:c>
      <x:c r="Q2473" s="66" t="str">
        <x:v>https://snpmb.id/snbp/daya-tampung-snbp</x:v>
      </x:c>
      <x:c r="R2473" s="66" t="str">
        <x:v>https://sidatagrun-public-1076756628210.asia-southeast2.run.app/ptn_sn.php?ptn=364</x:v>
      </x:c>
    </x:row>
    <x:row r="2474">
      <x:c r="A2474" s="87" t="n">
        <x:v>4386</x:v>
      </x:c>
      <x:c r="B2474" s="66" t="n">
        <x:v>365</x:v>
      </x:c>
      <x:c r="C2474" s="66" t="str">
        <x:v>UIN SUNAN KALIJAGA</x:v>
      </x:c>
      <x:c r="D2474" s="66" t="str">
        <x:v>PTKIN</x:v>
      </x:c>
      <x:c r="E2474" s="66" t="str">
        <x:v>13651001</x:v>
      </x:c>
      <x:c r="F2474" s="66" t="str">
        <x:v>MATEMATIKA</x:v>
      </x:c>
      <x:c r="G2474" s="66" t="str">
        <x:v>Sarjana</x:v>
      </x:c>
      <x:c r="H2474" s="87" t="n">
        <x:v>46</x:v>
      </x:c>
      <x:c r="I2474" s="87" t="n">
        <x:v>42</x:v>
      </x:c>
      <x:c r="J2474" s="68" t="n">
        <x:f>IFERROR(H2474/I2474,"")</x:f>
        <x:v>1.0952380952380953</x:v>
      </x:c>
      <x:c r="K2474" s="69" t="n">
        <x:f>IFERROR(I2474/H2474,"")</x:f>
        <x:v>0.9130434782608695</x:v>
      </x:c>
      <x:c r="L2474" s="66" t="str">
        <x:f>IF(K2474="","","1 : "&amp;TEXT(K2474,"0.0"))</x:f>
        <x:v>1 : 0.9</x:v>
      </x:c>
      <x:c r="M2474" s="66" t="str">
        <x:f>IF(J2474="","Baru/Tanpa Data",IF(J2474&lt;='Catatan &amp; Sumber'!$B$14,"Sangat Ketat",IF(J2474&lt;='Catatan &amp; Sumber'!$B$15,"Ketat",IF(J2474&lt;='Catatan &amp; Sumber'!$B$16,"Sedang","Relatif Longgar"))))</x:f>
        <x:v>Relatif Longgar</x:v>
      </x:c>
      <x:c r="N2474" s="66" t="str">
        <x:v>Tidak Ada</x:v>
      </x:c>
      <x:c r="O2474" s="66" t="str">
        <x:v>Yogyakarta</x:v>
      </x:c>
      <x:c r="P2474" s="66" t="str">
        <x:v>Kabupaten Sleman</x:v>
      </x:c>
      <x:c r="Q2474" s="66" t="str">
        <x:v>https://snpmb.id/snbp/daya-tampung-snbp</x:v>
      </x:c>
      <x:c r="R2474" s="66" t="str">
        <x:v>https://sidatagrun-public-1076756628210.asia-southeast2.run.app/ptn_sn.php?ptn=365</x:v>
      </x:c>
    </x:row>
    <x:row r="2475">
      <x:c r="A2475" s="87" t="n">
        <x:v>4523</x:v>
      </x:c>
      <x:c r="B2475" s="66" t="n">
        <x:v>365</x:v>
      </x:c>
      <x:c r="C2475" s="66" t="str">
        <x:v>UIN SUNAN KALIJAGA</x:v>
      </x:c>
      <x:c r="D2475" s="66" t="str">
        <x:v>PTKIN</x:v>
      </x:c>
      <x:c r="E2475" s="66" t="str">
        <x:v>13651002</x:v>
      </x:c>
      <x:c r="F2475" s="66" t="str">
        <x:v>FISIKA</x:v>
      </x:c>
      <x:c r="G2475" s="66" t="str">
        <x:v>Sarjana</x:v>
      </x:c>
      <x:c r="H2475" s="87" t="n">
        <x:v>25</x:v>
      </x:c>
      <x:c r="I2475" s="87" t="n">
        <x:v>18</x:v>
      </x:c>
      <x:c r="J2475" s="68" t="n">
        <x:f>IFERROR(H2475/I2475,"")</x:f>
        <x:v>1.3888888888888888</x:v>
      </x:c>
      <x:c r="K2475" s="69" t="n">
        <x:f>IFERROR(I2475/H2475,"")</x:f>
        <x:v>0.72</x:v>
      </x:c>
      <x:c r="L2475" s="66" t="str">
        <x:f>IF(K2475="","","1 : "&amp;TEXT(K2475,"0.0"))</x:f>
        <x:v>1 : 0.7</x:v>
      </x:c>
      <x:c r="M2475" s="66" t="str">
        <x:f>IF(J2475="","Baru/Tanpa Data",IF(J2475&lt;='Catatan &amp; Sumber'!$B$14,"Sangat Ketat",IF(J2475&lt;='Catatan &amp; Sumber'!$B$15,"Ketat",IF(J2475&lt;='Catatan &amp; Sumber'!$B$16,"Sedang","Relatif Longgar"))))</x:f>
        <x:v>Relatif Longgar</x:v>
      </x:c>
      <x:c r="N2475" s="66" t="str">
        <x:v>Tidak Ada</x:v>
      </x:c>
      <x:c r="O2475" s="66" t="str">
        <x:v>Yogyakarta</x:v>
      </x:c>
      <x:c r="P2475" s="66" t="str">
        <x:v>Kabupaten Sleman</x:v>
      </x:c>
      <x:c r="Q2475" s="66" t="str">
        <x:v>https://snpmb.id/snbp/daya-tampung-snbp</x:v>
      </x:c>
      <x:c r="R2475" s="66" t="str">
        <x:v>https://sidatagrun-public-1076756628210.asia-southeast2.run.app/ptn_sn.php?ptn=365</x:v>
      </x:c>
    </x:row>
    <x:row r="2476">
      <x:c r="A2476" s="87" t="n">
        <x:v>4020</x:v>
      </x:c>
      <x:c r="B2476" s="66" t="n">
        <x:v>365</x:v>
      </x:c>
      <x:c r="C2476" s="66" t="str">
        <x:v>UIN SUNAN KALIJAGA</x:v>
      </x:c>
      <x:c r="D2476" s="66" t="str">
        <x:v>PTKIN</x:v>
      </x:c>
      <x:c r="E2476" s="66" t="str">
        <x:v>13651003</x:v>
      </x:c>
      <x:c r="F2476" s="66" t="str">
        <x:v>KIMIA</x:v>
      </x:c>
      <x:c r="G2476" s="66" t="str">
        <x:v>Sarjana</x:v>
      </x:c>
      <x:c r="H2476" s="87" t="n">
        <x:v>35</x:v>
      </x:c>
      <x:c r="I2476" s="87" t="n">
        <x:v>50</x:v>
      </x:c>
      <x:c r="J2476" s="68" t="n">
        <x:f>IFERROR(H2476/I2476,"")</x:f>
        <x:v>0.7</x:v>
      </x:c>
      <x:c r="K2476" s="69" t="n">
        <x:f>IFERROR(I2476/H2476,"")</x:f>
        <x:v>1.4285714285714286</x:v>
      </x:c>
      <x:c r="L2476" s="66" t="str">
        <x:f>IF(K2476="","","1 : "&amp;TEXT(K2476,"0.0"))</x:f>
        <x:v>1 : 1.4</x:v>
      </x:c>
      <x:c r="M2476" s="66" t="str">
        <x:f>IF(J2476="","Baru/Tanpa Data",IF(J2476&lt;='Catatan &amp; Sumber'!$B$14,"Sangat Ketat",IF(J2476&lt;='Catatan &amp; Sumber'!$B$15,"Ketat",IF(J2476&lt;='Catatan &amp; Sumber'!$B$16,"Sedang","Relatif Longgar"))))</x:f>
        <x:v>Relatif Longgar</x:v>
      </x:c>
      <x:c r="N2476" s="66" t="str">
        <x:v>Tidak Ada</x:v>
      </x:c>
      <x:c r="O2476" s="66" t="str">
        <x:v>Yogyakarta</x:v>
      </x:c>
      <x:c r="P2476" s="66" t="str">
        <x:v>Kabupaten Sleman</x:v>
      </x:c>
      <x:c r="Q2476" s="66" t="str">
        <x:v>https://snpmb.id/snbp/daya-tampung-snbp</x:v>
      </x:c>
      <x:c r="R2476" s="66" t="str">
        <x:v>https://sidatagrun-public-1076756628210.asia-southeast2.run.app/ptn_sn.php?ptn=365</x:v>
      </x:c>
    </x:row>
    <x:row r="2477">
      <x:c r="A2477" s="87" t="n">
        <x:v>3696</x:v>
      </x:c>
      <x:c r="B2477" s="66" t="n">
        <x:v>365</x:v>
      </x:c>
      <x:c r="C2477" s="66" t="str">
        <x:v>UIN SUNAN KALIJAGA</x:v>
      </x:c>
      <x:c r="D2477" s="66" t="str">
        <x:v>PTKIN</x:v>
      </x:c>
      <x:c r="E2477" s="66" t="str">
        <x:v>13651004</x:v>
      </x:c>
      <x:c r="F2477" s="66" t="str">
        <x:v>BIOLOGI</x:v>
      </x:c>
      <x:c r="G2477" s="66" t="str">
        <x:v>Sarjana</x:v>
      </x:c>
      <x:c r="H2477" s="87" t="n">
        <x:v>35</x:v>
      </x:c>
      <x:c r="I2477" s="87" t="n">
        <x:v>68</x:v>
      </x:c>
      <x:c r="J2477" s="68" t="n">
        <x:f>IFERROR(H2477/I2477,"")</x:f>
        <x:v>0.5147058823529411</x:v>
      </x:c>
      <x:c r="K2477" s="69" t="n">
        <x:f>IFERROR(I2477/H2477,"")</x:f>
        <x:v>1.9428571428571428</x:v>
      </x:c>
      <x:c r="L2477" s="66" t="str">
        <x:f>IF(K2477="","","1 : "&amp;TEXT(K2477,"0.0"))</x:f>
        <x:v>1 : 1.9</x:v>
      </x:c>
      <x:c r="M2477" s="66" t="str">
        <x:f>IF(J2477="","Baru/Tanpa Data",IF(J2477&lt;='Catatan &amp; Sumber'!$B$14,"Sangat Ketat",IF(J2477&lt;='Catatan &amp; Sumber'!$B$15,"Ketat",IF(J2477&lt;='Catatan &amp; Sumber'!$B$16,"Sedang","Relatif Longgar"))))</x:f>
        <x:v>Relatif Longgar</x:v>
      </x:c>
      <x:c r="N2477" s="66" t="str">
        <x:v>Tidak Ada</x:v>
      </x:c>
      <x:c r="O2477" s="66" t="str">
        <x:v>Yogyakarta</x:v>
      </x:c>
      <x:c r="P2477" s="66" t="str">
        <x:v>Kabupaten Sleman</x:v>
      </x:c>
      <x:c r="Q2477" s="66" t="str">
        <x:v>https://snpmb.id/snbp/daya-tampung-snbp</x:v>
      </x:c>
      <x:c r="R2477" s="66" t="str">
        <x:v>https://sidatagrun-public-1076756628210.asia-southeast2.run.app/ptn_sn.php?ptn=365</x:v>
      </x:c>
    </x:row>
    <x:row r="2478">
      <x:c r="A2478" s="87" t="n">
        <x:v>1946</x:v>
      </x:c>
      <x:c r="B2478" s="66" t="n">
        <x:v>365</x:v>
      </x:c>
      <x:c r="C2478" s="66" t="str">
        <x:v>UIN SUNAN KALIJAGA</x:v>
      </x:c>
      <x:c r="D2478" s="66" t="str">
        <x:v>PTKIN</x:v>
      </x:c>
      <x:c r="E2478" s="66" t="str">
        <x:v>13651005</x:v>
      </x:c>
      <x:c r="F2478" s="66" t="str">
        <x:v>TEKNIK INFORMATIKA</x:v>
      </x:c>
      <x:c r="G2478" s="66" t="str">
        <x:v>Sarjana</x:v>
      </x:c>
      <x:c r="H2478" s="87" t="n">
        <x:v>46</x:v>
      </x:c>
      <x:c r="I2478" s="87" t="n">
        <x:v>315</x:v>
      </x:c>
      <x:c r="J2478" s="68" t="n">
        <x:f>IFERROR(H2478/I2478,"")</x:f>
        <x:v>0.14603174603174604</x:v>
      </x:c>
      <x:c r="K2478" s="69" t="n">
        <x:f>IFERROR(I2478/H2478,"")</x:f>
        <x:v>6.8478260869565215</x:v>
      </x:c>
      <x:c r="L2478" s="66" t="str">
        <x:f>IF(K2478="","","1 : "&amp;TEXT(K2478,"0.0"))</x:f>
        <x:v>1 : 6.8</x:v>
      </x:c>
      <x:c r="M2478" s="66" t="str">
        <x:f>IF(J2478="","Baru/Tanpa Data",IF(J2478&lt;='Catatan &amp; Sumber'!$B$14,"Sangat Ketat",IF(J2478&lt;='Catatan &amp; Sumber'!$B$15,"Ketat",IF(J2478&lt;='Catatan &amp; Sumber'!$B$16,"Sedang","Relatif Longgar"))))</x:f>
        <x:v>Relatif Longgar</x:v>
      </x:c>
      <x:c r="N2478" s="66" t="str">
        <x:v>Tidak Ada</x:v>
      </x:c>
      <x:c r="O2478" s="66" t="str">
        <x:v>Yogyakarta</x:v>
      </x:c>
      <x:c r="P2478" s="66" t="str">
        <x:v>Kabupaten Sleman</x:v>
      </x:c>
      <x:c r="Q2478" s="66" t="str">
        <x:v>https://snpmb.id/snbp/daya-tampung-snbp</x:v>
      </x:c>
      <x:c r="R2478" s="66" t="str">
        <x:v>https://sidatagrun-public-1076756628210.asia-southeast2.run.app/ptn_sn.php?ptn=365</x:v>
      </x:c>
    </x:row>
    <x:row r="2479">
      <x:c r="A2479" s="87" t="n">
        <x:v>2764</x:v>
      </x:c>
      <x:c r="B2479" s="66" t="n">
        <x:v>365</x:v>
      </x:c>
      <x:c r="C2479" s="66" t="str">
        <x:v>UIN SUNAN KALIJAGA</x:v>
      </x:c>
      <x:c r="D2479" s="66" t="str">
        <x:v>PTKIN</x:v>
      </x:c>
      <x:c r="E2479" s="66" t="str">
        <x:v>13651006</x:v>
      </x:c>
      <x:c r="F2479" s="66" t="str">
        <x:v>TEKNIK INDUSTRI</x:v>
      </x:c>
      <x:c r="G2479" s="66" t="str">
        <x:v>Sarjana</x:v>
      </x:c>
      <x:c r="H2479" s="87" t="n">
        <x:v>39</x:v>
      </x:c>
      <x:c r="I2479" s="87" t="n">
        <x:v>154</x:v>
      </x:c>
      <x:c r="J2479" s="68" t="n">
        <x:f>IFERROR(H2479/I2479,"")</x:f>
        <x:v>0.2532467532467532</x:v>
      </x:c>
      <x:c r="K2479" s="69" t="n">
        <x:f>IFERROR(I2479/H2479,"")</x:f>
        <x:v>3.948717948717949</x:v>
      </x:c>
      <x:c r="L2479" s="66" t="str">
        <x:f>IF(K2479="","","1 : "&amp;TEXT(K2479,"0.0"))</x:f>
        <x:v>1 : 3.9</x:v>
      </x:c>
      <x:c r="M2479" s="66" t="str">
        <x:f>IF(J2479="","Baru/Tanpa Data",IF(J2479&lt;='Catatan &amp; Sumber'!$B$14,"Sangat Ketat",IF(J2479&lt;='Catatan &amp; Sumber'!$B$15,"Ketat",IF(J2479&lt;='Catatan &amp; Sumber'!$B$16,"Sedang","Relatif Longgar"))))</x:f>
        <x:v>Relatif Longgar</x:v>
      </x:c>
      <x:c r="N2479" s="66" t="str">
        <x:v>Tidak Ada</x:v>
      </x:c>
      <x:c r="O2479" s="66" t="str">
        <x:v>Yogyakarta</x:v>
      </x:c>
      <x:c r="P2479" s="66" t="str">
        <x:v>Kabupaten Sleman</x:v>
      </x:c>
      <x:c r="Q2479" s="66" t="str">
        <x:v>https://snpmb.id/snbp/daya-tampung-snbp</x:v>
      </x:c>
      <x:c r="R2479" s="66" t="str">
        <x:v>https://sidatagrun-public-1076756628210.asia-southeast2.run.app/ptn_sn.php?ptn=365</x:v>
      </x:c>
    </x:row>
    <x:row r="2480">
      <x:c r="A2480" s="87" t="n">
        <x:v>3443</x:v>
      </x:c>
      <x:c r="B2480" s="66" t="n">
        <x:v>365</x:v>
      </x:c>
      <x:c r="C2480" s="66" t="str">
        <x:v>UIN SUNAN KALIJAGA</x:v>
      </x:c>
      <x:c r="D2480" s="66" t="str">
        <x:v>PTKIN</x:v>
      </x:c>
      <x:c r="E2480" s="66" t="str">
        <x:v>13651007</x:v>
      </x:c>
      <x:c r="F2480" s="66" t="str">
        <x:v>PENDIDIKAN MATEMATIKA</x:v>
      </x:c>
      <x:c r="G2480" s="66" t="str">
        <x:v>Sarjana</x:v>
      </x:c>
      <x:c r="H2480" s="87" t="n">
        <x:v>42</x:v>
      </x:c>
      <x:c r="I2480" s="87" t="n">
        <x:v>101</x:v>
      </x:c>
      <x:c r="J2480" s="68" t="n">
        <x:f>IFERROR(H2480/I2480,"")</x:f>
        <x:v>0.4158415841584158</x:v>
      </x:c>
      <x:c r="K2480" s="69" t="n">
        <x:f>IFERROR(I2480/H2480,"")</x:f>
        <x:v>2.4047619047619047</x:v>
      </x:c>
      <x:c r="L2480" s="66" t="str">
        <x:f>IF(K2480="","","1 : "&amp;TEXT(K2480,"0.0"))</x:f>
        <x:v>1 : 2.4</x:v>
      </x:c>
      <x:c r="M2480" s="66" t="str">
        <x:f>IF(J2480="","Baru/Tanpa Data",IF(J2480&lt;='Catatan &amp; Sumber'!$B$14,"Sangat Ketat",IF(J2480&lt;='Catatan &amp; Sumber'!$B$15,"Ketat",IF(J2480&lt;='Catatan &amp; Sumber'!$B$16,"Sedang","Relatif Longgar"))))</x:f>
        <x:v>Relatif Longgar</x:v>
      </x:c>
      <x:c r="N2480" s="66" t="str">
        <x:v>Tidak Ada</x:v>
      </x:c>
      <x:c r="O2480" s="66" t="str">
        <x:v>Yogyakarta</x:v>
      </x:c>
      <x:c r="P2480" s="66" t="str">
        <x:v>Kabupaten Sleman</x:v>
      </x:c>
      <x:c r="Q2480" s="66" t="str">
        <x:v>https://snpmb.id/snbp/daya-tampung-snbp</x:v>
      </x:c>
      <x:c r="R2480" s="66" t="str">
        <x:v>https://sidatagrun-public-1076756628210.asia-southeast2.run.app/ptn_sn.php?ptn=365</x:v>
      </x:c>
    </x:row>
    <x:row r="2481">
      <x:c r="A2481" s="87" t="n">
        <x:v>4540</x:v>
      </x:c>
      <x:c r="B2481" s="66" t="n">
        <x:v>365</x:v>
      </x:c>
      <x:c r="C2481" s="66" t="str">
        <x:v>UIN SUNAN KALIJAGA</x:v>
      </x:c>
      <x:c r="D2481" s="66" t="str">
        <x:v>PTKIN</x:v>
      </x:c>
      <x:c r="E2481" s="66" t="str">
        <x:v>13651008</x:v>
      </x:c>
      <x:c r="F2481" s="66" t="str">
        <x:v>PENDIDIKAN FISIKA</x:v>
      </x:c>
      <x:c r="G2481" s="66" t="str">
        <x:v>Sarjana</x:v>
      </x:c>
      <x:c r="H2481" s="87" t="n">
        <x:v>32</x:v>
      </x:c>
      <x:c r="I2481" s="87" t="n">
        <x:v>22</x:v>
      </x:c>
      <x:c r="J2481" s="68" t="n">
        <x:f>IFERROR(H2481/I2481,"")</x:f>
        <x:v>1.4545454545454546</x:v>
      </x:c>
      <x:c r="K2481" s="69" t="n">
        <x:f>IFERROR(I2481/H2481,"")</x:f>
        <x:v>0.6875</x:v>
      </x:c>
      <x:c r="L2481" s="66" t="str">
        <x:f>IF(K2481="","","1 : "&amp;TEXT(K2481,"0.0"))</x:f>
        <x:v>1 : 0.7</x:v>
      </x:c>
      <x:c r="M2481" s="66" t="str">
        <x:f>IF(J2481="","Baru/Tanpa Data",IF(J2481&lt;='Catatan &amp; Sumber'!$B$14,"Sangat Ketat",IF(J2481&lt;='Catatan &amp; Sumber'!$B$15,"Ketat",IF(J2481&lt;='Catatan &amp; Sumber'!$B$16,"Sedang","Relatif Longgar"))))</x:f>
        <x:v>Relatif Longgar</x:v>
      </x:c>
      <x:c r="N2481" s="66" t="str">
        <x:v>Tidak Ada</x:v>
      </x:c>
      <x:c r="O2481" s="66" t="str">
        <x:v>Yogyakarta</x:v>
      </x:c>
      <x:c r="P2481" s="66" t="str">
        <x:v>Kabupaten Sleman</x:v>
      </x:c>
      <x:c r="Q2481" s="66" t="str">
        <x:v>https://snpmb.id/snbp/daya-tampung-snbp</x:v>
      </x:c>
      <x:c r="R2481" s="66" t="str">
        <x:v>https://sidatagrun-public-1076756628210.asia-southeast2.run.app/ptn_sn.php?ptn=365</x:v>
      </x:c>
    </x:row>
    <x:row r="2482">
      <x:c r="A2482" s="87" t="n">
        <x:v>4391</x:v>
      </x:c>
      <x:c r="B2482" s="66" t="n">
        <x:v>365</x:v>
      </x:c>
      <x:c r="C2482" s="66" t="str">
        <x:v>UIN SUNAN KALIJAGA</x:v>
      </x:c>
      <x:c r="D2482" s="66" t="str">
        <x:v>PTKIN</x:v>
      </x:c>
      <x:c r="E2482" s="66" t="str">
        <x:v>13651009</x:v>
      </x:c>
      <x:c r="F2482" s="66" t="str">
        <x:v>PENDIDIKAN KIMIA</x:v>
      </x:c>
      <x:c r="G2482" s="66" t="str">
        <x:v>Sarjana</x:v>
      </x:c>
      <x:c r="H2482" s="87" t="n">
        <x:v>32</x:v>
      </x:c>
      <x:c r="I2482" s="87" t="n">
        <x:v>29</x:v>
      </x:c>
      <x:c r="J2482" s="68" t="n">
        <x:f>IFERROR(H2482/I2482,"")</x:f>
        <x:v>1.103448275862069</x:v>
      </x:c>
      <x:c r="K2482" s="69" t="n">
        <x:f>IFERROR(I2482/H2482,"")</x:f>
        <x:v>0.90625</x:v>
      </x:c>
      <x:c r="L2482" s="66" t="str">
        <x:f>IF(K2482="","","1 : "&amp;TEXT(K2482,"0.0"))</x:f>
        <x:v>1 : 0.9</x:v>
      </x:c>
      <x:c r="M2482" s="66" t="str">
        <x:f>IF(J2482="","Baru/Tanpa Data",IF(J2482&lt;='Catatan &amp; Sumber'!$B$14,"Sangat Ketat",IF(J2482&lt;='Catatan &amp; Sumber'!$B$15,"Ketat",IF(J2482&lt;='Catatan &amp; Sumber'!$B$16,"Sedang","Relatif Longgar"))))</x:f>
        <x:v>Relatif Longgar</x:v>
      </x:c>
      <x:c r="N2482" s="66" t="str">
        <x:v>Tidak Ada</x:v>
      </x:c>
      <x:c r="O2482" s="66" t="str">
        <x:v>Yogyakarta</x:v>
      </x:c>
      <x:c r="P2482" s="66" t="str">
        <x:v>Kabupaten Sleman</x:v>
      </x:c>
      <x:c r="Q2482" s="66" t="str">
        <x:v>https://snpmb.id/snbp/daya-tampung-snbp</x:v>
      </x:c>
      <x:c r="R2482" s="66" t="str">
        <x:v>https://sidatagrun-public-1076756628210.asia-southeast2.run.app/ptn_sn.php?ptn=365</x:v>
      </x:c>
    </x:row>
    <x:row r="2483">
      <x:c r="A2483" s="87" t="n">
        <x:v>3537</x:v>
      </x:c>
      <x:c r="B2483" s="66" t="n">
        <x:v>365</x:v>
      </x:c>
      <x:c r="C2483" s="66" t="str">
        <x:v>UIN SUNAN KALIJAGA</x:v>
      </x:c>
      <x:c r="D2483" s="66" t="str">
        <x:v>PTKIN</x:v>
      </x:c>
      <x:c r="E2483" s="66" t="str">
        <x:v>13651010</x:v>
      </x:c>
      <x:c r="F2483" s="66" t="str">
        <x:v>PENDIDIKAN BIOLOGI</x:v>
      </x:c>
      <x:c r="G2483" s="66" t="str">
        <x:v>Sarjana</x:v>
      </x:c>
      <x:c r="H2483" s="87" t="n">
        <x:v>42</x:v>
      </x:c>
      <x:c r="I2483" s="87" t="n">
        <x:v>94</x:v>
      </x:c>
      <x:c r="J2483" s="68" t="n">
        <x:f>IFERROR(H2483/I2483,"")</x:f>
        <x:v>0.44680851063829785</x:v>
      </x:c>
      <x:c r="K2483" s="69" t="n">
        <x:f>IFERROR(I2483/H2483,"")</x:f>
        <x:v>2.238095238095238</x:v>
      </x:c>
      <x:c r="L2483" s="66" t="str">
        <x:f>IF(K2483="","","1 : "&amp;TEXT(K2483,"0.0"))</x:f>
        <x:v>1 : 2.2</x:v>
      </x:c>
      <x:c r="M2483" s="66" t="str">
        <x:f>IF(J2483="","Baru/Tanpa Data",IF(J2483&lt;='Catatan &amp; Sumber'!$B$14,"Sangat Ketat",IF(J2483&lt;='Catatan &amp; Sumber'!$B$15,"Ketat",IF(J2483&lt;='Catatan &amp; Sumber'!$B$16,"Sedang","Relatif Longgar"))))</x:f>
        <x:v>Relatif Longgar</x:v>
      </x:c>
      <x:c r="N2483" s="66" t="str">
        <x:v>Tidak Ada</x:v>
      </x:c>
      <x:c r="O2483" s="66" t="str">
        <x:v>Yogyakarta</x:v>
      </x:c>
      <x:c r="P2483" s="66" t="str">
        <x:v>Kabupaten Sleman</x:v>
      </x:c>
      <x:c r="Q2483" s="66" t="str">
        <x:v>https://snpmb.id/snbp/daya-tampung-snbp</x:v>
      </x:c>
      <x:c r="R2483" s="66" t="str">
        <x:v>https://sidatagrun-public-1076756628210.asia-southeast2.run.app/ptn_sn.php?ptn=365</x:v>
      </x:c>
    </x:row>
    <x:row r="2484">
      <x:c r="A2484" s="87" t="n">
        <x:v>3210</x:v>
      </x:c>
      <x:c r="B2484" s="66" t="n">
        <x:v>365</x:v>
      </x:c>
      <x:c r="C2484" s="66" t="str">
        <x:v>UIN SUNAN KALIJAGA</x:v>
      </x:c>
      <x:c r="D2484" s="66" t="str">
        <x:v>PTKIN</x:v>
      </x:c>
      <x:c r="E2484" s="66" t="str">
        <x:v>13651013</x:v>
      </x:c>
      <x:c r="F2484" s="66" t="str">
        <x:v>ILMU PERPUSTAKAAN (IP)</x:v>
      </x:c>
      <x:c r="G2484" s="66" t="str">
        <x:v>Sarjana</x:v>
      </x:c>
      <x:c r="H2484" s="87" t="n">
        <x:v>60</x:v>
      </x:c>
      <x:c r="I2484" s="87" t="n">
        <x:v>174</x:v>
      </x:c>
      <x:c r="J2484" s="68" t="n">
        <x:f>IFERROR(H2484/I2484,"")</x:f>
        <x:v>0.3448275862068966</x:v>
      </x:c>
      <x:c r="K2484" s="69" t="n">
        <x:f>IFERROR(I2484/H2484,"")</x:f>
        <x:v>2.9</x:v>
      </x:c>
      <x:c r="L2484" s="66" t="str">
        <x:f>IF(K2484="","","1 : "&amp;TEXT(K2484,"0.0"))</x:f>
        <x:v>1 : 2.9</x:v>
      </x:c>
      <x:c r="M2484" s="66" t="str">
        <x:f>IF(J2484="","Baru/Tanpa Data",IF(J2484&lt;='Catatan &amp; Sumber'!$B$14,"Sangat Ketat",IF(J2484&lt;='Catatan &amp; Sumber'!$B$15,"Ketat",IF(J2484&lt;='Catatan &amp; Sumber'!$B$16,"Sedang","Relatif Longgar"))))</x:f>
        <x:v>Relatif Longgar</x:v>
      </x:c>
      <x:c r="N2484" s="66" t="str">
        <x:v>Tidak Ada</x:v>
      </x:c>
      <x:c r="O2484" s="66" t="str">
        <x:v>Yogyakarta</x:v>
      </x:c>
      <x:c r="P2484" s="66" t="str">
        <x:v>Kabupaten Sleman</x:v>
      </x:c>
      <x:c r="Q2484" s="66" t="str">
        <x:v>https://snpmb.id/snbp/daya-tampung-snbp</x:v>
      </x:c>
      <x:c r="R2484" s="66" t="str">
        <x:v>https://sidatagrun-public-1076756628210.asia-southeast2.run.app/ptn_sn.php?ptn=365</x:v>
      </x:c>
    </x:row>
    <x:row r="2485">
      <x:c r="A2485" s="87" t="n">
        <x:v>2542</x:v>
      </x:c>
      <x:c r="B2485" s="66" t="n">
        <x:v>365</x:v>
      </x:c>
      <x:c r="C2485" s="66" t="str">
        <x:v>UIN SUNAN KALIJAGA</x:v>
      </x:c>
      <x:c r="D2485" s="66" t="str">
        <x:v>PTKIN</x:v>
      </x:c>
      <x:c r="E2485" s="66" t="str">
        <x:v>13651022</x:v>
      </x:c>
      <x:c r="F2485" s="66" t="str">
        <x:v>PSIKOLOGI</x:v>
      </x:c>
      <x:c r="G2485" s="66" t="str">
        <x:v>Sarjana</x:v>
      </x:c>
      <x:c r="H2485" s="87" t="n">
        <x:v>77</x:v>
      </x:c>
      <x:c r="I2485" s="87" t="n">
        <x:v>352</x:v>
      </x:c>
      <x:c r="J2485" s="68" t="n">
        <x:f>IFERROR(H2485/I2485,"")</x:f>
        <x:v>0.21875</x:v>
      </x:c>
      <x:c r="K2485" s="69" t="n">
        <x:f>IFERROR(I2485/H2485,"")</x:f>
        <x:v>4.571428571428571</x:v>
      </x:c>
      <x:c r="L2485" s="66" t="str">
        <x:f>IF(K2485="","","1 : "&amp;TEXT(K2485,"0.0"))</x:f>
        <x:v>1 : 4.6</x:v>
      </x:c>
      <x:c r="M2485" s="66" t="str">
        <x:f>IF(J2485="","Baru/Tanpa Data",IF(J2485&lt;='Catatan &amp; Sumber'!$B$14,"Sangat Ketat",IF(J2485&lt;='Catatan &amp; Sumber'!$B$15,"Ketat",IF(J2485&lt;='Catatan &amp; Sumber'!$B$16,"Sedang","Relatif Longgar"))))</x:f>
        <x:v>Relatif Longgar</x:v>
      </x:c>
      <x:c r="N2485" s="66" t="str">
        <x:v>Tidak Ada</x:v>
      </x:c>
      <x:c r="O2485" s="66" t="str">
        <x:v>Yogyakarta</x:v>
      </x:c>
      <x:c r="P2485" s="66" t="str">
        <x:v>Kabupaten Sleman</x:v>
      </x:c>
      <x:c r="Q2485" s="66" t="str">
        <x:v>https://snpmb.id/snbp/daya-tampung-snbp</x:v>
      </x:c>
      <x:c r="R2485" s="66" t="str">
        <x:v>https://sidatagrun-public-1076756628210.asia-southeast2.run.app/ptn_sn.php?ptn=365</x:v>
      </x:c>
    </x:row>
    <x:row r="2486">
      <x:c r="A2486" s="87" t="n">
        <x:v>3531</x:v>
      </x:c>
      <x:c r="B2486" s="66" t="n">
        <x:v>365</x:v>
      </x:c>
      <x:c r="C2486" s="66" t="str">
        <x:v>UIN SUNAN KALIJAGA</x:v>
      </x:c>
      <x:c r="D2486" s="66" t="str">
        <x:v>PTKIN</x:v>
      </x:c>
      <x:c r="E2486" s="66" t="str">
        <x:v>13651023</x:v>
      </x:c>
      <x:c r="F2486" s="66" t="str">
        <x:v>SOSIOLOGI</x:v>
      </x:c>
      <x:c r="G2486" s="66" t="str">
        <x:v>Sarjana</x:v>
      </x:c>
      <x:c r="H2486" s="87" t="n">
        <x:v>53</x:v>
      </x:c>
      <x:c r="I2486" s="87" t="n">
        <x:v>119</x:v>
      </x:c>
      <x:c r="J2486" s="68" t="n">
        <x:f>IFERROR(H2486/I2486,"")</x:f>
        <x:v>0.44537815126050423</x:v>
      </x:c>
      <x:c r="K2486" s="69" t="n">
        <x:f>IFERROR(I2486/H2486,"")</x:f>
        <x:v>2.2452830188679247</x:v>
      </x:c>
      <x:c r="L2486" s="66" t="str">
        <x:f>IF(K2486="","","1 : "&amp;TEXT(K2486,"0.0"))</x:f>
        <x:v>1 : 2.2</x:v>
      </x:c>
      <x:c r="M2486" s="66" t="str">
        <x:f>IF(J2486="","Baru/Tanpa Data",IF(J2486&lt;='Catatan &amp; Sumber'!$B$14,"Sangat Ketat",IF(J2486&lt;='Catatan &amp; Sumber'!$B$15,"Ketat",IF(J2486&lt;='Catatan &amp; Sumber'!$B$16,"Sedang","Relatif Longgar"))))</x:f>
        <x:v>Relatif Longgar</x:v>
      </x:c>
      <x:c r="N2486" s="66" t="str">
        <x:v>Tidak Ada</x:v>
      </x:c>
      <x:c r="O2486" s="66" t="str">
        <x:v>Yogyakarta</x:v>
      </x:c>
      <x:c r="P2486" s="66" t="str">
        <x:v>Kabupaten Sleman</x:v>
      </x:c>
      <x:c r="Q2486" s="66" t="str">
        <x:v>https://snpmb.id/snbp/daya-tampung-snbp</x:v>
      </x:c>
      <x:c r="R2486" s="66" t="str">
        <x:v>https://sidatagrun-public-1076756628210.asia-southeast2.run.app/ptn_sn.php?ptn=365</x:v>
      </x:c>
    </x:row>
    <x:row r="2487">
      <x:c r="A2487" s="87" t="n">
        <x:v>2487</x:v>
      </x:c>
      <x:c r="B2487" s="66" t="n">
        <x:v>365</x:v>
      </x:c>
      <x:c r="C2487" s="66" t="str">
        <x:v>UIN SUNAN KALIJAGA</x:v>
      </x:c>
      <x:c r="D2487" s="66" t="str">
        <x:v>PTKIN</x:v>
      </x:c>
      <x:c r="E2487" s="66" t="str">
        <x:v>13651024</x:v>
      </x:c>
      <x:c r="F2487" s="66" t="str">
        <x:v>ILMU KOMUNIKASI</x:v>
      </x:c>
      <x:c r="G2487" s="66" t="str">
        <x:v>Sarjana</x:v>
      </x:c>
      <x:c r="H2487" s="87" t="n">
        <x:v>67</x:v>
      </x:c>
      <x:c r="I2487" s="87" t="n">
        <x:v>321</x:v>
      </x:c>
      <x:c r="J2487" s="68" t="n">
        <x:f>IFERROR(H2487/I2487,"")</x:f>
        <x:v>0.2087227414330218</x:v>
      </x:c>
      <x:c r="K2487" s="69" t="n">
        <x:f>IFERROR(I2487/H2487,"")</x:f>
        <x:v>4.791044776119403</x:v>
      </x:c>
      <x:c r="L2487" s="66" t="str">
        <x:f>IF(K2487="","","1 : "&amp;TEXT(K2487,"0.0"))</x:f>
        <x:v>1 : 4.8</x:v>
      </x:c>
      <x:c r="M2487" s="66" t="str">
        <x:f>IF(J2487="","Baru/Tanpa Data",IF(J2487&lt;='Catatan &amp; Sumber'!$B$14,"Sangat Ketat",IF(J2487&lt;='Catatan &amp; Sumber'!$B$15,"Ketat",IF(J2487&lt;='Catatan &amp; Sumber'!$B$16,"Sedang","Relatif Longgar"))))</x:f>
        <x:v>Relatif Longgar</x:v>
      </x:c>
      <x:c r="N2487" s="66" t="str">
        <x:v>Tidak Ada</x:v>
      </x:c>
      <x:c r="O2487" s="66" t="str">
        <x:v>Yogyakarta</x:v>
      </x:c>
      <x:c r="P2487" s="66" t="str">
        <x:v>Kabupaten Sleman</x:v>
      </x:c>
      <x:c r="Q2487" s="66" t="str">
        <x:v>https://snpmb.id/snbp/daya-tampung-snbp</x:v>
      </x:c>
      <x:c r="R2487" s="66" t="str">
        <x:v>https://sidatagrun-public-1076756628210.asia-southeast2.run.app/ptn_sn.php?ptn=365</x:v>
      </x:c>
    </x:row>
    <x:row r="2488">
      <x:c r="A2488" s="87" t="n">
        <x:v>3553</x:v>
      </x:c>
      <x:c r="B2488" s="66" t="n">
        <x:v>365</x:v>
      </x:c>
      <x:c r="C2488" s="66" t="str">
        <x:v>UIN SUNAN KALIJAGA</x:v>
      </x:c>
      <x:c r="D2488" s="66" t="str">
        <x:v>PTKIN</x:v>
      </x:c>
      <x:c r="E2488" s="66" t="str">
        <x:v>13651026</x:v>
      </x:c>
      <x:c r="F2488" s="66" t="str">
        <x:v>SASTRA INGGRIS (SI)</x:v>
      </x:c>
      <x:c r="G2488" s="66" t="str">
        <x:v>Sarjana</x:v>
      </x:c>
      <x:c r="H2488" s="87" t="n">
        <x:v>56</x:v>
      </x:c>
      <x:c r="I2488" s="87" t="n">
        <x:v>124</x:v>
      </x:c>
      <x:c r="J2488" s="68" t="n">
        <x:f>IFERROR(H2488/I2488,"")</x:f>
        <x:v>0.45161290322580644</x:v>
      </x:c>
      <x:c r="K2488" s="69" t="n">
        <x:f>IFERROR(I2488/H2488,"")</x:f>
        <x:v>2.2142857142857144</x:v>
      </x:c>
      <x:c r="L2488" s="66" t="str">
        <x:f>IF(K2488="","","1 : "&amp;TEXT(K2488,"0.0"))</x:f>
        <x:v>1 : 2.2</x:v>
      </x:c>
      <x:c r="M2488" s="66" t="str">
        <x:f>IF(J2488="","Baru/Tanpa Data",IF(J2488&lt;='Catatan &amp; Sumber'!$B$14,"Sangat Ketat",IF(J2488&lt;='Catatan &amp; Sumber'!$B$15,"Ketat",IF(J2488&lt;='Catatan &amp; Sumber'!$B$16,"Sedang","Relatif Longgar"))))</x:f>
        <x:v>Relatif Longgar</x:v>
      </x:c>
      <x:c r="N2488" s="66" t="str">
        <x:v>Tidak Ada</x:v>
      </x:c>
      <x:c r="O2488" s="66" t="str">
        <x:v>Yogyakarta</x:v>
      </x:c>
      <x:c r="P2488" s="66" t="str">
        <x:v>Kabupaten Sleman</x:v>
      </x:c>
      <x:c r="Q2488" s="66" t="str">
        <x:v>https://snpmb.id/snbp/daya-tampung-snbp</x:v>
      </x:c>
      <x:c r="R2488" s="66" t="str">
        <x:v>https://sidatagrun-public-1076756628210.asia-southeast2.run.app/ptn_sn.php?ptn=365</x:v>
      </x:c>
    </x:row>
    <x:row r="2489">
      <x:c r="A2489" s="87" t="n">
        <x:v>2692</x:v>
      </x:c>
      <x:c r="B2489" s="66" t="n">
        <x:v>365</x:v>
      </x:c>
      <x:c r="C2489" s="66" t="str">
        <x:v>UIN SUNAN KALIJAGA</x:v>
      </x:c>
      <x:c r="D2489" s="66" t="str">
        <x:v>PTKIN</x:v>
      </x:c>
      <x:c r="E2489" s="66" t="str">
        <x:v>13651029</x:v>
      </x:c>
      <x:c r="F2489" s="66" t="str">
        <x:v>ILMU HUKUM (IH)</x:v>
      </x:c>
      <x:c r="G2489" s="66" t="str">
        <x:v>Sarjana</x:v>
      </x:c>
      <x:c r="H2489" s="87" t="n">
        <x:v>70</x:v>
      </x:c>
      <x:c r="I2489" s="87" t="n">
        <x:v>289</x:v>
      </x:c>
      <x:c r="J2489" s="68" t="n">
        <x:f>IFERROR(H2489/I2489,"")</x:f>
        <x:v>0.2422145328719723</x:v>
      </x:c>
      <x:c r="K2489" s="69" t="n">
        <x:f>IFERROR(I2489/H2489,"")</x:f>
        <x:v>4.128571428571429</x:v>
      </x:c>
      <x:c r="L2489" s="66" t="str">
        <x:f>IF(K2489="","","1 : "&amp;TEXT(K2489,"0.0"))</x:f>
        <x:v>1 : 4.1</x:v>
      </x:c>
      <x:c r="M2489" s="66" t="str">
        <x:f>IF(J2489="","Baru/Tanpa Data",IF(J2489&lt;='Catatan &amp; Sumber'!$B$14,"Sangat Ketat",IF(J2489&lt;='Catatan &amp; Sumber'!$B$15,"Ketat",IF(J2489&lt;='Catatan &amp; Sumber'!$B$16,"Sedang","Relatif Longgar"))))</x:f>
        <x:v>Relatif Longgar</x:v>
      </x:c>
      <x:c r="N2489" s="66" t="str">
        <x:v>Tidak Ada</x:v>
      </x:c>
      <x:c r="O2489" s="66" t="str">
        <x:v>Yogyakarta</x:v>
      </x:c>
      <x:c r="P2489" s="66" t="str">
        <x:v>Kabupaten Sleman</x:v>
      </x:c>
      <x:c r="Q2489" s="66" t="str">
        <x:v>https://snpmb.id/snbp/daya-tampung-snbp</x:v>
      </x:c>
      <x:c r="R2489" s="66" t="str">
        <x:v>https://sidatagrun-public-1076756628210.asia-southeast2.run.app/ptn_sn.php?ptn=365</x:v>
      </x:c>
    </x:row>
    <x:row r="2490">
      <x:c r="A2490" s="87" t="n">
        <x:v>2911</x:v>
      </x:c>
      <x:c r="B2490" s="66" t="n">
        <x:v>365</x:v>
      </x:c>
      <x:c r="C2490" s="66" t="str">
        <x:v>UIN SUNAN KALIJAGA</x:v>
      </x:c>
      <x:c r="D2490" s="66" t="str">
        <x:v>PTKIN</x:v>
      </x:c>
      <x:c r="E2490" s="66" t="str">
        <x:v>13651030</x:v>
      </x:c>
      <x:c r="F2490" s="66" t="str">
        <x:v>ILMU KESEJAHTERAAN SOSIAL (IKS)</x:v>
      </x:c>
      <x:c r="G2490" s="66" t="str">
        <x:v>Sarjana</x:v>
      </x:c>
      <x:c r="H2490" s="87" t="n">
        <x:v>37</x:v>
      </x:c>
      <x:c r="I2490" s="87" t="n">
        <x:v>134</x:v>
      </x:c>
      <x:c r="J2490" s="68" t="n">
        <x:f>IFERROR(H2490/I2490,"")</x:f>
        <x:v>0.27611940298507465</x:v>
      </x:c>
      <x:c r="K2490" s="69" t="n">
        <x:f>IFERROR(I2490/H2490,"")</x:f>
        <x:v>3.6216216216216215</x:v>
      </x:c>
      <x:c r="L2490" s="66" t="str">
        <x:f>IF(K2490="","","1 : "&amp;TEXT(K2490,"0.0"))</x:f>
        <x:v>1 : 3.6</x:v>
      </x:c>
      <x:c r="M2490" s="66" t="str">
        <x:f>IF(J2490="","Baru/Tanpa Data",IF(J2490&lt;='Catatan &amp; Sumber'!$B$14,"Sangat Ketat",IF(J2490&lt;='Catatan &amp; Sumber'!$B$15,"Ketat",IF(J2490&lt;='Catatan &amp; Sumber'!$B$16,"Sedang","Relatif Longgar"))))</x:f>
        <x:v>Relatif Longgar</x:v>
      </x:c>
      <x:c r="N2490" s="66" t="str">
        <x:v>Tidak Ada</x:v>
      </x:c>
      <x:c r="O2490" s="66" t="str">
        <x:v>Yogyakarta</x:v>
      </x:c>
      <x:c r="P2490" s="66" t="str">
        <x:v>Kabupaten Sleman</x:v>
      </x:c>
      <x:c r="Q2490" s="66" t="str">
        <x:v>https://snpmb.id/snbp/daya-tampung-snbp</x:v>
      </x:c>
      <x:c r="R2490" s="66" t="str">
        <x:v>https://sidatagrun-public-1076756628210.asia-southeast2.run.app/ptn_sn.php?ptn=365</x:v>
      </x:c>
    </x:row>
    <x:row r="2491">
      <x:c r="A2491" s="87" t="n">
        <x:v>3555</x:v>
      </x:c>
      <x:c r="B2491" s="66" t="n">
        <x:v>365</x:v>
      </x:c>
      <x:c r="C2491" s="66" t="str">
        <x:v>UIN SUNAN KALIJAGA</x:v>
      </x:c>
      <x:c r="D2491" s="66" t="str">
        <x:v>PTKIN</x:v>
      </x:c>
      <x:c r="E2491" s="66" t="str">
        <x:v>13651040</x:v>
      </x:c>
      <x:c r="F2491" s="66" t="str">
        <x:v>ARSITEKTUR</x:v>
      </x:c>
      <x:c r="G2491" s="66" t="str">
        <x:v>Sarjana</x:v>
      </x:c>
      <x:c r="H2491" s="87" t="n">
        <x:v>19</x:v>
      </x:c>
      <x:c r="I2491" s="87" t="n">
        <x:v>42</x:v>
      </x:c>
      <x:c r="J2491" s="68" t="n">
        <x:f>IFERROR(H2491/I2491,"")</x:f>
        <x:v>0.4523809523809524</x:v>
      </x:c>
      <x:c r="K2491" s="69" t="n">
        <x:f>IFERROR(I2491/H2491,"")</x:f>
        <x:v>2.210526315789474</x:v>
      </x:c>
      <x:c r="L2491" s="66" t="str">
        <x:f>IF(K2491="","","1 : "&amp;TEXT(K2491,"0.0"))</x:f>
        <x:v>1 : 2.2</x:v>
      </x:c>
      <x:c r="M2491" s="66" t="str">
        <x:f>IF(J2491="","Baru/Tanpa Data",IF(J2491&lt;='Catatan &amp; Sumber'!$B$14,"Sangat Ketat",IF(J2491&lt;='Catatan &amp; Sumber'!$B$15,"Ketat",IF(J2491&lt;='Catatan &amp; Sumber'!$B$16,"Sedang","Relatif Longgar"))))</x:f>
        <x:v>Relatif Longgar</x:v>
      </x:c>
      <x:c r="N2491" s="66" t="str">
        <x:v>Tidak Ada</x:v>
      </x:c>
      <x:c r="O2491" s="66" t="str">
        <x:v>Yogyakarta</x:v>
      </x:c>
      <x:c r="P2491" s="66" t="str">
        <x:v>Kabupaten Sleman</x:v>
      </x:c>
      <x:c r="Q2491" s="66" t="str">
        <x:v>https://snpmb.id/snbp/daya-tampung-snbp</x:v>
      </x:c>
      <x:c r="R2491" s="66" t="str">
        <x:v>https://sidatagrun-public-1076756628210.asia-southeast2.run.app/ptn_sn.php?ptn=365</x:v>
      </x:c>
    </x:row>
    <x:row r="2492">
      <x:c r="A2492" s="87" t="n">
        <x:v>3038</x:v>
      </x:c>
      <x:c r="B2492" s="66" t="n">
        <x:v>365</x:v>
      </x:c>
      <x:c r="C2492" s="66" t="str">
        <x:v>UIN SUNAN KALIJAGA</x:v>
      </x:c>
      <x:c r="D2492" s="66" t="str">
        <x:v>PTKIN</x:v>
      </x:c>
      <x:c r="E2492" s="66" t="str">
        <x:v>13651041</x:v>
      </x:c>
      <x:c r="F2492" s="66" t="str">
        <x:v>SAINS BIOMEDIS</x:v>
      </x:c>
      <x:c r="G2492" s="66" t="str">
        <x:v>Sarjana</x:v>
      </x:c>
      <x:c r="H2492" s="87" t="n">
        <x:v>19</x:v>
      </x:c>
      <x:c r="I2492" s="87" t="n">
        <x:v>63</x:v>
      </x:c>
      <x:c r="J2492" s="68" t="n">
        <x:f>IFERROR(H2492/I2492,"")</x:f>
        <x:v>0.30158730158730157</x:v>
      </x:c>
      <x:c r="K2492" s="69" t="n">
        <x:f>IFERROR(I2492/H2492,"")</x:f>
        <x:v>3.3157894736842106</x:v>
      </x:c>
      <x:c r="L2492" s="66" t="str">
        <x:f>IF(K2492="","","1 : "&amp;TEXT(K2492,"0.0"))</x:f>
        <x:v>1 : 3.3</x:v>
      </x:c>
      <x:c r="M2492" s="66" t="str">
        <x:f>IF(J2492="","Baru/Tanpa Data",IF(J2492&lt;='Catatan &amp; Sumber'!$B$14,"Sangat Ketat",IF(J2492&lt;='Catatan &amp; Sumber'!$B$15,"Ketat",IF(J2492&lt;='Catatan &amp; Sumber'!$B$16,"Sedang","Relatif Longgar"))))</x:f>
        <x:v>Relatif Longgar</x:v>
      </x:c>
      <x:c r="N2492" s="66" t="str">
        <x:v>Tidak Ada</x:v>
      </x:c>
      <x:c r="O2492" s="66" t="str">
        <x:v>Yogyakarta</x:v>
      </x:c>
      <x:c r="P2492" s="66" t="str">
        <x:v>Kabupaten Sleman</x:v>
      </x:c>
      <x:c r="Q2492" s="66" t="str">
        <x:v>https://snpmb.id/snbp/daya-tampung-snbp</x:v>
      </x:c>
      <x:c r="R2492" s="66" t="str">
        <x:v>https://sidatagrun-public-1076756628210.asia-southeast2.run.app/ptn_sn.php?ptn=365</x:v>
      </x:c>
    </x:row>
    <x:row r="2493">
      <x:c r="A2493" s="87" t="n">
        <x:v>4009</x:v>
      </x:c>
      <x:c r="B2493" s="66" t="n">
        <x:v>366</x:v>
      </x:c>
      <x:c r="C2493" s="66" t="str">
        <x:v>UIN PROFESOR KIAI HAJI SAIFUDDIN ZUHRI PURWOKERTO</x:v>
      </x:c>
      <x:c r="D2493" s="66" t="str">
        <x:v>PTKIN</x:v>
      </x:c>
      <x:c r="E2493" s="66" t="str">
        <x:v>13661001</x:v>
      </x:c>
      <x:c r="F2493" s="66" t="str">
        <x:v>ARSITEKTUR</x:v>
      </x:c>
      <x:c r="G2493" s="66" t="str">
        <x:v>Sarjana</x:v>
      </x:c>
      <x:c r="H2493" s="87" t="n">
        <x:v>38</x:v>
      </x:c>
      <x:c r="I2493" s="87" t="n">
        <x:v>55</x:v>
      </x:c>
      <x:c r="J2493" s="68" t="n">
        <x:f>IFERROR(H2493/I2493,"")</x:f>
        <x:v>0.6909090909090909</x:v>
      </x:c>
      <x:c r="K2493" s="69" t="n">
        <x:f>IFERROR(I2493/H2493,"")</x:f>
        <x:v>1.4473684210526316</x:v>
      </x:c>
      <x:c r="L2493" s="66" t="str">
        <x:f>IF(K2493="","","1 : "&amp;TEXT(K2493,"0.0"))</x:f>
        <x:v>1 : 1.4</x:v>
      </x:c>
      <x:c r="M2493" s="66" t="str">
        <x:f>IF(J2493="","Baru/Tanpa Data",IF(J2493&lt;='Catatan &amp; Sumber'!$B$14,"Sangat Ketat",IF(J2493&lt;='Catatan &amp; Sumber'!$B$15,"Ketat",IF(J2493&lt;='Catatan &amp; Sumber'!$B$16,"Sedang","Relatif Longgar"))))</x:f>
        <x:v>Relatif Longgar</x:v>
      </x:c>
      <x:c r="N2493" s="66" t="str">
        <x:v>Tidak Ada</x:v>
      </x:c>
      <x:c r="O2493" s="66" t="str">
        <x:v>Jawa Tengah</x:v>
      </x:c>
      <x:c r="P2493" s="66" t="str">
        <x:v>Kabupaten Banyumas</x:v>
      </x:c>
      <x:c r="Q2493" s="66" t="str">
        <x:v>https://snpmb.id/snbp/daya-tampung-snbp</x:v>
      </x:c>
      <x:c r="R2493" s="66" t="str">
        <x:v>https://sidatagrun-public-1076756628210.asia-southeast2.run.app/ptn_sn.php?ptn=366</x:v>
      </x:c>
    </x:row>
    <x:row r="2494">
      <x:c r="A2494" s="87" t="n">
        <x:v>3217</x:v>
      </x:c>
      <x:c r="B2494" s="66" t="n">
        <x:v>366</x:v>
      </x:c>
      <x:c r="C2494" s="66" t="str">
        <x:v>UIN PROFESOR KIAI HAJI SAIFUDDIN ZUHRI PURWOKERTO</x:v>
      </x:c>
      <x:c r="D2494" s="66" t="str">
        <x:v>PTKIN</x:v>
      </x:c>
      <x:c r="E2494" s="66" t="str">
        <x:v>13661002</x:v>
      </x:c>
      <x:c r="F2494" s="66" t="str">
        <x:v>INFORMATIKA</x:v>
      </x:c>
      <x:c r="G2494" s="66" t="str">
        <x:v>Sarjana</x:v>
      </x:c>
      <x:c r="H2494" s="87" t="n">
        <x:v>59</x:v>
      </x:c>
      <x:c r="I2494" s="87" t="n">
        <x:v>170</x:v>
      </x:c>
      <x:c r="J2494" s="68" t="n">
        <x:f>IFERROR(H2494/I2494,"")</x:f>
        <x:v>0.34705882352941175</x:v>
      </x:c>
      <x:c r="K2494" s="69" t="n">
        <x:f>IFERROR(I2494/H2494,"")</x:f>
        <x:v>2.8813559322033897</x:v>
      </x:c>
      <x:c r="L2494" s="66" t="str">
        <x:f>IF(K2494="","","1 : "&amp;TEXT(K2494,"0.0"))</x:f>
        <x:v>1 : 2.9</x:v>
      </x:c>
      <x:c r="M2494" s="66" t="str">
        <x:f>IF(J2494="","Baru/Tanpa Data",IF(J2494&lt;='Catatan &amp; Sumber'!$B$14,"Sangat Ketat",IF(J2494&lt;='Catatan &amp; Sumber'!$B$15,"Ketat",IF(J2494&lt;='Catatan &amp; Sumber'!$B$16,"Sedang","Relatif Longgar"))))</x:f>
        <x:v>Relatif Longgar</x:v>
      </x:c>
      <x:c r="N2494" s="66" t="str">
        <x:v>Tidak Ada</x:v>
      </x:c>
      <x:c r="O2494" s="66" t="str">
        <x:v>Jawa Tengah</x:v>
      </x:c>
      <x:c r="P2494" s="66" t="str">
        <x:v>Kabupaten Banyumas</x:v>
      </x:c>
      <x:c r="Q2494" s="66" t="str">
        <x:v>https://snpmb.id/snbp/daya-tampung-snbp</x:v>
      </x:c>
      <x:c r="R2494" s="66" t="str">
        <x:v>https://sidatagrun-public-1076756628210.asia-southeast2.run.app/ptn_sn.php?ptn=366</x:v>
      </x:c>
    </x:row>
    <x:row r="2495">
      <x:c r="A2495" s="87" t="n">
        <x:v>3206</x:v>
      </x:c>
      <x:c r="B2495" s="66" t="n">
        <x:v>366</x:v>
      </x:c>
      <x:c r="C2495" s="66" t="str">
        <x:v>UIN PROFESOR KIAI HAJI SAIFUDDIN ZUHRI PURWOKERTO</x:v>
      </x:c>
      <x:c r="D2495" s="66" t="str">
        <x:v>PTKIN</x:v>
      </x:c>
      <x:c r="E2495" s="66" t="str">
        <x:v>13661003</x:v>
      </x:c>
      <x:c r="F2495" s="66" t="str">
        <x:v>PERPUSTAKAAN DAN SAINS INFORMASI</x:v>
      </x:c>
      <x:c r="G2495" s="66" t="str">
        <x:v>Sarjana</x:v>
      </x:c>
      <x:c r="H2495" s="87" t="n">
        <x:v>23</x:v>
      </x:c>
      <x:c r="I2495" s="87" t="n">
        <x:v>67</x:v>
      </x:c>
      <x:c r="J2495" s="68" t="n">
        <x:f>IFERROR(H2495/I2495,"")</x:f>
        <x:v>0.34328358208955223</x:v>
      </x:c>
      <x:c r="K2495" s="69" t="n">
        <x:f>IFERROR(I2495/H2495,"")</x:f>
        <x:v>2.9130434782608696</x:v>
      </x:c>
      <x:c r="L2495" s="66" t="str">
        <x:f>IF(K2495="","","1 : "&amp;TEXT(K2495,"0.0"))</x:f>
        <x:v>1 : 2.9</x:v>
      </x:c>
      <x:c r="M2495" s="66" t="str">
        <x:f>IF(J2495="","Baru/Tanpa Data",IF(J2495&lt;='Catatan &amp; Sumber'!$B$14,"Sangat Ketat",IF(J2495&lt;='Catatan &amp; Sumber'!$B$15,"Ketat",IF(J2495&lt;='Catatan &amp; Sumber'!$B$16,"Sedang","Relatif Longgar"))))</x:f>
        <x:v>Relatif Longgar</x:v>
      </x:c>
      <x:c r="N2495" s="66" t="str">
        <x:v>Tidak Ada</x:v>
      </x:c>
      <x:c r="O2495" s="66" t="str">
        <x:v>Jawa Tengah</x:v>
      </x:c>
      <x:c r="P2495" s="66" t="str">
        <x:v>Kabupaten Banyumas</x:v>
      </x:c>
      <x:c r="Q2495" s="66" t="str">
        <x:v>https://snpmb.id/snbp/daya-tampung-snbp</x:v>
      </x:c>
      <x:c r="R2495" s="66" t="str">
        <x:v>https://sidatagrun-public-1076756628210.asia-southeast2.run.app/ptn_sn.php?ptn=366</x:v>
      </x:c>
    </x:row>
    <x:row r="2496">
      <x:c r="A2496" s="87" t="n">
        <x:v>3847</x:v>
      </x:c>
      <x:c r="B2496" s="66" t="n">
        <x:v>366</x:v>
      </x:c>
      <x:c r="C2496" s="66" t="str">
        <x:v>UIN PROFESOR KIAI HAJI SAIFUDDIN ZUHRI PURWOKERTO</x:v>
      </x:c>
      <x:c r="D2496" s="66" t="str">
        <x:v>PTKIN</x:v>
      </x:c>
      <x:c r="E2496" s="66" t="str">
        <x:v>13661004</x:v>
      </x:c>
      <x:c r="F2496" s="66" t="str">
        <x:v>ILMU LINGKUNGAN</x:v>
      </x:c>
      <x:c r="G2496" s="66" t="str">
        <x:v>Sarjana</x:v>
      </x:c>
      <x:c r="H2496" s="87" t="n">
        <x:v>30</x:v>
      </x:c>
      <x:c r="I2496" s="87" t="n">
        <x:v>50</x:v>
      </x:c>
      <x:c r="J2496" s="68" t="n">
        <x:f>IFERROR(H2496/I2496,"")</x:f>
        <x:v>0.6</x:v>
      </x:c>
      <x:c r="K2496" s="69" t="n">
        <x:f>IFERROR(I2496/H2496,"")</x:f>
        <x:v>1.6666666666666667</x:v>
      </x:c>
      <x:c r="L2496" s="66" t="str">
        <x:f>IF(K2496="","","1 : "&amp;TEXT(K2496,"0.0"))</x:f>
        <x:v>1 : 1.7</x:v>
      </x:c>
      <x:c r="M2496" s="66" t="str">
        <x:f>IF(J2496="","Baru/Tanpa Data",IF(J2496&lt;='Catatan &amp; Sumber'!$B$14,"Sangat Ketat",IF(J2496&lt;='Catatan &amp; Sumber'!$B$15,"Ketat",IF(J2496&lt;='Catatan &amp; Sumber'!$B$16,"Sedang","Relatif Longgar"))))</x:f>
        <x:v>Relatif Longgar</x:v>
      </x:c>
      <x:c r="N2496" s="66" t="str">
        <x:v>Tidak Ada</x:v>
      </x:c>
      <x:c r="O2496" s="66" t="str">
        <x:v>Jawa Tengah</x:v>
      </x:c>
      <x:c r="P2496" s="66" t="str">
        <x:v>Kabupaten Banyumas</x:v>
      </x:c>
      <x:c r="Q2496" s="66" t="str">
        <x:v>https://snpmb.id/snbp/daya-tampung-snbp</x:v>
      </x:c>
      <x:c r="R2496" s="66" t="str">
        <x:v>https://sidatagrun-public-1076756628210.asia-southeast2.run.app/ptn_sn.php?ptn=366</x:v>
      </x:c>
    </x:row>
    <x:row r="2497">
      <x:c r="A2497" s="87" t="n">
        <x:v>3239</x:v>
      </x:c>
      <x:c r="B2497" s="66" t="n">
        <x:v>367</x:v>
      </x:c>
      <x:c r="C2497" s="66" t="str">
        <x:v>UIN SALATIGA</x:v>
      </x:c>
      <x:c r="D2497" s="66" t="str">
        <x:v>PTKIN</x:v>
      </x:c>
      <x:c r="E2497" s="66" t="str">
        <x:v>13671001</x:v>
      </x:c>
      <x:c r="F2497" s="66" t="str">
        <x:v>BISNIS DIGITAL</x:v>
      </x:c>
      <x:c r="G2497" s="66" t="str">
        <x:v>Sarjana</x:v>
      </x:c>
      <x:c r="H2497" s="87" t="n">
        <x:v>78</x:v>
      </x:c>
      <x:c r="I2497" s="87" t="n">
        <x:v>221</x:v>
      </x:c>
      <x:c r="J2497" s="68" t="n">
        <x:f>IFERROR(H2497/I2497,"")</x:f>
        <x:v>0.35294117647058826</x:v>
      </x:c>
      <x:c r="K2497" s="69" t="n">
        <x:f>IFERROR(I2497/H2497,"")</x:f>
        <x:v>2.8333333333333335</x:v>
      </x:c>
      <x:c r="L2497" s="66" t="str">
        <x:f>IF(K2497="","","1 : "&amp;TEXT(K2497,"0.0"))</x:f>
        <x:v>1 : 2.8</x:v>
      </x:c>
      <x:c r="M2497" s="66" t="str">
        <x:f>IF(J2497="","Baru/Tanpa Data",IF(J2497&lt;='Catatan &amp; Sumber'!$B$14,"Sangat Ketat",IF(J2497&lt;='Catatan &amp; Sumber'!$B$15,"Ketat",IF(J2497&lt;='Catatan &amp; Sumber'!$B$16,"Sedang","Relatif Longgar"))))</x:f>
        <x:v>Relatif Longgar</x:v>
      </x:c>
      <x:c r="N2497" s="66" t="str">
        <x:v>Tidak Ada</x:v>
      </x:c>
      <x:c r="O2497" s="66" t="str">
        <x:v>Jawa Tengah</x:v>
      </x:c>
      <x:c r="P2497" s="66" t="str">
        <x:v>Kota Salatiga</x:v>
      </x:c>
      <x:c r="Q2497" s="66" t="str">
        <x:v>https://snpmb.id/snbp/daya-tampung-snbp</x:v>
      </x:c>
      <x:c r="R2497" s="66" t="str">
        <x:v>https://sidatagrun-public-1076756628210.asia-southeast2.run.app/ptn_sn.php?ptn=367</x:v>
      </x:c>
    </x:row>
    <x:row r="2498">
      <x:c r="A2498" s="87" t="n">
        <x:v>3684</x:v>
      </x:c>
      <x:c r="B2498" s="66" t="n">
        <x:v>367</x:v>
      </x:c>
      <x:c r="C2498" s="66" t="str">
        <x:v>UIN SALATIGA</x:v>
      </x:c>
      <x:c r="D2498" s="66" t="str">
        <x:v>PTKIN</x:v>
      </x:c>
      <x:c r="E2498" s="66" t="str">
        <x:v>13671002</x:v>
      </x:c>
      <x:c r="F2498" s="66" t="str">
        <x:v>TEKNOLOGI INFORMASI</x:v>
      </x:c>
      <x:c r="G2498" s="66" t="str">
        <x:v>Sarjana</x:v>
      </x:c>
      <x:c r="H2498" s="87" t="n">
        <x:v>72</x:v>
      </x:c>
      <x:c r="I2498" s="87" t="n">
        <x:v>141</x:v>
      </x:c>
      <x:c r="J2498" s="68" t="n">
        <x:f>IFERROR(H2498/I2498,"")</x:f>
        <x:v>0.5106382978723404</x:v>
      </x:c>
      <x:c r="K2498" s="69" t="n">
        <x:f>IFERROR(I2498/H2498,"")</x:f>
        <x:v>1.9583333333333333</x:v>
      </x:c>
      <x:c r="L2498" s="66" t="str">
        <x:f>IF(K2498="","","1 : "&amp;TEXT(K2498,"0.0"))</x:f>
        <x:v>1 : 2.0</x:v>
      </x:c>
      <x:c r="M2498" s="66" t="str">
        <x:f>IF(J2498="","Baru/Tanpa Data",IF(J2498&lt;='Catatan &amp; Sumber'!$B$14,"Sangat Ketat",IF(J2498&lt;='Catatan &amp; Sumber'!$B$15,"Ketat",IF(J2498&lt;='Catatan &amp; Sumber'!$B$16,"Sedang","Relatif Longgar"))))</x:f>
        <x:v>Relatif Longgar</x:v>
      </x:c>
      <x:c r="N2498" s="66" t="str">
        <x:v>Tidak Ada</x:v>
      </x:c>
      <x:c r="O2498" s="66" t="str">
        <x:v>Jawa Tengah</x:v>
      </x:c>
      <x:c r="P2498" s="66" t="str">
        <x:v>Kota Salatiga</x:v>
      </x:c>
      <x:c r="Q2498" s="66" t="str">
        <x:v>https://snpmb.id/snbp/daya-tampung-snbp</x:v>
      </x:c>
      <x:c r="R2498" s="66" t="str">
        <x:v>https://sidatagrun-public-1076756628210.asia-southeast2.run.app/ptn_sn.php?ptn=367</x:v>
      </x:c>
    </x:row>
    <x:row r="2499">
      <x:c r="A2499" s="87" t="n">
        <x:v>3958</x:v>
      </x:c>
      <x:c r="B2499" s="66" t="n">
        <x:v>367</x:v>
      </x:c>
      <x:c r="C2499" s="66" t="str">
        <x:v>UIN SALATIGA</x:v>
      </x:c>
      <x:c r="D2499" s="66" t="str">
        <x:v>PTKIN</x:v>
      </x:c>
      <x:c r="E2499" s="66" t="str">
        <x:v>13671003</x:v>
      </x:c>
      <x:c r="F2499" s="66" t="str">
        <x:v>SAINS DATA</x:v>
      </x:c>
      <x:c r="G2499" s="66" t="str">
        <x:v>Sarjana</x:v>
      </x:c>
      <x:c r="H2499" s="87" t="n">
        <x:v>42</x:v>
      </x:c>
      <x:c r="I2499" s="87" t="n">
        <x:v>63</x:v>
      </x:c>
      <x:c r="J2499" s="68" t="n">
        <x:f>IFERROR(H2499/I2499,"")</x:f>
        <x:v>0.6666666666666666</x:v>
      </x:c>
      <x:c r="K2499" s="69" t="n">
        <x:f>IFERROR(I2499/H2499,"")</x:f>
        <x:v>1.5</x:v>
      </x:c>
      <x:c r="L2499" s="66" t="str">
        <x:f>IF(K2499="","","1 : "&amp;TEXT(K2499,"0.0"))</x:f>
        <x:v>1 : 1.5</x:v>
      </x:c>
      <x:c r="M2499" s="66" t="str">
        <x:f>IF(J2499="","Baru/Tanpa Data",IF(J2499&lt;='Catatan &amp; Sumber'!$B$14,"Sangat Ketat",IF(J2499&lt;='Catatan &amp; Sumber'!$B$15,"Ketat",IF(J2499&lt;='Catatan &amp; Sumber'!$B$16,"Sedang","Relatif Longgar"))))</x:f>
        <x:v>Relatif Longgar</x:v>
      </x:c>
      <x:c r="N2499" s="66" t="str">
        <x:v>Tidak Ada</x:v>
      </x:c>
      <x:c r="O2499" s="66" t="str">
        <x:v>Jawa Tengah</x:v>
      </x:c>
      <x:c r="P2499" s="66" t="str">
        <x:v>Kota Salatiga</x:v>
      </x:c>
      <x:c r="Q2499" s="66" t="str">
        <x:v>https://snpmb.id/snbp/daya-tampung-snbp</x:v>
      </x:c>
      <x:c r="R2499" s="66" t="str">
        <x:v>https://sidatagrun-public-1076756628210.asia-southeast2.run.app/ptn_sn.php?ptn=367</x:v>
      </x:c>
    </x:row>
    <x:row r="2500">
      <x:c r="A2500" s="87" t="n">
        <x:v>4227</x:v>
      </x:c>
      <x:c r="B2500" s="66" t="n">
        <x:v>367</x:v>
      </x:c>
      <x:c r="C2500" s="66" t="str">
        <x:v>UIN SALATIGA</x:v>
      </x:c>
      <x:c r="D2500" s="66" t="str">
        <x:v>PTKIN</x:v>
      </x:c>
      <x:c r="E2500" s="66" t="str">
        <x:v>13671004</x:v>
      </x:c>
      <x:c r="F2500" s="66" t="str">
        <x:v>PERPUSTAKAAN DAN SAINS INFORMASI</x:v>
      </x:c>
      <x:c r="G2500" s="66" t="str">
        <x:v>Sarjana</x:v>
      </x:c>
      <x:c r="H2500" s="87" t="n">
        <x:v>78</x:v>
      </x:c>
      <x:c r="I2500" s="87" t="n">
        <x:v>88</x:v>
      </x:c>
      <x:c r="J2500" s="68" t="n">
        <x:f>IFERROR(H2500/I2500,"")</x:f>
        <x:v>0.8863636363636364</x:v>
      </x:c>
      <x:c r="K2500" s="69" t="n">
        <x:f>IFERROR(I2500/H2500,"")</x:f>
        <x:v>1.1282051282051282</x:v>
      </x:c>
      <x:c r="L2500" s="66" t="str">
        <x:f>IF(K2500="","","1 : "&amp;TEXT(K2500,"0.0"))</x:f>
        <x:v>1 : 1.1</x:v>
      </x:c>
      <x:c r="M2500" s="66" t="str">
        <x:f>IF(J2500="","Baru/Tanpa Data",IF(J2500&lt;='Catatan &amp; Sumber'!$B$14,"Sangat Ketat",IF(J2500&lt;='Catatan &amp; Sumber'!$B$15,"Ketat",IF(J2500&lt;='Catatan &amp; Sumber'!$B$16,"Sedang","Relatif Longgar"))))</x:f>
        <x:v>Relatif Longgar</x:v>
      </x:c>
      <x:c r="N2500" s="66" t="str">
        <x:v>Tidak Ada</x:v>
      </x:c>
      <x:c r="O2500" s="66" t="str">
        <x:v>Jawa Tengah</x:v>
      </x:c>
      <x:c r="P2500" s="66" t="str">
        <x:v>Kota Salatiga</x:v>
      </x:c>
      <x:c r="Q2500" s="66" t="str">
        <x:v>https://snpmb.id/snbp/daya-tampung-snbp</x:v>
      </x:c>
      <x:c r="R2500" s="66" t="str">
        <x:v>https://sidatagrun-public-1076756628210.asia-southeast2.run.app/ptn_sn.php?ptn=367</x:v>
      </x:c>
    </x:row>
    <x:row r="2501">
      <x:c r="A2501" s="87" t="n">
        <x:v>2016</x:v>
      </x:c>
      <x:c r="B2501" s="66" t="n">
        <x:v>368</x:v>
      </x:c>
      <x:c r="C2501" s="66" t="str">
        <x:v>UIN K.H. ABDURRAHMAN WAHID PEKALONGAN</x:v>
      </x:c>
      <x:c r="D2501" s="66" t="str">
        <x:v>PTKIN</x:v>
      </x:c>
      <x:c r="E2501" s="66" t="str">
        <x:v>13681001</x:v>
      </x:c>
      <x:c r="F2501" s="66" t="str">
        <x:v>BISNIS DIGITAL</x:v>
      </x:c>
      <x:c r="G2501" s="66" t="str">
        <x:v>Sarjana</x:v>
      </x:c>
      <x:c r="H2501" s="87" t="n">
        <x:v>61</x:v>
      </x:c>
      <x:c r="I2501" s="87" t="n">
        <x:v>398</x:v>
      </x:c>
      <x:c r="J2501" s="68" t="n">
        <x:f>IFERROR(H2501/I2501,"")</x:f>
        <x:v>0.15326633165829145</x:v>
      </x:c>
      <x:c r="K2501" s="69" t="n">
        <x:f>IFERROR(I2501/H2501,"")</x:f>
        <x:v>6.524590163934426</x:v>
      </x:c>
      <x:c r="L2501" s="66" t="str">
        <x:f>IF(K2501="","","1 : "&amp;TEXT(K2501,"0.0"))</x:f>
        <x:v>1 : 6.5</x:v>
      </x:c>
      <x:c r="M2501" s="66" t="str">
        <x:f>IF(J2501="","Baru/Tanpa Data",IF(J2501&lt;='Catatan &amp; Sumber'!$B$14,"Sangat Ketat",IF(J2501&lt;='Catatan &amp; Sumber'!$B$15,"Ketat",IF(J2501&lt;='Catatan &amp; Sumber'!$B$16,"Sedang","Relatif Longgar"))))</x:f>
        <x:v>Relatif Longgar</x:v>
      </x:c>
      <x:c r="N2501" s="66" t="str">
        <x:v>Tidak Ada</x:v>
      </x:c>
      <x:c r="O2501" s="66" t="str">
        <x:v>Jawa Tengah</x:v>
      </x:c>
      <x:c r="P2501" s="66" t="str">
        <x:v>Kota Pekalongan</x:v>
      </x:c>
      <x:c r="Q2501" s="66" t="str">
        <x:v>https://snpmb.id/snbp/daya-tampung-snbp</x:v>
      </x:c>
      <x:c r="R2501" s="66" t="str">
        <x:v>https://sidatagrun-public-1076756628210.asia-southeast2.run.app/ptn_sn.php?ptn=368</x:v>
      </x:c>
    </x:row>
    <x:row r="2502">
      <x:c r="A2502" s="87" t="n">
        <x:v>3418</x:v>
      </x:c>
      <x:c r="B2502" s="66" t="n">
        <x:v>368</x:v>
      </x:c>
      <x:c r="C2502" s="66" t="str">
        <x:v>UIN K.H. ABDURRAHMAN WAHID PEKALONGAN</x:v>
      </x:c>
      <x:c r="D2502" s="66" t="str">
        <x:v>PTKIN</x:v>
      </x:c>
      <x:c r="E2502" s="66" t="str">
        <x:v>13681002</x:v>
      </x:c>
      <x:c r="F2502" s="66" t="str">
        <x:v>SAINS DATA</x:v>
      </x:c>
      <x:c r="G2502" s="66" t="str">
        <x:v>Sarjana</x:v>
      </x:c>
      <x:c r="H2502" s="87" t="n">
        <x:v>48</x:v>
      </x:c>
      <x:c r="I2502" s="87" t="n">
        <x:v>118</x:v>
      </x:c>
      <x:c r="J2502" s="68" t="n">
        <x:f>IFERROR(H2502/I2502,"")</x:f>
        <x:v>0.4067796610169492</x:v>
      </x:c>
      <x:c r="K2502" s="69" t="n">
        <x:f>IFERROR(I2502/H2502,"")</x:f>
        <x:v>2.4583333333333335</x:v>
      </x:c>
      <x:c r="L2502" s="66" t="str">
        <x:f>IF(K2502="","","1 : "&amp;TEXT(K2502,"0.0"))</x:f>
        <x:v>1 : 2.5</x:v>
      </x:c>
      <x:c r="M2502" s="66" t="str">
        <x:f>IF(J2502="","Baru/Tanpa Data",IF(J2502&lt;='Catatan &amp; Sumber'!$B$14,"Sangat Ketat",IF(J2502&lt;='Catatan &amp; Sumber'!$B$15,"Ketat",IF(J2502&lt;='Catatan &amp; Sumber'!$B$16,"Sedang","Relatif Longgar"))))</x:f>
        <x:v>Relatif Longgar</x:v>
      </x:c>
      <x:c r="N2502" s="66" t="str">
        <x:v>Tidak Ada</x:v>
      </x:c>
      <x:c r="O2502" s="66" t="str">
        <x:v>Jawa Tengah</x:v>
      </x:c>
      <x:c r="P2502" s="66" t="str">
        <x:v>Kota Pekalongan</x:v>
      </x:c>
      <x:c r="Q2502" s="66" t="str">
        <x:v>https://snpmb.id/snbp/daya-tampung-snbp</x:v>
      </x:c>
      <x:c r="R2502" s="66" t="str">
        <x:v>https://sidatagrun-public-1076756628210.asia-southeast2.run.app/ptn_sn.php?ptn=368</x:v>
      </x:c>
    </x:row>
    <x:row r="2503">
      <x:c r="A2503" s="87" t="n">
        <x:v>2562</x:v>
      </x:c>
      <x:c r="B2503" s="66" t="n">
        <x:v>368</x:v>
      </x:c>
      <x:c r="C2503" s="66" t="str">
        <x:v>UIN K.H. ABDURRAHMAN WAHID PEKALONGAN</x:v>
      </x:c>
      <x:c r="D2503" s="66" t="str">
        <x:v>PTKIN</x:v>
      </x:c>
      <x:c r="E2503" s="66" t="str">
        <x:v>13681003</x:v>
      </x:c>
      <x:c r="F2503" s="66" t="str">
        <x:v>INFORMATIKA</x:v>
      </x:c>
      <x:c r="G2503" s="66" t="str">
        <x:v>Sarjana</x:v>
      </x:c>
      <x:c r="H2503" s="87" t="n">
        <x:v>61</x:v>
      </x:c>
      <x:c r="I2503" s="87" t="n">
        <x:v>275</x:v>
      </x:c>
      <x:c r="J2503" s="68" t="n">
        <x:f>IFERROR(H2503/I2503,"")</x:f>
        <x:v>0.22181818181818183</x:v>
      </x:c>
      <x:c r="K2503" s="69" t="n">
        <x:f>IFERROR(I2503/H2503,"")</x:f>
        <x:v>4.508196721311475</x:v>
      </x:c>
      <x:c r="L2503" s="66" t="str">
        <x:f>IF(K2503="","","1 : "&amp;TEXT(K2503,"0.0"))</x:f>
        <x:v>1 : 4.5</x:v>
      </x:c>
      <x:c r="M2503" s="66" t="str">
        <x:f>IF(J2503="","Baru/Tanpa Data",IF(J2503&lt;='Catatan &amp; Sumber'!$B$14,"Sangat Ketat",IF(J2503&lt;='Catatan &amp; Sumber'!$B$15,"Ketat",IF(J2503&lt;='Catatan &amp; Sumber'!$B$16,"Sedang","Relatif Longgar"))))</x:f>
        <x:v>Relatif Longgar</x:v>
      </x:c>
      <x:c r="N2503" s="66" t="str">
        <x:v>Tidak Ada</x:v>
      </x:c>
      <x:c r="O2503" s="66" t="str">
        <x:v>Jawa Tengah</x:v>
      </x:c>
      <x:c r="P2503" s="66" t="str">
        <x:v>Kota Pekalongan</x:v>
      </x:c>
      <x:c r="Q2503" s="66" t="str">
        <x:v>https://snpmb.id/snbp/daya-tampung-snbp</x:v>
      </x:c>
      <x:c r="R2503" s="66" t="str">
        <x:v>https://sidatagrun-public-1076756628210.asia-southeast2.run.app/ptn_sn.php?ptn=368</x:v>
      </x:c>
    </x:row>
    <x:row r="2504">
      <x:c r="A2504" s="87" t="n">
        <x:v>3528</x:v>
      </x:c>
      <x:c r="B2504" s="66" t="n">
        <x:v>368</x:v>
      </x:c>
      <x:c r="C2504" s="66" t="str">
        <x:v>UIN K.H. ABDURRAHMAN WAHID PEKALONGAN</x:v>
      </x:c>
      <x:c r="D2504" s="66" t="str">
        <x:v>PTKIN</x:v>
      </x:c>
      <x:c r="E2504" s="66" t="str">
        <x:v>13681004</x:v>
      </x:c>
      <x:c r="F2504" s="66" t="str">
        <x:v>HUKUM BISNIS</x:v>
      </x:c>
      <x:c r="G2504" s="66" t="str">
        <x:v>Sarjana</x:v>
      </x:c>
      <x:c r="H2504" s="87" t="n">
        <x:v>48</x:v>
      </x:c>
      <x:c r="I2504" s="87" t="n">
        <x:v>108</x:v>
      </x:c>
      <x:c r="J2504" s="68" t="n">
        <x:f>IFERROR(H2504/I2504,"")</x:f>
        <x:v>0.4444444444444444</x:v>
      </x:c>
      <x:c r="K2504" s="69" t="n">
        <x:f>IFERROR(I2504/H2504,"")</x:f>
        <x:v>2.25</x:v>
      </x:c>
      <x:c r="L2504" s="66" t="str">
        <x:f>IF(K2504="","","1 : "&amp;TEXT(K2504,"0.0"))</x:f>
        <x:v>1 : 2.3</x:v>
      </x:c>
      <x:c r="M2504" s="66" t="str">
        <x:f>IF(J2504="","Baru/Tanpa Data",IF(J2504&lt;='Catatan &amp; Sumber'!$B$14,"Sangat Ketat",IF(J2504&lt;='Catatan &amp; Sumber'!$B$15,"Ketat",IF(J2504&lt;='Catatan &amp; Sumber'!$B$16,"Sedang","Relatif Longgar"))))</x:f>
        <x:v>Relatif Longgar</x:v>
      </x:c>
      <x:c r="N2504" s="66" t="str">
        <x:v>Tidak Ada</x:v>
      </x:c>
      <x:c r="O2504" s="66" t="str">
        <x:v>Jawa Tengah</x:v>
      </x:c>
      <x:c r="P2504" s="66" t="str">
        <x:v>Kota Pekalongan</x:v>
      </x:c>
      <x:c r="Q2504" s="66" t="str">
        <x:v>https://snpmb.id/snbp/daya-tampung-snbp</x:v>
      </x:c>
      <x:c r="R2504" s="66" t="str">
        <x:v>https://sidatagrun-public-1076756628210.asia-southeast2.run.app/ptn_sn.php?ptn=368</x:v>
      </x:c>
    </x:row>
    <x:row r="2505">
      <x:c r="A2505" s="87"/>
      <x:c r="B2505" s="66" t="n">
        <x:v>368</x:v>
      </x:c>
      <x:c r="C2505" s="66" t="str">
        <x:v>UIN K.H. ABDURRAHMAN WAHID PEKALONGAN</x:v>
      </x:c>
      <x:c r="D2505" s="66" t="str">
        <x:v>PTKIN</x:v>
      </x:c>
      <x:c r="E2505" s="66" t="str">
        <x:v>13681005</x:v>
      </x:c>
      <x:c r="F2505" s="66" t="str">
        <x:v>TEKNIK INDUSTRI</x:v>
      </x:c>
      <x:c r="G2505" s="66" t="str">
        <x:v>Sarjana</x:v>
      </x:c>
      <x:c r="H2505" s="87" t="n">
        <x:v>25</x:v>
      </x:c>
      <x:c r="I2505" s="87"/>
      <x:c r="J2505" s="68" t="str">
        <x:f>IFERROR(H2505/I2505,"")</x:f>
      </x:c>
      <x:c r="K2505" s="69" t="n">
        <x:f>IFERROR(I2505/H2505,"")</x:f>
        <x:v>0</x:v>
      </x:c>
      <x:c r="L2505" s="66" t="str">
        <x:f>IF(K2505="","","1 : "&amp;TEXT(K2505,"0.0"))</x:f>
      </x:c>
      <x:c r="M2505" s="66" t="str">
        <x:f>IF(J2505="","Baru/Tanpa Data",IF(J2505&lt;='Catatan &amp; Sumber'!$B$14,"Sangat Ketat",IF(J2505&lt;='Catatan &amp; Sumber'!$B$15,"Ketat",IF(J2505&lt;='Catatan &amp; Sumber'!$B$16,"Sedang","Relatif Longgar"))))</x:f>
        <x:v>Baru/Tanpa Data</x:v>
      </x:c>
      <x:c r="N2505" s="66" t="str">
        <x:v>Tidak Ada</x:v>
      </x:c>
      <x:c r="O2505" s="66" t="str">
        <x:v>Jawa Tengah</x:v>
      </x:c>
      <x:c r="P2505" s="66" t="str">
        <x:v>Kota Pekalongan</x:v>
      </x:c>
      <x:c r="Q2505" s="66" t="str">
        <x:v>https://snpmb.id/snbp/daya-tampung-snbp</x:v>
      </x:c>
      <x:c r="R2505" s="66" t="str">
        <x:v>https://sidatagrun-public-1076756628210.asia-southeast2.run.app/ptn_sn.php?ptn=368</x:v>
      </x:c>
    </x:row>
    <x:row r="2506">
      <x:c r="A2506" s="87"/>
      <x:c r="B2506" s="66" t="n">
        <x:v>368</x:v>
      </x:c>
      <x:c r="C2506" s="66" t="str">
        <x:v>UIN K.H. ABDURRAHMAN WAHID PEKALONGAN</x:v>
      </x:c>
      <x:c r="D2506" s="66" t="str">
        <x:v>PTKIN</x:v>
      </x:c>
      <x:c r="E2506" s="66" t="str">
        <x:v>13681006</x:v>
      </x:c>
      <x:c r="F2506" s="66" t="str">
        <x:v>GIZI</x:v>
      </x:c>
      <x:c r="G2506" s="66" t="str">
        <x:v>Sarjana</x:v>
      </x:c>
      <x:c r="H2506" s="87" t="n">
        <x:v>25</x:v>
      </x:c>
      <x:c r="I2506" s="87"/>
      <x:c r="J2506" s="68" t="str">
        <x:f>IFERROR(H2506/I2506,"")</x:f>
      </x:c>
      <x:c r="K2506" s="69" t="n">
        <x:f>IFERROR(I2506/H2506,"")</x:f>
        <x:v>0</x:v>
      </x:c>
      <x:c r="L2506" s="66" t="str">
        <x:f>IF(K2506="","","1 : "&amp;TEXT(K2506,"0.0"))</x:f>
      </x:c>
      <x:c r="M2506" s="66" t="str">
        <x:f>IF(J2506="","Baru/Tanpa Data",IF(J2506&lt;='Catatan &amp; Sumber'!$B$14,"Sangat Ketat",IF(J2506&lt;='Catatan &amp; Sumber'!$B$15,"Ketat",IF(J2506&lt;='Catatan &amp; Sumber'!$B$16,"Sedang","Relatif Longgar"))))</x:f>
        <x:v>Baru/Tanpa Data</x:v>
      </x:c>
      <x:c r="N2506" s="66" t="str">
        <x:v>Tidak Ada</x:v>
      </x:c>
      <x:c r="O2506" s="66" t="str">
        <x:v>Jawa Tengah</x:v>
      </x:c>
      <x:c r="P2506" s="66" t="str">
        <x:v>Kota Pekalongan</x:v>
      </x:c>
      <x:c r="Q2506" s="66" t="str">
        <x:v>https://snpmb.id/snbp/daya-tampung-snbp</x:v>
      </x:c>
      <x:c r="R2506" s="66" t="str">
        <x:v>https://sidatagrun-public-1076756628210.asia-southeast2.run.app/ptn_sn.php?ptn=368</x:v>
      </x:c>
    </x:row>
    <x:row r="2507">
      <x:c r="A2507" s="87" t="n">
        <x:v>2338</x:v>
      </x:c>
      <x:c r="B2507" s="66" t="n">
        <x:v>371</x:v>
      </x:c>
      <x:c r="C2507" s="66" t="str">
        <x:v>UNIVERSITAS JEMBER</x:v>
      </x:c>
      <x:c r="D2507" s="66" t="str">
        <x:v>PTN Akademik</x:v>
      </x:c>
      <x:c r="E2507" s="66" t="str">
        <x:v>13711001</x:v>
      </x:c>
      <x:c r="F2507" s="66" t="str">
        <x:v>AGROTEKNOLOGI / AGROEKOTEKNOLOGI</x:v>
      </x:c>
      <x:c r="G2507" s="66" t="str">
        <x:v>Sarjana</x:v>
      </x:c>
      <x:c r="H2507" s="87" t="n">
        <x:v>60</x:v>
      </x:c>
      <x:c r="I2507" s="87" t="n">
        <x:v>319</x:v>
      </x:c>
      <x:c r="J2507" s="68" t="n">
        <x:f>IFERROR(H2507/I2507,"")</x:f>
        <x:v>0.18808777429467086</x:v>
      </x:c>
      <x:c r="K2507" s="69" t="n">
        <x:f>IFERROR(I2507/H2507,"")</x:f>
        <x:v>5.316666666666666</x:v>
      </x:c>
      <x:c r="L2507" s="66" t="str">
        <x:f>IF(K2507="","","1 : "&amp;TEXT(K2507,"0.0"))</x:f>
        <x:v>1 : 5.3</x:v>
      </x:c>
      <x:c r="M2507" s="66" t="str">
        <x:f>IF(J2507="","Baru/Tanpa Data",IF(J2507&lt;='Catatan &amp; Sumber'!$B$14,"Sangat Ketat",IF(J2507&lt;='Catatan &amp; Sumber'!$B$15,"Ketat",IF(J2507&lt;='Catatan &amp; Sumber'!$B$16,"Sedang","Relatif Longgar"))))</x:f>
        <x:v>Relatif Longgar</x:v>
      </x:c>
      <x:c r="N2507" s="66" t="str">
        <x:v>Tidak Ada</x:v>
      </x:c>
      <x:c r="O2507" s="66" t="str">
        <x:v>Jawa Timur</x:v>
      </x:c>
      <x:c r="P2507" s="66" t="str">
        <x:v>Kabupaten Jember</x:v>
      </x:c>
      <x:c r="Q2507" s="66" t="str">
        <x:v>https://snpmb.id/snbp/daya-tampung-snbp</x:v>
      </x:c>
      <x:c r="R2507" s="66" t="str">
        <x:v>https://sidatagrun-public-1076756628210.asia-southeast2.run.app/ptn_sn.php?ptn=371</x:v>
      </x:c>
    </x:row>
    <x:row r="2508">
      <x:c r="A2508" s="87" t="n">
        <x:v>1644</x:v>
      </x:c>
      <x:c r="B2508" s="66" t="n">
        <x:v>371</x:v>
      </x:c>
      <x:c r="C2508" s="66" t="str">
        <x:v>UNIVERSITAS JEMBER</x:v>
      </x:c>
      <x:c r="D2508" s="66" t="str">
        <x:v>PTN Akademik</x:v>
      </x:c>
      <x:c r="E2508" s="66" t="str">
        <x:v>13711002</x:v>
      </x:c>
      <x:c r="F2508" s="66" t="str">
        <x:v>AGRIBISNIS</x:v>
      </x:c>
      <x:c r="G2508" s="66" t="str">
        <x:v>Sarjana</x:v>
      </x:c>
      <x:c r="H2508" s="87" t="n">
        <x:v>42</x:v>
      </x:c>
      <x:c r="I2508" s="87" t="n">
        <x:v>351</x:v>
      </x:c>
      <x:c r="J2508" s="68" t="n">
        <x:f>IFERROR(H2508/I2508,"")</x:f>
        <x:v>0.11965811965811966</x:v>
      </x:c>
      <x:c r="K2508" s="69" t="n">
        <x:f>IFERROR(I2508/H2508,"")</x:f>
        <x:v>8.357142857142858</x:v>
      </x:c>
      <x:c r="L2508" s="66" t="str">
        <x:f>IF(K2508="","","1 : "&amp;TEXT(K2508,"0.0"))</x:f>
        <x:v>1 : 8.4</x:v>
      </x:c>
      <x:c r="M2508" s="66" t="str">
        <x:f>IF(J2508="","Baru/Tanpa Data",IF(J2508&lt;='Catatan &amp; Sumber'!$B$14,"Sangat Ketat",IF(J2508&lt;='Catatan &amp; Sumber'!$B$15,"Ketat",IF(J2508&lt;='Catatan &amp; Sumber'!$B$16,"Sedang","Relatif Longgar"))))</x:f>
        <x:v>Relatif Longgar</x:v>
      </x:c>
      <x:c r="N2508" s="66" t="str">
        <x:v>Tidak Ada</x:v>
      </x:c>
      <x:c r="O2508" s="66" t="str">
        <x:v>Jawa Timur</x:v>
      </x:c>
      <x:c r="P2508" s="66" t="str">
        <x:v>Kabupaten Jember</x:v>
      </x:c>
      <x:c r="Q2508" s="66" t="str">
        <x:v>https://snpmb.id/snbp/daya-tampung-snbp</x:v>
      </x:c>
      <x:c r="R2508" s="66" t="str">
        <x:v>https://sidatagrun-public-1076756628210.asia-southeast2.run.app/ptn_sn.php?ptn=371</x:v>
      </x:c>
    </x:row>
    <x:row r="2509">
      <x:c r="A2509" s="87" t="n">
        <x:v>2188</x:v>
      </x:c>
      <x:c r="B2509" s="66" t="n">
        <x:v>371</x:v>
      </x:c>
      <x:c r="C2509" s="66" t="str">
        <x:v>UNIVERSITAS JEMBER</x:v>
      </x:c>
      <x:c r="D2509" s="66" t="str">
        <x:v>PTN Akademik</x:v>
      </x:c>
      <x:c r="E2509" s="66" t="str">
        <x:v>13711003</x:v>
      </x:c>
      <x:c r="F2509" s="66" t="str">
        <x:v>PENDIDIKAN MATEMATIKA</x:v>
      </x:c>
      <x:c r="G2509" s="66" t="str">
        <x:v>Sarjana</x:v>
      </x:c>
      <x:c r="H2509" s="87" t="n">
        <x:v>57</x:v>
      </x:c>
      <x:c r="I2509" s="87" t="n">
        <x:v>335</x:v>
      </x:c>
      <x:c r="J2509" s="68" t="n">
        <x:f>IFERROR(H2509/I2509,"")</x:f>
        <x:v>0.1701492537313433</x:v>
      </x:c>
      <x:c r="K2509" s="69" t="n">
        <x:f>IFERROR(I2509/H2509,"")</x:f>
        <x:v>5.87719298245614</x:v>
      </x:c>
      <x:c r="L2509" s="66" t="str">
        <x:f>IF(K2509="","","1 : "&amp;TEXT(K2509,"0.0"))</x:f>
        <x:v>1 : 5.9</x:v>
      </x:c>
      <x:c r="M2509" s="66" t="str">
        <x:f>IF(J2509="","Baru/Tanpa Data",IF(J2509&lt;='Catatan &amp; Sumber'!$B$14,"Sangat Ketat",IF(J2509&lt;='Catatan &amp; Sumber'!$B$15,"Ketat",IF(J2509&lt;='Catatan &amp; Sumber'!$B$16,"Sedang","Relatif Longgar"))))</x:f>
        <x:v>Relatif Longgar</x:v>
      </x:c>
      <x:c r="N2509" s="66" t="str">
        <x:v>Tidak Ada</x:v>
      </x:c>
      <x:c r="O2509" s="66" t="str">
        <x:v>Jawa Timur</x:v>
      </x:c>
      <x:c r="P2509" s="66" t="str">
        <x:v>Kabupaten Jember</x:v>
      </x:c>
      <x:c r="Q2509" s="66" t="str">
        <x:v>https://snpmb.id/snbp/daya-tampung-snbp</x:v>
      </x:c>
      <x:c r="R2509" s="66" t="str">
        <x:v>https://sidatagrun-public-1076756628210.asia-southeast2.run.app/ptn_sn.php?ptn=371</x:v>
      </x:c>
    </x:row>
    <x:row r="2510">
      <x:c r="A2510" s="87" t="n">
        <x:v>3798</x:v>
      </x:c>
      <x:c r="B2510" s="66" t="n">
        <x:v>371</x:v>
      </x:c>
      <x:c r="C2510" s="66" t="str">
        <x:v>UNIVERSITAS JEMBER</x:v>
      </x:c>
      <x:c r="D2510" s="66" t="str">
        <x:v>PTN Akademik</x:v>
      </x:c>
      <x:c r="E2510" s="66" t="str">
        <x:v>13711004</x:v>
      </x:c>
      <x:c r="F2510" s="66" t="str">
        <x:v>PENDIDIKAN FISIKA</x:v>
      </x:c>
      <x:c r="G2510" s="66" t="str">
        <x:v>Sarjana</x:v>
      </x:c>
      <x:c r="H2510" s="87" t="n">
        <x:v>64</x:v>
      </x:c>
      <x:c r="I2510" s="87" t="n">
        <x:v>113</x:v>
      </x:c>
      <x:c r="J2510" s="68" t="n">
        <x:f>IFERROR(H2510/I2510,"")</x:f>
        <x:v>0.5663716814159292</x:v>
      </x:c>
      <x:c r="K2510" s="69" t="n">
        <x:f>IFERROR(I2510/H2510,"")</x:f>
        <x:v>1.765625</x:v>
      </x:c>
      <x:c r="L2510" s="66" t="str">
        <x:f>IF(K2510="","","1 : "&amp;TEXT(K2510,"0.0"))</x:f>
        <x:v>1 : 1.8</x:v>
      </x:c>
      <x:c r="M2510" s="66" t="str">
        <x:f>IF(J2510="","Baru/Tanpa Data",IF(J2510&lt;='Catatan &amp; Sumber'!$B$14,"Sangat Ketat",IF(J2510&lt;='Catatan &amp; Sumber'!$B$15,"Ketat",IF(J2510&lt;='Catatan &amp; Sumber'!$B$16,"Sedang","Relatif Longgar"))))</x:f>
        <x:v>Relatif Longgar</x:v>
      </x:c>
      <x:c r="N2510" s="66" t="str">
        <x:v>Tidak Ada</x:v>
      </x:c>
      <x:c r="O2510" s="66" t="str">
        <x:v>Jawa Timur</x:v>
      </x:c>
      <x:c r="P2510" s="66" t="str">
        <x:v>Kabupaten Jember</x:v>
      </x:c>
      <x:c r="Q2510" s="66" t="str">
        <x:v>https://snpmb.id/snbp/daya-tampung-snbp</x:v>
      </x:c>
      <x:c r="R2510" s="66" t="str">
        <x:v>https://sidatagrun-public-1076756628210.asia-southeast2.run.app/ptn_sn.php?ptn=371</x:v>
      </x:c>
    </x:row>
    <x:row r="2511">
      <x:c r="A2511" s="87" t="n">
        <x:v>2309</x:v>
      </x:c>
      <x:c r="B2511" s="66" t="n">
        <x:v>371</x:v>
      </x:c>
      <x:c r="C2511" s="66" t="str">
        <x:v>UNIVERSITAS JEMBER</x:v>
      </x:c>
      <x:c r="D2511" s="66" t="str">
        <x:v>PTN Akademik</x:v>
      </x:c>
      <x:c r="E2511" s="66" t="str">
        <x:v>13711005</x:v>
      </x:c>
      <x:c r="F2511" s="66" t="str">
        <x:v>PENDIDIKAN BIOLOGI</x:v>
      </x:c>
      <x:c r="G2511" s="66" t="str">
        <x:v>Sarjana</x:v>
      </x:c>
      <x:c r="H2511" s="87" t="n">
        <x:v>55</x:v>
      </x:c>
      <x:c r="I2511" s="87" t="n">
        <x:v>297</x:v>
      </x:c>
      <x:c r="J2511" s="68" t="n">
        <x:f>IFERROR(H2511/I2511,"")</x:f>
        <x:v>0.18518518518518517</x:v>
      </x:c>
      <x:c r="K2511" s="69" t="n">
        <x:f>IFERROR(I2511/H2511,"")</x:f>
        <x:v>5.4</x:v>
      </x:c>
      <x:c r="L2511" s="66" t="str">
        <x:f>IF(K2511="","","1 : "&amp;TEXT(K2511,"0.0"))</x:f>
        <x:v>1 : 5.4</x:v>
      </x:c>
      <x:c r="M2511" s="66" t="str">
        <x:f>IF(J2511="","Baru/Tanpa Data",IF(J2511&lt;='Catatan &amp; Sumber'!$B$14,"Sangat Ketat",IF(J2511&lt;='Catatan &amp; Sumber'!$B$15,"Ketat",IF(J2511&lt;='Catatan &amp; Sumber'!$B$16,"Sedang","Relatif Longgar"))))</x:f>
        <x:v>Relatif Longgar</x:v>
      </x:c>
      <x:c r="N2511" s="66" t="str">
        <x:v>Tidak Ada</x:v>
      </x:c>
      <x:c r="O2511" s="66" t="str">
        <x:v>Jawa Timur</x:v>
      </x:c>
      <x:c r="P2511" s="66" t="str">
        <x:v>Kabupaten Jember</x:v>
      </x:c>
      <x:c r="Q2511" s="66" t="str">
        <x:v>https://snpmb.id/snbp/daya-tampung-snbp</x:v>
      </x:c>
      <x:c r="R2511" s="66" t="str">
        <x:v>https://sidatagrun-public-1076756628210.asia-southeast2.run.app/ptn_sn.php?ptn=371</x:v>
      </x:c>
    </x:row>
    <x:row r="2512">
      <x:c r="A2512" s="87" t="n">
        <x:v>2593</x:v>
      </x:c>
      <x:c r="B2512" s="66" t="n">
        <x:v>371</x:v>
      </x:c>
      <x:c r="C2512" s="66" t="str">
        <x:v>UNIVERSITAS JEMBER</x:v>
      </x:c>
      <x:c r="D2512" s="66" t="str">
        <x:v>PTN Akademik</x:v>
      </x:c>
      <x:c r="E2512" s="66" t="str">
        <x:v>13711006</x:v>
      </x:c>
      <x:c r="F2512" s="66" t="str">
        <x:v>TEKNOLOGI HASIL PERTANIAN</x:v>
      </x:c>
      <x:c r="G2512" s="66" t="str">
        <x:v>Sarjana</x:v>
      </x:c>
      <x:c r="H2512" s="87" t="n">
        <x:v>50</x:v>
      </x:c>
      <x:c r="I2512" s="87" t="n">
        <x:v>220</x:v>
      </x:c>
      <x:c r="J2512" s="68" t="n">
        <x:f>IFERROR(H2512/I2512,"")</x:f>
        <x:v>0.22727272727272727</x:v>
      </x:c>
      <x:c r="K2512" s="69" t="n">
        <x:f>IFERROR(I2512/H2512,"")</x:f>
        <x:v>4.4</x:v>
      </x:c>
      <x:c r="L2512" s="66" t="str">
        <x:f>IF(K2512="","","1 : "&amp;TEXT(K2512,"0.0"))</x:f>
        <x:v>1 : 4.4</x:v>
      </x:c>
      <x:c r="M2512" s="66" t="str">
        <x:f>IF(J2512="","Baru/Tanpa Data",IF(J2512&lt;='Catatan &amp; Sumber'!$B$14,"Sangat Ketat",IF(J2512&lt;='Catatan &amp; Sumber'!$B$15,"Ketat",IF(J2512&lt;='Catatan &amp; Sumber'!$B$16,"Sedang","Relatif Longgar"))))</x:f>
        <x:v>Relatif Longgar</x:v>
      </x:c>
      <x:c r="N2512" s="66" t="str">
        <x:v>Tidak Ada</x:v>
      </x:c>
      <x:c r="O2512" s="66" t="str">
        <x:v>Jawa Timur</x:v>
      </x:c>
      <x:c r="P2512" s="66" t="str">
        <x:v>Kabupaten Jember</x:v>
      </x:c>
      <x:c r="Q2512" s="66" t="str">
        <x:v>https://snpmb.id/snbp/daya-tampung-snbp</x:v>
      </x:c>
      <x:c r="R2512" s="66" t="str">
        <x:v>https://sidatagrun-public-1076756628210.asia-southeast2.run.app/ptn_sn.php?ptn=371</x:v>
      </x:c>
    </x:row>
    <x:row r="2513">
      <x:c r="A2513" s="87" t="n">
        <x:v>3065</x:v>
      </x:c>
      <x:c r="B2513" s="66" t="n">
        <x:v>371</x:v>
      </x:c>
      <x:c r="C2513" s="66" t="str">
        <x:v>UNIVERSITAS JEMBER</x:v>
      </x:c>
      <x:c r="D2513" s="66" t="str">
        <x:v>PTN Akademik</x:v>
      </x:c>
      <x:c r="E2513" s="66" t="str">
        <x:v>13711007</x:v>
      </x:c>
      <x:c r="F2513" s="66" t="str">
        <x:v>TEKNIK PERTANIAN</x:v>
      </x:c>
      <x:c r="G2513" s="66" t="str">
        <x:v>Sarjana</x:v>
      </x:c>
      <x:c r="H2513" s="87" t="n">
        <x:v>50</x:v>
      </x:c>
      <x:c r="I2513" s="87" t="n">
        <x:v>163</x:v>
      </x:c>
      <x:c r="J2513" s="68" t="n">
        <x:f>IFERROR(H2513/I2513,"")</x:f>
        <x:v>0.3067484662576687</x:v>
      </x:c>
      <x:c r="K2513" s="69" t="n">
        <x:f>IFERROR(I2513/H2513,"")</x:f>
        <x:v>3.26</x:v>
      </x:c>
      <x:c r="L2513" s="66" t="str">
        <x:f>IF(K2513="","","1 : "&amp;TEXT(K2513,"0.0"))</x:f>
        <x:v>1 : 3.3</x:v>
      </x:c>
      <x:c r="M2513" s="66" t="str">
        <x:f>IF(J2513="","Baru/Tanpa Data",IF(J2513&lt;='Catatan &amp; Sumber'!$B$14,"Sangat Ketat",IF(J2513&lt;='Catatan &amp; Sumber'!$B$15,"Ketat",IF(J2513&lt;='Catatan &amp; Sumber'!$B$16,"Sedang","Relatif Longgar"))))</x:f>
        <x:v>Relatif Longgar</x:v>
      </x:c>
      <x:c r="N2513" s="66" t="str">
        <x:v>Tidak Ada</x:v>
      </x:c>
      <x:c r="O2513" s="66" t="str">
        <x:v>Jawa Timur</x:v>
      </x:c>
      <x:c r="P2513" s="66" t="str">
        <x:v>Kabupaten Jember</x:v>
      </x:c>
      <x:c r="Q2513" s="66" t="str">
        <x:v>https://snpmb.id/snbp/daya-tampung-snbp</x:v>
      </x:c>
      <x:c r="R2513" s="66" t="str">
        <x:v>https://sidatagrun-public-1076756628210.asia-southeast2.run.app/ptn_sn.php?ptn=371</x:v>
      </x:c>
    </x:row>
    <x:row r="2514">
      <x:c r="A2514" s="87" t="n">
        <x:v>866</x:v>
      </x:c>
      <x:c r="B2514" s="66" t="n">
        <x:v>371</x:v>
      </x:c>
      <x:c r="C2514" s="66" t="str">
        <x:v>UNIVERSITAS JEMBER</x:v>
      </x:c>
      <x:c r="D2514" s="66" t="str">
        <x:v>PTN Akademik</x:v>
      </x:c>
      <x:c r="E2514" s="66" t="str">
        <x:v>13711008</x:v>
      </x:c>
      <x:c r="F2514" s="66" t="str">
        <x:v>PENDIDIKAN DOKTER GIGI</x:v>
      </x:c>
      <x:c r="G2514" s="66" t="str">
        <x:v>Sarjana</x:v>
      </x:c>
      <x:c r="H2514" s="87" t="n">
        <x:v>57</x:v>
      </x:c>
      <x:c r="I2514" s="87" t="n">
        <x:v>813</x:v>
      </x:c>
      <x:c r="J2514" s="68" t="n">
        <x:f>IFERROR(H2514/I2514,"")</x:f>
        <x:v>0.07011070110701106</x:v>
      </x:c>
      <x:c r="K2514" s="69" t="n">
        <x:f>IFERROR(I2514/H2514,"")</x:f>
        <x:v>14.263157894736842</x:v>
      </x:c>
      <x:c r="L2514" s="66" t="str">
        <x:f>IF(K2514="","","1 : "&amp;TEXT(K2514,"0.0"))</x:f>
        <x:v>1 : 14.3</x:v>
      </x:c>
      <x:c r="M2514" s="66" t="str">
        <x:f>IF(J2514="","Baru/Tanpa Data",IF(J2514&lt;='Catatan &amp; Sumber'!$B$14,"Sangat Ketat",IF(J2514&lt;='Catatan &amp; Sumber'!$B$15,"Ketat",IF(J2514&lt;='Catatan &amp; Sumber'!$B$16,"Sedang","Relatif Longgar"))))</x:f>
        <x:v>Sedang</x:v>
      </x:c>
      <x:c r="N2514" s="66" t="str">
        <x:v>Tidak Ada</x:v>
      </x:c>
      <x:c r="O2514" s="66" t="str">
        <x:v>Jawa Timur</x:v>
      </x:c>
      <x:c r="P2514" s="66" t="str">
        <x:v>Kabupaten Jember</x:v>
      </x:c>
      <x:c r="Q2514" s="66" t="str">
        <x:v>https://snpmb.id/snbp/daya-tampung-snbp</x:v>
      </x:c>
      <x:c r="R2514" s="66" t="str">
        <x:v>https://sidatagrun-public-1076756628210.asia-southeast2.run.app/ptn_sn.php?ptn=371</x:v>
      </x:c>
    </x:row>
    <x:row r="2515">
      <x:c r="A2515" s="87" t="n">
        <x:v>3097</x:v>
      </x:c>
      <x:c r="B2515" s="66" t="n">
        <x:v>371</x:v>
      </x:c>
      <x:c r="C2515" s="66" t="str">
        <x:v>UNIVERSITAS JEMBER</x:v>
      </x:c>
      <x:c r="D2515" s="66" t="str">
        <x:v>PTN Akademik</x:v>
      </x:c>
      <x:c r="E2515" s="66" t="str">
        <x:v>13711009</x:v>
      </x:c>
      <x:c r="F2515" s="66" t="str">
        <x:v>MATEMATIKA</x:v>
      </x:c>
      <x:c r="G2515" s="66" t="str">
        <x:v>Sarjana</x:v>
      </x:c>
      <x:c r="H2515" s="87" t="n">
        <x:v>48</x:v>
      </x:c>
      <x:c r="I2515" s="87" t="n">
        <x:v>152</x:v>
      </x:c>
      <x:c r="J2515" s="68" t="n">
        <x:f>IFERROR(H2515/I2515,"")</x:f>
        <x:v>0.3157894736842105</x:v>
      </x:c>
      <x:c r="K2515" s="69" t="n">
        <x:f>IFERROR(I2515/H2515,"")</x:f>
        <x:v>3.1666666666666665</x:v>
      </x:c>
      <x:c r="L2515" s="66" t="str">
        <x:f>IF(K2515="","","1 : "&amp;TEXT(K2515,"0.0"))</x:f>
        <x:v>1 : 3.2</x:v>
      </x:c>
      <x:c r="M2515" s="66" t="str">
        <x:f>IF(J2515="","Baru/Tanpa Data",IF(J2515&lt;='Catatan &amp; Sumber'!$B$14,"Sangat Ketat",IF(J2515&lt;='Catatan &amp; Sumber'!$B$15,"Ketat",IF(J2515&lt;='Catatan &amp; Sumber'!$B$16,"Sedang","Relatif Longgar"))))</x:f>
        <x:v>Relatif Longgar</x:v>
      </x:c>
      <x:c r="N2515" s="66" t="str">
        <x:v>Tidak Ada</x:v>
      </x:c>
      <x:c r="O2515" s="66" t="str">
        <x:v>Jawa Timur</x:v>
      </x:c>
      <x:c r="P2515" s="66" t="str">
        <x:v>Kabupaten Jember</x:v>
      </x:c>
      <x:c r="Q2515" s="66" t="str">
        <x:v>https://snpmb.id/snbp/daya-tampung-snbp</x:v>
      </x:c>
      <x:c r="R2515" s="66" t="str">
        <x:v>https://sidatagrun-public-1076756628210.asia-southeast2.run.app/ptn_sn.php?ptn=371</x:v>
      </x:c>
    </x:row>
    <x:row r="2516">
      <x:c r="A2516" s="87" t="n">
        <x:v>3997</x:v>
      </x:c>
      <x:c r="B2516" s="66" t="n">
        <x:v>371</x:v>
      </x:c>
      <x:c r="C2516" s="66" t="str">
        <x:v>UNIVERSITAS JEMBER</x:v>
      </x:c>
      <x:c r="D2516" s="66" t="str">
        <x:v>PTN Akademik</x:v>
      </x:c>
      <x:c r="E2516" s="66" t="str">
        <x:v>13711010</x:v>
      </x:c>
      <x:c r="F2516" s="66" t="str">
        <x:v>FISIKA</x:v>
      </x:c>
      <x:c r="G2516" s="66" t="str">
        <x:v>Sarjana</x:v>
      </x:c>
      <x:c r="H2516" s="87" t="n">
        <x:v>50</x:v>
      </x:c>
      <x:c r="I2516" s="87" t="n">
        <x:v>73</x:v>
      </x:c>
      <x:c r="J2516" s="68" t="n">
        <x:f>IFERROR(H2516/I2516,"")</x:f>
        <x:v>0.684931506849315</x:v>
      </x:c>
      <x:c r="K2516" s="69" t="n">
        <x:f>IFERROR(I2516/H2516,"")</x:f>
        <x:v>1.46</x:v>
      </x:c>
      <x:c r="L2516" s="66" t="str">
        <x:f>IF(K2516="","","1 : "&amp;TEXT(K2516,"0.0"))</x:f>
        <x:v>1 : 1.5</x:v>
      </x:c>
      <x:c r="M2516" s="66" t="str">
        <x:f>IF(J2516="","Baru/Tanpa Data",IF(J2516&lt;='Catatan &amp; Sumber'!$B$14,"Sangat Ketat",IF(J2516&lt;='Catatan &amp; Sumber'!$B$15,"Ketat",IF(J2516&lt;='Catatan &amp; Sumber'!$B$16,"Sedang","Relatif Longgar"))))</x:f>
        <x:v>Relatif Longgar</x:v>
      </x:c>
      <x:c r="N2516" s="66" t="str">
        <x:v>Tidak Ada</x:v>
      </x:c>
      <x:c r="O2516" s="66" t="str">
        <x:v>Jawa Timur</x:v>
      </x:c>
      <x:c r="P2516" s="66" t="str">
        <x:v>Kabupaten Jember</x:v>
      </x:c>
      <x:c r="Q2516" s="66" t="str">
        <x:v>https://snpmb.id/snbp/daya-tampung-snbp</x:v>
      </x:c>
      <x:c r="R2516" s="66" t="str">
        <x:v>https://sidatagrun-public-1076756628210.asia-southeast2.run.app/ptn_sn.php?ptn=371</x:v>
      </x:c>
    </x:row>
    <x:row r="2517">
      <x:c r="A2517" s="87" t="n">
        <x:v>2750</x:v>
      </x:c>
      <x:c r="B2517" s="66" t="n">
        <x:v>371</x:v>
      </x:c>
      <x:c r="C2517" s="66" t="str">
        <x:v>UNIVERSITAS JEMBER</x:v>
      </x:c>
      <x:c r="D2517" s="66" t="str">
        <x:v>PTN Akademik</x:v>
      </x:c>
      <x:c r="E2517" s="66" t="str">
        <x:v>13711011</x:v>
      </x:c>
      <x:c r="F2517" s="66" t="str">
        <x:v>KIMIA</x:v>
      </x:c>
      <x:c r="G2517" s="66" t="str">
        <x:v>Sarjana</x:v>
      </x:c>
      <x:c r="H2517" s="87" t="n">
        <x:v>46</x:v>
      </x:c>
      <x:c r="I2517" s="87" t="n">
        <x:v>183</x:v>
      </x:c>
      <x:c r="J2517" s="68" t="n">
        <x:f>IFERROR(H2517/I2517,"")</x:f>
        <x:v>0.25136612021857924</x:v>
      </x:c>
      <x:c r="K2517" s="69" t="n">
        <x:f>IFERROR(I2517/H2517,"")</x:f>
        <x:v>3.9782608695652173</x:v>
      </x:c>
      <x:c r="L2517" s="66" t="str">
        <x:f>IF(K2517="","","1 : "&amp;TEXT(K2517,"0.0"))</x:f>
        <x:v>1 : 4.0</x:v>
      </x:c>
      <x:c r="M2517" s="66" t="str">
        <x:f>IF(J2517="","Baru/Tanpa Data",IF(J2517&lt;='Catatan &amp; Sumber'!$B$14,"Sangat Ketat",IF(J2517&lt;='Catatan &amp; Sumber'!$B$15,"Ketat",IF(J2517&lt;='Catatan &amp; Sumber'!$B$16,"Sedang","Relatif Longgar"))))</x:f>
        <x:v>Relatif Longgar</x:v>
      </x:c>
      <x:c r="N2517" s="66" t="str">
        <x:v>Tidak Ada</x:v>
      </x:c>
      <x:c r="O2517" s="66" t="str">
        <x:v>Jawa Timur</x:v>
      </x:c>
      <x:c r="P2517" s="66" t="str">
        <x:v>Kabupaten Jember</x:v>
      </x:c>
      <x:c r="Q2517" s="66" t="str">
        <x:v>https://snpmb.id/snbp/daya-tampung-snbp</x:v>
      </x:c>
      <x:c r="R2517" s="66" t="str">
        <x:v>https://sidatagrun-public-1076756628210.asia-southeast2.run.app/ptn_sn.php?ptn=371</x:v>
      </x:c>
    </x:row>
    <x:row r="2518">
      <x:c r="A2518" s="87" t="n">
        <x:v>2511</x:v>
      </x:c>
      <x:c r="B2518" s="66" t="n">
        <x:v>371</x:v>
      </x:c>
      <x:c r="C2518" s="66" t="str">
        <x:v>UNIVERSITAS JEMBER</x:v>
      </x:c>
      <x:c r="D2518" s="66" t="str">
        <x:v>PTN Akademik</x:v>
      </x:c>
      <x:c r="E2518" s="66" t="str">
        <x:v>13711012</x:v>
      </x:c>
      <x:c r="F2518" s="66" t="str">
        <x:v>BIOLOGI</x:v>
      </x:c>
      <x:c r="G2518" s="66" t="str">
        <x:v>Sarjana</x:v>
      </x:c>
      <x:c r="H2518" s="87" t="n">
        <x:v>42</x:v>
      </x:c>
      <x:c r="I2518" s="87" t="n">
        <x:v>197</x:v>
      </x:c>
      <x:c r="J2518" s="68" t="n">
        <x:f>IFERROR(H2518/I2518,"")</x:f>
        <x:v>0.2131979695431472</x:v>
      </x:c>
      <x:c r="K2518" s="69" t="n">
        <x:f>IFERROR(I2518/H2518,"")</x:f>
        <x:v>4.690476190476191</x:v>
      </x:c>
      <x:c r="L2518" s="66" t="str">
        <x:f>IF(K2518="","","1 : "&amp;TEXT(K2518,"0.0"))</x:f>
        <x:v>1 : 4.7</x:v>
      </x:c>
      <x:c r="M2518" s="66" t="str">
        <x:f>IF(J2518="","Baru/Tanpa Data",IF(J2518&lt;='Catatan &amp; Sumber'!$B$14,"Sangat Ketat",IF(J2518&lt;='Catatan &amp; Sumber'!$B$15,"Ketat",IF(J2518&lt;='Catatan &amp; Sumber'!$B$16,"Sedang","Relatif Longgar"))))</x:f>
        <x:v>Relatif Longgar</x:v>
      </x:c>
      <x:c r="N2518" s="66" t="str">
        <x:v>Tidak Ada</x:v>
      </x:c>
      <x:c r="O2518" s="66" t="str">
        <x:v>Jawa Timur</x:v>
      </x:c>
      <x:c r="P2518" s="66" t="str">
        <x:v>Kabupaten Jember</x:v>
      </x:c>
      <x:c r="Q2518" s="66" t="str">
        <x:v>https://snpmb.id/snbp/daya-tampung-snbp</x:v>
      </x:c>
      <x:c r="R2518" s="66" t="str">
        <x:v>https://sidatagrun-public-1076756628210.asia-southeast2.run.app/ptn_sn.php?ptn=371</x:v>
      </x:c>
    </x:row>
    <x:row r="2519">
      <x:c r="A2519" s="87" t="n">
        <x:v>495</x:v>
      </x:c>
      <x:c r="B2519" s="66" t="n">
        <x:v>371</x:v>
      </x:c>
      <x:c r="C2519" s="66" t="str">
        <x:v>UNIVERSITAS JEMBER</x:v>
      </x:c>
      <x:c r="D2519" s="66" t="str">
        <x:v>PTN Akademik</x:v>
      </x:c>
      <x:c r="E2519" s="66" t="str">
        <x:v>13711013</x:v>
      </x:c>
      <x:c r="F2519" s="66" t="str">
        <x:v>PENDIDIKAN DOKTER</x:v>
      </x:c>
      <x:c r="G2519" s="66" t="str">
        <x:v>Sarjana</x:v>
      </x:c>
      <x:c r="H2519" s="87" t="n">
        <x:v>57</x:v>
      </x:c>
      <x:c r="I2519" s="87" t="n">
        <x:v>1124</x:v>
      </x:c>
      <x:c r="J2519" s="68" t="n">
        <x:f>IFERROR(H2519/I2519,"")</x:f>
        <x:v>0.050711743772241996</x:v>
      </x:c>
      <x:c r="K2519" s="69" t="n">
        <x:f>IFERROR(I2519/H2519,"")</x:f>
        <x:v>19.719298245614034</x:v>
      </x:c>
      <x:c r="L2519" s="66" t="str">
        <x:f>IF(K2519="","","1 : "&amp;TEXT(K2519,"0.0"))</x:f>
        <x:v>1 : 19.7</x:v>
      </x:c>
      <x:c r="M2519" s="66" t="str">
        <x:f>IF(J2519="","Baru/Tanpa Data",IF(J2519&lt;='Catatan &amp; Sumber'!$B$14,"Sangat Ketat",IF(J2519&lt;='Catatan &amp; Sumber'!$B$15,"Ketat",IF(J2519&lt;='Catatan &amp; Sumber'!$B$16,"Sedang","Relatif Longgar"))))</x:f>
        <x:v>Sedang</x:v>
      </x:c>
      <x:c r="N2519" s="66" t="str">
        <x:v>Tidak Ada</x:v>
      </x:c>
      <x:c r="O2519" s="66" t="str">
        <x:v>Jawa Timur</x:v>
      </x:c>
      <x:c r="P2519" s="66" t="str">
        <x:v>Kabupaten Jember</x:v>
      </x:c>
      <x:c r="Q2519" s="66" t="str">
        <x:v>https://snpmb.id/snbp/daya-tampung-snbp</x:v>
      </x:c>
      <x:c r="R2519" s="66" t="str">
        <x:v>https://sidatagrun-public-1076756628210.asia-southeast2.run.app/ptn_sn.php?ptn=371</x:v>
      </x:c>
    </x:row>
    <x:row r="2520">
      <x:c r="A2520" s="87" t="n">
        <x:v>1371</x:v>
      </x:c>
      <x:c r="B2520" s="66" t="n">
        <x:v>371</x:v>
      </x:c>
      <x:c r="C2520" s="66" t="str">
        <x:v>UNIVERSITAS JEMBER</x:v>
      </x:c>
      <x:c r="D2520" s="66" t="str">
        <x:v>PTN Akademik</x:v>
      </x:c>
      <x:c r="E2520" s="66" t="str">
        <x:v>13711014</x:v>
      </x:c>
      <x:c r="F2520" s="66" t="str">
        <x:v>KESEHATAN MASYARAKAT</x:v>
      </x:c>
      <x:c r="G2520" s="66" t="str">
        <x:v>Sarjana</x:v>
      </x:c>
      <x:c r="H2520" s="87" t="n">
        <x:v>80</x:v>
      </x:c>
      <x:c r="I2520" s="87" t="n">
        <x:v>802</x:v>
      </x:c>
      <x:c r="J2520" s="68" t="n">
        <x:f>IFERROR(H2520/I2520,"")</x:f>
        <x:v>0.09975062344139651</x:v>
      </x:c>
      <x:c r="K2520" s="69" t="n">
        <x:f>IFERROR(I2520/H2520,"")</x:f>
        <x:v>10.025</x:v>
      </x:c>
      <x:c r="L2520" s="66" t="str">
        <x:f>IF(K2520="","","1 : "&amp;TEXT(K2520,"0.0"))</x:f>
        <x:v>1 : 10.0</x:v>
      </x:c>
      <x:c r="M2520" s="66" t="str">
        <x:f>IF(J2520="","Baru/Tanpa Data",IF(J2520&lt;='Catatan &amp; Sumber'!$B$14,"Sangat Ketat",IF(J2520&lt;='Catatan &amp; Sumber'!$B$15,"Ketat",IF(J2520&lt;='Catatan &amp; Sumber'!$B$16,"Sedang","Relatif Longgar"))))</x:f>
        <x:v>Sedang</x:v>
      </x:c>
      <x:c r="N2520" s="66" t="str">
        <x:v>Tidak Ada</x:v>
      </x:c>
      <x:c r="O2520" s="66" t="str">
        <x:v>Jawa Timur</x:v>
      </x:c>
      <x:c r="P2520" s="66" t="str">
        <x:v>Kabupaten Jember</x:v>
      </x:c>
      <x:c r="Q2520" s="66" t="str">
        <x:v>https://snpmb.id/snbp/daya-tampung-snbp</x:v>
      </x:c>
      <x:c r="R2520" s="66" t="str">
        <x:v>https://sidatagrun-public-1076756628210.asia-southeast2.run.app/ptn_sn.php?ptn=371</x:v>
      </x:c>
    </x:row>
    <x:row r="2521">
      <x:c r="A2521" s="87" t="n">
        <x:v>1896</x:v>
      </x:c>
      <x:c r="B2521" s="66" t="n">
        <x:v>371</x:v>
      </x:c>
      <x:c r="C2521" s="66" t="str">
        <x:v>UNIVERSITAS JEMBER</x:v>
      </x:c>
      <x:c r="D2521" s="66" t="str">
        <x:v>PTN Akademik</x:v>
      </x:c>
      <x:c r="E2521" s="66" t="str">
        <x:v>13711015</x:v>
      </x:c>
      <x:c r="F2521" s="66" t="str">
        <x:v>TEKNIK MESIN</x:v>
      </x:c>
      <x:c r="G2521" s="66" t="str">
        <x:v>Sarjana</x:v>
      </x:c>
      <x:c r="H2521" s="87" t="n">
        <x:v>42</x:v>
      </x:c>
      <x:c r="I2521" s="87" t="n">
        <x:v>299</x:v>
      </x:c>
      <x:c r="J2521" s="68" t="n">
        <x:f>IFERROR(H2521/I2521,"")</x:f>
        <x:v>0.14046822742474915</x:v>
      </x:c>
      <x:c r="K2521" s="69" t="n">
        <x:f>IFERROR(I2521/H2521,"")</x:f>
        <x:v>7.119047619047619</x:v>
      </x:c>
      <x:c r="L2521" s="66" t="str">
        <x:f>IF(K2521="","","1 : "&amp;TEXT(K2521,"0.0"))</x:f>
        <x:v>1 : 7.1</x:v>
      </x:c>
      <x:c r="M2521" s="66" t="str">
        <x:f>IF(J2521="","Baru/Tanpa Data",IF(J2521&lt;='Catatan &amp; Sumber'!$B$14,"Sangat Ketat",IF(J2521&lt;='Catatan &amp; Sumber'!$B$15,"Ketat",IF(J2521&lt;='Catatan &amp; Sumber'!$B$16,"Sedang","Relatif Longgar"))))</x:f>
        <x:v>Relatif Longgar</x:v>
      </x:c>
      <x:c r="N2521" s="66" t="str">
        <x:v>Tidak Ada</x:v>
      </x:c>
      <x:c r="O2521" s="66" t="str">
        <x:v>Jawa Timur</x:v>
      </x:c>
      <x:c r="P2521" s="66" t="str">
        <x:v>Kabupaten Jember</x:v>
      </x:c>
      <x:c r="Q2521" s="66" t="str">
        <x:v>https://snpmb.id/snbp/daya-tampung-snbp</x:v>
      </x:c>
      <x:c r="R2521" s="66" t="str">
        <x:v>https://sidatagrun-public-1076756628210.asia-southeast2.run.app/ptn_sn.php?ptn=371</x:v>
      </x:c>
    </x:row>
    <x:row r="2522">
      <x:c r="A2522" s="87" t="n">
        <x:v>2029</x:v>
      </x:c>
      <x:c r="B2522" s="66" t="n">
        <x:v>371</x:v>
      </x:c>
      <x:c r="C2522" s="66" t="str">
        <x:v>UNIVERSITAS JEMBER</x:v>
      </x:c>
      <x:c r="D2522" s="66" t="str">
        <x:v>PTN Akademik</x:v>
      </x:c>
      <x:c r="E2522" s="66" t="str">
        <x:v>13711016</x:v>
      </x:c>
      <x:c r="F2522" s="66" t="str">
        <x:v>TEKNIK ELEKTRO</x:v>
      </x:c>
      <x:c r="G2522" s="66" t="str">
        <x:v>Sarjana</x:v>
      </x:c>
      <x:c r="H2522" s="87" t="n">
        <x:v>44</x:v>
      </x:c>
      <x:c r="I2522" s="87" t="n">
        <x:v>285</x:v>
      </x:c>
      <x:c r="J2522" s="68" t="n">
        <x:f>IFERROR(H2522/I2522,"")</x:f>
        <x:v>0.1543859649122807</x:v>
      </x:c>
      <x:c r="K2522" s="69" t="n">
        <x:f>IFERROR(I2522/H2522,"")</x:f>
        <x:v>6.4772727272727275</x:v>
      </x:c>
      <x:c r="L2522" s="66" t="str">
        <x:f>IF(K2522="","","1 : "&amp;TEXT(K2522,"0.0"))</x:f>
        <x:v>1 : 6.5</x:v>
      </x:c>
      <x:c r="M2522" s="66" t="str">
        <x:f>IF(J2522="","Baru/Tanpa Data",IF(J2522&lt;='Catatan &amp; Sumber'!$B$14,"Sangat Ketat",IF(J2522&lt;='Catatan &amp; Sumber'!$B$15,"Ketat",IF(J2522&lt;='Catatan &amp; Sumber'!$B$16,"Sedang","Relatif Longgar"))))</x:f>
        <x:v>Relatif Longgar</x:v>
      </x:c>
      <x:c r="N2522" s="66" t="str">
        <x:v>Tidak Ada</x:v>
      </x:c>
      <x:c r="O2522" s="66" t="str">
        <x:v>Jawa Timur</x:v>
      </x:c>
      <x:c r="P2522" s="66" t="str">
        <x:v>Kabupaten Jember</x:v>
      </x:c>
      <x:c r="Q2522" s="66" t="str">
        <x:v>https://snpmb.id/snbp/daya-tampung-snbp</x:v>
      </x:c>
      <x:c r="R2522" s="66" t="str">
        <x:v>https://sidatagrun-public-1076756628210.asia-southeast2.run.app/ptn_sn.php?ptn=371</x:v>
      </x:c>
    </x:row>
    <x:row r="2523">
      <x:c r="A2523" s="87" t="n">
        <x:v>1807</x:v>
      </x:c>
      <x:c r="B2523" s="66" t="n">
        <x:v>371</x:v>
      </x:c>
      <x:c r="C2523" s="66" t="str">
        <x:v>UNIVERSITAS JEMBER</x:v>
      </x:c>
      <x:c r="D2523" s="66" t="str">
        <x:v>PTN Akademik</x:v>
      </x:c>
      <x:c r="E2523" s="66" t="str">
        <x:v>13711017</x:v>
      </x:c>
      <x:c r="F2523" s="66" t="str">
        <x:v>TEKNIK SIPIL</x:v>
      </x:c>
      <x:c r="G2523" s="66" t="str">
        <x:v>Sarjana</x:v>
      </x:c>
      <x:c r="H2523" s="87" t="n">
        <x:v>52</x:v>
      </x:c>
      <x:c r="I2523" s="87" t="n">
        <x:v>391</x:v>
      </x:c>
      <x:c r="J2523" s="68" t="n">
        <x:f>IFERROR(H2523/I2523,"")</x:f>
        <x:v>0.1329923273657289</x:v>
      </x:c>
      <x:c r="K2523" s="69" t="n">
        <x:f>IFERROR(I2523/H2523,"")</x:f>
        <x:v>7.519230769230769</x:v>
      </x:c>
      <x:c r="L2523" s="66" t="str">
        <x:f>IF(K2523="","","1 : "&amp;TEXT(K2523,"0.0"))</x:f>
        <x:v>1 : 7.5</x:v>
      </x:c>
      <x:c r="M2523" s="66" t="str">
        <x:f>IF(J2523="","Baru/Tanpa Data",IF(J2523&lt;='Catatan &amp; Sumber'!$B$14,"Sangat Ketat",IF(J2523&lt;='Catatan &amp; Sumber'!$B$15,"Ketat",IF(J2523&lt;='Catatan &amp; Sumber'!$B$16,"Sedang","Relatif Longgar"))))</x:f>
        <x:v>Relatif Longgar</x:v>
      </x:c>
      <x:c r="N2523" s="66" t="str">
        <x:v>Tidak Ada</x:v>
      </x:c>
      <x:c r="O2523" s="66" t="str">
        <x:v>Jawa Timur</x:v>
      </x:c>
      <x:c r="P2523" s="66" t="str">
        <x:v>Kabupaten Jember</x:v>
      </x:c>
      <x:c r="Q2523" s="66" t="str">
        <x:v>https://snpmb.id/snbp/daya-tampung-snbp</x:v>
      </x:c>
      <x:c r="R2523" s="66" t="str">
        <x:v>https://sidatagrun-public-1076756628210.asia-southeast2.run.app/ptn_sn.php?ptn=371</x:v>
      </x:c>
    </x:row>
    <x:row r="2524">
      <x:c r="A2524" s="87" t="n">
        <x:v>519</x:v>
      </x:c>
      <x:c r="B2524" s="66" t="n">
        <x:v>371</x:v>
      </x:c>
      <x:c r="C2524" s="66" t="str">
        <x:v>UNIVERSITAS JEMBER</x:v>
      </x:c>
      <x:c r="D2524" s="66" t="str">
        <x:v>PTN Akademik</x:v>
      </x:c>
      <x:c r="E2524" s="66" t="str">
        <x:v>13711018</x:v>
      </x:c>
      <x:c r="F2524" s="66" t="str">
        <x:v>FARMASI</x:v>
      </x:c>
      <x:c r="G2524" s="66" t="str">
        <x:v>Sarjana</x:v>
      </x:c>
      <x:c r="H2524" s="87" t="n">
        <x:v>57</x:v>
      </x:c>
      <x:c r="I2524" s="87" t="n">
        <x:v>1086</x:v>
      </x:c>
      <x:c r="J2524" s="68" t="n">
        <x:f>IFERROR(H2524/I2524,"")</x:f>
        <x:v>0.052486187845303865</x:v>
      </x:c>
      <x:c r="K2524" s="69" t="n">
        <x:f>IFERROR(I2524/H2524,"")</x:f>
        <x:v>19.05263157894737</x:v>
      </x:c>
      <x:c r="L2524" s="66" t="str">
        <x:f>IF(K2524="","","1 : "&amp;TEXT(K2524,"0.0"))</x:f>
        <x:v>1 : 19.1</x:v>
      </x:c>
      <x:c r="M2524" s="66" t="str">
        <x:f>IF(J2524="","Baru/Tanpa Data",IF(J2524&lt;='Catatan &amp; Sumber'!$B$14,"Sangat Ketat",IF(J2524&lt;='Catatan &amp; Sumber'!$B$15,"Ketat",IF(J2524&lt;='Catatan &amp; Sumber'!$B$16,"Sedang","Relatif Longgar"))))</x:f>
        <x:v>Sedang</x:v>
      </x:c>
      <x:c r="N2524" s="66" t="str">
        <x:v>Tidak Ada</x:v>
      </x:c>
      <x:c r="O2524" s="66" t="str">
        <x:v>Jawa Timur</x:v>
      </x:c>
      <x:c r="P2524" s="66" t="str">
        <x:v>Kabupaten Jember</x:v>
      </x:c>
      <x:c r="Q2524" s="66" t="str">
        <x:v>https://snpmb.id/snbp/daya-tampung-snbp</x:v>
      </x:c>
      <x:c r="R2524" s="66" t="str">
        <x:v>https://sidatagrun-public-1076756628210.asia-southeast2.run.app/ptn_sn.php?ptn=371</x:v>
      </x:c>
    </x:row>
    <x:row r="2525">
      <x:c r="A2525" s="87" t="n">
        <x:v>798</x:v>
      </x:c>
      <x:c r="B2525" s="66" t="n">
        <x:v>371</x:v>
      </x:c>
      <x:c r="C2525" s="66" t="str">
        <x:v>UNIVERSITAS JEMBER</x:v>
      </x:c>
      <x:c r="D2525" s="66" t="str">
        <x:v>PTN Akademik</x:v>
      </x:c>
      <x:c r="E2525" s="66" t="str">
        <x:v>13711019</x:v>
      </x:c>
      <x:c r="F2525" s="66" t="str">
        <x:v>ILMU KEPERAWATAN</x:v>
      </x:c>
      <x:c r="G2525" s="66" t="str">
        <x:v>Sarjana</x:v>
      </x:c>
      <x:c r="H2525" s="87" t="n">
        <x:v>60</x:v>
      </x:c>
      <x:c r="I2525" s="87" t="n">
        <x:v>900</x:v>
      </x:c>
      <x:c r="J2525" s="68" t="n">
        <x:f>IFERROR(H2525/I2525,"")</x:f>
        <x:v>0.06666666666666667</x:v>
      </x:c>
      <x:c r="K2525" s="69" t="n">
        <x:f>IFERROR(I2525/H2525,"")</x:f>
        <x:v>15</x:v>
      </x:c>
      <x:c r="L2525" s="66" t="str">
        <x:f>IF(K2525="","","1 : "&amp;TEXT(K2525,"0.0"))</x:f>
        <x:v>1 : 15.0</x:v>
      </x:c>
      <x:c r="M2525" s="66" t="str">
        <x:f>IF(J2525="","Baru/Tanpa Data",IF(J2525&lt;='Catatan &amp; Sumber'!$B$14,"Sangat Ketat",IF(J2525&lt;='Catatan &amp; Sumber'!$B$15,"Ketat",IF(J2525&lt;='Catatan &amp; Sumber'!$B$16,"Sedang","Relatif Longgar"))))</x:f>
        <x:v>Sedang</x:v>
      </x:c>
      <x:c r="N2525" s="66" t="str">
        <x:v>Tidak Ada</x:v>
      </x:c>
      <x:c r="O2525" s="66" t="str">
        <x:v>Jawa Timur</x:v>
      </x:c>
      <x:c r="P2525" s="66" t="str">
        <x:v>Kabupaten Jember</x:v>
      </x:c>
      <x:c r="Q2525" s="66" t="str">
        <x:v>https://snpmb.id/snbp/daya-tampung-snbp</x:v>
      </x:c>
      <x:c r="R2525" s="66" t="str">
        <x:v>https://sidatagrun-public-1076756628210.asia-southeast2.run.app/ptn_sn.php?ptn=371</x:v>
      </x:c>
    </x:row>
    <x:row r="2526">
      <x:c r="A2526" s="87" t="n">
        <x:v>1598</x:v>
      </x:c>
      <x:c r="B2526" s="66" t="n">
        <x:v>371</x:v>
      </x:c>
      <x:c r="C2526" s="66" t="str">
        <x:v>UNIVERSITAS JEMBER</x:v>
      </x:c>
      <x:c r="D2526" s="66" t="str">
        <x:v>PTN Akademik</x:v>
      </x:c>
      <x:c r="E2526" s="66" t="str">
        <x:v>13711020</x:v>
      </x:c>
      <x:c r="F2526" s="66" t="str">
        <x:v>SISTEM INFORMASI</x:v>
      </x:c>
      <x:c r="G2526" s="66" t="str">
        <x:v>Sarjana</x:v>
      </x:c>
      <x:c r="H2526" s="87" t="n">
        <x:v>40</x:v>
      </x:c>
      <x:c r="I2526" s="87" t="n">
        <x:v>344</x:v>
      </x:c>
      <x:c r="J2526" s="68" t="n">
        <x:f>IFERROR(H2526/I2526,"")</x:f>
        <x:v>0.11627906976744186</x:v>
      </x:c>
      <x:c r="K2526" s="69" t="n">
        <x:f>IFERROR(I2526/H2526,"")</x:f>
        <x:v>8.6</x:v>
      </x:c>
      <x:c r="L2526" s="66" t="str">
        <x:f>IF(K2526="","","1 : "&amp;TEXT(K2526,"0.0"))</x:f>
        <x:v>1 : 8.6</x:v>
      </x:c>
      <x:c r="M2526" s="66" t="str">
        <x:f>IF(J2526="","Baru/Tanpa Data",IF(J2526&lt;='Catatan &amp; Sumber'!$B$14,"Sangat Ketat",IF(J2526&lt;='Catatan &amp; Sumber'!$B$15,"Ketat",IF(J2526&lt;='Catatan &amp; Sumber'!$B$16,"Sedang","Relatif Longgar"))))</x:f>
        <x:v>Relatif Longgar</x:v>
      </x:c>
      <x:c r="N2526" s="66" t="str">
        <x:v>Tidak Ada</x:v>
      </x:c>
      <x:c r="O2526" s="66" t="str">
        <x:v>Jawa Timur</x:v>
      </x:c>
      <x:c r="P2526" s="66" t="str">
        <x:v>Kabupaten Jember</x:v>
      </x:c>
      <x:c r="Q2526" s="66" t="str">
        <x:v>https://snpmb.id/snbp/daya-tampung-snbp</x:v>
      </x:c>
      <x:c r="R2526" s="66" t="str">
        <x:v>https://sidatagrun-public-1076756628210.asia-southeast2.run.app/ptn_sn.php?ptn=371</x:v>
      </x:c>
    </x:row>
    <x:row r="2527">
      <x:c r="A2527" s="87" t="n">
        <x:v>2949</x:v>
      </x:c>
      <x:c r="B2527" s="66" t="n">
        <x:v>371</x:v>
      </x:c>
      <x:c r="C2527" s="66" t="str">
        <x:v>UNIVERSITAS JEMBER</x:v>
      </x:c>
      <x:c r="D2527" s="66" t="str">
        <x:v>PTN Akademik</x:v>
      </x:c>
      <x:c r="E2527" s="66" t="str">
        <x:v>13711024</x:v>
      </x:c>
      <x:c r="F2527" s="66" t="str">
        <x:v>TEKNOLOGI INDUSTRI PERTANIAN</x:v>
      </x:c>
      <x:c r="G2527" s="66" t="str">
        <x:v>Sarjana</x:v>
      </x:c>
      <x:c r="H2527" s="87" t="n">
        <x:v>50</x:v>
      </x:c>
      <x:c r="I2527" s="87" t="n">
        <x:v>176</x:v>
      </x:c>
      <x:c r="J2527" s="68" t="n">
        <x:f>IFERROR(H2527/I2527,"")</x:f>
        <x:v>0.2840909090909091</x:v>
      </x:c>
      <x:c r="K2527" s="69" t="n">
        <x:f>IFERROR(I2527/H2527,"")</x:f>
        <x:v>3.52</x:v>
      </x:c>
      <x:c r="L2527" s="66" t="str">
        <x:f>IF(K2527="","","1 : "&amp;TEXT(K2527,"0.0"))</x:f>
        <x:v>1 : 3.5</x:v>
      </x:c>
      <x:c r="M2527" s="66" t="str">
        <x:f>IF(J2527="","Baru/Tanpa Data",IF(J2527&lt;='Catatan &amp; Sumber'!$B$14,"Sangat Ketat",IF(J2527&lt;='Catatan &amp; Sumber'!$B$15,"Ketat",IF(J2527&lt;='Catatan &amp; Sumber'!$B$16,"Sedang","Relatif Longgar"))))</x:f>
        <x:v>Relatif Longgar</x:v>
      </x:c>
      <x:c r="N2527" s="66" t="str">
        <x:v>Tidak Ada</x:v>
      </x:c>
      <x:c r="O2527" s="66" t="str">
        <x:v>Jawa Timur</x:v>
      </x:c>
      <x:c r="P2527" s="66" t="str">
        <x:v>Kabupaten Jember</x:v>
      </x:c>
      <x:c r="Q2527" s="66" t="str">
        <x:v>https://snpmb.id/snbp/daya-tampung-snbp</x:v>
      </x:c>
      <x:c r="R2527" s="66" t="str">
        <x:v>https://sidatagrun-public-1076756628210.asia-southeast2.run.app/ptn_sn.php?ptn=371</x:v>
      </x:c>
    </x:row>
    <x:row r="2528">
      <x:c r="A2528" s="87" t="n">
        <x:v>3465</x:v>
      </x:c>
      <x:c r="B2528" s="66" t="n">
        <x:v>371</x:v>
      </x:c>
      <x:c r="C2528" s="66" t="str">
        <x:v>UNIVERSITAS JEMBER</x:v>
      </x:c>
      <x:c r="D2528" s="66" t="str">
        <x:v>PTN Akademik</x:v>
      </x:c>
      <x:c r="E2528" s="66" t="str">
        <x:v>13711025</x:v>
      </x:c>
      <x:c r="F2528" s="66" t="str">
        <x:v>ILMU TANAH</x:v>
      </x:c>
      <x:c r="G2528" s="66" t="str">
        <x:v>Sarjana</x:v>
      </x:c>
      <x:c r="H2528" s="87" t="n">
        <x:v>30</x:v>
      </x:c>
      <x:c r="I2528" s="87" t="n">
        <x:v>71</x:v>
      </x:c>
      <x:c r="J2528" s="68" t="n">
        <x:f>IFERROR(H2528/I2528,"")</x:f>
        <x:v>0.4225352112676056</x:v>
      </x:c>
      <x:c r="K2528" s="69" t="n">
        <x:f>IFERROR(I2528/H2528,"")</x:f>
        <x:v>2.3666666666666667</x:v>
      </x:c>
      <x:c r="L2528" s="66" t="str">
        <x:f>IF(K2528="","","1 : "&amp;TEXT(K2528,"0.0"))</x:f>
        <x:v>1 : 2.4</x:v>
      </x:c>
      <x:c r="M2528" s="66" t="str">
        <x:f>IF(J2528="","Baru/Tanpa Data",IF(J2528&lt;='Catatan &amp; Sumber'!$B$14,"Sangat Ketat",IF(J2528&lt;='Catatan &amp; Sumber'!$B$15,"Ketat",IF(J2528&lt;='Catatan &amp; Sumber'!$B$16,"Sedang","Relatif Longgar"))))</x:f>
        <x:v>Relatif Longgar</x:v>
      </x:c>
      <x:c r="N2528" s="66" t="str">
        <x:v>Tidak Ada</x:v>
      </x:c>
      <x:c r="O2528" s="66" t="str">
        <x:v>Jawa Timur</x:v>
      </x:c>
      <x:c r="P2528" s="66" t="str">
        <x:v>Kabupaten Jember</x:v>
      </x:c>
      <x:c r="Q2528" s="66" t="str">
        <x:v>https://snpmb.id/snbp/daya-tampung-snbp</x:v>
      </x:c>
      <x:c r="R2528" s="66" t="str">
        <x:v>https://sidatagrun-public-1076756628210.asia-southeast2.run.app/ptn_sn.php?ptn=371</x:v>
      </x:c>
    </x:row>
    <x:row r="2529">
      <x:c r="A2529" s="87" t="n">
        <x:v>3588</x:v>
      </x:c>
      <x:c r="B2529" s="66" t="n">
        <x:v>371</x:v>
      </x:c>
      <x:c r="C2529" s="66" t="str">
        <x:v>UNIVERSITAS JEMBER</x:v>
      </x:c>
      <x:c r="D2529" s="66" t="str">
        <x:v>PTN Akademik</x:v>
      </x:c>
      <x:c r="E2529" s="66" t="str">
        <x:v>13711026</x:v>
      </x:c>
      <x:c r="F2529" s="66" t="str">
        <x:v>PROTEKSI TANAMAN</x:v>
      </x:c>
      <x:c r="G2529" s="66" t="str">
        <x:v>Sarjana</x:v>
      </x:c>
      <x:c r="H2529" s="87" t="n">
        <x:v>35</x:v>
      </x:c>
      <x:c r="I2529" s="87" t="n">
        <x:v>75</x:v>
      </x:c>
      <x:c r="J2529" s="68" t="n">
        <x:f>IFERROR(H2529/I2529,"")</x:f>
        <x:v>0.4666666666666667</x:v>
      </x:c>
      <x:c r="K2529" s="69" t="n">
        <x:f>IFERROR(I2529/H2529,"")</x:f>
        <x:v>2.142857142857143</x:v>
      </x:c>
      <x:c r="L2529" s="66" t="str">
        <x:f>IF(K2529="","","1 : "&amp;TEXT(K2529,"0.0"))</x:f>
        <x:v>1 : 2.1</x:v>
      </x:c>
      <x:c r="M2529" s="66" t="str">
        <x:f>IF(J2529="","Baru/Tanpa Data",IF(J2529&lt;='Catatan &amp; Sumber'!$B$14,"Sangat Ketat",IF(J2529&lt;='Catatan &amp; Sumber'!$B$15,"Ketat",IF(J2529&lt;='Catatan &amp; Sumber'!$B$16,"Sedang","Relatif Longgar"))))</x:f>
        <x:v>Relatif Longgar</x:v>
      </x:c>
      <x:c r="N2529" s="66" t="str">
        <x:v>Tidak Ada</x:v>
      </x:c>
      <x:c r="O2529" s="66" t="str">
        <x:v>Jawa Timur</x:v>
      </x:c>
      <x:c r="P2529" s="66" t="str">
        <x:v>Kabupaten Jember</x:v>
      </x:c>
      <x:c r="Q2529" s="66" t="str">
        <x:v>https://snpmb.id/snbp/daya-tampung-snbp</x:v>
      </x:c>
      <x:c r="R2529" s="66" t="str">
        <x:v>https://sidatagrun-public-1076756628210.asia-southeast2.run.app/ptn_sn.php?ptn=371</x:v>
      </x:c>
    </x:row>
    <x:row r="2530">
      <x:c r="A2530" s="87" t="n">
        <x:v>1901</x:v>
      </x:c>
      <x:c r="B2530" s="66" t="n">
        <x:v>371</x:v>
      </x:c>
      <x:c r="C2530" s="66" t="str">
        <x:v>UNIVERSITAS JEMBER</x:v>
      </x:c>
      <x:c r="D2530" s="66" t="str">
        <x:v>PTN Akademik</x:v>
      </x:c>
      <x:c r="E2530" s="66" t="str">
        <x:v>13711027</x:v>
      </x:c>
      <x:c r="F2530" s="66" t="str">
        <x:v>TEKNOLOGI INFORMASI</x:v>
      </x:c>
      <x:c r="G2530" s="66" t="str">
        <x:v>Sarjana</x:v>
      </x:c>
      <x:c r="H2530" s="87" t="n">
        <x:v>40</x:v>
      </x:c>
      <x:c r="I2530" s="87" t="n">
        <x:v>284</x:v>
      </x:c>
      <x:c r="J2530" s="68" t="n">
        <x:f>IFERROR(H2530/I2530,"")</x:f>
        <x:v>0.14084507042253522</x:v>
      </x:c>
      <x:c r="K2530" s="69" t="n">
        <x:f>IFERROR(I2530/H2530,"")</x:f>
        <x:v>7.1</x:v>
      </x:c>
      <x:c r="L2530" s="66" t="str">
        <x:f>IF(K2530="","","1 : "&amp;TEXT(K2530,"0.0"))</x:f>
        <x:v>1 : 7.1</x:v>
      </x:c>
      <x:c r="M2530" s="66" t="str">
        <x:f>IF(J2530="","Baru/Tanpa Data",IF(J2530&lt;='Catatan &amp; Sumber'!$B$14,"Sangat Ketat",IF(J2530&lt;='Catatan &amp; Sumber'!$B$15,"Ketat",IF(J2530&lt;='Catatan &amp; Sumber'!$B$16,"Sedang","Relatif Longgar"))))</x:f>
        <x:v>Relatif Longgar</x:v>
      </x:c>
      <x:c r="N2530" s="66" t="str">
        <x:v>Tidak Ada</x:v>
      </x:c>
      <x:c r="O2530" s="66" t="str">
        <x:v>Jawa Timur</x:v>
      </x:c>
      <x:c r="P2530" s="66" t="str">
        <x:v>Kabupaten Jember</x:v>
      </x:c>
      <x:c r="Q2530" s="66" t="str">
        <x:v>https://snpmb.id/snbp/daya-tampung-snbp</x:v>
      </x:c>
      <x:c r="R2530" s="66" t="str">
        <x:v>https://sidatagrun-public-1076756628210.asia-southeast2.run.app/ptn_sn.php?ptn=371</x:v>
      </x:c>
    </x:row>
    <x:row r="2531">
      <x:c r="A2531" s="87" t="n">
        <x:v>2566</x:v>
      </x:c>
      <x:c r="B2531" s="66" t="n">
        <x:v>371</x:v>
      </x:c>
      <x:c r="C2531" s="66" t="str">
        <x:v>UNIVERSITAS JEMBER</x:v>
      </x:c>
      <x:c r="D2531" s="66" t="str">
        <x:v>PTN Akademik</x:v>
      </x:c>
      <x:c r="E2531" s="66" t="str">
        <x:v>13711028</x:v>
      </x:c>
      <x:c r="F2531" s="66" t="str">
        <x:v>PENDIDIKAN IPA</x:v>
      </x:c>
      <x:c r="G2531" s="66" t="str">
        <x:v>Sarjana</x:v>
      </x:c>
      <x:c r="H2531" s="87" t="n">
        <x:v>55</x:v>
      </x:c>
      <x:c r="I2531" s="87" t="n">
        <x:v>247</x:v>
      </x:c>
      <x:c r="J2531" s="68" t="n">
        <x:f>IFERROR(H2531/I2531,"")</x:f>
        <x:v>0.22267206477732793</x:v>
      </x:c>
      <x:c r="K2531" s="69" t="n">
        <x:f>IFERROR(I2531/H2531,"")</x:f>
        <x:v>4.490909090909091</x:v>
      </x:c>
      <x:c r="L2531" s="66" t="str">
        <x:f>IF(K2531="","","1 : "&amp;TEXT(K2531,"0.0"))</x:f>
        <x:v>1 : 4.5</x:v>
      </x:c>
      <x:c r="M2531" s="66" t="str">
        <x:f>IF(J2531="","Baru/Tanpa Data",IF(J2531&lt;='Catatan &amp; Sumber'!$B$14,"Sangat Ketat",IF(J2531&lt;='Catatan &amp; Sumber'!$B$15,"Ketat",IF(J2531&lt;='Catatan &amp; Sumber'!$B$16,"Sedang","Relatif Longgar"))))</x:f>
        <x:v>Relatif Longgar</x:v>
      </x:c>
      <x:c r="N2531" s="66" t="str">
        <x:v>Tidak Ada</x:v>
      </x:c>
      <x:c r="O2531" s="66" t="str">
        <x:v>Jawa Timur</x:v>
      </x:c>
      <x:c r="P2531" s="66" t="str">
        <x:v>Kabupaten Jember</x:v>
      </x:c>
      <x:c r="Q2531" s="66" t="str">
        <x:v>https://snpmb.id/snbp/daya-tampung-snbp</x:v>
      </x:c>
      <x:c r="R2531" s="66" t="str">
        <x:v>https://sidatagrun-public-1076756628210.asia-southeast2.run.app/ptn_sn.php?ptn=371</x:v>
      </x:c>
    </x:row>
    <x:row r="2532">
      <x:c r="A2532" s="87" t="n">
        <x:v>2248</x:v>
      </x:c>
      <x:c r="B2532" s="66" t="n">
        <x:v>371</x:v>
      </x:c>
      <x:c r="C2532" s="66" t="str">
        <x:v>UNIVERSITAS JEMBER</x:v>
      </x:c>
      <x:c r="D2532" s="66" t="str">
        <x:v>PTN Akademik</x:v>
      </x:c>
      <x:c r="E2532" s="66" t="str">
        <x:v>13711029</x:v>
      </x:c>
      <x:c r="F2532" s="66" t="str">
        <x:v>PERENCANAAN WILAYAH DAN KOTA</x:v>
      </x:c>
      <x:c r="G2532" s="66" t="str">
        <x:v>Sarjana</x:v>
      </x:c>
      <x:c r="H2532" s="87" t="n">
        <x:v>38</x:v>
      </x:c>
      <x:c r="I2532" s="87" t="n">
        <x:v>214</x:v>
      </x:c>
      <x:c r="J2532" s="68" t="n">
        <x:f>IFERROR(H2532/I2532,"")</x:f>
        <x:v>0.17757009345794392</x:v>
      </x:c>
      <x:c r="K2532" s="69" t="n">
        <x:f>IFERROR(I2532/H2532,"")</x:f>
        <x:v>5.631578947368421</x:v>
      </x:c>
      <x:c r="L2532" s="66" t="str">
        <x:f>IF(K2532="","","1 : "&amp;TEXT(K2532,"0.0"))</x:f>
        <x:v>1 : 5.6</x:v>
      </x:c>
      <x:c r="M2532" s="66" t="str">
        <x:f>IF(J2532="","Baru/Tanpa Data",IF(J2532&lt;='Catatan &amp; Sumber'!$B$14,"Sangat Ketat",IF(J2532&lt;='Catatan &amp; Sumber'!$B$15,"Ketat",IF(J2532&lt;='Catatan &amp; Sumber'!$B$16,"Sedang","Relatif Longgar"))))</x:f>
        <x:v>Relatif Longgar</x:v>
      </x:c>
      <x:c r="N2532" s="66" t="str">
        <x:v>Tidak Ada</x:v>
      </x:c>
      <x:c r="O2532" s="66" t="str">
        <x:v>Jawa Timur</x:v>
      </x:c>
      <x:c r="P2532" s="66" t="str">
        <x:v>Kabupaten Jember</x:v>
      </x:c>
      <x:c r="Q2532" s="66" t="str">
        <x:v>https://snpmb.id/snbp/daya-tampung-snbp</x:v>
      </x:c>
      <x:c r="R2532" s="66" t="str">
        <x:v>https://sidatagrun-public-1076756628210.asia-southeast2.run.app/ptn_sn.php?ptn=371</x:v>
      </x:c>
    </x:row>
    <x:row r="2533">
      <x:c r="A2533" s="87" t="n">
        <x:v>1643</x:v>
      </x:c>
      <x:c r="B2533" s="66" t="n">
        <x:v>371</x:v>
      </x:c>
      <x:c r="C2533" s="66" t="str">
        <x:v>UNIVERSITAS JEMBER</x:v>
      </x:c>
      <x:c r="D2533" s="66" t="str">
        <x:v>PTN Akademik</x:v>
      </x:c>
      <x:c r="E2533" s="66" t="str">
        <x:v>13711030</x:v>
      </x:c>
      <x:c r="F2533" s="66" t="str">
        <x:v>TEKNIK KIMIA</x:v>
      </x:c>
      <x:c r="G2533" s="66" t="str">
        <x:v>Sarjana</x:v>
      </x:c>
      <x:c r="H2533" s="87" t="n">
        <x:v>25</x:v>
      </x:c>
      <x:c r="I2533" s="87" t="n">
        <x:v>209</x:v>
      </x:c>
      <x:c r="J2533" s="68" t="n">
        <x:f>IFERROR(H2533/I2533,"")</x:f>
        <x:v>0.11961722488038277</x:v>
      </x:c>
      <x:c r="K2533" s="69" t="n">
        <x:f>IFERROR(I2533/H2533,"")</x:f>
        <x:v>8.36</x:v>
      </x:c>
      <x:c r="L2533" s="66" t="str">
        <x:f>IF(K2533="","","1 : "&amp;TEXT(K2533,"0.0"))</x:f>
        <x:v>1 : 8.4</x:v>
      </x:c>
      <x:c r="M2533" s="66" t="str">
        <x:f>IF(J2533="","Baru/Tanpa Data",IF(J2533&lt;='Catatan &amp; Sumber'!$B$14,"Sangat Ketat",IF(J2533&lt;='Catatan &amp; Sumber'!$B$15,"Ketat",IF(J2533&lt;='Catatan &amp; Sumber'!$B$16,"Sedang","Relatif Longgar"))))</x:f>
        <x:v>Relatif Longgar</x:v>
      </x:c>
      <x:c r="N2533" s="66" t="str">
        <x:v>Tidak Ada</x:v>
      </x:c>
      <x:c r="O2533" s="66" t="str">
        <x:v>Jawa Timur</x:v>
      </x:c>
      <x:c r="P2533" s="66" t="str">
        <x:v>Kabupaten Jember</x:v>
      </x:c>
      <x:c r="Q2533" s="66" t="str">
        <x:v>https://snpmb.id/snbp/daya-tampung-snbp</x:v>
      </x:c>
      <x:c r="R2533" s="66" t="str">
        <x:v>https://sidatagrun-public-1076756628210.asia-southeast2.run.app/ptn_sn.php?ptn=371</x:v>
      </x:c>
    </x:row>
    <x:row r="2534">
      <x:c r="A2534" s="87" t="n">
        <x:v>3034</x:v>
      </x:c>
      <x:c r="B2534" s="66" t="n">
        <x:v>371</x:v>
      </x:c>
      <x:c r="C2534" s="66" t="str">
        <x:v>UNIVERSITAS JEMBER</x:v>
      </x:c>
      <x:c r="D2534" s="66" t="str">
        <x:v>PTN Akademik</x:v>
      </x:c>
      <x:c r="E2534" s="66" t="str">
        <x:v>13711031</x:v>
      </x:c>
      <x:c r="F2534" s="66" t="str">
        <x:v>AGRONOMI</x:v>
      </x:c>
      <x:c r="G2534" s="66" t="str">
        <x:v>Sarjana</x:v>
      </x:c>
      <x:c r="H2534" s="87" t="n">
        <x:v>40</x:v>
      </x:c>
      <x:c r="I2534" s="87" t="n">
        <x:v>133</x:v>
      </x:c>
      <x:c r="J2534" s="68" t="n">
        <x:f>IFERROR(H2534/I2534,"")</x:f>
        <x:v>0.3007518796992481</x:v>
      </x:c>
      <x:c r="K2534" s="69" t="n">
        <x:f>IFERROR(I2534/H2534,"")</x:f>
        <x:v>3.325</x:v>
      </x:c>
      <x:c r="L2534" s="66" t="str">
        <x:f>IF(K2534="","","1 : "&amp;TEXT(K2534,"0.0"))</x:f>
        <x:v>1 : 3.3</x:v>
      </x:c>
      <x:c r="M2534" s="66" t="str">
        <x:f>IF(J2534="","Baru/Tanpa Data",IF(J2534&lt;='Catatan &amp; Sumber'!$B$14,"Sangat Ketat",IF(J2534&lt;='Catatan &amp; Sumber'!$B$15,"Ketat",IF(J2534&lt;='Catatan &amp; Sumber'!$B$16,"Sedang","Relatif Longgar"))))</x:f>
        <x:v>Relatif Longgar</x:v>
      </x:c>
      <x:c r="N2534" s="66" t="str">
        <x:v>Tidak Ada</x:v>
      </x:c>
      <x:c r="O2534" s="66" t="str">
        <x:v>Jawa Timur</x:v>
      </x:c>
      <x:c r="P2534" s="66" t="str">
        <x:v>Kabupaten Jember</x:v>
      </x:c>
      <x:c r="Q2534" s="66" t="str">
        <x:v>https://snpmb.id/snbp/daya-tampung-snbp</x:v>
      </x:c>
      <x:c r="R2534" s="66" t="str">
        <x:v>https://sidatagrun-public-1076756628210.asia-southeast2.run.app/ptn_sn.php?ptn=371</x:v>
      </x:c>
    </x:row>
    <x:row r="2535">
      <x:c r="A2535" s="87" t="n">
        <x:v>3371</x:v>
      </x:c>
      <x:c r="B2535" s="66" t="n">
        <x:v>371</x:v>
      </x:c>
      <x:c r="C2535" s="66" t="str">
        <x:v>UNIVERSITAS JEMBER</x:v>
      </x:c>
      <x:c r="D2535" s="66" t="str">
        <x:v>PTN Akademik</x:v>
      </x:c>
      <x:c r="E2535" s="66" t="str">
        <x:v>13711032</x:v>
      </x:c>
      <x:c r="F2535" s="66" t="str">
        <x:v>ILMU PERTANIAN KAMPUS BONDOWOSO</x:v>
      </x:c>
      <x:c r="G2535" s="66" t="str">
        <x:v>Sarjana</x:v>
      </x:c>
      <x:c r="H2535" s="87" t="n">
        <x:v>45</x:v>
      </x:c>
      <x:c r="I2535" s="87" t="n">
        <x:v>115</x:v>
      </x:c>
      <x:c r="J2535" s="68" t="n">
        <x:f>IFERROR(H2535/I2535,"")</x:f>
        <x:v>0.391304347826087</x:v>
      </x:c>
      <x:c r="K2535" s="69" t="n">
        <x:f>IFERROR(I2535/H2535,"")</x:f>
        <x:v>2.5555555555555554</x:v>
      </x:c>
      <x:c r="L2535" s="66" t="str">
        <x:f>IF(K2535="","","1 : "&amp;TEXT(K2535,"0.0"))</x:f>
        <x:v>1 : 2.6</x:v>
      </x:c>
      <x:c r="M2535" s="66" t="str">
        <x:f>IF(J2535="","Baru/Tanpa Data",IF(J2535&lt;='Catatan &amp; Sumber'!$B$14,"Sangat Ketat",IF(J2535&lt;='Catatan &amp; Sumber'!$B$15,"Ketat",IF(J2535&lt;='Catatan &amp; Sumber'!$B$16,"Sedang","Relatif Longgar"))))</x:f>
        <x:v>Relatif Longgar</x:v>
      </x:c>
      <x:c r="N2535" s="66" t="str">
        <x:v>Tidak Ada</x:v>
      </x:c>
      <x:c r="O2535" s="66" t="str">
        <x:v>Jawa Timur</x:v>
      </x:c>
      <x:c r="P2535" s="66" t="str">
        <x:v>Kabupaten Jember</x:v>
      </x:c>
      <x:c r="Q2535" s="66" t="str">
        <x:v>https://snpmb.id/snbp/daya-tampung-snbp</x:v>
      </x:c>
      <x:c r="R2535" s="66" t="str">
        <x:v>https://sidatagrun-public-1076756628210.asia-southeast2.run.app/ptn_sn.php?ptn=371</x:v>
      </x:c>
    </x:row>
    <x:row r="2536">
      <x:c r="A2536" s="87" t="n">
        <x:v>1616</x:v>
      </x:c>
      <x:c r="B2536" s="66" t="n">
        <x:v>371</x:v>
      </x:c>
      <x:c r="C2536" s="66" t="str">
        <x:v>UNIVERSITAS JEMBER</x:v>
      </x:c>
      <x:c r="D2536" s="66" t="str">
        <x:v>PTN Akademik</x:v>
      </x:c>
      <x:c r="E2536" s="66" t="str">
        <x:v>13711033</x:v>
      </x:c>
      <x:c r="F2536" s="66" t="str">
        <x:v>INFORMATIKA</x:v>
      </x:c>
      <x:c r="G2536" s="66" t="str">
        <x:v>Sarjana</x:v>
      </x:c>
      <x:c r="H2536" s="87" t="n">
        <x:v>40</x:v>
      </x:c>
      <x:c r="I2536" s="87" t="n">
        <x:v>339</x:v>
      </x:c>
      <x:c r="J2536" s="68" t="n">
        <x:f>IFERROR(H2536/I2536,"")</x:f>
        <x:v>0.11799410029498525</x:v>
      </x:c>
      <x:c r="K2536" s="69" t="n">
        <x:f>IFERROR(I2536/H2536,"")</x:f>
        <x:v>8.475</x:v>
      </x:c>
      <x:c r="L2536" s="66" t="str">
        <x:f>IF(K2536="","","1 : "&amp;TEXT(K2536,"0.0"))</x:f>
        <x:v>1 : 8.5</x:v>
      </x:c>
      <x:c r="M2536" s="66" t="str">
        <x:f>IF(J2536="","Baru/Tanpa Data",IF(J2536&lt;='Catatan &amp; Sumber'!$B$14,"Sangat Ketat",IF(J2536&lt;='Catatan &amp; Sumber'!$B$15,"Ketat",IF(J2536&lt;='Catatan &amp; Sumber'!$B$16,"Sedang","Relatif Longgar"))))</x:f>
        <x:v>Relatif Longgar</x:v>
      </x:c>
      <x:c r="N2536" s="66" t="str">
        <x:v>Tidak Ada</x:v>
      </x:c>
      <x:c r="O2536" s="66" t="str">
        <x:v>Jawa Timur</x:v>
      </x:c>
      <x:c r="P2536" s="66" t="str">
        <x:v>Kabupaten Jember</x:v>
      </x:c>
      <x:c r="Q2536" s="66" t="str">
        <x:v>https://snpmb.id/snbp/daya-tampung-snbp</x:v>
      </x:c>
      <x:c r="R2536" s="66" t="str">
        <x:v>https://sidatagrun-public-1076756628210.asia-southeast2.run.app/ptn_sn.php?ptn=371</x:v>
      </x:c>
    </x:row>
    <x:row r="2537">
      <x:c r="A2537" s="87" t="n">
        <x:v>2921</x:v>
      </x:c>
      <x:c r="B2537" s="66" t="n">
        <x:v>371</x:v>
      </x:c>
      <x:c r="C2537" s="66" t="str">
        <x:v>UNIVERSITAS JEMBER</x:v>
      </x:c>
      <x:c r="D2537" s="66" t="str">
        <x:v>PTN Akademik</x:v>
      </x:c>
      <x:c r="E2537" s="66" t="str">
        <x:v>13711034</x:v>
      </x:c>
      <x:c r="F2537" s="66" t="str">
        <x:v>PENYULUHAN PERTANIAN</x:v>
      </x:c>
      <x:c r="G2537" s="66" t="str">
        <x:v>Sarjana</x:v>
      </x:c>
      <x:c r="H2537" s="87" t="n">
        <x:v>25</x:v>
      </x:c>
      <x:c r="I2537" s="87" t="n">
        <x:v>90</x:v>
      </x:c>
      <x:c r="J2537" s="68" t="n">
        <x:f>IFERROR(H2537/I2537,"")</x:f>
        <x:v>0.2777777777777778</x:v>
      </x:c>
      <x:c r="K2537" s="69" t="n">
        <x:f>IFERROR(I2537/H2537,"")</x:f>
        <x:v>3.6</x:v>
      </x:c>
      <x:c r="L2537" s="66" t="str">
        <x:f>IF(K2537="","","1 : "&amp;TEXT(K2537,"0.0"))</x:f>
        <x:v>1 : 3.6</x:v>
      </x:c>
      <x:c r="M2537" s="66" t="str">
        <x:f>IF(J2537="","Baru/Tanpa Data",IF(J2537&lt;='Catatan &amp; Sumber'!$B$14,"Sangat Ketat",IF(J2537&lt;='Catatan &amp; Sumber'!$B$15,"Ketat",IF(J2537&lt;='Catatan &amp; Sumber'!$B$16,"Sedang","Relatif Longgar"))))</x:f>
        <x:v>Relatif Longgar</x:v>
      </x:c>
      <x:c r="N2537" s="66" t="str">
        <x:v>Tidak Ada</x:v>
      </x:c>
      <x:c r="O2537" s="66" t="str">
        <x:v>Jawa Timur</x:v>
      </x:c>
      <x:c r="P2537" s="66" t="str">
        <x:v>Kabupaten Jember</x:v>
      </x:c>
      <x:c r="Q2537" s="66" t="str">
        <x:v>https://snpmb.id/snbp/daya-tampung-snbp</x:v>
      </x:c>
      <x:c r="R2537" s="66" t="str">
        <x:v>https://sidatagrun-public-1076756628210.asia-southeast2.run.app/ptn_sn.php?ptn=371</x:v>
      </x:c>
    </x:row>
    <x:row r="2538">
      <x:c r="A2538" s="87" t="n">
        <x:v>1606</x:v>
      </x:c>
      <x:c r="B2538" s="66" t="n">
        <x:v>371</x:v>
      </x:c>
      <x:c r="C2538" s="66" t="str">
        <x:v>UNIVERSITAS JEMBER</x:v>
      </x:c>
      <x:c r="D2538" s="66" t="str">
        <x:v>PTN Akademik</x:v>
      </x:c>
      <x:c r="E2538" s="66" t="str">
        <x:v>13711035</x:v>
      </x:c>
      <x:c r="F2538" s="66" t="str">
        <x:v>TEKNIK LINGKUNGAN</x:v>
      </x:c>
      <x:c r="G2538" s="66" t="str">
        <x:v>Sarjana</x:v>
      </x:c>
      <x:c r="H2538" s="87" t="n">
        <x:v>25</x:v>
      </x:c>
      <x:c r="I2538" s="87" t="n">
        <x:v>214</x:v>
      </x:c>
      <x:c r="J2538" s="68" t="n">
        <x:f>IFERROR(H2538/I2538,"")</x:f>
        <x:v>0.11682242990654206</x:v>
      </x:c>
      <x:c r="K2538" s="69" t="n">
        <x:f>IFERROR(I2538/H2538,"")</x:f>
        <x:v>8.56</x:v>
      </x:c>
      <x:c r="L2538" s="66" t="str">
        <x:f>IF(K2538="","","1 : "&amp;TEXT(K2538,"0.0"))</x:f>
        <x:v>1 : 8.6</x:v>
      </x:c>
      <x:c r="M2538" s="66" t="str">
        <x:f>IF(J2538="","Baru/Tanpa Data",IF(J2538&lt;='Catatan &amp; Sumber'!$B$14,"Sangat Ketat",IF(J2538&lt;='Catatan &amp; Sumber'!$B$15,"Ketat",IF(J2538&lt;='Catatan &amp; Sumber'!$B$16,"Sedang","Relatif Longgar"))))</x:f>
        <x:v>Relatif Longgar</x:v>
      </x:c>
      <x:c r="N2538" s="66" t="str">
        <x:v>Tidak Ada</x:v>
      </x:c>
      <x:c r="O2538" s="66" t="str">
        <x:v>Jawa Timur</x:v>
      </x:c>
      <x:c r="P2538" s="66" t="str">
        <x:v>Kabupaten Jember</x:v>
      </x:c>
      <x:c r="Q2538" s="66" t="str">
        <x:v>https://snpmb.id/snbp/daya-tampung-snbp</x:v>
      </x:c>
      <x:c r="R2538" s="66" t="str">
        <x:v>https://sidatagrun-public-1076756628210.asia-southeast2.run.app/ptn_sn.php?ptn=371</x:v>
      </x:c>
    </x:row>
    <x:row r="2539">
      <x:c r="A2539" s="87" t="n">
        <x:v>3403</x:v>
      </x:c>
      <x:c r="B2539" s="66" t="n">
        <x:v>371</x:v>
      </x:c>
      <x:c r="C2539" s="66" t="str">
        <x:v>UNIVERSITAS JEMBER</x:v>
      </x:c>
      <x:c r="D2539" s="66" t="str">
        <x:v>PTN Akademik</x:v>
      </x:c>
      <x:c r="E2539" s="66" t="str">
        <x:v>13711036</x:v>
      </x:c>
      <x:c r="F2539" s="66" t="str">
        <x:v>TEKNIK KONSTRUKSI PERKAPALAN</x:v>
      </x:c>
      <x:c r="G2539" s="66" t="str">
        <x:v>Sarjana</x:v>
      </x:c>
      <x:c r="H2539" s="87" t="n">
        <x:v>27</x:v>
      </x:c>
      <x:c r="I2539" s="87" t="n">
        <x:v>67</x:v>
      </x:c>
      <x:c r="J2539" s="68" t="n">
        <x:f>IFERROR(H2539/I2539,"")</x:f>
        <x:v>0.40298507462686567</x:v>
      </x:c>
      <x:c r="K2539" s="69" t="n">
        <x:f>IFERROR(I2539/H2539,"")</x:f>
        <x:v>2.4814814814814814</x:v>
      </x:c>
      <x:c r="L2539" s="66" t="str">
        <x:f>IF(K2539="","","1 : "&amp;TEXT(K2539,"0.0"))</x:f>
        <x:v>1 : 2.5</x:v>
      </x:c>
      <x:c r="M2539" s="66" t="str">
        <x:f>IF(J2539="","Baru/Tanpa Data",IF(J2539&lt;='Catatan &amp; Sumber'!$B$14,"Sangat Ketat",IF(J2539&lt;='Catatan &amp; Sumber'!$B$15,"Ketat",IF(J2539&lt;='Catatan &amp; Sumber'!$B$16,"Sedang","Relatif Longgar"))))</x:f>
        <x:v>Relatif Longgar</x:v>
      </x:c>
      <x:c r="N2539" s="66" t="str">
        <x:v>Tidak Ada</x:v>
      </x:c>
      <x:c r="O2539" s="66" t="str">
        <x:v>Jawa Timur</x:v>
      </x:c>
      <x:c r="P2539" s="66" t="str">
        <x:v>Kabupaten Jember</x:v>
      </x:c>
      <x:c r="Q2539" s="66" t="str">
        <x:v>https://snpmb.id/snbp/daya-tampung-snbp</x:v>
      </x:c>
      <x:c r="R2539" s="66" t="str">
        <x:v>https://sidatagrun-public-1076756628210.asia-southeast2.run.app/ptn_sn.php?ptn=371</x:v>
      </x:c>
    </x:row>
    <x:row r="2540">
      <x:c r="A2540" s="87" t="n">
        <x:v>2561</x:v>
      </x:c>
      <x:c r="B2540" s="66" t="n">
        <x:v>371</x:v>
      </x:c>
      <x:c r="C2540" s="66" t="str">
        <x:v>UNIVERSITAS JEMBER</x:v>
      </x:c>
      <x:c r="D2540" s="66" t="str">
        <x:v>PTN Akademik</x:v>
      </x:c>
      <x:c r="E2540" s="66" t="str">
        <x:v>13711037</x:v>
      </x:c>
      <x:c r="F2540" s="66" t="str">
        <x:v>PETERNAKAN KAMPUS BONDOWOSO</x:v>
      </x:c>
      <x:c r="G2540" s="66" t="str">
        <x:v>Sarjana</x:v>
      </x:c>
      <x:c r="H2540" s="87" t="n">
        <x:v>35</x:v>
      </x:c>
      <x:c r="I2540" s="87" t="n">
        <x:v>158</x:v>
      </x:c>
      <x:c r="J2540" s="68" t="n">
        <x:f>IFERROR(H2540/I2540,"")</x:f>
        <x:v>0.22151898734177214</x:v>
      </x:c>
      <x:c r="K2540" s="69" t="n">
        <x:f>IFERROR(I2540/H2540,"")</x:f>
        <x:v>4.514285714285714</x:v>
      </x:c>
      <x:c r="L2540" s="66" t="str">
        <x:f>IF(K2540="","","1 : "&amp;TEXT(K2540,"0.0"))</x:f>
        <x:v>1 : 4.5</x:v>
      </x:c>
      <x:c r="M2540" s="66" t="str">
        <x:f>IF(J2540="","Baru/Tanpa Data",IF(J2540&lt;='Catatan &amp; Sumber'!$B$14,"Sangat Ketat",IF(J2540&lt;='Catatan &amp; Sumber'!$B$15,"Ketat",IF(J2540&lt;='Catatan &amp; Sumber'!$B$16,"Sedang","Relatif Longgar"))))</x:f>
        <x:v>Relatif Longgar</x:v>
      </x:c>
      <x:c r="N2540" s="66" t="str">
        <x:v>Tidak Ada</x:v>
      </x:c>
      <x:c r="O2540" s="66" t="str">
        <x:v>Jawa Timur</x:v>
      </x:c>
      <x:c r="P2540" s="66" t="str">
        <x:v>Kabupaten Jember</x:v>
      </x:c>
      <x:c r="Q2540" s="66" t="str">
        <x:v>https://snpmb.id/snbp/daya-tampung-snbp</x:v>
      </x:c>
      <x:c r="R2540" s="66" t="str">
        <x:v>https://sidatagrun-public-1076756628210.asia-southeast2.run.app/ptn_sn.php?ptn=371</x:v>
      </x:c>
    </x:row>
    <x:row r="2541">
      <x:c r="A2541" s="87" t="n">
        <x:v>1141</x:v>
      </x:c>
      <x:c r="B2541" s="66" t="n">
        <x:v>371</x:v>
      </x:c>
      <x:c r="C2541" s="66" t="str">
        <x:v>UNIVERSITAS JEMBER</x:v>
      </x:c>
      <x:c r="D2541" s="66" t="str">
        <x:v>PTN Akademik</x:v>
      </x:c>
      <x:c r="E2541" s="66" t="str">
        <x:v>13711038</x:v>
      </x:c>
      <x:c r="F2541" s="66" t="str">
        <x:v>GIZI KAMPUS BONDOWOSO</x:v>
      </x:c>
      <x:c r="G2541" s="66" t="str">
        <x:v>Sarjana</x:v>
      </x:c>
      <x:c r="H2541" s="87" t="n">
        <x:v>36</x:v>
      </x:c>
      <x:c r="I2541" s="87" t="n">
        <x:v>417</x:v>
      </x:c>
      <x:c r="J2541" s="68" t="n">
        <x:f>IFERROR(H2541/I2541,"")</x:f>
        <x:v>0.08633093525179857</x:v>
      </x:c>
      <x:c r="K2541" s="69" t="n">
        <x:f>IFERROR(I2541/H2541,"")</x:f>
        <x:v>11.583333333333334</x:v>
      </x:c>
      <x:c r="L2541" s="66" t="str">
        <x:f>IF(K2541="","","1 : "&amp;TEXT(K2541,"0.0"))</x:f>
        <x:v>1 : 11.6</x:v>
      </x:c>
      <x:c r="M2541" s="66" t="str">
        <x:f>IF(J2541="","Baru/Tanpa Data",IF(J2541&lt;='Catatan &amp; Sumber'!$B$14,"Sangat Ketat",IF(J2541&lt;='Catatan &amp; Sumber'!$B$15,"Ketat",IF(J2541&lt;='Catatan &amp; Sumber'!$B$16,"Sedang","Relatif Longgar"))))</x:f>
        <x:v>Sedang</x:v>
      </x:c>
      <x:c r="N2541" s="66" t="str">
        <x:v>Tidak Ada</x:v>
      </x:c>
      <x:c r="O2541" s="66" t="str">
        <x:v>Jawa Timur</x:v>
      </x:c>
      <x:c r="P2541" s="66" t="str">
        <x:v>Kabupaten Jember</x:v>
      </x:c>
      <x:c r="Q2541" s="66" t="str">
        <x:v>https://snpmb.id/snbp/daya-tampung-snbp</x:v>
      </x:c>
      <x:c r="R2541" s="66" t="str">
        <x:v>https://sidatagrun-public-1076756628210.asia-southeast2.run.app/ptn_sn.php?ptn=371</x:v>
      </x:c>
    </x:row>
    <x:row r="2542">
      <x:c r="A2542" s="87" t="n">
        <x:v>637</x:v>
      </x:c>
      <x:c r="B2542" s="66" t="n">
        <x:v>371</x:v>
      </x:c>
      <x:c r="C2542" s="66" t="str">
        <x:v>UNIVERSITAS JEMBER</x:v>
      </x:c>
      <x:c r="D2542" s="66" t="str">
        <x:v>PTN Akademik</x:v>
      </x:c>
      <x:c r="E2542" s="66" t="str">
        <x:v>13711039</x:v>
      </x:c>
      <x:c r="F2542" s="66" t="str">
        <x:v>TEKNIK PERTAMBANGAN</x:v>
      </x:c>
      <x:c r="G2542" s="66" t="str">
        <x:v>Sarjana</x:v>
      </x:c>
      <x:c r="H2542" s="87" t="n">
        <x:v>24</x:v>
      </x:c>
      <x:c r="I2542" s="87" t="n">
        <x:v>407</x:v>
      </x:c>
      <x:c r="J2542" s="68" t="n">
        <x:f>IFERROR(H2542/I2542,"")</x:f>
        <x:v>0.05896805896805897</x:v>
      </x:c>
      <x:c r="K2542" s="69" t="n">
        <x:f>IFERROR(I2542/H2542,"")</x:f>
        <x:v>16.958333333333332</x:v>
      </x:c>
      <x:c r="L2542" s="66" t="str">
        <x:f>IF(K2542="","","1 : "&amp;TEXT(K2542,"0.0"))</x:f>
        <x:v>1 : 17.0</x:v>
      </x:c>
      <x:c r="M2542" s="66" t="str">
        <x:f>IF(J2542="","Baru/Tanpa Data",IF(J2542&lt;='Catatan &amp; Sumber'!$B$14,"Sangat Ketat",IF(J2542&lt;='Catatan &amp; Sumber'!$B$15,"Ketat",IF(J2542&lt;='Catatan &amp; Sumber'!$B$16,"Sedang","Relatif Longgar"))))</x:f>
        <x:v>Sedang</x:v>
      </x:c>
      <x:c r="N2542" s="66" t="str">
        <x:v>Tidak Ada</x:v>
      </x:c>
      <x:c r="O2542" s="66" t="str">
        <x:v>Jawa Timur</x:v>
      </x:c>
      <x:c r="P2542" s="66" t="str">
        <x:v>Kabupaten Jember</x:v>
      </x:c>
      <x:c r="Q2542" s="66" t="str">
        <x:v>https://snpmb.id/snbp/daya-tampung-snbp</x:v>
      </x:c>
      <x:c r="R2542" s="66" t="str">
        <x:v>https://sidatagrun-public-1076756628210.asia-southeast2.run.app/ptn_sn.php?ptn=371</x:v>
      </x:c>
    </x:row>
    <x:row r="2543">
      <x:c r="A2543" s="87" t="n">
        <x:v>1462</x:v>
      </x:c>
      <x:c r="B2543" s="66" t="n">
        <x:v>371</x:v>
      </x:c>
      <x:c r="C2543" s="66" t="str">
        <x:v>UNIVERSITAS JEMBER</x:v>
      </x:c>
      <x:c r="D2543" s="66" t="str">
        <x:v>PTN Akademik</x:v>
      </x:c>
      <x:c r="E2543" s="66" t="str">
        <x:v>13711040</x:v>
      </x:c>
      <x:c r="F2543" s="66" t="str">
        <x:v>TEKNIK PERMINYAKAN</x:v>
      </x:c>
      <x:c r="G2543" s="66" t="str">
        <x:v>Sarjana</x:v>
      </x:c>
      <x:c r="H2543" s="87" t="n">
        <x:v>24</x:v>
      </x:c>
      <x:c r="I2543" s="87" t="n">
        <x:v>225</x:v>
      </x:c>
      <x:c r="J2543" s="68" t="n">
        <x:f>IFERROR(H2543/I2543,"")</x:f>
        <x:v>0.10666666666666667</x:v>
      </x:c>
      <x:c r="K2543" s="69" t="n">
        <x:f>IFERROR(I2543/H2543,"")</x:f>
        <x:v>9.375</x:v>
      </x:c>
      <x:c r="L2543" s="66" t="str">
        <x:f>IF(K2543="","","1 : "&amp;TEXT(K2543,"0.0"))</x:f>
        <x:v>1 : 9.4</x:v>
      </x:c>
      <x:c r="M2543" s="66" t="str">
        <x:f>IF(J2543="","Baru/Tanpa Data",IF(J2543&lt;='Catatan &amp; Sumber'!$B$14,"Sangat Ketat",IF(J2543&lt;='Catatan &amp; Sumber'!$B$15,"Ketat",IF(J2543&lt;='Catatan &amp; Sumber'!$B$16,"Sedang","Relatif Longgar"))))</x:f>
        <x:v>Relatif Longgar</x:v>
      </x:c>
      <x:c r="N2543" s="66" t="str">
        <x:v>Tidak Ada</x:v>
      </x:c>
      <x:c r="O2543" s="66" t="str">
        <x:v>Jawa Timur</x:v>
      </x:c>
      <x:c r="P2543" s="66" t="str">
        <x:v>Kabupaten Jember</x:v>
      </x:c>
      <x:c r="Q2543" s="66" t="str">
        <x:v>https://snpmb.id/snbp/daya-tampung-snbp</x:v>
      </x:c>
      <x:c r="R2543" s="66" t="str">
        <x:v>https://sidatagrun-public-1076756628210.asia-southeast2.run.app/ptn_sn.php?ptn=371</x:v>
      </x:c>
    </x:row>
    <x:row r="2544">
      <x:c r="A2544" s="87" t="n">
        <x:v>2309</x:v>
      </x:c>
      <x:c r="B2544" s="66" t="n">
        <x:v>371</x:v>
      </x:c>
      <x:c r="C2544" s="66" t="str">
        <x:v>UNIVERSITAS JEMBER</x:v>
      </x:c>
      <x:c r="D2544" s="66" t="str">
        <x:v>PTN Akademik</x:v>
      </x:c>
      <x:c r="E2544" s="66" t="str">
        <x:v>13711041</x:v>
      </x:c>
      <x:c r="F2544" s="66" t="str">
        <x:v>ILMU HUKUM</x:v>
      </x:c>
      <x:c r="G2544" s="66" t="str">
        <x:v>Sarjana</x:v>
      </x:c>
      <x:c r="H2544" s="87" t="n">
        <x:v>135</x:v>
      </x:c>
      <x:c r="I2544" s="87" t="n">
        <x:v>729</x:v>
      </x:c>
      <x:c r="J2544" s="68" t="n">
        <x:f>IFERROR(H2544/I2544,"")</x:f>
        <x:v>0.18518518518518517</x:v>
      </x:c>
      <x:c r="K2544" s="69" t="n">
        <x:f>IFERROR(I2544/H2544,"")</x:f>
        <x:v>5.4</x:v>
      </x:c>
      <x:c r="L2544" s="66" t="str">
        <x:f>IF(K2544="","","1 : "&amp;TEXT(K2544,"0.0"))</x:f>
        <x:v>1 : 5.4</x:v>
      </x:c>
      <x:c r="M2544" s="66" t="str">
        <x:f>IF(J2544="","Baru/Tanpa Data",IF(J2544&lt;='Catatan &amp; Sumber'!$B$14,"Sangat Ketat",IF(J2544&lt;='Catatan &amp; Sumber'!$B$15,"Ketat",IF(J2544&lt;='Catatan &amp; Sumber'!$B$16,"Sedang","Relatif Longgar"))))</x:f>
        <x:v>Relatif Longgar</x:v>
      </x:c>
      <x:c r="N2544" s="66" t="str">
        <x:v>Tidak Ada</x:v>
      </x:c>
      <x:c r="O2544" s="66" t="str">
        <x:v>Jawa Timur</x:v>
      </x:c>
      <x:c r="P2544" s="66" t="str">
        <x:v>Kabupaten Jember</x:v>
      </x:c>
      <x:c r="Q2544" s="66" t="str">
        <x:v>https://snpmb.id/snbp/daya-tampung-snbp</x:v>
      </x:c>
      <x:c r="R2544" s="66" t="str">
        <x:v>https://sidatagrun-public-1076756628210.asia-southeast2.run.app/ptn_sn.php?ptn=371</x:v>
      </x:c>
    </x:row>
    <x:row r="2545">
      <x:c r="A2545" s="87" t="n">
        <x:v>2380</x:v>
      </x:c>
      <x:c r="B2545" s="66" t="n">
        <x:v>371</x:v>
      </x:c>
      <x:c r="C2545" s="66" t="str">
        <x:v>UNIVERSITAS JEMBER</x:v>
      </x:c>
      <x:c r="D2545" s="66" t="str">
        <x:v>PTN Akademik</x:v>
      </x:c>
      <x:c r="E2545" s="66" t="str">
        <x:v>13711042</x:v>
      </x:c>
      <x:c r="F2545" s="66" t="str">
        <x:v>HUBUNGAN INTERNASIONAL</x:v>
      </x:c>
      <x:c r="G2545" s="66" t="str">
        <x:v>Sarjana</x:v>
      </x:c>
      <x:c r="H2545" s="87" t="n">
        <x:v>50</x:v>
      </x:c>
      <x:c r="I2545" s="87" t="n">
        <x:v>259</x:v>
      </x:c>
      <x:c r="J2545" s="68" t="n">
        <x:f>IFERROR(H2545/I2545,"")</x:f>
        <x:v>0.19305019305019305</x:v>
      </x:c>
      <x:c r="K2545" s="69" t="n">
        <x:f>IFERROR(I2545/H2545,"")</x:f>
        <x:v>5.18</x:v>
      </x:c>
      <x:c r="L2545" s="66" t="str">
        <x:f>IF(K2545="","","1 : "&amp;TEXT(K2545,"0.0"))</x:f>
        <x:v>1 : 5.2</x:v>
      </x:c>
      <x:c r="M2545" s="66" t="str">
        <x:f>IF(J2545="","Baru/Tanpa Data",IF(J2545&lt;='Catatan &amp; Sumber'!$B$14,"Sangat Ketat",IF(J2545&lt;='Catatan &amp; Sumber'!$B$15,"Ketat",IF(J2545&lt;='Catatan &amp; Sumber'!$B$16,"Sedang","Relatif Longgar"))))</x:f>
        <x:v>Relatif Longgar</x:v>
      </x:c>
      <x:c r="N2545" s="66" t="str">
        <x:v>Tidak Ada</x:v>
      </x:c>
      <x:c r="O2545" s="66" t="str">
        <x:v>Jawa Timur</x:v>
      </x:c>
      <x:c r="P2545" s="66" t="str">
        <x:v>Kabupaten Jember</x:v>
      </x:c>
      <x:c r="Q2545" s="66" t="str">
        <x:v>https://snpmb.id/snbp/daya-tampung-snbp</x:v>
      </x:c>
      <x:c r="R2545" s="66" t="str">
        <x:v>https://sidatagrun-public-1076756628210.asia-southeast2.run.app/ptn_sn.php?ptn=371</x:v>
      </x:c>
    </x:row>
    <x:row r="2546">
      <x:c r="A2546" s="87" t="n">
        <x:v>1637</x:v>
      </x:c>
      <x:c r="B2546" s="66" t="n">
        <x:v>371</x:v>
      </x:c>
      <x:c r="C2546" s="66" t="str">
        <x:v>UNIVERSITAS JEMBER</x:v>
      </x:c>
      <x:c r="D2546" s="66" t="str">
        <x:v>PTN Akademik</x:v>
      </x:c>
      <x:c r="E2546" s="66" t="str">
        <x:v>13711043</x:v>
      </x:c>
      <x:c r="F2546" s="66" t="str">
        <x:v>ILMU ADMINISTRASI NEGARA</x:v>
      </x:c>
      <x:c r="G2546" s="66" t="str">
        <x:v>Sarjana</x:v>
      </x:c>
      <x:c r="H2546" s="87" t="n">
        <x:v>50</x:v>
      </x:c>
      <x:c r="I2546" s="87" t="n">
        <x:v>419</x:v>
      </x:c>
      <x:c r="J2546" s="68" t="n">
        <x:f>IFERROR(H2546/I2546,"")</x:f>
        <x:v>0.11933174224343675</x:v>
      </x:c>
      <x:c r="K2546" s="69" t="n">
        <x:f>IFERROR(I2546/H2546,"")</x:f>
        <x:v>8.38</x:v>
      </x:c>
      <x:c r="L2546" s="66" t="str">
        <x:f>IF(K2546="","","1 : "&amp;TEXT(K2546,"0.0"))</x:f>
        <x:v>1 : 8.4</x:v>
      </x:c>
      <x:c r="M2546" s="66" t="str">
        <x:f>IF(J2546="","Baru/Tanpa Data",IF(J2546&lt;='Catatan &amp; Sumber'!$B$14,"Sangat Ketat",IF(J2546&lt;='Catatan &amp; Sumber'!$B$15,"Ketat",IF(J2546&lt;='Catatan &amp; Sumber'!$B$16,"Sedang","Relatif Longgar"))))</x:f>
        <x:v>Relatif Longgar</x:v>
      </x:c>
      <x:c r="N2546" s="66" t="str">
        <x:v>Tidak Ada</x:v>
      </x:c>
      <x:c r="O2546" s="66" t="str">
        <x:v>Jawa Timur</x:v>
      </x:c>
      <x:c r="P2546" s="66" t="str">
        <x:v>Kabupaten Jember</x:v>
      </x:c>
      <x:c r="Q2546" s="66" t="str">
        <x:v>https://snpmb.id/snbp/daya-tampung-snbp</x:v>
      </x:c>
      <x:c r="R2546" s="66" t="str">
        <x:v>https://sidatagrun-public-1076756628210.asia-southeast2.run.app/ptn_sn.php?ptn=371</x:v>
      </x:c>
    </x:row>
    <x:row r="2547">
      <x:c r="A2547" s="87" t="n">
        <x:v>955</x:v>
      </x:c>
      <x:c r="B2547" s="66" t="n">
        <x:v>371</x:v>
      </x:c>
      <x:c r="C2547" s="66" t="str">
        <x:v>UNIVERSITAS JEMBER</x:v>
      </x:c>
      <x:c r="D2547" s="66" t="str">
        <x:v>PTN Akademik</x:v>
      </x:c>
      <x:c r="E2547" s="66" t="str">
        <x:v>13711044</x:v>
      </x:c>
      <x:c r="F2547" s="66" t="str">
        <x:v>ILMU ADMINISTRASI BISNIS</x:v>
      </x:c>
      <x:c r="G2547" s="66" t="str">
        <x:v>Sarjana</x:v>
      </x:c>
      <x:c r="H2547" s="87" t="n">
        <x:v>50</x:v>
      </x:c>
      <x:c r="I2547" s="87" t="n">
        <x:v>662</x:v>
      </x:c>
      <x:c r="J2547" s="68" t="n">
        <x:f>IFERROR(H2547/I2547,"")</x:f>
        <x:v>0.0755287009063444</x:v>
      </x:c>
      <x:c r="K2547" s="69" t="n">
        <x:f>IFERROR(I2547/H2547,"")</x:f>
        <x:v>13.24</x:v>
      </x:c>
      <x:c r="L2547" s="66" t="str">
        <x:f>IF(K2547="","","1 : "&amp;TEXT(K2547,"0.0"))</x:f>
        <x:v>1 : 13.2</x:v>
      </x:c>
      <x:c r="M2547" s="66" t="str">
        <x:f>IF(J2547="","Baru/Tanpa Data",IF(J2547&lt;='Catatan &amp; Sumber'!$B$14,"Sangat Ketat",IF(J2547&lt;='Catatan &amp; Sumber'!$B$15,"Ketat",IF(J2547&lt;='Catatan &amp; Sumber'!$B$16,"Sedang","Relatif Longgar"))))</x:f>
        <x:v>Sedang</x:v>
      </x:c>
      <x:c r="N2547" s="66" t="str">
        <x:v>Tidak Ada</x:v>
      </x:c>
      <x:c r="O2547" s="66" t="str">
        <x:v>Jawa Timur</x:v>
      </x:c>
      <x:c r="P2547" s="66" t="str">
        <x:v>Kabupaten Jember</x:v>
      </x:c>
      <x:c r="Q2547" s="66" t="str">
        <x:v>https://snpmb.id/snbp/daya-tampung-snbp</x:v>
      </x:c>
      <x:c r="R2547" s="66" t="str">
        <x:v>https://sidatagrun-public-1076756628210.asia-southeast2.run.app/ptn_sn.php?ptn=371</x:v>
      </x:c>
    </x:row>
    <x:row r="2548">
      <x:c r="A2548" s="87" t="n">
        <x:v>2668</x:v>
      </x:c>
      <x:c r="B2548" s="66" t="n">
        <x:v>371</x:v>
      </x:c>
      <x:c r="C2548" s="66" t="str">
        <x:v>UNIVERSITAS JEMBER</x:v>
      </x:c>
      <x:c r="D2548" s="66" t="str">
        <x:v>PTN Akademik</x:v>
      </x:c>
      <x:c r="E2548" s="66" t="str">
        <x:v>13711045</x:v>
      </x:c>
      <x:c r="F2548" s="66" t="str">
        <x:v>ILMU KESEJAHTERAAN SOSIAL</x:v>
      </x:c>
      <x:c r="G2548" s="66" t="str">
        <x:v>Sarjana</x:v>
      </x:c>
      <x:c r="H2548" s="87" t="n">
        <x:v>55</x:v>
      </x:c>
      <x:c r="I2548" s="87" t="n">
        <x:v>231</x:v>
      </x:c>
      <x:c r="J2548" s="68" t="n">
        <x:f>IFERROR(H2548/I2548,"")</x:f>
        <x:v>0.23809523809523808</x:v>
      </x:c>
      <x:c r="K2548" s="69" t="n">
        <x:f>IFERROR(I2548/H2548,"")</x:f>
        <x:v>4.2</x:v>
      </x:c>
      <x:c r="L2548" s="66" t="str">
        <x:f>IF(K2548="","","1 : "&amp;TEXT(K2548,"0.0"))</x:f>
        <x:v>1 : 4.2</x:v>
      </x:c>
      <x:c r="M2548" s="66" t="str">
        <x:f>IF(J2548="","Baru/Tanpa Data",IF(J2548&lt;='Catatan &amp; Sumber'!$B$14,"Sangat Ketat",IF(J2548&lt;='Catatan &amp; Sumber'!$B$15,"Ketat",IF(J2548&lt;='Catatan &amp; Sumber'!$B$16,"Sedang","Relatif Longgar"))))</x:f>
        <x:v>Relatif Longgar</x:v>
      </x:c>
      <x:c r="N2548" s="66" t="str">
        <x:v>Tidak Ada</x:v>
      </x:c>
      <x:c r="O2548" s="66" t="str">
        <x:v>Jawa Timur</x:v>
      </x:c>
      <x:c r="P2548" s="66" t="str">
        <x:v>Kabupaten Jember</x:v>
      </x:c>
      <x:c r="Q2548" s="66" t="str">
        <x:v>https://snpmb.id/snbp/daya-tampung-snbp</x:v>
      </x:c>
      <x:c r="R2548" s="66" t="str">
        <x:v>https://sidatagrun-public-1076756628210.asia-southeast2.run.app/ptn_sn.php?ptn=371</x:v>
      </x:c>
    </x:row>
    <x:row r="2549">
      <x:c r="A2549" s="87" t="n">
        <x:v>2526</x:v>
      </x:c>
      <x:c r="B2549" s="66" t="n">
        <x:v>371</x:v>
      </x:c>
      <x:c r="C2549" s="66" t="str">
        <x:v>UNIVERSITAS JEMBER</x:v>
      </x:c>
      <x:c r="D2549" s="66" t="str">
        <x:v>PTN Akademik</x:v>
      </x:c>
      <x:c r="E2549" s="66" t="str">
        <x:v>13711046</x:v>
      </x:c>
      <x:c r="F2549" s="66" t="str">
        <x:v>SOSIOLOGI</x:v>
      </x:c>
      <x:c r="G2549" s="66" t="str">
        <x:v>Sarjana</x:v>
      </x:c>
      <x:c r="H2549" s="87" t="n">
        <x:v>55</x:v>
      </x:c>
      <x:c r="I2549" s="87" t="n">
        <x:v>255</x:v>
      </x:c>
      <x:c r="J2549" s="68" t="n">
        <x:f>IFERROR(H2549/I2549,"")</x:f>
        <x:v>0.21568627450980393</x:v>
      </x:c>
      <x:c r="K2549" s="69" t="n">
        <x:f>IFERROR(I2549/H2549,"")</x:f>
        <x:v>4.636363636363637</x:v>
      </x:c>
      <x:c r="L2549" s="66" t="str">
        <x:f>IF(K2549="","","1 : "&amp;TEXT(K2549,"0.0"))</x:f>
        <x:v>1 : 4.6</x:v>
      </x:c>
      <x:c r="M2549" s="66" t="str">
        <x:f>IF(J2549="","Baru/Tanpa Data",IF(J2549&lt;='Catatan &amp; Sumber'!$B$14,"Sangat Ketat",IF(J2549&lt;='Catatan &amp; Sumber'!$B$15,"Ketat",IF(J2549&lt;='Catatan &amp; Sumber'!$B$16,"Sedang","Relatif Longgar"))))</x:f>
        <x:v>Relatif Longgar</x:v>
      </x:c>
      <x:c r="N2549" s="66" t="str">
        <x:v>Tidak Ada</x:v>
      </x:c>
      <x:c r="O2549" s="66" t="str">
        <x:v>Jawa Timur</x:v>
      </x:c>
      <x:c r="P2549" s="66" t="str">
        <x:v>Kabupaten Jember</x:v>
      </x:c>
      <x:c r="Q2549" s="66" t="str">
        <x:v>https://snpmb.id/snbp/daya-tampung-snbp</x:v>
      </x:c>
      <x:c r="R2549" s="66" t="str">
        <x:v>https://sidatagrun-public-1076756628210.asia-southeast2.run.app/ptn_sn.php?ptn=371</x:v>
      </x:c>
    </x:row>
    <x:row r="2550">
      <x:c r="A2550" s="87" t="n">
        <x:v>2316</x:v>
      </x:c>
      <x:c r="B2550" s="66" t="n">
        <x:v>371</x:v>
      </x:c>
      <x:c r="C2550" s="66" t="str">
        <x:v>UNIVERSITAS JEMBER</x:v>
      </x:c>
      <x:c r="D2550" s="66" t="str">
        <x:v>PTN Akademik</x:v>
      </x:c>
      <x:c r="E2550" s="66" t="str">
        <x:v>13711047</x:v>
      </x:c>
      <x:c r="F2550" s="66" t="str">
        <x:v>EKONOMI PEMBANGUNAN</x:v>
      </x:c>
      <x:c r="G2550" s="66" t="str">
        <x:v>Sarjana</x:v>
      </x:c>
      <x:c r="H2550" s="87" t="n">
        <x:v>70</x:v>
      </x:c>
      <x:c r="I2550" s="87" t="n">
        <x:v>377</x:v>
      </x:c>
      <x:c r="J2550" s="68" t="n">
        <x:f>IFERROR(H2550/I2550,"")</x:f>
        <x:v>0.1856763925729443</x:v>
      </x:c>
      <x:c r="K2550" s="69" t="n">
        <x:f>IFERROR(I2550/H2550,"")</x:f>
        <x:v>5.385714285714286</x:v>
      </x:c>
      <x:c r="L2550" s="66" t="str">
        <x:f>IF(K2550="","","1 : "&amp;TEXT(K2550,"0.0"))</x:f>
        <x:v>1 : 5.4</x:v>
      </x:c>
      <x:c r="M2550" s="66" t="str">
        <x:f>IF(J2550="","Baru/Tanpa Data",IF(J2550&lt;='Catatan &amp; Sumber'!$B$14,"Sangat Ketat",IF(J2550&lt;='Catatan &amp; Sumber'!$B$15,"Ketat",IF(J2550&lt;='Catatan &amp; Sumber'!$B$16,"Sedang","Relatif Longgar"))))</x:f>
        <x:v>Relatif Longgar</x:v>
      </x:c>
      <x:c r="N2550" s="66" t="str">
        <x:v>Tidak Ada</x:v>
      </x:c>
      <x:c r="O2550" s="66" t="str">
        <x:v>Jawa Timur</x:v>
      </x:c>
      <x:c r="P2550" s="66" t="str">
        <x:v>Kabupaten Jember</x:v>
      </x:c>
      <x:c r="Q2550" s="66" t="str">
        <x:v>https://snpmb.id/snbp/daya-tampung-snbp</x:v>
      </x:c>
      <x:c r="R2550" s="66" t="str">
        <x:v>https://sidatagrun-public-1076756628210.asia-southeast2.run.app/ptn_sn.php?ptn=371</x:v>
      </x:c>
    </x:row>
    <x:row r="2551">
      <x:c r="A2551" s="87" t="n">
        <x:v>1158</x:v>
      </x:c>
      <x:c r="B2551" s="66" t="n">
        <x:v>371</x:v>
      </x:c>
      <x:c r="C2551" s="66" t="str">
        <x:v>UNIVERSITAS JEMBER</x:v>
      </x:c>
      <x:c r="D2551" s="66" t="str">
        <x:v>PTN Akademik</x:v>
      </x:c>
      <x:c r="E2551" s="66" t="str">
        <x:v>13711048</x:v>
      </x:c>
      <x:c r="F2551" s="66" t="str">
        <x:v>MANAJEMEN</x:v>
      </x:c>
      <x:c r="G2551" s="66" t="str">
        <x:v>Sarjana</x:v>
      </x:c>
      <x:c r="H2551" s="87" t="n">
        <x:v>85</x:v>
      </x:c>
      <x:c r="I2551" s="87" t="n">
        <x:v>972</x:v>
      </x:c>
      <x:c r="J2551" s="68" t="n">
        <x:f>IFERROR(H2551/I2551,"")</x:f>
        <x:v>0.0874485596707819</x:v>
      </x:c>
      <x:c r="K2551" s="69" t="n">
        <x:f>IFERROR(I2551/H2551,"")</x:f>
        <x:v>11.435294117647059</x:v>
      </x:c>
      <x:c r="L2551" s="66" t="str">
        <x:f>IF(K2551="","","1 : "&amp;TEXT(K2551,"0.0"))</x:f>
        <x:v>1 : 11.4</x:v>
      </x:c>
      <x:c r="M2551" s="66" t="str">
        <x:f>IF(J2551="","Baru/Tanpa Data",IF(J2551&lt;='Catatan &amp; Sumber'!$B$14,"Sangat Ketat",IF(J2551&lt;='Catatan &amp; Sumber'!$B$15,"Ketat",IF(J2551&lt;='Catatan &amp; Sumber'!$B$16,"Sedang","Relatif Longgar"))))</x:f>
        <x:v>Sedang</x:v>
      </x:c>
      <x:c r="N2551" s="66" t="str">
        <x:v>Tidak Ada</x:v>
      </x:c>
      <x:c r="O2551" s="66" t="str">
        <x:v>Jawa Timur</x:v>
      </x:c>
      <x:c r="P2551" s="66" t="str">
        <x:v>Kabupaten Jember</x:v>
      </x:c>
      <x:c r="Q2551" s="66" t="str">
        <x:v>https://snpmb.id/snbp/daya-tampung-snbp</x:v>
      </x:c>
      <x:c r="R2551" s="66" t="str">
        <x:v>https://sidatagrun-public-1076756628210.asia-southeast2.run.app/ptn_sn.php?ptn=371</x:v>
      </x:c>
    </x:row>
    <x:row r="2552">
      <x:c r="A2552" s="87" t="n">
        <x:v>1063</x:v>
      </x:c>
      <x:c r="B2552" s="66" t="n">
        <x:v>371</x:v>
      </x:c>
      <x:c r="C2552" s="66" t="str">
        <x:v>UNIVERSITAS JEMBER</x:v>
      </x:c>
      <x:c r="D2552" s="66" t="str">
        <x:v>PTN Akademik</x:v>
      </x:c>
      <x:c r="E2552" s="66" t="str">
        <x:v>13711049</x:v>
      </x:c>
      <x:c r="F2552" s="66" t="str">
        <x:v>AKUNTANSI</x:v>
      </x:c>
      <x:c r="G2552" s="66" t="str">
        <x:v>Sarjana</x:v>
      </x:c>
      <x:c r="H2552" s="87" t="n">
        <x:v>61</x:v>
      </x:c>
      <x:c r="I2552" s="87" t="n">
        <x:v>747</x:v>
      </x:c>
      <x:c r="J2552" s="68" t="n">
        <x:f>IFERROR(H2552/I2552,"")</x:f>
        <x:v>0.08165997322623829</x:v>
      </x:c>
      <x:c r="K2552" s="69" t="n">
        <x:f>IFERROR(I2552/H2552,"")</x:f>
        <x:v>12.245901639344263</x:v>
      </x:c>
      <x:c r="L2552" s="66" t="str">
        <x:f>IF(K2552="","","1 : "&amp;TEXT(K2552,"0.0"))</x:f>
        <x:v>1 : 12.2</x:v>
      </x:c>
      <x:c r="M2552" s="66" t="str">
        <x:f>IF(J2552="","Baru/Tanpa Data",IF(J2552&lt;='Catatan &amp; Sumber'!$B$14,"Sangat Ketat",IF(J2552&lt;='Catatan &amp; Sumber'!$B$15,"Ketat",IF(J2552&lt;='Catatan &amp; Sumber'!$B$16,"Sedang","Relatif Longgar"))))</x:f>
        <x:v>Sedang</x:v>
      </x:c>
      <x:c r="N2552" s="66" t="str">
        <x:v>Tidak Ada</x:v>
      </x:c>
      <x:c r="O2552" s="66" t="str">
        <x:v>Jawa Timur</x:v>
      </x:c>
      <x:c r="P2552" s="66" t="str">
        <x:v>Kabupaten Jember</x:v>
      </x:c>
      <x:c r="Q2552" s="66" t="str">
        <x:v>https://snpmb.id/snbp/daya-tampung-snbp</x:v>
      </x:c>
      <x:c r="R2552" s="66" t="str">
        <x:v>https://sidatagrun-public-1076756628210.asia-southeast2.run.app/ptn_sn.php?ptn=371</x:v>
      </x:c>
    </x:row>
    <x:row r="2553">
      <x:c r="A2553" s="87" t="n">
        <x:v>3822</x:v>
      </x:c>
      <x:c r="B2553" s="66" t="n">
        <x:v>371</x:v>
      </x:c>
      <x:c r="C2553" s="66" t="str">
        <x:v>UNIVERSITAS JEMBER</x:v>
      </x:c>
      <x:c r="D2553" s="66" t="str">
        <x:v>PTN Akademik</x:v>
      </x:c>
      <x:c r="E2553" s="66" t="str">
        <x:v>13711050</x:v>
      </x:c>
      <x:c r="F2553" s="66" t="str">
        <x:v>PENDIDIKAN LUAR SEKOLAH</x:v>
      </x:c>
      <x:c r="G2553" s="66" t="str">
        <x:v>Sarjana</x:v>
      </x:c>
      <x:c r="H2553" s="87" t="n">
        <x:v>45</x:v>
      </x:c>
      <x:c r="I2553" s="87" t="n">
        <x:v>77</x:v>
      </x:c>
      <x:c r="J2553" s="68" t="n">
        <x:f>IFERROR(H2553/I2553,"")</x:f>
        <x:v>0.5844155844155844</x:v>
      </x:c>
      <x:c r="K2553" s="69" t="n">
        <x:f>IFERROR(I2553/H2553,"")</x:f>
        <x:v>1.711111111111111</x:v>
      </x:c>
      <x:c r="L2553" s="66" t="str">
        <x:f>IF(K2553="","","1 : "&amp;TEXT(K2553,"0.0"))</x:f>
        <x:v>1 : 1.7</x:v>
      </x:c>
      <x:c r="M2553" s="66" t="str">
        <x:f>IF(J2553="","Baru/Tanpa Data",IF(J2553&lt;='Catatan &amp; Sumber'!$B$14,"Sangat Ketat",IF(J2553&lt;='Catatan &amp; Sumber'!$B$15,"Ketat",IF(J2553&lt;='Catatan &amp; Sumber'!$B$16,"Sedang","Relatif Longgar"))))</x:f>
        <x:v>Relatif Longgar</x:v>
      </x:c>
      <x:c r="N2553" s="66" t="str">
        <x:v>Tidak Ada</x:v>
      </x:c>
      <x:c r="O2553" s="66" t="str">
        <x:v>Jawa Timur</x:v>
      </x:c>
      <x:c r="P2553" s="66" t="str">
        <x:v>Kabupaten Jember</x:v>
      </x:c>
      <x:c r="Q2553" s="66" t="str">
        <x:v>https://snpmb.id/snbp/daya-tampung-snbp</x:v>
      </x:c>
      <x:c r="R2553" s="66" t="str">
        <x:v>https://sidatagrun-public-1076756628210.asia-southeast2.run.app/ptn_sn.php?ptn=371</x:v>
      </x:c>
    </x:row>
    <x:row r="2554">
      <x:c r="A2554" s="87" t="n">
        <x:v>2109</x:v>
      </x:c>
      <x:c r="B2554" s="66" t="n">
        <x:v>371</x:v>
      </x:c>
      <x:c r="C2554" s="66" t="str">
        <x:v>UNIVERSITAS JEMBER</x:v>
      </x:c>
      <x:c r="D2554" s="66" t="str">
        <x:v>PTN Akademik</x:v>
      </x:c>
      <x:c r="E2554" s="66" t="str">
        <x:v>13711051</x:v>
      </x:c>
      <x:c r="F2554" s="66" t="str">
        <x:v>PENDIDIKAN EKONOMI</x:v>
      </x:c>
      <x:c r="G2554" s="66" t="str">
        <x:v>Sarjana</x:v>
      </x:c>
      <x:c r="H2554" s="87" t="n">
        <x:v>50</x:v>
      </x:c>
      <x:c r="I2554" s="87" t="n">
        <x:v>308</x:v>
      </x:c>
      <x:c r="J2554" s="68" t="n">
        <x:f>IFERROR(H2554/I2554,"")</x:f>
        <x:v>0.16233766233766234</x:v>
      </x:c>
      <x:c r="K2554" s="69" t="n">
        <x:f>IFERROR(I2554/H2554,"")</x:f>
        <x:v>6.16</x:v>
      </x:c>
      <x:c r="L2554" s="66" t="str">
        <x:f>IF(K2554="","","1 : "&amp;TEXT(K2554,"0.0"))</x:f>
        <x:v>1 : 6.2</x:v>
      </x:c>
      <x:c r="M2554" s="66" t="str">
        <x:f>IF(J2554="","Baru/Tanpa Data",IF(J2554&lt;='Catatan &amp; Sumber'!$B$14,"Sangat Ketat",IF(J2554&lt;='Catatan &amp; Sumber'!$B$15,"Ketat",IF(J2554&lt;='Catatan &amp; Sumber'!$B$16,"Sedang","Relatif Longgar"))))</x:f>
        <x:v>Relatif Longgar</x:v>
      </x:c>
      <x:c r="N2554" s="66" t="str">
        <x:v>Tidak Ada</x:v>
      </x:c>
      <x:c r="O2554" s="66" t="str">
        <x:v>Jawa Timur</x:v>
      </x:c>
      <x:c r="P2554" s="66" t="str">
        <x:v>Kabupaten Jember</x:v>
      </x:c>
      <x:c r="Q2554" s="66" t="str">
        <x:v>https://snpmb.id/snbp/daya-tampung-snbp</x:v>
      </x:c>
      <x:c r="R2554" s="66" t="str">
        <x:v>https://sidatagrun-public-1076756628210.asia-southeast2.run.app/ptn_sn.php?ptn=371</x:v>
      </x:c>
    </x:row>
    <x:row r="2555">
      <x:c r="A2555" s="87" t="n">
        <x:v>2448</x:v>
      </x:c>
      <x:c r="B2555" s="66" t="n">
        <x:v>371</x:v>
      </x:c>
      <x:c r="C2555" s="66" t="str">
        <x:v>UNIVERSITAS JEMBER</x:v>
      </x:c>
      <x:c r="D2555" s="66" t="str">
        <x:v>PTN Akademik</x:v>
      </x:c>
      <x:c r="E2555" s="66" t="str">
        <x:v>13711052</x:v>
      </x:c>
      <x:c r="F2555" s="66" t="str">
        <x:v>PENDIDIKAN SEJARAH</x:v>
      </x:c>
      <x:c r="G2555" s="66" t="str">
        <x:v>Sarjana</x:v>
      </x:c>
      <x:c r="H2555" s="87" t="n">
        <x:v>40</x:v>
      </x:c>
      <x:c r="I2555" s="87" t="n">
        <x:v>198</x:v>
      </x:c>
      <x:c r="J2555" s="68" t="n">
        <x:f>IFERROR(H2555/I2555,"")</x:f>
        <x:v>0.20202020202020202</x:v>
      </x:c>
      <x:c r="K2555" s="69" t="n">
        <x:f>IFERROR(I2555/H2555,"")</x:f>
        <x:v>4.95</x:v>
      </x:c>
      <x:c r="L2555" s="66" t="str">
        <x:f>IF(K2555="","","1 : "&amp;TEXT(K2555,"0.0"))</x:f>
        <x:v>1 : 5.0</x:v>
      </x:c>
      <x:c r="M2555" s="66" t="str">
        <x:f>IF(J2555="","Baru/Tanpa Data",IF(J2555&lt;='Catatan &amp; Sumber'!$B$14,"Sangat Ketat",IF(J2555&lt;='Catatan &amp; Sumber'!$B$15,"Ketat",IF(J2555&lt;='Catatan &amp; Sumber'!$B$16,"Sedang","Relatif Longgar"))))</x:f>
        <x:v>Relatif Longgar</x:v>
      </x:c>
      <x:c r="N2555" s="66" t="str">
        <x:v>Tidak Ada</x:v>
      </x:c>
      <x:c r="O2555" s="66" t="str">
        <x:v>Jawa Timur</x:v>
      </x:c>
      <x:c r="P2555" s="66" t="str">
        <x:v>Kabupaten Jember</x:v>
      </x:c>
      <x:c r="Q2555" s="66" t="str">
        <x:v>https://snpmb.id/snbp/daya-tampung-snbp</x:v>
      </x:c>
      <x:c r="R2555" s="66" t="str">
        <x:v>https://sidatagrun-public-1076756628210.asia-southeast2.run.app/ptn_sn.php?ptn=371</x:v>
      </x:c>
    </x:row>
    <x:row r="2556">
      <x:c r="A2556" s="87" t="n">
        <x:v>1953</x:v>
      </x:c>
      <x:c r="B2556" s="66" t="n">
        <x:v>371</x:v>
      </x:c>
      <x:c r="C2556" s="66" t="str">
        <x:v>UNIVERSITAS JEMBER</x:v>
      </x:c>
      <x:c r="D2556" s="66" t="str">
        <x:v>PTN Akademik</x:v>
      </x:c>
      <x:c r="E2556" s="66" t="str">
        <x:v>13711053</x:v>
      </x:c>
      <x:c r="F2556" s="66" t="str">
        <x:v>PENDIDIKAN BAHASA INGGRIS</x:v>
      </x:c>
      <x:c r="G2556" s="66" t="str">
        <x:v>Sarjana</x:v>
      </x:c>
      <x:c r="H2556" s="87" t="n">
        <x:v>55</x:v>
      </x:c>
      <x:c r="I2556" s="87" t="n">
        <x:v>375</x:v>
      </x:c>
      <x:c r="J2556" s="68" t="n">
        <x:f>IFERROR(H2556/I2556,"")</x:f>
        <x:v>0.14666666666666667</x:v>
      </x:c>
      <x:c r="K2556" s="69" t="n">
        <x:f>IFERROR(I2556/H2556,"")</x:f>
        <x:v>6.818181818181818</x:v>
      </x:c>
      <x:c r="L2556" s="66" t="str">
        <x:f>IF(K2556="","","1 : "&amp;TEXT(K2556,"0.0"))</x:f>
        <x:v>1 : 6.8</x:v>
      </x:c>
      <x:c r="M2556" s="66" t="str">
        <x:f>IF(J2556="","Baru/Tanpa Data",IF(J2556&lt;='Catatan &amp; Sumber'!$B$14,"Sangat Ketat",IF(J2556&lt;='Catatan &amp; Sumber'!$B$15,"Ketat",IF(J2556&lt;='Catatan &amp; Sumber'!$B$16,"Sedang","Relatif Longgar"))))</x:f>
        <x:v>Relatif Longgar</x:v>
      </x:c>
      <x:c r="N2556" s="66" t="str">
        <x:v>Tidak Ada</x:v>
      </x:c>
      <x:c r="O2556" s="66" t="str">
        <x:v>Jawa Timur</x:v>
      </x:c>
      <x:c r="P2556" s="66" t="str">
        <x:v>Kabupaten Jember</x:v>
      </x:c>
      <x:c r="Q2556" s="66" t="str">
        <x:v>https://snpmb.id/snbp/daya-tampung-snbp</x:v>
      </x:c>
      <x:c r="R2556" s="66" t="str">
        <x:v>https://sidatagrun-public-1076756628210.asia-southeast2.run.app/ptn_sn.php?ptn=371</x:v>
      </x:c>
    </x:row>
    <x:row r="2557">
      <x:c r="A2557" s="87" t="n">
        <x:v>1581</x:v>
      </x:c>
      <x:c r="B2557" s="66" t="n">
        <x:v>371</x:v>
      </x:c>
      <x:c r="C2557" s="66" t="str">
        <x:v>UNIVERSITAS JEMBER</x:v>
      </x:c>
      <x:c r="D2557" s="66" t="str">
        <x:v>PTN Akademik</x:v>
      </x:c>
      <x:c r="E2557" s="66" t="str">
        <x:v>13711054</x:v>
      </x:c>
      <x:c r="F2557" s="66" t="str">
        <x:v>PENDIDIKAN BHS. &amp; SASTRA INDO.</x:v>
      </x:c>
      <x:c r="G2557" s="66" t="str">
        <x:v>Sarjana</x:v>
      </x:c>
      <x:c r="H2557" s="87" t="n">
        <x:v>55</x:v>
      </x:c>
      <x:c r="I2557" s="87" t="n">
        <x:v>480</x:v>
      </x:c>
      <x:c r="J2557" s="68" t="n">
        <x:f>IFERROR(H2557/I2557,"")</x:f>
        <x:v>0.11458333333333333</x:v>
      </x:c>
      <x:c r="K2557" s="69" t="n">
        <x:f>IFERROR(I2557/H2557,"")</x:f>
        <x:v>8.727272727272727</x:v>
      </x:c>
      <x:c r="L2557" s="66" t="str">
        <x:f>IF(K2557="","","1 : "&amp;TEXT(K2557,"0.0"))</x:f>
        <x:v>1 : 8.7</x:v>
      </x:c>
      <x:c r="M2557" s="66" t="str">
        <x:f>IF(J2557="","Baru/Tanpa Data",IF(J2557&lt;='Catatan &amp; Sumber'!$B$14,"Sangat Ketat",IF(J2557&lt;='Catatan &amp; Sumber'!$B$15,"Ketat",IF(J2557&lt;='Catatan &amp; Sumber'!$B$16,"Sedang","Relatif Longgar"))))</x:f>
        <x:v>Relatif Longgar</x:v>
      </x:c>
      <x:c r="N2557" s="66" t="str">
        <x:v>Tidak Ada</x:v>
      </x:c>
      <x:c r="O2557" s="66" t="str">
        <x:v>Jawa Timur</x:v>
      </x:c>
      <x:c r="P2557" s="66" t="str">
        <x:v>Kabupaten Jember</x:v>
      </x:c>
      <x:c r="Q2557" s="66" t="str">
        <x:v>https://snpmb.id/snbp/daya-tampung-snbp</x:v>
      </x:c>
      <x:c r="R2557" s="66" t="str">
        <x:v>https://sidatagrun-public-1076756628210.asia-southeast2.run.app/ptn_sn.php?ptn=371</x:v>
      </x:c>
    </x:row>
    <x:row r="2558">
      <x:c r="A2558" s="87" t="n">
        <x:v>558</x:v>
      </x:c>
      <x:c r="B2558" s="66" t="n">
        <x:v>371</x:v>
      </x:c>
      <x:c r="C2558" s="66" t="str">
        <x:v>UNIVERSITAS JEMBER</x:v>
      </x:c>
      <x:c r="D2558" s="66" t="str">
        <x:v>PTN Akademik</x:v>
      </x:c>
      <x:c r="E2558" s="66" t="str">
        <x:v>13711055</x:v>
      </x:c>
      <x:c r="F2558" s="66" t="str">
        <x:v>PENDIDIKAN GURU SEKOLAH DASAR</x:v>
      </x:c>
      <x:c r="G2558" s="66" t="str">
        <x:v>Sarjana</x:v>
      </x:c>
      <x:c r="H2558" s="87" t="n">
        <x:v>50</x:v>
      </x:c>
      <x:c r="I2558" s="87" t="n">
        <x:v>917</x:v>
      </x:c>
      <x:c r="J2558" s="68" t="n">
        <x:f>IFERROR(H2558/I2558,"")</x:f>
        <x:v>0.05452562704471101</x:v>
      </x:c>
      <x:c r="K2558" s="69" t="n">
        <x:f>IFERROR(I2558/H2558,"")</x:f>
        <x:v>18.34</x:v>
      </x:c>
      <x:c r="L2558" s="66" t="str">
        <x:f>IF(K2558="","","1 : "&amp;TEXT(K2558,"0.0"))</x:f>
        <x:v>1 : 18.3</x:v>
      </x:c>
      <x:c r="M2558" s="66" t="str">
        <x:f>IF(J2558="","Baru/Tanpa Data",IF(J2558&lt;='Catatan &amp; Sumber'!$B$14,"Sangat Ketat",IF(J2558&lt;='Catatan &amp; Sumber'!$B$15,"Ketat",IF(J2558&lt;='Catatan &amp; Sumber'!$B$16,"Sedang","Relatif Longgar"))))</x:f>
        <x:v>Sedang</x:v>
      </x:c>
      <x:c r="N2558" s="66" t="str">
        <x:v>Tidak Ada</x:v>
      </x:c>
      <x:c r="O2558" s="66" t="str">
        <x:v>Jawa Timur</x:v>
      </x:c>
      <x:c r="P2558" s="66" t="str">
        <x:v>Kabupaten Jember</x:v>
      </x:c>
      <x:c r="Q2558" s="66" t="str">
        <x:v>https://snpmb.id/snbp/daya-tampung-snbp</x:v>
      </x:c>
      <x:c r="R2558" s="66" t="str">
        <x:v>https://sidatagrun-public-1076756628210.asia-southeast2.run.app/ptn_sn.php?ptn=371</x:v>
      </x:c>
    </x:row>
    <x:row r="2559">
      <x:c r="A2559" s="87" t="n">
        <x:v>1824</x:v>
      </x:c>
      <x:c r="B2559" s="66" t="n">
        <x:v>371</x:v>
      </x:c>
      <x:c r="C2559" s="66" t="str">
        <x:v>UNIVERSITAS JEMBER</x:v>
      </x:c>
      <x:c r="D2559" s="66" t="str">
        <x:v>PTN Akademik</x:v>
      </x:c>
      <x:c r="E2559" s="66" t="str">
        <x:v>13711056</x:v>
      </x:c>
      <x:c r="F2559" s="66" t="str">
        <x:v>SASTRA INGGRIS</x:v>
      </x:c>
      <x:c r="G2559" s="66" t="str">
        <x:v>Sarjana</x:v>
      </x:c>
      <x:c r="H2559" s="87" t="n">
        <x:v>36</x:v>
      </x:c>
      <x:c r="I2559" s="87" t="n">
        <x:v>268</x:v>
      </x:c>
      <x:c r="J2559" s="68" t="n">
        <x:f>IFERROR(H2559/I2559,"")</x:f>
        <x:v>0.13432835820895522</x:v>
      </x:c>
      <x:c r="K2559" s="69" t="n">
        <x:f>IFERROR(I2559/H2559,"")</x:f>
        <x:v>7.444444444444445</x:v>
      </x:c>
      <x:c r="L2559" s="66" t="str">
        <x:f>IF(K2559="","","1 : "&amp;TEXT(K2559,"0.0"))</x:f>
        <x:v>1 : 7.4</x:v>
      </x:c>
      <x:c r="M2559" s="66" t="str">
        <x:f>IF(J2559="","Baru/Tanpa Data",IF(J2559&lt;='Catatan &amp; Sumber'!$B$14,"Sangat Ketat",IF(J2559&lt;='Catatan &amp; Sumber'!$B$15,"Ketat",IF(J2559&lt;='Catatan &amp; Sumber'!$B$16,"Sedang","Relatif Longgar"))))</x:f>
        <x:v>Relatif Longgar</x:v>
      </x:c>
      <x:c r="N2559" s="66" t="str">
        <x:v>Tidak Ada</x:v>
      </x:c>
      <x:c r="O2559" s="66" t="str">
        <x:v>Jawa Timur</x:v>
      </x:c>
      <x:c r="P2559" s="66" t="str">
        <x:v>Kabupaten Jember</x:v>
      </x:c>
      <x:c r="Q2559" s="66" t="str">
        <x:v>https://snpmb.id/snbp/daya-tampung-snbp</x:v>
      </x:c>
      <x:c r="R2559" s="66" t="str">
        <x:v>https://sidatagrun-public-1076756628210.asia-southeast2.run.app/ptn_sn.php?ptn=371</x:v>
      </x:c>
    </x:row>
    <x:row r="2560">
      <x:c r="A2560" s="87" t="n">
        <x:v>2585</x:v>
      </x:c>
      <x:c r="B2560" s="66" t="n">
        <x:v>371</x:v>
      </x:c>
      <x:c r="C2560" s="66" t="str">
        <x:v>UNIVERSITAS JEMBER</x:v>
      </x:c>
      <x:c r="D2560" s="66" t="str">
        <x:v>PTN Akademik</x:v>
      </x:c>
      <x:c r="E2560" s="66" t="str">
        <x:v>13711057</x:v>
      </x:c>
      <x:c r="F2560" s="66" t="str">
        <x:v>SASTRA INDONESIA</x:v>
      </x:c>
      <x:c r="G2560" s="66" t="str">
        <x:v>Sarjana</x:v>
      </x:c>
      <x:c r="H2560" s="87" t="n">
        <x:v>40</x:v>
      </x:c>
      <x:c r="I2560" s="87" t="n">
        <x:v>177</x:v>
      </x:c>
      <x:c r="J2560" s="68" t="n">
        <x:f>IFERROR(H2560/I2560,"")</x:f>
        <x:v>0.22598870056497175</x:v>
      </x:c>
      <x:c r="K2560" s="69" t="n">
        <x:f>IFERROR(I2560/H2560,"")</x:f>
        <x:v>4.425</x:v>
      </x:c>
      <x:c r="L2560" s="66" t="str">
        <x:f>IF(K2560="","","1 : "&amp;TEXT(K2560,"0.0"))</x:f>
        <x:v>1 : 4.4</x:v>
      </x:c>
      <x:c r="M2560" s="66" t="str">
        <x:f>IF(J2560="","Baru/Tanpa Data",IF(J2560&lt;='Catatan &amp; Sumber'!$B$14,"Sangat Ketat",IF(J2560&lt;='Catatan &amp; Sumber'!$B$15,"Ketat",IF(J2560&lt;='Catatan &amp; Sumber'!$B$16,"Sedang","Relatif Longgar"))))</x:f>
        <x:v>Relatif Longgar</x:v>
      </x:c>
      <x:c r="N2560" s="66" t="str">
        <x:v>Tidak Ada</x:v>
      </x:c>
      <x:c r="O2560" s="66" t="str">
        <x:v>Jawa Timur</x:v>
      </x:c>
      <x:c r="P2560" s="66" t="str">
        <x:v>Kabupaten Jember</x:v>
      </x:c>
      <x:c r="Q2560" s="66" t="str">
        <x:v>https://snpmb.id/snbp/daya-tampung-snbp</x:v>
      </x:c>
      <x:c r="R2560" s="66" t="str">
        <x:v>https://sidatagrun-public-1076756628210.asia-southeast2.run.app/ptn_sn.php?ptn=371</x:v>
      </x:c>
    </x:row>
    <x:row r="2561">
      <x:c r="A2561" s="87" t="n">
        <x:v>3436</x:v>
      </x:c>
      <x:c r="B2561" s="66" t="n">
        <x:v>371</x:v>
      </x:c>
      <x:c r="C2561" s="66" t="str">
        <x:v>UNIVERSITAS JEMBER</x:v>
      </x:c>
      <x:c r="D2561" s="66" t="str">
        <x:v>PTN Akademik</x:v>
      </x:c>
      <x:c r="E2561" s="66" t="str">
        <x:v>13711058</x:v>
      </x:c>
      <x:c r="F2561" s="66" t="str">
        <x:v>ILMU SEJARAH</x:v>
      </x:c>
      <x:c r="G2561" s="66" t="str">
        <x:v>Sarjana</x:v>
      </x:c>
      <x:c r="H2561" s="87" t="n">
        <x:v>45</x:v>
      </x:c>
      <x:c r="I2561" s="87" t="n">
        <x:v>109</x:v>
      </x:c>
      <x:c r="J2561" s="68" t="n">
        <x:f>IFERROR(H2561/I2561,"")</x:f>
        <x:v>0.41284403669724773</x:v>
      </x:c>
      <x:c r="K2561" s="69" t="n">
        <x:f>IFERROR(I2561/H2561,"")</x:f>
        <x:v>2.422222222222222</x:v>
      </x:c>
      <x:c r="L2561" s="66" t="str">
        <x:f>IF(K2561="","","1 : "&amp;TEXT(K2561,"0.0"))</x:f>
        <x:v>1 : 2.4</x:v>
      </x:c>
      <x:c r="M2561" s="66" t="str">
        <x:f>IF(J2561="","Baru/Tanpa Data",IF(J2561&lt;='Catatan &amp; Sumber'!$B$14,"Sangat Ketat",IF(J2561&lt;='Catatan &amp; Sumber'!$B$15,"Ketat",IF(J2561&lt;='Catatan &amp; Sumber'!$B$16,"Sedang","Relatif Longgar"))))</x:f>
        <x:v>Relatif Longgar</x:v>
      </x:c>
      <x:c r="N2561" s="66" t="str">
        <x:v>Tidak Ada</x:v>
      </x:c>
      <x:c r="O2561" s="66" t="str">
        <x:v>Jawa Timur</x:v>
      </x:c>
      <x:c r="P2561" s="66" t="str">
        <x:v>Kabupaten Jember</x:v>
      </x:c>
      <x:c r="Q2561" s="66" t="str">
        <x:v>https://snpmb.id/snbp/daya-tampung-snbp</x:v>
      </x:c>
      <x:c r="R2561" s="66" t="str">
        <x:v>https://sidatagrun-public-1076756628210.asia-southeast2.run.app/ptn_sn.php?ptn=371</x:v>
      </x:c>
    </x:row>
    <x:row r="2562">
      <x:c r="A2562" s="87" t="n">
        <x:v>2074</x:v>
      </x:c>
      <x:c r="B2562" s="66" t="n">
        <x:v>371</x:v>
      </x:c>
      <x:c r="C2562" s="66" t="str">
        <x:v>UNIVERSITAS JEMBER</x:v>
      </x:c>
      <x:c r="D2562" s="66" t="str">
        <x:v>PTN Akademik</x:v>
      </x:c>
      <x:c r="E2562" s="66" t="str">
        <x:v>13711059</x:v>
      </x:c>
      <x:c r="F2562" s="66" t="str">
        <x:v>TELEVISI &amp; FILM</x:v>
      </x:c>
      <x:c r="G2562" s="66" t="str">
        <x:v>Sarjana</x:v>
      </x:c>
      <x:c r="H2562" s="87" t="n">
        <x:v>36</x:v>
      </x:c>
      <x:c r="I2562" s="87" t="n">
        <x:v>226</x:v>
      </x:c>
      <x:c r="J2562" s="68" t="n">
        <x:f>IFERROR(H2562/I2562,"")</x:f>
        <x:v>0.1592920353982301</x:v>
      </x:c>
      <x:c r="K2562" s="69" t="n">
        <x:f>IFERROR(I2562/H2562,"")</x:f>
        <x:v>6.277777777777778</x:v>
      </x:c>
      <x:c r="L2562" s="66" t="str">
        <x:f>IF(K2562="","","1 : "&amp;TEXT(K2562,"0.0"))</x:f>
        <x:v>1 : 6.3</x:v>
      </x:c>
      <x:c r="M2562" s="66" t="str">
        <x:f>IF(J2562="","Baru/Tanpa Data",IF(J2562&lt;='Catatan &amp; Sumber'!$B$14,"Sangat Ketat",IF(J2562&lt;='Catatan &amp; Sumber'!$B$15,"Ketat",IF(J2562&lt;='Catatan &amp; Sumber'!$B$16,"Sedang","Relatif Longgar"))))</x:f>
        <x:v>Relatif Longgar</x:v>
      </x:c>
      <x:c r="N2562" s="66" t="str">
        <x:v>Film dan Televisi</x:v>
      </x:c>
      <x:c r="O2562" s="66" t="str">
        <x:v>Jawa Timur</x:v>
      </x:c>
      <x:c r="P2562" s="66" t="str">
        <x:v>Kabupaten Jember</x:v>
      </x:c>
      <x:c r="Q2562" s="66" t="str">
        <x:v>https://snpmb.id/snbp/daya-tampung-snbp</x:v>
      </x:c>
      <x:c r="R2562" s="66" t="str">
        <x:v>https://sidatagrun-public-1076756628210.asia-southeast2.run.app/ptn_sn.php?ptn=371</x:v>
      </x:c>
    </x:row>
    <x:row r="2563">
      <x:c r="A2563" s="87" t="n">
        <x:v>3316</x:v>
      </x:c>
      <x:c r="B2563" s="66" t="n">
        <x:v>371</x:v>
      </x:c>
      <x:c r="C2563" s="66" t="str">
        <x:v>UNIVERSITAS JEMBER</x:v>
      </x:c>
      <x:c r="D2563" s="66" t="str">
        <x:v>PTN Akademik</x:v>
      </x:c>
      <x:c r="E2563" s="66" t="str">
        <x:v>13711060</x:v>
      </x:c>
      <x:c r="F2563" s="66" t="str">
        <x:v>PG PAUD</x:v>
      </x:c>
      <x:c r="G2563" s="66" t="str">
        <x:v>Sarjana</x:v>
      </x:c>
      <x:c r="H2563" s="87" t="n">
        <x:v>60</x:v>
      </x:c>
      <x:c r="I2563" s="87" t="n">
        <x:v>159</x:v>
      </x:c>
      <x:c r="J2563" s="68" t="n">
        <x:f>IFERROR(H2563/I2563,"")</x:f>
        <x:v>0.37735849056603776</x:v>
      </x:c>
      <x:c r="K2563" s="69" t="n">
        <x:f>IFERROR(I2563/H2563,"")</x:f>
        <x:v>2.65</x:v>
      </x:c>
      <x:c r="L2563" s="66" t="str">
        <x:f>IF(K2563="","","1 : "&amp;TEXT(K2563,"0.0"))</x:f>
        <x:v>1 : 2.7</x:v>
      </x:c>
      <x:c r="M2563" s="66" t="str">
        <x:f>IF(J2563="","Baru/Tanpa Data",IF(J2563&lt;='Catatan &amp; Sumber'!$B$14,"Sangat Ketat",IF(J2563&lt;='Catatan &amp; Sumber'!$B$15,"Ketat",IF(J2563&lt;='Catatan &amp; Sumber'!$B$16,"Sedang","Relatif Longgar"))))</x:f>
        <x:v>Relatif Longgar</x:v>
      </x:c>
      <x:c r="N2563" s="66" t="str">
        <x:v>Tidak Ada</x:v>
      </x:c>
      <x:c r="O2563" s="66" t="str">
        <x:v>Jawa Timur</x:v>
      </x:c>
      <x:c r="P2563" s="66" t="str">
        <x:v>Kabupaten Jember</x:v>
      </x:c>
      <x:c r="Q2563" s="66" t="str">
        <x:v>https://snpmb.id/snbp/daya-tampung-snbp</x:v>
      </x:c>
      <x:c r="R2563" s="66" t="str">
        <x:v>https://sidatagrun-public-1076756628210.asia-southeast2.run.app/ptn_sn.php?ptn=371</x:v>
      </x:c>
    </x:row>
    <x:row r="2564">
      <x:c r="A2564" s="87" t="n">
        <x:v>2090</x:v>
      </x:c>
      <x:c r="B2564" s="66" t="n">
        <x:v>371</x:v>
      </x:c>
      <x:c r="C2564" s="66" t="str">
        <x:v>UNIVERSITAS JEMBER</x:v>
      </x:c>
      <x:c r="D2564" s="66" t="str">
        <x:v>PTN Akademik</x:v>
      </x:c>
      <x:c r="E2564" s="66" t="str">
        <x:v>13711061</x:v>
      </x:c>
      <x:c r="F2564" s="66" t="str">
        <x:v>EKONOMI SYARIAH</x:v>
      </x:c>
      <x:c r="G2564" s="66" t="str">
        <x:v>Sarjana</x:v>
      </x:c>
      <x:c r="H2564" s="87" t="n">
        <x:v>42</x:v>
      </x:c>
      <x:c r="I2564" s="87" t="n">
        <x:v>262</x:v>
      </x:c>
      <x:c r="J2564" s="68" t="n">
        <x:f>IFERROR(H2564/I2564,"")</x:f>
        <x:v>0.16030534351145037</x:v>
      </x:c>
      <x:c r="K2564" s="69" t="n">
        <x:f>IFERROR(I2564/H2564,"")</x:f>
        <x:v>6.238095238095238</x:v>
      </x:c>
      <x:c r="L2564" s="66" t="str">
        <x:f>IF(K2564="","","1 : "&amp;TEXT(K2564,"0.0"))</x:f>
        <x:v>1 : 6.2</x:v>
      </x:c>
      <x:c r="M2564" s="66" t="str">
        <x:f>IF(J2564="","Baru/Tanpa Data",IF(J2564&lt;='Catatan &amp; Sumber'!$B$14,"Sangat Ketat",IF(J2564&lt;='Catatan &amp; Sumber'!$B$15,"Ketat",IF(J2564&lt;='Catatan &amp; Sumber'!$B$16,"Sedang","Relatif Longgar"))))</x:f>
        <x:v>Relatif Longgar</x:v>
      </x:c>
      <x:c r="N2564" s="66" t="str">
        <x:v>Tidak Ada</x:v>
      </x:c>
      <x:c r="O2564" s="66" t="str">
        <x:v>Jawa Timur</x:v>
      </x:c>
      <x:c r="P2564" s="66" t="str">
        <x:v>Kabupaten Jember</x:v>
      </x:c>
      <x:c r="Q2564" s="66" t="str">
        <x:v>https://snpmb.id/snbp/daya-tampung-snbp</x:v>
      </x:c>
      <x:c r="R2564" s="66" t="str">
        <x:v>https://sidatagrun-public-1076756628210.asia-southeast2.run.app/ptn_sn.php?ptn=371</x:v>
      </x:c>
    </x:row>
    <x:row r="2565">
      <x:c r="A2565" s="87" t="n">
        <x:v>2206</x:v>
      </x:c>
      <x:c r="B2565" s="66" t="n">
        <x:v>371</x:v>
      </x:c>
      <x:c r="C2565" s="66" t="str">
        <x:v>UNIVERSITAS JEMBER</x:v>
      </x:c>
      <x:c r="D2565" s="66" t="str">
        <x:v>PTN Akademik</x:v>
      </x:c>
      <x:c r="E2565" s="66" t="str">
        <x:v>13711062</x:v>
      </x:c>
      <x:c r="F2565" s="66" t="str">
        <x:v>PENDIDIKAN GEOGRAFI</x:v>
      </x:c>
      <x:c r="G2565" s="66" t="str">
        <x:v>Sarjana</x:v>
      </x:c>
      <x:c r="H2565" s="87" t="n">
        <x:v>40</x:v>
      </x:c>
      <x:c r="I2565" s="87" t="n">
        <x:v>233</x:v>
      </x:c>
      <x:c r="J2565" s="68" t="n">
        <x:f>IFERROR(H2565/I2565,"")</x:f>
        <x:v>0.17167381974248927</x:v>
      </x:c>
      <x:c r="K2565" s="69" t="n">
        <x:f>IFERROR(I2565/H2565,"")</x:f>
        <x:v>5.825</x:v>
      </x:c>
      <x:c r="L2565" s="66" t="str">
        <x:f>IF(K2565="","","1 : "&amp;TEXT(K2565,"0.0"))</x:f>
        <x:v>1 : 5.8</x:v>
      </x:c>
      <x:c r="M2565" s="66" t="str">
        <x:f>IF(J2565="","Baru/Tanpa Data",IF(J2565&lt;='Catatan &amp; Sumber'!$B$14,"Sangat Ketat",IF(J2565&lt;='Catatan &amp; Sumber'!$B$15,"Ketat",IF(J2565&lt;='Catatan &amp; Sumber'!$B$16,"Sedang","Relatif Longgar"))))</x:f>
        <x:v>Relatif Longgar</x:v>
      </x:c>
      <x:c r="N2565" s="66" t="str">
        <x:v>Tidak Ada</x:v>
      </x:c>
      <x:c r="O2565" s="66" t="str">
        <x:v>Jawa Timur</x:v>
      </x:c>
      <x:c r="P2565" s="66" t="str">
        <x:v>Kabupaten Jember</x:v>
      </x:c>
      <x:c r="Q2565" s="66" t="str">
        <x:v>https://snpmb.id/snbp/daya-tampung-snbp</x:v>
      </x:c>
      <x:c r="R2565" s="66" t="str">
        <x:v>https://sidatagrun-public-1076756628210.asia-southeast2.run.app/ptn_sn.php?ptn=371</x:v>
      </x:c>
    </x:row>
    <x:row r="2566">
      <x:c r="A2566" s="87" t="n">
        <x:v>3097</x:v>
      </x:c>
      <x:c r="B2566" s="66" t="n">
        <x:v>371</x:v>
      </x:c>
      <x:c r="C2566" s="66" t="str">
        <x:v>UNIVERSITAS JEMBER</x:v>
      </x:c>
      <x:c r="D2566" s="66" t="str">
        <x:v>PTN Akademik</x:v>
      </x:c>
      <x:c r="E2566" s="66" t="str">
        <x:v>13711063</x:v>
      </x:c>
      <x:c r="F2566" s="66" t="str">
        <x:v>EKONOMI SYARIAH KAMPUS BONDOWOSO</x:v>
      </x:c>
      <x:c r="G2566" s="66" t="str">
        <x:v>Sarjana</x:v>
      </x:c>
      <x:c r="H2566" s="87" t="n">
        <x:v>24</x:v>
      </x:c>
      <x:c r="I2566" s="87" t="n">
        <x:v>76</x:v>
      </x:c>
      <x:c r="J2566" s="68" t="n">
        <x:f>IFERROR(H2566/I2566,"")</x:f>
        <x:v>0.3157894736842105</x:v>
      </x:c>
      <x:c r="K2566" s="69" t="n">
        <x:f>IFERROR(I2566/H2566,"")</x:f>
        <x:v>3.1666666666666665</x:v>
      </x:c>
      <x:c r="L2566" s="66" t="str">
        <x:f>IF(K2566="","","1 : "&amp;TEXT(K2566,"0.0"))</x:f>
        <x:v>1 : 3.2</x:v>
      </x:c>
      <x:c r="M2566" s="66" t="str">
        <x:f>IF(J2566="","Baru/Tanpa Data",IF(J2566&lt;='Catatan &amp; Sumber'!$B$14,"Sangat Ketat",IF(J2566&lt;='Catatan &amp; Sumber'!$B$15,"Ketat",IF(J2566&lt;='Catatan &amp; Sumber'!$B$16,"Sedang","Relatif Longgar"))))</x:f>
        <x:v>Relatif Longgar</x:v>
      </x:c>
      <x:c r="N2566" s="66" t="str">
        <x:v>Tidak Ada</x:v>
      </x:c>
      <x:c r="O2566" s="66" t="str">
        <x:v>Jawa Timur</x:v>
      </x:c>
      <x:c r="P2566" s="66" t="str">
        <x:v>Kabupaten Jember</x:v>
      </x:c>
      <x:c r="Q2566" s="66" t="str">
        <x:v>https://snpmb.id/snbp/daya-tampung-snbp</x:v>
      </x:c>
      <x:c r="R2566" s="66" t="str">
        <x:v>https://sidatagrun-public-1076756628210.asia-southeast2.run.app/ptn_sn.php?ptn=371</x:v>
      </x:c>
    </x:row>
    <x:row r="2567">
      <x:c r="A2567" s="87" t="n">
        <x:v>2436</x:v>
      </x:c>
      <x:c r="B2567" s="66" t="n">
        <x:v>371</x:v>
      </x:c>
      <x:c r="C2567" s="66" t="str">
        <x:v>UNIVERSITAS JEMBER</x:v>
      </x:c>
      <x:c r="D2567" s="66" t="str">
        <x:v>PTN Akademik</x:v>
      </x:c>
      <x:c r="E2567" s="66" t="str">
        <x:v>13711064</x:v>
      </x:c>
      <x:c r="F2567" s="66" t="str">
        <x:v>PEND. GURU SEKOLAH DASAR KAMPUS BONDOWOSO</x:v>
      </x:c>
      <x:c r="G2567" s="66" t="str">
        <x:v>Sarjana</x:v>
      </x:c>
      <x:c r="H2567" s="87" t="n">
        <x:v>40</x:v>
      </x:c>
      <x:c r="I2567" s="87" t="n">
        <x:v>199</x:v>
      </x:c>
      <x:c r="J2567" s="68" t="n">
        <x:f>IFERROR(H2567/I2567,"")</x:f>
        <x:v>0.20100502512562815</x:v>
      </x:c>
      <x:c r="K2567" s="69" t="n">
        <x:f>IFERROR(I2567/H2567,"")</x:f>
        <x:v>4.975</x:v>
      </x:c>
      <x:c r="L2567" s="66" t="str">
        <x:f>IF(K2567="","","1 : "&amp;TEXT(K2567,"0.0"))</x:f>
        <x:v>1 : 5.0</x:v>
      </x:c>
      <x:c r="M2567" s="66" t="str">
        <x:f>IF(J2567="","Baru/Tanpa Data",IF(J2567&lt;='Catatan &amp; Sumber'!$B$14,"Sangat Ketat",IF(J2567&lt;='Catatan &amp; Sumber'!$B$15,"Ketat",IF(J2567&lt;='Catatan &amp; Sumber'!$B$16,"Sedang","Relatif Longgar"))))</x:f>
        <x:v>Relatif Longgar</x:v>
      </x:c>
      <x:c r="N2567" s="66" t="str">
        <x:v>Tidak Ada</x:v>
      </x:c>
      <x:c r="O2567" s="66" t="str">
        <x:v>Jawa Timur</x:v>
      </x:c>
      <x:c r="P2567" s="66" t="str">
        <x:v>Kabupaten Jember</x:v>
      </x:c>
      <x:c r="Q2567" s="66" t="str">
        <x:v>https://snpmb.id/snbp/daya-tampung-snbp</x:v>
      </x:c>
      <x:c r="R2567" s="66" t="str">
        <x:v>https://sidatagrun-public-1076756628210.asia-southeast2.run.app/ptn_sn.php?ptn=371</x:v>
      </x:c>
    </x:row>
    <x:row r="2568">
      <x:c r="A2568" s="87"/>
      <x:c r="B2568" s="66" t="n">
        <x:v>371</x:v>
      </x:c>
      <x:c r="C2568" s="66" t="str">
        <x:v>UNIVERSITAS JEMBER</x:v>
      </x:c>
      <x:c r="D2568" s="66" t="str">
        <x:v>PTN Akademik</x:v>
      </x:c>
      <x:c r="E2568" s="66" t="str">
        <x:v>13711076</x:v>
      </x:c>
      <x:c r="F2568" s="66" t="str">
        <x:v>AGRIBISNIS KAMPUS BONDOWOSO</x:v>
      </x:c>
      <x:c r="G2568" s="66" t="str">
        <x:v>Sarjana</x:v>
      </x:c>
      <x:c r="H2568" s="87" t="n">
        <x:v>18</x:v>
      </x:c>
      <x:c r="I2568" s="87"/>
      <x:c r="J2568" s="68" t="str">
        <x:f>IFERROR(H2568/I2568,"")</x:f>
      </x:c>
      <x:c r="K2568" s="69" t="n">
        <x:f>IFERROR(I2568/H2568,"")</x:f>
        <x:v>0</x:v>
      </x:c>
      <x:c r="L2568" s="66" t="str">
        <x:f>IF(K2568="","","1 : "&amp;TEXT(K2568,"0.0"))</x:f>
      </x:c>
      <x:c r="M2568" s="66" t="str">
        <x:f>IF(J2568="","Baru/Tanpa Data",IF(J2568&lt;='Catatan &amp; Sumber'!$B$14,"Sangat Ketat",IF(J2568&lt;='Catatan &amp; Sumber'!$B$15,"Ketat",IF(J2568&lt;='Catatan &amp; Sumber'!$B$16,"Sedang","Relatif Longgar"))))</x:f>
        <x:v>Baru/Tanpa Data</x:v>
      </x:c>
      <x:c r="N2568" s="66" t="str">
        <x:v>Tidak Ada</x:v>
      </x:c>
      <x:c r="O2568" s="66" t="str">
        <x:v>Jawa Timur</x:v>
      </x:c>
      <x:c r="P2568" s="66" t="str">
        <x:v>Kabupaten Jember</x:v>
      </x:c>
      <x:c r="Q2568" s="66" t="str">
        <x:v>https://snpmb.id/snbp/daya-tampung-snbp</x:v>
      </x:c>
      <x:c r="R2568" s="66" t="str">
        <x:v>https://sidatagrun-public-1076756628210.asia-southeast2.run.app/ptn_sn.php?ptn=371</x:v>
      </x:c>
    </x:row>
    <x:row r="2569">
      <x:c r="A2569" s="87"/>
      <x:c r="B2569" s="66" t="n">
        <x:v>371</x:v>
      </x:c>
      <x:c r="C2569" s="66" t="str">
        <x:v>UNIVERSITAS JEMBER</x:v>
      </x:c>
      <x:c r="D2569" s="66" t="str">
        <x:v>PTN Akademik</x:v>
      </x:c>
      <x:c r="E2569" s="66" t="str">
        <x:v>13711077</x:v>
      </x:c>
      <x:c r="F2569" s="66" t="str">
        <x:v>AKUNTANSI KAMPUS BONDOWOSO</x:v>
      </x:c>
      <x:c r="G2569" s="66" t="str">
        <x:v>Sarjana</x:v>
      </x:c>
      <x:c r="H2569" s="87" t="n">
        <x:v>26</x:v>
      </x:c>
      <x:c r="I2569" s="87"/>
      <x:c r="J2569" s="68" t="str">
        <x:f>IFERROR(H2569/I2569,"")</x:f>
      </x:c>
      <x:c r="K2569" s="69" t="n">
        <x:f>IFERROR(I2569/H2569,"")</x:f>
        <x:v>0</x:v>
      </x:c>
      <x:c r="L2569" s="66" t="str">
        <x:f>IF(K2569="","","1 : "&amp;TEXT(K2569,"0.0"))</x:f>
      </x:c>
      <x:c r="M2569" s="66" t="str">
        <x:f>IF(J2569="","Baru/Tanpa Data",IF(J2569&lt;='Catatan &amp; Sumber'!$B$14,"Sangat Ketat",IF(J2569&lt;='Catatan &amp; Sumber'!$B$15,"Ketat",IF(J2569&lt;='Catatan &amp; Sumber'!$B$16,"Sedang","Relatif Longgar"))))</x:f>
        <x:v>Baru/Tanpa Data</x:v>
      </x:c>
      <x:c r="N2569" s="66" t="str">
        <x:v>Tidak Ada</x:v>
      </x:c>
      <x:c r="O2569" s="66" t="str">
        <x:v>Jawa Timur</x:v>
      </x:c>
      <x:c r="P2569" s="66" t="str">
        <x:v>Kabupaten Jember</x:v>
      </x:c>
      <x:c r="Q2569" s="66" t="str">
        <x:v>https://snpmb.id/snbp/daya-tampung-snbp</x:v>
      </x:c>
      <x:c r="R2569" s="66" t="str">
        <x:v>https://sidatagrun-public-1076756628210.asia-southeast2.run.app/ptn_sn.php?ptn=371</x:v>
      </x:c>
    </x:row>
    <x:row r="2570">
      <x:c r="A2570" s="87"/>
      <x:c r="B2570" s="66" t="n">
        <x:v>371</x:v>
      </x:c>
      <x:c r="C2570" s="66" t="str">
        <x:v>UNIVERSITAS JEMBER</x:v>
      </x:c>
      <x:c r="D2570" s="66" t="str">
        <x:v>PTN Akademik</x:v>
      </x:c>
      <x:c r="E2570" s="66" t="str">
        <x:v>13711078</x:v>
      </x:c>
      <x:c r="F2570" s="66" t="str">
        <x:v>PENDIDIKAN MATEMATIKA KAMPUS BONDOWOSO</x:v>
      </x:c>
      <x:c r="G2570" s="66" t="str">
        <x:v>Sarjana</x:v>
      </x:c>
      <x:c r="H2570" s="87" t="n">
        <x:v>25</x:v>
      </x:c>
      <x:c r="I2570" s="87"/>
      <x:c r="J2570" s="68" t="str">
        <x:f>IFERROR(H2570/I2570,"")</x:f>
      </x:c>
      <x:c r="K2570" s="69" t="n">
        <x:f>IFERROR(I2570/H2570,"")</x:f>
        <x:v>0</x:v>
      </x:c>
      <x:c r="L2570" s="66" t="str">
        <x:f>IF(K2570="","","1 : "&amp;TEXT(K2570,"0.0"))</x:f>
      </x:c>
      <x:c r="M2570" s="66" t="str">
        <x:f>IF(J2570="","Baru/Tanpa Data",IF(J2570&lt;='Catatan &amp; Sumber'!$B$14,"Sangat Ketat",IF(J2570&lt;='Catatan &amp; Sumber'!$B$15,"Ketat",IF(J2570&lt;='Catatan &amp; Sumber'!$B$16,"Sedang","Relatif Longgar"))))</x:f>
        <x:v>Baru/Tanpa Data</x:v>
      </x:c>
      <x:c r="N2570" s="66" t="str">
        <x:v>Tidak Ada</x:v>
      </x:c>
      <x:c r="O2570" s="66" t="str">
        <x:v>Jawa Timur</x:v>
      </x:c>
      <x:c r="P2570" s="66" t="str">
        <x:v>Kabupaten Jember</x:v>
      </x:c>
      <x:c r="Q2570" s="66" t="str">
        <x:v>https://snpmb.id/snbp/daya-tampung-snbp</x:v>
      </x:c>
      <x:c r="R2570" s="66" t="str">
        <x:v>https://sidatagrun-public-1076756628210.asia-southeast2.run.app/ptn_sn.php?ptn=371</x:v>
      </x:c>
    </x:row>
    <x:row r="2571">
      <x:c r="A2571" s="87"/>
      <x:c r="B2571" s="66" t="n">
        <x:v>371</x:v>
      </x:c>
      <x:c r="C2571" s="66" t="str">
        <x:v>UNIVERSITAS JEMBER</x:v>
      </x:c>
      <x:c r="D2571" s="66" t="str">
        <x:v>PTN Akademik</x:v>
      </x:c>
      <x:c r="E2571" s="66" t="str">
        <x:v>13711079</x:v>
      </x:c>
      <x:c r="F2571" s="66" t="str">
        <x:v>ILMU KEPERAWATAN KAMPUS LUMAJANG</x:v>
      </x:c>
      <x:c r="G2571" s="66" t="str">
        <x:v>Sarjana</x:v>
      </x:c>
      <x:c r="H2571" s="87" t="n">
        <x:v>25</x:v>
      </x:c>
      <x:c r="I2571" s="87"/>
      <x:c r="J2571" s="68" t="str">
        <x:f>IFERROR(H2571/I2571,"")</x:f>
      </x:c>
      <x:c r="K2571" s="69" t="n">
        <x:f>IFERROR(I2571/H2571,"")</x:f>
        <x:v>0</x:v>
      </x:c>
      <x:c r="L2571" s="66" t="str">
        <x:f>IF(K2571="","","1 : "&amp;TEXT(K2571,"0.0"))</x:f>
      </x:c>
      <x:c r="M2571" s="66" t="str">
        <x:f>IF(J2571="","Baru/Tanpa Data",IF(J2571&lt;='Catatan &amp; Sumber'!$B$14,"Sangat Ketat",IF(J2571&lt;='Catatan &amp; Sumber'!$B$15,"Ketat",IF(J2571&lt;='Catatan &amp; Sumber'!$B$16,"Sedang","Relatif Longgar"))))</x:f>
        <x:v>Baru/Tanpa Data</x:v>
      </x:c>
      <x:c r="N2571" s="66" t="str">
        <x:v>Tidak Ada</x:v>
      </x:c>
      <x:c r="O2571" s="66" t="str">
        <x:v>Jawa Timur</x:v>
      </x:c>
      <x:c r="P2571" s="66" t="str">
        <x:v>Kabupaten Jember</x:v>
      </x:c>
      <x:c r="Q2571" s="66" t="str">
        <x:v>https://snpmb.id/snbp/daya-tampung-snbp</x:v>
      </x:c>
      <x:c r="R2571" s="66" t="str">
        <x:v>https://sidatagrun-public-1076756628210.asia-southeast2.run.app/ptn_sn.php?ptn=371</x:v>
      </x:c>
    </x:row>
    <x:row r="2572">
      <x:c r="A2572" s="87" t="n">
        <x:v>3650</x:v>
      </x:c>
      <x:c r="B2572" s="66" t="n">
        <x:v>371</x:v>
      </x:c>
      <x:c r="C2572" s="66" t="str">
        <x:v>UNIVERSITAS JEMBER</x:v>
      </x:c>
      <x:c r="D2572" s="66" t="str">
        <x:v>PTN Akademik</x:v>
      </x:c>
      <x:c r="E2572" s="66" t="str">
        <x:v>13712066</x:v>
      </x:c>
      <x:c r="F2572" s="66" t="str">
        <x:v>TEKNOLOGI REKAYASA KONSTRUKSI BANGUNAN GEDUNG</x:v>
      </x:c>
      <x:c r="G2572" s="66" t="str">
        <x:v>Sarjana Terapan</x:v>
      </x:c>
      <x:c r="H2572" s="87" t="n">
        <x:v>30</x:v>
      </x:c>
      <x:c r="I2572" s="87" t="n">
        <x:v>61</x:v>
      </x:c>
      <x:c r="J2572" s="68" t="n">
        <x:f>IFERROR(H2572/I2572,"")</x:f>
        <x:v>0.4918032786885246</x:v>
      </x:c>
      <x:c r="K2572" s="69" t="n">
        <x:f>IFERROR(I2572/H2572,"")</x:f>
        <x:v>2.033333333333333</x:v>
      </x:c>
      <x:c r="L2572" s="66" t="str">
        <x:f>IF(K2572="","","1 : "&amp;TEXT(K2572,"0.0"))</x:f>
        <x:v>1 : 2.0</x:v>
      </x:c>
      <x:c r="M2572" s="66" t="str">
        <x:f>IF(J2572="","Baru/Tanpa Data",IF(J2572&lt;='Catatan &amp; Sumber'!$B$14,"Sangat Ketat",IF(J2572&lt;='Catatan &amp; Sumber'!$B$15,"Ketat",IF(J2572&lt;='Catatan &amp; Sumber'!$B$16,"Sedang","Relatif Longgar"))))</x:f>
        <x:v>Relatif Longgar</x:v>
      </x:c>
      <x:c r="N2572" s="66" t="str">
        <x:v>Tidak Ada</x:v>
      </x:c>
      <x:c r="O2572" s="66" t="str">
        <x:v>Jawa Timur</x:v>
      </x:c>
      <x:c r="P2572" s="66" t="str">
        <x:v>Kabupaten Jember</x:v>
      </x:c>
      <x:c r="Q2572" s="66" t="str">
        <x:v>https://snpmb.id/snbp/daya-tampung-snbp</x:v>
      </x:c>
      <x:c r="R2572" s="66" t="str">
        <x:v>https://sidatagrun-public-1076756628210.asia-southeast2.run.app/ptn_sn.php?ptn=371</x:v>
      </x:c>
    </x:row>
    <x:row r="2573">
      <x:c r="A2573" s="87" t="n">
        <x:v>4067</x:v>
      </x:c>
      <x:c r="B2573" s="66" t="n">
        <x:v>371</x:v>
      </x:c>
      <x:c r="C2573" s="66" t="str">
        <x:v>UNIVERSITAS JEMBER</x:v>
      </x:c>
      <x:c r="D2573" s="66" t="str">
        <x:v>PTN Akademik</x:v>
      </x:c>
      <x:c r="E2573" s="66" t="str">
        <x:v>13712070</x:v>
      </x:c>
      <x:c r="F2573" s="66" t="str">
        <x:v>REKAYASA PERANCANGAN MEKANIK</x:v>
      </x:c>
      <x:c r="G2573" s="66" t="str">
        <x:v>Sarjana Terapan</x:v>
      </x:c>
      <x:c r="H2573" s="87" t="n">
        <x:v>30</x:v>
      </x:c>
      <x:c r="I2573" s="87" t="n">
        <x:v>41</x:v>
      </x:c>
      <x:c r="J2573" s="68" t="n">
        <x:f>IFERROR(H2573/I2573,"")</x:f>
        <x:v>0.7317073170731707</x:v>
      </x:c>
      <x:c r="K2573" s="69" t="n">
        <x:f>IFERROR(I2573/H2573,"")</x:f>
        <x:v>1.3666666666666667</x:v>
      </x:c>
      <x:c r="L2573" s="66" t="str">
        <x:f>IF(K2573="","","1 : "&amp;TEXT(K2573,"0.0"))</x:f>
        <x:v>1 : 1.4</x:v>
      </x:c>
      <x:c r="M2573" s="66" t="str">
        <x:f>IF(J2573="","Baru/Tanpa Data",IF(J2573&lt;='Catatan &amp; Sumber'!$B$14,"Sangat Ketat",IF(J2573&lt;='Catatan &amp; Sumber'!$B$15,"Ketat",IF(J2573&lt;='Catatan &amp; Sumber'!$B$16,"Sedang","Relatif Longgar"))))</x:f>
        <x:v>Relatif Longgar</x:v>
      </x:c>
      <x:c r="N2573" s="66" t="str">
        <x:v>Tidak Ada</x:v>
      </x:c>
      <x:c r="O2573" s="66" t="str">
        <x:v>Jawa Timur</x:v>
      </x:c>
      <x:c r="P2573" s="66" t="str">
        <x:v>Kabupaten Jember</x:v>
      </x:c>
      <x:c r="Q2573" s="66" t="str">
        <x:v>https://snpmb.id/snbp/daya-tampung-snbp</x:v>
      </x:c>
      <x:c r="R2573" s="66" t="str">
        <x:v>https://sidatagrun-public-1076756628210.asia-southeast2.run.app/ptn_sn.php?ptn=371</x:v>
      </x:c>
    </x:row>
    <x:row r="2574">
      <x:c r="A2574" s="87" t="n">
        <x:v>3678</x:v>
      </x:c>
      <x:c r="B2574" s="66" t="n">
        <x:v>371</x:v>
      </x:c>
      <x:c r="C2574" s="66" t="str">
        <x:v>UNIVERSITAS JEMBER</x:v>
      </x:c>
      <x:c r="D2574" s="66" t="str">
        <x:v>PTN Akademik</x:v>
      </x:c>
      <x:c r="E2574" s="66" t="str">
        <x:v>13712072</x:v>
      </x:c>
      <x:c r="F2574" s="66" t="str">
        <x:v>TEKNOLOGI REKAYASA ELEKTRONIKA</x:v>
      </x:c>
      <x:c r="G2574" s="66" t="str">
        <x:v>Sarjana Terapan</x:v>
      </x:c>
      <x:c r="H2574" s="87" t="n">
        <x:v>30</x:v>
      </x:c>
      <x:c r="I2574" s="87" t="n">
        <x:v>59</x:v>
      </x:c>
      <x:c r="J2574" s="68" t="n">
        <x:f>IFERROR(H2574/I2574,"")</x:f>
        <x:v>0.5084745762711864</x:v>
      </x:c>
      <x:c r="K2574" s="69" t="n">
        <x:f>IFERROR(I2574/H2574,"")</x:f>
        <x:v>1.9666666666666666</x:v>
      </x:c>
      <x:c r="L2574" s="66" t="str">
        <x:f>IF(K2574="","","1 : "&amp;TEXT(K2574,"0.0"))</x:f>
        <x:v>1 : 2.0</x:v>
      </x:c>
      <x:c r="M2574" s="66" t="str">
        <x:f>IF(J2574="","Baru/Tanpa Data",IF(J2574&lt;='Catatan &amp; Sumber'!$B$14,"Sangat Ketat",IF(J2574&lt;='Catatan &amp; Sumber'!$B$15,"Ketat",IF(J2574&lt;='Catatan &amp; Sumber'!$B$16,"Sedang","Relatif Longgar"))))</x:f>
        <x:v>Relatif Longgar</x:v>
      </x:c>
      <x:c r="N2574" s="66" t="str">
        <x:v>Tidak Ada</x:v>
      </x:c>
      <x:c r="O2574" s="66" t="str">
        <x:v>Jawa Timur</x:v>
      </x:c>
      <x:c r="P2574" s="66" t="str">
        <x:v>Kabupaten Jember</x:v>
      </x:c>
      <x:c r="Q2574" s="66" t="str">
        <x:v>https://snpmb.id/snbp/daya-tampung-snbp</x:v>
      </x:c>
      <x:c r="R2574" s="66" t="str">
        <x:v>https://sidatagrun-public-1076756628210.asia-southeast2.run.app/ptn_sn.php?ptn=371</x:v>
      </x:c>
    </x:row>
    <x:row r="2575">
      <x:c r="A2575" s="87" t="n">
        <x:v>3118</x:v>
      </x:c>
      <x:c r="B2575" s="66" t="n">
        <x:v>371</x:v>
      </x:c>
      <x:c r="C2575" s="66" t="str">
        <x:v>UNIVERSITAS JEMBER</x:v>
      </x:c>
      <x:c r="D2575" s="66" t="str">
        <x:v>PTN Akademik</x:v>
      </x:c>
      <x:c r="E2575" s="66" t="str">
        <x:v>13713065</x:v>
      </x:c>
      <x:c r="F2575" s="66" t="str">
        <x:v>ADMINISTRASI KEUANGAN</x:v>
      </x:c>
      <x:c r="G2575" s="66" t="str">
        <x:v>Diploma Tiga</x:v>
      </x:c>
      <x:c r="H2575" s="87" t="n">
        <x:v>30</x:v>
      </x:c>
      <x:c r="I2575" s="87" t="n">
        <x:v>94</x:v>
      </x:c>
      <x:c r="J2575" s="68" t="n">
        <x:f>IFERROR(H2575/I2575,"")</x:f>
        <x:v>0.3191489361702128</x:v>
      </x:c>
      <x:c r="K2575" s="69" t="n">
        <x:f>IFERROR(I2575/H2575,"")</x:f>
        <x:v>3.1333333333333333</x:v>
      </x:c>
      <x:c r="L2575" s="66" t="str">
        <x:f>IF(K2575="","","1 : "&amp;TEXT(K2575,"0.0"))</x:f>
        <x:v>1 : 3.1</x:v>
      </x:c>
      <x:c r="M2575" s="66" t="str">
        <x:f>IF(J2575="","Baru/Tanpa Data",IF(J2575&lt;='Catatan &amp; Sumber'!$B$14,"Sangat Ketat",IF(J2575&lt;='Catatan &amp; Sumber'!$B$15,"Ketat",IF(J2575&lt;='Catatan &amp; Sumber'!$B$16,"Sedang","Relatif Longgar"))))</x:f>
        <x:v>Relatif Longgar</x:v>
      </x:c>
      <x:c r="N2575" s="66" t="str">
        <x:v>Tidak Ada</x:v>
      </x:c>
      <x:c r="O2575" s="66" t="str">
        <x:v>Jawa Timur</x:v>
      </x:c>
      <x:c r="P2575" s="66" t="str">
        <x:v>Kabupaten Jember</x:v>
      </x:c>
      <x:c r="Q2575" s="66" t="str">
        <x:v>https://snpmb.id/snbp/daya-tampung-snbp</x:v>
      </x:c>
      <x:c r="R2575" s="66" t="str">
        <x:v>https://sidatagrun-public-1076756628210.asia-southeast2.run.app/ptn_sn.php?ptn=371</x:v>
      </x:c>
    </x:row>
    <x:row r="2576">
      <x:c r="A2576" s="87" t="n">
        <x:v>2236</x:v>
      </x:c>
      <x:c r="B2576" s="66" t="n">
        <x:v>371</x:v>
      </x:c>
      <x:c r="C2576" s="66" t="str">
        <x:v>UNIVERSITAS JEMBER</x:v>
      </x:c>
      <x:c r="D2576" s="66" t="str">
        <x:v>PTN Akademik</x:v>
      </x:c>
      <x:c r="E2576" s="66" t="str">
        <x:v>13713067</x:v>
      </x:c>
      <x:c r="F2576" s="66" t="str">
        <x:v>KEPERAWATAN KAMPUS LUMAJANG</x:v>
      </x:c>
      <x:c r="G2576" s="66" t="str">
        <x:v>Diploma Tiga</x:v>
      </x:c>
      <x:c r="H2576" s="87" t="n">
        <x:v>65</x:v>
      </x:c>
      <x:c r="I2576" s="87" t="n">
        <x:v>368</x:v>
      </x:c>
      <x:c r="J2576" s="68" t="n">
        <x:f>IFERROR(H2576/I2576,"")</x:f>
        <x:v>0.1766304347826087</x:v>
      </x:c>
      <x:c r="K2576" s="69" t="n">
        <x:f>IFERROR(I2576/H2576,"")</x:f>
        <x:v>5.661538461538462</x:v>
      </x:c>
      <x:c r="L2576" s="66" t="str">
        <x:f>IF(K2576="","","1 : "&amp;TEXT(K2576,"0.0"))</x:f>
        <x:v>1 : 5.7</x:v>
      </x:c>
      <x:c r="M2576" s="66" t="str">
        <x:f>IF(J2576="","Baru/Tanpa Data",IF(J2576&lt;='Catatan &amp; Sumber'!$B$14,"Sangat Ketat",IF(J2576&lt;='Catatan &amp; Sumber'!$B$15,"Ketat",IF(J2576&lt;='Catatan &amp; Sumber'!$B$16,"Sedang","Relatif Longgar"))))</x:f>
        <x:v>Relatif Longgar</x:v>
      </x:c>
      <x:c r="N2576" s="66" t="str">
        <x:v>Tidak Ada</x:v>
      </x:c>
      <x:c r="O2576" s="66" t="str">
        <x:v>Jawa Timur</x:v>
      </x:c>
      <x:c r="P2576" s="66" t="str">
        <x:v>Kabupaten Jember</x:v>
      </x:c>
      <x:c r="Q2576" s="66" t="str">
        <x:v>https://snpmb.id/snbp/daya-tampung-snbp</x:v>
      </x:c>
      <x:c r="R2576" s="66" t="str">
        <x:v>https://sidatagrun-public-1076756628210.asia-southeast2.run.app/ptn_sn.php?ptn=371</x:v>
      </x:c>
    </x:row>
    <x:row r="2577">
      <x:c r="A2577" s="87" t="n">
        <x:v>3326</x:v>
      </x:c>
      <x:c r="B2577" s="66" t="n">
        <x:v>371</x:v>
      </x:c>
      <x:c r="C2577" s="66" t="str">
        <x:v>UNIVERSITAS JEMBER</x:v>
      </x:c>
      <x:c r="D2577" s="66" t="str">
        <x:v>PTN Akademik</x:v>
      </x:c>
      <x:c r="E2577" s="66" t="str">
        <x:v>13713068</x:v>
      </x:c>
      <x:c r="F2577" s="66" t="str">
        <x:v>AKUNTANSI</x:v>
      </x:c>
      <x:c r="G2577" s="66" t="str">
        <x:v>Diploma Tiga</x:v>
      </x:c>
      <x:c r="H2577" s="87" t="n">
        <x:v>30</x:v>
      </x:c>
      <x:c r="I2577" s="87" t="n">
        <x:v>79</x:v>
      </x:c>
      <x:c r="J2577" s="68" t="n">
        <x:f>IFERROR(H2577/I2577,"")</x:f>
        <x:v>0.379746835443038</x:v>
      </x:c>
      <x:c r="K2577" s="69" t="n">
        <x:f>IFERROR(I2577/H2577,"")</x:f>
        <x:v>2.6333333333333333</x:v>
      </x:c>
      <x:c r="L2577" s="66" t="str">
        <x:f>IF(K2577="","","1 : "&amp;TEXT(K2577,"0.0"))</x:f>
        <x:v>1 : 2.6</x:v>
      </x:c>
      <x:c r="M2577" s="66" t="str">
        <x:f>IF(J2577="","Baru/Tanpa Data",IF(J2577&lt;='Catatan &amp; Sumber'!$B$14,"Sangat Ketat",IF(J2577&lt;='Catatan &amp; Sumber'!$B$15,"Ketat",IF(J2577&lt;='Catatan &amp; Sumber'!$B$16,"Sedang","Relatif Longgar"))))</x:f>
        <x:v>Relatif Longgar</x:v>
      </x:c>
      <x:c r="N2577" s="66" t="str">
        <x:v>Tidak Ada</x:v>
      </x:c>
      <x:c r="O2577" s="66" t="str">
        <x:v>Jawa Timur</x:v>
      </x:c>
      <x:c r="P2577" s="66" t="str">
        <x:v>Kabupaten Jember</x:v>
      </x:c>
      <x:c r="Q2577" s="66" t="str">
        <x:v>https://snpmb.id/snbp/daya-tampung-snbp</x:v>
      </x:c>
      <x:c r="R2577" s="66" t="str">
        <x:v>https://sidatagrun-public-1076756628210.asia-southeast2.run.app/ptn_sn.php?ptn=371</x:v>
      </x:c>
    </x:row>
    <x:row r="2578">
      <x:c r="A2578" s="87" t="n">
        <x:v>2944</x:v>
      </x:c>
      <x:c r="B2578" s="66" t="n">
        <x:v>371</x:v>
      </x:c>
      <x:c r="C2578" s="66" t="str">
        <x:v>UNIVERSITAS JEMBER</x:v>
      </x:c>
      <x:c r="D2578" s="66" t="str">
        <x:v>PTN Akademik</x:v>
      </x:c>
      <x:c r="E2578" s="66" t="str">
        <x:v>13713069</x:v>
      </x:c>
      <x:c r="F2578" s="66" t="str">
        <x:v>PERPAJAKAN</x:v>
      </x:c>
      <x:c r="G2578" s="66" t="str">
        <x:v>Diploma Tiga</x:v>
      </x:c>
      <x:c r="H2578" s="87" t="n">
        <x:v>30</x:v>
      </x:c>
      <x:c r="I2578" s="87" t="n">
        <x:v>106</x:v>
      </x:c>
      <x:c r="J2578" s="68" t="n">
        <x:f>IFERROR(H2578/I2578,"")</x:f>
        <x:v>0.2830188679245283</x:v>
      </x:c>
      <x:c r="K2578" s="69" t="n">
        <x:f>IFERROR(I2578/H2578,"")</x:f>
        <x:v>3.533333333333333</x:v>
      </x:c>
      <x:c r="L2578" s="66" t="str">
        <x:f>IF(K2578="","","1 : "&amp;TEXT(K2578,"0.0"))</x:f>
        <x:v>1 : 3.5</x:v>
      </x:c>
      <x:c r="M2578" s="66" t="str">
        <x:f>IF(J2578="","Baru/Tanpa Data",IF(J2578&lt;='Catatan &amp; Sumber'!$B$14,"Sangat Ketat",IF(J2578&lt;='Catatan &amp; Sumber'!$B$15,"Ketat",IF(J2578&lt;='Catatan &amp; Sumber'!$B$16,"Sedang","Relatif Longgar"))))</x:f>
        <x:v>Relatif Longgar</x:v>
      </x:c>
      <x:c r="N2578" s="66" t="str">
        <x:v>Tidak Ada</x:v>
      </x:c>
      <x:c r="O2578" s="66" t="str">
        <x:v>Jawa Timur</x:v>
      </x:c>
      <x:c r="P2578" s="66" t="str">
        <x:v>Kabupaten Jember</x:v>
      </x:c>
      <x:c r="Q2578" s="66" t="str">
        <x:v>https://snpmb.id/snbp/daya-tampung-snbp</x:v>
      </x:c>
      <x:c r="R2578" s="66" t="str">
        <x:v>https://sidatagrun-public-1076756628210.asia-southeast2.run.app/ptn_sn.php?ptn=371</x:v>
      </x:c>
    </x:row>
    <x:row r="2579">
      <x:c r="A2579" s="87" t="n">
        <x:v>2810</x:v>
      </x:c>
      <x:c r="B2579" s="66" t="n">
        <x:v>371</x:v>
      </x:c>
      <x:c r="C2579" s="66" t="str">
        <x:v>UNIVERSITAS JEMBER</x:v>
      </x:c>
      <x:c r="D2579" s="66" t="str">
        <x:v>PTN Akademik</x:v>
      </x:c>
      <x:c r="E2579" s="66" t="str">
        <x:v>13713071</x:v>
      </x:c>
      <x:c r="F2579" s="66" t="str">
        <x:v>KEPERAWATAN (KAMPUS KOTA PASURUAN)</x:v>
      </x:c>
      <x:c r="G2579" s="66" t="str">
        <x:v>Diploma Tiga</x:v>
      </x:c>
      <x:c r="H2579" s="87" t="n">
        <x:v>60</x:v>
      </x:c>
      <x:c r="I2579" s="87" t="n">
        <x:v>231</x:v>
      </x:c>
      <x:c r="J2579" s="68" t="n">
        <x:f>IFERROR(H2579/I2579,"")</x:f>
        <x:v>0.2597402597402597</x:v>
      </x:c>
      <x:c r="K2579" s="69" t="n">
        <x:f>IFERROR(I2579/H2579,"")</x:f>
        <x:v>3.85</x:v>
      </x:c>
      <x:c r="L2579" s="66" t="str">
        <x:f>IF(K2579="","","1 : "&amp;TEXT(K2579,"0.0"))</x:f>
        <x:v>1 : 3.9</x:v>
      </x:c>
      <x:c r="M2579" s="66" t="str">
        <x:f>IF(J2579="","Baru/Tanpa Data",IF(J2579&lt;='Catatan &amp; Sumber'!$B$14,"Sangat Ketat",IF(J2579&lt;='Catatan &amp; Sumber'!$B$15,"Ketat",IF(J2579&lt;='Catatan &amp; Sumber'!$B$16,"Sedang","Relatif Longgar"))))</x:f>
        <x:v>Relatif Longgar</x:v>
      </x:c>
      <x:c r="N2579" s="66" t="str">
        <x:v>Tidak Ada</x:v>
      </x:c>
      <x:c r="O2579" s="66" t="str">
        <x:v>Jawa Timur</x:v>
      </x:c>
      <x:c r="P2579" s="66" t="str">
        <x:v>Kabupaten Jember</x:v>
      </x:c>
      <x:c r="Q2579" s="66" t="str">
        <x:v>https://snpmb.id/snbp/daya-tampung-snbp</x:v>
      </x:c>
      <x:c r="R2579" s="66" t="str">
        <x:v>https://sidatagrun-public-1076756628210.asia-southeast2.run.app/ptn_sn.php?ptn=371</x:v>
      </x:c>
    </x:row>
    <x:row r="2580">
      <x:c r="A2580" s="87" t="n">
        <x:v>3239</x:v>
      </x:c>
      <x:c r="B2580" s="66" t="n">
        <x:v>371</x:v>
      </x:c>
      <x:c r="C2580" s="66" t="str">
        <x:v>UNIVERSITAS JEMBER</x:v>
      </x:c>
      <x:c r="D2580" s="66" t="str">
        <x:v>PTN Akademik</x:v>
      </x:c>
      <x:c r="E2580" s="66" t="str">
        <x:v>13713073</x:v>
      </x:c>
      <x:c r="F2580" s="66" t="str">
        <x:v>MANAJEMEN PERUSAHAAN</x:v>
      </x:c>
      <x:c r="G2580" s="66" t="str">
        <x:v>Diploma Tiga</x:v>
      </x:c>
      <x:c r="H2580" s="87" t="n">
        <x:v>30</x:v>
      </x:c>
      <x:c r="I2580" s="87" t="n">
        <x:v>85</x:v>
      </x:c>
      <x:c r="J2580" s="68" t="n">
        <x:f>IFERROR(H2580/I2580,"")</x:f>
        <x:v>0.35294117647058826</x:v>
      </x:c>
      <x:c r="K2580" s="69" t="n">
        <x:f>IFERROR(I2580/H2580,"")</x:f>
        <x:v>2.8333333333333335</x:v>
      </x:c>
      <x:c r="L2580" s="66" t="str">
        <x:f>IF(K2580="","","1 : "&amp;TEXT(K2580,"0.0"))</x:f>
        <x:v>1 : 2.8</x:v>
      </x:c>
      <x:c r="M2580" s="66" t="str">
        <x:f>IF(J2580="","Baru/Tanpa Data",IF(J2580&lt;='Catatan &amp; Sumber'!$B$14,"Sangat Ketat",IF(J2580&lt;='Catatan &amp; Sumber'!$B$15,"Ketat",IF(J2580&lt;='Catatan &amp; Sumber'!$B$16,"Sedang","Relatif Longgar"))))</x:f>
        <x:v>Relatif Longgar</x:v>
      </x:c>
      <x:c r="N2580" s="66" t="str">
        <x:v>Tidak Ada</x:v>
      </x:c>
      <x:c r="O2580" s="66" t="str">
        <x:v>Jawa Timur</x:v>
      </x:c>
      <x:c r="P2580" s="66" t="str">
        <x:v>Kabupaten Jember</x:v>
      </x:c>
      <x:c r="Q2580" s="66" t="str">
        <x:v>https://snpmb.id/snbp/daya-tampung-snbp</x:v>
      </x:c>
      <x:c r="R2580" s="66" t="str">
        <x:v>https://sidatagrun-public-1076756628210.asia-southeast2.run.app/ptn_sn.php?ptn=371</x:v>
      </x:c>
    </x:row>
    <x:row r="2581">
      <x:c r="A2581" s="87" t="n">
        <x:v>4198</x:v>
      </x:c>
      <x:c r="B2581" s="66" t="n">
        <x:v>371</x:v>
      </x:c>
      <x:c r="C2581" s="66" t="str">
        <x:v>UNIVERSITAS JEMBER</x:v>
      </x:c>
      <x:c r="D2581" s="66" t="str">
        <x:v>PTN Akademik</x:v>
      </x:c>
      <x:c r="E2581" s="66" t="str">
        <x:v>13713074</x:v>
      </x:c>
      <x:c r="F2581" s="66" t="str">
        <x:v>KESEKRETARIATAN</x:v>
      </x:c>
      <x:c r="G2581" s="66" t="str">
        <x:v>Diploma Tiga</x:v>
      </x:c>
      <x:c r="H2581" s="87" t="n">
        <x:v>30</x:v>
      </x:c>
      <x:c r="I2581" s="87" t="n">
        <x:v>35</x:v>
      </x:c>
      <x:c r="J2581" s="68" t="n">
        <x:f>IFERROR(H2581/I2581,"")</x:f>
        <x:v>0.8571428571428571</x:v>
      </x:c>
      <x:c r="K2581" s="69" t="n">
        <x:f>IFERROR(I2581/H2581,"")</x:f>
        <x:v>1.1666666666666667</x:v>
      </x:c>
      <x:c r="L2581" s="66" t="str">
        <x:f>IF(K2581="","","1 : "&amp;TEXT(K2581,"0.0"))</x:f>
        <x:v>1 : 1.2</x:v>
      </x:c>
      <x:c r="M2581" s="66" t="str">
        <x:f>IF(J2581="","Baru/Tanpa Data",IF(J2581&lt;='Catatan &amp; Sumber'!$B$14,"Sangat Ketat",IF(J2581&lt;='Catatan &amp; Sumber'!$B$15,"Ketat",IF(J2581&lt;='Catatan &amp; Sumber'!$B$16,"Sedang","Relatif Longgar"))))</x:f>
        <x:v>Relatif Longgar</x:v>
      </x:c>
      <x:c r="N2581" s="66" t="str">
        <x:v>Tidak Ada</x:v>
      </x:c>
      <x:c r="O2581" s="66" t="str">
        <x:v>Jawa Timur</x:v>
      </x:c>
      <x:c r="P2581" s="66" t="str">
        <x:v>Kabupaten Jember</x:v>
      </x:c>
      <x:c r="Q2581" s="66" t="str">
        <x:v>https://snpmb.id/snbp/daya-tampung-snbp</x:v>
      </x:c>
      <x:c r="R2581" s="66" t="str">
        <x:v>https://sidatagrun-public-1076756628210.asia-southeast2.run.app/ptn_sn.php?ptn=371</x:v>
      </x:c>
    </x:row>
    <x:row r="2582">
      <x:c r="A2582" s="87" t="n">
        <x:v>3640</x:v>
      </x:c>
      <x:c r="B2582" s="66" t="n">
        <x:v>371</x:v>
      </x:c>
      <x:c r="C2582" s="66" t="str">
        <x:v>UNIVERSITAS JEMBER</x:v>
      </x:c>
      <x:c r="D2582" s="66" t="str">
        <x:v>PTN Akademik</x:v>
      </x:c>
      <x:c r="E2582" s="66" t="str">
        <x:v>13713075</x:v>
      </x:c>
      <x:c r="F2582" s="66" t="str">
        <x:v>USAHA PERJALANAN WISATA</x:v>
      </x:c>
      <x:c r="G2582" s="66" t="str">
        <x:v>Diploma Tiga</x:v>
      </x:c>
      <x:c r="H2582" s="87" t="n">
        <x:v>35</x:v>
      </x:c>
      <x:c r="I2582" s="87" t="n">
        <x:v>72</x:v>
      </x:c>
      <x:c r="J2582" s="68" t="n">
        <x:f>IFERROR(H2582/I2582,"")</x:f>
        <x:v>0.4861111111111111</x:v>
      </x:c>
      <x:c r="K2582" s="69" t="n">
        <x:f>IFERROR(I2582/H2582,"")</x:f>
        <x:v>2.057142857142857</x:v>
      </x:c>
      <x:c r="L2582" s="66" t="str">
        <x:f>IF(K2582="","","1 : "&amp;TEXT(K2582,"0.0"))</x:f>
        <x:v>1 : 2.1</x:v>
      </x:c>
      <x:c r="M2582" s="66" t="str">
        <x:f>IF(J2582="","Baru/Tanpa Data",IF(J2582&lt;='Catatan &amp; Sumber'!$B$14,"Sangat Ketat",IF(J2582&lt;='Catatan &amp; Sumber'!$B$15,"Ketat",IF(J2582&lt;='Catatan &amp; Sumber'!$B$16,"Sedang","Relatif Longgar"))))</x:f>
        <x:v>Relatif Longgar</x:v>
      </x:c>
      <x:c r="N2582" s="66" t="str">
        <x:v>Tidak Ada</x:v>
      </x:c>
      <x:c r="O2582" s="66" t="str">
        <x:v>Jawa Timur</x:v>
      </x:c>
      <x:c r="P2582" s="66" t="str">
        <x:v>Kabupaten Jember</x:v>
      </x:c>
      <x:c r="Q2582" s="66" t="str">
        <x:v>https://snpmb.id/snbp/daya-tampung-snbp</x:v>
      </x:c>
      <x:c r="R2582" s="66" t="str">
        <x:v>https://sidatagrun-public-1076756628210.asia-southeast2.run.app/ptn_sn.php?ptn=371</x:v>
      </x:c>
    </x:row>
    <x:row r="2583">
      <x:c r="A2583" s="87" t="n">
        <x:v>3042</x:v>
      </x:c>
      <x:c r="B2583" s="66" t="n">
        <x:v>372</x:v>
      </x:c>
      <x:c r="C2583" s="66" t="str">
        <x:v>UNIVERSITAS BRAWIJAYA</x:v>
      </x:c>
      <x:c r="D2583" s="66" t="str">
        <x:v>PTN Akademik</x:v>
      </x:c>
      <x:c r="E2583" s="66" t="str">
        <x:v>13721001</x:v>
      </x:c>
      <x:c r="F2583" s="66" t="str">
        <x:v>MANAJEMEN SUMBERDAYA PERAIRAN</x:v>
      </x:c>
      <x:c r="G2583" s="66" t="str">
        <x:v>Sarjana</x:v>
      </x:c>
      <x:c r="H2583" s="87" t="n">
        <x:v>36</x:v>
      </x:c>
      <x:c r="I2583" s="87" t="n">
        <x:v>119</x:v>
      </x:c>
      <x:c r="J2583" s="68" t="n">
        <x:f>IFERROR(H2583/I2583,"")</x:f>
        <x:v>0.3025210084033613</x:v>
      </x:c>
      <x:c r="K2583" s="69" t="n">
        <x:f>IFERROR(I2583/H2583,"")</x:f>
        <x:v>3.3055555555555554</x:v>
      </x:c>
      <x:c r="L2583" s="66" t="str">
        <x:f>IF(K2583="","","1 : "&amp;TEXT(K2583,"0.0"))</x:f>
        <x:v>1 : 3.3</x:v>
      </x:c>
      <x:c r="M2583" s="66" t="str">
        <x:f>IF(J2583="","Baru/Tanpa Data",IF(J2583&lt;='Catatan &amp; Sumber'!$B$14,"Sangat Ketat",IF(J2583&lt;='Catatan &amp; Sumber'!$B$15,"Ketat",IF(J2583&lt;='Catatan &amp; Sumber'!$B$16,"Sedang","Relatif Longgar"))))</x:f>
        <x:v>Relatif Longgar</x:v>
      </x:c>
      <x:c r="N2583" s="66" t="str">
        <x:v>Tidak Ada</x:v>
      </x:c>
      <x:c r="O2583" s="66" t="str">
        <x:v>Jawa Timur</x:v>
      </x:c>
      <x:c r="P2583" s="66" t="str">
        <x:v>Kota Malang</x:v>
      </x:c>
      <x:c r="Q2583" s="66" t="str">
        <x:v>https://snpmb.id/snbp/daya-tampung-snbp</x:v>
      </x:c>
      <x:c r="R2583" s="66" t="str">
        <x:v>https://sidatagrun-public-1076756628210.asia-southeast2.run.app/ptn_sn.php?ptn=372</x:v>
      </x:c>
    </x:row>
    <x:row r="2584">
      <x:c r="A2584" s="87" t="n">
        <x:v>2767</x:v>
      </x:c>
      <x:c r="B2584" s="66" t="n">
        <x:v>372</x:v>
      </x:c>
      <x:c r="C2584" s="66" t="str">
        <x:v>UNIVERSITAS BRAWIJAYA</x:v>
      </x:c>
      <x:c r="D2584" s="66" t="str">
        <x:v>PTN Akademik</x:v>
      </x:c>
      <x:c r="E2584" s="66" t="str">
        <x:v>13721002</x:v>
      </x:c>
      <x:c r="F2584" s="66" t="str">
        <x:v>BUDIDAYA PERAIRAN</x:v>
      </x:c>
      <x:c r="G2584" s="66" t="str">
        <x:v>Sarjana</x:v>
      </x:c>
      <x:c r="H2584" s="87" t="n">
        <x:v>36</x:v>
      </x:c>
      <x:c r="I2584" s="87" t="n">
        <x:v>142</x:v>
      </x:c>
      <x:c r="J2584" s="68" t="n">
        <x:f>IFERROR(H2584/I2584,"")</x:f>
        <x:v>0.2535211267605634</x:v>
      </x:c>
      <x:c r="K2584" s="69" t="n">
        <x:f>IFERROR(I2584/H2584,"")</x:f>
        <x:v>3.9444444444444446</x:v>
      </x:c>
      <x:c r="L2584" s="66" t="str">
        <x:f>IF(K2584="","","1 : "&amp;TEXT(K2584,"0.0"))</x:f>
        <x:v>1 : 3.9</x:v>
      </x:c>
      <x:c r="M2584" s="66" t="str">
        <x:f>IF(J2584="","Baru/Tanpa Data",IF(J2584&lt;='Catatan &amp; Sumber'!$B$14,"Sangat Ketat",IF(J2584&lt;='Catatan &amp; Sumber'!$B$15,"Ketat",IF(J2584&lt;='Catatan &amp; Sumber'!$B$16,"Sedang","Relatif Longgar"))))</x:f>
        <x:v>Relatif Longgar</x:v>
      </x:c>
      <x:c r="N2584" s="66" t="str">
        <x:v>Tidak Ada</x:v>
      </x:c>
      <x:c r="O2584" s="66" t="str">
        <x:v>Jawa Timur</x:v>
      </x:c>
      <x:c r="P2584" s="66" t="str">
        <x:v>Kota Malang</x:v>
      </x:c>
      <x:c r="Q2584" s="66" t="str">
        <x:v>https://snpmb.id/snbp/daya-tampung-snbp</x:v>
      </x:c>
      <x:c r="R2584" s="66" t="str">
        <x:v>https://sidatagrun-public-1076756628210.asia-southeast2.run.app/ptn_sn.php?ptn=372</x:v>
      </x:c>
    </x:row>
    <x:row r="2585">
      <x:c r="A2585" s="87" t="n">
        <x:v>876</x:v>
      </x:c>
      <x:c r="B2585" s="66" t="n">
        <x:v>372</x:v>
      </x:c>
      <x:c r="C2585" s="66" t="str">
        <x:v>UNIVERSITAS BRAWIJAYA</x:v>
      </x:c>
      <x:c r="D2585" s="66" t="str">
        <x:v>PTN Akademik</x:v>
      </x:c>
      <x:c r="E2585" s="66" t="str">
        <x:v>13721003</x:v>
      </x:c>
      <x:c r="F2585" s="66" t="str">
        <x:v>TEKNIK SIPIL</x:v>
      </x:c>
      <x:c r="G2585" s="66" t="str">
        <x:v>Sarjana</x:v>
      </x:c>
      <x:c r="H2585" s="87" t="n">
        <x:v>37</x:v>
      </x:c>
      <x:c r="I2585" s="87" t="n">
        <x:v>523</x:v>
      </x:c>
      <x:c r="J2585" s="68" t="n">
        <x:f>IFERROR(H2585/I2585,"")</x:f>
        <x:v>0.07074569789674952</x:v>
      </x:c>
      <x:c r="K2585" s="69" t="n">
        <x:f>IFERROR(I2585/H2585,"")</x:f>
        <x:v>14.135135135135135</x:v>
      </x:c>
      <x:c r="L2585" s="66" t="str">
        <x:f>IF(K2585="","","1 : "&amp;TEXT(K2585,"0.0"))</x:f>
        <x:v>1 : 14.1</x:v>
      </x:c>
      <x:c r="M2585" s="66" t="str">
        <x:f>IF(J2585="","Baru/Tanpa Data",IF(J2585&lt;='Catatan &amp; Sumber'!$B$14,"Sangat Ketat",IF(J2585&lt;='Catatan &amp; Sumber'!$B$15,"Ketat",IF(J2585&lt;='Catatan &amp; Sumber'!$B$16,"Sedang","Relatif Longgar"))))</x:f>
        <x:v>Sedang</x:v>
      </x:c>
      <x:c r="N2585" s="66" t="str">
        <x:v>Tidak Ada</x:v>
      </x:c>
      <x:c r="O2585" s="66" t="str">
        <x:v>Jawa Timur</x:v>
      </x:c>
      <x:c r="P2585" s="66" t="str">
        <x:v>Kota Malang</x:v>
      </x:c>
      <x:c r="Q2585" s="66" t="str">
        <x:v>https://snpmb.id/snbp/daya-tampung-snbp</x:v>
      </x:c>
      <x:c r="R2585" s="66" t="str">
        <x:v>https://sidatagrun-public-1076756628210.asia-southeast2.run.app/ptn_sn.php?ptn=372</x:v>
      </x:c>
    </x:row>
    <x:row r="2586">
      <x:c r="A2586" s="87" t="n">
        <x:v>1394</x:v>
      </x:c>
      <x:c r="B2586" s="66" t="n">
        <x:v>372</x:v>
      </x:c>
      <x:c r="C2586" s="66" t="str">
        <x:v>UNIVERSITAS BRAWIJAYA</x:v>
      </x:c>
      <x:c r="D2586" s="66" t="str">
        <x:v>PTN Akademik</x:v>
      </x:c>
      <x:c r="E2586" s="66" t="str">
        <x:v>13721004</x:v>
      </x:c>
      <x:c r="F2586" s="66" t="str">
        <x:v>TEKNIK MESIN</x:v>
      </x:c>
      <x:c r="G2586" s="66" t="str">
        <x:v>Sarjana</x:v>
      </x:c>
      <x:c r="H2586" s="87" t="n">
        <x:v>44</x:v>
      </x:c>
      <x:c r="I2586" s="87" t="n">
        <x:v>433</x:v>
      </x:c>
      <x:c r="J2586" s="68" t="n">
        <x:f>IFERROR(H2586/I2586,"")</x:f>
        <x:v>0.10161662817551963</x:v>
      </x:c>
      <x:c r="K2586" s="69" t="n">
        <x:f>IFERROR(I2586/H2586,"")</x:f>
        <x:v>9.840909090909092</x:v>
      </x:c>
      <x:c r="L2586" s="66" t="str">
        <x:f>IF(K2586="","","1 : "&amp;TEXT(K2586,"0.0"))</x:f>
        <x:v>1 : 9.8</x:v>
      </x:c>
      <x:c r="M2586" s="66" t="str">
        <x:f>IF(J2586="","Baru/Tanpa Data",IF(J2586&lt;='Catatan &amp; Sumber'!$B$14,"Sangat Ketat",IF(J2586&lt;='Catatan &amp; Sumber'!$B$15,"Ketat",IF(J2586&lt;='Catatan &amp; Sumber'!$B$16,"Sedang","Relatif Longgar"))))</x:f>
        <x:v>Relatif Longgar</x:v>
      </x:c>
      <x:c r="N2586" s="66" t="str">
        <x:v>Tidak Ada</x:v>
      </x:c>
      <x:c r="O2586" s="66" t="str">
        <x:v>Jawa Timur</x:v>
      </x:c>
      <x:c r="P2586" s="66" t="str">
        <x:v>Kota Malang</x:v>
      </x:c>
      <x:c r="Q2586" s="66" t="str">
        <x:v>https://snpmb.id/snbp/daya-tampung-snbp</x:v>
      </x:c>
      <x:c r="R2586" s="66" t="str">
        <x:v>https://sidatagrun-public-1076756628210.asia-southeast2.run.app/ptn_sn.php?ptn=372</x:v>
      </x:c>
    </x:row>
    <x:row r="2587">
      <x:c r="A2587" s="87" t="n">
        <x:v>1389</x:v>
      </x:c>
      <x:c r="B2587" s="66" t="n">
        <x:v>372</x:v>
      </x:c>
      <x:c r="C2587" s="66" t="str">
        <x:v>UNIVERSITAS BRAWIJAYA</x:v>
      </x:c>
      <x:c r="D2587" s="66" t="str">
        <x:v>PTN Akademik</x:v>
      </x:c>
      <x:c r="E2587" s="66" t="str">
        <x:v>13721005</x:v>
      </x:c>
      <x:c r="F2587" s="66" t="str">
        <x:v>TEKNIK ELEKTRO</x:v>
      </x:c>
      <x:c r="G2587" s="66" t="str">
        <x:v>Sarjana</x:v>
      </x:c>
      <x:c r="H2587" s="87" t="n">
        <x:v>44</x:v>
      </x:c>
      <x:c r="I2587" s="87" t="n">
        <x:v>435</x:v>
      </x:c>
      <x:c r="J2587" s="68" t="n">
        <x:f>IFERROR(H2587/I2587,"")</x:f>
        <x:v>0.10114942528735632</x:v>
      </x:c>
      <x:c r="K2587" s="69" t="n">
        <x:f>IFERROR(I2587/H2587,"")</x:f>
        <x:v>9.886363636363637</x:v>
      </x:c>
      <x:c r="L2587" s="66" t="str">
        <x:f>IF(K2587="","","1 : "&amp;TEXT(K2587,"0.0"))</x:f>
        <x:v>1 : 9.9</x:v>
      </x:c>
      <x:c r="M2587" s="66" t="str">
        <x:f>IF(J2587="","Baru/Tanpa Data",IF(J2587&lt;='Catatan &amp; Sumber'!$B$14,"Sangat Ketat",IF(J2587&lt;='Catatan &amp; Sumber'!$B$15,"Ketat",IF(J2587&lt;='Catatan &amp; Sumber'!$B$16,"Sedang","Relatif Longgar"))))</x:f>
        <x:v>Relatif Longgar</x:v>
      </x:c>
      <x:c r="N2587" s="66" t="str">
        <x:v>Tidak Ada</x:v>
      </x:c>
      <x:c r="O2587" s="66" t="str">
        <x:v>Jawa Timur</x:v>
      </x:c>
      <x:c r="P2587" s="66" t="str">
        <x:v>Kota Malang</x:v>
      </x:c>
      <x:c r="Q2587" s="66" t="str">
        <x:v>https://snpmb.id/snbp/daya-tampung-snbp</x:v>
      </x:c>
      <x:c r="R2587" s="66" t="str">
        <x:v>https://sidatagrun-public-1076756628210.asia-southeast2.run.app/ptn_sn.php?ptn=372</x:v>
      </x:c>
    </x:row>
    <x:row r="2588">
      <x:c r="A2588" s="87" t="n">
        <x:v>1201</x:v>
      </x:c>
      <x:c r="B2588" s="66" t="n">
        <x:v>372</x:v>
      </x:c>
      <x:c r="C2588" s="66" t="str">
        <x:v>UNIVERSITAS BRAWIJAYA</x:v>
      </x:c>
      <x:c r="D2588" s="66" t="str">
        <x:v>PTN Akademik</x:v>
      </x:c>
      <x:c r="E2588" s="66" t="str">
        <x:v>13721006</x:v>
      </x:c>
      <x:c r="F2588" s="66" t="str">
        <x:v>ARSITEKTUR</x:v>
      </x:c>
      <x:c r="G2588" s="66" t="str">
        <x:v>Sarjana</x:v>
      </x:c>
      <x:c r="H2588" s="87" t="n">
        <x:v>37</x:v>
      </x:c>
      <x:c r="I2588" s="87" t="n">
        <x:v>412</x:v>
      </x:c>
      <x:c r="J2588" s="68" t="n">
        <x:f>IFERROR(H2588/I2588,"")</x:f>
        <x:v>0.08980582524271845</x:v>
      </x:c>
      <x:c r="K2588" s="69" t="n">
        <x:f>IFERROR(I2588/H2588,"")</x:f>
        <x:v>11.135135135135135</x:v>
      </x:c>
      <x:c r="L2588" s="66" t="str">
        <x:f>IF(K2588="","","1 : "&amp;TEXT(K2588,"0.0"))</x:f>
        <x:v>1 : 11.1</x:v>
      </x:c>
      <x:c r="M2588" s="66" t="str">
        <x:f>IF(J2588="","Baru/Tanpa Data",IF(J2588&lt;='Catatan &amp; Sumber'!$B$14,"Sangat Ketat",IF(J2588&lt;='Catatan &amp; Sumber'!$B$15,"Ketat",IF(J2588&lt;='Catatan &amp; Sumber'!$B$16,"Sedang","Relatif Longgar"))))</x:f>
        <x:v>Sedang</x:v>
      </x:c>
      <x:c r="N2588" s="66" t="str">
        <x:v>Tidak Ada</x:v>
      </x:c>
      <x:c r="O2588" s="66" t="str">
        <x:v>Jawa Timur</x:v>
      </x:c>
      <x:c r="P2588" s="66" t="str">
        <x:v>Kota Malang</x:v>
      </x:c>
      <x:c r="Q2588" s="66" t="str">
        <x:v>https://snpmb.id/snbp/daya-tampung-snbp</x:v>
      </x:c>
      <x:c r="R2588" s="66" t="str">
        <x:v>https://sidatagrun-public-1076756628210.asia-southeast2.run.app/ptn_sn.php?ptn=372</x:v>
      </x:c>
    </x:row>
    <x:row r="2589">
      <x:c r="A2589" s="87" t="n">
        <x:v>2360</x:v>
      </x:c>
      <x:c r="B2589" s="66" t="n">
        <x:v>372</x:v>
      </x:c>
      <x:c r="C2589" s="66" t="str">
        <x:v>UNIVERSITAS BRAWIJAYA</x:v>
      </x:c>
      <x:c r="D2589" s="66" t="str">
        <x:v>PTN Akademik</x:v>
      </x:c>
      <x:c r="E2589" s="66" t="str">
        <x:v>13721007</x:v>
      </x:c>
      <x:c r="F2589" s="66" t="str">
        <x:v>TEKNIK PENGAIRAN</x:v>
      </x:c>
      <x:c r="G2589" s="66" t="str">
        <x:v>Sarjana</x:v>
      </x:c>
      <x:c r="H2589" s="87" t="n">
        <x:v>37</x:v>
      </x:c>
      <x:c r="I2589" s="87" t="n">
        <x:v>194</x:v>
      </x:c>
      <x:c r="J2589" s="68" t="n">
        <x:f>IFERROR(H2589/I2589,"")</x:f>
        <x:v>0.19072164948453607</x:v>
      </x:c>
      <x:c r="K2589" s="69" t="n">
        <x:f>IFERROR(I2589/H2589,"")</x:f>
        <x:v>5.243243243243243</x:v>
      </x:c>
      <x:c r="L2589" s="66" t="str">
        <x:f>IF(K2589="","","1 : "&amp;TEXT(K2589,"0.0"))</x:f>
        <x:v>1 : 5.2</x:v>
      </x:c>
      <x:c r="M2589" s="66" t="str">
        <x:f>IF(J2589="","Baru/Tanpa Data",IF(J2589&lt;='Catatan &amp; Sumber'!$B$14,"Sangat Ketat",IF(J2589&lt;='Catatan &amp; Sumber'!$B$15,"Ketat",IF(J2589&lt;='Catatan &amp; Sumber'!$B$16,"Sedang","Relatif Longgar"))))</x:f>
        <x:v>Relatif Longgar</x:v>
      </x:c>
      <x:c r="N2589" s="66" t="str">
        <x:v>Tidak Ada</x:v>
      </x:c>
      <x:c r="O2589" s="66" t="str">
        <x:v>Jawa Timur</x:v>
      </x:c>
      <x:c r="P2589" s="66" t="str">
        <x:v>Kota Malang</x:v>
      </x:c>
      <x:c r="Q2589" s="66" t="str">
        <x:v>https://snpmb.id/snbp/daya-tampung-snbp</x:v>
      </x:c>
      <x:c r="R2589" s="66" t="str">
        <x:v>https://sidatagrun-public-1076756628210.asia-southeast2.run.app/ptn_sn.php?ptn=372</x:v>
      </x:c>
    </x:row>
    <x:row r="2590">
      <x:c r="A2590" s="87" t="n">
        <x:v>337</x:v>
      </x:c>
      <x:c r="B2590" s="66" t="n">
        <x:v>372</x:v>
      </x:c>
      <x:c r="C2590" s="66" t="str">
        <x:v>UNIVERSITAS BRAWIJAYA</x:v>
      </x:c>
      <x:c r="D2590" s="66" t="str">
        <x:v>PTN Akademik</x:v>
      </x:c>
      <x:c r="E2590" s="66" t="str">
        <x:v>13721008</x:v>
      </x:c>
      <x:c r="F2590" s="66" t="str">
        <x:v>KEDOKTERAN</x:v>
      </x:c>
      <x:c r="G2590" s="66" t="str">
        <x:v>Sarjana</x:v>
      </x:c>
      <x:c r="H2590" s="87" t="n">
        <x:v>64</x:v>
      </x:c>
      <x:c r="I2590" s="87" t="n">
        <x:v>1456</x:v>
      </x:c>
      <x:c r="J2590" s="68" t="n">
        <x:f>IFERROR(H2590/I2590,"")</x:f>
        <x:v>0.04395604395604396</x:v>
      </x:c>
      <x:c r="K2590" s="69" t="n">
        <x:f>IFERROR(I2590/H2590,"")</x:f>
        <x:v>22.75</x:v>
      </x:c>
      <x:c r="L2590" s="66" t="str">
        <x:f>IF(K2590="","","1 : "&amp;TEXT(K2590,"0.0"))</x:f>
        <x:v>1 : 22.8</x:v>
      </x:c>
      <x:c r="M2590" s="66" t="str">
        <x:f>IF(J2590="","Baru/Tanpa Data",IF(J2590&lt;='Catatan &amp; Sumber'!$B$14,"Sangat Ketat",IF(J2590&lt;='Catatan &amp; Sumber'!$B$15,"Ketat",IF(J2590&lt;='Catatan &amp; Sumber'!$B$16,"Sedang","Relatif Longgar"))))</x:f>
        <x:v>Ketat</x:v>
      </x:c>
      <x:c r="N2590" s="66" t="str">
        <x:v>Tidak Ada</x:v>
      </x:c>
      <x:c r="O2590" s="66" t="str">
        <x:v>Jawa Timur</x:v>
      </x:c>
      <x:c r="P2590" s="66" t="str">
        <x:v>Kota Malang</x:v>
      </x:c>
      <x:c r="Q2590" s="66" t="str">
        <x:v>https://snpmb.id/snbp/daya-tampung-snbp</x:v>
      </x:c>
      <x:c r="R2590" s="66" t="str">
        <x:v>https://sidatagrun-public-1076756628210.asia-southeast2.run.app/ptn_sn.php?ptn=372</x:v>
      </x:c>
    </x:row>
    <x:row r="2591">
      <x:c r="A2591" s="87" t="n">
        <x:v>657</x:v>
      </x:c>
      <x:c r="B2591" s="66" t="n">
        <x:v>372</x:v>
      </x:c>
      <x:c r="C2591" s="66" t="str">
        <x:v>UNIVERSITAS BRAWIJAYA</x:v>
      </x:c>
      <x:c r="D2591" s="66" t="str">
        <x:v>PTN Akademik</x:v>
      </x:c>
      <x:c r="E2591" s="66" t="str">
        <x:v>13721009</x:v>
      </x:c>
      <x:c r="F2591" s="66" t="str">
        <x:v>TEKNOLOGI PANGAN</x:v>
      </x:c>
      <x:c r="G2591" s="66" t="str">
        <x:v>Sarjana</x:v>
      </x:c>
      <x:c r="H2591" s="87" t="n">
        <x:v>50</x:v>
      </x:c>
      <x:c r="I2591" s="87" t="n">
        <x:v>839</x:v>
      </x:c>
      <x:c r="J2591" s="68" t="n">
        <x:f>IFERROR(H2591/I2591,"")</x:f>
        <x:v>0.05959475566150179</x:v>
      </x:c>
      <x:c r="K2591" s="69" t="n">
        <x:f>IFERROR(I2591/H2591,"")</x:f>
        <x:v>16.78</x:v>
      </x:c>
      <x:c r="L2591" s="66" t="str">
        <x:f>IF(K2591="","","1 : "&amp;TEXT(K2591,"0.0"))</x:f>
        <x:v>1 : 16.8</x:v>
      </x:c>
      <x:c r="M2591" s="66" t="str">
        <x:f>IF(J2591="","Baru/Tanpa Data",IF(J2591&lt;='Catatan &amp; Sumber'!$B$14,"Sangat Ketat",IF(J2591&lt;='Catatan &amp; Sumber'!$B$15,"Ketat",IF(J2591&lt;='Catatan &amp; Sumber'!$B$16,"Sedang","Relatif Longgar"))))</x:f>
        <x:v>Sedang</x:v>
      </x:c>
      <x:c r="N2591" s="66" t="str">
        <x:v>Tidak Ada</x:v>
      </x:c>
      <x:c r="O2591" s="66" t="str">
        <x:v>Jawa Timur</x:v>
      </x:c>
      <x:c r="P2591" s="66" t="str">
        <x:v>Kota Malang</x:v>
      </x:c>
      <x:c r="Q2591" s="66" t="str">
        <x:v>https://snpmb.id/snbp/daya-tampung-snbp</x:v>
      </x:c>
      <x:c r="R2591" s="66" t="str">
        <x:v>https://sidatagrun-public-1076756628210.asia-southeast2.run.app/ptn_sn.php?ptn=372</x:v>
      </x:c>
    </x:row>
    <x:row r="2592">
      <x:c r="A2592" s="87" t="n">
        <x:v>2238</x:v>
      </x:c>
      <x:c r="B2592" s="66" t="n">
        <x:v>372</x:v>
      </x:c>
      <x:c r="C2592" s="66" t="str">
        <x:v>UNIVERSITAS BRAWIJAYA</x:v>
      </x:c>
      <x:c r="D2592" s="66" t="str">
        <x:v>PTN Akademik</x:v>
      </x:c>
      <x:c r="E2592" s="66" t="str">
        <x:v>13721010</x:v>
      </x:c>
      <x:c r="F2592" s="66" t="str">
        <x:v>BIOLOGI</x:v>
      </x:c>
      <x:c r="G2592" s="66" t="str">
        <x:v>Sarjana</x:v>
      </x:c>
      <x:c r="H2592" s="87" t="n">
        <x:v>38</x:v>
      </x:c>
      <x:c r="I2592" s="87" t="n">
        <x:v>215</x:v>
      </x:c>
      <x:c r="J2592" s="68" t="n">
        <x:f>IFERROR(H2592/I2592,"")</x:f>
        <x:v>0.17674418604651163</x:v>
      </x:c>
      <x:c r="K2592" s="69" t="n">
        <x:f>IFERROR(I2592/H2592,"")</x:f>
        <x:v>5.657894736842105</x:v>
      </x:c>
      <x:c r="L2592" s="66" t="str">
        <x:f>IF(K2592="","","1 : "&amp;TEXT(K2592,"0.0"))</x:f>
        <x:v>1 : 5.7</x:v>
      </x:c>
      <x:c r="M2592" s="66" t="str">
        <x:f>IF(J2592="","Baru/Tanpa Data",IF(J2592&lt;='Catatan &amp; Sumber'!$B$14,"Sangat Ketat",IF(J2592&lt;='Catatan &amp; Sumber'!$B$15,"Ketat",IF(J2592&lt;='Catatan &amp; Sumber'!$B$16,"Sedang","Relatif Longgar"))))</x:f>
        <x:v>Relatif Longgar</x:v>
      </x:c>
      <x:c r="N2592" s="66" t="str">
        <x:v>Tidak Ada</x:v>
      </x:c>
      <x:c r="O2592" s="66" t="str">
        <x:v>Jawa Timur</x:v>
      </x:c>
      <x:c r="P2592" s="66" t="str">
        <x:v>Kota Malang</x:v>
      </x:c>
      <x:c r="Q2592" s="66" t="str">
        <x:v>https://snpmb.id/snbp/daya-tampung-snbp</x:v>
      </x:c>
      <x:c r="R2592" s="66" t="str">
        <x:v>https://sidatagrun-public-1076756628210.asia-southeast2.run.app/ptn_sn.php?ptn=372</x:v>
      </x:c>
    </x:row>
    <x:row r="2593">
      <x:c r="A2593" s="87" t="n">
        <x:v>2642</x:v>
      </x:c>
      <x:c r="B2593" s="66" t="n">
        <x:v>372</x:v>
      </x:c>
      <x:c r="C2593" s="66" t="str">
        <x:v>UNIVERSITAS BRAWIJAYA</x:v>
      </x:c>
      <x:c r="D2593" s="66" t="str">
        <x:v>PTN Akademik</x:v>
      </x:c>
      <x:c r="E2593" s="66" t="str">
        <x:v>13721011</x:v>
      </x:c>
      <x:c r="F2593" s="66" t="str">
        <x:v>FISIKA</x:v>
      </x:c>
      <x:c r="G2593" s="66" t="str">
        <x:v>Sarjana</x:v>
      </x:c>
      <x:c r="H2593" s="87" t="n">
        <x:v>22</x:v>
      </x:c>
      <x:c r="I2593" s="87" t="n">
        <x:v>94</x:v>
      </x:c>
      <x:c r="J2593" s="68" t="n">
        <x:f>IFERROR(H2593/I2593,"")</x:f>
        <x:v>0.23404255319148937</x:v>
      </x:c>
      <x:c r="K2593" s="69" t="n">
        <x:f>IFERROR(I2593/H2593,"")</x:f>
        <x:v>4.2727272727272725</x:v>
      </x:c>
      <x:c r="L2593" s="66" t="str">
        <x:f>IF(K2593="","","1 : "&amp;TEXT(K2593,"0.0"))</x:f>
        <x:v>1 : 4.3</x:v>
      </x:c>
      <x:c r="M2593" s="66" t="str">
        <x:f>IF(J2593="","Baru/Tanpa Data",IF(J2593&lt;='Catatan &amp; Sumber'!$B$14,"Sangat Ketat",IF(J2593&lt;='Catatan &amp; Sumber'!$B$15,"Ketat",IF(J2593&lt;='Catatan &amp; Sumber'!$B$16,"Sedang","Relatif Longgar"))))</x:f>
        <x:v>Relatif Longgar</x:v>
      </x:c>
      <x:c r="N2593" s="66" t="str">
        <x:v>Tidak Ada</x:v>
      </x:c>
      <x:c r="O2593" s="66" t="str">
        <x:v>Jawa Timur</x:v>
      </x:c>
      <x:c r="P2593" s="66" t="str">
        <x:v>Kota Malang</x:v>
      </x:c>
      <x:c r="Q2593" s="66" t="str">
        <x:v>https://snpmb.id/snbp/daya-tampung-snbp</x:v>
      </x:c>
      <x:c r="R2593" s="66" t="str">
        <x:v>https://sidatagrun-public-1076756628210.asia-southeast2.run.app/ptn_sn.php?ptn=372</x:v>
      </x:c>
    </x:row>
    <x:row r="2594">
      <x:c r="A2594" s="87" t="n">
        <x:v>1973</x:v>
      </x:c>
      <x:c r="B2594" s="66" t="n">
        <x:v>372</x:v>
      </x:c>
      <x:c r="C2594" s="66" t="str">
        <x:v>UNIVERSITAS BRAWIJAYA</x:v>
      </x:c>
      <x:c r="D2594" s="66" t="str">
        <x:v>PTN Akademik</x:v>
      </x:c>
      <x:c r="E2594" s="66" t="str">
        <x:v>13721012</x:v>
      </x:c>
      <x:c r="F2594" s="66" t="str">
        <x:v>KIMIA</x:v>
      </x:c>
      <x:c r="G2594" s="66" t="str">
        <x:v>Sarjana</x:v>
      </x:c>
      <x:c r="H2594" s="87" t="n">
        <x:v>42</x:v>
      </x:c>
      <x:c r="I2594" s="87" t="n">
        <x:v>283</x:v>
      </x:c>
      <x:c r="J2594" s="68" t="n">
        <x:f>IFERROR(H2594/I2594,"")</x:f>
        <x:v>0.14840989399293286</x:v>
      </x:c>
      <x:c r="K2594" s="69" t="n">
        <x:f>IFERROR(I2594/H2594,"")</x:f>
        <x:v>6.738095238095238</x:v>
      </x:c>
      <x:c r="L2594" s="66" t="str">
        <x:f>IF(K2594="","","1 : "&amp;TEXT(K2594,"0.0"))</x:f>
        <x:v>1 : 6.7</x:v>
      </x:c>
      <x:c r="M2594" s="66" t="str">
        <x:f>IF(J2594="","Baru/Tanpa Data",IF(J2594&lt;='Catatan &amp; Sumber'!$B$14,"Sangat Ketat",IF(J2594&lt;='Catatan &amp; Sumber'!$B$15,"Ketat",IF(J2594&lt;='Catatan &amp; Sumber'!$B$16,"Sedang","Relatif Longgar"))))</x:f>
        <x:v>Relatif Longgar</x:v>
      </x:c>
      <x:c r="N2594" s="66" t="str">
        <x:v>Tidak Ada</x:v>
      </x:c>
      <x:c r="O2594" s="66" t="str">
        <x:v>Jawa Timur</x:v>
      </x:c>
      <x:c r="P2594" s="66" t="str">
        <x:v>Kota Malang</x:v>
      </x:c>
      <x:c r="Q2594" s="66" t="str">
        <x:v>https://snpmb.id/snbp/daya-tampung-snbp</x:v>
      </x:c>
      <x:c r="R2594" s="66" t="str">
        <x:v>https://sidatagrun-public-1076756628210.asia-southeast2.run.app/ptn_sn.php?ptn=372</x:v>
      </x:c>
    </x:row>
    <x:row r="2595">
      <x:c r="A2595" s="87" t="n">
        <x:v>2436</x:v>
      </x:c>
      <x:c r="B2595" s="66" t="n">
        <x:v>372</x:v>
      </x:c>
      <x:c r="C2595" s="66" t="str">
        <x:v>UNIVERSITAS BRAWIJAYA</x:v>
      </x:c>
      <x:c r="D2595" s="66" t="str">
        <x:v>PTN Akademik</x:v>
      </x:c>
      <x:c r="E2595" s="66" t="str">
        <x:v>13721013</x:v>
      </x:c>
      <x:c r="F2595" s="66" t="str">
        <x:v>MATEMATIKA</x:v>
      </x:c>
      <x:c r="G2595" s="66" t="str">
        <x:v>Sarjana</x:v>
      </x:c>
      <x:c r="H2595" s="87" t="n">
        <x:v>40</x:v>
      </x:c>
      <x:c r="I2595" s="87" t="n">
        <x:v>199</x:v>
      </x:c>
      <x:c r="J2595" s="68" t="n">
        <x:f>IFERROR(H2595/I2595,"")</x:f>
        <x:v>0.20100502512562815</x:v>
      </x:c>
      <x:c r="K2595" s="69" t="n">
        <x:f>IFERROR(I2595/H2595,"")</x:f>
        <x:v>4.975</x:v>
      </x:c>
      <x:c r="L2595" s="66" t="str">
        <x:f>IF(K2595="","","1 : "&amp;TEXT(K2595,"0.0"))</x:f>
        <x:v>1 : 5.0</x:v>
      </x:c>
      <x:c r="M2595" s="66" t="str">
        <x:f>IF(J2595="","Baru/Tanpa Data",IF(J2595&lt;='Catatan &amp; Sumber'!$B$14,"Sangat Ketat",IF(J2595&lt;='Catatan &amp; Sumber'!$B$15,"Ketat",IF(J2595&lt;='Catatan &amp; Sumber'!$B$16,"Sedang","Relatif Longgar"))))</x:f>
        <x:v>Relatif Longgar</x:v>
      </x:c>
      <x:c r="N2595" s="66" t="str">
        <x:v>Tidak Ada</x:v>
      </x:c>
      <x:c r="O2595" s="66" t="str">
        <x:v>Jawa Timur</x:v>
      </x:c>
      <x:c r="P2595" s="66" t="str">
        <x:v>Kota Malang</x:v>
      </x:c>
      <x:c r="Q2595" s="66" t="str">
        <x:v>https://snpmb.id/snbp/daya-tampung-snbp</x:v>
      </x:c>
      <x:c r="R2595" s="66" t="str">
        <x:v>https://sidatagrun-public-1076756628210.asia-southeast2.run.app/ptn_sn.php?ptn=372</x:v>
      </x:c>
    </x:row>
    <x:row r="2596">
      <x:c r="A2596" s="87" t="n">
        <x:v>2660</x:v>
      </x:c>
      <x:c r="B2596" s="66" t="n">
        <x:v>372</x:v>
      </x:c>
      <x:c r="C2596" s="66" t="str">
        <x:v>UNIVERSITAS BRAWIJAYA</x:v>
      </x:c>
      <x:c r="D2596" s="66" t="str">
        <x:v>PTN Akademik</x:v>
      </x:c>
      <x:c r="E2596" s="66" t="str">
        <x:v>13721014</x:v>
      </x:c>
      <x:c r="F2596" s="66" t="str">
        <x:v>PEMANFAATAN SUMBERDAYA PERIKANAN</x:v>
      </x:c>
      <x:c r="G2596" s="66" t="str">
        <x:v>Sarjana</x:v>
      </x:c>
      <x:c r="H2596" s="87" t="n">
        <x:v>38</x:v>
      </x:c>
      <x:c r="I2596" s="87" t="n">
        <x:v>161</x:v>
      </x:c>
      <x:c r="J2596" s="68" t="n">
        <x:f>IFERROR(H2596/I2596,"")</x:f>
        <x:v>0.2360248447204969</x:v>
      </x:c>
      <x:c r="K2596" s="69" t="n">
        <x:f>IFERROR(I2596/H2596,"")</x:f>
        <x:v>4.2368421052631575</x:v>
      </x:c>
      <x:c r="L2596" s="66" t="str">
        <x:f>IF(K2596="","","1 : "&amp;TEXT(K2596,"0.0"))</x:f>
        <x:v>1 : 4.2</x:v>
      </x:c>
      <x:c r="M2596" s="66" t="str">
        <x:f>IF(J2596="","Baru/Tanpa Data",IF(J2596&lt;='Catatan &amp; Sumber'!$B$14,"Sangat Ketat",IF(J2596&lt;='Catatan &amp; Sumber'!$B$15,"Ketat",IF(J2596&lt;='Catatan &amp; Sumber'!$B$16,"Sedang","Relatif Longgar"))))</x:f>
        <x:v>Relatif Longgar</x:v>
      </x:c>
      <x:c r="N2596" s="66" t="str">
        <x:v>Tidak Ada</x:v>
      </x:c>
      <x:c r="O2596" s="66" t="str">
        <x:v>Jawa Timur</x:v>
      </x:c>
      <x:c r="P2596" s="66" t="str">
        <x:v>Kota Malang</x:v>
      </x:c>
      <x:c r="Q2596" s="66" t="str">
        <x:v>https://snpmb.id/snbp/daya-tampung-snbp</x:v>
      </x:c>
      <x:c r="R2596" s="66" t="str">
        <x:v>https://sidatagrun-public-1076756628210.asia-southeast2.run.app/ptn_sn.php?ptn=372</x:v>
      </x:c>
    </x:row>
    <x:row r="2597">
      <x:c r="A2597" s="87" t="n">
        <x:v>2885</x:v>
      </x:c>
      <x:c r="B2597" s="66" t="n">
        <x:v>372</x:v>
      </x:c>
      <x:c r="C2597" s="66" t="str">
        <x:v>UNIVERSITAS BRAWIJAYA</x:v>
      </x:c>
      <x:c r="D2597" s="66" t="str">
        <x:v>PTN Akademik</x:v>
      </x:c>
      <x:c r="E2597" s="66" t="str">
        <x:v>13721015</x:v>
      </x:c>
      <x:c r="F2597" s="66" t="str">
        <x:v>TEKNOLOGI HASIL PERIKANAN</x:v>
      </x:c>
      <x:c r="G2597" s="66" t="str">
        <x:v>Sarjana</x:v>
      </x:c>
      <x:c r="H2597" s="87" t="n">
        <x:v>40</x:v>
      </x:c>
      <x:c r="I2597" s="87" t="n">
        <x:v>147</x:v>
      </x:c>
      <x:c r="J2597" s="68" t="n">
        <x:f>IFERROR(H2597/I2597,"")</x:f>
        <x:v>0.272108843537415</x:v>
      </x:c>
      <x:c r="K2597" s="69" t="n">
        <x:f>IFERROR(I2597/H2597,"")</x:f>
        <x:v>3.675</x:v>
      </x:c>
      <x:c r="L2597" s="66" t="str">
        <x:f>IF(K2597="","","1 : "&amp;TEXT(K2597,"0.0"))</x:f>
        <x:v>1 : 3.7</x:v>
      </x:c>
      <x:c r="M2597" s="66" t="str">
        <x:f>IF(J2597="","Baru/Tanpa Data",IF(J2597&lt;='Catatan &amp; Sumber'!$B$14,"Sangat Ketat",IF(J2597&lt;='Catatan &amp; Sumber'!$B$15,"Ketat",IF(J2597&lt;='Catatan &amp; Sumber'!$B$16,"Sedang","Relatif Longgar"))))</x:f>
        <x:v>Relatif Longgar</x:v>
      </x:c>
      <x:c r="N2597" s="66" t="str">
        <x:v>Tidak Ada</x:v>
      </x:c>
      <x:c r="O2597" s="66" t="str">
        <x:v>Jawa Timur</x:v>
      </x:c>
      <x:c r="P2597" s="66" t="str">
        <x:v>Kota Malang</x:v>
      </x:c>
      <x:c r="Q2597" s="66" t="str">
        <x:v>https://snpmb.id/snbp/daya-tampung-snbp</x:v>
      </x:c>
      <x:c r="R2597" s="66" t="str">
        <x:v>https://sidatagrun-public-1076756628210.asia-southeast2.run.app/ptn_sn.php?ptn=372</x:v>
      </x:c>
    </x:row>
    <x:row r="2598">
      <x:c r="A2598" s="87" t="n">
        <x:v>2735</x:v>
      </x:c>
      <x:c r="B2598" s="66" t="n">
        <x:v>372</x:v>
      </x:c>
      <x:c r="C2598" s="66" t="str">
        <x:v>UNIVERSITAS BRAWIJAYA</x:v>
      </x:c>
      <x:c r="D2598" s="66" t="str">
        <x:v>PTN Akademik</x:v>
      </x:c>
      <x:c r="E2598" s="66" t="str">
        <x:v>13721016</x:v>
      </x:c>
      <x:c r="F2598" s="66" t="str">
        <x:v>AGROBISNIS PERIKANAN</x:v>
      </x:c>
      <x:c r="G2598" s="66" t="str">
        <x:v>Sarjana</x:v>
      </x:c>
      <x:c r="H2598" s="87" t="n">
        <x:v>36</x:v>
      </x:c>
      <x:c r="I2598" s="87" t="n">
        <x:v>144</x:v>
      </x:c>
      <x:c r="J2598" s="68" t="n">
        <x:f>IFERROR(H2598/I2598,"")</x:f>
        <x:v>0.25</x:v>
      </x:c>
      <x:c r="K2598" s="69" t="n">
        <x:f>IFERROR(I2598/H2598,"")</x:f>
        <x:v>4</x:v>
      </x:c>
      <x:c r="L2598" s="66" t="str">
        <x:f>IF(K2598="","","1 : "&amp;TEXT(K2598,"0.0"))</x:f>
        <x:v>1 : 4.0</x:v>
      </x:c>
      <x:c r="M2598" s="66" t="str">
        <x:f>IF(J2598="","Baru/Tanpa Data",IF(J2598&lt;='Catatan &amp; Sumber'!$B$14,"Sangat Ketat",IF(J2598&lt;='Catatan &amp; Sumber'!$B$15,"Ketat",IF(J2598&lt;='Catatan &amp; Sumber'!$B$16,"Sedang","Relatif Longgar"))))</x:f>
        <x:v>Relatif Longgar</x:v>
      </x:c>
      <x:c r="N2598" s="66" t="str">
        <x:v>Tidak Ada</x:v>
      </x:c>
      <x:c r="O2598" s="66" t="str">
        <x:v>Jawa Timur</x:v>
      </x:c>
      <x:c r="P2598" s="66" t="str">
        <x:v>Kota Malang</x:v>
      </x:c>
      <x:c r="Q2598" s="66" t="str">
        <x:v>https://snpmb.id/snbp/daya-tampung-snbp</x:v>
      </x:c>
      <x:c r="R2598" s="66" t="str">
        <x:v>https://sidatagrun-public-1076756628210.asia-southeast2.run.app/ptn_sn.php?ptn=372</x:v>
      </x:c>
    </x:row>
    <x:row r="2599">
      <x:c r="A2599" s="87" t="n">
        <x:v>1809</x:v>
      </x:c>
      <x:c r="B2599" s="66" t="n">
        <x:v>372</x:v>
      </x:c>
      <x:c r="C2599" s="66" t="str">
        <x:v>UNIVERSITAS BRAWIJAYA</x:v>
      </x:c>
      <x:c r="D2599" s="66" t="str">
        <x:v>PTN Akademik</x:v>
      </x:c>
      <x:c r="E2599" s="66" t="str">
        <x:v>13721017</x:v>
      </x:c>
      <x:c r="F2599" s="66" t="str">
        <x:v>TEKNIK PERTANIAN DAN BIOSISTEM</x:v>
      </x:c>
      <x:c r="G2599" s="66" t="str">
        <x:v>Sarjana</x:v>
      </x:c>
      <x:c r="H2599" s="87" t="n">
        <x:v>33</x:v>
      </x:c>
      <x:c r="I2599" s="87" t="n">
        <x:v>248</x:v>
      </x:c>
      <x:c r="J2599" s="68" t="n">
        <x:f>IFERROR(H2599/I2599,"")</x:f>
        <x:v>0.13306451612903225</x:v>
      </x:c>
      <x:c r="K2599" s="69" t="n">
        <x:f>IFERROR(I2599/H2599,"")</x:f>
        <x:v>7.515151515151516</x:v>
      </x:c>
      <x:c r="L2599" s="66" t="str">
        <x:f>IF(K2599="","","1 : "&amp;TEXT(K2599,"0.0"))</x:f>
        <x:v>1 : 7.5</x:v>
      </x:c>
      <x:c r="M2599" s="66" t="str">
        <x:f>IF(J2599="","Baru/Tanpa Data",IF(J2599&lt;='Catatan &amp; Sumber'!$B$14,"Sangat Ketat",IF(J2599&lt;='Catatan &amp; Sumber'!$B$15,"Ketat",IF(J2599&lt;='Catatan &amp; Sumber'!$B$16,"Sedang","Relatif Longgar"))))</x:f>
        <x:v>Relatif Longgar</x:v>
      </x:c>
      <x:c r="N2599" s="66" t="str">
        <x:v>Tidak Ada</x:v>
      </x:c>
      <x:c r="O2599" s="66" t="str">
        <x:v>Jawa Timur</x:v>
      </x:c>
      <x:c r="P2599" s="66" t="str">
        <x:v>Kota Malang</x:v>
      </x:c>
      <x:c r="Q2599" s="66" t="str">
        <x:v>https://snpmb.id/snbp/daya-tampung-snbp</x:v>
      </x:c>
      <x:c r="R2599" s="66" t="str">
        <x:v>https://sidatagrun-public-1076756628210.asia-southeast2.run.app/ptn_sn.php?ptn=372</x:v>
      </x:c>
    </x:row>
    <x:row r="2600">
      <x:c r="A2600" s="87" t="n">
        <x:v>1488</x:v>
      </x:c>
      <x:c r="B2600" s="66" t="n">
        <x:v>372</x:v>
      </x:c>
      <x:c r="C2600" s="66" t="str">
        <x:v>UNIVERSITAS BRAWIJAYA</x:v>
      </x:c>
      <x:c r="D2600" s="66" t="str">
        <x:v>PTN Akademik</x:v>
      </x:c>
      <x:c r="E2600" s="66" t="str">
        <x:v>13721018</x:v>
      </x:c>
      <x:c r="F2600" s="66" t="str">
        <x:v>STATISTIKA</x:v>
      </x:c>
      <x:c r="G2600" s="66" t="str">
        <x:v>Sarjana</x:v>
      </x:c>
      <x:c r="H2600" s="87" t="n">
        <x:v>42</x:v>
      </x:c>
      <x:c r="I2600" s="87" t="n">
        <x:v>386</x:v>
      </x:c>
      <x:c r="J2600" s="68" t="n">
        <x:f>IFERROR(H2600/I2600,"")</x:f>
        <x:v>0.10880829015544041</x:v>
      </x:c>
      <x:c r="K2600" s="69" t="n">
        <x:f>IFERROR(I2600/H2600,"")</x:f>
        <x:v>9.19047619047619</x:v>
      </x:c>
      <x:c r="L2600" s="66" t="str">
        <x:f>IF(K2600="","","1 : "&amp;TEXT(K2600,"0.0"))</x:f>
        <x:v>1 : 9.2</x:v>
      </x:c>
      <x:c r="M2600" s="66" t="str">
        <x:f>IF(J2600="","Baru/Tanpa Data",IF(J2600&lt;='Catatan &amp; Sumber'!$B$14,"Sangat Ketat",IF(J2600&lt;='Catatan &amp; Sumber'!$B$15,"Ketat",IF(J2600&lt;='Catatan &amp; Sumber'!$B$16,"Sedang","Relatif Longgar"))))</x:f>
        <x:v>Relatif Longgar</x:v>
      </x:c>
      <x:c r="N2600" s="66" t="str">
        <x:v>Tidak Ada</x:v>
      </x:c>
      <x:c r="O2600" s="66" t="str">
        <x:v>Jawa Timur</x:v>
      </x:c>
      <x:c r="P2600" s="66" t="str">
        <x:v>Kota Malang</x:v>
      </x:c>
      <x:c r="Q2600" s="66" t="str">
        <x:v>https://snpmb.id/snbp/daya-tampung-snbp</x:v>
      </x:c>
      <x:c r="R2600" s="66" t="str">
        <x:v>https://sidatagrun-public-1076756628210.asia-southeast2.run.app/ptn_sn.php?ptn=372</x:v>
      </x:c>
    </x:row>
    <x:row r="2601">
      <x:c r="A2601" s="87" t="n">
        <x:v>1441</x:v>
      </x:c>
      <x:c r="B2601" s="66" t="n">
        <x:v>372</x:v>
      </x:c>
      <x:c r="C2601" s="66" t="str">
        <x:v>UNIVERSITAS BRAWIJAYA</x:v>
      </x:c>
      <x:c r="D2601" s="66" t="str">
        <x:v>PTN Akademik</x:v>
      </x:c>
      <x:c r="E2601" s="66" t="str">
        <x:v>13721019</x:v>
      </x:c>
      <x:c r="F2601" s="66" t="str">
        <x:v>PERENCANAAN WILAYAH &amp; KOTA</x:v>
      </x:c>
      <x:c r="G2601" s="66" t="str">
        <x:v>Sarjana</x:v>
      </x:c>
      <x:c r="H2601" s="87" t="n">
        <x:v>37</x:v>
      </x:c>
      <x:c r="I2601" s="87" t="n">
        <x:v>351</x:v>
      </x:c>
      <x:c r="J2601" s="68" t="n">
        <x:f>IFERROR(H2601/I2601,"")</x:f>
        <x:v>0.10541310541310542</x:v>
      </x:c>
      <x:c r="K2601" s="69" t="n">
        <x:f>IFERROR(I2601/H2601,"")</x:f>
        <x:v>9.486486486486486</x:v>
      </x:c>
      <x:c r="L2601" s="66" t="str">
        <x:f>IF(K2601="","","1 : "&amp;TEXT(K2601,"0.0"))</x:f>
        <x:v>1 : 9.5</x:v>
      </x:c>
      <x:c r="M2601" s="66" t="str">
        <x:f>IF(J2601="","Baru/Tanpa Data",IF(J2601&lt;='Catatan &amp; Sumber'!$B$14,"Sangat Ketat",IF(J2601&lt;='Catatan &amp; Sumber'!$B$15,"Ketat",IF(J2601&lt;='Catatan &amp; Sumber'!$B$16,"Sedang","Relatif Longgar"))))</x:f>
        <x:v>Relatif Longgar</x:v>
      </x:c>
      <x:c r="N2601" s="66" t="str">
        <x:v>Tidak Ada</x:v>
      </x:c>
      <x:c r="O2601" s="66" t="str">
        <x:v>Jawa Timur</x:v>
      </x:c>
      <x:c r="P2601" s="66" t="str">
        <x:v>Kota Malang</x:v>
      </x:c>
      <x:c r="Q2601" s="66" t="str">
        <x:v>https://snpmb.id/snbp/daya-tampung-snbp</x:v>
      </x:c>
      <x:c r="R2601" s="66" t="str">
        <x:v>https://sidatagrun-public-1076756628210.asia-southeast2.run.app/ptn_sn.php?ptn=372</x:v>
      </x:c>
    </x:row>
    <x:row r="2602">
      <x:c r="A2602" s="87" t="n">
        <x:v>2079</x:v>
      </x:c>
      <x:c r="B2602" s="66" t="n">
        <x:v>372</x:v>
      </x:c>
      <x:c r="C2602" s="66" t="str">
        <x:v>UNIVERSITAS BRAWIJAYA</x:v>
      </x:c>
      <x:c r="D2602" s="66" t="str">
        <x:v>PTN Akademik</x:v>
      </x:c>
      <x:c r="E2602" s="66" t="str">
        <x:v>13721020</x:v>
      </x:c>
      <x:c r="F2602" s="66" t="str">
        <x:v>TEKNIK INDUSTRI PERTANIAN</x:v>
      </x:c>
      <x:c r="G2602" s="66" t="str">
        <x:v>Sarjana</x:v>
      </x:c>
      <x:c r="H2602" s="87" t="n">
        <x:v>70</x:v>
      </x:c>
      <x:c r="I2602" s="87" t="n">
        <x:v>439</x:v>
      </x:c>
      <x:c r="J2602" s="68" t="n">
        <x:f>IFERROR(H2602/I2602,"")</x:f>
        <x:v>0.15945330296127563</x:v>
      </x:c>
      <x:c r="K2602" s="69" t="n">
        <x:f>IFERROR(I2602/H2602,"")</x:f>
        <x:v>6.271428571428571</x:v>
      </x:c>
      <x:c r="L2602" s="66" t="str">
        <x:f>IF(K2602="","","1 : "&amp;TEXT(K2602,"0.0"))</x:f>
        <x:v>1 : 6.3</x:v>
      </x:c>
      <x:c r="M2602" s="66" t="str">
        <x:f>IF(J2602="","Baru/Tanpa Data",IF(J2602&lt;='Catatan &amp; Sumber'!$B$14,"Sangat Ketat",IF(J2602&lt;='Catatan &amp; Sumber'!$B$15,"Ketat",IF(J2602&lt;='Catatan &amp; Sumber'!$B$16,"Sedang","Relatif Longgar"))))</x:f>
        <x:v>Relatif Longgar</x:v>
      </x:c>
      <x:c r="N2602" s="66" t="str">
        <x:v>Tidak Ada</x:v>
      </x:c>
      <x:c r="O2602" s="66" t="str">
        <x:v>Jawa Timur</x:v>
      </x:c>
      <x:c r="P2602" s="66" t="str">
        <x:v>Kota Malang</x:v>
      </x:c>
      <x:c r="Q2602" s="66" t="str">
        <x:v>https://snpmb.id/snbp/daya-tampung-snbp</x:v>
      </x:c>
      <x:c r="R2602" s="66" t="str">
        <x:v>https://sidatagrun-public-1076756628210.asia-southeast2.run.app/ptn_sn.php?ptn=372</x:v>
      </x:c>
    </x:row>
    <x:row r="2603">
      <x:c r="A2603" s="87" t="n">
        <x:v>426</x:v>
      </x:c>
      <x:c r="B2603" s="66" t="n">
        <x:v>372</x:v>
      </x:c>
      <x:c r="C2603" s="66" t="str">
        <x:v>UNIVERSITAS BRAWIJAYA</x:v>
      </x:c>
      <x:c r="D2603" s="66" t="str">
        <x:v>PTN Akademik</x:v>
      </x:c>
      <x:c r="E2603" s="66" t="str">
        <x:v>13721021</x:v>
      </x:c>
      <x:c r="F2603" s="66" t="str">
        <x:v>ILMU KEPERAWATAN</x:v>
      </x:c>
      <x:c r="G2603" s="66" t="str">
        <x:v>Sarjana</x:v>
      </x:c>
      <x:c r="H2603" s="87" t="n">
        <x:v>44</x:v>
      </x:c>
      <x:c r="I2603" s="87" t="n">
        <x:v>916</x:v>
      </x:c>
      <x:c r="J2603" s="68" t="n">
        <x:f>IFERROR(H2603/I2603,"")</x:f>
        <x:v>0.048034934497816595</x:v>
      </x:c>
      <x:c r="K2603" s="69" t="n">
        <x:f>IFERROR(I2603/H2603,"")</x:f>
        <x:v>20.818181818181817</x:v>
      </x:c>
      <x:c r="L2603" s="66" t="str">
        <x:f>IF(K2603="","","1 : "&amp;TEXT(K2603,"0.0"))</x:f>
        <x:v>1 : 20.8</x:v>
      </x:c>
      <x:c r="M2603" s="66" t="str">
        <x:f>IF(J2603="","Baru/Tanpa Data",IF(J2603&lt;='Catatan &amp; Sumber'!$B$14,"Sangat Ketat",IF(J2603&lt;='Catatan &amp; Sumber'!$B$15,"Ketat",IF(J2603&lt;='Catatan &amp; Sumber'!$B$16,"Sedang","Relatif Longgar"))))</x:f>
        <x:v>Ketat</x:v>
      </x:c>
      <x:c r="N2603" s="66" t="str">
        <x:v>Tidak Ada</x:v>
      </x:c>
      <x:c r="O2603" s="66" t="str">
        <x:v>Jawa Timur</x:v>
      </x:c>
      <x:c r="P2603" s="66" t="str">
        <x:v>Kota Malang</x:v>
      </x:c>
      <x:c r="Q2603" s="66" t="str">
        <x:v>https://snpmb.id/snbp/daya-tampung-snbp</x:v>
      </x:c>
      <x:c r="R2603" s="66" t="str">
        <x:v>https://sidatagrun-public-1076756628210.asia-southeast2.run.app/ptn_sn.php?ptn=372</x:v>
      </x:c>
    </x:row>
    <x:row r="2604">
      <x:c r="A2604" s="87" t="n">
        <x:v>542</x:v>
      </x:c>
      <x:c r="B2604" s="66" t="n">
        <x:v>372</x:v>
      </x:c>
      <x:c r="C2604" s="66" t="str">
        <x:v>UNIVERSITAS BRAWIJAYA</x:v>
      </x:c>
      <x:c r="D2604" s="66" t="str">
        <x:v>PTN Akademik</x:v>
      </x:c>
      <x:c r="E2604" s="66" t="str">
        <x:v>13721023</x:v>
      </x:c>
      <x:c r="F2604" s="66" t="str">
        <x:v>ILMU GIZI</x:v>
      </x:c>
      <x:c r="G2604" s="66" t="str">
        <x:v>Sarjana</x:v>
      </x:c>
      <x:c r="H2604" s="87" t="n">
        <x:v>36</x:v>
      </x:c>
      <x:c r="I2604" s="87" t="n">
        <x:v>669</x:v>
      </x:c>
      <x:c r="J2604" s="68" t="n">
        <x:f>IFERROR(H2604/I2604,"")</x:f>
        <x:v>0.053811659192825115</x:v>
      </x:c>
      <x:c r="K2604" s="69" t="n">
        <x:f>IFERROR(I2604/H2604,"")</x:f>
        <x:v>18.583333333333332</x:v>
      </x:c>
      <x:c r="L2604" s="66" t="str">
        <x:f>IF(K2604="","","1 : "&amp;TEXT(K2604,"0.0"))</x:f>
        <x:v>1 : 18.6</x:v>
      </x:c>
      <x:c r="M2604" s="66" t="str">
        <x:f>IF(J2604="","Baru/Tanpa Data",IF(J2604&lt;='Catatan &amp; Sumber'!$B$14,"Sangat Ketat",IF(J2604&lt;='Catatan &amp; Sumber'!$B$15,"Ketat",IF(J2604&lt;='Catatan &amp; Sumber'!$B$16,"Sedang","Relatif Longgar"))))</x:f>
        <x:v>Sedang</x:v>
      </x:c>
      <x:c r="N2604" s="66" t="str">
        <x:v>Tidak Ada</x:v>
      </x:c>
      <x:c r="O2604" s="66" t="str">
        <x:v>Jawa Timur</x:v>
      </x:c>
      <x:c r="P2604" s="66" t="str">
        <x:v>Kota Malang</x:v>
      </x:c>
      <x:c r="Q2604" s="66" t="str">
        <x:v>https://snpmb.id/snbp/daya-tampung-snbp</x:v>
      </x:c>
      <x:c r="R2604" s="66" t="str">
        <x:v>https://sidatagrun-public-1076756628210.asia-southeast2.run.app/ptn_sn.php?ptn=372</x:v>
      </x:c>
    </x:row>
    <x:row r="2605">
      <x:c r="A2605" s="87" t="n">
        <x:v>541</x:v>
      </x:c>
      <x:c r="B2605" s="66" t="n">
        <x:v>372</x:v>
      </x:c>
      <x:c r="C2605" s="66" t="str">
        <x:v>UNIVERSITAS BRAWIJAYA</x:v>
      </x:c>
      <x:c r="D2605" s="66" t="str">
        <x:v>PTN Akademik</x:v>
      </x:c>
      <x:c r="E2605" s="66" t="str">
        <x:v>13721024</x:v>
      </x:c>
      <x:c r="F2605" s="66" t="str">
        <x:v>TEKNIK INDUSTRI</x:v>
      </x:c>
      <x:c r="G2605" s="66" t="str">
        <x:v>Sarjana</x:v>
      </x:c>
      <x:c r="H2605" s="87" t="n">
        <x:v>44</x:v>
      </x:c>
      <x:c r="I2605" s="87" t="n">
        <x:v>818</x:v>
      </x:c>
      <x:c r="J2605" s="68" t="n">
        <x:f>IFERROR(H2605/I2605,"")</x:f>
        <x:v>0.05378973105134474</x:v>
      </x:c>
      <x:c r="K2605" s="69" t="n">
        <x:f>IFERROR(I2605/H2605,"")</x:f>
        <x:v>18.59090909090909</x:v>
      </x:c>
      <x:c r="L2605" s="66" t="str">
        <x:f>IF(K2605="","","1 : "&amp;TEXT(K2605,"0.0"))</x:f>
        <x:v>1 : 18.6</x:v>
      </x:c>
      <x:c r="M2605" s="66" t="str">
        <x:f>IF(J2605="","Baru/Tanpa Data",IF(J2605&lt;='Catatan &amp; Sumber'!$B$14,"Sangat Ketat",IF(J2605&lt;='Catatan &amp; Sumber'!$B$15,"Ketat",IF(J2605&lt;='Catatan &amp; Sumber'!$B$16,"Sedang","Relatif Longgar"))))</x:f>
        <x:v>Sedang</x:v>
      </x:c>
      <x:c r="N2605" s="66" t="str">
        <x:v>Tidak Ada</x:v>
      </x:c>
      <x:c r="O2605" s="66" t="str">
        <x:v>Jawa Timur</x:v>
      </x:c>
      <x:c r="P2605" s="66" t="str">
        <x:v>Kota Malang</x:v>
      </x:c>
      <x:c r="Q2605" s="66" t="str">
        <x:v>https://snpmb.id/snbp/daya-tampung-snbp</x:v>
      </x:c>
      <x:c r="R2605" s="66" t="str">
        <x:v>https://sidatagrun-public-1076756628210.asia-southeast2.run.app/ptn_sn.php?ptn=372</x:v>
      </x:c>
    </x:row>
    <x:row r="2606">
      <x:c r="A2606" s="87" t="n">
        <x:v>575</x:v>
      </x:c>
      <x:c r="B2606" s="66" t="n">
        <x:v>372</x:v>
      </x:c>
      <x:c r="C2606" s="66" t="str">
        <x:v>UNIVERSITAS BRAWIJAYA</x:v>
      </x:c>
      <x:c r="D2606" s="66" t="str">
        <x:v>PTN Akademik</x:v>
      </x:c>
      <x:c r="E2606" s="66" t="str">
        <x:v>13721025</x:v>
      </x:c>
      <x:c r="F2606" s="66" t="str">
        <x:v>TEKNIK INFORMATIKA</x:v>
      </x:c>
      <x:c r="G2606" s="66" t="str">
        <x:v>Sarjana</x:v>
      </x:c>
      <x:c r="H2606" s="87" t="n">
        <x:v>56</x:v>
      </x:c>
      <x:c r="I2606" s="87" t="n">
        <x:v>1009</x:v>
      </x:c>
      <x:c r="J2606" s="68" t="n">
        <x:f>IFERROR(H2606/I2606,"")</x:f>
        <x:v>0.05550049554013875</x:v>
      </x:c>
      <x:c r="K2606" s="69" t="n">
        <x:f>IFERROR(I2606/H2606,"")</x:f>
        <x:v>18.017857142857142</x:v>
      </x:c>
      <x:c r="L2606" s="66" t="str">
        <x:f>IF(K2606="","","1 : "&amp;TEXT(K2606,"0.0"))</x:f>
        <x:v>1 : 18.0</x:v>
      </x:c>
      <x:c r="M2606" s="66" t="str">
        <x:f>IF(J2606="","Baru/Tanpa Data",IF(J2606&lt;='Catatan &amp; Sumber'!$B$14,"Sangat Ketat",IF(J2606&lt;='Catatan &amp; Sumber'!$B$15,"Ketat",IF(J2606&lt;='Catatan &amp; Sumber'!$B$16,"Sedang","Relatif Longgar"))))</x:f>
        <x:v>Sedang</x:v>
      </x:c>
      <x:c r="N2606" s="66" t="str">
        <x:v>Tidak Ada</x:v>
      </x:c>
      <x:c r="O2606" s="66" t="str">
        <x:v>Jawa Timur</x:v>
      </x:c>
      <x:c r="P2606" s="66" t="str">
        <x:v>Kota Malang</x:v>
      </x:c>
      <x:c r="Q2606" s="66" t="str">
        <x:v>https://snpmb.id/snbp/daya-tampung-snbp</x:v>
      </x:c>
      <x:c r="R2606" s="66" t="str">
        <x:v>https://sidatagrun-public-1076756628210.asia-southeast2.run.app/ptn_sn.php?ptn=372</x:v>
      </x:c>
    </x:row>
    <x:row r="2607">
      <x:c r="A2607" s="87" t="n">
        <x:v>2684</x:v>
      </x:c>
      <x:c r="B2607" s="66" t="n">
        <x:v>372</x:v>
      </x:c>
      <x:c r="C2607" s="66" t="str">
        <x:v>UNIVERSITAS BRAWIJAYA</x:v>
      </x:c>
      <x:c r="D2607" s="66" t="str">
        <x:v>PTN Akademik</x:v>
      </x:c>
      <x:c r="E2607" s="66" t="str">
        <x:v>13721026</x:v>
      </x:c>
      <x:c r="F2607" s="66" t="str">
        <x:v>AGROEKOTEKNOLOGI</x:v>
      </x:c>
      <x:c r="G2607" s="66" t="str">
        <x:v>Sarjana</x:v>
      </x:c>
      <x:c r="H2607" s="87" t="n">
        <x:v>179</x:v>
      </x:c>
      <x:c r="I2607" s="87" t="n">
        <x:v>744</x:v>
      </x:c>
      <x:c r="J2607" s="68" t="n">
        <x:f>IFERROR(H2607/I2607,"")</x:f>
        <x:v>0.24059139784946237</x:v>
      </x:c>
      <x:c r="K2607" s="69" t="n">
        <x:f>IFERROR(I2607/H2607,"")</x:f>
        <x:v>4.156424581005586</x:v>
      </x:c>
      <x:c r="L2607" s="66" t="str">
        <x:f>IF(K2607="","","1 : "&amp;TEXT(K2607,"0.0"))</x:f>
        <x:v>1 : 4.2</x:v>
      </x:c>
      <x:c r="M2607" s="66" t="str">
        <x:f>IF(J2607="","Baru/Tanpa Data",IF(J2607&lt;='Catatan &amp; Sumber'!$B$14,"Sangat Ketat",IF(J2607&lt;='Catatan &amp; Sumber'!$B$15,"Ketat",IF(J2607&lt;='Catatan &amp; Sumber'!$B$16,"Sedang","Relatif Longgar"))))</x:f>
        <x:v>Relatif Longgar</x:v>
      </x:c>
      <x:c r="N2607" s="66" t="str">
        <x:v>Tidak Ada</x:v>
      </x:c>
      <x:c r="O2607" s="66" t="str">
        <x:v>Jawa Timur</x:v>
      </x:c>
      <x:c r="P2607" s="66" t="str">
        <x:v>Kota Malang</x:v>
      </x:c>
      <x:c r="Q2607" s="66" t="str">
        <x:v>https://snpmb.id/snbp/daya-tampung-snbp</x:v>
      </x:c>
      <x:c r="R2607" s="66" t="str">
        <x:v>https://sidatagrun-public-1076756628210.asia-southeast2.run.app/ptn_sn.php?ptn=372</x:v>
      </x:c>
    </x:row>
    <x:row r="2608">
      <x:c r="A2608" s="87" t="n">
        <x:v>2080</x:v>
      </x:c>
      <x:c r="B2608" s="66" t="n">
        <x:v>372</x:v>
      </x:c>
      <x:c r="C2608" s="66" t="str">
        <x:v>UNIVERSITAS BRAWIJAYA</x:v>
      </x:c>
      <x:c r="D2608" s="66" t="str">
        <x:v>PTN Akademik</x:v>
      </x:c>
      <x:c r="E2608" s="66" t="str">
        <x:v>13721027</x:v>
      </x:c>
      <x:c r="F2608" s="66" t="str">
        <x:v>AGRIBISNIS</x:v>
      </x:c>
      <x:c r="G2608" s="66" t="str">
        <x:v>Sarjana</x:v>
      </x:c>
      <x:c r="H2608" s="87" t="n">
        <x:v>104</x:v>
      </x:c>
      <x:c r="I2608" s="87" t="n">
        <x:v>652</x:v>
      </x:c>
      <x:c r="J2608" s="68" t="n">
        <x:f>IFERROR(H2608/I2608,"")</x:f>
        <x:v>0.15950920245398773</x:v>
      </x:c>
      <x:c r="K2608" s="69" t="n">
        <x:f>IFERROR(I2608/H2608,"")</x:f>
        <x:v>6.269230769230769</x:v>
      </x:c>
      <x:c r="L2608" s="66" t="str">
        <x:f>IF(K2608="","","1 : "&amp;TEXT(K2608,"0.0"))</x:f>
        <x:v>1 : 6.3</x:v>
      </x:c>
      <x:c r="M2608" s="66" t="str">
        <x:f>IF(J2608="","Baru/Tanpa Data",IF(J2608&lt;='Catatan &amp; Sumber'!$B$14,"Sangat Ketat",IF(J2608&lt;='Catatan &amp; Sumber'!$B$15,"Ketat",IF(J2608&lt;='Catatan &amp; Sumber'!$B$16,"Sedang","Relatif Longgar"))))</x:f>
        <x:v>Relatif Longgar</x:v>
      </x:c>
      <x:c r="N2608" s="66" t="str">
        <x:v>Tidak Ada</x:v>
      </x:c>
      <x:c r="O2608" s="66" t="str">
        <x:v>Jawa Timur</x:v>
      </x:c>
      <x:c r="P2608" s="66" t="str">
        <x:v>Kota Malang</x:v>
      </x:c>
      <x:c r="Q2608" s="66" t="str">
        <x:v>https://snpmb.id/snbp/daya-tampung-snbp</x:v>
      </x:c>
      <x:c r="R2608" s="66" t="str">
        <x:v>https://sidatagrun-public-1076756628210.asia-southeast2.run.app/ptn_sn.php?ptn=372</x:v>
      </x:c>
    </x:row>
    <x:row r="2609">
      <x:c r="A2609" s="87" t="n">
        <x:v>2550</x:v>
      </x:c>
      <x:c r="B2609" s="66" t="n">
        <x:v>372</x:v>
      </x:c>
      <x:c r="C2609" s="66" t="str">
        <x:v>UNIVERSITAS BRAWIJAYA</x:v>
      </x:c>
      <x:c r="D2609" s="66" t="str">
        <x:v>PTN Akademik</x:v>
      </x:c>
      <x:c r="E2609" s="66" t="str">
        <x:v>13721028</x:v>
      </x:c>
      <x:c r="F2609" s="66" t="str">
        <x:v>PETERNAKAN</x:v>
      </x:c>
      <x:c r="G2609" s="66" t="str">
        <x:v>Sarjana</x:v>
      </x:c>
      <x:c r="H2609" s="87" t="n">
        <x:v>159</x:v>
      </x:c>
      <x:c r="I2609" s="87" t="n">
        <x:v>724</x:v>
      </x:c>
      <x:c r="J2609" s="68" t="n">
        <x:f>IFERROR(H2609/I2609,"")</x:f>
        <x:v>0.21961325966850828</x:v>
      </x:c>
      <x:c r="K2609" s="69" t="n">
        <x:f>IFERROR(I2609/H2609,"")</x:f>
        <x:v>4.553459119496855</x:v>
      </x:c>
      <x:c r="L2609" s="66" t="str">
        <x:f>IF(K2609="","","1 : "&amp;TEXT(K2609,"0.0"))</x:f>
        <x:v>1 : 4.6</x:v>
      </x:c>
      <x:c r="M2609" s="66" t="str">
        <x:f>IF(J2609="","Baru/Tanpa Data",IF(J2609&lt;='Catatan &amp; Sumber'!$B$14,"Sangat Ketat",IF(J2609&lt;='Catatan &amp; Sumber'!$B$15,"Ketat",IF(J2609&lt;='Catatan &amp; Sumber'!$B$16,"Sedang","Relatif Longgar"))))</x:f>
        <x:v>Relatif Longgar</x:v>
      </x:c>
      <x:c r="N2609" s="66" t="str">
        <x:v>Tidak Ada</x:v>
      </x:c>
      <x:c r="O2609" s="66" t="str">
        <x:v>Jawa Timur</x:v>
      </x:c>
      <x:c r="P2609" s="66" t="str">
        <x:v>Kota Malang</x:v>
      </x:c>
      <x:c r="Q2609" s="66" t="str">
        <x:v>https://snpmb.id/snbp/daya-tampung-snbp</x:v>
      </x:c>
      <x:c r="R2609" s="66" t="str">
        <x:v>https://sidatagrun-public-1076756628210.asia-southeast2.run.app/ptn_sn.php?ptn=372</x:v>
      </x:c>
    </x:row>
    <x:row r="2610">
      <x:c r="A2610" s="87" t="n">
        <x:v>1755</x:v>
      </x:c>
      <x:c r="B2610" s="66" t="n">
        <x:v>372</x:v>
      </x:c>
      <x:c r="C2610" s="66" t="str">
        <x:v>UNIVERSITAS BRAWIJAYA</x:v>
      </x:c>
      <x:c r="D2610" s="66" t="str">
        <x:v>PTN Akademik</x:v>
      </x:c>
      <x:c r="E2610" s="66" t="str">
        <x:v>13721029</x:v>
      </x:c>
      <x:c r="F2610" s="66" t="str">
        <x:v>PENDIDIKAN DOKTER HEWAN</x:v>
      </x:c>
      <x:c r="G2610" s="66" t="str">
        <x:v>Sarjana</x:v>
      </x:c>
      <x:c r="H2610" s="87" t="n">
        <x:v>48</x:v>
      </x:c>
      <x:c r="I2610" s="87" t="n">
        <x:v>373</x:v>
      </x:c>
      <x:c r="J2610" s="68" t="n">
        <x:f>IFERROR(H2610/I2610,"")</x:f>
        <x:v>0.128686327077748</x:v>
      </x:c>
      <x:c r="K2610" s="69" t="n">
        <x:f>IFERROR(I2610/H2610,"")</x:f>
        <x:v>7.770833333333333</x:v>
      </x:c>
      <x:c r="L2610" s="66" t="str">
        <x:f>IF(K2610="","","1 : "&amp;TEXT(K2610,"0.0"))</x:f>
        <x:v>1 : 7.8</x:v>
      </x:c>
      <x:c r="M2610" s="66" t="str">
        <x:f>IF(J2610="","Baru/Tanpa Data",IF(J2610&lt;='Catatan &amp; Sumber'!$B$14,"Sangat Ketat",IF(J2610&lt;='Catatan &amp; Sumber'!$B$15,"Ketat",IF(J2610&lt;='Catatan &amp; Sumber'!$B$16,"Sedang","Relatif Longgar"))))</x:f>
        <x:v>Relatif Longgar</x:v>
      </x:c>
      <x:c r="N2610" s="66" t="str">
        <x:v>Tidak Ada</x:v>
      </x:c>
      <x:c r="O2610" s="66" t="str">
        <x:v>Jawa Timur</x:v>
      </x:c>
      <x:c r="P2610" s="66" t="str">
        <x:v>Kota Malang</x:v>
      </x:c>
      <x:c r="Q2610" s="66" t="str">
        <x:v>https://snpmb.id/snbp/daya-tampung-snbp</x:v>
      </x:c>
      <x:c r="R2610" s="66" t="str">
        <x:v>https://sidatagrun-public-1076756628210.asia-southeast2.run.app/ptn_sn.php?ptn=372</x:v>
      </x:c>
    </x:row>
    <x:row r="2611">
      <x:c r="A2611" s="87" t="n">
        <x:v>595</x:v>
      </x:c>
      <x:c r="B2611" s="66" t="n">
        <x:v>372</x:v>
      </x:c>
      <x:c r="C2611" s="66" t="str">
        <x:v>UNIVERSITAS BRAWIJAYA</x:v>
      </x:c>
      <x:c r="D2611" s="66" t="str">
        <x:v>PTN Akademik</x:v>
      </x:c>
      <x:c r="E2611" s="66" t="str">
        <x:v>13721030</x:v>
      </x:c>
      <x:c r="F2611" s="66" t="str">
        <x:v>PENDIDIKAN DOKTER GIGI</x:v>
      </x:c>
      <x:c r="G2611" s="66" t="str">
        <x:v>Sarjana</x:v>
      </x:c>
      <x:c r="H2611" s="87" t="n">
        <x:v>33</x:v>
      </x:c>
      <x:c r="I2611" s="87" t="n">
        <x:v>577</x:v>
      </x:c>
      <x:c r="J2611" s="68" t="n">
        <x:f>IFERROR(H2611/I2611,"")</x:f>
        <x:v>0.05719237435008666</x:v>
      </x:c>
      <x:c r="K2611" s="69" t="n">
        <x:f>IFERROR(I2611/H2611,"")</x:f>
        <x:v>17.484848484848484</x:v>
      </x:c>
      <x:c r="L2611" s="66" t="str">
        <x:f>IF(K2611="","","1 : "&amp;TEXT(K2611,"0.0"))</x:f>
        <x:v>1 : 17.5</x:v>
      </x:c>
      <x:c r="M2611" s="66" t="str">
        <x:f>IF(J2611="","Baru/Tanpa Data",IF(J2611&lt;='Catatan &amp; Sumber'!$B$14,"Sangat Ketat",IF(J2611&lt;='Catatan &amp; Sumber'!$B$15,"Ketat",IF(J2611&lt;='Catatan &amp; Sumber'!$B$16,"Sedang","Relatif Longgar"))))</x:f>
        <x:v>Sedang</x:v>
      </x:c>
      <x:c r="N2611" s="66" t="str">
        <x:v>Tidak Ada</x:v>
      </x:c>
      <x:c r="O2611" s="66" t="str">
        <x:v>Jawa Timur</x:v>
      </x:c>
      <x:c r="P2611" s="66" t="str">
        <x:v>Kota Malang</x:v>
      </x:c>
      <x:c r="Q2611" s="66" t="str">
        <x:v>https://snpmb.id/snbp/daya-tampung-snbp</x:v>
      </x:c>
      <x:c r="R2611" s="66" t="str">
        <x:v>https://sidatagrun-public-1076756628210.asia-southeast2.run.app/ptn_sn.php?ptn=372</x:v>
      </x:c>
    </x:row>
    <x:row r="2612">
      <x:c r="A2612" s="87" t="n">
        <x:v>2277</x:v>
      </x:c>
      <x:c r="B2612" s="66" t="n">
        <x:v>372</x:v>
      </x:c>
      <x:c r="C2612" s="66" t="str">
        <x:v>UNIVERSITAS BRAWIJAYA</x:v>
      </x:c>
      <x:c r="D2612" s="66" t="str">
        <x:v>PTN Akademik</x:v>
      </x:c>
      <x:c r="E2612" s="66" t="str">
        <x:v>13721031</x:v>
      </x:c>
      <x:c r="F2612" s="66" t="str">
        <x:v>ILMU KELAUTAN</x:v>
      </x:c>
      <x:c r="G2612" s="66" t="str">
        <x:v>Sarjana</x:v>
      </x:c>
      <x:c r="H2612" s="87" t="n">
        <x:v>36</x:v>
      </x:c>
      <x:c r="I2612" s="87" t="n">
        <x:v>198</x:v>
      </x:c>
      <x:c r="J2612" s="68" t="n">
        <x:f>IFERROR(H2612/I2612,"")</x:f>
        <x:v>0.18181818181818182</x:v>
      </x:c>
      <x:c r="K2612" s="69" t="n">
        <x:f>IFERROR(I2612/H2612,"")</x:f>
        <x:v>5.5</x:v>
      </x:c>
      <x:c r="L2612" s="66" t="str">
        <x:f>IF(K2612="","","1 : "&amp;TEXT(K2612,"0.0"))</x:f>
        <x:v>1 : 5.5</x:v>
      </x:c>
      <x:c r="M2612" s="66" t="str">
        <x:f>IF(J2612="","Baru/Tanpa Data",IF(J2612&lt;='Catatan &amp; Sumber'!$B$14,"Sangat Ketat",IF(J2612&lt;='Catatan &amp; Sumber'!$B$15,"Ketat",IF(J2612&lt;='Catatan &amp; Sumber'!$B$16,"Sedang","Relatif Longgar"))))</x:f>
        <x:v>Relatif Longgar</x:v>
      </x:c>
      <x:c r="N2612" s="66" t="str">
        <x:v>Tidak Ada</x:v>
      </x:c>
      <x:c r="O2612" s="66" t="str">
        <x:v>Jawa Timur</x:v>
      </x:c>
      <x:c r="P2612" s="66" t="str">
        <x:v>Kota Malang</x:v>
      </x:c>
      <x:c r="Q2612" s="66" t="str">
        <x:v>https://snpmb.id/snbp/daya-tampung-snbp</x:v>
      </x:c>
      <x:c r="R2612" s="66" t="str">
        <x:v>https://sidatagrun-public-1076756628210.asia-southeast2.run.app/ptn_sn.php?ptn=372</x:v>
      </x:c>
    </x:row>
    <x:row r="2613">
      <x:c r="A2613" s="87" t="n">
        <x:v>816</x:v>
      </x:c>
      <x:c r="B2613" s="66" t="n">
        <x:v>372</x:v>
      </x:c>
      <x:c r="C2613" s="66" t="str">
        <x:v>UNIVERSITAS BRAWIJAYA</x:v>
      </x:c>
      <x:c r="D2613" s="66" t="str">
        <x:v>PTN Akademik</x:v>
      </x:c>
      <x:c r="E2613" s="66" t="str">
        <x:v>13721032</x:v>
      </x:c>
      <x:c r="F2613" s="66" t="str">
        <x:v>KEBIDANAN</x:v>
      </x:c>
      <x:c r="G2613" s="66" t="str">
        <x:v>Sarjana</x:v>
      </x:c>
      <x:c r="H2613" s="87" t="n">
        <x:v>32</x:v>
      </x:c>
      <x:c r="I2613" s="87" t="n">
        <x:v>474</x:v>
      </x:c>
      <x:c r="J2613" s="68" t="n">
        <x:f>IFERROR(H2613/I2613,"")</x:f>
        <x:v>0.06751054852320675</x:v>
      </x:c>
      <x:c r="K2613" s="69" t="n">
        <x:f>IFERROR(I2613/H2613,"")</x:f>
        <x:v>14.8125</x:v>
      </x:c>
      <x:c r="L2613" s="66" t="str">
        <x:f>IF(K2613="","","1 : "&amp;TEXT(K2613,"0.0"))</x:f>
        <x:v>1 : 14.8</x:v>
      </x:c>
      <x:c r="M2613" s="66" t="str">
        <x:f>IF(J2613="","Baru/Tanpa Data",IF(J2613&lt;='Catatan &amp; Sumber'!$B$14,"Sangat Ketat",IF(J2613&lt;='Catatan &amp; Sumber'!$B$15,"Ketat",IF(J2613&lt;='Catatan &amp; Sumber'!$B$16,"Sedang","Relatif Longgar"))))</x:f>
        <x:v>Sedang</x:v>
      </x:c>
      <x:c r="N2613" s="66" t="str">
        <x:v>Tidak Ada</x:v>
      </x:c>
      <x:c r="O2613" s="66" t="str">
        <x:v>Jawa Timur</x:v>
      </x:c>
      <x:c r="P2613" s="66" t="str">
        <x:v>Kota Malang</x:v>
      </x:c>
      <x:c r="Q2613" s="66" t="str">
        <x:v>https://snpmb.id/snbp/daya-tampung-snbp</x:v>
      </x:c>
      <x:c r="R2613" s="66" t="str">
        <x:v>https://sidatagrun-public-1076756628210.asia-southeast2.run.app/ptn_sn.php?ptn=372</x:v>
      </x:c>
    </x:row>
    <x:row r="2614">
      <x:c r="A2614" s="87" t="n">
        <x:v>109</x:v>
      </x:c>
      <x:c r="B2614" s="66" t="n">
        <x:v>372</x:v>
      </x:c>
      <x:c r="C2614" s="66" t="str">
        <x:v>UNIVERSITAS BRAWIJAYA</x:v>
      </x:c>
      <x:c r="D2614" s="66" t="str">
        <x:v>PTN Akademik</x:v>
      </x:c>
      <x:c r="E2614" s="66" t="str">
        <x:v>13721033</x:v>
      </x:c>
      <x:c r="F2614" s="66" t="str">
        <x:v>FARMASI</x:v>
      </x:c>
      <x:c r="G2614" s="66" t="str">
        <x:v>Sarjana</x:v>
      </x:c>
      <x:c r="H2614" s="87" t="n">
        <x:v>36</x:v>
      </x:c>
      <x:c r="I2614" s="87" t="n">
        <x:v>1203</x:v>
      </x:c>
      <x:c r="J2614" s="68" t="n">
        <x:f>IFERROR(H2614/I2614,"")</x:f>
        <x:v>0.029925187032418952</x:v>
      </x:c>
      <x:c r="K2614" s="69" t="n">
        <x:f>IFERROR(I2614/H2614,"")</x:f>
        <x:v>33.416666666666664</x:v>
      </x:c>
      <x:c r="L2614" s="66" t="str">
        <x:f>IF(K2614="","","1 : "&amp;TEXT(K2614,"0.0"))</x:f>
        <x:v>1 : 33.4</x:v>
      </x:c>
      <x:c r="M2614" s="66" t="str">
        <x:f>IF(J2614="","Baru/Tanpa Data",IF(J2614&lt;='Catatan &amp; Sumber'!$B$14,"Sangat Ketat",IF(J2614&lt;='Catatan &amp; Sumber'!$B$15,"Ketat",IF(J2614&lt;='Catatan &amp; Sumber'!$B$16,"Sedang","Relatif Longgar"))))</x:f>
        <x:v>Ketat</x:v>
      </x:c>
      <x:c r="N2614" s="66" t="str">
        <x:v>Tidak Ada</x:v>
      </x:c>
      <x:c r="O2614" s="66" t="str">
        <x:v>Jawa Timur</x:v>
      </x:c>
      <x:c r="P2614" s="66" t="str">
        <x:v>Kota Malang</x:v>
      </x:c>
      <x:c r="Q2614" s="66" t="str">
        <x:v>https://snpmb.id/snbp/daya-tampung-snbp</x:v>
      </x:c>
      <x:c r="R2614" s="66" t="str">
        <x:v>https://sidatagrun-public-1076756628210.asia-southeast2.run.app/ptn_sn.php?ptn=372</x:v>
      </x:c>
    </x:row>
    <x:row r="2615">
      <x:c r="A2615" s="87" t="n">
        <x:v>1574</x:v>
      </x:c>
      <x:c r="B2615" s="66" t="n">
        <x:v>372</x:v>
      </x:c>
      <x:c r="C2615" s="66" t="str">
        <x:v>UNIVERSITAS BRAWIJAYA</x:v>
      </x:c>
      <x:c r="D2615" s="66" t="str">
        <x:v>PTN Akademik</x:v>
      </x:c>
      <x:c r="E2615" s="66" t="str">
        <x:v>13721035</x:v>
      </x:c>
      <x:c r="F2615" s="66" t="str">
        <x:v>TEKNIK KOMPUTER</x:v>
      </x:c>
      <x:c r="G2615" s="66" t="str">
        <x:v>Sarjana</x:v>
      </x:c>
      <x:c r="H2615" s="87" t="n">
        <x:v>40</x:v>
      </x:c>
      <x:c r="I2615" s="87" t="n">
        <x:v>350</x:v>
      </x:c>
      <x:c r="J2615" s="68" t="n">
        <x:f>IFERROR(H2615/I2615,"")</x:f>
        <x:v>0.11428571428571428</x:v>
      </x:c>
      <x:c r="K2615" s="69" t="n">
        <x:f>IFERROR(I2615/H2615,"")</x:f>
        <x:v>8.75</x:v>
      </x:c>
      <x:c r="L2615" s="66" t="str">
        <x:f>IF(K2615="","","1 : "&amp;TEXT(K2615,"0.0"))</x:f>
        <x:v>1 : 8.8</x:v>
      </x:c>
      <x:c r="M2615" s="66" t="str">
        <x:f>IF(J2615="","Baru/Tanpa Data",IF(J2615&lt;='Catatan &amp; Sumber'!$B$14,"Sangat Ketat",IF(J2615&lt;='Catatan &amp; Sumber'!$B$15,"Ketat",IF(J2615&lt;='Catatan &amp; Sumber'!$B$16,"Sedang","Relatif Longgar"))))</x:f>
        <x:v>Relatif Longgar</x:v>
      </x:c>
      <x:c r="N2615" s="66" t="str">
        <x:v>Tidak Ada</x:v>
      </x:c>
      <x:c r="O2615" s="66" t="str">
        <x:v>Jawa Timur</x:v>
      </x:c>
      <x:c r="P2615" s="66" t="str">
        <x:v>Kota Malang</x:v>
      </x:c>
      <x:c r="Q2615" s="66" t="str">
        <x:v>https://snpmb.id/snbp/daya-tampung-snbp</x:v>
      </x:c>
      <x:c r="R2615" s="66" t="str">
        <x:v>https://sidatagrun-public-1076756628210.asia-southeast2.run.app/ptn_sn.php?ptn=372</x:v>
      </x:c>
    </x:row>
    <x:row r="2616">
      <x:c r="A2616" s="87" t="n">
        <x:v>972</x:v>
      </x:c>
      <x:c r="B2616" s="66" t="n">
        <x:v>372</x:v>
      </x:c>
      <x:c r="C2616" s="66" t="str">
        <x:v>UNIVERSITAS BRAWIJAYA</x:v>
      </x:c>
      <x:c r="D2616" s="66" t="str">
        <x:v>PTN Akademik</x:v>
      </x:c>
      <x:c r="E2616" s="66" t="str">
        <x:v>13721036</x:v>
      </x:c>
      <x:c r="F2616" s="66" t="str">
        <x:v>SISTEM INFORMASI</x:v>
      </x:c>
      <x:c r="G2616" s="66" t="str">
        <x:v>Sarjana</x:v>
      </x:c>
      <x:c r="H2616" s="87" t="n">
        <x:v>56</x:v>
      </x:c>
      <x:c r="I2616" s="87" t="n">
        <x:v>733</x:v>
      </x:c>
      <x:c r="J2616" s="68" t="n">
        <x:f>IFERROR(H2616/I2616,"")</x:f>
        <x:v>0.07639836289222374</x:v>
      </x:c>
      <x:c r="K2616" s="69" t="n">
        <x:f>IFERROR(I2616/H2616,"")</x:f>
        <x:v>13.089285714285714</x:v>
      </x:c>
      <x:c r="L2616" s="66" t="str">
        <x:f>IF(K2616="","","1 : "&amp;TEXT(K2616,"0.0"))</x:f>
        <x:v>1 : 13.1</x:v>
      </x:c>
      <x:c r="M2616" s="66" t="str">
        <x:f>IF(J2616="","Baru/Tanpa Data",IF(J2616&lt;='Catatan &amp; Sumber'!$B$14,"Sangat Ketat",IF(J2616&lt;='Catatan &amp; Sumber'!$B$15,"Ketat",IF(J2616&lt;='Catatan &amp; Sumber'!$B$16,"Sedang","Relatif Longgar"))))</x:f>
        <x:v>Sedang</x:v>
      </x:c>
      <x:c r="N2616" s="66" t="str">
        <x:v>Tidak Ada</x:v>
      </x:c>
      <x:c r="O2616" s="66" t="str">
        <x:v>Jawa Timur</x:v>
      </x:c>
      <x:c r="P2616" s="66" t="str">
        <x:v>Kota Malang</x:v>
      </x:c>
      <x:c r="Q2616" s="66" t="str">
        <x:v>https://snpmb.id/snbp/daya-tampung-snbp</x:v>
      </x:c>
      <x:c r="R2616" s="66" t="str">
        <x:v>https://sidatagrun-public-1076756628210.asia-southeast2.run.app/ptn_sn.php?ptn=372</x:v>
      </x:c>
    </x:row>
    <x:row r="2617">
      <x:c r="A2617" s="87" t="n">
        <x:v>1027</x:v>
      </x:c>
      <x:c r="B2617" s="66" t="n">
        <x:v>372</x:v>
      </x:c>
      <x:c r="C2617" s="66" t="str">
        <x:v>UNIVERSITAS BRAWIJAYA</x:v>
      </x:c>
      <x:c r="D2617" s="66" t="str">
        <x:v>PTN Akademik</x:v>
      </x:c>
      <x:c r="E2617" s="66" t="str">
        <x:v>13721037</x:v>
      </x:c>
      <x:c r="F2617" s="66" t="str">
        <x:v>TEKNIK KIMIA</x:v>
      </x:c>
      <x:c r="G2617" s="66" t="str">
        <x:v>Sarjana</x:v>
      </x:c>
      <x:c r="H2617" s="87" t="n">
        <x:v>30</x:v>
      </x:c>
      <x:c r="I2617" s="87" t="n">
        <x:v>377</x:v>
      </x:c>
      <x:c r="J2617" s="68" t="n">
        <x:f>IFERROR(H2617/I2617,"")</x:f>
        <x:v>0.07957559681697612</x:v>
      </x:c>
      <x:c r="K2617" s="69" t="n">
        <x:f>IFERROR(I2617/H2617,"")</x:f>
        <x:v>12.566666666666666</x:v>
      </x:c>
      <x:c r="L2617" s="66" t="str">
        <x:f>IF(K2617="","","1 : "&amp;TEXT(K2617,"0.0"))</x:f>
        <x:v>1 : 12.6</x:v>
      </x:c>
      <x:c r="M2617" s="66" t="str">
        <x:f>IF(J2617="","Baru/Tanpa Data",IF(J2617&lt;='Catatan &amp; Sumber'!$B$14,"Sangat Ketat",IF(J2617&lt;='Catatan &amp; Sumber'!$B$15,"Ketat",IF(J2617&lt;='Catatan &amp; Sumber'!$B$16,"Sedang","Relatif Longgar"))))</x:f>
        <x:v>Sedang</x:v>
      </x:c>
      <x:c r="N2617" s="66" t="str">
        <x:v>Tidak Ada</x:v>
      </x:c>
      <x:c r="O2617" s="66" t="str">
        <x:v>Jawa Timur</x:v>
      </x:c>
      <x:c r="P2617" s="66" t="str">
        <x:v>Kota Malang</x:v>
      </x:c>
      <x:c r="Q2617" s="66" t="str">
        <x:v>https://snpmb.id/snbp/daya-tampung-snbp</x:v>
      </x:c>
      <x:c r="R2617" s="66" t="str">
        <x:v>https://sidatagrun-public-1076756628210.asia-southeast2.run.app/ptn_sn.php?ptn=372</x:v>
      </x:c>
    </x:row>
    <x:row r="2618">
      <x:c r="A2618" s="87" t="n">
        <x:v>2499</x:v>
      </x:c>
      <x:c r="B2618" s="66" t="n">
        <x:v>372</x:v>
      </x:c>
      <x:c r="C2618" s="66" t="str">
        <x:v>UNIVERSITAS BRAWIJAYA</x:v>
      </x:c>
      <x:c r="D2618" s="66" t="str">
        <x:v>PTN Akademik</x:v>
      </x:c>
      <x:c r="E2618" s="66" t="str">
        <x:v>13721038</x:v>
      </x:c>
      <x:c r="F2618" s="66" t="str">
        <x:v>INSTRUMENTASI</x:v>
      </x:c>
      <x:c r="G2618" s="66" t="str">
        <x:v>Sarjana</x:v>
      </x:c>
      <x:c r="H2618" s="87" t="n">
        <x:v>23</x:v>
      </x:c>
      <x:c r="I2618" s="87" t="n">
        <x:v>109</x:v>
      </x:c>
      <x:c r="J2618" s="68" t="n">
        <x:f>IFERROR(H2618/I2618,"")</x:f>
        <x:v>0.21100917431192662</x:v>
      </x:c>
      <x:c r="K2618" s="69" t="n">
        <x:f>IFERROR(I2618/H2618,"")</x:f>
        <x:v>4.739130434782608</x:v>
      </x:c>
      <x:c r="L2618" s="66" t="str">
        <x:f>IF(K2618="","","1 : "&amp;TEXT(K2618,"0.0"))</x:f>
        <x:v>1 : 4.7</x:v>
      </x:c>
      <x:c r="M2618" s="66" t="str">
        <x:f>IF(J2618="","Baru/Tanpa Data",IF(J2618&lt;='Catatan &amp; Sumber'!$B$14,"Sangat Ketat",IF(J2618&lt;='Catatan &amp; Sumber'!$B$15,"Ketat",IF(J2618&lt;='Catatan &amp; Sumber'!$B$16,"Sedang","Relatif Longgar"))))</x:f>
        <x:v>Relatif Longgar</x:v>
      </x:c>
      <x:c r="N2618" s="66" t="str">
        <x:v>Tidak Ada</x:v>
      </x:c>
      <x:c r="O2618" s="66" t="str">
        <x:v>Jawa Timur</x:v>
      </x:c>
      <x:c r="P2618" s="66" t="str">
        <x:v>Kota Malang</x:v>
      </x:c>
      <x:c r="Q2618" s="66" t="str">
        <x:v>https://snpmb.id/snbp/daya-tampung-snbp</x:v>
      </x:c>
      <x:c r="R2618" s="66" t="str">
        <x:v>https://sidatagrun-public-1076756628210.asia-southeast2.run.app/ptn_sn.php?ptn=372</x:v>
      </x:c>
    </x:row>
    <x:row r="2619">
      <x:c r="A2619" s="87" t="n">
        <x:v>986</x:v>
      </x:c>
      <x:c r="B2619" s="66" t="n">
        <x:v>372</x:v>
      </x:c>
      <x:c r="C2619" s="66" t="str">
        <x:v>UNIVERSITAS BRAWIJAYA</x:v>
      </x:c>
      <x:c r="D2619" s="66" t="str">
        <x:v>PTN Akademik</x:v>
      </x:c>
      <x:c r="E2619" s="66" t="str">
        <x:v>13721039</x:v>
      </x:c>
      <x:c r="F2619" s="66" t="str">
        <x:v>TEKNIK GEOFISIKA</x:v>
      </x:c>
      <x:c r="G2619" s="66" t="str">
        <x:v>Sarjana</x:v>
      </x:c>
      <x:c r="H2619" s="87" t="n">
        <x:v>19</x:v>
      </x:c>
      <x:c r="I2619" s="87" t="n">
        <x:v>246</x:v>
      </x:c>
      <x:c r="J2619" s="68" t="n">
        <x:f>IFERROR(H2619/I2619,"")</x:f>
        <x:v>0.07723577235772358</x:v>
      </x:c>
      <x:c r="K2619" s="69" t="n">
        <x:f>IFERROR(I2619/H2619,"")</x:f>
        <x:v>12.947368421052632</x:v>
      </x:c>
      <x:c r="L2619" s="66" t="str">
        <x:f>IF(K2619="","","1 : "&amp;TEXT(K2619,"0.0"))</x:f>
        <x:v>1 : 12.9</x:v>
      </x:c>
      <x:c r="M2619" s="66" t="str">
        <x:f>IF(J2619="","Baru/Tanpa Data",IF(J2619&lt;='Catatan &amp; Sumber'!$B$14,"Sangat Ketat",IF(J2619&lt;='Catatan &amp; Sumber'!$B$15,"Ketat",IF(J2619&lt;='Catatan &amp; Sumber'!$B$16,"Sedang","Relatif Longgar"))))</x:f>
        <x:v>Sedang</x:v>
      </x:c>
      <x:c r="N2619" s="66" t="str">
        <x:v>Tidak Ada</x:v>
      </x:c>
      <x:c r="O2619" s="66" t="str">
        <x:v>Jawa Timur</x:v>
      </x:c>
      <x:c r="P2619" s="66" t="str">
        <x:v>Kota Malang</x:v>
      </x:c>
      <x:c r="Q2619" s="66" t="str">
        <x:v>https://snpmb.id/snbp/daya-tampung-snbp</x:v>
      </x:c>
      <x:c r="R2619" s="66" t="str">
        <x:v>https://sidatagrun-public-1076756628210.asia-southeast2.run.app/ptn_sn.php?ptn=372</x:v>
      </x:c>
    </x:row>
    <x:row r="2620">
      <x:c r="A2620" s="87" t="n">
        <x:v>1120</x:v>
      </x:c>
      <x:c r="B2620" s="66" t="n">
        <x:v>372</x:v>
      </x:c>
      <x:c r="C2620" s="66" t="str">
        <x:v>UNIVERSITAS BRAWIJAYA</x:v>
      </x:c>
      <x:c r="D2620" s="66" t="str">
        <x:v>PTN Akademik</x:v>
      </x:c>
      <x:c r="E2620" s="66" t="str">
        <x:v>13721040</x:v>
      </x:c>
      <x:c r="F2620" s="66" t="str">
        <x:v>BIOTEKNOLOGI</x:v>
      </x:c>
      <x:c r="G2620" s="66" t="str">
        <x:v>Sarjana</x:v>
      </x:c>
      <x:c r="H2620" s="87" t="n">
        <x:v>36</x:v>
      </x:c>
      <x:c r="I2620" s="87" t="n">
        <x:v>423</x:v>
      </x:c>
      <x:c r="J2620" s="68" t="n">
        <x:f>IFERROR(H2620/I2620,"")</x:f>
        <x:v>0.0851063829787234</x:v>
      </x:c>
      <x:c r="K2620" s="69" t="n">
        <x:f>IFERROR(I2620/H2620,"")</x:f>
        <x:v>11.75</x:v>
      </x:c>
      <x:c r="L2620" s="66" t="str">
        <x:f>IF(K2620="","","1 : "&amp;TEXT(K2620,"0.0"))</x:f>
        <x:v>1 : 11.8</x:v>
      </x:c>
      <x:c r="M2620" s="66" t="str">
        <x:f>IF(J2620="","Baru/Tanpa Data",IF(J2620&lt;='Catatan &amp; Sumber'!$B$14,"Sangat Ketat",IF(J2620&lt;='Catatan &amp; Sumber'!$B$15,"Ketat",IF(J2620&lt;='Catatan &amp; Sumber'!$B$16,"Sedang","Relatif Longgar"))))</x:f>
        <x:v>Sedang</x:v>
      </x:c>
      <x:c r="N2620" s="66" t="str">
        <x:v>Tidak Ada</x:v>
      </x:c>
      <x:c r="O2620" s="66" t="str">
        <x:v>Jawa Timur</x:v>
      </x:c>
      <x:c r="P2620" s="66" t="str">
        <x:v>Kota Malang</x:v>
      </x:c>
      <x:c r="Q2620" s="66" t="str">
        <x:v>https://snpmb.id/snbp/daya-tampung-snbp</x:v>
      </x:c>
      <x:c r="R2620" s="66" t="str">
        <x:v>https://sidatagrun-public-1076756628210.asia-southeast2.run.app/ptn_sn.php?ptn=372</x:v>
      </x:c>
    </x:row>
    <x:row r="2621">
      <x:c r="A2621" s="87" t="n">
        <x:v>1335</x:v>
      </x:c>
      <x:c r="B2621" s="66" t="n">
        <x:v>372</x:v>
      </x:c>
      <x:c r="C2621" s="66" t="str">
        <x:v>UNIVERSITAS BRAWIJAYA</x:v>
      </x:c>
      <x:c r="D2621" s="66" t="str">
        <x:v>PTN Akademik</x:v>
      </x:c>
      <x:c r="E2621" s="66" t="str">
        <x:v>13721042</x:v>
      </x:c>
      <x:c r="F2621" s="66" t="str">
        <x:v>TEKNOLOGI BIOPROSES</x:v>
      </x:c>
      <x:c r="G2621" s="66" t="str">
        <x:v>Sarjana</x:v>
      </x:c>
      <x:c r="H2621" s="87" t="n">
        <x:v>25</x:v>
      </x:c>
      <x:c r="I2621" s="87" t="n">
        <x:v>256</x:v>
      </x:c>
      <x:c r="J2621" s="68" t="n">
        <x:f>IFERROR(H2621/I2621,"")</x:f>
        <x:v>0.09765625</x:v>
      </x:c>
      <x:c r="K2621" s="69" t="n">
        <x:f>IFERROR(I2621/H2621,"")</x:f>
        <x:v>10.24</x:v>
      </x:c>
      <x:c r="L2621" s="66" t="str">
        <x:f>IF(K2621="","","1 : "&amp;TEXT(K2621,"0.0"))</x:f>
        <x:v>1 : 10.2</x:v>
      </x:c>
      <x:c r="M2621" s="66" t="str">
        <x:f>IF(J2621="","Baru/Tanpa Data",IF(J2621&lt;='Catatan &amp; Sumber'!$B$14,"Sangat Ketat",IF(J2621&lt;='Catatan &amp; Sumber'!$B$15,"Ketat",IF(J2621&lt;='Catatan &amp; Sumber'!$B$16,"Sedang","Relatif Longgar"))))</x:f>
        <x:v>Sedang</x:v>
      </x:c>
      <x:c r="N2621" s="66" t="str">
        <x:v>Tidak Ada</x:v>
      </x:c>
      <x:c r="O2621" s="66" t="str">
        <x:v>Jawa Timur</x:v>
      </x:c>
      <x:c r="P2621" s="66" t="str">
        <x:v>Kota Malang</x:v>
      </x:c>
      <x:c r="Q2621" s="66" t="str">
        <x:v>https://snpmb.id/snbp/daya-tampung-snbp</x:v>
      </x:c>
      <x:c r="R2621" s="66" t="str">
        <x:v>https://sidatagrun-public-1076756628210.asia-southeast2.run.app/ptn_sn.php?ptn=372</x:v>
      </x:c>
    </x:row>
    <x:row r="2622">
      <x:c r="A2622" s="87" t="n">
        <x:v>1133</x:v>
      </x:c>
      <x:c r="B2622" s="66" t="n">
        <x:v>372</x:v>
      </x:c>
      <x:c r="C2622" s="66" t="str">
        <x:v>UNIVERSITAS BRAWIJAYA</x:v>
      </x:c>
      <x:c r="D2622" s="66" t="str">
        <x:v>PTN Akademik</x:v>
      </x:c>
      <x:c r="E2622" s="66" t="str">
        <x:v>13721043</x:v>
      </x:c>
      <x:c r="F2622" s="66" t="str">
        <x:v>TEKNIK LINGKUNGAN</x:v>
      </x:c>
      <x:c r="G2622" s="66" t="str">
        <x:v>Sarjana</x:v>
      </x:c>
      <x:c r="H2622" s="87" t="n">
        <x:v>40</x:v>
      </x:c>
      <x:c r="I2622" s="87" t="n">
        <x:v>465</x:v>
      </x:c>
      <x:c r="J2622" s="68" t="n">
        <x:f>IFERROR(H2622/I2622,"")</x:f>
        <x:v>0.08602150537634409</x:v>
      </x:c>
      <x:c r="K2622" s="69" t="n">
        <x:f>IFERROR(I2622/H2622,"")</x:f>
        <x:v>11.625</x:v>
      </x:c>
      <x:c r="L2622" s="66" t="str">
        <x:f>IF(K2622="","","1 : "&amp;TEXT(K2622,"0.0"))</x:f>
        <x:v>1 : 11.6</x:v>
      </x:c>
      <x:c r="M2622" s="66" t="str">
        <x:f>IF(J2622="","Baru/Tanpa Data",IF(J2622&lt;='Catatan &amp; Sumber'!$B$14,"Sangat Ketat",IF(J2622&lt;='Catatan &amp; Sumber'!$B$15,"Ketat",IF(J2622&lt;='Catatan &amp; Sumber'!$B$16,"Sedang","Relatif Longgar"))))</x:f>
        <x:v>Sedang</x:v>
      </x:c>
      <x:c r="N2622" s="66" t="str">
        <x:v>Tidak Ada</x:v>
      </x:c>
      <x:c r="O2622" s="66" t="str">
        <x:v>Jawa Timur</x:v>
      </x:c>
      <x:c r="P2622" s="66" t="str">
        <x:v>Kota Malang</x:v>
      </x:c>
      <x:c r="Q2622" s="66" t="str">
        <x:v>https://snpmb.id/snbp/daya-tampung-snbp</x:v>
      </x:c>
      <x:c r="R2622" s="66" t="str">
        <x:v>https://sidatagrun-public-1076756628210.asia-southeast2.run.app/ptn_sn.php?ptn=372</x:v>
      </x:c>
    </x:row>
    <x:row r="2623">
      <x:c r="A2623" s="87" t="n">
        <x:v>2588</x:v>
      </x:c>
      <x:c r="B2623" s="66" t="n">
        <x:v>372</x:v>
      </x:c>
      <x:c r="C2623" s="66" t="str">
        <x:v>UNIVERSITAS BRAWIJAYA</x:v>
      </x:c>
      <x:c r="D2623" s="66" t="str">
        <x:v>PTN Akademik</x:v>
      </x:c>
      <x:c r="E2623" s="66" t="str">
        <x:v>13721046</x:v>
      </x:c>
      <x:c r="F2623" s="66" t="str">
        <x:v>PENDIDIKAN TEKNOLOGI INFORMASI</x:v>
      </x:c>
      <x:c r="G2623" s="66" t="str">
        <x:v>Sarjana</x:v>
      </x:c>
      <x:c r="H2623" s="87" t="n">
        <x:v>36</x:v>
      </x:c>
      <x:c r="I2623" s="87" t="n">
        <x:v>159</x:v>
      </x:c>
      <x:c r="J2623" s="68" t="n">
        <x:f>IFERROR(H2623/I2623,"")</x:f>
        <x:v>0.22641509433962265</x:v>
      </x:c>
      <x:c r="K2623" s="69" t="n">
        <x:f>IFERROR(I2623/H2623,"")</x:f>
        <x:v>4.416666666666667</x:v>
      </x:c>
      <x:c r="L2623" s="66" t="str">
        <x:f>IF(K2623="","","1 : "&amp;TEXT(K2623,"0.0"))</x:f>
        <x:v>1 : 4.4</x:v>
      </x:c>
      <x:c r="M2623" s="66" t="str">
        <x:f>IF(J2623="","Baru/Tanpa Data",IF(J2623&lt;='Catatan &amp; Sumber'!$B$14,"Sangat Ketat",IF(J2623&lt;='Catatan &amp; Sumber'!$B$15,"Ketat",IF(J2623&lt;='Catatan &amp; Sumber'!$B$16,"Sedang","Relatif Longgar"))))</x:f>
        <x:v>Relatif Longgar</x:v>
      </x:c>
      <x:c r="N2623" s="66" t="str">
        <x:v>Tidak Ada</x:v>
      </x:c>
      <x:c r="O2623" s="66" t="str">
        <x:v>Jawa Timur</x:v>
      </x:c>
      <x:c r="P2623" s="66" t="str">
        <x:v>Kota Malang</x:v>
      </x:c>
      <x:c r="Q2623" s="66" t="str">
        <x:v>https://snpmb.id/snbp/daya-tampung-snbp</x:v>
      </x:c>
      <x:c r="R2623" s="66" t="str">
        <x:v>https://sidatagrun-public-1076756628210.asia-southeast2.run.app/ptn_sn.php?ptn=372</x:v>
      </x:c>
    </x:row>
    <x:row r="2624">
      <x:c r="A2624" s="87" t="n">
        <x:v>1144</x:v>
      </x:c>
      <x:c r="B2624" s="66" t="n">
        <x:v>372</x:v>
      </x:c>
      <x:c r="C2624" s="66" t="str">
        <x:v>UNIVERSITAS BRAWIJAYA</x:v>
      </x:c>
      <x:c r="D2624" s="66" t="str">
        <x:v>PTN Akademik</x:v>
      </x:c>
      <x:c r="E2624" s="66" t="str">
        <x:v>13721047</x:v>
      </x:c>
      <x:c r="F2624" s="66" t="str">
        <x:v>TEKNOLOGI INFORMASI</x:v>
      </x:c>
      <x:c r="G2624" s="66" t="str">
        <x:v>Sarjana</x:v>
      </x:c>
      <x:c r="H2624" s="87" t="n">
        <x:v>40</x:v>
      </x:c>
      <x:c r="I2624" s="87" t="n">
        <x:v>462</x:v>
      </x:c>
      <x:c r="J2624" s="68" t="n">
        <x:f>IFERROR(H2624/I2624,"")</x:f>
        <x:v>0.08658008658008658</x:v>
      </x:c>
      <x:c r="K2624" s="69" t="n">
        <x:f>IFERROR(I2624/H2624,"")</x:f>
        <x:v>11.55</x:v>
      </x:c>
      <x:c r="L2624" s="66" t="str">
        <x:f>IF(K2624="","","1 : "&amp;TEXT(K2624,"0.0"))</x:f>
        <x:v>1 : 11.6</x:v>
      </x:c>
      <x:c r="M2624" s="66" t="str">
        <x:f>IF(J2624="","Baru/Tanpa Data",IF(J2624&lt;='Catatan &amp; Sumber'!$B$14,"Sangat Ketat",IF(J2624&lt;='Catatan &amp; Sumber'!$B$15,"Ketat",IF(J2624&lt;='Catatan &amp; Sumber'!$B$16,"Sedang","Relatif Longgar"))))</x:f>
        <x:v>Sedang</x:v>
      </x:c>
      <x:c r="N2624" s="66" t="str">
        <x:v>Tidak Ada</x:v>
      </x:c>
      <x:c r="O2624" s="66" t="str">
        <x:v>Jawa Timur</x:v>
      </x:c>
      <x:c r="P2624" s="66" t="str">
        <x:v>Kota Malang</x:v>
      </x:c>
      <x:c r="Q2624" s="66" t="str">
        <x:v>https://snpmb.id/snbp/daya-tampung-snbp</x:v>
      </x:c>
      <x:c r="R2624" s="66" t="str">
        <x:v>https://sidatagrun-public-1076756628210.asia-southeast2.run.app/ptn_sn.php?ptn=372</x:v>
      </x:c>
    </x:row>
    <x:row r="2625">
      <x:c r="A2625" s="87" t="n">
        <x:v>2334</x:v>
      </x:c>
      <x:c r="B2625" s="66" t="n">
        <x:v>372</x:v>
      </x:c>
      <x:c r="C2625" s="66" t="str">
        <x:v>UNIVERSITAS BRAWIJAYA</x:v>
      </x:c>
      <x:c r="D2625" s="66" t="str">
        <x:v>PTN Akademik</x:v>
      </x:c>
      <x:c r="E2625" s="66" t="str">
        <x:v>13721048</x:v>
      </x:c>
      <x:c r="F2625" s="66" t="str">
        <x:v>AGROEKOTEKNOLOGI (PSDKU KEDIRI)</x:v>
      </x:c>
      <x:c r="G2625" s="66" t="str">
        <x:v>Sarjana</x:v>
      </x:c>
      <x:c r="H2625" s="87" t="n">
        <x:v>42</x:v>
      </x:c>
      <x:c r="I2625" s="87" t="n">
        <x:v>224</x:v>
      </x:c>
      <x:c r="J2625" s="68" t="n">
        <x:f>IFERROR(H2625/I2625,"")</x:f>
        <x:v>0.1875</x:v>
      </x:c>
      <x:c r="K2625" s="69" t="n">
        <x:f>IFERROR(I2625/H2625,"")</x:f>
        <x:v>5.333333333333333</x:v>
      </x:c>
      <x:c r="L2625" s="66" t="str">
        <x:f>IF(K2625="","","1 : "&amp;TEXT(K2625,"0.0"))</x:f>
        <x:v>1 : 5.3</x:v>
      </x:c>
      <x:c r="M2625" s="66" t="str">
        <x:f>IF(J2625="","Baru/Tanpa Data",IF(J2625&lt;='Catatan &amp; Sumber'!$B$14,"Sangat Ketat",IF(J2625&lt;='Catatan &amp; Sumber'!$B$15,"Ketat",IF(J2625&lt;='Catatan &amp; Sumber'!$B$16,"Sedang","Relatif Longgar"))))</x:f>
        <x:v>Relatif Longgar</x:v>
      </x:c>
      <x:c r="N2625" s="66" t="str">
        <x:v>Tidak Ada</x:v>
      </x:c>
      <x:c r="O2625" s="66" t="str">
        <x:v>Jawa Timur</x:v>
      </x:c>
      <x:c r="P2625" s="66" t="str">
        <x:v>Kota Malang</x:v>
      </x:c>
      <x:c r="Q2625" s="66" t="str">
        <x:v>https://snpmb.id/snbp/daya-tampung-snbp</x:v>
      </x:c>
      <x:c r="R2625" s="66" t="str">
        <x:v>https://sidatagrun-public-1076756628210.asia-southeast2.run.app/ptn_sn.php?ptn=372</x:v>
      </x:c>
    </x:row>
    <x:row r="2626">
      <x:c r="A2626" s="87" t="n">
        <x:v>2170</x:v>
      </x:c>
      <x:c r="B2626" s="66" t="n">
        <x:v>372</x:v>
      </x:c>
      <x:c r="C2626" s="66" t="str">
        <x:v>UNIVERSITAS BRAWIJAYA</x:v>
      </x:c>
      <x:c r="D2626" s="66" t="str">
        <x:v>PTN Akademik</x:v>
      </x:c>
      <x:c r="E2626" s="66" t="str">
        <x:v>13721049</x:v>
      </x:c>
      <x:c r="F2626" s="66" t="str">
        <x:v>AGRIBISNIS (PSDKU KEDIRI)</x:v>
      </x:c>
      <x:c r="G2626" s="66" t="str">
        <x:v>Sarjana</x:v>
      </x:c>
      <x:c r="H2626" s="87" t="n">
        <x:v>42</x:v>
      </x:c>
      <x:c r="I2626" s="87" t="n">
        <x:v>249</x:v>
      </x:c>
      <x:c r="J2626" s="68" t="n">
        <x:f>IFERROR(H2626/I2626,"")</x:f>
        <x:v>0.1686746987951807</x:v>
      </x:c>
      <x:c r="K2626" s="69" t="n">
        <x:f>IFERROR(I2626/H2626,"")</x:f>
        <x:v>5.928571428571429</x:v>
      </x:c>
      <x:c r="L2626" s="66" t="str">
        <x:f>IF(K2626="","","1 : "&amp;TEXT(K2626,"0.0"))</x:f>
        <x:v>1 : 5.9</x:v>
      </x:c>
      <x:c r="M2626" s="66" t="str">
        <x:f>IF(J2626="","Baru/Tanpa Data",IF(J2626&lt;='Catatan &amp; Sumber'!$B$14,"Sangat Ketat",IF(J2626&lt;='Catatan &amp; Sumber'!$B$15,"Ketat",IF(J2626&lt;='Catatan &amp; Sumber'!$B$16,"Sedang","Relatif Longgar"))))</x:f>
        <x:v>Relatif Longgar</x:v>
      </x:c>
      <x:c r="N2626" s="66" t="str">
        <x:v>Tidak Ada</x:v>
      </x:c>
      <x:c r="O2626" s="66" t="str">
        <x:v>Jawa Timur</x:v>
      </x:c>
      <x:c r="P2626" s="66" t="str">
        <x:v>Kota Malang</x:v>
      </x:c>
      <x:c r="Q2626" s="66" t="str">
        <x:v>https://snpmb.id/snbp/daya-tampung-snbp</x:v>
      </x:c>
      <x:c r="R2626" s="66" t="str">
        <x:v>https://sidatagrun-public-1076756628210.asia-southeast2.run.app/ptn_sn.php?ptn=372</x:v>
      </x:c>
    </x:row>
    <x:row r="2627">
      <x:c r="A2627" s="87" t="n">
        <x:v>2531</x:v>
      </x:c>
      <x:c r="B2627" s="66" t="n">
        <x:v>372</x:v>
      </x:c>
      <x:c r="C2627" s="66" t="str">
        <x:v>UNIVERSITAS BRAWIJAYA</x:v>
      </x:c>
      <x:c r="D2627" s="66" t="str">
        <x:v>PTN Akademik</x:v>
      </x:c>
      <x:c r="E2627" s="66" t="str">
        <x:v>13721050</x:v>
      </x:c>
      <x:c r="F2627" s="66" t="str">
        <x:v>PETERNAKAN (PSDKU KEDIRI)</x:v>
      </x:c>
      <x:c r="G2627" s="66" t="str">
        <x:v>Sarjana</x:v>
      </x:c>
      <x:c r="H2627" s="87" t="n">
        <x:v>42</x:v>
      </x:c>
      <x:c r="I2627" s="87" t="n">
        <x:v>194</x:v>
      </x:c>
      <x:c r="J2627" s="68" t="n">
        <x:f>IFERROR(H2627/I2627,"")</x:f>
        <x:v>0.21649484536082475</x:v>
      </x:c>
      <x:c r="K2627" s="69" t="n">
        <x:f>IFERROR(I2627/H2627,"")</x:f>
        <x:v>4.619047619047619</x:v>
      </x:c>
      <x:c r="L2627" s="66" t="str">
        <x:f>IF(K2627="","","1 : "&amp;TEXT(K2627,"0.0"))</x:f>
        <x:v>1 : 4.6</x:v>
      </x:c>
      <x:c r="M2627" s="66" t="str">
        <x:f>IF(J2627="","Baru/Tanpa Data",IF(J2627&lt;='Catatan &amp; Sumber'!$B$14,"Sangat Ketat",IF(J2627&lt;='Catatan &amp; Sumber'!$B$15,"Ketat",IF(J2627&lt;='Catatan &amp; Sumber'!$B$16,"Sedang","Relatif Longgar"))))</x:f>
        <x:v>Relatif Longgar</x:v>
      </x:c>
      <x:c r="N2627" s="66" t="str">
        <x:v>Tidak Ada</x:v>
      </x:c>
      <x:c r="O2627" s="66" t="str">
        <x:v>Jawa Timur</x:v>
      </x:c>
      <x:c r="P2627" s="66" t="str">
        <x:v>Kota Malang</x:v>
      </x:c>
      <x:c r="Q2627" s="66" t="str">
        <x:v>https://snpmb.id/snbp/daya-tampung-snbp</x:v>
      </x:c>
      <x:c r="R2627" s="66" t="str">
        <x:v>https://sidatagrun-public-1076756628210.asia-southeast2.run.app/ptn_sn.php?ptn=372</x:v>
      </x:c>
    </x:row>
    <x:row r="2628">
      <x:c r="A2628" s="87" t="n">
        <x:v>3349</x:v>
      </x:c>
      <x:c r="B2628" s="66" t="n">
        <x:v>372</x:v>
      </x:c>
      <x:c r="C2628" s="66" t="str">
        <x:v>UNIVERSITAS BRAWIJAYA</x:v>
      </x:c>
      <x:c r="D2628" s="66" t="str">
        <x:v>PTN Akademik</x:v>
      </x:c>
      <x:c r="E2628" s="66" t="str">
        <x:v>13721051</x:v>
      </x:c>
      <x:c r="F2628" s="66" t="str">
        <x:v>AKUAKULTUR (PSDKU KEDIRI)</x:v>
      </x:c>
      <x:c r="G2628" s="66" t="str">
        <x:v>Sarjana</x:v>
      </x:c>
      <x:c r="H2628" s="87" t="n">
        <x:v>42</x:v>
      </x:c>
      <x:c r="I2628" s="87" t="n">
        <x:v>109</x:v>
      </x:c>
      <x:c r="J2628" s="68" t="n">
        <x:f>IFERROR(H2628/I2628,"")</x:f>
        <x:v>0.3853211009174312</x:v>
      </x:c>
      <x:c r="K2628" s="69" t="n">
        <x:f>IFERROR(I2628/H2628,"")</x:f>
        <x:v>2.5952380952380953</x:v>
      </x:c>
      <x:c r="L2628" s="66" t="str">
        <x:f>IF(K2628="","","1 : "&amp;TEXT(K2628,"0.0"))</x:f>
        <x:v>1 : 2.6</x:v>
      </x:c>
      <x:c r="M2628" s="66" t="str">
        <x:f>IF(J2628="","Baru/Tanpa Data",IF(J2628&lt;='Catatan &amp; Sumber'!$B$14,"Sangat Ketat",IF(J2628&lt;='Catatan &amp; Sumber'!$B$15,"Ketat",IF(J2628&lt;='Catatan &amp; Sumber'!$B$16,"Sedang","Relatif Longgar"))))</x:f>
        <x:v>Relatif Longgar</x:v>
      </x:c>
      <x:c r="N2628" s="66" t="str">
        <x:v>Tidak Ada</x:v>
      </x:c>
      <x:c r="O2628" s="66" t="str">
        <x:v>Jawa Timur</x:v>
      </x:c>
      <x:c r="P2628" s="66" t="str">
        <x:v>Kota Malang</x:v>
      </x:c>
      <x:c r="Q2628" s="66" t="str">
        <x:v>https://snpmb.id/snbp/daya-tampung-snbp</x:v>
      </x:c>
      <x:c r="R2628" s="66" t="str">
        <x:v>https://sidatagrun-public-1076756628210.asia-southeast2.run.app/ptn_sn.php?ptn=372</x:v>
      </x:c>
    </x:row>
    <x:row r="2629">
      <x:c r="A2629" s="87" t="n">
        <x:v>3514</x:v>
      </x:c>
      <x:c r="B2629" s="66" t="n">
        <x:v>372</x:v>
      </x:c>
      <x:c r="C2629" s="66" t="str">
        <x:v>UNIVERSITAS BRAWIJAYA</x:v>
      </x:c>
      <x:c r="D2629" s="66" t="str">
        <x:v>PTN Akademik</x:v>
      </x:c>
      <x:c r="E2629" s="66" t="str">
        <x:v>13721052</x:v>
      </x:c>
      <x:c r="F2629" s="66" t="str">
        <x:v>SOSIAL EKONOMI PERIKANAN (PSDKU KEDIRI)</x:v>
      </x:c>
      <x:c r="G2629" s="66" t="str">
        <x:v>Sarjana</x:v>
      </x:c>
      <x:c r="H2629" s="87" t="n">
        <x:v>42</x:v>
      </x:c>
      <x:c r="I2629" s="87" t="n">
        <x:v>96</x:v>
      </x:c>
      <x:c r="J2629" s="68" t="n">
        <x:f>IFERROR(H2629/I2629,"")</x:f>
        <x:v>0.4375</x:v>
      </x:c>
      <x:c r="K2629" s="69" t="n">
        <x:f>IFERROR(I2629/H2629,"")</x:f>
        <x:v>2.2857142857142856</x:v>
      </x:c>
      <x:c r="L2629" s="66" t="str">
        <x:f>IF(K2629="","","1 : "&amp;TEXT(K2629,"0.0"))</x:f>
        <x:v>1 : 2.3</x:v>
      </x:c>
      <x:c r="M2629" s="66" t="str">
        <x:f>IF(J2629="","Baru/Tanpa Data",IF(J2629&lt;='Catatan &amp; Sumber'!$B$14,"Sangat Ketat",IF(J2629&lt;='Catatan &amp; Sumber'!$B$15,"Ketat",IF(J2629&lt;='Catatan &amp; Sumber'!$B$16,"Sedang","Relatif Longgar"))))</x:f>
        <x:v>Relatif Longgar</x:v>
      </x:c>
      <x:c r="N2629" s="66" t="str">
        <x:v>Tidak Ada</x:v>
      </x:c>
      <x:c r="O2629" s="66" t="str">
        <x:v>Jawa Timur</x:v>
      </x:c>
      <x:c r="P2629" s="66" t="str">
        <x:v>Kota Malang</x:v>
      </x:c>
      <x:c r="Q2629" s="66" t="str">
        <x:v>https://snpmb.id/snbp/daya-tampung-snbp</x:v>
      </x:c>
      <x:c r="R2629" s="66" t="str">
        <x:v>https://sidatagrun-public-1076756628210.asia-southeast2.run.app/ptn_sn.php?ptn=372</x:v>
      </x:c>
    </x:row>
    <x:row r="2630">
      <x:c r="A2630" s="87" t="n">
        <x:v>862</x:v>
      </x:c>
      <x:c r="B2630" s="66" t="n">
        <x:v>372</x:v>
      </x:c>
      <x:c r="C2630" s="66" t="str">
        <x:v>UNIVERSITAS BRAWIJAYA</x:v>
      </x:c>
      <x:c r="D2630" s="66" t="str">
        <x:v>PTN Akademik</x:v>
      </x:c>
      <x:c r="E2630" s="66" t="str">
        <x:v>13721053</x:v>
      </x:c>
      <x:c r="F2630" s="66" t="str">
        <x:v>KEHUTANAN</x:v>
      </x:c>
      <x:c r="G2630" s="66" t="str">
        <x:v>Sarjana</x:v>
      </x:c>
      <x:c r="H2630" s="87" t="n">
        <x:v>20</x:v>
      </x:c>
      <x:c r="I2630" s="87" t="n">
        <x:v>286</x:v>
      </x:c>
      <x:c r="J2630" s="68" t="n">
        <x:f>IFERROR(H2630/I2630,"")</x:f>
        <x:v>0.06993006993006994</x:v>
      </x:c>
      <x:c r="K2630" s="69" t="n">
        <x:f>IFERROR(I2630/H2630,"")</x:f>
        <x:v>14.3</x:v>
      </x:c>
      <x:c r="L2630" s="66" t="str">
        <x:f>IF(K2630="","","1 : "&amp;TEXT(K2630,"0.0"))</x:f>
        <x:v>1 : 14.3</x:v>
      </x:c>
      <x:c r="M2630" s="66" t="str">
        <x:f>IF(J2630="","Baru/Tanpa Data",IF(J2630&lt;='Catatan &amp; Sumber'!$B$14,"Sangat Ketat",IF(J2630&lt;='Catatan &amp; Sumber'!$B$15,"Ketat",IF(J2630&lt;='Catatan &amp; Sumber'!$B$16,"Sedang","Relatif Longgar"))))</x:f>
        <x:v>Sedang</x:v>
      </x:c>
      <x:c r="N2630" s="66" t="str">
        <x:v>Tidak Ada</x:v>
      </x:c>
      <x:c r="O2630" s="66" t="str">
        <x:v>Jawa Timur</x:v>
      </x:c>
      <x:c r="P2630" s="66" t="str">
        <x:v>Kota Malang</x:v>
      </x:c>
      <x:c r="Q2630" s="66" t="str">
        <x:v>https://snpmb.id/snbp/daya-tampung-snbp</x:v>
      </x:c>
      <x:c r="R2630" s="66" t="str">
        <x:v>https://sidatagrun-public-1076756628210.asia-southeast2.run.app/ptn_sn.php?ptn=372</x:v>
      </x:c>
    </x:row>
    <x:row r="2631">
      <x:c r="A2631" s="87" t="n">
        <x:v>1040</x:v>
      </x:c>
      <x:c r="B2631" s="66" t="n">
        <x:v>372</x:v>
      </x:c>
      <x:c r="C2631" s="66" t="str">
        <x:v>UNIVERSITAS BRAWIJAYA</x:v>
      </x:c>
      <x:c r="D2631" s="66" t="str">
        <x:v>PTN Akademik</x:v>
      </x:c>
      <x:c r="E2631" s="66" t="str">
        <x:v>13721054</x:v>
      </x:c>
      <x:c r="F2631" s="66" t="str">
        <x:v>ILMU AKTUARIA</x:v>
      </x:c>
      <x:c r="G2631" s="66" t="str">
        <x:v>Sarjana</x:v>
      </x:c>
      <x:c r="H2631" s="87" t="n">
        <x:v>20</x:v>
      </x:c>
      <x:c r="I2631" s="87" t="n">
        <x:v>249</x:v>
      </x:c>
      <x:c r="J2631" s="68" t="n">
        <x:f>IFERROR(H2631/I2631,"")</x:f>
        <x:v>0.08032128514056225</x:v>
      </x:c>
      <x:c r="K2631" s="69" t="n">
        <x:f>IFERROR(I2631/H2631,"")</x:f>
        <x:v>12.45</x:v>
      </x:c>
      <x:c r="L2631" s="66" t="str">
        <x:f>IF(K2631="","","1 : "&amp;TEXT(K2631,"0.0"))</x:f>
        <x:v>1 : 12.5</x:v>
      </x:c>
      <x:c r="M2631" s="66" t="str">
        <x:f>IF(J2631="","Baru/Tanpa Data",IF(J2631&lt;='Catatan &amp; Sumber'!$B$14,"Sangat Ketat",IF(J2631&lt;='Catatan &amp; Sumber'!$B$15,"Ketat",IF(J2631&lt;='Catatan &amp; Sumber'!$B$16,"Sedang","Relatif Longgar"))))</x:f>
        <x:v>Sedang</x:v>
      </x:c>
      <x:c r="N2631" s="66" t="str">
        <x:v>Tidak Ada</x:v>
      </x:c>
      <x:c r="O2631" s="66" t="str">
        <x:v>Jawa Timur</x:v>
      </x:c>
      <x:c r="P2631" s="66" t="str">
        <x:v>Kota Malang</x:v>
      </x:c>
      <x:c r="Q2631" s="66" t="str">
        <x:v>https://snpmb.id/snbp/daya-tampung-snbp</x:v>
      </x:c>
      <x:c r="R2631" s="66" t="str">
        <x:v>https://sidatagrun-public-1076756628210.asia-southeast2.run.app/ptn_sn.php?ptn=372</x:v>
      </x:c>
    </x:row>
    <x:row r="2632">
      <x:c r="A2632" s="87" t="n">
        <x:v>1451</x:v>
      </x:c>
      <x:c r="B2632" s="66" t="n">
        <x:v>372</x:v>
      </x:c>
      <x:c r="C2632" s="66" t="str">
        <x:v>UNIVERSITAS BRAWIJAYA</x:v>
      </x:c>
      <x:c r="D2632" s="66" t="str">
        <x:v>PTN Akademik</x:v>
      </x:c>
      <x:c r="E2632" s="66" t="str">
        <x:v>13721056</x:v>
      </x:c>
      <x:c r="F2632" s="66" t="str">
        <x:v>ILMU HUKUM</x:v>
      </x:c>
      <x:c r="G2632" s="66" t="str">
        <x:v>Sarjana</x:v>
      </x:c>
      <x:c r="H2632" s="87" t="n">
        <x:v>133</x:v>
      </x:c>
      <x:c r="I2632" s="87" t="n">
        <x:v>1255</x:v>
      </x:c>
      <x:c r="J2632" s="68" t="n">
        <x:f>IFERROR(H2632/I2632,"")</x:f>
        <x:v>0.10597609561752988</x:v>
      </x:c>
      <x:c r="K2632" s="69" t="n">
        <x:f>IFERROR(I2632/H2632,"")</x:f>
        <x:v>9.436090225563909</x:v>
      </x:c>
      <x:c r="L2632" s="66" t="str">
        <x:f>IF(K2632="","","1 : "&amp;TEXT(K2632,"0.0"))</x:f>
        <x:v>1 : 9.4</x:v>
      </x:c>
      <x:c r="M2632" s="66" t="str">
        <x:f>IF(J2632="","Baru/Tanpa Data",IF(J2632&lt;='Catatan &amp; Sumber'!$B$14,"Sangat Ketat",IF(J2632&lt;='Catatan &amp; Sumber'!$B$15,"Ketat",IF(J2632&lt;='Catatan &amp; Sumber'!$B$16,"Sedang","Relatif Longgar"))))</x:f>
        <x:v>Relatif Longgar</x:v>
      </x:c>
      <x:c r="N2632" s="66" t="str">
        <x:v>Tidak Ada</x:v>
      </x:c>
      <x:c r="O2632" s="66" t="str">
        <x:v>Jawa Timur</x:v>
      </x:c>
      <x:c r="P2632" s="66" t="str">
        <x:v>Kota Malang</x:v>
      </x:c>
      <x:c r="Q2632" s="66" t="str">
        <x:v>https://snpmb.id/snbp/daya-tampung-snbp</x:v>
      </x:c>
      <x:c r="R2632" s="66" t="str">
        <x:v>https://sidatagrun-public-1076756628210.asia-southeast2.run.app/ptn_sn.php?ptn=372</x:v>
      </x:c>
    </x:row>
    <x:row r="2633">
      <x:c r="A2633" s="87" t="n">
        <x:v>1349</x:v>
      </x:c>
      <x:c r="B2633" s="66" t="n">
        <x:v>372</x:v>
      </x:c>
      <x:c r="C2633" s="66" t="str">
        <x:v>UNIVERSITAS BRAWIJAYA</x:v>
      </x:c>
      <x:c r="D2633" s="66" t="str">
        <x:v>PTN Akademik</x:v>
      </x:c>
      <x:c r="E2633" s="66" t="str">
        <x:v>13721057</x:v>
      </x:c>
      <x:c r="F2633" s="66" t="str">
        <x:v>EKONOMI PEMBANGUNAN</x:v>
      </x:c>
      <x:c r="G2633" s="66" t="str">
        <x:v>Sarjana</x:v>
      </x:c>
      <x:c r="H2633" s="87" t="n">
        <x:v>35</x:v>
      </x:c>
      <x:c r="I2633" s="87" t="n">
        <x:v>356</x:v>
      </x:c>
      <x:c r="J2633" s="68" t="n">
        <x:f>IFERROR(H2633/I2633,"")</x:f>
        <x:v>0.09831460674157304</x:v>
      </x:c>
      <x:c r="K2633" s="69" t="n">
        <x:f>IFERROR(I2633/H2633,"")</x:f>
        <x:v>10.17142857142857</x:v>
      </x:c>
      <x:c r="L2633" s="66" t="str">
        <x:f>IF(K2633="","","1 : "&amp;TEXT(K2633,"0.0"))</x:f>
        <x:v>1 : 10.2</x:v>
      </x:c>
      <x:c r="M2633" s="66" t="str">
        <x:f>IF(J2633="","Baru/Tanpa Data",IF(J2633&lt;='Catatan &amp; Sumber'!$B$14,"Sangat Ketat",IF(J2633&lt;='Catatan &amp; Sumber'!$B$15,"Ketat",IF(J2633&lt;='Catatan &amp; Sumber'!$B$16,"Sedang","Relatif Longgar"))))</x:f>
        <x:v>Sedang</x:v>
      </x:c>
      <x:c r="N2633" s="66" t="str">
        <x:v>Tidak Ada</x:v>
      </x:c>
      <x:c r="O2633" s="66" t="str">
        <x:v>Jawa Timur</x:v>
      </x:c>
      <x:c r="P2633" s="66" t="str">
        <x:v>Kota Malang</x:v>
      </x:c>
      <x:c r="Q2633" s="66" t="str">
        <x:v>https://snpmb.id/snbp/daya-tampung-snbp</x:v>
      </x:c>
      <x:c r="R2633" s="66" t="str">
        <x:v>https://sidatagrun-public-1076756628210.asia-southeast2.run.app/ptn_sn.php?ptn=372</x:v>
      </x:c>
    </x:row>
    <x:row r="2634">
      <x:c r="A2634" s="87" t="n">
        <x:v>1470</x:v>
      </x:c>
      <x:c r="B2634" s="66" t="n">
        <x:v>372</x:v>
      </x:c>
      <x:c r="C2634" s="66" t="str">
        <x:v>UNIVERSITAS BRAWIJAYA</x:v>
      </x:c>
      <x:c r="D2634" s="66" t="str">
        <x:v>PTN Akademik</x:v>
      </x:c>
      <x:c r="E2634" s="66" t="str">
        <x:v>13721058</x:v>
      </x:c>
      <x:c r="F2634" s="66" t="str">
        <x:v>ADMINISTRASI PUBLIK</x:v>
      </x:c>
      <x:c r="G2634" s="66" t="str">
        <x:v>Sarjana</x:v>
      </x:c>
      <x:c r="H2634" s="87" t="n">
        <x:v>82</x:v>
      </x:c>
      <x:c r="I2634" s="87" t="n">
        <x:v>763</x:v>
      </x:c>
      <x:c r="J2634" s="68" t="n">
        <x:f>IFERROR(H2634/I2634,"")</x:f>
        <x:v>0.10747051114023591</x:v>
      </x:c>
      <x:c r="K2634" s="69" t="n">
        <x:f>IFERROR(I2634/H2634,"")</x:f>
        <x:v>9.304878048780488</x:v>
      </x:c>
      <x:c r="L2634" s="66" t="str">
        <x:f>IF(K2634="","","1 : "&amp;TEXT(K2634,"0.0"))</x:f>
        <x:v>1 : 9.3</x:v>
      </x:c>
      <x:c r="M2634" s="66" t="str">
        <x:f>IF(J2634="","Baru/Tanpa Data",IF(J2634&lt;='Catatan &amp; Sumber'!$B$14,"Sangat Ketat",IF(J2634&lt;='Catatan &amp; Sumber'!$B$15,"Ketat",IF(J2634&lt;='Catatan &amp; Sumber'!$B$16,"Sedang","Relatif Longgar"))))</x:f>
        <x:v>Relatif Longgar</x:v>
      </x:c>
      <x:c r="N2634" s="66" t="str">
        <x:v>Tidak Ada</x:v>
      </x:c>
      <x:c r="O2634" s="66" t="str">
        <x:v>Jawa Timur</x:v>
      </x:c>
      <x:c r="P2634" s="66" t="str">
        <x:v>Kota Malang</x:v>
      </x:c>
      <x:c r="Q2634" s="66" t="str">
        <x:v>https://snpmb.id/snbp/daya-tampung-snbp</x:v>
      </x:c>
      <x:c r="R2634" s="66" t="str">
        <x:v>https://sidatagrun-public-1076756628210.asia-southeast2.run.app/ptn_sn.php?ptn=372</x:v>
      </x:c>
    </x:row>
    <x:row r="2635">
      <x:c r="A2635" s="87" t="n">
        <x:v>779</x:v>
      </x:c>
      <x:c r="B2635" s="66" t="n">
        <x:v>372</x:v>
      </x:c>
      <x:c r="C2635" s="66" t="str">
        <x:v>UNIVERSITAS BRAWIJAYA</x:v>
      </x:c>
      <x:c r="D2635" s="66" t="str">
        <x:v>PTN Akademik</x:v>
      </x:c>
      <x:c r="E2635" s="66" t="str">
        <x:v>13721059</x:v>
      </x:c>
      <x:c r="F2635" s="66" t="str">
        <x:v>ADMINISTRASI BISNIS</x:v>
      </x:c>
      <x:c r="G2635" s="66" t="str">
        <x:v>Sarjana</x:v>
      </x:c>
      <x:c r="H2635" s="87" t="n">
        <x:v>93</x:v>
      </x:c>
      <x:c r="I2635" s="87" t="n">
        <x:v>1413</x:v>
      </x:c>
      <x:c r="J2635" s="68" t="n">
        <x:f>IFERROR(H2635/I2635,"")</x:f>
        <x:v>0.06581740976645435</x:v>
      </x:c>
      <x:c r="K2635" s="69" t="n">
        <x:f>IFERROR(I2635/H2635,"")</x:f>
        <x:v>15.193548387096774</x:v>
      </x:c>
      <x:c r="L2635" s="66" t="str">
        <x:f>IF(K2635="","","1 : "&amp;TEXT(K2635,"0.0"))</x:f>
        <x:v>1 : 15.2</x:v>
      </x:c>
      <x:c r="M2635" s="66" t="str">
        <x:f>IF(J2635="","Baru/Tanpa Data",IF(J2635&lt;='Catatan &amp; Sumber'!$B$14,"Sangat Ketat",IF(J2635&lt;='Catatan &amp; Sumber'!$B$15,"Ketat",IF(J2635&lt;='Catatan &amp; Sumber'!$B$16,"Sedang","Relatif Longgar"))))</x:f>
        <x:v>Sedang</x:v>
      </x:c>
      <x:c r="N2635" s="66" t="str">
        <x:v>Tidak Ada</x:v>
      </x:c>
      <x:c r="O2635" s="66" t="str">
        <x:v>Jawa Timur</x:v>
      </x:c>
      <x:c r="P2635" s="66" t="str">
        <x:v>Kota Malang</x:v>
      </x:c>
      <x:c r="Q2635" s="66" t="str">
        <x:v>https://snpmb.id/snbp/daya-tampung-snbp</x:v>
      </x:c>
      <x:c r="R2635" s="66" t="str">
        <x:v>https://sidatagrun-public-1076756628210.asia-southeast2.run.app/ptn_sn.php?ptn=372</x:v>
      </x:c>
    </x:row>
    <x:row r="2636">
      <x:c r="A2636" s="87" t="n">
        <x:v>913</x:v>
      </x:c>
      <x:c r="B2636" s="66" t="n">
        <x:v>372</x:v>
      </x:c>
      <x:c r="C2636" s="66" t="str">
        <x:v>UNIVERSITAS BRAWIJAYA</x:v>
      </x:c>
      <x:c r="D2636" s="66" t="str">
        <x:v>PTN Akademik</x:v>
      </x:c>
      <x:c r="E2636" s="66" t="str">
        <x:v>13721060</x:v>
      </x:c>
      <x:c r="F2636" s="66" t="str">
        <x:v>MANAJEMEN</x:v>
      </x:c>
      <x:c r="G2636" s="66" t="str">
        <x:v>Sarjana</x:v>
      </x:c>
      <x:c r="H2636" s="87" t="n">
        <x:v>75</x:v>
      </x:c>
      <x:c r="I2636" s="87" t="n">
        <x:v>1025</x:v>
      </x:c>
      <x:c r="J2636" s="68" t="n">
        <x:f>IFERROR(H2636/I2636,"")</x:f>
        <x:v>0.07317073170731707</x:v>
      </x:c>
      <x:c r="K2636" s="69" t="n">
        <x:f>IFERROR(I2636/H2636,"")</x:f>
        <x:v>13.666666666666666</x:v>
      </x:c>
      <x:c r="L2636" s="66" t="str">
        <x:f>IF(K2636="","","1 : "&amp;TEXT(K2636,"0.0"))</x:f>
        <x:v>1 : 13.7</x:v>
      </x:c>
      <x:c r="M2636" s="66" t="str">
        <x:f>IF(J2636="","Baru/Tanpa Data",IF(J2636&lt;='Catatan &amp; Sumber'!$B$14,"Sangat Ketat",IF(J2636&lt;='Catatan &amp; Sumber'!$B$15,"Ketat",IF(J2636&lt;='Catatan &amp; Sumber'!$B$16,"Sedang","Relatif Longgar"))))</x:f>
        <x:v>Sedang</x:v>
      </x:c>
      <x:c r="N2636" s="66" t="str">
        <x:v>Tidak Ada</x:v>
      </x:c>
      <x:c r="O2636" s="66" t="str">
        <x:v>Jawa Timur</x:v>
      </x:c>
      <x:c r="P2636" s="66" t="str">
        <x:v>Kota Malang</x:v>
      </x:c>
      <x:c r="Q2636" s="66" t="str">
        <x:v>https://snpmb.id/snbp/daya-tampung-snbp</x:v>
      </x:c>
      <x:c r="R2636" s="66" t="str">
        <x:v>https://sidatagrun-public-1076756628210.asia-southeast2.run.app/ptn_sn.php?ptn=372</x:v>
      </x:c>
    </x:row>
    <x:row r="2637">
      <x:c r="A2637" s="87" t="n">
        <x:v>1072</x:v>
      </x:c>
      <x:c r="B2637" s="66" t="n">
        <x:v>372</x:v>
      </x:c>
      <x:c r="C2637" s="66" t="str">
        <x:v>UNIVERSITAS BRAWIJAYA</x:v>
      </x:c>
      <x:c r="D2637" s="66" t="str">
        <x:v>PTN Akademik</x:v>
      </x:c>
      <x:c r="E2637" s="66" t="str">
        <x:v>13721061</x:v>
      </x:c>
      <x:c r="F2637" s="66" t="str">
        <x:v>AKUNTANSI</x:v>
      </x:c>
      <x:c r="G2637" s="66" t="str">
        <x:v>Sarjana</x:v>
      </x:c>
      <x:c r="H2637" s="87" t="n">
        <x:v>94</x:v>
      </x:c>
      <x:c r="I2637" s="87" t="n">
        <x:v>1147</x:v>
      </x:c>
      <x:c r="J2637" s="68" t="n">
        <x:f>IFERROR(H2637/I2637,"")</x:f>
        <x:v>0.08195292066259809</x:v>
      </x:c>
      <x:c r="K2637" s="69" t="n">
        <x:f>IFERROR(I2637/H2637,"")</x:f>
        <x:v>12.202127659574469</x:v>
      </x:c>
      <x:c r="L2637" s="66" t="str">
        <x:f>IF(K2637="","","1 : "&amp;TEXT(K2637,"0.0"))</x:f>
        <x:v>1 : 12.2</x:v>
      </x:c>
      <x:c r="M2637" s="66" t="str">
        <x:f>IF(J2637="","Baru/Tanpa Data",IF(J2637&lt;='Catatan &amp; Sumber'!$B$14,"Sangat Ketat",IF(J2637&lt;='Catatan &amp; Sumber'!$B$15,"Ketat",IF(J2637&lt;='Catatan &amp; Sumber'!$B$16,"Sedang","Relatif Longgar"))))</x:f>
        <x:v>Sedang</x:v>
      </x:c>
      <x:c r="N2637" s="66" t="str">
        <x:v>Tidak Ada</x:v>
      </x:c>
      <x:c r="O2637" s="66" t="str">
        <x:v>Jawa Timur</x:v>
      </x:c>
      <x:c r="P2637" s="66" t="str">
        <x:v>Kota Malang</x:v>
      </x:c>
      <x:c r="Q2637" s="66" t="str">
        <x:v>https://snpmb.id/snbp/daya-tampung-snbp</x:v>
      </x:c>
      <x:c r="R2637" s="66" t="str">
        <x:v>https://sidatagrun-public-1076756628210.asia-southeast2.run.app/ptn_sn.php?ptn=372</x:v>
      </x:c>
    </x:row>
    <x:row r="2638">
      <x:c r="A2638" s="87" t="n">
        <x:v>1617</x:v>
      </x:c>
      <x:c r="B2638" s="66" t="n">
        <x:v>372</x:v>
      </x:c>
      <x:c r="C2638" s="66" t="str">
        <x:v>UNIVERSITAS BRAWIJAYA</x:v>
      </x:c>
      <x:c r="D2638" s="66" t="str">
        <x:v>PTN Akademik</x:v>
      </x:c>
      <x:c r="E2638" s="66" t="str">
        <x:v>13721062</x:v>
      </x:c>
      <x:c r="F2638" s="66" t="str">
        <x:v>SOSIOLOGI</x:v>
      </x:c>
      <x:c r="G2638" s="66" t="str">
        <x:v>Sarjana</x:v>
      </x:c>
      <x:c r="H2638" s="87" t="n">
        <x:v>42</x:v>
      </x:c>
      <x:c r="I2638" s="87" t="n">
        <x:v>355</x:v>
      </x:c>
      <x:c r="J2638" s="68" t="n">
        <x:f>IFERROR(H2638/I2638,"")</x:f>
        <x:v>0.11830985915492957</x:v>
      </x:c>
      <x:c r="K2638" s="69" t="n">
        <x:f>IFERROR(I2638/H2638,"")</x:f>
        <x:v>8.452380952380953</x:v>
      </x:c>
      <x:c r="L2638" s="66" t="str">
        <x:f>IF(K2638="","","1 : "&amp;TEXT(K2638,"0.0"))</x:f>
        <x:v>1 : 8.5</x:v>
      </x:c>
      <x:c r="M2638" s="66" t="str">
        <x:f>IF(J2638="","Baru/Tanpa Data",IF(J2638&lt;='Catatan &amp; Sumber'!$B$14,"Sangat Ketat",IF(J2638&lt;='Catatan &amp; Sumber'!$B$15,"Ketat",IF(J2638&lt;='Catatan &amp; Sumber'!$B$16,"Sedang","Relatif Longgar"))))</x:f>
        <x:v>Relatif Longgar</x:v>
      </x:c>
      <x:c r="N2638" s="66" t="str">
        <x:v>Tidak Ada</x:v>
      </x:c>
      <x:c r="O2638" s="66" t="str">
        <x:v>Jawa Timur</x:v>
      </x:c>
      <x:c r="P2638" s="66" t="str">
        <x:v>Kota Malang</x:v>
      </x:c>
      <x:c r="Q2638" s="66" t="str">
        <x:v>https://snpmb.id/snbp/daya-tampung-snbp</x:v>
      </x:c>
      <x:c r="R2638" s="66" t="str">
        <x:v>https://sidatagrun-public-1076756628210.asia-southeast2.run.app/ptn_sn.php?ptn=372</x:v>
      </x:c>
    </x:row>
    <x:row r="2639">
      <x:c r="A2639" s="87" t="n">
        <x:v>691</x:v>
      </x:c>
      <x:c r="B2639" s="66" t="n">
        <x:v>372</x:v>
      </x:c>
      <x:c r="C2639" s="66" t="str">
        <x:v>UNIVERSITAS BRAWIJAYA</x:v>
      </x:c>
      <x:c r="D2639" s="66" t="str">
        <x:v>PTN Akademik</x:v>
      </x:c>
      <x:c r="E2639" s="66" t="str">
        <x:v>13721063</x:v>
      </x:c>
      <x:c r="F2639" s="66" t="str">
        <x:v>ILMU KOMUNIKASI</x:v>
      </x:c>
      <x:c r="G2639" s="66" t="str">
        <x:v>Sarjana</x:v>
      </x:c>
      <x:c r="H2639" s="87" t="n">
        <x:v>56</x:v>
      </x:c>
      <x:c r="I2639" s="87" t="n">
        <x:v>911</x:v>
      </x:c>
      <x:c r="J2639" s="68" t="n">
        <x:f>IFERROR(H2639/I2639,"")</x:f>
        <x:v>0.06147091108671789</x:v>
      </x:c>
      <x:c r="K2639" s="69" t="n">
        <x:f>IFERROR(I2639/H2639,"")</x:f>
        <x:v>16.267857142857142</x:v>
      </x:c>
      <x:c r="L2639" s="66" t="str">
        <x:f>IF(K2639="","","1 : "&amp;TEXT(K2639,"0.0"))</x:f>
        <x:v>1 : 16.3</x:v>
      </x:c>
      <x:c r="M2639" s="66" t="str">
        <x:f>IF(J2639="","Baru/Tanpa Data",IF(J2639&lt;='Catatan &amp; Sumber'!$B$14,"Sangat Ketat",IF(J2639&lt;='Catatan &amp; Sumber'!$B$15,"Ketat",IF(J2639&lt;='Catatan &amp; Sumber'!$B$16,"Sedang","Relatif Longgar"))))</x:f>
        <x:v>Sedang</x:v>
      </x:c>
      <x:c r="N2639" s="66" t="str">
        <x:v>Tidak Ada</x:v>
      </x:c>
      <x:c r="O2639" s="66" t="str">
        <x:v>Jawa Timur</x:v>
      </x:c>
      <x:c r="P2639" s="66" t="str">
        <x:v>Kota Malang</x:v>
      </x:c>
      <x:c r="Q2639" s="66" t="str">
        <x:v>https://snpmb.id/snbp/daya-tampung-snbp</x:v>
      </x:c>
      <x:c r="R2639" s="66" t="str">
        <x:v>https://sidatagrun-public-1076756628210.asia-southeast2.run.app/ptn_sn.php?ptn=372</x:v>
      </x:c>
    </x:row>
    <x:row r="2640">
      <x:c r="A2640" s="87" t="n">
        <x:v>586</x:v>
      </x:c>
      <x:c r="B2640" s="66" t="n">
        <x:v>372</x:v>
      </x:c>
      <x:c r="C2640" s="66" t="str">
        <x:v>UNIVERSITAS BRAWIJAYA</x:v>
      </x:c>
      <x:c r="D2640" s="66" t="str">
        <x:v>PTN Akademik</x:v>
      </x:c>
      <x:c r="E2640" s="66" t="str">
        <x:v>13721064</x:v>
      </x:c>
      <x:c r="F2640" s="66" t="str">
        <x:v>PSIKOLOGI</x:v>
      </x:c>
      <x:c r="G2640" s="66" t="str">
        <x:v>Sarjana</x:v>
      </x:c>
      <x:c r="H2640" s="87" t="n">
        <x:v>58</x:v>
      </x:c>
      <x:c r="I2640" s="87" t="n">
        <x:v>1033</x:v>
      </x:c>
      <x:c r="J2640" s="68" t="n">
        <x:f>IFERROR(H2640/I2640,"")</x:f>
        <x:v>0.05614714424007745</x:v>
      </x:c>
      <x:c r="K2640" s="69" t="n">
        <x:f>IFERROR(I2640/H2640,"")</x:f>
        <x:v>17.810344827586206</x:v>
      </x:c>
      <x:c r="L2640" s="66" t="str">
        <x:f>IF(K2640="","","1 : "&amp;TEXT(K2640,"0.0"))</x:f>
        <x:v>1 : 17.8</x:v>
      </x:c>
      <x:c r="M2640" s="66" t="str">
        <x:f>IF(J2640="","Baru/Tanpa Data",IF(J2640&lt;='Catatan &amp; Sumber'!$B$14,"Sangat Ketat",IF(J2640&lt;='Catatan &amp; Sumber'!$B$15,"Ketat",IF(J2640&lt;='Catatan &amp; Sumber'!$B$16,"Sedang","Relatif Longgar"))))</x:f>
        <x:v>Sedang</x:v>
      </x:c>
      <x:c r="N2640" s="66" t="str">
        <x:v>Tidak Ada</x:v>
      </x:c>
      <x:c r="O2640" s="66" t="str">
        <x:v>Jawa Timur</x:v>
      </x:c>
      <x:c r="P2640" s="66" t="str">
        <x:v>Kota Malang</x:v>
      </x:c>
      <x:c r="Q2640" s="66" t="str">
        <x:v>https://snpmb.id/snbp/daya-tampung-snbp</x:v>
      </x:c>
      <x:c r="R2640" s="66" t="str">
        <x:v>https://sidatagrun-public-1076756628210.asia-southeast2.run.app/ptn_sn.php?ptn=372</x:v>
      </x:c>
    </x:row>
    <x:row r="2641">
      <x:c r="A2641" s="87" t="n">
        <x:v>1198</x:v>
      </x:c>
      <x:c r="B2641" s="66" t="n">
        <x:v>372</x:v>
      </x:c>
      <x:c r="C2641" s="66" t="str">
        <x:v>UNIVERSITAS BRAWIJAYA</x:v>
      </x:c>
      <x:c r="D2641" s="66" t="str">
        <x:v>PTN Akademik</x:v>
      </x:c>
      <x:c r="E2641" s="66" t="str">
        <x:v>13721065</x:v>
      </x:c>
      <x:c r="F2641" s="66" t="str">
        <x:v>HUBUNGAN INTERNASIONAL</x:v>
      </x:c>
      <x:c r="G2641" s="66" t="str">
        <x:v>Sarjana</x:v>
      </x:c>
      <x:c r="H2641" s="87" t="n">
        <x:v>50</x:v>
      </x:c>
      <x:c r="I2641" s="87" t="n">
        <x:v>559</x:v>
      </x:c>
      <x:c r="J2641" s="68" t="n">
        <x:f>IFERROR(H2641/I2641,"")</x:f>
        <x:v>0.08944543828264759</x:v>
      </x:c>
      <x:c r="K2641" s="69" t="n">
        <x:f>IFERROR(I2641/H2641,"")</x:f>
        <x:v>11.18</x:v>
      </x:c>
      <x:c r="L2641" s="66" t="str">
        <x:f>IF(K2641="","","1 : "&amp;TEXT(K2641,"0.0"))</x:f>
        <x:v>1 : 11.2</x:v>
      </x:c>
      <x:c r="M2641" s="66" t="str">
        <x:f>IF(J2641="","Baru/Tanpa Data",IF(J2641&lt;='Catatan &amp; Sumber'!$B$14,"Sangat Ketat",IF(J2641&lt;='Catatan &amp; Sumber'!$B$15,"Ketat",IF(J2641&lt;='Catatan &amp; Sumber'!$B$16,"Sedang","Relatif Longgar"))))</x:f>
        <x:v>Sedang</x:v>
      </x:c>
      <x:c r="N2641" s="66" t="str">
        <x:v>Tidak Ada</x:v>
      </x:c>
      <x:c r="O2641" s="66" t="str">
        <x:v>Jawa Timur</x:v>
      </x:c>
      <x:c r="P2641" s="66" t="str">
        <x:v>Kota Malang</x:v>
      </x:c>
      <x:c r="Q2641" s="66" t="str">
        <x:v>https://snpmb.id/snbp/daya-tampung-snbp</x:v>
      </x:c>
      <x:c r="R2641" s="66" t="str">
        <x:v>https://sidatagrun-public-1076756628210.asia-southeast2.run.app/ptn_sn.php?ptn=372</x:v>
      </x:c>
    </x:row>
    <x:row r="2642">
      <x:c r="A2642" s="87" t="n">
        <x:v>1627</x:v>
      </x:c>
      <x:c r="B2642" s="66" t="n">
        <x:v>372</x:v>
      </x:c>
      <x:c r="C2642" s="66" t="str">
        <x:v>UNIVERSITAS BRAWIJAYA</x:v>
      </x:c>
      <x:c r="D2642" s="66" t="str">
        <x:v>PTN Akademik</x:v>
      </x:c>
      <x:c r="E2642" s="66" t="str">
        <x:v>13721066</x:v>
      </x:c>
      <x:c r="F2642" s="66" t="str">
        <x:v>SASTRA INGGRIS</x:v>
      </x:c>
      <x:c r="G2642" s="66" t="str">
        <x:v>Sarjana</x:v>
      </x:c>
      <x:c r="H2642" s="87" t="n">
        <x:v>58</x:v>
      </x:c>
      <x:c r="I2642" s="87" t="n">
        <x:v>488</x:v>
      </x:c>
      <x:c r="J2642" s="68" t="n">
        <x:f>IFERROR(H2642/I2642,"")</x:f>
        <x:v>0.11885245901639344</x:v>
      </x:c>
      <x:c r="K2642" s="69" t="n">
        <x:f>IFERROR(I2642/H2642,"")</x:f>
        <x:v>8.413793103448276</x:v>
      </x:c>
      <x:c r="L2642" s="66" t="str">
        <x:f>IF(K2642="","","1 : "&amp;TEXT(K2642,"0.0"))</x:f>
        <x:v>1 : 8.4</x:v>
      </x:c>
      <x:c r="M2642" s="66" t="str">
        <x:f>IF(J2642="","Baru/Tanpa Data",IF(J2642&lt;='Catatan &amp; Sumber'!$B$14,"Sangat Ketat",IF(J2642&lt;='Catatan &amp; Sumber'!$B$15,"Ketat",IF(J2642&lt;='Catatan &amp; Sumber'!$B$16,"Sedang","Relatif Longgar"))))</x:f>
        <x:v>Relatif Longgar</x:v>
      </x:c>
      <x:c r="N2642" s="66" t="str">
        <x:v>Tidak Ada</x:v>
      </x:c>
      <x:c r="O2642" s="66" t="str">
        <x:v>Jawa Timur</x:v>
      </x:c>
      <x:c r="P2642" s="66" t="str">
        <x:v>Kota Malang</x:v>
      </x:c>
      <x:c r="Q2642" s="66" t="str">
        <x:v>https://snpmb.id/snbp/daya-tampung-snbp</x:v>
      </x:c>
      <x:c r="R2642" s="66" t="str">
        <x:v>https://sidatagrun-public-1076756628210.asia-southeast2.run.app/ptn_sn.php?ptn=372</x:v>
      </x:c>
    </x:row>
    <x:row r="2643">
      <x:c r="A2643" s="87" t="n">
        <x:v>1751</x:v>
      </x:c>
      <x:c r="B2643" s="66" t="n">
        <x:v>372</x:v>
      </x:c>
      <x:c r="C2643" s="66" t="str">
        <x:v>UNIVERSITAS BRAWIJAYA</x:v>
      </x:c>
      <x:c r="D2643" s="66" t="str">
        <x:v>PTN Akademik</x:v>
      </x:c>
      <x:c r="E2643" s="66" t="str">
        <x:v>13721067</x:v>
      </x:c>
      <x:c r="F2643" s="66" t="str">
        <x:v>SASTRA JEPANG</x:v>
      </x:c>
      <x:c r="G2643" s="66" t="str">
        <x:v>Sarjana</x:v>
      </x:c>
      <x:c r="H2643" s="87" t="n">
        <x:v>38</x:v>
      </x:c>
      <x:c r="I2643" s="87" t="n">
        <x:v>296</x:v>
      </x:c>
      <x:c r="J2643" s="68" t="n">
        <x:f>IFERROR(H2643/I2643,"")</x:f>
        <x:v>0.12837837837837837</x:v>
      </x:c>
      <x:c r="K2643" s="69" t="n">
        <x:f>IFERROR(I2643/H2643,"")</x:f>
        <x:v>7.7894736842105265</x:v>
      </x:c>
      <x:c r="L2643" s="66" t="str">
        <x:f>IF(K2643="","","1 : "&amp;TEXT(K2643,"0.0"))</x:f>
        <x:v>1 : 7.8</x:v>
      </x:c>
      <x:c r="M2643" s="66" t="str">
        <x:f>IF(J2643="","Baru/Tanpa Data",IF(J2643&lt;='Catatan &amp; Sumber'!$B$14,"Sangat Ketat",IF(J2643&lt;='Catatan &amp; Sumber'!$B$15,"Ketat",IF(J2643&lt;='Catatan &amp; Sumber'!$B$16,"Sedang","Relatif Longgar"))))</x:f>
        <x:v>Relatif Longgar</x:v>
      </x:c>
      <x:c r="N2643" s="66" t="str">
        <x:v>Tidak Ada</x:v>
      </x:c>
      <x:c r="O2643" s="66" t="str">
        <x:v>Jawa Timur</x:v>
      </x:c>
      <x:c r="P2643" s="66" t="str">
        <x:v>Kota Malang</x:v>
      </x:c>
      <x:c r="Q2643" s="66" t="str">
        <x:v>https://snpmb.id/snbp/daya-tampung-snbp</x:v>
      </x:c>
      <x:c r="R2643" s="66" t="str">
        <x:v>https://sidatagrun-public-1076756628210.asia-southeast2.run.app/ptn_sn.php?ptn=372</x:v>
      </x:c>
    </x:row>
    <x:row r="2644">
      <x:c r="A2644" s="87" t="n">
        <x:v>3036</x:v>
      </x:c>
      <x:c r="B2644" s="66" t="n">
        <x:v>372</x:v>
      </x:c>
      <x:c r="C2644" s="66" t="str">
        <x:v>UNIVERSITAS BRAWIJAYA</x:v>
      </x:c>
      <x:c r="D2644" s="66" t="str">
        <x:v>PTN Akademik</x:v>
      </x:c>
      <x:c r="E2644" s="66" t="str">
        <x:v>13721068</x:v>
      </x:c>
      <x:c r="F2644" s="66" t="str">
        <x:v>BAHASA DAN SASTRA PRANCIS</x:v>
      </x:c>
      <x:c r="G2644" s="66" t="str">
        <x:v>Sarjana</x:v>
      </x:c>
      <x:c r="H2644" s="87" t="n">
        <x:v>22</x:v>
      </x:c>
      <x:c r="I2644" s="87" t="n">
        <x:v>73</x:v>
      </x:c>
      <x:c r="J2644" s="68" t="n">
        <x:f>IFERROR(H2644/I2644,"")</x:f>
        <x:v>0.3013698630136986</x:v>
      </x:c>
      <x:c r="K2644" s="69" t="n">
        <x:f>IFERROR(I2644/H2644,"")</x:f>
        <x:v>3.3181818181818183</x:v>
      </x:c>
      <x:c r="L2644" s="66" t="str">
        <x:f>IF(K2644="","","1 : "&amp;TEXT(K2644,"0.0"))</x:f>
        <x:v>1 : 3.3</x:v>
      </x:c>
      <x:c r="M2644" s="66" t="str">
        <x:f>IF(J2644="","Baru/Tanpa Data",IF(J2644&lt;='Catatan &amp; Sumber'!$B$14,"Sangat Ketat",IF(J2644&lt;='Catatan &amp; Sumber'!$B$15,"Ketat",IF(J2644&lt;='Catatan &amp; Sumber'!$B$16,"Sedang","Relatif Longgar"))))</x:f>
        <x:v>Relatif Longgar</x:v>
      </x:c>
      <x:c r="N2644" s="66" t="str">
        <x:v>Tidak Ada</x:v>
      </x:c>
      <x:c r="O2644" s="66" t="str">
        <x:v>Jawa Timur</x:v>
      </x:c>
      <x:c r="P2644" s="66" t="str">
        <x:v>Kota Malang</x:v>
      </x:c>
      <x:c r="Q2644" s="66" t="str">
        <x:v>https://snpmb.id/snbp/daya-tampung-snbp</x:v>
      </x:c>
      <x:c r="R2644" s="66" t="str">
        <x:v>https://sidatagrun-public-1076756628210.asia-southeast2.run.app/ptn_sn.php?ptn=372</x:v>
      </x:c>
    </x:row>
    <x:row r="2645">
      <x:c r="A2645" s="87" t="n">
        <x:v>1881</x:v>
      </x:c>
      <x:c r="B2645" s="66" t="n">
        <x:v>372</x:v>
      </x:c>
      <x:c r="C2645" s="66" t="str">
        <x:v>UNIVERSITAS BRAWIJAYA</x:v>
      </x:c>
      <x:c r="D2645" s="66" t="str">
        <x:v>PTN Akademik</x:v>
      </x:c>
      <x:c r="E2645" s="66" t="str">
        <x:v>13721069</x:v>
      </x:c>
      <x:c r="F2645" s="66" t="str">
        <x:v>ILMU POLITIK</x:v>
      </x:c>
      <x:c r="G2645" s="66" t="str">
        <x:v>Sarjana</x:v>
      </x:c>
      <x:c r="H2645" s="87" t="n">
        <x:v>36</x:v>
      </x:c>
      <x:c r="I2645" s="87" t="n">
        <x:v>258</x:v>
      </x:c>
      <x:c r="J2645" s="68" t="n">
        <x:f>IFERROR(H2645/I2645,"")</x:f>
        <x:v>0.13953488372093023</x:v>
      </x:c>
      <x:c r="K2645" s="69" t="n">
        <x:f>IFERROR(I2645/H2645,"")</x:f>
        <x:v>7.166666666666667</x:v>
      </x:c>
      <x:c r="L2645" s="66" t="str">
        <x:f>IF(K2645="","","1 : "&amp;TEXT(K2645,"0.0"))</x:f>
        <x:v>1 : 7.2</x:v>
      </x:c>
      <x:c r="M2645" s="66" t="str">
        <x:f>IF(J2645="","Baru/Tanpa Data",IF(J2645&lt;='Catatan &amp; Sumber'!$B$14,"Sangat Ketat",IF(J2645&lt;='Catatan &amp; Sumber'!$B$15,"Ketat",IF(J2645&lt;='Catatan &amp; Sumber'!$B$16,"Sedang","Relatif Longgar"))))</x:f>
        <x:v>Relatif Longgar</x:v>
      </x:c>
      <x:c r="N2645" s="66" t="str">
        <x:v>Tidak Ada</x:v>
      </x:c>
      <x:c r="O2645" s="66" t="str">
        <x:v>Jawa Timur</x:v>
      </x:c>
      <x:c r="P2645" s="66" t="str">
        <x:v>Kota Malang</x:v>
      </x:c>
      <x:c r="Q2645" s="66" t="str">
        <x:v>https://snpmb.id/snbp/daya-tampung-snbp</x:v>
      </x:c>
      <x:c r="R2645" s="66" t="str">
        <x:v>https://sidatagrun-public-1076756628210.asia-southeast2.run.app/ptn_sn.php?ptn=372</x:v>
      </x:c>
    </x:row>
    <x:row r="2646">
      <x:c r="A2646" s="87" t="n">
        <x:v>1597</x:v>
      </x:c>
      <x:c r="B2646" s="66" t="n">
        <x:v>372</x:v>
      </x:c>
      <x:c r="C2646" s="66" t="str">
        <x:v>UNIVERSITAS BRAWIJAYA</x:v>
      </x:c>
      <x:c r="D2646" s="66" t="str">
        <x:v>PTN Akademik</x:v>
      </x:c>
      <x:c r="E2646" s="66" t="str">
        <x:v>13721070</x:v>
      </x:c>
      <x:c r="F2646" s="66" t="str">
        <x:v>ILMU PEMERINTAHAN</x:v>
      </x:c>
      <x:c r="G2646" s="66" t="str">
        <x:v>Sarjana</x:v>
      </x:c>
      <x:c r="H2646" s="87" t="n">
        <x:v>36</x:v>
      </x:c>
      <x:c r="I2646" s="87" t="n">
        <x:v>310</x:v>
      </x:c>
      <x:c r="J2646" s="68" t="n">
        <x:f>IFERROR(H2646/I2646,"")</x:f>
        <x:v>0.11612903225806452</x:v>
      </x:c>
      <x:c r="K2646" s="69" t="n">
        <x:f>IFERROR(I2646/H2646,"")</x:f>
        <x:v>8.61111111111111</x:v>
      </x:c>
      <x:c r="L2646" s="66" t="str">
        <x:f>IF(K2646="","","1 : "&amp;TEXT(K2646,"0.0"))</x:f>
        <x:v>1 : 8.6</x:v>
      </x:c>
      <x:c r="M2646" s="66" t="str">
        <x:f>IF(J2646="","Baru/Tanpa Data",IF(J2646&lt;='Catatan &amp; Sumber'!$B$14,"Sangat Ketat",IF(J2646&lt;='Catatan &amp; Sumber'!$B$15,"Ketat",IF(J2646&lt;='Catatan &amp; Sumber'!$B$16,"Sedang","Relatif Longgar"))))</x:f>
        <x:v>Relatif Longgar</x:v>
      </x:c>
      <x:c r="N2646" s="66" t="str">
        <x:v>Tidak Ada</x:v>
      </x:c>
      <x:c r="O2646" s="66" t="str">
        <x:v>Jawa Timur</x:v>
      </x:c>
      <x:c r="P2646" s="66" t="str">
        <x:v>Kota Malang</x:v>
      </x:c>
      <x:c r="Q2646" s="66" t="str">
        <x:v>https://snpmb.id/snbp/daya-tampung-snbp</x:v>
      </x:c>
      <x:c r="R2646" s="66" t="str">
        <x:v>https://sidatagrun-public-1076756628210.asia-southeast2.run.app/ptn_sn.php?ptn=372</x:v>
      </x:c>
    </x:row>
    <x:row r="2647">
      <x:c r="A2647" s="87" t="n">
        <x:v>1203</x:v>
      </x:c>
      <x:c r="B2647" s="66" t="n">
        <x:v>372</x:v>
      </x:c>
      <x:c r="C2647" s="66" t="str">
        <x:v>UNIVERSITAS BRAWIJAYA</x:v>
      </x:c>
      <x:c r="D2647" s="66" t="str">
        <x:v>PTN Akademik</x:v>
      </x:c>
      <x:c r="E2647" s="66" t="str">
        <x:v>13721072</x:v>
      </x:c>
      <x:c r="F2647" s="66" t="str">
        <x:v>PERPAJAKAN</x:v>
      </x:c>
      <x:c r="G2647" s="66" t="str">
        <x:v>Sarjana</x:v>
      </x:c>
      <x:c r="H2647" s="87" t="n">
        <x:v>55</x:v>
      </x:c>
      <x:c r="I2647" s="87" t="n">
        <x:v>612</x:v>
      </x:c>
      <x:c r="J2647" s="68" t="n">
        <x:f>IFERROR(H2647/I2647,"")</x:f>
        <x:v>0.08986928104575163</x:v>
      </x:c>
      <x:c r="K2647" s="69" t="n">
        <x:f>IFERROR(I2647/H2647,"")</x:f>
        <x:v>11.127272727272727</x:v>
      </x:c>
      <x:c r="L2647" s="66" t="str">
        <x:f>IF(K2647="","","1 : "&amp;TEXT(K2647,"0.0"))</x:f>
        <x:v>1 : 11.1</x:v>
      </x:c>
      <x:c r="M2647" s="66" t="str">
        <x:f>IF(J2647="","Baru/Tanpa Data",IF(J2647&lt;='Catatan &amp; Sumber'!$B$14,"Sangat Ketat",IF(J2647&lt;='Catatan &amp; Sumber'!$B$15,"Ketat",IF(J2647&lt;='Catatan &amp; Sumber'!$B$16,"Sedang","Relatif Longgar"))))</x:f>
        <x:v>Sedang</x:v>
      </x:c>
      <x:c r="N2647" s="66" t="str">
        <x:v>Tidak Ada</x:v>
      </x:c>
      <x:c r="O2647" s="66" t="str">
        <x:v>Jawa Timur</x:v>
      </x:c>
      <x:c r="P2647" s="66" t="str">
        <x:v>Kota Malang</x:v>
      </x:c>
      <x:c r="Q2647" s="66" t="str">
        <x:v>https://snpmb.id/snbp/daya-tampung-snbp</x:v>
      </x:c>
      <x:c r="R2647" s="66" t="str">
        <x:v>https://sidatagrun-public-1076756628210.asia-southeast2.run.app/ptn_sn.php?ptn=372</x:v>
      </x:c>
    </x:row>
    <x:row r="2648">
      <x:c r="A2648" s="87" t="n">
        <x:v>1645</x:v>
      </x:c>
      <x:c r="B2648" s="66" t="n">
        <x:v>372</x:v>
      </x:c>
      <x:c r="C2648" s="66" t="str">
        <x:v>UNIVERSITAS BRAWIJAYA</x:v>
      </x:c>
      <x:c r="D2648" s="66" t="str">
        <x:v>PTN Akademik</x:v>
      </x:c>
      <x:c r="E2648" s="66" t="str">
        <x:v>13721075</x:v>
      </x:c>
      <x:c r="F2648" s="66" t="str">
        <x:v>EKONOMI ISLAM</x:v>
      </x:c>
      <x:c r="G2648" s="66" t="str">
        <x:v>Sarjana</x:v>
      </x:c>
      <x:c r="H2648" s="87" t="n">
        <x:v>31</x:v>
      </x:c>
      <x:c r="I2648" s="87" t="n">
        <x:v>259</x:v>
      </x:c>
      <x:c r="J2648" s="68" t="n">
        <x:f>IFERROR(H2648/I2648,"")</x:f>
        <x:v>0.11969111969111969</x:v>
      </x:c>
      <x:c r="K2648" s="69" t="n">
        <x:f>IFERROR(I2648/H2648,"")</x:f>
        <x:v>8.35483870967742</x:v>
      </x:c>
      <x:c r="L2648" s="66" t="str">
        <x:f>IF(K2648="","","1 : "&amp;TEXT(K2648,"0.0"))</x:f>
        <x:v>1 : 8.4</x:v>
      </x:c>
      <x:c r="M2648" s="66" t="str">
        <x:f>IF(J2648="","Baru/Tanpa Data",IF(J2648&lt;='Catatan &amp; Sumber'!$B$14,"Sangat Ketat",IF(J2648&lt;='Catatan &amp; Sumber'!$B$15,"Ketat",IF(J2648&lt;='Catatan &amp; Sumber'!$B$16,"Sedang","Relatif Longgar"))))</x:f>
        <x:v>Relatif Longgar</x:v>
      </x:c>
      <x:c r="N2648" s="66" t="str">
        <x:v>Tidak Ada</x:v>
      </x:c>
      <x:c r="O2648" s="66" t="str">
        <x:v>Jawa Timur</x:v>
      </x:c>
      <x:c r="P2648" s="66" t="str">
        <x:v>Kota Malang</x:v>
      </x:c>
      <x:c r="Q2648" s="66" t="str">
        <x:v>https://snpmb.id/snbp/daya-tampung-snbp</x:v>
      </x:c>
      <x:c r="R2648" s="66" t="str">
        <x:v>https://sidatagrun-public-1076756628210.asia-southeast2.run.app/ptn_sn.php?ptn=372</x:v>
      </x:c>
    </x:row>
    <x:row r="2649">
      <x:c r="A2649" s="87" t="n">
        <x:v>1036</x:v>
      </x:c>
      <x:c r="B2649" s="66" t="n">
        <x:v>372</x:v>
      </x:c>
      <x:c r="C2649" s="66" t="str">
        <x:v>UNIVERSITAS BRAWIJAYA</x:v>
      </x:c>
      <x:c r="D2649" s="66" t="str">
        <x:v>PTN Akademik</x:v>
      </x:c>
      <x:c r="E2649" s="66" t="str">
        <x:v>13721076</x:v>
      </x:c>
      <x:c r="F2649" s="66" t="str">
        <x:v>EKONOMI, KEUANGAN DAN PERBANKAN</x:v>
      </x:c>
      <x:c r="G2649" s="66" t="str">
        <x:v>Sarjana</x:v>
      </x:c>
      <x:c r="H2649" s="87" t="n">
        <x:v>47</x:v>
      </x:c>
      <x:c r="I2649" s="87" t="n">
        <x:v>586</x:v>
      </x:c>
      <x:c r="J2649" s="68" t="n">
        <x:f>IFERROR(H2649/I2649,"")</x:f>
        <x:v>0.08020477815699659</x:v>
      </x:c>
      <x:c r="K2649" s="69" t="n">
        <x:f>IFERROR(I2649/H2649,"")</x:f>
        <x:v>12.46808510638298</x:v>
      </x:c>
      <x:c r="L2649" s="66" t="str">
        <x:f>IF(K2649="","","1 : "&amp;TEXT(K2649,"0.0"))</x:f>
        <x:v>1 : 12.5</x:v>
      </x:c>
      <x:c r="M2649" s="66" t="str">
        <x:f>IF(J2649="","Baru/Tanpa Data",IF(J2649&lt;='Catatan &amp; Sumber'!$B$14,"Sangat Ketat",IF(J2649&lt;='Catatan &amp; Sumber'!$B$15,"Ketat",IF(J2649&lt;='Catatan &amp; Sumber'!$B$16,"Sedang","Relatif Longgar"))))</x:f>
        <x:v>Sedang</x:v>
      </x:c>
      <x:c r="N2649" s="66" t="str">
        <x:v>Tidak Ada</x:v>
      </x:c>
      <x:c r="O2649" s="66" t="str">
        <x:v>Jawa Timur</x:v>
      </x:c>
      <x:c r="P2649" s="66" t="str">
        <x:v>Kota Malang</x:v>
      </x:c>
      <x:c r="Q2649" s="66" t="str">
        <x:v>https://snpmb.id/snbp/daya-tampung-snbp</x:v>
      </x:c>
      <x:c r="R2649" s="66" t="str">
        <x:v>https://sidatagrun-public-1076756628210.asia-southeast2.run.app/ptn_sn.php?ptn=372</x:v>
      </x:c>
    </x:row>
    <x:row r="2650">
      <x:c r="A2650" s="87" t="n">
        <x:v>1708</x:v>
      </x:c>
      <x:c r="B2650" s="66" t="n">
        <x:v>372</x:v>
      </x:c>
      <x:c r="C2650" s="66" t="str">
        <x:v>UNIVERSITAS BRAWIJAYA</x:v>
      </x:c>
      <x:c r="D2650" s="66" t="str">
        <x:v>PTN Akademik</x:v>
      </x:c>
      <x:c r="E2650" s="66" t="str">
        <x:v>13721077</x:v>
      </x:c>
      <x:c r="F2650" s="66" t="str">
        <x:v>ILMU PERPUSTAKAAN</x:v>
      </x:c>
      <x:c r="G2650" s="66" t="str">
        <x:v>Sarjana</x:v>
      </x:c>
      <x:c r="H2650" s="87" t="n">
        <x:v>22</x:v>
      </x:c>
      <x:c r="I2650" s="87" t="n">
        <x:v>176</x:v>
      </x:c>
      <x:c r="J2650" s="68" t="n">
        <x:f>IFERROR(H2650/I2650,"")</x:f>
        <x:v>0.125</x:v>
      </x:c>
      <x:c r="K2650" s="69" t="n">
        <x:f>IFERROR(I2650/H2650,"")</x:f>
        <x:v>8</x:v>
      </x:c>
      <x:c r="L2650" s="66" t="str">
        <x:f>IF(K2650="","","1 : "&amp;TEXT(K2650,"0.0"))</x:f>
        <x:v>1 : 8.0</x:v>
      </x:c>
      <x:c r="M2650" s="66" t="str">
        <x:f>IF(J2650="","Baru/Tanpa Data",IF(J2650&lt;='Catatan &amp; Sumber'!$B$14,"Sangat Ketat",IF(J2650&lt;='Catatan &amp; Sumber'!$B$15,"Ketat",IF(J2650&lt;='Catatan &amp; Sumber'!$B$16,"Sedang","Relatif Longgar"))))</x:f>
        <x:v>Relatif Longgar</x:v>
      </x:c>
      <x:c r="N2650" s="66" t="str">
        <x:v>Tidak Ada</x:v>
      </x:c>
      <x:c r="O2650" s="66" t="str">
        <x:v>Jawa Timur</x:v>
      </x:c>
      <x:c r="P2650" s="66" t="str">
        <x:v>Kota Malang</x:v>
      </x:c>
      <x:c r="Q2650" s="66" t="str">
        <x:v>https://snpmb.id/snbp/daya-tampung-snbp</x:v>
      </x:c>
      <x:c r="R2650" s="66" t="str">
        <x:v>https://sidatagrun-public-1076756628210.asia-southeast2.run.app/ptn_sn.php?ptn=372</x:v>
      </x:c>
    </x:row>
    <x:row r="2651">
      <x:c r="A2651" s="87" t="n">
        <x:v>894</x:v>
      </x:c>
      <x:c r="B2651" s="66" t="n">
        <x:v>372</x:v>
      </x:c>
      <x:c r="C2651" s="66" t="str">
        <x:v>UNIVERSITAS BRAWIJAYA</x:v>
      </x:c>
      <x:c r="D2651" s="66" t="str">
        <x:v>PTN Akademik</x:v>
      </x:c>
      <x:c r="E2651" s="66" t="str">
        <x:v>13721078</x:v>
      </x:c>
      <x:c r="F2651" s="66" t="str">
        <x:v>PARIWISATA</x:v>
      </x:c>
      <x:c r="G2651" s="66" t="str">
        <x:v>Sarjana</x:v>
      </x:c>
      <x:c r="H2651" s="87" t="n">
        <x:v>33</x:v>
      </x:c>
      <x:c r="I2651" s="87" t="n">
        <x:v>460</x:v>
      </x:c>
      <x:c r="J2651" s="68" t="n">
        <x:f>IFERROR(H2651/I2651,"")</x:f>
        <x:v>0.07173913043478261</x:v>
      </x:c>
      <x:c r="K2651" s="69" t="n">
        <x:f>IFERROR(I2651/H2651,"")</x:f>
        <x:v>13.93939393939394</x:v>
      </x:c>
      <x:c r="L2651" s="66" t="str">
        <x:f>IF(K2651="","","1 : "&amp;TEXT(K2651,"0.0"))</x:f>
        <x:v>1 : 13.9</x:v>
      </x:c>
      <x:c r="M2651" s="66" t="str">
        <x:f>IF(J2651="","Baru/Tanpa Data",IF(J2651&lt;='Catatan &amp; Sumber'!$B$14,"Sangat Ketat",IF(J2651&lt;='Catatan &amp; Sumber'!$B$15,"Ketat",IF(J2651&lt;='Catatan &amp; Sumber'!$B$16,"Sedang","Relatif Longgar"))))</x:f>
        <x:v>Sedang</x:v>
      </x:c>
      <x:c r="N2651" s="66" t="str">
        <x:v>Tidak Ada</x:v>
      </x:c>
      <x:c r="O2651" s="66" t="str">
        <x:v>Jawa Timur</x:v>
      </x:c>
      <x:c r="P2651" s="66" t="str">
        <x:v>Kota Malang</x:v>
      </x:c>
      <x:c r="Q2651" s="66" t="str">
        <x:v>https://snpmb.id/snbp/daya-tampung-snbp</x:v>
      </x:c>
      <x:c r="R2651" s="66" t="str">
        <x:v>https://sidatagrun-public-1076756628210.asia-southeast2.run.app/ptn_sn.php?ptn=372</x:v>
      </x:c>
    </x:row>
    <x:row r="2652">
      <x:c r="A2652" s="87" t="n">
        <x:v>2098</x:v>
      </x:c>
      <x:c r="B2652" s="66" t="n">
        <x:v>372</x:v>
      </x:c>
      <x:c r="C2652" s="66" t="str">
        <x:v>UNIVERSITAS BRAWIJAYA</x:v>
      </x:c>
      <x:c r="D2652" s="66" t="str">
        <x:v>PTN Akademik</x:v>
      </x:c>
      <x:c r="E2652" s="66" t="str">
        <x:v>13721080</x:v>
      </x:c>
      <x:c r="F2652" s="66" t="str">
        <x:v>PENDIDIKAN BAHASA INGGRIS</x:v>
      </x:c>
      <x:c r="G2652" s="66" t="str">
        <x:v>Sarjana</x:v>
      </x:c>
      <x:c r="H2652" s="87" t="n">
        <x:v>45</x:v>
      </x:c>
      <x:c r="I2652" s="87" t="n">
        <x:v>279</x:v>
      </x:c>
      <x:c r="J2652" s="68" t="n">
        <x:f>IFERROR(H2652/I2652,"")</x:f>
        <x:v>0.16129032258064516</x:v>
      </x:c>
      <x:c r="K2652" s="69" t="n">
        <x:f>IFERROR(I2652/H2652,"")</x:f>
        <x:v>6.2</x:v>
      </x:c>
      <x:c r="L2652" s="66" t="str">
        <x:f>IF(K2652="","","1 : "&amp;TEXT(K2652,"0.0"))</x:f>
        <x:v>1 : 6.2</x:v>
      </x:c>
      <x:c r="M2652" s="66" t="str">
        <x:f>IF(J2652="","Baru/Tanpa Data",IF(J2652&lt;='Catatan &amp; Sumber'!$B$14,"Sangat Ketat",IF(J2652&lt;='Catatan &amp; Sumber'!$B$15,"Ketat",IF(J2652&lt;='Catatan &amp; Sumber'!$B$16,"Sedang","Relatif Longgar"))))</x:f>
        <x:v>Relatif Longgar</x:v>
      </x:c>
      <x:c r="N2652" s="66" t="str">
        <x:v>Tidak Ada</x:v>
      </x:c>
      <x:c r="O2652" s="66" t="str">
        <x:v>Jawa Timur</x:v>
      </x:c>
      <x:c r="P2652" s="66" t="str">
        <x:v>Kota Malang</x:v>
      </x:c>
      <x:c r="Q2652" s="66" t="str">
        <x:v>https://snpmb.id/snbp/daya-tampung-snbp</x:v>
      </x:c>
      <x:c r="R2652" s="66" t="str">
        <x:v>https://sidatagrun-public-1076756628210.asia-southeast2.run.app/ptn_sn.php?ptn=372</x:v>
      </x:c>
    </x:row>
    <x:row r="2653">
      <x:c r="A2653" s="87" t="n">
        <x:v>2140</x:v>
      </x:c>
      <x:c r="B2653" s="66" t="n">
        <x:v>372</x:v>
      </x:c>
      <x:c r="C2653" s="66" t="str">
        <x:v>UNIVERSITAS BRAWIJAYA</x:v>
      </x:c>
      <x:c r="D2653" s="66" t="str">
        <x:v>PTN Akademik</x:v>
      </x:c>
      <x:c r="E2653" s="66" t="str">
        <x:v>13721081</x:v>
      </x:c>
      <x:c r="F2653" s="66" t="str">
        <x:v>PENDIDIKAN BAHASA JEPANG</x:v>
      </x:c>
      <x:c r="G2653" s="66" t="str">
        <x:v>Sarjana</x:v>
      </x:c>
      <x:c r="H2653" s="87" t="n">
        <x:v>18</x:v>
      </x:c>
      <x:c r="I2653" s="87" t="n">
        <x:v>109</x:v>
      </x:c>
      <x:c r="J2653" s="68" t="n">
        <x:f>IFERROR(H2653/I2653,"")</x:f>
        <x:v>0.1651376146788991</x:v>
      </x:c>
      <x:c r="K2653" s="69" t="n">
        <x:f>IFERROR(I2653/H2653,"")</x:f>
        <x:v>6.055555555555555</x:v>
      </x:c>
      <x:c r="L2653" s="66" t="str">
        <x:f>IF(K2653="","","1 : "&amp;TEXT(K2653,"0.0"))</x:f>
        <x:v>1 : 6.1</x:v>
      </x:c>
      <x:c r="M2653" s="66" t="str">
        <x:f>IF(J2653="","Baru/Tanpa Data",IF(J2653&lt;='Catatan &amp; Sumber'!$B$14,"Sangat Ketat",IF(J2653&lt;='Catatan &amp; Sumber'!$B$15,"Ketat",IF(J2653&lt;='Catatan &amp; Sumber'!$B$16,"Sedang","Relatif Longgar"))))</x:f>
        <x:v>Relatif Longgar</x:v>
      </x:c>
      <x:c r="N2653" s="66" t="str">
        <x:v>Tidak Ada</x:v>
      </x:c>
      <x:c r="O2653" s="66" t="str">
        <x:v>Jawa Timur</x:v>
      </x:c>
      <x:c r="P2653" s="66" t="str">
        <x:v>Kota Malang</x:v>
      </x:c>
      <x:c r="Q2653" s="66" t="str">
        <x:v>https://snpmb.id/snbp/daya-tampung-snbp</x:v>
      </x:c>
      <x:c r="R2653" s="66" t="str">
        <x:v>https://sidatagrun-public-1076756628210.asia-southeast2.run.app/ptn_sn.php?ptn=372</x:v>
      </x:c>
    </x:row>
    <x:row r="2654">
      <x:c r="A2654" s="87" t="n">
        <x:v>1822</x:v>
      </x:c>
      <x:c r="B2654" s="66" t="n">
        <x:v>372</x:v>
      </x:c>
      <x:c r="C2654" s="66" t="str">
        <x:v>UNIVERSITAS BRAWIJAYA</x:v>
      </x:c>
      <x:c r="D2654" s="66" t="str">
        <x:v>PTN Akademik</x:v>
      </x:c>
      <x:c r="E2654" s="66" t="str">
        <x:v>13721082</x:v>
      </x:c>
      <x:c r="F2654" s="66" t="str">
        <x:v>PENDIDIKAN BHS &amp; SASTRA INDONESIA</x:v>
      </x:c>
      <x:c r="G2654" s="66" t="str">
        <x:v>Sarjana</x:v>
      </x:c>
      <x:c r="H2654" s="87" t="n">
        <x:v>28</x:v>
      </x:c>
      <x:c r="I2654" s="87" t="n">
        <x:v>209</x:v>
      </x:c>
      <x:c r="J2654" s="68" t="n">
        <x:f>IFERROR(H2654/I2654,"")</x:f>
        <x:v>0.1339712918660287</x:v>
      </x:c>
      <x:c r="K2654" s="69" t="n">
        <x:f>IFERROR(I2654/H2654,"")</x:f>
        <x:v>7.464285714285714</x:v>
      </x:c>
      <x:c r="L2654" s="66" t="str">
        <x:f>IF(K2654="","","1 : "&amp;TEXT(K2654,"0.0"))</x:f>
        <x:v>1 : 7.5</x:v>
      </x:c>
      <x:c r="M2654" s="66" t="str">
        <x:f>IF(J2654="","Baru/Tanpa Data",IF(J2654&lt;='Catatan &amp; Sumber'!$B$14,"Sangat Ketat",IF(J2654&lt;='Catatan &amp; Sumber'!$B$15,"Ketat",IF(J2654&lt;='Catatan &amp; Sumber'!$B$16,"Sedang","Relatif Longgar"))))</x:f>
        <x:v>Relatif Longgar</x:v>
      </x:c>
      <x:c r="N2654" s="66" t="str">
        <x:v>Tidak Ada</x:v>
      </x:c>
      <x:c r="O2654" s="66" t="str">
        <x:v>Jawa Timur</x:v>
      </x:c>
      <x:c r="P2654" s="66" t="str">
        <x:v>Kota Malang</x:v>
      </x:c>
      <x:c r="Q2654" s="66" t="str">
        <x:v>https://snpmb.id/snbp/daya-tampung-snbp</x:v>
      </x:c>
      <x:c r="R2654" s="66" t="str">
        <x:v>https://sidatagrun-public-1076756628210.asia-southeast2.run.app/ptn_sn.php?ptn=372</x:v>
      </x:c>
    </x:row>
    <x:row r="2655">
      <x:c r="A2655" s="87" t="n">
        <x:v>1953</x:v>
      </x:c>
      <x:c r="B2655" s="66" t="n">
        <x:v>372</x:v>
      </x:c>
      <x:c r="C2655" s="66" t="str">
        <x:v>UNIVERSITAS BRAWIJAYA</x:v>
      </x:c>
      <x:c r="D2655" s="66" t="str">
        <x:v>PTN Akademik</x:v>
      </x:c>
      <x:c r="E2655" s="66" t="str">
        <x:v>13721085</x:v>
      </x:c>
      <x:c r="F2655" s="66" t="str">
        <x:v>ADMINISTRASI PENDIDIKAN</x:v>
      </x:c>
      <x:c r="G2655" s="66" t="str">
        <x:v>Sarjana</x:v>
      </x:c>
      <x:c r="H2655" s="87" t="n">
        <x:v>22</x:v>
      </x:c>
      <x:c r="I2655" s="87" t="n">
        <x:v>150</x:v>
      </x:c>
      <x:c r="J2655" s="68" t="n">
        <x:f>IFERROR(H2655/I2655,"")</x:f>
        <x:v>0.14666666666666667</x:v>
      </x:c>
      <x:c r="K2655" s="69" t="n">
        <x:f>IFERROR(I2655/H2655,"")</x:f>
        <x:v>6.818181818181818</x:v>
      </x:c>
      <x:c r="L2655" s="66" t="str">
        <x:f>IF(K2655="","","1 : "&amp;TEXT(K2655,"0.0"))</x:f>
        <x:v>1 : 6.8</x:v>
      </x:c>
      <x:c r="M2655" s="66" t="str">
        <x:f>IF(J2655="","Baru/Tanpa Data",IF(J2655&lt;='Catatan &amp; Sumber'!$B$14,"Sangat Ketat",IF(J2655&lt;='Catatan &amp; Sumber'!$B$15,"Ketat",IF(J2655&lt;='Catatan &amp; Sumber'!$B$16,"Sedang","Relatif Longgar"))))</x:f>
        <x:v>Relatif Longgar</x:v>
      </x:c>
      <x:c r="N2655" s="66" t="str">
        <x:v>Tidak Ada</x:v>
      </x:c>
      <x:c r="O2655" s="66" t="str">
        <x:v>Jawa Timur</x:v>
      </x:c>
      <x:c r="P2655" s="66" t="str">
        <x:v>Kota Malang</x:v>
      </x:c>
      <x:c r="Q2655" s="66" t="str">
        <x:v>https://snpmb.id/snbp/daya-tampung-snbp</x:v>
      </x:c>
      <x:c r="R2655" s="66" t="str">
        <x:v>https://sidatagrun-public-1076756628210.asia-southeast2.run.app/ptn_sn.php?ptn=372</x:v>
      </x:c>
    </x:row>
    <x:row r="2656">
      <x:c r="A2656" s="87" t="n">
        <x:v>3407</x:v>
      </x:c>
      <x:c r="B2656" s="66" t="n">
        <x:v>372</x:v>
      </x:c>
      <x:c r="C2656" s="66" t="str">
        <x:v>UNIVERSITAS BRAWIJAYA</x:v>
      </x:c>
      <x:c r="D2656" s="66" t="str">
        <x:v>PTN Akademik</x:v>
      </x:c>
      <x:c r="E2656" s="66" t="str">
        <x:v>13721086</x:v>
      </x:c>
      <x:c r="F2656" s="66" t="str">
        <x:v>SENI RUPA MURNI</x:v>
      </x:c>
      <x:c r="G2656" s="66" t="str">
        <x:v>Sarjana</x:v>
      </x:c>
      <x:c r="H2656" s="87" t="n">
        <x:v>19</x:v>
      </x:c>
      <x:c r="I2656" s="87" t="n">
        <x:v>47</x:v>
      </x:c>
      <x:c r="J2656" s="68" t="n">
        <x:f>IFERROR(H2656/I2656,"")</x:f>
        <x:v>0.40425531914893614</x:v>
      </x:c>
      <x:c r="K2656" s="69" t="n">
        <x:f>IFERROR(I2656/H2656,"")</x:f>
        <x:v>2.473684210526316</x:v>
      </x:c>
      <x:c r="L2656" s="66" t="str">
        <x:f>IF(K2656="","","1 : "&amp;TEXT(K2656,"0.0"))</x:f>
        <x:v>1 : 2.5</x:v>
      </x:c>
      <x:c r="M2656" s="66" t="str">
        <x:f>IF(J2656="","Baru/Tanpa Data",IF(J2656&lt;='Catatan &amp; Sumber'!$B$14,"Sangat Ketat",IF(J2656&lt;='Catatan &amp; Sumber'!$B$15,"Ketat",IF(J2656&lt;='Catatan &amp; Sumber'!$B$16,"Sedang","Relatif Longgar"))))</x:f>
        <x:v>Relatif Longgar</x:v>
      </x:c>
      <x:c r="N2656" s="66" t="str">
        <x:v>Seni Rupa, Desain, dan Kriya</x:v>
      </x:c>
      <x:c r="O2656" s="66" t="str">
        <x:v>Jawa Timur</x:v>
      </x:c>
      <x:c r="P2656" s="66" t="str">
        <x:v>Kota Malang</x:v>
      </x:c>
      <x:c r="Q2656" s="66" t="str">
        <x:v>https://snpmb.id/snbp/daya-tampung-snbp</x:v>
      </x:c>
      <x:c r="R2656" s="66" t="str">
        <x:v>https://sidatagrun-public-1076756628210.asia-southeast2.run.app/ptn_sn.php?ptn=372</x:v>
      </x:c>
    </x:row>
    <x:row r="2657">
      <x:c r="A2657" s="87" t="n">
        <x:v>989</x:v>
      </x:c>
      <x:c r="B2657" s="66" t="n">
        <x:v>372</x:v>
      </x:c>
      <x:c r="C2657" s="66" t="str">
        <x:v>UNIVERSITAS BRAWIJAYA</x:v>
      </x:c>
      <x:c r="D2657" s="66" t="str">
        <x:v>PTN Akademik</x:v>
      </x:c>
      <x:c r="E2657" s="66" t="str">
        <x:v>13721087</x:v>
      </x:c>
      <x:c r="F2657" s="66" t="str">
        <x:v>SASTRA CINA</x:v>
      </x:c>
      <x:c r="G2657" s="66" t="str">
        <x:v>Sarjana</x:v>
      </x:c>
      <x:c r="H2657" s="87" t="n">
        <x:v>25</x:v>
      </x:c>
      <x:c r="I2657" s="87" t="n">
        <x:v>323</x:v>
      </x:c>
      <x:c r="J2657" s="68" t="n">
        <x:f>IFERROR(H2657/I2657,"")</x:f>
        <x:v>0.07739938080495357</x:v>
      </x:c>
      <x:c r="K2657" s="69" t="n">
        <x:f>IFERROR(I2657/H2657,"")</x:f>
        <x:v>12.92</x:v>
      </x:c>
      <x:c r="L2657" s="66" t="str">
        <x:f>IF(K2657="","","1 : "&amp;TEXT(K2657,"0.0"))</x:f>
        <x:v>1 : 12.9</x:v>
      </x:c>
      <x:c r="M2657" s="66" t="str">
        <x:f>IF(J2657="","Baru/Tanpa Data",IF(J2657&lt;='Catatan &amp; Sumber'!$B$14,"Sangat Ketat",IF(J2657&lt;='Catatan &amp; Sumber'!$B$15,"Ketat",IF(J2657&lt;='Catatan &amp; Sumber'!$B$16,"Sedang","Relatif Longgar"))))</x:f>
        <x:v>Sedang</x:v>
      </x:c>
      <x:c r="N2657" s="66" t="str">
        <x:v>Tidak Ada</x:v>
      </x:c>
      <x:c r="O2657" s="66" t="str">
        <x:v>Jawa Timur</x:v>
      </x:c>
      <x:c r="P2657" s="66" t="str">
        <x:v>Kota Malang</x:v>
      </x:c>
      <x:c r="Q2657" s="66" t="str">
        <x:v>https://snpmb.id/snbp/daya-tampung-snbp</x:v>
      </x:c>
      <x:c r="R2657" s="66" t="str">
        <x:v>https://sidatagrun-public-1076756628210.asia-southeast2.run.app/ptn_sn.php?ptn=372</x:v>
      </x:c>
    </x:row>
    <x:row r="2658">
      <x:c r="A2658" s="87" t="n">
        <x:v>1542</x:v>
      </x:c>
      <x:c r="B2658" s="66" t="n">
        <x:v>372</x:v>
      </x:c>
      <x:c r="C2658" s="66" t="str">
        <x:v>UNIVERSITAS BRAWIJAYA</x:v>
      </x:c>
      <x:c r="D2658" s="66" t="str">
        <x:v>PTN Akademik</x:v>
      </x:c>
      <x:c r="E2658" s="66" t="str">
        <x:v>13721088</x:v>
      </x:c>
      <x:c r="F2658" s="66" t="str">
        <x:v>ANTROPOLOGI</x:v>
      </x:c>
      <x:c r="G2658" s="66" t="str">
        <x:v>Sarjana</x:v>
      </x:c>
      <x:c r="H2658" s="87" t="n">
        <x:v>23</x:v>
      </x:c>
      <x:c r="I2658" s="87" t="n">
        <x:v>204</x:v>
      </x:c>
      <x:c r="J2658" s="68" t="n">
        <x:f>IFERROR(H2658/I2658,"")</x:f>
        <x:v>0.11274509803921569</x:v>
      </x:c>
      <x:c r="K2658" s="69" t="n">
        <x:f>IFERROR(I2658/H2658,"")</x:f>
        <x:v>8.869565217391305</x:v>
      </x:c>
      <x:c r="L2658" s="66" t="str">
        <x:f>IF(K2658="","","1 : "&amp;TEXT(K2658,"0.0"))</x:f>
        <x:v>1 : 8.9</x:v>
      </x:c>
      <x:c r="M2658" s="66" t="str">
        <x:f>IF(J2658="","Baru/Tanpa Data",IF(J2658&lt;='Catatan &amp; Sumber'!$B$14,"Sangat Ketat",IF(J2658&lt;='Catatan &amp; Sumber'!$B$15,"Ketat",IF(J2658&lt;='Catatan &amp; Sumber'!$B$16,"Sedang","Relatif Longgar"))))</x:f>
        <x:v>Relatif Longgar</x:v>
      </x:c>
      <x:c r="N2658" s="66" t="str">
        <x:v>Tidak Ada</x:v>
      </x:c>
      <x:c r="O2658" s="66" t="str">
        <x:v>Jawa Timur</x:v>
      </x:c>
      <x:c r="P2658" s="66" t="str">
        <x:v>Kota Malang</x:v>
      </x:c>
      <x:c r="Q2658" s="66" t="str">
        <x:v>https://snpmb.id/snbp/daya-tampung-snbp</x:v>
      </x:c>
      <x:c r="R2658" s="66" t="str">
        <x:v>https://sidatagrun-public-1076756628210.asia-southeast2.run.app/ptn_sn.php?ptn=372</x:v>
      </x:c>
    </x:row>
    <x:row r="2659">
      <x:c r="A2659" s="87" t="n">
        <x:v>799</x:v>
      </x:c>
      <x:c r="B2659" s="66" t="n">
        <x:v>372</x:v>
      </x:c>
      <x:c r="C2659" s="66" t="str">
        <x:v>UNIVERSITAS BRAWIJAYA</x:v>
      </x:c>
      <x:c r="D2659" s="66" t="str">
        <x:v>PTN Akademik</x:v>
      </x:c>
      <x:c r="E2659" s="66" t="str">
        <x:v>13721089</x:v>
      </x:c>
      <x:c r="F2659" s="66" t="str">
        <x:v>KEWIRAUSAHAAN</x:v>
      </x:c>
      <x:c r="G2659" s="66" t="str">
        <x:v>Sarjana</x:v>
      </x:c>
      <x:c r="H2659" s="87" t="n">
        <x:v>21</x:v>
      </x:c>
      <x:c r="I2659" s="87" t="n">
        <x:v>314</x:v>
      </x:c>
      <x:c r="J2659" s="68" t="n">
        <x:f>IFERROR(H2659/I2659,"")</x:f>
        <x:v>0.06687898089171974</x:v>
      </x:c>
      <x:c r="K2659" s="69" t="n">
        <x:f>IFERROR(I2659/H2659,"")</x:f>
        <x:v>14.952380952380953</x:v>
      </x:c>
      <x:c r="L2659" s="66" t="str">
        <x:f>IF(K2659="","","1 : "&amp;TEXT(K2659,"0.0"))</x:f>
        <x:v>1 : 15.0</x:v>
      </x:c>
      <x:c r="M2659" s="66" t="str">
        <x:f>IF(J2659="","Baru/Tanpa Data",IF(J2659&lt;='Catatan &amp; Sumber'!$B$14,"Sangat Ketat",IF(J2659&lt;='Catatan &amp; Sumber'!$B$15,"Ketat",IF(J2659&lt;='Catatan &amp; Sumber'!$B$16,"Sedang","Relatif Longgar"))))</x:f>
        <x:v>Sedang</x:v>
      </x:c>
      <x:c r="N2659" s="66" t="str">
        <x:v>Tidak Ada</x:v>
      </x:c>
      <x:c r="O2659" s="66" t="str">
        <x:v>Jawa Timur</x:v>
      </x:c>
      <x:c r="P2659" s="66" t="str">
        <x:v>Kota Malang</x:v>
      </x:c>
      <x:c r="Q2659" s="66" t="str">
        <x:v>https://snpmb.id/snbp/daya-tampung-snbp</x:v>
      </x:c>
      <x:c r="R2659" s="66" t="str">
        <x:v>https://sidatagrun-public-1076756628210.asia-southeast2.run.app/ptn_sn.php?ptn=372</x:v>
      </x:c>
    </x:row>
    <x:row r="2660">
      <x:c r="A2660" s="87" t="n">
        <x:v>407</x:v>
      </x:c>
      <x:c r="B2660" s="66" t="n">
        <x:v>372</x:v>
      </x:c>
      <x:c r="C2660" s="66" t="str">
        <x:v>UNIVERSITAS BRAWIJAYA</x:v>
      </x:c>
      <x:c r="D2660" s="66" t="str">
        <x:v>PTN Akademik</x:v>
      </x:c>
      <x:c r="E2660" s="66" t="str">
        <x:v>13721094</x:v>
      </x:c>
      <x:c r="F2660" s="66" t="str">
        <x:v>SAINS DATA</x:v>
      </x:c>
      <x:c r="G2660" s="66" t="str">
        <x:v>Sarjana</x:v>
      </x:c>
      <x:c r="H2660" s="87" t="n">
        <x:v>14</x:v>
      </x:c>
      <x:c r="I2660" s="87" t="n">
        <x:v>298</x:v>
      </x:c>
      <x:c r="J2660" s="68" t="n">
        <x:f>IFERROR(H2660/I2660,"")</x:f>
        <x:v>0.04697986577181208</x:v>
      </x:c>
      <x:c r="K2660" s="69" t="n">
        <x:f>IFERROR(I2660/H2660,"")</x:f>
        <x:v>21.285714285714285</x:v>
      </x:c>
      <x:c r="L2660" s="66" t="str">
        <x:f>IF(K2660="","","1 : "&amp;TEXT(K2660,"0.0"))</x:f>
        <x:v>1 : 21.3</x:v>
      </x:c>
      <x:c r="M2660" s="66" t="str">
        <x:f>IF(J2660="","Baru/Tanpa Data",IF(J2660&lt;='Catatan &amp; Sumber'!$B$14,"Sangat Ketat",IF(J2660&lt;='Catatan &amp; Sumber'!$B$15,"Ketat",IF(J2660&lt;='Catatan &amp; Sumber'!$B$16,"Sedang","Relatif Longgar"))))</x:f>
        <x:v>Ketat</x:v>
      </x:c>
      <x:c r="N2660" s="66" t="str">
        <x:v>Tidak Ada</x:v>
      </x:c>
      <x:c r="O2660" s="66" t="str">
        <x:v>Jawa Timur</x:v>
      </x:c>
      <x:c r="P2660" s="66" t="str">
        <x:v>Kota Malang</x:v>
      </x:c>
      <x:c r="Q2660" s="66" t="str">
        <x:v>https://snpmb.id/snbp/daya-tampung-snbp</x:v>
      </x:c>
      <x:c r="R2660" s="66" t="str">
        <x:v>https://sidatagrun-public-1076756628210.asia-southeast2.run.app/ptn_sn.php?ptn=372</x:v>
      </x:c>
    </x:row>
    <x:row r="2661">
      <x:c r="A2661" s="87"/>
      <x:c r="B2661" s="66" t="n">
        <x:v>372</x:v>
      </x:c>
      <x:c r="C2661" s="66" t="str">
        <x:v>UNIVERSITAS BRAWIJAYA</x:v>
      </x:c>
      <x:c r="D2661" s="66" t="str">
        <x:v>PTN Akademik</x:v>
      </x:c>
      <x:c r="E2661" s="66" t="str">
        <x:v>13721095</x:v>
      </x:c>
      <x:c r="F2661" s="66" t="str">
        <x:v>BIOINFORMATIKA</x:v>
      </x:c>
      <x:c r="G2661" s="66" t="str">
        <x:v>Sarjana</x:v>
      </x:c>
      <x:c r="H2661" s="87" t="n">
        <x:v>12</x:v>
      </x:c>
      <x:c r="I2661" s="87"/>
      <x:c r="J2661" s="68" t="str">
        <x:f>IFERROR(H2661/I2661,"")</x:f>
      </x:c>
      <x:c r="K2661" s="69" t="n">
        <x:f>IFERROR(I2661/H2661,"")</x:f>
        <x:v>0</x:v>
      </x:c>
      <x:c r="L2661" s="66" t="str">
        <x:f>IF(K2661="","","1 : "&amp;TEXT(K2661,"0.0"))</x:f>
      </x:c>
      <x:c r="M2661" s="66" t="str">
        <x:f>IF(J2661="","Baru/Tanpa Data",IF(J2661&lt;='Catatan &amp; Sumber'!$B$14,"Sangat Ketat",IF(J2661&lt;='Catatan &amp; Sumber'!$B$15,"Ketat",IF(J2661&lt;='Catatan &amp; Sumber'!$B$16,"Sedang","Relatif Longgar"))))</x:f>
        <x:v>Baru/Tanpa Data</x:v>
      </x:c>
      <x:c r="N2661" s="66" t="str">
        <x:v>Tidak Ada</x:v>
      </x:c>
      <x:c r="O2661" s="66" t="str">
        <x:v>Jawa Timur</x:v>
      </x:c>
      <x:c r="P2661" s="66" t="str">
        <x:v>Kota Malang</x:v>
      </x:c>
      <x:c r="Q2661" s="66" t="str">
        <x:v>https://snpmb.id/snbp/daya-tampung-snbp</x:v>
      </x:c>
      <x:c r="R2661" s="66" t="str">
        <x:v>https://sidatagrun-public-1076756628210.asia-southeast2.run.app/ptn_sn.php?ptn=372</x:v>
      </x:c>
    </x:row>
    <x:row r="2662">
      <x:c r="A2662" s="87"/>
      <x:c r="B2662" s="66" t="n">
        <x:v>372</x:v>
      </x:c>
      <x:c r="C2662" s="66" t="str">
        <x:v>UNIVERSITAS BRAWIJAYA</x:v>
      </x:c>
      <x:c r="D2662" s="66" t="str">
        <x:v>PTN Akademik</x:v>
      </x:c>
      <x:c r="E2662" s="66" t="str">
        <x:v>13721096</x:v>
      </x:c>
      <x:c r="F2662" s="66" t="str">
        <x:v>INDUSTRI PETERNAKAN CERDAS</x:v>
      </x:c>
      <x:c r="G2662" s="66" t="str">
        <x:v>Sarjana</x:v>
      </x:c>
      <x:c r="H2662" s="87" t="n">
        <x:v>20</x:v>
      </x:c>
      <x:c r="I2662" s="87"/>
      <x:c r="J2662" s="68" t="str">
        <x:f>IFERROR(H2662/I2662,"")</x:f>
      </x:c>
      <x:c r="K2662" s="69" t="n">
        <x:f>IFERROR(I2662/H2662,"")</x:f>
        <x:v>0</x:v>
      </x:c>
      <x:c r="L2662" s="66" t="str">
        <x:f>IF(K2662="","","1 : "&amp;TEXT(K2662,"0.0"))</x:f>
      </x:c>
      <x:c r="M2662" s="66" t="str">
        <x:f>IF(J2662="","Baru/Tanpa Data",IF(J2662&lt;='Catatan &amp; Sumber'!$B$14,"Sangat Ketat",IF(J2662&lt;='Catatan &amp; Sumber'!$B$15,"Ketat",IF(J2662&lt;='Catatan &amp; Sumber'!$B$16,"Sedang","Relatif Longgar"))))</x:f>
        <x:v>Baru/Tanpa Data</x:v>
      </x:c>
      <x:c r="N2662" s="66" t="str">
        <x:v>Tidak Ada</x:v>
      </x:c>
      <x:c r="O2662" s="66" t="str">
        <x:v>Jawa Timur</x:v>
      </x:c>
      <x:c r="P2662" s="66" t="str">
        <x:v>Kota Malang</x:v>
      </x:c>
      <x:c r="Q2662" s="66" t="str">
        <x:v>https://snpmb.id/snbp/daya-tampung-snbp</x:v>
      </x:c>
      <x:c r="R2662" s="66" t="str">
        <x:v>https://sidatagrun-public-1076756628210.asia-southeast2.run.app/ptn_sn.php?ptn=372</x:v>
      </x:c>
    </x:row>
    <x:row r="2663">
      <x:c r="A2663" s="87" t="n">
        <x:v>2517</x:v>
      </x:c>
      <x:c r="B2663" s="66" t="n">
        <x:v>372</x:v>
      </x:c>
      <x:c r="C2663" s="66" t="str">
        <x:v>UNIVERSITAS BRAWIJAYA</x:v>
      </x:c>
      <x:c r="D2663" s="66" t="str">
        <x:v>PTN Akademik</x:v>
      </x:c>
      <x:c r="E2663" s="66" t="str">
        <x:v>13722055</x:v>
      </x:c>
      <x:c r="F2663" s="66" t="str">
        <x:v>DESAIN GRAFIS</x:v>
      </x:c>
      <x:c r="G2663" s="66" t="str">
        <x:v>Sarjana Terapan</x:v>
      </x:c>
      <x:c r="H2663" s="87" t="n">
        <x:v>42</x:v>
      </x:c>
      <x:c r="I2663" s="87" t="n">
        <x:v>196</x:v>
      </x:c>
      <x:c r="J2663" s="68" t="n">
        <x:f>IFERROR(H2663/I2663,"")</x:f>
        <x:v>0.21428571428571427</x:v>
      </x:c>
      <x:c r="K2663" s="69" t="n">
        <x:f>IFERROR(I2663/H2663,"")</x:f>
        <x:v>4.666666666666667</x:v>
      </x:c>
      <x:c r="L2663" s="66" t="str">
        <x:f>IF(K2663="","","1 : "&amp;TEXT(K2663,"0.0"))</x:f>
        <x:v>1 : 4.7</x:v>
      </x:c>
      <x:c r="M2663" s="66" t="str">
        <x:f>IF(J2663="","Baru/Tanpa Data",IF(J2663&lt;='Catatan &amp; Sumber'!$B$14,"Sangat Ketat",IF(J2663&lt;='Catatan &amp; Sumber'!$B$15,"Ketat",IF(J2663&lt;='Catatan &amp; Sumber'!$B$16,"Sedang","Relatif Longgar"))))</x:f>
        <x:v>Relatif Longgar</x:v>
      </x:c>
      <x:c r="N2663" s="66" t="str">
        <x:v>Seni Rupa, Desain, dan Kriya</x:v>
      </x:c>
      <x:c r="O2663" s="66" t="str">
        <x:v>Jawa Timur</x:v>
      </x:c>
      <x:c r="P2663" s="66" t="str">
        <x:v>Kota Malang</x:v>
      </x:c>
      <x:c r="Q2663" s="66" t="str">
        <x:v>https://snpmb.id/snbp/daya-tampung-snbp</x:v>
      </x:c>
      <x:c r="R2663" s="66" t="str">
        <x:v>https://sidatagrun-public-1076756628210.asia-southeast2.run.app/ptn_sn.php?ptn=372</x:v>
      </x:c>
    </x:row>
    <x:row r="2664">
      <x:c r="A2664" s="87" t="n">
        <x:v>2689</x:v>
      </x:c>
      <x:c r="B2664" s="66" t="n">
        <x:v>372</x:v>
      </x:c>
      <x:c r="C2664" s="66" t="str">
        <x:v>UNIVERSITAS BRAWIJAYA</x:v>
      </x:c>
      <x:c r="D2664" s="66" t="str">
        <x:v>PTN Akademik</x:v>
      </x:c>
      <x:c r="E2664" s="66" t="str">
        <x:v>13722090</x:v>
      </x:c>
      <x:c r="F2664" s="66" t="str">
        <x:v>MANAJEMEN PERHOTELAN</x:v>
      </x:c>
      <x:c r="G2664" s="66" t="str">
        <x:v>Sarjana Terapan</x:v>
      </x:c>
      <x:c r="H2664" s="87" t="n">
        <x:v>58</x:v>
      </x:c>
      <x:c r="I2664" s="87" t="n">
        <x:v>240</x:v>
      </x:c>
      <x:c r="J2664" s="68" t="n">
        <x:f>IFERROR(H2664/I2664,"")</x:f>
        <x:v>0.24166666666666667</x:v>
      </x:c>
      <x:c r="K2664" s="69" t="n">
        <x:f>IFERROR(I2664/H2664,"")</x:f>
        <x:v>4.137931034482759</x:v>
      </x:c>
      <x:c r="L2664" s="66" t="str">
        <x:f>IF(K2664="","","1 : "&amp;TEXT(K2664,"0.0"))</x:f>
        <x:v>1 : 4.1</x:v>
      </x:c>
      <x:c r="M2664" s="66" t="str">
        <x:f>IF(J2664="","Baru/Tanpa Data",IF(J2664&lt;='Catatan &amp; Sumber'!$B$14,"Sangat Ketat",IF(J2664&lt;='Catatan &amp; Sumber'!$B$15,"Ketat",IF(J2664&lt;='Catatan &amp; Sumber'!$B$16,"Sedang","Relatif Longgar"))))</x:f>
        <x:v>Relatif Longgar</x:v>
      </x:c>
      <x:c r="N2664" s="66" t="str">
        <x:v>Tidak Ada</x:v>
      </x:c>
      <x:c r="O2664" s="66" t="str">
        <x:v>Jawa Timur</x:v>
      </x:c>
      <x:c r="P2664" s="66" t="str">
        <x:v>Kota Malang</x:v>
      </x:c>
      <x:c r="Q2664" s="66" t="str">
        <x:v>https://snpmb.id/snbp/daya-tampung-snbp</x:v>
      </x:c>
      <x:c r="R2664" s="66" t="str">
        <x:v>https://sidatagrun-public-1076756628210.asia-southeast2.run.app/ptn_sn.php?ptn=372</x:v>
      </x:c>
    </x:row>
    <x:row r="2665">
      <x:c r="A2665" s="87" t="n">
        <x:v>3142</x:v>
      </x:c>
      <x:c r="B2665" s="66" t="n">
        <x:v>372</x:v>
      </x:c>
      <x:c r="C2665" s="66" t="str">
        <x:v>UNIVERSITAS BRAWIJAYA</x:v>
      </x:c>
      <x:c r="D2665" s="66" t="str">
        <x:v>PTN Akademik</x:v>
      </x:c>
      <x:c r="E2665" s="66" t="str">
        <x:v>13723091</x:v>
      </x:c>
      <x:c r="F2665" s="66" t="str">
        <x:v>KEUANGAN DAN PERBANKAN</x:v>
      </x:c>
      <x:c r="G2665" s="66" t="str">
        <x:v>Diploma Tiga</x:v>
      </x:c>
      <x:c r="H2665" s="87" t="n">
        <x:v>75</x:v>
      </x:c>
      <x:c r="I2665" s="87" t="n">
        <x:v>230</x:v>
      </x:c>
      <x:c r="J2665" s="68" t="n">
        <x:f>IFERROR(H2665/I2665,"")</x:f>
        <x:v>0.32608695652173914</x:v>
      </x:c>
      <x:c r="K2665" s="69" t="n">
        <x:f>IFERROR(I2665/H2665,"")</x:f>
        <x:v>3.066666666666667</x:v>
      </x:c>
      <x:c r="L2665" s="66" t="str">
        <x:f>IF(K2665="","","1 : "&amp;TEXT(K2665,"0.0"))</x:f>
        <x:v>1 : 3.1</x:v>
      </x:c>
      <x:c r="M2665" s="66" t="str">
        <x:f>IF(J2665="","Baru/Tanpa Data",IF(J2665&lt;='Catatan &amp; Sumber'!$B$14,"Sangat Ketat",IF(J2665&lt;='Catatan &amp; Sumber'!$B$15,"Ketat",IF(J2665&lt;='Catatan &amp; Sumber'!$B$16,"Sedang","Relatif Longgar"))))</x:f>
        <x:v>Relatif Longgar</x:v>
      </x:c>
      <x:c r="N2665" s="66" t="str">
        <x:v>Tidak Ada</x:v>
      </x:c>
      <x:c r="O2665" s="66" t="str">
        <x:v>Jawa Timur</x:v>
      </x:c>
      <x:c r="P2665" s="66" t="str">
        <x:v>Kota Malang</x:v>
      </x:c>
      <x:c r="Q2665" s="66" t="str">
        <x:v>https://snpmb.id/snbp/daya-tampung-snbp</x:v>
      </x:c>
      <x:c r="R2665" s="66" t="str">
        <x:v>https://sidatagrun-public-1076756628210.asia-southeast2.run.app/ptn_sn.php?ptn=372</x:v>
      </x:c>
    </x:row>
    <x:row r="2666">
      <x:c r="A2666" s="87" t="n">
        <x:v>3071</x:v>
      </x:c>
      <x:c r="B2666" s="66" t="n">
        <x:v>372</x:v>
      </x:c>
      <x:c r="C2666" s="66" t="str">
        <x:v>UNIVERSITAS BRAWIJAYA</x:v>
      </x:c>
      <x:c r="D2666" s="66" t="str">
        <x:v>PTN Akademik</x:v>
      </x:c>
      <x:c r="E2666" s="66" t="str">
        <x:v>13723092</x:v>
      </x:c>
      <x:c r="F2666" s="66" t="str">
        <x:v>ADMINISTRASI BISNIS</x:v>
      </x:c>
      <x:c r="G2666" s="66" t="str">
        <x:v>Diploma Tiga</x:v>
      </x:c>
      <x:c r="H2666" s="87" t="n">
        <x:v>79</x:v>
      </x:c>
      <x:c r="I2666" s="87" t="n">
        <x:v>256</x:v>
      </x:c>
      <x:c r="J2666" s="68" t="n">
        <x:f>IFERROR(H2666/I2666,"")</x:f>
        <x:v>0.30859375</x:v>
      </x:c>
      <x:c r="K2666" s="69" t="n">
        <x:f>IFERROR(I2666/H2666,"")</x:f>
        <x:v>3.240506329113924</x:v>
      </x:c>
      <x:c r="L2666" s="66" t="str">
        <x:f>IF(K2666="","","1 : "&amp;TEXT(K2666,"0.0"))</x:f>
        <x:v>1 : 3.2</x:v>
      </x:c>
      <x:c r="M2666" s="66" t="str">
        <x:f>IF(J2666="","Baru/Tanpa Data",IF(J2666&lt;='Catatan &amp; Sumber'!$B$14,"Sangat Ketat",IF(J2666&lt;='Catatan &amp; Sumber'!$B$15,"Ketat",IF(J2666&lt;='Catatan &amp; Sumber'!$B$16,"Sedang","Relatif Longgar"))))</x:f>
        <x:v>Relatif Longgar</x:v>
      </x:c>
      <x:c r="N2666" s="66" t="str">
        <x:v>Tidak Ada</x:v>
      </x:c>
      <x:c r="O2666" s="66" t="str">
        <x:v>Jawa Timur</x:v>
      </x:c>
      <x:c r="P2666" s="66" t="str">
        <x:v>Kota Malang</x:v>
      </x:c>
      <x:c r="Q2666" s="66" t="str">
        <x:v>https://snpmb.id/snbp/daya-tampung-snbp</x:v>
      </x:c>
      <x:c r="R2666" s="66" t="str">
        <x:v>https://sidatagrun-public-1076756628210.asia-southeast2.run.app/ptn_sn.php?ptn=372</x:v>
      </x:c>
    </x:row>
    <x:row r="2667">
      <x:c r="A2667" s="87" t="n">
        <x:v>3608</x:v>
      </x:c>
      <x:c r="B2667" s="66" t="n">
        <x:v>372</x:v>
      </x:c>
      <x:c r="C2667" s="66" t="str">
        <x:v>UNIVERSITAS BRAWIJAYA</x:v>
      </x:c>
      <x:c r="D2667" s="66" t="str">
        <x:v>PTN Akademik</x:v>
      </x:c>
      <x:c r="E2667" s="66" t="str">
        <x:v>13723093</x:v>
      </x:c>
      <x:c r="F2667" s="66" t="str">
        <x:v>TEKNOLOGI INFORMASI</x:v>
      </x:c>
      <x:c r="G2667" s="66" t="str">
        <x:v>Diploma Tiga</x:v>
      </x:c>
      <x:c r="H2667" s="87" t="n">
        <x:v>78</x:v>
      </x:c>
      <x:c r="I2667" s="87" t="n">
        <x:v>165</x:v>
      </x:c>
      <x:c r="J2667" s="68" t="n">
        <x:f>IFERROR(H2667/I2667,"")</x:f>
        <x:v>0.4727272727272727</x:v>
      </x:c>
      <x:c r="K2667" s="69" t="n">
        <x:f>IFERROR(I2667/H2667,"")</x:f>
        <x:v>2.1153846153846154</x:v>
      </x:c>
      <x:c r="L2667" s="66" t="str">
        <x:f>IF(K2667="","","1 : "&amp;TEXT(K2667,"0.0"))</x:f>
        <x:v>1 : 2.1</x:v>
      </x:c>
      <x:c r="M2667" s="66" t="str">
        <x:f>IF(J2667="","Baru/Tanpa Data",IF(J2667&lt;='Catatan &amp; Sumber'!$B$14,"Sangat Ketat",IF(J2667&lt;='Catatan &amp; Sumber'!$B$15,"Ketat",IF(J2667&lt;='Catatan &amp; Sumber'!$B$16,"Sedang","Relatif Longgar"))))</x:f>
        <x:v>Relatif Longgar</x:v>
      </x:c>
      <x:c r="N2667" s="66" t="str">
        <x:v>Tidak Ada</x:v>
      </x:c>
      <x:c r="O2667" s="66" t="str">
        <x:v>Jawa Timur</x:v>
      </x:c>
      <x:c r="P2667" s="66" t="str">
        <x:v>Kota Malang</x:v>
      </x:c>
      <x:c r="Q2667" s="66" t="str">
        <x:v>https://snpmb.id/snbp/daya-tampung-snbp</x:v>
      </x:c>
      <x:c r="R2667" s="66" t="str">
        <x:v>https://sidatagrun-public-1076756628210.asia-southeast2.run.app/ptn_sn.php?ptn=372</x:v>
      </x:c>
    </x:row>
    <x:row r="2668">
      <x:c r="A2668" s="87" t="n">
        <x:v>2185</x:v>
      </x:c>
      <x:c r="B2668" s="66" t="n">
        <x:v>373</x:v>
      </x:c>
      <x:c r="C2668" s="66" t="str">
        <x:v>UNIVERSITAS NEGERI MALANG</x:v>
      </x:c>
      <x:c r="D2668" s="66" t="str">
        <x:v>PTN Akademik</x:v>
      </x:c>
      <x:c r="E2668" s="66" t="str">
        <x:v>13731001</x:v>
      </x:c>
      <x:c r="F2668" s="66" t="str">
        <x:v>PENDIDIKAN MATEMATIKA</x:v>
      </x:c>
      <x:c r="G2668" s="66" t="str">
        <x:v>Sarjana</x:v>
      </x:c>
      <x:c r="H2668" s="87" t="n">
        <x:v>80</x:v>
      </x:c>
      <x:c r="I2668" s="87" t="n">
        <x:v>471</x:v>
      </x:c>
      <x:c r="J2668" s="68" t="n">
        <x:f>IFERROR(H2668/I2668,"")</x:f>
        <x:v>0.16985138004246284</x:v>
      </x:c>
      <x:c r="K2668" s="69" t="n">
        <x:f>IFERROR(I2668/H2668,"")</x:f>
        <x:v>5.8875</x:v>
      </x:c>
      <x:c r="L2668" s="66" t="str">
        <x:f>IF(K2668="","","1 : "&amp;TEXT(K2668,"0.0"))</x:f>
        <x:v>1 : 5.9</x:v>
      </x:c>
      <x:c r="M2668" s="66" t="str">
        <x:f>IF(J2668="","Baru/Tanpa Data",IF(J2668&lt;='Catatan &amp; Sumber'!$B$14,"Sangat Ketat",IF(J2668&lt;='Catatan &amp; Sumber'!$B$15,"Ketat",IF(J2668&lt;='Catatan &amp; Sumber'!$B$16,"Sedang","Relatif Longgar"))))</x:f>
        <x:v>Relatif Longgar</x:v>
      </x:c>
      <x:c r="N2668" s="66" t="str">
        <x:v>Tidak Ada</x:v>
      </x:c>
      <x:c r="O2668" s="66" t="str">
        <x:v>Jawa Timur</x:v>
      </x:c>
      <x:c r="P2668" s="66" t="str">
        <x:v>Kota Malang</x:v>
      </x:c>
      <x:c r="Q2668" s="66" t="str">
        <x:v>https://snpmb.id/snbp/daya-tampung-snbp</x:v>
      </x:c>
      <x:c r="R2668" s="66" t="str">
        <x:v>https://sidatagrun-public-1076756628210.asia-southeast2.run.app/ptn_sn.php?ptn=373</x:v>
      </x:c>
    </x:row>
    <x:row r="2669">
      <x:c r="A2669" s="87" t="n">
        <x:v>3555</x:v>
      </x:c>
      <x:c r="B2669" s="66" t="n">
        <x:v>373</x:v>
      </x:c>
      <x:c r="C2669" s="66" t="str">
        <x:v>UNIVERSITAS NEGERI MALANG</x:v>
      </x:c>
      <x:c r="D2669" s="66" t="str">
        <x:v>PTN Akademik</x:v>
      </x:c>
      <x:c r="E2669" s="66" t="str">
        <x:v>13731002</x:v>
      </x:c>
      <x:c r="F2669" s="66" t="str">
        <x:v>PENDIDIKAN FISIKA</x:v>
      </x:c>
      <x:c r="G2669" s="66" t="str">
        <x:v>Sarjana</x:v>
      </x:c>
      <x:c r="H2669" s="87" t="n">
        <x:v>76</x:v>
      </x:c>
      <x:c r="I2669" s="87" t="n">
        <x:v>168</x:v>
      </x:c>
      <x:c r="J2669" s="68" t="n">
        <x:f>IFERROR(H2669/I2669,"")</x:f>
        <x:v>0.4523809523809524</x:v>
      </x:c>
      <x:c r="K2669" s="69" t="n">
        <x:f>IFERROR(I2669/H2669,"")</x:f>
        <x:v>2.210526315789474</x:v>
      </x:c>
      <x:c r="L2669" s="66" t="str">
        <x:f>IF(K2669="","","1 : "&amp;TEXT(K2669,"0.0"))</x:f>
        <x:v>1 : 2.2</x:v>
      </x:c>
      <x:c r="M2669" s="66" t="str">
        <x:f>IF(J2669="","Baru/Tanpa Data",IF(J2669&lt;='Catatan &amp; Sumber'!$B$14,"Sangat Ketat",IF(J2669&lt;='Catatan &amp; Sumber'!$B$15,"Ketat",IF(J2669&lt;='Catatan &amp; Sumber'!$B$16,"Sedang","Relatif Longgar"))))</x:f>
        <x:v>Relatif Longgar</x:v>
      </x:c>
      <x:c r="N2669" s="66" t="str">
        <x:v>Tidak Ada</x:v>
      </x:c>
      <x:c r="O2669" s="66" t="str">
        <x:v>Jawa Timur</x:v>
      </x:c>
      <x:c r="P2669" s="66" t="str">
        <x:v>Kota Malang</x:v>
      </x:c>
      <x:c r="Q2669" s="66" t="str">
        <x:v>https://snpmb.id/snbp/daya-tampung-snbp</x:v>
      </x:c>
      <x:c r="R2669" s="66" t="str">
        <x:v>https://sidatagrun-public-1076756628210.asia-southeast2.run.app/ptn_sn.php?ptn=373</x:v>
      </x:c>
    </x:row>
    <x:row r="2670">
      <x:c r="A2670" s="87" t="n">
        <x:v>2733</x:v>
      </x:c>
      <x:c r="B2670" s="66" t="n">
        <x:v>373</x:v>
      </x:c>
      <x:c r="C2670" s="66" t="str">
        <x:v>UNIVERSITAS NEGERI MALANG</x:v>
      </x:c>
      <x:c r="D2670" s="66" t="str">
        <x:v>PTN Akademik</x:v>
      </x:c>
      <x:c r="E2670" s="66" t="str">
        <x:v>13731003</x:v>
      </x:c>
      <x:c r="F2670" s="66" t="str">
        <x:v>PENDIDIKAN KIMIA</x:v>
      </x:c>
      <x:c r="G2670" s="66" t="str">
        <x:v>Sarjana</x:v>
      </x:c>
      <x:c r="H2670" s="87" t="n">
        <x:v>71</x:v>
      </x:c>
      <x:c r="I2670" s="87" t="n">
        <x:v>285</x:v>
      </x:c>
      <x:c r="J2670" s="68" t="n">
        <x:f>IFERROR(H2670/I2670,"")</x:f>
        <x:v>0.24912280701754386</x:v>
      </x:c>
      <x:c r="K2670" s="69" t="n">
        <x:f>IFERROR(I2670/H2670,"")</x:f>
        <x:v>4.014084507042254</x:v>
      </x:c>
      <x:c r="L2670" s="66" t="str">
        <x:f>IF(K2670="","","1 : "&amp;TEXT(K2670,"0.0"))</x:f>
        <x:v>1 : 4.0</x:v>
      </x:c>
      <x:c r="M2670" s="66" t="str">
        <x:f>IF(J2670="","Baru/Tanpa Data",IF(J2670&lt;='Catatan &amp; Sumber'!$B$14,"Sangat Ketat",IF(J2670&lt;='Catatan &amp; Sumber'!$B$15,"Ketat",IF(J2670&lt;='Catatan &amp; Sumber'!$B$16,"Sedang","Relatif Longgar"))))</x:f>
        <x:v>Relatif Longgar</x:v>
      </x:c>
      <x:c r="N2670" s="66" t="str">
        <x:v>Tidak Ada</x:v>
      </x:c>
      <x:c r="O2670" s="66" t="str">
        <x:v>Jawa Timur</x:v>
      </x:c>
      <x:c r="P2670" s="66" t="str">
        <x:v>Kota Malang</x:v>
      </x:c>
      <x:c r="Q2670" s="66" t="str">
        <x:v>https://snpmb.id/snbp/daya-tampung-snbp</x:v>
      </x:c>
      <x:c r="R2670" s="66" t="str">
        <x:v>https://sidatagrun-public-1076756628210.asia-southeast2.run.app/ptn_sn.php?ptn=373</x:v>
      </x:c>
    </x:row>
    <x:row r="2671">
      <x:c r="A2671" s="87" t="n">
        <x:v>1768</x:v>
      </x:c>
      <x:c r="B2671" s="66" t="n">
        <x:v>373</x:v>
      </x:c>
      <x:c r="C2671" s="66" t="str">
        <x:v>UNIVERSITAS NEGERI MALANG</x:v>
      </x:c>
      <x:c r="D2671" s="66" t="str">
        <x:v>PTN Akademik</x:v>
      </x:c>
      <x:c r="E2671" s="66" t="str">
        <x:v>13731004</x:v>
      </x:c>
      <x:c r="F2671" s="66" t="str">
        <x:v>PENDIDIKAN BIOLOGI</x:v>
      </x:c>
      <x:c r="G2671" s="66" t="str">
        <x:v>Sarjana</x:v>
      </x:c>
      <x:c r="H2671" s="87" t="n">
        <x:v>46</x:v>
      </x:c>
      <x:c r="I2671" s="87" t="n">
        <x:v>354</x:v>
      </x:c>
      <x:c r="J2671" s="68" t="n">
        <x:f>IFERROR(H2671/I2671,"")</x:f>
        <x:v>0.12994350282485875</x:v>
      </x:c>
      <x:c r="K2671" s="69" t="n">
        <x:f>IFERROR(I2671/H2671,"")</x:f>
        <x:v>7.695652173913044</x:v>
      </x:c>
      <x:c r="L2671" s="66" t="str">
        <x:f>IF(K2671="","","1 : "&amp;TEXT(K2671,"0.0"))</x:f>
        <x:v>1 : 7.7</x:v>
      </x:c>
      <x:c r="M2671" s="66" t="str">
        <x:f>IF(J2671="","Baru/Tanpa Data",IF(J2671&lt;='Catatan &amp; Sumber'!$B$14,"Sangat Ketat",IF(J2671&lt;='Catatan &amp; Sumber'!$B$15,"Ketat",IF(J2671&lt;='Catatan &amp; Sumber'!$B$16,"Sedang","Relatif Longgar"))))</x:f>
        <x:v>Relatif Longgar</x:v>
      </x:c>
      <x:c r="N2671" s="66" t="str">
        <x:v>Tidak Ada</x:v>
      </x:c>
      <x:c r="O2671" s="66" t="str">
        <x:v>Jawa Timur</x:v>
      </x:c>
      <x:c r="P2671" s="66" t="str">
        <x:v>Kota Malang</x:v>
      </x:c>
      <x:c r="Q2671" s="66" t="str">
        <x:v>https://snpmb.id/snbp/daya-tampung-snbp</x:v>
      </x:c>
      <x:c r="R2671" s="66" t="str">
        <x:v>https://sidatagrun-public-1076756628210.asia-southeast2.run.app/ptn_sn.php?ptn=373</x:v>
      </x:c>
    </x:row>
    <x:row r="2672">
      <x:c r="A2672" s="87" t="n">
        <x:v>3512</x:v>
      </x:c>
      <x:c r="B2672" s="66" t="n">
        <x:v>373</x:v>
      </x:c>
      <x:c r="C2672" s="66" t="str">
        <x:v>UNIVERSITAS NEGERI MALANG</x:v>
      </x:c>
      <x:c r="D2672" s="66" t="str">
        <x:v>PTN Akademik</x:v>
      </x:c>
      <x:c r="E2672" s="66" t="str">
        <x:v>13731005</x:v>
      </x:c>
      <x:c r="F2672" s="66" t="str">
        <x:v>PENDIDIKAN TEKNIK MESIN</x:v>
      </x:c>
      <x:c r="G2672" s="66" t="str">
        <x:v>Sarjana</x:v>
      </x:c>
      <x:c r="H2672" s="87" t="n">
        <x:v>55</x:v>
      </x:c>
      <x:c r="I2672" s="87" t="n">
        <x:v>126</x:v>
      </x:c>
      <x:c r="J2672" s="68" t="n">
        <x:f>IFERROR(H2672/I2672,"")</x:f>
        <x:v>0.4365079365079365</x:v>
      </x:c>
      <x:c r="K2672" s="69" t="n">
        <x:f>IFERROR(I2672/H2672,"")</x:f>
        <x:v>2.290909090909091</x:v>
      </x:c>
      <x:c r="L2672" s="66" t="str">
        <x:f>IF(K2672="","","1 : "&amp;TEXT(K2672,"0.0"))</x:f>
        <x:v>1 : 2.3</x:v>
      </x:c>
      <x:c r="M2672" s="66" t="str">
        <x:f>IF(J2672="","Baru/Tanpa Data",IF(J2672&lt;='Catatan &amp; Sumber'!$B$14,"Sangat Ketat",IF(J2672&lt;='Catatan &amp; Sumber'!$B$15,"Ketat",IF(J2672&lt;='Catatan &amp; Sumber'!$B$16,"Sedang","Relatif Longgar"))))</x:f>
        <x:v>Relatif Longgar</x:v>
      </x:c>
      <x:c r="N2672" s="66" t="str">
        <x:v>Tidak Ada</x:v>
      </x:c>
      <x:c r="O2672" s="66" t="str">
        <x:v>Jawa Timur</x:v>
      </x:c>
      <x:c r="P2672" s="66" t="str">
        <x:v>Kota Malang</x:v>
      </x:c>
      <x:c r="Q2672" s="66" t="str">
        <x:v>https://snpmb.id/snbp/daya-tampung-snbp</x:v>
      </x:c>
      <x:c r="R2672" s="66" t="str">
        <x:v>https://sidatagrun-public-1076756628210.asia-southeast2.run.app/ptn_sn.php?ptn=373</x:v>
      </x:c>
    </x:row>
    <x:row r="2673">
      <x:c r="A2673" s="87" t="n">
        <x:v>3455</x:v>
      </x:c>
      <x:c r="B2673" s="66" t="n">
        <x:v>373</x:v>
      </x:c>
      <x:c r="C2673" s="66" t="str">
        <x:v>UNIVERSITAS NEGERI MALANG</x:v>
      </x:c>
      <x:c r="D2673" s="66" t="str">
        <x:v>PTN Akademik</x:v>
      </x:c>
      <x:c r="E2673" s="66" t="str">
        <x:v>13731006</x:v>
      </x:c>
      <x:c r="F2673" s="66" t="str">
        <x:v>PENDIDIKAN TEKNIK BANGUNAN</x:v>
      </x:c>
      <x:c r="G2673" s="66" t="str">
        <x:v>Sarjana</x:v>
      </x:c>
      <x:c r="H2673" s="87" t="n">
        <x:v>48</x:v>
      </x:c>
      <x:c r="I2673" s="87" t="n">
        <x:v>114</x:v>
      </x:c>
      <x:c r="J2673" s="68" t="n">
        <x:f>IFERROR(H2673/I2673,"")</x:f>
        <x:v>0.42105263157894735</x:v>
      </x:c>
      <x:c r="K2673" s="69" t="n">
        <x:f>IFERROR(I2673/H2673,"")</x:f>
        <x:v>2.375</x:v>
      </x:c>
      <x:c r="L2673" s="66" t="str">
        <x:f>IF(K2673="","","1 : "&amp;TEXT(K2673,"0.0"))</x:f>
        <x:v>1 : 2.4</x:v>
      </x:c>
      <x:c r="M2673" s="66" t="str">
        <x:f>IF(J2673="","Baru/Tanpa Data",IF(J2673&lt;='Catatan &amp; Sumber'!$B$14,"Sangat Ketat",IF(J2673&lt;='Catatan &amp; Sumber'!$B$15,"Ketat",IF(J2673&lt;='Catatan &amp; Sumber'!$B$16,"Sedang","Relatif Longgar"))))</x:f>
        <x:v>Relatif Longgar</x:v>
      </x:c>
      <x:c r="N2673" s="66" t="str">
        <x:v>Tidak Ada</x:v>
      </x:c>
      <x:c r="O2673" s="66" t="str">
        <x:v>Jawa Timur</x:v>
      </x:c>
      <x:c r="P2673" s="66" t="str">
        <x:v>Kota Malang</x:v>
      </x:c>
      <x:c r="Q2673" s="66" t="str">
        <x:v>https://snpmb.id/snbp/daya-tampung-snbp</x:v>
      </x:c>
      <x:c r="R2673" s="66" t="str">
        <x:v>https://sidatagrun-public-1076756628210.asia-southeast2.run.app/ptn_sn.php?ptn=373</x:v>
      </x:c>
    </x:row>
    <x:row r="2674">
      <x:c r="A2674" s="87" t="n">
        <x:v>1787</x:v>
      </x:c>
      <x:c r="B2674" s="66" t="n">
        <x:v>373</x:v>
      </x:c>
      <x:c r="C2674" s="66" t="str">
        <x:v>UNIVERSITAS NEGERI MALANG</x:v>
      </x:c>
      <x:c r="D2674" s="66" t="str">
        <x:v>PTN Akademik</x:v>
      </x:c>
      <x:c r="E2674" s="66" t="str">
        <x:v>13731007</x:v>
      </x:c>
      <x:c r="F2674" s="66" t="str">
        <x:v>PENDIDIKAN TEKNIK INFORMATIKA</x:v>
      </x:c>
      <x:c r="G2674" s="66" t="str">
        <x:v>Sarjana</x:v>
      </x:c>
      <x:c r="H2674" s="87" t="n">
        <x:v>34</x:v>
      </x:c>
      <x:c r="I2674" s="87" t="n">
        <x:v>259</x:v>
      </x:c>
      <x:c r="J2674" s="68" t="n">
        <x:f>IFERROR(H2674/I2674,"")</x:f>
        <x:v>0.13127413127413126</x:v>
      </x:c>
      <x:c r="K2674" s="69" t="n">
        <x:f>IFERROR(I2674/H2674,"")</x:f>
        <x:v>7.617647058823529</x:v>
      </x:c>
      <x:c r="L2674" s="66" t="str">
        <x:f>IF(K2674="","","1 : "&amp;TEXT(K2674,"0.0"))</x:f>
        <x:v>1 : 7.6</x:v>
      </x:c>
      <x:c r="M2674" s="66" t="str">
        <x:f>IF(J2674="","Baru/Tanpa Data",IF(J2674&lt;='Catatan &amp; Sumber'!$B$14,"Sangat Ketat",IF(J2674&lt;='Catatan &amp; Sumber'!$B$15,"Ketat",IF(J2674&lt;='Catatan &amp; Sumber'!$B$16,"Sedang","Relatif Longgar"))))</x:f>
        <x:v>Relatif Longgar</x:v>
      </x:c>
      <x:c r="N2674" s="66" t="str">
        <x:v>Tidak Ada</x:v>
      </x:c>
      <x:c r="O2674" s="66" t="str">
        <x:v>Jawa Timur</x:v>
      </x:c>
      <x:c r="P2674" s="66" t="str">
        <x:v>Kota Malang</x:v>
      </x:c>
      <x:c r="Q2674" s="66" t="str">
        <x:v>https://snpmb.id/snbp/daya-tampung-snbp</x:v>
      </x:c>
      <x:c r="R2674" s="66" t="str">
        <x:v>https://sidatagrun-public-1076756628210.asia-southeast2.run.app/ptn_sn.php?ptn=373</x:v>
      </x:c>
    </x:row>
    <x:row r="2675">
      <x:c r="A2675" s="87" t="n">
        <x:v>3519</x:v>
      </x:c>
      <x:c r="B2675" s="66" t="n">
        <x:v>373</x:v>
      </x:c>
      <x:c r="C2675" s="66" t="str">
        <x:v>UNIVERSITAS NEGERI MALANG</x:v>
      </x:c>
      <x:c r="D2675" s="66" t="str">
        <x:v>PTN Akademik</x:v>
      </x:c>
      <x:c r="E2675" s="66" t="str">
        <x:v>13731008</x:v>
      </x:c>
      <x:c r="F2675" s="66" t="str">
        <x:v>PENDIDIKAN TEKNIK OTOMOTIF</x:v>
      </x:c>
      <x:c r="G2675" s="66" t="str">
        <x:v>Sarjana</x:v>
      </x:c>
      <x:c r="H2675" s="87" t="n">
        <x:v>55</x:v>
      </x:c>
      <x:c r="I2675" s="87" t="n">
        <x:v>125</x:v>
      </x:c>
      <x:c r="J2675" s="68" t="n">
        <x:f>IFERROR(H2675/I2675,"")</x:f>
        <x:v>0.44</x:v>
      </x:c>
      <x:c r="K2675" s="69" t="n">
        <x:f>IFERROR(I2675/H2675,"")</x:f>
        <x:v>2.272727272727273</x:v>
      </x:c>
      <x:c r="L2675" s="66" t="str">
        <x:f>IF(K2675="","","1 : "&amp;TEXT(K2675,"0.0"))</x:f>
        <x:v>1 : 2.3</x:v>
      </x:c>
      <x:c r="M2675" s="66" t="str">
        <x:f>IF(J2675="","Baru/Tanpa Data",IF(J2675&lt;='Catatan &amp; Sumber'!$B$14,"Sangat Ketat",IF(J2675&lt;='Catatan &amp; Sumber'!$B$15,"Ketat",IF(J2675&lt;='Catatan &amp; Sumber'!$B$16,"Sedang","Relatif Longgar"))))</x:f>
        <x:v>Relatif Longgar</x:v>
      </x:c>
      <x:c r="N2675" s="66" t="str">
        <x:v>Tidak Ada</x:v>
      </x:c>
      <x:c r="O2675" s="66" t="str">
        <x:v>Jawa Timur</x:v>
      </x:c>
      <x:c r="P2675" s="66" t="str">
        <x:v>Kota Malang</x:v>
      </x:c>
      <x:c r="Q2675" s="66" t="str">
        <x:v>https://snpmb.id/snbp/daya-tampung-snbp</x:v>
      </x:c>
      <x:c r="R2675" s="66" t="str">
        <x:v>https://sidatagrun-public-1076756628210.asia-southeast2.run.app/ptn_sn.php?ptn=373</x:v>
      </x:c>
    </x:row>
    <x:row r="2676">
      <x:c r="A2676" s="87" t="n">
        <x:v>2897</x:v>
      </x:c>
      <x:c r="B2676" s="66" t="n">
        <x:v>373</x:v>
      </x:c>
      <x:c r="C2676" s="66" t="str">
        <x:v>UNIVERSITAS NEGERI MALANG</x:v>
      </x:c>
      <x:c r="D2676" s="66" t="str">
        <x:v>PTN Akademik</x:v>
      </x:c>
      <x:c r="E2676" s="66" t="str">
        <x:v>13731009</x:v>
      </x:c>
      <x:c r="F2676" s="66" t="str">
        <x:v>ILMU KEOLAHRAGAAN</x:v>
      </x:c>
      <x:c r="G2676" s="66" t="str">
        <x:v>Sarjana</x:v>
      </x:c>
      <x:c r="H2676" s="87" t="n">
        <x:v>56</x:v>
      </x:c>
      <x:c r="I2676" s="87" t="n">
        <x:v>205</x:v>
      </x:c>
      <x:c r="J2676" s="68" t="n">
        <x:f>IFERROR(H2676/I2676,"")</x:f>
        <x:v>0.2731707317073171</x:v>
      </x:c>
      <x:c r="K2676" s="69" t="n">
        <x:f>IFERROR(I2676/H2676,"")</x:f>
        <x:v>3.6607142857142856</x:v>
      </x:c>
      <x:c r="L2676" s="66" t="str">
        <x:f>IF(K2676="","","1 : "&amp;TEXT(K2676,"0.0"))</x:f>
        <x:v>1 : 3.7</x:v>
      </x:c>
      <x:c r="M2676" s="66" t="str">
        <x:f>IF(J2676="","Baru/Tanpa Data",IF(J2676&lt;='Catatan &amp; Sumber'!$B$14,"Sangat Ketat",IF(J2676&lt;='Catatan &amp; Sumber'!$B$15,"Ketat",IF(J2676&lt;='Catatan &amp; Sumber'!$B$16,"Sedang","Relatif Longgar"))))</x:f>
        <x:v>Relatif Longgar</x:v>
      </x:c>
      <x:c r="N2676" s="66" t="str">
        <x:v>Olahraga</x:v>
      </x:c>
      <x:c r="O2676" s="66" t="str">
        <x:v>Jawa Timur</x:v>
      </x:c>
      <x:c r="P2676" s="66" t="str">
        <x:v>Kota Malang</x:v>
      </x:c>
      <x:c r="Q2676" s="66" t="str">
        <x:v>https://snpmb.id/snbp/daya-tampung-snbp</x:v>
      </x:c>
      <x:c r="R2676" s="66" t="str">
        <x:v>https://sidatagrun-public-1076756628210.asia-southeast2.run.app/ptn_sn.php?ptn=373</x:v>
      </x:c>
    </x:row>
    <x:row r="2677">
      <x:c r="A2677" s="87" t="n">
        <x:v>2552</x:v>
      </x:c>
      <x:c r="B2677" s="66" t="n">
        <x:v>373</x:v>
      </x:c>
      <x:c r="C2677" s="66" t="str">
        <x:v>UNIVERSITAS NEGERI MALANG</x:v>
      </x:c>
      <x:c r="D2677" s="66" t="str">
        <x:v>PTN Akademik</x:v>
      </x:c>
      <x:c r="E2677" s="66" t="str">
        <x:v>13731010</x:v>
      </x:c>
      <x:c r="F2677" s="66" t="str">
        <x:v>MATEMATIKA</x:v>
      </x:c>
      <x:c r="G2677" s="66" t="str">
        <x:v>Sarjana</x:v>
      </x:c>
      <x:c r="H2677" s="87" t="n">
        <x:v>78</x:v>
      </x:c>
      <x:c r="I2677" s="87" t="n">
        <x:v>355</x:v>
      </x:c>
      <x:c r="J2677" s="68" t="n">
        <x:f>IFERROR(H2677/I2677,"")</x:f>
        <x:v>0.21971830985915494</x:v>
      </x:c>
      <x:c r="K2677" s="69" t="n">
        <x:f>IFERROR(I2677/H2677,"")</x:f>
        <x:v>4.551282051282051</x:v>
      </x:c>
      <x:c r="L2677" s="66" t="str">
        <x:f>IF(K2677="","","1 : "&amp;TEXT(K2677,"0.0"))</x:f>
        <x:v>1 : 4.6</x:v>
      </x:c>
      <x:c r="M2677" s="66" t="str">
        <x:f>IF(J2677="","Baru/Tanpa Data",IF(J2677&lt;='Catatan &amp; Sumber'!$B$14,"Sangat Ketat",IF(J2677&lt;='Catatan &amp; Sumber'!$B$15,"Ketat",IF(J2677&lt;='Catatan &amp; Sumber'!$B$16,"Sedang","Relatif Longgar"))))</x:f>
        <x:v>Relatif Longgar</x:v>
      </x:c>
      <x:c r="N2677" s="66" t="str">
        <x:v>Tidak Ada</x:v>
      </x:c>
      <x:c r="O2677" s="66" t="str">
        <x:v>Jawa Timur</x:v>
      </x:c>
      <x:c r="P2677" s="66" t="str">
        <x:v>Kota Malang</x:v>
      </x:c>
      <x:c r="Q2677" s="66" t="str">
        <x:v>https://snpmb.id/snbp/daya-tampung-snbp</x:v>
      </x:c>
      <x:c r="R2677" s="66" t="str">
        <x:v>https://sidatagrun-public-1076756628210.asia-southeast2.run.app/ptn_sn.php?ptn=373</x:v>
      </x:c>
    </x:row>
    <x:row r="2678">
      <x:c r="A2678" s="87" t="n">
        <x:v>3539</x:v>
      </x:c>
      <x:c r="B2678" s="66" t="n">
        <x:v>373</x:v>
      </x:c>
      <x:c r="C2678" s="66" t="str">
        <x:v>UNIVERSITAS NEGERI MALANG</x:v>
      </x:c>
      <x:c r="D2678" s="66" t="str">
        <x:v>PTN Akademik</x:v>
      </x:c>
      <x:c r="E2678" s="66" t="str">
        <x:v>13731011</x:v>
      </x:c>
      <x:c r="F2678" s="66" t="str">
        <x:v>FISIKA</x:v>
      </x:c>
      <x:c r="G2678" s="66" t="str">
        <x:v>Sarjana</x:v>
      </x:c>
      <x:c r="H2678" s="87" t="n">
        <x:v>76</x:v>
      </x:c>
      <x:c r="I2678" s="87" t="n">
        <x:v>170</x:v>
      </x:c>
      <x:c r="J2678" s="68" t="n">
        <x:f>IFERROR(H2678/I2678,"")</x:f>
        <x:v>0.4470588235294118</x:v>
      </x:c>
      <x:c r="K2678" s="69" t="n">
        <x:f>IFERROR(I2678/H2678,"")</x:f>
        <x:v>2.236842105263158</x:v>
      </x:c>
      <x:c r="L2678" s="66" t="str">
        <x:f>IF(K2678="","","1 : "&amp;TEXT(K2678,"0.0"))</x:f>
        <x:v>1 : 2.2</x:v>
      </x:c>
      <x:c r="M2678" s="66" t="str">
        <x:f>IF(J2678="","Baru/Tanpa Data",IF(J2678&lt;='Catatan &amp; Sumber'!$B$14,"Sangat Ketat",IF(J2678&lt;='Catatan &amp; Sumber'!$B$15,"Ketat",IF(J2678&lt;='Catatan &amp; Sumber'!$B$16,"Sedang","Relatif Longgar"))))</x:f>
        <x:v>Relatif Longgar</x:v>
      </x:c>
      <x:c r="N2678" s="66" t="str">
        <x:v>Tidak Ada</x:v>
      </x:c>
      <x:c r="O2678" s="66" t="str">
        <x:v>Jawa Timur</x:v>
      </x:c>
      <x:c r="P2678" s="66" t="str">
        <x:v>Kota Malang</x:v>
      </x:c>
      <x:c r="Q2678" s="66" t="str">
        <x:v>https://snpmb.id/snbp/daya-tampung-snbp</x:v>
      </x:c>
      <x:c r="R2678" s="66" t="str">
        <x:v>https://sidatagrun-public-1076756628210.asia-southeast2.run.app/ptn_sn.php?ptn=373</x:v>
      </x:c>
    </x:row>
    <x:row r="2679">
      <x:c r="A2679" s="87" t="n">
        <x:v>2174</x:v>
      </x:c>
      <x:c r="B2679" s="66" t="n">
        <x:v>373</x:v>
      </x:c>
      <x:c r="C2679" s="66" t="str">
        <x:v>UNIVERSITAS NEGERI MALANG</x:v>
      </x:c>
      <x:c r="D2679" s="66" t="str">
        <x:v>PTN Akademik</x:v>
      </x:c>
      <x:c r="E2679" s="66" t="str">
        <x:v>13731012</x:v>
      </x:c>
      <x:c r="F2679" s="66" t="str">
        <x:v>KIMIA</x:v>
      </x:c>
      <x:c r="G2679" s="66" t="str">
        <x:v>Sarjana</x:v>
      </x:c>
      <x:c r="H2679" s="87" t="n">
        <x:v>51</x:v>
      </x:c>
      <x:c r="I2679" s="87" t="n">
        <x:v>302</x:v>
      </x:c>
      <x:c r="J2679" s="68" t="n">
        <x:f>IFERROR(H2679/I2679,"")</x:f>
        <x:v>0.16887417218543047</x:v>
      </x:c>
      <x:c r="K2679" s="69" t="n">
        <x:f>IFERROR(I2679/H2679,"")</x:f>
        <x:v>5.921568627450981</x:v>
      </x:c>
      <x:c r="L2679" s="66" t="str">
        <x:f>IF(K2679="","","1 : "&amp;TEXT(K2679,"0.0"))</x:f>
        <x:v>1 : 5.9</x:v>
      </x:c>
      <x:c r="M2679" s="66" t="str">
        <x:f>IF(J2679="","Baru/Tanpa Data",IF(J2679&lt;='Catatan &amp; Sumber'!$B$14,"Sangat Ketat",IF(J2679&lt;='Catatan &amp; Sumber'!$B$15,"Ketat",IF(J2679&lt;='Catatan &amp; Sumber'!$B$16,"Sedang","Relatif Longgar"))))</x:f>
        <x:v>Relatif Longgar</x:v>
      </x:c>
      <x:c r="N2679" s="66" t="str">
        <x:v>Tidak Ada</x:v>
      </x:c>
      <x:c r="O2679" s="66" t="str">
        <x:v>Jawa Timur</x:v>
      </x:c>
      <x:c r="P2679" s="66" t="str">
        <x:v>Kota Malang</x:v>
      </x:c>
      <x:c r="Q2679" s="66" t="str">
        <x:v>https://snpmb.id/snbp/daya-tampung-snbp</x:v>
      </x:c>
      <x:c r="R2679" s="66" t="str">
        <x:v>https://sidatagrun-public-1076756628210.asia-southeast2.run.app/ptn_sn.php?ptn=373</x:v>
      </x:c>
    </x:row>
    <x:row r="2680">
      <x:c r="A2680" s="87" t="n">
        <x:v>1562</x:v>
      </x:c>
      <x:c r="B2680" s="66" t="n">
        <x:v>373</x:v>
      </x:c>
      <x:c r="C2680" s="66" t="str">
        <x:v>UNIVERSITAS NEGERI MALANG</x:v>
      </x:c>
      <x:c r="D2680" s="66" t="str">
        <x:v>PTN Akademik</x:v>
      </x:c>
      <x:c r="E2680" s="66" t="str">
        <x:v>13731013</x:v>
      </x:c>
      <x:c r="F2680" s="66" t="str">
        <x:v>BIOLOGI</x:v>
      </x:c>
      <x:c r="G2680" s="66" t="str">
        <x:v>Sarjana</x:v>
      </x:c>
      <x:c r="H2680" s="87" t="n">
        <x:v>37</x:v>
      </x:c>
      <x:c r="I2680" s="87" t="n">
        <x:v>325</x:v>
      </x:c>
      <x:c r="J2680" s="68" t="n">
        <x:f>IFERROR(H2680/I2680,"")</x:f>
        <x:v>0.11384615384615385</x:v>
      </x:c>
      <x:c r="K2680" s="69" t="n">
        <x:f>IFERROR(I2680/H2680,"")</x:f>
        <x:v>8.783783783783784</x:v>
      </x:c>
      <x:c r="L2680" s="66" t="str">
        <x:f>IF(K2680="","","1 : "&amp;TEXT(K2680,"0.0"))</x:f>
        <x:v>1 : 8.8</x:v>
      </x:c>
      <x:c r="M2680" s="66" t="str">
        <x:f>IF(J2680="","Baru/Tanpa Data",IF(J2680&lt;='Catatan &amp; Sumber'!$B$14,"Sangat Ketat",IF(J2680&lt;='Catatan &amp; Sumber'!$B$15,"Ketat",IF(J2680&lt;='Catatan &amp; Sumber'!$B$16,"Sedang","Relatif Longgar"))))</x:f>
        <x:v>Relatif Longgar</x:v>
      </x:c>
      <x:c r="N2680" s="66" t="str">
        <x:v>Tidak Ada</x:v>
      </x:c>
      <x:c r="O2680" s="66" t="str">
        <x:v>Jawa Timur</x:v>
      </x:c>
      <x:c r="P2680" s="66" t="str">
        <x:v>Kota Malang</x:v>
      </x:c>
      <x:c r="Q2680" s="66" t="str">
        <x:v>https://snpmb.id/snbp/daya-tampung-snbp</x:v>
      </x:c>
      <x:c r="R2680" s="66" t="str">
        <x:v>https://sidatagrun-public-1076756628210.asia-southeast2.run.app/ptn_sn.php?ptn=373</x:v>
      </x:c>
    </x:row>
    <x:row r="2681">
      <x:c r="A2681" s="87" t="n">
        <x:v>3185</x:v>
      </x:c>
      <x:c r="B2681" s="66" t="n">
        <x:v>373</x:v>
      </x:c>
      <x:c r="C2681" s="66" t="str">
        <x:v>UNIVERSITAS NEGERI MALANG</x:v>
      </x:c>
      <x:c r="D2681" s="66" t="str">
        <x:v>PTN Akademik</x:v>
      </x:c>
      <x:c r="E2681" s="66" t="str">
        <x:v>13731014</x:v>
      </x:c>
      <x:c r="F2681" s="66" t="str">
        <x:v>PENDIDIKAN TEKNIK ELEKTRO</x:v>
      </x:c>
      <x:c r="G2681" s="66" t="str">
        <x:v>Sarjana</x:v>
      </x:c>
      <x:c r="H2681" s="87" t="n">
        <x:v>42</x:v>
      </x:c>
      <x:c r="I2681" s="87" t="n">
        <x:v>124</x:v>
      </x:c>
      <x:c r="J2681" s="68" t="n">
        <x:f>IFERROR(H2681/I2681,"")</x:f>
        <x:v>0.3387096774193548</x:v>
      </x:c>
      <x:c r="K2681" s="69" t="n">
        <x:f>IFERROR(I2681/H2681,"")</x:f>
        <x:v>2.9523809523809526</x:v>
      </x:c>
      <x:c r="L2681" s="66" t="str">
        <x:f>IF(K2681="","","1 : "&amp;TEXT(K2681,"0.0"))</x:f>
        <x:v>1 : 3.0</x:v>
      </x:c>
      <x:c r="M2681" s="66" t="str">
        <x:f>IF(J2681="","Baru/Tanpa Data",IF(J2681&lt;='Catatan &amp; Sumber'!$B$14,"Sangat Ketat",IF(J2681&lt;='Catatan &amp; Sumber'!$B$15,"Ketat",IF(J2681&lt;='Catatan &amp; Sumber'!$B$16,"Sedang","Relatif Longgar"))))</x:f>
        <x:v>Relatif Longgar</x:v>
      </x:c>
      <x:c r="N2681" s="66" t="str">
        <x:v>Tidak Ada</x:v>
      </x:c>
      <x:c r="O2681" s="66" t="str">
        <x:v>Jawa Timur</x:v>
      </x:c>
      <x:c r="P2681" s="66" t="str">
        <x:v>Kota Malang</x:v>
      </x:c>
      <x:c r="Q2681" s="66" t="str">
        <x:v>https://snpmb.id/snbp/daya-tampung-snbp</x:v>
      </x:c>
      <x:c r="R2681" s="66" t="str">
        <x:v>https://sidatagrun-public-1076756628210.asia-southeast2.run.app/ptn_sn.php?ptn=373</x:v>
      </x:c>
    </x:row>
    <x:row r="2682">
      <x:c r="A2682" s="87" t="n">
        <x:v>1004</x:v>
      </x:c>
      <x:c r="B2682" s="66" t="n">
        <x:v>373</x:v>
      </x:c>
      <x:c r="C2682" s="66" t="str">
        <x:v>UNIVERSITAS NEGERI MALANG</x:v>
      </x:c>
      <x:c r="D2682" s="66" t="str">
        <x:v>PTN Akademik</x:v>
      </x:c>
      <x:c r="E2682" s="66" t="str">
        <x:v>13731015</x:v>
      </x:c>
      <x:c r="F2682" s="66" t="str">
        <x:v>TEKNIK SIPIL</x:v>
      </x:c>
      <x:c r="G2682" s="66" t="str">
        <x:v>Sarjana</x:v>
      </x:c>
      <x:c r="H2682" s="87" t="n">
        <x:v>44</x:v>
      </x:c>
      <x:c r="I2682" s="87" t="n">
        <x:v>561</x:v>
      </x:c>
      <x:c r="J2682" s="68" t="n">
        <x:f>IFERROR(H2682/I2682,"")</x:f>
        <x:v>0.0784313725490196</x:v>
      </x:c>
      <x:c r="K2682" s="69" t="n">
        <x:f>IFERROR(I2682/H2682,"")</x:f>
        <x:v>12.75</x:v>
      </x:c>
      <x:c r="L2682" s="66" t="str">
        <x:f>IF(K2682="","","1 : "&amp;TEXT(K2682,"0.0"))</x:f>
        <x:v>1 : 12.8</x:v>
      </x:c>
      <x:c r="M2682" s="66" t="str">
        <x:f>IF(J2682="","Baru/Tanpa Data",IF(J2682&lt;='Catatan &amp; Sumber'!$B$14,"Sangat Ketat",IF(J2682&lt;='Catatan &amp; Sumber'!$B$15,"Ketat",IF(J2682&lt;='Catatan &amp; Sumber'!$B$16,"Sedang","Relatif Longgar"))))</x:f>
        <x:v>Sedang</x:v>
      </x:c>
      <x:c r="N2682" s="66" t="str">
        <x:v>Tidak Ada</x:v>
      </x:c>
      <x:c r="O2682" s="66" t="str">
        <x:v>Jawa Timur</x:v>
      </x:c>
      <x:c r="P2682" s="66" t="str">
        <x:v>Kota Malang</x:v>
      </x:c>
      <x:c r="Q2682" s="66" t="str">
        <x:v>https://snpmb.id/snbp/daya-tampung-snbp</x:v>
      </x:c>
      <x:c r="R2682" s="66" t="str">
        <x:v>https://sidatagrun-public-1076756628210.asia-southeast2.run.app/ptn_sn.php?ptn=373</x:v>
      </x:c>
    </x:row>
    <x:row r="2683">
      <x:c r="A2683" s="87" t="n">
        <x:v>2418</x:v>
      </x:c>
      <x:c r="B2683" s="66" t="n">
        <x:v>373</x:v>
      </x:c>
      <x:c r="C2683" s="66" t="str">
        <x:v>UNIVERSITAS NEGERI MALANG</x:v>
      </x:c>
      <x:c r="D2683" s="66" t="str">
        <x:v>PTN Akademik</x:v>
      </x:c>
      <x:c r="E2683" s="66" t="str">
        <x:v>13731016</x:v>
      </x:c>
      <x:c r="F2683" s="66" t="str">
        <x:v>PENDIDIKAN ILMU PENGETAHUAN ALAM</x:v>
      </x:c>
      <x:c r="G2683" s="66" t="str">
        <x:v>Sarjana</x:v>
      </x:c>
      <x:c r="H2683" s="87" t="n">
        <x:v>75</x:v>
      </x:c>
      <x:c r="I2683" s="87" t="n">
        <x:v>378</x:v>
      </x:c>
      <x:c r="J2683" s="68" t="n">
        <x:f>IFERROR(H2683/I2683,"")</x:f>
        <x:v>0.1984126984126984</x:v>
      </x:c>
      <x:c r="K2683" s="69" t="n">
        <x:f>IFERROR(I2683/H2683,"")</x:f>
        <x:v>5.04</x:v>
      </x:c>
      <x:c r="L2683" s="66" t="str">
        <x:f>IF(K2683="","","1 : "&amp;TEXT(K2683,"0.0"))</x:f>
        <x:v>1 : 5.0</x:v>
      </x:c>
      <x:c r="M2683" s="66" t="str">
        <x:f>IF(J2683="","Baru/Tanpa Data",IF(J2683&lt;='Catatan &amp; Sumber'!$B$14,"Sangat Ketat",IF(J2683&lt;='Catatan &amp; Sumber'!$B$15,"Ketat",IF(J2683&lt;='Catatan &amp; Sumber'!$B$16,"Sedang","Relatif Longgar"))))</x:f>
        <x:v>Relatif Longgar</x:v>
      </x:c>
      <x:c r="N2683" s="66" t="str">
        <x:v>Tidak Ada</x:v>
      </x:c>
      <x:c r="O2683" s="66" t="str">
        <x:v>Jawa Timur</x:v>
      </x:c>
      <x:c r="P2683" s="66" t="str">
        <x:v>Kota Malang</x:v>
      </x:c>
      <x:c r="Q2683" s="66" t="str">
        <x:v>https://snpmb.id/snbp/daya-tampung-snbp</x:v>
      </x:c>
      <x:c r="R2683" s="66" t="str">
        <x:v>https://sidatagrun-public-1076756628210.asia-southeast2.run.app/ptn_sn.php?ptn=373</x:v>
      </x:c>
    </x:row>
    <x:row r="2684">
      <x:c r="A2684" s="87" t="n">
        <x:v>978</x:v>
      </x:c>
      <x:c r="B2684" s="66" t="n">
        <x:v>373</x:v>
      </x:c>
      <x:c r="C2684" s="66" t="str">
        <x:v>UNIVERSITAS NEGERI MALANG</x:v>
      </x:c>
      <x:c r="D2684" s="66" t="str">
        <x:v>PTN Akademik</x:v>
      </x:c>
      <x:c r="E2684" s="66" t="str">
        <x:v>13731017</x:v>
      </x:c>
      <x:c r="F2684" s="66" t="str">
        <x:v>KESEHATAN MASYARAKAT</x:v>
      </x:c>
      <x:c r="G2684" s="66" t="str">
        <x:v>Sarjana</x:v>
      </x:c>
      <x:c r="H2684" s="87" t="n">
        <x:v>110</x:v>
      </x:c>
      <x:c r="I2684" s="87" t="n">
        <x:v>1430</x:v>
      </x:c>
      <x:c r="J2684" s="68" t="n">
        <x:f>IFERROR(H2684/I2684,"")</x:f>
        <x:v>0.07692307692307693</x:v>
      </x:c>
      <x:c r="K2684" s="69" t="n">
        <x:f>IFERROR(I2684/H2684,"")</x:f>
        <x:v>13</x:v>
      </x:c>
      <x:c r="L2684" s="66" t="str">
        <x:f>IF(K2684="","","1 : "&amp;TEXT(K2684,"0.0"))</x:f>
        <x:v>1 : 13.0</x:v>
      </x:c>
      <x:c r="M2684" s="66" t="str">
        <x:f>IF(J2684="","Baru/Tanpa Data",IF(J2684&lt;='Catatan &amp; Sumber'!$B$14,"Sangat Ketat",IF(J2684&lt;='Catatan &amp; Sumber'!$B$15,"Ketat",IF(J2684&lt;='Catatan &amp; Sumber'!$B$16,"Sedang","Relatif Longgar"))))</x:f>
        <x:v>Sedang</x:v>
      </x:c>
      <x:c r="N2684" s="66" t="str">
        <x:v>Tidak Ada</x:v>
      </x:c>
      <x:c r="O2684" s="66" t="str">
        <x:v>Jawa Timur</x:v>
      </x:c>
      <x:c r="P2684" s="66" t="str">
        <x:v>Kota Malang</x:v>
      </x:c>
      <x:c r="Q2684" s="66" t="str">
        <x:v>https://snpmb.id/snbp/daya-tampung-snbp</x:v>
      </x:c>
      <x:c r="R2684" s="66" t="str">
        <x:v>https://sidatagrun-public-1076756628210.asia-southeast2.run.app/ptn_sn.php?ptn=373</x:v>
      </x:c>
    </x:row>
    <x:row r="2685">
      <x:c r="A2685" s="87" t="n">
        <x:v>958</x:v>
      </x:c>
      <x:c r="B2685" s="66" t="n">
        <x:v>373</x:v>
      </x:c>
      <x:c r="C2685" s="66" t="str">
        <x:v>UNIVERSITAS NEGERI MALANG</x:v>
      </x:c>
      <x:c r="D2685" s="66" t="str">
        <x:v>PTN Akademik</x:v>
      </x:c>
      <x:c r="E2685" s="66" t="str">
        <x:v>13731018</x:v>
      </x:c>
      <x:c r="F2685" s="66" t="str">
        <x:v>TEKNIK MESIN</x:v>
      </x:c>
      <x:c r="G2685" s="66" t="str">
        <x:v>Sarjana</x:v>
      </x:c>
      <x:c r="H2685" s="87" t="n">
        <x:v>35</x:v>
      </x:c>
      <x:c r="I2685" s="87" t="n">
        <x:v>462</x:v>
      </x:c>
      <x:c r="J2685" s="68" t="n">
        <x:f>IFERROR(H2685/I2685,"")</x:f>
        <x:v>0.07575757575757576</x:v>
      </x:c>
      <x:c r="K2685" s="69" t="n">
        <x:f>IFERROR(I2685/H2685,"")</x:f>
        <x:v>13.2</x:v>
      </x:c>
      <x:c r="L2685" s="66" t="str">
        <x:f>IF(K2685="","","1 : "&amp;TEXT(K2685,"0.0"))</x:f>
        <x:v>1 : 13.2</x:v>
      </x:c>
      <x:c r="M2685" s="66" t="str">
        <x:f>IF(J2685="","Baru/Tanpa Data",IF(J2685&lt;='Catatan &amp; Sumber'!$B$14,"Sangat Ketat",IF(J2685&lt;='Catatan &amp; Sumber'!$B$15,"Ketat",IF(J2685&lt;='Catatan &amp; Sumber'!$B$16,"Sedang","Relatif Longgar"))))</x:f>
        <x:v>Sedang</x:v>
      </x:c>
      <x:c r="N2685" s="66" t="str">
        <x:v>Tidak Ada</x:v>
      </x:c>
      <x:c r="O2685" s="66" t="str">
        <x:v>Jawa Timur</x:v>
      </x:c>
      <x:c r="P2685" s="66" t="str">
        <x:v>Kota Malang</x:v>
      </x:c>
      <x:c r="Q2685" s="66" t="str">
        <x:v>https://snpmb.id/snbp/daya-tampung-snbp</x:v>
      </x:c>
      <x:c r="R2685" s="66" t="str">
        <x:v>https://sidatagrun-public-1076756628210.asia-southeast2.run.app/ptn_sn.php?ptn=373</x:v>
      </x:c>
    </x:row>
    <x:row r="2686">
      <x:c r="A2686" s="87" t="n">
        <x:v>1370</x:v>
      </x:c>
      <x:c r="B2686" s="66" t="n">
        <x:v>373</x:v>
      </x:c>
      <x:c r="C2686" s="66" t="str">
        <x:v>UNIVERSITAS NEGERI MALANG</x:v>
      </x:c>
      <x:c r="D2686" s="66" t="str">
        <x:v>PTN Akademik</x:v>
      </x:c>
      <x:c r="E2686" s="66" t="str">
        <x:v>13731019</x:v>
      </x:c>
      <x:c r="F2686" s="66" t="str">
        <x:v>TEKNIK ELEKTRO</x:v>
      </x:c>
      <x:c r="G2686" s="66" t="str">
        <x:v>Sarjana</x:v>
      </x:c>
      <x:c r="H2686" s="87" t="n">
        <x:v>38</x:v>
      </x:c>
      <x:c r="I2686" s="87" t="n">
        <x:v>381</x:v>
      </x:c>
      <x:c r="J2686" s="68" t="n">
        <x:f>IFERROR(H2686/I2686,"")</x:f>
        <x:v>0.09973753280839895</x:v>
      </x:c>
      <x:c r="K2686" s="69" t="n">
        <x:f>IFERROR(I2686/H2686,"")</x:f>
        <x:v>10.026315789473685</x:v>
      </x:c>
      <x:c r="L2686" s="66" t="str">
        <x:f>IF(K2686="","","1 : "&amp;TEXT(K2686,"0.0"))</x:f>
        <x:v>1 : 10.0</x:v>
      </x:c>
      <x:c r="M2686" s="66" t="str">
        <x:f>IF(J2686="","Baru/Tanpa Data",IF(J2686&lt;='Catatan &amp; Sumber'!$B$14,"Sangat Ketat",IF(J2686&lt;='Catatan &amp; Sumber'!$B$15,"Ketat",IF(J2686&lt;='Catatan &amp; Sumber'!$B$16,"Sedang","Relatif Longgar"))))</x:f>
        <x:v>Sedang</x:v>
      </x:c>
      <x:c r="N2686" s="66" t="str">
        <x:v>Tidak Ada</x:v>
      </x:c>
      <x:c r="O2686" s="66" t="str">
        <x:v>Jawa Timur</x:v>
      </x:c>
      <x:c r="P2686" s="66" t="str">
        <x:v>Kota Malang</x:v>
      </x:c>
      <x:c r="Q2686" s="66" t="str">
        <x:v>https://snpmb.id/snbp/daya-tampung-snbp</x:v>
      </x:c>
      <x:c r="R2686" s="66" t="str">
        <x:v>https://sidatagrun-public-1076756628210.asia-southeast2.run.app/ptn_sn.php?ptn=373</x:v>
      </x:c>
    </x:row>
    <x:row r="2687">
      <x:c r="A2687" s="87" t="n">
        <x:v>143</x:v>
      </x:c>
      <x:c r="B2687" s="66" t="n">
        <x:v>373</x:v>
      </x:c>
      <x:c r="C2687" s="66" t="str">
        <x:v>UNIVERSITAS NEGERI MALANG</x:v>
      </x:c>
      <x:c r="D2687" s="66" t="str">
        <x:v>PTN Akademik</x:v>
      </x:c>
      <x:c r="E2687" s="66" t="str">
        <x:v>13731020</x:v>
      </x:c>
      <x:c r="F2687" s="66" t="str">
        <x:v>TEKNIK INFORMATIKA</x:v>
      </x:c>
      <x:c r="G2687" s="66" t="str">
        <x:v>Sarjana</x:v>
      </x:c>
      <x:c r="H2687" s="87" t="n">
        <x:v>32</x:v>
      </x:c>
      <x:c r="I2687" s="87" t="n">
        <x:v>983</x:v>
      </x:c>
      <x:c r="J2687" s="68" t="n">
        <x:f>IFERROR(H2687/I2687,"")</x:f>
        <x:v>0.03255340793489318</x:v>
      </x:c>
      <x:c r="K2687" s="69" t="n">
        <x:f>IFERROR(I2687/H2687,"")</x:f>
        <x:v>30.71875</x:v>
      </x:c>
      <x:c r="L2687" s="66" t="str">
        <x:f>IF(K2687="","","1 : "&amp;TEXT(K2687,"0.0"))</x:f>
        <x:v>1 : 30.7</x:v>
      </x:c>
      <x:c r="M2687" s="66" t="str">
        <x:f>IF(J2687="","Baru/Tanpa Data",IF(J2687&lt;='Catatan &amp; Sumber'!$B$14,"Sangat Ketat",IF(J2687&lt;='Catatan &amp; Sumber'!$B$15,"Ketat",IF(J2687&lt;='Catatan &amp; Sumber'!$B$16,"Sedang","Relatif Longgar"))))</x:f>
        <x:v>Ketat</x:v>
      </x:c>
      <x:c r="N2687" s="66" t="str">
        <x:v>Tidak Ada</x:v>
      </x:c>
      <x:c r="O2687" s="66" t="str">
        <x:v>Jawa Timur</x:v>
      </x:c>
      <x:c r="P2687" s="66" t="str">
        <x:v>Kota Malang</x:v>
      </x:c>
      <x:c r="Q2687" s="66" t="str">
        <x:v>https://snpmb.id/snbp/daya-tampung-snbp</x:v>
      </x:c>
      <x:c r="R2687" s="66" t="str">
        <x:v>https://sidatagrun-public-1076756628210.asia-southeast2.run.app/ptn_sn.php?ptn=373</x:v>
      </x:c>
    </x:row>
    <x:row r="2688">
      <x:c r="A2688" s="87" t="n">
        <x:v>473</x:v>
      </x:c>
      <x:c r="B2688" s="66" t="n">
        <x:v>373</x:v>
      </x:c>
      <x:c r="C2688" s="66" t="str">
        <x:v>UNIVERSITAS NEGERI MALANG</x:v>
      </x:c>
      <x:c r="D2688" s="66" t="str">
        <x:v>PTN Akademik</x:v>
      </x:c>
      <x:c r="E2688" s="66" t="str">
        <x:v>13731021</x:v>
      </x:c>
      <x:c r="F2688" s="66" t="str">
        <x:v>TEKNIK INDUSTRI</x:v>
      </x:c>
      <x:c r="G2688" s="66" t="str">
        <x:v>Sarjana</x:v>
      </x:c>
      <x:c r="H2688" s="87" t="n">
        <x:v>35</x:v>
      </x:c>
      <x:c r="I2688" s="87" t="n">
        <x:v>700</x:v>
      </x:c>
      <x:c r="J2688" s="68" t="n">
        <x:f>IFERROR(H2688/I2688,"")</x:f>
        <x:v>0.05</x:v>
      </x:c>
      <x:c r="K2688" s="69" t="n">
        <x:f>IFERROR(I2688/H2688,"")</x:f>
        <x:v>20</x:v>
      </x:c>
      <x:c r="L2688" s="66" t="str">
        <x:f>IF(K2688="","","1 : "&amp;TEXT(K2688,"0.0"))</x:f>
        <x:v>1 : 20.0</x:v>
      </x:c>
      <x:c r="M2688" s="66" t="str">
        <x:f>IF(J2688="","Baru/Tanpa Data",IF(J2688&lt;='Catatan &amp; Sumber'!$B$14,"Sangat Ketat",IF(J2688&lt;='Catatan &amp; Sumber'!$B$15,"Ketat",IF(J2688&lt;='Catatan &amp; Sumber'!$B$16,"Sedang","Relatif Longgar"))))</x:f>
        <x:v>Ketat</x:v>
      </x:c>
      <x:c r="N2688" s="66" t="str">
        <x:v>Tidak Ada</x:v>
      </x:c>
      <x:c r="O2688" s="66" t="str">
        <x:v>Jawa Timur</x:v>
      </x:c>
      <x:c r="P2688" s="66" t="str">
        <x:v>Kota Malang</x:v>
      </x:c>
      <x:c r="Q2688" s="66" t="str">
        <x:v>https://snpmb.id/snbp/daya-tampung-snbp</x:v>
      </x:c>
      <x:c r="R2688" s="66" t="str">
        <x:v>https://sidatagrun-public-1076756628210.asia-southeast2.run.app/ptn_sn.php?ptn=373</x:v>
      </x:c>
    </x:row>
    <x:row r="2689">
      <x:c r="A2689" s="87" t="n">
        <x:v>895</x:v>
      </x:c>
      <x:c r="B2689" s="66" t="n">
        <x:v>373</x:v>
      </x:c>
      <x:c r="C2689" s="66" t="str">
        <x:v>UNIVERSITAS NEGERI MALANG</x:v>
      </x:c>
      <x:c r="D2689" s="66" t="str">
        <x:v>PTN Akademik</x:v>
      </x:c>
      <x:c r="E2689" s="66" t="str">
        <x:v>13731022</x:v>
      </x:c>
      <x:c r="F2689" s="66" t="str">
        <x:v>BIOTEKNOLOGI</x:v>
      </x:c>
      <x:c r="G2689" s="66" t="str">
        <x:v>Sarjana</x:v>
      </x:c>
      <x:c r="H2689" s="87" t="n">
        <x:v>24</x:v>
      </x:c>
      <x:c r="I2689" s="87" t="n">
        <x:v>334</x:v>
      </x:c>
      <x:c r="J2689" s="68" t="n">
        <x:f>IFERROR(H2689/I2689,"")</x:f>
        <x:v>0.0718562874251497</x:v>
      </x:c>
      <x:c r="K2689" s="69" t="n">
        <x:f>IFERROR(I2689/H2689,"")</x:f>
        <x:v>13.916666666666666</x:v>
      </x:c>
      <x:c r="L2689" s="66" t="str">
        <x:f>IF(K2689="","","1 : "&amp;TEXT(K2689,"0.0"))</x:f>
        <x:v>1 : 13.9</x:v>
      </x:c>
      <x:c r="M2689" s="66" t="str">
        <x:f>IF(J2689="","Baru/Tanpa Data",IF(J2689&lt;='Catatan &amp; Sumber'!$B$14,"Sangat Ketat",IF(J2689&lt;='Catatan &amp; Sumber'!$B$15,"Ketat",IF(J2689&lt;='Catatan &amp; Sumber'!$B$16,"Sedang","Relatif Longgar"))))</x:f>
        <x:v>Sedang</x:v>
      </x:c>
      <x:c r="N2689" s="66" t="str">
        <x:v>Tidak Ada</x:v>
      </x:c>
      <x:c r="O2689" s="66" t="str">
        <x:v>Jawa Timur</x:v>
      </x:c>
      <x:c r="P2689" s="66" t="str">
        <x:v>Kota Malang</x:v>
      </x:c>
      <x:c r="Q2689" s="66" t="str">
        <x:v>https://snpmb.id/snbp/daya-tampung-snbp</x:v>
      </x:c>
      <x:c r="R2689" s="66" t="str">
        <x:v>https://sidatagrun-public-1076756628210.asia-southeast2.run.app/ptn_sn.php?ptn=373</x:v>
      </x:c>
    </x:row>
    <x:row r="2690">
      <x:c r="A2690" s="87" t="n">
        <x:v>1213</x:v>
      </x:c>
      <x:c r="B2690" s="66" t="n">
        <x:v>373</x:v>
      </x:c>
      <x:c r="C2690" s="66" t="str">
        <x:v>UNIVERSITAS NEGERI MALANG</x:v>
      </x:c>
      <x:c r="D2690" s="66" t="str">
        <x:v>PTN Akademik</x:v>
      </x:c>
      <x:c r="E2690" s="66" t="str">
        <x:v>13731028</x:v>
      </x:c>
      <x:c r="F2690" s="66" t="str">
        <x:v>BIMBINGAN DAN KONSELING</x:v>
      </x:c>
      <x:c r="G2690" s="66" t="str">
        <x:v>Sarjana</x:v>
      </x:c>
      <x:c r="H2690" s="87" t="n">
        <x:v>60</x:v>
      </x:c>
      <x:c r="I2690" s="87" t="n">
        <x:v>662</x:v>
      </x:c>
      <x:c r="J2690" s="68" t="n">
        <x:f>IFERROR(H2690/I2690,"")</x:f>
        <x:v>0.09063444108761329</x:v>
      </x:c>
      <x:c r="K2690" s="69" t="n">
        <x:f>IFERROR(I2690/H2690,"")</x:f>
        <x:v>11.033333333333333</x:v>
      </x:c>
      <x:c r="L2690" s="66" t="str">
        <x:f>IF(K2690="","","1 : "&amp;TEXT(K2690,"0.0"))</x:f>
        <x:v>1 : 11.0</x:v>
      </x:c>
      <x:c r="M2690" s="66" t="str">
        <x:f>IF(J2690="","Baru/Tanpa Data",IF(J2690&lt;='Catatan &amp; Sumber'!$B$14,"Sangat Ketat",IF(J2690&lt;='Catatan &amp; Sumber'!$B$15,"Ketat",IF(J2690&lt;='Catatan &amp; Sumber'!$B$16,"Sedang","Relatif Longgar"))))</x:f>
        <x:v>Sedang</x:v>
      </x:c>
      <x:c r="N2690" s="66" t="str">
        <x:v>Tidak Ada</x:v>
      </x:c>
      <x:c r="O2690" s="66" t="str">
        <x:v>Jawa Timur</x:v>
      </x:c>
      <x:c r="P2690" s="66" t="str">
        <x:v>Kota Malang</x:v>
      </x:c>
      <x:c r="Q2690" s="66" t="str">
        <x:v>https://snpmb.id/snbp/daya-tampung-snbp</x:v>
      </x:c>
      <x:c r="R2690" s="66" t="str">
        <x:v>https://sidatagrun-public-1076756628210.asia-southeast2.run.app/ptn_sn.php?ptn=373</x:v>
      </x:c>
    </x:row>
    <x:row r="2691">
      <x:c r="A2691" s="87" t="n">
        <x:v>2049</x:v>
      </x:c>
      <x:c r="B2691" s="66" t="n">
        <x:v>373</x:v>
      </x:c>
      <x:c r="C2691" s="66" t="str">
        <x:v>UNIVERSITAS NEGERI MALANG</x:v>
      </x:c>
      <x:c r="D2691" s="66" t="str">
        <x:v>PTN Akademik</x:v>
      </x:c>
      <x:c r="E2691" s="66" t="str">
        <x:v>13731029</x:v>
      </x:c>
      <x:c r="F2691" s="66" t="str">
        <x:v>PENDIDIKAN JASMANI, KESEHATAN, DAN REKREASI</x:v>
      </x:c>
      <x:c r="G2691" s="66" t="str">
        <x:v>Sarjana</x:v>
      </x:c>
      <x:c r="H2691" s="87" t="n">
        <x:v>79</x:v>
      </x:c>
      <x:c r="I2691" s="87" t="n">
        <x:v>505</x:v>
      </x:c>
      <x:c r="J2691" s="68" t="n">
        <x:f>IFERROR(H2691/I2691,"")</x:f>
        <x:v>0.15643564356435644</x:v>
      </x:c>
      <x:c r="K2691" s="69" t="n">
        <x:f>IFERROR(I2691/H2691,"")</x:f>
        <x:v>6.3924050632911396</x:v>
      </x:c>
      <x:c r="L2691" s="66" t="str">
        <x:f>IF(K2691="","","1 : "&amp;TEXT(K2691,"0.0"))</x:f>
        <x:v>1 : 6.4</x:v>
      </x:c>
      <x:c r="M2691" s="66" t="str">
        <x:f>IF(J2691="","Baru/Tanpa Data",IF(J2691&lt;='Catatan &amp; Sumber'!$B$14,"Sangat Ketat",IF(J2691&lt;='Catatan &amp; Sumber'!$B$15,"Ketat",IF(J2691&lt;='Catatan &amp; Sumber'!$B$16,"Sedang","Relatif Longgar"))))</x:f>
        <x:v>Relatif Longgar</x:v>
      </x:c>
      <x:c r="N2691" s="66" t="str">
        <x:v>Olahraga</x:v>
      </x:c>
      <x:c r="O2691" s="66" t="str">
        <x:v>Jawa Timur</x:v>
      </x:c>
      <x:c r="P2691" s="66" t="str">
        <x:v>Kota Malang</x:v>
      </x:c>
      <x:c r="Q2691" s="66" t="str">
        <x:v>https://snpmb.id/snbp/daya-tampung-snbp</x:v>
      </x:c>
      <x:c r="R2691" s="66" t="str">
        <x:v>https://sidatagrun-public-1076756628210.asia-southeast2.run.app/ptn_sn.php?ptn=373</x:v>
      </x:c>
    </x:row>
    <x:row r="2692">
      <x:c r="A2692" s="87" t="n">
        <x:v>2529</x:v>
      </x:c>
      <x:c r="B2692" s="66" t="n">
        <x:v>373</x:v>
      </x:c>
      <x:c r="C2692" s="66" t="str">
        <x:v>UNIVERSITAS NEGERI MALANG</x:v>
      </x:c>
      <x:c r="D2692" s="66" t="str">
        <x:v>PTN Akademik</x:v>
      </x:c>
      <x:c r="E2692" s="66" t="str">
        <x:v>13731030</x:v>
      </x:c>
      <x:c r="F2692" s="66" t="str">
        <x:v>TEKNOLOGI PENDIDIKAN</x:v>
      </x:c>
      <x:c r="G2692" s="66" t="str">
        <x:v>Sarjana</x:v>
      </x:c>
      <x:c r="H2692" s="87" t="n">
        <x:v>62</x:v>
      </x:c>
      <x:c r="I2692" s="87" t="n">
        <x:v>287</x:v>
      </x:c>
      <x:c r="J2692" s="68" t="n">
        <x:f>IFERROR(H2692/I2692,"")</x:f>
        <x:v>0.21602787456445993</x:v>
      </x:c>
      <x:c r="K2692" s="69" t="n">
        <x:f>IFERROR(I2692/H2692,"")</x:f>
        <x:v>4.629032258064516</x:v>
      </x:c>
      <x:c r="L2692" s="66" t="str">
        <x:f>IF(K2692="","","1 : "&amp;TEXT(K2692,"0.0"))</x:f>
        <x:v>1 : 4.6</x:v>
      </x:c>
      <x:c r="M2692" s="66" t="str">
        <x:f>IF(J2692="","Baru/Tanpa Data",IF(J2692&lt;='Catatan &amp; Sumber'!$B$14,"Sangat Ketat",IF(J2692&lt;='Catatan &amp; Sumber'!$B$15,"Ketat",IF(J2692&lt;='Catatan &amp; Sumber'!$B$16,"Sedang","Relatif Longgar"))))</x:f>
        <x:v>Relatif Longgar</x:v>
      </x:c>
      <x:c r="N2692" s="66" t="str">
        <x:v>Tidak Ada</x:v>
      </x:c>
      <x:c r="O2692" s="66" t="str">
        <x:v>Jawa Timur</x:v>
      </x:c>
      <x:c r="P2692" s="66" t="str">
        <x:v>Kota Malang</x:v>
      </x:c>
      <x:c r="Q2692" s="66" t="str">
        <x:v>https://snpmb.id/snbp/daya-tampung-snbp</x:v>
      </x:c>
      <x:c r="R2692" s="66" t="str">
        <x:v>https://sidatagrun-public-1076756628210.asia-southeast2.run.app/ptn_sn.php?ptn=373</x:v>
      </x:c>
    </x:row>
    <x:row r="2693">
      <x:c r="A2693" s="87" t="n">
        <x:v>3834</x:v>
      </x:c>
      <x:c r="B2693" s="66" t="n">
        <x:v>373</x:v>
      </x:c>
      <x:c r="C2693" s="66" t="str">
        <x:v>UNIVERSITAS NEGERI MALANG</x:v>
      </x:c>
      <x:c r="D2693" s="66" t="str">
        <x:v>PTN Akademik</x:v>
      </x:c>
      <x:c r="E2693" s="66" t="str">
        <x:v>13731031</x:v>
      </x:c>
      <x:c r="F2693" s="66" t="str">
        <x:v>PENDIDIKAN NONFORMAL</x:v>
      </x:c>
      <x:c r="G2693" s="66" t="str">
        <x:v>Sarjana</x:v>
      </x:c>
      <x:c r="H2693" s="87" t="n">
        <x:v>76</x:v>
      </x:c>
      <x:c r="I2693" s="87" t="n">
        <x:v>129</x:v>
      </x:c>
      <x:c r="J2693" s="68" t="n">
        <x:f>IFERROR(H2693/I2693,"")</x:f>
        <x:v>0.5891472868217055</x:v>
      </x:c>
      <x:c r="K2693" s="69" t="n">
        <x:f>IFERROR(I2693/H2693,"")</x:f>
        <x:v>1.6973684210526316</x:v>
      </x:c>
      <x:c r="L2693" s="66" t="str">
        <x:f>IF(K2693="","","1 : "&amp;TEXT(K2693,"0.0"))</x:f>
        <x:v>1 : 1.7</x:v>
      </x:c>
      <x:c r="M2693" s="66" t="str">
        <x:f>IF(J2693="","Baru/Tanpa Data",IF(J2693&lt;='Catatan &amp; Sumber'!$B$14,"Sangat Ketat",IF(J2693&lt;='Catatan &amp; Sumber'!$B$15,"Ketat",IF(J2693&lt;='Catatan &amp; Sumber'!$B$16,"Sedang","Relatif Longgar"))))</x:f>
        <x:v>Relatif Longgar</x:v>
      </x:c>
      <x:c r="N2693" s="66" t="str">
        <x:v>Tidak Ada</x:v>
      </x:c>
      <x:c r="O2693" s="66" t="str">
        <x:v>Jawa Timur</x:v>
      </x:c>
      <x:c r="P2693" s="66" t="str">
        <x:v>Kota Malang</x:v>
      </x:c>
      <x:c r="Q2693" s="66" t="str">
        <x:v>https://snpmb.id/snbp/daya-tampung-snbp</x:v>
      </x:c>
      <x:c r="R2693" s="66" t="str">
        <x:v>https://sidatagrun-public-1076756628210.asia-southeast2.run.app/ptn_sn.php?ptn=373</x:v>
      </x:c>
    </x:row>
    <x:row r="2694">
      <x:c r="A2694" s="87" t="n">
        <x:v>2180</x:v>
      </x:c>
      <x:c r="B2694" s="66" t="n">
        <x:v>373</x:v>
      </x:c>
      <x:c r="C2694" s="66" t="str">
        <x:v>UNIVERSITAS NEGERI MALANG</x:v>
      </x:c>
      <x:c r="D2694" s="66" t="str">
        <x:v>PTN Akademik</x:v>
      </x:c>
      <x:c r="E2694" s="66" t="str">
        <x:v>13731032</x:v>
      </x:c>
      <x:c r="F2694" s="66" t="str">
        <x:v>MANAJEMEN PENDIDIKAN</x:v>
      </x:c>
      <x:c r="G2694" s="66" t="str">
        <x:v>Sarjana</x:v>
      </x:c>
      <x:c r="H2694" s="87" t="n">
        <x:v>59</x:v>
      </x:c>
      <x:c r="I2694" s="87" t="n">
        <x:v>348</x:v>
      </x:c>
      <x:c r="J2694" s="68" t="n">
        <x:f>IFERROR(H2694/I2694,"")</x:f>
        <x:v>0.16954022988505746</x:v>
      </x:c>
      <x:c r="K2694" s="69" t="n">
        <x:f>IFERROR(I2694/H2694,"")</x:f>
        <x:v>5.898305084745763</x:v>
      </x:c>
      <x:c r="L2694" s="66" t="str">
        <x:f>IF(K2694="","","1 : "&amp;TEXT(K2694,"0.0"))</x:f>
        <x:v>1 : 5.9</x:v>
      </x:c>
      <x:c r="M2694" s="66" t="str">
        <x:f>IF(J2694="","Baru/Tanpa Data",IF(J2694&lt;='Catatan &amp; Sumber'!$B$14,"Sangat Ketat",IF(J2694&lt;='Catatan &amp; Sumber'!$B$15,"Ketat",IF(J2694&lt;='Catatan &amp; Sumber'!$B$16,"Sedang","Relatif Longgar"))))</x:f>
        <x:v>Relatif Longgar</x:v>
      </x:c>
      <x:c r="N2694" s="66" t="str">
        <x:v>Tidak Ada</x:v>
      </x:c>
      <x:c r="O2694" s="66" t="str">
        <x:v>Jawa Timur</x:v>
      </x:c>
      <x:c r="P2694" s="66" t="str">
        <x:v>Kota Malang</x:v>
      </x:c>
      <x:c r="Q2694" s="66" t="str">
        <x:v>https://snpmb.id/snbp/daya-tampung-snbp</x:v>
      </x:c>
      <x:c r="R2694" s="66" t="str">
        <x:v>https://sidatagrun-public-1076756628210.asia-southeast2.run.app/ptn_sn.php?ptn=373</x:v>
      </x:c>
    </x:row>
    <x:row r="2695">
      <x:c r="A2695" s="87" t="n">
        <x:v>1019</x:v>
      </x:c>
      <x:c r="B2695" s="66" t="n">
        <x:v>373</x:v>
      </x:c>
      <x:c r="C2695" s="66" t="str">
        <x:v>UNIVERSITAS NEGERI MALANG</x:v>
      </x:c>
      <x:c r="D2695" s="66" t="str">
        <x:v>PTN Akademik</x:v>
      </x:c>
      <x:c r="E2695" s="66" t="str">
        <x:v>13731033</x:v>
      </x:c>
      <x:c r="F2695" s="66" t="str">
        <x:v>PENDIDIKAN GURU SEKOLAH DASAR</x:v>
      </x:c>
      <x:c r="G2695" s="66" t="str">
        <x:v>Sarjana</x:v>
      </x:c>
      <x:c r="H2695" s="87" t="n">
        <x:v>118</x:v>
      </x:c>
      <x:c r="I2695" s="87" t="n">
        <x:v>1490</x:v>
      </x:c>
      <x:c r="J2695" s="68" t="n">
        <x:f>IFERROR(H2695/I2695,"")</x:f>
        <x:v>0.07919463087248323</x:v>
      </x:c>
      <x:c r="K2695" s="69" t="n">
        <x:f>IFERROR(I2695/H2695,"")</x:f>
        <x:v>12.627118644067796</x:v>
      </x:c>
      <x:c r="L2695" s="66" t="str">
        <x:f>IF(K2695="","","1 : "&amp;TEXT(K2695,"0.0"))</x:f>
        <x:v>1 : 12.6</x:v>
      </x:c>
      <x:c r="M2695" s="66" t="str">
        <x:f>IF(J2695="","Baru/Tanpa Data",IF(J2695&lt;='Catatan &amp; Sumber'!$B$14,"Sangat Ketat",IF(J2695&lt;='Catatan &amp; Sumber'!$B$15,"Ketat",IF(J2695&lt;='Catatan &amp; Sumber'!$B$16,"Sedang","Relatif Longgar"))))</x:f>
        <x:v>Sedang</x:v>
      </x:c>
      <x:c r="N2695" s="66" t="str">
        <x:v>Tidak Ada</x:v>
      </x:c>
      <x:c r="O2695" s="66" t="str">
        <x:v>Jawa Timur</x:v>
      </x:c>
      <x:c r="P2695" s="66" t="str">
        <x:v>Kota Malang</x:v>
      </x:c>
      <x:c r="Q2695" s="66" t="str">
        <x:v>https://snpmb.id/snbp/daya-tampung-snbp</x:v>
      </x:c>
      <x:c r="R2695" s="66" t="str">
        <x:v>https://sidatagrun-public-1076756628210.asia-southeast2.run.app/ptn_sn.php?ptn=373</x:v>
      </x:c>
    </x:row>
    <x:row r="2696">
      <x:c r="A2696" s="87" t="n">
        <x:v>2986</x:v>
      </x:c>
      <x:c r="B2696" s="66" t="n">
        <x:v>373</x:v>
      </x:c>
      <x:c r="C2696" s="66" t="str">
        <x:v>UNIVERSITAS NEGERI MALANG</x:v>
      </x:c>
      <x:c r="D2696" s="66" t="str">
        <x:v>PTN Akademik</x:v>
      </x:c>
      <x:c r="E2696" s="66" t="str">
        <x:v>13731034</x:v>
      </x:c>
      <x:c r="F2696" s="66" t="str">
        <x:v>PENDIDIKAN GURU PEND. ANAK USIA DINI</x:v>
      </x:c>
      <x:c r="G2696" s="66" t="str">
        <x:v>Sarjana</x:v>
      </x:c>
      <x:c r="H2696" s="87" t="n">
        <x:v>65</x:v>
      </x:c>
      <x:c r="I2696" s="87" t="n">
        <x:v>224</x:v>
      </x:c>
      <x:c r="J2696" s="68" t="n">
        <x:f>IFERROR(H2696/I2696,"")</x:f>
        <x:v>0.29017857142857145</x:v>
      </x:c>
      <x:c r="K2696" s="69" t="n">
        <x:f>IFERROR(I2696/H2696,"")</x:f>
        <x:v>3.4461538461538463</x:v>
      </x:c>
      <x:c r="L2696" s="66" t="str">
        <x:f>IF(K2696="","","1 : "&amp;TEXT(K2696,"0.0"))</x:f>
        <x:v>1 : 3.4</x:v>
      </x:c>
      <x:c r="M2696" s="66" t="str">
        <x:f>IF(J2696="","Baru/Tanpa Data",IF(J2696&lt;='Catatan &amp; Sumber'!$B$14,"Sangat Ketat",IF(J2696&lt;='Catatan &amp; Sumber'!$B$15,"Ketat",IF(J2696&lt;='Catatan &amp; Sumber'!$B$16,"Sedang","Relatif Longgar"))))</x:f>
        <x:v>Relatif Longgar</x:v>
      </x:c>
      <x:c r="N2696" s="66" t="str">
        <x:v>Tidak Ada</x:v>
      </x:c>
      <x:c r="O2696" s="66" t="str">
        <x:v>Jawa Timur</x:v>
      </x:c>
      <x:c r="P2696" s="66" t="str">
        <x:v>Kota Malang</x:v>
      </x:c>
      <x:c r="Q2696" s="66" t="str">
        <x:v>https://snpmb.id/snbp/daya-tampung-snbp</x:v>
      </x:c>
      <x:c r="R2696" s="66" t="str">
        <x:v>https://sidatagrun-public-1076756628210.asia-southeast2.run.app/ptn_sn.php?ptn=373</x:v>
      </x:c>
    </x:row>
    <x:row r="2697">
      <x:c r="A2697" s="87" t="n">
        <x:v>2025</x:v>
      </x:c>
      <x:c r="B2697" s="66" t="n">
        <x:v>373</x:v>
      </x:c>
      <x:c r="C2697" s="66" t="str">
        <x:v>UNIVERSITAS NEGERI MALANG</x:v>
      </x:c>
      <x:c r="D2697" s="66" t="str">
        <x:v>PTN Akademik</x:v>
      </x:c>
      <x:c r="E2697" s="66" t="str">
        <x:v>13731035</x:v>
      </x:c>
      <x:c r="F2697" s="66" t="str">
        <x:v>PENDIDIKAN PANCASILA DAN KEWARGANEGARAAN</x:v>
      </x:c>
      <x:c r="G2697" s="66" t="str">
        <x:v>Sarjana</x:v>
      </x:c>
      <x:c r="H2697" s="87" t="n">
        <x:v>66</x:v>
      </x:c>
      <x:c r="I2697" s="87" t="n">
        <x:v>428</x:v>
      </x:c>
      <x:c r="J2697" s="68" t="n">
        <x:f>IFERROR(H2697/I2697,"")</x:f>
        <x:v>0.1542056074766355</x:v>
      </x:c>
      <x:c r="K2697" s="69" t="n">
        <x:f>IFERROR(I2697/H2697,"")</x:f>
        <x:v>6.484848484848484</x:v>
      </x:c>
      <x:c r="L2697" s="66" t="str">
        <x:f>IF(K2697="","","1 : "&amp;TEXT(K2697,"0.0"))</x:f>
        <x:v>1 : 6.5</x:v>
      </x:c>
      <x:c r="M2697" s="66" t="str">
        <x:f>IF(J2697="","Baru/Tanpa Data",IF(J2697&lt;='Catatan &amp; Sumber'!$B$14,"Sangat Ketat",IF(J2697&lt;='Catatan &amp; Sumber'!$B$15,"Ketat",IF(J2697&lt;='Catatan &amp; Sumber'!$B$16,"Sedang","Relatif Longgar"))))</x:f>
        <x:v>Relatif Longgar</x:v>
      </x:c>
      <x:c r="N2697" s="66" t="str">
        <x:v>Tidak Ada</x:v>
      </x:c>
      <x:c r="O2697" s="66" t="str">
        <x:v>Jawa Timur</x:v>
      </x:c>
      <x:c r="P2697" s="66" t="str">
        <x:v>Kota Malang</x:v>
      </x:c>
      <x:c r="Q2697" s="66" t="str">
        <x:v>https://snpmb.id/snbp/daya-tampung-snbp</x:v>
      </x:c>
      <x:c r="R2697" s="66" t="str">
        <x:v>https://sidatagrun-public-1076756628210.asia-southeast2.run.app/ptn_sn.php?ptn=373</x:v>
      </x:c>
    </x:row>
    <x:row r="2698">
      <x:c r="A2698" s="87" t="n">
        <x:v>1322</x:v>
      </x:c>
      <x:c r="B2698" s="66" t="n">
        <x:v>373</x:v>
      </x:c>
      <x:c r="C2698" s="66" t="str">
        <x:v>UNIVERSITAS NEGERI MALANG</x:v>
      </x:c>
      <x:c r="D2698" s="66" t="str">
        <x:v>PTN Akademik</x:v>
      </x:c>
      <x:c r="E2698" s="66" t="str">
        <x:v>13731036</x:v>
      </x:c>
      <x:c r="F2698" s="66" t="str">
        <x:v>PEND. BAHASA, SASTRA INDONESIA &amp; DAERAH</x:v>
      </x:c>
      <x:c r="G2698" s="66" t="str">
        <x:v>Sarjana</x:v>
      </x:c>
      <x:c r="H2698" s="87" t="n">
        <x:v>55</x:v>
      </x:c>
      <x:c r="I2698" s="87" t="n">
        <x:v>569</x:v>
      </x:c>
      <x:c r="J2698" s="68" t="n">
        <x:f>IFERROR(H2698/I2698,"")</x:f>
        <x:v>0.09666080843585237</x:v>
      </x:c>
      <x:c r="K2698" s="69" t="n">
        <x:f>IFERROR(I2698/H2698,"")</x:f>
        <x:v>10.345454545454546</x:v>
      </x:c>
      <x:c r="L2698" s="66" t="str">
        <x:f>IF(K2698="","","1 : "&amp;TEXT(K2698,"0.0"))</x:f>
        <x:v>1 : 10.3</x:v>
      </x:c>
      <x:c r="M2698" s="66" t="str">
        <x:f>IF(J2698="","Baru/Tanpa Data",IF(J2698&lt;='Catatan &amp; Sumber'!$B$14,"Sangat Ketat",IF(J2698&lt;='Catatan &amp; Sumber'!$B$15,"Ketat",IF(J2698&lt;='Catatan &amp; Sumber'!$B$16,"Sedang","Relatif Longgar"))))</x:f>
        <x:v>Sedang</x:v>
      </x:c>
      <x:c r="N2698" s="66" t="str">
        <x:v>Tidak Ada</x:v>
      </x:c>
      <x:c r="O2698" s="66" t="str">
        <x:v>Jawa Timur</x:v>
      </x:c>
      <x:c r="P2698" s="66" t="str">
        <x:v>Kota Malang</x:v>
      </x:c>
      <x:c r="Q2698" s="66" t="str">
        <x:v>https://snpmb.id/snbp/daya-tampung-snbp</x:v>
      </x:c>
      <x:c r="R2698" s="66" t="str">
        <x:v>https://sidatagrun-public-1076756628210.asia-southeast2.run.app/ptn_sn.php?ptn=373</x:v>
      </x:c>
    </x:row>
    <x:row r="2699">
      <x:c r="A2699" s="87" t="n">
        <x:v>1111</x:v>
      </x:c>
      <x:c r="B2699" s="66" t="n">
        <x:v>373</x:v>
      </x:c>
      <x:c r="C2699" s="66" t="str">
        <x:v>UNIVERSITAS NEGERI MALANG</x:v>
      </x:c>
      <x:c r="D2699" s="66" t="str">
        <x:v>PTN Akademik</x:v>
      </x:c>
      <x:c r="E2699" s="66" t="str">
        <x:v>13731037</x:v>
      </x:c>
      <x:c r="F2699" s="66" t="str">
        <x:v>PENDIDIKAN BAHASA INGGRIS</x:v>
      </x:c>
      <x:c r="G2699" s="66" t="str">
        <x:v>Sarjana</x:v>
      </x:c>
      <x:c r="H2699" s="87" t="n">
        <x:v>46</x:v>
      </x:c>
      <x:c r="I2699" s="87" t="n">
        <x:v>545</x:v>
      </x:c>
      <x:c r="J2699" s="68" t="n">
        <x:f>IFERROR(H2699/I2699,"")</x:f>
        <x:v>0.08440366972477065</x:v>
      </x:c>
      <x:c r="K2699" s="69" t="n">
        <x:f>IFERROR(I2699/H2699,"")</x:f>
        <x:v>11.847826086956522</x:v>
      </x:c>
      <x:c r="L2699" s="66" t="str">
        <x:f>IF(K2699="","","1 : "&amp;TEXT(K2699,"0.0"))</x:f>
        <x:v>1 : 11.8</x:v>
      </x:c>
      <x:c r="M2699" s="66" t="str">
        <x:f>IF(J2699="","Baru/Tanpa Data",IF(J2699&lt;='Catatan &amp; Sumber'!$B$14,"Sangat Ketat",IF(J2699&lt;='Catatan &amp; Sumber'!$B$15,"Ketat",IF(J2699&lt;='Catatan &amp; Sumber'!$B$16,"Sedang","Relatif Longgar"))))</x:f>
        <x:v>Sedang</x:v>
      </x:c>
      <x:c r="N2699" s="66" t="str">
        <x:v>Tidak Ada</x:v>
      </x:c>
      <x:c r="O2699" s="66" t="str">
        <x:v>Jawa Timur</x:v>
      </x:c>
      <x:c r="P2699" s="66" t="str">
        <x:v>Kota Malang</x:v>
      </x:c>
      <x:c r="Q2699" s="66" t="str">
        <x:v>https://snpmb.id/snbp/daya-tampung-snbp</x:v>
      </x:c>
      <x:c r="R2699" s="66" t="str">
        <x:v>https://sidatagrun-public-1076756628210.asia-southeast2.run.app/ptn_sn.php?ptn=373</x:v>
      </x:c>
    </x:row>
    <x:row r="2700">
      <x:c r="A2700" s="87" t="n">
        <x:v>2537</x:v>
      </x:c>
      <x:c r="B2700" s="66" t="n">
        <x:v>373</x:v>
      </x:c>
      <x:c r="C2700" s="66" t="str">
        <x:v>UNIVERSITAS NEGERI MALANG</x:v>
      </x:c>
      <x:c r="D2700" s="66" t="str">
        <x:v>PTN Akademik</x:v>
      </x:c>
      <x:c r="E2700" s="66" t="str">
        <x:v>13731038</x:v>
      </x:c>
      <x:c r="F2700" s="66" t="str">
        <x:v>PENDIDIKAN BAHASA ARAB</x:v>
      </x:c>
      <x:c r="G2700" s="66" t="str">
        <x:v>Sarjana</x:v>
      </x:c>
      <x:c r="H2700" s="87" t="n">
        <x:v>72</x:v>
      </x:c>
      <x:c r="I2700" s="87" t="n">
        <x:v>331</x:v>
      </x:c>
      <x:c r="J2700" s="68" t="n">
        <x:f>IFERROR(H2700/I2700,"")</x:f>
        <x:v>0.2175226586102719</x:v>
      </x:c>
      <x:c r="K2700" s="69" t="n">
        <x:f>IFERROR(I2700/H2700,"")</x:f>
        <x:v>4.597222222222222</x:v>
      </x:c>
      <x:c r="L2700" s="66" t="str">
        <x:f>IF(K2700="","","1 : "&amp;TEXT(K2700,"0.0"))</x:f>
        <x:v>1 : 4.6</x:v>
      </x:c>
      <x:c r="M2700" s="66" t="str">
        <x:f>IF(J2700="","Baru/Tanpa Data",IF(J2700&lt;='Catatan &amp; Sumber'!$B$14,"Sangat Ketat",IF(J2700&lt;='Catatan &amp; Sumber'!$B$15,"Ketat",IF(J2700&lt;='Catatan &amp; Sumber'!$B$16,"Sedang","Relatif Longgar"))))</x:f>
        <x:v>Relatif Longgar</x:v>
      </x:c>
      <x:c r="N2700" s="66" t="str">
        <x:v>Tidak Ada</x:v>
      </x:c>
      <x:c r="O2700" s="66" t="str">
        <x:v>Jawa Timur</x:v>
      </x:c>
      <x:c r="P2700" s="66" t="str">
        <x:v>Kota Malang</x:v>
      </x:c>
      <x:c r="Q2700" s="66" t="str">
        <x:v>https://snpmb.id/snbp/daya-tampung-snbp</x:v>
      </x:c>
      <x:c r="R2700" s="66" t="str">
        <x:v>https://sidatagrun-public-1076756628210.asia-southeast2.run.app/ptn_sn.php?ptn=373</x:v>
      </x:c>
    </x:row>
    <x:row r="2701">
      <x:c r="A2701" s="87" t="n">
        <x:v>2724</x:v>
      </x:c>
      <x:c r="B2701" s="66" t="n">
        <x:v>373</x:v>
      </x:c>
      <x:c r="C2701" s="66" t="str">
        <x:v>UNIVERSITAS NEGERI MALANG</x:v>
      </x:c>
      <x:c r="D2701" s="66" t="str">
        <x:v>PTN Akademik</x:v>
      </x:c>
      <x:c r="E2701" s="66" t="str">
        <x:v>13731039</x:v>
      </x:c>
      <x:c r="F2701" s="66" t="str">
        <x:v>PENDIDIKAN SENI RUPA</x:v>
      </x:c>
      <x:c r="G2701" s="66" t="str">
        <x:v>Sarjana</x:v>
      </x:c>
      <x:c r="H2701" s="87" t="n">
        <x:v>55</x:v>
      </x:c>
      <x:c r="I2701" s="87" t="n">
        <x:v>222</x:v>
      </x:c>
      <x:c r="J2701" s="68" t="n">
        <x:f>IFERROR(H2701/I2701,"")</x:f>
        <x:v>0.24774774774774774</x:v>
      </x:c>
      <x:c r="K2701" s="69" t="n">
        <x:f>IFERROR(I2701/H2701,"")</x:f>
        <x:v>4.036363636363636</x:v>
      </x:c>
      <x:c r="L2701" s="66" t="str">
        <x:f>IF(K2701="","","1 : "&amp;TEXT(K2701,"0.0"))</x:f>
        <x:v>1 : 4.0</x:v>
      </x:c>
      <x:c r="M2701" s="66" t="str">
        <x:f>IF(J2701="","Baru/Tanpa Data",IF(J2701&lt;='Catatan &amp; Sumber'!$B$14,"Sangat Ketat",IF(J2701&lt;='Catatan &amp; Sumber'!$B$15,"Ketat",IF(J2701&lt;='Catatan &amp; Sumber'!$B$16,"Sedang","Relatif Longgar"))))</x:f>
        <x:v>Relatif Longgar</x:v>
      </x:c>
      <x:c r="N2701" s="66" t="str">
        <x:v>Seni Rupa, Desain, dan Kriya</x:v>
      </x:c>
      <x:c r="O2701" s="66" t="str">
        <x:v>Jawa Timur</x:v>
      </x:c>
      <x:c r="P2701" s="66" t="str">
        <x:v>Kota Malang</x:v>
      </x:c>
      <x:c r="Q2701" s="66" t="str">
        <x:v>https://snpmb.id/snbp/daya-tampung-snbp</x:v>
      </x:c>
      <x:c r="R2701" s="66" t="str">
        <x:v>https://sidatagrun-public-1076756628210.asia-southeast2.run.app/ptn_sn.php?ptn=373</x:v>
      </x:c>
    </x:row>
    <x:row r="2702">
      <x:c r="A2702" s="87" t="n">
        <x:v>3185</x:v>
      </x:c>
      <x:c r="B2702" s="66" t="n">
        <x:v>373</x:v>
      </x:c>
      <x:c r="C2702" s="66" t="str">
        <x:v>UNIVERSITAS NEGERI MALANG</x:v>
      </x:c>
      <x:c r="D2702" s="66" t="str">
        <x:v>PTN Akademik</x:v>
      </x:c>
      <x:c r="E2702" s="66" t="str">
        <x:v>13731040</x:v>
      </x:c>
      <x:c r="F2702" s="66" t="str">
        <x:v>PENDIDIKAN BAHASA JERMAN</x:v>
      </x:c>
      <x:c r="G2702" s="66" t="str">
        <x:v>Sarjana</x:v>
      </x:c>
      <x:c r="H2702" s="87" t="n">
        <x:v>42</x:v>
      </x:c>
      <x:c r="I2702" s="87" t="n">
        <x:v>124</x:v>
      </x:c>
      <x:c r="J2702" s="68" t="n">
        <x:f>IFERROR(H2702/I2702,"")</x:f>
        <x:v>0.3387096774193548</x:v>
      </x:c>
      <x:c r="K2702" s="69" t="n">
        <x:f>IFERROR(I2702/H2702,"")</x:f>
        <x:v>2.9523809523809526</x:v>
      </x:c>
      <x:c r="L2702" s="66" t="str">
        <x:f>IF(K2702="","","1 : "&amp;TEXT(K2702,"0.0"))</x:f>
        <x:v>1 : 3.0</x:v>
      </x:c>
      <x:c r="M2702" s="66" t="str">
        <x:f>IF(J2702="","Baru/Tanpa Data",IF(J2702&lt;='Catatan &amp; Sumber'!$B$14,"Sangat Ketat",IF(J2702&lt;='Catatan &amp; Sumber'!$B$15,"Ketat",IF(J2702&lt;='Catatan &amp; Sumber'!$B$16,"Sedang","Relatif Longgar"))))</x:f>
        <x:v>Relatif Longgar</x:v>
      </x:c>
      <x:c r="N2702" s="66" t="str">
        <x:v>Tidak Ada</x:v>
      </x:c>
      <x:c r="O2702" s="66" t="str">
        <x:v>Jawa Timur</x:v>
      </x:c>
      <x:c r="P2702" s="66" t="str">
        <x:v>Kota Malang</x:v>
      </x:c>
      <x:c r="Q2702" s="66" t="str">
        <x:v>https://snpmb.id/snbp/daya-tampung-snbp</x:v>
      </x:c>
      <x:c r="R2702" s="66" t="str">
        <x:v>https://sidatagrun-public-1076756628210.asia-southeast2.run.app/ptn_sn.php?ptn=373</x:v>
      </x:c>
    </x:row>
    <x:row r="2703">
      <x:c r="A2703" s="87" t="n">
        <x:v>3341</x:v>
      </x:c>
      <x:c r="B2703" s="66" t="n">
        <x:v>373</x:v>
      </x:c>
      <x:c r="C2703" s="66" t="str">
        <x:v>UNIVERSITAS NEGERI MALANG</x:v>
      </x:c>
      <x:c r="D2703" s="66" t="str">
        <x:v>PTN Akademik</x:v>
      </x:c>
      <x:c r="E2703" s="66" t="str">
        <x:v>13731041</x:v>
      </x:c>
      <x:c r="F2703" s="66" t="str">
        <x:v>PENDIDIKAN SENI PERTUNJUKAN</x:v>
      </x:c>
      <x:c r="G2703" s="66" t="str">
        <x:v>Sarjana</x:v>
      </x:c>
      <x:c r="H2703" s="87" t="n">
        <x:v>58</x:v>
      </x:c>
      <x:c r="I2703" s="87" t="n">
        <x:v>151</x:v>
      </x:c>
      <x:c r="J2703" s="68" t="n">
        <x:f>IFERROR(H2703/I2703,"")</x:f>
        <x:v>0.3841059602649007</x:v>
      </x:c>
      <x:c r="K2703" s="69" t="n">
        <x:f>IFERROR(I2703/H2703,"")</x:f>
        <x:v>2.603448275862069</x:v>
      </x:c>
      <x:c r="L2703" s="66" t="str">
        <x:f>IF(K2703="","","1 : "&amp;TEXT(K2703,"0.0"))</x:f>
        <x:v>1 : 2.6</x:v>
      </x:c>
      <x:c r="M2703" s="66" t="str">
        <x:f>IF(J2703="","Baru/Tanpa Data",IF(J2703&lt;='Catatan &amp; Sumber'!$B$14,"Sangat Ketat",IF(J2703&lt;='Catatan &amp; Sumber'!$B$15,"Ketat",IF(J2703&lt;='Catatan &amp; Sumber'!$B$16,"Sedang","Relatif Longgar"))))</x:f>
        <x:v>Relatif Longgar</x:v>
      </x:c>
      <x:c r="N2703" s="66" t="str">
        <x:v>Sendratasik</x:v>
      </x:c>
      <x:c r="O2703" s="66" t="str">
        <x:v>Jawa Timur</x:v>
      </x:c>
      <x:c r="P2703" s="66" t="str">
        <x:v>Kota Malang</x:v>
      </x:c>
      <x:c r="Q2703" s="66" t="str">
        <x:v>https://snpmb.id/snbp/daya-tampung-snbp</x:v>
      </x:c>
      <x:c r="R2703" s="66" t="str">
        <x:v>https://sidatagrun-public-1076756628210.asia-southeast2.run.app/ptn_sn.php?ptn=373</x:v>
      </x:c>
    </x:row>
    <x:row r="2704">
      <x:c r="A2704" s="87" t="n">
        <x:v>2677</x:v>
      </x:c>
      <x:c r="B2704" s="66" t="n">
        <x:v>373</x:v>
      </x:c>
      <x:c r="C2704" s="66" t="str">
        <x:v>UNIVERSITAS NEGERI MALANG</x:v>
      </x:c>
      <x:c r="D2704" s="66" t="str">
        <x:v>PTN Akademik</x:v>
      </x:c>
      <x:c r="E2704" s="66" t="str">
        <x:v>13731042</x:v>
      </x:c>
      <x:c r="F2704" s="66" t="str">
        <x:v>PENDIDIKAN SEJARAH</x:v>
      </x:c>
      <x:c r="G2704" s="66" t="str">
        <x:v>Sarjana</x:v>
      </x:c>
      <x:c r="H2704" s="87" t="n">
        <x:v>72</x:v>
      </x:c>
      <x:c r="I2704" s="87" t="n">
        <x:v>300</x:v>
      </x:c>
      <x:c r="J2704" s="68" t="n">
        <x:f>IFERROR(H2704/I2704,"")</x:f>
        <x:v>0.24</x:v>
      </x:c>
      <x:c r="K2704" s="69" t="n">
        <x:f>IFERROR(I2704/H2704,"")</x:f>
        <x:v>4.166666666666667</x:v>
      </x:c>
      <x:c r="L2704" s="66" t="str">
        <x:f>IF(K2704="","","1 : "&amp;TEXT(K2704,"0.0"))</x:f>
        <x:v>1 : 4.2</x:v>
      </x:c>
      <x:c r="M2704" s="66" t="str">
        <x:f>IF(J2704="","Baru/Tanpa Data",IF(J2704&lt;='Catatan &amp; Sumber'!$B$14,"Sangat Ketat",IF(J2704&lt;='Catatan &amp; Sumber'!$B$15,"Ketat",IF(J2704&lt;='Catatan &amp; Sumber'!$B$16,"Sedang","Relatif Longgar"))))</x:f>
        <x:v>Relatif Longgar</x:v>
      </x:c>
      <x:c r="N2704" s="66" t="str">
        <x:v>Tidak Ada</x:v>
      </x:c>
      <x:c r="O2704" s="66" t="str">
        <x:v>Jawa Timur</x:v>
      </x:c>
      <x:c r="P2704" s="66" t="str">
        <x:v>Kota Malang</x:v>
      </x:c>
      <x:c r="Q2704" s="66" t="str">
        <x:v>https://snpmb.id/snbp/daya-tampung-snbp</x:v>
      </x:c>
      <x:c r="R2704" s="66" t="str">
        <x:v>https://sidatagrun-public-1076756628210.asia-southeast2.run.app/ptn_sn.php?ptn=373</x:v>
      </x:c>
    </x:row>
    <x:row r="2705">
      <x:c r="A2705" s="87" t="n">
        <x:v>1719</x:v>
      </x:c>
      <x:c r="B2705" s="66" t="n">
        <x:v>373</x:v>
      </x:c>
      <x:c r="C2705" s="66" t="str">
        <x:v>UNIVERSITAS NEGERI MALANG</x:v>
      </x:c>
      <x:c r="D2705" s="66" t="str">
        <x:v>PTN Akademik</x:v>
      </x:c>
      <x:c r="E2705" s="66" t="str">
        <x:v>13731043</x:v>
      </x:c>
      <x:c r="F2705" s="66" t="str">
        <x:v>PENDIDIKAN EKONOMI</x:v>
      </x:c>
      <x:c r="G2705" s="66" t="str">
        <x:v>Sarjana</x:v>
      </x:c>
      <x:c r="H2705" s="87" t="n">
        <x:v>45</x:v>
      </x:c>
      <x:c r="I2705" s="87" t="n">
        <x:v>358</x:v>
      </x:c>
      <x:c r="J2705" s="68" t="n">
        <x:f>IFERROR(H2705/I2705,"")</x:f>
        <x:v>0.12569832402234637</x:v>
      </x:c>
      <x:c r="K2705" s="69" t="n">
        <x:f>IFERROR(I2705/H2705,"")</x:f>
        <x:v>7.955555555555556</x:v>
      </x:c>
      <x:c r="L2705" s="66" t="str">
        <x:f>IF(K2705="","","1 : "&amp;TEXT(K2705,"0.0"))</x:f>
        <x:v>1 : 8.0</x:v>
      </x:c>
      <x:c r="M2705" s="66" t="str">
        <x:f>IF(J2705="","Baru/Tanpa Data",IF(J2705&lt;='Catatan &amp; Sumber'!$B$14,"Sangat Ketat",IF(J2705&lt;='Catatan &amp; Sumber'!$B$15,"Ketat",IF(J2705&lt;='Catatan &amp; Sumber'!$B$16,"Sedang","Relatif Longgar"))))</x:f>
        <x:v>Relatif Longgar</x:v>
      </x:c>
      <x:c r="N2705" s="66" t="str">
        <x:v>Tidak Ada</x:v>
      </x:c>
      <x:c r="O2705" s="66" t="str">
        <x:v>Jawa Timur</x:v>
      </x:c>
      <x:c r="P2705" s="66" t="str">
        <x:v>Kota Malang</x:v>
      </x:c>
      <x:c r="Q2705" s="66" t="str">
        <x:v>https://snpmb.id/snbp/daya-tampung-snbp</x:v>
      </x:c>
      <x:c r="R2705" s="66" t="str">
        <x:v>https://sidatagrun-public-1076756628210.asia-southeast2.run.app/ptn_sn.php?ptn=373</x:v>
      </x:c>
    </x:row>
    <x:row r="2706">
      <x:c r="A2706" s="87" t="n">
        <x:v>2650</x:v>
      </x:c>
      <x:c r="B2706" s="66" t="n">
        <x:v>373</x:v>
      </x:c>
      <x:c r="C2706" s="66" t="str">
        <x:v>UNIVERSITAS NEGERI MALANG</x:v>
      </x:c>
      <x:c r="D2706" s="66" t="str">
        <x:v>PTN Akademik</x:v>
      </x:c>
      <x:c r="E2706" s="66" t="str">
        <x:v>13731044</x:v>
      </x:c>
      <x:c r="F2706" s="66" t="str">
        <x:v>PENDIDIKAN BISNIS</x:v>
      </x:c>
      <x:c r="G2706" s="66" t="str">
        <x:v>Sarjana</x:v>
      </x:c>
      <x:c r="H2706" s="87" t="n">
        <x:v>42</x:v>
      </x:c>
      <x:c r="I2706" s="87" t="n">
        <x:v>179</x:v>
      </x:c>
      <x:c r="J2706" s="68" t="n">
        <x:f>IFERROR(H2706/I2706,"")</x:f>
        <x:v>0.2346368715083799</x:v>
      </x:c>
      <x:c r="K2706" s="69" t="n">
        <x:f>IFERROR(I2706/H2706,"")</x:f>
        <x:v>4.261904761904762</x:v>
      </x:c>
      <x:c r="L2706" s="66" t="str">
        <x:f>IF(K2706="","","1 : "&amp;TEXT(K2706,"0.0"))</x:f>
        <x:v>1 : 4.3</x:v>
      </x:c>
      <x:c r="M2706" s="66" t="str">
        <x:f>IF(J2706="","Baru/Tanpa Data",IF(J2706&lt;='Catatan &amp; Sumber'!$B$14,"Sangat Ketat",IF(J2706&lt;='Catatan &amp; Sumber'!$B$15,"Ketat",IF(J2706&lt;='Catatan &amp; Sumber'!$B$16,"Sedang","Relatif Longgar"))))</x:f>
        <x:v>Relatif Longgar</x:v>
      </x:c>
      <x:c r="N2706" s="66" t="str">
        <x:v>Tidak Ada</x:v>
      </x:c>
      <x:c r="O2706" s="66" t="str">
        <x:v>Jawa Timur</x:v>
      </x:c>
      <x:c r="P2706" s="66" t="str">
        <x:v>Kota Malang</x:v>
      </x:c>
      <x:c r="Q2706" s="66" t="str">
        <x:v>https://snpmb.id/snbp/daya-tampung-snbp</x:v>
      </x:c>
      <x:c r="R2706" s="66" t="str">
        <x:v>https://sidatagrun-public-1076756628210.asia-southeast2.run.app/ptn_sn.php?ptn=373</x:v>
      </x:c>
    </x:row>
    <x:row r="2707">
      <x:c r="A2707" s="87" t="n">
        <x:v>1466</x:v>
      </x:c>
      <x:c r="B2707" s="66" t="n">
        <x:v>373</x:v>
      </x:c>
      <x:c r="C2707" s="66" t="str">
        <x:v>UNIVERSITAS NEGERI MALANG</x:v>
      </x:c>
      <x:c r="D2707" s="66" t="str">
        <x:v>PTN Akademik</x:v>
      </x:c>
      <x:c r="E2707" s="66" t="str">
        <x:v>13731045</x:v>
      </x:c>
      <x:c r="F2707" s="66" t="str">
        <x:v>PENDIDIKAN ADMINISTRASI PERKANTORAN</x:v>
      </x:c>
      <x:c r="G2707" s="66" t="str">
        <x:v>Sarjana</x:v>
      </x:c>
      <x:c r="H2707" s="87" t="n">
        <x:v>49</x:v>
      </x:c>
      <x:c r="I2707" s="87" t="n">
        <x:v>459</x:v>
      </x:c>
      <x:c r="J2707" s="68" t="n">
        <x:f>IFERROR(H2707/I2707,"")</x:f>
        <x:v>0.10675381263616558</x:v>
      </x:c>
      <x:c r="K2707" s="69" t="n">
        <x:f>IFERROR(I2707/H2707,"")</x:f>
        <x:v>9.36734693877551</x:v>
      </x:c>
      <x:c r="L2707" s="66" t="str">
        <x:f>IF(K2707="","","1 : "&amp;TEXT(K2707,"0.0"))</x:f>
        <x:v>1 : 9.4</x:v>
      </x:c>
      <x:c r="M2707" s="66" t="str">
        <x:f>IF(J2707="","Baru/Tanpa Data",IF(J2707&lt;='Catatan &amp; Sumber'!$B$14,"Sangat Ketat",IF(J2707&lt;='Catatan &amp; Sumber'!$B$15,"Ketat",IF(J2707&lt;='Catatan &amp; Sumber'!$B$16,"Sedang","Relatif Longgar"))))</x:f>
        <x:v>Relatif Longgar</x:v>
      </x:c>
      <x:c r="N2707" s="66" t="str">
        <x:v>Tidak Ada</x:v>
      </x:c>
      <x:c r="O2707" s="66" t="str">
        <x:v>Jawa Timur</x:v>
      </x:c>
      <x:c r="P2707" s="66" t="str">
        <x:v>Kota Malang</x:v>
      </x:c>
      <x:c r="Q2707" s="66" t="str">
        <x:v>https://snpmb.id/snbp/daya-tampung-snbp</x:v>
      </x:c>
      <x:c r="R2707" s="66" t="str">
        <x:v>https://sidatagrun-public-1076756628210.asia-southeast2.run.app/ptn_sn.php?ptn=373</x:v>
      </x:c>
    </x:row>
    <x:row r="2708">
      <x:c r="A2708" s="87" t="n">
        <x:v>2142</x:v>
      </x:c>
      <x:c r="B2708" s="66" t="n">
        <x:v>373</x:v>
      </x:c>
      <x:c r="C2708" s="66" t="str">
        <x:v>UNIVERSITAS NEGERI MALANG</x:v>
      </x:c>
      <x:c r="D2708" s="66" t="str">
        <x:v>PTN Akademik</x:v>
      </x:c>
      <x:c r="E2708" s="66" t="str">
        <x:v>13731046</x:v>
      </x:c>
      <x:c r="F2708" s="66" t="str">
        <x:v>PENDIDIKAN AKUNTANSI</x:v>
      </x:c>
      <x:c r="G2708" s="66" t="str">
        <x:v>Sarjana</x:v>
      </x:c>
      <x:c r="H2708" s="87" t="n">
        <x:v>41</x:v>
      </x:c>
      <x:c r="I2708" s="87" t="n">
        <x:v>248</x:v>
      </x:c>
      <x:c r="J2708" s="68" t="n">
        <x:f>IFERROR(H2708/I2708,"")</x:f>
        <x:v>0.16532258064516128</x:v>
      </x:c>
      <x:c r="K2708" s="69" t="n">
        <x:f>IFERROR(I2708/H2708,"")</x:f>
        <x:v>6.048780487804878</x:v>
      </x:c>
      <x:c r="L2708" s="66" t="str">
        <x:f>IF(K2708="","","1 : "&amp;TEXT(K2708,"0.0"))</x:f>
        <x:v>1 : 6.0</x:v>
      </x:c>
      <x:c r="M2708" s="66" t="str">
        <x:f>IF(J2708="","Baru/Tanpa Data",IF(J2708&lt;='Catatan &amp; Sumber'!$B$14,"Sangat Ketat",IF(J2708&lt;='Catatan &amp; Sumber'!$B$15,"Ketat",IF(J2708&lt;='Catatan &amp; Sumber'!$B$16,"Sedang","Relatif Longgar"))))</x:f>
        <x:v>Relatif Longgar</x:v>
      </x:c>
      <x:c r="N2708" s="66" t="str">
        <x:v>Tidak Ada</x:v>
      </x:c>
      <x:c r="O2708" s="66" t="str">
        <x:v>Jawa Timur</x:v>
      </x:c>
      <x:c r="P2708" s="66" t="str">
        <x:v>Kota Malang</x:v>
      </x:c>
      <x:c r="Q2708" s="66" t="str">
        <x:v>https://snpmb.id/snbp/daya-tampung-snbp</x:v>
      </x:c>
      <x:c r="R2708" s="66" t="str">
        <x:v>https://sidatagrun-public-1076756628210.asia-southeast2.run.app/ptn_sn.php?ptn=373</x:v>
      </x:c>
    </x:row>
    <x:row r="2709">
      <x:c r="A2709" s="87" t="n">
        <x:v>1319</x:v>
      </x:c>
      <x:c r="B2709" s="66" t="n">
        <x:v>373</x:v>
      </x:c>
      <x:c r="C2709" s="66" t="str">
        <x:v>UNIVERSITAS NEGERI MALANG</x:v>
      </x:c>
      <x:c r="D2709" s="66" t="str">
        <x:v>PTN Akademik</x:v>
      </x:c>
      <x:c r="E2709" s="66" t="str">
        <x:v>13731047</x:v>
      </x:c>
      <x:c r="F2709" s="66" t="str">
        <x:v>PENDIDIKAN TATA BOGA</x:v>
      </x:c>
      <x:c r="G2709" s="66" t="str">
        <x:v>Sarjana</x:v>
      </x:c>
      <x:c r="H2709" s="87" t="n">
        <x:v>34</x:v>
      </x:c>
      <x:c r="I2709" s="87" t="n">
        <x:v>352</x:v>
      </x:c>
      <x:c r="J2709" s="68" t="n">
        <x:f>IFERROR(H2709/I2709,"")</x:f>
        <x:v>0.09659090909090909</x:v>
      </x:c>
      <x:c r="K2709" s="69" t="n">
        <x:f>IFERROR(I2709/H2709,"")</x:f>
        <x:v>10.352941176470589</x:v>
      </x:c>
      <x:c r="L2709" s="66" t="str">
        <x:f>IF(K2709="","","1 : "&amp;TEXT(K2709,"0.0"))</x:f>
        <x:v>1 : 10.4</x:v>
      </x:c>
      <x:c r="M2709" s="66" t="str">
        <x:f>IF(J2709="","Baru/Tanpa Data",IF(J2709&lt;='Catatan &amp; Sumber'!$B$14,"Sangat Ketat",IF(J2709&lt;='Catatan &amp; Sumber'!$B$15,"Ketat",IF(J2709&lt;='Catatan &amp; Sumber'!$B$16,"Sedang","Relatif Longgar"))))</x:f>
        <x:v>Sedang</x:v>
      </x:c>
      <x:c r="N2709" s="66" t="str">
        <x:v>Tidak Ada</x:v>
      </x:c>
      <x:c r="O2709" s="66" t="str">
        <x:v>Jawa Timur</x:v>
      </x:c>
      <x:c r="P2709" s="66" t="str">
        <x:v>Kota Malang</x:v>
      </x:c>
      <x:c r="Q2709" s="66" t="str">
        <x:v>https://snpmb.id/snbp/daya-tampung-snbp</x:v>
      </x:c>
      <x:c r="R2709" s="66" t="str">
        <x:v>https://sidatagrun-public-1076756628210.asia-southeast2.run.app/ptn_sn.php?ptn=373</x:v>
      </x:c>
    </x:row>
    <x:row r="2710">
      <x:c r="A2710" s="87" t="n">
        <x:v>1569</x:v>
      </x:c>
      <x:c r="B2710" s="66" t="n">
        <x:v>373</x:v>
      </x:c>
      <x:c r="C2710" s="66" t="str">
        <x:v>UNIVERSITAS NEGERI MALANG</x:v>
      </x:c>
      <x:c r="D2710" s="66" t="str">
        <x:v>PTN Akademik</x:v>
      </x:c>
      <x:c r="E2710" s="66" t="str">
        <x:v>13731048</x:v>
      </x:c>
      <x:c r="F2710" s="66" t="str">
        <x:v>PENDIDIKAN TATA BUSANA</x:v>
      </x:c>
      <x:c r="G2710" s="66" t="str">
        <x:v>Sarjana</x:v>
      </x:c>
      <x:c r="H2710" s="87" t="n">
        <x:v>38</x:v>
      </x:c>
      <x:c r="I2710" s="87" t="n">
        <x:v>333</x:v>
      </x:c>
      <x:c r="J2710" s="68" t="n">
        <x:f>IFERROR(H2710/I2710,"")</x:f>
        <x:v>0.11411411411411411</x:v>
      </x:c>
      <x:c r="K2710" s="69" t="n">
        <x:f>IFERROR(I2710/H2710,"")</x:f>
        <x:v>8.763157894736842</x:v>
      </x:c>
      <x:c r="L2710" s="66" t="str">
        <x:f>IF(K2710="","","1 : "&amp;TEXT(K2710,"0.0"))</x:f>
        <x:v>1 : 8.8</x:v>
      </x:c>
      <x:c r="M2710" s="66" t="str">
        <x:f>IF(J2710="","Baru/Tanpa Data",IF(J2710&lt;='Catatan &amp; Sumber'!$B$14,"Sangat Ketat",IF(J2710&lt;='Catatan &amp; Sumber'!$B$15,"Ketat",IF(J2710&lt;='Catatan &amp; Sumber'!$B$16,"Sedang","Relatif Longgar"))))</x:f>
        <x:v>Relatif Longgar</x:v>
      </x:c>
      <x:c r="N2710" s="66" t="str">
        <x:v>Tidak Ada</x:v>
      </x:c>
      <x:c r="O2710" s="66" t="str">
        <x:v>Jawa Timur</x:v>
      </x:c>
      <x:c r="P2710" s="66" t="str">
        <x:v>Kota Malang</x:v>
      </x:c>
      <x:c r="Q2710" s="66" t="str">
        <x:v>https://snpmb.id/snbp/daya-tampung-snbp</x:v>
      </x:c>
      <x:c r="R2710" s="66" t="str">
        <x:v>https://sidatagrun-public-1076756628210.asia-southeast2.run.app/ptn_sn.php?ptn=373</x:v>
      </x:c>
    </x:row>
    <x:row r="2711">
      <x:c r="A2711" s="87" t="n">
        <x:v>867</x:v>
      </x:c>
      <x:c r="B2711" s="66" t="n">
        <x:v>373</x:v>
      </x:c>
      <x:c r="C2711" s="66" t="str">
        <x:v>UNIVERSITAS NEGERI MALANG</x:v>
      </x:c>
      <x:c r="D2711" s="66" t="str">
        <x:v>PTN Akademik</x:v>
      </x:c>
      <x:c r="E2711" s="66" t="str">
        <x:v>13731049</x:v>
      </x:c>
      <x:c r="F2711" s="66" t="str">
        <x:v>PSIKOLOGI</x:v>
      </x:c>
      <x:c r="G2711" s="66" t="str">
        <x:v>Sarjana</x:v>
      </x:c>
      <x:c r="H2711" s="87" t="n">
        <x:v>100</x:v>
      </x:c>
      <x:c r="I2711" s="87" t="n">
        <x:v>1426</x:v>
      </x:c>
      <x:c r="J2711" s="68" t="n">
        <x:f>IFERROR(H2711/I2711,"")</x:f>
        <x:v>0.07012622720897616</x:v>
      </x:c>
      <x:c r="K2711" s="69" t="n">
        <x:f>IFERROR(I2711/H2711,"")</x:f>
        <x:v>14.26</x:v>
      </x:c>
      <x:c r="L2711" s="66" t="str">
        <x:f>IF(K2711="","","1 : "&amp;TEXT(K2711,"0.0"))</x:f>
        <x:v>1 : 14.3</x:v>
      </x:c>
      <x:c r="M2711" s="66" t="str">
        <x:f>IF(J2711="","Baru/Tanpa Data",IF(J2711&lt;='Catatan &amp; Sumber'!$B$14,"Sangat Ketat",IF(J2711&lt;='Catatan &amp; Sumber'!$B$15,"Ketat",IF(J2711&lt;='Catatan &amp; Sumber'!$B$16,"Sedang","Relatif Longgar"))))</x:f>
        <x:v>Sedang</x:v>
      </x:c>
      <x:c r="N2711" s="66" t="str">
        <x:v>Tidak Ada</x:v>
      </x:c>
      <x:c r="O2711" s="66" t="str">
        <x:v>Jawa Timur</x:v>
      </x:c>
      <x:c r="P2711" s="66" t="str">
        <x:v>Kota Malang</x:v>
      </x:c>
      <x:c r="Q2711" s="66" t="str">
        <x:v>https://snpmb.id/snbp/daya-tampung-snbp</x:v>
      </x:c>
      <x:c r="R2711" s="66" t="str">
        <x:v>https://sidatagrun-public-1076756628210.asia-southeast2.run.app/ptn_sn.php?ptn=373</x:v>
      </x:c>
    </x:row>
    <x:row r="2712">
      <x:c r="A2712" s="87" t="n">
        <x:v>1692</x:v>
      </x:c>
      <x:c r="B2712" s="66" t="n">
        <x:v>373</x:v>
      </x:c>
      <x:c r="C2712" s="66" t="str">
        <x:v>UNIVERSITAS NEGERI MALANG</x:v>
      </x:c>
      <x:c r="D2712" s="66" t="str">
        <x:v>PTN Akademik</x:v>
      </x:c>
      <x:c r="E2712" s="66" t="str">
        <x:v>13731050</x:v>
      </x:c>
      <x:c r="F2712" s="66" t="str">
        <x:v>BAHASA DAN SASTRA INDONESIA</x:v>
      </x:c>
      <x:c r="G2712" s="66" t="str">
        <x:v>Sarjana</x:v>
      </x:c>
      <x:c r="H2712" s="87" t="n">
        <x:v>45</x:v>
      </x:c>
      <x:c r="I2712" s="87" t="n">
        <x:v>364</x:v>
      </x:c>
      <x:c r="J2712" s="68" t="n">
        <x:f>IFERROR(H2712/I2712,"")</x:f>
        <x:v>0.12362637362637363</x:v>
      </x:c>
      <x:c r="K2712" s="69" t="n">
        <x:f>IFERROR(I2712/H2712,"")</x:f>
        <x:v>8.088888888888889</x:v>
      </x:c>
      <x:c r="L2712" s="66" t="str">
        <x:f>IF(K2712="","","1 : "&amp;TEXT(K2712,"0.0"))</x:f>
        <x:v>1 : 8.1</x:v>
      </x:c>
      <x:c r="M2712" s="66" t="str">
        <x:f>IF(J2712="","Baru/Tanpa Data",IF(J2712&lt;='Catatan &amp; Sumber'!$B$14,"Sangat Ketat",IF(J2712&lt;='Catatan &amp; Sumber'!$B$15,"Ketat",IF(J2712&lt;='Catatan &amp; Sumber'!$B$16,"Sedang","Relatif Longgar"))))</x:f>
        <x:v>Relatif Longgar</x:v>
      </x:c>
      <x:c r="N2712" s="66" t="str">
        <x:v>Tidak Ada</x:v>
      </x:c>
      <x:c r="O2712" s="66" t="str">
        <x:v>Jawa Timur</x:v>
      </x:c>
      <x:c r="P2712" s="66" t="str">
        <x:v>Kota Malang</x:v>
      </x:c>
      <x:c r="Q2712" s="66" t="str">
        <x:v>https://snpmb.id/snbp/daya-tampung-snbp</x:v>
      </x:c>
      <x:c r="R2712" s="66" t="str">
        <x:v>https://sidatagrun-public-1076756628210.asia-southeast2.run.app/ptn_sn.php?ptn=373</x:v>
      </x:c>
    </x:row>
    <x:row r="2713">
      <x:c r="A2713" s="87" t="n">
        <x:v>1033</x:v>
      </x:c>
      <x:c r="B2713" s="66" t="n">
        <x:v>373</x:v>
      </x:c>
      <x:c r="C2713" s="66" t="str">
        <x:v>UNIVERSITAS NEGERI MALANG</x:v>
      </x:c>
      <x:c r="D2713" s="66" t="str">
        <x:v>PTN Akademik</x:v>
      </x:c>
      <x:c r="E2713" s="66" t="str">
        <x:v>13731051</x:v>
      </x:c>
      <x:c r="F2713" s="66" t="str">
        <x:v>BAHASA DAN SASTRA INGGRIS</x:v>
      </x:c>
      <x:c r="G2713" s="66" t="str">
        <x:v>Sarjana</x:v>
      </x:c>
      <x:c r="H2713" s="87" t="n">
        <x:v>40</x:v>
      </x:c>
      <x:c r="I2713" s="87" t="n">
        <x:v>500</x:v>
      </x:c>
      <x:c r="J2713" s="68" t="n">
        <x:f>IFERROR(H2713/I2713,"")</x:f>
        <x:v>0.08</x:v>
      </x:c>
      <x:c r="K2713" s="69" t="n">
        <x:f>IFERROR(I2713/H2713,"")</x:f>
        <x:v>12.5</x:v>
      </x:c>
      <x:c r="L2713" s="66" t="str">
        <x:f>IF(K2713="","","1 : "&amp;TEXT(K2713,"0.0"))</x:f>
        <x:v>1 : 12.5</x:v>
      </x:c>
      <x:c r="M2713" s="66" t="str">
        <x:f>IF(J2713="","Baru/Tanpa Data",IF(J2713&lt;='Catatan &amp; Sumber'!$B$14,"Sangat Ketat",IF(J2713&lt;='Catatan &amp; Sumber'!$B$15,"Ketat",IF(J2713&lt;='Catatan &amp; Sumber'!$B$16,"Sedang","Relatif Longgar"))))</x:f>
        <x:v>Sedang</x:v>
      </x:c>
      <x:c r="N2713" s="66" t="str">
        <x:v>Tidak Ada</x:v>
      </x:c>
      <x:c r="O2713" s="66" t="str">
        <x:v>Jawa Timur</x:v>
      </x:c>
      <x:c r="P2713" s="66" t="str">
        <x:v>Kota Malang</x:v>
      </x:c>
      <x:c r="Q2713" s="66" t="str">
        <x:v>https://snpmb.id/snbp/daya-tampung-snbp</x:v>
      </x:c>
      <x:c r="R2713" s="66" t="str">
        <x:v>https://sidatagrun-public-1076756628210.asia-southeast2.run.app/ptn_sn.php?ptn=373</x:v>
      </x:c>
    </x:row>
    <x:row r="2714">
      <x:c r="A2714" s="87" t="n">
        <x:v>2617</x:v>
      </x:c>
      <x:c r="B2714" s="66" t="n">
        <x:v>373</x:v>
      </x:c>
      <x:c r="C2714" s="66" t="str">
        <x:v>UNIVERSITAS NEGERI MALANG</x:v>
      </x:c>
      <x:c r="D2714" s="66" t="str">
        <x:v>PTN Akademik</x:v>
      </x:c>
      <x:c r="E2714" s="66" t="str">
        <x:v>13731052</x:v>
      </x:c>
      <x:c r="F2714" s="66" t="str">
        <x:v>SEJARAH</x:v>
      </x:c>
      <x:c r="G2714" s="66" t="str">
        <x:v>Sarjana</x:v>
      </x:c>
      <x:c r="H2714" s="87" t="n">
        <x:v>35</x:v>
      </x:c>
      <x:c r="I2714" s="87" t="n">
        <x:v>152</x:v>
      </x:c>
      <x:c r="J2714" s="68" t="n">
        <x:f>IFERROR(H2714/I2714,"")</x:f>
        <x:v>0.23026315789473684</x:v>
      </x:c>
      <x:c r="K2714" s="69" t="n">
        <x:f>IFERROR(I2714/H2714,"")</x:f>
        <x:v>4.3428571428571425</x:v>
      </x:c>
      <x:c r="L2714" s="66" t="str">
        <x:f>IF(K2714="","","1 : "&amp;TEXT(K2714,"0.0"))</x:f>
        <x:v>1 : 4.3</x:v>
      </x:c>
      <x:c r="M2714" s="66" t="str">
        <x:f>IF(J2714="","Baru/Tanpa Data",IF(J2714&lt;='Catatan &amp; Sumber'!$B$14,"Sangat Ketat",IF(J2714&lt;='Catatan &amp; Sumber'!$B$15,"Ketat",IF(J2714&lt;='Catatan &amp; Sumber'!$B$16,"Sedang","Relatif Longgar"))))</x:f>
        <x:v>Relatif Longgar</x:v>
      </x:c>
      <x:c r="N2714" s="66" t="str">
        <x:v>Tidak Ada</x:v>
      </x:c>
      <x:c r="O2714" s="66" t="str">
        <x:v>Jawa Timur</x:v>
      </x:c>
      <x:c r="P2714" s="66" t="str">
        <x:v>Kota Malang</x:v>
      </x:c>
      <x:c r="Q2714" s="66" t="str">
        <x:v>https://snpmb.id/snbp/daya-tampung-snbp</x:v>
      </x:c>
      <x:c r="R2714" s="66" t="str">
        <x:v>https://sidatagrun-public-1076756628210.asia-southeast2.run.app/ptn_sn.php?ptn=373</x:v>
      </x:c>
    </x:row>
    <x:row r="2715">
      <x:c r="A2715" s="87" t="n">
        <x:v>1154</x:v>
      </x:c>
      <x:c r="B2715" s="66" t="n">
        <x:v>373</x:v>
      </x:c>
      <x:c r="C2715" s="66" t="str">
        <x:v>UNIVERSITAS NEGERI MALANG</x:v>
      </x:c>
      <x:c r="D2715" s="66" t="str">
        <x:v>PTN Akademik</x:v>
      </x:c>
      <x:c r="E2715" s="66" t="str">
        <x:v>13731053</x:v>
      </x:c>
      <x:c r="F2715" s="66" t="str">
        <x:v>DESAIN KOMUNIKASI VISUAL</x:v>
      </x:c>
      <x:c r="G2715" s="66" t="str">
        <x:v>Sarjana</x:v>
      </x:c>
      <x:c r="H2715" s="87" t="n">
        <x:v>52</x:v>
      </x:c>
      <x:c r="I2715" s="87" t="n">
        <x:v>597</x:v>
      </x:c>
      <x:c r="J2715" s="68" t="n">
        <x:f>IFERROR(H2715/I2715,"")</x:f>
        <x:v>0.08710217755443886</x:v>
      </x:c>
      <x:c r="K2715" s="69" t="n">
        <x:f>IFERROR(I2715/H2715,"")</x:f>
        <x:v>11.48076923076923</x:v>
      </x:c>
      <x:c r="L2715" s="66" t="str">
        <x:f>IF(K2715="","","1 : "&amp;TEXT(K2715,"0.0"))</x:f>
        <x:v>1 : 11.5</x:v>
      </x:c>
      <x:c r="M2715" s="66" t="str">
        <x:f>IF(J2715="","Baru/Tanpa Data",IF(J2715&lt;='Catatan &amp; Sumber'!$B$14,"Sangat Ketat",IF(J2715&lt;='Catatan &amp; Sumber'!$B$15,"Ketat",IF(J2715&lt;='Catatan &amp; Sumber'!$B$16,"Sedang","Relatif Longgar"))))</x:f>
        <x:v>Sedang</x:v>
      </x:c>
      <x:c r="N2715" s="66" t="str">
        <x:v>Seni Rupa, Desain, dan Kriya</x:v>
      </x:c>
      <x:c r="O2715" s="66" t="str">
        <x:v>Jawa Timur</x:v>
      </x:c>
      <x:c r="P2715" s="66" t="str">
        <x:v>Kota Malang</x:v>
      </x:c>
      <x:c r="Q2715" s="66" t="str">
        <x:v>https://snpmb.id/snbp/daya-tampung-snbp</x:v>
      </x:c>
      <x:c r="R2715" s="66" t="str">
        <x:v>https://sidatagrun-public-1076756628210.asia-southeast2.run.app/ptn_sn.php?ptn=373</x:v>
      </x:c>
    </x:row>
    <x:row r="2716">
      <x:c r="A2716" s="87" t="n">
        <x:v>644</x:v>
      </x:c>
      <x:c r="B2716" s="66" t="n">
        <x:v>373</x:v>
      </x:c>
      <x:c r="C2716" s="66" t="str">
        <x:v>UNIVERSITAS NEGERI MALANG</x:v>
      </x:c>
      <x:c r="D2716" s="66" t="str">
        <x:v>PTN Akademik</x:v>
      </x:c>
      <x:c r="E2716" s="66" t="str">
        <x:v>13731054</x:v>
      </x:c>
      <x:c r="F2716" s="66" t="str">
        <x:v>AKUNTANSI</x:v>
      </x:c>
      <x:c r="G2716" s="66" t="str">
        <x:v>Sarjana</x:v>
      </x:c>
      <x:c r="H2716" s="87" t="n">
        <x:v>68</x:v>
      </x:c>
      <x:c r="I2716" s="87" t="n">
        <x:v>1148</x:v>
      </x:c>
      <x:c r="J2716" s="68" t="n">
        <x:f>IFERROR(H2716/I2716,"")</x:f>
        <x:v>0.059233449477351915</x:v>
      </x:c>
      <x:c r="K2716" s="69" t="n">
        <x:f>IFERROR(I2716/H2716,"")</x:f>
        <x:v>16.88235294117647</x:v>
      </x:c>
      <x:c r="L2716" s="66" t="str">
        <x:f>IF(K2716="","","1 : "&amp;TEXT(K2716,"0.0"))</x:f>
        <x:v>1 : 16.9</x:v>
      </x:c>
      <x:c r="M2716" s="66" t="str">
        <x:f>IF(J2716="","Baru/Tanpa Data",IF(J2716&lt;='Catatan &amp; Sumber'!$B$14,"Sangat Ketat",IF(J2716&lt;='Catatan &amp; Sumber'!$B$15,"Ketat",IF(J2716&lt;='Catatan &amp; Sumber'!$B$16,"Sedang","Relatif Longgar"))))</x:f>
        <x:v>Sedang</x:v>
      </x:c>
      <x:c r="N2716" s="66" t="str">
        <x:v>Tidak Ada</x:v>
      </x:c>
      <x:c r="O2716" s="66" t="str">
        <x:v>Jawa Timur</x:v>
      </x:c>
      <x:c r="P2716" s="66" t="str">
        <x:v>Kota Malang</x:v>
      </x:c>
      <x:c r="Q2716" s="66" t="str">
        <x:v>https://snpmb.id/snbp/daya-tampung-snbp</x:v>
      </x:c>
      <x:c r="R2716" s="66" t="str">
        <x:v>https://sidatagrun-public-1076756628210.asia-southeast2.run.app/ptn_sn.php?ptn=373</x:v>
      </x:c>
    </x:row>
    <x:row r="2717">
      <x:c r="A2717" s="87" t="n">
        <x:v>1390</x:v>
      </x:c>
      <x:c r="B2717" s="66" t="n">
        <x:v>373</x:v>
      </x:c>
      <x:c r="C2717" s="66" t="str">
        <x:v>UNIVERSITAS NEGERI MALANG</x:v>
      </x:c>
      <x:c r="D2717" s="66" t="str">
        <x:v>PTN Akademik</x:v>
      </x:c>
      <x:c r="E2717" s="66" t="str">
        <x:v>13731055</x:v>
      </x:c>
      <x:c r="F2717" s="66" t="str">
        <x:v>EKONOMI DAN STUDI PEMBANGUNAN</x:v>
      </x:c>
      <x:c r="G2717" s="66" t="str">
        <x:v>Sarjana</x:v>
      </x:c>
      <x:c r="H2717" s="87" t="n">
        <x:v>52</x:v>
      </x:c>
      <x:c r="I2717" s="87" t="n">
        <x:v>514</x:v>
      </x:c>
      <x:c r="J2717" s="68" t="n">
        <x:f>IFERROR(H2717/I2717,"")</x:f>
        <x:v>0.10116731517509728</x:v>
      </x:c>
      <x:c r="K2717" s="69" t="n">
        <x:f>IFERROR(I2717/H2717,"")</x:f>
        <x:v>9.884615384615385</x:v>
      </x:c>
      <x:c r="L2717" s="66" t="str">
        <x:f>IF(K2717="","","1 : "&amp;TEXT(K2717,"0.0"))</x:f>
        <x:v>1 : 9.9</x:v>
      </x:c>
      <x:c r="M2717" s="66" t="str">
        <x:f>IF(J2717="","Baru/Tanpa Data",IF(J2717&lt;='Catatan &amp; Sumber'!$B$14,"Sangat Ketat",IF(J2717&lt;='Catatan &amp; Sumber'!$B$15,"Ketat",IF(J2717&lt;='Catatan &amp; Sumber'!$B$16,"Sedang","Relatif Longgar"))))</x:f>
        <x:v>Relatif Longgar</x:v>
      </x:c>
      <x:c r="N2717" s="66" t="str">
        <x:v>Tidak Ada</x:v>
      </x:c>
      <x:c r="O2717" s="66" t="str">
        <x:v>Jawa Timur</x:v>
      </x:c>
      <x:c r="P2717" s="66" t="str">
        <x:v>Kota Malang</x:v>
      </x:c>
      <x:c r="Q2717" s="66" t="str">
        <x:v>https://snpmb.id/snbp/daya-tampung-snbp</x:v>
      </x:c>
      <x:c r="R2717" s="66" t="str">
        <x:v>https://sidatagrun-public-1076756628210.asia-southeast2.run.app/ptn_sn.php?ptn=373</x:v>
      </x:c>
    </x:row>
    <x:row r="2718">
      <x:c r="A2718" s="87" t="n">
        <x:v>433</x:v>
      </x:c>
      <x:c r="B2718" s="66" t="n">
        <x:v>373</x:v>
      </x:c>
      <x:c r="C2718" s="66" t="str">
        <x:v>UNIVERSITAS NEGERI MALANG</x:v>
      </x:c>
      <x:c r="D2718" s="66" t="str">
        <x:v>PTN Akademik</x:v>
      </x:c>
      <x:c r="E2718" s="66" t="str">
        <x:v>13731056</x:v>
      </x:c>
      <x:c r="F2718" s="66" t="str">
        <x:v>MANAJEMEN</x:v>
      </x:c>
      <x:c r="G2718" s="66" t="str">
        <x:v>Sarjana</x:v>
      </x:c>
      <x:c r="H2718" s="87" t="n">
        <x:v>81</x:v>
      </x:c>
      <x:c r="I2718" s="87" t="n">
        <x:v>1677</x:v>
      </x:c>
      <x:c r="J2718" s="68" t="n">
        <x:f>IFERROR(H2718/I2718,"")</x:f>
        <x:v>0.04830053667262969</x:v>
      </x:c>
      <x:c r="K2718" s="69" t="n">
        <x:f>IFERROR(I2718/H2718,"")</x:f>
        <x:v>20.703703703703702</x:v>
      </x:c>
      <x:c r="L2718" s="66" t="str">
        <x:f>IF(K2718="","","1 : "&amp;TEXT(K2718,"0.0"))</x:f>
        <x:v>1 : 20.7</x:v>
      </x:c>
      <x:c r="M2718" s="66" t="str">
        <x:f>IF(J2718="","Baru/Tanpa Data",IF(J2718&lt;='Catatan &amp; Sumber'!$B$14,"Sangat Ketat",IF(J2718&lt;='Catatan &amp; Sumber'!$B$15,"Ketat",IF(J2718&lt;='Catatan &amp; Sumber'!$B$16,"Sedang","Relatif Longgar"))))</x:f>
        <x:v>Ketat</x:v>
      </x:c>
      <x:c r="N2718" s="66" t="str">
        <x:v>Tidak Ada</x:v>
      </x:c>
      <x:c r="O2718" s="66" t="str">
        <x:v>Jawa Timur</x:v>
      </x:c>
      <x:c r="P2718" s="66" t="str">
        <x:v>Kota Malang</x:v>
      </x:c>
      <x:c r="Q2718" s="66" t="str">
        <x:v>https://snpmb.id/snbp/daya-tampung-snbp</x:v>
      </x:c>
      <x:c r="R2718" s="66" t="str">
        <x:v>https://sidatagrun-public-1076756628210.asia-southeast2.run.app/ptn_sn.php?ptn=373</x:v>
      </x:c>
    </x:row>
    <x:row r="2719">
      <x:c r="A2719" s="87" t="n">
        <x:v>3032</x:v>
      </x:c>
      <x:c r="B2719" s="66" t="n">
        <x:v>373</x:v>
      </x:c>
      <x:c r="C2719" s="66" t="str">
        <x:v>UNIVERSITAS NEGERI MALANG</x:v>
      </x:c>
      <x:c r="D2719" s="66" t="str">
        <x:v>PTN Akademik</x:v>
      </x:c>
      <x:c r="E2719" s="66" t="str">
        <x:v>13731057</x:v>
      </x:c>
      <x:c r="F2719" s="66" t="str">
        <x:v>PENDIDIKAN KHUSUS</x:v>
      </x:c>
      <x:c r="G2719" s="66" t="str">
        <x:v>Sarjana</x:v>
      </x:c>
      <x:c r="H2719" s="87" t="n">
        <x:v>55</x:v>
      </x:c>
      <x:c r="I2719" s="87" t="n">
        <x:v>183</x:v>
      </x:c>
      <x:c r="J2719" s="68" t="n">
        <x:f>IFERROR(H2719/I2719,"")</x:f>
        <x:v>0.3005464480874317</x:v>
      </x:c>
      <x:c r="K2719" s="69" t="n">
        <x:f>IFERROR(I2719/H2719,"")</x:f>
        <x:v>3.327272727272727</x:v>
      </x:c>
      <x:c r="L2719" s="66" t="str">
        <x:f>IF(K2719="","","1 : "&amp;TEXT(K2719,"0.0"))</x:f>
        <x:v>1 : 3.3</x:v>
      </x:c>
      <x:c r="M2719" s="66" t="str">
        <x:f>IF(J2719="","Baru/Tanpa Data",IF(J2719&lt;='Catatan &amp; Sumber'!$B$14,"Sangat Ketat",IF(J2719&lt;='Catatan &amp; Sumber'!$B$15,"Ketat",IF(J2719&lt;='Catatan &amp; Sumber'!$B$16,"Sedang","Relatif Longgar"))))</x:f>
        <x:v>Relatif Longgar</x:v>
      </x:c>
      <x:c r="N2719" s="66" t="str">
        <x:v>Tidak Ada</x:v>
      </x:c>
      <x:c r="O2719" s="66" t="str">
        <x:v>Jawa Timur</x:v>
      </x:c>
      <x:c r="P2719" s="66" t="str">
        <x:v>Kota Malang</x:v>
      </x:c>
      <x:c r="Q2719" s="66" t="str">
        <x:v>https://snpmb.id/snbp/daya-tampung-snbp</x:v>
      </x:c>
      <x:c r="R2719" s="66" t="str">
        <x:v>https://sidatagrun-public-1076756628210.asia-southeast2.run.app/ptn_sn.php?ptn=373</x:v>
      </x:c>
    </x:row>
    <x:row r="2720">
      <x:c r="A2720" s="87" t="n">
        <x:v>2533</x:v>
      </x:c>
      <x:c r="B2720" s="66" t="n">
        <x:v>373</x:v>
      </x:c>
      <x:c r="C2720" s="66" t="str">
        <x:v>UNIVERSITAS NEGERI MALANG</x:v>
      </x:c>
      <x:c r="D2720" s="66" t="str">
        <x:v>PTN Akademik</x:v>
      </x:c>
      <x:c r="E2720" s="66" t="str">
        <x:v>13731058</x:v>
      </x:c>
      <x:c r="F2720" s="66" t="str">
        <x:v>PENDIDIKAN GEOGRAFI</x:v>
      </x:c>
      <x:c r="G2720" s="66" t="str">
        <x:v>Sarjana</x:v>
      </x:c>
      <x:c r="H2720" s="87" t="n">
        <x:v>68</x:v>
      </x:c>
      <x:c r="I2720" s="87" t="n">
        <x:v>314</x:v>
      </x:c>
      <x:c r="J2720" s="68" t="n">
        <x:f>IFERROR(H2720/I2720,"")</x:f>
        <x:v>0.21656050955414013</x:v>
      </x:c>
      <x:c r="K2720" s="69" t="n">
        <x:f>IFERROR(I2720/H2720,"")</x:f>
        <x:v>4.617647058823529</x:v>
      </x:c>
      <x:c r="L2720" s="66" t="str">
        <x:f>IF(K2720="","","1 : "&amp;TEXT(K2720,"0.0"))</x:f>
        <x:v>1 : 4.6</x:v>
      </x:c>
      <x:c r="M2720" s="66" t="str">
        <x:f>IF(J2720="","Baru/Tanpa Data",IF(J2720&lt;='Catatan &amp; Sumber'!$B$14,"Sangat Ketat",IF(J2720&lt;='Catatan &amp; Sumber'!$B$15,"Ketat",IF(J2720&lt;='Catatan &amp; Sumber'!$B$16,"Sedang","Relatif Longgar"))))</x:f>
        <x:v>Relatif Longgar</x:v>
      </x:c>
      <x:c r="N2720" s="66" t="str">
        <x:v>Tidak Ada</x:v>
      </x:c>
      <x:c r="O2720" s="66" t="str">
        <x:v>Jawa Timur</x:v>
      </x:c>
      <x:c r="P2720" s="66" t="str">
        <x:v>Kota Malang</x:v>
      </x:c>
      <x:c r="Q2720" s="66" t="str">
        <x:v>https://snpmb.id/snbp/daya-tampung-snbp</x:v>
      </x:c>
      <x:c r="R2720" s="66" t="str">
        <x:v>https://sidatagrun-public-1076756628210.asia-southeast2.run.app/ptn_sn.php?ptn=373</x:v>
      </x:c>
    </x:row>
    <x:row r="2721">
      <x:c r="A2721" s="87" t="n">
        <x:v>2953</x:v>
      </x:c>
      <x:c r="B2721" s="66" t="n">
        <x:v>373</x:v>
      </x:c>
      <x:c r="C2721" s="66" t="str">
        <x:v>UNIVERSITAS NEGERI MALANG</x:v>
      </x:c>
      <x:c r="D2721" s="66" t="str">
        <x:v>PTN Akademik</x:v>
      </x:c>
      <x:c r="E2721" s="66" t="str">
        <x:v>13731059</x:v>
      </x:c>
      <x:c r="F2721" s="66" t="str">
        <x:v>PENDIDIKAN BAHASA MANDARIN</x:v>
      </x:c>
      <x:c r="G2721" s="66" t="str">
        <x:v>Sarjana</x:v>
      </x:c>
      <x:c r="H2721" s="87" t="n">
        <x:v>36</x:v>
      </x:c>
      <x:c r="I2721" s="87" t="n">
        <x:v>126</x:v>
      </x:c>
      <x:c r="J2721" s="68" t="n">
        <x:f>IFERROR(H2721/I2721,"")</x:f>
        <x:v>0.2857142857142857</x:v>
      </x:c>
      <x:c r="K2721" s="69" t="n">
        <x:f>IFERROR(I2721/H2721,"")</x:f>
        <x:v>3.5</x:v>
      </x:c>
      <x:c r="L2721" s="66" t="str">
        <x:f>IF(K2721="","","1 : "&amp;TEXT(K2721,"0.0"))</x:f>
        <x:v>1 : 3.5</x:v>
      </x:c>
      <x:c r="M2721" s="66" t="str">
        <x:f>IF(J2721="","Baru/Tanpa Data",IF(J2721&lt;='Catatan &amp; Sumber'!$B$14,"Sangat Ketat",IF(J2721&lt;='Catatan &amp; Sumber'!$B$15,"Ketat",IF(J2721&lt;='Catatan &amp; Sumber'!$B$16,"Sedang","Relatif Longgar"))))</x:f>
        <x:v>Relatif Longgar</x:v>
      </x:c>
      <x:c r="N2721" s="66" t="str">
        <x:v>Tidak Ada</x:v>
      </x:c>
      <x:c r="O2721" s="66" t="str">
        <x:v>Jawa Timur</x:v>
      </x:c>
      <x:c r="P2721" s="66" t="str">
        <x:v>Kota Malang</x:v>
      </x:c>
      <x:c r="Q2721" s="66" t="str">
        <x:v>https://snpmb.id/snbp/daya-tampung-snbp</x:v>
      </x:c>
      <x:c r="R2721" s="66" t="str">
        <x:v>https://sidatagrun-public-1076756628210.asia-southeast2.run.app/ptn_sn.php?ptn=373</x:v>
      </x:c>
    </x:row>
    <x:row r="2722">
      <x:c r="A2722" s="87" t="n">
        <x:v>2056</x:v>
      </x:c>
      <x:c r="B2722" s="66" t="n">
        <x:v>373</x:v>
      </x:c>
      <x:c r="C2722" s="66" t="str">
        <x:v>UNIVERSITAS NEGERI MALANG</x:v>
      </x:c>
      <x:c r="D2722" s="66" t="str">
        <x:v>PTN Akademik</x:v>
      </x:c>
      <x:c r="E2722" s="66" t="str">
        <x:v>13731060</x:v>
      </x:c>
      <x:c r="F2722" s="66" t="str">
        <x:v>PENDIDIKAN ILMU PENGETAHUAN SOSIAL</x:v>
      </x:c>
      <x:c r="G2722" s="66" t="str">
        <x:v>Sarjana</x:v>
      </x:c>
      <x:c r="H2722" s="87" t="n">
        <x:v>45</x:v>
      </x:c>
      <x:c r="I2722" s="87" t="n">
        <x:v>286</x:v>
      </x:c>
      <x:c r="J2722" s="68" t="n">
        <x:f>IFERROR(H2722/I2722,"")</x:f>
        <x:v>0.15734265734265734</x:v>
      </x:c>
      <x:c r="K2722" s="69" t="n">
        <x:f>IFERROR(I2722/H2722,"")</x:f>
        <x:v>6.355555555555555</x:v>
      </x:c>
      <x:c r="L2722" s="66" t="str">
        <x:f>IF(K2722="","","1 : "&amp;TEXT(K2722,"0.0"))</x:f>
        <x:v>1 : 6.4</x:v>
      </x:c>
      <x:c r="M2722" s="66" t="str">
        <x:f>IF(J2722="","Baru/Tanpa Data",IF(J2722&lt;='Catatan &amp; Sumber'!$B$14,"Sangat Ketat",IF(J2722&lt;='Catatan &amp; Sumber'!$B$15,"Ketat",IF(J2722&lt;='Catatan &amp; Sumber'!$B$16,"Sedang","Relatif Longgar"))))</x:f>
        <x:v>Relatif Longgar</x:v>
      </x:c>
      <x:c r="N2722" s="66" t="str">
        <x:v>Tidak Ada</x:v>
      </x:c>
      <x:c r="O2722" s="66" t="str">
        <x:v>Jawa Timur</x:v>
      </x:c>
      <x:c r="P2722" s="66" t="str">
        <x:v>Kota Malang</x:v>
      </x:c>
      <x:c r="Q2722" s="66" t="str">
        <x:v>https://snpmb.id/snbp/daya-tampung-snbp</x:v>
      </x:c>
      <x:c r="R2722" s="66" t="str">
        <x:v>https://sidatagrun-public-1076756628210.asia-southeast2.run.app/ptn_sn.php?ptn=373</x:v>
      </x:c>
    </x:row>
    <x:row r="2723">
      <x:c r="A2723" s="87" t="n">
        <x:v>2164</x:v>
      </x:c>
      <x:c r="B2723" s="66" t="n">
        <x:v>373</x:v>
      </x:c>
      <x:c r="C2723" s="66" t="str">
        <x:v>UNIVERSITAS NEGERI MALANG</x:v>
      </x:c>
      <x:c r="D2723" s="66" t="str">
        <x:v>PTN Akademik</x:v>
      </x:c>
      <x:c r="E2723" s="66" t="str">
        <x:v>13731061</x:v>
      </x:c>
      <x:c r="F2723" s="66" t="str">
        <x:v>PENDIDIKAN KEPELATIHAN OLAHRAGA</x:v>
      </x:c>
      <x:c r="G2723" s="66" t="str">
        <x:v>Sarjana</x:v>
      </x:c>
      <x:c r="H2723" s="87" t="n">
        <x:v>56</x:v>
      </x:c>
      <x:c r="I2723" s="87" t="n">
        <x:v>333</x:v>
      </x:c>
      <x:c r="J2723" s="68" t="n">
        <x:f>IFERROR(H2723/I2723,"")</x:f>
        <x:v>0.16816816816816818</x:v>
      </x:c>
      <x:c r="K2723" s="69" t="n">
        <x:f>IFERROR(I2723/H2723,"")</x:f>
        <x:v>5.946428571428571</x:v>
      </x:c>
      <x:c r="L2723" s="66" t="str">
        <x:f>IF(K2723="","","1 : "&amp;TEXT(K2723,"0.0"))</x:f>
        <x:v>1 : 5.9</x:v>
      </x:c>
      <x:c r="M2723" s="66" t="str">
        <x:f>IF(J2723="","Baru/Tanpa Data",IF(J2723&lt;='Catatan &amp; Sumber'!$B$14,"Sangat Ketat",IF(J2723&lt;='Catatan &amp; Sumber'!$B$15,"Ketat",IF(J2723&lt;='Catatan &amp; Sumber'!$B$16,"Sedang","Relatif Longgar"))))</x:f>
        <x:v>Relatif Longgar</x:v>
      </x:c>
      <x:c r="N2723" s="66" t="str">
        <x:v>Olahraga</x:v>
      </x:c>
      <x:c r="O2723" s="66" t="str">
        <x:v>Jawa Timur</x:v>
      </x:c>
      <x:c r="P2723" s="66" t="str">
        <x:v>Kota Malang</x:v>
      </x:c>
      <x:c r="Q2723" s="66" t="str">
        <x:v>https://snpmb.id/snbp/daya-tampung-snbp</x:v>
      </x:c>
      <x:c r="R2723" s="66" t="str">
        <x:v>https://sidatagrun-public-1076756628210.asia-southeast2.run.app/ptn_sn.php?ptn=373</x:v>
      </x:c>
    </x:row>
    <x:row r="2724">
      <x:c r="A2724" s="87" t="n">
        <x:v>1984</x:v>
      </x:c>
      <x:c r="B2724" s="66" t="n">
        <x:v>373</x:v>
      </x:c>
      <x:c r="C2724" s="66" t="str">
        <x:v>UNIVERSITAS NEGERI MALANG</x:v>
      </x:c>
      <x:c r="D2724" s="66" t="str">
        <x:v>PTN Akademik</x:v>
      </x:c>
      <x:c r="E2724" s="66" t="str">
        <x:v>13731062</x:v>
      </x:c>
      <x:c r="F2724" s="66" t="str">
        <x:v>GEOGRAFI</x:v>
      </x:c>
      <x:c r="G2724" s="66" t="str">
        <x:v>Sarjana</x:v>
      </x:c>
      <x:c r="H2724" s="87" t="n">
        <x:v>49</x:v>
      </x:c>
      <x:c r="I2724" s="87" t="n">
        <x:v>327</x:v>
      </x:c>
      <x:c r="J2724" s="68" t="n">
        <x:f>IFERROR(H2724/I2724,"")</x:f>
        <x:v>0.14984709480122324</x:v>
      </x:c>
      <x:c r="K2724" s="69" t="n">
        <x:f>IFERROR(I2724/H2724,"")</x:f>
        <x:v>6.673469387755102</x:v>
      </x:c>
      <x:c r="L2724" s="66" t="str">
        <x:f>IF(K2724="","","1 : "&amp;TEXT(K2724,"0.0"))</x:f>
        <x:v>1 : 6.7</x:v>
      </x:c>
      <x:c r="M2724" s="66" t="str">
        <x:f>IF(J2724="","Baru/Tanpa Data",IF(J2724&lt;='Catatan &amp; Sumber'!$B$14,"Sangat Ketat",IF(J2724&lt;='Catatan &amp; Sumber'!$B$15,"Ketat",IF(J2724&lt;='Catatan &amp; Sumber'!$B$16,"Sedang","Relatif Longgar"))))</x:f>
        <x:v>Relatif Longgar</x:v>
      </x:c>
      <x:c r="N2724" s="66" t="str">
        <x:v>Tidak Ada</x:v>
      </x:c>
      <x:c r="O2724" s="66" t="str">
        <x:v>Jawa Timur</x:v>
      </x:c>
      <x:c r="P2724" s="66" t="str">
        <x:v>Kota Malang</x:v>
      </x:c>
      <x:c r="Q2724" s="66" t="str">
        <x:v>https://snpmb.id/snbp/daya-tampung-snbp</x:v>
      </x:c>
      <x:c r="R2724" s="66" t="str">
        <x:v>https://sidatagrun-public-1076756628210.asia-southeast2.run.app/ptn_sn.php?ptn=373</x:v>
      </x:c>
    </x:row>
    <x:row r="2725">
      <x:c r="A2725" s="87" t="n">
        <x:v>1716</x:v>
      </x:c>
      <x:c r="B2725" s="66" t="n">
        <x:v>373</x:v>
      </x:c>
      <x:c r="C2725" s="66" t="str">
        <x:v>UNIVERSITAS NEGERI MALANG</x:v>
      </x:c>
      <x:c r="D2725" s="66" t="str">
        <x:v>PTN Akademik</x:v>
      </x:c>
      <x:c r="E2725" s="66" t="str">
        <x:v>13731063</x:v>
      </x:c>
      <x:c r="F2725" s="66" t="str">
        <x:v>PENDIDIKAN SOSIOLOGI</x:v>
      </x:c>
      <x:c r="G2725" s="66" t="str">
        <x:v>Sarjana</x:v>
      </x:c>
      <x:c r="H2725" s="87" t="n">
        <x:v>56</x:v>
      </x:c>
      <x:c r="I2725" s="87" t="n">
        <x:v>446</x:v>
      </x:c>
      <x:c r="J2725" s="68" t="n">
        <x:f>IFERROR(H2725/I2725,"")</x:f>
        <x:v>0.12556053811659193</x:v>
      </x:c>
      <x:c r="K2725" s="69" t="n">
        <x:f>IFERROR(I2725/H2725,"")</x:f>
        <x:v>7.964285714285714</x:v>
      </x:c>
      <x:c r="L2725" s="66" t="str">
        <x:f>IF(K2725="","","1 : "&amp;TEXT(K2725,"0.0"))</x:f>
        <x:v>1 : 8.0</x:v>
      </x:c>
      <x:c r="M2725" s="66" t="str">
        <x:f>IF(J2725="","Baru/Tanpa Data",IF(J2725&lt;='Catatan &amp; Sumber'!$B$14,"Sangat Ketat",IF(J2725&lt;='Catatan &amp; Sumber'!$B$15,"Ketat",IF(J2725&lt;='Catatan &amp; Sumber'!$B$16,"Sedang","Relatif Longgar"))))</x:f>
        <x:v>Relatif Longgar</x:v>
      </x:c>
      <x:c r="N2725" s="66" t="str">
        <x:v>Tidak Ada</x:v>
      </x:c>
      <x:c r="O2725" s="66" t="str">
        <x:v>Jawa Timur</x:v>
      </x:c>
      <x:c r="P2725" s="66" t="str">
        <x:v>Kota Malang</x:v>
      </x:c>
      <x:c r="Q2725" s="66" t="str">
        <x:v>https://snpmb.id/snbp/daya-tampung-snbp</x:v>
      </x:c>
      <x:c r="R2725" s="66" t="str">
        <x:v>https://sidatagrun-public-1076756628210.asia-southeast2.run.app/ptn_sn.php?ptn=373</x:v>
      </x:c>
    </x:row>
    <x:row r="2726">
      <x:c r="A2726" s="87" t="n">
        <x:v>2275</x:v>
      </x:c>
      <x:c r="B2726" s="66" t="n">
        <x:v>373</x:v>
      </x:c>
      <x:c r="C2726" s="66" t="str">
        <x:v>UNIVERSITAS NEGERI MALANG</x:v>
      </x:c>
      <x:c r="D2726" s="66" t="str">
        <x:v>PTN Akademik</x:v>
      </x:c>
      <x:c r="E2726" s="66" t="str">
        <x:v>13731064</x:v>
      </x:c>
      <x:c r="F2726" s="66" t="str">
        <x:v>ILMU PERPUSTAKAAN</x:v>
      </x:c>
      <x:c r="G2726" s="66" t="str">
        <x:v>Sarjana</x:v>
      </x:c>
      <x:c r="H2726" s="87" t="n">
        <x:v>47</x:v>
      </x:c>
      <x:c r="I2726" s="87" t="n">
        <x:v>259</x:v>
      </x:c>
      <x:c r="J2726" s="68" t="n">
        <x:f>IFERROR(H2726/I2726,"")</x:f>
        <x:v>0.18146718146718147</x:v>
      </x:c>
      <x:c r="K2726" s="69" t="n">
        <x:f>IFERROR(I2726/H2726,"")</x:f>
        <x:v>5.51063829787234</x:v>
      </x:c>
      <x:c r="L2726" s="66" t="str">
        <x:f>IF(K2726="","","1 : "&amp;TEXT(K2726,"0.0"))</x:f>
        <x:v>1 : 5.5</x:v>
      </x:c>
      <x:c r="M2726" s="66" t="str">
        <x:f>IF(J2726="","Baru/Tanpa Data",IF(J2726&lt;='Catatan &amp; Sumber'!$B$14,"Sangat Ketat",IF(J2726&lt;='Catatan &amp; Sumber'!$B$15,"Ketat",IF(J2726&lt;='Catatan &amp; Sumber'!$B$16,"Sedang","Relatif Longgar"))))</x:f>
        <x:v>Relatif Longgar</x:v>
      </x:c>
      <x:c r="N2726" s="66" t="str">
        <x:v>Tidak Ada</x:v>
      </x:c>
      <x:c r="O2726" s="66" t="str">
        <x:v>Jawa Timur</x:v>
      </x:c>
      <x:c r="P2726" s="66" t="str">
        <x:v>Kota Malang</x:v>
      </x:c>
      <x:c r="Q2726" s="66" t="str">
        <x:v>https://snpmb.id/snbp/daya-tampung-snbp</x:v>
      </x:c>
      <x:c r="R2726" s="66" t="str">
        <x:v>https://sidatagrun-public-1076756628210.asia-southeast2.run.app/ptn_sn.php?ptn=373</x:v>
      </x:c>
    </x:row>
    <x:row r="2727">
      <x:c r="A2727" s="87" t="n">
        <x:v>167</x:v>
      </x:c>
      <x:c r="B2727" s="66" t="n">
        <x:v>373</x:v>
      </x:c>
      <x:c r="C2727" s="66" t="str">
        <x:v>UNIVERSITAS NEGERI MALANG</x:v>
      </x:c>
      <x:c r="D2727" s="66" t="str">
        <x:v>PTN Akademik</x:v>
      </x:c>
      <x:c r="E2727" s="66" t="str">
        <x:v>13731083</x:v>
      </x:c>
      <x:c r="F2727" s="66" t="str">
        <x:v>GIZI</x:v>
      </x:c>
      <x:c r="G2727" s="66" t="str">
        <x:v>Sarjana</x:v>
      </x:c>
      <x:c r="H2727" s="87" t="n">
        <x:v>26</x:v>
      </x:c>
      <x:c r="I2727" s="87" t="n">
        <x:v>752</x:v>
      </x:c>
      <x:c r="J2727" s="68" t="n">
        <x:f>IFERROR(H2727/I2727,"")</x:f>
        <x:v>0.034574468085106384</x:v>
      </x:c>
      <x:c r="K2727" s="69" t="n">
        <x:f>IFERROR(I2727/H2727,"")</x:f>
        <x:v>28.923076923076923</x:v>
      </x:c>
      <x:c r="L2727" s="66" t="str">
        <x:f>IF(K2727="","","1 : "&amp;TEXT(K2727,"0.0"))</x:f>
        <x:v>1 : 28.9</x:v>
      </x:c>
      <x:c r="M2727" s="66" t="str">
        <x:f>IF(J2727="","Baru/Tanpa Data",IF(J2727&lt;='Catatan &amp; Sumber'!$B$14,"Sangat Ketat",IF(J2727&lt;='Catatan &amp; Sumber'!$B$15,"Ketat",IF(J2727&lt;='Catatan &amp; Sumber'!$B$16,"Sedang","Relatif Longgar"))))</x:f>
        <x:v>Ketat</x:v>
      </x:c>
      <x:c r="N2727" s="66" t="str">
        <x:v>Tidak Ada</x:v>
      </x:c>
      <x:c r="O2727" s="66" t="str">
        <x:v>Jawa Timur</x:v>
      </x:c>
      <x:c r="P2727" s="66" t="str">
        <x:v>Kota Malang</x:v>
      </x:c>
      <x:c r="Q2727" s="66" t="str">
        <x:v>https://snpmb.id/snbp/daya-tampung-snbp</x:v>
      </x:c>
      <x:c r="R2727" s="66" t="str">
        <x:v>https://sidatagrun-public-1076756628210.asia-southeast2.run.app/ptn_sn.php?ptn=373</x:v>
      </x:c>
    </x:row>
    <x:row r="2728">
      <x:c r="A2728" s="87" t="n">
        <x:v>308</x:v>
      </x:c>
      <x:c r="B2728" s="66" t="n">
        <x:v>373</x:v>
      </x:c>
      <x:c r="C2728" s="66" t="str">
        <x:v>UNIVERSITAS NEGERI MALANG</x:v>
      </x:c>
      <x:c r="D2728" s="66" t="str">
        <x:v>PTN Akademik</x:v>
      </x:c>
      <x:c r="E2728" s="66" t="str">
        <x:v>13731084</x:v>
      </x:c>
      <x:c r="F2728" s="66" t="str">
        <x:v>ILMU KOMUNIKASI</x:v>
      </x:c>
      <x:c r="G2728" s="66" t="str">
        <x:v>Sarjana</x:v>
      </x:c>
      <x:c r="H2728" s="87" t="n">
        <x:v>48</x:v>
      </x:c>
      <x:c r="I2728" s="87" t="n">
        <x:v>1125</x:v>
      </x:c>
      <x:c r="J2728" s="68" t="n">
        <x:f>IFERROR(H2728/I2728,"")</x:f>
        <x:v>0.042666666666666665</x:v>
      </x:c>
      <x:c r="K2728" s="69" t="n">
        <x:f>IFERROR(I2728/H2728,"")</x:f>
        <x:v>23.4375</x:v>
      </x:c>
      <x:c r="L2728" s="66" t="str">
        <x:f>IF(K2728="","","1 : "&amp;TEXT(K2728,"0.0"))</x:f>
        <x:v>1 : 23.4</x:v>
      </x:c>
      <x:c r="M2728" s="66" t="str">
        <x:f>IF(J2728="","Baru/Tanpa Data",IF(J2728&lt;='Catatan &amp; Sumber'!$B$14,"Sangat Ketat",IF(J2728&lt;='Catatan &amp; Sumber'!$B$15,"Ketat",IF(J2728&lt;='Catatan &amp; Sumber'!$B$16,"Sedang","Relatif Longgar"))))</x:f>
        <x:v>Ketat</x:v>
      </x:c>
      <x:c r="N2728" s="66" t="str">
        <x:v>Tidak Ada</x:v>
      </x:c>
      <x:c r="O2728" s="66" t="str">
        <x:v>Jawa Timur</x:v>
      </x:c>
      <x:c r="P2728" s="66" t="str">
        <x:v>Kota Malang</x:v>
      </x:c>
      <x:c r="Q2728" s="66" t="str">
        <x:v>https://snpmb.id/snbp/daya-tampung-snbp</x:v>
      </x:c>
      <x:c r="R2728" s="66" t="str">
        <x:v>https://sidatagrun-public-1076756628210.asia-southeast2.run.app/ptn_sn.php?ptn=373</x:v>
      </x:c>
    </x:row>
    <x:row r="2729">
      <x:c r="A2729" s="87" t="n">
        <x:v>80</x:v>
      </x:c>
      <x:c r="B2729" s="66" t="n">
        <x:v>373</x:v>
      </x:c>
      <x:c r="C2729" s="66" t="str">
        <x:v>UNIVERSITAS NEGERI MALANG</x:v>
      </x:c>
      <x:c r="D2729" s="66" t="str">
        <x:v>PTN Akademik</x:v>
      </x:c>
      <x:c r="E2729" s="66" t="str">
        <x:v>13731085</x:v>
      </x:c>
      <x:c r="F2729" s="66" t="str">
        <x:v>KEDOKTERAN</x:v>
      </x:c>
      <x:c r="G2729" s="66" t="str">
        <x:v>Sarjana</x:v>
      </x:c>
      <x:c r="H2729" s="87" t="n">
        <x:v>11</x:v>
      </x:c>
      <x:c r="I2729" s="87" t="n">
        <x:v>415</x:v>
      </x:c>
      <x:c r="J2729" s="68" t="n">
        <x:f>IFERROR(H2729/I2729,"")</x:f>
        <x:v>0.02650602409638554</x:v>
      </x:c>
      <x:c r="K2729" s="69" t="n">
        <x:f>IFERROR(I2729/H2729,"")</x:f>
        <x:v>37.72727272727273</x:v>
      </x:c>
      <x:c r="L2729" s="66" t="str">
        <x:f>IF(K2729="","","1 : "&amp;TEXT(K2729,"0.0"))</x:f>
        <x:v>1 : 37.7</x:v>
      </x:c>
      <x:c r="M2729" s="66" t="str">
        <x:f>IF(J2729="","Baru/Tanpa Data",IF(J2729&lt;='Catatan &amp; Sumber'!$B$14,"Sangat Ketat",IF(J2729&lt;='Catatan &amp; Sumber'!$B$15,"Ketat",IF(J2729&lt;='Catatan &amp; Sumber'!$B$16,"Sedang","Relatif Longgar"))))</x:f>
        <x:v>Ketat</x:v>
      </x:c>
      <x:c r="N2729" s="66" t="str">
        <x:v>Tidak Ada</x:v>
      </x:c>
      <x:c r="O2729" s="66" t="str">
        <x:v>Jawa Timur</x:v>
      </x:c>
      <x:c r="P2729" s="66" t="str">
        <x:v>Kota Malang</x:v>
      </x:c>
      <x:c r="Q2729" s="66" t="str">
        <x:v>https://snpmb.id/snbp/daya-tampung-snbp</x:v>
      </x:c>
      <x:c r="R2729" s="66" t="str">
        <x:v>https://sidatagrun-public-1076756628210.asia-southeast2.run.app/ptn_sn.php?ptn=373</x:v>
      </x:c>
    </x:row>
    <x:row r="2730">
      <x:c r="A2730" s="87" t="n">
        <x:v>5</x:v>
      </x:c>
      <x:c r="B2730" s="66" t="n">
        <x:v>373</x:v>
      </x:c>
      <x:c r="C2730" s="66" t="str">
        <x:v>UNIVERSITAS NEGERI MALANG</x:v>
      </x:c>
      <x:c r="D2730" s="66" t="str">
        <x:v>PTN Akademik</x:v>
      </x:c>
      <x:c r="E2730" s="66" t="str">
        <x:v>13731086</x:v>
      </x:c>
      <x:c r="F2730" s="66" t="str">
        <x:v>KEPERAWATAN</x:v>
      </x:c>
      <x:c r="G2730" s="66" t="str">
        <x:v>Sarjana</x:v>
      </x:c>
      <x:c r="H2730" s="87" t="n">
        <x:v>11</x:v>
      </x:c>
      <x:c r="I2730" s="87" t="n">
        <x:v>797</x:v>
      </x:c>
      <x:c r="J2730" s="68" t="n">
        <x:f>IFERROR(H2730/I2730,"")</x:f>
        <x:v>0.013801756587202008</x:v>
      </x:c>
      <x:c r="K2730" s="69" t="n">
        <x:f>IFERROR(I2730/H2730,"")</x:f>
        <x:v>72.45454545454545</x:v>
      </x:c>
      <x:c r="L2730" s="66" t="str">
        <x:f>IF(K2730="","","1 : "&amp;TEXT(K2730,"0.0"))</x:f>
        <x:v>1 : 72.5</x:v>
      </x:c>
      <x:c r="M2730" s="66" t="str">
        <x:f>IF(J2730="","Baru/Tanpa Data",IF(J2730&lt;='Catatan &amp; Sumber'!$B$14,"Sangat Ketat",IF(J2730&lt;='Catatan &amp; Sumber'!$B$15,"Ketat",IF(J2730&lt;='Catatan &amp; Sumber'!$B$16,"Sedang","Relatif Longgar"))))</x:f>
        <x:v>Sangat Ketat</x:v>
      </x:c>
      <x:c r="N2730" s="66" t="str">
        <x:v>Tidak Ada</x:v>
      </x:c>
      <x:c r="O2730" s="66" t="str">
        <x:v>Jawa Timur</x:v>
      </x:c>
      <x:c r="P2730" s="66" t="str">
        <x:v>Kota Malang</x:v>
      </x:c>
      <x:c r="Q2730" s="66" t="str">
        <x:v>https://snpmb.id/snbp/daya-tampung-snbp</x:v>
      </x:c>
      <x:c r="R2730" s="66" t="str">
        <x:v>https://sidatagrun-public-1076756628210.asia-southeast2.run.app/ptn_sn.php?ptn=373</x:v>
      </x:c>
    </x:row>
    <x:row r="2731">
      <x:c r="A2731" s="87" t="n">
        <x:v>195</x:v>
      </x:c>
      <x:c r="B2731" s="66" t="n">
        <x:v>373</x:v>
      </x:c>
      <x:c r="C2731" s="66" t="str">
        <x:v>UNIVERSITAS NEGERI MALANG</x:v>
      </x:c>
      <x:c r="D2731" s="66" t="str">
        <x:v>PTN Akademik</x:v>
      </x:c>
      <x:c r="E2731" s="66" t="str">
        <x:v>13731087</x:v>
      </x:c>
      <x:c r="F2731" s="66" t="str">
        <x:v>KEBIDANAN</x:v>
      </x:c>
      <x:c r="G2731" s="66" t="str">
        <x:v>Sarjana</x:v>
      </x:c>
      <x:c r="H2731" s="87" t="n">
        <x:v>11</x:v>
      </x:c>
      <x:c r="I2731" s="87" t="n">
        <x:v>300</x:v>
      </x:c>
      <x:c r="J2731" s="68" t="n">
        <x:f>IFERROR(H2731/I2731,"")</x:f>
        <x:v>0.03666666666666667</x:v>
      </x:c>
      <x:c r="K2731" s="69" t="n">
        <x:f>IFERROR(I2731/H2731,"")</x:f>
        <x:v>27.272727272727273</x:v>
      </x:c>
      <x:c r="L2731" s="66" t="str">
        <x:f>IF(K2731="","","1 : "&amp;TEXT(K2731,"0.0"))</x:f>
        <x:v>1 : 27.3</x:v>
      </x:c>
      <x:c r="M2731" s="66" t="str">
        <x:f>IF(J2731="","Baru/Tanpa Data",IF(J2731&lt;='Catatan &amp; Sumber'!$B$14,"Sangat Ketat",IF(J2731&lt;='Catatan &amp; Sumber'!$B$15,"Ketat",IF(J2731&lt;='Catatan &amp; Sumber'!$B$16,"Sedang","Relatif Longgar"))))</x:f>
        <x:v>Ketat</x:v>
      </x:c>
      <x:c r="N2731" s="66" t="str">
        <x:v>Tidak Ada</x:v>
      </x:c>
      <x:c r="O2731" s="66" t="str">
        <x:v>Jawa Timur</x:v>
      </x:c>
      <x:c r="P2731" s="66" t="str">
        <x:v>Kota Malang</x:v>
      </x:c>
      <x:c r="Q2731" s="66" t="str">
        <x:v>https://snpmb.id/snbp/daya-tampung-snbp</x:v>
      </x:c>
      <x:c r="R2731" s="66" t="str">
        <x:v>https://sidatagrun-public-1076756628210.asia-southeast2.run.app/ptn_sn.php?ptn=373</x:v>
      </x:c>
    </x:row>
    <x:row r="2732">
      <x:c r="A2732" s="87" t="n">
        <x:v>1130</x:v>
      </x:c>
      <x:c r="B2732" s="66" t="n">
        <x:v>373</x:v>
      </x:c>
      <x:c r="C2732" s="66" t="str">
        <x:v>UNIVERSITAS NEGERI MALANG</x:v>
      </x:c>
      <x:c r="D2732" s="66" t="str">
        <x:v>PTN Akademik</x:v>
      </x:c>
      <x:c r="E2732" s="66" t="str">
        <x:v>13731088</x:v>
      </x:c>
      <x:c r="F2732" s="66" t="str">
        <x:v>HUKUM</x:v>
      </x:c>
      <x:c r="G2732" s="66" t="str">
        <x:v>Sarjana</x:v>
      </x:c>
      <x:c r="H2732" s="87" t="n">
        <x:v>47</x:v>
      </x:c>
      <x:c r="I2732" s="87" t="n">
        <x:v>549</x:v>
      </x:c>
      <x:c r="J2732" s="68" t="n">
        <x:f>IFERROR(H2732/I2732,"")</x:f>
        <x:v>0.08561020036429873</x:v>
      </x:c>
      <x:c r="K2732" s="69" t="n">
        <x:f>IFERROR(I2732/H2732,"")</x:f>
        <x:v>11.680851063829786</x:v>
      </x:c>
      <x:c r="L2732" s="66" t="str">
        <x:f>IF(K2732="","","1 : "&amp;TEXT(K2732,"0.0"))</x:f>
        <x:v>1 : 11.7</x:v>
      </x:c>
      <x:c r="M2732" s="66" t="str">
        <x:f>IF(J2732="","Baru/Tanpa Data",IF(J2732&lt;='Catatan &amp; Sumber'!$B$14,"Sangat Ketat",IF(J2732&lt;='Catatan &amp; Sumber'!$B$15,"Ketat",IF(J2732&lt;='Catatan &amp; Sumber'!$B$16,"Sedang","Relatif Longgar"))))</x:f>
        <x:v>Sedang</x:v>
      </x:c>
      <x:c r="N2732" s="66" t="str">
        <x:v>Tidak Ada</x:v>
      </x:c>
      <x:c r="O2732" s="66" t="str">
        <x:v>Jawa Timur</x:v>
      </x:c>
      <x:c r="P2732" s="66" t="str">
        <x:v>Kota Malang</x:v>
      </x:c>
      <x:c r="Q2732" s="66" t="str">
        <x:v>https://snpmb.id/snbp/daya-tampung-snbp</x:v>
      </x:c>
      <x:c r="R2732" s="66" t="str">
        <x:v>https://sidatagrun-public-1076756628210.asia-southeast2.run.app/ptn_sn.php?ptn=373</x:v>
      </x:c>
    </x:row>
    <x:row r="2733">
      <x:c r="A2733" s="87" t="n">
        <x:v>967</x:v>
      </x:c>
      <x:c r="B2733" s="66" t="n">
        <x:v>373</x:v>
      </x:c>
      <x:c r="C2733" s="66" t="str">
        <x:v>UNIVERSITAS NEGERI MALANG</x:v>
      </x:c>
      <x:c r="D2733" s="66" t="str">
        <x:v>PTN Akademik</x:v>
      </x:c>
      <x:c r="E2733" s="66" t="str">
        <x:v>13731089</x:v>
      </x:c>
      <x:c r="F2733" s="66" t="str">
        <x:v>PARIWISATA</x:v>
      </x:c>
      <x:c r="G2733" s="66" t="str">
        <x:v>Sarjana</x:v>
      </x:c>
      <x:c r="H2733" s="87" t="n">
        <x:v>38</x:v>
      </x:c>
      <x:c r="I2733" s="87" t="n">
        <x:v>499</x:v>
      </x:c>
      <x:c r="J2733" s="68" t="n">
        <x:f>IFERROR(H2733/I2733,"")</x:f>
        <x:v>0.07615230460921844</x:v>
      </x:c>
      <x:c r="K2733" s="69" t="n">
        <x:f>IFERROR(I2733/H2733,"")</x:f>
        <x:v>13.131578947368421</x:v>
      </x:c>
      <x:c r="L2733" s="66" t="str">
        <x:f>IF(K2733="","","1 : "&amp;TEXT(K2733,"0.0"))</x:f>
        <x:v>1 : 13.1</x:v>
      </x:c>
      <x:c r="M2733" s="66" t="str">
        <x:f>IF(J2733="","Baru/Tanpa Data",IF(J2733&lt;='Catatan &amp; Sumber'!$B$14,"Sangat Ketat",IF(J2733&lt;='Catatan &amp; Sumber'!$B$15,"Ketat",IF(J2733&lt;='Catatan &amp; Sumber'!$B$16,"Sedang","Relatif Longgar"))))</x:f>
        <x:v>Sedang</x:v>
      </x:c>
      <x:c r="N2733" s="66" t="str">
        <x:v>Tidak Ada</x:v>
      </x:c>
      <x:c r="O2733" s="66" t="str">
        <x:v>Jawa Timur</x:v>
      </x:c>
      <x:c r="P2733" s="66" t="str">
        <x:v>Kota Malang</x:v>
      </x:c>
      <x:c r="Q2733" s="66" t="str">
        <x:v>https://snpmb.id/snbp/daya-tampung-snbp</x:v>
      </x:c>
      <x:c r="R2733" s="66" t="str">
        <x:v>https://sidatagrun-public-1076756628210.asia-southeast2.run.app/ptn_sn.php?ptn=373</x:v>
      </x:c>
    </x:row>
    <x:row r="2734">
      <x:c r="A2734" s="87" t="n">
        <x:v>1472</x:v>
      </x:c>
      <x:c r="B2734" s="66" t="n">
        <x:v>373</x:v>
      </x:c>
      <x:c r="C2734" s="66" t="str">
        <x:v>UNIVERSITAS NEGERI MALANG</x:v>
      </x:c>
      <x:c r="D2734" s="66" t="str">
        <x:v>PTN Akademik</x:v>
      </x:c>
      <x:c r="E2734" s="66" t="str">
        <x:v>13731090</x:v>
      </x:c>
      <x:c r="F2734" s="66" t="str">
        <x:v>ARSITEKTUR</x:v>
      </x:c>
      <x:c r="G2734" s="66" t="str">
        <x:v>Sarjana</x:v>
      </x:c>
      <x:c r="H2734" s="87" t="n">
        <x:v>25</x:v>
      </x:c>
      <x:c r="I2734" s="87" t="n">
        <x:v>232</x:v>
      </x:c>
      <x:c r="J2734" s="68" t="n">
        <x:f>IFERROR(H2734/I2734,"")</x:f>
        <x:v>0.10775862068965517</x:v>
      </x:c>
      <x:c r="K2734" s="69" t="n">
        <x:f>IFERROR(I2734/H2734,"")</x:f>
        <x:v>9.28</x:v>
      </x:c>
      <x:c r="L2734" s="66" t="str">
        <x:f>IF(K2734="","","1 : "&amp;TEXT(K2734,"0.0"))</x:f>
        <x:v>1 : 9.3</x:v>
      </x:c>
      <x:c r="M2734" s="66" t="str">
        <x:f>IF(J2734="","Baru/Tanpa Data",IF(J2734&lt;='Catatan &amp; Sumber'!$B$14,"Sangat Ketat",IF(J2734&lt;='Catatan &amp; Sumber'!$B$15,"Ketat",IF(J2734&lt;='Catatan &amp; Sumber'!$B$16,"Sedang","Relatif Longgar"))))</x:f>
        <x:v>Relatif Longgar</x:v>
      </x:c>
      <x:c r="N2734" s="66" t="str">
        <x:v>Tidak Ada</x:v>
      </x:c>
      <x:c r="O2734" s="66" t="str">
        <x:v>Jawa Timur</x:v>
      </x:c>
      <x:c r="P2734" s="66" t="str">
        <x:v>Kota Malang</x:v>
      </x:c>
      <x:c r="Q2734" s="66" t="str">
        <x:v>https://snpmb.id/snbp/daya-tampung-snbp</x:v>
      </x:c>
      <x:c r="R2734" s="66" t="str">
        <x:v>https://sidatagrun-public-1076756628210.asia-southeast2.run.app/ptn_sn.php?ptn=373</x:v>
      </x:c>
    </x:row>
    <x:row r="2735">
      <x:c r="A2735" s="87" t="n">
        <x:v>1550</x:v>
      </x:c>
      <x:c r="B2735" s="66" t="n">
        <x:v>373</x:v>
      </x:c>
      <x:c r="C2735" s="66" t="str">
        <x:v>UNIVERSITAS NEGERI MALANG</x:v>
      </x:c>
      <x:c r="D2735" s="66" t="str">
        <x:v>PTN Akademik</x:v>
      </x:c>
      <x:c r="E2735" s="66" t="str">
        <x:v>13731091</x:v>
      </x:c>
      <x:c r="F2735" s="66" t="str">
        <x:v>TEKNIK LINGKUNGAN</x:v>
      </x:c>
      <x:c r="G2735" s="66" t="str">
        <x:v>Sarjana</x:v>
      </x:c>
      <x:c r="H2735" s="87" t="n">
        <x:v>23</x:v>
      </x:c>
      <x:c r="I2735" s="87" t="n">
        <x:v>203</x:v>
      </x:c>
      <x:c r="J2735" s="68" t="n">
        <x:f>IFERROR(H2735/I2735,"")</x:f>
        <x:v>0.11330049261083744</x:v>
      </x:c>
      <x:c r="K2735" s="69" t="n">
        <x:f>IFERROR(I2735/H2735,"")</x:f>
        <x:v>8.826086956521738</x:v>
      </x:c>
      <x:c r="L2735" s="66" t="str">
        <x:f>IF(K2735="","","1 : "&amp;TEXT(K2735,"0.0"))</x:f>
        <x:v>1 : 8.8</x:v>
      </x:c>
      <x:c r="M2735" s="66" t="str">
        <x:f>IF(J2735="","Baru/Tanpa Data",IF(J2735&lt;='Catatan &amp; Sumber'!$B$14,"Sangat Ketat",IF(J2735&lt;='Catatan &amp; Sumber'!$B$15,"Ketat",IF(J2735&lt;='Catatan &amp; Sumber'!$B$16,"Sedang","Relatif Longgar"))))</x:f>
        <x:v>Relatif Longgar</x:v>
      </x:c>
      <x:c r="N2735" s="66" t="str">
        <x:v>Tidak Ada</x:v>
      </x:c>
      <x:c r="O2735" s="66" t="str">
        <x:v>Jawa Timur</x:v>
      </x:c>
      <x:c r="P2735" s="66" t="str">
        <x:v>Kota Malang</x:v>
      </x:c>
      <x:c r="Q2735" s="66" t="str">
        <x:v>https://snpmb.id/snbp/daya-tampung-snbp</x:v>
      </x:c>
      <x:c r="R2735" s="66" t="str">
        <x:v>https://sidatagrun-public-1076756628210.asia-southeast2.run.app/ptn_sn.php?ptn=373</x:v>
      </x:c>
    </x:row>
    <x:row r="2736">
      <x:c r="A2736" s="87" t="n">
        <x:v>3320</x:v>
      </x:c>
      <x:c r="B2736" s="66" t="n">
        <x:v>373</x:v>
      </x:c>
      <x:c r="C2736" s="66" t="str">
        <x:v>UNIVERSITAS NEGERI MALANG</x:v>
      </x:c>
      <x:c r="D2736" s="66" t="str">
        <x:v>PTN Akademik</x:v>
      </x:c>
      <x:c r="E2736" s="66" t="str">
        <x:v>13731092</x:v>
      </x:c>
      <x:c r="F2736" s="66" t="str">
        <x:v>SAINS AKTUARIA</x:v>
      </x:c>
      <x:c r="G2736" s="66" t="str">
        <x:v>Sarjana</x:v>
      </x:c>
      <x:c r="H2736" s="87" t="n">
        <x:v>42</x:v>
      </x:c>
      <x:c r="I2736" s="87" t="n">
        <x:v>111</x:v>
      </x:c>
      <x:c r="J2736" s="68" t="n">
        <x:f>IFERROR(H2736/I2736,"")</x:f>
        <x:v>0.3783783783783784</x:v>
      </x:c>
      <x:c r="K2736" s="69" t="n">
        <x:f>IFERROR(I2736/H2736,"")</x:f>
        <x:v>2.642857142857143</x:v>
      </x:c>
      <x:c r="L2736" s="66" t="str">
        <x:f>IF(K2736="","","1 : "&amp;TEXT(K2736,"0.0"))</x:f>
        <x:v>1 : 2.6</x:v>
      </x:c>
      <x:c r="M2736" s="66" t="str">
        <x:f>IF(J2736="","Baru/Tanpa Data",IF(J2736&lt;='Catatan &amp; Sumber'!$B$14,"Sangat Ketat",IF(J2736&lt;='Catatan &amp; Sumber'!$B$15,"Ketat",IF(J2736&lt;='Catatan &amp; Sumber'!$B$16,"Sedang","Relatif Longgar"))))</x:f>
        <x:v>Relatif Longgar</x:v>
      </x:c>
      <x:c r="N2736" s="66" t="str">
        <x:v>Tidak Ada</x:v>
      </x:c>
      <x:c r="O2736" s="66" t="str">
        <x:v>Jawa Timur</x:v>
      </x:c>
      <x:c r="P2736" s="66" t="str">
        <x:v>Kota Malang</x:v>
      </x:c>
      <x:c r="Q2736" s="66" t="str">
        <x:v>https://snpmb.id/snbp/daya-tampung-snbp</x:v>
      </x:c>
      <x:c r="R2736" s="66" t="str">
        <x:v>https://sidatagrun-public-1076756628210.asia-southeast2.run.app/ptn_sn.php?ptn=373</x:v>
      </x:c>
    </x:row>
    <x:row r="2737">
      <x:c r="A2737" s="87" t="n">
        <x:v>2884</x:v>
      </x:c>
      <x:c r="B2737" s="66" t="n">
        <x:v>373</x:v>
      </x:c>
      <x:c r="C2737" s="66" t="str">
        <x:v>UNIVERSITAS NEGERI MALANG</x:v>
      </x:c>
      <x:c r="D2737" s="66" t="str">
        <x:v>PTN Akademik</x:v>
      </x:c>
      <x:c r="E2737" s="66" t="str">
        <x:v>13732023</x:v>
      </x:c>
      <x:c r="F2737" s="66" t="str">
        <x:v>TEKNOLOGI REKAYASA MANUFAKTUR</x:v>
      </x:c>
      <x:c r="G2737" s="66" t="str">
        <x:v>Sarjana Terapan</x:v>
      </x:c>
      <x:c r="H2737" s="87" t="n">
        <x:v>31</x:v>
      </x:c>
      <x:c r="I2737" s="87" t="n">
        <x:v>114</x:v>
      </x:c>
      <x:c r="J2737" s="68" t="n">
        <x:f>IFERROR(H2737/I2737,"")</x:f>
        <x:v>0.2719298245614035</x:v>
      </x:c>
      <x:c r="K2737" s="69" t="n">
        <x:f>IFERROR(I2737/H2737,"")</x:f>
        <x:v>3.6774193548387095</x:v>
      </x:c>
      <x:c r="L2737" s="66" t="str">
        <x:f>IF(K2737="","","1 : "&amp;TEXT(K2737,"0.0"))</x:f>
        <x:v>1 : 3.7</x:v>
      </x:c>
      <x:c r="M2737" s="66" t="str">
        <x:f>IF(J2737="","Baru/Tanpa Data",IF(J2737&lt;='Catatan &amp; Sumber'!$B$14,"Sangat Ketat",IF(J2737&lt;='Catatan &amp; Sumber'!$B$15,"Ketat",IF(J2737&lt;='Catatan &amp; Sumber'!$B$16,"Sedang","Relatif Longgar"))))</x:f>
        <x:v>Relatif Longgar</x:v>
      </x:c>
      <x:c r="N2737" s="66" t="str">
        <x:v>Tidak Ada</x:v>
      </x:c>
      <x:c r="O2737" s="66" t="str">
        <x:v>Jawa Timur</x:v>
      </x:c>
      <x:c r="P2737" s="66" t="str">
        <x:v>Kota Malang</x:v>
      </x:c>
      <x:c r="Q2737" s="66" t="str">
        <x:v>https://snpmb.id/snbp/daya-tampung-snbp</x:v>
      </x:c>
      <x:c r="R2737" s="66" t="str">
        <x:v>https://sidatagrun-public-1076756628210.asia-southeast2.run.app/ptn_sn.php?ptn=373</x:v>
      </x:c>
    </x:row>
    <x:row r="2738">
      <x:c r="A2738" s="87" t="n">
        <x:v>2800</x:v>
      </x:c>
      <x:c r="B2738" s="66" t="n">
        <x:v>373</x:v>
      </x:c>
      <x:c r="C2738" s="66" t="str">
        <x:v>UNIVERSITAS NEGERI MALANG</x:v>
      </x:c>
      <x:c r="D2738" s="66" t="str">
        <x:v>PTN Akademik</x:v>
      </x:c>
      <x:c r="E2738" s="66" t="str">
        <x:v>13732024</x:v>
      </x:c>
      <x:c r="F2738" s="66" t="str">
        <x:v>TEKNOLOGI REKAYASA OTOMOTIF</x:v>
      </x:c>
      <x:c r="G2738" s="66" t="str">
        <x:v>Sarjana Terapan</x:v>
      </x:c>
      <x:c r="H2738" s="87" t="n">
        <x:v>32</x:v>
      </x:c>
      <x:c r="I2738" s="87" t="n">
        <x:v>124</x:v>
      </x:c>
      <x:c r="J2738" s="68" t="n">
        <x:f>IFERROR(H2738/I2738,"")</x:f>
        <x:v>0.25806451612903225</x:v>
      </x:c>
      <x:c r="K2738" s="69" t="n">
        <x:f>IFERROR(I2738/H2738,"")</x:f>
        <x:v>3.875</x:v>
      </x:c>
      <x:c r="L2738" s="66" t="str">
        <x:f>IF(K2738="","","1 : "&amp;TEXT(K2738,"0.0"))</x:f>
        <x:v>1 : 3.9</x:v>
      </x:c>
      <x:c r="M2738" s="66" t="str">
        <x:f>IF(J2738="","Baru/Tanpa Data",IF(J2738&lt;='Catatan &amp; Sumber'!$B$14,"Sangat Ketat",IF(J2738&lt;='Catatan &amp; Sumber'!$B$15,"Ketat",IF(J2738&lt;='Catatan &amp; Sumber'!$B$16,"Sedang","Relatif Longgar"))))</x:f>
        <x:v>Relatif Longgar</x:v>
      </x:c>
      <x:c r="N2738" s="66" t="str">
        <x:v>Tidak Ada</x:v>
      </x:c>
      <x:c r="O2738" s="66" t="str">
        <x:v>Jawa Timur</x:v>
      </x:c>
      <x:c r="P2738" s="66" t="str">
        <x:v>Kota Malang</x:v>
      </x:c>
      <x:c r="Q2738" s="66" t="str">
        <x:v>https://snpmb.id/snbp/daya-tampung-snbp</x:v>
      </x:c>
      <x:c r="R2738" s="66" t="str">
        <x:v>https://sidatagrun-public-1076756628210.asia-southeast2.run.app/ptn_sn.php?ptn=373</x:v>
      </x:c>
    </x:row>
    <x:row r="2739">
      <x:c r="A2739" s="87" t="n">
        <x:v>2583</x:v>
      </x:c>
      <x:c r="B2739" s="66" t="n">
        <x:v>373</x:v>
      </x:c>
      <x:c r="C2739" s="66" t="str">
        <x:v>UNIVERSITAS NEGERI MALANG</x:v>
      </x:c>
      <x:c r="D2739" s="66" t="str">
        <x:v>PTN Akademik</x:v>
      </x:c>
      <x:c r="E2739" s="66" t="str">
        <x:v>13732025</x:v>
      </x:c>
      <x:c r="F2739" s="66" t="str">
        <x:v>TEKNOLOGI REKAYASA DAN PEMELIHARAAN BANGUNAN SIPIL</x:v>
      </x:c>
      <x:c r="G2739" s="66" t="str">
        <x:v>Sarjana Terapan</x:v>
      </x:c>
      <x:c r="H2739" s="87" t="n">
        <x:v>35</x:v>
      </x:c>
      <x:c r="I2739" s="87" t="n">
        <x:v>155</x:v>
      </x:c>
      <x:c r="J2739" s="68" t="n">
        <x:f>IFERROR(H2739/I2739,"")</x:f>
        <x:v>0.22580645161290322</x:v>
      </x:c>
      <x:c r="K2739" s="69" t="n">
        <x:f>IFERROR(I2739/H2739,"")</x:f>
        <x:v>4.428571428571429</x:v>
      </x:c>
      <x:c r="L2739" s="66" t="str">
        <x:f>IF(K2739="","","1 : "&amp;TEXT(K2739,"0.0"))</x:f>
        <x:v>1 : 4.4</x:v>
      </x:c>
      <x:c r="M2739" s="66" t="str">
        <x:f>IF(J2739="","Baru/Tanpa Data",IF(J2739&lt;='Catatan &amp; Sumber'!$B$14,"Sangat Ketat",IF(J2739&lt;='Catatan &amp; Sumber'!$B$15,"Ketat",IF(J2739&lt;='Catatan &amp; Sumber'!$B$16,"Sedang","Relatif Longgar"))))</x:f>
        <x:v>Relatif Longgar</x:v>
      </x:c>
      <x:c r="N2739" s="66" t="str">
        <x:v>Tidak Ada</x:v>
      </x:c>
      <x:c r="O2739" s="66" t="str">
        <x:v>Jawa Timur</x:v>
      </x:c>
      <x:c r="P2739" s="66" t="str">
        <x:v>Kota Malang</x:v>
      </x:c>
      <x:c r="Q2739" s="66" t="str">
        <x:v>https://snpmb.id/snbp/daya-tampung-snbp</x:v>
      </x:c>
      <x:c r="R2739" s="66" t="str">
        <x:v>https://sidatagrun-public-1076756628210.asia-southeast2.run.app/ptn_sn.php?ptn=373</x:v>
      </x:c>
    </x:row>
    <x:row r="2740">
      <x:c r="A2740" s="87" t="n">
        <x:v>3476</x:v>
      </x:c>
      <x:c r="B2740" s="66" t="n">
        <x:v>373</x:v>
      </x:c>
      <x:c r="C2740" s="66" t="str">
        <x:v>UNIVERSITAS NEGERI MALANG</x:v>
      </x:c>
      <x:c r="D2740" s="66" t="str">
        <x:v>PTN Akademik</x:v>
      </x:c>
      <x:c r="E2740" s="66" t="str">
        <x:v>13732026</x:v>
      </x:c>
      <x:c r="F2740" s="66" t="str">
        <x:v>TEKNOLOGI REKAYASA PEMBANGKIT ENERGI</x:v>
      </x:c>
      <x:c r="G2740" s="66" t="str">
        <x:v>Sarjana Terapan</x:v>
      </x:c>
      <x:c r="H2740" s="87" t="n">
        <x:v>35</x:v>
      </x:c>
      <x:c r="I2740" s="87" t="n">
        <x:v>82</x:v>
      </x:c>
      <x:c r="J2740" s="68" t="n">
        <x:f>IFERROR(H2740/I2740,"")</x:f>
        <x:v>0.4268292682926829</x:v>
      </x:c>
      <x:c r="K2740" s="69" t="n">
        <x:f>IFERROR(I2740/H2740,"")</x:f>
        <x:v>2.342857142857143</x:v>
      </x:c>
      <x:c r="L2740" s="66" t="str">
        <x:f>IF(K2740="","","1 : "&amp;TEXT(K2740,"0.0"))</x:f>
        <x:v>1 : 2.3</x:v>
      </x:c>
      <x:c r="M2740" s="66" t="str">
        <x:f>IF(J2740="","Baru/Tanpa Data",IF(J2740&lt;='Catatan &amp; Sumber'!$B$14,"Sangat Ketat",IF(J2740&lt;='Catatan &amp; Sumber'!$B$15,"Ketat",IF(J2740&lt;='Catatan &amp; Sumber'!$B$16,"Sedang","Relatif Longgar"))))</x:f>
        <x:v>Relatif Longgar</x:v>
      </x:c>
      <x:c r="N2740" s="66" t="str">
        <x:v>Tidak Ada</x:v>
      </x:c>
      <x:c r="O2740" s="66" t="str">
        <x:v>Jawa Timur</x:v>
      </x:c>
      <x:c r="P2740" s="66" t="str">
        <x:v>Kota Malang</x:v>
      </x:c>
      <x:c r="Q2740" s="66" t="str">
        <x:v>https://snpmb.id/snbp/daya-tampung-snbp</x:v>
      </x:c>
      <x:c r="R2740" s="66" t="str">
        <x:v>https://sidatagrun-public-1076756628210.asia-southeast2.run.app/ptn_sn.php?ptn=373</x:v>
      </x:c>
    </x:row>
    <x:row r="2741">
      <x:c r="A2741" s="87" t="n">
        <x:v>2814</x:v>
      </x:c>
      <x:c r="B2741" s="66" t="n">
        <x:v>373</x:v>
      </x:c>
      <x:c r="C2741" s="66" t="str">
        <x:v>UNIVERSITAS NEGERI MALANG</x:v>
      </x:c>
      <x:c r="D2741" s="66" t="str">
        <x:v>PTN Akademik</x:v>
      </x:c>
      <x:c r="E2741" s="66" t="str">
        <x:v>13732027</x:v>
      </x:c>
      <x:c r="F2741" s="66" t="str">
        <x:v>TEKNOLOGI REKAYASA SISTEM ELEKTRONIKA</x:v>
      </x:c>
      <x:c r="G2741" s="66" t="str">
        <x:v>Sarjana Terapan</x:v>
      </x:c>
      <x:c r="H2741" s="87" t="n">
        <x:v>31</x:v>
      </x:c>
      <x:c r="I2741" s="87" t="n">
        <x:v>119</x:v>
      </x:c>
      <x:c r="J2741" s="68" t="n">
        <x:f>IFERROR(H2741/I2741,"")</x:f>
        <x:v>0.2605042016806723</x:v>
      </x:c>
      <x:c r="K2741" s="69" t="n">
        <x:f>IFERROR(I2741/H2741,"")</x:f>
        <x:v>3.838709677419355</x:v>
      </x:c>
      <x:c r="L2741" s="66" t="str">
        <x:f>IF(K2741="","","1 : "&amp;TEXT(K2741,"0.0"))</x:f>
        <x:v>1 : 3.8</x:v>
      </x:c>
      <x:c r="M2741" s="66" t="str">
        <x:f>IF(J2741="","Baru/Tanpa Data",IF(J2741&lt;='Catatan &amp; Sumber'!$B$14,"Sangat Ketat",IF(J2741&lt;='Catatan &amp; Sumber'!$B$15,"Ketat",IF(J2741&lt;='Catatan &amp; Sumber'!$B$16,"Sedang","Relatif Longgar"))))</x:f>
        <x:v>Relatif Longgar</x:v>
      </x:c>
      <x:c r="N2741" s="66" t="str">
        <x:v>Tidak Ada</x:v>
      </x:c>
      <x:c r="O2741" s="66" t="str">
        <x:v>Jawa Timur</x:v>
      </x:c>
      <x:c r="P2741" s="66" t="str">
        <x:v>Kota Malang</x:v>
      </x:c>
      <x:c r="Q2741" s="66" t="str">
        <x:v>https://snpmb.id/snbp/daya-tampung-snbp</x:v>
      </x:c>
      <x:c r="R2741" s="66" t="str">
        <x:v>https://sidatagrun-public-1076756628210.asia-southeast2.run.app/ptn_sn.php?ptn=373</x:v>
      </x:c>
    </x:row>
    <x:row r="2742">
      <x:c r="A2742" s="87" t="n">
        <x:v>3136</x:v>
      </x:c>
      <x:c r="B2742" s="66" t="n">
        <x:v>373</x:v>
      </x:c>
      <x:c r="C2742" s="66" t="str">
        <x:v>UNIVERSITAS NEGERI MALANG</x:v>
      </x:c>
      <x:c r="D2742" s="66" t="str">
        <x:v>PTN Akademik</x:v>
      </x:c>
      <x:c r="E2742" s="66" t="str">
        <x:v>13732065</x:v>
      </x:c>
      <x:c r="F2742" s="66" t="str">
        <x:v>PERPUSTAKAAN DIGITAL</x:v>
      </x:c>
      <x:c r="G2742" s="66" t="str">
        <x:v>Sarjana Terapan</x:v>
      </x:c>
      <x:c r="H2742" s="87" t="n">
        <x:v>34</x:v>
      </x:c>
      <x:c r="I2742" s="87" t="n">
        <x:v>105</x:v>
      </x:c>
      <x:c r="J2742" s="68" t="n">
        <x:f>IFERROR(H2742/I2742,"")</x:f>
        <x:v>0.3238095238095238</x:v>
      </x:c>
      <x:c r="K2742" s="69" t="n">
        <x:f>IFERROR(I2742/H2742,"")</x:f>
        <x:v>3.088235294117647</x:v>
      </x:c>
      <x:c r="L2742" s="66" t="str">
        <x:f>IF(K2742="","","1 : "&amp;TEXT(K2742,"0.0"))</x:f>
        <x:v>1 : 3.1</x:v>
      </x:c>
      <x:c r="M2742" s="66" t="str">
        <x:f>IF(J2742="","Baru/Tanpa Data",IF(J2742&lt;='Catatan &amp; Sumber'!$B$14,"Sangat Ketat",IF(J2742&lt;='Catatan &amp; Sumber'!$B$15,"Ketat",IF(J2742&lt;='Catatan &amp; Sumber'!$B$16,"Sedang","Relatif Longgar"))))</x:f>
        <x:v>Relatif Longgar</x:v>
      </x:c>
      <x:c r="N2742" s="66" t="str">
        <x:v>Tidak Ada</x:v>
      </x:c>
      <x:c r="O2742" s="66" t="str">
        <x:v>Jawa Timur</x:v>
      </x:c>
      <x:c r="P2742" s="66" t="str">
        <x:v>Kota Malang</x:v>
      </x:c>
      <x:c r="Q2742" s="66" t="str">
        <x:v>https://snpmb.id/snbp/daya-tampung-snbp</x:v>
      </x:c>
      <x:c r="R2742" s="66" t="str">
        <x:v>https://sidatagrun-public-1076756628210.asia-southeast2.run.app/ptn_sn.php?ptn=373</x:v>
      </x:c>
    </x:row>
    <x:row r="2743">
      <x:c r="A2743" s="87" t="n">
        <x:v>2880</x:v>
      </x:c>
      <x:c r="B2743" s="66" t="n">
        <x:v>373</x:v>
      </x:c>
      <x:c r="C2743" s="66" t="str">
        <x:v>UNIVERSITAS NEGERI MALANG</x:v>
      </x:c>
      <x:c r="D2743" s="66" t="str">
        <x:v>PTN Akademik</x:v>
      </x:c>
      <x:c r="E2743" s="66" t="str">
        <x:v>13732066</x:v>
      </x:c>
      <x:c r="F2743" s="66" t="str">
        <x:v>ANIMASI</x:v>
      </x:c>
      <x:c r="G2743" s="66" t="str">
        <x:v>Sarjana Terapan</x:v>
      </x:c>
      <x:c r="H2743" s="87" t="n">
        <x:v>44</x:v>
      </x:c>
      <x:c r="I2743" s="87" t="n">
        <x:v>162</x:v>
      </x:c>
      <x:c r="J2743" s="68" t="n">
        <x:f>IFERROR(H2743/I2743,"")</x:f>
        <x:v>0.2716049382716049</x:v>
      </x:c>
      <x:c r="K2743" s="69" t="n">
        <x:f>IFERROR(I2743/H2743,"")</x:f>
        <x:v>3.6818181818181817</x:v>
      </x:c>
      <x:c r="L2743" s="66" t="str">
        <x:f>IF(K2743="","","1 : "&amp;TEXT(K2743,"0.0"))</x:f>
        <x:v>1 : 3.7</x:v>
      </x:c>
      <x:c r="M2743" s="66" t="str">
        <x:f>IF(J2743="","Baru/Tanpa Data",IF(J2743&lt;='Catatan &amp; Sumber'!$B$14,"Sangat Ketat",IF(J2743&lt;='Catatan &amp; Sumber'!$B$15,"Ketat",IF(J2743&lt;='Catatan &amp; Sumber'!$B$16,"Sedang","Relatif Longgar"))))</x:f>
        <x:v>Relatif Longgar</x:v>
      </x:c>
      <x:c r="N2743" s="66" t="str">
        <x:v>Seni Rupa, Desain, dan Kriya</x:v>
      </x:c>
      <x:c r="O2743" s="66" t="str">
        <x:v>Jawa Timur</x:v>
      </x:c>
      <x:c r="P2743" s="66" t="str">
        <x:v>Kota Malang</x:v>
      </x:c>
      <x:c r="Q2743" s="66" t="str">
        <x:v>https://snpmb.id/snbp/daya-tampung-snbp</x:v>
      </x:c>
      <x:c r="R2743" s="66" t="str">
        <x:v>https://sidatagrun-public-1076756628210.asia-southeast2.run.app/ptn_sn.php?ptn=373</x:v>
      </x:c>
    </x:row>
    <x:row r="2744">
      <x:c r="A2744" s="87" t="n">
        <x:v>1345</x:v>
      </x:c>
      <x:c r="B2744" s="66" t="n">
        <x:v>373</x:v>
      </x:c>
      <x:c r="C2744" s="66" t="str">
        <x:v>UNIVERSITAS NEGERI MALANG</x:v>
      </x:c>
      <x:c r="D2744" s="66" t="str">
        <x:v>PTN Akademik</x:v>
      </x:c>
      <x:c r="E2744" s="66" t="str">
        <x:v>13732067</x:v>
      </x:c>
      <x:c r="F2744" s="66" t="str">
        <x:v>MANAJEMEN PEMASARAN</x:v>
      </x:c>
      <x:c r="G2744" s="66" t="str">
        <x:v>Sarjana Terapan</x:v>
      </x:c>
      <x:c r="H2744" s="87" t="n">
        <x:v>41</x:v>
      </x:c>
      <x:c r="I2744" s="87" t="n">
        <x:v>418</x:v>
      </x:c>
      <x:c r="J2744" s="68" t="n">
        <x:f>IFERROR(H2744/I2744,"")</x:f>
        <x:v>0.09808612440191387</x:v>
      </x:c>
      <x:c r="K2744" s="69" t="n">
        <x:f>IFERROR(I2744/H2744,"")</x:f>
        <x:v>10.195121951219512</x:v>
      </x:c>
      <x:c r="L2744" s="66" t="str">
        <x:f>IF(K2744="","","1 : "&amp;TEXT(K2744,"0.0"))</x:f>
        <x:v>1 : 10.2</x:v>
      </x:c>
      <x:c r="M2744" s="66" t="str">
        <x:f>IF(J2744="","Baru/Tanpa Data",IF(J2744&lt;='Catatan &amp; Sumber'!$B$14,"Sangat Ketat",IF(J2744&lt;='Catatan &amp; Sumber'!$B$15,"Ketat",IF(J2744&lt;='Catatan &amp; Sumber'!$B$16,"Sedang","Relatif Longgar"))))</x:f>
        <x:v>Sedang</x:v>
      </x:c>
      <x:c r="N2744" s="66" t="str">
        <x:v>Tidak Ada</x:v>
      </x:c>
      <x:c r="O2744" s="66" t="str">
        <x:v>Jawa Timur</x:v>
      </x:c>
      <x:c r="P2744" s="66" t="str">
        <x:v>Kota Malang</x:v>
      </x:c>
      <x:c r="Q2744" s="66" t="str">
        <x:v>https://snpmb.id/snbp/daya-tampung-snbp</x:v>
      </x:c>
      <x:c r="R2744" s="66" t="str">
        <x:v>https://sidatagrun-public-1076756628210.asia-southeast2.run.app/ptn_sn.php?ptn=373</x:v>
      </x:c>
    </x:row>
    <x:row r="2745">
      <x:c r="A2745" s="87" t="n">
        <x:v>1383</x:v>
      </x:c>
      <x:c r="B2745" s="66" t="n">
        <x:v>373</x:v>
      </x:c>
      <x:c r="C2745" s="66" t="str">
        <x:v>UNIVERSITAS NEGERI MALANG</x:v>
      </x:c>
      <x:c r="D2745" s="66" t="str">
        <x:v>PTN Akademik</x:v>
      </x:c>
      <x:c r="E2745" s="66" t="str">
        <x:v>13732068</x:v>
      </x:c>
      <x:c r="F2745" s="66" t="str">
        <x:v>AKUNTANSI</x:v>
      </x:c>
      <x:c r="G2745" s="66" t="str">
        <x:v>Sarjana Terapan</x:v>
      </x:c>
      <x:c r="H2745" s="87" t="n">
        <x:v>41</x:v>
      </x:c>
      <x:c r="I2745" s="87" t="n">
        <x:v>406</x:v>
      </x:c>
      <x:c r="J2745" s="68" t="n">
        <x:f>IFERROR(H2745/I2745,"")</x:f>
        <x:v>0.10098522167487685</x:v>
      </x:c>
      <x:c r="K2745" s="69" t="n">
        <x:f>IFERROR(I2745/H2745,"")</x:f>
        <x:v>9.902439024390244</x:v>
      </x:c>
      <x:c r="L2745" s="66" t="str">
        <x:f>IF(K2745="","","1 : "&amp;TEXT(K2745,"0.0"))</x:f>
        <x:v>1 : 9.9</x:v>
      </x:c>
      <x:c r="M2745" s="66" t="str">
        <x:f>IF(J2745="","Baru/Tanpa Data",IF(J2745&lt;='Catatan &amp; Sumber'!$B$14,"Sangat Ketat",IF(J2745&lt;='Catatan &amp; Sumber'!$B$15,"Ketat",IF(J2745&lt;='Catatan &amp; Sumber'!$B$16,"Sedang","Relatif Longgar"))))</x:f>
        <x:v>Relatif Longgar</x:v>
      </x:c>
      <x:c r="N2745" s="66" t="str">
        <x:v>Tidak Ada</x:v>
      </x:c>
      <x:c r="O2745" s="66" t="str">
        <x:v>Jawa Timur</x:v>
      </x:c>
      <x:c r="P2745" s="66" t="str">
        <x:v>Kota Malang</x:v>
      </x:c>
      <x:c r="Q2745" s="66" t="str">
        <x:v>https://snpmb.id/snbp/daya-tampung-snbp</x:v>
      </x:c>
      <x:c r="R2745" s="66" t="str">
        <x:v>https://sidatagrun-public-1076756628210.asia-southeast2.run.app/ptn_sn.php?ptn=373</x:v>
      </x:c>
    </x:row>
    <x:row r="2746">
      <x:c r="A2746" s="87" t="n">
        <x:v>1314</x:v>
      </x:c>
      <x:c r="B2746" s="66" t="n">
        <x:v>373</x:v>
      </x:c>
      <x:c r="C2746" s="66" t="str">
        <x:v>UNIVERSITAS NEGERI MALANG</x:v>
      </x:c>
      <x:c r="D2746" s="66" t="str">
        <x:v>PTN Akademik</x:v>
      </x:c>
      <x:c r="E2746" s="66" t="str">
        <x:v>13732069</x:v>
      </x:c>
      <x:c r="F2746" s="66" t="str">
        <x:v>TATA BOGA</x:v>
      </x:c>
      <x:c r="G2746" s="66" t="str">
        <x:v>Sarjana Terapan</x:v>
      </x:c>
      <x:c r="H2746" s="87" t="n">
        <x:v>38</x:v>
      </x:c>
      <x:c r="I2746" s="87" t="n">
        <x:v>395</x:v>
      </x:c>
      <x:c r="J2746" s="68" t="n">
        <x:f>IFERROR(H2746/I2746,"")</x:f>
        <x:v>0.09620253164556962</x:v>
      </x:c>
      <x:c r="K2746" s="69" t="n">
        <x:f>IFERROR(I2746/H2746,"")</x:f>
        <x:v>10.394736842105264</x:v>
      </x:c>
      <x:c r="L2746" s="66" t="str">
        <x:f>IF(K2746="","","1 : "&amp;TEXT(K2746,"0.0"))</x:f>
        <x:v>1 : 10.4</x:v>
      </x:c>
      <x:c r="M2746" s="66" t="str">
        <x:f>IF(J2746="","Baru/Tanpa Data",IF(J2746&lt;='Catatan &amp; Sumber'!$B$14,"Sangat Ketat",IF(J2746&lt;='Catatan &amp; Sumber'!$B$15,"Ketat",IF(J2746&lt;='Catatan &amp; Sumber'!$B$16,"Sedang","Relatif Longgar"))))</x:f>
        <x:v>Sedang</x:v>
      </x:c>
      <x:c r="N2746" s="66" t="str">
        <x:v>Tidak Ada</x:v>
      </x:c>
      <x:c r="O2746" s="66" t="str">
        <x:v>Jawa Timur</x:v>
      </x:c>
      <x:c r="P2746" s="66" t="str">
        <x:v>Kota Malang</x:v>
      </x:c>
      <x:c r="Q2746" s="66" t="str">
        <x:v>https://snpmb.id/snbp/daya-tampung-snbp</x:v>
      </x:c>
      <x:c r="R2746" s="66" t="str">
        <x:v>https://sidatagrun-public-1076756628210.asia-southeast2.run.app/ptn_sn.php?ptn=373</x:v>
      </x:c>
    </x:row>
    <x:row r="2747">
      <x:c r="A2747" s="87" t="n">
        <x:v>3432</x:v>
      </x:c>
      <x:c r="B2747" s="66" t="n">
        <x:v>373</x:v>
      </x:c>
      <x:c r="C2747" s="66" t="str">
        <x:v>UNIVERSITAS NEGERI MALANG</x:v>
      </x:c>
      <x:c r="D2747" s="66" t="str">
        <x:v>PTN Akademik</x:v>
      </x:c>
      <x:c r="E2747" s="66" t="str">
        <x:v>13732070</x:v>
      </x:c>
      <x:c r="F2747" s="66" t="str">
        <x:v>DESAIN MODE</x:v>
      </x:c>
      <x:c r="G2747" s="66" t="str">
        <x:v>Sarjana Terapan</x:v>
      </x:c>
      <x:c r="H2747" s="87" t="n">
        <x:v>40</x:v>
      </x:c>
      <x:c r="I2747" s="87" t="n">
        <x:v>97</x:v>
      </x:c>
      <x:c r="J2747" s="68" t="n">
        <x:f>IFERROR(H2747/I2747,"")</x:f>
        <x:v>0.41237113402061853</x:v>
      </x:c>
      <x:c r="K2747" s="69" t="n">
        <x:f>IFERROR(I2747/H2747,"")</x:f>
        <x:v>2.425</x:v>
      </x:c>
      <x:c r="L2747" s="66" t="str">
        <x:f>IF(K2747="","","1 : "&amp;TEXT(K2747,"0.0"))</x:f>
        <x:v>1 : 2.4</x:v>
      </x:c>
      <x:c r="M2747" s="66" t="str">
        <x:f>IF(J2747="","Baru/Tanpa Data",IF(J2747&lt;='Catatan &amp; Sumber'!$B$14,"Sangat Ketat",IF(J2747&lt;='Catatan &amp; Sumber'!$B$15,"Ketat",IF(J2747&lt;='Catatan &amp; Sumber'!$B$16,"Sedang","Relatif Longgar"))))</x:f>
        <x:v>Relatif Longgar</x:v>
      </x:c>
      <x:c r="N2747" s="66" t="str">
        <x:v>Seni Rupa, Desain, dan Kriya</x:v>
      </x:c>
      <x:c r="O2747" s="66" t="str">
        <x:v>Jawa Timur</x:v>
      </x:c>
      <x:c r="P2747" s="66" t="str">
        <x:v>Kota Malang</x:v>
      </x:c>
      <x:c r="Q2747" s="66" t="str">
        <x:v>https://snpmb.id/snbp/daya-tampung-snbp</x:v>
      </x:c>
      <x:c r="R2747" s="66" t="str">
        <x:v>https://sidatagrun-public-1076756628210.asia-southeast2.run.app/ptn_sn.php?ptn=373</x:v>
      </x:c>
    </x:row>
    <x:row r="2748">
      <x:c r="A2748" s="87" t="n">
        <x:v>4010</x:v>
      </x:c>
      <x:c r="B2748" s="66" t="n">
        <x:v>374</x:v>
      </x:c>
      <x:c r="C2748" s="66" t="str">
        <x:v>UIN MALANG</x:v>
      </x:c>
      <x:c r="D2748" s="66" t="str">
        <x:v>PTKIN</x:v>
      </x:c>
      <x:c r="E2748" s="66" t="str">
        <x:v>13741001</x:v>
      </x:c>
      <x:c r="F2748" s="66" t="str">
        <x:v>MATEMATIKA</x:v>
      </x:c>
      <x:c r="G2748" s="66" t="str">
        <x:v>Sarjana</x:v>
      </x:c>
      <x:c r="H2748" s="87" t="n">
        <x:v>47</x:v>
      </x:c>
      <x:c r="I2748" s="87" t="n">
        <x:v>68</x:v>
      </x:c>
      <x:c r="J2748" s="68" t="n">
        <x:f>IFERROR(H2748/I2748,"")</x:f>
        <x:v>0.6911764705882353</x:v>
      </x:c>
      <x:c r="K2748" s="69" t="n">
        <x:f>IFERROR(I2748/H2748,"")</x:f>
        <x:v>1.446808510638298</x:v>
      </x:c>
      <x:c r="L2748" s="66" t="str">
        <x:f>IF(K2748="","","1 : "&amp;TEXT(K2748,"0.0"))</x:f>
        <x:v>1 : 1.4</x:v>
      </x:c>
      <x:c r="M2748" s="66" t="str">
        <x:f>IF(J2748="","Baru/Tanpa Data",IF(J2748&lt;='Catatan &amp; Sumber'!$B$14,"Sangat Ketat",IF(J2748&lt;='Catatan &amp; Sumber'!$B$15,"Ketat",IF(J2748&lt;='Catatan &amp; Sumber'!$B$16,"Sedang","Relatif Longgar"))))</x:f>
        <x:v>Relatif Longgar</x:v>
      </x:c>
      <x:c r="N2748" s="66" t="str">
        <x:v>Tidak Ada</x:v>
      </x:c>
      <x:c r="O2748" s="66" t="str">
        <x:v>Jawa Timur</x:v>
      </x:c>
      <x:c r="P2748" s="66" t="str">
        <x:v>Kota Malang</x:v>
      </x:c>
      <x:c r="Q2748" s="66" t="str">
        <x:v>https://snpmb.id/snbp/daya-tampung-snbp</x:v>
      </x:c>
      <x:c r="R2748" s="66" t="str">
        <x:v>https://sidatagrun-public-1076756628210.asia-southeast2.run.app/ptn_sn.php?ptn=374</x:v>
      </x:c>
    </x:row>
    <x:row r="2749">
      <x:c r="A2749" s="87" t="n">
        <x:v>3767</x:v>
      </x:c>
      <x:c r="B2749" s="66" t="n">
        <x:v>374</x:v>
      </x:c>
      <x:c r="C2749" s="66" t="str">
        <x:v>UIN MALANG</x:v>
      </x:c>
      <x:c r="D2749" s="66" t="str">
        <x:v>PTKIN</x:v>
      </x:c>
      <x:c r="E2749" s="66" t="str">
        <x:v>13741002</x:v>
      </x:c>
      <x:c r="F2749" s="66" t="str">
        <x:v>BIOLOGI</x:v>
      </x:c>
      <x:c r="G2749" s="66" t="str">
        <x:v>Sarjana</x:v>
      </x:c>
      <x:c r="H2749" s="87" t="n">
        <x:v>62</x:v>
      </x:c>
      <x:c r="I2749" s="87" t="n">
        <x:v>112</x:v>
      </x:c>
      <x:c r="J2749" s="68" t="n">
        <x:f>IFERROR(H2749/I2749,"")</x:f>
        <x:v>0.5535714285714286</x:v>
      </x:c>
      <x:c r="K2749" s="69" t="n">
        <x:f>IFERROR(I2749/H2749,"")</x:f>
        <x:v>1.8064516129032258</x:v>
      </x:c>
      <x:c r="L2749" s="66" t="str">
        <x:f>IF(K2749="","","1 : "&amp;TEXT(K2749,"0.0"))</x:f>
        <x:v>1 : 1.8</x:v>
      </x:c>
      <x:c r="M2749" s="66" t="str">
        <x:f>IF(J2749="","Baru/Tanpa Data",IF(J2749&lt;='Catatan &amp; Sumber'!$B$14,"Sangat Ketat",IF(J2749&lt;='Catatan &amp; Sumber'!$B$15,"Ketat",IF(J2749&lt;='Catatan &amp; Sumber'!$B$16,"Sedang","Relatif Longgar"))))</x:f>
        <x:v>Relatif Longgar</x:v>
      </x:c>
      <x:c r="N2749" s="66" t="str">
        <x:v>Tidak Ada</x:v>
      </x:c>
      <x:c r="O2749" s="66" t="str">
        <x:v>Jawa Timur</x:v>
      </x:c>
      <x:c r="P2749" s="66" t="str">
        <x:v>Kota Malang</x:v>
      </x:c>
      <x:c r="Q2749" s="66" t="str">
        <x:v>https://snpmb.id/snbp/daya-tampung-snbp</x:v>
      </x:c>
      <x:c r="R2749" s="66" t="str">
        <x:v>https://sidatagrun-public-1076756628210.asia-southeast2.run.app/ptn_sn.php?ptn=374</x:v>
      </x:c>
    </x:row>
    <x:row r="2750">
      <x:c r="A2750" s="87" t="n">
        <x:v>3949</x:v>
      </x:c>
      <x:c r="B2750" s="66" t="n">
        <x:v>374</x:v>
      </x:c>
      <x:c r="C2750" s="66" t="str">
        <x:v>UIN MALANG</x:v>
      </x:c>
      <x:c r="D2750" s="66" t="str">
        <x:v>PTKIN</x:v>
      </x:c>
      <x:c r="E2750" s="66" t="str">
        <x:v>13741003</x:v>
      </x:c>
      <x:c r="F2750" s="66" t="str">
        <x:v>KIMIA</x:v>
      </x:c>
      <x:c r="G2750" s="66" t="str">
        <x:v>Sarjana</x:v>
      </x:c>
      <x:c r="H2750" s="87" t="n">
        <x:v>47</x:v>
      </x:c>
      <x:c r="I2750" s="87" t="n">
        <x:v>72</x:v>
      </x:c>
      <x:c r="J2750" s="68" t="n">
        <x:f>IFERROR(H2750/I2750,"")</x:f>
        <x:v>0.6527777777777778</x:v>
      </x:c>
      <x:c r="K2750" s="69" t="n">
        <x:f>IFERROR(I2750/H2750,"")</x:f>
        <x:v>1.5319148936170213</x:v>
      </x:c>
      <x:c r="L2750" s="66" t="str">
        <x:f>IF(K2750="","","1 : "&amp;TEXT(K2750,"0.0"))</x:f>
        <x:v>1 : 1.5</x:v>
      </x:c>
      <x:c r="M2750" s="66" t="str">
        <x:f>IF(J2750="","Baru/Tanpa Data",IF(J2750&lt;='Catatan &amp; Sumber'!$B$14,"Sangat Ketat",IF(J2750&lt;='Catatan &amp; Sumber'!$B$15,"Ketat",IF(J2750&lt;='Catatan &amp; Sumber'!$B$16,"Sedang","Relatif Longgar"))))</x:f>
        <x:v>Relatif Longgar</x:v>
      </x:c>
      <x:c r="N2750" s="66" t="str">
        <x:v>Tidak Ada</x:v>
      </x:c>
      <x:c r="O2750" s="66" t="str">
        <x:v>Jawa Timur</x:v>
      </x:c>
      <x:c r="P2750" s="66" t="str">
        <x:v>Kota Malang</x:v>
      </x:c>
      <x:c r="Q2750" s="66" t="str">
        <x:v>https://snpmb.id/snbp/daya-tampung-snbp</x:v>
      </x:c>
      <x:c r="R2750" s="66" t="str">
        <x:v>https://sidatagrun-public-1076756628210.asia-southeast2.run.app/ptn_sn.php?ptn=374</x:v>
      </x:c>
    </x:row>
    <x:row r="2751">
      <x:c r="A2751" s="87" t="n">
        <x:v>4626</x:v>
      </x:c>
      <x:c r="B2751" s="66" t="n">
        <x:v>374</x:v>
      </x:c>
      <x:c r="C2751" s="66" t="str">
        <x:v>UIN MALANG</x:v>
      </x:c>
      <x:c r="D2751" s="66" t="str">
        <x:v>PTKIN</x:v>
      </x:c>
      <x:c r="E2751" s="66" t="str">
        <x:v>13741004</x:v>
      </x:c>
      <x:c r="F2751" s="66" t="str">
        <x:v>FISIKA</x:v>
      </x:c>
      <x:c r="G2751" s="66" t="str">
        <x:v>Sarjana</x:v>
      </x:c>
      <x:c r="H2751" s="87" t="n">
        <x:v>47</x:v>
      </x:c>
      <x:c r="I2751" s="87" t="n">
        <x:v>27</x:v>
      </x:c>
      <x:c r="J2751" s="68" t="n">
        <x:f>IFERROR(H2751/I2751,"")</x:f>
        <x:v>1.7407407407407407</x:v>
      </x:c>
      <x:c r="K2751" s="69" t="n">
        <x:f>IFERROR(I2751/H2751,"")</x:f>
        <x:v>0.574468085106383</x:v>
      </x:c>
      <x:c r="L2751" s="66" t="str">
        <x:f>IF(K2751="","","1 : "&amp;TEXT(K2751,"0.0"))</x:f>
        <x:v>1 : 0.6</x:v>
      </x:c>
      <x:c r="M2751" s="66" t="str">
        <x:f>IF(J2751="","Baru/Tanpa Data",IF(J2751&lt;='Catatan &amp; Sumber'!$B$14,"Sangat Ketat",IF(J2751&lt;='Catatan &amp; Sumber'!$B$15,"Ketat",IF(J2751&lt;='Catatan &amp; Sumber'!$B$16,"Sedang","Relatif Longgar"))))</x:f>
        <x:v>Relatif Longgar</x:v>
      </x:c>
      <x:c r="N2751" s="66" t="str">
        <x:v>Tidak Ada</x:v>
      </x:c>
      <x:c r="O2751" s="66" t="str">
        <x:v>Jawa Timur</x:v>
      </x:c>
      <x:c r="P2751" s="66" t="str">
        <x:v>Kota Malang</x:v>
      </x:c>
      <x:c r="Q2751" s="66" t="str">
        <x:v>https://snpmb.id/snbp/daya-tampung-snbp</x:v>
      </x:c>
      <x:c r="R2751" s="66" t="str">
        <x:v>https://sidatagrun-public-1076756628210.asia-southeast2.run.app/ptn_sn.php?ptn=374</x:v>
      </x:c>
    </x:row>
    <x:row r="2752">
      <x:c r="A2752" s="87" t="n">
        <x:v>3000</x:v>
      </x:c>
      <x:c r="B2752" s="66" t="n">
        <x:v>374</x:v>
      </x:c>
      <x:c r="C2752" s="66" t="str">
        <x:v>UIN MALANG</x:v>
      </x:c>
      <x:c r="D2752" s="66" t="str">
        <x:v>PTKIN</x:v>
      </x:c>
      <x:c r="E2752" s="66" t="str">
        <x:v>13741005</x:v>
      </x:c>
      <x:c r="F2752" s="66" t="str">
        <x:v>TEKNIK INFORMATIKA</x:v>
      </x:c>
      <x:c r="G2752" s="66" t="str">
        <x:v>Sarjana</x:v>
      </x:c>
      <x:c r="H2752" s="87" t="n">
        <x:v>89</x:v>
      </x:c>
      <x:c r="I2752" s="87" t="n">
        <x:v>304</x:v>
      </x:c>
      <x:c r="J2752" s="68" t="n">
        <x:f>IFERROR(H2752/I2752,"")</x:f>
        <x:v>0.29276315789473684</x:v>
      </x:c>
      <x:c r="K2752" s="69" t="n">
        <x:f>IFERROR(I2752/H2752,"")</x:f>
        <x:v>3.4157303370786516</x:v>
      </x:c>
      <x:c r="L2752" s="66" t="str">
        <x:f>IF(K2752="","","1 : "&amp;TEXT(K2752,"0.0"))</x:f>
        <x:v>1 : 3.4</x:v>
      </x:c>
      <x:c r="M2752" s="66" t="str">
        <x:f>IF(J2752="","Baru/Tanpa Data",IF(J2752&lt;='Catatan &amp; Sumber'!$B$14,"Sangat Ketat",IF(J2752&lt;='Catatan &amp; Sumber'!$B$15,"Ketat",IF(J2752&lt;='Catatan &amp; Sumber'!$B$16,"Sedang","Relatif Longgar"))))</x:f>
        <x:v>Relatif Longgar</x:v>
      </x:c>
      <x:c r="N2752" s="66" t="str">
        <x:v>Tidak Ada</x:v>
      </x:c>
      <x:c r="O2752" s="66" t="str">
        <x:v>Jawa Timur</x:v>
      </x:c>
      <x:c r="P2752" s="66" t="str">
        <x:v>Kota Malang</x:v>
      </x:c>
      <x:c r="Q2752" s="66" t="str">
        <x:v>https://snpmb.id/snbp/daya-tampung-snbp</x:v>
      </x:c>
      <x:c r="R2752" s="66" t="str">
        <x:v>https://sidatagrun-public-1076756628210.asia-southeast2.run.app/ptn_sn.php?ptn=374</x:v>
      </x:c>
    </x:row>
    <x:row r="2753">
      <x:c r="A2753" s="87" t="n">
        <x:v>4130</x:v>
      </x:c>
      <x:c r="B2753" s="66" t="n">
        <x:v>374</x:v>
      </x:c>
      <x:c r="C2753" s="66" t="str">
        <x:v>UIN MALANG</x:v>
      </x:c>
      <x:c r="D2753" s="66" t="str">
        <x:v>PTKIN</x:v>
      </x:c>
      <x:c r="E2753" s="66" t="str">
        <x:v>13741006</x:v>
      </x:c>
      <x:c r="F2753" s="66" t="str">
        <x:v>TEKNIK ARSITEKTUR</x:v>
      </x:c>
      <x:c r="G2753" s="66" t="str">
        <x:v>Sarjana</x:v>
      </x:c>
      <x:c r="H2753" s="87" t="n">
        <x:v>64</x:v>
      </x:c>
      <x:c r="I2753" s="87" t="n">
        <x:v>81</x:v>
      </x:c>
      <x:c r="J2753" s="68" t="n">
        <x:f>IFERROR(H2753/I2753,"")</x:f>
        <x:v>0.7901234567901234</x:v>
      </x:c>
      <x:c r="K2753" s="69" t="n">
        <x:f>IFERROR(I2753/H2753,"")</x:f>
        <x:v>1.265625</x:v>
      </x:c>
      <x:c r="L2753" s="66" t="str">
        <x:f>IF(K2753="","","1 : "&amp;TEXT(K2753,"0.0"))</x:f>
        <x:v>1 : 1.3</x:v>
      </x:c>
      <x:c r="M2753" s="66" t="str">
        <x:f>IF(J2753="","Baru/Tanpa Data",IF(J2753&lt;='Catatan &amp; Sumber'!$B$14,"Sangat Ketat",IF(J2753&lt;='Catatan &amp; Sumber'!$B$15,"Ketat",IF(J2753&lt;='Catatan &amp; Sumber'!$B$16,"Sedang","Relatif Longgar"))))</x:f>
        <x:v>Relatif Longgar</x:v>
      </x:c>
      <x:c r="N2753" s="66" t="str">
        <x:v>Tidak Ada</x:v>
      </x:c>
      <x:c r="O2753" s="66" t="str">
        <x:v>Jawa Timur</x:v>
      </x:c>
      <x:c r="P2753" s="66" t="str">
        <x:v>Kota Malang</x:v>
      </x:c>
      <x:c r="Q2753" s="66" t="str">
        <x:v>https://snpmb.id/snbp/daya-tampung-snbp</x:v>
      </x:c>
      <x:c r="R2753" s="66" t="str">
        <x:v>https://sidatagrun-public-1076756628210.asia-southeast2.run.app/ptn_sn.php?ptn=374</x:v>
      </x:c>
    </x:row>
    <x:row r="2754">
      <x:c r="A2754" s="87" t="n">
        <x:v>888</x:v>
      </x:c>
      <x:c r="B2754" s="66" t="n">
        <x:v>374</x:v>
      </x:c>
      <x:c r="C2754" s="66" t="str">
        <x:v>UIN MALANG</x:v>
      </x:c>
      <x:c r="D2754" s="66" t="str">
        <x:v>PTKIN</x:v>
      </x:c>
      <x:c r="E2754" s="66" t="str">
        <x:v>13741007</x:v>
      </x:c>
      <x:c r="F2754" s="66" t="str">
        <x:v>FARMASI</x:v>
      </x:c>
      <x:c r="G2754" s="66" t="str">
        <x:v>Sarjana</x:v>
      </x:c>
      <x:c r="H2754" s="87" t="n">
        <x:v>53</x:v>
      </x:c>
      <x:c r="I2754" s="87" t="n">
        <x:v>744</x:v>
      </x:c>
      <x:c r="J2754" s="68" t="n">
        <x:f>IFERROR(H2754/I2754,"")</x:f>
        <x:v>0.07123655913978495</x:v>
      </x:c>
      <x:c r="K2754" s="69" t="n">
        <x:f>IFERROR(I2754/H2754,"")</x:f>
        <x:v>14.037735849056604</x:v>
      </x:c>
      <x:c r="L2754" s="66" t="str">
        <x:f>IF(K2754="","","1 : "&amp;TEXT(K2754,"0.0"))</x:f>
        <x:v>1 : 14.0</x:v>
      </x:c>
      <x:c r="M2754" s="66" t="str">
        <x:f>IF(J2754="","Baru/Tanpa Data",IF(J2754&lt;='Catatan &amp; Sumber'!$B$14,"Sangat Ketat",IF(J2754&lt;='Catatan &amp; Sumber'!$B$15,"Ketat",IF(J2754&lt;='Catatan &amp; Sumber'!$B$16,"Sedang","Relatif Longgar"))))</x:f>
        <x:v>Sedang</x:v>
      </x:c>
      <x:c r="N2754" s="66" t="str">
        <x:v>Tidak Ada</x:v>
      </x:c>
      <x:c r="O2754" s="66" t="str">
        <x:v>Jawa Timur</x:v>
      </x:c>
      <x:c r="P2754" s="66" t="str">
        <x:v>Kota Malang</x:v>
      </x:c>
      <x:c r="Q2754" s="66" t="str">
        <x:v>https://snpmb.id/snbp/daya-tampung-snbp</x:v>
      </x:c>
      <x:c r="R2754" s="66" t="str">
        <x:v>https://sidatagrun-public-1076756628210.asia-southeast2.run.app/ptn_sn.php?ptn=374</x:v>
      </x:c>
    </x:row>
    <x:row r="2755">
      <x:c r="A2755" s="87" t="n">
        <x:v>523</x:v>
      </x:c>
      <x:c r="B2755" s="66" t="n">
        <x:v>374</x:v>
      </x:c>
      <x:c r="C2755" s="66" t="str">
        <x:v>UIN MALANG</x:v>
      </x:c>
      <x:c r="D2755" s="66" t="str">
        <x:v>PTKIN</x:v>
      </x:c>
      <x:c r="E2755" s="66" t="str">
        <x:v>13741008</x:v>
      </x:c>
      <x:c r="F2755" s="66" t="str">
        <x:v>PENDIDIKAN DOKTER</x:v>
      </x:c>
      <x:c r="G2755" s="66" t="str">
        <x:v>Sarjana</x:v>
      </x:c>
      <x:c r="H2755" s="87" t="n">
        <x:v>25</x:v>
      </x:c>
      <x:c r="I2755" s="87" t="n">
        <x:v>474</x:v>
      </x:c>
      <x:c r="J2755" s="68" t="n">
        <x:f>IFERROR(H2755/I2755,"")</x:f>
        <x:v>0.052742616033755275</x:v>
      </x:c>
      <x:c r="K2755" s="69" t="n">
        <x:f>IFERROR(I2755/H2755,"")</x:f>
        <x:v>18.96</x:v>
      </x:c>
      <x:c r="L2755" s="66" t="str">
        <x:f>IF(K2755="","","1 : "&amp;TEXT(K2755,"0.0"))</x:f>
        <x:v>1 : 19.0</x:v>
      </x:c>
      <x:c r="M2755" s="66" t="str">
        <x:f>IF(J2755="","Baru/Tanpa Data",IF(J2755&lt;='Catatan &amp; Sumber'!$B$14,"Sangat Ketat",IF(J2755&lt;='Catatan &amp; Sumber'!$B$15,"Ketat",IF(J2755&lt;='Catatan &amp; Sumber'!$B$16,"Sedang","Relatif Longgar"))))</x:f>
        <x:v>Sedang</x:v>
      </x:c>
      <x:c r="N2755" s="66" t="str">
        <x:v>Tidak Ada</x:v>
      </x:c>
      <x:c r="O2755" s="66" t="str">
        <x:v>Jawa Timur</x:v>
      </x:c>
      <x:c r="P2755" s="66" t="str">
        <x:v>Kota Malang</x:v>
      </x:c>
      <x:c r="Q2755" s="66" t="str">
        <x:v>https://snpmb.id/snbp/daya-tampung-snbp</x:v>
      </x:c>
      <x:c r="R2755" s="66" t="str">
        <x:v>https://sidatagrun-public-1076756628210.asia-southeast2.run.app/ptn_sn.php?ptn=374</x:v>
      </x:c>
    </x:row>
    <x:row r="2756">
      <x:c r="A2756" s="87" t="n">
        <x:v>3417</x:v>
      </x:c>
      <x:c r="B2756" s="66" t="n">
        <x:v>374</x:v>
      </x:c>
      <x:c r="C2756" s="66" t="str">
        <x:v>UIN MALANG</x:v>
      </x:c>
      <x:c r="D2756" s="66" t="str">
        <x:v>PTKIN</x:v>
      </x:c>
      <x:c r="E2756" s="66" t="str">
        <x:v>13741010</x:v>
      </x:c>
      <x:c r="F2756" s="66" t="str">
        <x:v>PENDIDIKAN IPS</x:v>
      </x:c>
      <x:c r="G2756" s="66" t="str">
        <x:v>Sarjana</x:v>
      </x:c>
      <x:c r="H2756" s="87" t="n">
        <x:v>74</x:v>
      </x:c>
      <x:c r="I2756" s="87" t="n">
        <x:v>182</x:v>
      </x:c>
      <x:c r="J2756" s="68" t="n">
        <x:f>IFERROR(H2756/I2756,"")</x:f>
        <x:v>0.4065934065934066</x:v>
      </x:c>
      <x:c r="K2756" s="69" t="n">
        <x:f>IFERROR(I2756/H2756,"")</x:f>
        <x:v>2.4594594594594597</x:v>
      </x:c>
      <x:c r="L2756" s="66" t="str">
        <x:f>IF(K2756="","","1 : "&amp;TEXT(K2756,"0.0"))</x:f>
        <x:v>1 : 2.5</x:v>
      </x:c>
      <x:c r="M2756" s="66" t="str">
        <x:f>IF(J2756="","Baru/Tanpa Data",IF(J2756&lt;='Catatan &amp; Sumber'!$B$14,"Sangat Ketat",IF(J2756&lt;='Catatan &amp; Sumber'!$B$15,"Ketat",IF(J2756&lt;='Catatan &amp; Sumber'!$B$16,"Sedang","Relatif Longgar"))))</x:f>
        <x:v>Relatif Longgar</x:v>
      </x:c>
      <x:c r="N2756" s="66" t="str">
        <x:v>Tidak Ada</x:v>
      </x:c>
      <x:c r="O2756" s="66" t="str">
        <x:v>Jawa Timur</x:v>
      </x:c>
      <x:c r="P2756" s="66" t="str">
        <x:v>Kota Malang</x:v>
      </x:c>
      <x:c r="Q2756" s="66" t="str">
        <x:v>https://snpmb.id/snbp/daya-tampung-snbp</x:v>
      </x:c>
      <x:c r="R2756" s="66" t="str">
        <x:v>https://sidatagrun-public-1076756628210.asia-southeast2.run.app/ptn_sn.php?ptn=374</x:v>
      </x:c>
    </x:row>
    <x:row r="2757">
      <x:c r="A2757" s="87" t="n">
        <x:v>4003</x:v>
      </x:c>
      <x:c r="B2757" s="66" t="n">
        <x:v>374</x:v>
      </x:c>
      <x:c r="C2757" s="66" t="str">
        <x:v>UIN MALANG</x:v>
      </x:c>
      <x:c r="D2757" s="66" t="str">
        <x:v>PTKIN</x:v>
      </x:c>
      <x:c r="E2757" s="66" t="str">
        <x:v>13741015</x:v>
      </x:c>
      <x:c r="F2757" s="66" t="str">
        <x:v>BAHASA DAN SASTRA INGGRIS</x:v>
      </x:c>
      <x:c r="G2757" s="66" t="str">
        <x:v>Sarjana</x:v>
      </x:c>
      <x:c r="H2757" s="87" t="n">
        <x:v>95</x:v>
      </x:c>
      <x:c r="I2757" s="87" t="n">
        <x:v>138</x:v>
      </x:c>
      <x:c r="J2757" s="68" t="n">
        <x:f>IFERROR(H2757/I2757,"")</x:f>
        <x:v>0.6884057971014492</x:v>
      </x:c>
      <x:c r="K2757" s="69" t="n">
        <x:f>IFERROR(I2757/H2757,"")</x:f>
        <x:v>1.4526315789473685</x:v>
      </x:c>
      <x:c r="L2757" s="66" t="str">
        <x:f>IF(K2757="","","1 : "&amp;TEXT(K2757,"0.0"))</x:f>
        <x:v>1 : 1.5</x:v>
      </x:c>
      <x:c r="M2757" s="66" t="str">
        <x:f>IF(J2757="","Baru/Tanpa Data",IF(J2757&lt;='Catatan &amp; Sumber'!$B$14,"Sangat Ketat",IF(J2757&lt;='Catatan &amp; Sumber'!$B$15,"Ketat",IF(J2757&lt;='Catatan &amp; Sumber'!$B$16,"Sedang","Relatif Longgar"))))</x:f>
        <x:v>Relatif Longgar</x:v>
      </x:c>
      <x:c r="N2757" s="66" t="str">
        <x:v>Tidak Ada</x:v>
      </x:c>
      <x:c r="O2757" s="66" t="str">
        <x:v>Jawa Timur</x:v>
      </x:c>
      <x:c r="P2757" s="66" t="str">
        <x:v>Kota Malang</x:v>
      </x:c>
      <x:c r="Q2757" s="66" t="str">
        <x:v>https://snpmb.id/snbp/daya-tampung-snbp</x:v>
      </x:c>
      <x:c r="R2757" s="66" t="str">
        <x:v>https://sidatagrun-public-1076756628210.asia-southeast2.run.app/ptn_sn.php?ptn=374</x:v>
      </x:c>
    </x:row>
    <x:row r="2758">
      <x:c r="A2758" s="87" t="n">
        <x:v>2645</x:v>
      </x:c>
      <x:c r="B2758" s="66" t="n">
        <x:v>374</x:v>
      </x:c>
      <x:c r="C2758" s="66" t="str">
        <x:v>UIN MALANG</x:v>
      </x:c>
      <x:c r="D2758" s="66" t="str">
        <x:v>PTKIN</x:v>
      </x:c>
      <x:c r="E2758" s="66" t="str">
        <x:v>13741017</x:v>
      </x:c>
      <x:c r="F2758" s="66" t="str">
        <x:v>PSIKOLOGI</x:v>
      </x:c>
      <x:c r="G2758" s="66" t="str">
        <x:v>Sarjana</x:v>
      </x:c>
      <x:c r="H2758" s="87" t="n">
        <x:v>101</x:v>
      </x:c>
      <x:c r="I2758" s="87" t="n">
        <x:v>431</x:v>
      </x:c>
      <x:c r="J2758" s="68" t="n">
        <x:f>IFERROR(H2758/I2758,"")</x:f>
        <x:v>0.23433874709976799</x:v>
      </x:c>
      <x:c r="K2758" s="69" t="n">
        <x:f>IFERROR(I2758/H2758,"")</x:f>
        <x:v>4.267326732673268</x:v>
      </x:c>
      <x:c r="L2758" s="66" t="str">
        <x:f>IF(K2758="","","1 : "&amp;TEXT(K2758,"0.0"))</x:f>
        <x:v>1 : 4.3</x:v>
      </x:c>
      <x:c r="M2758" s="66" t="str">
        <x:f>IF(J2758="","Baru/Tanpa Data",IF(J2758&lt;='Catatan &amp; Sumber'!$B$14,"Sangat Ketat",IF(J2758&lt;='Catatan &amp; Sumber'!$B$15,"Ketat",IF(J2758&lt;='Catatan &amp; Sumber'!$B$16,"Sedang","Relatif Longgar"))))</x:f>
        <x:v>Relatif Longgar</x:v>
      </x:c>
      <x:c r="N2758" s="66" t="str">
        <x:v>Tidak Ada</x:v>
      </x:c>
      <x:c r="O2758" s="66" t="str">
        <x:v>Jawa Timur</x:v>
      </x:c>
      <x:c r="P2758" s="66" t="str">
        <x:v>Kota Malang</x:v>
      </x:c>
      <x:c r="Q2758" s="66" t="str">
        <x:v>https://snpmb.id/snbp/daya-tampung-snbp</x:v>
      </x:c>
      <x:c r="R2758" s="66" t="str">
        <x:v>https://sidatagrun-public-1076756628210.asia-southeast2.run.app/ptn_sn.php?ptn=374</x:v>
      </x:c>
    </x:row>
    <x:row r="2759">
      <x:c r="A2759" s="87" t="n">
        <x:v>2581</x:v>
      </x:c>
      <x:c r="B2759" s="66" t="n">
        <x:v>374</x:v>
      </x:c>
      <x:c r="C2759" s="66" t="str">
        <x:v>UIN MALANG</x:v>
      </x:c>
      <x:c r="D2759" s="66" t="str">
        <x:v>PTKIN</x:v>
      </x:c>
      <x:c r="E2759" s="66" t="str">
        <x:v>13741018</x:v>
      </x:c>
      <x:c r="F2759" s="66" t="str">
        <x:v>MANAJEMEN</x:v>
      </x:c>
      <x:c r="G2759" s="66" t="str">
        <x:v>Sarjana</x:v>
      </x:c>
      <x:c r="H2759" s="87" t="n">
        <x:v>95</x:v>
      </x:c>
      <x:c r="I2759" s="87" t="n">
        <x:v>421</x:v>
      </x:c>
      <x:c r="J2759" s="68" t="n">
        <x:f>IFERROR(H2759/I2759,"")</x:f>
        <x:v>0.22565320665083136</x:v>
      </x:c>
      <x:c r="K2759" s="69" t="n">
        <x:f>IFERROR(I2759/H2759,"")</x:f>
        <x:v>4.431578947368421</x:v>
      </x:c>
      <x:c r="L2759" s="66" t="str">
        <x:f>IF(K2759="","","1 : "&amp;TEXT(K2759,"0.0"))</x:f>
        <x:v>1 : 4.4</x:v>
      </x:c>
      <x:c r="M2759" s="66" t="str">
        <x:f>IF(J2759="","Baru/Tanpa Data",IF(J2759&lt;='Catatan &amp; Sumber'!$B$14,"Sangat Ketat",IF(J2759&lt;='Catatan &amp; Sumber'!$B$15,"Ketat",IF(J2759&lt;='Catatan &amp; Sumber'!$B$16,"Sedang","Relatif Longgar"))))</x:f>
        <x:v>Relatif Longgar</x:v>
      </x:c>
      <x:c r="N2759" s="66" t="str">
        <x:v>Tidak Ada</x:v>
      </x:c>
      <x:c r="O2759" s="66" t="str">
        <x:v>Jawa Timur</x:v>
      </x:c>
      <x:c r="P2759" s="66" t="str">
        <x:v>Kota Malang</x:v>
      </x:c>
      <x:c r="Q2759" s="66" t="str">
        <x:v>https://snpmb.id/snbp/daya-tampung-snbp</x:v>
      </x:c>
      <x:c r="R2759" s="66" t="str">
        <x:v>https://sidatagrun-public-1076756628210.asia-southeast2.run.app/ptn_sn.php?ptn=374</x:v>
      </x:c>
    </x:row>
    <x:row r="2760">
      <x:c r="A2760" s="87" t="n">
        <x:v>3342</x:v>
      </x:c>
      <x:c r="B2760" s="66" t="n">
        <x:v>374</x:v>
      </x:c>
      <x:c r="C2760" s="66" t="str">
        <x:v>UIN MALANG</x:v>
      </x:c>
      <x:c r="D2760" s="66" t="str">
        <x:v>PTKIN</x:v>
      </x:c>
      <x:c r="E2760" s="66" t="str">
        <x:v>13741019</x:v>
      </x:c>
      <x:c r="F2760" s="66" t="str">
        <x:v>AKUNTANSI</x:v>
      </x:c>
      <x:c r="G2760" s="66" t="str">
        <x:v>Sarjana</x:v>
      </x:c>
      <x:c r="H2760" s="87" t="n">
        <x:v>95</x:v>
      </x:c>
      <x:c r="I2760" s="87" t="n">
        <x:v>247</x:v>
      </x:c>
      <x:c r="J2760" s="68" t="n">
        <x:f>IFERROR(H2760/I2760,"")</x:f>
        <x:v>0.38461538461538464</x:v>
      </x:c>
      <x:c r="K2760" s="69" t="n">
        <x:f>IFERROR(I2760/H2760,"")</x:f>
        <x:v>2.6</x:v>
      </x:c>
      <x:c r="L2760" s="66" t="str">
        <x:f>IF(K2760="","","1 : "&amp;TEXT(K2760,"0.0"))</x:f>
        <x:v>1 : 2.6</x:v>
      </x:c>
      <x:c r="M2760" s="66" t="str">
        <x:f>IF(J2760="","Baru/Tanpa Data",IF(J2760&lt;='Catatan &amp; Sumber'!$B$14,"Sangat Ketat",IF(J2760&lt;='Catatan &amp; Sumber'!$B$15,"Ketat",IF(J2760&lt;='Catatan &amp; Sumber'!$B$16,"Sedang","Relatif Longgar"))))</x:f>
        <x:v>Relatif Longgar</x:v>
      </x:c>
      <x:c r="N2760" s="66" t="str">
        <x:v>Tidak Ada</x:v>
      </x:c>
      <x:c r="O2760" s="66" t="str">
        <x:v>Jawa Timur</x:v>
      </x:c>
      <x:c r="P2760" s="66" t="str">
        <x:v>Kota Malang</x:v>
      </x:c>
      <x:c r="Q2760" s="66" t="str">
        <x:v>https://snpmb.id/snbp/daya-tampung-snbp</x:v>
      </x:c>
      <x:c r="R2760" s="66" t="str">
        <x:v>https://sidatagrun-public-1076756628210.asia-southeast2.run.app/ptn_sn.php?ptn=374</x:v>
      </x:c>
    </x:row>
    <x:row r="2761">
      <x:c r="A2761" s="87" t="n">
        <x:v>3846</x:v>
      </x:c>
      <x:c r="B2761" s="66" t="n">
        <x:v>374</x:v>
      </x:c>
      <x:c r="C2761" s="66" t="str">
        <x:v>UIN MALANG</x:v>
      </x:c>
      <x:c r="D2761" s="66" t="str">
        <x:v>PTKIN</x:v>
      </x:c>
      <x:c r="E2761" s="66" t="str">
        <x:v>13741021</x:v>
      </x:c>
      <x:c r="F2761" s="66" t="str">
        <x:v>PERPUSTAKAAN DAN ILMU INFORMASI</x:v>
      </x:c>
      <x:c r="G2761" s="66" t="str">
        <x:v>Sarjana</x:v>
      </x:c>
      <x:c r="H2761" s="87" t="n">
        <x:v>49</x:v>
      </x:c>
      <x:c r="I2761" s="87" t="n">
        <x:v>82</x:v>
      </x:c>
      <x:c r="J2761" s="68" t="n">
        <x:f>IFERROR(H2761/I2761,"")</x:f>
        <x:v>0.5975609756097561</x:v>
      </x:c>
      <x:c r="K2761" s="69" t="n">
        <x:f>IFERROR(I2761/H2761,"")</x:f>
        <x:v>1.6734693877551021</x:v>
      </x:c>
      <x:c r="L2761" s="66" t="str">
        <x:f>IF(K2761="","","1 : "&amp;TEXT(K2761,"0.0"))</x:f>
        <x:v>1 : 1.7</x:v>
      </x:c>
      <x:c r="M2761" s="66" t="str">
        <x:f>IF(J2761="","Baru/Tanpa Data",IF(J2761&lt;='Catatan &amp; Sumber'!$B$14,"Sangat Ketat",IF(J2761&lt;='Catatan &amp; Sumber'!$B$15,"Ketat",IF(J2761&lt;='Catatan &amp; Sumber'!$B$16,"Sedang","Relatif Longgar"))))</x:f>
        <x:v>Relatif Longgar</x:v>
      </x:c>
      <x:c r="N2761" s="66" t="str">
        <x:v>Tidak Ada</x:v>
      </x:c>
      <x:c r="O2761" s="66" t="str">
        <x:v>Jawa Timur</x:v>
      </x:c>
      <x:c r="P2761" s="66" t="str">
        <x:v>Kota Malang</x:v>
      </x:c>
      <x:c r="Q2761" s="66" t="str">
        <x:v>https://snpmb.id/snbp/daya-tampung-snbp</x:v>
      </x:c>
      <x:c r="R2761" s="66" t="str">
        <x:v>https://sidatagrun-public-1076756628210.asia-southeast2.run.app/ptn_sn.php?ptn=374</x:v>
      </x:c>
    </x:row>
    <x:row r="2762">
      <x:c r="A2762" s="87" t="n">
        <x:v>2888</x:v>
      </x:c>
      <x:c r="B2762" s="66" t="n">
        <x:v>374</x:v>
      </x:c>
      <x:c r="C2762" s="66" t="str">
        <x:v>UIN MALANG</x:v>
      </x:c>
      <x:c r="D2762" s="66" t="str">
        <x:v>PTKIN</x:v>
      </x:c>
      <x:c r="E2762" s="66" t="str">
        <x:v>13741022</x:v>
      </x:c>
      <x:c r="F2762" s="66" t="str">
        <x:v>TEKNIK SIPIL</x:v>
      </x:c>
      <x:c r="G2762" s="66" t="str">
        <x:v>Sarjana</x:v>
      </x:c>
      <x:c r="H2762" s="87" t="n">
        <x:v>15</x:v>
      </x:c>
      <x:c r="I2762" s="87" t="n">
        <x:v>55</x:v>
      </x:c>
      <x:c r="J2762" s="68" t="n">
        <x:f>IFERROR(H2762/I2762,"")</x:f>
        <x:v>0.2727272727272727</x:v>
      </x:c>
      <x:c r="K2762" s="69" t="n">
        <x:f>IFERROR(I2762/H2762,"")</x:f>
        <x:v>3.6666666666666665</x:v>
      </x:c>
      <x:c r="L2762" s="66" t="str">
        <x:f>IF(K2762="","","1 : "&amp;TEXT(K2762,"0.0"))</x:f>
        <x:v>1 : 3.7</x:v>
      </x:c>
      <x:c r="M2762" s="66" t="str">
        <x:f>IF(J2762="","Baru/Tanpa Data",IF(J2762&lt;='Catatan &amp; Sumber'!$B$14,"Sangat Ketat",IF(J2762&lt;='Catatan &amp; Sumber'!$B$15,"Ketat",IF(J2762&lt;='Catatan &amp; Sumber'!$B$16,"Sedang","Relatif Longgar"))))</x:f>
        <x:v>Relatif Longgar</x:v>
      </x:c>
      <x:c r="N2762" s="66" t="str">
        <x:v>Tidak Ada</x:v>
      </x:c>
      <x:c r="O2762" s="66" t="str">
        <x:v>Jawa Timur</x:v>
      </x:c>
      <x:c r="P2762" s="66" t="str">
        <x:v>Kota Malang</x:v>
      </x:c>
      <x:c r="Q2762" s="66" t="str">
        <x:v>https://snpmb.id/snbp/daya-tampung-snbp</x:v>
      </x:c>
      <x:c r="R2762" s="66" t="str">
        <x:v>https://sidatagrun-public-1076756628210.asia-southeast2.run.app/ptn_sn.php?ptn=374</x:v>
      </x:c>
    </x:row>
    <x:row r="2763">
      <x:c r="A2763" s="87" t="n">
        <x:v>3250</x:v>
      </x:c>
      <x:c r="B2763" s="66" t="n">
        <x:v>374</x:v>
      </x:c>
      <x:c r="C2763" s="66" t="str">
        <x:v>UIN MALANG</x:v>
      </x:c>
      <x:c r="D2763" s="66" t="str">
        <x:v>PTKIN</x:v>
      </x:c>
      <x:c r="E2763" s="66" t="str">
        <x:v>13741023</x:v>
      </x:c>
      <x:c r="F2763" s="66" t="str">
        <x:v>TEKNIK LINGKUNGAN</x:v>
      </x:c>
      <x:c r="G2763" s="66" t="str">
        <x:v>Sarjana</x:v>
      </x:c>
      <x:c r="H2763" s="87" t="n">
        <x:v>15</x:v>
      </x:c>
      <x:c r="I2763" s="87" t="n">
        <x:v>42</x:v>
      </x:c>
      <x:c r="J2763" s="68" t="n">
        <x:f>IFERROR(H2763/I2763,"")</x:f>
        <x:v>0.35714285714285715</x:v>
      </x:c>
      <x:c r="K2763" s="69" t="n">
        <x:f>IFERROR(I2763/H2763,"")</x:f>
        <x:v>2.8</x:v>
      </x:c>
      <x:c r="L2763" s="66" t="str">
        <x:f>IF(K2763="","","1 : "&amp;TEXT(K2763,"0.0"))</x:f>
        <x:v>1 : 2.8</x:v>
      </x:c>
      <x:c r="M2763" s="66" t="str">
        <x:f>IF(J2763="","Baru/Tanpa Data",IF(J2763&lt;='Catatan &amp; Sumber'!$B$14,"Sangat Ketat",IF(J2763&lt;='Catatan &amp; Sumber'!$B$15,"Ketat",IF(J2763&lt;='Catatan &amp; Sumber'!$B$16,"Sedang","Relatif Longgar"))))</x:f>
        <x:v>Relatif Longgar</x:v>
      </x:c>
      <x:c r="N2763" s="66" t="str">
        <x:v>Tidak Ada</x:v>
      </x:c>
      <x:c r="O2763" s="66" t="str">
        <x:v>Jawa Timur</x:v>
      </x:c>
      <x:c r="P2763" s="66" t="str">
        <x:v>Kota Malang</x:v>
      </x:c>
      <x:c r="Q2763" s="66" t="str">
        <x:v>https://snpmb.id/snbp/daya-tampung-snbp</x:v>
      </x:c>
      <x:c r="R2763" s="66" t="str">
        <x:v>https://sidatagrun-public-1076756628210.asia-southeast2.run.app/ptn_sn.php?ptn=374</x:v>
      </x:c>
    </x:row>
    <x:row r="2764">
      <x:c r="A2764" s="87" t="n">
        <x:v>3250</x:v>
      </x:c>
      <x:c r="B2764" s="66" t="n">
        <x:v>374</x:v>
      </x:c>
      <x:c r="C2764" s="66" t="str">
        <x:v>UIN MALANG</x:v>
      </x:c>
      <x:c r="D2764" s="66" t="str">
        <x:v>PTKIN</x:v>
      </x:c>
      <x:c r="E2764" s="66" t="str">
        <x:v>13741024</x:v>
      </x:c>
      <x:c r="F2764" s="66" t="str">
        <x:v>TEKNIK MESIN</x:v>
      </x:c>
      <x:c r="G2764" s="66" t="str">
        <x:v>Sarjana</x:v>
      </x:c>
      <x:c r="H2764" s="87" t="n">
        <x:v>15</x:v>
      </x:c>
      <x:c r="I2764" s="87" t="n">
        <x:v>42</x:v>
      </x:c>
      <x:c r="J2764" s="68" t="n">
        <x:f>IFERROR(H2764/I2764,"")</x:f>
        <x:v>0.35714285714285715</x:v>
      </x:c>
      <x:c r="K2764" s="69" t="n">
        <x:f>IFERROR(I2764/H2764,"")</x:f>
        <x:v>2.8</x:v>
      </x:c>
      <x:c r="L2764" s="66" t="str">
        <x:f>IF(K2764="","","1 : "&amp;TEXT(K2764,"0.0"))</x:f>
        <x:v>1 : 2.8</x:v>
      </x:c>
      <x:c r="M2764" s="66" t="str">
        <x:f>IF(J2764="","Baru/Tanpa Data",IF(J2764&lt;='Catatan &amp; Sumber'!$B$14,"Sangat Ketat",IF(J2764&lt;='Catatan &amp; Sumber'!$B$15,"Ketat",IF(J2764&lt;='Catatan &amp; Sumber'!$B$16,"Sedang","Relatif Longgar"))))</x:f>
        <x:v>Relatif Longgar</x:v>
      </x:c>
      <x:c r="N2764" s="66" t="str">
        <x:v>Tidak Ada</x:v>
      </x:c>
      <x:c r="O2764" s="66" t="str">
        <x:v>Jawa Timur</x:v>
      </x:c>
      <x:c r="P2764" s="66" t="str">
        <x:v>Kota Malang</x:v>
      </x:c>
      <x:c r="Q2764" s="66" t="str">
        <x:v>https://snpmb.id/snbp/daya-tampung-snbp</x:v>
      </x:c>
      <x:c r="R2764" s="66" t="str">
        <x:v>https://sidatagrun-public-1076756628210.asia-southeast2.run.app/ptn_sn.php?ptn=374</x:v>
      </x:c>
    </x:row>
    <x:row r="2765">
      <x:c r="A2765" s="87" t="n">
        <x:v>3944</x:v>
      </x:c>
      <x:c r="B2765" s="66" t="n">
        <x:v>374</x:v>
      </x:c>
      <x:c r="C2765" s="66" t="str">
        <x:v>UIN MALANG</x:v>
      </x:c>
      <x:c r="D2765" s="66" t="str">
        <x:v>PTKIN</x:v>
      </x:c>
      <x:c r="E2765" s="66" t="str">
        <x:v>13741025</x:v>
      </x:c>
      <x:c r="F2765" s="66" t="str">
        <x:v>TEKNIK ELEKTRO</x:v>
      </x:c>
      <x:c r="G2765" s="66" t="str">
        <x:v>Sarjana</x:v>
      </x:c>
      <x:c r="H2765" s="87" t="n">
        <x:v>15</x:v>
      </x:c>
      <x:c r="I2765" s="87" t="n">
        <x:v>23</x:v>
      </x:c>
      <x:c r="J2765" s="68" t="n">
        <x:f>IFERROR(H2765/I2765,"")</x:f>
        <x:v>0.6521739130434783</x:v>
      </x:c>
      <x:c r="K2765" s="69" t="n">
        <x:f>IFERROR(I2765/H2765,"")</x:f>
        <x:v>1.5333333333333334</x:v>
      </x:c>
      <x:c r="L2765" s="66" t="str">
        <x:f>IF(K2765="","","1 : "&amp;TEXT(K2765,"0.0"))</x:f>
        <x:v>1 : 1.5</x:v>
      </x:c>
      <x:c r="M2765" s="66" t="str">
        <x:f>IF(J2765="","Baru/Tanpa Data",IF(J2765&lt;='Catatan &amp; Sumber'!$B$14,"Sangat Ketat",IF(J2765&lt;='Catatan &amp; Sumber'!$B$15,"Ketat",IF(J2765&lt;='Catatan &amp; Sumber'!$B$16,"Sedang","Relatif Longgar"))))</x:f>
        <x:v>Relatif Longgar</x:v>
      </x:c>
      <x:c r="N2765" s="66" t="str">
        <x:v>Tidak Ada</x:v>
      </x:c>
      <x:c r="O2765" s="66" t="str">
        <x:v>Jawa Timur</x:v>
      </x:c>
      <x:c r="P2765" s="66" t="str">
        <x:v>Kota Malang</x:v>
      </x:c>
      <x:c r="Q2765" s="66" t="str">
        <x:v>https://snpmb.id/snbp/daya-tampung-snbp</x:v>
      </x:c>
      <x:c r="R2765" s="66" t="str">
        <x:v>https://sidatagrun-public-1076756628210.asia-southeast2.run.app/ptn_sn.php?ptn=374</x:v>
      </x:c>
    </x:row>
    <x:row r="2766">
      <x:c r="A2766" s="87" t="n">
        <x:v>186</x:v>
      </x:c>
      <x:c r="B2766" s="66" t="n">
        <x:v>381</x:v>
      </x:c>
      <x:c r="C2766" s="66" t="str">
        <x:v>UNIVERSITAS AIRLANGGA</x:v>
      </x:c>
      <x:c r="D2766" s="66" t="str">
        <x:v>PTN Akademik</x:v>
      </x:c>
      <x:c r="E2766" s="66" t="str">
        <x:v>13811001</x:v>
      </x:c>
      <x:c r="F2766" s="66" t="str">
        <x:v>KEDOKTERAN</x:v>
      </x:c>
      <x:c r="G2766" s="66" t="str">
        <x:v>Sarjana</x:v>
      </x:c>
      <x:c r="H2766" s="87" t="n">
        <x:v>60</x:v>
      </x:c>
      <x:c r="I2766" s="87" t="n">
        <x:v>1659</x:v>
      </x:c>
      <x:c r="J2766" s="68" t="n">
        <x:f>IFERROR(H2766/I2766,"")</x:f>
        <x:v>0.03616636528028933</x:v>
      </x:c>
      <x:c r="K2766" s="69" t="n">
        <x:f>IFERROR(I2766/H2766,"")</x:f>
        <x:v>27.65</x:v>
      </x:c>
      <x:c r="L2766" s="66" t="str">
        <x:f>IF(K2766="","","1 : "&amp;TEXT(K2766,"0.0"))</x:f>
        <x:v>1 : 27.7</x:v>
      </x:c>
      <x:c r="M2766" s="66" t="str">
        <x:f>IF(J2766="","Baru/Tanpa Data",IF(J2766&lt;='Catatan &amp; Sumber'!$B$14,"Sangat Ketat",IF(J2766&lt;='Catatan &amp; Sumber'!$B$15,"Ketat",IF(J2766&lt;='Catatan &amp; Sumber'!$B$16,"Sedang","Relatif Longgar"))))</x:f>
        <x:v>Ketat</x:v>
      </x:c>
      <x:c r="N2766" s="66" t="str">
        <x:v>Tidak Ada</x:v>
      </x:c>
      <x:c r="O2766" s="66" t="str">
        <x:v>Jawa Timur</x:v>
      </x:c>
      <x:c r="P2766" s="66" t="str">
        <x:v>Kota Surabaya</x:v>
      </x:c>
      <x:c r="Q2766" s="66" t="str">
        <x:v>https://snpmb.id/snbp/daya-tampung-snbp</x:v>
      </x:c>
      <x:c r="R2766" s="66" t="str">
        <x:v>https://sidatagrun-public-1076756628210.asia-southeast2.run.app/ptn_sn.php?ptn=381</x:v>
      </x:c>
    </x:row>
    <x:row r="2767">
      <x:c r="A2767" s="87" t="n">
        <x:v>710</x:v>
      </x:c>
      <x:c r="B2767" s="66" t="n">
        <x:v>381</x:v>
      </x:c>
      <x:c r="C2767" s="66" t="str">
        <x:v>UNIVERSITAS AIRLANGGA</x:v>
      </x:c>
      <x:c r="D2767" s="66" t="str">
        <x:v>PTN Akademik</x:v>
      </x:c>
      <x:c r="E2767" s="66" t="str">
        <x:v>13811002</x:v>
      </x:c>
      <x:c r="F2767" s="66" t="str">
        <x:v>KEDOKTERAN GIGI</x:v>
      </x:c>
      <x:c r="G2767" s="66" t="str">
        <x:v>Sarjana</x:v>
      </x:c>
      <x:c r="H2767" s="87" t="n">
        <x:v>50</x:v>
      </x:c>
      <x:c r="I2767" s="87" t="n">
        <x:v>802</x:v>
      </x:c>
      <x:c r="J2767" s="68" t="n">
        <x:f>IFERROR(H2767/I2767,"")</x:f>
        <x:v>0.06234413965087282</x:v>
      </x:c>
      <x:c r="K2767" s="69" t="n">
        <x:f>IFERROR(I2767/H2767,"")</x:f>
        <x:v>16.04</x:v>
      </x:c>
      <x:c r="L2767" s="66" t="str">
        <x:f>IF(K2767="","","1 : "&amp;TEXT(K2767,"0.0"))</x:f>
        <x:v>1 : 16.0</x:v>
      </x:c>
      <x:c r="M2767" s="66" t="str">
        <x:f>IF(J2767="","Baru/Tanpa Data",IF(J2767&lt;='Catatan &amp; Sumber'!$B$14,"Sangat Ketat",IF(J2767&lt;='Catatan &amp; Sumber'!$B$15,"Ketat",IF(J2767&lt;='Catatan &amp; Sumber'!$B$16,"Sedang","Relatif Longgar"))))</x:f>
        <x:v>Sedang</x:v>
      </x:c>
      <x:c r="N2767" s="66" t="str">
        <x:v>Tidak Ada</x:v>
      </x:c>
      <x:c r="O2767" s="66" t="str">
        <x:v>Jawa Timur</x:v>
      </x:c>
      <x:c r="P2767" s="66" t="str">
        <x:v>Kota Surabaya</x:v>
      </x:c>
      <x:c r="Q2767" s="66" t="str">
        <x:v>https://snpmb.id/snbp/daya-tampung-snbp</x:v>
      </x:c>
      <x:c r="R2767" s="66" t="str">
        <x:v>https://sidatagrun-public-1076756628210.asia-southeast2.run.app/ptn_sn.php?ptn=381</x:v>
      </x:c>
    </x:row>
    <x:row r="2768">
      <x:c r="A2768" s="87" t="n">
        <x:v>262</x:v>
      </x:c>
      <x:c r="B2768" s="66" t="n">
        <x:v>381</x:v>
      </x:c>
      <x:c r="C2768" s="66" t="str">
        <x:v>UNIVERSITAS AIRLANGGA</x:v>
      </x:c>
      <x:c r="D2768" s="66" t="str">
        <x:v>PTN Akademik</x:v>
      </x:c>
      <x:c r="E2768" s="66" t="str">
        <x:v>13811003</x:v>
      </x:c>
      <x:c r="F2768" s="66" t="str">
        <x:v>FARMASI</x:v>
      </x:c>
      <x:c r="G2768" s="66" t="str">
        <x:v>Sarjana</x:v>
      </x:c>
      <x:c r="H2768" s="87" t="n">
        <x:v>56</x:v>
      </x:c>
      <x:c r="I2768" s="87" t="n">
        <x:v>1391</x:v>
      </x:c>
      <x:c r="J2768" s="68" t="n">
        <x:f>IFERROR(H2768/I2768,"")</x:f>
        <x:v>0.040258806613946804</x:v>
      </x:c>
      <x:c r="K2768" s="69" t="n">
        <x:f>IFERROR(I2768/H2768,"")</x:f>
        <x:v>24.839285714285715</x:v>
      </x:c>
      <x:c r="L2768" s="66" t="str">
        <x:f>IF(K2768="","","1 : "&amp;TEXT(K2768,"0.0"))</x:f>
        <x:v>1 : 24.8</x:v>
      </x:c>
      <x:c r="M2768" s="66" t="str">
        <x:f>IF(J2768="","Baru/Tanpa Data",IF(J2768&lt;='Catatan &amp; Sumber'!$B$14,"Sangat Ketat",IF(J2768&lt;='Catatan &amp; Sumber'!$B$15,"Ketat",IF(J2768&lt;='Catatan &amp; Sumber'!$B$16,"Sedang","Relatif Longgar"))))</x:f>
        <x:v>Ketat</x:v>
      </x:c>
      <x:c r="N2768" s="66" t="str">
        <x:v>Tidak Ada</x:v>
      </x:c>
      <x:c r="O2768" s="66" t="str">
        <x:v>Jawa Timur</x:v>
      </x:c>
      <x:c r="P2768" s="66" t="str">
        <x:v>Kota Surabaya</x:v>
      </x:c>
      <x:c r="Q2768" s="66" t="str">
        <x:v>https://snpmb.id/snbp/daya-tampung-snbp</x:v>
      </x:c>
      <x:c r="R2768" s="66" t="str">
        <x:v>https://sidatagrun-public-1076756628210.asia-southeast2.run.app/ptn_sn.php?ptn=381</x:v>
      </x:c>
    </x:row>
    <x:row r="2769">
      <x:c r="A2769" s="87" t="n">
        <x:v>1715</x:v>
      </x:c>
      <x:c r="B2769" s="66" t="n">
        <x:v>381</x:v>
      </x:c>
      <x:c r="C2769" s="66" t="str">
        <x:v>UNIVERSITAS AIRLANGGA</x:v>
      </x:c>
      <x:c r="D2769" s="66" t="str">
        <x:v>PTN Akademik</x:v>
      </x:c>
      <x:c r="E2769" s="66" t="str">
        <x:v>13811004</x:v>
      </x:c>
      <x:c r="F2769" s="66" t="str">
        <x:v>KEDOKTERAN HEWAN</x:v>
      </x:c>
      <x:c r="G2769" s="66" t="str">
        <x:v>Sarjana</x:v>
      </x:c>
      <x:c r="H2769" s="87" t="n">
        <x:v>48</x:v>
      </x:c>
      <x:c r="I2769" s="87" t="n">
        <x:v>383</x:v>
      </x:c>
      <x:c r="J2769" s="68" t="n">
        <x:f>IFERROR(H2769/I2769,"")</x:f>
        <x:v>0.12532637075718014</x:v>
      </x:c>
      <x:c r="K2769" s="69" t="n">
        <x:f>IFERROR(I2769/H2769,"")</x:f>
        <x:v>7.979166666666667</x:v>
      </x:c>
      <x:c r="L2769" s="66" t="str">
        <x:f>IF(K2769="","","1 : "&amp;TEXT(K2769,"0.0"))</x:f>
        <x:v>1 : 8.0</x:v>
      </x:c>
      <x:c r="M2769" s="66" t="str">
        <x:f>IF(J2769="","Baru/Tanpa Data",IF(J2769&lt;='Catatan &amp; Sumber'!$B$14,"Sangat Ketat",IF(J2769&lt;='Catatan &amp; Sumber'!$B$15,"Ketat",IF(J2769&lt;='Catatan &amp; Sumber'!$B$16,"Sedang","Relatif Longgar"))))</x:f>
        <x:v>Relatif Longgar</x:v>
      </x:c>
      <x:c r="N2769" s="66" t="str">
        <x:v>Tidak Ada</x:v>
      </x:c>
      <x:c r="O2769" s="66" t="str">
        <x:v>Jawa Timur</x:v>
      </x:c>
      <x:c r="P2769" s="66" t="str">
        <x:v>Kota Surabaya</x:v>
      </x:c>
      <x:c r="Q2769" s="66" t="str">
        <x:v>https://snpmb.id/snbp/daya-tampung-snbp</x:v>
      </x:c>
      <x:c r="R2769" s="66" t="str">
        <x:v>https://sidatagrun-public-1076756628210.asia-southeast2.run.app/ptn_sn.php?ptn=381</x:v>
      </x:c>
    </x:row>
    <x:row r="2770">
      <x:c r="A2770" s="87" t="n">
        <x:v>1889</x:v>
      </x:c>
      <x:c r="B2770" s="66" t="n">
        <x:v>381</x:v>
      </x:c>
      <x:c r="C2770" s="66" t="str">
        <x:v>UNIVERSITAS AIRLANGGA</x:v>
      </x:c>
      <x:c r="D2770" s="66" t="str">
        <x:v>PTN Akademik</x:v>
      </x:c>
      <x:c r="E2770" s="66" t="str">
        <x:v>13811005</x:v>
      </x:c>
      <x:c r="F2770" s="66" t="str">
        <x:v>MATEMATIKA</x:v>
      </x:c>
      <x:c r="G2770" s="66" t="str">
        <x:v>Sarjana</x:v>
      </x:c>
      <x:c r="H2770" s="87" t="n">
        <x:v>30</x:v>
      </x:c>
      <x:c r="I2770" s="87" t="n">
        <x:v>214</x:v>
      </x:c>
      <x:c r="J2770" s="68" t="n">
        <x:f>IFERROR(H2770/I2770,"")</x:f>
        <x:v>0.14018691588785046</x:v>
      </x:c>
      <x:c r="K2770" s="69" t="n">
        <x:f>IFERROR(I2770/H2770,"")</x:f>
        <x:v>7.133333333333334</x:v>
      </x:c>
      <x:c r="L2770" s="66" t="str">
        <x:f>IF(K2770="","","1 : "&amp;TEXT(K2770,"0.0"))</x:f>
        <x:v>1 : 7.1</x:v>
      </x:c>
      <x:c r="M2770" s="66" t="str">
        <x:f>IF(J2770="","Baru/Tanpa Data",IF(J2770&lt;='Catatan &amp; Sumber'!$B$14,"Sangat Ketat",IF(J2770&lt;='Catatan &amp; Sumber'!$B$15,"Ketat",IF(J2770&lt;='Catatan &amp; Sumber'!$B$16,"Sedang","Relatif Longgar"))))</x:f>
        <x:v>Relatif Longgar</x:v>
      </x:c>
      <x:c r="N2770" s="66" t="str">
        <x:v>Tidak Ada</x:v>
      </x:c>
      <x:c r="O2770" s="66" t="str">
        <x:v>Jawa Timur</x:v>
      </x:c>
      <x:c r="P2770" s="66" t="str">
        <x:v>Kota Surabaya</x:v>
      </x:c>
      <x:c r="Q2770" s="66" t="str">
        <x:v>https://snpmb.id/snbp/daya-tampung-snbp</x:v>
      </x:c>
      <x:c r="R2770" s="66" t="str">
        <x:v>https://sidatagrun-public-1076756628210.asia-southeast2.run.app/ptn_sn.php?ptn=381</x:v>
      </x:c>
    </x:row>
    <x:row r="2771">
      <x:c r="A2771" s="87" t="n">
        <x:v>1641</x:v>
      </x:c>
      <x:c r="B2771" s="66" t="n">
        <x:v>381</x:v>
      </x:c>
      <x:c r="C2771" s="66" t="str">
        <x:v>UNIVERSITAS AIRLANGGA</x:v>
      </x:c>
      <x:c r="D2771" s="66" t="str">
        <x:v>PTN Akademik</x:v>
      </x:c>
      <x:c r="E2771" s="66" t="str">
        <x:v>13811006</x:v>
      </x:c>
      <x:c r="F2771" s="66" t="str">
        <x:v>BIOLOGI</x:v>
      </x:c>
      <x:c r="G2771" s="66" t="str">
        <x:v>Sarjana</x:v>
      </x:c>
      <x:c r="H2771" s="87" t="n">
        <x:v>27</x:v>
      </x:c>
      <x:c r="I2771" s="87" t="n">
        <x:v>226</x:v>
      </x:c>
      <x:c r="J2771" s="68" t="n">
        <x:f>IFERROR(H2771/I2771,"")</x:f>
        <x:v>0.11946902654867257</x:v>
      </x:c>
      <x:c r="K2771" s="69" t="n">
        <x:f>IFERROR(I2771/H2771,"")</x:f>
        <x:v>8.37037037037037</x:v>
      </x:c>
      <x:c r="L2771" s="66" t="str">
        <x:f>IF(K2771="","","1 : "&amp;TEXT(K2771,"0.0"))</x:f>
        <x:v>1 : 8.4</x:v>
      </x:c>
      <x:c r="M2771" s="66" t="str">
        <x:f>IF(J2771="","Baru/Tanpa Data",IF(J2771&lt;='Catatan &amp; Sumber'!$B$14,"Sangat Ketat",IF(J2771&lt;='Catatan &amp; Sumber'!$B$15,"Ketat",IF(J2771&lt;='Catatan &amp; Sumber'!$B$16,"Sedang","Relatif Longgar"))))</x:f>
        <x:v>Relatif Longgar</x:v>
      </x:c>
      <x:c r="N2771" s="66" t="str">
        <x:v>Tidak Ada</x:v>
      </x:c>
      <x:c r="O2771" s="66" t="str">
        <x:v>Jawa Timur</x:v>
      </x:c>
      <x:c r="P2771" s="66" t="str">
        <x:v>Kota Surabaya</x:v>
      </x:c>
      <x:c r="Q2771" s="66" t="str">
        <x:v>https://snpmb.id/snbp/daya-tampung-snbp</x:v>
      </x:c>
      <x:c r="R2771" s="66" t="str">
        <x:v>https://sidatagrun-public-1076756628210.asia-southeast2.run.app/ptn_sn.php?ptn=381</x:v>
      </x:c>
    </x:row>
    <x:row r="2772">
      <x:c r="A2772" s="87" t="n">
        <x:v>2839</x:v>
      </x:c>
      <x:c r="B2772" s="66" t="n">
        <x:v>381</x:v>
      </x:c>
      <x:c r="C2772" s="66" t="str">
        <x:v>UNIVERSITAS AIRLANGGA</x:v>
      </x:c>
      <x:c r="D2772" s="66" t="str">
        <x:v>PTN Akademik</x:v>
      </x:c>
      <x:c r="E2772" s="66" t="str">
        <x:v>13811007</x:v>
      </x:c>
      <x:c r="F2772" s="66" t="str">
        <x:v>FISIKA</x:v>
      </x:c>
      <x:c r="G2772" s="66" t="str">
        <x:v>Sarjana</x:v>
      </x:c>
      <x:c r="H2772" s="87" t="n">
        <x:v>32</x:v>
      </x:c>
      <x:c r="I2772" s="87" t="n">
        <x:v>121</x:v>
      </x:c>
      <x:c r="J2772" s="68" t="n">
        <x:f>IFERROR(H2772/I2772,"")</x:f>
        <x:v>0.2644628099173554</x:v>
      </x:c>
      <x:c r="K2772" s="69" t="n">
        <x:f>IFERROR(I2772/H2772,"")</x:f>
        <x:v>3.78125</x:v>
      </x:c>
      <x:c r="L2772" s="66" t="str">
        <x:f>IF(K2772="","","1 : "&amp;TEXT(K2772,"0.0"))</x:f>
        <x:v>1 : 3.8</x:v>
      </x:c>
      <x:c r="M2772" s="66" t="str">
        <x:f>IF(J2772="","Baru/Tanpa Data",IF(J2772&lt;='Catatan &amp; Sumber'!$B$14,"Sangat Ketat",IF(J2772&lt;='Catatan &amp; Sumber'!$B$15,"Ketat",IF(J2772&lt;='Catatan &amp; Sumber'!$B$16,"Sedang","Relatif Longgar"))))</x:f>
        <x:v>Relatif Longgar</x:v>
      </x:c>
      <x:c r="N2772" s="66" t="str">
        <x:v>Tidak Ada</x:v>
      </x:c>
      <x:c r="O2772" s="66" t="str">
        <x:v>Jawa Timur</x:v>
      </x:c>
      <x:c r="P2772" s="66" t="str">
        <x:v>Kota Surabaya</x:v>
      </x:c>
      <x:c r="Q2772" s="66" t="str">
        <x:v>https://snpmb.id/snbp/daya-tampung-snbp</x:v>
      </x:c>
      <x:c r="R2772" s="66" t="str">
        <x:v>https://sidatagrun-public-1076756628210.asia-southeast2.run.app/ptn_sn.php?ptn=381</x:v>
      </x:c>
    </x:row>
    <x:row r="2773">
      <x:c r="A2773" s="87" t="n">
        <x:v>1442</x:v>
      </x:c>
      <x:c r="B2773" s="66" t="n">
        <x:v>381</x:v>
      </x:c>
      <x:c r="C2773" s="66" t="str">
        <x:v>UNIVERSITAS AIRLANGGA</x:v>
      </x:c>
      <x:c r="D2773" s="66" t="str">
        <x:v>PTN Akademik</x:v>
      </x:c>
      <x:c r="E2773" s="66" t="str">
        <x:v>13811008</x:v>
      </x:c>
      <x:c r="F2773" s="66" t="str">
        <x:v>KIMIA</x:v>
      </x:c>
      <x:c r="G2773" s="66" t="str">
        <x:v>Sarjana</x:v>
      </x:c>
      <x:c r="H2773" s="87" t="n">
        <x:v>27</x:v>
      </x:c>
      <x:c r="I2773" s="87" t="n">
        <x:v>256</x:v>
      </x:c>
      <x:c r="J2773" s="68" t="n">
        <x:f>IFERROR(H2773/I2773,"")</x:f>
        <x:v>0.10546875</x:v>
      </x:c>
      <x:c r="K2773" s="69" t="n">
        <x:f>IFERROR(I2773/H2773,"")</x:f>
        <x:v>9.481481481481481</x:v>
      </x:c>
      <x:c r="L2773" s="66" t="str">
        <x:f>IF(K2773="","","1 : "&amp;TEXT(K2773,"0.0"))</x:f>
        <x:v>1 : 9.5</x:v>
      </x:c>
      <x:c r="M2773" s="66" t="str">
        <x:f>IF(J2773="","Baru/Tanpa Data",IF(J2773&lt;='Catatan &amp; Sumber'!$B$14,"Sangat Ketat",IF(J2773&lt;='Catatan &amp; Sumber'!$B$15,"Ketat",IF(J2773&lt;='Catatan &amp; Sumber'!$B$16,"Sedang","Relatif Longgar"))))</x:f>
        <x:v>Relatif Longgar</x:v>
      </x:c>
      <x:c r="N2773" s="66" t="str">
        <x:v>Tidak Ada</x:v>
      </x:c>
      <x:c r="O2773" s="66" t="str">
        <x:v>Jawa Timur</x:v>
      </x:c>
      <x:c r="P2773" s="66" t="str">
        <x:v>Kota Surabaya</x:v>
      </x:c>
      <x:c r="Q2773" s="66" t="str">
        <x:v>https://snpmb.id/snbp/daya-tampung-snbp</x:v>
      </x:c>
      <x:c r="R2773" s="66" t="str">
        <x:v>https://sidatagrun-public-1076756628210.asia-southeast2.run.app/ptn_sn.php?ptn=381</x:v>
      </x:c>
    </x:row>
    <x:row r="2774">
      <x:c r="A2774" s="87" t="n">
        <x:v>998</x:v>
      </x:c>
      <x:c r="B2774" s="66" t="n">
        <x:v>381</x:v>
      </x:c>
      <x:c r="C2774" s="66" t="str">
        <x:v>UNIVERSITAS AIRLANGGA</x:v>
      </x:c>
      <x:c r="D2774" s="66" t="str">
        <x:v>PTN Akademik</x:v>
      </x:c>
      <x:c r="E2774" s="66" t="str">
        <x:v>13811009</x:v>
      </x:c>
      <x:c r="F2774" s="66" t="str">
        <x:v>KESEHATAN MASYARAKAT</x:v>
      </x:c>
      <x:c r="G2774" s="66" t="str">
        <x:v>Sarjana</x:v>
      </x:c>
      <x:c r="H2774" s="87" t="n">
        <x:v>72</x:v>
      </x:c>
      <x:c r="I2774" s="87" t="n">
        <x:v>923</x:v>
      </x:c>
      <x:c r="J2774" s="68" t="n">
        <x:f>IFERROR(H2774/I2774,"")</x:f>
        <x:v>0.0780065005417118</x:v>
      </x:c>
      <x:c r="K2774" s="69" t="n">
        <x:f>IFERROR(I2774/H2774,"")</x:f>
        <x:v>12.819444444444445</x:v>
      </x:c>
      <x:c r="L2774" s="66" t="str">
        <x:f>IF(K2774="","","1 : "&amp;TEXT(K2774,"0.0"))</x:f>
        <x:v>1 : 12.8</x:v>
      </x:c>
      <x:c r="M2774" s="66" t="str">
        <x:f>IF(J2774="","Baru/Tanpa Data",IF(J2774&lt;='Catatan &amp; Sumber'!$B$14,"Sangat Ketat",IF(J2774&lt;='Catatan &amp; Sumber'!$B$15,"Ketat",IF(J2774&lt;='Catatan &amp; Sumber'!$B$16,"Sedang","Relatif Longgar"))))</x:f>
        <x:v>Sedang</x:v>
      </x:c>
      <x:c r="N2774" s="66" t="str">
        <x:v>Tidak Ada</x:v>
      </x:c>
      <x:c r="O2774" s="66" t="str">
        <x:v>Jawa Timur</x:v>
      </x:c>
      <x:c r="P2774" s="66" t="str">
        <x:v>Kota Surabaya</x:v>
      </x:c>
      <x:c r="Q2774" s="66" t="str">
        <x:v>https://snpmb.id/snbp/daya-tampung-snbp</x:v>
      </x:c>
      <x:c r="R2774" s="66" t="str">
        <x:v>https://sidatagrun-public-1076756628210.asia-southeast2.run.app/ptn_sn.php?ptn=381</x:v>
      </x:c>
    </x:row>
    <x:row r="2775">
      <x:c r="A2775" s="87" t="n">
        <x:v>873</x:v>
      </x:c>
      <x:c r="B2775" s="66" t="n">
        <x:v>381</x:v>
      </x:c>
      <x:c r="C2775" s="66" t="str">
        <x:v>UNIVERSITAS AIRLANGGA</x:v>
      </x:c>
      <x:c r="D2775" s="66" t="str">
        <x:v>PTN Akademik</x:v>
      </x:c>
      <x:c r="E2775" s="66" t="str">
        <x:v>13811010</x:v>
      </x:c>
      <x:c r="F2775" s="66" t="str">
        <x:v>KEPERAWATAN</x:v>
      </x:c>
      <x:c r="G2775" s="66" t="str">
        <x:v>Sarjana</x:v>
      </x:c>
      <x:c r="H2775" s="87" t="n">
        <x:v>72</x:v>
      </x:c>
      <x:c r="I2775" s="87" t="n">
        <x:v>1022</x:v>
      </x:c>
      <x:c r="J2775" s="68" t="n">
        <x:f>IFERROR(H2775/I2775,"")</x:f>
        <x:v>0.07045009784735812</x:v>
      </x:c>
      <x:c r="K2775" s="69" t="n">
        <x:f>IFERROR(I2775/H2775,"")</x:f>
        <x:v>14.194444444444445</x:v>
      </x:c>
      <x:c r="L2775" s="66" t="str">
        <x:f>IF(K2775="","","1 : "&amp;TEXT(K2775,"0.0"))</x:f>
        <x:v>1 : 14.2</x:v>
      </x:c>
      <x:c r="M2775" s="66" t="str">
        <x:f>IF(J2775="","Baru/Tanpa Data",IF(J2775&lt;='Catatan &amp; Sumber'!$B$14,"Sangat Ketat",IF(J2775&lt;='Catatan &amp; Sumber'!$B$15,"Ketat",IF(J2775&lt;='Catatan &amp; Sumber'!$B$16,"Sedang","Relatif Longgar"))))</x:f>
        <x:v>Sedang</x:v>
      </x:c>
      <x:c r="N2775" s="66" t="str">
        <x:v>Tidak Ada</x:v>
      </x:c>
      <x:c r="O2775" s="66" t="str">
        <x:v>Jawa Timur</x:v>
      </x:c>
      <x:c r="P2775" s="66" t="str">
        <x:v>Kota Surabaya</x:v>
      </x:c>
      <x:c r="Q2775" s="66" t="str">
        <x:v>https://snpmb.id/snbp/daya-tampung-snbp</x:v>
      </x:c>
      <x:c r="R2775" s="66" t="str">
        <x:v>https://sidatagrun-public-1076756628210.asia-southeast2.run.app/ptn_sn.php?ptn=381</x:v>
      </x:c>
    </x:row>
    <x:row r="2776">
      <x:c r="A2776" s="87" t="n">
        <x:v>3247</x:v>
      </x:c>
      <x:c r="B2776" s="66" t="n">
        <x:v>381</x:v>
      </x:c>
      <x:c r="C2776" s="66" t="str">
        <x:v>UNIVERSITAS AIRLANGGA</x:v>
      </x:c>
      <x:c r="D2776" s="66" t="str">
        <x:v>PTN Akademik</x:v>
      </x:c>
      <x:c r="E2776" s="66" t="str">
        <x:v>13811011</x:v>
      </x:c>
      <x:c r="F2776" s="66" t="str">
        <x:v>AKUAKULTUR</x:v>
      </x:c>
      <x:c r="G2776" s="66" t="str">
        <x:v>Sarjana</x:v>
      </x:c>
      <x:c r="H2776" s="87" t="n">
        <x:v>64</x:v>
      </x:c>
      <x:c r="I2776" s="87" t="n">
        <x:v>180</x:v>
      </x:c>
      <x:c r="J2776" s="68" t="n">
        <x:f>IFERROR(H2776/I2776,"")</x:f>
        <x:v>0.35555555555555557</x:v>
      </x:c>
      <x:c r="K2776" s="69" t="n">
        <x:f>IFERROR(I2776/H2776,"")</x:f>
        <x:v>2.8125</x:v>
      </x:c>
      <x:c r="L2776" s="66" t="str">
        <x:f>IF(K2776="","","1 : "&amp;TEXT(K2776,"0.0"))</x:f>
        <x:v>1 : 2.8</x:v>
      </x:c>
      <x:c r="M2776" s="66" t="str">
        <x:f>IF(J2776="","Baru/Tanpa Data",IF(J2776&lt;='Catatan &amp; Sumber'!$B$14,"Sangat Ketat",IF(J2776&lt;='Catatan &amp; Sumber'!$B$15,"Ketat",IF(J2776&lt;='Catatan &amp; Sumber'!$B$16,"Sedang","Relatif Longgar"))))</x:f>
        <x:v>Relatif Longgar</x:v>
      </x:c>
      <x:c r="N2776" s="66" t="str">
        <x:v>Tidak Ada</x:v>
      </x:c>
      <x:c r="O2776" s="66" t="str">
        <x:v>Jawa Timur</x:v>
      </x:c>
      <x:c r="P2776" s="66" t="str">
        <x:v>Kota Surabaya</x:v>
      </x:c>
      <x:c r="Q2776" s="66" t="str">
        <x:v>https://snpmb.id/snbp/daya-tampung-snbp</x:v>
      </x:c>
      <x:c r="R2776" s="66" t="str">
        <x:v>https://sidatagrun-public-1076756628210.asia-southeast2.run.app/ptn_sn.php?ptn=381</x:v>
      </x:c>
    </x:row>
    <x:row r="2777">
      <x:c r="A2777" s="87" t="n">
        <x:v>456</x:v>
      </x:c>
      <x:c r="B2777" s="66" t="n">
        <x:v>381</x:v>
      </x:c>
      <x:c r="C2777" s="66" t="str">
        <x:v>UNIVERSITAS AIRLANGGA</x:v>
      </x:c>
      <x:c r="D2777" s="66" t="str">
        <x:v>PTN Akademik</x:v>
      </x:c>
      <x:c r="E2777" s="66" t="str">
        <x:v>13811012</x:v>
      </x:c>
      <x:c r="F2777" s="66" t="str">
        <x:v>KEBIDANAN</x:v>
      </x:c>
      <x:c r="G2777" s="66" t="str">
        <x:v>Sarjana</x:v>
      </x:c>
      <x:c r="H2777" s="87" t="n">
        <x:v>20</x:v>
      </x:c>
      <x:c r="I2777" s="87" t="n">
        <x:v>407</x:v>
      </x:c>
      <x:c r="J2777" s="68" t="n">
        <x:f>IFERROR(H2777/I2777,"")</x:f>
        <x:v>0.04914004914004914</x:v>
      </x:c>
      <x:c r="K2777" s="69" t="n">
        <x:f>IFERROR(I2777/H2777,"")</x:f>
        <x:v>20.35</x:v>
      </x:c>
      <x:c r="L2777" s="66" t="str">
        <x:f>IF(K2777="","","1 : "&amp;TEXT(K2777,"0.0"))</x:f>
        <x:v>1 : 20.4</x:v>
      </x:c>
      <x:c r="M2777" s="66" t="str">
        <x:f>IF(J2777="","Baru/Tanpa Data",IF(J2777&lt;='Catatan &amp; Sumber'!$B$14,"Sangat Ketat",IF(J2777&lt;='Catatan &amp; Sumber'!$B$15,"Ketat",IF(J2777&lt;='Catatan &amp; Sumber'!$B$16,"Sedang","Relatif Longgar"))))</x:f>
        <x:v>Ketat</x:v>
      </x:c>
      <x:c r="N2777" s="66" t="str">
        <x:v>Tidak Ada</x:v>
      </x:c>
      <x:c r="O2777" s="66" t="str">
        <x:v>Jawa Timur</x:v>
      </x:c>
      <x:c r="P2777" s="66" t="str">
        <x:v>Kota Surabaya</x:v>
      </x:c>
      <x:c r="Q2777" s="66" t="str">
        <x:v>https://snpmb.id/snbp/daya-tampung-snbp</x:v>
      </x:c>
      <x:c r="R2777" s="66" t="str">
        <x:v>https://sidatagrun-public-1076756628210.asia-southeast2.run.app/ptn_sn.php?ptn=381</x:v>
      </x:c>
    </x:row>
    <x:row r="2778">
      <x:c r="A2778" s="87" t="n">
        <x:v>188</x:v>
      </x:c>
      <x:c r="B2778" s="66" t="n">
        <x:v>381</x:v>
      </x:c>
      <x:c r="C2778" s="66" t="str">
        <x:v>UNIVERSITAS AIRLANGGA</x:v>
      </x:c>
      <x:c r="D2778" s="66" t="str">
        <x:v>PTN Akademik</x:v>
      </x:c>
      <x:c r="E2778" s="66" t="str">
        <x:v>13811013</x:v>
      </x:c>
      <x:c r="F2778" s="66" t="str">
        <x:v>TEKNIK BIOMEDIS</x:v>
      </x:c>
      <x:c r="G2778" s="66" t="str">
        <x:v>Sarjana</x:v>
      </x:c>
      <x:c r="H2778" s="87" t="n">
        <x:v>18</x:v>
      </x:c>
      <x:c r="I2778" s="87" t="n">
        <x:v>496</x:v>
      </x:c>
      <x:c r="J2778" s="68" t="n">
        <x:f>IFERROR(H2778/I2778,"")</x:f>
        <x:v>0.036290322580645164</x:v>
      </x:c>
      <x:c r="K2778" s="69" t="n">
        <x:f>IFERROR(I2778/H2778,"")</x:f>
        <x:v>27.555555555555557</x:v>
      </x:c>
      <x:c r="L2778" s="66" t="str">
        <x:f>IF(K2778="","","1 : "&amp;TEXT(K2778,"0.0"))</x:f>
        <x:v>1 : 27.6</x:v>
      </x:c>
      <x:c r="M2778" s="66" t="str">
        <x:f>IF(J2778="","Baru/Tanpa Data",IF(J2778&lt;='Catatan &amp; Sumber'!$B$14,"Sangat Ketat",IF(J2778&lt;='Catatan &amp; Sumber'!$B$15,"Ketat",IF(J2778&lt;='Catatan &amp; Sumber'!$B$16,"Sedang","Relatif Longgar"))))</x:f>
        <x:v>Ketat</x:v>
      </x:c>
      <x:c r="N2778" s="66" t="str">
        <x:v>Tidak Ada</x:v>
      </x:c>
      <x:c r="O2778" s="66" t="str">
        <x:v>Jawa Timur</x:v>
      </x:c>
      <x:c r="P2778" s="66" t="str">
        <x:v>Kota Surabaya</x:v>
      </x:c>
      <x:c r="Q2778" s="66" t="str">
        <x:v>https://snpmb.id/snbp/daya-tampung-snbp</x:v>
      </x:c>
      <x:c r="R2778" s="66" t="str">
        <x:v>https://sidatagrun-public-1076756628210.asia-southeast2.run.app/ptn_sn.php?ptn=381</x:v>
      </x:c>
    </x:row>
    <x:row r="2779">
      <x:c r="A2779" s="87" t="n">
        <x:v>567</x:v>
      </x:c>
      <x:c r="B2779" s="66" t="n">
        <x:v>381</x:v>
      </x:c>
      <x:c r="C2779" s="66" t="str">
        <x:v>UNIVERSITAS AIRLANGGA</x:v>
      </x:c>
      <x:c r="D2779" s="66" t="str">
        <x:v>PTN Akademik</x:v>
      </x:c>
      <x:c r="E2779" s="66" t="str">
        <x:v>13811014</x:v>
      </x:c>
      <x:c r="F2779" s="66" t="str">
        <x:v>TEKNIK LINGKUNGAN</x:v>
      </x:c>
      <x:c r="G2779" s="66" t="str">
        <x:v>Sarjana</x:v>
      </x:c>
      <x:c r="H2779" s="87" t="n">
        <x:v>22</x:v>
      </x:c>
      <x:c r="I2779" s="87" t="n">
        <x:v>399</x:v>
      </x:c>
      <x:c r="J2779" s="68" t="n">
        <x:f>IFERROR(H2779/I2779,"")</x:f>
        <x:v>0.05513784461152882</x:v>
      </x:c>
      <x:c r="K2779" s="69" t="n">
        <x:f>IFERROR(I2779/H2779,"")</x:f>
        <x:v>18.136363636363637</x:v>
      </x:c>
      <x:c r="L2779" s="66" t="str">
        <x:f>IF(K2779="","","1 : "&amp;TEXT(K2779,"0.0"))</x:f>
        <x:v>1 : 18.1</x:v>
      </x:c>
      <x:c r="M2779" s="66" t="str">
        <x:f>IF(J2779="","Baru/Tanpa Data",IF(J2779&lt;='Catatan &amp; Sumber'!$B$14,"Sangat Ketat",IF(J2779&lt;='Catatan &amp; Sumber'!$B$15,"Ketat",IF(J2779&lt;='Catatan &amp; Sumber'!$B$16,"Sedang","Relatif Longgar"))))</x:f>
        <x:v>Sedang</x:v>
      </x:c>
      <x:c r="N2779" s="66" t="str">
        <x:v>Tidak Ada</x:v>
      </x:c>
      <x:c r="O2779" s="66" t="str">
        <x:v>Jawa Timur</x:v>
      </x:c>
      <x:c r="P2779" s="66" t="str">
        <x:v>Kota Surabaya</x:v>
      </x:c>
      <x:c r="Q2779" s="66" t="str">
        <x:v>https://snpmb.id/snbp/daya-tampung-snbp</x:v>
      </x:c>
      <x:c r="R2779" s="66" t="str">
        <x:v>https://sidatagrun-public-1076756628210.asia-southeast2.run.app/ptn_sn.php?ptn=381</x:v>
      </x:c>
    </x:row>
    <x:row r="2780">
      <x:c r="A2780" s="87" t="n">
        <x:v>529</x:v>
      </x:c>
      <x:c r="B2780" s="66" t="n">
        <x:v>381</x:v>
      </x:c>
      <x:c r="C2780" s="66" t="str">
        <x:v>UNIVERSITAS AIRLANGGA</x:v>
      </x:c>
      <x:c r="D2780" s="66" t="str">
        <x:v>PTN Akademik</x:v>
      </x:c>
      <x:c r="E2780" s="66" t="str">
        <x:v>13811015</x:v>
      </x:c>
      <x:c r="F2780" s="66" t="str">
        <x:v>SISTEM INFORMASI</x:v>
      </x:c>
      <x:c r="G2780" s="66" t="str">
        <x:v>Sarjana</x:v>
      </x:c>
      <x:c r="H2780" s="87" t="n">
        <x:v>24</x:v>
      </x:c>
      <x:c r="I2780" s="87" t="n">
        <x:v>452</x:v>
      </x:c>
      <x:c r="J2780" s="68" t="n">
        <x:f>IFERROR(H2780/I2780,"")</x:f>
        <x:v>0.05309734513274336</x:v>
      </x:c>
      <x:c r="K2780" s="69" t="n">
        <x:f>IFERROR(I2780/H2780,"")</x:f>
        <x:v>18.833333333333332</x:v>
      </x:c>
      <x:c r="L2780" s="66" t="str">
        <x:f>IF(K2780="","","1 : "&amp;TEXT(K2780,"0.0"))</x:f>
        <x:v>1 : 18.8</x:v>
      </x:c>
      <x:c r="M2780" s="66" t="str">
        <x:f>IF(J2780="","Baru/Tanpa Data",IF(J2780&lt;='Catatan &amp; Sumber'!$B$14,"Sangat Ketat",IF(J2780&lt;='Catatan &amp; Sumber'!$B$15,"Ketat",IF(J2780&lt;='Catatan &amp; Sumber'!$B$16,"Sedang","Relatif Longgar"))))</x:f>
        <x:v>Sedang</x:v>
      </x:c>
      <x:c r="N2780" s="66" t="str">
        <x:v>Tidak Ada</x:v>
      </x:c>
      <x:c r="O2780" s="66" t="str">
        <x:v>Jawa Timur</x:v>
      </x:c>
      <x:c r="P2780" s="66" t="str">
        <x:v>Kota Surabaya</x:v>
      </x:c>
      <x:c r="Q2780" s="66" t="str">
        <x:v>https://snpmb.id/snbp/daya-tampung-snbp</x:v>
      </x:c>
      <x:c r="R2780" s="66" t="str">
        <x:v>https://sidatagrun-public-1076756628210.asia-southeast2.run.app/ptn_sn.php?ptn=381</x:v>
      </x:c>
    </x:row>
    <x:row r="2781">
      <x:c r="A2781" s="87" t="n">
        <x:v>910</x:v>
      </x:c>
      <x:c r="B2781" s="66" t="n">
        <x:v>381</x:v>
      </x:c>
      <x:c r="C2781" s="66" t="str">
        <x:v>UNIVERSITAS AIRLANGGA</x:v>
      </x:c>
      <x:c r="D2781" s="66" t="str">
        <x:v>PTN Akademik</x:v>
      </x:c>
      <x:c r="E2781" s="66" t="str">
        <x:v>13811016</x:v>
      </x:c>
      <x:c r="F2781" s="66" t="str">
        <x:v>STATISTIKA</x:v>
      </x:c>
      <x:c r="G2781" s="66" t="str">
        <x:v>Sarjana</x:v>
      </x:c>
      <x:c r="H2781" s="87" t="n">
        <x:v>24</x:v>
      </x:c>
      <x:c r="I2781" s="87" t="n">
        <x:v>329</x:v>
      </x:c>
      <x:c r="J2781" s="68" t="n">
        <x:f>IFERROR(H2781/I2781,"")</x:f>
        <x:v>0.0729483282674772</x:v>
      </x:c>
      <x:c r="K2781" s="69" t="n">
        <x:f>IFERROR(I2781/H2781,"")</x:f>
        <x:v>13.708333333333334</x:v>
      </x:c>
      <x:c r="L2781" s="66" t="str">
        <x:f>IF(K2781="","","1 : "&amp;TEXT(K2781,"0.0"))</x:f>
        <x:v>1 : 13.7</x:v>
      </x:c>
      <x:c r="M2781" s="66" t="str">
        <x:f>IF(J2781="","Baru/Tanpa Data",IF(J2781&lt;='Catatan &amp; Sumber'!$B$14,"Sangat Ketat",IF(J2781&lt;='Catatan &amp; Sumber'!$B$15,"Ketat",IF(J2781&lt;='Catatan &amp; Sumber'!$B$16,"Sedang","Relatif Longgar"))))</x:f>
        <x:v>Sedang</x:v>
      </x:c>
      <x:c r="N2781" s="66" t="str">
        <x:v>Tidak Ada</x:v>
      </x:c>
      <x:c r="O2781" s="66" t="str">
        <x:v>Jawa Timur</x:v>
      </x:c>
      <x:c r="P2781" s="66" t="str">
        <x:v>Kota Surabaya</x:v>
      </x:c>
      <x:c r="Q2781" s="66" t="str">
        <x:v>https://snpmb.id/snbp/daya-tampung-snbp</x:v>
      </x:c>
      <x:c r="R2781" s="66" t="str">
        <x:v>https://sidatagrun-public-1076756628210.asia-southeast2.run.app/ptn_sn.php?ptn=381</x:v>
      </x:c>
    </x:row>
    <x:row r="2782">
      <x:c r="A2782" s="87" t="n">
        <x:v>397</x:v>
      </x:c>
      <x:c r="B2782" s="66" t="n">
        <x:v>381</x:v>
      </x:c>
      <x:c r="C2782" s="66" t="str">
        <x:v>UNIVERSITAS AIRLANGGA</x:v>
      </x:c>
      <x:c r="D2782" s="66" t="str">
        <x:v>PTN Akademik</x:v>
      </x:c>
      <x:c r="E2782" s="66" t="str">
        <x:v>13811017</x:v>
      </x:c>
      <x:c r="F2782" s="66" t="str">
        <x:v>GIZI</x:v>
      </x:c>
      <x:c r="G2782" s="66" t="str">
        <x:v>Sarjana</x:v>
      </x:c>
      <x:c r="H2782" s="87" t="n">
        <x:v>32</x:v>
      </x:c>
      <x:c r="I2782" s="87" t="n">
        <x:v>688</x:v>
      </x:c>
      <x:c r="J2782" s="68" t="n">
        <x:f>IFERROR(H2782/I2782,"")</x:f>
        <x:v>0.046511627906976744</x:v>
      </x:c>
      <x:c r="K2782" s="69" t="n">
        <x:f>IFERROR(I2782/H2782,"")</x:f>
        <x:v>21.5</x:v>
      </x:c>
      <x:c r="L2782" s="66" t="str">
        <x:f>IF(K2782="","","1 : "&amp;TEXT(K2782,"0.0"))</x:f>
        <x:v>1 : 21.5</x:v>
      </x:c>
      <x:c r="M2782" s="66" t="str">
        <x:f>IF(J2782="","Baru/Tanpa Data",IF(J2782&lt;='Catatan &amp; Sumber'!$B$14,"Sangat Ketat",IF(J2782&lt;='Catatan &amp; Sumber'!$B$15,"Ketat",IF(J2782&lt;='Catatan &amp; Sumber'!$B$16,"Sedang","Relatif Longgar"))))</x:f>
        <x:v>Ketat</x:v>
      </x:c>
      <x:c r="N2782" s="66" t="str">
        <x:v>Tidak Ada</x:v>
      </x:c>
      <x:c r="O2782" s="66" t="str">
        <x:v>Jawa Timur</x:v>
      </x:c>
      <x:c r="P2782" s="66" t="str">
        <x:v>Kota Surabaya</x:v>
      </x:c>
      <x:c r="Q2782" s="66" t="str">
        <x:v>https://snpmb.id/snbp/daya-tampung-snbp</x:v>
      </x:c>
      <x:c r="R2782" s="66" t="str">
        <x:v>https://sidatagrun-public-1076756628210.asia-southeast2.run.app/ptn_sn.php?ptn=381</x:v>
      </x:c>
    </x:row>
    <x:row r="2783">
      <x:c r="A2783" s="87" t="n">
        <x:v>1964</x:v>
      </x:c>
      <x:c r="B2783" s="66" t="n">
        <x:v>381</x:v>
      </x:c>
      <x:c r="C2783" s="66" t="str">
        <x:v>UNIVERSITAS AIRLANGGA</x:v>
      </x:c>
      <x:c r="D2783" s="66" t="str">
        <x:v>PTN Akademik</x:v>
      </x:c>
      <x:c r="E2783" s="66" t="str">
        <x:v>13811018</x:v>
      </x:c>
      <x:c r="F2783" s="66" t="str">
        <x:v>KEDOKTERAN HEWAN (FIKKIA BANYUWANGI)</x:v>
      </x:c>
      <x:c r="G2783" s="66" t="str">
        <x:v>Sarjana</x:v>
      </x:c>
      <x:c r="H2783" s="87" t="n">
        <x:v>30</x:v>
      </x:c>
      <x:c r="I2783" s="87" t="n">
        <x:v>203</x:v>
      </x:c>
      <x:c r="J2783" s="68" t="n">
        <x:f>IFERROR(H2783/I2783,"")</x:f>
        <x:v>0.1477832512315271</x:v>
      </x:c>
      <x:c r="K2783" s="69" t="n">
        <x:f>IFERROR(I2783/H2783,"")</x:f>
        <x:v>6.766666666666667</x:v>
      </x:c>
      <x:c r="L2783" s="66" t="str">
        <x:f>IF(K2783="","","1 : "&amp;TEXT(K2783,"0.0"))</x:f>
        <x:v>1 : 6.8</x:v>
      </x:c>
      <x:c r="M2783" s="66" t="str">
        <x:f>IF(J2783="","Baru/Tanpa Data",IF(J2783&lt;='Catatan &amp; Sumber'!$B$14,"Sangat Ketat",IF(J2783&lt;='Catatan &amp; Sumber'!$B$15,"Ketat",IF(J2783&lt;='Catatan &amp; Sumber'!$B$16,"Sedang","Relatif Longgar"))))</x:f>
        <x:v>Relatif Longgar</x:v>
      </x:c>
      <x:c r="N2783" s="66" t="str">
        <x:v>Tidak Ada</x:v>
      </x:c>
      <x:c r="O2783" s="66" t="str">
        <x:v>Jawa Timur</x:v>
      </x:c>
      <x:c r="P2783" s="66" t="str">
        <x:v>Kota Surabaya</x:v>
      </x:c>
      <x:c r="Q2783" s="66" t="str">
        <x:v>https://snpmb.id/snbp/daya-tampung-snbp</x:v>
      </x:c>
      <x:c r="R2783" s="66" t="str">
        <x:v>https://sidatagrun-public-1076756628210.asia-southeast2.run.app/ptn_sn.php?ptn=381</x:v>
      </x:c>
    </x:row>
    <x:row r="2784">
      <x:c r="A2784" s="87" t="n">
        <x:v>2001</x:v>
      </x:c>
      <x:c r="B2784" s="66" t="n">
        <x:v>381</x:v>
      </x:c>
      <x:c r="C2784" s="66" t="str">
        <x:v>UNIVERSITAS AIRLANGGA</x:v>
      </x:c>
      <x:c r="D2784" s="66" t="str">
        <x:v>PTN Akademik</x:v>
      </x:c>
      <x:c r="E2784" s="66" t="str">
        <x:v>13811019</x:v>
      </x:c>
      <x:c r="F2784" s="66" t="str">
        <x:v>KESEHATAN MASYARAKAT (FIKKIA BANYUWANGI)</x:v>
      </x:c>
      <x:c r="G2784" s="66" t="str">
        <x:v>Sarjana</x:v>
      </x:c>
      <x:c r="H2784" s="87" t="n">
        <x:v>40</x:v>
      </x:c>
      <x:c r="I2784" s="87" t="n">
        <x:v>263</x:v>
      </x:c>
      <x:c r="J2784" s="68" t="n">
        <x:f>IFERROR(H2784/I2784,"")</x:f>
        <x:v>0.1520912547528517</x:v>
      </x:c>
      <x:c r="K2784" s="69" t="n">
        <x:f>IFERROR(I2784/H2784,"")</x:f>
        <x:v>6.575</x:v>
      </x:c>
      <x:c r="L2784" s="66" t="str">
        <x:f>IF(K2784="","","1 : "&amp;TEXT(K2784,"0.0"))</x:f>
        <x:v>1 : 6.6</x:v>
      </x:c>
      <x:c r="M2784" s="66" t="str">
        <x:f>IF(J2784="","Baru/Tanpa Data",IF(J2784&lt;='Catatan &amp; Sumber'!$B$14,"Sangat Ketat",IF(J2784&lt;='Catatan &amp; Sumber'!$B$15,"Ketat",IF(J2784&lt;='Catatan &amp; Sumber'!$B$16,"Sedang","Relatif Longgar"))))</x:f>
        <x:v>Relatif Longgar</x:v>
      </x:c>
      <x:c r="N2784" s="66" t="str">
        <x:v>Tidak Ada</x:v>
      </x:c>
      <x:c r="O2784" s="66" t="str">
        <x:v>Jawa Timur</x:v>
      </x:c>
      <x:c r="P2784" s="66" t="str">
        <x:v>Kota Surabaya</x:v>
      </x:c>
      <x:c r="Q2784" s="66" t="str">
        <x:v>https://snpmb.id/snbp/daya-tampung-snbp</x:v>
      </x:c>
      <x:c r="R2784" s="66" t="str">
        <x:v>https://sidatagrun-public-1076756628210.asia-southeast2.run.app/ptn_sn.php?ptn=381</x:v>
      </x:c>
    </x:row>
    <x:row r="2785">
      <x:c r="A2785" s="87" t="n">
        <x:v>3465</x:v>
      </x:c>
      <x:c r="B2785" s="66" t="n">
        <x:v>381</x:v>
      </x:c>
      <x:c r="C2785" s="66" t="str">
        <x:v>UNIVERSITAS AIRLANGGA</x:v>
      </x:c>
      <x:c r="D2785" s="66" t="str">
        <x:v>PTN Akademik</x:v>
      </x:c>
      <x:c r="E2785" s="66" t="str">
        <x:v>13811020</x:v>
      </x:c>
      <x:c r="F2785" s="66" t="str">
        <x:v>AKUAKULTUR (FIKKIA BANYUWANGI)</x:v>
      </x:c>
      <x:c r="G2785" s="66" t="str">
        <x:v>Sarjana</x:v>
      </x:c>
      <x:c r="H2785" s="87" t="n">
        <x:v>30</x:v>
      </x:c>
      <x:c r="I2785" s="87" t="n">
        <x:v>71</x:v>
      </x:c>
      <x:c r="J2785" s="68" t="n">
        <x:f>IFERROR(H2785/I2785,"")</x:f>
        <x:v>0.4225352112676056</x:v>
      </x:c>
      <x:c r="K2785" s="69" t="n">
        <x:f>IFERROR(I2785/H2785,"")</x:f>
        <x:v>2.3666666666666667</x:v>
      </x:c>
      <x:c r="L2785" s="66" t="str">
        <x:f>IF(K2785="","","1 : "&amp;TEXT(K2785,"0.0"))</x:f>
        <x:v>1 : 2.4</x:v>
      </x:c>
      <x:c r="M2785" s="66" t="str">
        <x:f>IF(J2785="","Baru/Tanpa Data",IF(J2785&lt;='Catatan &amp; Sumber'!$B$14,"Sangat Ketat",IF(J2785&lt;='Catatan &amp; Sumber'!$B$15,"Ketat",IF(J2785&lt;='Catatan &amp; Sumber'!$B$16,"Sedang","Relatif Longgar"))))</x:f>
        <x:v>Relatif Longgar</x:v>
      </x:c>
      <x:c r="N2785" s="66" t="str">
        <x:v>Tidak Ada</x:v>
      </x:c>
      <x:c r="O2785" s="66" t="str">
        <x:v>Jawa Timur</x:v>
      </x:c>
      <x:c r="P2785" s="66" t="str">
        <x:v>Kota Surabaya</x:v>
      </x:c>
      <x:c r="Q2785" s="66" t="str">
        <x:v>https://snpmb.id/snbp/daya-tampung-snbp</x:v>
      </x:c>
      <x:c r="R2785" s="66" t="str">
        <x:v>https://sidatagrun-public-1076756628210.asia-southeast2.run.app/ptn_sn.php?ptn=381</x:v>
      </x:c>
    </x:row>
    <x:row r="2786">
      <x:c r="A2786" s="87" t="n">
        <x:v>3089</x:v>
      </x:c>
      <x:c r="B2786" s="66" t="n">
        <x:v>381</x:v>
      </x:c>
      <x:c r="C2786" s="66" t="str">
        <x:v>UNIVERSITAS AIRLANGGA</x:v>
      </x:c>
      <x:c r="D2786" s="66" t="str">
        <x:v>PTN Akademik</x:v>
      </x:c>
      <x:c r="E2786" s="66" t="str">
        <x:v>13811021</x:v>
      </x:c>
      <x:c r="F2786" s="66" t="str">
        <x:v>TEKNOLOGI HASIL PERIKANAN</x:v>
      </x:c>
      <x:c r="G2786" s="66" t="str">
        <x:v>Sarjana</x:v>
      </x:c>
      <x:c r="H2786" s="87" t="n">
        <x:v>56</x:v>
      </x:c>
      <x:c r="I2786" s="87" t="n">
        <x:v>179</x:v>
      </x:c>
      <x:c r="J2786" s="68" t="n">
        <x:f>IFERROR(H2786/I2786,"")</x:f>
        <x:v>0.3128491620111732</x:v>
      </x:c>
      <x:c r="K2786" s="69" t="n">
        <x:f>IFERROR(I2786/H2786,"")</x:f>
        <x:v>3.1964285714285716</x:v>
      </x:c>
      <x:c r="L2786" s="66" t="str">
        <x:f>IF(K2786="","","1 : "&amp;TEXT(K2786,"0.0"))</x:f>
        <x:v>1 : 3.2</x:v>
      </x:c>
      <x:c r="M2786" s="66" t="str">
        <x:f>IF(J2786="","Baru/Tanpa Data",IF(J2786&lt;='Catatan &amp; Sumber'!$B$14,"Sangat Ketat",IF(J2786&lt;='Catatan &amp; Sumber'!$B$15,"Ketat",IF(J2786&lt;='Catatan &amp; Sumber'!$B$16,"Sedang","Relatif Longgar"))))</x:f>
        <x:v>Relatif Longgar</x:v>
      </x:c>
      <x:c r="N2786" s="66" t="str">
        <x:v>Tidak Ada</x:v>
      </x:c>
      <x:c r="O2786" s="66" t="str">
        <x:v>Jawa Timur</x:v>
      </x:c>
      <x:c r="P2786" s="66" t="str">
        <x:v>Kota Surabaya</x:v>
      </x:c>
      <x:c r="Q2786" s="66" t="str">
        <x:v>https://snpmb.id/snbp/daya-tampung-snbp</x:v>
      </x:c>
      <x:c r="R2786" s="66" t="str">
        <x:v>https://sidatagrun-public-1076756628210.asia-southeast2.run.app/ptn_sn.php?ptn=381</x:v>
      </x:c>
    </x:row>
    <x:row r="2787">
      <x:c r="A2787" s="87" t="n">
        <x:v>1116</x:v>
      </x:c>
      <x:c r="B2787" s="66" t="n">
        <x:v>381</x:v>
      </x:c>
      <x:c r="C2787" s="66" t="str">
        <x:v>UNIVERSITAS AIRLANGGA</x:v>
      </x:c>
      <x:c r="D2787" s="66" t="str">
        <x:v>PTN Akademik</x:v>
      </x:c>
      <x:c r="E2787" s="66" t="str">
        <x:v>13811022</x:v>
      </x:c>
      <x:c r="F2787" s="66" t="str">
        <x:v>TEKNIK INDUSTRI</x:v>
      </x:c>
      <x:c r="G2787" s="66" t="str">
        <x:v>Sarjana</x:v>
      </x:c>
      <x:c r="H2787" s="87" t="n">
        <x:v>36</x:v>
      </x:c>
      <x:c r="I2787" s="87" t="n">
        <x:v>424</x:v>
      </x:c>
      <x:c r="J2787" s="68" t="n">
        <x:f>IFERROR(H2787/I2787,"")</x:f>
        <x:v>0.08490566037735849</x:v>
      </x:c>
      <x:c r="K2787" s="69" t="n">
        <x:f>IFERROR(I2787/H2787,"")</x:f>
        <x:v>11.777777777777779</x:v>
      </x:c>
      <x:c r="L2787" s="66" t="str">
        <x:f>IF(K2787="","","1 : "&amp;TEXT(K2787,"0.0"))</x:f>
        <x:v>1 : 11.8</x:v>
      </x:c>
      <x:c r="M2787" s="66" t="str">
        <x:f>IF(J2787="","Baru/Tanpa Data",IF(J2787&lt;='Catatan &amp; Sumber'!$B$14,"Sangat Ketat",IF(J2787&lt;='Catatan &amp; Sumber'!$B$15,"Ketat",IF(J2787&lt;='Catatan &amp; Sumber'!$B$16,"Sedang","Relatif Longgar"))))</x:f>
        <x:v>Sedang</x:v>
      </x:c>
      <x:c r="N2787" s="66" t="str">
        <x:v>Tidak Ada</x:v>
      </x:c>
      <x:c r="O2787" s="66" t="str">
        <x:v>Jawa Timur</x:v>
      </x:c>
      <x:c r="P2787" s="66" t="str">
        <x:v>Kota Surabaya</x:v>
      </x:c>
      <x:c r="Q2787" s="66" t="str">
        <x:v>https://snpmb.id/snbp/daya-tampung-snbp</x:v>
      </x:c>
      <x:c r="R2787" s="66" t="str">
        <x:v>https://sidatagrun-public-1076756628210.asia-southeast2.run.app/ptn_sn.php?ptn=381</x:v>
      </x:c>
    </x:row>
    <x:row r="2788">
      <x:c r="A2788" s="87" t="n">
        <x:v>1704</x:v>
      </x:c>
      <x:c r="B2788" s="66" t="n">
        <x:v>381</x:v>
      </x:c>
      <x:c r="C2788" s="66" t="str">
        <x:v>UNIVERSITAS AIRLANGGA</x:v>
      </x:c>
      <x:c r="D2788" s="66" t="str">
        <x:v>PTN Akademik</x:v>
      </x:c>
      <x:c r="E2788" s="66" t="str">
        <x:v>13811023</x:v>
      </x:c>
      <x:c r="F2788" s="66" t="str">
        <x:v>TEKNIK ELEKTRO</x:v>
      </x:c>
      <x:c r="G2788" s="66" t="str">
        <x:v>Sarjana</x:v>
      </x:c>
      <x:c r="H2788" s="87" t="n">
        <x:v>30</x:v>
      </x:c>
      <x:c r="I2788" s="87" t="n">
        <x:v>241</x:v>
      </x:c>
      <x:c r="J2788" s="68" t="n">
        <x:f>IFERROR(H2788/I2788,"")</x:f>
        <x:v>0.12448132780082988</x:v>
      </x:c>
      <x:c r="K2788" s="69" t="n">
        <x:f>IFERROR(I2788/H2788,"")</x:f>
        <x:v>8.033333333333333</x:v>
      </x:c>
      <x:c r="L2788" s="66" t="str">
        <x:f>IF(K2788="","","1 : "&amp;TEXT(K2788,"0.0"))</x:f>
        <x:v>1 : 8.0</x:v>
      </x:c>
      <x:c r="M2788" s="66" t="str">
        <x:f>IF(J2788="","Baru/Tanpa Data",IF(J2788&lt;='Catatan &amp; Sumber'!$B$14,"Sangat Ketat",IF(J2788&lt;='Catatan &amp; Sumber'!$B$15,"Ketat",IF(J2788&lt;='Catatan &amp; Sumber'!$B$16,"Sedang","Relatif Longgar"))))</x:f>
        <x:v>Relatif Longgar</x:v>
      </x:c>
      <x:c r="N2788" s="66" t="str">
        <x:v>Tidak Ada</x:v>
      </x:c>
      <x:c r="O2788" s="66" t="str">
        <x:v>Jawa Timur</x:v>
      </x:c>
      <x:c r="P2788" s="66" t="str">
        <x:v>Kota Surabaya</x:v>
      </x:c>
      <x:c r="Q2788" s="66" t="str">
        <x:v>https://snpmb.id/snbp/daya-tampung-snbp</x:v>
      </x:c>
      <x:c r="R2788" s="66" t="str">
        <x:v>https://sidatagrun-public-1076756628210.asia-southeast2.run.app/ptn_sn.php?ptn=381</x:v>
      </x:c>
    </x:row>
    <x:row r="2789">
      <x:c r="A2789" s="87" t="n">
        <x:v>2668</x:v>
      </x:c>
      <x:c r="B2789" s="66" t="n">
        <x:v>381</x:v>
      </x:c>
      <x:c r="C2789" s="66" t="str">
        <x:v>UNIVERSITAS AIRLANGGA</x:v>
      </x:c>
      <x:c r="D2789" s="66" t="str">
        <x:v>PTN Akademik</x:v>
      </x:c>
      <x:c r="E2789" s="66" t="str">
        <x:v>13811024</x:v>
      </x:c>
      <x:c r="F2789" s="66" t="str">
        <x:v>REKAYASA NANOTEKNOLOGI</x:v>
      </x:c>
      <x:c r="G2789" s="66" t="str">
        <x:v>Sarjana</x:v>
      </x:c>
      <x:c r="H2789" s="87" t="n">
        <x:v>40</x:v>
      </x:c>
      <x:c r="I2789" s="87" t="n">
        <x:v>168</x:v>
      </x:c>
      <x:c r="J2789" s="68" t="n">
        <x:f>IFERROR(H2789/I2789,"")</x:f>
        <x:v>0.23809523809523808</x:v>
      </x:c>
      <x:c r="K2789" s="69" t="n">
        <x:f>IFERROR(I2789/H2789,"")</x:f>
        <x:v>4.2</x:v>
      </x:c>
      <x:c r="L2789" s="66" t="str">
        <x:f>IF(K2789="","","1 : "&amp;TEXT(K2789,"0.0"))</x:f>
        <x:v>1 : 4.2</x:v>
      </x:c>
      <x:c r="M2789" s="66" t="str">
        <x:f>IF(J2789="","Baru/Tanpa Data",IF(J2789&lt;='Catatan &amp; Sumber'!$B$14,"Sangat Ketat",IF(J2789&lt;='Catatan &amp; Sumber'!$B$15,"Ketat",IF(J2789&lt;='Catatan &amp; Sumber'!$B$16,"Sedang","Relatif Longgar"))))</x:f>
        <x:v>Relatif Longgar</x:v>
      </x:c>
      <x:c r="N2789" s="66" t="str">
        <x:v>Tidak Ada</x:v>
      </x:c>
      <x:c r="O2789" s="66" t="str">
        <x:v>Jawa Timur</x:v>
      </x:c>
      <x:c r="P2789" s="66" t="str">
        <x:v>Kota Surabaya</x:v>
      </x:c>
      <x:c r="Q2789" s="66" t="str">
        <x:v>https://snpmb.id/snbp/daya-tampung-snbp</x:v>
      </x:c>
      <x:c r="R2789" s="66" t="str">
        <x:v>https://sidatagrun-public-1076756628210.asia-southeast2.run.app/ptn_sn.php?ptn=381</x:v>
      </x:c>
    </x:row>
    <x:row r="2790">
      <x:c r="A2790" s="87" t="n">
        <x:v>1708</x:v>
      </x:c>
      <x:c r="B2790" s="66" t="n">
        <x:v>381</x:v>
      </x:c>
      <x:c r="C2790" s="66" t="str">
        <x:v>UNIVERSITAS AIRLANGGA</x:v>
      </x:c>
      <x:c r="D2790" s="66" t="str">
        <x:v>PTN Akademik</x:v>
      </x:c>
      <x:c r="E2790" s="66" t="str">
        <x:v>13811025</x:v>
      </x:c>
      <x:c r="F2790" s="66" t="str">
        <x:v>TEKNOLOGI SAINS DATA</x:v>
      </x:c>
      <x:c r="G2790" s="66" t="str">
        <x:v>Sarjana</x:v>
      </x:c>
      <x:c r="H2790" s="87" t="n">
        <x:v>36</x:v>
      </x:c>
      <x:c r="I2790" s="87" t="n">
        <x:v>288</x:v>
      </x:c>
      <x:c r="J2790" s="68" t="n">
        <x:f>IFERROR(H2790/I2790,"")</x:f>
        <x:v>0.125</x:v>
      </x:c>
      <x:c r="K2790" s="69" t="n">
        <x:f>IFERROR(I2790/H2790,"")</x:f>
        <x:v>8</x:v>
      </x:c>
      <x:c r="L2790" s="66" t="str">
        <x:f>IF(K2790="","","1 : "&amp;TEXT(K2790,"0.0"))</x:f>
        <x:v>1 : 8.0</x:v>
      </x:c>
      <x:c r="M2790" s="66" t="str">
        <x:f>IF(J2790="","Baru/Tanpa Data",IF(J2790&lt;='Catatan &amp; Sumber'!$B$14,"Sangat Ketat",IF(J2790&lt;='Catatan &amp; Sumber'!$B$15,"Ketat",IF(J2790&lt;='Catatan &amp; Sumber'!$B$16,"Sedang","Relatif Longgar"))))</x:f>
        <x:v>Relatif Longgar</x:v>
      </x:c>
      <x:c r="N2790" s="66" t="str">
        <x:v>Tidak Ada</x:v>
      </x:c>
      <x:c r="O2790" s="66" t="str">
        <x:v>Jawa Timur</x:v>
      </x:c>
      <x:c r="P2790" s="66" t="str">
        <x:v>Kota Surabaya</x:v>
      </x:c>
      <x:c r="Q2790" s="66" t="str">
        <x:v>https://snpmb.id/snbp/daya-tampung-snbp</x:v>
      </x:c>
      <x:c r="R2790" s="66" t="str">
        <x:v>https://sidatagrun-public-1076756628210.asia-southeast2.run.app/ptn_sn.php?ptn=381</x:v>
      </x:c>
    </x:row>
    <x:row r="2791">
      <x:c r="A2791" s="87" t="n">
        <x:v>804</x:v>
      </x:c>
      <x:c r="B2791" s="66" t="n">
        <x:v>381</x:v>
      </x:c>
      <x:c r="C2791" s="66" t="str">
        <x:v>UNIVERSITAS AIRLANGGA</x:v>
      </x:c>
      <x:c r="D2791" s="66" t="str">
        <x:v>PTN Akademik</x:v>
      </x:c>
      <x:c r="E2791" s="66" t="str">
        <x:v>13811026</x:v>
      </x:c>
      <x:c r="F2791" s="66" t="str">
        <x:v>TEKNIK ROBOTIKA DAN KECERDASAN BUATAN</x:v>
      </x:c>
      <x:c r="G2791" s="66" t="str">
        <x:v>Sarjana</x:v>
      </x:c>
      <x:c r="H2791" s="87" t="n">
        <x:v>20</x:v>
      </x:c>
      <x:c r="I2791" s="87" t="n">
        <x:v>298</x:v>
      </x:c>
      <x:c r="J2791" s="68" t="n">
        <x:f>IFERROR(H2791/I2791,"")</x:f>
        <x:v>0.06711409395973154</x:v>
      </x:c>
      <x:c r="K2791" s="69" t="n">
        <x:f>IFERROR(I2791/H2791,"")</x:f>
        <x:v>14.9</x:v>
      </x:c>
      <x:c r="L2791" s="66" t="str">
        <x:f>IF(K2791="","","1 : "&amp;TEXT(K2791,"0.0"))</x:f>
        <x:v>1 : 14.9</x:v>
      </x:c>
      <x:c r="M2791" s="66" t="str">
        <x:f>IF(J2791="","Baru/Tanpa Data",IF(J2791&lt;='Catatan &amp; Sumber'!$B$14,"Sangat Ketat",IF(J2791&lt;='Catatan &amp; Sumber'!$B$15,"Ketat",IF(J2791&lt;='Catatan &amp; Sumber'!$B$16,"Sedang","Relatif Longgar"))))</x:f>
        <x:v>Sedang</x:v>
      </x:c>
      <x:c r="N2791" s="66" t="str">
        <x:v>Tidak Ada</x:v>
      </x:c>
      <x:c r="O2791" s="66" t="str">
        <x:v>Jawa Timur</x:v>
      </x:c>
      <x:c r="P2791" s="66" t="str">
        <x:v>Kota Surabaya</x:v>
      </x:c>
      <x:c r="Q2791" s="66" t="str">
        <x:v>https://snpmb.id/snbp/daya-tampung-snbp</x:v>
      </x:c>
      <x:c r="R2791" s="66" t="str">
        <x:v>https://sidatagrun-public-1076756628210.asia-southeast2.run.app/ptn_sn.php?ptn=381</x:v>
      </x:c>
    </x:row>
    <x:row r="2792">
      <x:c r="A2792" s="87" t="n">
        <x:v>875</x:v>
      </x:c>
      <x:c r="B2792" s="66" t="n">
        <x:v>381</x:v>
      </x:c>
      <x:c r="C2792" s="66" t="str">
        <x:v>UNIVERSITAS AIRLANGGA</x:v>
      </x:c>
      <x:c r="D2792" s="66" t="str">
        <x:v>PTN Akademik</x:v>
      </x:c>
      <x:c r="E2792" s="66" t="str">
        <x:v>13811027</x:v>
      </x:c>
      <x:c r="F2792" s="66" t="str">
        <x:v>ILMU HUKUM</x:v>
      </x:c>
      <x:c r="G2792" s="66" t="str">
        <x:v>Sarjana</x:v>
      </x:c>
      <x:c r="H2792" s="87" t="n">
        <x:v>77</x:v>
      </x:c>
      <x:c r="I2792" s="87" t="n">
        <x:v>1089</x:v>
      </x:c>
      <x:c r="J2792" s="68" t="n">
        <x:f>IFERROR(H2792/I2792,"")</x:f>
        <x:v>0.0707070707070707</x:v>
      </x:c>
      <x:c r="K2792" s="69" t="n">
        <x:f>IFERROR(I2792/H2792,"")</x:f>
        <x:v>14.142857142857142</x:v>
      </x:c>
      <x:c r="L2792" s="66" t="str">
        <x:f>IF(K2792="","","1 : "&amp;TEXT(K2792,"0.0"))</x:f>
        <x:v>1 : 14.1</x:v>
      </x:c>
      <x:c r="M2792" s="66" t="str">
        <x:f>IF(J2792="","Baru/Tanpa Data",IF(J2792&lt;='Catatan &amp; Sumber'!$B$14,"Sangat Ketat",IF(J2792&lt;='Catatan &amp; Sumber'!$B$15,"Ketat",IF(J2792&lt;='Catatan &amp; Sumber'!$B$16,"Sedang","Relatif Longgar"))))</x:f>
        <x:v>Sedang</x:v>
      </x:c>
      <x:c r="N2792" s="66" t="str">
        <x:v>Tidak Ada</x:v>
      </x:c>
      <x:c r="O2792" s="66" t="str">
        <x:v>Jawa Timur</x:v>
      </x:c>
      <x:c r="P2792" s="66" t="str">
        <x:v>Kota Surabaya</x:v>
      </x:c>
      <x:c r="Q2792" s="66" t="str">
        <x:v>https://snpmb.id/snbp/daya-tampung-snbp</x:v>
      </x:c>
      <x:c r="R2792" s="66" t="str">
        <x:v>https://sidatagrun-public-1076756628210.asia-southeast2.run.app/ptn_sn.php?ptn=381</x:v>
      </x:c>
    </x:row>
    <x:row r="2793">
      <x:c r="A2793" s="87" t="n">
        <x:v>755</x:v>
      </x:c>
      <x:c r="B2793" s="66" t="n">
        <x:v>381</x:v>
      </x:c>
      <x:c r="C2793" s="66" t="str">
        <x:v>UNIVERSITAS AIRLANGGA</x:v>
      </x:c>
      <x:c r="D2793" s="66" t="str">
        <x:v>PTN Akademik</x:v>
      </x:c>
      <x:c r="E2793" s="66" t="str">
        <x:v>13811028</x:v>
      </x:c>
      <x:c r="F2793" s="66" t="str">
        <x:v>ADMINISTRASI PUBLIK</x:v>
      </x:c>
      <x:c r="G2793" s="66" t="str">
        <x:v>Sarjana</x:v>
      </x:c>
      <x:c r="H2793" s="87" t="n">
        <x:v>28</x:v>
      </x:c>
      <x:c r="I2793" s="87" t="n">
        <x:v>432</x:v>
      </x:c>
      <x:c r="J2793" s="68" t="n">
        <x:f>IFERROR(H2793/I2793,"")</x:f>
        <x:v>0.06481481481481481</x:v>
      </x:c>
      <x:c r="K2793" s="69" t="n">
        <x:f>IFERROR(I2793/H2793,"")</x:f>
        <x:v>15.428571428571429</x:v>
      </x:c>
      <x:c r="L2793" s="66" t="str">
        <x:f>IF(K2793="","","1 : "&amp;TEXT(K2793,"0.0"))</x:f>
        <x:v>1 : 15.4</x:v>
      </x:c>
      <x:c r="M2793" s="66" t="str">
        <x:f>IF(J2793="","Baru/Tanpa Data",IF(J2793&lt;='Catatan &amp; Sumber'!$B$14,"Sangat Ketat",IF(J2793&lt;='Catatan &amp; Sumber'!$B$15,"Ketat",IF(J2793&lt;='Catatan &amp; Sumber'!$B$16,"Sedang","Relatif Longgar"))))</x:f>
        <x:v>Sedang</x:v>
      </x:c>
      <x:c r="N2793" s="66" t="str">
        <x:v>Tidak Ada</x:v>
      </x:c>
      <x:c r="O2793" s="66" t="str">
        <x:v>Jawa Timur</x:v>
      </x:c>
      <x:c r="P2793" s="66" t="str">
        <x:v>Kota Surabaya</x:v>
      </x:c>
      <x:c r="Q2793" s="66" t="str">
        <x:v>https://snpmb.id/snbp/daya-tampung-snbp</x:v>
      </x:c>
      <x:c r="R2793" s="66" t="str">
        <x:v>https://sidatagrun-public-1076756628210.asia-southeast2.run.app/ptn_sn.php?ptn=381</x:v>
      </x:c>
    </x:row>
    <x:row r="2794">
      <x:c r="A2794" s="87" t="n">
        <x:v>491</x:v>
      </x:c>
      <x:c r="B2794" s="66" t="n">
        <x:v>381</x:v>
      </x:c>
      <x:c r="C2794" s="66" t="str">
        <x:v>UNIVERSITAS AIRLANGGA</x:v>
      </x:c>
      <x:c r="D2794" s="66" t="str">
        <x:v>PTN Akademik</x:v>
      </x:c>
      <x:c r="E2794" s="66" t="str">
        <x:v>13811029</x:v>
      </x:c>
      <x:c r="F2794" s="66" t="str">
        <x:v>PSIKOLOGI</x:v>
      </x:c>
      <x:c r="G2794" s="66" t="str">
        <x:v>Sarjana</x:v>
      </x:c>
      <x:c r="H2794" s="87" t="n">
        <x:v>54</x:v>
      </x:c>
      <x:c r="I2794" s="87" t="n">
        <x:v>1066</x:v>
      </x:c>
      <x:c r="J2794" s="68" t="n">
        <x:f>IFERROR(H2794/I2794,"")</x:f>
        <x:v>0.05065666041275797</x:v>
      </x:c>
      <x:c r="K2794" s="69" t="n">
        <x:f>IFERROR(I2794/H2794,"")</x:f>
        <x:v>19.74074074074074</x:v>
      </x:c>
      <x:c r="L2794" s="66" t="str">
        <x:f>IF(K2794="","","1 : "&amp;TEXT(K2794,"0.0"))</x:f>
        <x:v>1 : 19.7</x:v>
      </x:c>
      <x:c r="M2794" s="66" t="str">
        <x:f>IF(J2794="","Baru/Tanpa Data",IF(J2794&lt;='Catatan &amp; Sumber'!$B$14,"Sangat Ketat",IF(J2794&lt;='Catatan &amp; Sumber'!$B$15,"Ketat",IF(J2794&lt;='Catatan &amp; Sumber'!$B$16,"Sedang","Relatif Longgar"))))</x:f>
        <x:v>Sedang</x:v>
      </x:c>
      <x:c r="N2794" s="66" t="str">
        <x:v>Tidak Ada</x:v>
      </x:c>
      <x:c r="O2794" s="66" t="str">
        <x:v>Jawa Timur</x:v>
      </x:c>
      <x:c r="P2794" s="66" t="str">
        <x:v>Kota Surabaya</x:v>
      </x:c>
      <x:c r="Q2794" s="66" t="str">
        <x:v>https://snpmb.id/snbp/daya-tampung-snbp</x:v>
      </x:c>
      <x:c r="R2794" s="66" t="str">
        <x:v>https://sidatagrun-public-1076756628210.asia-southeast2.run.app/ptn_sn.php?ptn=381</x:v>
      </x:c>
    </x:row>
    <x:row r="2795">
      <x:c r="A2795" s="87" t="n">
        <x:v>1990</x:v>
      </x:c>
      <x:c r="B2795" s="66" t="n">
        <x:v>381</x:v>
      </x:c>
      <x:c r="C2795" s="66" t="str">
        <x:v>UNIVERSITAS AIRLANGGA</x:v>
      </x:c>
      <x:c r="D2795" s="66" t="str">
        <x:v>PTN Akademik</x:v>
      </x:c>
      <x:c r="E2795" s="66" t="str">
        <x:v>13811030</x:v>
      </x:c>
      <x:c r="F2795" s="66" t="str">
        <x:v>SOSIOLOGI</x:v>
      </x:c>
      <x:c r="G2795" s="66" t="str">
        <x:v>Sarjana</x:v>
      </x:c>
      <x:c r="H2795" s="87" t="n">
        <x:v>39</x:v>
      </x:c>
      <x:c r="I2795" s="87" t="n">
        <x:v>259</x:v>
      </x:c>
      <x:c r="J2795" s="68" t="n">
        <x:f>IFERROR(H2795/I2795,"")</x:f>
        <x:v>0.15057915057915058</x:v>
      </x:c>
      <x:c r="K2795" s="69" t="n">
        <x:f>IFERROR(I2795/H2795,"")</x:f>
        <x:v>6.641025641025641</x:v>
      </x:c>
      <x:c r="L2795" s="66" t="str">
        <x:f>IF(K2795="","","1 : "&amp;TEXT(K2795,"0.0"))</x:f>
        <x:v>1 : 6.6</x:v>
      </x:c>
      <x:c r="M2795" s="66" t="str">
        <x:f>IF(J2795="","Baru/Tanpa Data",IF(J2795&lt;='Catatan &amp; Sumber'!$B$14,"Sangat Ketat",IF(J2795&lt;='Catatan &amp; Sumber'!$B$15,"Ketat",IF(J2795&lt;='Catatan &amp; Sumber'!$B$16,"Sedang","Relatif Longgar"))))</x:f>
        <x:v>Relatif Longgar</x:v>
      </x:c>
      <x:c r="N2795" s="66" t="str">
        <x:v>Tidak Ada</x:v>
      </x:c>
      <x:c r="O2795" s="66" t="str">
        <x:v>Jawa Timur</x:v>
      </x:c>
      <x:c r="P2795" s="66" t="str">
        <x:v>Kota Surabaya</x:v>
      </x:c>
      <x:c r="Q2795" s="66" t="str">
        <x:v>https://snpmb.id/snbp/daya-tampung-snbp</x:v>
      </x:c>
      <x:c r="R2795" s="66" t="str">
        <x:v>https://sidatagrun-public-1076756628210.asia-southeast2.run.app/ptn_sn.php?ptn=381</x:v>
      </x:c>
    </x:row>
    <x:row r="2796">
      <x:c r="A2796" s="87" t="n">
        <x:v>1622</x:v>
      </x:c>
      <x:c r="B2796" s="66" t="n">
        <x:v>381</x:v>
      </x:c>
      <x:c r="C2796" s="66" t="str">
        <x:v>UNIVERSITAS AIRLANGGA</x:v>
      </x:c>
      <x:c r="D2796" s="66" t="str">
        <x:v>PTN Akademik</x:v>
      </x:c>
      <x:c r="E2796" s="66" t="str">
        <x:v>13811031</x:v>
      </x:c>
      <x:c r="F2796" s="66" t="str">
        <x:v>ILMU POLITIK</x:v>
      </x:c>
      <x:c r="G2796" s="66" t="str">
        <x:v>Sarjana</x:v>
      </x:c>
      <x:c r="H2796" s="87" t="n">
        <x:v>33</x:v>
      </x:c>
      <x:c r="I2796" s="87" t="n">
        <x:v>278</x:v>
      </x:c>
      <x:c r="J2796" s="68" t="n">
        <x:f>IFERROR(H2796/I2796,"")</x:f>
        <x:v>0.11870503597122302</x:v>
      </x:c>
      <x:c r="K2796" s="69" t="n">
        <x:f>IFERROR(I2796/H2796,"")</x:f>
        <x:v>8.424242424242424</x:v>
      </x:c>
      <x:c r="L2796" s="66" t="str">
        <x:f>IF(K2796="","","1 : "&amp;TEXT(K2796,"0.0"))</x:f>
        <x:v>1 : 8.4</x:v>
      </x:c>
      <x:c r="M2796" s="66" t="str">
        <x:f>IF(J2796="","Baru/Tanpa Data",IF(J2796&lt;='Catatan &amp; Sumber'!$B$14,"Sangat Ketat",IF(J2796&lt;='Catatan &amp; Sumber'!$B$15,"Ketat",IF(J2796&lt;='Catatan &amp; Sumber'!$B$16,"Sedang","Relatif Longgar"))))</x:f>
        <x:v>Relatif Longgar</x:v>
      </x:c>
      <x:c r="N2796" s="66" t="str">
        <x:v>Tidak Ada</x:v>
      </x:c>
      <x:c r="O2796" s="66" t="str">
        <x:v>Jawa Timur</x:v>
      </x:c>
      <x:c r="P2796" s="66" t="str">
        <x:v>Kota Surabaya</x:v>
      </x:c>
      <x:c r="Q2796" s="66" t="str">
        <x:v>https://snpmb.id/snbp/daya-tampung-snbp</x:v>
      </x:c>
      <x:c r="R2796" s="66" t="str">
        <x:v>https://sidatagrun-public-1076756628210.asia-southeast2.run.app/ptn_sn.php?ptn=381</x:v>
      </x:c>
    </x:row>
    <x:row r="2797">
      <x:c r="A2797" s="87" t="n">
        <x:v>681</x:v>
      </x:c>
      <x:c r="B2797" s="66" t="n">
        <x:v>381</x:v>
      </x:c>
      <x:c r="C2797" s="66" t="str">
        <x:v>UNIVERSITAS AIRLANGGA</x:v>
      </x:c>
      <x:c r="D2797" s="66" t="str">
        <x:v>PTN Akademik</x:v>
      </x:c>
      <x:c r="E2797" s="66" t="str">
        <x:v>13811032</x:v>
      </x:c>
      <x:c r="F2797" s="66" t="str">
        <x:v>ILMU HUBUNGAN INTERNASIONAL</x:v>
      </x:c>
      <x:c r="G2797" s="66" t="str">
        <x:v>Sarjana</x:v>
      </x:c>
      <x:c r="H2797" s="87" t="n">
        <x:v>30</x:v>
      </x:c>
      <x:c r="I2797" s="87" t="n">
        <x:v>492</x:v>
      </x:c>
      <x:c r="J2797" s="68" t="n">
        <x:f>IFERROR(H2797/I2797,"")</x:f>
        <x:v>0.06097560975609756</x:v>
      </x:c>
      <x:c r="K2797" s="69" t="n">
        <x:f>IFERROR(I2797/H2797,"")</x:f>
        <x:v>16.4</x:v>
      </x:c>
      <x:c r="L2797" s="66" t="str">
        <x:f>IF(K2797="","","1 : "&amp;TEXT(K2797,"0.0"))</x:f>
        <x:v>1 : 16.4</x:v>
      </x:c>
      <x:c r="M2797" s="66" t="str">
        <x:f>IF(J2797="","Baru/Tanpa Data",IF(J2797&lt;='Catatan &amp; Sumber'!$B$14,"Sangat Ketat",IF(J2797&lt;='Catatan &amp; Sumber'!$B$15,"Ketat",IF(J2797&lt;='Catatan &amp; Sumber'!$B$16,"Sedang","Relatif Longgar"))))</x:f>
        <x:v>Sedang</x:v>
      </x:c>
      <x:c r="N2797" s="66" t="str">
        <x:v>Tidak Ada</x:v>
      </x:c>
      <x:c r="O2797" s="66" t="str">
        <x:v>Jawa Timur</x:v>
      </x:c>
      <x:c r="P2797" s="66" t="str">
        <x:v>Kota Surabaya</x:v>
      </x:c>
      <x:c r="Q2797" s="66" t="str">
        <x:v>https://snpmb.id/snbp/daya-tampung-snbp</x:v>
      </x:c>
      <x:c r="R2797" s="66" t="str">
        <x:v>https://sidatagrun-public-1076756628210.asia-southeast2.run.app/ptn_sn.php?ptn=381</x:v>
      </x:c>
    </x:row>
    <x:row r="2798">
      <x:c r="A2798" s="87" t="n">
        <x:v>1811</x:v>
      </x:c>
      <x:c r="B2798" s="66" t="n">
        <x:v>381</x:v>
      </x:c>
      <x:c r="C2798" s="66" t="str">
        <x:v>UNIVERSITAS AIRLANGGA</x:v>
      </x:c>
      <x:c r="D2798" s="66" t="str">
        <x:v>PTN Akademik</x:v>
      </x:c>
      <x:c r="E2798" s="66" t="str">
        <x:v>13811033</x:v>
      </x:c>
      <x:c r="F2798" s="66" t="str">
        <x:v>ANTROPOLOGI</x:v>
      </x:c>
      <x:c r="G2798" s="66" t="str">
        <x:v>Sarjana</x:v>
      </x:c>
      <x:c r="H2798" s="87" t="n">
        <x:v>30</x:v>
      </x:c>
      <x:c r="I2798" s="87" t="n">
        <x:v>225</x:v>
      </x:c>
      <x:c r="J2798" s="68" t="n">
        <x:f>IFERROR(H2798/I2798,"")</x:f>
        <x:v>0.13333333333333333</x:v>
      </x:c>
      <x:c r="K2798" s="69" t="n">
        <x:f>IFERROR(I2798/H2798,"")</x:f>
        <x:v>7.5</x:v>
      </x:c>
      <x:c r="L2798" s="66" t="str">
        <x:f>IF(K2798="","","1 : "&amp;TEXT(K2798,"0.0"))</x:f>
        <x:v>1 : 7.5</x:v>
      </x:c>
      <x:c r="M2798" s="66" t="str">
        <x:f>IF(J2798="","Baru/Tanpa Data",IF(J2798&lt;='Catatan &amp; Sumber'!$B$14,"Sangat Ketat",IF(J2798&lt;='Catatan &amp; Sumber'!$B$15,"Ketat",IF(J2798&lt;='Catatan &amp; Sumber'!$B$16,"Sedang","Relatif Longgar"))))</x:f>
        <x:v>Relatif Longgar</x:v>
      </x:c>
      <x:c r="N2798" s="66" t="str">
        <x:v>Tidak Ada</x:v>
      </x:c>
      <x:c r="O2798" s="66" t="str">
        <x:v>Jawa Timur</x:v>
      </x:c>
      <x:c r="P2798" s="66" t="str">
        <x:v>Kota Surabaya</x:v>
      </x:c>
      <x:c r="Q2798" s="66" t="str">
        <x:v>https://snpmb.id/snbp/daya-tampung-snbp</x:v>
      </x:c>
      <x:c r="R2798" s="66" t="str">
        <x:v>https://sidatagrun-public-1076756628210.asia-southeast2.run.app/ptn_sn.php?ptn=381</x:v>
      </x:c>
    </x:row>
    <x:row r="2799">
      <x:c r="A2799" s="87" t="n">
        <x:v>1697</x:v>
      </x:c>
      <x:c r="B2799" s="66" t="n">
        <x:v>381</x:v>
      </x:c>
      <x:c r="C2799" s="66" t="str">
        <x:v>UNIVERSITAS AIRLANGGA</x:v>
      </x:c>
      <x:c r="D2799" s="66" t="str">
        <x:v>PTN Akademik</x:v>
      </x:c>
      <x:c r="E2799" s="66" t="str">
        <x:v>13811034</x:v>
      </x:c>
      <x:c r="F2799" s="66" t="str">
        <x:v>ILMU EKONOMI</x:v>
      </x:c>
      <x:c r="G2799" s="66" t="str">
        <x:v>Sarjana</x:v>
      </x:c>
      <x:c r="H2799" s="87" t="n">
        <x:v>66</x:v>
      </x:c>
      <x:c r="I2799" s="87" t="n">
        <x:v>533</x:v>
      </x:c>
      <x:c r="J2799" s="68" t="n">
        <x:f>IFERROR(H2799/I2799,"")</x:f>
        <x:v>0.12382739212007504</x:v>
      </x:c>
      <x:c r="K2799" s="69" t="n">
        <x:f>IFERROR(I2799/H2799,"")</x:f>
        <x:v>8.075757575757576</x:v>
      </x:c>
      <x:c r="L2799" s="66" t="str">
        <x:f>IF(K2799="","","1 : "&amp;TEXT(K2799,"0.0"))</x:f>
        <x:v>1 : 8.1</x:v>
      </x:c>
      <x:c r="M2799" s="66" t="str">
        <x:f>IF(J2799="","Baru/Tanpa Data",IF(J2799&lt;='Catatan &amp; Sumber'!$B$14,"Sangat Ketat",IF(J2799&lt;='Catatan &amp; Sumber'!$B$15,"Ketat",IF(J2799&lt;='Catatan &amp; Sumber'!$B$16,"Sedang","Relatif Longgar"))))</x:f>
        <x:v>Relatif Longgar</x:v>
      </x:c>
      <x:c r="N2799" s="66" t="str">
        <x:v>Tidak Ada</x:v>
      </x:c>
      <x:c r="O2799" s="66" t="str">
        <x:v>Jawa Timur</x:v>
      </x:c>
      <x:c r="P2799" s="66" t="str">
        <x:v>Kota Surabaya</x:v>
      </x:c>
      <x:c r="Q2799" s="66" t="str">
        <x:v>https://snpmb.id/snbp/daya-tampung-snbp</x:v>
      </x:c>
      <x:c r="R2799" s="66" t="str">
        <x:v>https://sidatagrun-public-1076756628210.asia-southeast2.run.app/ptn_sn.php?ptn=381</x:v>
      </x:c>
    </x:row>
    <x:row r="2800">
      <x:c r="A2800" s="87" t="n">
        <x:v>584</x:v>
      </x:c>
      <x:c r="B2800" s="66" t="n">
        <x:v>381</x:v>
      </x:c>
      <x:c r="C2800" s="66" t="str">
        <x:v>UNIVERSITAS AIRLANGGA</x:v>
      </x:c>
      <x:c r="D2800" s="66" t="str">
        <x:v>PTN Akademik</x:v>
      </x:c>
      <x:c r="E2800" s="66" t="str">
        <x:v>13811035</x:v>
      </x:c>
      <x:c r="F2800" s="66" t="str">
        <x:v>MANAJEMEN</x:v>
      </x:c>
      <x:c r="G2800" s="66" t="str">
        <x:v>Sarjana</x:v>
      </x:c>
      <x:c r="H2800" s="87" t="n">
        <x:v>56</x:v>
      </x:c>
      <x:c r="I2800" s="87" t="n">
        <x:v>1001</x:v>
      </x:c>
      <x:c r="J2800" s="68" t="n">
        <x:f>IFERROR(H2800/I2800,"")</x:f>
        <x:v>0.055944055944055944</x:v>
      </x:c>
      <x:c r="K2800" s="69" t="n">
        <x:f>IFERROR(I2800/H2800,"")</x:f>
        <x:v>17.875</x:v>
      </x:c>
      <x:c r="L2800" s="66" t="str">
        <x:f>IF(K2800="","","1 : "&amp;TEXT(K2800,"0.0"))</x:f>
        <x:v>1 : 17.9</x:v>
      </x:c>
      <x:c r="M2800" s="66" t="str">
        <x:f>IF(J2800="","Baru/Tanpa Data",IF(J2800&lt;='Catatan &amp; Sumber'!$B$14,"Sangat Ketat",IF(J2800&lt;='Catatan &amp; Sumber'!$B$15,"Ketat",IF(J2800&lt;='Catatan &amp; Sumber'!$B$16,"Sedang","Relatif Longgar"))))</x:f>
        <x:v>Sedang</x:v>
      </x:c>
      <x:c r="N2800" s="66" t="str">
        <x:v>Tidak Ada</x:v>
      </x:c>
      <x:c r="O2800" s="66" t="str">
        <x:v>Jawa Timur</x:v>
      </x:c>
      <x:c r="P2800" s="66" t="str">
        <x:v>Kota Surabaya</x:v>
      </x:c>
      <x:c r="Q2800" s="66" t="str">
        <x:v>https://snpmb.id/snbp/daya-tampung-snbp</x:v>
      </x:c>
      <x:c r="R2800" s="66" t="str">
        <x:v>https://sidatagrun-public-1076756628210.asia-southeast2.run.app/ptn_sn.php?ptn=381</x:v>
      </x:c>
    </x:row>
    <x:row r="2801">
      <x:c r="A2801" s="87" t="n">
        <x:v>497</x:v>
      </x:c>
      <x:c r="B2801" s="66" t="n">
        <x:v>381</x:v>
      </x:c>
      <x:c r="C2801" s="66" t="str">
        <x:v>UNIVERSITAS AIRLANGGA</x:v>
      </x:c>
      <x:c r="D2801" s="66" t="str">
        <x:v>PTN Akademik</x:v>
      </x:c>
      <x:c r="E2801" s="66" t="str">
        <x:v>13811036</x:v>
      </x:c>
      <x:c r="F2801" s="66" t="str">
        <x:v>AKUNTANSI</x:v>
      </x:c>
      <x:c r="G2801" s="66" t="str">
        <x:v>Sarjana</x:v>
      </x:c>
      <x:c r="H2801" s="87" t="n">
        <x:v>53</x:v>
      </x:c>
      <x:c r="I2801" s="87" t="n">
        <x:v>1043</x:v>
      </x:c>
      <x:c r="J2801" s="68" t="n">
        <x:f>IFERROR(H2801/I2801,"")</x:f>
        <x:v>0.05081495685522531</x:v>
      </x:c>
      <x:c r="K2801" s="69" t="n">
        <x:f>IFERROR(I2801/H2801,"")</x:f>
        <x:v>19.67924528301887</x:v>
      </x:c>
      <x:c r="L2801" s="66" t="str">
        <x:f>IF(K2801="","","1 : "&amp;TEXT(K2801,"0.0"))</x:f>
        <x:v>1 : 19.7</x:v>
      </x:c>
      <x:c r="M2801" s="66" t="str">
        <x:f>IF(J2801="","Baru/Tanpa Data",IF(J2801&lt;='Catatan &amp; Sumber'!$B$14,"Sangat Ketat",IF(J2801&lt;='Catatan &amp; Sumber'!$B$15,"Ketat",IF(J2801&lt;='Catatan &amp; Sumber'!$B$16,"Sedang","Relatif Longgar"))))</x:f>
        <x:v>Sedang</x:v>
      </x:c>
      <x:c r="N2801" s="66" t="str">
        <x:v>Tidak Ada</x:v>
      </x:c>
      <x:c r="O2801" s="66" t="str">
        <x:v>Jawa Timur</x:v>
      </x:c>
      <x:c r="P2801" s="66" t="str">
        <x:v>Kota Surabaya</x:v>
      </x:c>
      <x:c r="Q2801" s="66" t="str">
        <x:v>https://snpmb.id/snbp/daya-tampung-snbp</x:v>
      </x:c>
      <x:c r="R2801" s="66" t="str">
        <x:v>https://sidatagrun-public-1076756628210.asia-southeast2.run.app/ptn_sn.php?ptn=381</x:v>
      </x:c>
    </x:row>
    <x:row r="2802">
      <x:c r="A2802" s="87" t="n">
        <x:v>348</x:v>
      </x:c>
      <x:c r="B2802" s="66" t="n">
        <x:v>381</x:v>
      </x:c>
      <x:c r="C2802" s="66" t="str">
        <x:v>UNIVERSITAS AIRLANGGA</x:v>
      </x:c>
      <x:c r="D2802" s="66" t="str">
        <x:v>PTN Akademik</x:v>
      </x:c>
      <x:c r="E2802" s="66" t="str">
        <x:v>13811037</x:v>
      </x:c>
      <x:c r="F2802" s="66" t="str">
        <x:v>ILMU KOMUNIKASI</x:v>
      </x:c>
      <x:c r="G2802" s="66" t="str">
        <x:v>Sarjana</x:v>
      </x:c>
      <x:c r="H2802" s="87" t="n">
        <x:v>30</x:v>
      </x:c>
      <x:c r="I2802" s="87" t="n">
        <x:v>674</x:v>
      </x:c>
      <x:c r="J2802" s="68" t="n">
        <x:f>IFERROR(H2802/I2802,"")</x:f>
        <x:v>0.04451038575667656</x:v>
      </x:c>
      <x:c r="K2802" s="69" t="n">
        <x:f>IFERROR(I2802/H2802,"")</x:f>
        <x:v>22.466666666666665</x:v>
      </x:c>
      <x:c r="L2802" s="66" t="str">
        <x:f>IF(K2802="","","1 : "&amp;TEXT(K2802,"0.0"))</x:f>
        <x:v>1 : 22.5</x:v>
      </x:c>
      <x:c r="M2802" s="66" t="str">
        <x:f>IF(J2802="","Baru/Tanpa Data",IF(J2802&lt;='Catatan &amp; Sumber'!$B$14,"Sangat Ketat",IF(J2802&lt;='Catatan &amp; Sumber'!$B$15,"Ketat",IF(J2802&lt;='Catatan &amp; Sumber'!$B$16,"Sedang","Relatif Longgar"))))</x:f>
        <x:v>Ketat</x:v>
      </x:c>
      <x:c r="N2802" s="66" t="str">
        <x:v>Tidak Ada</x:v>
      </x:c>
      <x:c r="O2802" s="66" t="str">
        <x:v>Jawa Timur</x:v>
      </x:c>
      <x:c r="P2802" s="66" t="str">
        <x:v>Kota Surabaya</x:v>
      </x:c>
      <x:c r="Q2802" s="66" t="str">
        <x:v>https://snpmb.id/snbp/daya-tampung-snbp</x:v>
      </x:c>
      <x:c r="R2802" s="66" t="str">
        <x:v>https://sidatagrun-public-1076756628210.asia-southeast2.run.app/ptn_sn.php?ptn=381</x:v>
      </x:c>
    </x:row>
    <x:row r="2803">
      <x:c r="A2803" s="87" t="n">
        <x:v>2974</x:v>
      </x:c>
      <x:c r="B2803" s="66" t="n">
        <x:v>381</x:v>
      </x:c>
      <x:c r="C2803" s="66" t="str">
        <x:v>UNIVERSITAS AIRLANGGA</x:v>
      </x:c>
      <x:c r="D2803" s="66" t="str">
        <x:v>PTN Akademik</x:v>
      </x:c>
      <x:c r="E2803" s="66" t="str">
        <x:v>13811038</x:v>
      </x:c>
      <x:c r="F2803" s="66" t="str">
        <x:v>ILMU SEJARAH</x:v>
      </x:c>
      <x:c r="G2803" s="66" t="str">
        <x:v>Sarjana</x:v>
      </x:c>
      <x:c r="H2803" s="87" t="n">
        <x:v>32</x:v>
      </x:c>
      <x:c r="I2803" s="87" t="n">
        <x:v>111</x:v>
      </x:c>
      <x:c r="J2803" s="68" t="n">
        <x:f>IFERROR(H2803/I2803,"")</x:f>
        <x:v>0.2882882882882883</x:v>
      </x:c>
      <x:c r="K2803" s="69" t="n">
        <x:f>IFERROR(I2803/H2803,"")</x:f>
        <x:v>3.46875</x:v>
      </x:c>
      <x:c r="L2803" s="66" t="str">
        <x:f>IF(K2803="","","1 : "&amp;TEXT(K2803,"0.0"))</x:f>
        <x:v>1 : 3.5</x:v>
      </x:c>
      <x:c r="M2803" s="66" t="str">
        <x:f>IF(J2803="","Baru/Tanpa Data",IF(J2803&lt;='Catatan &amp; Sumber'!$B$14,"Sangat Ketat",IF(J2803&lt;='Catatan &amp; Sumber'!$B$15,"Ketat",IF(J2803&lt;='Catatan &amp; Sumber'!$B$16,"Sedang","Relatif Longgar"))))</x:f>
        <x:v>Relatif Longgar</x:v>
      </x:c>
      <x:c r="N2803" s="66" t="str">
        <x:v>Tidak Ada</x:v>
      </x:c>
      <x:c r="O2803" s="66" t="str">
        <x:v>Jawa Timur</x:v>
      </x:c>
      <x:c r="P2803" s="66" t="str">
        <x:v>Kota Surabaya</x:v>
      </x:c>
      <x:c r="Q2803" s="66" t="str">
        <x:v>https://snpmb.id/snbp/daya-tampung-snbp</x:v>
      </x:c>
      <x:c r="R2803" s="66" t="str">
        <x:v>https://sidatagrun-public-1076756628210.asia-southeast2.run.app/ptn_sn.php?ptn=381</x:v>
      </x:c>
    </x:row>
    <x:row r="2804">
      <x:c r="A2804" s="87" t="n">
        <x:v>2470</x:v>
      </x:c>
      <x:c r="B2804" s="66" t="n">
        <x:v>381</x:v>
      </x:c>
      <x:c r="C2804" s="66" t="str">
        <x:v>UNIVERSITAS AIRLANGGA</x:v>
      </x:c>
      <x:c r="D2804" s="66" t="str">
        <x:v>PTN Akademik</x:v>
      </x:c>
      <x:c r="E2804" s="66" t="str">
        <x:v>13811039</x:v>
      </x:c>
      <x:c r="F2804" s="66" t="str">
        <x:v>ILMU INFORMASI DAN PERPUSTAKAAN</x:v>
      </x:c>
      <x:c r="G2804" s="66" t="str">
        <x:v>Sarjana</x:v>
      </x:c>
      <x:c r="H2804" s="87" t="n">
        <x:v>52</x:v>
      </x:c>
      <x:c r="I2804" s="87" t="n">
        <x:v>253</x:v>
      </x:c>
      <x:c r="J2804" s="68" t="n">
        <x:f>IFERROR(H2804/I2804,"")</x:f>
        <x:v>0.20553359683794467</x:v>
      </x:c>
      <x:c r="K2804" s="69" t="n">
        <x:f>IFERROR(I2804/H2804,"")</x:f>
        <x:v>4.865384615384615</x:v>
      </x:c>
      <x:c r="L2804" s="66" t="str">
        <x:f>IF(K2804="","","1 : "&amp;TEXT(K2804,"0.0"))</x:f>
        <x:v>1 : 4.9</x:v>
      </x:c>
      <x:c r="M2804" s="66" t="str">
        <x:f>IF(J2804="","Baru/Tanpa Data",IF(J2804&lt;='Catatan &amp; Sumber'!$B$14,"Sangat Ketat",IF(J2804&lt;='Catatan &amp; Sumber'!$B$15,"Ketat",IF(J2804&lt;='Catatan &amp; Sumber'!$B$16,"Sedang","Relatif Longgar"))))</x:f>
        <x:v>Relatif Longgar</x:v>
      </x:c>
      <x:c r="N2804" s="66" t="str">
        <x:v>Tidak Ada</x:v>
      </x:c>
      <x:c r="O2804" s="66" t="str">
        <x:v>Jawa Timur</x:v>
      </x:c>
      <x:c r="P2804" s="66" t="str">
        <x:v>Kota Surabaya</x:v>
      </x:c>
      <x:c r="Q2804" s="66" t="str">
        <x:v>https://snpmb.id/snbp/daya-tampung-snbp</x:v>
      </x:c>
      <x:c r="R2804" s="66" t="str">
        <x:v>https://sidatagrun-public-1076756628210.asia-southeast2.run.app/ptn_sn.php?ptn=381</x:v>
      </x:c>
    </x:row>
    <x:row r="2805">
      <x:c r="A2805" s="87" t="n">
        <x:v>1813</x:v>
      </x:c>
      <x:c r="B2805" s="66" t="n">
        <x:v>381</x:v>
      </x:c>
      <x:c r="C2805" s="66" t="str">
        <x:v>UNIVERSITAS AIRLANGGA</x:v>
      </x:c>
      <x:c r="D2805" s="66" t="str">
        <x:v>PTN Akademik</x:v>
      </x:c>
      <x:c r="E2805" s="66" t="str">
        <x:v>13811040</x:v>
      </x:c>
      <x:c r="F2805" s="66" t="str">
        <x:v>BAHASA DAN SASTRA INGGRIS</x:v>
      </x:c>
      <x:c r="G2805" s="66" t="str">
        <x:v>Sarjana</x:v>
      </x:c>
      <x:c r="H2805" s="87" t="n">
        <x:v>75</x:v>
      </x:c>
      <x:c r="I2805" s="87" t="n">
        <x:v>562</x:v>
      </x:c>
      <x:c r="J2805" s="68" t="n">
        <x:f>IFERROR(H2805/I2805,"")</x:f>
        <x:v>0.13345195729537365</x:v>
      </x:c>
      <x:c r="K2805" s="69" t="n">
        <x:f>IFERROR(I2805/H2805,"")</x:f>
        <x:v>7.493333333333333</x:v>
      </x:c>
      <x:c r="L2805" s="66" t="str">
        <x:f>IF(K2805="","","1 : "&amp;TEXT(K2805,"0.0"))</x:f>
        <x:v>1 : 7.5</x:v>
      </x:c>
      <x:c r="M2805" s="66" t="str">
        <x:f>IF(J2805="","Baru/Tanpa Data",IF(J2805&lt;='Catatan &amp; Sumber'!$B$14,"Sangat Ketat",IF(J2805&lt;='Catatan &amp; Sumber'!$B$15,"Ketat",IF(J2805&lt;='Catatan &amp; Sumber'!$B$16,"Sedang","Relatif Longgar"))))</x:f>
        <x:v>Relatif Longgar</x:v>
      </x:c>
      <x:c r="N2805" s="66" t="str">
        <x:v>Tidak Ada</x:v>
      </x:c>
      <x:c r="O2805" s="66" t="str">
        <x:v>Jawa Timur</x:v>
      </x:c>
      <x:c r="P2805" s="66" t="str">
        <x:v>Kota Surabaya</x:v>
      </x:c>
      <x:c r="Q2805" s="66" t="str">
        <x:v>https://snpmb.id/snbp/daya-tampung-snbp</x:v>
      </x:c>
      <x:c r="R2805" s="66" t="str">
        <x:v>https://sidatagrun-public-1076756628210.asia-southeast2.run.app/ptn_sn.php?ptn=381</x:v>
      </x:c>
    </x:row>
    <x:row r="2806">
      <x:c r="A2806" s="87" t="n">
        <x:v>2436</x:v>
      </x:c>
      <x:c r="B2806" s="66" t="n">
        <x:v>381</x:v>
      </x:c>
      <x:c r="C2806" s="66" t="str">
        <x:v>UNIVERSITAS AIRLANGGA</x:v>
      </x:c>
      <x:c r="D2806" s="66" t="str">
        <x:v>PTN Akademik</x:v>
      </x:c>
      <x:c r="E2806" s="66" t="str">
        <x:v>13811041</x:v>
      </x:c>
      <x:c r="F2806" s="66" t="str">
        <x:v>BAHASA DAN SASTRA INDONESIA</x:v>
      </x:c>
      <x:c r="G2806" s="66" t="str">
        <x:v>Sarjana</x:v>
      </x:c>
      <x:c r="H2806" s="87" t="n">
        <x:v>40</x:v>
      </x:c>
      <x:c r="I2806" s="87" t="n">
        <x:v>199</x:v>
      </x:c>
      <x:c r="J2806" s="68" t="n">
        <x:f>IFERROR(H2806/I2806,"")</x:f>
        <x:v>0.20100502512562815</x:v>
      </x:c>
      <x:c r="K2806" s="69" t="n">
        <x:f>IFERROR(I2806/H2806,"")</x:f>
        <x:v>4.975</x:v>
      </x:c>
      <x:c r="L2806" s="66" t="str">
        <x:f>IF(K2806="","","1 : "&amp;TEXT(K2806,"0.0"))</x:f>
        <x:v>1 : 5.0</x:v>
      </x:c>
      <x:c r="M2806" s="66" t="str">
        <x:f>IF(J2806="","Baru/Tanpa Data",IF(J2806&lt;='Catatan &amp; Sumber'!$B$14,"Sangat Ketat",IF(J2806&lt;='Catatan &amp; Sumber'!$B$15,"Ketat",IF(J2806&lt;='Catatan &amp; Sumber'!$B$16,"Sedang","Relatif Longgar"))))</x:f>
        <x:v>Relatif Longgar</x:v>
      </x:c>
      <x:c r="N2806" s="66" t="str">
        <x:v>Tidak Ada</x:v>
      </x:c>
      <x:c r="O2806" s="66" t="str">
        <x:v>Jawa Timur</x:v>
      </x:c>
      <x:c r="P2806" s="66" t="str">
        <x:v>Kota Surabaya</x:v>
      </x:c>
      <x:c r="Q2806" s="66" t="str">
        <x:v>https://snpmb.id/snbp/daya-tampung-snbp</x:v>
      </x:c>
      <x:c r="R2806" s="66" t="str">
        <x:v>https://sidatagrun-public-1076756628210.asia-southeast2.run.app/ptn_sn.php?ptn=381</x:v>
      </x:c>
    </x:row>
    <x:row r="2807">
      <x:c r="A2807" s="87" t="n">
        <x:v>1736</x:v>
      </x:c>
      <x:c r="B2807" s="66" t="n">
        <x:v>381</x:v>
      </x:c>
      <x:c r="C2807" s="66" t="str">
        <x:v>UNIVERSITAS AIRLANGGA</x:v>
      </x:c>
      <x:c r="D2807" s="66" t="str">
        <x:v>PTN Akademik</x:v>
      </x:c>
      <x:c r="E2807" s="66" t="str">
        <x:v>13811042</x:v>
      </x:c>
      <x:c r="F2807" s="66" t="str">
        <x:v>BAHASA DAN SASTRA JEPANG</x:v>
      </x:c>
      <x:c r="G2807" s="66" t="str">
        <x:v>Sarjana</x:v>
      </x:c>
      <x:c r="H2807" s="87" t="n">
        <x:v>30</x:v>
      </x:c>
      <x:c r="I2807" s="87" t="n">
        <x:v>236</x:v>
      </x:c>
      <x:c r="J2807" s="68" t="n">
        <x:f>IFERROR(H2807/I2807,"")</x:f>
        <x:v>0.1271186440677966</x:v>
      </x:c>
      <x:c r="K2807" s="69" t="n">
        <x:f>IFERROR(I2807/H2807,"")</x:f>
        <x:v>7.866666666666666</x:v>
      </x:c>
      <x:c r="L2807" s="66" t="str">
        <x:f>IF(K2807="","","1 : "&amp;TEXT(K2807,"0.0"))</x:f>
        <x:v>1 : 7.9</x:v>
      </x:c>
      <x:c r="M2807" s="66" t="str">
        <x:f>IF(J2807="","Baru/Tanpa Data",IF(J2807&lt;='Catatan &amp; Sumber'!$B$14,"Sangat Ketat",IF(J2807&lt;='Catatan &amp; Sumber'!$B$15,"Ketat",IF(J2807&lt;='Catatan &amp; Sumber'!$B$16,"Sedang","Relatif Longgar"))))</x:f>
        <x:v>Relatif Longgar</x:v>
      </x:c>
      <x:c r="N2807" s="66" t="str">
        <x:v>Tidak Ada</x:v>
      </x:c>
      <x:c r="O2807" s="66" t="str">
        <x:v>Jawa Timur</x:v>
      </x:c>
      <x:c r="P2807" s="66" t="str">
        <x:v>Kota Surabaya</x:v>
      </x:c>
      <x:c r="Q2807" s="66" t="str">
        <x:v>https://snpmb.id/snbp/daya-tampung-snbp</x:v>
      </x:c>
      <x:c r="R2807" s="66" t="str">
        <x:v>https://sidatagrun-public-1076756628210.asia-southeast2.run.app/ptn_sn.php?ptn=381</x:v>
      </x:c>
    </x:row>
    <x:row r="2808">
      <x:c r="A2808" s="87" t="n">
        <x:v>2240</x:v>
      </x:c>
      <x:c r="B2808" s="66" t="n">
        <x:v>381</x:v>
      </x:c>
      <x:c r="C2808" s="66" t="str">
        <x:v>UNIVERSITAS AIRLANGGA</x:v>
      </x:c>
      <x:c r="D2808" s="66" t="str">
        <x:v>PTN Akademik</x:v>
      </x:c>
      <x:c r="E2808" s="66" t="str">
        <x:v>13811043</x:v>
      </x:c>
      <x:c r="F2808" s="66" t="str">
        <x:v>EKONOMI ISLAM</x:v>
      </x:c>
      <x:c r="G2808" s="66" t="str">
        <x:v>Sarjana</x:v>
      </x:c>
      <x:c r="H2808" s="87" t="n">
        <x:v>60</x:v>
      </x:c>
      <x:c r="I2808" s="87" t="n">
        <x:v>339</x:v>
      </x:c>
      <x:c r="J2808" s="68" t="n">
        <x:f>IFERROR(H2808/I2808,"")</x:f>
        <x:v>0.17699115044247787</x:v>
      </x:c>
      <x:c r="K2808" s="69" t="n">
        <x:f>IFERROR(I2808/H2808,"")</x:f>
        <x:v>5.65</x:v>
      </x:c>
      <x:c r="L2808" s="66" t="str">
        <x:f>IF(K2808="","","1 : "&amp;TEXT(K2808,"0.0"))</x:f>
        <x:v>1 : 5.7</x:v>
      </x:c>
      <x:c r="M2808" s="66" t="str">
        <x:f>IF(J2808="","Baru/Tanpa Data",IF(J2808&lt;='Catatan &amp; Sumber'!$B$14,"Sangat Ketat",IF(J2808&lt;='Catatan &amp; Sumber'!$B$15,"Ketat",IF(J2808&lt;='Catatan &amp; Sumber'!$B$16,"Sedang","Relatif Longgar"))))</x:f>
        <x:v>Relatif Longgar</x:v>
      </x:c>
      <x:c r="N2808" s="66" t="str">
        <x:v>Tidak Ada</x:v>
      </x:c>
      <x:c r="O2808" s="66" t="str">
        <x:v>Jawa Timur</x:v>
      </x:c>
      <x:c r="P2808" s="66" t="str">
        <x:v>Kota Surabaya</x:v>
      </x:c>
      <x:c r="Q2808" s="66" t="str">
        <x:v>https://snpmb.id/snbp/daya-tampung-snbp</x:v>
      </x:c>
      <x:c r="R2808" s="66" t="str">
        <x:v>https://sidatagrun-public-1076756628210.asia-southeast2.run.app/ptn_sn.php?ptn=381</x:v>
      </x:c>
    </x:row>
    <x:row r="2809">
      <x:c r="A2809" s="87" t="n">
        <x:v>882</x:v>
      </x:c>
      <x:c r="B2809" s="66" t="n">
        <x:v>381</x:v>
      </x:c>
      <x:c r="C2809" s="66" t="str">
        <x:v>UNIVERSITAS AIRLANGGA</x:v>
      </x:c>
      <x:c r="D2809" s="66" t="str">
        <x:v>PTN Akademik</x:v>
      </x:c>
      <x:c r="E2809" s="66" t="str">
        <x:v>13811068</x:v>
      </x:c>
      <x:c r="F2809" s="66" t="str">
        <x:v>KEDOKTERAN (FIKKIA BANYUWANGI)</x:v>
      </x:c>
      <x:c r="G2809" s="66" t="str">
        <x:v>Sarjana</x:v>
      </x:c>
      <x:c r="H2809" s="87" t="n">
        <x:v>10</x:v>
      </x:c>
      <x:c r="I2809" s="87" t="n">
        <x:v>141</x:v>
      </x:c>
      <x:c r="J2809" s="68" t="n">
        <x:f>IFERROR(H2809/I2809,"")</x:f>
        <x:v>0.07092198581560284</x:v>
      </x:c>
      <x:c r="K2809" s="69" t="n">
        <x:f>IFERROR(I2809/H2809,"")</x:f>
        <x:v>14.1</x:v>
      </x:c>
      <x:c r="L2809" s="66" t="str">
        <x:f>IF(K2809="","","1 : "&amp;TEXT(K2809,"0.0"))</x:f>
        <x:v>1 : 14.1</x:v>
      </x:c>
      <x:c r="M2809" s="66" t="str">
        <x:f>IF(J2809="","Baru/Tanpa Data",IF(J2809&lt;='Catatan &amp; Sumber'!$B$14,"Sangat Ketat",IF(J2809&lt;='Catatan &amp; Sumber'!$B$15,"Ketat",IF(J2809&lt;='Catatan &amp; Sumber'!$B$16,"Sedang","Relatif Longgar"))))</x:f>
        <x:v>Sedang</x:v>
      </x:c>
      <x:c r="N2809" s="66" t="str">
        <x:v>Tidak Ada</x:v>
      </x:c>
      <x:c r="O2809" s="66" t="str">
        <x:v>Jawa Timur</x:v>
      </x:c>
      <x:c r="P2809" s="66" t="str">
        <x:v>Kota Surabaya</x:v>
      </x:c>
      <x:c r="Q2809" s="66" t="str">
        <x:v>https://snpmb.id/snbp/daya-tampung-snbp</x:v>
      </x:c>
      <x:c r="R2809" s="66" t="str">
        <x:v>https://sidatagrun-public-1076756628210.asia-southeast2.run.app/ptn_sn.php?ptn=381</x:v>
      </x:c>
    </x:row>
    <x:row r="2810">
      <x:c r="A2810" s="87" t="n">
        <x:v>346</x:v>
      </x:c>
      <x:c r="B2810" s="66" t="n">
        <x:v>381</x:v>
      </x:c>
      <x:c r="C2810" s="66" t="str">
        <x:v>UNIVERSITAS AIRLANGGA</x:v>
      </x:c>
      <x:c r="D2810" s="66" t="str">
        <x:v>PTN Akademik</x:v>
      </x:c>
      <x:c r="E2810" s="66" t="str">
        <x:v>13812046</x:v>
      </x:c>
      <x:c r="F2810" s="66" t="str">
        <x:v>KESELAMATAN DAN KESEHATAN KERJA</x:v>
      </x:c>
      <x:c r="G2810" s="66" t="str">
        <x:v>Sarjana Terapan</x:v>
      </x:c>
      <x:c r="H2810" s="87" t="n">
        <x:v>40</x:v>
      </x:c>
      <x:c r="I2810" s="87" t="n">
        <x:v>903</x:v>
      </x:c>
      <x:c r="J2810" s="68" t="n">
        <x:f>IFERROR(H2810/I2810,"")</x:f>
        <x:v>0.044296788482835</x:v>
      </x:c>
      <x:c r="K2810" s="69" t="n">
        <x:f>IFERROR(I2810/H2810,"")</x:f>
        <x:v>22.575</x:v>
      </x:c>
      <x:c r="L2810" s="66" t="str">
        <x:f>IF(K2810="","","1 : "&amp;TEXT(K2810,"0.0"))</x:f>
        <x:v>1 : 22.6</x:v>
      </x:c>
      <x:c r="M2810" s="66" t="str">
        <x:f>IF(J2810="","Baru/Tanpa Data",IF(J2810&lt;='Catatan &amp; Sumber'!$B$14,"Sangat Ketat",IF(J2810&lt;='Catatan &amp; Sumber'!$B$15,"Ketat",IF(J2810&lt;='Catatan &amp; Sumber'!$B$16,"Sedang","Relatif Longgar"))))</x:f>
        <x:v>Ketat</x:v>
      </x:c>
      <x:c r="N2810" s="66" t="str">
        <x:v>Tidak Ada</x:v>
      </x:c>
      <x:c r="O2810" s="66" t="str">
        <x:v>Jawa Timur</x:v>
      </x:c>
      <x:c r="P2810" s="66" t="str">
        <x:v>Kota Surabaya</x:v>
      </x:c>
      <x:c r="Q2810" s="66" t="str">
        <x:v>https://snpmb.id/snbp/daya-tampung-snbp</x:v>
      </x:c>
      <x:c r="R2810" s="66" t="str">
        <x:v>https://sidatagrun-public-1076756628210.asia-southeast2.run.app/ptn_sn.php?ptn=381</x:v>
      </x:c>
    </x:row>
    <x:row r="2811">
      <x:c r="A2811" s="87" t="n">
        <x:v>1223</x:v>
      </x:c>
      <x:c r="B2811" s="66" t="n">
        <x:v>381</x:v>
      </x:c>
      <x:c r="C2811" s="66" t="str">
        <x:v>UNIVERSITAS AIRLANGGA</x:v>
      </x:c>
      <x:c r="D2811" s="66" t="str">
        <x:v>PTN Akademik</x:v>
      </x:c>
      <x:c r="E2811" s="66" t="str">
        <x:v>13812049</x:v>
      </x:c>
      <x:c r="F2811" s="66" t="str">
        <x:v>MANAJEMEN PERHOTELAN</x:v>
      </x:c>
      <x:c r="G2811" s="66" t="str">
        <x:v>Sarjana Terapan</x:v>
      </x:c>
      <x:c r="H2811" s="87" t="n">
        <x:v>27</x:v>
      </x:c>
      <x:c r="I2811" s="87" t="n">
        <x:v>295</x:v>
      </x:c>
      <x:c r="J2811" s="68" t="n">
        <x:f>IFERROR(H2811/I2811,"")</x:f>
        <x:v>0.09152542372881356</x:v>
      </x:c>
      <x:c r="K2811" s="69" t="n">
        <x:f>IFERROR(I2811/H2811,"")</x:f>
        <x:v>10.925925925925926</x:v>
      </x:c>
      <x:c r="L2811" s="66" t="str">
        <x:f>IF(K2811="","","1 : "&amp;TEXT(K2811,"0.0"))</x:f>
        <x:v>1 : 10.9</x:v>
      </x:c>
      <x:c r="M2811" s="66" t="str">
        <x:f>IF(J2811="","Baru/Tanpa Data",IF(J2811&lt;='Catatan &amp; Sumber'!$B$14,"Sangat Ketat",IF(J2811&lt;='Catatan &amp; Sumber'!$B$15,"Ketat",IF(J2811&lt;='Catatan &amp; Sumber'!$B$16,"Sedang","Relatif Longgar"))))</x:f>
        <x:v>Sedang</x:v>
      </x:c>
      <x:c r="N2811" s="66" t="str">
        <x:v>Tidak Ada</x:v>
      </x:c>
      <x:c r="O2811" s="66" t="str">
        <x:v>Jawa Timur</x:v>
      </x:c>
      <x:c r="P2811" s="66" t="str">
        <x:v>Kota Surabaya</x:v>
      </x:c>
      <x:c r="Q2811" s="66" t="str">
        <x:v>https://snpmb.id/snbp/daya-tampung-snbp</x:v>
      </x:c>
      <x:c r="R2811" s="66" t="str">
        <x:v>https://sidatagrun-public-1076756628210.asia-southeast2.run.app/ptn_sn.php?ptn=381</x:v>
      </x:c>
    </x:row>
    <x:row r="2812">
      <x:c r="A2812" s="87" t="n">
        <x:v>1254</x:v>
      </x:c>
      <x:c r="B2812" s="66" t="n">
        <x:v>381</x:v>
      </x:c>
      <x:c r="C2812" s="66" t="str">
        <x:v>UNIVERSITAS AIRLANGGA</x:v>
      </x:c>
      <x:c r="D2812" s="66" t="str">
        <x:v>PTN Akademik</x:v>
      </x:c>
      <x:c r="E2812" s="66" t="str">
        <x:v>13812050</x:v>
      </x:c>
      <x:c r="F2812" s="66" t="str">
        <x:v>DESTINASI PARIWISATA</x:v>
      </x:c>
      <x:c r="G2812" s="66" t="str">
        <x:v>Sarjana Terapan</x:v>
      </x:c>
      <x:c r="H2812" s="87" t="n">
        <x:v>27</x:v>
      </x:c>
      <x:c r="I2812" s="87" t="n">
        <x:v>290</x:v>
      </x:c>
      <x:c r="J2812" s="68" t="n">
        <x:f>IFERROR(H2812/I2812,"")</x:f>
        <x:v>0.09310344827586207</x:v>
      </x:c>
      <x:c r="K2812" s="69" t="n">
        <x:f>IFERROR(I2812/H2812,"")</x:f>
        <x:v>10.74074074074074</x:v>
      </x:c>
      <x:c r="L2812" s="66" t="str">
        <x:f>IF(K2812="","","1 : "&amp;TEXT(K2812,"0.0"))</x:f>
        <x:v>1 : 10.7</x:v>
      </x:c>
      <x:c r="M2812" s="66" t="str">
        <x:f>IF(J2812="","Baru/Tanpa Data",IF(J2812&lt;='Catatan &amp; Sumber'!$B$14,"Sangat Ketat",IF(J2812&lt;='Catatan &amp; Sumber'!$B$15,"Ketat",IF(J2812&lt;='Catatan &amp; Sumber'!$B$16,"Sedang","Relatif Longgar"))))</x:f>
        <x:v>Sedang</x:v>
      </x:c>
      <x:c r="N2812" s="66" t="str">
        <x:v>Tidak Ada</x:v>
      </x:c>
      <x:c r="O2812" s="66" t="str">
        <x:v>Jawa Timur</x:v>
      </x:c>
      <x:c r="P2812" s="66" t="str">
        <x:v>Kota Surabaya</x:v>
      </x:c>
      <x:c r="Q2812" s="66" t="str">
        <x:v>https://snpmb.id/snbp/daya-tampung-snbp</x:v>
      </x:c>
      <x:c r="R2812" s="66" t="str">
        <x:v>https://sidatagrun-public-1076756628210.asia-southeast2.run.app/ptn_sn.php?ptn=381</x:v>
      </x:c>
    </x:row>
    <x:row r="2813">
      <x:c r="A2813" s="87" t="n">
        <x:v>122</x:v>
      </x:c>
      <x:c r="B2813" s="66" t="n">
        <x:v>381</x:v>
      </x:c>
      <x:c r="C2813" s="66" t="str">
        <x:v>UNIVERSITAS AIRLANGGA</x:v>
      </x:c>
      <x:c r="D2813" s="66" t="str">
        <x:v>PTN Akademik</x:v>
      </x:c>
      <x:c r="E2813" s="66" t="str">
        <x:v>13812051</x:v>
      </x:c>
      <x:c r="F2813" s="66" t="str">
        <x:v>TEKNOLOGI LABORATORIUM MEDIK</x:v>
      </x:c>
      <x:c r="G2813" s="66" t="str">
        <x:v>Sarjana Terapan</x:v>
      </x:c>
      <x:c r="H2813" s="87" t="n">
        <x:v>30</x:v>
      </x:c>
      <x:c r="I2813" s="87" t="n">
        <x:v>976</x:v>
      </x:c>
      <x:c r="J2813" s="68" t="n">
        <x:f>IFERROR(H2813/I2813,"")</x:f>
        <x:v>0.030737704918032786</x:v>
      </x:c>
      <x:c r="K2813" s="69" t="n">
        <x:f>IFERROR(I2813/H2813,"")</x:f>
        <x:v>32.53333333333333</x:v>
      </x:c>
      <x:c r="L2813" s="66" t="str">
        <x:f>IF(K2813="","","1 : "&amp;TEXT(K2813,"0.0"))</x:f>
        <x:v>1 : 32.5</x:v>
      </x:c>
      <x:c r="M2813" s="66" t="str">
        <x:f>IF(J2813="","Baru/Tanpa Data",IF(J2813&lt;='Catatan &amp; Sumber'!$B$14,"Sangat Ketat",IF(J2813&lt;='Catatan &amp; Sumber'!$B$15,"Ketat",IF(J2813&lt;='Catatan &amp; Sumber'!$B$16,"Sedang","Relatif Longgar"))))</x:f>
        <x:v>Ketat</x:v>
      </x:c>
      <x:c r="N2813" s="66" t="str">
        <x:v>Tidak Ada</x:v>
      </x:c>
      <x:c r="O2813" s="66" t="str">
        <x:v>Jawa Timur</x:v>
      </x:c>
      <x:c r="P2813" s="66" t="str">
        <x:v>Kota Surabaya</x:v>
      </x:c>
      <x:c r="Q2813" s="66" t="str">
        <x:v>https://snpmb.id/snbp/daya-tampung-snbp</x:v>
      </x:c>
      <x:c r="R2813" s="66" t="str">
        <x:v>https://sidatagrun-public-1076756628210.asia-southeast2.run.app/ptn_sn.php?ptn=381</x:v>
      </x:c>
    </x:row>
    <x:row r="2814">
      <x:c r="A2814" s="87" t="n">
        <x:v>1577</x:v>
      </x:c>
      <x:c r="B2814" s="66" t="n">
        <x:v>381</x:v>
      </x:c>
      <x:c r="C2814" s="66" t="str">
        <x:v>UNIVERSITAS AIRLANGGA</x:v>
      </x:c>
      <x:c r="D2814" s="66" t="str">
        <x:v>PTN Akademik</x:v>
      </x:c>
      <x:c r="E2814" s="66" t="str">
        <x:v>13812054</x:v>
      </x:c>
      <x:c r="F2814" s="66" t="str">
        <x:v>PERBANKAN DAN KEUANGAN</x:v>
      </x:c>
      <x:c r="G2814" s="66" t="str">
        <x:v>Sarjana Terapan</x:v>
      </x:c>
      <x:c r="H2814" s="87" t="n">
        <x:v>45</x:v>
      </x:c>
      <x:c r="I2814" s="87" t="n">
        <x:v>393</x:v>
      </x:c>
      <x:c r="J2814" s="68" t="n">
        <x:f>IFERROR(H2814/I2814,"")</x:f>
        <x:v>0.11450381679389313</x:v>
      </x:c>
      <x:c r="K2814" s="69" t="n">
        <x:f>IFERROR(I2814/H2814,"")</x:f>
        <x:v>8.733333333333333</x:v>
      </x:c>
      <x:c r="L2814" s="66" t="str">
        <x:f>IF(K2814="","","1 : "&amp;TEXT(K2814,"0.0"))</x:f>
        <x:v>1 : 8.7</x:v>
      </x:c>
      <x:c r="M2814" s="66" t="str">
        <x:f>IF(J2814="","Baru/Tanpa Data",IF(J2814&lt;='Catatan &amp; Sumber'!$B$14,"Sangat Ketat",IF(J2814&lt;='Catatan &amp; Sumber'!$B$15,"Ketat",IF(J2814&lt;='Catatan &amp; Sumber'!$B$16,"Sedang","Relatif Longgar"))))</x:f>
        <x:v>Relatif Longgar</x:v>
      </x:c>
      <x:c r="N2814" s="66" t="str">
        <x:v>Tidak Ada</x:v>
      </x:c>
      <x:c r="O2814" s="66" t="str">
        <x:v>Jawa Timur</x:v>
      </x:c>
      <x:c r="P2814" s="66" t="str">
        <x:v>Kota Surabaya</x:v>
      </x:c>
      <x:c r="Q2814" s="66" t="str">
        <x:v>https://snpmb.id/snbp/daya-tampung-snbp</x:v>
      </x:c>
      <x:c r="R2814" s="66" t="str">
        <x:v>https://sidatagrun-public-1076756628210.asia-southeast2.run.app/ptn_sn.php?ptn=381</x:v>
      </x:c>
    </x:row>
    <x:row r="2815">
      <x:c r="A2815" s="87" t="n">
        <x:v>3039</x:v>
      </x:c>
      <x:c r="B2815" s="66" t="n">
        <x:v>381</x:v>
      </x:c>
      <x:c r="C2815" s="66" t="str">
        <x:v>UNIVERSITAS AIRLANGGA</x:v>
      </x:c>
      <x:c r="D2815" s="66" t="str">
        <x:v>PTN Akademik</x:v>
      </x:c>
      <x:c r="E2815" s="66" t="str">
        <x:v>13812055</x:v>
      </x:c>
      <x:c r="F2815" s="66" t="str">
        <x:v>TEKNOLOGI REKAYASA INSTRUMENTASI DAN KONTROL</x:v>
      </x:c>
      <x:c r="G2815" s="66" t="str">
        <x:v>Sarjana Terapan</x:v>
      </x:c>
      <x:c r="H2815" s="87" t="n">
        <x:v>32</x:v>
      </x:c>
      <x:c r="I2815" s="87" t="n">
        <x:v>106</x:v>
      </x:c>
      <x:c r="J2815" s="68" t="n">
        <x:f>IFERROR(H2815/I2815,"")</x:f>
        <x:v>0.3018867924528302</x:v>
      </x:c>
      <x:c r="K2815" s="69" t="n">
        <x:f>IFERROR(I2815/H2815,"")</x:f>
        <x:v>3.3125</x:v>
      </x:c>
      <x:c r="L2815" s="66" t="str">
        <x:f>IF(K2815="","","1 : "&amp;TEXT(K2815,"0.0"))</x:f>
        <x:v>1 : 3.3</x:v>
      </x:c>
      <x:c r="M2815" s="66" t="str">
        <x:f>IF(J2815="","Baru/Tanpa Data",IF(J2815&lt;='Catatan &amp; Sumber'!$B$14,"Sangat Ketat",IF(J2815&lt;='Catatan &amp; Sumber'!$B$15,"Ketat",IF(J2815&lt;='Catatan &amp; Sumber'!$B$16,"Sedang","Relatif Longgar"))))</x:f>
        <x:v>Relatif Longgar</x:v>
      </x:c>
      <x:c r="N2815" s="66" t="str">
        <x:v>Tidak Ada</x:v>
      </x:c>
      <x:c r="O2815" s="66" t="str">
        <x:v>Jawa Timur</x:v>
      </x:c>
      <x:c r="P2815" s="66" t="str">
        <x:v>Kota Surabaya</x:v>
      </x:c>
      <x:c r="Q2815" s="66" t="str">
        <x:v>https://snpmb.id/snbp/daya-tampung-snbp</x:v>
      </x:c>
      <x:c r="R2815" s="66" t="str">
        <x:v>https://sidatagrun-public-1076756628210.asia-southeast2.run.app/ptn_sn.php?ptn=381</x:v>
      </x:c>
    </x:row>
    <x:row r="2816">
      <x:c r="A2816" s="87" t="n">
        <x:v>1760</x:v>
      </x:c>
      <x:c r="B2816" s="66" t="n">
        <x:v>381</x:v>
      </x:c>
      <x:c r="C2816" s="66" t="str">
        <x:v>UNIVERSITAS AIRLANGGA</x:v>
      </x:c>
      <x:c r="D2816" s="66" t="str">
        <x:v>PTN Akademik</x:v>
      </x:c>
      <x:c r="E2816" s="66" t="str">
        <x:v>13812056</x:v>
      </x:c>
      <x:c r="F2816" s="66" t="str">
        <x:v>MANAJEMEN PERKANTORAN DIGITAL</x:v>
      </x:c>
      <x:c r="G2816" s="66" t="str">
        <x:v>Sarjana Terapan</x:v>
      </x:c>
      <x:c r="H2816" s="87" t="n">
        <x:v>48</x:v>
      </x:c>
      <x:c r="I2816" s="87" t="n">
        <x:v>371</x:v>
      </x:c>
      <x:c r="J2816" s="68" t="n">
        <x:f>IFERROR(H2816/I2816,"")</x:f>
        <x:v>0.1293800539083558</x:v>
      </x:c>
      <x:c r="K2816" s="69" t="n">
        <x:f>IFERROR(I2816/H2816,"")</x:f>
        <x:v>7.729166666666667</x:v>
      </x:c>
      <x:c r="L2816" s="66" t="str">
        <x:f>IF(K2816="","","1 : "&amp;TEXT(K2816,"0.0"))</x:f>
        <x:v>1 : 7.7</x:v>
      </x:c>
      <x:c r="M2816" s="66" t="str">
        <x:f>IF(J2816="","Baru/Tanpa Data",IF(J2816&lt;='Catatan &amp; Sumber'!$B$14,"Sangat Ketat",IF(J2816&lt;='Catatan &amp; Sumber'!$B$15,"Ketat",IF(J2816&lt;='Catatan &amp; Sumber'!$B$16,"Sedang","Relatif Longgar"))))</x:f>
        <x:v>Relatif Longgar</x:v>
      </x:c>
      <x:c r="N2816" s="66" t="str">
        <x:v>Tidak Ada</x:v>
      </x:c>
      <x:c r="O2816" s="66" t="str">
        <x:v>Jawa Timur</x:v>
      </x:c>
      <x:c r="P2816" s="66" t="str">
        <x:v>Kota Surabaya</x:v>
      </x:c>
      <x:c r="Q2816" s="66" t="str">
        <x:v>https://snpmb.id/snbp/daya-tampung-snbp</x:v>
      </x:c>
      <x:c r="R2816" s="66" t="str">
        <x:v>https://sidatagrun-public-1076756628210.asia-southeast2.run.app/ptn_sn.php?ptn=381</x:v>
      </x:c>
    </x:row>
    <x:row r="2817">
      <x:c r="A2817" s="87" t="n">
        <x:v>3084</x:v>
      </x:c>
      <x:c r="B2817" s="66" t="n">
        <x:v>381</x:v>
      </x:c>
      <x:c r="C2817" s="66" t="str">
        <x:v>UNIVERSITAS AIRLANGGA</x:v>
      </x:c>
      <x:c r="D2817" s="66" t="str">
        <x:v>PTN Akademik</x:v>
      </x:c>
      <x:c r="E2817" s="66" t="str">
        <x:v>13812061</x:v>
      </x:c>
      <x:c r="F2817" s="66" t="str">
        <x:v>PENGOBAT TRADISIONAL</x:v>
      </x:c>
      <x:c r="G2817" s="66" t="str">
        <x:v>Sarjana Terapan</x:v>
      </x:c>
      <x:c r="H2817" s="87" t="n">
        <x:v>20</x:v>
      </x:c>
      <x:c r="I2817" s="87" t="n">
        <x:v>64</x:v>
      </x:c>
      <x:c r="J2817" s="68" t="n">
        <x:f>IFERROR(H2817/I2817,"")</x:f>
        <x:v>0.3125</x:v>
      </x:c>
      <x:c r="K2817" s="69" t="n">
        <x:f>IFERROR(I2817/H2817,"")</x:f>
        <x:v>3.2</x:v>
      </x:c>
      <x:c r="L2817" s="66" t="str">
        <x:f>IF(K2817="","","1 : "&amp;TEXT(K2817,"0.0"))</x:f>
        <x:v>1 : 3.2</x:v>
      </x:c>
      <x:c r="M2817" s="66" t="str">
        <x:f>IF(J2817="","Baru/Tanpa Data",IF(J2817&lt;='Catatan &amp; Sumber'!$B$14,"Sangat Ketat",IF(J2817&lt;='Catatan &amp; Sumber'!$B$15,"Ketat",IF(J2817&lt;='Catatan &amp; Sumber'!$B$16,"Sedang","Relatif Longgar"))))</x:f>
        <x:v>Relatif Longgar</x:v>
      </x:c>
      <x:c r="N2817" s="66" t="str">
        <x:v>Tidak Ada</x:v>
      </x:c>
      <x:c r="O2817" s="66" t="str">
        <x:v>Jawa Timur</x:v>
      </x:c>
      <x:c r="P2817" s="66" t="str">
        <x:v>Kota Surabaya</x:v>
      </x:c>
      <x:c r="Q2817" s="66" t="str">
        <x:v>https://snpmb.id/snbp/daya-tampung-snbp</x:v>
      </x:c>
      <x:c r="R2817" s="66" t="str">
        <x:v>https://sidatagrun-public-1076756628210.asia-southeast2.run.app/ptn_sn.php?ptn=381</x:v>
      </x:c>
    </x:row>
    <x:row r="2818">
      <x:c r="A2818" s="87" t="n">
        <x:v>805</x:v>
      </x:c>
      <x:c r="B2818" s="66" t="n">
        <x:v>381</x:v>
      </x:c>
      <x:c r="C2818" s="66" t="str">
        <x:v>UNIVERSITAS AIRLANGGA</x:v>
      </x:c>
      <x:c r="D2818" s="66" t="str">
        <x:v>PTN Akademik</x:v>
      </x:c>
      <x:c r="E2818" s="66" t="str">
        <x:v>13812062</x:v>
      </x:c>
      <x:c r="F2818" s="66" t="str">
        <x:v>FISIOTERAPI</x:v>
      </x:c>
      <x:c r="G2818" s="66" t="str">
        <x:v>Sarjana Terapan</x:v>
      </x:c>
      <x:c r="H2818" s="87" t="n">
        <x:v>36</x:v>
      </x:c>
      <x:c r="I2818" s="87" t="n">
        <x:v>536</x:v>
      </x:c>
      <x:c r="J2818" s="68" t="n">
        <x:f>IFERROR(H2818/I2818,"")</x:f>
        <x:v>0.06716417910447761</x:v>
      </x:c>
      <x:c r="K2818" s="69" t="n">
        <x:f>IFERROR(I2818/H2818,"")</x:f>
        <x:v>14.88888888888889</x:v>
      </x:c>
      <x:c r="L2818" s="66" t="str">
        <x:f>IF(K2818="","","1 : "&amp;TEXT(K2818,"0.0"))</x:f>
        <x:v>1 : 14.9</x:v>
      </x:c>
      <x:c r="M2818" s="66" t="str">
        <x:f>IF(J2818="","Baru/Tanpa Data",IF(J2818&lt;='Catatan &amp; Sumber'!$B$14,"Sangat Ketat",IF(J2818&lt;='Catatan &amp; Sumber'!$B$15,"Ketat",IF(J2818&lt;='Catatan &amp; Sumber'!$B$16,"Sedang","Relatif Longgar"))))</x:f>
        <x:v>Sedang</x:v>
      </x:c>
      <x:c r="N2818" s="66" t="str">
        <x:v>Tidak Ada</x:v>
      </x:c>
      <x:c r="O2818" s="66" t="str">
        <x:v>Jawa Timur</x:v>
      </x:c>
      <x:c r="P2818" s="66" t="str">
        <x:v>Kota Surabaya</x:v>
      </x:c>
      <x:c r="Q2818" s="66" t="str">
        <x:v>https://snpmb.id/snbp/daya-tampung-snbp</x:v>
      </x:c>
      <x:c r="R2818" s="66" t="str">
        <x:v>https://sidatagrun-public-1076756628210.asia-southeast2.run.app/ptn_sn.php?ptn=381</x:v>
      </x:c>
    </x:row>
    <x:row r="2819">
      <x:c r="A2819" s="87" t="n">
        <x:v>379</x:v>
      </x:c>
      <x:c r="B2819" s="66" t="n">
        <x:v>381</x:v>
      </x:c>
      <x:c r="C2819" s="66" t="str">
        <x:v>UNIVERSITAS AIRLANGGA</x:v>
      </x:c>
      <x:c r="D2819" s="66" t="str">
        <x:v>PTN Akademik</x:v>
      </x:c>
      <x:c r="E2819" s="66" t="str">
        <x:v>13812063</x:v>
      </x:c>
      <x:c r="F2819" s="66" t="str">
        <x:v>TEKNOLOGI RADIOLOGI PENCITRAAN</x:v>
      </x:c>
      <x:c r="G2819" s="66" t="str">
        <x:v>Sarjana Terapan</x:v>
      </x:c>
      <x:c r="H2819" s="87" t="n">
        <x:v>40</x:v>
      </x:c>
      <x:c r="I2819" s="87" t="n">
        <x:v>873</x:v>
      </x:c>
      <x:c r="J2819" s="68" t="n">
        <x:f>IFERROR(H2819/I2819,"")</x:f>
        <x:v>0.045819014891179836</x:v>
      </x:c>
      <x:c r="K2819" s="69" t="n">
        <x:f>IFERROR(I2819/H2819,"")</x:f>
        <x:v>21.825</x:v>
      </x:c>
      <x:c r="L2819" s="66" t="str">
        <x:f>IF(K2819="","","1 : "&amp;TEXT(K2819,"0.0"))</x:f>
        <x:v>1 : 21.8</x:v>
      </x:c>
      <x:c r="M2819" s="66" t="str">
        <x:f>IF(J2819="","Baru/Tanpa Data",IF(J2819&lt;='Catatan &amp; Sumber'!$B$14,"Sangat Ketat",IF(J2819&lt;='Catatan &amp; Sumber'!$B$15,"Ketat",IF(J2819&lt;='Catatan &amp; Sumber'!$B$16,"Sedang","Relatif Longgar"))))</x:f>
        <x:v>Ketat</x:v>
      </x:c>
      <x:c r="N2819" s="66" t="str">
        <x:v>Tidak Ada</x:v>
      </x:c>
      <x:c r="O2819" s="66" t="str">
        <x:v>Jawa Timur</x:v>
      </x:c>
      <x:c r="P2819" s="66" t="str">
        <x:v>Kota Surabaya</x:v>
      </x:c>
      <x:c r="Q2819" s="66" t="str">
        <x:v>https://snpmb.id/snbp/daya-tampung-snbp</x:v>
      </x:c>
      <x:c r="R2819" s="66" t="str">
        <x:v>https://sidatagrun-public-1076756628210.asia-southeast2.run.app/ptn_sn.php?ptn=381</x:v>
      </x:c>
    </x:row>
    <x:row r="2820">
      <x:c r="A2820" s="87" t="n">
        <x:v>1588</x:v>
      </x:c>
      <x:c r="B2820" s="66" t="n">
        <x:v>381</x:v>
      </x:c>
      <x:c r="C2820" s="66" t="str">
        <x:v>UNIVERSITAS AIRLANGGA</x:v>
      </x:c>
      <x:c r="D2820" s="66" t="str">
        <x:v>PTN Akademik</x:v>
      </x:c>
      <x:c r="E2820" s="66" t="str">
        <x:v>13812064</x:v>
      </x:c>
      <x:c r="F2820" s="66" t="str">
        <x:v>TEKNIK INFORMATIKA</x:v>
      </x:c>
      <x:c r="G2820" s="66" t="str">
        <x:v>Sarjana Terapan</x:v>
      </x:c>
      <x:c r="H2820" s="87" t="n">
        <x:v>36</x:v>
      </x:c>
      <x:c r="I2820" s="87" t="n">
        <x:v>312</x:v>
      </x:c>
      <x:c r="J2820" s="68" t="n">
        <x:f>IFERROR(H2820/I2820,"")</x:f>
        <x:v>0.11538461538461539</x:v>
      </x:c>
      <x:c r="K2820" s="69" t="n">
        <x:f>IFERROR(I2820/H2820,"")</x:f>
        <x:v>8.666666666666666</x:v>
      </x:c>
      <x:c r="L2820" s="66" t="str">
        <x:f>IF(K2820="","","1 : "&amp;TEXT(K2820,"0.0"))</x:f>
        <x:v>1 : 8.7</x:v>
      </x:c>
      <x:c r="M2820" s="66" t="str">
        <x:f>IF(J2820="","Baru/Tanpa Data",IF(J2820&lt;='Catatan &amp; Sumber'!$B$14,"Sangat Ketat",IF(J2820&lt;='Catatan &amp; Sumber'!$B$15,"Ketat",IF(J2820&lt;='Catatan &amp; Sumber'!$B$16,"Sedang","Relatif Longgar"))))</x:f>
        <x:v>Relatif Longgar</x:v>
      </x:c>
      <x:c r="N2820" s="66" t="str">
        <x:v>Tidak Ada</x:v>
      </x:c>
      <x:c r="O2820" s="66" t="str">
        <x:v>Jawa Timur</x:v>
      </x:c>
      <x:c r="P2820" s="66" t="str">
        <x:v>Kota Surabaya</x:v>
      </x:c>
      <x:c r="Q2820" s="66" t="str">
        <x:v>https://snpmb.id/snbp/daya-tampung-snbp</x:v>
      </x:c>
      <x:c r="R2820" s="66" t="str">
        <x:v>https://sidatagrun-public-1076756628210.asia-southeast2.run.app/ptn_sn.php?ptn=381</x:v>
      </x:c>
    </x:row>
    <x:row r="2821">
      <x:c r="A2821" s="87" t="n">
        <x:v>2803</x:v>
      </x:c>
      <x:c r="B2821" s="66" t="n">
        <x:v>381</x:v>
      </x:c>
      <x:c r="C2821" s="66" t="str">
        <x:v>UNIVERSITAS AIRLANGGA</x:v>
      </x:c>
      <x:c r="D2821" s="66" t="str">
        <x:v>PTN Akademik</x:v>
      </x:c>
      <x:c r="E2821" s="66" t="str">
        <x:v>13812065</x:v>
      </x:c>
      <x:c r="F2821" s="66" t="str">
        <x:v>TEKNOLOGI KESEHATAN GIGI</x:v>
      </x:c>
      <x:c r="G2821" s="66" t="str">
        <x:v>Sarjana Terapan</x:v>
      </x:c>
      <x:c r="H2821" s="87" t="n">
        <x:v>28</x:v>
      </x:c>
      <x:c r="I2821" s="87" t="n">
        <x:v>108</x:v>
      </x:c>
      <x:c r="J2821" s="68" t="n">
        <x:f>IFERROR(H2821/I2821,"")</x:f>
        <x:v>0.25925925925925924</x:v>
      </x:c>
      <x:c r="K2821" s="69" t="n">
        <x:f>IFERROR(I2821/H2821,"")</x:f>
        <x:v>3.857142857142857</x:v>
      </x:c>
      <x:c r="L2821" s="66" t="str">
        <x:f>IF(K2821="","","1 : "&amp;TEXT(K2821,"0.0"))</x:f>
        <x:v>1 : 3.9</x:v>
      </x:c>
      <x:c r="M2821" s="66" t="str">
        <x:f>IF(J2821="","Baru/Tanpa Data",IF(J2821&lt;='Catatan &amp; Sumber'!$B$14,"Sangat Ketat",IF(J2821&lt;='Catatan &amp; Sumber'!$B$15,"Ketat",IF(J2821&lt;='Catatan &amp; Sumber'!$B$16,"Sedang","Relatif Longgar"))))</x:f>
        <x:v>Relatif Longgar</x:v>
      </x:c>
      <x:c r="N2821" s="66" t="str">
        <x:v>Tidak Ada</x:v>
      </x:c>
      <x:c r="O2821" s="66" t="str">
        <x:v>Jawa Timur</x:v>
      </x:c>
      <x:c r="P2821" s="66" t="str">
        <x:v>Kota Surabaya</x:v>
      </x:c>
      <x:c r="Q2821" s="66" t="str">
        <x:v>https://snpmb.id/snbp/daya-tampung-snbp</x:v>
      </x:c>
      <x:c r="R2821" s="66" t="str">
        <x:v>https://sidatagrun-public-1076756628210.asia-southeast2.run.app/ptn_sn.php?ptn=381</x:v>
      </x:c>
    </x:row>
    <x:row r="2822">
      <x:c r="A2822" s="87" t="n">
        <x:v>3257</x:v>
      </x:c>
      <x:c r="B2822" s="66" t="n">
        <x:v>381</x:v>
      </x:c>
      <x:c r="C2822" s="66" t="str">
        <x:v>UNIVERSITAS AIRLANGGA</x:v>
      </x:c>
      <x:c r="D2822" s="66" t="str">
        <x:v>PTN Akademik</x:v>
      </x:c>
      <x:c r="E2822" s="66" t="str">
        <x:v>13812066</x:v>
      </x:c>
      <x:c r="F2822" s="66" t="str">
        <x:v>TEKNOLOGI VETERINER</x:v>
      </x:c>
      <x:c r="G2822" s="66" t="str">
        <x:v>Sarjana Terapan</x:v>
      </x:c>
      <x:c r="H2822" s="87" t="n">
        <x:v>24</x:v>
      </x:c>
      <x:c r="I2822" s="87" t="n">
        <x:v>67</x:v>
      </x:c>
      <x:c r="J2822" s="68" t="n">
        <x:f>IFERROR(H2822/I2822,"")</x:f>
        <x:v>0.3582089552238806</x:v>
      </x:c>
      <x:c r="K2822" s="69" t="n">
        <x:f>IFERROR(I2822/H2822,"")</x:f>
        <x:v>2.7916666666666665</x:v>
      </x:c>
      <x:c r="L2822" s="66" t="str">
        <x:f>IF(K2822="","","1 : "&amp;TEXT(K2822,"0.0"))</x:f>
        <x:v>1 : 2.8</x:v>
      </x:c>
      <x:c r="M2822" s="66" t="str">
        <x:f>IF(J2822="","Baru/Tanpa Data",IF(J2822&lt;='Catatan &amp; Sumber'!$B$14,"Sangat Ketat",IF(J2822&lt;='Catatan &amp; Sumber'!$B$15,"Ketat",IF(J2822&lt;='Catatan &amp; Sumber'!$B$16,"Sedang","Relatif Longgar"))))</x:f>
        <x:v>Relatif Longgar</x:v>
      </x:c>
      <x:c r="N2822" s="66" t="str">
        <x:v>Tidak Ada</x:v>
      </x:c>
      <x:c r="O2822" s="66" t="str">
        <x:v>Jawa Timur</x:v>
      </x:c>
      <x:c r="P2822" s="66" t="str">
        <x:v>Kota Surabaya</x:v>
      </x:c>
      <x:c r="Q2822" s="66" t="str">
        <x:v>https://snpmb.id/snbp/daya-tampung-snbp</x:v>
      </x:c>
      <x:c r="R2822" s="66" t="str">
        <x:v>https://sidatagrun-public-1076756628210.asia-southeast2.run.app/ptn_sn.php?ptn=381</x:v>
      </x:c>
    </x:row>
    <x:row r="2823">
      <x:c r="A2823" s="87" t="n">
        <x:v>2193</x:v>
      </x:c>
      <x:c r="B2823" s="66" t="n">
        <x:v>381</x:v>
      </x:c>
      <x:c r="C2823" s="66" t="str">
        <x:v>UNIVERSITAS AIRLANGGA</x:v>
      </x:c>
      <x:c r="D2823" s="66" t="str">
        <x:v>PTN Akademik</x:v>
      </x:c>
      <x:c r="E2823" s="66" t="str">
        <x:v>13812067</x:v>
      </x:c>
      <x:c r="F2823" s="66" t="str">
        <x:v>KEARSIPAN DAN INFORMASI DIGITAL</x:v>
      </x:c>
      <x:c r="G2823" s="66" t="str">
        <x:v>Sarjana Terapan</x:v>
      </x:c>
      <x:c r="H2823" s="87" t="n">
        <x:v>29</x:v>
      </x:c>
      <x:c r="I2823" s="87" t="n">
        <x:v>170</x:v>
      </x:c>
      <x:c r="J2823" s="68" t="n">
        <x:f>IFERROR(H2823/I2823,"")</x:f>
        <x:v>0.17058823529411765</x:v>
      </x:c>
      <x:c r="K2823" s="69" t="n">
        <x:f>IFERROR(I2823/H2823,"")</x:f>
        <x:v>5.862068965517241</x:v>
      </x:c>
      <x:c r="L2823" s="66" t="str">
        <x:f>IF(K2823="","","1 : "&amp;TEXT(K2823,"0.0"))</x:f>
        <x:v>1 : 5.9</x:v>
      </x:c>
      <x:c r="M2823" s="66" t="str">
        <x:f>IF(J2823="","Baru/Tanpa Data",IF(J2823&lt;='Catatan &amp; Sumber'!$B$14,"Sangat Ketat",IF(J2823&lt;='Catatan &amp; Sumber'!$B$15,"Ketat",IF(J2823&lt;='Catatan &amp; Sumber'!$B$16,"Sedang","Relatif Longgar"))))</x:f>
        <x:v>Relatif Longgar</x:v>
      </x:c>
      <x:c r="N2823" s="66" t="str">
        <x:v>Tidak Ada</x:v>
      </x:c>
      <x:c r="O2823" s="66" t="str">
        <x:v>Jawa Timur</x:v>
      </x:c>
      <x:c r="P2823" s="66" t="str">
        <x:v>Kota Surabaya</x:v>
      </x:c>
      <x:c r="Q2823" s="66" t="str">
        <x:v>https://snpmb.id/snbp/daya-tampung-snbp</x:v>
      </x:c>
      <x:c r="R2823" s="66" t="str">
        <x:v>https://sidatagrun-public-1076756628210.asia-southeast2.run.app/ptn_sn.php?ptn=381</x:v>
      </x:c>
    </x:row>
    <x:row r="2824">
      <x:c r="A2824" s="87"/>
      <x:c r="B2824" s="66" t="n">
        <x:v>381</x:v>
      </x:c>
      <x:c r="C2824" s="66" t="str">
        <x:v>UNIVERSITAS AIRLANGGA</x:v>
      </x:c>
      <x:c r="D2824" s="66" t="str">
        <x:v>PTN Akademik</x:v>
      </x:c>
      <x:c r="E2824" s="66" t="str">
        <x:v>13812069</x:v>
      </x:c>
      <x:c r="F2824" s="66" t="str">
        <x:v>AKUNTANSI BISNIS DIGITAL</x:v>
      </x:c>
      <x:c r="G2824" s="66" t="str">
        <x:v>Sarjana Terapan</x:v>
      </x:c>
      <x:c r="H2824" s="87" t="n">
        <x:v>27</x:v>
      </x:c>
      <x:c r="I2824" s="87"/>
      <x:c r="J2824" s="68" t="str">
        <x:f>IFERROR(H2824/I2824,"")</x:f>
      </x:c>
      <x:c r="K2824" s="69" t="n">
        <x:f>IFERROR(I2824/H2824,"")</x:f>
        <x:v>0</x:v>
      </x:c>
      <x:c r="L2824" s="66" t="str">
        <x:f>IF(K2824="","","1 : "&amp;TEXT(K2824,"0.0"))</x:f>
      </x:c>
      <x:c r="M2824" s="66" t="str">
        <x:f>IF(J2824="","Baru/Tanpa Data",IF(J2824&lt;='Catatan &amp; Sumber'!$B$14,"Sangat Ketat",IF(J2824&lt;='Catatan &amp; Sumber'!$B$15,"Ketat",IF(J2824&lt;='Catatan &amp; Sumber'!$B$16,"Sedang","Relatif Longgar"))))</x:f>
        <x:v>Baru/Tanpa Data</x:v>
      </x:c>
      <x:c r="N2824" s="66" t="str">
        <x:v>Tidak Ada</x:v>
      </x:c>
      <x:c r="O2824" s="66" t="str">
        <x:v>Jawa Timur</x:v>
      </x:c>
      <x:c r="P2824" s="66" t="str">
        <x:v>Kota Surabaya</x:v>
      </x:c>
      <x:c r="Q2824" s="66" t="str">
        <x:v>https://snpmb.id/snbp/daya-tampung-snbp</x:v>
      </x:c>
      <x:c r="R2824" s="66" t="str">
        <x:v>https://sidatagrun-public-1076756628210.asia-southeast2.run.app/ptn_sn.php?ptn=381</x:v>
      </x:c>
    </x:row>
    <x:row r="2825">
      <x:c r="A2825" s="87" t="n">
        <x:v>3061</x:v>
      </x:c>
      <x:c r="B2825" s="66" t="n">
        <x:v>381</x:v>
      </x:c>
      <x:c r="C2825" s="66" t="str">
        <x:v>UNIVERSITAS AIRLANGGA</x:v>
      </x:c>
      <x:c r="D2825" s="66" t="str">
        <x:v>PTN Akademik</x:v>
      </x:c>
      <x:c r="E2825" s="66" t="str">
        <x:v>13813045</x:v>
      </x:c>
      <x:c r="F2825" s="66" t="str">
        <x:v>BAHASA INGGRIS</x:v>
      </x:c>
      <x:c r="G2825" s="66" t="str">
        <x:v>Diploma Tiga</x:v>
      </x:c>
      <x:c r="H2825" s="87" t="n">
        <x:v>30</x:v>
      </x:c>
      <x:c r="I2825" s="87" t="n">
        <x:v>98</x:v>
      </x:c>
      <x:c r="J2825" s="68" t="n">
        <x:f>IFERROR(H2825/I2825,"")</x:f>
        <x:v>0.30612244897959184</x:v>
      </x:c>
      <x:c r="K2825" s="69" t="n">
        <x:f>IFERROR(I2825/H2825,"")</x:f>
        <x:v>3.2666666666666666</x:v>
      </x:c>
      <x:c r="L2825" s="66" t="str">
        <x:f>IF(K2825="","","1 : "&amp;TEXT(K2825,"0.0"))</x:f>
        <x:v>1 : 3.3</x:v>
      </x:c>
      <x:c r="M2825" s="66" t="str">
        <x:f>IF(J2825="","Baru/Tanpa Data",IF(J2825&lt;='Catatan &amp; Sumber'!$B$14,"Sangat Ketat",IF(J2825&lt;='Catatan &amp; Sumber'!$B$15,"Ketat",IF(J2825&lt;='Catatan &amp; Sumber'!$B$16,"Sedang","Relatif Longgar"))))</x:f>
        <x:v>Relatif Longgar</x:v>
      </x:c>
      <x:c r="N2825" s="66" t="str">
        <x:v>Tidak Ada</x:v>
      </x:c>
      <x:c r="O2825" s="66" t="str">
        <x:v>Jawa Timur</x:v>
      </x:c>
      <x:c r="P2825" s="66" t="str">
        <x:v>Kota Surabaya</x:v>
      </x:c>
      <x:c r="Q2825" s="66" t="str">
        <x:v>https://snpmb.id/snbp/daya-tampung-snbp</x:v>
      </x:c>
      <x:c r="R2825" s="66" t="str">
        <x:v>https://sidatagrun-public-1076756628210.asia-southeast2.run.app/ptn_sn.php?ptn=381</x:v>
      </x:c>
    </x:row>
    <x:row r="2826">
      <x:c r="A2826" s="87" t="n">
        <x:v>2570</x:v>
      </x:c>
      <x:c r="B2826" s="66" t="n">
        <x:v>381</x:v>
      </x:c>
      <x:c r="C2826" s="66" t="str">
        <x:v>UNIVERSITAS AIRLANGGA</x:v>
      </x:c>
      <x:c r="D2826" s="66" t="str">
        <x:v>PTN Akademik</x:v>
      </x:c>
      <x:c r="E2826" s="66" t="str">
        <x:v>13813047</x:v>
      </x:c>
      <x:c r="F2826" s="66" t="str">
        <x:v>PERPAJAKAN</x:v>
      </x:c>
      <x:c r="G2826" s="66" t="str">
        <x:v>Diploma Tiga</x:v>
      </x:c>
      <x:c r="H2826" s="87" t="n">
        <x:v>60</x:v>
      </x:c>
      <x:c r="I2826" s="87" t="n">
        <x:v>268</x:v>
      </x:c>
      <x:c r="J2826" s="68" t="n">
        <x:f>IFERROR(H2826/I2826,"")</x:f>
        <x:v>0.22388059701492538</x:v>
      </x:c>
      <x:c r="K2826" s="69" t="n">
        <x:f>IFERROR(I2826/H2826,"")</x:f>
        <x:v>4.466666666666667</x:v>
      </x:c>
      <x:c r="L2826" s="66" t="str">
        <x:f>IF(K2826="","","1 : "&amp;TEXT(K2826,"0.0"))</x:f>
        <x:v>1 : 4.5</x:v>
      </x:c>
      <x:c r="M2826" s="66" t="str">
        <x:f>IF(J2826="","Baru/Tanpa Data",IF(J2826&lt;='Catatan &amp; Sumber'!$B$14,"Sangat Ketat",IF(J2826&lt;='Catatan &amp; Sumber'!$B$15,"Ketat",IF(J2826&lt;='Catatan &amp; Sumber'!$B$16,"Sedang","Relatif Longgar"))))</x:f>
        <x:v>Relatif Longgar</x:v>
      </x:c>
      <x:c r="N2826" s="66" t="str">
        <x:v>Tidak Ada</x:v>
      </x:c>
      <x:c r="O2826" s="66" t="str">
        <x:v>Jawa Timur</x:v>
      </x:c>
      <x:c r="P2826" s="66" t="str">
        <x:v>Kota Surabaya</x:v>
      </x:c>
      <x:c r="Q2826" s="66" t="str">
        <x:v>https://snpmb.id/snbp/daya-tampung-snbp</x:v>
      </x:c>
      <x:c r="R2826" s="66" t="str">
        <x:v>https://sidatagrun-public-1076756628210.asia-southeast2.run.app/ptn_sn.php?ptn=381</x:v>
      </x:c>
    </x:row>
    <x:row r="2827">
      <x:c r="A2827" s="87" t="n">
        <x:v>1743</x:v>
      </x:c>
      <x:c r="B2827" s="66" t="n">
        <x:v>381</x:v>
      </x:c>
      <x:c r="C2827" s="66" t="str">
        <x:v>UNIVERSITAS AIRLANGGA</x:v>
      </x:c>
      <x:c r="D2827" s="66" t="str">
        <x:v>PTN Akademik</x:v>
      </x:c>
      <x:c r="E2827" s="66" t="str">
        <x:v>13813059</x:v>
      </x:c>
      <x:c r="F2827" s="66" t="str">
        <x:v>KEPERAWATAN</x:v>
      </x:c>
      <x:c r="G2827" s="66" t="str">
        <x:v>Diploma Tiga</x:v>
      </x:c>
      <x:c r="H2827" s="87" t="n">
        <x:v>60</x:v>
      </x:c>
      <x:c r="I2827" s="87" t="n">
        <x:v>470</x:v>
      </x:c>
      <x:c r="J2827" s="68" t="n">
        <x:f>IFERROR(H2827/I2827,"")</x:f>
        <x:v>0.1276595744680851</x:v>
      </x:c>
      <x:c r="K2827" s="69" t="n">
        <x:f>IFERROR(I2827/H2827,"")</x:f>
        <x:v>7.833333333333333</x:v>
      </x:c>
      <x:c r="L2827" s="66" t="str">
        <x:f>IF(K2827="","","1 : "&amp;TEXT(K2827,"0.0"))</x:f>
        <x:v>1 : 7.8</x:v>
      </x:c>
      <x:c r="M2827" s="66" t="str">
        <x:f>IF(J2827="","Baru/Tanpa Data",IF(J2827&lt;='Catatan &amp; Sumber'!$B$14,"Sangat Ketat",IF(J2827&lt;='Catatan &amp; Sumber'!$B$15,"Ketat",IF(J2827&lt;='Catatan &amp; Sumber'!$B$16,"Sedang","Relatif Longgar"))))</x:f>
        <x:v>Relatif Longgar</x:v>
      </x:c>
      <x:c r="N2827" s="66" t="str">
        <x:v>Tidak Ada</x:v>
      </x:c>
      <x:c r="O2827" s="66" t="str">
        <x:v>Jawa Timur</x:v>
      </x:c>
      <x:c r="P2827" s="66" t="str">
        <x:v>Kota Surabaya</x:v>
      </x:c>
      <x:c r="Q2827" s="66" t="str">
        <x:v>https://snpmb.id/snbp/daya-tampung-snbp</x:v>
      </x:c>
      <x:c r="R2827" s="66" t="str">
        <x:v>https://sidatagrun-public-1076756628210.asia-southeast2.run.app/ptn_sn.php?ptn=381</x:v>
      </x:c>
    </x:row>
    <x:row r="2828">
      <x:c r="A2828" s="87" t="n">
        <x:v>3270</x:v>
      </x:c>
      <x:c r="B2828" s="66" t="n">
        <x:v>382</x:v>
      </x:c>
      <x:c r="C2828" s="66" t="str">
        <x:v>INSTITUT TEKNOLOGI SEPULUH NOPEMBER</x:v>
      </x:c>
      <x:c r="D2828" s="66" t="str">
        <x:v>PTN Akademik</x:v>
      </x:c>
      <x:c r="E2828" s="66" t="str">
        <x:v>13821001</x:v>
      </x:c>
      <x:c r="F2828" s="66" t="str">
        <x:v>FISIKA</x:v>
      </x:c>
      <x:c r="G2828" s="66" t="str">
        <x:v>Sarjana</x:v>
      </x:c>
      <x:c r="H2828" s="87" t="n">
        <x:v>77</x:v>
      </x:c>
      <x:c r="I2828" s="87" t="n">
        <x:v>212</x:v>
      </x:c>
      <x:c r="J2828" s="68" t="n">
        <x:f>IFERROR(H2828/I2828,"")</x:f>
        <x:v>0.3632075471698113</x:v>
      </x:c>
      <x:c r="K2828" s="69" t="n">
        <x:f>IFERROR(I2828/H2828,"")</x:f>
        <x:v>2.7532467532467533</x:v>
      </x:c>
      <x:c r="L2828" s="66" t="str">
        <x:f>IF(K2828="","","1 : "&amp;TEXT(K2828,"0.0"))</x:f>
        <x:v>1 : 2.8</x:v>
      </x:c>
      <x:c r="M2828" s="66" t="str">
        <x:f>IF(J2828="","Baru/Tanpa Data",IF(J2828&lt;='Catatan &amp; Sumber'!$B$14,"Sangat Ketat",IF(J2828&lt;='Catatan &amp; Sumber'!$B$15,"Ketat",IF(J2828&lt;='Catatan &amp; Sumber'!$B$16,"Sedang","Relatif Longgar"))))</x:f>
        <x:v>Relatif Longgar</x:v>
      </x:c>
      <x:c r="N2828" s="66" t="str">
        <x:v>Tidak Ada</x:v>
      </x:c>
      <x:c r="O2828" s="66" t="str">
        <x:v>Jawa Timur</x:v>
      </x:c>
      <x:c r="P2828" s="66" t="str">
        <x:v>Kota Surabaya</x:v>
      </x:c>
      <x:c r="Q2828" s="66" t="str">
        <x:v>https://snpmb.id/snbp/daya-tampung-snbp</x:v>
      </x:c>
      <x:c r="R2828" s="66" t="str">
        <x:v>https://sidatagrun-public-1076756628210.asia-southeast2.run.app/ptn_sn.php?ptn=382</x:v>
      </x:c>
    </x:row>
    <x:row r="2829">
      <x:c r="A2829" s="87" t="n">
        <x:v>2782</x:v>
      </x:c>
      <x:c r="B2829" s="66" t="n">
        <x:v>382</x:v>
      </x:c>
      <x:c r="C2829" s="66" t="str">
        <x:v>INSTITUT TEKNOLOGI SEPULUH NOPEMBER</x:v>
      </x:c>
      <x:c r="D2829" s="66" t="str">
        <x:v>PTN Akademik</x:v>
      </x:c>
      <x:c r="E2829" s="66" t="str">
        <x:v>13821002</x:v>
      </x:c>
      <x:c r="F2829" s="66" t="str">
        <x:v>MATEMATIKA</x:v>
      </x:c>
      <x:c r="G2829" s="66" t="str">
        <x:v>Sarjana</x:v>
      </x:c>
      <x:c r="H2829" s="87" t="n">
        <x:v>80</x:v>
      </x:c>
      <x:c r="I2829" s="87" t="n">
        <x:v>313</x:v>
      </x:c>
      <x:c r="J2829" s="68" t="n">
        <x:f>IFERROR(H2829/I2829,"")</x:f>
        <x:v>0.25559105431309903</x:v>
      </x:c>
      <x:c r="K2829" s="69" t="n">
        <x:f>IFERROR(I2829/H2829,"")</x:f>
        <x:v>3.9125</x:v>
      </x:c>
      <x:c r="L2829" s="66" t="str">
        <x:f>IF(K2829="","","1 : "&amp;TEXT(K2829,"0.0"))</x:f>
        <x:v>1 : 3.9</x:v>
      </x:c>
      <x:c r="M2829" s="66" t="str">
        <x:f>IF(J2829="","Baru/Tanpa Data",IF(J2829&lt;='Catatan &amp; Sumber'!$B$14,"Sangat Ketat",IF(J2829&lt;='Catatan &amp; Sumber'!$B$15,"Ketat",IF(J2829&lt;='Catatan &amp; Sumber'!$B$16,"Sedang","Relatif Longgar"))))</x:f>
        <x:v>Relatif Longgar</x:v>
      </x:c>
      <x:c r="N2829" s="66" t="str">
        <x:v>Tidak Ada</x:v>
      </x:c>
      <x:c r="O2829" s="66" t="str">
        <x:v>Jawa Timur</x:v>
      </x:c>
      <x:c r="P2829" s="66" t="str">
        <x:v>Kota Surabaya</x:v>
      </x:c>
      <x:c r="Q2829" s="66" t="str">
        <x:v>https://snpmb.id/snbp/daya-tampung-snbp</x:v>
      </x:c>
      <x:c r="R2829" s="66" t="str">
        <x:v>https://sidatagrun-public-1076756628210.asia-southeast2.run.app/ptn_sn.php?ptn=382</x:v>
      </x:c>
    </x:row>
    <x:row r="2830">
      <x:c r="A2830" s="87" t="n">
        <x:v>1398</x:v>
      </x:c>
      <x:c r="B2830" s="66" t="n">
        <x:v>382</x:v>
      </x:c>
      <x:c r="C2830" s="66" t="str">
        <x:v>INSTITUT TEKNOLOGI SEPULUH NOPEMBER</x:v>
      </x:c>
      <x:c r="D2830" s="66" t="str">
        <x:v>PTN Akademik</x:v>
      </x:c>
      <x:c r="E2830" s="66" t="str">
        <x:v>13821003</x:v>
      </x:c>
      <x:c r="F2830" s="66" t="str">
        <x:v>STATISTIKA</x:v>
      </x:c>
      <x:c r="G2830" s="66" t="str">
        <x:v>Sarjana</x:v>
      </x:c>
      <x:c r="H2830" s="87" t="n">
        <x:v>40</x:v>
      </x:c>
      <x:c r="I2830" s="87" t="n">
        <x:v>393</x:v>
      </x:c>
      <x:c r="J2830" s="68" t="n">
        <x:f>IFERROR(H2830/I2830,"")</x:f>
        <x:v>0.10178117048346055</x:v>
      </x:c>
      <x:c r="K2830" s="69" t="n">
        <x:f>IFERROR(I2830/H2830,"")</x:f>
        <x:v>9.825</x:v>
      </x:c>
      <x:c r="L2830" s="66" t="str">
        <x:f>IF(K2830="","","1 : "&amp;TEXT(K2830,"0.0"))</x:f>
        <x:v>1 : 9.8</x:v>
      </x:c>
      <x:c r="M2830" s="66" t="str">
        <x:f>IF(J2830="","Baru/Tanpa Data",IF(J2830&lt;='Catatan &amp; Sumber'!$B$14,"Sangat Ketat",IF(J2830&lt;='Catatan &amp; Sumber'!$B$15,"Ketat",IF(J2830&lt;='Catatan &amp; Sumber'!$B$16,"Sedang","Relatif Longgar"))))</x:f>
        <x:v>Relatif Longgar</x:v>
      </x:c>
      <x:c r="N2830" s="66" t="str">
        <x:v>Tidak Ada</x:v>
      </x:c>
      <x:c r="O2830" s="66" t="str">
        <x:v>Jawa Timur</x:v>
      </x:c>
      <x:c r="P2830" s="66" t="str">
        <x:v>Kota Surabaya</x:v>
      </x:c>
      <x:c r="Q2830" s="66" t="str">
        <x:v>https://snpmb.id/snbp/daya-tampung-snbp</x:v>
      </x:c>
      <x:c r="R2830" s="66" t="str">
        <x:v>https://sidatagrun-public-1076756628210.asia-southeast2.run.app/ptn_sn.php?ptn=382</x:v>
      </x:c>
    </x:row>
    <x:row r="2831">
      <x:c r="A2831" s="87" t="n">
        <x:v>2394</x:v>
      </x:c>
      <x:c r="B2831" s="66" t="n">
        <x:v>382</x:v>
      </x:c>
      <x:c r="C2831" s="66" t="str">
        <x:v>INSTITUT TEKNOLOGI SEPULUH NOPEMBER</x:v>
      </x:c>
      <x:c r="D2831" s="66" t="str">
        <x:v>PTN Akademik</x:v>
      </x:c>
      <x:c r="E2831" s="66" t="str">
        <x:v>13821004</x:v>
      </x:c>
      <x:c r="F2831" s="66" t="str">
        <x:v>KIMIA</x:v>
      </x:c>
      <x:c r="G2831" s="66" t="str">
        <x:v>Sarjana</x:v>
      </x:c>
      <x:c r="H2831" s="87" t="n">
        <x:v>60</x:v>
      </x:c>
      <x:c r="I2831" s="87" t="n">
        <x:v>308</x:v>
      </x:c>
      <x:c r="J2831" s="68" t="n">
        <x:f>IFERROR(H2831/I2831,"")</x:f>
        <x:v>0.19480519480519481</x:v>
      </x:c>
      <x:c r="K2831" s="69" t="n">
        <x:f>IFERROR(I2831/H2831,"")</x:f>
        <x:v>5.133333333333334</x:v>
      </x:c>
      <x:c r="L2831" s="66" t="str">
        <x:f>IF(K2831="","","1 : "&amp;TEXT(K2831,"0.0"))</x:f>
        <x:v>1 : 5.1</x:v>
      </x:c>
      <x:c r="M2831" s="66" t="str">
        <x:f>IF(J2831="","Baru/Tanpa Data",IF(J2831&lt;='Catatan &amp; Sumber'!$B$14,"Sangat Ketat",IF(J2831&lt;='Catatan &amp; Sumber'!$B$15,"Ketat",IF(J2831&lt;='Catatan &amp; Sumber'!$B$16,"Sedang","Relatif Longgar"))))</x:f>
        <x:v>Relatif Longgar</x:v>
      </x:c>
      <x:c r="N2831" s="66" t="str">
        <x:v>Tidak Ada</x:v>
      </x:c>
      <x:c r="O2831" s="66" t="str">
        <x:v>Jawa Timur</x:v>
      </x:c>
      <x:c r="P2831" s="66" t="str">
        <x:v>Kota Surabaya</x:v>
      </x:c>
      <x:c r="Q2831" s="66" t="str">
        <x:v>https://snpmb.id/snbp/daya-tampung-snbp</x:v>
      </x:c>
      <x:c r="R2831" s="66" t="str">
        <x:v>https://sidatagrun-public-1076756628210.asia-southeast2.run.app/ptn_sn.php?ptn=382</x:v>
      </x:c>
    </x:row>
    <x:row r="2832">
      <x:c r="A2832" s="87" t="n">
        <x:v>2440</x:v>
      </x:c>
      <x:c r="B2832" s="66" t="n">
        <x:v>382</x:v>
      </x:c>
      <x:c r="C2832" s="66" t="str">
        <x:v>INSTITUT TEKNOLOGI SEPULUH NOPEMBER</x:v>
      </x:c>
      <x:c r="D2832" s="66" t="str">
        <x:v>PTN Akademik</x:v>
      </x:c>
      <x:c r="E2832" s="66" t="str">
        <x:v>13821005</x:v>
      </x:c>
      <x:c r="F2832" s="66" t="str">
        <x:v>BIOLOGI</x:v>
      </x:c>
      <x:c r="G2832" s="66" t="str">
        <x:v>Sarjana</x:v>
      </x:c>
      <x:c r="H2832" s="87" t="n">
        <x:v>36</x:v>
      </x:c>
      <x:c r="I2832" s="87" t="n">
        <x:v>179</x:v>
      </x:c>
      <x:c r="J2832" s="68" t="n">
        <x:f>IFERROR(H2832/I2832,"")</x:f>
        <x:v>0.2011173184357542</x:v>
      </x:c>
      <x:c r="K2832" s="69" t="n">
        <x:f>IFERROR(I2832/H2832,"")</x:f>
        <x:v>4.972222222222222</x:v>
      </x:c>
      <x:c r="L2832" s="66" t="str">
        <x:f>IF(K2832="","","1 : "&amp;TEXT(K2832,"0.0"))</x:f>
        <x:v>1 : 5.0</x:v>
      </x:c>
      <x:c r="M2832" s="66" t="str">
        <x:f>IF(J2832="","Baru/Tanpa Data",IF(J2832&lt;='Catatan &amp; Sumber'!$B$14,"Sangat Ketat",IF(J2832&lt;='Catatan &amp; Sumber'!$B$15,"Ketat",IF(J2832&lt;='Catatan &amp; Sumber'!$B$16,"Sedang","Relatif Longgar"))))</x:f>
        <x:v>Relatif Longgar</x:v>
      </x:c>
      <x:c r="N2832" s="66" t="str">
        <x:v>Tidak Ada</x:v>
      </x:c>
      <x:c r="O2832" s="66" t="str">
        <x:v>Jawa Timur</x:v>
      </x:c>
      <x:c r="P2832" s="66" t="str">
        <x:v>Kota Surabaya</x:v>
      </x:c>
      <x:c r="Q2832" s="66" t="str">
        <x:v>https://snpmb.id/snbp/daya-tampung-snbp</x:v>
      </x:c>
      <x:c r="R2832" s="66" t="str">
        <x:v>https://sidatagrun-public-1076756628210.asia-southeast2.run.app/ptn_sn.php?ptn=382</x:v>
      </x:c>
    </x:row>
    <x:row r="2833">
      <x:c r="A2833" s="87" t="n">
        <x:v>692</x:v>
      </x:c>
      <x:c r="B2833" s="66" t="n">
        <x:v>382</x:v>
      </x:c>
      <x:c r="C2833" s="66" t="str">
        <x:v>INSTITUT TEKNOLOGI SEPULUH NOPEMBER</x:v>
      </x:c>
      <x:c r="D2833" s="66" t="str">
        <x:v>PTN Akademik</x:v>
      </x:c>
      <x:c r="E2833" s="66" t="str">
        <x:v>13821006</x:v>
      </x:c>
      <x:c r="F2833" s="66" t="str">
        <x:v>TEKNIK MESIN</x:v>
      </x:c>
      <x:c r="G2833" s="66" t="str">
        <x:v>Sarjana</x:v>
      </x:c>
      <x:c r="H2833" s="87" t="n">
        <x:v>40</x:v>
      </x:c>
      <x:c r="I2833" s="87" t="n">
        <x:v>650</x:v>
      </x:c>
      <x:c r="J2833" s="68" t="n">
        <x:f>IFERROR(H2833/I2833,"")</x:f>
        <x:v>0.06153846153846154</x:v>
      </x:c>
      <x:c r="K2833" s="69" t="n">
        <x:f>IFERROR(I2833/H2833,"")</x:f>
        <x:v>16.25</x:v>
      </x:c>
      <x:c r="L2833" s="66" t="str">
        <x:f>IF(K2833="","","1 : "&amp;TEXT(K2833,"0.0"))</x:f>
        <x:v>1 : 16.3</x:v>
      </x:c>
      <x:c r="M2833" s="66" t="str">
        <x:f>IF(J2833="","Baru/Tanpa Data",IF(J2833&lt;='Catatan &amp; Sumber'!$B$14,"Sangat Ketat",IF(J2833&lt;='Catatan &amp; Sumber'!$B$15,"Ketat",IF(J2833&lt;='Catatan &amp; Sumber'!$B$16,"Sedang","Relatif Longgar"))))</x:f>
        <x:v>Sedang</x:v>
      </x:c>
      <x:c r="N2833" s="66" t="str">
        <x:v>Tidak Ada</x:v>
      </x:c>
      <x:c r="O2833" s="66" t="str">
        <x:v>Jawa Timur</x:v>
      </x:c>
      <x:c r="P2833" s="66" t="str">
        <x:v>Kota Surabaya</x:v>
      </x:c>
      <x:c r="Q2833" s="66" t="str">
        <x:v>https://snpmb.id/snbp/daya-tampung-snbp</x:v>
      </x:c>
      <x:c r="R2833" s="66" t="str">
        <x:v>https://sidatagrun-public-1076756628210.asia-southeast2.run.app/ptn_sn.php?ptn=382</x:v>
      </x:c>
    </x:row>
    <x:row r="2834">
      <x:c r="A2834" s="87" t="n">
        <x:v>851</x:v>
      </x:c>
      <x:c r="B2834" s="66" t="n">
        <x:v>382</x:v>
      </x:c>
      <x:c r="C2834" s="66" t="str">
        <x:v>INSTITUT TEKNOLOGI SEPULUH NOPEMBER</x:v>
      </x:c>
      <x:c r="D2834" s="66" t="str">
        <x:v>PTN Akademik</x:v>
      </x:c>
      <x:c r="E2834" s="66" t="str">
        <x:v>13821007</x:v>
      </x:c>
      <x:c r="F2834" s="66" t="str">
        <x:v>TEKNIK ELEKTRO</x:v>
      </x:c>
      <x:c r="G2834" s="66" t="str">
        <x:v>Sarjana</x:v>
      </x:c>
      <x:c r="H2834" s="87" t="n">
        <x:v>48</x:v>
      </x:c>
      <x:c r="I2834" s="87" t="n">
        <x:v>692</x:v>
      </x:c>
      <x:c r="J2834" s="68" t="n">
        <x:f>IFERROR(H2834/I2834,"")</x:f>
        <x:v>0.06936416184971098</x:v>
      </x:c>
      <x:c r="K2834" s="69" t="n">
        <x:f>IFERROR(I2834/H2834,"")</x:f>
        <x:v>14.416666666666666</x:v>
      </x:c>
      <x:c r="L2834" s="66" t="str">
        <x:f>IF(K2834="","","1 : "&amp;TEXT(K2834,"0.0"))</x:f>
        <x:v>1 : 14.4</x:v>
      </x:c>
      <x:c r="M2834" s="66" t="str">
        <x:f>IF(J2834="","Baru/Tanpa Data",IF(J2834&lt;='Catatan &amp; Sumber'!$B$14,"Sangat Ketat",IF(J2834&lt;='Catatan &amp; Sumber'!$B$15,"Ketat",IF(J2834&lt;='Catatan &amp; Sumber'!$B$16,"Sedang","Relatif Longgar"))))</x:f>
        <x:v>Sedang</x:v>
      </x:c>
      <x:c r="N2834" s="66" t="str">
        <x:v>Tidak Ada</x:v>
      </x:c>
      <x:c r="O2834" s="66" t="str">
        <x:v>Jawa Timur</x:v>
      </x:c>
      <x:c r="P2834" s="66" t="str">
        <x:v>Kota Surabaya</x:v>
      </x:c>
      <x:c r="Q2834" s="66" t="str">
        <x:v>https://snpmb.id/snbp/daya-tampung-snbp</x:v>
      </x:c>
      <x:c r="R2834" s="66" t="str">
        <x:v>https://sidatagrun-public-1076756628210.asia-southeast2.run.app/ptn_sn.php?ptn=382</x:v>
      </x:c>
    </x:row>
    <x:row r="2835">
      <x:c r="A2835" s="87" t="n">
        <x:v>797</x:v>
      </x:c>
      <x:c r="B2835" s="66" t="n">
        <x:v>382</x:v>
      </x:c>
      <x:c r="C2835" s="66" t="str">
        <x:v>INSTITUT TEKNOLOGI SEPULUH NOPEMBER</x:v>
      </x:c>
      <x:c r="D2835" s="66" t="str">
        <x:v>PTN Akademik</x:v>
      </x:c>
      <x:c r="E2835" s="66" t="str">
        <x:v>13821008</x:v>
      </x:c>
      <x:c r="F2835" s="66" t="str">
        <x:v>TEKNIK KIMIA</x:v>
      </x:c>
      <x:c r="G2835" s="66" t="str">
        <x:v>Sarjana</x:v>
      </x:c>
      <x:c r="H2835" s="87" t="n">
        <x:v>40</x:v>
      </x:c>
      <x:c r="I2835" s="87" t="n">
        <x:v>601</x:v>
      </x:c>
      <x:c r="J2835" s="68" t="n">
        <x:f>IFERROR(H2835/I2835,"")</x:f>
        <x:v>0.06655574043261231</x:v>
      </x:c>
      <x:c r="K2835" s="69" t="n">
        <x:f>IFERROR(I2835/H2835,"")</x:f>
        <x:v>15.025</x:v>
      </x:c>
      <x:c r="L2835" s="66" t="str">
        <x:f>IF(K2835="","","1 : "&amp;TEXT(K2835,"0.0"))</x:f>
        <x:v>1 : 15.0</x:v>
      </x:c>
      <x:c r="M2835" s="66" t="str">
        <x:f>IF(J2835="","Baru/Tanpa Data",IF(J2835&lt;='Catatan &amp; Sumber'!$B$14,"Sangat Ketat",IF(J2835&lt;='Catatan &amp; Sumber'!$B$15,"Ketat",IF(J2835&lt;='Catatan &amp; Sumber'!$B$16,"Sedang","Relatif Longgar"))))</x:f>
        <x:v>Sedang</x:v>
      </x:c>
      <x:c r="N2835" s="66" t="str">
        <x:v>Tidak Ada</x:v>
      </x:c>
      <x:c r="O2835" s="66" t="str">
        <x:v>Jawa Timur</x:v>
      </x:c>
      <x:c r="P2835" s="66" t="str">
        <x:v>Kota Surabaya</x:v>
      </x:c>
      <x:c r="Q2835" s="66" t="str">
        <x:v>https://snpmb.id/snbp/daya-tampung-snbp</x:v>
      </x:c>
      <x:c r="R2835" s="66" t="str">
        <x:v>https://sidatagrun-public-1076756628210.asia-southeast2.run.app/ptn_sn.php?ptn=382</x:v>
      </x:c>
    </x:row>
    <x:row r="2836">
      <x:c r="A2836" s="87" t="n">
        <x:v>1798</x:v>
      </x:c>
      <x:c r="B2836" s="66" t="n">
        <x:v>382</x:v>
      </x:c>
      <x:c r="C2836" s="66" t="str">
        <x:v>INSTITUT TEKNOLOGI SEPULUH NOPEMBER</x:v>
      </x:c>
      <x:c r="D2836" s="66" t="str">
        <x:v>PTN Akademik</x:v>
      </x:c>
      <x:c r="E2836" s="66" t="str">
        <x:v>13821009</x:v>
      </x:c>
      <x:c r="F2836" s="66" t="str">
        <x:v>TEKNIK FISIKA</x:v>
      </x:c>
      <x:c r="G2836" s="66" t="str">
        <x:v>Sarjana</x:v>
      </x:c>
      <x:c r="H2836" s="87" t="n">
        <x:v>40</x:v>
      </x:c>
      <x:c r="I2836" s="87" t="n">
        <x:v>302</x:v>
      </x:c>
      <x:c r="J2836" s="68" t="n">
        <x:f>IFERROR(H2836/I2836,"")</x:f>
        <x:v>0.13245033112582782</x:v>
      </x:c>
      <x:c r="K2836" s="69" t="n">
        <x:f>IFERROR(I2836/H2836,"")</x:f>
        <x:v>7.55</x:v>
      </x:c>
      <x:c r="L2836" s="66" t="str">
        <x:f>IF(K2836="","","1 : "&amp;TEXT(K2836,"0.0"))</x:f>
        <x:v>1 : 7.6</x:v>
      </x:c>
      <x:c r="M2836" s="66" t="str">
        <x:f>IF(J2836="","Baru/Tanpa Data",IF(J2836&lt;='Catatan &amp; Sumber'!$B$14,"Sangat Ketat",IF(J2836&lt;='Catatan &amp; Sumber'!$B$15,"Ketat",IF(J2836&lt;='Catatan &amp; Sumber'!$B$16,"Sedang","Relatif Longgar"))))</x:f>
        <x:v>Relatif Longgar</x:v>
      </x:c>
      <x:c r="N2836" s="66" t="str">
        <x:v>Tidak Ada</x:v>
      </x:c>
      <x:c r="O2836" s="66" t="str">
        <x:v>Jawa Timur</x:v>
      </x:c>
      <x:c r="P2836" s="66" t="str">
        <x:v>Kota Surabaya</x:v>
      </x:c>
      <x:c r="Q2836" s="66" t="str">
        <x:v>https://snpmb.id/snbp/daya-tampung-snbp</x:v>
      </x:c>
      <x:c r="R2836" s="66" t="str">
        <x:v>https://sidatagrun-public-1076756628210.asia-southeast2.run.app/ptn_sn.php?ptn=382</x:v>
      </x:c>
    </x:row>
    <x:row r="2837">
      <x:c r="A2837" s="87" t="n">
        <x:v>411</x:v>
      </x:c>
      <x:c r="B2837" s="66" t="n">
        <x:v>382</x:v>
      </x:c>
      <x:c r="C2837" s="66" t="str">
        <x:v>INSTITUT TEKNOLOGI SEPULUH NOPEMBER</x:v>
      </x:c>
      <x:c r="D2837" s="66" t="str">
        <x:v>PTN Akademik</x:v>
      </x:c>
      <x:c r="E2837" s="66" t="str">
        <x:v>13821010</x:v>
      </x:c>
      <x:c r="F2837" s="66" t="str">
        <x:v>TEKNIK INDUSTRI</x:v>
      </x:c>
      <x:c r="G2837" s="66" t="str">
        <x:v>Sarjana</x:v>
      </x:c>
      <x:c r="H2837" s="87" t="n">
        <x:v>40</x:v>
      </x:c>
      <x:c r="I2837" s="87" t="n">
        <x:v>846</x:v>
      </x:c>
      <x:c r="J2837" s="68" t="n">
        <x:f>IFERROR(H2837/I2837,"")</x:f>
        <x:v>0.04728132387706856</x:v>
      </x:c>
      <x:c r="K2837" s="69" t="n">
        <x:f>IFERROR(I2837/H2837,"")</x:f>
        <x:v>21.15</x:v>
      </x:c>
      <x:c r="L2837" s="66" t="str">
        <x:f>IF(K2837="","","1 : "&amp;TEXT(K2837,"0.0"))</x:f>
        <x:v>1 : 21.2</x:v>
      </x:c>
      <x:c r="M2837" s="66" t="str">
        <x:f>IF(J2837="","Baru/Tanpa Data",IF(J2837&lt;='Catatan &amp; Sumber'!$B$14,"Sangat Ketat",IF(J2837&lt;='Catatan &amp; Sumber'!$B$15,"Ketat",IF(J2837&lt;='Catatan &amp; Sumber'!$B$16,"Sedang","Relatif Longgar"))))</x:f>
        <x:v>Ketat</x:v>
      </x:c>
      <x:c r="N2837" s="66" t="str">
        <x:v>Tidak Ada</x:v>
      </x:c>
      <x:c r="O2837" s="66" t="str">
        <x:v>Jawa Timur</x:v>
      </x:c>
      <x:c r="P2837" s="66" t="str">
        <x:v>Kota Surabaya</x:v>
      </x:c>
      <x:c r="Q2837" s="66" t="str">
        <x:v>https://snpmb.id/snbp/daya-tampung-snbp</x:v>
      </x:c>
      <x:c r="R2837" s="66" t="str">
        <x:v>https://sidatagrun-public-1076756628210.asia-southeast2.run.app/ptn_sn.php?ptn=382</x:v>
      </x:c>
    </x:row>
    <x:row r="2838">
      <x:c r="A2838" s="87" t="n">
        <x:v>1167</x:v>
      </x:c>
      <x:c r="B2838" s="66" t="n">
        <x:v>382</x:v>
      </x:c>
      <x:c r="C2838" s="66" t="str">
        <x:v>INSTITUT TEKNOLOGI SEPULUH NOPEMBER</x:v>
      </x:c>
      <x:c r="D2838" s="66" t="str">
        <x:v>PTN Akademik</x:v>
      </x:c>
      <x:c r="E2838" s="66" t="str">
        <x:v>13821011</x:v>
      </x:c>
      <x:c r="F2838" s="66" t="str">
        <x:v>TEKNIK MATERIAL</x:v>
      </x:c>
      <x:c r="G2838" s="66" t="str">
        <x:v>Sarjana</x:v>
      </x:c>
      <x:c r="H2838" s="87" t="n">
        <x:v>40</x:v>
      </x:c>
      <x:c r="I2838" s="87" t="n">
        <x:v>455</x:v>
      </x:c>
      <x:c r="J2838" s="68" t="n">
        <x:f>IFERROR(H2838/I2838,"")</x:f>
        <x:v>0.08791208791208792</x:v>
      </x:c>
      <x:c r="K2838" s="69" t="n">
        <x:f>IFERROR(I2838/H2838,"")</x:f>
        <x:v>11.375</x:v>
      </x:c>
      <x:c r="L2838" s="66" t="str">
        <x:f>IF(K2838="","","1 : "&amp;TEXT(K2838,"0.0"))</x:f>
        <x:v>1 : 11.4</x:v>
      </x:c>
      <x:c r="M2838" s="66" t="str">
        <x:f>IF(J2838="","Baru/Tanpa Data",IF(J2838&lt;='Catatan &amp; Sumber'!$B$14,"Sangat Ketat",IF(J2838&lt;='Catatan &amp; Sumber'!$B$15,"Ketat",IF(J2838&lt;='Catatan &amp; Sumber'!$B$16,"Sedang","Relatif Longgar"))))</x:f>
        <x:v>Sedang</x:v>
      </x:c>
      <x:c r="N2838" s="66" t="str">
        <x:v>Tidak Ada</x:v>
      </x:c>
      <x:c r="O2838" s="66" t="str">
        <x:v>Jawa Timur</x:v>
      </x:c>
      <x:c r="P2838" s="66" t="str">
        <x:v>Kota Surabaya</x:v>
      </x:c>
      <x:c r="Q2838" s="66" t="str">
        <x:v>https://snpmb.id/snbp/daya-tampung-snbp</x:v>
      </x:c>
      <x:c r="R2838" s="66" t="str">
        <x:v>https://sidatagrun-public-1076756628210.asia-southeast2.run.app/ptn_sn.php?ptn=382</x:v>
      </x:c>
    </x:row>
    <x:row r="2839">
      <x:c r="A2839" s="87" t="n">
        <x:v>559</x:v>
      </x:c>
      <x:c r="B2839" s="66" t="n">
        <x:v>382</x:v>
      </x:c>
      <x:c r="C2839" s="66" t="str">
        <x:v>INSTITUT TEKNOLOGI SEPULUH NOPEMBER</x:v>
      </x:c>
      <x:c r="D2839" s="66" t="str">
        <x:v>PTN Akademik</x:v>
      </x:c>
      <x:c r="E2839" s="66" t="str">
        <x:v>13821012</x:v>
      </x:c>
      <x:c r="F2839" s="66" t="str">
        <x:v>TEKNIK SIPIL</x:v>
      </x:c>
      <x:c r="G2839" s="66" t="str">
        <x:v>Sarjana</x:v>
      </x:c>
      <x:c r="H2839" s="87" t="n">
        <x:v>39</x:v>
      </x:c>
      <x:c r="I2839" s="87" t="n">
        <x:v>715</x:v>
      </x:c>
      <x:c r="J2839" s="68" t="n">
        <x:f>IFERROR(H2839/I2839,"")</x:f>
        <x:v>0.05454545454545454</x:v>
      </x:c>
      <x:c r="K2839" s="69" t="n">
        <x:f>IFERROR(I2839/H2839,"")</x:f>
        <x:v>18.333333333333332</x:v>
      </x:c>
      <x:c r="L2839" s="66" t="str">
        <x:f>IF(K2839="","","1 : "&amp;TEXT(K2839,"0.0"))</x:f>
        <x:v>1 : 18.3</x:v>
      </x:c>
      <x:c r="M2839" s="66" t="str">
        <x:f>IF(J2839="","Baru/Tanpa Data",IF(J2839&lt;='Catatan &amp; Sumber'!$B$14,"Sangat Ketat",IF(J2839&lt;='Catatan &amp; Sumber'!$B$15,"Ketat",IF(J2839&lt;='Catatan &amp; Sumber'!$B$16,"Sedang","Relatif Longgar"))))</x:f>
        <x:v>Sedang</x:v>
      </x:c>
      <x:c r="N2839" s="66" t="str">
        <x:v>Tidak Ada</x:v>
      </x:c>
      <x:c r="O2839" s="66" t="str">
        <x:v>Jawa Timur</x:v>
      </x:c>
      <x:c r="P2839" s="66" t="str">
        <x:v>Kota Surabaya</x:v>
      </x:c>
      <x:c r="Q2839" s="66" t="str">
        <x:v>https://snpmb.id/snbp/daya-tampung-snbp</x:v>
      </x:c>
      <x:c r="R2839" s="66" t="str">
        <x:v>https://sidatagrun-public-1076756628210.asia-southeast2.run.app/ptn_sn.php?ptn=382</x:v>
      </x:c>
    </x:row>
    <x:row r="2840">
      <x:c r="A2840" s="87" t="n">
        <x:v>698</x:v>
      </x:c>
      <x:c r="B2840" s="66" t="n">
        <x:v>382</x:v>
      </x:c>
      <x:c r="C2840" s="66" t="str">
        <x:v>INSTITUT TEKNOLOGI SEPULUH NOPEMBER</x:v>
      </x:c>
      <x:c r="D2840" s="66" t="str">
        <x:v>PTN Akademik</x:v>
      </x:c>
      <x:c r="E2840" s="66" t="str">
        <x:v>13821013</x:v>
      </x:c>
      <x:c r="F2840" s="66" t="str">
        <x:v>ARSITEKTUR</x:v>
      </x:c>
      <x:c r="G2840" s="66" t="str">
        <x:v>Sarjana</x:v>
      </x:c>
      <x:c r="H2840" s="87" t="n">
        <x:v>24</x:v>
      </x:c>
      <x:c r="I2840" s="87" t="n">
        <x:v>388</x:v>
      </x:c>
      <x:c r="J2840" s="68" t="n">
        <x:f>IFERROR(H2840/I2840,"")</x:f>
        <x:v>0.061855670103092786</x:v>
      </x:c>
      <x:c r="K2840" s="69" t="n">
        <x:f>IFERROR(I2840/H2840,"")</x:f>
        <x:v>16.166666666666668</x:v>
      </x:c>
      <x:c r="L2840" s="66" t="str">
        <x:f>IF(K2840="","","1 : "&amp;TEXT(K2840,"0.0"))</x:f>
        <x:v>1 : 16.2</x:v>
      </x:c>
      <x:c r="M2840" s="66" t="str">
        <x:f>IF(J2840="","Baru/Tanpa Data",IF(J2840&lt;='Catatan &amp; Sumber'!$B$14,"Sangat Ketat",IF(J2840&lt;='Catatan &amp; Sumber'!$B$15,"Ketat",IF(J2840&lt;='Catatan &amp; Sumber'!$B$16,"Sedang","Relatif Longgar"))))</x:f>
        <x:v>Sedang</x:v>
      </x:c>
      <x:c r="N2840" s="66" t="str">
        <x:v>Tidak Ada</x:v>
      </x:c>
      <x:c r="O2840" s="66" t="str">
        <x:v>Jawa Timur</x:v>
      </x:c>
      <x:c r="P2840" s="66" t="str">
        <x:v>Kota Surabaya</x:v>
      </x:c>
      <x:c r="Q2840" s="66" t="str">
        <x:v>https://snpmb.id/snbp/daya-tampung-snbp</x:v>
      </x:c>
      <x:c r="R2840" s="66" t="str">
        <x:v>https://sidatagrun-public-1076756628210.asia-southeast2.run.app/ptn_sn.php?ptn=382</x:v>
      </x:c>
    </x:row>
    <x:row r="2841">
      <x:c r="A2841" s="87" t="n">
        <x:v>727</x:v>
      </x:c>
      <x:c r="B2841" s="66" t="n">
        <x:v>382</x:v>
      </x:c>
      <x:c r="C2841" s="66" t="str">
        <x:v>INSTITUT TEKNOLOGI SEPULUH NOPEMBER</x:v>
      </x:c>
      <x:c r="D2841" s="66" t="str">
        <x:v>PTN Akademik</x:v>
      </x:c>
      <x:c r="E2841" s="66" t="str">
        <x:v>13821014</x:v>
      </x:c>
      <x:c r="F2841" s="66" t="str">
        <x:v>TEKNIK LINGKUNGAN</x:v>
      </x:c>
      <x:c r="G2841" s="66" t="str">
        <x:v>Sarjana</x:v>
      </x:c>
      <x:c r="H2841" s="87" t="n">
        <x:v>26</x:v>
      </x:c>
      <x:c r="I2841" s="87" t="n">
        <x:v>409</x:v>
      </x:c>
      <x:c r="J2841" s="68" t="n">
        <x:f>IFERROR(H2841/I2841,"")</x:f>
        <x:v>0.06356968215158924</x:v>
      </x:c>
      <x:c r="K2841" s="69" t="n">
        <x:f>IFERROR(I2841/H2841,"")</x:f>
        <x:v>15.73076923076923</x:v>
      </x:c>
      <x:c r="L2841" s="66" t="str">
        <x:f>IF(K2841="","","1 : "&amp;TEXT(K2841,"0.0"))</x:f>
        <x:v>1 : 15.7</x:v>
      </x:c>
      <x:c r="M2841" s="66" t="str">
        <x:f>IF(J2841="","Baru/Tanpa Data",IF(J2841&lt;='Catatan &amp; Sumber'!$B$14,"Sangat Ketat",IF(J2841&lt;='Catatan &amp; Sumber'!$B$15,"Ketat",IF(J2841&lt;='Catatan &amp; Sumber'!$B$16,"Sedang","Relatif Longgar"))))</x:f>
        <x:v>Sedang</x:v>
      </x:c>
      <x:c r="N2841" s="66" t="str">
        <x:v>Tidak Ada</x:v>
      </x:c>
      <x:c r="O2841" s="66" t="str">
        <x:v>Jawa Timur</x:v>
      </x:c>
      <x:c r="P2841" s="66" t="str">
        <x:v>Kota Surabaya</x:v>
      </x:c>
      <x:c r="Q2841" s="66" t="str">
        <x:v>https://snpmb.id/snbp/daya-tampung-snbp</x:v>
      </x:c>
      <x:c r="R2841" s="66" t="str">
        <x:v>https://sidatagrun-public-1076756628210.asia-southeast2.run.app/ptn_sn.php?ptn=382</x:v>
      </x:c>
    </x:row>
    <x:row r="2842">
      <x:c r="A2842" s="87" t="n">
        <x:v>1187</x:v>
      </x:c>
      <x:c r="B2842" s="66" t="n">
        <x:v>382</x:v>
      </x:c>
      <x:c r="C2842" s="66" t="str">
        <x:v>INSTITUT TEKNOLOGI SEPULUH NOPEMBER</x:v>
      </x:c>
      <x:c r="D2842" s="66" t="str">
        <x:v>PTN Akademik</x:v>
      </x:c>
      <x:c r="E2842" s="66" t="str">
        <x:v>13821015</x:v>
      </x:c>
      <x:c r="F2842" s="66" t="str">
        <x:v>TEKNIK GEOMATIKA</x:v>
      </x:c>
      <x:c r="G2842" s="66" t="str">
        <x:v>Sarjana</x:v>
      </x:c>
      <x:c r="H2842" s="87" t="n">
        <x:v>26</x:v>
      </x:c>
      <x:c r="I2842" s="87" t="n">
        <x:v>292</x:v>
      </x:c>
      <x:c r="J2842" s="68" t="n">
        <x:f>IFERROR(H2842/I2842,"")</x:f>
        <x:v>0.08904109589041095</x:v>
      </x:c>
      <x:c r="K2842" s="69" t="n">
        <x:f>IFERROR(I2842/H2842,"")</x:f>
        <x:v>11.23076923076923</x:v>
      </x:c>
      <x:c r="L2842" s="66" t="str">
        <x:f>IF(K2842="","","1 : "&amp;TEXT(K2842,"0.0"))</x:f>
        <x:v>1 : 11.2</x:v>
      </x:c>
      <x:c r="M2842" s="66" t="str">
        <x:f>IF(J2842="","Baru/Tanpa Data",IF(J2842&lt;='Catatan &amp; Sumber'!$B$14,"Sangat Ketat",IF(J2842&lt;='Catatan &amp; Sumber'!$B$15,"Ketat",IF(J2842&lt;='Catatan &amp; Sumber'!$B$16,"Sedang","Relatif Longgar"))))</x:f>
        <x:v>Sedang</x:v>
      </x:c>
      <x:c r="N2842" s="66" t="str">
        <x:v>Tidak Ada</x:v>
      </x:c>
      <x:c r="O2842" s="66" t="str">
        <x:v>Jawa Timur</x:v>
      </x:c>
      <x:c r="P2842" s="66" t="str">
        <x:v>Kota Surabaya</x:v>
      </x:c>
      <x:c r="Q2842" s="66" t="str">
        <x:v>https://snpmb.id/snbp/daya-tampung-snbp</x:v>
      </x:c>
      <x:c r="R2842" s="66" t="str">
        <x:v>https://sidatagrun-public-1076756628210.asia-southeast2.run.app/ptn_sn.php?ptn=382</x:v>
      </x:c>
    </x:row>
    <x:row r="2843">
      <x:c r="A2843" s="87" t="n">
        <x:v>1493</x:v>
      </x:c>
      <x:c r="B2843" s="66" t="n">
        <x:v>382</x:v>
      </x:c>
      <x:c r="C2843" s="66" t="str">
        <x:v>INSTITUT TEKNOLOGI SEPULUH NOPEMBER</x:v>
      </x:c>
      <x:c r="D2843" s="66" t="str">
        <x:v>PTN Akademik</x:v>
      </x:c>
      <x:c r="E2843" s="66" t="str">
        <x:v>13821016</x:v>
      </x:c>
      <x:c r="F2843" s="66" t="str">
        <x:v>PERENCANAAN WILAYAH DAN KOTA</x:v>
      </x:c>
      <x:c r="G2843" s="66" t="str">
        <x:v>Sarjana</x:v>
      </x:c>
      <x:c r="H2843" s="87" t="n">
        <x:v>34</x:v>
      </x:c>
      <x:c r="I2843" s="87" t="n">
        <x:v>312</x:v>
      </x:c>
      <x:c r="J2843" s="68" t="n">
        <x:f>IFERROR(H2843/I2843,"")</x:f>
        <x:v>0.10897435897435898</x:v>
      </x:c>
      <x:c r="K2843" s="69" t="n">
        <x:f>IFERROR(I2843/H2843,"")</x:f>
        <x:v>9.176470588235293</x:v>
      </x:c>
      <x:c r="L2843" s="66" t="str">
        <x:f>IF(K2843="","","1 : "&amp;TEXT(K2843,"0.0"))</x:f>
        <x:v>1 : 9.2</x:v>
      </x:c>
      <x:c r="M2843" s="66" t="str">
        <x:f>IF(J2843="","Baru/Tanpa Data",IF(J2843&lt;='Catatan &amp; Sumber'!$B$14,"Sangat Ketat",IF(J2843&lt;='Catatan &amp; Sumber'!$B$15,"Ketat",IF(J2843&lt;='Catatan &amp; Sumber'!$B$16,"Sedang","Relatif Longgar"))))</x:f>
        <x:v>Relatif Longgar</x:v>
      </x:c>
      <x:c r="N2843" s="66" t="str">
        <x:v>Tidak Ada</x:v>
      </x:c>
      <x:c r="O2843" s="66" t="str">
        <x:v>Jawa Timur</x:v>
      </x:c>
      <x:c r="P2843" s="66" t="str">
        <x:v>Kota Surabaya</x:v>
      </x:c>
      <x:c r="Q2843" s="66" t="str">
        <x:v>https://snpmb.id/snbp/daya-tampung-snbp</x:v>
      </x:c>
      <x:c r="R2843" s="66" t="str">
        <x:v>https://sidatagrun-public-1076756628210.asia-southeast2.run.app/ptn_sn.php?ptn=382</x:v>
      </x:c>
    </x:row>
    <x:row r="2844">
      <x:c r="A2844" s="87" t="n">
        <x:v>1070</x:v>
      </x:c>
      <x:c r="B2844" s="66" t="n">
        <x:v>382</x:v>
      </x:c>
      <x:c r="C2844" s="66" t="str">
        <x:v>INSTITUT TEKNOLOGI SEPULUH NOPEMBER</x:v>
      </x:c>
      <x:c r="D2844" s="66" t="str">
        <x:v>PTN Akademik</x:v>
      </x:c>
      <x:c r="E2844" s="66" t="str">
        <x:v>13821017</x:v>
      </x:c>
      <x:c r="F2844" s="66" t="str">
        <x:v>TEKNIK PERKAPALAN</x:v>
      </x:c>
      <x:c r="G2844" s="66" t="str">
        <x:v>Sarjana</x:v>
      </x:c>
      <x:c r="H2844" s="87" t="n">
        <x:v>24</x:v>
      </x:c>
      <x:c r="I2844" s="87" t="n">
        <x:v>293</x:v>
      </x:c>
      <x:c r="J2844" s="68" t="n">
        <x:f>IFERROR(H2844/I2844,"")</x:f>
        <x:v>0.08191126279863481</x:v>
      </x:c>
      <x:c r="K2844" s="69" t="n">
        <x:f>IFERROR(I2844/H2844,"")</x:f>
        <x:v>12.208333333333334</x:v>
      </x:c>
      <x:c r="L2844" s="66" t="str">
        <x:f>IF(K2844="","","1 : "&amp;TEXT(K2844,"0.0"))</x:f>
        <x:v>1 : 12.2</x:v>
      </x:c>
      <x:c r="M2844" s="66" t="str">
        <x:f>IF(J2844="","Baru/Tanpa Data",IF(J2844&lt;='Catatan &amp; Sumber'!$B$14,"Sangat Ketat",IF(J2844&lt;='Catatan &amp; Sumber'!$B$15,"Ketat",IF(J2844&lt;='Catatan &amp; Sumber'!$B$16,"Sedang","Relatif Longgar"))))</x:f>
        <x:v>Sedang</x:v>
      </x:c>
      <x:c r="N2844" s="66" t="str">
        <x:v>Tidak Ada</x:v>
      </x:c>
      <x:c r="O2844" s="66" t="str">
        <x:v>Jawa Timur</x:v>
      </x:c>
      <x:c r="P2844" s="66" t="str">
        <x:v>Kota Surabaya</x:v>
      </x:c>
      <x:c r="Q2844" s="66" t="str">
        <x:v>https://snpmb.id/snbp/daya-tampung-snbp</x:v>
      </x:c>
      <x:c r="R2844" s="66" t="str">
        <x:v>https://sidatagrun-public-1076756628210.asia-southeast2.run.app/ptn_sn.php?ptn=382</x:v>
      </x:c>
    </x:row>
    <x:row r="2845">
      <x:c r="A2845" s="87" t="n">
        <x:v>1356</x:v>
      </x:c>
      <x:c r="B2845" s="66" t="n">
        <x:v>382</x:v>
      </x:c>
      <x:c r="C2845" s="66" t="str">
        <x:v>INSTITUT TEKNOLOGI SEPULUH NOPEMBER</x:v>
      </x:c>
      <x:c r="D2845" s="66" t="str">
        <x:v>PTN Akademik</x:v>
      </x:c>
      <x:c r="E2845" s="66" t="str">
        <x:v>13821018</x:v>
      </x:c>
      <x:c r="F2845" s="66" t="str">
        <x:v>TEKNIK KELAUTAN</x:v>
      </x:c>
      <x:c r="G2845" s="66" t="str">
        <x:v>Sarjana</x:v>
      </x:c>
      <x:c r="H2845" s="87" t="n">
        <x:v>24</x:v>
      </x:c>
      <x:c r="I2845" s="87" t="n">
        <x:v>243</x:v>
      </x:c>
      <x:c r="J2845" s="68" t="n">
        <x:f>IFERROR(H2845/I2845,"")</x:f>
        <x:v>0.09876543209876543</x:v>
      </x:c>
      <x:c r="K2845" s="69" t="n">
        <x:f>IFERROR(I2845/H2845,"")</x:f>
        <x:v>10.125</x:v>
      </x:c>
      <x:c r="L2845" s="66" t="str">
        <x:f>IF(K2845="","","1 : "&amp;TEXT(K2845,"0.0"))</x:f>
        <x:v>1 : 10.1</x:v>
      </x:c>
      <x:c r="M2845" s="66" t="str">
        <x:f>IF(J2845="","Baru/Tanpa Data",IF(J2845&lt;='Catatan &amp; Sumber'!$B$14,"Sangat Ketat",IF(J2845&lt;='Catatan &amp; Sumber'!$B$15,"Ketat",IF(J2845&lt;='Catatan &amp; Sumber'!$B$16,"Sedang","Relatif Longgar"))))</x:f>
        <x:v>Sedang</x:v>
      </x:c>
      <x:c r="N2845" s="66" t="str">
        <x:v>Tidak Ada</x:v>
      </x:c>
      <x:c r="O2845" s="66" t="str">
        <x:v>Jawa Timur</x:v>
      </x:c>
      <x:c r="P2845" s="66" t="str">
        <x:v>Kota Surabaya</x:v>
      </x:c>
      <x:c r="Q2845" s="66" t="str">
        <x:v>https://snpmb.id/snbp/daya-tampung-snbp</x:v>
      </x:c>
      <x:c r="R2845" s="66" t="str">
        <x:v>https://sidatagrun-public-1076756628210.asia-southeast2.run.app/ptn_sn.php?ptn=382</x:v>
      </x:c>
    </x:row>
    <x:row r="2846">
      <x:c r="A2846" s="87" t="n">
        <x:v>1605</x:v>
      </x:c>
      <x:c r="B2846" s="66" t="n">
        <x:v>382</x:v>
      </x:c>
      <x:c r="C2846" s="66" t="str">
        <x:v>INSTITUT TEKNOLOGI SEPULUH NOPEMBER</x:v>
      </x:c>
      <x:c r="D2846" s="66" t="str">
        <x:v>PTN Akademik</x:v>
      </x:c>
      <x:c r="E2846" s="66" t="str">
        <x:v>13821019</x:v>
      </x:c>
      <x:c r="F2846" s="66" t="str">
        <x:v>TEKNIK SISTEM PERKAPALAN</x:v>
      </x:c>
      <x:c r="G2846" s="66" t="str">
        <x:v>Sarjana</x:v>
      </x:c>
      <x:c r="H2846" s="87" t="n">
        <x:v>28</x:v>
      </x:c>
      <x:c r="I2846" s="87" t="n">
        <x:v>240</x:v>
      </x:c>
      <x:c r="J2846" s="68" t="n">
        <x:f>IFERROR(H2846/I2846,"")</x:f>
        <x:v>0.11666666666666667</x:v>
      </x:c>
      <x:c r="K2846" s="69" t="n">
        <x:f>IFERROR(I2846/H2846,"")</x:f>
        <x:v>8.571428571428571</x:v>
      </x:c>
      <x:c r="L2846" s="66" t="str">
        <x:f>IF(K2846="","","1 : "&amp;TEXT(K2846,"0.0"))</x:f>
        <x:v>1 : 8.6</x:v>
      </x:c>
      <x:c r="M2846" s="66" t="str">
        <x:f>IF(J2846="","Baru/Tanpa Data",IF(J2846&lt;='Catatan &amp; Sumber'!$B$14,"Sangat Ketat",IF(J2846&lt;='Catatan &amp; Sumber'!$B$15,"Ketat",IF(J2846&lt;='Catatan &amp; Sumber'!$B$16,"Sedang","Relatif Longgar"))))</x:f>
        <x:v>Relatif Longgar</x:v>
      </x:c>
      <x:c r="N2846" s="66" t="str">
        <x:v>Tidak Ada</x:v>
      </x:c>
      <x:c r="O2846" s="66" t="str">
        <x:v>Jawa Timur</x:v>
      </x:c>
      <x:c r="P2846" s="66" t="str">
        <x:v>Kota Surabaya</x:v>
      </x:c>
      <x:c r="Q2846" s="66" t="str">
        <x:v>https://snpmb.id/snbp/daya-tampung-snbp</x:v>
      </x:c>
      <x:c r="R2846" s="66" t="str">
        <x:v>https://sidatagrun-public-1076756628210.asia-southeast2.run.app/ptn_sn.php?ptn=382</x:v>
      </x:c>
    </x:row>
    <x:row r="2847">
      <x:c r="A2847" s="87" t="n">
        <x:v>290</x:v>
      </x:c>
      <x:c r="B2847" s="66" t="n">
        <x:v>382</x:v>
      </x:c>
      <x:c r="C2847" s="66" t="str">
        <x:v>INSTITUT TEKNOLOGI SEPULUH NOPEMBER</x:v>
      </x:c>
      <x:c r="D2847" s="66" t="str">
        <x:v>PTN Akademik</x:v>
      </x:c>
      <x:c r="E2847" s="66" t="str">
        <x:v>13821020</x:v>
      </x:c>
      <x:c r="F2847" s="66" t="str">
        <x:v>TEKNIK INFORMATIKA</x:v>
      </x:c>
      <x:c r="G2847" s="66" t="str">
        <x:v>Sarjana</x:v>
      </x:c>
      <x:c r="H2847" s="87" t="n">
        <x:v>60</x:v>
      </x:c>
      <x:c r="I2847" s="87" t="n">
        <x:v>1431</x:v>
      </x:c>
      <x:c r="J2847" s="68" t="n">
        <x:f>IFERROR(H2847/I2847,"")</x:f>
        <x:v>0.041928721174004195</x:v>
      </x:c>
      <x:c r="K2847" s="69" t="n">
        <x:f>IFERROR(I2847/H2847,"")</x:f>
        <x:v>23.85</x:v>
      </x:c>
      <x:c r="L2847" s="66" t="str">
        <x:f>IF(K2847="","","1 : "&amp;TEXT(K2847,"0.0"))</x:f>
        <x:v>1 : 23.9</x:v>
      </x:c>
      <x:c r="M2847" s="66" t="str">
        <x:f>IF(J2847="","Baru/Tanpa Data",IF(J2847&lt;='Catatan &amp; Sumber'!$B$14,"Sangat Ketat",IF(J2847&lt;='Catatan &amp; Sumber'!$B$15,"Ketat",IF(J2847&lt;='Catatan &amp; Sumber'!$B$16,"Sedang","Relatif Longgar"))))</x:f>
        <x:v>Ketat</x:v>
      </x:c>
      <x:c r="N2847" s="66" t="str">
        <x:v>Tidak Ada</x:v>
      </x:c>
      <x:c r="O2847" s="66" t="str">
        <x:v>Jawa Timur</x:v>
      </x:c>
      <x:c r="P2847" s="66" t="str">
        <x:v>Kota Surabaya</x:v>
      </x:c>
      <x:c r="Q2847" s="66" t="str">
        <x:v>https://snpmb.id/snbp/daya-tampung-snbp</x:v>
      </x:c>
      <x:c r="R2847" s="66" t="str">
        <x:v>https://sidatagrun-public-1076756628210.asia-southeast2.run.app/ptn_sn.php?ptn=382</x:v>
      </x:c>
    </x:row>
    <x:row r="2848">
      <x:c r="A2848" s="87" t="n">
        <x:v>598</x:v>
      </x:c>
      <x:c r="B2848" s="66" t="n">
        <x:v>382</x:v>
      </x:c>
      <x:c r="C2848" s="66" t="str">
        <x:v>INSTITUT TEKNOLOGI SEPULUH NOPEMBER</x:v>
      </x:c>
      <x:c r="D2848" s="66" t="str">
        <x:v>PTN Akademik</x:v>
      </x:c>
      <x:c r="E2848" s="66" t="str">
        <x:v>13821021</x:v>
      </x:c>
      <x:c r="F2848" s="66" t="str">
        <x:v>SISTEM INFORMASI</x:v>
      </x:c>
      <x:c r="G2848" s="66" t="str">
        <x:v>Sarjana</x:v>
      </x:c>
      <x:c r="H2848" s="87" t="n">
        <x:v>42</x:v>
      </x:c>
      <x:c r="I2848" s="87" t="n">
        <x:v>733</x:v>
      </x:c>
      <x:c r="J2848" s="68" t="n">
        <x:f>IFERROR(H2848/I2848,"")</x:f>
        <x:v>0.0572987721691678</x:v>
      </x:c>
      <x:c r="K2848" s="69" t="n">
        <x:f>IFERROR(I2848/H2848,"")</x:f>
        <x:v>17.452380952380953</x:v>
      </x:c>
      <x:c r="L2848" s="66" t="str">
        <x:f>IF(K2848="","","1 : "&amp;TEXT(K2848,"0.0"))</x:f>
        <x:v>1 : 17.5</x:v>
      </x:c>
      <x:c r="M2848" s="66" t="str">
        <x:f>IF(J2848="","Baru/Tanpa Data",IF(J2848&lt;='Catatan &amp; Sumber'!$B$14,"Sangat Ketat",IF(J2848&lt;='Catatan &amp; Sumber'!$B$15,"Ketat",IF(J2848&lt;='Catatan &amp; Sumber'!$B$16,"Sedang","Relatif Longgar"))))</x:f>
        <x:v>Sedang</x:v>
      </x:c>
      <x:c r="N2848" s="66" t="str">
        <x:v>Tidak Ada</x:v>
      </x:c>
      <x:c r="O2848" s="66" t="str">
        <x:v>Jawa Timur</x:v>
      </x:c>
      <x:c r="P2848" s="66" t="str">
        <x:v>Kota Surabaya</x:v>
      </x:c>
      <x:c r="Q2848" s="66" t="str">
        <x:v>https://snpmb.id/snbp/daya-tampung-snbp</x:v>
      </x:c>
      <x:c r="R2848" s="66" t="str">
        <x:v>https://sidatagrun-public-1076756628210.asia-southeast2.run.app/ptn_sn.php?ptn=382</x:v>
      </x:c>
    </x:row>
    <x:row r="2849">
      <x:c r="A2849" s="87" t="n">
        <x:v>1842</x:v>
      </x:c>
      <x:c r="B2849" s="66" t="n">
        <x:v>382</x:v>
      </x:c>
      <x:c r="C2849" s="66" t="str">
        <x:v>INSTITUT TEKNOLOGI SEPULUH NOPEMBER</x:v>
      </x:c>
      <x:c r="D2849" s="66" t="str">
        <x:v>PTN Akademik</x:v>
      </x:c>
      <x:c r="E2849" s="66" t="str">
        <x:v>13821022</x:v>
      </x:c>
      <x:c r="F2849" s="66" t="str">
        <x:v>DESAIN PRODUK INDUSTRI</x:v>
      </x:c>
      <x:c r="G2849" s="66" t="str">
        <x:v>Sarjana</x:v>
      </x:c>
      <x:c r="H2849" s="87" t="n">
        <x:v>30</x:v>
      </x:c>
      <x:c r="I2849" s="87" t="n">
        <x:v>221</x:v>
      </x:c>
      <x:c r="J2849" s="68" t="n">
        <x:f>IFERROR(H2849/I2849,"")</x:f>
        <x:v>0.13574660633484162</x:v>
      </x:c>
      <x:c r="K2849" s="69" t="n">
        <x:f>IFERROR(I2849/H2849,"")</x:f>
        <x:v>7.366666666666666</x:v>
      </x:c>
      <x:c r="L2849" s="66" t="str">
        <x:f>IF(K2849="","","1 : "&amp;TEXT(K2849,"0.0"))</x:f>
        <x:v>1 : 7.4</x:v>
      </x:c>
      <x:c r="M2849" s="66" t="str">
        <x:f>IF(J2849="","Baru/Tanpa Data",IF(J2849&lt;='Catatan &amp; Sumber'!$B$14,"Sangat Ketat",IF(J2849&lt;='Catatan &amp; Sumber'!$B$15,"Ketat",IF(J2849&lt;='Catatan &amp; Sumber'!$B$16,"Sedang","Relatif Longgar"))))</x:f>
        <x:v>Relatif Longgar</x:v>
      </x:c>
      <x:c r="N2849" s="66" t="str">
        <x:v>Seni Rupa, Desain, dan Kriya</x:v>
      </x:c>
      <x:c r="O2849" s="66" t="str">
        <x:v>Jawa Timur</x:v>
      </x:c>
      <x:c r="P2849" s="66" t="str">
        <x:v>Kota Surabaya</x:v>
      </x:c>
      <x:c r="Q2849" s="66" t="str">
        <x:v>https://snpmb.id/snbp/daya-tampung-snbp</x:v>
      </x:c>
      <x:c r="R2849" s="66" t="str">
        <x:v>https://sidatagrun-public-1076756628210.asia-southeast2.run.app/ptn_sn.php?ptn=382</x:v>
      </x:c>
    </x:row>
    <x:row r="2850">
      <x:c r="A2850" s="87" t="n">
        <x:v>1554</x:v>
      </x:c>
      <x:c r="B2850" s="66" t="n">
        <x:v>382</x:v>
      </x:c>
      <x:c r="C2850" s="66" t="str">
        <x:v>INSTITUT TEKNOLOGI SEPULUH NOPEMBER</x:v>
      </x:c>
      <x:c r="D2850" s="66" t="str">
        <x:v>PTN Akademik</x:v>
      </x:c>
      <x:c r="E2850" s="66" t="str">
        <x:v>13821023</x:v>
      </x:c>
      <x:c r="F2850" s="66" t="str">
        <x:v>TEKNIK TRANSPORTASI LAUT</x:v>
      </x:c>
      <x:c r="G2850" s="66" t="str">
        <x:v>Sarjana</x:v>
      </x:c>
      <x:c r="H2850" s="87" t="n">
        <x:v>16</x:v>
      </x:c>
      <x:c r="I2850" s="87" t="n">
        <x:v>141</x:v>
      </x:c>
      <x:c r="J2850" s="68" t="n">
        <x:f>IFERROR(H2850/I2850,"")</x:f>
        <x:v>0.11347517730496454</x:v>
      </x:c>
      <x:c r="K2850" s="69" t="n">
        <x:f>IFERROR(I2850/H2850,"")</x:f>
        <x:v>8.8125</x:v>
      </x:c>
      <x:c r="L2850" s="66" t="str">
        <x:f>IF(K2850="","","1 : "&amp;TEXT(K2850,"0.0"))</x:f>
        <x:v>1 : 8.8</x:v>
      </x:c>
      <x:c r="M2850" s="66" t="str">
        <x:f>IF(J2850="","Baru/Tanpa Data",IF(J2850&lt;='Catatan &amp; Sumber'!$B$14,"Sangat Ketat",IF(J2850&lt;='Catatan &amp; Sumber'!$B$15,"Ketat",IF(J2850&lt;='Catatan &amp; Sumber'!$B$16,"Sedang","Relatif Longgar"))))</x:f>
        <x:v>Relatif Longgar</x:v>
      </x:c>
      <x:c r="N2850" s="66" t="str">
        <x:v>Tidak Ada</x:v>
      </x:c>
      <x:c r="O2850" s="66" t="str">
        <x:v>Jawa Timur</x:v>
      </x:c>
      <x:c r="P2850" s="66" t="str">
        <x:v>Kota Surabaya</x:v>
      </x:c>
      <x:c r="Q2850" s="66" t="str">
        <x:v>https://snpmb.id/snbp/daya-tampung-snbp</x:v>
      </x:c>
      <x:c r="R2850" s="66" t="str">
        <x:v>https://sidatagrun-public-1076756628210.asia-southeast2.run.app/ptn_sn.php?ptn=382</x:v>
      </x:c>
    </x:row>
    <x:row r="2851">
      <x:c r="A2851" s="87" t="n">
        <x:v>1774</x:v>
      </x:c>
      <x:c r="B2851" s="66" t="n">
        <x:v>382</x:v>
      </x:c>
      <x:c r="C2851" s="66" t="str">
        <x:v>INSTITUT TEKNOLOGI SEPULUH NOPEMBER</x:v>
      </x:c>
      <x:c r="D2851" s="66" t="str">
        <x:v>PTN Akademik</x:v>
      </x:c>
      <x:c r="E2851" s="66" t="str">
        <x:v>13821024</x:v>
      </x:c>
      <x:c r="F2851" s="66" t="str">
        <x:v>TEK. SIST PERKAPALAN (GLR GANDA ITS-JERMAN)</x:v>
      </x:c>
      <x:c r="G2851" s="66" t="str">
        <x:v>Sarjana</x:v>
      </x:c>
      <x:c r="H2851" s="87" t="n">
        <x:v>12</x:v>
      </x:c>
      <x:c r="I2851" s="87" t="n">
        <x:v>92</x:v>
      </x:c>
      <x:c r="J2851" s="68" t="n">
        <x:f>IFERROR(H2851/I2851,"")</x:f>
        <x:v>0.13043478260869565</x:v>
      </x:c>
      <x:c r="K2851" s="69" t="n">
        <x:f>IFERROR(I2851/H2851,"")</x:f>
        <x:v>7.666666666666667</x:v>
      </x:c>
      <x:c r="L2851" s="66" t="str">
        <x:f>IF(K2851="","","1 : "&amp;TEXT(K2851,"0.0"))</x:f>
        <x:v>1 : 7.7</x:v>
      </x:c>
      <x:c r="M2851" s="66" t="str">
        <x:f>IF(J2851="","Baru/Tanpa Data",IF(J2851&lt;='Catatan &amp; Sumber'!$B$14,"Sangat Ketat",IF(J2851&lt;='Catatan &amp; Sumber'!$B$15,"Ketat",IF(J2851&lt;='Catatan &amp; Sumber'!$B$16,"Sedang","Relatif Longgar"))))</x:f>
        <x:v>Relatif Longgar</x:v>
      </x:c>
      <x:c r="N2851" s="66" t="str">
        <x:v>Tidak Ada</x:v>
      </x:c>
      <x:c r="O2851" s="66" t="str">
        <x:v>Jawa Timur</x:v>
      </x:c>
      <x:c r="P2851" s="66" t="str">
        <x:v>Kota Surabaya</x:v>
      </x:c>
      <x:c r="Q2851" s="66" t="str">
        <x:v>https://snpmb.id/snbp/daya-tampung-snbp</x:v>
      </x:c>
      <x:c r="R2851" s="66" t="str">
        <x:v>https://sidatagrun-public-1076756628210.asia-southeast2.run.app/ptn_sn.php?ptn=382</x:v>
      </x:c>
    </x:row>
    <x:row r="2852">
      <x:c r="A2852" s="87" t="n">
        <x:v>747</x:v>
      </x:c>
      <x:c r="B2852" s="66" t="n">
        <x:v>382</x:v>
      </x:c>
      <x:c r="C2852" s="66" t="str">
        <x:v>INSTITUT TEKNOLOGI SEPULUH NOPEMBER</x:v>
      </x:c>
      <x:c r="D2852" s="66" t="str">
        <x:v>PTN Akademik</x:v>
      </x:c>
      <x:c r="E2852" s="66" t="str">
        <x:v>13821025</x:v>
      </x:c>
      <x:c r="F2852" s="66" t="str">
        <x:v>TEKNIK KOMPUTER</x:v>
      </x:c>
      <x:c r="G2852" s="66" t="str">
        <x:v>Sarjana</x:v>
      </x:c>
      <x:c r="H2852" s="87" t="n">
        <x:v>24</x:v>
      </x:c>
      <x:c r="I2852" s="87" t="n">
        <x:v>372</x:v>
      </x:c>
      <x:c r="J2852" s="68" t="n">
        <x:f>IFERROR(H2852/I2852,"")</x:f>
        <x:v>0.06451612903225806</x:v>
      </x:c>
      <x:c r="K2852" s="69" t="n">
        <x:f>IFERROR(I2852/H2852,"")</x:f>
        <x:v>15.5</x:v>
      </x:c>
      <x:c r="L2852" s="66" t="str">
        <x:f>IF(K2852="","","1 : "&amp;TEXT(K2852,"0.0"))</x:f>
        <x:v>1 : 15.5</x:v>
      </x:c>
      <x:c r="M2852" s="66" t="str">
        <x:f>IF(J2852="","Baru/Tanpa Data",IF(J2852&lt;='Catatan &amp; Sumber'!$B$14,"Sangat Ketat",IF(J2852&lt;='Catatan &amp; Sumber'!$B$15,"Ketat",IF(J2852&lt;='Catatan &amp; Sumber'!$B$16,"Sedang","Relatif Longgar"))))</x:f>
        <x:v>Sedang</x:v>
      </x:c>
      <x:c r="N2852" s="66" t="str">
        <x:v>Tidak Ada</x:v>
      </x:c>
      <x:c r="O2852" s="66" t="str">
        <x:v>Jawa Timur</x:v>
      </x:c>
      <x:c r="P2852" s="66" t="str">
        <x:v>Kota Surabaya</x:v>
      </x:c>
      <x:c r="Q2852" s="66" t="str">
        <x:v>https://snpmb.id/snbp/daya-tampung-snbp</x:v>
      </x:c>
      <x:c r="R2852" s="66" t="str">
        <x:v>https://sidatagrun-public-1076756628210.asia-southeast2.run.app/ptn_sn.php?ptn=382</x:v>
      </x:c>
    </x:row>
    <x:row r="2853">
      <x:c r="A2853" s="87" t="n">
        <x:v>871</x:v>
      </x:c>
      <x:c r="B2853" s="66" t="n">
        <x:v>382</x:v>
      </x:c>
      <x:c r="C2853" s="66" t="str">
        <x:v>INSTITUT TEKNOLOGI SEPULUH NOPEMBER</x:v>
      </x:c>
      <x:c r="D2853" s="66" t="str">
        <x:v>PTN Akademik</x:v>
      </x:c>
      <x:c r="E2853" s="66" t="str">
        <x:v>13821027</x:v>
      </x:c>
      <x:c r="F2853" s="66" t="str">
        <x:v>TEKNIK GEOFISIKA</x:v>
      </x:c>
      <x:c r="G2853" s="66" t="str">
        <x:v>Sarjana</x:v>
      </x:c>
      <x:c r="H2853" s="87" t="n">
        <x:v>20</x:v>
      </x:c>
      <x:c r="I2853" s="87" t="n">
        <x:v>284</x:v>
      </x:c>
      <x:c r="J2853" s="68" t="n">
        <x:f>IFERROR(H2853/I2853,"")</x:f>
        <x:v>0.07042253521126761</x:v>
      </x:c>
      <x:c r="K2853" s="69" t="n">
        <x:f>IFERROR(I2853/H2853,"")</x:f>
        <x:v>14.2</x:v>
      </x:c>
      <x:c r="L2853" s="66" t="str">
        <x:f>IF(K2853="","","1 : "&amp;TEXT(K2853,"0.0"))</x:f>
        <x:v>1 : 14.2</x:v>
      </x:c>
      <x:c r="M2853" s="66" t="str">
        <x:f>IF(J2853="","Baru/Tanpa Data",IF(J2853&lt;='Catatan &amp; Sumber'!$B$14,"Sangat Ketat",IF(J2853&lt;='Catatan &amp; Sumber'!$B$15,"Ketat",IF(J2853&lt;='Catatan &amp; Sumber'!$B$16,"Sedang","Relatif Longgar"))))</x:f>
        <x:v>Sedang</x:v>
      </x:c>
      <x:c r="N2853" s="66" t="str">
        <x:v>Tidak Ada</x:v>
      </x:c>
      <x:c r="O2853" s="66" t="str">
        <x:v>Jawa Timur</x:v>
      </x:c>
      <x:c r="P2853" s="66" t="str">
        <x:v>Kota Surabaya</x:v>
      </x:c>
      <x:c r="Q2853" s="66" t="str">
        <x:v>https://snpmb.id/snbp/daya-tampung-snbp</x:v>
      </x:c>
      <x:c r="R2853" s="66" t="str">
        <x:v>https://sidatagrun-public-1076756628210.asia-southeast2.run.app/ptn_sn.php?ptn=382</x:v>
      </x:c>
    </x:row>
    <x:row r="2854">
      <x:c r="A2854" s="87" t="n">
        <x:v>1750</x:v>
      </x:c>
      <x:c r="B2854" s="66" t="n">
        <x:v>382</x:v>
      </x:c>
      <x:c r="C2854" s="66" t="str">
        <x:v>INSTITUT TEKNOLOGI SEPULUH NOPEMBER</x:v>
      </x:c>
      <x:c r="D2854" s="66" t="str">
        <x:v>PTN Akademik</x:v>
      </x:c>
      <x:c r="E2854" s="66" t="str">
        <x:v>13821028</x:v>
      </x:c>
      <x:c r="F2854" s="66" t="str">
        <x:v>DESAIN INTERIOR</x:v>
      </x:c>
      <x:c r="G2854" s="66" t="str">
        <x:v>Sarjana</x:v>
      </x:c>
      <x:c r="H2854" s="87" t="n">
        <x:v>24</x:v>
      </x:c>
      <x:c r="I2854" s="87" t="n">
        <x:v>187</x:v>
      </x:c>
      <x:c r="J2854" s="68" t="n">
        <x:f>IFERROR(H2854/I2854,"")</x:f>
        <x:v>0.12834224598930483</x:v>
      </x:c>
      <x:c r="K2854" s="69" t="n">
        <x:f>IFERROR(I2854/H2854,"")</x:f>
        <x:v>7.791666666666667</x:v>
      </x:c>
      <x:c r="L2854" s="66" t="str">
        <x:f>IF(K2854="","","1 : "&amp;TEXT(K2854,"0.0"))</x:f>
        <x:v>1 : 7.8</x:v>
      </x:c>
      <x:c r="M2854" s="66" t="str">
        <x:f>IF(J2854="","Baru/Tanpa Data",IF(J2854&lt;='Catatan &amp; Sumber'!$B$14,"Sangat Ketat",IF(J2854&lt;='Catatan &amp; Sumber'!$B$15,"Ketat",IF(J2854&lt;='Catatan &amp; Sumber'!$B$16,"Sedang","Relatif Longgar"))))</x:f>
        <x:v>Relatif Longgar</x:v>
      </x:c>
      <x:c r="N2854" s="66" t="str">
        <x:v>Seni Rupa, Desain, dan Kriya</x:v>
      </x:c>
      <x:c r="O2854" s="66" t="str">
        <x:v>Jawa Timur</x:v>
      </x:c>
      <x:c r="P2854" s="66" t="str">
        <x:v>Kota Surabaya</x:v>
      </x:c>
      <x:c r="Q2854" s="66" t="str">
        <x:v>https://snpmb.id/snbp/daya-tampung-snbp</x:v>
      </x:c>
      <x:c r="R2854" s="66" t="str">
        <x:v>https://sidatagrun-public-1076756628210.asia-southeast2.run.app/ptn_sn.php?ptn=382</x:v>
      </x:c>
    </x:row>
    <x:row r="2855">
      <x:c r="A2855" s="87" t="n">
        <x:v>956</x:v>
      </x:c>
      <x:c r="B2855" s="66" t="n">
        <x:v>382</x:v>
      </x:c>
      <x:c r="C2855" s="66" t="str">
        <x:v>INSTITUT TEKNOLOGI SEPULUH NOPEMBER</x:v>
      </x:c>
      <x:c r="D2855" s="66" t="str">
        <x:v>PTN Akademik</x:v>
      </x:c>
      <x:c r="E2855" s="66" t="str">
        <x:v>13821029</x:v>
      </x:c>
      <x:c r="F2855" s="66" t="str">
        <x:v>TEKNIK BIOMEDIK</x:v>
      </x:c>
      <x:c r="G2855" s="66" t="str">
        <x:v>Sarjana</x:v>
      </x:c>
      <x:c r="H2855" s="87" t="n">
        <x:v>24</x:v>
      </x:c>
      <x:c r="I2855" s="87" t="n">
        <x:v>317</x:v>
      </x:c>
      <x:c r="J2855" s="68" t="n">
        <x:f>IFERROR(H2855/I2855,"")</x:f>
        <x:v>0.07570977917981073</x:v>
      </x:c>
      <x:c r="K2855" s="69" t="n">
        <x:f>IFERROR(I2855/H2855,"")</x:f>
        <x:v>13.208333333333334</x:v>
      </x:c>
      <x:c r="L2855" s="66" t="str">
        <x:f>IF(K2855="","","1 : "&amp;TEXT(K2855,"0.0"))</x:f>
        <x:v>1 : 13.2</x:v>
      </x:c>
      <x:c r="M2855" s="66" t="str">
        <x:f>IF(J2855="","Baru/Tanpa Data",IF(J2855&lt;='Catatan &amp; Sumber'!$B$14,"Sangat Ketat",IF(J2855&lt;='Catatan &amp; Sumber'!$B$15,"Ketat",IF(J2855&lt;='Catatan &amp; Sumber'!$B$16,"Sedang","Relatif Longgar"))))</x:f>
        <x:v>Sedang</x:v>
      </x:c>
      <x:c r="N2855" s="66" t="str">
        <x:v>Tidak Ada</x:v>
      </x:c>
      <x:c r="O2855" s="66" t="str">
        <x:v>Jawa Timur</x:v>
      </x:c>
      <x:c r="P2855" s="66" t="str">
        <x:v>Kota Surabaya</x:v>
      </x:c>
      <x:c r="Q2855" s="66" t="str">
        <x:v>https://snpmb.id/snbp/daya-tampung-snbp</x:v>
      </x:c>
      <x:c r="R2855" s="66" t="str">
        <x:v>https://sidatagrun-public-1076756628210.asia-southeast2.run.app/ptn_sn.php?ptn=382</x:v>
      </x:c>
    </x:row>
    <x:row r="2856">
      <x:c r="A2856" s="87" t="n">
        <x:v>1191</x:v>
      </x:c>
      <x:c r="B2856" s="66" t="n">
        <x:v>382</x:v>
      </x:c>
      <x:c r="C2856" s="66" t="str">
        <x:v>INSTITUT TEKNOLOGI SEPULUH NOPEMBER</x:v>
      </x:c>
      <x:c r="D2856" s="66" t="str">
        <x:v>PTN Akademik</x:v>
      </x:c>
      <x:c r="E2856" s="66" t="str">
        <x:v>13821030</x:v>
      </x:c>
      <x:c r="F2856" s="66" t="str">
        <x:v>SAINS AKTUARIA</x:v>
      </x:c>
      <x:c r="G2856" s="66" t="str">
        <x:v>Sarjana</x:v>
      </x:c>
      <x:c r="H2856" s="87" t="n">
        <x:v>24</x:v>
      </x:c>
      <x:c r="I2856" s="87" t="n">
        <x:v>269</x:v>
      </x:c>
      <x:c r="J2856" s="68" t="n">
        <x:f>IFERROR(H2856/I2856,"")</x:f>
        <x:v>0.08921933085501858</x:v>
      </x:c>
      <x:c r="K2856" s="69" t="n">
        <x:f>IFERROR(I2856/H2856,"")</x:f>
        <x:v>11.208333333333334</x:v>
      </x:c>
      <x:c r="L2856" s="66" t="str">
        <x:f>IF(K2856="","","1 : "&amp;TEXT(K2856,"0.0"))</x:f>
        <x:v>1 : 11.2</x:v>
      </x:c>
      <x:c r="M2856" s="66" t="str">
        <x:f>IF(J2856="","Baru/Tanpa Data",IF(J2856&lt;='Catatan &amp; Sumber'!$B$14,"Sangat Ketat",IF(J2856&lt;='Catatan &amp; Sumber'!$B$15,"Ketat",IF(J2856&lt;='Catatan &amp; Sumber'!$B$16,"Sedang","Relatif Longgar"))))</x:f>
        <x:v>Sedang</x:v>
      </x:c>
      <x:c r="N2856" s="66" t="str">
        <x:v>Tidak Ada</x:v>
      </x:c>
      <x:c r="O2856" s="66" t="str">
        <x:v>Jawa Timur</x:v>
      </x:c>
      <x:c r="P2856" s="66" t="str">
        <x:v>Kota Surabaya</x:v>
      </x:c>
      <x:c r="Q2856" s="66" t="str">
        <x:v>https://snpmb.id/snbp/daya-tampung-snbp</x:v>
      </x:c>
      <x:c r="R2856" s="66" t="str">
        <x:v>https://sidatagrun-public-1076756628210.asia-southeast2.run.app/ptn_sn.php?ptn=382</x:v>
      </x:c>
    </x:row>
    <x:row r="2857">
      <x:c r="A2857" s="87" t="n">
        <x:v>1139</x:v>
      </x:c>
      <x:c r="B2857" s="66" t="n">
        <x:v>382</x:v>
      </x:c>
      <x:c r="C2857" s="66" t="str">
        <x:v>INSTITUT TEKNOLOGI SEPULUH NOPEMBER</x:v>
      </x:c>
      <x:c r="D2857" s="66" t="str">
        <x:v>PTN Akademik</x:v>
      </x:c>
      <x:c r="E2857" s="66" t="str">
        <x:v>13821031</x:v>
      </x:c>
      <x:c r="F2857" s="66" t="str">
        <x:v>TEKNOLOGI INFORMASI</x:v>
      </x:c>
      <x:c r="G2857" s="66" t="str">
        <x:v>Sarjana</x:v>
      </x:c>
      <x:c r="H2857" s="87" t="n">
        <x:v>34</x:v>
      </x:c>
      <x:c r="I2857" s="87" t="n">
        <x:v>395</x:v>
      </x:c>
      <x:c r="J2857" s="68" t="n">
        <x:f>IFERROR(H2857/I2857,"")</x:f>
        <x:v>0.08607594936708861</x:v>
      </x:c>
      <x:c r="K2857" s="69" t="n">
        <x:f>IFERROR(I2857/H2857,"")</x:f>
        <x:v>11.617647058823529</x:v>
      </x:c>
      <x:c r="L2857" s="66" t="str">
        <x:f>IF(K2857="","","1 : "&amp;TEXT(K2857,"0.0"))</x:f>
        <x:v>1 : 11.6</x:v>
      </x:c>
      <x:c r="M2857" s="66" t="str">
        <x:f>IF(J2857="","Baru/Tanpa Data",IF(J2857&lt;='Catatan &amp; Sumber'!$B$14,"Sangat Ketat",IF(J2857&lt;='Catatan &amp; Sumber'!$B$15,"Ketat",IF(J2857&lt;='Catatan &amp; Sumber'!$B$16,"Sedang","Relatif Longgar"))))</x:f>
        <x:v>Sedang</x:v>
      </x:c>
      <x:c r="N2857" s="66" t="str">
        <x:v>Tidak Ada</x:v>
      </x:c>
      <x:c r="O2857" s="66" t="str">
        <x:v>Jawa Timur</x:v>
      </x:c>
      <x:c r="P2857" s="66" t="str">
        <x:v>Kota Surabaya</x:v>
      </x:c>
      <x:c r="Q2857" s="66" t="str">
        <x:v>https://snpmb.id/snbp/daya-tampung-snbp</x:v>
      </x:c>
      <x:c r="R2857" s="66" t="str">
        <x:v>https://sidatagrun-public-1076756628210.asia-southeast2.run.app/ptn_sn.php?ptn=382</x:v>
      </x:c>
    </x:row>
    <x:row r="2858">
      <x:c r="A2858" s="87" t="n">
        <x:v>912</x:v>
      </x:c>
      <x:c r="B2858" s="66" t="n">
        <x:v>382</x:v>
      </x:c>
      <x:c r="C2858" s="66" t="str">
        <x:v>INSTITUT TEKNOLOGI SEPULUH NOPEMBER</x:v>
      </x:c>
      <x:c r="D2858" s="66" t="str">
        <x:v>PTN Akademik</x:v>
      </x:c>
      <x:c r="E2858" s="66" t="str">
        <x:v>13821032</x:v>
      </x:c>
      <x:c r="F2858" s="66" t="str">
        <x:v>DESAIN KOMUNIKASI VISUAL</x:v>
      </x:c>
      <x:c r="G2858" s="66" t="str">
        <x:v>Sarjana</x:v>
      </x:c>
      <x:c r="H2858" s="87" t="n">
        <x:v>32</x:v>
      </x:c>
      <x:c r="I2858" s="87" t="n">
        <x:v>438</x:v>
      </x:c>
      <x:c r="J2858" s="68" t="n">
        <x:f>IFERROR(H2858/I2858,"")</x:f>
        <x:v>0.0730593607305936</x:v>
      </x:c>
      <x:c r="K2858" s="69" t="n">
        <x:f>IFERROR(I2858/H2858,"")</x:f>
        <x:v>13.6875</x:v>
      </x:c>
      <x:c r="L2858" s="66" t="str">
        <x:f>IF(K2858="","","1 : "&amp;TEXT(K2858,"0.0"))</x:f>
        <x:v>1 : 13.7</x:v>
      </x:c>
      <x:c r="M2858" s="66" t="str">
        <x:f>IF(J2858="","Baru/Tanpa Data",IF(J2858&lt;='Catatan &amp; Sumber'!$B$14,"Sangat Ketat",IF(J2858&lt;='Catatan &amp; Sumber'!$B$15,"Ketat",IF(J2858&lt;='Catatan &amp; Sumber'!$B$16,"Sedang","Relatif Longgar"))))</x:f>
        <x:v>Sedang</x:v>
      </x:c>
      <x:c r="N2858" s="66" t="str">
        <x:v>Seni Rupa, Desain, dan Kriya</x:v>
      </x:c>
      <x:c r="O2858" s="66" t="str">
        <x:v>Jawa Timur</x:v>
      </x:c>
      <x:c r="P2858" s="66" t="str">
        <x:v>Kota Surabaya</x:v>
      </x:c>
      <x:c r="Q2858" s="66" t="str">
        <x:v>https://snpmb.id/snbp/daya-tampung-snbp</x:v>
      </x:c>
      <x:c r="R2858" s="66" t="str">
        <x:v>https://sidatagrun-public-1076756628210.asia-southeast2.run.app/ptn_sn.php?ptn=382</x:v>
      </x:c>
    </x:row>
    <x:row r="2859">
      <x:c r="A2859" s="87" t="n">
        <x:v>573</x:v>
      </x:c>
      <x:c r="B2859" s="66" t="n">
        <x:v>382</x:v>
      </x:c>
      <x:c r="C2859" s="66" t="str">
        <x:v>INSTITUT TEKNOLOGI SEPULUH NOPEMBER</x:v>
      </x:c>
      <x:c r="D2859" s="66" t="str">
        <x:v>PTN Akademik</x:v>
      </x:c>
      <x:c r="E2859" s="66" t="str">
        <x:v>13821041</x:v>
      </x:c>
      <x:c r="F2859" s="66" t="str">
        <x:v>TEKNIK LEPAS PANTAI</x:v>
      </x:c>
      <x:c r="G2859" s="66" t="str">
        <x:v>Sarjana</x:v>
      </x:c>
      <x:c r="H2859" s="87" t="n">
        <x:v>16</x:v>
      </x:c>
      <x:c r="I2859" s="87" t="n">
        <x:v>289</x:v>
      </x:c>
      <x:c r="J2859" s="68" t="n">
        <x:f>IFERROR(H2859/I2859,"")</x:f>
        <x:v>0.05536332179930796</x:v>
      </x:c>
      <x:c r="K2859" s="69" t="n">
        <x:f>IFERROR(I2859/H2859,"")</x:f>
        <x:v>18.0625</x:v>
      </x:c>
      <x:c r="L2859" s="66" t="str">
        <x:f>IF(K2859="","","1 : "&amp;TEXT(K2859,"0.0"))</x:f>
        <x:v>1 : 18.1</x:v>
      </x:c>
      <x:c r="M2859" s="66" t="str">
        <x:f>IF(J2859="","Baru/Tanpa Data",IF(J2859&lt;='Catatan &amp; Sumber'!$B$14,"Sangat Ketat",IF(J2859&lt;='Catatan &amp; Sumber'!$B$15,"Ketat",IF(J2859&lt;='Catatan &amp; Sumber'!$B$16,"Sedang","Relatif Longgar"))))</x:f>
        <x:v>Sedang</x:v>
      </x:c>
      <x:c r="N2859" s="66" t="str">
        <x:v>Tidak Ada</x:v>
      </x:c>
      <x:c r="O2859" s="66" t="str">
        <x:v>Jawa Timur</x:v>
      </x:c>
      <x:c r="P2859" s="66" t="str">
        <x:v>Kota Surabaya</x:v>
      </x:c>
      <x:c r="Q2859" s="66" t="str">
        <x:v>https://snpmb.id/snbp/daya-tampung-snbp</x:v>
      </x:c>
      <x:c r="R2859" s="66" t="str">
        <x:v>https://sidatagrun-public-1076756628210.asia-southeast2.run.app/ptn_sn.php?ptn=382</x:v>
      </x:c>
    </x:row>
    <x:row r="2860">
      <x:c r="A2860" s="87" t="n">
        <x:v>697</x:v>
      </x:c>
      <x:c r="B2860" s="66" t="n">
        <x:v>382</x:v>
      </x:c>
      <x:c r="C2860" s="66" t="str">
        <x:v>INSTITUT TEKNOLOGI SEPULUH NOPEMBER</x:v>
      </x:c>
      <x:c r="D2860" s="66" t="str">
        <x:v>PTN Akademik</x:v>
      </x:c>
      <x:c r="E2860" s="66" t="str">
        <x:v>13821042</x:v>
      </x:c>
      <x:c r="F2860" s="66" t="str">
        <x:v>TEKNIK PANGAN</x:v>
      </x:c>
      <x:c r="G2860" s="66" t="str">
        <x:v>Sarjana</x:v>
      </x:c>
      <x:c r="H2860" s="87" t="n">
        <x:v>16</x:v>
      </x:c>
      <x:c r="I2860" s="87" t="n">
        <x:v>259</x:v>
      </x:c>
      <x:c r="J2860" s="68" t="n">
        <x:f>IFERROR(H2860/I2860,"")</x:f>
        <x:v>0.06177606177606178</x:v>
      </x:c>
      <x:c r="K2860" s="69" t="n">
        <x:f>IFERROR(I2860/H2860,"")</x:f>
        <x:v>16.1875</x:v>
      </x:c>
      <x:c r="L2860" s="66" t="str">
        <x:f>IF(K2860="","","1 : "&amp;TEXT(K2860,"0.0"))</x:f>
        <x:v>1 : 16.2</x:v>
      </x:c>
      <x:c r="M2860" s="66" t="str">
        <x:f>IF(J2860="","Baru/Tanpa Data",IF(J2860&lt;='Catatan &amp; Sumber'!$B$14,"Sangat Ketat",IF(J2860&lt;='Catatan &amp; Sumber'!$B$15,"Ketat",IF(J2860&lt;='Catatan &amp; Sumber'!$B$16,"Sedang","Relatif Longgar"))))</x:f>
        <x:v>Sedang</x:v>
      </x:c>
      <x:c r="N2860" s="66" t="str">
        <x:v>Tidak Ada</x:v>
      </x:c>
      <x:c r="O2860" s="66" t="str">
        <x:v>Jawa Timur</x:v>
      </x:c>
      <x:c r="P2860" s="66" t="str">
        <x:v>Kota Surabaya</x:v>
      </x:c>
      <x:c r="Q2860" s="66" t="str">
        <x:v>https://snpmb.id/snbp/daya-tampung-snbp</x:v>
      </x:c>
      <x:c r="R2860" s="66" t="str">
        <x:v>https://sidatagrun-public-1076756628210.asia-southeast2.run.app/ptn_sn.php?ptn=382</x:v>
      </x:c>
    </x:row>
    <x:row r="2861">
      <x:c r="A2861" s="87" t="n">
        <x:v>547</x:v>
      </x:c>
      <x:c r="B2861" s="66" t="n">
        <x:v>382</x:v>
      </x:c>
      <x:c r="C2861" s="66" t="str">
        <x:v>INSTITUT TEKNOLOGI SEPULUH NOPEMBER</x:v>
      </x:c>
      <x:c r="D2861" s="66" t="str">
        <x:v>PTN Akademik</x:v>
      </x:c>
      <x:c r="E2861" s="66" t="str">
        <x:v>13821043</x:v>
      </x:c>
      <x:c r="F2861" s="66" t="str">
        <x:v>MANAJEMEN BISNIS</x:v>
      </x:c>
      <x:c r="G2861" s="66" t="str">
        <x:v>Sarjana</x:v>
      </x:c>
      <x:c r="H2861" s="87" t="n">
        <x:v>24</x:v>
      </x:c>
      <x:c r="I2861" s="87" t="n">
        <x:v>445</x:v>
      </x:c>
      <x:c r="J2861" s="68" t="n">
        <x:f>IFERROR(H2861/I2861,"")</x:f>
        <x:v>0.05393258426966292</x:v>
      </x:c>
      <x:c r="K2861" s="69" t="n">
        <x:f>IFERROR(I2861/H2861,"")</x:f>
        <x:v>18.541666666666668</x:v>
      </x:c>
      <x:c r="L2861" s="66" t="str">
        <x:f>IF(K2861="","","1 : "&amp;TEXT(K2861,"0.0"))</x:f>
        <x:v>1 : 18.5</x:v>
      </x:c>
      <x:c r="M2861" s="66" t="str">
        <x:f>IF(J2861="","Baru/Tanpa Data",IF(J2861&lt;='Catatan &amp; Sumber'!$B$14,"Sangat Ketat",IF(J2861&lt;='Catatan &amp; Sumber'!$B$15,"Ketat",IF(J2861&lt;='Catatan &amp; Sumber'!$B$16,"Sedang","Relatif Longgar"))))</x:f>
        <x:v>Sedang</x:v>
      </x:c>
      <x:c r="N2861" s="66" t="str">
        <x:v>Tidak Ada</x:v>
      </x:c>
      <x:c r="O2861" s="66" t="str">
        <x:v>Jawa Timur</x:v>
      </x:c>
      <x:c r="P2861" s="66" t="str">
        <x:v>Kota Surabaya</x:v>
      </x:c>
      <x:c r="Q2861" s="66" t="str">
        <x:v>https://snpmb.id/snbp/daya-tampung-snbp</x:v>
      </x:c>
      <x:c r="R2861" s="66" t="str">
        <x:v>https://sidatagrun-public-1076756628210.asia-southeast2.run.app/ptn_sn.php?ptn=382</x:v>
      </x:c>
    </x:row>
    <x:row r="2862">
      <x:c r="A2862" s="87" t="n">
        <x:v>2151</x:v>
      </x:c>
      <x:c r="B2862" s="66" t="n">
        <x:v>382</x:v>
      </x:c>
      <x:c r="C2862" s="66" t="str">
        <x:v>INSTITUT TEKNOLOGI SEPULUH NOPEMBER</x:v>
      </x:c>
      <x:c r="D2862" s="66" t="str">
        <x:v>PTN Akademik</x:v>
      </x:c>
      <x:c r="E2862" s="66" t="str">
        <x:v>13821044</x:v>
      </x:c>
      <x:c r="F2862" s="66" t="str">
        <x:v>STUDI PEMBANGUNAN</x:v>
      </x:c>
      <x:c r="G2862" s="66" t="str">
        <x:v>Sarjana</x:v>
      </x:c>
      <x:c r="H2862" s="87" t="n">
        <x:v>27</x:v>
      </x:c>
      <x:c r="I2862" s="87" t="n">
        <x:v>162</x:v>
      </x:c>
      <x:c r="J2862" s="68" t="n">
        <x:f>IFERROR(H2862/I2862,"")</x:f>
        <x:v>0.16666666666666666</x:v>
      </x:c>
      <x:c r="K2862" s="69" t="n">
        <x:f>IFERROR(I2862/H2862,"")</x:f>
        <x:v>6</x:v>
      </x:c>
      <x:c r="L2862" s="66" t="str">
        <x:f>IF(K2862="","","1 : "&amp;TEXT(K2862,"0.0"))</x:f>
        <x:v>1 : 6.0</x:v>
      </x:c>
      <x:c r="M2862" s="66" t="str">
        <x:f>IF(J2862="","Baru/Tanpa Data",IF(J2862&lt;='Catatan &amp; Sumber'!$B$14,"Sangat Ketat",IF(J2862&lt;='Catatan &amp; Sumber'!$B$15,"Ketat",IF(J2862&lt;='Catatan &amp; Sumber'!$B$16,"Sedang","Relatif Longgar"))))</x:f>
        <x:v>Relatif Longgar</x:v>
      </x:c>
      <x:c r="N2862" s="66" t="str">
        <x:v>Tidak Ada</x:v>
      </x:c>
      <x:c r="O2862" s="66" t="str">
        <x:v>Jawa Timur</x:v>
      </x:c>
      <x:c r="P2862" s="66" t="str">
        <x:v>Kota Surabaya</x:v>
      </x:c>
      <x:c r="Q2862" s="66" t="str">
        <x:v>https://snpmb.id/snbp/daya-tampung-snbp</x:v>
      </x:c>
      <x:c r="R2862" s="66" t="str">
        <x:v>https://sidatagrun-public-1076756628210.asia-southeast2.run.app/ptn_sn.php?ptn=382</x:v>
      </x:c>
    </x:row>
    <x:row r="2863">
      <x:c r="A2863" s="87" t="n">
        <x:v>1381</x:v>
      </x:c>
      <x:c r="B2863" s="66" t="n">
        <x:v>382</x:v>
      </x:c>
      <x:c r="C2863" s="66" t="str">
        <x:v>INSTITUT TEKNOLOGI SEPULUH NOPEMBER</x:v>
      </x:c>
      <x:c r="D2863" s="66" t="str">
        <x:v>PTN Akademik</x:v>
      </x:c>
      <x:c r="E2863" s="66" t="str">
        <x:v>13821045</x:v>
      </x:c>
      <x:c r="F2863" s="66" t="str">
        <x:v>TEKNIK TELEKOMUNIKASI</x:v>
      </x:c>
      <x:c r="G2863" s="66" t="str">
        <x:v>Sarjana</x:v>
      </x:c>
      <x:c r="H2863" s="87" t="n">
        <x:v>16</x:v>
      </x:c>
      <x:c r="I2863" s="87" t="n">
        <x:v>159</x:v>
      </x:c>
      <x:c r="J2863" s="68" t="n">
        <x:f>IFERROR(H2863/I2863,"")</x:f>
        <x:v>0.10062893081761007</x:v>
      </x:c>
      <x:c r="K2863" s="69" t="n">
        <x:f>IFERROR(I2863/H2863,"")</x:f>
        <x:v>9.9375</x:v>
      </x:c>
      <x:c r="L2863" s="66" t="str">
        <x:f>IF(K2863="","","1 : "&amp;TEXT(K2863,"0.0"))</x:f>
        <x:v>1 : 9.9</x:v>
      </x:c>
      <x:c r="M2863" s="66" t="str">
        <x:f>IF(J2863="","Baru/Tanpa Data",IF(J2863&lt;='Catatan &amp; Sumber'!$B$14,"Sangat Ketat",IF(J2863&lt;='Catatan &amp; Sumber'!$B$15,"Ketat",IF(J2863&lt;='Catatan &amp; Sumber'!$B$16,"Sedang","Relatif Longgar"))))</x:f>
        <x:v>Relatif Longgar</x:v>
      </x:c>
      <x:c r="N2863" s="66" t="str">
        <x:v>Tidak Ada</x:v>
      </x:c>
      <x:c r="O2863" s="66" t="str">
        <x:v>Jawa Timur</x:v>
      </x:c>
      <x:c r="P2863" s="66" t="str">
        <x:v>Kota Surabaya</x:v>
      </x:c>
      <x:c r="Q2863" s="66" t="str">
        <x:v>https://snpmb.id/snbp/daya-tampung-snbp</x:v>
      </x:c>
      <x:c r="R2863" s="66" t="str">
        <x:v>https://sidatagrun-public-1076756628210.asia-southeast2.run.app/ptn_sn.php?ptn=382</x:v>
      </x:c>
    </x:row>
    <x:row r="2864">
      <x:c r="A2864" s="87" t="n">
        <x:v>1246</x:v>
      </x:c>
      <x:c r="B2864" s="66" t="n">
        <x:v>382</x:v>
      </x:c>
      <x:c r="C2864" s="66" t="str">
        <x:v>INSTITUT TEKNOLOGI SEPULUH NOPEMBER</x:v>
      </x:c>
      <x:c r="D2864" s="66" t="str">
        <x:v>PTN Akademik</x:v>
      </x:c>
      <x:c r="E2864" s="66" t="str">
        <x:v>13821046</x:v>
      </x:c>
      <x:c r="F2864" s="66" t="str">
        <x:v>TEKNOLOGI KEDOKTERAN</x:v>
      </x:c>
      <x:c r="G2864" s="66" t="str">
        <x:v>Sarjana</x:v>
      </x:c>
      <x:c r="H2864" s="87" t="n">
        <x:v>24</x:v>
      </x:c>
      <x:c r="I2864" s="87" t="n">
        <x:v>259</x:v>
      </x:c>
      <x:c r="J2864" s="68" t="n">
        <x:f>IFERROR(H2864/I2864,"")</x:f>
        <x:v>0.09266409266409266</x:v>
      </x:c>
      <x:c r="K2864" s="69" t="n">
        <x:f>IFERROR(I2864/H2864,"")</x:f>
        <x:v>10.791666666666666</x:v>
      </x:c>
      <x:c r="L2864" s="66" t="str">
        <x:f>IF(K2864="","","1 : "&amp;TEXT(K2864,"0.0"))</x:f>
        <x:v>1 : 10.8</x:v>
      </x:c>
      <x:c r="M2864" s="66" t="str">
        <x:f>IF(J2864="","Baru/Tanpa Data",IF(J2864&lt;='Catatan &amp; Sumber'!$B$14,"Sangat Ketat",IF(J2864&lt;='Catatan &amp; Sumber'!$B$15,"Ketat",IF(J2864&lt;='Catatan &amp; Sumber'!$B$16,"Sedang","Relatif Longgar"))))</x:f>
        <x:v>Sedang</x:v>
      </x:c>
      <x:c r="N2864" s="66" t="str">
        <x:v>Tidak Ada</x:v>
      </x:c>
      <x:c r="O2864" s="66" t="str">
        <x:v>Jawa Timur</x:v>
      </x:c>
      <x:c r="P2864" s="66" t="str">
        <x:v>Kota Surabaya</x:v>
      </x:c>
      <x:c r="Q2864" s="66" t="str">
        <x:v>https://snpmb.id/snbp/daya-tampung-snbp</x:v>
      </x:c>
      <x:c r="R2864" s="66" t="str">
        <x:v>https://sidatagrun-public-1076756628210.asia-southeast2.run.app/ptn_sn.php?ptn=382</x:v>
      </x:c>
    </x:row>
    <x:row r="2865">
      <x:c r="A2865" s="87" t="n">
        <x:v>1635</x:v>
      </x:c>
      <x:c r="B2865" s="66" t="n">
        <x:v>382</x:v>
      </x:c>
      <x:c r="C2865" s="66" t="str">
        <x:v>INSTITUT TEKNOLOGI SEPULUH NOPEMBER</x:v>
      </x:c>
      <x:c r="D2865" s="66" t="str">
        <x:v>PTN Akademik</x:v>
      </x:c>
      <x:c r="E2865" s="66" t="str">
        <x:v>13821047</x:v>
      </x:c>
      <x:c r="F2865" s="66" t="str">
        <x:v>SAINS ANALITIK DAN INSTRUMENTASI KIMIA</x:v>
      </x:c>
      <x:c r="G2865" s="66" t="str">
        <x:v>Sarjana</x:v>
      </x:c>
      <x:c r="H2865" s="87" t="n">
        <x:v>18</x:v>
      </x:c>
      <x:c r="I2865" s="87" t="n">
        <x:v>151</x:v>
      </x:c>
      <x:c r="J2865" s="68" t="n">
        <x:f>IFERROR(H2865/I2865,"")</x:f>
        <x:v>0.11920529801324503</x:v>
      </x:c>
      <x:c r="K2865" s="69" t="n">
        <x:f>IFERROR(I2865/H2865,"")</x:f>
        <x:v>8.38888888888889</x:v>
      </x:c>
      <x:c r="L2865" s="66" t="str">
        <x:f>IF(K2865="","","1 : "&amp;TEXT(K2865,"0.0"))</x:f>
        <x:v>1 : 8.4</x:v>
      </x:c>
      <x:c r="M2865" s="66" t="str">
        <x:f>IF(J2865="","Baru/Tanpa Data",IF(J2865&lt;='Catatan &amp; Sumber'!$B$14,"Sangat Ketat",IF(J2865&lt;='Catatan &amp; Sumber'!$B$15,"Ketat",IF(J2865&lt;='Catatan &amp; Sumber'!$B$16,"Sedang","Relatif Longgar"))))</x:f>
        <x:v>Relatif Longgar</x:v>
      </x:c>
      <x:c r="N2865" s="66" t="str">
        <x:v>Tidak Ada</x:v>
      </x:c>
      <x:c r="O2865" s="66" t="str">
        <x:v>Jawa Timur</x:v>
      </x:c>
      <x:c r="P2865" s="66" t="str">
        <x:v>Kota Surabaya</x:v>
      </x:c>
      <x:c r="Q2865" s="66" t="str">
        <x:v>https://snpmb.id/snbp/daya-tampung-snbp</x:v>
      </x:c>
      <x:c r="R2865" s="66" t="str">
        <x:v>https://sidatagrun-public-1076756628210.asia-southeast2.run.app/ptn_sn.php?ptn=382</x:v>
      </x:c>
    </x:row>
    <x:row r="2866">
      <x:c r="A2866" s="87" t="n">
        <x:v>76</x:v>
      </x:c>
      <x:c r="B2866" s="66" t="n">
        <x:v>382</x:v>
      </x:c>
      <x:c r="C2866" s="66" t="str">
        <x:v>INSTITUT TEKNOLOGI SEPULUH NOPEMBER</x:v>
      </x:c>
      <x:c r="D2866" s="66" t="str">
        <x:v>PTN Akademik</x:v>
      </x:c>
      <x:c r="E2866" s="66" t="str">
        <x:v>13821048</x:v>
      </x:c>
      <x:c r="F2866" s="66" t="str">
        <x:v>KEDOKTERAN</x:v>
      </x:c>
      <x:c r="G2866" s="66" t="str">
        <x:v>Sarjana</x:v>
      </x:c>
      <x:c r="H2866" s="87" t="n">
        <x:v>10</x:v>
      </x:c>
      <x:c r="I2866" s="87" t="n">
        <x:v>384</x:v>
      </x:c>
      <x:c r="J2866" s="68" t="n">
        <x:f>IFERROR(H2866/I2866,"")</x:f>
        <x:v>0.026041666666666668</x:v>
      </x:c>
      <x:c r="K2866" s="69" t="n">
        <x:f>IFERROR(I2866/H2866,"")</x:f>
        <x:v>38.4</x:v>
      </x:c>
      <x:c r="L2866" s="66" t="str">
        <x:f>IF(K2866="","","1 : "&amp;TEXT(K2866,"0.0"))</x:f>
        <x:v>1 : 38.4</x:v>
      </x:c>
      <x:c r="M2866" s="66" t="str">
        <x:f>IF(J2866="","Baru/Tanpa Data",IF(J2866&lt;='Catatan &amp; Sumber'!$B$14,"Sangat Ketat",IF(J2866&lt;='Catatan &amp; Sumber'!$B$15,"Ketat",IF(J2866&lt;='Catatan &amp; Sumber'!$B$16,"Sedang","Relatif Longgar"))))</x:f>
        <x:v>Ketat</x:v>
      </x:c>
      <x:c r="N2866" s="66" t="str">
        <x:v>Tidak Ada</x:v>
      </x:c>
      <x:c r="O2866" s="66" t="str">
        <x:v>Jawa Timur</x:v>
      </x:c>
      <x:c r="P2866" s="66" t="str">
        <x:v>Kota Surabaya</x:v>
      </x:c>
      <x:c r="Q2866" s="66" t="str">
        <x:v>https://snpmb.id/snbp/daya-tampung-snbp</x:v>
      </x:c>
      <x:c r="R2866" s="66" t="str">
        <x:v>https://sidatagrun-public-1076756628210.asia-southeast2.run.app/ptn_sn.php?ptn=382</x:v>
      </x:c>
    </x:row>
    <x:row r="2867">
      <x:c r="A2867" s="87" t="n">
        <x:v>530</x:v>
      </x:c>
      <x:c r="B2867" s="66" t="n">
        <x:v>382</x:v>
      </x:c>
      <x:c r="C2867" s="66" t="str">
        <x:v>INSTITUT TEKNOLOGI SEPULUH NOPEMBER</x:v>
      </x:c>
      <x:c r="D2867" s="66" t="str">
        <x:v>PTN Akademik</x:v>
      </x:c>
      <x:c r="E2867" s="66" t="str">
        <x:v>13821049</x:v>
      </x:c>
      <x:c r="F2867" s="66" t="str">
        <x:v>SAINS DATA</x:v>
      </x:c>
      <x:c r="G2867" s="66" t="str">
        <x:v>Sarjana</x:v>
      </x:c>
      <x:c r="H2867" s="87" t="n">
        <x:v>10</x:v>
      </x:c>
      <x:c r="I2867" s="87" t="n">
        <x:v>188</x:v>
      </x:c>
      <x:c r="J2867" s="68" t="n">
        <x:f>IFERROR(H2867/I2867,"")</x:f>
        <x:v>0.05319148936170213</x:v>
      </x:c>
      <x:c r="K2867" s="69" t="n">
        <x:f>IFERROR(I2867/H2867,"")</x:f>
        <x:v>18.8</x:v>
      </x:c>
      <x:c r="L2867" s="66" t="str">
        <x:f>IF(K2867="","","1 : "&amp;TEXT(K2867,"0.0"))</x:f>
        <x:v>1 : 18.8</x:v>
      </x:c>
      <x:c r="M2867" s="66" t="str">
        <x:f>IF(J2867="","Baru/Tanpa Data",IF(J2867&lt;='Catatan &amp; Sumber'!$B$14,"Sangat Ketat",IF(J2867&lt;='Catatan &amp; Sumber'!$B$15,"Ketat",IF(J2867&lt;='Catatan &amp; Sumber'!$B$16,"Sedang","Relatif Longgar"))))</x:f>
        <x:v>Sedang</x:v>
      </x:c>
      <x:c r="N2867" s="66" t="str">
        <x:v>Tidak Ada</x:v>
      </x:c>
      <x:c r="O2867" s="66" t="str">
        <x:v>Jawa Timur</x:v>
      </x:c>
      <x:c r="P2867" s="66" t="str">
        <x:v>Kota Surabaya</x:v>
      </x:c>
      <x:c r="Q2867" s="66" t="str">
        <x:v>https://snpmb.id/snbp/daya-tampung-snbp</x:v>
      </x:c>
      <x:c r="R2867" s="66" t="str">
        <x:v>https://sidatagrun-public-1076756628210.asia-southeast2.run.app/ptn_sn.php?ptn=382</x:v>
      </x:c>
    </x:row>
    <x:row r="2868">
      <x:c r="A2868" s="87" t="n">
        <x:v>1372</x:v>
      </x:c>
      <x:c r="B2868" s="66" t="n">
        <x:v>382</x:v>
      </x:c>
      <x:c r="C2868" s="66" t="str">
        <x:v>INSTITUT TEKNOLOGI SEPULUH NOPEMBER</x:v>
      </x:c>
      <x:c r="D2868" s="66" t="str">
        <x:v>PTN Akademik</x:v>
      </x:c>
      <x:c r="E2868" s="66" t="str">
        <x:v>13821050</x:v>
      </x:c>
      <x:c r="F2868" s="66" t="str">
        <x:v>INOVASI DIGITAL</x:v>
      </x:c>
      <x:c r="G2868" s="66" t="str">
        <x:v>Sarjana</x:v>
      </x:c>
      <x:c r="H2868" s="87" t="n">
        <x:v>10</x:v>
      </x:c>
      <x:c r="I2868" s="87" t="n">
        <x:v>100</x:v>
      </x:c>
      <x:c r="J2868" s="68" t="n">
        <x:f>IFERROR(H2868/I2868,"")</x:f>
        <x:v>0.1</x:v>
      </x:c>
      <x:c r="K2868" s="69" t="n">
        <x:f>IFERROR(I2868/H2868,"")</x:f>
        <x:v>10</x:v>
      </x:c>
      <x:c r="L2868" s="66" t="str">
        <x:f>IF(K2868="","","1 : "&amp;TEXT(K2868,"0.0"))</x:f>
        <x:v>1 : 10.0</x:v>
      </x:c>
      <x:c r="M2868" s="66" t="str">
        <x:f>IF(J2868="","Baru/Tanpa Data",IF(J2868&lt;='Catatan &amp; Sumber'!$B$14,"Sangat Ketat",IF(J2868&lt;='Catatan &amp; Sumber'!$B$15,"Ketat",IF(J2868&lt;='Catatan &amp; Sumber'!$B$16,"Sedang","Relatif Longgar"))))</x:f>
        <x:v>Sedang</x:v>
      </x:c>
      <x:c r="N2868" s="66" t="str">
        <x:v>Tidak Ada</x:v>
      </x:c>
      <x:c r="O2868" s="66" t="str">
        <x:v>Jawa Timur</x:v>
      </x:c>
      <x:c r="P2868" s="66" t="str">
        <x:v>Kota Surabaya</x:v>
      </x:c>
      <x:c r="Q2868" s="66" t="str">
        <x:v>https://snpmb.id/snbp/daya-tampung-snbp</x:v>
      </x:c>
      <x:c r="R2868" s="66" t="str">
        <x:v>https://sidatagrun-public-1076756628210.asia-southeast2.run.app/ptn_sn.php?ptn=382</x:v>
      </x:c>
    </x:row>
    <x:row r="2869">
      <x:c r="A2869" s="87" t="n">
        <x:v>315</x:v>
      </x:c>
      <x:c r="B2869" s="66" t="n">
        <x:v>382</x:v>
      </x:c>
      <x:c r="C2869" s="66" t="str">
        <x:v>INSTITUT TEKNOLOGI SEPULUH NOPEMBER</x:v>
      </x:c>
      <x:c r="D2869" s="66" t="str">
        <x:v>PTN Akademik</x:v>
      </x:c>
      <x:c r="E2869" s="66" t="str">
        <x:v>13821051</x:v>
      </x:c>
      <x:c r="F2869" s="66" t="str">
        <x:v>REKAYASA KECERDASAN ARTIFISIAL</x:v>
      </x:c>
      <x:c r="G2869" s="66" t="str">
        <x:v>Sarjana</x:v>
      </x:c>
      <x:c r="H2869" s="87" t="n">
        <x:v>13</x:v>
      </x:c>
      <x:c r="I2869" s="87" t="n">
        <x:v>303</x:v>
      </x:c>
      <x:c r="J2869" s="68" t="n">
        <x:f>IFERROR(H2869/I2869,"")</x:f>
        <x:v>0.0429042904290429</x:v>
      </x:c>
      <x:c r="K2869" s="69" t="n">
        <x:f>IFERROR(I2869/H2869,"")</x:f>
        <x:v>23.307692307692307</x:v>
      </x:c>
      <x:c r="L2869" s="66" t="str">
        <x:f>IF(K2869="","","1 : "&amp;TEXT(K2869,"0.0"))</x:f>
        <x:v>1 : 23.3</x:v>
      </x:c>
      <x:c r="M2869" s="66" t="str">
        <x:f>IF(J2869="","Baru/Tanpa Data",IF(J2869&lt;='Catatan &amp; Sumber'!$B$14,"Sangat Ketat",IF(J2869&lt;='Catatan &amp; Sumber'!$B$15,"Ketat",IF(J2869&lt;='Catatan &amp; Sumber'!$B$16,"Sedang","Relatif Longgar"))))</x:f>
        <x:v>Ketat</x:v>
      </x:c>
      <x:c r="N2869" s="66" t="str">
        <x:v>Tidak Ada</x:v>
      </x:c>
      <x:c r="O2869" s="66" t="str">
        <x:v>Jawa Timur</x:v>
      </x:c>
      <x:c r="P2869" s="66" t="str">
        <x:v>Kota Surabaya</x:v>
      </x:c>
      <x:c r="Q2869" s="66" t="str">
        <x:v>https://snpmb.id/snbp/daya-tampung-snbp</x:v>
      </x:c>
      <x:c r="R2869" s="66" t="str">
        <x:v>https://sidatagrun-public-1076756628210.asia-southeast2.run.app/ptn_sn.php?ptn=382</x:v>
      </x:c>
    </x:row>
    <x:row r="2870">
      <x:c r="A2870" s="87" t="n">
        <x:v>857</x:v>
      </x:c>
      <x:c r="B2870" s="66" t="n">
        <x:v>382</x:v>
      </x:c>
      <x:c r="C2870" s="66" t="str">
        <x:v>INSTITUT TEKNOLOGI SEPULUH NOPEMBER</x:v>
      </x:c>
      <x:c r="D2870" s="66" t="str">
        <x:v>PTN Akademik</x:v>
      </x:c>
      <x:c r="E2870" s="66" t="str">
        <x:v>13821052</x:v>
      </x:c>
      <x:c r="F2870" s="66" t="str">
        <x:v>REKAYASA PERANGKAT LUNAK</x:v>
      </x:c>
      <x:c r="G2870" s="66" t="str">
        <x:v>Sarjana</x:v>
      </x:c>
      <x:c r="H2870" s="87" t="n">
        <x:v>13</x:v>
      </x:c>
      <x:c r="I2870" s="87" t="n">
        <x:v>187</x:v>
      </x:c>
      <x:c r="J2870" s="68" t="n">
        <x:f>IFERROR(H2870/I2870,"")</x:f>
        <x:v>0.06951871657754011</x:v>
      </x:c>
      <x:c r="K2870" s="69" t="n">
        <x:f>IFERROR(I2870/H2870,"")</x:f>
        <x:v>14.384615384615385</x:v>
      </x:c>
      <x:c r="L2870" s="66" t="str">
        <x:f>IF(K2870="","","1 : "&amp;TEXT(K2870,"0.0"))</x:f>
        <x:v>1 : 14.4</x:v>
      </x:c>
      <x:c r="M2870" s="66" t="str">
        <x:f>IF(J2870="","Baru/Tanpa Data",IF(J2870&lt;='Catatan &amp; Sumber'!$B$14,"Sangat Ketat",IF(J2870&lt;='Catatan &amp; Sumber'!$B$15,"Ketat",IF(J2870&lt;='Catatan &amp; Sumber'!$B$16,"Sedang","Relatif Longgar"))))</x:f>
        <x:v>Sedang</x:v>
      </x:c>
      <x:c r="N2870" s="66" t="str">
        <x:v>Tidak Ada</x:v>
      </x:c>
      <x:c r="O2870" s="66" t="str">
        <x:v>Jawa Timur</x:v>
      </x:c>
      <x:c r="P2870" s="66" t="str">
        <x:v>Kota Surabaya</x:v>
      </x:c>
      <x:c r="Q2870" s="66" t="str">
        <x:v>https://snpmb.id/snbp/daya-tampung-snbp</x:v>
      </x:c>
      <x:c r="R2870" s="66" t="str">
        <x:v>https://sidatagrun-public-1076756628210.asia-southeast2.run.app/ptn_sn.php?ptn=382</x:v>
      </x:c>
    </x:row>
    <x:row r="2871">
      <x:c r="A2871" s="87" t="n">
        <x:v>225</x:v>
      </x:c>
      <x:c r="B2871" s="66" t="n">
        <x:v>382</x:v>
      </x:c>
      <x:c r="C2871" s="66" t="str">
        <x:v>INSTITUT TEKNOLOGI SEPULUH NOPEMBER</x:v>
      </x:c>
      <x:c r="D2871" s="66" t="str">
        <x:v>PTN Akademik</x:v>
      </x:c>
      <x:c r="E2871" s="66" t="str">
        <x:v>13821053</x:v>
      </x:c>
      <x:c r="F2871" s="66" t="str">
        <x:v>BISNIS DIGITAL</x:v>
      </x:c>
      <x:c r="G2871" s="66" t="str">
        <x:v>Sarjana</x:v>
      </x:c>
      <x:c r="H2871" s="87" t="n">
        <x:v>12</x:v>
      </x:c>
      <x:c r="I2871" s="87" t="n">
        <x:v>315</x:v>
      </x:c>
      <x:c r="J2871" s="68" t="n">
        <x:f>IFERROR(H2871/I2871,"")</x:f>
        <x:v>0.0380952380952381</x:v>
      </x:c>
      <x:c r="K2871" s="69" t="n">
        <x:f>IFERROR(I2871/H2871,"")</x:f>
        <x:v>26.25</x:v>
      </x:c>
      <x:c r="L2871" s="66" t="str">
        <x:f>IF(K2871="","","1 : "&amp;TEXT(K2871,"0.0"))</x:f>
        <x:v>1 : 26.3</x:v>
      </x:c>
      <x:c r="M2871" s="66" t="str">
        <x:f>IF(J2871="","Baru/Tanpa Data",IF(J2871&lt;='Catatan &amp; Sumber'!$B$14,"Sangat Ketat",IF(J2871&lt;='Catatan &amp; Sumber'!$B$15,"Ketat",IF(J2871&lt;='Catatan &amp; Sumber'!$B$16,"Sedang","Relatif Longgar"))))</x:f>
        <x:v>Ketat</x:v>
      </x:c>
      <x:c r="N2871" s="66" t="str">
        <x:v>Tidak Ada</x:v>
      </x:c>
      <x:c r="O2871" s="66" t="str">
        <x:v>Jawa Timur</x:v>
      </x:c>
      <x:c r="P2871" s="66" t="str">
        <x:v>Kota Surabaya</x:v>
      </x:c>
      <x:c r="Q2871" s="66" t="str">
        <x:v>https://snpmb.id/snbp/daya-tampung-snbp</x:v>
      </x:c>
      <x:c r="R2871" s="66" t="str">
        <x:v>https://sidatagrun-public-1076756628210.asia-southeast2.run.app/ptn_sn.php?ptn=382</x:v>
      </x:c>
    </x:row>
    <x:row r="2872">
      <x:c r="A2872" s="87" t="n">
        <x:v>1193</x:v>
      </x:c>
      <x:c r="B2872" s="66" t="n">
        <x:v>382</x:v>
      </x:c>
      <x:c r="C2872" s="66" t="str">
        <x:v>INSTITUT TEKNOLOGI SEPULUH NOPEMBER</x:v>
      </x:c>
      <x:c r="D2872" s="66" t="str">
        <x:v>PTN Akademik</x:v>
      </x:c>
      <x:c r="E2872" s="66" t="str">
        <x:v>13821054</x:v>
      </x:c>
      <x:c r="F2872" s="66" t="str">
        <x:v>REKAYASA KESELAMATAN PROSES</x:v>
      </x:c>
      <x:c r="G2872" s="66" t="str">
        <x:v>Sarjana</x:v>
      </x:c>
      <x:c r="H2872" s="87" t="n">
        <x:v>10</x:v>
      </x:c>
      <x:c r="I2872" s="87" t="n">
        <x:v>112</x:v>
      </x:c>
      <x:c r="J2872" s="68" t="n">
        <x:f>IFERROR(H2872/I2872,"")</x:f>
        <x:v>0.08928571428571429</x:v>
      </x:c>
      <x:c r="K2872" s="69" t="n">
        <x:f>IFERROR(I2872/H2872,"")</x:f>
        <x:v>11.2</x:v>
      </x:c>
      <x:c r="L2872" s="66" t="str">
        <x:f>IF(K2872="","","1 : "&amp;TEXT(K2872,"0.0"))</x:f>
        <x:v>1 : 11.2</x:v>
      </x:c>
      <x:c r="M2872" s="66" t="str">
        <x:f>IF(J2872="","Baru/Tanpa Data",IF(J2872&lt;='Catatan &amp; Sumber'!$B$14,"Sangat Ketat",IF(J2872&lt;='Catatan &amp; Sumber'!$B$15,"Ketat",IF(J2872&lt;='Catatan &amp; Sumber'!$B$16,"Sedang","Relatif Longgar"))))</x:f>
        <x:v>Sedang</x:v>
      </x:c>
      <x:c r="N2872" s="66" t="str">
        <x:v>Tidak Ada</x:v>
      </x:c>
      <x:c r="O2872" s="66" t="str">
        <x:v>Jawa Timur</x:v>
      </x:c>
      <x:c r="P2872" s="66" t="str">
        <x:v>Kota Surabaya</x:v>
      </x:c>
      <x:c r="Q2872" s="66" t="str">
        <x:v>https://snpmb.id/snbp/daya-tampung-snbp</x:v>
      </x:c>
      <x:c r="R2872" s="66" t="str">
        <x:v>https://sidatagrun-public-1076756628210.asia-southeast2.run.app/ptn_sn.php?ptn=382</x:v>
      </x:c>
    </x:row>
    <x:row r="2873">
      <x:c r="A2873" s="87" t="n">
        <x:v>1358</x:v>
      </x:c>
      <x:c r="B2873" s="66" t="n">
        <x:v>382</x:v>
      </x:c>
      <x:c r="C2873" s="66" t="str">
        <x:v>INSTITUT TEKNOLOGI SEPULUH NOPEMBER</x:v>
      </x:c>
      <x:c r="D2873" s="66" t="str">
        <x:v>PTN Akademik</x:v>
      </x:c>
      <x:c r="E2873" s="66" t="str">
        <x:v>13821056</x:v>
      </x:c>
      <x:c r="F2873" s="66" t="str">
        <x:v>SAINS KOMUNIKASI</x:v>
      </x:c>
      <x:c r="G2873" s="66" t="str">
        <x:v>Sarjana</x:v>
      </x:c>
      <x:c r="H2873" s="87" t="n">
        <x:v>9</x:v>
      </x:c>
      <x:c r="I2873" s="87" t="n">
        <x:v>91</x:v>
      </x:c>
      <x:c r="J2873" s="68" t="n">
        <x:f>IFERROR(H2873/I2873,"")</x:f>
        <x:v>0.0989010989010989</x:v>
      </x:c>
      <x:c r="K2873" s="69" t="n">
        <x:f>IFERROR(I2873/H2873,"")</x:f>
        <x:v>10.11111111111111</x:v>
      </x:c>
      <x:c r="L2873" s="66" t="str">
        <x:f>IF(K2873="","","1 : "&amp;TEXT(K2873,"0.0"))</x:f>
        <x:v>1 : 10.1</x:v>
      </x:c>
      <x:c r="M2873" s="66" t="str">
        <x:f>IF(J2873="","Baru/Tanpa Data",IF(J2873&lt;='Catatan &amp; Sumber'!$B$14,"Sangat Ketat",IF(J2873&lt;='Catatan &amp; Sumber'!$B$15,"Ketat",IF(J2873&lt;='Catatan &amp; Sumber'!$B$16,"Sedang","Relatif Longgar"))))</x:f>
        <x:v>Sedang</x:v>
      </x:c>
      <x:c r="N2873" s="66" t="str">
        <x:v>Tidak Ada</x:v>
      </x:c>
      <x:c r="O2873" s="66" t="str">
        <x:v>Jawa Timur</x:v>
      </x:c>
      <x:c r="P2873" s="66" t="str">
        <x:v>Kota Surabaya</x:v>
      </x:c>
      <x:c r="Q2873" s="66" t="str">
        <x:v>https://snpmb.id/snbp/daya-tampung-snbp</x:v>
      </x:c>
      <x:c r="R2873" s="66" t="str">
        <x:v>https://sidatagrun-public-1076756628210.asia-southeast2.run.app/ptn_sn.php?ptn=382</x:v>
      </x:c>
    </x:row>
    <x:row r="2874">
      <x:c r="A2874" s="87" t="n">
        <x:v>1012</x:v>
      </x:c>
      <x:c r="B2874" s="66" t="n">
        <x:v>382</x:v>
      </x:c>
      <x:c r="C2874" s="66" t="str">
        <x:v>INSTITUT TEKNOLOGI SEPULUH NOPEMBER</x:v>
      </x:c>
      <x:c r="D2874" s="66" t="str">
        <x:v>PTN Akademik</x:v>
      </x:c>
      <x:c r="E2874" s="66" t="str">
        <x:v>13821057</x:v>
      </x:c>
      <x:c r="F2874" s="66" t="str">
        <x:v>BIOTEKNOLOGI</x:v>
      </x:c>
      <x:c r="G2874" s="66" t="str">
        <x:v>Sarjana</x:v>
      </x:c>
      <x:c r="H2874" s="87" t="n">
        <x:v>12</x:v>
      </x:c>
      <x:c r="I2874" s="87" t="n">
        <x:v>152</x:v>
      </x:c>
      <x:c r="J2874" s="68" t="n">
        <x:f>IFERROR(H2874/I2874,"")</x:f>
        <x:v>0.07894736842105263</x:v>
      </x:c>
      <x:c r="K2874" s="69" t="n">
        <x:f>IFERROR(I2874/H2874,"")</x:f>
        <x:v>12.666666666666666</x:v>
      </x:c>
      <x:c r="L2874" s="66" t="str">
        <x:f>IF(K2874="","","1 : "&amp;TEXT(K2874,"0.0"))</x:f>
        <x:v>1 : 12.7</x:v>
      </x:c>
      <x:c r="M2874" s="66" t="str">
        <x:f>IF(J2874="","Baru/Tanpa Data",IF(J2874&lt;='Catatan &amp; Sumber'!$B$14,"Sangat Ketat",IF(J2874&lt;='Catatan &amp; Sumber'!$B$15,"Ketat",IF(J2874&lt;='Catatan &amp; Sumber'!$B$16,"Sedang","Relatif Longgar"))))</x:f>
        <x:v>Sedang</x:v>
      </x:c>
      <x:c r="N2874" s="66" t="str">
        <x:v>Tidak Ada</x:v>
      </x:c>
      <x:c r="O2874" s="66" t="str">
        <x:v>Jawa Timur</x:v>
      </x:c>
      <x:c r="P2874" s="66" t="str">
        <x:v>Kota Surabaya</x:v>
      </x:c>
      <x:c r="Q2874" s="66" t="str">
        <x:v>https://snpmb.id/snbp/daya-tampung-snbp</x:v>
      </x:c>
      <x:c r="R2874" s="66" t="str">
        <x:v>https://sidatagrun-public-1076756628210.asia-southeast2.run.app/ptn_sn.php?ptn=382</x:v>
      </x:c>
    </x:row>
    <x:row r="2875">
      <x:c r="A2875" s="87"/>
      <x:c r="B2875" s="66" t="n">
        <x:v>382</x:v>
      </x:c>
      <x:c r="C2875" s="66" t="str">
        <x:v>INSTITUT TEKNOLOGI SEPULUH NOPEMBER</x:v>
      </x:c>
      <x:c r="D2875" s="66" t="str">
        <x:v>PTN Akademik</x:v>
      </x:c>
      <x:c r="E2875" s="66" t="str">
        <x:v>13821058</x:v>
      </x:c>
      <x:c r="F2875" s="66" t="str">
        <x:v>TEKNIK PERTAMBANGAN</x:v>
      </x:c>
      <x:c r="G2875" s="66" t="str">
        <x:v>Sarjana</x:v>
      </x:c>
      <x:c r="H2875" s="87" t="n">
        <x:v>10</x:v>
      </x:c>
      <x:c r="I2875" s="87"/>
      <x:c r="J2875" s="68" t="str">
        <x:f>IFERROR(H2875/I2875,"")</x:f>
      </x:c>
      <x:c r="K2875" s="69" t="n">
        <x:f>IFERROR(I2875/H2875,"")</x:f>
        <x:v>0</x:v>
      </x:c>
      <x:c r="L2875" s="66" t="str">
        <x:f>IF(K2875="","","1 : "&amp;TEXT(K2875,"0.0"))</x:f>
      </x:c>
      <x:c r="M2875" s="66" t="str">
        <x:f>IF(J2875="","Baru/Tanpa Data",IF(J2875&lt;='Catatan &amp; Sumber'!$B$14,"Sangat Ketat",IF(J2875&lt;='Catatan &amp; Sumber'!$B$15,"Ketat",IF(J2875&lt;='Catatan &amp; Sumber'!$B$16,"Sedang","Relatif Longgar"))))</x:f>
        <x:v>Baru/Tanpa Data</x:v>
      </x:c>
      <x:c r="N2875" s="66" t="str">
        <x:v>Tidak Ada</x:v>
      </x:c>
      <x:c r="O2875" s="66" t="str">
        <x:v>Jawa Timur</x:v>
      </x:c>
      <x:c r="P2875" s="66" t="str">
        <x:v>Kota Surabaya</x:v>
      </x:c>
      <x:c r="Q2875" s="66" t="str">
        <x:v>https://snpmb.id/snbp/daya-tampung-snbp</x:v>
      </x:c>
      <x:c r="R2875" s="66" t="str">
        <x:v>https://sidatagrun-public-1076756628210.asia-southeast2.run.app/ptn_sn.php?ptn=382</x:v>
      </x:c>
    </x:row>
    <x:row r="2876">
      <x:c r="A2876" s="87" t="n">
        <x:v>1084</x:v>
      </x:c>
      <x:c r="B2876" s="66" t="n">
        <x:v>382</x:v>
      </x:c>
      <x:c r="C2876" s="66" t="str">
        <x:v>INSTITUT TEKNOLOGI SEPULUH NOPEMBER</x:v>
      </x:c>
      <x:c r="D2876" s="66" t="str">
        <x:v>PTN Akademik</x:v>
      </x:c>
      <x:c r="E2876" s="66" t="str">
        <x:v>13822033</x:v>
      </x:c>
      <x:c r="F2876" s="66" t="str">
        <x:v>TEKNIK SIPIL</x:v>
      </x:c>
      <x:c r="G2876" s="66" t="str">
        <x:v>Sarjana Terapan</x:v>
      </x:c>
      <x:c r="H2876" s="87" t="n">
        <x:v>27</x:v>
      </x:c>
      <x:c r="I2876" s="87" t="n">
        <x:v>327</x:v>
      </x:c>
      <x:c r="J2876" s="68" t="n">
        <x:f>IFERROR(H2876/I2876,"")</x:f>
        <x:v>0.08256880733944955</x:v>
      </x:c>
      <x:c r="K2876" s="69" t="n">
        <x:f>IFERROR(I2876/H2876,"")</x:f>
        <x:v>12.11111111111111</x:v>
      </x:c>
      <x:c r="L2876" s="66" t="str">
        <x:f>IF(K2876="","","1 : "&amp;TEXT(K2876,"0.0"))</x:f>
        <x:v>1 : 12.1</x:v>
      </x:c>
      <x:c r="M2876" s="66" t="str">
        <x:f>IF(J2876="","Baru/Tanpa Data",IF(J2876&lt;='Catatan &amp; Sumber'!$B$14,"Sangat Ketat",IF(J2876&lt;='Catatan &amp; Sumber'!$B$15,"Ketat",IF(J2876&lt;='Catatan &amp; Sumber'!$B$16,"Sedang","Relatif Longgar"))))</x:f>
        <x:v>Sedang</x:v>
      </x:c>
      <x:c r="N2876" s="66" t="str">
        <x:v>Tidak Ada</x:v>
      </x:c>
      <x:c r="O2876" s="66" t="str">
        <x:v>Jawa Timur</x:v>
      </x:c>
      <x:c r="P2876" s="66" t="str">
        <x:v>Kota Surabaya</x:v>
      </x:c>
      <x:c r="Q2876" s="66" t="str">
        <x:v>https://snpmb.id/snbp/daya-tampung-snbp</x:v>
      </x:c>
      <x:c r="R2876" s="66" t="str">
        <x:v>https://sidatagrun-public-1076756628210.asia-southeast2.run.app/ptn_sn.php?ptn=382</x:v>
      </x:c>
    </x:row>
    <x:row r="2877">
      <x:c r="A2877" s="87" t="n">
        <x:v>2618</x:v>
      </x:c>
      <x:c r="B2877" s="66" t="n">
        <x:v>382</x:v>
      </x:c>
      <x:c r="C2877" s="66" t="str">
        <x:v>INSTITUT TEKNOLOGI SEPULUH NOPEMBER</x:v>
      </x:c>
      <x:c r="D2877" s="66" t="str">
        <x:v>PTN Akademik</x:v>
      </x:c>
      <x:c r="E2877" s="66" t="str">
        <x:v>13822034</x:v>
      </x:c>
      <x:c r="F2877" s="66" t="str">
        <x:v>TEKNOLOGI REKAYASA KONSTRUKSI BANGUNAN AIR</x:v>
      </x:c>
      <x:c r="G2877" s="66" t="str">
        <x:v>Sarjana Terapan</x:v>
      </x:c>
      <x:c r="H2877" s="87" t="n">
        <x:v>27</x:v>
      </x:c>
      <x:c r="I2877" s="87" t="n">
        <x:v>117</x:v>
      </x:c>
      <x:c r="J2877" s="68" t="n">
        <x:f>IFERROR(H2877/I2877,"")</x:f>
        <x:v>0.23076923076923078</x:v>
      </x:c>
      <x:c r="K2877" s="69" t="n">
        <x:f>IFERROR(I2877/H2877,"")</x:f>
        <x:v>4.333333333333333</x:v>
      </x:c>
      <x:c r="L2877" s="66" t="str">
        <x:f>IF(K2877="","","1 : "&amp;TEXT(K2877,"0.0"))</x:f>
        <x:v>1 : 4.3</x:v>
      </x:c>
      <x:c r="M2877" s="66" t="str">
        <x:f>IF(J2877="","Baru/Tanpa Data",IF(J2877&lt;='Catatan &amp; Sumber'!$B$14,"Sangat Ketat",IF(J2877&lt;='Catatan &amp; Sumber'!$B$15,"Ketat",IF(J2877&lt;='Catatan &amp; Sumber'!$B$16,"Sedang","Relatif Longgar"))))</x:f>
        <x:v>Relatif Longgar</x:v>
      </x:c>
      <x:c r="N2877" s="66" t="str">
        <x:v>Tidak Ada</x:v>
      </x:c>
      <x:c r="O2877" s="66" t="str">
        <x:v>Jawa Timur</x:v>
      </x:c>
      <x:c r="P2877" s="66" t="str">
        <x:v>Kota Surabaya</x:v>
      </x:c>
      <x:c r="Q2877" s="66" t="str">
        <x:v>https://snpmb.id/snbp/daya-tampung-snbp</x:v>
      </x:c>
      <x:c r="R2877" s="66" t="str">
        <x:v>https://sidatagrun-public-1076756628210.asia-southeast2.run.app/ptn_sn.php?ptn=382</x:v>
      </x:c>
    </x:row>
    <x:row r="2878">
      <x:c r="A2878" s="87" t="n">
        <x:v>2039</x:v>
      </x:c>
      <x:c r="B2878" s="66" t="n">
        <x:v>382</x:v>
      </x:c>
      <x:c r="C2878" s="66" t="str">
        <x:v>INSTITUT TEKNOLOGI SEPULUH NOPEMBER</x:v>
      </x:c>
      <x:c r="D2878" s="66" t="str">
        <x:v>PTN Akademik</x:v>
      </x:c>
      <x:c r="E2878" s="66" t="str">
        <x:v>13822035</x:v>
      </x:c>
      <x:c r="F2878" s="66" t="str">
        <x:v>TEKNOLOGI REKAYASA MANUFAKTUR</x:v>
      </x:c>
      <x:c r="G2878" s="66" t="str">
        <x:v>Sarjana Terapan</x:v>
      </x:c>
      <x:c r="H2878" s="87" t="n">
        <x:v>27</x:v>
      </x:c>
      <x:c r="I2878" s="87" t="n">
        <x:v>174</x:v>
      </x:c>
      <x:c r="J2878" s="68" t="n">
        <x:f>IFERROR(H2878/I2878,"")</x:f>
        <x:v>0.15517241379310345</x:v>
      </x:c>
      <x:c r="K2878" s="69" t="n">
        <x:f>IFERROR(I2878/H2878,"")</x:f>
        <x:v>6.444444444444445</x:v>
      </x:c>
      <x:c r="L2878" s="66" t="str">
        <x:f>IF(K2878="","","1 : "&amp;TEXT(K2878,"0.0"))</x:f>
        <x:v>1 : 6.4</x:v>
      </x:c>
      <x:c r="M2878" s="66" t="str">
        <x:f>IF(J2878="","Baru/Tanpa Data",IF(J2878&lt;='Catatan &amp; Sumber'!$B$14,"Sangat Ketat",IF(J2878&lt;='Catatan &amp; Sumber'!$B$15,"Ketat",IF(J2878&lt;='Catatan &amp; Sumber'!$B$16,"Sedang","Relatif Longgar"))))</x:f>
        <x:v>Relatif Longgar</x:v>
      </x:c>
      <x:c r="N2878" s="66" t="str">
        <x:v>Tidak Ada</x:v>
      </x:c>
      <x:c r="O2878" s="66" t="str">
        <x:v>Jawa Timur</x:v>
      </x:c>
      <x:c r="P2878" s="66" t="str">
        <x:v>Kota Surabaya</x:v>
      </x:c>
      <x:c r="Q2878" s="66" t="str">
        <x:v>https://snpmb.id/snbp/daya-tampung-snbp</x:v>
      </x:c>
      <x:c r="R2878" s="66" t="str">
        <x:v>https://sidatagrun-public-1076756628210.asia-southeast2.run.app/ptn_sn.php?ptn=382</x:v>
      </x:c>
    </x:row>
    <x:row r="2879">
      <x:c r="A2879" s="87" t="n">
        <x:v>1781</x:v>
      </x:c>
      <x:c r="B2879" s="66" t="n">
        <x:v>382</x:v>
      </x:c>
      <x:c r="C2879" s="66" t="str">
        <x:v>INSTITUT TEKNOLOGI SEPULUH NOPEMBER</x:v>
      </x:c>
      <x:c r="D2879" s="66" t="str">
        <x:v>PTN Akademik</x:v>
      </x:c>
      <x:c r="E2879" s="66" t="str">
        <x:v>13822036</x:v>
      </x:c>
      <x:c r="F2879" s="66" t="str">
        <x:v>TEKNOLOGI REKAYASA KONVERSI ENERGI</x:v>
      </x:c>
      <x:c r="G2879" s="66" t="str">
        <x:v>Sarjana Terapan</x:v>
      </x:c>
      <x:c r="H2879" s="87" t="n">
        <x:v>27</x:v>
      </x:c>
      <x:c r="I2879" s="87" t="n">
        <x:v>206</x:v>
      </x:c>
      <x:c r="J2879" s="68" t="n">
        <x:f>IFERROR(H2879/I2879,"")</x:f>
        <x:v>0.13106796116504854</x:v>
      </x:c>
      <x:c r="K2879" s="69" t="n">
        <x:f>IFERROR(I2879/H2879,"")</x:f>
        <x:v>7.62962962962963</x:v>
      </x:c>
      <x:c r="L2879" s="66" t="str">
        <x:f>IF(K2879="","","1 : "&amp;TEXT(K2879,"0.0"))</x:f>
        <x:v>1 : 7.6</x:v>
      </x:c>
      <x:c r="M2879" s="66" t="str">
        <x:f>IF(J2879="","Baru/Tanpa Data",IF(J2879&lt;='Catatan &amp; Sumber'!$B$14,"Sangat Ketat",IF(J2879&lt;='Catatan &amp; Sumber'!$B$15,"Ketat",IF(J2879&lt;='Catatan &amp; Sumber'!$B$16,"Sedang","Relatif Longgar"))))</x:f>
        <x:v>Relatif Longgar</x:v>
      </x:c>
      <x:c r="N2879" s="66" t="str">
        <x:v>Tidak Ada</x:v>
      </x:c>
      <x:c r="O2879" s="66" t="str">
        <x:v>Jawa Timur</x:v>
      </x:c>
      <x:c r="P2879" s="66" t="str">
        <x:v>Kota Surabaya</x:v>
      </x:c>
      <x:c r="Q2879" s="66" t="str">
        <x:v>https://snpmb.id/snbp/daya-tampung-snbp</x:v>
      </x:c>
      <x:c r="R2879" s="66" t="str">
        <x:v>https://sidatagrun-public-1076756628210.asia-southeast2.run.app/ptn_sn.php?ptn=382</x:v>
      </x:c>
    </x:row>
    <x:row r="2880">
      <x:c r="A2880" s="87" t="n">
        <x:v>2125</x:v>
      </x:c>
      <x:c r="B2880" s="66" t="n">
        <x:v>382</x:v>
      </x:c>
      <x:c r="C2880" s="66" t="str">
        <x:v>INSTITUT TEKNOLOGI SEPULUH NOPEMBER</x:v>
      </x:c>
      <x:c r="D2880" s="66" t="str">
        <x:v>PTN Akademik</x:v>
      </x:c>
      <x:c r="E2880" s="66" t="str">
        <x:v>13822037</x:v>
      </x:c>
      <x:c r="F2880" s="66" t="str">
        <x:v>TEKNOLOGI REKAYASA OTOMASI</x:v>
      </x:c>
      <x:c r="G2880" s="66" t="str">
        <x:v>Sarjana Terapan</x:v>
      </x:c>
      <x:c r="H2880" s="87" t="n">
        <x:v>35</x:v>
      </x:c>
      <x:c r="I2880" s="87" t="n">
        <x:v>213</x:v>
      </x:c>
      <x:c r="J2880" s="68" t="n">
        <x:f>IFERROR(H2880/I2880,"")</x:f>
        <x:v>0.1643192488262911</x:v>
      </x:c>
      <x:c r="K2880" s="69" t="n">
        <x:f>IFERROR(I2880/H2880,"")</x:f>
        <x:v>6.085714285714285</x:v>
      </x:c>
      <x:c r="L2880" s="66" t="str">
        <x:f>IF(K2880="","","1 : "&amp;TEXT(K2880,"0.0"))</x:f>
        <x:v>1 : 6.1</x:v>
      </x:c>
      <x:c r="M2880" s="66" t="str">
        <x:f>IF(J2880="","Baru/Tanpa Data",IF(J2880&lt;='Catatan &amp; Sumber'!$B$14,"Sangat Ketat",IF(J2880&lt;='Catatan &amp; Sumber'!$B$15,"Ketat",IF(J2880&lt;='Catatan &amp; Sumber'!$B$16,"Sedang","Relatif Longgar"))))</x:f>
        <x:v>Relatif Longgar</x:v>
      </x:c>
      <x:c r="N2880" s="66" t="str">
        <x:v>Tidak Ada</x:v>
      </x:c>
      <x:c r="O2880" s="66" t="str">
        <x:v>Jawa Timur</x:v>
      </x:c>
      <x:c r="P2880" s="66" t="str">
        <x:v>Kota Surabaya</x:v>
      </x:c>
      <x:c r="Q2880" s="66" t="str">
        <x:v>https://snpmb.id/snbp/daya-tampung-snbp</x:v>
      </x:c>
      <x:c r="R2880" s="66" t="str">
        <x:v>https://sidatagrun-public-1076756628210.asia-southeast2.run.app/ptn_sn.php?ptn=382</x:v>
      </x:c>
    </x:row>
    <x:row r="2881">
      <x:c r="A2881" s="87" t="n">
        <x:v>1898</x:v>
      </x:c>
      <x:c r="B2881" s="66" t="n">
        <x:v>382</x:v>
      </x:c>
      <x:c r="C2881" s="66" t="str">
        <x:v>INSTITUT TEKNOLOGI SEPULUH NOPEMBER</x:v>
      </x:c>
      <x:c r="D2881" s="66" t="str">
        <x:v>PTN Akademik</x:v>
      </x:c>
      <x:c r="E2881" s="66" t="str">
        <x:v>13822038</x:v>
      </x:c>
      <x:c r="F2881" s="66" t="str">
        <x:v>TEKNOLOGI REKAYASA KIMIA INDUSTRI</x:v>
      </x:c>
      <x:c r="G2881" s="66" t="str">
        <x:v>Sarjana Terapan</x:v>
      </x:c>
      <x:c r="H2881" s="87" t="n">
        <x:v>35</x:v>
      </x:c>
      <x:c r="I2881" s="87" t="n">
        <x:v>249</x:v>
      </x:c>
      <x:c r="J2881" s="68" t="n">
        <x:f>IFERROR(H2881/I2881,"")</x:f>
        <x:v>0.14056224899598393</x:v>
      </x:c>
      <x:c r="K2881" s="69" t="n">
        <x:f>IFERROR(I2881/H2881,"")</x:f>
        <x:v>7.114285714285714</x:v>
      </x:c>
      <x:c r="L2881" s="66" t="str">
        <x:f>IF(K2881="","","1 : "&amp;TEXT(K2881,"0.0"))</x:f>
        <x:v>1 : 7.1</x:v>
      </x:c>
      <x:c r="M2881" s="66" t="str">
        <x:f>IF(J2881="","Baru/Tanpa Data",IF(J2881&lt;='Catatan &amp; Sumber'!$B$14,"Sangat Ketat",IF(J2881&lt;='Catatan &amp; Sumber'!$B$15,"Ketat",IF(J2881&lt;='Catatan &amp; Sumber'!$B$16,"Sedang","Relatif Longgar"))))</x:f>
        <x:v>Relatif Longgar</x:v>
      </x:c>
      <x:c r="N2881" s="66" t="str">
        <x:v>Tidak Ada</x:v>
      </x:c>
      <x:c r="O2881" s="66" t="str">
        <x:v>Jawa Timur</x:v>
      </x:c>
      <x:c r="P2881" s="66" t="str">
        <x:v>Kota Surabaya</x:v>
      </x:c>
      <x:c r="Q2881" s="66" t="str">
        <x:v>https://snpmb.id/snbp/daya-tampung-snbp</x:v>
      </x:c>
      <x:c r="R2881" s="66" t="str">
        <x:v>https://sidatagrun-public-1076756628210.asia-southeast2.run.app/ptn_sn.php?ptn=382</x:v>
      </x:c>
    </x:row>
    <x:row r="2882">
      <x:c r="A2882" s="87" t="n">
        <x:v>2165</x:v>
      </x:c>
      <x:c r="B2882" s="66" t="n">
        <x:v>382</x:v>
      </x:c>
      <x:c r="C2882" s="66" t="str">
        <x:v>INSTITUT TEKNOLOGI SEPULUH NOPEMBER</x:v>
      </x:c>
      <x:c r="D2882" s="66" t="str">
        <x:v>PTN Akademik</x:v>
      </x:c>
      <x:c r="E2882" s="66" t="str">
        <x:v>13822039</x:v>
      </x:c>
      <x:c r="F2882" s="66" t="str">
        <x:v>TEKNOLOGI REKAYASA INSTRUMENTASI</x:v>
      </x:c>
      <x:c r="G2882" s="66" t="str">
        <x:v>Sarjana Terapan</x:v>
      </x:c>
      <x:c r="H2882" s="87" t="n">
        <x:v>35</x:v>
      </x:c>
      <x:c r="I2882" s="87" t="n">
        <x:v>208</x:v>
      </x:c>
      <x:c r="J2882" s="68" t="n">
        <x:f>IFERROR(H2882/I2882,"")</x:f>
        <x:v>0.16826923076923078</x:v>
      </x:c>
      <x:c r="K2882" s="69" t="n">
        <x:f>IFERROR(I2882/H2882,"")</x:f>
        <x:v>5.942857142857143</x:v>
      </x:c>
      <x:c r="L2882" s="66" t="str">
        <x:f>IF(K2882="","","1 : "&amp;TEXT(K2882,"0.0"))</x:f>
        <x:v>1 : 5.9</x:v>
      </x:c>
      <x:c r="M2882" s="66" t="str">
        <x:f>IF(J2882="","Baru/Tanpa Data",IF(J2882&lt;='Catatan &amp; Sumber'!$B$14,"Sangat Ketat",IF(J2882&lt;='Catatan &amp; Sumber'!$B$15,"Ketat",IF(J2882&lt;='Catatan &amp; Sumber'!$B$16,"Sedang","Relatif Longgar"))))</x:f>
        <x:v>Relatif Longgar</x:v>
      </x:c>
      <x:c r="N2882" s="66" t="str">
        <x:v>Tidak Ada</x:v>
      </x:c>
      <x:c r="O2882" s="66" t="str">
        <x:v>Jawa Timur</x:v>
      </x:c>
      <x:c r="P2882" s="66" t="str">
        <x:v>Kota Surabaya</x:v>
      </x:c>
      <x:c r="Q2882" s="66" t="str">
        <x:v>https://snpmb.id/snbp/daya-tampung-snbp</x:v>
      </x:c>
      <x:c r="R2882" s="66" t="str">
        <x:v>https://sidatagrun-public-1076756628210.asia-southeast2.run.app/ptn_sn.php?ptn=382</x:v>
      </x:c>
    </x:row>
    <x:row r="2883">
      <x:c r="A2883" s="87" t="n">
        <x:v>2035</x:v>
      </x:c>
      <x:c r="B2883" s="66" t="n">
        <x:v>382</x:v>
      </x:c>
      <x:c r="C2883" s="66" t="str">
        <x:v>INSTITUT TEKNOLOGI SEPULUH NOPEMBER</x:v>
      </x:c>
      <x:c r="D2883" s="66" t="str">
        <x:v>PTN Akademik</x:v>
      </x:c>
      <x:c r="E2883" s="66" t="str">
        <x:v>13822040</x:v>
      </x:c>
      <x:c r="F2883" s="66" t="str">
        <x:v>STATISTIKA BISNIS</x:v>
      </x:c>
      <x:c r="G2883" s="66" t="str">
        <x:v>Sarjana Terapan</x:v>
      </x:c>
      <x:c r="H2883" s="87" t="n">
        <x:v>35</x:v>
      </x:c>
      <x:c r="I2883" s="87" t="n">
        <x:v>226</x:v>
      </x:c>
      <x:c r="J2883" s="68" t="n">
        <x:f>IFERROR(H2883/I2883,"")</x:f>
        <x:v>0.15486725663716813</x:v>
      </x:c>
      <x:c r="K2883" s="69" t="n">
        <x:f>IFERROR(I2883/H2883,"")</x:f>
        <x:v>6.457142857142857</x:v>
      </x:c>
      <x:c r="L2883" s="66" t="str">
        <x:f>IF(K2883="","","1 : "&amp;TEXT(K2883,"0.0"))</x:f>
        <x:v>1 : 6.5</x:v>
      </x:c>
      <x:c r="M2883" s="66" t="str">
        <x:f>IF(J2883="","Baru/Tanpa Data",IF(J2883&lt;='Catatan &amp; Sumber'!$B$14,"Sangat Ketat",IF(J2883&lt;='Catatan &amp; Sumber'!$B$15,"Ketat",IF(J2883&lt;='Catatan &amp; Sumber'!$B$16,"Sedang","Relatif Longgar"))))</x:f>
        <x:v>Relatif Longgar</x:v>
      </x:c>
      <x:c r="N2883" s="66" t="str">
        <x:v>Tidak Ada</x:v>
      </x:c>
      <x:c r="O2883" s="66" t="str">
        <x:v>Jawa Timur</x:v>
      </x:c>
      <x:c r="P2883" s="66" t="str">
        <x:v>Kota Surabaya</x:v>
      </x:c>
      <x:c r="Q2883" s="66" t="str">
        <x:v>https://snpmb.id/snbp/daya-tampung-snbp</x:v>
      </x:c>
      <x:c r="R2883" s="66" t="str">
        <x:v>https://sidatagrun-public-1076756628210.asia-southeast2.run.app/ptn_sn.php?ptn=382</x:v>
      </x:c>
    </x:row>
    <x:row r="2884">
      <x:c r="A2884" s="87" t="n">
        <x:v>3323</x:v>
      </x:c>
      <x:c r="B2884" s="66" t="n">
        <x:v>382</x:v>
      </x:c>
      <x:c r="C2884" s="66" t="str">
        <x:v>INSTITUT TEKNOLOGI SEPULUH NOPEMBER</x:v>
      </x:c>
      <x:c r="D2884" s="66" t="str">
        <x:v>PTN Akademik</x:v>
      </x:c>
      <x:c r="E2884" s="66" t="str">
        <x:v>13822055</x:v>
      </x:c>
      <x:c r="F2884" s="66" t="str">
        <x:v>ANALITIKA LOGISTIK TERAPAN</x:v>
      </x:c>
      <x:c r="G2884" s="66" t="str">
        <x:v>Sarjana Terapan</x:v>
      </x:c>
      <x:c r="H2884" s="87" t="n">
        <x:v>11</x:v>
      </x:c>
      <x:c r="I2884" s="87" t="n">
        <x:v>29</x:v>
      </x:c>
      <x:c r="J2884" s="68" t="n">
        <x:f>IFERROR(H2884/I2884,"")</x:f>
        <x:v>0.3793103448275862</x:v>
      </x:c>
      <x:c r="K2884" s="69" t="n">
        <x:f>IFERROR(I2884/H2884,"")</x:f>
        <x:v>2.6363636363636362</x:v>
      </x:c>
      <x:c r="L2884" s="66" t="str">
        <x:f>IF(K2884="","","1 : "&amp;TEXT(K2884,"0.0"))</x:f>
        <x:v>1 : 2.6</x:v>
      </x:c>
      <x:c r="M2884" s="66" t="str">
        <x:f>IF(J2884="","Baru/Tanpa Data",IF(J2884&lt;='Catatan &amp; Sumber'!$B$14,"Sangat Ketat",IF(J2884&lt;='Catatan &amp; Sumber'!$B$15,"Ketat",IF(J2884&lt;='Catatan &amp; Sumber'!$B$16,"Sedang","Relatif Longgar"))))</x:f>
        <x:v>Relatif Longgar</x:v>
      </x:c>
      <x:c r="N2884" s="66" t="str">
        <x:v>Tidak Ada</x:v>
      </x:c>
      <x:c r="O2884" s="66" t="str">
        <x:v>Jawa Timur</x:v>
      </x:c>
      <x:c r="P2884" s="66" t="str">
        <x:v>Kota Surabaya</x:v>
      </x:c>
      <x:c r="Q2884" s="66" t="str">
        <x:v>https://snpmb.id/snbp/daya-tampung-snbp</x:v>
      </x:c>
      <x:c r="R2884" s="66" t="str">
        <x:v>https://sidatagrun-public-1076756628210.asia-southeast2.run.app/ptn_sn.php?ptn=382</x:v>
      </x:c>
    </x:row>
    <x:row r="2885">
      <x:c r="A2885" s="87" t="n">
        <x:v>2010</x:v>
      </x:c>
      <x:c r="B2885" s="66" t="n">
        <x:v>383</x:v>
      </x:c>
      <x:c r="C2885" s="66" t="str">
        <x:v>UNIVERSITAS NEGERI SURABAYA</x:v>
      </x:c>
      <x:c r="D2885" s="66" t="str">
        <x:v>PTN Akademik</x:v>
      </x:c>
      <x:c r="E2885" s="66" t="str">
        <x:v>13831001</x:v>
      </x:c>
      <x:c r="F2885" s="66" t="str">
        <x:v>PENDIDIKAN MATEMATIKA</x:v>
      </x:c>
      <x:c r="G2885" s="66" t="str">
        <x:v>Sarjana</x:v>
      </x:c>
      <x:c r="H2885" s="87" t="n">
        <x:v>74</x:v>
      </x:c>
      <x:c r="I2885" s="87" t="n">
        <x:v>484</x:v>
      </x:c>
      <x:c r="J2885" s="68" t="n">
        <x:f>IFERROR(H2885/I2885,"")</x:f>
        <x:v>0.15289256198347106</x:v>
      </x:c>
      <x:c r="K2885" s="69" t="n">
        <x:f>IFERROR(I2885/H2885,"")</x:f>
        <x:v>6.54054054054054</x:v>
      </x:c>
      <x:c r="L2885" s="66" t="str">
        <x:f>IF(K2885="","","1 : "&amp;TEXT(K2885,"0.0"))</x:f>
        <x:v>1 : 6.5</x:v>
      </x:c>
      <x:c r="M2885" s="66" t="str">
        <x:f>IF(J2885="","Baru/Tanpa Data",IF(J2885&lt;='Catatan &amp; Sumber'!$B$14,"Sangat Ketat",IF(J2885&lt;='Catatan &amp; Sumber'!$B$15,"Ketat",IF(J2885&lt;='Catatan &amp; Sumber'!$B$16,"Sedang","Relatif Longgar"))))</x:f>
        <x:v>Relatif Longgar</x:v>
      </x:c>
      <x:c r="N2885" s="66" t="str">
        <x:v>Tidak Ada</x:v>
      </x:c>
      <x:c r="O2885" s="66" t="str">
        <x:v>Jawa Timur</x:v>
      </x:c>
      <x:c r="P2885" s="66" t="str">
        <x:v>Kota Surabaya</x:v>
      </x:c>
      <x:c r="Q2885" s="66" t="str">
        <x:v>https://snpmb.id/snbp/daya-tampung-snbp</x:v>
      </x:c>
      <x:c r="R2885" s="66" t="str">
        <x:v>https://sidatagrun-public-1076756628210.asia-southeast2.run.app/ptn_sn.php?ptn=383</x:v>
      </x:c>
    </x:row>
    <x:row r="2886">
      <x:c r="A2886" s="87" t="n">
        <x:v>3053</x:v>
      </x:c>
      <x:c r="B2886" s="66" t="n">
        <x:v>383</x:v>
      </x:c>
      <x:c r="C2886" s="66" t="str">
        <x:v>UNIVERSITAS NEGERI SURABAYA</x:v>
      </x:c>
      <x:c r="D2886" s="66" t="str">
        <x:v>PTN Akademik</x:v>
      </x:c>
      <x:c r="E2886" s="66" t="str">
        <x:v>13831002</x:v>
      </x:c>
      <x:c r="F2886" s="66" t="str">
        <x:v>PENDIDIKAN FISIKA</x:v>
      </x:c>
      <x:c r="G2886" s="66" t="str">
        <x:v>Sarjana</x:v>
      </x:c>
      <x:c r="H2886" s="87" t="n">
        <x:v>55</x:v>
      </x:c>
      <x:c r="I2886" s="87" t="n">
        <x:v>181</x:v>
      </x:c>
      <x:c r="J2886" s="68" t="n">
        <x:f>IFERROR(H2886/I2886,"")</x:f>
        <x:v>0.30386740331491713</x:v>
      </x:c>
      <x:c r="K2886" s="69" t="n">
        <x:f>IFERROR(I2886/H2886,"")</x:f>
        <x:v>3.290909090909091</x:v>
      </x:c>
      <x:c r="L2886" s="66" t="str">
        <x:f>IF(K2886="","","1 : "&amp;TEXT(K2886,"0.0"))</x:f>
        <x:v>1 : 3.3</x:v>
      </x:c>
      <x:c r="M2886" s="66" t="str">
        <x:f>IF(J2886="","Baru/Tanpa Data",IF(J2886&lt;='Catatan &amp; Sumber'!$B$14,"Sangat Ketat",IF(J2886&lt;='Catatan &amp; Sumber'!$B$15,"Ketat",IF(J2886&lt;='Catatan &amp; Sumber'!$B$16,"Sedang","Relatif Longgar"))))</x:f>
        <x:v>Relatif Longgar</x:v>
      </x:c>
      <x:c r="N2886" s="66" t="str">
        <x:v>Tidak Ada</x:v>
      </x:c>
      <x:c r="O2886" s="66" t="str">
        <x:v>Jawa Timur</x:v>
      </x:c>
      <x:c r="P2886" s="66" t="str">
        <x:v>Kota Surabaya</x:v>
      </x:c>
      <x:c r="Q2886" s="66" t="str">
        <x:v>https://snpmb.id/snbp/daya-tampung-snbp</x:v>
      </x:c>
      <x:c r="R2886" s="66" t="str">
        <x:v>https://sidatagrun-public-1076756628210.asia-southeast2.run.app/ptn_sn.php?ptn=383</x:v>
      </x:c>
    </x:row>
    <x:row r="2887">
      <x:c r="A2887" s="87" t="n">
        <x:v>2380</x:v>
      </x:c>
      <x:c r="B2887" s="66" t="n">
        <x:v>383</x:v>
      </x:c>
      <x:c r="C2887" s="66" t="str">
        <x:v>UNIVERSITAS NEGERI SURABAYA</x:v>
      </x:c>
      <x:c r="D2887" s="66" t="str">
        <x:v>PTN Akademik</x:v>
      </x:c>
      <x:c r="E2887" s="66" t="str">
        <x:v>13831003</x:v>
      </x:c>
      <x:c r="F2887" s="66" t="str">
        <x:v>PENDIDIKAN KIMIA</x:v>
      </x:c>
      <x:c r="G2887" s="66" t="str">
        <x:v>Sarjana</x:v>
      </x:c>
      <x:c r="H2887" s="87" t="n">
        <x:v>50</x:v>
      </x:c>
      <x:c r="I2887" s="87" t="n">
        <x:v>259</x:v>
      </x:c>
      <x:c r="J2887" s="68" t="n">
        <x:f>IFERROR(H2887/I2887,"")</x:f>
        <x:v>0.19305019305019305</x:v>
      </x:c>
      <x:c r="K2887" s="69" t="n">
        <x:f>IFERROR(I2887/H2887,"")</x:f>
        <x:v>5.18</x:v>
      </x:c>
      <x:c r="L2887" s="66" t="str">
        <x:f>IF(K2887="","","1 : "&amp;TEXT(K2887,"0.0"))</x:f>
        <x:v>1 : 5.2</x:v>
      </x:c>
      <x:c r="M2887" s="66" t="str">
        <x:f>IF(J2887="","Baru/Tanpa Data",IF(J2887&lt;='Catatan &amp; Sumber'!$B$14,"Sangat Ketat",IF(J2887&lt;='Catatan &amp; Sumber'!$B$15,"Ketat",IF(J2887&lt;='Catatan &amp; Sumber'!$B$16,"Sedang","Relatif Longgar"))))</x:f>
        <x:v>Relatif Longgar</x:v>
      </x:c>
      <x:c r="N2887" s="66" t="str">
        <x:v>Tidak Ada</x:v>
      </x:c>
      <x:c r="O2887" s="66" t="str">
        <x:v>Jawa Timur</x:v>
      </x:c>
      <x:c r="P2887" s="66" t="str">
        <x:v>Kota Surabaya</x:v>
      </x:c>
      <x:c r="Q2887" s="66" t="str">
        <x:v>https://snpmb.id/snbp/daya-tampung-snbp</x:v>
      </x:c>
      <x:c r="R2887" s="66" t="str">
        <x:v>https://sidatagrun-public-1076756628210.asia-southeast2.run.app/ptn_sn.php?ptn=383</x:v>
      </x:c>
    </x:row>
    <x:row r="2888">
      <x:c r="A2888" s="87" t="n">
        <x:v>2089</x:v>
      </x:c>
      <x:c r="B2888" s="66" t="n">
        <x:v>383</x:v>
      </x:c>
      <x:c r="C2888" s="66" t="str">
        <x:v>UNIVERSITAS NEGERI SURABAYA</x:v>
      </x:c>
      <x:c r="D2888" s="66" t="str">
        <x:v>PTN Akademik</x:v>
      </x:c>
      <x:c r="E2888" s="66" t="str">
        <x:v>13831004</x:v>
      </x:c>
      <x:c r="F2888" s="66" t="str">
        <x:v>PENDIDIKAN BIOLOGI</x:v>
      </x:c>
      <x:c r="G2888" s="66" t="str">
        <x:v>Sarjana</x:v>
      </x:c>
      <x:c r="H2888" s="87" t="n">
        <x:v>75</x:v>
      </x:c>
      <x:c r="I2888" s="87" t="n">
        <x:v>468</x:v>
      </x:c>
      <x:c r="J2888" s="68" t="n">
        <x:f>IFERROR(H2888/I2888,"")</x:f>
        <x:v>0.16025641025641027</x:v>
      </x:c>
      <x:c r="K2888" s="69" t="n">
        <x:f>IFERROR(I2888/H2888,"")</x:f>
        <x:v>6.24</x:v>
      </x:c>
      <x:c r="L2888" s="66" t="str">
        <x:f>IF(K2888="","","1 : "&amp;TEXT(K2888,"0.0"))</x:f>
        <x:v>1 : 6.2</x:v>
      </x:c>
      <x:c r="M2888" s="66" t="str">
        <x:f>IF(J2888="","Baru/Tanpa Data",IF(J2888&lt;='Catatan &amp; Sumber'!$B$14,"Sangat Ketat",IF(J2888&lt;='Catatan &amp; Sumber'!$B$15,"Ketat",IF(J2888&lt;='Catatan &amp; Sumber'!$B$16,"Sedang","Relatif Longgar"))))</x:f>
        <x:v>Relatif Longgar</x:v>
      </x:c>
      <x:c r="N2888" s="66" t="str">
        <x:v>Tidak Ada</x:v>
      </x:c>
      <x:c r="O2888" s="66" t="str">
        <x:v>Jawa Timur</x:v>
      </x:c>
      <x:c r="P2888" s="66" t="str">
        <x:v>Kota Surabaya</x:v>
      </x:c>
      <x:c r="Q2888" s="66" t="str">
        <x:v>https://snpmb.id/snbp/daya-tampung-snbp</x:v>
      </x:c>
      <x:c r="R2888" s="66" t="str">
        <x:v>https://sidatagrun-public-1076756628210.asia-southeast2.run.app/ptn_sn.php?ptn=383</x:v>
      </x:c>
    </x:row>
    <x:row r="2889">
      <x:c r="A2889" s="87" t="n">
        <x:v>2754</x:v>
      </x:c>
      <x:c r="B2889" s="66" t="n">
        <x:v>383</x:v>
      </x:c>
      <x:c r="C2889" s="66" t="str">
        <x:v>UNIVERSITAS NEGERI SURABAYA</x:v>
      </x:c>
      <x:c r="D2889" s="66" t="str">
        <x:v>PTN Akademik</x:v>
      </x:c>
      <x:c r="E2889" s="66" t="str">
        <x:v>13831005</x:v>
      </x:c>
      <x:c r="F2889" s="66" t="str">
        <x:v>MATEMATIKA</x:v>
      </x:c>
      <x:c r="G2889" s="66" t="str">
        <x:v>Sarjana</x:v>
      </x:c>
      <x:c r="H2889" s="87" t="n">
        <x:v>70</x:v>
      </x:c>
      <x:c r="I2889" s="87" t="n">
        <x:v>278</x:v>
      </x:c>
      <x:c r="J2889" s="68" t="n">
        <x:f>IFERROR(H2889/I2889,"")</x:f>
        <x:v>0.2517985611510791</x:v>
      </x:c>
      <x:c r="K2889" s="69" t="n">
        <x:f>IFERROR(I2889/H2889,"")</x:f>
        <x:v>3.9714285714285715</x:v>
      </x:c>
      <x:c r="L2889" s="66" t="str">
        <x:f>IF(K2889="","","1 : "&amp;TEXT(K2889,"0.0"))</x:f>
        <x:v>1 : 4.0</x:v>
      </x:c>
      <x:c r="M2889" s="66" t="str">
        <x:f>IF(J2889="","Baru/Tanpa Data",IF(J2889&lt;='Catatan &amp; Sumber'!$B$14,"Sangat Ketat",IF(J2889&lt;='Catatan &amp; Sumber'!$B$15,"Ketat",IF(J2889&lt;='Catatan &amp; Sumber'!$B$16,"Sedang","Relatif Longgar"))))</x:f>
        <x:v>Relatif Longgar</x:v>
      </x:c>
      <x:c r="N2889" s="66" t="str">
        <x:v>Tidak Ada</x:v>
      </x:c>
      <x:c r="O2889" s="66" t="str">
        <x:v>Jawa Timur</x:v>
      </x:c>
      <x:c r="P2889" s="66" t="str">
        <x:v>Kota Surabaya</x:v>
      </x:c>
      <x:c r="Q2889" s="66" t="str">
        <x:v>https://snpmb.id/snbp/daya-tampung-snbp</x:v>
      </x:c>
      <x:c r="R2889" s="66" t="str">
        <x:v>https://sidatagrun-public-1076756628210.asia-southeast2.run.app/ptn_sn.php?ptn=383</x:v>
      </x:c>
    </x:row>
    <x:row r="2890">
      <x:c r="A2890" s="87" t="n">
        <x:v>3044</x:v>
      </x:c>
      <x:c r="B2890" s="66" t="n">
        <x:v>383</x:v>
      </x:c>
      <x:c r="C2890" s="66" t="str">
        <x:v>UNIVERSITAS NEGERI SURABAYA</x:v>
      </x:c>
      <x:c r="D2890" s="66" t="str">
        <x:v>PTN Akademik</x:v>
      </x:c>
      <x:c r="E2890" s="66" t="str">
        <x:v>13831006</x:v>
      </x:c>
      <x:c r="F2890" s="66" t="str">
        <x:v>FISIKA</x:v>
      </x:c>
      <x:c r="G2890" s="66" t="str">
        <x:v>Sarjana</x:v>
      </x:c>
      <x:c r="H2890" s="87" t="n">
        <x:v>40</x:v>
      </x:c>
      <x:c r="I2890" s="87" t="n">
        <x:v>132</x:v>
      </x:c>
      <x:c r="J2890" s="68" t="n">
        <x:f>IFERROR(H2890/I2890,"")</x:f>
        <x:v>0.30303030303030304</x:v>
      </x:c>
      <x:c r="K2890" s="69" t="n">
        <x:f>IFERROR(I2890/H2890,"")</x:f>
        <x:v>3.3</x:v>
      </x:c>
      <x:c r="L2890" s="66" t="str">
        <x:f>IF(K2890="","","1 : "&amp;TEXT(K2890,"0.0"))</x:f>
        <x:v>1 : 3.3</x:v>
      </x:c>
      <x:c r="M2890" s="66" t="str">
        <x:f>IF(J2890="","Baru/Tanpa Data",IF(J2890&lt;='Catatan &amp; Sumber'!$B$14,"Sangat Ketat",IF(J2890&lt;='Catatan &amp; Sumber'!$B$15,"Ketat",IF(J2890&lt;='Catatan &amp; Sumber'!$B$16,"Sedang","Relatif Longgar"))))</x:f>
        <x:v>Relatif Longgar</x:v>
      </x:c>
      <x:c r="N2890" s="66" t="str">
        <x:v>Tidak Ada</x:v>
      </x:c>
      <x:c r="O2890" s="66" t="str">
        <x:v>Jawa Timur</x:v>
      </x:c>
      <x:c r="P2890" s="66" t="str">
        <x:v>Kota Surabaya</x:v>
      </x:c>
      <x:c r="Q2890" s="66" t="str">
        <x:v>https://snpmb.id/snbp/daya-tampung-snbp</x:v>
      </x:c>
      <x:c r="R2890" s="66" t="str">
        <x:v>https://sidatagrun-public-1076756628210.asia-southeast2.run.app/ptn_sn.php?ptn=383</x:v>
      </x:c>
    </x:row>
    <x:row r="2891">
      <x:c r="A2891" s="87" t="n">
        <x:v>2004</x:v>
      </x:c>
      <x:c r="B2891" s="66" t="n">
        <x:v>383</x:v>
      </x:c>
      <x:c r="C2891" s="66" t="str">
        <x:v>UNIVERSITAS NEGERI SURABAYA</x:v>
      </x:c>
      <x:c r="D2891" s="66" t="str">
        <x:v>PTN Akademik</x:v>
      </x:c>
      <x:c r="E2891" s="66" t="str">
        <x:v>13831007</x:v>
      </x:c>
      <x:c r="F2891" s="66" t="str">
        <x:v>KIMIA</x:v>
      </x:c>
      <x:c r="G2891" s="66" t="str">
        <x:v>Sarjana</x:v>
      </x:c>
      <x:c r="H2891" s="87" t="n">
        <x:v>50</x:v>
      </x:c>
      <x:c r="I2891" s="87" t="n">
        <x:v>328</x:v>
      </x:c>
      <x:c r="J2891" s="68" t="n">
        <x:f>IFERROR(H2891/I2891,"")</x:f>
        <x:v>0.1524390243902439</x:v>
      </x:c>
      <x:c r="K2891" s="69" t="n">
        <x:f>IFERROR(I2891/H2891,"")</x:f>
        <x:v>6.56</x:v>
      </x:c>
      <x:c r="L2891" s="66" t="str">
        <x:f>IF(K2891="","","1 : "&amp;TEXT(K2891,"0.0"))</x:f>
        <x:v>1 : 6.6</x:v>
      </x:c>
      <x:c r="M2891" s="66" t="str">
        <x:f>IF(J2891="","Baru/Tanpa Data",IF(J2891&lt;='Catatan &amp; Sumber'!$B$14,"Sangat Ketat",IF(J2891&lt;='Catatan &amp; Sumber'!$B$15,"Ketat",IF(J2891&lt;='Catatan &amp; Sumber'!$B$16,"Sedang","Relatif Longgar"))))</x:f>
        <x:v>Relatif Longgar</x:v>
      </x:c>
      <x:c r="N2891" s="66" t="str">
        <x:v>Tidak Ada</x:v>
      </x:c>
      <x:c r="O2891" s="66" t="str">
        <x:v>Jawa Timur</x:v>
      </x:c>
      <x:c r="P2891" s="66" t="str">
        <x:v>Kota Surabaya</x:v>
      </x:c>
      <x:c r="Q2891" s="66" t="str">
        <x:v>https://snpmb.id/snbp/daya-tampung-snbp</x:v>
      </x:c>
      <x:c r="R2891" s="66" t="str">
        <x:v>https://sidatagrun-public-1076756628210.asia-southeast2.run.app/ptn_sn.php?ptn=383</x:v>
      </x:c>
    </x:row>
    <x:row r="2892">
      <x:c r="A2892" s="87" t="n">
        <x:v>2258</x:v>
      </x:c>
      <x:c r="B2892" s="66" t="n">
        <x:v>383</x:v>
      </x:c>
      <x:c r="C2892" s="66" t="str">
        <x:v>UNIVERSITAS NEGERI SURABAYA</x:v>
      </x:c>
      <x:c r="D2892" s="66" t="str">
        <x:v>PTN Akademik</x:v>
      </x:c>
      <x:c r="E2892" s="66" t="str">
        <x:v>13831008</x:v>
      </x:c>
      <x:c r="F2892" s="66" t="str">
        <x:v>BIOLOGI</x:v>
      </x:c>
      <x:c r="G2892" s="66" t="str">
        <x:v>Sarjana</x:v>
      </x:c>
      <x:c r="H2892" s="87" t="n">
        <x:v>63</x:v>
      </x:c>
      <x:c r="I2892" s="87" t="n">
        <x:v>352</x:v>
      </x:c>
      <x:c r="J2892" s="68" t="n">
        <x:f>IFERROR(H2892/I2892,"")</x:f>
        <x:v>0.17897727272727273</x:v>
      </x:c>
      <x:c r="K2892" s="69" t="n">
        <x:f>IFERROR(I2892/H2892,"")</x:f>
        <x:v>5.587301587301587</x:v>
      </x:c>
      <x:c r="L2892" s="66" t="str">
        <x:f>IF(K2892="","","1 : "&amp;TEXT(K2892,"0.0"))</x:f>
        <x:v>1 : 5.6</x:v>
      </x:c>
      <x:c r="M2892" s="66" t="str">
        <x:f>IF(J2892="","Baru/Tanpa Data",IF(J2892&lt;='Catatan &amp; Sumber'!$B$14,"Sangat Ketat",IF(J2892&lt;='Catatan &amp; Sumber'!$B$15,"Ketat",IF(J2892&lt;='Catatan &amp; Sumber'!$B$16,"Sedang","Relatif Longgar"))))</x:f>
        <x:v>Relatif Longgar</x:v>
      </x:c>
      <x:c r="N2892" s="66" t="str">
        <x:v>Tidak Ada</x:v>
      </x:c>
      <x:c r="O2892" s="66" t="str">
        <x:v>Jawa Timur</x:v>
      </x:c>
      <x:c r="P2892" s="66" t="str">
        <x:v>Kota Surabaya</x:v>
      </x:c>
      <x:c r="Q2892" s="66" t="str">
        <x:v>https://snpmb.id/snbp/daya-tampung-snbp</x:v>
      </x:c>
      <x:c r="R2892" s="66" t="str">
        <x:v>https://sidatagrun-public-1076756628210.asia-southeast2.run.app/ptn_sn.php?ptn=383</x:v>
      </x:c>
    </x:row>
    <x:row r="2893">
      <x:c r="A2893" s="87" t="n">
        <x:v>2272</x:v>
      </x:c>
      <x:c r="B2893" s="66" t="n">
        <x:v>383</x:v>
      </x:c>
      <x:c r="C2893" s="66" t="str">
        <x:v>UNIVERSITAS NEGERI SURABAYA</x:v>
      </x:c>
      <x:c r="D2893" s="66" t="str">
        <x:v>PTN Akademik</x:v>
      </x:c>
      <x:c r="E2893" s="66" t="str">
        <x:v>13831009</x:v>
      </x:c>
      <x:c r="F2893" s="66" t="str">
        <x:v>PENDIDIKAN ILMU PENGETAHUAN ALAM</x:v>
      </x:c>
      <x:c r="G2893" s="66" t="str">
        <x:v>Sarjana</x:v>
      </x:c>
      <x:c r="H2893" s="87" t="n">
        <x:v>65</x:v>
      </x:c>
      <x:c r="I2893" s="87" t="n">
        <x:v>360</x:v>
      </x:c>
      <x:c r="J2893" s="68" t="n">
        <x:f>IFERROR(H2893/I2893,"")</x:f>
        <x:v>0.18055555555555555</x:v>
      </x:c>
      <x:c r="K2893" s="69" t="n">
        <x:f>IFERROR(I2893/H2893,"")</x:f>
        <x:v>5.538461538461538</x:v>
      </x:c>
      <x:c r="L2893" s="66" t="str">
        <x:f>IF(K2893="","","1 : "&amp;TEXT(K2893,"0.0"))</x:f>
        <x:v>1 : 5.5</x:v>
      </x:c>
      <x:c r="M2893" s="66" t="str">
        <x:f>IF(J2893="","Baru/Tanpa Data",IF(J2893&lt;='Catatan &amp; Sumber'!$B$14,"Sangat Ketat",IF(J2893&lt;='Catatan &amp; Sumber'!$B$15,"Ketat",IF(J2893&lt;='Catatan &amp; Sumber'!$B$16,"Sedang","Relatif Longgar"))))</x:f>
        <x:v>Relatif Longgar</x:v>
      </x:c>
      <x:c r="N2893" s="66" t="str">
        <x:v>Tidak Ada</x:v>
      </x:c>
      <x:c r="O2893" s="66" t="str">
        <x:v>Jawa Timur</x:v>
      </x:c>
      <x:c r="P2893" s="66" t="str">
        <x:v>Kota Surabaya</x:v>
      </x:c>
      <x:c r="Q2893" s="66" t="str">
        <x:v>https://snpmb.id/snbp/daya-tampung-snbp</x:v>
      </x:c>
      <x:c r="R2893" s="66" t="str">
        <x:v>https://sidatagrun-public-1076756628210.asia-southeast2.run.app/ptn_sn.php?ptn=383</x:v>
      </x:c>
    </x:row>
    <x:row r="2894">
      <x:c r="A2894" s="87" t="n">
        <x:v>2854</x:v>
      </x:c>
      <x:c r="B2894" s="66" t="n">
        <x:v>383</x:v>
      </x:c>
      <x:c r="C2894" s="66" t="str">
        <x:v>UNIVERSITAS NEGERI SURABAYA</x:v>
      </x:c>
      <x:c r="D2894" s="66" t="str">
        <x:v>PTN Akademik</x:v>
      </x:c>
      <x:c r="E2894" s="66" t="str">
        <x:v>13831010</x:v>
      </x:c>
      <x:c r="F2894" s="66" t="str">
        <x:v>PENDIDIKAN TEKNIK ELEKTRO</x:v>
      </x:c>
      <x:c r="G2894" s="66" t="str">
        <x:v>Sarjana</x:v>
      </x:c>
      <x:c r="H2894" s="87" t="n">
        <x:v>30</x:v>
      </x:c>
      <x:c r="I2894" s="87" t="n">
        <x:v>112</x:v>
      </x:c>
      <x:c r="J2894" s="68" t="n">
        <x:f>IFERROR(H2894/I2894,"")</x:f>
        <x:v>0.26785714285714285</x:v>
      </x:c>
      <x:c r="K2894" s="69" t="n">
        <x:f>IFERROR(I2894/H2894,"")</x:f>
        <x:v>3.7333333333333334</x:v>
      </x:c>
      <x:c r="L2894" s="66" t="str">
        <x:f>IF(K2894="","","1 : "&amp;TEXT(K2894,"0.0"))</x:f>
        <x:v>1 : 3.7</x:v>
      </x:c>
      <x:c r="M2894" s="66" t="str">
        <x:f>IF(J2894="","Baru/Tanpa Data",IF(J2894&lt;='Catatan &amp; Sumber'!$B$14,"Sangat Ketat",IF(J2894&lt;='Catatan &amp; Sumber'!$B$15,"Ketat",IF(J2894&lt;='Catatan &amp; Sumber'!$B$16,"Sedang","Relatif Longgar"))))</x:f>
        <x:v>Relatif Longgar</x:v>
      </x:c>
      <x:c r="N2894" s="66" t="str">
        <x:v>Tidak Ada</x:v>
      </x:c>
      <x:c r="O2894" s="66" t="str">
        <x:v>Jawa Timur</x:v>
      </x:c>
      <x:c r="P2894" s="66" t="str">
        <x:v>Kota Surabaya</x:v>
      </x:c>
      <x:c r="Q2894" s="66" t="str">
        <x:v>https://snpmb.id/snbp/daya-tampung-snbp</x:v>
      </x:c>
      <x:c r="R2894" s="66" t="str">
        <x:v>https://sidatagrun-public-1076756628210.asia-southeast2.run.app/ptn_sn.php?ptn=383</x:v>
      </x:c>
    </x:row>
    <x:row r="2895">
      <x:c r="A2895" s="87" t="n">
        <x:v>2803</x:v>
      </x:c>
      <x:c r="B2895" s="66" t="n">
        <x:v>383</x:v>
      </x:c>
      <x:c r="C2895" s="66" t="str">
        <x:v>UNIVERSITAS NEGERI SURABAYA</x:v>
      </x:c>
      <x:c r="D2895" s="66" t="str">
        <x:v>PTN Akademik</x:v>
      </x:c>
      <x:c r="E2895" s="66" t="str">
        <x:v>13831011</x:v>
      </x:c>
      <x:c r="F2895" s="66" t="str">
        <x:v>PENDIDIKAN TEKNIK MESIN</x:v>
      </x:c>
      <x:c r="G2895" s="66" t="str">
        <x:v>Sarjana</x:v>
      </x:c>
      <x:c r="H2895" s="87" t="n">
        <x:v>35</x:v>
      </x:c>
      <x:c r="I2895" s="87" t="n">
        <x:v>135</x:v>
      </x:c>
      <x:c r="J2895" s="68" t="n">
        <x:f>IFERROR(H2895/I2895,"")</x:f>
        <x:v>0.25925925925925924</x:v>
      </x:c>
      <x:c r="K2895" s="69" t="n">
        <x:f>IFERROR(I2895/H2895,"")</x:f>
        <x:v>3.857142857142857</x:v>
      </x:c>
      <x:c r="L2895" s="66" t="str">
        <x:f>IF(K2895="","","1 : "&amp;TEXT(K2895,"0.0"))</x:f>
        <x:v>1 : 3.9</x:v>
      </x:c>
      <x:c r="M2895" s="66" t="str">
        <x:f>IF(J2895="","Baru/Tanpa Data",IF(J2895&lt;='Catatan &amp; Sumber'!$B$14,"Sangat Ketat",IF(J2895&lt;='Catatan &amp; Sumber'!$B$15,"Ketat",IF(J2895&lt;='Catatan &amp; Sumber'!$B$16,"Sedang","Relatif Longgar"))))</x:f>
        <x:v>Relatif Longgar</x:v>
      </x:c>
      <x:c r="N2895" s="66" t="str">
        <x:v>Tidak Ada</x:v>
      </x:c>
      <x:c r="O2895" s="66" t="str">
        <x:v>Jawa Timur</x:v>
      </x:c>
      <x:c r="P2895" s="66" t="str">
        <x:v>Kota Surabaya</x:v>
      </x:c>
      <x:c r="Q2895" s="66" t="str">
        <x:v>https://snpmb.id/snbp/daya-tampung-snbp</x:v>
      </x:c>
      <x:c r="R2895" s="66" t="str">
        <x:v>https://sidatagrun-public-1076756628210.asia-southeast2.run.app/ptn_sn.php?ptn=383</x:v>
      </x:c>
    </x:row>
    <x:row r="2896">
      <x:c r="A2896" s="87" t="n">
        <x:v>3384</x:v>
      </x:c>
      <x:c r="B2896" s="66" t="n">
        <x:v>383</x:v>
      </x:c>
      <x:c r="C2896" s="66" t="str">
        <x:v>UNIVERSITAS NEGERI SURABAYA</x:v>
      </x:c>
      <x:c r="D2896" s="66" t="str">
        <x:v>PTN Akademik</x:v>
      </x:c>
      <x:c r="E2896" s="66" t="str">
        <x:v>13831012</x:v>
      </x:c>
      <x:c r="F2896" s="66" t="str">
        <x:v>PENDIDIKAN TEKNIK BANGUNAN</x:v>
      </x:c>
      <x:c r="G2896" s="66" t="str">
        <x:v>Sarjana</x:v>
      </x:c>
      <x:c r="H2896" s="87" t="n">
        <x:v>40</x:v>
      </x:c>
      <x:c r="I2896" s="87" t="n">
        <x:v>101</x:v>
      </x:c>
      <x:c r="J2896" s="68" t="n">
        <x:f>IFERROR(H2896/I2896,"")</x:f>
        <x:v>0.39603960396039606</x:v>
      </x:c>
      <x:c r="K2896" s="69" t="n">
        <x:f>IFERROR(I2896/H2896,"")</x:f>
        <x:v>2.525</x:v>
      </x:c>
      <x:c r="L2896" s="66" t="str">
        <x:f>IF(K2896="","","1 : "&amp;TEXT(K2896,"0.0"))</x:f>
        <x:v>1 : 2.5</x:v>
      </x:c>
      <x:c r="M2896" s="66" t="str">
        <x:f>IF(J2896="","Baru/Tanpa Data",IF(J2896&lt;='Catatan &amp; Sumber'!$B$14,"Sangat Ketat",IF(J2896&lt;='Catatan &amp; Sumber'!$B$15,"Ketat",IF(J2896&lt;='Catatan &amp; Sumber'!$B$16,"Sedang","Relatif Longgar"))))</x:f>
        <x:v>Relatif Longgar</x:v>
      </x:c>
      <x:c r="N2896" s="66" t="str">
        <x:v>Tidak Ada</x:v>
      </x:c>
      <x:c r="O2896" s="66" t="str">
        <x:v>Jawa Timur</x:v>
      </x:c>
      <x:c r="P2896" s="66" t="str">
        <x:v>Kota Surabaya</x:v>
      </x:c>
      <x:c r="Q2896" s="66" t="str">
        <x:v>https://snpmb.id/snbp/daya-tampung-snbp</x:v>
      </x:c>
      <x:c r="R2896" s="66" t="str">
        <x:v>https://sidatagrun-public-1076756628210.asia-southeast2.run.app/ptn_sn.php?ptn=383</x:v>
      </x:c>
    </x:row>
    <x:row r="2897">
      <x:c r="A2897" s="87" t="n">
        <x:v>3001</x:v>
      </x:c>
      <x:c r="B2897" s="66" t="n">
        <x:v>383</x:v>
      </x:c>
      <x:c r="C2897" s="66" t="str">
        <x:v>UNIVERSITAS NEGERI SURABAYA</x:v>
      </x:c>
      <x:c r="D2897" s="66" t="str">
        <x:v>PTN Akademik</x:v>
      </x:c>
      <x:c r="E2897" s="66" t="str">
        <x:v>13831013</x:v>
      </x:c>
      <x:c r="F2897" s="66" t="str">
        <x:v>ILMU KEOLAHRAGAAN</x:v>
      </x:c>
      <x:c r="G2897" s="66" t="str">
        <x:v>Sarjana</x:v>
      </x:c>
      <x:c r="H2897" s="87" t="n">
        <x:v>80</x:v>
      </x:c>
      <x:c r="I2897" s="87" t="n">
        <x:v>273</x:v>
      </x:c>
      <x:c r="J2897" s="68" t="n">
        <x:f>IFERROR(H2897/I2897,"")</x:f>
        <x:v>0.29304029304029305</x:v>
      </x:c>
      <x:c r="K2897" s="69" t="n">
        <x:f>IFERROR(I2897/H2897,"")</x:f>
        <x:v>3.4125</x:v>
      </x:c>
      <x:c r="L2897" s="66" t="str">
        <x:f>IF(K2897="","","1 : "&amp;TEXT(K2897,"0.0"))</x:f>
        <x:v>1 : 3.4</x:v>
      </x:c>
      <x:c r="M2897" s="66" t="str">
        <x:f>IF(J2897="","Baru/Tanpa Data",IF(J2897&lt;='Catatan &amp; Sumber'!$B$14,"Sangat Ketat",IF(J2897&lt;='Catatan &amp; Sumber'!$B$15,"Ketat",IF(J2897&lt;='Catatan &amp; Sumber'!$B$16,"Sedang","Relatif Longgar"))))</x:f>
        <x:v>Relatif Longgar</x:v>
      </x:c>
      <x:c r="N2897" s="66" t="str">
        <x:v>Olahraga</x:v>
      </x:c>
      <x:c r="O2897" s="66" t="str">
        <x:v>Jawa Timur</x:v>
      </x:c>
      <x:c r="P2897" s="66" t="str">
        <x:v>Kota Surabaya</x:v>
      </x:c>
      <x:c r="Q2897" s="66" t="str">
        <x:v>https://snpmb.id/snbp/daya-tampung-snbp</x:v>
      </x:c>
      <x:c r="R2897" s="66" t="str">
        <x:v>https://sidatagrun-public-1076756628210.asia-southeast2.run.app/ptn_sn.php?ptn=383</x:v>
      </x:c>
    </x:row>
    <x:row r="2898">
      <x:c r="A2898" s="87" t="n">
        <x:v>1629</x:v>
      </x:c>
      <x:c r="B2898" s="66" t="n">
        <x:v>383</x:v>
      </x:c>
      <x:c r="C2898" s="66" t="str">
        <x:v>UNIVERSITAS NEGERI SURABAYA</x:v>
      </x:c>
      <x:c r="D2898" s="66" t="str">
        <x:v>PTN Akademik</x:v>
      </x:c>
      <x:c r="E2898" s="66" t="str">
        <x:v>13831014</x:v>
      </x:c>
      <x:c r="F2898" s="66" t="str">
        <x:v>TEKNIK SIPIL</x:v>
      </x:c>
      <x:c r="G2898" s="66" t="str">
        <x:v>Sarjana</x:v>
      </x:c>
      <x:c r="H2898" s="87" t="n">
        <x:v>90</x:v>
      </x:c>
      <x:c r="I2898" s="87" t="n">
        <x:v>756</x:v>
      </x:c>
      <x:c r="J2898" s="68" t="n">
        <x:f>IFERROR(H2898/I2898,"")</x:f>
        <x:v>0.11904761904761904</x:v>
      </x:c>
      <x:c r="K2898" s="69" t="n">
        <x:f>IFERROR(I2898/H2898,"")</x:f>
        <x:v>8.4</x:v>
      </x:c>
      <x:c r="L2898" s="66" t="str">
        <x:f>IF(K2898="","","1 : "&amp;TEXT(K2898,"0.0"))</x:f>
        <x:v>1 : 8.4</x:v>
      </x:c>
      <x:c r="M2898" s="66" t="str">
        <x:f>IF(J2898="","Baru/Tanpa Data",IF(J2898&lt;='Catatan &amp; Sumber'!$B$14,"Sangat Ketat",IF(J2898&lt;='Catatan &amp; Sumber'!$B$15,"Ketat",IF(J2898&lt;='Catatan &amp; Sumber'!$B$16,"Sedang","Relatif Longgar"))))</x:f>
        <x:v>Relatif Longgar</x:v>
      </x:c>
      <x:c r="N2898" s="66" t="str">
        <x:v>Tidak Ada</x:v>
      </x:c>
      <x:c r="O2898" s="66" t="str">
        <x:v>Jawa Timur</x:v>
      </x:c>
      <x:c r="P2898" s="66" t="str">
        <x:v>Kota Surabaya</x:v>
      </x:c>
      <x:c r="Q2898" s="66" t="str">
        <x:v>https://snpmb.id/snbp/daya-tampung-snbp</x:v>
      </x:c>
      <x:c r="R2898" s="66" t="str">
        <x:v>https://sidatagrun-public-1076756628210.asia-southeast2.run.app/ptn_sn.php?ptn=383</x:v>
      </x:c>
    </x:row>
    <x:row r="2899">
      <x:c r="A2899" s="87" t="n">
        <x:v>2588</x:v>
      </x:c>
      <x:c r="B2899" s="66" t="n">
        <x:v>383</x:v>
      </x:c>
      <x:c r="C2899" s="66" t="str">
        <x:v>UNIVERSITAS NEGERI SURABAYA</x:v>
      </x:c>
      <x:c r="D2899" s="66" t="str">
        <x:v>PTN Akademik</x:v>
      </x:c>
      <x:c r="E2899" s="66" t="str">
        <x:v>13831015</x:v>
      </x:c>
      <x:c r="F2899" s="66" t="str">
        <x:v>PENDIDIKAN TEKNOLOGI INFORMASI</x:v>
      </x:c>
      <x:c r="G2899" s="66" t="str">
        <x:v>Sarjana</x:v>
      </x:c>
      <x:c r="H2899" s="87" t="n">
        <x:v>60</x:v>
      </x:c>
      <x:c r="I2899" s="87" t="n">
        <x:v>265</x:v>
      </x:c>
      <x:c r="J2899" s="68" t="n">
        <x:f>IFERROR(H2899/I2899,"")</x:f>
        <x:v>0.22641509433962265</x:v>
      </x:c>
      <x:c r="K2899" s="69" t="n">
        <x:f>IFERROR(I2899/H2899,"")</x:f>
        <x:v>4.416666666666667</x:v>
      </x:c>
      <x:c r="L2899" s="66" t="str">
        <x:f>IF(K2899="","","1 : "&amp;TEXT(K2899,"0.0"))</x:f>
        <x:v>1 : 4.4</x:v>
      </x:c>
      <x:c r="M2899" s="66" t="str">
        <x:f>IF(J2899="","Baru/Tanpa Data",IF(J2899&lt;='Catatan &amp; Sumber'!$B$14,"Sangat Ketat",IF(J2899&lt;='Catatan &amp; Sumber'!$B$15,"Ketat",IF(J2899&lt;='Catatan &amp; Sumber'!$B$16,"Sedang","Relatif Longgar"))))</x:f>
        <x:v>Relatif Longgar</x:v>
      </x:c>
      <x:c r="N2899" s="66" t="str">
        <x:v>Tidak Ada</x:v>
      </x:c>
      <x:c r="O2899" s="66" t="str">
        <x:v>Jawa Timur</x:v>
      </x:c>
      <x:c r="P2899" s="66" t="str">
        <x:v>Kota Surabaya</x:v>
      </x:c>
      <x:c r="Q2899" s="66" t="str">
        <x:v>https://snpmb.id/snbp/daya-tampung-snbp</x:v>
      </x:c>
      <x:c r="R2899" s="66" t="str">
        <x:v>https://sidatagrun-public-1076756628210.asia-southeast2.run.app/ptn_sn.php?ptn=383</x:v>
      </x:c>
    </x:row>
    <x:row r="2900">
      <x:c r="A2900" s="87" t="n">
        <x:v>1708</x:v>
      </x:c>
      <x:c r="B2900" s="66" t="n">
        <x:v>383</x:v>
      </x:c>
      <x:c r="C2900" s="66" t="str">
        <x:v>UNIVERSITAS NEGERI SURABAYA</x:v>
      </x:c>
      <x:c r="D2900" s="66" t="str">
        <x:v>PTN Akademik</x:v>
      </x:c>
      <x:c r="E2900" s="66" t="str">
        <x:v>13831016</x:v>
      </x:c>
      <x:c r="F2900" s="66" t="str">
        <x:v>TEKNIK ELEKTRO</x:v>
      </x:c>
      <x:c r="G2900" s="66" t="str">
        <x:v>Sarjana</x:v>
      </x:c>
      <x:c r="H2900" s="87" t="n">
        <x:v>70</x:v>
      </x:c>
      <x:c r="I2900" s="87" t="n">
        <x:v>560</x:v>
      </x:c>
      <x:c r="J2900" s="68" t="n">
        <x:f>IFERROR(H2900/I2900,"")</x:f>
        <x:v>0.125</x:v>
      </x:c>
      <x:c r="K2900" s="69" t="n">
        <x:f>IFERROR(I2900/H2900,"")</x:f>
        <x:v>8</x:v>
      </x:c>
      <x:c r="L2900" s="66" t="str">
        <x:f>IF(K2900="","","1 : "&amp;TEXT(K2900,"0.0"))</x:f>
        <x:v>1 : 8.0</x:v>
      </x:c>
      <x:c r="M2900" s="66" t="str">
        <x:f>IF(J2900="","Baru/Tanpa Data",IF(J2900&lt;='Catatan &amp; Sumber'!$B$14,"Sangat Ketat",IF(J2900&lt;='Catatan &amp; Sumber'!$B$15,"Ketat",IF(J2900&lt;='Catatan &amp; Sumber'!$B$16,"Sedang","Relatif Longgar"))))</x:f>
        <x:v>Relatif Longgar</x:v>
      </x:c>
      <x:c r="N2900" s="66" t="str">
        <x:v>Tidak Ada</x:v>
      </x:c>
      <x:c r="O2900" s="66" t="str">
        <x:v>Jawa Timur</x:v>
      </x:c>
      <x:c r="P2900" s="66" t="str">
        <x:v>Kota Surabaya</x:v>
      </x:c>
      <x:c r="Q2900" s="66" t="str">
        <x:v>https://snpmb.id/snbp/daya-tampung-snbp</x:v>
      </x:c>
      <x:c r="R2900" s="66" t="str">
        <x:v>https://sidatagrun-public-1076756628210.asia-southeast2.run.app/ptn_sn.php?ptn=383</x:v>
      </x:c>
    </x:row>
    <x:row r="2901">
      <x:c r="A2901" s="87" t="n">
        <x:v>1393</x:v>
      </x:c>
      <x:c r="B2901" s="66" t="n">
        <x:v>383</x:v>
      </x:c>
      <x:c r="C2901" s="66" t="str">
        <x:v>UNIVERSITAS NEGERI SURABAYA</x:v>
      </x:c>
      <x:c r="D2901" s="66" t="str">
        <x:v>PTN Akademik</x:v>
      </x:c>
      <x:c r="E2901" s="66" t="str">
        <x:v>13831017</x:v>
      </x:c>
      <x:c r="F2901" s="66" t="str">
        <x:v>TEKNIK MESIN</x:v>
      </x:c>
      <x:c r="G2901" s="66" t="str">
        <x:v>Sarjana</x:v>
      </x:c>
      <x:c r="H2901" s="87" t="n">
        <x:v>70</x:v>
      </x:c>
      <x:c r="I2901" s="87" t="n">
        <x:v>689</x:v>
      </x:c>
      <x:c r="J2901" s="68" t="n">
        <x:f>IFERROR(H2901/I2901,"")</x:f>
        <x:v>0.10159651669085631</x:v>
      </x:c>
      <x:c r="K2901" s="69" t="n">
        <x:f>IFERROR(I2901/H2901,"")</x:f>
        <x:v>9.842857142857143</x:v>
      </x:c>
      <x:c r="L2901" s="66" t="str">
        <x:f>IF(K2901="","","1 : "&amp;TEXT(K2901,"0.0"))</x:f>
        <x:v>1 : 9.8</x:v>
      </x:c>
      <x:c r="M2901" s="66" t="str">
        <x:f>IF(J2901="","Baru/Tanpa Data",IF(J2901&lt;='Catatan &amp; Sumber'!$B$14,"Sangat Ketat",IF(J2901&lt;='Catatan &amp; Sumber'!$B$15,"Ketat",IF(J2901&lt;='Catatan &amp; Sumber'!$B$16,"Sedang","Relatif Longgar"))))</x:f>
        <x:v>Relatif Longgar</x:v>
      </x:c>
      <x:c r="N2901" s="66" t="str">
        <x:v>Tidak Ada</x:v>
      </x:c>
      <x:c r="O2901" s="66" t="str">
        <x:v>Jawa Timur</x:v>
      </x:c>
      <x:c r="P2901" s="66" t="str">
        <x:v>Kota Surabaya</x:v>
      </x:c>
      <x:c r="Q2901" s="66" t="str">
        <x:v>https://snpmb.id/snbp/daya-tampung-snbp</x:v>
      </x:c>
      <x:c r="R2901" s="66" t="str">
        <x:v>https://sidatagrun-public-1076756628210.asia-southeast2.run.app/ptn_sn.php?ptn=383</x:v>
      </x:c>
    </x:row>
    <x:row r="2902">
      <x:c r="A2902" s="87" t="n">
        <x:v>1388</x:v>
      </x:c>
      <x:c r="B2902" s="66" t="n">
        <x:v>383</x:v>
      </x:c>
      <x:c r="C2902" s="66" t="str">
        <x:v>UNIVERSITAS NEGERI SURABAYA</x:v>
      </x:c>
      <x:c r="D2902" s="66" t="str">
        <x:v>PTN Akademik</x:v>
      </x:c>
      <x:c r="E2902" s="66" t="str">
        <x:v>13831018</x:v>
      </x:c>
      <x:c r="F2902" s="66" t="str">
        <x:v>SISTEM INFORMASI</x:v>
      </x:c>
      <x:c r="G2902" s="66" t="str">
        <x:v>Sarjana</x:v>
      </x:c>
      <x:c r="H2902" s="87" t="n">
        <x:v>80</x:v>
      </x:c>
      <x:c r="I2902" s="87" t="n">
        <x:v>791</x:v>
      </x:c>
      <x:c r="J2902" s="68" t="n">
        <x:f>IFERROR(H2902/I2902,"")</x:f>
        <x:v>0.1011378002528445</x:v>
      </x:c>
      <x:c r="K2902" s="69" t="n">
        <x:f>IFERROR(I2902/H2902,"")</x:f>
        <x:v>9.8875</x:v>
      </x:c>
      <x:c r="L2902" s="66" t="str">
        <x:f>IF(K2902="","","1 : "&amp;TEXT(K2902,"0.0"))</x:f>
        <x:v>1 : 9.9</x:v>
      </x:c>
      <x:c r="M2902" s="66" t="str">
        <x:f>IF(J2902="","Baru/Tanpa Data",IF(J2902&lt;='Catatan &amp; Sumber'!$B$14,"Sangat Ketat",IF(J2902&lt;='Catatan &amp; Sumber'!$B$15,"Ketat",IF(J2902&lt;='Catatan &amp; Sumber'!$B$16,"Sedang","Relatif Longgar"))))</x:f>
        <x:v>Relatif Longgar</x:v>
      </x:c>
      <x:c r="N2902" s="66" t="str">
        <x:v>Tidak Ada</x:v>
      </x:c>
      <x:c r="O2902" s="66" t="str">
        <x:v>Jawa Timur</x:v>
      </x:c>
      <x:c r="P2902" s="66" t="str">
        <x:v>Kota Surabaya</x:v>
      </x:c>
      <x:c r="Q2902" s="66" t="str">
        <x:v>https://snpmb.id/snbp/daya-tampung-snbp</x:v>
      </x:c>
      <x:c r="R2902" s="66" t="str">
        <x:v>https://sidatagrun-public-1076756628210.asia-southeast2.run.app/ptn_sn.php?ptn=383</x:v>
      </x:c>
    </x:row>
    <x:row r="2903">
      <x:c r="A2903" s="87" t="n">
        <x:v>645</x:v>
      </x:c>
      <x:c r="B2903" s="66" t="n">
        <x:v>383</x:v>
      </x:c>
      <x:c r="C2903" s="66" t="str">
        <x:v>UNIVERSITAS NEGERI SURABAYA</x:v>
      </x:c>
      <x:c r="D2903" s="66" t="str">
        <x:v>PTN Akademik</x:v>
      </x:c>
      <x:c r="E2903" s="66" t="str">
        <x:v>13831019</x:v>
      </x:c>
      <x:c r="F2903" s="66" t="str">
        <x:v>TEKNIK INFORMATIKA</x:v>
      </x:c>
      <x:c r="G2903" s="66" t="str">
        <x:v>Sarjana</x:v>
      </x:c>
      <x:c r="H2903" s="87" t="n">
        <x:v>55</x:v>
      </x:c>
      <x:c r="I2903" s="87" t="n">
        <x:v>928</x:v>
      </x:c>
      <x:c r="J2903" s="68" t="n">
        <x:f>IFERROR(H2903/I2903,"")</x:f>
        <x:v>0.059267241379310345</x:v>
      </x:c>
      <x:c r="K2903" s="69" t="n">
        <x:f>IFERROR(I2903/H2903,"")</x:f>
        <x:v>16.87272727272727</x:v>
      </x:c>
      <x:c r="L2903" s="66" t="str">
        <x:f>IF(K2903="","","1 : "&amp;TEXT(K2903,"0.0"))</x:f>
        <x:v>1 : 16.9</x:v>
      </x:c>
      <x:c r="M2903" s="66" t="str">
        <x:f>IF(J2903="","Baru/Tanpa Data",IF(J2903&lt;='Catatan &amp; Sumber'!$B$14,"Sangat Ketat",IF(J2903&lt;='Catatan &amp; Sumber'!$B$15,"Ketat",IF(J2903&lt;='Catatan &amp; Sumber'!$B$16,"Sedang","Relatif Longgar"))))</x:f>
        <x:v>Sedang</x:v>
      </x:c>
      <x:c r="N2903" s="66" t="str">
        <x:v>Tidak Ada</x:v>
      </x:c>
      <x:c r="O2903" s="66" t="str">
        <x:v>Jawa Timur</x:v>
      </x:c>
      <x:c r="P2903" s="66" t="str">
        <x:v>Kota Surabaya</x:v>
      </x:c>
      <x:c r="Q2903" s="66" t="str">
        <x:v>https://snpmb.id/snbp/daya-tampung-snbp</x:v>
      </x:c>
      <x:c r="R2903" s="66" t="str">
        <x:v>https://sidatagrun-public-1076756628210.asia-southeast2.run.app/ptn_sn.php?ptn=383</x:v>
      </x:c>
    </x:row>
    <x:row r="2904">
      <x:c r="A2904" s="87" t="n">
        <x:v>244</x:v>
      </x:c>
      <x:c r="B2904" s="66" t="n">
        <x:v>383</x:v>
      </x:c>
      <x:c r="C2904" s="66" t="str">
        <x:v>UNIVERSITAS NEGERI SURABAYA</x:v>
      </x:c>
      <x:c r="D2904" s="66" t="str">
        <x:v>PTN Akademik</x:v>
      </x:c>
      <x:c r="E2904" s="66" t="str">
        <x:v>13831020</x:v>
      </x:c>
      <x:c r="F2904" s="66" t="str">
        <x:v>GIZI</x:v>
      </x:c>
      <x:c r="G2904" s="66" t="str">
        <x:v>Sarjana</x:v>
      </x:c>
      <x:c r="H2904" s="87" t="n">
        <x:v>40</x:v>
      </x:c>
      <x:c r="I2904" s="87" t="n">
        <x:v>1022</x:v>
      </x:c>
      <x:c r="J2904" s="68" t="n">
        <x:f>IFERROR(H2904/I2904,"")</x:f>
        <x:v>0.03913894324853229</x:v>
      </x:c>
      <x:c r="K2904" s="69" t="n">
        <x:f>IFERROR(I2904/H2904,"")</x:f>
        <x:v>25.55</x:v>
      </x:c>
      <x:c r="L2904" s="66" t="str">
        <x:f>IF(K2904="","","1 : "&amp;TEXT(K2904,"0.0"))</x:f>
        <x:v>1 : 25.6</x:v>
      </x:c>
      <x:c r="M2904" s="66" t="str">
        <x:f>IF(J2904="","Baru/Tanpa Data",IF(J2904&lt;='Catatan &amp; Sumber'!$B$14,"Sangat Ketat",IF(J2904&lt;='Catatan &amp; Sumber'!$B$15,"Ketat",IF(J2904&lt;='Catatan &amp; Sumber'!$B$16,"Sedang","Relatif Longgar"))))</x:f>
        <x:v>Ketat</x:v>
      </x:c>
      <x:c r="N2904" s="66" t="str">
        <x:v>Tidak Ada</x:v>
      </x:c>
      <x:c r="O2904" s="66" t="str">
        <x:v>Jawa Timur</x:v>
      </x:c>
      <x:c r="P2904" s="66" t="str">
        <x:v>Kota Surabaya</x:v>
      </x:c>
      <x:c r="Q2904" s="66" t="str">
        <x:v>https://snpmb.id/snbp/daya-tampung-snbp</x:v>
      </x:c>
      <x:c r="R2904" s="66" t="str">
        <x:v>https://sidatagrun-public-1076756628210.asia-southeast2.run.app/ptn_sn.php?ptn=383</x:v>
      </x:c>
    </x:row>
    <x:row r="2905">
      <x:c r="A2905" s="87" t="n">
        <x:v>1629</x:v>
      </x:c>
      <x:c r="B2905" s="66" t="n">
        <x:v>383</x:v>
      </x:c>
      <x:c r="C2905" s="66" t="str">
        <x:v>UNIVERSITAS NEGERI SURABAYA</x:v>
      </x:c>
      <x:c r="D2905" s="66" t="str">
        <x:v>PTN Akademik</x:v>
      </x:c>
      <x:c r="E2905" s="66" t="str">
        <x:v>13831027</x:v>
      </x:c>
      <x:c r="F2905" s="66" t="str">
        <x:v>BIMBINGAN DAN KONSELING</x:v>
      </x:c>
      <x:c r="G2905" s="66" t="str">
        <x:v>Sarjana</x:v>
      </x:c>
      <x:c r="H2905" s="87" t="n">
        <x:v>90</x:v>
      </x:c>
      <x:c r="I2905" s="87" t="n">
        <x:v>756</x:v>
      </x:c>
      <x:c r="J2905" s="68" t="n">
        <x:f>IFERROR(H2905/I2905,"")</x:f>
        <x:v>0.11904761904761904</x:v>
      </x:c>
      <x:c r="K2905" s="69" t="n">
        <x:f>IFERROR(I2905/H2905,"")</x:f>
        <x:v>8.4</x:v>
      </x:c>
      <x:c r="L2905" s="66" t="str">
        <x:f>IF(K2905="","","1 : "&amp;TEXT(K2905,"0.0"))</x:f>
        <x:v>1 : 8.4</x:v>
      </x:c>
      <x:c r="M2905" s="66" t="str">
        <x:f>IF(J2905="","Baru/Tanpa Data",IF(J2905&lt;='Catatan &amp; Sumber'!$B$14,"Sangat Ketat",IF(J2905&lt;='Catatan &amp; Sumber'!$B$15,"Ketat",IF(J2905&lt;='Catatan &amp; Sumber'!$B$16,"Sedang","Relatif Longgar"))))</x:f>
        <x:v>Relatif Longgar</x:v>
      </x:c>
      <x:c r="N2905" s="66" t="str">
        <x:v>Tidak Ada</x:v>
      </x:c>
      <x:c r="O2905" s="66" t="str">
        <x:v>Jawa Timur</x:v>
      </x:c>
      <x:c r="P2905" s="66" t="str">
        <x:v>Kota Surabaya</x:v>
      </x:c>
      <x:c r="Q2905" s="66" t="str">
        <x:v>https://snpmb.id/snbp/daya-tampung-snbp</x:v>
      </x:c>
      <x:c r="R2905" s="66" t="str">
        <x:v>https://sidatagrun-public-1076756628210.asia-southeast2.run.app/ptn_sn.php?ptn=383</x:v>
      </x:c>
    </x:row>
    <x:row r="2906">
      <x:c r="A2906" s="87" t="n">
        <x:v>3081</x:v>
      </x:c>
      <x:c r="B2906" s="66" t="n">
        <x:v>383</x:v>
      </x:c>
      <x:c r="C2906" s="66" t="str">
        <x:v>UNIVERSITAS NEGERI SURABAYA</x:v>
      </x:c>
      <x:c r="D2906" s="66" t="str">
        <x:v>PTN Akademik</x:v>
      </x:c>
      <x:c r="E2906" s="66" t="str">
        <x:v>13831028</x:v>
      </x:c>
      <x:c r="F2906" s="66" t="str">
        <x:v>TEKNOLOGI PENDIDIKAN</x:v>
      </x:c>
      <x:c r="G2906" s="66" t="str">
        <x:v>Sarjana</x:v>
      </x:c>
      <x:c r="H2906" s="87" t="n">
        <x:v>80</x:v>
      </x:c>
      <x:c r="I2906" s="87" t="n">
        <x:v>257</x:v>
      </x:c>
      <x:c r="J2906" s="68" t="n">
        <x:f>IFERROR(H2906/I2906,"")</x:f>
        <x:v>0.311284046692607</x:v>
      </x:c>
      <x:c r="K2906" s="69" t="n">
        <x:f>IFERROR(I2906/H2906,"")</x:f>
        <x:v>3.2125</x:v>
      </x:c>
      <x:c r="L2906" s="66" t="str">
        <x:f>IF(K2906="","","1 : "&amp;TEXT(K2906,"0.0"))</x:f>
        <x:v>1 : 3.2</x:v>
      </x:c>
      <x:c r="M2906" s="66" t="str">
        <x:f>IF(J2906="","Baru/Tanpa Data",IF(J2906&lt;='Catatan &amp; Sumber'!$B$14,"Sangat Ketat",IF(J2906&lt;='Catatan &amp; Sumber'!$B$15,"Ketat",IF(J2906&lt;='Catatan &amp; Sumber'!$B$16,"Sedang","Relatif Longgar"))))</x:f>
        <x:v>Relatif Longgar</x:v>
      </x:c>
      <x:c r="N2906" s="66" t="str">
        <x:v>Tidak Ada</x:v>
      </x:c>
      <x:c r="O2906" s="66" t="str">
        <x:v>Jawa Timur</x:v>
      </x:c>
      <x:c r="P2906" s="66" t="str">
        <x:v>Kota Surabaya</x:v>
      </x:c>
      <x:c r="Q2906" s="66" t="str">
        <x:v>https://snpmb.id/snbp/daya-tampung-snbp</x:v>
      </x:c>
      <x:c r="R2906" s="66" t="str">
        <x:v>https://sidatagrun-public-1076756628210.asia-southeast2.run.app/ptn_sn.php?ptn=383</x:v>
      </x:c>
    </x:row>
    <x:row r="2907">
      <x:c r="A2907" s="87" t="n">
        <x:v>3515</x:v>
      </x:c>
      <x:c r="B2907" s="66" t="n">
        <x:v>383</x:v>
      </x:c>
      <x:c r="C2907" s="66" t="str">
        <x:v>UNIVERSITAS NEGERI SURABAYA</x:v>
      </x:c>
      <x:c r="D2907" s="66" t="str">
        <x:v>PTN Akademik</x:v>
      </x:c>
      <x:c r="E2907" s="66" t="str">
        <x:v>13831029</x:v>
      </x:c>
      <x:c r="F2907" s="66" t="str">
        <x:v>PENDIDIKAN LUAR SEKOLAH</x:v>
      </x:c>
      <x:c r="G2907" s="66" t="str">
        <x:v>Sarjana</x:v>
      </x:c>
      <x:c r="H2907" s="87" t="n">
        <x:v>50</x:v>
      </x:c>
      <x:c r="I2907" s="87" t="n">
        <x:v>114</x:v>
      </x:c>
      <x:c r="J2907" s="68" t="n">
        <x:f>IFERROR(H2907/I2907,"")</x:f>
        <x:v>0.43859649122807015</x:v>
      </x:c>
      <x:c r="K2907" s="69" t="n">
        <x:f>IFERROR(I2907/H2907,"")</x:f>
        <x:v>2.28</x:v>
      </x:c>
      <x:c r="L2907" s="66" t="str">
        <x:f>IF(K2907="","","1 : "&amp;TEXT(K2907,"0.0"))</x:f>
        <x:v>1 : 2.3</x:v>
      </x:c>
      <x:c r="M2907" s="66" t="str">
        <x:f>IF(J2907="","Baru/Tanpa Data",IF(J2907&lt;='Catatan &amp; Sumber'!$B$14,"Sangat Ketat",IF(J2907&lt;='Catatan &amp; Sumber'!$B$15,"Ketat",IF(J2907&lt;='Catatan &amp; Sumber'!$B$16,"Sedang","Relatif Longgar"))))</x:f>
        <x:v>Relatif Longgar</x:v>
      </x:c>
      <x:c r="N2907" s="66" t="str">
        <x:v>Tidak Ada</x:v>
      </x:c>
      <x:c r="O2907" s="66" t="str">
        <x:v>Jawa Timur</x:v>
      </x:c>
      <x:c r="P2907" s="66" t="str">
        <x:v>Kota Surabaya</x:v>
      </x:c>
      <x:c r="Q2907" s="66" t="str">
        <x:v>https://snpmb.id/snbp/daya-tampung-snbp</x:v>
      </x:c>
      <x:c r="R2907" s="66" t="str">
        <x:v>https://sidatagrun-public-1076756628210.asia-southeast2.run.app/ptn_sn.php?ptn=383</x:v>
      </x:c>
    </x:row>
    <x:row r="2908">
      <x:c r="A2908" s="87" t="n">
        <x:v>3298</x:v>
      </x:c>
      <x:c r="B2908" s="66" t="n">
        <x:v>383</x:v>
      </x:c>
      <x:c r="C2908" s="66" t="str">
        <x:v>UNIVERSITAS NEGERI SURABAYA</x:v>
      </x:c>
      <x:c r="D2908" s="66" t="str">
        <x:v>PTN Akademik</x:v>
      </x:c>
      <x:c r="E2908" s="66" t="str">
        <x:v>13831030</x:v>
      </x:c>
      <x:c r="F2908" s="66" t="str">
        <x:v>PENDIDIKAN LUAR BIASA</x:v>
      </x:c>
      <x:c r="G2908" s="66" t="str">
        <x:v>Sarjana</x:v>
      </x:c>
      <x:c r="H2908" s="87" t="n">
        <x:v>75</x:v>
      </x:c>
      <x:c r="I2908" s="87" t="n">
        <x:v>200</x:v>
      </x:c>
      <x:c r="J2908" s="68" t="n">
        <x:f>IFERROR(H2908/I2908,"")</x:f>
        <x:v>0.375</x:v>
      </x:c>
      <x:c r="K2908" s="69" t="n">
        <x:f>IFERROR(I2908/H2908,"")</x:f>
        <x:v>2.6666666666666665</x:v>
      </x:c>
      <x:c r="L2908" s="66" t="str">
        <x:f>IF(K2908="","","1 : "&amp;TEXT(K2908,"0.0"))</x:f>
        <x:v>1 : 2.7</x:v>
      </x:c>
      <x:c r="M2908" s="66" t="str">
        <x:f>IF(J2908="","Baru/Tanpa Data",IF(J2908&lt;='Catatan &amp; Sumber'!$B$14,"Sangat Ketat",IF(J2908&lt;='Catatan &amp; Sumber'!$B$15,"Ketat",IF(J2908&lt;='Catatan &amp; Sumber'!$B$16,"Sedang","Relatif Longgar"))))</x:f>
        <x:v>Relatif Longgar</x:v>
      </x:c>
      <x:c r="N2908" s="66" t="str">
        <x:v>Tidak Ada</x:v>
      </x:c>
      <x:c r="O2908" s="66" t="str">
        <x:v>Jawa Timur</x:v>
      </x:c>
      <x:c r="P2908" s="66" t="str">
        <x:v>Kota Surabaya</x:v>
      </x:c>
      <x:c r="Q2908" s="66" t="str">
        <x:v>https://snpmb.id/snbp/daya-tampung-snbp</x:v>
      </x:c>
      <x:c r="R2908" s="66" t="str">
        <x:v>https://sidatagrun-public-1076756628210.asia-southeast2.run.app/ptn_sn.php?ptn=383</x:v>
      </x:c>
    </x:row>
    <x:row r="2909">
      <x:c r="A2909" s="87" t="n">
        <x:v>1057</x:v>
      </x:c>
      <x:c r="B2909" s="66" t="n">
        <x:v>383</x:v>
      </x:c>
      <x:c r="C2909" s="66" t="str">
        <x:v>UNIVERSITAS NEGERI SURABAYA</x:v>
      </x:c>
      <x:c r="D2909" s="66" t="str">
        <x:v>PTN Akademik</x:v>
      </x:c>
      <x:c r="E2909" s="66" t="str">
        <x:v>13831031</x:v>
      </x:c>
      <x:c r="F2909" s="66" t="str">
        <x:v>PENDIDIKAN GURU SEKOLAH DASAR</x:v>
      </x:c>
      <x:c r="G2909" s="66" t="str">
        <x:v>Sarjana</x:v>
      </x:c>
      <x:c r="H2909" s="87" t="n">
        <x:v>130</x:v>
      </x:c>
      <x:c r="I2909" s="87" t="n">
        <x:v>1594</x:v>
      </x:c>
      <x:c r="J2909" s="68" t="n">
        <x:f>IFERROR(H2909/I2909,"")</x:f>
        <x:v>0.08155583437892096</x:v>
      </x:c>
      <x:c r="K2909" s="69" t="n">
        <x:f>IFERROR(I2909/H2909,"")</x:f>
        <x:v>12.261538461538462</x:v>
      </x:c>
      <x:c r="L2909" s="66" t="str">
        <x:f>IF(K2909="","","1 : "&amp;TEXT(K2909,"0.0"))</x:f>
        <x:v>1 : 12.3</x:v>
      </x:c>
      <x:c r="M2909" s="66" t="str">
        <x:f>IF(J2909="","Baru/Tanpa Data",IF(J2909&lt;='Catatan &amp; Sumber'!$B$14,"Sangat Ketat",IF(J2909&lt;='Catatan &amp; Sumber'!$B$15,"Ketat",IF(J2909&lt;='Catatan &amp; Sumber'!$B$16,"Sedang","Relatif Longgar"))))</x:f>
        <x:v>Sedang</x:v>
      </x:c>
      <x:c r="N2909" s="66" t="str">
        <x:v>Tidak Ada</x:v>
      </x:c>
      <x:c r="O2909" s="66" t="str">
        <x:v>Jawa Timur</x:v>
      </x:c>
      <x:c r="P2909" s="66" t="str">
        <x:v>Kota Surabaya</x:v>
      </x:c>
      <x:c r="Q2909" s="66" t="str">
        <x:v>https://snpmb.id/snbp/daya-tampung-snbp</x:v>
      </x:c>
      <x:c r="R2909" s="66" t="str">
        <x:v>https://sidatagrun-public-1076756628210.asia-southeast2.run.app/ptn_sn.php?ptn=383</x:v>
      </x:c>
    </x:row>
    <x:row r="2910">
      <x:c r="A2910" s="87" t="n">
        <x:v>1008</x:v>
      </x:c>
      <x:c r="B2910" s="66" t="n">
        <x:v>383</x:v>
      </x:c>
      <x:c r="C2910" s="66" t="str">
        <x:v>UNIVERSITAS NEGERI SURABAYA</x:v>
      </x:c>
      <x:c r="D2910" s="66" t="str">
        <x:v>PTN Akademik</x:v>
      </x:c>
      <x:c r="E2910" s="66" t="str">
        <x:v>13831032</x:v>
      </x:c>
      <x:c r="F2910" s="66" t="str">
        <x:v>PSIKOLOGI</x:v>
      </x:c>
      <x:c r="G2910" s="66" t="str">
        <x:v>Sarjana</x:v>
      </x:c>
      <x:c r="H2910" s="87" t="n">
        <x:v>114</x:v>
      </x:c>
      <x:c r="I2910" s="87" t="n">
        <x:v>1448</x:v>
      </x:c>
      <x:c r="J2910" s="68" t="n">
        <x:f>IFERROR(H2910/I2910,"")</x:f>
        <x:v>0.0787292817679558</x:v>
      </x:c>
      <x:c r="K2910" s="69" t="n">
        <x:f>IFERROR(I2910/H2910,"")</x:f>
        <x:v>12.701754385964913</x:v>
      </x:c>
      <x:c r="L2910" s="66" t="str">
        <x:f>IF(K2910="","","1 : "&amp;TEXT(K2910,"0.0"))</x:f>
        <x:v>1 : 12.7</x:v>
      </x:c>
      <x:c r="M2910" s="66" t="str">
        <x:f>IF(J2910="","Baru/Tanpa Data",IF(J2910&lt;='Catatan &amp; Sumber'!$B$14,"Sangat Ketat",IF(J2910&lt;='Catatan &amp; Sumber'!$B$15,"Ketat",IF(J2910&lt;='Catatan &amp; Sumber'!$B$16,"Sedang","Relatif Longgar"))))</x:f>
        <x:v>Sedang</x:v>
      </x:c>
      <x:c r="N2910" s="66" t="str">
        <x:v>Tidak Ada</x:v>
      </x:c>
      <x:c r="O2910" s="66" t="str">
        <x:v>Jawa Timur</x:v>
      </x:c>
      <x:c r="P2910" s="66" t="str">
        <x:v>Kota Surabaya</x:v>
      </x:c>
      <x:c r="Q2910" s="66" t="str">
        <x:v>https://snpmb.id/snbp/daya-tampung-snbp</x:v>
      </x:c>
      <x:c r="R2910" s="66" t="str">
        <x:v>https://sidatagrun-public-1076756628210.asia-southeast2.run.app/ptn_sn.php?ptn=383</x:v>
      </x:c>
    </x:row>
    <x:row r="2911">
      <x:c r="A2911" s="87" t="n">
        <x:v>2936</x:v>
      </x:c>
      <x:c r="B2911" s="66" t="n">
        <x:v>383</x:v>
      </x:c>
      <x:c r="C2911" s="66" t="str">
        <x:v>UNIVERSITAS NEGERI SURABAYA</x:v>
      </x:c>
      <x:c r="D2911" s="66" t="str">
        <x:v>PTN Akademik</x:v>
      </x:c>
      <x:c r="E2911" s="66" t="str">
        <x:v>13831033</x:v>
      </x:c>
      <x:c r="F2911" s="66" t="str">
        <x:v>PENDIDIKAN GURU PENDIDIKAN ANAK USIA DINI</x:v>
      </x:c>
      <x:c r="G2911" s="66" t="str">
        <x:v>Sarjana</x:v>
      </x:c>
      <x:c r="H2911" s="87" t="n">
        <x:v>90</x:v>
      </x:c>
      <x:c r="I2911" s="87" t="n">
        <x:v>321</x:v>
      </x:c>
      <x:c r="J2911" s="68" t="n">
        <x:f>IFERROR(H2911/I2911,"")</x:f>
        <x:v>0.2803738317757009</x:v>
      </x:c>
      <x:c r="K2911" s="69" t="n">
        <x:f>IFERROR(I2911/H2911,"")</x:f>
        <x:v>3.566666666666667</x:v>
      </x:c>
      <x:c r="L2911" s="66" t="str">
        <x:f>IF(K2911="","","1 : "&amp;TEXT(K2911,"0.0"))</x:f>
        <x:v>1 : 3.6</x:v>
      </x:c>
      <x:c r="M2911" s="66" t="str">
        <x:f>IF(J2911="","Baru/Tanpa Data",IF(J2911&lt;='Catatan &amp; Sumber'!$B$14,"Sangat Ketat",IF(J2911&lt;='Catatan &amp; Sumber'!$B$15,"Ketat",IF(J2911&lt;='Catatan &amp; Sumber'!$B$16,"Sedang","Relatif Longgar"))))</x:f>
        <x:v>Relatif Longgar</x:v>
      </x:c>
      <x:c r="N2911" s="66" t="str">
        <x:v>Tidak Ada</x:v>
      </x:c>
      <x:c r="O2911" s="66" t="str">
        <x:v>Jawa Timur</x:v>
      </x:c>
      <x:c r="P2911" s="66" t="str">
        <x:v>Kota Surabaya</x:v>
      </x:c>
      <x:c r="Q2911" s="66" t="str">
        <x:v>https://snpmb.id/snbp/daya-tampung-snbp</x:v>
      </x:c>
      <x:c r="R2911" s="66" t="str">
        <x:v>https://sidatagrun-public-1076756628210.asia-southeast2.run.app/ptn_sn.php?ptn=383</x:v>
      </x:c>
    </x:row>
    <x:row r="2912">
      <x:c r="A2912" s="87" t="n">
        <x:v>1803</x:v>
      </x:c>
      <x:c r="B2912" s="66" t="n">
        <x:v>383</x:v>
      </x:c>
      <x:c r="C2912" s="66" t="str">
        <x:v>UNIVERSITAS NEGERI SURABAYA</x:v>
      </x:c>
      <x:c r="D2912" s="66" t="str">
        <x:v>PTN Akademik</x:v>
      </x:c>
      <x:c r="E2912" s="66" t="str">
        <x:v>13831034</x:v>
      </x:c>
      <x:c r="F2912" s="66" t="str">
        <x:v>PENDIDIKAN BAHASA DAN SASTRA INDONESIA</x:v>
      </x:c>
      <x:c r="G2912" s="66" t="str">
        <x:v>Sarjana</x:v>
      </x:c>
      <x:c r="H2912" s="87" t="n">
        <x:v>100</x:v>
      </x:c>
      <x:c r="I2912" s="87" t="n">
        <x:v>754</x:v>
      </x:c>
      <x:c r="J2912" s="68" t="n">
        <x:f>IFERROR(H2912/I2912,"")</x:f>
        <x:v>0.13262599469496023</x:v>
      </x:c>
      <x:c r="K2912" s="69" t="n">
        <x:f>IFERROR(I2912/H2912,"")</x:f>
        <x:v>7.54</x:v>
      </x:c>
      <x:c r="L2912" s="66" t="str">
        <x:f>IF(K2912="","","1 : "&amp;TEXT(K2912,"0.0"))</x:f>
        <x:v>1 : 7.5</x:v>
      </x:c>
      <x:c r="M2912" s="66" t="str">
        <x:f>IF(J2912="","Baru/Tanpa Data",IF(J2912&lt;='Catatan &amp; Sumber'!$B$14,"Sangat Ketat",IF(J2912&lt;='Catatan &amp; Sumber'!$B$15,"Ketat",IF(J2912&lt;='Catatan &amp; Sumber'!$B$16,"Sedang","Relatif Longgar"))))</x:f>
        <x:v>Relatif Longgar</x:v>
      </x:c>
      <x:c r="N2912" s="66" t="str">
        <x:v>Tidak Ada</x:v>
      </x:c>
      <x:c r="O2912" s="66" t="str">
        <x:v>Jawa Timur</x:v>
      </x:c>
      <x:c r="P2912" s="66" t="str">
        <x:v>Kota Surabaya</x:v>
      </x:c>
      <x:c r="Q2912" s="66" t="str">
        <x:v>https://snpmb.id/snbp/daya-tampung-snbp</x:v>
      </x:c>
      <x:c r="R2912" s="66" t="str">
        <x:v>https://sidatagrun-public-1076756628210.asia-southeast2.run.app/ptn_sn.php?ptn=383</x:v>
      </x:c>
    </x:row>
    <x:row r="2913">
      <x:c r="A2913" s="87" t="n">
        <x:v>1852</x:v>
      </x:c>
      <x:c r="B2913" s="66" t="n">
        <x:v>383</x:v>
      </x:c>
      <x:c r="C2913" s="66" t="str">
        <x:v>UNIVERSITAS NEGERI SURABAYA</x:v>
      </x:c>
      <x:c r="D2913" s="66" t="str">
        <x:v>PTN Akademik</x:v>
      </x:c>
      <x:c r="E2913" s="66" t="str">
        <x:v>13831035</x:v>
      </x:c>
      <x:c r="F2913" s="66" t="str">
        <x:v>PENDIDIKAN BAHASA INGGRIS</x:v>
      </x:c>
      <x:c r="G2913" s="66" t="str">
        <x:v>Sarjana</x:v>
      </x:c>
      <x:c r="H2913" s="87" t="n">
        <x:v>95</x:v>
      </x:c>
      <x:c r="I2913" s="87" t="n">
        <x:v>696</x:v>
      </x:c>
      <x:c r="J2913" s="68" t="n">
        <x:f>IFERROR(H2913/I2913,"")</x:f>
        <x:v>0.13649425287356323</x:v>
      </x:c>
      <x:c r="K2913" s="69" t="n">
        <x:f>IFERROR(I2913/H2913,"")</x:f>
        <x:v>7.326315789473684</x:v>
      </x:c>
      <x:c r="L2913" s="66" t="str">
        <x:f>IF(K2913="","","1 : "&amp;TEXT(K2913,"0.0"))</x:f>
        <x:v>1 : 7.3</x:v>
      </x:c>
      <x:c r="M2913" s="66" t="str">
        <x:f>IF(J2913="","Baru/Tanpa Data",IF(J2913&lt;='Catatan &amp; Sumber'!$B$14,"Sangat Ketat",IF(J2913&lt;='Catatan &amp; Sumber'!$B$15,"Ketat",IF(J2913&lt;='Catatan &amp; Sumber'!$B$16,"Sedang","Relatif Longgar"))))</x:f>
        <x:v>Relatif Longgar</x:v>
      </x:c>
      <x:c r="N2913" s="66" t="str">
        <x:v>Tidak Ada</x:v>
      </x:c>
      <x:c r="O2913" s="66" t="str">
        <x:v>Jawa Timur</x:v>
      </x:c>
      <x:c r="P2913" s="66" t="str">
        <x:v>Kota Surabaya</x:v>
      </x:c>
      <x:c r="Q2913" s="66" t="str">
        <x:v>https://snpmb.id/snbp/daya-tampung-snbp</x:v>
      </x:c>
      <x:c r="R2913" s="66" t="str">
        <x:v>https://sidatagrun-public-1076756628210.asia-southeast2.run.app/ptn_sn.php?ptn=383</x:v>
      </x:c>
    </x:row>
    <x:row r="2914">
      <x:c r="A2914" s="87" t="n">
        <x:v>3600</x:v>
      </x:c>
      <x:c r="B2914" s="66" t="n">
        <x:v>383</x:v>
      </x:c>
      <x:c r="C2914" s="66" t="str">
        <x:v>UNIVERSITAS NEGERI SURABAYA</x:v>
      </x:c>
      <x:c r="D2914" s="66" t="str">
        <x:v>PTN Akademik</x:v>
      </x:c>
      <x:c r="E2914" s="66" t="str">
        <x:v>13831036</x:v>
      </x:c>
      <x:c r="F2914" s="66" t="str">
        <x:v>PENDIDIKAN BAHASA JERMAN</x:v>
      </x:c>
      <x:c r="G2914" s="66" t="str">
        <x:v>Sarjana</x:v>
      </x:c>
      <x:c r="H2914" s="87" t="n">
        <x:v>40</x:v>
      </x:c>
      <x:c r="I2914" s="87" t="n">
        <x:v>85</x:v>
      </x:c>
      <x:c r="J2914" s="68" t="n">
        <x:f>IFERROR(H2914/I2914,"")</x:f>
        <x:v>0.47058823529411764</x:v>
      </x:c>
      <x:c r="K2914" s="69" t="n">
        <x:f>IFERROR(I2914/H2914,"")</x:f>
        <x:v>2.125</x:v>
      </x:c>
      <x:c r="L2914" s="66" t="str">
        <x:f>IF(K2914="","","1 : "&amp;TEXT(K2914,"0.0"))</x:f>
        <x:v>1 : 2.1</x:v>
      </x:c>
      <x:c r="M2914" s="66" t="str">
        <x:f>IF(J2914="","Baru/Tanpa Data",IF(J2914&lt;='Catatan &amp; Sumber'!$B$14,"Sangat Ketat",IF(J2914&lt;='Catatan &amp; Sumber'!$B$15,"Ketat",IF(J2914&lt;='Catatan &amp; Sumber'!$B$16,"Sedang","Relatif Longgar"))))</x:f>
        <x:v>Relatif Longgar</x:v>
      </x:c>
      <x:c r="N2914" s="66" t="str">
        <x:v>Tidak Ada</x:v>
      </x:c>
      <x:c r="O2914" s="66" t="str">
        <x:v>Jawa Timur</x:v>
      </x:c>
      <x:c r="P2914" s="66" t="str">
        <x:v>Kota Surabaya</x:v>
      </x:c>
      <x:c r="Q2914" s="66" t="str">
        <x:v>https://snpmb.id/snbp/daya-tampung-snbp</x:v>
      </x:c>
      <x:c r="R2914" s="66" t="str">
        <x:v>https://sidatagrun-public-1076756628210.asia-southeast2.run.app/ptn_sn.php?ptn=383</x:v>
      </x:c>
    </x:row>
    <x:row r="2915">
      <x:c r="A2915" s="87" t="n">
        <x:v>2747</x:v>
      </x:c>
      <x:c r="B2915" s="66" t="n">
        <x:v>383</x:v>
      </x:c>
      <x:c r="C2915" s="66" t="str">
        <x:v>UNIVERSITAS NEGERI SURABAYA</x:v>
      </x:c>
      <x:c r="D2915" s="66" t="str">
        <x:v>PTN Akademik</x:v>
      </x:c>
      <x:c r="E2915" s="66" t="str">
        <x:v>13831037</x:v>
      </x:c>
      <x:c r="F2915" s="66" t="str">
        <x:v>PENDIDIKAN BAHASA JEPANG</x:v>
      </x:c>
      <x:c r="G2915" s="66" t="str">
        <x:v>Sarjana</x:v>
      </x:c>
      <x:c r="H2915" s="87" t="n">
        <x:v>90</x:v>
      </x:c>
      <x:c r="I2915" s="87" t="n">
        <x:v>359</x:v>
      </x:c>
      <x:c r="J2915" s="68" t="n">
        <x:f>IFERROR(H2915/I2915,"")</x:f>
        <x:v>0.25069637883008355</x:v>
      </x:c>
      <x:c r="K2915" s="69" t="n">
        <x:f>IFERROR(I2915/H2915,"")</x:f>
        <x:v>3.988888888888889</x:v>
      </x:c>
      <x:c r="L2915" s="66" t="str">
        <x:f>IF(K2915="","","1 : "&amp;TEXT(K2915,"0.0"))</x:f>
        <x:v>1 : 4.0</x:v>
      </x:c>
      <x:c r="M2915" s="66" t="str">
        <x:f>IF(J2915="","Baru/Tanpa Data",IF(J2915&lt;='Catatan &amp; Sumber'!$B$14,"Sangat Ketat",IF(J2915&lt;='Catatan &amp; Sumber'!$B$15,"Ketat",IF(J2915&lt;='Catatan &amp; Sumber'!$B$16,"Sedang","Relatif Longgar"))))</x:f>
        <x:v>Relatif Longgar</x:v>
      </x:c>
      <x:c r="N2915" s="66" t="str">
        <x:v>Tidak Ada</x:v>
      </x:c>
      <x:c r="O2915" s="66" t="str">
        <x:v>Jawa Timur</x:v>
      </x:c>
      <x:c r="P2915" s="66" t="str">
        <x:v>Kota Surabaya</x:v>
      </x:c>
      <x:c r="Q2915" s="66" t="str">
        <x:v>https://snpmb.id/snbp/daya-tampung-snbp</x:v>
      </x:c>
      <x:c r="R2915" s="66" t="str">
        <x:v>https://sidatagrun-public-1076756628210.asia-southeast2.run.app/ptn_sn.php?ptn=383</x:v>
      </x:c>
    </x:row>
    <x:row r="2916">
      <x:c r="A2916" s="87" t="n">
        <x:v>2705</x:v>
      </x:c>
      <x:c r="B2916" s="66" t="n">
        <x:v>383</x:v>
      </x:c>
      <x:c r="C2916" s="66" t="str">
        <x:v>UNIVERSITAS NEGERI SURABAYA</x:v>
      </x:c>
      <x:c r="D2916" s="66" t="str">
        <x:v>PTN Akademik</x:v>
      </x:c>
      <x:c r="E2916" s="66" t="str">
        <x:v>13831038</x:v>
      </x:c>
      <x:c r="F2916" s="66" t="str">
        <x:v>PENDIDIKAN BAHASA DAN SASTRA JAWA</x:v>
      </x:c>
      <x:c r="G2916" s="66" t="str">
        <x:v>Sarjana</x:v>
      </x:c>
      <x:c r="H2916" s="87" t="n">
        <x:v>65</x:v>
      </x:c>
      <x:c r="I2916" s="87" t="n">
        <x:v>266</x:v>
      </x:c>
      <x:c r="J2916" s="68" t="n">
        <x:f>IFERROR(H2916/I2916,"")</x:f>
        <x:v>0.24436090225563908</x:v>
      </x:c>
      <x:c r="K2916" s="69" t="n">
        <x:f>IFERROR(I2916/H2916,"")</x:f>
        <x:v>4.092307692307692</x:v>
      </x:c>
      <x:c r="L2916" s="66" t="str">
        <x:f>IF(K2916="","","1 : "&amp;TEXT(K2916,"0.0"))</x:f>
        <x:v>1 : 4.1</x:v>
      </x:c>
      <x:c r="M2916" s="66" t="str">
        <x:f>IF(J2916="","Baru/Tanpa Data",IF(J2916&lt;='Catatan &amp; Sumber'!$B$14,"Sangat Ketat",IF(J2916&lt;='Catatan &amp; Sumber'!$B$15,"Ketat",IF(J2916&lt;='Catatan &amp; Sumber'!$B$16,"Sedang","Relatif Longgar"))))</x:f>
        <x:v>Relatif Longgar</x:v>
      </x:c>
      <x:c r="N2916" s="66" t="str">
        <x:v>Tidak Ada</x:v>
      </x:c>
      <x:c r="O2916" s="66" t="str">
        <x:v>Jawa Timur</x:v>
      </x:c>
      <x:c r="P2916" s="66" t="str">
        <x:v>Kota Surabaya</x:v>
      </x:c>
      <x:c r="Q2916" s="66" t="str">
        <x:v>https://snpmb.id/snbp/daya-tampung-snbp</x:v>
      </x:c>
      <x:c r="R2916" s="66" t="str">
        <x:v>https://sidatagrun-public-1076756628210.asia-southeast2.run.app/ptn_sn.php?ptn=383</x:v>
      </x:c>
    </x:row>
    <x:row r="2917">
      <x:c r="A2917" s="87" t="n">
        <x:v>3223</x:v>
      </x:c>
      <x:c r="B2917" s="66" t="n">
        <x:v>383</x:v>
      </x:c>
      <x:c r="C2917" s="66" t="str">
        <x:v>UNIVERSITAS NEGERI SURABAYA</x:v>
      </x:c>
      <x:c r="D2917" s="66" t="str">
        <x:v>PTN Akademik</x:v>
      </x:c>
      <x:c r="E2917" s="66" t="str">
        <x:v>13831039</x:v>
      </x:c>
      <x:c r="F2917" s="66" t="str">
        <x:v>PENDIDIKAN SENI RUPA</x:v>
      </x:c>
      <x:c r="G2917" s="66" t="str">
        <x:v>Sarjana</x:v>
      </x:c>
      <x:c r="H2917" s="87" t="n">
        <x:v>60</x:v>
      </x:c>
      <x:c r="I2917" s="87" t="n">
        <x:v>172</x:v>
      </x:c>
      <x:c r="J2917" s="68" t="n">
        <x:f>IFERROR(H2917/I2917,"")</x:f>
        <x:v>0.3488372093023256</x:v>
      </x:c>
      <x:c r="K2917" s="69" t="n">
        <x:f>IFERROR(I2917/H2917,"")</x:f>
        <x:v>2.8666666666666667</x:v>
      </x:c>
      <x:c r="L2917" s="66" t="str">
        <x:f>IF(K2917="","","1 : "&amp;TEXT(K2917,"0.0"))</x:f>
        <x:v>1 : 2.9</x:v>
      </x:c>
      <x:c r="M2917" s="66" t="str">
        <x:f>IF(J2917="","Baru/Tanpa Data",IF(J2917&lt;='Catatan &amp; Sumber'!$B$14,"Sangat Ketat",IF(J2917&lt;='Catatan &amp; Sumber'!$B$15,"Ketat",IF(J2917&lt;='Catatan &amp; Sumber'!$B$16,"Sedang","Relatif Longgar"))))</x:f>
        <x:v>Relatif Longgar</x:v>
      </x:c>
      <x:c r="N2917" s="66" t="str">
        <x:v>Seni Rupa, Desain, dan Kriya</x:v>
      </x:c>
      <x:c r="O2917" s="66" t="str">
        <x:v>Jawa Timur</x:v>
      </x:c>
      <x:c r="P2917" s="66" t="str">
        <x:v>Kota Surabaya</x:v>
      </x:c>
      <x:c r="Q2917" s="66" t="str">
        <x:v>https://snpmb.id/snbp/daya-tampung-snbp</x:v>
      </x:c>
      <x:c r="R2917" s="66" t="str">
        <x:v>https://sidatagrun-public-1076756628210.asia-southeast2.run.app/ptn_sn.php?ptn=383</x:v>
      </x:c>
    </x:row>
    <x:row r="2918">
      <x:c r="A2918" s="87" t="n">
        <x:v>3094</x:v>
      </x:c>
      <x:c r="B2918" s="66" t="n">
        <x:v>383</x:v>
      </x:c>
      <x:c r="C2918" s="66" t="str">
        <x:v>UNIVERSITAS NEGERI SURABAYA</x:v>
      </x:c>
      <x:c r="D2918" s="66" t="str">
        <x:v>PTN Akademik</x:v>
      </x:c>
      <x:c r="E2918" s="66" t="str">
        <x:v>13831040</x:v>
      </x:c>
      <x:c r="F2918" s="66" t="str">
        <x:v>PENDIDIKAN SENI DRAMA, TARI, DAN MUSIK</x:v>
      </x:c>
      <x:c r="G2918" s="66" t="str">
        <x:v>Sarjana</x:v>
      </x:c>
      <x:c r="H2918" s="87" t="n">
        <x:v>60</x:v>
      </x:c>
      <x:c r="I2918" s="87" t="n">
        <x:v>191</x:v>
      </x:c>
      <x:c r="J2918" s="68" t="n">
        <x:f>IFERROR(H2918/I2918,"")</x:f>
        <x:v>0.31413612565445026</x:v>
      </x:c>
      <x:c r="K2918" s="69" t="n">
        <x:f>IFERROR(I2918/H2918,"")</x:f>
        <x:v>3.183333333333333</x:v>
      </x:c>
      <x:c r="L2918" s="66" t="str">
        <x:f>IF(K2918="","","1 : "&amp;TEXT(K2918,"0.0"))</x:f>
        <x:v>1 : 3.2</x:v>
      </x:c>
      <x:c r="M2918" s="66" t="str">
        <x:f>IF(J2918="","Baru/Tanpa Data",IF(J2918&lt;='Catatan &amp; Sumber'!$B$14,"Sangat Ketat",IF(J2918&lt;='Catatan &amp; Sumber'!$B$15,"Ketat",IF(J2918&lt;='Catatan &amp; Sumber'!$B$16,"Sedang","Relatif Longgar"))))</x:f>
        <x:v>Relatif Longgar</x:v>
      </x:c>
      <x:c r="N2918" s="66" t="str">
        <x:v>Sendratasik</x:v>
      </x:c>
      <x:c r="O2918" s="66" t="str">
        <x:v>Jawa Timur</x:v>
      </x:c>
      <x:c r="P2918" s="66" t="str">
        <x:v>Kota Surabaya</x:v>
      </x:c>
      <x:c r="Q2918" s="66" t="str">
        <x:v>https://snpmb.id/snbp/daya-tampung-snbp</x:v>
      </x:c>
      <x:c r="R2918" s="66" t="str">
        <x:v>https://sidatagrun-public-1076756628210.asia-southeast2.run.app/ptn_sn.php?ptn=383</x:v>
      </x:c>
    </x:row>
    <x:row r="2919">
      <x:c r="A2919" s="87" t="n">
        <x:v>2378</x:v>
      </x:c>
      <x:c r="B2919" s="66" t="n">
        <x:v>383</x:v>
      </x:c>
      <x:c r="C2919" s="66" t="str">
        <x:v>UNIVERSITAS NEGERI SURABAYA</x:v>
      </x:c>
      <x:c r="D2919" s="66" t="str">
        <x:v>PTN Akademik</x:v>
      </x:c>
      <x:c r="E2919" s="66" t="str">
        <x:v>13831041</x:v>
      </x:c>
      <x:c r="F2919" s="66" t="str">
        <x:v>SASTRA INDONESIA</x:v>
      </x:c>
      <x:c r="G2919" s="66" t="str">
        <x:v>Sarjana</x:v>
      </x:c>
      <x:c r="H2919" s="87" t="n">
        <x:v>60</x:v>
      </x:c>
      <x:c r="I2919" s="87" t="n">
        <x:v>311</x:v>
      </x:c>
      <x:c r="J2919" s="68" t="n">
        <x:f>IFERROR(H2919/I2919,"")</x:f>
        <x:v>0.19292604501607716</x:v>
      </x:c>
      <x:c r="K2919" s="69" t="n">
        <x:f>IFERROR(I2919/H2919,"")</x:f>
        <x:v>5.183333333333334</x:v>
      </x:c>
      <x:c r="L2919" s="66" t="str">
        <x:f>IF(K2919="","","1 : "&amp;TEXT(K2919,"0.0"))</x:f>
        <x:v>1 : 5.2</x:v>
      </x:c>
      <x:c r="M2919" s="66" t="str">
        <x:f>IF(J2919="","Baru/Tanpa Data",IF(J2919&lt;='Catatan &amp; Sumber'!$B$14,"Sangat Ketat",IF(J2919&lt;='Catatan &amp; Sumber'!$B$15,"Ketat",IF(J2919&lt;='Catatan &amp; Sumber'!$B$16,"Sedang","Relatif Longgar"))))</x:f>
        <x:v>Relatif Longgar</x:v>
      </x:c>
      <x:c r="N2919" s="66" t="str">
        <x:v>Tidak Ada</x:v>
      </x:c>
      <x:c r="O2919" s="66" t="str">
        <x:v>Jawa Timur</x:v>
      </x:c>
      <x:c r="P2919" s="66" t="str">
        <x:v>Kota Surabaya</x:v>
      </x:c>
      <x:c r="Q2919" s="66" t="str">
        <x:v>https://snpmb.id/snbp/daya-tampung-snbp</x:v>
      </x:c>
      <x:c r="R2919" s="66" t="str">
        <x:v>https://sidatagrun-public-1076756628210.asia-southeast2.run.app/ptn_sn.php?ptn=383</x:v>
      </x:c>
    </x:row>
    <x:row r="2920">
      <x:c r="A2920" s="87" t="n">
        <x:v>1655</x:v>
      </x:c>
      <x:c r="B2920" s="66" t="n">
        <x:v>383</x:v>
      </x:c>
      <x:c r="C2920" s="66" t="str">
        <x:v>UNIVERSITAS NEGERI SURABAYA</x:v>
      </x:c>
      <x:c r="D2920" s="66" t="str">
        <x:v>PTN Akademik</x:v>
      </x:c>
      <x:c r="E2920" s="66" t="str">
        <x:v>13831042</x:v>
      </x:c>
      <x:c r="F2920" s="66" t="str">
        <x:v>SASTRA INGGRIS</x:v>
      </x:c>
      <x:c r="G2920" s="66" t="str">
        <x:v>Sarjana</x:v>
      </x:c>
      <x:c r="H2920" s="87" t="n">
        <x:v>75</x:v>
      </x:c>
      <x:c r="I2920" s="87" t="n">
        <x:v>621</x:v>
      </x:c>
      <x:c r="J2920" s="68" t="n">
        <x:f>IFERROR(H2920/I2920,"")</x:f>
        <x:v>0.12077294685990338</x:v>
      </x:c>
      <x:c r="K2920" s="69" t="n">
        <x:f>IFERROR(I2920/H2920,"")</x:f>
        <x:v>8.28</x:v>
      </x:c>
      <x:c r="L2920" s="66" t="str">
        <x:f>IF(K2920="","","1 : "&amp;TEXT(K2920,"0.0"))</x:f>
        <x:v>1 : 8.3</x:v>
      </x:c>
      <x:c r="M2920" s="66" t="str">
        <x:f>IF(J2920="","Baru/Tanpa Data",IF(J2920&lt;='Catatan &amp; Sumber'!$B$14,"Sangat Ketat",IF(J2920&lt;='Catatan &amp; Sumber'!$B$15,"Ketat",IF(J2920&lt;='Catatan &amp; Sumber'!$B$16,"Sedang","Relatif Longgar"))))</x:f>
        <x:v>Relatif Longgar</x:v>
      </x:c>
      <x:c r="N2920" s="66" t="str">
        <x:v>Tidak Ada</x:v>
      </x:c>
      <x:c r="O2920" s="66" t="str">
        <x:v>Jawa Timur</x:v>
      </x:c>
      <x:c r="P2920" s="66" t="str">
        <x:v>Kota Surabaya</x:v>
      </x:c>
      <x:c r="Q2920" s="66" t="str">
        <x:v>https://snpmb.id/snbp/daya-tampung-snbp</x:v>
      </x:c>
      <x:c r="R2920" s="66" t="str">
        <x:v>https://sidatagrun-public-1076756628210.asia-southeast2.run.app/ptn_sn.php?ptn=383</x:v>
      </x:c>
    </x:row>
    <x:row r="2921">
      <x:c r="A2921" s="87" t="n">
        <x:v>3084</x:v>
      </x:c>
      <x:c r="B2921" s="66" t="n">
        <x:v>383</x:v>
      </x:c>
      <x:c r="C2921" s="66" t="str">
        <x:v>UNIVERSITAS NEGERI SURABAYA</x:v>
      </x:c>
      <x:c r="D2921" s="66" t="str">
        <x:v>PTN Akademik</x:v>
      </x:c>
      <x:c r="E2921" s="66" t="str">
        <x:v>13831043</x:v>
      </x:c>
      <x:c r="F2921" s="66" t="str">
        <x:v>SASTRA JERMAN</x:v>
      </x:c>
      <x:c r="G2921" s="66" t="str">
        <x:v>Sarjana</x:v>
      </x:c>
      <x:c r="H2921" s="87" t="n">
        <x:v>40</x:v>
      </x:c>
      <x:c r="I2921" s="87" t="n">
        <x:v>128</x:v>
      </x:c>
      <x:c r="J2921" s="68" t="n">
        <x:f>IFERROR(H2921/I2921,"")</x:f>
        <x:v>0.3125</x:v>
      </x:c>
      <x:c r="K2921" s="69" t="n">
        <x:f>IFERROR(I2921/H2921,"")</x:f>
        <x:v>3.2</x:v>
      </x:c>
      <x:c r="L2921" s="66" t="str">
        <x:f>IF(K2921="","","1 : "&amp;TEXT(K2921,"0.0"))</x:f>
        <x:v>1 : 3.2</x:v>
      </x:c>
      <x:c r="M2921" s="66" t="str">
        <x:f>IF(J2921="","Baru/Tanpa Data",IF(J2921&lt;='Catatan &amp; Sumber'!$B$14,"Sangat Ketat",IF(J2921&lt;='Catatan &amp; Sumber'!$B$15,"Ketat",IF(J2921&lt;='Catatan &amp; Sumber'!$B$16,"Sedang","Relatif Longgar"))))</x:f>
        <x:v>Relatif Longgar</x:v>
      </x:c>
      <x:c r="N2921" s="66" t="str">
        <x:v>Tidak Ada</x:v>
      </x:c>
      <x:c r="O2921" s="66" t="str">
        <x:v>Jawa Timur</x:v>
      </x:c>
      <x:c r="P2921" s="66" t="str">
        <x:v>Kota Surabaya</x:v>
      </x:c>
      <x:c r="Q2921" s="66" t="str">
        <x:v>https://snpmb.id/snbp/daya-tampung-snbp</x:v>
      </x:c>
      <x:c r="R2921" s="66" t="str">
        <x:v>https://sidatagrun-public-1076756628210.asia-southeast2.run.app/ptn_sn.php?ptn=383</x:v>
      </x:c>
    </x:row>
    <x:row r="2922">
      <x:c r="A2922" s="87" t="n">
        <x:v>2331</x:v>
      </x:c>
      <x:c r="B2922" s="66" t="n">
        <x:v>383</x:v>
      </x:c>
      <x:c r="C2922" s="66" t="str">
        <x:v>UNIVERSITAS NEGERI SURABAYA</x:v>
      </x:c>
      <x:c r="D2922" s="66" t="str">
        <x:v>PTN Akademik</x:v>
      </x:c>
      <x:c r="E2922" s="66" t="str">
        <x:v>13831044</x:v>
      </x:c>
      <x:c r="F2922" s="66" t="str">
        <x:v>PENDIDIKAN PANCASILA DAN KEWARGANEGARAAN</x:v>
      </x:c>
      <x:c r="G2922" s="66" t="str">
        <x:v>Sarjana</x:v>
      </x:c>
      <x:c r="H2922" s="87" t="n">
        <x:v>75</x:v>
      </x:c>
      <x:c r="I2922" s="87" t="n">
        <x:v>401</x:v>
      </x:c>
      <x:c r="J2922" s="68" t="n">
        <x:f>IFERROR(H2922/I2922,"")</x:f>
        <x:v>0.18703241895261846</x:v>
      </x:c>
      <x:c r="K2922" s="69" t="n">
        <x:f>IFERROR(I2922/H2922,"")</x:f>
        <x:v>5.346666666666667</x:v>
      </x:c>
      <x:c r="L2922" s="66" t="str">
        <x:f>IF(K2922="","","1 : "&amp;TEXT(K2922,"0.0"))</x:f>
        <x:v>1 : 5.3</x:v>
      </x:c>
      <x:c r="M2922" s="66" t="str">
        <x:f>IF(J2922="","Baru/Tanpa Data",IF(J2922&lt;='Catatan &amp; Sumber'!$B$14,"Sangat Ketat",IF(J2922&lt;='Catatan &amp; Sumber'!$B$15,"Ketat",IF(J2922&lt;='Catatan &amp; Sumber'!$B$16,"Sedang","Relatif Longgar"))))</x:f>
        <x:v>Relatif Longgar</x:v>
      </x:c>
      <x:c r="N2922" s="66" t="str">
        <x:v>Tidak Ada</x:v>
      </x:c>
      <x:c r="O2922" s="66" t="str">
        <x:v>Jawa Timur</x:v>
      </x:c>
      <x:c r="P2922" s="66" t="str">
        <x:v>Kota Surabaya</x:v>
      </x:c>
      <x:c r="Q2922" s="66" t="str">
        <x:v>https://snpmb.id/snbp/daya-tampung-snbp</x:v>
      </x:c>
      <x:c r="R2922" s="66" t="str">
        <x:v>https://sidatagrun-public-1076756628210.asia-southeast2.run.app/ptn_sn.php?ptn=383</x:v>
      </x:c>
    </x:row>
    <x:row r="2923">
      <x:c r="A2923" s="87" t="n">
        <x:v>2696</x:v>
      </x:c>
      <x:c r="B2923" s="66" t="n">
        <x:v>383</x:v>
      </x:c>
      <x:c r="C2923" s="66" t="str">
        <x:v>UNIVERSITAS NEGERI SURABAYA</x:v>
      </x:c>
      <x:c r="D2923" s="66" t="str">
        <x:v>PTN Akademik</x:v>
      </x:c>
      <x:c r="E2923" s="66" t="str">
        <x:v>13831045</x:v>
      </x:c>
      <x:c r="F2923" s="66" t="str">
        <x:v>PENDIDIKAN GEOGRAFI</x:v>
      </x:c>
      <x:c r="G2923" s="66" t="str">
        <x:v>Sarjana</x:v>
      </x:c>
      <x:c r="H2923" s="87" t="n">
        <x:v>75</x:v>
      </x:c>
      <x:c r="I2923" s="87" t="n">
        <x:v>309</x:v>
      </x:c>
      <x:c r="J2923" s="68" t="n">
        <x:f>IFERROR(H2923/I2923,"")</x:f>
        <x:v>0.24271844660194175</x:v>
      </x:c>
      <x:c r="K2923" s="69" t="n">
        <x:f>IFERROR(I2923/H2923,"")</x:f>
        <x:v>4.12</x:v>
      </x:c>
      <x:c r="L2923" s="66" t="str">
        <x:f>IF(K2923="","","1 : "&amp;TEXT(K2923,"0.0"))</x:f>
        <x:v>1 : 4.1</x:v>
      </x:c>
      <x:c r="M2923" s="66" t="str">
        <x:f>IF(J2923="","Baru/Tanpa Data",IF(J2923&lt;='Catatan &amp; Sumber'!$B$14,"Sangat Ketat",IF(J2923&lt;='Catatan &amp; Sumber'!$B$15,"Ketat",IF(J2923&lt;='Catatan &amp; Sumber'!$B$16,"Sedang","Relatif Longgar"))))</x:f>
        <x:v>Relatif Longgar</x:v>
      </x:c>
      <x:c r="N2923" s="66" t="str">
        <x:v>Tidak Ada</x:v>
      </x:c>
      <x:c r="O2923" s="66" t="str">
        <x:v>Jawa Timur</x:v>
      </x:c>
      <x:c r="P2923" s="66" t="str">
        <x:v>Kota Surabaya</x:v>
      </x:c>
      <x:c r="Q2923" s="66" t="str">
        <x:v>https://snpmb.id/snbp/daya-tampung-snbp</x:v>
      </x:c>
      <x:c r="R2923" s="66" t="str">
        <x:v>https://sidatagrun-public-1076756628210.asia-southeast2.run.app/ptn_sn.php?ptn=383</x:v>
      </x:c>
    </x:row>
    <x:row r="2924">
      <x:c r="A2924" s="87" t="n">
        <x:v>2825</x:v>
      </x:c>
      <x:c r="B2924" s="66" t="n">
        <x:v>383</x:v>
      </x:c>
      <x:c r="C2924" s="66" t="str">
        <x:v>UNIVERSITAS NEGERI SURABAYA</x:v>
      </x:c>
      <x:c r="D2924" s="66" t="str">
        <x:v>PTN Akademik</x:v>
      </x:c>
      <x:c r="E2924" s="66" t="str">
        <x:v>13831046</x:v>
      </x:c>
      <x:c r="F2924" s="66" t="str">
        <x:v>PENDIDIKAN SEJARAH</x:v>
      </x:c>
      <x:c r="G2924" s="66" t="str">
        <x:v>Sarjana</x:v>
      </x:c>
      <x:c r="H2924" s="87" t="n">
        <x:v>75</x:v>
      </x:c>
      <x:c r="I2924" s="87" t="n">
        <x:v>286</x:v>
      </x:c>
      <x:c r="J2924" s="68" t="n">
        <x:f>IFERROR(H2924/I2924,"")</x:f>
        <x:v>0.26223776223776224</x:v>
      </x:c>
      <x:c r="K2924" s="69" t="n">
        <x:f>IFERROR(I2924/H2924,"")</x:f>
        <x:v>3.8133333333333335</x:v>
      </x:c>
      <x:c r="L2924" s="66" t="str">
        <x:f>IF(K2924="","","1 : "&amp;TEXT(K2924,"0.0"))</x:f>
        <x:v>1 : 3.8</x:v>
      </x:c>
      <x:c r="M2924" s="66" t="str">
        <x:f>IF(J2924="","Baru/Tanpa Data",IF(J2924&lt;='Catatan &amp; Sumber'!$B$14,"Sangat Ketat",IF(J2924&lt;='Catatan &amp; Sumber'!$B$15,"Ketat",IF(J2924&lt;='Catatan &amp; Sumber'!$B$16,"Sedang","Relatif Longgar"))))</x:f>
        <x:v>Relatif Longgar</x:v>
      </x:c>
      <x:c r="N2924" s="66" t="str">
        <x:v>Tidak Ada</x:v>
      </x:c>
      <x:c r="O2924" s="66" t="str">
        <x:v>Jawa Timur</x:v>
      </x:c>
      <x:c r="P2924" s="66" t="str">
        <x:v>Kota Surabaya</x:v>
      </x:c>
      <x:c r="Q2924" s="66" t="str">
        <x:v>https://snpmb.id/snbp/daya-tampung-snbp</x:v>
      </x:c>
      <x:c r="R2924" s="66" t="str">
        <x:v>https://sidatagrun-public-1076756628210.asia-southeast2.run.app/ptn_sn.php?ptn=383</x:v>
      </x:c>
    </x:row>
    <x:row r="2925">
      <x:c r="A2925" s="87" t="n">
        <x:v>2403</x:v>
      </x:c>
      <x:c r="B2925" s="66" t="n">
        <x:v>383</x:v>
      </x:c>
      <x:c r="C2925" s="66" t="str">
        <x:v>UNIVERSITAS NEGERI SURABAYA</x:v>
      </x:c>
      <x:c r="D2925" s="66" t="str">
        <x:v>PTN Akademik</x:v>
      </x:c>
      <x:c r="E2925" s="66" t="str">
        <x:v>13831047</x:v>
      </x:c>
      <x:c r="F2925" s="66" t="str">
        <x:v>SOSIOLOGI</x:v>
      </x:c>
      <x:c r="G2925" s="66" t="str">
        <x:v>Sarjana</x:v>
      </x:c>
      <x:c r="H2925" s="87" t="n">
        <x:v>90</x:v>
      </x:c>
      <x:c r="I2925" s="87" t="n">
        <x:v>459</x:v>
      </x:c>
      <x:c r="J2925" s="68" t="n">
        <x:f>IFERROR(H2925/I2925,"")</x:f>
        <x:v>0.19607843137254902</x:v>
      </x:c>
      <x:c r="K2925" s="69" t="n">
        <x:f>IFERROR(I2925/H2925,"")</x:f>
        <x:v>5.1</x:v>
      </x:c>
      <x:c r="L2925" s="66" t="str">
        <x:f>IF(K2925="","","1 : "&amp;TEXT(K2925,"0.0"))</x:f>
        <x:v>1 : 5.1</x:v>
      </x:c>
      <x:c r="M2925" s="66" t="str">
        <x:f>IF(J2925="","Baru/Tanpa Data",IF(J2925&lt;='Catatan &amp; Sumber'!$B$14,"Sangat Ketat",IF(J2925&lt;='Catatan &amp; Sumber'!$B$15,"Ketat",IF(J2925&lt;='Catatan &amp; Sumber'!$B$16,"Sedang","Relatif Longgar"))))</x:f>
        <x:v>Relatif Longgar</x:v>
      </x:c>
      <x:c r="N2925" s="66" t="str">
        <x:v>Tidak Ada</x:v>
      </x:c>
      <x:c r="O2925" s="66" t="str">
        <x:v>Jawa Timur</x:v>
      </x:c>
      <x:c r="P2925" s="66" t="str">
        <x:v>Kota Surabaya</x:v>
      </x:c>
      <x:c r="Q2925" s="66" t="str">
        <x:v>https://snpmb.id/snbp/daya-tampung-snbp</x:v>
      </x:c>
      <x:c r="R2925" s="66" t="str">
        <x:v>https://sidatagrun-public-1076756628210.asia-southeast2.run.app/ptn_sn.php?ptn=383</x:v>
      </x:c>
    </x:row>
    <x:row r="2926">
      <x:c r="A2926" s="87" t="n">
        <x:v>1358</x:v>
      </x:c>
      <x:c r="B2926" s="66" t="n">
        <x:v>383</x:v>
      </x:c>
      <x:c r="C2926" s="66" t="str">
        <x:v>UNIVERSITAS NEGERI SURABAYA</x:v>
      </x:c>
      <x:c r="D2926" s="66" t="str">
        <x:v>PTN Akademik</x:v>
      </x:c>
      <x:c r="E2926" s="66" t="str">
        <x:v>13831048</x:v>
      </x:c>
      <x:c r="F2926" s="66" t="str">
        <x:v>ILMU ADMINISTRASI NEGARA</x:v>
      </x:c>
      <x:c r="G2926" s="66" t="str">
        <x:v>Sarjana</x:v>
      </x:c>
      <x:c r="H2926" s="87" t="n">
        <x:v>90</x:v>
      </x:c>
      <x:c r="I2926" s="87" t="n">
        <x:v>910</x:v>
      </x:c>
      <x:c r="J2926" s="68" t="n">
        <x:f>IFERROR(H2926/I2926,"")</x:f>
        <x:v>0.0989010989010989</x:v>
      </x:c>
      <x:c r="K2926" s="69" t="n">
        <x:f>IFERROR(I2926/H2926,"")</x:f>
        <x:v>10.11111111111111</x:v>
      </x:c>
      <x:c r="L2926" s="66" t="str">
        <x:f>IF(K2926="","","1 : "&amp;TEXT(K2926,"0.0"))</x:f>
        <x:v>1 : 10.1</x:v>
      </x:c>
      <x:c r="M2926" s="66" t="str">
        <x:f>IF(J2926="","Baru/Tanpa Data",IF(J2926&lt;='Catatan &amp; Sumber'!$B$14,"Sangat Ketat",IF(J2926&lt;='Catatan &amp; Sumber'!$B$15,"Ketat",IF(J2926&lt;='Catatan &amp; Sumber'!$B$16,"Sedang","Relatif Longgar"))))</x:f>
        <x:v>Sedang</x:v>
      </x:c>
      <x:c r="N2926" s="66" t="str">
        <x:v>Tidak Ada</x:v>
      </x:c>
      <x:c r="O2926" s="66" t="str">
        <x:v>Jawa Timur</x:v>
      </x:c>
      <x:c r="P2926" s="66" t="str">
        <x:v>Kota Surabaya</x:v>
      </x:c>
      <x:c r="Q2926" s="66" t="str">
        <x:v>https://snpmb.id/snbp/daya-tampung-snbp</x:v>
      </x:c>
      <x:c r="R2926" s="66" t="str">
        <x:v>https://sidatagrun-public-1076756628210.asia-southeast2.run.app/ptn_sn.php?ptn=383</x:v>
      </x:c>
    </x:row>
    <x:row r="2927">
      <x:c r="A2927" s="87" t="n">
        <x:v>2262</x:v>
      </x:c>
      <x:c r="B2927" s="66" t="n">
        <x:v>383</x:v>
      </x:c>
      <x:c r="C2927" s="66" t="str">
        <x:v>UNIVERSITAS NEGERI SURABAYA</x:v>
      </x:c>
      <x:c r="D2927" s="66" t="str">
        <x:v>PTN Akademik</x:v>
      </x:c>
      <x:c r="E2927" s="66" t="str">
        <x:v>13831050</x:v>
      </x:c>
      <x:c r="F2927" s="66" t="str">
        <x:v>PENDIDIKAN JASMANI, KESEHATAN, DAN REKREASI</x:v>
      </x:c>
      <x:c r="G2927" s="66" t="str">
        <x:v>Sarjana</x:v>
      </x:c>
      <x:c r="H2927" s="87" t="n">
        <x:v>119</x:v>
      </x:c>
      <x:c r="I2927" s="87" t="n">
        <x:v>663</x:v>
      </x:c>
      <x:c r="J2927" s="68" t="n">
        <x:f>IFERROR(H2927/I2927,"")</x:f>
        <x:v>0.1794871794871795</x:v>
      </x:c>
      <x:c r="K2927" s="69" t="n">
        <x:f>IFERROR(I2927/H2927,"")</x:f>
        <x:v>5.571428571428571</x:v>
      </x:c>
      <x:c r="L2927" s="66" t="str">
        <x:f>IF(K2927="","","1 : "&amp;TEXT(K2927,"0.0"))</x:f>
        <x:v>1 : 5.6</x:v>
      </x:c>
      <x:c r="M2927" s="66" t="str">
        <x:f>IF(J2927="","Baru/Tanpa Data",IF(J2927&lt;='Catatan &amp; Sumber'!$B$14,"Sangat Ketat",IF(J2927&lt;='Catatan &amp; Sumber'!$B$15,"Ketat",IF(J2927&lt;='Catatan &amp; Sumber'!$B$16,"Sedang","Relatif Longgar"))))</x:f>
        <x:v>Relatif Longgar</x:v>
      </x:c>
      <x:c r="N2927" s="66" t="str">
        <x:v>Olahraga</x:v>
      </x:c>
      <x:c r="O2927" s="66" t="str">
        <x:v>Jawa Timur</x:v>
      </x:c>
      <x:c r="P2927" s="66" t="str">
        <x:v>Kota Surabaya</x:v>
      </x:c>
      <x:c r="Q2927" s="66" t="str">
        <x:v>https://snpmb.id/snbp/daya-tampung-snbp</x:v>
      </x:c>
      <x:c r="R2927" s="66" t="str">
        <x:v>https://sidatagrun-public-1076756628210.asia-southeast2.run.app/ptn_sn.php?ptn=383</x:v>
      </x:c>
    </x:row>
    <x:row r="2928">
      <x:c r="A2928" s="87" t="n">
        <x:v>2459</x:v>
      </x:c>
      <x:c r="B2928" s="66" t="n">
        <x:v>383</x:v>
      </x:c>
      <x:c r="C2928" s="66" t="str">
        <x:v>UNIVERSITAS NEGERI SURABAYA</x:v>
      </x:c>
      <x:c r="D2928" s="66" t="str">
        <x:v>PTN Akademik</x:v>
      </x:c>
      <x:c r="E2928" s="66" t="str">
        <x:v>13831051</x:v>
      </x:c>
      <x:c r="F2928" s="66" t="str">
        <x:v>PENDIDIKAN KEPELATIHAN OLAHRAGA</x:v>
      </x:c>
      <x:c r="G2928" s="66" t="str">
        <x:v>Sarjana</x:v>
      </x:c>
      <x:c r="H2928" s="87" t="n">
        <x:v>115</x:v>
      </x:c>
      <x:c r="I2928" s="87" t="n">
        <x:v>565</x:v>
      </x:c>
      <x:c r="J2928" s="68" t="n">
        <x:f>IFERROR(H2928/I2928,"")</x:f>
        <x:v>0.20353982300884957</x:v>
      </x:c>
      <x:c r="K2928" s="69" t="n">
        <x:f>IFERROR(I2928/H2928,"")</x:f>
        <x:v>4.913043478260869</x:v>
      </x:c>
      <x:c r="L2928" s="66" t="str">
        <x:f>IF(K2928="","","1 : "&amp;TEXT(K2928,"0.0"))</x:f>
        <x:v>1 : 4.9</x:v>
      </x:c>
      <x:c r="M2928" s="66" t="str">
        <x:f>IF(J2928="","Baru/Tanpa Data",IF(J2928&lt;='Catatan &amp; Sumber'!$B$14,"Sangat Ketat",IF(J2928&lt;='Catatan &amp; Sumber'!$B$15,"Ketat",IF(J2928&lt;='Catatan &amp; Sumber'!$B$16,"Sedang","Relatif Longgar"))))</x:f>
        <x:v>Relatif Longgar</x:v>
      </x:c>
      <x:c r="N2928" s="66" t="str">
        <x:v>Olahraga</x:v>
      </x:c>
      <x:c r="O2928" s="66" t="str">
        <x:v>Jawa Timur</x:v>
      </x:c>
      <x:c r="P2928" s="66" t="str">
        <x:v>Kota Surabaya</x:v>
      </x:c>
      <x:c r="Q2928" s="66" t="str">
        <x:v>https://snpmb.id/snbp/daya-tampung-snbp</x:v>
      </x:c>
      <x:c r="R2928" s="66" t="str">
        <x:v>https://sidatagrun-public-1076756628210.asia-southeast2.run.app/ptn_sn.php?ptn=383</x:v>
      </x:c>
    </x:row>
    <x:row r="2929">
      <x:c r="A2929" s="87" t="n">
        <x:v>2413</x:v>
      </x:c>
      <x:c r="B2929" s="66" t="n">
        <x:v>383</x:v>
      </x:c>
      <x:c r="C2929" s="66" t="str">
        <x:v>UNIVERSITAS NEGERI SURABAYA</x:v>
      </x:c>
      <x:c r="D2929" s="66" t="str">
        <x:v>PTN Akademik</x:v>
      </x:c>
      <x:c r="E2929" s="66" t="str">
        <x:v>13831052</x:v>
      </x:c>
      <x:c r="F2929" s="66" t="str">
        <x:v>PENDIDIKAN EKONOMI</x:v>
      </x:c>
      <x:c r="G2929" s="66" t="str">
        <x:v>Sarjana</x:v>
      </x:c>
      <x:c r="H2929" s="87" t="n">
        <x:v>60</x:v>
      </x:c>
      <x:c r="I2929" s="87" t="n">
        <x:v>304</x:v>
      </x:c>
      <x:c r="J2929" s="68" t="n">
        <x:f>IFERROR(H2929/I2929,"")</x:f>
        <x:v>0.19736842105263158</x:v>
      </x:c>
      <x:c r="K2929" s="69" t="n">
        <x:f>IFERROR(I2929/H2929,"")</x:f>
        <x:v>5.066666666666666</x:v>
      </x:c>
      <x:c r="L2929" s="66" t="str">
        <x:f>IF(K2929="","","1 : "&amp;TEXT(K2929,"0.0"))</x:f>
        <x:v>1 : 5.1</x:v>
      </x:c>
      <x:c r="M2929" s="66" t="str">
        <x:f>IF(J2929="","Baru/Tanpa Data",IF(J2929&lt;='Catatan &amp; Sumber'!$B$14,"Sangat Ketat",IF(J2929&lt;='Catatan &amp; Sumber'!$B$15,"Ketat",IF(J2929&lt;='Catatan &amp; Sumber'!$B$16,"Sedang","Relatif Longgar"))))</x:f>
        <x:v>Relatif Longgar</x:v>
      </x:c>
      <x:c r="N2929" s="66" t="str">
        <x:v>Tidak Ada</x:v>
      </x:c>
      <x:c r="O2929" s="66" t="str">
        <x:v>Jawa Timur</x:v>
      </x:c>
      <x:c r="P2929" s="66" t="str">
        <x:v>Kota Surabaya</x:v>
      </x:c>
      <x:c r="Q2929" s="66" t="str">
        <x:v>https://snpmb.id/snbp/daya-tampung-snbp</x:v>
      </x:c>
      <x:c r="R2929" s="66" t="str">
        <x:v>https://sidatagrun-public-1076756628210.asia-southeast2.run.app/ptn_sn.php?ptn=383</x:v>
      </x:c>
    </x:row>
    <x:row r="2930">
      <x:c r="A2930" s="87" t="n">
        <x:v>349</x:v>
      </x:c>
      <x:c r="B2930" s="66" t="n">
        <x:v>383</x:v>
      </x:c>
      <x:c r="C2930" s="66" t="str">
        <x:v>UNIVERSITAS NEGERI SURABAYA</x:v>
      </x:c>
      <x:c r="D2930" s="66" t="str">
        <x:v>PTN Akademik</x:v>
      </x:c>
      <x:c r="E2930" s="66" t="str">
        <x:v>13831053</x:v>
      </x:c>
      <x:c r="F2930" s="66" t="str">
        <x:v>MANAJEMEN</x:v>
      </x:c>
      <x:c r="G2930" s="66" t="str">
        <x:v>Sarjana</x:v>
      </x:c>
      <x:c r="H2930" s="87" t="n">
        <x:v>72</x:v>
      </x:c>
      <x:c r="I2930" s="87" t="n">
        <x:v>1613</x:v>
      </x:c>
      <x:c r="J2930" s="68" t="n">
        <x:f>IFERROR(H2930/I2930,"")</x:f>
        <x:v>0.044637321760694355</x:v>
      </x:c>
      <x:c r="K2930" s="69" t="n">
        <x:f>IFERROR(I2930/H2930,"")</x:f>
        <x:v>22.40277777777778</x:v>
      </x:c>
      <x:c r="L2930" s="66" t="str">
        <x:f>IF(K2930="","","1 : "&amp;TEXT(K2930,"0.0"))</x:f>
        <x:v>1 : 22.4</x:v>
      </x:c>
      <x:c r="M2930" s="66" t="str">
        <x:f>IF(J2930="","Baru/Tanpa Data",IF(J2930&lt;='Catatan &amp; Sumber'!$B$14,"Sangat Ketat",IF(J2930&lt;='Catatan &amp; Sumber'!$B$15,"Ketat",IF(J2930&lt;='Catatan &amp; Sumber'!$B$16,"Sedang","Relatif Longgar"))))</x:f>
        <x:v>Ketat</x:v>
      </x:c>
      <x:c r="N2930" s="66" t="str">
        <x:v>Tidak Ada</x:v>
      </x:c>
      <x:c r="O2930" s="66" t="str">
        <x:v>Jawa Timur</x:v>
      </x:c>
      <x:c r="P2930" s="66" t="str">
        <x:v>Kota Surabaya</x:v>
      </x:c>
      <x:c r="Q2930" s="66" t="str">
        <x:v>https://snpmb.id/snbp/daya-tampung-snbp</x:v>
      </x:c>
      <x:c r="R2930" s="66" t="str">
        <x:v>https://sidatagrun-public-1076756628210.asia-southeast2.run.app/ptn_sn.php?ptn=383</x:v>
      </x:c>
    </x:row>
    <x:row r="2931">
      <x:c r="A2931" s="87" t="n">
        <x:v>821</x:v>
      </x:c>
      <x:c r="B2931" s="66" t="n">
        <x:v>383</x:v>
      </x:c>
      <x:c r="C2931" s="66" t="str">
        <x:v>UNIVERSITAS NEGERI SURABAYA</x:v>
      </x:c>
      <x:c r="D2931" s="66" t="str">
        <x:v>PTN Akademik</x:v>
      </x:c>
      <x:c r="E2931" s="66" t="str">
        <x:v>13831054</x:v>
      </x:c>
      <x:c r="F2931" s="66" t="str">
        <x:v>AKUNTANSI</x:v>
      </x:c>
      <x:c r="G2931" s="66" t="str">
        <x:v>Sarjana</x:v>
      </x:c>
      <x:c r="H2931" s="87" t="n">
        <x:v>80</x:v>
      </x:c>
      <x:c r="I2931" s="87" t="n">
        <x:v>1182</x:v>
      </x:c>
      <x:c r="J2931" s="68" t="n">
        <x:f>IFERROR(H2931/I2931,"")</x:f>
        <x:v>0.0676818950930626</x:v>
      </x:c>
      <x:c r="K2931" s="69" t="n">
        <x:f>IFERROR(I2931/H2931,"")</x:f>
        <x:v>14.775</x:v>
      </x:c>
      <x:c r="L2931" s="66" t="str">
        <x:f>IF(K2931="","","1 : "&amp;TEXT(K2931,"0.0"))</x:f>
        <x:v>1 : 14.8</x:v>
      </x:c>
      <x:c r="M2931" s="66" t="str">
        <x:f>IF(J2931="","Baru/Tanpa Data",IF(J2931&lt;='Catatan &amp; Sumber'!$B$14,"Sangat Ketat",IF(J2931&lt;='Catatan &amp; Sumber'!$B$15,"Ketat",IF(J2931&lt;='Catatan &amp; Sumber'!$B$16,"Sedang","Relatif Longgar"))))</x:f>
        <x:v>Sedang</x:v>
      </x:c>
      <x:c r="N2931" s="66" t="str">
        <x:v>Tidak Ada</x:v>
      </x:c>
      <x:c r="O2931" s="66" t="str">
        <x:v>Jawa Timur</x:v>
      </x:c>
      <x:c r="P2931" s="66" t="str">
        <x:v>Kota Surabaya</x:v>
      </x:c>
      <x:c r="Q2931" s="66" t="str">
        <x:v>https://snpmb.id/snbp/daya-tampung-snbp</x:v>
      </x:c>
      <x:c r="R2931" s="66" t="str">
        <x:v>https://sidatagrun-public-1076756628210.asia-southeast2.run.app/ptn_sn.php?ptn=383</x:v>
      </x:c>
    </x:row>
    <x:row r="2932">
      <x:c r="A2932" s="87" t="n">
        <x:v>1779</x:v>
      </x:c>
      <x:c r="B2932" s="66" t="n">
        <x:v>383</x:v>
      </x:c>
      <x:c r="C2932" s="66" t="str">
        <x:v>UNIVERSITAS NEGERI SURABAYA</x:v>
      </x:c>
      <x:c r="D2932" s="66" t="str">
        <x:v>PTN Akademik</x:v>
      </x:c>
      <x:c r="E2932" s="66" t="str">
        <x:v>13831055</x:v>
      </x:c>
      <x:c r="F2932" s="66" t="str">
        <x:v>PENDIDIKAN TATA RIAS</x:v>
      </x:c>
      <x:c r="G2932" s="66" t="str">
        <x:v>Sarjana</x:v>
      </x:c>
      <x:c r="H2932" s="87" t="n">
        <x:v>65</x:v>
      </x:c>
      <x:c r="I2932" s="87" t="n">
        <x:v>497</x:v>
      </x:c>
      <x:c r="J2932" s="68" t="n">
        <x:f>IFERROR(H2932/I2932,"")</x:f>
        <x:v>0.13078470824949698</x:v>
      </x:c>
      <x:c r="K2932" s="69" t="n">
        <x:f>IFERROR(I2932/H2932,"")</x:f>
        <x:v>7.6461538461538465</x:v>
      </x:c>
      <x:c r="L2932" s="66" t="str">
        <x:f>IF(K2932="","","1 : "&amp;TEXT(K2932,"0.0"))</x:f>
        <x:v>1 : 7.6</x:v>
      </x:c>
      <x:c r="M2932" s="66" t="str">
        <x:f>IF(J2932="","Baru/Tanpa Data",IF(J2932&lt;='Catatan &amp; Sumber'!$B$14,"Sangat Ketat",IF(J2932&lt;='Catatan &amp; Sumber'!$B$15,"Ketat",IF(J2932&lt;='Catatan &amp; Sumber'!$B$16,"Sedang","Relatif Longgar"))))</x:f>
        <x:v>Relatif Longgar</x:v>
      </x:c>
      <x:c r="N2932" s="66" t="str">
        <x:v>Tidak Ada</x:v>
      </x:c>
      <x:c r="O2932" s="66" t="str">
        <x:v>Jawa Timur</x:v>
      </x:c>
      <x:c r="P2932" s="66" t="str">
        <x:v>Kota Surabaya</x:v>
      </x:c>
      <x:c r="Q2932" s="66" t="str">
        <x:v>https://snpmb.id/snbp/daya-tampung-snbp</x:v>
      </x:c>
      <x:c r="R2932" s="66" t="str">
        <x:v>https://sidatagrun-public-1076756628210.asia-southeast2.run.app/ptn_sn.php?ptn=383</x:v>
      </x:c>
    </x:row>
    <x:row r="2933">
      <x:c r="A2933" s="87" t="n">
        <x:v>2698</x:v>
      </x:c>
      <x:c r="B2933" s="66" t="n">
        <x:v>383</x:v>
      </x:c>
      <x:c r="C2933" s="66" t="str">
        <x:v>UNIVERSITAS NEGERI SURABAYA</x:v>
      </x:c>
      <x:c r="D2933" s="66" t="str">
        <x:v>PTN Akademik</x:v>
      </x:c>
      <x:c r="E2933" s="66" t="str">
        <x:v>13831056</x:v>
      </x:c>
      <x:c r="F2933" s="66" t="str">
        <x:v>MANAJEMEN PENDIDIKAN</x:v>
      </x:c>
      <x:c r="G2933" s="66" t="str">
        <x:v>Sarjana</x:v>
      </x:c>
      <x:c r="H2933" s="87" t="n">
        <x:v>90</x:v>
      </x:c>
      <x:c r="I2933" s="87" t="n">
        <x:v>370</x:v>
      </x:c>
      <x:c r="J2933" s="68" t="n">
        <x:f>IFERROR(H2933/I2933,"")</x:f>
        <x:v>0.24324324324324326</x:v>
      </x:c>
      <x:c r="K2933" s="69" t="n">
        <x:f>IFERROR(I2933/H2933,"")</x:f>
        <x:v>4.111111111111111</x:v>
      </x:c>
      <x:c r="L2933" s="66" t="str">
        <x:f>IF(K2933="","","1 : "&amp;TEXT(K2933,"0.0"))</x:f>
        <x:v>1 : 4.1</x:v>
      </x:c>
      <x:c r="M2933" s="66" t="str">
        <x:f>IF(J2933="","Baru/Tanpa Data",IF(J2933&lt;='Catatan &amp; Sumber'!$B$14,"Sangat Ketat",IF(J2933&lt;='Catatan &amp; Sumber'!$B$15,"Ketat",IF(J2933&lt;='Catatan &amp; Sumber'!$B$16,"Sedang","Relatif Longgar"))))</x:f>
        <x:v>Relatif Longgar</x:v>
      </x:c>
      <x:c r="N2933" s="66" t="str">
        <x:v>Tidak Ada</x:v>
      </x:c>
      <x:c r="O2933" s="66" t="str">
        <x:v>Jawa Timur</x:v>
      </x:c>
      <x:c r="P2933" s="66" t="str">
        <x:v>Kota Surabaya</x:v>
      </x:c>
      <x:c r="Q2933" s="66" t="str">
        <x:v>https://snpmb.id/snbp/daya-tampung-snbp</x:v>
      </x:c>
      <x:c r="R2933" s="66" t="str">
        <x:v>https://sidatagrun-public-1076756628210.asia-southeast2.run.app/ptn_sn.php?ptn=383</x:v>
      </x:c>
    </x:row>
    <x:row r="2934">
      <x:c r="A2934" s="87" t="n">
        <x:v>1540</x:v>
      </x:c>
      <x:c r="B2934" s="66" t="n">
        <x:v>383</x:v>
      </x:c>
      <x:c r="C2934" s="66" t="str">
        <x:v>UNIVERSITAS NEGERI SURABAYA</x:v>
      </x:c>
      <x:c r="D2934" s="66" t="str">
        <x:v>PTN Akademik</x:v>
      </x:c>
      <x:c r="E2934" s="66" t="str">
        <x:v>13831057</x:v>
      </x:c>
      <x:c r="F2934" s="66" t="str">
        <x:v>ILMU HUKUM</x:v>
      </x:c>
      <x:c r="G2934" s="66" t="str">
        <x:v>Sarjana</x:v>
      </x:c>
      <x:c r="H2934" s="87" t="n">
        <x:v>108</x:v>
      </x:c>
      <x:c r="I2934" s="87" t="n">
        <x:v>959</x:v>
      </x:c>
      <x:c r="J2934" s="68" t="n">
        <x:f>IFERROR(H2934/I2934,"")</x:f>
        <x:v>0.11261730969760167</x:v>
      </x:c>
      <x:c r="K2934" s="69" t="n">
        <x:f>IFERROR(I2934/H2934,"")</x:f>
        <x:v>8.87962962962963</x:v>
      </x:c>
      <x:c r="L2934" s="66" t="str">
        <x:f>IF(K2934="","","1 : "&amp;TEXT(K2934,"0.0"))</x:f>
        <x:v>1 : 8.9</x:v>
      </x:c>
      <x:c r="M2934" s="66" t="str">
        <x:f>IF(J2934="","Baru/Tanpa Data",IF(J2934&lt;='Catatan &amp; Sumber'!$B$14,"Sangat Ketat",IF(J2934&lt;='Catatan &amp; Sumber'!$B$15,"Ketat",IF(J2934&lt;='Catatan &amp; Sumber'!$B$16,"Sedang","Relatif Longgar"))))</x:f>
        <x:v>Relatif Longgar</x:v>
      </x:c>
      <x:c r="N2934" s="66" t="str">
        <x:v>Tidak Ada</x:v>
      </x:c>
      <x:c r="O2934" s="66" t="str">
        <x:v>Jawa Timur</x:v>
      </x:c>
      <x:c r="P2934" s="66" t="str">
        <x:v>Kota Surabaya</x:v>
      </x:c>
      <x:c r="Q2934" s="66" t="str">
        <x:v>https://snpmb.id/snbp/daya-tampung-snbp</x:v>
      </x:c>
      <x:c r="R2934" s="66" t="str">
        <x:v>https://sidatagrun-public-1076756628210.asia-southeast2.run.app/ptn_sn.php?ptn=383</x:v>
      </x:c>
    </x:row>
    <x:row r="2935">
      <x:c r="A2935" s="87" t="n">
        <x:v>3140</x:v>
      </x:c>
      <x:c r="B2935" s="66" t="n">
        <x:v>383</x:v>
      </x:c>
      <x:c r="C2935" s="66" t="str">
        <x:v>UNIVERSITAS NEGERI SURABAYA</x:v>
      </x:c>
      <x:c r="D2935" s="66" t="str">
        <x:v>PTN Akademik</x:v>
      </x:c>
      <x:c r="E2935" s="66" t="str">
        <x:v>13831058</x:v>
      </x:c>
      <x:c r="F2935" s="66" t="str">
        <x:v>PENDIDIKAN BAHASA MANDARIN</x:v>
      </x:c>
      <x:c r="G2935" s="66" t="str">
        <x:v>Sarjana</x:v>
      </x:c>
      <x:c r="H2935" s="87" t="n">
        <x:v>70</x:v>
      </x:c>
      <x:c r="I2935" s="87" t="n">
        <x:v>215</x:v>
      </x:c>
      <x:c r="J2935" s="68" t="n">
        <x:f>IFERROR(H2935/I2935,"")</x:f>
        <x:v>0.32558139534883723</x:v>
      </x:c>
      <x:c r="K2935" s="69" t="n">
        <x:f>IFERROR(I2935/H2935,"")</x:f>
        <x:v>3.0714285714285716</x:v>
      </x:c>
      <x:c r="L2935" s="66" t="str">
        <x:f>IF(K2935="","","1 : "&amp;TEXT(K2935,"0.0"))</x:f>
        <x:v>1 : 3.1</x:v>
      </x:c>
      <x:c r="M2935" s="66" t="str">
        <x:f>IF(J2935="","Baru/Tanpa Data",IF(J2935&lt;='Catatan &amp; Sumber'!$B$14,"Sangat Ketat",IF(J2935&lt;='Catatan &amp; Sumber'!$B$15,"Ketat",IF(J2935&lt;='Catatan &amp; Sumber'!$B$16,"Sedang","Relatif Longgar"))))</x:f>
        <x:v>Relatif Longgar</x:v>
      </x:c>
      <x:c r="N2935" s="66" t="str">
        <x:v>Tidak Ada</x:v>
      </x:c>
      <x:c r="O2935" s="66" t="str">
        <x:v>Jawa Timur</x:v>
      </x:c>
      <x:c r="P2935" s="66" t="str">
        <x:v>Kota Surabaya</x:v>
      </x:c>
      <x:c r="Q2935" s="66" t="str">
        <x:v>https://snpmb.id/snbp/daya-tampung-snbp</x:v>
      </x:c>
      <x:c r="R2935" s="66" t="str">
        <x:v>https://sidatagrun-public-1076756628210.asia-southeast2.run.app/ptn_sn.php?ptn=383</x:v>
      </x:c>
    </x:row>
    <x:row r="2936">
      <x:c r="A2936" s="87" t="n">
        <x:v>2475</x:v>
      </x:c>
      <x:c r="B2936" s="66" t="n">
        <x:v>383</x:v>
      </x:c>
      <x:c r="C2936" s="66" t="str">
        <x:v>UNIVERSITAS NEGERI SURABAYA</x:v>
      </x:c>
      <x:c r="D2936" s="66" t="str">
        <x:v>PTN Akademik</x:v>
      </x:c>
      <x:c r="E2936" s="66" t="str">
        <x:v>13831059</x:v>
      </x:c>
      <x:c r="F2936" s="66" t="str">
        <x:v>PENDIDIKAN TATA BOGA</x:v>
      </x:c>
      <x:c r="G2936" s="66" t="str">
        <x:v>Sarjana</x:v>
      </x:c>
      <x:c r="H2936" s="87" t="n">
        <x:v>100</x:v>
      </x:c>
      <x:c r="I2936" s="87" t="n">
        <x:v>484</x:v>
      </x:c>
      <x:c r="J2936" s="68" t="n">
        <x:f>IFERROR(H2936/I2936,"")</x:f>
        <x:v>0.2066115702479339</x:v>
      </x:c>
      <x:c r="K2936" s="69" t="n">
        <x:f>IFERROR(I2936/H2936,"")</x:f>
        <x:v>4.84</x:v>
      </x:c>
      <x:c r="L2936" s="66" t="str">
        <x:f>IF(K2936="","","1 : "&amp;TEXT(K2936,"0.0"))</x:f>
        <x:v>1 : 4.8</x:v>
      </x:c>
      <x:c r="M2936" s="66" t="str">
        <x:f>IF(J2936="","Baru/Tanpa Data",IF(J2936&lt;='Catatan &amp; Sumber'!$B$14,"Sangat Ketat",IF(J2936&lt;='Catatan &amp; Sumber'!$B$15,"Ketat",IF(J2936&lt;='Catatan &amp; Sumber'!$B$16,"Sedang","Relatif Longgar"))))</x:f>
        <x:v>Relatif Longgar</x:v>
      </x:c>
      <x:c r="N2936" s="66" t="str">
        <x:v>Tidak Ada</x:v>
      </x:c>
      <x:c r="O2936" s="66" t="str">
        <x:v>Jawa Timur</x:v>
      </x:c>
      <x:c r="P2936" s="66" t="str">
        <x:v>Kota Surabaya</x:v>
      </x:c>
      <x:c r="Q2936" s="66" t="str">
        <x:v>https://snpmb.id/snbp/daya-tampung-snbp</x:v>
      </x:c>
      <x:c r="R2936" s="66" t="str">
        <x:v>https://sidatagrun-public-1076756628210.asia-southeast2.run.app/ptn_sn.php?ptn=383</x:v>
      </x:c>
    </x:row>
    <x:row r="2937">
      <x:c r="A2937" s="87" t="n">
        <x:v>2668</x:v>
      </x:c>
      <x:c r="B2937" s="66" t="n">
        <x:v>383</x:v>
      </x:c>
      <x:c r="C2937" s="66" t="str">
        <x:v>UNIVERSITAS NEGERI SURABAYA</x:v>
      </x:c>
      <x:c r="D2937" s="66" t="str">
        <x:v>PTN Akademik</x:v>
      </x:c>
      <x:c r="E2937" s="66" t="str">
        <x:v>13831060</x:v>
      </x:c>
      <x:c r="F2937" s="66" t="str">
        <x:v>PENDIDIKAN TATA BUSANA</x:v>
      </x:c>
      <x:c r="G2937" s="66" t="str">
        <x:v>Sarjana</x:v>
      </x:c>
      <x:c r="H2937" s="87" t="n">
        <x:v>100</x:v>
      </x:c>
      <x:c r="I2937" s="87" t="n">
        <x:v>420</x:v>
      </x:c>
      <x:c r="J2937" s="68" t="n">
        <x:f>IFERROR(H2937/I2937,"")</x:f>
        <x:v>0.23809523809523808</x:v>
      </x:c>
      <x:c r="K2937" s="69" t="n">
        <x:f>IFERROR(I2937/H2937,"")</x:f>
        <x:v>4.2</x:v>
      </x:c>
      <x:c r="L2937" s="66" t="str">
        <x:f>IF(K2937="","","1 : "&amp;TEXT(K2937,"0.0"))</x:f>
        <x:v>1 : 4.2</x:v>
      </x:c>
      <x:c r="M2937" s="66" t="str">
        <x:f>IF(J2937="","Baru/Tanpa Data",IF(J2937&lt;='Catatan &amp; Sumber'!$B$14,"Sangat Ketat",IF(J2937&lt;='Catatan &amp; Sumber'!$B$15,"Ketat",IF(J2937&lt;='Catatan &amp; Sumber'!$B$16,"Sedang","Relatif Longgar"))))</x:f>
        <x:v>Relatif Longgar</x:v>
      </x:c>
      <x:c r="N2937" s="66" t="str">
        <x:v>Tidak Ada</x:v>
      </x:c>
      <x:c r="O2937" s="66" t="str">
        <x:v>Jawa Timur</x:v>
      </x:c>
      <x:c r="P2937" s="66" t="str">
        <x:v>Kota Surabaya</x:v>
      </x:c>
      <x:c r="Q2937" s="66" t="str">
        <x:v>https://snpmb.id/snbp/daya-tampung-snbp</x:v>
      </x:c>
      <x:c r="R2937" s="66" t="str">
        <x:v>https://sidatagrun-public-1076756628210.asia-southeast2.run.app/ptn_sn.php?ptn=383</x:v>
      </x:c>
    </x:row>
    <x:row r="2938">
      <x:c r="A2938" s="87" t="n">
        <x:v>2609</x:v>
      </x:c>
      <x:c r="B2938" s="66" t="n">
        <x:v>383</x:v>
      </x:c>
      <x:c r="C2938" s="66" t="str">
        <x:v>UNIVERSITAS NEGERI SURABAYA</x:v>
      </x:c>
      <x:c r="D2938" s="66" t="str">
        <x:v>PTN Akademik</x:v>
      </x:c>
      <x:c r="E2938" s="66" t="str">
        <x:v>13831061</x:v>
      </x:c>
      <x:c r="F2938" s="66" t="str">
        <x:v>PENDIDIKAN AKUNTANSI</x:v>
      </x:c>
      <x:c r="G2938" s="66" t="str">
        <x:v>Sarjana</x:v>
      </x:c>
      <x:c r="H2938" s="87" t="n">
        <x:v>75</x:v>
      </x:c>
      <x:c r="I2938" s="87" t="n">
        <x:v>327</x:v>
      </x:c>
      <x:c r="J2938" s="68" t="n">
        <x:f>IFERROR(H2938/I2938,"")</x:f>
        <x:v>0.22935779816513763</x:v>
      </x:c>
      <x:c r="K2938" s="69" t="n">
        <x:f>IFERROR(I2938/H2938,"")</x:f>
        <x:v>4.36</x:v>
      </x:c>
      <x:c r="L2938" s="66" t="str">
        <x:f>IF(K2938="","","1 : "&amp;TEXT(K2938,"0.0"))</x:f>
        <x:v>1 : 4.4</x:v>
      </x:c>
      <x:c r="M2938" s="66" t="str">
        <x:f>IF(J2938="","Baru/Tanpa Data",IF(J2938&lt;='Catatan &amp; Sumber'!$B$14,"Sangat Ketat",IF(J2938&lt;='Catatan &amp; Sumber'!$B$15,"Ketat",IF(J2938&lt;='Catatan &amp; Sumber'!$B$16,"Sedang","Relatif Longgar"))))</x:f>
        <x:v>Relatif Longgar</x:v>
      </x:c>
      <x:c r="N2938" s="66" t="str">
        <x:v>Tidak Ada</x:v>
      </x:c>
      <x:c r="O2938" s="66" t="str">
        <x:v>Jawa Timur</x:v>
      </x:c>
      <x:c r="P2938" s="66" t="str">
        <x:v>Kota Surabaya</x:v>
      </x:c>
      <x:c r="Q2938" s="66" t="str">
        <x:v>https://snpmb.id/snbp/daya-tampung-snbp</x:v>
      </x:c>
      <x:c r="R2938" s="66" t="str">
        <x:v>https://sidatagrun-public-1076756628210.asia-southeast2.run.app/ptn_sn.php?ptn=383</x:v>
      </x:c>
    </x:row>
    <x:row r="2939">
      <x:c r="A2939" s="87" t="n">
        <x:v>1433</x:v>
      </x:c>
      <x:c r="B2939" s="66" t="n">
        <x:v>383</x:v>
      </x:c>
      <x:c r="C2939" s="66" t="str">
        <x:v>UNIVERSITAS NEGERI SURABAYA</x:v>
      </x:c>
      <x:c r="D2939" s="66" t="str">
        <x:v>PTN Akademik</x:v>
      </x:c>
      <x:c r="E2939" s="66" t="str">
        <x:v>13831062</x:v>
      </x:c>
      <x:c r="F2939" s="66" t="str">
        <x:v>PENDIDIKAN BISNIS</x:v>
      </x:c>
      <x:c r="G2939" s="66" t="str">
        <x:v>Sarjana</x:v>
      </x:c>
      <x:c r="H2939" s="87" t="n">
        <x:v>30</x:v>
      </x:c>
      <x:c r="I2939" s="87" t="n">
        <x:v>286</x:v>
      </x:c>
      <x:c r="J2939" s="68" t="n">
        <x:f>IFERROR(H2939/I2939,"")</x:f>
        <x:v>0.1048951048951049</x:v>
      </x:c>
      <x:c r="K2939" s="69" t="n">
        <x:f>IFERROR(I2939/H2939,"")</x:f>
        <x:v>9.533333333333333</x:v>
      </x:c>
      <x:c r="L2939" s="66" t="str">
        <x:f>IF(K2939="","","1 : "&amp;TEXT(K2939,"0.0"))</x:f>
        <x:v>1 : 9.5</x:v>
      </x:c>
      <x:c r="M2939" s="66" t="str">
        <x:f>IF(J2939="","Baru/Tanpa Data",IF(J2939&lt;='Catatan &amp; Sumber'!$B$14,"Sangat Ketat",IF(J2939&lt;='Catatan &amp; Sumber'!$B$15,"Ketat",IF(J2939&lt;='Catatan &amp; Sumber'!$B$16,"Sedang","Relatif Longgar"))))</x:f>
        <x:v>Relatif Longgar</x:v>
      </x:c>
      <x:c r="N2939" s="66" t="str">
        <x:v>Tidak Ada</x:v>
      </x:c>
      <x:c r="O2939" s="66" t="str">
        <x:v>Jawa Timur</x:v>
      </x:c>
      <x:c r="P2939" s="66" t="str">
        <x:v>Kota Surabaya</x:v>
      </x:c>
      <x:c r="Q2939" s="66" t="str">
        <x:v>https://snpmb.id/snbp/daya-tampung-snbp</x:v>
      </x:c>
      <x:c r="R2939" s="66" t="str">
        <x:v>https://sidatagrun-public-1076756628210.asia-southeast2.run.app/ptn_sn.php?ptn=383</x:v>
      </x:c>
    </x:row>
    <x:row r="2940">
      <x:c r="A2940" s="87" t="n">
        <x:v>1456</x:v>
      </x:c>
      <x:c r="B2940" s="66" t="n">
        <x:v>383</x:v>
      </x:c>
      <x:c r="C2940" s="66" t="str">
        <x:v>UNIVERSITAS NEGERI SURABAYA</x:v>
      </x:c>
      <x:c r="D2940" s="66" t="str">
        <x:v>PTN Akademik</x:v>
      </x:c>
      <x:c r="E2940" s="66" t="str">
        <x:v>13831063</x:v>
      </x:c>
      <x:c r="F2940" s="66" t="str">
        <x:v>PENDIDIKAN ADMINISTRASI PERKANTORAN</x:v>
      </x:c>
      <x:c r="G2940" s="66" t="str">
        <x:v>Sarjana</x:v>
      </x:c>
      <x:c r="H2940" s="87" t="n">
        <x:v>70</x:v>
      </x:c>
      <x:c r="I2940" s="87" t="n">
        <x:v>659</x:v>
      </x:c>
      <x:c r="J2940" s="68" t="n">
        <x:f>IFERROR(H2940/I2940,"")</x:f>
        <x:v>0.1062215477996965</x:v>
      </x:c>
      <x:c r="K2940" s="69" t="n">
        <x:f>IFERROR(I2940/H2940,"")</x:f>
        <x:v>9.414285714285715</x:v>
      </x:c>
      <x:c r="L2940" s="66" t="str">
        <x:f>IF(K2940="","","1 : "&amp;TEXT(K2940,"0.0"))</x:f>
        <x:v>1 : 9.4</x:v>
      </x:c>
      <x:c r="M2940" s="66" t="str">
        <x:f>IF(J2940="","Baru/Tanpa Data",IF(J2940&lt;='Catatan &amp; Sumber'!$B$14,"Sangat Ketat",IF(J2940&lt;='Catatan &amp; Sumber'!$B$15,"Ketat",IF(J2940&lt;='Catatan &amp; Sumber'!$B$16,"Sedang","Relatif Longgar"))))</x:f>
        <x:v>Relatif Longgar</x:v>
      </x:c>
      <x:c r="N2940" s="66" t="str">
        <x:v>Tidak Ada</x:v>
      </x:c>
      <x:c r="O2940" s="66" t="str">
        <x:v>Jawa Timur</x:v>
      </x:c>
      <x:c r="P2940" s="66" t="str">
        <x:v>Kota Surabaya</x:v>
      </x:c>
      <x:c r="Q2940" s="66" t="str">
        <x:v>https://snpmb.id/snbp/daya-tampung-snbp</x:v>
      </x:c>
      <x:c r="R2940" s="66" t="str">
        <x:v>https://sidatagrun-public-1076756628210.asia-southeast2.run.app/ptn_sn.php?ptn=383</x:v>
      </x:c>
    </x:row>
    <x:row r="2941">
      <x:c r="A2941" s="87" t="n">
        <x:v>879</x:v>
      </x:c>
      <x:c r="B2941" s="66" t="n">
        <x:v>383</x:v>
      </x:c>
      <x:c r="C2941" s="66" t="str">
        <x:v>UNIVERSITAS NEGERI SURABAYA</x:v>
      </x:c>
      <x:c r="D2941" s="66" t="str">
        <x:v>PTN Akademik</x:v>
      </x:c>
      <x:c r="E2941" s="66" t="str">
        <x:v>13831064</x:v>
      </x:c>
      <x:c r="F2941" s="66" t="str">
        <x:v>ILMU KOMUNIKASI</x:v>
      </x:c>
      <x:c r="G2941" s="66" t="str">
        <x:v>Sarjana</x:v>
      </x:c>
      <x:c r="H2941" s="87" t="n">
        <x:v>80</x:v>
      </x:c>
      <x:c r="I2941" s="87" t="n">
        <x:v>1129</x:v>
      </x:c>
      <x:c r="J2941" s="68" t="n">
        <x:f>IFERROR(H2941/I2941,"")</x:f>
        <x:v>0.070859167404783</x:v>
      </x:c>
      <x:c r="K2941" s="69" t="n">
        <x:f>IFERROR(I2941/H2941,"")</x:f>
        <x:v>14.1125</x:v>
      </x:c>
      <x:c r="L2941" s="66" t="str">
        <x:f>IF(K2941="","","1 : "&amp;TEXT(K2941,"0.0"))</x:f>
        <x:v>1 : 14.1</x:v>
      </x:c>
      <x:c r="M2941" s="66" t="str">
        <x:f>IF(J2941="","Baru/Tanpa Data",IF(J2941&lt;='Catatan &amp; Sumber'!$B$14,"Sangat Ketat",IF(J2941&lt;='Catatan &amp; Sumber'!$B$15,"Ketat",IF(J2941&lt;='Catatan &amp; Sumber'!$B$16,"Sedang","Relatif Longgar"))))</x:f>
        <x:v>Sedang</x:v>
      </x:c>
      <x:c r="N2941" s="66" t="str">
        <x:v>Tidak Ada</x:v>
      </x:c>
      <x:c r="O2941" s="66" t="str">
        <x:v>Jawa Timur</x:v>
      </x:c>
      <x:c r="P2941" s="66" t="str">
        <x:v>Kota Surabaya</x:v>
      </x:c>
      <x:c r="Q2941" s="66" t="str">
        <x:v>https://snpmb.id/snbp/daya-tampung-snbp</x:v>
      </x:c>
      <x:c r="R2941" s="66" t="str">
        <x:v>https://sidatagrun-public-1076756628210.asia-southeast2.run.app/ptn_sn.php?ptn=383</x:v>
      </x:c>
    </x:row>
    <x:row r="2942">
      <x:c r="A2942" s="87" t="n">
        <x:v>3887</x:v>
      </x:c>
      <x:c r="B2942" s="66" t="n">
        <x:v>383</x:v>
      </x:c>
      <x:c r="C2942" s="66" t="str">
        <x:v>UNIVERSITAS NEGERI SURABAYA</x:v>
      </x:c>
      <x:c r="D2942" s="66" t="str">
        <x:v>PTN Akademik</x:v>
      </x:c>
      <x:c r="E2942" s="66" t="str">
        <x:v>13831065</x:v>
      </x:c>
      <x:c r="F2942" s="66" t="str">
        <x:v>MUSIK</x:v>
      </x:c>
      <x:c r="G2942" s="66" t="str">
        <x:v>Sarjana</x:v>
      </x:c>
      <x:c r="H2942" s="87" t="n">
        <x:v>45</x:v>
      </x:c>
      <x:c r="I2942" s="87" t="n">
        <x:v>73</x:v>
      </x:c>
      <x:c r="J2942" s="68" t="n">
        <x:f>IFERROR(H2942/I2942,"")</x:f>
        <x:v>0.6164383561643836</x:v>
      </x:c>
      <x:c r="K2942" s="69" t="n">
        <x:f>IFERROR(I2942/H2942,"")</x:f>
        <x:v>1.6222222222222222</x:v>
      </x:c>
      <x:c r="L2942" s="66" t="str">
        <x:f>IF(K2942="","","1 : "&amp;TEXT(K2942,"0.0"))</x:f>
        <x:v>1 : 1.6</x:v>
      </x:c>
      <x:c r="M2942" s="66" t="str">
        <x:f>IF(J2942="","Baru/Tanpa Data",IF(J2942&lt;='Catatan &amp; Sumber'!$B$14,"Sangat Ketat",IF(J2942&lt;='Catatan &amp; Sumber'!$B$15,"Ketat",IF(J2942&lt;='Catatan &amp; Sumber'!$B$16,"Sedang","Relatif Longgar"))))</x:f>
        <x:v>Relatif Longgar</x:v>
      </x:c>
      <x:c r="N2942" s="66" t="str">
        <x:v>Musik</x:v>
      </x:c>
      <x:c r="O2942" s="66" t="str">
        <x:v>Jawa Timur</x:v>
      </x:c>
      <x:c r="P2942" s="66" t="str">
        <x:v>Kota Surabaya</x:v>
      </x:c>
      <x:c r="Q2942" s="66" t="str">
        <x:v>https://snpmb.id/snbp/daya-tampung-snbp</x:v>
      </x:c>
      <x:c r="R2942" s="66" t="str">
        <x:v>https://sidatagrun-public-1076756628210.asia-southeast2.run.app/ptn_sn.php?ptn=383</x:v>
      </x:c>
    </x:row>
    <x:row r="2943">
      <x:c r="A2943" s="87" t="n">
        <x:v>2149</x:v>
      </x:c>
      <x:c r="B2943" s="66" t="n">
        <x:v>383</x:v>
      </x:c>
      <x:c r="C2943" s="66" t="str">
        <x:v>UNIVERSITAS NEGERI SURABAYA</x:v>
      </x:c>
      <x:c r="D2943" s="66" t="str">
        <x:v>PTN Akademik</x:v>
      </x:c>
      <x:c r="E2943" s="66" t="str">
        <x:v>13831066</x:v>
      </x:c>
      <x:c r="F2943" s="66" t="str">
        <x:v>DESAIN KOMUNIKASI VISUAL</x:v>
      </x:c>
      <x:c r="G2943" s="66" t="str">
        <x:v>Sarjana</x:v>
      </x:c>
      <x:c r="H2943" s="87" t="n">
        <x:v>90</x:v>
      </x:c>
      <x:c r="I2943" s="87" t="n">
        <x:v>542</x:v>
      </x:c>
      <x:c r="J2943" s="68" t="n">
        <x:f>IFERROR(H2943/I2943,"")</x:f>
        <x:v>0.16605166051660517</x:v>
      </x:c>
      <x:c r="K2943" s="69" t="n">
        <x:f>IFERROR(I2943/H2943,"")</x:f>
        <x:v>6.022222222222222</x:v>
      </x:c>
      <x:c r="L2943" s="66" t="str">
        <x:f>IF(K2943="","","1 : "&amp;TEXT(K2943,"0.0"))</x:f>
        <x:v>1 : 6.0</x:v>
      </x:c>
      <x:c r="M2943" s="66" t="str">
        <x:f>IF(J2943="","Baru/Tanpa Data",IF(J2943&lt;='Catatan &amp; Sumber'!$B$14,"Sangat Ketat",IF(J2943&lt;='Catatan &amp; Sumber'!$B$15,"Ketat",IF(J2943&lt;='Catatan &amp; Sumber'!$B$16,"Sedang","Relatif Longgar"))))</x:f>
        <x:v>Relatif Longgar</x:v>
      </x:c>
      <x:c r="N2943" s="66" t="str">
        <x:v>Seni Rupa, Desain, dan Kriya</x:v>
      </x:c>
      <x:c r="O2943" s="66" t="str">
        <x:v>Jawa Timur</x:v>
      </x:c>
      <x:c r="P2943" s="66" t="str">
        <x:v>Kota Surabaya</x:v>
      </x:c>
      <x:c r="Q2943" s="66" t="str">
        <x:v>https://snpmb.id/snbp/daya-tampung-snbp</x:v>
      </x:c>
      <x:c r="R2943" s="66" t="str">
        <x:v>https://sidatagrun-public-1076756628210.asia-southeast2.run.app/ptn_sn.php?ptn=383</x:v>
      </x:c>
    </x:row>
    <x:row r="2944">
      <x:c r="A2944" s="87" t="n">
        <x:v>3277</x:v>
      </x:c>
      <x:c r="B2944" s="66" t="n">
        <x:v>383</x:v>
      </x:c>
      <x:c r="C2944" s="66" t="str">
        <x:v>UNIVERSITAS NEGERI SURABAYA</x:v>
      </x:c>
      <x:c r="D2944" s="66" t="str">
        <x:v>PTN Akademik</x:v>
      </x:c>
      <x:c r="E2944" s="66" t="str">
        <x:v>13831067</x:v>
      </x:c>
      <x:c r="F2944" s="66" t="str">
        <x:v>SENI RUPA MURNI</x:v>
      </x:c>
      <x:c r="G2944" s="66" t="str">
        <x:v>Sarjana</x:v>
      </x:c>
      <x:c r="H2944" s="87" t="n">
        <x:v>34</x:v>
      </x:c>
      <x:c r="I2944" s="87" t="n">
        <x:v>93</x:v>
      </x:c>
      <x:c r="J2944" s="68" t="n">
        <x:f>IFERROR(H2944/I2944,"")</x:f>
        <x:v>0.3655913978494624</x:v>
      </x:c>
      <x:c r="K2944" s="69" t="n">
        <x:f>IFERROR(I2944/H2944,"")</x:f>
        <x:v>2.735294117647059</x:v>
      </x:c>
      <x:c r="L2944" s="66" t="str">
        <x:f>IF(K2944="","","1 : "&amp;TEXT(K2944,"0.0"))</x:f>
        <x:v>1 : 2.7</x:v>
      </x:c>
      <x:c r="M2944" s="66" t="str">
        <x:f>IF(J2944="","Baru/Tanpa Data",IF(J2944&lt;='Catatan &amp; Sumber'!$B$14,"Sangat Ketat",IF(J2944&lt;='Catatan &amp; Sumber'!$B$15,"Ketat",IF(J2944&lt;='Catatan &amp; Sumber'!$B$16,"Sedang","Relatif Longgar"))))</x:f>
        <x:v>Relatif Longgar</x:v>
      </x:c>
      <x:c r="N2944" s="66" t="str">
        <x:v>Seni Rupa, Desain, dan Kriya</x:v>
      </x:c>
      <x:c r="O2944" s="66" t="str">
        <x:v>Jawa Timur</x:v>
      </x:c>
      <x:c r="P2944" s="66" t="str">
        <x:v>Kota Surabaya</x:v>
      </x:c>
      <x:c r="Q2944" s="66" t="str">
        <x:v>https://snpmb.id/snbp/daya-tampung-snbp</x:v>
      </x:c>
      <x:c r="R2944" s="66" t="str">
        <x:v>https://sidatagrun-public-1076756628210.asia-southeast2.run.app/ptn_sn.php?ptn=383</x:v>
      </x:c>
    </x:row>
    <x:row r="2945">
      <x:c r="A2945" s="87" t="n">
        <x:v>2223</x:v>
      </x:c>
      <x:c r="B2945" s="66" t="n">
        <x:v>383</x:v>
      </x:c>
      <x:c r="C2945" s="66" t="str">
        <x:v>UNIVERSITAS NEGERI SURABAYA</x:v>
      </x:c>
      <x:c r="D2945" s="66" t="str">
        <x:v>PTN Akademik</x:v>
      </x:c>
      <x:c r="E2945" s="66" t="str">
        <x:v>13831068</x:v>
      </x:c>
      <x:c r="F2945" s="66" t="str">
        <x:v>EKONOMI ISLAM</x:v>
      </x:c>
      <x:c r="G2945" s="66" t="str">
        <x:v>Sarjana</x:v>
      </x:c>
      <x:c r="H2945" s="87" t="n">
        <x:v>68</x:v>
      </x:c>
      <x:c r="I2945" s="87" t="n">
        <x:v>388</x:v>
      </x:c>
      <x:c r="J2945" s="68" t="n">
        <x:f>IFERROR(H2945/I2945,"")</x:f>
        <x:v>0.17525773195876287</x:v>
      </x:c>
      <x:c r="K2945" s="69" t="n">
        <x:f>IFERROR(I2945/H2945,"")</x:f>
        <x:v>5.705882352941177</x:v>
      </x:c>
      <x:c r="L2945" s="66" t="str">
        <x:f>IF(K2945="","","1 : "&amp;TEXT(K2945,"0.0"))</x:f>
        <x:v>1 : 5.7</x:v>
      </x:c>
      <x:c r="M2945" s="66" t="str">
        <x:f>IF(J2945="","Baru/Tanpa Data",IF(J2945&lt;='Catatan &amp; Sumber'!$B$14,"Sangat Ketat",IF(J2945&lt;='Catatan &amp; Sumber'!$B$15,"Ketat",IF(J2945&lt;='Catatan &amp; Sumber'!$B$16,"Sedang","Relatif Longgar"))))</x:f>
        <x:v>Relatif Longgar</x:v>
      </x:c>
      <x:c r="N2945" s="66" t="str">
        <x:v>Tidak Ada</x:v>
      </x:c>
      <x:c r="O2945" s="66" t="str">
        <x:v>Jawa Timur</x:v>
      </x:c>
      <x:c r="P2945" s="66" t="str">
        <x:v>Kota Surabaya</x:v>
      </x:c>
      <x:c r="Q2945" s="66" t="str">
        <x:v>https://snpmb.id/snbp/daya-tampung-snbp</x:v>
      </x:c>
      <x:c r="R2945" s="66" t="str">
        <x:v>https://sidatagrun-public-1076756628210.asia-southeast2.run.app/ptn_sn.php?ptn=383</x:v>
      </x:c>
    </x:row>
    <x:row r="2946">
      <x:c r="A2946" s="87" t="n">
        <x:v>2765</x:v>
      </x:c>
      <x:c r="B2946" s="66" t="n">
        <x:v>383</x:v>
      </x:c>
      <x:c r="C2946" s="66" t="str">
        <x:v>UNIVERSITAS NEGERI SURABAYA</x:v>
      </x:c>
      <x:c r="D2946" s="66" t="str">
        <x:v>PTN Akademik</x:v>
      </x:c>
      <x:c r="E2946" s="66" t="str">
        <x:v>13831069</x:v>
      </x:c>
      <x:c r="F2946" s="66" t="str">
        <x:v>PENDIDIKAN IPS</x:v>
      </x:c>
      <x:c r="G2946" s="66" t="str">
        <x:v>Sarjana</x:v>
      </x:c>
      <x:c r="H2946" s="87" t="n">
        <x:v>75</x:v>
      </x:c>
      <x:c r="I2946" s="87" t="n">
        <x:v>296</x:v>
      </x:c>
      <x:c r="J2946" s="68" t="n">
        <x:f>IFERROR(H2946/I2946,"")</x:f>
        <x:v>0.2533783783783784</x:v>
      </x:c>
      <x:c r="K2946" s="69" t="n">
        <x:f>IFERROR(I2946/H2946,"")</x:f>
        <x:v>3.9466666666666668</x:v>
      </x:c>
      <x:c r="L2946" s="66" t="str">
        <x:f>IF(K2946="","","1 : "&amp;TEXT(K2946,"0.0"))</x:f>
        <x:v>1 : 3.9</x:v>
      </x:c>
      <x:c r="M2946" s="66" t="str">
        <x:f>IF(J2946="","Baru/Tanpa Data",IF(J2946&lt;='Catatan &amp; Sumber'!$B$14,"Sangat Ketat",IF(J2946&lt;='Catatan &amp; Sumber'!$B$15,"Ketat",IF(J2946&lt;='Catatan &amp; Sumber'!$B$16,"Sedang","Relatif Longgar"))))</x:f>
        <x:v>Relatif Longgar</x:v>
      </x:c>
      <x:c r="N2946" s="66" t="str">
        <x:v>Tidak Ada</x:v>
      </x:c>
      <x:c r="O2946" s="66" t="str">
        <x:v>Jawa Timur</x:v>
      </x:c>
      <x:c r="P2946" s="66" t="str">
        <x:v>Kota Surabaya</x:v>
      </x:c>
      <x:c r="Q2946" s="66" t="str">
        <x:v>https://snpmb.id/snbp/daya-tampung-snbp</x:v>
      </x:c>
      <x:c r="R2946" s="66" t="str">
        <x:v>https://sidatagrun-public-1076756628210.asia-southeast2.run.app/ptn_sn.php?ptn=383</x:v>
      </x:c>
    </x:row>
    <x:row r="2947">
      <x:c r="A2947" s="87" t="n">
        <x:v>1832</x:v>
      </x:c>
      <x:c r="B2947" s="66" t="n">
        <x:v>383</x:v>
      </x:c>
      <x:c r="C2947" s="66" t="str">
        <x:v>UNIVERSITAS NEGERI SURABAYA</x:v>
      </x:c>
      <x:c r="D2947" s="66" t="str">
        <x:v>PTN Akademik</x:v>
      </x:c>
      <x:c r="E2947" s="66" t="str">
        <x:v>13831070</x:v>
      </x:c>
      <x:c r="F2947" s="66" t="str">
        <x:v>EKONOMI</x:v>
      </x:c>
      <x:c r="G2947" s="66" t="str">
        <x:v>Sarjana</x:v>
      </x:c>
      <x:c r="H2947" s="87" t="n">
        <x:v>100</x:v>
      </x:c>
      <x:c r="I2947" s="87" t="n">
        <x:v>741</x:v>
      </x:c>
      <x:c r="J2947" s="68" t="n">
        <x:f>IFERROR(H2947/I2947,"")</x:f>
        <x:v>0.1349527665317139</x:v>
      </x:c>
      <x:c r="K2947" s="69" t="n">
        <x:f>IFERROR(I2947/H2947,"")</x:f>
        <x:v>7.41</x:v>
      </x:c>
      <x:c r="L2947" s="66" t="str">
        <x:f>IF(K2947="","","1 : "&amp;TEXT(K2947,"0.0"))</x:f>
        <x:v>1 : 7.4</x:v>
      </x:c>
      <x:c r="M2947" s="66" t="str">
        <x:f>IF(J2947="","Baru/Tanpa Data",IF(J2947&lt;='Catatan &amp; Sumber'!$B$14,"Sangat Ketat",IF(J2947&lt;='Catatan &amp; Sumber'!$B$15,"Ketat",IF(J2947&lt;='Catatan &amp; Sumber'!$B$16,"Sedang","Relatif Longgar"))))</x:f>
        <x:v>Relatif Longgar</x:v>
      </x:c>
      <x:c r="N2947" s="66" t="str">
        <x:v>Tidak Ada</x:v>
      </x:c>
      <x:c r="O2947" s="66" t="str">
        <x:v>Jawa Timur</x:v>
      </x:c>
      <x:c r="P2947" s="66" t="str">
        <x:v>Kota Surabaya</x:v>
      </x:c>
      <x:c r="Q2947" s="66" t="str">
        <x:v>https://snpmb.id/snbp/daya-tampung-snbp</x:v>
      </x:c>
      <x:c r="R2947" s="66" t="str">
        <x:v>https://sidatagrun-public-1076756628210.asia-southeast2.run.app/ptn_sn.php?ptn=383</x:v>
      </x:c>
    </x:row>
    <x:row r="2948">
      <x:c r="A2948" s="87" t="n">
        <x:v>1434</x:v>
      </x:c>
      <x:c r="B2948" s="66" t="n">
        <x:v>383</x:v>
      </x:c>
      <x:c r="C2948" s="66" t="str">
        <x:v>UNIVERSITAS NEGERI SURABAYA</x:v>
      </x:c>
      <x:c r="D2948" s="66" t="str">
        <x:v>PTN Akademik</x:v>
      </x:c>
      <x:c r="E2948" s="66" t="str">
        <x:v>13831075</x:v>
      </x:c>
      <x:c r="F2948" s="66" t="str">
        <x:v>BISNIS DIGITAL</x:v>
      </x:c>
      <x:c r="G2948" s="66" t="str">
        <x:v>Sarjana</x:v>
      </x:c>
      <x:c r="H2948" s="87" t="n">
        <x:v>100</x:v>
      </x:c>
      <x:c r="I2948" s="87" t="n">
        <x:v>950</x:v>
      </x:c>
      <x:c r="J2948" s="68" t="n">
        <x:f>IFERROR(H2948/I2948,"")</x:f>
        <x:v>0.10526315789473684</x:v>
      </x:c>
      <x:c r="K2948" s="69" t="n">
        <x:f>IFERROR(I2948/H2948,"")</x:f>
        <x:v>9.5</x:v>
      </x:c>
      <x:c r="L2948" s="66" t="str">
        <x:f>IF(K2948="","","1 : "&amp;TEXT(K2948,"0.0"))</x:f>
        <x:v>1 : 9.5</x:v>
      </x:c>
      <x:c r="M2948" s="66" t="str">
        <x:f>IF(J2948="","Baru/Tanpa Data",IF(J2948&lt;='Catatan &amp; Sumber'!$B$14,"Sangat Ketat",IF(J2948&lt;='Catatan &amp; Sumber'!$B$15,"Ketat",IF(J2948&lt;='Catatan &amp; Sumber'!$B$16,"Sedang","Relatif Longgar"))))</x:f>
        <x:v>Relatif Longgar</x:v>
      </x:c>
      <x:c r="N2948" s="66" t="str">
        <x:v>Tidak Ada</x:v>
      </x:c>
      <x:c r="O2948" s="66" t="str">
        <x:v>Jawa Timur</x:v>
      </x:c>
      <x:c r="P2948" s="66" t="str">
        <x:v>Kota Surabaya</x:v>
      </x:c>
      <x:c r="Q2948" s="66" t="str">
        <x:v>https://snpmb.id/snbp/daya-tampung-snbp</x:v>
      </x:c>
      <x:c r="R2948" s="66" t="str">
        <x:v>https://sidatagrun-public-1076756628210.asia-southeast2.run.app/ptn_sn.php?ptn=383</x:v>
      </x:c>
    </x:row>
    <x:row r="2949">
      <x:c r="A2949" s="87" t="n">
        <x:v>1288</x:v>
      </x:c>
      <x:c r="B2949" s="66" t="n">
        <x:v>383</x:v>
      </x:c>
      <x:c r="C2949" s="66" t="str">
        <x:v>UNIVERSITAS NEGERI SURABAYA</x:v>
      </x:c>
      <x:c r="D2949" s="66" t="str">
        <x:v>PTN Akademik</x:v>
      </x:c>
      <x:c r="E2949" s="66" t="str">
        <x:v>13831087</x:v>
      </x:c>
      <x:c r="F2949" s="66" t="str">
        <x:v>SAINS DATA</x:v>
      </x:c>
      <x:c r="G2949" s="66" t="str">
        <x:v>Sarjana</x:v>
      </x:c>
      <x:c r="H2949" s="87" t="n">
        <x:v>55</x:v>
      </x:c>
      <x:c r="I2949" s="87" t="n">
        <x:v>581</x:v>
      </x:c>
      <x:c r="J2949" s="68" t="n">
        <x:f>IFERROR(H2949/I2949,"")</x:f>
        <x:v>0.09466437177280551</x:v>
      </x:c>
      <x:c r="K2949" s="69" t="n">
        <x:f>IFERROR(I2949/H2949,"")</x:f>
        <x:v>10.563636363636364</x:v>
      </x:c>
      <x:c r="L2949" s="66" t="str">
        <x:f>IF(K2949="","","1 : "&amp;TEXT(K2949,"0.0"))</x:f>
        <x:v>1 : 10.6</x:v>
      </x:c>
      <x:c r="M2949" s="66" t="str">
        <x:f>IF(J2949="","Baru/Tanpa Data",IF(J2949&lt;='Catatan &amp; Sumber'!$B$14,"Sangat Ketat",IF(J2949&lt;='Catatan &amp; Sumber'!$B$15,"Ketat",IF(J2949&lt;='Catatan &amp; Sumber'!$B$16,"Sedang","Relatif Longgar"))))</x:f>
        <x:v>Sedang</x:v>
      </x:c>
      <x:c r="N2949" s="66" t="str">
        <x:v>Tidak Ada</x:v>
      </x:c>
      <x:c r="O2949" s="66" t="str">
        <x:v>Jawa Timur</x:v>
      </x:c>
      <x:c r="P2949" s="66" t="str">
        <x:v>Kota Surabaya</x:v>
      </x:c>
      <x:c r="Q2949" s="66" t="str">
        <x:v>https://snpmb.id/snbp/daya-tampung-snbp</x:v>
      </x:c>
      <x:c r="R2949" s="66" t="str">
        <x:v>https://sidatagrun-public-1076756628210.asia-southeast2.run.app/ptn_sn.php?ptn=383</x:v>
      </x:c>
    </x:row>
    <x:row r="2950">
      <x:c r="A2950" s="87" t="n">
        <x:v>3233</x:v>
      </x:c>
      <x:c r="B2950" s="66" t="n">
        <x:v>383</x:v>
      </x:c>
      <x:c r="C2950" s="66" t="str">
        <x:v>UNIVERSITAS NEGERI SURABAYA</x:v>
      </x:c>
      <x:c r="D2950" s="66" t="str">
        <x:v>PTN Akademik</x:v>
      </x:c>
      <x:c r="E2950" s="66" t="str">
        <x:v>13831088</x:v>
      </x:c>
      <x:c r="F2950" s="66" t="str">
        <x:v>MANAJEMEN OLAHRAGA</x:v>
      </x:c>
      <x:c r="G2950" s="66" t="str">
        <x:v>Sarjana</x:v>
      </x:c>
      <x:c r="H2950" s="87" t="n">
        <x:v>40</x:v>
      </x:c>
      <x:c r="I2950" s="87" t="n">
        <x:v>114</x:v>
      </x:c>
      <x:c r="J2950" s="68" t="n">
        <x:f>IFERROR(H2950/I2950,"")</x:f>
        <x:v>0.3508771929824561</x:v>
      </x:c>
      <x:c r="K2950" s="69" t="n">
        <x:f>IFERROR(I2950/H2950,"")</x:f>
        <x:v>2.85</x:v>
      </x:c>
      <x:c r="L2950" s="66" t="str">
        <x:f>IF(K2950="","","1 : "&amp;TEXT(K2950,"0.0"))</x:f>
        <x:v>1 : 2.9</x:v>
      </x:c>
      <x:c r="M2950" s="66" t="str">
        <x:f>IF(J2950="","Baru/Tanpa Data",IF(J2950&lt;='Catatan &amp; Sumber'!$B$14,"Sangat Ketat",IF(J2950&lt;='Catatan &amp; Sumber'!$B$15,"Ketat",IF(J2950&lt;='Catatan &amp; Sumber'!$B$16,"Sedang","Relatif Longgar"))))</x:f>
        <x:v>Relatif Longgar</x:v>
      </x:c>
      <x:c r="N2950" s="66" t="str">
        <x:v>Olahraga</x:v>
      </x:c>
      <x:c r="O2950" s="66" t="str">
        <x:v>Jawa Timur</x:v>
      </x:c>
      <x:c r="P2950" s="66" t="str">
        <x:v>Kota Surabaya</x:v>
      </x:c>
      <x:c r="Q2950" s="66" t="str">
        <x:v>https://snpmb.id/snbp/daya-tampung-snbp</x:v>
      </x:c>
      <x:c r="R2950" s="66" t="str">
        <x:v>https://sidatagrun-public-1076756628210.asia-southeast2.run.app/ptn_sn.php?ptn=383</x:v>
      </x:c>
    </x:row>
    <x:row r="2951">
      <x:c r="A2951" s="87" t="n">
        <x:v>2468</x:v>
      </x:c>
      <x:c r="B2951" s="66" t="n">
        <x:v>383</x:v>
      </x:c>
      <x:c r="C2951" s="66" t="str">
        <x:v>UNIVERSITAS NEGERI SURABAYA</x:v>
      </x:c>
      <x:c r="D2951" s="66" t="str">
        <x:v>PTN Akademik</x:v>
      </x:c>
      <x:c r="E2951" s="66" t="str">
        <x:v>13831089</x:v>
      </x:c>
      <x:c r="F2951" s="66" t="str">
        <x:v>ILMU POLITIK</x:v>
      </x:c>
      <x:c r="G2951" s="66" t="str">
        <x:v>Sarjana</x:v>
      </x:c>
      <x:c r="H2951" s="87" t="n">
        <x:v>65</x:v>
      </x:c>
      <x:c r="I2951" s="87" t="n">
        <x:v>317</x:v>
      </x:c>
      <x:c r="J2951" s="68" t="n">
        <x:f>IFERROR(H2951/I2951,"")</x:f>
        <x:v>0.20504731861198738</x:v>
      </x:c>
      <x:c r="K2951" s="69" t="n">
        <x:f>IFERROR(I2951/H2951,"")</x:f>
        <x:v>4.876923076923077</x:v>
      </x:c>
      <x:c r="L2951" s="66" t="str">
        <x:f>IF(K2951="","","1 : "&amp;TEXT(K2951,"0.0"))</x:f>
        <x:v>1 : 4.9</x:v>
      </x:c>
      <x:c r="M2951" s="66" t="str">
        <x:f>IF(J2951="","Baru/Tanpa Data",IF(J2951&lt;='Catatan &amp; Sumber'!$B$14,"Sangat Ketat",IF(J2951&lt;='Catatan &amp; Sumber'!$B$15,"Ketat",IF(J2951&lt;='Catatan &amp; Sumber'!$B$16,"Sedang","Relatif Longgar"))))</x:f>
        <x:v>Relatif Longgar</x:v>
      </x:c>
      <x:c r="N2951" s="66" t="str">
        <x:v>Tidak Ada</x:v>
      </x:c>
      <x:c r="O2951" s="66" t="str">
        <x:v>Jawa Timur</x:v>
      </x:c>
      <x:c r="P2951" s="66" t="str">
        <x:v>Kota Surabaya</x:v>
      </x:c>
      <x:c r="Q2951" s="66" t="str">
        <x:v>https://snpmb.id/snbp/daya-tampung-snbp</x:v>
      </x:c>
      <x:c r="R2951" s="66" t="str">
        <x:v>https://sidatagrun-public-1076756628210.asia-southeast2.run.app/ptn_sn.php?ptn=383</x:v>
      </x:c>
    </x:row>
    <x:row r="2952">
      <x:c r="A2952" s="87" t="n">
        <x:v>60</x:v>
      </x:c>
      <x:c r="B2952" s="66" t="n">
        <x:v>383</x:v>
      </x:c>
      <x:c r="C2952" s="66" t="str">
        <x:v>UNIVERSITAS NEGERI SURABAYA</x:v>
      </x:c>
      <x:c r="D2952" s="66" t="str">
        <x:v>PTN Akademik</x:v>
      </x:c>
      <x:c r="E2952" s="66" t="str">
        <x:v>13831090</x:v>
      </x:c>
      <x:c r="F2952" s="66" t="str">
        <x:v>KEDOKTERAN</x:v>
      </x:c>
      <x:c r="G2952" s="66" t="str">
        <x:v>Sarjana</x:v>
      </x:c>
      <x:c r="H2952" s="87" t="n">
        <x:v>10</x:v>
      </x:c>
      <x:c r="I2952" s="87" t="n">
        <x:v>410</x:v>
      </x:c>
      <x:c r="J2952" s="68" t="n">
        <x:f>IFERROR(H2952/I2952,"")</x:f>
        <x:v>0.024390243902439025</x:v>
      </x:c>
      <x:c r="K2952" s="69" t="n">
        <x:f>IFERROR(I2952/H2952,"")</x:f>
        <x:v>41</x:v>
      </x:c>
      <x:c r="L2952" s="66" t="str">
        <x:f>IF(K2952="","","1 : "&amp;TEXT(K2952,"0.0"))</x:f>
        <x:v>1 : 41.0</x:v>
      </x:c>
      <x:c r="M2952" s="66" t="str">
        <x:f>IF(J2952="","Baru/Tanpa Data",IF(J2952&lt;='Catatan &amp; Sumber'!$B$14,"Sangat Ketat",IF(J2952&lt;='Catatan &amp; Sumber'!$B$15,"Ketat",IF(J2952&lt;='Catatan &amp; Sumber'!$B$16,"Sedang","Relatif Longgar"))))</x:f>
        <x:v>Ketat</x:v>
      </x:c>
      <x:c r="N2952" s="66" t="str">
        <x:v>Tidak Ada</x:v>
      </x:c>
      <x:c r="O2952" s="66" t="str">
        <x:v>Jawa Timur</x:v>
      </x:c>
      <x:c r="P2952" s="66" t="str">
        <x:v>Kota Surabaya</x:v>
      </x:c>
      <x:c r="Q2952" s="66" t="str">
        <x:v>https://snpmb.id/snbp/daya-tampung-snbp</x:v>
      </x:c>
      <x:c r="R2952" s="66" t="str">
        <x:v>https://sidatagrun-public-1076756628210.asia-southeast2.run.app/ptn_sn.php?ptn=383</x:v>
      </x:c>
    </x:row>
    <x:row r="2953">
      <x:c r="A2953" s="87" t="n">
        <x:v>3127</x:v>
      </x:c>
      <x:c r="B2953" s="66" t="n">
        <x:v>383</x:v>
      </x:c>
      <x:c r="C2953" s="66" t="str">
        <x:v>UNIVERSITAS NEGERI SURABAYA</x:v>
      </x:c>
      <x:c r="D2953" s="66" t="str">
        <x:v>PTN Akademik</x:v>
      </x:c>
      <x:c r="E2953" s="66" t="str">
        <x:v>13831091</x:v>
      </x:c>
      <x:c r="F2953" s="66" t="str">
        <x:v>PENDIDIKAN JASMANI, KESEHATAN, DAN REKREASI (UNESA KAMPUS MAGETAN)</x:v>
      </x:c>
      <x:c r="G2953" s="66" t="str">
        <x:v>Sarjana</x:v>
      </x:c>
      <x:c r="H2953" s="87" t="n">
        <x:v>45</x:v>
      </x:c>
      <x:c r="I2953" s="87" t="n">
        <x:v>140</x:v>
      </x:c>
      <x:c r="J2953" s="68" t="n">
        <x:f>IFERROR(H2953/I2953,"")</x:f>
        <x:v>0.32142857142857145</x:v>
      </x:c>
      <x:c r="K2953" s="69" t="n">
        <x:f>IFERROR(I2953/H2953,"")</x:f>
        <x:v>3.111111111111111</x:v>
      </x:c>
      <x:c r="L2953" s="66" t="str">
        <x:f>IF(K2953="","","1 : "&amp;TEXT(K2953,"0.0"))</x:f>
        <x:v>1 : 3.1</x:v>
      </x:c>
      <x:c r="M2953" s="66" t="str">
        <x:f>IF(J2953="","Baru/Tanpa Data",IF(J2953&lt;='Catatan &amp; Sumber'!$B$14,"Sangat Ketat",IF(J2953&lt;='Catatan &amp; Sumber'!$B$15,"Ketat",IF(J2953&lt;='Catatan &amp; Sumber'!$B$16,"Sedang","Relatif Longgar"))))</x:f>
        <x:v>Relatif Longgar</x:v>
      </x:c>
      <x:c r="N2953" s="66" t="str">
        <x:v>Olahraga</x:v>
      </x:c>
      <x:c r="O2953" s="66" t="str">
        <x:v>Jawa Timur</x:v>
      </x:c>
      <x:c r="P2953" s="66" t="str">
        <x:v>Kota Surabaya</x:v>
      </x:c>
      <x:c r="Q2953" s="66" t="str">
        <x:v>https://snpmb.id/snbp/daya-tampung-snbp</x:v>
      </x:c>
      <x:c r="R2953" s="66" t="str">
        <x:v>https://sidatagrun-public-1076756628210.asia-southeast2.run.app/ptn_sn.php?ptn=383</x:v>
      </x:c>
    </x:row>
    <x:row r="2954">
      <x:c r="A2954" s="87" t="n">
        <x:v>1189</x:v>
      </x:c>
      <x:c r="B2954" s="66" t="n">
        <x:v>383</x:v>
      </x:c>
      <x:c r="C2954" s="66" t="str">
        <x:v>UNIVERSITAS NEGERI SURABAYA</x:v>
      </x:c>
      <x:c r="D2954" s="66" t="str">
        <x:v>PTN Akademik</x:v>
      </x:c>
      <x:c r="E2954" s="66" t="str">
        <x:v>13831092</x:v>
      </x:c>
      <x:c r="F2954" s="66" t="str">
        <x:v>PENDIDIKAN GURU SEKOLAH DASAR (UNESA KAMPUS MAGETAN)</x:v>
      </x:c>
      <x:c r="G2954" s="66" t="str">
        <x:v>Sarjana</x:v>
      </x:c>
      <x:c r="H2954" s="87" t="n">
        <x:v>50</x:v>
      </x:c>
      <x:c r="I2954" s="87" t="n">
        <x:v>561</x:v>
      </x:c>
      <x:c r="J2954" s="68" t="n">
        <x:f>IFERROR(H2954/I2954,"")</x:f>
        <x:v>0.08912655971479501</x:v>
      </x:c>
      <x:c r="K2954" s="69" t="n">
        <x:f>IFERROR(I2954/H2954,"")</x:f>
        <x:v>11.22</x:v>
      </x:c>
      <x:c r="L2954" s="66" t="str">
        <x:f>IF(K2954="","","1 : "&amp;TEXT(K2954,"0.0"))</x:f>
        <x:v>1 : 11.2</x:v>
      </x:c>
      <x:c r="M2954" s="66" t="str">
        <x:f>IF(J2954="","Baru/Tanpa Data",IF(J2954&lt;='Catatan &amp; Sumber'!$B$14,"Sangat Ketat",IF(J2954&lt;='Catatan &amp; Sumber'!$B$15,"Ketat",IF(J2954&lt;='Catatan &amp; Sumber'!$B$16,"Sedang","Relatif Longgar"))))</x:f>
        <x:v>Sedang</x:v>
      </x:c>
      <x:c r="N2954" s="66" t="str">
        <x:v>Tidak Ada</x:v>
      </x:c>
      <x:c r="O2954" s="66" t="str">
        <x:v>Jawa Timur</x:v>
      </x:c>
      <x:c r="P2954" s="66" t="str">
        <x:v>Kota Surabaya</x:v>
      </x:c>
      <x:c r="Q2954" s="66" t="str">
        <x:v>https://snpmb.id/snbp/daya-tampung-snbp</x:v>
      </x:c>
      <x:c r="R2954" s="66" t="str">
        <x:v>https://sidatagrun-public-1076756628210.asia-southeast2.run.app/ptn_sn.php?ptn=383</x:v>
      </x:c>
    </x:row>
    <x:row r="2955">
      <x:c r="A2955" s="87" t="n">
        <x:v>2328</x:v>
      </x:c>
      <x:c r="B2955" s="66" t="n">
        <x:v>383</x:v>
      </x:c>
      <x:c r="C2955" s="66" t="str">
        <x:v>UNIVERSITAS NEGERI SURABAYA</x:v>
      </x:c>
      <x:c r="D2955" s="66" t="str">
        <x:v>PTN Akademik</x:v>
      </x:c>
      <x:c r="E2955" s="66" t="str">
        <x:v>13831093</x:v>
      </x:c>
      <x:c r="F2955" s="66" t="str">
        <x:v>PENDIDIKAN MATEMATIKA (UNESA KAMPUS MAGETAN)</x:v>
      </x:c>
      <x:c r="G2955" s="66" t="str">
        <x:v>Sarjana</x:v>
      </x:c>
      <x:c r="H2955" s="87" t="n">
        <x:v>31</x:v>
      </x:c>
      <x:c r="I2955" s="87" t="n">
        <x:v>166</x:v>
      </x:c>
      <x:c r="J2955" s="68" t="n">
        <x:f>IFERROR(H2955/I2955,"")</x:f>
        <x:v>0.18674698795180722</x:v>
      </x:c>
      <x:c r="K2955" s="69" t="n">
        <x:f>IFERROR(I2955/H2955,"")</x:f>
        <x:v>5.354838709677419</x:v>
      </x:c>
      <x:c r="L2955" s="66" t="str">
        <x:f>IF(K2955="","","1 : "&amp;TEXT(K2955,"0.0"))</x:f>
        <x:v>1 : 5.4</x:v>
      </x:c>
      <x:c r="M2955" s="66" t="str">
        <x:f>IF(J2955="","Baru/Tanpa Data",IF(J2955&lt;='Catatan &amp; Sumber'!$B$14,"Sangat Ketat",IF(J2955&lt;='Catatan &amp; Sumber'!$B$15,"Ketat",IF(J2955&lt;='Catatan &amp; Sumber'!$B$16,"Sedang","Relatif Longgar"))))</x:f>
        <x:v>Relatif Longgar</x:v>
      </x:c>
      <x:c r="N2955" s="66" t="str">
        <x:v>Tidak Ada</x:v>
      </x:c>
      <x:c r="O2955" s="66" t="str">
        <x:v>Jawa Timur</x:v>
      </x:c>
      <x:c r="P2955" s="66" t="str">
        <x:v>Kota Surabaya</x:v>
      </x:c>
      <x:c r="Q2955" s="66" t="str">
        <x:v>https://snpmb.id/snbp/daya-tampung-snbp</x:v>
      </x:c>
      <x:c r="R2955" s="66" t="str">
        <x:v>https://sidatagrun-public-1076756628210.asia-southeast2.run.app/ptn_sn.php?ptn=383</x:v>
      </x:c>
    </x:row>
    <x:row r="2956">
      <x:c r="A2956" s="87" t="n">
        <x:v>2210</x:v>
      </x:c>
      <x:c r="B2956" s="66" t="n">
        <x:v>383</x:v>
      </x:c>
      <x:c r="C2956" s="66" t="str">
        <x:v>UNIVERSITAS NEGERI SURABAYA</x:v>
      </x:c>
      <x:c r="D2956" s="66" t="str">
        <x:v>PTN Akademik</x:v>
      </x:c>
      <x:c r="E2956" s="66" t="str">
        <x:v>13831094</x:v>
      </x:c>
      <x:c r="F2956" s="66" t="str">
        <x:v>ILMU HUKUM (UNESA KAMPUS MAGETAN)</x:v>
      </x:c>
      <x:c r="G2956" s="66" t="str">
        <x:v>Sarjana</x:v>
      </x:c>
      <x:c r="H2956" s="87" t="n">
        <x:v>42</x:v>
      </x:c>
      <x:c r="I2956" s="87" t="n">
        <x:v>243</x:v>
      </x:c>
      <x:c r="J2956" s="68" t="n">
        <x:f>IFERROR(H2956/I2956,"")</x:f>
        <x:v>0.1728395061728395</x:v>
      </x:c>
      <x:c r="K2956" s="69" t="n">
        <x:f>IFERROR(I2956/H2956,"")</x:f>
        <x:v>5.785714285714286</x:v>
      </x:c>
      <x:c r="L2956" s="66" t="str">
        <x:f>IF(K2956="","","1 : "&amp;TEXT(K2956,"0.0"))</x:f>
        <x:v>1 : 5.8</x:v>
      </x:c>
      <x:c r="M2956" s="66" t="str">
        <x:f>IF(J2956="","Baru/Tanpa Data",IF(J2956&lt;='Catatan &amp; Sumber'!$B$14,"Sangat Ketat",IF(J2956&lt;='Catatan &amp; Sumber'!$B$15,"Ketat",IF(J2956&lt;='Catatan &amp; Sumber'!$B$16,"Sedang","Relatif Longgar"))))</x:f>
        <x:v>Relatif Longgar</x:v>
      </x:c>
      <x:c r="N2956" s="66" t="str">
        <x:v>Tidak Ada</x:v>
      </x:c>
      <x:c r="O2956" s="66" t="str">
        <x:v>Jawa Timur</x:v>
      </x:c>
      <x:c r="P2956" s="66" t="str">
        <x:v>Kota Surabaya</x:v>
      </x:c>
      <x:c r="Q2956" s="66" t="str">
        <x:v>https://snpmb.id/snbp/daya-tampung-snbp</x:v>
      </x:c>
      <x:c r="R2956" s="66" t="str">
        <x:v>https://sidatagrun-public-1076756628210.asia-southeast2.run.app/ptn_sn.php?ptn=383</x:v>
      </x:c>
    </x:row>
    <x:row r="2957">
      <x:c r="A2957" s="87" t="n">
        <x:v>1986</x:v>
      </x:c>
      <x:c r="B2957" s="66" t="n">
        <x:v>383</x:v>
      </x:c>
      <x:c r="C2957" s="66" t="str">
        <x:v>UNIVERSITAS NEGERI SURABAYA</x:v>
      </x:c>
      <x:c r="D2957" s="66" t="str">
        <x:v>PTN Akademik</x:v>
      </x:c>
      <x:c r="E2957" s="66" t="str">
        <x:v>13831095</x:v>
      </x:c>
      <x:c r="F2957" s="66" t="str">
        <x:v>ILMU KOMUNIKASI (UNESA KAMPUS MAGETAN)</x:v>
      </x:c>
      <x:c r="G2957" s="66" t="str">
        <x:v>Sarjana</x:v>
      </x:c>
      <x:c r="H2957" s="87" t="n">
        <x:v>50</x:v>
      </x:c>
      <x:c r="I2957" s="87" t="n">
        <x:v>333</x:v>
      </x:c>
      <x:c r="J2957" s="68" t="n">
        <x:f>IFERROR(H2957/I2957,"")</x:f>
        <x:v>0.15015015015015015</x:v>
      </x:c>
      <x:c r="K2957" s="69" t="n">
        <x:f>IFERROR(I2957/H2957,"")</x:f>
        <x:v>6.66</x:v>
      </x:c>
      <x:c r="L2957" s="66" t="str">
        <x:f>IF(K2957="","","1 : "&amp;TEXT(K2957,"0.0"))</x:f>
        <x:v>1 : 6.7</x:v>
      </x:c>
      <x:c r="M2957" s="66" t="str">
        <x:f>IF(J2957="","Baru/Tanpa Data",IF(J2957&lt;='Catatan &amp; Sumber'!$B$14,"Sangat Ketat",IF(J2957&lt;='Catatan &amp; Sumber'!$B$15,"Ketat",IF(J2957&lt;='Catatan &amp; Sumber'!$B$16,"Sedang","Relatif Longgar"))))</x:f>
        <x:v>Relatif Longgar</x:v>
      </x:c>
      <x:c r="N2957" s="66" t="str">
        <x:v>Tidak Ada</x:v>
      </x:c>
      <x:c r="O2957" s="66" t="str">
        <x:v>Jawa Timur</x:v>
      </x:c>
      <x:c r="P2957" s="66" t="str">
        <x:v>Kota Surabaya</x:v>
      </x:c>
      <x:c r="Q2957" s="66" t="str">
        <x:v>https://snpmb.id/snbp/daya-tampung-snbp</x:v>
      </x:c>
      <x:c r="R2957" s="66" t="str">
        <x:v>https://sidatagrun-public-1076756628210.asia-southeast2.run.app/ptn_sn.php?ptn=383</x:v>
      </x:c>
    </x:row>
    <x:row r="2958">
      <x:c r="A2958" s="87" t="n">
        <x:v>1208</x:v>
      </x:c>
      <x:c r="B2958" s="66" t="n">
        <x:v>383</x:v>
      </x:c>
      <x:c r="C2958" s="66" t="str">
        <x:v>UNIVERSITAS NEGERI SURABAYA</x:v>
      </x:c>
      <x:c r="D2958" s="66" t="str">
        <x:v>PTN Akademik</x:v>
      </x:c>
      <x:c r="E2958" s="66" t="str">
        <x:v>13831096</x:v>
      </x:c>
      <x:c r="F2958" s="66" t="str">
        <x:v>MANAJEMEN (UNESA KAMPUS MAGETAN)</x:v>
      </x:c>
      <x:c r="G2958" s="66" t="str">
        <x:v>Sarjana</x:v>
      </x:c>
      <x:c r="H2958" s="87" t="n">
        <x:v>50</x:v>
      </x:c>
      <x:c r="I2958" s="87" t="n">
        <x:v>554</x:v>
      </x:c>
      <x:c r="J2958" s="68" t="n">
        <x:f>IFERROR(H2958/I2958,"")</x:f>
        <x:v>0.09025270758122744</x:v>
      </x:c>
      <x:c r="K2958" s="69" t="n">
        <x:f>IFERROR(I2958/H2958,"")</x:f>
        <x:v>11.08</x:v>
      </x:c>
      <x:c r="L2958" s="66" t="str">
        <x:f>IF(K2958="","","1 : "&amp;TEXT(K2958,"0.0"))</x:f>
        <x:v>1 : 11.1</x:v>
      </x:c>
      <x:c r="M2958" s="66" t="str">
        <x:f>IF(J2958="","Baru/Tanpa Data",IF(J2958&lt;='Catatan &amp; Sumber'!$B$14,"Sangat Ketat",IF(J2958&lt;='Catatan &amp; Sumber'!$B$15,"Ketat",IF(J2958&lt;='Catatan &amp; Sumber'!$B$16,"Sedang","Relatif Longgar"))))</x:f>
        <x:v>Sedang</x:v>
      </x:c>
      <x:c r="N2958" s="66" t="str">
        <x:v>Tidak Ada</x:v>
      </x:c>
      <x:c r="O2958" s="66" t="str">
        <x:v>Jawa Timur</x:v>
      </x:c>
      <x:c r="P2958" s="66" t="str">
        <x:v>Kota Surabaya</x:v>
      </x:c>
      <x:c r="Q2958" s="66" t="str">
        <x:v>https://snpmb.id/snbp/daya-tampung-snbp</x:v>
      </x:c>
      <x:c r="R2958" s="66" t="str">
        <x:v>https://sidatagrun-public-1076756628210.asia-southeast2.run.app/ptn_sn.php?ptn=383</x:v>
      </x:c>
    </x:row>
    <x:row r="2959">
      <x:c r="A2959" s="87" t="n">
        <x:v>2770</x:v>
      </x:c>
      <x:c r="B2959" s="66" t="n">
        <x:v>383</x:v>
      </x:c>
      <x:c r="C2959" s="66" t="str">
        <x:v>UNIVERSITAS NEGERI SURABAYA</x:v>
      </x:c>
      <x:c r="D2959" s="66" t="str">
        <x:v>PTN Akademik</x:v>
      </x:c>
      <x:c r="E2959" s="66" t="str">
        <x:v>13831097</x:v>
      </x:c>
      <x:c r="F2959" s="66" t="str">
        <x:v>SASTRA INGGRIS (UNESA KAMPUS MAGETAN)</x:v>
      </x:c>
      <x:c r="G2959" s="66" t="str">
        <x:v>Sarjana</x:v>
      </x:c>
      <x:c r="H2959" s="87" t="n">
        <x:v>35</x:v>
      </x:c>
      <x:c r="I2959" s="87" t="n">
        <x:v>138</x:v>
      </x:c>
      <x:c r="J2959" s="68" t="n">
        <x:f>IFERROR(H2959/I2959,"")</x:f>
        <x:v>0.2536231884057971</x:v>
      </x:c>
      <x:c r="K2959" s="69" t="n">
        <x:f>IFERROR(I2959/H2959,"")</x:f>
        <x:v>3.942857142857143</x:v>
      </x:c>
      <x:c r="L2959" s="66" t="str">
        <x:f>IF(K2959="","","1 : "&amp;TEXT(K2959,"0.0"))</x:f>
        <x:v>1 : 3.9</x:v>
      </x:c>
      <x:c r="M2959" s="66" t="str">
        <x:f>IF(J2959="","Baru/Tanpa Data",IF(J2959&lt;='Catatan &amp; Sumber'!$B$14,"Sangat Ketat",IF(J2959&lt;='Catatan &amp; Sumber'!$B$15,"Ketat",IF(J2959&lt;='Catatan &amp; Sumber'!$B$16,"Sedang","Relatif Longgar"))))</x:f>
        <x:v>Relatif Longgar</x:v>
      </x:c>
      <x:c r="N2959" s="66" t="str">
        <x:v>Tidak Ada</x:v>
      </x:c>
      <x:c r="O2959" s="66" t="str">
        <x:v>Jawa Timur</x:v>
      </x:c>
      <x:c r="P2959" s="66" t="str">
        <x:v>Kota Surabaya</x:v>
      </x:c>
      <x:c r="Q2959" s="66" t="str">
        <x:v>https://snpmb.id/snbp/daya-tampung-snbp</x:v>
      </x:c>
      <x:c r="R2959" s="66" t="str">
        <x:v>https://sidatagrun-public-1076756628210.asia-southeast2.run.app/ptn_sn.php?ptn=383</x:v>
      </x:c>
    </x:row>
    <x:row r="2960">
      <x:c r="A2960" s="87" t="n">
        <x:v>2921</x:v>
      </x:c>
      <x:c r="B2960" s="66" t="n">
        <x:v>383</x:v>
      </x:c>
      <x:c r="C2960" s="66" t="str">
        <x:v>UNIVERSITAS NEGERI SURABAYA</x:v>
      </x:c>
      <x:c r="D2960" s="66" t="str">
        <x:v>PTN Akademik</x:v>
      </x:c>
      <x:c r="E2960" s="66" t="str">
        <x:v>13831098</x:v>
      </x:c>
      <x:c r="F2960" s="66" t="str">
        <x:v>PENDIDIKAN TATA RIAS (UNESA KAMPUS MAGETAN)</x:v>
      </x:c>
      <x:c r="G2960" s="66" t="str">
        <x:v>Sarjana</x:v>
      </x:c>
      <x:c r="H2960" s="87" t="n">
        <x:v>40</x:v>
      </x:c>
      <x:c r="I2960" s="87" t="n">
        <x:v>144</x:v>
      </x:c>
      <x:c r="J2960" s="68" t="n">
        <x:f>IFERROR(H2960/I2960,"")</x:f>
        <x:v>0.2777777777777778</x:v>
      </x:c>
      <x:c r="K2960" s="69" t="n">
        <x:f>IFERROR(I2960/H2960,"")</x:f>
        <x:v>3.6</x:v>
      </x:c>
      <x:c r="L2960" s="66" t="str">
        <x:f>IF(K2960="","","1 : "&amp;TEXT(K2960,"0.0"))</x:f>
        <x:v>1 : 3.6</x:v>
      </x:c>
      <x:c r="M2960" s="66" t="str">
        <x:f>IF(J2960="","Baru/Tanpa Data",IF(J2960&lt;='Catatan &amp; Sumber'!$B$14,"Sangat Ketat",IF(J2960&lt;='Catatan &amp; Sumber'!$B$15,"Ketat",IF(J2960&lt;='Catatan &amp; Sumber'!$B$16,"Sedang","Relatif Longgar"))))</x:f>
        <x:v>Relatif Longgar</x:v>
      </x:c>
      <x:c r="N2960" s="66" t="str">
        <x:v>Tidak Ada</x:v>
      </x:c>
      <x:c r="O2960" s="66" t="str">
        <x:v>Jawa Timur</x:v>
      </x:c>
      <x:c r="P2960" s="66" t="str">
        <x:v>Kota Surabaya</x:v>
      </x:c>
      <x:c r="Q2960" s="66" t="str">
        <x:v>https://snpmb.id/snbp/daya-tampung-snbp</x:v>
      </x:c>
      <x:c r="R2960" s="66" t="str">
        <x:v>https://sidatagrun-public-1076756628210.asia-southeast2.run.app/ptn_sn.php?ptn=383</x:v>
      </x:c>
    </x:row>
    <x:row r="2961">
      <x:c r="A2961" s="87" t="n">
        <x:v>4489</x:v>
      </x:c>
      <x:c r="B2961" s="66" t="n">
        <x:v>383</x:v>
      </x:c>
      <x:c r="C2961" s="66" t="str">
        <x:v>UNIVERSITAS NEGERI SURABAYA</x:v>
      </x:c>
      <x:c r="D2961" s="66" t="str">
        <x:v>PTN Akademik</x:v>
      </x:c>
      <x:c r="E2961" s="66" t="str">
        <x:v>13831099</x:v>
      </x:c>
      <x:c r="F2961" s="66" t="str">
        <x:v>MASASE</x:v>
      </x:c>
      <x:c r="G2961" s="66" t="str">
        <x:v>Sarjana</x:v>
      </x:c>
      <x:c r="H2961" s="87" t="n">
        <x:v>30</x:v>
      </x:c>
      <x:c r="I2961" s="87" t="n">
        <x:v>23</x:v>
      </x:c>
      <x:c r="J2961" s="68" t="n">
        <x:f>IFERROR(H2961/I2961,"")</x:f>
        <x:v>1.3043478260869565</x:v>
      </x:c>
      <x:c r="K2961" s="69" t="n">
        <x:f>IFERROR(I2961/H2961,"")</x:f>
        <x:v>0.7666666666666667</x:v>
      </x:c>
      <x:c r="L2961" s="66" t="str">
        <x:f>IF(K2961="","","1 : "&amp;TEXT(K2961,"0.0"))</x:f>
        <x:v>1 : 0.8</x:v>
      </x:c>
      <x:c r="M2961" s="66" t="str">
        <x:f>IF(J2961="","Baru/Tanpa Data",IF(J2961&lt;='Catatan &amp; Sumber'!$B$14,"Sangat Ketat",IF(J2961&lt;='Catatan &amp; Sumber'!$B$15,"Ketat",IF(J2961&lt;='Catatan &amp; Sumber'!$B$16,"Sedang","Relatif Longgar"))))</x:f>
        <x:v>Relatif Longgar</x:v>
      </x:c>
      <x:c r="N2961" s="66" t="str">
        <x:v>Olahraga</x:v>
      </x:c>
      <x:c r="O2961" s="66" t="str">
        <x:v>Jawa Timur</x:v>
      </x:c>
      <x:c r="P2961" s="66" t="str">
        <x:v>Kota Surabaya</x:v>
      </x:c>
      <x:c r="Q2961" s="66" t="str">
        <x:v>https://snpmb.id/snbp/daya-tampung-snbp</x:v>
      </x:c>
      <x:c r="R2961" s="66" t="str">
        <x:v>https://sidatagrun-public-1076756628210.asia-southeast2.run.app/ptn_sn.php?ptn=383</x:v>
      </x:c>
    </x:row>
    <x:row r="2962">
      <x:c r="A2962" s="87" t="n">
        <x:v>148</x:v>
      </x:c>
      <x:c r="B2962" s="66" t="n">
        <x:v>383</x:v>
      </x:c>
      <x:c r="C2962" s="66" t="str">
        <x:v>UNIVERSITAS NEGERI SURABAYA</x:v>
      </x:c>
      <x:c r="D2962" s="66" t="str">
        <x:v>PTN Akademik</x:v>
      </x:c>
      <x:c r="E2962" s="66" t="str">
        <x:v>13831101</x:v>
      </x:c>
      <x:c r="F2962" s="66" t="str">
        <x:v>FISIOTERAPI</x:v>
      </x:c>
      <x:c r="G2962" s="66" t="str">
        <x:v>Sarjana</x:v>
      </x:c>
      <x:c r="H2962" s="87" t="n">
        <x:v>12</x:v>
      </x:c>
      <x:c r="I2962" s="87" t="n">
        <x:v>362</x:v>
      </x:c>
      <x:c r="J2962" s="68" t="n">
        <x:f>IFERROR(H2962/I2962,"")</x:f>
        <x:v>0.03314917127071823</x:v>
      </x:c>
      <x:c r="K2962" s="69" t="n">
        <x:f>IFERROR(I2962/H2962,"")</x:f>
        <x:v>30.166666666666668</x:v>
      </x:c>
      <x:c r="L2962" s="66" t="str">
        <x:f>IF(K2962="","","1 : "&amp;TEXT(K2962,"0.0"))</x:f>
        <x:v>1 : 30.2</x:v>
      </x:c>
      <x:c r="M2962" s="66" t="str">
        <x:f>IF(J2962="","Baru/Tanpa Data",IF(J2962&lt;='Catatan &amp; Sumber'!$B$14,"Sangat Ketat",IF(J2962&lt;='Catatan &amp; Sumber'!$B$15,"Ketat",IF(J2962&lt;='Catatan &amp; Sumber'!$B$16,"Sedang","Relatif Longgar"))))</x:f>
        <x:v>Ketat</x:v>
      </x:c>
      <x:c r="N2962" s="66" t="str">
        <x:v>Tidak Ada</x:v>
      </x:c>
      <x:c r="O2962" s="66" t="str">
        <x:v>Jawa Timur</x:v>
      </x:c>
      <x:c r="P2962" s="66" t="str">
        <x:v>Kota Surabaya</x:v>
      </x:c>
      <x:c r="Q2962" s="66" t="str">
        <x:v>https://snpmb.id/snbp/daya-tampung-snbp</x:v>
      </x:c>
      <x:c r="R2962" s="66" t="str">
        <x:v>https://sidatagrun-public-1076756628210.asia-southeast2.run.app/ptn_sn.php?ptn=383</x:v>
      </x:c>
    </x:row>
    <x:row r="2963">
      <x:c r="A2963" s="87" t="n">
        <x:v>138</x:v>
      </x:c>
      <x:c r="B2963" s="66" t="n">
        <x:v>383</x:v>
      </x:c>
      <x:c r="C2963" s="66" t="str">
        <x:v>UNIVERSITAS NEGERI SURABAYA</x:v>
      </x:c>
      <x:c r="D2963" s="66" t="str">
        <x:v>PTN Akademik</x:v>
      </x:c>
      <x:c r="E2963" s="66" t="str">
        <x:v>13831102</x:v>
      </x:c>
      <x:c r="F2963" s="66" t="str">
        <x:v>KEBIDANAN</x:v>
      </x:c>
      <x:c r="G2963" s="66" t="str">
        <x:v>Sarjana</x:v>
      </x:c>
      <x:c r="H2963" s="87" t="n">
        <x:v>10</x:v>
      </x:c>
      <x:c r="I2963" s="87" t="n">
        <x:v>310</x:v>
      </x:c>
      <x:c r="J2963" s="68" t="n">
        <x:f>IFERROR(H2963/I2963,"")</x:f>
        <x:v>0.03225806451612903</x:v>
      </x:c>
      <x:c r="K2963" s="69" t="n">
        <x:f>IFERROR(I2963/H2963,"")</x:f>
        <x:v>31</x:v>
      </x:c>
      <x:c r="L2963" s="66" t="str">
        <x:f>IF(K2963="","","1 : "&amp;TEXT(K2963,"0.0"))</x:f>
        <x:v>1 : 31.0</x:v>
      </x:c>
      <x:c r="M2963" s="66" t="str">
        <x:f>IF(J2963="","Baru/Tanpa Data",IF(J2963&lt;='Catatan &amp; Sumber'!$B$14,"Sangat Ketat",IF(J2963&lt;='Catatan &amp; Sumber'!$B$15,"Ketat",IF(J2963&lt;='Catatan &amp; Sumber'!$B$16,"Sedang","Relatif Longgar"))))</x:f>
        <x:v>Ketat</x:v>
      </x:c>
      <x:c r="N2963" s="66" t="str">
        <x:v>Tidak Ada</x:v>
      </x:c>
      <x:c r="O2963" s="66" t="str">
        <x:v>Jawa Timur</x:v>
      </x:c>
      <x:c r="P2963" s="66" t="str">
        <x:v>Kota Surabaya</x:v>
      </x:c>
      <x:c r="Q2963" s="66" t="str">
        <x:v>https://snpmb.id/snbp/daya-tampung-snbp</x:v>
      </x:c>
      <x:c r="R2963" s="66" t="str">
        <x:v>https://sidatagrun-public-1076756628210.asia-southeast2.run.app/ptn_sn.php?ptn=383</x:v>
      </x:c>
    </x:row>
    <x:row r="2964">
      <x:c r="A2964" s="87" t="n">
        <x:v>3</x:v>
      </x:c>
      <x:c r="B2964" s="66" t="n">
        <x:v>383</x:v>
      </x:c>
      <x:c r="C2964" s="66" t="str">
        <x:v>UNIVERSITAS NEGERI SURABAYA</x:v>
      </x:c>
      <x:c r="D2964" s="66" t="str">
        <x:v>PTN Akademik</x:v>
      </x:c>
      <x:c r="E2964" s="66" t="str">
        <x:v>13831103</x:v>
      </x:c>
      <x:c r="F2964" s="66" t="str">
        <x:v>KEPERAWATAN</x:v>
      </x:c>
      <x:c r="G2964" s="66" t="str">
        <x:v>Sarjana</x:v>
      </x:c>
      <x:c r="H2964" s="87" t="n">
        <x:v>10</x:v>
      </x:c>
      <x:c r="I2964" s="87" t="n">
        <x:v>850</x:v>
      </x:c>
      <x:c r="J2964" s="68" t="n">
        <x:f>IFERROR(H2964/I2964,"")</x:f>
        <x:v>0.011764705882352941</x:v>
      </x:c>
      <x:c r="K2964" s="69" t="n">
        <x:f>IFERROR(I2964/H2964,"")</x:f>
        <x:v>85</x:v>
      </x:c>
      <x:c r="L2964" s="66" t="str">
        <x:f>IF(K2964="","","1 : "&amp;TEXT(K2964,"0.0"))</x:f>
        <x:v>1 : 85.0</x:v>
      </x:c>
      <x:c r="M2964" s="66" t="str">
        <x:f>IF(J2964="","Baru/Tanpa Data",IF(J2964&lt;='Catatan &amp; Sumber'!$B$14,"Sangat Ketat",IF(J2964&lt;='Catatan &amp; Sumber'!$B$15,"Ketat",IF(J2964&lt;='Catatan &amp; Sumber'!$B$16,"Sedang","Relatif Longgar"))))</x:f>
        <x:v>Sangat Ketat</x:v>
      </x:c>
      <x:c r="N2964" s="66" t="str">
        <x:v>Tidak Ada</x:v>
      </x:c>
      <x:c r="O2964" s="66" t="str">
        <x:v>Jawa Timur</x:v>
      </x:c>
      <x:c r="P2964" s="66" t="str">
        <x:v>Kota Surabaya</x:v>
      </x:c>
      <x:c r="Q2964" s="66" t="str">
        <x:v>https://snpmb.id/snbp/daya-tampung-snbp</x:v>
      </x:c>
      <x:c r="R2964" s="66" t="str">
        <x:v>https://sidatagrun-public-1076756628210.asia-southeast2.run.app/ptn_sn.php?ptn=383</x:v>
      </x:c>
    </x:row>
    <x:row r="2965">
      <x:c r="A2965" s="87" t="n">
        <x:v>2271</x:v>
      </x:c>
      <x:c r="B2965" s="66" t="n">
        <x:v>383</x:v>
      </x:c>
      <x:c r="C2965" s="66" t="str">
        <x:v>UNIVERSITAS NEGERI SURABAYA</x:v>
      </x:c>
      <x:c r="D2965" s="66" t="str">
        <x:v>PTN Akademik</x:v>
      </x:c>
      <x:c r="E2965" s="66" t="str">
        <x:v>13831104</x:v>
      </x:c>
      <x:c r="F2965" s="66" t="str">
        <x:v>HUBUNGAN INTERNASIONAL</x:v>
      </x:c>
      <x:c r="G2965" s="66" t="str">
        <x:v>Sarjana</x:v>
      </x:c>
      <x:c r="H2965" s="87" t="n">
        <x:v>50</x:v>
      </x:c>
      <x:c r="I2965" s="87" t="n">
        <x:v>277</x:v>
      </x:c>
      <x:c r="J2965" s="68" t="n">
        <x:f>IFERROR(H2965/I2965,"")</x:f>
        <x:v>0.18050541516245489</x:v>
      </x:c>
      <x:c r="K2965" s="69" t="n">
        <x:f>IFERROR(I2965/H2965,"")</x:f>
        <x:v>5.54</x:v>
      </x:c>
      <x:c r="L2965" s="66" t="str">
        <x:f>IF(K2965="","","1 : "&amp;TEXT(K2965,"0.0"))</x:f>
        <x:v>1 : 5.5</x:v>
      </x:c>
      <x:c r="M2965" s="66" t="str">
        <x:f>IF(J2965="","Baru/Tanpa Data",IF(J2965&lt;='Catatan &amp; Sumber'!$B$14,"Sangat Ketat",IF(J2965&lt;='Catatan &amp; Sumber'!$B$15,"Ketat",IF(J2965&lt;='Catatan &amp; Sumber'!$B$16,"Sedang","Relatif Longgar"))))</x:f>
        <x:v>Relatif Longgar</x:v>
      </x:c>
      <x:c r="N2965" s="66" t="str">
        <x:v>Tidak Ada</x:v>
      </x:c>
      <x:c r="O2965" s="66" t="str">
        <x:v>Jawa Timur</x:v>
      </x:c>
      <x:c r="P2965" s="66" t="str">
        <x:v>Kota Surabaya</x:v>
      </x:c>
      <x:c r="Q2965" s="66" t="str">
        <x:v>https://snpmb.id/snbp/daya-tampung-snbp</x:v>
      </x:c>
      <x:c r="R2965" s="66" t="str">
        <x:v>https://sidatagrun-public-1076756628210.asia-southeast2.run.app/ptn_sn.php?ptn=383</x:v>
      </x:c>
    </x:row>
    <x:row r="2966">
      <x:c r="A2966" s="87" t="n">
        <x:v>2382</x:v>
      </x:c>
      <x:c r="B2966" s="66" t="n">
        <x:v>383</x:v>
      </x:c>
      <x:c r="C2966" s="66" t="str">
        <x:v>UNIVERSITAS NEGERI SURABAYA</x:v>
      </x:c>
      <x:c r="D2966" s="66" t="str">
        <x:v>PTN Akademik</x:v>
      </x:c>
      <x:c r="E2966" s="66" t="str">
        <x:v>13831105</x:v>
      </x:c>
      <x:c r="F2966" s="66" t="str">
        <x:v>PERENCANAAN WILAYAH DAN KOTA</x:v>
      </x:c>
      <x:c r="G2966" s="66" t="str">
        <x:v>Sarjana</x:v>
      </x:c>
      <x:c r="H2966" s="87" t="n">
        <x:v>45</x:v>
      </x:c>
      <x:c r="I2966" s="87" t="n">
        <x:v>233</x:v>
      </x:c>
      <x:c r="J2966" s="68" t="n">
        <x:f>IFERROR(H2966/I2966,"")</x:f>
        <x:v>0.19313304721030042</x:v>
      </x:c>
      <x:c r="K2966" s="69" t="n">
        <x:f>IFERROR(I2966/H2966,"")</x:f>
        <x:v>5.177777777777778</x:v>
      </x:c>
      <x:c r="L2966" s="66" t="str">
        <x:f>IF(K2966="","","1 : "&amp;TEXT(K2966,"0.0"))</x:f>
        <x:v>1 : 5.2</x:v>
      </x:c>
      <x:c r="M2966" s="66" t="str">
        <x:f>IF(J2966="","Baru/Tanpa Data",IF(J2966&lt;='Catatan &amp; Sumber'!$B$14,"Sangat Ketat",IF(J2966&lt;='Catatan &amp; Sumber'!$B$15,"Ketat",IF(J2966&lt;='Catatan &amp; Sumber'!$B$16,"Sedang","Relatif Longgar"))))</x:f>
        <x:v>Relatif Longgar</x:v>
      </x:c>
      <x:c r="N2966" s="66" t="str">
        <x:v>Tidak Ada</x:v>
      </x:c>
      <x:c r="O2966" s="66" t="str">
        <x:v>Jawa Timur</x:v>
      </x:c>
      <x:c r="P2966" s="66" t="str">
        <x:v>Kota Surabaya</x:v>
      </x:c>
      <x:c r="Q2966" s="66" t="str">
        <x:v>https://snpmb.id/snbp/daya-tampung-snbp</x:v>
      </x:c>
      <x:c r="R2966" s="66" t="str">
        <x:v>https://sidatagrun-public-1076756628210.asia-southeast2.run.app/ptn_sn.php?ptn=383</x:v>
      </x:c>
    </x:row>
    <x:row r="2967">
      <x:c r="A2967" s="87" t="n">
        <x:v>2989</x:v>
      </x:c>
      <x:c r="B2967" s="66" t="n">
        <x:v>383</x:v>
      </x:c>
      <x:c r="C2967" s="66" t="str">
        <x:v>UNIVERSITAS NEGERI SURABAYA</x:v>
      </x:c>
      <x:c r="D2967" s="66" t="str">
        <x:v>PTN Akademik</x:v>
      </x:c>
      <x:c r="E2967" s="66" t="str">
        <x:v>13831106</x:v>
      </x:c>
      <x:c r="F2967" s="66" t="str">
        <x:v>SAINS AKTUARIA</x:v>
      </x:c>
      <x:c r="G2967" s="66" t="str">
        <x:v>Sarjana</x:v>
      </x:c>
      <x:c r="H2967" s="87" t="n">
        <x:v>35</x:v>
      </x:c>
      <x:c r="I2967" s="87" t="n">
        <x:v>120</x:v>
      </x:c>
      <x:c r="J2967" s="68" t="n">
        <x:f>IFERROR(H2967/I2967,"")</x:f>
        <x:v>0.2916666666666667</x:v>
      </x:c>
      <x:c r="K2967" s="69" t="n">
        <x:f>IFERROR(I2967/H2967,"")</x:f>
        <x:v>3.4285714285714284</x:v>
      </x:c>
      <x:c r="L2967" s="66" t="str">
        <x:f>IF(K2967="","","1 : "&amp;TEXT(K2967,"0.0"))</x:f>
        <x:v>1 : 3.4</x:v>
      </x:c>
      <x:c r="M2967" s="66" t="str">
        <x:f>IF(J2967="","Baru/Tanpa Data",IF(J2967&lt;='Catatan &amp; Sumber'!$B$14,"Sangat Ketat",IF(J2967&lt;='Catatan &amp; Sumber'!$B$15,"Ketat",IF(J2967&lt;='Catatan &amp; Sumber'!$B$16,"Sedang","Relatif Longgar"))))</x:f>
        <x:v>Relatif Longgar</x:v>
      </x:c>
      <x:c r="N2967" s="66" t="str">
        <x:v>Tidak Ada</x:v>
      </x:c>
      <x:c r="O2967" s="66" t="str">
        <x:v>Jawa Timur</x:v>
      </x:c>
      <x:c r="P2967" s="66" t="str">
        <x:v>Kota Surabaya</x:v>
      </x:c>
      <x:c r="Q2967" s="66" t="str">
        <x:v>https://snpmb.id/snbp/daya-tampung-snbp</x:v>
      </x:c>
      <x:c r="R2967" s="66" t="str">
        <x:v>https://sidatagrun-public-1076756628210.asia-southeast2.run.app/ptn_sn.php?ptn=383</x:v>
      </x:c>
    </x:row>
    <x:row r="2968">
      <x:c r="A2968" s="87" t="n">
        <x:v>2984</x:v>
      </x:c>
      <x:c r="B2968" s="66" t="n">
        <x:v>383</x:v>
      </x:c>
      <x:c r="C2968" s="66" t="str">
        <x:v>UNIVERSITAS NEGERI SURABAYA</x:v>
      </x:c>
      <x:c r="D2968" s="66" t="str">
        <x:v>PTN Akademik</x:v>
      </x:c>
      <x:c r="E2968" s="66" t="str">
        <x:v>13831109</x:v>
      </x:c>
      <x:c r="F2968" s="66" t="str">
        <x:v>PENDIDIKAN GURU PENDIDIKAN ANAK USIA DINI (KAMPUS KABUPATEN MAGETAN)</x:v>
      </x:c>
      <x:c r="G2968" s="66" t="str">
        <x:v>Sarjana</x:v>
      </x:c>
      <x:c r="H2968" s="87" t="n">
        <x:v>20</x:v>
      </x:c>
      <x:c r="I2968" s="87" t="n">
        <x:v>69</x:v>
      </x:c>
      <x:c r="J2968" s="68" t="n">
        <x:f>IFERROR(H2968/I2968,"")</x:f>
        <x:v>0.2898550724637681</x:v>
      </x:c>
      <x:c r="K2968" s="69" t="n">
        <x:f>IFERROR(I2968/H2968,"")</x:f>
        <x:v>3.45</x:v>
      </x:c>
      <x:c r="L2968" s="66" t="str">
        <x:f>IF(K2968="","","1 : "&amp;TEXT(K2968,"0.0"))</x:f>
        <x:v>1 : 3.5</x:v>
      </x:c>
      <x:c r="M2968" s="66" t="str">
        <x:f>IF(J2968="","Baru/Tanpa Data",IF(J2968&lt;='Catatan &amp; Sumber'!$B$14,"Sangat Ketat",IF(J2968&lt;='Catatan &amp; Sumber'!$B$15,"Ketat",IF(J2968&lt;='Catatan &amp; Sumber'!$B$16,"Sedang","Relatif Longgar"))))</x:f>
        <x:v>Relatif Longgar</x:v>
      </x:c>
      <x:c r="N2968" s="66" t="str">
        <x:v>Tidak Ada</x:v>
      </x:c>
      <x:c r="O2968" s="66" t="str">
        <x:v>Jawa Timur</x:v>
      </x:c>
      <x:c r="P2968" s="66" t="str">
        <x:v>Kota Surabaya</x:v>
      </x:c>
      <x:c r="Q2968" s="66" t="str">
        <x:v>https://snpmb.id/snbp/daya-tampung-snbp</x:v>
      </x:c>
      <x:c r="R2968" s="66" t="str">
        <x:v>https://sidatagrun-public-1076756628210.asia-southeast2.run.app/ptn_sn.php?ptn=383</x:v>
      </x:c>
    </x:row>
    <x:row r="2969">
      <x:c r="A2969" s="87" t="n">
        <x:v>3588</x:v>
      </x:c>
      <x:c r="B2969" s="66" t="n">
        <x:v>383</x:v>
      </x:c>
      <x:c r="C2969" s="66" t="str">
        <x:v>UNIVERSITAS NEGERI SURABAYA</x:v>
      </x:c>
      <x:c r="D2969" s="66" t="str">
        <x:v>PTN Akademik</x:v>
      </x:c>
      <x:c r="E2969" s="66" t="str">
        <x:v>13831110</x:v>
      </x:c>
      <x:c r="F2969" s="66" t="str">
        <x:v>TEKNOLOGI PENDIDIKAN (KAMPUS KABUPATEN MAGETAN)</x:v>
      </x:c>
      <x:c r="G2969" s="66" t="str">
        <x:v>Sarjana</x:v>
      </x:c>
      <x:c r="H2969" s="87" t="n">
        <x:v>35</x:v>
      </x:c>
      <x:c r="I2969" s="87" t="n">
        <x:v>75</x:v>
      </x:c>
      <x:c r="J2969" s="68" t="n">
        <x:f>IFERROR(H2969/I2969,"")</x:f>
        <x:v>0.4666666666666667</x:v>
      </x:c>
      <x:c r="K2969" s="69" t="n">
        <x:f>IFERROR(I2969/H2969,"")</x:f>
        <x:v>2.142857142857143</x:v>
      </x:c>
      <x:c r="L2969" s="66" t="str">
        <x:f>IF(K2969="","","1 : "&amp;TEXT(K2969,"0.0"))</x:f>
        <x:v>1 : 2.1</x:v>
      </x:c>
      <x:c r="M2969" s="66" t="str">
        <x:f>IF(J2969="","Baru/Tanpa Data",IF(J2969&lt;='Catatan &amp; Sumber'!$B$14,"Sangat Ketat",IF(J2969&lt;='Catatan &amp; Sumber'!$B$15,"Ketat",IF(J2969&lt;='Catatan &amp; Sumber'!$B$16,"Sedang","Relatif Longgar"))))</x:f>
        <x:v>Relatif Longgar</x:v>
      </x:c>
      <x:c r="N2969" s="66" t="str">
        <x:v>Tidak Ada</x:v>
      </x:c>
      <x:c r="O2969" s="66" t="str">
        <x:v>Jawa Timur</x:v>
      </x:c>
      <x:c r="P2969" s="66" t="str">
        <x:v>Kota Surabaya</x:v>
      </x:c>
      <x:c r="Q2969" s="66" t="str">
        <x:v>https://snpmb.id/snbp/daya-tampung-snbp</x:v>
      </x:c>
      <x:c r="R2969" s="66" t="str">
        <x:v>https://sidatagrun-public-1076756628210.asia-southeast2.run.app/ptn_sn.php?ptn=383</x:v>
      </x:c>
    </x:row>
    <x:row r="2970">
      <x:c r="A2970" s="87" t="n">
        <x:v>1746</x:v>
      </x:c>
      <x:c r="B2970" s="66" t="n">
        <x:v>383</x:v>
      </x:c>
      <x:c r="C2970" s="66" t="str">
        <x:v>UNIVERSITAS NEGERI SURABAYA</x:v>
      </x:c>
      <x:c r="D2970" s="66" t="str">
        <x:v>PTN Akademik</x:v>
      </x:c>
      <x:c r="E2970" s="66" t="str">
        <x:v>13831111</x:v>
      </x:c>
      <x:c r="F2970" s="66" t="str">
        <x:v>BIMBINGAN DAN KONSELING (KAMPUS KABUPATEN MAGETAN)</x:v>
      </x:c>
      <x:c r="G2970" s="66" t="str">
        <x:v>Sarjana</x:v>
      </x:c>
      <x:c r="H2970" s="87" t="n">
        <x:v>35</x:v>
      </x:c>
      <x:c r="I2970" s="87" t="n">
        <x:v>274</x:v>
      </x:c>
      <x:c r="J2970" s="68" t="n">
        <x:f>IFERROR(H2970/I2970,"")</x:f>
        <x:v>0.12773722627737227</x:v>
      </x:c>
      <x:c r="K2970" s="69" t="n">
        <x:f>IFERROR(I2970/H2970,"")</x:f>
        <x:v>7.828571428571428</x:v>
      </x:c>
      <x:c r="L2970" s="66" t="str">
        <x:f>IF(K2970="","","1 : "&amp;TEXT(K2970,"0.0"))</x:f>
        <x:v>1 : 7.8</x:v>
      </x:c>
      <x:c r="M2970" s="66" t="str">
        <x:f>IF(J2970="","Baru/Tanpa Data",IF(J2970&lt;='Catatan &amp; Sumber'!$B$14,"Sangat Ketat",IF(J2970&lt;='Catatan &amp; Sumber'!$B$15,"Ketat",IF(J2970&lt;='Catatan &amp; Sumber'!$B$16,"Sedang","Relatif Longgar"))))</x:f>
        <x:v>Relatif Longgar</x:v>
      </x:c>
      <x:c r="N2970" s="66" t="str">
        <x:v>Tidak Ada</x:v>
      </x:c>
      <x:c r="O2970" s="66" t="str">
        <x:v>Jawa Timur</x:v>
      </x:c>
      <x:c r="P2970" s="66" t="str">
        <x:v>Kota Surabaya</x:v>
      </x:c>
      <x:c r="Q2970" s="66" t="str">
        <x:v>https://snpmb.id/snbp/daya-tampung-snbp</x:v>
      </x:c>
      <x:c r="R2970" s="66" t="str">
        <x:v>https://sidatagrun-public-1076756628210.asia-southeast2.run.app/ptn_sn.php?ptn=383</x:v>
      </x:c>
    </x:row>
    <x:row r="2971">
      <x:c r="A2971" s="87" t="n">
        <x:v>3622</x:v>
      </x:c>
      <x:c r="B2971" s="66" t="n">
        <x:v>383</x:v>
      </x:c>
      <x:c r="C2971" s="66" t="str">
        <x:v>UNIVERSITAS NEGERI SURABAYA</x:v>
      </x:c>
      <x:c r="D2971" s="66" t="str">
        <x:v>PTN Akademik</x:v>
      </x:c>
      <x:c r="E2971" s="66" t="str">
        <x:v>13831112</x:v>
      </x:c>
      <x:c r="F2971" s="66" t="str">
        <x:v>PENDIDIKAN KEPELATIHAN OLAHRAGA (KAMPUS KABUPATEN MAGETAN)</x:v>
      </x:c>
      <x:c r="G2971" s="66" t="str">
        <x:v>Sarjana</x:v>
      </x:c>
      <x:c r="H2971" s="87" t="n">
        <x:v>35</x:v>
      </x:c>
      <x:c r="I2971" s="87" t="n">
        <x:v>73</x:v>
      </x:c>
      <x:c r="J2971" s="68" t="n">
        <x:f>IFERROR(H2971/I2971,"")</x:f>
        <x:v>0.4794520547945205</x:v>
      </x:c>
      <x:c r="K2971" s="69" t="n">
        <x:f>IFERROR(I2971/H2971,"")</x:f>
        <x:v>2.085714285714286</x:v>
      </x:c>
      <x:c r="L2971" s="66" t="str">
        <x:f>IF(K2971="","","1 : "&amp;TEXT(K2971,"0.0"))</x:f>
        <x:v>1 : 2.1</x:v>
      </x:c>
      <x:c r="M2971" s="66" t="str">
        <x:f>IF(J2971="","Baru/Tanpa Data",IF(J2971&lt;='Catatan &amp; Sumber'!$B$14,"Sangat Ketat",IF(J2971&lt;='Catatan &amp; Sumber'!$B$15,"Ketat",IF(J2971&lt;='Catatan &amp; Sumber'!$B$16,"Sedang","Relatif Longgar"))))</x:f>
        <x:v>Relatif Longgar</x:v>
      </x:c>
      <x:c r="N2971" s="66" t="str">
        <x:v>Olahraga</x:v>
      </x:c>
      <x:c r="O2971" s="66" t="str">
        <x:v>Jawa Timur</x:v>
      </x:c>
      <x:c r="P2971" s="66" t="str">
        <x:v>Kota Surabaya</x:v>
      </x:c>
      <x:c r="Q2971" s="66" t="str">
        <x:v>https://snpmb.id/snbp/daya-tampung-snbp</x:v>
      </x:c>
      <x:c r="R2971" s="66" t="str">
        <x:v>https://sidatagrun-public-1076756628210.asia-southeast2.run.app/ptn_sn.php?ptn=383</x:v>
      </x:c>
    </x:row>
    <x:row r="2972">
      <x:c r="A2972" s="87" t="n">
        <x:v>1964</x:v>
      </x:c>
      <x:c r="B2972" s="66" t="n">
        <x:v>383</x:v>
      </x:c>
      <x:c r="C2972" s="66" t="str">
        <x:v>UNIVERSITAS NEGERI SURABAYA</x:v>
      </x:c>
      <x:c r="D2972" s="66" t="str">
        <x:v>PTN Akademik</x:v>
      </x:c>
      <x:c r="E2972" s="66" t="str">
        <x:v>13831113</x:v>
      </x:c>
      <x:c r="F2972" s="66" t="str">
        <x:v>PENDIDIKAN BAHASA DAN SASTRA INDONESIA (KAMPUS KABUPATEN MAGETAN)</x:v>
      </x:c>
      <x:c r="G2972" s="66" t="str">
        <x:v>Sarjana</x:v>
      </x:c>
      <x:c r="H2972" s="87" t="n">
        <x:v>30</x:v>
      </x:c>
      <x:c r="I2972" s="87" t="n">
        <x:v>203</x:v>
      </x:c>
      <x:c r="J2972" s="68" t="n">
        <x:f>IFERROR(H2972/I2972,"")</x:f>
        <x:v>0.1477832512315271</x:v>
      </x:c>
      <x:c r="K2972" s="69" t="n">
        <x:f>IFERROR(I2972/H2972,"")</x:f>
        <x:v>6.766666666666667</x:v>
      </x:c>
      <x:c r="L2972" s="66" t="str">
        <x:f>IF(K2972="","","1 : "&amp;TEXT(K2972,"0.0"))</x:f>
        <x:v>1 : 6.8</x:v>
      </x:c>
      <x:c r="M2972" s="66" t="str">
        <x:f>IF(J2972="","Baru/Tanpa Data",IF(J2972&lt;='Catatan &amp; Sumber'!$B$14,"Sangat Ketat",IF(J2972&lt;='Catatan &amp; Sumber'!$B$15,"Ketat",IF(J2972&lt;='Catatan &amp; Sumber'!$B$16,"Sedang","Relatif Longgar"))))</x:f>
        <x:v>Relatif Longgar</x:v>
      </x:c>
      <x:c r="N2972" s="66" t="str">
        <x:v>Tidak Ada</x:v>
      </x:c>
      <x:c r="O2972" s="66" t="str">
        <x:v>Jawa Timur</x:v>
      </x:c>
      <x:c r="P2972" s="66" t="str">
        <x:v>Kota Surabaya</x:v>
      </x:c>
      <x:c r="Q2972" s="66" t="str">
        <x:v>https://snpmb.id/snbp/daya-tampung-snbp</x:v>
      </x:c>
      <x:c r="R2972" s="66" t="str">
        <x:v>https://sidatagrun-public-1076756628210.asia-southeast2.run.app/ptn_sn.php?ptn=383</x:v>
      </x:c>
    </x:row>
    <x:row r="2973">
      <x:c r="A2973" s="87" t="n">
        <x:v>1686</x:v>
      </x:c>
      <x:c r="B2973" s="66" t="n">
        <x:v>383</x:v>
      </x:c>
      <x:c r="C2973" s="66" t="str">
        <x:v>UNIVERSITAS NEGERI SURABAYA</x:v>
      </x:c>
      <x:c r="D2973" s="66" t="str">
        <x:v>PTN Akademik</x:v>
      </x:c>
      <x:c r="E2973" s="66" t="str">
        <x:v>13831115</x:v>
      </x:c>
      <x:c r="F2973" s="66" t="str">
        <x:v>TEKNOLOGI PANGAN DAN HASIL PERTANIAN</x:v>
      </x:c>
      <x:c r="G2973" s="66" t="str">
        <x:v>Sarjana</x:v>
      </x:c>
      <x:c r="H2973" s="87" t="n">
        <x:v>30</x:v>
      </x:c>
      <x:c r="I2973" s="87" t="n">
        <x:v>244</x:v>
      </x:c>
      <x:c r="J2973" s="68" t="n">
        <x:f>IFERROR(H2973/I2973,"")</x:f>
        <x:v>0.12295081967213115</x:v>
      </x:c>
      <x:c r="K2973" s="69" t="n">
        <x:f>IFERROR(I2973/H2973,"")</x:f>
        <x:v>8.133333333333333</x:v>
      </x:c>
      <x:c r="L2973" s="66" t="str">
        <x:f>IF(K2973="","","1 : "&amp;TEXT(K2973,"0.0"))</x:f>
        <x:v>1 : 8.1</x:v>
      </x:c>
      <x:c r="M2973" s="66" t="str">
        <x:f>IF(J2973="","Baru/Tanpa Data",IF(J2973&lt;='Catatan &amp; Sumber'!$B$14,"Sangat Ketat",IF(J2973&lt;='Catatan &amp; Sumber'!$B$15,"Ketat",IF(J2973&lt;='Catatan &amp; Sumber'!$B$16,"Sedang","Relatif Longgar"))))</x:f>
        <x:v>Relatif Longgar</x:v>
      </x:c>
      <x:c r="N2973" s="66" t="str">
        <x:v>Tidak Ada</x:v>
      </x:c>
      <x:c r="O2973" s="66" t="str">
        <x:v>Jawa Timur</x:v>
      </x:c>
      <x:c r="P2973" s="66" t="str">
        <x:v>Kota Surabaya</x:v>
      </x:c>
      <x:c r="Q2973" s="66" t="str">
        <x:v>https://snpmb.id/snbp/daya-tampung-snbp</x:v>
      </x:c>
      <x:c r="R2973" s="66" t="str">
        <x:v>https://sidatagrun-public-1076756628210.asia-southeast2.run.app/ptn_sn.php?ptn=383</x:v>
      </x:c>
    </x:row>
    <x:row r="2974">
      <x:c r="A2974" s="87" t="n">
        <x:v>4037</x:v>
      </x:c>
      <x:c r="B2974" s="66" t="n">
        <x:v>383</x:v>
      </x:c>
      <x:c r="C2974" s="66" t="str">
        <x:v>UNIVERSITAS NEGERI SURABAYA</x:v>
      </x:c>
      <x:c r="D2974" s="66" t="str">
        <x:v>PTN Akademik</x:v>
      </x:c>
      <x:c r="E2974" s="66" t="str">
        <x:v>13831116</x:v>
      </x:c>
      <x:c r="F2974" s="66" t="str">
        <x:v>AKUAKULTUR</x:v>
      </x:c>
      <x:c r="G2974" s="66" t="str">
        <x:v>Sarjana</x:v>
      </x:c>
      <x:c r="H2974" s="87" t="n">
        <x:v>30</x:v>
      </x:c>
      <x:c r="I2974" s="87" t="n">
        <x:v>42</x:v>
      </x:c>
      <x:c r="J2974" s="68" t="n">
        <x:f>IFERROR(H2974/I2974,"")</x:f>
        <x:v>0.7142857142857143</x:v>
      </x:c>
      <x:c r="K2974" s="69" t="n">
        <x:f>IFERROR(I2974/H2974,"")</x:f>
        <x:v>1.4</x:v>
      </x:c>
      <x:c r="L2974" s="66" t="str">
        <x:f>IF(K2974="","","1 : "&amp;TEXT(K2974,"0.0"))</x:f>
        <x:v>1 : 1.4</x:v>
      </x:c>
      <x:c r="M2974" s="66" t="str">
        <x:f>IF(J2974="","Baru/Tanpa Data",IF(J2974&lt;='Catatan &amp; Sumber'!$B$14,"Sangat Ketat",IF(J2974&lt;='Catatan &amp; Sumber'!$B$15,"Ketat",IF(J2974&lt;='Catatan &amp; Sumber'!$B$16,"Sedang","Relatif Longgar"))))</x:f>
        <x:v>Relatif Longgar</x:v>
      </x:c>
      <x:c r="N2974" s="66" t="str">
        <x:v>Tidak Ada</x:v>
      </x:c>
      <x:c r="O2974" s="66" t="str">
        <x:v>Jawa Timur</x:v>
      </x:c>
      <x:c r="P2974" s="66" t="str">
        <x:v>Kota Surabaya</x:v>
      </x:c>
      <x:c r="Q2974" s="66" t="str">
        <x:v>https://snpmb.id/snbp/daya-tampung-snbp</x:v>
      </x:c>
      <x:c r="R2974" s="66" t="str">
        <x:v>https://sidatagrun-public-1076756628210.asia-southeast2.run.app/ptn_sn.php?ptn=383</x:v>
      </x:c>
    </x:row>
    <x:row r="2975">
      <x:c r="A2975" s="87" t="n">
        <x:v>1432</x:v>
      </x:c>
      <x:c r="B2975" s="66" t="n">
        <x:v>383</x:v>
      </x:c>
      <x:c r="C2975" s="66" t="str">
        <x:v>UNIVERSITAS NEGERI SURABAYA</x:v>
      </x:c>
      <x:c r="D2975" s="66" t="str">
        <x:v>PTN Akademik</x:v>
      </x:c>
      <x:c r="E2975" s="66" t="str">
        <x:v>13831117</x:v>
      </x:c>
      <x:c r="F2975" s="66" t="str">
        <x:v>PARIWISATA</x:v>
      </x:c>
      <x:c r="G2975" s="66" t="str">
        <x:v>Sarjana</x:v>
      </x:c>
      <x:c r="H2975" s="87" t="n">
        <x:v>35</x:v>
      </x:c>
      <x:c r="I2975" s="87" t="n">
        <x:v>334</x:v>
      </x:c>
      <x:c r="J2975" s="68" t="n">
        <x:f>IFERROR(H2975/I2975,"")</x:f>
        <x:v>0.10479041916167664</x:v>
      </x:c>
      <x:c r="K2975" s="69" t="n">
        <x:f>IFERROR(I2975/H2975,"")</x:f>
        <x:v>9.542857142857143</x:v>
      </x:c>
      <x:c r="L2975" s="66" t="str">
        <x:f>IF(K2975="","","1 : "&amp;TEXT(K2975,"0.0"))</x:f>
        <x:v>1 : 9.5</x:v>
      </x:c>
      <x:c r="M2975" s="66" t="str">
        <x:f>IF(J2975="","Baru/Tanpa Data",IF(J2975&lt;='Catatan &amp; Sumber'!$B$14,"Sangat Ketat",IF(J2975&lt;='Catatan &amp; Sumber'!$B$15,"Ketat",IF(J2975&lt;='Catatan &amp; Sumber'!$B$16,"Sedang","Relatif Longgar"))))</x:f>
        <x:v>Relatif Longgar</x:v>
      </x:c>
      <x:c r="N2975" s="66" t="str">
        <x:v>Tidak Ada</x:v>
      </x:c>
      <x:c r="O2975" s="66" t="str">
        <x:v>Jawa Timur</x:v>
      </x:c>
      <x:c r="P2975" s="66" t="str">
        <x:v>Kota Surabaya</x:v>
      </x:c>
      <x:c r="Q2975" s="66" t="str">
        <x:v>https://snpmb.id/snbp/daya-tampung-snbp</x:v>
      </x:c>
      <x:c r="R2975" s="66" t="str">
        <x:v>https://sidatagrun-public-1076756628210.asia-southeast2.run.app/ptn_sn.php?ptn=383</x:v>
      </x:c>
    </x:row>
    <x:row r="2976">
      <x:c r="A2976" s="87" t="n">
        <x:v>4037</x:v>
      </x:c>
      <x:c r="B2976" s="66" t="n">
        <x:v>383</x:v>
      </x:c>
      <x:c r="C2976" s="66" t="str">
        <x:v>UNIVERSITAS NEGERI SURABAYA</x:v>
      </x:c>
      <x:c r="D2976" s="66" t="str">
        <x:v>PTN Akademik</x:v>
      </x:c>
      <x:c r="E2976" s="66" t="str">
        <x:v>13831118</x:v>
      </x:c>
      <x:c r="F2976" s="66" t="str">
        <x:v>FILM DAN ANIMASI</x:v>
      </x:c>
      <x:c r="G2976" s="66" t="str">
        <x:v>Sarjana</x:v>
      </x:c>
      <x:c r="H2976" s="87" t="n">
        <x:v>35</x:v>
      </x:c>
      <x:c r="I2976" s="87" t="n">
        <x:v>49</x:v>
      </x:c>
      <x:c r="J2976" s="68" t="n">
        <x:f>IFERROR(H2976/I2976,"")</x:f>
        <x:v>0.7142857142857143</x:v>
      </x:c>
      <x:c r="K2976" s="69" t="n">
        <x:f>IFERROR(I2976/H2976,"")</x:f>
        <x:v>1.4</x:v>
      </x:c>
      <x:c r="L2976" s="66" t="str">
        <x:f>IF(K2976="","","1 : "&amp;TEXT(K2976,"0.0"))</x:f>
        <x:v>1 : 1.4</x:v>
      </x:c>
      <x:c r="M2976" s="66" t="str">
        <x:f>IF(J2976="","Baru/Tanpa Data",IF(J2976&lt;='Catatan &amp; Sumber'!$B$14,"Sangat Ketat",IF(J2976&lt;='Catatan &amp; Sumber'!$B$15,"Ketat",IF(J2976&lt;='Catatan &amp; Sumber'!$B$16,"Sedang","Relatif Longgar"))))</x:f>
        <x:v>Relatif Longgar</x:v>
      </x:c>
      <x:c r="N2976" s="66" t="str">
        <x:v>Film dan Televisi</x:v>
      </x:c>
      <x:c r="O2976" s="66" t="str">
        <x:v>Jawa Timur</x:v>
      </x:c>
      <x:c r="P2976" s="66" t="str">
        <x:v>Kota Surabaya</x:v>
      </x:c>
      <x:c r="Q2976" s="66" t="str">
        <x:v>https://snpmb.id/snbp/daya-tampung-snbp</x:v>
      </x:c>
      <x:c r="R2976" s="66" t="str">
        <x:v>https://sidatagrun-public-1076756628210.asia-southeast2.run.app/ptn_sn.php?ptn=383</x:v>
      </x:c>
    </x:row>
    <x:row r="2977">
      <x:c r="A2977" s="87" t="n">
        <x:v>4415</x:v>
      </x:c>
      <x:c r="B2977" s="66" t="n">
        <x:v>383</x:v>
      </x:c>
      <x:c r="C2977" s="66" t="str">
        <x:v>UNIVERSITAS NEGERI SURABAYA</x:v>
      </x:c>
      <x:c r="D2977" s="66" t="str">
        <x:v>PTN Akademik</x:v>
      </x:c>
      <x:c r="E2977" s="66" t="str">
        <x:v>13831119</x:v>
      </x:c>
      <x:c r="F2977" s="66" t="str">
        <x:v>BIOSAINS HEWAN</x:v>
      </x:c>
      <x:c r="G2977" s="66" t="str">
        <x:v>Sarjana</x:v>
      </x:c>
      <x:c r="H2977" s="87" t="n">
        <x:v>30</x:v>
      </x:c>
      <x:c r="I2977" s="87" t="n">
        <x:v>26</x:v>
      </x:c>
      <x:c r="J2977" s="68" t="n">
        <x:f>IFERROR(H2977/I2977,"")</x:f>
        <x:v>1.1538461538461537</x:v>
      </x:c>
      <x:c r="K2977" s="69" t="n">
        <x:f>IFERROR(I2977/H2977,"")</x:f>
        <x:v>0.8666666666666667</x:v>
      </x:c>
      <x:c r="L2977" s="66" t="str">
        <x:f>IF(K2977="","","1 : "&amp;TEXT(K2977,"0.0"))</x:f>
        <x:v>1 : 0.9</x:v>
      </x:c>
      <x:c r="M2977" s="66" t="str">
        <x:f>IF(J2977="","Baru/Tanpa Data",IF(J2977&lt;='Catatan &amp; Sumber'!$B$14,"Sangat Ketat",IF(J2977&lt;='Catatan &amp; Sumber'!$B$15,"Ketat",IF(J2977&lt;='Catatan &amp; Sumber'!$B$16,"Sedang","Relatif Longgar"))))</x:f>
        <x:v>Relatif Longgar</x:v>
      </x:c>
      <x:c r="N2977" s="66" t="str">
        <x:v>Tidak Ada</x:v>
      </x:c>
      <x:c r="O2977" s="66" t="str">
        <x:v>Jawa Timur</x:v>
      </x:c>
      <x:c r="P2977" s="66" t="str">
        <x:v>Kota Surabaya</x:v>
      </x:c>
      <x:c r="Q2977" s="66" t="str">
        <x:v>https://snpmb.id/snbp/daya-tampung-snbp</x:v>
      </x:c>
      <x:c r="R2977" s="66" t="str">
        <x:v>https://sidatagrun-public-1076756628210.asia-southeast2.run.app/ptn_sn.php?ptn=383</x:v>
      </x:c>
    </x:row>
    <x:row r="2978">
      <x:c r="A2978" s="87" t="n">
        <x:v>2476</x:v>
      </x:c>
      <x:c r="B2978" s="66" t="n">
        <x:v>383</x:v>
      </x:c>
      <x:c r="C2978" s="66" t="str">
        <x:v>UNIVERSITAS NEGERI SURABAYA</x:v>
      </x:c>
      <x:c r="D2978" s="66" t="str">
        <x:v>PTN Akademik</x:v>
      </x:c>
      <x:c r="E2978" s="66" t="str">
        <x:v>13831120</x:v>
      </x:c>
      <x:c r="F2978" s="66" t="str">
        <x:v>AGRIBISNIS DIGITAL</x:v>
      </x:c>
      <x:c r="G2978" s="66" t="str">
        <x:v>Sarjana</x:v>
      </x:c>
      <x:c r="H2978" s="87" t="n">
        <x:v>30</x:v>
      </x:c>
      <x:c r="I2978" s="87" t="n">
        <x:v>145</x:v>
      </x:c>
      <x:c r="J2978" s="68" t="n">
        <x:f>IFERROR(H2978/I2978,"")</x:f>
        <x:v>0.20689655172413793</x:v>
      </x:c>
      <x:c r="K2978" s="69" t="n">
        <x:f>IFERROR(I2978/H2978,"")</x:f>
        <x:v>4.833333333333333</x:v>
      </x:c>
      <x:c r="L2978" s="66" t="str">
        <x:f>IF(K2978="","","1 : "&amp;TEXT(K2978,"0.0"))</x:f>
        <x:v>1 : 4.8</x:v>
      </x:c>
      <x:c r="M2978" s="66" t="str">
        <x:f>IF(J2978="","Baru/Tanpa Data",IF(J2978&lt;='Catatan &amp; Sumber'!$B$14,"Sangat Ketat",IF(J2978&lt;='Catatan &amp; Sumber'!$B$15,"Ketat",IF(J2978&lt;='Catatan &amp; Sumber'!$B$16,"Sedang","Relatif Longgar"))))</x:f>
        <x:v>Relatif Longgar</x:v>
      </x:c>
      <x:c r="N2978" s="66" t="str">
        <x:v>Tidak Ada</x:v>
      </x:c>
      <x:c r="O2978" s="66" t="str">
        <x:v>Jawa Timur</x:v>
      </x:c>
      <x:c r="P2978" s="66" t="str">
        <x:v>Kota Surabaya</x:v>
      </x:c>
      <x:c r="Q2978" s="66" t="str">
        <x:v>https://snpmb.id/snbp/daya-tampung-snbp</x:v>
      </x:c>
      <x:c r="R2978" s="66" t="str">
        <x:v>https://sidatagrun-public-1076756628210.asia-southeast2.run.app/ptn_sn.php?ptn=383</x:v>
      </x:c>
    </x:row>
    <x:row r="2979">
      <x:c r="A2979" s="87" t="n">
        <x:v>3142</x:v>
      </x:c>
      <x:c r="B2979" s="66" t="n">
        <x:v>383</x:v>
      </x:c>
      <x:c r="C2979" s="66" t="str">
        <x:v>UNIVERSITAS NEGERI SURABAYA</x:v>
      </x:c>
      <x:c r="D2979" s="66" t="str">
        <x:v>PTN Akademik</x:v>
      </x:c>
      <x:c r="E2979" s="66" t="str">
        <x:v>13831121</x:v>
      </x:c>
      <x:c r="F2979" s="66" t="str">
        <x:v>KECERDASAN ARTIFISIAL</x:v>
      </x:c>
      <x:c r="G2979" s="66" t="str">
        <x:v>Sarjana</x:v>
      </x:c>
      <x:c r="H2979" s="87" t="n">
        <x:v>30</x:v>
      </x:c>
      <x:c r="I2979" s="87" t="n">
        <x:v>92</x:v>
      </x:c>
      <x:c r="J2979" s="68" t="n">
        <x:f>IFERROR(H2979/I2979,"")</x:f>
        <x:v>0.32608695652173914</x:v>
      </x:c>
      <x:c r="K2979" s="69" t="n">
        <x:f>IFERROR(I2979/H2979,"")</x:f>
        <x:v>3.066666666666667</x:v>
      </x:c>
      <x:c r="L2979" s="66" t="str">
        <x:f>IF(K2979="","","1 : "&amp;TEXT(K2979,"0.0"))</x:f>
        <x:v>1 : 3.1</x:v>
      </x:c>
      <x:c r="M2979" s="66" t="str">
        <x:f>IF(J2979="","Baru/Tanpa Data",IF(J2979&lt;='Catatan &amp; Sumber'!$B$14,"Sangat Ketat",IF(J2979&lt;='Catatan &amp; Sumber'!$B$15,"Ketat",IF(J2979&lt;='Catatan &amp; Sumber'!$B$16,"Sedang","Relatif Longgar"))))</x:f>
        <x:v>Relatif Longgar</x:v>
      </x:c>
      <x:c r="N2979" s="66" t="str">
        <x:v>Tidak Ada</x:v>
      </x:c>
      <x:c r="O2979" s="66" t="str">
        <x:v>Jawa Timur</x:v>
      </x:c>
      <x:c r="P2979" s="66" t="str">
        <x:v>Kota Surabaya</x:v>
      </x:c>
      <x:c r="Q2979" s="66" t="str">
        <x:v>https://snpmb.id/snbp/daya-tampung-snbp</x:v>
      </x:c>
      <x:c r="R2979" s="66" t="str">
        <x:v>https://sidatagrun-public-1076756628210.asia-southeast2.run.app/ptn_sn.php?ptn=383</x:v>
      </x:c>
    </x:row>
    <x:row r="2980">
      <x:c r="A2980" s="87" t="n">
        <x:v>2041</x:v>
      </x:c>
      <x:c r="B2980" s="66" t="n">
        <x:v>383</x:v>
      </x:c>
      <x:c r="C2980" s="66" t="str">
        <x:v>UNIVERSITAS NEGERI SURABAYA</x:v>
      </x:c>
      <x:c r="D2980" s="66" t="str">
        <x:v>PTN Akademik</x:v>
      </x:c>
      <x:c r="E2980" s="66" t="str">
        <x:v>13831122</x:v>
      </x:c>
      <x:c r="F2980" s="66" t="str">
        <x:v>ILMU ADMINISTRASI NEGARA (PSDKU MAGETAN)</x:v>
      </x:c>
      <x:c r="G2980" s="66" t="str">
        <x:v>Sarjana</x:v>
      </x:c>
      <x:c r="H2980" s="87" t="n">
        <x:v>33</x:v>
      </x:c>
      <x:c r="I2980" s="87" t="n">
        <x:v>212</x:v>
      </x:c>
      <x:c r="J2980" s="68" t="n">
        <x:f>IFERROR(H2980/I2980,"")</x:f>
        <x:v>0.15566037735849056</x:v>
      </x:c>
      <x:c r="K2980" s="69" t="n">
        <x:f>IFERROR(I2980/H2980,"")</x:f>
        <x:v>6.424242424242424</x:v>
      </x:c>
      <x:c r="L2980" s="66" t="str">
        <x:f>IF(K2980="","","1 : "&amp;TEXT(K2980,"0.0"))</x:f>
        <x:v>1 : 6.4</x:v>
      </x:c>
      <x:c r="M2980" s="66" t="str">
        <x:f>IF(J2980="","Baru/Tanpa Data",IF(J2980&lt;='Catatan &amp; Sumber'!$B$14,"Sangat Ketat",IF(J2980&lt;='Catatan &amp; Sumber'!$B$15,"Ketat",IF(J2980&lt;='Catatan &amp; Sumber'!$B$16,"Sedang","Relatif Longgar"))))</x:f>
        <x:v>Relatif Longgar</x:v>
      </x:c>
      <x:c r="N2980" s="66" t="str">
        <x:v>Tidak Ada</x:v>
      </x:c>
      <x:c r="O2980" s="66" t="str">
        <x:v>Jawa Timur</x:v>
      </x:c>
      <x:c r="P2980" s="66" t="str">
        <x:v>Kota Surabaya</x:v>
      </x:c>
      <x:c r="Q2980" s="66" t="str">
        <x:v>https://snpmb.id/snbp/daya-tampung-snbp</x:v>
      </x:c>
      <x:c r="R2980" s="66" t="str">
        <x:v>https://sidatagrun-public-1076756628210.asia-southeast2.run.app/ptn_sn.php?ptn=383</x:v>
      </x:c>
    </x:row>
    <x:row r="2981">
      <x:c r="A2981" s="87"/>
      <x:c r="B2981" s="66" t="n">
        <x:v>383</x:v>
      </x:c>
      <x:c r="C2981" s="66" t="str">
        <x:v>UNIVERSITAS NEGERI SURABAYA</x:v>
      </x:c>
      <x:c r="D2981" s="66" t="str">
        <x:v>PTN Akademik</x:v>
      </x:c>
      <x:c r="E2981" s="66" t="str">
        <x:v>13831123</x:v>
      </x:c>
      <x:c r="F2981" s="66" t="str">
        <x:v>AKUNTANSI (KAMPUS KABUPATEN MAGETAN)</x:v>
      </x:c>
      <x:c r="G2981" s="66" t="str">
        <x:v>Sarjana</x:v>
      </x:c>
      <x:c r="H2981" s="87" t="n">
        <x:v>22</x:v>
      </x:c>
      <x:c r="I2981" s="87"/>
      <x:c r="J2981" s="68" t="str">
        <x:f>IFERROR(H2981/I2981,"")</x:f>
      </x:c>
      <x:c r="K2981" s="69" t="n">
        <x:f>IFERROR(I2981/H2981,"")</x:f>
        <x:v>0</x:v>
      </x:c>
      <x:c r="L2981" s="66" t="str">
        <x:f>IF(K2981="","","1 : "&amp;TEXT(K2981,"0.0"))</x:f>
      </x:c>
      <x:c r="M2981" s="66" t="str">
        <x:f>IF(J2981="","Baru/Tanpa Data",IF(J2981&lt;='Catatan &amp; Sumber'!$B$14,"Sangat Ketat",IF(J2981&lt;='Catatan &amp; Sumber'!$B$15,"Ketat",IF(J2981&lt;='Catatan &amp; Sumber'!$B$16,"Sedang","Relatif Longgar"))))</x:f>
        <x:v>Baru/Tanpa Data</x:v>
      </x:c>
      <x:c r="N2981" s="66" t="str">
        <x:v>Tidak Ada</x:v>
      </x:c>
      <x:c r="O2981" s="66" t="str">
        <x:v>Jawa Timur</x:v>
      </x:c>
      <x:c r="P2981" s="66" t="str">
        <x:v>Kota Surabaya</x:v>
      </x:c>
      <x:c r="Q2981" s="66" t="str">
        <x:v>https://snpmb.id/snbp/daya-tampung-snbp</x:v>
      </x:c>
      <x:c r="R2981" s="66" t="str">
        <x:v>https://sidatagrun-public-1076756628210.asia-southeast2.run.app/ptn_sn.php?ptn=383</x:v>
      </x:c>
    </x:row>
    <x:row r="2982">
      <x:c r="A2982" s="87"/>
      <x:c r="B2982" s="66" t="n">
        <x:v>383</x:v>
      </x:c>
      <x:c r="C2982" s="66" t="str">
        <x:v>UNIVERSITAS NEGERI SURABAYA</x:v>
      </x:c>
      <x:c r="D2982" s="66" t="str">
        <x:v>PTN Akademik</x:v>
      </x:c>
      <x:c r="E2982" s="66" t="str">
        <x:v>13831124</x:v>
      </x:c>
      <x:c r="F2982" s="66" t="str">
        <x:v>KEDOKTERAN GIGI</x:v>
      </x:c>
      <x:c r="G2982" s="66" t="str">
        <x:v>Sarjana</x:v>
      </x:c>
      <x:c r="H2982" s="87" t="n">
        <x:v>5</x:v>
      </x:c>
      <x:c r="I2982" s="87"/>
      <x:c r="J2982" s="68" t="str">
        <x:f>IFERROR(H2982/I2982,"")</x:f>
      </x:c>
      <x:c r="K2982" s="69" t="n">
        <x:f>IFERROR(I2982/H2982,"")</x:f>
        <x:v>0</x:v>
      </x:c>
      <x:c r="L2982" s="66" t="str">
        <x:f>IF(K2982="","","1 : "&amp;TEXT(K2982,"0.0"))</x:f>
      </x:c>
      <x:c r="M2982" s="66" t="str">
        <x:f>IF(J2982="","Baru/Tanpa Data",IF(J2982&lt;='Catatan &amp; Sumber'!$B$14,"Sangat Ketat",IF(J2982&lt;='Catatan &amp; Sumber'!$B$15,"Ketat",IF(J2982&lt;='Catatan &amp; Sumber'!$B$16,"Sedang","Relatif Longgar"))))</x:f>
        <x:v>Baru/Tanpa Data</x:v>
      </x:c>
      <x:c r="N2982" s="66" t="str">
        <x:v>Tidak Ada</x:v>
      </x:c>
      <x:c r="O2982" s="66" t="str">
        <x:v>Jawa Timur</x:v>
      </x:c>
      <x:c r="P2982" s="66" t="str">
        <x:v>Kota Surabaya</x:v>
      </x:c>
      <x:c r="Q2982" s="66" t="str">
        <x:v>https://snpmb.id/snbp/daya-tampung-snbp</x:v>
      </x:c>
      <x:c r="R2982" s="66" t="str">
        <x:v>https://sidatagrun-public-1076756628210.asia-southeast2.run.app/ptn_sn.php?ptn=383</x:v>
      </x:c>
    </x:row>
    <x:row r="2983">
      <x:c r="A2983" s="87"/>
      <x:c r="B2983" s="66" t="n">
        <x:v>383</x:v>
      </x:c>
      <x:c r="C2983" s="66" t="str">
        <x:v>UNIVERSITAS NEGERI SURABAYA</x:v>
      </x:c>
      <x:c r="D2983" s="66" t="str">
        <x:v>PTN Akademik</x:v>
      </x:c>
      <x:c r="E2983" s="66" t="str">
        <x:v>13831125</x:v>
      </x:c>
      <x:c r="F2983" s="66" t="str">
        <x:v>BIOTEKNOLOGI</x:v>
      </x:c>
      <x:c r="G2983" s="66" t="str">
        <x:v>Sarjana</x:v>
      </x:c>
      <x:c r="H2983" s="87" t="n">
        <x:v>25</x:v>
      </x:c>
      <x:c r="I2983" s="87"/>
      <x:c r="J2983" s="68" t="str">
        <x:f>IFERROR(H2983/I2983,"")</x:f>
      </x:c>
      <x:c r="K2983" s="69" t="n">
        <x:f>IFERROR(I2983/H2983,"")</x:f>
        <x:v>0</x:v>
      </x:c>
      <x:c r="L2983" s="66" t="str">
        <x:f>IF(K2983="","","1 : "&amp;TEXT(K2983,"0.0"))</x:f>
      </x:c>
      <x:c r="M2983" s="66" t="str">
        <x:f>IF(J2983="","Baru/Tanpa Data",IF(J2983&lt;='Catatan &amp; Sumber'!$B$14,"Sangat Ketat",IF(J2983&lt;='Catatan &amp; Sumber'!$B$15,"Ketat",IF(J2983&lt;='Catatan &amp; Sumber'!$B$16,"Sedang","Relatif Longgar"))))</x:f>
        <x:v>Baru/Tanpa Data</x:v>
      </x:c>
      <x:c r="N2983" s="66" t="str">
        <x:v>Tidak Ada</x:v>
      </x:c>
      <x:c r="O2983" s="66" t="str">
        <x:v>Jawa Timur</x:v>
      </x:c>
      <x:c r="P2983" s="66" t="str">
        <x:v>Kota Surabaya</x:v>
      </x:c>
      <x:c r="Q2983" s="66" t="str">
        <x:v>https://snpmb.id/snbp/daya-tampung-snbp</x:v>
      </x:c>
      <x:c r="R2983" s="66" t="str">
        <x:v>https://sidatagrun-public-1076756628210.asia-southeast2.run.app/ptn_sn.php?ptn=383</x:v>
      </x:c>
    </x:row>
    <x:row r="2984">
      <x:c r="A2984" s="87"/>
      <x:c r="B2984" s="66" t="n">
        <x:v>383</x:v>
      </x:c>
      <x:c r="C2984" s="66" t="str">
        <x:v>UNIVERSITAS NEGERI SURABAYA</x:v>
      </x:c>
      <x:c r="D2984" s="66" t="str">
        <x:v>PTN Akademik</x:v>
      </x:c>
      <x:c r="E2984" s="66" t="str">
        <x:v>13831126</x:v>
      </x:c>
      <x:c r="F2984" s="66" t="str">
        <x:v>PENDIDIKAN VOKASIONAL TEKNOLOGI OTOMOTIF</x:v>
      </x:c>
      <x:c r="G2984" s="66" t="str">
        <x:v>Sarjana</x:v>
      </x:c>
      <x:c r="H2984" s="87" t="n">
        <x:v>20</x:v>
      </x:c>
      <x:c r="I2984" s="87"/>
      <x:c r="J2984" s="68" t="str">
        <x:f>IFERROR(H2984/I2984,"")</x:f>
      </x:c>
      <x:c r="K2984" s="69" t="n">
        <x:f>IFERROR(I2984/H2984,"")</x:f>
        <x:v>0</x:v>
      </x:c>
      <x:c r="L2984" s="66" t="str">
        <x:f>IF(K2984="","","1 : "&amp;TEXT(K2984,"0.0"))</x:f>
      </x:c>
      <x:c r="M2984" s="66" t="str">
        <x:f>IF(J2984="","Baru/Tanpa Data",IF(J2984&lt;='Catatan &amp; Sumber'!$B$14,"Sangat Ketat",IF(J2984&lt;='Catatan &amp; Sumber'!$B$15,"Ketat",IF(J2984&lt;='Catatan &amp; Sumber'!$B$16,"Sedang","Relatif Longgar"))))</x:f>
        <x:v>Baru/Tanpa Data</x:v>
      </x:c>
      <x:c r="N2984" s="66" t="str">
        <x:v>Tidak Ada</x:v>
      </x:c>
      <x:c r="O2984" s="66" t="str">
        <x:v>Jawa Timur</x:v>
      </x:c>
      <x:c r="P2984" s="66" t="str">
        <x:v>Kota Surabaya</x:v>
      </x:c>
      <x:c r="Q2984" s="66" t="str">
        <x:v>https://snpmb.id/snbp/daya-tampung-snbp</x:v>
      </x:c>
      <x:c r="R2984" s="66" t="str">
        <x:v>https://sidatagrun-public-1076756628210.asia-southeast2.run.app/ptn_sn.php?ptn=383</x:v>
      </x:c>
    </x:row>
    <x:row r="2985">
      <x:c r="A2985" s="87"/>
      <x:c r="B2985" s="66" t="n">
        <x:v>383</x:v>
      </x:c>
      <x:c r="C2985" s="66" t="str">
        <x:v>UNIVERSITAS NEGERI SURABAYA</x:v>
      </x:c>
      <x:c r="D2985" s="66" t="str">
        <x:v>PTN Akademik</x:v>
      </x:c>
      <x:c r="E2985" s="66" t="str">
        <x:v>13831127</x:v>
      </x:c>
      <x:c r="F2985" s="66" t="str">
        <x:v>TEKNIK METALURGI</x:v>
      </x:c>
      <x:c r="G2985" s="66" t="str">
        <x:v>Sarjana</x:v>
      </x:c>
      <x:c r="H2985" s="87" t="n">
        <x:v>20</x:v>
      </x:c>
      <x:c r="I2985" s="87"/>
      <x:c r="J2985" s="68" t="str">
        <x:f>IFERROR(H2985/I2985,"")</x:f>
      </x:c>
      <x:c r="K2985" s="69" t="n">
        <x:f>IFERROR(I2985/H2985,"")</x:f>
        <x:v>0</x:v>
      </x:c>
      <x:c r="L2985" s="66" t="str">
        <x:f>IF(K2985="","","1 : "&amp;TEXT(K2985,"0.0"))</x:f>
      </x:c>
      <x:c r="M2985" s="66" t="str">
        <x:f>IF(J2985="","Baru/Tanpa Data",IF(J2985&lt;='Catatan &amp; Sumber'!$B$14,"Sangat Ketat",IF(J2985&lt;='Catatan &amp; Sumber'!$B$15,"Ketat",IF(J2985&lt;='Catatan &amp; Sumber'!$B$16,"Sedang","Relatif Longgar"))))</x:f>
        <x:v>Baru/Tanpa Data</x:v>
      </x:c>
      <x:c r="N2985" s="66" t="str">
        <x:v>Tidak Ada</x:v>
      </x:c>
      <x:c r="O2985" s="66" t="str">
        <x:v>Jawa Timur</x:v>
      </x:c>
      <x:c r="P2985" s="66" t="str">
        <x:v>Kota Surabaya</x:v>
      </x:c>
      <x:c r="Q2985" s="66" t="str">
        <x:v>https://snpmb.id/snbp/daya-tampung-snbp</x:v>
      </x:c>
      <x:c r="R2985" s="66" t="str">
        <x:v>https://sidatagrun-public-1076756628210.asia-southeast2.run.app/ptn_sn.php?ptn=383</x:v>
      </x:c>
    </x:row>
    <x:row r="2986">
      <x:c r="A2986" s="87"/>
      <x:c r="B2986" s="66" t="n">
        <x:v>383</x:v>
      </x:c>
      <x:c r="C2986" s="66" t="str">
        <x:v>UNIVERSITAS NEGERI SURABAYA</x:v>
      </x:c>
      <x:c r="D2986" s="66" t="str">
        <x:v>PTN Akademik</x:v>
      </x:c>
      <x:c r="E2986" s="66" t="str">
        <x:v>13831128</x:v>
      </x:c>
      <x:c r="F2986" s="66" t="str">
        <x:v>TEKNIK PERTAMBANGAN</x:v>
      </x:c>
      <x:c r="G2986" s="66" t="str">
        <x:v>Sarjana</x:v>
      </x:c>
      <x:c r="H2986" s="87" t="n">
        <x:v>22</x:v>
      </x:c>
      <x:c r="I2986" s="87"/>
      <x:c r="J2986" s="68" t="str">
        <x:f>IFERROR(H2986/I2986,"")</x:f>
      </x:c>
      <x:c r="K2986" s="69" t="n">
        <x:f>IFERROR(I2986/H2986,"")</x:f>
        <x:v>0</x:v>
      </x:c>
      <x:c r="L2986" s="66" t="str">
        <x:f>IF(K2986="","","1 : "&amp;TEXT(K2986,"0.0"))</x:f>
      </x:c>
      <x:c r="M2986" s="66" t="str">
        <x:f>IF(J2986="","Baru/Tanpa Data",IF(J2986&lt;='Catatan &amp; Sumber'!$B$14,"Sangat Ketat",IF(J2986&lt;='Catatan &amp; Sumber'!$B$15,"Ketat",IF(J2986&lt;='Catatan &amp; Sumber'!$B$16,"Sedang","Relatif Longgar"))))</x:f>
        <x:v>Baru/Tanpa Data</x:v>
      </x:c>
      <x:c r="N2986" s="66" t="str">
        <x:v>Tidak Ada</x:v>
      </x:c>
      <x:c r="O2986" s="66" t="str">
        <x:v>Jawa Timur</x:v>
      </x:c>
      <x:c r="P2986" s="66" t="str">
        <x:v>Kota Surabaya</x:v>
      </x:c>
      <x:c r="Q2986" s="66" t="str">
        <x:v>https://snpmb.id/snbp/daya-tampung-snbp</x:v>
      </x:c>
      <x:c r="R2986" s="66" t="str">
        <x:v>https://sidatagrun-public-1076756628210.asia-southeast2.run.app/ptn_sn.php?ptn=383</x:v>
      </x:c>
    </x:row>
    <x:row r="2987">
      <x:c r="A2987" s="87"/>
      <x:c r="B2987" s="66" t="n">
        <x:v>383</x:v>
      </x:c>
      <x:c r="C2987" s="66" t="str">
        <x:v>UNIVERSITAS NEGERI SURABAYA</x:v>
      </x:c>
      <x:c r="D2987" s="66" t="str">
        <x:v>PTN Akademik</x:v>
      </x:c>
      <x:c r="E2987" s="66" t="str">
        <x:v>13831129</x:v>
      </x:c>
      <x:c r="F2987" s="66" t="str">
        <x:v>SAINS INFORMASI GEOGRAFI</x:v>
      </x:c>
      <x:c r="G2987" s="66" t="str">
        <x:v>Sarjana</x:v>
      </x:c>
      <x:c r="H2987" s="87" t="n">
        <x:v>20</x:v>
      </x:c>
      <x:c r="I2987" s="87"/>
      <x:c r="J2987" s="68" t="str">
        <x:f>IFERROR(H2987/I2987,"")</x:f>
      </x:c>
      <x:c r="K2987" s="69" t="n">
        <x:f>IFERROR(I2987/H2987,"")</x:f>
        <x:v>0</x:v>
      </x:c>
      <x:c r="L2987" s="66" t="str">
        <x:f>IF(K2987="","","1 : "&amp;TEXT(K2987,"0.0"))</x:f>
      </x:c>
      <x:c r="M2987" s="66" t="str">
        <x:f>IF(J2987="","Baru/Tanpa Data",IF(J2987&lt;='Catatan &amp; Sumber'!$B$14,"Sangat Ketat",IF(J2987&lt;='Catatan &amp; Sumber'!$B$15,"Ketat",IF(J2987&lt;='Catatan &amp; Sumber'!$B$16,"Sedang","Relatif Longgar"))))</x:f>
        <x:v>Baru/Tanpa Data</x:v>
      </x:c>
      <x:c r="N2987" s="66" t="str">
        <x:v>Tidak Ada</x:v>
      </x:c>
      <x:c r="O2987" s="66" t="str">
        <x:v>Jawa Timur</x:v>
      </x:c>
      <x:c r="P2987" s="66" t="str">
        <x:v>Kota Surabaya</x:v>
      </x:c>
      <x:c r="Q2987" s="66" t="str">
        <x:v>https://snpmb.id/snbp/daya-tampung-snbp</x:v>
      </x:c>
      <x:c r="R2987" s="66" t="str">
        <x:v>https://sidatagrun-public-1076756628210.asia-southeast2.run.app/ptn_sn.php?ptn=383</x:v>
      </x:c>
    </x:row>
    <x:row r="2988">
      <x:c r="A2988" s="87"/>
      <x:c r="B2988" s="66" t="n">
        <x:v>383</x:v>
      </x:c>
      <x:c r="C2988" s="66" t="str">
        <x:v>UNIVERSITAS NEGERI SURABAYA</x:v>
      </x:c>
      <x:c r="D2988" s="66" t="str">
        <x:v>PTN Akademik</x:v>
      </x:c>
      <x:c r="E2988" s="66" t="str">
        <x:v>13831130</x:v>
      </x:c>
      <x:c r="F2988" s="66" t="str">
        <x:v>GEOFISIKA</x:v>
      </x:c>
      <x:c r="G2988" s="66" t="str">
        <x:v>Sarjana</x:v>
      </x:c>
      <x:c r="H2988" s="87" t="n">
        <x:v>20</x:v>
      </x:c>
      <x:c r="I2988" s="87"/>
      <x:c r="J2988" s="68" t="str">
        <x:f>IFERROR(H2988/I2988,"")</x:f>
      </x:c>
      <x:c r="K2988" s="69" t="n">
        <x:f>IFERROR(I2988/H2988,"")</x:f>
        <x:v>0</x:v>
      </x:c>
      <x:c r="L2988" s="66" t="str">
        <x:f>IF(K2988="","","1 : "&amp;TEXT(K2988,"0.0"))</x:f>
      </x:c>
      <x:c r="M2988" s="66" t="str">
        <x:f>IF(J2988="","Baru/Tanpa Data",IF(J2988&lt;='Catatan &amp; Sumber'!$B$14,"Sangat Ketat",IF(J2988&lt;='Catatan &amp; Sumber'!$B$15,"Ketat",IF(J2988&lt;='Catatan &amp; Sumber'!$B$16,"Sedang","Relatif Longgar"))))</x:f>
        <x:v>Baru/Tanpa Data</x:v>
      </x:c>
      <x:c r="N2988" s="66" t="str">
        <x:v>Tidak Ada</x:v>
      </x:c>
      <x:c r="O2988" s="66" t="str">
        <x:v>Jawa Timur</x:v>
      </x:c>
      <x:c r="P2988" s="66" t="str">
        <x:v>Kota Surabaya</x:v>
      </x:c>
      <x:c r="Q2988" s="66" t="str">
        <x:v>https://snpmb.id/snbp/daya-tampung-snbp</x:v>
      </x:c>
      <x:c r="R2988" s="66" t="str">
        <x:v>https://sidatagrun-public-1076756628210.asia-southeast2.run.app/ptn_sn.php?ptn=383</x:v>
      </x:c>
    </x:row>
    <x:row r="2989">
      <x:c r="A2989" s="87" t="n">
        <x:v>2975</x:v>
      </x:c>
      <x:c r="B2989" s="66" t="n">
        <x:v>383</x:v>
      </x:c>
      <x:c r="C2989" s="66" t="str">
        <x:v>UNIVERSITAS NEGERI SURABAYA</x:v>
      </x:c>
      <x:c r="D2989" s="66" t="str">
        <x:v>PTN Akademik</x:v>
      </x:c>
      <x:c r="E2989" s="66" t="str">
        <x:v>13832021</x:v>
      </x:c>
      <x:c r="F2989" s="66" t="str">
        <x:v>MANAJEMEN INFORMATIKA</x:v>
      </x:c>
      <x:c r="G2989" s="66" t="str">
        <x:v>Sarjana Terapan</x:v>
      </x:c>
      <x:c r="H2989" s="87" t="n">
        <x:v>75</x:v>
      </x:c>
      <x:c r="I2989" s="87" t="n">
        <x:v>260</x:v>
      </x:c>
      <x:c r="J2989" s="68" t="n">
        <x:f>IFERROR(H2989/I2989,"")</x:f>
        <x:v>0.28846153846153844</x:v>
      </x:c>
      <x:c r="K2989" s="69" t="n">
        <x:f>IFERROR(I2989/H2989,"")</x:f>
        <x:v>3.466666666666667</x:v>
      </x:c>
      <x:c r="L2989" s="66" t="str">
        <x:f>IF(K2989="","","1 : "&amp;TEXT(K2989,"0.0"))</x:f>
        <x:v>1 : 3.5</x:v>
      </x:c>
      <x:c r="M2989" s="66" t="str">
        <x:f>IF(J2989="","Baru/Tanpa Data",IF(J2989&lt;='Catatan &amp; Sumber'!$B$14,"Sangat Ketat",IF(J2989&lt;='Catatan &amp; Sumber'!$B$15,"Ketat",IF(J2989&lt;='Catatan &amp; Sumber'!$B$16,"Sedang","Relatif Longgar"))))</x:f>
        <x:v>Relatif Longgar</x:v>
      </x:c>
      <x:c r="N2989" s="66" t="str">
        <x:v>Tidak Ada</x:v>
      </x:c>
      <x:c r="O2989" s="66" t="str">
        <x:v>Jawa Timur</x:v>
      </x:c>
      <x:c r="P2989" s="66" t="str">
        <x:v>Kota Surabaya</x:v>
      </x:c>
      <x:c r="Q2989" s="66" t="str">
        <x:v>https://snpmb.id/snbp/daya-tampung-snbp</x:v>
      </x:c>
      <x:c r="R2989" s="66" t="str">
        <x:v>https://sidatagrun-public-1076756628210.asia-southeast2.run.app/ptn_sn.php?ptn=383</x:v>
      </x:c>
    </x:row>
    <x:row r="2990">
      <x:c r="A2990" s="87" t="n">
        <x:v>1614</x:v>
      </x:c>
      <x:c r="B2990" s="66" t="n">
        <x:v>383</x:v>
      </x:c>
      <x:c r="C2990" s="66" t="str">
        <x:v>UNIVERSITAS NEGERI SURABAYA</x:v>
      </x:c>
      <x:c r="D2990" s="66" t="str">
        <x:v>PTN Akademik</x:v>
      </x:c>
      <x:c r="E2990" s="66" t="str">
        <x:v>13832022</x:v>
      </x:c>
      <x:c r="F2990" s="66" t="str">
        <x:v>TEKNIK MESIN</x:v>
      </x:c>
      <x:c r="G2990" s="66" t="str">
        <x:v>Sarjana Terapan</x:v>
      </x:c>
      <x:c r="H2990" s="87" t="n">
        <x:v>24</x:v>
      </x:c>
      <x:c r="I2990" s="87" t="n">
        <x:v>204</x:v>
      </x:c>
      <x:c r="J2990" s="68" t="n">
        <x:f>IFERROR(H2990/I2990,"")</x:f>
        <x:v>0.11764705882352941</x:v>
      </x:c>
      <x:c r="K2990" s="69" t="n">
        <x:f>IFERROR(I2990/H2990,"")</x:f>
        <x:v>8.5</x:v>
      </x:c>
      <x:c r="L2990" s="66" t="str">
        <x:f>IF(K2990="","","1 : "&amp;TEXT(K2990,"0.0"))</x:f>
        <x:v>1 : 8.5</x:v>
      </x:c>
      <x:c r="M2990" s="66" t="str">
        <x:f>IF(J2990="","Baru/Tanpa Data",IF(J2990&lt;='Catatan &amp; Sumber'!$B$14,"Sangat Ketat",IF(J2990&lt;='Catatan &amp; Sumber'!$B$15,"Ketat",IF(J2990&lt;='Catatan &amp; Sumber'!$B$16,"Sedang","Relatif Longgar"))))</x:f>
        <x:v>Relatif Longgar</x:v>
      </x:c>
      <x:c r="N2990" s="66" t="str">
        <x:v>Tidak Ada</x:v>
      </x:c>
      <x:c r="O2990" s="66" t="str">
        <x:v>Jawa Timur</x:v>
      </x:c>
      <x:c r="P2990" s="66" t="str">
        <x:v>Kota Surabaya</x:v>
      </x:c>
      <x:c r="Q2990" s="66" t="str">
        <x:v>https://snpmb.id/snbp/daya-tampung-snbp</x:v>
      </x:c>
      <x:c r="R2990" s="66" t="str">
        <x:v>https://sidatagrun-public-1076756628210.asia-southeast2.run.app/ptn_sn.php?ptn=383</x:v>
      </x:c>
    </x:row>
    <x:row r="2991">
      <x:c r="A2991" s="87" t="n">
        <x:v>2422</x:v>
      </x:c>
      <x:c r="B2991" s="66" t="n">
        <x:v>383</x:v>
      </x:c>
      <x:c r="C2991" s="66" t="str">
        <x:v>UNIVERSITAS NEGERI SURABAYA</x:v>
      </x:c>
      <x:c r="D2991" s="66" t="str">
        <x:v>PTN Akademik</x:v>
      </x:c>
      <x:c r="E2991" s="66" t="str">
        <x:v>13832023</x:v>
      </x:c>
      <x:c r="F2991" s="66" t="str">
        <x:v>TEKNIK SIPIL</x:v>
      </x:c>
      <x:c r="G2991" s="66" t="str">
        <x:v>Sarjana Terapan</x:v>
      </x:c>
      <x:c r="H2991" s="87" t="n">
        <x:v>65</x:v>
      </x:c>
      <x:c r="I2991" s="87" t="n">
        <x:v>326</x:v>
      </x:c>
      <x:c r="J2991" s="68" t="n">
        <x:f>IFERROR(H2991/I2991,"")</x:f>
        <x:v>0.19938650306748465</x:v>
      </x:c>
      <x:c r="K2991" s="69" t="n">
        <x:f>IFERROR(I2991/H2991,"")</x:f>
        <x:v>5.015384615384615</x:v>
      </x:c>
      <x:c r="L2991" s="66" t="str">
        <x:f>IF(K2991="","","1 : "&amp;TEXT(K2991,"0.0"))</x:f>
        <x:v>1 : 5.0</x:v>
      </x:c>
      <x:c r="M2991" s="66" t="str">
        <x:f>IF(J2991="","Baru/Tanpa Data",IF(J2991&lt;='Catatan &amp; Sumber'!$B$14,"Sangat Ketat",IF(J2991&lt;='Catatan &amp; Sumber'!$B$15,"Ketat",IF(J2991&lt;='Catatan &amp; Sumber'!$B$16,"Sedang","Relatif Longgar"))))</x:f>
        <x:v>Relatif Longgar</x:v>
      </x:c>
      <x:c r="N2991" s="66" t="str">
        <x:v>Tidak Ada</x:v>
      </x:c>
      <x:c r="O2991" s="66" t="str">
        <x:v>Jawa Timur</x:v>
      </x:c>
      <x:c r="P2991" s="66" t="str">
        <x:v>Kota Surabaya</x:v>
      </x:c>
      <x:c r="Q2991" s="66" t="str">
        <x:v>https://snpmb.id/snbp/daya-tampung-snbp</x:v>
      </x:c>
      <x:c r="R2991" s="66" t="str">
        <x:v>https://sidatagrun-public-1076756628210.asia-southeast2.run.app/ptn_sn.php?ptn=383</x:v>
      </x:c>
    </x:row>
    <x:row r="2992">
      <x:c r="A2992" s="87" t="n">
        <x:v>2778</x:v>
      </x:c>
      <x:c r="B2992" s="66" t="n">
        <x:v>383</x:v>
      </x:c>
      <x:c r="C2992" s="66" t="str">
        <x:v>UNIVERSITAS NEGERI SURABAYA</x:v>
      </x:c>
      <x:c r="D2992" s="66" t="str">
        <x:v>PTN Akademik</x:v>
      </x:c>
      <x:c r="E2992" s="66" t="str">
        <x:v>13832024</x:v>
      </x:c>
      <x:c r="F2992" s="66" t="str">
        <x:v>TRANSPORTASI</x:v>
      </x:c>
      <x:c r="G2992" s="66" t="str">
        <x:v>Sarjana Terapan</x:v>
      </x:c>
      <x:c r="H2992" s="87" t="n">
        <x:v>25</x:v>
      </x:c>
      <x:c r="I2992" s="87" t="n">
        <x:v>98</x:v>
      </x:c>
      <x:c r="J2992" s="68" t="n">
        <x:f>IFERROR(H2992/I2992,"")</x:f>
        <x:v>0.25510204081632654</x:v>
      </x:c>
      <x:c r="K2992" s="69" t="n">
        <x:f>IFERROR(I2992/H2992,"")</x:f>
        <x:v>3.92</x:v>
      </x:c>
      <x:c r="L2992" s="66" t="str">
        <x:f>IF(K2992="","","1 : "&amp;TEXT(K2992,"0.0"))</x:f>
        <x:v>1 : 3.9</x:v>
      </x:c>
      <x:c r="M2992" s="66" t="str">
        <x:f>IF(J2992="","Baru/Tanpa Data",IF(J2992&lt;='Catatan &amp; Sumber'!$B$14,"Sangat Ketat",IF(J2992&lt;='Catatan &amp; Sumber'!$B$15,"Ketat",IF(J2992&lt;='Catatan &amp; Sumber'!$B$16,"Sedang","Relatif Longgar"))))</x:f>
        <x:v>Relatif Longgar</x:v>
      </x:c>
      <x:c r="N2992" s="66" t="str">
        <x:v>Tidak Ada</x:v>
      </x:c>
      <x:c r="O2992" s="66" t="str">
        <x:v>Jawa Timur</x:v>
      </x:c>
      <x:c r="P2992" s="66" t="str">
        <x:v>Kota Surabaya</x:v>
      </x:c>
      <x:c r="Q2992" s="66" t="str">
        <x:v>https://snpmb.id/snbp/daya-tampung-snbp</x:v>
      </x:c>
      <x:c r="R2992" s="66" t="str">
        <x:v>https://sidatagrun-public-1076756628210.asia-southeast2.run.app/ptn_sn.php?ptn=383</x:v>
      </x:c>
    </x:row>
    <x:row r="2993">
      <x:c r="A2993" s="87" t="n">
        <x:v>3465</x:v>
      </x:c>
      <x:c r="B2993" s="66" t="n">
        <x:v>383</x:v>
      </x:c>
      <x:c r="C2993" s="66" t="str">
        <x:v>UNIVERSITAS NEGERI SURABAYA</x:v>
      </x:c>
      <x:c r="D2993" s="66" t="str">
        <x:v>PTN Akademik</x:v>
      </x:c>
      <x:c r="E2993" s="66" t="str">
        <x:v>13832025</x:v>
      </x:c>
      <x:c r="F2993" s="66" t="str">
        <x:v>KEPELATIHAN OLAHRAGA</x:v>
      </x:c>
      <x:c r="G2993" s="66" t="str">
        <x:v>Sarjana Terapan</x:v>
      </x:c>
      <x:c r="H2993" s="87" t="n">
        <x:v>30</x:v>
      </x:c>
      <x:c r="I2993" s="87" t="n">
        <x:v>71</x:v>
      </x:c>
      <x:c r="J2993" s="68" t="n">
        <x:f>IFERROR(H2993/I2993,"")</x:f>
        <x:v>0.4225352112676056</x:v>
      </x:c>
      <x:c r="K2993" s="69" t="n">
        <x:f>IFERROR(I2993/H2993,"")</x:f>
        <x:v>2.3666666666666667</x:v>
      </x:c>
      <x:c r="L2993" s="66" t="str">
        <x:f>IF(K2993="","","1 : "&amp;TEXT(K2993,"0.0"))</x:f>
        <x:v>1 : 2.4</x:v>
      </x:c>
      <x:c r="M2993" s="66" t="str">
        <x:f>IF(J2993="","Baru/Tanpa Data",IF(J2993&lt;='Catatan &amp; Sumber'!$B$14,"Sangat Ketat",IF(J2993&lt;='Catatan &amp; Sumber'!$B$15,"Ketat",IF(J2993&lt;='Catatan &amp; Sumber'!$B$16,"Sedang","Relatif Longgar"))))</x:f>
        <x:v>Relatif Longgar</x:v>
      </x:c>
      <x:c r="N2993" s="66" t="str">
        <x:v>Olahraga</x:v>
      </x:c>
      <x:c r="O2993" s="66" t="str">
        <x:v>Jawa Timur</x:v>
      </x:c>
      <x:c r="P2993" s="66" t="str">
        <x:v>Kota Surabaya</x:v>
      </x:c>
      <x:c r="Q2993" s="66" t="str">
        <x:v>https://snpmb.id/snbp/daya-tampung-snbp</x:v>
      </x:c>
      <x:c r="R2993" s="66" t="str">
        <x:v>https://sidatagrun-public-1076756628210.asia-southeast2.run.app/ptn_sn.php?ptn=383</x:v>
      </x:c>
    </x:row>
    <x:row r="2994">
      <x:c r="A2994" s="87" t="n">
        <x:v>2346</x:v>
      </x:c>
      <x:c r="B2994" s="66" t="n">
        <x:v>383</x:v>
      </x:c>
      <x:c r="C2994" s="66" t="str">
        <x:v>UNIVERSITAS NEGERI SURABAYA</x:v>
      </x:c>
      <x:c r="D2994" s="66" t="str">
        <x:v>PTN Akademik</x:v>
      </x:c>
      <x:c r="E2994" s="66" t="str">
        <x:v>13832026</x:v>
      </x:c>
      <x:c r="F2994" s="66" t="str">
        <x:v>TEKNIK LISTRIK</x:v>
      </x:c>
      <x:c r="G2994" s="66" t="str">
        <x:v>Sarjana Terapan</x:v>
      </x:c>
      <x:c r="H2994" s="87" t="n">
        <x:v>32</x:v>
      </x:c>
      <x:c r="I2994" s="87" t="n">
        <x:v>169</x:v>
      </x:c>
      <x:c r="J2994" s="68" t="n">
        <x:f>IFERROR(H2994/I2994,"")</x:f>
        <x:v>0.1893491124260355</x:v>
      </x:c>
      <x:c r="K2994" s="69" t="n">
        <x:f>IFERROR(I2994/H2994,"")</x:f>
        <x:v>5.28125</x:v>
      </x:c>
      <x:c r="L2994" s="66" t="str">
        <x:f>IF(K2994="","","1 : "&amp;TEXT(K2994,"0.0"))</x:f>
        <x:v>1 : 5.3</x:v>
      </x:c>
      <x:c r="M2994" s="66" t="str">
        <x:f>IF(J2994="","Baru/Tanpa Data",IF(J2994&lt;='Catatan &amp; Sumber'!$B$14,"Sangat Ketat",IF(J2994&lt;='Catatan &amp; Sumber'!$B$15,"Ketat",IF(J2994&lt;='Catatan &amp; Sumber'!$B$16,"Sedang","Relatif Longgar"))))</x:f>
        <x:v>Relatif Longgar</x:v>
      </x:c>
      <x:c r="N2994" s="66" t="str">
        <x:v>Tidak Ada</x:v>
      </x:c>
      <x:c r="O2994" s="66" t="str">
        <x:v>Jawa Timur</x:v>
      </x:c>
      <x:c r="P2994" s="66" t="str">
        <x:v>Kota Surabaya</x:v>
      </x:c>
      <x:c r="Q2994" s="66" t="str">
        <x:v>https://snpmb.id/snbp/daya-tampung-snbp</x:v>
      </x:c>
      <x:c r="R2994" s="66" t="str">
        <x:v>https://sidatagrun-public-1076756628210.asia-southeast2.run.app/ptn_sn.php?ptn=383</x:v>
      </x:c>
    </x:row>
    <x:row r="2995">
      <x:c r="A2995" s="87" t="n">
        <x:v>2912</x:v>
      </x:c>
      <x:c r="B2995" s="66" t="n">
        <x:v>383</x:v>
      </x:c>
      <x:c r="C2995" s="66" t="str">
        <x:v>UNIVERSITAS NEGERI SURABAYA</x:v>
      </x:c>
      <x:c r="D2995" s="66" t="str">
        <x:v>PTN Akademik</x:v>
      </x:c>
      <x:c r="E2995" s="66" t="str">
        <x:v>13832071</x:v>
      </x:c>
      <x:c r="F2995" s="66" t="str">
        <x:v>DESAIN GRAFIS</x:v>
      </x:c>
      <x:c r="G2995" s="66" t="str">
        <x:v>Sarjana Terapan</x:v>
      </x:c>
      <x:c r="H2995" s="87" t="n">
        <x:v>50</x:v>
      </x:c>
      <x:c r="I2995" s="87" t="n">
        <x:v>181</x:v>
      </x:c>
      <x:c r="J2995" s="68" t="n">
        <x:f>IFERROR(H2995/I2995,"")</x:f>
        <x:v>0.27624309392265195</x:v>
      </x:c>
      <x:c r="K2995" s="69" t="n">
        <x:f>IFERROR(I2995/H2995,"")</x:f>
        <x:v>3.62</x:v>
      </x:c>
      <x:c r="L2995" s="66" t="str">
        <x:f>IF(K2995="","","1 : "&amp;TEXT(K2995,"0.0"))</x:f>
        <x:v>1 : 3.6</x:v>
      </x:c>
      <x:c r="M2995" s="66" t="str">
        <x:f>IF(J2995="","Baru/Tanpa Data",IF(J2995&lt;='Catatan &amp; Sumber'!$B$14,"Sangat Ketat",IF(J2995&lt;='Catatan &amp; Sumber'!$B$15,"Ketat",IF(J2995&lt;='Catatan &amp; Sumber'!$B$16,"Sedang","Relatif Longgar"))))</x:f>
        <x:v>Relatif Longgar</x:v>
      </x:c>
      <x:c r="N2995" s="66" t="str">
        <x:v>Seni Rupa, Desain, dan Kriya</x:v>
      </x:c>
      <x:c r="O2995" s="66" t="str">
        <x:v>Jawa Timur</x:v>
      </x:c>
      <x:c r="P2995" s="66" t="str">
        <x:v>Kota Surabaya</x:v>
      </x:c>
      <x:c r="Q2995" s="66" t="str">
        <x:v>https://snpmb.id/snbp/daya-tampung-snbp</x:v>
      </x:c>
      <x:c r="R2995" s="66" t="str">
        <x:v>https://sidatagrun-public-1076756628210.asia-southeast2.run.app/ptn_sn.php?ptn=383</x:v>
      </x:c>
    </x:row>
    <x:row r="2996">
      <x:c r="A2996" s="87" t="n">
        <x:v>1827</x:v>
      </x:c>
      <x:c r="B2996" s="66" t="n">
        <x:v>383</x:v>
      </x:c>
      <x:c r="C2996" s="66" t="str">
        <x:v>UNIVERSITAS NEGERI SURABAYA</x:v>
      </x:c>
      <x:c r="D2996" s="66" t="str">
        <x:v>PTN Akademik</x:v>
      </x:c>
      <x:c r="E2996" s="66" t="str">
        <x:v>13832072</x:v>
      </x:c>
      <x:c r="F2996" s="66" t="str">
        <x:v>ADMINISTRASI NEGARA</x:v>
      </x:c>
      <x:c r="G2996" s="66" t="str">
        <x:v>Sarjana Terapan</x:v>
      </x:c>
      <x:c r="H2996" s="87" t="n">
        <x:v>55</x:v>
      </x:c>
      <x:c r="I2996" s="87" t="n">
        <x:v>408</x:v>
      </x:c>
      <x:c r="J2996" s="68" t="n">
        <x:f>IFERROR(H2996/I2996,"")</x:f>
        <x:v>0.13480392156862744</x:v>
      </x:c>
      <x:c r="K2996" s="69" t="n">
        <x:f>IFERROR(I2996/H2996,"")</x:f>
        <x:v>7.418181818181818</x:v>
      </x:c>
      <x:c r="L2996" s="66" t="str">
        <x:f>IF(K2996="","","1 : "&amp;TEXT(K2996,"0.0"))</x:f>
        <x:v>1 : 7.4</x:v>
      </x:c>
      <x:c r="M2996" s="66" t="str">
        <x:f>IF(J2996="","Baru/Tanpa Data",IF(J2996&lt;='Catatan &amp; Sumber'!$B$14,"Sangat Ketat",IF(J2996&lt;='Catatan &amp; Sumber'!$B$15,"Ketat",IF(J2996&lt;='Catatan &amp; Sumber'!$B$16,"Sedang","Relatif Longgar"))))</x:f>
        <x:v>Relatif Longgar</x:v>
      </x:c>
      <x:c r="N2996" s="66" t="str">
        <x:v>Tidak Ada</x:v>
      </x:c>
      <x:c r="O2996" s="66" t="str">
        <x:v>Jawa Timur</x:v>
      </x:c>
      <x:c r="P2996" s="66" t="str">
        <x:v>Kota Surabaya</x:v>
      </x:c>
      <x:c r="Q2996" s="66" t="str">
        <x:v>https://snpmb.id/snbp/daya-tampung-snbp</x:v>
      </x:c>
      <x:c r="R2996" s="66" t="str">
        <x:v>https://sidatagrun-public-1076756628210.asia-southeast2.run.app/ptn_sn.php?ptn=383</x:v>
      </x:c>
    </x:row>
    <x:row r="2997">
      <x:c r="A2997" s="87" t="n">
        <x:v>1817</x:v>
      </x:c>
      <x:c r="B2997" s="66" t="n">
        <x:v>383</x:v>
      </x:c>
      <x:c r="C2997" s="66" t="str">
        <x:v>UNIVERSITAS NEGERI SURABAYA</x:v>
      </x:c>
      <x:c r="D2997" s="66" t="str">
        <x:v>PTN Akademik</x:v>
      </x:c>
      <x:c r="E2997" s="66" t="str">
        <x:v>13832073</x:v>
      </x:c>
      <x:c r="F2997" s="66" t="str">
        <x:v>TATA BOGA</x:v>
      </x:c>
      <x:c r="G2997" s="66" t="str">
        <x:v>Sarjana Terapan</x:v>
      </x:c>
      <x:c r="H2997" s="87" t="n">
        <x:v>60</x:v>
      </x:c>
      <x:c r="I2997" s="87" t="n">
        <x:v>449</x:v>
      </x:c>
      <x:c r="J2997" s="68" t="n">
        <x:f>IFERROR(H2997/I2997,"")</x:f>
        <x:v>0.133630289532294</x:v>
      </x:c>
      <x:c r="K2997" s="69" t="n">
        <x:f>IFERROR(I2997/H2997,"")</x:f>
        <x:v>7.483333333333333</x:v>
      </x:c>
      <x:c r="L2997" s="66" t="str">
        <x:f>IF(K2997="","","1 : "&amp;TEXT(K2997,"0.0"))</x:f>
        <x:v>1 : 7.5</x:v>
      </x:c>
      <x:c r="M2997" s="66" t="str">
        <x:f>IF(J2997="","Baru/Tanpa Data",IF(J2997&lt;='Catatan &amp; Sumber'!$B$14,"Sangat Ketat",IF(J2997&lt;='Catatan &amp; Sumber'!$B$15,"Ketat",IF(J2997&lt;='Catatan &amp; Sumber'!$B$16,"Sedang","Relatif Longgar"))))</x:f>
        <x:v>Relatif Longgar</x:v>
      </x:c>
      <x:c r="N2997" s="66" t="str">
        <x:v>Tidak Ada</x:v>
      </x:c>
      <x:c r="O2997" s="66" t="str">
        <x:v>Jawa Timur</x:v>
      </x:c>
      <x:c r="P2997" s="66" t="str">
        <x:v>Kota Surabaya</x:v>
      </x:c>
      <x:c r="Q2997" s="66" t="str">
        <x:v>https://snpmb.id/snbp/daya-tampung-snbp</x:v>
      </x:c>
      <x:c r="R2997" s="66" t="str">
        <x:v>https://sidatagrun-public-1076756628210.asia-southeast2.run.app/ptn_sn.php?ptn=383</x:v>
      </x:c>
    </x:row>
    <x:row r="2998">
      <x:c r="A2998" s="87" t="n">
        <x:v>2713</x:v>
      </x:c>
      <x:c r="B2998" s="66" t="n">
        <x:v>383</x:v>
      </x:c>
      <x:c r="C2998" s="66" t="str">
        <x:v>UNIVERSITAS NEGERI SURABAYA</x:v>
      </x:c>
      <x:c r="D2998" s="66" t="str">
        <x:v>PTN Akademik</x:v>
      </x:c>
      <x:c r="E2998" s="66" t="str">
        <x:v>13832074</x:v>
      </x:c>
      <x:c r="F2998" s="66" t="str">
        <x:v>TATA BUSANA</x:v>
      </x:c>
      <x:c r="G2998" s="66" t="str">
        <x:v>Sarjana Terapan</x:v>
      </x:c>
      <x:c r="H2998" s="87" t="n">
        <x:v>55</x:v>
      </x:c>
      <x:c r="I2998" s="87" t="n">
        <x:v>224</x:v>
      </x:c>
      <x:c r="J2998" s="68" t="n">
        <x:f>IFERROR(H2998/I2998,"")</x:f>
        <x:v>0.24553571428571427</x:v>
      </x:c>
      <x:c r="K2998" s="69" t="n">
        <x:f>IFERROR(I2998/H2998,"")</x:f>
        <x:v>4.072727272727272</x:v>
      </x:c>
      <x:c r="L2998" s="66" t="str">
        <x:f>IF(K2998="","","1 : "&amp;TEXT(K2998,"0.0"))</x:f>
        <x:v>1 : 4.1</x:v>
      </x:c>
      <x:c r="M2998" s="66" t="str">
        <x:f>IF(J2998="","Baru/Tanpa Data",IF(J2998&lt;='Catatan &amp; Sumber'!$B$14,"Sangat Ketat",IF(J2998&lt;='Catatan &amp; Sumber'!$B$15,"Ketat",IF(J2998&lt;='Catatan &amp; Sumber'!$B$16,"Sedang","Relatif Longgar"))))</x:f>
        <x:v>Relatif Longgar</x:v>
      </x:c>
      <x:c r="N2998" s="66" t="str">
        <x:v>Tidak Ada</x:v>
      </x:c>
      <x:c r="O2998" s="66" t="str">
        <x:v>Jawa Timur</x:v>
      </x:c>
      <x:c r="P2998" s="66" t="str">
        <x:v>Kota Surabaya</x:v>
      </x:c>
      <x:c r="Q2998" s="66" t="str">
        <x:v>https://snpmb.id/snbp/daya-tampung-snbp</x:v>
      </x:c>
      <x:c r="R2998" s="66" t="str">
        <x:v>https://sidatagrun-public-1076756628210.asia-southeast2.run.app/ptn_sn.php?ptn=383</x:v>
      </x:c>
    </x:row>
    <x:row r="2999">
      <x:c r="A2999" s="87" t="n">
        <x:v>3583</x:v>
      </x:c>
      <x:c r="B2999" s="66" t="n">
        <x:v>383</x:v>
      </x:c>
      <x:c r="C2999" s="66" t="str">
        <x:v>UNIVERSITAS NEGERI SURABAYA</x:v>
      </x:c>
      <x:c r="D2999" s="66" t="str">
        <x:v>PTN Akademik</x:v>
      </x:c>
      <x:c r="E2999" s="66" t="str">
        <x:v>13832107</x:v>
      </x:c>
      <x:c r="F2999" s="66" t="str">
        <x:v>TEKNOLOGI REKAYASA OTOMOTIF</x:v>
      </x:c>
      <x:c r="G2999" s="66" t="str">
        <x:v>Sarjana Terapan</x:v>
      </x:c>
      <x:c r="H2999" s="87" t="n">
        <x:v>40</x:v>
      </x:c>
      <x:c r="I2999" s="87" t="n">
        <x:v>86</x:v>
      </x:c>
      <x:c r="J2999" s="68" t="n">
        <x:f>IFERROR(H2999/I2999,"")</x:f>
        <x:v>0.46511627906976744</x:v>
      </x:c>
      <x:c r="K2999" s="69" t="n">
        <x:f>IFERROR(I2999/H2999,"")</x:f>
        <x:v>2.15</x:v>
      </x:c>
      <x:c r="L2999" s="66" t="str">
        <x:f>IF(K2999="","","1 : "&amp;TEXT(K2999,"0.0"))</x:f>
        <x:v>1 : 2.2</x:v>
      </x:c>
      <x:c r="M2999" s="66" t="str">
        <x:f>IF(J2999="","Baru/Tanpa Data",IF(J2999&lt;='Catatan &amp; Sumber'!$B$14,"Sangat Ketat",IF(J2999&lt;='Catatan &amp; Sumber'!$B$15,"Ketat",IF(J2999&lt;='Catatan &amp; Sumber'!$B$16,"Sedang","Relatif Longgar"))))</x:f>
        <x:v>Relatif Longgar</x:v>
      </x:c>
      <x:c r="N2999" s="66" t="str">
        <x:v>Tidak Ada</x:v>
      </x:c>
      <x:c r="O2999" s="66" t="str">
        <x:v>Jawa Timur</x:v>
      </x:c>
      <x:c r="P2999" s="66" t="str">
        <x:v>Kota Surabaya</x:v>
      </x:c>
      <x:c r="Q2999" s="66" t="str">
        <x:v>https://snpmb.id/snbp/daya-tampung-snbp</x:v>
      </x:c>
      <x:c r="R2999" s="66" t="str">
        <x:v>https://sidatagrun-public-1076756628210.asia-southeast2.run.app/ptn_sn.php?ptn=383</x:v>
      </x:c>
    </x:row>
    <x:row r="3000">
      <x:c r="A3000" s="87" t="n">
        <x:v>3264</x:v>
      </x:c>
      <x:c r="B3000" s="66" t="n">
        <x:v>383</x:v>
      </x:c>
      <x:c r="C3000" s="66" t="str">
        <x:v>UNIVERSITAS NEGERI SURABAYA</x:v>
      </x:c>
      <x:c r="D3000" s="66" t="str">
        <x:v>PTN Akademik</x:v>
      </x:c>
      <x:c r="E3000" s="66" t="str">
        <x:v>13832108</x:v>
      </x:c>
      <x:c r="F3000" s="66" t="str">
        <x:v>PRODUKSI MEDIA</x:v>
      </x:c>
      <x:c r="G3000" s="66" t="str">
        <x:v>Sarjana Terapan</x:v>
      </x:c>
      <x:c r="H3000" s="87" t="n">
        <x:v>40</x:v>
      </x:c>
      <x:c r="I3000" s="87" t="n">
        <x:v>111</x:v>
      </x:c>
      <x:c r="J3000" s="68" t="n">
        <x:f>IFERROR(H3000/I3000,"")</x:f>
        <x:v>0.36036036036036034</x:v>
      </x:c>
      <x:c r="K3000" s="69" t="n">
        <x:f>IFERROR(I3000/H3000,"")</x:f>
        <x:v>2.775</x:v>
      </x:c>
      <x:c r="L3000" s="66" t="str">
        <x:f>IF(K3000="","","1 : "&amp;TEXT(K3000,"0.0"))</x:f>
        <x:v>1 : 2.8</x:v>
      </x:c>
      <x:c r="M3000" s="66" t="str">
        <x:f>IF(J3000="","Baru/Tanpa Data",IF(J3000&lt;='Catatan &amp; Sumber'!$B$14,"Sangat Ketat",IF(J3000&lt;='Catatan &amp; Sumber'!$B$15,"Ketat",IF(J3000&lt;='Catatan &amp; Sumber'!$B$16,"Sedang","Relatif Longgar"))))</x:f>
        <x:v>Relatif Longgar</x:v>
      </x:c>
      <x:c r="N3000" s="66" t="str">
        <x:v>Tidak Ada</x:v>
      </x:c>
      <x:c r="O3000" s="66" t="str">
        <x:v>Jawa Timur</x:v>
      </x:c>
      <x:c r="P3000" s="66" t="str">
        <x:v>Kota Surabaya</x:v>
      </x:c>
      <x:c r="Q3000" s="66" t="str">
        <x:v>https://snpmb.id/snbp/daya-tampung-snbp</x:v>
      </x:c>
      <x:c r="R3000" s="66" t="str">
        <x:v>https://sidatagrun-public-1076756628210.asia-southeast2.run.app/ptn_sn.php?ptn=383</x:v>
      </x:c>
    </x:row>
    <x:row r="3001">
      <x:c r="A3001" s="87" t="n">
        <x:v>4652</x:v>
      </x:c>
      <x:c r="B3001" s="66" t="n">
        <x:v>383</x:v>
      </x:c>
      <x:c r="C3001" s="66" t="str">
        <x:v>UNIVERSITAS NEGERI SURABAYA</x:v>
      </x:c>
      <x:c r="D3001" s="66" t="str">
        <x:v>PTN Akademik</x:v>
      </x:c>
      <x:c r="E3001" s="66" t="str">
        <x:v>13832114</x:v>
      </x:c>
      <x:c r="F3001" s="66" t="str">
        <x:v>ANALISIS PERFORMA OLAHRAGA</x:v>
      </x:c>
      <x:c r="G3001" s="66" t="str">
        <x:v>Sarjana Terapan</x:v>
      </x:c>
      <x:c r="H3001" s="87" t="n">
        <x:v>20</x:v>
      </x:c>
      <x:c r="I3001" s="87" t="n">
        <x:v>10</x:v>
      </x:c>
      <x:c r="J3001" s="68" t="n">
        <x:f>IFERROR(H3001/I3001,"")</x:f>
        <x:v>2</x:v>
      </x:c>
      <x:c r="K3001" s="69" t="n">
        <x:f>IFERROR(I3001/H3001,"")</x:f>
        <x:v>0.5</x:v>
      </x:c>
      <x:c r="L3001" s="66" t="str">
        <x:f>IF(K3001="","","1 : "&amp;TEXT(K3001,"0.0"))</x:f>
        <x:v>1 : 0.5</x:v>
      </x:c>
      <x:c r="M3001" s="66" t="str">
        <x:f>IF(J3001="","Baru/Tanpa Data",IF(J3001&lt;='Catatan &amp; Sumber'!$B$14,"Sangat Ketat",IF(J3001&lt;='Catatan &amp; Sumber'!$B$15,"Ketat",IF(J3001&lt;='Catatan &amp; Sumber'!$B$16,"Sedang","Relatif Longgar"))))</x:f>
        <x:v>Relatif Longgar</x:v>
      </x:c>
      <x:c r="N3001" s="66" t="str">
        <x:v>Olahraga</x:v>
      </x:c>
      <x:c r="O3001" s="66" t="str">
        <x:v>Jawa Timur</x:v>
      </x:c>
      <x:c r="P3001" s="66" t="str">
        <x:v>Kota Surabaya</x:v>
      </x:c>
      <x:c r="Q3001" s="66" t="str">
        <x:v>https://snpmb.id/snbp/daya-tampung-snbp</x:v>
      </x:c>
      <x:c r="R3001" s="66" t="str">
        <x:v>https://sidatagrun-public-1076756628210.asia-southeast2.run.app/ptn_sn.php?ptn=383</x:v>
      </x:c>
    </x:row>
    <x:row r="3002">
      <x:c r="A3002" s="87"/>
      <x:c r="B3002" s="66" t="n">
        <x:v>383</x:v>
      </x:c>
      <x:c r="C3002" s="66" t="str">
        <x:v>UNIVERSITAS NEGERI SURABAYA</x:v>
      </x:c>
      <x:c r="D3002" s="66" t="str">
        <x:v>PTN Akademik</x:v>
      </x:c>
      <x:c r="E3002" s="66" t="str">
        <x:v>13832131</x:v>
      </x:c>
      <x:c r="F3002" s="66" t="str">
        <x:v>ARSITEKTUR BANGUNAN GEDUNG</x:v>
      </x:c>
      <x:c r="G3002" s="66" t="str">
        <x:v>Sarjana Terapan</x:v>
      </x:c>
      <x:c r="H3002" s="87" t="n">
        <x:v>17</x:v>
      </x:c>
      <x:c r="I3002" s="87"/>
      <x:c r="J3002" s="68" t="str">
        <x:f>IFERROR(H3002/I3002,"")</x:f>
      </x:c>
      <x:c r="K3002" s="69" t="n">
        <x:f>IFERROR(I3002/H3002,"")</x:f>
        <x:v>0</x:v>
      </x:c>
      <x:c r="L3002" s="66" t="str">
        <x:f>IF(K3002="","","1 : "&amp;TEXT(K3002,"0.0"))</x:f>
      </x:c>
      <x:c r="M3002" s="66" t="str">
        <x:f>IF(J3002="","Baru/Tanpa Data",IF(J3002&lt;='Catatan &amp; Sumber'!$B$14,"Sangat Ketat",IF(J3002&lt;='Catatan &amp; Sumber'!$B$15,"Ketat",IF(J3002&lt;='Catatan &amp; Sumber'!$B$16,"Sedang","Relatif Longgar"))))</x:f>
        <x:v>Baru/Tanpa Data</x:v>
      </x:c>
      <x:c r="N3002" s="66" t="str">
        <x:v>Tidak Ada</x:v>
      </x:c>
      <x:c r="O3002" s="66" t="str">
        <x:v>Jawa Timur</x:v>
      </x:c>
      <x:c r="P3002" s="66" t="str">
        <x:v>Kota Surabaya</x:v>
      </x:c>
      <x:c r="Q3002" s="66" t="str">
        <x:v>https://snpmb.id/snbp/daya-tampung-snbp</x:v>
      </x:c>
      <x:c r="R3002" s="66" t="str">
        <x:v>https://sidatagrun-public-1076756628210.asia-southeast2.run.app/ptn_sn.php?ptn=383</x:v>
      </x:c>
    </x:row>
    <x:row r="3003">
      <x:c r="A3003" s="87"/>
      <x:c r="B3003" s="66" t="n">
        <x:v>383</x:v>
      </x:c>
      <x:c r="C3003" s="66" t="str">
        <x:v>UNIVERSITAS NEGERI SURABAYA</x:v>
      </x:c>
      <x:c r="D3003" s="66" t="str">
        <x:v>PTN Akademik</x:v>
      </x:c>
      <x:c r="E3003" s="66" t="str">
        <x:v>13832132</x:v>
      </x:c>
      <x:c r="F3003" s="66" t="str">
        <x:v>REKAYASA MULTIMEDIA EDUKASI DIGITAL</x:v>
      </x:c>
      <x:c r="G3003" s="66" t="str">
        <x:v>Sarjana Terapan</x:v>
      </x:c>
      <x:c r="H3003" s="87" t="n">
        <x:v>20</x:v>
      </x:c>
      <x:c r="I3003" s="87"/>
      <x:c r="J3003" s="68" t="str">
        <x:f>IFERROR(H3003/I3003,"")</x:f>
      </x:c>
      <x:c r="K3003" s="69" t="n">
        <x:f>IFERROR(I3003/H3003,"")</x:f>
        <x:v>0</x:v>
      </x:c>
      <x:c r="L3003" s="66" t="str">
        <x:f>IF(K3003="","","1 : "&amp;TEXT(K3003,"0.0"))</x:f>
      </x:c>
      <x:c r="M3003" s="66" t="str">
        <x:f>IF(J3003="","Baru/Tanpa Data",IF(J3003&lt;='Catatan &amp; Sumber'!$B$14,"Sangat Ketat",IF(J3003&lt;='Catatan &amp; Sumber'!$B$15,"Ketat",IF(J3003&lt;='Catatan &amp; Sumber'!$B$16,"Sedang","Relatif Longgar"))))</x:f>
        <x:v>Baru/Tanpa Data</x:v>
      </x:c>
      <x:c r="N3003" s="66" t="str">
        <x:v>Tidak Ada</x:v>
      </x:c>
      <x:c r="O3003" s="66" t="str">
        <x:v>Jawa Timur</x:v>
      </x:c>
      <x:c r="P3003" s="66" t="str">
        <x:v>Kota Surabaya</x:v>
      </x:c>
      <x:c r="Q3003" s="66" t="str">
        <x:v>https://snpmb.id/snbp/daya-tampung-snbp</x:v>
      </x:c>
      <x:c r="R3003" s="66" t="str">
        <x:v>https://sidatagrun-public-1076756628210.asia-southeast2.run.app/ptn_sn.php?ptn=383</x:v>
      </x:c>
    </x:row>
    <x:row r="3004">
      <x:c r="A3004" s="87" t="n">
        <x:v>4294</x:v>
      </x:c>
      <x:c r="B3004" s="66" t="n">
        <x:v>384</x:v>
      </x:c>
      <x:c r="C3004" s="66" t="str">
        <x:v>UNIVERSITAS TRUNOJOYO MADURA</x:v>
      </x:c>
      <x:c r="D3004" s="66" t="str">
        <x:v>PTN Akademik</x:v>
      </x:c>
      <x:c r="E3004" s="66" t="str">
        <x:v>13841001</x:v>
      </x:c>
      <x:c r="F3004" s="66" t="str">
        <x:v>AGROEKOTEKNOLOGI</x:v>
      </x:c>
      <x:c r="G3004" s="66" t="str">
        <x:v>Sarjana</x:v>
      </x:c>
      <x:c r="H3004" s="87" t="n">
        <x:v>100</x:v>
      </x:c>
      <x:c r="I3004" s="87" t="n">
        <x:v>104</x:v>
      </x:c>
      <x:c r="J3004" s="68" t="n">
        <x:f>IFERROR(H3004/I3004,"")</x:f>
        <x:v>0.9615384615384616</x:v>
      </x:c>
      <x:c r="K3004" s="69" t="n">
        <x:f>IFERROR(I3004/H3004,"")</x:f>
        <x:v>1.04</x:v>
      </x:c>
      <x:c r="L3004" s="66" t="str">
        <x:f>IF(K3004="","","1 : "&amp;TEXT(K3004,"0.0"))</x:f>
        <x:v>1 : 1.0</x:v>
      </x:c>
      <x:c r="M3004" s="66" t="str">
        <x:f>IF(J3004="","Baru/Tanpa Data",IF(J3004&lt;='Catatan &amp; Sumber'!$B$14,"Sangat Ketat",IF(J3004&lt;='Catatan &amp; Sumber'!$B$15,"Ketat",IF(J3004&lt;='Catatan &amp; Sumber'!$B$16,"Sedang","Relatif Longgar"))))</x:f>
        <x:v>Relatif Longgar</x:v>
      </x:c>
      <x:c r="N3004" s="66" t="str">
        <x:v>Tidak Ada</x:v>
      </x:c>
      <x:c r="O3004" s="66" t="str">
        <x:v>Jawa Timur</x:v>
      </x:c>
      <x:c r="P3004" s="66" t="str">
        <x:v>Kabupaten Bangkalan</x:v>
      </x:c>
      <x:c r="Q3004" s="66" t="str">
        <x:v>https://snpmb.id/snbp/daya-tampung-snbp</x:v>
      </x:c>
      <x:c r="R3004" s="66" t="str">
        <x:v>https://sidatagrun-public-1076756628210.asia-southeast2.run.app/ptn_sn.php?ptn=384</x:v>
      </x:c>
    </x:row>
    <x:row r="3005">
      <x:c r="A3005" s="87" t="n">
        <x:v>3952</x:v>
      </x:c>
      <x:c r="B3005" s="66" t="n">
        <x:v>384</x:v>
      </x:c>
      <x:c r="C3005" s="66" t="str">
        <x:v>UNIVERSITAS TRUNOJOYO MADURA</x:v>
      </x:c>
      <x:c r="D3005" s="66" t="str">
        <x:v>PTN Akademik</x:v>
      </x:c>
      <x:c r="E3005" s="66" t="str">
        <x:v>13841002</x:v>
      </x:c>
      <x:c r="F3005" s="66" t="str">
        <x:v>AGRIBISNIS</x:v>
      </x:c>
      <x:c r="G3005" s="66" t="str">
        <x:v>Sarjana</x:v>
      </x:c>
      <x:c r="H3005" s="87" t="n">
        <x:v>100</x:v>
      </x:c>
      <x:c r="I3005" s="87" t="n">
        <x:v>152</x:v>
      </x:c>
      <x:c r="J3005" s="68" t="n">
        <x:f>IFERROR(H3005/I3005,"")</x:f>
        <x:v>0.6578947368421053</x:v>
      </x:c>
      <x:c r="K3005" s="69" t="n">
        <x:f>IFERROR(I3005/H3005,"")</x:f>
        <x:v>1.52</x:v>
      </x:c>
      <x:c r="L3005" s="66" t="str">
        <x:f>IF(K3005="","","1 : "&amp;TEXT(K3005,"0.0"))</x:f>
        <x:v>1 : 1.5</x:v>
      </x:c>
      <x:c r="M3005" s="66" t="str">
        <x:f>IF(J3005="","Baru/Tanpa Data",IF(J3005&lt;='Catatan &amp; Sumber'!$B$14,"Sangat Ketat",IF(J3005&lt;='Catatan &amp; Sumber'!$B$15,"Ketat",IF(J3005&lt;='Catatan &amp; Sumber'!$B$16,"Sedang","Relatif Longgar"))))</x:f>
        <x:v>Relatif Longgar</x:v>
      </x:c>
      <x:c r="N3005" s="66" t="str">
        <x:v>Tidak Ada</x:v>
      </x:c>
      <x:c r="O3005" s="66" t="str">
        <x:v>Jawa Timur</x:v>
      </x:c>
      <x:c r="P3005" s="66" t="str">
        <x:v>Kabupaten Bangkalan</x:v>
      </x:c>
      <x:c r="Q3005" s="66" t="str">
        <x:v>https://snpmb.id/snbp/daya-tampung-snbp</x:v>
      </x:c>
      <x:c r="R3005" s="66" t="str">
        <x:v>https://sidatagrun-public-1076756628210.asia-southeast2.run.app/ptn_sn.php?ptn=384</x:v>
      </x:c>
    </x:row>
    <x:row r="3006">
      <x:c r="A3006" s="87" t="n">
        <x:v>4235</x:v>
      </x:c>
      <x:c r="B3006" s="66" t="n">
        <x:v>384</x:v>
      </x:c>
      <x:c r="C3006" s="66" t="str">
        <x:v>UNIVERSITAS TRUNOJOYO MADURA</x:v>
      </x:c>
      <x:c r="D3006" s="66" t="str">
        <x:v>PTN Akademik</x:v>
      </x:c>
      <x:c r="E3006" s="66" t="str">
        <x:v>13841003</x:v>
      </x:c>
      <x:c r="F3006" s="66" t="str">
        <x:v>TEKNOLOGI INDUSTRI PERTANIAN</x:v>
      </x:c>
      <x:c r="G3006" s="66" t="str">
        <x:v>Sarjana</x:v>
      </x:c>
      <x:c r="H3006" s="87" t="n">
        <x:v>100</x:v>
      </x:c>
      <x:c r="I3006" s="87" t="n">
        <x:v>112</x:v>
      </x:c>
      <x:c r="J3006" s="68" t="n">
        <x:f>IFERROR(H3006/I3006,"")</x:f>
        <x:v>0.8928571428571429</x:v>
      </x:c>
      <x:c r="K3006" s="69" t="n">
        <x:f>IFERROR(I3006/H3006,"")</x:f>
        <x:v>1.12</x:v>
      </x:c>
      <x:c r="L3006" s="66" t="str">
        <x:f>IF(K3006="","","1 : "&amp;TEXT(K3006,"0.0"))</x:f>
        <x:v>1 : 1.1</x:v>
      </x:c>
      <x:c r="M3006" s="66" t="str">
        <x:f>IF(J3006="","Baru/Tanpa Data",IF(J3006&lt;='Catatan &amp; Sumber'!$B$14,"Sangat Ketat",IF(J3006&lt;='Catatan &amp; Sumber'!$B$15,"Ketat",IF(J3006&lt;='Catatan &amp; Sumber'!$B$16,"Sedang","Relatif Longgar"))))</x:f>
        <x:v>Relatif Longgar</x:v>
      </x:c>
      <x:c r="N3006" s="66" t="str">
        <x:v>Tidak Ada</x:v>
      </x:c>
      <x:c r="O3006" s="66" t="str">
        <x:v>Jawa Timur</x:v>
      </x:c>
      <x:c r="P3006" s="66" t="str">
        <x:v>Kabupaten Bangkalan</x:v>
      </x:c>
      <x:c r="Q3006" s="66" t="str">
        <x:v>https://snpmb.id/snbp/daya-tampung-snbp</x:v>
      </x:c>
      <x:c r="R3006" s="66" t="str">
        <x:v>https://sidatagrun-public-1076756628210.asia-southeast2.run.app/ptn_sn.php?ptn=384</x:v>
      </x:c>
    </x:row>
    <x:row r="3007">
      <x:c r="A3007" s="87" t="n">
        <x:v>4569</x:v>
      </x:c>
      <x:c r="B3007" s="66" t="n">
        <x:v>384</x:v>
      </x:c>
      <x:c r="C3007" s="66" t="str">
        <x:v>UNIVERSITAS TRUNOJOYO MADURA</x:v>
      </x:c>
      <x:c r="D3007" s="66" t="str">
        <x:v>PTN Akademik</x:v>
      </x:c>
      <x:c r="E3007" s="66" t="str">
        <x:v>13841004</x:v>
      </x:c>
      <x:c r="F3007" s="66" t="str">
        <x:v>ILMU KELAUTAN</x:v>
      </x:c>
      <x:c r="G3007" s="66" t="str">
        <x:v>Sarjana</x:v>
      </x:c>
      <x:c r="H3007" s="87" t="n">
        <x:v>100</x:v>
      </x:c>
      <x:c r="I3007" s="87" t="n">
        <x:v>66</x:v>
      </x:c>
      <x:c r="J3007" s="68" t="n">
        <x:f>IFERROR(H3007/I3007,"")</x:f>
        <x:v>1.5151515151515151</x:v>
      </x:c>
      <x:c r="K3007" s="69" t="n">
        <x:f>IFERROR(I3007/H3007,"")</x:f>
        <x:v>0.66</x:v>
      </x:c>
      <x:c r="L3007" s="66" t="str">
        <x:f>IF(K3007="","","1 : "&amp;TEXT(K3007,"0.0"))</x:f>
        <x:v>1 : 0.7</x:v>
      </x:c>
      <x:c r="M3007" s="66" t="str">
        <x:f>IF(J3007="","Baru/Tanpa Data",IF(J3007&lt;='Catatan &amp; Sumber'!$B$14,"Sangat Ketat",IF(J3007&lt;='Catatan &amp; Sumber'!$B$15,"Ketat",IF(J3007&lt;='Catatan &amp; Sumber'!$B$16,"Sedang","Relatif Longgar"))))</x:f>
        <x:v>Relatif Longgar</x:v>
      </x:c>
      <x:c r="N3007" s="66" t="str">
        <x:v>Tidak Ada</x:v>
      </x:c>
      <x:c r="O3007" s="66" t="str">
        <x:v>Jawa Timur</x:v>
      </x:c>
      <x:c r="P3007" s="66" t="str">
        <x:v>Kabupaten Bangkalan</x:v>
      </x:c>
      <x:c r="Q3007" s="66" t="str">
        <x:v>https://snpmb.id/snbp/daya-tampung-snbp</x:v>
      </x:c>
      <x:c r="R3007" s="66" t="str">
        <x:v>https://sidatagrun-public-1076756628210.asia-southeast2.run.app/ptn_sn.php?ptn=384</x:v>
      </x:c>
    </x:row>
    <x:row r="3008">
      <x:c r="A3008" s="87" t="n">
        <x:v>3673</x:v>
      </x:c>
      <x:c r="B3008" s="66" t="n">
        <x:v>384</x:v>
      </x:c>
      <x:c r="C3008" s="66" t="str">
        <x:v>UNIVERSITAS TRUNOJOYO MADURA</x:v>
      </x:c>
      <x:c r="D3008" s="66" t="str">
        <x:v>PTN Akademik</x:v>
      </x:c>
      <x:c r="E3008" s="66" t="str">
        <x:v>13841005</x:v>
      </x:c>
      <x:c r="F3008" s="66" t="str">
        <x:v>TEKNIK INDUSTRI</x:v>
      </x:c>
      <x:c r="G3008" s="66" t="str">
        <x:v>Sarjana</x:v>
      </x:c>
      <x:c r="H3008" s="87" t="n">
        <x:v>125</x:v>
      </x:c>
      <x:c r="I3008" s="87" t="n">
        <x:v>248</x:v>
      </x:c>
      <x:c r="J3008" s="68" t="n">
        <x:f>IFERROR(H3008/I3008,"")</x:f>
        <x:v>0.5040322580645161</x:v>
      </x:c>
      <x:c r="K3008" s="69" t="n">
        <x:f>IFERROR(I3008/H3008,"")</x:f>
        <x:v>1.984</x:v>
      </x:c>
      <x:c r="L3008" s="66" t="str">
        <x:f>IF(K3008="","","1 : "&amp;TEXT(K3008,"0.0"))</x:f>
        <x:v>1 : 2.0</x:v>
      </x:c>
      <x:c r="M3008" s="66" t="str">
        <x:f>IF(J3008="","Baru/Tanpa Data",IF(J3008&lt;='Catatan &amp; Sumber'!$B$14,"Sangat Ketat",IF(J3008&lt;='Catatan &amp; Sumber'!$B$15,"Ketat",IF(J3008&lt;='Catatan &amp; Sumber'!$B$16,"Sedang","Relatif Longgar"))))</x:f>
        <x:v>Relatif Longgar</x:v>
      </x:c>
      <x:c r="N3008" s="66" t="str">
        <x:v>Tidak Ada</x:v>
      </x:c>
      <x:c r="O3008" s="66" t="str">
        <x:v>Jawa Timur</x:v>
      </x:c>
      <x:c r="P3008" s="66" t="str">
        <x:v>Kabupaten Bangkalan</x:v>
      </x:c>
      <x:c r="Q3008" s="66" t="str">
        <x:v>https://snpmb.id/snbp/daya-tampung-snbp</x:v>
      </x:c>
      <x:c r="R3008" s="66" t="str">
        <x:v>https://sidatagrun-public-1076756628210.asia-southeast2.run.app/ptn_sn.php?ptn=384</x:v>
      </x:c>
    </x:row>
    <x:row r="3009">
      <x:c r="A3009" s="87" t="n">
        <x:v>3488</x:v>
      </x:c>
      <x:c r="B3009" s="66" t="n">
        <x:v>384</x:v>
      </x:c>
      <x:c r="C3009" s="66" t="str">
        <x:v>UNIVERSITAS TRUNOJOYO MADURA</x:v>
      </x:c>
      <x:c r="D3009" s="66" t="str">
        <x:v>PTN Akademik</x:v>
      </x:c>
      <x:c r="E3009" s="66" t="str">
        <x:v>13841006</x:v>
      </x:c>
      <x:c r="F3009" s="66" t="str">
        <x:v>TEKNIK INFORMATIKA</x:v>
      </x:c>
      <x:c r="G3009" s="66" t="str">
        <x:v>Sarjana</x:v>
      </x:c>
      <x:c r="H3009" s="87" t="n">
        <x:v>125</x:v>
      </x:c>
      <x:c r="I3009" s="87" t="n">
        <x:v>291</x:v>
      </x:c>
      <x:c r="J3009" s="68" t="n">
        <x:f>IFERROR(H3009/I3009,"")</x:f>
        <x:v>0.42955326460481097</x:v>
      </x:c>
      <x:c r="K3009" s="69" t="n">
        <x:f>IFERROR(I3009/H3009,"")</x:f>
        <x:v>2.328</x:v>
      </x:c>
      <x:c r="L3009" s="66" t="str">
        <x:f>IF(K3009="","","1 : "&amp;TEXT(K3009,"0.0"))</x:f>
        <x:v>1 : 2.3</x:v>
      </x:c>
      <x:c r="M3009" s="66" t="str">
        <x:f>IF(J3009="","Baru/Tanpa Data",IF(J3009&lt;='Catatan &amp; Sumber'!$B$14,"Sangat Ketat",IF(J3009&lt;='Catatan &amp; Sumber'!$B$15,"Ketat",IF(J3009&lt;='Catatan &amp; Sumber'!$B$16,"Sedang","Relatif Longgar"))))</x:f>
        <x:v>Relatif Longgar</x:v>
      </x:c>
      <x:c r="N3009" s="66" t="str">
        <x:v>Tidak Ada</x:v>
      </x:c>
      <x:c r="O3009" s="66" t="str">
        <x:v>Jawa Timur</x:v>
      </x:c>
      <x:c r="P3009" s="66" t="str">
        <x:v>Kabupaten Bangkalan</x:v>
      </x:c>
      <x:c r="Q3009" s="66" t="str">
        <x:v>https://snpmb.id/snbp/daya-tampung-snbp</x:v>
      </x:c>
      <x:c r="R3009" s="66" t="str">
        <x:v>https://sidatagrun-public-1076756628210.asia-southeast2.run.app/ptn_sn.php?ptn=384</x:v>
      </x:c>
    </x:row>
    <x:row r="3010">
      <x:c r="A3010" s="87" t="n">
        <x:v>4106</x:v>
      </x:c>
      <x:c r="B3010" s="66" t="n">
        <x:v>384</x:v>
      </x:c>
      <x:c r="C3010" s="66" t="str">
        <x:v>UNIVERSITAS TRUNOJOYO MADURA</x:v>
      </x:c>
      <x:c r="D3010" s="66" t="str">
        <x:v>PTN Akademik</x:v>
      </x:c>
      <x:c r="E3010" s="66" t="str">
        <x:v>13841007</x:v>
      </x:c>
      <x:c r="F3010" s="66" t="str">
        <x:v>TEKNIK ELEKTRO</x:v>
      </x:c>
      <x:c r="G3010" s="66" t="str">
        <x:v>Sarjana</x:v>
      </x:c>
      <x:c r="H3010" s="87" t="n">
        <x:v>75</x:v>
      </x:c>
      <x:c r="I3010" s="87" t="n">
        <x:v>99</x:v>
      </x:c>
      <x:c r="J3010" s="68" t="n">
        <x:f>IFERROR(H3010/I3010,"")</x:f>
        <x:v>0.7575757575757576</x:v>
      </x:c>
      <x:c r="K3010" s="69" t="n">
        <x:f>IFERROR(I3010/H3010,"")</x:f>
        <x:v>1.32</x:v>
      </x:c>
      <x:c r="L3010" s="66" t="str">
        <x:f>IF(K3010="","","1 : "&amp;TEXT(K3010,"0.0"))</x:f>
        <x:v>1 : 1.3</x:v>
      </x:c>
      <x:c r="M3010" s="66" t="str">
        <x:f>IF(J3010="","Baru/Tanpa Data",IF(J3010&lt;='Catatan &amp; Sumber'!$B$14,"Sangat Ketat",IF(J3010&lt;='Catatan &amp; Sumber'!$B$15,"Ketat",IF(J3010&lt;='Catatan &amp; Sumber'!$B$16,"Sedang","Relatif Longgar"))))</x:f>
        <x:v>Relatif Longgar</x:v>
      </x:c>
      <x:c r="N3010" s="66" t="str">
        <x:v>Tidak Ada</x:v>
      </x:c>
      <x:c r="O3010" s="66" t="str">
        <x:v>Jawa Timur</x:v>
      </x:c>
      <x:c r="P3010" s="66" t="str">
        <x:v>Kabupaten Bangkalan</x:v>
      </x:c>
      <x:c r="Q3010" s="66" t="str">
        <x:v>https://snpmb.id/snbp/daya-tampung-snbp</x:v>
      </x:c>
      <x:c r="R3010" s="66" t="str">
        <x:v>https://sidatagrun-public-1076756628210.asia-southeast2.run.app/ptn_sn.php?ptn=384</x:v>
      </x:c>
    </x:row>
    <x:row r="3011">
      <x:c r="A3011" s="87" t="n">
        <x:v>4011</x:v>
      </x:c>
      <x:c r="B3011" s="66" t="n">
        <x:v>384</x:v>
      </x:c>
      <x:c r="C3011" s="66" t="str">
        <x:v>UNIVERSITAS TRUNOJOYO MADURA</x:v>
      </x:c>
      <x:c r="D3011" s="66" t="str">
        <x:v>PTN Akademik</x:v>
      </x:c>
      <x:c r="E3011" s="66" t="str">
        <x:v>13841008</x:v>
      </x:c>
      <x:c r="F3011" s="66" t="str">
        <x:v>PENDIDIKAN INFORMATIKA</x:v>
      </x:c>
      <x:c r="G3011" s="66" t="str">
        <x:v>Sarjana</x:v>
      </x:c>
      <x:c r="H3011" s="87" t="n">
        <x:v>83</x:v>
      </x:c>
      <x:c r="I3011" s="87" t="n">
        <x:v>120</x:v>
      </x:c>
      <x:c r="J3011" s="68" t="n">
        <x:f>IFERROR(H3011/I3011,"")</x:f>
        <x:v>0.6916666666666667</x:v>
      </x:c>
      <x:c r="K3011" s="69" t="n">
        <x:f>IFERROR(I3011/H3011,"")</x:f>
        <x:v>1.4457831325301205</x:v>
      </x:c>
      <x:c r="L3011" s="66" t="str">
        <x:f>IF(K3011="","","1 : "&amp;TEXT(K3011,"0.0"))</x:f>
        <x:v>1 : 1.4</x:v>
      </x:c>
      <x:c r="M3011" s="66" t="str">
        <x:f>IF(J3011="","Baru/Tanpa Data",IF(J3011&lt;='Catatan &amp; Sumber'!$B$14,"Sangat Ketat",IF(J3011&lt;='Catatan &amp; Sumber'!$B$15,"Ketat",IF(J3011&lt;='Catatan &amp; Sumber'!$B$16,"Sedang","Relatif Longgar"))))</x:f>
        <x:v>Relatif Longgar</x:v>
      </x:c>
      <x:c r="N3011" s="66" t="str">
        <x:v>Tidak Ada</x:v>
      </x:c>
      <x:c r="O3011" s="66" t="str">
        <x:v>Jawa Timur</x:v>
      </x:c>
      <x:c r="P3011" s="66" t="str">
        <x:v>Kabupaten Bangkalan</x:v>
      </x:c>
      <x:c r="Q3011" s="66" t="str">
        <x:v>https://snpmb.id/snbp/daya-tampung-snbp</x:v>
      </x:c>
      <x:c r="R3011" s="66" t="str">
        <x:v>https://sidatagrun-public-1076756628210.asia-southeast2.run.app/ptn_sn.php?ptn=384</x:v>
      </x:c>
    </x:row>
    <x:row r="3012">
      <x:c r="A3012" s="87" t="n">
        <x:v>3741</x:v>
      </x:c>
      <x:c r="B3012" s="66" t="n">
        <x:v>384</x:v>
      </x:c>
      <x:c r="C3012" s="66" t="str">
        <x:v>UNIVERSITAS TRUNOJOYO MADURA</x:v>
      </x:c>
      <x:c r="D3012" s="66" t="str">
        <x:v>PTN Akademik</x:v>
      </x:c>
      <x:c r="E3012" s="66" t="str">
        <x:v>13841009</x:v>
      </x:c>
      <x:c r="F3012" s="66" t="str">
        <x:v>PENDIDIKAN ILMU PENGETAHUAN ALAM</x:v>
      </x:c>
      <x:c r="G3012" s="66" t="str">
        <x:v>Sarjana</x:v>
      </x:c>
      <x:c r="H3012" s="87" t="n">
        <x:v>100</x:v>
      </x:c>
      <x:c r="I3012" s="87" t="n">
        <x:v>185</x:v>
      </x:c>
      <x:c r="J3012" s="68" t="n">
        <x:f>IFERROR(H3012/I3012,"")</x:f>
        <x:v>0.5405405405405406</x:v>
      </x:c>
      <x:c r="K3012" s="69" t="n">
        <x:f>IFERROR(I3012/H3012,"")</x:f>
        <x:v>1.85</x:v>
      </x:c>
      <x:c r="L3012" s="66" t="str">
        <x:f>IF(K3012="","","1 : "&amp;TEXT(K3012,"0.0"))</x:f>
        <x:v>1 : 1.9</x:v>
      </x:c>
      <x:c r="M3012" s="66" t="str">
        <x:f>IF(J3012="","Baru/Tanpa Data",IF(J3012&lt;='Catatan &amp; Sumber'!$B$14,"Sangat Ketat",IF(J3012&lt;='Catatan &amp; Sumber'!$B$15,"Ketat",IF(J3012&lt;='Catatan &amp; Sumber'!$B$16,"Sedang","Relatif Longgar"))))</x:f>
        <x:v>Relatif Longgar</x:v>
      </x:c>
      <x:c r="N3012" s="66" t="str">
        <x:v>Tidak Ada</x:v>
      </x:c>
      <x:c r="O3012" s="66" t="str">
        <x:v>Jawa Timur</x:v>
      </x:c>
      <x:c r="P3012" s="66" t="str">
        <x:v>Kabupaten Bangkalan</x:v>
      </x:c>
      <x:c r="Q3012" s="66" t="str">
        <x:v>https://snpmb.id/snbp/daya-tampung-snbp</x:v>
      </x:c>
      <x:c r="R3012" s="66" t="str">
        <x:v>https://sidatagrun-public-1076756628210.asia-southeast2.run.app/ptn_sn.php?ptn=384</x:v>
      </x:c>
    </x:row>
    <x:row r="3013">
      <x:c r="A3013" s="87" t="n">
        <x:v>4687</x:v>
      </x:c>
      <x:c r="B3013" s="66" t="n">
        <x:v>384</x:v>
      </x:c>
      <x:c r="C3013" s="66" t="str">
        <x:v>UNIVERSITAS TRUNOJOYO MADURA</x:v>
      </x:c>
      <x:c r="D3013" s="66" t="str">
        <x:v>PTN Akademik</x:v>
      </x:c>
      <x:c r="E3013" s="66" t="str">
        <x:v>13841010</x:v>
      </x:c>
      <x:c r="F3013" s="66" t="str">
        <x:v>MANAJEMEN SUMBERDAYA PERAIRAN</x:v>
      </x:c>
      <x:c r="G3013" s="66" t="str">
        <x:v>Sarjana</x:v>
      </x:c>
      <x:c r="H3013" s="87" t="n">
        <x:v>75</x:v>
      </x:c>
      <x:c r="I3013" s="87" t="n">
        <x:v>35</x:v>
      </x:c>
      <x:c r="J3013" s="68" t="n">
        <x:f>IFERROR(H3013/I3013,"")</x:f>
        <x:v>2.142857142857143</x:v>
      </x:c>
      <x:c r="K3013" s="69" t="n">
        <x:f>IFERROR(I3013/H3013,"")</x:f>
        <x:v>0.4666666666666667</x:v>
      </x:c>
      <x:c r="L3013" s="66" t="str">
        <x:f>IF(K3013="","","1 : "&amp;TEXT(K3013,"0.0"))</x:f>
        <x:v>1 : 0.5</x:v>
      </x:c>
      <x:c r="M3013" s="66" t="str">
        <x:f>IF(J3013="","Baru/Tanpa Data",IF(J3013&lt;='Catatan &amp; Sumber'!$B$14,"Sangat Ketat",IF(J3013&lt;='Catatan &amp; Sumber'!$B$15,"Ketat",IF(J3013&lt;='Catatan &amp; Sumber'!$B$16,"Sedang","Relatif Longgar"))))</x:f>
        <x:v>Relatif Longgar</x:v>
      </x:c>
      <x:c r="N3013" s="66" t="str">
        <x:v>Tidak Ada</x:v>
      </x:c>
      <x:c r="O3013" s="66" t="str">
        <x:v>Jawa Timur</x:v>
      </x:c>
      <x:c r="P3013" s="66" t="str">
        <x:v>Kabupaten Bangkalan</x:v>
      </x:c>
      <x:c r="Q3013" s="66" t="str">
        <x:v>https://snpmb.id/snbp/daya-tampung-snbp</x:v>
      </x:c>
      <x:c r="R3013" s="66" t="str">
        <x:v>https://sidatagrun-public-1076756628210.asia-southeast2.run.app/ptn_sn.php?ptn=384</x:v>
      </x:c>
    </x:row>
    <x:row r="3014">
      <x:c r="A3014" s="87" t="n">
        <x:v>2936</x:v>
      </x:c>
      <x:c r="B3014" s="66" t="n">
        <x:v>384</x:v>
      </x:c>
      <x:c r="C3014" s="66" t="str">
        <x:v>UNIVERSITAS TRUNOJOYO MADURA</x:v>
      </x:c>
      <x:c r="D3014" s="66" t="str">
        <x:v>PTN Akademik</x:v>
      </x:c>
      <x:c r="E3014" s="66" t="str">
        <x:v>13841011</x:v>
      </x:c>
      <x:c r="F3014" s="66" t="str">
        <x:v>TEKNIK MESIN</x:v>
      </x:c>
      <x:c r="G3014" s="66" t="str">
        <x:v>Sarjana</x:v>
      </x:c>
      <x:c r="H3014" s="87" t="n">
        <x:v>30</x:v>
      </x:c>
      <x:c r="I3014" s="87" t="n">
        <x:v>107</x:v>
      </x:c>
      <x:c r="J3014" s="68" t="n">
        <x:f>IFERROR(H3014/I3014,"")</x:f>
        <x:v>0.2803738317757009</x:v>
      </x:c>
      <x:c r="K3014" s="69" t="n">
        <x:f>IFERROR(I3014/H3014,"")</x:f>
        <x:v>3.566666666666667</x:v>
      </x:c>
      <x:c r="L3014" s="66" t="str">
        <x:f>IF(K3014="","","1 : "&amp;TEXT(K3014,"0.0"))</x:f>
        <x:v>1 : 3.6</x:v>
      </x:c>
      <x:c r="M3014" s="66" t="str">
        <x:f>IF(J3014="","Baru/Tanpa Data",IF(J3014&lt;='Catatan &amp; Sumber'!$B$14,"Sangat Ketat",IF(J3014&lt;='Catatan &amp; Sumber'!$B$15,"Ketat",IF(J3014&lt;='Catatan &amp; Sumber'!$B$16,"Sedang","Relatif Longgar"))))</x:f>
        <x:v>Relatif Longgar</x:v>
      </x:c>
      <x:c r="N3014" s="66" t="str">
        <x:v>Tidak Ada</x:v>
      </x:c>
      <x:c r="O3014" s="66" t="str">
        <x:v>Jawa Timur</x:v>
      </x:c>
      <x:c r="P3014" s="66" t="str">
        <x:v>Kabupaten Bangkalan</x:v>
      </x:c>
      <x:c r="Q3014" s="66" t="str">
        <x:v>https://snpmb.id/snbp/daya-tampung-snbp</x:v>
      </x:c>
      <x:c r="R3014" s="66" t="str">
        <x:v>https://sidatagrun-public-1076756628210.asia-southeast2.run.app/ptn_sn.php?ptn=384</x:v>
      </x:c>
    </x:row>
    <x:row r="3015">
      <x:c r="A3015" s="87" t="n">
        <x:v>4494</x:v>
      </x:c>
      <x:c r="B3015" s="66" t="n">
        <x:v>384</x:v>
      </x:c>
      <x:c r="C3015" s="66" t="str">
        <x:v>UNIVERSITAS TRUNOJOYO MADURA</x:v>
      </x:c>
      <x:c r="D3015" s="66" t="str">
        <x:v>PTN Akademik</x:v>
      </x:c>
      <x:c r="E3015" s="66" t="str">
        <x:v>13841012</x:v>
      </x:c>
      <x:c r="F3015" s="66" t="str">
        <x:v>TEKNIK MEKATRONIKA</x:v>
      </x:c>
      <x:c r="G3015" s="66" t="str">
        <x:v>Sarjana</x:v>
      </x:c>
      <x:c r="H3015" s="87" t="n">
        <x:v>50</x:v>
      </x:c>
      <x:c r="I3015" s="87" t="n">
        <x:v>38</x:v>
      </x:c>
      <x:c r="J3015" s="68" t="n">
        <x:f>IFERROR(H3015/I3015,"")</x:f>
        <x:v>1.3157894736842106</x:v>
      </x:c>
      <x:c r="K3015" s="69" t="n">
        <x:f>IFERROR(I3015/H3015,"")</x:f>
        <x:v>0.76</x:v>
      </x:c>
      <x:c r="L3015" s="66" t="str">
        <x:f>IF(K3015="","","1 : "&amp;TEXT(K3015,"0.0"))</x:f>
        <x:v>1 : 0.8</x:v>
      </x:c>
      <x:c r="M3015" s="66" t="str">
        <x:f>IF(J3015="","Baru/Tanpa Data",IF(J3015&lt;='Catatan &amp; Sumber'!$B$14,"Sangat Ketat",IF(J3015&lt;='Catatan &amp; Sumber'!$B$15,"Ketat",IF(J3015&lt;='Catatan &amp; Sumber'!$B$16,"Sedang","Relatif Longgar"))))</x:f>
        <x:v>Relatif Longgar</x:v>
      </x:c>
      <x:c r="N3015" s="66" t="str">
        <x:v>Tidak Ada</x:v>
      </x:c>
      <x:c r="O3015" s="66" t="str">
        <x:v>Jawa Timur</x:v>
      </x:c>
      <x:c r="P3015" s="66" t="str">
        <x:v>Kabupaten Bangkalan</x:v>
      </x:c>
      <x:c r="Q3015" s="66" t="str">
        <x:v>https://snpmb.id/snbp/daya-tampung-snbp</x:v>
      </x:c>
      <x:c r="R3015" s="66" t="str">
        <x:v>https://sidatagrun-public-1076756628210.asia-southeast2.run.app/ptn_sn.php?ptn=384</x:v>
      </x:c>
    </x:row>
    <x:row r="3016">
      <x:c r="A3016" s="87" t="n">
        <x:v>3883</x:v>
      </x:c>
      <x:c r="B3016" s="66" t="n">
        <x:v>384</x:v>
      </x:c>
      <x:c r="C3016" s="66" t="str">
        <x:v>UNIVERSITAS TRUNOJOYO MADURA</x:v>
      </x:c>
      <x:c r="D3016" s="66" t="str">
        <x:v>PTN Akademik</x:v>
      </x:c>
      <x:c r="E3016" s="66" t="str">
        <x:v>13841013</x:v>
      </x:c>
      <x:c r="F3016" s="66" t="str">
        <x:v>SISTEM INFORMASI</x:v>
      </x:c>
      <x:c r="G3016" s="66" t="str">
        <x:v>Sarjana</x:v>
      </x:c>
      <x:c r="H3016" s="87" t="n">
        <x:v>100</x:v>
      </x:c>
      <x:c r="I3016" s="87" t="n">
        <x:v>163</x:v>
      </x:c>
      <x:c r="J3016" s="68" t="n">
        <x:f>IFERROR(H3016/I3016,"")</x:f>
        <x:v>0.6134969325153374</x:v>
      </x:c>
      <x:c r="K3016" s="69" t="n">
        <x:f>IFERROR(I3016/H3016,"")</x:f>
        <x:v>1.63</x:v>
      </x:c>
      <x:c r="L3016" s="66" t="str">
        <x:f>IF(K3016="","","1 : "&amp;TEXT(K3016,"0.0"))</x:f>
        <x:v>1 : 1.6</x:v>
      </x:c>
      <x:c r="M3016" s="66" t="str">
        <x:f>IF(J3016="","Baru/Tanpa Data",IF(J3016&lt;='Catatan &amp; Sumber'!$B$14,"Sangat Ketat",IF(J3016&lt;='Catatan &amp; Sumber'!$B$15,"Ketat",IF(J3016&lt;='Catatan &amp; Sumber'!$B$16,"Sedang","Relatif Longgar"))))</x:f>
        <x:v>Relatif Longgar</x:v>
      </x:c>
      <x:c r="N3016" s="66" t="str">
        <x:v>Tidak Ada</x:v>
      </x:c>
      <x:c r="O3016" s="66" t="str">
        <x:v>Jawa Timur</x:v>
      </x:c>
      <x:c r="P3016" s="66" t="str">
        <x:v>Kabupaten Bangkalan</x:v>
      </x:c>
      <x:c r="Q3016" s="66" t="str">
        <x:v>https://snpmb.id/snbp/daya-tampung-snbp</x:v>
      </x:c>
      <x:c r="R3016" s="66" t="str">
        <x:v>https://sidatagrun-public-1076756628210.asia-southeast2.run.app/ptn_sn.php?ptn=384</x:v>
      </x:c>
    </x:row>
    <x:row r="3017">
      <x:c r="A3017" s="87" t="n">
        <x:v>4016</x:v>
      </x:c>
      <x:c r="B3017" s="66" t="n">
        <x:v>384</x:v>
      </x:c>
      <x:c r="C3017" s="66" t="str">
        <x:v>UNIVERSITAS TRUNOJOYO MADURA</x:v>
      </x:c>
      <x:c r="D3017" s="66" t="str">
        <x:v>PTN Akademik</x:v>
      </x:c>
      <x:c r="E3017" s="66" t="str">
        <x:v>13841014</x:v>
      </x:c>
      <x:c r="F3017" s="66" t="str">
        <x:v>ILMU HUKUM</x:v>
      </x:c>
      <x:c r="G3017" s="66" t="str">
        <x:v>Sarjana</x:v>
      </x:c>
      <x:c r="H3017" s="87" t="n">
        <x:v>223</x:v>
      </x:c>
      <x:c r="I3017" s="87" t="n">
        <x:v>320</x:v>
      </x:c>
      <x:c r="J3017" s="68" t="n">
        <x:f>IFERROR(H3017/I3017,"")</x:f>
        <x:v>0.696875</x:v>
      </x:c>
      <x:c r="K3017" s="69" t="n">
        <x:f>IFERROR(I3017/H3017,"")</x:f>
        <x:v>1.4349775784753362</x:v>
      </x:c>
      <x:c r="L3017" s="66" t="str">
        <x:f>IF(K3017="","","1 : "&amp;TEXT(K3017,"0.0"))</x:f>
        <x:v>1 : 1.4</x:v>
      </x:c>
      <x:c r="M3017" s="66" t="str">
        <x:f>IF(J3017="","Baru/Tanpa Data",IF(J3017&lt;='Catatan &amp; Sumber'!$B$14,"Sangat Ketat",IF(J3017&lt;='Catatan &amp; Sumber'!$B$15,"Ketat",IF(J3017&lt;='Catatan &amp; Sumber'!$B$16,"Sedang","Relatif Longgar"))))</x:f>
        <x:v>Relatif Longgar</x:v>
      </x:c>
      <x:c r="N3017" s="66" t="str">
        <x:v>Tidak Ada</x:v>
      </x:c>
      <x:c r="O3017" s="66" t="str">
        <x:v>Jawa Timur</x:v>
      </x:c>
      <x:c r="P3017" s="66" t="str">
        <x:v>Kabupaten Bangkalan</x:v>
      </x:c>
      <x:c r="Q3017" s="66" t="str">
        <x:v>https://snpmb.id/snbp/daya-tampung-snbp</x:v>
      </x:c>
      <x:c r="R3017" s="66" t="str">
        <x:v>https://sidatagrun-public-1076756628210.asia-southeast2.run.app/ptn_sn.php?ptn=384</x:v>
      </x:c>
    </x:row>
    <x:row r="3018">
      <x:c r="A3018" s="87" t="n">
        <x:v>4154</x:v>
      </x:c>
      <x:c r="B3018" s="66" t="n">
        <x:v>384</x:v>
      </x:c>
      <x:c r="C3018" s="66" t="str">
        <x:v>UNIVERSITAS TRUNOJOYO MADURA</x:v>
      </x:c>
      <x:c r="D3018" s="66" t="str">
        <x:v>PTN Akademik</x:v>
      </x:c>
      <x:c r="E3018" s="66" t="str">
        <x:v>13841015</x:v>
      </x:c>
      <x:c r="F3018" s="66" t="str">
        <x:v>SASTRA INGGRIS</x:v>
      </x:c>
      <x:c r="G3018" s="66" t="str">
        <x:v>Sarjana</x:v>
      </x:c>
      <x:c r="H3018" s="87" t="n">
        <x:v>100</x:v>
      </x:c>
      <x:c r="I3018" s="87" t="n">
        <x:v>123</x:v>
      </x:c>
      <x:c r="J3018" s="68" t="n">
        <x:f>IFERROR(H3018/I3018,"")</x:f>
        <x:v>0.8130081300813008</x:v>
      </x:c>
      <x:c r="K3018" s="69" t="n">
        <x:f>IFERROR(I3018/H3018,"")</x:f>
        <x:v>1.23</x:v>
      </x:c>
      <x:c r="L3018" s="66" t="str">
        <x:f>IF(K3018="","","1 : "&amp;TEXT(K3018,"0.0"))</x:f>
        <x:v>1 : 1.2</x:v>
      </x:c>
      <x:c r="M3018" s="66" t="str">
        <x:f>IF(J3018="","Baru/Tanpa Data",IF(J3018&lt;='Catatan &amp; Sumber'!$B$14,"Sangat Ketat",IF(J3018&lt;='Catatan &amp; Sumber'!$B$15,"Ketat",IF(J3018&lt;='Catatan &amp; Sumber'!$B$16,"Sedang","Relatif Longgar"))))</x:f>
        <x:v>Relatif Longgar</x:v>
      </x:c>
      <x:c r="N3018" s="66" t="str">
        <x:v>Tidak Ada</x:v>
      </x:c>
      <x:c r="O3018" s="66" t="str">
        <x:v>Jawa Timur</x:v>
      </x:c>
      <x:c r="P3018" s="66" t="str">
        <x:v>Kabupaten Bangkalan</x:v>
      </x:c>
      <x:c r="Q3018" s="66" t="str">
        <x:v>https://snpmb.id/snbp/daya-tampung-snbp</x:v>
      </x:c>
      <x:c r="R3018" s="66" t="str">
        <x:v>https://sidatagrun-public-1076756628210.asia-southeast2.run.app/ptn_sn.php?ptn=384</x:v>
      </x:c>
    </x:row>
    <x:row r="3019">
      <x:c r="A3019" s="87" t="n">
        <x:v>4413</x:v>
      </x:c>
      <x:c r="B3019" s="66" t="n">
        <x:v>384</x:v>
      </x:c>
      <x:c r="C3019" s="66" t="str">
        <x:v>UNIVERSITAS TRUNOJOYO MADURA</x:v>
      </x:c>
      <x:c r="D3019" s="66" t="str">
        <x:v>PTN Akademik</x:v>
      </x:c>
      <x:c r="E3019" s="66" t="str">
        <x:v>13841016</x:v>
      </x:c>
      <x:c r="F3019" s="66" t="str">
        <x:v>SOSIOLOGI</x:v>
      </x:c>
      <x:c r="G3019" s="66" t="str">
        <x:v>Sarjana</x:v>
      </x:c>
      <x:c r="H3019" s="87" t="n">
        <x:v>125</x:v>
      </x:c>
      <x:c r="I3019" s="87" t="n">
        <x:v>109</x:v>
      </x:c>
      <x:c r="J3019" s="68" t="n">
        <x:f>IFERROR(H3019/I3019,"")</x:f>
        <x:v>1.146788990825688</x:v>
      </x:c>
      <x:c r="K3019" s="69" t="n">
        <x:f>IFERROR(I3019/H3019,"")</x:f>
        <x:v>0.872</x:v>
      </x:c>
      <x:c r="L3019" s="66" t="str">
        <x:f>IF(K3019="","","1 : "&amp;TEXT(K3019,"0.0"))</x:f>
        <x:v>1 : 0.9</x:v>
      </x:c>
      <x:c r="M3019" s="66" t="str">
        <x:f>IF(J3019="","Baru/Tanpa Data",IF(J3019&lt;='Catatan &amp; Sumber'!$B$14,"Sangat Ketat",IF(J3019&lt;='Catatan &amp; Sumber'!$B$15,"Ketat",IF(J3019&lt;='Catatan &amp; Sumber'!$B$16,"Sedang","Relatif Longgar"))))</x:f>
        <x:v>Relatif Longgar</x:v>
      </x:c>
      <x:c r="N3019" s="66" t="str">
        <x:v>Tidak Ada</x:v>
      </x:c>
      <x:c r="O3019" s="66" t="str">
        <x:v>Jawa Timur</x:v>
      </x:c>
      <x:c r="P3019" s="66" t="str">
        <x:v>Kabupaten Bangkalan</x:v>
      </x:c>
      <x:c r="Q3019" s="66" t="str">
        <x:v>https://snpmb.id/snbp/daya-tampung-snbp</x:v>
      </x:c>
      <x:c r="R3019" s="66" t="str">
        <x:v>https://sidatagrun-public-1076756628210.asia-southeast2.run.app/ptn_sn.php?ptn=384</x:v>
      </x:c>
    </x:row>
    <x:row r="3020">
      <x:c r="A3020" s="87" t="n">
        <x:v>3582</x:v>
      </x:c>
      <x:c r="B3020" s="66" t="n">
        <x:v>384</x:v>
      </x:c>
      <x:c r="C3020" s="66" t="str">
        <x:v>UNIVERSITAS TRUNOJOYO MADURA</x:v>
      </x:c>
      <x:c r="D3020" s="66" t="str">
        <x:v>PTN Akademik</x:v>
      </x:c>
      <x:c r="E3020" s="66" t="str">
        <x:v>13841017</x:v>
      </x:c>
      <x:c r="F3020" s="66" t="str">
        <x:v>ILMU KOMUNIKASI</x:v>
      </x:c>
      <x:c r="G3020" s="66" t="str">
        <x:v>Sarjana</x:v>
      </x:c>
      <x:c r="H3020" s="87" t="n">
        <x:v>125</x:v>
      </x:c>
      <x:c r="I3020" s="87" t="n">
        <x:v>269</x:v>
      </x:c>
      <x:c r="J3020" s="68" t="n">
        <x:f>IFERROR(H3020/I3020,"")</x:f>
        <x:v>0.4646840148698885</x:v>
      </x:c>
      <x:c r="K3020" s="69" t="n">
        <x:f>IFERROR(I3020/H3020,"")</x:f>
        <x:v>2.152</x:v>
      </x:c>
      <x:c r="L3020" s="66" t="str">
        <x:f>IF(K3020="","","1 : "&amp;TEXT(K3020,"0.0"))</x:f>
        <x:v>1 : 2.2</x:v>
      </x:c>
      <x:c r="M3020" s="66" t="str">
        <x:f>IF(J3020="","Baru/Tanpa Data",IF(J3020&lt;='Catatan &amp; Sumber'!$B$14,"Sangat Ketat",IF(J3020&lt;='Catatan &amp; Sumber'!$B$15,"Ketat",IF(J3020&lt;='Catatan &amp; Sumber'!$B$16,"Sedang","Relatif Longgar"))))</x:f>
        <x:v>Relatif Longgar</x:v>
      </x:c>
      <x:c r="N3020" s="66" t="str">
        <x:v>Tidak Ada</x:v>
      </x:c>
      <x:c r="O3020" s="66" t="str">
        <x:v>Jawa Timur</x:v>
      </x:c>
      <x:c r="P3020" s="66" t="str">
        <x:v>Kabupaten Bangkalan</x:v>
      </x:c>
      <x:c r="Q3020" s="66" t="str">
        <x:v>https://snpmb.id/snbp/daya-tampung-snbp</x:v>
      </x:c>
      <x:c r="R3020" s="66" t="str">
        <x:v>https://sidatagrun-public-1076756628210.asia-southeast2.run.app/ptn_sn.php?ptn=384</x:v>
      </x:c>
    </x:row>
    <x:row r="3021">
      <x:c r="A3021" s="87" t="n">
        <x:v>3138</x:v>
      </x:c>
      <x:c r="B3021" s="66" t="n">
        <x:v>384</x:v>
      </x:c>
      <x:c r="C3021" s="66" t="str">
        <x:v>UNIVERSITAS TRUNOJOYO MADURA</x:v>
      </x:c>
      <x:c r="D3021" s="66" t="str">
        <x:v>PTN Akademik</x:v>
      </x:c>
      <x:c r="E3021" s="66" t="str">
        <x:v>13841018</x:v>
      </x:c>
      <x:c r="F3021" s="66" t="str">
        <x:v>MANAJEMEN</x:v>
      </x:c>
      <x:c r="G3021" s="66" t="str">
        <x:v>Sarjana</x:v>
      </x:c>
      <x:c r="H3021" s="87" t="n">
        <x:v>175</x:v>
      </x:c>
      <x:c r="I3021" s="87" t="n">
        <x:v>538</x:v>
      </x:c>
      <x:c r="J3021" s="68" t="n">
        <x:f>IFERROR(H3021/I3021,"")</x:f>
        <x:v>0.3252788104089219</x:v>
      </x:c>
      <x:c r="K3021" s="69" t="n">
        <x:f>IFERROR(I3021/H3021,"")</x:f>
        <x:v>3.0742857142857143</x:v>
      </x:c>
      <x:c r="L3021" s="66" t="str">
        <x:f>IF(K3021="","","1 : "&amp;TEXT(K3021,"0.0"))</x:f>
        <x:v>1 : 3.1</x:v>
      </x:c>
      <x:c r="M3021" s="66" t="str">
        <x:f>IF(J3021="","Baru/Tanpa Data",IF(J3021&lt;='Catatan &amp; Sumber'!$B$14,"Sangat Ketat",IF(J3021&lt;='Catatan &amp; Sumber'!$B$15,"Ketat",IF(J3021&lt;='Catatan &amp; Sumber'!$B$16,"Sedang","Relatif Longgar"))))</x:f>
        <x:v>Relatif Longgar</x:v>
      </x:c>
      <x:c r="N3021" s="66" t="str">
        <x:v>Tidak Ada</x:v>
      </x:c>
      <x:c r="O3021" s="66" t="str">
        <x:v>Jawa Timur</x:v>
      </x:c>
      <x:c r="P3021" s="66" t="str">
        <x:v>Kabupaten Bangkalan</x:v>
      </x:c>
      <x:c r="Q3021" s="66" t="str">
        <x:v>https://snpmb.id/snbp/daya-tampung-snbp</x:v>
      </x:c>
      <x:c r="R3021" s="66" t="str">
        <x:v>https://sidatagrun-public-1076756628210.asia-southeast2.run.app/ptn_sn.php?ptn=384</x:v>
      </x:c>
    </x:row>
    <x:row r="3022">
      <x:c r="A3022" s="87" t="n">
        <x:v>3614</x:v>
      </x:c>
      <x:c r="B3022" s="66" t="n">
        <x:v>384</x:v>
      </x:c>
      <x:c r="C3022" s="66" t="str">
        <x:v>UNIVERSITAS TRUNOJOYO MADURA</x:v>
      </x:c>
      <x:c r="D3022" s="66" t="str">
        <x:v>PTN Akademik</x:v>
      </x:c>
      <x:c r="E3022" s="66" t="str">
        <x:v>13841019</x:v>
      </x:c>
      <x:c r="F3022" s="66" t="str">
        <x:v>AKUNTANSI</x:v>
      </x:c>
      <x:c r="G3022" s="66" t="str">
        <x:v>Sarjana</x:v>
      </x:c>
      <x:c r="H3022" s="87" t="n">
        <x:v>175</x:v>
      </x:c>
      <x:c r="I3022" s="87" t="n">
        <x:v>368</x:v>
      </x:c>
      <x:c r="J3022" s="68" t="n">
        <x:f>IFERROR(H3022/I3022,"")</x:f>
        <x:v>0.47554347826086957</x:v>
      </x:c>
      <x:c r="K3022" s="69" t="n">
        <x:f>IFERROR(I3022/H3022,"")</x:f>
        <x:v>2.1028571428571428</x:v>
      </x:c>
      <x:c r="L3022" s="66" t="str">
        <x:f>IF(K3022="","","1 : "&amp;TEXT(K3022,"0.0"))</x:f>
        <x:v>1 : 2.1</x:v>
      </x:c>
      <x:c r="M3022" s="66" t="str">
        <x:f>IF(J3022="","Baru/Tanpa Data",IF(J3022&lt;='Catatan &amp; Sumber'!$B$14,"Sangat Ketat",IF(J3022&lt;='Catatan &amp; Sumber'!$B$15,"Ketat",IF(J3022&lt;='Catatan &amp; Sumber'!$B$16,"Sedang","Relatif Longgar"))))</x:f>
        <x:v>Relatif Longgar</x:v>
      </x:c>
      <x:c r="N3022" s="66" t="str">
        <x:v>Tidak Ada</x:v>
      </x:c>
      <x:c r="O3022" s="66" t="str">
        <x:v>Jawa Timur</x:v>
      </x:c>
      <x:c r="P3022" s="66" t="str">
        <x:v>Kabupaten Bangkalan</x:v>
      </x:c>
      <x:c r="Q3022" s="66" t="str">
        <x:v>https://snpmb.id/snbp/daya-tampung-snbp</x:v>
      </x:c>
      <x:c r="R3022" s="66" t="str">
        <x:v>https://sidatagrun-public-1076756628210.asia-southeast2.run.app/ptn_sn.php?ptn=384</x:v>
      </x:c>
    </x:row>
    <x:row r="3023">
      <x:c r="A3023" s="87" t="n">
        <x:v>4131</x:v>
      </x:c>
      <x:c r="B3023" s="66" t="n">
        <x:v>384</x:v>
      </x:c>
      <x:c r="C3023" s="66" t="str">
        <x:v>UNIVERSITAS TRUNOJOYO MADURA</x:v>
      </x:c>
      <x:c r="D3023" s="66" t="str">
        <x:v>PTN Akademik</x:v>
      </x:c>
      <x:c r="E3023" s="66" t="str">
        <x:v>13841020</x:v>
      </x:c>
      <x:c r="F3023" s="66" t="str">
        <x:v>EKONOMI PEMBANGUNAN</x:v>
      </x:c>
      <x:c r="G3023" s="66" t="str">
        <x:v>Sarjana</x:v>
      </x:c>
      <x:c r="H3023" s="87" t="n">
        <x:v>125</x:v>
      </x:c>
      <x:c r="I3023" s="87" t="n">
        <x:v>158</x:v>
      </x:c>
      <x:c r="J3023" s="68" t="n">
        <x:f>IFERROR(H3023/I3023,"")</x:f>
        <x:v>0.7911392405063291</x:v>
      </x:c>
      <x:c r="K3023" s="69" t="n">
        <x:f>IFERROR(I3023/H3023,"")</x:f>
        <x:v>1.264</x:v>
      </x:c>
      <x:c r="L3023" s="66" t="str">
        <x:f>IF(K3023="","","1 : "&amp;TEXT(K3023,"0.0"))</x:f>
        <x:v>1 : 1.3</x:v>
      </x:c>
      <x:c r="M3023" s="66" t="str">
        <x:f>IF(J3023="","Baru/Tanpa Data",IF(J3023&lt;='Catatan &amp; Sumber'!$B$14,"Sangat Ketat",IF(J3023&lt;='Catatan &amp; Sumber'!$B$15,"Ketat",IF(J3023&lt;='Catatan &amp; Sumber'!$B$16,"Sedang","Relatif Longgar"))))</x:f>
        <x:v>Relatif Longgar</x:v>
      </x:c>
      <x:c r="N3023" s="66" t="str">
        <x:v>Tidak Ada</x:v>
      </x:c>
      <x:c r="O3023" s="66" t="str">
        <x:v>Jawa Timur</x:v>
      </x:c>
      <x:c r="P3023" s="66" t="str">
        <x:v>Kabupaten Bangkalan</x:v>
      </x:c>
      <x:c r="Q3023" s="66" t="str">
        <x:v>https://snpmb.id/snbp/daya-tampung-snbp</x:v>
      </x:c>
      <x:c r="R3023" s="66" t="str">
        <x:v>https://sidatagrun-public-1076756628210.asia-southeast2.run.app/ptn_sn.php?ptn=384</x:v>
      </x:c>
    </x:row>
    <x:row r="3024">
      <x:c r="A3024" s="87" t="n">
        <x:v>3294</x:v>
      </x:c>
      <x:c r="B3024" s="66" t="n">
        <x:v>384</x:v>
      </x:c>
      <x:c r="C3024" s="66" t="str">
        <x:v>UNIVERSITAS TRUNOJOYO MADURA</x:v>
      </x:c>
      <x:c r="D3024" s="66" t="str">
        <x:v>PTN Akademik</x:v>
      </x:c>
      <x:c r="E3024" s="66" t="str">
        <x:v>13841021</x:v>
      </x:c>
      <x:c r="F3024" s="66" t="str">
        <x:v>PSIKOLOGI</x:v>
      </x:c>
      <x:c r="G3024" s="66" t="str">
        <x:v>Sarjana</x:v>
      </x:c>
      <x:c r="H3024" s="87" t="n">
        <x:v>108</x:v>
      </x:c>
      <x:c r="I3024" s="87" t="n">
        <x:v>290</x:v>
      </x:c>
      <x:c r="J3024" s="68" t="n">
        <x:f>IFERROR(H3024/I3024,"")</x:f>
        <x:v>0.3724137931034483</x:v>
      </x:c>
      <x:c r="K3024" s="69" t="n">
        <x:f>IFERROR(I3024/H3024,"")</x:f>
        <x:v>2.685185185185185</x:v>
      </x:c>
      <x:c r="L3024" s="66" t="str">
        <x:f>IF(K3024="","","1 : "&amp;TEXT(K3024,"0.0"))</x:f>
        <x:v>1 : 2.7</x:v>
      </x:c>
      <x:c r="M3024" s="66" t="str">
        <x:f>IF(J3024="","Baru/Tanpa Data",IF(J3024&lt;='Catatan &amp; Sumber'!$B$14,"Sangat Ketat",IF(J3024&lt;='Catatan &amp; Sumber'!$B$15,"Ketat",IF(J3024&lt;='Catatan &amp; Sumber'!$B$16,"Sedang","Relatif Longgar"))))</x:f>
        <x:v>Relatif Longgar</x:v>
      </x:c>
      <x:c r="N3024" s="66" t="str">
        <x:v>Tidak Ada</x:v>
      </x:c>
      <x:c r="O3024" s="66" t="str">
        <x:v>Jawa Timur</x:v>
      </x:c>
      <x:c r="P3024" s="66" t="str">
        <x:v>Kabupaten Bangkalan</x:v>
      </x:c>
      <x:c r="Q3024" s="66" t="str">
        <x:v>https://snpmb.id/snbp/daya-tampung-snbp</x:v>
      </x:c>
      <x:c r="R3024" s="66" t="str">
        <x:v>https://sidatagrun-public-1076756628210.asia-southeast2.run.app/ptn_sn.php?ptn=384</x:v>
      </x:c>
    </x:row>
    <x:row r="3025">
      <x:c r="A3025" s="87" t="n">
        <x:v>2375</x:v>
      </x:c>
      <x:c r="B3025" s="66" t="n">
        <x:v>384</x:v>
      </x:c>
      <x:c r="C3025" s="66" t="str">
        <x:v>UNIVERSITAS TRUNOJOYO MADURA</x:v>
      </x:c>
      <x:c r="D3025" s="66" t="str">
        <x:v>PTN Akademik</x:v>
      </x:c>
      <x:c r="E3025" s="66" t="str">
        <x:v>13841022</x:v>
      </x:c>
      <x:c r="F3025" s="66" t="str">
        <x:v>PGSD</x:v>
      </x:c>
      <x:c r="G3025" s="66" t="str">
        <x:v>Sarjana</x:v>
      </x:c>
      <x:c r="H3025" s="87" t="n">
        <x:v>125</x:v>
      </x:c>
      <x:c r="I3025" s="87" t="n">
        <x:v>649</x:v>
      </x:c>
      <x:c r="J3025" s="68" t="n">
        <x:f>IFERROR(H3025/I3025,"")</x:f>
        <x:v>0.1926040061633282</x:v>
      </x:c>
      <x:c r="K3025" s="69" t="n">
        <x:f>IFERROR(I3025/H3025,"")</x:f>
        <x:v>5.192</x:v>
      </x:c>
      <x:c r="L3025" s="66" t="str">
        <x:f>IF(K3025="","","1 : "&amp;TEXT(K3025,"0.0"))</x:f>
        <x:v>1 : 5.2</x:v>
      </x:c>
      <x:c r="M3025" s="66" t="str">
        <x:f>IF(J3025="","Baru/Tanpa Data",IF(J3025&lt;='Catatan &amp; Sumber'!$B$14,"Sangat Ketat",IF(J3025&lt;='Catatan &amp; Sumber'!$B$15,"Ketat",IF(J3025&lt;='Catatan &amp; Sumber'!$B$16,"Sedang","Relatif Longgar"))))</x:f>
        <x:v>Relatif Longgar</x:v>
      </x:c>
      <x:c r="N3025" s="66" t="str">
        <x:v>Tidak Ada</x:v>
      </x:c>
      <x:c r="O3025" s="66" t="str">
        <x:v>Jawa Timur</x:v>
      </x:c>
      <x:c r="P3025" s="66" t="str">
        <x:v>Kabupaten Bangkalan</x:v>
      </x:c>
      <x:c r="Q3025" s="66" t="str">
        <x:v>https://snpmb.id/snbp/daya-tampung-snbp</x:v>
      </x:c>
      <x:c r="R3025" s="66" t="str">
        <x:v>https://sidatagrun-public-1076756628210.asia-southeast2.run.app/ptn_sn.php?ptn=384</x:v>
      </x:c>
    </x:row>
    <x:row r="3026">
      <x:c r="A3026" s="87" t="n">
        <x:v>4569</x:v>
      </x:c>
      <x:c r="B3026" s="66" t="n">
        <x:v>384</x:v>
      </x:c>
      <x:c r="C3026" s="66" t="str">
        <x:v>UNIVERSITAS TRUNOJOYO MADURA</x:v>
      </x:c>
      <x:c r="D3026" s="66" t="str">
        <x:v>PTN Akademik</x:v>
      </x:c>
      <x:c r="E3026" s="66" t="str">
        <x:v>13841023</x:v>
      </x:c>
      <x:c r="F3026" s="66" t="str">
        <x:v>HUKUM BISNIS SYARIAH</x:v>
      </x:c>
      <x:c r="G3026" s="66" t="str">
        <x:v>Sarjana</x:v>
      </x:c>
      <x:c r="H3026" s="87" t="n">
        <x:v>100</x:v>
      </x:c>
      <x:c r="I3026" s="87" t="n">
        <x:v>66</x:v>
      </x:c>
      <x:c r="J3026" s="68" t="n">
        <x:f>IFERROR(H3026/I3026,"")</x:f>
        <x:v>1.5151515151515151</x:v>
      </x:c>
      <x:c r="K3026" s="69" t="n">
        <x:f>IFERROR(I3026/H3026,"")</x:f>
        <x:v>0.66</x:v>
      </x:c>
      <x:c r="L3026" s="66" t="str">
        <x:f>IF(K3026="","","1 : "&amp;TEXT(K3026,"0.0"))</x:f>
        <x:v>1 : 0.7</x:v>
      </x:c>
      <x:c r="M3026" s="66" t="str">
        <x:f>IF(J3026="","Baru/Tanpa Data",IF(J3026&lt;='Catatan &amp; Sumber'!$B$14,"Sangat Ketat",IF(J3026&lt;='Catatan &amp; Sumber'!$B$15,"Ketat",IF(J3026&lt;='Catatan &amp; Sumber'!$B$16,"Sedang","Relatif Longgar"))))</x:f>
        <x:v>Relatif Longgar</x:v>
      </x:c>
      <x:c r="N3026" s="66" t="str">
        <x:v>Tidak Ada</x:v>
      </x:c>
      <x:c r="O3026" s="66" t="str">
        <x:v>Jawa Timur</x:v>
      </x:c>
      <x:c r="P3026" s="66" t="str">
        <x:v>Kabupaten Bangkalan</x:v>
      </x:c>
      <x:c r="Q3026" s="66" t="str">
        <x:v>https://snpmb.id/snbp/daya-tampung-snbp</x:v>
      </x:c>
      <x:c r="R3026" s="66" t="str">
        <x:v>https://sidatagrun-public-1076756628210.asia-southeast2.run.app/ptn_sn.php?ptn=384</x:v>
      </x:c>
    </x:row>
    <x:row r="3027">
      <x:c r="A3027" s="87" t="n">
        <x:v>4494</x:v>
      </x:c>
      <x:c r="B3027" s="66" t="n">
        <x:v>384</x:v>
      </x:c>
      <x:c r="C3027" s="66" t="str">
        <x:v>UNIVERSITAS TRUNOJOYO MADURA</x:v>
      </x:c>
      <x:c r="D3027" s="66" t="str">
        <x:v>PTN Akademik</x:v>
      </x:c>
      <x:c r="E3027" s="66" t="str">
        <x:v>13841024</x:v>
      </x:c>
      <x:c r="F3027" s="66" t="str">
        <x:v>EKONOMI SYARIAH</x:v>
      </x:c>
      <x:c r="G3027" s="66" t="str">
        <x:v>Sarjana</x:v>
      </x:c>
      <x:c r="H3027" s="87" t="n">
        <x:v>175</x:v>
      </x:c>
      <x:c r="I3027" s="87" t="n">
        <x:v>133</x:v>
      </x:c>
      <x:c r="J3027" s="68" t="n">
        <x:f>IFERROR(H3027/I3027,"")</x:f>
        <x:v>1.3157894736842106</x:v>
      </x:c>
      <x:c r="K3027" s="69" t="n">
        <x:f>IFERROR(I3027/H3027,"")</x:f>
        <x:v>0.76</x:v>
      </x:c>
      <x:c r="L3027" s="66" t="str">
        <x:f>IF(K3027="","","1 : "&amp;TEXT(K3027,"0.0"))</x:f>
        <x:v>1 : 0.8</x:v>
      </x:c>
      <x:c r="M3027" s="66" t="str">
        <x:f>IF(J3027="","Baru/Tanpa Data",IF(J3027&lt;='Catatan &amp; Sumber'!$B$14,"Sangat Ketat",IF(J3027&lt;='Catatan &amp; Sumber'!$B$15,"Ketat",IF(J3027&lt;='Catatan &amp; Sumber'!$B$16,"Sedang","Relatif Longgar"))))</x:f>
        <x:v>Relatif Longgar</x:v>
      </x:c>
      <x:c r="N3027" s="66" t="str">
        <x:v>Tidak Ada</x:v>
      </x:c>
      <x:c r="O3027" s="66" t="str">
        <x:v>Jawa Timur</x:v>
      </x:c>
      <x:c r="P3027" s="66" t="str">
        <x:v>Kabupaten Bangkalan</x:v>
      </x:c>
      <x:c r="Q3027" s="66" t="str">
        <x:v>https://snpmb.id/snbp/daya-tampung-snbp</x:v>
      </x:c>
      <x:c r="R3027" s="66" t="str">
        <x:v>https://sidatagrun-public-1076756628210.asia-southeast2.run.app/ptn_sn.php?ptn=384</x:v>
      </x:c>
    </x:row>
    <x:row r="3028">
      <x:c r="A3028" s="87" t="n">
        <x:v>3268</x:v>
      </x:c>
      <x:c r="B3028" s="66" t="n">
        <x:v>384</x:v>
      </x:c>
      <x:c r="C3028" s="66" t="str">
        <x:v>UNIVERSITAS TRUNOJOYO MADURA</x:v>
      </x:c>
      <x:c r="D3028" s="66" t="str">
        <x:v>PTN Akademik</x:v>
      </x:c>
      <x:c r="E3028" s="66" t="str">
        <x:v>13841025</x:v>
      </x:c>
      <x:c r="F3028" s="66" t="str">
        <x:v>PENDIDIKAN BAHASA DAN SASTRA INDONESIA</x:v>
      </x:c>
      <x:c r="G3028" s="66" t="str">
        <x:v>Sarjana</x:v>
      </x:c>
      <x:c r="H3028" s="87" t="n">
        <x:v>100</x:v>
      </x:c>
      <x:c r="I3028" s="87" t="n">
        <x:v>276</x:v>
      </x:c>
      <x:c r="J3028" s="68" t="n">
        <x:f>IFERROR(H3028/I3028,"")</x:f>
        <x:v>0.36231884057971014</x:v>
      </x:c>
      <x:c r="K3028" s="69" t="n">
        <x:f>IFERROR(I3028/H3028,"")</x:f>
        <x:v>2.76</x:v>
      </x:c>
      <x:c r="L3028" s="66" t="str">
        <x:f>IF(K3028="","","1 : "&amp;TEXT(K3028,"0.0"))</x:f>
        <x:v>1 : 2.8</x:v>
      </x:c>
      <x:c r="M3028" s="66" t="str">
        <x:f>IF(J3028="","Baru/Tanpa Data",IF(J3028&lt;='Catatan &amp; Sumber'!$B$14,"Sangat Ketat",IF(J3028&lt;='Catatan &amp; Sumber'!$B$15,"Ketat",IF(J3028&lt;='Catatan &amp; Sumber'!$B$16,"Sedang","Relatif Longgar"))))</x:f>
        <x:v>Relatif Longgar</x:v>
      </x:c>
      <x:c r="N3028" s="66" t="str">
        <x:v>Tidak Ada</x:v>
      </x:c>
      <x:c r="O3028" s="66" t="str">
        <x:v>Jawa Timur</x:v>
      </x:c>
      <x:c r="P3028" s="66" t="str">
        <x:v>Kabupaten Bangkalan</x:v>
      </x:c>
      <x:c r="Q3028" s="66" t="str">
        <x:v>https://snpmb.id/snbp/daya-tampung-snbp</x:v>
      </x:c>
      <x:c r="R3028" s="66" t="str">
        <x:v>https://sidatagrun-public-1076756628210.asia-southeast2.run.app/ptn_sn.php?ptn=384</x:v>
      </x:c>
    </x:row>
    <x:row r="3029">
      <x:c r="A3029" s="87" t="n">
        <x:v>4390</x:v>
      </x:c>
      <x:c r="B3029" s="66" t="n">
        <x:v>384</x:v>
      </x:c>
      <x:c r="C3029" s="66" t="str">
        <x:v>UNIVERSITAS TRUNOJOYO MADURA</x:v>
      </x:c>
      <x:c r="D3029" s="66" t="str">
        <x:v>PTN Akademik</x:v>
      </x:c>
      <x:c r="E3029" s="66" t="str">
        <x:v>13841026</x:v>
      </x:c>
      <x:c r="F3029" s="66" t="str">
        <x:v>PENDIDIKAN GURU ANAK USIA DINI</x:v>
      </x:c>
      <x:c r="G3029" s="66" t="str">
        <x:v>Sarjana</x:v>
      </x:c>
      <x:c r="H3029" s="87" t="n">
        <x:v>100</x:v>
      </x:c>
      <x:c r="I3029" s="87" t="n">
        <x:v>91</x:v>
      </x:c>
      <x:c r="J3029" s="68" t="n">
        <x:f>IFERROR(H3029/I3029,"")</x:f>
        <x:v>1.098901098901099</x:v>
      </x:c>
      <x:c r="K3029" s="69" t="n">
        <x:f>IFERROR(I3029/H3029,"")</x:f>
        <x:v>0.91</x:v>
      </x:c>
      <x:c r="L3029" s="66" t="str">
        <x:f>IF(K3029="","","1 : "&amp;TEXT(K3029,"0.0"))</x:f>
        <x:v>1 : 0.9</x:v>
      </x:c>
      <x:c r="M3029" s="66" t="str">
        <x:f>IF(J3029="","Baru/Tanpa Data",IF(J3029&lt;='Catatan &amp; Sumber'!$B$14,"Sangat Ketat",IF(J3029&lt;='Catatan &amp; Sumber'!$B$15,"Ketat",IF(J3029&lt;='Catatan &amp; Sumber'!$B$16,"Sedang","Relatif Longgar"))))</x:f>
        <x:v>Relatif Longgar</x:v>
      </x:c>
      <x:c r="N3029" s="66" t="str">
        <x:v>Tidak Ada</x:v>
      </x:c>
      <x:c r="O3029" s="66" t="str">
        <x:v>Jawa Timur</x:v>
      </x:c>
      <x:c r="P3029" s="66" t="str">
        <x:v>Kabupaten Bangkalan</x:v>
      </x:c>
      <x:c r="Q3029" s="66" t="str">
        <x:v>https://snpmb.id/snbp/daya-tampung-snbp</x:v>
      </x:c>
      <x:c r="R3029" s="66" t="str">
        <x:v>https://sidatagrun-public-1076756628210.asia-southeast2.run.app/ptn_sn.php?ptn=384</x:v>
      </x:c>
    </x:row>
    <x:row r="3030">
      <x:c r="A3030" s="87"/>
      <x:c r="B3030" s="66" t="n">
        <x:v>384</x:v>
      </x:c>
      <x:c r="C3030" s="66" t="str">
        <x:v>UNIVERSITAS TRUNOJOYO MADURA</x:v>
      </x:c>
      <x:c r="D3030" s="66" t="str">
        <x:v>PTN Akademik</x:v>
      </x:c>
      <x:c r="E3030" s="66" t="str">
        <x:v>13841032</x:v>
      </x:c>
      <x:c r="F3030" s="66" t="str">
        <x:v>TEKNOLOGI PANGAN</x:v>
      </x:c>
      <x:c r="G3030" s="66" t="str">
        <x:v>Sarjana</x:v>
      </x:c>
      <x:c r="H3030" s="87" t="n">
        <x:v>25</x:v>
      </x:c>
      <x:c r="I3030" s="87"/>
      <x:c r="J3030" s="68" t="str">
        <x:f>IFERROR(H3030/I3030,"")</x:f>
      </x:c>
      <x:c r="K3030" s="69" t="n">
        <x:f>IFERROR(I3030/H3030,"")</x:f>
        <x:v>0</x:v>
      </x:c>
      <x:c r="L3030" s="66" t="str">
        <x:f>IF(K3030="","","1 : "&amp;TEXT(K3030,"0.0"))</x:f>
      </x:c>
      <x:c r="M3030" s="66" t="str">
        <x:f>IF(J3030="","Baru/Tanpa Data",IF(J3030&lt;='Catatan &amp; Sumber'!$B$14,"Sangat Ketat",IF(J3030&lt;='Catatan &amp; Sumber'!$B$15,"Ketat",IF(J3030&lt;='Catatan &amp; Sumber'!$B$16,"Sedang","Relatif Longgar"))))</x:f>
        <x:v>Baru/Tanpa Data</x:v>
      </x:c>
      <x:c r="N3030" s="66" t="str">
        <x:v>Tidak Ada</x:v>
      </x:c>
      <x:c r="O3030" s="66" t="str">
        <x:v>Jawa Timur</x:v>
      </x:c>
      <x:c r="P3030" s="66" t="str">
        <x:v>Kabupaten Bangkalan</x:v>
      </x:c>
      <x:c r="Q3030" s="66" t="str">
        <x:v>https://snpmb.id/snbp/daya-tampung-snbp</x:v>
      </x:c>
      <x:c r="R3030" s="66" t="str">
        <x:v>https://sidatagrun-public-1076756628210.asia-southeast2.run.app/ptn_sn.php?ptn=384</x:v>
      </x:c>
    </x:row>
    <x:row r="3031">
      <x:c r="A3031" s="87" t="n">
        <x:v>4826</x:v>
      </x:c>
      <x:c r="B3031" s="66" t="n">
        <x:v>384</x:v>
      </x:c>
      <x:c r="C3031" s="66" t="str">
        <x:v>UNIVERSITAS TRUNOJOYO MADURA</x:v>
      </x:c>
      <x:c r="D3031" s="66" t="str">
        <x:v>PTN Akademik</x:v>
      </x:c>
      <x:c r="E3031" s="66" t="str">
        <x:v>13843028</x:v>
      </x:c>
      <x:c r="F3031" s="66" t="str">
        <x:v>AKUNTANSI</x:v>
      </x:c>
      <x:c r="G3031" s="66" t="str">
        <x:v>Diploma Tiga</x:v>
      </x:c>
      <x:c r="H3031" s="87" t="n">
        <x:v>25</x:v>
      </x:c>
      <x:c r="I3031" s="87" t="n">
        <x:v>6</x:v>
      </x:c>
      <x:c r="J3031" s="68" t="n">
        <x:f>IFERROR(H3031/I3031,"")</x:f>
        <x:v>4.166666666666667</x:v>
      </x:c>
      <x:c r="K3031" s="69" t="n">
        <x:f>IFERROR(I3031/H3031,"")</x:f>
        <x:v>0.24</x:v>
      </x:c>
      <x:c r="L3031" s="66" t="str">
        <x:f>IF(K3031="","","1 : "&amp;TEXT(K3031,"0.0"))</x:f>
        <x:v>1 : 0.2</x:v>
      </x:c>
      <x:c r="M3031" s="66" t="str">
        <x:f>IF(J3031="","Baru/Tanpa Data",IF(J3031&lt;='Catatan &amp; Sumber'!$B$14,"Sangat Ketat",IF(J3031&lt;='Catatan &amp; Sumber'!$B$15,"Ketat",IF(J3031&lt;='Catatan &amp; Sumber'!$B$16,"Sedang","Relatif Longgar"))))</x:f>
        <x:v>Relatif Longgar</x:v>
      </x:c>
      <x:c r="N3031" s="66" t="str">
        <x:v>Tidak Ada</x:v>
      </x:c>
      <x:c r="O3031" s="66" t="str">
        <x:v>Jawa Timur</x:v>
      </x:c>
      <x:c r="P3031" s="66" t="str">
        <x:v>Kabupaten Bangkalan</x:v>
      </x:c>
      <x:c r="Q3031" s="66" t="str">
        <x:v>https://snpmb.id/snbp/daya-tampung-snbp</x:v>
      </x:c>
      <x:c r="R3031" s="66" t="str">
        <x:v>https://sidatagrun-public-1076756628210.asia-southeast2.run.app/ptn_sn.php?ptn=384</x:v>
      </x:c>
    </x:row>
    <x:row r="3032">
      <x:c r="A3032" s="87" t="n">
        <x:v>4782</x:v>
      </x:c>
      <x:c r="B3032" s="66" t="n">
        <x:v>384</x:v>
      </x:c>
      <x:c r="C3032" s="66" t="str">
        <x:v>UNIVERSITAS TRUNOJOYO MADURA</x:v>
      </x:c>
      <x:c r="D3032" s="66" t="str">
        <x:v>PTN Akademik</x:v>
      </x:c>
      <x:c r="E3032" s="66" t="str">
        <x:v>13843029</x:v>
      </x:c>
      <x:c r="F3032" s="66" t="str">
        <x:v>ENTERPRENEURSHIP</x:v>
      </x:c>
      <x:c r="G3032" s="66" t="str">
        <x:v>Diploma Tiga</x:v>
      </x:c>
      <x:c r="H3032" s="87" t="n">
        <x:v>25</x:v>
      </x:c>
      <x:c r="I3032" s="87" t="n">
        <x:v>8</x:v>
      </x:c>
      <x:c r="J3032" s="68" t="n">
        <x:f>IFERROR(H3032/I3032,"")</x:f>
        <x:v>3.125</x:v>
      </x:c>
      <x:c r="K3032" s="69" t="n">
        <x:f>IFERROR(I3032/H3032,"")</x:f>
        <x:v>0.32</x:v>
      </x:c>
      <x:c r="L3032" s="66" t="str">
        <x:f>IF(K3032="","","1 : "&amp;TEXT(K3032,"0.0"))</x:f>
        <x:v>1 : 0.3</x:v>
      </x:c>
      <x:c r="M3032" s="66" t="str">
        <x:f>IF(J3032="","Baru/Tanpa Data",IF(J3032&lt;='Catatan &amp; Sumber'!$B$14,"Sangat Ketat",IF(J3032&lt;='Catatan &amp; Sumber'!$B$15,"Ketat",IF(J3032&lt;='Catatan &amp; Sumber'!$B$16,"Sedang","Relatif Longgar"))))</x:f>
        <x:v>Relatif Longgar</x:v>
      </x:c>
      <x:c r="N3032" s="66" t="str">
        <x:v>Tidak Ada</x:v>
      </x:c>
      <x:c r="O3032" s="66" t="str">
        <x:v>Jawa Timur</x:v>
      </x:c>
      <x:c r="P3032" s="66" t="str">
        <x:v>Kabupaten Bangkalan</x:v>
      </x:c>
      <x:c r="Q3032" s="66" t="str">
        <x:v>https://snpmb.id/snbp/daya-tampung-snbp</x:v>
      </x:c>
      <x:c r="R3032" s="66" t="str">
        <x:v>https://sidatagrun-public-1076756628210.asia-southeast2.run.app/ptn_sn.php?ptn=384</x:v>
      </x:c>
    </x:row>
    <x:row r="3033">
      <x:c r="A3033" s="87" t="n">
        <x:v>2169</x:v>
      </x:c>
      <x:c r="B3033" s="66" t="n">
        <x:v>385</x:v>
      </x:c>
      <x:c r="C3033" s="66" t="str">
        <x:v>UPN "VETERAN" JAWA TIMUR</x:v>
      </x:c>
      <x:c r="D3033" s="66" t="str">
        <x:v>PTN Akademik</x:v>
      </x:c>
      <x:c r="E3033" s="66" t="str">
        <x:v>13851001</x:v>
      </x:c>
      <x:c r="F3033" s="66" t="str">
        <x:v>AGRIBISNIS</x:v>
      </x:c>
      <x:c r="G3033" s="66" t="str">
        <x:v>Sarjana</x:v>
      </x:c>
      <x:c r="H3033" s="87" t="n">
        <x:v>86</x:v>
      </x:c>
      <x:c r="I3033" s="87" t="n">
        <x:v>510</x:v>
      </x:c>
      <x:c r="J3033" s="68" t="n">
        <x:f>IFERROR(H3033/I3033,"")</x:f>
        <x:v>0.16862745098039217</x:v>
      </x:c>
      <x:c r="K3033" s="69" t="n">
        <x:f>IFERROR(I3033/H3033,"")</x:f>
        <x:v>5.930232558139535</x:v>
      </x:c>
      <x:c r="L3033" s="66" t="str">
        <x:f>IF(K3033="","","1 : "&amp;TEXT(K3033,"0.0"))</x:f>
        <x:v>1 : 5.9</x:v>
      </x:c>
      <x:c r="M3033" s="66" t="str">
        <x:f>IF(J3033="","Baru/Tanpa Data",IF(J3033&lt;='Catatan &amp; Sumber'!$B$14,"Sangat Ketat",IF(J3033&lt;='Catatan &amp; Sumber'!$B$15,"Ketat",IF(J3033&lt;='Catatan &amp; Sumber'!$B$16,"Sedang","Relatif Longgar"))))</x:f>
        <x:v>Relatif Longgar</x:v>
      </x:c>
      <x:c r="N3033" s="66" t="str">
        <x:v>Tidak Ada</x:v>
      </x:c>
      <x:c r="O3033" s="66" t="str">
        <x:v>Jawa Timur</x:v>
      </x:c>
      <x:c r="P3033" s="66" t="str">
        <x:v>Kota Surabaya</x:v>
      </x:c>
      <x:c r="Q3033" s="66" t="str">
        <x:v>https://snpmb.id/snbp/daya-tampung-snbp</x:v>
      </x:c>
      <x:c r="R3033" s="66" t="str">
        <x:v>https://sidatagrun-public-1076756628210.asia-southeast2.run.app/ptn_sn.php?ptn=385</x:v>
      </x:c>
    </x:row>
    <x:row r="3034">
      <x:c r="A3034" s="87" t="n">
        <x:v>2070</x:v>
      </x:c>
      <x:c r="B3034" s="66" t="n">
        <x:v>385</x:v>
      </x:c>
      <x:c r="C3034" s="66" t="str">
        <x:v>UPN "VETERAN" JAWA TIMUR</x:v>
      </x:c>
      <x:c r="D3034" s="66" t="str">
        <x:v>PTN Akademik</x:v>
      </x:c>
      <x:c r="E3034" s="66" t="str">
        <x:v>13851002</x:v>
      </x:c>
      <x:c r="F3034" s="66" t="str">
        <x:v>AGROTEKNOLOGI</x:v>
      </x:c>
      <x:c r="G3034" s="66" t="str">
        <x:v>Sarjana</x:v>
      </x:c>
      <x:c r="H3034" s="87" t="n">
        <x:v>87</x:v>
      </x:c>
      <x:c r="I3034" s="87" t="n">
        <x:v>549</x:v>
      </x:c>
      <x:c r="J3034" s="68" t="n">
        <x:f>IFERROR(H3034/I3034,"")</x:f>
        <x:v>0.15846994535519127</x:v>
      </x:c>
      <x:c r="K3034" s="69" t="n">
        <x:f>IFERROR(I3034/H3034,"")</x:f>
        <x:v>6.310344827586207</x:v>
      </x:c>
      <x:c r="L3034" s="66" t="str">
        <x:f>IF(K3034="","","1 : "&amp;TEXT(K3034,"0.0"))</x:f>
        <x:v>1 : 6.3</x:v>
      </x:c>
      <x:c r="M3034" s="66" t="str">
        <x:f>IF(J3034="","Baru/Tanpa Data",IF(J3034&lt;='Catatan &amp; Sumber'!$B$14,"Sangat Ketat",IF(J3034&lt;='Catatan &amp; Sumber'!$B$15,"Ketat",IF(J3034&lt;='Catatan &amp; Sumber'!$B$16,"Sedang","Relatif Longgar"))))</x:f>
        <x:v>Relatif Longgar</x:v>
      </x:c>
      <x:c r="N3034" s="66" t="str">
        <x:v>Tidak Ada</x:v>
      </x:c>
      <x:c r="O3034" s="66" t="str">
        <x:v>Jawa Timur</x:v>
      </x:c>
      <x:c r="P3034" s="66" t="str">
        <x:v>Kota Surabaya</x:v>
      </x:c>
      <x:c r="Q3034" s="66" t="str">
        <x:v>https://snpmb.id/snbp/daya-tampung-snbp</x:v>
      </x:c>
      <x:c r="R3034" s="66" t="str">
        <x:v>https://sidatagrun-public-1076756628210.asia-southeast2.run.app/ptn_sn.php?ptn=385</x:v>
      </x:c>
    </x:row>
    <x:row r="3035">
      <x:c r="A3035" s="87" t="n">
        <x:v>2308</x:v>
      </x:c>
      <x:c r="B3035" s="66" t="n">
        <x:v>385</x:v>
      </x:c>
      <x:c r="C3035" s="66" t="str">
        <x:v>UPN "VETERAN" JAWA TIMUR</x:v>
      </x:c>
      <x:c r="D3035" s="66" t="str">
        <x:v>PTN Akademik</x:v>
      </x:c>
      <x:c r="E3035" s="66" t="str">
        <x:v>13851003</x:v>
      </x:c>
      <x:c r="F3035" s="66" t="str">
        <x:v>TEKNIK KIMIA</x:v>
      </x:c>
      <x:c r="G3035" s="66" t="str">
        <x:v>Sarjana</x:v>
      </x:c>
      <x:c r="H3035" s="87" t="n">
        <x:v>90</x:v>
      </x:c>
      <x:c r="I3035" s="87" t="n">
        <x:v>487</x:v>
      </x:c>
      <x:c r="J3035" s="68" t="n">
        <x:f>IFERROR(H3035/I3035,"")</x:f>
        <x:v>0.18480492813141683</x:v>
      </x:c>
      <x:c r="K3035" s="69" t="n">
        <x:f>IFERROR(I3035/H3035,"")</x:f>
        <x:v>5.411111111111111</x:v>
      </x:c>
      <x:c r="L3035" s="66" t="str">
        <x:f>IF(K3035="","","1 : "&amp;TEXT(K3035,"0.0"))</x:f>
        <x:v>1 : 5.4</x:v>
      </x:c>
      <x:c r="M3035" s="66" t="str">
        <x:f>IF(J3035="","Baru/Tanpa Data",IF(J3035&lt;='Catatan &amp; Sumber'!$B$14,"Sangat Ketat",IF(J3035&lt;='Catatan &amp; Sumber'!$B$15,"Ketat",IF(J3035&lt;='Catatan &amp; Sumber'!$B$16,"Sedang","Relatif Longgar"))))</x:f>
        <x:v>Relatif Longgar</x:v>
      </x:c>
      <x:c r="N3035" s="66" t="str">
        <x:v>Tidak Ada</x:v>
      </x:c>
      <x:c r="O3035" s="66" t="str">
        <x:v>Jawa Timur</x:v>
      </x:c>
      <x:c r="P3035" s="66" t="str">
        <x:v>Kota Surabaya</x:v>
      </x:c>
      <x:c r="Q3035" s="66" t="str">
        <x:v>https://snpmb.id/snbp/daya-tampung-snbp</x:v>
      </x:c>
      <x:c r="R3035" s="66" t="str">
        <x:v>https://sidatagrun-public-1076756628210.asia-southeast2.run.app/ptn_sn.php?ptn=385</x:v>
      </x:c>
    </x:row>
    <x:row r="3036">
      <x:c r="A3036" s="87" t="n">
        <x:v>1240</x:v>
      </x:c>
      <x:c r="B3036" s="66" t="n">
        <x:v>385</x:v>
      </x:c>
      <x:c r="C3036" s="66" t="str">
        <x:v>UPN "VETERAN" JAWA TIMUR</x:v>
      </x:c>
      <x:c r="D3036" s="66" t="str">
        <x:v>PTN Akademik</x:v>
      </x:c>
      <x:c r="E3036" s="66" t="str">
        <x:v>13851004</x:v>
      </x:c>
      <x:c r="F3036" s="66" t="str">
        <x:v>TEKNIK INDUSTRI</x:v>
      </x:c>
      <x:c r="G3036" s="66" t="str">
        <x:v>Sarjana</x:v>
      </x:c>
      <x:c r="H3036" s="87" t="n">
        <x:v>90</x:v>
      </x:c>
      <x:c r="I3036" s="87" t="n">
        <x:v>973</x:v>
      </x:c>
      <x:c r="J3036" s="68" t="n">
        <x:f>IFERROR(H3036/I3036,"")</x:f>
        <x:v>0.09249743062692703</x:v>
      </x:c>
      <x:c r="K3036" s="69" t="n">
        <x:f>IFERROR(I3036/H3036,"")</x:f>
        <x:v>10.811111111111112</x:v>
      </x:c>
      <x:c r="L3036" s="66" t="str">
        <x:f>IF(K3036="","","1 : "&amp;TEXT(K3036,"0.0"))</x:f>
        <x:v>1 : 10.8</x:v>
      </x:c>
      <x:c r="M3036" s="66" t="str">
        <x:f>IF(J3036="","Baru/Tanpa Data",IF(J3036&lt;='Catatan &amp; Sumber'!$B$14,"Sangat Ketat",IF(J3036&lt;='Catatan &amp; Sumber'!$B$15,"Ketat",IF(J3036&lt;='Catatan &amp; Sumber'!$B$16,"Sedang","Relatif Longgar"))))</x:f>
        <x:v>Sedang</x:v>
      </x:c>
      <x:c r="N3036" s="66" t="str">
        <x:v>Tidak Ada</x:v>
      </x:c>
      <x:c r="O3036" s="66" t="str">
        <x:v>Jawa Timur</x:v>
      </x:c>
      <x:c r="P3036" s="66" t="str">
        <x:v>Kota Surabaya</x:v>
      </x:c>
      <x:c r="Q3036" s="66" t="str">
        <x:v>https://snpmb.id/snbp/daya-tampung-snbp</x:v>
      </x:c>
      <x:c r="R3036" s="66" t="str">
        <x:v>https://sidatagrun-public-1076756628210.asia-southeast2.run.app/ptn_sn.php?ptn=385</x:v>
      </x:c>
    </x:row>
    <x:row r="3037">
      <x:c r="A3037" s="87" t="n">
        <x:v>1304</x:v>
      </x:c>
      <x:c r="B3037" s="66" t="n">
        <x:v>385</x:v>
      </x:c>
      <x:c r="C3037" s="66" t="str">
        <x:v>UPN "VETERAN" JAWA TIMUR</x:v>
      </x:c>
      <x:c r="D3037" s="66" t="str">
        <x:v>PTN Akademik</x:v>
      </x:c>
      <x:c r="E3037" s="66" t="str">
        <x:v>13851005</x:v>
      </x:c>
      <x:c r="F3037" s="66" t="str">
        <x:v>TEKNOLOGI PANGAN</x:v>
      </x:c>
      <x:c r="G3037" s="66" t="str">
        <x:v>Sarjana</x:v>
      </x:c>
      <x:c r="H3037" s="87" t="n">
        <x:v>59</x:v>
      </x:c>
      <x:c r="I3037" s="87" t="n">
        <x:v>617</x:v>
      </x:c>
      <x:c r="J3037" s="68" t="n">
        <x:f>IFERROR(H3037/I3037,"")</x:f>
        <x:v>0.09562398703403566</x:v>
      </x:c>
      <x:c r="K3037" s="69" t="n">
        <x:f>IFERROR(I3037/H3037,"")</x:f>
        <x:v>10.457627118644067</x:v>
      </x:c>
      <x:c r="L3037" s="66" t="str">
        <x:f>IF(K3037="","","1 : "&amp;TEXT(K3037,"0.0"))</x:f>
        <x:v>1 : 10.5</x:v>
      </x:c>
      <x:c r="M3037" s="66" t="str">
        <x:f>IF(J3037="","Baru/Tanpa Data",IF(J3037&lt;='Catatan &amp; Sumber'!$B$14,"Sangat Ketat",IF(J3037&lt;='Catatan &amp; Sumber'!$B$15,"Ketat",IF(J3037&lt;='Catatan &amp; Sumber'!$B$16,"Sedang","Relatif Longgar"))))</x:f>
        <x:v>Sedang</x:v>
      </x:c>
      <x:c r="N3037" s="66" t="str">
        <x:v>Tidak Ada</x:v>
      </x:c>
      <x:c r="O3037" s="66" t="str">
        <x:v>Jawa Timur</x:v>
      </x:c>
      <x:c r="P3037" s="66" t="str">
        <x:v>Kota Surabaya</x:v>
      </x:c>
      <x:c r="Q3037" s="66" t="str">
        <x:v>https://snpmb.id/snbp/daya-tampung-snbp</x:v>
      </x:c>
      <x:c r="R3037" s="66" t="str">
        <x:v>https://sidatagrun-public-1076756628210.asia-southeast2.run.app/ptn_sn.php?ptn=385</x:v>
      </x:c>
    </x:row>
    <x:row r="3038">
      <x:c r="A3038" s="87" t="n">
        <x:v>2225</x:v>
      </x:c>
      <x:c r="B3038" s="66" t="n">
        <x:v>385</x:v>
      </x:c>
      <x:c r="C3038" s="66" t="str">
        <x:v>UPN "VETERAN" JAWA TIMUR</x:v>
      </x:c>
      <x:c r="D3038" s="66" t="str">
        <x:v>PTN Akademik</x:v>
      </x:c>
      <x:c r="E3038" s="66" t="str">
        <x:v>13851006</x:v>
      </x:c>
      <x:c r="F3038" s="66" t="str">
        <x:v>INFORMATIKA</x:v>
      </x:c>
      <x:c r="G3038" s="66" t="str">
        <x:v>Sarjana</x:v>
      </x:c>
      <x:c r="H3038" s="87" t="n">
        <x:v>105</x:v>
      </x:c>
      <x:c r="I3038" s="87" t="n">
        <x:v>598</x:v>
      </x:c>
      <x:c r="J3038" s="68" t="n">
        <x:f>IFERROR(H3038/I3038,"")</x:f>
        <x:v>0.17558528428093645</x:v>
      </x:c>
      <x:c r="K3038" s="69" t="n">
        <x:f>IFERROR(I3038/H3038,"")</x:f>
        <x:v>5.695238095238095</x:v>
      </x:c>
      <x:c r="L3038" s="66" t="str">
        <x:f>IF(K3038="","","1 : "&amp;TEXT(K3038,"0.0"))</x:f>
        <x:v>1 : 5.7</x:v>
      </x:c>
      <x:c r="M3038" s="66" t="str">
        <x:f>IF(J3038="","Baru/Tanpa Data",IF(J3038&lt;='Catatan &amp; Sumber'!$B$14,"Sangat Ketat",IF(J3038&lt;='Catatan &amp; Sumber'!$B$15,"Ketat",IF(J3038&lt;='Catatan &amp; Sumber'!$B$16,"Sedang","Relatif Longgar"))))</x:f>
        <x:v>Relatif Longgar</x:v>
      </x:c>
      <x:c r="N3038" s="66" t="str">
        <x:v>Tidak Ada</x:v>
      </x:c>
      <x:c r="O3038" s="66" t="str">
        <x:v>Jawa Timur</x:v>
      </x:c>
      <x:c r="P3038" s="66" t="str">
        <x:v>Kota Surabaya</x:v>
      </x:c>
      <x:c r="Q3038" s="66" t="str">
        <x:v>https://snpmb.id/snbp/daya-tampung-snbp</x:v>
      </x:c>
      <x:c r="R3038" s="66" t="str">
        <x:v>https://sidatagrun-public-1076756628210.asia-southeast2.run.app/ptn_sn.php?ptn=385</x:v>
      </x:c>
    </x:row>
    <x:row r="3039">
      <x:c r="A3039" s="87" t="n">
        <x:v>1907</x:v>
      </x:c>
      <x:c r="B3039" s="66" t="n">
        <x:v>385</x:v>
      </x:c>
      <x:c r="C3039" s="66" t="str">
        <x:v>UPN "VETERAN" JAWA TIMUR</x:v>
      </x:c>
      <x:c r="D3039" s="66" t="str">
        <x:v>PTN Akademik</x:v>
      </x:c>
      <x:c r="E3039" s="66" t="str">
        <x:v>13851007</x:v>
      </x:c>
      <x:c r="F3039" s="66" t="str">
        <x:v>SISTEM INFORMASI</x:v>
      </x:c>
      <x:c r="G3039" s="66" t="str">
        <x:v>Sarjana</x:v>
      </x:c>
      <x:c r="H3039" s="87" t="n">
        <x:v>90</x:v>
      </x:c>
      <x:c r="I3039" s="87" t="n">
        <x:v>636</x:v>
      </x:c>
      <x:c r="J3039" s="68" t="n">
        <x:f>IFERROR(H3039/I3039,"")</x:f>
        <x:v>0.14150943396226415</x:v>
      </x:c>
      <x:c r="K3039" s="69" t="n">
        <x:f>IFERROR(I3039/H3039,"")</x:f>
        <x:v>7.066666666666666</x:v>
      </x:c>
      <x:c r="L3039" s="66" t="str">
        <x:f>IF(K3039="","","1 : "&amp;TEXT(K3039,"0.0"))</x:f>
        <x:v>1 : 7.1</x:v>
      </x:c>
      <x:c r="M3039" s="66" t="str">
        <x:f>IF(J3039="","Baru/Tanpa Data",IF(J3039&lt;='Catatan &amp; Sumber'!$B$14,"Sangat Ketat",IF(J3039&lt;='Catatan &amp; Sumber'!$B$15,"Ketat",IF(J3039&lt;='Catatan &amp; Sumber'!$B$16,"Sedang","Relatif Longgar"))))</x:f>
        <x:v>Relatif Longgar</x:v>
      </x:c>
      <x:c r="N3039" s="66" t="str">
        <x:v>Tidak Ada</x:v>
      </x:c>
      <x:c r="O3039" s="66" t="str">
        <x:v>Jawa Timur</x:v>
      </x:c>
      <x:c r="P3039" s="66" t="str">
        <x:v>Kota Surabaya</x:v>
      </x:c>
      <x:c r="Q3039" s="66" t="str">
        <x:v>https://snpmb.id/snbp/daya-tampung-snbp</x:v>
      </x:c>
      <x:c r="R3039" s="66" t="str">
        <x:v>https://sidatagrun-public-1076756628210.asia-southeast2.run.app/ptn_sn.php?ptn=385</x:v>
      </x:c>
    </x:row>
    <x:row r="3040">
      <x:c r="A3040" s="87" t="n">
        <x:v>1967</x:v>
      </x:c>
      <x:c r="B3040" s="66" t="n">
        <x:v>385</x:v>
      </x:c>
      <x:c r="C3040" s="66" t="str">
        <x:v>UPN "VETERAN" JAWA TIMUR</x:v>
      </x:c>
      <x:c r="D3040" s="66" t="str">
        <x:v>PTN Akademik</x:v>
      </x:c>
      <x:c r="E3040" s="66" t="str">
        <x:v>13851008</x:v>
      </x:c>
      <x:c r="F3040" s="66" t="str">
        <x:v>ARSITEKTUR</x:v>
      </x:c>
      <x:c r="G3040" s="66" t="str">
        <x:v>Sarjana</x:v>
      </x:c>
      <x:c r="H3040" s="87" t="n">
        <x:v>56</x:v>
      </x:c>
      <x:c r="I3040" s="87" t="n">
        <x:v>378</x:v>
      </x:c>
      <x:c r="J3040" s="68" t="n">
        <x:f>IFERROR(H3040/I3040,"")</x:f>
        <x:v>0.14814814814814814</x:v>
      </x:c>
      <x:c r="K3040" s="69" t="n">
        <x:f>IFERROR(I3040/H3040,"")</x:f>
        <x:v>6.75</x:v>
      </x:c>
      <x:c r="L3040" s="66" t="str">
        <x:f>IF(K3040="","","1 : "&amp;TEXT(K3040,"0.0"))</x:f>
        <x:v>1 : 6.8</x:v>
      </x:c>
      <x:c r="M3040" s="66" t="str">
        <x:f>IF(J3040="","Baru/Tanpa Data",IF(J3040&lt;='Catatan &amp; Sumber'!$B$14,"Sangat Ketat",IF(J3040&lt;='Catatan &amp; Sumber'!$B$15,"Ketat",IF(J3040&lt;='Catatan &amp; Sumber'!$B$16,"Sedang","Relatif Longgar"))))</x:f>
        <x:v>Relatif Longgar</x:v>
      </x:c>
      <x:c r="N3040" s="66" t="str">
        <x:v>Tidak Ada</x:v>
      </x:c>
      <x:c r="O3040" s="66" t="str">
        <x:v>Jawa Timur</x:v>
      </x:c>
      <x:c r="P3040" s="66" t="str">
        <x:v>Kota Surabaya</x:v>
      </x:c>
      <x:c r="Q3040" s="66" t="str">
        <x:v>https://snpmb.id/snbp/daya-tampung-snbp</x:v>
      </x:c>
      <x:c r="R3040" s="66" t="str">
        <x:v>https://sidatagrun-public-1076756628210.asia-southeast2.run.app/ptn_sn.php?ptn=385</x:v>
      </x:c>
    </x:row>
    <x:row r="3041">
      <x:c r="A3041" s="87" t="n">
        <x:v>1318</x:v>
      </x:c>
      <x:c r="B3041" s="66" t="n">
        <x:v>385</x:v>
      </x:c>
      <x:c r="C3041" s="66" t="str">
        <x:v>UPN "VETERAN" JAWA TIMUR</x:v>
      </x:c>
      <x:c r="D3041" s="66" t="str">
        <x:v>PTN Akademik</x:v>
      </x:c>
      <x:c r="E3041" s="66" t="str">
        <x:v>13851009</x:v>
      </x:c>
      <x:c r="F3041" s="66" t="str">
        <x:v>TEKNIK LINGKUNGAN</x:v>
      </x:c>
      <x:c r="G3041" s="66" t="str">
        <x:v>Sarjana</x:v>
      </x:c>
      <x:c r="H3041" s="87" t="n">
        <x:v>60</x:v>
      </x:c>
      <x:c r="I3041" s="87" t="n">
        <x:v>622</x:v>
      </x:c>
      <x:c r="J3041" s="68" t="n">
        <x:f>IFERROR(H3041/I3041,"")</x:f>
        <x:v>0.09646302250803858</x:v>
      </x:c>
      <x:c r="K3041" s="69" t="n">
        <x:f>IFERROR(I3041/H3041,"")</x:f>
        <x:v>10.366666666666667</x:v>
      </x:c>
      <x:c r="L3041" s="66" t="str">
        <x:f>IF(K3041="","","1 : "&amp;TEXT(K3041,"0.0"))</x:f>
        <x:v>1 : 10.4</x:v>
      </x:c>
      <x:c r="M3041" s="66" t="str">
        <x:f>IF(J3041="","Baru/Tanpa Data",IF(J3041&lt;='Catatan &amp; Sumber'!$B$14,"Sangat Ketat",IF(J3041&lt;='Catatan &amp; Sumber'!$B$15,"Ketat",IF(J3041&lt;='Catatan &amp; Sumber'!$B$16,"Sedang","Relatif Longgar"))))</x:f>
        <x:v>Sedang</x:v>
      </x:c>
      <x:c r="N3041" s="66" t="str">
        <x:v>Tidak Ada</x:v>
      </x:c>
      <x:c r="O3041" s="66" t="str">
        <x:v>Jawa Timur</x:v>
      </x:c>
      <x:c r="P3041" s="66" t="str">
        <x:v>Kota Surabaya</x:v>
      </x:c>
      <x:c r="Q3041" s="66" t="str">
        <x:v>https://snpmb.id/snbp/daya-tampung-snbp</x:v>
      </x:c>
      <x:c r="R3041" s="66" t="str">
        <x:v>https://sidatagrun-public-1076756628210.asia-southeast2.run.app/ptn_sn.php?ptn=385</x:v>
      </x:c>
    </x:row>
    <x:row r="3042">
      <x:c r="A3042" s="87" t="n">
        <x:v>1425</x:v>
      </x:c>
      <x:c r="B3042" s="66" t="n">
        <x:v>385</x:v>
      </x:c>
      <x:c r="C3042" s="66" t="str">
        <x:v>UPN "VETERAN" JAWA TIMUR</x:v>
      </x:c>
      <x:c r="D3042" s="66" t="str">
        <x:v>PTN Akademik</x:v>
      </x:c>
      <x:c r="E3042" s="66" t="str">
        <x:v>13851010</x:v>
      </x:c>
      <x:c r="F3042" s="66" t="str">
        <x:v>TEKNIK SIPIL</x:v>
      </x:c>
      <x:c r="G3042" s="66" t="str">
        <x:v>Sarjana</x:v>
      </x:c>
      <x:c r="H3042" s="87" t="n">
        <x:v>60</x:v>
      </x:c>
      <x:c r="I3042" s="87" t="n">
        <x:v>578</x:v>
      </x:c>
      <x:c r="J3042" s="68" t="n">
        <x:f>IFERROR(H3042/I3042,"")</x:f>
        <x:v>0.10380622837370242</x:v>
      </x:c>
      <x:c r="K3042" s="69" t="n">
        <x:f>IFERROR(I3042/H3042,"")</x:f>
        <x:v>9.633333333333333</x:v>
      </x:c>
      <x:c r="L3042" s="66" t="str">
        <x:f>IF(K3042="","","1 : "&amp;TEXT(K3042,"0.0"))</x:f>
        <x:v>1 : 9.6</x:v>
      </x:c>
      <x:c r="M3042" s="66" t="str">
        <x:f>IF(J3042="","Baru/Tanpa Data",IF(J3042&lt;='Catatan &amp; Sumber'!$B$14,"Sangat Ketat",IF(J3042&lt;='Catatan &amp; Sumber'!$B$15,"Ketat",IF(J3042&lt;='Catatan &amp; Sumber'!$B$16,"Sedang","Relatif Longgar"))))</x:f>
        <x:v>Relatif Longgar</x:v>
      </x:c>
      <x:c r="N3042" s="66" t="str">
        <x:v>Tidak Ada</x:v>
      </x:c>
      <x:c r="O3042" s="66" t="str">
        <x:v>Jawa Timur</x:v>
      </x:c>
      <x:c r="P3042" s="66" t="str">
        <x:v>Kota Surabaya</x:v>
      </x:c>
      <x:c r="Q3042" s="66" t="str">
        <x:v>https://snpmb.id/snbp/daya-tampung-snbp</x:v>
      </x:c>
      <x:c r="R3042" s="66" t="str">
        <x:v>https://sidatagrun-public-1076756628210.asia-southeast2.run.app/ptn_sn.php?ptn=385</x:v>
      </x:c>
    </x:row>
    <x:row r="3043">
      <x:c r="A3043" s="87" t="n">
        <x:v>2332</x:v>
      </x:c>
      <x:c r="B3043" s="66" t="n">
        <x:v>385</x:v>
      </x:c>
      <x:c r="C3043" s="66" t="str">
        <x:v>UPN "VETERAN" JAWA TIMUR</x:v>
      </x:c>
      <x:c r="D3043" s="66" t="str">
        <x:v>PTN Akademik</x:v>
      </x:c>
      <x:c r="E3043" s="66" t="str">
        <x:v>13851011</x:v>
      </x:c>
      <x:c r="F3043" s="66" t="str">
        <x:v>DESAIN KOMUNIKASI VISUAL</x:v>
      </x:c>
      <x:c r="G3043" s="66" t="str">
        <x:v>Sarjana</x:v>
      </x:c>
      <x:c r="H3043" s="87" t="n">
        <x:v>56</x:v>
      </x:c>
      <x:c r="I3043" s="87" t="n">
        <x:v>299</x:v>
      </x:c>
      <x:c r="J3043" s="68" t="n">
        <x:f>IFERROR(H3043/I3043,"")</x:f>
        <x:v>0.18729096989966554</x:v>
      </x:c>
      <x:c r="K3043" s="69" t="n">
        <x:f>IFERROR(I3043/H3043,"")</x:f>
        <x:v>5.339285714285714</x:v>
      </x:c>
      <x:c r="L3043" s="66" t="str">
        <x:f>IF(K3043="","","1 : "&amp;TEXT(K3043,"0.0"))</x:f>
        <x:v>1 : 5.3</x:v>
      </x:c>
      <x:c r="M3043" s="66" t="str">
        <x:f>IF(J3043="","Baru/Tanpa Data",IF(J3043&lt;='Catatan &amp; Sumber'!$B$14,"Sangat Ketat",IF(J3043&lt;='Catatan &amp; Sumber'!$B$15,"Ketat",IF(J3043&lt;='Catatan &amp; Sumber'!$B$16,"Sedang","Relatif Longgar"))))</x:f>
        <x:v>Relatif Longgar</x:v>
      </x:c>
      <x:c r="N3043" s="66" t="str">
        <x:v>Seni Rupa, Desain, dan Kriya</x:v>
      </x:c>
      <x:c r="O3043" s="66" t="str">
        <x:v>Jawa Timur</x:v>
      </x:c>
      <x:c r="P3043" s="66" t="str">
        <x:v>Kota Surabaya</x:v>
      </x:c>
      <x:c r="Q3043" s="66" t="str">
        <x:v>https://snpmb.id/snbp/daya-tampung-snbp</x:v>
      </x:c>
      <x:c r="R3043" s="66" t="str">
        <x:v>https://sidatagrun-public-1076756628210.asia-southeast2.run.app/ptn_sn.php?ptn=385</x:v>
      </x:c>
    </x:row>
    <x:row r="3044">
      <x:c r="A3044" s="87" t="n">
        <x:v>1629</x:v>
      </x:c>
      <x:c r="B3044" s="66" t="n">
        <x:v>385</x:v>
      </x:c>
      <x:c r="C3044" s="66" t="str">
        <x:v>UPN "VETERAN" JAWA TIMUR</x:v>
      </x:c>
      <x:c r="D3044" s="66" t="str">
        <x:v>PTN Akademik</x:v>
      </x:c>
      <x:c r="E3044" s="66" t="str">
        <x:v>13851012</x:v>
      </x:c>
      <x:c r="F3044" s="66" t="str">
        <x:v>SAINS DATA</x:v>
      </x:c>
      <x:c r="G3044" s="66" t="str">
        <x:v>Sarjana</x:v>
      </x:c>
      <x:c r="H3044" s="87" t="n">
        <x:v>45</x:v>
      </x:c>
      <x:c r="I3044" s="87" t="n">
        <x:v>378</x:v>
      </x:c>
      <x:c r="J3044" s="68" t="n">
        <x:f>IFERROR(H3044/I3044,"")</x:f>
        <x:v>0.11904761904761904</x:v>
      </x:c>
      <x:c r="K3044" s="69" t="n">
        <x:f>IFERROR(I3044/H3044,"")</x:f>
        <x:v>8.4</x:v>
      </x:c>
      <x:c r="L3044" s="66" t="str">
        <x:f>IF(K3044="","","1 : "&amp;TEXT(K3044,"0.0"))</x:f>
        <x:v>1 : 8.4</x:v>
      </x:c>
      <x:c r="M3044" s="66" t="str">
        <x:f>IF(J3044="","Baru/Tanpa Data",IF(J3044&lt;='Catatan &amp; Sumber'!$B$14,"Sangat Ketat",IF(J3044&lt;='Catatan &amp; Sumber'!$B$15,"Ketat",IF(J3044&lt;='Catatan &amp; Sumber'!$B$16,"Sedang","Relatif Longgar"))))</x:f>
        <x:v>Relatif Longgar</x:v>
      </x:c>
      <x:c r="N3044" s="66" t="str">
        <x:v>Tidak Ada</x:v>
      </x:c>
      <x:c r="O3044" s="66" t="str">
        <x:v>Jawa Timur</x:v>
      </x:c>
      <x:c r="P3044" s="66" t="str">
        <x:v>Kota Surabaya</x:v>
      </x:c>
      <x:c r="Q3044" s="66" t="str">
        <x:v>https://snpmb.id/snbp/daya-tampung-snbp</x:v>
      </x:c>
      <x:c r="R3044" s="66" t="str">
        <x:v>https://sidatagrun-public-1076756628210.asia-southeast2.run.app/ptn_sn.php?ptn=385</x:v>
      </x:c>
    </x:row>
    <x:row r="3045">
      <x:c r="A3045" s="87" t="n">
        <x:v>1512</x:v>
      </x:c>
      <x:c r="B3045" s="66" t="n">
        <x:v>385</x:v>
      </x:c>
      <x:c r="C3045" s="66" t="str">
        <x:v>UPN "VETERAN" JAWA TIMUR</x:v>
      </x:c>
      <x:c r="D3045" s="66" t="str">
        <x:v>PTN Akademik</x:v>
      </x:c>
      <x:c r="E3045" s="66" t="str">
        <x:v>13851013</x:v>
      </x:c>
      <x:c r="F3045" s="66" t="str">
        <x:v>TEKNIK MESIN</x:v>
      </x:c>
      <x:c r="G3045" s="66" t="str">
        <x:v>Sarjana</x:v>
      </x:c>
      <x:c r="H3045" s="87" t="n">
        <x:v>45</x:v>
      </x:c>
      <x:c r="I3045" s="87" t="n">
        <x:v>408</x:v>
      </x:c>
      <x:c r="J3045" s="68" t="n">
        <x:f>IFERROR(H3045/I3045,"")</x:f>
        <x:v>0.11029411764705882</x:v>
      </x:c>
      <x:c r="K3045" s="69" t="n">
        <x:f>IFERROR(I3045/H3045,"")</x:f>
        <x:v>9.066666666666666</x:v>
      </x:c>
      <x:c r="L3045" s="66" t="str">
        <x:f>IF(K3045="","","1 : "&amp;TEXT(K3045,"0.0"))</x:f>
        <x:v>1 : 9.1</x:v>
      </x:c>
      <x:c r="M3045" s="66" t="str">
        <x:f>IF(J3045="","Baru/Tanpa Data",IF(J3045&lt;='Catatan &amp; Sumber'!$B$14,"Sangat Ketat",IF(J3045&lt;='Catatan &amp; Sumber'!$B$15,"Ketat",IF(J3045&lt;='Catatan &amp; Sumber'!$B$16,"Sedang","Relatif Longgar"))))</x:f>
        <x:v>Relatif Longgar</x:v>
      </x:c>
      <x:c r="N3045" s="66" t="str">
        <x:v>Tidak Ada</x:v>
      </x:c>
      <x:c r="O3045" s="66" t="str">
        <x:v>Jawa Timur</x:v>
      </x:c>
      <x:c r="P3045" s="66" t="str">
        <x:v>Kota Surabaya</x:v>
      </x:c>
      <x:c r="Q3045" s="66" t="str">
        <x:v>https://snpmb.id/snbp/daya-tampung-snbp</x:v>
      </x:c>
      <x:c r="R3045" s="66" t="str">
        <x:v>https://sidatagrun-public-1076756628210.asia-southeast2.run.app/ptn_sn.php?ptn=385</x:v>
      </x:c>
    </x:row>
    <x:row r="3046">
      <x:c r="A3046" s="87" t="n">
        <x:v>2074</x:v>
      </x:c>
      <x:c r="B3046" s="66" t="n">
        <x:v>385</x:v>
      </x:c>
      <x:c r="C3046" s="66" t="str">
        <x:v>UPN "VETERAN" JAWA TIMUR</x:v>
      </x:c>
      <x:c r="D3046" s="66" t="str">
        <x:v>PTN Akademik</x:v>
      </x:c>
      <x:c r="E3046" s="66" t="str">
        <x:v>13851014</x:v>
      </x:c>
      <x:c r="F3046" s="66" t="str">
        <x:v>EKONOMI PEMBANGUNAN</x:v>
      </x:c>
      <x:c r="G3046" s="66" t="str">
        <x:v>Sarjana</x:v>
      </x:c>
      <x:c r="H3046" s="87" t="n">
        <x:v>90</x:v>
      </x:c>
      <x:c r="I3046" s="87" t="n">
        <x:v>565</x:v>
      </x:c>
      <x:c r="J3046" s="68" t="n">
        <x:f>IFERROR(H3046/I3046,"")</x:f>
        <x:v>0.1592920353982301</x:v>
      </x:c>
      <x:c r="K3046" s="69" t="n">
        <x:f>IFERROR(I3046/H3046,"")</x:f>
        <x:v>6.277777777777778</x:v>
      </x:c>
      <x:c r="L3046" s="66" t="str">
        <x:f>IF(K3046="","","1 : "&amp;TEXT(K3046,"0.0"))</x:f>
        <x:v>1 : 6.3</x:v>
      </x:c>
      <x:c r="M3046" s="66" t="str">
        <x:f>IF(J3046="","Baru/Tanpa Data",IF(J3046&lt;='Catatan &amp; Sumber'!$B$14,"Sangat Ketat",IF(J3046&lt;='Catatan &amp; Sumber'!$B$15,"Ketat",IF(J3046&lt;='Catatan &amp; Sumber'!$B$16,"Sedang","Relatif Longgar"))))</x:f>
        <x:v>Relatif Longgar</x:v>
      </x:c>
      <x:c r="N3046" s="66" t="str">
        <x:v>Tidak Ada</x:v>
      </x:c>
      <x:c r="O3046" s="66" t="str">
        <x:v>Jawa Timur</x:v>
      </x:c>
      <x:c r="P3046" s="66" t="str">
        <x:v>Kota Surabaya</x:v>
      </x:c>
      <x:c r="Q3046" s="66" t="str">
        <x:v>https://snpmb.id/snbp/daya-tampung-snbp</x:v>
      </x:c>
      <x:c r="R3046" s="66" t="str">
        <x:v>https://sidatagrun-public-1076756628210.asia-southeast2.run.app/ptn_sn.php?ptn=385</x:v>
      </x:c>
    </x:row>
    <x:row r="3047">
      <x:c r="A3047" s="87" t="n">
        <x:v>1694</x:v>
      </x:c>
      <x:c r="B3047" s="66" t="n">
        <x:v>385</x:v>
      </x:c>
      <x:c r="C3047" s="66" t="str">
        <x:v>UPN "VETERAN" JAWA TIMUR</x:v>
      </x:c>
      <x:c r="D3047" s="66" t="str">
        <x:v>PTN Akademik</x:v>
      </x:c>
      <x:c r="E3047" s="66" t="str">
        <x:v>13851015</x:v>
      </x:c>
      <x:c r="F3047" s="66" t="str">
        <x:v>MANAJEMEN</x:v>
      </x:c>
      <x:c r="G3047" s="66" t="str">
        <x:v>Sarjana</x:v>
      </x:c>
      <x:c r="H3047" s="87" t="n">
        <x:v>165</x:v>
      </x:c>
      <x:c r="I3047" s="87" t="n">
        <x:v>1334</x:v>
      </x:c>
      <x:c r="J3047" s="68" t="n">
        <x:f>IFERROR(H3047/I3047,"")</x:f>
        <x:v>0.12368815592203898</x:v>
      </x:c>
      <x:c r="K3047" s="69" t="n">
        <x:f>IFERROR(I3047/H3047,"")</x:f>
        <x:v>8.084848484848484</x:v>
      </x:c>
      <x:c r="L3047" s="66" t="str">
        <x:f>IF(K3047="","","1 : "&amp;TEXT(K3047,"0.0"))</x:f>
        <x:v>1 : 8.1</x:v>
      </x:c>
      <x:c r="M3047" s="66" t="str">
        <x:f>IF(J3047="","Baru/Tanpa Data",IF(J3047&lt;='Catatan &amp; Sumber'!$B$14,"Sangat Ketat",IF(J3047&lt;='Catatan &amp; Sumber'!$B$15,"Ketat",IF(J3047&lt;='Catatan &amp; Sumber'!$B$16,"Sedang","Relatif Longgar"))))</x:f>
        <x:v>Relatif Longgar</x:v>
      </x:c>
      <x:c r="N3047" s="66" t="str">
        <x:v>Tidak Ada</x:v>
      </x:c>
      <x:c r="O3047" s="66" t="str">
        <x:v>Jawa Timur</x:v>
      </x:c>
      <x:c r="P3047" s="66" t="str">
        <x:v>Kota Surabaya</x:v>
      </x:c>
      <x:c r="Q3047" s="66" t="str">
        <x:v>https://snpmb.id/snbp/daya-tampung-snbp</x:v>
      </x:c>
      <x:c r="R3047" s="66" t="str">
        <x:v>https://sidatagrun-public-1076756628210.asia-southeast2.run.app/ptn_sn.php?ptn=385</x:v>
      </x:c>
    </x:row>
    <x:row r="3048">
      <x:c r="A3048" s="87" t="n">
        <x:v>1758</x:v>
      </x:c>
      <x:c r="B3048" s="66" t="n">
        <x:v>385</x:v>
      </x:c>
      <x:c r="C3048" s="66" t="str">
        <x:v>UPN "VETERAN" JAWA TIMUR</x:v>
      </x:c>
      <x:c r="D3048" s="66" t="str">
        <x:v>PTN Akademik</x:v>
      </x:c>
      <x:c r="E3048" s="66" t="str">
        <x:v>13851016</x:v>
      </x:c>
      <x:c r="F3048" s="66" t="str">
        <x:v>AKUNTANSI</x:v>
      </x:c>
      <x:c r="G3048" s="66" t="str">
        <x:v>Sarjana</x:v>
      </x:c>
      <x:c r="H3048" s="87" t="n">
        <x:v>134</x:v>
      </x:c>
      <x:c r="I3048" s="87" t="n">
        <x:v>1036</x:v>
      </x:c>
      <x:c r="J3048" s="68" t="n">
        <x:f>IFERROR(H3048/I3048,"")</x:f>
        <x:v>0.12934362934362933</x:v>
      </x:c>
      <x:c r="K3048" s="69" t="n">
        <x:f>IFERROR(I3048/H3048,"")</x:f>
        <x:v>7.731343283582089</x:v>
      </x:c>
      <x:c r="L3048" s="66" t="str">
        <x:f>IF(K3048="","","1 : "&amp;TEXT(K3048,"0.0"))</x:f>
        <x:v>1 : 7.7</x:v>
      </x:c>
      <x:c r="M3048" s="66" t="str">
        <x:f>IF(J3048="","Baru/Tanpa Data",IF(J3048&lt;='Catatan &amp; Sumber'!$B$14,"Sangat Ketat",IF(J3048&lt;='Catatan &amp; Sumber'!$B$15,"Ketat",IF(J3048&lt;='Catatan &amp; Sumber'!$B$16,"Sedang","Relatif Longgar"))))</x:f>
        <x:v>Relatif Longgar</x:v>
      </x:c>
      <x:c r="N3048" s="66" t="str">
        <x:v>Tidak Ada</x:v>
      </x:c>
      <x:c r="O3048" s="66" t="str">
        <x:v>Jawa Timur</x:v>
      </x:c>
      <x:c r="P3048" s="66" t="str">
        <x:v>Kota Surabaya</x:v>
      </x:c>
      <x:c r="Q3048" s="66" t="str">
        <x:v>https://snpmb.id/snbp/daya-tampung-snbp</x:v>
      </x:c>
      <x:c r="R3048" s="66" t="str">
        <x:v>https://sidatagrun-public-1076756628210.asia-southeast2.run.app/ptn_sn.php?ptn=385</x:v>
      </x:c>
    </x:row>
    <x:row r="3049">
      <x:c r="A3049" s="87" t="n">
        <x:v>1570</x:v>
      </x:c>
      <x:c r="B3049" s="66" t="n">
        <x:v>385</x:v>
      </x:c>
      <x:c r="C3049" s="66" t="str">
        <x:v>UPN "VETERAN" JAWA TIMUR</x:v>
      </x:c>
      <x:c r="D3049" s="66" t="str">
        <x:v>PTN Akademik</x:v>
      </x:c>
      <x:c r="E3049" s="66" t="str">
        <x:v>13851017</x:v>
      </x:c>
      <x:c r="F3049" s="66" t="str">
        <x:v>ADMINISTRASI PUBLIK</x:v>
      </x:c>
      <x:c r="G3049" s="66" t="str">
        <x:v>Sarjana</x:v>
      </x:c>
      <x:c r="H3049" s="87" t="n">
        <x:v>105</x:v>
      </x:c>
      <x:c r="I3049" s="87" t="n">
        <x:v>920</x:v>
      </x:c>
      <x:c r="J3049" s="68" t="n">
        <x:f>IFERROR(H3049/I3049,"")</x:f>
        <x:v>0.11413043478260869</x:v>
      </x:c>
      <x:c r="K3049" s="69" t="n">
        <x:f>IFERROR(I3049/H3049,"")</x:f>
        <x:v>8.761904761904763</x:v>
      </x:c>
      <x:c r="L3049" s="66" t="str">
        <x:f>IF(K3049="","","1 : "&amp;TEXT(K3049,"0.0"))</x:f>
        <x:v>1 : 8.8</x:v>
      </x:c>
      <x:c r="M3049" s="66" t="str">
        <x:f>IF(J3049="","Baru/Tanpa Data",IF(J3049&lt;='Catatan &amp; Sumber'!$B$14,"Sangat Ketat",IF(J3049&lt;='Catatan &amp; Sumber'!$B$15,"Ketat",IF(J3049&lt;='Catatan &amp; Sumber'!$B$16,"Sedang","Relatif Longgar"))))</x:f>
        <x:v>Relatif Longgar</x:v>
      </x:c>
      <x:c r="N3049" s="66" t="str">
        <x:v>Tidak Ada</x:v>
      </x:c>
      <x:c r="O3049" s="66" t="str">
        <x:v>Jawa Timur</x:v>
      </x:c>
      <x:c r="P3049" s="66" t="str">
        <x:v>Kota Surabaya</x:v>
      </x:c>
      <x:c r="Q3049" s="66" t="str">
        <x:v>https://snpmb.id/snbp/daya-tampung-snbp</x:v>
      </x:c>
      <x:c r="R3049" s="66" t="str">
        <x:v>https://sidatagrun-public-1076756628210.asia-southeast2.run.app/ptn_sn.php?ptn=385</x:v>
      </x:c>
    </x:row>
    <x:row r="3050">
      <x:c r="A3050" s="87" t="n">
        <x:v>1231</x:v>
      </x:c>
      <x:c r="B3050" s="66" t="n">
        <x:v>385</x:v>
      </x:c>
      <x:c r="C3050" s="66" t="str">
        <x:v>UPN "VETERAN" JAWA TIMUR</x:v>
      </x:c>
      <x:c r="D3050" s="66" t="str">
        <x:v>PTN Akademik</x:v>
      </x:c>
      <x:c r="E3050" s="66" t="str">
        <x:v>13851018</x:v>
      </x:c>
      <x:c r="F3050" s="66" t="str">
        <x:v>ADMINISTRASI BISNIS</x:v>
      </x:c>
      <x:c r="G3050" s="66" t="str">
        <x:v>Sarjana</x:v>
      </x:c>
      <x:c r="H3050" s="87" t="n">
        <x:v>105</x:v>
      </x:c>
      <x:c r="I3050" s="87" t="n">
        <x:v>1141</x:v>
      </x:c>
      <x:c r="J3050" s="68" t="n">
        <x:f>IFERROR(H3050/I3050,"")</x:f>
        <x:v>0.09202453987730061</x:v>
      </x:c>
      <x:c r="K3050" s="69" t="n">
        <x:f>IFERROR(I3050/H3050,"")</x:f>
        <x:v>10.866666666666667</x:v>
      </x:c>
      <x:c r="L3050" s="66" t="str">
        <x:f>IF(K3050="","","1 : "&amp;TEXT(K3050,"0.0"))</x:f>
        <x:v>1 : 10.9</x:v>
      </x:c>
      <x:c r="M3050" s="66" t="str">
        <x:f>IF(J3050="","Baru/Tanpa Data",IF(J3050&lt;='Catatan &amp; Sumber'!$B$14,"Sangat Ketat",IF(J3050&lt;='Catatan &amp; Sumber'!$B$15,"Ketat",IF(J3050&lt;='Catatan &amp; Sumber'!$B$16,"Sedang","Relatif Longgar"))))</x:f>
        <x:v>Sedang</x:v>
      </x:c>
      <x:c r="N3050" s="66" t="str">
        <x:v>Tidak Ada</x:v>
      </x:c>
      <x:c r="O3050" s="66" t="str">
        <x:v>Jawa Timur</x:v>
      </x:c>
      <x:c r="P3050" s="66" t="str">
        <x:v>Kota Surabaya</x:v>
      </x:c>
      <x:c r="Q3050" s="66" t="str">
        <x:v>https://snpmb.id/snbp/daya-tampung-snbp</x:v>
      </x:c>
      <x:c r="R3050" s="66" t="str">
        <x:v>https://sidatagrun-public-1076756628210.asia-southeast2.run.app/ptn_sn.php?ptn=385</x:v>
      </x:c>
    </x:row>
    <x:row r="3051">
      <x:c r="A3051" s="87" t="n">
        <x:v>1720</x:v>
      </x:c>
      <x:c r="B3051" s="66" t="n">
        <x:v>385</x:v>
      </x:c>
      <x:c r="C3051" s="66" t="str">
        <x:v>UPN "VETERAN" JAWA TIMUR</x:v>
      </x:c>
      <x:c r="D3051" s="66" t="str">
        <x:v>PTN Akademik</x:v>
      </x:c>
      <x:c r="E3051" s="66" t="str">
        <x:v>13851019</x:v>
      </x:c>
      <x:c r="F3051" s="66" t="str">
        <x:v>ILMU KOMUNIKASI</x:v>
      </x:c>
      <x:c r="G3051" s="66" t="str">
        <x:v>Sarjana</x:v>
      </x:c>
      <x:c r="H3051" s="87" t="n">
        <x:v>120</x:v>
      </x:c>
      <x:c r="I3051" s="87" t="n">
        <x:v>954</x:v>
      </x:c>
      <x:c r="J3051" s="68" t="n">
        <x:f>IFERROR(H3051/I3051,"")</x:f>
        <x:v>0.12578616352201258</x:v>
      </x:c>
      <x:c r="K3051" s="69" t="n">
        <x:f>IFERROR(I3051/H3051,"")</x:f>
        <x:v>7.95</x:v>
      </x:c>
      <x:c r="L3051" s="66" t="str">
        <x:f>IF(K3051="","","1 : "&amp;TEXT(K3051,"0.0"))</x:f>
        <x:v>1 : 8.0</x:v>
      </x:c>
      <x:c r="M3051" s="66" t="str">
        <x:f>IF(J3051="","Baru/Tanpa Data",IF(J3051&lt;='Catatan &amp; Sumber'!$B$14,"Sangat Ketat",IF(J3051&lt;='Catatan &amp; Sumber'!$B$15,"Ketat",IF(J3051&lt;='Catatan &amp; Sumber'!$B$16,"Sedang","Relatif Longgar"))))</x:f>
        <x:v>Relatif Longgar</x:v>
      </x:c>
      <x:c r="N3051" s="66" t="str">
        <x:v>Tidak Ada</x:v>
      </x:c>
      <x:c r="O3051" s="66" t="str">
        <x:v>Jawa Timur</x:v>
      </x:c>
      <x:c r="P3051" s="66" t="str">
        <x:v>Kota Surabaya</x:v>
      </x:c>
      <x:c r="Q3051" s="66" t="str">
        <x:v>https://snpmb.id/snbp/daya-tampung-snbp</x:v>
      </x:c>
      <x:c r="R3051" s="66" t="str">
        <x:v>https://sidatagrun-public-1076756628210.asia-southeast2.run.app/ptn_sn.php?ptn=385</x:v>
      </x:c>
    </x:row>
    <x:row r="3052">
      <x:c r="A3052" s="87" t="n">
        <x:v>2192</x:v>
      </x:c>
      <x:c r="B3052" s="66" t="n">
        <x:v>385</x:v>
      </x:c>
      <x:c r="C3052" s="66" t="str">
        <x:v>UPN "VETERAN" JAWA TIMUR</x:v>
      </x:c>
      <x:c r="D3052" s="66" t="str">
        <x:v>PTN Akademik</x:v>
      </x:c>
      <x:c r="E3052" s="66" t="str">
        <x:v>13851020</x:v>
      </x:c>
      <x:c r="F3052" s="66" t="str">
        <x:v>HUBUNGAN INTERNASIONAL</x:v>
      </x:c>
      <x:c r="G3052" s="66" t="str">
        <x:v>Sarjana</x:v>
      </x:c>
      <x:c r="H3052" s="87" t="n">
        <x:v>54</x:v>
      </x:c>
      <x:c r="I3052" s="87" t="n">
        <x:v>317</x:v>
      </x:c>
      <x:c r="J3052" s="68" t="n">
        <x:f>IFERROR(H3052/I3052,"")</x:f>
        <x:v>0.17034700315457413</x:v>
      </x:c>
      <x:c r="K3052" s="69" t="n">
        <x:f>IFERROR(I3052/H3052,"")</x:f>
        <x:v>5.87037037037037</x:v>
      </x:c>
      <x:c r="L3052" s="66" t="str">
        <x:f>IF(K3052="","","1 : "&amp;TEXT(K3052,"0.0"))</x:f>
        <x:v>1 : 5.9</x:v>
      </x:c>
      <x:c r="M3052" s="66" t="str">
        <x:f>IF(J3052="","Baru/Tanpa Data",IF(J3052&lt;='Catatan &amp; Sumber'!$B$14,"Sangat Ketat",IF(J3052&lt;='Catatan &amp; Sumber'!$B$15,"Ketat",IF(J3052&lt;='Catatan &amp; Sumber'!$B$16,"Sedang","Relatif Longgar"))))</x:f>
        <x:v>Relatif Longgar</x:v>
      </x:c>
      <x:c r="N3052" s="66" t="str">
        <x:v>Tidak Ada</x:v>
      </x:c>
      <x:c r="O3052" s="66" t="str">
        <x:v>Jawa Timur</x:v>
      </x:c>
      <x:c r="P3052" s="66" t="str">
        <x:v>Kota Surabaya</x:v>
      </x:c>
      <x:c r="Q3052" s="66" t="str">
        <x:v>https://snpmb.id/snbp/daya-tampung-snbp</x:v>
      </x:c>
      <x:c r="R3052" s="66" t="str">
        <x:v>https://sidatagrun-public-1076756628210.asia-southeast2.run.app/ptn_sn.php?ptn=385</x:v>
      </x:c>
    </x:row>
    <x:row r="3053">
      <x:c r="A3053" s="87" t="n">
        <x:v>2270</x:v>
      </x:c>
      <x:c r="B3053" s="66" t="n">
        <x:v>385</x:v>
      </x:c>
      <x:c r="C3053" s="66" t="str">
        <x:v>UPN "VETERAN" JAWA TIMUR</x:v>
      </x:c>
      <x:c r="D3053" s="66" t="str">
        <x:v>PTN Akademik</x:v>
      </x:c>
      <x:c r="E3053" s="66" t="str">
        <x:v>13851021</x:v>
      </x:c>
      <x:c r="F3053" s="66" t="str">
        <x:v>HUKUM</x:v>
      </x:c>
      <x:c r="G3053" s="66" t="str">
        <x:v>Sarjana</x:v>
      </x:c>
      <x:c r="H3053" s="87" t="n">
        <x:v>119</x:v>
      </x:c>
      <x:c r="I3053" s="87" t="n">
        <x:v>660</x:v>
      </x:c>
      <x:c r="J3053" s="68" t="n">
        <x:f>IFERROR(H3053/I3053,"")</x:f>
        <x:v>0.1803030303030303</x:v>
      </x:c>
      <x:c r="K3053" s="69" t="n">
        <x:f>IFERROR(I3053/H3053,"")</x:f>
        <x:v>5.546218487394958</x:v>
      </x:c>
      <x:c r="L3053" s="66" t="str">
        <x:f>IF(K3053="","","1 : "&amp;TEXT(K3053,"0.0"))</x:f>
        <x:v>1 : 5.5</x:v>
      </x:c>
      <x:c r="M3053" s="66" t="str">
        <x:f>IF(J3053="","Baru/Tanpa Data",IF(J3053&lt;='Catatan &amp; Sumber'!$B$14,"Sangat Ketat",IF(J3053&lt;='Catatan &amp; Sumber'!$B$15,"Ketat",IF(J3053&lt;='Catatan &amp; Sumber'!$B$16,"Sedang","Relatif Longgar"))))</x:f>
        <x:v>Relatif Longgar</x:v>
      </x:c>
      <x:c r="N3053" s="66" t="str">
        <x:v>Tidak Ada</x:v>
      </x:c>
      <x:c r="O3053" s="66" t="str">
        <x:v>Jawa Timur</x:v>
      </x:c>
      <x:c r="P3053" s="66" t="str">
        <x:v>Kota Surabaya</x:v>
      </x:c>
      <x:c r="Q3053" s="66" t="str">
        <x:v>https://snpmb.id/snbp/daya-tampung-snbp</x:v>
      </x:c>
      <x:c r="R3053" s="66" t="str">
        <x:v>https://sidatagrun-public-1076756628210.asia-southeast2.run.app/ptn_sn.php?ptn=385</x:v>
      </x:c>
    </x:row>
    <x:row r="3054">
      <x:c r="A3054" s="87" t="n">
        <x:v>1289</x:v>
      </x:c>
      <x:c r="B3054" s="66" t="n">
        <x:v>385</x:v>
      </x:c>
      <x:c r="C3054" s="66" t="str">
        <x:v>UPN "VETERAN" JAWA TIMUR</x:v>
      </x:c>
      <x:c r="D3054" s="66" t="str">
        <x:v>PTN Akademik</x:v>
      </x:c>
      <x:c r="E3054" s="66" t="str">
        <x:v>13851022</x:v>
      </x:c>
      <x:c r="F3054" s="66" t="str">
        <x:v>PARIWISATA</x:v>
      </x:c>
      <x:c r="G3054" s="66" t="str">
        <x:v>Sarjana</x:v>
      </x:c>
      <x:c r="H3054" s="87" t="n">
        <x:v>45</x:v>
      </x:c>
      <x:c r="I3054" s="87" t="n">
        <x:v>475</x:v>
      </x:c>
      <x:c r="J3054" s="68" t="n">
        <x:f>IFERROR(H3054/I3054,"")</x:f>
        <x:v>0.09473684210526316</x:v>
      </x:c>
      <x:c r="K3054" s="69" t="n">
        <x:f>IFERROR(I3054/H3054,"")</x:f>
        <x:v>10.555555555555555</x:v>
      </x:c>
      <x:c r="L3054" s="66" t="str">
        <x:f>IF(K3054="","","1 : "&amp;TEXT(K3054,"0.0"))</x:f>
        <x:v>1 : 10.6</x:v>
      </x:c>
      <x:c r="M3054" s="66" t="str">
        <x:f>IF(J3054="","Baru/Tanpa Data",IF(J3054&lt;='Catatan &amp; Sumber'!$B$14,"Sangat Ketat",IF(J3054&lt;='Catatan &amp; Sumber'!$B$15,"Ketat",IF(J3054&lt;='Catatan &amp; Sumber'!$B$16,"Sedang","Relatif Longgar"))))</x:f>
        <x:v>Sedang</x:v>
      </x:c>
      <x:c r="N3054" s="66" t="str">
        <x:v>Tidak Ada</x:v>
      </x:c>
      <x:c r="O3054" s="66" t="str">
        <x:v>Jawa Timur</x:v>
      </x:c>
      <x:c r="P3054" s="66" t="str">
        <x:v>Kota Surabaya</x:v>
      </x:c>
      <x:c r="Q3054" s="66" t="str">
        <x:v>https://snpmb.id/snbp/daya-tampung-snbp</x:v>
      </x:c>
      <x:c r="R3054" s="66" t="str">
        <x:v>https://sidatagrun-public-1076756628210.asia-southeast2.run.app/ptn_sn.php?ptn=385</x:v>
      </x:c>
    </x:row>
    <x:row r="3055">
      <x:c r="A3055" s="87" t="n">
        <x:v>1566</x:v>
      </x:c>
      <x:c r="B3055" s="66" t="n">
        <x:v>385</x:v>
      </x:c>
      <x:c r="C3055" s="66" t="str">
        <x:v>UPN "VETERAN" JAWA TIMUR</x:v>
      </x:c>
      <x:c r="D3055" s="66" t="str">
        <x:v>PTN Akademik</x:v>
      </x:c>
      <x:c r="E3055" s="66" t="str">
        <x:v>13851023</x:v>
      </x:c>
      <x:c r="F3055" s="66" t="str">
        <x:v>KEWIRAUSAHAAN</x:v>
      </x:c>
      <x:c r="G3055" s="66" t="str">
        <x:v>Sarjana</x:v>
      </x:c>
      <x:c r="H3055" s="87" t="n">
        <x:v>39</x:v>
      </x:c>
      <x:c r="I3055" s="87" t="n">
        <x:v>342</x:v>
      </x:c>
      <x:c r="J3055" s="68" t="n">
        <x:f>IFERROR(H3055/I3055,"")</x:f>
        <x:v>0.11403508771929824</x:v>
      </x:c>
      <x:c r="K3055" s="69" t="n">
        <x:f>IFERROR(I3055/H3055,"")</x:f>
        <x:v>8.76923076923077</x:v>
      </x:c>
      <x:c r="L3055" s="66" t="str">
        <x:f>IF(K3055="","","1 : "&amp;TEXT(K3055,"0.0"))</x:f>
        <x:v>1 : 8.8</x:v>
      </x:c>
      <x:c r="M3055" s="66" t="str">
        <x:f>IF(J3055="","Baru/Tanpa Data",IF(J3055&lt;='Catatan &amp; Sumber'!$B$14,"Sangat Ketat",IF(J3055&lt;='Catatan &amp; Sumber'!$B$15,"Ketat",IF(J3055&lt;='Catatan &amp; Sumber'!$B$16,"Sedang","Relatif Longgar"))))</x:f>
        <x:v>Relatif Longgar</x:v>
      </x:c>
      <x:c r="N3055" s="66" t="str">
        <x:v>Tidak Ada</x:v>
      </x:c>
      <x:c r="O3055" s="66" t="str">
        <x:v>Jawa Timur</x:v>
      </x:c>
      <x:c r="P3055" s="66" t="str">
        <x:v>Kota Surabaya</x:v>
      </x:c>
      <x:c r="Q3055" s="66" t="str">
        <x:v>https://snpmb.id/snbp/daya-tampung-snbp</x:v>
      </x:c>
      <x:c r="R3055" s="66" t="str">
        <x:v>https://sidatagrun-public-1076756628210.asia-southeast2.run.app/ptn_sn.php?ptn=385</x:v>
      </x:c>
    </x:row>
    <x:row r="3056">
      <x:c r="A3056" s="87" t="n">
        <x:v>3437</x:v>
      </x:c>
      <x:c r="B3056" s="66" t="n">
        <x:v>385</x:v>
      </x:c>
      <x:c r="C3056" s="66" t="str">
        <x:v>UPN "VETERAN" JAWA TIMUR</x:v>
      </x:c>
      <x:c r="D3056" s="66" t="str">
        <x:v>PTN Akademik</x:v>
      </x:c>
      <x:c r="E3056" s="66" t="str">
        <x:v>13851024</x:v>
      </x:c>
      <x:c r="F3056" s="66" t="str">
        <x:v>FISIKA</x:v>
      </x:c>
      <x:c r="G3056" s="66" t="str">
        <x:v>Sarjana</x:v>
      </x:c>
      <x:c r="H3056" s="87" t="n">
        <x:v>24</x:v>
      </x:c>
      <x:c r="I3056" s="87" t="n">
        <x:v>58</x:v>
      </x:c>
      <x:c r="J3056" s="68" t="n">
        <x:f>IFERROR(H3056/I3056,"")</x:f>
        <x:v>0.41379310344827586</x:v>
      </x:c>
      <x:c r="K3056" s="69" t="n">
        <x:f>IFERROR(I3056/H3056,"")</x:f>
        <x:v>2.4166666666666665</x:v>
      </x:c>
      <x:c r="L3056" s="66" t="str">
        <x:f>IF(K3056="","","1 : "&amp;TEXT(K3056,"0.0"))</x:f>
        <x:v>1 : 2.4</x:v>
      </x:c>
      <x:c r="M3056" s="66" t="str">
        <x:f>IF(J3056="","Baru/Tanpa Data",IF(J3056&lt;='Catatan &amp; Sumber'!$B$14,"Sangat Ketat",IF(J3056&lt;='Catatan &amp; Sumber'!$B$15,"Ketat",IF(J3056&lt;='Catatan &amp; Sumber'!$B$16,"Sedang","Relatif Longgar"))))</x:f>
        <x:v>Relatif Longgar</x:v>
      </x:c>
      <x:c r="N3056" s="66" t="str">
        <x:v>Tidak Ada</x:v>
      </x:c>
      <x:c r="O3056" s="66" t="str">
        <x:v>Jawa Timur</x:v>
      </x:c>
      <x:c r="P3056" s="66" t="str">
        <x:v>Kota Surabaya</x:v>
      </x:c>
      <x:c r="Q3056" s="66" t="str">
        <x:v>https://snpmb.id/snbp/daya-tampung-snbp</x:v>
      </x:c>
      <x:c r="R3056" s="66" t="str">
        <x:v>https://sidatagrun-public-1076756628210.asia-southeast2.run.app/ptn_sn.php?ptn=385</x:v>
      </x:c>
    </x:row>
    <x:row r="3057">
      <x:c r="A3057" s="87" t="n">
        <x:v>2723</x:v>
      </x:c>
      <x:c r="B3057" s="66" t="n">
        <x:v>385</x:v>
      </x:c>
      <x:c r="C3057" s="66" t="str">
        <x:v>UPN "VETERAN" JAWA TIMUR</x:v>
      </x:c>
      <x:c r="D3057" s="66" t="str">
        <x:v>PTN Akademik</x:v>
      </x:c>
      <x:c r="E3057" s="66" t="str">
        <x:v>13851025</x:v>
      </x:c>
      <x:c r="F3057" s="66" t="str">
        <x:v>DESAIN INTERIOR</x:v>
      </x:c>
      <x:c r="G3057" s="66" t="str">
        <x:v>Sarjana</x:v>
      </x:c>
      <x:c r="H3057" s="87" t="n">
        <x:v>27</x:v>
      </x:c>
      <x:c r="I3057" s="87" t="n">
        <x:v>109</x:v>
      </x:c>
      <x:c r="J3057" s="68" t="n">
        <x:f>IFERROR(H3057/I3057,"")</x:f>
        <x:v>0.24770642201834864</x:v>
      </x:c>
      <x:c r="K3057" s="69" t="n">
        <x:f>IFERROR(I3057/H3057,"")</x:f>
        <x:v>4.037037037037037</x:v>
      </x:c>
      <x:c r="L3057" s="66" t="str">
        <x:f>IF(K3057="","","1 : "&amp;TEXT(K3057,"0.0"))</x:f>
        <x:v>1 : 4.0</x:v>
      </x:c>
      <x:c r="M3057" s="66" t="str">
        <x:f>IF(J3057="","Baru/Tanpa Data",IF(J3057&lt;='Catatan &amp; Sumber'!$B$14,"Sangat Ketat",IF(J3057&lt;='Catatan &amp; Sumber'!$B$15,"Ketat",IF(J3057&lt;='Catatan &amp; Sumber'!$B$16,"Sedang","Relatif Longgar"))))</x:f>
        <x:v>Relatif Longgar</x:v>
      </x:c>
      <x:c r="N3057" s="66" t="str">
        <x:v>Seni Rupa, Desain, dan Kriya</x:v>
      </x:c>
      <x:c r="O3057" s="66" t="str">
        <x:v>Jawa Timur</x:v>
      </x:c>
      <x:c r="P3057" s="66" t="str">
        <x:v>Kota Surabaya</x:v>
      </x:c>
      <x:c r="Q3057" s="66" t="str">
        <x:v>https://snpmb.id/snbp/daya-tampung-snbp</x:v>
      </x:c>
      <x:c r="R3057" s="66" t="str">
        <x:v>https://sidatagrun-public-1076756628210.asia-southeast2.run.app/ptn_sn.php?ptn=385</x:v>
      </x:c>
    </x:row>
    <x:row r="3058">
      <x:c r="A3058" s="87" t="n">
        <x:v>2401</x:v>
      </x:c>
      <x:c r="B3058" s="66" t="n">
        <x:v>385</x:v>
      </x:c>
      <x:c r="C3058" s="66" t="str">
        <x:v>UPN "VETERAN" JAWA TIMUR</x:v>
      </x:c>
      <x:c r="D3058" s="66" t="str">
        <x:v>PTN Akademik</x:v>
      </x:c>
      <x:c r="E3058" s="66" t="str">
        <x:v>13851026</x:v>
      </x:c>
      <x:c r="F3058" s="66" t="str">
        <x:v>LINGUISTIK INDONESIA</x:v>
      </x:c>
      <x:c r="G3058" s="66" t="str">
        <x:v>Sarjana</x:v>
      </x:c>
      <x:c r="H3058" s="87" t="n">
        <x:v>18</x:v>
      </x:c>
      <x:c r="I3058" s="87" t="n">
        <x:v>92</x:v>
      </x:c>
      <x:c r="J3058" s="68" t="n">
        <x:f>IFERROR(H3058/I3058,"")</x:f>
        <x:v>0.1956521739130435</x:v>
      </x:c>
      <x:c r="K3058" s="69" t="n">
        <x:f>IFERROR(I3058/H3058,"")</x:f>
        <x:v>5.111111111111111</x:v>
      </x:c>
      <x:c r="L3058" s="66" t="str">
        <x:f>IF(K3058="","","1 : "&amp;TEXT(K3058,"0.0"))</x:f>
        <x:v>1 : 5.1</x:v>
      </x:c>
      <x:c r="M3058" s="66" t="str">
        <x:f>IF(J3058="","Baru/Tanpa Data",IF(J3058&lt;='Catatan &amp; Sumber'!$B$14,"Sangat Ketat",IF(J3058&lt;='Catatan &amp; Sumber'!$B$15,"Ketat",IF(J3058&lt;='Catatan &amp; Sumber'!$B$16,"Sedang","Relatif Longgar"))))</x:f>
        <x:v>Relatif Longgar</x:v>
      </x:c>
      <x:c r="N3058" s="66" t="str">
        <x:v>Tidak Ada</x:v>
      </x:c>
      <x:c r="O3058" s="66" t="str">
        <x:v>Jawa Timur</x:v>
      </x:c>
      <x:c r="P3058" s="66" t="str">
        <x:v>Kota Surabaya</x:v>
      </x:c>
      <x:c r="Q3058" s="66" t="str">
        <x:v>https://snpmb.id/snbp/daya-tampung-snbp</x:v>
      </x:c>
      <x:c r="R3058" s="66" t="str">
        <x:v>https://sidatagrun-public-1076756628210.asia-southeast2.run.app/ptn_sn.php?ptn=385</x:v>
      </x:c>
    </x:row>
    <x:row r="3059">
      <x:c r="A3059" s="87" t="n">
        <x:v>537</x:v>
      </x:c>
      <x:c r="B3059" s="66" t="n">
        <x:v>385</x:v>
      </x:c>
      <x:c r="C3059" s="66" t="str">
        <x:v>UPN "VETERAN" JAWA TIMUR</x:v>
      </x:c>
      <x:c r="D3059" s="66" t="str">
        <x:v>PTN Akademik</x:v>
      </x:c>
      <x:c r="E3059" s="66" t="str">
        <x:v>13851027</x:v>
      </x:c>
      <x:c r="F3059" s="66" t="str">
        <x:v>BISNIS DIGITAL</x:v>
      </x:c>
      <x:c r="G3059" s="66" t="str">
        <x:v>Sarjana</x:v>
      </x:c>
      <x:c r="H3059" s="87" t="n">
        <x:v>24</x:v>
      </x:c>
      <x:c r="I3059" s="87" t="n">
        <x:v>447</x:v>
      </x:c>
      <x:c r="J3059" s="68" t="n">
        <x:f>IFERROR(H3059/I3059,"")</x:f>
        <x:v>0.053691275167785234</x:v>
      </x:c>
      <x:c r="K3059" s="69" t="n">
        <x:f>IFERROR(I3059/H3059,"")</x:f>
        <x:v>18.625</x:v>
      </x:c>
      <x:c r="L3059" s="66" t="str">
        <x:f>IF(K3059="","","1 : "&amp;TEXT(K3059,"0.0"))</x:f>
        <x:v>1 : 18.6</x:v>
      </x:c>
      <x:c r="M3059" s="66" t="str">
        <x:f>IF(J3059="","Baru/Tanpa Data",IF(J3059&lt;='Catatan &amp; Sumber'!$B$14,"Sangat Ketat",IF(J3059&lt;='Catatan &amp; Sumber'!$B$15,"Ketat",IF(J3059&lt;='Catatan &amp; Sumber'!$B$16,"Sedang","Relatif Longgar"))))</x:f>
        <x:v>Sedang</x:v>
      </x:c>
      <x:c r="N3059" s="66" t="str">
        <x:v>Tidak Ada</x:v>
      </x:c>
      <x:c r="O3059" s="66" t="str">
        <x:v>Jawa Timur</x:v>
      </x:c>
      <x:c r="P3059" s="66" t="str">
        <x:v>Kota Surabaya</x:v>
      </x:c>
      <x:c r="Q3059" s="66" t="str">
        <x:v>https://snpmb.id/snbp/daya-tampung-snbp</x:v>
      </x:c>
      <x:c r="R3059" s="66" t="str">
        <x:v>https://sidatagrun-public-1076756628210.asia-southeast2.run.app/ptn_sn.php?ptn=385</x:v>
      </x:c>
    </x:row>
    <x:row r="3060">
      <x:c r="A3060" s="87" t="n">
        <x:v>958</x:v>
      </x:c>
      <x:c r="B3060" s="66" t="n">
        <x:v>385</x:v>
      </x:c>
      <x:c r="C3060" s="66" t="str">
        <x:v>UPN "VETERAN" JAWA TIMUR</x:v>
      </x:c>
      <x:c r="D3060" s="66" t="str">
        <x:v>PTN Akademik</x:v>
      </x:c>
      <x:c r="E3060" s="66" t="str">
        <x:v>13851029</x:v>
      </x:c>
      <x:c r="F3060" s="66" t="str">
        <x:v>KEDOKTERAN</x:v>
      </x:c>
      <x:c r="G3060" s="66" t="str">
        <x:v>Sarjana</x:v>
      </x:c>
      <x:c r="H3060" s="87" t="n">
        <x:v>30</x:v>
      </x:c>
      <x:c r="I3060" s="87" t="n">
        <x:v>396</x:v>
      </x:c>
      <x:c r="J3060" s="68" t="n">
        <x:f>IFERROR(H3060/I3060,"")</x:f>
        <x:v>0.07575757575757576</x:v>
      </x:c>
      <x:c r="K3060" s="69" t="n">
        <x:f>IFERROR(I3060/H3060,"")</x:f>
        <x:v>13.2</x:v>
      </x:c>
      <x:c r="L3060" s="66" t="str">
        <x:f>IF(K3060="","","1 : "&amp;TEXT(K3060,"0.0"))</x:f>
        <x:v>1 : 13.2</x:v>
      </x:c>
      <x:c r="M3060" s="66" t="str">
        <x:f>IF(J3060="","Baru/Tanpa Data",IF(J3060&lt;='Catatan &amp; Sumber'!$B$14,"Sangat Ketat",IF(J3060&lt;='Catatan &amp; Sumber'!$B$15,"Ketat",IF(J3060&lt;='Catatan &amp; Sumber'!$B$16,"Sedang","Relatif Longgar"))))</x:f>
        <x:v>Sedang</x:v>
      </x:c>
      <x:c r="N3060" s="66" t="str">
        <x:v>Tidak Ada</x:v>
      </x:c>
      <x:c r="O3060" s="66" t="str">
        <x:v>Jawa Timur</x:v>
      </x:c>
      <x:c r="P3060" s="66" t="str">
        <x:v>Kota Surabaya</x:v>
      </x:c>
      <x:c r="Q3060" s="66" t="str">
        <x:v>https://snpmb.id/snbp/daya-tampung-snbp</x:v>
      </x:c>
      <x:c r="R3060" s="66" t="str">
        <x:v>https://sidatagrun-public-1076756628210.asia-southeast2.run.app/ptn_sn.php?ptn=385</x:v>
      </x:c>
    </x:row>
    <x:row r="3061">
      <x:c r="A3061" s="87" t="n">
        <x:v>1774</x:v>
      </x:c>
      <x:c r="B3061" s="66" t="n">
        <x:v>385</x:v>
      </x:c>
      <x:c r="C3061" s="66" t="str">
        <x:v>UPN "VETERAN" JAWA TIMUR</x:v>
      </x:c>
      <x:c r="D3061" s="66" t="str">
        <x:v>PTN Akademik</x:v>
      </x:c>
      <x:c r="E3061" s="66" t="str">
        <x:v>13852028</x:v>
      </x:c>
      <x:c r="F3061" s="66" t="str">
        <x:v>BAHASA INGGRIS UNTUK KOMUNIKASI BISNIS DAN PROFESIONAL</x:v>
      </x:c>
      <x:c r="G3061" s="66" t="str">
        <x:v>Sarjana Terapan</x:v>
      </x:c>
      <x:c r="H3061" s="87" t="n">
        <x:v>18</x:v>
      </x:c>
      <x:c r="I3061" s="87" t="n">
        <x:v>138</x:v>
      </x:c>
      <x:c r="J3061" s="68" t="n">
        <x:f>IFERROR(H3061/I3061,"")</x:f>
        <x:v>0.13043478260869565</x:v>
      </x:c>
      <x:c r="K3061" s="69" t="n">
        <x:f>IFERROR(I3061/H3061,"")</x:f>
        <x:v>7.666666666666667</x:v>
      </x:c>
      <x:c r="L3061" s="66" t="str">
        <x:f>IF(K3061="","","1 : "&amp;TEXT(K3061,"0.0"))</x:f>
        <x:v>1 : 7.7</x:v>
      </x:c>
      <x:c r="M3061" s="66" t="str">
        <x:f>IF(J3061="","Baru/Tanpa Data",IF(J3061&lt;='Catatan &amp; Sumber'!$B$14,"Sangat Ketat",IF(J3061&lt;='Catatan &amp; Sumber'!$B$15,"Ketat",IF(J3061&lt;='Catatan &amp; Sumber'!$B$16,"Sedang","Relatif Longgar"))))</x:f>
        <x:v>Relatif Longgar</x:v>
      </x:c>
      <x:c r="N3061" s="66" t="str">
        <x:v>Tidak Ada</x:v>
      </x:c>
      <x:c r="O3061" s="66" t="str">
        <x:v>Jawa Timur</x:v>
      </x:c>
      <x:c r="P3061" s="66" t="str">
        <x:v>Kota Surabaya</x:v>
      </x:c>
      <x:c r="Q3061" s="66" t="str">
        <x:v>https://snpmb.id/snbp/daya-tampung-snbp</x:v>
      </x:c>
      <x:c r="R3061" s="66" t="str">
        <x:v>https://sidatagrun-public-1076756628210.asia-southeast2.run.app/ptn_sn.php?ptn=385</x:v>
      </x:c>
    </x:row>
    <x:row r="3062">
      <x:c r="A3062" s="87" t="n">
        <x:v>3674</x:v>
      </x:c>
      <x:c r="B3062" s="66" t="n">
        <x:v>386</x:v>
      </x:c>
      <x:c r="C3062" s="66" t="str">
        <x:v>UIN SUNAN AMPEL SURABAYA</x:v>
      </x:c>
      <x:c r="D3062" s="66" t="str">
        <x:v>PTKIN</x:v>
      </x:c>
      <x:c r="E3062" s="66" t="str">
        <x:v>13861001</x:v>
      </x:c>
      <x:c r="F3062" s="66" t="str">
        <x:v>PENDIDIKAN MATEMATIKA</x:v>
      </x:c>
      <x:c r="G3062" s="66" t="str">
        <x:v>Sarjana</x:v>
      </x:c>
      <x:c r="H3062" s="87" t="n">
        <x:v>52</x:v>
      </x:c>
      <x:c r="I3062" s="87" t="n">
        <x:v>103</x:v>
      </x:c>
      <x:c r="J3062" s="68" t="n">
        <x:f>IFERROR(H3062/I3062,"")</x:f>
        <x:v>0.5048543689320388</x:v>
      </x:c>
      <x:c r="K3062" s="69" t="n">
        <x:f>IFERROR(I3062/H3062,"")</x:f>
        <x:v>1.9807692307692308</x:v>
      </x:c>
      <x:c r="L3062" s="66" t="str">
        <x:f>IF(K3062="","","1 : "&amp;TEXT(K3062,"0.0"))</x:f>
        <x:v>1 : 2.0</x:v>
      </x:c>
      <x:c r="M3062" s="66" t="str">
        <x:f>IF(J3062="","Baru/Tanpa Data",IF(J3062&lt;='Catatan &amp; Sumber'!$B$14,"Sangat Ketat",IF(J3062&lt;='Catatan &amp; Sumber'!$B$15,"Ketat",IF(J3062&lt;='Catatan &amp; Sumber'!$B$16,"Sedang","Relatif Longgar"))))</x:f>
        <x:v>Relatif Longgar</x:v>
      </x:c>
      <x:c r="N3062" s="66" t="str">
        <x:v>Tidak Ada</x:v>
      </x:c>
      <x:c r="O3062" s="66" t="str">
        <x:v>Jawa Timur</x:v>
      </x:c>
      <x:c r="P3062" s="66" t="str">
        <x:v>Kota Surabaya</x:v>
      </x:c>
      <x:c r="Q3062" s="66" t="str">
        <x:v>https://snpmb.id/snbp/daya-tampung-snbp</x:v>
      </x:c>
      <x:c r="R3062" s="66" t="str">
        <x:v>https://sidatagrun-public-1076756628210.asia-southeast2.run.app/ptn_sn.php?ptn=386</x:v>
      </x:c>
    </x:row>
    <x:row r="3063">
      <x:c r="A3063" s="87" t="n">
        <x:v>3095</x:v>
      </x:c>
      <x:c r="B3063" s="66" t="n">
        <x:v>386</x:v>
      </x:c>
      <x:c r="C3063" s="66" t="str">
        <x:v>UIN SUNAN AMPEL SURABAYA</x:v>
      </x:c>
      <x:c r="D3063" s="66" t="str">
        <x:v>PTKIN</x:v>
      </x:c>
      <x:c r="E3063" s="66" t="str">
        <x:v>13861002</x:v>
      </x:c>
      <x:c r="F3063" s="66" t="str">
        <x:v>TEKNIK LINGKUNGAN</x:v>
      </x:c>
      <x:c r="G3063" s="66" t="str">
        <x:v>Sarjana</x:v>
      </x:c>
      <x:c r="H3063" s="87" t="n">
        <x:v>39</x:v>
      </x:c>
      <x:c r="I3063" s="87" t="n">
        <x:v>124</x:v>
      </x:c>
      <x:c r="J3063" s="68" t="n">
        <x:f>IFERROR(H3063/I3063,"")</x:f>
        <x:v>0.31451612903225806</x:v>
      </x:c>
      <x:c r="K3063" s="69" t="n">
        <x:f>IFERROR(I3063/H3063,"")</x:f>
        <x:v>3.1794871794871793</x:v>
      </x:c>
      <x:c r="L3063" s="66" t="str">
        <x:f>IF(K3063="","","1 : "&amp;TEXT(K3063,"0.0"))</x:f>
        <x:v>1 : 3.2</x:v>
      </x:c>
      <x:c r="M3063" s="66" t="str">
        <x:f>IF(J3063="","Baru/Tanpa Data",IF(J3063&lt;='Catatan &amp; Sumber'!$B$14,"Sangat Ketat",IF(J3063&lt;='Catatan &amp; Sumber'!$B$15,"Ketat",IF(J3063&lt;='Catatan &amp; Sumber'!$B$16,"Sedang","Relatif Longgar"))))</x:f>
        <x:v>Relatif Longgar</x:v>
      </x:c>
      <x:c r="N3063" s="66" t="str">
        <x:v>Tidak Ada</x:v>
      </x:c>
      <x:c r="O3063" s="66" t="str">
        <x:v>Jawa Timur</x:v>
      </x:c>
      <x:c r="P3063" s="66" t="str">
        <x:v>Kota Surabaya</x:v>
      </x:c>
      <x:c r="Q3063" s="66" t="str">
        <x:v>https://snpmb.id/snbp/daya-tampung-snbp</x:v>
      </x:c>
      <x:c r="R3063" s="66" t="str">
        <x:v>https://sidatagrun-public-1076756628210.asia-southeast2.run.app/ptn_sn.php?ptn=386</x:v>
      </x:c>
    </x:row>
    <x:row r="3064">
      <x:c r="A3064" s="87" t="n">
        <x:v>3871</x:v>
      </x:c>
      <x:c r="B3064" s="66" t="n">
        <x:v>386</x:v>
      </x:c>
      <x:c r="C3064" s="66" t="str">
        <x:v>UIN SUNAN AMPEL SURABAYA</x:v>
      </x:c>
      <x:c r="D3064" s="66" t="str">
        <x:v>PTKIN</x:v>
      </x:c>
      <x:c r="E3064" s="66" t="str">
        <x:v>13861003</x:v>
      </x:c>
      <x:c r="F3064" s="66" t="str">
        <x:v>ARSITEKTUR</x:v>
      </x:c>
      <x:c r="G3064" s="66" t="str">
        <x:v>Sarjana</x:v>
      </x:c>
      <x:c r="H3064" s="87" t="n">
        <x:v>39</x:v>
      </x:c>
      <x:c r="I3064" s="87" t="n">
        <x:v>64</x:v>
      </x:c>
      <x:c r="J3064" s="68" t="n">
        <x:f>IFERROR(H3064/I3064,"")</x:f>
        <x:v>0.609375</x:v>
      </x:c>
      <x:c r="K3064" s="69" t="n">
        <x:f>IFERROR(I3064/H3064,"")</x:f>
        <x:v>1.641025641025641</x:v>
      </x:c>
      <x:c r="L3064" s="66" t="str">
        <x:f>IF(K3064="","","1 : "&amp;TEXT(K3064,"0.0"))</x:f>
        <x:v>1 : 1.6</x:v>
      </x:c>
      <x:c r="M3064" s="66" t="str">
        <x:f>IF(J3064="","Baru/Tanpa Data",IF(J3064&lt;='Catatan &amp; Sumber'!$B$14,"Sangat Ketat",IF(J3064&lt;='Catatan &amp; Sumber'!$B$15,"Ketat",IF(J3064&lt;='Catatan &amp; Sumber'!$B$16,"Sedang","Relatif Longgar"))))</x:f>
        <x:v>Relatif Longgar</x:v>
      </x:c>
      <x:c r="N3064" s="66" t="str">
        <x:v>Tidak Ada</x:v>
      </x:c>
      <x:c r="O3064" s="66" t="str">
        <x:v>Jawa Timur</x:v>
      </x:c>
      <x:c r="P3064" s="66" t="str">
        <x:v>Kota Surabaya</x:v>
      </x:c>
      <x:c r="Q3064" s="66" t="str">
        <x:v>https://snpmb.id/snbp/daya-tampung-snbp</x:v>
      </x:c>
      <x:c r="R3064" s="66" t="str">
        <x:v>https://sidatagrun-public-1076756628210.asia-southeast2.run.app/ptn_sn.php?ptn=386</x:v>
      </x:c>
    </x:row>
    <x:row r="3065">
      <x:c r="A3065" s="87" t="n">
        <x:v>2728</x:v>
      </x:c>
      <x:c r="B3065" s="66" t="n">
        <x:v>386</x:v>
      </x:c>
      <x:c r="C3065" s="66" t="str">
        <x:v>UIN SUNAN AMPEL SURABAYA</x:v>
      </x:c>
      <x:c r="D3065" s="66" t="str">
        <x:v>PTKIN</x:v>
      </x:c>
      <x:c r="E3065" s="66" t="str">
        <x:v>13861004</x:v>
      </x:c>
      <x:c r="F3065" s="66" t="str">
        <x:v>SISTEM INFORMASI</x:v>
      </x:c>
      <x:c r="G3065" s="66" t="str">
        <x:v>Sarjana</x:v>
      </x:c>
      <x:c r="H3065" s="87" t="n">
        <x:v>39</x:v>
      </x:c>
      <x:c r="I3065" s="87" t="n">
        <x:v>157</x:v>
      </x:c>
      <x:c r="J3065" s="68" t="n">
        <x:f>IFERROR(H3065/I3065,"")</x:f>
        <x:v>0.2484076433121019</x:v>
      </x:c>
      <x:c r="K3065" s="69" t="n">
        <x:f>IFERROR(I3065/H3065,"")</x:f>
        <x:v>4.0256410256410255</x:v>
      </x:c>
      <x:c r="L3065" s="66" t="str">
        <x:f>IF(K3065="","","1 : "&amp;TEXT(K3065,"0.0"))</x:f>
        <x:v>1 : 4.0</x:v>
      </x:c>
      <x:c r="M3065" s="66" t="str">
        <x:f>IF(J3065="","Baru/Tanpa Data",IF(J3065&lt;='Catatan &amp; Sumber'!$B$14,"Sangat Ketat",IF(J3065&lt;='Catatan &amp; Sumber'!$B$15,"Ketat",IF(J3065&lt;='Catatan &amp; Sumber'!$B$16,"Sedang","Relatif Longgar"))))</x:f>
        <x:v>Relatif Longgar</x:v>
      </x:c>
      <x:c r="N3065" s="66" t="str">
        <x:v>Tidak Ada</x:v>
      </x:c>
      <x:c r="O3065" s="66" t="str">
        <x:v>Jawa Timur</x:v>
      </x:c>
      <x:c r="P3065" s="66" t="str">
        <x:v>Kota Surabaya</x:v>
      </x:c>
      <x:c r="Q3065" s="66" t="str">
        <x:v>https://snpmb.id/snbp/daya-tampung-snbp</x:v>
      </x:c>
      <x:c r="R3065" s="66" t="str">
        <x:v>https://sidatagrun-public-1076756628210.asia-southeast2.run.app/ptn_sn.php?ptn=386</x:v>
      </x:c>
    </x:row>
    <x:row r="3066">
      <x:c r="A3066" s="87" t="n">
        <x:v>4035</x:v>
      </x:c>
      <x:c r="B3066" s="66" t="n">
        <x:v>386</x:v>
      </x:c>
      <x:c r="C3066" s="66" t="str">
        <x:v>UIN SUNAN AMPEL SURABAYA</x:v>
      </x:c>
      <x:c r="D3066" s="66" t="str">
        <x:v>PTKIN</x:v>
      </x:c>
      <x:c r="E3066" s="66" t="str">
        <x:v>13861005</x:v>
      </x:c>
      <x:c r="F3066" s="66" t="str">
        <x:v>ILMU KELAUTAN</x:v>
      </x:c>
      <x:c r="G3066" s="66" t="str">
        <x:v>Sarjana</x:v>
      </x:c>
      <x:c r="H3066" s="87" t="n">
        <x:v>39</x:v>
      </x:c>
      <x:c r="I3066" s="87" t="n">
        <x:v>55</x:v>
      </x:c>
      <x:c r="J3066" s="68" t="n">
        <x:f>IFERROR(H3066/I3066,"")</x:f>
        <x:v>0.7090909090909091</x:v>
      </x:c>
      <x:c r="K3066" s="69" t="n">
        <x:f>IFERROR(I3066/H3066,"")</x:f>
        <x:v>1.4102564102564104</x:v>
      </x:c>
      <x:c r="L3066" s="66" t="str">
        <x:f>IF(K3066="","","1 : "&amp;TEXT(K3066,"0.0"))</x:f>
        <x:v>1 : 1.4</x:v>
      </x:c>
      <x:c r="M3066" s="66" t="str">
        <x:f>IF(J3066="","Baru/Tanpa Data",IF(J3066&lt;='Catatan &amp; Sumber'!$B$14,"Sangat Ketat",IF(J3066&lt;='Catatan &amp; Sumber'!$B$15,"Ketat",IF(J3066&lt;='Catatan &amp; Sumber'!$B$16,"Sedang","Relatif Longgar"))))</x:f>
        <x:v>Relatif Longgar</x:v>
      </x:c>
      <x:c r="N3066" s="66" t="str">
        <x:v>Tidak Ada</x:v>
      </x:c>
      <x:c r="O3066" s="66" t="str">
        <x:v>Jawa Timur</x:v>
      </x:c>
      <x:c r="P3066" s="66" t="str">
        <x:v>Kota Surabaya</x:v>
      </x:c>
      <x:c r="Q3066" s="66" t="str">
        <x:v>https://snpmb.id/snbp/daya-tampung-snbp</x:v>
      </x:c>
      <x:c r="R3066" s="66" t="str">
        <x:v>https://sidatagrun-public-1076756628210.asia-southeast2.run.app/ptn_sn.php?ptn=386</x:v>
      </x:c>
    </x:row>
    <x:row r="3067">
      <x:c r="A3067" s="87" t="n">
        <x:v>3236</x:v>
      </x:c>
      <x:c r="B3067" s="66" t="n">
        <x:v>386</x:v>
      </x:c>
      <x:c r="C3067" s="66" t="str">
        <x:v>UIN SUNAN AMPEL SURABAYA</x:v>
      </x:c>
      <x:c r="D3067" s="66" t="str">
        <x:v>PTKIN</x:v>
      </x:c>
      <x:c r="E3067" s="66" t="str">
        <x:v>13861006</x:v>
      </x:c>
      <x:c r="F3067" s="66" t="str">
        <x:v>BIOLOGI</x:v>
      </x:c>
      <x:c r="G3067" s="66" t="str">
        <x:v>Sarjana</x:v>
      </x:c>
      <x:c r="H3067" s="87" t="n">
        <x:v>39</x:v>
      </x:c>
      <x:c r="I3067" s="87" t="n">
        <x:v>111</x:v>
      </x:c>
      <x:c r="J3067" s="68" t="n">
        <x:f>IFERROR(H3067/I3067,"")</x:f>
        <x:v>0.35135135135135137</x:v>
      </x:c>
      <x:c r="K3067" s="69" t="n">
        <x:f>IFERROR(I3067/H3067,"")</x:f>
        <x:v>2.8461538461538463</x:v>
      </x:c>
      <x:c r="L3067" s="66" t="str">
        <x:f>IF(K3067="","","1 : "&amp;TEXT(K3067,"0.0"))</x:f>
        <x:v>1 : 2.8</x:v>
      </x:c>
      <x:c r="M3067" s="66" t="str">
        <x:f>IF(J3067="","Baru/Tanpa Data",IF(J3067&lt;='Catatan &amp; Sumber'!$B$14,"Sangat Ketat",IF(J3067&lt;='Catatan &amp; Sumber'!$B$15,"Ketat",IF(J3067&lt;='Catatan &amp; Sumber'!$B$16,"Sedang","Relatif Longgar"))))</x:f>
        <x:v>Relatif Longgar</x:v>
      </x:c>
      <x:c r="N3067" s="66" t="str">
        <x:v>Tidak Ada</x:v>
      </x:c>
      <x:c r="O3067" s="66" t="str">
        <x:v>Jawa Timur</x:v>
      </x:c>
      <x:c r="P3067" s="66" t="str">
        <x:v>Kota Surabaya</x:v>
      </x:c>
      <x:c r="Q3067" s="66" t="str">
        <x:v>https://snpmb.id/snbp/daya-tampung-snbp</x:v>
      </x:c>
      <x:c r="R3067" s="66" t="str">
        <x:v>https://sidatagrun-public-1076756628210.asia-southeast2.run.app/ptn_sn.php?ptn=386</x:v>
      </x:c>
    </x:row>
    <x:row r="3068">
      <x:c r="A3068" s="87" t="n">
        <x:v>4060</x:v>
      </x:c>
      <x:c r="B3068" s="66" t="n">
        <x:v>386</x:v>
      </x:c>
      <x:c r="C3068" s="66" t="str">
        <x:v>UIN SUNAN AMPEL SURABAYA</x:v>
      </x:c>
      <x:c r="D3068" s="66" t="str">
        <x:v>PTKIN</x:v>
      </x:c>
      <x:c r="E3068" s="66" t="str">
        <x:v>13861007</x:v>
      </x:c>
      <x:c r="F3068" s="66" t="str">
        <x:v>MATEMATIKA</x:v>
      </x:c>
      <x:c r="G3068" s="66" t="str">
        <x:v>Sarjana</x:v>
      </x:c>
      <x:c r="H3068" s="87" t="n">
        <x:v>42</x:v>
      </x:c>
      <x:c r="I3068" s="87" t="n">
        <x:v>58</x:v>
      </x:c>
      <x:c r="J3068" s="68" t="n">
        <x:f>IFERROR(H3068/I3068,"")</x:f>
        <x:v>0.7241379310344828</x:v>
      </x:c>
      <x:c r="K3068" s="69" t="n">
        <x:f>IFERROR(I3068/H3068,"")</x:f>
        <x:v>1.380952380952381</x:v>
      </x:c>
      <x:c r="L3068" s="66" t="str">
        <x:f>IF(K3068="","","1 : "&amp;TEXT(K3068,"0.0"))</x:f>
        <x:v>1 : 1.4</x:v>
      </x:c>
      <x:c r="M3068" s="66" t="str">
        <x:f>IF(J3068="","Baru/Tanpa Data",IF(J3068&lt;='Catatan &amp; Sumber'!$B$14,"Sangat Ketat",IF(J3068&lt;='Catatan &amp; Sumber'!$B$15,"Ketat",IF(J3068&lt;='Catatan &amp; Sumber'!$B$16,"Sedang","Relatif Longgar"))))</x:f>
        <x:v>Relatif Longgar</x:v>
      </x:c>
      <x:c r="N3068" s="66" t="str">
        <x:v>Tidak Ada</x:v>
      </x:c>
      <x:c r="O3068" s="66" t="str">
        <x:v>Jawa Timur</x:v>
      </x:c>
      <x:c r="P3068" s="66" t="str">
        <x:v>Kota Surabaya</x:v>
      </x:c>
      <x:c r="Q3068" s="66" t="str">
        <x:v>https://snpmb.id/snbp/daya-tampung-snbp</x:v>
      </x:c>
      <x:c r="R3068" s="66" t="str">
        <x:v>https://sidatagrun-public-1076756628210.asia-southeast2.run.app/ptn_sn.php?ptn=386</x:v>
      </x:c>
    </x:row>
    <x:row r="3069">
      <x:c r="A3069" s="87" t="n">
        <x:v>2616</x:v>
      </x:c>
      <x:c r="B3069" s="66" t="n">
        <x:v>386</x:v>
      </x:c>
      <x:c r="C3069" s="66" t="str">
        <x:v>UIN SUNAN AMPEL SURABAYA</x:v>
      </x:c>
      <x:c r="D3069" s="66" t="str">
        <x:v>PTKIN</x:v>
      </x:c>
      <x:c r="E3069" s="66" t="str">
        <x:v>13861008</x:v>
      </x:c>
      <x:c r="F3069" s="66" t="str">
        <x:v>PENDIDIKAN ILMU PENGETAHUAN ALAM</x:v>
      </x:c>
      <x:c r="G3069" s="66" t="str">
        <x:v>Sarjana</x:v>
      </x:c>
      <x:c r="H3069" s="87" t="n">
        <x:v>29</x:v>
      </x:c>
      <x:c r="I3069" s="87" t="n">
        <x:v>126</x:v>
      </x:c>
      <x:c r="J3069" s="68" t="n">
        <x:f>IFERROR(H3069/I3069,"")</x:f>
        <x:v>0.23015873015873015</x:v>
      </x:c>
      <x:c r="K3069" s="69" t="n">
        <x:f>IFERROR(I3069/H3069,"")</x:f>
        <x:v>4.344827586206897</x:v>
      </x:c>
      <x:c r="L3069" s="66" t="str">
        <x:f>IF(K3069="","","1 : "&amp;TEXT(K3069,"0.0"))</x:f>
        <x:v>1 : 4.3</x:v>
      </x:c>
      <x:c r="M3069" s="66" t="str">
        <x:f>IF(J3069="","Baru/Tanpa Data",IF(J3069&lt;='Catatan &amp; Sumber'!$B$14,"Sangat Ketat",IF(J3069&lt;='Catatan &amp; Sumber'!$B$15,"Ketat",IF(J3069&lt;='Catatan &amp; Sumber'!$B$16,"Sedang","Relatif Longgar"))))</x:f>
        <x:v>Relatif Longgar</x:v>
      </x:c>
      <x:c r="N3069" s="66" t="str">
        <x:v>Tidak Ada</x:v>
      </x:c>
      <x:c r="O3069" s="66" t="str">
        <x:v>Jawa Timur</x:v>
      </x:c>
      <x:c r="P3069" s="66" t="str">
        <x:v>Kota Surabaya</x:v>
      </x:c>
      <x:c r="Q3069" s="66" t="str">
        <x:v>https://snpmb.id/snbp/daya-tampung-snbp</x:v>
      </x:c>
      <x:c r="R3069" s="66" t="str">
        <x:v>https://sidatagrun-public-1076756628210.asia-southeast2.run.app/ptn_sn.php?ptn=386</x:v>
      </x:c>
    </x:row>
    <x:row r="3070">
      <x:c r="A3070" s="87" t="n">
        <x:v>3167</x:v>
      </x:c>
      <x:c r="B3070" s="66" t="n">
        <x:v>386</x:v>
      </x:c>
      <x:c r="C3070" s="66" t="str">
        <x:v>UIN SUNAN AMPEL SURABAYA</x:v>
      </x:c>
      <x:c r="D3070" s="66" t="str">
        <x:v>PTKIN</x:v>
      </x:c>
      <x:c r="E3070" s="66" t="str">
        <x:v>13861009</x:v>
      </x:c>
      <x:c r="F3070" s="66" t="str">
        <x:v>TEKNIK SIPIL</x:v>
      </x:c>
      <x:c r="G3070" s="66" t="str">
        <x:v>Sarjana</x:v>
      </x:c>
      <x:c r="H3070" s="87" t="n">
        <x:v>39</x:v>
      </x:c>
      <x:c r="I3070" s="87" t="n">
        <x:v>117</x:v>
      </x:c>
      <x:c r="J3070" s="68" t="n">
        <x:f>IFERROR(H3070/I3070,"")</x:f>
        <x:v>0.3333333333333333</x:v>
      </x:c>
      <x:c r="K3070" s="69" t="n">
        <x:f>IFERROR(I3070/H3070,"")</x:f>
        <x:v>3</x:v>
      </x:c>
      <x:c r="L3070" s="66" t="str">
        <x:f>IF(K3070="","","1 : "&amp;TEXT(K3070,"0.0"))</x:f>
        <x:v>1 : 3.0</x:v>
      </x:c>
      <x:c r="M3070" s="66" t="str">
        <x:f>IF(J3070="","Baru/Tanpa Data",IF(J3070&lt;='Catatan &amp; Sumber'!$B$14,"Sangat Ketat",IF(J3070&lt;='Catatan &amp; Sumber'!$B$15,"Ketat",IF(J3070&lt;='Catatan &amp; Sumber'!$B$16,"Sedang","Relatif Longgar"))))</x:f>
        <x:v>Relatif Longgar</x:v>
      </x:c>
      <x:c r="N3070" s="66" t="str">
        <x:v>Tidak Ada</x:v>
      </x:c>
      <x:c r="O3070" s="66" t="str">
        <x:v>Jawa Timur</x:v>
      </x:c>
      <x:c r="P3070" s="66" t="str">
        <x:v>Kota Surabaya</x:v>
      </x:c>
      <x:c r="Q3070" s="66" t="str">
        <x:v>https://snpmb.id/snbp/daya-tampung-snbp</x:v>
      </x:c>
      <x:c r="R3070" s="66" t="str">
        <x:v>https://sidatagrun-public-1076756628210.asia-southeast2.run.app/ptn_sn.php?ptn=386</x:v>
      </x:c>
    </x:row>
    <x:row r="3071">
      <x:c r="A3071" s="87" t="n">
        <x:v>2728</x:v>
      </x:c>
      <x:c r="B3071" s="66" t="n">
        <x:v>386</x:v>
      </x:c>
      <x:c r="C3071" s="66" t="str">
        <x:v>UIN SUNAN AMPEL SURABAYA</x:v>
      </x:c>
      <x:c r="D3071" s="66" t="str">
        <x:v>PTKIN</x:v>
      </x:c>
      <x:c r="E3071" s="66" t="str">
        <x:v>13861010</x:v>
      </x:c>
      <x:c r="F3071" s="66" t="str">
        <x:v>PENDIDIKAN BAHASA INGGRIS</x:v>
      </x:c>
      <x:c r="G3071" s="66" t="str">
        <x:v>Sarjana</x:v>
      </x:c>
      <x:c r="H3071" s="87" t="n">
        <x:v>39</x:v>
      </x:c>
      <x:c r="I3071" s="87" t="n">
        <x:v>157</x:v>
      </x:c>
      <x:c r="J3071" s="68" t="n">
        <x:f>IFERROR(H3071/I3071,"")</x:f>
        <x:v>0.2484076433121019</x:v>
      </x:c>
      <x:c r="K3071" s="69" t="n">
        <x:f>IFERROR(I3071/H3071,"")</x:f>
        <x:v>4.0256410256410255</x:v>
      </x:c>
      <x:c r="L3071" s="66" t="str">
        <x:f>IF(K3071="","","1 : "&amp;TEXT(K3071,"0.0"))</x:f>
        <x:v>1 : 4.0</x:v>
      </x:c>
      <x:c r="M3071" s="66" t="str">
        <x:f>IF(J3071="","Baru/Tanpa Data",IF(J3071&lt;='Catatan &amp; Sumber'!$B$14,"Sangat Ketat",IF(J3071&lt;='Catatan &amp; Sumber'!$B$15,"Ketat",IF(J3071&lt;='Catatan &amp; Sumber'!$B$16,"Sedang","Relatif Longgar"))))</x:f>
        <x:v>Relatif Longgar</x:v>
      </x:c>
      <x:c r="N3071" s="66" t="str">
        <x:v>Tidak Ada</x:v>
      </x:c>
      <x:c r="O3071" s="66" t="str">
        <x:v>Jawa Timur</x:v>
      </x:c>
      <x:c r="P3071" s="66" t="str">
        <x:v>Kota Surabaya</x:v>
      </x:c>
      <x:c r="Q3071" s="66" t="str">
        <x:v>https://snpmb.id/snbp/daya-tampung-snbp</x:v>
      </x:c>
      <x:c r="R3071" s="66" t="str">
        <x:v>https://sidatagrun-public-1076756628210.asia-southeast2.run.app/ptn_sn.php?ptn=386</x:v>
      </x:c>
    </x:row>
    <x:row r="3072">
      <x:c r="A3072" s="87" t="n">
        <x:v>3425</x:v>
      </x:c>
      <x:c r="B3072" s="66" t="n">
        <x:v>386</x:v>
      </x:c>
      <x:c r="C3072" s="66" t="str">
        <x:v>UIN SUNAN AMPEL SURABAYA</x:v>
      </x:c>
      <x:c r="D3072" s="66" t="str">
        <x:v>PTKIN</x:v>
      </x:c>
      <x:c r="E3072" s="66" t="str">
        <x:v>13861014</x:v>
      </x:c>
      <x:c r="F3072" s="66" t="str">
        <x:v>SOSIOLOGI</x:v>
      </x:c>
      <x:c r="G3072" s="66" t="str">
        <x:v>Sarjana</x:v>
      </x:c>
      <x:c r="H3072" s="87" t="n">
        <x:v>65</x:v>
      </x:c>
      <x:c r="I3072" s="87" t="n">
        <x:v>159</x:v>
      </x:c>
      <x:c r="J3072" s="68" t="n">
        <x:f>IFERROR(H3072/I3072,"")</x:f>
        <x:v>0.4088050314465409</x:v>
      </x:c>
      <x:c r="K3072" s="69" t="n">
        <x:f>IFERROR(I3072/H3072,"")</x:f>
        <x:v>2.4461538461538463</x:v>
      </x:c>
      <x:c r="L3072" s="66" t="str">
        <x:f>IF(K3072="","","1 : "&amp;TEXT(K3072,"0.0"))</x:f>
        <x:v>1 : 2.4</x:v>
      </x:c>
      <x:c r="M3072" s="66" t="str">
        <x:f>IF(J3072="","Baru/Tanpa Data",IF(J3072&lt;='Catatan &amp; Sumber'!$B$14,"Sangat Ketat",IF(J3072&lt;='Catatan &amp; Sumber'!$B$15,"Ketat",IF(J3072&lt;='Catatan &amp; Sumber'!$B$16,"Sedang","Relatif Longgar"))))</x:f>
        <x:v>Relatif Longgar</x:v>
      </x:c>
      <x:c r="N3072" s="66" t="str">
        <x:v>Tidak Ada</x:v>
      </x:c>
      <x:c r="O3072" s="66" t="str">
        <x:v>Jawa Timur</x:v>
      </x:c>
      <x:c r="P3072" s="66" t="str">
        <x:v>Kota Surabaya</x:v>
      </x:c>
      <x:c r="Q3072" s="66" t="str">
        <x:v>https://snpmb.id/snbp/daya-tampung-snbp</x:v>
      </x:c>
      <x:c r="R3072" s="66" t="str">
        <x:v>https://sidatagrun-public-1076756628210.asia-southeast2.run.app/ptn_sn.php?ptn=386</x:v>
      </x:c>
    </x:row>
    <x:row r="3073">
      <x:c r="A3073" s="87" t="n">
        <x:v>2510</x:v>
      </x:c>
      <x:c r="B3073" s="66" t="n">
        <x:v>386</x:v>
      </x:c>
      <x:c r="C3073" s="66" t="str">
        <x:v>UIN SUNAN AMPEL SURABAYA</x:v>
      </x:c>
      <x:c r="D3073" s="66" t="str">
        <x:v>PTKIN</x:v>
      </x:c>
      <x:c r="E3073" s="66" t="str">
        <x:v>13861015</x:v>
      </x:c>
      <x:c r="F3073" s="66" t="str">
        <x:v>ILMU KOMUNIKASI</x:v>
      </x:c>
      <x:c r="G3073" s="66" t="str">
        <x:v>Sarjana</x:v>
      </x:c>
      <x:c r="H3073" s="87" t="n">
        <x:v>68</x:v>
      </x:c>
      <x:c r="I3073" s="87" t="n">
        <x:v>319</x:v>
      </x:c>
      <x:c r="J3073" s="68" t="n">
        <x:f>IFERROR(H3073/I3073,"")</x:f>
        <x:v>0.21316614420062696</x:v>
      </x:c>
      <x:c r="K3073" s="69" t="n">
        <x:f>IFERROR(I3073/H3073,"")</x:f>
        <x:v>4.6911764705882355</x:v>
      </x:c>
      <x:c r="L3073" s="66" t="str">
        <x:f>IF(K3073="","","1 : "&amp;TEXT(K3073,"0.0"))</x:f>
        <x:v>1 : 4.7</x:v>
      </x:c>
      <x:c r="M3073" s="66" t="str">
        <x:f>IF(J3073="","Baru/Tanpa Data",IF(J3073&lt;='Catatan &amp; Sumber'!$B$14,"Sangat Ketat",IF(J3073&lt;='Catatan &amp; Sumber'!$B$15,"Ketat",IF(J3073&lt;='Catatan &amp; Sumber'!$B$16,"Sedang","Relatif Longgar"))))</x:f>
        <x:v>Relatif Longgar</x:v>
      </x:c>
      <x:c r="N3073" s="66" t="str">
        <x:v>Tidak Ada</x:v>
      </x:c>
      <x:c r="O3073" s="66" t="str">
        <x:v>Jawa Timur</x:v>
      </x:c>
      <x:c r="P3073" s="66" t="str">
        <x:v>Kota Surabaya</x:v>
      </x:c>
      <x:c r="Q3073" s="66" t="str">
        <x:v>https://snpmb.id/snbp/daya-tampung-snbp</x:v>
      </x:c>
      <x:c r="R3073" s="66" t="str">
        <x:v>https://sidatagrun-public-1076756628210.asia-southeast2.run.app/ptn_sn.php?ptn=386</x:v>
      </x:c>
    </x:row>
    <x:row r="3074">
      <x:c r="A3074" s="87" t="n">
        <x:v>2291</x:v>
      </x:c>
      <x:c r="B3074" s="66" t="n">
        <x:v>386</x:v>
      </x:c>
      <x:c r="C3074" s="66" t="str">
        <x:v>UIN SUNAN AMPEL SURABAYA</x:v>
      </x:c>
      <x:c r="D3074" s="66" t="str">
        <x:v>PTKIN</x:v>
      </x:c>
      <x:c r="E3074" s="66" t="str">
        <x:v>13861016</x:v>
      </x:c>
      <x:c r="F3074" s="66" t="str">
        <x:v>PSIKOLOGI</x:v>
      </x:c>
      <x:c r="G3074" s="66" t="str">
        <x:v>Sarjana</x:v>
      </x:c>
      <x:c r="H3074" s="87" t="n">
        <x:v>80</x:v>
      </x:c>
      <x:c r="I3074" s="87" t="n">
        <x:v>439</x:v>
      </x:c>
      <x:c r="J3074" s="68" t="n">
        <x:f>IFERROR(H3074/I3074,"")</x:f>
        <x:v>0.18223234624145787</x:v>
      </x:c>
      <x:c r="K3074" s="69" t="n">
        <x:f>IFERROR(I3074/H3074,"")</x:f>
        <x:v>5.4875</x:v>
      </x:c>
      <x:c r="L3074" s="66" t="str">
        <x:f>IF(K3074="","","1 : "&amp;TEXT(K3074,"0.0"))</x:f>
        <x:v>1 : 5.5</x:v>
      </x:c>
      <x:c r="M3074" s="66" t="str">
        <x:f>IF(J3074="","Baru/Tanpa Data",IF(J3074&lt;='Catatan &amp; Sumber'!$B$14,"Sangat Ketat",IF(J3074&lt;='Catatan &amp; Sumber'!$B$15,"Ketat",IF(J3074&lt;='Catatan &amp; Sumber'!$B$16,"Sedang","Relatif Longgar"))))</x:f>
        <x:v>Relatif Longgar</x:v>
      </x:c>
      <x:c r="N3074" s="66" t="str">
        <x:v>Tidak Ada</x:v>
      </x:c>
      <x:c r="O3074" s="66" t="str">
        <x:v>Jawa Timur</x:v>
      </x:c>
      <x:c r="P3074" s="66" t="str">
        <x:v>Kota Surabaya</x:v>
      </x:c>
      <x:c r="Q3074" s="66" t="str">
        <x:v>https://snpmb.id/snbp/daya-tampung-snbp</x:v>
      </x:c>
      <x:c r="R3074" s="66" t="str">
        <x:v>https://sidatagrun-public-1076756628210.asia-southeast2.run.app/ptn_sn.php?ptn=386</x:v>
      </x:c>
    </x:row>
    <x:row r="3075">
      <x:c r="A3075" s="87" t="n">
        <x:v>3497</x:v>
      </x:c>
      <x:c r="B3075" s="66" t="n">
        <x:v>386</x:v>
      </x:c>
      <x:c r="C3075" s="66" t="str">
        <x:v>UIN SUNAN AMPEL SURABAYA</x:v>
      </x:c>
      <x:c r="D3075" s="66" t="str">
        <x:v>PTKIN</x:v>
      </x:c>
      <x:c r="E3075" s="66" t="str">
        <x:v>13861032</x:v>
      </x:c>
      <x:c r="F3075" s="66" t="str">
        <x:v>SASTRA INGGRIS</x:v>
      </x:c>
      <x:c r="G3075" s="66" t="str">
        <x:v>Sarjana</x:v>
      </x:c>
      <x:c r="H3075" s="87" t="n">
        <x:v>50</x:v>
      </x:c>
      <x:c r="I3075" s="87" t="n">
        <x:v>115</x:v>
      </x:c>
      <x:c r="J3075" s="68" t="n">
        <x:f>IFERROR(H3075/I3075,"")</x:f>
        <x:v>0.43478260869565216</x:v>
      </x:c>
      <x:c r="K3075" s="69" t="n">
        <x:f>IFERROR(I3075/H3075,"")</x:f>
        <x:v>2.3</x:v>
      </x:c>
      <x:c r="L3075" s="66" t="str">
        <x:f>IF(K3075="","","1 : "&amp;TEXT(K3075,"0.0"))</x:f>
        <x:v>1 : 2.3</x:v>
      </x:c>
      <x:c r="M3075" s="66" t="str">
        <x:f>IF(J3075="","Baru/Tanpa Data",IF(J3075&lt;='Catatan &amp; Sumber'!$B$14,"Sangat Ketat",IF(J3075&lt;='Catatan &amp; Sumber'!$B$15,"Ketat",IF(J3075&lt;='Catatan &amp; Sumber'!$B$16,"Sedang","Relatif Longgar"))))</x:f>
        <x:v>Relatif Longgar</x:v>
      </x:c>
      <x:c r="N3075" s="66" t="str">
        <x:v>Tidak Ada</x:v>
      </x:c>
      <x:c r="O3075" s="66" t="str">
        <x:v>Jawa Timur</x:v>
      </x:c>
      <x:c r="P3075" s="66" t="str">
        <x:v>Kota Surabaya</x:v>
      </x:c>
      <x:c r="Q3075" s="66" t="str">
        <x:v>https://snpmb.id/snbp/daya-tampung-snbp</x:v>
      </x:c>
      <x:c r="R3075" s="66" t="str">
        <x:v>https://sidatagrun-public-1076756628210.asia-southeast2.run.app/ptn_sn.php?ptn=386</x:v>
      </x:c>
    </x:row>
    <x:row r="3076">
      <x:c r="A3076" s="87" t="n">
        <x:v>2598</x:v>
      </x:c>
      <x:c r="B3076" s="66" t="n">
        <x:v>386</x:v>
      </x:c>
      <x:c r="C3076" s="66" t="str">
        <x:v>UIN SUNAN AMPEL SURABAYA</x:v>
      </x:c>
      <x:c r="D3076" s="66" t="str">
        <x:v>PTKIN</x:v>
      </x:c>
      <x:c r="E3076" s="66" t="str">
        <x:v>13861033</x:v>
      </x:c>
      <x:c r="F3076" s="66" t="str">
        <x:v>ILMU EKONOMI</x:v>
      </x:c>
      <x:c r="G3076" s="66" t="str">
        <x:v>Sarjana</x:v>
      </x:c>
      <x:c r="H3076" s="87" t="n">
        <x:v>48</x:v>
      </x:c>
      <x:c r="I3076" s="87" t="n">
        <x:v>211</x:v>
      </x:c>
      <x:c r="J3076" s="68" t="n">
        <x:f>IFERROR(H3076/I3076,"")</x:f>
        <x:v>0.22748815165876776</x:v>
      </x:c>
      <x:c r="K3076" s="69" t="n">
        <x:f>IFERROR(I3076/H3076,"")</x:f>
        <x:v>4.395833333333333</x:v>
      </x:c>
      <x:c r="L3076" s="66" t="str">
        <x:f>IF(K3076="","","1 : "&amp;TEXT(K3076,"0.0"))</x:f>
        <x:v>1 : 4.4</x:v>
      </x:c>
      <x:c r="M3076" s="66" t="str">
        <x:f>IF(J3076="","Baru/Tanpa Data",IF(J3076&lt;='Catatan &amp; Sumber'!$B$14,"Sangat Ketat",IF(J3076&lt;='Catatan &amp; Sumber'!$B$15,"Ketat",IF(J3076&lt;='Catatan &amp; Sumber'!$B$16,"Sedang","Relatif Longgar"))))</x:f>
        <x:v>Relatif Longgar</x:v>
      </x:c>
      <x:c r="N3076" s="66" t="str">
        <x:v>Tidak Ada</x:v>
      </x:c>
      <x:c r="O3076" s="66" t="str">
        <x:v>Jawa Timur</x:v>
      </x:c>
      <x:c r="P3076" s="66" t="str">
        <x:v>Kota Surabaya</x:v>
      </x:c>
      <x:c r="Q3076" s="66" t="str">
        <x:v>https://snpmb.id/snbp/daya-tampung-snbp</x:v>
      </x:c>
      <x:c r="R3076" s="66" t="str">
        <x:v>https://sidatagrun-public-1076756628210.asia-southeast2.run.app/ptn_sn.php?ptn=386</x:v>
      </x:c>
    </x:row>
    <x:row r="3077">
      <x:c r="A3077" s="87" t="n">
        <x:v>2498</x:v>
      </x:c>
      <x:c r="B3077" s="66" t="n">
        <x:v>386</x:v>
      </x:c>
      <x:c r="C3077" s="66" t="str">
        <x:v>UIN SUNAN AMPEL SURABAYA</x:v>
      </x:c>
      <x:c r="D3077" s="66" t="str">
        <x:v>PTKIN</x:v>
      </x:c>
      <x:c r="E3077" s="66" t="str">
        <x:v>13861034</x:v>
      </x:c>
      <x:c r="F3077" s="66" t="str">
        <x:v>AKUNTANSI</x:v>
      </x:c>
      <x:c r="G3077" s="66" t="str">
        <x:v>Sarjana</x:v>
      </x:c>
      <x:c r="H3077" s="87" t="n">
        <x:v>59</x:v>
      </x:c>
      <x:c r="I3077" s="87" t="n">
        <x:v>280</x:v>
      </x:c>
      <x:c r="J3077" s="68" t="n">
        <x:f>IFERROR(H3077/I3077,"")</x:f>
        <x:v>0.21071428571428572</x:v>
      </x:c>
      <x:c r="K3077" s="69" t="n">
        <x:f>IFERROR(I3077/H3077,"")</x:f>
        <x:v>4.745762711864407</x:v>
      </x:c>
      <x:c r="L3077" s="66" t="str">
        <x:f>IF(K3077="","","1 : "&amp;TEXT(K3077,"0.0"))</x:f>
        <x:v>1 : 4.7</x:v>
      </x:c>
      <x:c r="M3077" s="66" t="str">
        <x:f>IF(J3077="","Baru/Tanpa Data",IF(J3077&lt;='Catatan &amp; Sumber'!$B$14,"Sangat Ketat",IF(J3077&lt;='Catatan &amp; Sumber'!$B$15,"Ketat",IF(J3077&lt;='Catatan &amp; Sumber'!$B$16,"Sedang","Relatif Longgar"))))</x:f>
        <x:v>Relatif Longgar</x:v>
      </x:c>
      <x:c r="N3077" s="66" t="str">
        <x:v>Tidak Ada</x:v>
      </x:c>
      <x:c r="O3077" s="66" t="str">
        <x:v>Jawa Timur</x:v>
      </x:c>
      <x:c r="P3077" s="66" t="str">
        <x:v>Kota Surabaya</x:v>
      </x:c>
      <x:c r="Q3077" s="66" t="str">
        <x:v>https://snpmb.id/snbp/daya-tampung-snbp</x:v>
      </x:c>
      <x:c r="R3077" s="66" t="str">
        <x:v>https://sidatagrun-public-1076756628210.asia-southeast2.run.app/ptn_sn.php?ptn=386</x:v>
      </x:c>
    </x:row>
    <x:row r="3078">
      <x:c r="A3078" s="87" t="n">
        <x:v>1962</x:v>
      </x:c>
      <x:c r="B3078" s="66" t="n">
        <x:v>386</x:v>
      </x:c>
      <x:c r="C3078" s="66" t="str">
        <x:v>UIN SUNAN AMPEL SURABAYA</x:v>
      </x:c>
      <x:c r="D3078" s="66" t="str">
        <x:v>PTKIN</x:v>
      </x:c>
      <x:c r="E3078" s="66" t="str">
        <x:v>13861035</x:v>
      </x:c>
      <x:c r="F3078" s="66" t="str">
        <x:v>MANAJEMEN</x:v>
      </x:c>
      <x:c r="G3078" s="66" t="str">
        <x:v>Sarjana</x:v>
      </x:c>
      <x:c r="H3078" s="87" t="n">
        <x:v>63</x:v>
      </x:c>
      <x:c r="I3078" s="87" t="n">
        <x:v>427</x:v>
      </x:c>
      <x:c r="J3078" s="68" t="n">
        <x:f>IFERROR(H3078/I3078,"")</x:f>
        <x:v>0.14754098360655737</x:v>
      </x:c>
      <x:c r="K3078" s="69" t="n">
        <x:f>IFERROR(I3078/H3078,"")</x:f>
        <x:v>6.777777777777778</x:v>
      </x:c>
      <x:c r="L3078" s="66" t="str">
        <x:f>IF(K3078="","","1 : "&amp;TEXT(K3078,"0.0"))</x:f>
        <x:v>1 : 6.8</x:v>
      </x:c>
      <x:c r="M3078" s="66" t="str">
        <x:f>IF(J3078="","Baru/Tanpa Data",IF(J3078&lt;='Catatan &amp; Sumber'!$B$14,"Sangat Ketat",IF(J3078&lt;='Catatan &amp; Sumber'!$B$15,"Ketat",IF(J3078&lt;='Catatan &amp; Sumber'!$B$16,"Sedang","Relatif Longgar"))))</x:f>
        <x:v>Relatif Longgar</x:v>
      </x:c>
      <x:c r="N3078" s="66" t="str">
        <x:v>Tidak Ada</x:v>
      </x:c>
      <x:c r="O3078" s="66" t="str">
        <x:v>Jawa Timur</x:v>
      </x:c>
      <x:c r="P3078" s="66" t="str">
        <x:v>Kota Surabaya</x:v>
      </x:c>
      <x:c r="Q3078" s="66" t="str">
        <x:v>https://snpmb.id/snbp/daya-tampung-snbp</x:v>
      </x:c>
      <x:c r="R3078" s="66" t="str">
        <x:v>https://sidatagrun-public-1076756628210.asia-southeast2.run.app/ptn_sn.php?ptn=386</x:v>
      </x:c>
    </x:row>
    <x:row r="3079">
      <x:c r="A3079" s="87" t="n">
        <x:v>3869</x:v>
      </x:c>
      <x:c r="B3079" s="66" t="n">
        <x:v>386</x:v>
      </x:c>
      <x:c r="C3079" s="66" t="str">
        <x:v>UIN SUNAN AMPEL SURABAYA</x:v>
      </x:c>
      <x:c r="D3079" s="66" t="str">
        <x:v>PTKIN</x:v>
      </x:c>
      <x:c r="E3079" s="66" t="str">
        <x:v>13861036</x:v>
      </x:c>
      <x:c r="F3079" s="66" t="str">
        <x:v>ILMU POLITIK</x:v>
      </x:c>
      <x:c r="G3079" s="66" t="str">
        <x:v>Sarjana</x:v>
      </x:c>
      <x:c r="H3079" s="87" t="n">
        <x:v>56</x:v>
      </x:c>
      <x:c r="I3079" s="87" t="n">
        <x:v>92</x:v>
      </x:c>
      <x:c r="J3079" s="68" t="n">
        <x:f>IFERROR(H3079/I3079,"")</x:f>
        <x:v>0.6086956521739131</x:v>
      </x:c>
      <x:c r="K3079" s="69" t="n">
        <x:f>IFERROR(I3079/H3079,"")</x:f>
        <x:v>1.6428571428571428</x:v>
      </x:c>
      <x:c r="L3079" s="66" t="str">
        <x:f>IF(K3079="","","1 : "&amp;TEXT(K3079,"0.0"))</x:f>
        <x:v>1 : 1.6</x:v>
      </x:c>
      <x:c r="M3079" s="66" t="str">
        <x:f>IF(J3079="","Baru/Tanpa Data",IF(J3079&lt;='Catatan &amp; Sumber'!$B$14,"Sangat Ketat",IF(J3079&lt;='Catatan &amp; Sumber'!$B$15,"Ketat",IF(J3079&lt;='Catatan &amp; Sumber'!$B$16,"Sedang","Relatif Longgar"))))</x:f>
        <x:v>Relatif Longgar</x:v>
      </x:c>
      <x:c r="N3079" s="66" t="str">
        <x:v>Tidak Ada</x:v>
      </x:c>
      <x:c r="O3079" s="66" t="str">
        <x:v>Jawa Timur</x:v>
      </x:c>
      <x:c r="P3079" s="66" t="str">
        <x:v>Kota Surabaya</x:v>
      </x:c>
      <x:c r="Q3079" s="66" t="str">
        <x:v>https://snpmb.id/snbp/daya-tampung-snbp</x:v>
      </x:c>
      <x:c r="R3079" s="66" t="str">
        <x:v>https://sidatagrun-public-1076756628210.asia-southeast2.run.app/ptn_sn.php?ptn=386</x:v>
      </x:c>
    </x:row>
    <x:row r="3080">
      <x:c r="A3080" s="87" t="n">
        <x:v>3643</x:v>
      </x:c>
      <x:c r="B3080" s="66" t="n">
        <x:v>386</x:v>
      </x:c>
      <x:c r="C3080" s="66" t="str">
        <x:v>UIN SUNAN AMPEL SURABAYA</x:v>
      </x:c>
      <x:c r="D3080" s="66" t="str">
        <x:v>PTKIN</x:v>
      </x:c>
      <x:c r="E3080" s="66" t="str">
        <x:v>13861037</x:v>
      </x:c>
      <x:c r="F3080" s="66" t="str">
        <x:v>HUBUNGAN INTERNASIONAL</x:v>
      </x:c>
      <x:c r="G3080" s="66" t="str">
        <x:v>Sarjana</x:v>
      </x:c>
      <x:c r="H3080" s="87" t="n">
        <x:v>53</x:v>
      </x:c>
      <x:c r="I3080" s="87" t="n">
        <x:v>109</x:v>
      </x:c>
      <x:c r="J3080" s="68" t="n">
        <x:f>IFERROR(H3080/I3080,"")</x:f>
        <x:v>0.48623853211009177</x:v>
      </x:c>
      <x:c r="K3080" s="69" t="n">
        <x:f>IFERROR(I3080/H3080,"")</x:f>
        <x:v>2.056603773584906</x:v>
      </x:c>
      <x:c r="L3080" s="66" t="str">
        <x:f>IF(K3080="","","1 : "&amp;TEXT(K3080,"0.0"))</x:f>
        <x:v>1 : 2.1</x:v>
      </x:c>
      <x:c r="M3080" s="66" t="str">
        <x:f>IF(J3080="","Baru/Tanpa Data",IF(J3080&lt;='Catatan &amp; Sumber'!$B$14,"Sangat Ketat",IF(J3080&lt;='Catatan &amp; Sumber'!$B$15,"Ketat",IF(J3080&lt;='Catatan &amp; Sumber'!$B$16,"Sedang","Relatif Longgar"))))</x:f>
        <x:v>Relatif Longgar</x:v>
      </x:c>
      <x:c r="N3080" s="66" t="str">
        <x:v>Tidak Ada</x:v>
      </x:c>
      <x:c r="O3080" s="66" t="str">
        <x:v>Jawa Timur</x:v>
      </x:c>
      <x:c r="P3080" s="66" t="str">
        <x:v>Kota Surabaya</x:v>
      </x:c>
      <x:c r="Q3080" s="66" t="str">
        <x:v>https://snpmb.id/snbp/daya-tampung-snbp</x:v>
      </x:c>
      <x:c r="R3080" s="66" t="str">
        <x:v>https://sidatagrun-public-1076756628210.asia-southeast2.run.app/ptn_sn.php?ptn=386</x:v>
      </x:c>
    </x:row>
    <x:row r="3081">
      <x:c r="A3081" s="87" t="n">
        <x:v>2727</x:v>
      </x:c>
      <x:c r="B3081" s="66" t="n">
        <x:v>386</x:v>
      </x:c>
      <x:c r="C3081" s="66" t="str">
        <x:v>UIN SUNAN AMPEL SURABAYA</x:v>
      </x:c>
      <x:c r="D3081" s="66" t="str">
        <x:v>PTKIN</x:v>
      </x:c>
      <x:c r="E3081" s="66" t="str">
        <x:v>13861040</x:v>
      </x:c>
      <x:c r="F3081" s="66" t="str">
        <x:v>SASTRA INDONESIA</x:v>
      </x:c>
      <x:c r="G3081" s="66" t="str">
        <x:v>Sarjana</x:v>
      </x:c>
      <x:c r="H3081" s="87" t="n">
        <x:v>38</x:v>
      </x:c>
      <x:c r="I3081" s="87" t="n">
        <x:v>153</x:v>
      </x:c>
      <x:c r="J3081" s="68" t="n">
        <x:f>IFERROR(H3081/I3081,"")</x:f>
        <x:v>0.24836601307189543</x:v>
      </x:c>
      <x:c r="K3081" s="69" t="n">
        <x:f>IFERROR(I3081/H3081,"")</x:f>
        <x:v>4.026315789473684</x:v>
      </x:c>
      <x:c r="L3081" s="66" t="str">
        <x:f>IF(K3081="","","1 : "&amp;TEXT(K3081,"0.0"))</x:f>
        <x:v>1 : 4.0</x:v>
      </x:c>
      <x:c r="M3081" s="66" t="str">
        <x:f>IF(J3081="","Baru/Tanpa Data",IF(J3081&lt;='Catatan &amp; Sumber'!$B$14,"Sangat Ketat",IF(J3081&lt;='Catatan &amp; Sumber'!$B$15,"Ketat",IF(J3081&lt;='Catatan &amp; Sumber'!$B$16,"Sedang","Relatif Longgar"))))</x:f>
        <x:v>Relatif Longgar</x:v>
      </x:c>
      <x:c r="N3081" s="66" t="str">
        <x:v>Tidak Ada</x:v>
      </x:c>
      <x:c r="O3081" s="66" t="str">
        <x:v>Jawa Timur</x:v>
      </x:c>
      <x:c r="P3081" s="66" t="str">
        <x:v>Kota Surabaya</x:v>
      </x:c>
      <x:c r="Q3081" s="66" t="str">
        <x:v>https://snpmb.id/snbp/daya-tampung-snbp</x:v>
      </x:c>
      <x:c r="R3081" s="66" t="str">
        <x:v>https://sidatagrun-public-1076756628210.asia-southeast2.run.app/ptn_sn.php?ptn=386</x:v>
      </x:c>
    </x:row>
    <x:row r="3082">
      <x:c r="A3082" s="87" t="n">
        <x:v>3080</x:v>
      </x:c>
      <x:c r="B3082" s="66" t="n">
        <x:v>386</x:v>
      </x:c>
      <x:c r="C3082" s="66" t="str">
        <x:v>UIN SUNAN AMPEL SURABAYA</x:v>
      </x:c>
      <x:c r="D3082" s="66" t="str">
        <x:v>PTKIN</x:v>
      </x:c>
      <x:c r="E3082" s="66" t="str">
        <x:v>13861041</x:v>
      </x:c>
      <x:c r="F3082" s="66" t="str">
        <x:v>HUKUM</x:v>
      </x:c>
      <x:c r="G3082" s="66" t="str">
        <x:v>Sarjana</x:v>
      </x:c>
      <x:c r="H3082" s="87" t="n">
        <x:v>65</x:v>
      </x:c>
      <x:c r="I3082" s="87" t="n">
        <x:v>209</x:v>
      </x:c>
      <x:c r="J3082" s="68" t="n">
        <x:f>IFERROR(H3082/I3082,"")</x:f>
        <x:v>0.31100478468899523</x:v>
      </x:c>
      <x:c r="K3082" s="69" t="n">
        <x:f>IFERROR(I3082/H3082,"")</x:f>
        <x:v>3.2153846153846155</x:v>
      </x:c>
      <x:c r="L3082" s="66" t="str">
        <x:f>IF(K3082="","","1 : "&amp;TEXT(K3082,"0.0"))</x:f>
        <x:v>1 : 3.2</x:v>
      </x:c>
      <x:c r="M3082" s="66" t="str">
        <x:f>IF(J3082="","Baru/Tanpa Data",IF(J3082&lt;='Catatan &amp; Sumber'!$B$14,"Sangat Ketat",IF(J3082&lt;='Catatan &amp; Sumber'!$B$15,"Ketat",IF(J3082&lt;='Catatan &amp; Sumber'!$B$16,"Sedang","Relatif Longgar"))))</x:f>
        <x:v>Relatif Longgar</x:v>
      </x:c>
      <x:c r="N3082" s="66" t="str">
        <x:v>Tidak Ada</x:v>
      </x:c>
      <x:c r="O3082" s="66" t="str">
        <x:v>Jawa Timur</x:v>
      </x:c>
      <x:c r="P3082" s="66" t="str">
        <x:v>Kota Surabaya</x:v>
      </x:c>
      <x:c r="Q3082" s="66" t="str">
        <x:v>https://snpmb.id/snbp/daya-tampung-snbp</x:v>
      </x:c>
      <x:c r="R3082" s="66" t="str">
        <x:v>https://sidatagrun-public-1076756628210.asia-southeast2.run.app/ptn_sn.php?ptn=386</x:v>
      </x:c>
    </x:row>
    <x:row r="3083">
      <x:c r="A3083" s="87" t="n">
        <x:v>2277</x:v>
      </x:c>
      <x:c r="B3083" s="66" t="n">
        <x:v>386</x:v>
      </x:c>
      <x:c r="C3083" s="66" t="str">
        <x:v>UIN SUNAN AMPEL SURABAYA</x:v>
      </x:c>
      <x:c r="D3083" s="66" t="str">
        <x:v>PTKIN</x:v>
      </x:c>
      <x:c r="E3083" s="66" t="str">
        <x:v>13861042</x:v>
      </x:c>
      <x:c r="F3083" s="66" t="str">
        <x:v>GIZI</x:v>
      </x:c>
      <x:c r="G3083" s="66" t="str">
        <x:v>Sarjana</x:v>
      </x:c>
      <x:c r="H3083" s="87" t="n">
        <x:v>48</x:v>
      </x:c>
      <x:c r="I3083" s="87" t="n">
        <x:v>264</x:v>
      </x:c>
      <x:c r="J3083" s="68" t="n">
        <x:f>IFERROR(H3083/I3083,"")</x:f>
        <x:v>0.18181818181818182</x:v>
      </x:c>
      <x:c r="K3083" s="69" t="n">
        <x:f>IFERROR(I3083/H3083,"")</x:f>
        <x:v>5.5</x:v>
      </x:c>
      <x:c r="L3083" s="66" t="str">
        <x:f>IF(K3083="","","1 : "&amp;TEXT(K3083,"0.0"))</x:f>
        <x:v>1 : 5.5</x:v>
      </x:c>
      <x:c r="M3083" s="66" t="str">
        <x:f>IF(J3083="","Baru/Tanpa Data",IF(J3083&lt;='Catatan &amp; Sumber'!$B$14,"Sangat Ketat",IF(J3083&lt;='Catatan &amp; Sumber'!$B$15,"Ketat",IF(J3083&lt;='Catatan &amp; Sumber'!$B$16,"Sedang","Relatif Longgar"))))</x:f>
        <x:v>Relatif Longgar</x:v>
      </x:c>
      <x:c r="N3083" s="66" t="str">
        <x:v>Tidak Ada</x:v>
      </x:c>
      <x:c r="O3083" s="66" t="str">
        <x:v>Jawa Timur</x:v>
      </x:c>
      <x:c r="P3083" s="66" t="str">
        <x:v>Kota Surabaya</x:v>
      </x:c>
      <x:c r="Q3083" s="66" t="str">
        <x:v>https://snpmb.id/snbp/daya-tampung-snbp</x:v>
      </x:c>
      <x:c r="R3083" s="66" t="str">
        <x:v>https://sidatagrun-public-1076756628210.asia-southeast2.run.app/ptn_sn.php?ptn=386</x:v>
      </x:c>
    </x:row>
    <x:row r="3084">
      <x:c r="A3084" s="87"/>
      <x:c r="B3084" s="66" t="n">
        <x:v>386</x:v>
      </x:c>
      <x:c r="C3084" s="66" t="str">
        <x:v>UIN SUNAN AMPEL SURABAYA</x:v>
      </x:c>
      <x:c r="D3084" s="66" t="str">
        <x:v>PTKIN</x:v>
      </x:c>
      <x:c r="E3084" s="66" t="str">
        <x:v>13861043</x:v>
      </x:c>
      <x:c r="F3084" s="66" t="str">
        <x:v>KEDOKTERAN</x:v>
      </x:c>
      <x:c r="G3084" s="66" t="str">
        <x:v>Sarjana</x:v>
      </x:c>
      <x:c r="H3084" s="87" t="n">
        <x:v>10</x:v>
      </x:c>
      <x:c r="I3084" s="87"/>
      <x:c r="J3084" s="68" t="str">
        <x:f>IFERROR(H3084/I3084,"")</x:f>
      </x:c>
      <x:c r="K3084" s="69" t="n">
        <x:f>IFERROR(I3084/H3084,"")</x:f>
        <x:v>0</x:v>
      </x:c>
      <x:c r="L3084" s="66" t="str">
        <x:f>IF(K3084="","","1 : "&amp;TEXT(K3084,"0.0"))</x:f>
      </x:c>
      <x:c r="M3084" s="66" t="str">
        <x:f>IF(J3084="","Baru/Tanpa Data",IF(J3084&lt;='Catatan &amp; Sumber'!$B$14,"Sangat Ketat",IF(J3084&lt;='Catatan &amp; Sumber'!$B$15,"Ketat",IF(J3084&lt;='Catatan &amp; Sumber'!$B$16,"Sedang","Relatif Longgar"))))</x:f>
        <x:v>Baru/Tanpa Data</x:v>
      </x:c>
      <x:c r="N3084" s="66" t="str">
        <x:v>Tidak Ada</x:v>
      </x:c>
      <x:c r="O3084" s="66" t="str">
        <x:v>Jawa Timur</x:v>
      </x:c>
      <x:c r="P3084" s="66" t="str">
        <x:v>Kota Surabaya</x:v>
      </x:c>
      <x:c r="Q3084" s="66" t="str">
        <x:v>https://snpmb.id/snbp/daya-tampung-snbp</x:v>
      </x:c>
      <x:c r="R3084" s="66" t="str">
        <x:v>https://sidatagrun-public-1076756628210.asia-southeast2.run.app/ptn_sn.php?ptn=386</x:v>
      </x:c>
    </x:row>
    <x:row r="3085">
      <x:c r="A3085" s="87" t="n">
        <x:v>603</x:v>
      </x:c>
      <x:c r="B3085" s="66" t="n">
        <x:v>421</x:v>
      </x:c>
      <x:c r="C3085" s="66" t="str">
        <x:v>POLITEKNIK NEGERI JAKARTA</x:v>
      </x:c>
      <x:c r="D3085" s="66" t="str">
        <x:v>PTN Vokasi</x:v>
      </x:c>
      <x:c r="E3085" s="66" t="str">
        <x:v>24212001</x:v>
      </x:c>
      <x:c r="F3085" s="66" t="str">
        <x:v>TEKNIK KONSTRUKSI GEDUNG</x:v>
      </x:c>
      <x:c r="G3085" s="66" t="str">
        <x:v>Sarjana Terapan</x:v>
      </x:c>
      <x:c r="H3085" s="87" t="n">
        <x:v>18</x:v>
      </x:c>
      <x:c r="I3085" s="87" t="n">
        <x:v>313</x:v>
      </x:c>
      <x:c r="J3085" s="68" t="n">
        <x:f>IFERROR(H3085/I3085,"")</x:f>
        <x:v>0.05750798722044728</x:v>
      </x:c>
      <x:c r="K3085" s="69" t="n">
        <x:f>IFERROR(I3085/H3085,"")</x:f>
        <x:v>17.38888888888889</x:v>
      </x:c>
      <x:c r="L3085" s="66" t="str">
        <x:f>IF(K3085="","","1 : "&amp;TEXT(K3085,"0.0"))</x:f>
        <x:v>1 : 17.4</x:v>
      </x:c>
      <x:c r="M3085" s="66" t="str">
        <x:f>IF(J3085="","Baru/Tanpa Data",IF(J3085&lt;='Catatan &amp; Sumber'!$B$14,"Sangat Ketat",IF(J3085&lt;='Catatan &amp; Sumber'!$B$15,"Ketat",IF(J3085&lt;='Catatan &amp; Sumber'!$B$16,"Sedang","Relatif Longgar"))))</x:f>
        <x:v>Sedang</x:v>
      </x:c>
      <x:c r="N3085" s="66" t="str">
        <x:v>Tidak Ada</x:v>
      </x:c>
      <x:c r="O3085" s="66" t="str">
        <x:v>Jawa Barat</x:v>
      </x:c>
      <x:c r="P3085" s="66" t="str">
        <x:v>Kota Depok</x:v>
      </x:c>
      <x:c r="Q3085" s="66" t="str">
        <x:v>https://snpmb.id/snbp/daya-tampung-snbp</x:v>
      </x:c>
      <x:c r="R3085" s="66" t="str">
        <x:v>https://sidatagrun-public-1076756628210.asia-southeast2.run.app/ptn_sn.php?ptn=421</x:v>
      </x:c>
    </x:row>
    <x:row r="3086">
      <x:c r="A3086" s="87" t="n">
        <x:v>948</x:v>
      </x:c>
      <x:c r="B3086" s="66" t="n">
        <x:v>421</x:v>
      </x:c>
      <x:c r="C3086" s="66" t="str">
        <x:v>POLITEKNIK NEGERI JAKARTA</x:v>
      </x:c>
      <x:c r="D3086" s="66" t="str">
        <x:v>PTN Vokasi</x:v>
      </x:c>
      <x:c r="E3086" s="66" t="str">
        <x:v>24212002</x:v>
      </x:c>
      <x:c r="F3086" s="66" t="str">
        <x:v>TEKNIK PERANCANGAN JALAN DAN JEMBATAN</x:v>
      </x:c>
      <x:c r="G3086" s="66" t="str">
        <x:v>Sarjana Terapan</x:v>
      </x:c>
      <x:c r="H3086" s="87" t="n">
        <x:v>12</x:v>
      </x:c>
      <x:c r="I3086" s="87" t="n">
        <x:v>160</x:v>
      </x:c>
      <x:c r="J3086" s="68" t="n">
        <x:f>IFERROR(H3086/I3086,"")</x:f>
        <x:v>0.075</x:v>
      </x:c>
      <x:c r="K3086" s="69" t="n">
        <x:f>IFERROR(I3086/H3086,"")</x:f>
        <x:v>13.333333333333334</x:v>
      </x:c>
      <x:c r="L3086" s="66" t="str">
        <x:f>IF(K3086="","","1 : "&amp;TEXT(K3086,"0.0"))</x:f>
        <x:v>1 : 13.3</x:v>
      </x:c>
      <x:c r="M3086" s="66" t="str">
        <x:f>IF(J3086="","Baru/Tanpa Data",IF(J3086&lt;='Catatan &amp; Sumber'!$B$14,"Sangat Ketat",IF(J3086&lt;='Catatan &amp; Sumber'!$B$15,"Ketat",IF(J3086&lt;='Catatan &amp; Sumber'!$B$16,"Sedang","Relatif Longgar"))))</x:f>
        <x:v>Sedang</x:v>
      </x:c>
      <x:c r="N3086" s="66" t="str">
        <x:v>Tidak Ada</x:v>
      </x:c>
      <x:c r="O3086" s="66" t="str">
        <x:v>Jawa Barat</x:v>
      </x:c>
      <x:c r="P3086" s="66" t="str">
        <x:v>Kota Depok</x:v>
      </x:c>
      <x:c r="Q3086" s="66" t="str">
        <x:v>https://snpmb.id/snbp/daya-tampung-snbp</x:v>
      </x:c>
      <x:c r="R3086" s="66" t="str">
        <x:v>https://sidatagrun-public-1076756628210.asia-southeast2.run.app/ptn_sn.php?ptn=421</x:v>
      </x:c>
    </x:row>
    <x:row r="3087">
      <x:c r="A3087" s="87" t="n">
        <x:v>698</x:v>
      </x:c>
      <x:c r="B3087" s="66" t="n">
        <x:v>421</x:v>
      </x:c>
      <x:c r="C3087" s="66" t="str">
        <x:v>POLITEKNIK NEGERI JAKARTA</x:v>
      </x:c>
      <x:c r="D3087" s="66" t="str">
        <x:v>PTN Vokasi</x:v>
      </x:c>
      <x:c r="E3087" s="66" t="str">
        <x:v>24212003</x:v>
      </x:c>
      <x:c r="F3087" s="66" t="str">
        <x:v>TEKNOLOGI REKAYASA MANUFAKTUR</x:v>
      </x:c>
      <x:c r="G3087" s="66" t="str">
        <x:v>Sarjana Terapan</x:v>
      </x:c>
      <x:c r="H3087" s="87" t="n">
        <x:v>12</x:v>
      </x:c>
      <x:c r="I3087" s="87" t="n">
        <x:v>194</x:v>
      </x:c>
      <x:c r="J3087" s="68" t="n">
        <x:f>IFERROR(H3087/I3087,"")</x:f>
        <x:v>0.061855670103092786</x:v>
      </x:c>
      <x:c r="K3087" s="69" t="n">
        <x:f>IFERROR(I3087/H3087,"")</x:f>
        <x:v>16.166666666666668</x:v>
      </x:c>
      <x:c r="L3087" s="66" t="str">
        <x:f>IF(K3087="","","1 : "&amp;TEXT(K3087,"0.0"))</x:f>
        <x:v>1 : 16.2</x:v>
      </x:c>
      <x:c r="M3087" s="66" t="str">
        <x:f>IF(J3087="","Baru/Tanpa Data",IF(J3087&lt;='Catatan &amp; Sumber'!$B$14,"Sangat Ketat",IF(J3087&lt;='Catatan &amp; Sumber'!$B$15,"Ketat",IF(J3087&lt;='Catatan &amp; Sumber'!$B$16,"Sedang","Relatif Longgar"))))</x:f>
        <x:v>Sedang</x:v>
      </x:c>
      <x:c r="N3087" s="66" t="str">
        <x:v>Tidak Ada</x:v>
      </x:c>
      <x:c r="O3087" s="66" t="str">
        <x:v>Jawa Barat</x:v>
      </x:c>
      <x:c r="P3087" s="66" t="str">
        <x:v>Kota Depok</x:v>
      </x:c>
      <x:c r="Q3087" s="66" t="str">
        <x:v>https://snpmb.id/snbp/daya-tampung-snbp</x:v>
      </x:c>
      <x:c r="R3087" s="66" t="str">
        <x:v>https://sidatagrun-public-1076756628210.asia-southeast2.run.app/ptn_sn.php?ptn=421</x:v>
      </x:c>
    </x:row>
    <x:row r="3088">
      <x:c r="A3088" s="87" t="n">
        <x:v>933</x:v>
      </x:c>
      <x:c r="B3088" s="66" t="n">
        <x:v>421</x:v>
      </x:c>
      <x:c r="C3088" s="66" t="str">
        <x:v>POLITEKNIK NEGERI JAKARTA</x:v>
      </x:c>
      <x:c r="D3088" s="66" t="str">
        <x:v>PTN Vokasi</x:v>
      </x:c>
      <x:c r="E3088" s="66" t="str">
        <x:v>24212004</x:v>
      </x:c>
      <x:c r="F3088" s="66" t="str">
        <x:v>TEKNOLOGI REKAYASA PEMBANGKIT ENERGI</x:v>
      </x:c>
      <x:c r="G3088" s="66" t="str">
        <x:v>Sarjana Terapan</x:v>
      </x:c>
      <x:c r="H3088" s="87" t="n">
        <x:v>12</x:v>
      </x:c>
      <x:c r="I3088" s="87" t="n">
        <x:v>161</x:v>
      </x:c>
      <x:c r="J3088" s="68" t="n">
        <x:f>IFERROR(H3088/I3088,"")</x:f>
        <x:v>0.07453416149068323</x:v>
      </x:c>
      <x:c r="K3088" s="69" t="n">
        <x:f>IFERROR(I3088/H3088,"")</x:f>
        <x:v>13.416666666666666</x:v>
      </x:c>
      <x:c r="L3088" s="66" t="str">
        <x:f>IF(K3088="","","1 : "&amp;TEXT(K3088,"0.0"))</x:f>
        <x:v>1 : 13.4</x:v>
      </x:c>
      <x:c r="M3088" s="66" t="str">
        <x:f>IF(J3088="","Baru/Tanpa Data",IF(J3088&lt;='Catatan &amp; Sumber'!$B$14,"Sangat Ketat",IF(J3088&lt;='Catatan &amp; Sumber'!$B$15,"Ketat",IF(J3088&lt;='Catatan &amp; Sumber'!$B$16,"Sedang","Relatif Longgar"))))</x:f>
        <x:v>Sedang</x:v>
      </x:c>
      <x:c r="N3088" s="66" t="str">
        <x:v>Tidak Ada</x:v>
      </x:c>
      <x:c r="O3088" s="66" t="str">
        <x:v>Jawa Barat</x:v>
      </x:c>
      <x:c r="P3088" s="66" t="str">
        <x:v>Kota Depok</x:v>
      </x:c>
      <x:c r="Q3088" s="66" t="str">
        <x:v>https://snpmb.id/snbp/daya-tampung-snbp</x:v>
      </x:c>
      <x:c r="R3088" s="66" t="str">
        <x:v>https://sidatagrun-public-1076756628210.asia-southeast2.run.app/ptn_sn.php?ptn=421</x:v>
      </x:c>
    </x:row>
    <x:row r="3089">
      <x:c r="A3089" s="87" t="n">
        <x:v>123</x:v>
      </x:c>
      <x:c r="B3089" s="66" t="n">
        <x:v>421</x:v>
      </x:c>
      <x:c r="C3089" s="66" t="str">
        <x:v>POLITEKNIK NEGERI JAKARTA</x:v>
      </x:c>
      <x:c r="D3089" s="66" t="str">
        <x:v>PTN Vokasi</x:v>
      </x:c>
      <x:c r="E3089" s="66" t="str">
        <x:v>24212005</x:v>
      </x:c>
      <x:c r="F3089" s="66" t="str">
        <x:v>TEKNIK OTOMASI LISTRIK INDUSTRI</x:v>
      </x:c>
      <x:c r="G3089" s="66" t="str">
        <x:v>Sarjana Terapan</x:v>
      </x:c>
      <x:c r="H3089" s="87" t="n">
        <x:v>10</x:v>
      </x:c>
      <x:c r="I3089" s="87" t="n">
        <x:v>325</x:v>
      </x:c>
      <x:c r="J3089" s="68" t="n">
        <x:f>IFERROR(H3089/I3089,"")</x:f>
        <x:v>0.03076923076923077</x:v>
      </x:c>
      <x:c r="K3089" s="69" t="n">
        <x:f>IFERROR(I3089/H3089,"")</x:f>
        <x:v>32.5</x:v>
      </x:c>
      <x:c r="L3089" s="66" t="str">
        <x:f>IF(K3089="","","1 : "&amp;TEXT(K3089,"0.0"))</x:f>
        <x:v>1 : 32.5</x:v>
      </x:c>
      <x:c r="M3089" s="66" t="str">
        <x:f>IF(J3089="","Baru/Tanpa Data",IF(J3089&lt;='Catatan &amp; Sumber'!$B$14,"Sangat Ketat",IF(J3089&lt;='Catatan &amp; Sumber'!$B$15,"Ketat",IF(J3089&lt;='Catatan &amp; Sumber'!$B$16,"Sedang","Relatif Longgar"))))</x:f>
        <x:v>Ketat</x:v>
      </x:c>
      <x:c r="N3089" s="66" t="str">
        <x:v>Tidak Ada</x:v>
      </x:c>
      <x:c r="O3089" s="66" t="str">
        <x:v>Jawa Barat</x:v>
      </x:c>
      <x:c r="P3089" s="66" t="str">
        <x:v>Kota Depok</x:v>
      </x:c>
      <x:c r="Q3089" s="66" t="str">
        <x:v>https://snpmb.id/snbp/daya-tampung-snbp</x:v>
      </x:c>
      <x:c r="R3089" s="66" t="str">
        <x:v>https://sidatagrun-public-1076756628210.asia-southeast2.run.app/ptn_sn.php?ptn=421</x:v>
      </x:c>
    </x:row>
    <x:row r="3090">
      <x:c r="A3090" s="87" t="n">
        <x:v>571</x:v>
      </x:c>
      <x:c r="B3090" s="66" t="n">
        <x:v>421</x:v>
      </x:c>
      <x:c r="C3090" s="66" t="str">
        <x:v>POLITEKNIK NEGERI JAKARTA</x:v>
      </x:c>
      <x:c r="D3090" s="66" t="str">
        <x:v>PTN Vokasi</x:v>
      </x:c>
      <x:c r="E3090" s="66" t="str">
        <x:v>24212006</x:v>
      </x:c>
      <x:c r="F3090" s="66" t="str">
        <x:v>INSTRUMENTASI DAN KONTROL INDUSTRI</x:v>
      </x:c>
      <x:c r="G3090" s="66" t="str">
        <x:v>Sarjana Terapan</x:v>
      </x:c>
      <x:c r="H3090" s="87" t="n">
        <x:v>10</x:v>
      </x:c>
      <x:c r="I3090" s="87" t="n">
        <x:v>181</x:v>
      </x:c>
      <x:c r="J3090" s="68" t="n">
        <x:f>IFERROR(H3090/I3090,"")</x:f>
        <x:v>0.055248618784530384</x:v>
      </x:c>
      <x:c r="K3090" s="69" t="n">
        <x:f>IFERROR(I3090/H3090,"")</x:f>
        <x:v>18.1</x:v>
      </x:c>
      <x:c r="L3090" s="66" t="str">
        <x:f>IF(K3090="","","1 : "&amp;TEXT(K3090,"0.0"))</x:f>
        <x:v>1 : 18.1</x:v>
      </x:c>
      <x:c r="M3090" s="66" t="str">
        <x:f>IF(J3090="","Baru/Tanpa Data",IF(J3090&lt;='Catatan &amp; Sumber'!$B$14,"Sangat Ketat",IF(J3090&lt;='Catatan &amp; Sumber'!$B$15,"Ketat",IF(J3090&lt;='Catatan &amp; Sumber'!$B$16,"Sedang","Relatif Longgar"))))</x:f>
        <x:v>Sedang</x:v>
      </x:c>
      <x:c r="N3090" s="66" t="str">
        <x:v>Tidak Ada</x:v>
      </x:c>
      <x:c r="O3090" s="66" t="str">
        <x:v>Jawa Barat</x:v>
      </x:c>
      <x:c r="P3090" s="66" t="str">
        <x:v>Kota Depok</x:v>
      </x:c>
      <x:c r="Q3090" s="66" t="str">
        <x:v>https://snpmb.id/snbp/daya-tampung-snbp</x:v>
      </x:c>
      <x:c r="R3090" s="66" t="str">
        <x:v>https://sidatagrun-public-1076756628210.asia-southeast2.run.app/ptn_sn.php?ptn=421</x:v>
      </x:c>
    </x:row>
    <x:row r="3091">
      <x:c r="A3091" s="87" t="n">
        <x:v>837</x:v>
      </x:c>
      <x:c r="B3091" s="66" t="n">
        <x:v>421</x:v>
      </x:c>
      <x:c r="C3091" s="66" t="str">
        <x:v>POLITEKNIK NEGERI JAKARTA</x:v>
      </x:c>
      <x:c r="D3091" s="66" t="str">
        <x:v>PTN Vokasi</x:v>
      </x:c>
      <x:c r="E3091" s="66" t="str">
        <x:v>24212007</x:v>
      </x:c>
      <x:c r="F3091" s="66" t="str">
        <x:v>BROADBAND MULTIMEDIA</x:v>
      </x:c>
      <x:c r="G3091" s="66" t="str">
        <x:v>Sarjana Terapan</x:v>
      </x:c>
      <x:c r="H3091" s="87" t="n">
        <x:v>10</x:v>
      </x:c>
      <x:c r="I3091" s="87" t="n">
        <x:v>146</x:v>
      </x:c>
      <x:c r="J3091" s="68" t="n">
        <x:f>IFERROR(H3091/I3091,"")</x:f>
        <x:v>0.0684931506849315</x:v>
      </x:c>
      <x:c r="K3091" s="69" t="n">
        <x:f>IFERROR(I3091/H3091,"")</x:f>
        <x:v>14.6</x:v>
      </x:c>
      <x:c r="L3091" s="66" t="str">
        <x:f>IF(K3091="","","1 : "&amp;TEXT(K3091,"0.0"))</x:f>
        <x:v>1 : 14.6</x:v>
      </x:c>
      <x:c r="M3091" s="66" t="str">
        <x:f>IF(J3091="","Baru/Tanpa Data",IF(J3091&lt;='Catatan &amp; Sumber'!$B$14,"Sangat Ketat",IF(J3091&lt;='Catatan &amp; Sumber'!$B$15,"Ketat",IF(J3091&lt;='Catatan &amp; Sumber'!$B$16,"Sedang","Relatif Longgar"))))</x:f>
        <x:v>Sedang</x:v>
      </x:c>
      <x:c r="N3091" s="66" t="str">
        <x:v>Tidak Ada</x:v>
      </x:c>
      <x:c r="O3091" s="66" t="str">
        <x:v>Jawa Barat</x:v>
      </x:c>
      <x:c r="P3091" s="66" t="str">
        <x:v>Kota Depok</x:v>
      </x:c>
      <x:c r="Q3091" s="66" t="str">
        <x:v>https://snpmb.id/snbp/daya-tampung-snbp</x:v>
      </x:c>
      <x:c r="R3091" s="66" t="str">
        <x:v>https://sidatagrun-public-1076756628210.asia-southeast2.run.app/ptn_sn.php?ptn=421</x:v>
      </x:c>
    </x:row>
    <x:row r="3092">
      <x:c r="A3092" s="87" t="n">
        <x:v>22</x:v>
      </x:c>
      <x:c r="B3092" s="66" t="n">
        <x:v>421</x:v>
      </x:c>
      <x:c r="C3092" s="66" t="str">
        <x:v>POLITEKNIK NEGERI JAKARTA</x:v>
      </x:c>
      <x:c r="D3092" s="66" t="str">
        <x:v>PTN Vokasi</x:v>
      </x:c>
      <x:c r="E3092" s="66" t="str">
        <x:v>24212008</x:v>
      </x:c>
      <x:c r="F3092" s="66" t="str">
        <x:v>TEKNIK INFORMATIKA</x:v>
      </x:c>
      <x:c r="G3092" s="66" t="str">
        <x:v>Sarjana Terapan</x:v>
      </x:c>
      <x:c r="H3092" s="87" t="n">
        <x:v>18</x:v>
      </x:c>
      <x:c r="I3092" s="87" t="n">
        <x:v>1008</x:v>
      </x:c>
      <x:c r="J3092" s="68" t="n">
        <x:f>IFERROR(H3092/I3092,"")</x:f>
        <x:v>0.017857142857142856</x:v>
      </x:c>
      <x:c r="K3092" s="69" t="n">
        <x:f>IFERROR(I3092/H3092,"")</x:f>
        <x:v>56</x:v>
      </x:c>
      <x:c r="L3092" s="66" t="str">
        <x:f>IF(K3092="","","1 : "&amp;TEXT(K3092,"0.0"))</x:f>
        <x:v>1 : 56.0</x:v>
      </x:c>
      <x:c r="M3092" s="66" t="str">
        <x:f>IF(J3092="","Baru/Tanpa Data",IF(J3092&lt;='Catatan &amp; Sumber'!$B$14,"Sangat Ketat",IF(J3092&lt;='Catatan &amp; Sumber'!$B$15,"Ketat",IF(J3092&lt;='Catatan &amp; Sumber'!$B$16,"Sedang","Relatif Longgar"))))</x:f>
        <x:v>Sangat Ketat</x:v>
      </x:c>
      <x:c r="N3092" s="66" t="str">
        <x:v>Tidak Ada</x:v>
      </x:c>
      <x:c r="O3092" s="66" t="str">
        <x:v>Jawa Barat</x:v>
      </x:c>
      <x:c r="P3092" s="66" t="str">
        <x:v>Kota Depok</x:v>
      </x:c>
      <x:c r="Q3092" s="66" t="str">
        <x:v>https://snpmb.id/snbp/daya-tampung-snbp</x:v>
      </x:c>
      <x:c r="R3092" s="66" t="str">
        <x:v>https://sidatagrun-public-1076756628210.asia-southeast2.run.app/ptn_sn.php?ptn=421</x:v>
      </x:c>
    </x:row>
    <x:row r="3093">
      <x:c r="A3093" s="87" t="n">
        <x:v>299</x:v>
      </x:c>
      <x:c r="B3093" s="66" t="n">
        <x:v>421</x:v>
      </x:c>
      <x:c r="C3093" s="66" t="str">
        <x:v>POLITEKNIK NEGERI JAKARTA</x:v>
      </x:c>
      <x:c r="D3093" s="66" t="str">
        <x:v>PTN Vokasi</x:v>
      </x:c>
      <x:c r="E3093" s="66" t="str">
        <x:v>24212009</x:v>
      </x:c>
      <x:c r="F3093" s="66" t="str">
        <x:v>TEKNIK MULTIMEDIA DAN JARINGAN</x:v>
      </x:c>
      <x:c r="G3093" s="66" t="str">
        <x:v>Sarjana Terapan</x:v>
      </x:c>
      <x:c r="H3093" s="87" t="n">
        <x:v>18</x:v>
      </x:c>
      <x:c r="I3093" s="87" t="n">
        <x:v>423</x:v>
      </x:c>
      <x:c r="J3093" s="68" t="n">
        <x:f>IFERROR(H3093/I3093,"")</x:f>
        <x:v>0.0425531914893617</x:v>
      </x:c>
      <x:c r="K3093" s="69" t="n">
        <x:f>IFERROR(I3093/H3093,"")</x:f>
        <x:v>23.5</x:v>
      </x:c>
      <x:c r="L3093" s="66" t="str">
        <x:f>IF(K3093="","","1 : "&amp;TEXT(K3093,"0.0"))</x:f>
        <x:v>1 : 23.5</x:v>
      </x:c>
      <x:c r="M3093" s="66" t="str">
        <x:f>IF(J3093="","Baru/Tanpa Data",IF(J3093&lt;='Catatan &amp; Sumber'!$B$14,"Sangat Ketat",IF(J3093&lt;='Catatan &amp; Sumber'!$B$15,"Ketat",IF(J3093&lt;='Catatan &amp; Sumber'!$B$16,"Sedang","Relatif Longgar"))))</x:f>
        <x:v>Ketat</x:v>
      </x:c>
      <x:c r="N3093" s="66" t="str">
        <x:v>Tidak Ada</x:v>
      </x:c>
      <x:c r="O3093" s="66" t="str">
        <x:v>Jawa Barat</x:v>
      </x:c>
      <x:c r="P3093" s="66" t="str">
        <x:v>Kota Depok</x:v>
      </x:c>
      <x:c r="Q3093" s="66" t="str">
        <x:v>https://snpmb.id/snbp/daya-tampung-snbp</x:v>
      </x:c>
      <x:c r="R3093" s="66" t="str">
        <x:v>https://sidatagrun-public-1076756628210.asia-southeast2.run.app/ptn_sn.php?ptn=421</x:v>
      </x:c>
    </x:row>
    <x:row r="3094">
      <x:c r="A3094" s="87" t="n">
        <x:v>288</x:v>
      </x:c>
      <x:c r="B3094" s="66" t="n">
        <x:v>421</x:v>
      </x:c>
      <x:c r="C3094" s="66" t="str">
        <x:v>POLITEKNIK NEGERI JAKARTA</x:v>
      </x:c>
      <x:c r="D3094" s="66" t="str">
        <x:v>PTN Vokasi</x:v>
      </x:c>
      <x:c r="E3094" s="66" t="str">
        <x:v>24212010</x:v>
      </x:c>
      <x:c r="F3094" s="66" t="str">
        <x:v>TEKNIK MULTIMEDIA DIGITAL</x:v>
      </x:c>
      <x:c r="G3094" s="66" t="str">
        <x:v>Sarjana Terapan</x:v>
      </x:c>
      <x:c r="H3094" s="87" t="n">
        <x:v>18</x:v>
      </x:c>
      <x:c r="I3094" s="87" t="n">
        <x:v>430</x:v>
      </x:c>
      <x:c r="J3094" s="68" t="n">
        <x:f>IFERROR(H3094/I3094,"")</x:f>
        <x:v>0.04186046511627907</x:v>
      </x:c>
      <x:c r="K3094" s="69" t="n">
        <x:f>IFERROR(I3094/H3094,"")</x:f>
        <x:v>23.88888888888889</x:v>
      </x:c>
      <x:c r="L3094" s="66" t="str">
        <x:f>IF(K3094="","","1 : "&amp;TEXT(K3094,"0.0"))</x:f>
        <x:v>1 : 23.9</x:v>
      </x:c>
      <x:c r="M3094" s="66" t="str">
        <x:f>IF(J3094="","Baru/Tanpa Data",IF(J3094&lt;='Catatan &amp; Sumber'!$B$14,"Sangat Ketat",IF(J3094&lt;='Catatan &amp; Sumber'!$B$15,"Ketat",IF(J3094&lt;='Catatan &amp; Sumber'!$B$16,"Sedang","Relatif Longgar"))))</x:f>
        <x:v>Ketat</x:v>
      </x:c>
      <x:c r="N3094" s="66" t="str">
        <x:v>Tidak Ada</x:v>
      </x:c>
      <x:c r="O3094" s="66" t="str">
        <x:v>Jawa Barat</x:v>
      </x:c>
      <x:c r="P3094" s="66" t="str">
        <x:v>Kota Depok</x:v>
      </x:c>
      <x:c r="Q3094" s="66" t="str">
        <x:v>https://snpmb.id/snbp/daya-tampung-snbp</x:v>
      </x:c>
      <x:c r="R3094" s="66" t="str">
        <x:v>https://sidatagrun-public-1076756628210.asia-southeast2.run.app/ptn_sn.php?ptn=421</x:v>
      </x:c>
    </x:row>
    <x:row r="3095">
      <x:c r="A3095" s="87" t="n">
        <x:v>116</x:v>
      </x:c>
      <x:c r="B3095" s="66" t="n">
        <x:v>421</x:v>
      </x:c>
      <x:c r="C3095" s="66" t="str">
        <x:v>POLITEKNIK NEGERI JAKARTA</x:v>
      </x:c>
      <x:c r="D3095" s="66" t="str">
        <x:v>PTN Vokasi</x:v>
      </x:c>
      <x:c r="E3095" s="66" t="str">
        <x:v>24212011</x:v>
      </x:c>
      <x:c r="F3095" s="66" t="str">
        <x:v>DESAIN GRAFIS</x:v>
      </x:c>
      <x:c r="G3095" s="66" t="str">
        <x:v>Sarjana Terapan</x:v>
      </x:c>
      <x:c r="H3095" s="87" t="n">
        <x:v>17</x:v>
      </x:c>
      <x:c r="I3095" s="87" t="n">
        <x:v>559</x:v>
      </x:c>
      <x:c r="J3095" s="68" t="n">
        <x:f>IFERROR(H3095/I3095,"")</x:f>
        <x:v>0.03041144901610018</x:v>
      </x:c>
      <x:c r="K3095" s="69" t="n">
        <x:f>IFERROR(I3095/H3095,"")</x:f>
        <x:v>32.88235294117647</x:v>
      </x:c>
      <x:c r="L3095" s="66" t="str">
        <x:f>IF(K3095="","","1 : "&amp;TEXT(K3095,"0.0"))</x:f>
        <x:v>1 : 32.9</x:v>
      </x:c>
      <x:c r="M3095" s="66" t="str">
        <x:f>IF(J3095="","Baru/Tanpa Data",IF(J3095&lt;='Catatan &amp; Sumber'!$B$14,"Sangat Ketat",IF(J3095&lt;='Catatan &amp; Sumber'!$B$15,"Ketat",IF(J3095&lt;='Catatan &amp; Sumber'!$B$16,"Sedang","Relatif Longgar"))))</x:f>
        <x:v>Ketat</x:v>
      </x:c>
      <x:c r="N3095" s="66" t="str">
        <x:v>Seni Rupa, Desain, dan Kriya</x:v>
      </x:c>
      <x:c r="O3095" s="66" t="str">
        <x:v>Jawa Barat</x:v>
      </x:c>
      <x:c r="P3095" s="66" t="str">
        <x:v>Kota Depok</x:v>
      </x:c>
      <x:c r="Q3095" s="66" t="str">
        <x:v>https://snpmb.id/snbp/daya-tampung-snbp</x:v>
      </x:c>
      <x:c r="R3095" s="66" t="str">
        <x:v>https://sidatagrun-public-1076756628210.asia-southeast2.run.app/ptn_sn.php?ptn=421</x:v>
      </x:c>
    </x:row>
    <x:row r="3096">
      <x:c r="A3096" s="87" t="n">
        <x:v>1723</x:v>
      </x:c>
      <x:c r="B3096" s="66" t="n">
        <x:v>421</x:v>
      </x:c>
      <x:c r="C3096" s="66" t="str">
        <x:v>POLITEKNIK NEGERI JAKARTA</x:v>
      </x:c>
      <x:c r="D3096" s="66" t="str">
        <x:v>PTN Vokasi</x:v>
      </x:c>
      <x:c r="E3096" s="66" t="str">
        <x:v>24212012</x:v>
      </x:c>
      <x:c r="F3096" s="66" t="str">
        <x:v>TEKNOLOGI INDUSTRI CETAK KEMASAN</x:v>
      </x:c>
      <x:c r="G3096" s="66" t="str">
        <x:v>Sarjana Terapan</x:v>
      </x:c>
      <x:c r="H3096" s="87" t="n">
        <x:v>17</x:v>
      </x:c>
      <x:c r="I3096" s="87" t="n">
        <x:v>135</x:v>
      </x:c>
      <x:c r="J3096" s="68" t="n">
        <x:f>IFERROR(H3096/I3096,"")</x:f>
        <x:v>0.1259259259259259</x:v>
      </x:c>
      <x:c r="K3096" s="69" t="n">
        <x:f>IFERROR(I3096/H3096,"")</x:f>
        <x:v>7.9411764705882355</x:v>
      </x:c>
      <x:c r="L3096" s="66" t="str">
        <x:f>IF(K3096="","","1 : "&amp;TEXT(K3096,"0.0"))</x:f>
        <x:v>1 : 7.9</x:v>
      </x:c>
      <x:c r="M3096" s="66" t="str">
        <x:f>IF(J3096="","Baru/Tanpa Data",IF(J3096&lt;='Catatan &amp; Sumber'!$B$14,"Sangat Ketat",IF(J3096&lt;='Catatan &amp; Sumber'!$B$15,"Ketat",IF(J3096&lt;='Catatan &amp; Sumber'!$B$16,"Sedang","Relatif Longgar"))))</x:f>
        <x:v>Relatif Longgar</x:v>
      </x:c>
      <x:c r="N3096" s="66" t="str">
        <x:v>Tidak Ada</x:v>
      </x:c>
      <x:c r="O3096" s="66" t="str">
        <x:v>Jawa Barat</x:v>
      </x:c>
      <x:c r="P3096" s="66" t="str">
        <x:v>Kota Depok</x:v>
      </x:c>
      <x:c r="Q3096" s="66" t="str">
        <x:v>https://snpmb.id/snbp/daya-tampung-snbp</x:v>
      </x:c>
      <x:c r="R3096" s="66" t="str">
        <x:v>https://sidatagrun-public-1076756628210.asia-southeast2.run.app/ptn_sn.php?ptn=421</x:v>
      </x:c>
    </x:row>
    <x:row r="3097">
      <x:c r="A3097" s="87" t="n">
        <x:v>4545</x:v>
      </x:c>
      <x:c r="B3097" s="66" t="n">
        <x:v>421</x:v>
      </x:c>
      <x:c r="C3097" s="66" t="str">
        <x:v>POLITEKNIK NEGERI JAKARTA</x:v>
      </x:c>
      <x:c r="D3097" s="66" t="str">
        <x:v>PTN Vokasi</x:v>
      </x:c>
      <x:c r="E3097" s="66" t="str">
        <x:v>24212014</x:v>
      </x:c>
      <x:c r="F3097" s="66" t="str">
        <x:v>TEKNOLOGI REKAYASA MANUFAKTUR (KAMPUS KOTA PEKALONGAN)</x:v>
      </x:c>
      <x:c r="G3097" s="66" t="str">
        <x:v>Sarjana Terapan</x:v>
      </x:c>
      <x:c r="H3097" s="87" t="n">
        <x:v>6</x:v>
      </x:c>
      <x:c r="I3097" s="87" t="n">
        <x:v>4</x:v>
      </x:c>
      <x:c r="J3097" s="68" t="n">
        <x:f>IFERROR(H3097/I3097,"")</x:f>
        <x:v>1.5</x:v>
      </x:c>
      <x:c r="K3097" s="69" t="n">
        <x:f>IFERROR(I3097/H3097,"")</x:f>
        <x:v>0.6666666666666666</x:v>
      </x:c>
      <x:c r="L3097" s="66" t="str">
        <x:f>IF(K3097="","","1 : "&amp;TEXT(K3097,"0.0"))</x:f>
        <x:v>1 : 0.7</x:v>
      </x:c>
      <x:c r="M3097" s="66" t="str">
        <x:f>IF(J3097="","Baru/Tanpa Data",IF(J3097&lt;='Catatan &amp; Sumber'!$B$14,"Sangat Ketat",IF(J3097&lt;='Catatan &amp; Sumber'!$B$15,"Ketat",IF(J3097&lt;='Catatan &amp; Sumber'!$B$16,"Sedang","Relatif Longgar"))))</x:f>
        <x:v>Relatif Longgar</x:v>
      </x:c>
      <x:c r="N3097" s="66" t="str">
        <x:v>Tidak Ada</x:v>
      </x:c>
      <x:c r="O3097" s="66" t="str">
        <x:v>Jawa Barat</x:v>
      </x:c>
      <x:c r="P3097" s="66" t="str">
        <x:v>Kota Depok</x:v>
      </x:c>
      <x:c r="Q3097" s="66" t="str">
        <x:v>https://snpmb.id/snbp/daya-tampung-snbp</x:v>
      </x:c>
      <x:c r="R3097" s="66" t="str">
        <x:v>https://sidatagrun-public-1076756628210.asia-southeast2.run.app/ptn_sn.php?ptn=421</x:v>
      </x:c>
    </x:row>
    <x:row r="3098">
      <x:c r="A3098" s="87" t="n">
        <x:v>809</x:v>
      </x:c>
      <x:c r="B3098" s="66" t="n">
        <x:v>421</x:v>
      </x:c>
      <x:c r="C3098" s="66" t="str">
        <x:v>POLITEKNIK NEGERI JAKARTA</x:v>
      </x:c>
      <x:c r="D3098" s="66" t="str">
        <x:v>PTN Vokasi</x:v>
      </x:c>
      <x:c r="E3098" s="66" t="str">
        <x:v>24212015</x:v>
      </x:c>
      <x:c r="F3098" s="66" t="str">
        <x:v>TEKNOLOGI REKAYASA KONVERSI ENERGI</x:v>
      </x:c>
      <x:c r="G3098" s="66" t="str">
        <x:v>Sarjana Terapan</x:v>
      </x:c>
      <x:c r="H3098" s="87" t="n">
        <x:v>15</x:v>
      </x:c>
      <x:c r="I3098" s="87" t="n">
        <x:v>223</x:v>
      </x:c>
      <x:c r="J3098" s="68" t="n">
        <x:f>IFERROR(H3098/I3098,"")</x:f>
        <x:v>0.06726457399103139</x:v>
      </x:c>
      <x:c r="K3098" s="69" t="n">
        <x:f>IFERROR(I3098/H3098,"")</x:f>
        <x:v>14.866666666666667</x:v>
      </x:c>
      <x:c r="L3098" s="66" t="str">
        <x:f>IF(K3098="","","1 : "&amp;TEXT(K3098,"0.0"))</x:f>
        <x:v>1 : 14.9</x:v>
      </x:c>
      <x:c r="M3098" s="66" t="str">
        <x:f>IF(J3098="","Baru/Tanpa Data",IF(J3098&lt;='Catatan &amp; Sumber'!$B$14,"Sangat Ketat",IF(J3098&lt;='Catatan &amp; Sumber'!$B$15,"Ketat",IF(J3098&lt;='Catatan &amp; Sumber'!$B$16,"Sedang","Relatif Longgar"))))</x:f>
        <x:v>Sedang</x:v>
      </x:c>
      <x:c r="N3098" s="66" t="str">
        <x:v>Tidak Ada</x:v>
      </x:c>
      <x:c r="O3098" s="66" t="str">
        <x:v>Jawa Barat</x:v>
      </x:c>
      <x:c r="P3098" s="66" t="str">
        <x:v>Kota Depok</x:v>
      </x:c>
      <x:c r="Q3098" s="66" t="str">
        <x:v>https://snpmb.id/snbp/daya-tampung-snbp</x:v>
      </x:c>
      <x:c r="R3098" s="66" t="str">
        <x:v>https://sidatagrun-public-1076756628210.asia-southeast2.run.app/ptn_sn.php?ptn=421</x:v>
      </x:c>
    </x:row>
    <x:row r="3099">
      <x:c r="A3099" s="87" t="n">
        <x:v>486</x:v>
      </x:c>
      <x:c r="B3099" s="66" t="n">
        <x:v>421</x:v>
      </x:c>
      <x:c r="C3099" s="66" t="str">
        <x:v>POLITEKNIK NEGERI JAKARTA</x:v>
      </x:c>
      <x:c r="D3099" s="66" t="str">
        <x:v>PTN Vokasi</x:v>
      </x:c>
      <x:c r="E3099" s="66" t="str">
        <x:v>24212016</x:v>
      </x:c>
      <x:c r="F3099" s="66" t="str">
        <x:v>TEKNOLOGI REKAYASA PEMELIHARAAN ALAT BERAT</x:v>
      </x:c>
      <x:c r="G3099" s="66" t="str">
        <x:v>Sarjana Terapan</x:v>
      </x:c>
      <x:c r="H3099" s="87" t="n">
        <x:v>15</x:v>
      </x:c>
      <x:c r="I3099" s="87" t="n">
        <x:v>297</x:v>
      </x:c>
      <x:c r="J3099" s="68" t="n">
        <x:f>IFERROR(H3099/I3099,"")</x:f>
        <x:v>0.050505050505050504</x:v>
      </x:c>
      <x:c r="K3099" s="69" t="n">
        <x:f>IFERROR(I3099/H3099,"")</x:f>
        <x:v>19.8</x:v>
      </x:c>
      <x:c r="L3099" s="66" t="str">
        <x:f>IF(K3099="","","1 : "&amp;TEXT(K3099,"0.0"))</x:f>
        <x:v>1 : 19.8</x:v>
      </x:c>
      <x:c r="M3099" s="66" t="str">
        <x:f>IF(J3099="","Baru/Tanpa Data",IF(J3099&lt;='Catatan &amp; Sumber'!$B$14,"Sangat Ketat",IF(J3099&lt;='Catatan &amp; Sumber'!$B$15,"Ketat",IF(J3099&lt;='Catatan &amp; Sumber'!$B$16,"Sedang","Relatif Longgar"))))</x:f>
        <x:v>Sedang</x:v>
      </x:c>
      <x:c r="N3099" s="66" t="str">
        <x:v>Tidak Ada</x:v>
      </x:c>
      <x:c r="O3099" s="66" t="str">
        <x:v>Jawa Barat</x:v>
      </x:c>
      <x:c r="P3099" s="66" t="str">
        <x:v>Kota Depok</x:v>
      </x:c>
      <x:c r="Q3099" s="66" t="str">
        <x:v>https://snpmb.id/snbp/daya-tampung-snbp</x:v>
      </x:c>
      <x:c r="R3099" s="66" t="str">
        <x:v>https://sidatagrun-public-1076756628210.asia-southeast2.run.app/ptn_sn.php?ptn=421</x:v>
      </x:c>
    </x:row>
    <x:row r="3100">
      <x:c r="A3100" s="87" t="n">
        <x:v>31</x:v>
      </x:c>
      <x:c r="B3100" s="66" t="n">
        <x:v>421</x:v>
      </x:c>
      <x:c r="C3100" s="66" t="str">
        <x:v>POLITEKNIK NEGERI JAKARTA</x:v>
      </x:c>
      <x:c r="D3100" s="66" t="str">
        <x:v>PTN Vokasi</x:v>
      </x:c>
      <x:c r="E3100" s="66" t="str">
        <x:v>24212017</x:v>
      </x:c>
      <x:c r="F3100" s="66" t="str">
        <x:v>AKUNTANSI KEUANGAN</x:v>
      </x:c>
      <x:c r="G3100" s="66" t="str">
        <x:v>Sarjana Terapan</x:v>
      </x:c>
      <x:c r="H3100" s="87" t="n">
        <x:v>12</x:v>
      </x:c>
      <x:c r="I3100" s="87" t="n">
        <x:v>619</x:v>
      </x:c>
      <x:c r="J3100" s="68" t="n">
        <x:f>IFERROR(H3100/I3100,"")</x:f>
        <x:v>0.01938610662358643</x:v>
      </x:c>
      <x:c r="K3100" s="69" t="n">
        <x:f>IFERROR(I3100/H3100,"")</x:f>
        <x:v>51.583333333333336</x:v>
      </x:c>
      <x:c r="L3100" s="66" t="str">
        <x:f>IF(K3100="","","1 : "&amp;TEXT(K3100,"0.0"))</x:f>
        <x:v>1 : 51.6</x:v>
      </x:c>
      <x:c r="M3100" s="66" t="str">
        <x:f>IF(J3100="","Baru/Tanpa Data",IF(J3100&lt;='Catatan &amp; Sumber'!$B$14,"Sangat Ketat",IF(J3100&lt;='Catatan &amp; Sumber'!$B$15,"Ketat",IF(J3100&lt;='Catatan &amp; Sumber'!$B$16,"Sedang","Relatif Longgar"))))</x:f>
        <x:v>Sangat Ketat</x:v>
      </x:c>
      <x:c r="N3100" s="66" t="str">
        <x:v>Tidak Ada</x:v>
      </x:c>
      <x:c r="O3100" s="66" t="str">
        <x:v>Jawa Barat</x:v>
      </x:c>
      <x:c r="P3100" s="66" t="str">
        <x:v>Kota Depok</x:v>
      </x:c>
      <x:c r="Q3100" s="66" t="str">
        <x:v>https://snpmb.id/snbp/daya-tampung-snbp</x:v>
      </x:c>
      <x:c r="R3100" s="66" t="str">
        <x:v>https://sidatagrun-public-1076756628210.asia-southeast2.run.app/ptn_sn.php?ptn=421</x:v>
      </x:c>
    </x:row>
    <x:row r="3101">
      <x:c r="A3101" s="87" t="n">
        <x:v>123</x:v>
      </x:c>
      <x:c r="B3101" s="66" t="n">
        <x:v>421</x:v>
      </x:c>
      <x:c r="C3101" s="66" t="str">
        <x:v>POLITEKNIK NEGERI JAKARTA</x:v>
      </x:c>
      <x:c r="D3101" s="66" t="str">
        <x:v>PTN Vokasi</x:v>
      </x:c>
      <x:c r="E3101" s="66" t="str">
        <x:v>24212018</x:v>
      </x:c>
      <x:c r="F3101" s="66" t="str">
        <x:v>KEUANGAN DAN PERBANKAN</x:v>
      </x:c>
      <x:c r="G3101" s="66" t="str">
        <x:v>Sarjana Terapan</x:v>
      </x:c>
      <x:c r="H3101" s="87" t="n">
        <x:v>12</x:v>
      </x:c>
      <x:c r="I3101" s="87" t="n">
        <x:v>390</x:v>
      </x:c>
      <x:c r="J3101" s="68" t="n">
        <x:f>IFERROR(H3101/I3101,"")</x:f>
        <x:v>0.03076923076923077</x:v>
      </x:c>
      <x:c r="K3101" s="69" t="n">
        <x:f>IFERROR(I3101/H3101,"")</x:f>
        <x:v>32.5</x:v>
      </x:c>
      <x:c r="L3101" s="66" t="str">
        <x:f>IF(K3101="","","1 : "&amp;TEXT(K3101,"0.0"))</x:f>
        <x:v>1 : 32.5</x:v>
      </x:c>
      <x:c r="M3101" s="66" t="str">
        <x:f>IF(J3101="","Baru/Tanpa Data",IF(J3101&lt;='Catatan &amp; Sumber'!$B$14,"Sangat Ketat",IF(J3101&lt;='Catatan &amp; Sumber'!$B$15,"Ketat",IF(J3101&lt;='Catatan &amp; Sumber'!$B$16,"Sedang","Relatif Longgar"))))</x:f>
        <x:v>Ketat</x:v>
      </x:c>
      <x:c r="N3101" s="66" t="str">
        <x:v>Tidak Ada</x:v>
      </x:c>
      <x:c r="O3101" s="66" t="str">
        <x:v>Jawa Barat</x:v>
      </x:c>
      <x:c r="P3101" s="66" t="str">
        <x:v>Kota Depok</x:v>
      </x:c>
      <x:c r="Q3101" s="66" t="str">
        <x:v>https://snpmb.id/snbp/daya-tampung-snbp</x:v>
      </x:c>
      <x:c r="R3101" s="66" t="str">
        <x:v>https://sidatagrun-public-1076756628210.asia-southeast2.run.app/ptn_sn.php?ptn=421</x:v>
      </x:c>
    </x:row>
    <x:row r="3102">
      <x:c r="A3102" s="87" t="n">
        <x:v>551</x:v>
      </x:c>
      <x:c r="B3102" s="66" t="n">
        <x:v>421</x:v>
      </x:c>
      <x:c r="C3102" s="66" t="str">
        <x:v>POLITEKNIK NEGERI JAKARTA</x:v>
      </x:c>
      <x:c r="D3102" s="66" t="str">
        <x:v>PTN Vokasi</x:v>
      </x:c>
      <x:c r="E3102" s="66" t="str">
        <x:v>24212019</x:v>
      </x:c>
      <x:c r="F3102" s="66" t="str">
        <x:v>KEUANGAN DAN PEBANKAN SYARIAH</x:v>
      </x:c>
      <x:c r="G3102" s="66" t="str">
        <x:v>Sarjana Terapan</x:v>
      </x:c>
      <x:c r="H3102" s="87" t="n">
        <x:v>12</x:v>
      </x:c>
      <x:c r="I3102" s="87" t="n">
        <x:v>222</x:v>
      </x:c>
      <x:c r="J3102" s="68" t="n">
        <x:f>IFERROR(H3102/I3102,"")</x:f>
        <x:v>0.05405405405405406</x:v>
      </x:c>
      <x:c r="K3102" s="69" t="n">
        <x:f>IFERROR(I3102/H3102,"")</x:f>
        <x:v>18.5</x:v>
      </x:c>
      <x:c r="L3102" s="66" t="str">
        <x:f>IF(K3102="","","1 : "&amp;TEXT(K3102,"0.0"))</x:f>
        <x:v>1 : 18.5</x:v>
      </x:c>
      <x:c r="M3102" s="66" t="str">
        <x:f>IF(J3102="","Baru/Tanpa Data",IF(J3102&lt;='Catatan &amp; Sumber'!$B$14,"Sangat Ketat",IF(J3102&lt;='Catatan &amp; Sumber'!$B$15,"Ketat",IF(J3102&lt;='Catatan &amp; Sumber'!$B$16,"Sedang","Relatif Longgar"))))</x:f>
        <x:v>Sedang</x:v>
      </x:c>
      <x:c r="N3102" s="66" t="str">
        <x:v>Tidak Ada</x:v>
      </x:c>
      <x:c r="O3102" s="66" t="str">
        <x:v>Jawa Barat</x:v>
      </x:c>
      <x:c r="P3102" s="66" t="str">
        <x:v>Kota Depok</x:v>
      </x:c>
      <x:c r="Q3102" s="66" t="str">
        <x:v>https://snpmb.id/snbp/daya-tampung-snbp</x:v>
      </x:c>
      <x:c r="R3102" s="66" t="str">
        <x:v>https://sidatagrun-public-1076756628210.asia-southeast2.run.app/ptn_sn.php?ptn=421</x:v>
      </x:c>
    </x:row>
    <x:row r="3103">
      <x:c r="A3103" s="87" t="n">
        <x:v>123</x:v>
      </x:c>
      <x:c r="B3103" s="66" t="n">
        <x:v>421</x:v>
      </x:c>
      <x:c r="C3103" s="66" t="str">
        <x:v>POLITEKNIK NEGERI JAKARTA</x:v>
      </x:c>
      <x:c r="D3103" s="66" t="str">
        <x:v>PTN Vokasi</x:v>
      </x:c>
      <x:c r="E3103" s="66" t="str">
        <x:v>24212020</x:v>
      </x:c>
      <x:c r="F3103" s="66" t="str">
        <x:v>MANAJEMEN KEUANGAN</x:v>
      </x:c>
      <x:c r="G3103" s="66" t="str">
        <x:v>Sarjana Terapan</x:v>
      </x:c>
      <x:c r="H3103" s="87" t="n">
        <x:v>12</x:v>
      </x:c>
      <x:c r="I3103" s="87" t="n">
        <x:v>390</x:v>
      </x:c>
      <x:c r="J3103" s="68" t="n">
        <x:f>IFERROR(H3103/I3103,"")</x:f>
        <x:v>0.03076923076923077</x:v>
      </x:c>
      <x:c r="K3103" s="69" t="n">
        <x:f>IFERROR(I3103/H3103,"")</x:f>
        <x:v>32.5</x:v>
      </x:c>
      <x:c r="L3103" s="66" t="str">
        <x:f>IF(K3103="","","1 : "&amp;TEXT(K3103,"0.0"))</x:f>
        <x:v>1 : 32.5</x:v>
      </x:c>
      <x:c r="M3103" s="66" t="str">
        <x:f>IF(J3103="","Baru/Tanpa Data",IF(J3103&lt;='Catatan &amp; Sumber'!$B$14,"Sangat Ketat",IF(J3103&lt;='Catatan &amp; Sumber'!$B$15,"Ketat",IF(J3103&lt;='Catatan &amp; Sumber'!$B$16,"Sedang","Relatif Longgar"))))</x:f>
        <x:v>Ketat</x:v>
      </x:c>
      <x:c r="N3103" s="66" t="str">
        <x:v>Tidak Ada</x:v>
      </x:c>
      <x:c r="O3103" s="66" t="str">
        <x:v>Jawa Barat</x:v>
      </x:c>
      <x:c r="P3103" s="66" t="str">
        <x:v>Kota Depok</x:v>
      </x:c>
      <x:c r="Q3103" s="66" t="str">
        <x:v>https://snpmb.id/snbp/daya-tampung-snbp</x:v>
      </x:c>
      <x:c r="R3103" s="66" t="str">
        <x:v>https://sidatagrun-public-1076756628210.asia-southeast2.run.app/ptn_sn.php?ptn=421</x:v>
      </x:c>
    </x:row>
    <x:row r="3104">
      <x:c r="A3104" s="87" t="n">
        <x:v>900</x:v>
      </x:c>
      <x:c r="B3104" s="66" t="n">
        <x:v>421</x:v>
      </x:c>
      <x:c r="C3104" s="66" t="str">
        <x:v>POLITEKNIK NEGERI JAKARTA</x:v>
      </x:c>
      <x:c r="D3104" s="66" t="str">
        <x:v>PTN Vokasi</x:v>
      </x:c>
      <x:c r="E3104" s="66" t="str">
        <x:v>24212021</x:v>
      </x:c>
      <x:c r="F3104" s="66" t="str">
        <x:v>USAHA JASA KONVENSI, PERJALANAN INSENTIF DAN PAMERAN</x:v>
      </x:c>
      <x:c r="G3104" s="66" t="str">
        <x:v>Sarjana Terapan</x:v>
      </x:c>
      <x:c r="H3104" s="87" t="n">
        <x:v>21</x:v>
      </x:c>
      <x:c r="I3104" s="87" t="n">
        <x:v>291</x:v>
      </x:c>
      <x:c r="J3104" s="68" t="n">
        <x:f>IFERROR(H3104/I3104,"")</x:f>
        <x:v>0.07216494845360824</x:v>
      </x:c>
      <x:c r="K3104" s="69" t="n">
        <x:f>IFERROR(I3104/H3104,"")</x:f>
        <x:v>13.857142857142858</x:v>
      </x:c>
      <x:c r="L3104" s="66" t="str">
        <x:f>IF(K3104="","","1 : "&amp;TEXT(K3104,"0.0"))</x:f>
        <x:v>1 : 13.9</x:v>
      </x:c>
      <x:c r="M3104" s="66" t="str">
        <x:f>IF(J3104="","Baru/Tanpa Data",IF(J3104&lt;='Catatan &amp; Sumber'!$B$14,"Sangat Ketat",IF(J3104&lt;='Catatan &amp; Sumber'!$B$15,"Ketat",IF(J3104&lt;='Catatan &amp; Sumber'!$B$16,"Sedang","Relatif Longgar"))))</x:f>
        <x:v>Sedang</x:v>
      </x:c>
      <x:c r="N3104" s="66" t="str">
        <x:v>Tidak Ada</x:v>
      </x:c>
      <x:c r="O3104" s="66" t="str">
        <x:v>Jawa Barat</x:v>
      </x:c>
      <x:c r="P3104" s="66" t="str">
        <x:v>Kota Depok</x:v>
      </x:c>
      <x:c r="Q3104" s="66" t="str">
        <x:v>https://snpmb.id/snbp/daya-tampung-snbp</x:v>
      </x:c>
      <x:c r="R3104" s="66" t="str">
        <x:v>https://sidatagrun-public-1076756628210.asia-southeast2.run.app/ptn_sn.php?ptn=421</x:v>
      </x:c>
    </x:row>
    <x:row r="3105">
      <x:c r="A3105" s="87" t="n">
        <x:v>33</x:v>
      </x:c>
      <x:c r="B3105" s="66" t="n">
        <x:v>421</x:v>
      </x:c>
      <x:c r="C3105" s="66" t="str">
        <x:v>POLITEKNIK NEGERI JAKARTA</x:v>
      </x:c>
      <x:c r="D3105" s="66" t="str">
        <x:v>PTN Vokasi</x:v>
      </x:c>
      <x:c r="E3105" s="66" t="str">
        <x:v>24212022</x:v>
      </x:c>
      <x:c r="F3105" s="66" t="str">
        <x:v>ADMINISTRASI BISNIS TERAPAN</x:v>
      </x:c>
      <x:c r="G3105" s="66" t="str">
        <x:v>Sarjana Terapan</x:v>
      </x:c>
      <x:c r="H3105" s="87" t="n">
        <x:v>18</x:v>
      </x:c>
      <x:c r="I3105" s="87" t="n">
        <x:v>910</x:v>
      </x:c>
      <x:c r="J3105" s="68" t="n">
        <x:f>IFERROR(H3105/I3105,"")</x:f>
        <x:v>0.01978021978021978</x:v>
      </x:c>
      <x:c r="K3105" s="69" t="n">
        <x:f>IFERROR(I3105/H3105,"")</x:f>
        <x:v>50.55555555555556</x:v>
      </x:c>
      <x:c r="L3105" s="66" t="str">
        <x:f>IF(K3105="","","1 : "&amp;TEXT(K3105,"0.0"))</x:f>
        <x:v>1 : 50.6</x:v>
      </x:c>
      <x:c r="M3105" s="66" t="str">
        <x:f>IF(J3105="","Baru/Tanpa Data",IF(J3105&lt;='Catatan &amp; Sumber'!$B$14,"Sangat Ketat",IF(J3105&lt;='Catatan &amp; Sumber'!$B$15,"Ketat",IF(J3105&lt;='Catatan &amp; Sumber'!$B$16,"Sedang","Relatif Longgar"))))</x:f>
        <x:v>Sangat Ketat</x:v>
      </x:c>
      <x:c r="N3105" s="66" t="str">
        <x:v>Tidak Ada</x:v>
      </x:c>
      <x:c r="O3105" s="66" t="str">
        <x:v>Jawa Barat</x:v>
      </x:c>
      <x:c r="P3105" s="66" t="str">
        <x:v>Kota Depok</x:v>
      </x:c>
      <x:c r="Q3105" s="66" t="str">
        <x:v>https://snpmb.id/snbp/daya-tampung-snbp</x:v>
      </x:c>
      <x:c r="R3105" s="66" t="str">
        <x:v>https://sidatagrun-public-1076756628210.asia-southeast2.run.app/ptn_sn.php?ptn=421</x:v>
      </x:c>
    </x:row>
    <x:row r="3106">
      <x:c r="A3106" s="87" t="n">
        <x:v>494</x:v>
      </x:c>
      <x:c r="B3106" s="66" t="n">
        <x:v>421</x:v>
      </x:c>
      <x:c r="C3106" s="66" t="str">
        <x:v>POLITEKNIK NEGERI JAKARTA</x:v>
      </x:c>
      <x:c r="D3106" s="66" t="str">
        <x:v>PTN Vokasi</x:v>
      </x:c>
      <x:c r="E3106" s="66" t="str">
        <x:v>24212023</x:v>
      </x:c>
      <x:c r="F3106" s="66" t="str">
        <x:v>BAHASA INGGRIS UNTUK KOMUNIKASI BISNIS DAN PROFESIONAL</x:v>
      </x:c>
      <x:c r="G3106" s="66" t="str">
        <x:v>Sarjana Terapan</x:v>
      </x:c>
      <x:c r="H3106" s="87" t="n">
        <x:v>18</x:v>
      </x:c>
      <x:c r="I3106" s="87" t="n">
        <x:v>355</x:v>
      </x:c>
      <x:c r="J3106" s="68" t="n">
        <x:f>IFERROR(H3106/I3106,"")</x:f>
        <x:v>0.05070422535211268</x:v>
      </x:c>
      <x:c r="K3106" s="69" t="n">
        <x:f>IFERROR(I3106/H3106,"")</x:f>
        <x:v>19.72222222222222</x:v>
      </x:c>
      <x:c r="L3106" s="66" t="str">
        <x:f>IF(K3106="","","1 : "&amp;TEXT(K3106,"0.0"))</x:f>
        <x:v>1 : 19.7</x:v>
      </x:c>
      <x:c r="M3106" s="66" t="str">
        <x:f>IF(J3106="","Baru/Tanpa Data",IF(J3106&lt;='Catatan &amp; Sumber'!$B$14,"Sangat Ketat",IF(J3106&lt;='Catatan &amp; Sumber'!$B$15,"Ketat",IF(J3106&lt;='Catatan &amp; Sumber'!$B$16,"Sedang","Relatif Longgar"))))</x:f>
        <x:v>Sedang</x:v>
      </x:c>
      <x:c r="N3106" s="66" t="str">
        <x:v>Tidak Ada</x:v>
      </x:c>
      <x:c r="O3106" s="66" t="str">
        <x:v>Jawa Barat</x:v>
      </x:c>
      <x:c r="P3106" s="66" t="str">
        <x:v>Kota Depok</x:v>
      </x:c>
      <x:c r="Q3106" s="66" t="str">
        <x:v>https://snpmb.id/snbp/daya-tampung-snbp</x:v>
      </x:c>
      <x:c r="R3106" s="66" t="str">
        <x:v>https://sidatagrun-public-1076756628210.asia-southeast2.run.app/ptn_sn.php?ptn=421</x:v>
      </x:c>
    </x:row>
    <x:row r="3107">
      <x:c r="A3107" s="87" t="n">
        <x:v>3654</x:v>
      </x:c>
      <x:c r="B3107" s="66" t="n">
        <x:v>421</x:v>
      </x:c>
      <x:c r="C3107" s="66" t="str">
        <x:v>POLITEKNIK NEGERI JAKARTA</x:v>
      </x:c>
      <x:c r="D3107" s="66" t="str">
        <x:v>PTN Vokasi</x:v>
      </x:c>
      <x:c r="E3107" s="66" t="str">
        <x:v>24212024</x:v>
      </x:c>
      <x:c r="F3107" s="66" t="str">
        <x:v>USAHA JASA KONVENSI, PERJALANAN INSENTIF, DAN PAMERAN (KAMPUS KAB. DEMAK)</x:v>
      </x:c>
      <x:c r="G3107" s="66" t="str">
        <x:v>Sarjana Terapan</x:v>
      </x:c>
      <x:c r="H3107" s="87" t="n">
        <x:v>6</x:v>
      </x:c>
      <x:c r="I3107" s="87" t="n">
        <x:v>12</x:v>
      </x:c>
      <x:c r="J3107" s="68" t="n">
        <x:f>IFERROR(H3107/I3107,"")</x:f>
        <x:v>0.5</x:v>
      </x:c>
      <x:c r="K3107" s="69" t="n">
        <x:f>IFERROR(I3107/H3107,"")</x:f>
        <x:v>2</x:v>
      </x:c>
      <x:c r="L3107" s="66" t="str">
        <x:f>IF(K3107="","","1 : "&amp;TEXT(K3107,"0.0"))</x:f>
        <x:v>1 : 2.0</x:v>
      </x:c>
      <x:c r="M3107" s="66" t="str">
        <x:f>IF(J3107="","Baru/Tanpa Data",IF(J3107&lt;='Catatan &amp; Sumber'!$B$14,"Sangat Ketat",IF(J3107&lt;='Catatan &amp; Sumber'!$B$15,"Ketat",IF(J3107&lt;='Catatan &amp; Sumber'!$B$16,"Sedang","Relatif Longgar"))))</x:f>
        <x:v>Relatif Longgar</x:v>
      </x:c>
      <x:c r="N3107" s="66" t="str">
        <x:v>Tidak Ada</x:v>
      </x:c>
      <x:c r="O3107" s="66" t="str">
        <x:v>Jawa Barat</x:v>
      </x:c>
      <x:c r="P3107" s="66" t="str">
        <x:v>Kota Depok</x:v>
      </x:c>
      <x:c r="Q3107" s="66" t="str">
        <x:v>https://snpmb.id/snbp/daya-tampung-snbp</x:v>
      </x:c>
      <x:c r="R3107" s="66" t="str">
        <x:v>https://sidatagrun-public-1076756628210.asia-southeast2.run.app/ptn_sn.php?ptn=421</x:v>
      </x:c>
    </x:row>
    <x:row r="3108">
      <x:c r="A3108" s="87" t="n">
        <x:v>2334</x:v>
      </x:c>
      <x:c r="B3108" s="66" t="n">
        <x:v>421</x:v>
      </x:c>
      <x:c r="C3108" s="66" t="str">
        <x:v>POLITEKNIK NEGERI JAKARTA</x:v>
      </x:c>
      <x:c r="D3108" s="66" t="str">
        <x:v>PTN Vokasi</x:v>
      </x:c>
      <x:c r="E3108" s="66" t="str">
        <x:v>24212040</x:v>
      </x:c>
      <x:c r="F3108" s="66" t="str">
        <x:v>TEKNOLOGI REKAYASA CETAK DAN GRAFIS 3 DIMENSI</x:v>
      </x:c>
      <x:c r="G3108" s="66" t="str">
        <x:v>Sarjana Terapan</x:v>
      </x:c>
      <x:c r="H3108" s="87" t="n">
        <x:v>12</x:v>
      </x:c>
      <x:c r="I3108" s="87" t="n">
        <x:v>64</x:v>
      </x:c>
      <x:c r="J3108" s="68" t="n">
        <x:f>IFERROR(H3108/I3108,"")</x:f>
        <x:v>0.1875</x:v>
      </x:c>
      <x:c r="K3108" s="69" t="n">
        <x:f>IFERROR(I3108/H3108,"")</x:f>
        <x:v>5.333333333333333</x:v>
      </x:c>
      <x:c r="L3108" s="66" t="str">
        <x:f>IF(K3108="","","1 : "&amp;TEXT(K3108,"0.0"))</x:f>
        <x:v>1 : 5.3</x:v>
      </x:c>
      <x:c r="M3108" s="66" t="str">
        <x:f>IF(J3108="","Baru/Tanpa Data",IF(J3108&lt;='Catatan &amp; Sumber'!$B$14,"Sangat Ketat",IF(J3108&lt;='Catatan &amp; Sumber'!$B$15,"Ketat",IF(J3108&lt;='Catatan &amp; Sumber'!$B$16,"Sedang","Relatif Longgar"))))</x:f>
        <x:v>Relatif Longgar</x:v>
      </x:c>
      <x:c r="N3108" s="66" t="str">
        <x:v>Tidak Ada</x:v>
      </x:c>
      <x:c r="O3108" s="66" t="str">
        <x:v>Jawa Barat</x:v>
      </x:c>
      <x:c r="P3108" s="66" t="str">
        <x:v>Kota Depok</x:v>
      </x:c>
      <x:c r="Q3108" s="66" t="str">
        <x:v>https://snpmb.id/snbp/daya-tampung-snbp</x:v>
      </x:c>
      <x:c r="R3108" s="66" t="str">
        <x:v>https://sidatagrun-public-1076756628210.asia-southeast2.run.app/ptn_sn.php?ptn=421</x:v>
      </x:c>
    </x:row>
    <x:row r="3109">
      <x:c r="A3109" s="87" t="n">
        <x:v>425</x:v>
      </x:c>
      <x:c r="B3109" s="66" t="n">
        <x:v>421</x:v>
      </x:c>
      <x:c r="C3109" s="66" t="str">
        <x:v>POLITEKNIK NEGERI JAKARTA</x:v>
      </x:c>
      <x:c r="D3109" s="66" t="str">
        <x:v>PTN Vokasi</x:v>
      </x:c>
      <x:c r="E3109" s="66" t="str">
        <x:v>24213025</x:v>
      </x:c>
      <x:c r="F3109" s="66" t="str">
        <x:v>ADMINISTRASI BISNIS</x:v>
      </x:c>
      <x:c r="G3109" s="66" t="str">
        <x:v>Diploma Tiga</x:v>
      </x:c>
      <x:c r="H3109" s="87" t="n">
        <x:v>24</x:v>
      </x:c>
      <x:c r="I3109" s="87" t="n">
        <x:v>500</x:v>
      </x:c>
      <x:c r="J3109" s="68" t="n">
        <x:f>IFERROR(H3109/I3109,"")</x:f>
        <x:v>0.048</x:v>
      </x:c>
      <x:c r="K3109" s="69" t="n">
        <x:f>IFERROR(I3109/H3109,"")</x:f>
        <x:v>20.833333333333332</x:v>
      </x:c>
      <x:c r="L3109" s="66" t="str">
        <x:f>IF(K3109="","","1 : "&amp;TEXT(K3109,"0.0"))</x:f>
        <x:v>1 : 20.8</x:v>
      </x:c>
      <x:c r="M3109" s="66" t="str">
        <x:f>IF(J3109="","Baru/Tanpa Data",IF(J3109&lt;='Catatan &amp; Sumber'!$B$14,"Sangat Ketat",IF(J3109&lt;='Catatan &amp; Sumber'!$B$15,"Ketat",IF(J3109&lt;='Catatan &amp; Sumber'!$B$16,"Sedang","Relatif Longgar"))))</x:f>
        <x:v>Ketat</x:v>
      </x:c>
      <x:c r="N3109" s="66" t="str">
        <x:v>Tidak Ada</x:v>
      </x:c>
      <x:c r="O3109" s="66" t="str">
        <x:v>Jawa Barat</x:v>
      </x:c>
      <x:c r="P3109" s="66" t="str">
        <x:v>Kota Depok</x:v>
      </x:c>
      <x:c r="Q3109" s="66" t="str">
        <x:v>https://snpmb.id/snbp/daya-tampung-snbp</x:v>
      </x:c>
      <x:c r="R3109" s="66" t="str">
        <x:v>https://sidatagrun-public-1076756628210.asia-southeast2.run.app/ptn_sn.php?ptn=421</x:v>
      </x:c>
    </x:row>
    <x:row r="3110">
      <x:c r="A3110" s="87" t="n">
        <x:v>4305</x:v>
      </x:c>
      <x:c r="B3110" s="66" t="n">
        <x:v>421</x:v>
      </x:c>
      <x:c r="C3110" s="66" t="str">
        <x:v>POLITEKNIK NEGERI JAKARTA</x:v>
      </x:c>
      <x:c r="D3110" s="66" t="str">
        <x:v>PTN Vokasi</x:v>
      </x:c>
      <x:c r="E3110" s="66" t="str">
        <x:v>24213026</x:v>
      </x:c>
      <x:c r="F3110" s="66" t="str">
        <x:v>TEKNIK MESIN (KAMPUS KAB. DEMAK)</x:v>
      </x:c>
      <x:c r="G3110" s="66" t="str">
        <x:v>Diploma Tiga</x:v>
      </x:c>
      <x:c r="H3110" s="87" t="n">
        <x:v>6</x:v>
      </x:c>
      <x:c r="I3110" s="87" t="n">
        <x:v>6</x:v>
      </x:c>
      <x:c r="J3110" s="68" t="n">
        <x:f>IFERROR(H3110/I3110,"")</x:f>
        <x:v>1</x:v>
      </x:c>
      <x:c r="K3110" s="69" t="n">
        <x:f>IFERROR(I3110/H3110,"")</x:f>
        <x:v>1</x:v>
      </x:c>
      <x:c r="L3110" s="66" t="str">
        <x:f>IF(K3110="","","1 : "&amp;TEXT(K3110,"0.0"))</x:f>
        <x:v>1 : 1.0</x:v>
      </x:c>
      <x:c r="M3110" s="66" t="str">
        <x:f>IF(J3110="","Baru/Tanpa Data",IF(J3110&lt;='Catatan &amp; Sumber'!$B$14,"Sangat Ketat",IF(J3110&lt;='Catatan &amp; Sumber'!$B$15,"Ketat",IF(J3110&lt;='Catatan &amp; Sumber'!$B$16,"Sedang","Relatif Longgar"))))</x:f>
        <x:v>Relatif Longgar</x:v>
      </x:c>
      <x:c r="N3110" s="66" t="str">
        <x:v>Tidak Ada</x:v>
      </x:c>
      <x:c r="O3110" s="66" t="str">
        <x:v>Jawa Barat</x:v>
      </x:c>
      <x:c r="P3110" s="66" t="str">
        <x:v>Kota Depok</x:v>
      </x:c>
      <x:c r="Q3110" s="66" t="str">
        <x:v>https://snpmb.id/snbp/daya-tampung-snbp</x:v>
      </x:c>
      <x:c r="R3110" s="66" t="str">
        <x:v>https://sidatagrun-public-1076756628210.asia-southeast2.run.app/ptn_sn.php?ptn=421</x:v>
      </x:c>
    </x:row>
    <x:row r="3111">
      <x:c r="A3111" s="87" t="n">
        <x:v>391</x:v>
      </x:c>
      <x:c r="B3111" s="66" t="n">
        <x:v>421</x:v>
      </x:c>
      <x:c r="C3111" s="66" t="str">
        <x:v>POLITEKNIK NEGERI JAKARTA</x:v>
      </x:c>
      <x:c r="D3111" s="66" t="str">
        <x:v>PTN Vokasi</x:v>
      </x:c>
      <x:c r="E3111" s="66" t="str">
        <x:v>24213027</x:v>
      </x:c>
      <x:c r="F3111" s="66" t="str">
        <x:v>TEKNIK MESIN</x:v>
      </x:c>
      <x:c r="G3111" s="66" t="str">
        <x:v>Diploma Tiga</x:v>
      </x:c>
      <x:c r="H3111" s="87" t="n">
        <x:v>24</x:v>
      </x:c>
      <x:c r="I3111" s="87" t="n">
        <x:v>518</x:v>
      </x:c>
      <x:c r="J3111" s="68" t="n">
        <x:f>IFERROR(H3111/I3111,"")</x:f>
        <x:v>0.04633204633204633</x:v>
      </x:c>
      <x:c r="K3111" s="69" t="n">
        <x:f>IFERROR(I3111/H3111,"")</x:f>
        <x:v>21.583333333333332</x:v>
      </x:c>
      <x:c r="L3111" s="66" t="str">
        <x:f>IF(K3111="","","1 : "&amp;TEXT(K3111,"0.0"))</x:f>
        <x:v>1 : 21.6</x:v>
      </x:c>
      <x:c r="M3111" s="66" t="str">
        <x:f>IF(J3111="","Baru/Tanpa Data",IF(J3111&lt;='Catatan &amp; Sumber'!$B$14,"Sangat Ketat",IF(J3111&lt;='Catatan &amp; Sumber'!$B$15,"Ketat",IF(J3111&lt;='Catatan &amp; Sumber'!$B$16,"Sedang","Relatif Longgar"))))</x:f>
        <x:v>Ketat</x:v>
      </x:c>
      <x:c r="N3111" s="66" t="str">
        <x:v>Tidak Ada</x:v>
      </x:c>
      <x:c r="O3111" s="66" t="str">
        <x:v>Jawa Barat</x:v>
      </x:c>
      <x:c r="P3111" s="66" t="str">
        <x:v>Kota Depok</x:v>
      </x:c>
      <x:c r="Q3111" s="66" t="str">
        <x:v>https://snpmb.id/snbp/daya-tampung-snbp</x:v>
      </x:c>
      <x:c r="R3111" s="66" t="str">
        <x:v>https://sidatagrun-public-1076756628210.asia-southeast2.run.app/ptn_sn.php?ptn=421</x:v>
      </x:c>
    </x:row>
    <x:row r="3112">
      <x:c r="A3112" s="87" t="n">
        <x:v>1515</x:v>
      </x:c>
      <x:c r="B3112" s="66" t="n">
        <x:v>421</x:v>
      </x:c>
      <x:c r="C3112" s="66" t="str">
        <x:v>POLITEKNIK NEGERI JAKARTA</x:v>
      </x:c>
      <x:c r="D3112" s="66" t="str">
        <x:v>PTN Vokasi</x:v>
      </x:c>
      <x:c r="E3112" s="66" t="str">
        <x:v>24213028</x:v>
      </x:c>
      <x:c r="F3112" s="66" t="str">
        <x:v>ELEKTRONIKA INDUSTRI</x:v>
      </x:c>
      <x:c r="G3112" s="66" t="str">
        <x:v>Diploma Tiga</x:v>
      </x:c>
      <x:c r="H3112" s="87" t="n">
        <x:v>20</x:v>
      </x:c>
      <x:c r="I3112" s="87" t="n">
        <x:v>181</x:v>
      </x:c>
      <x:c r="J3112" s="68" t="n">
        <x:f>IFERROR(H3112/I3112,"")</x:f>
        <x:v>0.11049723756906077</x:v>
      </x:c>
      <x:c r="K3112" s="69" t="n">
        <x:f>IFERROR(I3112/H3112,"")</x:f>
        <x:v>9.05</x:v>
      </x:c>
      <x:c r="L3112" s="66" t="str">
        <x:f>IF(K3112="","","1 : "&amp;TEXT(K3112,"0.0"))</x:f>
        <x:v>1 : 9.1</x:v>
      </x:c>
      <x:c r="M3112" s="66" t="str">
        <x:f>IF(J3112="","Baru/Tanpa Data",IF(J3112&lt;='Catatan &amp; Sumber'!$B$14,"Sangat Ketat",IF(J3112&lt;='Catatan &amp; Sumber'!$B$15,"Ketat",IF(J3112&lt;='Catatan &amp; Sumber'!$B$16,"Sedang","Relatif Longgar"))))</x:f>
        <x:v>Relatif Longgar</x:v>
      </x:c>
      <x:c r="N3112" s="66" t="str">
        <x:v>Tidak Ada</x:v>
      </x:c>
      <x:c r="O3112" s="66" t="str">
        <x:v>Jawa Barat</x:v>
      </x:c>
      <x:c r="P3112" s="66" t="str">
        <x:v>Kota Depok</x:v>
      </x:c>
      <x:c r="Q3112" s="66" t="str">
        <x:v>https://snpmb.id/snbp/daya-tampung-snbp</x:v>
      </x:c>
      <x:c r="R3112" s="66" t="str">
        <x:v>https://sidatagrun-public-1076756628210.asia-southeast2.run.app/ptn_sn.php?ptn=421</x:v>
      </x:c>
    </x:row>
    <x:row r="3113">
      <x:c r="A3113" s="87" t="n">
        <x:v>1434</x:v>
      </x:c>
      <x:c r="B3113" s="66" t="n">
        <x:v>421</x:v>
      </x:c>
      <x:c r="C3113" s="66" t="str">
        <x:v>POLITEKNIK NEGERI JAKARTA</x:v>
      </x:c>
      <x:c r="D3113" s="66" t="str">
        <x:v>PTN Vokasi</x:v>
      </x:c>
      <x:c r="E3113" s="66" t="str">
        <x:v>24213029</x:v>
      </x:c>
      <x:c r="F3113" s="66" t="str">
        <x:v>PENERBITAN</x:v>
      </x:c>
      <x:c r="G3113" s="66" t="str">
        <x:v>Diploma Tiga</x:v>
      </x:c>
      <x:c r="H3113" s="87" t="n">
        <x:v>20</x:v>
      </x:c>
      <x:c r="I3113" s="87" t="n">
        <x:v>190</x:v>
      </x:c>
      <x:c r="J3113" s="68" t="n">
        <x:f>IFERROR(H3113/I3113,"")</x:f>
        <x:v>0.10526315789473684</x:v>
      </x:c>
      <x:c r="K3113" s="69" t="n">
        <x:f>IFERROR(I3113/H3113,"")</x:f>
        <x:v>9.5</x:v>
      </x:c>
      <x:c r="L3113" s="66" t="str">
        <x:f>IF(K3113="","","1 : "&amp;TEXT(K3113,"0.0"))</x:f>
        <x:v>1 : 9.5</x:v>
      </x:c>
      <x:c r="M3113" s="66" t="str">
        <x:f>IF(J3113="","Baru/Tanpa Data",IF(J3113&lt;='Catatan &amp; Sumber'!$B$14,"Sangat Ketat",IF(J3113&lt;='Catatan &amp; Sumber'!$B$15,"Ketat",IF(J3113&lt;='Catatan &amp; Sumber'!$B$16,"Sedang","Relatif Longgar"))))</x:f>
        <x:v>Relatif Longgar</x:v>
      </x:c>
      <x:c r="N3113" s="66" t="str">
        <x:v>Tidak Ada</x:v>
      </x:c>
      <x:c r="O3113" s="66" t="str">
        <x:v>Jawa Barat</x:v>
      </x:c>
      <x:c r="P3113" s="66" t="str">
        <x:v>Kota Depok</x:v>
      </x:c>
      <x:c r="Q3113" s="66" t="str">
        <x:v>https://snpmb.id/snbp/daya-tampung-snbp</x:v>
      </x:c>
      <x:c r="R3113" s="66" t="str">
        <x:v>https://sidatagrun-public-1076756628210.asia-southeast2.run.app/ptn_sn.php?ptn=421</x:v>
      </x:c>
    </x:row>
    <x:row r="3114">
      <x:c r="A3114" s="87" t="n">
        <x:v>1985</x:v>
      </x:c>
      <x:c r="B3114" s="66" t="n">
        <x:v>421</x:v>
      </x:c>
      <x:c r="C3114" s="66" t="str">
        <x:v>POLITEKNIK NEGERI JAKARTA</x:v>
      </x:c>
      <x:c r="D3114" s="66" t="str">
        <x:v>PTN Vokasi</x:v>
      </x:c>
      <x:c r="E3114" s="66" t="str">
        <x:v>24213032</x:v>
      </x:c>
      <x:c r="F3114" s="66" t="str">
        <x:v>KONSTRUKSI GEDUNG</x:v>
      </x:c>
      <x:c r="G3114" s="66" t="str">
        <x:v>Diploma Tiga</x:v>
      </x:c>
      <x:c r="H3114" s="87" t="n">
        <x:v>12</x:v>
      </x:c>
      <x:c r="I3114" s="87" t="n">
        <x:v>80</x:v>
      </x:c>
      <x:c r="J3114" s="68" t="n">
        <x:f>IFERROR(H3114/I3114,"")</x:f>
        <x:v>0.15</x:v>
      </x:c>
      <x:c r="K3114" s="69" t="n">
        <x:f>IFERROR(I3114/H3114,"")</x:f>
        <x:v>6.666666666666667</x:v>
      </x:c>
      <x:c r="L3114" s="66" t="str">
        <x:f>IF(K3114="","","1 : "&amp;TEXT(K3114,"0.0"))</x:f>
        <x:v>1 : 6.7</x:v>
      </x:c>
      <x:c r="M3114" s="66" t="str">
        <x:f>IF(J3114="","Baru/Tanpa Data",IF(J3114&lt;='Catatan &amp; Sumber'!$B$14,"Sangat Ketat",IF(J3114&lt;='Catatan &amp; Sumber'!$B$15,"Ketat",IF(J3114&lt;='Catatan &amp; Sumber'!$B$16,"Sedang","Relatif Longgar"))))</x:f>
        <x:v>Relatif Longgar</x:v>
      </x:c>
      <x:c r="N3114" s="66" t="str">
        <x:v>Tidak Ada</x:v>
      </x:c>
      <x:c r="O3114" s="66" t="str">
        <x:v>Jawa Barat</x:v>
      </x:c>
      <x:c r="P3114" s="66" t="str">
        <x:v>Kota Depok</x:v>
      </x:c>
      <x:c r="Q3114" s="66" t="str">
        <x:v>https://snpmb.id/snbp/daya-tampung-snbp</x:v>
      </x:c>
      <x:c r="R3114" s="66" t="str">
        <x:v>https://sidatagrun-public-1076756628210.asia-southeast2.run.app/ptn_sn.php?ptn=421</x:v>
      </x:c>
    </x:row>
    <x:row r="3115">
      <x:c r="A3115" s="87" t="n">
        <x:v>1652</x:v>
      </x:c>
      <x:c r="B3115" s="66" t="n">
        <x:v>421</x:v>
      </x:c>
      <x:c r="C3115" s="66" t="str">
        <x:v>POLITEKNIK NEGERI JAKARTA</x:v>
      </x:c>
      <x:c r="D3115" s="66" t="str">
        <x:v>PTN Vokasi</x:v>
      </x:c>
      <x:c r="E3115" s="66" t="str">
        <x:v>24213033</x:v>
      </x:c>
      <x:c r="F3115" s="66" t="str">
        <x:v>TELEKOMUNIKASI</x:v>
      </x:c>
      <x:c r="G3115" s="66" t="str">
        <x:v>Diploma Tiga</x:v>
      </x:c>
      <x:c r="H3115" s="87" t="n">
        <x:v>20</x:v>
      </x:c>
      <x:c r="I3115" s="87" t="n">
        <x:v>166</x:v>
      </x:c>
      <x:c r="J3115" s="68" t="n">
        <x:f>IFERROR(H3115/I3115,"")</x:f>
        <x:v>0.12048192771084337</x:v>
      </x:c>
      <x:c r="K3115" s="69" t="n">
        <x:f>IFERROR(I3115/H3115,"")</x:f>
        <x:v>8.3</x:v>
      </x:c>
      <x:c r="L3115" s="66" t="str">
        <x:f>IF(K3115="","","1 : "&amp;TEXT(K3115,"0.0"))</x:f>
        <x:v>1 : 8.3</x:v>
      </x:c>
      <x:c r="M3115" s="66" t="str">
        <x:f>IF(J3115="","Baru/Tanpa Data",IF(J3115&lt;='Catatan &amp; Sumber'!$B$14,"Sangat Ketat",IF(J3115&lt;='Catatan &amp; Sumber'!$B$15,"Ketat",IF(J3115&lt;='Catatan &amp; Sumber'!$B$16,"Sedang","Relatif Longgar"))))</x:f>
        <x:v>Relatif Longgar</x:v>
      </x:c>
      <x:c r="N3115" s="66" t="str">
        <x:v>Tidak Ada</x:v>
      </x:c>
      <x:c r="O3115" s="66" t="str">
        <x:v>Jawa Barat</x:v>
      </x:c>
      <x:c r="P3115" s="66" t="str">
        <x:v>Kota Depok</x:v>
      </x:c>
      <x:c r="Q3115" s="66" t="str">
        <x:v>https://snpmb.id/snbp/daya-tampung-snbp</x:v>
      </x:c>
      <x:c r="R3115" s="66" t="str">
        <x:v>https://sidatagrun-public-1076756628210.asia-southeast2.run.app/ptn_sn.php?ptn=421</x:v>
      </x:c>
    </x:row>
    <x:row r="3116">
      <x:c r="A3116" s="87" t="n">
        <x:v>1104</x:v>
      </x:c>
      <x:c r="B3116" s="66" t="n">
        <x:v>421</x:v>
      </x:c>
      <x:c r="C3116" s="66" t="str">
        <x:v>POLITEKNIK NEGERI JAKARTA</x:v>
      </x:c>
      <x:c r="D3116" s="66" t="str">
        <x:v>PTN Vokasi</x:v>
      </x:c>
      <x:c r="E3116" s="66" t="str">
        <x:v>24213034</x:v>
      </x:c>
      <x:c r="F3116" s="66" t="str">
        <x:v>TEKNIK LISTRIK</x:v>
      </x:c>
      <x:c r="G3116" s="66" t="str">
        <x:v>Diploma Tiga</x:v>
      </x:c>
      <x:c r="H3116" s="87" t="n">
        <x:v>20</x:v>
      </x:c>
      <x:c r="I3116" s="87" t="n">
        <x:v>238</x:v>
      </x:c>
      <x:c r="J3116" s="68" t="n">
        <x:f>IFERROR(H3116/I3116,"")</x:f>
        <x:v>0.08403361344537816</x:v>
      </x:c>
      <x:c r="K3116" s="69" t="n">
        <x:f>IFERROR(I3116/H3116,"")</x:f>
        <x:v>11.9</x:v>
      </x:c>
      <x:c r="L3116" s="66" t="str">
        <x:f>IF(K3116="","","1 : "&amp;TEXT(K3116,"0.0"))</x:f>
        <x:v>1 : 11.9</x:v>
      </x:c>
      <x:c r="M3116" s="66" t="str">
        <x:f>IF(J3116="","Baru/Tanpa Data",IF(J3116&lt;='Catatan &amp; Sumber'!$B$14,"Sangat Ketat",IF(J3116&lt;='Catatan &amp; Sumber'!$B$15,"Ketat",IF(J3116&lt;='Catatan &amp; Sumber'!$B$16,"Sedang","Relatif Longgar"))))</x:f>
        <x:v>Sedang</x:v>
      </x:c>
      <x:c r="N3116" s="66" t="str">
        <x:v>Tidak Ada</x:v>
      </x:c>
      <x:c r="O3116" s="66" t="str">
        <x:v>Jawa Barat</x:v>
      </x:c>
      <x:c r="P3116" s="66" t="str">
        <x:v>Kota Depok</x:v>
      </x:c>
      <x:c r="Q3116" s="66" t="str">
        <x:v>https://snpmb.id/snbp/daya-tampung-snbp</x:v>
      </x:c>
      <x:c r="R3116" s="66" t="str">
        <x:v>https://sidatagrun-public-1076756628210.asia-southeast2.run.app/ptn_sn.php?ptn=421</x:v>
      </x:c>
    </x:row>
    <x:row r="3117">
      <x:c r="A3117" s="87" t="n">
        <x:v>483</x:v>
      </x:c>
      <x:c r="B3117" s="66" t="n">
        <x:v>421</x:v>
      </x:c>
      <x:c r="C3117" s="66" t="str">
        <x:v>POLITEKNIK NEGERI JAKARTA</x:v>
      </x:c>
      <x:c r="D3117" s="66" t="str">
        <x:v>PTN Vokasi</x:v>
      </x:c>
      <x:c r="E3117" s="66" t="str">
        <x:v>24213035</x:v>
      </x:c>
      <x:c r="F3117" s="66" t="str">
        <x:v>KEUANGAN DAN PERBANKAN</x:v>
      </x:c>
      <x:c r="G3117" s="66" t="str">
        <x:v>Diploma Tiga</x:v>
      </x:c>
      <x:c r="H3117" s="87" t="n">
        <x:v>12</x:v>
      </x:c>
      <x:c r="I3117" s="87" t="n">
        <x:v>238</x:v>
      </x:c>
      <x:c r="J3117" s="68" t="n">
        <x:f>IFERROR(H3117/I3117,"")</x:f>
        <x:v>0.05042016806722689</x:v>
      </x:c>
      <x:c r="K3117" s="69" t="n">
        <x:f>IFERROR(I3117/H3117,"")</x:f>
        <x:v>19.833333333333332</x:v>
      </x:c>
      <x:c r="L3117" s="66" t="str">
        <x:f>IF(K3117="","","1 : "&amp;TEXT(K3117,"0.0"))</x:f>
        <x:v>1 : 19.8</x:v>
      </x:c>
      <x:c r="M3117" s="66" t="str">
        <x:f>IF(J3117="","Baru/Tanpa Data",IF(J3117&lt;='Catatan &amp; Sumber'!$B$14,"Sangat Ketat",IF(J3117&lt;='Catatan &amp; Sumber'!$B$15,"Ketat",IF(J3117&lt;='Catatan &amp; Sumber'!$B$16,"Sedang","Relatif Longgar"))))</x:f>
        <x:v>Sedang</x:v>
      </x:c>
      <x:c r="N3117" s="66" t="str">
        <x:v>Tidak Ada</x:v>
      </x:c>
      <x:c r="O3117" s="66" t="str">
        <x:v>Jawa Barat</x:v>
      </x:c>
      <x:c r="P3117" s="66" t="str">
        <x:v>Kota Depok</x:v>
      </x:c>
      <x:c r="Q3117" s="66" t="str">
        <x:v>https://snpmb.id/snbp/daya-tampung-snbp</x:v>
      </x:c>
      <x:c r="R3117" s="66" t="str">
        <x:v>https://sidatagrun-public-1076756628210.asia-southeast2.run.app/ptn_sn.php?ptn=421</x:v>
      </x:c>
    </x:row>
    <x:row r="3118">
      <x:c r="A3118" s="87" t="n">
        <x:v>309</x:v>
      </x:c>
      <x:c r="B3118" s="66" t="n">
        <x:v>421</x:v>
      </x:c>
      <x:c r="C3118" s="66" t="str">
        <x:v>POLITEKNIK NEGERI JAKARTA</x:v>
      </x:c>
      <x:c r="D3118" s="66" t="str">
        <x:v>PTN Vokasi</x:v>
      </x:c>
      <x:c r="E3118" s="66" t="str">
        <x:v>24213036</x:v>
      </x:c>
      <x:c r="F3118" s="66" t="str">
        <x:v>AKUNTANSI</x:v>
      </x:c>
      <x:c r="G3118" s="66" t="str">
        <x:v>Diploma Tiga</x:v>
      </x:c>
      <x:c r="H3118" s="87" t="n">
        <x:v>12</x:v>
      </x:c>
      <x:c r="I3118" s="87" t="n">
        <x:v>281</x:v>
      </x:c>
      <x:c r="J3118" s="68" t="n">
        <x:f>IFERROR(H3118/I3118,"")</x:f>
        <x:v>0.042704626334519574</x:v>
      </x:c>
      <x:c r="K3118" s="69" t="n">
        <x:f>IFERROR(I3118/H3118,"")</x:f>
        <x:v>23.416666666666668</x:v>
      </x:c>
      <x:c r="L3118" s="66" t="str">
        <x:f>IF(K3118="","","1 : "&amp;TEXT(K3118,"0.0"))</x:f>
        <x:v>1 : 23.4</x:v>
      </x:c>
      <x:c r="M3118" s="66" t="str">
        <x:f>IF(J3118="","Baru/Tanpa Data",IF(J3118&lt;='Catatan &amp; Sumber'!$B$14,"Sangat Ketat",IF(J3118&lt;='Catatan &amp; Sumber'!$B$15,"Ketat",IF(J3118&lt;='Catatan &amp; Sumber'!$B$16,"Sedang","Relatif Longgar"))))</x:f>
        <x:v>Ketat</x:v>
      </x:c>
      <x:c r="N3118" s="66" t="str">
        <x:v>Tidak Ada</x:v>
      </x:c>
      <x:c r="O3118" s="66" t="str">
        <x:v>Jawa Barat</x:v>
      </x:c>
      <x:c r="P3118" s="66" t="str">
        <x:v>Kota Depok</x:v>
      </x:c>
      <x:c r="Q3118" s="66" t="str">
        <x:v>https://snpmb.id/snbp/daya-tampung-snbp</x:v>
      </x:c>
      <x:c r="R3118" s="66" t="str">
        <x:v>https://sidatagrun-public-1076756628210.asia-southeast2.run.app/ptn_sn.php?ptn=421</x:v>
      </x:c>
    </x:row>
    <x:row r="3119">
      <x:c r="A3119" s="87" t="n">
        <x:v>1448</x:v>
      </x:c>
      <x:c r="B3119" s="66" t="n">
        <x:v>421</x:v>
      </x:c>
      <x:c r="C3119" s="66" t="str">
        <x:v>POLITEKNIK NEGERI JAKARTA</x:v>
      </x:c>
      <x:c r="D3119" s="66" t="str">
        <x:v>PTN Vokasi</x:v>
      </x:c>
      <x:c r="E3119" s="66" t="str">
        <x:v>24213039</x:v>
      </x:c>
      <x:c r="F3119" s="66" t="str">
        <x:v>KONSTRUKSI SIPIL</x:v>
      </x:c>
      <x:c r="G3119" s="66" t="str">
        <x:v>Diploma Tiga</x:v>
      </x:c>
      <x:c r="H3119" s="87" t="n">
        <x:v>18</x:v>
      </x:c>
      <x:c r="I3119" s="87" t="n">
        <x:v>170</x:v>
      </x:c>
      <x:c r="J3119" s="68" t="n">
        <x:f>IFERROR(H3119/I3119,"")</x:f>
        <x:v>0.10588235294117647</x:v>
      </x:c>
      <x:c r="K3119" s="69" t="n">
        <x:f>IFERROR(I3119/H3119,"")</x:f>
        <x:v>9.444444444444445</x:v>
      </x:c>
      <x:c r="L3119" s="66" t="str">
        <x:f>IF(K3119="","","1 : "&amp;TEXT(K3119,"0.0"))</x:f>
        <x:v>1 : 9.4</x:v>
      </x:c>
      <x:c r="M3119" s="66" t="str">
        <x:f>IF(J3119="","Baru/Tanpa Data",IF(J3119&lt;='Catatan &amp; Sumber'!$B$14,"Sangat Ketat",IF(J3119&lt;='Catatan &amp; Sumber'!$B$15,"Ketat",IF(J3119&lt;='Catatan &amp; Sumber'!$B$16,"Sedang","Relatif Longgar"))))</x:f>
        <x:v>Relatif Longgar</x:v>
      </x:c>
      <x:c r="N3119" s="66" t="str">
        <x:v>Tidak Ada</x:v>
      </x:c>
      <x:c r="O3119" s="66" t="str">
        <x:v>Jawa Barat</x:v>
      </x:c>
      <x:c r="P3119" s="66" t="str">
        <x:v>Kota Depok</x:v>
      </x:c>
      <x:c r="Q3119" s="66" t="str">
        <x:v>https://snpmb.id/snbp/daya-tampung-snbp</x:v>
      </x:c>
      <x:c r="R3119" s="66" t="str">
        <x:v>https://sidatagrun-public-1076756628210.asia-southeast2.run.app/ptn_sn.php?ptn=421</x:v>
      </x:c>
    </x:row>
    <x:row r="3120">
      <x:c r="A3120" s="87" t="n">
        <x:v>1733</x:v>
      </x:c>
      <x:c r="B3120" s="66" t="n">
        <x:v>422</x:v>
      </x:c>
      <x:c r="C3120" s="66" t="str">
        <x:v>POLITEKNIK NEGERI MEDIA KREATIF</x:v>
      </x:c>
      <x:c r="D3120" s="66" t="str">
        <x:v>PTN Vokasi</x:v>
      </x:c>
      <x:c r="E3120" s="66" t="str">
        <x:v>24222001</x:v>
      </x:c>
      <x:c r="F3120" s="66" t="str">
        <x:v>TEKNOLOGI REKAYASA MULTIMEDIA</x:v>
      </x:c>
      <x:c r="G3120" s="66" t="str">
        <x:v>Sarjana Terapan</x:v>
      </x:c>
      <x:c r="H3120" s="87" t="n">
        <x:v>64</x:v>
      </x:c>
      <x:c r="I3120" s="87" t="n">
        <x:v>505</x:v>
      </x:c>
      <x:c r="J3120" s="68" t="n">
        <x:f>IFERROR(H3120/I3120,"")</x:f>
        <x:v>0.12673267326732673</x:v>
      </x:c>
      <x:c r="K3120" s="69" t="n">
        <x:f>IFERROR(I3120/H3120,"")</x:f>
        <x:v>7.890625</x:v>
      </x:c>
      <x:c r="L3120" s="66" t="str">
        <x:f>IF(K3120="","","1 : "&amp;TEXT(K3120,"0.0"))</x:f>
        <x:v>1 : 7.9</x:v>
      </x:c>
      <x:c r="M3120" s="66" t="str">
        <x:f>IF(J3120="","Baru/Tanpa Data",IF(J3120&lt;='Catatan &amp; Sumber'!$B$14,"Sangat Ketat",IF(J3120&lt;='Catatan &amp; Sumber'!$B$15,"Ketat",IF(J3120&lt;='Catatan &amp; Sumber'!$B$16,"Sedang","Relatif Longgar"))))</x:f>
        <x:v>Relatif Longgar</x:v>
      </x:c>
      <x:c r="N3120" s="66" t="str">
        <x:v>Tidak Ada</x:v>
      </x:c>
      <x:c r="O3120" s="66" t="str">
        <x:v>Jakarta Raya</x:v>
      </x:c>
      <x:c r="P3120" s="66" t="str">
        <x:v>Kota Jakarta Selatan</x:v>
      </x:c>
      <x:c r="Q3120" s="66" t="str">
        <x:v>https://snpmb.id/snbp/daya-tampung-snbp</x:v>
      </x:c>
      <x:c r="R3120" s="66" t="str">
        <x:v>https://sidatagrun-public-1076756628210.asia-southeast2.run.app/ptn_sn.php?ptn=422</x:v>
      </x:c>
    </x:row>
    <x:row r="3121">
      <x:c r="A3121" s="87" t="n">
        <x:v>2519</x:v>
      </x:c>
      <x:c r="B3121" s="66" t="n">
        <x:v>422</x:v>
      </x:c>
      <x:c r="C3121" s="66" t="str">
        <x:v>POLITEKNIK NEGERI MEDIA KREATIF</x:v>
      </x:c>
      <x:c r="D3121" s="66" t="str">
        <x:v>PTN Vokasi</x:v>
      </x:c>
      <x:c r="E3121" s="66" t="str">
        <x:v>24222002</x:v>
      </x:c>
      <x:c r="F3121" s="66" t="str">
        <x:v>TEKNOLOGI PERMAINAN</x:v>
      </x:c>
      <x:c r="G3121" s="66" t="str">
        <x:v>Sarjana Terapan</x:v>
      </x:c>
      <x:c r="H3121" s="87" t="n">
        <x:v>38</x:v>
      </x:c>
      <x:c r="I3121" s="87" t="n">
        <x:v>177</x:v>
      </x:c>
      <x:c r="J3121" s="68" t="n">
        <x:f>IFERROR(H3121/I3121,"")</x:f>
        <x:v>0.21468926553672316</x:v>
      </x:c>
      <x:c r="K3121" s="69" t="n">
        <x:f>IFERROR(I3121/H3121,"")</x:f>
        <x:v>4.657894736842105</x:v>
      </x:c>
      <x:c r="L3121" s="66" t="str">
        <x:f>IF(K3121="","","1 : "&amp;TEXT(K3121,"0.0"))</x:f>
        <x:v>1 : 4.7</x:v>
      </x:c>
      <x:c r="M3121" s="66" t="str">
        <x:f>IF(J3121="","Baru/Tanpa Data",IF(J3121&lt;='Catatan &amp; Sumber'!$B$14,"Sangat Ketat",IF(J3121&lt;='Catatan &amp; Sumber'!$B$15,"Ketat",IF(J3121&lt;='Catatan &amp; Sumber'!$B$16,"Sedang","Relatif Longgar"))))</x:f>
        <x:v>Relatif Longgar</x:v>
      </x:c>
      <x:c r="N3121" s="66" t="str">
        <x:v>Tidak Ada</x:v>
      </x:c>
      <x:c r="O3121" s="66" t="str">
        <x:v>Jakarta Raya</x:v>
      </x:c>
      <x:c r="P3121" s="66" t="str">
        <x:v>Kota Jakarta Selatan</x:v>
      </x:c>
      <x:c r="Q3121" s="66" t="str">
        <x:v>https://snpmb.id/snbp/daya-tampung-snbp</x:v>
      </x:c>
      <x:c r="R3121" s="66" t="str">
        <x:v>https://sidatagrun-public-1076756628210.asia-southeast2.run.app/ptn_sn.php?ptn=422</x:v>
      </x:c>
    </x:row>
    <x:row r="3122">
      <x:c r="A3122" s="87" t="n">
        <x:v>3654</x:v>
      </x:c>
      <x:c r="B3122" s="66" t="n">
        <x:v>422</x:v>
      </x:c>
      <x:c r="C3122" s="66" t="str">
        <x:v>POLITEKNIK NEGERI MEDIA KREATIF</x:v>
      </x:c>
      <x:c r="D3122" s="66" t="str">
        <x:v>PTN Vokasi</x:v>
      </x:c>
      <x:c r="E3122" s="66" t="str">
        <x:v>24222003</x:v>
      </x:c>
      <x:c r="F3122" s="66" t="str">
        <x:v>DESAIN MODE</x:v>
      </x:c>
      <x:c r="G3122" s="66" t="str">
        <x:v>Sarjana Terapan</x:v>
      </x:c>
      <x:c r="H3122" s="87" t="n">
        <x:v>26</x:v>
      </x:c>
      <x:c r="I3122" s="87" t="n">
        <x:v>52</x:v>
      </x:c>
      <x:c r="J3122" s="68" t="n">
        <x:f>IFERROR(H3122/I3122,"")</x:f>
        <x:v>0.5</x:v>
      </x:c>
      <x:c r="K3122" s="69" t="n">
        <x:f>IFERROR(I3122/H3122,"")</x:f>
        <x:v>2</x:v>
      </x:c>
      <x:c r="L3122" s="66" t="str">
        <x:f>IF(K3122="","","1 : "&amp;TEXT(K3122,"0.0"))</x:f>
        <x:v>1 : 2.0</x:v>
      </x:c>
      <x:c r="M3122" s="66" t="str">
        <x:f>IF(J3122="","Baru/Tanpa Data",IF(J3122&lt;='Catatan &amp; Sumber'!$B$14,"Sangat Ketat",IF(J3122&lt;='Catatan &amp; Sumber'!$B$15,"Ketat",IF(J3122&lt;='Catatan &amp; Sumber'!$B$16,"Sedang","Relatif Longgar"))))</x:f>
        <x:v>Relatif Longgar</x:v>
      </x:c>
      <x:c r="N3122" s="66" t="str">
        <x:v>Seni Rupa, Desain, dan Kriya</x:v>
      </x:c>
      <x:c r="O3122" s="66" t="str">
        <x:v>Jakarta Raya</x:v>
      </x:c>
      <x:c r="P3122" s="66" t="str">
        <x:v>Kota Jakarta Selatan</x:v>
      </x:c>
      <x:c r="Q3122" s="66" t="str">
        <x:v>https://snpmb.id/snbp/daya-tampung-snbp</x:v>
      </x:c>
      <x:c r="R3122" s="66" t="str">
        <x:v>https://sidatagrun-public-1076756628210.asia-southeast2.run.app/ptn_sn.php?ptn=422</x:v>
      </x:c>
    </x:row>
    <x:row r="3123">
      <x:c r="A3123" s="87" t="n">
        <x:v>1504</x:v>
      </x:c>
      <x:c r="B3123" s="66" t="n">
        <x:v>422</x:v>
      </x:c>
      <x:c r="C3123" s="66" t="str">
        <x:v>POLITEKNIK NEGERI MEDIA KREATIF</x:v>
      </x:c>
      <x:c r="D3123" s="66" t="str">
        <x:v>PTN Vokasi</x:v>
      </x:c>
      <x:c r="E3123" s="66" t="str">
        <x:v>24222004</x:v>
      </x:c>
      <x:c r="F3123" s="66" t="str">
        <x:v>PENGELOLAAN PERHOTELAN</x:v>
      </x:c>
      <x:c r="G3123" s="66" t="str">
        <x:v>Sarjana Terapan</x:v>
      </x:c>
      <x:c r="H3123" s="87" t="n">
        <x:v>38</x:v>
      </x:c>
      <x:c r="I3123" s="87" t="n">
        <x:v>347</x:v>
      </x:c>
      <x:c r="J3123" s="68" t="n">
        <x:f>IFERROR(H3123/I3123,"")</x:f>
        <x:v>0.10951008645533142</x:v>
      </x:c>
      <x:c r="K3123" s="69" t="n">
        <x:f>IFERROR(I3123/H3123,"")</x:f>
        <x:v>9.131578947368421</x:v>
      </x:c>
      <x:c r="L3123" s="66" t="str">
        <x:f>IF(K3123="","","1 : "&amp;TEXT(K3123,"0.0"))</x:f>
        <x:v>1 : 9.1</x:v>
      </x:c>
      <x:c r="M3123" s="66" t="str">
        <x:f>IF(J3123="","Baru/Tanpa Data",IF(J3123&lt;='Catatan &amp; Sumber'!$B$14,"Sangat Ketat",IF(J3123&lt;='Catatan &amp; Sumber'!$B$15,"Ketat",IF(J3123&lt;='Catatan &amp; Sumber'!$B$16,"Sedang","Relatif Longgar"))))</x:f>
        <x:v>Relatif Longgar</x:v>
      </x:c>
      <x:c r="N3123" s="66" t="str">
        <x:v>Tidak Ada</x:v>
      </x:c>
      <x:c r="O3123" s="66" t="str">
        <x:v>Jakarta Raya</x:v>
      </x:c>
      <x:c r="P3123" s="66" t="str">
        <x:v>Kota Jakarta Selatan</x:v>
      </x:c>
      <x:c r="Q3123" s="66" t="str">
        <x:v>https://snpmb.id/snbp/daya-tampung-snbp</x:v>
      </x:c>
      <x:c r="R3123" s="66" t="str">
        <x:v>https://sidatagrun-public-1076756628210.asia-southeast2.run.app/ptn_sn.php?ptn=422</x:v>
      </x:c>
    </x:row>
    <x:row r="3124">
      <x:c r="A3124" s="87" t="n">
        <x:v>2935</x:v>
      </x:c>
      <x:c r="B3124" s="66" t="n">
        <x:v>422</x:v>
      </x:c>
      <x:c r="C3124" s="66" t="str">
        <x:v>POLITEKNIK NEGERI MEDIA KREATIF</x:v>
      </x:c>
      <x:c r="D3124" s="66" t="str">
        <x:v>PTN Vokasi</x:v>
      </x:c>
      <x:c r="E3124" s="66" t="str">
        <x:v>24222005</x:v>
      </x:c>
      <x:c r="F3124" s="66" t="str">
        <x:v>ANIMASI</x:v>
      </x:c>
      <x:c r="G3124" s="66" t="str">
        <x:v>Sarjana Terapan</x:v>
      </x:c>
      <x:c r="H3124" s="87" t="n">
        <x:v>51</x:v>
      </x:c>
      <x:c r="I3124" s="87" t="n">
        <x:v>182</x:v>
      </x:c>
      <x:c r="J3124" s="68" t="n">
        <x:f>IFERROR(H3124/I3124,"")</x:f>
        <x:v>0.2802197802197802</x:v>
      </x:c>
      <x:c r="K3124" s="69" t="n">
        <x:f>IFERROR(I3124/H3124,"")</x:f>
        <x:v>3.5686274509803924</x:v>
      </x:c>
      <x:c r="L3124" s="66" t="str">
        <x:f>IF(K3124="","","1 : "&amp;TEXT(K3124,"0.0"))</x:f>
        <x:v>1 : 3.6</x:v>
      </x:c>
      <x:c r="M3124" s="66" t="str">
        <x:f>IF(J3124="","Baru/Tanpa Data",IF(J3124&lt;='Catatan &amp; Sumber'!$B$14,"Sangat Ketat",IF(J3124&lt;='Catatan &amp; Sumber'!$B$15,"Ketat",IF(J3124&lt;='Catatan &amp; Sumber'!$B$16,"Sedang","Relatif Longgar"))))</x:f>
        <x:v>Relatif Longgar</x:v>
      </x:c>
      <x:c r="N3124" s="66" t="str">
        <x:v>Seni Rupa, Desain, dan Kriya</x:v>
      </x:c>
      <x:c r="O3124" s="66" t="str">
        <x:v>Jakarta Raya</x:v>
      </x:c>
      <x:c r="P3124" s="66" t="str">
        <x:v>Kota Jakarta Selatan</x:v>
      </x:c>
      <x:c r="Q3124" s="66" t="str">
        <x:v>https://snpmb.id/snbp/daya-tampung-snbp</x:v>
      </x:c>
      <x:c r="R3124" s="66" t="str">
        <x:v>https://sidatagrun-public-1076756628210.asia-southeast2.run.app/ptn_sn.php?ptn=422</x:v>
      </x:c>
    </x:row>
    <x:row r="3125">
      <x:c r="A3125" s="87" t="n">
        <x:v>2377</x:v>
      </x:c>
      <x:c r="B3125" s="66" t="n">
        <x:v>422</x:v>
      </x:c>
      <x:c r="C3125" s="66" t="str">
        <x:v>POLITEKNIK NEGERI MEDIA KREATIF</x:v>
      </x:c>
      <x:c r="D3125" s="66" t="str">
        <x:v>PTN Vokasi</x:v>
      </x:c>
      <x:c r="E3125" s="66" t="str">
        <x:v>24222019</x:v>
      </x:c>
      <x:c r="F3125" s="66" t="str">
        <x:v>FILM DAN TELEVISI</x:v>
      </x:c>
      <x:c r="G3125" s="66" t="str">
        <x:v>Sarjana Terapan</x:v>
      </x:c>
      <x:c r="H3125" s="87" t="n">
        <x:v>38</x:v>
      </x:c>
      <x:c r="I3125" s="87" t="n">
        <x:v>197</x:v>
      </x:c>
      <x:c r="J3125" s="68" t="n">
        <x:f>IFERROR(H3125/I3125,"")</x:f>
        <x:v>0.19289340101522842</x:v>
      </x:c>
      <x:c r="K3125" s="69" t="n">
        <x:f>IFERROR(I3125/H3125,"")</x:f>
        <x:v>5.184210526315789</x:v>
      </x:c>
      <x:c r="L3125" s="66" t="str">
        <x:f>IF(K3125="","","1 : "&amp;TEXT(K3125,"0.0"))</x:f>
        <x:v>1 : 5.2</x:v>
      </x:c>
      <x:c r="M3125" s="66" t="str">
        <x:f>IF(J3125="","Baru/Tanpa Data",IF(J3125&lt;='Catatan &amp; Sumber'!$B$14,"Sangat Ketat",IF(J3125&lt;='Catatan &amp; Sumber'!$B$15,"Ketat",IF(J3125&lt;='Catatan &amp; Sumber'!$B$16,"Sedang","Relatif Longgar"))))</x:f>
        <x:v>Relatif Longgar</x:v>
      </x:c>
      <x:c r="N3125" s="66" t="str">
        <x:v>Film dan Televisi</x:v>
      </x:c>
      <x:c r="O3125" s="66" t="str">
        <x:v>Jakarta Raya</x:v>
      </x:c>
      <x:c r="P3125" s="66" t="str">
        <x:v>Kota Jakarta Selatan</x:v>
      </x:c>
      <x:c r="Q3125" s="66" t="str">
        <x:v>https://snpmb.id/snbp/daya-tampung-snbp</x:v>
      </x:c>
      <x:c r="R3125" s="66" t="str">
        <x:v>https://sidatagrun-public-1076756628210.asia-southeast2.run.app/ptn_sn.php?ptn=422</x:v>
      </x:c>
    </x:row>
    <x:row r="3126">
      <x:c r="A3126" s="87" t="n">
        <x:v>2558</x:v>
      </x:c>
      <x:c r="B3126" s="66" t="n">
        <x:v>422</x:v>
      </x:c>
      <x:c r="C3126" s="66" t="str">
        <x:v>POLITEKNIK NEGERI MEDIA KREATIF</x:v>
      </x:c>
      <x:c r="D3126" s="66" t="str">
        <x:v>PTN Vokasi</x:v>
      </x:c>
      <x:c r="E3126" s="66" t="str">
        <x:v>24222024</x:v>
      </x:c>
      <x:c r="F3126" s="66" t="str">
        <x:v>TEKNOLOGI REKAYASA PENGEMASAN</x:v>
      </x:c>
      <x:c r="G3126" s="66" t="str">
        <x:v>Sarjana Terapan</x:v>
      </x:c>
      <x:c r="H3126" s="87" t="n">
        <x:v>26</x:v>
      </x:c>
      <x:c r="I3126" s="87" t="n">
        <x:v>118</x:v>
      </x:c>
      <x:c r="J3126" s="68" t="n">
        <x:f>IFERROR(H3126/I3126,"")</x:f>
        <x:v>0.22033898305084745</x:v>
      </x:c>
      <x:c r="K3126" s="69" t="n">
        <x:f>IFERROR(I3126/H3126,"")</x:f>
        <x:v>4.538461538461538</x:v>
      </x:c>
      <x:c r="L3126" s="66" t="str">
        <x:f>IF(K3126="","","1 : "&amp;TEXT(K3126,"0.0"))</x:f>
        <x:v>1 : 4.5</x:v>
      </x:c>
      <x:c r="M3126" s="66" t="str">
        <x:f>IF(J3126="","Baru/Tanpa Data",IF(J3126&lt;='Catatan &amp; Sumber'!$B$14,"Sangat Ketat",IF(J3126&lt;='Catatan &amp; Sumber'!$B$15,"Ketat",IF(J3126&lt;='Catatan &amp; Sumber'!$B$16,"Sedang","Relatif Longgar"))))</x:f>
        <x:v>Relatif Longgar</x:v>
      </x:c>
      <x:c r="N3126" s="66" t="str">
        <x:v>Tidak Ada</x:v>
      </x:c>
      <x:c r="O3126" s="66" t="str">
        <x:v>Jakarta Raya</x:v>
      </x:c>
      <x:c r="P3126" s="66" t="str">
        <x:v>Kota Jakarta Selatan</x:v>
      </x:c>
      <x:c r="Q3126" s="66" t="str">
        <x:v>https://snpmb.id/snbp/daya-tampung-snbp</x:v>
      </x:c>
      <x:c r="R3126" s="66" t="str">
        <x:v>https://sidatagrun-public-1076756628210.asia-southeast2.run.app/ptn_sn.php?ptn=422</x:v>
      </x:c>
    </x:row>
    <x:row r="3127">
      <x:c r="A3127" s="87" t="n">
        <x:v>3745</x:v>
      </x:c>
      <x:c r="B3127" s="66" t="n">
        <x:v>422</x:v>
      </x:c>
      <x:c r="C3127" s="66" t="str">
        <x:v>POLITEKNIK NEGERI MEDIA KREATIF</x:v>
      </x:c>
      <x:c r="D3127" s="66" t="str">
        <x:v>PTN Vokasi</x:v>
      </x:c>
      <x:c r="E3127" s="66" t="str">
        <x:v>24223006</x:v>
      </x:c>
      <x:c r="F3127" s="66" t="str">
        <x:v>TEKNIK GRAFIKA (PSDKU MEDAN)</x:v>
      </x:c>
      <x:c r="G3127" s="66" t="str">
        <x:v>Diploma Tiga</x:v>
      </x:c>
      <x:c r="H3127" s="87" t="n">
        <x:v>13</x:v>
      </x:c>
      <x:c r="I3127" s="87" t="n">
        <x:v>24</x:v>
      </x:c>
      <x:c r="J3127" s="68" t="n">
        <x:f>IFERROR(H3127/I3127,"")</x:f>
        <x:v>0.5416666666666666</x:v>
      </x:c>
      <x:c r="K3127" s="69" t="n">
        <x:f>IFERROR(I3127/H3127,"")</x:f>
        <x:v>1.8461538461538463</x:v>
      </x:c>
      <x:c r="L3127" s="66" t="str">
        <x:f>IF(K3127="","","1 : "&amp;TEXT(K3127,"0.0"))</x:f>
        <x:v>1 : 1.8</x:v>
      </x:c>
      <x:c r="M3127" s="66" t="str">
        <x:f>IF(J3127="","Baru/Tanpa Data",IF(J3127&lt;='Catatan &amp; Sumber'!$B$14,"Sangat Ketat",IF(J3127&lt;='Catatan &amp; Sumber'!$B$15,"Ketat",IF(J3127&lt;='Catatan &amp; Sumber'!$B$16,"Sedang","Relatif Longgar"))))</x:f>
        <x:v>Relatif Longgar</x:v>
      </x:c>
      <x:c r="N3127" s="66" t="str">
        <x:v>Tidak Ada</x:v>
      </x:c>
      <x:c r="O3127" s="66" t="str">
        <x:v>Jakarta Raya</x:v>
      </x:c>
      <x:c r="P3127" s="66" t="str">
        <x:v>Kota Jakarta Selatan</x:v>
      </x:c>
      <x:c r="Q3127" s="66" t="str">
        <x:v>https://snpmb.id/snbp/daya-tampung-snbp</x:v>
      </x:c>
      <x:c r="R3127" s="66" t="str">
        <x:v>https://sidatagrun-public-1076756628210.asia-southeast2.run.app/ptn_sn.php?ptn=422</x:v>
      </x:c>
    </x:row>
    <x:row r="3128">
      <x:c r="A3128" s="87" t="n">
        <x:v>2397</x:v>
      </x:c>
      <x:c r="B3128" s="66" t="n">
        <x:v>422</x:v>
      </x:c>
      <x:c r="C3128" s="66" t="str">
        <x:v>POLITEKNIK NEGERI MEDIA KREATIF</x:v>
      </x:c>
      <x:c r="D3128" s="66" t="str">
        <x:v>PTN Vokasi</x:v>
      </x:c>
      <x:c r="E3128" s="66" t="str">
        <x:v>24223007</x:v>
      </x:c>
      <x:c r="F3128" s="66" t="str">
        <x:v>PENYIARAN</x:v>
      </x:c>
      <x:c r="G3128" s="66" t="str">
        <x:v>Diploma Tiga</x:v>
      </x:c>
      <x:c r="H3128" s="87" t="n">
        <x:v>64</x:v>
      </x:c>
      <x:c r="I3128" s="87" t="n">
        <x:v>328</x:v>
      </x:c>
      <x:c r="J3128" s="68" t="n">
        <x:f>IFERROR(H3128/I3128,"")</x:f>
        <x:v>0.1951219512195122</x:v>
      </x:c>
      <x:c r="K3128" s="69" t="n">
        <x:f>IFERROR(I3128/H3128,"")</x:f>
        <x:v>5.125</x:v>
      </x:c>
      <x:c r="L3128" s="66" t="str">
        <x:f>IF(K3128="","","1 : "&amp;TEXT(K3128,"0.0"))</x:f>
        <x:v>1 : 5.1</x:v>
      </x:c>
      <x:c r="M3128" s="66" t="str">
        <x:f>IF(J3128="","Baru/Tanpa Data",IF(J3128&lt;='Catatan &amp; Sumber'!$B$14,"Sangat Ketat",IF(J3128&lt;='Catatan &amp; Sumber'!$B$15,"Ketat",IF(J3128&lt;='Catatan &amp; Sumber'!$B$16,"Sedang","Relatif Longgar"))))</x:f>
        <x:v>Relatif Longgar</x:v>
      </x:c>
      <x:c r="N3128" s="66" t="str">
        <x:v>Tidak Ada</x:v>
      </x:c>
      <x:c r="O3128" s="66" t="str">
        <x:v>Jakarta Raya</x:v>
      </x:c>
      <x:c r="P3128" s="66" t="str">
        <x:v>Kota Jakarta Selatan</x:v>
      </x:c>
      <x:c r="Q3128" s="66" t="str">
        <x:v>https://snpmb.id/snbp/daya-tampung-snbp</x:v>
      </x:c>
      <x:c r="R3128" s="66" t="str">
        <x:v>https://sidatagrun-public-1076756628210.asia-southeast2.run.app/ptn_sn.php?ptn=422</x:v>
      </x:c>
    </x:row>
    <x:row r="3129">
      <x:c r="A3129" s="87" t="n">
        <x:v>4055</x:v>
      </x:c>
      <x:c r="B3129" s="66" t="n">
        <x:v>422</x:v>
      </x:c>
      <x:c r="C3129" s="66" t="str">
        <x:v>POLITEKNIK NEGERI MEDIA KREATIF</x:v>
      </x:c>
      <x:c r="D3129" s="66" t="str">
        <x:v>PTN Vokasi</x:v>
      </x:c>
      <x:c r="E3129" s="66" t="str">
        <x:v>24223008</x:v>
      </x:c>
      <x:c r="F3129" s="66" t="str">
        <x:v>DESAIN GRAFIS (PSDKU MEDAN)</x:v>
      </x:c>
      <x:c r="G3129" s="66" t="str">
        <x:v>Diploma Tiga</x:v>
      </x:c>
      <x:c r="H3129" s="87" t="n">
        <x:v>26</x:v>
      </x:c>
      <x:c r="I3129" s="87" t="n">
        <x:v>36</x:v>
      </x:c>
      <x:c r="J3129" s="68" t="n">
        <x:f>IFERROR(H3129/I3129,"")</x:f>
        <x:v>0.7222222222222222</x:v>
      </x:c>
      <x:c r="K3129" s="69" t="n">
        <x:f>IFERROR(I3129/H3129,"")</x:f>
        <x:v>1.3846153846153846</x:v>
      </x:c>
      <x:c r="L3129" s="66" t="str">
        <x:f>IF(K3129="","","1 : "&amp;TEXT(K3129,"0.0"))</x:f>
        <x:v>1 : 1.4</x:v>
      </x:c>
      <x:c r="M3129" s="66" t="str">
        <x:f>IF(J3129="","Baru/Tanpa Data",IF(J3129&lt;='Catatan &amp; Sumber'!$B$14,"Sangat Ketat",IF(J3129&lt;='Catatan &amp; Sumber'!$B$15,"Ketat",IF(J3129&lt;='Catatan &amp; Sumber'!$B$16,"Sedang","Relatif Longgar"))))</x:f>
        <x:v>Relatif Longgar</x:v>
      </x:c>
      <x:c r="N3129" s="66" t="str">
        <x:v>Seni Rupa, Desain, dan Kriya</x:v>
      </x:c>
      <x:c r="O3129" s="66" t="str">
        <x:v>Jakarta Raya</x:v>
      </x:c>
      <x:c r="P3129" s="66" t="str">
        <x:v>Kota Jakarta Selatan</x:v>
      </x:c>
      <x:c r="Q3129" s="66" t="str">
        <x:v>https://snpmb.id/snbp/daya-tampung-snbp</x:v>
      </x:c>
      <x:c r="R3129" s="66" t="str">
        <x:v>https://sidatagrun-public-1076756628210.asia-southeast2.run.app/ptn_sn.php?ptn=422</x:v>
      </x:c>
    </x:row>
    <x:row r="3130">
      <x:c r="A3130" s="87" t="n">
        <x:v>2905</x:v>
      </x:c>
      <x:c r="B3130" s="66" t="n">
        <x:v>422</x:v>
      </x:c>
      <x:c r="C3130" s="66" t="str">
        <x:v>POLITEKNIK NEGERI MEDIA KREATIF</x:v>
      </x:c>
      <x:c r="D3130" s="66" t="str">
        <x:v>PTN Vokasi</x:v>
      </x:c>
      <x:c r="E3130" s="66" t="str">
        <x:v>24223009</x:v>
      </x:c>
      <x:c r="F3130" s="66" t="str">
        <x:v>FOTOGRAFI</x:v>
      </x:c>
      <x:c r="G3130" s="66" t="str">
        <x:v>Diploma Tiga</x:v>
      </x:c>
      <x:c r="H3130" s="87" t="n">
        <x:v>38</x:v>
      </x:c>
      <x:c r="I3130" s="87" t="n">
        <x:v>138</x:v>
      </x:c>
      <x:c r="J3130" s="68" t="n">
        <x:f>IFERROR(H3130/I3130,"")</x:f>
        <x:v>0.2753623188405797</x:v>
      </x:c>
      <x:c r="K3130" s="69" t="n">
        <x:f>IFERROR(I3130/H3130,"")</x:f>
        <x:v>3.6315789473684212</x:v>
      </x:c>
      <x:c r="L3130" s="66" t="str">
        <x:f>IF(K3130="","","1 : "&amp;TEXT(K3130,"0.0"))</x:f>
        <x:v>1 : 3.6</x:v>
      </x:c>
      <x:c r="M3130" s="66" t="str">
        <x:f>IF(J3130="","Baru/Tanpa Data",IF(J3130&lt;='Catatan &amp; Sumber'!$B$14,"Sangat Ketat",IF(J3130&lt;='Catatan &amp; Sumber'!$B$15,"Ketat",IF(J3130&lt;='Catatan &amp; Sumber'!$B$16,"Sedang","Relatif Longgar"))))</x:f>
        <x:v>Relatif Longgar</x:v>
      </x:c>
      <x:c r="N3130" s="66" t="str">
        <x:v>Fotografi</x:v>
      </x:c>
      <x:c r="O3130" s="66" t="str">
        <x:v>Jakarta Raya</x:v>
      </x:c>
      <x:c r="P3130" s="66" t="str">
        <x:v>Kota Jakarta Selatan</x:v>
      </x:c>
      <x:c r="Q3130" s="66" t="str">
        <x:v>https://snpmb.id/snbp/daya-tampung-snbp</x:v>
      </x:c>
      <x:c r="R3130" s="66" t="str">
        <x:v>https://sidatagrun-public-1076756628210.asia-southeast2.run.app/ptn_sn.php?ptn=422</x:v>
      </x:c>
    </x:row>
    <x:row r="3131">
      <x:c r="A3131" s="87" t="n">
        <x:v>2571</x:v>
      </x:c>
      <x:c r="B3131" s="66" t="n">
        <x:v>422</x:v>
      </x:c>
      <x:c r="C3131" s="66" t="str">
        <x:v>POLITEKNIK NEGERI MEDIA KREATIF</x:v>
      </x:c>
      <x:c r="D3131" s="66" t="str">
        <x:v>PTN Vokasi</x:v>
      </x:c>
      <x:c r="E3131" s="66" t="str">
        <x:v>24223010</x:v>
      </x:c>
      <x:c r="F3131" s="66" t="str">
        <x:v>PEMELIHARAAN MESIN</x:v>
      </x:c>
      <x:c r="G3131" s="66" t="str">
        <x:v>Diploma Tiga</x:v>
      </x:c>
      <x:c r="H3131" s="87" t="n">
        <x:v>13</x:v>
      </x:c>
      <x:c r="I3131" s="87" t="n">
        <x:v>58</x:v>
      </x:c>
      <x:c r="J3131" s="68" t="n">
        <x:f>IFERROR(H3131/I3131,"")</x:f>
        <x:v>0.22413793103448276</x:v>
      </x:c>
      <x:c r="K3131" s="69" t="n">
        <x:f>IFERROR(I3131/H3131,"")</x:f>
        <x:v>4.461538461538462</x:v>
      </x:c>
      <x:c r="L3131" s="66" t="str">
        <x:f>IF(K3131="","","1 : "&amp;TEXT(K3131,"0.0"))</x:f>
        <x:v>1 : 4.5</x:v>
      </x:c>
      <x:c r="M3131" s="66" t="str">
        <x:f>IF(J3131="","Baru/Tanpa Data",IF(J3131&lt;='Catatan &amp; Sumber'!$B$14,"Sangat Ketat",IF(J3131&lt;='Catatan &amp; Sumber'!$B$15,"Ketat",IF(J3131&lt;='Catatan &amp; Sumber'!$B$16,"Sedang","Relatif Longgar"))))</x:f>
        <x:v>Relatif Longgar</x:v>
      </x:c>
      <x:c r="N3131" s="66" t="str">
        <x:v>Tidak Ada</x:v>
      </x:c>
      <x:c r="O3131" s="66" t="str">
        <x:v>Jakarta Raya</x:v>
      </x:c>
      <x:c r="P3131" s="66" t="str">
        <x:v>Kota Jakarta Selatan</x:v>
      </x:c>
      <x:c r="Q3131" s="66" t="str">
        <x:v>https://snpmb.id/snbp/daya-tampung-snbp</x:v>
      </x:c>
      <x:c r="R3131" s="66" t="str">
        <x:v>https://sidatagrun-public-1076756628210.asia-southeast2.run.app/ptn_sn.php?ptn=422</x:v>
      </x:c>
    </x:row>
    <x:row r="3132">
      <x:c r="A3132" s="87" t="n">
        <x:v>3823</x:v>
      </x:c>
      <x:c r="B3132" s="66" t="n">
        <x:v>422</x:v>
      </x:c>
      <x:c r="C3132" s="66" t="str">
        <x:v>POLITEKNIK NEGERI MEDIA KREATIF</x:v>
      </x:c>
      <x:c r="D3132" s="66" t="str">
        <x:v>PTN Vokasi</x:v>
      </x:c>
      <x:c r="E3132" s="66" t="str">
        <x:v>24223011</x:v>
      </x:c>
      <x:c r="F3132" s="66" t="str">
        <x:v>TEKNIK GRAFIKA</x:v>
      </x:c>
      <x:c r="G3132" s="66" t="str">
        <x:v>Diploma Tiga</x:v>
      </x:c>
      <x:c r="H3132" s="87" t="n">
        <x:v>38</x:v>
      </x:c>
      <x:c r="I3132" s="87" t="n">
        <x:v>65</x:v>
      </x:c>
      <x:c r="J3132" s="68" t="n">
        <x:f>IFERROR(H3132/I3132,"")</x:f>
        <x:v>0.5846153846153846</x:v>
      </x:c>
      <x:c r="K3132" s="69" t="n">
        <x:f>IFERROR(I3132/H3132,"")</x:f>
        <x:v>1.7105263157894737</x:v>
      </x:c>
      <x:c r="L3132" s="66" t="str">
        <x:f>IF(K3132="","","1 : "&amp;TEXT(K3132,"0.0"))</x:f>
        <x:v>1 : 1.7</x:v>
      </x:c>
      <x:c r="M3132" s="66" t="str">
        <x:f>IF(J3132="","Baru/Tanpa Data",IF(J3132&lt;='Catatan &amp; Sumber'!$B$14,"Sangat Ketat",IF(J3132&lt;='Catatan &amp; Sumber'!$B$15,"Ketat",IF(J3132&lt;='Catatan &amp; Sumber'!$B$16,"Sedang","Relatif Longgar"))))</x:f>
        <x:v>Relatif Longgar</x:v>
      </x:c>
      <x:c r="N3132" s="66" t="str">
        <x:v>Tidak Ada</x:v>
      </x:c>
      <x:c r="O3132" s="66" t="str">
        <x:v>Jakarta Raya</x:v>
      </x:c>
      <x:c r="P3132" s="66" t="str">
        <x:v>Kota Jakarta Selatan</x:v>
      </x:c>
      <x:c r="Q3132" s="66" t="str">
        <x:v>https://snpmb.id/snbp/daya-tampung-snbp</x:v>
      </x:c>
      <x:c r="R3132" s="66" t="str">
        <x:v>https://sidatagrun-public-1076756628210.asia-southeast2.run.app/ptn_sn.php?ptn=422</x:v>
      </x:c>
    </x:row>
    <x:row r="3133">
      <x:c r="A3133" s="87" t="n">
        <x:v>3361</x:v>
      </x:c>
      <x:c r="B3133" s="66" t="n">
        <x:v>422</x:v>
      </x:c>
      <x:c r="C3133" s="66" t="str">
        <x:v>POLITEKNIK NEGERI MEDIA KREATIF</x:v>
      </x:c>
      <x:c r="D3133" s="66" t="str">
        <x:v>PTN Vokasi</x:v>
      </x:c>
      <x:c r="E3133" s="66" t="str">
        <x:v>24223012</x:v>
      </x:c>
      <x:c r="F3133" s="66" t="str">
        <x:v>PENERBITAN</x:v>
      </x:c>
      <x:c r="G3133" s="66" t="str">
        <x:v>Diploma Tiga</x:v>
      </x:c>
      <x:c r="H3133" s="87" t="n">
        <x:v>38</x:v>
      </x:c>
      <x:c r="I3133" s="87" t="n">
        <x:v>98</x:v>
      </x:c>
      <x:c r="J3133" s="68" t="n">
        <x:f>IFERROR(H3133/I3133,"")</x:f>
        <x:v>0.3877551020408163</x:v>
      </x:c>
      <x:c r="K3133" s="69" t="n">
        <x:f>IFERROR(I3133/H3133,"")</x:f>
        <x:v>2.5789473684210527</x:v>
      </x:c>
      <x:c r="L3133" s="66" t="str">
        <x:f>IF(K3133="","","1 : "&amp;TEXT(K3133,"0.0"))</x:f>
        <x:v>1 : 2.6</x:v>
      </x:c>
      <x:c r="M3133" s="66" t="str">
        <x:f>IF(J3133="","Baru/Tanpa Data",IF(J3133&lt;='Catatan &amp; Sumber'!$B$14,"Sangat Ketat",IF(J3133&lt;='Catatan &amp; Sumber'!$B$15,"Ketat",IF(J3133&lt;='Catatan &amp; Sumber'!$B$16,"Sedang","Relatif Longgar"))))</x:f>
        <x:v>Relatif Longgar</x:v>
      </x:c>
      <x:c r="N3133" s="66" t="str">
        <x:v>Tidak Ada</x:v>
      </x:c>
      <x:c r="O3133" s="66" t="str">
        <x:v>Jakarta Raya</x:v>
      </x:c>
      <x:c r="P3133" s="66" t="str">
        <x:v>Kota Jakarta Selatan</x:v>
      </x:c>
      <x:c r="Q3133" s="66" t="str">
        <x:v>https://snpmb.id/snbp/daya-tampung-snbp</x:v>
      </x:c>
      <x:c r="R3133" s="66" t="str">
        <x:v>https://sidatagrun-public-1076756628210.asia-southeast2.run.app/ptn_sn.php?ptn=422</x:v>
      </x:c>
    </x:row>
    <x:row r="3134">
      <x:c r="A3134" s="87" t="n">
        <x:v>4375</x:v>
      </x:c>
      <x:c r="B3134" s="66" t="n">
        <x:v>422</x:v>
      </x:c>
      <x:c r="C3134" s="66" t="str">
        <x:v>POLITEKNIK NEGERI MEDIA KREATIF</x:v>
      </x:c>
      <x:c r="D3134" s="66" t="str">
        <x:v>PTN Vokasi</x:v>
      </x:c>
      <x:c r="E3134" s="66" t="str">
        <x:v>24223013</x:v>
      </x:c>
      <x:c r="F3134" s="66" t="str">
        <x:v>DESAIN GRAFIS (PSDKU MAKASSAR)</x:v>
      </x:c>
      <x:c r="G3134" s="66" t="str">
        <x:v>Diploma Tiga</x:v>
      </x:c>
      <x:c r="H3134" s="87" t="n">
        <x:v>13</x:v>
      </x:c>
      <x:c r="I3134" s="87" t="n">
        <x:v>12</x:v>
      </x:c>
      <x:c r="J3134" s="68" t="n">
        <x:f>IFERROR(H3134/I3134,"")</x:f>
        <x:v>1.0833333333333333</x:v>
      </x:c>
      <x:c r="K3134" s="69" t="n">
        <x:f>IFERROR(I3134/H3134,"")</x:f>
        <x:v>0.9230769230769231</x:v>
      </x:c>
      <x:c r="L3134" s="66" t="str">
        <x:f>IF(K3134="","","1 : "&amp;TEXT(K3134,"0.0"))</x:f>
        <x:v>1 : 0.9</x:v>
      </x:c>
      <x:c r="M3134" s="66" t="str">
        <x:f>IF(J3134="","Baru/Tanpa Data",IF(J3134&lt;='Catatan &amp; Sumber'!$B$14,"Sangat Ketat",IF(J3134&lt;='Catatan &amp; Sumber'!$B$15,"Ketat",IF(J3134&lt;='Catatan &amp; Sumber'!$B$16,"Sedang","Relatif Longgar"))))</x:f>
        <x:v>Relatif Longgar</x:v>
      </x:c>
      <x:c r="N3134" s="66" t="str">
        <x:v>Seni Rupa, Desain, dan Kriya</x:v>
      </x:c>
      <x:c r="O3134" s="66" t="str">
        <x:v>Jakarta Raya</x:v>
      </x:c>
      <x:c r="P3134" s="66" t="str">
        <x:v>Kota Jakarta Selatan</x:v>
      </x:c>
      <x:c r="Q3134" s="66" t="str">
        <x:v>https://snpmb.id/snbp/daya-tampung-snbp</x:v>
      </x:c>
      <x:c r="R3134" s="66" t="str">
        <x:v>https://sidatagrun-public-1076756628210.asia-southeast2.run.app/ptn_sn.php?ptn=422</x:v>
      </x:c>
    </x:row>
    <x:row r="3135">
      <x:c r="A3135" s="87" t="n">
        <x:v>4651</x:v>
      </x:c>
      <x:c r="B3135" s="66" t="n">
        <x:v>422</x:v>
      </x:c>
      <x:c r="C3135" s="66" t="str">
        <x:v>POLITEKNIK NEGERI MEDIA KREATIF</x:v>
      </x:c>
      <x:c r="D3135" s="66" t="str">
        <x:v>PTN Vokasi</x:v>
      </x:c>
      <x:c r="E3135" s="66" t="str">
        <x:v>24223014</x:v>
      </x:c>
      <x:c r="F3135" s="66" t="str">
        <x:v>TEKNIK GRAFIKA (PSDKU MAKASSAR)</x:v>
      </x:c>
      <x:c r="G3135" s="66" t="str">
        <x:v>Diploma Tiga</x:v>
      </x:c>
      <x:c r="H3135" s="87" t="n">
        <x:v>19</x:v>
      </x:c>
      <x:c r="I3135" s="87" t="n">
        <x:v>10</x:v>
      </x:c>
      <x:c r="J3135" s="68" t="n">
        <x:f>IFERROR(H3135/I3135,"")</x:f>
        <x:v>1.9</x:v>
      </x:c>
      <x:c r="K3135" s="69" t="n">
        <x:f>IFERROR(I3135/H3135,"")</x:f>
        <x:v>0.5263157894736842</x:v>
      </x:c>
      <x:c r="L3135" s="66" t="str">
        <x:f>IF(K3135="","","1 : "&amp;TEXT(K3135,"0.0"))</x:f>
        <x:v>1 : 0.5</x:v>
      </x:c>
      <x:c r="M3135" s="66" t="str">
        <x:f>IF(J3135="","Baru/Tanpa Data",IF(J3135&lt;='Catatan &amp; Sumber'!$B$14,"Sangat Ketat",IF(J3135&lt;='Catatan &amp; Sumber'!$B$15,"Ketat",IF(J3135&lt;='Catatan &amp; Sumber'!$B$16,"Sedang","Relatif Longgar"))))</x:f>
        <x:v>Relatif Longgar</x:v>
      </x:c>
      <x:c r="N3135" s="66" t="str">
        <x:v>Tidak Ada</x:v>
      </x:c>
      <x:c r="O3135" s="66" t="str">
        <x:v>Jakarta Raya</x:v>
      </x:c>
      <x:c r="P3135" s="66" t="str">
        <x:v>Kota Jakarta Selatan</x:v>
      </x:c>
      <x:c r="Q3135" s="66" t="str">
        <x:v>https://snpmb.id/snbp/daya-tampung-snbp</x:v>
      </x:c>
      <x:c r="R3135" s="66" t="str">
        <x:v>https://sidatagrun-public-1076756628210.asia-southeast2.run.app/ptn_sn.php?ptn=422</x:v>
      </x:c>
    </x:row>
    <x:row r="3136">
      <x:c r="A3136" s="87" t="n">
        <x:v>3475</x:v>
      </x:c>
      <x:c r="B3136" s="66" t="n">
        <x:v>422</x:v>
      </x:c>
      <x:c r="C3136" s="66" t="str">
        <x:v>POLITEKNIK NEGERI MEDIA KREATIF</x:v>
      </x:c>
      <x:c r="D3136" s="66" t="str">
        <x:v>PTN Vokasi</x:v>
      </x:c>
      <x:c r="E3136" s="66" t="str">
        <x:v>24223015</x:v>
      </x:c>
      <x:c r="F3136" s="66" t="str">
        <x:v>DESAIN GRAFIS</x:v>
      </x:c>
      <x:c r="G3136" s="66" t="str">
        <x:v>Diploma Tiga</x:v>
      </x:c>
      <x:c r="H3136" s="87" t="n">
        <x:v>64</x:v>
      </x:c>
      <x:c r="I3136" s="87" t="n">
        <x:v>150</x:v>
      </x:c>
      <x:c r="J3136" s="68" t="n">
        <x:f>IFERROR(H3136/I3136,"")</x:f>
        <x:v>0.4266666666666667</x:v>
      </x:c>
      <x:c r="K3136" s="69" t="n">
        <x:f>IFERROR(I3136/H3136,"")</x:f>
        <x:v>2.34375</x:v>
      </x:c>
      <x:c r="L3136" s="66" t="str">
        <x:f>IF(K3136="","","1 : "&amp;TEXT(K3136,"0.0"))</x:f>
        <x:v>1 : 2.3</x:v>
      </x:c>
      <x:c r="M3136" s="66" t="str">
        <x:f>IF(J3136="","Baru/Tanpa Data",IF(J3136&lt;='Catatan &amp; Sumber'!$B$14,"Sangat Ketat",IF(J3136&lt;='Catatan &amp; Sumber'!$B$15,"Ketat",IF(J3136&lt;='Catatan &amp; Sumber'!$B$16,"Sedang","Relatif Longgar"))))</x:f>
        <x:v>Relatif Longgar</x:v>
      </x:c>
      <x:c r="N3136" s="66" t="str">
        <x:v>Seni Rupa, Desain, dan Kriya</x:v>
      </x:c>
      <x:c r="O3136" s="66" t="str">
        <x:v>Jakarta Raya</x:v>
      </x:c>
      <x:c r="P3136" s="66" t="str">
        <x:v>Kota Jakarta Selatan</x:v>
      </x:c>
      <x:c r="Q3136" s="66" t="str">
        <x:v>https://snpmb.id/snbp/daya-tampung-snbp</x:v>
      </x:c>
      <x:c r="R3136" s="66" t="str">
        <x:v>https://sidatagrun-public-1076756628210.asia-southeast2.run.app/ptn_sn.php?ptn=422</x:v>
      </x:c>
    </x:row>
    <x:row r="3137">
      <x:c r="A3137" s="87" t="n">
        <x:v>1467</x:v>
      </x:c>
      <x:c r="B3137" s="66" t="n">
        <x:v>422</x:v>
      </x:c>
      <x:c r="C3137" s="66" t="str">
        <x:v>POLITEKNIK NEGERI MEDIA KREATIF</x:v>
      </x:c>
      <x:c r="D3137" s="66" t="str">
        <x:v>PTN Vokasi</x:v>
      </x:c>
      <x:c r="E3137" s="66" t="str">
        <x:v>24223016</x:v>
      </x:c>
      <x:c r="F3137" s="66" t="str">
        <x:v>SENI KULINER</x:v>
      </x:c>
      <x:c r="G3137" s="66" t="str">
        <x:v>Diploma Tiga</x:v>
      </x:c>
      <x:c r="H3137" s="87" t="n">
        <x:v>26</x:v>
      </x:c>
      <x:c r="I3137" s="87" t="n">
        <x:v>243</x:v>
      </x:c>
      <x:c r="J3137" s="68" t="n">
        <x:f>IFERROR(H3137/I3137,"")</x:f>
        <x:v>0.10699588477366255</x:v>
      </x:c>
      <x:c r="K3137" s="69" t="n">
        <x:f>IFERROR(I3137/H3137,"")</x:f>
        <x:v>9.346153846153847</x:v>
      </x:c>
      <x:c r="L3137" s="66" t="str">
        <x:f>IF(K3137="","","1 : "&amp;TEXT(K3137,"0.0"))</x:f>
        <x:v>1 : 9.3</x:v>
      </x:c>
      <x:c r="M3137" s="66" t="str">
        <x:f>IF(J3137="","Baru/Tanpa Data",IF(J3137&lt;='Catatan &amp; Sumber'!$B$14,"Sangat Ketat",IF(J3137&lt;='Catatan &amp; Sumber'!$B$15,"Ketat",IF(J3137&lt;='Catatan &amp; Sumber'!$B$16,"Sedang","Relatif Longgar"))))</x:f>
        <x:v>Relatif Longgar</x:v>
      </x:c>
      <x:c r="N3137" s="66" t="str">
        <x:v>Tidak Ada</x:v>
      </x:c>
      <x:c r="O3137" s="66" t="str">
        <x:v>Jakarta Raya</x:v>
      </x:c>
      <x:c r="P3137" s="66" t="str">
        <x:v>Kota Jakarta Selatan</x:v>
      </x:c>
      <x:c r="Q3137" s="66" t="str">
        <x:v>https://snpmb.id/snbp/daya-tampung-snbp</x:v>
      </x:c>
      <x:c r="R3137" s="66" t="str">
        <x:v>https://sidatagrun-public-1076756628210.asia-southeast2.run.app/ptn_sn.php?ptn=422</x:v>
      </x:c>
    </x:row>
    <x:row r="3138">
      <x:c r="A3138" s="87" t="n">
        <x:v>2520</x:v>
      </x:c>
      <x:c r="B3138" s="66" t="n">
        <x:v>422</x:v>
      </x:c>
      <x:c r="C3138" s="66" t="str">
        <x:v>POLITEKNIK NEGERI MEDIA KREATIF</x:v>
      </x:c>
      <x:c r="D3138" s="66" t="str">
        <x:v>PTN Vokasi</x:v>
      </x:c>
      <x:c r="E3138" s="66" t="str">
        <x:v>24223017</x:v>
      </x:c>
      <x:c r="F3138" s="66" t="str">
        <x:v>PERIKLANAN</x:v>
      </x:c>
      <x:c r="G3138" s="66" t="str">
        <x:v>Diploma Tiga</x:v>
      </x:c>
      <x:c r="H3138" s="87" t="n">
        <x:v>51</x:v>
      </x:c>
      <x:c r="I3138" s="87" t="n">
        <x:v>237</x:v>
      </x:c>
      <x:c r="J3138" s="68" t="n">
        <x:f>IFERROR(H3138/I3138,"")</x:f>
        <x:v>0.21518987341772153</x:v>
      </x:c>
      <x:c r="K3138" s="69" t="n">
        <x:f>IFERROR(I3138/H3138,"")</x:f>
        <x:v>4.647058823529412</x:v>
      </x:c>
      <x:c r="L3138" s="66" t="str">
        <x:f>IF(K3138="","","1 : "&amp;TEXT(K3138,"0.0"))</x:f>
        <x:v>1 : 4.6</x:v>
      </x:c>
      <x:c r="M3138" s="66" t="str">
        <x:f>IF(J3138="","Baru/Tanpa Data",IF(J3138&lt;='Catatan &amp; Sumber'!$B$14,"Sangat Ketat",IF(J3138&lt;='Catatan &amp; Sumber'!$B$15,"Ketat",IF(J3138&lt;='Catatan &amp; Sumber'!$B$16,"Sedang","Relatif Longgar"))))</x:f>
        <x:v>Relatif Longgar</x:v>
      </x:c>
      <x:c r="N3138" s="66" t="str">
        <x:v>Tidak Ada</x:v>
      </x:c>
      <x:c r="O3138" s="66" t="str">
        <x:v>Jakarta Raya</x:v>
      </x:c>
      <x:c r="P3138" s="66" t="str">
        <x:v>Kota Jakarta Selatan</x:v>
      </x:c>
      <x:c r="Q3138" s="66" t="str">
        <x:v>https://snpmb.id/snbp/daya-tampung-snbp</x:v>
      </x:c>
      <x:c r="R3138" s="66" t="str">
        <x:v>https://sidatagrun-public-1076756628210.asia-southeast2.run.app/ptn_sn.php?ptn=422</x:v>
      </x:c>
    </x:row>
    <x:row r="3139">
      <x:c r="A3139" s="87" t="n">
        <x:v>4869</x:v>
      </x:c>
      <x:c r="B3139" s="66" t="n">
        <x:v>422</x:v>
      </x:c>
      <x:c r="C3139" s="66" t="str">
        <x:v>POLITEKNIK NEGERI MEDIA KREATIF</x:v>
      </x:c>
      <x:c r="D3139" s="66" t="str">
        <x:v>PTN Vokasi</x:v>
      </x:c>
      <x:c r="E3139" s="66" t="str">
        <x:v>24223020</x:v>
      </x:c>
      <x:c r="F3139" s="66" t="str">
        <x:v>PENERBITAN (PSDKU MAKASSAR)</x:v>
      </x:c>
      <x:c r="G3139" s="66" t="str">
        <x:v>Diploma Tiga</x:v>
      </x:c>
      <x:c r="H3139" s="87" t="n">
        <x:v>13</x:v>
      </x:c>
      <x:c r="I3139" s="87" t="n">
        <x:v>2</x:v>
      </x:c>
      <x:c r="J3139" s="68" t="n">
        <x:f>IFERROR(H3139/I3139,"")</x:f>
        <x:v>6.5</x:v>
      </x:c>
      <x:c r="K3139" s="69" t="n">
        <x:f>IFERROR(I3139/H3139,"")</x:f>
        <x:v>0.15384615384615385</x:v>
      </x:c>
      <x:c r="L3139" s="66" t="str">
        <x:f>IF(K3139="","","1 : "&amp;TEXT(K3139,"0.0"))</x:f>
        <x:v>1 : 0.2</x:v>
      </x:c>
      <x:c r="M3139" s="66" t="str">
        <x:f>IF(J3139="","Baru/Tanpa Data",IF(J3139&lt;='Catatan &amp; Sumber'!$B$14,"Sangat Ketat",IF(J3139&lt;='Catatan &amp; Sumber'!$B$15,"Ketat",IF(J3139&lt;='Catatan &amp; Sumber'!$B$16,"Sedang","Relatif Longgar"))))</x:f>
        <x:v>Relatif Longgar</x:v>
      </x:c>
      <x:c r="N3139" s="66" t="str">
        <x:v>Tidak Ada</x:v>
      </x:c>
      <x:c r="O3139" s="66" t="str">
        <x:v>Jakarta Raya</x:v>
      </x:c>
      <x:c r="P3139" s="66" t="str">
        <x:v>Kota Jakarta Selatan</x:v>
      </x:c>
      <x:c r="Q3139" s="66" t="str">
        <x:v>https://snpmb.id/snbp/daya-tampung-snbp</x:v>
      </x:c>
      <x:c r="R3139" s="66" t="str">
        <x:v>https://sidatagrun-public-1076756628210.asia-southeast2.run.app/ptn_sn.php?ptn=422</x:v>
      </x:c>
    </x:row>
    <x:row r="3140">
      <x:c r="A3140" s="87" t="n">
        <x:v>4830</x:v>
      </x:c>
      <x:c r="B3140" s="66" t="n">
        <x:v>422</x:v>
      </x:c>
      <x:c r="C3140" s="66" t="str">
        <x:v>POLITEKNIK NEGERI MEDIA KREATIF</x:v>
      </x:c>
      <x:c r="D3140" s="66" t="str">
        <x:v>PTN Vokasi</x:v>
      </x:c>
      <x:c r="E3140" s="66" t="str">
        <x:v>24223021</x:v>
      </x:c>
      <x:c r="F3140" s="66" t="str">
        <x:v>PERIKLANAN (PSDKU MAKASSAR)</x:v>
      </x:c>
      <x:c r="G3140" s="66" t="str">
        <x:v>Diploma Tiga</x:v>
      </x:c>
      <x:c r="H3140" s="87" t="n">
        <x:v>13</x:v>
      </x:c>
      <x:c r="I3140" s="87" t="n">
        <x:v>3</x:v>
      </x:c>
      <x:c r="J3140" s="68" t="n">
        <x:f>IFERROR(H3140/I3140,"")</x:f>
        <x:v>4.333333333333333</x:v>
      </x:c>
      <x:c r="K3140" s="69" t="n">
        <x:f>IFERROR(I3140/H3140,"")</x:f>
        <x:v>0.23076923076923078</x:v>
      </x:c>
      <x:c r="L3140" s="66" t="str">
        <x:f>IF(K3140="","","1 : "&amp;TEXT(K3140,"0.0"))</x:f>
        <x:v>1 : 0.2</x:v>
      </x:c>
      <x:c r="M3140" s="66" t="str">
        <x:f>IF(J3140="","Baru/Tanpa Data",IF(J3140&lt;='Catatan &amp; Sumber'!$B$14,"Sangat Ketat",IF(J3140&lt;='Catatan &amp; Sumber'!$B$15,"Ketat",IF(J3140&lt;='Catatan &amp; Sumber'!$B$16,"Sedang","Relatif Longgar"))))</x:f>
        <x:v>Relatif Longgar</x:v>
      </x:c>
      <x:c r="N3140" s="66" t="str">
        <x:v>Tidak Ada</x:v>
      </x:c>
      <x:c r="O3140" s="66" t="str">
        <x:v>Jakarta Raya</x:v>
      </x:c>
      <x:c r="P3140" s="66" t="str">
        <x:v>Kota Jakarta Selatan</x:v>
      </x:c>
      <x:c r="Q3140" s="66" t="str">
        <x:v>https://snpmb.id/snbp/daya-tampung-snbp</x:v>
      </x:c>
      <x:c r="R3140" s="66" t="str">
        <x:v>https://sidatagrun-public-1076756628210.asia-southeast2.run.app/ptn_sn.php?ptn=422</x:v>
      </x:c>
    </x:row>
    <x:row r="3141">
      <x:c r="A3141" s="87" t="n">
        <x:v>4895</x:v>
      </x:c>
      <x:c r="B3141" s="66" t="n">
        <x:v>422</x:v>
      </x:c>
      <x:c r="C3141" s="66" t="str">
        <x:v>POLITEKNIK NEGERI MEDIA KREATIF</x:v>
      </x:c>
      <x:c r="D3141" s="66" t="str">
        <x:v>PTN Vokasi</x:v>
      </x:c>
      <x:c r="E3141" s="66" t="str">
        <x:v>24223022</x:v>
      </x:c>
      <x:c r="F3141" s="66" t="str">
        <x:v>PENERBITAN (PSDKU MEDAN)</x:v>
      </x:c>
      <x:c r="G3141" s="66" t="str">
        <x:v>Diploma Tiga</x:v>
      </x:c>
      <x:c r="H3141" s="87" t="n">
        <x:v>13</x:v>
      </x:c>
      <x:c r="I3141" s="87" t="n">
        <x:v>1</x:v>
      </x:c>
      <x:c r="J3141" s="68" t="n">
        <x:f>IFERROR(H3141/I3141,"")</x:f>
        <x:v>13</x:v>
      </x:c>
      <x:c r="K3141" s="69" t="n">
        <x:f>IFERROR(I3141/H3141,"")</x:f>
        <x:v>0.07692307692307693</x:v>
      </x:c>
      <x:c r="L3141" s="66" t="str">
        <x:f>IF(K3141="","","1 : "&amp;TEXT(K3141,"0.0"))</x:f>
        <x:v>1 : 0.1</x:v>
      </x:c>
      <x:c r="M3141" s="66" t="str">
        <x:f>IF(J3141="","Baru/Tanpa Data",IF(J3141&lt;='Catatan &amp; Sumber'!$B$14,"Sangat Ketat",IF(J3141&lt;='Catatan &amp; Sumber'!$B$15,"Ketat",IF(J3141&lt;='Catatan &amp; Sumber'!$B$16,"Sedang","Relatif Longgar"))))</x:f>
        <x:v>Relatif Longgar</x:v>
      </x:c>
      <x:c r="N3141" s="66" t="str">
        <x:v>Tidak Ada</x:v>
      </x:c>
      <x:c r="O3141" s="66" t="str">
        <x:v>Jakarta Raya</x:v>
      </x:c>
      <x:c r="P3141" s="66" t="str">
        <x:v>Kota Jakarta Selatan</x:v>
      </x:c>
      <x:c r="Q3141" s="66" t="str">
        <x:v>https://snpmb.id/snbp/daya-tampung-snbp</x:v>
      </x:c>
      <x:c r="R3141" s="66" t="str">
        <x:v>https://sidatagrun-public-1076756628210.asia-southeast2.run.app/ptn_sn.php?ptn=422</x:v>
      </x:c>
    </x:row>
    <x:row r="3142">
      <x:c r="A3142" s="87" t="n">
        <x:v>4152</x:v>
      </x:c>
      <x:c r="B3142" s="66" t="n">
        <x:v>422</x:v>
      </x:c>
      <x:c r="C3142" s="66" t="str">
        <x:v>POLITEKNIK NEGERI MEDIA KREATIF</x:v>
      </x:c>
      <x:c r="D3142" s="66" t="str">
        <x:v>PTN Vokasi</x:v>
      </x:c>
      <x:c r="E3142" s="66" t="str">
        <x:v>24223023</x:v>
      </x:c>
      <x:c r="F3142" s="66" t="str">
        <x:v>PERIKLANAN (PSDKU MEDAN)</x:v>
      </x:c>
      <x:c r="G3142" s="66" t="str">
        <x:v>Diploma Tiga</x:v>
      </x:c>
      <x:c r="H3142" s="87" t="n">
        <x:v>13</x:v>
      </x:c>
      <x:c r="I3142" s="87" t="n">
        <x:v>16</x:v>
      </x:c>
      <x:c r="J3142" s="68" t="n">
        <x:f>IFERROR(H3142/I3142,"")</x:f>
        <x:v>0.8125</x:v>
      </x:c>
      <x:c r="K3142" s="69" t="n">
        <x:f>IFERROR(I3142/H3142,"")</x:f>
        <x:v>1.2307692307692308</x:v>
      </x:c>
      <x:c r="L3142" s="66" t="str">
        <x:f>IF(K3142="","","1 : "&amp;TEXT(K3142,"0.0"))</x:f>
        <x:v>1 : 1.2</x:v>
      </x:c>
      <x:c r="M3142" s="66" t="str">
        <x:f>IF(J3142="","Baru/Tanpa Data",IF(J3142&lt;='Catatan &amp; Sumber'!$B$14,"Sangat Ketat",IF(J3142&lt;='Catatan &amp; Sumber'!$B$15,"Ketat",IF(J3142&lt;='Catatan &amp; Sumber'!$B$16,"Sedang","Relatif Longgar"))))</x:f>
        <x:v>Relatif Longgar</x:v>
      </x:c>
      <x:c r="N3142" s="66" t="str">
        <x:v>Tidak Ada</x:v>
      </x:c>
      <x:c r="O3142" s="66" t="str">
        <x:v>Jakarta Raya</x:v>
      </x:c>
      <x:c r="P3142" s="66" t="str">
        <x:v>Kota Jakarta Selatan</x:v>
      </x:c>
      <x:c r="Q3142" s="66" t="str">
        <x:v>https://snpmb.id/snbp/daya-tampung-snbp</x:v>
      </x:c>
      <x:c r="R3142" s="66" t="str">
        <x:v>https://sidatagrun-public-1076756628210.asia-southeast2.run.app/ptn_sn.php?ptn=422</x:v>
      </x:c>
    </x:row>
    <x:row r="3143">
      <x:c r="A3143" s="87" t="n">
        <x:v>417</x:v>
      </x:c>
      <x:c r="B3143" s="66" t="n">
        <x:v>431</x:v>
      </x:c>
      <x:c r="C3143" s="66" t="str">
        <x:v>POLITEKNIK NEGERI BANDUNG</x:v>
      </x:c>
      <x:c r="D3143" s="66" t="str">
        <x:v>PTN Vokasi</x:v>
      </x:c>
      <x:c r="E3143" s="66" t="str">
        <x:v>24312001</x:v>
      </x:c>
      <x:c r="F3143" s="66" t="str">
        <x:v>TEKNIK PERANCANGAN JALAN DAN JEMBATAN</x:v>
      </x:c>
      <x:c r="G3143" s="66" t="str">
        <x:v>Sarjana Terapan</x:v>
      </x:c>
      <x:c r="H3143" s="87" t="n">
        <x:v>13</x:v>
      </x:c>
      <x:c r="I3143" s="87" t="n">
        <x:v>273</x:v>
      </x:c>
      <x:c r="J3143" s="68" t="n">
        <x:f>IFERROR(H3143/I3143,"")</x:f>
        <x:v>0.047619047619047616</x:v>
      </x:c>
      <x:c r="K3143" s="69" t="n">
        <x:f>IFERROR(I3143/H3143,"")</x:f>
        <x:v>21</x:v>
      </x:c>
      <x:c r="L3143" s="66" t="str">
        <x:f>IF(K3143="","","1 : "&amp;TEXT(K3143,"0.0"))</x:f>
        <x:v>1 : 21.0</x:v>
      </x:c>
      <x:c r="M3143" s="66" t="str">
        <x:f>IF(J3143="","Baru/Tanpa Data",IF(J3143&lt;='Catatan &amp; Sumber'!$B$14,"Sangat Ketat",IF(J3143&lt;='Catatan &amp; Sumber'!$B$15,"Ketat",IF(J3143&lt;='Catatan &amp; Sumber'!$B$16,"Sedang","Relatif Longgar"))))</x:f>
        <x:v>Ketat</x:v>
      </x:c>
      <x:c r="N3143" s="66" t="str">
        <x:v>Tidak Ada</x:v>
      </x:c>
      <x:c r="O3143" s="66" t="str">
        <x:v>Jawa Barat</x:v>
      </x:c>
      <x:c r="P3143" s="66" t="str">
        <x:v>Kota Bandung</x:v>
      </x:c>
      <x:c r="Q3143" s="66" t="str">
        <x:v>https://snpmb.id/snbp/daya-tampung-snbp</x:v>
      </x:c>
      <x:c r="R3143" s="66" t="str">
        <x:v>https://sidatagrun-public-1076756628210.asia-southeast2.run.app/ptn_sn.php?ptn=431</x:v>
      </x:c>
    </x:row>
    <x:row r="3144">
      <x:c r="A3144" s="87" t="n">
        <x:v>663</x:v>
      </x:c>
      <x:c r="B3144" s="66" t="n">
        <x:v>431</x:v>
      </x:c>
      <x:c r="C3144" s="66" t="str">
        <x:v>POLITEKNIK NEGERI BANDUNG</x:v>
      </x:c>
      <x:c r="D3144" s="66" t="str">
        <x:v>PTN Vokasi</x:v>
      </x:c>
      <x:c r="E3144" s="66" t="str">
        <x:v>24312002</x:v>
      </x:c>
      <x:c r="F3144" s="66" t="str">
        <x:v>TEKNIK PERAWATAN DAN PERBAIKAN GEDUNG</x:v>
      </x:c>
      <x:c r="G3144" s="66" t="str">
        <x:v>Sarjana Terapan</x:v>
      </x:c>
      <x:c r="H3144" s="87" t="n">
        <x:v>13</x:v>
      </x:c>
      <x:c r="I3144" s="87" t="n">
        <x:v>217</x:v>
      </x:c>
      <x:c r="J3144" s="68" t="n">
        <x:f>IFERROR(H3144/I3144,"")</x:f>
        <x:v>0.059907834101382486</x:v>
      </x:c>
      <x:c r="K3144" s="69" t="n">
        <x:f>IFERROR(I3144/H3144,"")</x:f>
        <x:v>16.692307692307693</x:v>
      </x:c>
      <x:c r="L3144" s="66" t="str">
        <x:f>IF(K3144="","","1 : "&amp;TEXT(K3144,"0.0"))</x:f>
        <x:v>1 : 16.7</x:v>
      </x:c>
      <x:c r="M3144" s="66" t="str">
        <x:f>IF(J3144="","Baru/Tanpa Data",IF(J3144&lt;='Catatan &amp; Sumber'!$B$14,"Sangat Ketat",IF(J3144&lt;='Catatan &amp; Sumber'!$B$15,"Ketat",IF(J3144&lt;='Catatan &amp; Sumber'!$B$16,"Sedang","Relatif Longgar"))))</x:f>
        <x:v>Sedang</x:v>
      </x:c>
      <x:c r="N3144" s="66" t="str">
        <x:v>Tidak Ada</x:v>
      </x:c>
      <x:c r="O3144" s="66" t="str">
        <x:v>Jawa Barat</x:v>
      </x:c>
      <x:c r="P3144" s="66" t="str">
        <x:v>Kota Bandung</x:v>
      </x:c>
      <x:c r="Q3144" s="66" t="str">
        <x:v>https://snpmb.id/snbp/daya-tampung-snbp</x:v>
      </x:c>
      <x:c r="R3144" s="66" t="str">
        <x:v>https://sidatagrun-public-1076756628210.asia-southeast2.run.app/ptn_sn.php?ptn=431</x:v>
      </x:c>
    </x:row>
    <x:row r="3145">
      <x:c r="A3145" s="87" t="n">
        <x:v>417</x:v>
      </x:c>
      <x:c r="B3145" s="66" t="n">
        <x:v>431</x:v>
      </x:c>
      <x:c r="C3145" s="66" t="str">
        <x:v>POLITEKNIK NEGERI BANDUNG</x:v>
      </x:c>
      <x:c r="D3145" s="66" t="str">
        <x:v>PTN Vokasi</x:v>
      </x:c>
      <x:c r="E3145" s="66" t="str">
        <x:v>24312003</x:v>
      </x:c>
      <x:c r="F3145" s="66" t="str">
        <x:v>TEKNIK PERANCANGAN DAN KONSTRUKSI MESIN</x:v>
      </x:c>
      <x:c r="G3145" s="66" t="str">
        <x:v>Sarjana Terapan</x:v>
      </x:c>
      <x:c r="H3145" s="87" t="n">
        <x:v>13</x:v>
      </x:c>
      <x:c r="I3145" s="87" t="n">
        <x:v>273</x:v>
      </x:c>
      <x:c r="J3145" s="68" t="n">
        <x:f>IFERROR(H3145/I3145,"")</x:f>
        <x:v>0.047619047619047616</x:v>
      </x:c>
      <x:c r="K3145" s="69" t="n">
        <x:f>IFERROR(I3145/H3145,"")</x:f>
        <x:v>21</x:v>
      </x:c>
      <x:c r="L3145" s="66" t="str">
        <x:f>IF(K3145="","","1 : "&amp;TEXT(K3145,"0.0"))</x:f>
        <x:v>1 : 21.0</x:v>
      </x:c>
      <x:c r="M3145" s="66" t="str">
        <x:f>IF(J3145="","Baru/Tanpa Data",IF(J3145&lt;='Catatan &amp; Sumber'!$B$14,"Sangat Ketat",IF(J3145&lt;='Catatan &amp; Sumber'!$B$15,"Ketat",IF(J3145&lt;='Catatan &amp; Sumber'!$B$16,"Sedang","Relatif Longgar"))))</x:f>
        <x:v>Ketat</x:v>
      </x:c>
      <x:c r="N3145" s="66" t="str">
        <x:v>Tidak Ada</x:v>
      </x:c>
      <x:c r="O3145" s="66" t="str">
        <x:v>Jawa Barat</x:v>
      </x:c>
      <x:c r="P3145" s="66" t="str">
        <x:v>Kota Bandung</x:v>
      </x:c>
      <x:c r="Q3145" s="66" t="str">
        <x:v>https://snpmb.id/snbp/daya-tampung-snbp</x:v>
      </x:c>
      <x:c r="R3145" s="66" t="str">
        <x:v>https://sidatagrun-public-1076756628210.asia-southeast2.run.app/ptn_sn.php?ptn=431</x:v>
      </x:c>
    </x:row>
    <x:row r="3146">
      <x:c r="A3146" s="87" t="n">
        <x:v>611</x:v>
      </x:c>
      <x:c r="B3146" s="66" t="n">
        <x:v>431</x:v>
      </x:c>
      <x:c r="C3146" s="66" t="str">
        <x:v>POLITEKNIK NEGERI BANDUNG</x:v>
      </x:c>
      <x:c r="D3146" s="66" t="str">
        <x:v>PTN Vokasi</x:v>
      </x:c>
      <x:c r="E3146" s="66" t="str">
        <x:v>24312004</x:v>
      </x:c>
      <x:c r="F3146" s="66" t="str">
        <x:v>PROSES MANUFAKTUR</x:v>
      </x:c>
      <x:c r="G3146" s="66" t="str">
        <x:v>Sarjana Terapan</x:v>
      </x:c>
      <x:c r="H3146" s="87" t="n">
        <x:v>13</x:v>
      </x:c>
      <x:c r="I3146" s="87" t="n">
        <x:v>224</x:v>
      </x:c>
      <x:c r="J3146" s="68" t="n">
        <x:f>IFERROR(H3146/I3146,"")</x:f>
        <x:v>0.05803571428571429</x:v>
      </x:c>
      <x:c r="K3146" s="69" t="n">
        <x:f>IFERROR(I3146/H3146,"")</x:f>
        <x:v>17.23076923076923</x:v>
      </x:c>
      <x:c r="L3146" s="66" t="str">
        <x:f>IF(K3146="","","1 : "&amp;TEXT(K3146,"0.0"))</x:f>
        <x:v>1 : 17.2</x:v>
      </x:c>
      <x:c r="M3146" s="66" t="str">
        <x:f>IF(J3146="","Baru/Tanpa Data",IF(J3146&lt;='Catatan &amp; Sumber'!$B$14,"Sangat Ketat",IF(J3146&lt;='Catatan &amp; Sumber'!$B$15,"Ketat",IF(J3146&lt;='Catatan &amp; Sumber'!$B$16,"Sedang","Relatif Longgar"))))</x:f>
        <x:v>Sedang</x:v>
      </x:c>
      <x:c r="N3146" s="66" t="str">
        <x:v>Tidak Ada</x:v>
      </x:c>
      <x:c r="O3146" s="66" t="str">
        <x:v>Jawa Barat</x:v>
      </x:c>
      <x:c r="P3146" s="66" t="str">
        <x:v>Kota Bandung</x:v>
      </x:c>
      <x:c r="Q3146" s="66" t="str">
        <x:v>https://snpmb.id/snbp/daya-tampung-snbp</x:v>
      </x:c>
      <x:c r="R3146" s="66" t="str">
        <x:v>https://sidatagrun-public-1076756628210.asia-southeast2.run.app/ptn_sn.php?ptn=431</x:v>
      </x:c>
    </x:row>
    <x:row r="3147">
      <x:c r="A3147" s="87" t="n">
        <x:v>1316</x:v>
      </x:c>
      <x:c r="B3147" s="66" t="n">
        <x:v>431</x:v>
      </x:c>
      <x:c r="C3147" s="66" t="str">
        <x:v>POLITEKNIK NEGERI BANDUNG</x:v>
      </x:c>
      <x:c r="D3147" s="66" t="str">
        <x:v>PTN Vokasi</x:v>
      </x:c>
      <x:c r="E3147" s="66" t="str">
        <x:v>24312005</x:v>
      </x:c>
      <x:c r="F3147" s="66" t="str">
        <x:v>TEKNIK PENDINGIN DAN TATA UDARA</x:v>
      </x:c>
      <x:c r="G3147" s="66" t="str">
        <x:v>Sarjana Terapan</x:v>
      </x:c>
      <x:c r="H3147" s="87" t="n">
        <x:v>13</x:v>
      </x:c>
      <x:c r="I3147" s="87" t="n">
        <x:v>135</x:v>
      </x:c>
      <x:c r="J3147" s="68" t="n">
        <x:f>IFERROR(H3147/I3147,"")</x:f>
        <x:v>0.0962962962962963</x:v>
      </x:c>
      <x:c r="K3147" s="69" t="n">
        <x:f>IFERROR(I3147/H3147,"")</x:f>
        <x:v>10.384615384615385</x:v>
      </x:c>
      <x:c r="L3147" s="66" t="str">
        <x:f>IF(K3147="","","1 : "&amp;TEXT(K3147,"0.0"))</x:f>
        <x:v>1 : 10.4</x:v>
      </x:c>
      <x:c r="M3147" s="66" t="str">
        <x:f>IF(J3147="","Baru/Tanpa Data",IF(J3147&lt;='Catatan &amp; Sumber'!$B$14,"Sangat Ketat",IF(J3147&lt;='Catatan &amp; Sumber'!$B$15,"Ketat",IF(J3147&lt;='Catatan &amp; Sumber'!$B$16,"Sedang","Relatif Longgar"))))</x:f>
        <x:v>Sedang</x:v>
      </x:c>
      <x:c r="N3147" s="66" t="str">
        <x:v>Tidak Ada</x:v>
      </x:c>
      <x:c r="O3147" s="66" t="str">
        <x:v>Jawa Barat</x:v>
      </x:c>
      <x:c r="P3147" s="66" t="str">
        <x:v>Kota Bandung</x:v>
      </x:c>
      <x:c r="Q3147" s="66" t="str">
        <x:v>https://snpmb.id/snbp/daya-tampung-snbp</x:v>
      </x:c>
      <x:c r="R3147" s="66" t="str">
        <x:v>https://sidatagrun-public-1076756628210.asia-southeast2.run.app/ptn_sn.php?ptn=431</x:v>
      </x:c>
    </x:row>
    <x:row r="3148">
      <x:c r="A3148" s="87" t="n">
        <x:v>1237</x:v>
      </x:c>
      <x:c r="B3148" s="66" t="n">
        <x:v>431</x:v>
      </x:c>
      <x:c r="C3148" s="66" t="str">
        <x:v>POLITEKNIK NEGERI BANDUNG</x:v>
      </x:c>
      <x:c r="D3148" s="66" t="str">
        <x:v>PTN Vokasi</x:v>
      </x:c>
      <x:c r="E3148" s="66" t="str">
        <x:v>24312006</x:v>
      </x:c>
      <x:c r="F3148" s="66" t="str">
        <x:v>TEKNOLOGI PEMBANGKIT TENAGA LISTRIK</x:v>
      </x:c>
      <x:c r="G3148" s="66" t="str">
        <x:v>Sarjana Terapan</x:v>
      </x:c>
      <x:c r="H3148" s="87" t="n">
        <x:v>20</x:v>
      </x:c>
      <x:c r="I3148" s="87" t="n">
        <x:v>217</x:v>
      </x:c>
      <x:c r="J3148" s="68" t="n">
        <x:f>IFERROR(H3148/I3148,"")</x:f>
        <x:v>0.09216589861751152</x:v>
      </x:c>
      <x:c r="K3148" s="69" t="n">
        <x:f>IFERROR(I3148/H3148,"")</x:f>
        <x:v>10.85</x:v>
      </x:c>
      <x:c r="L3148" s="66" t="str">
        <x:f>IF(K3148="","","1 : "&amp;TEXT(K3148,"0.0"))</x:f>
        <x:v>1 : 10.9</x:v>
      </x:c>
      <x:c r="M3148" s="66" t="str">
        <x:f>IF(J3148="","Baru/Tanpa Data",IF(J3148&lt;='Catatan &amp; Sumber'!$B$14,"Sangat Ketat",IF(J3148&lt;='Catatan &amp; Sumber'!$B$15,"Ketat",IF(J3148&lt;='Catatan &amp; Sumber'!$B$16,"Sedang","Relatif Longgar"))))</x:f>
        <x:v>Sedang</x:v>
      </x:c>
      <x:c r="N3148" s="66" t="str">
        <x:v>Tidak Ada</x:v>
      </x:c>
      <x:c r="O3148" s="66" t="str">
        <x:v>Jawa Barat</x:v>
      </x:c>
      <x:c r="P3148" s="66" t="str">
        <x:v>Kota Bandung</x:v>
      </x:c>
      <x:c r="Q3148" s="66" t="str">
        <x:v>https://snpmb.id/snbp/daya-tampung-snbp</x:v>
      </x:c>
      <x:c r="R3148" s="66" t="str">
        <x:v>https://sidatagrun-public-1076756628210.asia-southeast2.run.app/ptn_sn.php?ptn=431</x:v>
      </x:c>
    </x:row>
    <x:row r="3149">
      <x:c r="A3149" s="87" t="n">
        <x:v>585</x:v>
      </x:c>
      <x:c r="B3149" s="66" t="n">
        <x:v>431</x:v>
      </x:c>
      <x:c r="C3149" s="66" t="str">
        <x:v>POLITEKNIK NEGERI BANDUNG</x:v>
      </x:c>
      <x:c r="D3149" s="66" t="str">
        <x:v>PTN Vokasi</x:v>
      </x:c>
      <x:c r="E3149" s="66" t="str">
        <x:v>24312007</x:v>
      </x:c>
      <x:c r="F3149" s="66" t="str">
        <x:v>TEKNIK KONSERVASI ENERGI</x:v>
      </x:c>
      <x:c r="G3149" s="66" t="str">
        <x:v>Sarjana Terapan</x:v>
      </x:c>
      <x:c r="H3149" s="87" t="n">
        <x:v>13</x:v>
      </x:c>
      <x:c r="I3149" s="87" t="n">
        <x:v>232</x:v>
      </x:c>
      <x:c r="J3149" s="68" t="n">
        <x:f>IFERROR(H3149/I3149,"")</x:f>
        <x:v>0.05603448275862069</x:v>
      </x:c>
      <x:c r="K3149" s="69" t="n">
        <x:f>IFERROR(I3149/H3149,"")</x:f>
        <x:v>17.846153846153847</x:v>
      </x:c>
      <x:c r="L3149" s="66" t="str">
        <x:f>IF(K3149="","","1 : "&amp;TEXT(K3149,"0.0"))</x:f>
        <x:v>1 : 17.8</x:v>
      </x:c>
      <x:c r="M3149" s="66" t="str">
        <x:f>IF(J3149="","Baru/Tanpa Data",IF(J3149&lt;='Catatan &amp; Sumber'!$B$14,"Sangat Ketat",IF(J3149&lt;='Catatan &amp; Sumber'!$B$15,"Ketat",IF(J3149&lt;='Catatan &amp; Sumber'!$B$16,"Sedang","Relatif Longgar"))))</x:f>
        <x:v>Sedang</x:v>
      </x:c>
      <x:c r="N3149" s="66" t="str">
        <x:v>Tidak Ada</x:v>
      </x:c>
      <x:c r="O3149" s="66" t="str">
        <x:v>Jawa Barat</x:v>
      </x:c>
      <x:c r="P3149" s="66" t="str">
        <x:v>Kota Bandung</x:v>
      </x:c>
      <x:c r="Q3149" s="66" t="str">
        <x:v>https://snpmb.id/snbp/daya-tampung-snbp</x:v>
      </x:c>
      <x:c r="R3149" s="66" t="str">
        <x:v>https://sidatagrun-public-1076756628210.asia-southeast2.run.app/ptn_sn.php?ptn=431</x:v>
      </x:c>
    </x:row>
    <x:row r="3150">
      <x:c r="A3150" s="87" t="n">
        <x:v>139</x:v>
      </x:c>
      <x:c r="B3150" s="66" t="n">
        <x:v>431</x:v>
      </x:c>
      <x:c r="C3150" s="66" t="str">
        <x:v>POLITEKNIK NEGERI BANDUNG</x:v>
      </x:c>
      <x:c r="D3150" s="66" t="str">
        <x:v>PTN Vokasi</x:v>
      </x:c>
      <x:c r="E3150" s="66" t="str">
        <x:v>24312008</x:v>
      </x:c>
      <x:c r="F3150" s="66" t="str">
        <x:v>TEKNIK ELEKTRONIKA</x:v>
      </x:c>
      <x:c r="G3150" s="66" t="str">
        <x:v>Sarjana Terapan</x:v>
      </x:c>
      <x:c r="H3150" s="87" t="n">
        <x:v>20</x:v>
      </x:c>
      <x:c r="I3150" s="87" t="n">
        <x:v>618</x:v>
      </x:c>
      <x:c r="J3150" s="68" t="n">
        <x:f>IFERROR(H3150/I3150,"")</x:f>
        <x:v>0.032362459546925564</x:v>
      </x:c>
      <x:c r="K3150" s="69" t="n">
        <x:f>IFERROR(I3150/H3150,"")</x:f>
        <x:v>30.9</x:v>
      </x:c>
      <x:c r="L3150" s="66" t="str">
        <x:f>IF(K3150="","","1 : "&amp;TEXT(K3150,"0.0"))</x:f>
        <x:v>1 : 30.9</x:v>
      </x:c>
      <x:c r="M3150" s="66" t="str">
        <x:f>IF(J3150="","Baru/Tanpa Data",IF(J3150&lt;='Catatan &amp; Sumber'!$B$14,"Sangat Ketat",IF(J3150&lt;='Catatan &amp; Sumber'!$B$15,"Ketat",IF(J3150&lt;='Catatan &amp; Sumber'!$B$16,"Sedang","Relatif Longgar"))))</x:f>
        <x:v>Ketat</x:v>
      </x:c>
      <x:c r="N3150" s="66" t="str">
        <x:v>Tidak Ada</x:v>
      </x:c>
      <x:c r="O3150" s="66" t="str">
        <x:v>Jawa Barat</x:v>
      </x:c>
      <x:c r="P3150" s="66" t="str">
        <x:v>Kota Bandung</x:v>
      </x:c>
      <x:c r="Q3150" s="66" t="str">
        <x:v>https://snpmb.id/snbp/daya-tampung-snbp</x:v>
      </x:c>
      <x:c r="R3150" s="66" t="str">
        <x:v>https://sidatagrun-public-1076756628210.asia-southeast2.run.app/ptn_sn.php?ptn=431</x:v>
      </x:c>
    </x:row>
    <x:row r="3151">
      <x:c r="A3151" s="87" t="n">
        <x:v>826</x:v>
      </x:c>
      <x:c r="B3151" s="66" t="n">
        <x:v>431</x:v>
      </x:c>
      <x:c r="C3151" s="66" t="str">
        <x:v>POLITEKNIK NEGERI BANDUNG</x:v>
      </x:c>
      <x:c r="D3151" s="66" t="str">
        <x:v>PTN Vokasi</x:v>
      </x:c>
      <x:c r="E3151" s="66" t="str">
        <x:v>24312009</x:v>
      </x:c>
      <x:c r="F3151" s="66" t="str">
        <x:v>TEKNIK OTOMASI INDUSTRI</x:v>
      </x:c>
      <x:c r="G3151" s="66" t="str">
        <x:v>Sarjana Terapan</x:v>
      </x:c>
      <x:c r="H3151" s="87" t="n">
        <x:v>20</x:v>
      </x:c>
      <x:c r="I3151" s="87" t="n">
        <x:v>294</x:v>
      </x:c>
      <x:c r="J3151" s="68" t="n">
        <x:f>IFERROR(H3151/I3151,"")</x:f>
        <x:v>0.06802721088435375</x:v>
      </x:c>
      <x:c r="K3151" s="69" t="n">
        <x:f>IFERROR(I3151/H3151,"")</x:f>
        <x:v>14.7</x:v>
      </x:c>
      <x:c r="L3151" s="66" t="str">
        <x:f>IF(K3151="","","1 : "&amp;TEXT(K3151,"0.0"))</x:f>
        <x:v>1 : 14.7</x:v>
      </x:c>
      <x:c r="M3151" s="66" t="str">
        <x:f>IF(J3151="","Baru/Tanpa Data",IF(J3151&lt;='Catatan &amp; Sumber'!$B$14,"Sangat Ketat",IF(J3151&lt;='Catatan &amp; Sumber'!$B$15,"Ketat",IF(J3151&lt;='Catatan &amp; Sumber'!$B$16,"Sedang","Relatif Longgar"))))</x:f>
        <x:v>Sedang</x:v>
      </x:c>
      <x:c r="N3151" s="66" t="str">
        <x:v>Tidak Ada</x:v>
      </x:c>
      <x:c r="O3151" s="66" t="str">
        <x:v>Jawa Barat</x:v>
      </x:c>
      <x:c r="P3151" s="66" t="str">
        <x:v>Kota Bandung</x:v>
      </x:c>
      <x:c r="Q3151" s="66" t="str">
        <x:v>https://snpmb.id/snbp/daya-tampung-snbp</x:v>
      </x:c>
      <x:c r="R3151" s="66" t="str">
        <x:v>https://sidatagrun-public-1076756628210.asia-southeast2.run.app/ptn_sn.php?ptn=431</x:v>
      </x:c>
    </x:row>
    <x:row r="3152">
      <x:c r="A3152" s="87" t="n">
        <x:v>505</x:v>
      </x:c>
      <x:c r="B3152" s="66" t="n">
        <x:v>431</x:v>
      </x:c>
      <x:c r="C3152" s="66" t="str">
        <x:v>POLITEKNIK NEGERI BANDUNG</x:v>
      </x:c>
      <x:c r="D3152" s="66" t="str">
        <x:v>PTN Vokasi</x:v>
      </x:c>
      <x:c r="E3152" s="66" t="str">
        <x:v>24312010</x:v>
      </x:c>
      <x:c r="F3152" s="66" t="str">
        <x:v>TEKNIK KIMIA PRODUKSI BERSIH</x:v>
      </x:c>
      <x:c r="G3152" s="66" t="str">
        <x:v>Sarjana Terapan</x:v>
      </x:c>
      <x:c r="H3152" s="87" t="n">
        <x:v>20</x:v>
      </x:c>
      <x:c r="I3152" s="87" t="n">
        <x:v>388</x:v>
      </x:c>
      <x:c r="J3152" s="68" t="n">
        <x:f>IFERROR(H3152/I3152,"")</x:f>
        <x:v>0.05154639175257732</x:v>
      </x:c>
      <x:c r="K3152" s="69" t="n">
        <x:f>IFERROR(I3152/H3152,"")</x:f>
        <x:v>19.4</x:v>
      </x:c>
      <x:c r="L3152" s="66" t="str">
        <x:f>IF(K3152="","","1 : "&amp;TEXT(K3152,"0.0"))</x:f>
        <x:v>1 : 19.4</x:v>
      </x:c>
      <x:c r="M3152" s="66" t="str">
        <x:f>IF(J3152="","Baru/Tanpa Data",IF(J3152&lt;='Catatan &amp; Sumber'!$B$14,"Sangat Ketat",IF(J3152&lt;='Catatan &amp; Sumber'!$B$15,"Ketat",IF(J3152&lt;='Catatan &amp; Sumber'!$B$16,"Sedang","Relatif Longgar"))))</x:f>
        <x:v>Sedang</x:v>
      </x:c>
      <x:c r="N3152" s="66" t="str">
        <x:v>Tidak Ada</x:v>
      </x:c>
      <x:c r="O3152" s="66" t="str">
        <x:v>Jawa Barat</x:v>
      </x:c>
      <x:c r="P3152" s="66" t="str">
        <x:v>Kota Bandung</x:v>
      </x:c>
      <x:c r="Q3152" s="66" t="str">
        <x:v>https://snpmb.id/snbp/daya-tampung-snbp</x:v>
      </x:c>
      <x:c r="R3152" s="66" t="str">
        <x:v>https://sidatagrun-public-1076756628210.asia-southeast2.run.app/ptn_sn.php?ptn=431</x:v>
      </x:c>
    </x:row>
    <x:row r="3153">
      <x:c r="A3153" s="87" t="n">
        <x:v>40</x:v>
      </x:c>
      <x:c r="B3153" s="66" t="n">
        <x:v>431</x:v>
      </x:c>
      <x:c r="C3153" s="66" t="str">
        <x:v>POLITEKNIK NEGERI BANDUNG</x:v>
      </x:c>
      <x:c r="D3153" s="66" t="str">
        <x:v>PTN Vokasi</x:v>
      </x:c>
      <x:c r="E3153" s="66" t="str">
        <x:v>24312011</x:v>
      </x:c>
      <x:c r="F3153" s="66" t="str">
        <x:v>TEKNIK INFORMATIKA</x:v>
      </x:c>
      <x:c r="G3153" s="66" t="str">
        <x:v>Sarjana Terapan</x:v>
      </x:c>
      <x:c r="H3153" s="87" t="n">
        <x:v>26</x:v>
      </x:c>
      <x:c r="I3153" s="87" t="n">
        <x:v>1250</x:v>
      </x:c>
      <x:c r="J3153" s="68" t="n">
        <x:f>IFERROR(H3153/I3153,"")</x:f>
        <x:v>0.0208</x:v>
      </x:c>
      <x:c r="K3153" s="69" t="n">
        <x:f>IFERROR(I3153/H3153,"")</x:f>
        <x:v>48.07692307692308</x:v>
      </x:c>
      <x:c r="L3153" s="66" t="str">
        <x:f>IF(K3153="","","1 : "&amp;TEXT(K3153,"0.0"))</x:f>
        <x:v>1 : 48.1</x:v>
      </x:c>
      <x:c r="M3153" s="66" t="str">
        <x:f>IF(J3153="","Baru/Tanpa Data",IF(J3153&lt;='Catatan &amp; Sumber'!$B$14,"Sangat Ketat",IF(J3153&lt;='Catatan &amp; Sumber'!$B$15,"Ketat",IF(J3153&lt;='Catatan &amp; Sumber'!$B$16,"Sedang","Relatif Longgar"))))</x:f>
        <x:v>Ketat</x:v>
      </x:c>
      <x:c r="N3153" s="66" t="str">
        <x:v>Tidak Ada</x:v>
      </x:c>
      <x:c r="O3153" s="66" t="str">
        <x:v>Jawa Barat</x:v>
      </x:c>
      <x:c r="P3153" s="66" t="str">
        <x:v>Kota Bandung</x:v>
      </x:c>
      <x:c r="Q3153" s="66" t="str">
        <x:v>https://snpmb.id/snbp/daya-tampung-snbp</x:v>
      </x:c>
      <x:c r="R3153" s="66" t="str">
        <x:v>https://sidatagrun-public-1076756628210.asia-southeast2.run.app/ptn_sn.php?ptn=431</x:v>
      </x:c>
    </x:row>
    <x:row r="3154">
      <x:c r="A3154" s="87" t="n">
        <x:v>871</x:v>
      </x:c>
      <x:c r="B3154" s="66" t="n">
        <x:v>431</x:v>
      </x:c>
      <x:c r="C3154" s="66" t="str">
        <x:v>POLITEKNIK NEGERI BANDUNG</x:v>
      </x:c>
      <x:c r="D3154" s="66" t="str">
        <x:v>PTN Vokasi</x:v>
      </x:c>
      <x:c r="E3154" s="66" t="str">
        <x:v>24312012</x:v>
      </x:c>
      <x:c r="F3154" s="66" t="str">
        <x:v>TEKNIK TELEKOMUNIKASI NIRKABEL</x:v>
      </x:c>
      <x:c r="G3154" s="66" t="str">
        <x:v>Sarjana Terapan</x:v>
      </x:c>
      <x:c r="H3154" s="87" t="n">
        <x:v>20</x:v>
      </x:c>
      <x:c r="I3154" s="87" t="n">
        <x:v>284</x:v>
      </x:c>
      <x:c r="J3154" s="68" t="n">
        <x:f>IFERROR(H3154/I3154,"")</x:f>
        <x:v>0.07042253521126761</x:v>
      </x:c>
      <x:c r="K3154" s="69" t="n">
        <x:f>IFERROR(I3154/H3154,"")</x:f>
        <x:v>14.2</x:v>
      </x:c>
      <x:c r="L3154" s="66" t="str">
        <x:f>IF(K3154="","","1 : "&amp;TEXT(K3154,"0.0"))</x:f>
        <x:v>1 : 14.2</x:v>
      </x:c>
      <x:c r="M3154" s="66" t="str">
        <x:f>IF(J3154="","Baru/Tanpa Data",IF(J3154&lt;='Catatan &amp; Sumber'!$B$14,"Sangat Ketat",IF(J3154&lt;='Catatan &amp; Sumber'!$B$15,"Ketat",IF(J3154&lt;='Catatan &amp; Sumber'!$B$16,"Sedang","Relatif Longgar"))))</x:f>
        <x:v>Sedang</x:v>
      </x:c>
      <x:c r="N3154" s="66" t="str">
        <x:v>Tidak Ada</x:v>
      </x:c>
      <x:c r="O3154" s="66" t="str">
        <x:v>Jawa Barat</x:v>
      </x:c>
      <x:c r="P3154" s="66" t="str">
        <x:v>Kota Bandung</x:v>
      </x:c>
      <x:c r="Q3154" s="66" t="str">
        <x:v>https://snpmb.id/snbp/daya-tampung-snbp</x:v>
      </x:c>
      <x:c r="R3154" s="66" t="str">
        <x:v>https://sidatagrun-public-1076756628210.asia-southeast2.run.app/ptn_sn.php?ptn=431</x:v>
      </x:c>
    </x:row>
    <x:row r="3155">
      <x:c r="A3155" s="87" t="n">
        <x:v>1193</x:v>
      </x:c>
      <x:c r="B3155" s="66" t="n">
        <x:v>431</x:v>
      </x:c>
      <x:c r="C3155" s="66" t="str">
        <x:v>POLITEKNIK NEGERI BANDUNG</x:v>
      </x:c>
      <x:c r="D3155" s="66" t="str">
        <x:v>PTN Vokasi</x:v>
      </x:c>
      <x:c r="E3155" s="66" t="str">
        <x:v>24312013</x:v>
      </x:c>
      <x:c r="F3155" s="66" t="str">
        <x:v>KEUANGAN SYARIAH</x:v>
      </x:c>
      <x:c r="G3155" s="66" t="str">
        <x:v>Sarjana Terapan</x:v>
      </x:c>
      <x:c r="H3155" s="87" t="n">
        <x:v>20</x:v>
      </x:c>
      <x:c r="I3155" s="87" t="n">
        <x:v>224</x:v>
      </x:c>
      <x:c r="J3155" s="68" t="n">
        <x:f>IFERROR(H3155/I3155,"")</x:f>
        <x:v>0.08928571428571429</x:v>
      </x:c>
      <x:c r="K3155" s="69" t="n">
        <x:f>IFERROR(I3155/H3155,"")</x:f>
        <x:v>11.2</x:v>
      </x:c>
      <x:c r="L3155" s="66" t="str">
        <x:f>IF(K3155="","","1 : "&amp;TEXT(K3155,"0.0"))</x:f>
        <x:v>1 : 11.2</x:v>
      </x:c>
      <x:c r="M3155" s="66" t="str">
        <x:f>IF(J3155="","Baru/Tanpa Data",IF(J3155&lt;='Catatan &amp; Sumber'!$B$14,"Sangat Ketat",IF(J3155&lt;='Catatan &amp; Sumber'!$B$15,"Ketat",IF(J3155&lt;='Catatan &amp; Sumber'!$B$16,"Sedang","Relatif Longgar"))))</x:f>
        <x:v>Sedang</x:v>
      </x:c>
      <x:c r="N3155" s="66" t="str">
        <x:v>Tidak Ada</x:v>
      </x:c>
      <x:c r="O3155" s="66" t="str">
        <x:v>Jawa Barat</x:v>
      </x:c>
      <x:c r="P3155" s="66" t="str">
        <x:v>Kota Bandung</x:v>
      </x:c>
      <x:c r="Q3155" s="66" t="str">
        <x:v>https://snpmb.id/snbp/daya-tampung-snbp</x:v>
      </x:c>
      <x:c r="R3155" s="66" t="str">
        <x:v>https://sidatagrun-public-1076756628210.asia-southeast2.run.app/ptn_sn.php?ptn=431</x:v>
      </x:c>
    </x:row>
    <x:row r="3156">
      <x:c r="A3156" s="87" t="n">
        <x:v>329</x:v>
      </x:c>
      <x:c r="B3156" s="66" t="n">
        <x:v>431</x:v>
      </x:c>
      <x:c r="C3156" s="66" t="str">
        <x:v>POLITEKNIK NEGERI BANDUNG</x:v>
      </x:c>
      <x:c r="D3156" s="66" t="str">
        <x:v>PTN Vokasi</x:v>
      </x:c>
      <x:c r="E3156" s="66" t="str">
        <x:v>24312014</x:v>
      </x:c>
      <x:c r="F3156" s="66" t="str">
        <x:v>AKUNTANSI MANAGEMEN PEMERINTAHAN</x:v>
      </x:c>
      <x:c r="G3156" s="66" t="str">
        <x:v>Sarjana Terapan</x:v>
      </x:c>
      <x:c r="H3156" s="87" t="n">
        <x:v>16</x:v>
      </x:c>
      <x:c r="I3156" s="87" t="n">
        <x:v>366</x:v>
      </x:c>
      <x:c r="J3156" s="68" t="n">
        <x:f>IFERROR(H3156/I3156,"")</x:f>
        <x:v>0.04371584699453552</x:v>
      </x:c>
      <x:c r="K3156" s="69" t="n">
        <x:f>IFERROR(I3156/H3156,"")</x:f>
        <x:v>22.875</x:v>
      </x:c>
      <x:c r="L3156" s="66" t="str">
        <x:f>IF(K3156="","","1 : "&amp;TEXT(K3156,"0.0"))</x:f>
        <x:v>1 : 22.9</x:v>
      </x:c>
      <x:c r="M3156" s="66" t="str">
        <x:f>IF(J3156="","Baru/Tanpa Data",IF(J3156&lt;='Catatan &amp; Sumber'!$B$14,"Sangat Ketat",IF(J3156&lt;='Catatan &amp; Sumber'!$B$15,"Ketat",IF(J3156&lt;='Catatan &amp; Sumber'!$B$16,"Sedang","Relatif Longgar"))))</x:f>
        <x:v>Ketat</x:v>
      </x:c>
      <x:c r="N3156" s="66" t="str">
        <x:v>Tidak Ada</x:v>
      </x:c>
      <x:c r="O3156" s="66" t="str">
        <x:v>Jawa Barat</x:v>
      </x:c>
      <x:c r="P3156" s="66" t="str">
        <x:v>Kota Bandung</x:v>
      </x:c>
      <x:c r="Q3156" s="66" t="str">
        <x:v>https://snpmb.id/snbp/daya-tampung-snbp</x:v>
      </x:c>
      <x:c r="R3156" s="66" t="str">
        <x:v>https://sidatagrun-public-1076756628210.asia-southeast2.run.app/ptn_sn.php?ptn=431</x:v>
      </x:c>
    </x:row>
    <x:row r="3157">
      <x:c r="A3157" s="87" t="n">
        <x:v>43</x:v>
      </x:c>
      <x:c r="B3157" s="66" t="n">
        <x:v>431</x:v>
      </x:c>
      <x:c r="C3157" s="66" t="str">
        <x:v>POLITEKNIK NEGERI BANDUNG</x:v>
      </x:c>
      <x:c r="D3157" s="66" t="str">
        <x:v>PTN Vokasi</x:v>
      </x:c>
      <x:c r="E3157" s="66" t="str">
        <x:v>24312015</x:v>
      </x:c>
      <x:c r="F3157" s="66" t="str">
        <x:v>AKUNTANSI</x:v>
      </x:c>
      <x:c r="G3157" s="66" t="str">
        <x:v>Sarjana Terapan</x:v>
      </x:c>
      <x:c r="H3157" s="87" t="n">
        <x:v>13</x:v>
      </x:c>
      <x:c r="I3157" s="87" t="n">
        <x:v>617</x:v>
      </x:c>
      <x:c r="J3157" s="68" t="n">
        <x:f>IFERROR(H3157/I3157,"")</x:f>
        <x:v>0.02106969205834684</x:v>
      </x:c>
      <x:c r="K3157" s="69" t="n">
        <x:f>IFERROR(I3157/H3157,"")</x:f>
        <x:v>47.46153846153846</x:v>
      </x:c>
      <x:c r="L3157" s="66" t="str">
        <x:f>IF(K3157="","","1 : "&amp;TEXT(K3157,"0.0"))</x:f>
        <x:v>1 : 47.5</x:v>
      </x:c>
      <x:c r="M3157" s="66" t="str">
        <x:f>IF(J3157="","Baru/Tanpa Data",IF(J3157&lt;='Catatan &amp; Sumber'!$B$14,"Sangat Ketat",IF(J3157&lt;='Catatan &amp; Sumber'!$B$15,"Ketat",IF(J3157&lt;='Catatan &amp; Sumber'!$B$16,"Sedang","Relatif Longgar"))))</x:f>
        <x:v>Ketat</x:v>
      </x:c>
      <x:c r="N3157" s="66" t="str">
        <x:v>Tidak Ada</x:v>
      </x:c>
      <x:c r="O3157" s="66" t="str">
        <x:v>Jawa Barat</x:v>
      </x:c>
      <x:c r="P3157" s="66" t="str">
        <x:v>Kota Bandung</x:v>
      </x:c>
      <x:c r="Q3157" s="66" t="str">
        <x:v>https://snpmb.id/snbp/daya-tampung-snbp</x:v>
      </x:c>
      <x:c r="R3157" s="66" t="str">
        <x:v>https://sidatagrun-public-1076756628210.asia-southeast2.run.app/ptn_sn.php?ptn=431</x:v>
      </x:c>
    </x:row>
    <x:row r="3158">
      <x:c r="A3158" s="87" t="n">
        <x:v>17</x:v>
      </x:c>
      <x:c r="B3158" s="66" t="n">
        <x:v>431</x:v>
      </x:c>
      <x:c r="C3158" s="66" t="str">
        <x:v>POLITEKNIK NEGERI BANDUNG</x:v>
      </x:c>
      <x:c r="D3158" s="66" t="str">
        <x:v>PTN Vokasi</x:v>
      </x:c>
      <x:c r="E3158" s="66" t="str">
        <x:v>24312016</x:v>
      </x:c>
      <x:c r="F3158" s="66" t="str">
        <x:v>ADMINISTRASI BISNIS</x:v>
      </x:c>
      <x:c r="G3158" s="66" t="str">
        <x:v>Sarjana Terapan</x:v>
      </x:c>
      <x:c r="H3158" s="87" t="n">
        <x:v>13</x:v>
      </x:c>
      <x:c r="I3158" s="87" t="n">
        <x:v>775</x:v>
      </x:c>
      <x:c r="J3158" s="68" t="n">
        <x:f>IFERROR(H3158/I3158,"")</x:f>
        <x:v>0.016774193548387096</x:v>
      </x:c>
      <x:c r="K3158" s="69" t="n">
        <x:f>IFERROR(I3158/H3158,"")</x:f>
        <x:v>59.61538461538461</x:v>
      </x:c>
      <x:c r="L3158" s="66" t="str">
        <x:f>IF(K3158="","","1 : "&amp;TEXT(K3158,"0.0"))</x:f>
        <x:v>1 : 59.6</x:v>
      </x:c>
      <x:c r="M3158" s="66" t="str">
        <x:f>IF(J3158="","Baru/Tanpa Data",IF(J3158&lt;='Catatan &amp; Sumber'!$B$14,"Sangat Ketat",IF(J3158&lt;='Catatan &amp; Sumber'!$B$15,"Ketat",IF(J3158&lt;='Catatan &amp; Sumber'!$B$16,"Sedang","Relatif Longgar"))))</x:f>
        <x:v>Sangat Ketat</x:v>
      </x:c>
      <x:c r="N3158" s="66" t="str">
        <x:v>Tidak Ada</x:v>
      </x:c>
      <x:c r="O3158" s="66" t="str">
        <x:v>Jawa Barat</x:v>
      </x:c>
      <x:c r="P3158" s="66" t="str">
        <x:v>Kota Bandung</x:v>
      </x:c>
      <x:c r="Q3158" s="66" t="str">
        <x:v>https://snpmb.id/snbp/daya-tampung-snbp</x:v>
      </x:c>
      <x:c r="R3158" s="66" t="str">
        <x:v>https://sidatagrun-public-1076756628210.asia-southeast2.run.app/ptn_sn.php?ptn=431</x:v>
      </x:c>
    </x:row>
    <x:row r="3159">
      <x:c r="A3159" s="87" t="n">
        <x:v>404</x:v>
      </x:c>
      <x:c r="B3159" s="66" t="n">
        <x:v>431</x:v>
      </x:c>
      <x:c r="C3159" s="66" t="str">
        <x:v>POLITEKNIK NEGERI BANDUNG</x:v>
      </x:c>
      <x:c r="D3159" s="66" t="str">
        <x:v>PTN Vokasi</x:v>
      </x:c>
      <x:c r="E3159" s="66" t="str">
        <x:v>24312017</x:v>
      </x:c>
      <x:c r="F3159" s="66" t="str">
        <x:v>MANAJEMEN ASET</x:v>
      </x:c>
      <x:c r="G3159" s="66" t="str">
        <x:v>Sarjana Terapan</x:v>
      </x:c>
      <x:c r="H3159" s="87" t="n">
        <x:v>20</x:v>
      </x:c>
      <x:c r="I3159" s="87" t="n">
        <x:v>426</x:v>
      </x:c>
      <x:c r="J3159" s="68" t="n">
        <x:f>IFERROR(H3159/I3159,"")</x:f>
        <x:v>0.046948356807511735</x:v>
      </x:c>
      <x:c r="K3159" s="69" t="n">
        <x:f>IFERROR(I3159/H3159,"")</x:f>
        <x:v>21.3</x:v>
      </x:c>
      <x:c r="L3159" s="66" t="str">
        <x:f>IF(K3159="","","1 : "&amp;TEXT(K3159,"0.0"))</x:f>
        <x:v>1 : 21.3</x:v>
      </x:c>
      <x:c r="M3159" s="66" t="str">
        <x:f>IF(J3159="","Baru/Tanpa Data",IF(J3159&lt;='Catatan &amp; Sumber'!$B$14,"Sangat Ketat",IF(J3159&lt;='Catatan &amp; Sumber'!$B$15,"Ketat",IF(J3159&lt;='Catatan &amp; Sumber'!$B$16,"Sedang","Relatif Longgar"))))</x:f>
        <x:v>Ketat</x:v>
      </x:c>
      <x:c r="N3159" s="66" t="str">
        <x:v>Tidak Ada</x:v>
      </x:c>
      <x:c r="O3159" s="66" t="str">
        <x:v>Jawa Barat</x:v>
      </x:c>
      <x:c r="P3159" s="66" t="str">
        <x:v>Kota Bandung</x:v>
      </x:c>
      <x:c r="Q3159" s="66" t="str">
        <x:v>https://snpmb.id/snbp/daya-tampung-snbp</x:v>
      </x:c>
      <x:c r="R3159" s="66" t="str">
        <x:v>https://sidatagrun-public-1076756628210.asia-southeast2.run.app/ptn_sn.php?ptn=431</x:v>
      </x:c>
    </x:row>
    <x:row r="3160">
      <x:c r="A3160" s="87" t="n">
        <x:v>140</x:v>
      </x:c>
      <x:c r="B3160" s="66" t="n">
        <x:v>431</x:v>
      </x:c>
      <x:c r="C3160" s="66" t="str">
        <x:v>POLITEKNIK NEGERI BANDUNG</x:v>
      </x:c>
      <x:c r="D3160" s="66" t="str">
        <x:v>PTN Vokasi</x:v>
      </x:c>
      <x:c r="E3160" s="66" t="str">
        <x:v>24312018</x:v>
      </x:c>
      <x:c r="F3160" s="66" t="str">
        <x:v>MANAJEMEN PEMASARAN</x:v>
      </x:c>
      <x:c r="G3160" s="66" t="str">
        <x:v>Sarjana Terapan</x:v>
      </x:c>
      <x:c r="H3160" s="87" t="n">
        <x:v>13</x:v>
      </x:c>
      <x:c r="I3160" s="87" t="n">
        <x:v>401</x:v>
      </x:c>
      <x:c r="J3160" s="68" t="n">
        <x:f>IFERROR(H3160/I3160,"")</x:f>
        <x:v>0.032418952618453865</x:v>
      </x:c>
      <x:c r="K3160" s="69" t="n">
        <x:f>IFERROR(I3160/H3160,"")</x:f>
        <x:v>30.846153846153847</x:v>
      </x:c>
      <x:c r="L3160" s="66" t="str">
        <x:f>IF(K3160="","","1 : "&amp;TEXT(K3160,"0.0"))</x:f>
        <x:v>1 : 30.8</x:v>
      </x:c>
      <x:c r="M3160" s="66" t="str">
        <x:f>IF(J3160="","Baru/Tanpa Data",IF(J3160&lt;='Catatan &amp; Sumber'!$B$14,"Sangat Ketat",IF(J3160&lt;='Catatan &amp; Sumber'!$B$15,"Ketat",IF(J3160&lt;='Catatan &amp; Sumber'!$B$16,"Sedang","Relatif Longgar"))))</x:f>
        <x:v>Ketat</x:v>
      </x:c>
      <x:c r="N3160" s="66" t="str">
        <x:v>Tidak Ada</x:v>
      </x:c>
      <x:c r="O3160" s="66" t="str">
        <x:v>Jawa Barat</x:v>
      </x:c>
      <x:c r="P3160" s="66" t="str">
        <x:v>Kota Bandung</x:v>
      </x:c>
      <x:c r="Q3160" s="66" t="str">
        <x:v>https://snpmb.id/snbp/daya-tampung-snbp</x:v>
      </x:c>
      <x:c r="R3160" s="66" t="str">
        <x:v>https://sidatagrun-public-1076756628210.asia-southeast2.run.app/ptn_sn.php?ptn=431</x:v>
      </x:c>
    </x:row>
    <x:row r="3161">
      <x:c r="A3161" s="87" t="n">
        <x:v>127</x:v>
      </x:c>
      <x:c r="B3161" s="66" t="n">
        <x:v>431</x:v>
      </x:c>
      <x:c r="C3161" s="66" t="str">
        <x:v>POLITEKNIK NEGERI BANDUNG</x:v>
      </x:c>
      <x:c r="D3161" s="66" t="str">
        <x:v>PTN Vokasi</x:v>
      </x:c>
      <x:c r="E3161" s="66" t="str">
        <x:v>24312037</x:v>
      </x:c>
      <x:c r="F3161" s="66" t="str">
        <x:v>DESTINASI PARIWISATA</x:v>
      </x:c>
      <x:c r="G3161" s="66" t="str">
        <x:v>Sarjana Terapan</x:v>
      </x:c>
      <x:c r="H3161" s="87" t="n">
        <x:v>13</x:v>
      </x:c>
      <x:c r="I3161" s="87" t="n">
        <x:v>421</x:v>
      </x:c>
      <x:c r="J3161" s="68" t="n">
        <x:f>IFERROR(H3161/I3161,"")</x:f>
        <x:v>0.030878859857482184</x:v>
      </x:c>
      <x:c r="K3161" s="69" t="n">
        <x:f>IFERROR(I3161/H3161,"")</x:f>
        <x:v>32.38461538461539</x:v>
      </x:c>
      <x:c r="L3161" s="66" t="str">
        <x:f>IF(K3161="","","1 : "&amp;TEXT(K3161,"0.0"))</x:f>
        <x:v>1 : 32.4</x:v>
      </x:c>
      <x:c r="M3161" s="66" t="str">
        <x:f>IF(J3161="","Baru/Tanpa Data",IF(J3161&lt;='Catatan &amp; Sumber'!$B$14,"Sangat Ketat",IF(J3161&lt;='Catatan &amp; Sumber'!$B$15,"Ketat",IF(J3161&lt;='Catatan &amp; Sumber'!$B$16,"Sedang","Relatif Longgar"))))</x:f>
        <x:v>Ketat</x:v>
      </x:c>
      <x:c r="N3161" s="66" t="str">
        <x:v>Tidak Ada</x:v>
      </x:c>
      <x:c r="O3161" s="66" t="str">
        <x:v>Jawa Barat</x:v>
      </x:c>
      <x:c r="P3161" s="66" t="str">
        <x:v>Kota Bandung</x:v>
      </x:c>
      <x:c r="Q3161" s="66" t="str">
        <x:v>https://snpmb.id/snbp/daya-tampung-snbp</x:v>
      </x:c>
      <x:c r="R3161" s="66" t="str">
        <x:v>https://sidatagrun-public-1076756628210.asia-southeast2.run.app/ptn_sn.php?ptn=431</x:v>
      </x:c>
    </x:row>
    <x:row r="3162">
      <x:c r="A3162" s="87" t="n">
        <x:v>2051</x:v>
      </x:c>
      <x:c r="B3162" s="66" t="n">
        <x:v>431</x:v>
      </x:c>
      <x:c r="C3162" s="66" t="str">
        <x:v>POLITEKNIK NEGERI BANDUNG</x:v>
      </x:c>
      <x:c r="D3162" s="66" t="str">
        <x:v>PTN Vokasi</x:v>
      </x:c>
      <x:c r="E3162" s="66" t="str">
        <x:v>24313019</x:v>
      </x:c>
      <x:c r="F3162" s="66" t="str">
        <x:v>TEKNIK PENDINGIN DAN TATA UDARA</x:v>
      </x:c>
      <x:c r="G3162" s="66" t="str">
        <x:v>Diploma Tiga</x:v>
      </x:c>
      <x:c r="H3162" s="87" t="n">
        <x:v>13</x:v>
      </x:c>
      <x:c r="I3162" s="87" t="n">
        <x:v>83</x:v>
      </x:c>
      <x:c r="J3162" s="68" t="n">
        <x:f>IFERROR(H3162/I3162,"")</x:f>
        <x:v>0.1566265060240964</x:v>
      </x:c>
      <x:c r="K3162" s="69" t="n">
        <x:f>IFERROR(I3162/H3162,"")</x:f>
        <x:v>6.384615384615385</x:v>
      </x:c>
      <x:c r="L3162" s="66" t="str">
        <x:f>IF(K3162="","","1 : "&amp;TEXT(K3162,"0.0"))</x:f>
        <x:v>1 : 6.4</x:v>
      </x:c>
      <x:c r="M3162" s="66" t="str">
        <x:f>IF(J3162="","Baru/Tanpa Data",IF(J3162&lt;='Catatan &amp; Sumber'!$B$14,"Sangat Ketat",IF(J3162&lt;='Catatan &amp; Sumber'!$B$15,"Ketat",IF(J3162&lt;='Catatan &amp; Sumber'!$B$16,"Sedang","Relatif Longgar"))))</x:f>
        <x:v>Relatif Longgar</x:v>
      </x:c>
      <x:c r="N3162" s="66" t="str">
        <x:v>Tidak Ada</x:v>
      </x:c>
      <x:c r="O3162" s="66" t="str">
        <x:v>Jawa Barat</x:v>
      </x:c>
      <x:c r="P3162" s="66" t="str">
        <x:v>Kota Bandung</x:v>
      </x:c>
      <x:c r="Q3162" s="66" t="str">
        <x:v>https://snpmb.id/snbp/daya-tampung-snbp</x:v>
      </x:c>
      <x:c r="R3162" s="66" t="str">
        <x:v>https://sidatagrun-public-1076756628210.asia-southeast2.run.app/ptn_sn.php?ptn=431</x:v>
      </x:c>
    </x:row>
    <x:row r="3163">
      <x:c r="A3163" s="87" t="n">
        <x:v>429</x:v>
      </x:c>
      <x:c r="B3163" s="66" t="n">
        <x:v>431</x:v>
      </x:c>
      <x:c r="C3163" s="66" t="str">
        <x:v>POLITEKNIK NEGERI BANDUNG</x:v>
      </x:c>
      <x:c r="D3163" s="66" t="str">
        <x:v>PTN Vokasi</x:v>
      </x:c>
      <x:c r="E3163" s="66" t="str">
        <x:v>24313020</x:v>
      </x:c>
      <x:c r="F3163" s="66" t="str">
        <x:v>TEKNIK KONSTRUKSI SIPIL</x:v>
      </x:c>
      <x:c r="G3163" s="66" t="str">
        <x:v>Diploma Tiga</x:v>
      </x:c>
      <x:c r="H3163" s="87" t="n">
        <x:v>20</x:v>
      </x:c>
      <x:c r="I3163" s="87" t="n">
        <x:v>415</x:v>
      </x:c>
      <x:c r="J3163" s="68" t="n">
        <x:f>IFERROR(H3163/I3163,"")</x:f>
        <x:v>0.04819277108433735</x:v>
      </x:c>
      <x:c r="K3163" s="69" t="n">
        <x:f>IFERROR(I3163/H3163,"")</x:f>
        <x:v>20.75</x:v>
      </x:c>
      <x:c r="L3163" s="66" t="str">
        <x:f>IF(K3163="","","1 : "&amp;TEXT(K3163,"0.0"))</x:f>
        <x:v>1 : 20.8</x:v>
      </x:c>
      <x:c r="M3163" s="66" t="str">
        <x:f>IF(J3163="","Baru/Tanpa Data",IF(J3163&lt;='Catatan &amp; Sumber'!$B$14,"Sangat Ketat",IF(J3163&lt;='Catatan &amp; Sumber'!$B$15,"Ketat",IF(J3163&lt;='Catatan &amp; Sumber'!$B$16,"Sedang","Relatif Longgar"))))</x:f>
        <x:v>Ketat</x:v>
      </x:c>
      <x:c r="N3163" s="66" t="str">
        <x:v>Tidak Ada</x:v>
      </x:c>
      <x:c r="O3163" s="66" t="str">
        <x:v>Jawa Barat</x:v>
      </x:c>
      <x:c r="P3163" s="66" t="str">
        <x:v>Kota Bandung</x:v>
      </x:c>
      <x:c r="Q3163" s="66" t="str">
        <x:v>https://snpmb.id/snbp/daya-tampung-snbp</x:v>
      </x:c>
      <x:c r="R3163" s="66" t="str">
        <x:v>https://sidatagrun-public-1076756628210.asia-southeast2.run.app/ptn_sn.php?ptn=431</x:v>
      </x:c>
    </x:row>
    <x:row r="3164">
      <x:c r="A3164" s="87" t="n">
        <x:v>857</x:v>
      </x:c>
      <x:c r="B3164" s="66" t="n">
        <x:v>431</x:v>
      </x:c>
      <x:c r="C3164" s="66" t="str">
        <x:v>POLITEKNIK NEGERI BANDUNG</x:v>
      </x:c>
      <x:c r="D3164" s="66" t="str">
        <x:v>PTN Vokasi</x:v>
      </x:c>
      <x:c r="E3164" s="66" t="str">
        <x:v>24313021</x:v>
      </x:c>
      <x:c r="F3164" s="66" t="str">
        <x:v>MANAJEMEN PEMASARAN</x:v>
      </x:c>
      <x:c r="G3164" s="66" t="str">
        <x:v>Diploma Tiga</x:v>
      </x:c>
      <x:c r="H3164" s="87" t="n">
        <x:v>13</x:v>
      </x:c>
      <x:c r="I3164" s="87" t="n">
        <x:v>187</x:v>
      </x:c>
      <x:c r="J3164" s="68" t="n">
        <x:f>IFERROR(H3164/I3164,"")</x:f>
        <x:v>0.06951871657754011</x:v>
      </x:c>
      <x:c r="K3164" s="69" t="n">
        <x:f>IFERROR(I3164/H3164,"")</x:f>
        <x:v>14.384615384615385</x:v>
      </x:c>
      <x:c r="L3164" s="66" t="str">
        <x:f>IF(K3164="","","1 : "&amp;TEXT(K3164,"0.0"))</x:f>
        <x:v>1 : 14.4</x:v>
      </x:c>
      <x:c r="M3164" s="66" t="str">
        <x:f>IF(J3164="","Baru/Tanpa Data",IF(J3164&lt;='Catatan &amp; Sumber'!$B$14,"Sangat Ketat",IF(J3164&lt;='Catatan &amp; Sumber'!$B$15,"Ketat",IF(J3164&lt;='Catatan &amp; Sumber'!$B$16,"Sedang","Relatif Longgar"))))</x:f>
        <x:v>Sedang</x:v>
      </x:c>
      <x:c r="N3164" s="66" t="str">
        <x:v>Tidak Ada</x:v>
      </x:c>
      <x:c r="O3164" s="66" t="str">
        <x:v>Jawa Barat</x:v>
      </x:c>
      <x:c r="P3164" s="66" t="str">
        <x:v>Kota Bandung</x:v>
      </x:c>
      <x:c r="Q3164" s="66" t="str">
        <x:v>https://snpmb.id/snbp/daya-tampung-snbp</x:v>
      </x:c>
      <x:c r="R3164" s="66" t="str">
        <x:v>https://sidatagrun-public-1076756628210.asia-southeast2.run.app/ptn_sn.php?ptn=431</x:v>
      </x:c>
    </x:row>
    <x:row r="3165">
      <x:c r="A3165" s="87" t="n">
        <x:v>1747</x:v>
      </x:c>
      <x:c r="B3165" s="66" t="n">
        <x:v>431</x:v>
      </x:c>
      <x:c r="C3165" s="66" t="str">
        <x:v>POLITEKNIK NEGERI BANDUNG</x:v>
      </x:c>
      <x:c r="D3165" s="66" t="str">
        <x:v>PTN Vokasi</x:v>
      </x:c>
      <x:c r="E3165" s="66" t="str">
        <x:v>24313022</x:v>
      </x:c>
      <x:c r="F3165" s="66" t="str">
        <x:v>TEKNIK KONSTRUKSI GEDUNG</x:v>
      </x:c>
      <x:c r="G3165" s="66" t="str">
        <x:v>Diploma Tiga</x:v>
      </x:c>
      <x:c r="H3165" s="87" t="n">
        <x:v>20</x:v>
      </x:c>
      <x:c r="I3165" s="87" t="n">
        <x:v>156</x:v>
      </x:c>
      <x:c r="J3165" s="68" t="n">
        <x:f>IFERROR(H3165/I3165,"")</x:f>
        <x:v>0.1282051282051282</x:v>
      </x:c>
      <x:c r="K3165" s="69" t="n">
        <x:f>IFERROR(I3165/H3165,"")</x:f>
        <x:v>7.8</x:v>
      </x:c>
      <x:c r="L3165" s="66" t="str">
        <x:f>IF(K3165="","","1 : "&amp;TEXT(K3165,"0.0"))</x:f>
        <x:v>1 : 7.8</x:v>
      </x:c>
      <x:c r="M3165" s="66" t="str">
        <x:f>IF(J3165="","Baru/Tanpa Data",IF(J3165&lt;='Catatan &amp; Sumber'!$B$14,"Sangat Ketat",IF(J3165&lt;='Catatan &amp; Sumber'!$B$15,"Ketat",IF(J3165&lt;='Catatan &amp; Sumber'!$B$16,"Sedang","Relatif Longgar"))))</x:f>
        <x:v>Relatif Longgar</x:v>
      </x:c>
      <x:c r="N3165" s="66" t="str">
        <x:v>Tidak Ada</x:v>
      </x:c>
      <x:c r="O3165" s="66" t="str">
        <x:v>Jawa Barat</x:v>
      </x:c>
      <x:c r="P3165" s="66" t="str">
        <x:v>Kota Bandung</x:v>
      </x:c>
      <x:c r="Q3165" s="66" t="str">
        <x:v>https://snpmb.id/snbp/daya-tampung-snbp</x:v>
      </x:c>
      <x:c r="R3165" s="66" t="str">
        <x:v>https://sidatagrun-public-1076756628210.asia-southeast2.run.app/ptn_sn.php?ptn=431</x:v>
      </x:c>
    </x:row>
    <x:row r="3166">
      <x:c r="A3166" s="87" t="n">
        <x:v>1146</x:v>
      </x:c>
      <x:c r="B3166" s="66" t="n">
        <x:v>431</x:v>
      </x:c>
      <x:c r="C3166" s="66" t="str">
        <x:v>POLITEKNIK NEGERI BANDUNG</x:v>
      </x:c>
      <x:c r="D3166" s="66" t="str">
        <x:v>PTN Vokasi</x:v>
      </x:c>
      <x:c r="E3166" s="66" t="str">
        <x:v>24313023</x:v>
      </x:c>
      <x:c r="F3166" s="66" t="str">
        <x:v>TEKNIK AERONAUTIKA</x:v>
      </x:c>
      <x:c r="G3166" s="66" t="str">
        <x:v>Diploma Tiga</x:v>
      </x:c>
      <x:c r="H3166" s="87" t="n">
        <x:v>15</x:v>
      </x:c>
      <x:c r="I3166" s="87" t="n">
        <x:v>173</x:v>
      </x:c>
      <x:c r="J3166" s="68" t="n">
        <x:f>IFERROR(H3166/I3166,"")</x:f>
        <x:v>0.08670520231213873</x:v>
      </x:c>
      <x:c r="K3166" s="69" t="n">
        <x:f>IFERROR(I3166/H3166,"")</x:f>
        <x:v>11.533333333333333</x:v>
      </x:c>
      <x:c r="L3166" s="66" t="str">
        <x:f>IF(K3166="","","1 : "&amp;TEXT(K3166,"0.0"))</x:f>
        <x:v>1 : 11.5</x:v>
      </x:c>
      <x:c r="M3166" s="66" t="str">
        <x:f>IF(J3166="","Baru/Tanpa Data",IF(J3166&lt;='Catatan &amp; Sumber'!$B$14,"Sangat Ketat",IF(J3166&lt;='Catatan &amp; Sumber'!$B$15,"Ketat",IF(J3166&lt;='Catatan &amp; Sumber'!$B$16,"Sedang","Relatif Longgar"))))</x:f>
        <x:v>Sedang</x:v>
      </x:c>
      <x:c r="N3166" s="66" t="str">
        <x:v>Tidak Ada</x:v>
      </x:c>
      <x:c r="O3166" s="66" t="str">
        <x:v>Jawa Barat</x:v>
      </x:c>
      <x:c r="P3166" s="66" t="str">
        <x:v>Kota Bandung</x:v>
      </x:c>
      <x:c r="Q3166" s="66" t="str">
        <x:v>https://snpmb.id/snbp/daya-tampung-snbp</x:v>
      </x:c>
      <x:c r="R3166" s="66" t="str">
        <x:v>https://sidatagrun-public-1076756628210.asia-southeast2.run.app/ptn_sn.php?ptn=431</x:v>
      </x:c>
    </x:row>
    <x:row r="3167">
      <x:c r="A3167" s="87" t="n">
        <x:v>850</x:v>
      </x:c>
      <x:c r="B3167" s="66" t="n">
        <x:v>431</x:v>
      </x:c>
      <x:c r="C3167" s="66" t="str">
        <x:v>POLITEKNIK NEGERI BANDUNG</x:v>
      </x:c>
      <x:c r="D3167" s="66" t="str">
        <x:v>PTN Vokasi</x:v>
      </x:c>
      <x:c r="E3167" s="66" t="str">
        <x:v>24313024</x:v>
      </x:c>
      <x:c r="F3167" s="66" t="str">
        <x:v>KEUANGAN DAN PERBANKAN</x:v>
      </x:c>
      <x:c r="G3167" s="66" t="str">
        <x:v>Diploma Tiga</x:v>
      </x:c>
      <x:c r="H3167" s="87" t="n">
        <x:v>16</x:v>
      </x:c>
      <x:c r="I3167" s="87" t="n">
        <x:v>231</x:v>
      </x:c>
      <x:c r="J3167" s="68" t="n">
        <x:f>IFERROR(H3167/I3167,"")</x:f>
        <x:v>0.06926406926406926</x:v>
      </x:c>
      <x:c r="K3167" s="69" t="n">
        <x:f>IFERROR(I3167/H3167,"")</x:f>
        <x:v>14.4375</x:v>
      </x:c>
      <x:c r="L3167" s="66" t="str">
        <x:f>IF(K3167="","","1 : "&amp;TEXT(K3167,"0.0"))</x:f>
        <x:v>1 : 14.4</x:v>
      </x:c>
      <x:c r="M3167" s="66" t="str">
        <x:f>IF(J3167="","Baru/Tanpa Data",IF(J3167&lt;='Catatan &amp; Sumber'!$B$14,"Sangat Ketat",IF(J3167&lt;='Catatan &amp; Sumber'!$B$15,"Ketat",IF(J3167&lt;='Catatan &amp; Sumber'!$B$16,"Sedang","Relatif Longgar"))))</x:f>
        <x:v>Sedang</x:v>
      </x:c>
      <x:c r="N3167" s="66" t="str">
        <x:v>Tidak Ada</x:v>
      </x:c>
      <x:c r="O3167" s="66" t="str">
        <x:v>Jawa Barat</x:v>
      </x:c>
      <x:c r="P3167" s="66" t="str">
        <x:v>Kota Bandung</x:v>
      </x:c>
      <x:c r="Q3167" s="66" t="str">
        <x:v>https://snpmb.id/snbp/daya-tampung-snbp</x:v>
      </x:c>
      <x:c r="R3167" s="66" t="str">
        <x:v>https://sidatagrun-public-1076756628210.asia-southeast2.run.app/ptn_sn.php?ptn=431</x:v>
      </x:c>
    </x:row>
    <x:row r="3168">
      <x:c r="A3168" s="87" t="n">
        <x:v>237</x:v>
      </x:c>
      <x:c r="B3168" s="66" t="n">
        <x:v>431</x:v>
      </x:c>
      <x:c r="C3168" s="66" t="str">
        <x:v>POLITEKNIK NEGERI BANDUNG</x:v>
      </x:c>
      <x:c r="D3168" s="66" t="str">
        <x:v>PTN Vokasi</x:v>
      </x:c>
      <x:c r="E3168" s="66" t="str">
        <x:v>24313025</x:v>
      </x:c>
      <x:c r="F3168" s="66" t="str">
        <x:v>TEKNIK INFORMATIKA</x:v>
      </x:c>
      <x:c r="G3168" s="66" t="str">
        <x:v>Diploma Tiga</x:v>
      </x:c>
      <x:c r="H3168" s="87" t="n">
        <x:v>13</x:v>
      </x:c>
      <x:c r="I3168" s="87" t="n">
        <x:v>335</x:v>
      </x:c>
      <x:c r="J3168" s="68" t="n">
        <x:f>IFERROR(H3168/I3168,"")</x:f>
        <x:v>0.03880597014925373</x:v>
      </x:c>
      <x:c r="K3168" s="69" t="n">
        <x:f>IFERROR(I3168/H3168,"")</x:f>
        <x:v>25.76923076923077</x:v>
      </x:c>
      <x:c r="L3168" s="66" t="str">
        <x:f>IF(K3168="","","1 : "&amp;TEXT(K3168,"0.0"))</x:f>
        <x:v>1 : 25.8</x:v>
      </x:c>
      <x:c r="M3168" s="66" t="str">
        <x:f>IF(J3168="","Baru/Tanpa Data",IF(J3168&lt;='Catatan &amp; Sumber'!$B$14,"Sangat Ketat",IF(J3168&lt;='Catatan &amp; Sumber'!$B$15,"Ketat",IF(J3168&lt;='Catatan &amp; Sumber'!$B$16,"Sedang","Relatif Longgar"))))</x:f>
        <x:v>Ketat</x:v>
      </x:c>
      <x:c r="N3168" s="66" t="str">
        <x:v>Tidak Ada</x:v>
      </x:c>
      <x:c r="O3168" s="66" t="str">
        <x:v>Jawa Barat</x:v>
      </x:c>
      <x:c r="P3168" s="66" t="str">
        <x:v>Kota Bandung</x:v>
      </x:c>
      <x:c r="Q3168" s="66" t="str">
        <x:v>https://snpmb.id/snbp/daya-tampung-snbp</x:v>
      </x:c>
      <x:c r="R3168" s="66" t="str">
        <x:v>https://sidatagrun-public-1076756628210.asia-southeast2.run.app/ptn_sn.php?ptn=431</x:v>
      </x:c>
    </x:row>
    <x:row r="3169">
      <x:c r="A3169" s="87" t="n">
        <x:v>350</x:v>
      </x:c>
      <x:c r="B3169" s="66" t="n">
        <x:v>431</x:v>
      </x:c>
      <x:c r="C3169" s="66" t="str">
        <x:v>POLITEKNIK NEGERI BANDUNG</x:v>
      </x:c>
      <x:c r="D3169" s="66" t="str">
        <x:v>PTN Vokasi</x:v>
      </x:c>
      <x:c r="E3169" s="66" t="str">
        <x:v>24313026</x:v>
      </x:c>
      <x:c r="F3169" s="66" t="str">
        <x:v>ADMINISTRASI BISNIS</x:v>
      </x:c>
      <x:c r="G3169" s="66" t="str">
        <x:v>Diploma Tiga</x:v>
      </x:c>
      <x:c r="H3169" s="87" t="n">
        <x:v>13</x:v>
      </x:c>
      <x:c r="I3169" s="87" t="n">
        <x:v>291</x:v>
      </x:c>
      <x:c r="J3169" s="68" t="n">
        <x:f>IFERROR(H3169/I3169,"")</x:f>
        <x:v>0.044673539518900345</x:v>
      </x:c>
      <x:c r="K3169" s="69" t="n">
        <x:f>IFERROR(I3169/H3169,"")</x:f>
        <x:v>22.384615384615383</x:v>
      </x:c>
      <x:c r="L3169" s="66" t="str">
        <x:f>IF(K3169="","","1 : "&amp;TEXT(K3169,"0.0"))</x:f>
        <x:v>1 : 22.4</x:v>
      </x:c>
      <x:c r="M3169" s="66" t="str">
        <x:f>IF(J3169="","Baru/Tanpa Data",IF(J3169&lt;='Catatan &amp; Sumber'!$B$14,"Sangat Ketat",IF(J3169&lt;='Catatan &amp; Sumber'!$B$15,"Ketat",IF(J3169&lt;='Catatan &amp; Sumber'!$B$16,"Sedang","Relatif Longgar"))))</x:f>
        <x:v>Ketat</x:v>
      </x:c>
      <x:c r="N3169" s="66" t="str">
        <x:v>Tidak Ada</x:v>
      </x:c>
      <x:c r="O3169" s="66" t="str">
        <x:v>Jawa Barat</x:v>
      </x:c>
      <x:c r="P3169" s="66" t="str">
        <x:v>Kota Bandung</x:v>
      </x:c>
      <x:c r="Q3169" s="66" t="str">
        <x:v>https://snpmb.id/snbp/daya-tampung-snbp</x:v>
      </x:c>
      <x:c r="R3169" s="66" t="str">
        <x:v>https://sidatagrun-public-1076756628210.asia-southeast2.run.app/ptn_sn.php?ptn=431</x:v>
      </x:c>
    </x:row>
    <x:row r="3170">
      <x:c r="A3170" s="87" t="n">
        <x:v>156</x:v>
      </x:c>
      <x:c r="B3170" s="66" t="n">
        <x:v>431</x:v>
      </x:c>
      <x:c r="C3170" s="66" t="str">
        <x:v>POLITEKNIK NEGERI BANDUNG</x:v>
      </x:c>
      <x:c r="D3170" s="66" t="str">
        <x:v>PTN Vokasi</x:v>
      </x:c>
      <x:c r="E3170" s="66" t="str">
        <x:v>24313027</x:v>
      </x:c>
      <x:c r="F3170" s="66" t="str">
        <x:v>TEKNIK MESIN</x:v>
      </x:c>
      <x:c r="G3170" s="66" t="str">
        <x:v>Diploma Tiga</x:v>
      </x:c>
      <x:c r="H3170" s="87" t="n">
        <x:v>20</x:v>
      </x:c>
      <x:c r="I3170" s="87" t="n">
        <x:v>591</x:v>
      </x:c>
      <x:c r="J3170" s="68" t="n">
        <x:f>IFERROR(H3170/I3170,"")</x:f>
        <x:v>0.0338409475465313</x:v>
      </x:c>
      <x:c r="K3170" s="69" t="n">
        <x:f>IFERROR(I3170/H3170,"")</x:f>
        <x:v>29.55</x:v>
      </x:c>
      <x:c r="L3170" s="66" t="str">
        <x:f>IF(K3170="","","1 : "&amp;TEXT(K3170,"0.0"))</x:f>
        <x:v>1 : 29.6</x:v>
      </x:c>
      <x:c r="M3170" s="66" t="str">
        <x:f>IF(J3170="","Baru/Tanpa Data",IF(J3170&lt;='Catatan &amp; Sumber'!$B$14,"Sangat Ketat",IF(J3170&lt;='Catatan &amp; Sumber'!$B$15,"Ketat",IF(J3170&lt;='Catatan &amp; Sumber'!$B$16,"Sedang","Relatif Longgar"))))</x:f>
        <x:v>Ketat</x:v>
      </x:c>
      <x:c r="N3170" s="66" t="str">
        <x:v>Tidak Ada</x:v>
      </x:c>
      <x:c r="O3170" s="66" t="str">
        <x:v>Jawa Barat</x:v>
      </x:c>
      <x:c r="P3170" s="66" t="str">
        <x:v>Kota Bandung</x:v>
      </x:c>
      <x:c r="Q3170" s="66" t="str">
        <x:v>https://snpmb.id/snbp/daya-tampung-snbp</x:v>
      </x:c>
      <x:c r="R3170" s="66" t="str">
        <x:v>https://sidatagrun-public-1076756628210.asia-southeast2.run.app/ptn_sn.php?ptn=431</x:v>
      </x:c>
    </x:row>
    <x:row r="3171">
      <x:c r="A3171" s="87" t="n">
        <x:v>688</x:v>
      </x:c>
      <x:c r="B3171" s="66" t="n">
        <x:v>431</x:v>
      </x:c>
      <x:c r="C3171" s="66" t="str">
        <x:v>POLITEKNIK NEGERI BANDUNG</x:v>
      </x:c>
      <x:c r="D3171" s="66" t="str">
        <x:v>PTN Vokasi</x:v>
      </x:c>
      <x:c r="E3171" s="66" t="str">
        <x:v>24313028</x:v>
      </x:c>
      <x:c r="F3171" s="66" t="str">
        <x:v>AKUNTANSI</x:v>
      </x:c>
      <x:c r="G3171" s="66" t="str">
        <x:v>Diploma Tiga</x:v>
      </x:c>
      <x:c r="H3171" s="87" t="n">
        <x:v>20</x:v>
      </x:c>
      <x:c r="I3171" s="87" t="n">
        <x:v>326</x:v>
      </x:c>
      <x:c r="J3171" s="68" t="n">
        <x:f>IFERROR(H3171/I3171,"")</x:f>
        <x:v>0.06134969325153374</x:v>
      </x:c>
      <x:c r="K3171" s="69" t="n">
        <x:f>IFERROR(I3171/H3171,"")</x:f>
        <x:v>16.3</x:v>
      </x:c>
      <x:c r="L3171" s="66" t="str">
        <x:f>IF(K3171="","","1 : "&amp;TEXT(K3171,"0.0"))</x:f>
        <x:v>1 : 16.3</x:v>
      </x:c>
      <x:c r="M3171" s="66" t="str">
        <x:f>IF(J3171="","Baru/Tanpa Data",IF(J3171&lt;='Catatan &amp; Sumber'!$B$14,"Sangat Ketat",IF(J3171&lt;='Catatan &amp; Sumber'!$B$15,"Ketat",IF(J3171&lt;='Catatan &amp; Sumber'!$B$16,"Sedang","Relatif Longgar"))))</x:f>
        <x:v>Sedang</x:v>
      </x:c>
      <x:c r="N3171" s="66" t="str">
        <x:v>Tidak Ada</x:v>
      </x:c>
      <x:c r="O3171" s="66" t="str">
        <x:v>Jawa Barat</x:v>
      </x:c>
      <x:c r="P3171" s="66" t="str">
        <x:v>Kota Bandung</x:v>
      </x:c>
      <x:c r="Q3171" s="66" t="str">
        <x:v>https://snpmb.id/snbp/daya-tampung-snbp</x:v>
      </x:c>
      <x:c r="R3171" s="66" t="str">
        <x:v>https://sidatagrun-public-1076756628210.asia-southeast2.run.app/ptn_sn.php?ptn=431</x:v>
      </x:c>
    </x:row>
    <x:row r="3172">
      <x:c r="A3172" s="87" t="n">
        <x:v>336</x:v>
      </x:c>
      <x:c r="B3172" s="66" t="n">
        <x:v>431</x:v>
      </x:c>
      <x:c r="C3172" s="66" t="str">
        <x:v>POLITEKNIK NEGERI BANDUNG</x:v>
      </x:c>
      <x:c r="D3172" s="66" t="str">
        <x:v>PTN Vokasi</x:v>
      </x:c>
      <x:c r="E3172" s="66" t="str">
        <x:v>24313029</x:v>
      </x:c>
      <x:c r="F3172" s="66" t="str">
        <x:v>ANALIS KIMIA</x:v>
      </x:c>
      <x:c r="G3172" s="66" t="str">
        <x:v>Diploma Tiga</x:v>
      </x:c>
      <x:c r="H3172" s="87" t="n">
        <x:v>13</x:v>
      </x:c>
      <x:c r="I3172" s="87" t="n">
        <x:v>296</x:v>
      </x:c>
      <x:c r="J3172" s="68" t="n">
        <x:f>IFERROR(H3172/I3172,"")</x:f>
        <x:v>0.04391891891891892</x:v>
      </x:c>
      <x:c r="K3172" s="69" t="n">
        <x:f>IFERROR(I3172/H3172,"")</x:f>
        <x:v>22.76923076923077</x:v>
      </x:c>
      <x:c r="L3172" s="66" t="str">
        <x:f>IF(K3172="","","1 : "&amp;TEXT(K3172,"0.0"))</x:f>
        <x:v>1 : 22.8</x:v>
      </x:c>
      <x:c r="M3172" s="66" t="str">
        <x:f>IF(J3172="","Baru/Tanpa Data",IF(J3172&lt;='Catatan &amp; Sumber'!$B$14,"Sangat Ketat",IF(J3172&lt;='Catatan &amp; Sumber'!$B$15,"Ketat",IF(J3172&lt;='Catatan &amp; Sumber'!$B$16,"Sedang","Relatif Longgar"))))</x:f>
        <x:v>Ketat</x:v>
      </x:c>
      <x:c r="N3172" s="66" t="str">
        <x:v>Tidak Ada</x:v>
      </x:c>
      <x:c r="O3172" s="66" t="str">
        <x:v>Jawa Barat</x:v>
      </x:c>
      <x:c r="P3172" s="66" t="str">
        <x:v>Kota Bandung</x:v>
      </x:c>
      <x:c r="Q3172" s="66" t="str">
        <x:v>https://snpmb.id/snbp/daya-tampung-snbp</x:v>
      </x:c>
      <x:c r="R3172" s="66" t="str">
        <x:v>https://sidatagrun-public-1076756628210.asia-southeast2.run.app/ptn_sn.php?ptn=431</x:v>
      </x:c>
    </x:row>
    <x:row r="3173">
      <x:c r="A3173" s="87" t="n">
        <x:v>1024</x:v>
      </x:c>
      <x:c r="B3173" s="66" t="n">
        <x:v>431</x:v>
      </x:c>
      <x:c r="C3173" s="66" t="str">
        <x:v>POLITEKNIK NEGERI BANDUNG</x:v>
      </x:c>
      <x:c r="D3173" s="66" t="str">
        <x:v>PTN Vokasi</x:v>
      </x:c>
      <x:c r="E3173" s="66" t="str">
        <x:v>24313030</x:v>
      </x:c>
      <x:c r="F3173" s="66" t="str">
        <x:v>TEKNIK KONVERSI ENERGI</x:v>
      </x:c>
      <x:c r="G3173" s="66" t="str">
        <x:v>Diploma Tiga</x:v>
      </x:c>
      <x:c r="H3173" s="87" t="n">
        <x:v>13</x:v>
      </x:c>
      <x:c r="I3173" s="87" t="n">
        <x:v>164</x:v>
      </x:c>
      <x:c r="J3173" s="68" t="n">
        <x:f>IFERROR(H3173/I3173,"")</x:f>
        <x:v>0.07926829268292683</x:v>
      </x:c>
      <x:c r="K3173" s="69" t="n">
        <x:f>IFERROR(I3173/H3173,"")</x:f>
        <x:v>12.615384615384615</x:v>
      </x:c>
      <x:c r="L3173" s="66" t="str">
        <x:f>IF(K3173="","","1 : "&amp;TEXT(K3173,"0.0"))</x:f>
        <x:v>1 : 12.6</x:v>
      </x:c>
      <x:c r="M3173" s="66" t="str">
        <x:f>IF(J3173="","Baru/Tanpa Data",IF(J3173&lt;='Catatan &amp; Sumber'!$B$14,"Sangat Ketat",IF(J3173&lt;='Catatan &amp; Sumber'!$B$15,"Ketat",IF(J3173&lt;='Catatan &amp; Sumber'!$B$16,"Sedang","Relatif Longgar"))))</x:f>
        <x:v>Sedang</x:v>
      </x:c>
      <x:c r="N3173" s="66" t="str">
        <x:v>Tidak Ada</x:v>
      </x:c>
      <x:c r="O3173" s="66" t="str">
        <x:v>Jawa Barat</x:v>
      </x:c>
      <x:c r="P3173" s="66" t="str">
        <x:v>Kota Bandung</x:v>
      </x:c>
      <x:c r="Q3173" s="66" t="str">
        <x:v>https://snpmb.id/snbp/daya-tampung-snbp</x:v>
      </x:c>
      <x:c r="R3173" s="66" t="str">
        <x:v>https://sidatagrun-public-1076756628210.asia-southeast2.run.app/ptn_sn.php?ptn=431</x:v>
      </x:c>
    </x:row>
    <x:row r="3174">
      <x:c r="A3174" s="87" t="n">
        <x:v>1305</x:v>
      </x:c>
      <x:c r="B3174" s="66" t="n">
        <x:v>431</x:v>
      </x:c>
      <x:c r="C3174" s="66" t="str">
        <x:v>POLITEKNIK NEGERI BANDUNG</x:v>
      </x:c>
      <x:c r="D3174" s="66" t="str">
        <x:v>PTN Vokasi</x:v>
      </x:c>
      <x:c r="E3174" s="66" t="str">
        <x:v>24313031</x:v>
      </x:c>
      <x:c r="F3174" s="66" t="str">
        <x:v>BAHASA INGGRIS</x:v>
      </x:c>
      <x:c r="G3174" s="66" t="str">
        <x:v>Diploma Tiga</x:v>
      </x:c>
      <x:c r="H3174" s="87" t="n">
        <x:v>20</x:v>
      </x:c>
      <x:c r="I3174" s="87" t="n">
        <x:v>209</x:v>
      </x:c>
      <x:c r="J3174" s="68" t="n">
        <x:f>IFERROR(H3174/I3174,"")</x:f>
        <x:v>0.09569377990430622</x:v>
      </x:c>
      <x:c r="K3174" s="69" t="n">
        <x:f>IFERROR(I3174/H3174,"")</x:f>
        <x:v>10.45</x:v>
      </x:c>
      <x:c r="L3174" s="66" t="str">
        <x:f>IF(K3174="","","1 : "&amp;TEXT(K3174,"0.0"))</x:f>
        <x:v>1 : 10.5</x:v>
      </x:c>
      <x:c r="M3174" s="66" t="str">
        <x:f>IF(J3174="","Baru/Tanpa Data",IF(J3174&lt;='Catatan &amp; Sumber'!$B$14,"Sangat Ketat",IF(J3174&lt;='Catatan &amp; Sumber'!$B$15,"Ketat",IF(J3174&lt;='Catatan &amp; Sumber'!$B$16,"Sedang","Relatif Longgar"))))</x:f>
        <x:v>Sedang</x:v>
      </x:c>
      <x:c r="N3174" s="66" t="str">
        <x:v>Tidak Ada</x:v>
      </x:c>
      <x:c r="O3174" s="66" t="str">
        <x:v>Jawa Barat</x:v>
      </x:c>
      <x:c r="P3174" s="66" t="str">
        <x:v>Kota Bandung</x:v>
      </x:c>
      <x:c r="Q3174" s="66" t="str">
        <x:v>https://snpmb.id/snbp/daya-tampung-snbp</x:v>
      </x:c>
      <x:c r="R3174" s="66" t="str">
        <x:v>https://sidatagrun-public-1076756628210.asia-southeast2.run.app/ptn_sn.php?ptn=431</x:v>
      </x:c>
    </x:row>
    <x:row r="3175">
      <x:c r="A3175" s="87" t="n">
        <x:v>714</x:v>
      </x:c>
      <x:c r="B3175" s="66" t="n">
        <x:v>431</x:v>
      </x:c>
      <x:c r="C3175" s="66" t="str">
        <x:v>POLITEKNIK NEGERI BANDUNG</x:v>
      </x:c>
      <x:c r="D3175" s="66" t="str">
        <x:v>PTN Vokasi</x:v>
      </x:c>
      <x:c r="E3175" s="66" t="str">
        <x:v>24313032</x:v>
      </x:c>
      <x:c r="F3175" s="66" t="str">
        <x:v>USAHA PERJALANAN WISATA</x:v>
      </x:c>
      <x:c r="G3175" s="66" t="str">
        <x:v>Diploma Tiga</x:v>
      </x:c>
      <x:c r="H3175" s="87" t="n">
        <x:v>13</x:v>
      </x:c>
      <x:c r="I3175" s="87" t="n">
        <x:v>208</x:v>
      </x:c>
      <x:c r="J3175" s="68" t="n">
        <x:f>IFERROR(H3175/I3175,"")</x:f>
        <x:v>0.0625</x:v>
      </x:c>
      <x:c r="K3175" s="69" t="n">
        <x:f>IFERROR(I3175/H3175,"")</x:f>
        <x:v>16</x:v>
      </x:c>
      <x:c r="L3175" s="66" t="str">
        <x:f>IF(K3175="","","1 : "&amp;TEXT(K3175,"0.0"))</x:f>
        <x:v>1 : 16.0</x:v>
      </x:c>
      <x:c r="M3175" s="66" t="str">
        <x:f>IF(J3175="","Baru/Tanpa Data",IF(J3175&lt;='Catatan &amp; Sumber'!$B$14,"Sangat Ketat",IF(J3175&lt;='Catatan &amp; Sumber'!$B$15,"Ketat",IF(J3175&lt;='Catatan &amp; Sumber'!$B$16,"Sedang","Relatif Longgar"))))</x:f>
        <x:v>Sedang</x:v>
      </x:c>
      <x:c r="N3175" s="66" t="str">
        <x:v>Tidak Ada</x:v>
      </x:c>
      <x:c r="O3175" s="66" t="str">
        <x:v>Jawa Barat</x:v>
      </x:c>
      <x:c r="P3175" s="66" t="str">
        <x:v>Kota Bandung</x:v>
      </x:c>
      <x:c r="Q3175" s="66" t="str">
        <x:v>https://snpmb.id/snbp/daya-tampung-snbp</x:v>
      </x:c>
      <x:c r="R3175" s="66" t="str">
        <x:v>https://sidatagrun-public-1076756628210.asia-southeast2.run.app/ptn_sn.php?ptn=431</x:v>
      </x:c>
    </x:row>
    <x:row r="3176">
      <x:c r="A3176" s="87" t="n">
        <x:v>731</x:v>
      </x:c>
      <x:c r="B3176" s="66" t="n">
        <x:v>431</x:v>
      </x:c>
      <x:c r="C3176" s="66" t="str">
        <x:v>POLITEKNIK NEGERI BANDUNG</x:v>
      </x:c>
      <x:c r="D3176" s="66" t="str">
        <x:v>PTN Vokasi</x:v>
      </x:c>
      <x:c r="E3176" s="66" t="str">
        <x:v>24313033</x:v>
      </x:c>
      <x:c r="F3176" s="66" t="str">
        <x:v>TEKNIK KIMIA</x:v>
      </x:c>
      <x:c r="G3176" s="66" t="str">
        <x:v>Diploma Tiga</x:v>
      </x:c>
      <x:c r="H3176" s="87" t="n">
        <x:v>26</x:v>
      </x:c>
      <x:c r="I3176" s="87" t="n">
        <x:v>408</x:v>
      </x:c>
      <x:c r="J3176" s="68" t="n">
        <x:f>IFERROR(H3176/I3176,"")</x:f>
        <x:v>0.06372549019607843</x:v>
      </x:c>
      <x:c r="K3176" s="69" t="n">
        <x:f>IFERROR(I3176/H3176,"")</x:f>
        <x:v>15.692307692307692</x:v>
      </x:c>
      <x:c r="L3176" s="66" t="str">
        <x:f>IF(K3176="","","1 : "&amp;TEXT(K3176,"0.0"))</x:f>
        <x:v>1 : 15.7</x:v>
      </x:c>
      <x:c r="M3176" s="66" t="str">
        <x:f>IF(J3176="","Baru/Tanpa Data",IF(J3176&lt;='Catatan &amp; Sumber'!$B$14,"Sangat Ketat",IF(J3176&lt;='Catatan &amp; Sumber'!$B$15,"Ketat",IF(J3176&lt;='Catatan &amp; Sumber'!$B$16,"Sedang","Relatif Longgar"))))</x:f>
        <x:v>Sedang</x:v>
      </x:c>
      <x:c r="N3176" s="66" t="str">
        <x:v>Tidak Ada</x:v>
      </x:c>
      <x:c r="O3176" s="66" t="str">
        <x:v>Jawa Barat</x:v>
      </x:c>
      <x:c r="P3176" s="66" t="str">
        <x:v>Kota Bandung</x:v>
      </x:c>
      <x:c r="Q3176" s="66" t="str">
        <x:v>https://snpmb.id/snbp/daya-tampung-snbp</x:v>
      </x:c>
      <x:c r="R3176" s="66" t="str">
        <x:v>https://sidatagrun-public-1076756628210.asia-southeast2.run.app/ptn_sn.php?ptn=431</x:v>
      </x:c>
    </x:row>
    <x:row r="3177">
      <x:c r="A3177" s="87" t="n">
        <x:v>1066</x:v>
      </x:c>
      <x:c r="B3177" s="66" t="n">
        <x:v>431</x:v>
      </x:c>
      <x:c r="C3177" s="66" t="str">
        <x:v>POLITEKNIK NEGERI BANDUNG</x:v>
      </x:c>
      <x:c r="D3177" s="66" t="str">
        <x:v>PTN Vokasi</x:v>
      </x:c>
      <x:c r="E3177" s="66" t="str">
        <x:v>24313034</x:v>
      </x:c>
      <x:c r="F3177" s="66" t="str">
        <x:v>TEKNIK TELEKOMUNIKASI</x:v>
      </x:c>
      <x:c r="G3177" s="66" t="str">
        <x:v>Diploma Tiga</x:v>
      </x:c>
      <x:c r="H3177" s="87" t="n">
        <x:v>13</x:v>
      </x:c>
      <x:c r="I3177" s="87" t="n">
        <x:v>159</x:v>
      </x:c>
      <x:c r="J3177" s="68" t="n">
        <x:f>IFERROR(H3177/I3177,"")</x:f>
        <x:v>0.08176100628930817</x:v>
      </x:c>
      <x:c r="K3177" s="69" t="n">
        <x:f>IFERROR(I3177/H3177,"")</x:f>
        <x:v>12.23076923076923</x:v>
      </x:c>
      <x:c r="L3177" s="66" t="str">
        <x:f>IF(K3177="","","1 : "&amp;TEXT(K3177,"0.0"))</x:f>
        <x:v>1 : 12.2</x:v>
      </x:c>
      <x:c r="M3177" s="66" t="str">
        <x:f>IF(J3177="","Baru/Tanpa Data",IF(J3177&lt;='Catatan &amp; Sumber'!$B$14,"Sangat Ketat",IF(J3177&lt;='Catatan &amp; Sumber'!$B$15,"Ketat",IF(J3177&lt;='Catatan &amp; Sumber'!$B$16,"Sedang","Relatif Longgar"))))</x:f>
        <x:v>Sedang</x:v>
      </x:c>
      <x:c r="N3177" s="66" t="str">
        <x:v>Tidak Ada</x:v>
      </x:c>
      <x:c r="O3177" s="66" t="str">
        <x:v>Jawa Barat</x:v>
      </x:c>
      <x:c r="P3177" s="66" t="str">
        <x:v>Kota Bandung</x:v>
      </x:c>
      <x:c r="Q3177" s="66" t="str">
        <x:v>https://snpmb.id/snbp/daya-tampung-snbp</x:v>
      </x:c>
      <x:c r="R3177" s="66" t="str">
        <x:v>https://sidatagrun-public-1076756628210.asia-southeast2.run.app/ptn_sn.php?ptn=431</x:v>
      </x:c>
    </x:row>
    <x:row r="3178">
      <x:c r="A3178" s="87" t="n">
        <x:v>1031</x:v>
      </x:c>
      <x:c r="B3178" s="66" t="n">
        <x:v>431</x:v>
      </x:c>
      <x:c r="C3178" s="66" t="str">
        <x:v>POLITEKNIK NEGERI BANDUNG</x:v>
      </x:c>
      <x:c r="D3178" s="66" t="str">
        <x:v>PTN Vokasi</x:v>
      </x:c>
      <x:c r="E3178" s="66" t="str">
        <x:v>24313035</x:v>
      </x:c>
      <x:c r="F3178" s="66" t="str">
        <x:v>TEKNIK ELEKTRONIKA</x:v>
      </x:c>
      <x:c r="G3178" s="66" t="str">
        <x:v>Diploma Tiga</x:v>
      </x:c>
      <x:c r="H3178" s="87" t="n">
        <x:v>13</x:v>
      </x:c>
      <x:c r="I3178" s="87" t="n">
        <x:v>163</x:v>
      </x:c>
      <x:c r="J3178" s="68" t="n">
        <x:f>IFERROR(H3178/I3178,"")</x:f>
        <x:v>0.07975460122699386</x:v>
      </x:c>
      <x:c r="K3178" s="69" t="n">
        <x:f>IFERROR(I3178/H3178,"")</x:f>
        <x:v>12.538461538461538</x:v>
      </x:c>
      <x:c r="L3178" s="66" t="str">
        <x:f>IF(K3178="","","1 : "&amp;TEXT(K3178,"0.0"))</x:f>
        <x:v>1 : 12.5</x:v>
      </x:c>
      <x:c r="M3178" s="66" t="str">
        <x:f>IF(J3178="","Baru/Tanpa Data",IF(J3178&lt;='Catatan &amp; Sumber'!$B$14,"Sangat Ketat",IF(J3178&lt;='Catatan &amp; Sumber'!$B$15,"Ketat",IF(J3178&lt;='Catatan &amp; Sumber'!$B$16,"Sedang","Relatif Longgar"))))</x:f>
        <x:v>Sedang</x:v>
      </x:c>
      <x:c r="N3178" s="66" t="str">
        <x:v>Tidak Ada</x:v>
      </x:c>
      <x:c r="O3178" s="66" t="str">
        <x:v>Jawa Barat</x:v>
      </x:c>
      <x:c r="P3178" s="66" t="str">
        <x:v>Kota Bandung</x:v>
      </x:c>
      <x:c r="Q3178" s="66" t="str">
        <x:v>https://snpmb.id/snbp/daya-tampung-snbp</x:v>
      </x:c>
      <x:c r="R3178" s="66" t="str">
        <x:v>https://sidatagrun-public-1076756628210.asia-southeast2.run.app/ptn_sn.php?ptn=431</x:v>
      </x:c>
    </x:row>
    <x:row r="3179">
      <x:c r="A3179" s="87" t="n">
        <x:v>988</x:v>
      </x:c>
      <x:c r="B3179" s="66" t="n">
        <x:v>431</x:v>
      </x:c>
      <x:c r="C3179" s="66" t="str">
        <x:v>POLITEKNIK NEGERI BANDUNG</x:v>
      </x:c>
      <x:c r="D3179" s="66" t="str">
        <x:v>PTN Vokasi</x:v>
      </x:c>
      <x:c r="E3179" s="66" t="str">
        <x:v>24313036</x:v>
      </x:c>
      <x:c r="F3179" s="66" t="str">
        <x:v>TEKNIK LISTRIK</x:v>
      </x:c>
      <x:c r="G3179" s="66" t="str">
        <x:v>Diploma Tiga</x:v>
      </x:c>
      <x:c r="H3179" s="87" t="n">
        <x:v>13</x:v>
      </x:c>
      <x:c r="I3179" s="87" t="n">
        <x:v>168</x:v>
      </x:c>
      <x:c r="J3179" s="68" t="n">
        <x:f>IFERROR(H3179/I3179,"")</x:f>
        <x:v>0.07738095238095238</x:v>
      </x:c>
      <x:c r="K3179" s="69" t="n">
        <x:f>IFERROR(I3179/H3179,"")</x:f>
        <x:v>12.923076923076923</x:v>
      </x:c>
      <x:c r="L3179" s="66" t="str">
        <x:f>IF(K3179="","","1 : "&amp;TEXT(K3179,"0.0"))</x:f>
        <x:v>1 : 12.9</x:v>
      </x:c>
      <x:c r="M3179" s="66" t="str">
        <x:f>IF(J3179="","Baru/Tanpa Data",IF(J3179&lt;='Catatan &amp; Sumber'!$B$14,"Sangat Ketat",IF(J3179&lt;='Catatan &amp; Sumber'!$B$15,"Ketat",IF(J3179&lt;='Catatan &amp; Sumber'!$B$16,"Sedang","Relatif Longgar"))))</x:f>
        <x:v>Sedang</x:v>
      </x:c>
      <x:c r="N3179" s="66" t="str">
        <x:v>Tidak Ada</x:v>
      </x:c>
      <x:c r="O3179" s="66" t="str">
        <x:v>Jawa Barat</x:v>
      </x:c>
      <x:c r="P3179" s="66" t="str">
        <x:v>Kota Bandung</x:v>
      </x:c>
      <x:c r="Q3179" s="66" t="str">
        <x:v>https://snpmb.id/snbp/daya-tampung-snbp</x:v>
      </x:c>
      <x:c r="R3179" s="66" t="str">
        <x:v>https://sidatagrun-public-1076756628210.asia-southeast2.run.app/ptn_sn.php?ptn=431</x:v>
      </x:c>
    </x:row>
    <x:row r="3180">
      <x:c r="A3180" s="87" t="n">
        <x:v>1120</x:v>
      </x:c>
      <x:c r="B3180" s="66" t="n">
        <x:v>432</x:v>
      </x:c>
      <x:c r="C3180" s="66" t="str">
        <x:v>POLITEKNIK MANUFAKTUR BANDUNG</x:v>
      </x:c>
      <x:c r="D3180" s="66" t="str">
        <x:v>PTN Vokasi</x:v>
      </x:c>
      <x:c r="E3180" s="66" t="str">
        <x:v>24322001</x:v>
      </x:c>
      <x:c r="F3180" s="66" t="str">
        <x:v>TEKNOLOGI REKAYASA MANUFAKTUR</x:v>
      </x:c>
      <x:c r="G3180" s="66" t="str">
        <x:v>Sarjana Terapan</x:v>
      </x:c>
      <x:c r="H3180" s="87" t="n">
        <x:v>20</x:v>
      </x:c>
      <x:c r="I3180" s="87" t="n">
        <x:v>235</x:v>
      </x:c>
      <x:c r="J3180" s="68" t="n">
        <x:f>IFERROR(H3180/I3180,"")</x:f>
        <x:v>0.0851063829787234</x:v>
      </x:c>
      <x:c r="K3180" s="69" t="n">
        <x:f>IFERROR(I3180/H3180,"")</x:f>
        <x:v>11.75</x:v>
      </x:c>
      <x:c r="L3180" s="66" t="str">
        <x:f>IF(K3180="","","1 : "&amp;TEXT(K3180,"0.0"))</x:f>
        <x:v>1 : 11.8</x:v>
      </x:c>
      <x:c r="M3180" s="66" t="str">
        <x:f>IF(J3180="","Baru/Tanpa Data",IF(J3180&lt;='Catatan &amp; Sumber'!$B$14,"Sangat Ketat",IF(J3180&lt;='Catatan &amp; Sumber'!$B$15,"Ketat",IF(J3180&lt;='Catatan &amp; Sumber'!$B$16,"Sedang","Relatif Longgar"))))</x:f>
        <x:v>Sedang</x:v>
      </x:c>
      <x:c r="N3180" s="66" t="str">
        <x:v>Tidak Ada</x:v>
      </x:c>
      <x:c r="O3180" s="66" t="str">
        <x:v>Jawa Barat</x:v>
      </x:c>
      <x:c r="P3180" s="66" t="str">
        <x:v>Kota Bandung</x:v>
      </x:c>
      <x:c r="Q3180" s="66" t="str">
        <x:v>https://snpmb.id/snbp/daya-tampung-snbp</x:v>
      </x:c>
      <x:c r="R3180" s="66" t="str">
        <x:v>https://sidatagrun-public-1076756628210.asia-southeast2.run.app/ptn_sn.php?ptn=432</x:v>
      </x:c>
    </x:row>
    <x:row r="3181">
      <x:c r="A3181" s="87" t="n">
        <x:v>2015</x:v>
      </x:c>
      <x:c r="B3181" s="66" t="n">
        <x:v>432</x:v>
      </x:c>
      <x:c r="C3181" s="66" t="str">
        <x:v>POLITEKNIK MANUFAKTUR BANDUNG</x:v>
      </x:c>
      <x:c r="D3181" s="66" t="str">
        <x:v>PTN Vokasi</x:v>
      </x:c>
      <x:c r="E3181" s="66" t="str">
        <x:v>24322002</x:v>
      </x:c>
      <x:c r="F3181" s="66" t="str">
        <x:v>TEKNOLOGI REKAYASA PERANCANGAN MANUFAKTUR</x:v>
      </x:c>
      <x:c r="G3181" s="66" t="str">
        <x:v>Sarjana Terapan</x:v>
      </x:c>
      <x:c r="H3181" s="87" t="n">
        <x:v>19</x:v>
      </x:c>
      <x:c r="I3181" s="87" t="n">
        <x:v>124</x:v>
      </x:c>
      <x:c r="J3181" s="68" t="n">
        <x:f>IFERROR(H3181/I3181,"")</x:f>
        <x:v>0.1532258064516129</x:v>
      </x:c>
      <x:c r="K3181" s="69" t="n">
        <x:f>IFERROR(I3181/H3181,"")</x:f>
        <x:v>6.526315789473684</x:v>
      </x:c>
      <x:c r="L3181" s="66" t="str">
        <x:f>IF(K3181="","","1 : "&amp;TEXT(K3181,"0.0"))</x:f>
        <x:v>1 : 6.5</x:v>
      </x:c>
      <x:c r="M3181" s="66" t="str">
        <x:f>IF(J3181="","Baru/Tanpa Data",IF(J3181&lt;='Catatan &amp; Sumber'!$B$14,"Sangat Ketat",IF(J3181&lt;='Catatan &amp; Sumber'!$B$15,"Ketat",IF(J3181&lt;='Catatan &amp; Sumber'!$B$16,"Sedang","Relatif Longgar"))))</x:f>
        <x:v>Relatif Longgar</x:v>
      </x:c>
      <x:c r="N3181" s="66" t="str">
        <x:v>Tidak Ada</x:v>
      </x:c>
      <x:c r="O3181" s="66" t="str">
        <x:v>Jawa Barat</x:v>
      </x:c>
      <x:c r="P3181" s="66" t="str">
        <x:v>Kota Bandung</x:v>
      </x:c>
      <x:c r="Q3181" s="66" t="str">
        <x:v>https://snpmb.id/snbp/daya-tampung-snbp</x:v>
      </x:c>
      <x:c r="R3181" s="66" t="str">
        <x:v>https://sidatagrun-public-1076756628210.asia-southeast2.run.app/ptn_sn.php?ptn=432</x:v>
      </x:c>
    </x:row>
    <x:row r="3182">
      <x:c r="A3182" s="87" t="n">
        <x:v>1310</x:v>
      </x:c>
      <x:c r="B3182" s="66" t="n">
        <x:v>432</x:v>
      </x:c>
      <x:c r="C3182" s="66" t="str">
        <x:v>POLITEKNIK MANUFAKTUR BANDUNG</x:v>
      </x:c>
      <x:c r="D3182" s="66" t="str">
        <x:v>PTN Vokasi</x:v>
      </x:c>
      <x:c r="E3182" s="66" t="str">
        <x:v>24322003</x:v>
      </x:c>
      <x:c r="F3182" s="66" t="str">
        <x:v>TEKNOLOGI REKAYASA OTOMASI</x:v>
      </x:c>
      <x:c r="G3182" s="66" t="str">
        <x:v>Sarjana Terapan</x:v>
      </x:c>
      <x:c r="H3182" s="87" t="n">
        <x:v>17</x:v>
      </x:c>
      <x:c r="I3182" s="87" t="n">
        <x:v>177</x:v>
      </x:c>
      <x:c r="J3182" s="68" t="n">
        <x:f>IFERROR(H3182/I3182,"")</x:f>
        <x:v>0.096045197740113</x:v>
      </x:c>
      <x:c r="K3182" s="69" t="n">
        <x:f>IFERROR(I3182/H3182,"")</x:f>
        <x:v>10.411764705882353</x:v>
      </x:c>
      <x:c r="L3182" s="66" t="str">
        <x:f>IF(K3182="","","1 : "&amp;TEXT(K3182,"0.0"))</x:f>
        <x:v>1 : 10.4</x:v>
      </x:c>
      <x:c r="M3182" s="66" t="str">
        <x:f>IF(J3182="","Baru/Tanpa Data",IF(J3182&lt;='Catatan &amp; Sumber'!$B$14,"Sangat Ketat",IF(J3182&lt;='Catatan &amp; Sumber'!$B$15,"Ketat",IF(J3182&lt;='Catatan &amp; Sumber'!$B$16,"Sedang","Relatif Longgar"))))</x:f>
        <x:v>Sedang</x:v>
      </x:c>
      <x:c r="N3182" s="66" t="str">
        <x:v>Tidak Ada</x:v>
      </x:c>
      <x:c r="O3182" s="66" t="str">
        <x:v>Jawa Barat</x:v>
      </x:c>
      <x:c r="P3182" s="66" t="str">
        <x:v>Kota Bandung</x:v>
      </x:c>
      <x:c r="Q3182" s="66" t="str">
        <x:v>https://snpmb.id/snbp/daya-tampung-snbp</x:v>
      </x:c>
      <x:c r="R3182" s="66" t="str">
        <x:v>https://sidatagrun-public-1076756628210.asia-southeast2.run.app/ptn_sn.php?ptn=432</x:v>
      </x:c>
    </x:row>
    <x:row r="3183">
      <x:c r="A3183" s="87" t="n">
        <x:v>2652</x:v>
      </x:c>
      <x:c r="B3183" s="66" t="n">
        <x:v>432</x:v>
      </x:c>
      <x:c r="C3183" s="66" t="str">
        <x:v>POLITEKNIK MANUFAKTUR BANDUNG</x:v>
      </x:c>
      <x:c r="D3183" s="66" t="str">
        <x:v>PTN Vokasi</x:v>
      </x:c>
      <x:c r="E3183" s="66" t="str">
        <x:v>24322004</x:v>
      </x:c>
      <x:c r="F3183" s="66" t="str">
        <x:v>TEKNOLOGI REKAYASA MATERIAL MAJU</x:v>
      </x:c>
      <x:c r="G3183" s="66" t="str">
        <x:v>Sarjana Terapan</x:v>
      </x:c>
      <x:c r="H3183" s="87" t="n">
        <x:v>16</x:v>
      </x:c>
      <x:c r="I3183" s="87" t="n">
        <x:v>68</x:v>
      </x:c>
      <x:c r="J3183" s="68" t="n">
        <x:f>IFERROR(H3183/I3183,"")</x:f>
        <x:v>0.23529411764705882</x:v>
      </x:c>
      <x:c r="K3183" s="69" t="n">
        <x:f>IFERROR(I3183/H3183,"")</x:f>
        <x:v>4.25</x:v>
      </x:c>
      <x:c r="L3183" s="66" t="str">
        <x:f>IF(K3183="","","1 : "&amp;TEXT(K3183,"0.0"))</x:f>
        <x:v>1 : 4.3</x:v>
      </x:c>
      <x:c r="M3183" s="66" t="str">
        <x:f>IF(J3183="","Baru/Tanpa Data",IF(J3183&lt;='Catatan &amp; Sumber'!$B$14,"Sangat Ketat",IF(J3183&lt;='Catatan &amp; Sumber'!$B$15,"Ketat",IF(J3183&lt;='Catatan &amp; Sumber'!$B$16,"Sedang","Relatif Longgar"))))</x:f>
        <x:v>Relatif Longgar</x:v>
      </x:c>
      <x:c r="N3183" s="66" t="str">
        <x:v>Tidak Ada</x:v>
      </x:c>
      <x:c r="O3183" s="66" t="str">
        <x:v>Jawa Barat</x:v>
      </x:c>
      <x:c r="P3183" s="66" t="str">
        <x:v>Kota Bandung</x:v>
      </x:c>
      <x:c r="Q3183" s="66" t="str">
        <x:v>https://snpmb.id/snbp/daya-tampung-snbp</x:v>
      </x:c>
      <x:c r="R3183" s="66" t="str">
        <x:v>https://sidatagrun-public-1076756628210.asia-southeast2.run.app/ptn_sn.php?ptn=432</x:v>
      </x:c>
    </x:row>
    <x:row r="3184">
      <x:c r="A3184" s="87" t="n">
        <x:v>2132</x:v>
      </x:c>
      <x:c r="B3184" s="66" t="n">
        <x:v>432</x:v>
      </x:c>
      <x:c r="C3184" s="66" t="str">
        <x:v>POLITEKNIK MANUFAKTUR BANDUNG</x:v>
      </x:c>
      <x:c r="D3184" s="66" t="str">
        <x:v>PTN Vokasi</x:v>
      </x:c>
      <x:c r="E3184" s="66" t="str">
        <x:v>24322005</x:v>
      </x:c>
      <x:c r="F3184" s="66" t="str">
        <x:v>REKAYASA PERANCANGAN MEKANIK</x:v>
      </x:c>
      <x:c r="G3184" s="66" t="str">
        <x:v>Sarjana Terapan</x:v>
      </x:c>
      <x:c r="H3184" s="87" t="n">
        <x:v>14</x:v>
      </x:c>
      <x:c r="I3184" s="87" t="n">
        <x:v>85</x:v>
      </x:c>
      <x:c r="J3184" s="68" t="n">
        <x:f>IFERROR(H3184/I3184,"")</x:f>
        <x:v>0.16470588235294117</x:v>
      </x:c>
      <x:c r="K3184" s="69" t="n">
        <x:f>IFERROR(I3184/H3184,"")</x:f>
        <x:v>6.071428571428571</x:v>
      </x:c>
      <x:c r="L3184" s="66" t="str">
        <x:f>IF(K3184="","","1 : "&amp;TEXT(K3184,"0.0"))</x:f>
        <x:v>1 : 6.1</x:v>
      </x:c>
      <x:c r="M3184" s="66" t="str">
        <x:f>IF(J3184="","Baru/Tanpa Data",IF(J3184&lt;='Catatan &amp; Sumber'!$B$14,"Sangat Ketat",IF(J3184&lt;='Catatan &amp; Sumber'!$B$15,"Ketat",IF(J3184&lt;='Catatan &amp; Sumber'!$B$16,"Sedang","Relatif Longgar"))))</x:f>
        <x:v>Relatif Longgar</x:v>
      </x:c>
      <x:c r="N3184" s="66" t="str">
        <x:v>Tidak Ada</x:v>
      </x:c>
      <x:c r="O3184" s="66" t="str">
        <x:v>Jawa Barat</x:v>
      </x:c>
      <x:c r="P3184" s="66" t="str">
        <x:v>Kota Bandung</x:v>
      </x:c>
      <x:c r="Q3184" s="66" t="str">
        <x:v>https://snpmb.id/snbp/daya-tampung-snbp</x:v>
      </x:c>
      <x:c r="R3184" s="66" t="str">
        <x:v>https://sidatagrun-public-1076756628210.asia-southeast2.run.app/ptn_sn.php?ptn=432</x:v>
      </x:c>
    </x:row>
    <x:row r="3185">
      <x:c r="A3185" s="87" t="n">
        <x:v>1113</x:v>
      </x:c>
      <x:c r="B3185" s="66" t="n">
        <x:v>432</x:v>
      </x:c>
      <x:c r="C3185" s="66" t="str">
        <x:v>POLITEKNIK MANUFAKTUR BANDUNG</x:v>
      </x:c>
      <x:c r="D3185" s="66" t="str">
        <x:v>PTN Vokasi</x:v>
      </x:c>
      <x:c r="E3185" s="66" t="str">
        <x:v>24322006</x:v>
      </x:c>
      <x:c r="F3185" s="66" t="str">
        <x:v>TEKNOLOGI REKAYASA MEKATRONIKA</x:v>
      </x:c>
      <x:c r="G3185" s="66" t="str">
        <x:v>Sarjana Terapan</x:v>
      </x:c>
      <x:c r="H3185" s="87" t="n">
        <x:v>17</x:v>
      </x:c>
      <x:c r="I3185" s="87" t="n">
        <x:v>201</x:v>
      </x:c>
      <x:c r="J3185" s="68" t="n">
        <x:f>IFERROR(H3185/I3185,"")</x:f>
        <x:v>0.0845771144278607</x:v>
      </x:c>
      <x:c r="K3185" s="69" t="n">
        <x:f>IFERROR(I3185/H3185,"")</x:f>
        <x:v>11.823529411764707</x:v>
      </x:c>
      <x:c r="L3185" s="66" t="str">
        <x:f>IF(K3185="","","1 : "&amp;TEXT(K3185,"0.0"))</x:f>
        <x:v>1 : 11.8</x:v>
      </x:c>
      <x:c r="M3185" s="66" t="str">
        <x:f>IF(J3185="","Baru/Tanpa Data",IF(J3185&lt;='Catatan &amp; Sumber'!$B$14,"Sangat Ketat",IF(J3185&lt;='Catatan &amp; Sumber'!$B$15,"Ketat",IF(J3185&lt;='Catatan &amp; Sumber'!$B$16,"Sedang","Relatif Longgar"))))</x:f>
        <x:v>Sedang</x:v>
      </x:c>
      <x:c r="N3185" s="66" t="str">
        <x:v>Tidak Ada</x:v>
      </x:c>
      <x:c r="O3185" s="66" t="str">
        <x:v>Jawa Barat</x:v>
      </x:c>
      <x:c r="P3185" s="66" t="str">
        <x:v>Kota Bandung</x:v>
      </x:c>
      <x:c r="Q3185" s="66" t="str">
        <x:v>https://snpmb.id/snbp/daya-tampung-snbp</x:v>
      </x:c>
      <x:c r="R3185" s="66" t="str">
        <x:v>https://sidatagrun-public-1076756628210.asia-southeast2.run.app/ptn_sn.php?ptn=432</x:v>
      </x:c>
    </x:row>
    <x:row r="3186">
      <x:c r="A3186" s="87" t="n">
        <x:v>2054</x:v>
      </x:c>
      <x:c r="B3186" s="66" t="n">
        <x:v>432</x:v>
      </x:c>
      <x:c r="C3186" s="66" t="str">
        <x:v>POLITEKNIK MANUFAKTUR BANDUNG</x:v>
      </x:c>
      <x:c r="D3186" s="66" t="str">
        <x:v>PTN Vokasi</x:v>
      </x:c>
      <x:c r="E3186" s="66" t="str">
        <x:v>24322014</x:v>
      </x:c>
      <x:c r="F3186" s="66" t="str">
        <x:v>MANAJEMEN TEKNOLOGI REKAYASA</x:v>
      </x:c>
      <x:c r="G3186" s="66" t="str">
        <x:v>Sarjana Terapan</x:v>
      </x:c>
      <x:c r="H3186" s="87" t="n">
        <x:v>19</x:v>
      </x:c>
      <x:c r="I3186" s="87" t="n">
        <x:v>121</x:v>
      </x:c>
      <x:c r="J3186" s="68" t="n">
        <x:f>IFERROR(H3186/I3186,"")</x:f>
        <x:v>0.15702479338842976</x:v>
      </x:c>
      <x:c r="K3186" s="69" t="n">
        <x:f>IFERROR(I3186/H3186,"")</x:f>
        <x:v>6.368421052631579</x:v>
      </x:c>
      <x:c r="L3186" s="66" t="str">
        <x:f>IF(K3186="","","1 : "&amp;TEXT(K3186,"0.0"))</x:f>
        <x:v>1 : 6.4</x:v>
      </x:c>
      <x:c r="M3186" s="66" t="str">
        <x:f>IF(J3186="","Baru/Tanpa Data",IF(J3186&lt;='Catatan &amp; Sumber'!$B$14,"Sangat Ketat",IF(J3186&lt;='Catatan &amp; Sumber'!$B$15,"Ketat",IF(J3186&lt;='Catatan &amp; Sumber'!$B$16,"Sedang","Relatif Longgar"))))</x:f>
        <x:v>Relatif Longgar</x:v>
      </x:c>
      <x:c r="N3186" s="66" t="str">
        <x:v>Tidak Ada</x:v>
      </x:c>
      <x:c r="O3186" s="66" t="str">
        <x:v>Jawa Barat</x:v>
      </x:c>
      <x:c r="P3186" s="66" t="str">
        <x:v>Kota Bandung</x:v>
      </x:c>
      <x:c r="Q3186" s="66" t="str">
        <x:v>https://snpmb.id/snbp/daya-tampung-snbp</x:v>
      </x:c>
      <x:c r="R3186" s="66" t="str">
        <x:v>https://sidatagrun-public-1076756628210.asia-southeast2.run.app/ptn_sn.php?ptn=432</x:v>
      </x:c>
    </x:row>
    <x:row r="3187">
      <x:c r="A3187" s="87" t="n">
        <x:v>1054</x:v>
      </x:c>
      <x:c r="B3187" s="66" t="n">
        <x:v>432</x:v>
      </x:c>
      <x:c r="C3187" s="66" t="str">
        <x:v>POLITEKNIK MANUFAKTUR BANDUNG</x:v>
      </x:c>
      <x:c r="D3187" s="66" t="str">
        <x:v>PTN Vokasi</x:v>
      </x:c>
      <x:c r="E3187" s="66" t="str">
        <x:v>24322015</x:v>
      </x:c>
      <x:c r="F3187" s="66" t="str">
        <x:v>TEKNOLOGI REKAYASA INFORMATIKA INDUSTRI</x:v>
      </x:c>
      <x:c r="G3187" s="66" t="str">
        <x:v>Sarjana Terapan</x:v>
      </x:c>
      <x:c r="H3187" s="87" t="n">
        <x:v>17</x:v>
      </x:c>
      <x:c r="I3187" s="87" t="n">
        <x:v>209</x:v>
      </x:c>
      <x:c r="J3187" s="68" t="n">
        <x:f>IFERROR(H3187/I3187,"")</x:f>
        <x:v>0.08133971291866028</x:v>
      </x:c>
      <x:c r="K3187" s="69" t="n">
        <x:f>IFERROR(I3187/H3187,"")</x:f>
        <x:v>12.294117647058824</x:v>
      </x:c>
      <x:c r="L3187" s="66" t="str">
        <x:f>IF(K3187="","","1 : "&amp;TEXT(K3187,"0.0"))</x:f>
        <x:v>1 : 12.3</x:v>
      </x:c>
      <x:c r="M3187" s="66" t="str">
        <x:f>IF(J3187="","Baru/Tanpa Data",IF(J3187&lt;='Catatan &amp; Sumber'!$B$14,"Sangat Ketat",IF(J3187&lt;='Catatan &amp; Sumber'!$B$15,"Ketat",IF(J3187&lt;='Catatan &amp; Sumber'!$B$16,"Sedang","Relatif Longgar"))))</x:f>
        <x:v>Sedang</x:v>
      </x:c>
      <x:c r="N3187" s="66" t="str">
        <x:v>Tidak Ada</x:v>
      </x:c>
      <x:c r="O3187" s="66" t="str">
        <x:v>Jawa Barat</x:v>
      </x:c>
      <x:c r="P3187" s="66" t="str">
        <x:v>Kota Bandung</x:v>
      </x:c>
      <x:c r="Q3187" s="66" t="str">
        <x:v>https://snpmb.id/snbp/daya-tampung-snbp</x:v>
      </x:c>
      <x:c r="R3187" s="66" t="str">
        <x:v>https://sidatagrun-public-1076756628210.asia-southeast2.run.app/ptn_sn.php?ptn=432</x:v>
      </x:c>
    </x:row>
    <x:row r="3188">
      <x:c r="A3188" s="87" t="n">
        <x:v>2392</x:v>
      </x:c>
      <x:c r="B3188" s="66" t="n">
        <x:v>432</x:v>
      </x:c>
      <x:c r="C3188" s="66" t="str">
        <x:v>POLITEKNIK MANUFAKTUR BANDUNG</x:v>
      </x:c>
      <x:c r="D3188" s="66" t="str">
        <x:v>PTN Vokasi</x:v>
      </x:c>
      <x:c r="E3188" s="66" t="str">
        <x:v>24322016</x:v>
      </x:c>
      <x:c r="F3188" s="66" t="str">
        <x:v>TEKNOLOGI REKAYASA SISTEM AERIAL NIRAWAK</x:v>
      </x:c>
      <x:c r="G3188" s="66" t="str">
        <x:v>Sarjana Terapan</x:v>
      </x:c>
      <x:c r="H3188" s="87" t="n">
        <x:v>7</x:v>
      </x:c>
      <x:c r="I3188" s="87" t="n">
        <x:v>36</x:v>
      </x:c>
      <x:c r="J3188" s="68" t="n">
        <x:f>IFERROR(H3188/I3188,"")</x:f>
        <x:v>0.19444444444444445</x:v>
      </x:c>
      <x:c r="K3188" s="69" t="n">
        <x:f>IFERROR(I3188/H3188,"")</x:f>
        <x:v>5.142857142857143</x:v>
      </x:c>
      <x:c r="L3188" s="66" t="str">
        <x:f>IF(K3188="","","1 : "&amp;TEXT(K3188,"0.0"))</x:f>
        <x:v>1 : 5.1</x:v>
      </x:c>
      <x:c r="M3188" s="66" t="str">
        <x:f>IF(J3188="","Baru/Tanpa Data",IF(J3188&lt;='Catatan &amp; Sumber'!$B$14,"Sangat Ketat",IF(J3188&lt;='Catatan &amp; Sumber'!$B$15,"Ketat",IF(J3188&lt;='Catatan &amp; Sumber'!$B$16,"Sedang","Relatif Longgar"))))</x:f>
        <x:v>Relatif Longgar</x:v>
      </x:c>
      <x:c r="N3188" s="66" t="str">
        <x:v>Tidak Ada</x:v>
      </x:c>
      <x:c r="O3188" s="66" t="str">
        <x:v>Jawa Barat</x:v>
      </x:c>
      <x:c r="P3188" s="66" t="str">
        <x:v>Kota Bandung</x:v>
      </x:c>
      <x:c r="Q3188" s="66" t="str">
        <x:v>https://snpmb.id/snbp/daya-tampung-snbp</x:v>
      </x:c>
      <x:c r="R3188" s="66" t="str">
        <x:v>https://sidatagrun-public-1076756628210.asia-southeast2.run.app/ptn_sn.php?ptn=432</x:v>
      </x:c>
    </x:row>
    <x:row r="3189">
      <x:c r="A3189" s="87" t="n">
        <x:v>1967</x:v>
      </x:c>
      <x:c r="B3189" s="66" t="n">
        <x:v>432</x:v>
      </x:c>
      <x:c r="C3189" s="66" t="str">
        <x:v>POLITEKNIK MANUFAKTUR BANDUNG</x:v>
      </x:c>
      <x:c r="D3189" s="66" t="str">
        <x:v>PTN Vokasi</x:v>
      </x:c>
      <x:c r="E3189" s="66" t="str">
        <x:v>24323007</x:v>
      </x:c>
      <x:c r="F3189" s="66" t="str">
        <x:v>PEMELIHARAAN MESIN</x:v>
      </x:c>
      <x:c r="G3189" s="66" t="str">
        <x:v>Diploma Tiga</x:v>
      </x:c>
      <x:c r="H3189" s="87" t="n">
        <x:v>16</x:v>
      </x:c>
      <x:c r="I3189" s="87" t="n">
        <x:v>108</x:v>
      </x:c>
      <x:c r="J3189" s="68" t="n">
        <x:f>IFERROR(H3189/I3189,"")</x:f>
        <x:v>0.14814814814814814</x:v>
      </x:c>
      <x:c r="K3189" s="69" t="n">
        <x:f>IFERROR(I3189/H3189,"")</x:f>
        <x:v>6.75</x:v>
      </x:c>
      <x:c r="L3189" s="66" t="str">
        <x:f>IF(K3189="","","1 : "&amp;TEXT(K3189,"0.0"))</x:f>
        <x:v>1 : 6.8</x:v>
      </x:c>
      <x:c r="M3189" s="66" t="str">
        <x:f>IF(J3189="","Baru/Tanpa Data",IF(J3189&lt;='Catatan &amp; Sumber'!$B$14,"Sangat Ketat",IF(J3189&lt;='Catatan &amp; Sumber'!$B$15,"Ketat",IF(J3189&lt;='Catatan &amp; Sumber'!$B$16,"Sedang","Relatif Longgar"))))</x:f>
        <x:v>Relatif Longgar</x:v>
      </x:c>
      <x:c r="N3189" s="66" t="str">
        <x:v>Tidak Ada</x:v>
      </x:c>
      <x:c r="O3189" s="66" t="str">
        <x:v>Jawa Barat</x:v>
      </x:c>
      <x:c r="P3189" s="66" t="str">
        <x:v>Kota Bandung</x:v>
      </x:c>
      <x:c r="Q3189" s="66" t="str">
        <x:v>https://snpmb.id/snbp/daya-tampung-snbp</x:v>
      </x:c>
      <x:c r="R3189" s="66" t="str">
        <x:v>https://sidatagrun-public-1076756628210.asia-southeast2.run.app/ptn_sn.php?ptn=432</x:v>
      </x:c>
    </x:row>
    <x:row r="3190">
      <x:c r="A3190" s="87" t="n">
        <x:v>1554</x:v>
      </x:c>
      <x:c r="B3190" s="66" t="n">
        <x:v>432</x:v>
      </x:c>
      <x:c r="C3190" s="66" t="str">
        <x:v>POLITEKNIK MANUFAKTUR BANDUNG</x:v>
      </x:c>
      <x:c r="D3190" s="66" t="str">
        <x:v>PTN Vokasi</x:v>
      </x:c>
      <x:c r="E3190" s="66" t="str">
        <x:v>24323008</x:v>
      </x:c>
      <x:c r="F3190" s="66" t="str">
        <x:v>TEKNOLOGI MANUFAKTUR</x:v>
      </x:c>
      <x:c r="G3190" s="66" t="str">
        <x:v>Diploma Tiga</x:v>
      </x:c>
      <x:c r="H3190" s="87" t="n">
        <x:v>16</x:v>
      </x:c>
      <x:c r="I3190" s="87" t="n">
        <x:v>141</x:v>
      </x:c>
      <x:c r="J3190" s="68" t="n">
        <x:f>IFERROR(H3190/I3190,"")</x:f>
        <x:v>0.11347517730496454</x:v>
      </x:c>
      <x:c r="K3190" s="69" t="n">
        <x:f>IFERROR(I3190/H3190,"")</x:f>
        <x:v>8.8125</x:v>
      </x:c>
      <x:c r="L3190" s="66" t="str">
        <x:f>IF(K3190="","","1 : "&amp;TEXT(K3190,"0.0"))</x:f>
        <x:v>1 : 8.8</x:v>
      </x:c>
      <x:c r="M3190" s="66" t="str">
        <x:f>IF(J3190="","Baru/Tanpa Data",IF(J3190&lt;='Catatan &amp; Sumber'!$B$14,"Sangat Ketat",IF(J3190&lt;='Catatan &amp; Sumber'!$B$15,"Ketat",IF(J3190&lt;='Catatan &amp; Sumber'!$B$16,"Sedang","Relatif Longgar"))))</x:f>
        <x:v>Relatif Longgar</x:v>
      </x:c>
      <x:c r="N3190" s="66" t="str">
        <x:v>Tidak Ada</x:v>
      </x:c>
      <x:c r="O3190" s="66" t="str">
        <x:v>Jawa Barat</x:v>
      </x:c>
      <x:c r="P3190" s="66" t="str">
        <x:v>Kota Bandung</x:v>
      </x:c>
      <x:c r="Q3190" s="66" t="str">
        <x:v>https://snpmb.id/snbp/daya-tampung-snbp</x:v>
      </x:c>
      <x:c r="R3190" s="66" t="str">
        <x:v>https://sidatagrun-public-1076756628210.asia-southeast2.run.app/ptn_sn.php?ptn=432</x:v>
      </x:c>
    </x:row>
    <x:row r="3191">
      <x:c r="A3191" s="87" t="n">
        <x:v>2845</x:v>
      </x:c>
      <x:c r="B3191" s="66" t="n">
        <x:v>432</x:v>
      </x:c>
      <x:c r="C3191" s="66" t="str">
        <x:v>POLITEKNIK MANUFAKTUR BANDUNG</x:v>
      </x:c>
      <x:c r="D3191" s="66" t="str">
        <x:v>PTN Vokasi</x:v>
      </x:c>
      <x:c r="E3191" s="66" t="str">
        <x:v>24323010</x:v>
      </x:c>
      <x:c r="F3191" s="66" t="str">
        <x:v>TEKNOLOGI PEMBUATAN PERKAKAS PRESISI</x:v>
      </x:c>
      <x:c r="G3191" s="66" t="str">
        <x:v>Diploma Tiga</x:v>
      </x:c>
      <x:c r="H3191" s="87" t="n">
        <x:v>16</x:v>
      </x:c>
      <x:c r="I3191" s="87" t="n">
        <x:v>60</x:v>
      </x:c>
      <x:c r="J3191" s="68" t="n">
        <x:f>IFERROR(H3191/I3191,"")</x:f>
        <x:v>0.26666666666666666</x:v>
      </x:c>
      <x:c r="K3191" s="69" t="n">
        <x:f>IFERROR(I3191/H3191,"")</x:f>
        <x:v>3.75</x:v>
      </x:c>
      <x:c r="L3191" s="66" t="str">
        <x:f>IF(K3191="","","1 : "&amp;TEXT(K3191,"0.0"))</x:f>
        <x:v>1 : 3.8</x:v>
      </x:c>
      <x:c r="M3191" s="66" t="str">
        <x:f>IF(J3191="","Baru/Tanpa Data",IF(J3191&lt;='Catatan &amp; Sumber'!$B$14,"Sangat Ketat",IF(J3191&lt;='Catatan &amp; Sumber'!$B$15,"Ketat",IF(J3191&lt;='Catatan &amp; Sumber'!$B$16,"Sedang","Relatif Longgar"))))</x:f>
        <x:v>Relatif Longgar</x:v>
      </x:c>
      <x:c r="N3191" s="66" t="str">
        <x:v>Tidak Ada</x:v>
      </x:c>
      <x:c r="O3191" s="66" t="str">
        <x:v>Jawa Barat</x:v>
      </x:c>
      <x:c r="P3191" s="66" t="str">
        <x:v>Kota Bandung</x:v>
      </x:c>
      <x:c r="Q3191" s="66" t="str">
        <x:v>https://snpmb.id/snbp/daya-tampung-snbp</x:v>
      </x:c>
      <x:c r="R3191" s="66" t="str">
        <x:v>https://sidatagrun-public-1076756628210.asia-southeast2.run.app/ptn_sn.php?ptn=432</x:v>
      </x:c>
    </x:row>
    <x:row r="3192">
      <x:c r="A3192" s="87" t="n">
        <x:v>3391</x:v>
      </x:c>
      <x:c r="B3192" s="66" t="n">
        <x:v>432</x:v>
      </x:c>
      <x:c r="C3192" s="66" t="str">
        <x:v>POLITEKNIK MANUFAKTUR BANDUNG</x:v>
      </x:c>
      <x:c r="D3192" s="66" t="str">
        <x:v>PTN Vokasi</x:v>
      </x:c>
      <x:c r="E3192" s="66" t="str">
        <x:v>24323011</x:v>
      </x:c>
      <x:c r="F3192" s="66" t="str">
        <x:v>TEKNOLOGI PERANCANGAN PERKAKAS PRESISI</x:v>
      </x:c>
      <x:c r="G3192" s="66" t="str">
        <x:v>Diploma Tiga</x:v>
      </x:c>
      <x:c r="H3192" s="87" t="n">
        <x:v>14</x:v>
      </x:c>
      <x:c r="I3192" s="87" t="n">
        <x:v>35</x:v>
      </x:c>
      <x:c r="J3192" s="68" t="n">
        <x:f>IFERROR(H3192/I3192,"")</x:f>
        <x:v>0.4</x:v>
      </x:c>
      <x:c r="K3192" s="69" t="n">
        <x:f>IFERROR(I3192/H3192,"")</x:f>
        <x:v>2.5</x:v>
      </x:c>
      <x:c r="L3192" s="66" t="str">
        <x:f>IF(K3192="","","1 : "&amp;TEXT(K3192,"0.0"))</x:f>
        <x:v>1 : 2.5</x:v>
      </x:c>
      <x:c r="M3192" s="66" t="str">
        <x:f>IF(J3192="","Baru/Tanpa Data",IF(J3192&lt;='Catatan &amp; Sumber'!$B$14,"Sangat Ketat",IF(J3192&lt;='Catatan &amp; Sumber'!$B$15,"Ketat",IF(J3192&lt;='Catatan &amp; Sumber'!$B$16,"Sedang","Relatif Longgar"))))</x:f>
        <x:v>Relatif Longgar</x:v>
      </x:c>
      <x:c r="N3192" s="66" t="str">
        <x:v>Tidak Ada</x:v>
      </x:c>
      <x:c r="O3192" s="66" t="str">
        <x:v>Jawa Barat</x:v>
      </x:c>
      <x:c r="P3192" s="66" t="str">
        <x:v>Kota Bandung</x:v>
      </x:c>
      <x:c r="Q3192" s="66" t="str">
        <x:v>https://snpmb.id/snbp/daya-tampung-snbp</x:v>
      </x:c>
      <x:c r="R3192" s="66" t="str">
        <x:v>https://sidatagrun-public-1076756628210.asia-southeast2.run.app/ptn_sn.php?ptn=432</x:v>
      </x:c>
    </x:row>
    <x:row r="3193">
      <x:c r="A3193" s="87" t="n">
        <x:v>2361</x:v>
      </x:c>
      <x:c r="B3193" s="66" t="n">
        <x:v>432</x:v>
      </x:c>
      <x:c r="C3193" s="66" t="str">
        <x:v>POLITEKNIK MANUFAKTUR BANDUNG</x:v>
      </x:c>
      <x:c r="D3193" s="66" t="str">
        <x:v>PTN Vokasi</x:v>
      </x:c>
      <x:c r="E3193" s="66" t="str">
        <x:v>24323012</x:v>
      </x:c>
      <x:c r="F3193" s="66" t="str">
        <x:v>TEKNOLOGI PENGECORAN LOGAM</x:v>
      </x:c>
      <x:c r="G3193" s="66" t="str">
        <x:v>Diploma Tiga</x:v>
      </x:c>
      <x:c r="H3193" s="87" t="n">
        <x:v>25</x:v>
      </x:c>
      <x:c r="I3193" s="87" t="n">
        <x:v>131</x:v>
      </x:c>
      <x:c r="J3193" s="68" t="n">
        <x:f>IFERROR(H3193/I3193,"")</x:f>
        <x:v>0.19083969465648856</x:v>
      </x:c>
      <x:c r="K3193" s="69" t="n">
        <x:f>IFERROR(I3193/H3193,"")</x:f>
        <x:v>5.24</x:v>
      </x:c>
      <x:c r="L3193" s="66" t="str">
        <x:f>IF(K3193="","","1 : "&amp;TEXT(K3193,"0.0"))</x:f>
        <x:v>1 : 5.2</x:v>
      </x:c>
      <x:c r="M3193" s="66" t="str">
        <x:f>IF(J3193="","Baru/Tanpa Data",IF(J3193&lt;='Catatan &amp; Sumber'!$B$14,"Sangat Ketat",IF(J3193&lt;='Catatan &amp; Sumber'!$B$15,"Ketat",IF(J3193&lt;='Catatan &amp; Sumber'!$B$16,"Sedang","Relatif Longgar"))))</x:f>
        <x:v>Relatif Longgar</x:v>
      </x:c>
      <x:c r="N3193" s="66" t="str">
        <x:v>Tidak Ada</x:v>
      </x:c>
      <x:c r="O3193" s="66" t="str">
        <x:v>Jawa Barat</x:v>
      </x:c>
      <x:c r="P3193" s="66" t="str">
        <x:v>Kota Bandung</x:v>
      </x:c>
      <x:c r="Q3193" s="66" t="str">
        <x:v>https://snpmb.id/snbp/daya-tampung-snbp</x:v>
      </x:c>
      <x:c r="R3193" s="66" t="str">
        <x:v>https://sidatagrun-public-1076756628210.asia-southeast2.run.app/ptn_sn.php?ptn=432</x:v>
      </x:c>
    </x:row>
    <x:row r="3194">
      <x:c r="A3194" s="87" t="n">
        <x:v>3542</x:v>
      </x:c>
      <x:c r="B3194" s="66" t="n">
        <x:v>433</x:v>
      </x:c>
      <x:c r="C3194" s="66" t="str">
        <x:v>POLITEKNIK NEGERI INDRAMAYU</x:v>
      </x:c>
      <x:c r="D3194" s="66" t="str">
        <x:v>PTN Vokasi</x:v>
      </x:c>
      <x:c r="E3194" s="66" t="str">
        <x:v>24332001</x:v>
      </x:c>
      <x:c r="F3194" s="66" t="str">
        <x:v>PERANCANGAN MANUFAKTUR</x:v>
      </x:c>
      <x:c r="G3194" s="66" t="str">
        <x:v>Sarjana Terapan</x:v>
      </x:c>
      <x:c r="H3194" s="87" t="n">
        <x:v>60</x:v>
      </x:c>
      <x:c r="I3194" s="87" t="n">
        <x:v>134</x:v>
      </x:c>
      <x:c r="J3194" s="68" t="n">
        <x:f>IFERROR(H3194/I3194,"")</x:f>
        <x:v>0.44776119402985076</x:v>
      </x:c>
      <x:c r="K3194" s="69" t="n">
        <x:f>IFERROR(I3194/H3194,"")</x:f>
        <x:v>2.2333333333333334</x:v>
      </x:c>
      <x:c r="L3194" s="66" t="str">
        <x:f>IF(K3194="","","1 : "&amp;TEXT(K3194,"0.0"))</x:f>
        <x:v>1 : 2.2</x:v>
      </x:c>
      <x:c r="M3194" s="66" t="str">
        <x:f>IF(J3194="","Baru/Tanpa Data",IF(J3194&lt;='Catatan &amp; Sumber'!$B$14,"Sangat Ketat",IF(J3194&lt;='Catatan &amp; Sumber'!$B$15,"Ketat",IF(J3194&lt;='Catatan &amp; Sumber'!$B$16,"Sedang","Relatif Longgar"))))</x:f>
        <x:v>Relatif Longgar</x:v>
      </x:c>
      <x:c r="N3194" s="66" t="str">
        <x:v>Tidak Ada</x:v>
      </x:c>
      <x:c r="O3194" s="66" t="str">
        <x:v>Jawa Barat</x:v>
      </x:c>
      <x:c r="P3194" s="66" t="str">
        <x:v>Kabupaten Indramayu</x:v>
      </x:c>
      <x:c r="Q3194" s="66" t="str">
        <x:v>https://snpmb.id/snbp/daya-tampung-snbp</x:v>
      </x:c>
      <x:c r="R3194" s="66" t="str">
        <x:v>https://sidatagrun-public-1076756628210.asia-southeast2.run.app/ptn_sn.php?ptn=433</x:v>
      </x:c>
    </x:row>
    <x:row r="3195">
      <x:c r="A3195" s="87" t="n">
        <x:v>3271</x:v>
      </x:c>
      <x:c r="B3195" s="66" t="n">
        <x:v>433</x:v>
      </x:c>
      <x:c r="C3195" s="66" t="str">
        <x:v>POLITEKNIK NEGERI INDRAMAYU</x:v>
      </x:c>
      <x:c r="D3195" s="66" t="str">
        <x:v>PTN Vokasi</x:v>
      </x:c>
      <x:c r="E3195" s="66" t="str">
        <x:v>24332002</x:v>
      </x:c>
      <x:c r="F3195" s="66" t="str">
        <x:v>REKAYASA PERANGKAT LUNAK</x:v>
      </x:c>
      <x:c r="G3195" s="66" t="str">
        <x:v>Sarjana Terapan</x:v>
      </x:c>
      <x:c r="H3195" s="87" t="n">
        <x:v>60</x:v>
      </x:c>
      <x:c r="I3195" s="87" t="n">
        <x:v>165</x:v>
      </x:c>
      <x:c r="J3195" s="68" t="n">
        <x:f>IFERROR(H3195/I3195,"")</x:f>
        <x:v>0.36363636363636365</x:v>
      </x:c>
      <x:c r="K3195" s="69" t="n">
        <x:f>IFERROR(I3195/H3195,"")</x:f>
        <x:v>2.75</x:v>
      </x:c>
      <x:c r="L3195" s="66" t="str">
        <x:f>IF(K3195="","","1 : "&amp;TEXT(K3195,"0.0"))</x:f>
        <x:v>1 : 2.8</x:v>
      </x:c>
      <x:c r="M3195" s="66" t="str">
        <x:f>IF(J3195="","Baru/Tanpa Data",IF(J3195&lt;='Catatan &amp; Sumber'!$B$14,"Sangat Ketat",IF(J3195&lt;='Catatan &amp; Sumber'!$B$15,"Ketat",IF(J3195&lt;='Catatan &amp; Sumber'!$B$16,"Sedang","Relatif Longgar"))))</x:f>
        <x:v>Relatif Longgar</x:v>
      </x:c>
      <x:c r="N3195" s="66" t="str">
        <x:v>Tidak Ada</x:v>
      </x:c>
      <x:c r="O3195" s="66" t="str">
        <x:v>Jawa Barat</x:v>
      </x:c>
      <x:c r="P3195" s="66" t="str">
        <x:v>Kabupaten Indramayu</x:v>
      </x:c>
      <x:c r="Q3195" s="66" t="str">
        <x:v>https://snpmb.id/snbp/daya-tampung-snbp</x:v>
      </x:c>
      <x:c r="R3195" s="66" t="str">
        <x:v>https://sidatagrun-public-1076756628210.asia-southeast2.run.app/ptn_sn.php?ptn=433</x:v>
      </x:c>
    </x:row>
    <x:row r="3196">
      <x:c r="A3196" s="87" t="n">
        <x:v>3388</x:v>
      </x:c>
      <x:c r="B3196" s="66" t="n">
        <x:v>433</x:v>
      </x:c>
      <x:c r="C3196" s="66" t="str">
        <x:v>POLITEKNIK NEGERI INDRAMAYU</x:v>
      </x:c>
      <x:c r="D3196" s="66" t="str">
        <x:v>PTN Vokasi</x:v>
      </x:c>
      <x:c r="E3196" s="66" t="str">
        <x:v>24332007</x:v>
      </x:c>
      <x:c r="F3196" s="66" t="str">
        <x:v>SISTEM INFORMASI KOTA CERDAS</x:v>
      </x:c>
      <x:c r="G3196" s="66" t="str">
        <x:v>Sarjana Terapan</x:v>
      </x:c>
      <x:c r="H3196" s="87" t="n">
        <x:v>60</x:v>
      </x:c>
      <x:c r="I3196" s="87" t="n">
        <x:v>151</x:v>
      </x:c>
      <x:c r="J3196" s="68" t="n">
        <x:f>IFERROR(H3196/I3196,"")</x:f>
        <x:v>0.3973509933774834</x:v>
      </x:c>
      <x:c r="K3196" s="69" t="n">
        <x:f>IFERROR(I3196/H3196,"")</x:f>
        <x:v>2.5166666666666666</x:v>
      </x:c>
      <x:c r="L3196" s="66" t="str">
        <x:f>IF(K3196="","","1 : "&amp;TEXT(K3196,"0.0"))</x:f>
        <x:v>1 : 2.5</x:v>
      </x:c>
      <x:c r="M3196" s="66" t="str">
        <x:f>IF(J3196="","Baru/Tanpa Data",IF(J3196&lt;='Catatan &amp; Sumber'!$B$14,"Sangat Ketat",IF(J3196&lt;='Catatan &amp; Sumber'!$B$15,"Ketat",IF(J3196&lt;='Catatan &amp; Sumber'!$B$16,"Sedang","Relatif Longgar"))))</x:f>
        <x:v>Relatif Longgar</x:v>
      </x:c>
      <x:c r="N3196" s="66" t="str">
        <x:v>Tidak Ada</x:v>
      </x:c>
      <x:c r="O3196" s="66" t="str">
        <x:v>Jawa Barat</x:v>
      </x:c>
      <x:c r="P3196" s="66" t="str">
        <x:v>Kabupaten Indramayu</x:v>
      </x:c>
      <x:c r="Q3196" s="66" t="str">
        <x:v>https://snpmb.id/snbp/daya-tampung-snbp</x:v>
      </x:c>
      <x:c r="R3196" s="66" t="str">
        <x:v>https://sidatagrun-public-1076756628210.asia-southeast2.run.app/ptn_sn.php?ptn=433</x:v>
      </x:c>
    </x:row>
    <x:row r="3197">
      <x:c r="A3197" s="87" t="n">
        <x:v>4018</x:v>
      </x:c>
      <x:c r="B3197" s="66" t="n">
        <x:v>433</x:v>
      </x:c>
      <x:c r="C3197" s="66" t="str">
        <x:v>POLITEKNIK NEGERI INDRAMAYU</x:v>
      </x:c>
      <x:c r="D3197" s="66" t="str">
        <x:v>PTN Vokasi</x:v>
      </x:c>
      <x:c r="E3197" s="66" t="str">
        <x:v>24332008</x:v>
      </x:c>
      <x:c r="F3197" s="66" t="str">
        <x:v>TEKNOLOGI REKAYASA INSTRUMENTASI DAN KONTROL</x:v>
      </x:c>
      <x:c r="G3197" s="66" t="str">
        <x:v>Sarjana Terapan</x:v>
      </x:c>
      <x:c r="H3197" s="87" t="n">
        <x:v>60</x:v>
      </x:c>
      <x:c r="I3197" s="87" t="n">
        <x:v>86</x:v>
      </x:c>
      <x:c r="J3197" s="68" t="n">
        <x:f>IFERROR(H3197/I3197,"")</x:f>
        <x:v>0.6976744186046512</x:v>
      </x:c>
      <x:c r="K3197" s="69" t="n">
        <x:f>IFERROR(I3197/H3197,"")</x:f>
        <x:v>1.4333333333333333</x:v>
      </x:c>
      <x:c r="L3197" s="66" t="str">
        <x:f>IF(K3197="","","1 : "&amp;TEXT(K3197,"0.0"))</x:f>
        <x:v>1 : 1.4</x:v>
      </x:c>
      <x:c r="M3197" s="66" t="str">
        <x:f>IF(J3197="","Baru/Tanpa Data",IF(J3197&lt;='Catatan &amp; Sumber'!$B$14,"Sangat Ketat",IF(J3197&lt;='Catatan &amp; Sumber'!$B$15,"Ketat",IF(J3197&lt;='Catatan &amp; Sumber'!$B$16,"Sedang","Relatif Longgar"))))</x:f>
        <x:v>Relatif Longgar</x:v>
      </x:c>
      <x:c r="N3197" s="66" t="str">
        <x:v>Tidak Ada</x:v>
      </x:c>
      <x:c r="O3197" s="66" t="str">
        <x:v>Jawa Barat</x:v>
      </x:c>
      <x:c r="P3197" s="66" t="str">
        <x:v>Kabupaten Indramayu</x:v>
      </x:c>
      <x:c r="Q3197" s="66" t="str">
        <x:v>https://snpmb.id/snbp/daya-tampung-snbp</x:v>
      </x:c>
      <x:c r="R3197" s="66" t="str">
        <x:v>https://sidatagrun-public-1076756628210.asia-southeast2.run.app/ptn_sn.php?ptn=433</x:v>
      </x:c>
    </x:row>
    <x:row r="3198">
      <x:c r="A3198" s="87"/>
      <x:c r="B3198" s="66" t="n">
        <x:v>433</x:v>
      </x:c>
      <x:c r="C3198" s="66" t="str">
        <x:v>POLITEKNIK NEGERI INDRAMAYU</x:v>
      </x:c>
      <x:c r="D3198" s="66" t="str">
        <x:v>PTN Vokasi</x:v>
      </x:c>
      <x:c r="E3198" s="66" t="str">
        <x:v>24332009</x:v>
      </x:c>
      <x:c r="F3198" s="66" t="str">
        <x:v>TEKNOLOGI REKAYASA KOMPUTER</x:v>
      </x:c>
      <x:c r="G3198" s="66" t="str">
        <x:v>Sarjana Terapan</x:v>
      </x:c>
      <x:c r="H3198" s="87" t="n">
        <x:v>15</x:v>
      </x:c>
      <x:c r="I3198" s="87"/>
      <x:c r="J3198" s="68" t="str">
        <x:f>IFERROR(H3198/I3198,"")</x:f>
      </x:c>
      <x:c r="K3198" s="69" t="n">
        <x:f>IFERROR(I3198/H3198,"")</x:f>
        <x:v>0</x:v>
      </x:c>
      <x:c r="L3198" s="66" t="str">
        <x:f>IF(K3198="","","1 : "&amp;TEXT(K3198,"0.0"))</x:f>
      </x:c>
      <x:c r="M3198" s="66" t="str">
        <x:f>IF(J3198="","Baru/Tanpa Data",IF(J3198&lt;='Catatan &amp; Sumber'!$B$14,"Sangat Ketat",IF(J3198&lt;='Catatan &amp; Sumber'!$B$15,"Ketat",IF(J3198&lt;='Catatan &amp; Sumber'!$B$16,"Sedang","Relatif Longgar"))))</x:f>
        <x:v>Baru/Tanpa Data</x:v>
      </x:c>
      <x:c r="N3198" s="66" t="str">
        <x:v>Tidak Ada</x:v>
      </x:c>
      <x:c r="O3198" s="66" t="str">
        <x:v>Jawa Barat</x:v>
      </x:c>
      <x:c r="P3198" s="66" t="str">
        <x:v>Kabupaten Indramayu</x:v>
      </x:c>
      <x:c r="Q3198" s="66" t="str">
        <x:v>https://snpmb.id/snbp/daya-tampung-snbp</x:v>
      </x:c>
      <x:c r="R3198" s="66" t="str">
        <x:v>https://sidatagrun-public-1076756628210.asia-southeast2.run.app/ptn_sn.php?ptn=433</x:v>
      </x:c>
    </x:row>
    <x:row r="3199">
      <x:c r="A3199" s="87"/>
      <x:c r="B3199" s="66" t="n">
        <x:v>433</x:v>
      </x:c>
      <x:c r="C3199" s="66" t="str">
        <x:v>POLITEKNIK NEGERI INDRAMAYU</x:v>
      </x:c>
      <x:c r="D3199" s="66" t="str">
        <x:v>PTN Vokasi</x:v>
      </x:c>
      <x:c r="E3199" s="66" t="str">
        <x:v>24332010</x:v>
      </x:c>
      <x:c r="F3199" s="66" t="str">
        <x:v>TEKNOLOGI LABORATORIUM MEDIS</x:v>
      </x:c>
      <x:c r="G3199" s="66" t="str">
        <x:v>Sarjana Terapan</x:v>
      </x:c>
      <x:c r="H3199" s="87" t="n">
        <x:v>30</x:v>
      </x:c>
      <x:c r="I3199" s="87"/>
      <x:c r="J3199" s="68" t="str">
        <x:f>IFERROR(H3199/I3199,"")</x:f>
      </x:c>
      <x:c r="K3199" s="69" t="n">
        <x:f>IFERROR(I3199/H3199,"")</x:f>
        <x:v>0</x:v>
      </x:c>
      <x:c r="L3199" s="66" t="str">
        <x:f>IF(K3199="","","1 : "&amp;TEXT(K3199,"0.0"))</x:f>
      </x:c>
      <x:c r="M3199" s="66" t="str">
        <x:f>IF(J3199="","Baru/Tanpa Data",IF(J3199&lt;='Catatan &amp; Sumber'!$B$14,"Sangat Ketat",IF(J3199&lt;='Catatan &amp; Sumber'!$B$15,"Ketat",IF(J3199&lt;='Catatan &amp; Sumber'!$B$16,"Sedang","Relatif Longgar"))))</x:f>
        <x:v>Baru/Tanpa Data</x:v>
      </x:c>
      <x:c r="N3199" s="66" t="str">
        <x:v>Tidak Ada</x:v>
      </x:c>
      <x:c r="O3199" s="66" t="str">
        <x:v>Jawa Barat</x:v>
      </x:c>
      <x:c r="P3199" s="66" t="str">
        <x:v>Kabupaten Indramayu</x:v>
      </x:c>
      <x:c r="Q3199" s="66" t="str">
        <x:v>https://snpmb.id/snbp/daya-tampung-snbp</x:v>
      </x:c>
      <x:c r="R3199" s="66" t="str">
        <x:v>https://sidatagrun-public-1076756628210.asia-southeast2.run.app/ptn_sn.php?ptn=433</x:v>
      </x:c>
    </x:row>
    <x:row r="3200">
      <x:c r="A3200" s="87"/>
      <x:c r="B3200" s="66" t="n">
        <x:v>433</x:v>
      </x:c>
      <x:c r="C3200" s="66" t="str">
        <x:v>POLITEKNIK NEGERI INDRAMAYU</x:v>
      </x:c>
      <x:c r="D3200" s="66" t="str">
        <x:v>PTN Vokasi</x:v>
      </x:c>
      <x:c r="E3200" s="66" t="str">
        <x:v>24332011</x:v>
      </x:c>
      <x:c r="F3200" s="66" t="str">
        <x:v>TEKNOLOGI REKAYASA ELEKTRO-MEDIS</x:v>
      </x:c>
      <x:c r="G3200" s="66" t="str">
        <x:v>Sarjana Terapan</x:v>
      </x:c>
      <x:c r="H3200" s="87" t="n">
        <x:v>30</x:v>
      </x:c>
      <x:c r="I3200" s="87"/>
      <x:c r="J3200" s="68" t="str">
        <x:f>IFERROR(H3200/I3200,"")</x:f>
      </x:c>
      <x:c r="K3200" s="69" t="n">
        <x:f>IFERROR(I3200/H3200,"")</x:f>
        <x:v>0</x:v>
      </x:c>
      <x:c r="L3200" s="66" t="str">
        <x:f>IF(K3200="","","1 : "&amp;TEXT(K3200,"0.0"))</x:f>
      </x:c>
      <x:c r="M3200" s="66" t="str">
        <x:f>IF(J3200="","Baru/Tanpa Data",IF(J3200&lt;='Catatan &amp; Sumber'!$B$14,"Sangat Ketat",IF(J3200&lt;='Catatan &amp; Sumber'!$B$15,"Ketat",IF(J3200&lt;='Catatan &amp; Sumber'!$B$16,"Sedang","Relatif Longgar"))))</x:f>
        <x:v>Baru/Tanpa Data</x:v>
      </x:c>
      <x:c r="N3200" s="66" t="str">
        <x:v>Tidak Ada</x:v>
      </x:c>
      <x:c r="O3200" s="66" t="str">
        <x:v>Jawa Barat</x:v>
      </x:c>
      <x:c r="P3200" s="66" t="str">
        <x:v>Kabupaten Indramayu</x:v>
      </x:c>
      <x:c r="Q3200" s="66" t="str">
        <x:v>https://snpmb.id/snbp/daya-tampung-snbp</x:v>
      </x:c>
      <x:c r="R3200" s="66" t="str">
        <x:v>https://sidatagrun-public-1076756628210.asia-southeast2.run.app/ptn_sn.php?ptn=433</x:v>
      </x:c>
    </x:row>
    <x:row r="3201">
      <x:c r="A3201" s="87"/>
      <x:c r="B3201" s="66" t="n">
        <x:v>433</x:v>
      </x:c>
      <x:c r="C3201" s="66" t="str">
        <x:v>POLITEKNIK NEGERI INDRAMAYU</x:v>
      </x:c>
      <x:c r="D3201" s="66" t="str">
        <x:v>PTN Vokasi</x:v>
      </x:c>
      <x:c r="E3201" s="66" t="str">
        <x:v>24332012</x:v>
      </x:c>
      <x:c r="F3201" s="66" t="str">
        <x:v>TEKNOLOGI REKAYASA MATERIAL MAJU</x:v>
      </x:c>
      <x:c r="G3201" s="66" t="str">
        <x:v>Sarjana Terapan</x:v>
      </x:c>
      <x:c r="H3201" s="87" t="n">
        <x:v>15</x:v>
      </x:c>
      <x:c r="I3201" s="87"/>
      <x:c r="J3201" s="68" t="str">
        <x:f>IFERROR(H3201/I3201,"")</x:f>
      </x:c>
      <x:c r="K3201" s="69" t="n">
        <x:f>IFERROR(I3201/H3201,"")</x:f>
        <x:v>0</x:v>
      </x:c>
      <x:c r="L3201" s="66" t="str">
        <x:f>IF(K3201="","","1 : "&amp;TEXT(K3201,"0.0"))</x:f>
      </x:c>
      <x:c r="M3201" s="66" t="str">
        <x:f>IF(J3201="","Baru/Tanpa Data",IF(J3201&lt;='Catatan &amp; Sumber'!$B$14,"Sangat Ketat",IF(J3201&lt;='Catatan &amp; Sumber'!$B$15,"Ketat",IF(J3201&lt;='Catatan &amp; Sumber'!$B$16,"Sedang","Relatif Longgar"))))</x:f>
        <x:v>Baru/Tanpa Data</x:v>
      </x:c>
      <x:c r="N3201" s="66" t="str">
        <x:v>Tidak Ada</x:v>
      </x:c>
      <x:c r="O3201" s="66" t="str">
        <x:v>Jawa Barat</x:v>
      </x:c>
      <x:c r="P3201" s="66" t="str">
        <x:v>Kabupaten Indramayu</x:v>
      </x:c>
      <x:c r="Q3201" s="66" t="str">
        <x:v>https://snpmb.id/snbp/daya-tampung-snbp</x:v>
      </x:c>
      <x:c r="R3201" s="66" t="str">
        <x:v>https://sidatagrun-public-1076756628210.asia-southeast2.run.app/ptn_sn.php?ptn=433</x:v>
      </x:c>
    </x:row>
    <x:row r="3202">
      <x:c r="A3202" s="87" t="n">
        <x:v>2448</x:v>
      </x:c>
      <x:c r="B3202" s="66" t="n">
        <x:v>433</x:v>
      </x:c>
      <x:c r="C3202" s="66" t="str">
        <x:v>POLITEKNIK NEGERI INDRAMAYU</x:v>
      </x:c>
      <x:c r="D3202" s="66" t="str">
        <x:v>PTN Vokasi</x:v>
      </x:c>
      <x:c r="E3202" s="66" t="str">
        <x:v>24333003</x:v>
      </x:c>
      <x:c r="F3202" s="66" t="str">
        <x:v>KEPERAWATAN</x:v>
      </x:c>
      <x:c r="G3202" s="66" t="str">
        <x:v>Diploma Tiga</x:v>
      </x:c>
      <x:c r="H3202" s="87" t="n">
        <x:v>60</x:v>
      </x:c>
      <x:c r="I3202" s="87" t="n">
        <x:v>297</x:v>
      </x:c>
      <x:c r="J3202" s="68" t="n">
        <x:f>IFERROR(H3202/I3202,"")</x:f>
        <x:v>0.20202020202020202</x:v>
      </x:c>
      <x:c r="K3202" s="69" t="n">
        <x:f>IFERROR(I3202/H3202,"")</x:f>
        <x:v>4.95</x:v>
      </x:c>
      <x:c r="L3202" s="66" t="str">
        <x:f>IF(K3202="","","1 : "&amp;TEXT(K3202,"0.0"))</x:f>
        <x:v>1 : 5.0</x:v>
      </x:c>
      <x:c r="M3202" s="66" t="str">
        <x:f>IF(J3202="","Baru/Tanpa Data",IF(J3202&lt;='Catatan &amp; Sumber'!$B$14,"Sangat Ketat",IF(J3202&lt;='Catatan &amp; Sumber'!$B$15,"Ketat",IF(J3202&lt;='Catatan &amp; Sumber'!$B$16,"Sedang","Relatif Longgar"))))</x:f>
        <x:v>Relatif Longgar</x:v>
      </x:c>
      <x:c r="N3202" s="66" t="str">
        <x:v>Tidak Ada</x:v>
      </x:c>
      <x:c r="O3202" s="66" t="str">
        <x:v>Jawa Barat</x:v>
      </x:c>
      <x:c r="P3202" s="66" t="str">
        <x:v>Kabupaten Indramayu</x:v>
      </x:c>
      <x:c r="Q3202" s="66" t="str">
        <x:v>https://snpmb.id/snbp/daya-tampung-snbp</x:v>
      </x:c>
      <x:c r="R3202" s="66" t="str">
        <x:v>https://sidatagrun-public-1076756628210.asia-southeast2.run.app/ptn_sn.php?ptn=433</x:v>
      </x:c>
    </x:row>
    <x:row r="3203">
      <x:c r="A3203" s="87" t="n">
        <x:v>3326</x:v>
      </x:c>
      <x:c r="B3203" s="66" t="n">
        <x:v>433</x:v>
      </x:c>
      <x:c r="C3203" s="66" t="str">
        <x:v>POLITEKNIK NEGERI INDRAMAYU</x:v>
      </x:c>
      <x:c r="D3203" s="66" t="str">
        <x:v>PTN Vokasi</x:v>
      </x:c>
      <x:c r="E3203" s="66" t="str">
        <x:v>24333004</x:v>
      </x:c>
      <x:c r="F3203" s="66" t="str">
        <x:v>TEKNIK MESIN</x:v>
      </x:c>
      <x:c r="G3203" s="66" t="str">
        <x:v>Diploma Tiga</x:v>
      </x:c>
      <x:c r="H3203" s="87" t="n">
        <x:v>60</x:v>
      </x:c>
      <x:c r="I3203" s="87" t="n">
        <x:v>158</x:v>
      </x:c>
      <x:c r="J3203" s="68" t="n">
        <x:f>IFERROR(H3203/I3203,"")</x:f>
        <x:v>0.379746835443038</x:v>
      </x:c>
      <x:c r="K3203" s="69" t="n">
        <x:f>IFERROR(I3203/H3203,"")</x:f>
        <x:v>2.6333333333333333</x:v>
      </x:c>
      <x:c r="L3203" s="66" t="str">
        <x:f>IF(K3203="","","1 : "&amp;TEXT(K3203,"0.0"))</x:f>
        <x:v>1 : 2.6</x:v>
      </x:c>
      <x:c r="M3203" s="66" t="str">
        <x:f>IF(J3203="","Baru/Tanpa Data",IF(J3203&lt;='Catatan &amp; Sumber'!$B$14,"Sangat Ketat",IF(J3203&lt;='Catatan &amp; Sumber'!$B$15,"Ketat",IF(J3203&lt;='Catatan &amp; Sumber'!$B$16,"Sedang","Relatif Longgar"))))</x:f>
        <x:v>Relatif Longgar</x:v>
      </x:c>
      <x:c r="N3203" s="66" t="str">
        <x:v>Tidak Ada</x:v>
      </x:c>
      <x:c r="O3203" s="66" t="str">
        <x:v>Jawa Barat</x:v>
      </x:c>
      <x:c r="P3203" s="66" t="str">
        <x:v>Kabupaten Indramayu</x:v>
      </x:c>
      <x:c r="Q3203" s="66" t="str">
        <x:v>https://snpmb.id/snbp/daya-tampung-snbp</x:v>
      </x:c>
      <x:c r="R3203" s="66" t="str">
        <x:v>https://sidatagrun-public-1076756628210.asia-southeast2.run.app/ptn_sn.php?ptn=433</x:v>
      </x:c>
    </x:row>
    <x:row r="3204">
      <x:c r="A3204" s="87" t="n">
        <x:v>2944</x:v>
      </x:c>
      <x:c r="B3204" s="66" t="n">
        <x:v>433</x:v>
      </x:c>
      <x:c r="C3204" s="66" t="str">
        <x:v>POLITEKNIK NEGERI INDRAMAYU</x:v>
      </x:c>
      <x:c r="D3204" s="66" t="str">
        <x:v>PTN Vokasi</x:v>
      </x:c>
      <x:c r="E3204" s="66" t="str">
        <x:v>24333005</x:v>
      </x:c>
      <x:c r="F3204" s="66" t="str">
        <x:v>TEKNIK INFORMATIKA</x:v>
      </x:c>
      <x:c r="G3204" s="66" t="str">
        <x:v>Diploma Tiga</x:v>
      </x:c>
      <x:c r="H3204" s="87" t="n">
        <x:v>60</x:v>
      </x:c>
      <x:c r="I3204" s="87" t="n">
        <x:v>212</x:v>
      </x:c>
      <x:c r="J3204" s="68" t="n">
        <x:f>IFERROR(H3204/I3204,"")</x:f>
        <x:v>0.2830188679245283</x:v>
      </x:c>
      <x:c r="K3204" s="69" t="n">
        <x:f>IFERROR(I3204/H3204,"")</x:f>
        <x:v>3.533333333333333</x:v>
      </x:c>
      <x:c r="L3204" s="66" t="str">
        <x:f>IF(K3204="","","1 : "&amp;TEXT(K3204,"0.0"))</x:f>
        <x:v>1 : 3.5</x:v>
      </x:c>
      <x:c r="M3204" s="66" t="str">
        <x:f>IF(J3204="","Baru/Tanpa Data",IF(J3204&lt;='Catatan &amp; Sumber'!$B$14,"Sangat Ketat",IF(J3204&lt;='Catatan &amp; Sumber'!$B$15,"Ketat",IF(J3204&lt;='Catatan &amp; Sumber'!$B$16,"Sedang","Relatif Longgar"))))</x:f>
        <x:v>Relatif Longgar</x:v>
      </x:c>
      <x:c r="N3204" s="66" t="str">
        <x:v>Tidak Ada</x:v>
      </x:c>
      <x:c r="O3204" s="66" t="str">
        <x:v>Jawa Barat</x:v>
      </x:c>
      <x:c r="P3204" s="66" t="str">
        <x:v>Kabupaten Indramayu</x:v>
      </x:c>
      <x:c r="Q3204" s="66" t="str">
        <x:v>https://snpmb.id/snbp/daya-tampung-snbp</x:v>
      </x:c>
      <x:c r="R3204" s="66" t="str">
        <x:v>https://sidatagrun-public-1076756628210.asia-southeast2.run.app/ptn_sn.php?ptn=433</x:v>
      </x:c>
    </x:row>
    <x:row r="3205">
      <x:c r="A3205" s="87" t="n">
        <x:v>3922</x:v>
      </x:c>
      <x:c r="B3205" s="66" t="n">
        <x:v>433</x:v>
      </x:c>
      <x:c r="C3205" s="66" t="str">
        <x:v>POLITEKNIK NEGERI INDRAMAYU</x:v>
      </x:c>
      <x:c r="D3205" s="66" t="str">
        <x:v>PTN Vokasi</x:v>
      </x:c>
      <x:c r="E3205" s="66" t="str">
        <x:v>24333006</x:v>
      </x:c>
      <x:c r="F3205" s="66" t="str">
        <x:v>TEKNIK PENDINGIN DAN TATA UDARA</x:v>
      </x:c>
      <x:c r="G3205" s="66" t="str">
        <x:v>Diploma Tiga</x:v>
      </x:c>
      <x:c r="H3205" s="87" t="n">
        <x:v>60</x:v>
      </x:c>
      <x:c r="I3205" s="87" t="n">
        <x:v>94</x:v>
      </x:c>
      <x:c r="J3205" s="68" t="n">
        <x:f>IFERROR(H3205/I3205,"")</x:f>
        <x:v>0.6382978723404256</x:v>
      </x:c>
      <x:c r="K3205" s="69" t="n">
        <x:f>IFERROR(I3205/H3205,"")</x:f>
        <x:v>1.5666666666666667</x:v>
      </x:c>
      <x:c r="L3205" s="66" t="str">
        <x:f>IF(K3205="","","1 : "&amp;TEXT(K3205,"0.0"))</x:f>
        <x:v>1 : 1.6</x:v>
      </x:c>
      <x:c r="M3205" s="66" t="str">
        <x:f>IF(J3205="","Baru/Tanpa Data",IF(J3205&lt;='Catatan &amp; Sumber'!$B$14,"Sangat Ketat",IF(J3205&lt;='Catatan &amp; Sumber'!$B$15,"Ketat",IF(J3205&lt;='Catatan &amp; Sumber'!$B$16,"Sedang","Relatif Longgar"))))</x:f>
        <x:v>Relatif Longgar</x:v>
      </x:c>
      <x:c r="N3205" s="66" t="str">
        <x:v>Tidak Ada</x:v>
      </x:c>
      <x:c r="O3205" s="66" t="str">
        <x:v>Jawa Barat</x:v>
      </x:c>
      <x:c r="P3205" s="66" t="str">
        <x:v>Kabupaten Indramayu</x:v>
      </x:c>
      <x:c r="Q3205" s="66" t="str">
        <x:v>https://snpmb.id/snbp/daya-tampung-snbp</x:v>
      </x:c>
      <x:c r="R3205" s="66" t="str">
        <x:v>https://sidatagrun-public-1076756628210.asia-southeast2.run.app/ptn_sn.php?ptn=433</x:v>
      </x:c>
    </x:row>
    <x:row r="3206">
      <x:c r="A3206" s="87" t="n">
        <x:v>3202</x:v>
      </x:c>
      <x:c r="B3206" s="66" t="n">
        <x:v>434</x:v>
      </x:c>
      <x:c r="C3206" s="66" t="str">
        <x:v>POLITEKNIK NEGERI SUBANG</x:v>
      </x:c>
      <x:c r="D3206" s="66" t="str">
        <x:v>PTN Vokasi</x:v>
      </x:c>
      <x:c r="E3206" s="66" t="str">
        <x:v>24342005</x:v>
      </x:c>
      <x:c r="F3206" s="66" t="str">
        <x:v>TEKNOLOGI REKAYASA PERANGKAT LUNAK</x:v>
      </x:c>
      <x:c r="G3206" s="66" t="str">
        <x:v>Sarjana Terapan</x:v>
      </x:c>
      <x:c r="H3206" s="87" t="n">
        <x:v>38</x:v>
      </x:c>
      <x:c r="I3206" s="87" t="n">
        <x:v>111</x:v>
      </x:c>
      <x:c r="J3206" s="68" t="n">
        <x:f>IFERROR(H3206/I3206,"")</x:f>
        <x:v>0.34234234234234234</x:v>
      </x:c>
      <x:c r="K3206" s="69" t="n">
        <x:f>IFERROR(I3206/H3206,"")</x:f>
        <x:v>2.9210526315789473</x:v>
      </x:c>
      <x:c r="L3206" s="66" t="str">
        <x:f>IF(K3206="","","1 : "&amp;TEXT(K3206,"0.0"))</x:f>
        <x:v>1 : 2.9</x:v>
      </x:c>
      <x:c r="M3206" s="66" t="str">
        <x:f>IF(J3206="","Baru/Tanpa Data",IF(J3206&lt;='Catatan &amp; Sumber'!$B$14,"Sangat Ketat",IF(J3206&lt;='Catatan &amp; Sumber'!$B$15,"Ketat",IF(J3206&lt;='Catatan &amp; Sumber'!$B$16,"Sedang","Relatif Longgar"))))</x:f>
        <x:v>Relatif Longgar</x:v>
      </x:c>
      <x:c r="N3206" s="66" t="str">
        <x:v>Tidak Ada</x:v>
      </x:c>
      <x:c r="O3206" s="66" t="str">
        <x:v>Jawa Barat</x:v>
      </x:c>
      <x:c r="P3206" s="66" t="str">
        <x:v>Kabupaten Subang</x:v>
      </x:c>
      <x:c r="Q3206" s="66" t="str">
        <x:v>https://snpmb.id/snbp/daya-tampung-snbp</x:v>
      </x:c>
      <x:c r="R3206" s="66" t="str">
        <x:v>https://sidatagrun-public-1076756628210.asia-southeast2.run.app/ptn_sn.php?ptn=434</x:v>
      </x:c>
    </x:row>
    <x:row r="3207">
      <x:c r="A3207" s="87" t="n">
        <x:v>3023</x:v>
      </x:c>
      <x:c r="B3207" s="66" t="n">
        <x:v>434</x:v>
      </x:c>
      <x:c r="C3207" s="66" t="str">
        <x:v>POLITEKNIK NEGERI SUBANG</x:v>
      </x:c>
      <x:c r="D3207" s="66" t="str">
        <x:v>PTN Vokasi</x:v>
      </x:c>
      <x:c r="E3207" s="66" t="str">
        <x:v>24342006</x:v>
      </x:c>
      <x:c r="F3207" s="66" t="str">
        <x:v>TEKNOLOGI REKAYASA MANUFAKTUR</x:v>
      </x:c>
      <x:c r="G3207" s="66" t="str">
        <x:v>Sarjana Terapan</x:v>
      </x:c>
      <x:c r="H3207" s="87" t="n">
        <x:v>26</x:v>
      </x:c>
      <x:c r="I3207" s="87" t="n">
        <x:v>87</x:v>
      </x:c>
      <x:c r="J3207" s="68" t="n">
        <x:f>IFERROR(H3207/I3207,"")</x:f>
        <x:v>0.2988505747126437</x:v>
      </x:c>
      <x:c r="K3207" s="69" t="n">
        <x:f>IFERROR(I3207/H3207,"")</x:f>
        <x:v>3.3461538461538463</x:v>
      </x:c>
      <x:c r="L3207" s="66" t="str">
        <x:f>IF(K3207="","","1 : "&amp;TEXT(K3207,"0.0"))</x:f>
        <x:v>1 : 3.3</x:v>
      </x:c>
      <x:c r="M3207" s="66" t="str">
        <x:f>IF(J3207="","Baru/Tanpa Data",IF(J3207&lt;='Catatan &amp; Sumber'!$B$14,"Sangat Ketat",IF(J3207&lt;='Catatan &amp; Sumber'!$B$15,"Ketat",IF(J3207&lt;='Catatan &amp; Sumber'!$B$16,"Sedang","Relatif Longgar"))))</x:f>
        <x:v>Relatif Longgar</x:v>
      </x:c>
      <x:c r="N3207" s="66" t="str">
        <x:v>Tidak Ada</x:v>
      </x:c>
      <x:c r="O3207" s="66" t="str">
        <x:v>Jawa Barat</x:v>
      </x:c>
      <x:c r="P3207" s="66" t="str">
        <x:v>Kabupaten Subang</x:v>
      </x:c>
      <x:c r="Q3207" s="66" t="str">
        <x:v>https://snpmb.id/snbp/daya-tampung-snbp</x:v>
      </x:c>
      <x:c r="R3207" s="66" t="str">
        <x:v>https://sidatagrun-public-1076756628210.asia-southeast2.run.app/ptn_sn.php?ptn=434</x:v>
      </x:c>
    </x:row>
    <x:row r="3208">
      <x:c r="A3208" s="87" t="n">
        <x:v>3111</x:v>
      </x:c>
      <x:c r="B3208" s="66" t="n">
        <x:v>434</x:v>
      </x:c>
      <x:c r="C3208" s="66" t="str">
        <x:v>POLITEKNIK NEGERI SUBANG</x:v>
      </x:c>
      <x:c r="D3208" s="66" t="str">
        <x:v>PTN Vokasi</x:v>
      </x:c>
      <x:c r="E3208" s="66" t="str">
        <x:v>24342007</x:v>
      </x:c>
      <x:c r="F3208" s="66" t="str">
        <x:v>TEKNOLOGI PRODUKSI TANAMAN PANGAN</x:v>
      </x:c>
      <x:c r="G3208" s="66" t="str">
        <x:v>Sarjana Terapan</x:v>
      </x:c>
      <x:c r="H3208" s="87" t="n">
        <x:v>32</x:v>
      </x:c>
      <x:c r="I3208" s="87" t="n">
        <x:v>101</x:v>
      </x:c>
      <x:c r="J3208" s="68" t="n">
        <x:f>IFERROR(H3208/I3208,"")</x:f>
        <x:v>0.31683168316831684</x:v>
      </x:c>
      <x:c r="K3208" s="69" t="n">
        <x:f>IFERROR(I3208/H3208,"")</x:f>
        <x:v>3.15625</x:v>
      </x:c>
      <x:c r="L3208" s="66" t="str">
        <x:f>IF(K3208="","","1 : "&amp;TEXT(K3208,"0.0"))</x:f>
        <x:v>1 : 3.2</x:v>
      </x:c>
      <x:c r="M3208" s="66" t="str">
        <x:f>IF(J3208="","Baru/Tanpa Data",IF(J3208&lt;='Catatan &amp; Sumber'!$B$14,"Sangat Ketat",IF(J3208&lt;='Catatan &amp; Sumber'!$B$15,"Ketat",IF(J3208&lt;='Catatan &amp; Sumber'!$B$16,"Sedang","Relatif Longgar"))))</x:f>
        <x:v>Relatif Longgar</x:v>
      </x:c>
      <x:c r="N3208" s="66" t="str">
        <x:v>Tidak Ada</x:v>
      </x:c>
      <x:c r="O3208" s="66" t="str">
        <x:v>Jawa Barat</x:v>
      </x:c>
      <x:c r="P3208" s="66" t="str">
        <x:v>Kabupaten Subang</x:v>
      </x:c>
      <x:c r="Q3208" s="66" t="str">
        <x:v>https://snpmb.id/snbp/daya-tampung-snbp</x:v>
      </x:c>
      <x:c r="R3208" s="66" t="str">
        <x:v>https://sidatagrun-public-1076756628210.asia-southeast2.run.app/ptn_sn.php?ptn=434</x:v>
      </x:c>
    </x:row>
    <x:row r="3209">
      <x:c r="A3209" s="87"/>
      <x:c r="B3209" s="66" t="n">
        <x:v>434</x:v>
      </x:c>
      <x:c r="C3209" s="66" t="str">
        <x:v>POLITEKNIK NEGERI SUBANG</x:v>
      </x:c>
      <x:c r="D3209" s="66" t="str">
        <x:v>PTN Vokasi</x:v>
      </x:c>
      <x:c r="E3209" s="66" t="str">
        <x:v>24342008</x:v>
      </x:c>
      <x:c r="F3209" s="66" t="str">
        <x:v>PENGELOLAAN AGRIBISNIS</x:v>
      </x:c>
      <x:c r="G3209" s="66" t="str">
        <x:v>Sarjana Terapan</x:v>
      </x:c>
      <x:c r="H3209" s="87" t="n">
        <x:v>16</x:v>
      </x:c>
      <x:c r="I3209" s="87"/>
      <x:c r="J3209" s="68" t="str">
        <x:f>IFERROR(H3209/I3209,"")</x:f>
      </x:c>
      <x:c r="K3209" s="69" t="n">
        <x:f>IFERROR(I3209/H3209,"")</x:f>
        <x:v>0</x:v>
      </x:c>
      <x:c r="L3209" s="66" t="str">
        <x:f>IF(K3209="","","1 : "&amp;TEXT(K3209,"0.0"))</x:f>
      </x:c>
      <x:c r="M3209" s="66" t="str">
        <x:f>IF(J3209="","Baru/Tanpa Data",IF(J3209&lt;='Catatan &amp; Sumber'!$B$14,"Sangat Ketat",IF(J3209&lt;='Catatan &amp; Sumber'!$B$15,"Ketat",IF(J3209&lt;='Catatan &amp; Sumber'!$B$16,"Sedang","Relatif Longgar"))))</x:f>
        <x:v>Baru/Tanpa Data</x:v>
      </x:c>
      <x:c r="N3209" s="66" t="str">
        <x:v>Tidak Ada</x:v>
      </x:c>
      <x:c r="O3209" s="66" t="str">
        <x:v>Jawa Barat</x:v>
      </x:c>
      <x:c r="P3209" s="66" t="str">
        <x:v>Kabupaten Subang</x:v>
      </x:c>
      <x:c r="Q3209" s="66" t="str">
        <x:v>https://snpmb.id/snbp/daya-tampung-snbp</x:v>
      </x:c>
      <x:c r="R3209" s="66" t="str">
        <x:v>https://sidatagrun-public-1076756628210.asia-southeast2.run.app/ptn_sn.php?ptn=434</x:v>
      </x:c>
    </x:row>
    <x:row r="3210">
      <x:c r="A3210" s="87"/>
      <x:c r="B3210" s="66" t="n">
        <x:v>434</x:v>
      </x:c>
      <x:c r="C3210" s="66" t="str">
        <x:v>POLITEKNIK NEGERI SUBANG</x:v>
      </x:c>
      <x:c r="D3210" s="66" t="str">
        <x:v>PTN Vokasi</x:v>
      </x:c>
      <x:c r="E3210" s="66" t="str">
        <x:v>24342009</x:v>
      </x:c>
      <x:c r="F3210" s="66" t="str">
        <x:v>BISNIS DIGITAL</x:v>
      </x:c>
      <x:c r="G3210" s="66" t="str">
        <x:v>Sarjana Terapan</x:v>
      </x:c>
      <x:c r="H3210" s="87" t="n">
        <x:v>32</x:v>
      </x:c>
      <x:c r="I3210" s="87"/>
      <x:c r="J3210" s="68" t="str">
        <x:f>IFERROR(H3210/I3210,"")</x:f>
      </x:c>
      <x:c r="K3210" s="69" t="n">
        <x:f>IFERROR(I3210/H3210,"")</x:f>
        <x:v>0</x:v>
      </x:c>
      <x:c r="L3210" s="66" t="str">
        <x:f>IF(K3210="","","1 : "&amp;TEXT(K3210,"0.0"))</x:f>
      </x:c>
      <x:c r="M3210" s="66" t="str">
        <x:f>IF(J3210="","Baru/Tanpa Data",IF(J3210&lt;='Catatan &amp; Sumber'!$B$14,"Sangat Ketat",IF(J3210&lt;='Catatan &amp; Sumber'!$B$15,"Ketat",IF(J3210&lt;='Catatan &amp; Sumber'!$B$16,"Sedang","Relatif Longgar"))))</x:f>
        <x:v>Baru/Tanpa Data</x:v>
      </x:c>
      <x:c r="N3210" s="66" t="str">
        <x:v>Tidak Ada</x:v>
      </x:c>
      <x:c r="O3210" s="66" t="str">
        <x:v>Jawa Barat</x:v>
      </x:c>
      <x:c r="P3210" s="66" t="str">
        <x:v>Kabupaten Subang</x:v>
      </x:c>
      <x:c r="Q3210" s="66" t="str">
        <x:v>https://snpmb.id/snbp/daya-tampung-snbp</x:v>
      </x:c>
      <x:c r="R3210" s="66" t="str">
        <x:v>https://sidatagrun-public-1076756628210.asia-southeast2.run.app/ptn_sn.php?ptn=434</x:v>
      </x:c>
    </x:row>
    <x:row r="3211">
      <x:c r="A3211" s="87"/>
      <x:c r="B3211" s="66" t="n">
        <x:v>434</x:v>
      </x:c>
      <x:c r="C3211" s="66" t="str">
        <x:v>POLITEKNIK NEGERI SUBANG</x:v>
      </x:c>
      <x:c r="D3211" s="66" t="str">
        <x:v>PTN Vokasi</x:v>
      </x:c>
      <x:c r="E3211" s="66" t="str">
        <x:v>24342010</x:v>
      </x:c>
      <x:c r="F3211" s="66" t="str">
        <x:v>TEKNOLOGI REKAYASA PERANCANGAN MANUFAKTUR</x:v>
      </x:c>
      <x:c r="G3211" s="66" t="str">
        <x:v>Sarjana Terapan</x:v>
      </x:c>
      <x:c r="H3211" s="87" t="n">
        <x:v>13</x:v>
      </x:c>
      <x:c r="I3211" s="87"/>
      <x:c r="J3211" s="68" t="str">
        <x:f>IFERROR(H3211/I3211,"")</x:f>
      </x:c>
      <x:c r="K3211" s="69" t="n">
        <x:f>IFERROR(I3211/H3211,"")</x:f>
        <x:v>0</x:v>
      </x:c>
      <x:c r="L3211" s="66" t="str">
        <x:f>IF(K3211="","","1 : "&amp;TEXT(K3211,"0.0"))</x:f>
      </x:c>
      <x:c r="M3211" s="66" t="str">
        <x:f>IF(J3211="","Baru/Tanpa Data",IF(J3211&lt;='Catatan &amp; Sumber'!$B$14,"Sangat Ketat",IF(J3211&lt;='Catatan &amp; Sumber'!$B$15,"Ketat",IF(J3211&lt;='Catatan &amp; Sumber'!$B$16,"Sedang","Relatif Longgar"))))</x:f>
        <x:v>Baru/Tanpa Data</x:v>
      </x:c>
      <x:c r="N3211" s="66" t="str">
        <x:v>Tidak Ada</x:v>
      </x:c>
      <x:c r="O3211" s="66" t="str">
        <x:v>Jawa Barat</x:v>
      </x:c>
      <x:c r="P3211" s="66" t="str">
        <x:v>Kabupaten Subang</x:v>
      </x:c>
      <x:c r="Q3211" s="66" t="str">
        <x:v>https://snpmb.id/snbp/daya-tampung-snbp</x:v>
      </x:c>
      <x:c r="R3211" s="66" t="str">
        <x:v>https://sidatagrun-public-1076756628210.asia-southeast2.run.app/ptn_sn.php?ptn=434</x:v>
      </x:c>
    </x:row>
    <x:row r="3212">
      <x:c r="A3212" s="87" t="n">
        <x:v>3350</x:v>
      </x:c>
      <x:c r="B3212" s="66" t="n">
        <x:v>434</x:v>
      </x:c>
      <x:c r="C3212" s="66" t="str">
        <x:v>POLITEKNIK NEGERI SUBANG</x:v>
      </x:c>
      <x:c r="D3212" s="66" t="str">
        <x:v>PTN Vokasi</x:v>
      </x:c>
      <x:c r="E3212" s="66" t="str">
        <x:v>24343001</x:v>
      </x:c>
      <x:c r="F3212" s="66" t="str">
        <x:v>AGROINDUSTRI</x:v>
      </x:c>
      <x:c r="G3212" s="66" t="str">
        <x:v>Diploma Tiga</x:v>
      </x:c>
      <x:c r="H3212" s="87" t="n">
        <x:v>32</x:v>
      </x:c>
      <x:c r="I3212" s="87" t="n">
        <x:v>83</x:v>
      </x:c>
      <x:c r="J3212" s="68" t="n">
        <x:f>IFERROR(H3212/I3212,"")</x:f>
        <x:v>0.3855421686746988</x:v>
      </x:c>
      <x:c r="K3212" s="69" t="n">
        <x:f>IFERROR(I3212/H3212,"")</x:f>
        <x:v>2.59375</x:v>
      </x:c>
      <x:c r="L3212" s="66" t="str">
        <x:f>IF(K3212="","","1 : "&amp;TEXT(K3212,"0.0"))</x:f>
        <x:v>1 : 2.6</x:v>
      </x:c>
      <x:c r="M3212" s="66" t="str">
        <x:f>IF(J3212="","Baru/Tanpa Data",IF(J3212&lt;='Catatan &amp; Sumber'!$B$14,"Sangat Ketat",IF(J3212&lt;='Catatan &amp; Sumber'!$B$15,"Ketat",IF(J3212&lt;='Catatan &amp; Sumber'!$B$16,"Sedang","Relatif Longgar"))))</x:f>
        <x:v>Relatif Longgar</x:v>
      </x:c>
      <x:c r="N3212" s="66" t="str">
        <x:v>Tidak Ada</x:v>
      </x:c>
      <x:c r="O3212" s="66" t="str">
        <x:v>Jawa Barat</x:v>
      </x:c>
      <x:c r="P3212" s="66" t="str">
        <x:v>Kabupaten Subang</x:v>
      </x:c>
      <x:c r="Q3212" s="66" t="str">
        <x:v>https://snpmb.id/snbp/daya-tampung-snbp</x:v>
      </x:c>
      <x:c r="R3212" s="66" t="str">
        <x:v>https://sidatagrun-public-1076756628210.asia-southeast2.run.app/ptn_sn.php?ptn=434</x:v>
      </x:c>
    </x:row>
    <x:row r="3213">
      <x:c r="A3213" s="87" t="n">
        <x:v>3182</x:v>
      </x:c>
      <x:c r="B3213" s="66" t="n">
        <x:v>434</x:v>
      </x:c>
      <x:c r="C3213" s="66" t="str">
        <x:v>POLITEKNIK NEGERI SUBANG</x:v>
      </x:c>
      <x:c r="D3213" s="66" t="str">
        <x:v>PTN Vokasi</x:v>
      </x:c>
      <x:c r="E3213" s="66" t="str">
        <x:v>24343002</x:v>
      </x:c>
      <x:c r="F3213" s="66" t="str">
        <x:v>PEMELIHARAAN MESIN</x:v>
      </x:c>
      <x:c r="G3213" s="66" t="str">
        <x:v>Diploma Tiga</x:v>
      </x:c>
      <x:c r="H3213" s="87" t="n">
        <x:v>26</x:v>
      </x:c>
      <x:c r="I3213" s="87" t="n">
        <x:v>77</x:v>
      </x:c>
      <x:c r="J3213" s="68" t="n">
        <x:f>IFERROR(H3213/I3213,"")</x:f>
        <x:v>0.33766233766233766</x:v>
      </x:c>
      <x:c r="K3213" s="69" t="n">
        <x:f>IFERROR(I3213/H3213,"")</x:f>
        <x:v>2.9615384615384617</x:v>
      </x:c>
      <x:c r="L3213" s="66" t="str">
        <x:f>IF(K3213="","","1 : "&amp;TEXT(K3213,"0.0"))</x:f>
        <x:v>1 : 3.0</x:v>
      </x:c>
      <x:c r="M3213" s="66" t="str">
        <x:f>IF(J3213="","Baru/Tanpa Data",IF(J3213&lt;='Catatan &amp; Sumber'!$B$14,"Sangat Ketat",IF(J3213&lt;='Catatan &amp; Sumber'!$B$15,"Ketat",IF(J3213&lt;='Catatan &amp; Sumber'!$B$16,"Sedang","Relatif Longgar"))))</x:f>
        <x:v>Relatif Longgar</x:v>
      </x:c>
      <x:c r="N3213" s="66" t="str">
        <x:v>Tidak Ada</x:v>
      </x:c>
      <x:c r="O3213" s="66" t="str">
        <x:v>Jawa Barat</x:v>
      </x:c>
      <x:c r="P3213" s="66" t="str">
        <x:v>Kabupaten Subang</x:v>
      </x:c>
      <x:c r="Q3213" s="66" t="str">
        <x:v>https://snpmb.id/snbp/daya-tampung-snbp</x:v>
      </x:c>
      <x:c r="R3213" s="66" t="str">
        <x:v>https://sidatagrun-public-1076756628210.asia-southeast2.run.app/ptn_sn.php?ptn=434</x:v>
      </x:c>
    </x:row>
    <x:row r="3214">
      <x:c r="A3214" s="87" t="n">
        <x:v>3039</x:v>
      </x:c>
      <x:c r="B3214" s="66" t="n">
        <x:v>434</x:v>
      </x:c>
      <x:c r="C3214" s="66" t="str">
        <x:v>POLITEKNIK NEGERI SUBANG</x:v>
      </x:c>
      <x:c r="D3214" s="66" t="str">
        <x:v>PTN Vokasi</x:v>
      </x:c>
      <x:c r="E3214" s="66" t="str">
        <x:v>24343003</x:v>
      </x:c>
      <x:c r="F3214" s="66" t="str">
        <x:v>SISTEM INFORMASI</x:v>
      </x:c>
      <x:c r="G3214" s="66" t="str">
        <x:v>Diploma Tiga</x:v>
      </x:c>
      <x:c r="H3214" s="87" t="n">
        <x:v>32</x:v>
      </x:c>
      <x:c r="I3214" s="87" t="n">
        <x:v>106</x:v>
      </x:c>
      <x:c r="J3214" s="68" t="n">
        <x:f>IFERROR(H3214/I3214,"")</x:f>
        <x:v>0.3018867924528302</x:v>
      </x:c>
      <x:c r="K3214" s="69" t="n">
        <x:f>IFERROR(I3214/H3214,"")</x:f>
        <x:v>3.3125</x:v>
      </x:c>
      <x:c r="L3214" s="66" t="str">
        <x:f>IF(K3214="","","1 : "&amp;TEXT(K3214,"0.0"))</x:f>
        <x:v>1 : 3.3</x:v>
      </x:c>
      <x:c r="M3214" s="66" t="str">
        <x:f>IF(J3214="","Baru/Tanpa Data",IF(J3214&lt;='Catatan &amp; Sumber'!$B$14,"Sangat Ketat",IF(J3214&lt;='Catatan &amp; Sumber'!$B$15,"Ketat",IF(J3214&lt;='Catatan &amp; Sumber'!$B$16,"Sedang","Relatif Longgar"))))</x:f>
        <x:v>Relatif Longgar</x:v>
      </x:c>
      <x:c r="N3214" s="66" t="str">
        <x:v>Tidak Ada</x:v>
      </x:c>
      <x:c r="O3214" s="66" t="str">
        <x:v>Jawa Barat</x:v>
      </x:c>
      <x:c r="P3214" s="66" t="str">
        <x:v>Kabupaten Subang</x:v>
      </x:c>
      <x:c r="Q3214" s="66" t="str">
        <x:v>https://snpmb.id/snbp/daya-tampung-snbp</x:v>
      </x:c>
      <x:c r="R3214" s="66" t="str">
        <x:v>https://sidatagrun-public-1076756628210.asia-southeast2.run.app/ptn_sn.php?ptn=434</x:v>
      </x:c>
    </x:row>
    <x:row r="3215">
      <x:c r="A3215" s="87" t="n">
        <x:v>2472</x:v>
      </x:c>
      <x:c r="B3215" s="66" t="n">
        <x:v>434</x:v>
      </x:c>
      <x:c r="C3215" s="66" t="str">
        <x:v>POLITEKNIK NEGERI SUBANG</x:v>
      </x:c>
      <x:c r="D3215" s="66" t="str">
        <x:v>PTN Vokasi</x:v>
      </x:c>
      <x:c r="E3215" s="66" t="str">
        <x:v>24343004</x:v>
      </x:c>
      <x:c r="F3215" s="66" t="str">
        <x:v>KEPERAWATAN</x:v>
      </x:c>
      <x:c r="G3215" s="66" t="str">
        <x:v>Diploma Tiga</x:v>
      </x:c>
      <x:c r="H3215" s="87" t="n">
        <x:v>58</x:v>
      </x:c>
      <x:c r="I3215" s="87" t="n">
        <x:v>282</x:v>
      </x:c>
      <x:c r="J3215" s="68" t="n">
        <x:f>IFERROR(H3215/I3215,"")</x:f>
        <x:v>0.20567375886524822</x:v>
      </x:c>
      <x:c r="K3215" s="69" t="n">
        <x:f>IFERROR(I3215/H3215,"")</x:f>
        <x:v>4.862068965517241</x:v>
      </x:c>
      <x:c r="L3215" s="66" t="str">
        <x:f>IF(K3215="","","1 : "&amp;TEXT(K3215,"0.0"))</x:f>
        <x:v>1 : 4.9</x:v>
      </x:c>
      <x:c r="M3215" s="66" t="str">
        <x:f>IF(J3215="","Baru/Tanpa Data",IF(J3215&lt;='Catatan &amp; Sumber'!$B$14,"Sangat Ketat",IF(J3215&lt;='Catatan &amp; Sumber'!$B$15,"Ketat",IF(J3215&lt;='Catatan &amp; Sumber'!$B$16,"Sedang","Relatif Longgar"))))</x:f>
        <x:v>Relatif Longgar</x:v>
      </x:c>
      <x:c r="N3215" s="66" t="str">
        <x:v>Tidak Ada</x:v>
      </x:c>
      <x:c r="O3215" s="66" t="str">
        <x:v>Jawa Barat</x:v>
      </x:c>
      <x:c r="P3215" s="66" t="str">
        <x:v>Kabupaten Subang</x:v>
      </x:c>
      <x:c r="Q3215" s="66" t="str">
        <x:v>https://snpmb.id/snbp/daya-tampung-snbp</x:v>
      </x:c>
      <x:c r="R3215" s="66" t="str">
        <x:v>https://sidatagrun-public-1076756628210.asia-southeast2.run.app/ptn_sn.php?ptn=434</x:v>
      </x:c>
    </x:row>
    <x:row r="3216">
      <x:c r="A3216" s="87" t="n">
        <x:v>1526</x:v>
      </x:c>
      <x:c r="B3216" s="66" t="n">
        <x:v>452</x:v>
      </x:c>
      <x:c r="C3216" s="66" t="str">
        <x:v>POLITEKNIK NEGERI SEMARANG</x:v>
      </x:c>
      <x:c r="D3216" s="66" t="str">
        <x:v>PTN Vokasi</x:v>
      </x:c>
      <x:c r="E3216" s="66" t="str">
        <x:v>24522001</x:v>
      </x:c>
      <x:c r="F3216" s="66" t="str">
        <x:v>TEKNIK PERAWATAN DAN PERBAIKAN GEDUNG</x:v>
      </x:c>
      <x:c r="G3216" s="66" t="str">
        <x:v>Sarjana Terapan</x:v>
      </x:c>
      <x:c r="H3216" s="87" t="n">
        <x:v>24</x:v>
      </x:c>
      <x:c r="I3216" s="87" t="n">
        <x:v>215</x:v>
      </x:c>
      <x:c r="J3216" s="68" t="n">
        <x:f>IFERROR(H3216/I3216,"")</x:f>
        <x:v>0.11162790697674418</x:v>
      </x:c>
      <x:c r="K3216" s="69" t="n">
        <x:f>IFERROR(I3216/H3216,"")</x:f>
        <x:v>8.958333333333334</x:v>
      </x:c>
      <x:c r="L3216" s="66" t="str">
        <x:f>IF(K3216="","","1 : "&amp;TEXT(K3216,"0.0"))</x:f>
        <x:v>1 : 9.0</x:v>
      </x:c>
      <x:c r="M3216" s="66" t="str">
        <x:f>IF(J3216="","Baru/Tanpa Data",IF(J3216&lt;='Catatan &amp; Sumber'!$B$14,"Sangat Ketat",IF(J3216&lt;='Catatan &amp; Sumber'!$B$15,"Ketat",IF(J3216&lt;='Catatan &amp; Sumber'!$B$16,"Sedang","Relatif Longgar"))))</x:f>
        <x:v>Relatif Longgar</x:v>
      </x:c>
      <x:c r="N3216" s="66" t="str">
        <x:v>Tidak Ada</x:v>
      </x:c>
      <x:c r="O3216" s="66" t="str">
        <x:v>Jawa Tengah</x:v>
      </x:c>
      <x:c r="P3216" s="66" t="str">
        <x:v>Kota Semarang</x:v>
      </x:c>
      <x:c r="Q3216" s="66" t="str">
        <x:v>https://snpmb.id/snbp/daya-tampung-snbp</x:v>
      </x:c>
      <x:c r="R3216" s="66" t="str">
        <x:v>https://sidatagrun-public-1076756628210.asia-southeast2.run.app/ptn_sn.php?ptn=452</x:v>
      </x:c>
    </x:row>
    <x:row r="3217">
      <x:c r="A3217" s="87" t="n">
        <x:v>1651</x:v>
      </x:c>
      <x:c r="B3217" s="66" t="n">
        <x:v>452</x:v>
      </x:c>
      <x:c r="C3217" s="66" t="str">
        <x:v>POLITEKNIK NEGERI SEMARANG</x:v>
      </x:c>
      <x:c r="D3217" s="66" t="str">
        <x:v>PTN Vokasi</x:v>
      </x:c>
      <x:c r="E3217" s="66" t="str">
        <x:v>24522002</x:v>
      </x:c>
      <x:c r="F3217" s="66" t="str">
        <x:v>PERANCANGAN JALAN DAN JEMBATAN</x:v>
      </x:c>
      <x:c r="G3217" s="66" t="str">
        <x:v>Sarjana Terapan</x:v>
      </x:c>
      <x:c r="H3217" s="87" t="n">
        <x:v>16</x:v>
      </x:c>
      <x:c r="I3217" s="87" t="n">
        <x:v>133</x:v>
      </x:c>
      <x:c r="J3217" s="68" t="n">
        <x:f>IFERROR(H3217/I3217,"")</x:f>
        <x:v>0.12030075187969924</x:v>
      </x:c>
      <x:c r="K3217" s="69" t="n">
        <x:f>IFERROR(I3217/H3217,"")</x:f>
        <x:v>8.3125</x:v>
      </x:c>
      <x:c r="L3217" s="66" t="str">
        <x:f>IF(K3217="","","1 : "&amp;TEXT(K3217,"0.0"))</x:f>
        <x:v>1 : 8.3</x:v>
      </x:c>
      <x:c r="M3217" s="66" t="str">
        <x:f>IF(J3217="","Baru/Tanpa Data",IF(J3217&lt;='Catatan &amp; Sumber'!$B$14,"Sangat Ketat",IF(J3217&lt;='Catatan &amp; Sumber'!$B$15,"Ketat",IF(J3217&lt;='Catatan &amp; Sumber'!$B$16,"Sedang","Relatif Longgar"))))</x:f>
        <x:v>Relatif Longgar</x:v>
      </x:c>
      <x:c r="N3217" s="66" t="str">
        <x:v>Tidak Ada</x:v>
      </x:c>
      <x:c r="O3217" s="66" t="str">
        <x:v>Jawa Tengah</x:v>
      </x:c>
      <x:c r="P3217" s="66" t="str">
        <x:v>Kota Semarang</x:v>
      </x:c>
      <x:c r="Q3217" s="66" t="str">
        <x:v>https://snpmb.id/snbp/daya-tampung-snbp</x:v>
      </x:c>
      <x:c r="R3217" s="66" t="str">
        <x:v>https://sidatagrun-public-1076756628210.asia-southeast2.run.app/ptn_sn.php?ptn=452</x:v>
      </x:c>
    </x:row>
    <x:row r="3218">
      <x:c r="A3218" s="87" t="n">
        <x:v>1416</x:v>
      </x:c>
      <x:c r="B3218" s="66" t="n">
        <x:v>452</x:v>
      </x:c>
      <x:c r="C3218" s="66" t="str">
        <x:v>POLITEKNIK NEGERI SEMARANG</x:v>
      </x:c>
      <x:c r="D3218" s="66" t="str">
        <x:v>PTN Vokasi</x:v>
      </x:c>
      <x:c r="E3218" s="66" t="str">
        <x:v>24522003</x:v>
      </x:c>
      <x:c r="F3218" s="66" t="str">
        <x:v>TEKNIK MESIN PRODUKSI DAN PERAWATAN</x:v>
      </x:c>
      <x:c r="G3218" s="66" t="str">
        <x:v>Sarjana Terapan</x:v>
      </x:c>
      <x:c r="H3218" s="87" t="n">
        <x:v>22</x:v>
      </x:c>
      <x:c r="I3218" s="87" t="n">
        <x:v>213</x:v>
      </x:c>
      <x:c r="J3218" s="68" t="n">
        <x:f>IFERROR(H3218/I3218,"")</x:f>
        <x:v>0.10328638497652583</x:v>
      </x:c>
      <x:c r="K3218" s="69" t="n">
        <x:f>IFERROR(I3218/H3218,"")</x:f>
        <x:v>9.681818181818182</x:v>
      </x:c>
      <x:c r="L3218" s="66" t="str">
        <x:f>IF(K3218="","","1 : "&amp;TEXT(K3218,"0.0"))</x:f>
        <x:v>1 : 9.7</x:v>
      </x:c>
      <x:c r="M3218" s="66" t="str">
        <x:f>IF(J3218="","Baru/Tanpa Data",IF(J3218&lt;='Catatan &amp; Sumber'!$B$14,"Sangat Ketat",IF(J3218&lt;='Catatan &amp; Sumber'!$B$15,"Ketat",IF(J3218&lt;='Catatan &amp; Sumber'!$B$16,"Sedang","Relatif Longgar"))))</x:f>
        <x:v>Relatif Longgar</x:v>
      </x:c>
      <x:c r="N3218" s="66" t="str">
        <x:v>Tidak Ada</x:v>
      </x:c>
      <x:c r="O3218" s="66" t="str">
        <x:v>Jawa Tengah</x:v>
      </x:c>
      <x:c r="P3218" s="66" t="str">
        <x:v>Kota Semarang</x:v>
      </x:c>
      <x:c r="Q3218" s="66" t="str">
        <x:v>https://snpmb.id/snbp/daya-tampung-snbp</x:v>
      </x:c>
      <x:c r="R3218" s="66" t="str">
        <x:v>https://sidatagrun-public-1076756628210.asia-southeast2.run.app/ptn_sn.php?ptn=452</x:v>
      </x:c>
    </x:row>
    <x:row r="3219">
      <x:c r="A3219" s="87" t="n">
        <x:v>1879</x:v>
      </x:c>
      <x:c r="B3219" s="66" t="n">
        <x:v>452</x:v>
      </x:c>
      <x:c r="C3219" s="66" t="str">
        <x:v>POLITEKNIK NEGERI SEMARANG</x:v>
      </x:c>
      <x:c r="D3219" s="66" t="str">
        <x:v>PTN Vokasi</x:v>
      </x:c>
      <x:c r="E3219" s="66" t="str">
        <x:v>24522004</x:v>
      </x:c>
      <x:c r="F3219" s="66" t="str">
        <x:v>TEKNOLOGI REKAYASA PEMBANGKIT ENERGI</x:v>
      </x:c>
      <x:c r="G3219" s="66" t="str">
        <x:v>Sarjana Terapan</x:v>
      </x:c>
      <x:c r="H3219" s="87" t="n">
        <x:v>22</x:v>
      </x:c>
      <x:c r="I3219" s="87" t="n">
        <x:v>158</x:v>
      </x:c>
      <x:c r="J3219" s="68" t="n">
        <x:f>IFERROR(H3219/I3219,"")</x:f>
        <x:v>0.13924050632911392</x:v>
      </x:c>
      <x:c r="K3219" s="69" t="n">
        <x:f>IFERROR(I3219/H3219,"")</x:f>
        <x:v>7.181818181818182</x:v>
      </x:c>
      <x:c r="L3219" s="66" t="str">
        <x:f>IF(K3219="","","1 : "&amp;TEXT(K3219,"0.0"))</x:f>
        <x:v>1 : 7.2</x:v>
      </x:c>
      <x:c r="M3219" s="66" t="str">
        <x:f>IF(J3219="","Baru/Tanpa Data",IF(J3219&lt;='Catatan &amp; Sumber'!$B$14,"Sangat Ketat",IF(J3219&lt;='Catatan &amp; Sumber'!$B$15,"Ketat",IF(J3219&lt;='Catatan &amp; Sumber'!$B$16,"Sedang","Relatif Longgar"))))</x:f>
        <x:v>Relatif Longgar</x:v>
      </x:c>
      <x:c r="N3219" s="66" t="str">
        <x:v>Tidak Ada</x:v>
      </x:c>
      <x:c r="O3219" s="66" t="str">
        <x:v>Jawa Tengah</x:v>
      </x:c>
      <x:c r="P3219" s="66" t="str">
        <x:v>Kota Semarang</x:v>
      </x:c>
      <x:c r="Q3219" s="66" t="str">
        <x:v>https://snpmb.id/snbp/daya-tampung-snbp</x:v>
      </x:c>
      <x:c r="R3219" s="66" t="str">
        <x:v>https://sidatagrun-public-1076756628210.asia-southeast2.run.app/ptn_sn.php?ptn=452</x:v>
      </x:c>
    </x:row>
    <x:row r="3220">
      <x:c r="A3220" s="87" t="n">
        <x:v>1872</x:v>
      </x:c>
      <x:c r="B3220" s="66" t="n">
        <x:v>452</x:v>
      </x:c>
      <x:c r="C3220" s="66" t="str">
        <x:v>POLITEKNIK NEGERI SEMARANG</x:v>
      </x:c>
      <x:c r="D3220" s="66" t="str">
        <x:v>PTN Vokasi</x:v>
      </x:c>
      <x:c r="E3220" s="66" t="str">
        <x:v>24522005</x:v>
      </x:c>
      <x:c r="F3220" s="66" t="str">
        <x:v>TEKNIK TELEKOMUNIKASI</x:v>
      </x:c>
      <x:c r="G3220" s="66" t="str">
        <x:v>Sarjana Terapan</x:v>
      </x:c>
      <x:c r="H3220" s="87" t="n">
        <x:v>36</x:v>
      </x:c>
      <x:c r="I3220" s="87" t="n">
        <x:v>260</x:v>
      </x:c>
      <x:c r="J3220" s="68" t="n">
        <x:f>IFERROR(H3220/I3220,"")</x:f>
        <x:v>0.13846153846153847</x:v>
      </x:c>
      <x:c r="K3220" s="69" t="n">
        <x:f>IFERROR(I3220/H3220,"")</x:f>
        <x:v>7.222222222222222</x:v>
      </x:c>
      <x:c r="L3220" s="66" t="str">
        <x:f>IF(K3220="","","1 : "&amp;TEXT(K3220,"0.0"))</x:f>
        <x:v>1 : 7.2</x:v>
      </x:c>
      <x:c r="M3220" s="66" t="str">
        <x:f>IF(J3220="","Baru/Tanpa Data",IF(J3220&lt;='Catatan &amp; Sumber'!$B$14,"Sangat Ketat",IF(J3220&lt;='Catatan &amp; Sumber'!$B$15,"Ketat",IF(J3220&lt;='Catatan &amp; Sumber'!$B$16,"Sedang","Relatif Longgar"))))</x:f>
        <x:v>Relatif Longgar</x:v>
      </x:c>
      <x:c r="N3220" s="66" t="str">
        <x:v>Tidak Ada</x:v>
      </x:c>
      <x:c r="O3220" s="66" t="str">
        <x:v>Jawa Tengah</x:v>
      </x:c>
      <x:c r="P3220" s="66" t="str">
        <x:v>Kota Semarang</x:v>
      </x:c>
      <x:c r="Q3220" s="66" t="str">
        <x:v>https://snpmb.id/snbp/daya-tampung-snbp</x:v>
      </x:c>
      <x:c r="R3220" s="66" t="str">
        <x:v>https://sidatagrun-public-1076756628210.asia-southeast2.run.app/ptn_sn.php?ptn=452</x:v>
      </x:c>
    </x:row>
    <x:row r="3221">
      <x:c r="A3221" s="87" t="n">
        <x:v>1917</x:v>
      </x:c>
      <x:c r="B3221" s="66" t="n">
        <x:v>452</x:v>
      </x:c>
      <x:c r="C3221" s="66" t="str">
        <x:v>POLITEKNIK NEGERI SEMARANG</x:v>
      </x:c>
      <x:c r="D3221" s="66" t="str">
        <x:v>PTN Vokasi</x:v>
      </x:c>
      <x:c r="E3221" s="66" t="str">
        <x:v>24522006</x:v>
      </x:c>
      <x:c r="F3221" s="66" t="str">
        <x:v>TEKNOLOGI REKAYASA INSTALASI LISTRIK</x:v>
      </x:c>
      <x:c r="G3221" s="66" t="str">
        <x:v>Sarjana Terapan</x:v>
      </x:c>
      <x:c r="H3221" s="87" t="n">
        <x:v>22</x:v>
      </x:c>
      <x:c r="I3221" s="87" t="n">
        <x:v>154</x:v>
      </x:c>
      <x:c r="J3221" s="68" t="n">
        <x:f>IFERROR(H3221/I3221,"")</x:f>
        <x:v>0.14285714285714285</x:v>
      </x:c>
      <x:c r="K3221" s="69" t="n">
        <x:f>IFERROR(I3221/H3221,"")</x:f>
        <x:v>7</x:v>
      </x:c>
      <x:c r="L3221" s="66" t="str">
        <x:f>IF(K3221="","","1 : "&amp;TEXT(K3221,"0.0"))</x:f>
        <x:v>1 : 7.0</x:v>
      </x:c>
      <x:c r="M3221" s="66" t="str">
        <x:f>IF(J3221="","Baru/Tanpa Data",IF(J3221&lt;='Catatan &amp; Sumber'!$B$14,"Sangat Ketat",IF(J3221&lt;='Catatan &amp; Sumber'!$B$15,"Ketat",IF(J3221&lt;='Catatan &amp; Sumber'!$B$16,"Sedang","Relatif Longgar"))))</x:f>
        <x:v>Relatif Longgar</x:v>
      </x:c>
      <x:c r="N3221" s="66" t="str">
        <x:v>Tidak Ada</x:v>
      </x:c>
      <x:c r="O3221" s="66" t="str">
        <x:v>Jawa Tengah</x:v>
      </x:c>
      <x:c r="P3221" s="66" t="str">
        <x:v>Kota Semarang</x:v>
      </x:c>
      <x:c r="Q3221" s="66" t="str">
        <x:v>https://snpmb.id/snbp/daya-tampung-snbp</x:v>
      </x:c>
      <x:c r="R3221" s="66" t="str">
        <x:v>https://sidatagrun-public-1076756628210.asia-southeast2.run.app/ptn_sn.php?ptn=452</x:v>
      </x:c>
    </x:row>
    <x:row r="3222">
      <x:c r="A3222" s="87" t="n">
        <x:v>1462</x:v>
      </x:c>
      <x:c r="B3222" s="66" t="n">
        <x:v>452</x:v>
      </x:c>
      <x:c r="C3222" s="66" t="str">
        <x:v>POLITEKNIK NEGERI SEMARANG</x:v>
      </x:c>
      <x:c r="D3222" s="66" t="str">
        <x:v>PTN Vokasi</x:v>
      </x:c>
      <x:c r="E3222" s="66" t="str">
        <x:v>24522007</x:v>
      </x:c>
      <x:c r="F3222" s="66" t="str">
        <x:v>TEKNOLOGI REKAYASA KOMPUTER</x:v>
      </x:c>
      <x:c r="G3222" s="66" t="str">
        <x:v>Sarjana Terapan</x:v>
      </x:c>
      <x:c r="H3222" s="87" t="n">
        <x:v>24</x:v>
      </x:c>
      <x:c r="I3222" s="87" t="n">
        <x:v>225</x:v>
      </x:c>
      <x:c r="J3222" s="68" t="n">
        <x:f>IFERROR(H3222/I3222,"")</x:f>
        <x:v>0.10666666666666667</x:v>
      </x:c>
      <x:c r="K3222" s="69" t="n">
        <x:f>IFERROR(I3222/H3222,"")</x:f>
        <x:v>9.375</x:v>
      </x:c>
      <x:c r="L3222" s="66" t="str">
        <x:f>IF(K3222="","","1 : "&amp;TEXT(K3222,"0.0"))</x:f>
        <x:v>1 : 9.4</x:v>
      </x:c>
      <x:c r="M3222" s="66" t="str">
        <x:f>IF(J3222="","Baru/Tanpa Data",IF(J3222&lt;='Catatan &amp; Sumber'!$B$14,"Sangat Ketat",IF(J3222&lt;='Catatan &amp; Sumber'!$B$15,"Ketat",IF(J3222&lt;='Catatan &amp; Sumber'!$B$16,"Sedang","Relatif Longgar"))))</x:f>
        <x:v>Relatif Longgar</x:v>
      </x:c>
      <x:c r="N3222" s="66" t="str">
        <x:v>Tidak Ada</x:v>
      </x:c>
      <x:c r="O3222" s="66" t="str">
        <x:v>Jawa Tengah</x:v>
      </x:c>
      <x:c r="P3222" s="66" t="str">
        <x:v>Kota Semarang</x:v>
      </x:c>
      <x:c r="Q3222" s="66" t="str">
        <x:v>https://snpmb.id/snbp/daya-tampung-snbp</x:v>
      </x:c>
      <x:c r="R3222" s="66" t="str">
        <x:v>https://sidatagrun-public-1076756628210.asia-southeast2.run.app/ptn_sn.php?ptn=452</x:v>
      </x:c>
    </x:row>
    <x:row r="3223">
      <x:c r="A3223" s="87" t="n">
        <x:v>1855</x:v>
      </x:c>
      <x:c r="B3223" s="66" t="n">
        <x:v>452</x:v>
      </x:c>
      <x:c r="C3223" s="66" t="str">
        <x:v>POLITEKNIK NEGERI SEMARANG</x:v>
      </x:c>
      <x:c r="D3223" s="66" t="str">
        <x:v>PTN Vokasi</x:v>
      </x:c>
      <x:c r="E3223" s="66" t="str">
        <x:v>24522008</x:v>
      </x:c>
      <x:c r="F3223" s="66" t="str">
        <x:v>KOMPUTERISASI AKUNTANSI</x:v>
      </x:c>
      <x:c r="G3223" s="66" t="str">
        <x:v>Sarjana Terapan</x:v>
      </x:c>
      <x:c r="H3223" s="87" t="n">
        <x:v>36</x:v>
      </x:c>
      <x:c r="I3223" s="87" t="n">
        <x:v>263</x:v>
      </x:c>
      <x:c r="J3223" s="68" t="n">
        <x:f>IFERROR(H3223/I3223,"")</x:f>
        <x:v>0.13688212927756654</x:v>
      </x:c>
      <x:c r="K3223" s="69" t="n">
        <x:f>IFERROR(I3223/H3223,"")</x:f>
        <x:v>7.305555555555555</x:v>
      </x:c>
      <x:c r="L3223" s="66" t="str">
        <x:f>IF(K3223="","","1 : "&amp;TEXT(K3223,"0.0"))</x:f>
        <x:v>1 : 7.3</x:v>
      </x:c>
      <x:c r="M3223" s="66" t="str">
        <x:f>IF(J3223="","Baru/Tanpa Data",IF(J3223&lt;='Catatan &amp; Sumber'!$B$14,"Sangat Ketat",IF(J3223&lt;='Catatan &amp; Sumber'!$B$15,"Ketat",IF(J3223&lt;='Catatan &amp; Sumber'!$B$16,"Sedang","Relatif Longgar"))))</x:f>
        <x:v>Relatif Longgar</x:v>
      </x:c>
      <x:c r="N3223" s="66" t="str">
        <x:v>Tidak Ada</x:v>
      </x:c>
      <x:c r="O3223" s="66" t="str">
        <x:v>Jawa Tengah</x:v>
      </x:c>
      <x:c r="P3223" s="66" t="str">
        <x:v>Kota Semarang</x:v>
      </x:c>
      <x:c r="Q3223" s="66" t="str">
        <x:v>https://snpmb.id/snbp/daya-tampung-snbp</x:v>
      </x:c>
      <x:c r="R3223" s="66" t="str">
        <x:v>https://sidatagrun-public-1076756628210.asia-southeast2.run.app/ptn_sn.php?ptn=452</x:v>
      </x:c>
    </x:row>
    <x:row r="3224">
      <x:c r="A3224" s="87" t="n">
        <x:v>1910</x:v>
      </x:c>
      <x:c r="B3224" s="66" t="n">
        <x:v>452</x:v>
      </x:c>
      <x:c r="C3224" s="66" t="str">
        <x:v>POLITEKNIK NEGERI SEMARANG</x:v>
      </x:c>
      <x:c r="D3224" s="66" t="str">
        <x:v>PTN Vokasi</x:v>
      </x:c>
      <x:c r="E3224" s="66" t="str">
        <x:v>24522009</x:v>
      </x:c>
      <x:c r="F3224" s="66" t="str">
        <x:v>TEKNOLOGI REKAYASA ELEKTRONIKA</x:v>
      </x:c>
      <x:c r="G3224" s="66" t="str">
        <x:v>Sarjana Terapan</x:v>
      </x:c>
      <x:c r="H3224" s="87" t="n">
        <x:v>32</x:v>
      </x:c>
      <x:c r="I3224" s="87" t="n">
        <x:v>226</x:v>
      </x:c>
      <x:c r="J3224" s="68" t="n">
        <x:f>IFERROR(H3224/I3224,"")</x:f>
        <x:v>0.1415929203539823</x:v>
      </x:c>
      <x:c r="K3224" s="69" t="n">
        <x:f>IFERROR(I3224/H3224,"")</x:f>
        <x:v>7.0625</x:v>
      </x:c>
      <x:c r="L3224" s="66" t="str">
        <x:f>IF(K3224="","","1 : "&amp;TEXT(K3224,"0.0"))</x:f>
        <x:v>1 : 7.1</x:v>
      </x:c>
      <x:c r="M3224" s="66" t="str">
        <x:f>IF(J3224="","Baru/Tanpa Data",IF(J3224&lt;='Catatan &amp; Sumber'!$B$14,"Sangat Ketat",IF(J3224&lt;='Catatan &amp; Sumber'!$B$15,"Ketat",IF(J3224&lt;='Catatan &amp; Sumber'!$B$16,"Sedang","Relatif Longgar"))))</x:f>
        <x:v>Relatif Longgar</x:v>
      </x:c>
      <x:c r="N3224" s="66" t="str">
        <x:v>Tidak Ada</x:v>
      </x:c>
      <x:c r="O3224" s="66" t="str">
        <x:v>Jawa Tengah</x:v>
      </x:c>
      <x:c r="P3224" s="66" t="str">
        <x:v>Kota Semarang</x:v>
      </x:c>
      <x:c r="Q3224" s="66" t="str">
        <x:v>https://snpmb.id/snbp/daya-tampung-snbp</x:v>
      </x:c>
      <x:c r="R3224" s="66" t="str">
        <x:v>https://sidatagrun-public-1076756628210.asia-southeast2.run.app/ptn_sn.php?ptn=452</x:v>
      </x:c>
    </x:row>
    <x:row r="3225">
      <x:c r="A3225" s="87" t="n">
        <x:v>2473</x:v>
      </x:c>
      <x:c r="B3225" s="66" t="n">
        <x:v>452</x:v>
      </x:c>
      <x:c r="C3225" s="66" t="str">
        <x:v>POLITEKNIK NEGERI SEMARANG</x:v>
      </x:c>
      <x:c r="D3225" s="66" t="str">
        <x:v>PTN Vokasi</x:v>
      </x:c>
      <x:c r="E3225" s="66" t="str">
        <x:v>24522010</x:v>
      </x:c>
      <x:c r="F3225" s="66" t="str">
        <x:v>PERBANKAN SYARIAH</x:v>
      </x:c>
      <x:c r="G3225" s="66" t="str">
        <x:v>Sarjana Terapan</x:v>
      </x:c>
      <x:c r="H3225" s="87" t="n">
        <x:v>36</x:v>
      </x:c>
      <x:c r="I3225" s="87" t="n">
        <x:v>175</x:v>
      </x:c>
      <x:c r="J3225" s="68" t="n">
        <x:f>IFERROR(H3225/I3225,"")</x:f>
        <x:v>0.2057142857142857</x:v>
      </x:c>
      <x:c r="K3225" s="69" t="n">
        <x:f>IFERROR(I3225/H3225,"")</x:f>
        <x:v>4.861111111111111</x:v>
      </x:c>
      <x:c r="L3225" s="66" t="str">
        <x:f>IF(K3225="","","1 : "&amp;TEXT(K3225,"0.0"))</x:f>
        <x:v>1 : 4.9</x:v>
      </x:c>
      <x:c r="M3225" s="66" t="str">
        <x:f>IF(J3225="","Baru/Tanpa Data",IF(J3225&lt;='Catatan &amp; Sumber'!$B$14,"Sangat Ketat",IF(J3225&lt;='Catatan &amp; Sumber'!$B$15,"Ketat",IF(J3225&lt;='Catatan &amp; Sumber'!$B$16,"Sedang","Relatif Longgar"))))</x:f>
        <x:v>Relatif Longgar</x:v>
      </x:c>
      <x:c r="N3225" s="66" t="str">
        <x:v>Tidak Ada</x:v>
      </x:c>
      <x:c r="O3225" s="66" t="str">
        <x:v>Jawa Tengah</x:v>
      </x:c>
      <x:c r="P3225" s="66" t="str">
        <x:v>Kota Semarang</x:v>
      </x:c>
      <x:c r="Q3225" s="66" t="str">
        <x:v>https://snpmb.id/snbp/daya-tampung-snbp</x:v>
      </x:c>
      <x:c r="R3225" s="66" t="str">
        <x:v>https://sidatagrun-public-1076756628210.asia-southeast2.run.app/ptn_sn.php?ptn=452</x:v>
      </x:c>
    </x:row>
    <x:row r="3226">
      <x:c r="A3226" s="87" t="n">
        <x:v>1828</x:v>
      </x:c>
      <x:c r="B3226" s="66" t="n">
        <x:v>452</x:v>
      </x:c>
      <x:c r="C3226" s="66" t="str">
        <x:v>POLITEKNIK NEGERI SEMARANG</x:v>
      </x:c>
      <x:c r="D3226" s="66" t="str">
        <x:v>PTN Vokasi</x:v>
      </x:c>
      <x:c r="E3226" s="66" t="str">
        <x:v>24522011</x:v>
      </x:c>
      <x:c r="F3226" s="66" t="str">
        <x:v>ANALISIS KEUANGAN</x:v>
      </x:c>
      <x:c r="G3226" s="66" t="str">
        <x:v>Sarjana Terapan</x:v>
      </x:c>
      <x:c r="H3226" s="87" t="n">
        <x:v>36</x:v>
      </x:c>
      <x:c r="I3226" s="87" t="n">
        <x:v>267</x:v>
      </x:c>
      <x:c r="J3226" s="68" t="n">
        <x:f>IFERROR(H3226/I3226,"")</x:f>
        <x:v>0.1348314606741573</x:v>
      </x:c>
      <x:c r="K3226" s="69" t="n">
        <x:f>IFERROR(I3226/H3226,"")</x:f>
        <x:v>7.416666666666667</x:v>
      </x:c>
      <x:c r="L3226" s="66" t="str">
        <x:f>IF(K3226="","","1 : "&amp;TEXT(K3226,"0.0"))</x:f>
        <x:v>1 : 7.4</x:v>
      </x:c>
      <x:c r="M3226" s="66" t="str">
        <x:f>IF(J3226="","Baru/Tanpa Data",IF(J3226&lt;='Catatan &amp; Sumber'!$B$14,"Sangat Ketat",IF(J3226&lt;='Catatan &amp; Sumber'!$B$15,"Ketat",IF(J3226&lt;='Catatan &amp; Sumber'!$B$16,"Sedang","Relatif Longgar"))))</x:f>
        <x:v>Relatif Longgar</x:v>
      </x:c>
      <x:c r="N3226" s="66" t="str">
        <x:v>Tidak Ada</x:v>
      </x:c>
      <x:c r="O3226" s="66" t="str">
        <x:v>Jawa Tengah</x:v>
      </x:c>
      <x:c r="P3226" s="66" t="str">
        <x:v>Kota Semarang</x:v>
      </x:c>
      <x:c r="Q3226" s="66" t="str">
        <x:v>https://snpmb.id/snbp/daya-tampung-snbp</x:v>
      </x:c>
      <x:c r="R3226" s="66" t="str">
        <x:v>https://sidatagrun-public-1076756628210.asia-southeast2.run.app/ptn_sn.php?ptn=452</x:v>
      </x:c>
    </x:row>
    <x:row r="3227">
      <x:c r="A3227" s="87" t="n">
        <x:v>1788</x:v>
      </x:c>
      <x:c r="B3227" s="66" t="n">
        <x:v>452</x:v>
      </x:c>
      <x:c r="C3227" s="66" t="str">
        <x:v>POLITEKNIK NEGERI SEMARANG</x:v>
      </x:c>
      <x:c r="D3227" s="66" t="str">
        <x:v>PTN Vokasi</x:v>
      </x:c>
      <x:c r="E3227" s="66" t="str">
        <x:v>24522012</x:v>
      </x:c>
      <x:c r="F3227" s="66" t="str">
        <x:v>AKUNTANSI MANAJERIAL</x:v>
      </x:c>
      <x:c r="G3227" s="66" t="str">
        <x:v>Sarjana Terapan</x:v>
      </x:c>
      <x:c r="H3227" s="87" t="n">
        <x:v>36</x:v>
      </x:c>
      <x:c r="I3227" s="87" t="n">
        <x:v>274</x:v>
      </x:c>
      <x:c r="J3227" s="68" t="n">
        <x:f>IFERROR(H3227/I3227,"")</x:f>
        <x:v>0.13138686131386862</x:v>
      </x:c>
      <x:c r="K3227" s="69" t="n">
        <x:f>IFERROR(I3227/H3227,"")</x:f>
        <x:v>7.611111111111111</x:v>
      </x:c>
      <x:c r="L3227" s="66" t="str">
        <x:f>IF(K3227="","","1 : "&amp;TEXT(K3227,"0.0"))</x:f>
        <x:v>1 : 7.6</x:v>
      </x:c>
      <x:c r="M3227" s="66" t="str">
        <x:f>IF(J3227="","Baru/Tanpa Data",IF(J3227&lt;='Catatan &amp; Sumber'!$B$14,"Sangat Ketat",IF(J3227&lt;='Catatan &amp; Sumber'!$B$15,"Ketat",IF(J3227&lt;='Catatan &amp; Sumber'!$B$16,"Sedang","Relatif Longgar"))))</x:f>
        <x:v>Relatif Longgar</x:v>
      </x:c>
      <x:c r="N3227" s="66" t="str">
        <x:v>Tidak Ada</x:v>
      </x:c>
      <x:c r="O3227" s="66" t="str">
        <x:v>Jawa Tengah</x:v>
      </x:c>
      <x:c r="P3227" s="66" t="str">
        <x:v>Kota Semarang</x:v>
      </x:c>
      <x:c r="Q3227" s="66" t="str">
        <x:v>https://snpmb.id/snbp/daya-tampung-snbp</x:v>
      </x:c>
      <x:c r="R3227" s="66" t="str">
        <x:v>https://sidatagrun-public-1076756628210.asia-southeast2.run.app/ptn_sn.php?ptn=452</x:v>
      </x:c>
    </x:row>
    <x:row r="3228">
      <x:c r="A3228" s="87" t="n">
        <x:v>1667</x:v>
      </x:c>
      <x:c r="B3228" s="66" t="n">
        <x:v>452</x:v>
      </x:c>
      <x:c r="C3228" s="66" t="str">
        <x:v>POLITEKNIK NEGERI SEMARANG</x:v>
      </x:c>
      <x:c r="D3228" s="66" t="str">
        <x:v>PTN Vokasi</x:v>
      </x:c>
      <x:c r="E3228" s="66" t="str">
        <x:v>24522013</x:v>
      </x:c>
      <x:c r="F3228" s="66" t="str">
        <x:v>MANAJEMEN BISNIS INTERNASIONAL</x:v>
      </x:c>
      <x:c r="G3228" s="66" t="str">
        <x:v>Sarjana Terapan</x:v>
      </x:c>
      <x:c r="H3228" s="87" t="n">
        <x:v>36</x:v>
      </x:c>
      <x:c r="I3228" s="87" t="n">
        <x:v>296</x:v>
      </x:c>
      <x:c r="J3228" s="68" t="n">
        <x:f>IFERROR(H3228/I3228,"")</x:f>
        <x:v>0.12162162162162163</x:v>
      </x:c>
      <x:c r="K3228" s="69" t="n">
        <x:f>IFERROR(I3228/H3228,"")</x:f>
        <x:v>8.222222222222221</x:v>
      </x:c>
      <x:c r="L3228" s="66" t="str">
        <x:f>IF(K3228="","","1 : "&amp;TEXT(K3228,"0.0"))</x:f>
        <x:v>1 : 8.2</x:v>
      </x:c>
      <x:c r="M3228" s="66" t="str">
        <x:f>IF(J3228="","Baru/Tanpa Data",IF(J3228&lt;='Catatan &amp; Sumber'!$B$14,"Sangat Ketat",IF(J3228&lt;='Catatan &amp; Sumber'!$B$15,"Ketat",IF(J3228&lt;='Catatan &amp; Sumber'!$B$16,"Sedang","Relatif Longgar"))))</x:f>
        <x:v>Relatif Longgar</x:v>
      </x:c>
      <x:c r="N3228" s="66" t="str">
        <x:v>Tidak Ada</x:v>
      </x:c>
      <x:c r="O3228" s="66" t="str">
        <x:v>Jawa Tengah</x:v>
      </x:c>
      <x:c r="P3228" s="66" t="str">
        <x:v>Kota Semarang</x:v>
      </x:c>
      <x:c r="Q3228" s="66" t="str">
        <x:v>https://snpmb.id/snbp/daya-tampung-snbp</x:v>
      </x:c>
      <x:c r="R3228" s="66" t="str">
        <x:v>https://sidatagrun-public-1076756628210.asia-southeast2.run.app/ptn_sn.php?ptn=452</x:v>
      </x:c>
    </x:row>
    <x:row r="3229">
      <x:c r="A3229" s="87" t="n">
        <x:v>1166</x:v>
      </x:c>
      <x:c r="B3229" s="66" t="n">
        <x:v>452</x:v>
      </x:c>
      <x:c r="C3229" s="66" t="str">
        <x:v>POLITEKNIK NEGERI SEMARANG</x:v>
      </x:c>
      <x:c r="D3229" s="66" t="str">
        <x:v>PTN Vokasi</x:v>
      </x:c>
      <x:c r="E3229" s="66" t="str">
        <x:v>24522014</x:v>
      </x:c>
      <x:c r="F3229" s="66" t="str">
        <x:v>ADMINISTRASI BISNIS TERAPAN</x:v>
      </x:c>
      <x:c r="G3229" s="66" t="str">
        <x:v>Sarjana Terapan</x:v>
      </x:c>
      <x:c r="H3229" s="87" t="n">
        <x:v>36</x:v>
      </x:c>
      <x:c r="I3229" s="87" t="n">
        <x:v>410</x:v>
      </x:c>
      <x:c r="J3229" s="68" t="n">
        <x:f>IFERROR(H3229/I3229,"")</x:f>
        <x:v>0.08780487804878048</x:v>
      </x:c>
      <x:c r="K3229" s="69" t="n">
        <x:f>IFERROR(I3229/H3229,"")</x:f>
        <x:v>11.38888888888889</x:v>
      </x:c>
      <x:c r="L3229" s="66" t="str">
        <x:f>IF(K3229="","","1 : "&amp;TEXT(K3229,"0.0"))</x:f>
        <x:v>1 : 11.4</x:v>
      </x:c>
      <x:c r="M3229" s="66" t="str">
        <x:f>IF(J3229="","Baru/Tanpa Data",IF(J3229&lt;='Catatan &amp; Sumber'!$B$14,"Sangat Ketat",IF(J3229&lt;='Catatan &amp; Sumber'!$B$15,"Ketat",IF(J3229&lt;='Catatan &amp; Sumber'!$B$16,"Sedang","Relatif Longgar"))))</x:f>
        <x:v>Sedang</x:v>
      </x:c>
      <x:c r="N3229" s="66" t="str">
        <x:v>Tidak Ada</x:v>
      </x:c>
      <x:c r="O3229" s="66" t="str">
        <x:v>Jawa Tengah</x:v>
      </x:c>
      <x:c r="P3229" s="66" t="str">
        <x:v>Kota Semarang</x:v>
      </x:c>
      <x:c r="Q3229" s="66" t="str">
        <x:v>https://snpmb.id/snbp/daya-tampung-snbp</x:v>
      </x:c>
      <x:c r="R3229" s="66" t="str">
        <x:v>https://sidatagrun-public-1076756628210.asia-southeast2.run.app/ptn_sn.php?ptn=452</x:v>
      </x:c>
    </x:row>
    <x:row r="3230">
      <x:c r="A3230" s="87" t="n">
        <x:v>2226</x:v>
      </x:c>
      <x:c r="B3230" s="66" t="n">
        <x:v>452</x:v>
      </x:c>
      <x:c r="C3230" s="66" t="str">
        <x:v>POLITEKNIK NEGERI SEMARANG</x:v>
      </x:c>
      <x:c r="D3230" s="66" t="str">
        <x:v>PTN Vokasi</x:v>
      </x:c>
      <x:c r="E3230" s="66" t="str">
        <x:v>24523015</x:v>
      </x:c>
      <x:c r="F3230" s="66" t="str">
        <x:v>MANAJEMEN PEMASARAN/MARKETING</x:v>
      </x:c>
      <x:c r="G3230" s="66" t="str">
        <x:v>Diploma Tiga</x:v>
      </x:c>
      <x:c r="H3230" s="87" t="n">
        <x:v>36</x:v>
      </x:c>
      <x:c r="I3230" s="87" t="n">
        <x:v>205</x:v>
      </x:c>
      <x:c r="J3230" s="68" t="n">
        <x:f>IFERROR(H3230/I3230,"")</x:f>
        <x:v>0.17560975609756097</x:v>
      </x:c>
      <x:c r="K3230" s="69" t="n">
        <x:f>IFERROR(I3230/H3230,"")</x:f>
        <x:v>5.694444444444445</x:v>
      </x:c>
      <x:c r="L3230" s="66" t="str">
        <x:f>IF(K3230="","","1 : "&amp;TEXT(K3230,"0.0"))</x:f>
        <x:v>1 : 5.7</x:v>
      </x:c>
      <x:c r="M3230" s="66" t="str">
        <x:f>IF(J3230="","Baru/Tanpa Data",IF(J3230&lt;='Catatan &amp; Sumber'!$B$14,"Sangat Ketat",IF(J3230&lt;='Catatan &amp; Sumber'!$B$15,"Ketat",IF(J3230&lt;='Catatan &amp; Sumber'!$B$16,"Sedang","Relatif Longgar"))))</x:f>
        <x:v>Relatif Longgar</x:v>
      </x:c>
      <x:c r="N3230" s="66" t="str">
        <x:v>Tidak Ada</x:v>
      </x:c>
      <x:c r="O3230" s="66" t="str">
        <x:v>Jawa Tengah</x:v>
      </x:c>
      <x:c r="P3230" s="66" t="str">
        <x:v>Kota Semarang</x:v>
      </x:c>
      <x:c r="Q3230" s="66" t="str">
        <x:v>https://snpmb.id/snbp/daya-tampung-snbp</x:v>
      </x:c>
      <x:c r="R3230" s="66" t="str">
        <x:v>https://sidatagrun-public-1076756628210.asia-southeast2.run.app/ptn_sn.php?ptn=452</x:v>
      </x:c>
    </x:row>
    <x:row r="3231">
      <x:c r="A3231" s="87" t="n">
        <x:v>1557</x:v>
      </x:c>
      <x:c r="B3231" s="66" t="n">
        <x:v>452</x:v>
      </x:c>
      <x:c r="C3231" s="66" t="str">
        <x:v>POLITEKNIK NEGERI SEMARANG</x:v>
      </x:c>
      <x:c r="D3231" s="66" t="str">
        <x:v>PTN Vokasi</x:v>
      </x:c>
      <x:c r="E3231" s="66" t="str">
        <x:v>24523016</x:v>
      </x:c>
      <x:c r="F3231" s="66" t="str">
        <x:v>ADMINISTRASI BISNIS</x:v>
      </x:c>
      <x:c r="G3231" s="66" t="str">
        <x:v>Diploma Tiga</x:v>
      </x:c>
      <x:c r="H3231" s="87" t="n">
        <x:v>36</x:v>
      </x:c>
      <x:c r="I3231" s="87" t="n">
        <x:v>317</x:v>
      </x:c>
      <x:c r="J3231" s="68" t="n">
        <x:f>IFERROR(H3231/I3231,"")</x:f>
        <x:v>0.11356466876971609</x:v>
      </x:c>
      <x:c r="K3231" s="69" t="n">
        <x:f>IFERROR(I3231/H3231,"")</x:f>
        <x:v>8.805555555555555</x:v>
      </x:c>
      <x:c r="L3231" s="66" t="str">
        <x:f>IF(K3231="","","1 : "&amp;TEXT(K3231,"0.0"))</x:f>
        <x:v>1 : 8.8</x:v>
      </x:c>
      <x:c r="M3231" s="66" t="str">
        <x:f>IF(J3231="","Baru/Tanpa Data",IF(J3231&lt;='Catatan &amp; Sumber'!$B$14,"Sangat Ketat",IF(J3231&lt;='Catatan &amp; Sumber'!$B$15,"Ketat",IF(J3231&lt;='Catatan &amp; Sumber'!$B$16,"Sedang","Relatif Longgar"))))</x:f>
        <x:v>Relatif Longgar</x:v>
      </x:c>
      <x:c r="N3231" s="66" t="str">
        <x:v>Tidak Ada</x:v>
      </x:c>
      <x:c r="O3231" s="66" t="str">
        <x:v>Jawa Tengah</x:v>
      </x:c>
      <x:c r="P3231" s="66" t="str">
        <x:v>Kota Semarang</x:v>
      </x:c>
      <x:c r="Q3231" s="66" t="str">
        <x:v>https://snpmb.id/snbp/daya-tampung-snbp</x:v>
      </x:c>
      <x:c r="R3231" s="66" t="str">
        <x:v>https://sidatagrun-public-1076756628210.asia-southeast2.run.app/ptn_sn.php?ptn=452</x:v>
      </x:c>
    </x:row>
    <x:row r="3232">
      <x:c r="A3232" s="87" t="n">
        <x:v>1382</x:v>
      </x:c>
      <x:c r="B3232" s="66" t="n">
        <x:v>452</x:v>
      </x:c>
      <x:c r="C3232" s="66" t="str">
        <x:v>POLITEKNIK NEGERI SEMARANG</x:v>
      </x:c>
      <x:c r="D3232" s="66" t="str">
        <x:v>PTN Vokasi</x:v>
      </x:c>
      <x:c r="E3232" s="66" t="str">
        <x:v>24523017</x:v>
      </x:c>
      <x:c r="F3232" s="66" t="str">
        <x:v>TEKNIK INFORMATIKA</x:v>
      </x:c>
      <x:c r="G3232" s="66" t="str">
        <x:v>Diploma Tiga</x:v>
      </x:c>
      <x:c r="H3232" s="87" t="n">
        <x:v>32</x:v>
      </x:c>
      <x:c r="I3232" s="87" t="n">
        <x:v>317</x:v>
      </x:c>
      <x:c r="J3232" s="68" t="n">
        <x:f>IFERROR(H3232/I3232,"")</x:f>
        <x:v>0.10094637223974763</x:v>
      </x:c>
      <x:c r="K3232" s="69" t="n">
        <x:f>IFERROR(I3232/H3232,"")</x:f>
        <x:v>9.90625</x:v>
      </x:c>
      <x:c r="L3232" s="66" t="str">
        <x:f>IF(K3232="","","1 : "&amp;TEXT(K3232,"0.0"))</x:f>
        <x:v>1 : 9.9</x:v>
      </x:c>
      <x:c r="M3232" s="66" t="str">
        <x:f>IF(J3232="","Baru/Tanpa Data",IF(J3232&lt;='Catatan &amp; Sumber'!$B$14,"Sangat Ketat",IF(J3232&lt;='Catatan &amp; Sumber'!$B$15,"Ketat",IF(J3232&lt;='Catatan &amp; Sumber'!$B$16,"Sedang","Relatif Longgar"))))</x:f>
        <x:v>Relatif Longgar</x:v>
      </x:c>
      <x:c r="N3232" s="66" t="str">
        <x:v>Tidak Ada</x:v>
      </x:c>
      <x:c r="O3232" s="66" t="str">
        <x:v>Jawa Tengah</x:v>
      </x:c>
      <x:c r="P3232" s="66" t="str">
        <x:v>Kota Semarang</x:v>
      </x:c>
      <x:c r="Q3232" s="66" t="str">
        <x:v>https://snpmb.id/snbp/daya-tampung-snbp</x:v>
      </x:c>
      <x:c r="R3232" s="66" t="str">
        <x:v>https://sidatagrun-public-1076756628210.asia-southeast2.run.app/ptn_sn.php?ptn=452</x:v>
      </x:c>
    </x:row>
    <x:row r="3233">
      <x:c r="A3233" s="87" t="n">
        <x:v>2199</x:v>
      </x:c>
      <x:c r="B3233" s="66" t="n">
        <x:v>452</x:v>
      </x:c>
      <x:c r="C3233" s="66" t="str">
        <x:v>POLITEKNIK NEGERI SEMARANG</x:v>
      </x:c>
      <x:c r="D3233" s="66" t="str">
        <x:v>PTN Vokasi</x:v>
      </x:c>
      <x:c r="E3233" s="66" t="str">
        <x:v>24523018</x:v>
      </x:c>
      <x:c r="F3233" s="66" t="str">
        <x:v>KEUANGAN DAN PERBANKAN</x:v>
      </x:c>
      <x:c r="G3233" s="66" t="str">
        <x:v>Diploma Tiga</x:v>
      </x:c>
      <x:c r="H3233" s="87" t="n">
        <x:v>36</x:v>
      </x:c>
      <x:c r="I3233" s="87" t="n">
        <x:v>210</x:v>
      </x:c>
      <x:c r="J3233" s="68" t="n">
        <x:f>IFERROR(H3233/I3233,"")</x:f>
        <x:v>0.17142857142857143</x:v>
      </x:c>
      <x:c r="K3233" s="69" t="n">
        <x:f>IFERROR(I3233/H3233,"")</x:f>
        <x:v>5.833333333333333</x:v>
      </x:c>
      <x:c r="L3233" s="66" t="str">
        <x:f>IF(K3233="","","1 : "&amp;TEXT(K3233,"0.0"))</x:f>
        <x:v>1 : 5.8</x:v>
      </x:c>
      <x:c r="M3233" s="66" t="str">
        <x:f>IF(J3233="","Baru/Tanpa Data",IF(J3233&lt;='Catatan &amp; Sumber'!$B$14,"Sangat Ketat",IF(J3233&lt;='Catatan &amp; Sumber'!$B$15,"Ketat",IF(J3233&lt;='Catatan &amp; Sumber'!$B$16,"Sedang","Relatif Longgar"))))</x:f>
        <x:v>Relatif Longgar</x:v>
      </x:c>
      <x:c r="N3233" s="66" t="str">
        <x:v>Tidak Ada</x:v>
      </x:c>
      <x:c r="O3233" s="66" t="str">
        <x:v>Jawa Tengah</x:v>
      </x:c>
      <x:c r="P3233" s="66" t="str">
        <x:v>Kota Semarang</x:v>
      </x:c>
      <x:c r="Q3233" s="66" t="str">
        <x:v>https://snpmb.id/snbp/daya-tampung-snbp</x:v>
      </x:c>
      <x:c r="R3233" s="66" t="str">
        <x:v>https://sidatagrun-public-1076756628210.asia-southeast2.run.app/ptn_sn.php?ptn=452</x:v>
      </x:c>
    </x:row>
    <x:row r="3234">
      <x:c r="A3234" s="87" t="n">
        <x:v>1489</x:v>
      </x:c>
      <x:c r="B3234" s="66" t="n">
        <x:v>452</x:v>
      </x:c>
      <x:c r="C3234" s="66" t="str">
        <x:v>POLITEKNIK NEGERI SEMARANG</x:v>
      </x:c>
      <x:c r="D3234" s="66" t="str">
        <x:v>PTN Vokasi</x:v>
      </x:c>
      <x:c r="E3234" s="66" t="str">
        <x:v>24523019</x:v>
      </x:c>
      <x:c r="F3234" s="66" t="str">
        <x:v>TEKNIK MESIN</x:v>
      </x:c>
      <x:c r="G3234" s="66" t="str">
        <x:v>Diploma Tiga</x:v>
      </x:c>
      <x:c r="H3234" s="87" t="n">
        <x:v>58</x:v>
      </x:c>
      <x:c r="I3234" s="87" t="n">
        <x:v>533</x:v>
      </x:c>
      <x:c r="J3234" s="68" t="n">
        <x:f>IFERROR(H3234/I3234,"")</x:f>
        <x:v>0.10881801125703565</x:v>
      </x:c>
      <x:c r="K3234" s="69" t="n">
        <x:f>IFERROR(I3234/H3234,"")</x:f>
        <x:v>9.189655172413794</x:v>
      </x:c>
      <x:c r="L3234" s="66" t="str">
        <x:f>IF(K3234="","","1 : "&amp;TEXT(K3234,"0.0"))</x:f>
        <x:v>1 : 9.2</x:v>
      </x:c>
      <x:c r="M3234" s="66" t="str">
        <x:f>IF(J3234="","Baru/Tanpa Data",IF(J3234&lt;='Catatan &amp; Sumber'!$B$14,"Sangat Ketat",IF(J3234&lt;='Catatan &amp; Sumber'!$B$15,"Ketat",IF(J3234&lt;='Catatan &amp; Sumber'!$B$16,"Sedang","Relatif Longgar"))))</x:f>
        <x:v>Relatif Longgar</x:v>
      </x:c>
      <x:c r="N3234" s="66" t="str">
        <x:v>Tidak Ada</x:v>
      </x:c>
      <x:c r="O3234" s="66" t="str">
        <x:v>Jawa Tengah</x:v>
      </x:c>
      <x:c r="P3234" s="66" t="str">
        <x:v>Kota Semarang</x:v>
      </x:c>
      <x:c r="Q3234" s="66" t="str">
        <x:v>https://snpmb.id/snbp/daya-tampung-snbp</x:v>
      </x:c>
      <x:c r="R3234" s="66" t="str">
        <x:v>https://sidatagrun-public-1076756628210.asia-southeast2.run.app/ptn_sn.php?ptn=452</x:v>
      </x:c>
    </x:row>
    <x:row r="3235">
      <x:c r="A3235" s="87" t="n">
        <x:v>2119</x:v>
      </x:c>
      <x:c r="B3235" s="66" t="n">
        <x:v>452</x:v>
      </x:c>
      <x:c r="C3235" s="66" t="str">
        <x:v>POLITEKNIK NEGERI SEMARANG</x:v>
      </x:c>
      <x:c r="D3235" s="66" t="str">
        <x:v>PTN Vokasi</x:v>
      </x:c>
      <x:c r="E3235" s="66" t="str">
        <x:v>24523020</x:v>
      </x:c>
      <x:c r="F3235" s="66" t="str">
        <x:v>TEKNIK LISTRIK</x:v>
      </x:c>
      <x:c r="G3235" s="66" t="str">
        <x:v>Diploma Tiga</x:v>
      </x:c>
      <x:c r="H3235" s="87" t="n">
        <x:v>29</x:v>
      </x:c>
      <x:c r="I3235" s="87" t="n">
        <x:v>177</x:v>
      </x:c>
      <x:c r="J3235" s="68" t="n">
        <x:f>IFERROR(H3235/I3235,"")</x:f>
        <x:v>0.1638418079096045</x:v>
      </x:c>
      <x:c r="K3235" s="69" t="n">
        <x:f>IFERROR(I3235/H3235,"")</x:f>
        <x:v>6.103448275862069</x:v>
      </x:c>
      <x:c r="L3235" s="66" t="str">
        <x:f>IF(K3235="","","1 : "&amp;TEXT(K3235,"0.0"))</x:f>
        <x:v>1 : 6.1</x:v>
      </x:c>
      <x:c r="M3235" s="66" t="str">
        <x:f>IF(J3235="","Baru/Tanpa Data",IF(J3235&lt;='Catatan &amp; Sumber'!$B$14,"Sangat Ketat",IF(J3235&lt;='Catatan &amp; Sumber'!$B$15,"Ketat",IF(J3235&lt;='Catatan &amp; Sumber'!$B$16,"Sedang","Relatif Longgar"))))</x:f>
        <x:v>Relatif Longgar</x:v>
      </x:c>
      <x:c r="N3235" s="66" t="str">
        <x:v>Tidak Ada</x:v>
      </x:c>
      <x:c r="O3235" s="66" t="str">
        <x:v>Jawa Tengah</x:v>
      </x:c>
      <x:c r="P3235" s="66" t="str">
        <x:v>Kota Semarang</x:v>
      </x:c>
      <x:c r="Q3235" s="66" t="str">
        <x:v>https://snpmb.id/snbp/daya-tampung-snbp</x:v>
      </x:c>
      <x:c r="R3235" s="66" t="str">
        <x:v>https://sidatagrun-public-1076756628210.asia-southeast2.run.app/ptn_sn.php?ptn=452</x:v>
      </x:c>
    </x:row>
    <x:row r="3236">
      <x:c r="A3236" s="87" t="n">
        <x:v>1955</x:v>
      </x:c>
      <x:c r="B3236" s="66" t="n">
        <x:v>452</x:v>
      </x:c>
      <x:c r="C3236" s="66" t="str">
        <x:v>POLITEKNIK NEGERI SEMARANG</x:v>
      </x:c>
      <x:c r="D3236" s="66" t="str">
        <x:v>PTN Vokasi</x:v>
      </x:c>
      <x:c r="E3236" s="66" t="str">
        <x:v>24523021</x:v>
      </x:c>
      <x:c r="F3236" s="66" t="str">
        <x:v>KONSTRUKSI SIPIL</x:v>
      </x:c>
      <x:c r="G3236" s="66" t="str">
        <x:v>Diploma Tiga</x:v>
      </x:c>
      <x:c r="H3236" s="87" t="n">
        <x:v>32</x:v>
      </x:c>
      <x:c r="I3236" s="87" t="n">
        <x:v>218</x:v>
      </x:c>
      <x:c r="J3236" s="68" t="n">
        <x:f>IFERROR(H3236/I3236,"")</x:f>
        <x:v>0.14678899082568808</x:v>
      </x:c>
      <x:c r="K3236" s="69" t="n">
        <x:f>IFERROR(I3236/H3236,"")</x:f>
        <x:v>6.8125</x:v>
      </x:c>
      <x:c r="L3236" s="66" t="str">
        <x:f>IF(K3236="","","1 : "&amp;TEXT(K3236,"0.0"))</x:f>
        <x:v>1 : 6.8</x:v>
      </x:c>
      <x:c r="M3236" s="66" t="str">
        <x:f>IF(J3236="","Baru/Tanpa Data",IF(J3236&lt;='Catatan &amp; Sumber'!$B$14,"Sangat Ketat",IF(J3236&lt;='Catatan &amp; Sumber'!$B$15,"Ketat",IF(J3236&lt;='Catatan &amp; Sumber'!$B$16,"Sedang","Relatif Longgar"))))</x:f>
        <x:v>Relatif Longgar</x:v>
      </x:c>
      <x:c r="N3236" s="66" t="str">
        <x:v>Tidak Ada</x:v>
      </x:c>
      <x:c r="O3236" s="66" t="str">
        <x:v>Jawa Tengah</x:v>
      </x:c>
      <x:c r="P3236" s="66" t="str">
        <x:v>Kota Semarang</x:v>
      </x:c>
      <x:c r="Q3236" s="66" t="str">
        <x:v>https://snpmb.id/snbp/daya-tampung-snbp</x:v>
      </x:c>
      <x:c r="R3236" s="66" t="str">
        <x:v>https://sidatagrun-public-1076756628210.asia-southeast2.run.app/ptn_sn.php?ptn=452</x:v>
      </x:c>
    </x:row>
    <x:row r="3237">
      <x:c r="A3237" s="87" t="n">
        <x:v>3025</x:v>
      </x:c>
      <x:c r="B3237" s="66" t="n">
        <x:v>452</x:v>
      </x:c>
      <x:c r="C3237" s="66" t="str">
        <x:v>POLITEKNIK NEGERI SEMARANG</x:v>
      </x:c>
      <x:c r="D3237" s="66" t="str">
        <x:v>PTN Vokasi</x:v>
      </x:c>
      <x:c r="E3237" s="66" t="str">
        <x:v>24523022</x:v>
      </x:c>
      <x:c r="F3237" s="66" t="str">
        <x:v>TEKNIK KONVERSI ENERGI</x:v>
      </x:c>
      <x:c r="G3237" s="66" t="str">
        <x:v>Diploma Tiga</x:v>
      </x:c>
      <x:c r="H3237" s="87" t="n">
        <x:v>36</x:v>
      </x:c>
      <x:c r="I3237" s="87" t="n">
        <x:v>120</x:v>
      </x:c>
      <x:c r="J3237" s="68" t="n">
        <x:f>IFERROR(H3237/I3237,"")</x:f>
        <x:v>0.3</x:v>
      </x:c>
      <x:c r="K3237" s="69" t="n">
        <x:f>IFERROR(I3237/H3237,"")</x:f>
        <x:v>3.3333333333333335</x:v>
      </x:c>
      <x:c r="L3237" s="66" t="str">
        <x:f>IF(K3237="","","1 : "&amp;TEXT(K3237,"0.0"))</x:f>
        <x:v>1 : 3.3</x:v>
      </x:c>
      <x:c r="M3237" s="66" t="str">
        <x:f>IF(J3237="","Baru/Tanpa Data",IF(J3237&lt;='Catatan &amp; Sumber'!$B$14,"Sangat Ketat",IF(J3237&lt;='Catatan &amp; Sumber'!$B$15,"Ketat",IF(J3237&lt;='Catatan &amp; Sumber'!$B$16,"Sedang","Relatif Longgar"))))</x:f>
        <x:v>Relatif Longgar</x:v>
      </x:c>
      <x:c r="N3237" s="66" t="str">
        <x:v>Tidak Ada</x:v>
      </x:c>
      <x:c r="O3237" s="66" t="str">
        <x:v>Jawa Tengah</x:v>
      </x:c>
      <x:c r="P3237" s="66" t="str">
        <x:v>Kota Semarang</x:v>
      </x:c>
      <x:c r="Q3237" s="66" t="str">
        <x:v>https://snpmb.id/snbp/daya-tampung-snbp</x:v>
      </x:c>
      <x:c r="R3237" s="66" t="str">
        <x:v>https://sidatagrun-public-1076756628210.asia-southeast2.run.app/ptn_sn.php?ptn=452</x:v>
      </x:c>
    </x:row>
    <x:row r="3238">
      <x:c r="A3238" s="87" t="n">
        <x:v>2177</x:v>
      </x:c>
      <x:c r="B3238" s="66" t="n">
        <x:v>452</x:v>
      </x:c>
      <x:c r="C3238" s="66" t="str">
        <x:v>POLITEKNIK NEGERI SEMARANG</x:v>
      </x:c>
      <x:c r="D3238" s="66" t="str">
        <x:v>PTN Vokasi</x:v>
      </x:c>
      <x:c r="E3238" s="66" t="str">
        <x:v>24523023</x:v>
      </x:c>
      <x:c r="F3238" s="66" t="str">
        <x:v>AKUNTANSI</x:v>
      </x:c>
      <x:c r="G3238" s="66" t="str">
        <x:v>Diploma Tiga</x:v>
      </x:c>
      <x:c r="H3238" s="87" t="n">
        <x:v>54</x:v>
      </x:c>
      <x:c r="I3238" s="87" t="n">
        <x:v>319</x:v>
      </x:c>
      <x:c r="J3238" s="68" t="n">
        <x:f>IFERROR(H3238/I3238,"")</x:f>
        <x:v>0.16927899686520376</x:v>
      </x:c>
      <x:c r="K3238" s="69" t="n">
        <x:f>IFERROR(I3238/H3238,"")</x:f>
        <x:v>5.907407407407407</x:v>
      </x:c>
      <x:c r="L3238" s="66" t="str">
        <x:f>IF(K3238="","","1 : "&amp;TEXT(K3238,"0.0"))</x:f>
        <x:v>1 : 5.9</x:v>
      </x:c>
      <x:c r="M3238" s="66" t="str">
        <x:f>IF(J3238="","Baru/Tanpa Data",IF(J3238&lt;='Catatan &amp; Sumber'!$B$14,"Sangat Ketat",IF(J3238&lt;='Catatan &amp; Sumber'!$B$15,"Ketat",IF(J3238&lt;='Catatan &amp; Sumber'!$B$16,"Sedang","Relatif Longgar"))))</x:f>
        <x:v>Relatif Longgar</x:v>
      </x:c>
      <x:c r="N3238" s="66" t="str">
        <x:v>Tidak Ada</x:v>
      </x:c>
      <x:c r="O3238" s="66" t="str">
        <x:v>Jawa Tengah</x:v>
      </x:c>
      <x:c r="P3238" s="66" t="str">
        <x:v>Kota Semarang</x:v>
      </x:c>
      <x:c r="Q3238" s="66" t="str">
        <x:v>https://snpmb.id/snbp/daya-tampung-snbp</x:v>
      </x:c>
      <x:c r="R3238" s="66" t="str">
        <x:v>https://sidatagrun-public-1076756628210.asia-southeast2.run.app/ptn_sn.php?ptn=452</x:v>
      </x:c>
    </x:row>
    <x:row r="3239">
      <x:c r="A3239" s="87" t="n">
        <x:v>1961</x:v>
      </x:c>
      <x:c r="B3239" s="66" t="n">
        <x:v>452</x:v>
      </x:c>
      <x:c r="C3239" s="66" t="str">
        <x:v>POLITEKNIK NEGERI SEMARANG</x:v>
      </x:c>
      <x:c r="D3239" s="66" t="str">
        <x:v>PTN Vokasi</x:v>
      </x:c>
      <x:c r="E3239" s="66" t="str">
        <x:v>24523024</x:v>
      </x:c>
      <x:c r="F3239" s="66" t="str">
        <x:v>TEKNIK ELEKTRONIKA</x:v>
      </x:c>
      <x:c r="G3239" s="66" t="str">
        <x:v>Diploma Tiga</x:v>
      </x:c>
      <x:c r="H3239" s="87" t="n">
        <x:v>32</x:v>
      </x:c>
      <x:c r="I3239" s="87" t="n">
        <x:v>217</x:v>
      </x:c>
      <x:c r="J3239" s="68" t="n">
        <x:f>IFERROR(H3239/I3239,"")</x:f>
        <x:v>0.14746543778801843</x:v>
      </x:c>
      <x:c r="K3239" s="69" t="n">
        <x:f>IFERROR(I3239/H3239,"")</x:f>
        <x:v>6.78125</x:v>
      </x:c>
      <x:c r="L3239" s="66" t="str">
        <x:f>IF(K3239="","","1 : "&amp;TEXT(K3239,"0.0"))</x:f>
        <x:v>1 : 6.8</x:v>
      </x:c>
      <x:c r="M3239" s="66" t="str">
        <x:f>IF(J3239="","Baru/Tanpa Data",IF(J3239&lt;='Catatan &amp; Sumber'!$B$14,"Sangat Ketat",IF(J3239&lt;='Catatan &amp; Sumber'!$B$15,"Ketat",IF(J3239&lt;='Catatan &amp; Sumber'!$B$16,"Sedang","Relatif Longgar"))))</x:f>
        <x:v>Relatif Longgar</x:v>
      </x:c>
      <x:c r="N3239" s="66" t="str">
        <x:v>Tidak Ada</x:v>
      </x:c>
      <x:c r="O3239" s="66" t="str">
        <x:v>Jawa Tengah</x:v>
      </x:c>
      <x:c r="P3239" s="66" t="str">
        <x:v>Kota Semarang</x:v>
      </x:c>
      <x:c r="Q3239" s="66" t="str">
        <x:v>https://snpmb.id/snbp/daya-tampung-snbp</x:v>
      </x:c>
      <x:c r="R3239" s="66" t="str">
        <x:v>https://sidatagrun-public-1076756628210.asia-southeast2.run.app/ptn_sn.php?ptn=452</x:v>
      </x:c>
    </x:row>
    <x:row r="3240">
      <x:c r="A3240" s="87" t="n">
        <x:v>3041</x:v>
      </x:c>
      <x:c r="B3240" s="66" t="n">
        <x:v>452</x:v>
      </x:c>
      <x:c r="C3240" s="66" t="str">
        <x:v>POLITEKNIK NEGERI SEMARANG</x:v>
      </x:c>
      <x:c r="D3240" s="66" t="str">
        <x:v>PTN Vokasi</x:v>
      </x:c>
      <x:c r="E3240" s="66" t="str">
        <x:v>24523025</x:v>
      </x:c>
      <x:c r="F3240" s="66" t="str">
        <x:v>TEKNIK TELEKOMUNIKASI</x:v>
      </x:c>
      <x:c r="G3240" s="66" t="str">
        <x:v>Diploma Tiga</x:v>
      </x:c>
      <x:c r="H3240" s="87" t="n">
        <x:v>29</x:v>
      </x:c>
      <x:c r="I3240" s="87" t="n">
        <x:v>96</x:v>
      </x:c>
      <x:c r="J3240" s="68" t="n">
        <x:f>IFERROR(H3240/I3240,"")</x:f>
        <x:v>0.3020833333333333</x:v>
      </x:c>
      <x:c r="K3240" s="69" t="n">
        <x:f>IFERROR(I3240/H3240,"")</x:f>
        <x:v>3.310344827586207</x:v>
      </x:c>
      <x:c r="L3240" s="66" t="str">
        <x:f>IF(K3240="","","1 : "&amp;TEXT(K3240,"0.0"))</x:f>
        <x:v>1 : 3.3</x:v>
      </x:c>
      <x:c r="M3240" s="66" t="str">
        <x:f>IF(J3240="","Baru/Tanpa Data",IF(J3240&lt;='Catatan &amp; Sumber'!$B$14,"Sangat Ketat",IF(J3240&lt;='Catatan &amp; Sumber'!$B$15,"Ketat",IF(J3240&lt;='Catatan &amp; Sumber'!$B$16,"Sedang","Relatif Longgar"))))</x:f>
        <x:v>Relatif Longgar</x:v>
      </x:c>
      <x:c r="N3240" s="66" t="str">
        <x:v>Tidak Ada</x:v>
      </x:c>
      <x:c r="O3240" s="66" t="str">
        <x:v>Jawa Tengah</x:v>
      </x:c>
      <x:c r="P3240" s="66" t="str">
        <x:v>Kota Semarang</x:v>
      </x:c>
      <x:c r="Q3240" s="66" t="str">
        <x:v>https://snpmb.id/snbp/daya-tampung-snbp</x:v>
      </x:c>
      <x:c r="R3240" s="66" t="str">
        <x:v>https://sidatagrun-public-1076756628210.asia-southeast2.run.app/ptn_sn.php?ptn=452</x:v>
      </x:c>
    </x:row>
    <x:row r="3241">
      <x:c r="A3241" s="87" t="n">
        <x:v>2704</x:v>
      </x:c>
      <x:c r="B3241" s="66" t="n">
        <x:v>452</x:v>
      </x:c>
      <x:c r="C3241" s="66" t="str">
        <x:v>POLITEKNIK NEGERI SEMARANG</x:v>
      </x:c>
      <x:c r="D3241" s="66" t="str">
        <x:v>PTN Vokasi</x:v>
      </x:c>
      <x:c r="E3241" s="66" t="str">
        <x:v>24523026</x:v>
      </x:c>
      <x:c r="F3241" s="66" t="str">
        <x:v>KONSTRUKSI GEDUNG</x:v>
      </x:c>
      <x:c r="G3241" s="66" t="str">
        <x:v>Diploma Tiga</x:v>
      </x:c>
      <x:c r="H3241" s="87" t="n">
        <x:v>32</x:v>
      </x:c>
      <x:c r="I3241" s="87" t="n">
        <x:v>131</x:v>
      </x:c>
      <x:c r="J3241" s="68" t="n">
        <x:f>IFERROR(H3241/I3241,"")</x:f>
        <x:v>0.24427480916030533</x:v>
      </x:c>
      <x:c r="K3241" s="69" t="n">
        <x:f>IFERROR(I3241/H3241,"")</x:f>
        <x:v>4.09375</x:v>
      </x:c>
      <x:c r="L3241" s="66" t="str">
        <x:f>IF(K3241="","","1 : "&amp;TEXT(K3241,"0.0"))</x:f>
        <x:v>1 : 4.1</x:v>
      </x:c>
      <x:c r="M3241" s="66" t="str">
        <x:f>IF(J3241="","Baru/Tanpa Data",IF(J3241&lt;='Catatan &amp; Sumber'!$B$14,"Sangat Ketat",IF(J3241&lt;='Catatan &amp; Sumber'!$B$15,"Ketat",IF(J3241&lt;='Catatan &amp; Sumber'!$B$16,"Sedang","Relatif Longgar"))))</x:f>
        <x:v>Relatif Longgar</x:v>
      </x:c>
      <x:c r="N3241" s="66" t="str">
        <x:v>Tidak Ada</x:v>
      </x:c>
      <x:c r="O3241" s="66" t="str">
        <x:v>Jawa Tengah</x:v>
      </x:c>
      <x:c r="P3241" s="66" t="str">
        <x:v>Kota Semarang</x:v>
      </x:c>
      <x:c r="Q3241" s="66" t="str">
        <x:v>https://snpmb.id/snbp/daya-tampung-snbp</x:v>
      </x:c>
      <x:c r="R3241" s="66" t="str">
        <x:v>https://sidatagrun-public-1076756628210.asia-southeast2.run.app/ptn_sn.php?ptn=452</x:v>
      </x:c>
    </x:row>
    <x:row r="3242">
      <x:c r="A3242" s="87" t="n">
        <x:v>3176</x:v>
      </x:c>
      <x:c r="B3242" s="66" t="n">
        <x:v>453</x:v>
      </x:c>
      <x:c r="C3242" s="66" t="str">
        <x:v>POLITEKNIK NEGERI CILACAP</x:v>
      </x:c>
      <x:c r="D3242" s="66" t="str">
        <x:v>PTN Vokasi</x:v>
      </x:c>
      <x:c r="E3242" s="66" t="str">
        <x:v>24532001</x:v>
      </x:c>
      <x:c r="F3242" s="66" t="str">
        <x:v>TEKNIK PENGENDALIAN PENCEMARAN LINGKUNGAN</x:v>
      </x:c>
      <x:c r="G3242" s="66" t="str">
        <x:v>Sarjana Terapan</x:v>
      </x:c>
      <x:c r="H3242" s="87" t="n">
        <x:v>45</x:v>
      </x:c>
      <x:c r="I3242" s="87" t="n">
        <x:v>134</x:v>
      </x:c>
      <x:c r="J3242" s="68" t="n">
        <x:f>IFERROR(H3242/I3242,"")</x:f>
        <x:v>0.3358208955223881</x:v>
      </x:c>
      <x:c r="K3242" s="69" t="n">
        <x:f>IFERROR(I3242/H3242,"")</x:f>
        <x:v>2.977777777777778</x:v>
      </x:c>
      <x:c r="L3242" s="66" t="str">
        <x:f>IF(K3242="","","1 : "&amp;TEXT(K3242,"0.0"))</x:f>
        <x:v>1 : 3.0</x:v>
      </x:c>
      <x:c r="M3242" s="66" t="str">
        <x:f>IF(J3242="","Baru/Tanpa Data",IF(J3242&lt;='Catatan &amp; Sumber'!$B$14,"Sangat Ketat",IF(J3242&lt;='Catatan &amp; Sumber'!$B$15,"Ketat",IF(J3242&lt;='Catatan &amp; Sumber'!$B$16,"Sedang","Relatif Longgar"))))</x:f>
        <x:v>Relatif Longgar</x:v>
      </x:c>
      <x:c r="N3242" s="66" t="str">
        <x:v>Tidak Ada</x:v>
      </x:c>
      <x:c r="O3242" s="66" t="str">
        <x:v>Jawa Tengah</x:v>
      </x:c>
      <x:c r="P3242" s="66" t="str">
        <x:v>Kabupaten Cilacap</x:v>
      </x:c>
      <x:c r="Q3242" s="66" t="str">
        <x:v>https://snpmb.id/snbp/daya-tampung-snbp</x:v>
      </x:c>
      <x:c r="R3242" s="66" t="str">
        <x:v>https://sidatagrun-public-1076756628210.asia-southeast2.run.app/ptn_sn.php?ptn=453</x:v>
      </x:c>
    </x:row>
    <x:row r="3243">
      <x:c r="A3243" s="87" t="n">
        <x:v>3370</x:v>
      </x:c>
      <x:c r="B3243" s="66" t="n">
        <x:v>453</x:v>
      </x:c>
      <x:c r="C3243" s="66" t="str">
        <x:v>POLITEKNIK NEGERI CILACAP</x:v>
      </x:c>
      <x:c r="D3243" s="66" t="str">
        <x:v>PTN Vokasi</x:v>
      </x:c>
      <x:c r="E3243" s="66" t="str">
        <x:v>24532002</x:v>
      </x:c>
      <x:c r="F3243" s="66" t="str">
        <x:v>PENGEMBANGAN PRODUK AGROINDUSTRI</x:v>
      </x:c>
      <x:c r="G3243" s="66" t="str">
        <x:v>Sarjana Terapan</x:v>
      </x:c>
      <x:c r="H3243" s="87" t="n">
        <x:v>34</x:v>
      </x:c>
      <x:c r="I3243" s="87" t="n">
        <x:v>87</x:v>
      </x:c>
      <x:c r="J3243" s="68" t="n">
        <x:f>IFERROR(H3243/I3243,"")</x:f>
        <x:v>0.39080459770114945</x:v>
      </x:c>
      <x:c r="K3243" s="69" t="n">
        <x:f>IFERROR(I3243/H3243,"")</x:f>
        <x:v>2.5588235294117645</x:v>
      </x:c>
      <x:c r="L3243" s="66" t="str">
        <x:f>IF(K3243="","","1 : "&amp;TEXT(K3243,"0.0"))</x:f>
        <x:v>1 : 2.6</x:v>
      </x:c>
      <x:c r="M3243" s="66" t="str">
        <x:f>IF(J3243="","Baru/Tanpa Data",IF(J3243&lt;='Catatan &amp; Sumber'!$B$14,"Sangat Ketat",IF(J3243&lt;='Catatan &amp; Sumber'!$B$15,"Ketat",IF(J3243&lt;='Catatan &amp; Sumber'!$B$16,"Sedang","Relatif Longgar"))))</x:f>
        <x:v>Relatif Longgar</x:v>
      </x:c>
      <x:c r="N3243" s="66" t="str">
        <x:v>Tidak Ada</x:v>
      </x:c>
      <x:c r="O3243" s="66" t="str">
        <x:v>Jawa Tengah</x:v>
      </x:c>
      <x:c r="P3243" s="66" t="str">
        <x:v>Kabupaten Cilacap</x:v>
      </x:c>
      <x:c r="Q3243" s="66" t="str">
        <x:v>https://snpmb.id/snbp/daya-tampung-snbp</x:v>
      </x:c>
      <x:c r="R3243" s="66" t="str">
        <x:v>https://sidatagrun-public-1076756628210.asia-southeast2.run.app/ptn_sn.php?ptn=453</x:v>
      </x:c>
    </x:row>
    <x:row r="3244">
      <x:c r="A3244" s="87" t="n">
        <x:v>3335</x:v>
      </x:c>
      <x:c r="B3244" s="66" t="n">
        <x:v>453</x:v>
      </x:c>
      <x:c r="C3244" s="66" t="str">
        <x:v>POLITEKNIK NEGERI CILACAP</x:v>
      </x:c>
      <x:c r="D3244" s="66" t="str">
        <x:v>PTN Vokasi</x:v>
      </x:c>
      <x:c r="E3244" s="66" t="str">
        <x:v>24532007</x:v>
      </x:c>
      <x:c r="F3244" s="66" t="str">
        <x:v>REKAYASA KEAMANAN SIBER</x:v>
      </x:c>
      <x:c r="G3244" s="66" t="str">
        <x:v>Sarjana Terapan</x:v>
      </x:c>
      <x:c r="H3244" s="87" t="n">
        <x:v>34</x:v>
      </x:c>
      <x:c r="I3244" s="87" t="n">
        <x:v>89</x:v>
      </x:c>
      <x:c r="J3244" s="68" t="n">
        <x:f>IFERROR(H3244/I3244,"")</x:f>
        <x:v>0.38202247191011235</x:v>
      </x:c>
      <x:c r="K3244" s="69" t="n">
        <x:f>IFERROR(I3244/H3244,"")</x:f>
        <x:v>2.6176470588235294</x:v>
      </x:c>
      <x:c r="L3244" s="66" t="str">
        <x:f>IF(K3244="","","1 : "&amp;TEXT(K3244,"0.0"))</x:f>
        <x:v>1 : 2.6</x:v>
      </x:c>
      <x:c r="M3244" s="66" t="str">
        <x:f>IF(J3244="","Baru/Tanpa Data",IF(J3244&lt;='Catatan &amp; Sumber'!$B$14,"Sangat Ketat",IF(J3244&lt;='Catatan &amp; Sumber'!$B$15,"Ketat",IF(J3244&lt;='Catatan &amp; Sumber'!$B$16,"Sedang","Relatif Longgar"))))</x:f>
        <x:v>Relatif Longgar</x:v>
      </x:c>
      <x:c r="N3244" s="66" t="str">
        <x:v>Tidak Ada</x:v>
      </x:c>
      <x:c r="O3244" s="66" t="str">
        <x:v>Jawa Tengah</x:v>
      </x:c>
      <x:c r="P3244" s="66" t="str">
        <x:v>Kabupaten Cilacap</x:v>
      </x:c>
      <x:c r="Q3244" s="66" t="str">
        <x:v>https://snpmb.id/snbp/daya-tampung-snbp</x:v>
      </x:c>
      <x:c r="R3244" s="66" t="str">
        <x:v>https://sidatagrun-public-1076756628210.asia-southeast2.run.app/ptn_sn.php?ptn=453</x:v>
      </x:c>
    </x:row>
    <x:row r="3245">
      <x:c r="A3245" s="87" t="n">
        <x:v>3381</x:v>
      </x:c>
      <x:c r="B3245" s="66" t="n">
        <x:v>453</x:v>
      </x:c>
      <x:c r="C3245" s="66" t="str">
        <x:v>POLITEKNIK NEGERI CILACAP</x:v>
      </x:c>
      <x:c r="D3245" s="66" t="str">
        <x:v>PTN Vokasi</x:v>
      </x:c>
      <x:c r="E3245" s="66" t="str">
        <x:v>24532008</x:v>
      </x:c>
      <x:c r="F3245" s="66" t="str">
        <x:v>AKUNTANSI LEMBAGA KEUANGAN SYARIAH</x:v>
      </x:c>
      <x:c r="G3245" s="66" t="str">
        <x:v>Sarjana Terapan</x:v>
      </x:c>
      <x:c r="H3245" s="87" t="n">
        <x:v>34</x:v>
      </x:c>
      <x:c r="I3245" s="87" t="n">
        <x:v>86</x:v>
      </x:c>
      <x:c r="J3245" s="68" t="n">
        <x:f>IFERROR(H3245/I3245,"")</x:f>
        <x:v>0.3953488372093023</x:v>
      </x:c>
      <x:c r="K3245" s="69" t="n">
        <x:f>IFERROR(I3245/H3245,"")</x:f>
        <x:v>2.5294117647058822</x:v>
      </x:c>
      <x:c r="L3245" s="66" t="str">
        <x:f>IF(K3245="","","1 : "&amp;TEXT(K3245,"0.0"))</x:f>
        <x:v>1 : 2.5</x:v>
      </x:c>
      <x:c r="M3245" s="66" t="str">
        <x:f>IF(J3245="","Baru/Tanpa Data",IF(J3245&lt;='Catatan &amp; Sumber'!$B$14,"Sangat Ketat",IF(J3245&lt;='Catatan &amp; Sumber'!$B$15,"Ketat",IF(J3245&lt;='Catatan &amp; Sumber'!$B$16,"Sedang","Relatif Longgar"))))</x:f>
        <x:v>Relatif Longgar</x:v>
      </x:c>
      <x:c r="N3245" s="66" t="str">
        <x:v>Tidak Ada</x:v>
      </x:c>
      <x:c r="O3245" s="66" t="str">
        <x:v>Jawa Tengah</x:v>
      </x:c>
      <x:c r="P3245" s="66" t="str">
        <x:v>Kabupaten Cilacap</x:v>
      </x:c>
      <x:c r="Q3245" s="66" t="str">
        <x:v>https://snpmb.id/snbp/daya-tampung-snbp</x:v>
      </x:c>
      <x:c r="R3245" s="66" t="str">
        <x:v>https://sidatagrun-public-1076756628210.asia-southeast2.run.app/ptn_sn.php?ptn=453</x:v>
      </x:c>
    </x:row>
    <x:row r="3246">
      <x:c r="A3246" s="87" t="n">
        <x:v>3546</x:v>
      </x:c>
      <x:c r="B3246" s="66" t="n">
        <x:v>453</x:v>
      </x:c>
      <x:c r="C3246" s="66" t="str">
        <x:v>POLITEKNIK NEGERI CILACAP</x:v>
      </x:c>
      <x:c r="D3246" s="66" t="str">
        <x:v>PTN Vokasi</x:v>
      </x:c>
      <x:c r="E3246" s="66" t="str">
        <x:v>24532009</x:v>
      </x:c>
      <x:c r="F3246" s="66" t="str">
        <x:v>TEKNOLOGI REKAYASA MEKATRONIKA</x:v>
      </x:c>
      <x:c r="G3246" s="66" t="str">
        <x:v>Sarjana Terapan</x:v>
      </x:c>
      <x:c r="H3246" s="87" t="n">
        <x:v>26</x:v>
      </x:c>
      <x:c r="I3246" s="87" t="n">
        <x:v>58</x:v>
      </x:c>
      <x:c r="J3246" s="68" t="n">
        <x:f>IFERROR(H3246/I3246,"")</x:f>
        <x:v>0.4482758620689655</x:v>
      </x:c>
      <x:c r="K3246" s="69" t="n">
        <x:f>IFERROR(I3246/H3246,"")</x:f>
        <x:v>2.230769230769231</x:v>
      </x:c>
      <x:c r="L3246" s="66" t="str">
        <x:f>IF(K3246="","","1 : "&amp;TEXT(K3246,"0.0"))</x:f>
        <x:v>1 : 2.2</x:v>
      </x:c>
      <x:c r="M3246" s="66" t="str">
        <x:f>IF(J3246="","Baru/Tanpa Data",IF(J3246&lt;='Catatan &amp; Sumber'!$B$14,"Sangat Ketat",IF(J3246&lt;='Catatan &amp; Sumber'!$B$15,"Ketat",IF(J3246&lt;='Catatan &amp; Sumber'!$B$16,"Sedang","Relatif Longgar"))))</x:f>
        <x:v>Relatif Longgar</x:v>
      </x:c>
      <x:c r="N3246" s="66" t="str">
        <x:v>Tidak Ada</x:v>
      </x:c>
      <x:c r="O3246" s="66" t="str">
        <x:v>Jawa Tengah</x:v>
      </x:c>
      <x:c r="P3246" s="66" t="str">
        <x:v>Kabupaten Cilacap</x:v>
      </x:c>
      <x:c r="Q3246" s="66" t="str">
        <x:v>https://snpmb.id/snbp/daya-tampung-snbp</x:v>
      </x:c>
      <x:c r="R3246" s="66" t="str">
        <x:v>https://sidatagrun-public-1076756628210.asia-southeast2.run.app/ptn_sn.php?ptn=453</x:v>
      </x:c>
    </x:row>
    <x:row r="3247">
      <x:c r="A3247" s="87" t="n">
        <x:v>3506</x:v>
      </x:c>
      <x:c r="B3247" s="66" t="n">
        <x:v>453</x:v>
      </x:c>
      <x:c r="C3247" s="66" t="str">
        <x:v>POLITEKNIK NEGERI CILACAP</x:v>
      </x:c>
      <x:c r="D3247" s="66" t="str">
        <x:v>PTN Vokasi</x:v>
      </x:c>
      <x:c r="E3247" s="66" t="str">
        <x:v>24532010</x:v>
      </x:c>
      <x:c r="F3247" s="66" t="str">
        <x:v>TEKNOLOGI REKAYASA MULTIMEDIA</x:v>
      </x:c>
      <x:c r="G3247" s="66" t="str">
        <x:v>Sarjana Terapan</x:v>
      </x:c>
      <x:c r="H3247" s="87" t="n">
        <x:v>34</x:v>
      </x:c>
      <x:c r="I3247" s="87" t="n">
        <x:v>78</x:v>
      </x:c>
      <x:c r="J3247" s="68" t="n">
        <x:f>IFERROR(H3247/I3247,"")</x:f>
        <x:v>0.4358974358974359</x:v>
      </x:c>
      <x:c r="K3247" s="69" t="n">
        <x:f>IFERROR(I3247/H3247,"")</x:f>
        <x:v>2.2941176470588234</x:v>
      </x:c>
      <x:c r="L3247" s="66" t="str">
        <x:f>IF(K3247="","","1 : "&amp;TEXT(K3247,"0.0"))</x:f>
        <x:v>1 : 2.3</x:v>
      </x:c>
      <x:c r="M3247" s="66" t="str">
        <x:f>IF(J3247="","Baru/Tanpa Data",IF(J3247&lt;='Catatan &amp; Sumber'!$B$14,"Sangat Ketat",IF(J3247&lt;='Catatan &amp; Sumber'!$B$15,"Ketat",IF(J3247&lt;='Catatan &amp; Sumber'!$B$16,"Sedang","Relatif Longgar"))))</x:f>
        <x:v>Relatif Longgar</x:v>
      </x:c>
      <x:c r="N3247" s="66" t="str">
        <x:v>Tidak Ada</x:v>
      </x:c>
      <x:c r="O3247" s="66" t="str">
        <x:v>Jawa Tengah</x:v>
      </x:c>
      <x:c r="P3247" s="66" t="str">
        <x:v>Kabupaten Cilacap</x:v>
      </x:c>
      <x:c r="Q3247" s="66" t="str">
        <x:v>https://snpmb.id/snbp/daya-tampung-snbp</x:v>
      </x:c>
      <x:c r="R3247" s="66" t="str">
        <x:v>https://sidatagrun-public-1076756628210.asia-southeast2.run.app/ptn_sn.php?ptn=453</x:v>
      </x:c>
    </x:row>
    <x:row r="3248">
      <x:c r="A3248" s="87" t="n">
        <x:v>3526</x:v>
      </x:c>
      <x:c r="B3248" s="66" t="n">
        <x:v>453</x:v>
      </x:c>
      <x:c r="C3248" s="66" t="str">
        <x:v>POLITEKNIK NEGERI CILACAP</x:v>
      </x:c>
      <x:c r="D3248" s="66" t="str">
        <x:v>PTN Vokasi</x:v>
      </x:c>
      <x:c r="E3248" s="66" t="str">
        <x:v>24532011</x:v>
      </x:c>
      <x:c r="F3248" s="66" t="str">
        <x:v>TEKNOLOGI REKAYASA ENERGI TERBARUKAN</x:v>
      </x:c>
      <x:c r="G3248" s="66" t="str">
        <x:v>Sarjana Terapan</x:v>
      </x:c>
      <x:c r="H3248" s="87" t="n">
        <x:v>23</x:v>
      </x:c>
      <x:c r="I3248" s="87" t="n">
        <x:v>52</x:v>
      </x:c>
      <x:c r="J3248" s="68" t="n">
        <x:f>IFERROR(H3248/I3248,"")</x:f>
        <x:v>0.4423076923076923</x:v>
      </x:c>
      <x:c r="K3248" s="69" t="n">
        <x:f>IFERROR(I3248/H3248,"")</x:f>
        <x:v>2.260869565217391</x:v>
      </x:c>
      <x:c r="L3248" s="66" t="str">
        <x:f>IF(K3248="","","1 : "&amp;TEXT(K3248,"0.0"))</x:f>
        <x:v>1 : 2.3</x:v>
      </x:c>
      <x:c r="M3248" s="66" t="str">
        <x:f>IF(J3248="","Baru/Tanpa Data",IF(J3248&lt;='Catatan &amp; Sumber'!$B$14,"Sangat Ketat",IF(J3248&lt;='Catatan &amp; Sumber'!$B$15,"Ketat",IF(J3248&lt;='Catatan &amp; Sumber'!$B$16,"Sedang","Relatif Longgar"))))</x:f>
        <x:v>Relatif Longgar</x:v>
      </x:c>
      <x:c r="N3248" s="66" t="str">
        <x:v>Tidak Ada</x:v>
      </x:c>
      <x:c r="O3248" s="66" t="str">
        <x:v>Jawa Tengah</x:v>
      </x:c>
      <x:c r="P3248" s="66" t="str">
        <x:v>Kabupaten Cilacap</x:v>
      </x:c>
      <x:c r="Q3248" s="66" t="str">
        <x:v>https://snpmb.id/snbp/daya-tampung-snbp</x:v>
      </x:c>
      <x:c r="R3248" s="66" t="str">
        <x:v>https://sidatagrun-public-1076756628210.asia-southeast2.run.app/ptn_sn.php?ptn=453</x:v>
      </x:c>
    </x:row>
    <x:row r="3249">
      <x:c r="A3249" s="87" t="n">
        <x:v>3958</x:v>
      </x:c>
      <x:c r="B3249" s="66" t="n">
        <x:v>453</x:v>
      </x:c>
      <x:c r="C3249" s="66" t="str">
        <x:v>POLITEKNIK NEGERI CILACAP</x:v>
      </x:c>
      <x:c r="D3249" s="66" t="str">
        <x:v>PTN Vokasi</x:v>
      </x:c>
      <x:c r="E3249" s="66" t="str">
        <x:v>24532012</x:v>
      </x:c>
      <x:c r="F3249" s="66" t="str">
        <x:v>TEKNOLOGI REKAYASA KIMIA INDUSTRI</x:v>
      </x:c>
      <x:c r="G3249" s="66" t="str">
        <x:v>Sarjana Terapan</x:v>
      </x:c>
      <x:c r="H3249" s="87" t="n">
        <x:v>12</x:v>
      </x:c>
      <x:c r="I3249" s="87" t="n">
        <x:v>18</x:v>
      </x:c>
      <x:c r="J3249" s="68" t="n">
        <x:f>IFERROR(H3249/I3249,"")</x:f>
        <x:v>0.6666666666666666</x:v>
      </x:c>
      <x:c r="K3249" s="69" t="n">
        <x:f>IFERROR(I3249/H3249,"")</x:f>
        <x:v>1.5</x:v>
      </x:c>
      <x:c r="L3249" s="66" t="str">
        <x:f>IF(K3249="","","1 : "&amp;TEXT(K3249,"0.0"))</x:f>
        <x:v>1 : 1.5</x:v>
      </x:c>
      <x:c r="M3249" s="66" t="str">
        <x:f>IF(J3249="","Baru/Tanpa Data",IF(J3249&lt;='Catatan &amp; Sumber'!$B$14,"Sangat Ketat",IF(J3249&lt;='Catatan &amp; Sumber'!$B$15,"Ketat",IF(J3249&lt;='Catatan &amp; Sumber'!$B$16,"Sedang","Relatif Longgar"))))</x:f>
        <x:v>Relatif Longgar</x:v>
      </x:c>
      <x:c r="N3249" s="66" t="str">
        <x:v>Tidak Ada</x:v>
      </x:c>
      <x:c r="O3249" s="66" t="str">
        <x:v>Jawa Tengah</x:v>
      </x:c>
      <x:c r="P3249" s="66" t="str">
        <x:v>Kabupaten Cilacap</x:v>
      </x:c>
      <x:c r="Q3249" s="66" t="str">
        <x:v>https://snpmb.id/snbp/daya-tampung-snbp</x:v>
      </x:c>
      <x:c r="R3249" s="66" t="str">
        <x:v>https://sidatagrun-public-1076756628210.asia-southeast2.run.app/ptn_sn.php?ptn=453</x:v>
      </x:c>
    </x:row>
    <x:row r="3250">
      <x:c r="A3250" s="87" t="n">
        <x:v>4163</x:v>
      </x:c>
      <x:c r="B3250" s="66" t="n">
        <x:v>453</x:v>
      </x:c>
      <x:c r="C3250" s="66" t="str">
        <x:v>POLITEKNIK NEGERI CILACAP</x:v>
      </x:c>
      <x:c r="D3250" s="66" t="str">
        <x:v>PTN Vokasi</x:v>
      </x:c>
      <x:c r="E3250" s="66" t="str">
        <x:v>24532013</x:v>
      </x:c>
      <x:c r="F3250" s="66" t="str">
        <x:v>TEKNOLOGI REKAYASA PERANGKAT LUNAK</x:v>
      </x:c>
      <x:c r="G3250" s="66" t="str">
        <x:v>Sarjana Terapan</x:v>
      </x:c>
      <x:c r="H3250" s="87" t="n">
        <x:v>23</x:v>
      </x:c>
      <x:c r="I3250" s="87" t="n">
        <x:v>28</x:v>
      </x:c>
      <x:c r="J3250" s="68" t="n">
        <x:f>IFERROR(H3250/I3250,"")</x:f>
        <x:v>0.8214285714285714</x:v>
      </x:c>
      <x:c r="K3250" s="69" t="n">
        <x:f>IFERROR(I3250/H3250,"")</x:f>
        <x:v>1.2173913043478262</x:v>
      </x:c>
      <x:c r="L3250" s="66" t="str">
        <x:f>IF(K3250="","","1 : "&amp;TEXT(K3250,"0.0"))</x:f>
        <x:v>1 : 1.2</x:v>
      </x:c>
      <x:c r="M3250" s="66" t="str">
        <x:f>IF(J3250="","Baru/Tanpa Data",IF(J3250&lt;='Catatan &amp; Sumber'!$B$14,"Sangat Ketat",IF(J3250&lt;='Catatan &amp; Sumber'!$B$15,"Ketat",IF(J3250&lt;='Catatan &amp; Sumber'!$B$16,"Sedang","Relatif Longgar"))))</x:f>
        <x:v>Relatif Longgar</x:v>
      </x:c>
      <x:c r="N3250" s="66" t="str">
        <x:v>Tidak Ada</x:v>
      </x:c>
      <x:c r="O3250" s="66" t="str">
        <x:v>Jawa Tengah</x:v>
      </x:c>
      <x:c r="P3250" s="66" t="str">
        <x:v>Kabupaten Cilacap</x:v>
      </x:c>
      <x:c r="Q3250" s="66" t="str">
        <x:v>https://snpmb.id/snbp/daya-tampung-snbp</x:v>
      </x:c>
      <x:c r="R3250" s="66" t="str">
        <x:v>https://sidatagrun-public-1076756628210.asia-southeast2.run.app/ptn_sn.php?ptn=453</x:v>
      </x:c>
    </x:row>
    <x:row r="3251">
      <x:c r="A3251" s="87" t="n">
        <x:v>3408</x:v>
      </x:c>
      <x:c r="B3251" s="66" t="n">
        <x:v>453</x:v>
      </x:c>
      <x:c r="C3251" s="66" t="str">
        <x:v>POLITEKNIK NEGERI CILACAP</x:v>
      </x:c>
      <x:c r="D3251" s="66" t="str">
        <x:v>PTN Vokasi</x:v>
      </x:c>
      <x:c r="E3251" s="66" t="str">
        <x:v>24533003</x:v>
      </x:c>
      <x:c r="F3251" s="66" t="str">
        <x:v>TEKNIK LISTRIK</x:v>
      </x:c>
      <x:c r="G3251" s="66" t="str">
        <x:v>Diploma Tiga</x:v>
      </x:c>
      <x:c r="H3251" s="87" t="n">
        <x:v>34</x:v>
      </x:c>
      <x:c r="I3251" s="87" t="n">
        <x:v>84</x:v>
      </x:c>
      <x:c r="J3251" s="68" t="n">
        <x:f>IFERROR(H3251/I3251,"")</x:f>
        <x:v>0.40476190476190477</x:v>
      </x:c>
      <x:c r="K3251" s="69" t="n">
        <x:f>IFERROR(I3251/H3251,"")</x:f>
        <x:v>2.4705882352941178</x:v>
      </x:c>
      <x:c r="L3251" s="66" t="str">
        <x:f>IF(K3251="","","1 : "&amp;TEXT(K3251,"0.0"))</x:f>
        <x:v>1 : 2.5</x:v>
      </x:c>
      <x:c r="M3251" s="66" t="str">
        <x:f>IF(J3251="","Baru/Tanpa Data",IF(J3251&lt;='Catatan &amp; Sumber'!$B$14,"Sangat Ketat",IF(J3251&lt;='Catatan &amp; Sumber'!$B$15,"Ketat",IF(J3251&lt;='Catatan &amp; Sumber'!$B$16,"Sedang","Relatif Longgar"))))</x:f>
        <x:v>Relatif Longgar</x:v>
      </x:c>
      <x:c r="N3251" s="66" t="str">
        <x:v>Tidak Ada</x:v>
      </x:c>
      <x:c r="O3251" s="66" t="str">
        <x:v>Jawa Tengah</x:v>
      </x:c>
      <x:c r="P3251" s="66" t="str">
        <x:v>Kabupaten Cilacap</x:v>
      </x:c>
      <x:c r="Q3251" s="66" t="str">
        <x:v>https://snpmb.id/snbp/daya-tampung-snbp</x:v>
      </x:c>
      <x:c r="R3251" s="66" t="str">
        <x:v>https://sidatagrun-public-1076756628210.asia-southeast2.run.app/ptn_sn.php?ptn=453</x:v>
      </x:c>
    </x:row>
    <x:row r="3252">
      <x:c r="A3252" s="87" t="n">
        <x:v>2751</x:v>
      </x:c>
      <x:c r="B3252" s="66" t="n">
        <x:v>453</x:v>
      </x:c>
      <x:c r="C3252" s="66" t="str">
        <x:v>POLITEKNIK NEGERI CILACAP</x:v>
      </x:c>
      <x:c r="D3252" s="66" t="str">
        <x:v>PTN Vokasi</x:v>
      </x:c>
      <x:c r="E3252" s="66" t="str">
        <x:v>24533004</x:v>
      </x:c>
      <x:c r="F3252" s="66" t="str">
        <x:v>TEKNIK INFORMATIKA</x:v>
      </x:c>
      <x:c r="G3252" s="66" t="str">
        <x:v>Diploma Tiga</x:v>
      </x:c>
      <x:c r="H3252" s="87" t="n">
        <x:v>45</x:v>
      </x:c>
      <x:c r="I3252" s="87" t="n">
        <x:v>179</x:v>
      </x:c>
      <x:c r="J3252" s="68" t="n">
        <x:f>IFERROR(H3252/I3252,"")</x:f>
        <x:v>0.25139664804469275</x:v>
      </x:c>
      <x:c r="K3252" s="69" t="n">
        <x:f>IFERROR(I3252/H3252,"")</x:f>
        <x:v>3.977777777777778</x:v>
      </x:c>
      <x:c r="L3252" s="66" t="str">
        <x:f>IF(K3252="","","1 : "&amp;TEXT(K3252,"0.0"))</x:f>
        <x:v>1 : 4.0</x:v>
      </x:c>
      <x:c r="M3252" s="66" t="str">
        <x:f>IF(J3252="","Baru/Tanpa Data",IF(J3252&lt;='Catatan &amp; Sumber'!$B$14,"Sangat Ketat",IF(J3252&lt;='Catatan &amp; Sumber'!$B$15,"Ketat",IF(J3252&lt;='Catatan &amp; Sumber'!$B$16,"Sedang","Relatif Longgar"))))</x:f>
        <x:v>Relatif Longgar</x:v>
      </x:c>
      <x:c r="N3252" s="66" t="str">
        <x:v>Tidak Ada</x:v>
      </x:c>
      <x:c r="O3252" s="66" t="str">
        <x:v>Jawa Tengah</x:v>
      </x:c>
      <x:c r="P3252" s="66" t="str">
        <x:v>Kabupaten Cilacap</x:v>
      </x:c>
      <x:c r="Q3252" s="66" t="str">
        <x:v>https://snpmb.id/snbp/daya-tampung-snbp</x:v>
      </x:c>
      <x:c r="R3252" s="66" t="str">
        <x:v>https://sidatagrun-public-1076756628210.asia-southeast2.run.app/ptn_sn.php?ptn=453</x:v>
      </x:c>
    </x:row>
    <x:row r="3253">
      <x:c r="A3253" s="87" t="n">
        <x:v>3352</x:v>
      </x:c>
      <x:c r="B3253" s="66" t="n">
        <x:v>453</x:v>
      </x:c>
      <x:c r="C3253" s="66" t="str">
        <x:v>POLITEKNIK NEGERI CILACAP</x:v>
      </x:c>
      <x:c r="D3253" s="66" t="str">
        <x:v>PTN Vokasi</x:v>
      </x:c>
      <x:c r="E3253" s="66" t="str">
        <x:v>24533005</x:v>
      </x:c>
      <x:c r="F3253" s="66" t="str">
        <x:v>TEKNIK ELEKTRONIKA</x:v>
      </x:c>
      <x:c r="G3253" s="66" t="str">
        <x:v>Diploma Tiga</x:v>
      </x:c>
      <x:c r="H3253" s="87" t="n">
        <x:v>34</x:v>
      </x:c>
      <x:c r="I3253" s="87" t="n">
        <x:v>88</x:v>
      </x:c>
      <x:c r="J3253" s="68" t="n">
        <x:f>IFERROR(H3253/I3253,"")</x:f>
        <x:v>0.38636363636363635</x:v>
      </x:c>
      <x:c r="K3253" s="69" t="n">
        <x:f>IFERROR(I3253/H3253,"")</x:f>
        <x:v>2.588235294117647</x:v>
      </x:c>
      <x:c r="L3253" s="66" t="str">
        <x:f>IF(K3253="","","1 : "&amp;TEXT(K3253,"0.0"))</x:f>
        <x:v>1 : 2.6</x:v>
      </x:c>
      <x:c r="M3253" s="66" t="str">
        <x:f>IF(J3253="","Baru/Tanpa Data",IF(J3253&lt;='Catatan &amp; Sumber'!$B$14,"Sangat Ketat",IF(J3253&lt;='Catatan &amp; Sumber'!$B$15,"Ketat",IF(J3253&lt;='Catatan &amp; Sumber'!$B$16,"Sedang","Relatif Longgar"))))</x:f>
        <x:v>Relatif Longgar</x:v>
      </x:c>
      <x:c r="N3253" s="66" t="str">
        <x:v>Tidak Ada</x:v>
      </x:c>
      <x:c r="O3253" s="66" t="str">
        <x:v>Jawa Tengah</x:v>
      </x:c>
      <x:c r="P3253" s="66" t="str">
        <x:v>Kabupaten Cilacap</x:v>
      </x:c>
      <x:c r="Q3253" s="66" t="str">
        <x:v>https://snpmb.id/snbp/daya-tampung-snbp</x:v>
      </x:c>
      <x:c r="R3253" s="66" t="str">
        <x:v>https://sidatagrun-public-1076756628210.asia-southeast2.run.app/ptn_sn.php?ptn=453</x:v>
      </x:c>
    </x:row>
    <x:row r="3254">
      <x:c r="A3254" s="87" t="n">
        <x:v>2533</x:v>
      </x:c>
      <x:c r="B3254" s="66" t="n">
        <x:v>453</x:v>
      </x:c>
      <x:c r="C3254" s="66" t="str">
        <x:v>POLITEKNIK NEGERI CILACAP</x:v>
      </x:c>
      <x:c r="D3254" s="66" t="str">
        <x:v>PTN Vokasi</x:v>
      </x:c>
      <x:c r="E3254" s="66" t="str">
        <x:v>24533006</x:v>
      </x:c>
      <x:c r="F3254" s="66" t="str">
        <x:v>TEKNIK MESIN</x:v>
      </x:c>
      <x:c r="G3254" s="66" t="str">
        <x:v>Diploma Tiga</x:v>
      </x:c>
      <x:c r="H3254" s="87" t="n">
        <x:v>34</x:v>
      </x:c>
      <x:c r="I3254" s="87" t="n">
        <x:v>157</x:v>
      </x:c>
      <x:c r="J3254" s="68" t="n">
        <x:f>IFERROR(H3254/I3254,"")</x:f>
        <x:v>0.21656050955414013</x:v>
      </x:c>
      <x:c r="K3254" s="69" t="n">
        <x:f>IFERROR(I3254/H3254,"")</x:f>
        <x:v>4.617647058823529</x:v>
      </x:c>
      <x:c r="L3254" s="66" t="str">
        <x:f>IF(K3254="","","1 : "&amp;TEXT(K3254,"0.0"))</x:f>
        <x:v>1 : 4.6</x:v>
      </x:c>
      <x:c r="M3254" s="66" t="str">
        <x:f>IF(J3254="","Baru/Tanpa Data",IF(J3254&lt;='Catatan &amp; Sumber'!$B$14,"Sangat Ketat",IF(J3254&lt;='Catatan &amp; Sumber'!$B$15,"Ketat",IF(J3254&lt;='Catatan &amp; Sumber'!$B$16,"Sedang","Relatif Longgar"))))</x:f>
        <x:v>Relatif Longgar</x:v>
      </x:c>
      <x:c r="N3254" s="66" t="str">
        <x:v>Tidak Ada</x:v>
      </x:c>
      <x:c r="O3254" s="66" t="str">
        <x:v>Jawa Tengah</x:v>
      </x:c>
      <x:c r="P3254" s="66" t="str">
        <x:v>Kabupaten Cilacap</x:v>
      </x:c>
      <x:c r="Q3254" s="66" t="str">
        <x:v>https://snpmb.id/snbp/daya-tampung-snbp</x:v>
      </x:c>
      <x:c r="R3254" s="66" t="str">
        <x:v>https://sidatagrun-public-1076756628210.asia-southeast2.run.app/ptn_sn.php?ptn=453</x:v>
      </x:c>
    </x:row>
    <x:row r="3255">
      <x:c r="A3255" s="87" t="n">
        <x:v>3942</x:v>
      </x:c>
      <x:c r="B3255" s="66" t="n">
        <x:v>454</x:v>
      </x:c>
      <x:c r="C3255" s="66" t="str">
        <x:v>POLITEKNIK MARITIM NEGERI INDONESIA</x:v>
      </x:c>
      <x:c r="D3255" s="66" t="str">
        <x:v>PTN Vokasi</x:v>
      </x:c>
      <x:c r="E3255" s="66" t="str">
        <x:v>24542004</x:v>
      </x:c>
      <x:c r="F3255" s="66" t="str">
        <x:v>TRANSPORTASI LAUT</x:v>
      </x:c>
      <x:c r="G3255" s="66" t="str">
        <x:v>Sarjana Terapan</x:v>
      </x:c>
      <x:c r="H3255" s="87" t="n">
        <x:v>83</x:v>
      </x:c>
      <x:c r="I3255" s="87" t="n">
        <x:v>128</x:v>
      </x:c>
      <x:c r="J3255" s="68" t="n">
        <x:f>IFERROR(H3255/I3255,"")</x:f>
        <x:v>0.6484375</x:v>
      </x:c>
      <x:c r="K3255" s="69" t="n">
        <x:f>IFERROR(I3255/H3255,"")</x:f>
        <x:v>1.5421686746987953</x:v>
      </x:c>
      <x:c r="L3255" s="66" t="str">
        <x:f>IF(K3255="","","1 : "&amp;TEXT(K3255,"0.0"))</x:f>
        <x:v>1 : 1.5</x:v>
      </x:c>
      <x:c r="M3255" s="66" t="str">
        <x:f>IF(J3255="","Baru/Tanpa Data",IF(J3255&lt;='Catatan &amp; Sumber'!$B$14,"Sangat Ketat",IF(J3255&lt;='Catatan &amp; Sumber'!$B$15,"Ketat",IF(J3255&lt;='Catatan &amp; Sumber'!$B$16,"Sedang","Relatif Longgar"))))</x:f>
        <x:v>Relatif Longgar</x:v>
      </x:c>
      <x:c r="N3255" s="66" t="str">
        <x:v>Tidak Ada</x:v>
      </x:c>
      <x:c r="O3255" s="66" t="str">
        <x:v>Jawa Tengah</x:v>
      </x:c>
      <x:c r="P3255" s="66" t="str">
        <x:v>Kota Semarang</x:v>
      </x:c>
      <x:c r="Q3255" s="66" t="str">
        <x:v>https://snpmb.id/snbp/daya-tampung-snbp</x:v>
      </x:c>
      <x:c r="R3255" s="66" t="str">
        <x:v>https://sidatagrun-public-1076756628210.asia-southeast2.run.app/ptn_sn.php?ptn=454</x:v>
      </x:c>
    </x:row>
    <x:row r="3256">
      <x:c r="A3256" s="87" t="n">
        <x:v>3096</x:v>
      </x:c>
      <x:c r="B3256" s="66" t="n">
        <x:v>454</x:v>
      </x:c>
      <x:c r="C3256" s="66" t="str">
        <x:v>POLITEKNIK MARITIM NEGERI INDONESIA</x:v>
      </x:c>
      <x:c r="D3256" s="66" t="str">
        <x:v>PTN Vokasi</x:v>
      </x:c>
      <x:c r="E3256" s="66" t="str">
        <x:v>24542005</x:v>
      </x:c>
      <x:c r="F3256" s="66" t="str">
        <x:v>NAUTIKA</x:v>
      </x:c>
      <x:c r="G3256" s="66" t="str">
        <x:v>Sarjana Terapan</x:v>
      </x:c>
      <x:c r="H3256" s="87" t="n">
        <x:v>40</x:v>
      </x:c>
      <x:c r="I3256" s="87" t="n">
        <x:v>127</x:v>
      </x:c>
      <x:c r="J3256" s="68" t="n">
        <x:f>IFERROR(H3256/I3256,"")</x:f>
        <x:v>0.31496062992125984</x:v>
      </x:c>
      <x:c r="K3256" s="69" t="n">
        <x:f>IFERROR(I3256/H3256,"")</x:f>
        <x:v>3.175</x:v>
      </x:c>
      <x:c r="L3256" s="66" t="str">
        <x:f>IF(K3256="","","1 : "&amp;TEXT(K3256,"0.0"))</x:f>
        <x:v>1 : 3.2</x:v>
      </x:c>
      <x:c r="M3256" s="66" t="str">
        <x:f>IF(J3256="","Baru/Tanpa Data",IF(J3256&lt;='Catatan &amp; Sumber'!$B$14,"Sangat Ketat",IF(J3256&lt;='Catatan &amp; Sumber'!$B$15,"Ketat",IF(J3256&lt;='Catatan &amp; Sumber'!$B$16,"Sedang","Relatif Longgar"))))</x:f>
        <x:v>Relatif Longgar</x:v>
      </x:c>
      <x:c r="N3256" s="66" t="str">
        <x:v>Tidak Ada</x:v>
      </x:c>
      <x:c r="O3256" s="66" t="str">
        <x:v>Jawa Tengah</x:v>
      </x:c>
      <x:c r="P3256" s="66" t="str">
        <x:v>Kota Semarang</x:v>
      </x:c>
      <x:c r="Q3256" s="66" t="str">
        <x:v>https://snpmb.id/snbp/daya-tampung-snbp</x:v>
      </x:c>
      <x:c r="R3256" s="66" t="str">
        <x:v>https://sidatagrun-public-1076756628210.asia-southeast2.run.app/ptn_sn.php?ptn=454</x:v>
      </x:c>
    </x:row>
    <x:row r="3257">
      <x:c r="A3257" s="87" t="n">
        <x:v>4429</x:v>
      </x:c>
      <x:c r="B3257" s="66" t="n">
        <x:v>454</x:v>
      </x:c>
      <x:c r="C3257" s="66" t="str">
        <x:v>POLITEKNIK MARITIM NEGERI INDONESIA</x:v>
      </x:c>
      <x:c r="D3257" s="66" t="str">
        <x:v>PTN Vokasi</x:v>
      </x:c>
      <x:c r="E3257" s="66" t="str">
        <x:v>24542006</x:v>
      </x:c>
      <x:c r="F3257" s="66" t="str">
        <x:v>TEKNOLOGI REKAYASA PERMESINAN KAPAL</x:v>
      </x:c>
      <x:c r="G3257" s="66" t="str">
        <x:v>Sarjana Terapan</x:v>
      </x:c>
      <x:c r="H3257" s="87" t="n">
        <x:v>40</x:v>
      </x:c>
      <x:c r="I3257" s="87" t="n">
        <x:v>34</x:v>
      </x:c>
      <x:c r="J3257" s="68" t="n">
        <x:f>IFERROR(H3257/I3257,"")</x:f>
        <x:v>1.1764705882352942</x:v>
      </x:c>
      <x:c r="K3257" s="69" t="n">
        <x:f>IFERROR(I3257/H3257,"")</x:f>
        <x:v>0.85</x:v>
      </x:c>
      <x:c r="L3257" s="66" t="str">
        <x:f>IF(K3257="","","1 : "&amp;TEXT(K3257,"0.0"))</x:f>
        <x:v>1 : 0.9</x:v>
      </x:c>
      <x:c r="M3257" s="66" t="str">
        <x:f>IF(J3257="","Baru/Tanpa Data",IF(J3257&lt;='Catatan &amp; Sumber'!$B$14,"Sangat Ketat",IF(J3257&lt;='Catatan &amp; Sumber'!$B$15,"Ketat",IF(J3257&lt;='Catatan &amp; Sumber'!$B$16,"Sedang","Relatif Longgar"))))</x:f>
        <x:v>Relatif Longgar</x:v>
      </x:c>
      <x:c r="N3257" s="66" t="str">
        <x:v>Tidak Ada</x:v>
      </x:c>
      <x:c r="O3257" s="66" t="str">
        <x:v>Jawa Tengah</x:v>
      </x:c>
      <x:c r="P3257" s="66" t="str">
        <x:v>Kota Semarang</x:v>
      </x:c>
      <x:c r="Q3257" s="66" t="str">
        <x:v>https://snpmb.id/snbp/daya-tampung-snbp</x:v>
      </x:c>
      <x:c r="R3257" s="66" t="str">
        <x:v>https://sidatagrun-public-1076756628210.asia-southeast2.run.app/ptn_sn.php?ptn=454</x:v>
      </x:c>
    </x:row>
    <x:row r="3258">
      <x:c r="A3258" s="87" t="n">
        <x:v>4886</x:v>
      </x:c>
      <x:c r="B3258" s="66" t="n">
        <x:v>454</x:v>
      </x:c>
      <x:c r="C3258" s="66" t="str">
        <x:v>POLITEKNIK MARITIM NEGERI INDONESIA</x:v>
      </x:c>
      <x:c r="D3258" s="66" t="str">
        <x:v>PTN Vokasi</x:v>
      </x:c>
      <x:c r="E3258" s="66" t="str">
        <x:v>24542007</x:v>
      </x:c>
      <x:c r="F3258" s="66" t="str">
        <x:v>TEKNOLOGI REKAYASA MEKATRONIKA</x:v>
      </x:c>
      <x:c r="G3258" s="66" t="str">
        <x:v>Sarjana Terapan</x:v>
      </x:c>
      <x:c r="H3258" s="87" t="n">
        <x:v>50</x:v>
      </x:c>
      <x:c r="I3258" s="87" t="n">
        <x:v>5</x:v>
      </x:c>
      <x:c r="J3258" s="68" t="n">
        <x:f>IFERROR(H3258/I3258,"")</x:f>
        <x:v>10</x:v>
      </x:c>
      <x:c r="K3258" s="69" t="n">
        <x:f>IFERROR(I3258/H3258,"")</x:f>
        <x:v>0.1</x:v>
      </x:c>
      <x:c r="L3258" s="66" t="str">
        <x:f>IF(K3258="","","1 : "&amp;TEXT(K3258,"0.0"))</x:f>
        <x:v>1 : 0.1</x:v>
      </x:c>
      <x:c r="M3258" s="66" t="str">
        <x:f>IF(J3258="","Baru/Tanpa Data",IF(J3258&lt;='Catatan &amp; Sumber'!$B$14,"Sangat Ketat",IF(J3258&lt;='Catatan &amp; Sumber'!$B$15,"Ketat",IF(J3258&lt;='Catatan &amp; Sumber'!$B$16,"Sedang","Relatif Longgar"))))</x:f>
        <x:v>Relatif Longgar</x:v>
      </x:c>
      <x:c r="N3258" s="66" t="str">
        <x:v>Tidak Ada</x:v>
      </x:c>
      <x:c r="O3258" s="66" t="str">
        <x:v>Jawa Tengah</x:v>
      </x:c>
      <x:c r="P3258" s="66" t="str">
        <x:v>Kota Semarang</x:v>
      </x:c>
      <x:c r="Q3258" s="66" t="str">
        <x:v>https://snpmb.id/snbp/daya-tampung-snbp</x:v>
      </x:c>
      <x:c r="R3258" s="66" t="str">
        <x:v>https://sidatagrun-public-1076756628210.asia-southeast2.run.app/ptn_sn.php?ptn=454</x:v>
      </x:c>
    </x:row>
    <x:row r="3259">
      <x:c r="A3259" s="87" t="n">
        <x:v>4085</x:v>
      </x:c>
      <x:c r="B3259" s="66" t="n">
        <x:v>454</x:v>
      </x:c>
      <x:c r="C3259" s="66" t="str">
        <x:v>POLITEKNIK MARITIM NEGERI INDONESIA</x:v>
      </x:c>
      <x:c r="D3259" s="66" t="str">
        <x:v>PTN Vokasi</x:v>
      </x:c>
      <x:c r="E3259" s="66" t="str">
        <x:v>24542008</x:v>
      </x:c>
      <x:c r="F3259" s="66" t="str">
        <x:v>BISNIS DAN LOGISTIK MARITIM</x:v>
      </x:c>
      <x:c r="G3259" s="66" t="str">
        <x:v>Sarjana Terapan</x:v>
      </x:c>
      <x:c r="H3259" s="87" t="n">
        <x:v>66</x:v>
      </x:c>
      <x:c r="I3259" s="87" t="n">
        <x:v>88</x:v>
      </x:c>
      <x:c r="J3259" s="68" t="n">
        <x:f>IFERROR(H3259/I3259,"")</x:f>
        <x:v>0.75</x:v>
      </x:c>
      <x:c r="K3259" s="69" t="n">
        <x:f>IFERROR(I3259/H3259,"")</x:f>
        <x:v>1.3333333333333333</x:v>
      </x:c>
      <x:c r="L3259" s="66" t="str">
        <x:f>IF(K3259="","","1 : "&amp;TEXT(K3259,"0.0"))</x:f>
        <x:v>1 : 1.3</x:v>
      </x:c>
      <x:c r="M3259" s="66" t="str">
        <x:f>IF(J3259="","Baru/Tanpa Data",IF(J3259&lt;='Catatan &amp; Sumber'!$B$14,"Sangat Ketat",IF(J3259&lt;='Catatan &amp; Sumber'!$B$15,"Ketat",IF(J3259&lt;='Catatan &amp; Sumber'!$B$16,"Sedang","Relatif Longgar"))))</x:f>
        <x:v>Relatif Longgar</x:v>
      </x:c>
      <x:c r="N3259" s="66" t="str">
        <x:v>Tidak Ada</x:v>
      </x:c>
      <x:c r="O3259" s="66" t="str">
        <x:v>Jawa Tengah</x:v>
      </x:c>
      <x:c r="P3259" s="66" t="str">
        <x:v>Kota Semarang</x:v>
      </x:c>
      <x:c r="Q3259" s="66" t="str">
        <x:v>https://snpmb.id/snbp/daya-tampung-snbp</x:v>
      </x:c>
      <x:c r="R3259" s="66" t="str">
        <x:v>https://sidatagrun-public-1076756628210.asia-southeast2.run.app/ptn_sn.php?ptn=454</x:v>
      </x:c>
    </x:row>
    <x:row r="3260">
      <x:c r="A3260" s="87" t="n">
        <x:v>4574</x:v>
      </x:c>
      <x:c r="B3260" s="66" t="n">
        <x:v>454</x:v>
      </x:c>
      <x:c r="C3260" s="66" t="str">
        <x:v>POLITEKNIK MARITIM NEGERI INDONESIA</x:v>
      </x:c>
      <x:c r="D3260" s="66" t="str">
        <x:v>PTN Vokasi</x:v>
      </x:c>
      <x:c r="E3260" s="66" t="str">
        <x:v>24543009</x:v>
      </x:c>
      <x:c r="F3260" s="66" t="str">
        <x:v>NAUTIKA</x:v>
      </x:c>
      <x:c r="G3260" s="66" t="str">
        <x:v>Diploma Tiga</x:v>
      </x:c>
      <x:c r="H3260" s="87" t="n">
        <x:v>26</x:v>
      </x:c>
      <x:c r="I3260" s="87" t="n">
        <x:v>17</x:v>
      </x:c>
      <x:c r="J3260" s="68" t="n">
        <x:f>IFERROR(H3260/I3260,"")</x:f>
        <x:v>1.5294117647058822</x:v>
      </x:c>
      <x:c r="K3260" s="69" t="n">
        <x:f>IFERROR(I3260/H3260,"")</x:f>
        <x:v>0.6538461538461539</x:v>
      </x:c>
      <x:c r="L3260" s="66" t="str">
        <x:f>IF(K3260="","","1 : "&amp;TEXT(K3260,"0.0"))</x:f>
        <x:v>1 : 0.7</x:v>
      </x:c>
      <x:c r="M3260" s="66" t="str">
        <x:f>IF(J3260="","Baru/Tanpa Data",IF(J3260&lt;='Catatan &amp; Sumber'!$B$14,"Sangat Ketat",IF(J3260&lt;='Catatan &amp; Sumber'!$B$15,"Ketat",IF(J3260&lt;='Catatan &amp; Sumber'!$B$16,"Sedang","Relatif Longgar"))))</x:f>
        <x:v>Relatif Longgar</x:v>
      </x:c>
      <x:c r="N3260" s="66" t="str">
        <x:v>Tidak Ada</x:v>
      </x:c>
      <x:c r="O3260" s="66" t="str">
        <x:v>Jawa Tengah</x:v>
      </x:c>
      <x:c r="P3260" s="66" t="str">
        <x:v>Kota Semarang</x:v>
      </x:c>
      <x:c r="Q3260" s="66" t="str">
        <x:v>https://snpmb.id/snbp/daya-tampung-snbp</x:v>
      </x:c>
      <x:c r="R3260" s="66" t="str">
        <x:v>https://sidatagrun-public-1076756628210.asia-southeast2.run.app/ptn_sn.php?ptn=454</x:v>
      </x:c>
    </x:row>
    <x:row r="3261">
      <x:c r="A3261" s="87" t="n">
        <x:v>4170</x:v>
      </x:c>
      <x:c r="B3261" s="66" t="n">
        <x:v>454</x:v>
      </x:c>
      <x:c r="C3261" s="66" t="str">
        <x:v>POLITEKNIK MARITIM NEGERI INDONESIA</x:v>
      </x:c>
      <x:c r="D3261" s="66" t="str">
        <x:v>PTN Vokasi</x:v>
      </x:c>
      <x:c r="E3261" s="66" t="str">
        <x:v>24543010</x:v>
      </x:c>
      <x:c r="F3261" s="66" t="str">
        <x:v>TEKNIKA</x:v>
      </x:c>
      <x:c r="G3261" s="66" t="str">
        <x:v>Diploma Tiga</x:v>
      </x:c>
      <x:c r="H3261" s="87" t="n">
        <x:v>40</x:v>
      </x:c>
      <x:c r="I3261" s="87" t="n">
        <x:v>48</x:v>
      </x:c>
      <x:c r="J3261" s="68" t="n">
        <x:f>IFERROR(H3261/I3261,"")</x:f>
        <x:v>0.8333333333333334</x:v>
      </x:c>
      <x:c r="K3261" s="69" t="n">
        <x:f>IFERROR(I3261/H3261,"")</x:f>
        <x:v>1.2</x:v>
      </x:c>
      <x:c r="L3261" s="66" t="str">
        <x:f>IF(K3261="","","1 : "&amp;TEXT(K3261,"0.0"))</x:f>
        <x:v>1 : 1.2</x:v>
      </x:c>
      <x:c r="M3261" s="66" t="str">
        <x:f>IF(J3261="","Baru/Tanpa Data",IF(J3261&lt;='Catatan &amp; Sumber'!$B$14,"Sangat Ketat",IF(J3261&lt;='Catatan &amp; Sumber'!$B$15,"Ketat",IF(J3261&lt;='Catatan &amp; Sumber'!$B$16,"Sedang","Relatif Longgar"))))</x:f>
        <x:v>Relatif Longgar</x:v>
      </x:c>
      <x:c r="N3261" s="66" t="str">
        <x:v>Tidak Ada</x:v>
      </x:c>
      <x:c r="O3261" s="66" t="str">
        <x:v>Jawa Tengah</x:v>
      </x:c>
      <x:c r="P3261" s="66" t="str">
        <x:v>Kota Semarang</x:v>
      </x:c>
      <x:c r="Q3261" s="66" t="str">
        <x:v>https://snpmb.id/snbp/daya-tampung-snbp</x:v>
      </x:c>
      <x:c r="R3261" s="66" t="str">
        <x:v>https://sidatagrun-public-1076756628210.asia-southeast2.run.app/ptn_sn.php?ptn=454</x:v>
      </x:c>
    </x:row>
    <x:row r="3262">
      <x:c r="A3262" s="87" t="n">
        <x:v>3957</x:v>
      </x:c>
      <x:c r="B3262" s="66" t="n">
        <x:v>471</x:v>
      </x:c>
      <x:c r="C3262" s="66" t="str">
        <x:v>POLITEKNIK NEGERI BANYUWANGI</x:v>
      </x:c>
      <x:c r="D3262" s="66" t="str">
        <x:v>PTN Vokasi</x:v>
      </x:c>
      <x:c r="E3262" s="66" t="str">
        <x:v>24712001</x:v>
      </x:c>
      <x:c r="F3262" s="66" t="str">
        <x:v>AGRIBISNIS</x:v>
      </x:c>
      <x:c r="G3262" s="66" t="str">
        <x:v>Sarjana Terapan</x:v>
      </x:c>
      <x:c r="H3262" s="87" t="n">
        <x:v>75</x:v>
      </x:c>
      <x:c r="I3262" s="87" t="n">
        <x:v>113</x:v>
      </x:c>
      <x:c r="J3262" s="68" t="n">
        <x:f>IFERROR(H3262/I3262,"")</x:f>
        <x:v>0.6637168141592921</x:v>
      </x:c>
      <x:c r="K3262" s="69" t="n">
        <x:f>IFERROR(I3262/H3262,"")</x:f>
        <x:v>1.5066666666666666</x:v>
      </x:c>
      <x:c r="L3262" s="66" t="str">
        <x:f>IF(K3262="","","1 : "&amp;TEXT(K3262,"0.0"))</x:f>
        <x:v>1 : 1.5</x:v>
      </x:c>
      <x:c r="M3262" s="66" t="str">
        <x:f>IF(J3262="","Baru/Tanpa Data",IF(J3262&lt;='Catatan &amp; Sumber'!$B$14,"Sangat Ketat",IF(J3262&lt;='Catatan &amp; Sumber'!$B$15,"Ketat",IF(J3262&lt;='Catatan &amp; Sumber'!$B$16,"Sedang","Relatif Longgar"))))</x:f>
        <x:v>Relatif Longgar</x:v>
      </x:c>
      <x:c r="N3262" s="66" t="str">
        <x:v>Tidak Ada</x:v>
      </x:c>
      <x:c r="O3262" s="66" t="str">
        <x:v>Jawa Timur</x:v>
      </x:c>
      <x:c r="P3262" s="66" t="str">
        <x:v>Kabupaten Banyuwangi</x:v>
      </x:c>
      <x:c r="Q3262" s="66" t="str">
        <x:v>https://snpmb.id/snbp/daya-tampung-snbp</x:v>
      </x:c>
      <x:c r="R3262" s="66" t="str">
        <x:v>https://sidatagrun-public-1076756628210.asia-southeast2.run.app/ptn_sn.php?ptn=471</x:v>
      </x:c>
    </x:row>
    <x:row r="3263">
      <x:c r="A3263" s="87" t="n">
        <x:v>4602</x:v>
      </x:c>
      <x:c r="B3263" s="66" t="n">
        <x:v>471</x:v>
      </x:c>
      <x:c r="C3263" s="66" t="str">
        <x:v>POLITEKNIK NEGERI BANYUWANGI</x:v>
      </x:c>
      <x:c r="D3263" s="66" t="str">
        <x:v>PTN Vokasi</x:v>
      </x:c>
      <x:c r="E3263" s="66" t="str">
        <x:v>24712002</x:v>
      </x:c>
      <x:c r="F3263" s="66" t="str">
        <x:v>TEKNOLOGI PENGOLAHAN HASIL TERNAK</x:v>
      </x:c>
      <x:c r="G3263" s="66" t="str">
        <x:v>Sarjana Terapan</x:v>
      </x:c>
      <x:c r="H3263" s="87" t="n">
        <x:v>45</x:v>
      </x:c>
      <x:c r="I3263" s="87" t="n">
        <x:v>27</x:v>
      </x:c>
      <x:c r="J3263" s="68" t="n">
        <x:f>IFERROR(H3263/I3263,"")</x:f>
        <x:v>1.6666666666666667</x:v>
      </x:c>
      <x:c r="K3263" s="69" t="n">
        <x:f>IFERROR(I3263/H3263,"")</x:f>
        <x:v>0.6</x:v>
      </x:c>
      <x:c r="L3263" s="66" t="str">
        <x:f>IF(K3263="","","1 : "&amp;TEXT(K3263,"0.0"))</x:f>
        <x:v>1 : 0.6</x:v>
      </x:c>
      <x:c r="M3263" s="66" t="str">
        <x:f>IF(J3263="","Baru/Tanpa Data",IF(J3263&lt;='Catatan &amp; Sumber'!$B$14,"Sangat Ketat",IF(J3263&lt;='Catatan &amp; Sumber'!$B$15,"Ketat",IF(J3263&lt;='Catatan &amp; Sumber'!$B$16,"Sedang","Relatif Longgar"))))</x:f>
        <x:v>Relatif Longgar</x:v>
      </x:c>
      <x:c r="N3263" s="66" t="str">
        <x:v>Tidak Ada</x:v>
      </x:c>
      <x:c r="O3263" s="66" t="str">
        <x:v>Jawa Timur</x:v>
      </x:c>
      <x:c r="P3263" s="66" t="str">
        <x:v>Kabupaten Banyuwangi</x:v>
      </x:c>
      <x:c r="Q3263" s="66" t="str">
        <x:v>https://snpmb.id/snbp/daya-tampung-snbp</x:v>
      </x:c>
      <x:c r="R3263" s="66" t="str">
        <x:v>https://sidatagrun-public-1076756628210.asia-southeast2.run.app/ptn_sn.php?ptn=471</x:v>
      </x:c>
    </x:row>
    <x:row r="3264">
      <x:c r="A3264" s="87" t="n">
        <x:v>4170</x:v>
      </x:c>
      <x:c r="B3264" s="66" t="n">
        <x:v>471</x:v>
      </x:c>
      <x:c r="C3264" s="66" t="str">
        <x:v>POLITEKNIK NEGERI BANYUWANGI</x:v>
      </x:c>
      <x:c r="D3264" s="66" t="str">
        <x:v>PTN Vokasi</x:v>
      </x:c>
      <x:c r="E3264" s="66" t="str">
        <x:v>24712003</x:v>
      </x:c>
      <x:c r="F3264" s="66" t="str">
        <x:v>TEKNIK MANUFAKTUR KAPAL</x:v>
      </x:c>
      <x:c r="G3264" s="66" t="str">
        <x:v>Sarjana Terapan</x:v>
      </x:c>
      <x:c r="H3264" s="87" t="n">
        <x:v>30</x:v>
      </x:c>
      <x:c r="I3264" s="87" t="n">
        <x:v>36</x:v>
      </x:c>
      <x:c r="J3264" s="68" t="n">
        <x:f>IFERROR(H3264/I3264,"")</x:f>
        <x:v>0.8333333333333334</x:v>
      </x:c>
      <x:c r="K3264" s="69" t="n">
        <x:f>IFERROR(I3264/H3264,"")</x:f>
        <x:v>1.2</x:v>
      </x:c>
      <x:c r="L3264" s="66" t="str">
        <x:f>IF(K3264="","","1 : "&amp;TEXT(K3264,"0.0"))</x:f>
        <x:v>1 : 1.2</x:v>
      </x:c>
      <x:c r="M3264" s="66" t="str">
        <x:f>IF(J3264="","Baru/Tanpa Data",IF(J3264&lt;='Catatan &amp; Sumber'!$B$14,"Sangat Ketat",IF(J3264&lt;='Catatan &amp; Sumber'!$B$15,"Ketat",IF(J3264&lt;='Catatan &amp; Sumber'!$B$16,"Sedang","Relatif Longgar"))))</x:f>
        <x:v>Relatif Longgar</x:v>
      </x:c>
      <x:c r="N3264" s="66" t="str">
        <x:v>Tidak Ada</x:v>
      </x:c>
      <x:c r="O3264" s="66" t="str">
        <x:v>Jawa Timur</x:v>
      </x:c>
      <x:c r="P3264" s="66" t="str">
        <x:v>Kabupaten Banyuwangi</x:v>
      </x:c>
      <x:c r="Q3264" s="66" t="str">
        <x:v>https://snpmb.id/snbp/daya-tampung-snbp</x:v>
      </x:c>
      <x:c r="R3264" s="66" t="str">
        <x:v>https://sidatagrun-public-1076756628210.asia-southeast2.run.app/ptn_sn.php?ptn=471</x:v>
      </x:c>
    </x:row>
    <x:row r="3265">
      <x:c r="A3265" s="87" t="n">
        <x:v>2902</x:v>
      </x:c>
      <x:c r="B3265" s="66" t="n">
        <x:v>471</x:v>
      </x:c>
      <x:c r="C3265" s="66" t="str">
        <x:v>POLITEKNIK NEGERI BANYUWANGI</x:v>
      </x:c>
      <x:c r="D3265" s="66" t="str">
        <x:v>PTN Vokasi</x:v>
      </x:c>
      <x:c r="E3265" s="66" t="str">
        <x:v>24712004</x:v>
      </x:c>
      <x:c r="F3265" s="66" t="str">
        <x:v>MANAJEMEN BISNIS PARIWISATA</x:v>
      </x:c>
      <x:c r="G3265" s="66" t="str">
        <x:v>Sarjana Terapan</x:v>
      </x:c>
      <x:c r="H3265" s="87" t="n">
        <x:v>60</x:v>
      </x:c>
      <x:c r="I3265" s="87" t="n">
        <x:v>218</x:v>
      </x:c>
      <x:c r="J3265" s="68" t="n">
        <x:f>IFERROR(H3265/I3265,"")</x:f>
        <x:v>0.27522935779816515</x:v>
      </x:c>
      <x:c r="K3265" s="69" t="n">
        <x:f>IFERROR(I3265/H3265,"")</x:f>
        <x:v>3.6333333333333333</x:v>
      </x:c>
      <x:c r="L3265" s="66" t="str">
        <x:f>IF(K3265="","","1 : "&amp;TEXT(K3265,"0.0"))</x:f>
        <x:v>1 : 3.6</x:v>
      </x:c>
      <x:c r="M3265" s="66" t="str">
        <x:f>IF(J3265="","Baru/Tanpa Data",IF(J3265&lt;='Catatan &amp; Sumber'!$B$14,"Sangat Ketat",IF(J3265&lt;='Catatan &amp; Sumber'!$B$15,"Ketat",IF(J3265&lt;='Catatan &amp; Sumber'!$B$16,"Sedang","Relatif Longgar"))))</x:f>
        <x:v>Relatif Longgar</x:v>
      </x:c>
      <x:c r="N3265" s="66" t="str">
        <x:v>Tidak Ada</x:v>
      </x:c>
      <x:c r="O3265" s="66" t="str">
        <x:v>Jawa Timur</x:v>
      </x:c>
      <x:c r="P3265" s="66" t="str">
        <x:v>Kabupaten Banyuwangi</x:v>
      </x:c>
      <x:c r="Q3265" s="66" t="str">
        <x:v>https://snpmb.id/snbp/daya-tampung-snbp</x:v>
      </x:c>
      <x:c r="R3265" s="66" t="str">
        <x:v>https://sidatagrun-public-1076756628210.asia-southeast2.run.app/ptn_sn.php?ptn=471</x:v>
      </x:c>
    </x:row>
    <x:row r="3266">
      <x:c r="A3266" s="87" t="n">
        <x:v>4340</x:v>
      </x:c>
      <x:c r="B3266" s="66" t="n">
        <x:v>471</x:v>
      </x:c>
      <x:c r="C3266" s="66" t="str">
        <x:v>POLITEKNIK NEGERI BANYUWANGI</x:v>
      </x:c>
      <x:c r="D3266" s="66" t="str">
        <x:v>PTN Vokasi</x:v>
      </x:c>
      <x:c r="E3266" s="66" t="str">
        <x:v>24712005</x:v>
      </x:c>
      <x:c r="F3266" s="66" t="str">
        <x:v>TEKNOLOGI REKAYASA MANUFAKTUR</x:v>
      </x:c>
      <x:c r="G3266" s="66" t="str">
        <x:v>Sarjana Terapan</x:v>
      </x:c>
      <x:c r="H3266" s="87" t="n">
        <x:v>45</x:v>
      </x:c>
      <x:c r="I3266" s="87" t="n">
        <x:v>44</x:v>
      </x:c>
      <x:c r="J3266" s="68" t="n">
        <x:f>IFERROR(H3266/I3266,"")</x:f>
        <x:v>1.0227272727272727</x:v>
      </x:c>
      <x:c r="K3266" s="69" t="n">
        <x:f>IFERROR(I3266/H3266,"")</x:f>
        <x:v>0.9777777777777777</x:v>
      </x:c>
      <x:c r="L3266" s="66" t="str">
        <x:f>IF(K3266="","","1 : "&amp;TEXT(K3266,"0.0"))</x:f>
        <x:v>1 : 1.0</x:v>
      </x:c>
      <x:c r="M3266" s="66" t="str">
        <x:f>IF(J3266="","Baru/Tanpa Data",IF(J3266&lt;='Catatan &amp; Sumber'!$B$14,"Sangat Ketat",IF(J3266&lt;='Catatan &amp; Sumber'!$B$15,"Ketat",IF(J3266&lt;='Catatan &amp; Sumber'!$B$16,"Sedang","Relatif Longgar"))))</x:f>
        <x:v>Relatif Longgar</x:v>
      </x:c>
      <x:c r="N3266" s="66" t="str">
        <x:v>Tidak Ada</x:v>
      </x:c>
      <x:c r="O3266" s="66" t="str">
        <x:v>Jawa Timur</x:v>
      </x:c>
      <x:c r="P3266" s="66" t="str">
        <x:v>Kabupaten Banyuwangi</x:v>
      </x:c>
      <x:c r="Q3266" s="66" t="str">
        <x:v>https://snpmb.id/snbp/daya-tampung-snbp</x:v>
      </x:c>
      <x:c r="R3266" s="66" t="str">
        <x:v>https://sidatagrun-public-1076756628210.asia-southeast2.run.app/ptn_sn.php?ptn=471</x:v>
      </x:c>
    </x:row>
    <x:row r="3267">
      <x:c r="A3267" s="87" t="n">
        <x:v>3929</x:v>
      </x:c>
      <x:c r="B3267" s="66" t="n">
        <x:v>471</x:v>
      </x:c>
      <x:c r="C3267" s="66" t="str">
        <x:v>POLITEKNIK NEGERI BANYUWANGI</x:v>
      </x:c>
      <x:c r="D3267" s="66" t="str">
        <x:v>PTN Vokasi</x:v>
      </x:c>
      <x:c r="E3267" s="66" t="str">
        <x:v>24712006</x:v>
      </x:c>
      <x:c r="F3267" s="66" t="str">
        <x:v>TEKNOLOGI REKAYASA PERANGKAT LUNAK</x:v>
      </x:c>
      <x:c r="G3267" s="66" t="str">
        <x:v>Sarjana Terapan</x:v>
      </x:c>
      <x:c r="H3267" s="87" t="n">
        <x:v>75</x:v>
      </x:c>
      <x:c r="I3267" s="87" t="n">
        <x:v>117</x:v>
      </x:c>
      <x:c r="J3267" s="68" t="n">
        <x:f>IFERROR(H3267/I3267,"")</x:f>
        <x:v>0.6410256410256411</x:v>
      </x:c>
      <x:c r="K3267" s="69" t="n">
        <x:f>IFERROR(I3267/H3267,"")</x:f>
        <x:v>1.56</x:v>
      </x:c>
      <x:c r="L3267" s="66" t="str">
        <x:f>IF(K3267="","","1 : "&amp;TEXT(K3267,"0.0"))</x:f>
        <x:v>1 : 1.6</x:v>
      </x:c>
      <x:c r="M3267" s="66" t="str">
        <x:f>IF(J3267="","Baru/Tanpa Data",IF(J3267&lt;='Catatan &amp; Sumber'!$B$14,"Sangat Ketat",IF(J3267&lt;='Catatan &amp; Sumber'!$B$15,"Ketat",IF(J3267&lt;='Catatan &amp; Sumber'!$B$16,"Sedang","Relatif Longgar"))))</x:f>
        <x:v>Relatif Longgar</x:v>
      </x:c>
      <x:c r="N3267" s="66" t="str">
        <x:v>Tidak Ada</x:v>
      </x:c>
      <x:c r="O3267" s="66" t="str">
        <x:v>Jawa Timur</x:v>
      </x:c>
      <x:c r="P3267" s="66" t="str">
        <x:v>Kabupaten Banyuwangi</x:v>
      </x:c>
      <x:c r="Q3267" s="66" t="str">
        <x:v>https://snpmb.id/snbp/daya-tampung-snbp</x:v>
      </x:c>
      <x:c r="R3267" s="66" t="str">
        <x:v>https://sidatagrun-public-1076756628210.asia-southeast2.run.app/ptn_sn.php?ptn=471</x:v>
      </x:c>
    </x:row>
    <x:row r="3268">
      <x:c r="A3268" s="87" t="n">
        <x:v>3827</x:v>
      </x:c>
      <x:c r="B3268" s="66" t="n">
        <x:v>471</x:v>
      </x:c>
      <x:c r="C3268" s="66" t="str">
        <x:v>POLITEKNIK NEGERI BANYUWANGI</x:v>
      </x:c>
      <x:c r="D3268" s="66" t="str">
        <x:v>PTN Vokasi</x:v>
      </x:c>
      <x:c r="E3268" s="66" t="str">
        <x:v>24712008</x:v>
      </x:c>
      <x:c r="F3268" s="66" t="str">
        <x:v>TEKNOLOGI REKAYASA KOMPUTER</x:v>
      </x:c>
      <x:c r="G3268" s="66" t="str">
        <x:v>Sarjana Terapan</x:v>
      </x:c>
      <x:c r="H3268" s="87" t="n">
        <x:v>37</x:v>
      </x:c>
      <x:c r="I3268" s="87" t="n">
        <x:v>63</x:v>
      </x:c>
      <x:c r="J3268" s="68" t="n">
        <x:f>IFERROR(H3268/I3268,"")</x:f>
        <x:v>0.5873015873015873</x:v>
      </x:c>
      <x:c r="K3268" s="69" t="n">
        <x:f>IFERROR(I3268/H3268,"")</x:f>
        <x:v>1.7027027027027026</x:v>
      </x:c>
      <x:c r="L3268" s="66" t="str">
        <x:f>IF(K3268="","","1 : "&amp;TEXT(K3268,"0.0"))</x:f>
        <x:v>1 : 1.7</x:v>
      </x:c>
      <x:c r="M3268" s="66" t="str">
        <x:f>IF(J3268="","Baru/Tanpa Data",IF(J3268&lt;='Catatan &amp; Sumber'!$B$14,"Sangat Ketat",IF(J3268&lt;='Catatan &amp; Sumber'!$B$15,"Ketat",IF(J3268&lt;='Catatan &amp; Sumber'!$B$16,"Sedang","Relatif Longgar"))))</x:f>
        <x:v>Relatif Longgar</x:v>
      </x:c>
      <x:c r="N3268" s="66" t="str">
        <x:v>Tidak Ada</x:v>
      </x:c>
      <x:c r="O3268" s="66" t="str">
        <x:v>Jawa Timur</x:v>
      </x:c>
      <x:c r="P3268" s="66" t="str">
        <x:v>Kabupaten Banyuwangi</x:v>
      </x:c>
      <x:c r="Q3268" s="66" t="str">
        <x:v>https://snpmb.id/snbp/daya-tampung-snbp</x:v>
      </x:c>
      <x:c r="R3268" s="66" t="str">
        <x:v>https://sidatagrun-public-1076756628210.asia-southeast2.run.app/ptn_sn.php?ptn=471</x:v>
      </x:c>
    </x:row>
    <x:row r="3269">
      <x:c r="A3269" s="87" t="n">
        <x:v>3015</x:v>
      </x:c>
      <x:c r="B3269" s="66" t="n">
        <x:v>471</x:v>
      </x:c>
      <x:c r="C3269" s="66" t="str">
        <x:v>POLITEKNIK NEGERI BANYUWANGI</x:v>
      </x:c>
      <x:c r="D3269" s="66" t="str">
        <x:v>PTN Vokasi</x:v>
      </x:c>
      <x:c r="E3269" s="66" t="str">
        <x:v>24712009</x:v>
      </x:c>
      <x:c r="F3269" s="66" t="str">
        <x:v>BISNIS DIGITAL</x:v>
      </x:c>
      <x:c r="G3269" s="66" t="str">
        <x:v>Sarjana Terapan</x:v>
      </x:c>
      <x:c r="H3269" s="87" t="n">
        <x:v>45</x:v>
      </x:c>
      <x:c r="I3269" s="87" t="n">
        <x:v>151</x:v>
      </x:c>
      <x:c r="J3269" s="68" t="n">
        <x:f>IFERROR(H3269/I3269,"")</x:f>
        <x:v>0.2980132450331126</x:v>
      </x:c>
      <x:c r="K3269" s="69" t="n">
        <x:f>IFERROR(I3269/H3269,"")</x:f>
        <x:v>3.3555555555555556</x:v>
      </x:c>
      <x:c r="L3269" s="66" t="str">
        <x:f>IF(K3269="","","1 : "&amp;TEXT(K3269,"0.0"))</x:f>
        <x:v>1 : 3.4</x:v>
      </x:c>
      <x:c r="M3269" s="66" t="str">
        <x:f>IF(J3269="","Baru/Tanpa Data",IF(J3269&lt;='Catatan &amp; Sumber'!$B$14,"Sangat Ketat",IF(J3269&lt;='Catatan &amp; Sumber'!$B$15,"Ketat",IF(J3269&lt;='Catatan &amp; Sumber'!$B$16,"Sedang","Relatif Longgar"))))</x:f>
        <x:v>Relatif Longgar</x:v>
      </x:c>
      <x:c r="N3269" s="66" t="str">
        <x:v>Tidak Ada</x:v>
      </x:c>
      <x:c r="O3269" s="66" t="str">
        <x:v>Jawa Timur</x:v>
      </x:c>
      <x:c r="P3269" s="66" t="str">
        <x:v>Kabupaten Banyuwangi</x:v>
      </x:c>
      <x:c r="Q3269" s="66" t="str">
        <x:v>https://snpmb.id/snbp/daya-tampung-snbp</x:v>
      </x:c>
      <x:c r="R3269" s="66" t="str">
        <x:v>https://sidatagrun-public-1076756628210.asia-southeast2.run.app/ptn_sn.php?ptn=471</x:v>
      </x:c>
    </x:row>
    <x:row r="3270">
      <x:c r="A3270" s="87" t="n">
        <x:v>4532</x:v>
      </x:c>
      <x:c r="B3270" s="66" t="n">
        <x:v>471</x:v>
      </x:c>
      <x:c r="C3270" s="66" t="str">
        <x:v>POLITEKNIK NEGERI BANYUWANGI</x:v>
      </x:c>
      <x:c r="D3270" s="66" t="str">
        <x:v>PTN Vokasi</x:v>
      </x:c>
      <x:c r="E3270" s="66" t="str">
        <x:v>24712010</x:v>
      </x:c>
      <x:c r="F3270" s="66" t="str">
        <x:v>TEKNOLOGI REKAYASA KONSTRUKSI JALAN DAN JEMBATAN</x:v>
      </x:c>
      <x:c r="G3270" s="66" t="str">
        <x:v>Sarjana Terapan</x:v>
      </x:c>
      <x:c r="H3270" s="87" t="n">
        <x:v>30</x:v>
      </x:c>
      <x:c r="I3270" s="87" t="n">
        <x:v>21</x:v>
      </x:c>
      <x:c r="J3270" s="68" t="n">
        <x:f>IFERROR(H3270/I3270,"")</x:f>
        <x:v>1.4285714285714286</x:v>
      </x:c>
      <x:c r="K3270" s="69" t="n">
        <x:f>IFERROR(I3270/H3270,"")</x:f>
        <x:v>0.7</x:v>
      </x:c>
      <x:c r="L3270" s="66" t="str">
        <x:f>IF(K3270="","","1 : "&amp;TEXT(K3270,"0.0"))</x:f>
        <x:v>1 : 0.7</x:v>
      </x:c>
      <x:c r="M3270" s="66" t="str">
        <x:f>IF(J3270="","Baru/Tanpa Data",IF(J3270&lt;='Catatan &amp; Sumber'!$B$14,"Sangat Ketat",IF(J3270&lt;='Catatan &amp; Sumber'!$B$15,"Ketat",IF(J3270&lt;='Catatan &amp; Sumber'!$B$16,"Sedang","Relatif Longgar"))))</x:f>
        <x:v>Relatif Longgar</x:v>
      </x:c>
      <x:c r="N3270" s="66" t="str">
        <x:v>Tidak Ada</x:v>
      </x:c>
      <x:c r="O3270" s="66" t="str">
        <x:v>Jawa Timur</x:v>
      </x:c>
      <x:c r="P3270" s="66" t="str">
        <x:v>Kabupaten Banyuwangi</x:v>
      </x:c>
      <x:c r="Q3270" s="66" t="str">
        <x:v>https://snpmb.id/snbp/daya-tampung-snbp</x:v>
      </x:c>
      <x:c r="R3270" s="66" t="str">
        <x:v>https://sidatagrun-public-1076756628210.asia-southeast2.run.app/ptn_sn.php?ptn=471</x:v>
      </x:c>
    </x:row>
    <x:row r="3271">
      <x:c r="A3271" s="87" t="n">
        <x:v>4704</x:v>
      </x:c>
      <x:c r="B3271" s="66" t="n">
        <x:v>471</x:v>
      </x:c>
      <x:c r="C3271" s="66" t="str">
        <x:v>POLITEKNIK NEGERI BANYUWANGI</x:v>
      </x:c>
      <x:c r="D3271" s="66" t="str">
        <x:v>PTN Vokasi</x:v>
      </x:c>
      <x:c r="E3271" s="66" t="str">
        <x:v>24712011</x:v>
      </x:c>
      <x:c r="F3271" s="66" t="str">
        <x:v>TEKNOLOGI PRODUKSI TERNAK</x:v>
      </x:c>
      <x:c r="G3271" s="66" t="str">
        <x:v>Sarjana Terapan</x:v>
      </x:c>
      <x:c r="H3271" s="87" t="n">
        <x:v>30</x:v>
      </x:c>
      <x:c r="I3271" s="87" t="n">
        <x:v>13</x:v>
      </x:c>
      <x:c r="J3271" s="68" t="n">
        <x:f>IFERROR(H3271/I3271,"")</x:f>
        <x:v>2.3076923076923075</x:v>
      </x:c>
      <x:c r="K3271" s="69" t="n">
        <x:f>IFERROR(I3271/H3271,"")</x:f>
        <x:v>0.43333333333333335</x:v>
      </x:c>
      <x:c r="L3271" s="66" t="str">
        <x:f>IF(K3271="","","1 : "&amp;TEXT(K3271,"0.0"))</x:f>
        <x:v>1 : 0.4</x:v>
      </x:c>
      <x:c r="M3271" s="66" t="str">
        <x:f>IF(J3271="","Baru/Tanpa Data",IF(J3271&lt;='Catatan &amp; Sumber'!$B$14,"Sangat Ketat",IF(J3271&lt;='Catatan &amp; Sumber'!$B$15,"Ketat",IF(J3271&lt;='Catatan &amp; Sumber'!$B$16,"Sedang","Relatif Longgar"))))</x:f>
        <x:v>Relatif Longgar</x:v>
      </x:c>
      <x:c r="N3271" s="66" t="str">
        <x:v>Tidak Ada</x:v>
      </x:c>
      <x:c r="O3271" s="66" t="str">
        <x:v>Jawa Timur</x:v>
      </x:c>
      <x:c r="P3271" s="66" t="str">
        <x:v>Kabupaten Banyuwangi</x:v>
      </x:c>
      <x:c r="Q3271" s="66" t="str">
        <x:v>https://snpmb.id/snbp/daya-tampung-snbp</x:v>
      </x:c>
      <x:c r="R3271" s="66" t="str">
        <x:v>https://sidatagrun-public-1076756628210.asia-southeast2.run.app/ptn_sn.php?ptn=471</x:v>
      </x:c>
    </x:row>
    <x:row r="3272">
      <x:c r="A3272" s="87" t="n">
        <x:v>4648</x:v>
      </x:c>
      <x:c r="B3272" s="66" t="n">
        <x:v>471</x:v>
      </x:c>
      <x:c r="C3272" s="66" t="str">
        <x:v>POLITEKNIK NEGERI BANYUWANGI</x:v>
      </x:c>
      <x:c r="D3272" s="66" t="str">
        <x:v>PTN Vokasi</x:v>
      </x:c>
      <x:c r="E3272" s="66" t="str">
        <x:v>24712012</x:v>
      </x:c>
      <x:c r="F3272" s="66" t="str">
        <x:v>PENGEMBANGAN PRODUK AGROINDUSTRI</x:v>
      </x:c>
      <x:c r="G3272" s="66" t="str">
        <x:v>Sarjana Terapan</x:v>
      </x:c>
      <x:c r="H3272" s="87" t="n">
        <x:v>30</x:v>
      </x:c>
      <x:c r="I3272" s="87" t="n">
        <x:v>16</x:v>
      </x:c>
      <x:c r="J3272" s="68" t="n">
        <x:f>IFERROR(H3272/I3272,"")</x:f>
        <x:v>1.875</x:v>
      </x:c>
      <x:c r="K3272" s="69" t="n">
        <x:f>IFERROR(I3272/H3272,"")</x:f>
        <x:v>0.5333333333333333</x:v>
      </x:c>
      <x:c r="L3272" s="66" t="str">
        <x:f>IF(K3272="","","1 : "&amp;TEXT(K3272,"0.0"))</x:f>
        <x:v>1 : 0.5</x:v>
      </x:c>
      <x:c r="M3272" s="66" t="str">
        <x:f>IF(J3272="","Baru/Tanpa Data",IF(J3272&lt;='Catatan &amp; Sumber'!$B$14,"Sangat Ketat",IF(J3272&lt;='Catatan &amp; Sumber'!$B$15,"Ketat",IF(J3272&lt;='Catatan &amp; Sumber'!$B$16,"Sedang","Relatif Longgar"))))</x:f>
        <x:v>Relatif Longgar</x:v>
      </x:c>
      <x:c r="N3272" s="66" t="str">
        <x:v>Tidak Ada</x:v>
      </x:c>
      <x:c r="O3272" s="66" t="str">
        <x:v>Jawa Timur</x:v>
      </x:c>
      <x:c r="P3272" s="66" t="str">
        <x:v>Kabupaten Banyuwangi</x:v>
      </x:c>
      <x:c r="Q3272" s="66" t="str">
        <x:v>https://snpmb.id/snbp/daya-tampung-snbp</x:v>
      </x:c>
      <x:c r="R3272" s="66" t="str">
        <x:v>https://sidatagrun-public-1076756628210.asia-southeast2.run.app/ptn_sn.php?ptn=471</x:v>
      </x:c>
    </x:row>
    <x:row r="3273">
      <x:c r="A3273" s="87" t="n">
        <x:v>4532</x:v>
      </x:c>
      <x:c r="B3273" s="66" t="n">
        <x:v>471</x:v>
      </x:c>
      <x:c r="C3273" s="66" t="str">
        <x:v>POLITEKNIK NEGERI BANYUWANGI</x:v>
      </x:c>
      <x:c r="D3273" s="66" t="str">
        <x:v>PTN Vokasi</x:v>
      </x:c>
      <x:c r="E3273" s="66" t="str">
        <x:v>24712013</x:v>
      </x:c>
      <x:c r="F3273" s="66" t="str">
        <x:v>TEKNOLOGI BUDI DAYA PERIKANAN/TEKNOLOGI AKUAKULTUR</x:v>
      </x:c>
      <x:c r="G3273" s="66" t="str">
        <x:v>Sarjana Terapan</x:v>
      </x:c>
      <x:c r="H3273" s="87" t="n">
        <x:v>30</x:v>
      </x:c>
      <x:c r="I3273" s="87" t="n">
        <x:v>21</x:v>
      </x:c>
      <x:c r="J3273" s="68" t="n">
        <x:f>IFERROR(H3273/I3273,"")</x:f>
        <x:v>1.4285714285714286</x:v>
      </x:c>
      <x:c r="K3273" s="69" t="n">
        <x:f>IFERROR(I3273/H3273,"")</x:f>
        <x:v>0.7</x:v>
      </x:c>
      <x:c r="L3273" s="66" t="str">
        <x:f>IF(K3273="","","1 : "&amp;TEXT(K3273,"0.0"))</x:f>
        <x:v>1 : 0.7</x:v>
      </x:c>
      <x:c r="M3273" s="66" t="str">
        <x:f>IF(J3273="","Baru/Tanpa Data",IF(J3273&lt;='Catatan &amp; Sumber'!$B$14,"Sangat Ketat",IF(J3273&lt;='Catatan &amp; Sumber'!$B$15,"Ketat",IF(J3273&lt;='Catatan &amp; Sumber'!$B$16,"Sedang","Relatif Longgar"))))</x:f>
        <x:v>Relatif Longgar</x:v>
      </x:c>
      <x:c r="N3273" s="66" t="str">
        <x:v>Tidak Ada</x:v>
      </x:c>
      <x:c r="O3273" s="66" t="str">
        <x:v>Jawa Timur</x:v>
      </x:c>
      <x:c r="P3273" s="66" t="str">
        <x:v>Kabupaten Banyuwangi</x:v>
      </x:c>
      <x:c r="Q3273" s="66" t="str">
        <x:v>https://snpmb.id/snbp/daya-tampung-snbp</x:v>
      </x:c>
      <x:c r="R3273" s="66" t="str">
        <x:v>https://sidatagrun-public-1076756628210.asia-southeast2.run.app/ptn_sn.php?ptn=471</x:v>
      </x:c>
    </x:row>
    <x:row r="3274">
      <x:c r="A3274" s="87" t="n">
        <x:v>4170</x:v>
      </x:c>
      <x:c r="B3274" s="66" t="n">
        <x:v>471</x:v>
      </x:c>
      <x:c r="C3274" s="66" t="str">
        <x:v>POLITEKNIK NEGERI BANYUWANGI</x:v>
      </x:c>
      <x:c r="D3274" s="66" t="str">
        <x:v>PTN Vokasi</x:v>
      </x:c>
      <x:c r="E3274" s="66" t="str">
        <x:v>24712014</x:v>
      </x:c>
      <x:c r="F3274" s="66" t="str">
        <x:v>TEKNOLOGI PRODUKSI TANAMAN PANGAN</x:v>
      </x:c>
      <x:c r="G3274" s="66" t="str">
        <x:v>Sarjana Terapan</x:v>
      </x:c>
      <x:c r="H3274" s="87" t="n">
        <x:v>30</x:v>
      </x:c>
      <x:c r="I3274" s="87" t="n">
        <x:v>36</x:v>
      </x:c>
      <x:c r="J3274" s="68" t="n">
        <x:f>IFERROR(H3274/I3274,"")</x:f>
        <x:v>0.8333333333333334</x:v>
      </x:c>
      <x:c r="K3274" s="69" t="n">
        <x:f>IFERROR(I3274/H3274,"")</x:f>
        <x:v>1.2</x:v>
      </x:c>
      <x:c r="L3274" s="66" t="str">
        <x:f>IF(K3274="","","1 : "&amp;TEXT(K3274,"0.0"))</x:f>
        <x:v>1 : 1.2</x:v>
      </x:c>
      <x:c r="M3274" s="66" t="str">
        <x:f>IF(J3274="","Baru/Tanpa Data",IF(J3274&lt;='Catatan &amp; Sumber'!$B$14,"Sangat Ketat",IF(J3274&lt;='Catatan &amp; Sumber'!$B$15,"Ketat",IF(J3274&lt;='Catatan &amp; Sumber'!$B$16,"Sedang","Relatif Longgar"))))</x:f>
        <x:v>Relatif Longgar</x:v>
      </x:c>
      <x:c r="N3274" s="66" t="str">
        <x:v>Tidak Ada</x:v>
      </x:c>
      <x:c r="O3274" s="66" t="str">
        <x:v>Jawa Timur</x:v>
      </x:c>
      <x:c r="P3274" s="66" t="str">
        <x:v>Kabupaten Banyuwangi</x:v>
      </x:c>
      <x:c r="Q3274" s="66" t="str">
        <x:v>https://snpmb.id/snbp/daya-tampung-snbp</x:v>
      </x:c>
      <x:c r="R3274" s="66" t="str">
        <x:v>https://sidatagrun-public-1076756628210.asia-southeast2.run.app/ptn_sn.php?ptn=471</x:v>
      </x:c>
    </x:row>
    <x:row r="3275">
      <x:c r="A3275" s="87" t="n">
        <x:v>3292</x:v>
      </x:c>
      <x:c r="B3275" s="66" t="n">
        <x:v>471</x:v>
      </x:c>
      <x:c r="C3275" s="66" t="str">
        <x:v>POLITEKNIK NEGERI BANYUWANGI</x:v>
      </x:c>
      <x:c r="D3275" s="66" t="str">
        <x:v>PTN Vokasi</x:v>
      </x:c>
      <x:c r="E3275" s="66" t="str">
        <x:v>24712015</x:v>
      </x:c>
      <x:c r="F3275" s="66" t="str">
        <x:v>PENGELOLAAN PERHOTELAN</x:v>
      </x:c>
      <x:c r="G3275" s="66" t="str">
        <x:v>Sarjana Terapan</x:v>
      </x:c>
      <x:c r="H3275" s="87" t="n">
        <x:v>30</x:v>
      </x:c>
      <x:c r="I3275" s="87" t="n">
        <x:v>81</x:v>
      </x:c>
      <x:c r="J3275" s="68" t="n">
        <x:f>IFERROR(H3275/I3275,"")</x:f>
        <x:v>0.37037037037037035</x:v>
      </x:c>
      <x:c r="K3275" s="69" t="n">
        <x:f>IFERROR(I3275/H3275,"")</x:f>
        <x:v>2.7</x:v>
      </x:c>
      <x:c r="L3275" s="66" t="str">
        <x:f>IF(K3275="","","1 : "&amp;TEXT(K3275,"0.0"))</x:f>
        <x:v>1 : 2.7</x:v>
      </x:c>
      <x:c r="M3275" s="66" t="str">
        <x:f>IF(J3275="","Baru/Tanpa Data",IF(J3275&lt;='Catatan &amp; Sumber'!$B$14,"Sangat Ketat",IF(J3275&lt;='Catatan &amp; Sumber'!$B$15,"Ketat",IF(J3275&lt;='Catatan &amp; Sumber'!$B$16,"Sedang","Relatif Longgar"))))</x:f>
        <x:v>Relatif Longgar</x:v>
      </x:c>
      <x:c r="N3275" s="66" t="str">
        <x:v>Tidak Ada</x:v>
      </x:c>
      <x:c r="O3275" s="66" t="str">
        <x:v>Jawa Timur</x:v>
      </x:c>
      <x:c r="P3275" s="66" t="str">
        <x:v>Kabupaten Banyuwangi</x:v>
      </x:c>
      <x:c r="Q3275" s="66" t="str">
        <x:v>https://snpmb.id/snbp/daya-tampung-snbp</x:v>
      </x:c>
      <x:c r="R3275" s="66" t="str">
        <x:v>https://sidatagrun-public-1076756628210.asia-southeast2.run.app/ptn_sn.php?ptn=471</x:v>
      </x:c>
    </x:row>
    <x:row r="3276">
      <x:c r="A3276" s="87" t="n">
        <x:v>3444</x:v>
      </x:c>
      <x:c r="B3276" s="66" t="n">
        <x:v>471</x:v>
      </x:c>
      <x:c r="C3276" s="66" t="str">
        <x:v>POLITEKNIK NEGERI BANYUWANGI</x:v>
      </x:c>
      <x:c r="D3276" s="66" t="str">
        <x:v>PTN Vokasi</x:v>
      </x:c>
      <x:c r="E3276" s="66" t="str">
        <x:v>24712016</x:v>
      </x:c>
      <x:c r="F3276" s="66" t="str">
        <x:v>DESTINASI PARIWISATA</x:v>
      </x:c>
      <x:c r="G3276" s="66" t="str">
        <x:v>Sarjana Terapan</x:v>
      </x:c>
      <x:c r="H3276" s="87" t="n">
        <x:v>30</x:v>
      </x:c>
      <x:c r="I3276" s="87" t="n">
        <x:v>72</x:v>
      </x:c>
      <x:c r="J3276" s="68" t="n">
        <x:f>IFERROR(H3276/I3276,"")</x:f>
        <x:v>0.4166666666666667</x:v>
      </x:c>
      <x:c r="K3276" s="69" t="n">
        <x:f>IFERROR(I3276/H3276,"")</x:f>
        <x:v>2.4</x:v>
      </x:c>
      <x:c r="L3276" s="66" t="str">
        <x:f>IF(K3276="","","1 : "&amp;TEXT(K3276,"0.0"))</x:f>
        <x:v>1 : 2.4</x:v>
      </x:c>
      <x:c r="M3276" s="66" t="str">
        <x:f>IF(J3276="","Baru/Tanpa Data",IF(J3276&lt;='Catatan &amp; Sumber'!$B$14,"Sangat Ketat",IF(J3276&lt;='Catatan &amp; Sumber'!$B$15,"Ketat",IF(J3276&lt;='Catatan &amp; Sumber'!$B$16,"Sedang","Relatif Longgar"))))</x:f>
        <x:v>Relatif Longgar</x:v>
      </x:c>
      <x:c r="N3276" s="66" t="str">
        <x:v>Tidak Ada</x:v>
      </x:c>
      <x:c r="O3276" s="66" t="str">
        <x:v>Jawa Timur</x:v>
      </x:c>
      <x:c r="P3276" s="66" t="str">
        <x:v>Kabupaten Banyuwangi</x:v>
      </x:c>
      <x:c r="Q3276" s="66" t="str">
        <x:v>https://snpmb.id/snbp/daya-tampung-snbp</x:v>
      </x:c>
      <x:c r="R3276" s="66" t="str">
        <x:v>https://sidatagrun-public-1076756628210.asia-southeast2.run.app/ptn_sn.php?ptn=471</x:v>
      </x:c>
    </x:row>
    <x:row r="3277">
      <x:c r="A3277" s="87" t="n">
        <x:v>4545</x:v>
      </x:c>
      <x:c r="B3277" s="66" t="n">
        <x:v>471</x:v>
      </x:c>
      <x:c r="C3277" s="66" t="str">
        <x:v>POLITEKNIK NEGERI BANYUWANGI</x:v>
      </x:c>
      <x:c r="D3277" s="66" t="str">
        <x:v>PTN Vokasi</x:v>
      </x:c>
      <x:c r="E3277" s="66" t="str">
        <x:v>24712017</x:v>
      </x:c>
      <x:c r="F3277" s="66" t="str">
        <x:v>MANAJEMEN KONSTRUKSI</x:v>
      </x:c>
      <x:c r="G3277" s="66" t="str">
        <x:v>Sarjana Terapan</x:v>
      </x:c>
      <x:c r="H3277" s="87" t="n">
        <x:v>15</x:v>
      </x:c>
      <x:c r="I3277" s="87" t="n">
        <x:v>10</x:v>
      </x:c>
      <x:c r="J3277" s="68" t="n">
        <x:f>IFERROR(H3277/I3277,"")</x:f>
        <x:v>1.5</x:v>
      </x:c>
      <x:c r="K3277" s="69" t="n">
        <x:f>IFERROR(I3277/H3277,"")</x:f>
        <x:v>0.6666666666666666</x:v>
      </x:c>
      <x:c r="L3277" s="66" t="str">
        <x:f>IF(K3277="","","1 : "&amp;TEXT(K3277,"0.0"))</x:f>
        <x:v>1 : 0.7</x:v>
      </x:c>
      <x:c r="M3277" s="66" t="str">
        <x:f>IF(J3277="","Baru/Tanpa Data",IF(J3277&lt;='Catatan &amp; Sumber'!$B$14,"Sangat Ketat",IF(J3277&lt;='Catatan &amp; Sumber'!$B$15,"Ketat",IF(J3277&lt;='Catatan &amp; Sumber'!$B$16,"Sedang","Relatif Longgar"))))</x:f>
        <x:v>Relatif Longgar</x:v>
      </x:c>
      <x:c r="N3277" s="66" t="str">
        <x:v>Tidak Ada</x:v>
      </x:c>
      <x:c r="O3277" s="66" t="str">
        <x:v>Jawa Timur</x:v>
      </x:c>
      <x:c r="P3277" s="66" t="str">
        <x:v>Kabupaten Banyuwangi</x:v>
      </x:c>
      <x:c r="Q3277" s="66" t="str">
        <x:v>https://snpmb.id/snbp/daya-tampung-snbp</x:v>
      </x:c>
      <x:c r="R3277" s="66" t="str">
        <x:v>https://sidatagrun-public-1076756628210.asia-southeast2.run.app/ptn_sn.php?ptn=471</x:v>
      </x:c>
    </x:row>
    <x:row r="3278">
      <x:c r="A3278" s="87" t="n">
        <x:v>4415</x:v>
      </x:c>
      <x:c r="B3278" s="66" t="n">
        <x:v>471</x:v>
      </x:c>
      <x:c r="C3278" s="66" t="str">
        <x:v>POLITEKNIK NEGERI BANYUWANGI</x:v>
      </x:c>
      <x:c r="D3278" s="66" t="str">
        <x:v>PTN Vokasi</x:v>
      </x:c>
      <x:c r="E3278" s="66" t="str">
        <x:v>24712018</x:v>
      </x:c>
      <x:c r="F3278" s="66" t="str">
        <x:v>TEKNOLOGI REKAYASA KONSTRUKSI BANGUNAN GEDUNG</x:v>
      </x:c>
      <x:c r="G3278" s="66" t="str">
        <x:v>Sarjana Terapan</x:v>
      </x:c>
      <x:c r="H3278" s="87" t="n">
        <x:v>15</x:v>
      </x:c>
      <x:c r="I3278" s="87" t="n">
        <x:v>13</x:v>
      </x:c>
      <x:c r="J3278" s="68" t="n">
        <x:f>IFERROR(H3278/I3278,"")</x:f>
        <x:v>1.1538461538461537</x:v>
      </x:c>
      <x:c r="K3278" s="69" t="n">
        <x:f>IFERROR(I3278/H3278,"")</x:f>
        <x:v>0.8666666666666667</x:v>
      </x:c>
      <x:c r="L3278" s="66" t="str">
        <x:f>IF(K3278="","","1 : "&amp;TEXT(K3278,"0.0"))</x:f>
        <x:v>1 : 0.9</x:v>
      </x:c>
      <x:c r="M3278" s="66" t="str">
        <x:f>IF(J3278="","Baru/Tanpa Data",IF(J3278&lt;='Catatan &amp; Sumber'!$B$14,"Sangat Ketat",IF(J3278&lt;='Catatan &amp; Sumber'!$B$15,"Ketat",IF(J3278&lt;='Catatan &amp; Sumber'!$B$16,"Sedang","Relatif Longgar"))))</x:f>
        <x:v>Relatif Longgar</x:v>
      </x:c>
      <x:c r="N3278" s="66" t="str">
        <x:v>Tidak Ada</x:v>
      </x:c>
      <x:c r="O3278" s="66" t="str">
        <x:v>Jawa Timur</x:v>
      </x:c>
      <x:c r="P3278" s="66" t="str">
        <x:v>Kabupaten Banyuwangi</x:v>
      </x:c>
      <x:c r="Q3278" s="66" t="str">
        <x:v>https://snpmb.id/snbp/daya-tampung-snbp</x:v>
      </x:c>
      <x:c r="R3278" s="66" t="str">
        <x:v>https://sidatagrun-public-1076756628210.asia-southeast2.run.app/ptn_sn.php?ptn=471</x:v>
      </x:c>
    </x:row>
    <x:row r="3279">
      <x:c r="A3279" s="87"/>
      <x:c r="B3279" s="66" t="n">
        <x:v>471</x:v>
      </x:c>
      <x:c r="C3279" s="66" t="str">
        <x:v>POLITEKNIK NEGERI BANYUWANGI</x:v>
      </x:c>
      <x:c r="D3279" s="66" t="str">
        <x:v>PTN Vokasi</x:v>
      </x:c>
      <x:c r="E3279" s="66" t="str">
        <x:v>24712019</x:v>
      </x:c>
      <x:c r="F3279" s="66" t="str">
        <x:v>TEKNOLOGI REKAYASA OTOMOTIF</x:v>
      </x:c>
      <x:c r="G3279" s="66" t="str">
        <x:v>Sarjana Terapan</x:v>
      </x:c>
      <x:c r="H3279" s="87" t="n">
        <x:v>30</x:v>
      </x:c>
      <x:c r="I3279" s="87"/>
      <x:c r="J3279" s="68" t="str">
        <x:f>IFERROR(H3279/I3279,"")</x:f>
      </x:c>
      <x:c r="K3279" s="69" t="n">
        <x:f>IFERROR(I3279/H3279,"")</x:f>
        <x:v>0</x:v>
      </x:c>
      <x:c r="L3279" s="66" t="str">
        <x:f>IF(K3279="","","1 : "&amp;TEXT(K3279,"0.0"))</x:f>
      </x:c>
      <x:c r="M3279" s="66" t="str">
        <x:f>IF(J3279="","Baru/Tanpa Data",IF(J3279&lt;='Catatan &amp; Sumber'!$B$14,"Sangat Ketat",IF(J3279&lt;='Catatan &amp; Sumber'!$B$15,"Ketat",IF(J3279&lt;='Catatan &amp; Sumber'!$B$16,"Sedang","Relatif Longgar"))))</x:f>
        <x:v>Baru/Tanpa Data</x:v>
      </x:c>
      <x:c r="N3279" s="66" t="str">
        <x:v>Tidak Ada</x:v>
      </x:c>
      <x:c r="O3279" s="66" t="str">
        <x:v>Jawa Timur</x:v>
      </x:c>
      <x:c r="P3279" s="66" t="str">
        <x:v>Kabupaten Banyuwangi</x:v>
      </x:c>
      <x:c r="Q3279" s="66" t="str">
        <x:v>https://snpmb.id/snbp/daya-tampung-snbp</x:v>
      </x:c>
      <x:c r="R3279" s="66" t="str">
        <x:v>https://sidatagrun-public-1076756628210.asia-southeast2.run.app/ptn_sn.php?ptn=471</x:v>
      </x:c>
    </x:row>
    <x:row r="3280">
      <x:c r="A3280" s="87" t="n">
        <x:v>4415</x:v>
      </x:c>
      <x:c r="B3280" s="66" t="n">
        <x:v>471</x:v>
      </x:c>
      <x:c r="C3280" s="66" t="str">
        <x:v>POLITEKNIK NEGERI BANYUWANGI</x:v>
      </x:c>
      <x:c r="D3280" s="66" t="str">
        <x:v>PTN Vokasi</x:v>
      </x:c>
      <x:c r="E3280" s="66" t="str">
        <x:v>24713007</x:v>
      </x:c>
      <x:c r="F3280" s="66" t="str">
        <x:v>TEKNIK SIPIL</x:v>
      </x:c>
      <x:c r="G3280" s="66" t="str">
        <x:v>Diploma Tiga</x:v>
      </x:c>
      <x:c r="H3280" s="87" t="n">
        <x:v>60</x:v>
      </x:c>
      <x:c r="I3280" s="87" t="n">
        <x:v>52</x:v>
      </x:c>
      <x:c r="J3280" s="68" t="n">
        <x:f>IFERROR(H3280/I3280,"")</x:f>
        <x:v>1.1538461538461537</x:v>
      </x:c>
      <x:c r="K3280" s="69" t="n">
        <x:f>IFERROR(I3280/H3280,"")</x:f>
        <x:v>0.8666666666666667</x:v>
      </x:c>
      <x:c r="L3280" s="66" t="str">
        <x:f>IF(K3280="","","1 : "&amp;TEXT(K3280,"0.0"))</x:f>
        <x:v>1 : 0.9</x:v>
      </x:c>
      <x:c r="M3280" s="66" t="str">
        <x:f>IF(J3280="","Baru/Tanpa Data",IF(J3280&lt;='Catatan &amp; Sumber'!$B$14,"Sangat Ketat",IF(J3280&lt;='Catatan &amp; Sumber'!$B$15,"Ketat",IF(J3280&lt;='Catatan &amp; Sumber'!$B$16,"Sedang","Relatif Longgar"))))</x:f>
        <x:v>Relatif Longgar</x:v>
      </x:c>
      <x:c r="N3280" s="66" t="str">
        <x:v>Tidak Ada</x:v>
      </x:c>
      <x:c r="O3280" s="66" t="str">
        <x:v>Jawa Timur</x:v>
      </x:c>
      <x:c r="P3280" s="66" t="str">
        <x:v>Kabupaten Banyuwangi</x:v>
      </x:c>
      <x:c r="Q3280" s="66" t="str">
        <x:v>https://snpmb.id/snbp/daya-tampung-snbp</x:v>
      </x:c>
      <x:c r="R3280" s="66" t="str">
        <x:v>https://sidatagrun-public-1076756628210.asia-southeast2.run.app/ptn_sn.php?ptn=471</x:v>
      </x:c>
    </x:row>
    <x:row r="3281">
      <x:c r="A3281" s="87" t="n">
        <x:v>2828</x:v>
      </x:c>
      <x:c r="B3281" s="66" t="n">
        <x:v>472</x:v>
      </x:c>
      <x:c r="C3281" s="66" t="str">
        <x:v>POLITEKNIK NEGERI JEMBER</x:v>
      </x:c>
      <x:c r="D3281" s="66" t="str">
        <x:v>PTN Vokasi</x:v>
      </x:c>
      <x:c r="E3281" s="66" t="str">
        <x:v>24722001</x:v>
      </x:c>
      <x:c r="F3281" s="66" t="str">
        <x:v>GIZI KLINIK</x:v>
      </x:c>
      <x:c r="G3281" s="66" t="str">
        <x:v>Sarjana Terapan</x:v>
      </x:c>
      <x:c r="H3281" s="87" t="n">
        <x:v>83</x:v>
      </x:c>
      <x:c r="I3281" s="87" t="n">
        <x:v>316</x:v>
      </x:c>
      <x:c r="J3281" s="68" t="n">
        <x:f>IFERROR(H3281/I3281,"")</x:f>
        <x:v>0.2626582278481013</x:v>
      </x:c>
      <x:c r="K3281" s="69" t="n">
        <x:f>IFERROR(I3281/H3281,"")</x:f>
        <x:v>3.8072289156626504</x:v>
      </x:c>
      <x:c r="L3281" s="66" t="str">
        <x:f>IF(K3281="","","1 : "&amp;TEXT(K3281,"0.0"))</x:f>
        <x:v>1 : 3.8</x:v>
      </x:c>
      <x:c r="M3281" s="66" t="str">
        <x:f>IF(J3281="","Baru/Tanpa Data",IF(J3281&lt;='Catatan &amp; Sumber'!$B$14,"Sangat Ketat",IF(J3281&lt;='Catatan &amp; Sumber'!$B$15,"Ketat",IF(J3281&lt;='Catatan &amp; Sumber'!$B$16,"Sedang","Relatif Longgar"))))</x:f>
        <x:v>Relatif Longgar</x:v>
      </x:c>
      <x:c r="N3281" s="66" t="str">
        <x:v>Tidak Ada</x:v>
      </x:c>
      <x:c r="O3281" s="66" t="str">
        <x:v>Jawa Timur</x:v>
      </x:c>
      <x:c r="P3281" s="66" t="str">
        <x:v>Kabupate Jember</x:v>
      </x:c>
      <x:c r="Q3281" s="66" t="str">
        <x:v>https://snpmb.id/snbp/daya-tampung-snbp</x:v>
      </x:c>
      <x:c r="R3281" s="66" t="str">
        <x:v>https://sidatagrun-public-1076756628210.asia-southeast2.run.app/ptn_sn.php?ptn=472</x:v>
      </x:c>
    </x:row>
    <x:row r="3282">
      <x:c r="A3282" s="87" t="n">
        <x:v>4115</x:v>
      </x:c>
      <x:c r="B3282" s="66" t="n">
        <x:v>472</x:v>
      </x:c>
      <x:c r="C3282" s="66" t="str">
        <x:v>POLITEKNIK NEGERI JEMBER</x:v>
      </x:c>
      <x:c r="D3282" s="66" t="str">
        <x:v>PTN Vokasi</x:v>
      </x:c>
      <x:c r="E3282" s="66" t="str">
        <x:v>24722002</x:v>
      </x:c>
      <x:c r="F3282" s="66" t="str">
        <x:v>MANAJEMEN AGROINDUSTRI</x:v>
      </x:c>
      <x:c r="G3282" s="66" t="str">
        <x:v>Sarjana Terapan</x:v>
      </x:c>
      <x:c r="H3282" s="87" t="n">
        <x:v>99</x:v>
      </x:c>
      <x:c r="I3282" s="87" t="n">
        <x:v>128</x:v>
      </x:c>
      <x:c r="J3282" s="68" t="n">
        <x:f>IFERROR(H3282/I3282,"")</x:f>
        <x:v>0.7734375</x:v>
      </x:c>
      <x:c r="K3282" s="69" t="n">
        <x:f>IFERROR(I3282/H3282,"")</x:f>
        <x:v>1.292929292929293</x:v>
      </x:c>
      <x:c r="L3282" s="66" t="str">
        <x:f>IF(K3282="","","1 : "&amp;TEXT(K3282,"0.0"))</x:f>
        <x:v>1 : 1.3</x:v>
      </x:c>
      <x:c r="M3282" s="66" t="str">
        <x:f>IF(J3282="","Baru/Tanpa Data",IF(J3282&lt;='Catatan &amp; Sumber'!$B$14,"Sangat Ketat",IF(J3282&lt;='Catatan &amp; Sumber'!$B$15,"Ketat",IF(J3282&lt;='Catatan &amp; Sumber'!$B$16,"Sedang","Relatif Longgar"))))</x:f>
        <x:v>Relatif Longgar</x:v>
      </x:c>
      <x:c r="N3282" s="66" t="str">
        <x:v>Tidak Ada</x:v>
      </x:c>
      <x:c r="O3282" s="66" t="str">
        <x:v>Jawa Timur</x:v>
      </x:c>
      <x:c r="P3282" s="66" t="str">
        <x:v>Kabupate Jember</x:v>
      </x:c>
      <x:c r="Q3282" s="66" t="str">
        <x:v>https://snpmb.id/snbp/daya-tampung-snbp</x:v>
      </x:c>
      <x:c r="R3282" s="66" t="str">
        <x:v>https://sidatagrun-public-1076756628210.asia-southeast2.run.app/ptn_sn.php?ptn=472</x:v>
      </x:c>
    </x:row>
    <x:row r="3283">
      <x:c r="A3283" s="87" t="n">
        <x:v>3958</x:v>
      </x:c>
      <x:c r="B3283" s="66" t="n">
        <x:v>472</x:v>
      </x:c>
      <x:c r="C3283" s="66" t="str">
        <x:v>POLITEKNIK NEGERI JEMBER</x:v>
      </x:c>
      <x:c r="D3283" s="66" t="str">
        <x:v>PTN Vokasi</x:v>
      </x:c>
      <x:c r="E3283" s="66" t="str">
        <x:v>24722003</x:v>
      </x:c>
      <x:c r="F3283" s="66" t="str">
        <x:v>TEKNIK ENERGI TERBARUKAN</x:v>
      </x:c>
      <x:c r="G3283" s="66" t="str">
        <x:v>Sarjana Terapan</x:v>
      </x:c>
      <x:c r="H3283" s="87" t="n">
        <x:v>66</x:v>
      </x:c>
      <x:c r="I3283" s="87" t="n">
        <x:v>99</x:v>
      </x:c>
      <x:c r="J3283" s="68" t="n">
        <x:f>IFERROR(H3283/I3283,"")</x:f>
        <x:v>0.6666666666666666</x:v>
      </x:c>
      <x:c r="K3283" s="69" t="n">
        <x:f>IFERROR(I3283/H3283,"")</x:f>
        <x:v>1.5</x:v>
      </x:c>
      <x:c r="L3283" s="66" t="str">
        <x:f>IF(K3283="","","1 : "&amp;TEXT(K3283,"0.0"))</x:f>
        <x:v>1 : 1.5</x:v>
      </x:c>
      <x:c r="M3283" s="66" t="str">
        <x:f>IF(J3283="","Baru/Tanpa Data",IF(J3283&lt;='Catatan &amp; Sumber'!$B$14,"Sangat Ketat",IF(J3283&lt;='Catatan &amp; Sumber'!$B$15,"Ketat",IF(J3283&lt;='Catatan &amp; Sumber'!$B$16,"Sedang","Relatif Longgar"))))</x:f>
        <x:v>Relatif Longgar</x:v>
      </x:c>
      <x:c r="N3283" s="66" t="str">
        <x:v>Tidak Ada</x:v>
      </x:c>
      <x:c r="O3283" s="66" t="str">
        <x:v>Jawa Timur</x:v>
      </x:c>
      <x:c r="P3283" s="66" t="str">
        <x:v>Kabupate Jember</x:v>
      </x:c>
      <x:c r="Q3283" s="66" t="str">
        <x:v>https://snpmb.id/snbp/daya-tampung-snbp</x:v>
      </x:c>
      <x:c r="R3283" s="66" t="str">
        <x:v>https://sidatagrun-public-1076756628210.asia-southeast2.run.app/ptn_sn.php?ptn=472</x:v>
      </x:c>
    </x:row>
    <x:row r="3284">
      <x:c r="A3284" s="87" t="n">
        <x:v>3873</x:v>
      </x:c>
      <x:c r="B3284" s="66" t="n">
        <x:v>472</x:v>
      </x:c>
      <x:c r="C3284" s="66" t="str">
        <x:v>POLITEKNIK NEGERI JEMBER</x:v>
      </x:c>
      <x:c r="D3284" s="66" t="str">
        <x:v>PTN Vokasi</x:v>
      </x:c>
      <x:c r="E3284" s="66" t="str">
        <x:v>24722004</x:v>
      </x:c>
      <x:c r="F3284" s="66" t="str">
        <x:v>TEKNIK PRODUKSI TANAMAN PANGAN</x:v>
      </x:c>
      <x:c r="G3284" s="66" t="str">
        <x:v>Sarjana Terapan</x:v>
      </x:c>
      <x:c r="H3284" s="87" t="n">
        <x:v>50</x:v>
      </x:c>
      <x:c r="I3284" s="87" t="n">
        <x:v>82</x:v>
      </x:c>
      <x:c r="J3284" s="68" t="n">
        <x:f>IFERROR(H3284/I3284,"")</x:f>
        <x:v>0.6097560975609756</x:v>
      </x:c>
      <x:c r="K3284" s="69" t="n">
        <x:f>IFERROR(I3284/H3284,"")</x:f>
        <x:v>1.64</x:v>
      </x:c>
      <x:c r="L3284" s="66" t="str">
        <x:f>IF(K3284="","","1 : "&amp;TEXT(K3284,"0.0"))</x:f>
        <x:v>1 : 1.6</x:v>
      </x:c>
      <x:c r="M3284" s="66" t="str">
        <x:f>IF(J3284="","Baru/Tanpa Data",IF(J3284&lt;='Catatan &amp; Sumber'!$B$14,"Sangat Ketat",IF(J3284&lt;='Catatan &amp; Sumber'!$B$15,"Ketat",IF(J3284&lt;='Catatan &amp; Sumber'!$B$16,"Sedang","Relatif Longgar"))))</x:f>
        <x:v>Relatif Longgar</x:v>
      </x:c>
      <x:c r="N3284" s="66" t="str">
        <x:v>Tidak Ada</x:v>
      </x:c>
      <x:c r="O3284" s="66" t="str">
        <x:v>Jawa Timur</x:v>
      </x:c>
      <x:c r="P3284" s="66" t="str">
        <x:v>Kabupate Jember</x:v>
      </x:c>
      <x:c r="Q3284" s="66" t="str">
        <x:v>https://snpmb.id/snbp/daya-tampung-snbp</x:v>
      </x:c>
      <x:c r="R3284" s="66" t="str">
        <x:v>https://sidatagrun-public-1076756628210.asia-southeast2.run.app/ptn_sn.php?ptn=472</x:v>
      </x:c>
    </x:row>
    <x:row r="3285">
      <x:c r="A3285" s="87" t="n">
        <x:v>4509</x:v>
      </x:c>
      <x:c r="B3285" s="66" t="n">
        <x:v>472</x:v>
      </x:c>
      <x:c r="C3285" s="66" t="str">
        <x:v>POLITEKNIK NEGERI JEMBER</x:v>
      </x:c>
      <x:c r="D3285" s="66" t="str">
        <x:v>PTN Vokasi</x:v>
      </x:c>
      <x:c r="E3285" s="66" t="str">
        <x:v>24722005</x:v>
      </x:c>
      <x:c r="F3285" s="66" t="str">
        <x:v>MANAGEMEN BISNIS UNGGAS</x:v>
      </x:c>
      <x:c r="G3285" s="66" t="str">
        <x:v>Sarjana Terapan</x:v>
      </x:c>
      <x:c r="H3285" s="87" t="n">
        <x:v>66</x:v>
      </x:c>
      <x:c r="I3285" s="87" t="n">
        <x:v>49</x:v>
      </x:c>
      <x:c r="J3285" s="68" t="n">
        <x:f>IFERROR(H3285/I3285,"")</x:f>
        <x:v>1.346938775510204</x:v>
      </x:c>
      <x:c r="K3285" s="69" t="n">
        <x:f>IFERROR(I3285/H3285,"")</x:f>
        <x:v>0.7424242424242424</x:v>
      </x:c>
      <x:c r="L3285" s="66" t="str">
        <x:f>IF(K3285="","","1 : "&amp;TEXT(K3285,"0.0"))</x:f>
        <x:v>1 : 0.7</x:v>
      </x:c>
      <x:c r="M3285" s="66" t="str">
        <x:f>IF(J3285="","Baru/Tanpa Data",IF(J3285&lt;='Catatan &amp; Sumber'!$B$14,"Sangat Ketat",IF(J3285&lt;='Catatan &amp; Sumber'!$B$15,"Ketat",IF(J3285&lt;='Catatan &amp; Sumber'!$B$16,"Sedang","Relatif Longgar"))))</x:f>
        <x:v>Relatif Longgar</x:v>
      </x:c>
      <x:c r="N3285" s="66" t="str">
        <x:v>Tidak Ada</x:v>
      </x:c>
      <x:c r="O3285" s="66" t="str">
        <x:v>Jawa Timur</x:v>
      </x:c>
      <x:c r="P3285" s="66" t="str">
        <x:v>Kabupate Jember</x:v>
      </x:c>
      <x:c r="Q3285" s="66" t="str">
        <x:v>https://snpmb.id/snbp/daya-tampung-snbp</x:v>
      </x:c>
      <x:c r="R3285" s="66" t="str">
        <x:v>https://sidatagrun-public-1076756628210.asia-southeast2.run.app/ptn_sn.php?ptn=472</x:v>
      </x:c>
    </x:row>
    <x:row r="3286">
      <x:c r="A3286" s="87" t="n">
        <x:v>2993</x:v>
      </x:c>
      <x:c r="B3286" s="66" t="n">
        <x:v>472</x:v>
      </x:c>
      <x:c r="C3286" s="66" t="str">
        <x:v>POLITEKNIK NEGERI JEMBER</x:v>
      </x:c>
      <x:c r="D3286" s="66" t="str">
        <x:v>PTN Vokasi</x:v>
      </x:c>
      <x:c r="E3286" s="66" t="str">
        <x:v>24722006</x:v>
      </x:c>
      <x:c r="F3286" s="66" t="str">
        <x:v>TEKNIK INFORMATIKA</x:v>
      </x:c>
      <x:c r="G3286" s="66" t="str">
        <x:v>Sarjana Terapan</x:v>
      </x:c>
      <x:c r="H3286" s="87" t="n">
        <x:v>99</x:v>
      </x:c>
      <x:c r="I3286" s="87" t="n">
        <x:v>339</x:v>
      </x:c>
      <x:c r="J3286" s="68" t="n">
        <x:f>IFERROR(H3286/I3286,"")</x:f>
        <x:v>0.2920353982300885</x:v>
      </x:c>
      <x:c r="K3286" s="69" t="n">
        <x:f>IFERROR(I3286/H3286,"")</x:f>
        <x:v>3.4242424242424243</x:v>
      </x:c>
      <x:c r="L3286" s="66" t="str">
        <x:f>IF(K3286="","","1 : "&amp;TEXT(K3286,"0.0"))</x:f>
        <x:v>1 : 3.4</x:v>
      </x:c>
      <x:c r="M3286" s="66" t="str">
        <x:f>IF(J3286="","Baru/Tanpa Data",IF(J3286&lt;='Catatan &amp; Sumber'!$B$14,"Sangat Ketat",IF(J3286&lt;='Catatan &amp; Sumber'!$B$15,"Ketat",IF(J3286&lt;='Catatan &amp; Sumber'!$B$16,"Sedang","Relatif Longgar"))))</x:f>
        <x:v>Relatif Longgar</x:v>
      </x:c>
      <x:c r="N3286" s="66" t="str">
        <x:v>Tidak Ada</x:v>
      </x:c>
      <x:c r="O3286" s="66" t="str">
        <x:v>Jawa Timur</x:v>
      </x:c>
      <x:c r="P3286" s="66" t="str">
        <x:v>Kabupate Jember</x:v>
      </x:c>
      <x:c r="Q3286" s="66" t="str">
        <x:v>https://snpmb.id/snbp/daya-tampung-snbp</x:v>
      </x:c>
      <x:c r="R3286" s="66" t="str">
        <x:v>https://sidatagrun-public-1076756628210.asia-southeast2.run.app/ptn_sn.php?ptn=472</x:v>
      </x:c>
    </x:row>
    <x:row r="3287">
      <x:c r="A3287" s="87" t="n">
        <x:v>4404</x:v>
      </x:c>
      <x:c r="B3287" s="66" t="n">
        <x:v>472</x:v>
      </x:c>
      <x:c r="C3287" s="66" t="str">
        <x:v>POLITEKNIK NEGERI JEMBER</x:v>
      </x:c>
      <x:c r="D3287" s="66" t="str">
        <x:v>PTN Vokasi</x:v>
      </x:c>
      <x:c r="E3287" s="66" t="str">
        <x:v>24722007</x:v>
      </x:c>
      <x:c r="F3287" s="66" t="str">
        <x:v>TEKNIK PRODUKSI BENIH</x:v>
      </x:c>
      <x:c r="G3287" s="66" t="str">
        <x:v>Sarjana Terapan</x:v>
      </x:c>
      <x:c r="H3287" s="87" t="n">
        <x:v>50</x:v>
      </x:c>
      <x:c r="I3287" s="87" t="n">
        <x:v>44</x:v>
      </x:c>
      <x:c r="J3287" s="68" t="n">
        <x:f>IFERROR(H3287/I3287,"")</x:f>
        <x:v>1.1363636363636365</x:v>
      </x:c>
      <x:c r="K3287" s="69" t="n">
        <x:f>IFERROR(I3287/H3287,"")</x:f>
        <x:v>0.88</x:v>
      </x:c>
      <x:c r="L3287" s="66" t="str">
        <x:f>IF(K3287="","","1 : "&amp;TEXT(K3287,"0.0"))</x:f>
        <x:v>1 : 0.9</x:v>
      </x:c>
      <x:c r="M3287" s="66" t="str">
        <x:f>IF(J3287="","Baru/Tanpa Data",IF(J3287&lt;='Catatan &amp; Sumber'!$B$14,"Sangat Ketat",IF(J3287&lt;='Catatan &amp; Sumber'!$B$15,"Ketat",IF(J3287&lt;='Catatan &amp; Sumber'!$B$16,"Sedang","Relatif Longgar"))))</x:f>
        <x:v>Relatif Longgar</x:v>
      </x:c>
      <x:c r="N3287" s="66" t="str">
        <x:v>Tidak Ada</x:v>
      </x:c>
      <x:c r="O3287" s="66" t="str">
        <x:v>Jawa Timur</x:v>
      </x:c>
      <x:c r="P3287" s="66" t="str">
        <x:v>Kabupate Jember</x:v>
      </x:c>
      <x:c r="Q3287" s="66" t="str">
        <x:v>https://snpmb.id/snbp/daya-tampung-snbp</x:v>
      </x:c>
      <x:c r="R3287" s="66" t="str">
        <x:v>https://sidatagrun-public-1076756628210.asia-southeast2.run.app/ptn_sn.php?ptn=472</x:v>
      </x:c>
    </x:row>
    <x:row r="3288">
      <x:c r="A3288" s="87" t="n">
        <x:v>3219</x:v>
      </x:c>
      <x:c r="B3288" s="66" t="n">
        <x:v>472</x:v>
      </x:c>
      <x:c r="C3288" s="66" t="str">
        <x:v>POLITEKNIK NEGERI JEMBER</x:v>
      </x:c>
      <x:c r="D3288" s="66" t="str">
        <x:v>PTN Vokasi</x:v>
      </x:c>
      <x:c r="E3288" s="66" t="str">
        <x:v>24722008</x:v>
      </x:c>
      <x:c r="F3288" s="66" t="str">
        <x:v>MANAJEMEN INFORMASI KESEHATAN</x:v>
      </x:c>
      <x:c r="G3288" s="66" t="str">
        <x:v>Sarjana Terapan</x:v>
      </x:c>
      <x:c r="H3288" s="87" t="n">
        <x:v>99</x:v>
      </x:c>
      <x:c r="I3288" s="87" t="n">
        <x:v>285</x:v>
      </x:c>
      <x:c r="J3288" s="68" t="n">
        <x:f>IFERROR(H3288/I3288,"")</x:f>
        <x:v>0.3473684210526316</x:v>
      </x:c>
      <x:c r="K3288" s="69" t="n">
        <x:f>IFERROR(I3288/H3288,"")</x:f>
        <x:v>2.878787878787879</x:v>
      </x:c>
      <x:c r="L3288" s="66" t="str">
        <x:f>IF(K3288="","","1 : "&amp;TEXT(K3288,"0.0"))</x:f>
        <x:v>1 : 2.9</x:v>
      </x:c>
      <x:c r="M3288" s="66" t="str">
        <x:f>IF(J3288="","Baru/Tanpa Data",IF(J3288&lt;='Catatan &amp; Sumber'!$B$14,"Sangat Ketat",IF(J3288&lt;='Catatan &amp; Sumber'!$B$15,"Ketat",IF(J3288&lt;='Catatan &amp; Sumber'!$B$16,"Sedang","Relatif Longgar"))))</x:f>
        <x:v>Relatif Longgar</x:v>
      </x:c>
      <x:c r="N3288" s="66" t="str">
        <x:v>Tidak Ada</x:v>
      </x:c>
      <x:c r="O3288" s="66" t="str">
        <x:v>Jawa Timur</x:v>
      </x:c>
      <x:c r="P3288" s="66" t="str">
        <x:v>Kabupate Jember</x:v>
      </x:c>
      <x:c r="Q3288" s="66" t="str">
        <x:v>https://snpmb.id/snbp/daya-tampung-snbp</x:v>
      </x:c>
      <x:c r="R3288" s="66" t="str">
        <x:v>https://sidatagrun-public-1076756628210.asia-southeast2.run.app/ptn_sn.php?ptn=472</x:v>
      </x:c>
    </x:row>
    <x:row r="3289">
      <x:c r="A3289" s="87" t="n">
        <x:v>3527</x:v>
      </x:c>
      <x:c r="B3289" s="66" t="n">
        <x:v>472</x:v>
      </x:c>
      <x:c r="C3289" s="66" t="str">
        <x:v>POLITEKNIK NEGERI JEMBER</x:v>
      </x:c>
      <x:c r="D3289" s="66" t="str">
        <x:v>PTN Vokasi</x:v>
      </x:c>
      <x:c r="E3289" s="66" t="str">
        <x:v>24722009</x:v>
      </x:c>
      <x:c r="F3289" s="66" t="str">
        <x:v>MESIN OTOMOTIF</x:v>
      </x:c>
      <x:c r="G3289" s="66" t="str">
        <x:v>Sarjana Terapan</x:v>
      </x:c>
      <x:c r="H3289" s="87" t="n">
        <x:v>66</x:v>
      </x:c>
      <x:c r="I3289" s="87" t="n">
        <x:v>149</x:v>
      </x:c>
      <x:c r="J3289" s="68" t="n">
        <x:f>IFERROR(H3289/I3289,"")</x:f>
        <x:v>0.4429530201342282</x:v>
      </x:c>
      <x:c r="K3289" s="69" t="n">
        <x:f>IFERROR(I3289/H3289,"")</x:f>
        <x:v>2.257575757575758</x:v>
      </x:c>
      <x:c r="L3289" s="66" t="str">
        <x:f>IF(K3289="","","1 : "&amp;TEXT(K3289,"0.0"))</x:f>
        <x:v>1 : 2.3</x:v>
      </x:c>
      <x:c r="M3289" s="66" t="str">
        <x:f>IF(J3289="","Baru/Tanpa Data",IF(J3289&lt;='Catatan &amp; Sumber'!$B$14,"Sangat Ketat",IF(J3289&lt;='Catatan &amp; Sumber'!$B$15,"Ketat",IF(J3289&lt;='Catatan &amp; Sumber'!$B$16,"Sedang","Relatif Longgar"))))</x:f>
        <x:v>Relatif Longgar</x:v>
      </x:c>
      <x:c r="N3289" s="66" t="str">
        <x:v>Tidak Ada</x:v>
      </x:c>
      <x:c r="O3289" s="66" t="str">
        <x:v>Jawa Timur</x:v>
      </x:c>
      <x:c r="P3289" s="66" t="str">
        <x:v>Kabupate Jember</x:v>
      </x:c>
      <x:c r="Q3289" s="66" t="str">
        <x:v>https://snpmb.id/snbp/daya-tampung-snbp</x:v>
      </x:c>
      <x:c r="R3289" s="66" t="str">
        <x:v>https://sidatagrun-public-1076756628210.asia-southeast2.run.app/ptn_sn.php?ptn=472</x:v>
      </x:c>
    </x:row>
    <x:row r="3290">
      <x:c r="A3290" s="87" t="n">
        <x:v>4220</x:v>
      </x:c>
      <x:c r="B3290" s="66" t="n">
        <x:v>472</x:v>
      </x:c>
      <x:c r="C3290" s="66" t="str">
        <x:v>POLITEKNIK NEGERI JEMBER</x:v>
      </x:c>
      <x:c r="D3290" s="66" t="str">
        <x:v>PTN Vokasi</x:v>
      </x:c>
      <x:c r="E3290" s="66" t="str">
        <x:v>24722010</x:v>
      </x:c>
      <x:c r="F3290" s="66" t="str">
        <x:v>BUDIDAYA TANAMAN PERKEBUNAN</x:v>
      </x:c>
      <x:c r="G3290" s="66" t="str">
        <x:v>Sarjana Terapan</x:v>
      </x:c>
      <x:c r="H3290" s="87" t="n">
        <x:v>50</x:v>
      </x:c>
      <x:c r="I3290" s="87" t="n">
        <x:v>57</x:v>
      </x:c>
      <x:c r="J3290" s="68" t="n">
        <x:f>IFERROR(H3290/I3290,"")</x:f>
        <x:v>0.8771929824561403</x:v>
      </x:c>
      <x:c r="K3290" s="69" t="n">
        <x:f>IFERROR(I3290/H3290,"")</x:f>
        <x:v>1.14</x:v>
      </x:c>
      <x:c r="L3290" s="66" t="str">
        <x:f>IF(K3290="","","1 : "&amp;TEXT(K3290,"0.0"))</x:f>
        <x:v>1 : 1.1</x:v>
      </x:c>
      <x:c r="M3290" s="66" t="str">
        <x:f>IF(J3290="","Baru/Tanpa Data",IF(J3290&lt;='Catatan &amp; Sumber'!$B$14,"Sangat Ketat",IF(J3290&lt;='Catatan &amp; Sumber'!$B$15,"Ketat",IF(J3290&lt;='Catatan &amp; Sumber'!$B$16,"Sedang","Relatif Longgar"))))</x:f>
        <x:v>Relatif Longgar</x:v>
      </x:c>
      <x:c r="N3290" s="66" t="str">
        <x:v>Tidak Ada</x:v>
      </x:c>
      <x:c r="O3290" s="66" t="str">
        <x:v>Jawa Timur</x:v>
      </x:c>
      <x:c r="P3290" s="66" t="str">
        <x:v>Kabupate Jember</x:v>
      </x:c>
      <x:c r="Q3290" s="66" t="str">
        <x:v>https://snpmb.id/snbp/daya-tampung-snbp</x:v>
      </x:c>
      <x:c r="R3290" s="66" t="str">
        <x:v>https://sidatagrun-public-1076756628210.asia-southeast2.run.app/ptn_sn.php?ptn=472</x:v>
      </x:c>
    </x:row>
    <x:row r="3291">
      <x:c r="A3291" s="87" t="n">
        <x:v>4036</x:v>
      </x:c>
      <x:c r="B3291" s="66" t="n">
        <x:v>472</x:v>
      </x:c>
      <x:c r="C3291" s="66" t="str">
        <x:v>POLITEKNIK NEGERI JEMBER</x:v>
      </x:c>
      <x:c r="D3291" s="66" t="str">
        <x:v>PTN Vokasi</x:v>
      </x:c>
      <x:c r="E3291" s="66" t="str">
        <x:v>24722011</x:v>
      </x:c>
      <x:c r="F3291" s="66" t="str">
        <x:v>TEKNOLOGI REKAYASA PANGAN</x:v>
      </x:c>
      <x:c r="G3291" s="66" t="str">
        <x:v>Sarjana Terapan</x:v>
      </x:c>
      <x:c r="H3291" s="87" t="n">
        <x:v>66</x:v>
      </x:c>
      <x:c r="I3291" s="87" t="n">
        <x:v>93</x:v>
      </x:c>
      <x:c r="J3291" s="68" t="n">
        <x:f>IFERROR(H3291/I3291,"")</x:f>
        <x:v>0.7096774193548387</x:v>
      </x:c>
      <x:c r="K3291" s="69" t="n">
        <x:f>IFERROR(I3291/H3291,"")</x:f>
        <x:v>1.4090909090909092</x:v>
      </x:c>
      <x:c r="L3291" s="66" t="str">
        <x:f>IF(K3291="","","1 : "&amp;TEXT(K3291,"0.0"))</x:f>
        <x:v>1 : 1.4</x:v>
      </x:c>
      <x:c r="M3291" s="66" t="str">
        <x:f>IF(J3291="","Baru/Tanpa Data",IF(J3291&lt;='Catatan &amp; Sumber'!$B$14,"Sangat Ketat",IF(J3291&lt;='Catatan &amp; Sumber'!$B$15,"Ketat",IF(J3291&lt;='Catatan &amp; Sumber'!$B$16,"Sedang","Relatif Longgar"))))</x:f>
        <x:v>Relatif Longgar</x:v>
      </x:c>
      <x:c r="N3291" s="66" t="str">
        <x:v>Tidak Ada</x:v>
      </x:c>
      <x:c r="O3291" s="66" t="str">
        <x:v>Jawa Timur</x:v>
      </x:c>
      <x:c r="P3291" s="66" t="str">
        <x:v>Kabupate Jember</x:v>
      </x:c>
      <x:c r="Q3291" s="66" t="str">
        <x:v>https://snpmb.id/snbp/daya-tampung-snbp</x:v>
      </x:c>
      <x:c r="R3291" s="66" t="str">
        <x:v>https://sidatagrun-public-1076756628210.asia-southeast2.run.app/ptn_sn.php?ptn=472</x:v>
      </x:c>
    </x:row>
    <x:row r="3292">
      <x:c r="A3292" s="87" t="n">
        <x:v>4455</x:v>
      </x:c>
      <x:c r="B3292" s="66" t="n">
        <x:v>472</x:v>
      </x:c>
      <x:c r="C3292" s="66" t="str">
        <x:v>POLITEKNIK NEGERI JEMBER</x:v>
      </x:c>
      <x:c r="D3292" s="66" t="str">
        <x:v>PTN Vokasi</x:v>
      </x:c>
      <x:c r="E3292" s="66" t="str">
        <x:v>24722012</x:v>
      </x:c>
      <x:c r="F3292" s="66" t="str">
        <x:v>PENGELOLAAN PERKEBUNAN KOPI</x:v>
      </x:c>
      <x:c r="G3292" s="66" t="str">
        <x:v>Sarjana Terapan</x:v>
      </x:c>
      <x:c r="H3292" s="87" t="n">
        <x:v>33</x:v>
      </x:c>
      <x:c r="I3292" s="87" t="n">
        <x:v>27</x:v>
      </x:c>
      <x:c r="J3292" s="68" t="n">
        <x:f>IFERROR(H3292/I3292,"")</x:f>
        <x:v>1.2222222222222223</x:v>
      </x:c>
      <x:c r="K3292" s="69" t="n">
        <x:f>IFERROR(I3292/H3292,"")</x:f>
        <x:v>0.8181818181818182</x:v>
      </x:c>
      <x:c r="L3292" s="66" t="str">
        <x:f>IF(K3292="","","1 : "&amp;TEXT(K3292,"0.0"))</x:f>
        <x:v>1 : 0.8</x:v>
      </x:c>
      <x:c r="M3292" s="66" t="str">
        <x:f>IF(J3292="","Baru/Tanpa Data",IF(J3292&lt;='Catatan &amp; Sumber'!$B$14,"Sangat Ketat",IF(J3292&lt;='Catatan &amp; Sumber'!$B$15,"Ketat",IF(J3292&lt;='Catatan &amp; Sumber'!$B$16,"Sedang","Relatif Longgar"))))</x:f>
        <x:v>Relatif Longgar</x:v>
      </x:c>
      <x:c r="N3292" s="66" t="str">
        <x:v>Tidak Ada</x:v>
      </x:c>
      <x:c r="O3292" s="66" t="str">
        <x:v>Jawa Timur</x:v>
      </x:c>
      <x:c r="P3292" s="66" t="str">
        <x:v>Kabupate Jember</x:v>
      </x:c>
      <x:c r="Q3292" s="66" t="str">
        <x:v>https://snpmb.id/snbp/daya-tampung-snbp</x:v>
      </x:c>
      <x:c r="R3292" s="66" t="str">
        <x:v>https://sidatagrun-public-1076756628210.asia-southeast2.run.app/ptn_sn.php?ptn=472</x:v>
      </x:c>
    </x:row>
    <x:row r="3293">
      <x:c r="A3293" s="87" t="n">
        <x:v>4085</x:v>
      </x:c>
      <x:c r="B3293" s="66" t="n">
        <x:v>472</x:v>
      </x:c>
      <x:c r="C3293" s="66" t="str">
        <x:v>POLITEKNIK NEGERI JEMBER</x:v>
      </x:c>
      <x:c r="D3293" s="66" t="str">
        <x:v>PTN Vokasi</x:v>
      </x:c>
      <x:c r="E3293" s="66" t="str">
        <x:v>24722013</x:v>
      </x:c>
      <x:c r="F3293" s="66" t="str">
        <x:v>TEKNOLOGI REKAYASA MEKATRONIKA</x:v>
      </x:c>
      <x:c r="G3293" s="66" t="str">
        <x:v>Sarjana Terapan</x:v>
      </x:c>
      <x:c r="H3293" s="87" t="n">
        <x:v>66</x:v>
      </x:c>
      <x:c r="I3293" s="87" t="n">
        <x:v>88</x:v>
      </x:c>
      <x:c r="J3293" s="68" t="n">
        <x:f>IFERROR(H3293/I3293,"")</x:f>
        <x:v>0.75</x:v>
      </x:c>
      <x:c r="K3293" s="69" t="n">
        <x:f>IFERROR(I3293/H3293,"")</x:f>
        <x:v>1.3333333333333333</x:v>
      </x:c>
      <x:c r="L3293" s="66" t="str">
        <x:f>IF(K3293="","","1 : "&amp;TEXT(K3293,"0.0"))</x:f>
        <x:v>1 : 1.3</x:v>
      </x:c>
      <x:c r="M3293" s="66" t="str">
        <x:f>IF(J3293="","Baru/Tanpa Data",IF(J3293&lt;='Catatan &amp; Sumber'!$B$14,"Sangat Ketat",IF(J3293&lt;='Catatan &amp; Sumber'!$B$15,"Ketat",IF(J3293&lt;='Catatan &amp; Sumber'!$B$16,"Sedang","Relatif Longgar"))))</x:f>
        <x:v>Relatif Longgar</x:v>
      </x:c>
      <x:c r="N3293" s="66" t="str">
        <x:v>Tidak Ada</x:v>
      </x:c>
      <x:c r="O3293" s="66" t="str">
        <x:v>Jawa Timur</x:v>
      </x:c>
      <x:c r="P3293" s="66" t="str">
        <x:v>Kabupate Jember</x:v>
      </x:c>
      <x:c r="Q3293" s="66" t="str">
        <x:v>https://snpmb.id/snbp/daya-tampung-snbp</x:v>
      </x:c>
      <x:c r="R3293" s="66" t="str">
        <x:v>https://sidatagrun-public-1076756628210.asia-southeast2.run.app/ptn_sn.php?ptn=472</x:v>
      </x:c>
    </x:row>
    <x:row r="3294">
      <x:c r="A3294" s="87" t="n">
        <x:v>4083</x:v>
      </x:c>
      <x:c r="B3294" s="66" t="n">
        <x:v>472</x:v>
      </x:c>
      <x:c r="C3294" s="66" t="str">
        <x:v>POLITEKNIK NEGERI JEMBER</x:v>
      </x:c>
      <x:c r="D3294" s="66" t="str">
        <x:v>PTN Vokasi</x:v>
      </x:c>
      <x:c r="E3294" s="66" t="str">
        <x:v>24722014</x:v>
      </x:c>
      <x:c r="F3294" s="66" t="str">
        <x:v>PSDKU TEKNIK INFORMATIKA KAB. NGANJUK</x:v>
      </x:c>
      <x:c r="G3294" s="66" t="str">
        <x:v>Sarjana Terapan</x:v>
      </x:c>
      <x:c r="H3294" s="87" t="n">
        <x:v>50</x:v>
      </x:c>
      <x:c r="I3294" s="87" t="n">
        <x:v>67</x:v>
      </x:c>
      <x:c r="J3294" s="68" t="n">
        <x:f>IFERROR(H3294/I3294,"")</x:f>
        <x:v>0.746268656716418</x:v>
      </x:c>
      <x:c r="K3294" s="69" t="n">
        <x:f>IFERROR(I3294/H3294,"")</x:f>
        <x:v>1.34</x:v>
      </x:c>
      <x:c r="L3294" s="66" t="str">
        <x:f>IF(K3294="","","1 : "&amp;TEXT(K3294,"0.0"))</x:f>
        <x:v>1 : 1.3</x:v>
      </x:c>
      <x:c r="M3294" s="66" t="str">
        <x:f>IF(J3294="","Baru/Tanpa Data",IF(J3294&lt;='Catatan &amp; Sumber'!$B$14,"Sangat Ketat",IF(J3294&lt;='Catatan &amp; Sumber'!$B$15,"Ketat",IF(J3294&lt;='Catatan &amp; Sumber'!$B$16,"Sedang","Relatif Longgar"))))</x:f>
        <x:v>Relatif Longgar</x:v>
      </x:c>
      <x:c r="N3294" s="66" t="str">
        <x:v>Tidak Ada</x:v>
      </x:c>
      <x:c r="O3294" s="66" t="str">
        <x:v>Jawa Timur</x:v>
      </x:c>
      <x:c r="P3294" s="66" t="str">
        <x:v>Kabupate Jember</x:v>
      </x:c>
      <x:c r="Q3294" s="66" t="str">
        <x:v>https://snpmb.id/snbp/daya-tampung-snbp</x:v>
      </x:c>
      <x:c r="R3294" s="66" t="str">
        <x:v>https://sidatagrun-public-1076756628210.asia-southeast2.run.app/ptn_sn.php?ptn=472</x:v>
      </x:c>
    </x:row>
    <x:row r="3295">
      <x:c r="A3295" s="87" t="n">
        <x:v>4305</x:v>
      </x:c>
      <x:c r="B3295" s="66" t="n">
        <x:v>472</x:v>
      </x:c>
      <x:c r="C3295" s="66" t="str">
        <x:v>POLITEKNIK NEGERI JEMBER</x:v>
      </x:c>
      <x:c r="D3295" s="66" t="str">
        <x:v>PTN Vokasi</x:v>
      </x:c>
      <x:c r="E3295" s="66" t="str">
        <x:v>24722015</x:v>
      </x:c>
      <x:c r="F3295" s="66" t="str">
        <x:v>TEKNOLOGI PAKAN TERNAK</x:v>
      </x:c>
      <x:c r="G3295" s="66" t="str">
        <x:v>Sarjana Terapan</x:v>
      </x:c>
      <x:c r="H3295" s="87" t="n">
        <x:v>50</x:v>
      </x:c>
      <x:c r="I3295" s="87" t="n">
        <x:v>50</x:v>
      </x:c>
      <x:c r="J3295" s="68" t="n">
        <x:f>IFERROR(H3295/I3295,"")</x:f>
        <x:v>1</x:v>
      </x:c>
      <x:c r="K3295" s="69" t="n">
        <x:f>IFERROR(I3295/H3295,"")</x:f>
        <x:v>1</x:v>
      </x:c>
      <x:c r="L3295" s="66" t="str">
        <x:f>IF(K3295="","","1 : "&amp;TEXT(K3295,"0.0"))</x:f>
        <x:v>1 : 1.0</x:v>
      </x:c>
      <x:c r="M3295" s="66" t="str">
        <x:f>IF(J3295="","Baru/Tanpa Data",IF(J3295&lt;='Catatan &amp; Sumber'!$B$14,"Sangat Ketat",IF(J3295&lt;='Catatan &amp; Sumber'!$B$15,"Ketat",IF(J3295&lt;='Catatan &amp; Sumber'!$B$16,"Sedang","Relatif Longgar"))))</x:f>
        <x:v>Relatif Longgar</x:v>
      </x:c>
      <x:c r="N3295" s="66" t="str">
        <x:v>Tidak Ada</x:v>
      </x:c>
      <x:c r="O3295" s="66" t="str">
        <x:v>Jawa Timur</x:v>
      </x:c>
      <x:c r="P3295" s="66" t="str">
        <x:v>Kabupate Jember</x:v>
      </x:c>
      <x:c r="Q3295" s="66" t="str">
        <x:v>https://snpmb.id/snbp/daya-tampung-snbp</x:v>
      </x:c>
      <x:c r="R3295" s="66" t="str">
        <x:v>https://sidatagrun-public-1076756628210.asia-southeast2.run.app/ptn_sn.php?ptn=472</x:v>
      </x:c>
    </x:row>
    <x:row r="3296">
      <x:c r="A3296" s="87" t="n">
        <x:v>4731</x:v>
      </x:c>
      <x:c r="B3296" s="66" t="n">
        <x:v>472</x:v>
      </x:c>
      <x:c r="C3296" s="66" t="str">
        <x:v>POLITEKNIK NEGERI JEMBER</x:v>
      </x:c>
      <x:c r="D3296" s="66" t="str">
        <x:v>PTN Vokasi</x:v>
      </x:c>
      <x:c r="E3296" s="66" t="str">
        <x:v>24722016</x:v>
      </x:c>
      <x:c r="F3296" s="66" t="str">
        <x:v>PSDKU MANAJEMEN AGROINDUSTRI KAB. SIDOARJO</x:v>
      </x:c>
      <x:c r="G3296" s="66" t="str">
        <x:v>Sarjana Terapan</x:v>
      </x:c>
      <x:c r="H3296" s="87" t="n">
        <x:v>33</x:v>
      </x:c>
      <x:c r="I3296" s="87" t="n">
        <x:v>13</x:v>
      </x:c>
      <x:c r="J3296" s="68" t="n">
        <x:f>IFERROR(H3296/I3296,"")</x:f>
        <x:v>2.5384615384615383</x:v>
      </x:c>
      <x:c r="K3296" s="69" t="n">
        <x:f>IFERROR(I3296/H3296,"")</x:f>
        <x:v>0.3939393939393939</x:v>
      </x:c>
      <x:c r="L3296" s="66" t="str">
        <x:f>IF(K3296="","","1 : "&amp;TEXT(K3296,"0.0"))</x:f>
        <x:v>1 : 0.4</x:v>
      </x:c>
      <x:c r="M3296" s="66" t="str">
        <x:f>IF(J3296="","Baru/Tanpa Data",IF(J3296&lt;='Catatan &amp; Sumber'!$B$14,"Sangat Ketat",IF(J3296&lt;='Catatan &amp; Sumber'!$B$15,"Ketat",IF(J3296&lt;='Catatan &amp; Sumber'!$B$16,"Sedang","Relatif Longgar"))))</x:f>
        <x:v>Relatif Longgar</x:v>
      </x:c>
      <x:c r="N3296" s="66" t="str">
        <x:v>Tidak Ada</x:v>
      </x:c>
      <x:c r="O3296" s="66" t="str">
        <x:v>Jawa Timur</x:v>
      </x:c>
      <x:c r="P3296" s="66" t="str">
        <x:v>Kabupate Jember</x:v>
      </x:c>
      <x:c r="Q3296" s="66" t="str">
        <x:v>https://snpmb.id/snbp/daya-tampung-snbp</x:v>
      </x:c>
      <x:c r="R3296" s="66" t="str">
        <x:v>https://sidatagrun-public-1076756628210.asia-southeast2.run.app/ptn_sn.php?ptn=472</x:v>
      </x:c>
    </x:row>
    <x:row r="3297">
      <x:c r="A3297" s="87" t="n">
        <x:v>4532</x:v>
      </x:c>
      <x:c r="B3297" s="66" t="n">
        <x:v>472</x:v>
      </x:c>
      <x:c r="C3297" s="66" t="str">
        <x:v>POLITEKNIK NEGERI JEMBER</x:v>
      </x:c>
      <x:c r="D3297" s="66" t="str">
        <x:v>PTN Vokasi</x:v>
      </x:c>
      <x:c r="E3297" s="66" t="str">
        <x:v>24722017</x:v>
      </x:c>
      <x:c r="F3297" s="66" t="str">
        <x:v>PSDKU TEKNIK INFORMATIKA KAB. SIDOARJO</x:v>
      </x:c>
      <x:c r="G3297" s="66" t="str">
        <x:v>Sarjana Terapan</x:v>
      </x:c>
      <x:c r="H3297" s="87" t="n">
        <x:v>50</x:v>
      </x:c>
      <x:c r="I3297" s="87" t="n">
        <x:v>35</x:v>
      </x:c>
      <x:c r="J3297" s="68" t="n">
        <x:f>IFERROR(H3297/I3297,"")</x:f>
        <x:v>1.4285714285714286</x:v>
      </x:c>
      <x:c r="K3297" s="69" t="n">
        <x:f>IFERROR(I3297/H3297,"")</x:f>
        <x:v>0.7</x:v>
      </x:c>
      <x:c r="L3297" s="66" t="str">
        <x:f>IF(K3297="","","1 : "&amp;TEXT(K3297,"0.0"))</x:f>
        <x:v>1 : 0.7</x:v>
      </x:c>
      <x:c r="M3297" s="66" t="str">
        <x:f>IF(J3297="","Baru/Tanpa Data",IF(J3297&lt;='Catatan &amp; Sumber'!$B$14,"Sangat Ketat",IF(J3297&lt;='Catatan &amp; Sumber'!$B$15,"Ketat",IF(J3297&lt;='Catatan &amp; Sumber'!$B$16,"Sedang","Relatif Longgar"))))</x:f>
        <x:v>Relatif Longgar</x:v>
      </x:c>
      <x:c r="N3297" s="66" t="str">
        <x:v>Tidak Ada</x:v>
      </x:c>
      <x:c r="O3297" s="66" t="str">
        <x:v>Jawa Timur</x:v>
      </x:c>
      <x:c r="P3297" s="66" t="str">
        <x:v>Kabupate Jember</x:v>
      </x:c>
      <x:c r="Q3297" s="66" t="str">
        <x:v>https://snpmb.id/snbp/daya-tampung-snbp</x:v>
      </x:c>
      <x:c r="R3297" s="66" t="str">
        <x:v>https://sidatagrun-public-1076756628210.asia-southeast2.run.app/ptn_sn.php?ptn=472</x:v>
      </x:c>
    </x:row>
    <x:row r="3298">
      <x:c r="A3298" s="87" t="n">
        <x:v>4079</x:v>
      </x:c>
      <x:c r="B3298" s="66" t="n">
        <x:v>472</x:v>
      </x:c>
      <x:c r="C3298" s="66" t="str">
        <x:v>POLITEKNIK NEGERI JEMBER</x:v>
      </x:c>
      <x:c r="D3298" s="66" t="str">
        <x:v>PTN Vokasi</x:v>
      </x:c>
      <x:c r="E3298" s="66" t="str">
        <x:v>24722018</x:v>
      </x:c>
      <x:c r="F3298" s="66" t="str">
        <x:v>PROMOSI KESEHATAN</x:v>
      </x:c>
      <x:c r="G3298" s="66" t="str">
        <x:v>Sarjana Terapan</x:v>
      </x:c>
      <x:c r="H3298" s="87" t="n">
        <x:v>66</x:v>
      </x:c>
      <x:c r="I3298" s="87" t="n">
        <x:v>89</x:v>
      </x:c>
      <x:c r="J3298" s="68" t="n">
        <x:f>IFERROR(H3298/I3298,"")</x:f>
        <x:v>0.7415730337078652</x:v>
      </x:c>
      <x:c r="K3298" s="69" t="n">
        <x:f>IFERROR(I3298/H3298,"")</x:f>
        <x:v>1.3484848484848484</x:v>
      </x:c>
      <x:c r="L3298" s="66" t="str">
        <x:f>IF(K3298="","","1 : "&amp;TEXT(K3298,"0.0"))</x:f>
        <x:v>1 : 1.3</x:v>
      </x:c>
      <x:c r="M3298" s="66" t="str">
        <x:f>IF(J3298="","Baru/Tanpa Data",IF(J3298&lt;='Catatan &amp; Sumber'!$B$14,"Sangat Ketat",IF(J3298&lt;='Catatan &amp; Sumber'!$B$15,"Ketat",IF(J3298&lt;='Catatan &amp; Sumber'!$B$16,"Sedang","Relatif Longgar"))))</x:f>
        <x:v>Relatif Longgar</x:v>
      </x:c>
      <x:c r="N3298" s="66" t="str">
        <x:v>Tidak Ada</x:v>
      </x:c>
      <x:c r="O3298" s="66" t="str">
        <x:v>Jawa Timur</x:v>
      </x:c>
      <x:c r="P3298" s="66" t="str">
        <x:v>Kabupate Jember</x:v>
      </x:c>
      <x:c r="Q3298" s="66" t="str">
        <x:v>https://snpmb.id/snbp/daya-tampung-snbp</x:v>
      </x:c>
      <x:c r="R3298" s="66" t="str">
        <x:v>https://sidatagrun-public-1076756628210.asia-southeast2.run.app/ptn_sn.php?ptn=472</x:v>
      </x:c>
    </x:row>
    <x:row r="3299">
      <x:c r="A3299" s="87" t="n">
        <x:v>3654</x:v>
      </x:c>
      <x:c r="B3299" s="66" t="n">
        <x:v>472</x:v>
      </x:c>
      <x:c r="C3299" s="66" t="str">
        <x:v>POLITEKNIK NEGERI JEMBER</x:v>
      </x:c>
      <x:c r="D3299" s="66" t="str">
        <x:v>PTN Vokasi</x:v>
      </x:c>
      <x:c r="E3299" s="66" t="str">
        <x:v>24722019</x:v>
      </x:c>
      <x:c r="F3299" s="66" t="str">
        <x:v>BISNIS DIGITAL</x:v>
      </x:c>
      <x:c r="G3299" s="66" t="str">
        <x:v>Sarjana Terapan</x:v>
      </x:c>
      <x:c r="H3299" s="87" t="n">
        <x:v>66</x:v>
      </x:c>
      <x:c r="I3299" s="87" t="n">
        <x:v>132</x:v>
      </x:c>
      <x:c r="J3299" s="68" t="n">
        <x:f>IFERROR(H3299/I3299,"")</x:f>
        <x:v>0.5</x:v>
      </x:c>
      <x:c r="K3299" s="69" t="n">
        <x:f>IFERROR(I3299/H3299,"")</x:f>
        <x:v>2</x:v>
      </x:c>
      <x:c r="L3299" s="66" t="str">
        <x:f>IF(K3299="","","1 : "&amp;TEXT(K3299,"0.0"))</x:f>
        <x:v>1 : 2.0</x:v>
      </x:c>
      <x:c r="M3299" s="66" t="str">
        <x:f>IF(J3299="","Baru/Tanpa Data",IF(J3299&lt;='Catatan &amp; Sumber'!$B$14,"Sangat Ketat",IF(J3299&lt;='Catatan &amp; Sumber'!$B$15,"Ketat",IF(J3299&lt;='Catatan &amp; Sumber'!$B$16,"Sedang","Relatif Longgar"))))</x:f>
        <x:v>Relatif Longgar</x:v>
      </x:c>
      <x:c r="N3299" s="66" t="str">
        <x:v>Tidak Ada</x:v>
      </x:c>
      <x:c r="O3299" s="66" t="str">
        <x:v>Jawa Timur</x:v>
      </x:c>
      <x:c r="P3299" s="66" t="str">
        <x:v>Kabupate Jember</x:v>
      </x:c>
      <x:c r="Q3299" s="66" t="str">
        <x:v>https://snpmb.id/snbp/daya-tampung-snbp</x:v>
      </x:c>
      <x:c r="R3299" s="66" t="str">
        <x:v>https://sidatagrun-public-1076756628210.asia-southeast2.run.app/ptn_sn.php?ptn=472</x:v>
      </x:c>
    </x:row>
    <x:row r="3300">
      <x:c r="A3300" s="87" t="n">
        <x:v>3811</x:v>
      </x:c>
      <x:c r="B3300" s="66" t="n">
        <x:v>472</x:v>
      </x:c>
      <x:c r="C3300" s="66" t="str">
        <x:v>POLITEKNIK NEGERI JEMBER</x:v>
      </x:c>
      <x:c r="D3300" s="66" t="str">
        <x:v>PTN Vokasi</x:v>
      </x:c>
      <x:c r="E3300" s="66" t="str">
        <x:v>24722020</x:v>
      </x:c>
      <x:c r="F3300" s="66" t="str">
        <x:v>AKUNTANSI SEKTOR PUBLIK</x:v>
      </x:c>
      <x:c r="G3300" s="66" t="str">
        <x:v>Sarjana Terapan</x:v>
      </x:c>
      <x:c r="H3300" s="87" t="n">
        <x:v>83</x:v>
      </x:c>
      <x:c r="I3300" s="87" t="n">
        <x:v>144</x:v>
      </x:c>
      <x:c r="J3300" s="68" t="n">
        <x:f>IFERROR(H3300/I3300,"")</x:f>
        <x:v>0.5763888888888888</x:v>
      </x:c>
      <x:c r="K3300" s="69" t="n">
        <x:f>IFERROR(I3300/H3300,"")</x:f>
        <x:v>1.7349397590361446</x:v>
      </x:c>
      <x:c r="L3300" s="66" t="str">
        <x:f>IF(K3300="","","1 : "&amp;TEXT(K3300,"0.0"))</x:f>
        <x:v>1 : 1.7</x:v>
      </x:c>
      <x:c r="M3300" s="66" t="str">
        <x:f>IF(J3300="","Baru/Tanpa Data",IF(J3300&lt;='Catatan &amp; Sumber'!$B$14,"Sangat Ketat",IF(J3300&lt;='Catatan &amp; Sumber'!$B$15,"Ketat",IF(J3300&lt;='Catatan &amp; Sumber'!$B$16,"Sedang","Relatif Longgar"))))</x:f>
        <x:v>Relatif Longgar</x:v>
      </x:c>
      <x:c r="N3300" s="66" t="str">
        <x:v>Tidak Ada</x:v>
      </x:c>
      <x:c r="O3300" s="66" t="str">
        <x:v>Jawa Timur</x:v>
      </x:c>
      <x:c r="P3300" s="66" t="str">
        <x:v>Kabupate Jember</x:v>
      </x:c>
      <x:c r="Q3300" s="66" t="str">
        <x:v>https://snpmb.id/snbp/daya-tampung-snbp</x:v>
      </x:c>
      <x:c r="R3300" s="66" t="str">
        <x:v>https://sidatagrun-public-1076756628210.asia-southeast2.run.app/ptn_sn.php?ptn=472</x:v>
      </x:c>
    </x:row>
    <x:row r="3301">
      <x:c r="A3301" s="87" t="n">
        <x:v>3886</x:v>
      </x:c>
      <x:c r="B3301" s="66" t="n">
        <x:v>472</x:v>
      </x:c>
      <x:c r="C3301" s="66" t="str">
        <x:v>POLITEKNIK NEGERI JEMBER</x:v>
      </x:c>
      <x:c r="D3301" s="66" t="str">
        <x:v>PTN Vokasi</x:v>
      </x:c>
      <x:c r="E3301" s="66" t="str">
        <x:v>24722021</x:v>
      </x:c>
      <x:c r="F3301" s="66" t="str">
        <x:v>MANAJEMEN PEMASARAN INTERNASIONAL</x:v>
      </x:c>
      <x:c r="G3301" s="66" t="str">
        <x:v>Sarjana Terapan</x:v>
      </x:c>
      <x:c r="H3301" s="87" t="n">
        <x:v>83</x:v>
      </x:c>
      <x:c r="I3301" s="87" t="n">
        <x:v>135</x:v>
      </x:c>
      <x:c r="J3301" s="68" t="n">
        <x:f>IFERROR(H3301/I3301,"")</x:f>
        <x:v>0.6148148148148148</x:v>
      </x:c>
      <x:c r="K3301" s="69" t="n">
        <x:f>IFERROR(I3301/H3301,"")</x:f>
        <x:v>1.6265060240963856</x:v>
      </x:c>
      <x:c r="L3301" s="66" t="str">
        <x:f>IF(K3301="","","1 : "&amp;TEXT(K3301,"0.0"))</x:f>
        <x:v>1 : 1.6</x:v>
      </x:c>
      <x:c r="M3301" s="66" t="str">
        <x:f>IF(J3301="","Baru/Tanpa Data",IF(J3301&lt;='Catatan &amp; Sumber'!$B$14,"Sangat Ketat",IF(J3301&lt;='Catatan &amp; Sumber'!$B$15,"Ketat",IF(J3301&lt;='Catatan &amp; Sumber'!$B$16,"Sedang","Relatif Longgar"))))</x:f>
        <x:v>Relatif Longgar</x:v>
      </x:c>
      <x:c r="N3301" s="66" t="str">
        <x:v>Tidak Ada</x:v>
      </x:c>
      <x:c r="O3301" s="66" t="str">
        <x:v>Jawa Timur</x:v>
      </x:c>
      <x:c r="P3301" s="66" t="str">
        <x:v>Kabupate Jember</x:v>
      </x:c>
      <x:c r="Q3301" s="66" t="str">
        <x:v>https://snpmb.id/snbp/daya-tampung-snbp</x:v>
      </x:c>
      <x:c r="R3301" s="66" t="str">
        <x:v>https://sidatagrun-public-1076756628210.asia-southeast2.run.app/ptn_sn.php?ptn=472</x:v>
      </x:c>
    </x:row>
    <x:row r="3302">
      <x:c r="A3302" s="87" t="n">
        <x:v>3840</x:v>
      </x:c>
      <x:c r="B3302" s="66" t="n">
        <x:v>472</x:v>
      </x:c>
      <x:c r="C3302" s="66" t="str">
        <x:v>POLITEKNIK NEGERI JEMBER</x:v>
      </x:c>
      <x:c r="D3302" s="66" t="str">
        <x:v>PTN Vokasi</x:v>
      </x:c>
      <x:c r="E3302" s="66" t="str">
        <x:v>24722022</x:v>
      </x:c>
      <x:c r="F3302" s="66" t="str">
        <x:v>DESTINASI PARIWISATA</x:v>
      </x:c>
      <x:c r="G3302" s="66" t="str">
        <x:v>Sarjana Terapan</x:v>
      </x:c>
      <x:c r="H3302" s="87" t="n">
        <x:v>66</x:v>
      </x:c>
      <x:c r="I3302" s="87" t="n">
        <x:v>111</x:v>
      </x:c>
      <x:c r="J3302" s="68" t="n">
        <x:f>IFERROR(H3302/I3302,"")</x:f>
        <x:v>0.5945945945945946</x:v>
      </x:c>
      <x:c r="K3302" s="69" t="n">
        <x:f>IFERROR(I3302/H3302,"")</x:f>
        <x:v>1.6818181818181819</x:v>
      </x:c>
      <x:c r="L3302" s="66" t="str">
        <x:f>IF(K3302="","","1 : "&amp;TEXT(K3302,"0.0"))</x:f>
        <x:v>1 : 1.7</x:v>
      </x:c>
      <x:c r="M3302" s="66" t="str">
        <x:f>IF(J3302="","Baru/Tanpa Data",IF(J3302&lt;='Catatan &amp; Sumber'!$B$14,"Sangat Ketat",IF(J3302&lt;='Catatan &amp; Sumber'!$B$15,"Ketat",IF(J3302&lt;='Catatan &amp; Sumber'!$B$16,"Sedang","Relatif Longgar"))))</x:f>
        <x:v>Relatif Longgar</x:v>
      </x:c>
      <x:c r="N3302" s="66" t="str">
        <x:v>Tidak Ada</x:v>
      </x:c>
      <x:c r="O3302" s="66" t="str">
        <x:v>Jawa Timur</x:v>
      </x:c>
      <x:c r="P3302" s="66" t="str">
        <x:v>Kabupate Jember</x:v>
      </x:c>
      <x:c r="Q3302" s="66" t="str">
        <x:v>https://snpmb.id/snbp/daya-tampung-snbp</x:v>
      </x:c>
      <x:c r="R3302" s="66" t="str">
        <x:v>https://sidatagrun-public-1076756628210.asia-southeast2.run.app/ptn_sn.php?ptn=472</x:v>
      </x:c>
    </x:row>
    <x:row r="3303">
      <x:c r="A3303" s="87" t="n">
        <x:v>4406</x:v>
      </x:c>
      <x:c r="B3303" s="66" t="n">
        <x:v>472</x:v>
      </x:c>
      <x:c r="C3303" s="66" t="str">
        <x:v>POLITEKNIK NEGERI JEMBER</x:v>
      </x:c>
      <x:c r="D3303" s="66" t="str">
        <x:v>PTN Vokasi</x:v>
      </x:c>
      <x:c r="E3303" s="66" t="str">
        <x:v>24722033</x:v>
      </x:c>
      <x:c r="F3303" s="66" t="str">
        <x:v>PSDKU MANAJEMEN AGRIBISNIS KAB. NGAWI</x:v>
      </x:c>
      <x:c r="G3303" s="66" t="str">
        <x:v>Sarjana Terapan</x:v>
      </x:c>
      <x:c r="H3303" s="87" t="n">
        <x:v>33</x:v>
      </x:c>
      <x:c r="I3303" s="87" t="n">
        <x:v>29</x:v>
      </x:c>
      <x:c r="J3303" s="68" t="n">
        <x:f>IFERROR(H3303/I3303,"")</x:f>
        <x:v>1.1379310344827587</x:v>
      </x:c>
      <x:c r="K3303" s="69" t="n">
        <x:f>IFERROR(I3303/H3303,"")</x:f>
        <x:v>0.8787878787878788</x:v>
      </x:c>
      <x:c r="L3303" s="66" t="str">
        <x:f>IF(K3303="","","1 : "&amp;TEXT(K3303,"0.0"))</x:f>
        <x:v>1 : 0.9</x:v>
      </x:c>
      <x:c r="M3303" s="66" t="str">
        <x:f>IF(J3303="","Baru/Tanpa Data",IF(J3303&lt;='Catatan &amp; Sumber'!$B$14,"Sangat Ketat",IF(J3303&lt;='Catatan &amp; Sumber'!$B$15,"Ketat",IF(J3303&lt;='Catatan &amp; Sumber'!$B$16,"Sedang","Relatif Longgar"))))</x:f>
        <x:v>Relatif Longgar</x:v>
      </x:c>
      <x:c r="N3303" s="66" t="str">
        <x:v>Tidak Ada</x:v>
      </x:c>
      <x:c r="O3303" s="66" t="str">
        <x:v>Jawa Timur</x:v>
      </x:c>
      <x:c r="P3303" s="66" t="str">
        <x:v>Kabupate Jember</x:v>
      </x:c>
      <x:c r="Q3303" s="66" t="str">
        <x:v>https://snpmb.id/snbp/daya-tampung-snbp</x:v>
      </x:c>
      <x:c r="R3303" s="66" t="str">
        <x:v>https://sidatagrun-public-1076756628210.asia-southeast2.run.app/ptn_sn.php?ptn=472</x:v>
      </x:c>
    </x:row>
    <x:row r="3304">
      <x:c r="A3304" s="87" t="n">
        <x:v>3761</x:v>
      </x:c>
      <x:c r="B3304" s="66" t="n">
        <x:v>472</x:v>
      </x:c>
      <x:c r="C3304" s="66" t="str">
        <x:v>POLITEKNIK NEGERI JEMBER</x:v>
      </x:c>
      <x:c r="D3304" s="66" t="str">
        <x:v>PTN Vokasi</x:v>
      </x:c>
      <x:c r="E3304" s="66" t="str">
        <x:v>24722034</x:v>
      </x:c>
      <x:c r="F3304" s="66" t="str">
        <x:v>PSDKU MANAJEMEN INFORMASI KESEHATAN KAB. NGAWI</x:v>
      </x:c>
      <x:c r="G3304" s="66" t="str">
        <x:v>Sarjana Terapan</x:v>
      </x:c>
      <x:c r="H3304" s="87" t="n">
        <x:v>33</x:v>
      </x:c>
      <x:c r="I3304" s="87" t="n">
        <x:v>60</x:v>
      </x:c>
      <x:c r="J3304" s="68" t="n">
        <x:f>IFERROR(H3304/I3304,"")</x:f>
        <x:v>0.55</x:v>
      </x:c>
      <x:c r="K3304" s="69" t="n">
        <x:f>IFERROR(I3304/H3304,"")</x:f>
        <x:v>1.8181818181818181</x:v>
      </x:c>
      <x:c r="L3304" s="66" t="str">
        <x:f>IF(K3304="","","1 : "&amp;TEXT(K3304,"0.0"))</x:f>
        <x:v>1 : 1.8</x:v>
      </x:c>
      <x:c r="M3304" s="66" t="str">
        <x:f>IF(J3304="","Baru/Tanpa Data",IF(J3304&lt;='Catatan &amp; Sumber'!$B$14,"Sangat Ketat",IF(J3304&lt;='Catatan &amp; Sumber'!$B$15,"Ketat",IF(J3304&lt;='Catatan &amp; Sumber'!$B$16,"Sedang","Relatif Longgar"))))</x:f>
        <x:v>Relatif Longgar</x:v>
      </x:c>
      <x:c r="N3304" s="66" t="str">
        <x:v>Tidak Ada</x:v>
      </x:c>
      <x:c r="O3304" s="66" t="str">
        <x:v>Jawa Timur</x:v>
      </x:c>
      <x:c r="P3304" s="66" t="str">
        <x:v>Kabupate Jember</x:v>
      </x:c>
      <x:c r="Q3304" s="66" t="str">
        <x:v>https://snpmb.id/snbp/daya-tampung-snbp</x:v>
      </x:c>
      <x:c r="R3304" s="66" t="str">
        <x:v>https://sidatagrun-public-1076756628210.asia-southeast2.run.app/ptn_sn.php?ptn=472</x:v>
      </x:c>
    </x:row>
    <x:row r="3305">
      <x:c r="A3305" s="87" t="n">
        <x:v>4472</x:v>
      </x:c>
      <x:c r="B3305" s="66" t="n">
        <x:v>472</x:v>
      </x:c>
      <x:c r="C3305" s="66" t="str">
        <x:v>POLITEKNIK NEGERI JEMBER</x:v>
      </x:c>
      <x:c r="D3305" s="66" t="str">
        <x:v>PTN Vokasi</x:v>
      </x:c>
      <x:c r="E3305" s="66" t="str">
        <x:v>24722035</x:v>
      </x:c>
      <x:c r="F3305" s="66" t="str">
        <x:v>PRODUKSI MEDIA KAMPUS BONDOWOSO</x:v>
      </x:c>
      <x:c r="G3305" s="66" t="str">
        <x:v>Sarjana Terapan</x:v>
      </x:c>
      <x:c r="H3305" s="87" t="n">
        <x:v>33</x:v>
      </x:c>
      <x:c r="I3305" s="87" t="n">
        <x:v>26</x:v>
      </x:c>
      <x:c r="J3305" s="68" t="n">
        <x:f>IFERROR(H3305/I3305,"")</x:f>
        <x:v>1.2692307692307692</x:v>
      </x:c>
      <x:c r="K3305" s="69" t="n">
        <x:f>IFERROR(I3305/H3305,"")</x:f>
        <x:v>0.7878787878787878</x:v>
      </x:c>
      <x:c r="L3305" s="66" t="str">
        <x:f>IF(K3305="","","1 : "&amp;TEXT(K3305,"0.0"))</x:f>
        <x:v>1 : 0.8</x:v>
      </x:c>
      <x:c r="M3305" s="66" t="str">
        <x:f>IF(J3305="","Baru/Tanpa Data",IF(J3305&lt;='Catatan &amp; Sumber'!$B$14,"Sangat Ketat",IF(J3305&lt;='Catatan &amp; Sumber'!$B$15,"Ketat",IF(J3305&lt;='Catatan &amp; Sumber'!$B$16,"Sedang","Relatif Longgar"))))</x:f>
        <x:v>Relatif Longgar</x:v>
      </x:c>
      <x:c r="N3305" s="66" t="str">
        <x:v>Tidak Ada</x:v>
      </x:c>
      <x:c r="O3305" s="66" t="str">
        <x:v>Jawa Timur</x:v>
      </x:c>
      <x:c r="P3305" s="66" t="str">
        <x:v>Kabupate Jember</x:v>
      </x:c>
      <x:c r="Q3305" s="66" t="str">
        <x:v>https://snpmb.id/snbp/daya-tampung-snbp</x:v>
      </x:c>
      <x:c r="R3305" s="66" t="str">
        <x:v>https://sidatagrun-public-1076756628210.asia-southeast2.run.app/ptn_sn.php?ptn=472</x:v>
      </x:c>
    </x:row>
    <x:row r="3306">
      <x:c r="A3306" s="87"/>
      <x:c r="B3306" s="66" t="n">
        <x:v>472</x:v>
      </x:c>
      <x:c r="C3306" s="66" t="str">
        <x:v>POLITEKNIK NEGERI JEMBER</x:v>
      </x:c>
      <x:c r="D3306" s="66" t="str">
        <x:v>PTN Vokasi</x:v>
      </x:c>
      <x:c r="E3306" s="66" t="str">
        <x:v>24722036</x:v>
      </x:c>
      <x:c r="F3306" s="66" t="str">
        <x:v>PSDKU TEKNOLOGI REKAYASA PERANGKAT LUNAK KAB. SABU RAIJUA</x:v>
      </x:c>
      <x:c r="G3306" s="66" t="str">
        <x:v>Sarjana Terapan</x:v>
      </x:c>
      <x:c r="H3306" s="87" t="n">
        <x:v>33</x:v>
      </x:c>
      <x:c r="I3306" s="87"/>
      <x:c r="J3306" s="68" t="str">
        <x:f>IFERROR(H3306/I3306,"")</x:f>
      </x:c>
      <x:c r="K3306" s="69" t="n">
        <x:f>IFERROR(I3306/H3306,"")</x:f>
        <x:v>0</x:v>
      </x:c>
      <x:c r="L3306" s="66" t="str">
        <x:f>IF(K3306="","","1 : "&amp;TEXT(K3306,"0.0"))</x:f>
      </x:c>
      <x:c r="M3306" s="66" t="str">
        <x:f>IF(J3306="","Baru/Tanpa Data",IF(J3306&lt;='Catatan &amp; Sumber'!$B$14,"Sangat Ketat",IF(J3306&lt;='Catatan &amp; Sumber'!$B$15,"Ketat",IF(J3306&lt;='Catatan &amp; Sumber'!$B$16,"Sedang","Relatif Longgar"))))</x:f>
        <x:v>Baru/Tanpa Data</x:v>
      </x:c>
      <x:c r="N3306" s="66" t="str">
        <x:v>Tidak Ada</x:v>
      </x:c>
      <x:c r="O3306" s="66" t="str">
        <x:v>Jawa Timur</x:v>
      </x:c>
      <x:c r="P3306" s="66" t="str">
        <x:v>Kabupate Jember</x:v>
      </x:c>
      <x:c r="Q3306" s="66" t="str">
        <x:v>https://snpmb.id/snbp/daya-tampung-snbp</x:v>
      </x:c>
      <x:c r="R3306" s="66" t="str">
        <x:v>https://sidatagrun-public-1076756628210.asia-southeast2.run.app/ptn_sn.php?ptn=472</x:v>
      </x:c>
    </x:row>
    <x:row r="3307">
      <x:c r="A3307" s="87"/>
      <x:c r="B3307" s="66" t="n">
        <x:v>472</x:v>
      </x:c>
      <x:c r="C3307" s="66" t="str">
        <x:v>POLITEKNIK NEGERI JEMBER</x:v>
      </x:c>
      <x:c r="D3307" s="66" t="str">
        <x:v>PTN Vokasi</x:v>
      </x:c>
      <x:c r="E3307" s="66" t="str">
        <x:v>24722037</x:v>
      </x:c>
      <x:c r="F3307" s="66" t="str">
        <x:v>TEKNOLOGI REKAYASA KOMPUTER</x:v>
      </x:c>
      <x:c r="G3307" s="66" t="str">
        <x:v>Sarjana Terapan</x:v>
      </x:c>
      <x:c r="H3307" s="87" t="n">
        <x:v>50</x:v>
      </x:c>
      <x:c r="I3307" s="87"/>
      <x:c r="J3307" s="68" t="str">
        <x:f>IFERROR(H3307/I3307,"")</x:f>
      </x:c>
      <x:c r="K3307" s="69" t="n">
        <x:f>IFERROR(I3307/H3307,"")</x:f>
        <x:v>0</x:v>
      </x:c>
      <x:c r="L3307" s="66" t="str">
        <x:f>IF(K3307="","","1 : "&amp;TEXT(K3307,"0.0"))</x:f>
      </x:c>
      <x:c r="M3307" s="66" t="str">
        <x:f>IF(J3307="","Baru/Tanpa Data",IF(J3307&lt;='Catatan &amp; Sumber'!$B$14,"Sangat Ketat",IF(J3307&lt;='Catatan &amp; Sumber'!$B$15,"Ketat",IF(J3307&lt;='Catatan &amp; Sumber'!$B$16,"Sedang","Relatif Longgar"))))</x:f>
        <x:v>Baru/Tanpa Data</x:v>
      </x:c>
      <x:c r="N3307" s="66" t="str">
        <x:v>Tidak Ada</x:v>
      </x:c>
      <x:c r="O3307" s="66" t="str">
        <x:v>Jawa Timur</x:v>
      </x:c>
      <x:c r="P3307" s="66" t="str">
        <x:v>Kabupate Jember</x:v>
      </x:c>
      <x:c r="Q3307" s="66" t="str">
        <x:v>https://snpmb.id/snbp/daya-tampung-snbp</x:v>
      </x:c>
      <x:c r="R3307" s="66" t="str">
        <x:v>https://sidatagrun-public-1076756628210.asia-southeast2.run.app/ptn_sn.php?ptn=472</x:v>
      </x:c>
    </x:row>
    <x:row r="3308">
      <x:c r="A3308" s="87"/>
      <x:c r="B3308" s="66" t="n">
        <x:v>472</x:v>
      </x:c>
      <x:c r="C3308" s="66" t="str">
        <x:v>POLITEKNIK NEGERI JEMBER</x:v>
      </x:c>
      <x:c r="D3308" s="66" t="str">
        <x:v>PTN Vokasi</x:v>
      </x:c>
      <x:c r="E3308" s="66" t="str">
        <x:v>24722038</x:v>
      </x:c>
      <x:c r="F3308" s="66" t="str">
        <x:v>MANAJEMEN AGRIBISNIS KAMPUS BONDOWOSO</x:v>
      </x:c>
      <x:c r="G3308" s="66" t="str">
        <x:v>Sarjana Terapan</x:v>
      </x:c>
      <x:c r="H3308" s="87" t="n">
        <x:v>33</x:v>
      </x:c>
      <x:c r="I3308" s="87"/>
      <x:c r="J3308" s="68" t="str">
        <x:f>IFERROR(H3308/I3308,"")</x:f>
      </x:c>
      <x:c r="K3308" s="69" t="n">
        <x:f>IFERROR(I3308/H3308,"")</x:f>
        <x:v>0</x:v>
      </x:c>
      <x:c r="L3308" s="66" t="str">
        <x:f>IF(K3308="","","1 : "&amp;TEXT(K3308,"0.0"))</x:f>
      </x:c>
      <x:c r="M3308" s="66" t="str">
        <x:f>IF(J3308="","Baru/Tanpa Data",IF(J3308&lt;='Catatan &amp; Sumber'!$B$14,"Sangat Ketat",IF(J3308&lt;='Catatan &amp; Sumber'!$B$15,"Ketat",IF(J3308&lt;='Catatan &amp; Sumber'!$B$16,"Sedang","Relatif Longgar"))))</x:f>
        <x:v>Baru/Tanpa Data</x:v>
      </x:c>
      <x:c r="N3308" s="66" t="str">
        <x:v>Tidak Ada</x:v>
      </x:c>
      <x:c r="O3308" s="66" t="str">
        <x:v>Jawa Timur</x:v>
      </x:c>
      <x:c r="P3308" s="66" t="str">
        <x:v>Kabupate Jember</x:v>
      </x:c>
      <x:c r="Q3308" s="66" t="str">
        <x:v>https://snpmb.id/snbp/daya-tampung-snbp</x:v>
      </x:c>
      <x:c r="R3308" s="66" t="str">
        <x:v>https://sidatagrun-public-1076756628210.asia-southeast2.run.app/ptn_sn.php?ptn=472</x:v>
      </x:c>
    </x:row>
    <x:row r="3309">
      <x:c r="A3309" s="87"/>
      <x:c r="B3309" s="66" t="n">
        <x:v>472</x:v>
      </x:c>
      <x:c r="C3309" s="66" t="str">
        <x:v>POLITEKNIK NEGERI JEMBER</x:v>
      </x:c>
      <x:c r="D3309" s="66" t="str">
        <x:v>PTN Vokasi</x:v>
      </x:c>
      <x:c r="E3309" s="66" t="str">
        <x:v>24722039</x:v>
      </x:c>
      <x:c r="F3309" s="66" t="str">
        <x:v>TEKNOLOGI REKAYASA PENGEMASAN</x:v>
      </x:c>
      <x:c r="G3309" s="66" t="str">
        <x:v>Sarjana Terapan</x:v>
      </x:c>
      <x:c r="H3309" s="87" t="n">
        <x:v>33</x:v>
      </x:c>
      <x:c r="I3309" s="87"/>
      <x:c r="J3309" s="68" t="str">
        <x:f>IFERROR(H3309/I3309,"")</x:f>
      </x:c>
      <x:c r="K3309" s="69" t="n">
        <x:f>IFERROR(I3309/H3309,"")</x:f>
        <x:v>0</x:v>
      </x:c>
      <x:c r="L3309" s="66" t="str">
        <x:f>IF(K3309="","","1 : "&amp;TEXT(K3309,"0.0"))</x:f>
      </x:c>
      <x:c r="M3309" s="66" t="str">
        <x:f>IF(J3309="","Baru/Tanpa Data",IF(J3309&lt;='Catatan &amp; Sumber'!$B$14,"Sangat Ketat",IF(J3309&lt;='Catatan &amp; Sumber'!$B$15,"Ketat",IF(J3309&lt;='Catatan &amp; Sumber'!$B$16,"Sedang","Relatif Longgar"))))</x:f>
        <x:v>Baru/Tanpa Data</x:v>
      </x:c>
      <x:c r="N3309" s="66" t="str">
        <x:v>Tidak Ada</x:v>
      </x:c>
      <x:c r="O3309" s="66" t="str">
        <x:v>Jawa Timur</x:v>
      </x:c>
      <x:c r="P3309" s="66" t="str">
        <x:v>Kabupate Jember</x:v>
      </x:c>
      <x:c r="Q3309" s="66" t="str">
        <x:v>https://snpmb.id/snbp/daya-tampung-snbp</x:v>
      </x:c>
      <x:c r="R3309" s="66" t="str">
        <x:v>https://sidatagrun-public-1076756628210.asia-southeast2.run.app/ptn_sn.php?ptn=472</x:v>
      </x:c>
    </x:row>
    <x:row r="3310">
      <x:c r="A3310" s="87" t="n">
        <x:v>4119</x:v>
      </x:c>
      <x:c r="B3310" s="66" t="n">
        <x:v>472</x:v>
      </x:c>
      <x:c r="C3310" s="66" t="str">
        <x:v>POLITEKNIK NEGERI JEMBER</x:v>
      </x:c>
      <x:c r="D3310" s="66" t="str">
        <x:v>PTN Vokasi</x:v>
      </x:c>
      <x:c r="E3310" s="66" t="str">
        <x:v>24723023</x:v>
      </x:c>
      <x:c r="F3310" s="66" t="str">
        <x:v>MANAJEMEN AGRIBISNIS</x:v>
      </x:c>
      <x:c r="G3310" s="66" t="str">
        <x:v>Diploma Tiga</x:v>
      </x:c>
      <x:c r="H3310" s="87" t="n">
        <x:v>66</x:v>
      </x:c>
      <x:c r="I3310" s="87" t="n">
        <x:v>85</x:v>
      </x:c>
      <x:c r="J3310" s="68" t="n">
        <x:f>IFERROR(H3310/I3310,"")</x:f>
        <x:v>0.7764705882352941</x:v>
      </x:c>
      <x:c r="K3310" s="69" t="n">
        <x:f>IFERROR(I3310/H3310,"")</x:f>
        <x:v>1.2878787878787878</x:v>
      </x:c>
      <x:c r="L3310" s="66" t="str">
        <x:f>IF(K3310="","","1 : "&amp;TEXT(K3310,"0.0"))</x:f>
        <x:v>1 : 1.3</x:v>
      </x:c>
      <x:c r="M3310" s="66" t="str">
        <x:f>IF(J3310="","Baru/Tanpa Data",IF(J3310&lt;='Catatan &amp; Sumber'!$B$14,"Sangat Ketat",IF(J3310&lt;='Catatan &amp; Sumber'!$B$15,"Ketat",IF(J3310&lt;='Catatan &amp; Sumber'!$B$16,"Sedang","Relatif Longgar"))))</x:f>
        <x:v>Relatif Longgar</x:v>
      </x:c>
      <x:c r="N3310" s="66" t="str">
        <x:v>Tidak Ada</x:v>
      </x:c>
      <x:c r="O3310" s="66" t="str">
        <x:v>Jawa Timur</x:v>
      </x:c>
      <x:c r="P3310" s="66" t="str">
        <x:v>Kabupate Jember</x:v>
      </x:c>
      <x:c r="Q3310" s="66" t="str">
        <x:v>https://snpmb.id/snbp/daya-tampung-snbp</x:v>
      </x:c>
      <x:c r="R3310" s="66" t="str">
        <x:v>https://sidatagrun-public-1076756628210.asia-southeast2.run.app/ptn_sn.php?ptn=472</x:v>
      </x:c>
    </x:row>
    <x:row r="3311">
      <x:c r="A3311" s="87" t="n">
        <x:v>4681</x:v>
      </x:c>
      <x:c r="B3311" s="66" t="n">
        <x:v>472</x:v>
      </x:c>
      <x:c r="C3311" s="66" t="str">
        <x:v>POLITEKNIK NEGERI JEMBER</x:v>
      </x:c>
      <x:c r="D3311" s="66" t="str">
        <x:v>PTN Vokasi</x:v>
      </x:c>
      <x:c r="E3311" s="66" t="str">
        <x:v>24723024</x:v>
      </x:c>
      <x:c r="F3311" s="66" t="str">
        <x:v>PRODUKSI TANAMAN HORTIKULTURA</x:v>
      </x:c>
      <x:c r="G3311" s="66" t="str">
        <x:v>Diploma Tiga</x:v>
      </x:c>
      <x:c r="H3311" s="87" t="n">
        <x:v>33</x:v>
      </x:c>
      <x:c r="I3311" s="87" t="n">
        <x:v>16</x:v>
      </x:c>
      <x:c r="J3311" s="68" t="n">
        <x:f>IFERROR(H3311/I3311,"")</x:f>
        <x:v>2.0625</x:v>
      </x:c>
      <x:c r="K3311" s="69" t="n">
        <x:f>IFERROR(I3311/H3311,"")</x:f>
        <x:v>0.48484848484848486</x:v>
      </x:c>
      <x:c r="L3311" s="66" t="str">
        <x:f>IF(K3311="","","1 : "&amp;TEXT(K3311,"0.0"))</x:f>
        <x:v>1 : 0.5</x:v>
      </x:c>
      <x:c r="M3311" s="66" t="str">
        <x:f>IF(J3311="","Baru/Tanpa Data",IF(J3311&lt;='Catatan &amp; Sumber'!$B$14,"Sangat Ketat",IF(J3311&lt;='Catatan &amp; Sumber'!$B$15,"Ketat",IF(J3311&lt;='Catatan &amp; Sumber'!$B$16,"Sedang","Relatif Longgar"))))</x:f>
        <x:v>Relatif Longgar</x:v>
      </x:c>
      <x:c r="N3311" s="66" t="str">
        <x:v>Tidak Ada</x:v>
      </x:c>
      <x:c r="O3311" s="66" t="str">
        <x:v>Jawa Timur</x:v>
      </x:c>
      <x:c r="P3311" s="66" t="str">
        <x:v>Kabupate Jember</x:v>
      </x:c>
      <x:c r="Q3311" s="66" t="str">
        <x:v>https://snpmb.id/snbp/daya-tampung-snbp</x:v>
      </x:c>
      <x:c r="R3311" s="66" t="str">
        <x:v>https://sidatagrun-public-1076756628210.asia-southeast2.run.app/ptn_sn.php?ptn=472</x:v>
      </x:c>
    </x:row>
    <x:row r="3312">
      <x:c r="A3312" s="87" t="n">
        <x:v>4681</x:v>
      </x:c>
      <x:c r="B3312" s="66" t="n">
        <x:v>472</x:v>
      </x:c>
      <x:c r="C3312" s="66" t="str">
        <x:v>POLITEKNIK NEGERI JEMBER</x:v>
      </x:c>
      <x:c r="D3312" s="66" t="str">
        <x:v>PTN Vokasi</x:v>
      </x:c>
      <x:c r="E3312" s="66" t="str">
        <x:v>24723025</x:v>
      </x:c>
      <x:c r="F3312" s="66" t="str">
        <x:v>PRODUKSI TANAMAN PERKEBUNAN</x:v>
      </x:c>
      <x:c r="G3312" s="66" t="str">
        <x:v>Diploma Tiga</x:v>
      </x:c>
      <x:c r="H3312" s="87" t="n">
        <x:v>33</x:v>
      </x:c>
      <x:c r="I3312" s="87" t="n">
        <x:v>16</x:v>
      </x:c>
      <x:c r="J3312" s="68" t="n">
        <x:f>IFERROR(H3312/I3312,"")</x:f>
        <x:v>2.0625</x:v>
      </x:c>
      <x:c r="K3312" s="69" t="n">
        <x:f>IFERROR(I3312/H3312,"")</x:f>
        <x:v>0.48484848484848486</x:v>
      </x:c>
      <x:c r="L3312" s="66" t="str">
        <x:f>IF(K3312="","","1 : "&amp;TEXT(K3312,"0.0"))</x:f>
        <x:v>1 : 0.5</x:v>
      </x:c>
      <x:c r="M3312" s="66" t="str">
        <x:f>IF(J3312="","Baru/Tanpa Data",IF(J3312&lt;='Catatan &amp; Sumber'!$B$14,"Sangat Ketat",IF(J3312&lt;='Catatan &amp; Sumber'!$B$15,"Ketat",IF(J3312&lt;='Catatan &amp; Sumber'!$B$16,"Sedang","Relatif Longgar"))))</x:f>
        <x:v>Relatif Longgar</x:v>
      </x:c>
      <x:c r="N3312" s="66" t="str">
        <x:v>Tidak Ada</x:v>
      </x:c>
      <x:c r="O3312" s="66" t="str">
        <x:v>Jawa Timur</x:v>
      </x:c>
      <x:c r="P3312" s="66" t="str">
        <x:v>Kabupate Jember</x:v>
      </x:c>
      <x:c r="Q3312" s="66" t="str">
        <x:v>https://snpmb.id/snbp/daya-tampung-snbp</x:v>
      </x:c>
      <x:c r="R3312" s="66" t="str">
        <x:v>https://sidatagrun-public-1076756628210.asia-southeast2.run.app/ptn_sn.php?ptn=472</x:v>
      </x:c>
    </x:row>
    <x:row r="3313">
      <x:c r="A3313" s="87" t="n">
        <x:v>4579</x:v>
      </x:c>
      <x:c r="B3313" s="66" t="n">
        <x:v>472</x:v>
      </x:c>
      <x:c r="C3313" s="66" t="str">
        <x:v>POLITEKNIK NEGERI JEMBER</x:v>
      </x:c>
      <x:c r="D3313" s="66" t="str">
        <x:v>PTN Vokasi</x:v>
      </x:c>
      <x:c r="E3313" s="66" t="str">
        <x:v>24723026</x:v>
      </x:c>
      <x:c r="F3313" s="66" t="str">
        <x:v>TEKNOLOGI INDUSTRI PANGAN</x:v>
      </x:c>
      <x:c r="G3313" s="66" t="str">
        <x:v>Diploma Tiga</x:v>
      </x:c>
      <x:c r="H3313" s="87" t="n">
        <x:v>66</x:v>
      </x:c>
      <x:c r="I3313" s="87" t="n">
        <x:v>42</x:v>
      </x:c>
      <x:c r="J3313" s="68" t="n">
        <x:f>IFERROR(H3313/I3313,"")</x:f>
        <x:v>1.5714285714285714</x:v>
      </x:c>
      <x:c r="K3313" s="69" t="n">
        <x:f>IFERROR(I3313/H3313,"")</x:f>
        <x:v>0.6363636363636364</x:v>
      </x:c>
      <x:c r="L3313" s="66" t="str">
        <x:f>IF(K3313="","","1 : "&amp;TEXT(K3313,"0.0"))</x:f>
        <x:v>1 : 0.6</x:v>
      </x:c>
      <x:c r="M3313" s="66" t="str">
        <x:f>IF(J3313="","Baru/Tanpa Data",IF(J3313&lt;='Catatan &amp; Sumber'!$B$14,"Sangat Ketat",IF(J3313&lt;='Catatan &amp; Sumber'!$B$15,"Ketat",IF(J3313&lt;='Catatan &amp; Sumber'!$B$16,"Sedang","Relatif Longgar"))))</x:f>
        <x:v>Relatif Longgar</x:v>
      </x:c>
      <x:c r="N3313" s="66" t="str">
        <x:v>Tidak Ada</x:v>
      </x:c>
      <x:c r="O3313" s="66" t="str">
        <x:v>Jawa Timur</x:v>
      </x:c>
      <x:c r="P3313" s="66" t="str">
        <x:v>Kabupate Jember</x:v>
      </x:c>
      <x:c r="Q3313" s="66" t="str">
        <x:v>https://snpmb.id/snbp/daya-tampung-snbp</x:v>
      </x:c>
      <x:c r="R3313" s="66" t="str">
        <x:v>https://sidatagrun-public-1076756628210.asia-southeast2.run.app/ptn_sn.php?ptn=472</x:v>
      </x:c>
    </x:row>
    <x:row r="3314">
      <x:c r="A3314" s="87" t="n">
        <x:v>4683</x:v>
      </x:c>
      <x:c r="B3314" s="66" t="n">
        <x:v>472</x:v>
      </x:c>
      <x:c r="C3314" s="66" t="str">
        <x:v>POLITEKNIK NEGERI JEMBER</x:v>
      </x:c>
      <x:c r="D3314" s="66" t="str">
        <x:v>PTN Vokasi</x:v>
      </x:c>
      <x:c r="E3314" s="66" t="str">
        <x:v>24723027</x:v>
      </x:c>
      <x:c r="F3314" s="66" t="str">
        <x:v>BAHASA INGGRIS</x:v>
      </x:c>
      <x:c r="G3314" s="66" t="str">
        <x:v>Diploma Tiga</x:v>
      </x:c>
      <x:c r="H3314" s="87" t="n">
        <x:v>50</x:v>
      </x:c>
      <x:c r="I3314" s="87" t="n">
        <x:v>24</x:v>
      </x:c>
      <x:c r="J3314" s="68" t="n">
        <x:f>IFERROR(H3314/I3314,"")</x:f>
        <x:v>2.0833333333333335</x:v>
      </x:c>
      <x:c r="K3314" s="69" t="n">
        <x:f>IFERROR(I3314/H3314,"")</x:f>
        <x:v>0.48</x:v>
      </x:c>
      <x:c r="L3314" s="66" t="str">
        <x:f>IF(K3314="","","1 : "&amp;TEXT(K3314,"0.0"))</x:f>
        <x:v>1 : 0.5</x:v>
      </x:c>
      <x:c r="M3314" s="66" t="str">
        <x:f>IF(J3314="","Baru/Tanpa Data",IF(J3314&lt;='Catatan &amp; Sumber'!$B$14,"Sangat Ketat",IF(J3314&lt;='Catatan &amp; Sumber'!$B$15,"Ketat",IF(J3314&lt;='Catatan &amp; Sumber'!$B$16,"Sedang","Relatif Longgar"))))</x:f>
        <x:v>Relatif Longgar</x:v>
      </x:c>
      <x:c r="N3314" s="66" t="str">
        <x:v>Tidak Ada</x:v>
      </x:c>
      <x:c r="O3314" s="66" t="str">
        <x:v>Jawa Timur</x:v>
      </x:c>
      <x:c r="P3314" s="66" t="str">
        <x:v>Kabupate Jember</x:v>
      </x:c>
      <x:c r="Q3314" s="66" t="str">
        <x:v>https://snpmb.id/snbp/daya-tampung-snbp</x:v>
      </x:c>
      <x:c r="R3314" s="66" t="str">
        <x:v>https://sidatagrun-public-1076756628210.asia-southeast2.run.app/ptn_sn.php?ptn=472</x:v>
      </x:c>
    </x:row>
    <x:row r="3315">
      <x:c r="A3315" s="87" t="n">
        <x:v>4392</x:v>
      </x:c>
      <x:c r="B3315" s="66" t="n">
        <x:v>472</x:v>
      </x:c>
      <x:c r="C3315" s="66" t="str">
        <x:v>POLITEKNIK NEGERI JEMBER</x:v>
      </x:c>
      <x:c r="D3315" s="66" t="str">
        <x:v>PTN Vokasi</x:v>
      </x:c>
      <x:c r="E3315" s="66" t="str">
        <x:v>24723028</x:v>
      </x:c>
      <x:c r="F3315" s="66" t="str">
        <x:v>PRODUKSI TERNAK</x:v>
      </x:c>
      <x:c r="G3315" s="66" t="str">
        <x:v>Diploma Tiga</x:v>
      </x:c>
      <x:c r="H3315" s="87" t="n">
        <x:v>50</x:v>
      </x:c>
      <x:c r="I3315" s="87" t="n">
        <x:v>45</x:v>
      </x:c>
      <x:c r="J3315" s="68" t="n">
        <x:f>IFERROR(H3315/I3315,"")</x:f>
        <x:v>1.1111111111111112</x:v>
      </x:c>
      <x:c r="K3315" s="69" t="n">
        <x:f>IFERROR(I3315/H3315,"")</x:f>
        <x:v>0.9</x:v>
      </x:c>
      <x:c r="L3315" s="66" t="str">
        <x:f>IF(K3315="","","1 : "&amp;TEXT(K3315,"0.0"))</x:f>
        <x:v>1 : 0.9</x:v>
      </x:c>
      <x:c r="M3315" s="66" t="str">
        <x:f>IF(J3315="","Baru/Tanpa Data",IF(J3315&lt;='Catatan &amp; Sumber'!$B$14,"Sangat Ketat",IF(J3315&lt;='Catatan &amp; Sumber'!$B$15,"Ketat",IF(J3315&lt;='Catatan &amp; Sumber'!$B$16,"Sedang","Relatif Longgar"))))</x:f>
        <x:v>Relatif Longgar</x:v>
      </x:c>
      <x:c r="N3315" s="66" t="str">
        <x:v>Tidak Ada</x:v>
      </x:c>
      <x:c r="O3315" s="66" t="str">
        <x:v>Jawa Timur</x:v>
      </x:c>
      <x:c r="P3315" s="66" t="str">
        <x:v>Kabupate Jember</x:v>
      </x:c>
      <x:c r="Q3315" s="66" t="str">
        <x:v>https://snpmb.id/snbp/daya-tampung-snbp</x:v>
      </x:c>
      <x:c r="R3315" s="66" t="str">
        <x:v>https://sidatagrun-public-1076756628210.asia-southeast2.run.app/ptn_sn.php?ptn=472</x:v>
      </x:c>
    </x:row>
    <x:row r="3316">
      <x:c r="A3316" s="87" t="n">
        <x:v>4197</x:v>
      </x:c>
      <x:c r="B3316" s="66" t="n">
        <x:v>472</x:v>
      </x:c>
      <x:c r="C3316" s="66" t="str">
        <x:v>POLITEKNIK NEGERI JEMBER</x:v>
      </x:c>
      <x:c r="D3316" s="66" t="str">
        <x:v>PTN Vokasi</x:v>
      </x:c>
      <x:c r="E3316" s="66" t="str">
        <x:v>24723029</x:v>
      </x:c>
      <x:c r="F3316" s="66" t="str">
        <x:v>MANAJEMEN INFORMATIKA</x:v>
      </x:c>
      <x:c r="G3316" s="66" t="str">
        <x:v>Diploma Tiga</x:v>
      </x:c>
      <x:c r="H3316" s="87" t="n">
        <x:v>83</x:v>
      </x:c>
      <x:c r="I3316" s="87" t="n">
        <x:v>97</x:v>
      </x:c>
      <x:c r="J3316" s="68" t="n">
        <x:f>IFERROR(H3316/I3316,"")</x:f>
        <x:v>0.8556701030927835</x:v>
      </x:c>
      <x:c r="K3316" s="69" t="n">
        <x:f>IFERROR(I3316/H3316,"")</x:f>
        <x:v>1.1686746987951808</x:v>
      </x:c>
      <x:c r="L3316" s="66" t="str">
        <x:f>IF(K3316="","","1 : "&amp;TEXT(K3316,"0.0"))</x:f>
        <x:v>1 : 1.2</x:v>
      </x:c>
      <x:c r="M3316" s="66" t="str">
        <x:f>IF(J3316="","Baru/Tanpa Data",IF(J3316&lt;='Catatan &amp; Sumber'!$B$14,"Sangat Ketat",IF(J3316&lt;='Catatan &amp; Sumber'!$B$15,"Ketat",IF(J3316&lt;='Catatan &amp; Sumber'!$B$16,"Sedang","Relatif Longgar"))))</x:f>
        <x:v>Relatif Longgar</x:v>
      </x:c>
      <x:c r="N3316" s="66" t="str">
        <x:v>Tidak Ada</x:v>
      </x:c>
      <x:c r="O3316" s="66" t="str">
        <x:v>Jawa Timur</x:v>
      </x:c>
      <x:c r="P3316" s="66" t="str">
        <x:v>Kabupate Jember</x:v>
      </x:c>
      <x:c r="Q3316" s="66" t="str">
        <x:v>https://snpmb.id/snbp/daya-tampung-snbp</x:v>
      </x:c>
      <x:c r="R3316" s="66" t="str">
        <x:v>https://sidatagrun-public-1076756628210.asia-southeast2.run.app/ptn_sn.php?ptn=472</x:v>
      </x:c>
    </x:row>
    <x:row r="3317">
      <x:c r="A3317" s="87" t="n">
        <x:v>4437</x:v>
      </x:c>
      <x:c r="B3317" s="66" t="n">
        <x:v>472</x:v>
      </x:c>
      <x:c r="C3317" s="66" t="str">
        <x:v>POLITEKNIK NEGERI JEMBER</x:v>
      </x:c>
      <x:c r="D3317" s="66" t="str">
        <x:v>PTN Vokasi</x:v>
      </x:c>
      <x:c r="E3317" s="66" t="str">
        <x:v>24723030</x:v>
      </x:c>
      <x:c r="F3317" s="66" t="str">
        <x:v>MANAJEMEN AGRIBISNIS (KAMPUS KAB. NGANJUK)</x:v>
      </x:c>
      <x:c r="G3317" s="66" t="str">
        <x:v>Diploma Tiga</x:v>
      </x:c>
      <x:c r="H3317" s="87" t="n">
        <x:v>33</x:v>
      </x:c>
      <x:c r="I3317" s="87" t="n">
        <x:v>28</x:v>
      </x:c>
      <x:c r="J3317" s="68" t="n">
        <x:f>IFERROR(H3317/I3317,"")</x:f>
        <x:v>1.1785714285714286</x:v>
      </x:c>
      <x:c r="K3317" s="69" t="n">
        <x:f>IFERROR(I3317/H3317,"")</x:f>
        <x:v>0.8484848484848485</x:v>
      </x:c>
      <x:c r="L3317" s="66" t="str">
        <x:f>IF(K3317="","","1 : "&amp;TEXT(K3317,"0.0"))</x:f>
        <x:v>1 : 0.8</x:v>
      </x:c>
      <x:c r="M3317" s="66" t="str">
        <x:f>IF(J3317="","Baru/Tanpa Data",IF(J3317&lt;='Catatan &amp; Sumber'!$B$14,"Sangat Ketat",IF(J3317&lt;='Catatan &amp; Sumber'!$B$15,"Ketat",IF(J3317&lt;='Catatan &amp; Sumber'!$B$16,"Sedang","Relatif Longgar"))))</x:f>
        <x:v>Relatif Longgar</x:v>
      </x:c>
      <x:c r="N3317" s="66" t="str">
        <x:v>Tidak Ada</x:v>
      </x:c>
      <x:c r="O3317" s="66" t="str">
        <x:v>Jawa Timur</x:v>
      </x:c>
      <x:c r="P3317" s="66" t="str">
        <x:v>Kabupate Jember</x:v>
      </x:c>
      <x:c r="Q3317" s="66" t="str">
        <x:v>https://snpmb.id/snbp/daya-tampung-snbp</x:v>
      </x:c>
      <x:c r="R3317" s="66" t="str">
        <x:v>https://sidatagrun-public-1076756628210.asia-southeast2.run.app/ptn_sn.php?ptn=472</x:v>
      </x:c>
    </x:row>
    <x:row r="3318">
      <x:c r="A3318" s="87" t="n">
        <x:v>4479</x:v>
      </x:c>
      <x:c r="B3318" s="66" t="n">
        <x:v>472</x:v>
      </x:c>
      <x:c r="C3318" s="66" t="str">
        <x:v>POLITEKNIK NEGERI JEMBER</x:v>
      </x:c>
      <x:c r="D3318" s="66" t="str">
        <x:v>PTN Vokasi</x:v>
      </x:c>
      <x:c r="E3318" s="66" t="str">
        <x:v>24723031</x:v>
      </x:c>
      <x:c r="F3318" s="66" t="str">
        <x:v>KETEKNIKAN PERTANIAN</x:v>
      </x:c>
      <x:c r="G3318" s="66" t="str">
        <x:v>Diploma Tiga</x:v>
      </x:c>
      <x:c r="H3318" s="87" t="n">
        <x:v>50</x:v>
      </x:c>
      <x:c r="I3318" s="87" t="n">
        <x:v>39</x:v>
      </x:c>
      <x:c r="J3318" s="68" t="n">
        <x:f>IFERROR(H3318/I3318,"")</x:f>
        <x:v>1.2820512820512822</x:v>
      </x:c>
      <x:c r="K3318" s="69" t="n">
        <x:f>IFERROR(I3318/H3318,"")</x:f>
        <x:v>0.78</x:v>
      </x:c>
      <x:c r="L3318" s="66" t="str">
        <x:f>IF(K3318="","","1 : "&amp;TEXT(K3318,"0.0"))</x:f>
        <x:v>1 : 0.8</x:v>
      </x:c>
      <x:c r="M3318" s="66" t="str">
        <x:f>IF(J3318="","Baru/Tanpa Data",IF(J3318&lt;='Catatan &amp; Sumber'!$B$14,"Sangat Ketat",IF(J3318&lt;='Catatan &amp; Sumber'!$B$15,"Ketat",IF(J3318&lt;='Catatan &amp; Sumber'!$B$16,"Sedang","Relatif Longgar"))))</x:f>
        <x:v>Relatif Longgar</x:v>
      </x:c>
      <x:c r="N3318" s="66" t="str">
        <x:v>Tidak Ada</x:v>
      </x:c>
      <x:c r="O3318" s="66" t="str">
        <x:v>Jawa Timur</x:v>
      </x:c>
      <x:c r="P3318" s="66" t="str">
        <x:v>Kabupate Jember</x:v>
      </x:c>
      <x:c r="Q3318" s="66" t="str">
        <x:v>https://snpmb.id/snbp/daya-tampung-snbp</x:v>
      </x:c>
      <x:c r="R3318" s="66" t="str">
        <x:v>https://sidatagrun-public-1076756628210.asia-southeast2.run.app/ptn_sn.php?ptn=472</x:v>
      </x:c>
    </x:row>
    <x:row r="3319">
      <x:c r="A3319" s="87" t="n">
        <x:v>4398</x:v>
      </x:c>
      <x:c r="B3319" s="66" t="n">
        <x:v>472</x:v>
      </x:c>
      <x:c r="C3319" s="66" t="str">
        <x:v>POLITEKNIK NEGERI JEMBER</x:v>
      </x:c>
      <x:c r="D3319" s="66" t="str">
        <x:v>PTN Vokasi</x:v>
      </x:c>
      <x:c r="E3319" s="66" t="str">
        <x:v>24723032</x:v>
      </x:c>
      <x:c r="F3319" s="66" t="str">
        <x:v>TEKNIK KOMPUTER</x:v>
      </x:c>
      <x:c r="G3319" s="66" t="str">
        <x:v>Diploma Tiga</x:v>
      </x:c>
      <x:c r="H3319" s="87" t="n">
        <x:v>83</x:v>
      </x:c>
      <x:c r="I3319" s="87" t="n">
        <x:v>74</x:v>
      </x:c>
      <x:c r="J3319" s="68" t="n">
        <x:f>IFERROR(H3319/I3319,"")</x:f>
        <x:v>1.1216216216216217</x:v>
      </x:c>
      <x:c r="K3319" s="69" t="n">
        <x:f>IFERROR(I3319/H3319,"")</x:f>
        <x:v>0.891566265060241</x:v>
      </x:c>
      <x:c r="L3319" s="66" t="str">
        <x:f>IF(K3319="","","1 : "&amp;TEXT(K3319,"0.0"))</x:f>
        <x:v>1 : 0.9</x:v>
      </x:c>
      <x:c r="M3319" s="66" t="str">
        <x:f>IF(J3319="","Baru/Tanpa Data",IF(J3319&lt;='Catatan &amp; Sumber'!$B$14,"Sangat Ketat",IF(J3319&lt;='Catatan &amp; Sumber'!$B$15,"Ketat",IF(J3319&lt;='Catatan &amp; Sumber'!$B$16,"Sedang","Relatif Longgar"))))</x:f>
        <x:v>Relatif Longgar</x:v>
      </x:c>
      <x:c r="N3319" s="66" t="str">
        <x:v>Tidak Ada</x:v>
      </x:c>
      <x:c r="O3319" s="66" t="str">
        <x:v>Jawa Timur</x:v>
      </x:c>
      <x:c r="P3319" s="66" t="str">
        <x:v>Kabupate Jember</x:v>
      </x:c>
      <x:c r="Q3319" s="66" t="str">
        <x:v>https://snpmb.id/snbp/daya-tampung-snbp</x:v>
      </x:c>
      <x:c r="R3319" s="66" t="str">
        <x:v>https://sidatagrun-public-1076756628210.asia-southeast2.run.app/ptn_sn.php?ptn=472</x:v>
      </x:c>
    </x:row>
    <x:row r="3320">
      <x:c r="A3320" s="87" t="n">
        <x:v>698</x:v>
      </x:c>
      <x:c r="B3320" s="66" t="n">
        <x:v>473</x:v>
      </x:c>
      <x:c r="C3320" s="66" t="str">
        <x:v>POLITEKNIK NEGERI MADIUN</x:v>
      </x:c>
      <x:c r="D3320" s="66" t="str">
        <x:v>PTN Vokasi</x:v>
      </x:c>
      <x:c r="E3320" s="66" t="str">
        <x:v>24732001</x:v>
      </x:c>
      <x:c r="F3320" s="66" t="str">
        <x:v>PERKERETAAPIAN</x:v>
      </x:c>
      <x:c r="G3320" s="66" t="str">
        <x:v>Sarjana Terapan</x:v>
      </x:c>
      <x:c r="H3320" s="87" t="n">
        <x:v>36</x:v>
      </x:c>
      <x:c r="I3320" s="87" t="n">
        <x:v>582</x:v>
      </x:c>
      <x:c r="J3320" s="68" t="n">
        <x:f>IFERROR(H3320/I3320,"")</x:f>
        <x:v>0.061855670103092786</x:v>
      </x:c>
      <x:c r="K3320" s="69" t="n">
        <x:f>IFERROR(I3320/H3320,"")</x:f>
        <x:v>16.166666666666668</x:v>
      </x:c>
      <x:c r="L3320" s="66" t="str">
        <x:f>IF(K3320="","","1 : "&amp;TEXT(K3320,"0.0"))</x:f>
        <x:v>1 : 16.2</x:v>
      </x:c>
      <x:c r="M3320" s="66" t="str">
        <x:f>IF(J3320="","Baru/Tanpa Data",IF(J3320&lt;='Catatan &amp; Sumber'!$B$14,"Sangat Ketat",IF(J3320&lt;='Catatan &amp; Sumber'!$B$15,"Ketat",IF(J3320&lt;='Catatan &amp; Sumber'!$B$16,"Sedang","Relatif Longgar"))))</x:f>
        <x:v>Sedang</x:v>
      </x:c>
      <x:c r="N3320" s="66" t="str">
        <x:v>Tidak Ada</x:v>
      </x:c>
      <x:c r="O3320" s="66" t="str">
        <x:v>Jawa Timur</x:v>
      </x:c>
      <x:c r="P3320" s="66" t="str">
        <x:v>Kota Madiun</x:v>
      </x:c>
      <x:c r="Q3320" s="66" t="str">
        <x:v>https://snpmb.id/snbp/daya-tampung-snbp</x:v>
      </x:c>
      <x:c r="R3320" s="66" t="str">
        <x:v>https://sidatagrun-public-1076756628210.asia-southeast2.run.app/ptn_sn.php?ptn=473</x:v>
      </x:c>
    </x:row>
    <x:row r="3321">
      <x:c r="A3321" s="87" t="n">
        <x:v>2131</x:v>
      </x:c>
      <x:c r="B3321" s="66" t="n">
        <x:v>473</x:v>
      </x:c>
      <x:c r="C3321" s="66" t="str">
        <x:v>POLITEKNIK NEGERI MADIUN</x:v>
      </x:c>
      <x:c r="D3321" s="66" t="str">
        <x:v>PTN Vokasi</x:v>
      </x:c>
      <x:c r="E3321" s="66" t="str">
        <x:v>24732006</x:v>
      </x:c>
      <x:c r="F3321" s="66" t="str">
        <x:v>AKUNTANSI PERPAJAKAN</x:v>
      </x:c>
      <x:c r="G3321" s="66" t="str">
        <x:v>Sarjana Terapan</x:v>
      </x:c>
      <x:c r="H3321" s="87" t="n">
        <x:v>41</x:v>
      </x:c>
      <x:c r="I3321" s="87" t="n">
        <x:v>249</x:v>
      </x:c>
      <x:c r="J3321" s="68" t="n">
        <x:f>IFERROR(H3321/I3321,"")</x:f>
        <x:v>0.1646586345381526</x:v>
      </x:c>
      <x:c r="K3321" s="69" t="n">
        <x:f>IFERROR(I3321/H3321,"")</x:f>
        <x:v>6.073170731707317</x:v>
      </x:c>
      <x:c r="L3321" s="66" t="str">
        <x:f>IF(K3321="","","1 : "&amp;TEXT(K3321,"0.0"))</x:f>
        <x:v>1 : 6.1</x:v>
      </x:c>
      <x:c r="M3321" s="66" t="str">
        <x:f>IF(J3321="","Baru/Tanpa Data",IF(J3321&lt;='Catatan &amp; Sumber'!$B$14,"Sangat Ketat",IF(J3321&lt;='Catatan &amp; Sumber'!$B$15,"Ketat",IF(J3321&lt;='Catatan &amp; Sumber'!$B$16,"Sedang","Relatif Longgar"))))</x:f>
        <x:v>Relatif Longgar</x:v>
      </x:c>
      <x:c r="N3321" s="66" t="str">
        <x:v>Tidak Ada</x:v>
      </x:c>
      <x:c r="O3321" s="66" t="str">
        <x:v>Jawa Timur</x:v>
      </x:c>
      <x:c r="P3321" s="66" t="str">
        <x:v>Kota Madiun</x:v>
      </x:c>
      <x:c r="Q3321" s="66" t="str">
        <x:v>https://snpmb.id/snbp/daya-tampung-snbp</x:v>
      </x:c>
      <x:c r="R3321" s="66" t="str">
        <x:v>https://sidatagrun-public-1076756628210.asia-southeast2.run.app/ptn_sn.php?ptn=473</x:v>
      </x:c>
    </x:row>
    <x:row r="3322">
      <x:c r="A3322" s="87" t="n">
        <x:v>2816</x:v>
      </x:c>
      <x:c r="B3322" s="66" t="n">
        <x:v>473</x:v>
      </x:c>
      <x:c r="C3322" s="66" t="str">
        <x:v>POLITEKNIK NEGERI MADIUN</x:v>
      </x:c>
      <x:c r="D3322" s="66" t="str">
        <x:v>PTN Vokasi</x:v>
      </x:c>
      <x:c r="E3322" s="66" t="str">
        <x:v>24732009</x:v>
      </x:c>
      <x:c r="F3322" s="66" t="str">
        <x:v>TEKNOLOGI REKAYASA OTOMOTIF</x:v>
      </x:c>
      <x:c r="G3322" s="66" t="str">
        <x:v>Sarjana Terapan</x:v>
      </x:c>
      <x:c r="H3322" s="87" t="n">
        <x:v>36</x:v>
      </x:c>
      <x:c r="I3322" s="87" t="n">
        <x:v>138</x:v>
      </x:c>
      <x:c r="J3322" s="68" t="n">
        <x:f>IFERROR(H3322/I3322,"")</x:f>
        <x:v>0.2608695652173913</x:v>
      </x:c>
      <x:c r="K3322" s="69" t="n">
        <x:f>IFERROR(I3322/H3322,"")</x:f>
        <x:v>3.8333333333333335</x:v>
      </x:c>
      <x:c r="L3322" s="66" t="str">
        <x:f>IF(K3322="","","1 : "&amp;TEXT(K3322,"0.0"))</x:f>
        <x:v>1 : 3.8</x:v>
      </x:c>
      <x:c r="M3322" s="66" t="str">
        <x:f>IF(J3322="","Baru/Tanpa Data",IF(J3322&lt;='Catatan &amp; Sumber'!$B$14,"Sangat Ketat",IF(J3322&lt;='Catatan &amp; Sumber'!$B$15,"Ketat",IF(J3322&lt;='Catatan &amp; Sumber'!$B$16,"Sedang","Relatif Longgar"))))</x:f>
        <x:v>Relatif Longgar</x:v>
      </x:c>
      <x:c r="N3322" s="66" t="str">
        <x:v>Tidak Ada</x:v>
      </x:c>
      <x:c r="O3322" s="66" t="str">
        <x:v>Jawa Timur</x:v>
      </x:c>
      <x:c r="P3322" s="66" t="str">
        <x:v>Kota Madiun</x:v>
      </x:c>
      <x:c r="Q3322" s="66" t="str">
        <x:v>https://snpmb.id/snbp/daya-tampung-snbp</x:v>
      </x:c>
      <x:c r="R3322" s="66" t="str">
        <x:v>https://sidatagrun-public-1076756628210.asia-southeast2.run.app/ptn_sn.php?ptn=473</x:v>
      </x:c>
    </x:row>
    <x:row r="3323">
      <x:c r="A3323" s="87" t="n">
        <x:v>2918</x:v>
      </x:c>
      <x:c r="B3323" s="66" t="n">
        <x:v>473</x:v>
      </x:c>
      <x:c r="C3323" s="66" t="str">
        <x:v>POLITEKNIK NEGERI MADIUN</x:v>
      </x:c>
      <x:c r="D3323" s="66" t="str">
        <x:v>PTN Vokasi</x:v>
      </x:c>
      <x:c r="E3323" s="66" t="str">
        <x:v>24732010</x:v>
      </x:c>
      <x:c r="F3323" s="66" t="str">
        <x:v>TEKNOLOGI REKAYASA PERANGKAT LUNAK</x:v>
      </x:c>
      <x:c r="G3323" s="66" t="str">
        <x:v>Sarjana Terapan</x:v>
      </x:c>
      <x:c r="H3323" s="87" t="n">
        <x:v>23</x:v>
      </x:c>
      <x:c r="I3323" s="87" t="n">
        <x:v>83</x:v>
      </x:c>
      <x:c r="J3323" s="68" t="n">
        <x:f>IFERROR(H3323/I3323,"")</x:f>
        <x:v>0.27710843373493976</x:v>
      </x:c>
      <x:c r="K3323" s="69" t="n">
        <x:f>IFERROR(I3323/H3323,"")</x:f>
        <x:v>3.608695652173913</x:v>
      </x:c>
      <x:c r="L3323" s="66" t="str">
        <x:f>IF(K3323="","","1 : "&amp;TEXT(K3323,"0.0"))</x:f>
        <x:v>1 : 3.6</x:v>
      </x:c>
      <x:c r="M3323" s="66" t="str">
        <x:f>IF(J3323="","Baru/Tanpa Data",IF(J3323&lt;='Catatan &amp; Sumber'!$B$14,"Sangat Ketat",IF(J3323&lt;='Catatan &amp; Sumber'!$B$15,"Ketat",IF(J3323&lt;='Catatan &amp; Sumber'!$B$16,"Sedang","Relatif Longgar"))))</x:f>
        <x:v>Relatif Longgar</x:v>
      </x:c>
      <x:c r="N3323" s="66" t="str">
        <x:v>Tidak Ada</x:v>
      </x:c>
      <x:c r="O3323" s="66" t="str">
        <x:v>Jawa Timur</x:v>
      </x:c>
      <x:c r="P3323" s="66" t="str">
        <x:v>Kota Madiun</x:v>
      </x:c>
      <x:c r="Q3323" s="66" t="str">
        <x:v>https://snpmb.id/snbp/daya-tampung-snbp</x:v>
      </x:c>
      <x:c r="R3323" s="66" t="str">
        <x:v>https://sidatagrun-public-1076756628210.asia-southeast2.run.app/ptn_sn.php?ptn=473</x:v>
      </x:c>
    </x:row>
    <x:row r="3324">
      <x:c r="A3324" s="87" t="n">
        <x:v>2673</x:v>
      </x:c>
      <x:c r="B3324" s="66" t="n">
        <x:v>473</x:v>
      </x:c>
      <x:c r="C3324" s="66" t="str">
        <x:v>POLITEKNIK NEGERI MADIUN</x:v>
      </x:c>
      <x:c r="D3324" s="66" t="str">
        <x:v>PTN Vokasi</x:v>
      </x:c>
      <x:c r="E3324" s="66" t="str">
        <x:v>24732011</x:v>
      </x:c>
      <x:c r="F3324" s="66" t="str">
        <x:v>AKUNTANSI SEKTOR PUBLIK</x:v>
      </x:c>
      <x:c r="G3324" s="66" t="str">
        <x:v>Sarjana Terapan</x:v>
      </x:c>
      <x:c r="H3324" s="87" t="n">
        <x:v>32</x:v>
      </x:c>
      <x:c r="I3324" s="87" t="n">
        <x:v>134</x:v>
      </x:c>
      <x:c r="J3324" s="68" t="n">
        <x:f>IFERROR(H3324/I3324,"")</x:f>
        <x:v>0.23880597014925373</x:v>
      </x:c>
      <x:c r="K3324" s="69" t="n">
        <x:f>IFERROR(I3324/H3324,"")</x:f>
        <x:v>4.1875</x:v>
      </x:c>
      <x:c r="L3324" s="66" t="str">
        <x:f>IF(K3324="","","1 : "&amp;TEXT(K3324,"0.0"))</x:f>
        <x:v>1 : 4.2</x:v>
      </x:c>
      <x:c r="M3324" s="66" t="str">
        <x:f>IF(J3324="","Baru/Tanpa Data",IF(J3324&lt;='Catatan &amp; Sumber'!$B$14,"Sangat Ketat",IF(J3324&lt;='Catatan &amp; Sumber'!$B$15,"Ketat",IF(J3324&lt;='Catatan &amp; Sumber'!$B$16,"Sedang","Relatif Longgar"))))</x:f>
        <x:v>Relatif Longgar</x:v>
      </x:c>
      <x:c r="N3324" s="66" t="str">
        <x:v>Tidak Ada</x:v>
      </x:c>
      <x:c r="O3324" s="66" t="str">
        <x:v>Jawa Timur</x:v>
      </x:c>
      <x:c r="P3324" s="66" t="str">
        <x:v>Kota Madiun</x:v>
      </x:c>
      <x:c r="Q3324" s="66" t="str">
        <x:v>https://snpmb.id/snbp/daya-tampung-snbp</x:v>
      </x:c>
      <x:c r="R3324" s="66" t="str">
        <x:v>https://sidatagrun-public-1076756628210.asia-southeast2.run.app/ptn_sn.php?ptn=473</x:v>
      </x:c>
    </x:row>
    <x:row r="3325">
      <x:c r="A3325" s="87" t="n">
        <x:v>2205</x:v>
      </x:c>
      <x:c r="B3325" s="66" t="n">
        <x:v>473</x:v>
      </x:c>
      <x:c r="C3325" s="66" t="str">
        <x:v>POLITEKNIK NEGERI MADIUN</x:v>
      </x:c>
      <x:c r="D3325" s="66" t="str">
        <x:v>PTN Vokasi</x:v>
      </x:c>
      <x:c r="E3325" s="66" t="str">
        <x:v>24732012</x:v>
      </x:c>
      <x:c r="F3325" s="66" t="str">
        <x:v>PEMASARAN DIGITAL</x:v>
      </x:c>
      <x:c r="G3325" s="66" t="str">
        <x:v>Sarjana Terapan</x:v>
      </x:c>
      <x:c r="H3325" s="87" t="n">
        <x:v>23</x:v>
      </x:c>
      <x:c r="I3325" s="87" t="n">
        <x:v>134</x:v>
      </x:c>
      <x:c r="J3325" s="68" t="n">
        <x:f>IFERROR(H3325/I3325,"")</x:f>
        <x:v>0.17164179104477612</x:v>
      </x:c>
      <x:c r="K3325" s="69" t="n">
        <x:f>IFERROR(I3325/H3325,"")</x:f>
        <x:v>5.826086956521739</x:v>
      </x:c>
      <x:c r="L3325" s="66" t="str">
        <x:f>IF(K3325="","","1 : "&amp;TEXT(K3325,"0.0"))</x:f>
        <x:v>1 : 5.8</x:v>
      </x:c>
      <x:c r="M3325" s="66" t="str">
        <x:f>IF(J3325="","Baru/Tanpa Data",IF(J3325&lt;='Catatan &amp; Sumber'!$B$14,"Sangat Ketat",IF(J3325&lt;='Catatan &amp; Sumber'!$B$15,"Ketat",IF(J3325&lt;='Catatan &amp; Sumber'!$B$16,"Sedang","Relatif Longgar"))))</x:f>
        <x:v>Relatif Longgar</x:v>
      </x:c>
      <x:c r="N3325" s="66" t="str">
        <x:v>Tidak Ada</x:v>
      </x:c>
      <x:c r="O3325" s="66" t="str">
        <x:v>Jawa Timur</x:v>
      </x:c>
      <x:c r="P3325" s="66" t="str">
        <x:v>Kota Madiun</x:v>
      </x:c>
      <x:c r="Q3325" s="66" t="str">
        <x:v>https://snpmb.id/snbp/daya-tampung-snbp</x:v>
      </x:c>
      <x:c r="R3325" s="66" t="str">
        <x:v>https://sidatagrun-public-1076756628210.asia-southeast2.run.app/ptn_sn.php?ptn=473</x:v>
      </x:c>
    </x:row>
    <x:row r="3326">
      <x:c r="A3326" s="87" t="n">
        <x:v>3097</x:v>
      </x:c>
      <x:c r="B3326" s="66" t="n">
        <x:v>473</x:v>
      </x:c>
      <x:c r="C3326" s="66" t="str">
        <x:v>POLITEKNIK NEGERI MADIUN</x:v>
      </x:c>
      <x:c r="D3326" s="66" t="str">
        <x:v>PTN Vokasi</x:v>
      </x:c>
      <x:c r="E3326" s="66" t="str">
        <x:v>24732013</x:v>
      </x:c>
      <x:c r="F3326" s="66" t="str">
        <x:v>TEKNOLOGI REKAYASA ELEKTRONIKA</x:v>
      </x:c>
      <x:c r="G3326" s="66" t="str">
        <x:v>Sarjana Terapan</x:v>
      </x:c>
      <x:c r="H3326" s="87" t="n">
        <x:v>18</x:v>
      </x:c>
      <x:c r="I3326" s="87" t="n">
        <x:v>57</x:v>
      </x:c>
      <x:c r="J3326" s="68" t="n">
        <x:f>IFERROR(H3326/I3326,"")</x:f>
        <x:v>0.3157894736842105</x:v>
      </x:c>
      <x:c r="K3326" s="69" t="n">
        <x:f>IFERROR(I3326/H3326,"")</x:f>
        <x:v>3.1666666666666665</x:v>
      </x:c>
      <x:c r="L3326" s="66" t="str">
        <x:f>IF(K3326="","","1 : "&amp;TEXT(K3326,"0.0"))</x:f>
        <x:v>1 : 3.2</x:v>
      </x:c>
      <x:c r="M3326" s="66" t="str">
        <x:f>IF(J3326="","Baru/Tanpa Data",IF(J3326&lt;='Catatan &amp; Sumber'!$B$14,"Sangat Ketat",IF(J3326&lt;='Catatan &amp; Sumber'!$B$15,"Ketat",IF(J3326&lt;='Catatan &amp; Sumber'!$B$16,"Sedang","Relatif Longgar"))))</x:f>
        <x:v>Relatif Longgar</x:v>
      </x:c>
      <x:c r="N3326" s="66" t="str">
        <x:v>Tidak Ada</x:v>
      </x:c>
      <x:c r="O3326" s="66" t="str">
        <x:v>Jawa Timur</x:v>
      </x:c>
      <x:c r="P3326" s="66" t="str">
        <x:v>Kota Madiun</x:v>
      </x:c>
      <x:c r="Q3326" s="66" t="str">
        <x:v>https://snpmb.id/snbp/daya-tampung-snbp</x:v>
      </x:c>
      <x:c r="R3326" s="66" t="str">
        <x:v>https://sidatagrun-public-1076756628210.asia-southeast2.run.app/ptn_sn.php?ptn=473</x:v>
      </x:c>
    </x:row>
    <x:row r="3327">
      <x:c r="A3327" s="87" t="n">
        <x:v>3694</x:v>
      </x:c>
      <x:c r="B3327" s="66" t="n">
        <x:v>473</x:v>
      </x:c>
      <x:c r="C3327" s="66" t="str">
        <x:v>POLITEKNIK NEGERI MADIUN</x:v>
      </x:c>
      <x:c r="D3327" s="66" t="str">
        <x:v>PTN Vokasi</x:v>
      </x:c>
      <x:c r="E3327" s="66" t="str">
        <x:v>24732014</x:v>
      </x:c>
      <x:c r="F3327" s="66" t="str">
        <x:v>TEKNOLOGI REKAYASA OTOMASI</x:v>
      </x:c>
      <x:c r="G3327" s="66" t="str">
        <x:v>Sarjana Terapan</x:v>
      </x:c>
      <x:c r="H3327" s="87" t="n">
        <x:v>18</x:v>
      </x:c>
      <x:c r="I3327" s="87" t="n">
        <x:v>35</x:v>
      </x:c>
      <x:c r="J3327" s="68" t="n">
        <x:f>IFERROR(H3327/I3327,"")</x:f>
        <x:v>0.5142857142857142</x:v>
      </x:c>
      <x:c r="K3327" s="69" t="n">
        <x:f>IFERROR(I3327/H3327,"")</x:f>
        <x:v>1.9444444444444444</x:v>
      </x:c>
      <x:c r="L3327" s="66" t="str">
        <x:f>IF(K3327="","","1 : "&amp;TEXT(K3327,"0.0"))</x:f>
        <x:v>1 : 1.9</x:v>
      </x:c>
      <x:c r="M3327" s="66" t="str">
        <x:f>IF(J3327="","Baru/Tanpa Data",IF(J3327&lt;='Catatan &amp; Sumber'!$B$14,"Sangat Ketat",IF(J3327&lt;='Catatan &amp; Sumber'!$B$15,"Ketat",IF(J3327&lt;='Catatan &amp; Sumber'!$B$16,"Sedang","Relatif Longgar"))))</x:f>
        <x:v>Relatif Longgar</x:v>
      </x:c>
      <x:c r="N3327" s="66" t="str">
        <x:v>Tidak Ada</x:v>
      </x:c>
      <x:c r="O3327" s="66" t="str">
        <x:v>Jawa Timur</x:v>
      </x:c>
      <x:c r="P3327" s="66" t="str">
        <x:v>Kota Madiun</x:v>
      </x:c>
      <x:c r="Q3327" s="66" t="str">
        <x:v>https://snpmb.id/snbp/daya-tampung-snbp</x:v>
      </x:c>
      <x:c r="R3327" s="66" t="str">
        <x:v>https://sidatagrun-public-1076756628210.asia-southeast2.run.app/ptn_sn.php?ptn=473</x:v>
      </x:c>
    </x:row>
    <x:row r="3328">
      <x:c r="A3328" s="87" t="n">
        <x:v>2791</x:v>
      </x:c>
      <x:c r="B3328" s="66" t="n">
        <x:v>473</x:v>
      </x:c>
      <x:c r="C3328" s="66" t="str">
        <x:v>POLITEKNIK NEGERI MADIUN</x:v>
      </x:c>
      <x:c r="D3328" s="66" t="str">
        <x:v>PTN Vokasi</x:v>
      </x:c>
      <x:c r="E3328" s="66" t="str">
        <x:v>24732015</x:v>
      </x:c>
      <x:c r="F3328" s="66" t="str">
        <x:v>BAHASA INGGRIS UNTUK KOMUNIKASI BISNIS DAN PROFESIONAL</x:v>
      </x:c>
      <x:c r="G3328" s="66" t="str">
        <x:v>Sarjana Terapan</x:v>
      </x:c>
      <x:c r="H3328" s="87" t="n">
        <x:v>18</x:v>
      </x:c>
      <x:c r="I3328" s="87" t="n">
        <x:v>70</x:v>
      </x:c>
      <x:c r="J3328" s="68" t="n">
        <x:f>IFERROR(H3328/I3328,"")</x:f>
        <x:v>0.2571428571428571</x:v>
      </x:c>
      <x:c r="K3328" s="69" t="n">
        <x:f>IFERROR(I3328/H3328,"")</x:f>
        <x:v>3.888888888888889</x:v>
      </x:c>
      <x:c r="L3328" s="66" t="str">
        <x:f>IF(K3328="","","1 : "&amp;TEXT(K3328,"0.0"))</x:f>
        <x:v>1 : 3.9</x:v>
      </x:c>
      <x:c r="M3328" s="66" t="str">
        <x:f>IF(J3328="","Baru/Tanpa Data",IF(J3328&lt;='Catatan &amp; Sumber'!$B$14,"Sangat Ketat",IF(J3328&lt;='Catatan &amp; Sumber'!$B$15,"Ketat",IF(J3328&lt;='Catatan &amp; Sumber'!$B$16,"Sedang","Relatif Longgar"))))</x:f>
        <x:v>Relatif Longgar</x:v>
      </x:c>
      <x:c r="N3328" s="66" t="str">
        <x:v>Tidak Ada</x:v>
      </x:c>
      <x:c r="O3328" s="66" t="str">
        <x:v>Jawa Timur</x:v>
      </x:c>
      <x:c r="P3328" s="66" t="str">
        <x:v>Kota Madiun</x:v>
      </x:c>
      <x:c r="Q3328" s="66" t="str">
        <x:v>https://snpmb.id/snbp/daya-tampung-snbp</x:v>
      </x:c>
      <x:c r="R3328" s="66" t="str">
        <x:v>https://sidatagrun-public-1076756628210.asia-southeast2.run.app/ptn_sn.php?ptn=473</x:v>
      </x:c>
    </x:row>
    <x:row r="3329">
      <x:c r="A3329" s="87" t="n">
        <x:v>3037</x:v>
      </x:c>
      <x:c r="B3329" s="66" t="n">
        <x:v>473</x:v>
      </x:c>
      <x:c r="C3329" s="66" t="str">
        <x:v>POLITEKNIK NEGERI MADIUN</x:v>
      </x:c>
      <x:c r="D3329" s="66" t="str">
        <x:v>PTN Vokasi</x:v>
      </x:c>
      <x:c r="E3329" s="66" t="str">
        <x:v>24733002</x:v>
      </x:c>
      <x:c r="F3329" s="66" t="str">
        <x:v>AKUNTANSI</x:v>
      </x:c>
      <x:c r="G3329" s="66" t="str">
        <x:v>Diploma Tiga</x:v>
      </x:c>
      <x:c r="H3329" s="87" t="n">
        <x:v>41</x:v>
      </x:c>
      <x:c r="I3329" s="87" t="n">
        <x:v>136</x:v>
      </x:c>
      <x:c r="J3329" s="68" t="n">
        <x:f>IFERROR(H3329/I3329,"")</x:f>
        <x:v>0.3014705882352941</x:v>
      </x:c>
      <x:c r="K3329" s="69" t="n">
        <x:f>IFERROR(I3329/H3329,"")</x:f>
        <x:v>3.317073170731707</x:v>
      </x:c>
      <x:c r="L3329" s="66" t="str">
        <x:f>IF(K3329="","","1 : "&amp;TEXT(K3329,"0.0"))</x:f>
        <x:v>1 : 3.3</x:v>
      </x:c>
      <x:c r="M3329" s="66" t="str">
        <x:f>IF(J3329="","Baru/Tanpa Data",IF(J3329&lt;='Catatan &amp; Sumber'!$B$14,"Sangat Ketat",IF(J3329&lt;='Catatan &amp; Sumber'!$B$15,"Ketat",IF(J3329&lt;='Catatan &amp; Sumber'!$B$16,"Sedang","Relatif Longgar"))))</x:f>
        <x:v>Relatif Longgar</x:v>
      </x:c>
      <x:c r="N3329" s="66" t="str">
        <x:v>Tidak Ada</x:v>
      </x:c>
      <x:c r="O3329" s="66" t="str">
        <x:v>Jawa Timur</x:v>
      </x:c>
      <x:c r="P3329" s="66" t="str">
        <x:v>Kota Madiun</x:v>
      </x:c>
      <x:c r="Q3329" s="66" t="str">
        <x:v>https://snpmb.id/snbp/daya-tampung-snbp</x:v>
      </x:c>
      <x:c r="R3329" s="66" t="str">
        <x:v>https://sidatagrun-public-1076756628210.asia-southeast2.run.app/ptn_sn.php?ptn=473</x:v>
      </x:c>
    </x:row>
    <x:row r="3330">
      <x:c r="A3330" s="87" t="n">
        <x:v>3025</x:v>
      </x:c>
      <x:c r="B3330" s="66" t="n">
        <x:v>473</x:v>
      </x:c>
      <x:c r="C3330" s="66" t="str">
        <x:v>POLITEKNIK NEGERI MADIUN</x:v>
      </x:c>
      <x:c r="D3330" s="66" t="str">
        <x:v>PTN Vokasi</x:v>
      </x:c>
      <x:c r="E3330" s="66" t="str">
        <x:v>24733003</x:v>
      </x:c>
      <x:c r="F3330" s="66" t="str">
        <x:v>TEKNOLOGI INFORMASI</x:v>
      </x:c>
      <x:c r="G3330" s="66" t="str">
        <x:v>Diploma Tiga</x:v>
      </x:c>
      <x:c r="H3330" s="87" t="n">
        <x:v>36</x:v>
      </x:c>
      <x:c r="I3330" s="87" t="n">
        <x:v>120</x:v>
      </x:c>
      <x:c r="J3330" s="68" t="n">
        <x:f>IFERROR(H3330/I3330,"")</x:f>
        <x:v>0.3</x:v>
      </x:c>
      <x:c r="K3330" s="69" t="n">
        <x:f>IFERROR(I3330/H3330,"")</x:f>
        <x:v>3.3333333333333335</x:v>
      </x:c>
      <x:c r="L3330" s="66" t="str">
        <x:f>IF(K3330="","","1 : "&amp;TEXT(K3330,"0.0"))</x:f>
        <x:v>1 : 3.3</x:v>
      </x:c>
      <x:c r="M3330" s="66" t="str">
        <x:f>IF(J3330="","Baru/Tanpa Data",IF(J3330&lt;='Catatan &amp; Sumber'!$B$14,"Sangat Ketat",IF(J3330&lt;='Catatan &amp; Sumber'!$B$15,"Ketat",IF(J3330&lt;='Catatan &amp; Sumber'!$B$16,"Sedang","Relatif Longgar"))))</x:f>
        <x:v>Relatif Longgar</x:v>
      </x:c>
      <x:c r="N3330" s="66" t="str">
        <x:v>Tidak Ada</x:v>
      </x:c>
      <x:c r="O3330" s="66" t="str">
        <x:v>Jawa Timur</x:v>
      </x:c>
      <x:c r="P3330" s="66" t="str">
        <x:v>Kota Madiun</x:v>
      </x:c>
      <x:c r="Q3330" s="66" t="str">
        <x:v>https://snpmb.id/snbp/daya-tampung-snbp</x:v>
      </x:c>
      <x:c r="R3330" s="66" t="str">
        <x:v>https://sidatagrun-public-1076756628210.asia-southeast2.run.app/ptn_sn.php?ptn=473</x:v>
      </x:c>
    </x:row>
    <x:row r="3331">
      <x:c r="A3331" s="87" t="n">
        <x:v>3768</x:v>
      </x:c>
      <x:c r="B3331" s="66" t="n">
        <x:v>473</x:v>
      </x:c>
      <x:c r="C3331" s="66" t="str">
        <x:v>POLITEKNIK NEGERI MADIUN</x:v>
      </x:c>
      <x:c r="D3331" s="66" t="str">
        <x:v>PTN Vokasi</x:v>
      </x:c>
      <x:c r="E3331" s="66" t="str">
        <x:v>24733004</x:v>
      </x:c>
      <x:c r="F3331" s="66" t="str">
        <x:v>TEKNIK KOMPUTER KONTROL</x:v>
      </x:c>
      <x:c r="G3331" s="66" t="str">
        <x:v>Diploma Tiga</x:v>
      </x:c>
      <x:c r="H3331" s="87" t="n">
        <x:v>36</x:v>
      </x:c>
      <x:c r="I3331" s="87" t="n">
        <x:v>65</x:v>
      </x:c>
      <x:c r="J3331" s="68" t="n">
        <x:f>IFERROR(H3331/I3331,"")</x:f>
        <x:v>0.5538461538461539</x:v>
      </x:c>
      <x:c r="K3331" s="69" t="n">
        <x:f>IFERROR(I3331/H3331,"")</x:f>
        <x:v>1.8055555555555556</x:v>
      </x:c>
      <x:c r="L3331" s="66" t="str">
        <x:f>IF(K3331="","","1 : "&amp;TEXT(K3331,"0.0"))</x:f>
        <x:v>1 : 1.8</x:v>
      </x:c>
      <x:c r="M3331" s="66" t="str">
        <x:f>IF(J3331="","Baru/Tanpa Data",IF(J3331&lt;='Catatan &amp; Sumber'!$B$14,"Sangat Ketat",IF(J3331&lt;='Catatan &amp; Sumber'!$B$15,"Ketat",IF(J3331&lt;='Catatan &amp; Sumber'!$B$16,"Sedang","Relatif Longgar"))))</x:f>
        <x:v>Relatif Longgar</x:v>
      </x:c>
      <x:c r="N3331" s="66" t="str">
        <x:v>Tidak Ada</x:v>
      </x:c>
      <x:c r="O3331" s="66" t="str">
        <x:v>Jawa Timur</x:v>
      </x:c>
      <x:c r="P3331" s="66" t="str">
        <x:v>Kota Madiun</x:v>
      </x:c>
      <x:c r="Q3331" s="66" t="str">
        <x:v>https://snpmb.id/snbp/daya-tampung-snbp</x:v>
      </x:c>
      <x:c r="R3331" s="66" t="str">
        <x:v>https://sidatagrun-public-1076756628210.asia-southeast2.run.app/ptn_sn.php?ptn=473</x:v>
      </x:c>
    </x:row>
    <x:row r="3332">
      <x:c r="A3332" s="87" t="n">
        <x:v>3452</x:v>
      </x:c>
      <x:c r="B3332" s="66" t="n">
        <x:v>473</x:v>
      </x:c>
      <x:c r="C3332" s="66" t="str">
        <x:v>POLITEKNIK NEGERI MADIUN</x:v>
      </x:c>
      <x:c r="D3332" s="66" t="str">
        <x:v>PTN Vokasi</x:v>
      </x:c>
      <x:c r="E3332" s="66" t="str">
        <x:v>24733005</x:v>
      </x:c>
      <x:c r="F3332" s="66" t="str">
        <x:v>BAHASA INGGRIS</x:v>
      </x:c>
      <x:c r="G3332" s="66" t="str">
        <x:v>Diploma Tiga</x:v>
      </x:c>
      <x:c r="H3332" s="87" t="n">
        <x:v>18</x:v>
      </x:c>
      <x:c r="I3332" s="87" t="n">
        <x:v>43</x:v>
      </x:c>
      <x:c r="J3332" s="68" t="n">
        <x:f>IFERROR(H3332/I3332,"")</x:f>
        <x:v>0.4186046511627907</x:v>
      </x:c>
      <x:c r="K3332" s="69" t="n">
        <x:f>IFERROR(I3332/H3332,"")</x:f>
        <x:v>2.388888888888889</x:v>
      </x:c>
      <x:c r="L3332" s="66" t="str">
        <x:f>IF(K3332="","","1 : "&amp;TEXT(K3332,"0.0"))</x:f>
        <x:v>1 : 2.4</x:v>
      </x:c>
      <x:c r="M3332" s="66" t="str">
        <x:f>IF(J3332="","Baru/Tanpa Data",IF(J3332&lt;='Catatan &amp; Sumber'!$B$14,"Sangat Ketat",IF(J3332&lt;='Catatan &amp; Sumber'!$B$15,"Ketat",IF(J3332&lt;='Catatan &amp; Sumber'!$B$16,"Sedang","Relatif Longgar"))))</x:f>
        <x:v>Relatif Longgar</x:v>
      </x:c>
      <x:c r="N3332" s="66" t="str">
        <x:v>Tidak Ada</x:v>
      </x:c>
      <x:c r="O3332" s="66" t="str">
        <x:v>Jawa Timur</x:v>
      </x:c>
      <x:c r="P3332" s="66" t="str">
        <x:v>Kota Madiun</x:v>
      </x:c>
      <x:c r="Q3332" s="66" t="str">
        <x:v>https://snpmb.id/snbp/daya-tampung-snbp</x:v>
      </x:c>
      <x:c r="R3332" s="66" t="str">
        <x:v>https://sidatagrun-public-1076756628210.asia-southeast2.run.app/ptn_sn.php?ptn=473</x:v>
      </x:c>
    </x:row>
    <x:row r="3333">
      <x:c r="A3333" s="87" t="n">
        <x:v>3261</x:v>
      </x:c>
      <x:c r="B3333" s="66" t="n">
        <x:v>473</x:v>
      </x:c>
      <x:c r="C3333" s="66" t="str">
        <x:v>POLITEKNIK NEGERI MADIUN</x:v>
      </x:c>
      <x:c r="D3333" s="66" t="str">
        <x:v>PTN Vokasi</x:v>
      </x:c>
      <x:c r="E3333" s="66" t="str">
        <x:v>24733007</x:v>
      </x:c>
      <x:c r="F3333" s="66" t="str">
        <x:v>TEKNIK LISTRIK</x:v>
      </x:c>
      <x:c r="G3333" s="66" t="str">
        <x:v>Diploma Tiga</x:v>
      </x:c>
      <x:c r="H3333" s="87" t="n">
        <x:v>36</x:v>
      </x:c>
      <x:c r="I3333" s="87" t="n">
        <x:v>100</x:v>
      </x:c>
      <x:c r="J3333" s="68" t="n">
        <x:f>IFERROR(H3333/I3333,"")</x:f>
        <x:v>0.36</x:v>
      </x:c>
      <x:c r="K3333" s="69" t="n">
        <x:f>IFERROR(I3333/H3333,"")</x:f>
        <x:v>2.7777777777777777</x:v>
      </x:c>
      <x:c r="L3333" s="66" t="str">
        <x:f>IF(K3333="","","1 : "&amp;TEXT(K3333,"0.0"))</x:f>
        <x:v>1 : 2.8</x:v>
      </x:c>
      <x:c r="M3333" s="66" t="str">
        <x:f>IF(J3333="","Baru/Tanpa Data",IF(J3333&lt;='Catatan &amp; Sumber'!$B$14,"Sangat Ketat",IF(J3333&lt;='Catatan &amp; Sumber'!$B$15,"Ketat",IF(J3333&lt;='Catatan &amp; Sumber'!$B$16,"Sedang","Relatif Longgar"))))</x:f>
        <x:v>Relatif Longgar</x:v>
      </x:c>
      <x:c r="N3333" s="66" t="str">
        <x:v>Tidak Ada</x:v>
      </x:c>
      <x:c r="O3333" s="66" t="str">
        <x:v>Jawa Timur</x:v>
      </x:c>
      <x:c r="P3333" s="66" t="str">
        <x:v>Kota Madiun</x:v>
      </x:c>
      <x:c r="Q3333" s="66" t="str">
        <x:v>https://snpmb.id/snbp/daya-tampung-snbp</x:v>
      </x:c>
      <x:c r="R3333" s="66" t="str">
        <x:v>https://sidatagrun-public-1076756628210.asia-southeast2.run.app/ptn_sn.php?ptn=473</x:v>
      </x:c>
    </x:row>
    <x:row r="3334">
      <x:c r="A3334" s="87" t="n">
        <x:v>1967</x:v>
      </x:c>
      <x:c r="B3334" s="66" t="n">
        <x:v>473</x:v>
      </x:c>
      <x:c r="C3334" s="66" t="str">
        <x:v>POLITEKNIK NEGERI MADIUN</x:v>
      </x:c>
      <x:c r="D3334" s="66" t="str">
        <x:v>PTN Vokasi</x:v>
      </x:c>
      <x:c r="E3334" s="66" t="str">
        <x:v>24733008</x:v>
      </x:c>
      <x:c r="F3334" s="66" t="str">
        <x:v>ADMINISTRASI BISNIS</x:v>
      </x:c>
      <x:c r="G3334" s="66" t="str">
        <x:v>Diploma Tiga</x:v>
      </x:c>
      <x:c r="H3334" s="87" t="n">
        <x:v>36</x:v>
      </x:c>
      <x:c r="I3334" s="87" t="n">
        <x:v>243</x:v>
      </x:c>
      <x:c r="J3334" s="68" t="n">
        <x:f>IFERROR(H3334/I3334,"")</x:f>
        <x:v>0.14814814814814814</x:v>
      </x:c>
      <x:c r="K3334" s="69" t="n">
        <x:f>IFERROR(I3334/H3334,"")</x:f>
        <x:v>6.75</x:v>
      </x:c>
      <x:c r="L3334" s="66" t="str">
        <x:f>IF(K3334="","","1 : "&amp;TEXT(K3334,"0.0"))</x:f>
        <x:v>1 : 6.8</x:v>
      </x:c>
      <x:c r="M3334" s="66" t="str">
        <x:f>IF(J3334="","Baru/Tanpa Data",IF(J3334&lt;='Catatan &amp; Sumber'!$B$14,"Sangat Ketat",IF(J3334&lt;='Catatan &amp; Sumber'!$B$15,"Ketat",IF(J3334&lt;='Catatan &amp; Sumber'!$B$16,"Sedang","Relatif Longgar"))))</x:f>
        <x:v>Relatif Longgar</x:v>
      </x:c>
      <x:c r="N3334" s="66" t="str">
        <x:v>Tidak Ada</x:v>
      </x:c>
      <x:c r="O3334" s="66" t="str">
        <x:v>Jawa Timur</x:v>
      </x:c>
      <x:c r="P3334" s="66" t="str">
        <x:v>Kota Madiun</x:v>
      </x:c>
      <x:c r="Q3334" s="66" t="str">
        <x:v>https://snpmb.id/snbp/daya-tampung-snbp</x:v>
      </x:c>
      <x:c r="R3334" s="66" t="str">
        <x:v>https://sidatagrun-public-1076756628210.asia-southeast2.run.app/ptn_sn.php?ptn=473</x:v>
      </x:c>
    </x:row>
    <x:row r="3335">
      <x:c r="A3335" s="87" t="n">
        <x:v>2362</x:v>
      </x:c>
      <x:c r="B3335" s="66" t="n">
        <x:v>474</x:v>
      </x:c>
      <x:c r="C3335" s="66" t="str">
        <x:v>POLITEKNIK NEGERI MALANG</x:v>
      </x:c>
      <x:c r="D3335" s="66" t="str">
        <x:v>PTN Vokasi</x:v>
      </x:c>
      <x:c r="E3335" s="66" t="str">
        <x:v>24742001</x:v>
      </x:c>
      <x:c r="F3335" s="66" t="str">
        <x:v>TEKNIK JARINGAN TELEKOMUNIKASI DIGITAL</x:v>
      </x:c>
      <x:c r="G3335" s="66" t="str">
        <x:v>Sarjana Terapan</x:v>
      </x:c>
      <x:c r="H3335" s="87" t="n">
        <x:v>46</x:v>
      </x:c>
      <x:c r="I3335" s="87" t="n">
        <x:v>241</x:v>
      </x:c>
      <x:c r="J3335" s="68" t="n">
        <x:f>IFERROR(H3335/I3335,"")</x:f>
        <x:v>0.1908713692946058</x:v>
      </x:c>
      <x:c r="K3335" s="69" t="n">
        <x:f>IFERROR(I3335/H3335,"")</x:f>
        <x:v>5.239130434782608</x:v>
      </x:c>
      <x:c r="L3335" s="66" t="str">
        <x:f>IF(K3335="","","1 : "&amp;TEXT(K3335,"0.0"))</x:f>
        <x:v>1 : 5.2</x:v>
      </x:c>
      <x:c r="M3335" s="66" t="str">
        <x:f>IF(J3335="","Baru/Tanpa Data",IF(J3335&lt;='Catatan &amp; Sumber'!$B$14,"Sangat Ketat",IF(J3335&lt;='Catatan &amp; Sumber'!$B$15,"Ketat",IF(J3335&lt;='Catatan &amp; Sumber'!$B$16,"Sedang","Relatif Longgar"))))</x:f>
        <x:v>Relatif Longgar</x:v>
      </x:c>
      <x:c r="N3335" s="66" t="str">
        <x:v>Tidak Ada</x:v>
      </x:c>
      <x:c r="O3335" s="66" t="str">
        <x:v>Jawa Timur</x:v>
      </x:c>
      <x:c r="P3335" s="66" t="str">
        <x:v>Kota Malang</x:v>
      </x:c>
      <x:c r="Q3335" s="66" t="str">
        <x:v>https://snpmb.id/snbp/daya-tampung-snbp</x:v>
      </x:c>
      <x:c r="R3335" s="66" t="str">
        <x:v>https://sidatagrun-public-1076756628210.asia-southeast2.run.app/ptn_sn.php?ptn=474</x:v>
      </x:c>
    </x:row>
    <x:row r="3336">
      <x:c r="A3336" s="87" t="n">
        <x:v>2731</x:v>
      </x:c>
      <x:c r="B3336" s="66" t="n">
        <x:v>474</x:v>
      </x:c>
      <x:c r="C3336" s="66" t="str">
        <x:v>POLITEKNIK NEGERI MALANG</x:v>
      </x:c>
      <x:c r="D3336" s="66" t="str">
        <x:v>PTN Vokasi</x:v>
      </x:c>
      <x:c r="E3336" s="66" t="str">
        <x:v>24742002</x:v>
      </x:c>
      <x:c r="F3336" s="66" t="str">
        <x:v>MANAJEMEN REKAYASA KONSTRUKSI</x:v>
      </x:c>
      <x:c r="G3336" s="66" t="str">
        <x:v>Sarjana Terapan</x:v>
      </x:c>
      <x:c r="H3336" s="87" t="n">
        <x:v>46</x:v>
      </x:c>
      <x:c r="I3336" s="87" t="n">
        <x:v>185</x:v>
      </x:c>
      <x:c r="J3336" s="68" t="n">
        <x:f>IFERROR(H3336/I3336,"")</x:f>
        <x:v>0.24864864864864866</x:v>
      </x:c>
      <x:c r="K3336" s="69" t="n">
        <x:f>IFERROR(I3336/H3336,"")</x:f>
        <x:v>4.021739130434782</x:v>
      </x:c>
      <x:c r="L3336" s="66" t="str">
        <x:f>IF(K3336="","","1 : "&amp;TEXT(K3336,"0.0"))</x:f>
        <x:v>1 : 4.0</x:v>
      </x:c>
      <x:c r="M3336" s="66" t="str">
        <x:f>IF(J3336="","Baru/Tanpa Data",IF(J3336&lt;='Catatan &amp; Sumber'!$B$14,"Sangat Ketat",IF(J3336&lt;='Catatan &amp; Sumber'!$B$15,"Ketat",IF(J3336&lt;='Catatan &amp; Sumber'!$B$16,"Sedang","Relatif Longgar"))))</x:f>
        <x:v>Relatif Longgar</x:v>
      </x:c>
      <x:c r="N3336" s="66" t="str">
        <x:v>Tidak Ada</x:v>
      </x:c>
      <x:c r="O3336" s="66" t="str">
        <x:v>Jawa Timur</x:v>
      </x:c>
      <x:c r="P3336" s="66" t="str">
        <x:v>Kota Malang</x:v>
      </x:c>
      <x:c r="Q3336" s="66" t="str">
        <x:v>https://snpmb.id/snbp/daya-tampung-snbp</x:v>
      </x:c>
      <x:c r="R3336" s="66" t="str">
        <x:v>https://sidatagrun-public-1076756628210.asia-southeast2.run.app/ptn_sn.php?ptn=474</x:v>
      </x:c>
    </x:row>
    <x:row r="3337">
      <x:c r="A3337" s="87" t="n">
        <x:v>2304</x:v>
      </x:c>
      <x:c r="B3337" s="66" t="n">
        <x:v>474</x:v>
      </x:c>
      <x:c r="C3337" s="66" t="str">
        <x:v>POLITEKNIK NEGERI MALANG</x:v>
      </x:c>
      <x:c r="D3337" s="66" t="str">
        <x:v>PTN Vokasi</x:v>
      </x:c>
      <x:c r="E3337" s="66" t="str">
        <x:v>24742003</x:v>
      </x:c>
      <x:c r="F3337" s="66" t="str">
        <x:v>SISTEM KELISTRIKAN</x:v>
      </x:c>
      <x:c r="G3337" s="66" t="str">
        <x:v>Sarjana Terapan</x:v>
      </x:c>
      <x:c r="H3337" s="87" t="n">
        <x:v>40</x:v>
      </x:c>
      <x:c r="I3337" s="87" t="n">
        <x:v>217</x:v>
      </x:c>
      <x:c r="J3337" s="68" t="n">
        <x:f>IFERROR(H3337/I3337,"")</x:f>
        <x:v>0.18433179723502305</x:v>
      </x:c>
      <x:c r="K3337" s="69" t="n">
        <x:f>IFERROR(I3337/H3337,"")</x:f>
        <x:v>5.425</x:v>
      </x:c>
      <x:c r="L3337" s="66" t="str">
        <x:f>IF(K3337="","","1 : "&amp;TEXT(K3337,"0.0"))</x:f>
        <x:v>1 : 5.4</x:v>
      </x:c>
      <x:c r="M3337" s="66" t="str">
        <x:f>IF(J3337="","Baru/Tanpa Data",IF(J3337&lt;='Catatan &amp; Sumber'!$B$14,"Sangat Ketat",IF(J3337&lt;='Catatan &amp; Sumber'!$B$15,"Ketat",IF(J3337&lt;='Catatan &amp; Sumber'!$B$16,"Sedang","Relatif Longgar"))))</x:f>
        <x:v>Relatif Longgar</x:v>
      </x:c>
      <x:c r="N3337" s="66" t="str">
        <x:v>Tidak Ada</x:v>
      </x:c>
      <x:c r="O3337" s="66" t="str">
        <x:v>Jawa Timur</x:v>
      </x:c>
      <x:c r="P3337" s="66" t="str">
        <x:v>Kota Malang</x:v>
      </x:c>
      <x:c r="Q3337" s="66" t="str">
        <x:v>https://snpmb.id/snbp/daya-tampung-snbp</x:v>
      </x:c>
      <x:c r="R3337" s="66" t="str">
        <x:v>https://sidatagrun-public-1076756628210.asia-southeast2.run.app/ptn_sn.php?ptn=474</x:v>
      </x:c>
    </x:row>
    <x:row r="3338">
      <x:c r="A3338" s="87" t="n">
        <x:v>1843</x:v>
      </x:c>
      <x:c r="B3338" s="66" t="n">
        <x:v>474</x:v>
      </x:c>
      <x:c r="C3338" s="66" t="str">
        <x:v>POLITEKNIK NEGERI MALANG</x:v>
      </x:c>
      <x:c r="D3338" s="66" t="str">
        <x:v>PTN Vokasi</x:v>
      </x:c>
      <x:c r="E3338" s="66" t="str">
        <x:v>24742004</x:v>
      </x:c>
      <x:c r="F3338" s="66" t="str">
        <x:v>TEKNIK ELEKTRONIKA</x:v>
      </x:c>
      <x:c r="G3338" s="66" t="str">
        <x:v>Sarjana Terapan</x:v>
      </x:c>
      <x:c r="H3338" s="87" t="n">
        <x:v>58</x:v>
      </x:c>
      <x:c r="I3338" s="87" t="n">
        <x:v>427</x:v>
      </x:c>
      <x:c r="J3338" s="68" t="n">
        <x:f>IFERROR(H3338/I3338,"")</x:f>
        <x:v>0.1358313817330211</x:v>
      </x:c>
      <x:c r="K3338" s="69" t="n">
        <x:f>IFERROR(I3338/H3338,"")</x:f>
        <x:v>7.362068965517241</x:v>
      </x:c>
      <x:c r="L3338" s="66" t="str">
        <x:f>IF(K3338="","","1 : "&amp;TEXT(K3338,"0.0"))</x:f>
        <x:v>1 : 7.4</x:v>
      </x:c>
      <x:c r="M3338" s="66" t="str">
        <x:f>IF(J3338="","Baru/Tanpa Data",IF(J3338&lt;='Catatan &amp; Sumber'!$B$14,"Sangat Ketat",IF(J3338&lt;='Catatan &amp; Sumber'!$B$15,"Ketat",IF(J3338&lt;='Catatan &amp; Sumber'!$B$16,"Sedang","Relatif Longgar"))))</x:f>
        <x:v>Relatif Longgar</x:v>
      </x:c>
      <x:c r="N3338" s="66" t="str">
        <x:v>Tidak Ada</x:v>
      </x:c>
      <x:c r="O3338" s="66" t="str">
        <x:v>Jawa Timur</x:v>
      </x:c>
      <x:c r="P3338" s="66" t="str">
        <x:v>Kota Malang</x:v>
      </x:c>
      <x:c r="Q3338" s="66" t="str">
        <x:v>https://snpmb.id/snbp/daya-tampung-snbp</x:v>
      </x:c>
      <x:c r="R3338" s="66" t="str">
        <x:v>https://sidatagrun-public-1076756628210.asia-southeast2.run.app/ptn_sn.php?ptn=474</x:v>
      </x:c>
    </x:row>
    <x:row r="3339">
      <x:c r="A3339" s="87" t="n">
        <x:v>1609</x:v>
      </x:c>
      <x:c r="B3339" s="66" t="n">
        <x:v>474</x:v>
      </x:c>
      <x:c r="C3339" s="66" t="str">
        <x:v>POLITEKNIK NEGERI MALANG</x:v>
      </x:c>
      <x:c r="D3339" s="66" t="str">
        <x:v>PTN Vokasi</x:v>
      </x:c>
      <x:c r="E3339" s="66" t="str">
        <x:v>24742005</x:v>
      </x:c>
      <x:c r="F3339" s="66" t="str">
        <x:v>TEKNIK INFORMATIKA</x:v>
      </x:c>
      <x:c r="G3339" s="66" t="str">
        <x:v>Sarjana Terapan</x:v>
      </x:c>
      <x:c r="H3339" s="87" t="n">
        <x:v>82</x:v>
      </x:c>
      <x:c r="I3339" s="87" t="n">
        <x:v>700</x:v>
      </x:c>
      <x:c r="J3339" s="68" t="n">
        <x:f>IFERROR(H3339/I3339,"")</x:f>
        <x:v>0.11714285714285715</x:v>
      </x:c>
      <x:c r="K3339" s="69" t="n">
        <x:f>IFERROR(I3339/H3339,"")</x:f>
        <x:v>8.536585365853659</x:v>
      </x:c>
      <x:c r="L3339" s="66" t="str">
        <x:f>IF(K3339="","","1 : "&amp;TEXT(K3339,"0.0"))</x:f>
        <x:v>1 : 8.5</x:v>
      </x:c>
      <x:c r="M3339" s="66" t="str">
        <x:f>IF(J3339="","Baru/Tanpa Data",IF(J3339&lt;='Catatan &amp; Sumber'!$B$14,"Sangat Ketat",IF(J3339&lt;='Catatan &amp; Sumber'!$B$15,"Ketat",IF(J3339&lt;='Catatan &amp; Sumber'!$B$16,"Sedang","Relatif Longgar"))))</x:f>
        <x:v>Relatif Longgar</x:v>
      </x:c>
      <x:c r="N3339" s="66" t="str">
        <x:v>Tidak Ada</x:v>
      </x:c>
      <x:c r="O3339" s="66" t="str">
        <x:v>Jawa Timur</x:v>
      </x:c>
      <x:c r="P3339" s="66" t="str">
        <x:v>Kota Malang</x:v>
      </x:c>
      <x:c r="Q3339" s="66" t="str">
        <x:v>https://snpmb.id/snbp/daya-tampung-snbp</x:v>
      </x:c>
      <x:c r="R3339" s="66" t="str">
        <x:v>https://sidatagrun-public-1076756628210.asia-southeast2.run.app/ptn_sn.php?ptn=474</x:v>
      </x:c>
    </x:row>
    <x:row r="3340">
      <x:c r="A3340" s="87" t="n">
        <x:v>2326</x:v>
      </x:c>
      <x:c r="B3340" s="66" t="n">
        <x:v>474</x:v>
      </x:c>
      <x:c r="C3340" s="66" t="str">
        <x:v>POLITEKNIK NEGERI MALANG</x:v>
      </x:c>
      <x:c r="D3340" s="66" t="str">
        <x:v>PTN Vokasi</x:v>
      </x:c>
      <x:c r="E3340" s="66" t="str">
        <x:v>24742006</x:v>
      </x:c>
      <x:c r="F3340" s="66" t="str">
        <x:v>TEKNOLOGI KIMIA INDUSTRI</x:v>
      </x:c>
      <x:c r="G3340" s="66" t="str">
        <x:v>Sarjana Terapan</x:v>
      </x:c>
      <x:c r="H3340" s="87" t="n">
        <x:v>53</x:v>
      </x:c>
      <x:c r="I3340" s="87" t="n">
        <x:v>284</x:v>
      </x:c>
      <x:c r="J3340" s="68" t="n">
        <x:f>IFERROR(H3340/I3340,"")</x:f>
        <x:v>0.18661971830985916</x:v>
      </x:c>
      <x:c r="K3340" s="69" t="n">
        <x:f>IFERROR(I3340/H3340,"")</x:f>
        <x:v>5.3584905660377355</x:v>
      </x:c>
      <x:c r="L3340" s="66" t="str">
        <x:f>IF(K3340="","","1 : "&amp;TEXT(K3340,"0.0"))</x:f>
        <x:v>1 : 5.4</x:v>
      </x:c>
      <x:c r="M3340" s="66" t="str">
        <x:f>IF(J3340="","Baru/Tanpa Data",IF(J3340&lt;='Catatan &amp; Sumber'!$B$14,"Sangat Ketat",IF(J3340&lt;='Catatan &amp; Sumber'!$B$15,"Ketat",IF(J3340&lt;='Catatan &amp; Sumber'!$B$16,"Sedang","Relatif Longgar"))))</x:f>
        <x:v>Relatif Longgar</x:v>
      </x:c>
      <x:c r="N3340" s="66" t="str">
        <x:v>Tidak Ada</x:v>
      </x:c>
      <x:c r="O3340" s="66" t="str">
        <x:v>Jawa Timur</x:v>
      </x:c>
      <x:c r="P3340" s="66" t="str">
        <x:v>Kota Malang</x:v>
      </x:c>
      <x:c r="Q3340" s="66" t="str">
        <x:v>https://snpmb.id/snbp/daya-tampung-snbp</x:v>
      </x:c>
      <x:c r="R3340" s="66" t="str">
        <x:v>https://sidatagrun-public-1076756628210.asia-southeast2.run.app/ptn_sn.php?ptn=474</x:v>
      </x:c>
    </x:row>
    <x:row r="3341">
      <x:c r="A3341" s="87" t="n">
        <x:v>1863</x:v>
      </x:c>
      <x:c r="B3341" s="66" t="n">
        <x:v>474</x:v>
      </x:c>
      <x:c r="C3341" s="66" t="str">
        <x:v>POLITEKNIK NEGERI MALANG</x:v>
      </x:c>
      <x:c r="D3341" s="66" t="str">
        <x:v>PTN Vokasi</x:v>
      </x:c>
      <x:c r="E3341" s="66" t="str">
        <x:v>24742007</x:v>
      </x:c>
      <x:c r="F3341" s="66" t="str">
        <x:v>TEKNIK MESIN PRODUKSI DAN PERAWATAN</x:v>
      </x:c>
      <x:c r="G3341" s="66" t="str">
        <x:v>Sarjana Terapan</x:v>
      </x:c>
      <x:c r="H3341" s="87" t="n">
        <x:v>53</x:v>
      </x:c>
      <x:c r="I3341" s="87" t="n">
        <x:v>385</x:v>
      </x:c>
      <x:c r="J3341" s="68" t="n">
        <x:f>IFERROR(H3341/I3341,"")</x:f>
        <x:v>0.13766233766233765</x:v>
      </x:c>
      <x:c r="K3341" s="69" t="n">
        <x:f>IFERROR(I3341/H3341,"")</x:f>
        <x:v>7.264150943396227</x:v>
      </x:c>
      <x:c r="L3341" s="66" t="str">
        <x:f>IF(K3341="","","1 : "&amp;TEXT(K3341,"0.0"))</x:f>
        <x:v>1 : 7.3</x:v>
      </x:c>
      <x:c r="M3341" s="66" t="str">
        <x:f>IF(J3341="","Baru/Tanpa Data",IF(J3341&lt;='Catatan &amp; Sumber'!$B$14,"Sangat Ketat",IF(J3341&lt;='Catatan &amp; Sumber'!$B$15,"Ketat",IF(J3341&lt;='Catatan &amp; Sumber'!$B$16,"Sedang","Relatif Longgar"))))</x:f>
        <x:v>Relatif Longgar</x:v>
      </x:c>
      <x:c r="N3341" s="66" t="str">
        <x:v>Tidak Ada</x:v>
      </x:c>
      <x:c r="O3341" s="66" t="str">
        <x:v>Jawa Timur</x:v>
      </x:c>
      <x:c r="P3341" s="66" t="str">
        <x:v>Kota Malang</x:v>
      </x:c>
      <x:c r="Q3341" s="66" t="str">
        <x:v>https://snpmb.id/snbp/daya-tampung-snbp</x:v>
      </x:c>
      <x:c r="R3341" s="66" t="str">
        <x:v>https://sidatagrun-public-1076756628210.asia-southeast2.run.app/ptn_sn.php?ptn=474</x:v>
      </x:c>
    </x:row>
    <x:row r="3342">
      <x:c r="A3342" s="87" t="n">
        <x:v>2886</x:v>
      </x:c>
      <x:c r="B3342" s="66" t="n">
        <x:v>474</x:v>
      </x:c>
      <x:c r="C3342" s="66" t="str">
        <x:v>POLITEKNIK NEGERI MALANG</x:v>
      </x:c>
      <x:c r="D3342" s="66" t="str">
        <x:v>PTN Vokasi</x:v>
      </x:c>
      <x:c r="E3342" s="66" t="str">
        <x:v>24742008</x:v>
      </x:c>
      <x:c r="F3342" s="66" t="str">
        <x:v>TEKNIK OTOMOTIF ELEKTRONIK</x:v>
      </x:c>
      <x:c r="G3342" s="66" t="str">
        <x:v>Sarjana Terapan</x:v>
      </x:c>
      <x:c r="H3342" s="87" t="n">
        <x:v>43</x:v>
      </x:c>
      <x:c r="I3342" s="87" t="n">
        <x:v>158</x:v>
      </x:c>
      <x:c r="J3342" s="68" t="n">
        <x:f>IFERROR(H3342/I3342,"")</x:f>
        <x:v>0.2721518987341772</x:v>
      </x:c>
      <x:c r="K3342" s="69" t="n">
        <x:f>IFERROR(I3342/H3342,"")</x:f>
        <x:v>3.6744186046511627</x:v>
      </x:c>
      <x:c r="L3342" s="66" t="str">
        <x:f>IF(K3342="","","1 : "&amp;TEXT(K3342,"0.0"))</x:f>
        <x:v>1 : 3.7</x:v>
      </x:c>
      <x:c r="M3342" s="66" t="str">
        <x:f>IF(J3342="","Baru/Tanpa Data",IF(J3342&lt;='Catatan &amp; Sumber'!$B$14,"Sangat Ketat",IF(J3342&lt;='Catatan &amp; Sumber'!$B$15,"Ketat",IF(J3342&lt;='Catatan &amp; Sumber'!$B$16,"Sedang","Relatif Longgar"))))</x:f>
        <x:v>Relatif Longgar</x:v>
      </x:c>
      <x:c r="N3342" s="66" t="str">
        <x:v>Tidak Ada</x:v>
      </x:c>
      <x:c r="O3342" s="66" t="str">
        <x:v>Jawa Timur</x:v>
      </x:c>
      <x:c r="P3342" s="66" t="str">
        <x:v>Kota Malang</x:v>
      </x:c>
      <x:c r="Q3342" s="66" t="str">
        <x:v>https://snpmb.id/snbp/daya-tampung-snbp</x:v>
      </x:c>
      <x:c r="R3342" s="66" t="str">
        <x:v>https://sidatagrun-public-1076756628210.asia-southeast2.run.app/ptn_sn.php?ptn=474</x:v>
      </x:c>
    </x:row>
    <x:row r="3343">
      <x:c r="A3343" s="87" t="n">
        <x:v>1886</x:v>
      </x:c>
      <x:c r="B3343" s="66" t="n">
        <x:v>474</x:v>
      </x:c>
      <x:c r="C3343" s="66" t="str">
        <x:v>POLITEKNIK NEGERI MALANG</x:v>
      </x:c>
      <x:c r="D3343" s="66" t="str">
        <x:v>PTN Vokasi</x:v>
      </x:c>
      <x:c r="E3343" s="66" t="str">
        <x:v>24742009</x:v>
      </x:c>
      <x:c r="F3343" s="66" t="str">
        <x:v>TEKNOLOGI REKAYASA KONSTRUKSI JALAN DAN JEMBATAN</x:v>
      </x:c>
      <x:c r="G3343" s="66" t="str">
        <x:v>Sarjana Terapan</x:v>
      </x:c>
      <x:c r="H3343" s="87" t="n">
        <x:v>19</x:v>
      </x:c>
      <x:c r="I3343" s="87" t="n">
        <x:v>136</x:v>
      </x:c>
      <x:c r="J3343" s="68" t="n">
        <x:f>IFERROR(H3343/I3343,"")</x:f>
        <x:v>0.13970588235294118</x:v>
      </x:c>
      <x:c r="K3343" s="69" t="n">
        <x:f>IFERROR(I3343/H3343,"")</x:f>
        <x:v>7.157894736842105</x:v>
      </x:c>
      <x:c r="L3343" s="66" t="str">
        <x:f>IF(K3343="","","1 : "&amp;TEXT(K3343,"0.0"))</x:f>
        <x:v>1 : 7.2</x:v>
      </x:c>
      <x:c r="M3343" s="66" t="str">
        <x:f>IF(J3343="","Baru/Tanpa Data",IF(J3343&lt;='Catatan &amp; Sumber'!$B$14,"Sangat Ketat",IF(J3343&lt;='Catatan &amp; Sumber'!$B$15,"Ketat",IF(J3343&lt;='Catatan &amp; Sumber'!$B$16,"Sedang","Relatif Longgar"))))</x:f>
        <x:v>Relatif Longgar</x:v>
      </x:c>
      <x:c r="N3343" s="66" t="str">
        <x:v>Tidak Ada</x:v>
      </x:c>
      <x:c r="O3343" s="66" t="str">
        <x:v>Jawa Timur</x:v>
      </x:c>
      <x:c r="P3343" s="66" t="str">
        <x:v>Kota Malang</x:v>
      </x:c>
      <x:c r="Q3343" s="66" t="str">
        <x:v>https://snpmb.id/snbp/daya-tampung-snbp</x:v>
      </x:c>
      <x:c r="R3343" s="66" t="str">
        <x:v>https://sidatagrun-public-1076756628210.asia-southeast2.run.app/ptn_sn.php?ptn=474</x:v>
      </x:c>
    </x:row>
    <x:row r="3344">
      <x:c r="A3344" s="87" t="n">
        <x:v>2297</x:v>
      </x:c>
      <x:c r="B3344" s="66" t="n">
        <x:v>474</x:v>
      </x:c>
      <x:c r="C3344" s="66" t="str">
        <x:v>POLITEKNIK NEGERI MALANG</x:v>
      </x:c>
      <x:c r="D3344" s="66" t="str">
        <x:v>PTN Vokasi</x:v>
      </x:c>
      <x:c r="E3344" s="66" t="str">
        <x:v>24742010</x:v>
      </x:c>
      <x:c r="F3344" s="66" t="str">
        <x:v>TEKNIK ELEKTRONIKA (PSDKU KEDIRI)</x:v>
      </x:c>
      <x:c r="G3344" s="66" t="str">
        <x:v>Sarjana Terapan</x:v>
      </x:c>
      <x:c r="H3344" s="87" t="n">
        <x:v>24</x:v>
      </x:c>
      <x:c r="I3344" s="87" t="n">
        <x:v>131</x:v>
      </x:c>
      <x:c r="J3344" s="68" t="n">
        <x:f>IFERROR(H3344/I3344,"")</x:f>
        <x:v>0.183206106870229</x:v>
      </x:c>
      <x:c r="K3344" s="69" t="n">
        <x:f>IFERROR(I3344/H3344,"")</x:f>
        <x:v>5.458333333333333</x:v>
      </x:c>
      <x:c r="L3344" s="66" t="str">
        <x:f>IF(K3344="","","1 : "&amp;TEXT(K3344,"0.0"))</x:f>
        <x:v>1 : 5.5</x:v>
      </x:c>
      <x:c r="M3344" s="66" t="str">
        <x:f>IF(J3344="","Baru/Tanpa Data",IF(J3344&lt;='Catatan &amp; Sumber'!$B$14,"Sangat Ketat",IF(J3344&lt;='Catatan &amp; Sumber'!$B$15,"Ketat",IF(J3344&lt;='Catatan &amp; Sumber'!$B$16,"Sedang","Relatif Longgar"))))</x:f>
        <x:v>Relatif Longgar</x:v>
      </x:c>
      <x:c r="N3344" s="66" t="str">
        <x:v>Tidak Ada</x:v>
      </x:c>
      <x:c r="O3344" s="66" t="str">
        <x:v>Jawa Timur</x:v>
      </x:c>
      <x:c r="P3344" s="66" t="str">
        <x:v>Kota Malang</x:v>
      </x:c>
      <x:c r="Q3344" s="66" t="str">
        <x:v>https://snpmb.id/snbp/daya-tampung-snbp</x:v>
      </x:c>
      <x:c r="R3344" s="66" t="str">
        <x:v>https://sidatagrun-public-1076756628210.asia-southeast2.run.app/ptn_sn.php?ptn=474</x:v>
      </x:c>
    </x:row>
    <x:row r="3345">
      <x:c r="A3345" s="87" t="n">
        <x:v>2652</x:v>
      </x:c>
      <x:c r="B3345" s="66" t="n">
        <x:v>474</x:v>
      </x:c>
      <x:c r="C3345" s="66" t="str">
        <x:v>POLITEKNIK NEGERI MALANG</x:v>
      </x:c>
      <x:c r="D3345" s="66" t="str">
        <x:v>PTN Vokasi</x:v>
      </x:c>
      <x:c r="E3345" s="66" t="str">
        <x:v>24742011</x:v>
      </x:c>
      <x:c r="F3345" s="66" t="str">
        <x:v>TEKNIK MESIN PRODUKSI DAN PERAWATAN (PSDKU KEDIRI)</x:v>
      </x:c>
      <x:c r="G3345" s="66" t="str">
        <x:v>Sarjana Terapan</x:v>
      </x:c>
      <x:c r="H3345" s="87" t="n">
        <x:v>36</x:v>
      </x:c>
      <x:c r="I3345" s="87" t="n">
        <x:v>153</x:v>
      </x:c>
      <x:c r="J3345" s="68" t="n">
        <x:f>IFERROR(H3345/I3345,"")</x:f>
        <x:v>0.23529411764705882</x:v>
      </x:c>
      <x:c r="K3345" s="69" t="n">
        <x:f>IFERROR(I3345/H3345,"")</x:f>
        <x:v>4.25</x:v>
      </x:c>
      <x:c r="L3345" s="66" t="str">
        <x:f>IF(K3345="","","1 : "&amp;TEXT(K3345,"0.0"))</x:f>
        <x:v>1 : 4.3</x:v>
      </x:c>
      <x:c r="M3345" s="66" t="str">
        <x:f>IF(J3345="","Baru/Tanpa Data",IF(J3345&lt;='Catatan &amp; Sumber'!$B$14,"Sangat Ketat",IF(J3345&lt;='Catatan &amp; Sumber'!$B$15,"Ketat",IF(J3345&lt;='Catatan &amp; Sumber'!$B$16,"Sedang","Relatif Longgar"))))</x:f>
        <x:v>Relatif Longgar</x:v>
      </x:c>
      <x:c r="N3345" s="66" t="str">
        <x:v>Tidak Ada</x:v>
      </x:c>
      <x:c r="O3345" s="66" t="str">
        <x:v>Jawa Timur</x:v>
      </x:c>
      <x:c r="P3345" s="66" t="str">
        <x:v>Kota Malang</x:v>
      </x:c>
      <x:c r="Q3345" s="66" t="str">
        <x:v>https://snpmb.id/snbp/daya-tampung-snbp</x:v>
      </x:c>
      <x:c r="R3345" s="66" t="str">
        <x:v>https://sidatagrun-public-1076756628210.asia-southeast2.run.app/ptn_sn.php?ptn=474</x:v>
      </x:c>
    </x:row>
    <x:row r="3346">
      <x:c r="A3346" s="87" t="n">
        <x:v>3958</x:v>
      </x:c>
      <x:c r="B3346" s="66" t="n">
        <x:v>474</x:v>
      </x:c>
      <x:c r="C3346" s="66" t="str">
        <x:v>POLITEKNIK NEGERI MALANG</x:v>
      </x:c>
      <x:c r="D3346" s="66" t="str">
        <x:v>PTN Vokasi</x:v>
      </x:c>
      <x:c r="E3346" s="66" t="str">
        <x:v>24742012</x:v>
      </x:c>
      <x:c r="F3346" s="66" t="str">
        <x:v>TEKNOLOGI REKAYASA OTOMOTIF (PSDKU LUMAJANG)</x:v>
      </x:c>
      <x:c r="G3346" s="66" t="str">
        <x:v>Sarjana Terapan</x:v>
      </x:c>
      <x:c r="H3346" s="87" t="n">
        <x:v>24</x:v>
      </x:c>
      <x:c r="I3346" s="87" t="n">
        <x:v>36</x:v>
      </x:c>
      <x:c r="J3346" s="68" t="n">
        <x:f>IFERROR(H3346/I3346,"")</x:f>
        <x:v>0.6666666666666666</x:v>
      </x:c>
      <x:c r="K3346" s="69" t="n">
        <x:f>IFERROR(I3346/H3346,"")</x:f>
        <x:v>1.5</x:v>
      </x:c>
      <x:c r="L3346" s="66" t="str">
        <x:f>IF(K3346="","","1 : "&amp;TEXT(K3346,"0.0"))</x:f>
        <x:v>1 : 1.5</x:v>
      </x:c>
      <x:c r="M3346" s="66" t="str">
        <x:f>IF(J3346="","Baru/Tanpa Data",IF(J3346&lt;='Catatan &amp; Sumber'!$B$14,"Sangat Ketat",IF(J3346&lt;='Catatan &amp; Sumber'!$B$15,"Ketat",IF(J3346&lt;='Catatan &amp; Sumber'!$B$16,"Sedang","Relatif Longgar"))))</x:f>
        <x:v>Relatif Longgar</x:v>
      </x:c>
      <x:c r="N3346" s="66" t="str">
        <x:v>Tidak Ada</x:v>
      </x:c>
      <x:c r="O3346" s="66" t="str">
        <x:v>Jawa Timur</x:v>
      </x:c>
      <x:c r="P3346" s="66" t="str">
        <x:v>Kota Malang</x:v>
      </x:c>
      <x:c r="Q3346" s="66" t="str">
        <x:v>https://snpmb.id/snbp/daya-tampung-snbp</x:v>
      </x:c>
      <x:c r="R3346" s="66" t="str">
        <x:v>https://sidatagrun-public-1076756628210.asia-southeast2.run.app/ptn_sn.php?ptn=474</x:v>
      </x:c>
    </x:row>
    <x:row r="3347">
      <x:c r="A3347" s="87" t="n">
        <x:v>4724</x:v>
      </x:c>
      <x:c r="B3347" s="66" t="n">
        <x:v>474</x:v>
      </x:c>
      <x:c r="C3347" s="66" t="str">
        <x:v>POLITEKNIK NEGERI MALANG</x:v>
      </x:c>
      <x:c r="D3347" s="66" t="str">
        <x:v>PTN Vokasi</x:v>
      </x:c>
      <x:c r="E3347" s="66" t="str">
        <x:v>24742013</x:v>
      </x:c>
      <x:c r="F3347" s="66" t="str">
        <x:v>TEKNIK OTOMOTIF ELEKTRONIK (PSDKU PAMEKASAN)</x:v>
      </x:c>
      <x:c r="G3347" s="66" t="str">
        <x:v>Sarjana Terapan</x:v>
      </x:c>
      <x:c r="H3347" s="87" t="n">
        <x:v>10</x:v>
      </x:c>
      <x:c r="I3347" s="87" t="n">
        <x:v>4</x:v>
      </x:c>
      <x:c r="J3347" s="68" t="n">
        <x:f>IFERROR(H3347/I3347,"")</x:f>
        <x:v>2.5</x:v>
      </x:c>
      <x:c r="K3347" s="69" t="n">
        <x:f>IFERROR(I3347/H3347,"")</x:f>
        <x:v>0.4</x:v>
      </x:c>
      <x:c r="L3347" s="66" t="str">
        <x:f>IF(K3347="","","1 : "&amp;TEXT(K3347,"0.0"))</x:f>
        <x:v>1 : 0.4</x:v>
      </x:c>
      <x:c r="M3347" s="66" t="str">
        <x:f>IF(J3347="","Baru/Tanpa Data",IF(J3347&lt;='Catatan &amp; Sumber'!$B$14,"Sangat Ketat",IF(J3347&lt;='Catatan &amp; Sumber'!$B$15,"Ketat",IF(J3347&lt;='Catatan &amp; Sumber'!$B$16,"Sedang","Relatif Longgar"))))</x:f>
        <x:v>Relatif Longgar</x:v>
      </x:c>
      <x:c r="N3347" s="66" t="str">
        <x:v>Tidak Ada</x:v>
      </x:c>
      <x:c r="O3347" s="66" t="str">
        <x:v>Jawa Timur</x:v>
      </x:c>
      <x:c r="P3347" s="66" t="str">
        <x:v>Kota Malang</x:v>
      </x:c>
      <x:c r="Q3347" s="66" t="str">
        <x:v>https://snpmb.id/snbp/daya-tampung-snbp</x:v>
      </x:c>
      <x:c r="R3347" s="66" t="str">
        <x:v>https://sidatagrun-public-1076756628210.asia-southeast2.run.app/ptn_sn.php?ptn=474</x:v>
      </x:c>
    </x:row>
    <x:row r="3348">
      <x:c r="A3348" s="87" t="n">
        <x:v>2163</x:v>
      </x:c>
      <x:c r="B3348" s="66" t="n">
        <x:v>474</x:v>
      </x:c>
      <x:c r="C3348" s="66" t="str">
        <x:v>POLITEKNIK NEGERI MALANG</x:v>
      </x:c>
      <x:c r="D3348" s="66" t="str">
        <x:v>PTN Vokasi</x:v>
      </x:c>
      <x:c r="E3348" s="66" t="str">
        <x:v>24742014</x:v>
      </x:c>
      <x:c r="F3348" s="66" t="str">
        <x:v>AKUNTANSI MANAJEMEN</x:v>
      </x:c>
      <x:c r="G3348" s="66" t="str">
        <x:v>Sarjana Terapan</x:v>
      </x:c>
      <x:c r="H3348" s="87" t="n">
        <x:v>77</x:v>
      </x:c>
      <x:c r="I3348" s="87" t="n">
        <x:v>459</x:v>
      </x:c>
      <x:c r="J3348" s="68" t="n">
        <x:f>IFERROR(H3348/I3348,"")</x:f>
        <x:v>0.16775599128540306</x:v>
      </x:c>
      <x:c r="K3348" s="69" t="n">
        <x:f>IFERROR(I3348/H3348,"")</x:f>
        <x:v>5.961038961038961</x:v>
      </x:c>
      <x:c r="L3348" s="66" t="str">
        <x:f>IF(K3348="","","1 : "&amp;TEXT(K3348,"0.0"))</x:f>
        <x:v>1 : 6.0</x:v>
      </x:c>
      <x:c r="M3348" s="66" t="str">
        <x:f>IF(J3348="","Baru/Tanpa Data",IF(J3348&lt;='Catatan &amp; Sumber'!$B$14,"Sangat Ketat",IF(J3348&lt;='Catatan &amp; Sumber'!$B$15,"Ketat",IF(J3348&lt;='Catatan &amp; Sumber'!$B$16,"Sedang","Relatif Longgar"))))</x:f>
        <x:v>Relatif Longgar</x:v>
      </x:c>
      <x:c r="N3348" s="66" t="str">
        <x:v>Tidak Ada</x:v>
      </x:c>
      <x:c r="O3348" s="66" t="str">
        <x:v>Jawa Timur</x:v>
      </x:c>
      <x:c r="P3348" s="66" t="str">
        <x:v>Kota Malang</x:v>
      </x:c>
      <x:c r="Q3348" s="66" t="str">
        <x:v>https://snpmb.id/snbp/daya-tampung-snbp</x:v>
      </x:c>
      <x:c r="R3348" s="66" t="str">
        <x:v>https://sidatagrun-public-1076756628210.asia-southeast2.run.app/ptn_sn.php?ptn=474</x:v>
      </x:c>
    </x:row>
    <x:row r="3349">
      <x:c r="A3349" s="87" t="n">
        <x:v>2045</x:v>
      </x:c>
      <x:c r="B3349" s="66" t="n">
        <x:v>474</x:v>
      </x:c>
      <x:c r="C3349" s="66" t="str">
        <x:v>POLITEKNIK NEGERI MALANG</x:v>
      </x:c>
      <x:c r="D3349" s="66" t="str">
        <x:v>PTN Vokasi</x:v>
      </x:c>
      <x:c r="E3349" s="66" t="str">
        <x:v>24742015</x:v>
      </x:c>
      <x:c r="F3349" s="66" t="str">
        <x:v>KEUANGAN</x:v>
      </x:c>
      <x:c r="G3349" s="66" t="str">
        <x:v>Sarjana Terapan</x:v>
      </x:c>
      <x:c r="H3349" s="87" t="n">
        <x:v>29</x:v>
      </x:c>
      <x:c r="I3349" s="87" t="n">
        <x:v>186</x:v>
      </x:c>
      <x:c r="J3349" s="68" t="n">
        <x:f>IFERROR(H3349/I3349,"")</x:f>
        <x:v>0.15591397849462366</x:v>
      </x:c>
      <x:c r="K3349" s="69" t="n">
        <x:f>IFERROR(I3349/H3349,"")</x:f>
        <x:v>6.413793103448276</x:v>
      </x:c>
      <x:c r="L3349" s="66" t="str">
        <x:f>IF(K3349="","","1 : "&amp;TEXT(K3349,"0.0"))</x:f>
        <x:v>1 : 6.4</x:v>
      </x:c>
      <x:c r="M3349" s="66" t="str">
        <x:f>IF(J3349="","Baru/Tanpa Data",IF(J3349&lt;='Catatan &amp; Sumber'!$B$14,"Sangat Ketat",IF(J3349&lt;='Catatan &amp; Sumber'!$B$15,"Ketat",IF(J3349&lt;='Catatan &amp; Sumber'!$B$16,"Sedang","Relatif Longgar"))))</x:f>
        <x:v>Relatif Longgar</x:v>
      </x:c>
      <x:c r="N3349" s="66" t="str">
        <x:v>Tidak Ada</x:v>
      </x:c>
      <x:c r="O3349" s="66" t="str">
        <x:v>Jawa Timur</x:v>
      </x:c>
      <x:c r="P3349" s="66" t="str">
        <x:v>Kota Malang</x:v>
      </x:c>
      <x:c r="Q3349" s="66" t="str">
        <x:v>https://snpmb.id/snbp/daya-tampung-snbp</x:v>
      </x:c>
      <x:c r="R3349" s="66" t="str">
        <x:v>https://sidatagrun-public-1076756628210.asia-southeast2.run.app/ptn_sn.php?ptn=474</x:v>
      </x:c>
    </x:row>
    <x:row r="3350">
      <x:c r="A3350" s="87" t="n">
        <x:v>2546</x:v>
      </x:c>
      <x:c r="B3350" s="66" t="n">
        <x:v>474</x:v>
      </x:c>
      <x:c r="C3350" s="66" t="str">
        <x:v>POLITEKNIK NEGERI MALANG</x:v>
      </x:c>
      <x:c r="D3350" s="66" t="str">
        <x:v>PTN Vokasi</x:v>
      </x:c>
      <x:c r="E3350" s="66" t="str">
        <x:v>24742016</x:v>
      </x:c>
      <x:c r="F3350" s="66" t="str">
        <x:v>MANAJEMEN PEMASARAN</x:v>
      </x:c>
      <x:c r="G3350" s="66" t="str">
        <x:v>Sarjana Terapan</x:v>
      </x:c>
      <x:c r="H3350" s="87" t="n">
        <x:v>67</x:v>
      </x:c>
      <x:c r="I3350" s="87" t="n">
        <x:v>306</x:v>
      </x:c>
      <x:c r="J3350" s="68" t="n">
        <x:f>IFERROR(H3350/I3350,"")</x:f>
        <x:v>0.21895424836601307</x:v>
      </x:c>
      <x:c r="K3350" s="69" t="n">
        <x:f>IFERROR(I3350/H3350,"")</x:f>
        <x:v>4.567164179104478</x:v>
      </x:c>
      <x:c r="L3350" s="66" t="str">
        <x:f>IF(K3350="","","1 : "&amp;TEXT(K3350,"0.0"))</x:f>
        <x:v>1 : 4.6</x:v>
      </x:c>
      <x:c r="M3350" s="66" t="str">
        <x:f>IF(J3350="","Baru/Tanpa Data",IF(J3350&lt;='Catatan &amp; Sumber'!$B$14,"Sangat Ketat",IF(J3350&lt;='Catatan &amp; Sumber'!$B$15,"Ketat",IF(J3350&lt;='Catatan &amp; Sumber'!$B$16,"Sedang","Relatif Longgar"))))</x:f>
        <x:v>Relatif Longgar</x:v>
      </x:c>
      <x:c r="N3350" s="66" t="str">
        <x:v>Tidak Ada</x:v>
      </x:c>
      <x:c r="O3350" s="66" t="str">
        <x:v>Jawa Timur</x:v>
      </x:c>
      <x:c r="P3350" s="66" t="str">
        <x:v>Kota Malang</x:v>
      </x:c>
      <x:c r="Q3350" s="66" t="str">
        <x:v>https://snpmb.id/snbp/daya-tampung-snbp</x:v>
      </x:c>
      <x:c r="R3350" s="66" t="str">
        <x:v>https://sidatagrun-public-1076756628210.asia-southeast2.run.app/ptn_sn.php?ptn=474</x:v>
      </x:c>
    </x:row>
    <x:row r="3351">
      <x:c r="A3351" s="87" t="n">
        <x:v>2259</x:v>
      </x:c>
      <x:c r="B3351" s="66" t="n">
        <x:v>474</x:v>
      </x:c>
      <x:c r="C3351" s="66" t="str">
        <x:v>POLITEKNIK NEGERI MALANG</x:v>
      </x:c>
      <x:c r="D3351" s="66" t="str">
        <x:v>PTN Vokasi</x:v>
      </x:c>
      <x:c r="E3351" s="66" t="str">
        <x:v>24742017</x:v>
      </x:c>
      <x:c r="F3351" s="66" t="str">
        <x:v>BAHASA INGGRIS UNTUK KOMUNIKASI BISNIS DAN PROFESIONAL</x:v>
      </x:c>
      <x:c r="G3351" s="66" t="str">
        <x:v>Sarjana Terapan</x:v>
      </x:c>
      <x:c r="H3351" s="87" t="n">
        <x:v>29</x:v>
      </x:c>
      <x:c r="I3351" s="87" t="n">
        <x:v>162</x:v>
      </x:c>
      <x:c r="J3351" s="68" t="n">
        <x:f>IFERROR(H3351/I3351,"")</x:f>
        <x:v>0.17901234567901234</x:v>
      </x:c>
      <x:c r="K3351" s="69" t="n">
        <x:f>IFERROR(I3351/H3351,"")</x:f>
        <x:v>5.586206896551724</x:v>
      </x:c>
      <x:c r="L3351" s="66" t="str">
        <x:f>IF(K3351="","","1 : "&amp;TEXT(K3351,"0.0"))</x:f>
        <x:v>1 : 5.6</x:v>
      </x:c>
      <x:c r="M3351" s="66" t="str">
        <x:f>IF(J3351="","Baru/Tanpa Data",IF(J3351&lt;='Catatan &amp; Sumber'!$B$14,"Sangat Ketat",IF(J3351&lt;='Catatan &amp; Sumber'!$B$15,"Ketat",IF(J3351&lt;='Catatan &amp; Sumber'!$B$16,"Sedang","Relatif Longgar"))))</x:f>
        <x:v>Relatif Longgar</x:v>
      </x:c>
      <x:c r="N3351" s="66" t="str">
        <x:v>Tidak Ada</x:v>
      </x:c>
      <x:c r="O3351" s="66" t="str">
        <x:v>Jawa Timur</x:v>
      </x:c>
      <x:c r="P3351" s="66" t="str">
        <x:v>Kota Malang</x:v>
      </x:c>
      <x:c r="Q3351" s="66" t="str">
        <x:v>https://snpmb.id/snbp/daya-tampung-snbp</x:v>
      </x:c>
      <x:c r="R3351" s="66" t="str">
        <x:v>https://sidatagrun-public-1076756628210.asia-southeast2.run.app/ptn_sn.php?ptn=474</x:v>
      </x:c>
    </x:row>
    <x:row r="3352">
      <x:c r="A3352" s="87" t="n">
        <x:v>1841</x:v>
      </x:c>
      <x:c r="B3352" s="66" t="n">
        <x:v>474</x:v>
      </x:c>
      <x:c r="C3352" s="66" t="str">
        <x:v>POLITEKNIK NEGERI MALANG</x:v>
      </x:c>
      <x:c r="D3352" s="66" t="str">
        <x:v>PTN Vokasi</x:v>
      </x:c>
      <x:c r="E3352" s="66" t="str">
        <x:v>24742018</x:v>
      </x:c>
      <x:c r="F3352" s="66" t="str">
        <x:v>PENGELOLAAN ARSIP DAN REKAMAN INFORMASI</x:v>
      </x:c>
      <x:c r="G3352" s="66" t="str">
        <x:v>Sarjana Terapan</x:v>
      </x:c>
      <x:c r="H3352" s="87" t="n">
        <x:v>19</x:v>
      </x:c>
      <x:c r="I3352" s="87" t="n">
        <x:v>140</x:v>
      </x:c>
      <x:c r="J3352" s="68" t="n">
        <x:f>IFERROR(H3352/I3352,"")</x:f>
        <x:v>0.1357142857142857</x:v>
      </x:c>
      <x:c r="K3352" s="69" t="n">
        <x:f>IFERROR(I3352/H3352,"")</x:f>
        <x:v>7.368421052631579</x:v>
      </x:c>
      <x:c r="L3352" s="66" t="str">
        <x:f>IF(K3352="","","1 : "&amp;TEXT(K3352,"0.0"))</x:f>
        <x:v>1 : 7.4</x:v>
      </x:c>
      <x:c r="M3352" s="66" t="str">
        <x:f>IF(J3352="","Baru/Tanpa Data",IF(J3352&lt;='Catatan &amp; Sumber'!$B$14,"Sangat Ketat",IF(J3352&lt;='Catatan &amp; Sumber'!$B$15,"Ketat",IF(J3352&lt;='Catatan &amp; Sumber'!$B$16,"Sedang","Relatif Longgar"))))</x:f>
        <x:v>Relatif Longgar</x:v>
      </x:c>
      <x:c r="N3352" s="66" t="str">
        <x:v>Tidak Ada</x:v>
      </x:c>
      <x:c r="O3352" s="66" t="str">
        <x:v>Jawa Timur</x:v>
      </x:c>
      <x:c r="P3352" s="66" t="str">
        <x:v>Kota Malang</x:v>
      </x:c>
      <x:c r="Q3352" s="66" t="str">
        <x:v>https://snpmb.id/snbp/daya-tampung-snbp</x:v>
      </x:c>
      <x:c r="R3352" s="66" t="str">
        <x:v>https://sidatagrun-public-1076756628210.asia-southeast2.run.app/ptn_sn.php?ptn=474</x:v>
      </x:c>
    </x:row>
    <x:row r="3353">
      <x:c r="A3353" s="87" t="n">
        <x:v>2720</x:v>
      </x:c>
      <x:c r="B3353" s="66" t="n">
        <x:v>474</x:v>
      </x:c>
      <x:c r="C3353" s="66" t="str">
        <x:v>POLITEKNIK NEGERI MALANG</x:v>
      </x:c>
      <x:c r="D3353" s="66" t="str">
        <x:v>PTN Vokasi</x:v>
      </x:c>
      <x:c r="E3353" s="66" t="str">
        <x:v>24742019</x:v>
      </x:c>
      <x:c r="F3353" s="66" t="str">
        <x:v>USAHA PERJALANAN WISATA</x:v>
      </x:c>
      <x:c r="G3353" s="66" t="str">
        <x:v>Sarjana Terapan</x:v>
      </x:c>
      <x:c r="H3353" s="87" t="n">
        <x:v>19</x:v>
      </x:c>
      <x:c r="I3353" s="87" t="n">
        <x:v>77</x:v>
      </x:c>
      <x:c r="J3353" s="68" t="n">
        <x:f>IFERROR(H3353/I3353,"")</x:f>
        <x:v>0.24675324675324675</x:v>
      </x:c>
      <x:c r="K3353" s="69" t="n">
        <x:f>IFERROR(I3353/H3353,"")</x:f>
        <x:v>4.052631578947368</x:v>
      </x:c>
      <x:c r="L3353" s="66" t="str">
        <x:f>IF(K3353="","","1 : "&amp;TEXT(K3353,"0.0"))</x:f>
        <x:v>1 : 4.1</x:v>
      </x:c>
      <x:c r="M3353" s="66" t="str">
        <x:f>IF(J3353="","Baru/Tanpa Data",IF(J3353&lt;='Catatan &amp; Sumber'!$B$14,"Sangat Ketat",IF(J3353&lt;='Catatan &amp; Sumber'!$B$15,"Ketat",IF(J3353&lt;='Catatan &amp; Sumber'!$B$16,"Sedang","Relatif Longgar"))))</x:f>
        <x:v>Relatif Longgar</x:v>
      </x:c>
      <x:c r="N3353" s="66" t="str">
        <x:v>Tidak Ada</x:v>
      </x:c>
      <x:c r="O3353" s="66" t="str">
        <x:v>Jawa Timur</x:v>
      </x:c>
      <x:c r="P3353" s="66" t="str">
        <x:v>Kota Malang</x:v>
      </x:c>
      <x:c r="Q3353" s="66" t="str">
        <x:v>https://snpmb.id/snbp/daya-tampung-snbp</x:v>
      </x:c>
      <x:c r="R3353" s="66" t="str">
        <x:v>https://sidatagrun-public-1076756628210.asia-southeast2.run.app/ptn_sn.php?ptn=474</x:v>
      </x:c>
    </x:row>
    <x:row r="3354">
      <x:c r="A3354" s="87" t="n">
        <x:v>1991</x:v>
      </x:c>
      <x:c r="B3354" s="66" t="n">
        <x:v>474</x:v>
      </x:c>
      <x:c r="C3354" s="66" t="str">
        <x:v>POLITEKNIK NEGERI MALANG</x:v>
      </x:c>
      <x:c r="D3354" s="66" t="str">
        <x:v>PTN Vokasi</x:v>
      </x:c>
      <x:c r="E3354" s="66" t="str">
        <x:v>24742020</x:v>
      </x:c>
      <x:c r="F3354" s="66" t="str">
        <x:v>KEUANGAN (PSDKU KEDIRI)</x:v>
      </x:c>
      <x:c r="G3354" s="66" t="str">
        <x:v>Sarjana Terapan</x:v>
      </x:c>
      <x:c r="H3354" s="87" t="n">
        <x:v>36</x:v>
      </x:c>
      <x:c r="I3354" s="87" t="n">
        <x:v>239</x:v>
      </x:c>
      <x:c r="J3354" s="68" t="n">
        <x:f>IFERROR(H3354/I3354,"")</x:f>
        <x:v>0.1506276150627615</x:v>
      </x:c>
      <x:c r="K3354" s="69" t="n">
        <x:f>IFERROR(I3354/H3354,"")</x:f>
        <x:v>6.638888888888889</x:v>
      </x:c>
      <x:c r="L3354" s="66" t="str">
        <x:f>IF(K3354="","","1 : "&amp;TEXT(K3354,"0.0"))</x:f>
        <x:v>1 : 6.6</x:v>
      </x:c>
      <x:c r="M3354" s="66" t="str">
        <x:f>IF(J3354="","Baru/Tanpa Data",IF(J3354&lt;='Catatan &amp; Sumber'!$B$14,"Sangat Ketat",IF(J3354&lt;='Catatan &amp; Sumber'!$B$15,"Ketat",IF(J3354&lt;='Catatan &amp; Sumber'!$B$16,"Sedang","Relatif Longgar"))))</x:f>
        <x:v>Relatif Longgar</x:v>
      </x:c>
      <x:c r="N3354" s="66" t="str">
        <x:v>Tidak Ada</x:v>
      </x:c>
      <x:c r="O3354" s="66" t="str">
        <x:v>Jawa Timur</x:v>
      </x:c>
      <x:c r="P3354" s="66" t="str">
        <x:v>Kota Malang</x:v>
      </x:c>
      <x:c r="Q3354" s="66" t="str">
        <x:v>https://snpmb.id/snbp/daya-tampung-snbp</x:v>
      </x:c>
      <x:c r="R3354" s="66" t="str">
        <x:v>https://sidatagrun-public-1076756628210.asia-southeast2.run.app/ptn_sn.php?ptn=474</x:v>
      </x:c>
    </x:row>
    <x:row r="3355">
      <x:c r="A3355" s="87" t="n">
        <x:v>4170</x:v>
      </x:c>
      <x:c r="B3355" s="66" t="n">
        <x:v>474</x:v>
      </x:c>
      <x:c r="C3355" s="66" t="str">
        <x:v>POLITEKNIK NEGERI MALANG</x:v>
      </x:c>
      <x:c r="D3355" s="66" t="str">
        <x:v>PTN Vokasi</x:v>
      </x:c>
      <x:c r="E3355" s="66" t="str">
        <x:v>24742021</x:v>
      </x:c>
      <x:c r="F3355" s="66" t="str">
        <x:v>AKUNTANSI MANAJEMEN (PSDKU PAMEKASAN)</x:v>
      </x:c>
      <x:c r="G3355" s="66" t="str">
        <x:v>Sarjana Terapan</x:v>
      </x:c>
      <x:c r="H3355" s="87" t="n">
        <x:v>10</x:v>
      </x:c>
      <x:c r="I3355" s="87" t="n">
        <x:v>12</x:v>
      </x:c>
      <x:c r="J3355" s="68" t="n">
        <x:f>IFERROR(H3355/I3355,"")</x:f>
        <x:v>0.8333333333333334</x:v>
      </x:c>
      <x:c r="K3355" s="69" t="n">
        <x:f>IFERROR(I3355/H3355,"")</x:f>
        <x:v>1.2</x:v>
      </x:c>
      <x:c r="L3355" s="66" t="str">
        <x:f>IF(K3355="","","1 : "&amp;TEXT(K3355,"0.0"))</x:f>
        <x:v>1 : 1.2</x:v>
      </x:c>
      <x:c r="M3355" s="66" t="str">
        <x:f>IF(J3355="","Baru/Tanpa Data",IF(J3355&lt;='Catatan &amp; Sumber'!$B$14,"Sangat Ketat",IF(J3355&lt;='Catatan &amp; Sumber'!$B$15,"Ketat",IF(J3355&lt;='Catatan &amp; Sumber'!$B$16,"Sedang","Relatif Longgar"))))</x:f>
        <x:v>Relatif Longgar</x:v>
      </x:c>
      <x:c r="N3355" s="66" t="str">
        <x:v>Tidak Ada</x:v>
      </x:c>
      <x:c r="O3355" s="66" t="str">
        <x:v>Jawa Timur</x:v>
      </x:c>
      <x:c r="P3355" s="66" t="str">
        <x:v>Kota Malang</x:v>
      </x:c>
      <x:c r="Q3355" s="66" t="str">
        <x:v>https://snpmb.id/snbp/daya-tampung-snbp</x:v>
      </x:c>
      <x:c r="R3355" s="66" t="str">
        <x:v>https://sidatagrun-public-1076756628210.asia-southeast2.run.app/ptn_sn.php?ptn=474</x:v>
      </x:c>
    </x:row>
    <x:row r="3356">
      <x:c r="A3356" s="87" t="n">
        <x:v>2493</x:v>
      </x:c>
      <x:c r="B3356" s="66" t="n">
        <x:v>474</x:v>
      </x:c>
      <x:c r="C3356" s="66" t="str">
        <x:v>POLITEKNIK NEGERI MALANG</x:v>
      </x:c>
      <x:c r="D3356" s="66" t="str">
        <x:v>PTN Vokasi</x:v>
      </x:c>
      <x:c r="E3356" s="66" t="str">
        <x:v>24742035</x:v>
      </x:c>
      <x:c r="F3356" s="66" t="str">
        <x:v>SISTEM INFORMASI BISNIS</x:v>
      </x:c>
      <x:c r="G3356" s="66" t="str">
        <x:v>Sarjana Terapan</x:v>
      </x:c>
      <x:c r="H3356" s="87" t="n">
        <x:v>62</x:v>
      </x:c>
      <x:c r="I3356" s="87" t="n">
        <x:v>295</x:v>
      </x:c>
      <x:c r="J3356" s="68" t="n">
        <x:f>IFERROR(H3356/I3356,"")</x:f>
        <x:v>0.21016949152542372</x:v>
      </x:c>
      <x:c r="K3356" s="69" t="n">
        <x:f>IFERROR(I3356/H3356,"")</x:f>
        <x:v>4.758064516129032</x:v>
      </x:c>
      <x:c r="L3356" s="66" t="str">
        <x:f>IF(K3356="","","1 : "&amp;TEXT(K3356,"0.0"))</x:f>
        <x:v>1 : 4.8</x:v>
      </x:c>
      <x:c r="M3356" s="66" t="str">
        <x:f>IF(J3356="","Baru/Tanpa Data",IF(J3356&lt;='Catatan &amp; Sumber'!$B$14,"Sangat Ketat",IF(J3356&lt;='Catatan &amp; Sumber'!$B$15,"Ketat",IF(J3356&lt;='Catatan &amp; Sumber'!$B$16,"Sedang","Relatif Longgar"))))</x:f>
        <x:v>Relatif Longgar</x:v>
      </x:c>
      <x:c r="N3356" s="66" t="str">
        <x:v>Tidak Ada</x:v>
      </x:c>
      <x:c r="O3356" s="66" t="str">
        <x:v>Jawa Timur</x:v>
      </x:c>
      <x:c r="P3356" s="66" t="str">
        <x:v>Kota Malang</x:v>
      </x:c>
      <x:c r="Q3356" s="66" t="str">
        <x:v>https://snpmb.id/snbp/daya-tampung-snbp</x:v>
      </x:c>
      <x:c r="R3356" s="66" t="str">
        <x:v>https://sidatagrun-public-1076756628210.asia-southeast2.run.app/ptn_sn.php?ptn=474</x:v>
      </x:c>
    </x:row>
    <x:row r="3357">
      <x:c r="A3357" s="87" t="n">
        <x:v>2339</x:v>
      </x:c>
      <x:c r="B3357" s="66" t="n">
        <x:v>474</x:v>
      </x:c>
      <x:c r="C3357" s="66" t="str">
        <x:v>POLITEKNIK NEGERI MALANG</x:v>
      </x:c>
      <x:c r="D3357" s="66" t="str">
        <x:v>PTN Vokasi</x:v>
      </x:c>
      <x:c r="E3357" s="66" t="str">
        <x:v>24742039</x:v>
      </x:c>
      <x:c r="F3357" s="66" t="str">
        <x:v>BAHASA INGGRIS UNTUK INDUSTRI PARIWISATA</x:v>
      </x:c>
      <x:c r="G3357" s="66" t="str">
        <x:v>Sarjana Terapan</x:v>
      </x:c>
      <x:c r="H3357" s="87" t="n">
        <x:v>19</x:v>
      </x:c>
      <x:c r="I3357" s="87" t="n">
        <x:v>101</x:v>
      </x:c>
      <x:c r="J3357" s="68" t="n">
        <x:f>IFERROR(H3357/I3357,"")</x:f>
        <x:v>0.18811881188118812</x:v>
      </x:c>
      <x:c r="K3357" s="69" t="n">
        <x:f>IFERROR(I3357/H3357,"")</x:f>
        <x:v>5.315789473684211</x:v>
      </x:c>
      <x:c r="L3357" s="66" t="str">
        <x:f>IF(K3357="","","1 : "&amp;TEXT(K3357,"0.0"))</x:f>
        <x:v>1 : 5.3</x:v>
      </x:c>
      <x:c r="M3357" s="66" t="str">
        <x:f>IF(J3357="","Baru/Tanpa Data",IF(J3357&lt;='Catatan &amp; Sumber'!$B$14,"Sangat Ketat",IF(J3357&lt;='Catatan &amp; Sumber'!$B$15,"Ketat",IF(J3357&lt;='Catatan &amp; Sumber'!$B$16,"Sedang","Relatif Longgar"))))</x:f>
        <x:v>Relatif Longgar</x:v>
      </x:c>
      <x:c r="N3357" s="66" t="str">
        <x:v>Tidak Ada</x:v>
      </x:c>
      <x:c r="O3357" s="66" t="str">
        <x:v>Jawa Timur</x:v>
      </x:c>
      <x:c r="P3357" s="66" t="str">
        <x:v>Kota Malang</x:v>
      </x:c>
      <x:c r="Q3357" s="66" t="str">
        <x:v>https://snpmb.id/snbp/daya-tampung-snbp</x:v>
      </x:c>
      <x:c r="R3357" s="66" t="str">
        <x:v>https://sidatagrun-public-1076756628210.asia-southeast2.run.app/ptn_sn.php?ptn=474</x:v>
      </x:c>
    </x:row>
    <x:row r="3358">
      <x:c r="A3358" s="87" t="n">
        <x:v>1607</x:v>
      </x:c>
      <x:c r="B3358" s="66" t="n">
        <x:v>474</x:v>
      </x:c>
      <x:c r="C3358" s="66" t="str">
        <x:v>POLITEKNIK NEGERI MALANG</x:v>
      </x:c>
      <x:c r="D3358" s="66" t="str">
        <x:v>PTN Vokasi</x:v>
      </x:c>
      <x:c r="E3358" s="66" t="str">
        <x:v>24743022</x:v>
      </x:c>
      <x:c r="F3358" s="66" t="str">
        <x:v>TEKNOLOGI PERTAMBANGAN</x:v>
      </x:c>
      <x:c r="G3358" s="66" t="str">
        <x:v>Diploma Tiga</x:v>
      </x:c>
      <x:c r="H3358" s="87" t="n">
        <x:v>29</x:v>
      </x:c>
      <x:c r="I3358" s="87" t="n">
        <x:v>248</x:v>
      </x:c>
      <x:c r="J3358" s="68" t="n">
        <x:f>IFERROR(H3358/I3358,"")</x:f>
        <x:v>0.11693548387096774</x:v>
      </x:c>
      <x:c r="K3358" s="69" t="n">
        <x:f>IFERROR(I3358/H3358,"")</x:f>
        <x:v>8.551724137931034</x:v>
      </x:c>
      <x:c r="L3358" s="66" t="str">
        <x:f>IF(K3358="","","1 : "&amp;TEXT(K3358,"0.0"))</x:f>
        <x:v>1 : 8.6</x:v>
      </x:c>
      <x:c r="M3358" s="66" t="str">
        <x:f>IF(J3358="","Baru/Tanpa Data",IF(J3358&lt;='Catatan &amp; Sumber'!$B$14,"Sangat Ketat",IF(J3358&lt;='Catatan &amp; Sumber'!$B$15,"Ketat",IF(J3358&lt;='Catatan &amp; Sumber'!$B$16,"Sedang","Relatif Longgar"))))</x:f>
        <x:v>Relatif Longgar</x:v>
      </x:c>
      <x:c r="N3358" s="66" t="str">
        <x:v>Tidak Ada</x:v>
      </x:c>
      <x:c r="O3358" s="66" t="str">
        <x:v>Jawa Timur</x:v>
      </x:c>
      <x:c r="P3358" s="66" t="str">
        <x:v>Kota Malang</x:v>
      </x:c>
      <x:c r="Q3358" s="66" t="str">
        <x:v>https://snpmb.id/snbp/daya-tampung-snbp</x:v>
      </x:c>
      <x:c r="R3358" s="66" t="str">
        <x:v>https://sidatagrun-public-1076756628210.asia-southeast2.run.app/ptn_sn.php?ptn=474</x:v>
      </x:c>
    </x:row>
    <x:row r="3359">
      <x:c r="A3359" s="87" t="n">
        <x:v>3020</x:v>
      </x:c>
      <x:c r="B3359" s="66" t="n">
        <x:v>474</x:v>
      </x:c>
      <x:c r="C3359" s="66" t="str">
        <x:v>POLITEKNIK NEGERI MALANG</x:v>
      </x:c>
      <x:c r="D3359" s="66" t="str">
        <x:v>PTN Vokasi</x:v>
      </x:c>
      <x:c r="E3359" s="66" t="str">
        <x:v>24743023</x:v>
      </x:c>
      <x:c r="F3359" s="66" t="str">
        <x:v>TEKNIK KIMIA</x:v>
      </x:c>
      <x:c r="G3359" s="66" t="str">
        <x:v>Diploma Tiga</x:v>
      </x:c>
      <x:c r="H3359" s="87" t="n">
        <x:v>43</x:v>
      </x:c>
      <x:c r="I3359" s="87" t="n">
        <x:v>144</x:v>
      </x:c>
      <x:c r="J3359" s="68" t="n">
        <x:f>IFERROR(H3359/I3359,"")</x:f>
        <x:v>0.2986111111111111</x:v>
      </x:c>
      <x:c r="K3359" s="69" t="n">
        <x:f>IFERROR(I3359/H3359,"")</x:f>
        <x:v>3.3488372093023258</x:v>
      </x:c>
      <x:c r="L3359" s="66" t="str">
        <x:f>IF(K3359="","","1 : "&amp;TEXT(K3359,"0.0"))</x:f>
        <x:v>1 : 3.3</x:v>
      </x:c>
      <x:c r="M3359" s="66" t="str">
        <x:f>IF(J3359="","Baru/Tanpa Data",IF(J3359&lt;='Catatan &amp; Sumber'!$B$14,"Sangat Ketat",IF(J3359&lt;='Catatan &amp; Sumber'!$B$15,"Ketat",IF(J3359&lt;='Catatan &amp; Sumber'!$B$16,"Sedang","Relatif Longgar"))))</x:f>
        <x:v>Relatif Longgar</x:v>
      </x:c>
      <x:c r="N3359" s="66" t="str">
        <x:v>Tidak Ada</x:v>
      </x:c>
      <x:c r="O3359" s="66" t="str">
        <x:v>Jawa Timur</x:v>
      </x:c>
      <x:c r="P3359" s="66" t="str">
        <x:v>Kota Malang</x:v>
      </x:c>
      <x:c r="Q3359" s="66" t="str">
        <x:v>https://snpmb.id/snbp/daya-tampung-snbp</x:v>
      </x:c>
      <x:c r="R3359" s="66" t="str">
        <x:v>https://sidatagrun-public-1076756628210.asia-southeast2.run.app/ptn_sn.php?ptn=474</x:v>
      </x:c>
    </x:row>
    <x:row r="3360">
      <x:c r="A3360" s="87" t="n">
        <x:v>3654</x:v>
      </x:c>
      <x:c r="B3360" s="66" t="n">
        <x:v>474</x:v>
      </x:c>
      <x:c r="C3360" s="66" t="str">
        <x:v>POLITEKNIK NEGERI MALANG</x:v>
      </x:c>
      <x:c r="D3360" s="66" t="str">
        <x:v>PTN Vokasi</x:v>
      </x:c>
      <x:c r="E3360" s="66" t="str">
        <x:v>24743024</x:v>
      </x:c>
      <x:c r="F3360" s="66" t="str">
        <x:v>TEKNOLOGI KONSTRUKSI JALAN, JEMBATAN, DAN BANGUNAN AIR</x:v>
      </x:c>
      <x:c r="G3360" s="66" t="str">
        <x:v>Diploma Tiga</x:v>
      </x:c>
      <x:c r="H3360" s="87" t="n">
        <x:v>29</x:v>
      </x:c>
      <x:c r="I3360" s="87" t="n">
        <x:v>58</x:v>
      </x:c>
      <x:c r="J3360" s="68" t="n">
        <x:f>IFERROR(H3360/I3360,"")</x:f>
        <x:v>0.5</x:v>
      </x:c>
      <x:c r="K3360" s="69" t="n">
        <x:f>IFERROR(I3360/H3360,"")</x:f>
        <x:v>2</x:v>
      </x:c>
      <x:c r="L3360" s="66" t="str">
        <x:f>IF(K3360="","","1 : "&amp;TEXT(K3360,"0.0"))</x:f>
        <x:v>1 : 2.0</x:v>
      </x:c>
      <x:c r="M3360" s="66" t="str">
        <x:f>IF(J3360="","Baru/Tanpa Data",IF(J3360&lt;='Catatan &amp; Sumber'!$B$14,"Sangat Ketat",IF(J3360&lt;='Catatan &amp; Sumber'!$B$15,"Ketat",IF(J3360&lt;='Catatan &amp; Sumber'!$B$16,"Sedang","Relatif Longgar"))))</x:f>
        <x:v>Relatif Longgar</x:v>
      </x:c>
      <x:c r="N3360" s="66" t="str">
        <x:v>Tidak Ada</x:v>
      </x:c>
      <x:c r="O3360" s="66" t="str">
        <x:v>Jawa Timur</x:v>
      </x:c>
      <x:c r="P3360" s="66" t="str">
        <x:v>Kota Malang</x:v>
      </x:c>
      <x:c r="Q3360" s="66" t="str">
        <x:v>https://snpmb.id/snbp/daya-tampung-snbp</x:v>
      </x:c>
      <x:c r="R3360" s="66" t="str">
        <x:v>https://sidatagrun-public-1076756628210.asia-southeast2.run.app/ptn_sn.php?ptn=474</x:v>
      </x:c>
    </x:row>
    <x:row r="3361">
      <x:c r="A3361" s="87" t="n">
        <x:v>4073</x:v>
      </x:c>
      <x:c r="B3361" s="66" t="n">
        <x:v>474</x:v>
      </x:c>
      <x:c r="C3361" s="66" t="str">
        <x:v>POLITEKNIK NEGERI MALANG</x:v>
      </x:c>
      <x:c r="D3361" s="66" t="str">
        <x:v>PTN Vokasi</x:v>
      </x:c>
      <x:c r="E3361" s="66" t="str">
        <x:v>24743025</x:v>
      </x:c>
      <x:c r="F3361" s="66" t="str">
        <x:v>TEKNOLOGI SIPIL (KAMPUS KAB LUMAJANG)</x:v>
      </x:c>
      <x:c r="G3361" s="66" t="str">
        <x:v>Diploma Tiga</x:v>
      </x:c>
      <x:c r="H3361" s="87" t="n">
        <x:v>31</x:v>
      </x:c>
      <x:c r="I3361" s="87" t="n">
        <x:v>42</x:v>
      </x:c>
      <x:c r="J3361" s="68" t="n">
        <x:f>IFERROR(H3361/I3361,"")</x:f>
        <x:v>0.7380952380952381</x:v>
      </x:c>
      <x:c r="K3361" s="69" t="n">
        <x:f>IFERROR(I3361/H3361,"")</x:f>
        <x:v>1.3548387096774193</x:v>
      </x:c>
      <x:c r="L3361" s="66" t="str">
        <x:f>IF(K3361="","","1 : "&amp;TEXT(K3361,"0.0"))</x:f>
        <x:v>1 : 1.4</x:v>
      </x:c>
      <x:c r="M3361" s="66" t="str">
        <x:f>IF(J3361="","Baru/Tanpa Data",IF(J3361&lt;='Catatan &amp; Sumber'!$B$14,"Sangat Ketat",IF(J3361&lt;='Catatan &amp; Sumber'!$B$15,"Ketat",IF(J3361&lt;='Catatan &amp; Sumber'!$B$16,"Sedang","Relatif Longgar"))))</x:f>
        <x:v>Relatif Longgar</x:v>
      </x:c>
      <x:c r="N3361" s="66" t="str">
        <x:v>Tidak Ada</x:v>
      </x:c>
      <x:c r="O3361" s="66" t="str">
        <x:v>Jawa Timur</x:v>
      </x:c>
      <x:c r="P3361" s="66" t="str">
        <x:v>Kota Malang</x:v>
      </x:c>
      <x:c r="Q3361" s="66" t="str">
        <x:v>https://snpmb.id/snbp/daya-tampung-snbp</x:v>
      </x:c>
      <x:c r="R3361" s="66" t="str">
        <x:v>https://sidatagrun-public-1076756628210.asia-southeast2.run.app/ptn_sn.php?ptn=474</x:v>
      </x:c>
    </x:row>
    <x:row r="3362">
      <x:c r="A3362" s="87" t="n">
        <x:v>3909</x:v>
      </x:c>
      <x:c r="B3362" s="66" t="n">
        <x:v>474</x:v>
      </x:c>
      <x:c r="C3362" s="66" t="str">
        <x:v>POLITEKNIK NEGERI MALANG</x:v>
      </x:c>
      <x:c r="D3362" s="66" t="str">
        <x:v>PTN Vokasi</x:v>
      </x:c>
      <x:c r="E3362" s="66" t="str">
        <x:v>24743026</x:v>
      </x:c>
      <x:c r="F3362" s="66" t="str">
        <x:v>TEKNOLOGI INFORMASI (KAMPUS KAB LUMAJANG)</x:v>
      </x:c>
      <x:c r="G3362" s="66" t="str">
        <x:v>Diploma Tiga</x:v>
      </x:c>
      <x:c r="H3362" s="87" t="n">
        <x:v>36</x:v>
      </x:c>
      <x:c r="I3362" s="87" t="n">
        <x:v>57</x:v>
      </x:c>
      <x:c r="J3362" s="68" t="n">
        <x:f>IFERROR(H3362/I3362,"")</x:f>
        <x:v>0.631578947368421</x:v>
      </x:c>
      <x:c r="K3362" s="69" t="n">
        <x:f>IFERROR(I3362/H3362,"")</x:f>
        <x:v>1.5833333333333333</x:v>
      </x:c>
      <x:c r="L3362" s="66" t="str">
        <x:f>IF(K3362="","","1 : "&amp;TEXT(K3362,"0.0"))</x:f>
        <x:v>1 : 1.6</x:v>
      </x:c>
      <x:c r="M3362" s="66" t="str">
        <x:f>IF(J3362="","Baru/Tanpa Data",IF(J3362&lt;='Catatan &amp; Sumber'!$B$14,"Sangat Ketat",IF(J3362&lt;='Catatan &amp; Sumber'!$B$15,"Ketat",IF(J3362&lt;='Catatan &amp; Sumber'!$B$16,"Sedang","Relatif Longgar"))))</x:f>
        <x:v>Relatif Longgar</x:v>
      </x:c>
      <x:c r="N3362" s="66" t="str">
        <x:v>Tidak Ada</x:v>
      </x:c>
      <x:c r="O3362" s="66" t="str">
        <x:v>Jawa Timur</x:v>
      </x:c>
      <x:c r="P3362" s="66" t="str">
        <x:v>Kota Malang</x:v>
      </x:c>
      <x:c r="Q3362" s="66" t="str">
        <x:v>https://snpmb.id/snbp/daya-tampung-snbp</x:v>
      </x:c>
      <x:c r="R3362" s="66" t="str">
        <x:v>https://sidatagrun-public-1076756628210.asia-southeast2.run.app/ptn_sn.php?ptn=474</x:v>
      </x:c>
    </x:row>
    <x:row r="3363">
      <x:c r="A3363" s="87" t="n">
        <x:v>2915</x:v>
      </x:c>
      <x:c r="B3363" s="66" t="n">
        <x:v>474</x:v>
      </x:c>
      <x:c r="C3363" s="66" t="str">
        <x:v>POLITEKNIK NEGERI MALANG</x:v>
      </x:c>
      <x:c r="D3363" s="66" t="str">
        <x:v>PTN Vokasi</x:v>
      </x:c>
      <x:c r="E3363" s="66" t="str">
        <x:v>24743027</x:v>
      </x:c>
      <x:c r="F3363" s="66" t="str">
        <x:v>TEKNIK LISTRIK</x:v>
      </x:c>
      <x:c r="G3363" s="66" t="str">
        <x:v>Diploma Tiga</x:v>
      </x:c>
      <x:c r="H3363" s="87" t="n">
        <x:v>31</x:v>
      </x:c>
      <x:c r="I3363" s="87" t="n">
        <x:v>112</x:v>
      </x:c>
      <x:c r="J3363" s="68" t="n">
        <x:f>IFERROR(H3363/I3363,"")</x:f>
        <x:v>0.2767857142857143</x:v>
      </x:c>
      <x:c r="K3363" s="69" t="n">
        <x:f>IFERROR(I3363/H3363,"")</x:f>
        <x:v>3.6129032258064515</x:v>
      </x:c>
      <x:c r="L3363" s="66" t="str">
        <x:f>IF(K3363="","","1 : "&amp;TEXT(K3363,"0.0"))</x:f>
        <x:v>1 : 3.6</x:v>
      </x:c>
      <x:c r="M3363" s="66" t="str">
        <x:f>IF(J3363="","Baru/Tanpa Data",IF(J3363&lt;='Catatan &amp; Sumber'!$B$14,"Sangat Ketat",IF(J3363&lt;='Catatan &amp; Sumber'!$B$15,"Ketat",IF(J3363&lt;='Catatan &amp; Sumber'!$B$16,"Sedang","Relatif Longgar"))))</x:f>
        <x:v>Relatif Longgar</x:v>
      </x:c>
      <x:c r="N3363" s="66" t="str">
        <x:v>Tidak Ada</x:v>
      </x:c>
      <x:c r="O3363" s="66" t="str">
        <x:v>Jawa Timur</x:v>
      </x:c>
      <x:c r="P3363" s="66" t="str">
        <x:v>Kota Malang</x:v>
      </x:c>
      <x:c r="Q3363" s="66" t="str">
        <x:v>https://snpmb.id/snbp/daya-tampung-snbp</x:v>
      </x:c>
      <x:c r="R3363" s="66" t="str">
        <x:v>https://sidatagrun-public-1076756628210.asia-southeast2.run.app/ptn_sn.php?ptn=474</x:v>
      </x:c>
    </x:row>
    <x:row r="3364">
      <x:c r="A3364" s="87" t="n">
        <x:v>2966</x:v>
      </x:c>
      <x:c r="B3364" s="66" t="n">
        <x:v>474</x:v>
      </x:c>
      <x:c r="C3364" s="66" t="str">
        <x:v>POLITEKNIK NEGERI MALANG</x:v>
      </x:c>
      <x:c r="D3364" s="66" t="str">
        <x:v>PTN Vokasi</x:v>
      </x:c>
      <x:c r="E3364" s="66" t="str">
        <x:v>24743028</x:v>
      </x:c>
      <x:c r="F3364" s="66" t="str">
        <x:v>AKUNTANSI, KAMPUS KEDIRI</x:v>
      </x:c>
      <x:c r="G3364" s="66" t="str">
        <x:v>Diploma Tiga</x:v>
      </x:c>
      <x:c r="H3364" s="87" t="n">
        <x:v>60</x:v>
      </x:c>
      <x:c r="I3364" s="87" t="n">
        <x:v>209</x:v>
      </x:c>
      <x:c r="J3364" s="68" t="n">
        <x:f>IFERROR(H3364/I3364,"")</x:f>
        <x:v>0.28708133971291866</x:v>
      </x:c>
      <x:c r="K3364" s="69" t="n">
        <x:f>IFERROR(I3364/H3364,"")</x:f>
        <x:v>3.4833333333333334</x:v>
      </x:c>
      <x:c r="L3364" s="66" t="str">
        <x:f>IF(K3364="","","1 : "&amp;TEXT(K3364,"0.0"))</x:f>
        <x:v>1 : 3.5</x:v>
      </x:c>
      <x:c r="M3364" s="66" t="str">
        <x:f>IF(J3364="","Baru/Tanpa Data",IF(J3364&lt;='Catatan &amp; Sumber'!$B$14,"Sangat Ketat",IF(J3364&lt;='Catatan &amp; Sumber'!$B$15,"Ketat",IF(J3364&lt;='Catatan &amp; Sumber'!$B$16,"Sedang","Relatif Longgar"))))</x:f>
        <x:v>Relatif Longgar</x:v>
      </x:c>
      <x:c r="N3364" s="66" t="str">
        <x:v>Tidak Ada</x:v>
      </x:c>
      <x:c r="O3364" s="66" t="str">
        <x:v>Jawa Timur</x:v>
      </x:c>
      <x:c r="P3364" s="66" t="str">
        <x:v>Kota Malang</x:v>
      </x:c>
      <x:c r="Q3364" s="66" t="str">
        <x:v>https://snpmb.id/snbp/daya-tampung-snbp</x:v>
      </x:c>
      <x:c r="R3364" s="66" t="str">
        <x:v>https://sidatagrun-public-1076756628210.asia-southeast2.run.app/ptn_sn.php?ptn=474</x:v>
      </x:c>
    </x:row>
    <x:row r="3365">
      <x:c r="A3365" s="87" t="n">
        <x:v>3520</x:v>
      </x:c>
      <x:c r="B3365" s="66" t="n">
        <x:v>474</x:v>
      </x:c>
      <x:c r="C3365" s="66" t="str">
        <x:v>POLITEKNIK NEGERI MALANG</x:v>
      </x:c>
      <x:c r="D3365" s="66" t="str">
        <x:v>PTN Vokasi</x:v>
      </x:c>
      <x:c r="E3365" s="66" t="str">
        <x:v>24743029</x:v>
      </x:c>
      <x:c r="F3365" s="66" t="str">
        <x:v>TEKNIK MESIN, KAMPUS KEDIRI</x:v>
      </x:c>
      <x:c r="G3365" s="66" t="str">
        <x:v>Diploma Tiga</x:v>
      </x:c>
      <x:c r="H3365" s="87" t="n">
        <x:v>52</x:v>
      </x:c>
      <x:c r="I3365" s="87" t="n">
        <x:v>118</x:v>
      </x:c>
      <x:c r="J3365" s="68" t="n">
        <x:f>IFERROR(H3365/I3365,"")</x:f>
        <x:v>0.4406779661016949</x:v>
      </x:c>
      <x:c r="K3365" s="69" t="n">
        <x:f>IFERROR(I3365/H3365,"")</x:f>
        <x:v>2.269230769230769</x:v>
      </x:c>
      <x:c r="L3365" s="66" t="str">
        <x:f>IF(K3365="","","1 : "&amp;TEXT(K3365,"0.0"))</x:f>
        <x:v>1 : 2.3</x:v>
      </x:c>
      <x:c r="M3365" s="66" t="str">
        <x:f>IF(J3365="","Baru/Tanpa Data",IF(J3365&lt;='Catatan &amp; Sumber'!$B$14,"Sangat Ketat",IF(J3365&lt;='Catatan &amp; Sumber'!$B$15,"Ketat",IF(J3365&lt;='Catatan &amp; Sumber'!$B$16,"Sedang","Relatif Longgar"))))</x:f>
        <x:v>Relatif Longgar</x:v>
      </x:c>
      <x:c r="N3365" s="66" t="str">
        <x:v>Tidak Ada</x:v>
      </x:c>
      <x:c r="O3365" s="66" t="str">
        <x:v>Jawa Timur</x:v>
      </x:c>
      <x:c r="P3365" s="66" t="str">
        <x:v>Kota Malang</x:v>
      </x:c>
      <x:c r="Q3365" s="66" t="str">
        <x:v>https://snpmb.id/snbp/daya-tampung-snbp</x:v>
      </x:c>
      <x:c r="R3365" s="66" t="str">
        <x:v>https://sidatagrun-public-1076756628210.asia-southeast2.run.app/ptn_sn.php?ptn=474</x:v>
      </x:c>
    </x:row>
    <x:row r="3366">
      <x:c r="A3366" s="87" t="n">
        <x:v>4250</x:v>
      </x:c>
      <x:c r="B3366" s="66" t="n">
        <x:v>474</x:v>
      </x:c>
      <x:c r="C3366" s="66" t="str">
        <x:v>POLITEKNIK NEGERI MALANG</x:v>
      </x:c>
      <x:c r="D3366" s="66" t="str">
        <x:v>PTN Vokasi</x:v>
      </x:c>
      <x:c r="E3366" s="66" t="str">
        <x:v>24743030</x:v>
      </x:c>
      <x:c r="F3366" s="66" t="str">
        <x:v>MANAJEMEN INFORMATIKA (KAMPUS KAB PAMEKASAN)</x:v>
      </x:c>
      <x:c r="G3366" s="66" t="str">
        <x:v>Diploma Tiga</x:v>
      </x:c>
      <x:c r="H3366" s="87" t="n">
        <x:v>10</x:v>
      </x:c>
      <x:c r="I3366" s="87" t="n">
        <x:v>11</x:v>
      </x:c>
      <x:c r="J3366" s="68" t="n">
        <x:f>IFERROR(H3366/I3366,"")</x:f>
        <x:v>0.9090909090909091</x:v>
      </x:c>
      <x:c r="K3366" s="69" t="n">
        <x:f>IFERROR(I3366/H3366,"")</x:f>
        <x:v>1.1</x:v>
      </x:c>
      <x:c r="L3366" s="66" t="str">
        <x:f>IF(K3366="","","1 : "&amp;TEXT(K3366,"0.0"))</x:f>
        <x:v>1 : 1.1</x:v>
      </x:c>
      <x:c r="M3366" s="66" t="str">
        <x:f>IF(J3366="","Baru/Tanpa Data",IF(J3366&lt;='Catatan &amp; Sumber'!$B$14,"Sangat Ketat",IF(J3366&lt;='Catatan &amp; Sumber'!$B$15,"Ketat",IF(J3366&lt;='Catatan &amp; Sumber'!$B$16,"Sedang","Relatif Longgar"))))</x:f>
        <x:v>Relatif Longgar</x:v>
      </x:c>
      <x:c r="N3366" s="66" t="str">
        <x:v>Tidak Ada</x:v>
      </x:c>
      <x:c r="O3366" s="66" t="str">
        <x:v>Jawa Timur</x:v>
      </x:c>
      <x:c r="P3366" s="66" t="str">
        <x:v>Kota Malang</x:v>
      </x:c>
      <x:c r="Q3366" s="66" t="str">
        <x:v>https://snpmb.id/snbp/daya-tampung-snbp</x:v>
      </x:c>
      <x:c r="R3366" s="66" t="str">
        <x:v>https://sidatagrun-public-1076756628210.asia-southeast2.run.app/ptn_sn.php?ptn=474</x:v>
      </x:c>
    </x:row>
    <x:row r="3367">
      <x:c r="A3367" s="87" t="n">
        <x:v>4085</x:v>
      </x:c>
      <x:c r="B3367" s="66" t="n">
        <x:v>474</x:v>
      </x:c>
      <x:c r="C3367" s="66" t="str">
        <x:v>POLITEKNIK NEGERI MALANG</x:v>
      </x:c>
      <x:c r="D3367" s="66" t="str">
        <x:v>PTN Vokasi</x:v>
      </x:c>
      <x:c r="E3367" s="66" t="str">
        <x:v>24743031</x:v>
      </x:c>
      <x:c r="F3367" s="66" t="str">
        <x:v>AKUNTANSI (KAMPUS KAB LUMAJANG)</x:v>
      </x:c>
      <x:c r="G3367" s="66" t="str">
        <x:v>Diploma Tiga</x:v>
      </x:c>
      <x:c r="H3367" s="87" t="n">
        <x:v>36</x:v>
      </x:c>
      <x:c r="I3367" s="87" t="n">
        <x:v>48</x:v>
      </x:c>
      <x:c r="J3367" s="68" t="n">
        <x:f>IFERROR(H3367/I3367,"")</x:f>
        <x:v>0.75</x:v>
      </x:c>
      <x:c r="K3367" s="69" t="n">
        <x:f>IFERROR(I3367/H3367,"")</x:f>
        <x:v>1.3333333333333333</x:v>
      </x:c>
      <x:c r="L3367" s="66" t="str">
        <x:f>IF(K3367="","","1 : "&amp;TEXT(K3367,"0.0"))</x:f>
        <x:v>1 : 1.3</x:v>
      </x:c>
      <x:c r="M3367" s="66" t="str">
        <x:f>IF(J3367="","Baru/Tanpa Data",IF(J3367&lt;='Catatan &amp; Sumber'!$B$14,"Sangat Ketat",IF(J3367&lt;='Catatan &amp; Sumber'!$B$15,"Ketat",IF(J3367&lt;='Catatan &amp; Sumber'!$B$16,"Sedang","Relatif Longgar"))))</x:f>
        <x:v>Relatif Longgar</x:v>
      </x:c>
      <x:c r="N3367" s="66" t="str">
        <x:v>Tidak Ada</x:v>
      </x:c>
      <x:c r="O3367" s="66" t="str">
        <x:v>Jawa Timur</x:v>
      </x:c>
      <x:c r="P3367" s="66" t="str">
        <x:v>Kota Malang</x:v>
      </x:c>
      <x:c r="Q3367" s="66" t="str">
        <x:v>https://snpmb.id/snbp/daya-tampung-snbp</x:v>
      </x:c>
      <x:c r="R3367" s="66" t="str">
        <x:v>https://sidatagrun-public-1076756628210.asia-southeast2.run.app/ptn_sn.php?ptn=474</x:v>
      </x:c>
    </x:row>
    <x:row r="3368">
      <x:c r="A3368" s="87" t="n">
        <x:v>2640</x:v>
      </x:c>
      <x:c r="B3368" s="66" t="n">
        <x:v>474</x:v>
      </x:c>
      <x:c r="C3368" s="66" t="str">
        <x:v>POLITEKNIK NEGERI MALANG</x:v>
      </x:c>
      <x:c r="D3368" s="66" t="str">
        <x:v>PTN Vokasi</x:v>
      </x:c>
      <x:c r="E3368" s="66" t="str">
        <x:v>24743032</x:v>
      </x:c>
      <x:c r="F3368" s="66" t="str">
        <x:v>ADMINISTRASI BISNIS</x:v>
      </x:c>
      <x:c r="G3368" s="66" t="str">
        <x:v>Diploma Tiga</x:v>
      </x:c>
      <x:c r="H3368" s="87" t="n">
        <x:v>58</x:v>
      </x:c>
      <x:c r="I3368" s="87" t="n">
        <x:v>248</x:v>
      </x:c>
      <x:c r="J3368" s="68" t="n">
        <x:f>IFERROR(H3368/I3368,"")</x:f>
        <x:v>0.23387096774193547</x:v>
      </x:c>
      <x:c r="K3368" s="69" t="n">
        <x:f>IFERROR(I3368/H3368,"")</x:f>
        <x:v>4.275862068965517</x:v>
      </x:c>
      <x:c r="L3368" s="66" t="str">
        <x:f>IF(K3368="","","1 : "&amp;TEXT(K3368,"0.0"))</x:f>
        <x:v>1 : 4.3</x:v>
      </x:c>
      <x:c r="M3368" s="66" t="str">
        <x:f>IF(J3368="","Baru/Tanpa Data",IF(J3368&lt;='Catatan &amp; Sumber'!$B$14,"Sangat Ketat",IF(J3368&lt;='Catatan &amp; Sumber'!$B$15,"Ketat",IF(J3368&lt;='Catatan &amp; Sumber'!$B$16,"Sedang","Relatif Longgar"))))</x:f>
        <x:v>Relatif Longgar</x:v>
      </x:c>
      <x:c r="N3368" s="66" t="str">
        <x:v>Tidak Ada</x:v>
      </x:c>
      <x:c r="O3368" s="66" t="str">
        <x:v>Jawa Timur</x:v>
      </x:c>
      <x:c r="P3368" s="66" t="str">
        <x:v>Kota Malang</x:v>
      </x:c>
      <x:c r="Q3368" s="66" t="str">
        <x:v>https://snpmb.id/snbp/daya-tampung-snbp</x:v>
      </x:c>
      <x:c r="R3368" s="66" t="str">
        <x:v>https://sidatagrun-public-1076756628210.asia-southeast2.run.app/ptn_sn.php?ptn=474</x:v>
      </x:c>
    </x:row>
    <x:row r="3369">
      <x:c r="A3369" s="87" t="n">
        <x:v>3075</x:v>
      </x:c>
      <x:c r="B3369" s="66" t="n">
        <x:v>474</x:v>
      </x:c>
      <x:c r="C3369" s="66" t="str">
        <x:v>POLITEKNIK NEGERI MALANG</x:v>
      </x:c>
      <x:c r="D3369" s="66" t="str">
        <x:v>PTN Vokasi</x:v>
      </x:c>
      <x:c r="E3369" s="66" t="str">
        <x:v>24743033</x:v>
      </x:c>
      <x:c r="F3369" s="66" t="str">
        <x:v>AKUNTANSI</x:v>
      </x:c>
      <x:c r="G3369" s="66" t="str">
        <x:v>Diploma Tiga</x:v>
      </x:c>
      <x:c r="H3369" s="87" t="n">
        <x:v>48</x:v>
      </x:c>
      <x:c r="I3369" s="87" t="n">
        <x:v>155</x:v>
      </x:c>
      <x:c r="J3369" s="68" t="n">
        <x:f>IFERROR(H3369/I3369,"")</x:f>
        <x:v>0.3096774193548387</x:v>
      </x:c>
      <x:c r="K3369" s="69" t="n">
        <x:f>IFERROR(I3369/H3369,"")</x:f>
        <x:v>3.2291666666666665</x:v>
      </x:c>
      <x:c r="L3369" s="66" t="str">
        <x:f>IF(K3369="","","1 : "&amp;TEXT(K3369,"0.0"))</x:f>
        <x:v>1 : 3.2</x:v>
      </x:c>
      <x:c r="M3369" s="66" t="str">
        <x:f>IF(J3369="","Baru/Tanpa Data",IF(J3369&lt;='Catatan &amp; Sumber'!$B$14,"Sangat Ketat",IF(J3369&lt;='Catatan &amp; Sumber'!$B$15,"Ketat",IF(J3369&lt;='Catatan &amp; Sumber'!$B$16,"Sedang","Relatif Longgar"))))</x:f>
        <x:v>Relatif Longgar</x:v>
      </x:c>
      <x:c r="N3369" s="66" t="str">
        <x:v>Tidak Ada</x:v>
      </x:c>
      <x:c r="O3369" s="66" t="str">
        <x:v>Jawa Timur</x:v>
      </x:c>
      <x:c r="P3369" s="66" t="str">
        <x:v>Kota Malang</x:v>
      </x:c>
      <x:c r="Q3369" s="66" t="str">
        <x:v>https://snpmb.id/snbp/daya-tampung-snbp</x:v>
      </x:c>
      <x:c r="R3369" s="66" t="str">
        <x:v>https://sidatagrun-public-1076756628210.asia-southeast2.run.app/ptn_sn.php?ptn=474</x:v>
      </x:c>
    </x:row>
    <x:row r="3370">
      <x:c r="A3370" s="87" t="n">
        <x:v>3175</x:v>
      </x:c>
      <x:c r="B3370" s="66" t="n">
        <x:v>474</x:v>
      </x:c>
      <x:c r="C3370" s="66" t="str">
        <x:v>POLITEKNIK NEGERI MALANG</x:v>
      </x:c>
      <x:c r="D3370" s="66" t="str">
        <x:v>PTN Vokasi</x:v>
      </x:c>
      <x:c r="E3370" s="66" t="str">
        <x:v>24743034</x:v>
      </x:c>
      <x:c r="F3370" s="66" t="str">
        <x:v>MANAJEMEN INFORMATIKA, KAMPUS KEDIRI</x:v>
      </x:c>
      <x:c r="G3370" s="66" t="str">
        <x:v>Diploma Tiga</x:v>
      </x:c>
      <x:c r="H3370" s="87" t="n">
        <x:v>60</x:v>
      </x:c>
      <x:c r="I3370" s="87" t="n">
        <x:v>179</x:v>
      </x:c>
      <x:c r="J3370" s="68" t="n">
        <x:f>IFERROR(H3370/I3370,"")</x:f>
        <x:v>0.33519553072625696</x:v>
      </x:c>
      <x:c r="K3370" s="69" t="n">
        <x:f>IFERROR(I3370/H3370,"")</x:f>
        <x:v>2.9833333333333334</x:v>
      </x:c>
      <x:c r="L3370" s="66" t="str">
        <x:f>IF(K3370="","","1 : "&amp;TEXT(K3370,"0.0"))</x:f>
        <x:v>1 : 3.0</x:v>
      </x:c>
      <x:c r="M3370" s="66" t="str">
        <x:f>IF(J3370="","Baru/Tanpa Data",IF(J3370&lt;='Catatan &amp; Sumber'!$B$14,"Sangat Ketat",IF(J3370&lt;='Catatan &amp; Sumber'!$B$15,"Ketat",IF(J3370&lt;='Catatan &amp; Sumber'!$B$16,"Sedang","Relatif Longgar"))))</x:f>
        <x:v>Relatif Longgar</x:v>
      </x:c>
      <x:c r="N3370" s="66" t="str">
        <x:v>Tidak Ada</x:v>
      </x:c>
      <x:c r="O3370" s="66" t="str">
        <x:v>Jawa Timur</x:v>
      </x:c>
      <x:c r="P3370" s="66" t="str">
        <x:v>Kota Malang</x:v>
      </x:c>
      <x:c r="Q3370" s="66" t="str">
        <x:v>https://snpmb.id/snbp/daya-tampung-snbp</x:v>
      </x:c>
      <x:c r="R3370" s="66" t="str">
        <x:v>https://sidatagrun-public-1076756628210.asia-southeast2.run.app/ptn_sn.php?ptn=474</x:v>
      </x:c>
    </x:row>
    <x:row r="3371">
      <x:c r="A3371" s="87" t="n">
        <x:v>2212</x:v>
      </x:c>
      <x:c r="B3371" s="66" t="n">
        <x:v>474</x:v>
      </x:c>
      <x:c r="C3371" s="66" t="str">
        <x:v>POLITEKNIK NEGERI MALANG</x:v>
      </x:c>
      <x:c r="D3371" s="66" t="str">
        <x:v>PTN Vokasi</x:v>
      </x:c>
      <x:c r="E3371" s="66" t="str">
        <x:v>24743036</x:v>
      </x:c>
      <x:c r="F3371" s="66" t="str">
        <x:v>TEKNIK MESIN</x:v>
      </x:c>
      <x:c r="G3371" s="66" t="str">
        <x:v>Diploma Tiga</x:v>
      </x:c>
      <x:c r="H3371" s="87" t="n">
        <x:v>67</x:v>
      </x:c>
      <x:c r="I3371" s="87" t="n">
        <x:v>386</x:v>
      </x:c>
      <x:c r="J3371" s="68" t="n">
        <x:f>IFERROR(H3371/I3371,"")</x:f>
        <x:v>0.17357512953367876</x:v>
      </x:c>
      <x:c r="K3371" s="69" t="n">
        <x:f>IFERROR(I3371/H3371,"")</x:f>
        <x:v>5.7611940298507465</x:v>
      </x:c>
      <x:c r="L3371" s="66" t="str">
        <x:f>IF(K3371="","","1 : "&amp;TEXT(K3371,"0.0"))</x:f>
        <x:v>1 : 5.8</x:v>
      </x:c>
      <x:c r="M3371" s="66" t="str">
        <x:f>IF(J3371="","Baru/Tanpa Data",IF(J3371&lt;='Catatan &amp; Sumber'!$B$14,"Sangat Ketat",IF(J3371&lt;='Catatan &amp; Sumber'!$B$15,"Ketat",IF(J3371&lt;='Catatan &amp; Sumber'!$B$16,"Sedang","Relatif Longgar"))))</x:f>
        <x:v>Relatif Longgar</x:v>
      </x:c>
      <x:c r="N3371" s="66" t="str">
        <x:v>Tidak Ada</x:v>
      </x:c>
      <x:c r="O3371" s="66" t="str">
        <x:v>Jawa Timur</x:v>
      </x:c>
      <x:c r="P3371" s="66" t="str">
        <x:v>Kota Malang</x:v>
      </x:c>
      <x:c r="Q3371" s="66" t="str">
        <x:v>https://snpmb.id/snbp/daya-tampung-snbp</x:v>
      </x:c>
      <x:c r="R3371" s="66" t="str">
        <x:v>https://sidatagrun-public-1076756628210.asia-southeast2.run.app/ptn_sn.php?ptn=474</x:v>
      </x:c>
    </x:row>
    <x:row r="3372">
      <x:c r="A3372" s="87" t="n">
        <x:v>1833</x:v>
      </x:c>
      <x:c r="B3372" s="66" t="n">
        <x:v>474</x:v>
      </x:c>
      <x:c r="C3372" s="66" t="str">
        <x:v>POLITEKNIK NEGERI MALANG</x:v>
      </x:c>
      <x:c r="D3372" s="66" t="str">
        <x:v>PTN Vokasi</x:v>
      </x:c>
      <x:c r="E3372" s="66" t="str">
        <x:v>24743037</x:v>
      </x:c>
      <x:c r="F3372" s="66" t="str">
        <x:v>TEKNIK SIPIL</x:v>
      </x:c>
      <x:c r="G3372" s="66" t="str">
        <x:v>Diploma Tiga</x:v>
      </x:c>
      <x:c r="H3372" s="87" t="n">
        <x:v>30</x:v>
      </x:c>
      <x:c r="I3372" s="87" t="n">
        <x:v>222</x:v>
      </x:c>
      <x:c r="J3372" s="68" t="n">
        <x:f>IFERROR(H3372/I3372,"")</x:f>
        <x:v>0.13513513513513514</x:v>
      </x:c>
      <x:c r="K3372" s="69" t="n">
        <x:f>IFERROR(I3372/H3372,"")</x:f>
        <x:v>7.4</x:v>
      </x:c>
      <x:c r="L3372" s="66" t="str">
        <x:f>IF(K3372="","","1 : "&amp;TEXT(K3372,"0.0"))</x:f>
        <x:v>1 : 7.4</x:v>
      </x:c>
      <x:c r="M3372" s="66" t="str">
        <x:f>IF(J3372="","Baru/Tanpa Data",IF(J3372&lt;='Catatan &amp; Sumber'!$B$14,"Sangat Ketat",IF(J3372&lt;='Catatan &amp; Sumber'!$B$15,"Ketat",IF(J3372&lt;='Catatan &amp; Sumber'!$B$16,"Sedang","Relatif Longgar"))))</x:f>
        <x:v>Relatif Longgar</x:v>
      </x:c>
      <x:c r="N3372" s="66" t="str">
        <x:v>Tidak Ada</x:v>
      </x:c>
      <x:c r="O3372" s="66" t="str">
        <x:v>Jawa Timur</x:v>
      </x:c>
      <x:c r="P3372" s="66" t="str">
        <x:v>Kota Malang</x:v>
      </x:c>
      <x:c r="Q3372" s="66" t="str">
        <x:v>https://snpmb.id/snbp/daya-tampung-snbp</x:v>
      </x:c>
      <x:c r="R3372" s="66" t="str">
        <x:v>https://sidatagrun-public-1076756628210.asia-southeast2.run.app/ptn_sn.php?ptn=474</x:v>
      </x:c>
    </x:row>
    <x:row r="3373">
      <x:c r="A3373" s="87" t="n">
        <x:v>3621</x:v>
      </x:c>
      <x:c r="B3373" s="66" t="n">
        <x:v>474</x:v>
      </x:c>
      <x:c r="C3373" s="66" t="str">
        <x:v>POLITEKNIK NEGERI MALANG</x:v>
      </x:c>
      <x:c r="D3373" s="66" t="str">
        <x:v>PTN Vokasi</x:v>
      </x:c>
      <x:c r="E3373" s="66" t="str">
        <x:v>24743038</x:v>
      </x:c>
      <x:c r="F3373" s="66" t="str">
        <x:v>TEKNIK ELEKTRONIKA</x:v>
      </x:c>
      <x:c r="G3373" s="66" t="str">
        <x:v>Diploma Tiga</x:v>
      </x:c>
      <x:c r="H3373" s="87" t="n">
        <x:v>46</x:v>
      </x:c>
      <x:c r="I3373" s="87" t="n">
        <x:v>96</x:v>
      </x:c>
      <x:c r="J3373" s="68" t="n">
        <x:f>IFERROR(H3373/I3373,"")</x:f>
        <x:v>0.4791666666666667</x:v>
      </x:c>
      <x:c r="K3373" s="69" t="n">
        <x:f>IFERROR(I3373/H3373,"")</x:f>
        <x:v>2.0869565217391304</x:v>
      </x:c>
      <x:c r="L3373" s="66" t="str">
        <x:f>IF(K3373="","","1 : "&amp;TEXT(K3373,"0.0"))</x:f>
        <x:v>1 : 2.1</x:v>
      </x:c>
      <x:c r="M3373" s="66" t="str">
        <x:f>IF(J3373="","Baru/Tanpa Data",IF(J3373&lt;='Catatan &amp; Sumber'!$B$14,"Sangat Ketat",IF(J3373&lt;='Catatan &amp; Sumber'!$B$15,"Ketat",IF(J3373&lt;='Catatan &amp; Sumber'!$B$16,"Sedang","Relatif Longgar"))))</x:f>
        <x:v>Relatif Longgar</x:v>
      </x:c>
      <x:c r="N3373" s="66" t="str">
        <x:v>Tidak Ada</x:v>
      </x:c>
      <x:c r="O3373" s="66" t="str">
        <x:v>Jawa Timur</x:v>
      </x:c>
      <x:c r="P3373" s="66" t="str">
        <x:v>Kota Malang</x:v>
      </x:c>
      <x:c r="Q3373" s="66" t="str">
        <x:v>https://snpmb.id/snbp/daya-tampung-snbp</x:v>
      </x:c>
      <x:c r="R3373" s="66" t="str">
        <x:v>https://sidatagrun-public-1076756628210.asia-southeast2.run.app/ptn_sn.php?ptn=474</x:v>
      </x:c>
    </x:row>
    <x:row r="3374">
      <x:c r="A3374" s="87" t="n">
        <x:v>3653</x:v>
      </x:c>
      <x:c r="B3374" s="66" t="n">
        <x:v>474</x:v>
      </x:c>
      <x:c r="C3374" s="66" t="str">
        <x:v>POLITEKNIK NEGERI MALANG</x:v>
      </x:c>
      <x:c r="D3374" s="66" t="str">
        <x:v>PTN Vokasi</x:v>
      </x:c>
      <x:c r="E3374" s="66" t="str">
        <x:v>24743041</x:v>
      </x:c>
      <x:c r="F3374" s="66" t="str">
        <x:v>TEKNIK TELEKOMUNIKASI</x:v>
      </x:c>
      <x:c r="G3374" s="66" t="str">
        <x:v>Diploma Tiga</x:v>
      </x:c>
      <x:c r="H3374" s="87" t="n">
        <x:v>32</x:v>
      </x:c>
      <x:c r="I3374" s="87" t="n">
        <x:v>65</x:v>
      </x:c>
      <x:c r="J3374" s="68" t="n">
        <x:f>IFERROR(H3374/I3374,"")</x:f>
        <x:v>0.49230769230769234</x:v>
      </x:c>
      <x:c r="K3374" s="69" t="n">
        <x:f>IFERROR(I3374/H3374,"")</x:f>
        <x:v>2.03125</x:v>
      </x:c>
      <x:c r="L3374" s="66" t="str">
        <x:f>IF(K3374="","","1 : "&amp;TEXT(K3374,"0.0"))</x:f>
        <x:v>1 : 2.0</x:v>
      </x:c>
      <x:c r="M3374" s="66" t="str">
        <x:f>IF(J3374="","Baru/Tanpa Data",IF(J3374&lt;='Catatan &amp; Sumber'!$B$14,"Sangat Ketat",IF(J3374&lt;='Catatan &amp; Sumber'!$B$15,"Ketat",IF(J3374&lt;='Catatan &amp; Sumber'!$B$16,"Sedang","Relatif Longgar"))))</x:f>
        <x:v>Relatif Longgar</x:v>
      </x:c>
      <x:c r="N3374" s="66" t="str">
        <x:v>Tidak Ada</x:v>
      </x:c>
      <x:c r="O3374" s="66" t="str">
        <x:v>Jawa Timur</x:v>
      </x:c>
      <x:c r="P3374" s="66" t="str">
        <x:v>Kota Malang</x:v>
      </x:c>
      <x:c r="Q3374" s="66" t="str">
        <x:v>https://snpmb.id/snbp/daya-tampung-snbp</x:v>
      </x:c>
      <x:c r="R3374" s="66" t="str">
        <x:v>https://sidatagrun-public-1076756628210.asia-southeast2.run.app/ptn_sn.php?ptn=474</x:v>
      </x:c>
    </x:row>
    <x:row r="3375">
      <x:c r="A3375" s="87"/>
      <x:c r="B3375" s="66" t="n">
        <x:v>474</x:v>
      </x:c>
      <x:c r="C3375" s="66" t="str">
        <x:v>POLITEKNIK NEGERI MALANG</x:v>
      </x:c>
      <x:c r="D3375" s="66" t="str">
        <x:v>PTN Vokasi</x:v>
      </x:c>
      <x:c r="E3375" s="66" t="str">
        <x:v>24743042</x:v>
      </x:c>
      <x:c r="F3375" s="66" t="str">
        <x:v>TEKNOLOGI PEMELIHARAAN PESAWAT UDARA</x:v>
      </x:c>
      <x:c r="G3375" s="66" t="str">
        <x:v>Diploma Tiga</x:v>
      </x:c>
      <x:c r="H3375" s="87" t="n">
        <x:v>15</x:v>
      </x:c>
      <x:c r="I3375" s="87"/>
      <x:c r="J3375" s="68" t="str">
        <x:f>IFERROR(H3375/I3375,"")</x:f>
      </x:c>
      <x:c r="K3375" s="69" t="n">
        <x:f>IFERROR(I3375/H3375,"")</x:f>
        <x:v>0</x:v>
      </x:c>
      <x:c r="L3375" s="66" t="str">
        <x:f>IF(K3375="","","1 : "&amp;TEXT(K3375,"0.0"))</x:f>
      </x:c>
      <x:c r="M3375" s="66" t="str">
        <x:f>IF(J3375="","Baru/Tanpa Data",IF(J3375&lt;='Catatan &amp; Sumber'!$B$14,"Sangat Ketat",IF(J3375&lt;='Catatan &amp; Sumber'!$B$15,"Ketat",IF(J3375&lt;='Catatan &amp; Sumber'!$B$16,"Sedang","Relatif Longgar"))))</x:f>
        <x:v>Baru/Tanpa Data</x:v>
      </x:c>
      <x:c r="N3375" s="66" t="str">
        <x:v>Tidak Ada</x:v>
      </x:c>
      <x:c r="O3375" s="66" t="str">
        <x:v>Jawa Timur</x:v>
      </x:c>
      <x:c r="P3375" s="66" t="str">
        <x:v>Kota Malang</x:v>
      </x:c>
      <x:c r="Q3375" s="66" t="str">
        <x:v>https://snpmb.id/snbp/daya-tampung-snbp</x:v>
      </x:c>
      <x:c r="R3375" s="66" t="str">
        <x:v>https://sidatagrun-public-1076756628210.asia-southeast2.run.app/ptn_sn.php?ptn=474</x:v>
      </x:c>
    </x:row>
    <x:row r="3376">
      <x:c r="A3376" s="87" t="n">
        <x:v>1329</x:v>
      </x:c>
      <x:c r="B3376" s="66" t="n">
        <x:v>481</x:v>
      </x:c>
      <x:c r="C3376" s="66" t="str">
        <x:v>POLITEKNIK PERKAPALAN NEGERI SURABAYA</x:v>
      </x:c>
      <x:c r="D3376" s="66" t="str">
        <x:v>PTN Vokasi</x:v>
      </x:c>
      <x:c r="E3376" s="66" t="str">
        <x:v>24812001</x:v>
      </x:c>
      <x:c r="F3376" s="66" t="str">
        <x:v>TEKNIK KESELAMATAN DAN KESEHATAN KERJA</x:v>
      </x:c>
      <x:c r="G3376" s="66" t="str">
        <x:v>Sarjana Terapan</x:v>
      </x:c>
      <x:c r="H3376" s="87" t="n">
        <x:v>94</x:v>
      </x:c>
      <x:c r="I3376" s="87" t="n">
        <x:v>966</x:v>
      </x:c>
      <x:c r="J3376" s="68" t="n">
        <x:f>IFERROR(H3376/I3376,"")</x:f>
        <x:v>0.09730848861283643</x:v>
      </x:c>
      <x:c r="K3376" s="69" t="n">
        <x:f>IFERROR(I3376/H3376,"")</x:f>
        <x:v>10.27659574468085</x:v>
      </x:c>
      <x:c r="L3376" s="66" t="str">
        <x:f>IF(K3376="","","1 : "&amp;TEXT(K3376,"0.0"))</x:f>
        <x:v>1 : 10.3</x:v>
      </x:c>
      <x:c r="M3376" s="66" t="str">
        <x:f>IF(J3376="","Baru/Tanpa Data",IF(J3376&lt;='Catatan &amp; Sumber'!$B$14,"Sangat Ketat",IF(J3376&lt;='Catatan &amp; Sumber'!$B$15,"Ketat",IF(J3376&lt;='Catatan &amp; Sumber'!$B$16,"Sedang","Relatif Longgar"))))</x:f>
        <x:v>Sedang</x:v>
      </x:c>
      <x:c r="N3376" s="66" t="str">
        <x:v>Tidak Ada</x:v>
      </x:c>
      <x:c r="O3376" s="66" t="str">
        <x:v>Jawa Timur</x:v>
      </x:c>
      <x:c r="P3376" s="66" t="str">
        <x:v>Kota Surabaya</x:v>
      </x:c>
      <x:c r="Q3376" s="66" t="str">
        <x:v>https://snpmb.id/snbp/daya-tampung-snbp</x:v>
      </x:c>
      <x:c r="R3376" s="66" t="str">
        <x:v>https://sidatagrun-public-1076756628210.asia-southeast2.run.app/ptn_sn.php?ptn=481</x:v>
      </x:c>
    </x:row>
    <x:row r="3377">
      <x:c r="A3377" s="87" t="n">
        <x:v>2677</x:v>
      </x:c>
      <x:c r="B3377" s="66" t="n">
        <x:v>481</x:v>
      </x:c>
      <x:c r="C3377" s="66" t="str">
        <x:v>POLITEKNIK PERKAPALAN NEGERI SURABAYA</x:v>
      </x:c>
      <x:c r="D3377" s="66" t="str">
        <x:v>PTN Vokasi</x:v>
      </x:c>
      <x:c r="E3377" s="66" t="str">
        <x:v>24812002</x:v>
      </x:c>
      <x:c r="F3377" s="66" t="str">
        <x:v>TEKNIK DESAIN DAN MANUFAKTUR</x:v>
      </x:c>
      <x:c r="G3377" s="66" t="str">
        <x:v>Sarjana Terapan</x:v>
      </x:c>
      <x:c r="H3377" s="87" t="n">
        <x:v>36</x:v>
      </x:c>
      <x:c r="I3377" s="87" t="n">
        <x:v>150</x:v>
      </x:c>
      <x:c r="J3377" s="68" t="n">
        <x:f>IFERROR(H3377/I3377,"")</x:f>
        <x:v>0.24</x:v>
      </x:c>
      <x:c r="K3377" s="69" t="n">
        <x:f>IFERROR(I3377/H3377,"")</x:f>
        <x:v>4.166666666666667</x:v>
      </x:c>
      <x:c r="L3377" s="66" t="str">
        <x:f>IF(K3377="","","1 : "&amp;TEXT(K3377,"0.0"))</x:f>
        <x:v>1 : 4.2</x:v>
      </x:c>
      <x:c r="M3377" s="66" t="str">
        <x:f>IF(J3377="","Baru/Tanpa Data",IF(J3377&lt;='Catatan &amp; Sumber'!$B$14,"Sangat Ketat",IF(J3377&lt;='Catatan &amp; Sumber'!$B$15,"Ketat",IF(J3377&lt;='Catatan &amp; Sumber'!$B$16,"Sedang","Relatif Longgar"))))</x:f>
        <x:v>Relatif Longgar</x:v>
      </x:c>
      <x:c r="N3377" s="66" t="str">
        <x:v>Tidak Ada</x:v>
      </x:c>
      <x:c r="O3377" s="66" t="str">
        <x:v>Jawa Timur</x:v>
      </x:c>
      <x:c r="P3377" s="66" t="str">
        <x:v>Kota Surabaya</x:v>
      </x:c>
      <x:c r="Q3377" s="66" t="str">
        <x:v>https://snpmb.id/snbp/daya-tampung-snbp</x:v>
      </x:c>
      <x:c r="R3377" s="66" t="str">
        <x:v>https://sidatagrun-public-1076756628210.asia-southeast2.run.app/ptn_sn.php?ptn=481</x:v>
      </x:c>
    </x:row>
    <x:row r="3378">
      <x:c r="A3378" s="87" t="n">
        <x:v>1656</x:v>
      </x:c>
      <x:c r="B3378" s="66" t="n">
        <x:v>481</x:v>
      </x:c>
      <x:c r="C3378" s="66" t="str">
        <x:v>POLITEKNIK PERKAPALAN NEGERI SURABAYA</x:v>
      </x:c>
      <x:c r="D3378" s="66" t="str">
        <x:v>PTN Vokasi</x:v>
      </x:c>
      <x:c r="E3378" s="66" t="str">
        <x:v>24812003</x:v>
      </x:c>
      <x:c r="F3378" s="66" t="str">
        <x:v>TEKNIK PENGELASAN</x:v>
      </x:c>
      <x:c r="G3378" s="66" t="str">
        <x:v>Sarjana Terapan</x:v>
      </x:c>
      <x:c r="H3378" s="87" t="n">
        <x:v>36</x:v>
      </x:c>
      <x:c r="I3378" s="87" t="n">
        <x:v>298</x:v>
      </x:c>
      <x:c r="J3378" s="68" t="n">
        <x:f>IFERROR(H3378/I3378,"")</x:f>
        <x:v>0.12080536912751678</x:v>
      </x:c>
      <x:c r="K3378" s="69" t="n">
        <x:f>IFERROR(I3378/H3378,"")</x:f>
        <x:v>8.277777777777779</x:v>
      </x:c>
      <x:c r="L3378" s="66" t="str">
        <x:f>IF(K3378="","","1 : "&amp;TEXT(K3378,"0.0"))</x:f>
        <x:v>1 : 8.3</x:v>
      </x:c>
      <x:c r="M3378" s="66" t="str">
        <x:f>IF(J3378="","Baru/Tanpa Data",IF(J3378&lt;='Catatan &amp; Sumber'!$B$14,"Sangat Ketat",IF(J3378&lt;='Catatan &amp; Sumber'!$B$15,"Ketat",IF(J3378&lt;='Catatan &amp; Sumber'!$B$16,"Sedang","Relatif Longgar"))))</x:f>
        <x:v>Relatif Longgar</x:v>
      </x:c>
      <x:c r="N3378" s="66" t="str">
        <x:v>Tidak Ada</x:v>
      </x:c>
      <x:c r="O3378" s="66" t="str">
        <x:v>Jawa Timur</x:v>
      </x:c>
      <x:c r="P3378" s="66" t="str">
        <x:v>Kota Surabaya</x:v>
      </x:c>
      <x:c r="Q3378" s="66" t="str">
        <x:v>https://snpmb.id/snbp/daya-tampung-snbp</x:v>
      </x:c>
      <x:c r="R3378" s="66" t="str">
        <x:v>https://sidatagrun-public-1076756628210.asia-southeast2.run.app/ptn_sn.php?ptn=481</x:v>
      </x:c>
    </x:row>
    <x:row r="3379">
      <x:c r="A3379" s="87" t="n">
        <x:v>3156</x:v>
      </x:c>
      <x:c r="B3379" s="66" t="n">
        <x:v>481</x:v>
      </x:c>
      <x:c r="C3379" s="66" t="str">
        <x:v>POLITEKNIK PERKAPALAN NEGERI SURABAYA</x:v>
      </x:c>
      <x:c r="D3379" s="66" t="str">
        <x:v>PTN Vokasi</x:v>
      </x:c>
      <x:c r="E3379" s="66" t="str">
        <x:v>24812004</x:v>
      </x:c>
      <x:c r="F3379" s="66" t="str">
        <x:v>TEKNIK PERPIPAAN</x:v>
      </x:c>
      <x:c r="G3379" s="66" t="str">
        <x:v>Sarjana Terapan</x:v>
      </x:c>
      <x:c r="H3379" s="87" t="n">
        <x:v>49</x:v>
      </x:c>
      <x:c r="I3379" s="87" t="n">
        <x:v>149</x:v>
      </x:c>
      <x:c r="J3379" s="68" t="n">
        <x:f>IFERROR(H3379/I3379,"")</x:f>
        <x:v>0.3288590604026846</x:v>
      </x:c>
      <x:c r="K3379" s="69" t="n">
        <x:f>IFERROR(I3379/H3379,"")</x:f>
        <x:v>3.0408163265306123</x:v>
      </x:c>
      <x:c r="L3379" s="66" t="str">
        <x:f>IF(K3379="","","1 : "&amp;TEXT(K3379,"0.0"))</x:f>
        <x:v>1 : 3.0</x:v>
      </x:c>
      <x:c r="M3379" s="66" t="str">
        <x:f>IF(J3379="","Baru/Tanpa Data",IF(J3379&lt;='Catatan &amp; Sumber'!$B$14,"Sangat Ketat",IF(J3379&lt;='Catatan &amp; Sumber'!$B$15,"Ketat",IF(J3379&lt;='Catatan &amp; Sumber'!$B$16,"Sedang","Relatif Longgar"))))</x:f>
        <x:v>Relatif Longgar</x:v>
      </x:c>
      <x:c r="N3379" s="66" t="str">
        <x:v>Tidak Ada</x:v>
      </x:c>
      <x:c r="O3379" s="66" t="str">
        <x:v>Jawa Timur</x:v>
      </x:c>
      <x:c r="P3379" s="66" t="str">
        <x:v>Kota Surabaya</x:v>
      </x:c>
      <x:c r="Q3379" s="66" t="str">
        <x:v>https://snpmb.id/snbp/daya-tampung-snbp</x:v>
      </x:c>
      <x:c r="R3379" s="66" t="str">
        <x:v>https://sidatagrun-public-1076756628210.asia-southeast2.run.app/ptn_sn.php?ptn=481</x:v>
      </x:c>
    </x:row>
    <x:row r="3380">
      <x:c r="A3380" s="87" t="n">
        <x:v>2904</x:v>
      </x:c>
      <x:c r="B3380" s="66" t="n">
        <x:v>481</x:v>
      </x:c>
      <x:c r="C3380" s="66" t="str">
        <x:v>POLITEKNIK PERKAPALAN NEGERI SURABAYA</x:v>
      </x:c>
      <x:c r="D3380" s="66" t="str">
        <x:v>PTN Vokasi</x:v>
      </x:c>
      <x:c r="E3380" s="66" t="str">
        <x:v>24812005</x:v>
      </x:c>
      <x:c r="F3380" s="66" t="str">
        <x:v>TEKNIK OTOMASI</x:v>
      </x:c>
      <x:c r="G3380" s="66" t="str">
        <x:v>Sarjana Terapan</x:v>
      </x:c>
      <x:c r="H3380" s="87" t="n">
        <x:v>49</x:v>
      </x:c>
      <x:c r="I3380" s="87" t="n">
        <x:v>178</x:v>
      </x:c>
      <x:c r="J3380" s="68" t="n">
        <x:f>IFERROR(H3380/I3380,"")</x:f>
        <x:v>0.2752808988764045</x:v>
      </x:c>
      <x:c r="K3380" s="69" t="n">
        <x:f>IFERROR(I3380/H3380,"")</x:f>
        <x:v>3.63265306122449</x:v>
      </x:c>
      <x:c r="L3380" s="66" t="str">
        <x:f>IF(K3380="","","1 : "&amp;TEXT(K3380,"0.0"))</x:f>
        <x:v>1 : 3.6</x:v>
      </x:c>
      <x:c r="M3380" s="66" t="str">
        <x:f>IF(J3380="","Baru/Tanpa Data",IF(J3380&lt;='Catatan &amp; Sumber'!$B$14,"Sangat Ketat",IF(J3380&lt;='Catatan &amp; Sumber'!$B$15,"Ketat",IF(J3380&lt;='Catatan &amp; Sumber'!$B$16,"Sedang","Relatif Longgar"))))</x:f>
        <x:v>Relatif Longgar</x:v>
      </x:c>
      <x:c r="N3380" s="66" t="str">
        <x:v>Tidak Ada</x:v>
      </x:c>
      <x:c r="O3380" s="66" t="str">
        <x:v>Jawa Timur</x:v>
      </x:c>
      <x:c r="P3380" s="66" t="str">
        <x:v>Kota Surabaya</x:v>
      </x:c>
      <x:c r="Q3380" s="66" t="str">
        <x:v>https://snpmb.id/snbp/daya-tampung-snbp</x:v>
      </x:c>
      <x:c r="R3380" s="66" t="str">
        <x:v>https://sidatagrun-public-1076756628210.asia-southeast2.run.app/ptn_sn.php?ptn=481</x:v>
      </x:c>
    </x:row>
    <x:row r="3381">
      <x:c r="A3381" s="87" t="n">
        <x:v>2528</x:v>
      </x:c>
      <x:c r="B3381" s="66" t="n">
        <x:v>481</x:v>
      </x:c>
      <x:c r="C3381" s="66" t="str">
        <x:v>POLITEKNIK PERKAPALAN NEGERI SURABAYA</x:v>
      </x:c>
      <x:c r="D3381" s="66" t="str">
        <x:v>PTN Vokasi</x:v>
      </x:c>
      <x:c r="E3381" s="66" t="str">
        <x:v>24812006</x:v>
      </x:c>
      <x:c r="F3381" s="66" t="str">
        <x:v>TEKNIK PENGOLAHAN LIMBAH</x:v>
      </x:c>
      <x:c r="G3381" s="66" t="str">
        <x:v>Sarjana Terapan</x:v>
      </x:c>
      <x:c r="H3381" s="87" t="n">
        <x:v>49</x:v>
      </x:c>
      <x:c r="I3381" s="87" t="n">
        <x:v>227</x:v>
      </x:c>
      <x:c r="J3381" s="68" t="n">
        <x:f>IFERROR(H3381/I3381,"")</x:f>
        <x:v>0.21585903083700442</x:v>
      </x:c>
      <x:c r="K3381" s="69" t="n">
        <x:f>IFERROR(I3381/H3381,"")</x:f>
        <x:v>4.63265306122449</x:v>
      </x:c>
      <x:c r="L3381" s="66" t="str">
        <x:f>IF(K3381="","","1 : "&amp;TEXT(K3381,"0.0"))</x:f>
        <x:v>1 : 4.6</x:v>
      </x:c>
      <x:c r="M3381" s="66" t="str">
        <x:f>IF(J3381="","Baru/Tanpa Data",IF(J3381&lt;='Catatan &amp; Sumber'!$B$14,"Sangat Ketat",IF(J3381&lt;='Catatan &amp; Sumber'!$B$15,"Ketat",IF(J3381&lt;='Catatan &amp; Sumber'!$B$16,"Sedang","Relatif Longgar"))))</x:f>
        <x:v>Relatif Longgar</x:v>
      </x:c>
      <x:c r="N3381" s="66" t="str">
        <x:v>Tidak Ada</x:v>
      </x:c>
      <x:c r="O3381" s="66" t="str">
        <x:v>Jawa Timur</x:v>
      </x:c>
      <x:c r="P3381" s="66" t="str">
        <x:v>Kota Surabaya</x:v>
      </x:c>
      <x:c r="Q3381" s="66" t="str">
        <x:v>https://snpmb.id/snbp/daya-tampung-snbp</x:v>
      </x:c>
      <x:c r="R3381" s="66" t="str">
        <x:v>https://sidatagrun-public-1076756628210.asia-southeast2.run.app/ptn_sn.php?ptn=481</x:v>
      </x:c>
    </x:row>
    <x:row r="3382">
      <x:c r="A3382" s="87" t="n">
        <x:v>2763</x:v>
      </x:c>
      <x:c r="B3382" s="66" t="n">
        <x:v>481</x:v>
      </x:c>
      <x:c r="C3382" s="66" t="str">
        <x:v>POLITEKNIK PERKAPALAN NEGERI SURABAYA</x:v>
      </x:c>
      <x:c r="D3382" s="66" t="str">
        <x:v>PTN Vokasi</x:v>
      </x:c>
      <x:c r="E3382" s="66" t="str">
        <x:v>24812008</x:v>
      </x:c>
      <x:c r="F3382" s="66" t="str">
        <x:v>TEKNIK PERANCANGAN DAN KONSTRUKSI KAPAL</x:v>
      </x:c>
      <x:c r="G3382" s="66" t="str">
        <x:v>Sarjana Terapan</x:v>
      </x:c>
      <x:c r="H3382" s="87" t="n">
        <x:v>41</x:v>
      </x:c>
      <x:c r="I3382" s="87" t="n">
        <x:v>162</x:v>
      </x:c>
      <x:c r="J3382" s="68" t="n">
        <x:f>IFERROR(H3382/I3382,"")</x:f>
        <x:v>0.25308641975308643</x:v>
      </x:c>
      <x:c r="K3382" s="69" t="n">
        <x:f>IFERROR(I3382/H3382,"")</x:f>
        <x:v>3.951219512195122</x:v>
      </x:c>
      <x:c r="L3382" s="66" t="str">
        <x:f>IF(K3382="","","1 : "&amp;TEXT(K3382,"0.0"))</x:f>
        <x:v>1 : 4.0</x:v>
      </x:c>
      <x:c r="M3382" s="66" t="str">
        <x:f>IF(J3382="","Baru/Tanpa Data",IF(J3382&lt;='Catatan &amp; Sumber'!$B$14,"Sangat Ketat",IF(J3382&lt;='Catatan &amp; Sumber'!$B$15,"Ketat",IF(J3382&lt;='Catatan &amp; Sumber'!$B$16,"Sedang","Relatif Longgar"))))</x:f>
        <x:v>Relatif Longgar</x:v>
      </x:c>
      <x:c r="N3382" s="66" t="str">
        <x:v>Tidak Ada</x:v>
      </x:c>
      <x:c r="O3382" s="66" t="str">
        <x:v>Jawa Timur</x:v>
      </x:c>
      <x:c r="P3382" s="66" t="str">
        <x:v>Kota Surabaya</x:v>
      </x:c>
      <x:c r="Q3382" s="66" t="str">
        <x:v>https://snpmb.id/snbp/daya-tampung-snbp</x:v>
      </x:c>
      <x:c r="R3382" s="66" t="str">
        <x:v>https://sidatagrun-public-1076756628210.asia-southeast2.run.app/ptn_sn.php?ptn=481</x:v>
      </x:c>
    </x:row>
    <x:row r="3383">
      <x:c r="A3383" s="87" t="n">
        <x:v>1975</x:v>
      </x:c>
      <x:c r="B3383" s="66" t="n">
        <x:v>481</x:v>
      </x:c>
      <x:c r="C3383" s="66" t="str">
        <x:v>POLITEKNIK PERKAPALAN NEGERI SURABAYA</x:v>
      </x:c>
      <x:c r="D3383" s="66" t="str">
        <x:v>PTN Vokasi</x:v>
      </x:c>
      <x:c r="E3383" s="66" t="str">
        <x:v>24812009</x:v>
      </x:c>
      <x:c r="F3383" s="66" t="str">
        <x:v>TEKNIK PERMESINAN KAPAL</x:v>
      </x:c>
      <x:c r="G3383" s="66" t="str">
        <x:v>Sarjana Terapan</x:v>
      </x:c>
      <x:c r="H3383" s="87" t="n">
        <x:v>41</x:v>
      </x:c>
      <x:c r="I3383" s="87" t="n">
        <x:v>276</x:v>
      </x:c>
      <x:c r="J3383" s="68" t="n">
        <x:f>IFERROR(H3383/I3383,"")</x:f>
        <x:v>0.14855072463768115</x:v>
      </x:c>
      <x:c r="K3383" s="69" t="n">
        <x:f>IFERROR(I3383/H3383,"")</x:f>
        <x:v>6.7317073170731705</x:v>
      </x:c>
      <x:c r="L3383" s="66" t="str">
        <x:f>IF(K3383="","","1 : "&amp;TEXT(K3383,"0.0"))</x:f>
        <x:v>1 : 6.7</x:v>
      </x:c>
      <x:c r="M3383" s="66" t="str">
        <x:f>IF(J3383="","Baru/Tanpa Data",IF(J3383&lt;='Catatan &amp; Sumber'!$B$14,"Sangat Ketat",IF(J3383&lt;='Catatan &amp; Sumber'!$B$15,"Ketat",IF(J3383&lt;='Catatan &amp; Sumber'!$B$16,"Sedang","Relatif Longgar"))))</x:f>
        <x:v>Relatif Longgar</x:v>
      </x:c>
      <x:c r="N3383" s="66" t="str">
        <x:v>Tidak Ada</x:v>
      </x:c>
      <x:c r="O3383" s="66" t="str">
        <x:v>Jawa Timur</x:v>
      </x:c>
      <x:c r="P3383" s="66" t="str">
        <x:v>Kota Surabaya</x:v>
      </x:c>
      <x:c r="Q3383" s="66" t="str">
        <x:v>https://snpmb.id/snbp/daya-tampung-snbp</x:v>
      </x:c>
      <x:c r="R3383" s="66" t="str">
        <x:v>https://sidatagrun-public-1076756628210.asia-southeast2.run.app/ptn_sn.php?ptn=481</x:v>
      </x:c>
    </x:row>
    <x:row r="3384">
      <x:c r="A3384" s="87" t="n">
        <x:v>2474</x:v>
      </x:c>
      <x:c r="B3384" s="66" t="n">
        <x:v>481</x:v>
      </x:c>
      <x:c r="C3384" s="66" t="str">
        <x:v>POLITEKNIK PERKAPALAN NEGERI SURABAYA</x:v>
      </x:c>
      <x:c r="D3384" s="66" t="str">
        <x:v>PTN Vokasi</x:v>
      </x:c>
      <x:c r="E3384" s="66" t="str">
        <x:v>24812010</x:v>
      </x:c>
      <x:c r="F3384" s="66" t="str">
        <x:v>TEKNIK KELISTRIKAN KAPAL</x:v>
      </x:c>
      <x:c r="G3384" s="66" t="str">
        <x:v>Sarjana Terapan</x:v>
      </x:c>
      <x:c r="H3384" s="87" t="n">
        <x:v>41</x:v>
      </x:c>
      <x:c r="I3384" s="87" t="n">
        <x:v>199</x:v>
      </x:c>
      <x:c r="J3384" s="68" t="n">
        <x:f>IFERROR(H3384/I3384,"")</x:f>
        <x:v>0.20603015075376885</x:v>
      </x:c>
      <x:c r="K3384" s="69" t="n">
        <x:f>IFERROR(I3384/H3384,"")</x:f>
        <x:v>4.853658536585366</x:v>
      </x:c>
      <x:c r="L3384" s="66" t="str">
        <x:f>IF(K3384="","","1 : "&amp;TEXT(K3384,"0.0"))</x:f>
        <x:v>1 : 4.9</x:v>
      </x:c>
      <x:c r="M3384" s="66" t="str">
        <x:f>IF(J3384="","Baru/Tanpa Data",IF(J3384&lt;='Catatan &amp; Sumber'!$B$14,"Sangat Ketat",IF(J3384&lt;='Catatan &amp; Sumber'!$B$15,"Ketat",IF(J3384&lt;='Catatan &amp; Sumber'!$B$16,"Sedang","Relatif Longgar"))))</x:f>
        <x:v>Relatif Longgar</x:v>
      </x:c>
      <x:c r="N3384" s="66" t="str">
        <x:v>Tidak Ada</x:v>
      </x:c>
      <x:c r="O3384" s="66" t="str">
        <x:v>Jawa Timur</x:v>
      </x:c>
      <x:c r="P3384" s="66" t="str">
        <x:v>Kota Surabaya</x:v>
      </x:c>
      <x:c r="Q3384" s="66" t="str">
        <x:v>https://snpmb.id/snbp/daya-tampung-snbp</x:v>
      </x:c>
      <x:c r="R3384" s="66" t="str">
        <x:v>https://sidatagrun-public-1076756628210.asia-southeast2.run.app/ptn_sn.php?ptn=481</x:v>
      </x:c>
    </x:row>
    <x:row r="3385">
      <x:c r="A3385" s="87" t="n">
        <x:v>2809</x:v>
      </x:c>
      <x:c r="B3385" s="66" t="n">
        <x:v>481</x:v>
      </x:c>
      <x:c r="C3385" s="66" t="str">
        <x:v>POLITEKNIK PERKAPALAN NEGERI SURABAYA</x:v>
      </x:c>
      <x:c r="D3385" s="66" t="str">
        <x:v>PTN Vokasi</x:v>
      </x:c>
      <x:c r="E3385" s="66" t="str">
        <x:v>24812011</x:v>
      </x:c>
      <x:c r="F3385" s="66" t="str">
        <x:v>MANAJEMEN BISNIS</x:v>
      </x:c>
      <x:c r="G3385" s="66" t="str">
        <x:v>Sarjana Terapan</x:v>
      </x:c>
      <x:c r="H3385" s="87" t="n">
        <x:v>75</x:v>
      </x:c>
      <x:c r="I3385" s="87" t="n">
        <x:v>289</x:v>
      </x:c>
      <x:c r="J3385" s="68" t="n">
        <x:f>IFERROR(H3385/I3385,"")</x:f>
        <x:v>0.25951557093425603</x:v>
      </x:c>
      <x:c r="K3385" s="69" t="n">
        <x:f>IFERROR(I3385/H3385,"")</x:f>
        <x:v>3.8533333333333335</x:v>
      </x:c>
      <x:c r="L3385" s="66" t="str">
        <x:f>IF(K3385="","","1 : "&amp;TEXT(K3385,"0.0"))</x:f>
        <x:v>1 : 3.9</x:v>
      </x:c>
      <x:c r="M3385" s="66" t="str">
        <x:f>IF(J3385="","Baru/Tanpa Data",IF(J3385&lt;='Catatan &amp; Sumber'!$B$14,"Sangat Ketat",IF(J3385&lt;='Catatan &amp; Sumber'!$B$15,"Ketat",IF(J3385&lt;='Catatan &amp; Sumber'!$B$16,"Sedang","Relatif Longgar"))))</x:f>
        <x:v>Relatif Longgar</x:v>
      </x:c>
      <x:c r="N3385" s="66" t="str">
        <x:v>Tidak Ada</x:v>
      </x:c>
      <x:c r="O3385" s="66" t="str">
        <x:v>Jawa Timur</x:v>
      </x:c>
      <x:c r="P3385" s="66" t="str">
        <x:v>Kota Surabaya</x:v>
      </x:c>
      <x:c r="Q3385" s="66" t="str">
        <x:v>https://snpmb.id/snbp/daya-tampung-snbp</x:v>
      </x:c>
      <x:c r="R3385" s="66" t="str">
        <x:v>https://sidatagrun-public-1076756628210.asia-southeast2.run.app/ptn_sn.php?ptn=481</x:v>
      </x:c>
    </x:row>
    <x:row r="3386">
      <x:c r="A3386" s="87" t="n">
        <x:v>2824</x:v>
      </x:c>
      <x:c r="B3386" s="66" t="n">
        <x:v>481</x:v>
      </x:c>
      <x:c r="C3386" s="66" t="str">
        <x:v>POLITEKNIK PERKAPALAN NEGERI SURABAYA</x:v>
      </x:c>
      <x:c r="D3386" s="66" t="str">
        <x:v>PTN Vokasi</x:v>
      </x:c>
      <x:c r="E3386" s="66" t="str">
        <x:v>24812016</x:v>
      </x:c>
      <x:c r="F3386" s="66" t="str">
        <x:v>TEKNOLOGI REKAYASA ENERGI BERKELANJUTAN</x:v>
      </x:c>
      <x:c r="G3386" s="66" t="str">
        <x:v>Sarjana Terapan</x:v>
      </x:c>
      <x:c r="H3386" s="87" t="n">
        <x:v>22</x:v>
      </x:c>
      <x:c r="I3386" s="87" t="n">
        <x:v>84</x:v>
      </x:c>
      <x:c r="J3386" s="68" t="n">
        <x:f>IFERROR(H3386/I3386,"")</x:f>
        <x:v>0.2619047619047619</x:v>
      </x:c>
      <x:c r="K3386" s="69" t="n">
        <x:f>IFERROR(I3386/H3386,"")</x:f>
        <x:v>3.8181818181818183</x:v>
      </x:c>
      <x:c r="L3386" s="66" t="str">
        <x:f>IF(K3386="","","1 : "&amp;TEXT(K3386,"0.0"))</x:f>
        <x:v>1 : 3.8</x:v>
      </x:c>
      <x:c r="M3386" s="66" t="str">
        <x:f>IF(J3386="","Baru/Tanpa Data",IF(J3386&lt;='Catatan &amp; Sumber'!$B$14,"Sangat Ketat",IF(J3386&lt;='Catatan &amp; Sumber'!$B$15,"Ketat",IF(J3386&lt;='Catatan &amp; Sumber'!$B$16,"Sedang","Relatif Longgar"))))</x:f>
        <x:v>Relatif Longgar</x:v>
      </x:c>
      <x:c r="N3386" s="66" t="str">
        <x:v>Tidak Ada</x:v>
      </x:c>
      <x:c r="O3386" s="66" t="str">
        <x:v>Jawa Timur</x:v>
      </x:c>
      <x:c r="P3386" s="66" t="str">
        <x:v>Kota Surabaya</x:v>
      </x:c>
      <x:c r="Q3386" s="66" t="str">
        <x:v>https://snpmb.id/snbp/daya-tampung-snbp</x:v>
      </x:c>
      <x:c r="R3386" s="66" t="str">
        <x:v>https://sidatagrun-public-1076756628210.asia-southeast2.run.app/ptn_sn.php?ptn=481</x:v>
      </x:c>
    </x:row>
    <x:row r="3387">
      <x:c r="A3387" s="87" t="n">
        <x:v>3595</x:v>
      </x:c>
      <x:c r="B3387" s="66" t="n">
        <x:v>481</x:v>
      </x:c>
      <x:c r="C3387" s="66" t="str">
        <x:v>POLITEKNIK PERKAPALAN NEGERI SURABAYA</x:v>
      </x:c>
      <x:c r="D3387" s="66" t="str">
        <x:v>PTN Vokasi</x:v>
      </x:c>
      <x:c r="E3387" s="66" t="str">
        <x:v>24812017</x:v>
      </x:c>
      <x:c r="F3387" s="66" t="str">
        <x:v>TEKNOLOGI REKAYASA KONSTRUKSI PERKAPALAN</x:v>
      </x:c>
      <x:c r="G3387" s="66" t="str">
        <x:v>Sarjana Terapan</x:v>
      </x:c>
      <x:c r="H3387" s="87" t="n">
        <x:v>22</x:v>
      </x:c>
      <x:c r="I3387" s="87" t="n">
        <x:v>47</x:v>
      </x:c>
      <x:c r="J3387" s="68" t="n">
        <x:f>IFERROR(H3387/I3387,"")</x:f>
        <x:v>0.46808510638297873</x:v>
      </x:c>
      <x:c r="K3387" s="69" t="n">
        <x:f>IFERROR(I3387/H3387,"")</x:f>
        <x:v>2.1363636363636362</x:v>
      </x:c>
      <x:c r="L3387" s="66" t="str">
        <x:f>IF(K3387="","","1 : "&amp;TEXT(K3387,"0.0"))</x:f>
        <x:v>1 : 2.1</x:v>
      </x:c>
      <x:c r="M3387" s="66" t="str">
        <x:f>IF(J3387="","Baru/Tanpa Data",IF(J3387&lt;='Catatan &amp; Sumber'!$B$14,"Sangat Ketat",IF(J3387&lt;='Catatan &amp; Sumber'!$B$15,"Ketat",IF(J3387&lt;='Catatan &amp; Sumber'!$B$16,"Sedang","Relatif Longgar"))))</x:f>
        <x:v>Relatif Longgar</x:v>
      </x:c>
      <x:c r="N3387" s="66" t="str">
        <x:v>Tidak Ada</x:v>
      </x:c>
      <x:c r="O3387" s="66" t="str">
        <x:v>Jawa Timur</x:v>
      </x:c>
      <x:c r="P3387" s="66" t="str">
        <x:v>Kota Surabaya</x:v>
      </x:c>
      <x:c r="Q3387" s="66" t="str">
        <x:v>https://snpmb.id/snbp/daya-tampung-snbp</x:v>
      </x:c>
      <x:c r="R3387" s="66" t="str">
        <x:v>https://sidatagrun-public-1076756628210.asia-southeast2.run.app/ptn_sn.php?ptn=481</x:v>
      </x:c>
    </x:row>
    <x:row r="3388">
      <x:c r="A3388" s="87"/>
      <x:c r="B3388" s="66" t="n">
        <x:v>481</x:v>
      </x:c>
      <x:c r="C3388" s="66" t="str">
        <x:v>POLITEKNIK PERKAPALAN NEGERI SURABAYA</x:v>
      </x:c>
      <x:c r="D3388" s="66" t="str">
        <x:v>PTN Vokasi</x:v>
      </x:c>
      <x:c r="E3388" s="66" t="str">
        <x:v>24812018</x:v>
      </x:c>
      <x:c r="F3388" s="66" t="str">
        <x:v>TEKNOLOGI REKAYASA INSTRUMENTASI</x:v>
      </x:c>
      <x:c r="G3388" s="66" t="str">
        <x:v>Sarjana Terapan</x:v>
      </x:c>
      <x:c r="H3388" s="87" t="n">
        <x:v>9</x:v>
      </x:c>
      <x:c r="I3388" s="87"/>
      <x:c r="J3388" s="68" t="str">
        <x:f>IFERROR(H3388/I3388,"")</x:f>
      </x:c>
      <x:c r="K3388" s="69" t="n">
        <x:f>IFERROR(I3388/H3388,"")</x:f>
        <x:v>0</x:v>
      </x:c>
      <x:c r="L3388" s="66" t="str">
        <x:f>IF(K3388="","","1 : "&amp;TEXT(K3388,"0.0"))</x:f>
      </x:c>
      <x:c r="M3388" s="66" t="str">
        <x:f>IF(J3388="","Baru/Tanpa Data",IF(J3388&lt;='Catatan &amp; Sumber'!$B$14,"Sangat Ketat",IF(J3388&lt;='Catatan &amp; Sumber'!$B$15,"Ketat",IF(J3388&lt;='Catatan &amp; Sumber'!$B$16,"Sedang","Relatif Longgar"))))</x:f>
        <x:v>Baru/Tanpa Data</x:v>
      </x:c>
      <x:c r="N3388" s="66" t="str">
        <x:v>Tidak Ada</x:v>
      </x:c>
      <x:c r="O3388" s="66" t="str">
        <x:v>Jawa Timur</x:v>
      </x:c>
      <x:c r="P3388" s="66" t="str">
        <x:v>Kota Surabaya</x:v>
      </x:c>
      <x:c r="Q3388" s="66" t="str">
        <x:v>https://snpmb.id/snbp/daya-tampung-snbp</x:v>
      </x:c>
      <x:c r="R3388" s="66" t="str">
        <x:v>https://sidatagrun-public-1076756628210.asia-southeast2.run.app/ptn_sn.php?ptn=481</x:v>
      </x:c>
    </x:row>
    <x:row r="3389">
      <x:c r="A3389" s="87" t="n">
        <x:v>4133</x:v>
      </x:c>
      <x:c r="B3389" s="66" t="n">
        <x:v>481</x:v>
      </x:c>
      <x:c r="C3389" s="66" t="str">
        <x:v>POLITEKNIK PERKAPALAN NEGERI SURABAYA</x:v>
      </x:c>
      <x:c r="D3389" s="66" t="str">
        <x:v>PTN Vokasi</x:v>
      </x:c>
      <x:c r="E3389" s="66" t="str">
        <x:v>24813012</x:v>
      </x:c>
      <x:c r="F3389" s="66" t="str">
        <x:v>TEKNIK KELISTRIKAN KAPAL</x:v>
      </x:c>
      <x:c r="G3389" s="66" t="str">
        <x:v>Diploma Tiga</x:v>
      </x:c>
      <x:c r="H3389" s="87" t="n">
        <x:v>27</x:v>
      </x:c>
      <x:c r="I3389" s="87" t="n">
        <x:v>34</x:v>
      </x:c>
      <x:c r="J3389" s="68" t="n">
        <x:f>IFERROR(H3389/I3389,"")</x:f>
        <x:v>0.7941176470588235</x:v>
      </x:c>
      <x:c r="K3389" s="69" t="n">
        <x:f>IFERROR(I3389/H3389,"")</x:f>
        <x:v>1.2592592592592593</x:v>
      </x:c>
      <x:c r="L3389" s="66" t="str">
        <x:f>IF(K3389="","","1 : "&amp;TEXT(K3389,"0.0"))</x:f>
        <x:v>1 : 1.3</x:v>
      </x:c>
      <x:c r="M3389" s="66" t="str">
        <x:f>IF(J3389="","Baru/Tanpa Data",IF(J3389&lt;='Catatan &amp; Sumber'!$B$14,"Sangat Ketat",IF(J3389&lt;='Catatan &amp; Sumber'!$B$15,"Ketat",IF(J3389&lt;='Catatan &amp; Sumber'!$B$16,"Sedang","Relatif Longgar"))))</x:f>
        <x:v>Relatif Longgar</x:v>
      </x:c>
      <x:c r="N3389" s="66" t="str">
        <x:v>Tidak Ada</x:v>
      </x:c>
      <x:c r="O3389" s="66" t="str">
        <x:v>Jawa Timur</x:v>
      </x:c>
      <x:c r="P3389" s="66" t="str">
        <x:v>Kota Surabaya</x:v>
      </x:c>
      <x:c r="Q3389" s="66" t="str">
        <x:v>https://snpmb.id/snbp/daya-tampung-snbp</x:v>
      </x:c>
      <x:c r="R3389" s="66" t="str">
        <x:v>https://sidatagrun-public-1076756628210.asia-southeast2.run.app/ptn_sn.php?ptn=481</x:v>
      </x:c>
    </x:row>
    <x:row r="3390">
      <x:c r="A3390" s="87" t="n">
        <x:v>3610</x:v>
      </x:c>
      <x:c r="B3390" s="66" t="n">
        <x:v>481</x:v>
      </x:c>
      <x:c r="C3390" s="66" t="str">
        <x:v>POLITEKNIK PERKAPALAN NEGERI SURABAYA</x:v>
      </x:c>
      <x:c r="D3390" s="66" t="str">
        <x:v>PTN Vokasi</x:v>
      </x:c>
      <x:c r="E3390" s="66" t="str">
        <x:v>24813013</x:v>
      </x:c>
      <x:c r="F3390" s="66" t="str">
        <x:v>TEKNIK PERMESINAN KAPAL</x:v>
      </x:c>
      <x:c r="G3390" s="66" t="str">
        <x:v>Diploma Tiga</x:v>
      </x:c>
      <x:c r="H3390" s="87" t="n">
        <x:v>27</x:v>
      </x:c>
      <x:c r="I3390" s="87" t="n">
        <x:v>57</x:v>
      </x:c>
      <x:c r="J3390" s="68" t="n">
        <x:f>IFERROR(H3390/I3390,"")</x:f>
        <x:v>0.47368421052631576</x:v>
      </x:c>
      <x:c r="K3390" s="69" t="n">
        <x:f>IFERROR(I3390/H3390,"")</x:f>
        <x:v>2.111111111111111</x:v>
      </x:c>
      <x:c r="L3390" s="66" t="str">
        <x:f>IF(K3390="","","1 : "&amp;TEXT(K3390,"0.0"))</x:f>
        <x:v>1 : 2.1</x:v>
      </x:c>
      <x:c r="M3390" s="66" t="str">
        <x:f>IF(J3390="","Baru/Tanpa Data",IF(J3390&lt;='Catatan &amp; Sumber'!$B$14,"Sangat Ketat",IF(J3390&lt;='Catatan &amp; Sumber'!$B$15,"Ketat",IF(J3390&lt;='Catatan &amp; Sumber'!$B$16,"Sedang","Relatif Longgar"))))</x:f>
        <x:v>Relatif Longgar</x:v>
      </x:c>
      <x:c r="N3390" s="66" t="str">
        <x:v>Tidak Ada</x:v>
      </x:c>
      <x:c r="O3390" s="66" t="str">
        <x:v>Jawa Timur</x:v>
      </x:c>
      <x:c r="P3390" s="66" t="str">
        <x:v>Kota Surabaya</x:v>
      </x:c>
      <x:c r="Q3390" s="66" t="str">
        <x:v>https://snpmb.id/snbp/daya-tampung-snbp</x:v>
      </x:c>
      <x:c r="R3390" s="66" t="str">
        <x:v>https://sidatagrun-public-1076756628210.asia-southeast2.run.app/ptn_sn.php?ptn=481</x:v>
      </x:c>
    </x:row>
    <x:row r="3391">
      <x:c r="A3391" s="87" t="n">
        <x:v>4241</x:v>
      </x:c>
      <x:c r="B3391" s="66" t="n">
        <x:v>481</x:v>
      </x:c>
      <x:c r="C3391" s="66" t="str">
        <x:v>POLITEKNIK PERKAPALAN NEGERI SURABAYA</x:v>
      </x:c>
      <x:c r="D3391" s="66" t="str">
        <x:v>PTN Vokasi</x:v>
      </x:c>
      <x:c r="E3391" s="66" t="str">
        <x:v>24813014</x:v>
      </x:c>
      <x:c r="F3391" s="66" t="str">
        <x:v>TEKNIK PERANCANGAN DAN KONSTRUKSI KAPAL</x:v>
      </x:c>
      <x:c r="G3391" s="66" t="str">
        <x:v>Diploma Tiga</x:v>
      </x:c>
      <x:c r="H3391" s="87" t="n">
        <x:v>27</x:v>
      </x:c>
      <x:c r="I3391" s="87" t="n">
        <x:v>30</x:v>
      </x:c>
      <x:c r="J3391" s="68" t="n">
        <x:f>IFERROR(H3391/I3391,"")</x:f>
        <x:v>0.9</x:v>
      </x:c>
      <x:c r="K3391" s="69" t="n">
        <x:f>IFERROR(I3391/H3391,"")</x:f>
        <x:v>1.1111111111111112</x:v>
      </x:c>
      <x:c r="L3391" s="66" t="str">
        <x:f>IF(K3391="","","1 : "&amp;TEXT(K3391,"0.0"))</x:f>
        <x:v>1 : 1.1</x:v>
      </x:c>
      <x:c r="M3391" s="66" t="str">
        <x:f>IF(J3391="","Baru/Tanpa Data",IF(J3391&lt;='Catatan &amp; Sumber'!$B$14,"Sangat Ketat",IF(J3391&lt;='Catatan &amp; Sumber'!$B$15,"Ketat",IF(J3391&lt;='Catatan &amp; Sumber'!$B$16,"Sedang","Relatif Longgar"))))</x:f>
        <x:v>Relatif Longgar</x:v>
      </x:c>
      <x:c r="N3391" s="66" t="str">
        <x:v>Tidak Ada</x:v>
      </x:c>
      <x:c r="O3391" s="66" t="str">
        <x:v>Jawa Timur</x:v>
      </x:c>
      <x:c r="P3391" s="66" t="str">
        <x:v>Kota Surabaya</x:v>
      </x:c>
      <x:c r="Q3391" s="66" t="str">
        <x:v>https://snpmb.id/snbp/daya-tampung-snbp</x:v>
      </x:c>
      <x:c r="R3391" s="66" t="str">
        <x:v>https://sidatagrun-public-1076756628210.asia-southeast2.run.app/ptn_sn.php?ptn=481</x:v>
      </x:c>
    </x:row>
    <x:row r="3392">
      <x:c r="A3392" s="87" t="n">
        <x:v>4113</x:v>
      </x:c>
      <x:c r="B3392" s="66" t="n">
        <x:v>481</x:v>
      </x:c>
      <x:c r="C3392" s="66" t="str">
        <x:v>POLITEKNIK PERKAPALAN NEGERI SURABAYA</x:v>
      </x:c>
      <x:c r="D3392" s="66" t="str">
        <x:v>PTN Vokasi</x:v>
      </x:c>
      <x:c r="E3392" s="66" t="str">
        <x:v>24813015</x:v>
      </x:c>
      <x:c r="F3392" s="66" t="str">
        <x:v>TEKNIK BANGUNAN KAPAL</x:v>
      </x:c>
      <x:c r="G3392" s="66" t="str">
        <x:v>Diploma Tiga</x:v>
      </x:c>
      <x:c r="H3392" s="87" t="n">
        <x:v>27</x:v>
      </x:c>
      <x:c r="I3392" s="87" t="n">
        <x:v>35</x:v>
      </x:c>
      <x:c r="J3392" s="68" t="n">
        <x:f>IFERROR(H3392/I3392,"")</x:f>
        <x:v>0.7714285714285715</x:v>
      </x:c>
      <x:c r="K3392" s="69" t="n">
        <x:f>IFERROR(I3392/H3392,"")</x:f>
        <x:v>1.2962962962962963</x:v>
      </x:c>
      <x:c r="L3392" s="66" t="str">
        <x:f>IF(K3392="","","1 : "&amp;TEXT(K3392,"0.0"))</x:f>
        <x:v>1 : 1.3</x:v>
      </x:c>
      <x:c r="M3392" s="66" t="str">
        <x:f>IF(J3392="","Baru/Tanpa Data",IF(J3392&lt;='Catatan &amp; Sumber'!$B$14,"Sangat Ketat",IF(J3392&lt;='Catatan &amp; Sumber'!$B$15,"Ketat",IF(J3392&lt;='Catatan &amp; Sumber'!$B$16,"Sedang","Relatif Longgar"))))</x:f>
        <x:v>Relatif Longgar</x:v>
      </x:c>
      <x:c r="N3392" s="66" t="str">
        <x:v>Tidak Ada</x:v>
      </x:c>
      <x:c r="O3392" s="66" t="str">
        <x:v>Jawa Timur</x:v>
      </x:c>
      <x:c r="P3392" s="66" t="str">
        <x:v>Kota Surabaya</x:v>
      </x:c>
      <x:c r="Q3392" s="66" t="str">
        <x:v>https://snpmb.id/snbp/daya-tampung-snbp</x:v>
      </x:c>
      <x:c r="R3392" s="66" t="str">
        <x:v>https://sidatagrun-public-1076756628210.asia-southeast2.run.app/ptn_sn.php?ptn=481</x:v>
      </x:c>
    </x:row>
    <x:row r="3393">
      <x:c r="A3393" s="87" t="n">
        <x:v>1413</x:v>
      </x:c>
      <x:c r="B3393" s="66" t="n">
        <x:v>482</x:v>
      </x:c>
      <x:c r="C3393" s="66" t="str">
        <x:v>POLITEKNIK ELEKTRONIKA NEGERI SURABAYA (PENS)</x:v>
      </x:c>
      <x:c r="D3393" s="66" t="str">
        <x:v>PTN Vokasi</x:v>
      </x:c>
      <x:c r="E3393" s="66" t="str">
        <x:v>24822001</x:v>
      </x:c>
      <x:c r="F3393" s="66" t="str">
        <x:v>TEKNIK ELEKTRONIKA</x:v>
      </x:c>
      <x:c r="G3393" s="66" t="str">
        <x:v>Sarjana Terapan</x:v>
      </x:c>
      <x:c r="H3393" s="87" t="n">
        <x:v>45</x:v>
      </x:c>
      <x:c r="I3393" s="87" t="n">
        <x:v>436</x:v>
      </x:c>
      <x:c r="J3393" s="68" t="n">
        <x:f>IFERROR(H3393/I3393,"")</x:f>
        <x:v>0.10321100917431193</x:v>
      </x:c>
      <x:c r="K3393" s="69" t="n">
        <x:f>IFERROR(I3393/H3393,"")</x:f>
        <x:v>9.688888888888888</x:v>
      </x:c>
      <x:c r="L3393" s="66" t="str">
        <x:f>IF(K3393="","","1 : "&amp;TEXT(K3393,"0.0"))</x:f>
        <x:v>1 : 9.7</x:v>
      </x:c>
      <x:c r="M3393" s="66" t="str">
        <x:f>IF(J3393="","Baru/Tanpa Data",IF(J3393&lt;='Catatan &amp; Sumber'!$B$14,"Sangat Ketat",IF(J3393&lt;='Catatan &amp; Sumber'!$B$15,"Ketat",IF(J3393&lt;='Catatan &amp; Sumber'!$B$16,"Sedang","Relatif Longgar"))))</x:f>
        <x:v>Relatif Longgar</x:v>
      </x:c>
      <x:c r="N3393" s="66" t="str">
        <x:v>Tidak Ada</x:v>
      </x:c>
      <x:c r="O3393" s="66" t="str">
        <x:v>Jawa Timur</x:v>
      </x:c>
      <x:c r="P3393" s="66" t="str">
        <x:v>Kota Surabaya</x:v>
      </x:c>
      <x:c r="Q3393" s="66" t="str">
        <x:v>https://snpmb.id/snbp/daya-tampung-snbp</x:v>
      </x:c>
      <x:c r="R3393" s="66" t="str">
        <x:v>https://sidatagrun-public-1076756628210.asia-southeast2.run.app/ptn_sn.php?ptn=482</x:v>
      </x:c>
    </x:row>
    <x:row r="3394">
      <x:c r="A3394" s="87" t="n">
        <x:v>2408</x:v>
      </x:c>
      <x:c r="B3394" s="66" t="n">
        <x:v>482</x:v>
      </x:c>
      <x:c r="C3394" s="66" t="str">
        <x:v>POLITEKNIK ELEKTRONIKA NEGERI SURABAYA (PENS)</x:v>
      </x:c>
      <x:c r="D3394" s="66" t="str">
        <x:v>PTN Vokasi</x:v>
      </x:c>
      <x:c r="E3394" s="66" t="str">
        <x:v>24822002</x:v>
      </x:c>
      <x:c r="F3394" s="66" t="str">
        <x:v>TEKNIK TELEKOMUNIKASI</x:v>
      </x:c>
      <x:c r="G3394" s="66" t="str">
        <x:v>Sarjana Terapan</x:v>
      </x:c>
      <x:c r="H3394" s="87" t="n">
        <x:v>36</x:v>
      </x:c>
      <x:c r="I3394" s="87" t="n">
        <x:v>183</x:v>
      </x:c>
      <x:c r="J3394" s="68" t="n">
        <x:f>IFERROR(H3394/I3394,"")</x:f>
        <x:v>0.19672131147540983</x:v>
      </x:c>
      <x:c r="K3394" s="69" t="n">
        <x:f>IFERROR(I3394/H3394,"")</x:f>
        <x:v>5.083333333333333</x:v>
      </x:c>
      <x:c r="L3394" s="66" t="str">
        <x:f>IF(K3394="","","1 : "&amp;TEXT(K3394,"0.0"))</x:f>
        <x:v>1 : 5.1</x:v>
      </x:c>
      <x:c r="M3394" s="66" t="str">
        <x:f>IF(J3394="","Baru/Tanpa Data",IF(J3394&lt;='Catatan &amp; Sumber'!$B$14,"Sangat Ketat",IF(J3394&lt;='Catatan &amp; Sumber'!$B$15,"Ketat",IF(J3394&lt;='Catatan &amp; Sumber'!$B$16,"Sedang","Relatif Longgar"))))</x:f>
        <x:v>Relatif Longgar</x:v>
      </x:c>
      <x:c r="N3394" s="66" t="str">
        <x:v>Tidak Ada</x:v>
      </x:c>
      <x:c r="O3394" s="66" t="str">
        <x:v>Jawa Timur</x:v>
      </x:c>
      <x:c r="P3394" s="66" t="str">
        <x:v>Kota Surabaya</x:v>
      </x:c>
      <x:c r="Q3394" s="66" t="str">
        <x:v>https://snpmb.id/snbp/daya-tampung-snbp</x:v>
      </x:c>
      <x:c r="R3394" s="66" t="str">
        <x:v>https://sidatagrun-public-1076756628210.asia-southeast2.run.app/ptn_sn.php?ptn=482</x:v>
      </x:c>
    </x:row>
    <x:row r="3395">
      <x:c r="A3395" s="87" t="n">
        <x:v>939</x:v>
      </x:c>
      <x:c r="B3395" s="66" t="n">
        <x:v>482</x:v>
      </x:c>
      <x:c r="C3395" s="66" t="str">
        <x:v>POLITEKNIK ELEKTRONIKA NEGERI SURABAYA (PENS)</x:v>
      </x:c>
      <x:c r="D3395" s="66" t="str">
        <x:v>PTN Vokasi</x:v>
      </x:c>
      <x:c r="E3395" s="66" t="str">
        <x:v>24822003</x:v>
      </x:c>
      <x:c r="F3395" s="66" t="str">
        <x:v>TEKNIK ELEKTRO INDUSTRI</x:v>
      </x:c>
      <x:c r="G3395" s="66" t="str">
        <x:v>Sarjana Terapan</x:v>
      </x:c>
      <x:c r="H3395" s="87" t="n">
        <x:v>36</x:v>
      </x:c>
      <x:c r="I3395" s="87" t="n">
        <x:v>482</x:v>
      </x:c>
      <x:c r="J3395" s="68" t="n">
        <x:f>IFERROR(H3395/I3395,"")</x:f>
        <x:v>0.07468879668049792</x:v>
      </x:c>
      <x:c r="K3395" s="69" t="n">
        <x:f>IFERROR(I3395/H3395,"")</x:f>
        <x:v>13.38888888888889</x:v>
      </x:c>
      <x:c r="L3395" s="66" t="str">
        <x:f>IF(K3395="","","1 : "&amp;TEXT(K3395,"0.0"))</x:f>
        <x:v>1 : 13.4</x:v>
      </x:c>
      <x:c r="M3395" s="66" t="str">
        <x:f>IF(J3395="","Baru/Tanpa Data",IF(J3395&lt;='Catatan &amp; Sumber'!$B$14,"Sangat Ketat",IF(J3395&lt;='Catatan &amp; Sumber'!$B$15,"Ketat",IF(J3395&lt;='Catatan &amp; Sumber'!$B$16,"Sedang","Relatif Longgar"))))</x:f>
        <x:v>Sedang</x:v>
      </x:c>
      <x:c r="N3395" s="66" t="str">
        <x:v>Tidak Ada</x:v>
      </x:c>
      <x:c r="O3395" s="66" t="str">
        <x:v>Jawa Timur</x:v>
      </x:c>
      <x:c r="P3395" s="66" t="str">
        <x:v>Kota Surabaya</x:v>
      </x:c>
      <x:c r="Q3395" s="66" t="str">
        <x:v>https://snpmb.id/snbp/daya-tampung-snbp</x:v>
      </x:c>
      <x:c r="R3395" s="66" t="str">
        <x:v>https://sidatagrun-public-1076756628210.asia-southeast2.run.app/ptn_sn.php?ptn=482</x:v>
      </x:c>
    </x:row>
    <x:row r="3396">
      <x:c r="A3396" s="87" t="n">
        <x:v>777</x:v>
      </x:c>
      <x:c r="B3396" s="66" t="n">
        <x:v>482</x:v>
      </x:c>
      <x:c r="C3396" s="66" t="str">
        <x:v>POLITEKNIK ELEKTRONIKA NEGERI SURABAYA (PENS)</x:v>
      </x:c>
      <x:c r="D3396" s="66" t="str">
        <x:v>PTN Vokasi</x:v>
      </x:c>
      <x:c r="E3396" s="66" t="str">
        <x:v>24822004</x:v>
      </x:c>
      <x:c r="F3396" s="66" t="str">
        <x:v>TEKNIK INFORMATIKA</x:v>
      </x:c>
      <x:c r="G3396" s="66" t="str">
        <x:v>Sarjana Terapan</x:v>
      </x:c>
      <x:c r="H3396" s="87" t="n">
        <x:v>36</x:v>
      </x:c>
      <x:c r="I3396" s="87" t="n">
        <x:v>548</x:v>
      </x:c>
      <x:c r="J3396" s="68" t="n">
        <x:f>IFERROR(H3396/I3396,"")</x:f>
        <x:v>0.06569343065693431</x:v>
      </x:c>
      <x:c r="K3396" s="69" t="n">
        <x:f>IFERROR(I3396/H3396,"")</x:f>
        <x:v>15.222222222222221</x:v>
      </x:c>
      <x:c r="L3396" s="66" t="str">
        <x:f>IF(K3396="","","1 : "&amp;TEXT(K3396,"0.0"))</x:f>
        <x:v>1 : 15.2</x:v>
      </x:c>
      <x:c r="M3396" s="66" t="str">
        <x:f>IF(J3396="","Baru/Tanpa Data",IF(J3396&lt;='Catatan &amp; Sumber'!$B$14,"Sangat Ketat",IF(J3396&lt;='Catatan &amp; Sumber'!$B$15,"Ketat",IF(J3396&lt;='Catatan &amp; Sumber'!$B$16,"Sedang","Relatif Longgar"))))</x:f>
        <x:v>Sedang</x:v>
      </x:c>
      <x:c r="N3396" s="66" t="str">
        <x:v>Tidak Ada</x:v>
      </x:c>
      <x:c r="O3396" s="66" t="str">
        <x:v>Jawa Timur</x:v>
      </x:c>
      <x:c r="P3396" s="66" t="str">
        <x:v>Kota Surabaya</x:v>
      </x:c>
      <x:c r="Q3396" s="66" t="str">
        <x:v>https://snpmb.id/snbp/daya-tampung-snbp</x:v>
      </x:c>
      <x:c r="R3396" s="66" t="str">
        <x:v>https://sidatagrun-public-1076756628210.asia-southeast2.run.app/ptn_sn.php?ptn=482</x:v>
      </x:c>
    </x:row>
    <x:row r="3397">
      <x:c r="A3397" s="87" t="n">
        <x:v>1624</x:v>
      </x:c>
      <x:c r="B3397" s="66" t="n">
        <x:v>482</x:v>
      </x:c>
      <x:c r="C3397" s="66" t="str">
        <x:v>POLITEKNIK ELEKTRONIKA NEGERI SURABAYA (PENS)</x:v>
      </x:c>
      <x:c r="D3397" s="66" t="str">
        <x:v>PTN Vokasi</x:v>
      </x:c>
      <x:c r="E3397" s="66" t="str">
        <x:v>24822005</x:v>
      </x:c>
      <x:c r="F3397" s="66" t="str">
        <x:v>TEKNIK KOMPUTER</x:v>
      </x:c>
      <x:c r="G3397" s="66" t="str">
        <x:v>Sarjana Terapan</x:v>
      </x:c>
      <x:c r="H3397" s="87" t="n">
        <x:v>36</x:v>
      </x:c>
      <x:c r="I3397" s="87" t="n">
        <x:v>303</x:v>
      </x:c>
      <x:c r="J3397" s="68" t="n">
        <x:f>IFERROR(H3397/I3397,"")</x:f>
        <x:v>0.1188118811881188</x:v>
      </x:c>
      <x:c r="K3397" s="69" t="n">
        <x:f>IFERROR(I3397/H3397,"")</x:f>
        <x:v>8.416666666666666</x:v>
      </x:c>
      <x:c r="L3397" s="66" t="str">
        <x:f>IF(K3397="","","1 : "&amp;TEXT(K3397,"0.0"))</x:f>
        <x:v>1 : 8.4</x:v>
      </x:c>
      <x:c r="M3397" s="66" t="str">
        <x:f>IF(J3397="","Baru/Tanpa Data",IF(J3397&lt;='Catatan &amp; Sumber'!$B$14,"Sangat Ketat",IF(J3397&lt;='Catatan &amp; Sumber'!$B$15,"Ketat",IF(J3397&lt;='Catatan &amp; Sumber'!$B$16,"Sedang","Relatif Longgar"))))</x:f>
        <x:v>Relatif Longgar</x:v>
      </x:c>
      <x:c r="N3397" s="66" t="str">
        <x:v>Tidak Ada</x:v>
      </x:c>
      <x:c r="O3397" s="66" t="str">
        <x:v>Jawa Timur</x:v>
      </x:c>
      <x:c r="P3397" s="66" t="str">
        <x:v>Kota Surabaya</x:v>
      </x:c>
      <x:c r="Q3397" s="66" t="str">
        <x:v>https://snpmb.id/snbp/daya-tampung-snbp</x:v>
      </x:c>
      <x:c r="R3397" s="66" t="str">
        <x:v>https://sidatagrun-public-1076756628210.asia-southeast2.run.app/ptn_sn.php?ptn=482</x:v>
      </x:c>
    </x:row>
    <x:row r="3398">
      <x:c r="A3398" s="87" t="n">
        <x:v>2006</x:v>
      </x:c>
      <x:c r="B3398" s="66" t="n">
        <x:v>482</x:v>
      </x:c>
      <x:c r="C3398" s="66" t="str">
        <x:v>POLITEKNIK ELEKTRONIKA NEGERI SURABAYA (PENS)</x:v>
      </x:c>
      <x:c r="D3398" s="66" t="str">
        <x:v>PTN Vokasi</x:v>
      </x:c>
      <x:c r="E3398" s="66" t="str">
        <x:v>24822006</x:v>
      </x:c>
      <x:c r="F3398" s="66" t="str">
        <x:v>TEKNIK MEKATRONIKA</x:v>
      </x:c>
      <x:c r="G3398" s="66" t="str">
        <x:v>Sarjana Terapan</x:v>
      </x:c>
      <x:c r="H3398" s="87" t="n">
        <x:v>36</x:v>
      </x:c>
      <x:c r="I3398" s="87" t="n">
        <x:v>236</x:v>
      </x:c>
      <x:c r="J3398" s="68" t="n">
        <x:f>IFERROR(H3398/I3398,"")</x:f>
        <x:v>0.15254237288135594</x:v>
      </x:c>
      <x:c r="K3398" s="69" t="n">
        <x:f>IFERROR(I3398/H3398,"")</x:f>
        <x:v>6.555555555555555</x:v>
      </x:c>
      <x:c r="L3398" s="66" t="str">
        <x:f>IF(K3398="","","1 : "&amp;TEXT(K3398,"0.0"))</x:f>
        <x:v>1 : 6.6</x:v>
      </x:c>
      <x:c r="M3398" s="66" t="str">
        <x:f>IF(J3398="","Baru/Tanpa Data",IF(J3398&lt;='Catatan &amp; Sumber'!$B$14,"Sangat Ketat",IF(J3398&lt;='Catatan &amp; Sumber'!$B$15,"Ketat",IF(J3398&lt;='Catatan &amp; Sumber'!$B$16,"Sedang","Relatif Longgar"))))</x:f>
        <x:v>Relatif Longgar</x:v>
      </x:c>
      <x:c r="N3398" s="66" t="str">
        <x:v>Tidak Ada</x:v>
      </x:c>
      <x:c r="O3398" s="66" t="str">
        <x:v>Jawa Timur</x:v>
      </x:c>
      <x:c r="P3398" s="66" t="str">
        <x:v>Kota Surabaya</x:v>
      </x:c>
      <x:c r="Q3398" s="66" t="str">
        <x:v>https://snpmb.id/snbp/daya-tampung-snbp</x:v>
      </x:c>
      <x:c r="R3398" s="66" t="str">
        <x:v>https://sidatagrun-public-1076756628210.asia-southeast2.run.app/ptn_sn.php?ptn=482</x:v>
      </x:c>
    </x:row>
    <x:row r="3399">
      <x:c r="A3399" s="87" t="n">
        <x:v>2151</x:v>
      </x:c>
      <x:c r="B3399" s="66" t="n">
        <x:v>482</x:v>
      </x:c>
      <x:c r="C3399" s="66" t="str">
        <x:v>POLITEKNIK ELEKTRONIKA NEGERI SURABAYA (PENS)</x:v>
      </x:c>
      <x:c r="D3399" s="66" t="str">
        <x:v>PTN Vokasi</x:v>
      </x:c>
      <x:c r="E3399" s="66" t="str">
        <x:v>24822007</x:v>
      </x:c>
      <x:c r="F3399" s="66" t="str">
        <x:v>SISTEM PEMBANGKIT ENERGI</x:v>
      </x:c>
      <x:c r="G3399" s="66" t="str">
        <x:v>Sarjana Terapan</x:v>
      </x:c>
      <x:c r="H3399" s="87" t="n">
        <x:v>36</x:v>
      </x:c>
      <x:c r="I3399" s="87" t="n">
        <x:v>216</x:v>
      </x:c>
      <x:c r="J3399" s="68" t="n">
        <x:f>IFERROR(H3399/I3399,"")</x:f>
        <x:v>0.16666666666666666</x:v>
      </x:c>
      <x:c r="K3399" s="69" t="n">
        <x:f>IFERROR(I3399/H3399,"")</x:f>
        <x:v>6</x:v>
      </x:c>
      <x:c r="L3399" s="66" t="str">
        <x:f>IF(K3399="","","1 : "&amp;TEXT(K3399,"0.0"))</x:f>
        <x:v>1 : 6.0</x:v>
      </x:c>
      <x:c r="M3399" s="66" t="str">
        <x:f>IF(J3399="","Baru/Tanpa Data",IF(J3399&lt;='Catatan &amp; Sumber'!$B$14,"Sangat Ketat",IF(J3399&lt;='Catatan &amp; Sumber'!$B$15,"Ketat",IF(J3399&lt;='Catatan &amp; Sumber'!$B$16,"Sedang","Relatif Longgar"))))</x:f>
        <x:v>Relatif Longgar</x:v>
      </x:c>
      <x:c r="N3399" s="66" t="str">
        <x:v>Tidak Ada</x:v>
      </x:c>
      <x:c r="O3399" s="66" t="str">
        <x:v>Jawa Timur</x:v>
      </x:c>
      <x:c r="P3399" s="66" t="str">
        <x:v>Kota Surabaya</x:v>
      </x:c>
      <x:c r="Q3399" s="66" t="str">
        <x:v>https://snpmb.id/snbp/daya-tampung-snbp</x:v>
      </x:c>
      <x:c r="R3399" s="66" t="str">
        <x:v>https://sidatagrun-public-1076756628210.asia-southeast2.run.app/ptn_sn.php?ptn=482</x:v>
      </x:c>
    </x:row>
    <x:row r="3400">
      <x:c r="A3400" s="87" t="n">
        <x:v>2569</x:v>
      </x:c>
      <x:c r="B3400" s="66" t="n">
        <x:v>482</x:v>
      </x:c>
      <x:c r="C3400" s="66" t="str">
        <x:v>POLITEKNIK ELEKTRONIKA NEGERI SURABAYA (PENS)</x:v>
      </x:c>
      <x:c r="D3400" s="66" t="str">
        <x:v>PTN Vokasi</x:v>
      </x:c>
      <x:c r="E3400" s="66" t="str">
        <x:v>24822008</x:v>
      </x:c>
      <x:c r="F3400" s="66" t="str">
        <x:v>TEKNOLOGI GAME</x:v>
      </x:c>
      <x:c r="G3400" s="66" t="str">
        <x:v>Sarjana Terapan</x:v>
      </x:c>
      <x:c r="H3400" s="87" t="n">
        <x:v>36</x:v>
      </x:c>
      <x:c r="I3400" s="87" t="n">
        <x:v>161</x:v>
      </x:c>
      <x:c r="J3400" s="68" t="n">
        <x:f>IFERROR(H3400/I3400,"")</x:f>
        <x:v>0.2236024844720497</x:v>
      </x:c>
      <x:c r="K3400" s="69" t="n">
        <x:f>IFERROR(I3400/H3400,"")</x:f>
        <x:v>4.472222222222222</x:v>
      </x:c>
      <x:c r="L3400" s="66" t="str">
        <x:f>IF(K3400="","","1 : "&amp;TEXT(K3400,"0.0"))</x:f>
        <x:v>1 : 4.5</x:v>
      </x:c>
      <x:c r="M3400" s="66" t="str">
        <x:f>IF(J3400="","Baru/Tanpa Data",IF(J3400&lt;='Catatan &amp; Sumber'!$B$14,"Sangat Ketat",IF(J3400&lt;='Catatan &amp; Sumber'!$B$15,"Ketat",IF(J3400&lt;='Catatan &amp; Sumber'!$B$16,"Sedang","Relatif Longgar"))))</x:f>
        <x:v>Relatif Longgar</x:v>
      </x:c>
      <x:c r="N3400" s="66" t="str">
        <x:v>Tidak Ada</x:v>
      </x:c>
      <x:c r="O3400" s="66" t="str">
        <x:v>Jawa Timur</x:v>
      </x:c>
      <x:c r="P3400" s="66" t="str">
        <x:v>Kota Surabaya</x:v>
      </x:c>
      <x:c r="Q3400" s="66" t="str">
        <x:v>https://snpmb.id/snbp/daya-tampung-snbp</x:v>
      </x:c>
      <x:c r="R3400" s="66" t="str">
        <x:v>https://sidatagrun-public-1076756628210.asia-southeast2.run.app/ptn_sn.php?ptn=482</x:v>
      </x:c>
    </x:row>
    <x:row r="3401">
      <x:c r="A3401" s="87" t="n">
        <x:v>2211</x:v>
      </x:c>
      <x:c r="B3401" s="66" t="n">
        <x:v>482</x:v>
      </x:c>
      <x:c r="C3401" s="66" t="str">
        <x:v>POLITEKNIK ELEKTRONIKA NEGERI SURABAYA (PENS)</x:v>
      </x:c>
      <x:c r="D3401" s="66" t="str">
        <x:v>PTN Vokasi</x:v>
      </x:c>
      <x:c r="E3401" s="66" t="str">
        <x:v>24822009</x:v>
      </x:c>
      <x:c r="F3401" s="66" t="str">
        <x:v>TEKNOLOGI REKAYASA INTERNET</x:v>
      </x:c>
      <x:c r="G3401" s="66" t="str">
        <x:v>Sarjana Terapan</x:v>
      </x:c>
      <x:c r="H3401" s="87" t="n">
        <x:v>31</x:v>
      </x:c>
      <x:c r="I3401" s="87" t="n">
        <x:v>179</x:v>
      </x:c>
      <x:c r="J3401" s="68" t="n">
        <x:f>IFERROR(H3401/I3401,"")</x:f>
        <x:v>0.17318435754189945</x:v>
      </x:c>
      <x:c r="K3401" s="69" t="n">
        <x:f>IFERROR(I3401/H3401,"")</x:f>
        <x:v>5.774193548387097</x:v>
      </x:c>
      <x:c r="L3401" s="66" t="str">
        <x:f>IF(K3401="","","1 : "&amp;TEXT(K3401,"0.0"))</x:f>
        <x:v>1 : 5.8</x:v>
      </x:c>
      <x:c r="M3401" s="66" t="str">
        <x:f>IF(J3401="","Baru/Tanpa Data",IF(J3401&lt;='Catatan &amp; Sumber'!$B$14,"Sangat Ketat",IF(J3401&lt;='Catatan &amp; Sumber'!$B$15,"Ketat",IF(J3401&lt;='Catatan &amp; Sumber'!$B$16,"Sedang","Relatif Longgar"))))</x:f>
        <x:v>Relatif Longgar</x:v>
      </x:c>
      <x:c r="N3401" s="66" t="str">
        <x:v>Tidak Ada</x:v>
      </x:c>
      <x:c r="O3401" s="66" t="str">
        <x:v>Jawa Timur</x:v>
      </x:c>
      <x:c r="P3401" s="66" t="str">
        <x:v>Kota Surabaya</x:v>
      </x:c>
      <x:c r="Q3401" s="66" t="str">
        <x:v>https://snpmb.id/snbp/daya-tampung-snbp</x:v>
      </x:c>
      <x:c r="R3401" s="66" t="str">
        <x:v>https://sidatagrun-public-1076756628210.asia-southeast2.run.app/ptn_sn.php?ptn=482</x:v>
      </x:c>
    </x:row>
    <x:row r="3402">
      <x:c r="A3402" s="87" t="n">
        <x:v>2370</x:v>
      </x:c>
      <x:c r="B3402" s="66" t="n">
        <x:v>482</x:v>
      </x:c>
      <x:c r="C3402" s="66" t="str">
        <x:v>POLITEKNIK ELEKTRONIKA NEGERI SURABAYA (PENS)</x:v>
      </x:c>
      <x:c r="D3402" s="66" t="str">
        <x:v>PTN Vokasi</x:v>
      </x:c>
      <x:c r="E3402" s="66" t="str">
        <x:v>24822010</x:v>
      </x:c>
      <x:c r="F3402" s="66" t="str">
        <x:v>TEKNOLOGI REKAYASA MULTIMEDIA</x:v>
      </x:c>
      <x:c r="G3402" s="66" t="str">
        <x:v>Sarjana Terapan</x:v>
      </x:c>
      <x:c r="H3402" s="87" t="n">
        <x:v>31</x:v>
      </x:c>
      <x:c r="I3402" s="87" t="n">
        <x:v>162</x:v>
      </x:c>
      <x:c r="J3402" s="68" t="n">
        <x:f>IFERROR(H3402/I3402,"")</x:f>
        <x:v>0.19135802469135801</x:v>
      </x:c>
      <x:c r="K3402" s="69" t="n">
        <x:f>IFERROR(I3402/H3402,"")</x:f>
        <x:v>5.225806451612903</x:v>
      </x:c>
      <x:c r="L3402" s="66" t="str">
        <x:f>IF(K3402="","","1 : "&amp;TEXT(K3402,"0.0"))</x:f>
        <x:v>1 : 5.2</x:v>
      </x:c>
      <x:c r="M3402" s="66" t="str">
        <x:f>IF(J3402="","Baru/Tanpa Data",IF(J3402&lt;='Catatan &amp; Sumber'!$B$14,"Sangat Ketat",IF(J3402&lt;='Catatan &amp; Sumber'!$B$15,"Ketat",IF(J3402&lt;='Catatan &amp; Sumber'!$B$16,"Sedang","Relatif Longgar"))))</x:f>
        <x:v>Relatif Longgar</x:v>
      </x:c>
      <x:c r="N3402" s="66" t="str">
        <x:v>Tidak Ada</x:v>
      </x:c>
      <x:c r="O3402" s="66" t="str">
        <x:v>Jawa Timur</x:v>
      </x:c>
      <x:c r="P3402" s="66" t="str">
        <x:v>Kota Surabaya</x:v>
      </x:c>
      <x:c r="Q3402" s="66" t="str">
        <x:v>https://snpmb.id/snbp/daya-tampung-snbp</x:v>
      </x:c>
      <x:c r="R3402" s="66" t="str">
        <x:v>https://sidatagrun-public-1076756628210.asia-southeast2.run.app/ptn_sn.php?ptn=482</x:v>
      </x:c>
    </x:row>
    <x:row r="3403">
      <x:c r="A3403" s="87" t="n">
        <x:v>1956</x:v>
      </x:c>
      <x:c r="B3403" s="66" t="n">
        <x:v>482</x:v>
      </x:c>
      <x:c r="C3403" s="66" t="str">
        <x:v>POLITEKNIK ELEKTRONIKA NEGERI SURABAYA (PENS)</x:v>
      </x:c>
      <x:c r="D3403" s="66" t="str">
        <x:v>PTN Vokasi</x:v>
      </x:c>
      <x:c r="E3403" s="66" t="str">
        <x:v>24822011</x:v>
      </x:c>
      <x:c r="F3403" s="66" t="str">
        <x:v>SAINS DATA TERAPAN</x:v>
      </x:c>
      <x:c r="G3403" s="66" t="str">
        <x:v>Sarjana Terapan</x:v>
      </x:c>
      <x:c r="H3403" s="87" t="n">
        <x:v>31</x:v>
      </x:c>
      <x:c r="I3403" s="87" t="n">
        <x:v>211</x:v>
      </x:c>
      <x:c r="J3403" s="68" t="n">
        <x:f>IFERROR(H3403/I3403,"")</x:f>
        <x:v>0.14691943127962084</x:v>
      </x:c>
      <x:c r="K3403" s="69" t="n">
        <x:f>IFERROR(I3403/H3403,"")</x:f>
        <x:v>6.806451612903226</x:v>
      </x:c>
      <x:c r="L3403" s="66" t="str">
        <x:f>IF(K3403="","","1 : "&amp;TEXT(K3403,"0.0"))</x:f>
        <x:v>1 : 6.8</x:v>
      </x:c>
      <x:c r="M3403" s="66" t="str">
        <x:f>IF(J3403="","Baru/Tanpa Data",IF(J3403&lt;='Catatan &amp; Sumber'!$B$14,"Sangat Ketat",IF(J3403&lt;='Catatan &amp; Sumber'!$B$15,"Ketat",IF(J3403&lt;='Catatan &amp; Sumber'!$B$16,"Sedang","Relatif Longgar"))))</x:f>
        <x:v>Relatif Longgar</x:v>
      </x:c>
      <x:c r="N3403" s="66" t="str">
        <x:v>Tidak Ada</x:v>
      </x:c>
      <x:c r="O3403" s="66" t="str">
        <x:v>Jawa Timur</x:v>
      </x:c>
      <x:c r="P3403" s="66" t="str">
        <x:v>Kota Surabaya</x:v>
      </x:c>
      <x:c r="Q3403" s="66" t="str">
        <x:v>https://snpmb.id/snbp/daya-tampung-snbp</x:v>
      </x:c>
      <x:c r="R3403" s="66" t="str">
        <x:v>https://sidatagrun-public-1076756628210.asia-southeast2.run.app/ptn_sn.php?ptn=482</x:v>
      </x:c>
    </x:row>
    <x:row r="3404">
      <x:c r="A3404" s="87"/>
      <x:c r="B3404" s="66" t="n">
        <x:v>482</x:v>
      </x:c>
      <x:c r="C3404" s="66" t="str">
        <x:v>POLITEKNIK ELEKTRONIKA NEGERI SURABAYA (PENS)</x:v>
      </x:c>
      <x:c r="D3404" s="66" t="str">
        <x:v>PTN Vokasi</x:v>
      </x:c>
      <x:c r="E3404" s="66" t="str">
        <x:v>24822022</x:v>
      </x:c>
      <x:c r="F3404" s="66" t="str">
        <x:v>BISNIS DIGITAL</x:v>
      </x:c>
      <x:c r="G3404" s="66" t="str">
        <x:v>Sarjana Terapan</x:v>
      </x:c>
      <x:c r="H3404" s="87" t="n">
        <x:v>27</x:v>
      </x:c>
      <x:c r="I3404" s="87"/>
      <x:c r="J3404" s="68" t="str">
        <x:f>IFERROR(H3404/I3404,"")</x:f>
      </x:c>
      <x:c r="K3404" s="69" t="n">
        <x:f>IFERROR(I3404/H3404,"")</x:f>
        <x:v>0</x:v>
      </x:c>
      <x:c r="L3404" s="66" t="str">
        <x:f>IF(K3404="","","1 : "&amp;TEXT(K3404,"0.0"))</x:f>
      </x:c>
      <x:c r="M3404" s="66" t="str">
        <x:f>IF(J3404="","Baru/Tanpa Data",IF(J3404&lt;='Catatan &amp; Sumber'!$B$14,"Sangat Ketat",IF(J3404&lt;='Catatan &amp; Sumber'!$B$15,"Ketat",IF(J3404&lt;='Catatan &amp; Sumber'!$B$16,"Sedang","Relatif Longgar"))))</x:f>
        <x:v>Baru/Tanpa Data</x:v>
      </x:c>
      <x:c r="N3404" s="66" t="str">
        <x:v>Tidak Ada</x:v>
      </x:c>
      <x:c r="O3404" s="66" t="str">
        <x:v>Jawa Timur</x:v>
      </x:c>
      <x:c r="P3404" s="66" t="str">
        <x:v>Kota Surabaya</x:v>
      </x:c>
      <x:c r="Q3404" s="66" t="str">
        <x:v>https://snpmb.id/snbp/daya-tampung-snbp</x:v>
      </x:c>
      <x:c r="R3404" s="66" t="str">
        <x:v>https://sidatagrun-public-1076756628210.asia-southeast2.run.app/ptn_sn.php?ptn=482</x:v>
      </x:c>
    </x:row>
    <x:row r="3405">
      <x:c r="A3405" s="87"/>
      <x:c r="B3405" s="66" t="n">
        <x:v>482</x:v>
      </x:c>
      <x:c r="C3405" s="66" t="str">
        <x:v>POLITEKNIK ELEKTRONIKA NEGERI SURABAYA (PENS)</x:v>
      </x:c>
      <x:c r="D3405" s="66" t="str">
        <x:v>PTN Vokasi</x:v>
      </x:c>
      <x:c r="E3405" s="66" t="str">
        <x:v>24822023</x:v>
      </x:c>
      <x:c r="F3405" s="66" t="str">
        <x:v>TEKNOLOGI REKAYASA PERANCANGAN MANUFAKTUR</x:v>
      </x:c>
      <x:c r="G3405" s="66" t="str">
        <x:v>Sarjana Terapan</x:v>
      </x:c>
      <x:c r="H3405" s="87" t="n">
        <x:v>18</x:v>
      </x:c>
      <x:c r="I3405" s="87"/>
      <x:c r="J3405" s="68" t="str">
        <x:f>IFERROR(H3405/I3405,"")</x:f>
      </x:c>
      <x:c r="K3405" s="69" t="n">
        <x:f>IFERROR(I3405/H3405,"")</x:f>
        <x:v>0</x:v>
      </x:c>
      <x:c r="L3405" s="66" t="str">
        <x:f>IF(K3405="","","1 : "&amp;TEXT(K3405,"0.0"))</x:f>
      </x:c>
      <x:c r="M3405" s="66" t="str">
        <x:f>IF(J3405="","Baru/Tanpa Data",IF(J3405&lt;='Catatan &amp; Sumber'!$B$14,"Sangat Ketat",IF(J3405&lt;='Catatan &amp; Sumber'!$B$15,"Ketat",IF(J3405&lt;='Catatan &amp; Sumber'!$B$16,"Sedang","Relatif Longgar"))))</x:f>
        <x:v>Baru/Tanpa Data</x:v>
      </x:c>
      <x:c r="N3405" s="66" t="str">
        <x:v>Tidak Ada</x:v>
      </x:c>
      <x:c r="O3405" s="66" t="str">
        <x:v>Jawa Timur</x:v>
      </x:c>
      <x:c r="P3405" s="66" t="str">
        <x:v>Kota Surabaya</x:v>
      </x:c>
      <x:c r="Q3405" s="66" t="str">
        <x:v>https://snpmb.id/snbp/daya-tampung-snbp</x:v>
      </x:c>
      <x:c r="R3405" s="66" t="str">
        <x:v>https://sidatagrun-public-1076756628210.asia-southeast2.run.app/ptn_sn.php?ptn=482</x:v>
      </x:c>
    </x:row>
    <x:row r="3406">
      <x:c r="A3406" s="87"/>
      <x:c r="B3406" s="66" t="n">
        <x:v>482</x:v>
      </x:c>
      <x:c r="C3406" s="66" t="str">
        <x:v>POLITEKNIK ELEKTRONIKA NEGERI SURABAYA (PENS)</x:v>
      </x:c>
      <x:c r="D3406" s="66" t="str">
        <x:v>PTN Vokasi</x:v>
      </x:c>
      <x:c r="E3406" s="66" t="str">
        <x:v>24822024</x:v>
      </x:c>
      <x:c r="F3406" s="66" t="str">
        <x:v>TEKNOLOGI REKAYASA KESELAMATAN</x:v>
      </x:c>
      <x:c r="G3406" s="66" t="str">
        <x:v>Sarjana Terapan</x:v>
      </x:c>
      <x:c r="H3406" s="87" t="n">
        <x:v>18</x:v>
      </x:c>
      <x:c r="I3406" s="87"/>
      <x:c r="J3406" s="68" t="str">
        <x:f>IFERROR(H3406/I3406,"")</x:f>
      </x:c>
      <x:c r="K3406" s="69" t="n">
        <x:f>IFERROR(I3406/H3406,"")</x:f>
        <x:v>0</x:v>
      </x:c>
      <x:c r="L3406" s="66" t="str">
        <x:f>IF(K3406="","","1 : "&amp;TEXT(K3406,"0.0"))</x:f>
      </x:c>
      <x:c r="M3406" s="66" t="str">
        <x:f>IF(J3406="","Baru/Tanpa Data",IF(J3406&lt;='Catatan &amp; Sumber'!$B$14,"Sangat Ketat",IF(J3406&lt;='Catatan &amp; Sumber'!$B$15,"Ketat",IF(J3406&lt;='Catatan &amp; Sumber'!$B$16,"Sedang","Relatif Longgar"))))</x:f>
        <x:v>Baru/Tanpa Data</x:v>
      </x:c>
      <x:c r="N3406" s="66" t="str">
        <x:v>Tidak Ada</x:v>
      </x:c>
      <x:c r="O3406" s="66" t="str">
        <x:v>Jawa Timur</x:v>
      </x:c>
      <x:c r="P3406" s="66" t="str">
        <x:v>Kota Surabaya</x:v>
      </x:c>
      <x:c r="Q3406" s="66" t="str">
        <x:v>https://snpmb.id/snbp/daya-tampung-snbp</x:v>
      </x:c>
      <x:c r="R3406" s="66" t="str">
        <x:v>https://sidatagrun-public-1076756628210.asia-southeast2.run.app/ptn_sn.php?ptn=482</x:v>
      </x:c>
    </x:row>
    <x:row r="3407">
      <x:c r="A3407" s="87" t="n">
        <x:v>4375</x:v>
      </x:c>
      <x:c r="B3407" s="66" t="n">
        <x:v>482</x:v>
      </x:c>
      <x:c r="C3407" s="66" t="str">
        <x:v>POLITEKNIK ELEKTRONIKA NEGERI SURABAYA (PENS)</x:v>
      </x:c>
      <x:c r="D3407" s="66" t="str">
        <x:v>PTN Vokasi</x:v>
      </x:c>
      <x:c r="E3407" s="66" t="str">
        <x:v>24823012</x:v>
      </x:c>
      <x:c r="F3407" s="66" t="str">
        <x:v>TEKNOLOGI MULTIMEDIA BROADCASTING (KAMPUS KAB LAMONGAN)</x:v>
      </x:c>
      <x:c r="G3407" s="66" t="str">
        <x:v>Diploma Tiga</x:v>
      </x:c>
      <x:c r="H3407" s="87" t="n">
        <x:v>13</x:v>
      </x:c>
      <x:c r="I3407" s="87" t="n">
        <x:v>12</x:v>
      </x:c>
      <x:c r="J3407" s="68" t="n">
        <x:f>IFERROR(H3407/I3407,"")</x:f>
        <x:v>1.0833333333333333</x:v>
      </x:c>
      <x:c r="K3407" s="69" t="n">
        <x:f>IFERROR(I3407/H3407,"")</x:f>
        <x:v>0.9230769230769231</x:v>
      </x:c>
      <x:c r="L3407" s="66" t="str">
        <x:f>IF(K3407="","","1 : "&amp;TEXT(K3407,"0.0"))</x:f>
        <x:v>1 : 0.9</x:v>
      </x:c>
      <x:c r="M3407" s="66" t="str">
        <x:f>IF(J3407="","Baru/Tanpa Data",IF(J3407&lt;='Catatan &amp; Sumber'!$B$14,"Sangat Ketat",IF(J3407&lt;='Catatan &amp; Sumber'!$B$15,"Ketat",IF(J3407&lt;='Catatan &amp; Sumber'!$B$16,"Sedang","Relatif Longgar"))))</x:f>
        <x:v>Relatif Longgar</x:v>
      </x:c>
      <x:c r="N3407" s="66" t="str">
        <x:v>Tidak Ada</x:v>
      </x:c>
      <x:c r="O3407" s="66" t="str">
        <x:v>Jawa Timur</x:v>
      </x:c>
      <x:c r="P3407" s="66" t="str">
        <x:v>Kota Surabaya</x:v>
      </x:c>
      <x:c r="Q3407" s="66" t="str">
        <x:v>https://snpmb.id/snbp/daya-tampung-snbp</x:v>
      </x:c>
      <x:c r="R3407" s="66" t="str">
        <x:v>https://sidatagrun-public-1076756628210.asia-southeast2.run.app/ptn_sn.php?ptn=482</x:v>
      </x:c>
    </x:row>
    <x:row r="3408">
      <x:c r="A3408" s="87" t="n">
        <x:v>2842</x:v>
      </x:c>
      <x:c r="B3408" s="66" t="n">
        <x:v>482</x:v>
      </x:c>
      <x:c r="C3408" s="66" t="str">
        <x:v>POLITEKNIK ELEKTRONIKA NEGERI SURABAYA (PENS)</x:v>
      </x:c>
      <x:c r="D3408" s="66" t="str">
        <x:v>PTN Vokasi</x:v>
      </x:c>
      <x:c r="E3408" s="66" t="str">
        <x:v>24823013</x:v>
      </x:c>
      <x:c r="F3408" s="66" t="str">
        <x:v>TEKNIK ELEKTRO INDUSTRI</x:v>
      </x:c>
      <x:c r="G3408" s="66" t="str">
        <x:v>Diploma Tiga</x:v>
      </x:c>
      <x:c r="H3408" s="87" t="n">
        <x:v>22</x:v>
      </x:c>
      <x:c r="I3408" s="87" t="n">
        <x:v>83</x:v>
      </x:c>
      <x:c r="J3408" s="68" t="n">
        <x:f>IFERROR(H3408/I3408,"")</x:f>
        <x:v>0.26506024096385544</x:v>
      </x:c>
      <x:c r="K3408" s="69" t="n">
        <x:f>IFERROR(I3408/H3408,"")</x:f>
        <x:v>3.772727272727273</x:v>
      </x:c>
      <x:c r="L3408" s="66" t="str">
        <x:f>IF(K3408="","","1 : "&amp;TEXT(K3408,"0.0"))</x:f>
        <x:v>1 : 3.8</x:v>
      </x:c>
      <x:c r="M3408" s="66" t="str">
        <x:f>IF(J3408="","Baru/Tanpa Data",IF(J3408&lt;='Catatan &amp; Sumber'!$B$14,"Sangat Ketat",IF(J3408&lt;='Catatan &amp; Sumber'!$B$15,"Ketat",IF(J3408&lt;='Catatan &amp; Sumber'!$B$16,"Sedang","Relatif Longgar"))))</x:f>
        <x:v>Relatif Longgar</x:v>
      </x:c>
      <x:c r="N3408" s="66" t="str">
        <x:v>Tidak Ada</x:v>
      </x:c>
      <x:c r="O3408" s="66" t="str">
        <x:v>Jawa Timur</x:v>
      </x:c>
      <x:c r="P3408" s="66" t="str">
        <x:v>Kota Surabaya</x:v>
      </x:c>
      <x:c r="Q3408" s="66" t="str">
        <x:v>https://snpmb.id/snbp/daya-tampung-snbp</x:v>
      </x:c>
      <x:c r="R3408" s="66" t="str">
        <x:v>https://sidatagrun-public-1076756628210.asia-southeast2.run.app/ptn_sn.php?ptn=482</x:v>
      </x:c>
    </x:row>
    <x:row r="3409">
      <x:c r="A3409" s="87" t="n">
        <x:v>4305</x:v>
      </x:c>
      <x:c r="B3409" s="66" t="n">
        <x:v>482</x:v>
      </x:c>
      <x:c r="C3409" s="66" t="str">
        <x:v>POLITEKNIK ELEKTRONIKA NEGERI SURABAYA (PENS)</x:v>
      </x:c>
      <x:c r="D3409" s="66" t="str">
        <x:v>PTN Vokasi</x:v>
      </x:c>
      <x:c r="E3409" s="66" t="str">
        <x:v>24823015</x:v>
      </x:c>
      <x:c r="F3409" s="66" t="str">
        <x:v>TEKNIK INFORMATIKA (KAMPUS KAB SUMENEP)</x:v>
      </x:c>
      <x:c r="G3409" s="66" t="str">
        <x:v>Diploma Tiga</x:v>
      </x:c>
      <x:c r="H3409" s="87" t="n">
        <x:v>9</x:v>
      </x:c>
      <x:c r="I3409" s="87" t="n">
        <x:v>9</x:v>
      </x:c>
      <x:c r="J3409" s="68" t="n">
        <x:f>IFERROR(H3409/I3409,"")</x:f>
        <x:v>1</x:v>
      </x:c>
      <x:c r="K3409" s="69" t="n">
        <x:f>IFERROR(I3409/H3409,"")</x:f>
        <x:v>1</x:v>
      </x:c>
      <x:c r="L3409" s="66" t="str">
        <x:f>IF(K3409="","","1 : "&amp;TEXT(K3409,"0.0"))</x:f>
        <x:v>1 : 1.0</x:v>
      </x:c>
      <x:c r="M3409" s="66" t="str">
        <x:f>IF(J3409="","Baru/Tanpa Data",IF(J3409&lt;='Catatan &amp; Sumber'!$B$14,"Sangat Ketat",IF(J3409&lt;='Catatan &amp; Sumber'!$B$15,"Ketat",IF(J3409&lt;='Catatan &amp; Sumber'!$B$16,"Sedang","Relatif Longgar"))))</x:f>
        <x:v>Relatif Longgar</x:v>
      </x:c>
      <x:c r="N3409" s="66" t="str">
        <x:v>Tidak Ada</x:v>
      </x:c>
      <x:c r="O3409" s="66" t="str">
        <x:v>Jawa Timur</x:v>
      </x:c>
      <x:c r="P3409" s="66" t="str">
        <x:v>Kota Surabaya</x:v>
      </x:c>
      <x:c r="Q3409" s="66" t="str">
        <x:v>https://snpmb.id/snbp/daya-tampung-snbp</x:v>
      </x:c>
      <x:c r="R3409" s="66" t="str">
        <x:v>https://sidatagrun-public-1076756628210.asia-southeast2.run.app/ptn_sn.php?ptn=482</x:v>
      </x:c>
    </x:row>
    <x:row r="3410">
      <x:c r="A3410" s="87" t="n">
        <x:v>2953</x:v>
      </x:c>
      <x:c r="B3410" s="66" t="n">
        <x:v>482</x:v>
      </x:c>
      <x:c r="C3410" s="66" t="str">
        <x:v>POLITEKNIK ELEKTRONIKA NEGERI SURABAYA (PENS)</x:v>
      </x:c>
      <x:c r="D3410" s="66" t="str">
        <x:v>PTN Vokasi</x:v>
      </x:c>
      <x:c r="E3410" s="66" t="str">
        <x:v>24823016</x:v>
      </x:c>
      <x:c r="F3410" s="66" t="str">
        <x:v>TEKNIK ELEKTRONIKA</x:v>
      </x:c>
      <x:c r="G3410" s="66" t="str">
        <x:v>Diploma Tiga</x:v>
      </x:c>
      <x:c r="H3410" s="87" t="n">
        <x:v>18</x:v>
      </x:c>
      <x:c r="I3410" s="87" t="n">
        <x:v>63</x:v>
      </x:c>
      <x:c r="J3410" s="68" t="n">
        <x:f>IFERROR(H3410/I3410,"")</x:f>
        <x:v>0.2857142857142857</x:v>
      </x:c>
      <x:c r="K3410" s="69" t="n">
        <x:f>IFERROR(I3410/H3410,"")</x:f>
        <x:v>3.5</x:v>
      </x:c>
      <x:c r="L3410" s="66" t="str">
        <x:f>IF(K3410="","","1 : "&amp;TEXT(K3410,"0.0"))</x:f>
        <x:v>1 : 3.5</x:v>
      </x:c>
      <x:c r="M3410" s="66" t="str">
        <x:f>IF(J3410="","Baru/Tanpa Data",IF(J3410&lt;='Catatan &amp; Sumber'!$B$14,"Sangat Ketat",IF(J3410&lt;='Catatan &amp; Sumber'!$B$15,"Ketat",IF(J3410&lt;='Catatan &amp; Sumber'!$B$16,"Sedang","Relatif Longgar"))))</x:f>
        <x:v>Relatif Longgar</x:v>
      </x:c>
      <x:c r="N3410" s="66" t="str">
        <x:v>Tidak Ada</x:v>
      </x:c>
      <x:c r="O3410" s="66" t="str">
        <x:v>Jawa Timur</x:v>
      </x:c>
      <x:c r="P3410" s="66" t="str">
        <x:v>Kota Surabaya</x:v>
      </x:c>
      <x:c r="Q3410" s="66" t="str">
        <x:v>https://snpmb.id/snbp/daya-tampung-snbp</x:v>
      </x:c>
      <x:c r="R3410" s="66" t="str">
        <x:v>https://sidatagrun-public-1076756628210.asia-southeast2.run.app/ptn_sn.php?ptn=482</x:v>
      </x:c>
    </x:row>
    <x:row r="3411">
      <x:c r="A3411" s="87" t="n">
        <x:v>4399</x:v>
      </x:c>
      <x:c r="B3411" s="66" t="n">
        <x:v>482</x:v>
      </x:c>
      <x:c r="C3411" s="66" t="str">
        <x:v>POLITEKNIK ELEKTRONIKA NEGERI SURABAYA (PENS)</x:v>
      </x:c>
      <x:c r="D3411" s="66" t="str">
        <x:v>PTN Vokasi</x:v>
      </x:c>
      <x:c r="E3411" s="66" t="str">
        <x:v>24823017</x:v>
      </x:c>
      <x:c r="F3411" s="66" t="str">
        <x:v>TEKNOLOGI MULTIMEDIA BROADCASTING (KAMPUS KAB. SUMENEP)</x:v>
      </x:c>
      <x:c r="G3411" s="66" t="str">
        <x:v>Diploma Tiga</x:v>
      </x:c>
      <x:c r="H3411" s="87" t="n">
        <x:v>9</x:v>
      </x:c>
      <x:c r="I3411" s="87" t="n">
        <x:v>8</x:v>
      </x:c>
      <x:c r="J3411" s="68" t="n">
        <x:f>IFERROR(H3411/I3411,"")</x:f>
        <x:v>1.125</x:v>
      </x:c>
      <x:c r="K3411" s="69" t="n">
        <x:f>IFERROR(I3411/H3411,"")</x:f>
        <x:v>0.8888888888888888</x:v>
      </x:c>
      <x:c r="L3411" s="66" t="str">
        <x:f>IF(K3411="","","1 : "&amp;TEXT(K3411,"0.0"))</x:f>
        <x:v>1 : 0.9</x:v>
      </x:c>
      <x:c r="M3411" s="66" t="str">
        <x:f>IF(J3411="","Baru/Tanpa Data",IF(J3411&lt;='Catatan &amp; Sumber'!$B$14,"Sangat Ketat",IF(J3411&lt;='Catatan &amp; Sumber'!$B$15,"Ketat",IF(J3411&lt;='Catatan &amp; Sumber'!$B$16,"Sedang","Relatif Longgar"))))</x:f>
        <x:v>Relatif Longgar</x:v>
      </x:c>
      <x:c r="N3411" s="66" t="str">
        <x:v>Tidak Ada</x:v>
      </x:c>
      <x:c r="O3411" s="66" t="str">
        <x:v>Jawa Timur</x:v>
      </x:c>
      <x:c r="P3411" s="66" t="str">
        <x:v>Kota Surabaya</x:v>
      </x:c>
      <x:c r="Q3411" s="66" t="str">
        <x:v>https://snpmb.id/snbp/daya-tampung-snbp</x:v>
      </x:c>
      <x:c r="R3411" s="66" t="str">
        <x:v>https://sidatagrun-public-1076756628210.asia-southeast2.run.app/ptn_sn.php?ptn=482</x:v>
      </x:c>
    </x:row>
    <x:row r="3412">
      <x:c r="A3412" s="87" t="n">
        <x:v>3932</x:v>
      </x:c>
      <x:c r="B3412" s="66" t="n">
        <x:v>482</x:v>
      </x:c>
      <x:c r="C3412" s="66" t="str">
        <x:v>POLITEKNIK ELEKTRONIKA NEGERI SURABAYA (PENS)</x:v>
      </x:c>
      <x:c r="D3412" s="66" t="str">
        <x:v>PTN Vokasi</x:v>
      </x:c>
      <x:c r="E3412" s="66" t="str">
        <x:v>24823018</x:v>
      </x:c>
      <x:c r="F3412" s="66" t="str">
        <x:v>TEKNIK INFORMATIKA (KAMPUS KAB LAMONGAN)</x:v>
      </x:c>
      <x:c r="G3412" s="66" t="str">
        <x:v>Diploma Tiga</x:v>
      </x:c>
      <x:c r="H3412" s="87" t="n">
        <x:v>18</x:v>
      </x:c>
      <x:c r="I3412" s="87" t="n">
        <x:v>28</x:v>
      </x:c>
      <x:c r="J3412" s="68" t="n">
        <x:f>IFERROR(H3412/I3412,"")</x:f>
        <x:v>0.6428571428571429</x:v>
      </x:c>
      <x:c r="K3412" s="69" t="n">
        <x:f>IFERROR(I3412/H3412,"")</x:f>
        <x:v>1.5555555555555556</x:v>
      </x:c>
      <x:c r="L3412" s="66" t="str">
        <x:f>IF(K3412="","","1 : "&amp;TEXT(K3412,"0.0"))</x:f>
        <x:v>1 : 1.6</x:v>
      </x:c>
      <x:c r="M3412" s="66" t="str">
        <x:f>IF(J3412="","Baru/Tanpa Data",IF(J3412&lt;='Catatan &amp; Sumber'!$B$14,"Sangat Ketat",IF(J3412&lt;='Catatan &amp; Sumber'!$B$15,"Ketat",IF(J3412&lt;='Catatan &amp; Sumber'!$B$16,"Sedang","Relatif Longgar"))))</x:f>
        <x:v>Relatif Longgar</x:v>
      </x:c>
      <x:c r="N3412" s="66" t="str">
        <x:v>Tidak Ada</x:v>
      </x:c>
      <x:c r="O3412" s="66" t="str">
        <x:v>Jawa Timur</x:v>
      </x:c>
      <x:c r="P3412" s="66" t="str">
        <x:v>Kota Surabaya</x:v>
      </x:c>
      <x:c r="Q3412" s="66" t="str">
        <x:v>https://snpmb.id/snbp/daya-tampung-snbp</x:v>
      </x:c>
      <x:c r="R3412" s="66" t="str">
        <x:v>https://sidatagrun-public-1076756628210.asia-southeast2.run.app/ptn_sn.php?ptn=482</x:v>
      </x:c>
    </x:row>
    <x:row r="3413">
      <x:c r="A3413" s="87" t="n">
        <x:v>2639</x:v>
      </x:c>
      <x:c r="B3413" s="66" t="n">
        <x:v>482</x:v>
      </x:c>
      <x:c r="C3413" s="66" t="str">
        <x:v>POLITEKNIK ELEKTRONIKA NEGERI SURABAYA (PENS)</x:v>
      </x:c>
      <x:c r="D3413" s="66" t="str">
        <x:v>PTN Vokasi</x:v>
      </x:c>
      <x:c r="E3413" s="66" t="str">
        <x:v>24823019</x:v>
      </x:c>
      <x:c r="F3413" s="66" t="str">
        <x:v>TEKNOLOGI MULTIMEDIA DAN BROADCASTING</x:v>
      </x:c>
      <x:c r="G3413" s="66" t="str">
        <x:v>Diploma Tiga</x:v>
      </x:c>
      <x:c r="H3413" s="87" t="n">
        <x:v>18</x:v>
      </x:c>
      <x:c r="I3413" s="87" t="n">
        <x:v>77</x:v>
      </x:c>
      <x:c r="J3413" s="68" t="n">
        <x:f>IFERROR(H3413/I3413,"")</x:f>
        <x:v>0.23376623376623376</x:v>
      </x:c>
      <x:c r="K3413" s="69" t="n">
        <x:f>IFERROR(I3413/H3413,"")</x:f>
        <x:v>4.277777777777778</x:v>
      </x:c>
      <x:c r="L3413" s="66" t="str">
        <x:f>IF(K3413="","","1 : "&amp;TEXT(K3413,"0.0"))</x:f>
        <x:v>1 : 4.3</x:v>
      </x:c>
      <x:c r="M3413" s="66" t="str">
        <x:f>IF(J3413="","Baru/Tanpa Data",IF(J3413&lt;='Catatan &amp; Sumber'!$B$14,"Sangat Ketat",IF(J3413&lt;='Catatan &amp; Sumber'!$B$15,"Ketat",IF(J3413&lt;='Catatan &amp; Sumber'!$B$16,"Sedang","Relatif Longgar"))))</x:f>
        <x:v>Relatif Longgar</x:v>
      </x:c>
      <x:c r="N3413" s="66" t="str">
        <x:v>Tidak Ada</x:v>
      </x:c>
      <x:c r="O3413" s="66" t="str">
        <x:v>Jawa Timur</x:v>
      </x:c>
      <x:c r="P3413" s="66" t="str">
        <x:v>Kota Surabaya</x:v>
      </x:c>
      <x:c r="Q3413" s="66" t="str">
        <x:v>https://snpmb.id/snbp/daya-tampung-snbp</x:v>
      </x:c>
      <x:c r="R3413" s="66" t="str">
        <x:v>https://sidatagrun-public-1076756628210.asia-southeast2.run.app/ptn_sn.php?ptn=482</x:v>
      </x:c>
    </x:row>
    <x:row r="3414">
      <x:c r="A3414" s="87" t="n">
        <x:v>2371</x:v>
      </x:c>
      <x:c r="B3414" s="66" t="n">
        <x:v>482</x:v>
      </x:c>
      <x:c r="C3414" s="66" t="str">
        <x:v>POLITEKNIK ELEKTRONIKA NEGERI SURABAYA (PENS)</x:v>
      </x:c>
      <x:c r="D3414" s="66" t="str">
        <x:v>PTN Vokasi</x:v>
      </x:c>
      <x:c r="E3414" s="66" t="str">
        <x:v>24823020</x:v>
      </x:c>
      <x:c r="F3414" s="66" t="str">
        <x:v>TEKNIK INFORMATIKA</x:v>
      </x:c>
      <x:c r="G3414" s="66" t="str">
        <x:v>Diploma Tiga</x:v>
      </x:c>
      <x:c r="H3414" s="87" t="n">
        <x:v>18</x:v>
      </x:c>
      <x:c r="I3414" s="87" t="n">
        <x:v>94</x:v>
      </x:c>
      <x:c r="J3414" s="68" t="n">
        <x:f>IFERROR(H3414/I3414,"")</x:f>
        <x:v>0.19148936170212766</x:v>
      </x:c>
      <x:c r="K3414" s="69" t="n">
        <x:f>IFERROR(I3414/H3414,"")</x:f>
        <x:v>5.222222222222222</x:v>
      </x:c>
      <x:c r="L3414" s="66" t="str">
        <x:f>IF(K3414="","","1 : "&amp;TEXT(K3414,"0.0"))</x:f>
        <x:v>1 : 5.2</x:v>
      </x:c>
      <x:c r="M3414" s="66" t="str">
        <x:f>IF(J3414="","Baru/Tanpa Data",IF(J3414&lt;='Catatan &amp; Sumber'!$B$14,"Sangat Ketat",IF(J3414&lt;='Catatan &amp; Sumber'!$B$15,"Ketat",IF(J3414&lt;='Catatan &amp; Sumber'!$B$16,"Sedang","Relatif Longgar"))))</x:f>
        <x:v>Relatif Longgar</x:v>
      </x:c>
      <x:c r="N3414" s="66" t="str">
        <x:v>Tidak Ada</x:v>
      </x:c>
      <x:c r="O3414" s="66" t="str">
        <x:v>Jawa Timur</x:v>
      </x:c>
      <x:c r="P3414" s="66" t="str">
        <x:v>Kota Surabaya</x:v>
      </x:c>
      <x:c r="Q3414" s="66" t="str">
        <x:v>https://snpmb.id/snbp/daya-tampung-snbp</x:v>
      </x:c>
      <x:c r="R3414" s="66" t="str">
        <x:v>https://sidatagrun-public-1076756628210.asia-southeast2.run.app/ptn_sn.php?ptn=482</x:v>
      </x:c>
    </x:row>
    <x:row r="3415">
      <x:c r="A3415" s="87" t="n">
        <x:v>3780</x:v>
      </x:c>
      <x:c r="B3415" s="66" t="n">
        <x:v>482</x:v>
      </x:c>
      <x:c r="C3415" s="66" t="str">
        <x:v>POLITEKNIK ELEKTRONIKA NEGERI SURABAYA (PENS)</x:v>
      </x:c>
      <x:c r="D3415" s="66" t="str">
        <x:v>PTN Vokasi</x:v>
      </x:c>
      <x:c r="E3415" s="66" t="str">
        <x:v>24823021</x:v>
      </x:c>
      <x:c r="F3415" s="66" t="str">
        <x:v>TEKNIK TELEKOMUNIKASI</x:v>
      </x:c>
      <x:c r="G3415" s="66" t="str">
        <x:v>Diploma Tiga</x:v>
      </x:c>
      <x:c r="H3415" s="87" t="n">
        <x:v>18</x:v>
      </x:c>
      <x:c r="I3415" s="87" t="n">
        <x:v>32</x:v>
      </x:c>
      <x:c r="J3415" s="68" t="n">
        <x:f>IFERROR(H3415/I3415,"")</x:f>
        <x:v>0.5625</x:v>
      </x:c>
      <x:c r="K3415" s="69" t="n">
        <x:f>IFERROR(I3415/H3415,"")</x:f>
        <x:v>1.7777777777777777</x:v>
      </x:c>
      <x:c r="L3415" s="66" t="str">
        <x:f>IF(K3415="","","1 : "&amp;TEXT(K3415,"0.0"))</x:f>
        <x:v>1 : 1.8</x:v>
      </x:c>
      <x:c r="M3415" s="66" t="str">
        <x:f>IF(J3415="","Baru/Tanpa Data",IF(J3415&lt;='Catatan &amp; Sumber'!$B$14,"Sangat Ketat",IF(J3415&lt;='Catatan &amp; Sumber'!$B$15,"Ketat",IF(J3415&lt;='Catatan &amp; Sumber'!$B$16,"Sedang","Relatif Longgar"))))</x:f>
        <x:v>Relatif Longgar</x:v>
      </x:c>
      <x:c r="N3415" s="66" t="str">
        <x:v>Tidak Ada</x:v>
      </x:c>
      <x:c r="O3415" s="66" t="str">
        <x:v>Jawa Timur</x:v>
      </x:c>
      <x:c r="P3415" s="66" t="str">
        <x:v>Kota Surabaya</x:v>
      </x:c>
      <x:c r="Q3415" s="66" t="str">
        <x:v>https://snpmb.id/snbp/daya-tampung-snbp</x:v>
      </x:c>
      <x:c r="R3415" s="66" t="str">
        <x:v>https://sidatagrun-public-1076756628210.asia-southeast2.run.app/ptn_sn.php?ptn=482</x:v>
      </x:c>
    </x:row>
    <x:row r="3416">
      <x:c r="A3416" s="87" t="n">
        <x:v>3863</x:v>
      </x:c>
      <x:c r="B3416" s="66" t="n">
        <x:v>483</x:v>
      </x:c>
      <x:c r="C3416" s="66" t="str">
        <x:v>POLITEKNIK NEGERI MADURA</x:v>
      </x:c>
      <x:c r="D3416" s="66" t="str">
        <x:v>PTN Vokasi</x:v>
      </x:c>
      <x:c r="E3416" s="66" t="str">
        <x:v>24832005</x:v>
      </x:c>
      <x:c r="F3416" s="66" t="str">
        <x:v>TEKNOLOGI REKAYASA KESELAMATAN</x:v>
      </x:c>
      <x:c r="G3416" s="66" t="str">
        <x:v>Sarjana Terapan</x:v>
      </x:c>
      <x:c r="H3416" s="87" t="n">
        <x:v>35</x:v>
      </x:c>
      <x:c r="I3416" s="87" t="n">
        <x:v>58</x:v>
      </x:c>
      <x:c r="J3416" s="68" t="n">
        <x:f>IFERROR(H3416/I3416,"")</x:f>
        <x:v>0.603448275862069</x:v>
      </x:c>
      <x:c r="K3416" s="69" t="n">
        <x:f>IFERROR(I3416/H3416,"")</x:f>
        <x:v>1.6571428571428573</x:v>
      </x:c>
      <x:c r="L3416" s="66" t="str">
        <x:f>IF(K3416="","","1 : "&amp;TEXT(K3416,"0.0"))</x:f>
        <x:v>1 : 1.7</x:v>
      </x:c>
      <x:c r="M3416" s="66" t="str">
        <x:f>IF(J3416="","Baru/Tanpa Data",IF(J3416&lt;='Catatan &amp; Sumber'!$B$14,"Sangat Ketat",IF(J3416&lt;='Catatan &amp; Sumber'!$B$15,"Ketat",IF(J3416&lt;='Catatan &amp; Sumber'!$B$16,"Sedang","Relatif Longgar"))))</x:f>
        <x:v>Relatif Longgar</x:v>
      </x:c>
      <x:c r="N3416" s="66" t="str">
        <x:v>Tidak Ada</x:v>
      </x:c>
      <x:c r="O3416" s="66" t="str">
        <x:v>Jawa Timur</x:v>
      </x:c>
      <x:c r="P3416" s="66" t="str">
        <x:v>Kabupaten Sampang</x:v>
      </x:c>
      <x:c r="Q3416" s="66" t="str">
        <x:v>https://snpmb.id/snbp/daya-tampung-snbp</x:v>
      </x:c>
      <x:c r="R3416" s="66" t="str">
        <x:v>https://sidatagrun-public-1076756628210.asia-southeast2.run.app/ptn_sn.php?ptn=483</x:v>
      </x:c>
    </x:row>
    <x:row r="3417">
      <x:c r="A3417" s="87" t="n">
        <x:v>4687</x:v>
      </x:c>
      <x:c r="B3417" s="66" t="n">
        <x:v>483</x:v>
      </x:c>
      <x:c r="C3417" s="66" t="str">
        <x:v>POLITEKNIK NEGERI MADURA</x:v>
      </x:c>
      <x:c r="D3417" s="66" t="str">
        <x:v>PTN Vokasi</x:v>
      </x:c>
      <x:c r="E3417" s="66" t="str">
        <x:v>24832006</x:v>
      </x:c>
      <x:c r="F3417" s="66" t="str">
        <x:v>TEKNOLOGI REKAYASA OTOMASI</x:v>
      </x:c>
      <x:c r="G3417" s="66" t="str">
        <x:v>Sarjana Terapan</x:v>
      </x:c>
      <x:c r="H3417" s="87" t="n">
        <x:v>15</x:v>
      </x:c>
      <x:c r="I3417" s="87" t="n">
        <x:v>7</x:v>
      </x:c>
      <x:c r="J3417" s="68" t="n">
        <x:f>IFERROR(H3417/I3417,"")</x:f>
        <x:v>2.142857142857143</x:v>
      </x:c>
      <x:c r="K3417" s="69" t="n">
        <x:f>IFERROR(I3417/H3417,"")</x:f>
        <x:v>0.4666666666666667</x:v>
      </x:c>
      <x:c r="L3417" s="66" t="str">
        <x:f>IF(K3417="","","1 : "&amp;TEXT(K3417,"0.0"))</x:f>
        <x:v>1 : 0.5</x:v>
      </x:c>
      <x:c r="M3417" s="66" t="str">
        <x:f>IF(J3417="","Baru/Tanpa Data",IF(J3417&lt;='Catatan &amp; Sumber'!$B$14,"Sangat Ketat",IF(J3417&lt;='Catatan &amp; Sumber'!$B$15,"Ketat",IF(J3417&lt;='Catatan &amp; Sumber'!$B$16,"Sedang","Relatif Longgar"))))</x:f>
        <x:v>Relatif Longgar</x:v>
      </x:c>
      <x:c r="N3417" s="66" t="str">
        <x:v>Tidak Ada</x:v>
      </x:c>
      <x:c r="O3417" s="66" t="str">
        <x:v>Jawa Timur</x:v>
      </x:c>
      <x:c r="P3417" s="66" t="str">
        <x:v>Kabupaten Sampang</x:v>
      </x:c>
      <x:c r="Q3417" s="66" t="str">
        <x:v>https://snpmb.id/snbp/daya-tampung-snbp</x:v>
      </x:c>
      <x:c r="R3417" s="66" t="str">
        <x:v>https://sidatagrun-public-1076756628210.asia-southeast2.run.app/ptn_sn.php?ptn=483</x:v>
      </x:c>
    </x:row>
    <x:row r="3418">
      <x:c r="A3418" s="87" t="n">
        <x:v>3364</x:v>
      </x:c>
      <x:c r="B3418" s="66" t="n">
        <x:v>483</x:v>
      </x:c>
      <x:c r="C3418" s="66" t="str">
        <x:v>POLITEKNIK NEGERI MADURA</x:v>
      </x:c>
      <x:c r="D3418" s="66" t="str">
        <x:v>PTN Vokasi</x:v>
      </x:c>
      <x:c r="E3418" s="66" t="str">
        <x:v>24832007</x:v>
      </x:c>
      <x:c r="F3418" s="66" t="str">
        <x:v>PROMOSI KESEHATAN</x:v>
      </x:c>
      <x:c r="G3418" s="66" t="str">
        <x:v>Sarjana Terapan</x:v>
      </x:c>
      <x:c r="H3418" s="87" t="n">
        <x:v>35</x:v>
      </x:c>
      <x:c r="I3418" s="87" t="n">
        <x:v>90</x:v>
      </x:c>
      <x:c r="J3418" s="68" t="n">
        <x:f>IFERROR(H3418/I3418,"")</x:f>
        <x:v>0.3888888888888889</x:v>
      </x:c>
      <x:c r="K3418" s="69" t="n">
        <x:f>IFERROR(I3418/H3418,"")</x:f>
        <x:v>2.5714285714285716</x:v>
      </x:c>
      <x:c r="L3418" s="66" t="str">
        <x:f>IF(K3418="","","1 : "&amp;TEXT(K3418,"0.0"))</x:f>
        <x:v>1 : 2.6</x:v>
      </x:c>
      <x:c r="M3418" s="66" t="str">
        <x:f>IF(J3418="","Baru/Tanpa Data",IF(J3418&lt;='Catatan &amp; Sumber'!$B$14,"Sangat Ketat",IF(J3418&lt;='Catatan &amp; Sumber'!$B$15,"Ketat",IF(J3418&lt;='Catatan &amp; Sumber'!$B$16,"Sedang","Relatif Longgar"))))</x:f>
        <x:v>Relatif Longgar</x:v>
      </x:c>
      <x:c r="N3418" s="66" t="str">
        <x:v>Tidak Ada</x:v>
      </x:c>
      <x:c r="O3418" s="66" t="str">
        <x:v>Jawa Timur</x:v>
      </x:c>
      <x:c r="P3418" s="66" t="str">
        <x:v>Kabupaten Sampang</x:v>
      </x:c>
      <x:c r="Q3418" s="66" t="str">
        <x:v>https://snpmb.id/snbp/daya-tampung-snbp</x:v>
      </x:c>
      <x:c r="R3418" s="66" t="str">
        <x:v>https://sidatagrun-public-1076756628210.asia-southeast2.run.app/ptn_sn.php?ptn=483</x:v>
      </x:c>
    </x:row>
    <x:row r="3419">
      <x:c r="A3419" s="87"/>
      <x:c r="B3419" s="66" t="n">
        <x:v>483</x:v>
      </x:c>
      <x:c r="C3419" s="66" t="str">
        <x:v>POLITEKNIK NEGERI MADURA</x:v>
      </x:c>
      <x:c r="D3419" s="66" t="str">
        <x:v>PTN Vokasi</x:v>
      </x:c>
      <x:c r="E3419" s="66" t="str">
        <x:v>24832008</x:v>
      </x:c>
      <x:c r="F3419" s="66" t="str">
        <x:v>TEKNOLOGI REKAYASA INFORMATIKA INDUSTRI</x:v>
      </x:c>
      <x:c r="G3419" s="66" t="str">
        <x:v>Sarjana Terapan</x:v>
      </x:c>
      <x:c r="H3419" s="87" t="n">
        <x:v>30</x:v>
      </x:c>
      <x:c r="I3419" s="87"/>
      <x:c r="J3419" s="68" t="str">
        <x:f>IFERROR(H3419/I3419,"")</x:f>
      </x:c>
      <x:c r="K3419" s="69" t="n">
        <x:f>IFERROR(I3419/H3419,"")</x:f>
        <x:v>0</x:v>
      </x:c>
      <x:c r="L3419" s="66" t="str">
        <x:f>IF(K3419="","","1 : "&amp;TEXT(K3419,"0.0"))</x:f>
      </x:c>
      <x:c r="M3419" s="66" t="str">
        <x:f>IF(J3419="","Baru/Tanpa Data",IF(J3419&lt;='Catatan &amp; Sumber'!$B$14,"Sangat Ketat",IF(J3419&lt;='Catatan &amp; Sumber'!$B$15,"Ketat",IF(J3419&lt;='Catatan &amp; Sumber'!$B$16,"Sedang","Relatif Longgar"))))</x:f>
        <x:v>Baru/Tanpa Data</x:v>
      </x:c>
      <x:c r="N3419" s="66" t="str">
        <x:v>Tidak Ada</x:v>
      </x:c>
      <x:c r="O3419" s="66" t="str">
        <x:v>Jawa Timur</x:v>
      </x:c>
      <x:c r="P3419" s="66" t="str">
        <x:v>Kabupaten Sampang</x:v>
      </x:c>
      <x:c r="Q3419" s="66" t="str">
        <x:v>https://snpmb.id/snbp/daya-tampung-snbp</x:v>
      </x:c>
      <x:c r="R3419" s="66" t="str">
        <x:v>https://sidatagrun-public-1076756628210.asia-southeast2.run.app/ptn_sn.php?ptn=483</x:v>
      </x:c>
    </x:row>
    <x:row r="3420">
      <x:c r="A3420" s="87" t="n">
        <x:v>3819</x:v>
      </x:c>
      <x:c r="B3420" s="66" t="n">
        <x:v>483</x:v>
      </x:c>
      <x:c r="C3420" s="66" t="str">
        <x:v>POLITEKNIK NEGERI MADURA</x:v>
      </x:c>
      <x:c r="D3420" s="66" t="str">
        <x:v>PTN Vokasi</x:v>
      </x:c>
      <x:c r="E3420" s="66" t="str">
        <x:v>24833001</x:v>
      </x:c>
      <x:c r="F3420" s="66" t="str">
        <x:v>TEKNIK MESIN ALAT BERAT</x:v>
      </x:c>
      <x:c r="G3420" s="66" t="str">
        <x:v>Diploma Tiga</x:v>
      </x:c>
      <x:c r="H3420" s="87" t="n">
        <x:v>35</x:v>
      </x:c>
      <x:c r="I3420" s="87" t="n">
        <x:v>60</x:v>
      </x:c>
      <x:c r="J3420" s="68" t="n">
        <x:f>IFERROR(H3420/I3420,"")</x:f>
        <x:v>0.5833333333333334</x:v>
      </x:c>
      <x:c r="K3420" s="69" t="n">
        <x:f>IFERROR(I3420/H3420,"")</x:f>
        <x:v>1.7142857142857142</x:v>
      </x:c>
      <x:c r="L3420" s="66" t="str">
        <x:f>IF(K3420="","","1 : "&amp;TEXT(K3420,"0.0"))</x:f>
        <x:v>1 : 1.7</x:v>
      </x:c>
      <x:c r="M3420" s="66" t="str">
        <x:f>IF(J3420="","Baru/Tanpa Data",IF(J3420&lt;='Catatan &amp; Sumber'!$B$14,"Sangat Ketat",IF(J3420&lt;='Catatan &amp; Sumber'!$B$15,"Ketat",IF(J3420&lt;='Catatan &amp; Sumber'!$B$16,"Sedang","Relatif Longgar"))))</x:f>
        <x:v>Relatif Longgar</x:v>
      </x:c>
      <x:c r="N3420" s="66" t="str">
        <x:v>Tidak Ada</x:v>
      </x:c>
      <x:c r="O3420" s="66" t="str">
        <x:v>Jawa Timur</x:v>
      </x:c>
      <x:c r="P3420" s="66" t="str">
        <x:v>Kabupaten Sampang</x:v>
      </x:c>
      <x:c r="Q3420" s="66" t="str">
        <x:v>https://snpmb.id/snbp/daya-tampung-snbp</x:v>
      </x:c>
      <x:c r="R3420" s="66" t="str">
        <x:v>https://sidatagrun-public-1076756628210.asia-southeast2.run.app/ptn_sn.php?ptn=483</x:v>
      </x:c>
    </x:row>
    <x:row r="3421">
      <x:c r="A3421" s="87" t="n">
        <x:v>4125</x:v>
      </x:c>
      <x:c r="B3421" s="66" t="n">
        <x:v>483</x:v>
      </x:c>
      <x:c r="C3421" s="66" t="str">
        <x:v>POLITEKNIK NEGERI MADURA</x:v>
      </x:c>
      <x:c r="D3421" s="66" t="str">
        <x:v>PTN Vokasi</x:v>
      </x:c>
      <x:c r="E3421" s="66" t="str">
        <x:v>24833002</x:v>
      </x:c>
      <x:c r="F3421" s="66" t="str">
        <x:v>TEKNIK LISTRIK INDUSTRI</x:v>
      </x:c>
      <x:c r="G3421" s="66" t="str">
        <x:v>Diploma Tiga</x:v>
      </x:c>
      <x:c r="H3421" s="87" t="n">
        <x:v>30</x:v>
      </x:c>
      <x:c r="I3421" s="87" t="n">
        <x:v>38</x:v>
      </x:c>
      <x:c r="J3421" s="68" t="n">
        <x:f>IFERROR(H3421/I3421,"")</x:f>
        <x:v>0.7894736842105263</x:v>
      </x:c>
      <x:c r="K3421" s="69" t="n">
        <x:f>IFERROR(I3421/H3421,"")</x:f>
        <x:v>1.2666666666666666</x:v>
      </x:c>
      <x:c r="L3421" s="66" t="str">
        <x:f>IF(K3421="","","1 : "&amp;TEXT(K3421,"0.0"))</x:f>
        <x:v>1 : 1.3</x:v>
      </x:c>
      <x:c r="M3421" s="66" t="str">
        <x:f>IF(J3421="","Baru/Tanpa Data",IF(J3421&lt;='Catatan &amp; Sumber'!$B$14,"Sangat Ketat",IF(J3421&lt;='Catatan &amp; Sumber'!$B$15,"Ketat",IF(J3421&lt;='Catatan &amp; Sumber'!$B$16,"Sedang","Relatif Longgar"))))</x:f>
        <x:v>Relatif Longgar</x:v>
      </x:c>
      <x:c r="N3421" s="66" t="str">
        <x:v>Tidak Ada</x:v>
      </x:c>
      <x:c r="O3421" s="66" t="str">
        <x:v>Jawa Timur</x:v>
      </x:c>
      <x:c r="P3421" s="66" t="str">
        <x:v>Kabupaten Sampang</x:v>
      </x:c>
      <x:c r="Q3421" s="66" t="str">
        <x:v>https://snpmb.id/snbp/daya-tampung-snbp</x:v>
      </x:c>
      <x:c r="R3421" s="66" t="str">
        <x:v>https://sidatagrun-public-1076756628210.asia-southeast2.run.app/ptn_sn.php?ptn=483</x:v>
      </x:c>
    </x:row>
    <x:row r="3422">
      <x:c r="A3422" s="87" t="n">
        <x:v>4463</x:v>
      </x:c>
      <x:c r="B3422" s="66" t="n">
        <x:v>483</x:v>
      </x:c>
      <x:c r="C3422" s="66" t="str">
        <x:v>POLITEKNIK NEGERI MADURA</x:v>
      </x:c>
      <x:c r="D3422" s="66" t="str">
        <x:v>PTN Vokasi</x:v>
      </x:c>
      <x:c r="E3422" s="66" t="str">
        <x:v>24833003</x:v>
      </x:c>
      <x:c r="F3422" s="66" t="str">
        <x:v>TEKNIK BANGUNAN KAPAL</x:v>
      </x:c>
      <x:c r="G3422" s="66" t="str">
        <x:v>Diploma Tiga</x:v>
      </x:c>
      <x:c r="H3422" s="87" t="n">
        <x:v>30</x:v>
      </x:c>
      <x:c r="I3422" s="87" t="n">
        <x:v>24</x:v>
      </x:c>
      <x:c r="J3422" s="68" t="n">
        <x:f>IFERROR(H3422/I3422,"")</x:f>
        <x:v>1.25</x:v>
      </x:c>
      <x:c r="K3422" s="69" t="n">
        <x:f>IFERROR(I3422/H3422,"")</x:f>
        <x:v>0.8</x:v>
      </x:c>
      <x:c r="L3422" s="66" t="str">
        <x:f>IF(K3422="","","1 : "&amp;TEXT(K3422,"0.0"))</x:f>
        <x:v>1 : 0.8</x:v>
      </x:c>
      <x:c r="M3422" s="66" t="str">
        <x:f>IF(J3422="","Baru/Tanpa Data",IF(J3422&lt;='Catatan &amp; Sumber'!$B$14,"Sangat Ketat",IF(J3422&lt;='Catatan &amp; Sumber'!$B$15,"Ketat",IF(J3422&lt;='Catatan &amp; Sumber'!$B$16,"Sedang","Relatif Longgar"))))</x:f>
        <x:v>Relatif Longgar</x:v>
      </x:c>
      <x:c r="N3422" s="66" t="str">
        <x:v>Tidak Ada</x:v>
      </x:c>
      <x:c r="O3422" s="66" t="str">
        <x:v>Jawa Timur</x:v>
      </x:c>
      <x:c r="P3422" s="66" t="str">
        <x:v>Kabupaten Sampang</x:v>
      </x:c>
      <x:c r="Q3422" s="66" t="str">
        <x:v>https://snpmb.id/snbp/daya-tampung-snbp</x:v>
      </x:c>
      <x:c r="R3422" s="66" t="str">
        <x:v>https://sidatagrun-public-1076756628210.asia-southeast2.run.app/ptn_sn.php?ptn=483</x:v>
      </x:c>
    </x:row>
    <x:row r="3423">
      <x:c r="A3423" s="87" t="n">
        <x:v>2983</x:v>
      </x:c>
      <x:c r="B3423" s="66" t="n">
        <x:v>483</x:v>
      </x:c>
      <x:c r="C3423" s="66" t="str">
        <x:v>POLITEKNIK NEGERI MADURA</x:v>
      </x:c>
      <x:c r="D3423" s="66" t="str">
        <x:v>PTN Vokasi</x:v>
      </x:c>
      <x:c r="E3423" s="66" t="str">
        <x:v>24833004</x:v>
      </x:c>
      <x:c r="F3423" s="66" t="str">
        <x:v>KEPERAWATAN</x:v>
      </x:c>
      <x:c r="G3423" s="66" t="str">
        <x:v>Diploma Tiga</x:v>
      </x:c>
      <x:c r="H3423" s="87" t="n">
        <x:v>75</x:v>
      </x:c>
      <x:c r="I3423" s="87" t="n">
        <x:v>259</x:v>
      </x:c>
      <x:c r="J3423" s="68" t="n">
        <x:f>IFERROR(H3423/I3423,"")</x:f>
        <x:v>0.28957528957528955</x:v>
      </x:c>
      <x:c r="K3423" s="69" t="n">
        <x:f>IFERROR(I3423/H3423,"")</x:f>
        <x:v>3.453333333333333</x:v>
      </x:c>
      <x:c r="L3423" s="66" t="str">
        <x:f>IF(K3423="","","1 : "&amp;TEXT(K3423,"0.0"))</x:f>
        <x:v>1 : 3.5</x:v>
      </x:c>
      <x:c r="M3423" s="66" t="str">
        <x:f>IF(J3423="","Baru/Tanpa Data",IF(J3423&lt;='Catatan &amp; Sumber'!$B$14,"Sangat Ketat",IF(J3423&lt;='Catatan &amp; Sumber'!$B$15,"Ketat",IF(J3423&lt;='Catatan &amp; Sumber'!$B$16,"Sedang","Relatif Longgar"))))</x:f>
        <x:v>Relatif Longgar</x:v>
      </x:c>
      <x:c r="N3423" s="66" t="str">
        <x:v>Tidak Ada</x:v>
      </x:c>
      <x:c r="O3423" s="66" t="str">
        <x:v>Jawa Timur</x:v>
      </x:c>
      <x:c r="P3423" s="66" t="str">
        <x:v>Kabupaten Sampang</x:v>
      </x:c>
      <x:c r="Q3423" s="66" t="str">
        <x:v>https://snpmb.id/snbp/daya-tampung-snbp</x:v>
      </x:c>
      <x:c r="R3423" s="66" t="str">
        <x:v>https://sidatagrun-public-1076756628210.asia-southeast2.run.app/ptn_sn.php?ptn=483</x:v>
      </x:c>
    </x:row>
    <x:row r="3424">
      <x:c r="A3424" s="87" t="n">
        <x:v>1270</x:v>
      </x:c>
      <x:c r="B3424" s="66" t="n">
        <x:v>511</x:v>
      </x:c>
      <x:c r="C3424" s="66" t="str">
        <x:v>UNIVERSITAS TANJUNGPURA</x:v>
      </x:c>
      <x:c r="D3424" s="66" t="str">
        <x:v>PTN Akademik</x:v>
      </x:c>
      <x:c r="E3424" s="66" t="str">
        <x:v>15111001</x:v>
      </x:c>
      <x:c r="F3424" s="66" t="str">
        <x:v>AGRIBISNIS</x:v>
      </x:c>
      <x:c r="G3424" s="66" t="str">
        <x:v>Sarjana</x:v>
      </x:c>
      <x:c r="H3424" s="87" t="n">
        <x:v>30</x:v>
      </x:c>
      <x:c r="I3424" s="87" t="n">
        <x:v>319</x:v>
      </x:c>
      <x:c r="J3424" s="68" t="n">
        <x:f>IFERROR(H3424/I3424,"")</x:f>
        <x:v>0.09404388714733543</x:v>
      </x:c>
      <x:c r="K3424" s="69" t="n">
        <x:f>IFERROR(I3424/H3424,"")</x:f>
        <x:v>10.633333333333333</x:v>
      </x:c>
      <x:c r="L3424" s="66" t="str">
        <x:f>IF(K3424="","","1 : "&amp;TEXT(K3424,"0.0"))</x:f>
        <x:v>1 : 10.6</x:v>
      </x:c>
      <x:c r="M3424" s="66" t="str">
        <x:f>IF(J3424="","Baru/Tanpa Data",IF(J3424&lt;='Catatan &amp; Sumber'!$B$14,"Sangat Ketat",IF(J3424&lt;='Catatan &amp; Sumber'!$B$15,"Ketat",IF(J3424&lt;='Catatan &amp; Sumber'!$B$16,"Sedang","Relatif Longgar"))))</x:f>
        <x:v>Sedang</x:v>
      </x:c>
      <x:c r="N3424" s="66" t="str">
        <x:v>Tidak Ada</x:v>
      </x:c>
      <x:c r="O3424" s="66" t="str">
        <x:v>Kalimantan Barat</x:v>
      </x:c>
      <x:c r="P3424" s="66" t="str">
        <x:v>Kota Pontianak</x:v>
      </x:c>
      <x:c r="Q3424" s="66" t="str">
        <x:v>https://snpmb.id/snbp/daya-tampung-snbp</x:v>
      </x:c>
      <x:c r="R3424" s="66" t="str">
        <x:v>https://sidatagrun-public-1076756628210.asia-southeast2.run.app/ptn_sn.php?ptn=511</x:v>
      </x:c>
    </x:row>
    <x:row r="3425">
      <x:c r="A3425" s="87" t="n">
        <x:v>1103</x:v>
      </x:c>
      <x:c r="B3425" s="66" t="n">
        <x:v>511</x:v>
      </x:c>
      <x:c r="C3425" s="66" t="str">
        <x:v>UNIVERSITAS TANJUNGPURA</x:v>
      </x:c>
      <x:c r="D3425" s="66" t="str">
        <x:v>PTN Akademik</x:v>
      </x:c>
      <x:c r="E3425" s="66" t="str">
        <x:v>15111002</x:v>
      </x:c>
      <x:c r="F3425" s="66" t="str">
        <x:v>TEKNIK SIPIL</x:v>
      </x:c>
      <x:c r="G3425" s="66" t="str">
        <x:v>Sarjana</x:v>
      </x:c>
      <x:c r="H3425" s="87" t="n">
        <x:v>32</x:v>
      </x:c>
      <x:c r="I3425" s="87" t="n">
        <x:v>381</x:v>
      </x:c>
      <x:c r="J3425" s="68" t="n">
        <x:f>IFERROR(H3425/I3425,"")</x:f>
        <x:v>0.08398950131233596</x:v>
      </x:c>
      <x:c r="K3425" s="69" t="n">
        <x:f>IFERROR(I3425/H3425,"")</x:f>
        <x:v>11.90625</x:v>
      </x:c>
      <x:c r="L3425" s="66" t="str">
        <x:f>IF(K3425="","","1 : "&amp;TEXT(K3425,"0.0"))</x:f>
        <x:v>1 : 11.9</x:v>
      </x:c>
      <x:c r="M3425" s="66" t="str">
        <x:f>IF(J3425="","Baru/Tanpa Data",IF(J3425&lt;='Catatan &amp; Sumber'!$B$14,"Sangat Ketat",IF(J3425&lt;='Catatan &amp; Sumber'!$B$15,"Ketat",IF(J3425&lt;='Catatan &amp; Sumber'!$B$16,"Sedang","Relatif Longgar"))))</x:f>
        <x:v>Sedang</x:v>
      </x:c>
      <x:c r="N3425" s="66" t="str">
        <x:v>Tidak Ada</x:v>
      </x:c>
      <x:c r="O3425" s="66" t="str">
        <x:v>Kalimantan Barat</x:v>
      </x:c>
      <x:c r="P3425" s="66" t="str">
        <x:v>Kota Pontianak</x:v>
      </x:c>
      <x:c r="Q3425" s="66" t="str">
        <x:v>https://snpmb.id/snbp/daya-tampung-snbp</x:v>
      </x:c>
      <x:c r="R3425" s="66" t="str">
        <x:v>https://sidatagrun-public-1076756628210.asia-southeast2.run.app/ptn_sn.php?ptn=511</x:v>
      </x:c>
    </x:row>
    <x:row r="3426">
      <x:c r="A3426" s="87" t="n">
        <x:v>2482</x:v>
      </x:c>
      <x:c r="B3426" s="66" t="n">
        <x:v>511</x:v>
      </x:c>
      <x:c r="C3426" s="66" t="str">
        <x:v>UNIVERSITAS TANJUNGPURA</x:v>
      </x:c>
      <x:c r="D3426" s="66" t="str">
        <x:v>PTN Akademik</x:v>
      </x:c>
      <x:c r="E3426" s="66" t="str">
        <x:v>15111003</x:v>
      </x:c>
      <x:c r="F3426" s="66" t="str">
        <x:v>TEKNIK ELEKTRO</x:v>
      </x:c>
      <x:c r="G3426" s="66" t="str">
        <x:v>Sarjana</x:v>
      </x:c>
      <x:c r="H3426" s="87" t="n">
        <x:v>30</x:v>
      </x:c>
      <x:c r="I3426" s="87" t="n">
        <x:v>144</x:v>
      </x:c>
      <x:c r="J3426" s="68" t="n">
        <x:f>IFERROR(H3426/I3426,"")</x:f>
        <x:v>0.20833333333333334</x:v>
      </x:c>
      <x:c r="K3426" s="69" t="n">
        <x:f>IFERROR(I3426/H3426,"")</x:f>
        <x:v>4.8</x:v>
      </x:c>
      <x:c r="L3426" s="66" t="str">
        <x:f>IF(K3426="","","1 : "&amp;TEXT(K3426,"0.0"))</x:f>
        <x:v>1 : 4.8</x:v>
      </x:c>
      <x:c r="M3426" s="66" t="str">
        <x:f>IF(J3426="","Baru/Tanpa Data",IF(J3426&lt;='Catatan &amp; Sumber'!$B$14,"Sangat Ketat",IF(J3426&lt;='Catatan &amp; Sumber'!$B$15,"Ketat",IF(J3426&lt;='Catatan &amp; Sumber'!$B$16,"Sedang","Relatif Longgar"))))</x:f>
        <x:v>Relatif Longgar</x:v>
      </x:c>
      <x:c r="N3426" s="66" t="str">
        <x:v>Tidak Ada</x:v>
      </x:c>
      <x:c r="O3426" s="66" t="str">
        <x:v>Kalimantan Barat</x:v>
      </x:c>
      <x:c r="P3426" s="66" t="str">
        <x:v>Kota Pontianak</x:v>
      </x:c>
      <x:c r="Q3426" s="66" t="str">
        <x:v>https://snpmb.id/snbp/daya-tampung-snbp</x:v>
      </x:c>
      <x:c r="R3426" s="66" t="str">
        <x:v>https://sidatagrun-public-1076756628210.asia-southeast2.run.app/ptn_sn.php?ptn=511</x:v>
      </x:c>
    </x:row>
    <x:row r="3427">
      <x:c r="A3427" s="87" t="n">
        <x:v>1958</x:v>
      </x:c>
      <x:c r="B3427" s="66" t="n">
        <x:v>511</x:v>
      </x:c>
      <x:c r="C3427" s="66" t="str">
        <x:v>UNIVERSITAS TANJUNGPURA</x:v>
      </x:c>
      <x:c r="D3427" s="66" t="str">
        <x:v>PTN Akademik</x:v>
      </x:c>
      <x:c r="E3427" s="66" t="str">
        <x:v>15111004</x:v>
      </x:c>
      <x:c r="F3427" s="66" t="str">
        <x:v>ARSITEKTUR</x:v>
      </x:c>
      <x:c r="G3427" s="66" t="str">
        <x:v>Sarjana</x:v>
      </x:c>
      <x:c r="H3427" s="87" t="n">
        <x:v>25</x:v>
      </x:c>
      <x:c r="I3427" s="87" t="n">
        <x:v>170</x:v>
      </x:c>
      <x:c r="J3427" s="68" t="n">
        <x:f>IFERROR(H3427/I3427,"")</x:f>
        <x:v>0.14705882352941177</x:v>
      </x:c>
      <x:c r="K3427" s="69" t="n">
        <x:f>IFERROR(I3427/H3427,"")</x:f>
        <x:v>6.8</x:v>
      </x:c>
      <x:c r="L3427" s="66" t="str">
        <x:f>IF(K3427="","","1 : "&amp;TEXT(K3427,"0.0"))</x:f>
        <x:v>1 : 6.8</x:v>
      </x:c>
      <x:c r="M3427" s="66" t="str">
        <x:f>IF(J3427="","Baru/Tanpa Data",IF(J3427&lt;='Catatan &amp; Sumber'!$B$14,"Sangat Ketat",IF(J3427&lt;='Catatan &amp; Sumber'!$B$15,"Ketat",IF(J3427&lt;='Catatan &amp; Sumber'!$B$16,"Sedang","Relatif Longgar"))))</x:f>
        <x:v>Relatif Longgar</x:v>
      </x:c>
      <x:c r="N3427" s="66" t="str">
        <x:v>Tidak Ada</x:v>
      </x:c>
      <x:c r="O3427" s="66" t="str">
        <x:v>Kalimantan Barat</x:v>
      </x:c>
      <x:c r="P3427" s="66" t="str">
        <x:v>Kota Pontianak</x:v>
      </x:c>
      <x:c r="Q3427" s="66" t="str">
        <x:v>https://snpmb.id/snbp/daya-tampung-snbp</x:v>
      </x:c>
      <x:c r="R3427" s="66" t="str">
        <x:v>https://sidatagrun-public-1076756628210.asia-southeast2.run.app/ptn_sn.php?ptn=511</x:v>
      </x:c>
    </x:row>
    <x:row r="3428">
      <x:c r="A3428" s="87" t="n">
        <x:v>665</x:v>
      </x:c>
      <x:c r="B3428" s="66" t="n">
        <x:v>511</x:v>
      </x:c>
      <x:c r="C3428" s="66" t="str">
        <x:v>UNIVERSITAS TANJUNGPURA</x:v>
      </x:c>
      <x:c r="D3428" s="66" t="str">
        <x:v>PTN Akademik</x:v>
      </x:c>
      <x:c r="E3428" s="66" t="str">
        <x:v>15111005</x:v>
      </x:c>
      <x:c r="F3428" s="66" t="str">
        <x:v>TEKNIK INFORMATIKA</x:v>
      </x:c>
      <x:c r="G3428" s="66" t="str">
        <x:v>Sarjana</x:v>
      </x:c>
      <x:c r="H3428" s="87" t="n">
        <x:v>48</x:v>
      </x:c>
      <x:c r="I3428" s="87" t="n">
        <x:v>799</x:v>
      </x:c>
      <x:c r="J3428" s="68" t="n">
        <x:f>IFERROR(H3428/I3428,"")</x:f>
        <x:v>0.060075093867334166</x:v>
      </x:c>
      <x:c r="K3428" s="69" t="n">
        <x:f>IFERROR(I3428/H3428,"")</x:f>
        <x:v>16.645833333333332</x:v>
      </x:c>
      <x:c r="L3428" s="66" t="str">
        <x:f>IF(K3428="","","1 : "&amp;TEXT(K3428,"0.0"))</x:f>
        <x:v>1 : 16.6</x:v>
      </x:c>
      <x:c r="M3428" s="66" t="str">
        <x:f>IF(J3428="","Baru/Tanpa Data",IF(J3428&lt;='Catatan &amp; Sumber'!$B$14,"Sangat Ketat",IF(J3428&lt;='Catatan &amp; Sumber'!$B$15,"Ketat",IF(J3428&lt;='Catatan &amp; Sumber'!$B$16,"Sedang","Relatif Longgar"))))</x:f>
        <x:v>Sedang</x:v>
      </x:c>
      <x:c r="N3428" s="66" t="str">
        <x:v>Tidak Ada</x:v>
      </x:c>
      <x:c r="O3428" s="66" t="str">
        <x:v>Kalimantan Barat</x:v>
      </x:c>
      <x:c r="P3428" s="66" t="str">
        <x:v>Kota Pontianak</x:v>
      </x:c>
      <x:c r="Q3428" s="66" t="str">
        <x:v>https://snpmb.id/snbp/daya-tampung-snbp</x:v>
      </x:c>
      <x:c r="R3428" s="66" t="str">
        <x:v>https://sidatagrun-public-1076756628210.asia-southeast2.run.app/ptn_sn.php?ptn=511</x:v>
      </x:c>
    </x:row>
    <x:row r="3429">
      <x:c r="A3429" s="87" t="n">
        <x:v>692</x:v>
      </x:c>
      <x:c r="B3429" s="66" t="n">
        <x:v>511</x:v>
      </x:c>
      <x:c r="C3429" s="66" t="str">
        <x:v>UNIVERSITAS TANJUNGPURA</x:v>
      </x:c>
      <x:c r="D3429" s="66" t="str">
        <x:v>PTN Akademik</x:v>
      </x:c>
      <x:c r="E3429" s="66" t="str">
        <x:v>15111006</x:v>
      </x:c>
      <x:c r="F3429" s="66" t="str">
        <x:v>TEKNIK INDUSTRI</x:v>
      </x:c>
      <x:c r="G3429" s="66" t="str">
        <x:v>Sarjana</x:v>
      </x:c>
      <x:c r="H3429" s="87" t="n">
        <x:v>20</x:v>
      </x:c>
      <x:c r="I3429" s="87" t="n">
        <x:v>325</x:v>
      </x:c>
      <x:c r="J3429" s="68" t="n">
        <x:f>IFERROR(H3429/I3429,"")</x:f>
        <x:v>0.06153846153846154</x:v>
      </x:c>
      <x:c r="K3429" s="69" t="n">
        <x:f>IFERROR(I3429/H3429,"")</x:f>
        <x:v>16.25</x:v>
      </x:c>
      <x:c r="L3429" s="66" t="str">
        <x:f>IF(K3429="","","1 : "&amp;TEXT(K3429,"0.0"))</x:f>
        <x:v>1 : 16.3</x:v>
      </x:c>
      <x:c r="M3429" s="66" t="str">
        <x:f>IF(J3429="","Baru/Tanpa Data",IF(J3429&lt;='Catatan &amp; Sumber'!$B$14,"Sangat Ketat",IF(J3429&lt;='Catatan &amp; Sumber'!$B$15,"Ketat",IF(J3429&lt;='Catatan &amp; Sumber'!$B$16,"Sedang","Relatif Longgar"))))</x:f>
        <x:v>Sedang</x:v>
      </x:c>
      <x:c r="N3429" s="66" t="str">
        <x:v>Tidak Ada</x:v>
      </x:c>
      <x:c r="O3429" s="66" t="str">
        <x:v>Kalimantan Barat</x:v>
      </x:c>
      <x:c r="P3429" s="66" t="str">
        <x:v>Kota Pontianak</x:v>
      </x:c>
      <x:c r="Q3429" s="66" t="str">
        <x:v>https://snpmb.id/snbp/daya-tampung-snbp</x:v>
      </x:c>
      <x:c r="R3429" s="66" t="str">
        <x:v>https://sidatagrun-public-1076756628210.asia-southeast2.run.app/ptn_sn.php?ptn=511</x:v>
      </x:c>
    </x:row>
    <x:row r="3430">
      <x:c r="A3430" s="87" t="n">
        <x:v>1764</x:v>
      </x:c>
      <x:c r="B3430" s="66" t="n">
        <x:v>511</x:v>
      </x:c>
      <x:c r="C3430" s="66" t="str">
        <x:v>UNIVERSITAS TANJUNGPURA</x:v>
      </x:c>
      <x:c r="D3430" s="66" t="str">
        <x:v>PTN Akademik</x:v>
      </x:c>
      <x:c r="E3430" s="66" t="str">
        <x:v>15111007</x:v>
      </x:c>
      <x:c r="F3430" s="66" t="str">
        <x:v>TEKNIK LINGKUNGAN</x:v>
      </x:c>
      <x:c r="G3430" s="66" t="str">
        <x:v>Sarjana</x:v>
      </x:c>
      <x:c r="H3430" s="87" t="n">
        <x:v>18</x:v>
      </x:c>
      <x:c r="I3430" s="87" t="n">
        <x:v>139</x:v>
      </x:c>
      <x:c r="J3430" s="68" t="n">
        <x:f>IFERROR(H3430/I3430,"")</x:f>
        <x:v>0.12949640287769784</x:v>
      </x:c>
      <x:c r="K3430" s="69" t="n">
        <x:f>IFERROR(I3430/H3430,"")</x:f>
        <x:v>7.722222222222222</x:v>
      </x:c>
      <x:c r="L3430" s="66" t="str">
        <x:f>IF(K3430="","","1 : "&amp;TEXT(K3430,"0.0"))</x:f>
        <x:v>1 : 7.7</x:v>
      </x:c>
      <x:c r="M3430" s="66" t="str">
        <x:f>IF(J3430="","Baru/Tanpa Data",IF(J3430&lt;='Catatan &amp; Sumber'!$B$14,"Sangat Ketat",IF(J3430&lt;='Catatan &amp; Sumber'!$B$15,"Ketat",IF(J3430&lt;='Catatan &amp; Sumber'!$B$16,"Sedang","Relatif Longgar"))))</x:f>
        <x:v>Relatif Longgar</x:v>
      </x:c>
      <x:c r="N3430" s="66" t="str">
        <x:v>Tidak Ada</x:v>
      </x:c>
      <x:c r="O3430" s="66" t="str">
        <x:v>Kalimantan Barat</x:v>
      </x:c>
      <x:c r="P3430" s="66" t="str">
        <x:v>Kota Pontianak</x:v>
      </x:c>
      <x:c r="Q3430" s="66" t="str">
        <x:v>https://snpmb.id/snbp/daya-tampung-snbp</x:v>
      </x:c>
      <x:c r="R3430" s="66" t="str">
        <x:v>https://sidatagrun-public-1076756628210.asia-southeast2.run.app/ptn_sn.php?ptn=511</x:v>
      </x:c>
    </x:row>
    <x:row r="3431">
      <x:c r="A3431" s="87" t="n">
        <x:v>1276</x:v>
      </x:c>
      <x:c r="B3431" s="66" t="n">
        <x:v>511</x:v>
      </x:c>
      <x:c r="C3431" s="66" t="str">
        <x:v>UNIVERSITAS TANJUNGPURA</x:v>
      </x:c>
      <x:c r="D3431" s="66" t="str">
        <x:v>PTN Akademik</x:v>
      </x:c>
      <x:c r="E3431" s="66" t="str">
        <x:v>15111008</x:v>
      </x:c>
      <x:c r="F3431" s="66" t="str">
        <x:v>PEND. MATEMATIKA</x:v>
      </x:c>
      <x:c r="G3431" s="66" t="str">
        <x:v>Sarjana</x:v>
      </x:c>
      <x:c r="H3431" s="87" t="n">
        <x:v>24</x:v>
      </x:c>
      <x:c r="I3431" s="87" t="n">
        <x:v>255</x:v>
      </x:c>
      <x:c r="J3431" s="68" t="n">
        <x:f>IFERROR(H3431/I3431,"")</x:f>
        <x:v>0.09411764705882353</x:v>
      </x:c>
      <x:c r="K3431" s="69" t="n">
        <x:f>IFERROR(I3431/H3431,"")</x:f>
        <x:v>10.625</x:v>
      </x:c>
      <x:c r="L3431" s="66" t="str">
        <x:f>IF(K3431="","","1 : "&amp;TEXT(K3431,"0.0"))</x:f>
        <x:v>1 : 10.6</x:v>
      </x:c>
      <x:c r="M3431" s="66" t="str">
        <x:f>IF(J3431="","Baru/Tanpa Data",IF(J3431&lt;='Catatan &amp; Sumber'!$B$14,"Sangat Ketat",IF(J3431&lt;='Catatan &amp; Sumber'!$B$15,"Ketat",IF(J3431&lt;='Catatan &amp; Sumber'!$B$16,"Sedang","Relatif Longgar"))))</x:f>
        <x:v>Sedang</x:v>
      </x:c>
      <x:c r="N3431" s="66" t="str">
        <x:v>Tidak Ada</x:v>
      </x:c>
      <x:c r="O3431" s="66" t="str">
        <x:v>Kalimantan Barat</x:v>
      </x:c>
      <x:c r="P3431" s="66" t="str">
        <x:v>Kota Pontianak</x:v>
      </x:c>
      <x:c r="Q3431" s="66" t="str">
        <x:v>https://snpmb.id/snbp/daya-tampung-snbp</x:v>
      </x:c>
      <x:c r="R3431" s="66" t="str">
        <x:v>https://sidatagrun-public-1076756628210.asia-southeast2.run.app/ptn_sn.php?ptn=511</x:v>
      </x:c>
    </x:row>
    <x:row r="3432">
      <x:c r="A3432" s="87" t="n">
        <x:v>1681</x:v>
      </x:c>
      <x:c r="B3432" s="66" t="n">
        <x:v>511</x:v>
      </x:c>
      <x:c r="C3432" s="66" t="str">
        <x:v>UNIVERSITAS TANJUNGPURA</x:v>
      </x:c>
      <x:c r="D3432" s="66" t="str">
        <x:v>PTN Akademik</x:v>
      </x:c>
      <x:c r="E3432" s="66" t="str">
        <x:v>15111009</x:v>
      </x:c>
      <x:c r="F3432" s="66" t="str">
        <x:v>PEND. BIOLOGI</x:v>
      </x:c>
      <x:c r="G3432" s="66" t="str">
        <x:v>Sarjana</x:v>
      </x:c>
      <x:c r="H3432" s="87" t="n">
        <x:v>24</x:v>
      </x:c>
      <x:c r="I3432" s="87" t="n">
        <x:v>196</x:v>
      </x:c>
      <x:c r="J3432" s="68" t="n">
        <x:f>IFERROR(H3432/I3432,"")</x:f>
        <x:v>0.12244897959183673</x:v>
      </x:c>
      <x:c r="K3432" s="69" t="n">
        <x:f>IFERROR(I3432/H3432,"")</x:f>
        <x:v>8.166666666666666</x:v>
      </x:c>
      <x:c r="L3432" s="66" t="str">
        <x:f>IF(K3432="","","1 : "&amp;TEXT(K3432,"0.0"))</x:f>
        <x:v>1 : 8.2</x:v>
      </x:c>
      <x:c r="M3432" s="66" t="str">
        <x:f>IF(J3432="","Baru/Tanpa Data",IF(J3432&lt;='Catatan &amp; Sumber'!$B$14,"Sangat Ketat",IF(J3432&lt;='Catatan &amp; Sumber'!$B$15,"Ketat",IF(J3432&lt;='Catatan &amp; Sumber'!$B$16,"Sedang","Relatif Longgar"))))</x:f>
        <x:v>Relatif Longgar</x:v>
      </x:c>
      <x:c r="N3432" s="66" t="str">
        <x:v>Tidak Ada</x:v>
      </x:c>
      <x:c r="O3432" s="66" t="str">
        <x:v>Kalimantan Barat</x:v>
      </x:c>
      <x:c r="P3432" s="66" t="str">
        <x:v>Kota Pontianak</x:v>
      </x:c>
      <x:c r="Q3432" s="66" t="str">
        <x:v>https://snpmb.id/snbp/daya-tampung-snbp</x:v>
      </x:c>
      <x:c r="R3432" s="66" t="str">
        <x:v>https://sidatagrun-public-1076756628210.asia-southeast2.run.app/ptn_sn.php?ptn=511</x:v>
      </x:c>
    </x:row>
    <x:row r="3433">
      <x:c r="A3433" s="87" t="n">
        <x:v>3097</x:v>
      </x:c>
      <x:c r="B3433" s="66" t="n">
        <x:v>511</x:v>
      </x:c>
      <x:c r="C3433" s="66" t="str">
        <x:v>UNIVERSITAS TANJUNGPURA</x:v>
      </x:c>
      <x:c r="D3433" s="66" t="str">
        <x:v>PTN Akademik</x:v>
      </x:c>
      <x:c r="E3433" s="66" t="str">
        <x:v>15111010</x:v>
      </x:c>
      <x:c r="F3433" s="66" t="str">
        <x:v>PEND. FISIKA</x:v>
      </x:c>
      <x:c r="G3433" s="66" t="str">
        <x:v>Sarjana</x:v>
      </x:c>
      <x:c r="H3433" s="87" t="n">
        <x:v>24</x:v>
      </x:c>
      <x:c r="I3433" s="87" t="n">
        <x:v>76</x:v>
      </x:c>
      <x:c r="J3433" s="68" t="n">
        <x:f>IFERROR(H3433/I3433,"")</x:f>
        <x:v>0.3157894736842105</x:v>
      </x:c>
      <x:c r="K3433" s="69" t="n">
        <x:f>IFERROR(I3433/H3433,"")</x:f>
        <x:v>3.1666666666666665</x:v>
      </x:c>
      <x:c r="L3433" s="66" t="str">
        <x:f>IF(K3433="","","1 : "&amp;TEXT(K3433,"0.0"))</x:f>
        <x:v>1 : 3.2</x:v>
      </x:c>
      <x:c r="M3433" s="66" t="str">
        <x:f>IF(J3433="","Baru/Tanpa Data",IF(J3433&lt;='Catatan &amp; Sumber'!$B$14,"Sangat Ketat",IF(J3433&lt;='Catatan &amp; Sumber'!$B$15,"Ketat",IF(J3433&lt;='Catatan &amp; Sumber'!$B$16,"Sedang","Relatif Longgar"))))</x:f>
        <x:v>Relatif Longgar</x:v>
      </x:c>
      <x:c r="N3433" s="66" t="str">
        <x:v>Tidak Ada</x:v>
      </x:c>
      <x:c r="O3433" s="66" t="str">
        <x:v>Kalimantan Barat</x:v>
      </x:c>
      <x:c r="P3433" s="66" t="str">
        <x:v>Kota Pontianak</x:v>
      </x:c>
      <x:c r="Q3433" s="66" t="str">
        <x:v>https://snpmb.id/snbp/daya-tampung-snbp</x:v>
      </x:c>
      <x:c r="R3433" s="66" t="str">
        <x:v>https://sidatagrun-public-1076756628210.asia-southeast2.run.app/ptn_sn.php?ptn=511</x:v>
      </x:c>
    </x:row>
    <x:row r="3434">
      <x:c r="A3434" s="87" t="n">
        <x:v>2574</x:v>
      </x:c>
      <x:c r="B3434" s="66" t="n">
        <x:v>511</x:v>
      </x:c>
      <x:c r="C3434" s="66" t="str">
        <x:v>UNIVERSITAS TANJUNGPURA</x:v>
      </x:c>
      <x:c r="D3434" s="66" t="str">
        <x:v>PTN Akademik</x:v>
      </x:c>
      <x:c r="E3434" s="66" t="str">
        <x:v>15111011</x:v>
      </x:c>
      <x:c r="F3434" s="66" t="str">
        <x:v>PEND. KIMIA</x:v>
      </x:c>
      <x:c r="G3434" s="66" t="str">
        <x:v>Sarjana</x:v>
      </x:c>
      <x:c r="H3434" s="87" t="n">
        <x:v>20</x:v>
      </x:c>
      <x:c r="I3434" s="87" t="n">
        <x:v>89</x:v>
      </x:c>
      <x:c r="J3434" s="68" t="n">
        <x:f>IFERROR(H3434/I3434,"")</x:f>
        <x:v>0.2247191011235955</x:v>
      </x:c>
      <x:c r="K3434" s="69" t="n">
        <x:f>IFERROR(I3434/H3434,"")</x:f>
        <x:v>4.45</x:v>
      </x:c>
      <x:c r="L3434" s="66" t="str">
        <x:f>IF(K3434="","","1 : "&amp;TEXT(K3434,"0.0"))</x:f>
        <x:v>1 : 4.5</x:v>
      </x:c>
      <x:c r="M3434" s="66" t="str">
        <x:f>IF(J3434="","Baru/Tanpa Data",IF(J3434&lt;='Catatan &amp; Sumber'!$B$14,"Sangat Ketat",IF(J3434&lt;='Catatan &amp; Sumber'!$B$15,"Ketat",IF(J3434&lt;='Catatan &amp; Sumber'!$B$16,"Sedang","Relatif Longgar"))))</x:f>
        <x:v>Relatif Longgar</x:v>
      </x:c>
      <x:c r="N3434" s="66" t="str">
        <x:v>Tidak Ada</x:v>
      </x:c>
      <x:c r="O3434" s="66" t="str">
        <x:v>Kalimantan Barat</x:v>
      </x:c>
      <x:c r="P3434" s="66" t="str">
        <x:v>Kota Pontianak</x:v>
      </x:c>
      <x:c r="Q3434" s="66" t="str">
        <x:v>https://snpmb.id/snbp/daya-tampung-snbp</x:v>
      </x:c>
      <x:c r="R3434" s="66" t="str">
        <x:v>https://sidatagrun-public-1076756628210.asia-southeast2.run.app/ptn_sn.php?ptn=511</x:v>
      </x:c>
    </x:row>
    <x:row r="3435">
      <x:c r="A3435" s="87" t="n">
        <x:v>3726</x:v>
      </x:c>
      <x:c r="B3435" s="66" t="n">
        <x:v>511</x:v>
      </x:c>
      <x:c r="C3435" s="66" t="str">
        <x:v>UNIVERSITAS TANJUNGPURA</x:v>
      </x:c>
      <x:c r="D3435" s="66" t="str">
        <x:v>PTN Akademik</x:v>
      </x:c>
      <x:c r="E3435" s="66" t="str">
        <x:v>15111012</x:v>
      </x:c>
      <x:c r="F3435" s="66" t="str">
        <x:v>MATEMATIKA</x:v>
      </x:c>
      <x:c r="G3435" s="66" t="str">
        <x:v>Sarjana</x:v>
      </x:c>
      <x:c r="H3435" s="87" t="n">
        <x:v>35</x:v>
      </x:c>
      <x:c r="I3435" s="87" t="n">
        <x:v>66</x:v>
      </x:c>
      <x:c r="J3435" s="68" t="n">
        <x:f>IFERROR(H3435/I3435,"")</x:f>
        <x:v>0.5303030303030303</x:v>
      </x:c>
      <x:c r="K3435" s="69" t="n">
        <x:f>IFERROR(I3435/H3435,"")</x:f>
        <x:v>1.8857142857142857</x:v>
      </x:c>
      <x:c r="L3435" s="66" t="str">
        <x:f>IF(K3435="","","1 : "&amp;TEXT(K3435,"0.0"))</x:f>
        <x:v>1 : 1.9</x:v>
      </x:c>
      <x:c r="M3435" s="66" t="str">
        <x:f>IF(J3435="","Baru/Tanpa Data",IF(J3435&lt;='Catatan &amp; Sumber'!$B$14,"Sangat Ketat",IF(J3435&lt;='Catatan &amp; Sumber'!$B$15,"Ketat",IF(J3435&lt;='Catatan &amp; Sumber'!$B$16,"Sedang","Relatif Longgar"))))</x:f>
        <x:v>Relatif Longgar</x:v>
      </x:c>
      <x:c r="N3435" s="66" t="str">
        <x:v>Tidak Ada</x:v>
      </x:c>
      <x:c r="O3435" s="66" t="str">
        <x:v>Kalimantan Barat</x:v>
      </x:c>
      <x:c r="P3435" s="66" t="str">
        <x:v>Kota Pontianak</x:v>
      </x:c>
      <x:c r="Q3435" s="66" t="str">
        <x:v>https://snpmb.id/snbp/daya-tampung-snbp</x:v>
      </x:c>
      <x:c r="R3435" s="66" t="str">
        <x:v>https://sidatagrun-public-1076756628210.asia-southeast2.run.app/ptn_sn.php?ptn=511</x:v>
      </x:c>
    </x:row>
    <x:row r="3436">
      <x:c r="A3436" s="87" t="n">
        <x:v>3958</x:v>
      </x:c>
      <x:c r="B3436" s="66" t="n">
        <x:v>511</x:v>
      </x:c>
      <x:c r="C3436" s="66" t="str">
        <x:v>UNIVERSITAS TANJUNGPURA</x:v>
      </x:c>
      <x:c r="D3436" s="66" t="str">
        <x:v>PTN Akademik</x:v>
      </x:c>
      <x:c r="E3436" s="66" t="str">
        <x:v>15111013</x:v>
      </x:c>
      <x:c r="F3436" s="66" t="str">
        <x:v>FISIKA</x:v>
      </x:c>
      <x:c r="G3436" s="66" t="str">
        <x:v>Sarjana</x:v>
      </x:c>
      <x:c r="H3436" s="87" t="n">
        <x:v>16</x:v>
      </x:c>
      <x:c r="I3436" s="87" t="n">
        <x:v>24</x:v>
      </x:c>
      <x:c r="J3436" s="68" t="n">
        <x:f>IFERROR(H3436/I3436,"")</x:f>
        <x:v>0.6666666666666666</x:v>
      </x:c>
      <x:c r="K3436" s="69" t="n">
        <x:f>IFERROR(I3436/H3436,"")</x:f>
        <x:v>1.5</x:v>
      </x:c>
      <x:c r="L3436" s="66" t="str">
        <x:f>IF(K3436="","","1 : "&amp;TEXT(K3436,"0.0"))</x:f>
        <x:v>1 : 1.5</x:v>
      </x:c>
      <x:c r="M3436" s="66" t="str">
        <x:f>IF(J3436="","Baru/Tanpa Data",IF(J3436&lt;='Catatan &amp; Sumber'!$B$14,"Sangat Ketat",IF(J3436&lt;='Catatan &amp; Sumber'!$B$15,"Ketat",IF(J3436&lt;='Catatan &amp; Sumber'!$B$16,"Sedang","Relatif Longgar"))))</x:f>
        <x:v>Relatif Longgar</x:v>
      </x:c>
      <x:c r="N3436" s="66" t="str">
        <x:v>Tidak Ada</x:v>
      </x:c>
      <x:c r="O3436" s="66" t="str">
        <x:v>Kalimantan Barat</x:v>
      </x:c>
      <x:c r="P3436" s="66" t="str">
        <x:v>Kota Pontianak</x:v>
      </x:c>
      <x:c r="Q3436" s="66" t="str">
        <x:v>https://snpmb.id/snbp/daya-tampung-snbp</x:v>
      </x:c>
      <x:c r="R3436" s="66" t="str">
        <x:v>https://sidatagrun-public-1076756628210.asia-southeast2.run.app/ptn_sn.php?ptn=511</x:v>
      </x:c>
    </x:row>
    <x:row r="3437">
      <x:c r="A3437" s="87" t="n">
        <x:v>3684</x:v>
      </x:c>
      <x:c r="B3437" s="66" t="n">
        <x:v>511</x:v>
      </x:c>
      <x:c r="C3437" s="66" t="str">
        <x:v>UNIVERSITAS TANJUNGPURA</x:v>
      </x:c>
      <x:c r="D3437" s="66" t="str">
        <x:v>PTN Akademik</x:v>
      </x:c>
      <x:c r="E3437" s="66" t="str">
        <x:v>15111014</x:v>
      </x:c>
      <x:c r="F3437" s="66" t="str">
        <x:v>KIMIA</x:v>
      </x:c>
      <x:c r="G3437" s="66" t="str">
        <x:v>Sarjana</x:v>
      </x:c>
      <x:c r="H3437" s="87" t="n">
        <x:v>48</x:v>
      </x:c>
      <x:c r="I3437" s="87" t="n">
        <x:v>94</x:v>
      </x:c>
      <x:c r="J3437" s="68" t="n">
        <x:f>IFERROR(H3437/I3437,"")</x:f>
        <x:v>0.5106382978723404</x:v>
      </x:c>
      <x:c r="K3437" s="69" t="n">
        <x:f>IFERROR(I3437/H3437,"")</x:f>
        <x:v>1.9583333333333333</x:v>
      </x:c>
      <x:c r="L3437" s="66" t="str">
        <x:f>IF(K3437="","","1 : "&amp;TEXT(K3437,"0.0"))</x:f>
        <x:v>1 : 2.0</x:v>
      </x:c>
      <x:c r="M3437" s="66" t="str">
        <x:f>IF(J3437="","Baru/Tanpa Data",IF(J3437&lt;='Catatan &amp; Sumber'!$B$14,"Sangat Ketat",IF(J3437&lt;='Catatan &amp; Sumber'!$B$15,"Ketat",IF(J3437&lt;='Catatan &amp; Sumber'!$B$16,"Sedang","Relatif Longgar"))))</x:f>
        <x:v>Relatif Longgar</x:v>
      </x:c>
      <x:c r="N3437" s="66" t="str">
        <x:v>Tidak Ada</x:v>
      </x:c>
      <x:c r="O3437" s="66" t="str">
        <x:v>Kalimantan Barat</x:v>
      </x:c>
      <x:c r="P3437" s="66" t="str">
        <x:v>Kota Pontianak</x:v>
      </x:c>
      <x:c r="Q3437" s="66" t="str">
        <x:v>https://snpmb.id/snbp/daya-tampung-snbp</x:v>
      </x:c>
      <x:c r="R3437" s="66" t="str">
        <x:v>https://sidatagrun-public-1076756628210.asia-southeast2.run.app/ptn_sn.php?ptn=511</x:v>
      </x:c>
    </x:row>
    <x:row r="3438">
      <x:c r="A3438" s="87" t="n">
        <x:v>3497</x:v>
      </x:c>
      <x:c r="B3438" s="66" t="n">
        <x:v>511</x:v>
      </x:c>
      <x:c r="C3438" s="66" t="str">
        <x:v>UNIVERSITAS TANJUNGPURA</x:v>
      </x:c>
      <x:c r="D3438" s="66" t="str">
        <x:v>PTN Akademik</x:v>
      </x:c>
      <x:c r="E3438" s="66" t="str">
        <x:v>15111015</x:v>
      </x:c>
      <x:c r="F3438" s="66" t="str">
        <x:v>BIOLOGI</x:v>
      </x:c>
      <x:c r="G3438" s="66" t="str">
        <x:v>Sarjana</x:v>
      </x:c>
      <x:c r="H3438" s="87" t="n">
        <x:v>40</x:v>
      </x:c>
      <x:c r="I3438" s="87" t="n">
        <x:v>92</x:v>
      </x:c>
      <x:c r="J3438" s="68" t="n">
        <x:f>IFERROR(H3438/I3438,"")</x:f>
        <x:v>0.43478260869565216</x:v>
      </x:c>
      <x:c r="K3438" s="69" t="n">
        <x:f>IFERROR(I3438/H3438,"")</x:f>
        <x:v>2.3</x:v>
      </x:c>
      <x:c r="L3438" s="66" t="str">
        <x:f>IF(K3438="","","1 : "&amp;TEXT(K3438,"0.0"))</x:f>
        <x:v>1 : 2.3</x:v>
      </x:c>
      <x:c r="M3438" s="66" t="str">
        <x:f>IF(J3438="","Baru/Tanpa Data",IF(J3438&lt;='Catatan &amp; Sumber'!$B$14,"Sangat Ketat",IF(J3438&lt;='Catatan &amp; Sumber'!$B$15,"Ketat",IF(J3438&lt;='Catatan &amp; Sumber'!$B$16,"Sedang","Relatif Longgar"))))</x:f>
        <x:v>Relatif Longgar</x:v>
      </x:c>
      <x:c r="N3438" s="66" t="str">
        <x:v>Tidak Ada</x:v>
      </x:c>
      <x:c r="O3438" s="66" t="str">
        <x:v>Kalimantan Barat</x:v>
      </x:c>
      <x:c r="P3438" s="66" t="str">
        <x:v>Kota Pontianak</x:v>
      </x:c>
      <x:c r="Q3438" s="66" t="str">
        <x:v>https://snpmb.id/snbp/daya-tampung-snbp</x:v>
      </x:c>
      <x:c r="R3438" s="66" t="str">
        <x:v>https://sidatagrun-public-1076756628210.asia-southeast2.run.app/ptn_sn.php?ptn=511</x:v>
      </x:c>
    </x:row>
    <x:row r="3439">
      <x:c r="A3439" s="87" t="n">
        <x:v>175</x:v>
      </x:c>
      <x:c r="B3439" s="66" t="n">
        <x:v>511</x:v>
      </x:c>
      <x:c r="C3439" s="66" t="str">
        <x:v>UNIVERSITAS TANJUNGPURA</x:v>
      </x:c>
      <x:c r="D3439" s="66" t="str">
        <x:v>PTN Akademik</x:v>
      </x:c>
      <x:c r="E3439" s="66" t="str">
        <x:v>15111016</x:v>
      </x:c>
      <x:c r="F3439" s="66" t="str">
        <x:v>KEDOKTERAN</x:v>
      </x:c>
      <x:c r="G3439" s="66" t="str">
        <x:v>Sarjana</x:v>
      </x:c>
      <x:c r="H3439" s="87" t="n">
        <x:v>24</x:v>
      </x:c>
      <x:c r="I3439" s="87" t="n">
        <x:v>680</x:v>
      </x:c>
      <x:c r="J3439" s="68" t="n">
        <x:f>IFERROR(H3439/I3439,"")</x:f>
        <x:v>0.03529411764705882</x:v>
      </x:c>
      <x:c r="K3439" s="69" t="n">
        <x:f>IFERROR(I3439/H3439,"")</x:f>
        <x:v>28.333333333333332</x:v>
      </x:c>
      <x:c r="L3439" s="66" t="str">
        <x:f>IF(K3439="","","1 : "&amp;TEXT(K3439,"0.0"))</x:f>
        <x:v>1 : 28.3</x:v>
      </x:c>
      <x:c r="M3439" s="66" t="str">
        <x:f>IF(J3439="","Baru/Tanpa Data",IF(J3439&lt;='Catatan &amp; Sumber'!$B$14,"Sangat Ketat",IF(J3439&lt;='Catatan &amp; Sumber'!$B$15,"Ketat",IF(J3439&lt;='Catatan &amp; Sumber'!$B$16,"Sedang","Relatif Longgar"))))</x:f>
        <x:v>Ketat</x:v>
      </x:c>
      <x:c r="N3439" s="66" t="str">
        <x:v>Tidak Ada</x:v>
      </x:c>
      <x:c r="O3439" s="66" t="str">
        <x:v>Kalimantan Barat</x:v>
      </x:c>
      <x:c r="P3439" s="66" t="str">
        <x:v>Kota Pontianak</x:v>
      </x:c>
      <x:c r="Q3439" s="66" t="str">
        <x:v>https://snpmb.id/snbp/daya-tampung-snbp</x:v>
      </x:c>
      <x:c r="R3439" s="66" t="str">
        <x:v>https://sidatagrun-public-1076756628210.asia-southeast2.run.app/ptn_sn.php?ptn=511</x:v>
      </x:c>
    </x:row>
    <x:row r="3440">
      <x:c r="A3440" s="87" t="n">
        <x:v>178</x:v>
      </x:c>
      <x:c r="B3440" s="66" t="n">
        <x:v>511</x:v>
      </x:c>
      <x:c r="C3440" s="66" t="str">
        <x:v>UNIVERSITAS TANJUNGPURA</x:v>
      </x:c>
      <x:c r="D3440" s="66" t="str">
        <x:v>PTN Akademik</x:v>
      </x:c>
      <x:c r="E3440" s="66" t="str">
        <x:v>15111017</x:v>
      </x:c>
      <x:c r="F3440" s="66" t="str">
        <x:v>FARMASI</x:v>
      </x:c>
      <x:c r="G3440" s="66" t="str">
        <x:v>Sarjana</x:v>
      </x:c>
      <x:c r="H3440" s="87" t="n">
        <x:v>40</x:v>
      </x:c>
      <x:c r="I3440" s="87" t="n">
        <x:v>1127</x:v>
      </x:c>
      <x:c r="J3440" s="68" t="n">
        <x:f>IFERROR(H3440/I3440,"")</x:f>
        <x:v>0.0354924578527063</x:v>
      </x:c>
      <x:c r="K3440" s="69" t="n">
        <x:f>IFERROR(I3440/H3440,"")</x:f>
        <x:v>28.175</x:v>
      </x:c>
      <x:c r="L3440" s="66" t="str">
        <x:f>IF(K3440="","","1 : "&amp;TEXT(K3440,"0.0"))</x:f>
        <x:v>1 : 28.2</x:v>
      </x:c>
      <x:c r="M3440" s="66" t="str">
        <x:f>IF(J3440="","Baru/Tanpa Data",IF(J3440&lt;='Catatan &amp; Sumber'!$B$14,"Sangat Ketat",IF(J3440&lt;='Catatan &amp; Sumber'!$B$15,"Ketat",IF(J3440&lt;='Catatan &amp; Sumber'!$B$16,"Sedang","Relatif Longgar"))))</x:f>
        <x:v>Ketat</x:v>
      </x:c>
      <x:c r="N3440" s="66" t="str">
        <x:v>Tidak Ada</x:v>
      </x:c>
      <x:c r="O3440" s="66" t="str">
        <x:v>Kalimantan Barat</x:v>
      </x:c>
      <x:c r="P3440" s="66" t="str">
        <x:v>Kota Pontianak</x:v>
      </x:c>
      <x:c r="Q3440" s="66" t="str">
        <x:v>https://snpmb.id/snbp/daya-tampung-snbp</x:v>
      </x:c>
      <x:c r="R3440" s="66" t="str">
        <x:v>https://sidatagrun-public-1076756628210.asia-southeast2.run.app/ptn_sn.php?ptn=511</x:v>
      </x:c>
    </x:row>
    <x:row r="3441">
      <x:c r="A3441" s="87" t="n">
        <x:v>1705</x:v>
      </x:c>
      <x:c r="B3441" s="66" t="n">
        <x:v>511</x:v>
      </x:c>
      <x:c r="C3441" s="66" t="str">
        <x:v>UNIVERSITAS TANJUNGPURA</x:v>
      </x:c>
      <x:c r="D3441" s="66" t="str">
        <x:v>PTN Akademik</x:v>
      </x:c>
      <x:c r="E3441" s="66" t="str">
        <x:v>15111018</x:v>
      </x:c>
      <x:c r="F3441" s="66" t="str">
        <x:v>SISTEM KOMPUTER</x:v>
      </x:c>
      <x:c r="G3441" s="66" t="str">
        <x:v>Sarjana</x:v>
      </x:c>
      <x:c r="H3441" s="87" t="n">
        <x:v>36</x:v>
      </x:c>
      <x:c r="I3441" s="87" t="n">
        <x:v>289</x:v>
      </x:c>
      <x:c r="J3441" s="68" t="n">
        <x:f>IFERROR(H3441/I3441,"")</x:f>
        <x:v>0.1245674740484429</x:v>
      </x:c>
      <x:c r="K3441" s="69" t="n">
        <x:f>IFERROR(I3441/H3441,"")</x:f>
        <x:v>8.027777777777779</x:v>
      </x:c>
      <x:c r="L3441" s="66" t="str">
        <x:f>IF(K3441="","","1 : "&amp;TEXT(K3441,"0.0"))</x:f>
        <x:v>1 : 8.0</x:v>
      </x:c>
      <x:c r="M3441" s="66" t="str">
        <x:f>IF(J3441="","Baru/Tanpa Data",IF(J3441&lt;='Catatan &amp; Sumber'!$B$14,"Sangat Ketat",IF(J3441&lt;='Catatan &amp; Sumber'!$B$15,"Ketat",IF(J3441&lt;='Catatan &amp; Sumber'!$B$16,"Sedang","Relatif Longgar"))))</x:f>
        <x:v>Relatif Longgar</x:v>
      </x:c>
      <x:c r="N3441" s="66" t="str">
        <x:v>Tidak Ada</x:v>
      </x:c>
      <x:c r="O3441" s="66" t="str">
        <x:v>Kalimantan Barat</x:v>
      </x:c>
      <x:c r="P3441" s="66" t="str">
        <x:v>Kota Pontianak</x:v>
      </x:c>
      <x:c r="Q3441" s="66" t="str">
        <x:v>https://snpmb.id/snbp/daya-tampung-snbp</x:v>
      </x:c>
      <x:c r="R3441" s="66" t="str">
        <x:v>https://sidatagrun-public-1076756628210.asia-southeast2.run.app/ptn_sn.php?ptn=511</x:v>
      </x:c>
    </x:row>
    <x:row r="3442">
      <x:c r="A3442" s="87" t="n">
        <x:v>2084</x:v>
      </x:c>
      <x:c r="B3442" s="66" t="n">
        <x:v>511</x:v>
      </x:c>
      <x:c r="C3442" s="66" t="str">
        <x:v>UNIVERSITAS TANJUNGPURA</x:v>
      </x:c>
      <x:c r="D3442" s="66" t="str">
        <x:v>PTN Akademik</x:v>
      </x:c>
      <x:c r="E3442" s="66" t="str">
        <x:v>15111019</x:v>
      </x:c>
      <x:c r="F3442" s="66" t="str">
        <x:v>AGROTEKNOLOGI</x:v>
      </x:c>
      <x:c r="G3442" s="66" t="str">
        <x:v>Sarjana</x:v>
      </x:c>
      <x:c r="H3442" s="87" t="n">
        <x:v>60</x:v>
      </x:c>
      <x:c r="I3442" s="87" t="n">
        <x:v>375</x:v>
      </x:c>
      <x:c r="J3442" s="68" t="n">
        <x:f>IFERROR(H3442/I3442,"")</x:f>
        <x:v>0.16</x:v>
      </x:c>
      <x:c r="K3442" s="69" t="n">
        <x:f>IFERROR(I3442/H3442,"")</x:f>
        <x:v>6.25</x:v>
      </x:c>
      <x:c r="L3442" s="66" t="str">
        <x:f>IF(K3442="","","1 : "&amp;TEXT(K3442,"0.0"))</x:f>
        <x:v>1 : 6.3</x:v>
      </x:c>
      <x:c r="M3442" s="66" t="str">
        <x:f>IF(J3442="","Baru/Tanpa Data",IF(J3442&lt;='Catatan &amp; Sumber'!$B$14,"Sangat Ketat",IF(J3442&lt;='Catatan &amp; Sumber'!$B$15,"Ketat",IF(J3442&lt;='Catatan &amp; Sumber'!$B$16,"Sedang","Relatif Longgar"))))</x:f>
        <x:v>Relatif Longgar</x:v>
      </x:c>
      <x:c r="N3442" s="66" t="str">
        <x:v>Tidak Ada</x:v>
      </x:c>
      <x:c r="O3442" s="66" t="str">
        <x:v>Kalimantan Barat</x:v>
      </x:c>
      <x:c r="P3442" s="66" t="str">
        <x:v>Kota Pontianak</x:v>
      </x:c>
      <x:c r="Q3442" s="66" t="str">
        <x:v>https://snpmb.id/snbp/daya-tampung-snbp</x:v>
      </x:c>
      <x:c r="R3442" s="66" t="str">
        <x:v>https://sidatagrun-public-1076756628210.asia-southeast2.run.app/ptn_sn.php?ptn=511</x:v>
      </x:c>
    </x:row>
    <x:row r="3443">
      <x:c r="A3443" s="87" t="n">
        <x:v>3289</x:v>
      </x:c>
      <x:c r="B3443" s="66" t="n">
        <x:v>511</x:v>
      </x:c>
      <x:c r="C3443" s="66" t="str">
        <x:v>UNIVERSITAS TANJUNGPURA</x:v>
      </x:c>
      <x:c r="D3443" s="66" t="str">
        <x:v>PTN Akademik</x:v>
      </x:c>
      <x:c r="E3443" s="66" t="str">
        <x:v>15111020</x:v>
      </x:c>
      <x:c r="F3443" s="66" t="str">
        <x:v>KEHUTANAN</x:v>
      </x:c>
      <x:c r="G3443" s="66" t="str">
        <x:v>Sarjana</x:v>
      </x:c>
      <x:c r="H3443" s="87" t="n">
        <x:v>156</x:v>
      </x:c>
      <x:c r="I3443" s="87" t="n">
        <x:v>422</x:v>
      </x:c>
      <x:c r="J3443" s="68" t="n">
        <x:f>IFERROR(H3443/I3443,"")</x:f>
        <x:v>0.3696682464454976</x:v>
      </x:c>
      <x:c r="K3443" s="69" t="n">
        <x:f>IFERROR(I3443/H3443,"")</x:f>
        <x:v>2.7051282051282053</x:v>
      </x:c>
      <x:c r="L3443" s="66" t="str">
        <x:f>IF(K3443="","","1 : "&amp;TEXT(K3443,"0.0"))</x:f>
        <x:v>1 : 2.7</x:v>
      </x:c>
      <x:c r="M3443" s="66" t="str">
        <x:f>IF(J3443="","Baru/Tanpa Data",IF(J3443&lt;='Catatan &amp; Sumber'!$B$14,"Sangat Ketat",IF(J3443&lt;='Catatan &amp; Sumber'!$B$15,"Ketat",IF(J3443&lt;='Catatan &amp; Sumber'!$B$16,"Sedang","Relatif Longgar"))))</x:f>
        <x:v>Relatif Longgar</x:v>
      </x:c>
      <x:c r="N3443" s="66" t="str">
        <x:v>Tidak Ada</x:v>
      </x:c>
      <x:c r="O3443" s="66" t="str">
        <x:v>Kalimantan Barat</x:v>
      </x:c>
      <x:c r="P3443" s="66" t="str">
        <x:v>Kota Pontianak</x:v>
      </x:c>
      <x:c r="Q3443" s="66" t="str">
        <x:v>https://snpmb.id/snbp/daya-tampung-snbp</x:v>
      </x:c>
      <x:c r="R3443" s="66" t="str">
        <x:v>https://sidatagrun-public-1076756628210.asia-southeast2.run.app/ptn_sn.php?ptn=511</x:v>
      </x:c>
    </x:row>
    <x:row r="3444">
      <x:c r="A3444" s="87" t="n">
        <x:v>129</x:v>
      </x:c>
      <x:c r="B3444" s="66" t="n">
        <x:v>511</x:v>
      </x:c>
      <x:c r="C3444" s="66" t="str">
        <x:v>UNIVERSITAS TANJUNGPURA</x:v>
      </x:c>
      <x:c r="D3444" s="66" t="str">
        <x:v>PTN Akademik</x:v>
      </x:c>
      <x:c r="E3444" s="66" t="str">
        <x:v>15111021</x:v>
      </x:c>
      <x:c r="F3444" s="66" t="str">
        <x:v>KEPERAWATAN</x:v>
      </x:c>
      <x:c r="G3444" s="66" t="str">
        <x:v>Sarjana</x:v>
      </x:c>
      <x:c r="H3444" s="87" t="n">
        <x:v>27</x:v>
      </x:c>
      <x:c r="I3444" s="87" t="n">
        <x:v>870</x:v>
      </x:c>
      <x:c r="J3444" s="68" t="n">
        <x:f>IFERROR(H3444/I3444,"")</x:f>
        <x:v>0.03103448275862069</x:v>
      </x:c>
      <x:c r="K3444" s="69" t="n">
        <x:f>IFERROR(I3444/H3444,"")</x:f>
        <x:v>32.22222222222222</x:v>
      </x:c>
      <x:c r="L3444" s="66" t="str">
        <x:f>IF(K3444="","","1 : "&amp;TEXT(K3444,"0.0"))</x:f>
        <x:v>1 : 32.2</x:v>
      </x:c>
      <x:c r="M3444" s="66" t="str">
        <x:f>IF(J3444="","Baru/Tanpa Data",IF(J3444&lt;='Catatan &amp; Sumber'!$B$14,"Sangat Ketat",IF(J3444&lt;='Catatan &amp; Sumber'!$B$15,"Ketat",IF(J3444&lt;='Catatan &amp; Sumber'!$B$16,"Sedang","Relatif Longgar"))))</x:f>
        <x:v>Ketat</x:v>
      </x:c>
      <x:c r="N3444" s="66" t="str">
        <x:v>Tidak Ada</x:v>
      </x:c>
      <x:c r="O3444" s="66" t="str">
        <x:v>Kalimantan Barat</x:v>
      </x:c>
      <x:c r="P3444" s="66" t="str">
        <x:v>Kota Pontianak</x:v>
      </x:c>
      <x:c r="Q3444" s="66" t="str">
        <x:v>https://snpmb.id/snbp/daya-tampung-snbp</x:v>
      </x:c>
      <x:c r="R3444" s="66" t="str">
        <x:v>https://sidatagrun-public-1076756628210.asia-southeast2.run.app/ptn_sn.php?ptn=511</x:v>
      </x:c>
    </x:row>
    <x:row r="3445">
      <x:c r="A3445" s="87" t="n">
        <x:v>3764</x:v>
      </x:c>
      <x:c r="B3445" s="66" t="n">
        <x:v>511</x:v>
      </x:c>
      <x:c r="C3445" s="66" t="str">
        <x:v>UNIVERSITAS TANJUNGPURA</x:v>
      </x:c>
      <x:c r="D3445" s="66" t="str">
        <x:v>PTN Akademik</x:v>
      </x:c>
      <x:c r="E3445" s="66" t="str">
        <x:v>15111022</x:v>
      </x:c>
      <x:c r="F3445" s="66" t="str">
        <x:v>GEOFISIKA</x:v>
      </x:c>
      <x:c r="G3445" s="66" t="str">
        <x:v>Sarjana</x:v>
      </x:c>
      <x:c r="H3445" s="87" t="n">
        <x:v>32</x:v>
      </x:c>
      <x:c r="I3445" s="87" t="n">
        <x:v>58</x:v>
      </x:c>
      <x:c r="J3445" s="68" t="n">
        <x:f>IFERROR(H3445/I3445,"")</x:f>
        <x:v>0.5517241379310345</x:v>
      </x:c>
      <x:c r="K3445" s="69" t="n">
        <x:f>IFERROR(I3445/H3445,"")</x:f>
        <x:v>1.8125</x:v>
      </x:c>
      <x:c r="L3445" s="66" t="str">
        <x:f>IF(K3445="","","1 : "&amp;TEXT(K3445,"0.0"))</x:f>
        <x:v>1 : 1.8</x:v>
      </x:c>
      <x:c r="M3445" s="66" t="str">
        <x:f>IF(J3445="","Baru/Tanpa Data",IF(J3445&lt;='Catatan &amp; Sumber'!$B$14,"Sangat Ketat",IF(J3445&lt;='Catatan &amp; Sumber'!$B$15,"Ketat",IF(J3445&lt;='Catatan &amp; Sumber'!$B$16,"Sedang","Relatif Longgar"))))</x:f>
        <x:v>Relatif Longgar</x:v>
      </x:c>
      <x:c r="N3445" s="66" t="str">
        <x:v>Tidak Ada</x:v>
      </x:c>
      <x:c r="O3445" s="66" t="str">
        <x:v>Kalimantan Barat</x:v>
      </x:c>
      <x:c r="P3445" s="66" t="str">
        <x:v>Kota Pontianak</x:v>
      </x:c>
      <x:c r="Q3445" s="66" t="str">
        <x:v>https://snpmb.id/snbp/daya-tampung-snbp</x:v>
      </x:c>
      <x:c r="R3445" s="66" t="str">
        <x:v>https://sidatagrun-public-1076756628210.asia-southeast2.run.app/ptn_sn.php?ptn=511</x:v>
      </x:c>
    </x:row>
    <x:row r="3446">
      <x:c r="A3446" s="87" t="n">
        <x:v>3681</x:v>
      </x:c>
      <x:c r="B3446" s="66" t="n">
        <x:v>511</x:v>
      </x:c>
      <x:c r="C3446" s="66" t="str">
        <x:v>UNIVERSITAS TANJUNGPURA</x:v>
      </x:c>
      <x:c r="D3446" s="66" t="str">
        <x:v>PTN Akademik</x:v>
      </x:c>
      <x:c r="E3446" s="66" t="str">
        <x:v>15111023</x:v>
      </x:c>
      <x:c r="F3446" s="66" t="str">
        <x:v>ILMU KELAUTAN</x:v>
      </x:c>
      <x:c r="G3446" s="66" t="str">
        <x:v>Sarjana</x:v>
      </x:c>
      <x:c r="H3446" s="87" t="n">
        <x:v>28</x:v>
      </x:c>
      <x:c r="I3446" s="87" t="n">
        <x:v>55</x:v>
      </x:c>
      <x:c r="J3446" s="68" t="n">
        <x:f>IFERROR(H3446/I3446,"")</x:f>
        <x:v>0.509090909090909</x:v>
      </x:c>
      <x:c r="K3446" s="69" t="n">
        <x:f>IFERROR(I3446/H3446,"")</x:f>
        <x:v>1.9642857142857142</x:v>
      </x:c>
      <x:c r="L3446" s="66" t="str">
        <x:f>IF(K3446="","","1 : "&amp;TEXT(K3446,"0.0"))</x:f>
        <x:v>1 : 2.0</x:v>
      </x:c>
      <x:c r="M3446" s="66" t="str">
        <x:f>IF(J3446="","Baru/Tanpa Data",IF(J3446&lt;='Catatan &amp; Sumber'!$B$14,"Sangat Ketat",IF(J3446&lt;='Catatan &amp; Sumber'!$B$15,"Ketat",IF(J3446&lt;='Catatan &amp; Sumber'!$B$16,"Sedang","Relatif Longgar"))))</x:f>
        <x:v>Relatif Longgar</x:v>
      </x:c>
      <x:c r="N3446" s="66" t="str">
        <x:v>Tidak Ada</x:v>
      </x:c>
      <x:c r="O3446" s="66" t="str">
        <x:v>Kalimantan Barat</x:v>
      </x:c>
      <x:c r="P3446" s="66" t="str">
        <x:v>Kota Pontianak</x:v>
      </x:c>
      <x:c r="Q3446" s="66" t="str">
        <x:v>https://snpmb.id/snbp/daya-tampung-snbp</x:v>
      </x:c>
      <x:c r="R3446" s="66" t="str">
        <x:v>https://sidatagrun-public-1076756628210.asia-southeast2.run.app/ptn_sn.php?ptn=511</x:v>
      </x:c>
    </x:row>
    <x:row r="3447">
      <x:c r="A3447" s="87" t="n">
        <x:v>2348</x:v>
      </x:c>
      <x:c r="B3447" s="66" t="n">
        <x:v>511</x:v>
      </x:c>
      <x:c r="C3447" s="66" t="str">
        <x:v>UNIVERSITAS TANJUNGPURA</x:v>
      </x:c>
      <x:c r="D3447" s="66" t="str">
        <x:v>PTN Akademik</x:v>
      </x:c>
      <x:c r="E3447" s="66" t="str">
        <x:v>15111024</x:v>
      </x:c>
      <x:c r="F3447" s="66" t="str">
        <x:v>PERENCANAAN WILAYAH DAN KOTA</x:v>
      </x:c>
      <x:c r="G3447" s="66" t="str">
        <x:v>Sarjana</x:v>
      </x:c>
      <x:c r="H3447" s="87" t="n">
        <x:v>18</x:v>
      </x:c>
      <x:c r="I3447" s="87" t="n">
        <x:v>95</x:v>
      </x:c>
      <x:c r="J3447" s="68" t="n">
        <x:f>IFERROR(H3447/I3447,"")</x:f>
        <x:v>0.18947368421052632</x:v>
      </x:c>
      <x:c r="K3447" s="69" t="n">
        <x:f>IFERROR(I3447/H3447,"")</x:f>
        <x:v>5.277777777777778</x:v>
      </x:c>
      <x:c r="L3447" s="66" t="str">
        <x:f>IF(K3447="","","1 : "&amp;TEXT(K3447,"0.0"))</x:f>
        <x:v>1 : 5.3</x:v>
      </x:c>
      <x:c r="M3447" s="66" t="str">
        <x:f>IF(J3447="","Baru/Tanpa Data",IF(J3447&lt;='Catatan &amp; Sumber'!$B$14,"Sangat Ketat",IF(J3447&lt;='Catatan &amp; Sumber'!$B$15,"Ketat",IF(J3447&lt;='Catatan &amp; Sumber'!$B$16,"Sedang","Relatif Longgar"))))</x:f>
        <x:v>Relatif Longgar</x:v>
      </x:c>
      <x:c r="N3447" s="66" t="str">
        <x:v>Tidak Ada</x:v>
      </x:c>
      <x:c r="O3447" s="66" t="str">
        <x:v>Kalimantan Barat</x:v>
      </x:c>
      <x:c r="P3447" s="66" t="str">
        <x:v>Kota Pontianak</x:v>
      </x:c>
      <x:c r="Q3447" s="66" t="str">
        <x:v>https://snpmb.id/snbp/daya-tampung-snbp</x:v>
      </x:c>
      <x:c r="R3447" s="66" t="str">
        <x:v>https://sidatagrun-public-1076756628210.asia-southeast2.run.app/ptn_sn.php?ptn=511</x:v>
      </x:c>
    </x:row>
    <x:row r="3448">
      <x:c r="A3448" s="87" t="n">
        <x:v>1384</x:v>
      </x:c>
      <x:c r="B3448" s="66" t="n">
        <x:v>511</x:v>
      </x:c>
      <x:c r="C3448" s="66" t="str">
        <x:v>UNIVERSITAS TANJUNGPURA</x:v>
      </x:c>
      <x:c r="D3448" s="66" t="str">
        <x:v>PTN Akademik</x:v>
      </x:c>
      <x:c r="E3448" s="66" t="str">
        <x:v>15111025</x:v>
      </x:c>
      <x:c r="F3448" s="66" t="str">
        <x:v>ILMU DAN TEKNOLOGI PANGAN</x:v>
      </x:c>
      <x:c r="G3448" s="66" t="str">
        <x:v>Sarjana</x:v>
      </x:c>
      <x:c r="H3448" s="87" t="n">
        <x:v>20</x:v>
      </x:c>
      <x:c r="I3448" s="87" t="n">
        <x:v>198</x:v>
      </x:c>
      <x:c r="J3448" s="68" t="n">
        <x:f>IFERROR(H3448/I3448,"")</x:f>
        <x:v>0.10101010101010101</x:v>
      </x:c>
      <x:c r="K3448" s="69" t="n">
        <x:f>IFERROR(I3448/H3448,"")</x:f>
        <x:v>9.9</x:v>
      </x:c>
      <x:c r="L3448" s="66" t="str">
        <x:f>IF(K3448="","","1 : "&amp;TEXT(K3448,"0.0"))</x:f>
        <x:v>1 : 9.9</x:v>
      </x:c>
      <x:c r="M3448" s="66" t="str">
        <x:f>IF(J3448="","Baru/Tanpa Data",IF(J3448&lt;='Catatan &amp; Sumber'!$B$14,"Sangat Ketat",IF(J3448&lt;='Catatan &amp; Sumber'!$B$15,"Ketat",IF(J3448&lt;='Catatan &amp; Sumber'!$B$16,"Sedang","Relatif Longgar"))))</x:f>
        <x:v>Relatif Longgar</x:v>
      </x:c>
      <x:c r="N3448" s="66" t="str">
        <x:v>Tidak Ada</x:v>
      </x:c>
      <x:c r="O3448" s="66" t="str">
        <x:v>Kalimantan Barat</x:v>
      </x:c>
      <x:c r="P3448" s="66" t="str">
        <x:v>Kota Pontianak</x:v>
      </x:c>
      <x:c r="Q3448" s="66" t="str">
        <x:v>https://snpmb.id/snbp/daya-tampung-snbp</x:v>
      </x:c>
      <x:c r="R3448" s="66" t="str">
        <x:v>https://sidatagrun-public-1076756628210.asia-southeast2.run.app/ptn_sn.php?ptn=511</x:v>
      </x:c>
    </x:row>
    <x:row r="3449">
      <x:c r="A3449" s="87" t="n">
        <x:v>500</x:v>
      </x:c>
      <x:c r="B3449" s="66" t="n">
        <x:v>511</x:v>
      </x:c>
      <x:c r="C3449" s="66" t="str">
        <x:v>UNIVERSITAS TANJUNGPURA</x:v>
      </x:c>
      <x:c r="D3449" s="66" t="str">
        <x:v>PTN Akademik</x:v>
      </x:c>
      <x:c r="E3449" s="66" t="str">
        <x:v>15111026</x:v>
      </x:c>
      <x:c r="F3449" s="66" t="str">
        <x:v>TEKNIK PERTAMBANGAN</x:v>
      </x:c>
      <x:c r="G3449" s="66" t="str">
        <x:v>Sarjana</x:v>
      </x:c>
      <x:c r="H3449" s="87" t="n">
        <x:v>20</x:v>
      </x:c>
      <x:c r="I3449" s="87" t="n">
        <x:v>391</x:v>
      </x:c>
      <x:c r="J3449" s="68" t="n">
        <x:f>IFERROR(H3449/I3449,"")</x:f>
        <x:v>0.05115089514066496</x:v>
      </x:c>
      <x:c r="K3449" s="69" t="n">
        <x:f>IFERROR(I3449/H3449,"")</x:f>
        <x:v>19.55</x:v>
      </x:c>
      <x:c r="L3449" s="66" t="str">
        <x:f>IF(K3449="","","1 : "&amp;TEXT(K3449,"0.0"))</x:f>
        <x:v>1 : 19.6</x:v>
      </x:c>
      <x:c r="M3449" s="66" t="str">
        <x:f>IF(J3449="","Baru/Tanpa Data",IF(J3449&lt;='Catatan &amp; Sumber'!$B$14,"Sangat Ketat",IF(J3449&lt;='Catatan &amp; Sumber'!$B$15,"Ketat",IF(J3449&lt;='Catatan &amp; Sumber'!$B$16,"Sedang","Relatif Longgar"))))</x:f>
        <x:v>Sedang</x:v>
      </x:c>
      <x:c r="N3449" s="66" t="str">
        <x:v>Tidak Ada</x:v>
      </x:c>
      <x:c r="O3449" s="66" t="str">
        <x:v>Kalimantan Barat</x:v>
      </x:c>
      <x:c r="P3449" s="66" t="str">
        <x:v>Kota Pontianak</x:v>
      </x:c>
      <x:c r="Q3449" s="66" t="str">
        <x:v>https://snpmb.id/snbp/daya-tampung-snbp</x:v>
      </x:c>
      <x:c r="R3449" s="66" t="str">
        <x:v>https://sidatagrun-public-1076756628210.asia-southeast2.run.app/ptn_sn.php?ptn=511</x:v>
      </x:c>
    </x:row>
    <x:row r="3450">
      <x:c r="A3450" s="87" t="n">
        <x:v>3097</x:v>
      </x:c>
      <x:c r="B3450" s="66" t="n">
        <x:v>511</x:v>
      </x:c>
      <x:c r="C3450" s="66" t="str">
        <x:v>UNIVERSITAS TANJUNGPURA</x:v>
      </x:c>
      <x:c r="D3450" s="66" t="str">
        <x:v>PTN Akademik</x:v>
      </x:c>
      <x:c r="E3450" s="66" t="str">
        <x:v>15111027</x:v>
      </x:c>
      <x:c r="F3450" s="66" t="str">
        <x:v>PETERNAKAN</x:v>
      </x:c>
      <x:c r="G3450" s="66" t="str">
        <x:v>Sarjana</x:v>
      </x:c>
      <x:c r="H3450" s="87" t="n">
        <x:v>12</x:v>
      </x:c>
      <x:c r="I3450" s="87" t="n">
        <x:v>38</x:v>
      </x:c>
      <x:c r="J3450" s="68" t="n">
        <x:f>IFERROR(H3450/I3450,"")</x:f>
        <x:v>0.3157894736842105</x:v>
      </x:c>
      <x:c r="K3450" s="69" t="n">
        <x:f>IFERROR(I3450/H3450,"")</x:f>
        <x:v>3.1666666666666665</x:v>
      </x:c>
      <x:c r="L3450" s="66" t="str">
        <x:f>IF(K3450="","","1 : "&amp;TEXT(K3450,"0.0"))</x:f>
        <x:v>1 : 3.2</x:v>
      </x:c>
      <x:c r="M3450" s="66" t="str">
        <x:f>IF(J3450="","Baru/Tanpa Data",IF(J3450&lt;='Catatan &amp; Sumber'!$B$14,"Sangat Ketat",IF(J3450&lt;='Catatan &amp; Sumber'!$B$15,"Ketat",IF(J3450&lt;='Catatan &amp; Sumber'!$B$16,"Sedang","Relatif Longgar"))))</x:f>
        <x:v>Relatif Longgar</x:v>
      </x:c>
      <x:c r="N3450" s="66" t="str">
        <x:v>Tidak Ada</x:v>
      </x:c>
      <x:c r="O3450" s="66" t="str">
        <x:v>Kalimantan Barat</x:v>
      </x:c>
      <x:c r="P3450" s="66" t="str">
        <x:v>Kota Pontianak</x:v>
      </x:c>
      <x:c r="Q3450" s="66" t="str">
        <x:v>https://snpmb.id/snbp/daya-tampung-snbp</x:v>
      </x:c>
      <x:c r="R3450" s="66" t="str">
        <x:v>https://sidatagrun-public-1076756628210.asia-southeast2.run.app/ptn_sn.php?ptn=511</x:v>
      </x:c>
    </x:row>
    <x:row r="3451">
      <x:c r="A3451" s="87" t="n">
        <x:v>2942</x:v>
      </x:c>
      <x:c r="B3451" s="66" t="n">
        <x:v>511</x:v>
      </x:c>
      <x:c r="C3451" s="66" t="str">
        <x:v>UNIVERSITAS TANJUNGPURA</x:v>
      </x:c>
      <x:c r="D3451" s="66" t="str">
        <x:v>PTN Akademik</x:v>
      </x:c>
      <x:c r="E3451" s="66" t="str">
        <x:v>15111028</x:v>
      </x:c>
      <x:c r="F3451" s="66" t="str">
        <x:v>STATISTIK</x:v>
      </x:c>
      <x:c r="G3451" s="66" t="str">
        <x:v>Sarjana</x:v>
      </x:c>
      <x:c r="H3451" s="87" t="n">
        <x:v>35</x:v>
      </x:c>
      <x:c r="I3451" s="87" t="n">
        <x:v>124</x:v>
      </x:c>
      <x:c r="J3451" s="68" t="n">
        <x:f>IFERROR(H3451/I3451,"")</x:f>
        <x:v>0.28225806451612906</x:v>
      </x:c>
      <x:c r="K3451" s="69" t="n">
        <x:f>IFERROR(I3451/H3451,"")</x:f>
        <x:v>3.5428571428571427</x:v>
      </x:c>
      <x:c r="L3451" s="66" t="str">
        <x:f>IF(K3451="","","1 : "&amp;TEXT(K3451,"0.0"))</x:f>
        <x:v>1 : 3.5</x:v>
      </x:c>
      <x:c r="M3451" s="66" t="str">
        <x:f>IF(J3451="","Baru/Tanpa Data",IF(J3451&lt;='Catatan &amp; Sumber'!$B$14,"Sangat Ketat",IF(J3451&lt;='Catatan &amp; Sumber'!$B$15,"Ketat",IF(J3451&lt;='Catatan &amp; Sumber'!$B$16,"Sedang","Relatif Longgar"))))</x:f>
        <x:v>Relatif Longgar</x:v>
      </x:c>
      <x:c r="N3451" s="66" t="str">
        <x:v>Tidak Ada</x:v>
      </x:c>
      <x:c r="O3451" s="66" t="str">
        <x:v>Kalimantan Barat</x:v>
      </x:c>
      <x:c r="P3451" s="66" t="str">
        <x:v>Kota Pontianak</x:v>
      </x:c>
      <x:c r="Q3451" s="66" t="str">
        <x:v>https://snpmb.id/snbp/daya-tampung-snbp</x:v>
      </x:c>
      <x:c r="R3451" s="66" t="str">
        <x:v>https://sidatagrun-public-1076756628210.asia-southeast2.run.app/ptn_sn.php?ptn=511</x:v>
      </x:c>
    </x:row>
    <x:row r="3452">
      <x:c r="A3452" s="87" t="n">
        <x:v>3920</x:v>
      </x:c>
      <x:c r="B3452" s="66" t="n">
        <x:v>511</x:v>
      </x:c>
      <x:c r="C3452" s="66" t="str">
        <x:v>UNIVERSITAS TANJUNGPURA</x:v>
      </x:c>
      <x:c r="D3452" s="66" t="str">
        <x:v>PTN Akademik</x:v>
      </x:c>
      <x:c r="E3452" s="66" t="str">
        <x:v>15111029</x:v>
      </x:c>
      <x:c r="F3452" s="66" t="str">
        <x:v>TEKNIK KELAUTAN</x:v>
      </x:c>
      <x:c r="G3452" s="66" t="str">
        <x:v>Sarjana</x:v>
      </x:c>
      <x:c r="H3452" s="87" t="n">
        <x:v>28</x:v>
      </x:c>
      <x:c r="I3452" s="87" t="n">
        <x:v>44</x:v>
      </x:c>
      <x:c r="J3452" s="68" t="n">
        <x:f>IFERROR(H3452/I3452,"")</x:f>
        <x:v>0.6363636363636364</x:v>
      </x:c>
      <x:c r="K3452" s="69" t="n">
        <x:f>IFERROR(I3452/H3452,"")</x:f>
        <x:v>1.5714285714285714</x:v>
      </x:c>
      <x:c r="L3452" s="66" t="str">
        <x:f>IF(K3452="","","1 : "&amp;TEXT(K3452,"0.0"))</x:f>
        <x:v>1 : 1.6</x:v>
      </x:c>
      <x:c r="M3452" s="66" t="str">
        <x:f>IF(J3452="","Baru/Tanpa Data",IF(J3452&lt;='Catatan &amp; Sumber'!$B$14,"Sangat Ketat",IF(J3452&lt;='Catatan &amp; Sumber'!$B$15,"Ketat",IF(J3452&lt;='Catatan &amp; Sumber'!$B$16,"Sedang","Relatif Longgar"))))</x:f>
        <x:v>Relatif Longgar</x:v>
      </x:c>
      <x:c r="N3452" s="66" t="str">
        <x:v>Tidak Ada</x:v>
      </x:c>
      <x:c r="O3452" s="66" t="str">
        <x:v>Kalimantan Barat</x:v>
      </x:c>
      <x:c r="P3452" s="66" t="str">
        <x:v>Kota Pontianak</x:v>
      </x:c>
      <x:c r="Q3452" s="66" t="str">
        <x:v>https://snpmb.id/snbp/daya-tampung-snbp</x:v>
      </x:c>
      <x:c r="R3452" s="66" t="str">
        <x:v>https://sidatagrun-public-1076756628210.asia-southeast2.run.app/ptn_sn.php?ptn=511</x:v>
      </x:c>
    </x:row>
    <x:row r="3453">
      <x:c r="A3453" s="87" t="n">
        <x:v>2618</x:v>
      </x:c>
      <x:c r="B3453" s="66" t="n">
        <x:v>511</x:v>
      </x:c>
      <x:c r="C3453" s="66" t="str">
        <x:v>UNIVERSITAS TANJUNGPURA</x:v>
      </x:c>
      <x:c r="D3453" s="66" t="str">
        <x:v>PTN Akademik</x:v>
      </x:c>
      <x:c r="E3453" s="66" t="str">
        <x:v>15111030</x:v>
      </x:c>
      <x:c r="F3453" s="66" t="str">
        <x:v>TEKNIK KIMIA</x:v>
      </x:c>
      <x:c r="G3453" s="66" t="str">
        <x:v>Sarjana</x:v>
      </x:c>
      <x:c r="H3453" s="87" t="n">
        <x:v>18</x:v>
      </x:c>
      <x:c r="I3453" s="87" t="n">
        <x:v>78</x:v>
      </x:c>
      <x:c r="J3453" s="68" t="n">
        <x:f>IFERROR(H3453/I3453,"")</x:f>
        <x:v>0.23076923076923078</x:v>
      </x:c>
      <x:c r="K3453" s="69" t="n">
        <x:f>IFERROR(I3453/H3453,"")</x:f>
        <x:v>4.333333333333333</x:v>
      </x:c>
      <x:c r="L3453" s="66" t="str">
        <x:f>IF(K3453="","","1 : "&amp;TEXT(K3453,"0.0"))</x:f>
        <x:v>1 : 4.3</x:v>
      </x:c>
      <x:c r="M3453" s="66" t="str">
        <x:f>IF(J3453="","Baru/Tanpa Data",IF(J3453&lt;='Catatan &amp; Sumber'!$B$14,"Sangat Ketat",IF(J3453&lt;='Catatan &amp; Sumber'!$B$15,"Ketat",IF(J3453&lt;='Catatan &amp; Sumber'!$B$16,"Sedang","Relatif Longgar"))))</x:f>
        <x:v>Relatif Longgar</x:v>
      </x:c>
      <x:c r="N3453" s="66" t="str">
        <x:v>Tidak Ada</x:v>
      </x:c>
      <x:c r="O3453" s="66" t="str">
        <x:v>Kalimantan Barat</x:v>
      </x:c>
      <x:c r="P3453" s="66" t="str">
        <x:v>Kota Pontianak</x:v>
      </x:c>
      <x:c r="Q3453" s="66" t="str">
        <x:v>https://snpmb.id/snbp/daya-tampung-snbp</x:v>
      </x:c>
      <x:c r="R3453" s="66" t="str">
        <x:v>https://sidatagrun-public-1076756628210.asia-southeast2.run.app/ptn_sn.php?ptn=511</x:v>
      </x:c>
    </x:row>
    <x:row r="3454">
      <x:c r="A3454" s="87" t="n">
        <x:v>1881</x:v>
      </x:c>
      <x:c r="B3454" s="66" t="n">
        <x:v>511</x:v>
      </x:c>
      <x:c r="C3454" s="66" t="str">
        <x:v>UNIVERSITAS TANJUNGPURA</x:v>
      </x:c>
      <x:c r="D3454" s="66" t="str">
        <x:v>PTN Akademik</x:v>
      </x:c>
      <x:c r="E3454" s="66" t="str">
        <x:v>15111031</x:v>
      </x:c>
      <x:c r="F3454" s="66" t="str">
        <x:v>TEKNIK MESIN</x:v>
      </x:c>
      <x:c r="G3454" s="66" t="str">
        <x:v>Sarjana</x:v>
      </x:c>
      <x:c r="H3454" s="87" t="n">
        <x:v>18</x:v>
      </x:c>
      <x:c r="I3454" s="87" t="n">
        <x:v>129</x:v>
      </x:c>
      <x:c r="J3454" s="68" t="n">
        <x:f>IFERROR(H3454/I3454,"")</x:f>
        <x:v>0.13953488372093023</x:v>
      </x:c>
      <x:c r="K3454" s="69" t="n">
        <x:f>IFERROR(I3454/H3454,"")</x:f>
        <x:v>7.166666666666667</x:v>
      </x:c>
      <x:c r="L3454" s="66" t="str">
        <x:f>IF(K3454="","","1 : "&amp;TEXT(K3454,"0.0"))</x:f>
        <x:v>1 : 7.2</x:v>
      </x:c>
      <x:c r="M3454" s="66" t="str">
        <x:f>IF(J3454="","Baru/Tanpa Data",IF(J3454&lt;='Catatan &amp; Sumber'!$B$14,"Sangat Ketat",IF(J3454&lt;='Catatan &amp; Sumber'!$B$15,"Ketat",IF(J3454&lt;='Catatan &amp; Sumber'!$B$16,"Sedang","Relatif Longgar"))))</x:f>
        <x:v>Relatif Longgar</x:v>
      </x:c>
      <x:c r="N3454" s="66" t="str">
        <x:v>Tidak Ada</x:v>
      </x:c>
      <x:c r="O3454" s="66" t="str">
        <x:v>Kalimantan Barat</x:v>
      </x:c>
      <x:c r="P3454" s="66" t="str">
        <x:v>Kota Pontianak</x:v>
      </x:c>
      <x:c r="Q3454" s="66" t="str">
        <x:v>https://snpmb.id/snbp/daya-tampung-snbp</x:v>
      </x:c>
      <x:c r="R3454" s="66" t="str">
        <x:v>https://sidatagrun-public-1076756628210.asia-southeast2.run.app/ptn_sn.php?ptn=511</x:v>
      </x:c>
    </x:row>
    <x:row r="3455">
      <x:c r="A3455" s="87" t="n">
        <x:v>3203</x:v>
      </x:c>
      <x:c r="B3455" s="66" t="n">
        <x:v>511</x:v>
      </x:c>
      <x:c r="C3455" s="66" t="str">
        <x:v>UNIVERSITAS TANJUNGPURA</x:v>
      </x:c>
      <x:c r="D3455" s="66" t="str">
        <x:v>PTN Akademik</x:v>
      </x:c>
      <x:c r="E3455" s="66" t="str">
        <x:v>15111032</x:v>
      </x:c>
      <x:c r="F3455" s="66" t="str">
        <x:v>ILMU TANAH</x:v>
      </x:c>
      <x:c r="G3455" s="66" t="str">
        <x:v>Sarjana</x:v>
      </x:c>
      <x:c r="H3455" s="87" t="n">
        <x:v>24</x:v>
      </x:c>
      <x:c r="I3455" s="87" t="n">
        <x:v>70</x:v>
      </x:c>
      <x:c r="J3455" s="68" t="n">
        <x:f>IFERROR(H3455/I3455,"")</x:f>
        <x:v>0.34285714285714286</x:v>
      </x:c>
      <x:c r="K3455" s="69" t="n">
        <x:f>IFERROR(I3455/H3455,"")</x:f>
        <x:v>2.9166666666666665</x:v>
      </x:c>
      <x:c r="L3455" s="66" t="str">
        <x:f>IF(K3455="","","1 : "&amp;TEXT(K3455,"0.0"))</x:f>
        <x:v>1 : 2.9</x:v>
      </x:c>
      <x:c r="M3455" s="66" t="str">
        <x:f>IF(J3455="","Baru/Tanpa Data",IF(J3455&lt;='Catatan &amp; Sumber'!$B$14,"Sangat Ketat",IF(J3455&lt;='Catatan &amp; Sumber'!$B$15,"Ketat",IF(J3455&lt;='Catatan &amp; Sumber'!$B$16,"Sedang","Relatif Longgar"))))</x:f>
        <x:v>Relatif Longgar</x:v>
      </x:c>
      <x:c r="N3455" s="66" t="str">
        <x:v>Tidak Ada</x:v>
      </x:c>
      <x:c r="O3455" s="66" t="str">
        <x:v>Kalimantan Barat</x:v>
      </x:c>
      <x:c r="P3455" s="66" t="str">
        <x:v>Kota Pontianak</x:v>
      </x:c>
      <x:c r="Q3455" s="66" t="str">
        <x:v>https://snpmb.id/snbp/daya-tampung-snbp</x:v>
      </x:c>
      <x:c r="R3455" s="66" t="str">
        <x:v>https://sidatagrun-public-1076756628210.asia-southeast2.run.app/ptn_sn.php?ptn=511</x:v>
      </x:c>
    </x:row>
    <x:row r="3456">
      <x:c r="A3456" s="87" t="n">
        <x:v>1241</x:v>
      </x:c>
      <x:c r="B3456" s="66" t="n">
        <x:v>511</x:v>
      </x:c>
      <x:c r="C3456" s="66" t="str">
        <x:v>UNIVERSITAS TANJUNGPURA</x:v>
      </x:c>
      <x:c r="D3456" s="66" t="str">
        <x:v>PTN Akademik</x:v>
      </x:c>
      <x:c r="E3456" s="66" t="str">
        <x:v>15111033</x:v>
      </x:c>
      <x:c r="F3456" s="66" t="str">
        <x:v>SISTEM INFORMASI</x:v>
      </x:c>
      <x:c r="G3456" s="66" t="str">
        <x:v>Sarjana</x:v>
      </x:c>
      <x:c r="H3456" s="87" t="n">
        <x:v>35</x:v>
      </x:c>
      <x:c r="I3456" s="87" t="n">
        <x:v>378</x:v>
      </x:c>
      <x:c r="J3456" s="68" t="n">
        <x:f>IFERROR(H3456/I3456,"")</x:f>
        <x:v>0.09259259259259259</x:v>
      </x:c>
      <x:c r="K3456" s="69" t="n">
        <x:f>IFERROR(I3456/H3456,"")</x:f>
        <x:v>10.8</x:v>
      </x:c>
      <x:c r="L3456" s="66" t="str">
        <x:f>IF(K3456="","","1 : "&amp;TEXT(K3456,"0.0"))</x:f>
        <x:v>1 : 10.8</x:v>
      </x:c>
      <x:c r="M3456" s="66" t="str">
        <x:f>IF(J3456="","Baru/Tanpa Data",IF(J3456&lt;='Catatan &amp; Sumber'!$B$14,"Sangat Ketat",IF(J3456&lt;='Catatan &amp; Sumber'!$B$15,"Ketat",IF(J3456&lt;='Catatan &amp; Sumber'!$B$16,"Sedang","Relatif Longgar"))))</x:f>
        <x:v>Sedang</x:v>
      </x:c>
      <x:c r="N3456" s="66" t="str">
        <x:v>Tidak Ada</x:v>
      </x:c>
      <x:c r="O3456" s="66" t="str">
        <x:v>Kalimantan Barat</x:v>
      </x:c>
      <x:c r="P3456" s="66" t="str">
        <x:v>Kota Pontianak</x:v>
      </x:c>
      <x:c r="Q3456" s="66" t="str">
        <x:v>https://snpmb.id/snbp/daya-tampung-snbp</x:v>
      </x:c>
      <x:c r="R3456" s="66" t="str">
        <x:v>https://sidatagrun-public-1076756628210.asia-southeast2.run.app/ptn_sn.php?ptn=511</x:v>
      </x:c>
    </x:row>
    <x:row r="3457">
      <x:c r="A3457" s="87" t="n">
        <x:v>3298</x:v>
      </x:c>
      <x:c r="B3457" s="66" t="n">
        <x:v>511</x:v>
      </x:c>
      <x:c r="C3457" s="66" t="str">
        <x:v>UNIVERSITAS TANJUNGPURA</x:v>
      </x:c>
      <x:c r="D3457" s="66" t="str">
        <x:v>PTN Akademik</x:v>
      </x:c>
      <x:c r="E3457" s="66" t="str">
        <x:v>15111034</x:v>
      </x:c>
      <x:c r="F3457" s="66" t="str">
        <x:v>MANAJEMEN SUMBER DAYA PERAIRAN</x:v>
      </x:c>
      <x:c r="G3457" s="66" t="str">
        <x:v>Sarjana</x:v>
      </x:c>
      <x:c r="H3457" s="87" t="n">
        <x:v>12</x:v>
      </x:c>
      <x:c r="I3457" s="87" t="n">
        <x:v>32</x:v>
      </x:c>
      <x:c r="J3457" s="68" t="n">
        <x:f>IFERROR(H3457/I3457,"")</x:f>
        <x:v>0.375</x:v>
      </x:c>
      <x:c r="K3457" s="69" t="n">
        <x:f>IFERROR(I3457/H3457,"")</x:f>
        <x:v>2.6666666666666665</x:v>
      </x:c>
      <x:c r="L3457" s="66" t="str">
        <x:f>IF(K3457="","","1 : "&amp;TEXT(K3457,"0.0"))</x:f>
        <x:v>1 : 2.7</x:v>
      </x:c>
      <x:c r="M3457" s="66" t="str">
        <x:f>IF(J3457="","Baru/Tanpa Data",IF(J3457&lt;='Catatan &amp; Sumber'!$B$14,"Sangat Ketat",IF(J3457&lt;='Catatan &amp; Sumber'!$B$15,"Ketat",IF(J3457&lt;='Catatan &amp; Sumber'!$B$16,"Sedang","Relatif Longgar"))))</x:f>
        <x:v>Relatif Longgar</x:v>
      </x:c>
      <x:c r="N3457" s="66" t="str">
        <x:v>Tidak Ada</x:v>
      </x:c>
      <x:c r="O3457" s="66" t="str">
        <x:v>Kalimantan Barat</x:v>
      </x:c>
      <x:c r="P3457" s="66" t="str">
        <x:v>Kota Pontianak</x:v>
      </x:c>
      <x:c r="Q3457" s="66" t="str">
        <x:v>https://snpmb.id/snbp/daya-tampung-snbp</x:v>
      </x:c>
      <x:c r="R3457" s="66" t="str">
        <x:v>https://sidatagrun-public-1076756628210.asia-southeast2.run.app/ptn_sn.php?ptn=511</x:v>
      </x:c>
    </x:row>
    <x:row r="3458">
      <x:c r="A3458" s="87" t="n">
        <x:v>1754</x:v>
      </x:c>
      <x:c r="B3458" s="66" t="n">
        <x:v>511</x:v>
      </x:c>
      <x:c r="C3458" s="66" t="str">
        <x:v>UNIVERSITAS TANJUNGPURA</x:v>
      </x:c>
      <x:c r="D3458" s="66" t="str">
        <x:v>PTN Akademik</x:v>
      </x:c>
      <x:c r="E3458" s="66" t="str">
        <x:v>15111035</x:v>
      </x:c>
      <x:c r="F3458" s="66" t="str">
        <x:v>ILMU HUKUM</x:v>
      </x:c>
      <x:c r="G3458" s="66" t="str">
        <x:v>Sarjana</x:v>
      </x:c>
      <x:c r="H3458" s="87" t="n">
        <x:v>114</x:v>
      </x:c>
      <x:c r="I3458" s="87" t="n">
        <x:v>886</x:v>
      </x:c>
      <x:c r="J3458" s="68" t="n">
        <x:f>IFERROR(H3458/I3458,"")</x:f>
        <x:v>0.12866817155756208</x:v>
      </x:c>
      <x:c r="K3458" s="69" t="n">
        <x:f>IFERROR(I3458/H3458,"")</x:f>
        <x:v>7.771929824561403</x:v>
      </x:c>
      <x:c r="L3458" s="66" t="str">
        <x:f>IF(K3458="","","1 : "&amp;TEXT(K3458,"0.0"))</x:f>
        <x:v>1 : 7.8</x:v>
      </x:c>
      <x:c r="M3458" s="66" t="str">
        <x:f>IF(J3458="","Baru/Tanpa Data",IF(J3458&lt;='Catatan &amp; Sumber'!$B$14,"Sangat Ketat",IF(J3458&lt;='Catatan &amp; Sumber'!$B$15,"Ketat",IF(J3458&lt;='Catatan &amp; Sumber'!$B$16,"Sedang","Relatif Longgar"))))</x:f>
        <x:v>Relatif Longgar</x:v>
      </x:c>
      <x:c r="N3458" s="66" t="str">
        <x:v>Tidak Ada</x:v>
      </x:c>
      <x:c r="O3458" s="66" t="str">
        <x:v>Kalimantan Barat</x:v>
      </x:c>
      <x:c r="P3458" s="66" t="str">
        <x:v>Kota Pontianak</x:v>
      </x:c>
      <x:c r="Q3458" s="66" t="str">
        <x:v>https://snpmb.id/snbp/daya-tampung-snbp</x:v>
      </x:c>
      <x:c r="R3458" s="66" t="str">
        <x:v>https://sidatagrun-public-1076756628210.asia-southeast2.run.app/ptn_sn.php?ptn=511</x:v>
      </x:c>
    </x:row>
    <x:row r="3459">
      <x:c r="A3459" s="87" t="n">
        <x:v>2628</x:v>
      </x:c>
      <x:c r="B3459" s="66" t="n">
        <x:v>511</x:v>
      </x:c>
      <x:c r="C3459" s="66" t="str">
        <x:v>UNIVERSITAS TANJUNGPURA</x:v>
      </x:c>
      <x:c r="D3459" s="66" t="str">
        <x:v>PTN Akademik</x:v>
      </x:c>
      <x:c r="E3459" s="66" t="str">
        <x:v>15111036</x:v>
      </x:c>
      <x:c r="F3459" s="66" t="str">
        <x:v>EKONOMI PEMBANGUAN</x:v>
      </x:c>
      <x:c r="G3459" s="66" t="str">
        <x:v>Sarjana</x:v>
      </x:c>
      <x:c r="H3459" s="87" t="n">
        <x:v>54</x:v>
      </x:c>
      <x:c r="I3459" s="87" t="n">
        <x:v>233</x:v>
      </x:c>
      <x:c r="J3459" s="68" t="n">
        <x:f>IFERROR(H3459/I3459,"")</x:f>
        <x:v>0.2317596566523605</x:v>
      </x:c>
      <x:c r="K3459" s="69" t="n">
        <x:f>IFERROR(I3459/H3459,"")</x:f>
        <x:v>4.314814814814815</x:v>
      </x:c>
      <x:c r="L3459" s="66" t="str">
        <x:f>IF(K3459="","","1 : "&amp;TEXT(K3459,"0.0"))</x:f>
        <x:v>1 : 4.3</x:v>
      </x:c>
      <x:c r="M3459" s="66" t="str">
        <x:f>IF(J3459="","Baru/Tanpa Data",IF(J3459&lt;='Catatan &amp; Sumber'!$B$14,"Sangat Ketat",IF(J3459&lt;='Catatan &amp; Sumber'!$B$15,"Ketat",IF(J3459&lt;='Catatan &amp; Sumber'!$B$16,"Sedang","Relatif Longgar"))))</x:f>
        <x:v>Relatif Longgar</x:v>
      </x:c>
      <x:c r="N3459" s="66" t="str">
        <x:v>Tidak Ada</x:v>
      </x:c>
      <x:c r="O3459" s="66" t="str">
        <x:v>Kalimantan Barat</x:v>
      </x:c>
      <x:c r="P3459" s="66" t="str">
        <x:v>Kota Pontianak</x:v>
      </x:c>
      <x:c r="Q3459" s="66" t="str">
        <x:v>https://snpmb.id/snbp/daya-tampung-snbp</x:v>
      </x:c>
      <x:c r="R3459" s="66" t="str">
        <x:v>https://sidatagrun-public-1076756628210.asia-southeast2.run.app/ptn_sn.php?ptn=511</x:v>
      </x:c>
    </x:row>
    <x:row r="3460">
      <x:c r="A3460" s="87" t="n">
        <x:v>374</x:v>
      </x:c>
      <x:c r="B3460" s="66" t="n">
        <x:v>511</x:v>
      </x:c>
      <x:c r="C3460" s="66" t="str">
        <x:v>UNIVERSITAS TANJUNGPURA</x:v>
      </x:c>
      <x:c r="D3460" s="66" t="str">
        <x:v>PTN Akademik</x:v>
      </x:c>
      <x:c r="E3460" s="66" t="str">
        <x:v>15111037</x:v>
      </x:c>
      <x:c r="F3460" s="66" t="str">
        <x:v>MANAJEMEN</x:v>
      </x:c>
      <x:c r="G3460" s="66" t="str">
        <x:v>Sarjana</x:v>
      </x:c>
      <x:c r="H3460" s="87" t="n">
        <x:v>67</x:v>
      </x:c>
      <x:c r="I3460" s="87" t="n">
        <x:v>1470</x:v>
      </x:c>
      <x:c r="J3460" s="68" t="n">
        <x:f>IFERROR(H3460/I3460,"")</x:f>
        <x:v>0.04557823129251701</x:v>
      </x:c>
      <x:c r="K3460" s="69" t="n">
        <x:f>IFERROR(I3460/H3460,"")</x:f>
        <x:v>21.940298507462686</x:v>
      </x:c>
      <x:c r="L3460" s="66" t="str">
        <x:f>IF(K3460="","","1 : "&amp;TEXT(K3460,"0.0"))</x:f>
        <x:v>1 : 21.9</x:v>
      </x:c>
      <x:c r="M3460" s="66" t="str">
        <x:f>IF(J3460="","Baru/Tanpa Data",IF(J3460&lt;='Catatan &amp; Sumber'!$B$14,"Sangat Ketat",IF(J3460&lt;='Catatan &amp; Sumber'!$B$15,"Ketat",IF(J3460&lt;='Catatan &amp; Sumber'!$B$16,"Sedang","Relatif Longgar"))))</x:f>
        <x:v>Ketat</x:v>
      </x:c>
      <x:c r="N3460" s="66" t="str">
        <x:v>Tidak Ada</x:v>
      </x:c>
      <x:c r="O3460" s="66" t="str">
        <x:v>Kalimantan Barat</x:v>
      </x:c>
      <x:c r="P3460" s="66" t="str">
        <x:v>Kota Pontianak</x:v>
      </x:c>
      <x:c r="Q3460" s="66" t="str">
        <x:v>https://snpmb.id/snbp/daya-tampung-snbp</x:v>
      </x:c>
      <x:c r="R3460" s="66" t="str">
        <x:v>https://sidatagrun-public-1076756628210.asia-southeast2.run.app/ptn_sn.php?ptn=511</x:v>
      </x:c>
    </x:row>
    <x:row r="3461">
      <x:c r="A3461" s="87" t="n">
        <x:v>636</x:v>
      </x:c>
      <x:c r="B3461" s="66" t="n">
        <x:v>511</x:v>
      </x:c>
      <x:c r="C3461" s="66" t="str">
        <x:v>UNIVERSITAS TANJUNGPURA</x:v>
      </x:c>
      <x:c r="D3461" s="66" t="str">
        <x:v>PTN Akademik</x:v>
      </x:c>
      <x:c r="E3461" s="66" t="str">
        <x:v>15111038</x:v>
      </x:c>
      <x:c r="F3461" s="66" t="str">
        <x:v>AKUNTANSI</x:v>
      </x:c>
      <x:c r="G3461" s="66" t="str">
        <x:v>Sarjana</x:v>
      </x:c>
      <x:c r="H3461" s="87" t="n">
        <x:v>65</x:v>
      </x:c>
      <x:c r="I3461" s="87" t="n">
        <x:v>1104</x:v>
      </x:c>
      <x:c r="J3461" s="68" t="n">
        <x:f>IFERROR(H3461/I3461,"")</x:f>
        <x:v>0.058876811594202896</x:v>
      </x:c>
      <x:c r="K3461" s="69" t="n">
        <x:f>IFERROR(I3461/H3461,"")</x:f>
        <x:v>16.984615384615385</x:v>
      </x:c>
      <x:c r="L3461" s="66" t="str">
        <x:f>IF(K3461="","","1 : "&amp;TEXT(K3461,"0.0"))</x:f>
        <x:v>1 : 17.0</x:v>
      </x:c>
      <x:c r="M3461" s="66" t="str">
        <x:f>IF(J3461="","Baru/Tanpa Data",IF(J3461&lt;='Catatan &amp; Sumber'!$B$14,"Sangat Ketat",IF(J3461&lt;='Catatan &amp; Sumber'!$B$15,"Ketat",IF(J3461&lt;='Catatan &amp; Sumber'!$B$16,"Sedang","Relatif Longgar"))))</x:f>
        <x:v>Sedang</x:v>
      </x:c>
      <x:c r="N3461" s="66" t="str">
        <x:v>Tidak Ada</x:v>
      </x:c>
      <x:c r="O3461" s="66" t="str">
        <x:v>Kalimantan Barat</x:v>
      </x:c>
      <x:c r="P3461" s="66" t="str">
        <x:v>Kota Pontianak</x:v>
      </x:c>
      <x:c r="Q3461" s="66" t="str">
        <x:v>https://snpmb.id/snbp/daya-tampung-snbp</x:v>
      </x:c>
      <x:c r="R3461" s="66" t="str">
        <x:v>https://sidatagrun-public-1076756628210.asia-southeast2.run.app/ptn_sn.php?ptn=511</x:v>
      </x:c>
    </x:row>
    <x:row r="3462">
      <x:c r="A3462" s="87" t="n">
        <x:v>484</x:v>
      </x:c>
      <x:c r="B3462" s="66" t="n">
        <x:v>511</x:v>
      </x:c>
      <x:c r="C3462" s="66" t="str">
        <x:v>UNIVERSITAS TANJUNGPURA</x:v>
      </x:c>
      <x:c r="D3462" s="66" t="str">
        <x:v>PTN Akademik</x:v>
      </x:c>
      <x:c r="E3462" s="66" t="str">
        <x:v>15111039</x:v>
      </x:c>
      <x:c r="F3462" s="66" t="str">
        <x:v>ADMINISTRASI PUBLIK</x:v>
      </x:c>
      <x:c r="G3462" s="66" t="str">
        <x:v>Sarjana</x:v>
      </x:c>
      <x:c r="H3462" s="87" t="n">
        <x:v>28</x:v>
      </x:c>
      <x:c r="I3462" s="87" t="n">
        <x:v>555</x:v>
      </x:c>
      <x:c r="J3462" s="68" t="n">
        <x:f>IFERROR(H3462/I3462,"")</x:f>
        <x:v>0.05045045045045045</x:v>
      </x:c>
      <x:c r="K3462" s="69" t="n">
        <x:f>IFERROR(I3462/H3462,"")</x:f>
        <x:v>19.821428571428573</x:v>
      </x:c>
      <x:c r="L3462" s="66" t="str">
        <x:f>IF(K3462="","","1 : "&amp;TEXT(K3462,"0.0"))</x:f>
        <x:v>1 : 19.8</x:v>
      </x:c>
      <x:c r="M3462" s="66" t="str">
        <x:f>IF(J3462="","Baru/Tanpa Data",IF(J3462&lt;='Catatan &amp; Sumber'!$B$14,"Sangat Ketat",IF(J3462&lt;='Catatan &amp; Sumber'!$B$15,"Ketat",IF(J3462&lt;='Catatan &amp; Sumber'!$B$16,"Sedang","Relatif Longgar"))))</x:f>
        <x:v>Sedang</x:v>
      </x:c>
      <x:c r="N3462" s="66" t="str">
        <x:v>Tidak Ada</x:v>
      </x:c>
      <x:c r="O3462" s="66" t="str">
        <x:v>Kalimantan Barat</x:v>
      </x:c>
      <x:c r="P3462" s="66" t="str">
        <x:v>Kota Pontianak</x:v>
      </x:c>
      <x:c r="Q3462" s="66" t="str">
        <x:v>https://snpmb.id/snbp/daya-tampung-snbp</x:v>
      </x:c>
      <x:c r="R3462" s="66" t="str">
        <x:v>https://sidatagrun-public-1076756628210.asia-southeast2.run.app/ptn_sn.php?ptn=511</x:v>
      </x:c>
    </x:row>
    <x:row r="3463">
      <x:c r="A3463" s="87" t="n">
        <x:v>3471</x:v>
      </x:c>
      <x:c r="B3463" s="66" t="n">
        <x:v>511</x:v>
      </x:c>
      <x:c r="C3463" s="66" t="str">
        <x:v>UNIVERSITAS TANJUNGPURA</x:v>
      </x:c>
      <x:c r="D3463" s="66" t="str">
        <x:v>PTN Akademik</x:v>
      </x:c>
      <x:c r="E3463" s="66" t="str">
        <x:v>15111040</x:v>
      </x:c>
      <x:c r="F3463" s="66" t="str">
        <x:v>PEMBANGUNAN SOSIAL</x:v>
      </x:c>
      <x:c r="G3463" s="66" t="str">
        <x:v>Sarjana</x:v>
      </x:c>
      <x:c r="H3463" s="87" t="n">
        <x:v>25</x:v>
      </x:c>
      <x:c r="I3463" s="87" t="n">
        <x:v>59</x:v>
      </x:c>
      <x:c r="J3463" s="68" t="n">
        <x:f>IFERROR(H3463/I3463,"")</x:f>
        <x:v>0.423728813559322</x:v>
      </x:c>
      <x:c r="K3463" s="69" t="n">
        <x:f>IFERROR(I3463/H3463,"")</x:f>
        <x:v>2.36</x:v>
      </x:c>
      <x:c r="L3463" s="66" t="str">
        <x:f>IF(K3463="","","1 : "&amp;TEXT(K3463,"0.0"))</x:f>
        <x:v>1 : 2.4</x:v>
      </x:c>
      <x:c r="M3463" s="66" t="str">
        <x:f>IF(J3463="","Baru/Tanpa Data",IF(J3463&lt;='Catatan &amp; Sumber'!$B$14,"Sangat Ketat",IF(J3463&lt;='Catatan &amp; Sumber'!$B$15,"Ketat",IF(J3463&lt;='Catatan &amp; Sumber'!$B$16,"Sedang","Relatif Longgar"))))</x:f>
        <x:v>Relatif Longgar</x:v>
      </x:c>
      <x:c r="N3463" s="66" t="str">
        <x:v>Tidak Ada</x:v>
      </x:c>
      <x:c r="O3463" s="66" t="str">
        <x:v>Kalimantan Barat</x:v>
      </x:c>
      <x:c r="P3463" s="66" t="str">
        <x:v>Kota Pontianak</x:v>
      </x:c>
      <x:c r="Q3463" s="66" t="str">
        <x:v>https://snpmb.id/snbp/daya-tampung-snbp</x:v>
      </x:c>
      <x:c r="R3463" s="66" t="str">
        <x:v>https://sidatagrun-public-1076756628210.asia-southeast2.run.app/ptn_sn.php?ptn=511</x:v>
      </x:c>
    </x:row>
    <x:row r="3464">
      <x:c r="A3464" s="87" t="n">
        <x:v>648</x:v>
      </x:c>
      <x:c r="B3464" s="66" t="n">
        <x:v>511</x:v>
      </x:c>
      <x:c r="C3464" s="66" t="str">
        <x:v>UNIVERSITAS TANJUNGPURA</x:v>
      </x:c>
      <x:c r="D3464" s="66" t="str">
        <x:v>PTN Akademik</x:v>
      </x:c>
      <x:c r="E3464" s="66" t="str">
        <x:v>15111041</x:v>
      </x:c>
      <x:c r="F3464" s="66" t="str">
        <x:v>PEND. BAHASA INGGRIS</x:v>
      </x:c>
      <x:c r="G3464" s="66" t="str">
        <x:v>Sarjana</x:v>
      </x:c>
      <x:c r="H3464" s="87" t="n">
        <x:v>30</x:v>
      </x:c>
      <x:c r="I3464" s="87" t="n">
        <x:v>505</x:v>
      </x:c>
      <x:c r="J3464" s="68" t="n">
        <x:f>IFERROR(H3464/I3464,"")</x:f>
        <x:v>0.0594059405940594</x:v>
      </x:c>
      <x:c r="K3464" s="69" t="n">
        <x:f>IFERROR(I3464/H3464,"")</x:f>
        <x:v>16.833333333333332</x:v>
      </x:c>
      <x:c r="L3464" s="66" t="str">
        <x:f>IF(K3464="","","1 : "&amp;TEXT(K3464,"0.0"))</x:f>
        <x:v>1 : 16.8</x:v>
      </x:c>
      <x:c r="M3464" s="66" t="str">
        <x:f>IF(J3464="","Baru/Tanpa Data",IF(J3464&lt;='Catatan &amp; Sumber'!$B$14,"Sangat Ketat",IF(J3464&lt;='Catatan &amp; Sumber'!$B$15,"Ketat",IF(J3464&lt;='Catatan &amp; Sumber'!$B$16,"Sedang","Relatif Longgar"))))</x:f>
        <x:v>Sedang</x:v>
      </x:c>
      <x:c r="N3464" s="66" t="str">
        <x:v>Tidak Ada</x:v>
      </x:c>
      <x:c r="O3464" s="66" t="str">
        <x:v>Kalimantan Barat</x:v>
      </x:c>
      <x:c r="P3464" s="66" t="str">
        <x:v>Kota Pontianak</x:v>
      </x:c>
      <x:c r="Q3464" s="66" t="str">
        <x:v>https://snpmb.id/snbp/daya-tampung-snbp</x:v>
      </x:c>
      <x:c r="R3464" s="66" t="str">
        <x:v>https://sidatagrun-public-1076756628210.asia-southeast2.run.app/ptn_sn.php?ptn=511</x:v>
      </x:c>
    </x:row>
    <x:row r="3465">
      <x:c r="A3465" s="87" t="n">
        <x:v>818</x:v>
      </x:c>
      <x:c r="B3465" s="66" t="n">
        <x:v>511</x:v>
      </x:c>
      <x:c r="C3465" s="66" t="str">
        <x:v>UNIVERSITAS TANJUNGPURA</x:v>
      </x:c>
      <x:c r="D3465" s="66" t="str">
        <x:v>PTN Akademik</x:v>
      </x:c>
      <x:c r="E3465" s="66" t="str">
        <x:v>15111042</x:v>
      </x:c>
      <x:c r="F3465" s="66" t="str">
        <x:v>PENDIDIKAN BAHASA INDONESIA</x:v>
      </x:c>
      <x:c r="G3465" s="66" t="str">
        <x:v>Sarjana</x:v>
      </x:c>
      <x:c r="H3465" s="87" t="n">
        <x:v>30</x:v>
      </x:c>
      <x:c r="I3465" s="87" t="n">
        <x:v>444</x:v>
      </x:c>
      <x:c r="J3465" s="68" t="n">
        <x:f>IFERROR(H3465/I3465,"")</x:f>
        <x:v>0.06756756756756757</x:v>
      </x:c>
      <x:c r="K3465" s="69" t="n">
        <x:f>IFERROR(I3465/H3465,"")</x:f>
        <x:v>14.8</x:v>
      </x:c>
      <x:c r="L3465" s="66" t="str">
        <x:f>IF(K3465="","","1 : "&amp;TEXT(K3465,"0.0"))</x:f>
        <x:v>1 : 14.8</x:v>
      </x:c>
      <x:c r="M3465" s="66" t="str">
        <x:f>IF(J3465="","Baru/Tanpa Data",IF(J3465&lt;='Catatan &amp; Sumber'!$B$14,"Sangat Ketat",IF(J3465&lt;='Catatan &amp; Sumber'!$B$15,"Ketat",IF(J3465&lt;='Catatan &amp; Sumber'!$B$16,"Sedang","Relatif Longgar"))))</x:f>
        <x:v>Sedang</x:v>
      </x:c>
      <x:c r="N3465" s="66" t="str">
        <x:v>Tidak Ada</x:v>
      </x:c>
      <x:c r="O3465" s="66" t="str">
        <x:v>Kalimantan Barat</x:v>
      </x:c>
      <x:c r="P3465" s="66" t="str">
        <x:v>Kota Pontianak</x:v>
      </x:c>
      <x:c r="Q3465" s="66" t="str">
        <x:v>https://snpmb.id/snbp/daya-tampung-snbp</x:v>
      </x:c>
      <x:c r="R3465" s="66" t="str">
        <x:v>https://sidatagrun-public-1076756628210.asia-southeast2.run.app/ptn_sn.php?ptn=511</x:v>
      </x:c>
    </x:row>
    <x:row r="3466">
      <x:c r="A3466" s="87" t="n">
        <x:v>2400</x:v>
      </x:c>
      <x:c r="B3466" s="66" t="n">
        <x:v>511</x:v>
      </x:c>
      <x:c r="C3466" s="66" t="str">
        <x:v>UNIVERSITAS TANJUNGPURA</x:v>
      </x:c>
      <x:c r="D3466" s="66" t="str">
        <x:v>PTN Akademik</x:v>
      </x:c>
      <x:c r="E3466" s="66" t="str">
        <x:v>15111043</x:v>
      </x:c>
      <x:c r="F3466" s="66" t="str">
        <x:v>PEND. EKONOMI</x:v>
      </x:c>
      <x:c r="G3466" s="66" t="str">
        <x:v>Sarjana</x:v>
      </x:c>
      <x:c r="H3466" s="87" t="n">
        <x:v>26</x:v>
      </x:c>
      <x:c r="I3466" s="87" t="n">
        <x:v>133</x:v>
      </x:c>
      <x:c r="J3466" s="68" t="n">
        <x:f>IFERROR(H3466/I3466,"")</x:f>
        <x:v>0.19548872180451127</x:v>
      </x:c>
      <x:c r="K3466" s="69" t="n">
        <x:f>IFERROR(I3466/H3466,"")</x:f>
        <x:v>5.115384615384615</x:v>
      </x:c>
      <x:c r="L3466" s="66" t="str">
        <x:f>IF(K3466="","","1 : "&amp;TEXT(K3466,"0.0"))</x:f>
        <x:v>1 : 5.1</x:v>
      </x:c>
      <x:c r="M3466" s="66" t="str">
        <x:f>IF(J3466="","Baru/Tanpa Data",IF(J3466&lt;='Catatan &amp; Sumber'!$B$14,"Sangat Ketat",IF(J3466&lt;='Catatan &amp; Sumber'!$B$15,"Ketat",IF(J3466&lt;='Catatan &amp; Sumber'!$B$16,"Sedang","Relatif Longgar"))))</x:f>
        <x:v>Relatif Longgar</x:v>
      </x:c>
      <x:c r="N3466" s="66" t="str">
        <x:v>Tidak Ada</x:v>
      </x:c>
      <x:c r="O3466" s="66" t="str">
        <x:v>Kalimantan Barat</x:v>
      </x:c>
      <x:c r="P3466" s="66" t="str">
        <x:v>Kota Pontianak</x:v>
      </x:c>
      <x:c r="Q3466" s="66" t="str">
        <x:v>https://snpmb.id/snbp/daya-tampung-snbp</x:v>
      </x:c>
      <x:c r="R3466" s="66" t="str">
        <x:v>https://sidatagrun-public-1076756628210.asia-southeast2.run.app/ptn_sn.php?ptn=511</x:v>
      </x:c>
    </x:row>
    <x:row r="3467">
      <x:c r="A3467" s="87" t="n">
        <x:v>1372</x:v>
      </x:c>
      <x:c r="B3467" s="66" t="n">
        <x:v>511</x:v>
      </x:c>
      <x:c r="C3467" s="66" t="str">
        <x:v>UNIVERSITAS TANJUNGPURA</x:v>
      </x:c>
      <x:c r="D3467" s="66" t="str">
        <x:v>PTN Akademik</x:v>
      </x:c>
      <x:c r="E3467" s="66" t="str">
        <x:v>15111044</x:v>
      </x:c>
      <x:c r="F3467" s="66" t="str">
        <x:v>PEND. SOSIOLOGI</x:v>
      </x:c>
      <x:c r="G3467" s="66" t="str">
        <x:v>Sarjana</x:v>
      </x:c>
      <x:c r="H3467" s="87" t="n">
        <x:v>20</x:v>
      </x:c>
      <x:c r="I3467" s="87" t="n">
        <x:v>200</x:v>
      </x:c>
      <x:c r="J3467" s="68" t="n">
        <x:f>IFERROR(H3467/I3467,"")</x:f>
        <x:v>0.1</x:v>
      </x:c>
      <x:c r="K3467" s="69" t="n">
        <x:f>IFERROR(I3467/H3467,"")</x:f>
        <x:v>10</x:v>
      </x:c>
      <x:c r="L3467" s="66" t="str">
        <x:f>IF(K3467="","","1 : "&amp;TEXT(K3467,"0.0"))</x:f>
        <x:v>1 : 10.0</x:v>
      </x:c>
      <x:c r="M3467" s="66" t="str">
        <x:f>IF(J3467="","Baru/Tanpa Data",IF(J3467&lt;='Catatan &amp; Sumber'!$B$14,"Sangat Ketat",IF(J3467&lt;='Catatan &amp; Sumber'!$B$15,"Ketat",IF(J3467&lt;='Catatan &amp; Sumber'!$B$16,"Sedang","Relatif Longgar"))))</x:f>
        <x:v>Sedang</x:v>
      </x:c>
      <x:c r="N3467" s="66" t="str">
        <x:v>Tidak Ada</x:v>
      </x:c>
      <x:c r="O3467" s="66" t="str">
        <x:v>Kalimantan Barat</x:v>
      </x:c>
      <x:c r="P3467" s="66" t="str">
        <x:v>Kota Pontianak</x:v>
      </x:c>
      <x:c r="Q3467" s="66" t="str">
        <x:v>https://snpmb.id/snbp/daya-tampung-snbp</x:v>
      </x:c>
      <x:c r="R3467" s="66" t="str">
        <x:v>https://sidatagrun-public-1076756628210.asia-southeast2.run.app/ptn_sn.php?ptn=511</x:v>
      </x:c>
    </x:row>
    <x:row r="3468">
      <x:c r="A3468" s="87" t="n">
        <x:v>1231</x:v>
      </x:c>
      <x:c r="B3468" s="66" t="n">
        <x:v>511</x:v>
      </x:c>
      <x:c r="C3468" s="66" t="str">
        <x:v>UNIVERSITAS TANJUNGPURA</x:v>
      </x:c>
      <x:c r="D3468" s="66" t="str">
        <x:v>PTN Akademik</x:v>
      </x:c>
      <x:c r="E3468" s="66" t="str">
        <x:v>15111045</x:v>
      </x:c>
      <x:c r="F3468" s="66" t="str">
        <x:v>PEND. GURU PEND. ANAK USIA DINI (PGPAUD)</x:v>
      </x:c>
      <x:c r="G3468" s="66" t="str">
        <x:v>Sarjana</x:v>
      </x:c>
      <x:c r="H3468" s="87" t="n">
        <x:v>15</x:v>
      </x:c>
      <x:c r="I3468" s="87" t="n">
        <x:v>163</x:v>
      </x:c>
      <x:c r="J3468" s="68" t="n">
        <x:f>IFERROR(H3468/I3468,"")</x:f>
        <x:v>0.09202453987730061</x:v>
      </x:c>
      <x:c r="K3468" s="69" t="n">
        <x:f>IFERROR(I3468/H3468,"")</x:f>
        <x:v>10.866666666666667</x:v>
      </x:c>
      <x:c r="L3468" s="66" t="str">
        <x:f>IF(K3468="","","1 : "&amp;TEXT(K3468,"0.0"))</x:f>
        <x:v>1 : 10.9</x:v>
      </x:c>
      <x:c r="M3468" s="66" t="str">
        <x:f>IF(J3468="","Baru/Tanpa Data",IF(J3468&lt;='Catatan &amp; Sumber'!$B$14,"Sangat Ketat",IF(J3468&lt;='Catatan &amp; Sumber'!$B$15,"Ketat",IF(J3468&lt;='Catatan &amp; Sumber'!$B$16,"Sedang","Relatif Longgar"))))</x:f>
        <x:v>Sedang</x:v>
      </x:c>
      <x:c r="N3468" s="66" t="str">
        <x:v>Tidak Ada</x:v>
      </x:c>
      <x:c r="O3468" s="66" t="str">
        <x:v>Kalimantan Barat</x:v>
      </x:c>
      <x:c r="P3468" s="66" t="str">
        <x:v>Kota Pontianak</x:v>
      </x:c>
      <x:c r="Q3468" s="66" t="str">
        <x:v>https://snpmb.id/snbp/daya-tampung-snbp</x:v>
      </x:c>
      <x:c r="R3468" s="66" t="str">
        <x:v>https://sidatagrun-public-1076756628210.asia-southeast2.run.app/ptn_sn.php?ptn=511</x:v>
      </x:c>
    </x:row>
    <x:row r="3469">
      <x:c r="A3469" s="87" t="n">
        <x:v>2772</x:v>
      </x:c>
      <x:c r="B3469" s="66" t="n">
        <x:v>511</x:v>
      </x:c>
      <x:c r="C3469" s="66" t="str">
        <x:v>UNIVERSITAS TANJUNGPURA</x:v>
      </x:c>
      <x:c r="D3469" s="66" t="str">
        <x:v>PTN Akademik</x:v>
      </x:c>
      <x:c r="E3469" s="66" t="str">
        <x:v>15111046</x:v>
      </x:c>
      <x:c r="F3469" s="66" t="str">
        <x:v>PENDIDIKAN JASMANI</x:v>
      </x:c>
      <x:c r="G3469" s="66" t="str">
        <x:v>Sarjana</x:v>
      </x:c>
      <x:c r="H3469" s="87" t="n">
        <x:v>33</x:v>
      </x:c>
      <x:c r="I3469" s="87" t="n">
        <x:v>130</x:v>
      </x:c>
      <x:c r="J3469" s="68" t="n">
        <x:f>IFERROR(H3469/I3469,"")</x:f>
        <x:v>0.25384615384615383</x:v>
      </x:c>
      <x:c r="K3469" s="69" t="n">
        <x:f>IFERROR(I3469/H3469,"")</x:f>
        <x:v>3.9393939393939394</x:v>
      </x:c>
      <x:c r="L3469" s="66" t="str">
        <x:f>IF(K3469="","","1 : "&amp;TEXT(K3469,"0.0"))</x:f>
        <x:v>1 : 3.9</x:v>
      </x:c>
      <x:c r="M3469" s="66" t="str">
        <x:f>IF(J3469="","Baru/Tanpa Data",IF(J3469&lt;='Catatan &amp; Sumber'!$B$14,"Sangat Ketat",IF(J3469&lt;='Catatan &amp; Sumber'!$B$15,"Ketat",IF(J3469&lt;='Catatan &amp; Sumber'!$B$16,"Sedang","Relatif Longgar"))))</x:f>
        <x:v>Relatif Longgar</x:v>
      </x:c>
      <x:c r="N3469" s="66" t="str">
        <x:v>Olahraga</x:v>
      </x:c>
      <x:c r="O3469" s="66" t="str">
        <x:v>Kalimantan Barat</x:v>
      </x:c>
      <x:c r="P3469" s="66" t="str">
        <x:v>Kota Pontianak</x:v>
      </x:c>
      <x:c r="Q3469" s="66" t="str">
        <x:v>https://snpmb.id/snbp/daya-tampung-snbp</x:v>
      </x:c>
      <x:c r="R3469" s="66" t="str">
        <x:v>https://sidatagrun-public-1076756628210.asia-southeast2.run.app/ptn_sn.php?ptn=511</x:v>
      </x:c>
    </x:row>
    <x:row r="3470">
      <x:c r="A3470" s="87" t="n">
        <x:v>3444</x:v>
      </x:c>
      <x:c r="B3470" s="66" t="n">
        <x:v>511</x:v>
      </x:c>
      <x:c r="C3470" s="66" t="str">
        <x:v>UNIVERSITAS TANJUNGPURA</x:v>
      </x:c>
      <x:c r="D3470" s="66" t="str">
        <x:v>PTN Akademik</x:v>
      </x:c>
      <x:c r="E3470" s="66" t="str">
        <x:v>15111047</x:v>
      </x:c>
      <x:c r="F3470" s="66" t="str">
        <x:v>PENDIDIKAN SENI PERTUNJUKAN</x:v>
      </x:c>
      <x:c r="G3470" s="66" t="str">
        <x:v>Sarjana</x:v>
      </x:c>
      <x:c r="H3470" s="87" t="n">
        <x:v>30</x:v>
      </x:c>
      <x:c r="I3470" s="87" t="n">
        <x:v>72</x:v>
      </x:c>
      <x:c r="J3470" s="68" t="n">
        <x:f>IFERROR(H3470/I3470,"")</x:f>
        <x:v>0.4166666666666667</x:v>
      </x:c>
      <x:c r="K3470" s="69" t="n">
        <x:f>IFERROR(I3470/H3470,"")</x:f>
        <x:v>2.4</x:v>
      </x:c>
      <x:c r="L3470" s="66" t="str">
        <x:f>IF(K3470="","","1 : "&amp;TEXT(K3470,"0.0"))</x:f>
        <x:v>1 : 2.4</x:v>
      </x:c>
      <x:c r="M3470" s="66" t="str">
        <x:f>IF(J3470="","Baru/Tanpa Data",IF(J3470&lt;='Catatan &amp; Sumber'!$B$14,"Sangat Ketat",IF(J3470&lt;='Catatan &amp; Sumber'!$B$15,"Ketat",IF(J3470&lt;='Catatan &amp; Sumber'!$B$16,"Sedang","Relatif Longgar"))))</x:f>
        <x:v>Relatif Longgar</x:v>
      </x:c>
      <x:c r="N3470" s="66" t="str">
        <x:v>Sendratasik</x:v>
      </x:c>
      <x:c r="O3470" s="66" t="str">
        <x:v>Kalimantan Barat</x:v>
      </x:c>
      <x:c r="P3470" s="66" t="str">
        <x:v>Kota Pontianak</x:v>
      </x:c>
      <x:c r="Q3470" s="66" t="str">
        <x:v>https://snpmb.id/snbp/daya-tampung-snbp</x:v>
      </x:c>
      <x:c r="R3470" s="66" t="str">
        <x:v>https://sidatagrun-public-1076756628210.asia-southeast2.run.app/ptn_sn.php?ptn=511</x:v>
      </x:c>
    </x:row>
    <x:row r="3471">
      <x:c r="A3471" s="87" t="n">
        <x:v>2913</x:v>
      </x:c>
      <x:c r="B3471" s="66" t="n">
        <x:v>511</x:v>
      </x:c>
      <x:c r="C3471" s="66" t="str">
        <x:v>UNIVERSITAS TANJUNGPURA</x:v>
      </x:c>
      <x:c r="D3471" s="66" t="str">
        <x:v>PTN Akademik</x:v>
      </x:c>
      <x:c r="E3471" s="66" t="str">
        <x:v>15111048</x:v>
      </x:c>
      <x:c r="F3471" s="66" t="str">
        <x:v>ILMU POLITIK</x:v>
      </x:c>
      <x:c r="G3471" s="66" t="str">
        <x:v>Sarjana</x:v>
      </x:c>
      <x:c r="H3471" s="87" t="n">
        <x:v>26</x:v>
      </x:c>
      <x:c r="I3471" s="87" t="n">
        <x:v>94</x:v>
      </x:c>
      <x:c r="J3471" s="68" t="n">
        <x:f>IFERROR(H3471/I3471,"")</x:f>
        <x:v>0.2765957446808511</x:v>
      </x:c>
      <x:c r="K3471" s="69" t="n">
        <x:f>IFERROR(I3471/H3471,"")</x:f>
        <x:v>3.6153846153846154</x:v>
      </x:c>
      <x:c r="L3471" s="66" t="str">
        <x:f>IF(K3471="","","1 : "&amp;TEXT(K3471,"0.0"))</x:f>
        <x:v>1 : 3.6</x:v>
      </x:c>
      <x:c r="M3471" s="66" t="str">
        <x:f>IF(J3471="","Baru/Tanpa Data",IF(J3471&lt;='Catatan &amp; Sumber'!$B$14,"Sangat Ketat",IF(J3471&lt;='Catatan &amp; Sumber'!$B$15,"Ketat",IF(J3471&lt;='Catatan &amp; Sumber'!$B$16,"Sedang","Relatif Longgar"))))</x:f>
        <x:v>Relatif Longgar</x:v>
      </x:c>
      <x:c r="N3471" s="66" t="str">
        <x:v>Tidak Ada</x:v>
      </x:c>
      <x:c r="O3471" s="66" t="str">
        <x:v>Kalimantan Barat</x:v>
      </x:c>
      <x:c r="P3471" s="66" t="str">
        <x:v>Kota Pontianak</x:v>
      </x:c>
      <x:c r="Q3471" s="66" t="str">
        <x:v>https://snpmb.id/snbp/daya-tampung-snbp</x:v>
      </x:c>
      <x:c r="R3471" s="66" t="str">
        <x:v>https://sidatagrun-public-1076756628210.asia-southeast2.run.app/ptn_sn.php?ptn=511</x:v>
      </x:c>
    </x:row>
    <x:row r="3472">
      <x:c r="A3472" s="87" t="n">
        <x:v>2812</x:v>
      </x:c>
      <x:c r="B3472" s="66" t="n">
        <x:v>511</x:v>
      </x:c>
      <x:c r="C3472" s="66" t="str">
        <x:v>UNIVERSITAS TANJUNGPURA</x:v>
      </x:c>
      <x:c r="D3472" s="66" t="str">
        <x:v>PTN Akademik</x:v>
      </x:c>
      <x:c r="E3472" s="66" t="str">
        <x:v>15111049</x:v>
      </x:c>
      <x:c r="F3472" s="66" t="str">
        <x:v>SOSIOLOGI</x:v>
      </x:c>
      <x:c r="G3472" s="66" t="str">
        <x:v>Sarjana</x:v>
      </x:c>
      <x:c r="H3472" s="87" t="n">
        <x:v>26</x:v>
      </x:c>
      <x:c r="I3472" s="87" t="n">
        <x:v>100</x:v>
      </x:c>
      <x:c r="J3472" s="68" t="n">
        <x:f>IFERROR(H3472/I3472,"")</x:f>
        <x:v>0.26</x:v>
      </x:c>
      <x:c r="K3472" s="69" t="n">
        <x:f>IFERROR(I3472/H3472,"")</x:f>
        <x:v>3.8461538461538463</x:v>
      </x:c>
      <x:c r="L3472" s="66" t="str">
        <x:f>IF(K3472="","","1 : "&amp;TEXT(K3472,"0.0"))</x:f>
        <x:v>1 : 3.8</x:v>
      </x:c>
      <x:c r="M3472" s="66" t="str">
        <x:f>IF(J3472="","Baru/Tanpa Data",IF(J3472&lt;='Catatan &amp; Sumber'!$B$14,"Sangat Ketat",IF(J3472&lt;='Catatan &amp; Sumber'!$B$15,"Ketat",IF(J3472&lt;='Catatan &amp; Sumber'!$B$16,"Sedang","Relatif Longgar"))))</x:f>
        <x:v>Relatif Longgar</x:v>
      </x:c>
      <x:c r="N3472" s="66" t="str">
        <x:v>Tidak Ada</x:v>
      </x:c>
      <x:c r="O3472" s="66" t="str">
        <x:v>Kalimantan Barat</x:v>
      </x:c>
      <x:c r="P3472" s="66" t="str">
        <x:v>Kota Pontianak</x:v>
      </x:c>
      <x:c r="Q3472" s="66" t="str">
        <x:v>https://snpmb.id/snbp/daya-tampung-snbp</x:v>
      </x:c>
      <x:c r="R3472" s="66" t="str">
        <x:v>https://sidatagrun-public-1076756628210.asia-southeast2.run.app/ptn_sn.php?ptn=511</x:v>
      </x:c>
    </x:row>
    <x:row r="3473">
      <x:c r="A3473" s="87" t="n">
        <x:v>2019</x:v>
      </x:c>
      <x:c r="B3473" s="66" t="n">
        <x:v>511</x:v>
      </x:c>
      <x:c r="C3473" s="66" t="str">
        <x:v>UNIVERSITAS TANJUNGPURA</x:v>
      </x:c>
      <x:c r="D3473" s="66" t="str">
        <x:v>PTN Akademik</x:v>
      </x:c>
      <x:c r="E3473" s="66" t="str">
        <x:v>15111050</x:v>
      </x:c>
      <x:c r="F3473" s="66" t="str">
        <x:v>PEND. BAHASA MANDARIN</x:v>
      </x:c>
      <x:c r="G3473" s="66" t="str">
        <x:v>Sarjana</x:v>
      </x:c>
      <x:c r="H3473" s="87" t="n">
        <x:v>20</x:v>
      </x:c>
      <x:c r="I3473" s="87" t="n">
        <x:v>130</x:v>
      </x:c>
      <x:c r="J3473" s="68" t="n">
        <x:f>IFERROR(H3473/I3473,"")</x:f>
        <x:v>0.15384615384615385</x:v>
      </x:c>
      <x:c r="K3473" s="69" t="n">
        <x:f>IFERROR(I3473/H3473,"")</x:f>
        <x:v>6.5</x:v>
      </x:c>
      <x:c r="L3473" s="66" t="str">
        <x:f>IF(K3473="","","1 : "&amp;TEXT(K3473,"0.0"))</x:f>
        <x:v>1 : 6.5</x:v>
      </x:c>
      <x:c r="M3473" s="66" t="str">
        <x:f>IF(J3473="","Baru/Tanpa Data",IF(J3473&lt;='Catatan &amp; Sumber'!$B$14,"Sangat Ketat",IF(J3473&lt;='Catatan &amp; Sumber'!$B$15,"Ketat",IF(J3473&lt;='Catatan &amp; Sumber'!$B$16,"Sedang","Relatif Longgar"))))</x:f>
        <x:v>Relatif Longgar</x:v>
      </x:c>
      <x:c r="N3473" s="66" t="str">
        <x:v>Tidak Ada</x:v>
      </x:c>
      <x:c r="O3473" s="66" t="str">
        <x:v>Kalimantan Barat</x:v>
      </x:c>
      <x:c r="P3473" s="66" t="str">
        <x:v>Kota Pontianak</x:v>
      </x:c>
      <x:c r="Q3473" s="66" t="str">
        <x:v>https://snpmb.id/snbp/daya-tampung-snbp</x:v>
      </x:c>
      <x:c r="R3473" s="66" t="str">
        <x:v>https://sidatagrun-public-1076756628210.asia-southeast2.run.app/ptn_sn.php?ptn=511</x:v>
      </x:c>
    </x:row>
    <x:row r="3474">
      <x:c r="A3474" s="87" t="n">
        <x:v>1670</x:v>
      </x:c>
      <x:c r="B3474" s="66" t="n">
        <x:v>511</x:v>
      </x:c>
      <x:c r="C3474" s="66" t="str">
        <x:v>UNIVERSITAS TANJUNGPURA</x:v>
      </x:c>
      <x:c r="D3474" s="66" t="str">
        <x:v>PTN Akademik</x:v>
      </x:c>
      <x:c r="E3474" s="66" t="str">
        <x:v>15111051</x:v>
      </x:c>
      <x:c r="F3474" s="66" t="str">
        <x:v>MANAJEMEN (KELAS INTERNASIONAL)</x:v>
      </x:c>
      <x:c r="G3474" s="66" t="str">
        <x:v>Sarjana</x:v>
      </x:c>
      <x:c r="H3474" s="87" t="n">
        <x:v>10</x:v>
      </x:c>
      <x:c r="I3474" s="87" t="n">
        <x:v>82</x:v>
      </x:c>
      <x:c r="J3474" s="68" t="n">
        <x:f>IFERROR(H3474/I3474,"")</x:f>
        <x:v>0.12195121951219512</x:v>
      </x:c>
      <x:c r="K3474" s="69" t="n">
        <x:f>IFERROR(I3474/H3474,"")</x:f>
        <x:v>8.2</x:v>
      </x:c>
      <x:c r="L3474" s="66" t="str">
        <x:f>IF(K3474="","","1 : "&amp;TEXT(K3474,"0.0"))</x:f>
        <x:v>1 : 8.2</x:v>
      </x:c>
      <x:c r="M3474" s="66" t="str">
        <x:f>IF(J3474="","Baru/Tanpa Data",IF(J3474&lt;='Catatan &amp; Sumber'!$B$14,"Sangat Ketat",IF(J3474&lt;='Catatan &amp; Sumber'!$B$15,"Ketat",IF(J3474&lt;='Catatan &amp; Sumber'!$B$16,"Sedang","Relatif Longgar"))))</x:f>
        <x:v>Relatif Longgar</x:v>
      </x:c>
      <x:c r="N3474" s="66" t="str">
        <x:v>Tidak Ada</x:v>
      </x:c>
      <x:c r="O3474" s="66" t="str">
        <x:v>Kalimantan Barat</x:v>
      </x:c>
      <x:c r="P3474" s="66" t="str">
        <x:v>Kota Pontianak</x:v>
      </x:c>
      <x:c r="Q3474" s="66" t="str">
        <x:v>https://snpmb.id/snbp/daya-tampung-snbp</x:v>
      </x:c>
      <x:c r="R3474" s="66" t="str">
        <x:v>https://sidatagrun-public-1076756628210.asia-southeast2.run.app/ptn_sn.php?ptn=511</x:v>
      </x:c>
    </x:row>
    <x:row r="3475">
      <x:c r="A3475" s="87" t="n">
        <x:v>89</x:v>
      </x:c>
      <x:c r="B3475" s="66" t="n">
        <x:v>511</x:v>
      </x:c>
      <x:c r="C3475" s="66" t="str">
        <x:v>UNIVERSITAS TANJUNGPURA</x:v>
      </x:c>
      <x:c r="D3475" s="66" t="str">
        <x:v>PTN Akademik</x:v>
      </x:c>
      <x:c r="E3475" s="66" t="str">
        <x:v>15111052</x:v>
      </x:c>
      <x:c r="F3475" s="66" t="str">
        <x:v>PEND. GURU SEKOLAH DASAR (PGSD)</x:v>
      </x:c>
      <x:c r="G3475" s="66" t="str">
        <x:v>Sarjana</x:v>
      </x:c>
      <x:c r="H3475" s="87" t="n">
        <x:v>40</x:v>
      </x:c>
      <x:c r="I3475" s="87" t="n">
        <x:v>1478</x:v>
      </x:c>
      <x:c r="J3475" s="68" t="n">
        <x:f>IFERROR(H3475/I3475,"")</x:f>
        <x:v>0.02706359945872801</x:v>
      </x:c>
      <x:c r="K3475" s="69" t="n">
        <x:f>IFERROR(I3475/H3475,"")</x:f>
        <x:v>36.95</x:v>
      </x:c>
      <x:c r="L3475" s="66" t="str">
        <x:f>IF(K3475="","","1 : "&amp;TEXT(K3475,"0.0"))</x:f>
        <x:v>1 : 37.0</x:v>
      </x:c>
      <x:c r="M3475" s="66" t="str">
        <x:f>IF(J3475="","Baru/Tanpa Data",IF(J3475&lt;='Catatan &amp; Sumber'!$B$14,"Sangat Ketat",IF(J3475&lt;='Catatan &amp; Sumber'!$B$15,"Ketat",IF(J3475&lt;='Catatan &amp; Sumber'!$B$16,"Sedang","Relatif Longgar"))))</x:f>
        <x:v>Ketat</x:v>
      </x:c>
      <x:c r="N3475" s="66" t="str">
        <x:v>Tidak Ada</x:v>
      </x:c>
      <x:c r="O3475" s="66" t="str">
        <x:v>Kalimantan Barat</x:v>
      </x:c>
      <x:c r="P3475" s="66" t="str">
        <x:v>Kota Pontianak</x:v>
      </x:c>
      <x:c r="Q3475" s="66" t="str">
        <x:v>https://snpmb.id/snbp/daya-tampung-snbp</x:v>
      </x:c>
      <x:c r="R3475" s="66" t="str">
        <x:v>https://sidatagrun-public-1076756628210.asia-southeast2.run.app/ptn_sn.php?ptn=511</x:v>
      </x:c>
    </x:row>
    <x:row r="3476">
      <x:c r="A3476" s="87" t="n">
        <x:v>1241</x:v>
      </x:c>
      <x:c r="B3476" s="66" t="n">
        <x:v>511</x:v>
      </x:c>
      <x:c r="C3476" s="66" t="str">
        <x:v>UNIVERSITAS TANJUNGPURA</x:v>
      </x:c>
      <x:c r="D3476" s="66" t="str">
        <x:v>PTN Akademik</x:v>
      </x:c>
      <x:c r="E3476" s="66" t="str">
        <x:v>15111053</x:v>
      </x:c>
      <x:c r="F3476" s="66" t="str">
        <x:v>BIMBINGAN DAN KONSELING</x:v>
      </x:c>
      <x:c r="G3476" s="66" t="str">
        <x:v>Sarjana</x:v>
      </x:c>
      <x:c r="H3476" s="87" t="n">
        <x:v>20</x:v>
      </x:c>
      <x:c r="I3476" s="87" t="n">
        <x:v>216</x:v>
      </x:c>
      <x:c r="J3476" s="68" t="n">
        <x:f>IFERROR(H3476/I3476,"")</x:f>
        <x:v>0.09259259259259259</x:v>
      </x:c>
      <x:c r="K3476" s="69" t="n">
        <x:f>IFERROR(I3476/H3476,"")</x:f>
        <x:v>10.8</x:v>
      </x:c>
      <x:c r="L3476" s="66" t="str">
        <x:f>IF(K3476="","","1 : "&amp;TEXT(K3476,"0.0"))</x:f>
        <x:v>1 : 10.8</x:v>
      </x:c>
      <x:c r="M3476" s="66" t="str">
        <x:f>IF(J3476="","Baru/Tanpa Data",IF(J3476&lt;='Catatan &amp; Sumber'!$B$14,"Sangat Ketat",IF(J3476&lt;='Catatan &amp; Sumber'!$B$15,"Ketat",IF(J3476&lt;='Catatan &amp; Sumber'!$B$16,"Sedang","Relatif Longgar"))))</x:f>
        <x:v>Sedang</x:v>
      </x:c>
      <x:c r="N3476" s="66" t="str">
        <x:v>Tidak Ada</x:v>
      </x:c>
      <x:c r="O3476" s="66" t="str">
        <x:v>Kalimantan Barat</x:v>
      </x:c>
      <x:c r="P3476" s="66" t="str">
        <x:v>Kota Pontianak</x:v>
      </x:c>
      <x:c r="Q3476" s="66" t="str">
        <x:v>https://snpmb.id/snbp/daya-tampung-snbp</x:v>
      </x:c>
      <x:c r="R3476" s="66" t="str">
        <x:v>https://sidatagrun-public-1076756628210.asia-southeast2.run.app/ptn_sn.php?ptn=511</x:v>
      </x:c>
    </x:row>
    <x:row r="3477">
      <x:c r="A3477" s="87" t="n">
        <x:v>2508</x:v>
      </x:c>
      <x:c r="B3477" s="66" t="n">
        <x:v>511</x:v>
      </x:c>
      <x:c r="C3477" s="66" t="str">
        <x:v>UNIVERSITAS TANJUNGPURA</x:v>
      </x:c>
      <x:c r="D3477" s="66" t="str">
        <x:v>PTN Akademik</x:v>
      </x:c>
      <x:c r="E3477" s="66" t="str">
        <x:v>15111054</x:v>
      </x:c>
      <x:c r="F3477" s="66" t="str">
        <x:v>AKUNTANSI (KELAS INTERNASIONAL)</x:v>
      </x:c>
      <x:c r="G3477" s="66" t="str">
        <x:v>Sarjana</x:v>
      </x:c>
      <x:c r="H3477" s="87" t="n">
        <x:v>10</x:v>
      </x:c>
      <x:c r="I3477" s="87" t="n">
        <x:v>47</x:v>
      </x:c>
      <x:c r="J3477" s="68" t="n">
        <x:f>IFERROR(H3477/I3477,"")</x:f>
        <x:v>0.2127659574468085</x:v>
      </x:c>
      <x:c r="K3477" s="69" t="n">
        <x:f>IFERROR(I3477/H3477,"")</x:f>
        <x:v>4.7</x:v>
      </x:c>
      <x:c r="L3477" s="66" t="str">
        <x:f>IF(K3477="","","1 : "&amp;TEXT(K3477,"0.0"))</x:f>
        <x:v>1 : 4.7</x:v>
      </x:c>
      <x:c r="M3477" s="66" t="str">
        <x:f>IF(J3477="","Baru/Tanpa Data",IF(J3477&lt;='Catatan &amp; Sumber'!$B$14,"Sangat Ketat",IF(J3477&lt;='Catatan &amp; Sumber'!$B$15,"Ketat",IF(J3477&lt;='Catatan &amp; Sumber'!$B$16,"Sedang","Relatif Longgar"))))</x:f>
        <x:v>Relatif Longgar</x:v>
      </x:c>
      <x:c r="N3477" s="66" t="str">
        <x:v>Tidak Ada</x:v>
      </x:c>
      <x:c r="O3477" s="66" t="str">
        <x:v>Kalimantan Barat</x:v>
      </x:c>
      <x:c r="P3477" s="66" t="str">
        <x:v>Kota Pontianak</x:v>
      </x:c>
      <x:c r="Q3477" s="66" t="str">
        <x:v>https://snpmb.id/snbp/daya-tampung-snbp</x:v>
      </x:c>
      <x:c r="R3477" s="66" t="str">
        <x:v>https://sidatagrun-public-1076756628210.asia-southeast2.run.app/ptn_sn.php?ptn=511</x:v>
      </x:c>
    </x:row>
    <x:row r="3478">
      <x:c r="A3478" s="87" t="n">
        <x:v>462</x:v>
      </x:c>
      <x:c r="B3478" s="66" t="n">
        <x:v>511</x:v>
      </x:c>
      <x:c r="C3478" s="66" t="str">
        <x:v>UNIVERSITAS TANJUNGPURA</x:v>
      </x:c>
      <x:c r="D3478" s="66" t="str">
        <x:v>PTN Akademik</x:v>
      </x:c>
      <x:c r="E3478" s="66" t="str">
        <x:v>15111055</x:v>
      </x:c>
      <x:c r="F3478" s="66" t="str">
        <x:v>ILMU KOMUNIKASI</x:v>
      </x:c>
      <x:c r="G3478" s="66" t="str">
        <x:v>Sarjana</x:v>
      </x:c>
      <x:c r="H3478" s="87" t="n">
        <x:v>22</x:v>
      </x:c>
      <x:c r="I3478" s="87" t="n">
        <x:v>445</x:v>
      </x:c>
      <x:c r="J3478" s="68" t="n">
        <x:f>IFERROR(H3478/I3478,"")</x:f>
        <x:v>0.04943820224719101</x:v>
      </x:c>
      <x:c r="K3478" s="69" t="n">
        <x:f>IFERROR(I3478/H3478,"")</x:f>
        <x:v>20.227272727272727</x:v>
      </x:c>
      <x:c r="L3478" s="66" t="str">
        <x:f>IF(K3478="","","1 : "&amp;TEXT(K3478,"0.0"))</x:f>
        <x:v>1 : 20.2</x:v>
      </x:c>
      <x:c r="M3478" s="66" t="str">
        <x:f>IF(J3478="","Baru/Tanpa Data",IF(J3478&lt;='Catatan &amp; Sumber'!$B$14,"Sangat Ketat",IF(J3478&lt;='Catatan &amp; Sumber'!$B$15,"Ketat",IF(J3478&lt;='Catatan &amp; Sumber'!$B$16,"Sedang","Relatif Longgar"))))</x:f>
        <x:v>Ketat</x:v>
      </x:c>
      <x:c r="N3478" s="66" t="str">
        <x:v>Tidak Ada</x:v>
      </x:c>
      <x:c r="O3478" s="66" t="str">
        <x:v>Kalimantan Barat</x:v>
      </x:c>
      <x:c r="P3478" s="66" t="str">
        <x:v>Kota Pontianak</x:v>
      </x:c>
      <x:c r="Q3478" s="66" t="str">
        <x:v>https://snpmb.id/snbp/daya-tampung-snbp</x:v>
      </x:c>
      <x:c r="R3478" s="66" t="str">
        <x:v>https://sidatagrun-public-1076756628210.asia-southeast2.run.app/ptn_sn.php?ptn=511</x:v>
      </x:c>
    </x:row>
    <x:row r="3479">
      <x:c r="A3479" s="87" t="n">
        <x:v>1239</x:v>
      </x:c>
      <x:c r="B3479" s="66" t="n">
        <x:v>511</x:v>
      </x:c>
      <x:c r="C3479" s="66" t="str">
        <x:v>UNIVERSITAS TANJUNGPURA</x:v>
      </x:c>
      <x:c r="D3479" s="66" t="str">
        <x:v>PTN Akademik</x:v>
      </x:c>
      <x:c r="E3479" s="66" t="str">
        <x:v>15111056</x:v>
      </x:c>
      <x:c r="F3479" s="66" t="str">
        <x:v>ILMU PEMERINTAHAN</x:v>
      </x:c>
      <x:c r="G3479" s="66" t="str">
        <x:v>Sarjana</x:v>
      </x:c>
      <x:c r="H3479" s="87" t="n">
        <x:v>28</x:v>
      </x:c>
      <x:c r="I3479" s="87" t="n">
        <x:v>303</x:v>
      </x:c>
      <x:c r="J3479" s="68" t="n">
        <x:f>IFERROR(H3479/I3479,"")</x:f>
        <x:v>0.0924092409240924</x:v>
      </x:c>
      <x:c r="K3479" s="69" t="n">
        <x:f>IFERROR(I3479/H3479,"")</x:f>
        <x:v>10.821428571428571</x:v>
      </x:c>
      <x:c r="L3479" s="66" t="str">
        <x:f>IF(K3479="","","1 : "&amp;TEXT(K3479,"0.0"))</x:f>
        <x:v>1 : 10.8</x:v>
      </x:c>
      <x:c r="M3479" s="66" t="str">
        <x:f>IF(J3479="","Baru/Tanpa Data",IF(J3479&lt;='Catatan &amp; Sumber'!$B$14,"Sangat Ketat",IF(J3479&lt;='Catatan &amp; Sumber'!$B$15,"Ketat",IF(J3479&lt;='Catatan &amp; Sumber'!$B$16,"Sedang","Relatif Longgar"))))</x:f>
        <x:v>Sedang</x:v>
      </x:c>
      <x:c r="N3479" s="66" t="str">
        <x:v>Tidak Ada</x:v>
      </x:c>
      <x:c r="O3479" s="66" t="str">
        <x:v>Kalimantan Barat</x:v>
      </x:c>
      <x:c r="P3479" s="66" t="str">
        <x:v>Kota Pontianak</x:v>
      </x:c>
      <x:c r="Q3479" s="66" t="str">
        <x:v>https://snpmb.id/snbp/daya-tampung-snbp</x:v>
      </x:c>
      <x:c r="R3479" s="66" t="str">
        <x:v>https://sidatagrun-public-1076756628210.asia-southeast2.run.app/ptn_sn.php?ptn=511</x:v>
      </x:c>
    </x:row>
    <x:row r="3480">
      <x:c r="A3480" s="87" t="n">
        <x:v>2921</x:v>
      </x:c>
      <x:c r="B3480" s="66" t="n">
        <x:v>511</x:v>
      </x:c>
      <x:c r="C3480" s="66" t="str">
        <x:v>UNIVERSITAS TANJUNGPURA</x:v>
      </x:c>
      <x:c r="D3480" s="66" t="str">
        <x:v>PTN Akademik</x:v>
      </x:c>
      <x:c r="E3480" s="66" t="str">
        <x:v>15111057</x:v>
      </x:c>
      <x:c r="F3480" s="66" t="str">
        <x:v>EKONOMI ISLAM</x:v>
      </x:c>
      <x:c r="G3480" s="66" t="str">
        <x:v>Sarjana</x:v>
      </x:c>
      <x:c r="H3480" s="87" t="n">
        <x:v>20</x:v>
      </x:c>
      <x:c r="I3480" s="87" t="n">
        <x:v>72</x:v>
      </x:c>
      <x:c r="J3480" s="68" t="n">
        <x:f>IFERROR(H3480/I3480,"")</x:f>
        <x:v>0.2777777777777778</x:v>
      </x:c>
      <x:c r="K3480" s="69" t="n">
        <x:f>IFERROR(I3480/H3480,"")</x:f>
        <x:v>3.6</x:v>
      </x:c>
      <x:c r="L3480" s="66" t="str">
        <x:f>IF(K3480="","","1 : "&amp;TEXT(K3480,"0.0"))</x:f>
        <x:v>1 : 3.6</x:v>
      </x:c>
      <x:c r="M3480" s="66" t="str">
        <x:f>IF(J3480="","Baru/Tanpa Data",IF(J3480&lt;='Catatan &amp; Sumber'!$B$14,"Sangat Ketat",IF(J3480&lt;='Catatan &amp; Sumber'!$B$15,"Ketat",IF(J3480&lt;='Catatan &amp; Sumber'!$B$16,"Sedang","Relatif Longgar"))))</x:f>
        <x:v>Relatif Longgar</x:v>
      </x:c>
      <x:c r="N3480" s="66" t="str">
        <x:v>Tidak Ada</x:v>
      </x:c>
      <x:c r="O3480" s="66" t="str">
        <x:v>Kalimantan Barat</x:v>
      </x:c>
      <x:c r="P3480" s="66" t="str">
        <x:v>Kota Pontianak</x:v>
      </x:c>
      <x:c r="Q3480" s="66" t="str">
        <x:v>https://snpmb.id/snbp/daya-tampung-snbp</x:v>
      </x:c>
      <x:c r="R3480" s="66" t="str">
        <x:v>https://sidatagrun-public-1076756628210.asia-southeast2.run.app/ptn_sn.php?ptn=511</x:v>
      </x:c>
    </x:row>
    <x:row r="3481">
      <x:c r="A3481" s="87" t="n">
        <x:v>1193</x:v>
      </x:c>
      <x:c r="B3481" s="66" t="n">
        <x:v>511</x:v>
      </x:c>
      <x:c r="C3481" s="66" t="str">
        <x:v>UNIVERSITAS TANJUNGPURA</x:v>
      </x:c>
      <x:c r="D3481" s="66" t="str">
        <x:v>PTN Akademik</x:v>
      </x:c>
      <x:c r="E3481" s="66" t="str">
        <x:v>15111058</x:v>
      </x:c>
      <x:c r="F3481" s="66" t="str">
        <x:v>PENDIDIKAN PANCASILA DAN KEWARGANEGARAAN</x:v>
      </x:c>
      <x:c r="G3481" s="66" t="str">
        <x:v>Sarjana</x:v>
      </x:c>
      <x:c r="H3481" s="87" t="n">
        <x:v>10</x:v>
      </x:c>
      <x:c r="I3481" s="87" t="n">
        <x:v>112</x:v>
      </x:c>
      <x:c r="J3481" s="68" t="n">
        <x:f>IFERROR(H3481/I3481,"")</x:f>
        <x:v>0.08928571428571429</x:v>
      </x:c>
      <x:c r="K3481" s="69" t="n">
        <x:f>IFERROR(I3481/H3481,"")</x:f>
        <x:v>11.2</x:v>
      </x:c>
      <x:c r="L3481" s="66" t="str">
        <x:f>IF(K3481="","","1 : "&amp;TEXT(K3481,"0.0"))</x:f>
        <x:v>1 : 11.2</x:v>
      </x:c>
      <x:c r="M3481" s="66" t="str">
        <x:f>IF(J3481="","Baru/Tanpa Data",IF(J3481&lt;='Catatan &amp; Sumber'!$B$14,"Sangat Ketat",IF(J3481&lt;='Catatan &amp; Sumber'!$B$15,"Ketat",IF(J3481&lt;='Catatan &amp; Sumber'!$B$16,"Sedang","Relatif Longgar"))))</x:f>
        <x:v>Sedang</x:v>
      </x:c>
      <x:c r="N3481" s="66" t="str">
        <x:v>Tidak Ada</x:v>
      </x:c>
      <x:c r="O3481" s="66" t="str">
        <x:v>Kalimantan Barat</x:v>
      </x:c>
      <x:c r="P3481" s="66" t="str">
        <x:v>Kota Pontianak</x:v>
      </x:c>
      <x:c r="Q3481" s="66" t="str">
        <x:v>https://snpmb.id/snbp/daya-tampung-snbp</x:v>
      </x:c>
      <x:c r="R3481" s="66" t="str">
        <x:v>https://sidatagrun-public-1076756628210.asia-southeast2.run.app/ptn_sn.php?ptn=511</x:v>
      </x:c>
    </x:row>
    <x:row r="3482">
      <x:c r="A3482" s="87" t="n">
        <x:v>1500</x:v>
      </x:c>
      <x:c r="B3482" s="66" t="n">
        <x:v>511</x:v>
      </x:c>
      <x:c r="C3482" s="66" t="str">
        <x:v>UNIVERSITAS TANJUNGPURA</x:v>
      </x:c>
      <x:c r="D3482" s="66" t="str">
        <x:v>PTN Akademik</x:v>
      </x:c>
      <x:c r="E3482" s="66" t="str">
        <x:v>15111059</x:v>
      </x:c>
      <x:c r="F3482" s="66" t="str">
        <x:v>PENDIDIKAN SEJARAH</x:v>
      </x:c>
      <x:c r="G3482" s="66" t="str">
        <x:v>Sarjana</x:v>
      </x:c>
      <x:c r="H3482" s="87" t="n">
        <x:v>20</x:v>
      </x:c>
      <x:c r="I3482" s="87" t="n">
        <x:v>183</x:v>
      </x:c>
      <x:c r="J3482" s="68" t="n">
        <x:f>IFERROR(H3482/I3482,"")</x:f>
        <x:v>0.1092896174863388</x:v>
      </x:c>
      <x:c r="K3482" s="69" t="n">
        <x:f>IFERROR(I3482/H3482,"")</x:f>
        <x:v>9.15</x:v>
      </x:c>
      <x:c r="L3482" s="66" t="str">
        <x:f>IF(K3482="","","1 : "&amp;TEXT(K3482,"0.0"))</x:f>
        <x:v>1 : 9.2</x:v>
      </x:c>
      <x:c r="M3482" s="66" t="str">
        <x:f>IF(J3482="","Baru/Tanpa Data",IF(J3482&lt;='Catatan &amp; Sumber'!$B$14,"Sangat Ketat",IF(J3482&lt;='Catatan &amp; Sumber'!$B$15,"Ketat",IF(J3482&lt;='Catatan &amp; Sumber'!$B$16,"Sedang","Relatif Longgar"))))</x:f>
        <x:v>Relatif Longgar</x:v>
      </x:c>
      <x:c r="N3482" s="66" t="str">
        <x:v>Tidak Ada</x:v>
      </x:c>
      <x:c r="O3482" s="66" t="str">
        <x:v>Kalimantan Barat</x:v>
      </x:c>
      <x:c r="P3482" s="66" t="str">
        <x:v>Kota Pontianak</x:v>
      </x:c>
      <x:c r="Q3482" s="66" t="str">
        <x:v>https://snpmb.id/snbp/daya-tampung-snbp</x:v>
      </x:c>
      <x:c r="R3482" s="66" t="str">
        <x:v>https://sidatagrun-public-1076756628210.asia-southeast2.run.app/ptn_sn.php?ptn=511</x:v>
      </x:c>
    </x:row>
    <x:row r="3483">
      <x:c r="A3483" s="87" t="n">
        <x:v>1484</x:v>
      </x:c>
      <x:c r="B3483" s="66" t="n">
        <x:v>511</x:v>
      </x:c>
      <x:c r="C3483" s="66" t="str">
        <x:v>UNIVERSITAS TANJUNGPURA</x:v>
      </x:c>
      <x:c r="D3483" s="66" t="str">
        <x:v>PTN Akademik</x:v>
      </x:c>
      <x:c r="E3483" s="66" t="str">
        <x:v>15111060</x:v>
      </x:c>
      <x:c r="F3483" s="66" t="str">
        <x:v>PENDIDIKAN GEOGRAFI</x:v>
      </x:c>
      <x:c r="G3483" s="66" t="str">
        <x:v>Sarjana</x:v>
      </x:c>
      <x:c r="H3483" s="87" t="n">
        <x:v>10</x:v>
      </x:c>
      <x:c r="I3483" s="87" t="n">
        <x:v>92</x:v>
      </x:c>
      <x:c r="J3483" s="68" t="n">
        <x:f>IFERROR(H3483/I3483,"")</x:f>
        <x:v>0.10869565217391304</x:v>
      </x:c>
      <x:c r="K3483" s="69" t="n">
        <x:f>IFERROR(I3483/H3483,"")</x:f>
        <x:v>9.2</x:v>
      </x:c>
      <x:c r="L3483" s="66" t="str">
        <x:f>IF(K3483="","","1 : "&amp;TEXT(K3483,"0.0"))</x:f>
        <x:v>1 : 9.2</x:v>
      </x:c>
      <x:c r="M3483" s="66" t="str">
        <x:f>IF(J3483="","Baru/Tanpa Data",IF(J3483&lt;='Catatan &amp; Sumber'!$B$14,"Sangat Ketat",IF(J3483&lt;='Catatan &amp; Sumber'!$B$15,"Ketat",IF(J3483&lt;='Catatan &amp; Sumber'!$B$16,"Sedang","Relatif Longgar"))))</x:f>
        <x:v>Relatif Longgar</x:v>
      </x:c>
      <x:c r="N3483" s="66" t="str">
        <x:v>Tidak Ada</x:v>
      </x:c>
      <x:c r="O3483" s="66" t="str">
        <x:v>Kalimantan Barat</x:v>
      </x:c>
      <x:c r="P3483" s="66" t="str">
        <x:v>Kota Pontianak</x:v>
      </x:c>
      <x:c r="Q3483" s="66" t="str">
        <x:v>https://snpmb.id/snbp/daya-tampung-snbp</x:v>
      </x:c>
      <x:c r="R3483" s="66" t="str">
        <x:v>https://sidatagrun-public-1076756628210.asia-southeast2.run.app/ptn_sn.php?ptn=511</x:v>
      </x:c>
    </x:row>
    <x:row r="3484">
      <x:c r="A3484" s="87" t="n">
        <x:v>3573</x:v>
      </x:c>
      <x:c r="B3484" s="66" t="n">
        <x:v>511</x:v>
      </x:c>
      <x:c r="C3484" s="66" t="str">
        <x:v>UNIVERSITAS TANJUNGPURA</x:v>
      </x:c>
      <x:c r="D3484" s="66" t="str">
        <x:v>PTN Akademik</x:v>
      </x:c>
      <x:c r="E3484" s="66" t="str">
        <x:v>15111061</x:v>
      </x:c>
      <x:c r="F3484" s="66" t="str">
        <x:v>PENDIDIKAN KEPELATIHAN OLAHRAGA</x:v>
      </x:c>
      <x:c r="G3484" s="66" t="str">
        <x:v>Sarjana</x:v>
      </x:c>
      <x:c r="H3484" s="87" t="n">
        <x:v>18</x:v>
      </x:c>
      <x:c r="I3484" s="87" t="n">
        <x:v>39</x:v>
      </x:c>
      <x:c r="J3484" s="68" t="n">
        <x:f>IFERROR(H3484/I3484,"")</x:f>
        <x:v>0.46153846153846156</x:v>
      </x:c>
      <x:c r="K3484" s="69" t="n">
        <x:f>IFERROR(I3484/H3484,"")</x:f>
        <x:v>2.1666666666666665</x:v>
      </x:c>
      <x:c r="L3484" s="66" t="str">
        <x:f>IF(K3484="","","1 : "&amp;TEXT(K3484,"0.0"))</x:f>
        <x:v>1 : 2.2</x:v>
      </x:c>
      <x:c r="M3484" s="66" t="str">
        <x:f>IF(J3484="","Baru/Tanpa Data",IF(J3484&lt;='Catatan &amp; Sumber'!$B$14,"Sangat Ketat",IF(J3484&lt;='Catatan &amp; Sumber'!$B$15,"Ketat",IF(J3484&lt;='Catatan &amp; Sumber'!$B$16,"Sedang","Relatif Longgar"))))</x:f>
        <x:v>Relatif Longgar</x:v>
      </x:c>
      <x:c r="N3484" s="66" t="str">
        <x:v>Olahraga</x:v>
      </x:c>
      <x:c r="O3484" s="66" t="str">
        <x:v>Kalimantan Barat</x:v>
      </x:c>
      <x:c r="P3484" s="66" t="str">
        <x:v>Kota Pontianak</x:v>
      </x:c>
      <x:c r="Q3484" s="66" t="str">
        <x:v>https://snpmb.id/snbp/daya-tampung-snbp</x:v>
      </x:c>
      <x:c r="R3484" s="66" t="str">
        <x:v>https://sidatagrun-public-1076756628210.asia-southeast2.run.app/ptn_sn.php?ptn=511</x:v>
      </x:c>
    </x:row>
    <x:row r="3485">
      <x:c r="A3485" s="87" t="n">
        <x:v>1559</x:v>
      </x:c>
      <x:c r="B3485" s="66" t="n">
        <x:v>511</x:v>
      </x:c>
      <x:c r="C3485" s="66" t="str">
        <x:v>UNIVERSITAS TANJUNGPURA</x:v>
      </x:c>
      <x:c r="D3485" s="66" t="str">
        <x:v>PTN Akademik</x:v>
      </x:c>
      <x:c r="E3485" s="66" t="str">
        <x:v>15111062</x:v>
      </x:c>
      <x:c r="F3485" s="66" t="str">
        <x:v>PENDIDIKAN ILMU PENGETAHUAN SOSIAL</x:v>
      </x:c>
      <x:c r="G3485" s="66" t="str">
        <x:v>Sarjana</x:v>
      </x:c>
      <x:c r="H3485" s="87" t="n">
        <x:v>10</x:v>
      </x:c>
      <x:c r="I3485" s="87" t="n">
        <x:v>88</x:v>
      </x:c>
      <x:c r="J3485" s="68" t="n">
        <x:f>IFERROR(H3485/I3485,"")</x:f>
        <x:v>0.11363636363636363</x:v>
      </x:c>
      <x:c r="K3485" s="69" t="n">
        <x:f>IFERROR(I3485/H3485,"")</x:f>
        <x:v>8.8</x:v>
      </x:c>
      <x:c r="L3485" s="66" t="str">
        <x:f>IF(K3485="","","1 : "&amp;TEXT(K3485,"0.0"))</x:f>
        <x:v>1 : 8.8</x:v>
      </x:c>
      <x:c r="M3485" s="66" t="str">
        <x:f>IF(J3485="","Baru/Tanpa Data",IF(J3485&lt;='Catatan &amp; Sumber'!$B$14,"Sangat Ketat",IF(J3485&lt;='Catatan &amp; Sumber'!$B$15,"Ketat",IF(J3485&lt;='Catatan &amp; Sumber'!$B$16,"Sedang","Relatif Longgar"))))</x:f>
        <x:v>Relatif Longgar</x:v>
      </x:c>
      <x:c r="N3485" s="66" t="str">
        <x:v>Tidak Ada</x:v>
      </x:c>
      <x:c r="O3485" s="66" t="str">
        <x:v>Kalimantan Barat</x:v>
      </x:c>
      <x:c r="P3485" s="66" t="str">
        <x:v>Kota Pontianak</x:v>
      </x:c>
      <x:c r="Q3485" s="66" t="str">
        <x:v>https://snpmb.id/snbp/daya-tampung-snbp</x:v>
      </x:c>
      <x:c r="R3485" s="66" t="str">
        <x:v>https://sidatagrun-public-1076756628210.asia-southeast2.run.app/ptn_sn.php?ptn=511</x:v>
      </x:c>
    </x:row>
    <x:row r="3486">
      <x:c r="A3486" s="87" t="n">
        <x:v>2032</x:v>
      </x:c>
      <x:c r="B3486" s="66" t="n">
        <x:v>511</x:v>
      </x:c>
      <x:c r="C3486" s="66" t="str">
        <x:v>UNIVERSITAS TANJUNGPURA</x:v>
      </x:c>
      <x:c r="D3486" s="66" t="str">
        <x:v>PTN Akademik</x:v>
      </x:c>
      <x:c r="E3486" s="66" t="str">
        <x:v>15111063</x:v>
      </x:c>
      <x:c r="F3486" s="66" t="str">
        <x:v>ILMU HUBUNGAN INTERNASIONAL</x:v>
      </x:c>
      <x:c r="G3486" s="66" t="str">
        <x:v>Sarjana</x:v>
      </x:c>
      <x:c r="H3486" s="87" t="n">
        <x:v>30</x:v>
      </x:c>
      <x:c r="I3486" s="87" t="n">
        <x:v>194</x:v>
      </x:c>
      <x:c r="J3486" s="68" t="n">
        <x:f>IFERROR(H3486/I3486,"")</x:f>
        <x:v>0.15463917525773196</x:v>
      </x:c>
      <x:c r="K3486" s="69" t="n">
        <x:f>IFERROR(I3486/H3486,"")</x:f>
        <x:v>6.466666666666667</x:v>
      </x:c>
      <x:c r="L3486" s="66" t="str">
        <x:f>IF(K3486="","","1 : "&amp;TEXT(K3486,"0.0"))</x:f>
        <x:v>1 : 6.5</x:v>
      </x:c>
      <x:c r="M3486" s="66" t="str">
        <x:f>IF(J3486="","Baru/Tanpa Data",IF(J3486&lt;='Catatan &amp; Sumber'!$B$14,"Sangat Ketat",IF(J3486&lt;='Catatan &amp; Sumber'!$B$15,"Ketat",IF(J3486&lt;='Catatan &amp; Sumber'!$B$16,"Sedang","Relatif Longgar"))))</x:f>
        <x:v>Relatif Longgar</x:v>
      </x:c>
      <x:c r="N3486" s="66" t="str">
        <x:v>Tidak Ada</x:v>
      </x:c>
      <x:c r="O3486" s="66" t="str">
        <x:v>Kalimantan Barat</x:v>
      </x:c>
      <x:c r="P3486" s="66" t="str">
        <x:v>Kota Pontianak</x:v>
      </x:c>
      <x:c r="Q3486" s="66" t="str">
        <x:v>https://snpmb.id/snbp/daya-tampung-snbp</x:v>
      </x:c>
      <x:c r="R3486" s="66" t="str">
        <x:v>https://sidatagrun-public-1076756628210.asia-southeast2.run.app/ptn_sn.php?ptn=511</x:v>
      </x:c>
    </x:row>
    <x:row r="3487">
      <x:c r="A3487" s="87" t="n">
        <x:v>2981</x:v>
      </x:c>
      <x:c r="B3487" s="66" t="n">
        <x:v>511</x:v>
      </x:c>
      <x:c r="C3487" s="66" t="str">
        <x:v>UNIVERSITAS TANJUNGPURA</x:v>
      </x:c>
      <x:c r="D3487" s="66" t="str">
        <x:v>PTN Akademik</x:v>
      </x:c>
      <x:c r="E3487" s="66" t="str">
        <x:v>15111064</x:v>
      </x:c>
      <x:c r="F3487" s="66" t="str">
        <x:v>ANTROPOLOGI SOSIAL</x:v>
      </x:c>
      <x:c r="G3487" s="66" t="str">
        <x:v>Sarjana</x:v>
      </x:c>
      <x:c r="H3487" s="87" t="n">
        <x:v>22</x:v>
      </x:c>
      <x:c r="I3487" s="87" t="n">
        <x:v>76</x:v>
      </x:c>
      <x:c r="J3487" s="68" t="n">
        <x:f>IFERROR(H3487/I3487,"")</x:f>
        <x:v>0.2894736842105263</x:v>
      </x:c>
      <x:c r="K3487" s="69" t="n">
        <x:f>IFERROR(I3487/H3487,"")</x:f>
        <x:v>3.4545454545454546</x:v>
      </x:c>
      <x:c r="L3487" s="66" t="str">
        <x:f>IF(K3487="","","1 : "&amp;TEXT(K3487,"0.0"))</x:f>
        <x:v>1 : 3.5</x:v>
      </x:c>
      <x:c r="M3487" s="66" t="str">
        <x:f>IF(J3487="","Baru/Tanpa Data",IF(J3487&lt;='Catatan &amp; Sumber'!$B$14,"Sangat Ketat",IF(J3487&lt;='Catatan &amp; Sumber'!$B$15,"Ketat",IF(J3487&lt;='Catatan &amp; Sumber'!$B$16,"Sedang","Relatif Longgar"))))</x:f>
        <x:v>Relatif Longgar</x:v>
      </x:c>
      <x:c r="N3487" s="66" t="str">
        <x:v>Tidak Ada</x:v>
      </x:c>
      <x:c r="O3487" s="66" t="str">
        <x:v>Kalimantan Barat</x:v>
      </x:c>
      <x:c r="P3487" s="66" t="str">
        <x:v>Kota Pontianak</x:v>
      </x:c>
      <x:c r="Q3487" s="66" t="str">
        <x:v>https://snpmb.id/snbp/daya-tampung-snbp</x:v>
      </x:c>
      <x:c r="R3487" s="66" t="str">
        <x:v>https://sidatagrun-public-1076756628210.asia-southeast2.run.app/ptn_sn.php?ptn=511</x:v>
      </x:c>
    </x:row>
    <x:row r="3488">
      <x:c r="A3488" s="87" t="n">
        <x:v>3769</x:v>
      </x:c>
      <x:c r="B3488" s="66" t="n">
        <x:v>511</x:v>
      </x:c>
      <x:c r="C3488" s="66" t="str">
        <x:v>UNIVERSITAS TANJUNGPURA</x:v>
      </x:c>
      <x:c r="D3488" s="66" t="str">
        <x:v>PTN Akademik</x:v>
      </x:c>
      <x:c r="E3488" s="66" t="str">
        <x:v>15113065</x:v>
      </x:c>
      <x:c r="F3488" s="66" t="str">
        <x:v>BUDIDAYA TANAMAN PERKEBUNAN</x:v>
      </x:c>
      <x:c r="G3488" s="66" t="str">
        <x:v>Diploma Tiga</x:v>
      </x:c>
      <x:c r="H3488" s="87" t="n">
        <x:v>15</x:v>
      </x:c>
      <x:c r="I3488" s="87" t="n">
        <x:v>27</x:v>
      </x:c>
      <x:c r="J3488" s="68" t="n">
        <x:f>IFERROR(H3488/I3488,"")</x:f>
        <x:v>0.5555555555555556</x:v>
      </x:c>
      <x:c r="K3488" s="69" t="n">
        <x:f>IFERROR(I3488/H3488,"")</x:f>
        <x:v>1.8</x:v>
      </x:c>
      <x:c r="L3488" s="66" t="str">
        <x:f>IF(K3488="","","1 : "&amp;TEXT(K3488,"0.0"))</x:f>
        <x:v>1 : 1.8</x:v>
      </x:c>
      <x:c r="M3488" s="66" t="str">
        <x:f>IF(J3488="","Baru/Tanpa Data",IF(J3488&lt;='Catatan &amp; Sumber'!$B$14,"Sangat Ketat",IF(J3488&lt;='Catatan &amp; Sumber'!$B$15,"Ketat",IF(J3488&lt;='Catatan &amp; Sumber'!$B$16,"Sedang","Relatif Longgar"))))</x:f>
        <x:v>Relatif Longgar</x:v>
      </x:c>
      <x:c r="N3488" s="66" t="str">
        <x:v>Tidak Ada</x:v>
      </x:c>
      <x:c r="O3488" s="66" t="str">
        <x:v>Kalimantan Barat</x:v>
      </x:c>
      <x:c r="P3488" s="66" t="str">
        <x:v>Kota Pontianak</x:v>
      </x:c>
      <x:c r="Q3488" s="66" t="str">
        <x:v>https://snpmb.id/snbp/daya-tampung-snbp</x:v>
      </x:c>
      <x:c r="R3488" s="66" t="str">
        <x:v>https://sidatagrun-public-1076756628210.asia-southeast2.run.app/ptn_sn.php?ptn=511</x:v>
      </x:c>
    </x:row>
    <x:row r="3489">
      <x:c r="A3489" s="87" t="n">
        <x:v>3560</x:v>
      </x:c>
      <x:c r="B3489" s="66" t="n">
        <x:v>511</x:v>
      </x:c>
      <x:c r="C3489" s="66" t="str">
        <x:v>UNIVERSITAS TANJUNGPURA</x:v>
      </x:c>
      <x:c r="D3489" s="66" t="str">
        <x:v>PTN Akademik</x:v>
      </x:c>
      <x:c r="E3489" s="66" t="str">
        <x:v>15113066</x:v>
      </x:c>
      <x:c r="F3489" s="66" t="str">
        <x:v>KEARSIPAN</x:v>
      </x:c>
      <x:c r="G3489" s="66" t="str">
        <x:v>Diploma Tiga</x:v>
      </x:c>
      <x:c r="H3489" s="87" t="n">
        <x:v>20</x:v>
      </x:c>
      <x:c r="I3489" s="87" t="n">
        <x:v>44</x:v>
      </x:c>
      <x:c r="J3489" s="68" t="n">
        <x:f>IFERROR(H3489/I3489,"")</x:f>
        <x:v>0.45454545454545453</x:v>
      </x:c>
      <x:c r="K3489" s="69" t="n">
        <x:f>IFERROR(I3489/H3489,"")</x:f>
        <x:v>2.2</x:v>
      </x:c>
      <x:c r="L3489" s="66" t="str">
        <x:f>IF(K3489="","","1 : "&amp;TEXT(K3489,"0.0"))</x:f>
        <x:v>1 : 2.2</x:v>
      </x:c>
      <x:c r="M3489" s="66" t="str">
        <x:f>IF(J3489="","Baru/Tanpa Data",IF(J3489&lt;='Catatan &amp; Sumber'!$B$14,"Sangat Ketat",IF(J3489&lt;='Catatan &amp; Sumber'!$B$15,"Ketat",IF(J3489&lt;='Catatan &amp; Sumber'!$B$16,"Sedang","Relatif Longgar"))))</x:f>
        <x:v>Relatif Longgar</x:v>
      </x:c>
      <x:c r="N3489" s="66" t="str">
        <x:v>Tidak Ada</x:v>
      </x:c>
      <x:c r="O3489" s="66" t="str">
        <x:v>Kalimantan Barat</x:v>
      </x:c>
      <x:c r="P3489" s="66" t="str">
        <x:v>Kota Pontianak</x:v>
      </x:c>
      <x:c r="Q3489" s="66" t="str">
        <x:v>https://snpmb.id/snbp/daya-tampung-snbp</x:v>
      </x:c>
      <x:c r="R3489" s="66" t="str">
        <x:v>https://sidatagrun-public-1076756628210.asia-southeast2.run.app/ptn_sn.php?ptn=511</x:v>
      </x:c>
    </x:row>
    <x:row r="3490">
      <x:c r="A3490" s="87" t="n">
        <x:v>3167</x:v>
      </x:c>
      <x:c r="B3490" s="66" t="n">
        <x:v>511</x:v>
      </x:c>
      <x:c r="C3490" s="66" t="str">
        <x:v>UNIVERSITAS TANJUNGPURA</x:v>
      </x:c>
      <x:c r="D3490" s="66" t="str">
        <x:v>PTN Akademik</x:v>
      </x:c>
      <x:c r="E3490" s="66" t="str">
        <x:v>15113067</x:v>
      </x:c>
      <x:c r="F3490" s="66" t="str">
        <x:v>PERPUSTAKAAN</x:v>
      </x:c>
      <x:c r="G3490" s="66" t="str">
        <x:v>Diploma Tiga</x:v>
      </x:c>
      <x:c r="H3490" s="87" t="n">
        <x:v>10</x:v>
      </x:c>
      <x:c r="I3490" s="87" t="n">
        <x:v>30</x:v>
      </x:c>
      <x:c r="J3490" s="68" t="n">
        <x:f>IFERROR(H3490/I3490,"")</x:f>
        <x:v>0.3333333333333333</x:v>
      </x:c>
      <x:c r="K3490" s="69" t="n">
        <x:f>IFERROR(I3490/H3490,"")</x:f>
        <x:v>3</x:v>
      </x:c>
      <x:c r="L3490" s="66" t="str">
        <x:f>IF(K3490="","","1 : "&amp;TEXT(K3490,"0.0"))</x:f>
        <x:v>1 : 3.0</x:v>
      </x:c>
      <x:c r="M3490" s="66" t="str">
        <x:f>IF(J3490="","Baru/Tanpa Data",IF(J3490&lt;='Catatan &amp; Sumber'!$B$14,"Sangat Ketat",IF(J3490&lt;='Catatan &amp; Sumber'!$B$15,"Ketat",IF(J3490&lt;='Catatan &amp; Sumber'!$B$16,"Sedang","Relatif Longgar"))))</x:f>
        <x:v>Relatif Longgar</x:v>
      </x:c>
      <x:c r="N3490" s="66" t="str">
        <x:v>Tidak Ada</x:v>
      </x:c>
      <x:c r="O3490" s="66" t="str">
        <x:v>Kalimantan Barat</x:v>
      </x:c>
      <x:c r="P3490" s="66" t="str">
        <x:v>Kota Pontianak</x:v>
      </x:c>
      <x:c r="Q3490" s="66" t="str">
        <x:v>https://snpmb.id/snbp/daya-tampung-snbp</x:v>
      </x:c>
      <x:c r="R3490" s="66" t="str">
        <x:v>https://sidatagrun-public-1076756628210.asia-southeast2.run.app/ptn_sn.php?ptn=511</x:v>
      </x:c>
    </x:row>
    <x:row r="3491">
      <x:c r="A3491" s="87" t="n">
        <x:v>4135</x:v>
      </x:c>
      <x:c r="B3491" s="66" t="n">
        <x:v>511</x:v>
      </x:c>
      <x:c r="C3491" s="66" t="str">
        <x:v>UNIVERSITAS TANJUNGPURA</x:v>
      </x:c>
      <x:c r="D3491" s="66" t="str">
        <x:v>PTN Akademik</x:v>
      </x:c>
      <x:c r="E3491" s="66" t="str">
        <x:v>15113068</x:v>
      </x:c>
      <x:c r="F3491" s="66" t="str">
        <x:v>KESEKRETARIATAN</x:v>
      </x:c>
      <x:c r="G3491" s="66" t="str">
        <x:v>Diploma Tiga</x:v>
      </x:c>
      <x:c r="H3491" s="87" t="n">
        <x:v>20</x:v>
      </x:c>
      <x:c r="I3491" s="87" t="n">
        <x:v>25</x:v>
      </x:c>
      <x:c r="J3491" s="68" t="n">
        <x:f>IFERROR(H3491/I3491,"")</x:f>
        <x:v>0.8</x:v>
      </x:c>
      <x:c r="K3491" s="69" t="n">
        <x:f>IFERROR(I3491/H3491,"")</x:f>
        <x:v>1.25</x:v>
      </x:c>
      <x:c r="L3491" s="66" t="str">
        <x:f>IF(K3491="","","1 : "&amp;TEXT(K3491,"0.0"))</x:f>
        <x:v>1 : 1.3</x:v>
      </x:c>
      <x:c r="M3491" s="66" t="str">
        <x:f>IF(J3491="","Baru/Tanpa Data",IF(J3491&lt;='Catatan &amp; Sumber'!$B$14,"Sangat Ketat",IF(J3491&lt;='Catatan &amp; Sumber'!$B$15,"Ketat",IF(J3491&lt;='Catatan &amp; Sumber'!$B$16,"Sedang","Relatif Longgar"))))</x:f>
        <x:v>Relatif Longgar</x:v>
      </x:c>
      <x:c r="N3491" s="66" t="str">
        <x:v>Tidak Ada</x:v>
      </x:c>
      <x:c r="O3491" s="66" t="str">
        <x:v>Kalimantan Barat</x:v>
      </x:c>
      <x:c r="P3491" s="66" t="str">
        <x:v>Kota Pontianak</x:v>
      </x:c>
      <x:c r="Q3491" s="66" t="str">
        <x:v>https://snpmb.id/snbp/daya-tampung-snbp</x:v>
      </x:c>
      <x:c r="R3491" s="66" t="str">
        <x:v>https://sidatagrun-public-1076756628210.asia-southeast2.run.app/ptn_sn.php?ptn=511</x:v>
      </x:c>
    </x:row>
    <x:row r="3492">
      <x:c r="A3492" s="87" t="n">
        <x:v>2388</x:v>
      </x:c>
      <x:c r="B3492" s="66" t="n">
        <x:v>511</x:v>
      </x:c>
      <x:c r="C3492" s="66" t="str">
        <x:v>UNIVERSITAS TANJUNGPURA</x:v>
      </x:c>
      <x:c r="D3492" s="66" t="str">
        <x:v>PTN Akademik</x:v>
      </x:c>
      <x:c r="E3492" s="66" t="str">
        <x:v>15113069</x:v>
      </x:c>
      <x:c r="F3492" s="66" t="str">
        <x:v>ADMINISTRASI PERKANTORAN</x:v>
      </x:c>
      <x:c r="G3492" s="66" t="str">
        <x:v>Diploma Tiga</x:v>
      </x:c>
      <x:c r="H3492" s="87" t="n">
        <x:v>19</x:v>
      </x:c>
      <x:c r="I3492" s="87" t="n">
        <x:v>98</x:v>
      </x:c>
      <x:c r="J3492" s="68" t="n">
        <x:f>IFERROR(H3492/I3492,"")</x:f>
        <x:v>0.19387755102040816</x:v>
      </x:c>
      <x:c r="K3492" s="69" t="n">
        <x:f>IFERROR(I3492/H3492,"")</x:f>
        <x:v>5.157894736842105</x:v>
      </x:c>
      <x:c r="L3492" s="66" t="str">
        <x:f>IF(K3492="","","1 : "&amp;TEXT(K3492,"0.0"))</x:f>
        <x:v>1 : 5.2</x:v>
      </x:c>
      <x:c r="M3492" s="66" t="str">
        <x:f>IF(J3492="","Baru/Tanpa Data",IF(J3492&lt;='Catatan &amp; Sumber'!$B$14,"Sangat Ketat",IF(J3492&lt;='Catatan &amp; Sumber'!$B$15,"Ketat",IF(J3492&lt;='Catatan &amp; Sumber'!$B$16,"Sedang","Relatif Longgar"))))</x:f>
        <x:v>Relatif Longgar</x:v>
      </x:c>
      <x:c r="N3492" s="66" t="str">
        <x:v>Tidak Ada</x:v>
      </x:c>
      <x:c r="O3492" s="66" t="str">
        <x:v>Kalimantan Barat</x:v>
      </x:c>
      <x:c r="P3492" s="66" t="str">
        <x:v>Kota Pontianak</x:v>
      </x:c>
      <x:c r="Q3492" s="66" t="str">
        <x:v>https://snpmb.id/snbp/daya-tampung-snbp</x:v>
      </x:c>
      <x:c r="R3492" s="66" t="str">
        <x:v>https://sidatagrun-public-1076756628210.asia-southeast2.run.app/ptn_sn.php?ptn=511</x:v>
      </x:c>
    </x:row>
    <x:row r="3493">
      <x:c r="A3493" s="87" t="n">
        <x:v>3588</x:v>
      </x:c>
      <x:c r="B3493" s="66" t="n">
        <x:v>515</x:v>
      </x:c>
      <x:c r="C3493" s="66" t="str">
        <x:v>POLITEKNIK NEGERI PONTIANAK</x:v>
      </x:c>
      <x:c r="D3493" s="66" t="str">
        <x:v>PTN Vokasi</x:v>
      </x:c>
      <x:c r="E3493" s="66" t="str">
        <x:v>25152001</x:v>
      </x:c>
      <x:c r="F3493" s="66" t="str">
        <x:v>PERENCANAAN PERUMAHAN &amp; PEMUKIMAN</x:v>
      </x:c>
      <x:c r="G3493" s="66" t="str">
        <x:v>Sarjana Terapan</x:v>
      </x:c>
      <x:c r="H3493" s="87" t="n">
        <x:v>35</x:v>
      </x:c>
      <x:c r="I3493" s="87" t="n">
        <x:v>75</x:v>
      </x:c>
      <x:c r="J3493" s="68" t="n">
        <x:f>IFERROR(H3493/I3493,"")</x:f>
        <x:v>0.4666666666666667</x:v>
      </x:c>
      <x:c r="K3493" s="69" t="n">
        <x:f>IFERROR(I3493/H3493,"")</x:f>
        <x:v>2.142857142857143</x:v>
      </x:c>
      <x:c r="L3493" s="66" t="str">
        <x:f>IF(K3493="","","1 : "&amp;TEXT(K3493,"0.0"))</x:f>
        <x:v>1 : 2.1</x:v>
      </x:c>
      <x:c r="M3493" s="66" t="str">
        <x:f>IF(J3493="","Baru/Tanpa Data",IF(J3493&lt;='Catatan &amp; Sumber'!$B$14,"Sangat Ketat",IF(J3493&lt;='Catatan &amp; Sumber'!$B$15,"Ketat",IF(J3493&lt;='Catatan &amp; Sumber'!$B$16,"Sedang","Relatif Longgar"))))</x:f>
        <x:v>Relatif Longgar</x:v>
      </x:c>
      <x:c r="N3493" s="66" t="str">
        <x:v>Tidak Ada</x:v>
      </x:c>
      <x:c r="O3493" s="66" t="str">
        <x:v>Kalimantan Barat</x:v>
      </x:c>
      <x:c r="P3493" s="66" t="str">
        <x:v>Kota Pontianak</x:v>
      </x:c>
      <x:c r="Q3493" s="66" t="str">
        <x:v>https://snpmb.id/snbp/daya-tampung-snbp</x:v>
      </x:c>
      <x:c r="R3493" s="66" t="str">
        <x:v>https://sidatagrun-public-1076756628210.asia-southeast2.run.app/ptn_sn.php?ptn=515</x:v>
      </x:c>
    </x:row>
    <x:row r="3494">
      <x:c r="A3494" s="87" t="n">
        <x:v>2447</x:v>
      </x:c>
      <x:c r="B3494" s="66" t="n">
        <x:v>515</x:v>
      </x:c>
      <x:c r="C3494" s="66" t="str">
        <x:v>POLITEKNIK NEGERI PONTIANAK</x:v>
      </x:c>
      <x:c r="D3494" s="66" t="str">
        <x:v>PTN Vokasi</x:v>
      </x:c>
      <x:c r="E3494" s="66" t="str">
        <x:v>25152002</x:v>
      </x:c>
      <x:c r="F3494" s="66" t="str">
        <x:v>TEKNIK MESIN</x:v>
      </x:c>
      <x:c r="G3494" s="66" t="str">
        <x:v>Sarjana Terapan</x:v>
      </x:c>
      <x:c r="H3494" s="87" t="n">
        <x:v>23</x:v>
      </x:c>
      <x:c r="I3494" s="87" t="n">
        <x:v>114</x:v>
      </x:c>
      <x:c r="J3494" s="68" t="n">
        <x:f>IFERROR(H3494/I3494,"")</x:f>
        <x:v>0.20175438596491227</x:v>
      </x:c>
      <x:c r="K3494" s="69" t="n">
        <x:f>IFERROR(I3494/H3494,"")</x:f>
        <x:v>4.956521739130435</x:v>
      </x:c>
      <x:c r="L3494" s="66" t="str">
        <x:f>IF(K3494="","","1 : "&amp;TEXT(K3494,"0.0"))</x:f>
        <x:v>1 : 5.0</x:v>
      </x:c>
      <x:c r="M3494" s="66" t="str">
        <x:f>IF(J3494="","Baru/Tanpa Data",IF(J3494&lt;='Catatan &amp; Sumber'!$B$14,"Sangat Ketat",IF(J3494&lt;='Catatan &amp; Sumber'!$B$15,"Ketat",IF(J3494&lt;='Catatan &amp; Sumber'!$B$16,"Sedang","Relatif Longgar"))))</x:f>
        <x:v>Relatif Longgar</x:v>
      </x:c>
      <x:c r="N3494" s="66" t="str">
        <x:v>Tidak Ada</x:v>
      </x:c>
      <x:c r="O3494" s="66" t="str">
        <x:v>Kalimantan Barat</x:v>
      </x:c>
      <x:c r="P3494" s="66" t="str">
        <x:v>Kota Pontianak</x:v>
      </x:c>
      <x:c r="Q3494" s="66" t="str">
        <x:v>https://snpmb.id/snbp/daya-tampung-snbp</x:v>
      </x:c>
      <x:c r="R3494" s="66" t="str">
        <x:v>https://sidatagrun-public-1076756628210.asia-southeast2.run.app/ptn_sn.php?ptn=515</x:v>
      </x:c>
    </x:row>
    <x:row r="3495">
      <x:c r="A3495" s="87" t="n">
        <x:v>3379</x:v>
      </x:c>
      <x:c r="B3495" s="66" t="n">
        <x:v>515</x:v>
      </x:c>
      <x:c r="C3495" s="66" t="str">
        <x:v>POLITEKNIK NEGERI PONTIANAK</x:v>
      </x:c>
      <x:c r="D3495" s="66" t="str">
        <x:v>PTN Vokasi</x:v>
      </x:c>
      <x:c r="E3495" s="66" t="str">
        <x:v>25152003</x:v>
      </x:c>
      <x:c r="F3495" s="66" t="str">
        <x:v>MANAJEMEN PERKEBUNAN</x:v>
      </x:c>
      <x:c r="G3495" s="66" t="str">
        <x:v>Sarjana Terapan</x:v>
      </x:c>
      <x:c r="H3495" s="87" t="n">
        <x:v>24</x:v>
      </x:c>
      <x:c r="I3495" s="87" t="n">
        <x:v>61</x:v>
      </x:c>
      <x:c r="J3495" s="68" t="n">
        <x:f>IFERROR(H3495/I3495,"")</x:f>
        <x:v>0.39344262295081966</x:v>
      </x:c>
      <x:c r="K3495" s="69" t="n">
        <x:f>IFERROR(I3495/H3495,"")</x:f>
        <x:v>2.5416666666666665</x:v>
      </x:c>
      <x:c r="L3495" s="66" t="str">
        <x:f>IF(K3495="","","1 : "&amp;TEXT(K3495,"0.0"))</x:f>
        <x:v>1 : 2.5</x:v>
      </x:c>
      <x:c r="M3495" s="66" t="str">
        <x:f>IF(J3495="","Baru/Tanpa Data",IF(J3495&lt;='Catatan &amp; Sumber'!$B$14,"Sangat Ketat",IF(J3495&lt;='Catatan &amp; Sumber'!$B$15,"Ketat",IF(J3495&lt;='Catatan &amp; Sumber'!$B$16,"Sedang","Relatif Longgar"))))</x:f>
        <x:v>Relatif Longgar</x:v>
      </x:c>
      <x:c r="N3495" s="66" t="str">
        <x:v>Tidak Ada</x:v>
      </x:c>
      <x:c r="O3495" s="66" t="str">
        <x:v>Kalimantan Barat</x:v>
      </x:c>
      <x:c r="P3495" s="66" t="str">
        <x:v>Kota Pontianak</x:v>
      </x:c>
      <x:c r="Q3495" s="66" t="str">
        <x:v>https://snpmb.id/snbp/daya-tampung-snbp</x:v>
      </x:c>
      <x:c r="R3495" s="66" t="str">
        <x:v>https://sidatagrun-public-1076756628210.asia-southeast2.run.app/ptn_sn.php?ptn=515</x:v>
      </x:c>
    </x:row>
    <x:row r="3496">
      <x:c r="A3496" s="87" t="n">
        <x:v>3774</x:v>
      </x:c>
      <x:c r="B3496" s="66" t="n">
        <x:v>515</x:v>
      </x:c>
      <x:c r="C3496" s="66" t="str">
        <x:v>POLITEKNIK NEGERI PONTIANAK</x:v>
      </x:c>
      <x:c r="D3496" s="66" t="str">
        <x:v>PTN Vokasi</x:v>
      </x:c>
      <x:c r="E3496" s="66" t="str">
        <x:v>25152004</x:v>
      </x:c>
      <x:c r="F3496" s="66" t="str">
        <x:v>BUDIDAYA TANAMAN PERKEBUNAN</x:v>
      </x:c>
      <x:c r="G3496" s="66" t="str">
        <x:v>Sarjana Terapan</x:v>
      </x:c>
      <x:c r="H3496" s="87" t="n">
        <x:v>24</x:v>
      </x:c>
      <x:c r="I3496" s="87" t="n">
        <x:v>43</x:v>
      </x:c>
      <x:c r="J3496" s="68" t="n">
        <x:f>IFERROR(H3496/I3496,"")</x:f>
        <x:v>0.5581395348837209</x:v>
      </x:c>
      <x:c r="K3496" s="69" t="n">
        <x:f>IFERROR(I3496/H3496,"")</x:f>
        <x:v>1.7916666666666667</x:v>
      </x:c>
      <x:c r="L3496" s="66" t="str">
        <x:f>IF(K3496="","","1 : "&amp;TEXT(K3496,"0.0"))</x:f>
        <x:v>1 : 1.8</x:v>
      </x:c>
      <x:c r="M3496" s="66" t="str">
        <x:f>IF(J3496="","Baru/Tanpa Data",IF(J3496&lt;='Catatan &amp; Sumber'!$B$14,"Sangat Ketat",IF(J3496&lt;='Catatan &amp; Sumber'!$B$15,"Ketat",IF(J3496&lt;='Catatan &amp; Sumber'!$B$16,"Sedang","Relatif Longgar"))))</x:f>
        <x:v>Relatif Longgar</x:v>
      </x:c>
      <x:c r="N3496" s="66" t="str">
        <x:v>Tidak Ada</x:v>
      </x:c>
      <x:c r="O3496" s="66" t="str">
        <x:v>Kalimantan Barat</x:v>
      </x:c>
      <x:c r="P3496" s="66" t="str">
        <x:v>Kota Pontianak</x:v>
      </x:c>
      <x:c r="Q3496" s="66" t="str">
        <x:v>https://snpmb.id/snbp/daya-tampung-snbp</x:v>
      </x:c>
      <x:c r="R3496" s="66" t="str">
        <x:v>https://sidatagrun-public-1076756628210.asia-southeast2.run.app/ptn_sn.php?ptn=515</x:v>
      </x:c>
    </x:row>
    <x:row r="3497">
      <x:c r="A3497" s="87" t="n">
        <x:v>4687</x:v>
      </x:c>
      <x:c r="B3497" s="66" t="n">
        <x:v>515</x:v>
      </x:c>
      <x:c r="C3497" s="66" t="str">
        <x:v>POLITEKNIK NEGERI PONTIANAK</x:v>
      </x:c>
      <x:c r="D3497" s="66" t="str">
        <x:v>PTN Vokasi</x:v>
      </x:c>
      <x:c r="E3497" s="66" t="str">
        <x:v>25152005</x:v>
      </x:c>
      <x:c r="F3497" s="66" t="str">
        <x:v>DESAIN KAWASAN BINAAN</x:v>
      </x:c>
      <x:c r="G3497" s="66" t="str">
        <x:v>Sarjana Terapan</x:v>
      </x:c>
      <x:c r="H3497" s="87" t="n">
        <x:v>15</x:v>
      </x:c>
      <x:c r="I3497" s="87" t="n">
        <x:v>7</x:v>
      </x:c>
      <x:c r="J3497" s="68" t="n">
        <x:f>IFERROR(H3497/I3497,"")</x:f>
        <x:v>2.142857142857143</x:v>
      </x:c>
      <x:c r="K3497" s="69" t="n">
        <x:f>IFERROR(I3497/H3497,"")</x:f>
        <x:v>0.4666666666666667</x:v>
      </x:c>
      <x:c r="L3497" s="66" t="str">
        <x:f>IF(K3497="","","1 : "&amp;TEXT(K3497,"0.0"))</x:f>
        <x:v>1 : 0.5</x:v>
      </x:c>
      <x:c r="M3497" s="66" t="str">
        <x:f>IF(J3497="","Baru/Tanpa Data",IF(J3497&lt;='Catatan &amp; Sumber'!$B$14,"Sangat Ketat",IF(J3497&lt;='Catatan &amp; Sumber'!$B$15,"Ketat",IF(J3497&lt;='Catatan &amp; Sumber'!$B$16,"Sedang","Relatif Longgar"))))</x:f>
        <x:v>Relatif Longgar</x:v>
      </x:c>
      <x:c r="N3497" s="66" t="str">
        <x:v>Tidak Ada</x:v>
      </x:c>
      <x:c r="O3497" s="66" t="str">
        <x:v>Kalimantan Barat</x:v>
      </x:c>
      <x:c r="P3497" s="66" t="str">
        <x:v>Kota Pontianak</x:v>
      </x:c>
      <x:c r="Q3497" s="66" t="str">
        <x:v>https://snpmb.id/snbp/daya-tampung-snbp</x:v>
      </x:c>
      <x:c r="R3497" s="66" t="str">
        <x:v>https://sidatagrun-public-1076756628210.asia-southeast2.run.app/ptn_sn.php?ptn=515</x:v>
      </x:c>
    </x:row>
    <x:row r="3498">
      <x:c r="A3498" s="87" t="n">
        <x:v>4345</x:v>
      </x:c>
      <x:c r="B3498" s="66" t="n">
        <x:v>515</x:v>
      </x:c>
      <x:c r="C3498" s="66" t="str">
        <x:v>POLITEKNIK NEGERI PONTIANAK</x:v>
      </x:c>
      <x:c r="D3498" s="66" t="str">
        <x:v>PTN Vokasi</x:v>
      </x:c>
      <x:c r="E3498" s="66" t="str">
        <x:v>25152006</x:v>
      </x:c>
      <x:c r="F3498" s="66" t="str">
        <x:v>ARSITEKTUR BANGUNAN GEDUNG</x:v>
      </x:c>
      <x:c r="G3498" s="66" t="str">
        <x:v>Sarjana Terapan</x:v>
      </x:c>
      <x:c r="H3498" s="87" t="n">
        <x:v>30</x:v>
      </x:c>
      <x:c r="I3498" s="87" t="n">
        <x:v>29</x:v>
      </x:c>
      <x:c r="J3498" s="68" t="n">
        <x:f>IFERROR(H3498/I3498,"")</x:f>
        <x:v>1.0344827586206897</x:v>
      </x:c>
      <x:c r="K3498" s="69" t="n">
        <x:f>IFERROR(I3498/H3498,"")</x:f>
        <x:v>0.9666666666666667</x:v>
      </x:c>
      <x:c r="L3498" s="66" t="str">
        <x:f>IF(K3498="","","1 : "&amp;TEXT(K3498,"0.0"))</x:f>
        <x:v>1 : 1.0</x:v>
      </x:c>
      <x:c r="M3498" s="66" t="str">
        <x:f>IF(J3498="","Baru/Tanpa Data",IF(J3498&lt;='Catatan &amp; Sumber'!$B$14,"Sangat Ketat",IF(J3498&lt;='Catatan &amp; Sumber'!$B$15,"Ketat",IF(J3498&lt;='Catatan &amp; Sumber'!$B$16,"Sedang","Relatif Longgar"))))</x:f>
        <x:v>Relatif Longgar</x:v>
      </x:c>
      <x:c r="N3498" s="66" t="str">
        <x:v>Tidak Ada</x:v>
      </x:c>
      <x:c r="O3498" s="66" t="str">
        <x:v>Kalimantan Barat</x:v>
      </x:c>
      <x:c r="P3498" s="66" t="str">
        <x:v>Kota Pontianak</x:v>
      </x:c>
      <x:c r="Q3498" s="66" t="str">
        <x:v>https://snpmb.id/snbp/daya-tampung-snbp</x:v>
      </x:c>
      <x:c r="R3498" s="66" t="str">
        <x:v>https://sidatagrun-public-1076756628210.asia-southeast2.run.app/ptn_sn.php?ptn=515</x:v>
      </x:c>
    </x:row>
    <x:row r="3499">
      <x:c r="A3499" s="87" t="n">
        <x:v>2011</x:v>
      </x:c>
      <x:c r="B3499" s="66" t="n">
        <x:v>515</x:v>
      </x:c>
      <x:c r="C3499" s="66" t="str">
        <x:v>POLITEKNIK NEGERI PONTIANAK</x:v>
      </x:c>
      <x:c r="D3499" s="66" t="str">
        <x:v>PTN Vokasi</x:v>
      </x:c>
      <x:c r="E3499" s="66" t="str">
        <x:v>25152007</x:v>
      </x:c>
      <x:c r="F3499" s="66" t="str">
        <x:v>ADMINISTRASI NEGARA</x:v>
      </x:c>
      <x:c r="G3499" s="66" t="str">
        <x:v>Sarjana Terapan</x:v>
      </x:c>
      <x:c r="H3499" s="87" t="n">
        <x:v>45</x:v>
      </x:c>
      <x:c r="I3499" s="87" t="n">
        <x:v>294</x:v>
      </x:c>
      <x:c r="J3499" s="68" t="n">
        <x:f>IFERROR(H3499/I3499,"")</x:f>
        <x:v>0.15306122448979592</x:v>
      </x:c>
      <x:c r="K3499" s="69" t="n">
        <x:f>IFERROR(I3499/H3499,"")</x:f>
        <x:v>6.533333333333333</x:v>
      </x:c>
      <x:c r="L3499" s="66" t="str">
        <x:f>IF(K3499="","","1 : "&amp;TEXT(K3499,"0.0"))</x:f>
        <x:v>1 : 6.5</x:v>
      </x:c>
      <x:c r="M3499" s="66" t="str">
        <x:f>IF(J3499="","Baru/Tanpa Data",IF(J3499&lt;='Catatan &amp; Sumber'!$B$14,"Sangat Ketat",IF(J3499&lt;='Catatan &amp; Sumber'!$B$15,"Ketat",IF(J3499&lt;='Catatan &amp; Sumber'!$B$16,"Sedang","Relatif Longgar"))))</x:f>
        <x:v>Relatif Longgar</x:v>
      </x:c>
      <x:c r="N3499" s="66" t="str">
        <x:v>Tidak Ada</x:v>
      </x:c>
      <x:c r="O3499" s="66" t="str">
        <x:v>Kalimantan Barat</x:v>
      </x:c>
      <x:c r="P3499" s="66" t="str">
        <x:v>Kota Pontianak</x:v>
      </x:c>
      <x:c r="Q3499" s="66" t="str">
        <x:v>https://snpmb.id/snbp/daya-tampung-snbp</x:v>
      </x:c>
      <x:c r="R3499" s="66" t="str">
        <x:v>https://sidatagrun-public-1076756628210.asia-southeast2.run.app/ptn_sn.php?ptn=515</x:v>
      </x:c>
    </x:row>
    <x:row r="3500">
      <x:c r="A3500" s="87" t="n">
        <x:v>3777</x:v>
      </x:c>
      <x:c r="B3500" s="66" t="n">
        <x:v>515</x:v>
      </x:c>
      <x:c r="C3500" s="66" t="str">
        <x:v>POLITEKNIK NEGERI PONTIANAK</x:v>
      </x:c>
      <x:c r="D3500" s="66" t="str">
        <x:v>PTN Vokasi</x:v>
      </x:c>
      <x:c r="E3500" s="66" t="str">
        <x:v>25152008</x:v>
      </x:c>
      <x:c r="F3500" s="66" t="str">
        <x:v>ADMINISTRASI BISNIS OTOMOTIF</x:v>
      </x:c>
      <x:c r="G3500" s="66" t="str">
        <x:v>Sarjana Terapan</x:v>
      </x:c>
      <x:c r="H3500" s="87" t="n">
        <x:v>23</x:v>
      </x:c>
      <x:c r="I3500" s="87" t="n">
        <x:v>41</x:v>
      </x:c>
      <x:c r="J3500" s="68" t="n">
        <x:f>IFERROR(H3500/I3500,"")</x:f>
        <x:v>0.5609756097560976</x:v>
      </x:c>
      <x:c r="K3500" s="69" t="n">
        <x:f>IFERROR(I3500/H3500,"")</x:f>
        <x:v>1.7826086956521738</x:v>
      </x:c>
      <x:c r="L3500" s="66" t="str">
        <x:f>IF(K3500="","","1 : "&amp;TEXT(K3500,"0.0"))</x:f>
        <x:v>1 : 1.8</x:v>
      </x:c>
      <x:c r="M3500" s="66" t="str">
        <x:f>IF(J3500="","Baru/Tanpa Data",IF(J3500&lt;='Catatan &amp; Sumber'!$B$14,"Sangat Ketat",IF(J3500&lt;='Catatan &amp; Sumber'!$B$15,"Ketat",IF(J3500&lt;='Catatan &amp; Sumber'!$B$16,"Sedang","Relatif Longgar"))))</x:f>
        <x:v>Relatif Longgar</x:v>
      </x:c>
      <x:c r="N3500" s="66" t="str">
        <x:v>Tidak Ada</x:v>
      </x:c>
      <x:c r="O3500" s="66" t="str">
        <x:v>Kalimantan Barat</x:v>
      </x:c>
      <x:c r="P3500" s="66" t="str">
        <x:v>Kota Pontianak</x:v>
      </x:c>
      <x:c r="Q3500" s="66" t="str">
        <x:v>https://snpmb.id/snbp/daya-tampung-snbp</x:v>
      </x:c>
      <x:c r="R3500" s="66" t="str">
        <x:v>https://sidatagrun-public-1076756628210.asia-southeast2.run.app/ptn_sn.php?ptn=515</x:v>
      </x:c>
    </x:row>
    <x:row r="3501">
      <x:c r="A3501" s="87" t="n">
        <x:v>3427</x:v>
      </x:c>
      <x:c r="B3501" s="66" t="n">
        <x:v>515</x:v>
      </x:c>
      <x:c r="C3501" s="66" t="str">
        <x:v>POLITEKNIK NEGERI PONTIANAK</x:v>
      </x:c>
      <x:c r="D3501" s="66" t="str">
        <x:v>PTN Vokasi</x:v>
      </x:c>
      <x:c r="E3501" s="66" t="str">
        <x:v>25152009</x:v>
      </x:c>
      <x:c r="F3501" s="66" t="str">
        <x:v>AKUNTANSI SEKTOR PUBLIK</x:v>
      </x:c>
      <x:c r="G3501" s="66" t="str">
        <x:v>Sarjana Terapan</x:v>
      </x:c>
      <x:c r="H3501" s="87" t="n">
        <x:v>55</x:v>
      </x:c>
      <x:c r="I3501" s="87" t="n">
        <x:v>134</x:v>
      </x:c>
      <x:c r="J3501" s="68" t="n">
        <x:f>IFERROR(H3501/I3501,"")</x:f>
        <x:v>0.41044776119402987</x:v>
      </x:c>
      <x:c r="K3501" s="69" t="n">
        <x:f>IFERROR(I3501/H3501,"")</x:f>
        <x:v>2.4363636363636365</x:v>
      </x:c>
      <x:c r="L3501" s="66" t="str">
        <x:f>IF(K3501="","","1 : "&amp;TEXT(K3501,"0.0"))</x:f>
        <x:v>1 : 2.4</x:v>
      </x:c>
      <x:c r="M3501" s="66" t="str">
        <x:f>IF(J3501="","Baru/Tanpa Data",IF(J3501&lt;='Catatan &amp; Sumber'!$B$14,"Sangat Ketat",IF(J3501&lt;='Catatan &amp; Sumber'!$B$15,"Ketat",IF(J3501&lt;='Catatan &amp; Sumber'!$B$16,"Sedang","Relatif Longgar"))))</x:f>
        <x:v>Relatif Longgar</x:v>
      </x:c>
      <x:c r="N3501" s="66" t="str">
        <x:v>Tidak Ada</x:v>
      </x:c>
      <x:c r="O3501" s="66" t="str">
        <x:v>Kalimantan Barat</x:v>
      </x:c>
      <x:c r="P3501" s="66" t="str">
        <x:v>Kota Pontianak</x:v>
      </x:c>
      <x:c r="Q3501" s="66" t="str">
        <x:v>https://snpmb.id/snbp/daya-tampung-snbp</x:v>
      </x:c>
      <x:c r="R3501" s="66" t="str">
        <x:v>https://sidatagrun-public-1076756628210.asia-southeast2.run.app/ptn_sn.php?ptn=515</x:v>
      </x:c>
    </x:row>
    <x:row r="3502">
      <x:c r="A3502" s="87" t="n">
        <x:v>4223</x:v>
      </x:c>
      <x:c r="B3502" s="66" t="n">
        <x:v>515</x:v>
      </x:c>
      <x:c r="C3502" s="66" t="str">
        <x:v>POLITEKNIK NEGERI PONTIANAK</x:v>
      </x:c>
      <x:c r="D3502" s="66" t="str">
        <x:v>PTN Vokasi</x:v>
      </x:c>
      <x:c r="E3502" s="66" t="str">
        <x:v>25152013</x:v>
      </x:c>
      <x:c r="F3502" s="66" t="str">
        <x:v>PENGOLAHAN HASIL PERKEBUNAN TERPADU</x:v>
      </x:c>
      <x:c r="G3502" s="66" t="str">
        <x:v>Sarjana Terapan</x:v>
      </x:c>
      <x:c r="H3502" s="87" t="n">
        <x:v>30</x:v>
      </x:c>
      <x:c r="I3502" s="87" t="n">
        <x:v>34</x:v>
      </x:c>
      <x:c r="J3502" s="68" t="n">
        <x:f>IFERROR(H3502/I3502,"")</x:f>
        <x:v>0.8823529411764706</x:v>
      </x:c>
      <x:c r="K3502" s="69" t="n">
        <x:f>IFERROR(I3502/H3502,"")</x:f>
        <x:v>1.1333333333333333</x:v>
      </x:c>
      <x:c r="L3502" s="66" t="str">
        <x:f>IF(K3502="","","1 : "&amp;TEXT(K3502,"0.0"))</x:f>
        <x:v>1 : 1.1</x:v>
      </x:c>
      <x:c r="M3502" s="66" t="str">
        <x:f>IF(J3502="","Baru/Tanpa Data",IF(J3502&lt;='Catatan &amp; Sumber'!$B$14,"Sangat Ketat",IF(J3502&lt;='Catatan &amp; Sumber'!$B$15,"Ketat",IF(J3502&lt;='Catatan &amp; Sumber'!$B$16,"Sedang","Relatif Longgar"))))</x:f>
        <x:v>Relatif Longgar</x:v>
      </x:c>
      <x:c r="N3502" s="66" t="str">
        <x:v>Tidak Ada</x:v>
      </x:c>
      <x:c r="O3502" s="66" t="str">
        <x:v>Kalimantan Barat</x:v>
      </x:c>
      <x:c r="P3502" s="66" t="str">
        <x:v>Kota Pontianak</x:v>
      </x:c>
      <x:c r="Q3502" s="66" t="str">
        <x:v>https://snpmb.id/snbp/daya-tampung-snbp</x:v>
      </x:c>
      <x:c r="R3502" s="66" t="str">
        <x:v>https://sidatagrun-public-1076756628210.asia-southeast2.run.app/ptn_sn.php?ptn=515</x:v>
      </x:c>
    </x:row>
    <x:row r="3503">
      <x:c r="A3503" s="87" t="n">
        <x:v>3431</x:v>
      </x:c>
      <x:c r="B3503" s="66" t="n">
        <x:v>515</x:v>
      </x:c>
      <x:c r="C3503" s="66" t="str">
        <x:v>POLITEKNIK NEGERI PONTIANAK</x:v>
      </x:c>
      <x:c r="D3503" s="66" t="str">
        <x:v>PTN Vokasi</x:v>
      </x:c>
      <x:c r="E3503" s="66" t="str">
        <x:v>25152027</x:v>
      </x:c>
      <x:c r="F3503" s="66" t="str">
        <x:v>TEKNOLOGI REKAYASA SISTEM ELEKTRONIKA</x:v>
      </x:c>
      <x:c r="G3503" s="66" t="str">
        <x:v>Sarjana Terapan</x:v>
      </x:c>
      <x:c r="H3503" s="87" t="n">
        <x:v>21</x:v>
      </x:c>
      <x:c r="I3503" s="87" t="n">
        <x:v>51</x:v>
      </x:c>
      <x:c r="J3503" s="68" t="n">
        <x:f>IFERROR(H3503/I3503,"")</x:f>
        <x:v>0.4117647058823529</x:v>
      </x:c>
      <x:c r="K3503" s="69" t="n">
        <x:f>IFERROR(I3503/H3503,"")</x:f>
        <x:v>2.4285714285714284</x:v>
      </x:c>
      <x:c r="L3503" s="66" t="str">
        <x:f>IF(K3503="","","1 : "&amp;TEXT(K3503,"0.0"))</x:f>
        <x:v>1 : 2.4</x:v>
      </x:c>
      <x:c r="M3503" s="66" t="str">
        <x:f>IF(J3503="","Baru/Tanpa Data",IF(J3503&lt;='Catatan &amp; Sumber'!$B$14,"Sangat Ketat",IF(J3503&lt;='Catatan &amp; Sumber'!$B$15,"Ketat",IF(J3503&lt;='Catatan &amp; Sumber'!$B$16,"Sedang","Relatif Longgar"))))</x:f>
        <x:v>Relatif Longgar</x:v>
      </x:c>
      <x:c r="N3503" s="66" t="str">
        <x:v>Tidak Ada</x:v>
      </x:c>
      <x:c r="O3503" s="66" t="str">
        <x:v>Kalimantan Barat</x:v>
      </x:c>
      <x:c r="P3503" s="66" t="str">
        <x:v>Kota Pontianak</x:v>
      </x:c>
      <x:c r="Q3503" s="66" t="str">
        <x:v>https://snpmb.id/snbp/daya-tampung-snbp</x:v>
      </x:c>
      <x:c r="R3503" s="66" t="str">
        <x:v>https://sidatagrun-public-1076756628210.asia-southeast2.run.app/ptn_sn.php?ptn=515</x:v>
      </x:c>
    </x:row>
    <x:row r="3504">
      <x:c r="A3504" s="87" t="n">
        <x:v>4463</x:v>
      </x:c>
      <x:c r="B3504" s="66" t="n">
        <x:v>515</x:v>
      </x:c>
      <x:c r="C3504" s="66" t="str">
        <x:v>POLITEKNIK NEGERI PONTIANAK</x:v>
      </x:c>
      <x:c r="D3504" s="66" t="str">
        <x:v>PTN Vokasi</x:v>
      </x:c>
      <x:c r="E3504" s="66" t="str">
        <x:v>25152028</x:v>
      </x:c>
      <x:c r="F3504" s="66" t="str">
        <x:v>PENGELOLAAN USAHA REKREASI</x:v>
      </x:c>
      <x:c r="G3504" s="66" t="str">
        <x:v>Sarjana Terapan</x:v>
      </x:c>
      <x:c r="H3504" s="87" t="n">
        <x:v>15</x:v>
      </x:c>
      <x:c r="I3504" s="87" t="n">
        <x:v>12</x:v>
      </x:c>
      <x:c r="J3504" s="68" t="n">
        <x:f>IFERROR(H3504/I3504,"")</x:f>
        <x:v>1.25</x:v>
      </x:c>
      <x:c r="K3504" s="69" t="n">
        <x:f>IFERROR(I3504/H3504,"")</x:f>
        <x:v>0.8</x:v>
      </x:c>
      <x:c r="L3504" s="66" t="str">
        <x:f>IF(K3504="","","1 : "&amp;TEXT(K3504,"0.0"))</x:f>
        <x:v>1 : 0.8</x:v>
      </x:c>
      <x:c r="M3504" s="66" t="str">
        <x:f>IF(J3504="","Baru/Tanpa Data",IF(J3504&lt;='Catatan &amp; Sumber'!$B$14,"Sangat Ketat",IF(J3504&lt;='Catatan &amp; Sumber'!$B$15,"Ketat",IF(J3504&lt;='Catatan &amp; Sumber'!$B$16,"Sedang","Relatif Longgar"))))</x:f>
        <x:v>Relatif Longgar</x:v>
      </x:c>
      <x:c r="N3504" s="66" t="str">
        <x:v>Tidak Ada</x:v>
      </x:c>
      <x:c r="O3504" s="66" t="str">
        <x:v>Kalimantan Barat</x:v>
      </x:c>
      <x:c r="P3504" s="66" t="str">
        <x:v>Kota Pontianak</x:v>
      </x:c>
      <x:c r="Q3504" s="66" t="str">
        <x:v>https://snpmb.id/snbp/daya-tampung-snbp</x:v>
      </x:c>
      <x:c r="R3504" s="66" t="str">
        <x:v>https://sidatagrun-public-1076756628210.asia-southeast2.run.app/ptn_sn.php?ptn=515</x:v>
      </x:c>
    </x:row>
    <x:row r="3505">
      <x:c r="A3505" s="87" t="n">
        <x:v>4305</x:v>
      </x:c>
      <x:c r="B3505" s="66" t="n">
        <x:v>515</x:v>
      </x:c>
      <x:c r="C3505" s="66" t="str">
        <x:v>POLITEKNIK NEGERI PONTIANAK</x:v>
      </x:c>
      <x:c r="D3505" s="66" t="str">
        <x:v>PTN Vokasi</x:v>
      </x:c>
      <x:c r="E3505" s="66" t="str">
        <x:v>25152029</x:v>
      </x:c>
      <x:c r="F3505" s="66" t="str">
        <x:v>TEKNOLOGI REKAYASA KONSTRUKSI JALAN DAN JEMBATAN</x:v>
      </x:c>
      <x:c r="G3505" s="66" t="str">
        <x:v>Sarjana Terapan</x:v>
      </x:c>
      <x:c r="H3505" s="87" t="n">
        <x:v>20</x:v>
      </x:c>
      <x:c r="I3505" s="87" t="n">
        <x:v>20</x:v>
      </x:c>
      <x:c r="J3505" s="68" t="n">
        <x:f>IFERROR(H3505/I3505,"")</x:f>
        <x:v>1</x:v>
      </x:c>
      <x:c r="K3505" s="69" t="n">
        <x:f>IFERROR(I3505/H3505,"")</x:f>
        <x:v>1</x:v>
      </x:c>
      <x:c r="L3505" s="66" t="str">
        <x:f>IF(K3505="","","1 : "&amp;TEXT(K3505,"0.0"))</x:f>
        <x:v>1 : 1.0</x:v>
      </x:c>
      <x:c r="M3505" s="66" t="str">
        <x:f>IF(J3505="","Baru/Tanpa Data",IF(J3505&lt;='Catatan &amp; Sumber'!$B$14,"Sangat Ketat",IF(J3505&lt;='Catatan &amp; Sumber'!$B$15,"Ketat",IF(J3505&lt;='Catatan &amp; Sumber'!$B$16,"Sedang","Relatif Longgar"))))</x:f>
        <x:v>Relatif Longgar</x:v>
      </x:c>
      <x:c r="N3505" s="66" t="str">
        <x:v>Tidak Ada</x:v>
      </x:c>
      <x:c r="O3505" s="66" t="str">
        <x:v>Kalimantan Barat</x:v>
      </x:c>
      <x:c r="P3505" s="66" t="str">
        <x:v>Kota Pontianak</x:v>
      </x:c>
      <x:c r="Q3505" s="66" t="str">
        <x:v>https://snpmb.id/snbp/daya-tampung-snbp</x:v>
      </x:c>
      <x:c r="R3505" s="66" t="str">
        <x:v>https://sidatagrun-public-1076756628210.asia-southeast2.run.app/ptn_sn.php?ptn=515</x:v>
      </x:c>
    </x:row>
    <x:row r="3506">
      <x:c r="A3506" s="87" t="n">
        <x:v>4899</x:v>
      </x:c>
      <x:c r="B3506" s="66" t="n">
        <x:v>515</x:v>
      </x:c>
      <x:c r="C3506" s="66" t="str">
        <x:v>POLITEKNIK NEGERI PONTIANAK</x:v>
      </x:c>
      <x:c r="D3506" s="66" t="str">
        <x:v>PTN Vokasi</x:v>
      </x:c>
      <x:c r="E3506" s="66" t="str">
        <x:v>25152032</x:v>
      </x:c>
      <x:c r="F3506" s="66" t="str">
        <x:v>AKUNTANSI SEKTOR PUBLIK (KAMPUS KAB.SUKAMARA)</x:v>
      </x:c>
      <x:c r="G3506" s="66" t="str">
        <x:v>Sarjana Terapan</x:v>
      </x:c>
      <x:c r="H3506" s="87" t="n">
        <x:v>15</x:v>
      </x:c>
      <x:c r="I3506" s="87" t="n">
        <x:v>1</x:v>
      </x:c>
      <x:c r="J3506" s="68" t="n">
        <x:f>IFERROR(H3506/I3506,"")</x:f>
        <x:v>15</x:v>
      </x:c>
      <x:c r="K3506" s="69" t="n">
        <x:f>IFERROR(I3506/H3506,"")</x:f>
        <x:v>0.06666666666666667</x:v>
      </x:c>
      <x:c r="L3506" s="66" t="str">
        <x:f>IF(K3506="","","1 : "&amp;TEXT(K3506,"0.0"))</x:f>
        <x:v>1 : 0.1</x:v>
      </x:c>
      <x:c r="M3506" s="66" t="str">
        <x:f>IF(J3506="","Baru/Tanpa Data",IF(J3506&lt;='Catatan &amp; Sumber'!$B$14,"Sangat Ketat",IF(J3506&lt;='Catatan &amp; Sumber'!$B$15,"Ketat",IF(J3506&lt;='Catatan &amp; Sumber'!$B$16,"Sedang","Relatif Longgar"))))</x:f>
        <x:v>Relatif Longgar</x:v>
      </x:c>
      <x:c r="N3506" s="66" t="str">
        <x:v>Tidak Ada</x:v>
      </x:c>
      <x:c r="O3506" s="66" t="str">
        <x:v>Kalimantan Barat</x:v>
      </x:c>
      <x:c r="P3506" s="66" t="str">
        <x:v>Kota Pontianak</x:v>
      </x:c>
      <x:c r="Q3506" s="66" t="str">
        <x:v>https://snpmb.id/snbp/daya-tampung-snbp</x:v>
      </x:c>
      <x:c r="R3506" s="66" t="str">
        <x:v>https://sidatagrun-public-1076756628210.asia-southeast2.run.app/ptn_sn.php?ptn=515</x:v>
      </x:c>
    </x:row>
    <x:row r="3507">
      <x:c r="A3507" s="87" t="n">
        <x:v>4439</x:v>
      </x:c>
      <x:c r="B3507" s="66" t="n">
        <x:v>515</x:v>
      </x:c>
      <x:c r="C3507" s="66" t="str">
        <x:v>POLITEKNIK NEGERI PONTIANAK</x:v>
      </x:c>
      <x:c r="D3507" s="66" t="str">
        <x:v>PTN Vokasi</x:v>
      </x:c>
      <x:c r="E3507" s="66" t="str">
        <x:v>25152033</x:v>
      </x:c>
      <x:c r="F3507" s="66" t="str">
        <x:v>PENGOLAHAN DAN PENYIMPANAN HASIL PERIKANAN</x:v>
      </x:c>
      <x:c r="G3507" s="66" t="str">
        <x:v>Sarjana Terapan</x:v>
      </x:c>
      <x:c r="H3507" s="87" t="n">
        <x:v>12</x:v>
      </x:c>
      <x:c r="I3507" s="87" t="n">
        <x:v>10</x:v>
      </x:c>
      <x:c r="J3507" s="68" t="n">
        <x:f>IFERROR(H3507/I3507,"")</x:f>
        <x:v>1.2</x:v>
      </x:c>
      <x:c r="K3507" s="69" t="n">
        <x:f>IFERROR(I3507/H3507,"")</x:f>
        <x:v>0.8333333333333334</x:v>
      </x:c>
      <x:c r="L3507" s="66" t="str">
        <x:f>IF(K3507="","","1 : "&amp;TEXT(K3507,"0.0"))</x:f>
        <x:v>1 : 0.8</x:v>
      </x:c>
      <x:c r="M3507" s="66" t="str">
        <x:f>IF(J3507="","Baru/Tanpa Data",IF(J3507&lt;='Catatan &amp; Sumber'!$B$14,"Sangat Ketat",IF(J3507&lt;='Catatan &amp; Sumber'!$B$15,"Ketat",IF(J3507&lt;='Catatan &amp; Sumber'!$B$16,"Sedang","Relatif Longgar"))))</x:f>
        <x:v>Relatif Longgar</x:v>
      </x:c>
      <x:c r="N3507" s="66" t="str">
        <x:v>Tidak Ada</x:v>
      </x:c>
      <x:c r="O3507" s="66" t="str">
        <x:v>Kalimantan Barat</x:v>
      </x:c>
      <x:c r="P3507" s="66" t="str">
        <x:v>Kota Pontianak</x:v>
      </x:c>
      <x:c r="Q3507" s="66" t="str">
        <x:v>https://snpmb.id/snbp/daya-tampung-snbp</x:v>
      </x:c>
      <x:c r="R3507" s="66" t="str">
        <x:v>https://sidatagrun-public-1076756628210.asia-southeast2.run.app/ptn_sn.php?ptn=515</x:v>
      </x:c>
    </x:row>
    <x:row r="3508">
      <x:c r="A3508" s="87" t="n">
        <x:v>2383</x:v>
      </x:c>
      <x:c r="B3508" s="66" t="n">
        <x:v>515</x:v>
      </x:c>
      <x:c r="C3508" s="66" t="str">
        <x:v>POLITEKNIK NEGERI PONTIANAK</x:v>
      </x:c>
      <x:c r="D3508" s="66" t="str">
        <x:v>PTN Vokasi</x:v>
      </x:c>
      <x:c r="E3508" s="66" t="str">
        <x:v>25152034</x:v>
      </x:c>
      <x:c r="F3508" s="66" t="str">
        <x:v>AKUNTANSI PERPAJAKAN</x:v>
      </x:c>
      <x:c r="G3508" s="66" t="str">
        <x:v>Sarjana Terapan</x:v>
      </x:c>
      <x:c r="H3508" s="87" t="n">
        <x:v>18</x:v>
      </x:c>
      <x:c r="I3508" s="87" t="n">
        <x:v>93</x:v>
      </x:c>
      <x:c r="J3508" s="68" t="n">
        <x:f>IFERROR(H3508/I3508,"")</x:f>
        <x:v>0.1935483870967742</x:v>
      </x:c>
      <x:c r="K3508" s="69" t="n">
        <x:f>IFERROR(I3508/H3508,"")</x:f>
        <x:v>5.166666666666667</x:v>
      </x:c>
      <x:c r="L3508" s="66" t="str">
        <x:f>IF(K3508="","","1 : "&amp;TEXT(K3508,"0.0"))</x:f>
        <x:v>1 : 5.2</x:v>
      </x:c>
      <x:c r="M3508" s="66" t="str">
        <x:f>IF(J3508="","Baru/Tanpa Data",IF(J3508&lt;='Catatan &amp; Sumber'!$B$14,"Sangat Ketat",IF(J3508&lt;='Catatan &amp; Sumber'!$B$15,"Ketat",IF(J3508&lt;='Catatan &amp; Sumber'!$B$16,"Sedang","Relatif Longgar"))))</x:f>
        <x:v>Relatif Longgar</x:v>
      </x:c>
      <x:c r="N3508" s="66" t="str">
        <x:v>Tidak Ada</x:v>
      </x:c>
      <x:c r="O3508" s="66" t="str">
        <x:v>Kalimantan Barat</x:v>
      </x:c>
      <x:c r="P3508" s="66" t="str">
        <x:v>Kota Pontianak</x:v>
      </x:c>
      <x:c r="Q3508" s="66" t="str">
        <x:v>https://snpmb.id/snbp/daya-tampung-snbp</x:v>
      </x:c>
      <x:c r="R3508" s="66" t="str">
        <x:v>https://sidatagrun-public-1076756628210.asia-southeast2.run.app/ptn_sn.php?ptn=515</x:v>
      </x:c>
    </x:row>
    <x:row r="3509">
      <x:c r="A3509" s="87" t="n">
        <x:v>3337</x:v>
      </x:c>
      <x:c r="B3509" s="66" t="n">
        <x:v>515</x:v>
      </x:c>
      <x:c r="C3509" s="66" t="str">
        <x:v>POLITEKNIK NEGERI PONTIANAK</x:v>
      </x:c>
      <x:c r="D3509" s="66" t="str">
        <x:v>PTN Vokasi</x:v>
      </x:c>
      <x:c r="E3509" s="66" t="str">
        <x:v>25152035</x:v>
      </x:c>
      <x:c r="F3509" s="66" t="str">
        <x:v>PERBANKAN DAN KEUANGAN DIGITAL</x:v>
      </x:c>
      <x:c r="G3509" s="66" t="str">
        <x:v>Sarjana Terapan</x:v>
      </x:c>
      <x:c r="H3509" s="87" t="n">
        <x:v>18</x:v>
      </x:c>
      <x:c r="I3509" s="87" t="n">
        <x:v>47</x:v>
      </x:c>
      <x:c r="J3509" s="68" t="n">
        <x:f>IFERROR(H3509/I3509,"")</x:f>
        <x:v>0.3829787234042553</x:v>
      </x:c>
      <x:c r="K3509" s="69" t="n">
        <x:f>IFERROR(I3509/H3509,"")</x:f>
        <x:v>2.611111111111111</x:v>
      </x:c>
      <x:c r="L3509" s="66" t="str">
        <x:f>IF(K3509="","","1 : "&amp;TEXT(K3509,"0.0"))</x:f>
        <x:v>1 : 2.6</x:v>
      </x:c>
      <x:c r="M3509" s="66" t="str">
        <x:f>IF(J3509="","Baru/Tanpa Data",IF(J3509&lt;='Catatan &amp; Sumber'!$B$14,"Sangat Ketat",IF(J3509&lt;='Catatan &amp; Sumber'!$B$15,"Ketat",IF(J3509&lt;='Catatan &amp; Sumber'!$B$16,"Sedang","Relatif Longgar"))))</x:f>
        <x:v>Relatif Longgar</x:v>
      </x:c>
      <x:c r="N3509" s="66" t="str">
        <x:v>Tidak Ada</x:v>
      </x:c>
      <x:c r="O3509" s="66" t="str">
        <x:v>Kalimantan Barat</x:v>
      </x:c>
      <x:c r="P3509" s="66" t="str">
        <x:v>Kota Pontianak</x:v>
      </x:c>
      <x:c r="Q3509" s="66" t="str">
        <x:v>https://snpmb.id/snbp/daya-tampung-snbp</x:v>
      </x:c>
      <x:c r="R3509" s="66" t="str">
        <x:v>https://sidatagrun-public-1076756628210.asia-southeast2.run.app/ptn_sn.php?ptn=515</x:v>
      </x:c>
    </x:row>
    <x:row r="3510">
      <x:c r="A3510" s="87" t="n">
        <x:v>4599</x:v>
      </x:c>
      <x:c r="B3510" s="66" t="n">
        <x:v>515</x:v>
      </x:c>
      <x:c r="C3510" s="66" t="str">
        <x:v>POLITEKNIK NEGERI PONTIANAK</x:v>
      </x:c>
      <x:c r="D3510" s="66" t="str">
        <x:v>PTN Vokasi</x:v>
      </x:c>
      <x:c r="E3510" s="66" t="str">
        <x:v>25153010</x:v>
      </x:c>
      <x:c r="F3510" s="66" t="str">
        <x:v>BUDIDAYA PERIKANAN</x:v>
      </x:c>
      <x:c r="G3510" s="66" t="str">
        <x:v>Diploma Tiga</x:v>
      </x:c>
      <x:c r="H3510" s="87" t="n">
        <x:v>18</x:v>
      </x:c>
      <x:c r="I3510" s="87" t="n">
        <x:v>11</x:v>
      </x:c>
      <x:c r="J3510" s="68" t="n">
        <x:f>IFERROR(H3510/I3510,"")</x:f>
        <x:v>1.6363636363636365</x:v>
      </x:c>
      <x:c r="K3510" s="69" t="n">
        <x:f>IFERROR(I3510/H3510,"")</x:f>
        <x:v>0.6111111111111112</x:v>
      </x:c>
      <x:c r="L3510" s="66" t="str">
        <x:f>IF(K3510="","","1 : "&amp;TEXT(K3510,"0.0"))</x:f>
        <x:v>1 : 0.6</x:v>
      </x:c>
      <x:c r="M3510" s="66" t="str">
        <x:f>IF(J3510="","Baru/Tanpa Data",IF(J3510&lt;='Catatan &amp; Sumber'!$B$14,"Sangat Ketat",IF(J3510&lt;='Catatan &amp; Sumber'!$B$15,"Ketat",IF(J3510&lt;='Catatan &amp; Sumber'!$B$16,"Sedang","Relatif Longgar"))))</x:f>
        <x:v>Relatif Longgar</x:v>
      </x:c>
      <x:c r="N3510" s="66" t="str">
        <x:v>Tidak Ada</x:v>
      </x:c>
      <x:c r="O3510" s="66" t="str">
        <x:v>Kalimantan Barat</x:v>
      </x:c>
      <x:c r="P3510" s="66" t="str">
        <x:v>Kota Pontianak</x:v>
      </x:c>
      <x:c r="Q3510" s="66" t="str">
        <x:v>https://snpmb.id/snbp/daya-tampung-snbp</x:v>
      </x:c>
      <x:c r="R3510" s="66" t="str">
        <x:v>https://sidatagrun-public-1076756628210.asia-southeast2.run.app/ptn_sn.php?ptn=515</x:v>
      </x:c>
    </x:row>
    <x:row r="3511">
      <x:c r="A3511" s="87" t="n">
        <x:v>4652</x:v>
      </x:c>
      <x:c r="B3511" s="66" t="n">
        <x:v>515</x:v>
      </x:c>
      <x:c r="C3511" s="66" t="str">
        <x:v>POLITEKNIK NEGERI PONTIANAK</x:v>
      </x:c>
      <x:c r="D3511" s="66" t="str">
        <x:v>PTN Vokasi</x:v>
      </x:c>
      <x:c r="E3511" s="66" t="str">
        <x:v>25153011</x:v>
      </x:c>
      <x:c r="F3511" s="66" t="str">
        <x:v>TEKNOLOGI BUDIDAYA PERIKANAN K. KAB. KAPUAS HULU</x:v>
      </x:c>
      <x:c r="G3511" s="66" t="str">
        <x:v>Diploma Tiga</x:v>
      </x:c>
      <x:c r="H3511" s="87" t="n">
        <x:v>6</x:v>
      </x:c>
      <x:c r="I3511" s="87" t="n">
        <x:v>3</x:v>
      </x:c>
      <x:c r="J3511" s="68" t="n">
        <x:f>IFERROR(H3511/I3511,"")</x:f>
        <x:v>2</x:v>
      </x:c>
      <x:c r="K3511" s="69" t="n">
        <x:f>IFERROR(I3511/H3511,"")</x:f>
        <x:v>0.5</x:v>
      </x:c>
      <x:c r="L3511" s="66" t="str">
        <x:f>IF(K3511="","","1 : "&amp;TEXT(K3511,"0.0"))</x:f>
        <x:v>1 : 0.5</x:v>
      </x:c>
      <x:c r="M3511" s="66" t="str">
        <x:f>IF(J3511="","Baru/Tanpa Data",IF(J3511&lt;='Catatan &amp; Sumber'!$B$14,"Sangat Ketat",IF(J3511&lt;='Catatan &amp; Sumber'!$B$15,"Ketat",IF(J3511&lt;='Catatan &amp; Sumber'!$B$16,"Sedang","Relatif Longgar"))))</x:f>
        <x:v>Relatif Longgar</x:v>
      </x:c>
      <x:c r="N3511" s="66" t="str">
        <x:v>Tidak Ada</x:v>
      </x:c>
      <x:c r="O3511" s="66" t="str">
        <x:v>Kalimantan Barat</x:v>
      </x:c>
      <x:c r="P3511" s="66" t="str">
        <x:v>Kota Pontianak</x:v>
      </x:c>
      <x:c r="Q3511" s="66" t="str">
        <x:v>https://snpmb.id/snbp/daya-tampung-snbp</x:v>
      </x:c>
      <x:c r="R3511" s="66" t="str">
        <x:v>https://sidatagrun-public-1076756628210.asia-southeast2.run.app/ptn_sn.php?ptn=515</x:v>
      </x:c>
    </x:row>
    <x:row r="3512">
      <x:c r="A3512" s="87" t="n">
        <x:v>4602</x:v>
      </x:c>
      <x:c r="B3512" s="66" t="n">
        <x:v>515</x:v>
      </x:c>
      <x:c r="C3512" s="66" t="str">
        <x:v>POLITEKNIK NEGERI PONTIANAK</x:v>
      </x:c>
      <x:c r="D3512" s="66" t="str">
        <x:v>PTN Vokasi</x:v>
      </x:c>
      <x:c r="E3512" s="66" t="str">
        <x:v>25153012</x:v>
      </x:c>
      <x:c r="F3512" s="66" t="str">
        <x:v>PENGELOLAAN HASIL PERKEBUNAN (KAMPUS KAB. SANGGAU)</x:v>
      </x:c>
      <x:c r="G3512" s="66" t="str">
        <x:v>Diploma Tiga</x:v>
      </x:c>
      <x:c r="H3512" s="87" t="n">
        <x:v>15</x:v>
      </x:c>
      <x:c r="I3512" s="87" t="n">
        <x:v>9</x:v>
      </x:c>
      <x:c r="J3512" s="68" t="n">
        <x:f>IFERROR(H3512/I3512,"")</x:f>
        <x:v>1.6666666666666667</x:v>
      </x:c>
      <x:c r="K3512" s="69" t="n">
        <x:f>IFERROR(I3512/H3512,"")</x:f>
        <x:v>0.6</x:v>
      </x:c>
      <x:c r="L3512" s="66" t="str">
        <x:f>IF(K3512="","","1 : "&amp;TEXT(K3512,"0.0"))</x:f>
        <x:v>1 : 0.6</x:v>
      </x:c>
      <x:c r="M3512" s="66" t="str">
        <x:f>IF(J3512="","Baru/Tanpa Data",IF(J3512&lt;='Catatan &amp; Sumber'!$B$14,"Sangat Ketat",IF(J3512&lt;='Catatan &amp; Sumber'!$B$15,"Ketat",IF(J3512&lt;='Catatan &amp; Sumber'!$B$16,"Sedang","Relatif Longgar"))))</x:f>
        <x:v>Relatif Longgar</x:v>
      </x:c>
      <x:c r="N3512" s="66" t="str">
        <x:v>Tidak Ada</x:v>
      </x:c>
      <x:c r="O3512" s="66" t="str">
        <x:v>Kalimantan Barat</x:v>
      </x:c>
      <x:c r="P3512" s="66" t="str">
        <x:v>Kota Pontianak</x:v>
      </x:c>
      <x:c r="Q3512" s="66" t="str">
        <x:v>https://snpmb.id/snbp/daya-tampung-snbp</x:v>
      </x:c>
      <x:c r="R3512" s="66" t="str">
        <x:v>https://sidatagrun-public-1076756628210.asia-southeast2.run.app/ptn_sn.php?ptn=515</x:v>
      </x:c>
    </x:row>
    <x:row r="3513">
      <x:c r="A3513" s="87" t="n">
        <x:v>2611</x:v>
      </x:c>
      <x:c r="B3513" s="66" t="n">
        <x:v>515</x:v>
      </x:c>
      <x:c r="C3513" s="66" t="str">
        <x:v>POLITEKNIK NEGERI PONTIANAK</x:v>
      </x:c>
      <x:c r="D3513" s="66" t="str">
        <x:v>PTN Vokasi</x:v>
      </x:c>
      <x:c r="E3513" s="66" t="str">
        <x:v>25153014</x:v>
      </x:c>
      <x:c r="F3513" s="66" t="str">
        <x:v>TEKNIK INFORMATIKA</x:v>
      </x:c>
      <x:c r="G3513" s="66" t="str">
        <x:v>Diploma Tiga</x:v>
      </x:c>
      <x:c r="H3513" s="87" t="n">
        <x:v>37</x:v>
      </x:c>
      <x:c r="I3513" s="87" t="n">
        <x:v>161</x:v>
      </x:c>
      <x:c r="J3513" s="68" t="n">
        <x:f>IFERROR(H3513/I3513,"")</x:f>
        <x:v>0.22981366459627328</x:v>
      </x:c>
      <x:c r="K3513" s="69" t="n">
        <x:f>IFERROR(I3513/H3513,"")</x:f>
        <x:v>4.351351351351352</x:v>
      </x:c>
      <x:c r="L3513" s="66" t="str">
        <x:f>IF(K3513="","","1 : "&amp;TEXT(K3513,"0.0"))</x:f>
        <x:v>1 : 4.4</x:v>
      </x:c>
      <x:c r="M3513" s="66" t="str">
        <x:f>IF(J3513="","Baru/Tanpa Data",IF(J3513&lt;='Catatan &amp; Sumber'!$B$14,"Sangat Ketat",IF(J3513&lt;='Catatan &amp; Sumber'!$B$15,"Ketat",IF(J3513&lt;='Catatan &amp; Sumber'!$B$16,"Sedang","Relatif Longgar"))))</x:f>
        <x:v>Relatif Longgar</x:v>
      </x:c>
      <x:c r="N3513" s="66" t="str">
        <x:v>Tidak Ada</x:v>
      </x:c>
      <x:c r="O3513" s="66" t="str">
        <x:v>Kalimantan Barat</x:v>
      </x:c>
      <x:c r="P3513" s="66" t="str">
        <x:v>Kota Pontianak</x:v>
      </x:c>
      <x:c r="Q3513" s="66" t="str">
        <x:v>https://snpmb.id/snbp/daya-tampung-snbp</x:v>
      </x:c>
      <x:c r="R3513" s="66" t="str">
        <x:v>https://sidatagrun-public-1076756628210.asia-southeast2.run.app/ptn_sn.php?ptn=515</x:v>
      </x:c>
    </x:row>
    <x:row r="3514">
      <x:c r="A3514" s="87" t="n">
        <x:v>2827</x:v>
      </x:c>
      <x:c r="B3514" s="66" t="n">
        <x:v>515</x:v>
      </x:c>
      <x:c r="C3514" s="66" t="str">
        <x:v>POLITEKNIK NEGERI PONTIANAK</x:v>
      </x:c>
      <x:c r="D3514" s="66" t="str">
        <x:v>PTN Vokasi</x:v>
      </x:c>
      <x:c r="E3514" s="66" t="str">
        <x:v>25153015</x:v>
      </x:c>
      <x:c r="F3514" s="66" t="str">
        <x:v>TEKNIK LISTRIK</x:v>
      </x:c>
      <x:c r="G3514" s="66" t="str">
        <x:v>Diploma Tiga</x:v>
      </x:c>
      <x:c r="H3514" s="87" t="n">
        <x:v>21</x:v>
      </x:c>
      <x:c r="I3514" s="87" t="n">
        <x:v>80</x:v>
      </x:c>
      <x:c r="J3514" s="68" t="n">
        <x:f>IFERROR(H3514/I3514,"")</x:f>
        <x:v>0.2625</x:v>
      </x:c>
      <x:c r="K3514" s="69" t="n">
        <x:f>IFERROR(I3514/H3514,"")</x:f>
        <x:v>3.8095238095238093</x:v>
      </x:c>
      <x:c r="L3514" s="66" t="str">
        <x:f>IF(K3514="","","1 : "&amp;TEXT(K3514,"0.0"))</x:f>
        <x:v>1 : 3.8</x:v>
      </x:c>
      <x:c r="M3514" s="66" t="str">
        <x:f>IF(J3514="","Baru/Tanpa Data",IF(J3514&lt;='Catatan &amp; Sumber'!$B$14,"Sangat Ketat",IF(J3514&lt;='Catatan &amp; Sumber'!$B$15,"Ketat",IF(J3514&lt;='Catatan &amp; Sumber'!$B$16,"Sedang","Relatif Longgar"))))</x:f>
        <x:v>Relatif Longgar</x:v>
      </x:c>
      <x:c r="N3514" s="66" t="str">
        <x:v>Tidak Ada</x:v>
      </x:c>
      <x:c r="O3514" s="66" t="str">
        <x:v>Kalimantan Barat</x:v>
      </x:c>
      <x:c r="P3514" s="66" t="str">
        <x:v>Kota Pontianak</x:v>
      </x:c>
      <x:c r="Q3514" s="66" t="str">
        <x:v>https://snpmb.id/snbp/daya-tampung-snbp</x:v>
      </x:c>
      <x:c r="R3514" s="66" t="str">
        <x:v>https://sidatagrun-public-1076756628210.asia-southeast2.run.app/ptn_sn.php?ptn=515</x:v>
      </x:c>
    </x:row>
    <x:row r="3515">
      <x:c r="A3515" s="87" t="n">
        <x:v>2319</x:v>
      </x:c>
      <x:c r="B3515" s="66" t="n">
        <x:v>515</x:v>
      </x:c>
      <x:c r="C3515" s="66" t="str">
        <x:v>POLITEKNIK NEGERI PONTIANAK</x:v>
      </x:c>
      <x:c r="D3515" s="66" t="str">
        <x:v>PTN Vokasi</x:v>
      </x:c>
      <x:c r="E3515" s="66" t="str">
        <x:v>25153016</x:v>
      </x:c>
      <x:c r="F3515" s="66" t="str">
        <x:v>ADMINISTRASI BISNIS</x:v>
      </x:c>
      <x:c r="G3515" s="66" t="str">
        <x:v>Diploma Tiga</x:v>
      </x:c>
      <x:c r="H3515" s="87" t="n">
        <x:v>45</x:v>
      </x:c>
      <x:c r="I3515" s="87" t="n">
        <x:v>242</x:v>
      </x:c>
      <x:c r="J3515" s="68" t="n">
        <x:f>IFERROR(H3515/I3515,"")</x:f>
        <x:v>0.1859504132231405</x:v>
      </x:c>
      <x:c r="K3515" s="69" t="n">
        <x:f>IFERROR(I3515/H3515,"")</x:f>
        <x:v>5.377777777777778</x:v>
      </x:c>
      <x:c r="L3515" s="66" t="str">
        <x:f>IF(K3515="","","1 : "&amp;TEXT(K3515,"0.0"))</x:f>
        <x:v>1 : 5.4</x:v>
      </x:c>
      <x:c r="M3515" s="66" t="str">
        <x:f>IF(J3515="","Baru/Tanpa Data",IF(J3515&lt;='Catatan &amp; Sumber'!$B$14,"Sangat Ketat",IF(J3515&lt;='Catatan &amp; Sumber'!$B$15,"Ketat",IF(J3515&lt;='Catatan &amp; Sumber'!$B$16,"Sedang","Relatif Longgar"))))</x:f>
        <x:v>Relatif Longgar</x:v>
      </x:c>
      <x:c r="N3515" s="66" t="str">
        <x:v>Tidak Ada</x:v>
      </x:c>
      <x:c r="O3515" s="66" t="str">
        <x:v>Kalimantan Barat</x:v>
      </x:c>
      <x:c r="P3515" s="66" t="str">
        <x:v>Kota Pontianak</x:v>
      </x:c>
      <x:c r="Q3515" s="66" t="str">
        <x:v>https://snpmb.id/snbp/daya-tampung-snbp</x:v>
      </x:c>
      <x:c r="R3515" s="66" t="str">
        <x:v>https://sidatagrun-public-1076756628210.asia-southeast2.run.app/ptn_sn.php?ptn=515</x:v>
      </x:c>
    </x:row>
    <x:row r="3516">
      <x:c r="A3516" s="87" t="n">
        <x:v>3428</x:v>
      </x:c>
      <x:c r="B3516" s="66" t="n">
        <x:v>515</x:v>
      </x:c>
      <x:c r="C3516" s="66" t="str">
        <x:v>POLITEKNIK NEGERI PONTIANAK</x:v>
      </x:c>
      <x:c r="D3516" s="66" t="str">
        <x:v>PTN Vokasi</x:v>
      </x:c>
      <x:c r="E3516" s="66" t="str">
        <x:v>25153017</x:v>
      </x:c>
      <x:c r="F3516" s="66" t="str">
        <x:v>TEKNIK MESIN</x:v>
      </x:c>
      <x:c r="G3516" s="66" t="str">
        <x:v>Diploma Tiga</x:v>
      </x:c>
      <x:c r="H3516" s="87" t="n">
        <x:v>23</x:v>
      </x:c>
      <x:c r="I3516" s="87" t="n">
        <x:v>56</x:v>
      </x:c>
      <x:c r="J3516" s="68" t="n">
        <x:f>IFERROR(H3516/I3516,"")</x:f>
        <x:v>0.4107142857142857</x:v>
      </x:c>
      <x:c r="K3516" s="69" t="n">
        <x:f>IFERROR(I3516/H3516,"")</x:f>
        <x:v>2.4347826086956523</x:v>
      </x:c>
      <x:c r="L3516" s="66" t="str">
        <x:f>IF(K3516="","","1 : "&amp;TEXT(K3516,"0.0"))</x:f>
        <x:v>1 : 2.4</x:v>
      </x:c>
      <x:c r="M3516" s="66" t="str">
        <x:f>IF(J3516="","Baru/Tanpa Data",IF(J3516&lt;='Catatan &amp; Sumber'!$B$14,"Sangat Ketat",IF(J3516&lt;='Catatan &amp; Sumber'!$B$15,"Ketat",IF(J3516&lt;='Catatan &amp; Sumber'!$B$16,"Sedang","Relatif Longgar"))))</x:f>
        <x:v>Relatif Longgar</x:v>
      </x:c>
      <x:c r="N3516" s="66" t="str">
        <x:v>Tidak Ada</x:v>
      </x:c>
      <x:c r="O3516" s="66" t="str">
        <x:v>Kalimantan Barat</x:v>
      </x:c>
      <x:c r="P3516" s="66" t="str">
        <x:v>Kota Pontianak</x:v>
      </x:c>
      <x:c r="Q3516" s="66" t="str">
        <x:v>https://snpmb.id/snbp/daya-tampung-snbp</x:v>
      </x:c>
      <x:c r="R3516" s="66" t="str">
        <x:v>https://sidatagrun-public-1076756628210.asia-southeast2.run.app/ptn_sn.php?ptn=515</x:v>
      </x:c>
    </x:row>
    <x:row r="3517">
      <x:c r="A3517" s="87" t="n">
        <x:v>4037</x:v>
      </x:c>
      <x:c r="B3517" s="66" t="n">
        <x:v>515</x:v>
      </x:c>
      <x:c r="C3517" s="66" t="str">
        <x:v>POLITEKNIK NEGERI PONTIANAK</x:v>
      </x:c>
      <x:c r="D3517" s="66" t="str">
        <x:v>PTN Vokasi</x:v>
      </x:c>
      <x:c r="E3517" s="66" t="str">
        <x:v>25153018</x:v>
      </x:c>
      <x:c r="F3517" s="66" t="str">
        <x:v>ARSITEKTUR</x:v>
      </x:c>
      <x:c r="G3517" s="66" t="str">
        <x:v>Diploma Tiga</x:v>
      </x:c>
      <x:c r="H3517" s="87" t="n">
        <x:v>30</x:v>
      </x:c>
      <x:c r="I3517" s="87" t="n">
        <x:v>42</x:v>
      </x:c>
      <x:c r="J3517" s="68" t="n">
        <x:f>IFERROR(H3517/I3517,"")</x:f>
        <x:v>0.7142857142857143</x:v>
      </x:c>
      <x:c r="K3517" s="69" t="n">
        <x:f>IFERROR(I3517/H3517,"")</x:f>
        <x:v>1.4</x:v>
      </x:c>
      <x:c r="L3517" s="66" t="str">
        <x:f>IF(K3517="","","1 : "&amp;TEXT(K3517,"0.0"))</x:f>
        <x:v>1 : 1.4</x:v>
      </x:c>
      <x:c r="M3517" s="66" t="str">
        <x:f>IF(J3517="","Baru/Tanpa Data",IF(J3517&lt;='Catatan &amp; Sumber'!$B$14,"Sangat Ketat",IF(J3517&lt;='Catatan &amp; Sumber'!$B$15,"Ketat",IF(J3517&lt;='Catatan &amp; Sumber'!$B$16,"Sedang","Relatif Longgar"))))</x:f>
        <x:v>Relatif Longgar</x:v>
      </x:c>
      <x:c r="N3517" s="66" t="str">
        <x:v>Tidak Ada</x:v>
      </x:c>
      <x:c r="O3517" s="66" t="str">
        <x:v>Kalimantan Barat</x:v>
      </x:c>
      <x:c r="P3517" s="66" t="str">
        <x:v>Kota Pontianak</x:v>
      </x:c>
      <x:c r="Q3517" s="66" t="str">
        <x:v>https://snpmb.id/snbp/daya-tampung-snbp</x:v>
      </x:c>
      <x:c r="R3517" s="66" t="str">
        <x:v>https://sidatagrun-public-1076756628210.asia-southeast2.run.app/ptn_sn.php?ptn=515</x:v>
      </x:c>
    </x:row>
    <x:row r="3518">
      <x:c r="A3518" s="87" t="n">
        <x:v>4474</x:v>
      </x:c>
      <x:c r="B3518" s="66" t="n">
        <x:v>515</x:v>
      </x:c>
      <x:c r="C3518" s="66" t="str">
        <x:v>POLITEKNIK NEGERI PONTIANAK</x:v>
      </x:c>
      <x:c r="D3518" s="66" t="str">
        <x:v>PTN Vokasi</x:v>
      </x:c>
      <x:c r="E3518" s="66" t="str">
        <x:v>25153019</x:v>
      </x:c>
      <x:c r="F3518" s="66" t="str">
        <x:v>AKUNTANSI (KAMPUS KAB. SANGGAU)</x:v>
      </x:c>
      <x:c r="G3518" s="66" t="str">
        <x:v>Diploma Tiga</x:v>
      </x:c>
      <x:c r="H3518" s="87" t="n">
        <x:v>23</x:v>
      </x:c>
      <x:c r="I3518" s="87" t="n">
        <x:v>18</x:v>
      </x:c>
      <x:c r="J3518" s="68" t="n">
        <x:f>IFERROR(H3518/I3518,"")</x:f>
        <x:v>1.2777777777777777</x:v>
      </x:c>
      <x:c r="K3518" s="69" t="n">
        <x:f>IFERROR(I3518/H3518,"")</x:f>
        <x:v>0.782608695652174</x:v>
      </x:c>
      <x:c r="L3518" s="66" t="str">
        <x:f>IF(K3518="","","1 : "&amp;TEXT(K3518,"0.0"))</x:f>
        <x:v>1 : 0.8</x:v>
      </x:c>
      <x:c r="M3518" s="66" t="str">
        <x:f>IF(J3518="","Baru/Tanpa Data",IF(J3518&lt;='Catatan &amp; Sumber'!$B$14,"Sangat Ketat",IF(J3518&lt;='Catatan &amp; Sumber'!$B$15,"Ketat",IF(J3518&lt;='Catatan &amp; Sumber'!$B$16,"Sedang","Relatif Longgar"))))</x:f>
        <x:v>Relatif Longgar</x:v>
      </x:c>
      <x:c r="N3518" s="66" t="str">
        <x:v>Tidak Ada</x:v>
      </x:c>
      <x:c r="O3518" s="66" t="str">
        <x:v>Kalimantan Barat</x:v>
      </x:c>
      <x:c r="P3518" s="66" t="str">
        <x:v>Kota Pontianak</x:v>
      </x:c>
      <x:c r="Q3518" s="66" t="str">
        <x:v>https://snpmb.id/snbp/daya-tampung-snbp</x:v>
      </x:c>
      <x:c r="R3518" s="66" t="str">
        <x:v>https://sidatagrun-public-1076756628210.asia-southeast2.run.app/ptn_sn.php?ptn=515</x:v>
      </x:c>
    </x:row>
    <x:row r="3519">
      <x:c r="A3519" s="87" t="n">
        <x:v>3297</x:v>
      </x:c>
      <x:c r="B3519" s="66" t="n">
        <x:v>515</x:v>
      </x:c>
      <x:c r="C3519" s="66" t="str">
        <x:v>POLITEKNIK NEGERI PONTIANAK</x:v>
      </x:c>
      <x:c r="D3519" s="66" t="str">
        <x:v>PTN Vokasi</x:v>
      </x:c>
      <x:c r="E3519" s="66" t="str">
        <x:v>25153020</x:v>
      </x:c>
      <x:c r="F3519" s="66" t="str">
        <x:v>AKUNTANSI</x:v>
      </x:c>
      <x:c r="G3519" s="66" t="str">
        <x:v>Diploma Tiga</x:v>
      </x:c>
      <x:c r="H3519" s="87" t="n">
        <x:v>52</x:v>
      </x:c>
      <x:c r="I3519" s="87" t="n">
        <x:v>139</x:v>
      </x:c>
      <x:c r="J3519" s="68" t="n">
        <x:f>IFERROR(H3519/I3519,"")</x:f>
        <x:v>0.37410071942446044</x:v>
      </x:c>
      <x:c r="K3519" s="69" t="n">
        <x:f>IFERROR(I3519/H3519,"")</x:f>
        <x:v>2.673076923076923</x:v>
      </x:c>
      <x:c r="L3519" s="66" t="str">
        <x:f>IF(K3519="","","1 : "&amp;TEXT(K3519,"0.0"))</x:f>
        <x:v>1 : 2.7</x:v>
      </x:c>
      <x:c r="M3519" s="66" t="str">
        <x:f>IF(J3519="","Baru/Tanpa Data",IF(J3519&lt;='Catatan &amp; Sumber'!$B$14,"Sangat Ketat",IF(J3519&lt;='Catatan &amp; Sumber'!$B$15,"Ketat",IF(J3519&lt;='Catatan &amp; Sumber'!$B$16,"Sedang","Relatif Longgar"))))</x:f>
        <x:v>Relatif Longgar</x:v>
      </x:c>
      <x:c r="N3519" s="66" t="str">
        <x:v>Tidak Ada</x:v>
      </x:c>
      <x:c r="O3519" s="66" t="str">
        <x:v>Kalimantan Barat</x:v>
      </x:c>
      <x:c r="P3519" s="66" t="str">
        <x:v>Kota Pontianak</x:v>
      </x:c>
      <x:c r="Q3519" s="66" t="str">
        <x:v>https://snpmb.id/snbp/daya-tampung-snbp</x:v>
      </x:c>
      <x:c r="R3519" s="66" t="str">
        <x:v>https://sidatagrun-public-1076756628210.asia-southeast2.run.app/ptn_sn.php?ptn=515</x:v>
      </x:c>
    </x:row>
    <x:row r="3520">
      <x:c r="A3520" s="87" t="n">
        <x:v>3313</x:v>
      </x:c>
      <x:c r="B3520" s="66" t="n">
        <x:v>515</x:v>
      </x:c>
      <x:c r="C3520" s="66" t="str">
        <x:v>POLITEKNIK NEGERI PONTIANAK</x:v>
      </x:c>
      <x:c r="D3520" s="66" t="str">
        <x:v>PTN Vokasi</x:v>
      </x:c>
      <x:c r="E3520" s="66" t="str">
        <x:v>25153021</x:v>
      </x:c>
      <x:c r="F3520" s="66" t="str">
        <x:v>TEKNIK SIPIL</x:v>
      </x:c>
      <x:c r="G3520" s="66" t="str">
        <x:v>Diploma Tiga</x:v>
      </x:c>
      <x:c r="H3520" s="87" t="n">
        <x:v>38</x:v>
      </x:c>
      <x:c r="I3520" s="87" t="n">
        <x:v>101</x:v>
      </x:c>
      <x:c r="J3520" s="68" t="n">
        <x:f>IFERROR(H3520/I3520,"")</x:f>
        <x:v>0.37623762376237624</x:v>
      </x:c>
      <x:c r="K3520" s="69" t="n">
        <x:f>IFERROR(I3520/H3520,"")</x:f>
        <x:v>2.6578947368421053</x:v>
      </x:c>
      <x:c r="L3520" s="66" t="str">
        <x:f>IF(K3520="","","1 : "&amp;TEXT(K3520,"0.0"))</x:f>
        <x:v>1 : 2.7</x:v>
      </x:c>
      <x:c r="M3520" s="66" t="str">
        <x:f>IF(J3520="","Baru/Tanpa Data",IF(J3520&lt;='Catatan &amp; Sumber'!$B$14,"Sangat Ketat",IF(J3520&lt;='Catatan &amp; Sumber'!$B$15,"Ketat",IF(J3520&lt;='Catatan &amp; Sumber'!$B$16,"Sedang","Relatif Longgar"))))</x:f>
        <x:v>Relatif Longgar</x:v>
      </x:c>
      <x:c r="N3520" s="66" t="str">
        <x:v>Tidak Ada</x:v>
      </x:c>
      <x:c r="O3520" s="66" t="str">
        <x:v>Kalimantan Barat</x:v>
      </x:c>
      <x:c r="P3520" s="66" t="str">
        <x:v>Kota Pontianak</x:v>
      </x:c>
      <x:c r="Q3520" s="66" t="str">
        <x:v>https://snpmb.id/snbp/daya-tampung-snbp</x:v>
      </x:c>
      <x:c r="R3520" s="66" t="str">
        <x:v>https://sidatagrun-public-1076756628210.asia-southeast2.run.app/ptn_sn.php?ptn=515</x:v>
      </x:c>
    </x:row>
    <x:row r="3521">
      <x:c r="A3521" s="87" t="n">
        <x:v>4837</x:v>
      </x:c>
      <x:c r="B3521" s="66" t="n">
        <x:v>515</x:v>
      </x:c>
      <x:c r="C3521" s="66" t="str">
        <x:v>POLITEKNIK NEGERI PONTIANAK</x:v>
      </x:c>
      <x:c r="D3521" s="66" t="str">
        <x:v>PTN Vokasi</x:v>
      </x:c>
      <x:c r="E3521" s="66" t="str">
        <x:v>25153022</x:v>
      </x:c>
      <x:c r="F3521" s="66" t="str">
        <x:v>TEKNIK SIPIL K. KAB. KAPUAS HULU</x:v>
      </x:c>
      <x:c r="G3521" s="66" t="str">
        <x:v>Diploma Tiga</x:v>
      </x:c>
      <x:c r="H3521" s="87" t="n">
        <x:v>23</x:v>
      </x:c>
      <x:c r="I3521" s="87" t="n">
        <x:v>5</x:v>
      </x:c>
      <x:c r="J3521" s="68" t="n">
        <x:f>IFERROR(H3521/I3521,"")</x:f>
        <x:v>4.6</x:v>
      </x:c>
      <x:c r="K3521" s="69" t="n">
        <x:f>IFERROR(I3521/H3521,"")</x:f>
        <x:v>0.21739130434782608</x:v>
      </x:c>
      <x:c r="L3521" s="66" t="str">
        <x:f>IF(K3521="","","1 : "&amp;TEXT(K3521,"0.0"))</x:f>
        <x:v>1 : 0.2</x:v>
      </x:c>
      <x:c r="M3521" s="66" t="str">
        <x:f>IF(J3521="","Baru/Tanpa Data",IF(J3521&lt;='Catatan &amp; Sumber'!$B$14,"Sangat Ketat",IF(J3521&lt;='Catatan &amp; Sumber'!$B$15,"Ketat",IF(J3521&lt;='Catatan &amp; Sumber'!$B$16,"Sedang","Relatif Longgar"))))</x:f>
        <x:v>Relatif Longgar</x:v>
      </x:c>
      <x:c r="N3521" s="66" t="str">
        <x:v>Tidak Ada</x:v>
      </x:c>
      <x:c r="O3521" s="66" t="str">
        <x:v>Kalimantan Barat</x:v>
      </x:c>
      <x:c r="P3521" s="66" t="str">
        <x:v>Kota Pontianak</x:v>
      </x:c>
      <x:c r="Q3521" s="66" t="str">
        <x:v>https://snpmb.id/snbp/daya-tampung-snbp</x:v>
      </x:c>
      <x:c r="R3521" s="66" t="str">
        <x:v>https://sidatagrun-public-1076756628210.asia-southeast2.run.app/ptn_sn.php?ptn=515</x:v>
      </x:c>
    </x:row>
    <x:row r="3522">
      <x:c r="A3522" s="87" t="n">
        <x:v>4759</x:v>
      </x:c>
      <x:c r="B3522" s="66" t="n">
        <x:v>515</x:v>
      </x:c>
      <x:c r="C3522" s="66" t="str">
        <x:v>POLITEKNIK NEGERI PONTIANAK</x:v>
      </x:c>
      <x:c r="D3522" s="66" t="str">
        <x:v>PTN Vokasi</x:v>
      </x:c>
      <x:c r="E3522" s="66" t="str">
        <x:v>25153023</x:v>
      </x:c>
      <x:c r="F3522" s="66" t="str">
        <x:v>TEKNOLOGI PENGOLAHAN HASIL PERKEBUNAN K, KAB KAPUAS HULU</x:v>
      </x:c>
      <x:c r="G3522" s="66" t="str">
        <x:v>Diploma Tiga</x:v>
      </x:c>
      <x:c r="H3522" s="87" t="n">
        <x:v>15</x:v>
      </x:c>
      <x:c r="I3522" s="87" t="n">
        <x:v>5</x:v>
      </x:c>
      <x:c r="J3522" s="68" t="n">
        <x:f>IFERROR(H3522/I3522,"")</x:f>
        <x:v>3</x:v>
      </x:c>
      <x:c r="K3522" s="69" t="n">
        <x:f>IFERROR(I3522/H3522,"")</x:f>
        <x:v>0.3333333333333333</x:v>
      </x:c>
      <x:c r="L3522" s="66" t="str">
        <x:f>IF(K3522="","","1 : "&amp;TEXT(K3522,"0.0"))</x:f>
        <x:v>1 : 0.3</x:v>
      </x:c>
      <x:c r="M3522" s="66" t="str">
        <x:f>IF(J3522="","Baru/Tanpa Data",IF(J3522&lt;='Catatan &amp; Sumber'!$B$14,"Sangat Ketat",IF(J3522&lt;='Catatan &amp; Sumber'!$B$15,"Ketat",IF(J3522&lt;='Catatan &amp; Sumber'!$B$16,"Sedang","Relatif Longgar"))))</x:f>
        <x:v>Relatif Longgar</x:v>
      </x:c>
      <x:c r="N3522" s="66" t="str">
        <x:v>Tidak Ada</x:v>
      </x:c>
      <x:c r="O3522" s="66" t="str">
        <x:v>Kalimantan Barat</x:v>
      </x:c>
      <x:c r="P3522" s="66" t="str">
        <x:v>Kota Pontianak</x:v>
      </x:c>
      <x:c r="Q3522" s="66" t="str">
        <x:v>https://snpmb.id/snbp/daya-tampung-snbp</x:v>
      </x:c>
      <x:c r="R3522" s="66" t="str">
        <x:v>https://sidatagrun-public-1076756628210.asia-southeast2.run.app/ptn_sn.php?ptn=515</x:v>
      </x:c>
    </x:row>
    <x:row r="3523">
      <x:c r="A3523" s="87" t="n">
        <x:v>4812</x:v>
      </x:c>
      <x:c r="B3523" s="66" t="n">
        <x:v>515</x:v>
      </x:c>
      <x:c r="C3523" s="66" t="str">
        <x:v>POLITEKNIK NEGERI PONTIANAK</x:v>
      </x:c>
      <x:c r="D3523" s="66" t="str">
        <x:v>PTN Vokasi</x:v>
      </x:c>
      <x:c r="E3523" s="66" t="str">
        <x:v>25153025</x:v>
      </x:c>
      <x:c r="F3523" s="66" t="str">
        <x:v>TEKNOLOGI PENANGKAPAN IKAN</x:v>
      </x:c>
      <x:c r="G3523" s="66" t="str">
        <x:v>Diploma Tiga</x:v>
      </x:c>
      <x:c r="H3523" s="87" t="n">
        <x:v>12</x:v>
      </x:c>
      <x:c r="I3523" s="87" t="n">
        <x:v>3</x:v>
      </x:c>
      <x:c r="J3523" s="68" t="n">
        <x:f>IFERROR(H3523/I3523,"")</x:f>
        <x:v>4</x:v>
      </x:c>
      <x:c r="K3523" s="69" t="n">
        <x:f>IFERROR(I3523/H3523,"")</x:f>
        <x:v>0.25</x:v>
      </x:c>
      <x:c r="L3523" s="66" t="str">
        <x:f>IF(K3523="","","1 : "&amp;TEXT(K3523,"0.0"))</x:f>
        <x:v>1 : 0.3</x:v>
      </x:c>
      <x:c r="M3523" s="66" t="str">
        <x:f>IF(J3523="","Baru/Tanpa Data",IF(J3523&lt;='Catatan &amp; Sumber'!$B$14,"Sangat Ketat",IF(J3523&lt;='Catatan &amp; Sumber'!$B$15,"Ketat",IF(J3523&lt;='Catatan &amp; Sumber'!$B$16,"Sedang","Relatif Longgar"))))</x:f>
        <x:v>Relatif Longgar</x:v>
      </x:c>
      <x:c r="N3523" s="66" t="str">
        <x:v>Tidak Ada</x:v>
      </x:c>
      <x:c r="O3523" s="66" t="str">
        <x:v>Kalimantan Barat</x:v>
      </x:c>
      <x:c r="P3523" s="66" t="str">
        <x:v>Kota Pontianak</x:v>
      </x:c>
      <x:c r="Q3523" s="66" t="str">
        <x:v>https://snpmb.id/snbp/daya-tampung-snbp</x:v>
      </x:c>
      <x:c r="R3523" s="66" t="str">
        <x:v>https://sidatagrun-public-1076756628210.asia-southeast2.run.app/ptn_sn.php?ptn=515</x:v>
      </x:c>
    </x:row>
    <x:row r="3524">
      <x:c r="A3524" s="87" t="n">
        <x:v>4739</x:v>
      </x:c>
      <x:c r="B3524" s="66" t="n">
        <x:v>515</x:v>
      </x:c>
      <x:c r="C3524" s="66" t="str">
        <x:v>POLITEKNIK NEGERI PONTIANAK</x:v>
      </x:c>
      <x:c r="D3524" s="66" t="str">
        <x:v>PTN Vokasi</x:v>
      </x:c>
      <x:c r="E3524" s="66" t="str">
        <x:v>25153026</x:v>
      </x:c>
      <x:c r="F3524" s="66" t="str">
        <x:v>TEKNOLOGI MESIN (KAMPUS KAB. SANGGAU)</x:v>
      </x:c>
      <x:c r="G3524" s="66" t="str">
        <x:v>Diploma Tiga</x:v>
      </x:c>
      <x:c r="H3524" s="87" t="n">
        <x:v>8</x:v>
      </x:c>
      <x:c r="I3524" s="87" t="n">
        <x:v>3</x:v>
      </x:c>
      <x:c r="J3524" s="68" t="n">
        <x:f>IFERROR(H3524/I3524,"")</x:f>
        <x:v>2.6666666666666665</x:v>
      </x:c>
      <x:c r="K3524" s="69" t="n">
        <x:f>IFERROR(I3524/H3524,"")</x:f>
        <x:v>0.375</x:v>
      </x:c>
      <x:c r="L3524" s="66" t="str">
        <x:f>IF(K3524="","","1 : "&amp;TEXT(K3524,"0.0"))</x:f>
        <x:v>1 : 0.4</x:v>
      </x:c>
      <x:c r="M3524" s="66" t="str">
        <x:f>IF(J3524="","Baru/Tanpa Data",IF(J3524&lt;='Catatan &amp; Sumber'!$B$14,"Sangat Ketat",IF(J3524&lt;='Catatan &amp; Sumber'!$B$15,"Ketat",IF(J3524&lt;='Catatan &amp; Sumber'!$B$16,"Sedang","Relatif Longgar"))))</x:f>
        <x:v>Relatif Longgar</x:v>
      </x:c>
      <x:c r="N3524" s="66" t="str">
        <x:v>Tidak Ada</x:v>
      </x:c>
      <x:c r="O3524" s="66" t="str">
        <x:v>Kalimantan Barat</x:v>
      </x:c>
      <x:c r="P3524" s="66" t="str">
        <x:v>Kota Pontianak</x:v>
      </x:c>
      <x:c r="Q3524" s="66" t="str">
        <x:v>https://snpmb.id/snbp/daya-tampung-snbp</x:v>
      </x:c>
      <x:c r="R3524" s="66" t="str">
        <x:v>https://sidatagrun-public-1076756628210.asia-southeast2.run.app/ptn_sn.php?ptn=515</x:v>
      </x:c>
    </x:row>
    <x:row r="3525">
      <x:c r="A3525" s="87" t="n">
        <x:v>4759</x:v>
      </x:c>
      <x:c r="B3525" s="66" t="n">
        <x:v>515</x:v>
      </x:c>
      <x:c r="C3525" s="66" t="str">
        <x:v>POLITEKNIK NEGERI PONTIANAK</x:v>
      </x:c>
      <x:c r="D3525" s="66" t="str">
        <x:v>PTN Vokasi</x:v>
      </x:c>
      <x:c r="E3525" s="66" t="str">
        <x:v>25153030</x:v>
      </x:c>
      <x:c r="F3525" s="66" t="str">
        <x:v>BUDI DAYA IKAN (KAMPUS KAB.SUKAMARA)</x:v>
      </x:c>
      <x:c r="G3525" s="66" t="str">
        <x:v>Diploma Tiga</x:v>
      </x:c>
      <x:c r="H3525" s="87" t="n">
        <x:v>6</x:v>
      </x:c>
      <x:c r="I3525" s="87" t="n">
        <x:v>2</x:v>
      </x:c>
      <x:c r="J3525" s="68" t="n">
        <x:f>IFERROR(H3525/I3525,"")</x:f>
        <x:v>3</x:v>
      </x:c>
      <x:c r="K3525" s="69" t="n">
        <x:f>IFERROR(I3525/H3525,"")</x:f>
        <x:v>0.3333333333333333</x:v>
      </x:c>
      <x:c r="L3525" s="66" t="str">
        <x:f>IF(K3525="","","1 : "&amp;TEXT(K3525,"0.0"))</x:f>
        <x:v>1 : 0.3</x:v>
      </x:c>
      <x:c r="M3525" s="66" t="str">
        <x:f>IF(J3525="","Baru/Tanpa Data",IF(J3525&lt;='Catatan &amp; Sumber'!$B$14,"Sangat Ketat",IF(J3525&lt;='Catatan &amp; Sumber'!$B$15,"Ketat",IF(J3525&lt;='Catatan &amp; Sumber'!$B$16,"Sedang","Relatif Longgar"))))</x:f>
        <x:v>Relatif Longgar</x:v>
      </x:c>
      <x:c r="N3525" s="66" t="str">
        <x:v>Tidak Ada</x:v>
      </x:c>
      <x:c r="O3525" s="66" t="str">
        <x:v>Kalimantan Barat</x:v>
      </x:c>
      <x:c r="P3525" s="66" t="str">
        <x:v>Kota Pontianak</x:v>
      </x:c>
      <x:c r="Q3525" s="66" t="str">
        <x:v>https://snpmb.id/snbp/daya-tampung-snbp</x:v>
      </x:c>
      <x:c r="R3525" s="66" t="str">
        <x:v>https://sidatagrun-public-1076756628210.asia-southeast2.run.app/ptn_sn.php?ptn=515</x:v>
      </x:c>
    </x:row>
    <x:row r="3526">
      <x:c r="A3526" s="87" t="n">
        <x:v>4841</x:v>
      </x:c>
      <x:c r="B3526" s="66" t="n">
        <x:v>515</x:v>
      </x:c>
      <x:c r="C3526" s="66" t="str">
        <x:v>POLITEKNIK NEGERI PONTIANAK</x:v>
      </x:c>
      <x:c r="D3526" s="66" t="str">
        <x:v>PTN Vokasi</x:v>
      </x:c>
      <x:c r="E3526" s="66" t="str">
        <x:v>25153031</x:v>
      </x:c>
      <x:c r="F3526" s="66" t="str">
        <x:v>TEKNOLOGI INFORMASI (KAMPUS KAB.SUKAMARA)</x:v>
      </x:c>
      <x:c r="G3526" s="66" t="str">
        <x:v>Diploma Tiga</x:v>
      </x:c>
      <x:c r="H3526" s="87" t="n">
        <x:v>10</x:v>
      </x:c>
      <x:c r="I3526" s="87" t="n">
        <x:v>2</x:v>
      </x:c>
      <x:c r="J3526" s="68" t="n">
        <x:f>IFERROR(H3526/I3526,"")</x:f>
        <x:v>5</x:v>
      </x:c>
      <x:c r="K3526" s="69" t="n">
        <x:f>IFERROR(I3526/H3526,"")</x:f>
        <x:v>0.2</x:v>
      </x:c>
      <x:c r="L3526" s="66" t="str">
        <x:f>IF(K3526="","","1 : "&amp;TEXT(K3526,"0.0"))</x:f>
        <x:v>1 : 0.2</x:v>
      </x:c>
      <x:c r="M3526" s="66" t="str">
        <x:f>IF(J3526="","Baru/Tanpa Data",IF(J3526&lt;='Catatan &amp; Sumber'!$B$14,"Sangat Ketat",IF(J3526&lt;='Catatan &amp; Sumber'!$B$15,"Ketat",IF(J3526&lt;='Catatan &amp; Sumber'!$B$16,"Sedang","Relatif Longgar"))))</x:f>
        <x:v>Relatif Longgar</x:v>
      </x:c>
      <x:c r="N3526" s="66" t="str">
        <x:v>Tidak Ada</x:v>
      </x:c>
      <x:c r="O3526" s="66" t="str">
        <x:v>Kalimantan Barat</x:v>
      </x:c>
      <x:c r="P3526" s="66" t="str">
        <x:v>Kota Pontianak</x:v>
      </x:c>
      <x:c r="Q3526" s="66" t="str">
        <x:v>https://snpmb.id/snbp/daya-tampung-snbp</x:v>
      </x:c>
      <x:c r="R3526" s="66" t="str">
        <x:v>https://sidatagrun-public-1076756628210.asia-southeast2.run.app/ptn_sn.php?ptn=515</x:v>
      </x:c>
    </x:row>
    <x:row r="3527">
      <x:c r="A3527" s="87" t="n">
        <x:v>2840</x:v>
      </x:c>
      <x:c r="B3527" s="66" t="n">
        <x:v>516</x:v>
      </x:c>
      <x:c r="C3527" s="66" t="str">
        <x:v>POLITEKNIK NEGERI KETAPANG</x:v>
      </x:c>
      <x:c r="D3527" s="66" t="str">
        <x:v>PTN Vokasi</x:v>
      </x:c>
      <x:c r="E3527" s="66" t="str">
        <x:v>25162001</x:v>
      </x:c>
      <x:c r="F3527" s="66" t="str">
        <x:v>TEKNOLOGI PRODUKSI TANAMAN PERKEBUNAN</x:v>
      </x:c>
      <x:c r="G3527" s="66" t="str">
        <x:v>Sarjana Terapan</x:v>
      </x:c>
      <x:c r="H3527" s="87" t="n">
        <x:v>18</x:v>
      </x:c>
      <x:c r="I3527" s="87" t="n">
        <x:v>68</x:v>
      </x:c>
      <x:c r="J3527" s="68" t="n">
        <x:f>IFERROR(H3527/I3527,"")</x:f>
        <x:v>0.2647058823529412</x:v>
      </x:c>
      <x:c r="K3527" s="69" t="n">
        <x:f>IFERROR(I3527/H3527,"")</x:f>
        <x:v>3.7777777777777777</x:v>
      </x:c>
      <x:c r="L3527" s="66" t="str">
        <x:f>IF(K3527="","","1 : "&amp;TEXT(K3527,"0.0"))</x:f>
        <x:v>1 : 3.8</x:v>
      </x:c>
      <x:c r="M3527" s="66" t="str">
        <x:f>IF(J3527="","Baru/Tanpa Data",IF(J3527&lt;='Catatan &amp; Sumber'!$B$14,"Sangat Ketat",IF(J3527&lt;='Catatan &amp; Sumber'!$B$15,"Ketat",IF(J3527&lt;='Catatan &amp; Sumber'!$B$16,"Sedang","Relatif Longgar"))))</x:f>
        <x:v>Relatif Longgar</x:v>
      </x:c>
      <x:c r="N3527" s="66" t="str">
        <x:v>Tidak Ada</x:v>
      </x:c>
      <x:c r="O3527" s="66" t="str">
        <x:v>Kalimantan Barat</x:v>
      </x:c>
      <x:c r="P3527" s="66" t="str">
        <x:v>Kabupaten Ketapang</x:v>
      </x:c>
      <x:c r="Q3527" s="66" t="str">
        <x:v>https://snpmb.id/snbp/daya-tampung-snbp</x:v>
      </x:c>
      <x:c r="R3527" s="66" t="str">
        <x:v>https://sidatagrun-public-1076756628210.asia-southeast2.run.app/ptn_sn.php?ptn=516</x:v>
      </x:c>
    </x:row>
    <x:row r="3528">
      <x:c r="A3528" s="87" t="n">
        <x:v>4191</x:v>
      </x:c>
      <x:c r="B3528" s="66" t="n">
        <x:v>516</x:v>
      </x:c>
      <x:c r="C3528" s="66" t="str">
        <x:v>POLITEKNIK NEGERI KETAPANG</x:v>
      </x:c>
      <x:c r="D3528" s="66" t="str">
        <x:v>PTN Vokasi</x:v>
      </x:c>
      <x:c r="E3528" s="66" t="str">
        <x:v>25162002</x:v>
      </x:c>
      <x:c r="F3528" s="66" t="str">
        <x:v>TEKNOLOGI REKAYASA KONSTRUKSI JALAN DAN JEMBATAN</x:v>
      </x:c>
      <x:c r="G3528" s="66" t="str">
        <x:v>Sarjana Terapan</x:v>
      </x:c>
      <x:c r="H3528" s="87" t="n">
        <x:v>27</x:v>
      </x:c>
      <x:c r="I3528" s="87" t="n">
        <x:v>32</x:v>
      </x:c>
      <x:c r="J3528" s="68" t="n">
        <x:f>IFERROR(H3528/I3528,"")</x:f>
        <x:v>0.84375</x:v>
      </x:c>
      <x:c r="K3528" s="69" t="n">
        <x:f>IFERROR(I3528/H3528,"")</x:f>
        <x:v>1.1851851851851851</x:v>
      </x:c>
      <x:c r="L3528" s="66" t="str">
        <x:f>IF(K3528="","","1 : "&amp;TEXT(K3528,"0.0"))</x:f>
        <x:v>1 : 1.2</x:v>
      </x:c>
      <x:c r="M3528" s="66" t="str">
        <x:f>IF(J3528="","Baru/Tanpa Data",IF(J3528&lt;='Catatan &amp; Sumber'!$B$14,"Sangat Ketat",IF(J3528&lt;='Catatan &amp; Sumber'!$B$15,"Ketat",IF(J3528&lt;='Catatan &amp; Sumber'!$B$16,"Sedang","Relatif Longgar"))))</x:f>
        <x:v>Relatif Longgar</x:v>
      </x:c>
      <x:c r="N3528" s="66" t="str">
        <x:v>Tidak Ada</x:v>
      </x:c>
      <x:c r="O3528" s="66" t="str">
        <x:v>Kalimantan Barat</x:v>
      </x:c>
      <x:c r="P3528" s="66" t="str">
        <x:v>Kabupaten Ketapang</x:v>
      </x:c>
      <x:c r="Q3528" s="66" t="str">
        <x:v>https://snpmb.id/snbp/daya-tampung-snbp</x:v>
      </x:c>
      <x:c r="R3528" s="66" t="str">
        <x:v>https://sidatagrun-public-1076756628210.asia-southeast2.run.app/ptn_sn.php?ptn=516</x:v>
      </x:c>
    </x:row>
    <x:row r="3529">
      <x:c r="A3529" s="87" t="n">
        <x:v>3046</x:v>
      </x:c>
      <x:c r="B3529" s="66" t="n">
        <x:v>516</x:v>
      </x:c>
      <x:c r="C3529" s="66" t="str">
        <x:v>POLITEKNIK NEGERI KETAPANG</x:v>
      </x:c>
      <x:c r="D3529" s="66" t="str">
        <x:v>PTN Vokasi</x:v>
      </x:c>
      <x:c r="E3529" s="66" t="str">
        <x:v>25162009</x:v>
      </x:c>
      <x:c r="F3529" s="66" t="str">
        <x:v>MANAJEMEN AGRIBISNIS</x:v>
      </x:c>
      <x:c r="G3529" s="66" t="str">
        <x:v>Sarjana Terapan</x:v>
      </x:c>
      <x:c r="H3529" s="87" t="n">
        <x:v>27</x:v>
      </x:c>
      <x:c r="I3529" s="87" t="n">
        <x:v>89</x:v>
      </x:c>
      <x:c r="J3529" s="68" t="n">
        <x:f>IFERROR(H3529/I3529,"")</x:f>
        <x:v>0.30337078651685395</x:v>
      </x:c>
      <x:c r="K3529" s="69" t="n">
        <x:f>IFERROR(I3529/H3529,"")</x:f>
        <x:v>3.2962962962962963</x:v>
      </x:c>
      <x:c r="L3529" s="66" t="str">
        <x:f>IF(K3529="","","1 : "&amp;TEXT(K3529,"0.0"))</x:f>
        <x:v>1 : 3.3</x:v>
      </x:c>
      <x:c r="M3529" s="66" t="str">
        <x:f>IF(J3529="","Baru/Tanpa Data",IF(J3529&lt;='Catatan &amp; Sumber'!$B$14,"Sangat Ketat",IF(J3529&lt;='Catatan &amp; Sumber'!$B$15,"Ketat",IF(J3529&lt;='Catatan &amp; Sumber'!$B$16,"Sedang","Relatif Longgar"))))</x:f>
        <x:v>Relatif Longgar</x:v>
      </x:c>
      <x:c r="N3529" s="66" t="str">
        <x:v>Tidak Ada</x:v>
      </x:c>
      <x:c r="O3529" s="66" t="str">
        <x:v>Kalimantan Barat</x:v>
      </x:c>
      <x:c r="P3529" s="66" t="str">
        <x:v>Kabupaten Ketapang</x:v>
      </x:c>
      <x:c r="Q3529" s="66" t="str">
        <x:v>https://snpmb.id/snbp/daya-tampung-snbp</x:v>
      </x:c>
      <x:c r="R3529" s="66" t="str">
        <x:v>https://sidatagrun-public-1076756628210.asia-southeast2.run.app/ptn_sn.php?ptn=516</x:v>
      </x:c>
    </x:row>
    <x:row r="3530">
      <x:c r="A3530" s="87" t="n">
        <x:v>4156</x:v>
      </x:c>
      <x:c r="B3530" s="66" t="n">
        <x:v>516</x:v>
      </x:c>
      <x:c r="C3530" s="66" t="str">
        <x:v>POLITEKNIK NEGERI KETAPANG</x:v>
      </x:c>
      <x:c r="D3530" s="66" t="str">
        <x:v>PTN Vokasi</x:v>
      </x:c>
      <x:c r="E3530" s="66" t="str">
        <x:v>25163003</x:v>
      </x:c>
      <x:c r="F3530" s="66" t="str">
        <x:v>TEKNOLOGI HASIL PERKEBUNAN</x:v>
      </x:c>
      <x:c r="G3530" s="66" t="str">
        <x:v>Diploma Tiga</x:v>
      </x:c>
      <x:c r="H3530" s="87" t="n">
        <x:v>18</x:v>
      </x:c>
      <x:c r="I3530" s="87" t="n">
        <x:v>22</x:v>
      </x:c>
      <x:c r="J3530" s="68" t="n">
        <x:f>IFERROR(H3530/I3530,"")</x:f>
        <x:v>0.8181818181818182</x:v>
      </x:c>
      <x:c r="K3530" s="69" t="n">
        <x:f>IFERROR(I3530/H3530,"")</x:f>
        <x:v>1.2222222222222223</x:v>
      </x:c>
      <x:c r="L3530" s="66" t="str">
        <x:f>IF(K3530="","","1 : "&amp;TEXT(K3530,"0.0"))</x:f>
        <x:v>1 : 1.2</x:v>
      </x:c>
      <x:c r="M3530" s="66" t="str">
        <x:f>IF(J3530="","Baru/Tanpa Data",IF(J3530&lt;='Catatan &amp; Sumber'!$B$14,"Sangat Ketat",IF(J3530&lt;='Catatan &amp; Sumber'!$B$15,"Ketat",IF(J3530&lt;='Catatan &amp; Sumber'!$B$16,"Sedang","Relatif Longgar"))))</x:f>
        <x:v>Relatif Longgar</x:v>
      </x:c>
      <x:c r="N3530" s="66" t="str">
        <x:v>Tidak Ada</x:v>
      </x:c>
      <x:c r="O3530" s="66" t="str">
        <x:v>Kalimantan Barat</x:v>
      </x:c>
      <x:c r="P3530" s="66" t="str">
        <x:v>Kabupaten Ketapang</x:v>
      </x:c>
      <x:c r="Q3530" s="66" t="str">
        <x:v>https://snpmb.id/snbp/daya-tampung-snbp</x:v>
      </x:c>
      <x:c r="R3530" s="66" t="str">
        <x:v>https://sidatagrun-public-1076756628210.asia-southeast2.run.app/ptn_sn.php?ptn=516</x:v>
      </x:c>
    </x:row>
    <x:row r="3531">
      <x:c r="A3531" s="87" t="n">
        <x:v>3958</x:v>
      </x:c>
      <x:c r="B3531" s="66" t="n">
        <x:v>516</x:v>
      </x:c>
      <x:c r="C3531" s="66" t="str">
        <x:v>POLITEKNIK NEGERI KETAPANG</x:v>
      </x:c>
      <x:c r="D3531" s="66" t="str">
        <x:v>PTN Vokasi</x:v>
      </x:c>
      <x:c r="E3531" s="66" t="str">
        <x:v>25163004</x:v>
      </x:c>
      <x:c r="F3531" s="66" t="str">
        <x:v>PEMELIHARAAN MESIN</x:v>
      </x:c>
      <x:c r="G3531" s="66" t="str">
        <x:v>Diploma Tiga</x:v>
      </x:c>
      <x:c r="H3531" s="87" t="n">
        <x:v>18</x:v>
      </x:c>
      <x:c r="I3531" s="87" t="n">
        <x:v>27</x:v>
      </x:c>
      <x:c r="J3531" s="68" t="n">
        <x:f>IFERROR(H3531/I3531,"")</x:f>
        <x:v>0.6666666666666666</x:v>
      </x:c>
      <x:c r="K3531" s="69" t="n">
        <x:f>IFERROR(I3531/H3531,"")</x:f>
        <x:v>1.5</x:v>
      </x:c>
      <x:c r="L3531" s="66" t="str">
        <x:f>IF(K3531="","","1 : "&amp;TEXT(K3531,"0.0"))</x:f>
        <x:v>1 : 1.5</x:v>
      </x:c>
      <x:c r="M3531" s="66" t="str">
        <x:f>IF(J3531="","Baru/Tanpa Data",IF(J3531&lt;='Catatan &amp; Sumber'!$B$14,"Sangat Ketat",IF(J3531&lt;='Catatan &amp; Sumber'!$B$15,"Ketat",IF(J3531&lt;='Catatan &amp; Sumber'!$B$16,"Sedang","Relatif Longgar"))))</x:f>
        <x:v>Relatif Longgar</x:v>
      </x:c>
      <x:c r="N3531" s="66" t="str">
        <x:v>Tidak Ada</x:v>
      </x:c>
      <x:c r="O3531" s="66" t="str">
        <x:v>Kalimantan Barat</x:v>
      </x:c>
      <x:c r="P3531" s="66" t="str">
        <x:v>Kabupaten Ketapang</x:v>
      </x:c>
      <x:c r="Q3531" s="66" t="str">
        <x:v>https://snpmb.id/snbp/daya-tampung-snbp</x:v>
      </x:c>
      <x:c r="R3531" s="66" t="str">
        <x:v>https://sidatagrun-public-1076756628210.asia-southeast2.run.app/ptn_sn.php?ptn=516</x:v>
      </x:c>
    </x:row>
    <x:row r="3532">
      <x:c r="A3532" s="87" t="n">
        <x:v>4049</x:v>
      </x:c>
      <x:c r="B3532" s="66" t="n">
        <x:v>516</x:v>
      </x:c>
      <x:c r="C3532" s="66" t="str">
        <x:v>POLITEKNIK NEGERI KETAPANG</x:v>
      </x:c>
      <x:c r="D3532" s="66" t="str">
        <x:v>PTN Vokasi</x:v>
      </x:c>
      <x:c r="E3532" s="66" t="str">
        <x:v>25163005</x:v>
      </x:c>
      <x:c r="F3532" s="66" t="str">
        <x:v>TEKNOLOGI LISTRIK</x:v>
      </x:c>
      <x:c r="G3532" s="66" t="str">
        <x:v>Diploma Tiga</x:v>
      </x:c>
      <x:c r="H3532" s="87" t="n">
        <x:v>18</x:v>
      </x:c>
      <x:c r="I3532" s="87" t="n">
        <x:v>25</x:v>
      </x:c>
      <x:c r="J3532" s="68" t="n">
        <x:f>IFERROR(H3532/I3532,"")</x:f>
        <x:v>0.72</x:v>
      </x:c>
      <x:c r="K3532" s="69" t="n">
        <x:f>IFERROR(I3532/H3532,"")</x:f>
        <x:v>1.3888888888888888</x:v>
      </x:c>
      <x:c r="L3532" s="66" t="str">
        <x:f>IF(K3532="","","1 : "&amp;TEXT(K3532,"0.0"))</x:f>
        <x:v>1 : 1.4</x:v>
      </x:c>
      <x:c r="M3532" s="66" t="str">
        <x:f>IF(J3532="","Baru/Tanpa Data",IF(J3532&lt;='Catatan &amp; Sumber'!$B$14,"Sangat Ketat",IF(J3532&lt;='Catatan &amp; Sumber'!$B$15,"Ketat",IF(J3532&lt;='Catatan &amp; Sumber'!$B$16,"Sedang","Relatif Longgar"))))</x:f>
        <x:v>Relatif Longgar</x:v>
      </x:c>
      <x:c r="N3532" s="66" t="str">
        <x:v>Tidak Ada</x:v>
      </x:c>
      <x:c r="O3532" s="66" t="str">
        <x:v>Kalimantan Barat</x:v>
      </x:c>
      <x:c r="P3532" s="66" t="str">
        <x:v>Kabupaten Ketapang</x:v>
      </x:c>
      <x:c r="Q3532" s="66" t="str">
        <x:v>https://snpmb.id/snbp/daya-tampung-snbp</x:v>
      </x:c>
      <x:c r="R3532" s="66" t="str">
        <x:v>https://sidatagrun-public-1076756628210.asia-southeast2.run.app/ptn_sn.php?ptn=516</x:v>
      </x:c>
    </x:row>
    <x:row r="3533">
      <x:c r="A3533" s="87" t="n">
        <x:v>2953</x:v>
      </x:c>
      <x:c r="B3533" s="66" t="n">
        <x:v>516</x:v>
      </x:c>
      <x:c r="C3533" s="66" t="str">
        <x:v>POLITEKNIK NEGERI KETAPANG</x:v>
      </x:c>
      <x:c r="D3533" s="66" t="str">
        <x:v>PTN Vokasi</x:v>
      </x:c>
      <x:c r="E3533" s="66" t="str">
        <x:v>25163006</x:v>
      </x:c>
      <x:c r="F3533" s="66" t="str">
        <x:v>TEKNOLOGI PERTAMBANGAN</x:v>
      </x:c>
      <x:c r="G3533" s="66" t="str">
        <x:v>Diploma Tiga</x:v>
      </x:c>
      <x:c r="H3533" s="87" t="n">
        <x:v>18</x:v>
      </x:c>
      <x:c r="I3533" s="87" t="n">
        <x:v>63</x:v>
      </x:c>
      <x:c r="J3533" s="68" t="n">
        <x:f>IFERROR(H3533/I3533,"")</x:f>
        <x:v>0.2857142857142857</x:v>
      </x:c>
      <x:c r="K3533" s="69" t="n">
        <x:f>IFERROR(I3533/H3533,"")</x:f>
        <x:v>3.5</x:v>
      </x:c>
      <x:c r="L3533" s="66" t="str">
        <x:f>IF(K3533="","","1 : "&amp;TEXT(K3533,"0.0"))</x:f>
        <x:v>1 : 3.5</x:v>
      </x:c>
      <x:c r="M3533" s="66" t="str">
        <x:f>IF(J3533="","Baru/Tanpa Data",IF(J3533&lt;='Catatan &amp; Sumber'!$B$14,"Sangat Ketat",IF(J3533&lt;='Catatan &amp; Sumber'!$B$15,"Ketat",IF(J3533&lt;='Catatan &amp; Sumber'!$B$16,"Sedang","Relatif Longgar"))))</x:f>
        <x:v>Relatif Longgar</x:v>
      </x:c>
      <x:c r="N3533" s="66" t="str">
        <x:v>Tidak Ada</x:v>
      </x:c>
      <x:c r="O3533" s="66" t="str">
        <x:v>Kalimantan Barat</x:v>
      </x:c>
      <x:c r="P3533" s="66" t="str">
        <x:v>Kabupaten Ketapang</x:v>
      </x:c>
      <x:c r="Q3533" s="66" t="str">
        <x:v>https://snpmb.id/snbp/daya-tampung-snbp</x:v>
      </x:c>
      <x:c r="R3533" s="66" t="str">
        <x:v>https://sidatagrun-public-1076756628210.asia-southeast2.run.app/ptn_sn.php?ptn=516</x:v>
      </x:c>
    </x:row>
    <x:row r="3534">
      <x:c r="A3534" s="87" t="n">
        <x:v>2939</x:v>
      </x:c>
      <x:c r="B3534" s="66" t="n">
        <x:v>516</x:v>
      </x:c>
      <x:c r="C3534" s="66" t="str">
        <x:v>POLITEKNIK NEGERI KETAPANG</x:v>
      </x:c>
      <x:c r="D3534" s="66" t="str">
        <x:v>PTN Vokasi</x:v>
      </x:c>
      <x:c r="E3534" s="66" t="str">
        <x:v>25163007</x:v>
      </x:c>
      <x:c r="F3534" s="66" t="str">
        <x:v>TEKNOLOGI INFORMASI</x:v>
      </x:c>
      <x:c r="G3534" s="66" t="str">
        <x:v>Diploma Tiga</x:v>
      </x:c>
      <x:c r="H3534" s="87" t="n">
        <x:v>27</x:v>
      </x:c>
      <x:c r="I3534" s="87" t="n">
        <x:v>96</x:v>
      </x:c>
      <x:c r="J3534" s="68" t="n">
        <x:f>IFERROR(H3534/I3534,"")</x:f>
        <x:v>0.28125</x:v>
      </x:c>
      <x:c r="K3534" s="69" t="n">
        <x:f>IFERROR(I3534/H3534,"")</x:f>
        <x:v>3.5555555555555554</x:v>
      </x:c>
      <x:c r="L3534" s="66" t="str">
        <x:f>IF(K3534="","","1 : "&amp;TEXT(K3534,"0.0"))</x:f>
        <x:v>1 : 3.6</x:v>
      </x:c>
      <x:c r="M3534" s="66" t="str">
        <x:f>IF(J3534="","Baru/Tanpa Data",IF(J3534&lt;='Catatan &amp; Sumber'!$B$14,"Sangat Ketat",IF(J3534&lt;='Catatan &amp; Sumber'!$B$15,"Ketat",IF(J3534&lt;='Catatan &amp; Sumber'!$B$16,"Sedang","Relatif Longgar"))))</x:f>
        <x:v>Relatif Longgar</x:v>
      </x:c>
      <x:c r="N3534" s="66" t="str">
        <x:v>Tidak Ada</x:v>
      </x:c>
      <x:c r="O3534" s="66" t="str">
        <x:v>Kalimantan Barat</x:v>
      </x:c>
      <x:c r="P3534" s="66" t="str">
        <x:v>Kabupaten Ketapang</x:v>
      </x:c>
      <x:c r="Q3534" s="66" t="str">
        <x:v>https://snpmb.id/snbp/daya-tampung-snbp</x:v>
      </x:c>
      <x:c r="R3534" s="66" t="str">
        <x:v>https://sidatagrun-public-1076756628210.asia-southeast2.run.app/ptn_sn.php?ptn=516</x:v>
      </x:c>
    </x:row>
    <x:row r="3535">
      <x:c r="A3535" s="87" t="n">
        <x:v>4156</x:v>
      </x:c>
      <x:c r="B3535" s="66" t="n">
        <x:v>516</x:v>
      </x:c>
      <x:c r="C3535" s="66" t="str">
        <x:v>POLITEKNIK NEGERI KETAPANG</x:v>
      </x:c>
      <x:c r="D3535" s="66" t="str">
        <x:v>PTN Vokasi</x:v>
      </x:c>
      <x:c r="E3535" s="66" t="str">
        <x:v>25163008</x:v>
      </x:c>
      <x:c r="F3535" s="66" t="str">
        <x:v>AGROINDUSTRI</x:v>
      </x:c>
      <x:c r="G3535" s="66" t="str">
        <x:v>Diploma Tiga</x:v>
      </x:c>
      <x:c r="H3535" s="87" t="n">
        <x:v>18</x:v>
      </x:c>
      <x:c r="I3535" s="87" t="n">
        <x:v>22</x:v>
      </x:c>
      <x:c r="J3535" s="68" t="n">
        <x:f>IFERROR(H3535/I3535,"")</x:f>
        <x:v>0.8181818181818182</x:v>
      </x:c>
      <x:c r="K3535" s="69" t="n">
        <x:f>IFERROR(I3535/H3535,"")</x:f>
        <x:v>1.2222222222222223</x:v>
      </x:c>
      <x:c r="L3535" s="66" t="str">
        <x:f>IF(K3535="","","1 : "&amp;TEXT(K3535,"0.0"))</x:f>
        <x:v>1 : 1.2</x:v>
      </x:c>
      <x:c r="M3535" s="66" t="str">
        <x:f>IF(J3535="","Baru/Tanpa Data",IF(J3535&lt;='Catatan &amp; Sumber'!$B$14,"Sangat Ketat",IF(J3535&lt;='Catatan &amp; Sumber'!$B$15,"Ketat",IF(J3535&lt;='Catatan &amp; Sumber'!$B$16,"Sedang","Relatif Longgar"))))</x:f>
        <x:v>Relatif Longgar</x:v>
      </x:c>
      <x:c r="N3535" s="66" t="str">
        <x:v>Tidak Ada</x:v>
      </x:c>
      <x:c r="O3535" s="66" t="str">
        <x:v>Kalimantan Barat</x:v>
      </x:c>
      <x:c r="P3535" s="66" t="str">
        <x:v>Kabupaten Ketapang</x:v>
      </x:c>
      <x:c r="Q3535" s="66" t="str">
        <x:v>https://snpmb.id/snbp/daya-tampung-snbp</x:v>
      </x:c>
      <x:c r="R3535" s="66" t="str">
        <x:v>https://sidatagrun-public-1076756628210.asia-southeast2.run.app/ptn_sn.php?ptn=516</x:v>
      </x:c>
    </x:row>
    <x:row r="3536">
      <x:c r="A3536" s="87" t="n">
        <x:v>3298</x:v>
      </x:c>
      <x:c r="B3536" s="66" t="n">
        <x:v>517</x:v>
      </x:c>
      <x:c r="C3536" s="66" t="str">
        <x:v>POLITEKNIK NEGERI SAMBAS</x:v>
      </x:c>
      <x:c r="D3536" s="66" t="str">
        <x:v>PTN Vokasi</x:v>
      </x:c>
      <x:c r="E3536" s="66" t="str">
        <x:v>25172001</x:v>
      </x:c>
      <x:c r="F3536" s="66" t="str">
        <x:v>AGROINDUSTRI PANGAN</x:v>
      </x:c>
      <x:c r="G3536" s="66" t="str">
        <x:v>Sarjana Terapan</x:v>
      </x:c>
      <x:c r="H3536" s="87" t="n">
        <x:v>36</x:v>
      </x:c>
      <x:c r="I3536" s="87" t="n">
        <x:v>96</x:v>
      </x:c>
      <x:c r="J3536" s="68" t="n">
        <x:f>IFERROR(H3536/I3536,"")</x:f>
        <x:v>0.375</x:v>
      </x:c>
      <x:c r="K3536" s="69" t="n">
        <x:f>IFERROR(I3536/H3536,"")</x:f>
        <x:v>2.6666666666666665</x:v>
      </x:c>
      <x:c r="L3536" s="66" t="str">
        <x:f>IF(K3536="","","1 : "&amp;TEXT(K3536,"0.0"))</x:f>
        <x:v>1 : 2.7</x:v>
      </x:c>
      <x:c r="M3536" s="66" t="str">
        <x:f>IF(J3536="","Baru/Tanpa Data",IF(J3536&lt;='Catatan &amp; Sumber'!$B$14,"Sangat Ketat",IF(J3536&lt;='Catatan &amp; Sumber'!$B$15,"Ketat",IF(J3536&lt;='Catatan &amp; Sumber'!$B$16,"Sedang","Relatif Longgar"))))</x:f>
        <x:v>Relatif Longgar</x:v>
      </x:c>
      <x:c r="N3536" s="66" t="str">
        <x:v>Tidak Ada</x:v>
      </x:c>
      <x:c r="O3536" s="66" t="str">
        <x:v>Kalimantan Barat</x:v>
      </x:c>
      <x:c r="P3536" s="66" t="str">
        <x:v>Kabupaten Sambas</x:v>
      </x:c>
      <x:c r="Q3536" s="66" t="str">
        <x:v>https://snpmb.id/snbp/daya-tampung-snbp</x:v>
      </x:c>
      <x:c r="R3536" s="66" t="str">
        <x:v>https://sidatagrun-public-1076756628210.asia-southeast2.run.app/ptn_sn.php?ptn=517</x:v>
      </x:c>
    </x:row>
    <x:row r="3537">
      <x:c r="A3537" s="87" t="n">
        <x:v>2652</x:v>
      </x:c>
      <x:c r="B3537" s="66" t="n">
        <x:v>517</x:v>
      </x:c>
      <x:c r="C3537" s="66" t="str">
        <x:v>POLITEKNIK NEGERI SAMBAS</x:v>
      </x:c>
      <x:c r="D3537" s="66" t="str">
        <x:v>PTN Vokasi</x:v>
      </x:c>
      <x:c r="E3537" s="66" t="str">
        <x:v>25172002</x:v>
      </x:c>
      <x:c r="F3537" s="66" t="str">
        <x:v>TEKNIK MULTIMEDIA</x:v>
      </x:c>
      <x:c r="G3537" s="66" t="str">
        <x:v>Sarjana Terapan</x:v>
      </x:c>
      <x:c r="H3537" s="87" t="n">
        <x:v>36</x:v>
      </x:c>
      <x:c r="I3537" s="87" t="n">
        <x:v>153</x:v>
      </x:c>
      <x:c r="J3537" s="68" t="n">
        <x:f>IFERROR(H3537/I3537,"")</x:f>
        <x:v>0.23529411764705882</x:v>
      </x:c>
      <x:c r="K3537" s="69" t="n">
        <x:f>IFERROR(I3537/H3537,"")</x:f>
        <x:v>4.25</x:v>
      </x:c>
      <x:c r="L3537" s="66" t="str">
        <x:f>IF(K3537="","","1 : "&amp;TEXT(K3537,"0.0"))</x:f>
        <x:v>1 : 4.3</x:v>
      </x:c>
      <x:c r="M3537" s="66" t="str">
        <x:f>IF(J3537="","Baru/Tanpa Data",IF(J3537&lt;='Catatan &amp; Sumber'!$B$14,"Sangat Ketat",IF(J3537&lt;='Catatan &amp; Sumber'!$B$15,"Ketat",IF(J3537&lt;='Catatan &amp; Sumber'!$B$16,"Sedang","Relatif Longgar"))))</x:f>
        <x:v>Relatif Longgar</x:v>
      </x:c>
      <x:c r="N3537" s="66" t="str">
        <x:v>Tidak Ada</x:v>
      </x:c>
      <x:c r="O3537" s="66" t="str">
        <x:v>Kalimantan Barat</x:v>
      </x:c>
      <x:c r="P3537" s="66" t="str">
        <x:v>Kabupaten Sambas</x:v>
      </x:c>
      <x:c r="Q3537" s="66" t="str">
        <x:v>https://snpmb.id/snbp/daya-tampung-snbp</x:v>
      </x:c>
      <x:c r="R3537" s="66" t="str">
        <x:v>https://sidatagrun-public-1076756628210.asia-southeast2.run.app/ptn_sn.php?ptn=517</x:v>
      </x:c>
    </x:row>
    <x:row r="3538">
      <x:c r="A3538" s="87" t="n">
        <x:v>3829</x:v>
      </x:c>
      <x:c r="B3538" s="66" t="n">
        <x:v>517</x:v>
      </x:c>
      <x:c r="C3538" s="66" t="str">
        <x:v>POLITEKNIK NEGERI SAMBAS</x:v>
      </x:c>
      <x:c r="D3538" s="66" t="str">
        <x:v>PTN Vokasi</x:v>
      </x:c>
      <x:c r="E3538" s="66" t="str">
        <x:v>25172003</x:v>
      </x:c>
      <x:c r="F3538" s="66" t="str">
        <x:v>TEKNIK MESIN PERTANIAN</x:v>
      </x:c>
      <x:c r="G3538" s="66" t="str">
        <x:v>Sarjana Terapan</x:v>
      </x:c>
      <x:c r="H3538" s="87" t="n">
        <x:v>20</x:v>
      </x:c>
      <x:c r="I3538" s="87" t="n">
        <x:v>34</x:v>
      </x:c>
      <x:c r="J3538" s="68" t="n">
        <x:f>IFERROR(H3538/I3538,"")</x:f>
        <x:v>0.5882352941176471</x:v>
      </x:c>
      <x:c r="K3538" s="69" t="n">
        <x:f>IFERROR(I3538/H3538,"")</x:f>
        <x:v>1.7</x:v>
      </x:c>
      <x:c r="L3538" s="66" t="str">
        <x:f>IF(K3538="","","1 : "&amp;TEXT(K3538,"0.0"))</x:f>
        <x:v>1 : 1.7</x:v>
      </x:c>
      <x:c r="M3538" s="66" t="str">
        <x:f>IF(J3538="","Baru/Tanpa Data",IF(J3538&lt;='Catatan &amp; Sumber'!$B$14,"Sangat Ketat",IF(J3538&lt;='Catatan &amp; Sumber'!$B$15,"Ketat",IF(J3538&lt;='Catatan &amp; Sumber'!$B$16,"Sedang","Relatif Longgar"))))</x:f>
        <x:v>Relatif Longgar</x:v>
      </x:c>
      <x:c r="N3538" s="66" t="str">
        <x:v>Tidak Ada</x:v>
      </x:c>
      <x:c r="O3538" s="66" t="str">
        <x:v>Kalimantan Barat</x:v>
      </x:c>
      <x:c r="P3538" s="66" t="str">
        <x:v>Kabupaten Sambas</x:v>
      </x:c>
      <x:c r="Q3538" s="66" t="str">
        <x:v>https://snpmb.id/snbp/daya-tampung-snbp</x:v>
      </x:c>
      <x:c r="R3538" s="66" t="str">
        <x:v>https://sidatagrun-public-1076756628210.asia-southeast2.run.app/ptn_sn.php?ptn=517</x:v>
      </x:c>
    </x:row>
    <x:row r="3539">
      <x:c r="A3539" s="87" t="n">
        <x:v>3909</x:v>
      </x:c>
      <x:c r="B3539" s="66" t="n">
        <x:v>517</x:v>
      </x:c>
      <x:c r="C3539" s="66" t="str">
        <x:v>POLITEKNIK NEGERI SAMBAS</x:v>
      </x:c>
      <x:c r="D3539" s="66" t="str">
        <x:v>PTN Vokasi</x:v>
      </x:c>
      <x:c r="E3539" s="66" t="str">
        <x:v>25172004</x:v>
      </x:c>
      <x:c r="F3539" s="66" t="str">
        <x:v>AGRIBISNIS PERIKANAN DAN KELAUTAN</x:v>
      </x:c>
      <x:c r="G3539" s="66" t="str">
        <x:v>Sarjana Terapan</x:v>
      </x:c>
      <x:c r="H3539" s="87" t="n">
        <x:v>24</x:v>
      </x:c>
      <x:c r="I3539" s="87" t="n">
        <x:v>38</x:v>
      </x:c>
      <x:c r="J3539" s="68" t="n">
        <x:f>IFERROR(H3539/I3539,"")</x:f>
        <x:v>0.631578947368421</x:v>
      </x:c>
      <x:c r="K3539" s="69" t="n">
        <x:f>IFERROR(I3539/H3539,"")</x:f>
        <x:v>1.5833333333333333</x:v>
      </x:c>
      <x:c r="L3539" s="66" t="str">
        <x:f>IF(K3539="","","1 : "&amp;TEXT(K3539,"0.0"))</x:f>
        <x:v>1 : 1.6</x:v>
      </x:c>
      <x:c r="M3539" s="66" t="str">
        <x:f>IF(J3539="","Baru/Tanpa Data",IF(J3539&lt;='Catatan &amp; Sumber'!$B$14,"Sangat Ketat",IF(J3539&lt;='Catatan &amp; Sumber'!$B$15,"Ketat",IF(J3539&lt;='Catatan &amp; Sumber'!$B$16,"Sedang","Relatif Longgar"))))</x:f>
        <x:v>Relatif Longgar</x:v>
      </x:c>
      <x:c r="N3539" s="66" t="str">
        <x:v>Tidak Ada</x:v>
      </x:c>
      <x:c r="O3539" s="66" t="str">
        <x:v>Kalimantan Barat</x:v>
      </x:c>
      <x:c r="P3539" s="66" t="str">
        <x:v>Kabupaten Sambas</x:v>
      </x:c>
      <x:c r="Q3539" s="66" t="str">
        <x:v>https://snpmb.id/snbp/daya-tampung-snbp</x:v>
      </x:c>
      <x:c r="R3539" s="66" t="str">
        <x:v>https://sidatagrun-public-1076756628210.asia-southeast2.run.app/ptn_sn.php?ptn=517</x:v>
      </x:c>
    </x:row>
    <x:row r="3540">
      <x:c r="A3540" s="87" t="n">
        <x:v>3229</x:v>
      </x:c>
      <x:c r="B3540" s="66" t="n">
        <x:v>517</x:v>
      </x:c>
      <x:c r="C3540" s="66" t="str">
        <x:v>POLITEKNIK NEGERI SAMBAS</x:v>
      </x:c>
      <x:c r="D3540" s="66" t="str">
        <x:v>PTN Vokasi</x:v>
      </x:c>
      <x:c r="E3540" s="66" t="str">
        <x:v>25172005</x:v>
      </x:c>
      <x:c r="F3540" s="66" t="str">
        <x:v>MANAJEMEN BISNIS PARIWISATA</x:v>
      </x:c>
      <x:c r="G3540" s="66" t="str">
        <x:v>Sarjana Terapan</x:v>
      </x:c>
      <x:c r="H3540" s="87" t="n">
        <x:v>36</x:v>
      </x:c>
      <x:c r="I3540" s="87" t="n">
        <x:v>103</x:v>
      </x:c>
      <x:c r="J3540" s="68" t="n">
        <x:f>IFERROR(H3540/I3540,"")</x:f>
        <x:v>0.34951456310679613</x:v>
      </x:c>
      <x:c r="K3540" s="69" t="n">
        <x:f>IFERROR(I3540/H3540,"")</x:f>
        <x:v>2.861111111111111</x:v>
      </x:c>
      <x:c r="L3540" s="66" t="str">
        <x:f>IF(K3540="","","1 : "&amp;TEXT(K3540,"0.0"))</x:f>
        <x:v>1 : 2.9</x:v>
      </x:c>
      <x:c r="M3540" s="66" t="str">
        <x:f>IF(J3540="","Baru/Tanpa Data",IF(J3540&lt;='Catatan &amp; Sumber'!$B$14,"Sangat Ketat",IF(J3540&lt;='Catatan &amp; Sumber'!$B$15,"Ketat",IF(J3540&lt;='Catatan &amp; Sumber'!$B$16,"Sedang","Relatif Longgar"))))</x:f>
        <x:v>Relatif Longgar</x:v>
      </x:c>
      <x:c r="N3540" s="66" t="str">
        <x:v>Tidak Ada</x:v>
      </x:c>
      <x:c r="O3540" s="66" t="str">
        <x:v>Kalimantan Barat</x:v>
      </x:c>
      <x:c r="P3540" s="66" t="str">
        <x:v>Kabupaten Sambas</x:v>
      </x:c>
      <x:c r="Q3540" s="66" t="str">
        <x:v>https://snpmb.id/snbp/daya-tampung-snbp</x:v>
      </x:c>
      <x:c r="R3540" s="66" t="str">
        <x:v>https://sidatagrun-public-1076756628210.asia-southeast2.run.app/ptn_sn.php?ptn=517</x:v>
      </x:c>
    </x:row>
    <x:row r="3541">
      <x:c r="A3541" s="87" t="n">
        <x:v>2415</x:v>
      </x:c>
      <x:c r="B3541" s="66" t="n">
        <x:v>517</x:v>
      </x:c>
      <x:c r="C3541" s="66" t="str">
        <x:v>POLITEKNIK NEGERI SAMBAS</x:v>
      </x:c>
      <x:c r="D3541" s="66" t="str">
        <x:v>PTN Vokasi</x:v>
      </x:c>
      <x:c r="E3541" s="66" t="str">
        <x:v>25172006</x:v>
      </x:c>
      <x:c r="F3541" s="66" t="str">
        <x:v>AKUNTANSI KEUANGAN PERUSAHAAN</x:v>
      </x:c>
      <x:c r="G3541" s="66" t="str">
        <x:v>Sarjana Terapan</x:v>
      </x:c>
      <x:c r="H3541" s="87" t="n">
        <x:v>36</x:v>
      </x:c>
      <x:c r="I3541" s="87" t="n">
        <x:v>182</x:v>
      </x:c>
      <x:c r="J3541" s="68" t="n">
        <x:f>IFERROR(H3541/I3541,"")</x:f>
        <x:v>0.1978021978021978</x:v>
      </x:c>
      <x:c r="K3541" s="69" t="n">
        <x:f>IFERROR(I3541/H3541,"")</x:f>
        <x:v>5.055555555555555</x:v>
      </x:c>
      <x:c r="L3541" s="66" t="str">
        <x:f>IF(K3541="","","1 : "&amp;TEXT(K3541,"0.0"))</x:f>
        <x:v>1 : 5.1</x:v>
      </x:c>
      <x:c r="M3541" s="66" t="str">
        <x:f>IF(J3541="","Baru/Tanpa Data",IF(J3541&lt;='Catatan &amp; Sumber'!$B$14,"Sangat Ketat",IF(J3541&lt;='Catatan &amp; Sumber'!$B$15,"Ketat",IF(J3541&lt;='Catatan &amp; Sumber'!$B$16,"Sedang","Relatif Longgar"))))</x:f>
        <x:v>Relatif Longgar</x:v>
      </x:c>
      <x:c r="N3541" s="66" t="str">
        <x:v>Tidak Ada</x:v>
      </x:c>
      <x:c r="O3541" s="66" t="str">
        <x:v>Kalimantan Barat</x:v>
      </x:c>
      <x:c r="P3541" s="66" t="str">
        <x:v>Kabupaten Sambas</x:v>
      </x:c>
      <x:c r="Q3541" s="66" t="str">
        <x:v>https://snpmb.id/snbp/daya-tampung-snbp</x:v>
      </x:c>
      <x:c r="R3541" s="66" t="str">
        <x:v>https://sidatagrun-public-1076756628210.asia-southeast2.run.app/ptn_sn.php?ptn=517</x:v>
      </x:c>
    </x:row>
    <x:row r="3542">
      <x:c r="A3542" s="87" t="n">
        <x:v>3090</x:v>
      </x:c>
      <x:c r="B3542" s="66" t="n">
        <x:v>517</x:v>
      </x:c>
      <x:c r="C3542" s="66" t="str">
        <x:v>POLITEKNIK NEGERI SAMBAS</x:v>
      </x:c>
      <x:c r="D3542" s="66" t="str">
        <x:v>PTN Vokasi</x:v>
      </x:c>
      <x:c r="E3542" s="66" t="str">
        <x:v>25172010</x:v>
      </x:c>
      <x:c r="F3542" s="66" t="str">
        <x:v>AKUNTANSI SEKTOR PUBLIK</x:v>
      </x:c>
      <x:c r="G3542" s="66" t="str">
        <x:v>Sarjana Terapan</x:v>
      </x:c>
      <x:c r="H3542" s="87" t="n">
        <x:v>36</x:v>
      </x:c>
      <x:c r="I3542" s="87" t="n">
        <x:v>115</x:v>
      </x:c>
      <x:c r="J3542" s="68" t="n">
        <x:f>IFERROR(H3542/I3542,"")</x:f>
        <x:v>0.3130434782608696</x:v>
      </x:c>
      <x:c r="K3542" s="69" t="n">
        <x:f>IFERROR(I3542/H3542,"")</x:f>
        <x:v>3.1944444444444446</x:v>
      </x:c>
      <x:c r="L3542" s="66" t="str">
        <x:f>IF(K3542="","","1 : "&amp;TEXT(K3542,"0.0"))</x:f>
        <x:v>1 : 3.2</x:v>
      </x:c>
      <x:c r="M3542" s="66" t="str">
        <x:f>IF(J3542="","Baru/Tanpa Data",IF(J3542&lt;='Catatan &amp; Sumber'!$B$14,"Sangat Ketat",IF(J3542&lt;='Catatan &amp; Sumber'!$B$15,"Ketat",IF(J3542&lt;='Catatan &amp; Sumber'!$B$16,"Sedang","Relatif Longgar"))))</x:f>
        <x:v>Relatif Longgar</x:v>
      </x:c>
      <x:c r="N3542" s="66" t="str">
        <x:v>Tidak Ada</x:v>
      </x:c>
      <x:c r="O3542" s="66" t="str">
        <x:v>Kalimantan Barat</x:v>
      </x:c>
      <x:c r="P3542" s="66" t="str">
        <x:v>Kabupaten Sambas</x:v>
      </x:c>
      <x:c r="Q3542" s="66" t="str">
        <x:v>https://snpmb.id/snbp/daya-tampung-snbp</x:v>
      </x:c>
      <x:c r="R3542" s="66" t="str">
        <x:v>https://sidatagrun-public-1076756628210.asia-southeast2.run.app/ptn_sn.php?ptn=517</x:v>
      </x:c>
    </x:row>
    <x:row r="3543">
      <x:c r="A3543" s="87" t="n">
        <x:v>3455</x:v>
      </x:c>
      <x:c r="B3543" s="66" t="n">
        <x:v>517</x:v>
      </x:c>
      <x:c r="C3543" s="66" t="str">
        <x:v>POLITEKNIK NEGERI SAMBAS</x:v>
      </x:c>
      <x:c r="D3543" s="66" t="str">
        <x:v>PTN Vokasi</x:v>
      </x:c>
      <x:c r="E3543" s="66" t="str">
        <x:v>25172011</x:v>
      </x:c>
      <x:c r="F3543" s="66" t="str">
        <x:v>PENGELOLAAN PERKEBUNAN</x:v>
      </x:c>
      <x:c r="G3543" s="66" t="str">
        <x:v>Sarjana Terapan</x:v>
      </x:c>
      <x:c r="H3543" s="87" t="n">
        <x:v>24</x:v>
      </x:c>
      <x:c r="I3543" s="87" t="n">
        <x:v>57</x:v>
      </x:c>
      <x:c r="J3543" s="68" t="n">
        <x:f>IFERROR(H3543/I3543,"")</x:f>
        <x:v>0.42105263157894735</x:v>
      </x:c>
      <x:c r="K3543" s="69" t="n">
        <x:f>IFERROR(I3543/H3543,"")</x:f>
        <x:v>2.375</x:v>
      </x:c>
      <x:c r="L3543" s="66" t="str">
        <x:f>IF(K3543="","","1 : "&amp;TEXT(K3543,"0.0"))</x:f>
        <x:v>1 : 2.4</x:v>
      </x:c>
      <x:c r="M3543" s="66" t="str">
        <x:f>IF(J3543="","Baru/Tanpa Data",IF(J3543&lt;='Catatan &amp; Sumber'!$B$14,"Sangat Ketat",IF(J3543&lt;='Catatan &amp; Sumber'!$B$15,"Ketat",IF(J3543&lt;='Catatan &amp; Sumber'!$B$16,"Sedang","Relatif Longgar"))))</x:f>
        <x:v>Relatif Longgar</x:v>
      </x:c>
      <x:c r="N3543" s="66" t="str">
        <x:v>Tidak Ada</x:v>
      </x:c>
      <x:c r="O3543" s="66" t="str">
        <x:v>Kalimantan Barat</x:v>
      </x:c>
      <x:c r="P3543" s="66" t="str">
        <x:v>Kabupaten Sambas</x:v>
      </x:c>
      <x:c r="Q3543" s="66" t="str">
        <x:v>https://snpmb.id/snbp/daya-tampung-snbp</x:v>
      </x:c>
      <x:c r="R3543" s="66" t="str">
        <x:v>https://sidatagrun-public-1076756628210.asia-southeast2.run.app/ptn_sn.php?ptn=517</x:v>
      </x:c>
    </x:row>
    <x:row r="3544">
      <x:c r="A3544" s="87" t="n">
        <x:v>3520</x:v>
      </x:c>
      <x:c r="B3544" s="66" t="n">
        <x:v>517</x:v>
      </x:c>
      <x:c r="C3544" s="66" t="str">
        <x:v>POLITEKNIK NEGERI SAMBAS</x:v>
      </x:c>
      <x:c r="D3544" s="66" t="str">
        <x:v>PTN Vokasi</x:v>
      </x:c>
      <x:c r="E3544" s="66" t="str">
        <x:v>25173007</x:v>
      </x:c>
      <x:c r="F3544" s="66" t="str">
        <x:v>AGROBISNIS</x:v>
      </x:c>
      <x:c r="G3544" s="66" t="str">
        <x:v>Diploma Tiga</x:v>
      </x:c>
      <x:c r="H3544" s="87" t="n">
        <x:v>26</x:v>
      </x:c>
      <x:c r="I3544" s="87" t="n">
        <x:v>59</x:v>
      </x:c>
      <x:c r="J3544" s="68" t="n">
        <x:f>IFERROR(H3544/I3544,"")</x:f>
        <x:v>0.4406779661016949</x:v>
      </x:c>
      <x:c r="K3544" s="69" t="n">
        <x:f>IFERROR(I3544/H3544,"")</x:f>
        <x:v>2.269230769230769</x:v>
      </x:c>
      <x:c r="L3544" s="66" t="str">
        <x:f>IF(K3544="","","1 : "&amp;TEXT(K3544,"0.0"))</x:f>
        <x:v>1 : 2.3</x:v>
      </x:c>
      <x:c r="M3544" s="66" t="str">
        <x:f>IF(J3544="","Baru/Tanpa Data",IF(J3544&lt;='Catatan &amp; Sumber'!$B$14,"Sangat Ketat",IF(J3544&lt;='Catatan &amp; Sumber'!$B$15,"Ketat",IF(J3544&lt;='Catatan &amp; Sumber'!$B$16,"Sedang","Relatif Longgar"))))</x:f>
        <x:v>Relatif Longgar</x:v>
      </x:c>
      <x:c r="N3544" s="66" t="str">
        <x:v>Tidak Ada</x:v>
      </x:c>
      <x:c r="O3544" s="66" t="str">
        <x:v>Kalimantan Barat</x:v>
      </x:c>
      <x:c r="P3544" s="66" t="str">
        <x:v>Kabupaten Sambas</x:v>
      </x:c>
      <x:c r="Q3544" s="66" t="str">
        <x:v>https://snpmb.id/snbp/daya-tampung-snbp</x:v>
      </x:c>
      <x:c r="R3544" s="66" t="str">
        <x:v>https://sidatagrun-public-1076756628210.asia-southeast2.run.app/ptn_sn.php?ptn=517</x:v>
      </x:c>
    </x:row>
    <x:row r="3545">
      <x:c r="A3545" s="87" t="n">
        <x:v>3213</x:v>
      </x:c>
      <x:c r="B3545" s="66" t="n">
        <x:v>517</x:v>
      </x:c>
      <x:c r="C3545" s="66" t="str">
        <x:v>POLITEKNIK NEGERI SAMBAS</x:v>
      </x:c>
      <x:c r="D3545" s="66" t="str">
        <x:v>PTN Vokasi</x:v>
      </x:c>
      <x:c r="E3545" s="66" t="str">
        <x:v>25173008</x:v>
      </x:c>
      <x:c r="F3545" s="66" t="str">
        <x:v>MANAJEMEN INFORMATIKA</x:v>
      </x:c>
      <x:c r="G3545" s="66" t="str">
        <x:v>Diploma Tiga</x:v>
      </x:c>
      <x:c r="H3545" s="87" t="n">
        <x:v>36</x:v>
      </x:c>
      <x:c r="I3545" s="87" t="n">
        <x:v>104</x:v>
      </x:c>
      <x:c r="J3545" s="68" t="n">
        <x:f>IFERROR(H3545/I3545,"")</x:f>
        <x:v>0.34615384615384615</x:v>
      </x:c>
      <x:c r="K3545" s="69" t="n">
        <x:f>IFERROR(I3545/H3545,"")</x:f>
        <x:v>2.888888888888889</x:v>
      </x:c>
      <x:c r="L3545" s="66" t="str">
        <x:f>IF(K3545="","","1 : "&amp;TEXT(K3545,"0.0"))</x:f>
        <x:v>1 : 2.9</x:v>
      </x:c>
      <x:c r="M3545" s="66" t="str">
        <x:f>IF(J3545="","Baru/Tanpa Data",IF(J3545&lt;='Catatan &amp; Sumber'!$B$14,"Sangat Ketat",IF(J3545&lt;='Catatan &amp; Sumber'!$B$15,"Ketat",IF(J3545&lt;='Catatan &amp; Sumber'!$B$16,"Sedang","Relatif Longgar"))))</x:f>
        <x:v>Relatif Longgar</x:v>
      </x:c>
      <x:c r="N3545" s="66" t="str">
        <x:v>Tidak Ada</x:v>
      </x:c>
      <x:c r="O3545" s="66" t="str">
        <x:v>Kalimantan Barat</x:v>
      </x:c>
      <x:c r="P3545" s="66" t="str">
        <x:v>Kabupaten Sambas</x:v>
      </x:c>
      <x:c r="Q3545" s="66" t="str">
        <x:v>https://snpmb.id/snbp/daya-tampung-snbp</x:v>
      </x:c>
      <x:c r="R3545" s="66" t="str">
        <x:v>https://sidatagrun-public-1076756628210.asia-southeast2.run.app/ptn_sn.php?ptn=517</x:v>
      </x:c>
    </x:row>
    <x:row r="3546">
      <x:c r="A3546" s="87" t="n">
        <x:v>3801</x:v>
      </x:c>
      <x:c r="B3546" s="66" t="n">
        <x:v>517</x:v>
      </x:c>
      <x:c r="C3546" s="66" t="str">
        <x:v>POLITEKNIK NEGERI SAMBAS</x:v>
      </x:c>
      <x:c r="D3546" s="66" t="str">
        <x:v>PTN Vokasi</x:v>
      </x:c>
      <x:c r="E3546" s="66" t="str">
        <x:v>25173009</x:v>
      </x:c>
      <x:c r="F3546" s="66" t="str">
        <x:v>TEKNIK MESIN</x:v>
      </x:c>
      <x:c r="G3546" s="66" t="str">
        <x:v>Diploma Tiga</x:v>
      </x:c>
      <x:c r="H3546" s="87" t="n">
        <x:v>24</x:v>
      </x:c>
      <x:c r="I3546" s="87" t="n">
        <x:v>42</x:v>
      </x:c>
      <x:c r="J3546" s="68" t="n">
        <x:f>IFERROR(H3546/I3546,"")</x:f>
        <x:v>0.5714285714285714</x:v>
      </x:c>
      <x:c r="K3546" s="69" t="n">
        <x:f>IFERROR(I3546/H3546,"")</x:f>
        <x:v>1.75</x:v>
      </x:c>
      <x:c r="L3546" s="66" t="str">
        <x:f>IF(K3546="","","1 : "&amp;TEXT(K3546,"0.0"))</x:f>
        <x:v>1 : 1.8</x:v>
      </x:c>
      <x:c r="M3546" s="66" t="str">
        <x:f>IF(J3546="","Baru/Tanpa Data",IF(J3546&lt;='Catatan &amp; Sumber'!$B$14,"Sangat Ketat",IF(J3546&lt;='Catatan &amp; Sumber'!$B$15,"Ketat",IF(J3546&lt;='Catatan &amp; Sumber'!$B$16,"Sedang","Relatif Longgar"))))</x:f>
        <x:v>Relatif Longgar</x:v>
      </x:c>
      <x:c r="N3546" s="66" t="str">
        <x:v>Tidak Ada</x:v>
      </x:c>
      <x:c r="O3546" s="66" t="str">
        <x:v>Kalimantan Barat</x:v>
      </x:c>
      <x:c r="P3546" s="66" t="str">
        <x:v>Kabupaten Sambas</x:v>
      </x:c>
      <x:c r="Q3546" s="66" t="str">
        <x:v>https://snpmb.id/snbp/daya-tampung-snbp</x:v>
      </x:c>
      <x:c r="R3546" s="66" t="str">
        <x:v>https://sidatagrun-public-1076756628210.asia-southeast2.run.app/ptn_sn.php?ptn=517</x:v>
      </x:c>
    </x:row>
    <x:row r="3547">
      <x:c r="A3547" s="87" t="n">
        <x:v>2876</x:v>
      </x:c>
      <x:c r="B3547" s="66" t="n">
        <x:v>521</x:v>
      </x:c>
      <x:c r="C3547" s="66" t="str">
        <x:v>UNIVERSITAS PALANGKARAYA</x:v>
      </x:c>
      <x:c r="D3547" s="66" t="str">
        <x:v>PTN Akademik</x:v>
      </x:c>
      <x:c r="E3547" s="66" t="str">
        <x:v>15211001</x:v>
      </x:c>
      <x:c r="F3547" s="66" t="str">
        <x:v>ILMU SOSIAL EKONOMI PERTANIAN (AGRIBISNIS)</x:v>
      </x:c>
      <x:c r="G3547" s="66" t="str">
        <x:v>Sarjana</x:v>
      </x:c>
      <x:c r="H3547" s="87" t="n">
        <x:v>48</x:v>
      </x:c>
      <x:c r="I3547" s="87" t="n">
        <x:v>177</x:v>
      </x:c>
      <x:c r="J3547" s="68" t="n">
        <x:f>IFERROR(H3547/I3547,"")</x:f>
        <x:v>0.2711864406779661</x:v>
      </x:c>
      <x:c r="K3547" s="69" t="n">
        <x:f>IFERROR(I3547/H3547,"")</x:f>
        <x:v>3.6875</x:v>
      </x:c>
      <x:c r="L3547" s="66" t="str">
        <x:f>IF(K3547="","","1 : "&amp;TEXT(K3547,"0.0"))</x:f>
        <x:v>1 : 3.7</x:v>
      </x:c>
      <x:c r="M3547" s="66" t="str">
        <x:f>IF(J3547="","Baru/Tanpa Data",IF(J3547&lt;='Catatan &amp; Sumber'!$B$14,"Sangat Ketat",IF(J3547&lt;='Catatan &amp; Sumber'!$B$15,"Ketat",IF(J3547&lt;='Catatan &amp; Sumber'!$B$16,"Sedang","Relatif Longgar"))))</x:f>
        <x:v>Relatif Longgar</x:v>
      </x:c>
      <x:c r="N3547" s="66" t="str">
        <x:v>Tidak Ada</x:v>
      </x:c>
      <x:c r="O3547" s="66" t="str">
        <x:v>Kalimantan Tengah</x:v>
      </x:c>
      <x:c r="P3547" s="66" t="str">
        <x:v>Kota Palangkaraya</x:v>
      </x:c>
      <x:c r="Q3547" s="66" t="str">
        <x:v>https://snpmb.id/snbp/daya-tampung-snbp</x:v>
      </x:c>
      <x:c r="R3547" s="66" t="str">
        <x:v>https://sidatagrun-public-1076756628210.asia-southeast2.run.app/ptn_sn.php?ptn=521</x:v>
      </x:c>
    </x:row>
    <x:row r="3548">
      <x:c r="A3548" s="87" t="n">
        <x:v>4639</x:v>
      </x:c>
      <x:c r="B3548" s="66" t="n">
        <x:v>521</x:v>
      </x:c>
      <x:c r="C3548" s="66" t="str">
        <x:v>UNIVERSITAS PALANGKARAYA</x:v>
      </x:c>
      <x:c r="D3548" s="66" t="str">
        <x:v>PTN Akademik</x:v>
      </x:c>
      <x:c r="E3548" s="66" t="str">
        <x:v>15211002</x:v>
      </x:c>
      <x:c r="F3548" s="66" t="str">
        <x:v>MANAJEMEN SUMBERDAYA PERAIRAN</x:v>
      </x:c>
      <x:c r="G3548" s="66" t="str">
        <x:v>Sarjana</x:v>
      </x:c>
      <x:c r="H3548" s="87" t="n">
        <x:v>20</x:v>
      </x:c>
      <x:c r="I3548" s="87" t="n">
        <x:v>11</x:v>
      </x:c>
      <x:c r="J3548" s="68" t="n">
        <x:f>IFERROR(H3548/I3548,"")</x:f>
        <x:v>1.8181818181818181</x:v>
      </x:c>
      <x:c r="K3548" s="69" t="n">
        <x:f>IFERROR(I3548/H3548,"")</x:f>
        <x:v>0.55</x:v>
      </x:c>
      <x:c r="L3548" s="66" t="str">
        <x:f>IF(K3548="","","1 : "&amp;TEXT(K3548,"0.0"))</x:f>
        <x:v>1 : 0.6</x:v>
      </x:c>
      <x:c r="M3548" s="66" t="str">
        <x:f>IF(J3548="","Baru/Tanpa Data",IF(J3548&lt;='Catatan &amp; Sumber'!$B$14,"Sangat Ketat",IF(J3548&lt;='Catatan &amp; Sumber'!$B$15,"Ketat",IF(J3548&lt;='Catatan &amp; Sumber'!$B$16,"Sedang","Relatif Longgar"))))</x:f>
        <x:v>Relatif Longgar</x:v>
      </x:c>
      <x:c r="N3548" s="66" t="str">
        <x:v>Tidak Ada</x:v>
      </x:c>
      <x:c r="O3548" s="66" t="str">
        <x:v>Kalimantan Tengah</x:v>
      </x:c>
      <x:c r="P3548" s="66" t="str">
        <x:v>Kota Palangkaraya</x:v>
      </x:c>
      <x:c r="Q3548" s="66" t="str">
        <x:v>https://snpmb.id/snbp/daya-tampung-snbp</x:v>
      </x:c>
      <x:c r="R3548" s="66" t="str">
        <x:v>https://sidatagrun-public-1076756628210.asia-southeast2.run.app/ptn_sn.php?ptn=521</x:v>
      </x:c>
    </x:row>
    <x:row r="3549">
      <x:c r="A3549" s="87" t="n">
        <x:v>4362</x:v>
      </x:c>
      <x:c r="B3549" s="66" t="n">
        <x:v>521</x:v>
      </x:c>
      <x:c r="C3549" s="66" t="str">
        <x:v>UNIVERSITAS PALANGKARAYA</x:v>
      </x:c>
      <x:c r="D3549" s="66" t="str">
        <x:v>PTN Akademik</x:v>
      </x:c>
      <x:c r="E3549" s="66" t="str">
        <x:v>15211003</x:v>
      </x:c>
      <x:c r="F3549" s="66" t="str">
        <x:v>BUDIDAYA PERAIRAN</x:v>
      </x:c>
      <x:c r="G3549" s="66" t="str">
        <x:v>Sarjana</x:v>
      </x:c>
      <x:c r="H3549" s="87" t="n">
        <x:v>18</x:v>
      </x:c>
      <x:c r="I3549" s="87" t="n">
        <x:v>17</x:v>
      </x:c>
      <x:c r="J3549" s="68" t="n">
        <x:f>IFERROR(H3549/I3549,"")</x:f>
        <x:v>1.0588235294117647</x:v>
      </x:c>
      <x:c r="K3549" s="69" t="n">
        <x:f>IFERROR(I3549/H3549,"")</x:f>
        <x:v>0.9444444444444444</x:v>
      </x:c>
      <x:c r="L3549" s="66" t="str">
        <x:f>IF(K3549="","","1 : "&amp;TEXT(K3549,"0.0"))</x:f>
        <x:v>1 : 0.9</x:v>
      </x:c>
      <x:c r="M3549" s="66" t="str">
        <x:f>IF(J3549="","Baru/Tanpa Data",IF(J3549&lt;='Catatan &amp; Sumber'!$B$14,"Sangat Ketat",IF(J3549&lt;='Catatan &amp; Sumber'!$B$15,"Ketat",IF(J3549&lt;='Catatan &amp; Sumber'!$B$16,"Sedang","Relatif Longgar"))))</x:f>
        <x:v>Relatif Longgar</x:v>
      </x:c>
      <x:c r="N3549" s="66" t="str">
        <x:v>Tidak Ada</x:v>
      </x:c>
      <x:c r="O3549" s="66" t="str">
        <x:v>Kalimantan Tengah</x:v>
      </x:c>
      <x:c r="P3549" s="66" t="str">
        <x:v>Kota Palangkaraya</x:v>
      </x:c>
      <x:c r="Q3549" s="66" t="str">
        <x:v>https://snpmb.id/snbp/daya-tampung-snbp</x:v>
      </x:c>
      <x:c r="R3549" s="66" t="str">
        <x:v>https://sidatagrun-public-1076756628210.asia-southeast2.run.app/ptn_sn.php?ptn=521</x:v>
      </x:c>
    </x:row>
    <x:row r="3550">
      <x:c r="A3550" s="87" t="n">
        <x:v>2345</x:v>
      </x:c>
      <x:c r="B3550" s="66" t="n">
        <x:v>521</x:v>
      </x:c>
      <x:c r="C3550" s="66" t="str">
        <x:v>UNIVERSITAS PALANGKARAYA</x:v>
      </x:c>
      <x:c r="D3550" s="66" t="str">
        <x:v>PTN Akademik</x:v>
      </x:c>
      <x:c r="E3550" s="66" t="str">
        <x:v>15211004</x:v>
      </x:c>
      <x:c r="F3550" s="66" t="str">
        <x:v>TEKNIK SIPIL</x:v>
      </x:c>
      <x:c r="G3550" s="66" t="str">
        <x:v>Sarjana</x:v>
      </x:c>
      <x:c r="H3550" s="87" t="n">
        <x:v>48</x:v>
      </x:c>
      <x:c r="I3550" s="87" t="n">
        <x:v>254</x:v>
      </x:c>
      <x:c r="J3550" s="68" t="n">
        <x:f>IFERROR(H3550/I3550,"")</x:f>
        <x:v>0.1889763779527559</x:v>
      </x:c>
      <x:c r="K3550" s="69" t="n">
        <x:f>IFERROR(I3550/H3550,"")</x:f>
        <x:v>5.291666666666667</x:v>
      </x:c>
      <x:c r="L3550" s="66" t="str">
        <x:f>IF(K3550="","","1 : "&amp;TEXT(K3550,"0.0"))</x:f>
        <x:v>1 : 5.3</x:v>
      </x:c>
      <x:c r="M3550" s="66" t="str">
        <x:f>IF(J3550="","Baru/Tanpa Data",IF(J3550&lt;='Catatan &amp; Sumber'!$B$14,"Sangat Ketat",IF(J3550&lt;='Catatan &amp; Sumber'!$B$15,"Ketat",IF(J3550&lt;='Catatan &amp; Sumber'!$B$16,"Sedang","Relatif Longgar"))))</x:f>
        <x:v>Relatif Longgar</x:v>
      </x:c>
      <x:c r="N3550" s="66" t="str">
        <x:v>Tidak Ada</x:v>
      </x:c>
      <x:c r="O3550" s="66" t="str">
        <x:v>Kalimantan Tengah</x:v>
      </x:c>
      <x:c r="P3550" s="66" t="str">
        <x:v>Kota Palangkaraya</x:v>
      </x:c>
      <x:c r="Q3550" s="66" t="str">
        <x:v>https://snpmb.id/snbp/daya-tampung-snbp</x:v>
      </x:c>
      <x:c r="R3550" s="66" t="str">
        <x:v>https://sidatagrun-public-1076756628210.asia-southeast2.run.app/ptn_sn.php?ptn=521</x:v>
      </x:c>
    </x:row>
    <x:row r="3551">
      <x:c r="A3551" s="87" t="n">
        <x:v>3256</x:v>
      </x:c>
      <x:c r="B3551" s="66" t="n">
        <x:v>521</x:v>
      </x:c>
      <x:c r="C3551" s="66" t="str">
        <x:v>UNIVERSITAS PALANGKARAYA</x:v>
      </x:c>
      <x:c r="D3551" s="66" t="str">
        <x:v>PTN Akademik</x:v>
      </x:c>
      <x:c r="E3551" s="66" t="str">
        <x:v>15211005</x:v>
      </x:c>
      <x:c r="F3551" s="66" t="str">
        <x:v>ARSITEKTUR</x:v>
      </x:c>
      <x:c r="G3551" s="66" t="str">
        <x:v>Sarjana</x:v>
      </x:c>
      <x:c r="H3551" s="87" t="n">
        <x:v>29</x:v>
      </x:c>
      <x:c r="I3551" s="87" t="n">
        <x:v>81</x:v>
      </x:c>
      <x:c r="J3551" s="68" t="n">
        <x:f>IFERROR(H3551/I3551,"")</x:f>
        <x:v>0.35802469135802467</x:v>
      </x:c>
      <x:c r="K3551" s="69" t="n">
        <x:f>IFERROR(I3551/H3551,"")</x:f>
        <x:v>2.793103448275862</x:v>
      </x:c>
      <x:c r="L3551" s="66" t="str">
        <x:f>IF(K3551="","","1 : "&amp;TEXT(K3551,"0.0"))</x:f>
        <x:v>1 : 2.8</x:v>
      </x:c>
      <x:c r="M3551" s="66" t="str">
        <x:f>IF(J3551="","Baru/Tanpa Data",IF(J3551&lt;='Catatan &amp; Sumber'!$B$14,"Sangat Ketat",IF(J3551&lt;='Catatan &amp; Sumber'!$B$15,"Ketat",IF(J3551&lt;='Catatan &amp; Sumber'!$B$16,"Sedang","Relatif Longgar"))))</x:f>
        <x:v>Relatif Longgar</x:v>
      </x:c>
      <x:c r="N3551" s="66" t="str">
        <x:v>Tidak Ada</x:v>
      </x:c>
      <x:c r="O3551" s="66" t="str">
        <x:v>Kalimantan Tengah</x:v>
      </x:c>
      <x:c r="P3551" s="66" t="str">
        <x:v>Kota Palangkaraya</x:v>
      </x:c>
      <x:c r="Q3551" s="66" t="str">
        <x:v>https://snpmb.id/snbp/daya-tampung-snbp</x:v>
      </x:c>
      <x:c r="R3551" s="66" t="str">
        <x:v>https://sidatagrun-public-1076756628210.asia-southeast2.run.app/ptn_sn.php?ptn=521</x:v>
      </x:c>
    </x:row>
    <x:row r="3552">
      <x:c r="A3552" s="87" t="n">
        <x:v>553</x:v>
      </x:c>
      <x:c r="B3552" s="66" t="n">
        <x:v>521</x:v>
      </x:c>
      <x:c r="C3552" s="66" t="str">
        <x:v>UNIVERSITAS PALANGKARAYA</x:v>
      </x:c>
      <x:c r="D3552" s="66" t="str">
        <x:v>PTN Akademik</x:v>
      </x:c>
      <x:c r="E3552" s="66" t="str">
        <x:v>15211006</x:v>
      </x:c>
      <x:c r="F3552" s="66" t="str">
        <x:v>TEKNIK INFORMATIKA</x:v>
      </x:c>
      <x:c r="G3552" s="66" t="str">
        <x:v>Sarjana</x:v>
      </x:c>
      <x:c r="H3552" s="87" t="n">
        <x:v>30</x:v>
      </x:c>
      <x:c r="I3552" s="87" t="n">
        <x:v>552</x:v>
      </x:c>
      <x:c r="J3552" s="68" t="n">
        <x:f>IFERROR(H3552/I3552,"")</x:f>
        <x:v>0.05434782608695652</x:v>
      </x:c>
      <x:c r="K3552" s="69" t="n">
        <x:f>IFERROR(I3552/H3552,"")</x:f>
        <x:v>18.4</x:v>
      </x:c>
      <x:c r="L3552" s="66" t="str">
        <x:f>IF(K3552="","","1 : "&amp;TEXT(K3552,"0.0"))</x:f>
        <x:v>1 : 18.4</x:v>
      </x:c>
      <x:c r="M3552" s="66" t="str">
        <x:f>IF(J3552="","Baru/Tanpa Data",IF(J3552&lt;='Catatan &amp; Sumber'!$B$14,"Sangat Ketat",IF(J3552&lt;='Catatan &amp; Sumber'!$B$15,"Ketat",IF(J3552&lt;='Catatan &amp; Sumber'!$B$16,"Sedang","Relatif Longgar"))))</x:f>
        <x:v>Sedang</x:v>
      </x:c>
      <x:c r="N3552" s="66" t="str">
        <x:v>Tidak Ada</x:v>
      </x:c>
      <x:c r="O3552" s="66" t="str">
        <x:v>Kalimantan Tengah</x:v>
      </x:c>
      <x:c r="P3552" s="66" t="str">
        <x:v>Kota Palangkaraya</x:v>
      </x:c>
      <x:c r="Q3552" s="66" t="str">
        <x:v>https://snpmb.id/snbp/daya-tampung-snbp</x:v>
      </x:c>
      <x:c r="R3552" s="66" t="str">
        <x:v>https://sidatagrun-public-1076756628210.asia-southeast2.run.app/ptn_sn.php?ptn=521</x:v>
      </x:c>
    </x:row>
    <x:row r="3553">
      <x:c r="A3553" s="87" t="n">
        <x:v>3497</x:v>
      </x:c>
      <x:c r="B3553" s="66" t="n">
        <x:v>521</x:v>
      </x:c>
      <x:c r="C3553" s="66" t="str">
        <x:v>UNIVERSITAS PALANGKARAYA</x:v>
      </x:c>
      <x:c r="D3553" s="66" t="str">
        <x:v>PTN Akademik</x:v>
      </x:c>
      <x:c r="E3553" s="66" t="str">
        <x:v>15211007</x:v>
      </x:c>
      <x:c r="F3553" s="66" t="str">
        <x:v>PEND. MATEMATIKA</x:v>
      </x:c>
      <x:c r="G3553" s="66" t="str">
        <x:v>Sarjana</x:v>
      </x:c>
      <x:c r="H3553" s="87" t="n">
        <x:v>30</x:v>
      </x:c>
      <x:c r="I3553" s="87" t="n">
        <x:v>69</x:v>
      </x:c>
      <x:c r="J3553" s="68" t="n">
        <x:f>IFERROR(H3553/I3553,"")</x:f>
        <x:v>0.43478260869565216</x:v>
      </x:c>
      <x:c r="K3553" s="69" t="n">
        <x:f>IFERROR(I3553/H3553,"")</x:f>
        <x:v>2.3</x:v>
      </x:c>
      <x:c r="L3553" s="66" t="str">
        <x:f>IF(K3553="","","1 : "&amp;TEXT(K3553,"0.0"))</x:f>
        <x:v>1 : 2.3</x:v>
      </x:c>
      <x:c r="M3553" s="66" t="str">
        <x:f>IF(J3553="","Baru/Tanpa Data",IF(J3553&lt;='Catatan &amp; Sumber'!$B$14,"Sangat Ketat",IF(J3553&lt;='Catatan &amp; Sumber'!$B$15,"Ketat",IF(J3553&lt;='Catatan &amp; Sumber'!$B$16,"Sedang","Relatif Longgar"))))</x:f>
        <x:v>Relatif Longgar</x:v>
      </x:c>
      <x:c r="N3553" s="66" t="str">
        <x:v>Tidak Ada</x:v>
      </x:c>
      <x:c r="O3553" s="66" t="str">
        <x:v>Kalimantan Tengah</x:v>
      </x:c>
      <x:c r="P3553" s="66" t="str">
        <x:v>Kota Palangkaraya</x:v>
      </x:c>
      <x:c r="Q3553" s="66" t="str">
        <x:v>https://snpmb.id/snbp/daya-tampung-snbp</x:v>
      </x:c>
      <x:c r="R3553" s="66" t="str">
        <x:v>https://sidatagrun-public-1076756628210.asia-southeast2.run.app/ptn_sn.php?ptn=521</x:v>
      </x:c>
    </x:row>
    <x:row r="3554">
      <x:c r="A3554" s="87" t="n">
        <x:v>4156</x:v>
      </x:c>
      <x:c r="B3554" s="66" t="n">
        <x:v>521</x:v>
      </x:c>
      <x:c r="C3554" s="66" t="str">
        <x:v>UNIVERSITAS PALANGKARAYA</x:v>
      </x:c>
      <x:c r="D3554" s="66" t="str">
        <x:v>PTN Akademik</x:v>
      </x:c>
      <x:c r="E3554" s="66" t="str">
        <x:v>15211008</x:v>
      </x:c>
      <x:c r="F3554" s="66" t="str">
        <x:v>PEND. FISIKA</x:v>
      </x:c>
      <x:c r="G3554" s="66" t="str">
        <x:v>Sarjana</x:v>
      </x:c>
      <x:c r="H3554" s="87" t="n">
        <x:v>18</x:v>
      </x:c>
      <x:c r="I3554" s="87" t="n">
        <x:v>22</x:v>
      </x:c>
      <x:c r="J3554" s="68" t="n">
        <x:f>IFERROR(H3554/I3554,"")</x:f>
        <x:v>0.8181818181818182</x:v>
      </x:c>
      <x:c r="K3554" s="69" t="n">
        <x:f>IFERROR(I3554/H3554,"")</x:f>
        <x:v>1.2222222222222223</x:v>
      </x:c>
      <x:c r="L3554" s="66" t="str">
        <x:f>IF(K3554="","","1 : "&amp;TEXT(K3554,"0.0"))</x:f>
        <x:v>1 : 1.2</x:v>
      </x:c>
      <x:c r="M3554" s="66" t="str">
        <x:f>IF(J3554="","Baru/Tanpa Data",IF(J3554&lt;='Catatan &amp; Sumber'!$B$14,"Sangat Ketat",IF(J3554&lt;='Catatan &amp; Sumber'!$B$15,"Ketat",IF(J3554&lt;='Catatan &amp; Sumber'!$B$16,"Sedang","Relatif Longgar"))))</x:f>
        <x:v>Relatif Longgar</x:v>
      </x:c>
      <x:c r="N3554" s="66" t="str">
        <x:v>Tidak Ada</x:v>
      </x:c>
      <x:c r="O3554" s="66" t="str">
        <x:v>Kalimantan Tengah</x:v>
      </x:c>
      <x:c r="P3554" s="66" t="str">
        <x:v>Kota Palangkaraya</x:v>
      </x:c>
      <x:c r="Q3554" s="66" t="str">
        <x:v>https://snpmb.id/snbp/daya-tampung-snbp</x:v>
      </x:c>
      <x:c r="R3554" s="66" t="str">
        <x:v>https://sidatagrun-public-1076756628210.asia-southeast2.run.app/ptn_sn.php?ptn=521</x:v>
      </x:c>
    </x:row>
    <x:row r="3555">
      <x:c r="A3555" s="87" t="n">
        <x:v>4408</x:v>
      </x:c>
      <x:c r="B3555" s="66" t="n">
        <x:v>521</x:v>
      </x:c>
      <x:c r="C3555" s="66" t="str">
        <x:v>UNIVERSITAS PALANGKARAYA</x:v>
      </x:c>
      <x:c r="D3555" s="66" t="str">
        <x:v>PTN Akademik</x:v>
      </x:c>
      <x:c r="E3555" s="66" t="str">
        <x:v>15211009</x:v>
      </x:c>
      <x:c r="F3555" s="66" t="str">
        <x:v>PEND. KIMIA</x:v>
      </x:c>
      <x:c r="G3555" s="66" t="str">
        <x:v>Sarjana</x:v>
      </x:c>
      <x:c r="H3555" s="87" t="n">
        <x:v>16</x:v>
      </x:c>
      <x:c r="I3555" s="87" t="n">
        <x:v>14</x:v>
      </x:c>
      <x:c r="J3555" s="68" t="n">
        <x:f>IFERROR(H3555/I3555,"")</x:f>
        <x:v>1.1428571428571428</x:v>
      </x:c>
      <x:c r="K3555" s="69" t="n">
        <x:f>IFERROR(I3555/H3555,"")</x:f>
        <x:v>0.875</x:v>
      </x:c>
      <x:c r="L3555" s="66" t="str">
        <x:f>IF(K3555="","","1 : "&amp;TEXT(K3555,"0.0"))</x:f>
        <x:v>1 : 0.9</x:v>
      </x:c>
      <x:c r="M3555" s="66" t="str">
        <x:f>IF(J3555="","Baru/Tanpa Data",IF(J3555&lt;='Catatan &amp; Sumber'!$B$14,"Sangat Ketat",IF(J3555&lt;='Catatan &amp; Sumber'!$B$15,"Ketat",IF(J3555&lt;='Catatan &amp; Sumber'!$B$16,"Sedang","Relatif Longgar"))))</x:f>
        <x:v>Relatif Longgar</x:v>
      </x:c>
      <x:c r="N3555" s="66" t="str">
        <x:v>Tidak Ada</x:v>
      </x:c>
      <x:c r="O3555" s="66" t="str">
        <x:v>Kalimantan Tengah</x:v>
      </x:c>
      <x:c r="P3555" s="66" t="str">
        <x:v>Kota Palangkaraya</x:v>
      </x:c>
      <x:c r="Q3555" s="66" t="str">
        <x:v>https://snpmb.id/snbp/daya-tampung-snbp</x:v>
      </x:c>
      <x:c r="R3555" s="66" t="str">
        <x:v>https://sidatagrun-public-1076756628210.asia-southeast2.run.app/ptn_sn.php?ptn=521</x:v>
      </x:c>
    </x:row>
    <x:row r="3556">
      <x:c r="A3556" s="87" t="n">
        <x:v>3339</x:v>
      </x:c>
      <x:c r="B3556" s="66" t="n">
        <x:v>521</x:v>
      </x:c>
      <x:c r="C3556" s="66" t="str">
        <x:v>UNIVERSITAS PALANGKARAYA</x:v>
      </x:c>
      <x:c r="D3556" s="66" t="str">
        <x:v>PTN Akademik</x:v>
      </x:c>
      <x:c r="E3556" s="66" t="str">
        <x:v>15211010</x:v>
      </x:c>
      <x:c r="F3556" s="66" t="str">
        <x:v>PEND. BIOLOGI</x:v>
      </x:c>
      <x:c r="G3556" s="66" t="str">
        <x:v>Sarjana</x:v>
      </x:c>
      <x:c r="H3556" s="87" t="n">
        <x:v>23</x:v>
      </x:c>
      <x:c r="I3556" s="87" t="n">
        <x:v>60</x:v>
      </x:c>
      <x:c r="J3556" s="68" t="n">
        <x:f>IFERROR(H3556/I3556,"")</x:f>
        <x:v>0.38333333333333336</x:v>
      </x:c>
      <x:c r="K3556" s="69" t="n">
        <x:f>IFERROR(I3556/H3556,"")</x:f>
        <x:v>2.608695652173913</x:v>
      </x:c>
      <x:c r="L3556" s="66" t="str">
        <x:f>IF(K3556="","","1 : "&amp;TEXT(K3556,"0.0"))</x:f>
        <x:v>1 : 2.6</x:v>
      </x:c>
      <x:c r="M3556" s="66" t="str">
        <x:f>IF(J3556="","Baru/Tanpa Data",IF(J3556&lt;='Catatan &amp; Sumber'!$B$14,"Sangat Ketat",IF(J3556&lt;='Catatan &amp; Sumber'!$B$15,"Ketat",IF(J3556&lt;='Catatan &amp; Sumber'!$B$16,"Sedang","Relatif Longgar"))))</x:f>
        <x:v>Relatif Longgar</x:v>
      </x:c>
      <x:c r="N3556" s="66" t="str">
        <x:v>Tidak Ada</x:v>
      </x:c>
      <x:c r="O3556" s="66" t="str">
        <x:v>Kalimantan Tengah</x:v>
      </x:c>
      <x:c r="P3556" s="66" t="str">
        <x:v>Kota Palangkaraya</x:v>
      </x:c>
      <x:c r="Q3556" s="66" t="str">
        <x:v>https://snpmb.id/snbp/daya-tampung-snbp</x:v>
      </x:c>
      <x:c r="R3556" s="66" t="str">
        <x:v>https://sidatagrun-public-1076756628210.asia-southeast2.run.app/ptn_sn.php?ptn=521</x:v>
      </x:c>
    </x:row>
    <x:row r="3557">
      <x:c r="A3557" s="87" t="n">
        <x:v>3127</x:v>
      </x:c>
      <x:c r="B3557" s="66" t="n">
        <x:v>521</x:v>
      </x:c>
      <x:c r="C3557" s="66" t="str">
        <x:v>UNIVERSITAS PALANGKARAYA</x:v>
      </x:c>
      <x:c r="D3557" s="66" t="str">
        <x:v>PTN Akademik</x:v>
      </x:c>
      <x:c r="E3557" s="66" t="str">
        <x:v>15211011</x:v>
      </x:c>
      <x:c r="F3557" s="66" t="str">
        <x:v>PEND. TEKNIK MESIN</x:v>
      </x:c>
      <x:c r="G3557" s="66" t="str">
        <x:v>Sarjana</x:v>
      </x:c>
      <x:c r="H3557" s="87" t="n">
        <x:v>18</x:v>
      </x:c>
      <x:c r="I3557" s="87" t="n">
        <x:v>56</x:v>
      </x:c>
      <x:c r="J3557" s="68" t="n">
        <x:f>IFERROR(H3557/I3557,"")</x:f>
        <x:v>0.32142857142857145</x:v>
      </x:c>
      <x:c r="K3557" s="69" t="n">
        <x:f>IFERROR(I3557/H3557,"")</x:f>
        <x:v>3.111111111111111</x:v>
      </x:c>
      <x:c r="L3557" s="66" t="str">
        <x:f>IF(K3557="","","1 : "&amp;TEXT(K3557,"0.0"))</x:f>
        <x:v>1 : 3.1</x:v>
      </x:c>
      <x:c r="M3557" s="66" t="str">
        <x:f>IF(J3557="","Baru/Tanpa Data",IF(J3557&lt;='Catatan &amp; Sumber'!$B$14,"Sangat Ketat",IF(J3557&lt;='Catatan &amp; Sumber'!$B$15,"Ketat",IF(J3557&lt;='Catatan &amp; Sumber'!$B$16,"Sedang","Relatif Longgar"))))</x:f>
        <x:v>Relatif Longgar</x:v>
      </x:c>
      <x:c r="N3557" s="66" t="str">
        <x:v>Tidak Ada</x:v>
      </x:c>
      <x:c r="O3557" s="66" t="str">
        <x:v>Kalimantan Tengah</x:v>
      </x:c>
      <x:c r="P3557" s="66" t="str">
        <x:v>Kota Palangkaraya</x:v>
      </x:c>
      <x:c r="Q3557" s="66" t="str">
        <x:v>https://snpmb.id/snbp/daya-tampung-snbp</x:v>
      </x:c>
      <x:c r="R3557" s="66" t="str">
        <x:v>https://sidatagrun-public-1076756628210.asia-southeast2.run.app/ptn_sn.php?ptn=521</x:v>
      </x:c>
    </x:row>
    <x:row r="3558">
      <x:c r="A3558" s="87" t="n">
        <x:v>932</x:v>
      </x:c>
      <x:c r="B3558" s="66" t="n">
        <x:v>521</x:v>
      </x:c>
      <x:c r="C3558" s="66" t="str">
        <x:v>UNIVERSITAS PALANGKARAYA</x:v>
      </x:c>
      <x:c r="D3558" s="66" t="str">
        <x:v>PTN Akademik</x:v>
      </x:c>
      <x:c r="E3558" s="66" t="str">
        <x:v>15211012</x:v>
      </x:c>
      <x:c r="F3558" s="66" t="str">
        <x:v>TEKNIK PERTAMBANGAN</x:v>
      </x:c>
      <x:c r="G3558" s="66" t="str">
        <x:v>Sarjana</x:v>
      </x:c>
      <x:c r="H3558" s="87" t="n">
        <x:v>30</x:v>
      </x:c>
      <x:c r="I3558" s="87" t="n">
        <x:v>404</x:v>
      </x:c>
      <x:c r="J3558" s="68" t="n">
        <x:f>IFERROR(H3558/I3558,"")</x:f>
        <x:v>0.07425742574257425</x:v>
      </x:c>
      <x:c r="K3558" s="69" t="n">
        <x:f>IFERROR(I3558/H3558,"")</x:f>
        <x:v>13.466666666666667</x:v>
      </x:c>
      <x:c r="L3558" s="66" t="str">
        <x:f>IF(K3558="","","1 : "&amp;TEXT(K3558,"0.0"))</x:f>
        <x:v>1 : 13.5</x:v>
      </x:c>
      <x:c r="M3558" s="66" t="str">
        <x:f>IF(J3558="","Baru/Tanpa Data",IF(J3558&lt;='Catatan &amp; Sumber'!$B$14,"Sangat Ketat",IF(J3558&lt;='Catatan &amp; Sumber'!$B$15,"Ketat",IF(J3558&lt;='Catatan &amp; Sumber'!$B$16,"Sedang","Relatif Longgar"))))</x:f>
        <x:v>Sedang</x:v>
      </x:c>
      <x:c r="N3558" s="66" t="str">
        <x:v>Tidak Ada</x:v>
      </x:c>
      <x:c r="O3558" s="66" t="str">
        <x:v>Kalimantan Tengah</x:v>
      </x:c>
      <x:c r="P3558" s="66" t="str">
        <x:v>Kota Palangkaraya</x:v>
      </x:c>
      <x:c r="Q3558" s="66" t="str">
        <x:v>https://snpmb.id/snbp/daya-tampung-snbp</x:v>
      </x:c>
      <x:c r="R3558" s="66" t="str">
        <x:v>https://sidatagrun-public-1076756628210.asia-southeast2.run.app/ptn_sn.php?ptn=521</x:v>
      </x:c>
    </x:row>
    <x:row r="3559">
      <x:c r="A3559" s="87" t="n">
        <x:v>2863</x:v>
      </x:c>
      <x:c r="B3559" s="66" t="n">
        <x:v>521</x:v>
      </x:c>
      <x:c r="C3559" s="66" t="str">
        <x:v>UNIVERSITAS PALANGKARAYA</x:v>
      </x:c>
      <x:c r="D3559" s="66" t="str">
        <x:v>PTN Akademik</x:v>
      </x:c>
      <x:c r="E3559" s="66" t="str">
        <x:v>15211013</x:v>
      </x:c>
      <x:c r="F3559" s="66" t="str">
        <x:v>AGROTEKNOLOGI</x:v>
      </x:c>
      <x:c r="G3559" s="66" t="str">
        <x:v>Sarjana</x:v>
      </x:c>
      <x:c r="H3559" s="87" t="n">
        <x:v>48</x:v>
      </x:c>
      <x:c r="I3559" s="87" t="n">
        <x:v>178</x:v>
      </x:c>
      <x:c r="J3559" s="68" t="n">
        <x:f>IFERROR(H3559/I3559,"")</x:f>
        <x:v>0.2696629213483146</x:v>
      </x:c>
      <x:c r="K3559" s="69" t="n">
        <x:f>IFERROR(I3559/H3559,"")</x:f>
        <x:v>3.7083333333333335</x:v>
      </x:c>
      <x:c r="L3559" s="66" t="str">
        <x:f>IF(K3559="","","1 : "&amp;TEXT(K3559,"0.0"))</x:f>
        <x:v>1 : 3.7</x:v>
      </x:c>
      <x:c r="M3559" s="66" t="str">
        <x:f>IF(J3559="","Baru/Tanpa Data",IF(J3559&lt;='Catatan &amp; Sumber'!$B$14,"Sangat Ketat",IF(J3559&lt;='Catatan &amp; Sumber'!$B$15,"Ketat",IF(J3559&lt;='Catatan &amp; Sumber'!$B$16,"Sedang","Relatif Longgar"))))</x:f>
        <x:v>Relatif Longgar</x:v>
      </x:c>
      <x:c r="N3559" s="66" t="str">
        <x:v>Tidak Ada</x:v>
      </x:c>
      <x:c r="O3559" s="66" t="str">
        <x:v>Kalimantan Tengah</x:v>
      </x:c>
      <x:c r="P3559" s="66" t="str">
        <x:v>Kota Palangkaraya</x:v>
      </x:c>
      <x:c r="Q3559" s="66" t="str">
        <x:v>https://snpmb.id/snbp/daya-tampung-snbp</x:v>
      </x:c>
      <x:c r="R3559" s="66" t="str">
        <x:v>https://sidatagrun-public-1076756628210.asia-southeast2.run.app/ptn_sn.php?ptn=521</x:v>
      </x:c>
    </x:row>
    <x:row r="3560">
      <x:c r="A3560" s="87" t="n">
        <x:v>3166</x:v>
      </x:c>
      <x:c r="B3560" s="66" t="n">
        <x:v>521</x:v>
      </x:c>
      <x:c r="C3560" s="66" t="str">
        <x:v>UNIVERSITAS PALANGKARAYA</x:v>
      </x:c>
      <x:c r="D3560" s="66" t="str">
        <x:v>PTN Akademik</x:v>
      </x:c>
      <x:c r="E3560" s="66" t="str">
        <x:v>15211014</x:v>
      </x:c>
      <x:c r="F3560" s="66" t="str">
        <x:v>KEHUTANAN</x:v>
      </x:c>
      <x:c r="G3560" s="66" t="str">
        <x:v>Sarjana</x:v>
      </x:c>
      <x:c r="H3560" s="87" t="n">
        <x:v>48</x:v>
      </x:c>
      <x:c r="I3560" s="87" t="n">
        <x:v>145</x:v>
      </x:c>
      <x:c r="J3560" s="68" t="n">
        <x:f>IFERROR(H3560/I3560,"")</x:f>
        <x:v>0.3310344827586207</x:v>
      </x:c>
      <x:c r="K3560" s="69" t="n">
        <x:f>IFERROR(I3560/H3560,"")</x:f>
        <x:v>3.0208333333333335</x:v>
      </x:c>
      <x:c r="L3560" s="66" t="str">
        <x:f>IF(K3560="","","1 : "&amp;TEXT(K3560,"0.0"))</x:f>
        <x:v>1 : 3.0</x:v>
      </x:c>
      <x:c r="M3560" s="66" t="str">
        <x:f>IF(J3560="","Baru/Tanpa Data",IF(J3560&lt;='Catatan &amp; Sumber'!$B$14,"Sangat Ketat",IF(J3560&lt;='Catatan &amp; Sumber'!$B$15,"Ketat",IF(J3560&lt;='Catatan &amp; Sumber'!$B$16,"Sedang","Relatif Longgar"))))</x:f>
        <x:v>Relatif Longgar</x:v>
      </x:c>
      <x:c r="N3560" s="66" t="str">
        <x:v>Tidak Ada</x:v>
      </x:c>
      <x:c r="O3560" s="66" t="str">
        <x:v>Kalimantan Tengah</x:v>
      </x:c>
      <x:c r="P3560" s="66" t="str">
        <x:v>Kota Palangkaraya</x:v>
      </x:c>
      <x:c r="Q3560" s="66" t="str">
        <x:v>https://snpmb.id/snbp/daya-tampung-snbp</x:v>
      </x:c>
      <x:c r="R3560" s="66" t="str">
        <x:v>https://sidatagrun-public-1076756628210.asia-southeast2.run.app/ptn_sn.php?ptn=521</x:v>
      </x:c>
    </x:row>
    <x:row r="3561">
      <x:c r="A3561" s="87" t="n">
        <x:v>4085</x:v>
      </x:c>
      <x:c r="B3561" s="66" t="n">
        <x:v>521</x:v>
      </x:c>
      <x:c r="C3561" s="66" t="str">
        <x:v>UNIVERSITAS PALANGKARAYA</x:v>
      </x:c>
      <x:c r="D3561" s="66" t="str">
        <x:v>PTN Akademik</x:v>
      </x:c>
      <x:c r="E3561" s="66" t="str">
        <x:v>15211015</x:v>
      </x:c>
      <x:c r="F3561" s="66" t="str">
        <x:v>TEKNOLOGI HASIL PERIKANAN</x:v>
      </x:c>
      <x:c r="G3561" s="66" t="str">
        <x:v>Sarjana</x:v>
      </x:c>
      <x:c r="H3561" s="87" t="n">
        <x:v>12</x:v>
      </x:c>
      <x:c r="I3561" s="87" t="n">
        <x:v>16</x:v>
      </x:c>
      <x:c r="J3561" s="68" t="n">
        <x:f>IFERROR(H3561/I3561,"")</x:f>
        <x:v>0.75</x:v>
      </x:c>
      <x:c r="K3561" s="69" t="n">
        <x:f>IFERROR(I3561/H3561,"")</x:f>
        <x:v>1.3333333333333333</x:v>
      </x:c>
      <x:c r="L3561" s="66" t="str">
        <x:f>IF(K3561="","","1 : "&amp;TEXT(K3561,"0.0"))</x:f>
        <x:v>1 : 1.3</x:v>
      </x:c>
      <x:c r="M3561" s="66" t="str">
        <x:f>IF(J3561="","Baru/Tanpa Data",IF(J3561&lt;='Catatan &amp; Sumber'!$B$14,"Sangat Ketat",IF(J3561&lt;='Catatan &amp; Sumber'!$B$15,"Ketat",IF(J3561&lt;='Catatan &amp; Sumber'!$B$16,"Sedang","Relatif Longgar"))))</x:f>
        <x:v>Relatif Longgar</x:v>
      </x:c>
      <x:c r="N3561" s="66" t="str">
        <x:v>Tidak Ada</x:v>
      </x:c>
      <x:c r="O3561" s="66" t="str">
        <x:v>Kalimantan Tengah</x:v>
      </x:c>
      <x:c r="P3561" s="66" t="str">
        <x:v>Kota Palangkaraya</x:v>
      </x:c>
      <x:c r="Q3561" s="66" t="str">
        <x:v>https://snpmb.id/snbp/daya-tampung-snbp</x:v>
      </x:c>
      <x:c r="R3561" s="66" t="str">
        <x:v>https://sidatagrun-public-1076756628210.asia-southeast2.run.app/ptn_sn.php?ptn=521</x:v>
      </x:c>
    </x:row>
    <x:row r="3562">
      <x:c r="A3562" s="87" t="n">
        <x:v>3522</x:v>
      </x:c>
      <x:c r="B3562" s="66" t="n">
        <x:v>521</x:v>
      </x:c>
      <x:c r="C3562" s="66" t="str">
        <x:v>UNIVERSITAS PALANGKARAYA</x:v>
      </x:c>
      <x:c r="D3562" s="66" t="str">
        <x:v>PTN Akademik</x:v>
      </x:c>
      <x:c r="E3562" s="66" t="str">
        <x:v>15211016</x:v>
      </x:c>
      <x:c r="F3562" s="66" t="str">
        <x:v>PETERNAKAN</x:v>
      </x:c>
      <x:c r="G3562" s="66" t="str">
        <x:v>Sarjana</x:v>
      </x:c>
      <x:c r="H3562" s="87" t="n">
        <x:v>15</x:v>
      </x:c>
      <x:c r="I3562" s="87" t="n">
        <x:v>34</x:v>
      </x:c>
      <x:c r="J3562" s="68" t="n">
        <x:f>IFERROR(H3562/I3562,"")</x:f>
        <x:v>0.4411764705882353</x:v>
      </x:c>
      <x:c r="K3562" s="69" t="n">
        <x:f>IFERROR(I3562/H3562,"")</x:f>
        <x:v>2.2666666666666666</x:v>
      </x:c>
      <x:c r="L3562" s="66" t="str">
        <x:f>IF(K3562="","","1 : "&amp;TEXT(K3562,"0.0"))</x:f>
        <x:v>1 : 2.3</x:v>
      </x:c>
      <x:c r="M3562" s="66" t="str">
        <x:f>IF(J3562="","Baru/Tanpa Data",IF(J3562&lt;='Catatan &amp; Sumber'!$B$14,"Sangat Ketat",IF(J3562&lt;='Catatan &amp; Sumber'!$B$15,"Ketat",IF(J3562&lt;='Catatan &amp; Sumber'!$B$16,"Sedang","Relatif Longgar"))))</x:f>
        <x:v>Relatif Longgar</x:v>
      </x:c>
      <x:c r="N3562" s="66" t="str">
        <x:v>Tidak Ada</x:v>
      </x:c>
      <x:c r="O3562" s="66" t="str">
        <x:v>Kalimantan Tengah</x:v>
      </x:c>
      <x:c r="P3562" s="66" t="str">
        <x:v>Kota Palangkaraya</x:v>
      </x:c>
      <x:c r="Q3562" s="66" t="str">
        <x:v>https://snpmb.id/snbp/daya-tampung-snbp</x:v>
      </x:c>
      <x:c r="R3562" s="66" t="str">
        <x:v>https://sidatagrun-public-1076756628210.asia-southeast2.run.app/ptn_sn.php?ptn=521</x:v>
      </x:c>
    </x:row>
    <x:row r="3563">
      <x:c r="A3563" s="87" t="n">
        <x:v>4631</x:v>
      </x:c>
      <x:c r="B3563" s="66" t="n">
        <x:v>521</x:v>
      </x:c>
      <x:c r="C3563" s="66" t="str">
        <x:v>UNIVERSITAS PALANGKARAYA</x:v>
      </x:c>
      <x:c r="D3563" s="66" t="str">
        <x:v>PTN Akademik</x:v>
      </x:c>
      <x:c r="E3563" s="66" t="str">
        <x:v>15211017</x:v>
      </x:c>
      <x:c r="F3563" s="66" t="str">
        <x:v>PENDIDIKAN TEKNIK BANGUNAN</x:v>
      </x:c>
      <x:c r="G3563" s="66" t="str">
        <x:v>Sarjana</x:v>
      </x:c>
      <x:c r="H3563" s="87" t="n">
        <x:v>16</x:v>
      </x:c>
      <x:c r="I3563" s="87" t="n">
        <x:v>9</x:v>
      </x:c>
      <x:c r="J3563" s="68" t="n">
        <x:f>IFERROR(H3563/I3563,"")</x:f>
        <x:v>1.7777777777777777</x:v>
      </x:c>
      <x:c r="K3563" s="69" t="n">
        <x:f>IFERROR(I3563/H3563,"")</x:f>
        <x:v>0.5625</x:v>
      </x:c>
      <x:c r="L3563" s="66" t="str">
        <x:f>IF(K3563="","","1 : "&amp;TEXT(K3563,"0.0"))</x:f>
        <x:v>1 : 0.6</x:v>
      </x:c>
      <x:c r="M3563" s="66" t="str">
        <x:f>IF(J3563="","Baru/Tanpa Data",IF(J3563&lt;='Catatan &amp; Sumber'!$B$14,"Sangat Ketat",IF(J3563&lt;='Catatan &amp; Sumber'!$B$15,"Ketat",IF(J3563&lt;='Catatan &amp; Sumber'!$B$16,"Sedang","Relatif Longgar"))))</x:f>
        <x:v>Relatif Longgar</x:v>
      </x:c>
      <x:c r="N3563" s="66" t="str">
        <x:v>Tidak Ada</x:v>
      </x:c>
      <x:c r="O3563" s="66" t="str">
        <x:v>Kalimantan Tengah</x:v>
      </x:c>
      <x:c r="P3563" s="66" t="str">
        <x:v>Kota Palangkaraya</x:v>
      </x:c>
      <x:c r="Q3563" s="66" t="str">
        <x:v>https://snpmb.id/snbp/daya-tampung-snbp</x:v>
      </x:c>
      <x:c r="R3563" s="66" t="str">
        <x:v>https://sidatagrun-public-1076756628210.asia-southeast2.run.app/ptn_sn.php?ptn=521</x:v>
      </x:c>
    </x:row>
    <x:row r="3564">
      <x:c r="A3564" s="87" t="n">
        <x:v>853</x:v>
      </x:c>
      <x:c r="B3564" s="66" t="n">
        <x:v>521</x:v>
      </x:c>
      <x:c r="C3564" s="66" t="str">
        <x:v>UNIVERSITAS PALANGKARAYA</x:v>
      </x:c>
      <x:c r="D3564" s="66" t="str">
        <x:v>PTN Akademik</x:v>
      </x:c>
      <x:c r="E3564" s="66" t="str">
        <x:v>15211018</x:v>
      </x:c>
      <x:c r="F3564" s="66" t="str">
        <x:v>KEDOKTERAN</x:v>
      </x:c>
      <x:c r="G3564" s="66" t="str">
        <x:v>Sarjana</x:v>
      </x:c>
      <x:c r="H3564" s="87" t="n">
        <x:v>35</x:v>
      </x:c>
      <x:c r="I3564" s="87" t="n">
        <x:v>504</x:v>
      </x:c>
      <x:c r="J3564" s="68" t="n">
        <x:f>IFERROR(H3564/I3564,"")</x:f>
        <x:v>0.06944444444444445</x:v>
      </x:c>
      <x:c r="K3564" s="69" t="n">
        <x:f>IFERROR(I3564/H3564,"")</x:f>
        <x:v>14.4</x:v>
      </x:c>
      <x:c r="L3564" s="66" t="str">
        <x:f>IF(K3564="","","1 : "&amp;TEXT(K3564,"0.0"))</x:f>
        <x:v>1 : 14.4</x:v>
      </x:c>
      <x:c r="M3564" s="66" t="str">
        <x:f>IF(J3564="","Baru/Tanpa Data",IF(J3564&lt;='Catatan &amp; Sumber'!$B$14,"Sangat Ketat",IF(J3564&lt;='Catatan &amp; Sumber'!$B$15,"Ketat",IF(J3564&lt;='Catatan &amp; Sumber'!$B$16,"Sedang","Relatif Longgar"))))</x:f>
        <x:v>Sedang</x:v>
      </x:c>
      <x:c r="N3564" s="66" t="str">
        <x:v>Tidak Ada</x:v>
      </x:c>
      <x:c r="O3564" s="66" t="str">
        <x:v>Kalimantan Tengah</x:v>
      </x:c>
      <x:c r="P3564" s="66" t="str">
        <x:v>Kota Palangkaraya</x:v>
      </x:c>
      <x:c r="Q3564" s="66" t="str">
        <x:v>https://snpmb.id/snbp/daya-tampung-snbp</x:v>
      </x:c>
      <x:c r="R3564" s="66" t="str">
        <x:v>https://sidatagrun-public-1076756628210.asia-southeast2.run.app/ptn_sn.php?ptn=521</x:v>
      </x:c>
    </x:row>
    <x:row r="3565">
      <x:c r="A3565" s="87" t="n">
        <x:v>2612</x:v>
      </x:c>
      <x:c r="B3565" s="66" t="n">
        <x:v>521</x:v>
      </x:c>
      <x:c r="C3565" s="66" t="str">
        <x:v>UNIVERSITAS PALANGKARAYA</x:v>
      </x:c>
      <x:c r="D3565" s="66" t="str">
        <x:v>PTN Akademik</x:v>
      </x:c>
      <x:c r="E3565" s="66" t="str">
        <x:v>15211019</x:v>
      </x:c>
      <x:c r="F3565" s="66" t="str">
        <x:v>TEKNOLOGI INDUSTRI PERTANIAN</x:v>
      </x:c>
      <x:c r="G3565" s="66" t="str">
        <x:v>Sarjana</x:v>
      </x:c>
      <x:c r="H3565" s="87" t="n">
        <x:v>20</x:v>
      </x:c>
      <x:c r="I3565" s="87" t="n">
        <x:v>87</x:v>
      </x:c>
      <x:c r="J3565" s="68" t="n">
        <x:f>IFERROR(H3565/I3565,"")</x:f>
        <x:v>0.22988505747126436</x:v>
      </x:c>
      <x:c r="K3565" s="69" t="n">
        <x:f>IFERROR(I3565/H3565,"")</x:f>
        <x:v>4.35</x:v>
      </x:c>
      <x:c r="L3565" s="66" t="str">
        <x:f>IF(K3565="","","1 : "&amp;TEXT(K3565,"0.0"))</x:f>
        <x:v>1 : 4.4</x:v>
      </x:c>
      <x:c r="M3565" s="66" t="str">
        <x:f>IF(J3565="","Baru/Tanpa Data",IF(J3565&lt;='Catatan &amp; Sumber'!$B$14,"Sangat Ketat",IF(J3565&lt;='Catatan &amp; Sumber'!$B$15,"Ketat",IF(J3565&lt;='Catatan &amp; Sumber'!$B$16,"Sedang","Relatif Longgar"))))</x:f>
        <x:v>Relatif Longgar</x:v>
      </x:c>
      <x:c r="N3565" s="66" t="str">
        <x:v>Tidak Ada</x:v>
      </x:c>
      <x:c r="O3565" s="66" t="str">
        <x:v>Kalimantan Tengah</x:v>
      </x:c>
      <x:c r="P3565" s="66" t="str">
        <x:v>Kota Palangkaraya</x:v>
      </x:c>
      <x:c r="Q3565" s="66" t="str">
        <x:v>https://snpmb.id/snbp/daya-tampung-snbp</x:v>
      </x:c>
      <x:c r="R3565" s="66" t="str">
        <x:v>https://sidatagrun-public-1076756628210.asia-southeast2.run.app/ptn_sn.php?ptn=521</x:v>
      </x:c>
    </x:row>
    <x:row r="3566">
      <x:c r="A3566" s="87" t="n">
        <x:v>4028</x:v>
      </x:c>
      <x:c r="B3566" s="66" t="n">
        <x:v>521</x:v>
      </x:c>
      <x:c r="C3566" s="66" t="str">
        <x:v>UNIVERSITAS PALANGKARAYA</x:v>
      </x:c>
      <x:c r="D3566" s="66" t="str">
        <x:v>PTN Akademik</x:v>
      </x:c>
      <x:c r="E3566" s="66" t="str">
        <x:v>15211020</x:v>
      </x:c>
      <x:c r="F3566" s="66" t="str">
        <x:v>FISIKA</x:v>
      </x:c>
      <x:c r="G3566" s="66" t="str">
        <x:v>Sarjana</x:v>
      </x:c>
      <x:c r="H3566" s="87" t="n">
        <x:v>12</x:v>
      </x:c>
      <x:c r="I3566" s="87" t="n">
        <x:v>17</x:v>
      </x:c>
      <x:c r="J3566" s="68" t="n">
        <x:f>IFERROR(H3566/I3566,"")</x:f>
        <x:v>0.7058823529411765</x:v>
      </x:c>
      <x:c r="K3566" s="69" t="n">
        <x:f>IFERROR(I3566/H3566,"")</x:f>
        <x:v>1.4166666666666667</x:v>
      </x:c>
      <x:c r="L3566" s="66" t="str">
        <x:f>IF(K3566="","","1 : "&amp;TEXT(K3566,"0.0"))</x:f>
        <x:v>1 : 1.4</x:v>
      </x:c>
      <x:c r="M3566" s="66" t="str">
        <x:f>IF(J3566="","Baru/Tanpa Data",IF(J3566&lt;='Catatan &amp; Sumber'!$B$14,"Sangat Ketat",IF(J3566&lt;='Catatan &amp; Sumber'!$B$15,"Ketat",IF(J3566&lt;='Catatan &amp; Sumber'!$B$16,"Sedang","Relatif Longgar"))))</x:f>
        <x:v>Relatif Longgar</x:v>
      </x:c>
      <x:c r="N3566" s="66" t="str">
        <x:v>Tidak Ada</x:v>
      </x:c>
      <x:c r="O3566" s="66" t="str">
        <x:v>Kalimantan Tengah</x:v>
      </x:c>
      <x:c r="P3566" s="66" t="str">
        <x:v>Kota Palangkaraya</x:v>
      </x:c>
      <x:c r="Q3566" s="66" t="str">
        <x:v>https://snpmb.id/snbp/daya-tampung-snbp</x:v>
      </x:c>
      <x:c r="R3566" s="66" t="str">
        <x:v>https://sidatagrun-public-1076756628210.asia-southeast2.run.app/ptn_sn.php?ptn=521</x:v>
      </x:c>
    </x:row>
    <x:row r="3567">
      <x:c r="A3567" s="87" t="n">
        <x:v>4123</x:v>
      </x:c>
      <x:c r="B3567" s="66" t="n">
        <x:v>521</x:v>
      </x:c>
      <x:c r="C3567" s="66" t="str">
        <x:v>UNIVERSITAS PALANGKARAYA</x:v>
      </x:c>
      <x:c r="D3567" s="66" t="str">
        <x:v>PTN Akademik</x:v>
      </x:c>
      <x:c r="E3567" s="66" t="str">
        <x:v>15211021</x:v>
      </x:c>
      <x:c r="F3567" s="66" t="str">
        <x:v>KIMIA</x:v>
      </x:c>
      <x:c r="G3567" s="66" t="str">
        <x:v>Sarjana</x:v>
      </x:c>
      <x:c r="H3567" s="87" t="n">
        <x:v>18</x:v>
      </x:c>
      <x:c r="I3567" s="87" t="n">
        <x:v>23</x:v>
      </x:c>
      <x:c r="J3567" s="68" t="n">
        <x:f>IFERROR(H3567/I3567,"")</x:f>
        <x:v>0.782608695652174</x:v>
      </x:c>
      <x:c r="K3567" s="69" t="n">
        <x:f>IFERROR(I3567/H3567,"")</x:f>
        <x:v>1.2777777777777777</x:v>
      </x:c>
      <x:c r="L3567" s="66" t="str">
        <x:f>IF(K3567="","","1 : "&amp;TEXT(K3567,"0.0"))</x:f>
        <x:v>1 : 1.3</x:v>
      </x:c>
      <x:c r="M3567" s="66" t="str">
        <x:f>IF(J3567="","Baru/Tanpa Data",IF(J3567&lt;='Catatan &amp; Sumber'!$B$14,"Sangat Ketat",IF(J3567&lt;='Catatan &amp; Sumber'!$B$15,"Ketat",IF(J3567&lt;='Catatan &amp; Sumber'!$B$16,"Sedang","Relatif Longgar"))))</x:f>
        <x:v>Relatif Longgar</x:v>
      </x:c>
      <x:c r="N3567" s="66" t="str">
        <x:v>Tidak Ada</x:v>
      </x:c>
      <x:c r="O3567" s="66" t="str">
        <x:v>Kalimantan Tengah</x:v>
      </x:c>
      <x:c r="P3567" s="66" t="str">
        <x:v>Kota Palangkaraya</x:v>
      </x:c>
      <x:c r="Q3567" s="66" t="str">
        <x:v>https://snpmb.id/snbp/daya-tampung-snbp</x:v>
      </x:c>
      <x:c r="R3567" s="66" t="str">
        <x:v>https://sidatagrun-public-1076756628210.asia-southeast2.run.app/ptn_sn.php?ptn=521</x:v>
      </x:c>
    </x:row>
    <x:row r="3568">
      <x:c r="A3568" s="87" t="n">
        <x:v>3998</x:v>
      </x:c>
      <x:c r="B3568" s="66" t="n">
        <x:v>521</x:v>
      </x:c>
      <x:c r="C3568" s="66" t="str">
        <x:v>UNIVERSITAS PALANGKARAYA</x:v>
      </x:c>
      <x:c r="D3568" s="66" t="str">
        <x:v>PTN Akademik</x:v>
      </x:c>
      <x:c r="E3568" s="66" t="str">
        <x:v>15211022</x:v>
      </x:c>
      <x:c r="F3568" s="66" t="str">
        <x:v>BIOLOGI</x:v>
      </x:c>
      <x:c r="G3568" s="66" t="str">
        <x:v>Sarjana</x:v>
      </x:c>
      <x:c r="H3568" s="87" t="n">
        <x:v>24</x:v>
      </x:c>
      <x:c r="I3568" s="87" t="n">
        <x:v>35</x:v>
      </x:c>
      <x:c r="J3568" s="68" t="n">
        <x:f>IFERROR(H3568/I3568,"")</x:f>
        <x:v>0.6857142857142857</x:v>
      </x:c>
      <x:c r="K3568" s="69" t="n">
        <x:f>IFERROR(I3568/H3568,"")</x:f>
        <x:v>1.4583333333333333</x:v>
      </x:c>
      <x:c r="L3568" s="66" t="str">
        <x:f>IF(K3568="","","1 : "&amp;TEXT(K3568,"0.0"))</x:f>
        <x:v>1 : 1.5</x:v>
      </x:c>
      <x:c r="M3568" s="66" t="str">
        <x:f>IF(J3568="","Baru/Tanpa Data",IF(J3568&lt;='Catatan &amp; Sumber'!$B$14,"Sangat Ketat",IF(J3568&lt;='Catatan &amp; Sumber'!$B$15,"Ketat",IF(J3568&lt;='Catatan &amp; Sumber'!$B$16,"Sedang","Relatif Longgar"))))</x:f>
        <x:v>Relatif Longgar</x:v>
      </x:c>
      <x:c r="N3568" s="66" t="str">
        <x:v>Tidak Ada</x:v>
      </x:c>
      <x:c r="O3568" s="66" t="str">
        <x:v>Kalimantan Tengah</x:v>
      </x:c>
      <x:c r="P3568" s="66" t="str">
        <x:v>Kota Palangkaraya</x:v>
      </x:c>
      <x:c r="Q3568" s="66" t="str">
        <x:v>https://snpmb.id/snbp/daya-tampung-snbp</x:v>
      </x:c>
      <x:c r="R3568" s="66" t="str">
        <x:v>https://sidatagrun-public-1076756628210.asia-southeast2.run.app/ptn_sn.php?ptn=521</x:v>
      </x:c>
    </x:row>
    <x:row r="3569">
      <x:c r="A3569" s="87" t="n">
        <x:v>3183</x:v>
      </x:c>
      <x:c r="B3569" s="66" t="n">
        <x:v>521</x:v>
      </x:c>
      <x:c r="C3569" s="66" t="str">
        <x:v>UNIVERSITAS PALANGKARAYA</x:v>
      </x:c>
      <x:c r="D3569" s="66" t="str">
        <x:v>PTN Akademik</x:v>
      </x:c>
      <x:c r="E3569" s="66" t="str">
        <x:v>15211023</x:v>
      </x:c>
      <x:c r="F3569" s="66" t="str">
        <x:v>PEND. PANCASILA &amp; KEWARGANEGARAAN (PPKN)</x:v>
      </x:c>
      <x:c r="G3569" s="66" t="str">
        <x:v>Sarjana</x:v>
      </x:c>
      <x:c r="H3569" s="87" t="n">
        <x:v>23</x:v>
      </x:c>
      <x:c r="I3569" s="87" t="n">
        <x:v>68</x:v>
      </x:c>
      <x:c r="J3569" s="68" t="n">
        <x:f>IFERROR(H3569/I3569,"")</x:f>
        <x:v>0.3382352941176471</x:v>
      </x:c>
      <x:c r="K3569" s="69" t="n">
        <x:f>IFERROR(I3569/H3569,"")</x:f>
        <x:v>2.9565217391304346</x:v>
      </x:c>
      <x:c r="L3569" s="66" t="str">
        <x:f>IF(K3569="","","1 : "&amp;TEXT(K3569,"0.0"))</x:f>
        <x:v>1 : 3.0</x:v>
      </x:c>
      <x:c r="M3569" s="66" t="str">
        <x:f>IF(J3569="","Baru/Tanpa Data",IF(J3569&lt;='Catatan &amp; Sumber'!$B$14,"Sangat Ketat",IF(J3569&lt;='Catatan &amp; Sumber'!$B$15,"Ketat",IF(J3569&lt;='Catatan &amp; Sumber'!$B$16,"Sedang","Relatif Longgar"))))</x:f>
        <x:v>Relatif Longgar</x:v>
      </x:c>
      <x:c r="N3569" s="66" t="str">
        <x:v>Tidak Ada</x:v>
      </x:c>
      <x:c r="O3569" s="66" t="str">
        <x:v>Kalimantan Tengah</x:v>
      </x:c>
      <x:c r="P3569" s="66" t="str">
        <x:v>Kota Palangkaraya</x:v>
      </x:c>
      <x:c r="Q3569" s="66" t="str">
        <x:v>https://snpmb.id/snbp/daya-tampung-snbp</x:v>
      </x:c>
      <x:c r="R3569" s="66" t="str">
        <x:v>https://sidatagrun-public-1076756628210.asia-southeast2.run.app/ptn_sn.php?ptn=521</x:v>
      </x:c>
    </x:row>
    <x:row r="3570">
      <x:c r="A3570" s="87" t="n">
        <x:v>3276</x:v>
      </x:c>
      <x:c r="B3570" s="66" t="n">
        <x:v>521</x:v>
      </x:c>
      <x:c r="C3570" s="66" t="str">
        <x:v>UNIVERSITAS PALANGKARAYA</x:v>
      </x:c>
      <x:c r="D3570" s="66" t="str">
        <x:v>PTN Akademik</x:v>
      </x:c>
      <x:c r="E3570" s="66" t="str">
        <x:v>15211024</x:v>
      </x:c>
      <x:c r="F3570" s="66" t="str">
        <x:v>PEND. EKONOMI</x:v>
      </x:c>
      <x:c r="G3570" s="66" t="str">
        <x:v>Sarjana</x:v>
      </x:c>
      <x:c r="H3570" s="87" t="n">
        <x:v>23</x:v>
      </x:c>
      <x:c r="I3570" s="87" t="n">
        <x:v>63</x:v>
      </x:c>
      <x:c r="J3570" s="68" t="n">
        <x:f>IFERROR(H3570/I3570,"")</x:f>
        <x:v>0.36507936507936506</x:v>
      </x:c>
      <x:c r="K3570" s="69" t="n">
        <x:f>IFERROR(I3570/H3570,"")</x:f>
        <x:v>2.739130434782609</x:v>
      </x:c>
      <x:c r="L3570" s="66" t="str">
        <x:f>IF(K3570="","","1 : "&amp;TEXT(K3570,"0.0"))</x:f>
        <x:v>1 : 2.7</x:v>
      </x:c>
      <x:c r="M3570" s="66" t="str">
        <x:f>IF(J3570="","Baru/Tanpa Data",IF(J3570&lt;='Catatan &amp; Sumber'!$B$14,"Sangat Ketat",IF(J3570&lt;='Catatan &amp; Sumber'!$B$15,"Ketat",IF(J3570&lt;='Catatan &amp; Sumber'!$B$16,"Sedang","Relatif Longgar"))))</x:f>
        <x:v>Relatif Longgar</x:v>
      </x:c>
      <x:c r="N3570" s="66" t="str">
        <x:v>Tidak Ada</x:v>
      </x:c>
      <x:c r="O3570" s="66" t="str">
        <x:v>Kalimantan Tengah</x:v>
      </x:c>
      <x:c r="P3570" s="66" t="str">
        <x:v>Kota Palangkaraya</x:v>
      </x:c>
      <x:c r="Q3570" s="66" t="str">
        <x:v>https://snpmb.id/snbp/daya-tampung-snbp</x:v>
      </x:c>
      <x:c r="R3570" s="66" t="str">
        <x:v>https://sidatagrun-public-1076756628210.asia-southeast2.run.app/ptn_sn.php?ptn=521</x:v>
      </x:c>
    </x:row>
    <x:row r="3571">
      <x:c r="A3571" s="87" t="n">
        <x:v>2644</x:v>
      </x:c>
      <x:c r="B3571" s="66" t="n">
        <x:v>521</x:v>
      </x:c>
      <x:c r="C3571" s="66" t="str">
        <x:v>UNIVERSITAS PALANGKARAYA</x:v>
      </x:c>
      <x:c r="D3571" s="66" t="str">
        <x:v>PTN Akademik</x:v>
      </x:c>
      <x:c r="E3571" s="66" t="str">
        <x:v>15211025</x:v>
      </x:c>
      <x:c r="F3571" s="66" t="str">
        <x:v>PEND. BAHASA INGGRIS</x:v>
      </x:c>
      <x:c r="G3571" s="66" t="str">
        <x:v>Sarjana</x:v>
      </x:c>
      <x:c r="H3571" s="87" t="n">
        <x:v>41</x:v>
      </x:c>
      <x:c r="I3571" s="87" t="n">
        <x:v>175</x:v>
      </x:c>
      <x:c r="J3571" s="68" t="n">
        <x:f>IFERROR(H3571/I3571,"")</x:f>
        <x:v>0.2342857142857143</x:v>
      </x:c>
      <x:c r="K3571" s="69" t="n">
        <x:f>IFERROR(I3571/H3571,"")</x:f>
        <x:v>4.2682926829268295</x:v>
      </x:c>
      <x:c r="L3571" s="66" t="str">
        <x:f>IF(K3571="","","1 : "&amp;TEXT(K3571,"0.0"))</x:f>
        <x:v>1 : 4.3</x:v>
      </x:c>
      <x:c r="M3571" s="66" t="str">
        <x:f>IF(J3571="","Baru/Tanpa Data",IF(J3571&lt;='Catatan &amp; Sumber'!$B$14,"Sangat Ketat",IF(J3571&lt;='Catatan &amp; Sumber'!$B$15,"Ketat",IF(J3571&lt;='Catatan &amp; Sumber'!$B$16,"Sedang","Relatif Longgar"))))</x:f>
        <x:v>Relatif Longgar</x:v>
      </x:c>
      <x:c r="N3571" s="66" t="str">
        <x:v>Tidak Ada</x:v>
      </x:c>
      <x:c r="O3571" s="66" t="str">
        <x:v>Kalimantan Tengah</x:v>
      </x:c>
      <x:c r="P3571" s="66" t="str">
        <x:v>Kota Palangkaraya</x:v>
      </x:c>
      <x:c r="Q3571" s="66" t="str">
        <x:v>https://snpmb.id/snbp/daya-tampung-snbp</x:v>
      </x:c>
      <x:c r="R3571" s="66" t="str">
        <x:v>https://sidatagrun-public-1076756628210.asia-southeast2.run.app/ptn_sn.php?ptn=521</x:v>
      </x:c>
    </x:row>
    <x:row r="3572">
      <x:c r="A3572" s="87" t="n">
        <x:v>2151</x:v>
      </x:c>
      <x:c r="B3572" s="66" t="n">
        <x:v>521</x:v>
      </x:c>
      <x:c r="C3572" s="66" t="str">
        <x:v>UNIVERSITAS PALANGKARAYA</x:v>
      </x:c>
      <x:c r="D3572" s="66" t="str">
        <x:v>PTN Akademik</x:v>
      </x:c>
      <x:c r="E3572" s="66" t="str">
        <x:v>15211026</x:v>
      </x:c>
      <x:c r="F3572" s="66" t="str">
        <x:v>PENDIDIKAN BAHASA DAN SASTRA INDONESIA</x:v>
      </x:c>
      <x:c r="G3572" s="66" t="str">
        <x:v>Sarjana</x:v>
      </x:c>
      <x:c r="H3572" s="87" t="n">
        <x:v>24</x:v>
      </x:c>
      <x:c r="I3572" s="87" t="n">
        <x:v>144</x:v>
      </x:c>
      <x:c r="J3572" s="68" t="n">
        <x:f>IFERROR(H3572/I3572,"")</x:f>
        <x:v>0.16666666666666666</x:v>
      </x:c>
      <x:c r="K3572" s="69" t="n">
        <x:f>IFERROR(I3572/H3572,"")</x:f>
        <x:v>6</x:v>
      </x:c>
      <x:c r="L3572" s="66" t="str">
        <x:f>IF(K3572="","","1 : "&amp;TEXT(K3572,"0.0"))</x:f>
        <x:v>1 : 6.0</x:v>
      </x:c>
      <x:c r="M3572" s="66" t="str">
        <x:f>IF(J3572="","Baru/Tanpa Data",IF(J3572&lt;='Catatan &amp; Sumber'!$B$14,"Sangat Ketat",IF(J3572&lt;='Catatan &amp; Sumber'!$B$15,"Ketat",IF(J3572&lt;='Catatan &amp; Sumber'!$B$16,"Sedang","Relatif Longgar"))))</x:f>
        <x:v>Relatif Longgar</x:v>
      </x:c>
      <x:c r="N3572" s="66" t="str">
        <x:v>Tidak Ada</x:v>
      </x:c>
      <x:c r="O3572" s="66" t="str">
        <x:v>Kalimantan Tengah</x:v>
      </x:c>
      <x:c r="P3572" s="66" t="str">
        <x:v>Kota Palangkaraya</x:v>
      </x:c>
      <x:c r="Q3572" s="66" t="str">
        <x:v>https://snpmb.id/snbp/daya-tampung-snbp</x:v>
      </x:c>
      <x:c r="R3572" s="66" t="str">
        <x:v>https://sidatagrun-public-1076756628210.asia-southeast2.run.app/ptn_sn.php?ptn=521</x:v>
      </x:c>
    </x:row>
    <x:row r="3573">
      <x:c r="A3573" s="87" t="n">
        <x:v>1233</x:v>
      </x:c>
      <x:c r="B3573" s="66" t="n">
        <x:v>521</x:v>
      </x:c>
      <x:c r="C3573" s="66" t="str">
        <x:v>UNIVERSITAS PALANGKARAYA</x:v>
      </x:c>
      <x:c r="D3573" s="66" t="str">
        <x:v>PTN Akademik</x:v>
      </x:c>
      <x:c r="E3573" s="66" t="str">
        <x:v>15211027</x:v>
      </x:c>
      <x:c r="F3573" s="66" t="str">
        <x:v>PEND. GURU SEKOLAH DASAR (PGSD)</x:v>
      </x:c>
      <x:c r="G3573" s="66" t="str">
        <x:v>Sarjana</x:v>
      </x:c>
      <x:c r="H3573" s="87" t="n">
        <x:v>51</x:v>
      </x:c>
      <x:c r="I3573" s="87" t="n">
        <x:v>554</x:v>
      </x:c>
      <x:c r="J3573" s="68" t="n">
        <x:f>IFERROR(H3573/I3573,"")</x:f>
        <x:v>0.09205776173285199</x:v>
      </x:c>
      <x:c r="K3573" s="69" t="n">
        <x:f>IFERROR(I3573/H3573,"")</x:f>
        <x:v>10.862745098039216</x:v>
      </x:c>
      <x:c r="L3573" s="66" t="str">
        <x:f>IF(K3573="","","1 : "&amp;TEXT(K3573,"0.0"))</x:f>
        <x:v>1 : 10.9</x:v>
      </x:c>
      <x:c r="M3573" s="66" t="str">
        <x:f>IF(J3573="","Baru/Tanpa Data",IF(J3573&lt;='Catatan &amp; Sumber'!$B$14,"Sangat Ketat",IF(J3573&lt;='Catatan &amp; Sumber'!$B$15,"Ketat",IF(J3573&lt;='Catatan &amp; Sumber'!$B$16,"Sedang","Relatif Longgar"))))</x:f>
        <x:v>Sedang</x:v>
      </x:c>
      <x:c r="N3573" s="66" t="str">
        <x:v>Tidak Ada</x:v>
      </x:c>
      <x:c r="O3573" s="66" t="str">
        <x:v>Kalimantan Tengah</x:v>
      </x:c>
      <x:c r="P3573" s="66" t="str">
        <x:v>Kota Palangkaraya</x:v>
      </x:c>
      <x:c r="Q3573" s="66" t="str">
        <x:v>https://snpmb.id/snbp/daya-tampung-snbp</x:v>
      </x:c>
      <x:c r="R3573" s="66" t="str">
        <x:v>https://sidatagrun-public-1076756628210.asia-southeast2.run.app/ptn_sn.php?ptn=521</x:v>
      </x:c>
    </x:row>
    <x:row r="3574">
      <x:c r="A3574" s="87" t="n">
        <x:v>3435</x:v>
      </x:c>
      <x:c r="B3574" s="66" t="n">
        <x:v>521</x:v>
      </x:c>
      <x:c r="C3574" s="66" t="str">
        <x:v>UNIVERSITAS PALANGKARAYA</x:v>
      </x:c>
      <x:c r="D3574" s="66" t="str">
        <x:v>PTN Akademik</x:v>
      </x:c>
      <x:c r="E3574" s="66" t="str">
        <x:v>15211028</x:v>
      </x:c>
      <x:c r="F3574" s="66" t="str">
        <x:v>PEND. JASMANI, KESEHATAN DAN REKREASI</x:v>
      </x:c>
      <x:c r="G3574" s="66" t="str">
        <x:v>Sarjana</x:v>
      </x:c>
      <x:c r="H3574" s="87" t="n">
        <x:v>26</x:v>
      </x:c>
      <x:c r="I3574" s="87" t="n">
        <x:v>63</x:v>
      </x:c>
      <x:c r="J3574" s="68" t="n">
        <x:f>IFERROR(H3574/I3574,"")</x:f>
        <x:v>0.4126984126984127</x:v>
      </x:c>
      <x:c r="K3574" s="69" t="n">
        <x:f>IFERROR(I3574/H3574,"")</x:f>
        <x:v>2.423076923076923</x:v>
      </x:c>
      <x:c r="L3574" s="66" t="str">
        <x:f>IF(K3574="","","1 : "&amp;TEXT(K3574,"0.0"))</x:f>
        <x:v>1 : 2.4</x:v>
      </x:c>
      <x:c r="M3574" s="66" t="str">
        <x:f>IF(J3574="","Baru/Tanpa Data",IF(J3574&lt;='Catatan &amp; Sumber'!$B$14,"Sangat Ketat",IF(J3574&lt;='Catatan &amp; Sumber'!$B$15,"Ketat",IF(J3574&lt;='Catatan &amp; Sumber'!$B$16,"Sedang","Relatif Longgar"))))</x:f>
        <x:v>Relatif Longgar</x:v>
      </x:c>
      <x:c r="N3574" s="66" t="str">
        <x:v>Olahraga</x:v>
      </x:c>
      <x:c r="O3574" s="66" t="str">
        <x:v>Kalimantan Tengah</x:v>
      </x:c>
      <x:c r="P3574" s="66" t="str">
        <x:v>Kota Palangkaraya</x:v>
      </x:c>
      <x:c r="Q3574" s="66" t="str">
        <x:v>https://snpmb.id/snbp/daya-tampung-snbp</x:v>
      </x:c>
      <x:c r="R3574" s="66" t="str">
        <x:v>https://sidatagrun-public-1076756628210.asia-southeast2.run.app/ptn_sn.php?ptn=521</x:v>
      </x:c>
    </x:row>
    <x:row r="3575">
      <x:c r="A3575" s="87" t="n">
        <x:v>2698</x:v>
      </x:c>
      <x:c r="B3575" s="66" t="n">
        <x:v>521</x:v>
      </x:c>
      <x:c r="C3575" s="66" t="str">
        <x:v>UNIVERSITAS PALANGKARAYA</x:v>
      </x:c>
      <x:c r="D3575" s="66" t="str">
        <x:v>PTN Akademik</x:v>
      </x:c>
      <x:c r="E3575" s="66" t="str">
        <x:v>15211029</x:v>
      </x:c>
      <x:c r="F3575" s="66" t="str">
        <x:v>PEND. GURU PEND ANAK USIA DINI (PG PAUD)</x:v>
      </x:c>
      <x:c r="G3575" s="66" t="str">
        <x:v>Sarjana</x:v>
      </x:c>
      <x:c r="H3575" s="87" t="n">
        <x:v>18</x:v>
      </x:c>
      <x:c r="I3575" s="87" t="n">
        <x:v>74</x:v>
      </x:c>
      <x:c r="J3575" s="68" t="n">
        <x:f>IFERROR(H3575/I3575,"")</x:f>
        <x:v>0.24324324324324326</x:v>
      </x:c>
      <x:c r="K3575" s="69" t="n">
        <x:f>IFERROR(I3575/H3575,"")</x:f>
        <x:v>4.111111111111111</x:v>
      </x:c>
      <x:c r="L3575" s="66" t="str">
        <x:f>IF(K3575="","","1 : "&amp;TEXT(K3575,"0.0"))</x:f>
        <x:v>1 : 4.1</x:v>
      </x:c>
      <x:c r="M3575" s="66" t="str">
        <x:f>IF(J3575="","Baru/Tanpa Data",IF(J3575&lt;='Catatan &amp; Sumber'!$B$14,"Sangat Ketat",IF(J3575&lt;='Catatan &amp; Sumber'!$B$15,"Ketat",IF(J3575&lt;='Catatan &amp; Sumber'!$B$16,"Sedang","Relatif Longgar"))))</x:f>
        <x:v>Relatif Longgar</x:v>
      </x:c>
      <x:c r="N3575" s="66" t="str">
        <x:v>Tidak Ada</x:v>
      </x:c>
      <x:c r="O3575" s="66" t="str">
        <x:v>Kalimantan Tengah</x:v>
      </x:c>
      <x:c r="P3575" s="66" t="str">
        <x:v>Kota Palangkaraya</x:v>
      </x:c>
      <x:c r="Q3575" s="66" t="str">
        <x:v>https://snpmb.id/snbp/daya-tampung-snbp</x:v>
      </x:c>
      <x:c r="R3575" s="66" t="str">
        <x:v>https://sidatagrun-public-1076756628210.asia-southeast2.run.app/ptn_sn.php?ptn=521</x:v>
      </x:c>
    </x:row>
    <x:row r="3576">
      <x:c r="A3576" s="87" t="n">
        <x:v>4545</x:v>
      </x:c>
      <x:c r="B3576" s="66" t="n">
        <x:v>521</x:v>
      </x:c>
      <x:c r="C3576" s="66" t="str">
        <x:v>UNIVERSITAS PALANGKARAYA</x:v>
      </x:c>
      <x:c r="D3576" s="66" t="str">
        <x:v>PTN Akademik</x:v>
      </x:c>
      <x:c r="E3576" s="66" t="str">
        <x:v>15211030</x:v>
      </x:c>
      <x:c r="F3576" s="66" t="str">
        <x:v>PEND. LUAR SEKOLAH</x:v>
      </x:c>
      <x:c r="G3576" s="66" t="str">
        <x:v>Sarjana</x:v>
      </x:c>
      <x:c r="H3576" s="87" t="n">
        <x:v>12</x:v>
      </x:c>
      <x:c r="I3576" s="87" t="n">
        <x:v>8</x:v>
      </x:c>
      <x:c r="J3576" s="68" t="n">
        <x:f>IFERROR(H3576/I3576,"")</x:f>
        <x:v>1.5</x:v>
      </x:c>
      <x:c r="K3576" s="69" t="n">
        <x:f>IFERROR(I3576/H3576,"")</x:f>
        <x:v>0.6666666666666666</x:v>
      </x:c>
      <x:c r="L3576" s="66" t="str">
        <x:f>IF(K3576="","","1 : "&amp;TEXT(K3576,"0.0"))</x:f>
        <x:v>1 : 0.7</x:v>
      </x:c>
      <x:c r="M3576" s="66" t="str">
        <x:f>IF(J3576="","Baru/Tanpa Data",IF(J3576&lt;='Catatan &amp; Sumber'!$B$14,"Sangat Ketat",IF(J3576&lt;='Catatan &amp; Sumber'!$B$15,"Ketat",IF(J3576&lt;='Catatan &amp; Sumber'!$B$16,"Sedang","Relatif Longgar"))))</x:f>
        <x:v>Relatif Longgar</x:v>
      </x:c>
      <x:c r="N3576" s="66" t="str">
        <x:v>Tidak Ada</x:v>
      </x:c>
      <x:c r="O3576" s="66" t="str">
        <x:v>Kalimantan Tengah</x:v>
      </x:c>
      <x:c r="P3576" s="66" t="str">
        <x:v>Kota Palangkaraya</x:v>
      </x:c>
      <x:c r="Q3576" s="66" t="str">
        <x:v>https://snpmb.id/snbp/daya-tampung-snbp</x:v>
      </x:c>
      <x:c r="R3576" s="66" t="str">
        <x:v>https://sidatagrun-public-1076756628210.asia-southeast2.run.app/ptn_sn.php?ptn=521</x:v>
      </x:c>
    </x:row>
    <x:row r="3577">
      <x:c r="A3577" s="87" t="n">
        <x:v>1846</x:v>
      </x:c>
      <x:c r="B3577" s="66" t="n">
        <x:v>521</x:v>
      </x:c>
      <x:c r="C3577" s="66" t="str">
        <x:v>UNIVERSITAS PALANGKARAYA</x:v>
      </x:c>
      <x:c r="D3577" s="66" t="str">
        <x:v>PTN Akademik</x:v>
      </x:c>
      <x:c r="E3577" s="66" t="str">
        <x:v>15211031</x:v>
      </x:c>
      <x:c r="F3577" s="66" t="str">
        <x:v>BIMBINGAN DAN KONSELING</x:v>
      </x:c>
      <x:c r="G3577" s="66" t="str">
        <x:v>Sarjana</x:v>
      </x:c>
      <x:c r="H3577" s="87" t="n">
        <x:v>17</x:v>
      </x:c>
      <x:c r="I3577" s="87" t="n">
        <x:v>125</x:v>
      </x:c>
      <x:c r="J3577" s="68" t="n">
        <x:f>IFERROR(H3577/I3577,"")</x:f>
        <x:v>0.136</x:v>
      </x:c>
      <x:c r="K3577" s="69" t="n">
        <x:f>IFERROR(I3577/H3577,"")</x:f>
        <x:v>7.352941176470588</x:v>
      </x:c>
      <x:c r="L3577" s="66" t="str">
        <x:f>IF(K3577="","","1 : "&amp;TEXT(K3577,"0.0"))</x:f>
        <x:v>1 : 7.4</x:v>
      </x:c>
      <x:c r="M3577" s="66" t="str">
        <x:f>IF(J3577="","Baru/Tanpa Data",IF(J3577&lt;='Catatan &amp; Sumber'!$B$14,"Sangat Ketat",IF(J3577&lt;='Catatan &amp; Sumber'!$B$15,"Ketat",IF(J3577&lt;='Catatan &amp; Sumber'!$B$16,"Sedang","Relatif Longgar"))))</x:f>
        <x:v>Relatif Longgar</x:v>
      </x:c>
      <x:c r="N3577" s="66" t="str">
        <x:v>Tidak Ada</x:v>
      </x:c>
      <x:c r="O3577" s="66" t="str">
        <x:v>Kalimantan Tengah</x:v>
      </x:c>
      <x:c r="P3577" s="66" t="str">
        <x:v>Kota Palangkaraya</x:v>
      </x:c>
      <x:c r="Q3577" s="66" t="str">
        <x:v>https://snpmb.id/snbp/daya-tampung-snbp</x:v>
      </x:c>
      <x:c r="R3577" s="66" t="str">
        <x:v>https://sidatagrun-public-1076756628210.asia-southeast2.run.app/ptn_sn.php?ptn=521</x:v>
      </x:c>
    </x:row>
    <x:row r="3578">
      <x:c r="A3578" s="87" t="n">
        <x:v>3579</x:v>
      </x:c>
      <x:c r="B3578" s="66" t="n">
        <x:v>521</x:v>
      </x:c>
      <x:c r="C3578" s="66" t="str">
        <x:v>UNIVERSITAS PALANGKARAYA</x:v>
      </x:c>
      <x:c r="D3578" s="66" t="str">
        <x:v>PTN Akademik</x:v>
      </x:c>
      <x:c r="E3578" s="66" t="str">
        <x:v>15211032</x:v>
      </x:c>
      <x:c r="F3578" s="66" t="str">
        <x:v>EKONOMI PEMBANGUNAN</x:v>
      </x:c>
      <x:c r="G3578" s="66" t="str">
        <x:v>Sarjana</x:v>
      </x:c>
      <x:c r="H3578" s="87" t="n">
        <x:v>50</x:v>
      </x:c>
      <x:c r="I3578" s="87" t="n">
        <x:v>108</x:v>
      </x:c>
      <x:c r="J3578" s="68" t="n">
        <x:f>IFERROR(H3578/I3578,"")</x:f>
        <x:v>0.46296296296296297</x:v>
      </x:c>
      <x:c r="K3578" s="69" t="n">
        <x:f>IFERROR(I3578/H3578,"")</x:f>
        <x:v>2.16</x:v>
      </x:c>
      <x:c r="L3578" s="66" t="str">
        <x:f>IF(K3578="","","1 : "&amp;TEXT(K3578,"0.0"))</x:f>
        <x:v>1 : 2.2</x:v>
      </x:c>
      <x:c r="M3578" s="66" t="str">
        <x:f>IF(J3578="","Baru/Tanpa Data",IF(J3578&lt;='Catatan &amp; Sumber'!$B$14,"Sangat Ketat",IF(J3578&lt;='Catatan &amp; Sumber'!$B$15,"Ketat",IF(J3578&lt;='Catatan &amp; Sumber'!$B$16,"Sedang","Relatif Longgar"))))</x:f>
        <x:v>Relatif Longgar</x:v>
      </x:c>
      <x:c r="N3578" s="66" t="str">
        <x:v>Tidak Ada</x:v>
      </x:c>
      <x:c r="O3578" s="66" t="str">
        <x:v>Kalimantan Tengah</x:v>
      </x:c>
      <x:c r="P3578" s="66" t="str">
        <x:v>Kota Palangkaraya</x:v>
      </x:c>
      <x:c r="Q3578" s="66" t="str">
        <x:v>https://snpmb.id/snbp/daya-tampung-snbp</x:v>
      </x:c>
      <x:c r="R3578" s="66" t="str">
        <x:v>https://sidatagrun-public-1076756628210.asia-southeast2.run.app/ptn_sn.php?ptn=521</x:v>
      </x:c>
    </x:row>
    <x:row r="3579">
      <x:c r="A3579" s="87" t="n">
        <x:v>1623</x:v>
      </x:c>
      <x:c r="B3579" s="66" t="n">
        <x:v>521</x:v>
      </x:c>
      <x:c r="C3579" s="66" t="str">
        <x:v>UNIVERSITAS PALANGKARAYA</x:v>
      </x:c>
      <x:c r="D3579" s="66" t="str">
        <x:v>PTN Akademik</x:v>
      </x:c>
      <x:c r="E3579" s="66" t="str">
        <x:v>15211033</x:v>
      </x:c>
      <x:c r="F3579" s="66" t="str">
        <x:v>MANAJEMEN</x:v>
      </x:c>
      <x:c r="G3579" s="66" t="str">
        <x:v>Sarjana</x:v>
      </x:c>
      <x:c r="H3579" s="87" t="n">
        <x:v>90</x:v>
      </x:c>
      <x:c r="I3579" s="87" t="n">
        <x:v>758</x:v>
      </x:c>
      <x:c r="J3579" s="68" t="n">
        <x:f>IFERROR(H3579/I3579,"")</x:f>
        <x:v>0.11873350923482849</x:v>
      </x:c>
      <x:c r="K3579" s="69" t="n">
        <x:f>IFERROR(I3579/H3579,"")</x:f>
        <x:v>8.422222222222222</x:v>
      </x:c>
      <x:c r="L3579" s="66" t="str">
        <x:f>IF(K3579="","","1 : "&amp;TEXT(K3579,"0.0"))</x:f>
        <x:v>1 : 8.4</x:v>
      </x:c>
      <x:c r="M3579" s="66" t="str">
        <x:f>IF(J3579="","Baru/Tanpa Data",IF(J3579&lt;='Catatan &amp; Sumber'!$B$14,"Sangat Ketat",IF(J3579&lt;='Catatan &amp; Sumber'!$B$15,"Ketat",IF(J3579&lt;='Catatan &amp; Sumber'!$B$16,"Sedang","Relatif Longgar"))))</x:f>
        <x:v>Relatif Longgar</x:v>
      </x:c>
      <x:c r="N3579" s="66" t="str">
        <x:v>Tidak Ada</x:v>
      </x:c>
      <x:c r="O3579" s="66" t="str">
        <x:v>Kalimantan Tengah</x:v>
      </x:c>
      <x:c r="P3579" s="66" t="str">
        <x:v>Kota Palangkaraya</x:v>
      </x:c>
      <x:c r="Q3579" s="66" t="str">
        <x:v>https://snpmb.id/snbp/daya-tampung-snbp</x:v>
      </x:c>
      <x:c r="R3579" s="66" t="str">
        <x:v>https://sidatagrun-public-1076756628210.asia-southeast2.run.app/ptn_sn.php?ptn=521</x:v>
      </x:c>
    </x:row>
    <x:row r="3580">
      <x:c r="A3580" s="87" t="n">
        <x:v>1963</x:v>
      </x:c>
      <x:c r="B3580" s="66" t="n">
        <x:v>521</x:v>
      </x:c>
      <x:c r="C3580" s="66" t="str">
        <x:v>UNIVERSITAS PALANGKARAYA</x:v>
      </x:c>
      <x:c r="D3580" s="66" t="str">
        <x:v>PTN Akademik</x:v>
      </x:c>
      <x:c r="E3580" s="66" t="str">
        <x:v>15211034</x:v>
      </x:c>
      <x:c r="F3580" s="66" t="str">
        <x:v>AKUNTANSI</x:v>
      </x:c>
      <x:c r="G3580" s="66" t="str">
        <x:v>Sarjana</x:v>
      </x:c>
      <x:c r="H3580" s="87" t="n">
        <x:v>80</x:v>
      </x:c>
      <x:c r="I3580" s="87" t="n">
        <x:v>542</x:v>
      </x:c>
      <x:c r="J3580" s="68" t="n">
        <x:f>IFERROR(H3580/I3580,"")</x:f>
        <x:v>0.14760147601476015</x:v>
      </x:c>
      <x:c r="K3580" s="69" t="n">
        <x:f>IFERROR(I3580/H3580,"")</x:f>
        <x:v>6.775</x:v>
      </x:c>
      <x:c r="L3580" s="66" t="str">
        <x:f>IF(K3580="","","1 : "&amp;TEXT(K3580,"0.0"))</x:f>
        <x:v>1 : 6.8</x:v>
      </x:c>
      <x:c r="M3580" s="66" t="str">
        <x:f>IF(J3580="","Baru/Tanpa Data",IF(J3580&lt;='Catatan &amp; Sumber'!$B$14,"Sangat Ketat",IF(J3580&lt;='Catatan &amp; Sumber'!$B$15,"Ketat",IF(J3580&lt;='Catatan &amp; Sumber'!$B$16,"Sedang","Relatif Longgar"))))</x:f>
        <x:v>Relatif Longgar</x:v>
      </x:c>
      <x:c r="N3580" s="66" t="str">
        <x:v>Tidak Ada</x:v>
      </x:c>
      <x:c r="O3580" s="66" t="str">
        <x:v>Kalimantan Tengah</x:v>
      </x:c>
      <x:c r="P3580" s="66" t="str">
        <x:v>Kota Palangkaraya</x:v>
      </x:c>
      <x:c r="Q3580" s="66" t="str">
        <x:v>https://snpmb.id/snbp/daya-tampung-snbp</x:v>
      </x:c>
      <x:c r="R3580" s="66" t="str">
        <x:v>https://sidatagrun-public-1076756628210.asia-southeast2.run.app/ptn_sn.php?ptn=521</x:v>
      </x:c>
    </x:row>
    <x:row r="3581">
      <x:c r="A3581" s="87" t="n">
        <x:v>3829</x:v>
      </x:c>
      <x:c r="B3581" s="66" t="n">
        <x:v>521</x:v>
      </x:c>
      <x:c r="C3581" s="66" t="str">
        <x:v>UNIVERSITAS PALANGKARAYA</x:v>
      </x:c>
      <x:c r="D3581" s="66" t="str">
        <x:v>PTN Akademik</x:v>
      </x:c>
      <x:c r="E3581" s="66" t="str">
        <x:v>15211035</x:v>
      </x:c>
      <x:c r="F3581" s="66" t="str">
        <x:v>SOSIOLOGI</x:v>
      </x:c>
      <x:c r="G3581" s="66" t="str">
        <x:v>Sarjana</x:v>
      </x:c>
      <x:c r="H3581" s="87" t="n">
        <x:v>60</x:v>
      </x:c>
      <x:c r="I3581" s="87" t="n">
        <x:v>102</x:v>
      </x:c>
      <x:c r="J3581" s="68" t="n">
        <x:f>IFERROR(H3581/I3581,"")</x:f>
        <x:v>0.5882352941176471</x:v>
      </x:c>
      <x:c r="K3581" s="69" t="n">
        <x:f>IFERROR(I3581/H3581,"")</x:f>
        <x:v>1.7</x:v>
      </x:c>
      <x:c r="L3581" s="66" t="str">
        <x:f>IF(K3581="","","1 : "&amp;TEXT(K3581,"0.0"))</x:f>
        <x:v>1 : 1.7</x:v>
      </x:c>
      <x:c r="M3581" s="66" t="str">
        <x:f>IF(J3581="","Baru/Tanpa Data",IF(J3581&lt;='Catatan &amp; Sumber'!$B$14,"Sangat Ketat",IF(J3581&lt;='Catatan &amp; Sumber'!$B$15,"Ketat",IF(J3581&lt;='Catatan &amp; Sumber'!$B$16,"Sedang","Relatif Longgar"))))</x:f>
        <x:v>Relatif Longgar</x:v>
      </x:c>
      <x:c r="N3581" s="66" t="str">
        <x:v>Tidak Ada</x:v>
      </x:c>
      <x:c r="O3581" s="66" t="str">
        <x:v>Kalimantan Tengah</x:v>
      </x:c>
      <x:c r="P3581" s="66" t="str">
        <x:v>Kota Palangkaraya</x:v>
      </x:c>
      <x:c r="Q3581" s="66" t="str">
        <x:v>https://snpmb.id/snbp/daya-tampung-snbp</x:v>
      </x:c>
      <x:c r="R3581" s="66" t="str">
        <x:v>https://sidatagrun-public-1076756628210.asia-southeast2.run.app/ptn_sn.php?ptn=521</x:v>
      </x:c>
    </x:row>
    <x:row r="3582">
      <x:c r="A3582" s="87" t="n">
        <x:v>1454</x:v>
      </x:c>
      <x:c r="B3582" s="66" t="n">
        <x:v>521</x:v>
      </x:c>
      <x:c r="C3582" s="66" t="str">
        <x:v>UNIVERSITAS PALANGKARAYA</x:v>
      </x:c>
      <x:c r="D3582" s="66" t="str">
        <x:v>PTN Akademik</x:v>
      </x:c>
      <x:c r="E3582" s="66" t="str">
        <x:v>15211036</x:v>
      </x:c>
      <x:c r="F3582" s="66" t="str">
        <x:v>ILMU ADMINISTRASI NEGARA</x:v>
      </x:c>
      <x:c r="G3582" s="66" t="str">
        <x:v>Sarjana</x:v>
      </x:c>
      <x:c r="H3582" s="87" t="n">
        <x:v>45</x:v>
      </x:c>
      <x:c r="I3582" s="87" t="n">
        <x:v>424</x:v>
      </x:c>
      <x:c r="J3582" s="68" t="n">
        <x:f>IFERROR(H3582/I3582,"")</x:f>
        <x:v>0.10613207547169812</x:v>
      </x:c>
      <x:c r="K3582" s="69" t="n">
        <x:f>IFERROR(I3582/H3582,"")</x:f>
        <x:v>9.422222222222222</x:v>
      </x:c>
      <x:c r="L3582" s="66" t="str">
        <x:f>IF(K3582="","","1 : "&amp;TEXT(K3582,"0.0"))</x:f>
        <x:v>1 : 9.4</x:v>
      </x:c>
      <x:c r="M3582" s="66" t="str">
        <x:f>IF(J3582="","Baru/Tanpa Data",IF(J3582&lt;='Catatan &amp; Sumber'!$B$14,"Sangat Ketat",IF(J3582&lt;='Catatan &amp; Sumber'!$B$15,"Ketat",IF(J3582&lt;='Catatan &amp; Sumber'!$B$16,"Sedang","Relatif Longgar"))))</x:f>
        <x:v>Relatif Longgar</x:v>
      </x:c>
      <x:c r="N3582" s="66" t="str">
        <x:v>Tidak Ada</x:v>
      </x:c>
      <x:c r="O3582" s="66" t="str">
        <x:v>Kalimantan Tengah</x:v>
      </x:c>
      <x:c r="P3582" s="66" t="str">
        <x:v>Kota Palangkaraya</x:v>
      </x:c>
      <x:c r="Q3582" s="66" t="str">
        <x:v>https://snpmb.id/snbp/daya-tampung-snbp</x:v>
      </x:c>
      <x:c r="R3582" s="66" t="str">
        <x:v>https://sidatagrun-public-1076756628210.asia-southeast2.run.app/ptn_sn.php?ptn=521</x:v>
      </x:c>
    </x:row>
    <x:row r="3583">
      <x:c r="A3583" s="87" t="n">
        <x:v>2646</x:v>
      </x:c>
      <x:c r="B3583" s="66" t="n">
        <x:v>521</x:v>
      </x:c>
      <x:c r="C3583" s="66" t="str">
        <x:v>UNIVERSITAS PALANGKARAYA</x:v>
      </x:c>
      <x:c r="D3583" s="66" t="str">
        <x:v>PTN Akademik</x:v>
      </x:c>
      <x:c r="E3583" s="66" t="str">
        <x:v>15211037</x:v>
      </x:c>
      <x:c r="F3583" s="66" t="str">
        <x:v>ILMU HUKUM</x:v>
      </x:c>
      <x:c r="G3583" s="66" t="str">
        <x:v>Sarjana</x:v>
      </x:c>
      <x:c r="H3583" s="87" t="n">
        <x:v>105</x:v>
      </x:c>
      <x:c r="I3583" s="87" t="n">
        <x:v>448</x:v>
      </x:c>
      <x:c r="J3583" s="68" t="n">
        <x:f>IFERROR(H3583/I3583,"")</x:f>
        <x:v>0.234375</x:v>
      </x:c>
      <x:c r="K3583" s="69" t="n">
        <x:f>IFERROR(I3583/H3583,"")</x:f>
        <x:v>4.266666666666667</x:v>
      </x:c>
      <x:c r="L3583" s="66" t="str">
        <x:f>IF(K3583="","","1 : "&amp;TEXT(K3583,"0.0"))</x:f>
        <x:v>1 : 4.3</x:v>
      </x:c>
      <x:c r="M3583" s="66" t="str">
        <x:f>IF(J3583="","Baru/Tanpa Data",IF(J3583&lt;='Catatan &amp; Sumber'!$B$14,"Sangat Ketat",IF(J3583&lt;='Catatan &amp; Sumber'!$B$15,"Ketat",IF(J3583&lt;='Catatan &amp; Sumber'!$B$16,"Sedang","Relatif Longgar"))))</x:f>
        <x:v>Relatif Longgar</x:v>
      </x:c>
      <x:c r="N3583" s="66" t="str">
        <x:v>Tidak Ada</x:v>
      </x:c>
      <x:c r="O3583" s="66" t="str">
        <x:v>Kalimantan Tengah</x:v>
      </x:c>
      <x:c r="P3583" s="66" t="str">
        <x:v>Kota Palangkaraya</x:v>
      </x:c>
      <x:c r="Q3583" s="66" t="str">
        <x:v>https://snpmb.id/snbp/daya-tampung-snbp</x:v>
      </x:c>
      <x:c r="R3583" s="66" t="str">
        <x:v>https://sidatagrun-public-1076756628210.asia-southeast2.run.app/ptn_sn.php?ptn=521</x:v>
      </x:c>
    </x:row>
    <x:row r="3584">
      <x:c r="A3584" s="87" t="n">
        <x:v>3194</x:v>
      </x:c>
      <x:c r="B3584" s="66" t="n">
        <x:v>521</x:v>
      </x:c>
      <x:c r="C3584" s="66" t="str">
        <x:v>UNIVERSITAS PALANGKARAYA</x:v>
      </x:c>
      <x:c r="D3584" s="66" t="str">
        <x:v>PTN Akademik</x:v>
      </x:c>
      <x:c r="E3584" s="66" t="str">
        <x:v>15211038</x:v>
      </x:c>
      <x:c r="F3584" s="66" t="str">
        <x:v>TEKNOLOGI PENDIDIKAN</x:v>
      </x:c>
      <x:c r="G3584" s="66" t="str">
        <x:v>Sarjana</x:v>
      </x:c>
      <x:c r="H3584" s="87" t="n">
        <x:v>15</x:v>
      </x:c>
      <x:c r="I3584" s="87" t="n">
        <x:v>44</x:v>
      </x:c>
      <x:c r="J3584" s="68" t="n">
        <x:f>IFERROR(H3584/I3584,"")</x:f>
        <x:v>0.3409090909090909</x:v>
      </x:c>
      <x:c r="K3584" s="69" t="n">
        <x:f>IFERROR(I3584/H3584,"")</x:f>
        <x:v>2.933333333333333</x:v>
      </x:c>
      <x:c r="L3584" s="66" t="str">
        <x:f>IF(K3584="","","1 : "&amp;TEXT(K3584,"0.0"))</x:f>
        <x:v>1 : 2.9</x:v>
      </x:c>
      <x:c r="M3584" s="66" t="str">
        <x:f>IF(J3584="","Baru/Tanpa Data",IF(J3584&lt;='Catatan &amp; Sumber'!$B$14,"Sangat Ketat",IF(J3584&lt;='Catatan &amp; Sumber'!$B$15,"Ketat",IF(J3584&lt;='Catatan &amp; Sumber'!$B$16,"Sedang","Relatif Longgar"))))</x:f>
        <x:v>Relatif Longgar</x:v>
      </x:c>
      <x:c r="N3584" s="66" t="str">
        <x:v>Tidak Ada</x:v>
      </x:c>
      <x:c r="O3584" s="66" t="str">
        <x:v>Kalimantan Tengah</x:v>
      </x:c>
      <x:c r="P3584" s="66" t="str">
        <x:v>Kota Palangkaraya</x:v>
      </x:c>
      <x:c r="Q3584" s="66" t="str">
        <x:v>https://snpmb.id/snbp/daya-tampung-snbp</x:v>
      </x:c>
      <x:c r="R3584" s="66" t="str">
        <x:v>https://sidatagrun-public-1076756628210.asia-southeast2.run.app/ptn_sn.php?ptn=521</x:v>
      </x:c>
    </x:row>
    <x:row r="3585">
      <x:c r="A3585" s="87" t="n">
        <x:v>3282</x:v>
      </x:c>
      <x:c r="B3585" s="66" t="n">
        <x:v>521</x:v>
      </x:c>
      <x:c r="C3585" s="66" t="str">
        <x:v>UNIVERSITAS PALANGKARAYA</x:v>
      </x:c>
      <x:c r="D3585" s="66" t="str">
        <x:v>PTN Akademik</x:v>
      </x:c>
      <x:c r="E3585" s="66" t="str">
        <x:v>15211039</x:v>
      </x:c>
      <x:c r="F3585" s="66" t="str">
        <x:v>MANAJEMEN PENDIDIKAN</x:v>
      </x:c>
      <x:c r="G3585" s="66" t="str">
        <x:v>Sarjana</x:v>
      </x:c>
      <x:c r="H3585" s="87" t="n">
        <x:v>18</x:v>
      </x:c>
      <x:c r="I3585" s="87" t="n">
        <x:v>49</x:v>
      </x:c>
      <x:c r="J3585" s="68" t="n">
        <x:f>IFERROR(H3585/I3585,"")</x:f>
        <x:v>0.3673469387755102</x:v>
      </x:c>
      <x:c r="K3585" s="69" t="n">
        <x:f>IFERROR(I3585/H3585,"")</x:f>
        <x:v>2.7222222222222223</x:v>
      </x:c>
      <x:c r="L3585" s="66" t="str">
        <x:f>IF(K3585="","","1 : "&amp;TEXT(K3585,"0.0"))</x:f>
        <x:v>1 : 2.7</x:v>
      </x:c>
      <x:c r="M3585" s="66" t="str">
        <x:f>IF(J3585="","Baru/Tanpa Data",IF(J3585&lt;='Catatan &amp; Sumber'!$B$14,"Sangat Ketat",IF(J3585&lt;='Catatan &amp; Sumber'!$B$15,"Ketat",IF(J3585&lt;='Catatan &amp; Sumber'!$B$16,"Sedang","Relatif Longgar"))))</x:f>
        <x:v>Relatif Longgar</x:v>
      </x:c>
      <x:c r="N3585" s="66" t="str">
        <x:v>Tidak Ada</x:v>
      </x:c>
      <x:c r="O3585" s="66" t="str">
        <x:v>Kalimantan Tengah</x:v>
      </x:c>
      <x:c r="P3585" s="66" t="str">
        <x:v>Kota Palangkaraya</x:v>
      </x:c>
      <x:c r="Q3585" s="66" t="str">
        <x:v>https://snpmb.id/snbp/daya-tampung-snbp</x:v>
      </x:c>
      <x:c r="R3585" s="66" t="str">
        <x:v>https://sidatagrun-public-1076756628210.asia-southeast2.run.app/ptn_sn.php?ptn=521</x:v>
      </x:c>
    </x:row>
    <x:row r="3586">
      <x:c r="A3586" s="87" t="n">
        <x:v>2094</x:v>
      </x:c>
      <x:c r="B3586" s="66" t="n">
        <x:v>521</x:v>
      </x:c>
      <x:c r="C3586" s="66" t="str">
        <x:v>UNIVERSITAS PALANGKARAYA</x:v>
      </x:c>
      <x:c r="D3586" s="66" t="str">
        <x:v>PTN Akademik</x:v>
      </x:c>
      <x:c r="E3586" s="66" t="str">
        <x:v>15211040</x:v>
      </x:c>
      <x:c r="F3586" s="66" t="str">
        <x:v>ILMU PEMERINTAHAN</x:v>
      </x:c>
      <x:c r="G3586" s="66" t="str">
        <x:v>Sarjana</x:v>
      </x:c>
      <x:c r="H3586" s="87" t="n">
        <x:v>45</x:v>
      </x:c>
      <x:c r="I3586" s="87" t="n">
        <x:v>280</x:v>
      </x:c>
      <x:c r="J3586" s="68" t="n">
        <x:f>IFERROR(H3586/I3586,"")</x:f>
        <x:v>0.16071428571428573</x:v>
      </x:c>
      <x:c r="K3586" s="69" t="n">
        <x:f>IFERROR(I3586/H3586,"")</x:f>
        <x:v>6.222222222222222</x:v>
      </x:c>
      <x:c r="L3586" s="66" t="str">
        <x:f>IF(K3586="","","1 : "&amp;TEXT(K3586,"0.0"))</x:f>
        <x:v>1 : 6.2</x:v>
      </x:c>
      <x:c r="M3586" s="66" t="str">
        <x:f>IF(J3586="","Baru/Tanpa Data",IF(J3586&lt;='Catatan &amp; Sumber'!$B$14,"Sangat Ketat",IF(J3586&lt;='Catatan &amp; Sumber'!$B$15,"Ketat",IF(J3586&lt;='Catatan &amp; Sumber'!$B$16,"Sedang","Relatif Longgar"))))</x:f>
        <x:v>Relatif Longgar</x:v>
      </x:c>
      <x:c r="N3586" s="66" t="str">
        <x:v>Tidak Ada</x:v>
      </x:c>
      <x:c r="O3586" s="66" t="str">
        <x:v>Kalimantan Tengah</x:v>
      </x:c>
      <x:c r="P3586" s="66" t="str">
        <x:v>Kota Palangkaraya</x:v>
      </x:c>
      <x:c r="Q3586" s="66" t="str">
        <x:v>https://snpmb.id/snbp/daya-tampung-snbp</x:v>
      </x:c>
      <x:c r="R3586" s="66" t="str">
        <x:v>https://sidatagrun-public-1076756628210.asia-southeast2.run.app/ptn_sn.php?ptn=521</x:v>
      </x:c>
    </x:row>
    <x:row r="3587">
      <x:c r="A3587" s="87" t="n">
        <x:v>3732</x:v>
      </x:c>
      <x:c r="B3587" s="66" t="n">
        <x:v>521</x:v>
      </x:c>
      <x:c r="C3587" s="66" t="str">
        <x:v>UNIVERSITAS PALANGKARAYA</x:v>
      </x:c>
      <x:c r="D3587" s="66" t="str">
        <x:v>PTN Akademik</x:v>
      </x:c>
      <x:c r="E3587" s="66" t="str">
        <x:v>15211041</x:v>
      </x:c>
      <x:c r="F3587" s="66" t="str">
        <x:v>PENDIDIKAN SENI DRAMA TARI DAN MUSIK</x:v>
      </x:c>
      <x:c r="G3587" s="66" t="str">
        <x:v>Sarjana</x:v>
      </x:c>
      <x:c r="H3587" s="87" t="n">
        <x:v>15</x:v>
      </x:c>
      <x:c r="I3587" s="87" t="n">
        <x:v>28</x:v>
      </x:c>
      <x:c r="J3587" s="68" t="n">
        <x:f>IFERROR(H3587/I3587,"")</x:f>
        <x:v>0.5357142857142857</x:v>
      </x:c>
      <x:c r="K3587" s="69" t="n">
        <x:f>IFERROR(I3587/H3587,"")</x:f>
        <x:v>1.8666666666666667</x:v>
      </x:c>
      <x:c r="L3587" s="66" t="str">
        <x:f>IF(K3587="","","1 : "&amp;TEXT(K3587,"0.0"))</x:f>
        <x:v>1 : 1.9</x:v>
      </x:c>
      <x:c r="M3587" s="66" t="str">
        <x:f>IF(J3587="","Baru/Tanpa Data",IF(J3587&lt;='Catatan &amp; Sumber'!$B$14,"Sangat Ketat",IF(J3587&lt;='Catatan &amp; Sumber'!$B$15,"Ketat",IF(J3587&lt;='Catatan &amp; Sumber'!$B$16,"Sedang","Relatif Longgar"))))</x:f>
        <x:v>Relatif Longgar</x:v>
      </x:c>
      <x:c r="N3587" s="66" t="str">
        <x:v>Sendratasik</x:v>
      </x:c>
      <x:c r="O3587" s="66" t="str">
        <x:v>Kalimantan Tengah</x:v>
      </x:c>
      <x:c r="P3587" s="66" t="str">
        <x:v>Kota Palangkaraya</x:v>
      </x:c>
      <x:c r="Q3587" s="66" t="str">
        <x:v>https://snpmb.id/snbp/daya-tampung-snbp</x:v>
      </x:c>
      <x:c r="R3587" s="66" t="str">
        <x:v>https://sidatagrun-public-1076756628210.asia-southeast2.run.app/ptn_sn.php?ptn=521</x:v>
      </x:c>
    </x:row>
    <x:row r="3588">
      <x:c r="A3588" s="87" t="n">
        <x:v>3750</x:v>
      </x:c>
      <x:c r="B3588" s="66" t="n">
        <x:v>521</x:v>
      </x:c>
      <x:c r="C3588" s="66" t="str">
        <x:v>UNIVERSITAS PALANGKARAYA</x:v>
      </x:c>
      <x:c r="D3588" s="66" t="str">
        <x:v>PTN Akademik</x:v>
      </x:c>
      <x:c r="E3588" s="66" t="str">
        <x:v>15211042</x:v>
      </x:c>
      <x:c r="F3588" s="66" t="str">
        <x:v>MATEMATIKA</x:v>
      </x:c>
      <x:c r="G3588" s="66" t="str">
        <x:v>Sarjana</x:v>
      </x:c>
      <x:c r="H3588" s="87" t="n">
        <x:v>12</x:v>
      </x:c>
      <x:c r="I3588" s="87" t="n">
        <x:v>22</x:v>
      </x:c>
      <x:c r="J3588" s="68" t="n">
        <x:f>IFERROR(H3588/I3588,"")</x:f>
        <x:v>0.5454545454545454</x:v>
      </x:c>
      <x:c r="K3588" s="69" t="n">
        <x:f>IFERROR(I3588/H3588,"")</x:f>
        <x:v>1.8333333333333333</x:v>
      </x:c>
      <x:c r="L3588" s="66" t="str">
        <x:f>IF(K3588="","","1 : "&amp;TEXT(K3588,"0.0"))</x:f>
        <x:v>1 : 1.8</x:v>
      </x:c>
      <x:c r="M3588" s="66" t="str">
        <x:f>IF(J3588="","Baru/Tanpa Data",IF(J3588&lt;='Catatan &amp; Sumber'!$B$14,"Sangat Ketat",IF(J3588&lt;='Catatan &amp; Sumber'!$B$15,"Ketat",IF(J3588&lt;='Catatan &amp; Sumber'!$B$16,"Sedang","Relatif Longgar"))))</x:f>
        <x:v>Relatif Longgar</x:v>
      </x:c>
      <x:c r="N3588" s="66" t="str">
        <x:v>Tidak Ada</x:v>
      </x:c>
      <x:c r="O3588" s="66" t="str">
        <x:v>Kalimantan Tengah</x:v>
      </x:c>
      <x:c r="P3588" s="66" t="str">
        <x:v>Kota Palangkaraya</x:v>
      </x:c>
      <x:c r="Q3588" s="66" t="str">
        <x:v>https://snpmb.id/snbp/daya-tampung-snbp</x:v>
      </x:c>
      <x:c r="R3588" s="66" t="str">
        <x:v>https://sidatagrun-public-1076756628210.asia-southeast2.run.app/ptn_sn.php?ptn=521</x:v>
      </x:c>
    </x:row>
    <x:row r="3589">
      <x:c r="A3589" s="87" t="n">
        <x:v>359</x:v>
      </x:c>
      <x:c r="B3589" s="66" t="n">
        <x:v>521</x:v>
      </x:c>
      <x:c r="C3589" s="66" t="str">
        <x:v>UNIVERSITAS PALANGKARAYA</x:v>
      </x:c>
      <x:c r="D3589" s="66" t="str">
        <x:v>PTN Akademik</x:v>
      </x:c>
      <x:c r="E3589" s="66" t="str">
        <x:v>15211044</x:v>
      </x:c>
      <x:c r="F3589" s="66" t="str">
        <x:v>FARMASI</x:v>
      </x:c>
      <x:c r="G3589" s="66" t="str">
        <x:v>Sarjana</x:v>
      </x:c>
      <x:c r="H3589" s="87" t="n">
        <x:v>21</x:v>
      </x:c>
      <x:c r="I3589" s="87" t="n">
        <x:v>466</x:v>
      </x:c>
      <x:c r="J3589" s="68" t="n">
        <x:f>IFERROR(H3589/I3589,"")</x:f>
        <x:v>0.045064377682403435</x:v>
      </x:c>
      <x:c r="K3589" s="69" t="n">
        <x:f>IFERROR(I3589/H3589,"")</x:f>
        <x:v>22.19047619047619</x:v>
      </x:c>
      <x:c r="L3589" s="66" t="str">
        <x:f>IF(K3589="","","1 : "&amp;TEXT(K3589,"0.0"))</x:f>
        <x:v>1 : 22.2</x:v>
      </x:c>
      <x:c r="M3589" s="66" t="str">
        <x:f>IF(J3589="","Baru/Tanpa Data",IF(J3589&lt;='Catatan &amp; Sumber'!$B$14,"Sangat Ketat",IF(J3589&lt;='Catatan &amp; Sumber'!$B$15,"Ketat",IF(J3589&lt;='Catatan &amp; Sumber'!$B$16,"Sedang","Relatif Longgar"))))</x:f>
        <x:v>Ketat</x:v>
      </x:c>
      <x:c r="N3589" s="66" t="str">
        <x:v>Tidak Ada</x:v>
      </x:c>
      <x:c r="O3589" s="66" t="str">
        <x:v>Kalimantan Tengah</x:v>
      </x:c>
      <x:c r="P3589" s="66" t="str">
        <x:v>Kota Palangkaraya</x:v>
      </x:c>
      <x:c r="Q3589" s="66" t="str">
        <x:v>https://snpmb.id/snbp/daya-tampung-snbp</x:v>
      </x:c>
      <x:c r="R3589" s="66" t="str">
        <x:v>https://sidatagrun-public-1076756628210.asia-southeast2.run.app/ptn_sn.php?ptn=521</x:v>
      </x:c>
    </x:row>
    <x:row r="3590">
      <x:c r="A3590" s="87" t="n">
        <x:v>1670</x:v>
      </x:c>
      <x:c r="B3590" s="66" t="n">
        <x:v>521</x:v>
      </x:c>
      <x:c r="C3590" s="66" t="str">
        <x:v>UNIVERSITAS PALANGKARAYA</x:v>
      </x:c>
      <x:c r="D3590" s="66" t="str">
        <x:v>PTN Akademik</x:v>
      </x:c>
      <x:c r="E3590" s="66" t="str">
        <x:v>15212043</x:v>
      </x:c>
      <x:c r="F3590" s="66" t="str">
        <x:v>TEKNOLOGI LABORATORIUM MEDIS</x:v>
      </x:c>
      <x:c r="G3590" s="66" t="str">
        <x:v>Sarjana Terapan</x:v>
      </x:c>
      <x:c r="H3590" s="87" t="n">
        <x:v>15</x:v>
      </x:c>
      <x:c r="I3590" s="87" t="n">
        <x:v>123</x:v>
      </x:c>
      <x:c r="J3590" s="68" t="n">
        <x:f>IFERROR(H3590/I3590,"")</x:f>
        <x:v>0.12195121951219512</x:v>
      </x:c>
      <x:c r="K3590" s="69" t="n">
        <x:f>IFERROR(I3590/H3590,"")</x:f>
        <x:v>8.2</x:v>
      </x:c>
      <x:c r="L3590" s="66" t="str">
        <x:f>IF(K3590="","","1 : "&amp;TEXT(K3590,"0.0"))</x:f>
        <x:v>1 : 8.2</x:v>
      </x:c>
      <x:c r="M3590" s="66" t="str">
        <x:f>IF(J3590="","Baru/Tanpa Data",IF(J3590&lt;='Catatan &amp; Sumber'!$B$14,"Sangat Ketat",IF(J3590&lt;='Catatan &amp; Sumber'!$B$15,"Ketat",IF(J3590&lt;='Catatan &amp; Sumber'!$B$16,"Sedang","Relatif Longgar"))))</x:f>
        <x:v>Relatif Longgar</x:v>
      </x:c>
      <x:c r="N3590" s="66" t="str">
        <x:v>Tidak Ada</x:v>
      </x:c>
      <x:c r="O3590" s="66" t="str">
        <x:v>Kalimantan Tengah</x:v>
      </x:c>
      <x:c r="P3590" s="66" t="str">
        <x:v>Kota Palangkaraya</x:v>
      </x:c>
      <x:c r="Q3590" s="66" t="str">
        <x:v>https://snpmb.id/snbp/daya-tampung-snbp</x:v>
      </x:c>
      <x:c r="R3590" s="66" t="str">
        <x:v>https://sidatagrun-public-1076756628210.asia-southeast2.run.app/ptn_sn.php?ptn=521</x:v>
      </x:c>
    </x:row>
    <x:row r="3591">
      <x:c r="A3591" s="87" t="n">
        <x:v>2103</x:v>
      </x:c>
      <x:c r="B3591" s="66" t="n">
        <x:v>531</x:v>
      </x:c>
      <x:c r="C3591" s="66" t="str">
        <x:v>UNIVERSITAS LAMBUNG MANGKURAT</x:v>
      </x:c>
      <x:c r="D3591" s="66" t="str">
        <x:v>PTN Akademik</x:v>
      </x:c>
      <x:c r="E3591" s="66" t="str">
        <x:v>15311001</x:v>
      </x:c>
      <x:c r="F3591" s="66" t="str">
        <x:v>PENDIDIKAN MATEMATIKA</x:v>
      </x:c>
      <x:c r="G3591" s="66" t="str">
        <x:v>Sarjana</x:v>
      </x:c>
      <x:c r="H3591" s="87" t="n">
        <x:v>21</x:v>
      </x:c>
      <x:c r="I3591" s="87" t="n">
        <x:v>130</x:v>
      </x:c>
      <x:c r="J3591" s="68" t="n">
        <x:f>IFERROR(H3591/I3591,"")</x:f>
        <x:v>0.16153846153846155</x:v>
      </x:c>
      <x:c r="K3591" s="69" t="n">
        <x:f>IFERROR(I3591/H3591,"")</x:f>
        <x:v>6.190476190476191</x:v>
      </x:c>
      <x:c r="L3591" s="66" t="str">
        <x:f>IF(K3591="","","1 : "&amp;TEXT(K3591,"0.0"))</x:f>
        <x:v>1 : 6.2</x:v>
      </x:c>
      <x:c r="M3591" s="66" t="str">
        <x:f>IF(J3591="","Baru/Tanpa Data",IF(J3591&lt;='Catatan &amp; Sumber'!$B$14,"Sangat Ketat",IF(J3591&lt;='Catatan &amp; Sumber'!$B$15,"Ketat",IF(J3591&lt;='Catatan &amp; Sumber'!$B$16,"Sedang","Relatif Longgar"))))</x:f>
        <x:v>Relatif Longgar</x:v>
      </x:c>
      <x:c r="N3591" s="66" t="str">
        <x:v>Tidak Ada</x:v>
      </x:c>
      <x:c r="O3591" s="66" t="str">
        <x:v>Kalimantan Selatan</x:v>
      </x:c>
      <x:c r="P3591" s="66" t="str">
        <x:v>Kota Banjarmasin</x:v>
      </x:c>
      <x:c r="Q3591" s="66" t="str">
        <x:v>https://snpmb.id/snbp/daya-tampung-snbp</x:v>
      </x:c>
      <x:c r="R3591" s="66" t="str">
        <x:v>https://sidatagrun-public-1076756628210.asia-southeast2.run.app/ptn_sn.php?ptn=531</x:v>
      </x:c>
    </x:row>
    <x:row r="3592">
      <x:c r="A3592" s="87" t="n">
        <x:v>2934</x:v>
      </x:c>
      <x:c r="B3592" s="66" t="n">
        <x:v>531</x:v>
      </x:c>
      <x:c r="C3592" s="66" t="str">
        <x:v>UNIVERSITAS LAMBUNG MANGKURAT</x:v>
      </x:c>
      <x:c r="D3592" s="66" t="str">
        <x:v>PTN Akademik</x:v>
      </x:c>
      <x:c r="E3592" s="66" t="str">
        <x:v>15311002</x:v>
      </x:c>
      <x:c r="F3592" s="66" t="str">
        <x:v>PENDIDIKAN BIOLOGI</x:v>
      </x:c>
      <x:c r="G3592" s="66" t="str">
        <x:v>Sarjana</x:v>
      </x:c>
      <x:c r="H3592" s="87" t="n">
        <x:v>21</x:v>
      </x:c>
      <x:c r="I3592" s="87" t="n">
        <x:v>75</x:v>
      </x:c>
      <x:c r="J3592" s="68" t="n">
        <x:f>IFERROR(H3592/I3592,"")</x:f>
        <x:v>0.28</x:v>
      </x:c>
      <x:c r="K3592" s="69" t="n">
        <x:f>IFERROR(I3592/H3592,"")</x:f>
        <x:v>3.5714285714285716</x:v>
      </x:c>
      <x:c r="L3592" s="66" t="str">
        <x:f>IF(K3592="","","1 : "&amp;TEXT(K3592,"0.0"))</x:f>
        <x:v>1 : 3.6</x:v>
      </x:c>
      <x:c r="M3592" s="66" t="str">
        <x:f>IF(J3592="","Baru/Tanpa Data",IF(J3592&lt;='Catatan &amp; Sumber'!$B$14,"Sangat Ketat",IF(J3592&lt;='Catatan &amp; Sumber'!$B$15,"Ketat",IF(J3592&lt;='Catatan &amp; Sumber'!$B$16,"Sedang","Relatif Longgar"))))</x:f>
        <x:v>Relatif Longgar</x:v>
      </x:c>
      <x:c r="N3592" s="66" t="str">
        <x:v>Tidak Ada</x:v>
      </x:c>
      <x:c r="O3592" s="66" t="str">
        <x:v>Kalimantan Selatan</x:v>
      </x:c>
      <x:c r="P3592" s="66" t="str">
        <x:v>Kota Banjarmasin</x:v>
      </x:c>
      <x:c r="Q3592" s="66" t="str">
        <x:v>https://snpmb.id/snbp/daya-tampung-snbp</x:v>
      </x:c>
      <x:c r="R3592" s="66" t="str">
        <x:v>https://sidatagrun-public-1076756628210.asia-southeast2.run.app/ptn_sn.php?ptn=531</x:v>
      </x:c>
    </x:row>
    <x:row r="3593">
      <x:c r="A3593" s="87" t="n">
        <x:v>3780</x:v>
      </x:c>
      <x:c r="B3593" s="66" t="n">
        <x:v>531</x:v>
      </x:c>
      <x:c r="C3593" s="66" t="str">
        <x:v>UNIVERSITAS LAMBUNG MANGKURAT</x:v>
      </x:c>
      <x:c r="D3593" s="66" t="str">
        <x:v>PTN Akademik</x:v>
      </x:c>
      <x:c r="E3593" s="66" t="str">
        <x:v>15311003</x:v>
      </x:c>
      <x:c r="F3593" s="66" t="str">
        <x:v>PENDIDIKAN KIMIA</x:v>
      </x:c>
      <x:c r="G3593" s="66" t="str">
        <x:v>Sarjana</x:v>
      </x:c>
      <x:c r="H3593" s="87" t="n">
        <x:v>18</x:v>
      </x:c>
      <x:c r="I3593" s="87" t="n">
        <x:v>32</x:v>
      </x:c>
      <x:c r="J3593" s="68" t="n">
        <x:f>IFERROR(H3593/I3593,"")</x:f>
        <x:v>0.5625</x:v>
      </x:c>
      <x:c r="K3593" s="69" t="n">
        <x:f>IFERROR(I3593/H3593,"")</x:f>
        <x:v>1.7777777777777777</x:v>
      </x:c>
      <x:c r="L3593" s="66" t="str">
        <x:f>IF(K3593="","","1 : "&amp;TEXT(K3593,"0.0"))</x:f>
        <x:v>1 : 1.8</x:v>
      </x:c>
      <x:c r="M3593" s="66" t="str">
        <x:f>IF(J3593="","Baru/Tanpa Data",IF(J3593&lt;='Catatan &amp; Sumber'!$B$14,"Sangat Ketat",IF(J3593&lt;='Catatan &amp; Sumber'!$B$15,"Ketat",IF(J3593&lt;='Catatan &amp; Sumber'!$B$16,"Sedang","Relatif Longgar"))))</x:f>
        <x:v>Relatif Longgar</x:v>
      </x:c>
      <x:c r="N3593" s="66" t="str">
        <x:v>Tidak Ada</x:v>
      </x:c>
      <x:c r="O3593" s="66" t="str">
        <x:v>Kalimantan Selatan</x:v>
      </x:c>
      <x:c r="P3593" s="66" t="str">
        <x:v>Kota Banjarmasin</x:v>
      </x:c>
      <x:c r="Q3593" s="66" t="str">
        <x:v>https://snpmb.id/snbp/daya-tampung-snbp</x:v>
      </x:c>
      <x:c r="R3593" s="66" t="str">
        <x:v>https://sidatagrun-public-1076756628210.asia-southeast2.run.app/ptn_sn.php?ptn=531</x:v>
      </x:c>
    </x:row>
    <x:row r="3594">
      <x:c r="A3594" s="87" t="n">
        <x:v>3077</x:v>
      </x:c>
      <x:c r="B3594" s="66" t="n">
        <x:v>531</x:v>
      </x:c>
      <x:c r="C3594" s="66" t="str">
        <x:v>UNIVERSITAS LAMBUNG MANGKURAT</x:v>
      </x:c>
      <x:c r="D3594" s="66" t="str">
        <x:v>PTN Akademik</x:v>
      </x:c>
      <x:c r="E3594" s="66" t="str">
        <x:v>15311004</x:v>
      </x:c>
      <x:c r="F3594" s="66" t="str">
        <x:v>AGROEKOTEKNOLOGI</x:v>
      </x:c>
      <x:c r="G3594" s="66" t="str">
        <x:v>Sarjana</x:v>
      </x:c>
      <x:c r="H3594" s="87" t="n">
        <x:v>40</x:v>
      </x:c>
      <x:c r="I3594" s="87" t="n">
        <x:v>129</x:v>
      </x:c>
      <x:c r="J3594" s="68" t="n">
        <x:f>IFERROR(H3594/I3594,"")</x:f>
        <x:v>0.31007751937984496</x:v>
      </x:c>
      <x:c r="K3594" s="69" t="n">
        <x:f>IFERROR(I3594/H3594,"")</x:f>
        <x:v>3.225</x:v>
      </x:c>
      <x:c r="L3594" s="66" t="str">
        <x:f>IF(K3594="","","1 : "&amp;TEXT(K3594,"0.0"))</x:f>
        <x:v>1 : 3.2</x:v>
      </x:c>
      <x:c r="M3594" s="66" t="str">
        <x:f>IF(J3594="","Baru/Tanpa Data",IF(J3594&lt;='Catatan &amp; Sumber'!$B$14,"Sangat Ketat",IF(J3594&lt;='Catatan &amp; Sumber'!$B$15,"Ketat",IF(J3594&lt;='Catatan &amp; Sumber'!$B$16,"Sedang","Relatif Longgar"))))</x:f>
        <x:v>Relatif Longgar</x:v>
      </x:c>
      <x:c r="N3594" s="66" t="str">
        <x:v>Tidak Ada</x:v>
      </x:c>
      <x:c r="O3594" s="66" t="str">
        <x:v>Kalimantan Selatan</x:v>
      </x:c>
      <x:c r="P3594" s="66" t="str">
        <x:v>Kota Banjarmasin</x:v>
      </x:c>
      <x:c r="Q3594" s="66" t="str">
        <x:v>https://snpmb.id/snbp/daya-tampung-snbp</x:v>
      </x:c>
      <x:c r="R3594" s="66" t="str">
        <x:v>https://sidatagrun-public-1076756628210.asia-southeast2.run.app/ptn_sn.php?ptn=531</x:v>
      </x:c>
    </x:row>
    <x:row r="3595">
      <x:c r="A3595" s="87" t="n">
        <x:v>2199</x:v>
      </x:c>
      <x:c r="B3595" s="66" t="n">
        <x:v>531</x:v>
      </x:c>
      <x:c r="C3595" s="66" t="str">
        <x:v>UNIVERSITAS LAMBUNG MANGKURAT</x:v>
      </x:c>
      <x:c r="D3595" s="66" t="str">
        <x:v>PTN Akademik</x:v>
      </x:c>
      <x:c r="E3595" s="66" t="str">
        <x:v>15311005</x:v>
      </x:c>
      <x:c r="F3595" s="66" t="str">
        <x:v>AGRIBISNIS</x:v>
      </x:c>
      <x:c r="G3595" s="66" t="str">
        <x:v>Sarjana</x:v>
      </x:c>
      <x:c r="H3595" s="87" t="n">
        <x:v>30</x:v>
      </x:c>
      <x:c r="I3595" s="87" t="n">
        <x:v>175</x:v>
      </x:c>
      <x:c r="J3595" s="68" t="n">
        <x:f>IFERROR(H3595/I3595,"")</x:f>
        <x:v>0.17142857142857143</x:v>
      </x:c>
      <x:c r="K3595" s="69" t="n">
        <x:f>IFERROR(I3595/H3595,"")</x:f>
        <x:v>5.833333333333333</x:v>
      </x:c>
      <x:c r="L3595" s="66" t="str">
        <x:f>IF(K3595="","","1 : "&amp;TEXT(K3595,"0.0"))</x:f>
        <x:v>1 : 5.8</x:v>
      </x:c>
      <x:c r="M3595" s="66" t="str">
        <x:f>IF(J3595="","Baru/Tanpa Data",IF(J3595&lt;='Catatan &amp; Sumber'!$B$14,"Sangat Ketat",IF(J3595&lt;='Catatan &amp; Sumber'!$B$15,"Ketat",IF(J3595&lt;='Catatan &amp; Sumber'!$B$16,"Sedang","Relatif Longgar"))))</x:f>
        <x:v>Relatif Longgar</x:v>
      </x:c>
      <x:c r="N3595" s="66" t="str">
        <x:v>Tidak Ada</x:v>
      </x:c>
      <x:c r="O3595" s="66" t="str">
        <x:v>Kalimantan Selatan</x:v>
      </x:c>
      <x:c r="P3595" s="66" t="str">
        <x:v>Kota Banjarmasin</x:v>
      </x:c>
      <x:c r="Q3595" s="66" t="str">
        <x:v>https://snpmb.id/snbp/daya-tampung-snbp</x:v>
      </x:c>
      <x:c r="R3595" s="66" t="str">
        <x:v>https://sidatagrun-public-1076756628210.asia-southeast2.run.app/ptn_sn.php?ptn=531</x:v>
      </x:c>
    </x:row>
    <x:row r="3596">
      <x:c r="A3596" s="87" t="n">
        <x:v>2788</x:v>
      </x:c>
      <x:c r="B3596" s="66" t="n">
        <x:v>531</x:v>
      </x:c>
      <x:c r="C3596" s="66" t="str">
        <x:v>UNIVERSITAS LAMBUNG MANGKURAT</x:v>
      </x:c>
      <x:c r="D3596" s="66" t="str">
        <x:v>PTN Akademik</x:v>
      </x:c>
      <x:c r="E3596" s="66" t="str">
        <x:v>15311006</x:v>
      </x:c>
      <x:c r="F3596" s="66" t="str">
        <x:v>PETERNAKAN</x:v>
      </x:c>
      <x:c r="G3596" s="66" t="str">
        <x:v>Sarjana</x:v>
      </x:c>
      <x:c r="H3596" s="87" t="n">
        <x:v>19</x:v>
      </x:c>
      <x:c r="I3596" s="87" t="n">
        <x:v>74</x:v>
      </x:c>
      <x:c r="J3596" s="68" t="n">
        <x:f>IFERROR(H3596/I3596,"")</x:f>
        <x:v>0.25675675675675674</x:v>
      </x:c>
      <x:c r="K3596" s="69" t="n">
        <x:f>IFERROR(I3596/H3596,"")</x:f>
        <x:v>3.8947368421052633</x:v>
      </x:c>
      <x:c r="L3596" s="66" t="str">
        <x:f>IF(K3596="","","1 : "&amp;TEXT(K3596,"0.0"))</x:f>
        <x:v>1 : 3.9</x:v>
      </x:c>
      <x:c r="M3596" s="66" t="str">
        <x:f>IF(J3596="","Baru/Tanpa Data",IF(J3596&lt;='Catatan &amp; Sumber'!$B$14,"Sangat Ketat",IF(J3596&lt;='Catatan &amp; Sumber'!$B$15,"Ketat",IF(J3596&lt;='Catatan &amp; Sumber'!$B$16,"Sedang","Relatif Longgar"))))</x:f>
        <x:v>Relatif Longgar</x:v>
      </x:c>
      <x:c r="N3596" s="66" t="str">
        <x:v>Tidak Ada</x:v>
      </x:c>
      <x:c r="O3596" s="66" t="str">
        <x:v>Kalimantan Selatan</x:v>
      </x:c>
      <x:c r="P3596" s="66" t="str">
        <x:v>Kota Banjarmasin</x:v>
      </x:c>
      <x:c r="Q3596" s="66" t="str">
        <x:v>https://snpmb.id/snbp/daya-tampung-snbp</x:v>
      </x:c>
      <x:c r="R3596" s="66" t="str">
        <x:v>https://sidatagrun-public-1076756628210.asia-southeast2.run.app/ptn_sn.php?ptn=531</x:v>
      </x:c>
    </x:row>
    <x:row r="3597">
      <x:c r="A3597" s="87" t="n">
        <x:v>1830</x:v>
      </x:c>
      <x:c r="B3597" s="66" t="n">
        <x:v>531</x:v>
      </x:c>
      <x:c r="C3597" s="66" t="str">
        <x:v>UNIVERSITAS LAMBUNG MANGKURAT</x:v>
      </x:c>
      <x:c r="D3597" s="66" t="str">
        <x:v>PTN Akademik</x:v>
      </x:c>
      <x:c r="E3597" s="66" t="str">
        <x:v>15311007</x:v>
      </x:c>
      <x:c r="F3597" s="66" t="str">
        <x:v>TEKNOLOGI INDUSTRI PERTANIAN</x:v>
      </x:c>
      <x:c r="G3597" s="66" t="str">
        <x:v>Sarjana</x:v>
      </x:c>
      <x:c r="H3597" s="87" t="n">
        <x:v>17</x:v>
      </x:c>
      <x:c r="I3597" s="87" t="n">
        <x:v>126</x:v>
      </x:c>
      <x:c r="J3597" s="68" t="n">
        <x:f>IFERROR(H3597/I3597,"")</x:f>
        <x:v>0.1349206349206349</x:v>
      </x:c>
      <x:c r="K3597" s="69" t="n">
        <x:f>IFERROR(I3597/H3597,"")</x:f>
        <x:v>7.411764705882353</x:v>
      </x:c>
      <x:c r="L3597" s="66" t="str">
        <x:f>IF(K3597="","","1 : "&amp;TEXT(K3597,"0.0"))</x:f>
        <x:v>1 : 7.4</x:v>
      </x:c>
      <x:c r="M3597" s="66" t="str">
        <x:f>IF(J3597="","Baru/Tanpa Data",IF(J3597&lt;='Catatan &amp; Sumber'!$B$14,"Sangat Ketat",IF(J3597&lt;='Catatan &amp; Sumber'!$B$15,"Ketat",IF(J3597&lt;='Catatan &amp; Sumber'!$B$16,"Sedang","Relatif Longgar"))))</x:f>
        <x:v>Relatif Longgar</x:v>
      </x:c>
      <x:c r="N3597" s="66" t="str">
        <x:v>Tidak Ada</x:v>
      </x:c>
      <x:c r="O3597" s="66" t="str">
        <x:v>Kalimantan Selatan</x:v>
      </x:c>
      <x:c r="P3597" s="66" t="str">
        <x:v>Kota Banjarmasin</x:v>
      </x:c>
      <x:c r="Q3597" s="66" t="str">
        <x:v>https://snpmb.id/snbp/daya-tampung-snbp</x:v>
      </x:c>
      <x:c r="R3597" s="66" t="str">
        <x:v>https://sidatagrun-public-1076756628210.asia-southeast2.run.app/ptn_sn.php?ptn=531</x:v>
      </x:c>
    </x:row>
    <x:row r="3598">
      <x:c r="A3598" s="87" t="n">
        <x:v>3899</x:v>
      </x:c>
      <x:c r="B3598" s="66" t="n">
        <x:v>531</x:v>
      </x:c>
      <x:c r="C3598" s="66" t="str">
        <x:v>UNIVERSITAS LAMBUNG MANGKURAT</x:v>
      </x:c>
      <x:c r="D3598" s="66" t="str">
        <x:v>PTN Akademik</x:v>
      </x:c>
      <x:c r="E3598" s="66" t="str">
        <x:v>15311008</x:v>
      </x:c>
      <x:c r="F3598" s="66" t="str">
        <x:v>TEKNOLOGI HASIL PERIKANAN</x:v>
      </x:c>
      <x:c r="G3598" s="66" t="str">
        <x:v>Sarjana</x:v>
      </x:c>
      <x:c r="H3598" s="87" t="n">
        <x:v>15</x:v>
      </x:c>
      <x:c r="I3598" s="87" t="n">
        <x:v>24</x:v>
      </x:c>
      <x:c r="J3598" s="68" t="n">
        <x:f>IFERROR(H3598/I3598,"")</x:f>
        <x:v>0.625</x:v>
      </x:c>
      <x:c r="K3598" s="69" t="n">
        <x:f>IFERROR(I3598/H3598,"")</x:f>
        <x:v>1.6</x:v>
      </x:c>
      <x:c r="L3598" s="66" t="str">
        <x:f>IF(K3598="","","1 : "&amp;TEXT(K3598,"0.0"))</x:f>
        <x:v>1 : 1.6</x:v>
      </x:c>
      <x:c r="M3598" s="66" t="str">
        <x:f>IF(J3598="","Baru/Tanpa Data",IF(J3598&lt;='Catatan &amp; Sumber'!$B$14,"Sangat Ketat",IF(J3598&lt;='Catatan &amp; Sumber'!$B$15,"Ketat",IF(J3598&lt;='Catatan &amp; Sumber'!$B$16,"Sedang","Relatif Longgar"))))</x:f>
        <x:v>Relatif Longgar</x:v>
      </x:c>
      <x:c r="N3598" s="66" t="str">
        <x:v>Tidak Ada</x:v>
      </x:c>
      <x:c r="O3598" s="66" t="str">
        <x:v>Kalimantan Selatan</x:v>
      </x:c>
      <x:c r="P3598" s="66" t="str">
        <x:v>Kota Banjarmasin</x:v>
      </x:c>
      <x:c r="Q3598" s="66" t="str">
        <x:v>https://snpmb.id/snbp/daya-tampung-snbp</x:v>
      </x:c>
      <x:c r="R3598" s="66" t="str">
        <x:v>https://sidatagrun-public-1076756628210.asia-southeast2.run.app/ptn_sn.php?ptn=531</x:v>
      </x:c>
    </x:row>
    <x:row r="3599">
      <x:c r="A3599" s="87" t="n">
        <x:v>3847</x:v>
      </x:c>
      <x:c r="B3599" s="66" t="n">
        <x:v>531</x:v>
      </x:c>
      <x:c r="C3599" s="66" t="str">
        <x:v>UNIVERSITAS LAMBUNG MANGKURAT</x:v>
      </x:c>
      <x:c r="D3599" s="66" t="str">
        <x:v>PTN Akademik</x:v>
      </x:c>
      <x:c r="E3599" s="66" t="str">
        <x:v>15311009</x:v>
      </x:c>
      <x:c r="F3599" s="66" t="str">
        <x:v>AKUAKULTUR</x:v>
      </x:c>
      <x:c r="G3599" s="66" t="str">
        <x:v>Sarjana</x:v>
      </x:c>
      <x:c r="H3599" s="87" t="n">
        <x:v>15</x:v>
      </x:c>
      <x:c r="I3599" s="87" t="n">
        <x:v>25</x:v>
      </x:c>
      <x:c r="J3599" s="68" t="n">
        <x:f>IFERROR(H3599/I3599,"")</x:f>
        <x:v>0.6</x:v>
      </x:c>
      <x:c r="K3599" s="69" t="n">
        <x:f>IFERROR(I3599/H3599,"")</x:f>
        <x:v>1.6666666666666667</x:v>
      </x:c>
      <x:c r="L3599" s="66" t="str">
        <x:f>IF(K3599="","","1 : "&amp;TEXT(K3599,"0.0"))</x:f>
        <x:v>1 : 1.7</x:v>
      </x:c>
      <x:c r="M3599" s="66" t="str">
        <x:f>IF(J3599="","Baru/Tanpa Data",IF(J3599&lt;='Catatan &amp; Sumber'!$B$14,"Sangat Ketat",IF(J3599&lt;='Catatan &amp; Sumber'!$B$15,"Ketat",IF(J3599&lt;='Catatan &amp; Sumber'!$B$16,"Sedang","Relatif Longgar"))))</x:f>
        <x:v>Relatif Longgar</x:v>
      </x:c>
      <x:c r="N3599" s="66" t="str">
        <x:v>Tidak Ada</x:v>
      </x:c>
      <x:c r="O3599" s="66" t="str">
        <x:v>Kalimantan Selatan</x:v>
      </x:c>
      <x:c r="P3599" s="66" t="str">
        <x:v>Kota Banjarmasin</x:v>
      </x:c>
      <x:c r="Q3599" s="66" t="str">
        <x:v>https://snpmb.id/snbp/daya-tampung-snbp</x:v>
      </x:c>
      <x:c r="R3599" s="66" t="str">
        <x:v>https://sidatagrun-public-1076756628210.asia-southeast2.run.app/ptn_sn.php?ptn=531</x:v>
      </x:c>
    </x:row>
    <x:row r="3600">
      <x:c r="A3600" s="87" t="n">
        <x:v>3847</x:v>
      </x:c>
      <x:c r="B3600" s="66" t="n">
        <x:v>531</x:v>
      </x:c>
      <x:c r="C3600" s="66" t="str">
        <x:v>UNIVERSITAS LAMBUNG MANGKURAT</x:v>
      </x:c>
      <x:c r="D3600" s="66" t="str">
        <x:v>PTN Akademik</x:v>
      </x:c>
      <x:c r="E3600" s="66" t="str">
        <x:v>15311010</x:v>
      </x:c>
      <x:c r="F3600" s="66" t="str">
        <x:v>PERIKANAN TANGKAP</x:v>
      </x:c>
      <x:c r="G3600" s="66" t="str">
        <x:v>Sarjana</x:v>
      </x:c>
      <x:c r="H3600" s="87" t="n">
        <x:v>15</x:v>
      </x:c>
      <x:c r="I3600" s="87" t="n">
        <x:v>25</x:v>
      </x:c>
      <x:c r="J3600" s="68" t="n">
        <x:f>IFERROR(H3600/I3600,"")</x:f>
        <x:v>0.6</x:v>
      </x:c>
      <x:c r="K3600" s="69" t="n">
        <x:f>IFERROR(I3600/H3600,"")</x:f>
        <x:v>1.6666666666666667</x:v>
      </x:c>
      <x:c r="L3600" s="66" t="str">
        <x:f>IF(K3600="","","1 : "&amp;TEXT(K3600,"0.0"))</x:f>
        <x:v>1 : 1.7</x:v>
      </x:c>
      <x:c r="M3600" s="66" t="str">
        <x:f>IF(J3600="","Baru/Tanpa Data",IF(J3600&lt;='Catatan &amp; Sumber'!$B$14,"Sangat Ketat",IF(J3600&lt;='Catatan &amp; Sumber'!$B$15,"Ketat",IF(J3600&lt;='Catatan &amp; Sumber'!$B$16,"Sedang","Relatif Longgar"))))</x:f>
        <x:v>Relatif Longgar</x:v>
      </x:c>
      <x:c r="N3600" s="66" t="str">
        <x:v>Tidak Ada</x:v>
      </x:c>
      <x:c r="O3600" s="66" t="str">
        <x:v>Kalimantan Selatan</x:v>
      </x:c>
      <x:c r="P3600" s="66" t="str">
        <x:v>Kota Banjarmasin</x:v>
      </x:c>
      <x:c r="Q3600" s="66" t="str">
        <x:v>https://snpmb.id/snbp/daya-tampung-snbp</x:v>
      </x:c>
      <x:c r="R3600" s="66" t="str">
        <x:v>https://sidatagrun-public-1076756628210.asia-southeast2.run.app/ptn_sn.php?ptn=531</x:v>
      </x:c>
    </x:row>
    <x:row r="3601">
      <x:c r="A3601" s="87" t="n">
        <x:v>4170</x:v>
      </x:c>
      <x:c r="B3601" s="66" t="n">
        <x:v>531</x:v>
      </x:c>
      <x:c r="C3601" s="66" t="str">
        <x:v>UNIVERSITAS LAMBUNG MANGKURAT</x:v>
      </x:c>
      <x:c r="D3601" s="66" t="str">
        <x:v>PTN Akademik</x:v>
      </x:c>
      <x:c r="E3601" s="66" t="str">
        <x:v>15311011</x:v>
      </x:c>
      <x:c r="F3601" s="66" t="str">
        <x:v>MANAJEMEN SUMBER DAYA PERAIRAN</x:v>
      </x:c>
      <x:c r="G3601" s="66" t="str">
        <x:v>Sarjana</x:v>
      </x:c>
      <x:c r="H3601" s="87" t="n">
        <x:v>20</x:v>
      </x:c>
      <x:c r="I3601" s="87" t="n">
        <x:v>24</x:v>
      </x:c>
      <x:c r="J3601" s="68" t="n">
        <x:f>IFERROR(H3601/I3601,"")</x:f>
        <x:v>0.8333333333333334</x:v>
      </x:c>
      <x:c r="K3601" s="69" t="n">
        <x:f>IFERROR(I3601/H3601,"")</x:f>
        <x:v>1.2</x:v>
      </x:c>
      <x:c r="L3601" s="66" t="str">
        <x:f>IF(K3601="","","1 : "&amp;TEXT(K3601,"0.0"))</x:f>
        <x:v>1 : 1.2</x:v>
      </x:c>
      <x:c r="M3601" s="66" t="str">
        <x:f>IF(J3601="","Baru/Tanpa Data",IF(J3601&lt;='Catatan &amp; Sumber'!$B$14,"Sangat Ketat",IF(J3601&lt;='Catatan &amp; Sumber'!$B$15,"Ketat",IF(J3601&lt;='Catatan &amp; Sumber'!$B$16,"Sedang","Relatif Longgar"))))</x:f>
        <x:v>Relatif Longgar</x:v>
      </x:c>
      <x:c r="N3601" s="66" t="str">
        <x:v>Tidak Ada</x:v>
      </x:c>
      <x:c r="O3601" s="66" t="str">
        <x:v>Kalimantan Selatan</x:v>
      </x:c>
      <x:c r="P3601" s="66" t="str">
        <x:v>Kota Banjarmasin</x:v>
      </x:c>
      <x:c r="Q3601" s="66" t="str">
        <x:v>https://snpmb.id/snbp/daya-tampung-snbp</x:v>
      </x:c>
      <x:c r="R3601" s="66" t="str">
        <x:v>https://sidatagrun-public-1076756628210.asia-southeast2.run.app/ptn_sn.php?ptn=531</x:v>
      </x:c>
    </x:row>
    <x:row r="3602">
      <x:c r="A3602" s="87" t="n">
        <x:v>4463</x:v>
      </x:c>
      <x:c r="B3602" s="66" t="n">
        <x:v>531</x:v>
      </x:c>
      <x:c r="C3602" s="66" t="str">
        <x:v>UNIVERSITAS LAMBUNG MANGKURAT</x:v>
      </x:c>
      <x:c r="D3602" s="66" t="str">
        <x:v>PTN Akademik</x:v>
      </x:c>
      <x:c r="E3602" s="66" t="str">
        <x:v>15311012</x:v>
      </x:c>
      <x:c r="F3602" s="66" t="str">
        <x:v>SOSIAL EKONOMI PERIKANAN</x:v>
      </x:c>
      <x:c r="G3602" s="66" t="str">
        <x:v>Sarjana</x:v>
      </x:c>
      <x:c r="H3602" s="87" t="n">
        <x:v>15</x:v>
      </x:c>
      <x:c r="I3602" s="87" t="n">
        <x:v>12</x:v>
      </x:c>
      <x:c r="J3602" s="68" t="n">
        <x:f>IFERROR(H3602/I3602,"")</x:f>
        <x:v>1.25</x:v>
      </x:c>
      <x:c r="K3602" s="69" t="n">
        <x:f>IFERROR(I3602/H3602,"")</x:f>
        <x:v>0.8</x:v>
      </x:c>
      <x:c r="L3602" s="66" t="str">
        <x:f>IF(K3602="","","1 : "&amp;TEXT(K3602,"0.0"))</x:f>
        <x:v>1 : 0.8</x:v>
      </x:c>
      <x:c r="M3602" s="66" t="str">
        <x:f>IF(J3602="","Baru/Tanpa Data",IF(J3602&lt;='Catatan &amp; Sumber'!$B$14,"Sangat Ketat",IF(J3602&lt;='Catatan &amp; Sumber'!$B$15,"Ketat",IF(J3602&lt;='Catatan &amp; Sumber'!$B$16,"Sedang","Relatif Longgar"))))</x:f>
        <x:v>Relatif Longgar</x:v>
      </x:c>
      <x:c r="N3602" s="66" t="str">
        <x:v>Tidak Ada</x:v>
      </x:c>
      <x:c r="O3602" s="66" t="str">
        <x:v>Kalimantan Selatan</x:v>
      </x:c>
      <x:c r="P3602" s="66" t="str">
        <x:v>Kota Banjarmasin</x:v>
      </x:c>
      <x:c r="Q3602" s="66" t="str">
        <x:v>https://snpmb.id/snbp/daya-tampung-snbp</x:v>
      </x:c>
      <x:c r="R3602" s="66" t="str">
        <x:v>https://sidatagrun-public-1076756628210.asia-southeast2.run.app/ptn_sn.php?ptn=531</x:v>
      </x:c>
    </x:row>
    <x:row r="3603">
      <x:c r="A3603" s="87" t="n">
        <x:v>3560</x:v>
      </x:c>
      <x:c r="B3603" s="66" t="n">
        <x:v>531</x:v>
      </x:c>
      <x:c r="C3603" s="66" t="str">
        <x:v>UNIVERSITAS LAMBUNG MANGKURAT</x:v>
      </x:c>
      <x:c r="D3603" s="66" t="str">
        <x:v>PTN Akademik</x:v>
      </x:c>
      <x:c r="E3603" s="66" t="str">
        <x:v>15311013</x:v>
      </x:c>
      <x:c r="F3603" s="66" t="str">
        <x:v>ILMU KELAUTAN</x:v>
      </x:c>
      <x:c r="G3603" s="66" t="str">
        <x:v>Sarjana</x:v>
      </x:c>
      <x:c r="H3603" s="87" t="n">
        <x:v>15</x:v>
      </x:c>
      <x:c r="I3603" s="87" t="n">
        <x:v>33</x:v>
      </x:c>
      <x:c r="J3603" s="68" t="n">
        <x:f>IFERROR(H3603/I3603,"")</x:f>
        <x:v>0.45454545454545453</x:v>
      </x:c>
      <x:c r="K3603" s="69" t="n">
        <x:f>IFERROR(I3603/H3603,"")</x:f>
        <x:v>2.2</x:v>
      </x:c>
      <x:c r="L3603" s="66" t="str">
        <x:f>IF(K3603="","","1 : "&amp;TEXT(K3603,"0.0"))</x:f>
        <x:v>1 : 2.2</x:v>
      </x:c>
      <x:c r="M3603" s="66" t="str">
        <x:f>IF(J3603="","Baru/Tanpa Data",IF(J3603&lt;='Catatan &amp; Sumber'!$B$14,"Sangat Ketat",IF(J3603&lt;='Catatan &amp; Sumber'!$B$15,"Ketat",IF(J3603&lt;='Catatan &amp; Sumber'!$B$16,"Sedang","Relatif Longgar"))))</x:f>
        <x:v>Relatif Longgar</x:v>
      </x:c>
      <x:c r="N3603" s="66" t="str">
        <x:v>Tidak Ada</x:v>
      </x:c>
      <x:c r="O3603" s="66" t="str">
        <x:v>Kalimantan Selatan</x:v>
      </x:c>
      <x:c r="P3603" s="66" t="str">
        <x:v>Kota Banjarmasin</x:v>
      </x:c>
      <x:c r="Q3603" s="66" t="str">
        <x:v>https://snpmb.id/snbp/daya-tampung-snbp</x:v>
      </x:c>
      <x:c r="R3603" s="66" t="str">
        <x:v>https://sidatagrun-public-1076756628210.asia-southeast2.run.app/ptn_sn.php?ptn=531</x:v>
      </x:c>
    </x:row>
    <x:row r="3604">
      <x:c r="A3604" s="87" t="n">
        <x:v>1980</x:v>
      </x:c>
      <x:c r="B3604" s="66" t="n">
        <x:v>531</x:v>
      </x:c>
      <x:c r="C3604" s="66" t="str">
        <x:v>UNIVERSITAS LAMBUNG MANGKURAT</x:v>
      </x:c>
      <x:c r="D3604" s="66" t="str">
        <x:v>PTN Akademik</x:v>
      </x:c>
      <x:c r="E3604" s="66" t="str">
        <x:v>15311014</x:v>
      </x:c>
      <x:c r="F3604" s="66" t="str">
        <x:v>TEKNIK SIPIL</x:v>
      </x:c>
      <x:c r="G3604" s="66" t="str">
        <x:v>Sarjana</x:v>
      </x:c>
      <x:c r="H3604" s="87" t="n">
        <x:v>70</x:v>
      </x:c>
      <x:c r="I3604" s="87" t="n">
        <x:v>469</x:v>
      </x:c>
      <x:c r="J3604" s="68" t="n">
        <x:f>IFERROR(H3604/I3604,"")</x:f>
        <x:v>0.14925373134328357</x:v>
      </x:c>
      <x:c r="K3604" s="69" t="n">
        <x:f>IFERROR(I3604/H3604,"")</x:f>
        <x:v>6.7</x:v>
      </x:c>
      <x:c r="L3604" s="66" t="str">
        <x:f>IF(K3604="","","1 : "&amp;TEXT(K3604,"0.0"))</x:f>
        <x:v>1 : 6.7</x:v>
      </x:c>
      <x:c r="M3604" s="66" t="str">
        <x:f>IF(J3604="","Baru/Tanpa Data",IF(J3604&lt;='Catatan &amp; Sumber'!$B$14,"Sangat Ketat",IF(J3604&lt;='Catatan &amp; Sumber'!$B$15,"Ketat",IF(J3604&lt;='Catatan &amp; Sumber'!$B$16,"Sedang","Relatif Longgar"))))</x:f>
        <x:v>Relatif Longgar</x:v>
      </x:c>
      <x:c r="N3604" s="66" t="str">
        <x:v>Tidak Ada</x:v>
      </x:c>
      <x:c r="O3604" s="66" t="str">
        <x:v>Kalimantan Selatan</x:v>
      </x:c>
      <x:c r="P3604" s="66" t="str">
        <x:v>Kota Banjarmasin</x:v>
      </x:c>
      <x:c r="Q3604" s="66" t="str">
        <x:v>https://snpmb.id/snbp/daya-tampung-snbp</x:v>
      </x:c>
      <x:c r="R3604" s="66" t="str">
        <x:v>https://sidatagrun-public-1076756628210.asia-southeast2.run.app/ptn_sn.php?ptn=531</x:v>
      </x:c>
    </x:row>
    <x:row r="3605">
      <x:c r="A3605" s="87" t="n">
        <x:v>2181</x:v>
      </x:c>
      <x:c r="B3605" s="66" t="n">
        <x:v>531</x:v>
      </x:c>
      <x:c r="C3605" s="66" t="str">
        <x:v>UNIVERSITAS LAMBUNG MANGKURAT</x:v>
      </x:c>
      <x:c r="D3605" s="66" t="str">
        <x:v>PTN Akademik</x:v>
      </x:c>
      <x:c r="E3605" s="66" t="str">
        <x:v>15311015</x:v>
      </x:c>
      <x:c r="F3605" s="66" t="str">
        <x:v>ARSITEKTUR</x:v>
      </x:c>
      <x:c r="G3605" s="66" t="str">
        <x:v>Sarjana</x:v>
      </x:c>
      <x:c r="H3605" s="87" t="n">
        <x:v>28</x:v>
      </x:c>
      <x:c r="I3605" s="87" t="n">
        <x:v>165</x:v>
      </x:c>
      <x:c r="J3605" s="68" t="n">
        <x:f>IFERROR(H3605/I3605,"")</x:f>
        <x:v>0.1696969696969697</x:v>
      </x:c>
      <x:c r="K3605" s="69" t="n">
        <x:f>IFERROR(I3605/H3605,"")</x:f>
        <x:v>5.892857142857143</x:v>
      </x:c>
      <x:c r="L3605" s="66" t="str">
        <x:f>IF(K3605="","","1 : "&amp;TEXT(K3605,"0.0"))</x:f>
        <x:v>1 : 5.9</x:v>
      </x:c>
      <x:c r="M3605" s="66" t="str">
        <x:f>IF(J3605="","Baru/Tanpa Data",IF(J3605&lt;='Catatan &amp; Sumber'!$B$14,"Sangat Ketat",IF(J3605&lt;='Catatan &amp; Sumber'!$B$15,"Ketat",IF(J3605&lt;='Catatan &amp; Sumber'!$B$16,"Sedang","Relatif Longgar"))))</x:f>
        <x:v>Relatif Longgar</x:v>
      </x:c>
      <x:c r="N3605" s="66" t="str">
        <x:v>Tidak Ada</x:v>
      </x:c>
      <x:c r="O3605" s="66" t="str">
        <x:v>Kalimantan Selatan</x:v>
      </x:c>
      <x:c r="P3605" s="66" t="str">
        <x:v>Kota Banjarmasin</x:v>
      </x:c>
      <x:c r="Q3605" s="66" t="str">
        <x:v>https://snpmb.id/snbp/daya-tampung-snbp</x:v>
      </x:c>
      <x:c r="R3605" s="66" t="str">
        <x:v>https://sidatagrun-public-1076756628210.asia-southeast2.run.app/ptn_sn.php?ptn=531</x:v>
      </x:c>
    </x:row>
    <x:row r="3606">
      <x:c r="A3606" s="87" t="n">
        <x:v>512</x:v>
      </x:c>
      <x:c r="B3606" s="66" t="n">
        <x:v>531</x:v>
      </x:c>
      <x:c r="C3606" s="66" t="str">
        <x:v>UNIVERSITAS LAMBUNG MANGKURAT</x:v>
      </x:c>
      <x:c r="D3606" s="66" t="str">
        <x:v>PTN Akademik</x:v>
      </x:c>
      <x:c r="E3606" s="66" t="str">
        <x:v>15311016</x:v>
      </x:c>
      <x:c r="F3606" s="66" t="str">
        <x:v>TEKNIK PERTAMBANGAN</x:v>
      </x:c>
      <x:c r="G3606" s="66" t="str">
        <x:v>Sarjana</x:v>
      </x:c>
      <x:c r="H3606" s="87" t="n">
        <x:v>28</x:v>
      </x:c>
      <x:c r="I3606" s="87" t="n">
        <x:v>536</x:v>
      </x:c>
      <x:c r="J3606" s="68" t="n">
        <x:f>IFERROR(H3606/I3606,"")</x:f>
        <x:v>0.05223880597014925</x:v>
      </x:c>
      <x:c r="K3606" s="69" t="n">
        <x:f>IFERROR(I3606/H3606,"")</x:f>
        <x:v>19.142857142857142</x:v>
      </x:c>
      <x:c r="L3606" s="66" t="str">
        <x:f>IF(K3606="","","1 : "&amp;TEXT(K3606,"0.0"))</x:f>
        <x:v>1 : 19.1</x:v>
      </x:c>
      <x:c r="M3606" s="66" t="str">
        <x:f>IF(J3606="","Baru/Tanpa Data",IF(J3606&lt;='Catatan &amp; Sumber'!$B$14,"Sangat Ketat",IF(J3606&lt;='Catatan &amp; Sumber'!$B$15,"Ketat",IF(J3606&lt;='Catatan &amp; Sumber'!$B$16,"Sedang","Relatif Longgar"))))</x:f>
        <x:v>Sedang</x:v>
      </x:c>
      <x:c r="N3606" s="66" t="str">
        <x:v>Tidak Ada</x:v>
      </x:c>
      <x:c r="O3606" s="66" t="str">
        <x:v>Kalimantan Selatan</x:v>
      </x:c>
      <x:c r="P3606" s="66" t="str">
        <x:v>Kota Banjarmasin</x:v>
      </x:c>
      <x:c r="Q3606" s="66" t="str">
        <x:v>https://snpmb.id/snbp/daya-tampung-snbp</x:v>
      </x:c>
      <x:c r="R3606" s="66" t="str">
        <x:v>https://sidatagrun-public-1076756628210.asia-southeast2.run.app/ptn_sn.php?ptn=531</x:v>
      </x:c>
    </x:row>
    <x:row r="3607">
      <x:c r="A3607" s="87" t="n">
        <x:v>2813</x:v>
      </x:c>
      <x:c r="B3607" s="66" t="n">
        <x:v>531</x:v>
      </x:c>
      <x:c r="C3607" s="66" t="str">
        <x:v>UNIVERSITAS LAMBUNG MANGKURAT</x:v>
      </x:c>
      <x:c r="D3607" s="66" t="str">
        <x:v>PTN Akademik</x:v>
      </x:c>
      <x:c r="E3607" s="66" t="str">
        <x:v>15311017</x:v>
      </x:c>
      <x:c r="F3607" s="66" t="str">
        <x:v>TEKNIK KIMIA</x:v>
      </x:c>
      <x:c r="G3607" s="66" t="str">
        <x:v>Sarjana</x:v>
      </x:c>
      <x:c r="H3607" s="87" t="n">
        <x:v>32</x:v>
      </x:c>
      <x:c r="I3607" s="87" t="n">
        <x:v>123</x:v>
      </x:c>
      <x:c r="J3607" s="68" t="n">
        <x:f>IFERROR(H3607/I3607,"")</x:f>
        <x:v>0.2601626016260163</x:v>
      </x:c>
      <x:c r="K3607" s="69" t="n">
        <x:f>IFERROR(I3607/H3607,"")</x:f>
        <x:v>3.84375</x:v>
      </x:c>
      <x:c r="L3607" s="66" t="str">
        <x:f>IF(K3607="","","1 : "&amp;TEXT(K3607,"0.0"))</x:f>
        <x:v>1 : 3.8</x:v>
      </x:c>
      <x:c r="M3607" s="66" t="str">
        <x:f>IF(J3607="","Baru/Tanpa Data",IF(J3607&lt;='Catatan &amp; Sumber'!$B$14,"Sangat Ketat",IF(J3607&lt;='Catatan &amp; Sumber'!$B$15,"Ketat",IF(J3607&lt;='Catatan &amp; Sumber'!$B$16,"Sedang","Relatif Longgar"))))</x:f>
        <x:v>Relatif Longgar</x:v>
      </x:c>
      <x:c r="N3607" s="66" t="str">
        <x:v>Tidak Ada</x:v>
      </x:c>
      <x:c r="O3607" s="66" t="str">
        <x:v>Kalimantan Selatan</x:v>
      </x:c>
      <x:c r="P3607" s="66" t="str">
        <x:v>Kota Banjarmasin</x:v>
      </x:c>
      <x:c r="Q3607" s="66" t="str">
        <x:v>https://snpmb.id/snbp/daya-tampung-snbp</x:v>
      </x:c>
      <x:c r="R3607" s="66" t="str">
        <x:v>https://sidatagrun-public-1076756628210.asia-southeast2.run.app/ptn_sn.php?ptn=531</x:v>
      </x:c>
    </x:row>
    <x:row r="3608">
      <x:c r="A3608" s="87" t="n">
        <x:v>1538</x:v>
      </x:c>
      <x:c r="B3608" s="66" t="n">
        <x:v>531</x:v>
      </x:c>
      <x:c r="C3608" s="66" t="str">
        <x:v>UNIVERSITAS LAMBUNG MANGKURAT</x:v>
      </x:c>
      <x:c r="D3608" s="66" t="str">
        <x:v>PTN Akademik</x:v>
      </x:c>
      <x:c r="E3608" s="66" t="str">
        <x:v>15311018</x:v>
      </x:c>
      <x:c r="F3608" s="66" t="str">
        <x:v>TEKNIK LINGKUNGAN</x:v>
      </x:c>
      <x:c r="G3608" s="66" t="str">
        <x:v>Sarjana</x:v>
      </x:c>
      <x:c r="H3608" s="87" t="n">
        <x:v>28</x:v>
      </x:c>
      <x:c r="I3608" s="87" t="n">
        <x:v>249</x:v>
      </x:c>
      <x:c r="J3608" s="68" t="n">
        <x:f>IFERROR(H3608/I3608,"")</x:f>
        <x:v>0.11244979919678715</x:v>
      </x:c>
      <x:c r="K3608" s="69" t="n">
        <x:f>IFERROR(I3608/H3608,"")</x:f>
        <x:v>8.892857142857142</x:v>
      </x:c>
      <x:c r="L3608" s="66" t="str">
        <x:f>IF(K3608="","","1 : "&amp;TEXT(K3608,"0.0"))</x:f>
        <x:v>1 : 8.9</x:v>
      </x:c>
      <x:c r="M3608" s="66" t="str">
        <x:f>IF(J3608="","Baru/Tanpa Data",IF(J3608&lt;='Catatan &amp; Sumber'!$B$14,"Sangat Ketat",IF(J3608&lt;='Catatan &amp; Sumber'!$B$15,"Ketat",IF(J3608&lt;='Catatan &amp; Sumber'!$B$16,"Sedang","Relatif Longgar"))))</x:f>
        <x:v>Relatif Longgar</x:v>
      </x:c>
      <x:c r="N3608" s="66" t="str">
        <x:v>Tidak Ada</x:v>
      </x:c>
      <x:c r="O3608" s="66" t="str">
        <x:v>Kalimantan Selatan</x:v>
      </x:c>
      <x:c r="P3608" s="66" t="str">
        <x:v>Kota Banjarmasin</x:v>
      </x:c>
      <x:c r="Q3608" s="66" t="str">
        <x:v>https://snpmb.id/snbp/daya-tampung-snbp</x:v>
      </x:c>
      <x:c r="R3608" s="66" t="str">
        <x:v>https://sidatagrun-public-1076756628210.asia-southeast2.run.app/ptn_sn.php?ptn=531</x:v>
      </x:c>
    </x:row>
    <x:row r="3609">
      <x:c r="A3609" s="87" t="n">
        <x:v>2755</x:v>
      </x:c>
      <x:c r="B3609" s="66" t="n">
        <x:v>531</x:v>
      </x:c>
      <x:c r="C3609" s="66" t="str">
        <x:v>UNIVERSITAS LAMBUNG MANGKURAT</x:v>
      </x:c>
      <x:c r="D3609" s="66" t="str">
        <x:v>PTN Akademik</x:v>
      </x:c>
      <x:c r="E3609" s="66" t="str">
        <x:v>15311019</x:v>
      </x:c>
      <x:c r="F3609" s="66" t="str">
        <x:v>TEKNIK MESIN</x:v>
      </x:c>
      <x:c r="G3609" s="66" t="str">
        <x:v>Sarjana</x:v>
      </x:c>
      <x:c r="H3609" s="87" t="n">
        <x:v>33</x:v>
      </x:c>
      <x:c r="I3609" s="87" t="n">
        <x:v>131</x:v>
      </x:c>
      <x:c r="J3609" s="68" t="n">
        <x:f>IFERROR(H3609/I3609,"")</x:f>
        <x:v>0.25190839694656486</x:v>
      </x:c>
      <x:c r="K3609" s="69" t="n">
        <x:f>IFERROR(I3609/H3609,"")</x:f>
        <x:v>3.9696969696969697</x:v>
      </x:c>
      <x:c r="L3609" s="66" t="str">
        <x:f>IF(K3609="","","1 : "&amp;TEXT(K3609,"0.0"))</x:f>
        <x:v>1 : 4.0</x:v>
      </x:c>
      <x:c r="M3609" s="66" t="str">
        <x:f>IF(J3609="","Baru/Tanpa Data",IF(J3609&lt;='Catatan &amp; Sumber'!$B$14,"Sangat Ketat",IF(J3609&lt;='Catatan &amp; Sumber'!$B$15,"Ketat",IF(J3609&lt;='Catatan &amp; Sumber'!$B$16,"Sedang","Relatif Longgar"))))</x:f>
        <x:v>Relatif Longgar</x:v>
      </x:c>
      <x:c r="N3609" s="66" t="str">
        <x:v>Tidak Ada</x:v>
      </x:c>
      <x:c r="O3609" s="66" t="str">
        <x:v>Kalimantan Selatan</x:v>
      </x:c>
      <x:c r="P3609" s="66" t="str">
        <x:v>Kota Banjarmasin</x:v>
      </x:c>
      <x:c r="Q3609" s="66" t="str">
        <x:v>https://snpmb.id/snbp/daya-tampung-snbp</x:v>
      </x:c>
      <x:c r="R3609" s="66" t="str">
        <x:v>https://sidatagrun-public-1076756628210.asia-southeast2.run.app/ptn_sn.php?ptn=531</x:v>
      </x:c>
    </x:row>
    <x:row r="3610">
      <x:c r="A3610" s="87" t="n">
        <x:v>263</x:v>
      </x:c>
      <x:c r="B3610" s="66" t="n">
        <x:v>531</x:v>
      </x:c>
      <x:c r="C3610" s="66" t="str">
        <x:v>UNIVERSITAS LAMBUNG MANGKURAT</x:v>
      </x:c>
      <x:c r="D3610" s="66" t="str">
        <x:v>PTN Akademik</x:v>
      </x:c>
      <x:c r="E3610" s="66" t="str">
        <x:v>15311020</x:v>
      </x:c>
      <x:c r="F3610" s="66" t="str">
        <x:v>KEDOKTERAN</x:v>
      </x:c>
      <x:c r="G3610" s="66" t="str">
        <x:v>Sarjana</x:v>
      </x:c>
      <x:c r="H3610" s="87" t="n">
        <x:v>30</x:v>
      </x:c>
      <x:c r="I3610" s="87" t="n">
        <x:v>743</x:v>
      </x:c>
      <x:c r="J3610" s="68" t="n">
        <x:f>IFERROR(H3610/I3610,"")</x:f>
        <x:v>0.040376850605652756</x:v>
      </x:c>
      <x:c r="K3610" s="69" t="n">
        <x:f>IFERROR(I3610/H3610,"")</x:f>
        <x:v>24.766666666666666</x:v>
      </x:c>
      <x:c r="L3610" s="66" t="str">
        <x:f>IF(K3610="","","1 : "&amp;TEXT(K3610,"0.0"))</x:f>
        <x:v>1 : 24.8</x:v>
      </x:c>
      <x:c r="M3610" s="66" t="str">
        <x:f>IF(J3610="","Baru/Tanpa Data",IF(J3610&lt;='Catatan &amp; Sumber'!$B$14,"Sangat Ketat",IF(J3610&lt;='Catatan &amp; Sumber'!$B$15,"Ketat",IF(J3610&lt;='Catatan &amp; Sumber'!$B$16,"Sedang","Relatif Longgar"))))</x:f>
        <x:v>Ketat</x:v>
      </x:c>
      <x:c r="N3610" s="66" t="str">
        <x:v>Tidak Ada</x:v>
      </x:c>
      <x:c r="O3610" s="66" t="str">
        <x:v>Kalimantan Selatan</x:v>
      </x:c>
      <x:c r="P3610" s="66" t="str">
        <x:v>Kota Banjarmasin</x:v>
      </x:c>
      <x:c r="Q3610" s="66" t="str">
        <x:v>https://snpmb.id/snbp/daya-tampung-snbp</x:v>
      </x:c>
      <x:c r="R3610" s="66" t="str">
        <x:v>https://sidatagrun-public-1076756628210.asia-southeast2.run.app/ptn_sn.php?ptn=531</x:v>
      </x:c>
    </x:row>
    <x:row r="3611">
      <x:c r="A3611" s="87" t="n">
        <x:v>182</x:v>
      </x:c>
      <x:c r="B3611" s="66" t="n">
        <x:v>531</x:v>
      </x:c>
      <x:c r="C3611" s="66" t="str">
        <x:v>UNIVERSITAS LAMBUNG MANGKURAT</x:v>
      </x:c>
      <x:c r="D3611" s="66" t="str">
        <x:v>PTN Akademik</x:v>
      </x:c>
      <x:c r="E3611" s="66" t="str">
        <x:v>15311021</x:v>
      </x:c>
      <x:c r="F3611" s="66" t="str">
        <x:v>KESEHATAN MASYARAKAT</x:v>
      </x:c>
      <x:c r="G3611" s="66" t="str">
        <x:v>Sarjana</x:v>
      </x:c>
      <x:c r="H3611" s="87" t="n">
        <x:v>25</x:v>
      </x:c>
      <x:c r="I3611" s="87" t="n">
        <x:v>698</x:v>
      </x:c>
      <x:c r="J3611" s="68" t="n">
        <x:f>IFERROR(H3611/I3611,"")</x:f>
        <x:v>0.03581661891117478</x:v>
      </x:c>
      <x:c r="K3611" s="69" t="n">
        <x:f>IFERROR(I3611/H3611,"")</x:f>
        <x:v>27.92</x:v>
      </x:c>
      <x:c r="L3611" s="66" t="str">
        <x:f>IF(K3611="","","1 : "&amp;TEXT(K3611,"0.0"))</x:f>
        <x:v>1 : 27.9</x:v>
      </x:c>
      <x:c r="M3611" s="66" t="str">
        <x:f>IF(J3611="","Baru/Tanpa Data",IF(J3611&lt;='Catatan &amp; Sumber'!$B$14,"Sangat Ketat",IF(J3611&lt;='Catatan &amp; Sumber'!$B$15,"Ketat",IF(J3611&lt;='Catatan &amp; Sumber'!$B$16,"Sedang","Relatif Longgar"))))</x:f>
        <x:v>Ketat</x:v>
      </x:c>
      <x:c r="N3611" s="66" t="str">
        <x:v>Tidak Ada</x:v>
      </x:c>
      <x:c r="O3611" s="66" t="str">
        <x:v>Kalimantan Selatan</x:v>
      </x:c>
      <x:c r="P3611" s="66" t="str">
        <x:v>Kota Banjarmasin</x:v>
      </x:c>
      <x:c r="Q3611" s="66" t="str">
        <x:v>https://snpmb.id/snbp/daya-tampung-snbp</x:v>
      </x:c>
      <x:c r="R3611" s="66" t="str">
        <x:v>https://sidatagrun-public-1076756628210.asia-southeast2.run.app/ptn_sn.php?ptn=531</x:v>
      </x:c>
    </x:row>
    <x:row r="3612">
      <x:c r="A3612" s="87" t="n">
        <x:v>2975</x:v>
      </x:c>
      <x:c r="B3612" s="66" t="n">
        <x:v>531</x:v>
      </x:c>
      <x:c r="C3612" s="66" t="str">
        <x:v>UNIVERSITAS LAMBUNG MANGKURAT</x:v>
      </x:c>
      <x:c r="D3612" s="66" t="str">
        <x:v>PTN Akademik</x:v>
      </x:c>
      <x:c r="E3612" s="66" t="str">
        <x:v>15311022</x:v>
      </x:c>
      <x:c r="F3612" s="66" t="str">
        <x:v>MATEMATIKA</x:v>
      </x:c>
      <x:c r="G3612" s="66" t="str">
        <x:v>Sarjana</x:v>
      </x:c>
      <x:c r="H3612" s="87" t="n">
        <x:v>15</x:v>
      </x:c>
      <x:c r="I3612" s="87" t="n">
        <x:v>52</x:v>
      </x:c>
      <x:c r="J3612" s="68" t="n">
        <x:f>IFERROR(H3612/I3612,"")</x:f>
        <x:v>0.28846153846153844</x:v>
      </x:c>
      <x:c r="K3612" s="69" t="n">
        <x:f>IFERROR(I3612/H3612,"")</x:f>
        <x:v>3.466666666666667</x:v>
      </x:c>
      <x:c r="L3612" s="66" t="str">
        <x:f>IF(K3612="","","1 : "&amp;TEXT(K3612,"0.0"))</x:f>
        <x:v>1 : 3.5</x:v>
      </x:c>
      <x:c r="M3612" s="66" t="str">
        <x:f>IF(J3612="","Baru/Tanpa Data",IF(J3612&lt;='Catatan &amp; Sumber'!$B$14,"Sangat Ketat",IF(J3612&lt;='Catatan &amp; Sumber'!$B$15,"Ketat",IF(J3612&lt;='Catatan &amp; Sumber'!$B$16,"Sedang","Relatif Longgar"))))</x:f>
        <x:v>Relatif Longgar</x:v>
      </x:c>
      <x:c r="N3612" s="66" t="str">
        <x:v>Tidak Ada</x:v>
      </x:c>
      <x:c r="O3612" s="66" t="str">
        <x:v>Kalimantan Selatan</x:v>
      </x:c>
      <x:c r="P3612" s="66" t="str">
        <x:v>Kota Banjarmasin</x:v>
      </x:c>
      <x:c r="Q3612" s="66" t="str">
        <x:v>https://snpmb.id/snbp/daya-tampung-snbp</x:v>
      </x:c>
      <x:c r="R3612" s="66" t="str">
        <x:v>https://sidatagrun-public-1076756628210.asia-southeast2.run.app/ptn_sn.php?ptn=531</x:v>
      </x:c>
    </x:row>
    <x:row r="3613">
      <x:c r="A3613" s="87" t="n">
        <x:v>2921</x:v>
      </x:c>
      <x:c r="B3613" s="66" t="n">
        <x:v>531</x:v>
      </x:c>
      <x:c r="C3613" s="66" t="str">
        <x:v>UNIVERSITAS LAMBUNG MANGKURAT</x:v>
      </x:c>
      <x:c r="D3613" s="66" t="str">
        <x:v>PTN Akademik</x:v>
      </x:c>
      <x:c r="E3613" s="66" t="str">
        <x:v>15311023</x:v>
      </x:c>
      <x:c r="F3613" s="66" t="str">
        <x:v>KIMIA</x:v>
      </x:c>
      <x:c r="G3613" s="66" t="str">
        <x:v>Sarjana</x:v>
      </x:c>
      <x:c r="H3613" s="87" t="n">
        <x:v>15</x:v>
      </x:c>
      <x:c r="I3613" s="87" t="n">
        <x:v>54</x:v>
      </x:c>
      <x:c r="J3613" s="68" t="n">
        <x:f>IFERROR(H3613/I3613,"")</x:f>
        <x:v>0.2777777777777778</x:v>
      </x:c>
      <x:c r="K3613" s="69" t="n">
        <x:f>IFERROR(I3613/H3613,"")</x:f>
        <x:v>3.6</x:v>
      </x:c>
      <x:c r="L3613" s="66" t="str">
        <x:f>IF(K3613="","","1 : "&amp;TEXT(K3613,"0.0"))</x:f>
        <x:v>1 : 3.6</x:v>
      </x:c>
      <x:c r="M3613" s="66" t="str">
        <x:f>IF(J3613="","Baru/Tanpa Data",IF(J3613&lt;='Catatan &amp; Sumber'!$B$14,"Sangat Ketat",IF(J3613&lt;='Catatan &amp; Sumber'!$B$15,"Ketat",IF(J3613&lt;='Catatan &amp; Sumber'!$B$16,"Sedang","Relatif Longgar"))))</x:f>
        <x:v>Relatif Longgar</x:v>
      </x:c>
      <x:c r="N3613" s="66" t="str">
        <x:v>Tidak Ada</x:v>
      </x:c>
      <x:c r="O3613" s="66" t="str">
        <x:v>Kalimantan Selatan</x:v>
      </x:c>
      <x:c r="P3613" s="66" t="str">
        <x:v>Kota Banjarmasin</x:v>
      </x:c>
      <x:c r="Q3613" s="66" t="str">
        <x:v>https://snpmb.id/snbp/daya-tampung-snbp</x:v>
      </x:c>
      <x:c r="R3613" s="66" t="str">
        <x:v>https://sidatagrun-public-1076756628210.asia-southeast2.run.app/ptn_sn.php?ptn=531</x:v>
      </x:c>
    </x:row>
    <x:row r="3614">
      <x:c r="A3614" s="87" t="n">
        <x:v>3444</x:v>
      </x:c>
      <x:c r="B3614" s="66" t="n">
        <x:v>531</x:v>
      </x:c>
      <x:c r="C3614" s="66" t="str">
        <x:v>UNIVERSITAS LAMBUNG MANGKURAT</x:v>
      </x:c>
      <x:c r="D3614" s="66" t="str">
        <x:v>PTN Akademik</x:v>
      </x:c>
      <x:c r="E3614" s="66" t="str">
        <x:v>15311024</x:v>
      </x:c>
      <x:c r="F3614" s="66" t="str">
        <x:v>BIOLOGI</x:v>
      </x:c>
      <x:c r="G3614" s="66" t="str">
        <x:v>Sarjana</x:v>
      </x:c>
      <x:c r="H3614" s="87" t="n">
        <x:v>15</x:v>
      </x:c>
      <x:c r="I3614" s="87" t="n">
        <x:v>36</x:v>
      </x:c>
      <x:c r="J3614" s="68" t="n">
        <x:f>IFERROR(H3614/I3614,"")</x:f>
        <x:v>0.4166666666666667</x:v>
      </x:c>
      <x:c r="K3614" s="69" t="n">
        <x:f>IFERROR(I3614/H3614,"")</x:f>
        <x:v>2.4</x:v>
      </x:c>
      <x:c r="L3614" s="66" t="str">
        <x:f>IF(K3614="","","1 : "&amp;TEXT(K3614,"0.0"))</x:f>
        <x:v>1 : 2.4</x:v>
      </x:c>
      <x:c r="M3614" s="66" t="str">
        <x:f>IF(J3614="","Baru/Tanpa Data",IF(J3614&lt;='Catatan &amp; Sumber'!$B$14,"Sangat Ketat",IF(J3614&lt;='Catatan &amp; Sumber'!$B$15,"Ketat",IF(J3614&lt;='Catatan &amp; Sumber'!$B$16,"Sedang","Relatif Longgar"))))</x:f>
        <x:v>Relatif Longgar</x:v>
      </x:c>
      <x:c r="N3614" s="66" t="str">
        <x:v>Tidak Ada</x:v>
      </x:c>
      <x:c r="O3614" s="66" t="str">
        <x:v>Kalimantan Selatan</x:v>
      </x:c>
      <x:c r="P3614" s="66" t="str">
        <x:v>Kota Banjarmasin</x:v>
      </x:c>
      <x:c r="Q3614" s="66" t="str">
        <x:v>https://snpmb.id/snbp/daya-tampung-snbp</x:v>
      </x:c>
      <x:c r="R3614" s="66" t="str">
        <x:v>https://sidatagrun-public-1076756628210.asia-southeast2.run.app/ptn_sn.php?ptn=531</x:v>
      </x:c>
    </x:row>
    <x:row r="3615">
      <x:c r="A3615" s="87" t="n">
        <x:v>3630</x:v>
      </x:c>
      <x:c r="B3615" s="66" t="n">
        <x:v>531</x:v>
      </x:c>
      <x:c r="C3615" s="66" t="str">
        <x:v>UNIVERSITAS LAMBUNG MANGKURAT</x:v>
      </x:c>
      <x:c r="D3615" s="66" t="str">
        <x:v>PTN Akademik</x:v>
      </x:c>
      <x:c r="E3615" s="66" t="str">
        <x:v>15311025</x:v>
      </x:c>
      <x:c r="F3615" s="66" t="str">
        <x:v>FISIKA</x:v>
      </x:c>
      <x:c r="G3615" s="66" t="str">
        <x:v>Sarjana</x:v>
      </x:c>
      <x:c r="H3615" s="87" t="n">
        <x:v>13</x:v>
      </x:c>
      <x:c r="I3615" s="87" t="n">
        <x:v>27</x:v>
      </x:c>
      <x:c r="J3615" s="68" t="n">
        <x:f>IFERROR(H3615/I3615,"")</x:f>
        <x:v>0.48148148148148145</x:v>
      </x:c>
      <x:c r="K3615" s="69" t="n">
        <x:f>IFERROR(I3615/H3615,"")</x:f>
        <x:v>2.076923076923077</x:v>
      </x:c>
      <x:c r="L3615" s="66" t="str">
        <x:f>IF(K3615="","","1 : "&amp;TEXT(K3615,"0.0"))</x:f>
        <x:v>1 : 2.1</x:v>
      </x:c>
      <x:c r="M3615" s="66" t="str">
        <x:f>IF(J3615="","Baru/Tanpa Data",IF(J3615&lt;='Catatan &amp; Sumber'!$B$14,"Sangat Ketat",IF(J3615&lt;='Catatan &amp; Sumber'!$B$15,"Ketat",IF(J3615&lt;='Catatan &amp; Sumber'!$B$16,"Sedang","Relatif Longgar"))))</x:f>
        <x:v>Relatif Longgar</x:v>
      </x:c>
      <x:c r="N3615" s="66" t="str">
        <x:v>Tidak Ada</x:v>
      </x:c>
      <x:c r="O3615" s="66" t="str">
        <x:v>Kalimantan Selatan</x:v>
      </x:c>
      <x:c r="P3615" s="66" t="str">
        <x:v>Kota Banjarmasin</x:v>
      </x:c>
      <x:c r="Q3615" s="66" t="str">
        <x:v>https://snpmb.id/snbp/daya-tampung-snbp</x:v>
      </x:c>
      <x:c r="R3615" s="66" t="str">
        <x:v>https://sidatagrun-public-1076756628210.asia-southeast2.run.app/ptn_sn.php?ptn=531</x:v>
      </x:c>
    </x:row>
    <x:row r="3616">
      <x:c r="A3616" s="87" t="n">
        <x:v>121</x:v>
      </x:c>
      <x:c r="B3616" s="66" t="n">
        <x:v>531</x:v>
      </x:c>
      <x:c r="C3616" s="66" t="str">
        <x:v>UNIVERSITAS LAMBUNG MANGKURAT</x:v>
      </x:c>
      <x:c r="D3616" s="66" t="str">
        <x:v>PTN Akademik</x:v>
      </x:c>
      <x:c r="E3616" s="66" t="str">
        <x:v>15311026</x:v>
      </x:c>
      <x:c r="F3616" s="66" t="str">
        <x:v>FARMASI</x:v>
      </x:c>
      <x:c r="G3616" s="66" t="str">
        <x:v>Sarjana</x:v>
      </x:c>
      <x:c r="H3616" s="87" t="n">
        <x:v>18</x:v>
      </x:c>
      <x:c r="I3616" s="87" t="n">
        <x:v>586</x:v>
      </x:c>
      <x:c r="J3616" s="68" t="n">
        <x:f>IFERROR(H3616/I3616,"")</x:f>
        <x:v>0.030716723549488054</x:v>
      </x:c>
      <x:c r="K3616" s="69" t="n">
        <x:f>IFERROR(I3616/H3616,"")</x:f>
        <x:v>32.55555555555556</x:v>
      </x:c>
      <x:c r="L3616" s="66" t="str">
        <x:f>IF(K3616="","","1 : "&amp;TEXT(K3616,"0.0"))</x:f>
        <x:v>1 : 32.6</x:v>
      </x:c>
      <x:c r="M3616" s="66" t="str">
        <x:f>IF(J3616="","Baru/Tanpa Data",IF(J3616&lt;='Catatan &amp; Sumber'!$B$14,"Sangat Ketat",IF(J3616&lt;='Catatan &amp; Sumber'!$B$15,"Ketat",IF(J3616&lt;='Catatan &amp; Sumber'!$B$16,"Sedang","Relatif Longgar"))))</x:f>
        <x:v>Ketat</x:v>
      </x:c>
      <x:c r="N3616" s="66" t="str">
        <x:v>Tidak Ada</x:v>
      </x:c>
      <x:c r="O3616" s="66" t="str">
        <x:v>Kalimantan Selatan</x:v>
      </x:c>
      <x:c r="P3616" s="66" t="str">
        <x:v>Kota Banjarmasin</x:v>
      </x:c>
      <x:c r="Q3616" s="66" t="str">
        <x:v>https://snpmb.id/snbp/daya-tampung-snbp</x:v>
      </x:c>
      <x:c r="R3616" s="66" t="str">
        <x:v>https://sidatagrun-public-1076756628210.asia-southeast2.run.app/ptn_sn.php?ptn=531</x:v>
      </x:c>
    </x:row>
    <x:row r="3617">
      <x:c r="A3617" s="87" t="n">
        <x:v>142</x:v>
      </x:c>
      <x:c r="B3617" s="66" t="n">
        <x:v>531</x:v>
      </x:c>
      <x:c r="C3617" s="66" t="str">
        <x:v>UNIVERSITAS LAMBUNG MANGKURAT</x:v>
      </x:c>
      <x:c r="D3617" s="66" t="str">
        <x:v>PTN Akademik</x:v>
      </x:c>
      <x:c r="E3617" s="66" t="str">
        <x:v>15311027</x:v>
      </x:c>
      <x:c r="F3617" s="66" t="str">
        <x:v>ILMU KOMPUTER</x:v>
      </x:c>
      <x:c r="G3617" s="66" t="str">
        <x:v>Sarjana</x:v>
      </x:c>
      <x:c r="H3617" s="87" t="n">
        <x:v>14</x:v>
      </x:c>
      <x:c r="I3617" s="87" t="n">
        <x:v>431</x:v>
      </x:c>
      <x:c r="J3617" s="68" t="n">
        <x:f>IFERROR(H3617/I3617,"")</x:f>
        <x:v>0.03248259860788863</x:v>
      </x:c>
      <x:c r="K3617" s="69" t="n">
        <x:f>IFERROR(I3617/H3617,"")</x:f>
        <x:v>30.785714285714285</x:v>
      </x:c>
      <x:c r="L3617" s="66" t="str">
        <x:f>IF(K3617="","","1 : "&amp;TEXT(K3617,"0.0"))</x:f>
        <x:v>1 : 30.8</x:v>
      </x:c>
      <x:c r="M3617" s="66" t="str">
        <x:f>IF(J3617="","Baru/Tanpa Data",IF(J3617&lt;='Catatan &amp; Sumber'!$B$14,"Sangat Ketat",IF(J3617&lt;='Catatan &amp; Sumber'!$B$15,"Ketat",IF(J3617&lt;='Catatan &amp; Sumber'!$B$16,"Sedang","Relatif Longgar"))))</x:f>
        <x:v>Ketat</x:v>
      </x:c>
      <x:c r="N3617" s="66" t="str">
        <x:v>Tidak Ada</x:v>
      </x:c>
      <x:c r="O3617" s="66" t="str">
        <x:v>Kalimantan Selatan</x:v>
      </x:c>
      <x:c r="P3617" s="66" t="str">
        <x:v>Kota Banjarmasin</x:v>
      </x:c>
      <x:c r="Q3617" s="66" t="str">
        <x:v>https://snpmb.id/snbp/daya-tampung-snbp</x:v>
      </x:c>
      <x:c r="R3617" s="66" t="str">
        <x:v>https://sidatagrun-public-1076756628210.asia-southeast2.run.app/ptn_sn.php?ptn=531</x:v>
      </x:c>
    </x:row>
    <x:row r="3618">
      <x:c r="A3618" s="87" t="n">
        <x:v>2878</x:v>
      </x:c>
      <x:c r="B3618" s="66" t="n">
        <x:v>531</x:v>
      </x:c>
      <x:c r="C3618" s="66" t="str">
        <x:v>UNIVERSITAS LAMBUNG MANGKURAT</x:v>
      </x:c>
      <x:c r="D3618" s="66" t="str">
        <x:v>PTN Akademik</x:v>
      </x:c>
      <x:c r="E3618" s="66" t="str">
        <x:v>15311028</x:v>
      </x:c>
      <x:c r="F3618" s="66" t="str">
        <x:v>KEHUTANAN</x:v>
      </x:c>
      <x:c r="G3618" s="66" t="str">
        <x:v>Sarjana</x:v>
      </x:c>
      <x:c r="H3618" s="87" t="n">
        <x:v>60</x:v>
      </x:c>
      <x:c r="I3618" s="87" t="n">
        <x:v>221</x:v>
      </x:c>
      <x:c r="J3618" s="68" t="n">
        <x:f>IFERROR(H3618/I3618,"")</x:f>
        <x:v>0.27149321266968324</x:v>
      </x:c>
      <x:c r="K3618" s="69" t="n">
        <x:f>IFERROR(I3618/H3618,"")</x:f>
        <x:v>3.683333333333333</x:v>
      </x:c>
      <x:c r="L3618" s="66" t="str">
        <x:f>IF(K3618="","","1 : "&amp;TEXT(K3618,"0.0"))</x:f>
        <x:v>1 : 3.7</x:v>
      </x:c>
      <x:c r="M3618" s="66" t="str">
        <x:f>IF(J3618="","Baru/Tanpa Data",IF(J3618&lt;='Catatan &amp; Sumber'!$B$14,"Sangat Ketat",IF(J3618&lt;='Catatan &amp; Sumber'!$B$15,"Ketat",IF(J3618&lt;='Catatan &amp; Sumber'!$B$16,"Sedang","Relatif Longgar"))))</x:f>
        <x:v>Relatif Longgar</x:v>
      </x:c>
      <x:c r="N3618" s="66" t="str">
        <x:v>Tidak Ada</x:v>
      </x:c>
      <x:c r="O3618" s="66" t="str">
        <x:v>Kalimantan Selatan</x:v>
      </x:c>
      <x:c r="P3618" s="66" t="str">
        <x:v>Kota Banjarmasin</x:v>
      </x:c>
      <x:c r="Q3618" s="66" t="str">
        <x:v>https://snpmb.id/snbp/daya-tampung-snbp</x:v>
      </x:c>
      <x:c r="R3618" s="66" t="str">
        <x:v>https://sidatagrun-public-1076756628210.asia-southeast2.run.app/ptn_sn.php?ptn=531</x:v>
      </x:c>
    </x:row>
    <x:row r="3619">
      <x:c r="A3619" s="87" t="n">
        <x:v>4049</x:v>
      </x:c>
      <x:c r="B3619" s="66" t="n">
        <x:v>531</x:v>
      </x:c>
      <x:c r="C3619" s="66" t="str">
        <x:v>UNIVERSITAS LAMBUNG MANGKURAT</x:v>
      </x:c>
      <x:c r="D3619" s="66" t="str">
        <x:v>PTN Akademik</x:v>
      </x:c>
      <x:c r="E3619" s="66" t="str">
        <x:v>15311029</x:v>
      </x:c>
      <x:c r="F3619" s="66" t="str">
        <x:v>PENDIDIKAN FISIKA</x:v>
      </x:c>
      <x:c r="G3619" s="66" t="str">
        <x:v>Sarjana</x:v>
      </x:c>
      <x:c r="H3619" s="87" t="n">
        <x:v>18</x:v>
      </x:c>
      <x:c r="I3619" s="87" t="n">
        <x:v>25</x:v>
      </x:c>
      <x:c r="J3619" s="68" t="n">
        <x:f>IFERROR(H3619/I3619,"")</x:f>
        <x:v>0.72</x:v>
      </x:c>
      <x:c r="K3619" s="69" t="n">
        <x:f>IFERROR(I3619/H3619,"")</x:f>
        <x:v>1.3888888888888888</x:v>
      </x:c>
      <x:c r="L3619" s="66" t="str">
        <x:f>IF(K3619="","","1 : "&amp;TEXT(K3619,"0.0"))</x:f>
        <x:v>1 : 1.4</x:v>
      </x:c>
      <x:c r="M3619" s="66" t="str">
        <x:f>IF(J3619="","Baru/Tanpa Data",IF(J3619&lt;='Catatan &amp; Sumber'!$B$14,"Sangat Ketat",IF(J3619&lt;='Catatan &amp; Sumber'!$B$15,"Ketat",IF(J3619&lt;='Catatan &amp; Sumber'!$B$16,"Sedang","Relatif Longgar"))))</x:f>
        <x:v>Relatif Longgar</x:v>
      </x:c>
      <x:c r="N3619" s="66" t="str">
        <x:v>Tidak Ada</x:v>
      </x:c>
      <x:c r="O3619" s="66" t="str">
        <x:v>Kalimantan Selatan</x:v>
      </x:c>
      <x:c r="P3619" s="66" t="str">
        <x:v>Kota Banjarmasin</x:v>
      </x:c>
      <x:c r="Q3619" s="66" t="str">
        <x:v>https://snpmb.id/snbp/daya-tampung-snbp</x:v>
      </x:c>
      <x:c r="R3619" s="66" t="str">
        <x:v>https://sidatagrun-public-1076756628210.asia-southeast2.run.app/ptn_sn.php?ptn=531</x:v>
      </x:c>
    </x:row>
    <x:row r="3620">
      <x:c r="A3620" s="87" t="n">
        <x:v>183</x:v>
      </x:c>
      <x:c r="B3620" s="66" t="n">
        <x:v>531</x:v>
      </x:c>
      <x:c r="C3620" s="66" t="str">
        <x:v>UNIVERSITAS LAMBUNG MANGKURAT</x:v>
      </x:c>
      <x:c r="D3620" s="66" t="str">
        <x:v>PTN Akademik</x:v>
      </x:c>
      <x:c r="E3620" s="66" t="str">
        <x:v>15311030</x:v>
      </x:c>
      <x:c r="F3620" s="66" t="str">
        <x:v>KEPERAWATAN</x:v>
      </x:c>
      <x:c r="G3620" s="66" t="str">
        <x:v>Sarjana</x:v>
      </x:c>
      <x:c r="H3620" s="87" t="n">
        <x:v>24</x:v>
      </x:c>
      <x:c r="I3620" s="87" t="n">
        <x:v>670</x:v>
      </x:c>
      <x:c r="J3620" s="68" t="n">
        <x:f>IFERROR(H3620/I3620,"")</x:f>
        <x:v>0.03582089552238806</x:v>
      </x:c>
      <x:c r="K3620" s="69" t="n">
        <x:f>IFERROR(I3620/H3620,"")</x:f>
        <x:v>27.916666666666668</x:v>
      </x:c>
      <x:c r="L3620" s="66" t="str">
        <x:f>IF(K3620="","","1 : "&amp;TEXT(K3620,"0.0"))</x:f>
        <x:v>1 : 27.9</x:v>
      </x:c>
      <x:c r="M3620" s="66" t="str">
        <x:f>IF(J3620="","Baru/Tanpa Data",IF(J3620&lt;='Catatan &amp; Sumber'!$B$14,"Sangat Ketat",IF(J3620&lt;='Catatan &amp; Sumber'!$B$15,"Ketat",IF(J3620&lt;='Catatan &amp; Sumber'!$B$16,"Sedang","Relatif Longgar"))))</x:f>
        <x:v>Ketat</x:v>
      </x:c>
      <x:c r="N3620" s="66" t="str">
        <x:v>Tidak Ada</x:v>
      </x:c>
      <x:c r="O3620" s="66" t="str">
        <x:v>Kalimantan Selatan</x:v>
      </x:c>
      <x:c r="P3620" s="66" t="str">
        <x:v>Kota Banjarmasin</x:v>
      </x:c>
      <x:c r="Q3620" s="66" t="str">
        <x:v>https://snpmb.id/snbp/daya-tampung-snbp</x:v>
      </x:c>
      <x:c r="R3620" s="66" t="str">
        <x:v>https://sidatagrun-public-1076756628210.asia-southeast2.run.app/ptn_sn.php?ptn=531</x:v>
      </x:c>
    </x:row>
    <x:row r="3621">
      <x:c r="A3621" s="87" t="n">
        <x:v>3555</x:v>
      </x:c>
      <x:c r="B3621" s="66" t="n">
        <x:v>531</x:v>
      </x:c>
      <x:c r="C3621" s="66" t="str">
        <x:v>UNIVERSITAS LAMBUNG MANGKURAT</x:v>
      </x:c>
      <x:c r="D3621" s="66" t="str">
        <x:v>PTN Akademik</x:v>
      </x:c>
      <x:c r="E3621" s="66" t="str">
        <x:v>15311032</x:v>
      </x:c>
      <x:c r="F3621" s="66" t="str">
        <x:v>ILMU TANAH</x:v>
      </x:c>
      <x:c r="G3621" s="66" t="str">
        <x:v>Sarjana</x:v>
      </x:c>
      <x:c r="H3621" s="87" t="n">
        <x:v>19</x:v>
      </x:c>
      <x:c r="I3621" s="87" t="n">
        <x:v>42</x:v>
      </x:c>
      <x:c r="J3621" s="68" t="n">
        <x:f>IFERROR(H3621/I3621,"")</x:f>
        <x:v>0.4523809523809524</x:v>
      </x:c>
      <x:c r="K3621" s="69" t="n">
        <x:f>IFERROR(I3621/H3621,"")</x:f>
        <x:v>2.210526315789474</x:v>
      </x:c>
      <x:c r="L3621" s="66" t="str">
        <x:f>IF(K3621="","","1 : "&amp;TEXT(K3621,"0.0"))</x:f>
        <x:v>1 : 2.2</x:v>
      </x:c>
      <x:c r="M3621" s="66" t="str">
        <x:f>IF(J3621="","Baru/Tanpa Data",IF(J3621&lt;='Catatan &amp; Sumber'!$B$14,"Sangat Ketat",IF(J3621&lt;='Catatan &amp; Sumber'!$B$15,"Ketat",IF(J3621&lt;='Catatan &amp; Sumber'!$B$16,"Sedang","Relatif Longgar"))))</x:f>
        <x:v>Relatif Longgar</x:v>
      </x:c>
      <x:c r="N3621" s="66" t="str">
        <x:v>Tidak Ada</x:v>
      </x:c>
      <x:c r="O3621" s="66" t="str">
        <x:v>Kalimantan Selatan</x:v>
      </x:c>
      <x:c r="P3621" s="66" t="str">
        <x:v>Kota Banjarmasin</x:v>
      </x:c>
      <x:c r="Q3621" s="66" t="str">
        <x:v>https://snpmb.id/snbp/daya-tampung-snbp</x:v>
      </x:c>
      <x:c r="R3621" s="66" t="str">
        <x:v>https://sidatagrun-public-1076756628210.asia-southeast2.run.app/ptn_sn.php?ptn=531</x:v>
      </x:c>
    </x:row>
    <x:row r="3622">
      <x:c r="A3622" s="87" t="n">
        <x:v>3497</x:v>
      </x:c>
      <x:c r="B3622" s="66" t="n">
        <x:v>531</x:v>
      </x:c>
      <x:c r="C3622" s="66" t="str">
        <x:v>UNIVERSITAS LAMBUNG MANGKURAT</x:v>
      </x:c>
      <x:c r="D3622" s="66" t="str">
        <x:v>PTN Akademik</x:v>
      </x:c>
      <x:c r="E3622" s="66" t="str">
        <x:v>15311033</x:v>
      </x:c>
      <x:c r="F3622" s="66" t="str">
        <x:v>PROTEKSI TANAMAN</x:v>
      </x:c>
      <x:c r="G3622" s="66" t="str">
        <x:v>Sarjana</x:v>
      </x:c>
      <x:c r="H3622" s="87" t="n">
        <x:v>20</x:v>
      </x:c>
      <x:c r="I3622" s="87" t="n">
        <x:v>46</x:v>
      </x:c>
      <x:c r="J3622" s="68" t="n">
        <x:f>IFERROR(H3622/I3622,"")</x:f>
        <x:v>0.43478260869565216</x:v>
      </x:c>
      <x:c r="K3622" s="69" t="n">
        <x:f>IFERROR(I3622/H3622,"")</x:f>
        <x:v>2.3</x:v>
      </x:c>
      <x:c r="L3622" s="66" t="str">
        <x:f>IF(K3622="","","1 : "&amp;TEXT(K3622,"0.0"))</x:f>
        <x:v>1 : 2.3</x:v>
      </x:c>
      <x:c r="M3622" s="66" t="str">
        <x:f>IF(J3622="","Baru/Tanpa Data",IF(J3622&lt;='Catatan &amp; Sumber'!$B$14,"Sangat Ketat",IF(J3622&lt;='Catatan &amp; Sumber'!$B$15,"Ketat",IF(J3622&lt;='Catatan &amp; Sumber'!$B$16,"Sedang","Relatif Longgar"))))</x:f>
        <x:v>Relatif Longgar</x:v>
      </x:c>
      <x:c r="N3622" s="66" t="str">
        <x:v>Tidak Ada</x:v>
      </x:c>
      <x:c r="O3622" s="66" t="str">
        <x:v>Kalimantan Selatan</x:v>
      </x:c>
      <x:c r="P3622" s="66" t="str">
        <x:v>Kota Banjarmasin</x:v>
      </x:c>
      <x:c r="Q3622" s="66" t="str">
        <x:v>https://snpmb.id/snbp/daya-tampung-snbp</x:v>
      </x:c>
      <x:c r="R3622" s="66" t="str">
        <x:v>https://sidatagrun-public-1076756628210.asia-southeast2.run.app/ptn_sn.php?ptn=531</x:v>
      </x:c>
    </x:row>
    <x:row r="3623">
      <x:c r="A3623" s="87" t="n">
        <x:v>3237</x:v>
      </x:c>
      <x:c r="B3623" s="66" t="n">
        <x:v>531</x:v>
      </x:c>
      <x:c r="C3623" s="66" t="str">
        <x:v>UNIVERSITAS LAMBUNG MANGKURAT</x:v>
      </x:c>
      <x:c r="D3623" s="66" t="str">
        <x:v>PTN Akademik</x:v>
      </x:c>
      <x:c r="E3623" s="66" t="str">
        <x:v>15311034</x:v>
      </x:c>
      <x:c r="F3623" s="66" t="str">
        <x:v>AGRONOMI</x:v>
      </x:c>
      <x:c r="G3623" s="66" t="str">
        <x:v>Sarjana</x:v>
      </x:c>
      <x:c r="H3623" s="87" t="n">
        <x:v>19</x:v>
      </x:c>
      <x:c r="I3623" s="87" t="n">
        <x:v>54</x:v>
      </x:c>
      <x:c r="J3623" s="68" t="n">
        <x:f>IFERROR(H3623/I3623,"")</x:f>
        <x:v>0.35185185185185186</x:v>
      </x:c>
      <x:c r="K3623" s="69" t="n">
        <x:f>IFERROR(I3623/H3623,"")</x:f>
        <x:v>2.8421052631578947</x:v>
      </x:c>
      <x:c r="L3623" s="66" t="str">
        <x:f>IF(K3623="","","1 : "&amp;TEXT(K3623,"0.0"))</x:f>
        <x:v>1 : 2.8</x:v>
      </x:c>
      <x:c r="M3623" s="66" t="str">
        <x:f>IF(J3623="","Baru/Tanpa Data",IF(J3623&lt;='Catatan &amp; Sumber'!$B$14,"Sangat Ketat",IF(J3623&lt;='Catatan &amp; Sumber'!$B$15,"Ketat",IF(J3623&lt;='Catatan &amp; Sumber'!$B$16,"Sedang","Relatif Longgar"))))</x:f>
        <x:v>Relatif Longgar</x:v>
      </x:c>
      <x:c r="N3623" s="66" t="str">
        <x:v>Tidak Ada</x:v>
      </x:c>
      <x:c r="O3623" s="66" t="str">
        <x:v>Kalimantan Selatan</x:v>
      </x:c>
      <x:c r="P3623" s="66" t="str">
        <x:v>Kota Banjarmasin</x:v>
      </x:c>
      <x:c r="Q3623" s="66" t="str">
        <x:v>https://snpmb.id/snbp/daya-tampung-snbp</x:v>
      </x:c>
      <x:c r="R3623" s="66" t="str">
        <x:v>https://sidatagrun-public-1076756628210.asia-southeast2.run.app/ptn_sn.php?ptn=531</x:v>
      </x:c>
    </x:row>
    <x:row r="3624">
      <x:c r="A3624" s="87" t="n">
        <x:v>1222</x:v>
      </x:c>
      <x:c r="B3624" s="66" t="n">
        <x:v>531</x:v>
      </x:c>
      <x:c r="C3624" s="66" t="str">
        <x:v>UNIVERSITAS LAMBUNG MANGKURAT</x:v>
      </x:c>
      <x:c r="D3624" s="66" t="str">
        <x:v>PTN Akademik</x:v>
      </x:c>
      <x:c r="E3624" s="66" t="str">
        <x:v>15311035</x:v>
      </x:c>
      <x:c r="F3624" s="66" t="str">
        <x:v>KEDOKTERAN GIGI</x:v>
      </x:c>
      <x:c r="G3624" s="66" t="str">
        <x:v>Sarjana</x:v>
      </x:c>
      <x:c r="H3624" s="87" t="n">
        <x:v>30</x:v>
      </x:c>
      <x:c r="I3624" s="87" t="n">
        <x:v>328</x:v>
      </x:c>
      <x:c r="J3624" s="68" t="n">
        <x:f>IFERROR(H3624/I3624,"")</x:f>
        <x:v>0.09146341463414634</x:v>
      </x:c>
      <x:c r="K3624" s="69" t="n">
        <x:f>IFERROR(I3624/H3624,"")</x:f>
        <x:v>10.933333333333334</x:v>
      </x:c>
      <x:c r="L3624" s="66" t="str">
        <x:f>IF(K3624="","","1 : "&amp;TEXT(K3624,"0.0"))</x:f>
        <x:v>1 : 10.9</x:v>
      </x:c>
      <x:c r="M3624" s="66" t="str">
        <x:f>IF(J3624="","Baru/Tanpa Data",IF(J3624&lt;='Catatan &amp; Sumber'!$B$14,"Sangat Ketat",IF(J3624&lt;='Catatan &amp; Sumber'!$B$15,"Ketat",IF(J3624&lt;='Catatan &amp; Sumber'!$B$16,"Sedang","Relatif Longgar"))))</x:f>
        <x:v>Sedang</x:v>
      </x:c>
      <x:c r="N3624" s="66" t="str">
        <x:v>Tidak Ada</x:v>
      </x:c>
      <x:c r="O3624" s="66" t="str">
        <x:v>Kalimantan Selatan</x:v>
      </x:c>
      <x:c r="P3624" s="66" t="str">
        <x:v>Kota Banjarmasin</x:v>
      </x:c>
      <x:c r="Q3624" s="66" t="str">
        <x:v>https://snpmb.id/snbp/daya-tampung-snbp</x:v>
      </x:c>
      <x:c r="R3624" s="66" t="str">
        <x:v>https://sidatagrun-public-1076756628210.asia-southeast2.run.app/ptn_sn.php?ptn=531</x:v>
      </x:c>
    </x:row>
    <x:row r="3625">
      <x:c r="A3625" s="87" t="n">
        <x:v>2394</x:v>
      </x:c>
      <x:c r="B3625" s="66" t="n">
        <x:v>531</x:v>
      </x:c>
      <x:c r="C3625" s="66" t="str">
        <x:v>UNIVERSITAS LAMBUNG MANGKURAT</x:v>
      </x:c>
      <x:c r="D3625" s="66" t="str">
        <x:v>PTN Akademik</x:v>
      </x:c>
      <x:c r="E3625" s="66" t="str">
        <x:v>15311036</x:v>
      </x:c>
      <x:c r="F3625" s="66" t="str">
        <x:v>PENDIDIKAN KOMPUTER</x:v>
      </x:c>
      <x:c r="G3625" s="66" t="str">
        <x:v>Sarjana</x:v>
      </x:c>
      <x:c r="H3625" s="87" t="n">
        <x:v>15</x:v>
      </x:c>
      <x:c r="I3625" s="87" t="n">
        <x:v>77</x:v>
      </x:c>
      <x:c r="J3625" s="68" t="n">
        <x:f>IFERROR(H3625/I3625,"")</x:f>
        <x:v>0.19480519480519481</x:v>
      </x:c>
      <x:c r="K3625" s="69" t="n">
        <x:f>IFERROR(I3625/H3625,"")</x:f>
        <x:v>5.133333333333334</x:v>
      </x:c>
      <x:c r="L3625" s="66" t="str">
        <x:f>IF(K3625="","","1 : "&amp;TEXT(K3625,"0.0"))</x:f>
        <x:v>1 : 5.1</x:v>
      </x:c>
      <x:c r="M3625" s="66" t="str">
        <x:f>IF(J3625="","Baru/Tanpa Data",IF(J3625&lt;='Catatan &amp; Sumber'!$B$14,"Sangat Ketat",IF(J3625&lt;='Catatan &amp; Sumber'!$B$15,"Ketat",IF(J3625&lt;='Catatan &amp; Sumber'!$B$16,"Sedang","Relatif Longgar"))))</x:f>
        <x:v>Relatif Longgar</x:v>
      </x:c>
      <x:c r="N3625" s="66" t="str">
        <x:v>Tidak Ada</x:v>
      </x:c>
      <x:c r="O3625" s="66" t="str">
        <x:v>Kalimantan Selatan</x:v>
      </x:c>
      <x:c r="P3625" s="66" t="str">
        <x:v>Kota Banjarmasin</x:v>
      </x:c>
      <x:c r="Q3625" s="66" t="str">
        <x:v>https://snpmb.id/snbp/daya-tampung-snbp</x:v>
      </x:c>
      <x:c r="R3625" s="66" t="str">
        <x:v>https://sidatagrun-public-1076756628210.asia-southeast2.run.app/ptn_sn.php?ptn=531</x:v>
      </x:c>
    </x:row>
    <x:row r="3626">
      <x:c r="A3626" s="87" t="n">
        <x:v>3188</x:v>
      </x:c>
      <x:c r="B3626" s="66" t="n">
        <x:v>531</x:v>
      </x:c>
      <x:c r="C3626" s="66" t="str">
        <x:v>UNIVERSITAS LAMBUNG MANGKURAT</x:v>
      </x:c>
      <x:c r="D3626" s="66" t="str">
        <x:v>PTN Akademik</x:v>
      </x:c>
      <x:c r="E3626" s="66" t="str">
        <x:v>15311037</x:v>
      </x:c>
      <x:c r="F3626" s="66" t="str">
        <x:v>PENDIDIKAN IPA</x:v>
      </x:c>
      <x:c r="G3626" s="66" t="str">
        <x:v>Sarjana</x:v>
      </x:c>
      <x:c r="H3626" s="87" t="n">
        <x:v>20</x:v>
      </x:c>
      <x:c r="I3626" s="87" t="n">
        <x:v>59</x:v>
      </x:c>
      <x:c r="J3626" s="68" t="n">
        <x:f>IFERROR(H3626/I3626,"")</x:f>
        <x:v>0.3389830508474576</x:v>
      </x:c>
      <x:c r="K3626" s="69" t="n">
        <x:f>IFERROR(I3626/H3626,"")</x:f>
        <x:v>2.95</x:v>
      </x:c>
      <x:c r="L3626" s="66" t="str">
        <x:f>IF(K3626="","","1 : "&amp;TEXT(K3626,"0.0"))</x:f>
        <x:v>1 : 3.0</x:v>
      </x:c>
      <x:c r="M3626" s="66" t="str">
        <x:f>IF(J3626="","Baru/Tanpa Data",IF(J3626&lt;='Catatan &amp; Sumber'!$B$14,"Sangat Ketat",IF(J3626&lt;='Catatan &amp; Sumber'!$B$15,"Ketat",IF(J3626&lt;='Catatan &amp; Sumber'!$B$16,"Sedang","Relatif Longgar"))))</x:f>
        <x:v>Relatif Longgar</x:v>
      </x:c>
      <x:c r="N3626" s="66" t="str">
        <x:v>Tidak Ada</x:v>
      </x:c>
      <x:c r="O3626" s="66" t="str">
        <x:v>Kalimantan Selatan</x:v>
      </x:c>
      <x:c r="P3626" s="66" t="str">
        <x:v>Kota Banjarmasin</x:v>
      </x:c>
      <x:c r="Q3626" s="66" t="str">
        <x:v>https://snpmb.id/snbp/daya-tampung-snbp</x:v>
      </x:c>
      <x:c r="R3626" s="66" t="str">
        <x:v>https://sidatagrun-public-1076756628210.asia-southeast2.run.app/ptn_sn.php?ptn=531</x:v>
      </x:c>
    </x:row>
    <x:row r="3627">
      <x:c r="A3627" s="87" t="n">
        <x:v>612</x:v>
      </x:c>
      <x:c r="B3627" s="66" t="n">
        <x:v>531</x:v>
      </x:c>
      <x:c r="C3627" s="66" t="str">
        <x:v>UNIVERSITAS LAMBUNG MANGKURAT</x:v>
      </x:c>
      <x:c r="D3627" s="66" t="str">
        <x:v>PTN Akademik</x:v>
      </x:c>
      <x:c r="E3627" s="66" t="str">
        <x:v>15311038</x:v>
      </x:c>
      <x:c r="F3627" s="66" t="str">
        <x:v>TEKNOLOGI INFORMASI</x:v>
      </x:c>
      <x:c r="G3627" s="66" t="str">
        <x:v>Sarjana</x:v>
      </x:c>
      <x:c r="H3627" s="87" t="n">
        <x:v>28</x:v>
      </x:c>
      <x:c r="I3627" s="87" t="n">
        <x:v>482</x:v>
      </x:c>
      <x:c r="J3627" s="68" t="n">
        <x:f>IFERROR(H3627/I3627,"")</x:f>
        <x:v>0.058091286307053944</x:v>
      </x:c>
      <x:c r="K3627" s="69" t="n">
        <x:f>IFERROR(I3627/H3627,"")</x:f>
        <x:v>17.214285714285715</x:v>
      </x:c>
      <x:c r="L3627" s="66" t="str">
        <x:f>IF(K3627="","","1 : "&amp;TEXT(K3627,"0.0"))</x:f>
        <x:v>1 : 17.2</x:v>
      </x:c>
      <x:c r="M3627" s="66" t="str">
        <x:f>IF(J3627="","Baru/Tanpa Data",IF(J3627&lt;='Catatan &amp; Sumber'!$B$14,"Sangat Ketat",IF(J3627&lt;='Catatan &amp; Sumber'!$B$15,"Ketat",IF(J3627&lt;='Catatan &amp; Sumber'!$B$16,"Sedang","Relatif Longgar"))))</x:f>
        <x:v>Sedang</x:v>
      </x:c>
      <x:c r="N3627" s="66" t="str">
        <x:v>Tidak Ada</x:v>
      </x:c>
      <x:c r="O3627" s="66" t="str">
        <x:v>Kalimantan Selatan</x:v>
      </x:c>
      <x:c r="P3627" s="66" t="str">
        <x:v>Kota Banjarmasin</x:v>
      </x:c>
      <x:c r="Q3627" s="66" t="str">
        <x:v>https://snpmb.id/snbp/daya-tampung-snbp</x:v>
      </x:c>
      <x:c r="R3627" s="66" t="str">
        <x:v>https://sidatagrun-public-1076756628210.asia-southeast2.run.app/ptn_sn.php?ptn=531</x:v>
      </x:c>
    </x:row>
    <x:row r="3628">
      <x:c r="A3628" s="87" t="n">
        <x:v>2082</x:v>
      </x:c>
      <x:c r="B3628" s="66" t="n">
        <x:v>531</x:v>
      </x:c>
      <x:c r="C3628" s="66" t="str">
        <x:v>UNIVERSITAS LAMBUNG MANGKURAT</x:v>
      </x:c>
      <x:c r="D3628" s="66" t="str">
        <x:v>PTN Akademik</x:v>
      </x:c>
      <x:c r="E3628" s="66" t="str">
        <x:v>15311039</x:v>
      </x:c>
      <x:c r="F3628" s="66" t="str">
        <x:v>STATISTIKA</x:v>
      </x:c>
      <x:c r="G3628" s="66" t="str">
        <x:v>Sarjana</x:v>
      </x:c>
      <x:c r="H3628" s="87" t="n">
        <x:v>15</x:v>
      </x:c>
      <x:c r="I3628" s="87" t="n">
        <x:v>94</x:v>
      </x:c>
      <x:c r="J3628" s="68" t="n">
        <x:f>IFERROR(H3628/I3628,"")</x:f>
        <x:v>0.1595744680851064</x:v>
      </x:c>
      <x:c r="K3628" s="69" t="n">
        <x:f>IFERROR(I3628/H3628,"")</x:f>
        <x:v>6.266666666666667</x:v>
      </x:c>
      <x:c r="L3628" s="66" t="str">
        <x:f>IF(K3628="","","1 : "&amp;TEXT(K3628,"0.0"))</x:f>
        <x:v>1 : 6.3</x:v>
      </x:c>
      <x:c r="M3628" s="66" t="str">
        <x:f>IF(J3628="","Baru/Tanpa Data",IF(J3628&lt;='Catatan &amp; Sumber'!$B$14,"Sangat Ketat",IF(J3628&lt;='Catatan &amp; Sumber'!$B$15,"Ketat",IF(J3628&lt;='Catatan &amp; Sumber'!$B$16,"Sedang","Relatif Longgar"))))</x:f>
        <x:v>Relatif Longgar</x:v>
      </x:c>
      <x:c r="N3628" s="66" t="str">
        <x:v>Tidak Ada</x:v>
      </x:c>
      <x:c r="O3628" s="66" t="str">
        <x:v>Kalimantan Selatan</x:v>
      </x:c>
      <x:c r="P3628" s="66" t="str">
        <x:v>Kota Banjarmasin</x:v>
      </x:c>
      <x:c r="Q3628" s="66" t="str">
        <x:v>https://snpmb.id/snbp/daya-tampung-snbp</x:v>
      </x:c>
      <x:c r="R3628" s="66" t="str">
        <x:v>https://sidatagrun-public-1076756628210.asia-southeast2.run.app/ptn_sn.php?ptn=531</x:v>
      </x:c>
    </x:row>
    <x:row r="3629">
      <x:c r="A3629" s="87" t="n">
        <x:v>3508</x:v>
      </x:c>
      <x:c r="B3629" s="66" t="n">
        <x:v>531</x:v>
      </x:c>
      <x:c r="C3629" s="66" t="str">
        <x:v>UNIVERSITAS LAMBUNG MANGKURAT</x:v>
      </x:c>
      <x:c r="D3629" s="66" t="str">
        <x:v>PTN Akademik</x:v>
      </x:c>
      <x:c r="E3629" s="66" t="str">
        <x:v>15311040</x:v>
      </x:c>
      <x:c r="F3629" s="66" t="str">
        <x:v>GEOGRAFI</x:v>
      </x:c>
      <x:c r="G3629" s="66" t="str">
        <x:v>Sarjana</x:v>
      </x:c>
      <x:c r="H3629" s="87" t="n">
        <x:v>24</x:v>
      </x:c>
      <x:c r="I3629" s="87" t="n">
        <x:v>55</x:v>
      </x:c>
      <x:c r="J3629" s="68" t="n">
        <x:f>IFERROR(H3629/I3629,"")</x:f>
        <x:v>0.43636363636363634</x:v>
      </x:c>
      <x:c r="K3629" s="69" t="n">
        <x:f>IFERROR(I3629/H3629,"")</x:f>
        <x:v>2.2916666666666665</x:v>
      </x:c>
      <x:c r="L3629" s="66" t="str">
        <x:f>IF(K3629="","","1 : "&amp;TEXT(K3629,"0.0"))</x:f>
        <x:v>1 : 2.3</x:v>
      </x:c>
      <x:c r="M3629" s="66" t="str">
        <x:f>IF(J3629="","Baru/Tanpa Data",IF(J3629&lt;='Catatan &amp; Sumber'!$B$14,"Sangat Ketat",IF(J3629&lt;='Catatan &amp; Sumber'!$B$15,"Ketat",IF(J3629&lt;='Catatan &amp; Sumber'!$B$16,"Sedang","Relatif Longgar"))))</x:f>
        <x:v>Relatif Longgar</x:v>
      </x:c>
      <x:c r="N3629" s="66" t="str">
        <x:v>Tidak Ada</x:v>
      </x:c>
      <x:c r="O3629" s="66" t="str">
        <x:v>Kalimantan Selatan</x:v>
      </x:c>
      <x:c r="P3629" s="66" t="str">
        <x:v>Kota Banjarmasin</x:v>
      </x:c>
      <x:c r="Q3629" s="66" t="str">
        <x:v>https://snpmb.id/snbp/daya-tampung-snbp</x:v>
      </x:c>
      <x:c r="R3629" s="66" t="str">
        <x:v>https://sidatagrun-public-1076756628210.asia-southeast2.run.app/ptn_sn.php?ptn=531</x:v>
      </x:c>
    </x:row>
    <x:row r="3630">
      <x:c r="A3630" s="87" t="n">
        <x:v>2583</x:v>
      </x:c>
      <x:c r="B3630" s="66" t="n">
        <x:v>531</x:v>
      </x:c>
      <x:c r="C3630" s="66" t="str">
        <x:v>UNIVERSITAS LAMBUNG MANGKURAT</x:v>
      </x:c>
      <x:c r="D3630" s="66" t="str">
        <x:v>PTN Akademik</x:v>
      </x:c>
      <x:c r="E3630" s="66" t="str">
        <x:v>15311041</x:v>
      </x:c>
      <x:c r="F3630" s="66" t="str">
        <x:v>PENDIDIKAN SEJARAH</x:v>
      </x:c>
      <x:c r="G3630" s="66" t="str">
        <x:v>Sarjana</x:v>
      </x:c>
      <x:c r="H3630" s="87" t="n">
        <x:v>14</x:v>
      </x:c>
      <x:c r="I3630" s="87" t="n">
        <x:v>62</x:v>
      </x:c>
      <x:c r="J3630" s="68" t="n">
        <x:f>IFERROR(H3630/I3630,"")</x:f>
        <x:v>0.22580645161290322</x:v>
      </x:c>
      <x:c r="K3630" s="69" t="n">
        <x:f>IFERROR(I3630/H3630,"")</x:f>
        <x:v>4.428571428571429</x:v>
      </x:c>
      <x:c r="L3630" s="66" t="str">
        <x:f>IF(K3630="","","1 : "&amp;TEXT(K3630,"0.0"))</x:f>
        <x:v>1 : 4.4</x:v>
      </x:c>
      <x:c r="M3630" s="66" t="str">
        <x:f>IF(J3630="","Baru/Tanpa Data",IF(J3630&lt;='Catatan &amp; Sumber'!$B$14,"Sangat Ketat",IF(J3630&lt;='Catatan &amp; Sumber'!$B$15,"Ketat",IF(J3630&lt;='Catatan &amp; Sumber'!$B$16,"Sedang","Relatif Longgar"))))</x:f>
        <x:v>Relatif Longgar</x:v>
      </x:c>
      <x:c r="N3630" s="66" t="str">
        <x:v>Tidak Ada</x:v>
      </x:c>
      <x:c r="O3630" s="66" t="str">
        <x:v>Kalimantan Selatan</x:v>
      </x:c>
      <x:c r="P3630" s="66" t="str">
        <x:v>Kota Banjarmasin</x:v>
      </x:c>
      <x:c r="Q3630" s="66" t="str">
        <x:v>https://snpmb.id/snbp/daya-tampung-snbp</x:v>
      </x:c>
      <x:c r="R3630" s="66" t="str">
        <x:v>https://sidatagrun-public-1076756628210.asia-southeast2.run.app/ptn_sn.php?ptn=531</x:v>
      </x:c>
    </x:row>
    <x:row r="3631">
      <x:c r="A3631" s="87" t="n">
        <x:v>2783</x:v>
      </x:c>
      <x:c r="B3631" s="66" t="n">
        <x:v>531</x:v>
      </x:c>
      <x:c r="C3631" s="66" t="str">
        <x:v>UNIVERSITAS LAMBUNG MANGKURAT</x:v>
      </x:c>
      <x:c r="D3631" s="66" t="str">
        <x:v>PTN Akademik</x:v>
      </x:c>
      <x:c r="E3631" s="66" t="str">
        <x:v>15311042</x:v>
      </x:c>
      <x:c r="F3631" s="66" t="str">
        <x:v>PENDIDIKAN PANCASILA DAN KEWARGANEGARAAN</x:v>
      </x:c>
      <x:c r="G3631" s="66" t="str">
        <x:v>Sarjana</x:v>
      </x:c>
      <x:c r="H3631" s="87" t="n">
        <x:v>22</x:v>
      </x:c>
      <x:c r="I3631" s="87" t="n">
        <x:v>86</x:v>
      </x:c>
      <x:c r="J3631" s="68" t="n">
        <x:f>IFERROR(H3631/I3631,"")</x:f>
        <x:v>0.2558139534883721</x:v>
      </x:c>
      <x:c r="K3631" s="69" t="n">
        <x:f>IFERROR(I3631/H3631,"")</x:f>
        <x:v>3.909090909090909</x:v>
      </x:c>
      <x:c r="L3631" s="66" t="str">
        <x:f>IF(K3631="","","1 : "&amp;TEXT(K3631,"0.0"))</x:f>
        <x:v>1 : 3.9</x:v>
      </x:c>
      <x:c r="M3631" s="66" t="str">
        <x:f>IF(J3631="","Baru/Tanpa Data",IF(J3631&lt;='Catatan &amp; Sumber'!$B$14,"Sangat Ketat",IF(J3631&lt;='Catatan &amp; Sumber'!$B$15,"Ketat",IF(J3631&lt;='Catatan &amp; Sumber'!$B$16,"Sedang","Relatif Longgar"))))</x:f>
        <x:v>Relatif Longgar</x:v>
      </x:c>
      <x:c r="N3631" s="66" t="str">
        <x:v>Tidak Ada</x:v>
      </x:c>
      <x:c r="O3631" s="66" t="str">
        <x:v>Kalimantan Selatan</x:v>
      </x:c>
      <x:c r="P3631" s="66" t="str">
        <x:v>Kota Banjarmasin</x:v>
      </x:c>
      <x:c r="Q3631" s="66" t="str">
        <x:v>https://snpmb.id/snbp/daya-tampung-snbp</x:v>
      </x:c>
      <x:c r="R3631" s="66" t="str">
        <x:v>https://sidatagrun-public-1076756628210.asia-southeast2.run.app/ptn_sn.php?ptn=531</x:v>
      </x:c>
    </x:row>
    <x:row r="3632">
      <x:c r="A3632" s="87" t="n">
        <x:v>2423</x:v>
      </x:c>
      <x:c r="B3632" s="66" t="n">
        <x:v>531</x:v>
      </x:c>
      <x:c r="C3632" s="66" t="str">
        <x:v>UNIVERSITAS LAMBUNG MANGKURAT</x:v>
      </x:c>
      <x:c r="D3632" s="66" t="str">
        <x:v>PTN Akademik</x:v>
      </x:c>
      <x:c r="E3632" s="66" t="str">
        <x:v>15311043</x:v>
      </x:c>
      <x:c r="F3632" s="66" t="str">
        <x:v>PENDIDIKAN EKONOMI</x:v>
      </x:c>
      <x:c r="G3632" s="66" t="str">
        <x:v>Sarjana</x:v>
      </x:c>
      <x:c r="H3632" s="87" t="n">
        <x:v>17</x:v>
      </x:c>
      <x:c r="I3632" s="87" t="n">
        <x:v>85</x:v>
      </x:c>
      <x:c r="J3632" s="68" t="n">
        <x:f>IFERROR(H3632/I3632,"")</x:f>
        <x:v>0.2</x:v>
      </x:c>
      <x:c r="K3632" s="69" t="n">
        <x:f>IFERROR(I3632/H3632,"")</x:f>
        <x:v>5</x:v>
      </x:c>
      <x:c r="L3632" s="66" t="str">
        <x:f>IF(K3632="","","1 : "&amp;TEXT(K3632,"0.0"))</x:f>
        <x:v>1 : 5.0</x:v>
      </x:c>
      <x:c r="M3632" s="66" t="str">
        <x:f>IF(J3632="","Baru/Tanpa Data",IF(J3632&lt;='Catatan &amp; Sumber'!$B$14,"Sangat Ketat",IF(J3632&lt;='Catatan &amp; Sumber'!$B$15,"Ketat",IF(J3632&lt;='Catatan &amp; Sumber'!$B$16,"Sedang","Relatif Longgar"))))</x:f>
        <x:v>Relatif Longgar</x:v>
      </x:c>
      <x:c r="N3632" s="66" t="str">
        <x:v>Tidak Ada</x:v>
      </x:c>
      <x:c r="O3632" s="66" t="str">
        <x:v>Kalimantan Selatan</x:v>
      </x:c>
      <x:c r="P3632" s="66" t="str">
        <x:v>Kota Banjarmasin</x:v>
      </x:c>
      <x:c r="Q3632" s="66" t="str">
        <x:v>https://snpmb.id/snbp/daya-tampung-snbp</x:v>
      </x:c>
      <x:c r="R3632" s="66" t="str">
        <x:v>https://sidatagrun-public-1076756628210.asia-southeast2.run.app/ptn_sn.php?ptn=531</x:v>
      </x:c>
    </x:row>
    <x:row r="3633">
      <x:c r="A3633" s="87" t="n">
        <x:v>1646</x:v>
      </x:c>
      <x:c r="B3633" s="66" t="n">
        <x:v>531</x:v>
      </x:c>
      <x:c r="C3633" s="66" t="str">
        <x:v>UNIVERSITAS LAMBUNG MANGKURAT</x:v>
      </x:c>
      <x:c r="D3633" s="66" t="str">
        <x:v>PTN Akademik</x:v>
      </x:c>
      <x:c r="E3633" s="66" t="str">
        <x:v>15311044</x:v>
      </x:c>
      <x:c r="F3633" s="66" t="str">
        <x:v>PENDIDIKAN BAHASA DAN SASTRA INDONESIA</x:v>
      </x:c>
      <x:c r="G3633" s="66" t="str">
        <x:v>Sarjana</x:v>
      </x:c>
      <x:c r="H3633" s="87" t="n">
        <x:v>17</x:v>
      </x:c>
      <x:c r="I3633" s="87" t="n">
        <x:v>142</x:v>
      </x:c>
      <x:c r="J3633" s="68" t="n">
        <x:f>IFERROR(H3633/I3633,"")</x:f>
        <x:v>0.11971830985915492</x:v>
      </x:c>
      <x:c r="K3633" s="69" t="n">
        <x:f>IFERROR(I3633/H3633,"")</x:f>
        <x:v>8.352941176470589</x:v>
      </x:c>
      <x:c r="L3633" s="66" t="str">
        <x:f>IF(K3633="","","1 : "&amp;TEXT(K3633,"0.0"))</x:f>
        <x:v>1 : 8.4</x:v>
      </x:c>
      <x:c r="M3633" s="66" t="str">
        <x:f>IF(J3633="","Baru/Tanpa Data",IF(J3633&lt;='Catatan &amp; Sumber'!$B$14,"Sangat Ketat",IF(J3633&lt;='Catatan &amp; Sumber'!$B$15,"Ketat",IF(J3633&lt;='Catatan &amp; Sumber'!$B$16,"Sedang","Relatif Longgar"))))</x:f>
        <x:v>Relatif Longgar</x:v>
      </x:c>
      <x:c r="N3633" s="66" t="str">
        <x:v>Tidak Ada</x:v>
      </x:c>
      <x:c r="O3633" s="66" t="str">
        <x:v>Kalimantan Selatan</x:v>
      </x:c>
      <x:c r="P3633" s="66" t="str">
        <x:v>Kota Banjarmasin</x:v>
      </x:c>
      <x:c r="Q3633" s="66" t="str">
        <x:v>https://snpmb.id/snbp/daya-tampung-snbp</x:v>
      </x:c>
      <x:c r="R3633" s="66" t="str">
        <x:v>https://sidatagrun-public-1076756628210.asia-southeast2.run.app/ptn_sn.php?ptn=531</x:v>
      </x:c>
    </x:row>
    <x:row r="3634">
      <x:c r="A3634" s="87" t="n">
        <x:v>1796</x:v>
      </x:c>
      <x:c r="B3634" s="66" t="n">
        <x:v>531</x:v>
      </x:c>
      <x:c r="C3634" s="66" t="str">
        <x:v>UNIVERSITAS LAMBUNG MANGKURAT</x:v>
      </x:c>
      <x:c r="D3634" s="66" t="str">
        <x:v>PTN Akademik</x:v>
      </x:c>
      <x:c r="E3634" s="66" t="str">
        <x:v>15311045</x:v>
      </x:c>
      <x:c r="F3634" s="66" t="str">
        <x:v>PENDIDIKAN BAHASA INGGRIS</x:v>
      </x:c>
      <x:c r="G3634" s="66" t="str">
        <x:v>Sarjana</x:v>
      </x:c>
      <x:c r="H3634" s="87" t="n">
        <x:v>27</x:v>
      </x:c>
      <x:c r="I3634" s="87" t="n">
        <x:v>204</x:v>
      </x:c>
      <x:c r="J3634" s="68" t="n">
        <x:f>IFERROR(H3634/I3634,"")</x:f>
        <x:v>0.1323529411764706</x:v>
      </x:c>
      <x:c r="K3634" s="69" t="n">
        <x:f>IFERROR(I3634/H3634,"")</x:f>
        <x:v>7.555555555555555</x:v>
      </x:c>
      <x:c r="L3634" s="66" t="str">
        <x:f>IF(K3634="","","1 : "&amp;TEXT(K3634,"0.0"))</x:f>
        <x:v>1 : 7.6</x:v>
      </x:c>
      <x:c r="M3634" s="66" t="str">
        <x:f>IF(J3634="","Baru/Tanpa Data",IF(J3634&lt;='Catatan &amp; Sumber'!$B$14,"Sangat Ketat",IF(J3634&lt;='Catatan &amp; Sumber'!$B$15,"Ketat",IF(J3634&lt;='Catatan &amp; Sumber'!$B$16,"Sedang","Relatif Longgar"))))</x:f>
        <x:v>Relatif Longgar</x:v>
      </x:c>
      <x:c r="N3634" s="66" t="str">
        <x:v>Tidak Ada</x:v>
      </x:c>
      <x:c r="O3634" s="66" t="str">
        <x:v>Kalimantan Selatan</x:v>
      </x:c>
      <x:c r="P3634" s="66" t="str">
        <x:v>Kota Banjarmasin</x:v>
      </x:c>
      <x:c r="Q3634" s="66" t="str">
        <x:v>https://snpmb.id/snbp/daya-tampung-snbp</x:v>
      </x:c>
      <x:c r="R3634" s="66" t="str">
        <x:v>https://sidatagrun-public-1076756628210.asia-southeast2.run.app/ptn_sn.php?ptn=531</x:v>
      </x:c>
    </x:row>
    <x:row r="3635">
      <x:c r="A3635" s="87" t="n">
        <x:v>1584</x:v>
      </x:c>
      <x:c r="B3635" s="66" t="n">
        <x:v>531</x:v>
      </x:c>
      <x:c r="C3635" s="66" t="str">
        <x:v>UNIVERSITAS LAMBUNG MANGKURAT</x:v>
      </x:c>
      <x:c r="D3635" s="66" t="str">
        <x:v>PTN Akademik</x:v>
      </x:c>
      <x:c r="E3635" s="66" t="str">
        <x:v>15311046</x:v>
      </x:c>
      <x:c r="F3635" s="66" t="str">
        <x:v>HUKUM</x:v>
      </x:c>
      <x:c r="G3635" s="66" t="str">
        <x:v>Sarjana</x:v>
      </x:c>
      <x:c r="H3635" s="87" t="n">
        <x:v>76</x:v>
      </x:c>
      <x:c r="I3635" s="87" t="n">
        <x:v>662</x:v>
      </x:c>
      <x:c r="J3635" s="68" t="n">
        <x:f>IFERROR(H3635/I3635,"")</x:f>
        <x:v>0.1148036253776435</x:v>
      </x:c>
      <x:c r="K3635" s="69" t="n">
        <x:f>IFERROR(I3635/H3635,"")</x:f>
        <x:v>8.710526315789474</x:v>
      </x:c>
      <x:c r="L3635" s="66" t="str">
        <x:f>IF(K3635="","","1 : "&amp;TEXT(K3635,"0.0"))</x:f>
        <x:v>1 : 8.7</x:v>
      </x:c>
      <x:c r="M3635" s="66" t="str">
        <x:f>IF(J3635="","Baru/Tanpa Data",IF(J3635&lt;='Catatan &amp; Sumber'!$B$14,"Sangat Ketat",IF(J3635&lt;='Catatan &amp; Sumber'!$B$15,"Ketat",IF(J3635&lt;='Catatan &amp; Sumber'!$B$16,"Sedang","Relatif Longgar"))))</x:f>
        <x:v>Relatif Longgar</x:v>
      </x:c>
      <x:c r="N3635" s="66" t="str">
        <x:v>Tidak Ada</x:v>
      </x:c>
      <x:c r="O3635" s="66" t="str">
        <x:v>Kalimantan Selatan</x:v>
      </x:c>
      <x:c r="P3635" s="66" t="str">
        <x:v>Kota Banjarmasin</x:v>
      </x:c>
      <x:c r="Q3635" s="66" t="str">
        <x:v>https://snpmb.id/snbp/daya-tampung-snbp</x:v>
      </x:c>
      <x:c r="R3635" s="66" t="str">
        <x:v>https://sidatagrun-public-1076756628210.asia-southeast2.run.app/ptn_sn.php?ptn=531</x:v>
      </x:c>
    </x:row>
    <x:row r="3636">
      <x:c r="A3636" s="87" t="n">
        <x:v>3192</x:v>
      </x:c>
      <x:c r="B3636" s="66" t="n">
        <x:v>531</x:v>
      </x:c>
      <x:c r="C3636" s="66" t="str">
        <x:v>UNIVERSITAS LAMBUNG MANGKURAT</x:v>
      </x:c>
      <x:c r="D3636" s="66" t="str">
        <x:v>PTN Akademik</x:v>
      </x:c>
      <x:c r="E3636" s="66" t="str">
        <x:v>15311047</x:v>
      </x:c>
      <x:c r="F3636" s="66" t="str">
        <x:v>EKONOMI PEMBANGUNAN</x:v>
      </x:c>
      <x:c r="G3636" s="66" t="str">
        <x:v>Sarjana</x:v>
      </x:c>
      <x:c r="H3636" s="87" t="n">
        <x:v>48</x:v>
      </x:c>
      <x:c r="I3636" s="87" t="n">
        <x:v>141</x:v>
      </x:c>
      <x:c r="J3636" s="68" t="n">
        <x:f>IFERROR(H3636/I3636,"")</x:f>
        <x:v>0.3404255319148936</x:v>
      </x:c>
      <x:c r="K3636" s="69" t="n">
        <x:f>IFERROR(I3636/H3636,"")</x:f>
        <x:v>2.9375</x:v>
      </x:c>
      <x:c r="L3636" s="66" t="str">
        <x:f>IF(K3636="","","1 : "&amp;TEXT(K3636,"0.0"))</x:f>
        <x:v>1 : 2.9</x:v>
      </x:c>
      <x:c r="M3636" s="66" t="str">
        <x:f>IF(J3636="","Baru/Tanpa Data",IF(J3636&lt;='Catatan &amp; Sumber'!$B$14,"Sangat Ketat",IF(J3636&lt;='Catatan &amp; Sumber'!$B$15,"Ketat",IF(J3636&lt;='Catatan &amp; Sumber'!$B$16,"Sedang","Relatif Longgar"))))</x:f>
        <x:v>Relatif Longgar</x:v>
      </x:c>
      <x:c r="N3636" s="66" t="str">
        <x:v>Tidak Ada</x:v>
      </x:c>
      <x:c r="O3636" s="66" t="str">
        <x:v>Kalimantan Selatan</x:v>
      </x:c>
      <x:c r="P3636" s="66" t="str">
        <x:v>Kota Banjarmasin</x:v>
      </x:c>
      <x:c r="Q3636" s="66" t="str">
        <x:v>https://snpmb.id/snbp/daya-tampung-snbp</x:v>
      </x:c>
      <x:c r="R3636" s="66" t="str">
        <x:v>https://sidatagrun-public-1076756628210.asia-southeast2.run.app/ptn_sn.php?ptn=531</x:v>
      </x:c>
    </x:row>
    <x:row r="3637">
      <x:c r="A3637" s="87" t="n">
        <x:v>654</x:v>
      </x:c>
      <x:c r="B3637" s="66" t="n">
        <x:v>531</x:v>
      </x:c>
      <x:c r="C3637" s="66" t="str">
        <x:v>UNIVERSITAS LAMBUNG MANGKURAT</x:v>
      </x:c>
      <x:c r="D3637" s="66" t="str">
        <x:v>PTN Akademik</x:v>
      </x:c>
      <x:c r="E3637" s="66" t="str">
        <x:v>15311048</x:v>
      </x:c>
      <x:c r="F3637" s="66" t="str">
        <x:v>MANAJEMEN</x:v>
      </x:c>
      <x:c r="G3637" s="66" t="str">
        <x:v>Sarjana</x:v>
      </x:c>
      <x:c r="H3637" s="87" t="n">
        <x:v>60</x:v>
      </x:c>
      <x:c r="I3637" s="87" t="n">
        <x:v>1009</x:v>
      </x:c>
      <x:c r="J3637" s="68" t="n">
        <x:f>IFERROR(H3637/I3637,"")</x:f>
        <x:v>0.05946481665014866</x:v>
      </x:c>
      <x:c r="K3637" s="69" t="n">
        <x:f>IFERROR(I3637/H3637,"")</x:f>
        <x:v>16.816666666666666</x:v>
      </x:c>
      <x:c r="L3637" s="66" t="str">
        <x:f>IF(K3637="","","1 : "&amp;TEXT(K3637,"0.0"))</x:f>
        <x:v>1 : 16.8</x:v>
      </x:c>
      <x:c r="M3637" s="66" t="str">
        <x:f>IF(J3637="","Baru/Tanpa Data",IF(J3637&lt;='Catatan &amp; Sumber'!$B$14,"Sangat Ketat",IF(J3637&lt;='Catatan &amp; Sumber'!$B$15,"Ketat",IF(J3637&lt;='Catatan &amp; Sumber'!$B$16,"Sedang","Relatif Longgar"))))</x:f>
        <x:v>Sedang</x:v>
      </x:c>
      <x:c r="N3637" s="66" t="str">
        <x:v>Tidak Ada</x:v>
      </x:c>
      <x:c r="O3637" s="66" t="str">
        <x:v>Kalimantan Selatan</x:v>
      </x:c>
      <x:c r="P3637" s="66" t="str">
        <x:v>Kota Banjarmasin</x:v>
      </x:c>
      <x:c r="Q3637" s="66" t="str">
        <x:v>https://snpmb.id/snbp/daya-tampung-snbp</x:v>
      </x:c>
      <x:c r="R3637" s="66" t="str">
        <x:v>https://sidatagrun-public-1076756628210.asia-southeast2.run.app/ptn_sn.php?ptn=531</x:v>
      </x:c>
    </x:row>
    <x:row r="3638">
      <x:c r="A3638" s="87" t="n">
        <x:v>1098</x:v>
      </x:c>
      <x:c r="B3638" s="66" t="n">
        <x:v>531</x:v>
      </x:c>
      <x:c r="C3638" s="66" t="str">
        <x:v>UNIVERSITAS LAMBUNG MANGKURAT</x:v>
      </x:c>
      <x:c r="D3638" s="66" t="str">
        <x:v>PTN Akademik</x:v>
      </x:c>
      <x:c r="E3638" s="66" t="str">
        <x:v>15311049</x:v>
      </x:c>
      <x:c r="F3638" s="66" t="str">
        <x:v>AKUNTANSI</x:v>
      </x:c>
      <x:c r="G3638" s="66" t="str">
        <x:v>Sarjana</x:v>
      </x:c>
      <x:c r="H3638" s="87" t="n">
        <x:v>60</x:v>
      </x:c>
      <x:c r="I3638" s="87" t="n">
        <x:v>716</x:v>
      </x:c>
      <x:c r="J3638" s="68" t="n">
        <x:f>IFERROR(H3638/I3638,"")</x:f>
        <x:v>0.08379888268156424</x:v>
      </x:c>
      <x:c r="K3638" s="69" t="n">
        <x:f>IFERROR(I3638/H3638,"")</x:f>
        <x:v>11.933333333333334</x:v>
      </x:c>
      <x:c r="L3638" s="66" t="str">
        <x:f>IF(K3638="","","1 : "&amp;TEXT(K3638,"0.0"))</x:f>
        <x:v>1 : 11.9</x:v>
      </x:c>
      <x:c r="M3638" s="66" t="str">
        <x:f>IF(J3638="","Baru/Tanpa Data",IF(J3638&lt;='Catatan &amp; Sumber'!$B$14,"Sangat Ketat",IF(J3638&lt;='Catatan &amp; Sumber'!$B$15,"Ketat",IF(J3638&lt;='Catatan &amp; Sumber'!$B$16,"Sedang","Relatif Longgar"))))</x:f>
        <x:v>Sedang</x:v>
      </x:c>
      <x:c r="N3638" s="66" t="str">
        <x:v>Tidak Ada</x:v>
      </x:c>
      <x:c r="O3638" s="66" t="str">
        <x:v>Kalimantan Selatan</x:v>
      </x:c>
      <x:c r="P3638" s="66" t="str">
        <x:v>Kota Banjarmasin</x:v>
      </x:c>
      <x:c r="Q3638" s="66" t="str">
        <x:v>https://snpmb.id/snbp/daya-tampung-snbp</x:v>
      </x:c>
      <x:c r="R3638" s="66" t="str">
        <x:v>https://sidatagrun-public-1076756628210.asia-southeast2.run.app/ptn_sn.php?ptn=531</x:v>
      </x:c>
    </x:row>
    <x:row r="3639">
      <x:c r="A3639" s="87" t="n">
        <x:v>632</x:v>
      </x:c>
      <x:c r="B3639" s="66" t="n">
        <x:v>531</x:v>
      </x:c>
      <x:c r="C3639" s="66" t="str">
        <x:v>UNIVERSITAS LAMBUNG MANGKURAT</x:v>
      </x:c>
      <x:c r="D3639" s="66" t="str">
        <x:v>PTN Akademik</x:v>
      </x:c>
      <x:c r="E3639" s="66" t="str">
        <x:v>15311050</x:v>
      </x:c>
      <x:c r="F3639" s="66" t="str">
        <x:v>ADMINISTRASI PUBLIK</x:v>
      </x:c>
      <x:c r="G3639" s="66" t="str">
        <x:v>Sarjana</x:v>
      </x:c>
      <x:c r="H3639" s="87" t="n">
        <x:v>30</x:v>
      </x:c>
      <x:c r="I3639" s="87" t="n">
        <x:v>510</x:v>
      </x:c>
      <x:c r="J3639" s="68" t="n">
        <x:f>IFERROR(H3639/I3639,"")</x:f>
        <x:v>0.058823529411764705</x:v>
      </x:c>
      <x:c r="K3639" s="69" t="n">
        <x:f>IFERROR(I3639/H3639,"")</x:f>
        <x:v>17</x:v>
      </x:c>
      <x:c r="L3639" s="66" t="str">
        <x:f>IF(K3639="","","1 : "&amp;TEXT(K3639,"0.0"))</x:f>
        <x:v>1 : 17.0</x:v>
      </x:c>
      <x:c r="M3639" s="66" t="str">
        <x:f>IF(J3639="","Baru/Tanpa Data",IF(J3639&lt;='Catatan &amp; Sumber'!$B$14,"Sangat Ketat",IF(J3639&lt;='Catatan &amp; Sumber'!$B$15,"Ketat",IF(J3639&lt;='Catatan &amp; Sumber'!$B$16,"Sedang","Relatif Longgar"))))</x:f>
        <x:v>Sedang</x:v>
      </x:c>
      <x:c r="N3639" s="66" t="str">
        <x:v>Tidak Ada</x:v>
      </x:c>
      <x:c r="O3639" s="66" t="str">
        <x:v>Kalimantan Selatan</x:v>
      </x:c>
      <x:c r="P3639" s="66" t="str">
        <x:v>Kota Banjarmasin</x:v>
      </x:c>
      <x:c r="Q3639" s="66" t="str">
        <x:v>https://snpmb.id/snbp/daya-tampung-snbp</x:v>
      </x:c>
      <x:c r="R3639" s="66" t="str">
        <x:v>https://sidatagrun-public-1076756628210.asia-southeast2.run.app/ptn_sn.php?ptn=531</x:v>
      </x:c>
    </x:row>
    <x:row r="3640">
      <x:c r="A3640" s="87" t="n">
        <x:v>316</x:v>
      </x:c>
      <x:c r="B3640" s="66" t="n">
        <x:v>531</x:v>
      </x:c>
      <x:c r="C3640" s="66" t="str">
        <x:v>UNIVERSITAS LAMBUNG MANGKURAT</x:v>
      </x:c>
      <x:c r="D3640" s="66" t="str">
        <x:v>PTN Akademik</x:v>
      </x:c>
      <x:c r="E3640" s="66" t="str">
        <x:v>15311051</x:v>
      </x:c>
      <x:c r="F3640" s="66" t="str">
        <x:v>ADMINISTRASI BISNIS</x:v>
      </x:c>
      <x:c r="G3640" s="66" t="str">
        <x:v>Sarjana</x:v>
      </x:c>
      <x:c r="H3640" s="87" t="n">
        <x:v>30</x:v>
      </x:c>
      <x:c r="I3640" s="87" t="n">
        <x:v>699</x:v>
      </x:c>
      <x:c r="J3640" s="68" t="n">
        <x:f>IFERROR(H3640/I3640,"")</x:f>
        <x:v>0.04291845493562232</x:v>
      </x:c>
      <x:c r="K3640" s="69" t="n">
        <x:f>IFERROR(I3640/H3640,"")</x:f>
        <x:v>23.3</x:v>
      </x:c>
      <x:c r="L3640" s="66" t="str">
        <x:f>IF(K3640="","","1 : "&amp;TEXT(K3640,"0.0"))</x:f>
        <x:v>1 : 23.3</x:v>
      </x:c>
      <x:c r="M3640" s="66" t="str">
        <x:f>IF(J3640="","Baru/Tanpa Data",IF(J3640&lt;='Catatan &amp; Sumber'!$B$14,"Sangat Ketat",IF(J3640&lt;='Catatan &amp; Sumber'!$B$15,"Ketat",IF(J3640&lt;='Catatan &amp; Sumber'!$B$16,"Sedang","Relatif Longgar"))))</x:f>
        <x:v>Ketat</x:v>
      </x:c>
      <x:c r="N3640" s="66" t="str">
        <x:v>Tidak Ada</x:v>
      </x:c>
      <x:c r="O3640" s="66" t="str">
        <x:v>Kalimantan Selatan</x:v>
      </x:c>
      <x:c r="P3640" s="66" t="str">
        <x:v>Kota Banjarmasin</x:v>
      </x:c>
      <x:c r="Q3640" s="66" t="str">
        <x:v>https://snpmb.id/snbp/daya-tampung-snbp</x:v>
      </x:c>
      <x:c r="R3640" s="66" t="str">
        <x:v>https://sidatagrun-public-1076756628210.asia-southeast2.run.app/ptn_sn.php?ptn=531</x:v>
      </x:c>
    </x:row>
    <x:row r="3641">
      <x:c r="A3641" s="87" t="n">
        <x:v>1586</x:v>
      </x:c>
      <x:c r="B3641" s="66" t="n">
        <x:v>531</x:v>
      </x:c>
      <x:c r="C3641" s="66" t="str">
        <x:v>UNIVERSITAS LAMBUNG MANGKURAT</x:v>
      </x:c>
      <x:c r="D3641" s="66" t="str">
        <x:v>PTN Akademik</x:v>
      </x:c>
      <x:c r="E3641" s="66" t="str">
        <x:v>15311052</x:v>
      </x:c>
      <x:c r="F3641" s="66" t="str">
        <x:v>ILMU PEMERINTAHAN</x:v>
      </x:c>
      <x:c r="G3641" s="66" t="str">
        <x:v>Sarjana</x:v>
      </x:c>
      <x:c r="H3641" s="87" t="n">
        <x:v>30</x:v>
      </x:c>
      <x:c r="I3641" s="87" t="n">
        <x:v>261</x:v>
      </x:c>
      <x:c r="J3641" s="68" t="n">
        <x:f>IFERROR(H3641/I3641,"")</x:f>
        <x:v>0.11494252873563218</x:v>
      </x:c>
      <x:c r="K3641" s="69" t="n">
        <x:f>IFERROR(I3641/H3641,"")</x:f>
        <x:v>8.7</x:v>
      </x:c>
      <x:c r="L3641" s="66" t="str">
        <x:f>IF(K3641="","","1 : "&amp;TEXT(K3641,"0.0"))</x:f>
        <x:v>1 : 8.7</x:v>
      </x:c>
      <x:c r="M3641" s="66" t="str">
        <x:f>IF(J3641="","Baru/Tanpa Data",IF(J3641&lt;='Catatan &amp; Sumber'!$B$14,"Sangat Ketat",IF(J3641&lt;='Catatan &amp; Sumber'!$B$15,"Ketat",IF(J3641&lt;='Catatan &amp; Sumber'!$B$16,"Sedang","Relatif Longgar"))))</x:f>
        <x:v>Relatif Longgar</x:v>
      </x:c>
      <x:c r="N3641" s="66" t="str">
        <x:v>Tidak Ada</x:v>
      </x:c>
      <x:c r="O3641" s="66" t="str">
        <x:v>Kalimantan Selatan</x:v>
      </x:c>
      <x:c r="P3641" s="66" t="str">
        <x:v>Kota Banjarmasin</x:v>
      </x:c>
      <x:c r="Q3641" s="66" t="str">
        <x:v>https://snpmb.id/snbp/daya-tampung-snbp</x:v>
      </x:c>
      <x:c r="R3641" s="66" t="str">
        <x:v>https://sidatagrun-public-1076756628210.asia-southeast2.run.app/ptn_sn.php?ptn=531</x:v>
      </x:c>
    </x:row>
    <x:row r="3642">
      <x:c r="A3642" s="87" t="n">
        <x:v>733</x:v>
      </x:c>
      <x:c r="B3642" s="66" t="n">
        <x:v>531</x:v>
      </x:c>
      <x:c r="C3642" s="66" t="str">
        <x:v>UNIVERSITAS LAMBUNG MANGKURAT</x:v>
      </x:c>
      <x:c r="D3642" s="66" t="str">
        <x:v>PTN Akademik</x:v>
      </x:c>
      <x:c r="E3642" s="66" t="str">
        <x:v>15311053</x:v>
      </x:c>
      <x:c r="F3642" s="66" t="str">
        <x:v>ILMU KOMUNIKASI</x:v>
      </x:c>
      <x:c r="G3642" s="66" t="str">
        <x:v>Sarjana</x:v>
      </x:c>
      <x:c r="H3642" s="87" t="n">
        <x:v>30</x:v>
      </x:c>
      <x:c r="I3642" s="87" t="n">
        <x:v>470</x:v>
      </x:c>
      <x:c r="J3642" s="68" t="n">
        <x:f>IFERROR(H3642/I3642,"")</x:f>
        <x:v>0.06382978723404255</x:v>
      </x:c>
      <x:c r="K3642" s="69" t="n">
        <x:f>IFERROR(I3642/H3642,"")</x:f>
        <x:v>15.666666666666666</x:v>
      </x:c>
      <x:c r="L3642" s="66" t="str">
        <x:f>IF(K3642="","","1 : "&amp;TEXT(K3642,"0.0"))</x:f>
        <x:v>1 : 15.7</x:v>
      </x:c>
      <x:c r="M3642" s="66" t="str">
        <x:f>IF(J3642="","Baru/Tanpa Data",IF(J3642&lt;='Catatan &amp; Sumber'!$B$14,"Sangat Ketat",IF(J3642&lt;='Catatan &amp; Sumber'!$B$15,"Ketat",IF(J3642&lt;='Catatan &amp; Sumber'!$B$16,"Sedang","Relatif Longgar"))))</x:f>
        <x:v>Sedang</x:v>
      </x:c>
      <x:c r="N3642" s="66" t="str">
        <x:v>Tidak Ada</x:v>
      </x:c>
      <x:c r="O3642" s="66" t="str">
        <x:v>Kalimantan Selatan</x:v>
      </x:c>
      <x:c r="P3642" s="66" t="str">
        <x:v>Kota Banjarmasin</x:v>
      </x:c>
      <x:c r="Q3642" s="66" t="str">
        <x:v>https://snpmb.id/snbp/daya-tampung-snbp</x:v>
      </x:c>
      <x:c r="R3642" s="66" t="str">
        <x:v>https://sidatagrun-public-1076756628210.asia-southeast2.run.app/ptn_sn.php?ptn=531</x:v>
      </x:c>
    </x:row>
    <x:row r="3643">
      <x:c r="A3643" s="87" t="n">
        <x:v>3298</x:v>
      </x:c>
      <x:c r="B3643" s="66" t="n">
        <x:v>531</x:v>
      </x:c>
      <x:c r="C3643" s="66" t="str">
        <x:v>UNIVERSITAS LAMBUNG MANGKURAT</x:v>
      </x:c>
      <x:c r="D3643" s="66" t="str">
        <x:v>PTN Akademik</x:v>
      </x:c>
      <x:c r="E3643" s="66" t="str">
        <x:v>15311054</x:v>
      </x:c>
      <x:c r="F3643" s="66" t="str">
        <x:v>PENDIDIKAN GEOGRAFI</x:v>
      </x:c>
      <x:c r="G3643" s="66" t="str">
        <x:v>Sarjana</x:v>
      </x:c>
      <x:c r="H3643" s="87" t="n">
        <x:v>18</x:v>
      </x:c>
      <x:c r="I3643" s="87" t="n">
        <x:v>48</x:v>
      </x:c>
      <x:c r="J3643" s="68" t="n">
        <x:f>IFERROR(H3643/I3643,"")</x:f>
        <x:v>0.375</x:v>
      </x:c>
      <x:c r="K3643" s="69" t="n">
        <x:f>IFERROR(I3643/H3643,"")</x:f>
        <x:v>2.6666666666666665</x:v>
      </x:c>
      <x:c r="L3643" s="66" t="str">
        <x:f>IF(K3643="","","1 : "&amp;TEXT(K3643,"0.0"))</x:f>
        <x:v>1 : 2.7</x:v>
      </x:c>
      <x:c r="M3643" s="66" t="str">
        <x:f>IF(J3643="","Baru/Tanpa Data",IF(J3643&lt;='Catatan &amp; Sumber'!$B$14,"Sangat Ketat",IF(J3643&lt;='Catatan &amp; Sumber'!$B$15,"Ketat",IF(J3643&lt;='Catatan &amp; Sumber'!$B$16,"Sedang","Relatif Longgar"))))</x:f>
        <x:v>Relatif Longgar</x:v>
      </x:c>
      <x:c r="N3643" s="66" t="str">
        <x:v>Tidak Ada</x:v>
      </x:c>
      <x:c r="O3643" s="66" t="str">
        <x:v>Kalimantan Selatan</x:v>
      </x:c>
      <x:c r="P3643" s="66" t="str">
        <x:v>Kota Banjarmasin</x:v>
      </x:c>
      <x:c r="Q3643" s="66" t="str">
        <x:v>https://snpmb.id/snbp/daya-tampung-snbp</x:v>
      </x:c>
      <x:c r="R3643" s="66" t="str">
        <x:v>https://sidatagrun-public-1076756628210.asia-southeast2.run.app/ptn_sn.php?ptn=531</x:v>
      </x:c>
    </x:row>
    <x:row r="3644">
      <x:c r="A3644" s="87" t="n">
        <x:v>3021</x:v>
      </x:c>
      <x:c r="B3644" s="66" t="n">
        <x:v>531</x:v>
      </x:c>
      <x:c r="C3644" s="66" t="str">
        <x:v>UNIVERSITAS LAMBUNG MANGKURAT</x:v>
      </x:c>
      <x:c r="D3644" s="66" t="str">
        <x:v>PTN Akademik</x:v>
      </x:c>
      <x:c r="E3644" s="66" t="str">
        <x:v>15311055</x:v>
      </x:c>
      <x:c r="F3644" s="66" t="str">
        <x:v>PENDIDIKAN SOSIOLOGI</x:v>
      </x:c>
      <x:c r="G3644" s="66" t="str">
        <x:v>Sarjana</x:v>
      </x:c>
      <x:c r="H3644" s="87" t="n">
        <x:v>23</x:v>
      </x:c>
      <x:c r="I3644" s="87" t="n">
        <x:v>77</x:v>
      </x:c>
      <x:c r="J3644" s="68" t="n">
        <x:f>IFERROR(H3644/I3644,"")</x:f>
        <x:v>0.2987012987012987</x:v>
      </x:c>
      <x:c r="K3644" s="69" t="n">
        <x:f>IFERROR(I3644/H3644,"")</x:f>
        <x:v>3.347826086956522</x:v>
      </x:c>
      <x:c r="L3644" s="66" t="str">
        <x:f>IF(K3644="","","1 : "&amp;TEXT(K3644,"0.0"))</x:f>
        <x:v>1 : 3.3</x:v>
      </x:c>
      <x:c r="M3644" s="66" t="str">
        <x:f>IF(J3644="","Baru/Tanpa Data",IF(J3644&lt;='Catatan &amp; Sumber'!$B$14,"Sangat Ketat",IF(J3644&lt;='Catatan &amp; Sumber'!$B$15,"Ketat",IF(J3644&lt;='Catatan &amp; Sumber'!$B$16,"Sedang","Relatif Longgar"))))</x:f>
        <x:v>Relatif Longgar</x:v>
      </x:c>
      <x:c r="N3644" s="66" t="str">
        <x:v>Tidak Ada</x:v>
      </x:c>
      <x:c r="O3644" s="66" t="str">
        <x:v>Kalimantan Selatan</x:v>
      </x:c>
      <x:c r="P3644" s="66" t="str">
        <x:v>Kota Banjarmasin</x:v>
      </x:c>
      <x:c r="Q3644" s="66" t="str">
        <x:v>https://snpmb.id/snbp/daya-tampung-snbp</x:v>
      </x:c>
      <x:c r="R3644" s="66" t="str">
        <x:v>https://sidatagrun-public-1076756628210.asia-southeast2.run.app/ptn_sn.php?ptn=531</x:v>
      </x:c>
    </x:row>
    <x:row r="3645">
      <x:c r="A3645" s="87" t="n">
        <x:v>1978</x:v>
      </x:c>
      <x:c r="B3645" s="66" t="n">
        <x:v>531</x:v>
      </x:c>
      <x:c r="C3645" s="66" t="str">
        <x:v>UNIVERSITAS LAMBUNG MANGKURAT</x:v>
      </x:c>
      <x:c r="D3645" s="66" t="str">
        <x:v>PTN Akademik</x:v>
      </x:c>
      <x:c r="E3645" s="66" t="str">
        <x:v>15311056</x:v>
      </x:c>
      <x:c r="F3645" s="66" t="str">
        <x:v>BIMBINGAN DAN KONSELING</x:v>
      </x:c>
      <x:c r="G3645" s="66" t="str">
        <x:v>Sarjana</x:v>
      </x:c>
      <x:c r="H3645" s="87" t="n">
        <x:v>31</x:v>
      </x:c>
      <x:c r="I3645" s="87" t="n">
        <x:v>208</x:v>
      </x:c>
      <x:c r="J3645" s="68" t="n">
        <x:f>IFERROR(H3645/I3645,"")</x:f>
        <x:v>0.14903846153846154</x:v>
      </x:c>
      <x:c r="K3645" s="69" t="n">
        <x:f>IFERROR(I3645/H3645,"")</x:f>
        <x:v>6.709677419354839</x:v>
      </x:c>
      <x:c r="L3645" s="66" t="str">
        <x:f>IF(K3645="","","1 : "&amp;TEXT(K3645,"0.0"))</x:f>
        <x:v>1 : 6.7</x:v>
      </x:c>
      <x:c r="M3645" s="66" t="str">
        <x:f>IF(J3645="","Baru/Tanpa Data",IF(J3645&lt;='Catatan &amp; Sumber'!$B$14,"Sangat Ketat",IF(J3645&lt;='Catatan &amp; Sumber'!$B$15,"Ketat",IF(J3645&lt;='Catatan &amp; Sumber'!$B$16,"Sedang","Relatif Longgar"))))</x:f>
        <x:v>Relatif Longgar</x:v>
      </x:c>
      <x:c r="N3645" s="66" t="str">
        <x:v>Tidak Ada</x:v>
      </x:c>
      <x:c r="O3645" s="66" t="str">
        <x:v>Kalimantan Selatan</x:v>
      </x:c>
      <x:c r="P3645" s="66" t="str">
        <x:v>Kota Banjarmasin</x:v>
      </x:c>
      <x:c r="Q3645" s="66" t="str">
        <x:v>https://snpmb.id/snbp/daya-tampung-snbp</x:v>
      </x:c>
      <x:c r="R3645" s="66" t="str">
        <x:v>https://sidatagrun-public-1076756628210.asia-southeast2.run.app/ptn_sn.php?ptn=531</x:v>
      </x:c>
    </x:row>
    <x:row r="3646">
      <x:c r="A3646" s="87" t="n">
        <x:v>2802</x:v>
      </x:c>
      <x:c r="B3646" s="66" t="n">
        <x:v>531</x:v>
      </x:c>
      <x:c r="C3646" s="66" t="str">
        <x:v>UNIVERSITAS LAMBUNG MANGKURAT</x:v>
      </x:c>
      <x:c r="D3646" s="66" t="str">
        <x:v>PTN Akademik</x:v>
      </x:c>
      <x:c r="E3646" s="66" t="str">
        <x:v>15311057</x:v>
      </x:c>
      <x:c r="F3646" s="66" t="str">
        <x:v>PENDIDIKAN KHUSUS</x:v>
      </x:c>
      <x:c r="G3646" s="66" t="str">
        <x:v>Sarjana</x:v>
      </x:c>
      <x:c r="H3646" s="87" t="n">
        <x:v>15</x:v>
      </x:c>
      <x:c r="I3646" s="87" t="n">
        <x:v>58</x:v>
      </x:c>
      <x:c r="J3646" s="68" t="n">
        <x:f>IFERROR(H3646/I3646,"")</x:f>
        <x:v>0.25862068965517243</x:v>
      </x:c>
      <x:c r="K3646" s="69" t="n">
        <x:f>IFERROR(I3646/H3646,"")</x:f>
        <x:v>3.8666666666666667</x:v>
      </x:c>
      <x:c r="L3646" s="66" t="str">
        <x:f>IF(K3646="","","1 : "&amp;TEXT(K3646,"0.0"))</x:f>
        <x:v>1 : 3.9</x:v>
      </x:c>
      <x:c r="M3646" s="66" t="str">
        <x:f>IF(J3646="","Baru/Tanpa Data",IF(J3646&lt;='Catatan &amp; Sumber'!$B$14,"Sangat Ketat",IF(J3646&lt;='Catatan &amp; Sumber'!$B$15,"Ketat",IF(J3646&lt;='Catatan &amp; Sumber'!$B$16,"Sedang","Relatif Longgar"))))</x:f>
        <x:v>Relatif Longgar</x:v>
      </x:c>
      <x:c r="N3646" s="66" t="str">
        <x:v>Tidak Ada</x:v>
      </x:c>
      <x:c r="O3646" s="66" t="str">
        <x:v>Kalimantan Selatan</x:v>
      </x:c>
      <x:c r="P3646" s="66" t="str">
        <x:v>Kota Banjarmasin</x:v>
      </x:c>
      <x:c r="Q3646" s="66" t="str">
        <x:v>https://snpmb.id/snbp/daya-tampung-snbp</x:v>
      </x:c>
      <x:c r="R3646" s="66" t="str">
        <x:v>https://sidatagrun-public-1076756628210.asia-southeast2.run.app/ptn_sn.php?ptn=531</x:v>
      </x:c>
    </x:row>
    <x:row r="3647">
      <x:c r="A3647" s="87" t="n">
        <x:v>2978</x:v>
      </x:c>
      <x:c r="B3647" s="66" t="n">
        <x:v>531</x:v>
      </x:c>
      <x:c r="C3647" s="66" t="str">
        <x:v>UNIVERSITAS LAMBUNG MANGKURAT</x:v>
      </x:c>
      <x:c r="D3647" s="66" t="str">
        <x:v>PTN Akademik</x:v>
      </x:c>
      <x:c r="E3647" s="66" t="str">
        <x:v>15311058</x:v>
      </x:c>
      <x:c r="F3647" s="66" t="str">
        <x:v>PENDIDIKAN JASMANI</x:v>
      </x:c>
      <x:c r="G3647" s="66" t="str">
        <x:v>Sarjana</x:v>
      </x:c>
      <x:c r="H3647" s="87" t="n">
        <x:v>48</x:v>
      </x:c>
      <x:c r="I3647" s="87" t="n">
        <x:v>166</x:v>
      </x:c>
      <x:c r="J3647" s="68" t="n">
        <x:f>IFERROR(H3647/I3647,"")</x:f>
        <x:v>0.2891566265060241</x:v>
      </x:c>
      <x:c r="K3647" s="69" t="n">
        <x:f>IFERROR(I3647/H3647,"")</x:f>
        <x:v>3.4583333333333335</x:v>
      </x:c>
      <x:c r="L3647" s="66" t="str">
        <x:f>IF(K3647="","","1 : "&amp;TEXT(K3647,"0.0"))</x:f>
        <x:v>1 : 3.5</x:v>
      </x:c>
      <x:c r="M3647" s="66" t="str">
        <x:f>IF(J3647="","Baru/Tanpa Data",IF(J3647&lt;='Catatan &amp; Sumber'!$B$14,"Sangat Ketat",IF(J3647&lt;='Catatan &amp; Sumber'!$B$15,"Ketat",IF(J3647&lt;='Catatan &amp; Sumber'!$B$16,"Sedang","Relatif Longgar"))))</x:f>
        <x:v>Relatif Longgar</x:v>
      </x:c>
      <x:c r="N3647" s="66" t="str">
        <x:v>Olahraga</x:v>
      </x:c>
      <x:c r="O3647" s="66" t="str">
        <x:v>Kalimantan Selatan</x:v>
      </x:c>
      <x:c r="P3647" s="66" t="str">
        <x:v>Kota Banjarmasin</x:v>
      </x:c>
      <x:c r="Q3647" s="66" t="str">
        <x:v>https://snpmb.id/snbp/daya-tampung-snbp</x:v>
      </x:c>
      <x:c r="R3647" s="66" t="str">
        <x:v>https://sidatagrun-public-1076756628210.asia-southeast2.run.app/ptn_sn.php?ptn=531</x:v>
      </x:c>
    </x:row>
    <x:row r="3648">
      <x:c r="A3648" s="87" t="n">
        <x:v>1894</x:v>
      </x:c>
      <x:c r="B3648" s="66" t="n">
        <x:v>531</x:v>
      </x:c>
      <x:c r="C3648" s="66" t="str">
        <x:v>UNIVERSITAS LAMBUNG MANGKURAT</x:v>
      </x:c>
      <x:c r="D3648" s="66" t="str">
        <x:v>PTN Akademik</x:v>
      </x:c>
      <x:c r="E3648" s="66" t="str">
        <x:v>15311059</x:v>
      </x:c>
      <x:c r="F3648" s="66" t="str">
        <x:v>PENDIDIKAN GURU SEKOLAH DASAR</x:v>
      </x:c>
      <x:c r="G3648" s="66" t="str">
        <x:v>Sarjana</x:v>
      </x:c>
      <x:c r="H3648" s="87" t="n">
        <x:v>99</x:v>
      </x:c>
      <x:c r="I3648" s="87" t="n">
        <x:v>705</x:v>
      </x:c>
      <x:c r="J3648" s="68" t="n">
        <x:f>IFERROR(H3648/I3648,"")</x:f>
        <x:v>0.14042553191489363</x:v>
      </x:c>
      <x:c r="K3648" s="69" t="n">
        <x:f>IFERROR(I3648/H3648,"")</x:f>
        <x:v>7.121212121212121</x:v>
      </x:c>
      <x:c r="L3648" s="66" t="str">
        <x:f>IF(K3648="","","1 : "&amp;TEXT(K3648,"0.0"))</x:f>
        <x:v>1 : 7.1</x:v>
      </x:c>
      <x:c r="M3648" s="66" t="str">
        <x:f>IF(J3648="","Baru/Tanpa Data",IF(J3648&lt;='Catatan &amp; Sumber'!$B$14,"Sangat Ketat",IF(J3648&lt;='Catatan &amp; Sumber'!$B$15,"Ketat",IF(J3648&lt;='Catatan &amp; Sumber'!$B$16,"Sedang","Relatif Longgar"))))</x:f>
        <x:v>Relatif Longgar</x:v>
      </x:c>
      <x:c r="N3648" s="66" t="str">
        <x:v>Tidak Ada</x:v>
      </x:c>
      <x:c r="O3648" s="66" t="str">
        <x:v>Kalimantan Selatan</x:v>
      </x:c>
      <x:c r="P3648" s="66" t="str">
        <x:v>Kota Banjarmasin</x:v>
      </x:c>
      <x:c r="Q3648" s="66" t="str">
        <x:v>https://snpmb.id/snbp/daya-tampung-snbp</x:v>
      </x:c>
      <x:c r="R3648" s="66" t="str">
        <x:v>https://sidatagrun-public-1076756628210.asia-southeast2.run.app/ptn_sn.php?ptn=531</x:v>
      </x:c>
    </x:row>
    <x:row r="3649">
      <x:c r="A3649" s="87" t="n">
        <x:v>3381</x:v>
      </x:c>
      <x:c r="B3649" s="66" t="n">
        <x:v>531</x:v>
      </x:c>
      <x:c r="C3649" s="66" t="str">
        <x:v>UNIVERSITAS LAMBUNG MANGKURAT</x:v>
      </x:c>
      <x:c r="D3649" s="66" t="str">
        <x:v>PTN Akademik</x:v>
      </x:c>
      <x:c r="E3649" s="66" t="str">
        <x:v>15311060</x:v>
      </x:c>
      <x:c r="F3649" s="66" t="str">
        <x:v>PENDIDIKAN GURU PENDIDIKAN ANAK USIA DINI</x:v>
      </x:c>
      <x:c r="G3649" s="66" t="str">
        <x:v>Sarjana</x:v>
      </x:c>
      <x:c r="H3649" s="87" t="n">
        <x:v>34</x:v>
      </x:c>
      <x:c r="I3649" s="87" t="n">
        <x:v>86</x:v>
      </x:c>
      <x:c r="J3649" s="68" t="n">
        <x:f>IFERROR(H3649/I3649,"")</x:f>
        <x:v>0.3953488372093023</x:v>
      </x:c>
      <x:c r="K3649" s="69" t="n">
        <x:f>IFERROR(I3649/H3649,"")</x:f>
        <x:v>2.5294117647058822</x:v>
      </x:c>
      <x:c r="L3649" s="66" t="str">
        <x:f>IF(K3649="","","1 : "&amp;TEXT(K3649,"0.0"))</x:f>
        <x:v>1 : 2.5</x:v>
      </x:c>
      <x:c r="M3649" s="66" t="str">
        <x:f>IF(J3649="","Baru/Tanpa Data",IF(J3649&lt;='Catatan &amp; Sumber'!$B$14,"Sangat Ketat",IF(J3649&lt;='Catatan &amp; Sumber'!$B$15,"Ketat",IF(J3649&lt;='Catatan &amp; Sumber'!$B$16,"Sedang","Relatif Longgar"))))</x:f>
        <x:v>Relatif Longgar</x:v>
      </x:c>
      <x:c r="N3649" s="66" t="str">
        <x:v>Tidak Ada</x:v>
      </x:c>
      <x:c r="O3649" s="66" t="str">
        <x:v>Kalimantan Selatan</x:v>
      </x:c>
      <x:c r="P3649" s="66" t="str">
        <x:v>Kota Banjarmasin</x:v>
      </x:c>
      <x:c r="Q3649" s="66" t="str">
        <x:v>https://snpmb.id/snbp/daya-tampung-snbp</x:v>
      </x:c>
      <x:c r="R3649" s="66" t="str">
        <x:v>https://sidatagrun-public-1076756628210.asia-southeast2.run.app/ptn_sn.php?ptn=531</x:v>
      </x:c>
    </x:row>
    <x:row r="3650">
      <x:c r="A3650" s="87" t="n">
        <x:v>3149</x:v>
      </x:c>
      <x:c r="B3650" s="66" t="n">
        <x:v>531</x:v>
      </x:c>
      <x:c r="C3650" s="66" t="str">
        <x:v>UNIVERSITAS LAMBUNG MANGKURAT</x:v>
      </x:c>
      <x:c r="D3650" s="66" t="str">
        <x:v>PTN Akademik</x:v>
      </x:c>
      <x:c r="E3650" s="66" t="str">
        <x:v>15311061</x:v>
      </x:c>
      <x:c r="F3650" s="66" t="str">
        <x:v>PENDIDIKAN SENI PERTUNJUKAN</x:v>
      </x:c>
      <x:c r="G3650" s="66" t="str">
        <x:v>Sarjana</x:v>
      </x:c>
      <x:c r="H3650" s="87" t="n">
        <x:v>18</x:v>
      </x:c>
      <x:c r="I3650" s="87" t="n">
        <x:v>55</x:v>
      </x:c>
      <x:c r="J3650" s="68" t="n">
        <x:f>IFERROR(H3650/I3650,"")</x:f>
        <x:v>0.32727272727272727</x:v>
      </x:c>
      <x:c r="K3650" s="69" t="n">
        <x:f>IFERROR(I3650/H3650,"")</x:f>
        <x:v>3.0555555555555554</x:v>
      </x:c>
      <x:c r="L3650" s="66" t="str">
        <x:f>IF(K3650="","","1 : "&amp;TEXT(K3650,"0.0"))</x:f>
        <x:v>1 : 3.1</x:v>
      </x:c>
      <x:c r="M3650" s="66" t="str">
        <x:f>IF(J3650="","Baru/Tanpa Data",IF(J3650&lt;='Catatan &amp; Sumber'!$B$14,"Sangat Ketat",IF(J3650&lt;='Catatan &amp; Sumber'!$B$15,"Ketat",IF(J3650&lt;='Catatan &amp; Sumber'!$B$16,"Sedang","Relatif Longgar"))))</x:f>
        <x:v>Relatif Longgar</x:v>
      </x:c>
      <x:c r="N3650" s="66" t="str">
        <x:v>Sendratasik</x:v>
      </x:c>
      <x:c r="O3650" s="66" t="str">
        <x:v>Kalimantan Selatan</x:v>
      </x:c>
      <x:c r="P3650" s="66" t="str">
        <x:v>Kota Banjarmasin</x:v>
      </x:c>
      <x:c r="Q3650" s="66" t="str">
        <x:v>https://snpmb.id/snbp/daya-tampung-snbp</x:v>
      </x:c>
      <x:c r="R3650" s="66" t="str">
        <x:v>https://sidatagrun-public-1076756628210.asia-southeast2.run.app/ptn_sn.php?ptn=531</x:v>
      </x:c>
    </x:row>
    <x:row r="3651">
      <x:c r="A3651" s="87" t="n">
        <x:v>2840</x:v>
      </x:c>
      <x:c r="B3651" s="66" t="n">
        <x:v>531</x:v>
      </x:c>
      <x:c r="C3651" s="66" t="str">
        <x:v>UNIVERSITAS LAMBUNG MANGKURAT</x:v>
      </x:c>
      <x:c r="D3651" s="66" t="str">
        <x:v>PTN Akademik</x:v>
      </x:c>
      <x:c r="E3651" s="66" t="str">
        <x:v>15311062</x:v>
      </x:c>
      <x:c r="F3651" s="66" t="str">
        <x:v>TEKNOLOGI PENDIDIKAN</x:v>
      </x:c>
      <x:c r="G3651" s="66" t="str">
        <x:v>Sarjana</x:v>
      </x:c>
      <x:c r="H3651" s="87" t="n">
        <x:v>18</x:v>
      </x:c>
      <x:c r="I3651" s="87" t="n">
        <x:v>68</x:v>
      </x:c>
      <x:c r="J3651" s="68" t="n">
        <x:f>IFERROR(H3651/I3651,"")</x:f>
        <x:v>0.2647058823529412</x:v>
      </x:c>
      <x:c r="K3651" s="69" t="n">
        <x:f>IFERROR(I3651/H3651,"")</x:f>
        <x:v>3.7777777777777777</x:v>
      </x:c>
      <x:c r="L3651" s="66" t="str">
        <x:f>IF(K3651="","","1 : "&amp;TEXT(K3651,"0.0"))</x:f>
        <x:v>1 : 3.8</x:v>
      </x:c>
      <x:c r="M3651" s="66" t="str">
        <x:f>IF(J3651="","Baru/Tanpa Data",IF(J3651&lt;='Catatan &amp; Sumber'!$B$14,"Sangat Ketat",IF(J3651&lt;='Catatan &amp; Sumber'!$B$15,"Ketat",IF(J3651&lt;='Catatan &amp; Sumber'!$B$16,"Sedang","Relatif Longgar"))))</x:f>
        <x:v>Relatif Longgar</x:v>
      </x:c>
      <x:c r="N3651" s="66" t="str">
        <x:v>Tidak Ada</x:v>
      </x:c>
      <x:c r="O3651" s="66" t="str">
        <x:v>Kalimantan Selatan</x:v>
      </x:c>
      <x:c r="P3651" s="66" t="str">
        <x:v>Kota Banjarmasin</x:v>
      </x:c>
      <x:c r="Q3651" s="66" t="str">
        <x:v>https://snpmb.id/snbp/daya-tampung-snbp</x:v>
      </x:c>
      <x:c r="R3651" s="66" t="str">
        <x:v>https://sidatagrun-public-1076756628210.asia-southeast2.run.app/ptn_sn.php?ptn=531</x:v>
      </x:c>
    </x:row>
    <x:row r="3652">
      <x:c r="A3652" s="87" t="n">
        <x:v>3150</x:v>
      </x:c>
      <x:c r="B3652" s="66" t="n">
        <x:v>531</x:v>
      </x:c>
      <x:c r="C3652" s="66" t="str">
        <x:v>UNIVERSITAS LAMBUNG MANGKURAT</x:v>
      </x:c>
      <x:c r="D3652" s="66" t="str">
        <x:v>PTN Akademik</x:v>
      </x:c>
      <x:c r="E3652" s="66" t="str">
        <x:v>15311063</x:v>
      </x:c>
      <x:c r="F3652" s="66" t="str">
        <x:v>PENDIDIKAN IPS</x:v>
      </x:c>
      <x:c r="G3652" s="66" t="str">
        <x:v>Sarjana</x:v>
      </x:c>
      <x:c r="H3652" s="87" t="n">
        <x:v>20</x:v>
      </x:c>
      <x:c r="I3652" s="87" t="n">
        <x:v>61</x:v>
      </x:c>
      <x:c r="J3652" s="68" t="n">
        <x:f>IFERROR(H3652/I3652,"")</x:f>
        <x:v>0.32786885245901637</x:v>
      </x:c>
      <x:c r="K3652" s="69" t="n">
        <x:f>IFERROR(I3652/H3652,"")</x:f>
        <x:v>3.05</x:v>
      </x:c>
      <x:c r="L3652" s="66" t="str">
        <x:f>IF(K3652="","","1 : "&amp;TEXT(K3652,"0.0"))</x:f>
        <x:v>1 : 3.1</x:v>
      </x:c>
      <x:c r="M3652" s="66" t="str">
        <x:f>IF(J3652="","Baru/Tanpa Data",IF(J3652&lt;='Catatan &amp; Sumber'!$B$14,"Sangat Ketat",IF(J3652&lt;='Catatan &amp; Sumber'!$B$15,"Ketat",IF(J3652&lt;='Catatan &amp; Sumber'!$B$16,"Sedang","Relatif Longgar"))))</x:f>
        <x:v>Relatif Longgar</x:v>
      </x:c>
      <x:c r="N3652" s="66" t="str">
        <x:v>Tidak Ada</x:v>
      </x:c>
      <x:c r="O3652" s="66" t="str">
        <x:v>Kalimantan Selatan</x:v>
      </x:c>
      <x:c r="P3652" s="66" t="str">
        <x:v>Kota Banjarmasin</x:v>
      </x:c>
      <x:c r="Q3652" s="66" t="str">
        <x:v>https://snpmb.id/snbp/daya-tampung-snbp</x:v>
      </x:c>
      <x:c r="R3652" s="66" t="str">
        <x:v>https://sidatagrun-public-1076756628210.asia-southeast2.run.app/ptn_sn.php?ptn=531</x:v>
      </x:c>
    </x:row>
    <x:row r="3653">
      <x:c r="A3653" s="87" t="n">
        <x:v>382</x:v>
      </x:c>
      <x:c r="B3653" s="66" t="n">
        <x:v>531</x:v>
      </x:c>
      <x:c r="C3653" s="66" t="str">
        <x:v>UNIVERSITAS LAMBUNG MANGKURAT</x:v>
      </x:c>
      <x:c r="D3653" s="66" t="str">
        <x:v>PTN Akademik</x:v>
      </x:c>
      <x:c r="E3653" s="66" t="str">
        <x:v>15311064</x:v>
      </x:c>
      <x:c r="F3653" s="66" t="str">
        <x:v>PSIKOLOGI</x:v>
      </x:c>
      <x:c r="G3653" s="66" t="str">
        <x:v>Sarjana</x:v>
      </x:c>
      <x:c r="H3653" s="87" t="n">
        <x:v>24</x:v>
      </x:c>
      <x:c r="I3653" s="87" t="n">
        <x:v>523</x:v>
      </x:c>
      <x:c r="J3653" s="68" t="n">
        <x:f>IFERROR(H3653/I3653,"")</x:f>
        <x:v>0.045889101338432124</x:v>
      </x:c>
      <x:c r="K3653" s="69" t="n">
        <x:f>IFERROR(I3653/H3653,"")</x:f>
        <x:v>21.791666666666668</x:v>
      </x:c>
      <x:c r="L3653" s="66" t="str">
        <x:f>IF(K3653="","","1 : "&amp;TEXT(K3653,"0.0"))</x:f>
        <x:v>1 : 21.8</x:v>
      </x:c>
      <x:c r="M3653" s="66" t="str">
        <x:f>IF(J3653="","Baru/Tanpa Data",IF(J3653&lt;='Catatan &amp; Sumber'!$B$14,"Sangat Ketat",IF(J3653&lt;='Catatan &amp; Sumber'!$B$15,"Ketat",IF(J3653&lt;='Catatan &amp; Sumber'!$B$16,"Sedang","Relatif Longgar"))))</x:f>
        <x:v>Ketat</x:v>
      </x:c>
      <x:c r="N3653" s="66" t="str">
        <x:v>Tidak Ada</x:v>
      </x:c>
      <x:c r="O3653" s="66" t="str">
        <x:v>Kalimantan Selatan</x:v>
      </x:c>
      <x:c r="P3653" s="66" t="str">
        <x:v>Kota Banjarmasin</x:v>
      </x:c>
      <x:c r="Q3653" s="66" t="str">
        <x:v>https://snpmb.id/snbp/daya-tampung-snbp</x:v>
      </x:c>
      <x:c r="R3653" s="66" t="str">
        <x:v>https://sidatagrun-public-1076756628210.asia-southeast2.run.app/ptn_sn.php?ptn=531</x:v>
      </x:c>
    </x:row>
    <x:row r="3654">
      <x:c r="A3654" s="87" t="n">
        <x:v>3048</x:v>
      </x:c>
      <x:c r="B3654" s="66" t="n">
        <x:v>531</x:v>
      </x:c>
      <x:c r="C3654" s="66" t="str">
        <x:v>UNIVERSITAS LAMBUNG MANGKURAT</x:v>
      </x:c>
      <x:c r="D3654" s="66" t="str">
        <x:v>PTN Akademik</x:v>
      </x:c>
      <x:c r="E3654" s="66" t="str">
        <x:v>15311065</x:v>
      </x:c>
      <x:c r="F3654" s="66" t="str">
        <x:v>SOSIOLOGI</x:v>
      </x:c>
      <x:c r="G3654" s="66" t="str">
        <x:v>Sarjana</x:v>
      </x:c>
      <x:c r="H3654" s="87" t="n">
        <x:v>24</x:v>
      </x:c>
      <x:c r="I3654" s="87" t="n">
        <x:v>79</x:v>
      </x:c>
      <x:c r="J3654" s="68" t="n">
        <x:f>IFERROR(H3654/I3654,"")</x:f>
        <x:v>0.3037974683544304</x:v>
      </x:c>
      <x:c r="K3654" s="69" t="n">
        <x:f>IFERROR(I3654/H3654,"")</x:f>
        <x:v>3.2916666666666665</x:v>
      </x:c>
      <x:c r="L3654" s="66" t="str">
        <x:f>IF(K3654="","","1 : "&amp;TEXT(K3654,"0.0"))</x:f>
        <x:v>1 : 3.3</x:v>
      </x:c>
      <x:c r="M3654" s="66" t="str">
        <x:f>IF(J3654="","Baru/Tanpa Data",IF(J3654&lt;='Catatan &amp; Sumber'!$B$14,"Sangat Ketat",IF(J3654&lt;='Catatan &amp; Sumber'!$B$15,"Ketat",IF(J3654&lt;='Catatan &amp; Sumber'!$B$16,"Sedang","Relatif Longgar"))))</x:f>
        <x:v>Relatif Longgar</x:v>
      </x:c>
      <x:c r="N3654" s="66" t="str">
        <x:v>Tidak Ada</x:v>
      </x:c>
      <x:c r="O3654" s="66" t="str">
        <x:v>Kalimantan Selatan</x:v>
      </x:c>
      <x:c r="P3654" s="66" t="str">
        <x:v>Kota Banjarmasin</x:v>
      </x:c>
      <x:c r="Q3654" s="66" t="str">
        <x:v>https://snpmb.id/snbp/daya-tampung-snbp</x:v>
      </x:c>
      <x:c r="R3654" s="66" t="str">
        <x:v>https://sidatagrun-public-1076756628210.asia-southeast2.run.app/ptn_sn.php?ptn=531</x:v>
      </x:c>
    </x:row>
    <x:row r="3655">
      <x:c r="A3655" s="87" t="n">
        <x:v>2254</x:v>
      </x:c>
      <x:c r="B3655" s="66" t="n">
        <x:v>531</x:v>
      </x:c>
      <x:c r="C3655" s="66" t="str">
        <x:v>UNIVERSITAS LAMBUNG MANGKURAT</x:v>
      </x:c>
      <x:c r="D3655" s="66" t="str">
        <x:v>PTN Akademik</x:v>
      </x:c>
      <x:c r="E3655" s="66" t="str">
        <x:v>15311068</x:v>
      </x:c>
      <x:c r="F3655" s="66" t="str">
        <x:v>REKAYASA GEOLOGI</x:v>
      </x:c>
      <x:c r="G3655" s="66" t="str">
        <x:v>Sarjana</x:v>
      </x:c>
      <x:c r="H3655" s="87" t="n">
        <x:v>13</x:v>
      </x:c>
      <x:c r="I3655" s="87" t="n">
        <x:v>73</x:v>
      </x:c>
      <x:c r="J3655" s="68" t="n">
        <x:f>IFERROR(H3655/I3655,"")</x:f>
        <x:v>0.1780821917808219</x:v>
      </x:c>
      <x:c r="K3655" s="69" t="n">
        <x:f>IFERROR(I3655/H3655,"")</x:f>
        <x:v>5.615384615384615</x:v>
      </x:c>
      <x:c r="L3655" s="66" t="str">
        <x:f>IF(K3655="","","1 : "&amp;TEXT(K3655,"0.0"))</x:f>
        <x:v>1 : 5.6</x:v>
      </x:c>
      <x:c r="M3655" s="66" t="str">
        <x:f>IF(J3655="","Baru/Tanpa Data",IF(J3655&lt;='Catatan &amp; Sumber'!$B$14,"Sangat Ketat",IF(J3655&lt;='Catatan &amp; Sumber'!$B$15,"Ketat",IF(J3655&lt;='Catatan &amp; Sumber'!$B$16,"Sedang","Relatif Longgar"))))</x:f>
        <x:v>Relatif Longgar</x:v>
      </x:c>
      <x:c r="N3655" s="66" t="str">
        <x:v>Tidak Ada</x:v>
      </x:c>
      <x:c r="O3655" s="66" t="str">
        <x:v>Kalimantan Selatan</x:v>
      </x:c>
      <x:c r="P3655" s="66" t="str">
        <x:v>Kota Banjarmasin</x:v>
      </x:c>
      <x:c r="Q3655" s="66" t="str">
        <x:v>https://snpmb.id/snbp/daya-tampung-snbp</x:v>
      </x:c>
      <x:c r="R3655" s="66" t="str">
        <x:v>https://sidatagrun-public-1076756628210.asia-southeast2.run.app/ptn_sn.php?ptn=531</x:v>
      </x:c>
    </x:row>
    <x:row r="3656">
      <x:c r="A3656" s="87" t="n">
        <x:v>2774</x:v>
      </x:c>
      <x:c r="B3656" s="66" t="n">
        <x:v>531</x:v>
      </x:c>
      <x:c r="C3656" s="66" t="str">
        <x:v>UNIVERSITAS LAMBUNG MANGKURAT</x:v>
      </x:c>
      <x:c r="D3656" s="66" t="str">
        <x:v>PTN Akademik</x:v>
      </x:c>
      <x:c r="E3656" s="66" t="str">
        <x:v>15311069</x:v>
      </x:c>
      <x:c r="F3656" s="66" t="str">
        <x:v>REKAYASA ELEKTRO</x:v>
      </x:c>
      <x:c r="G3656" s="66" t="str">
        <x:v>Sarjana</x:v>
      </x:c>
      <x:c r="H3656" s="87" t="n">
        <x:v>14</x:v>
      </x:c>
      <x:c r="I3656" s="87" t="n">
        <x:v>55</x:v>
      </x:c>
      <x:c r="J3656" s="68" t="n">
        <x:f>IFERROR(H3656/I3656,"")</x:f>
        <x:v>0.2545454545454545</x:v>
      </x:c>
      <x:c r="K3656" s="69" t="n">
        <x:f>IFERROR(I3656/H3656,"")</x:f>
        <x:v>3.9285714285714284</x:v>
      </x:c>
      <x:c r="L3656" s="66" t="str">
        <x:f>IF(K3656="","","1 : "&amp;TEXT(K3656,"0.0"))</x:f>
        <x:v>1 : 3.9</x:v>
      </x:c>
      <x:c r="M3656" s="66" t="str">
        <x:f>IF(J3656="","Baru/Tanpa Data",IF(J3656&lt;='Catatan &amp; Sumber'!$B$14,"Sangat Ketat",IF(J3656&lt;='Catatan &amp; Sumber'!$B$15,"Ketat",IF(J3656&lt;='Catatan &amp; Sumber'!$B$16,"Sedang","Relatif Longgar"))))</x:f>
        <x:v>Relatif Longgar</x:v>
      </x:c>
      <x:c r="N3656" s="66" t="str">
        <x:v>Tidak Ada</x:v>
      </x:c>
      <x:c r="O3656" s="66" t="str">
        <x:v>Kalimantan Selatan</x:v>
      </x:c>
      <x:c r="P3656" s="66" t="str">
        <x:v>Kota Banjarmasin</x:v>
      </x:c>
      <x:c r="Q3656" s="66" t="str">
        <x:v>https://snpmb.id/snbp/daya-tampung-snbp</x:v>
      </x:c>
      <x:c r="R3656" s="66" t="str">
        <x:v>https://sidatagrun-public-1076756628210.asia-southeast2.run.app/ptn_sn.php?ptn=531</x:v>
      </x:c>
    </x:row>
    <x:row r="3657">
      <x:c r="A3657" s="87" t="n">
        <x:v>2906</x:v>
      </x:c>
      <x:c r="B3657" s="66" t="n">
        <x:v>531</x:v>
      </x:c>
      <x:c r="C3657" s="66" t="str">
        <x:v>UNIVERSITAS LAMBUNG MANGKURAT</x:v>
      </x:c>
      <x:c r="D3657" s="66" t="str">
        <x:v>PTN Akademik</x:v>
      </x:c>
      <x:c r="E3657" s="66" t="str">
        <x:v>15311070</x:v>
      </x:c>
      <x:c r="F3657" s="66" t="str">
        <x:v>ANTROPOLOGI</x:v>
      </x:c>
      <x:c r="G3657" s="66" t="str">
        <x:v>Sarjana</x:v>
      </x:c>
      <x:c r="H3657" s="87" t="n">
        <x:v>8</x:v>
      </x:c>
      <x:c r="I3657" s="87" t="n">
        <x:v>29</x:v>
      </x:c>
      <x:c r="J3657" s="68" t="n">
        <x:f>IFERROR(H3657/I3657,"")</x:f>
        <x:v>0.27586206896551724</x:v>
      </x:c>
      <x:c r="K3657" s="69" t="n">
        <x:f>IFERROR(I3657/H3657,"")</x:f>
        <x:v>3.625</x:v>
      </x:c>
      <x:c r="L3657" s="66" t="str">
        <x:f>IF(K3657="","","1 : "&amp;TEXT(K3657,"0.0"))</x:f>
        <x:v>1 : 3.6</x:v>
      </x:c>
      <x:c r="M3657" s="66" t="str">
        <x:f>IF(J3657="","Baru/Tanpa Data",IF(J3657&lt;='Catatan &amp; Sumber'!$B$14,"Sangat Ketat",IF(J3657&lt;='Catatan &amp; Sumber'!$B$15,"Ketat",IF(J3657&lt;='Catatan &amp; Sumber'!$B$16,"Sedang","Relatif Longgar"))))</x:f>
        <x:v>Relatif Longgar</x:v>
      </x:c>
      <x:c r="N3657" s="66" t="str">
        <x:v>Tidak Ada</x:v>
      </x:c>
      <x:c r="O3657" s="66" t="str">
        <x:v>Kalimantan Selatan</x:v>
      </x:c>
      <x:c r="P3657" s="66" t="str">
        <x:v>Kota Banjarmasin</x:v>
      </x:c>
      <x:c r="Q3657" s="66" t="str">
        <x:v>https://snpmb.id/snbp/daya-tampung-snbp</x:v>
      </x:c>
      <x:c r="R3657" s="66" t="str">
        <x:v>https://sidatagrun-public-1076756628210.asia-southeast2.run.app/ptn_sn.php?ptn=531</x:v>
      </x:c>
    </x:row>
    <x:row r="3658">
      <x:c r="A3658" s="87"/>
      <x:c r="B3658" s="66" t="n">
        <x:v>531</x:v>
      </x:c>
      <x:c r="C3658" s="66" t="str">
        <x:v>UNIVERSITAS LAMBUNG MANGKURAT</x:v>
      </x:c>
      <x:c r="D3658" s="66" t="str">
        <x:v>PTN Akademik</x:v>
      </x:c>
      <x:c r="E3658" s="66" t="str">
        <x:v>15311071</x:v>
      </x:c>
      <x:c r="F3658" s="66" t="str">
        <x:v>ILMU LINGKUNGAN</x:v>
      </x:c>
      <x:c r="G3658" s="66" t="str">
        <x:v>Sarjana</x:v>
      </x:c>
      <x:c r="H3658" s="87" t="n">
        <x:v>25</x:v>
      </x:c>
      <x:c r="I3658" s="87"/>
      <x:c r="J3658" s="68" t="str">
        <x:f>IFERROR(H3658/I3658,"")</x:f>
      </x:c>
      <x:c r="K3658" s="69" t="n">
        <x:f>IFERROR(I3658/H3658,"")</x:f>
        <x:v>0</x:v>
      </x:c>
      <x:c r="L3658" s="66" t="str">
        <x:f>IF(K3658="","","1 : "&amp;TEXT(K3658,"0.0"))</x:f>
      </x:c>
      <x:c r="M3658" s="66" t="str">
        <x:f>IF(J3658="","Baru/Tanpa Data",IF(J3658&lt;='Catatan &amp; Sumber'!$B$14,"Sangat Ketat",IF(J3658&lt;='Catatan &amp; Sumber'!$B$15,"Ketat",IF(J3658&lt;='Catatan &amp; Sumber'!$B$16,"Sedang","Relatif Longgar"))))</x:f>
        <x:v>Baru/Tanpa Data</x:v>
      </x:c>
      <x:c r="N3658" s="66" t="str">
        <x:v>Tidak Ada</x:v>
      </x:c>
      <x:c r="O3658" s="66" t="str">
        <x:v>Kalimantan Selatan</x:v>
      </x:c>
      <x:c r="P3658" s="66" t="str">
        <x:v>Kota Banjarmasin</x:v>
      </x:c>
      <x:c r="Q3658" s="66" t="str">
        <x:v>https://snpmb.id/snbp/daya-tampung-snbp</x:v>
      </x:c>
      <x:c r="R3658" s="66" t="str">
        <x:v>https://sidatagrun-public-1076756628210.asia-southeast2.run.app/ptn_sn.php?ptn=531</x:v>
      </x:c>
    </x:row>
    <x:row r="3659">
      <x:c r="A3659" s="87"/>
      <x:c r="B3659" s="66" t="n">
        <x:v>531</x:v>
      </x:c>
      <x:c r="C3659" s="66" t="str">
        <x:v>UNIVERSITAS LAMBUNG MANGKURAT</x:v>
      </x:c>
      <x:c r="D3659" s="66" t="str">
        <x:v>PTN Akademik</x:v>
      </x:c>
      <x:c r="E3659" s="66" t="str">
        <x:v>15311072</x:v>
      </x:c>
      <x:c r="F3659" s="66" t="str">
        <x:v>AKUAKULTUR (KAMPUS KABUPATEN KOTABARU)</x:v>
      </x:c>
      <x:c r="G3659" s="66" t="str">
        <x:v>Sarjana</x:v>
      </x:c>
      <x:c r="H3659" s="87" t="n">
        <x:v>15</x:v>
      </x:c>
      <x:c r="I3659" s="87"/>
      <x:c r="J3659" s="68" t="str">
        <x:f>IFERROR(H3659/I3659,"")</x:f>
      </x:c>
      <x:c r="K3659" s="69" t="n">
        <x:f>IFERROR(I3659/H3659,"")</x:f>
        <x:v>0</x:v>
      </x:c>
      <x:c r="L3659" s="66" t="str">
        <x:f>IF(K3659="","","1 : "&amp;TEXT(K3659,"0.0"))</x:f>
      </x:c>
      <x:c r="M3659" s="66" t="str">
        <x:f>IF(J3659="","Baru/Tanpa Data",IF(J3659&lt;='Catatan &amp; Sumber'!$B$14,"Sangat Ketat",IF(J3659&lt;='Catatan &amp; Sumber'!$B$15,"Ketat",IF(J3659&lt;='Catatan &amp; Sumber'!$B$16,"Sedang","Relatif Longgar"))))</x:f>
        <x:v>Baru/Tanpa Data</x:v>
      </x:c>
      <x:c r="N3659" s="66" t="str">
        <x:v>Tidak Ada</x:v>
      </x:c>
      <x:c r="O3659" s="66" t="str">
        <x:v>Kalimantan Selatan</x:v>
      </x:c>
      <x:c r="P3659" s="66" t="str">
        <x:v>Kota Banjarmasin</x:v>
      </x:c>
      <x:c r="Q3659" s="66" t="str">
        <x:v>https://snpmb.id/snbp/daya-tampung-snbp</x:v>
      </x:c>
      <x:c r="R3659" s="66" t="str">
        <x:v>https://sidatagrun-public-1076756628210.asia-southeast2.run.app/ptn_sn.php?ptn=531</x:v>
      </x:c>
    </x:row>
    <x:row r="3660">
      <x:c r="A3660" s="87"/>
      <x:c r="B3660" s="66" t="n">
        <x:v>531</x:v>
      </x:c>
      <x:c r="C3660" s="66" t="str">
        <x:v>UNIVERSITAS LAMBUNG MANGKURAT</x:v>
      </x:c>
      <x:c r="D3660" s="66" t="str">
        <x:v>PTN Akademik</x:v>
      </x:c>
      <x:c r="E3660" s="66" t="str">
        <x:v>15311073</x:v>
      </x:c>
      <x:c r="F3660" s="66" t="str">
        <x:v>AGRIBISNIS (KAMPUS KABUPATEN KOTABARU)</x:v>
      </x:c>
      <x:c r="G3660" s="66" t="str">
        <x:v>Sarjana</x:v>
      </x:c>
      <x:c r="H3660" s="87" t="n">
        <x:v>9</x:v>
      </x:c>
      <x:c r="I3660" s="87"/>
      <x:c r="J3660" s="68" t="str">
        <x:f>IFERROR(H3660/I3660,"")</x:f>
      </x:c>
      <x:c r="K3660" s="69" t="n">
        <x:f>IFERROR(I3660/H3660,"")</x:f>
        <x:v>0</x:v>
      </x:c>
      <x:c r="L3660" s="66" t="str">
        <x:f>IF(K3660="","","1 : "&amp;TEXT(K3660,"0.0"))</x:f>
      </x:c>
      <x:c r="M3660" s="66" t="str">
        <x:f>IF(J3660="","Baru/Tanpa Data",IF(J3660&lt;='Catatan &amp; Sumber'!$B$14,"Sangat Ketat",IF(J3660&lt;='Catatan &amp; Sumber'!$B$15,"Ketat",IF(J3660&lt;='Catatan &amp; Sumber'!$B$16,"Sedang","Relatif Longgar"))))</x:f>
        <x:v>Baru/Tanpa Data</x:v>
      </x:c>
      <x:c r="N3660" s="66" t="str">
        <x:v>Tidak Ada</x:v>
      </x:c>
      <x:c r="O3660" s="66" t="str">
        <x:v>Kalimantan Selatan</x:v>
      </x:c>
      <x:c r="P3660" s="66" t="str">
        <x:v>Kota Banjarmasin</x:v>
      </x:c>
      <x:c r="Q3660" s="66" t="str">
        <x:v>https://snpmb.id/snbp/daya-tampung-snbp</x:v>
      </x:c>
      <x:c r="R3660" s="66" t="str">
        <x:v>https://sidatagrun-public-1076756628210.asia-southeast2.run.app/ptn_sn.php?ptn=531</x:v>
      </x:c>
    </x:row>
    <x:row r="3661">
      <x:c r="A3661" s="87"/>
      <x:c r="B3661" s="66" t="n">
        <x:v>531</x:v>
      </x:c>
      <x:c r="C3661" s="66" t="str">
        <x:v>UNIVERSITAS LAMBUNG MANGKURAT</x:v>
      </x:c>
      <x:c r="D3661" s="66" t="str">
        <x:v>PTN Akademik</x:v>
      </x:c>
      <x:c r="E3661" s="66" t="str">
        <x:v>15311074</x:v>
      </x:c>
      <x:c r="F3661" s="66" t="str">
        <x:v>PENDIDIKAN KHUSUS (KAMPUS KABUPATEN KOTABARU)</x:v>
      </x:c>
      <x:c r="G3661" s="66" t="str">
        <x:v>Sarjana</x:v>
      </x:c>
      <x:c r="H3661" s="87" t="n">
        <x:v>8</x:v>
      </x:c>
      <x:c r="I3661" s="87"/>
      <x:c r="J3661" s="68" t="str">
        <x:f>IFERROR(H3661/I3661,"")</x:f>
      </x:c>
      <x:c r="K3661" s="69" t="n">
        <x:f>IFERROR(I3661/H3661,"")</x:f>
        <x:v>0</x:v>
      </x:c>
      <x:c r="L3661" s="66" t="str">
        <x:f>IF(K3661="","","1 : "&amp;TEXT(K3661,"0.0"))</x:f>
      </x:c>
      <x:c r="M3661" s="66" t="str">
        <x:f>IF(J3661="","Baru/Tanpa Data",IF(J3661&lt;='Catatan &amp; Sumber'!$B$14,"Sangat Ketat",IF(J3661&lt;='Catatan &amp; Sumber'!$B$15,"Ketat",IF(J3661&lt;='Catatan &amp; Sumber'!$B$16,"Sedang","Relatif Longgar"))))</x:f>
        <x:v>Baru/Tanpa Data</x:v>
      </x:c>
      <x:c r="N3661" s="66" t="str">
        <x:v>Tidak Ada</x:v>
      </x:c>
      <x:c r="O3661" s="66" t="str">
        <x:v>Kalimantan Selatan</x:v>
      </x:c>
      <x:c r="P3661" s="66" t="str">
        <x:v>Kota Banjarmasin</x:v>
      </x:c>
      <x:c r="Q3661" s="66" t="str">
        <x:v>https://snpmb.id/snbp/daya-tampung-snbp</x:v>
      </x:c>
      <x:c r="R3661" s="66" t="str">
        <x:v>https://sidatagrun-public-1076756628210.asia-southeast2.run.app/ptn_sn.php?ptn=531</x:v>
      </x:c>
    </x:row>
    <x:row r="3662">
      <x:c r="A3662" s="87" t="n">
        <x:v>3958</x:v>
      </x:c>
      <x:c r="B3662" s="66" t="n">
        <x:v>531</x:v>
      </x:c>
      <x:c r="C3662" s="66" t="str">
        <x:v>UNIVERSITAS LAMBUNG MANGKURAT</x:v>
      </x:c>
      <x:c r="D3662" s="66" t="str">
        <x:v>PTN Akademik</x:v>
      </x:c>
      <x:c r="E3662" s="66" t="str">
        <x:v>15313066</x:v>
      </x:c>
      <x:c r="F3662" s="66" t="str">
        <x:v>PERPAJAKAN</x:v>
      </x:c>
      <x:c r="G3662" s="66" t="str">
        <x:v>Diploma Tiga</x:v>
      </x:c>
      <x:c r="H3662" s="87" t="n">
        <x:v>36</x:v>
      </x:c>
      <x:c r="I3662" s="87" t="n">
        <x:v>54</x:v>
      </x:c>
      <x:c r="J3662" s="68" t="n">
        <x:f>IFERROR(H3662/I3662,"")</x:f>
        <x:v>0.6666666666666666</x:v>
      </x:c>
      <x:c r="K3662" s="69" t="n">
        <x:f>IFERROR(I3662/H3662,"")</x:f>
        <x:v>1.5</x:v>
      </x:c>
      <x:c r="L3662" s="66" t="str">
        <x:f>IF(K3662="","","1 : "&amp;TEXT(K3662,"0.0"))</x:f>
        <x:v>1 : 1.5</x:v>
      </x:c>
      <x:c r="M3662" s="66" t="str">
        <x:f>IF(J3662="","Baru/Tanpa Data",IF(J3662&lt;='Catatan &amp; Sumber'!$B$14,"Sangat Ketat",IF(J3662&lt;='Catatan &amp; Sumber'!$B$15,"Ketat",IF(J3662&lt;='Catatan &amp; Sumber'!$B$16,"Sedang","Relatif Longgar"))))</x:f>
        <x:v>Relatif Longgar</x:v>
      </x:c>
      <x:c r="N3662" s="66" t="str">
        <x:v>Tidak Ada</x:v>
      </x:c>
      <x:c r="O3662" s="66" t="str">
        <x:v>Kalimantan Selatan</x:v>
      </x:c>
      <x:c r="P3662" s="66" t="str">
        <x:v>Kota Banjarmasin</x:v>
      </x:c>
      <x:c r="Q3662" s="66" t="str">
        <x:v>https://snpmb.id/snbp/daya-tampung-snbp</x:v>
      </x:c>
      <x:c r="R3662" s="66" t="str">
        <x:v>https://sidatagrun-public-1076756628210.asia-southeast2.run.app/ptn_sn.php?ptn=531</x:v>
      </x:c>
    </x:row>
    <x:row r="3663">
      <x:c r="A3663" s="87" t="n">
        <x:v>4151</x:v>
      </x:c>
      <x:c r="B3663" s="66" t="n">
        <x:v>531</x:v>
      </x:c>
      <x:c r="C3663" s="66" t="str">
        <x:v>UNIVERSITAS LAMBUNG MANGKURAT</x:v>
      </x:c>
      <x:c r="D3663" s="66" t="str">
        <x:v>PTN Akademik</x:v>
      </x:c>
      <x:c r="E3663" s="66" t="str">
        <x:v>15313067</x:v>
      </x:c>
      <x:c r="F3663" s="66" t="str">
        <x:v>AKUNTANSI</x:v>
      </x:c>
      <x:c r="G3663" s="66" t="str">
        <x:v>Diploma Tiga</x:v>
      </x:c>
      <x:c r="H3663" s="87" t="n">
        <x:v>46</x:v>
      </x:c>
      <x:c r="I3663" s="87" t="n">
        <x:v>57</x:v>
      </x:c>
      <x:c r="J3663" s="68" t="n">
        <x:f>IFERROR(H3663/I3663,"")</x:f>
        <x:v>0.8070175438596491</x:v>
      </x:c>
      <x:c r="K3663" s="69" t="n">
        <x:f>IFERROR(I3663/H3663,"")</x:f>
        <x:v>1.2391304347826086</x:v>
      </x:c>
      <x:c r="L3663" s="66" t="str">
        <x:f>IF(K3663="","","1 : "&amp;TEXT(K3663,"0.0"))</x:f>
        <x:v>1 : 1.2</x:v>
      </x:c>
      <x:c r="M3663" s="66" t="str">
        <x:f>IF(J3663="","Baru/Tanpa Data",IF(J3663&lt;='Catatan &amp; Sumber'!$B$14,"Sangat Ketat",IF(J3663&lt;='Catatan &amp; Sumber'!$B$15,"Ketat",IF(J3663&lt;='Catatan &amp; Sumber'!$B$16,"Sedang","Relatif Longgar"))))</x:f>
        <x:v>Relatif Longgar</x:v>
      </x:c>
      <x:c r="N3663" s="66" t="str">
        <x:v>Tidak Ada</x:v>
      </x:c>
      <x:c r="O3663" s="66" t="str">
        <x:v>Kalimantan Selatan</x:v>
      </x:c>
      <x:c r="P3663" s="66" t="str">
        <x:v>Kota Banjarmasin</x:v>
      </x:c>
      <x:c r="Q3663" s="66" t="str">
        <x:v>https://snpmb.id/snbp/daya-tampung-snbp</x:v>
      </x:c>
      <x:c r="R3663" s="66" t="str">
        <x:v>https://sidatagrun-public-1076756628210.asia-southeast2.run.app/ptn_sn.php?ptn=531</x:v>
      </x:c>
    </x:row>
    <x:row r="3664">
      <x:c r="A3664" s="87" t="n">
        <x:v>2859</x:v>
      </x:c>
      <x:c r="B3664" s="66" t="n">
        <x:v>532</x:v>
      </x:c>
      <x:c r="C3664" s="66" t="str">
        <x:v>UIN ANTASARI BANJARMASIN</x:v>
      </x:c>
      <x:c r="D3664" s="66" t="str">
        <x:v>PTKIN</x:v>
      </x:c>
      <x:c r="E3664" s="66" t="str">
        <x:v>15321001</x:v>
      </x:c>
      <x:c r="F3664" s="66" t="str">
        <x:v>TEKNOLOGI INFORMASI</x:v>
      </x:c>
      <x:c r="G3664" s="66" t="str">
        <x:v>Sarjana</x:v>
      </x:c>
      <x:c r="H3664" s="87" t="n">
        <x:v>36</x:v>
      </x:c>
      <x:c r="I3664" s="87" t="n">
        <x:v>134</x:v>
      </x:c>
      <x:c r="J3664" s="68" t="n">
        <x:f>IFERROR(H3664/I3664,"")</x:f>
        <x:v>0.26865671641791045</x:v>
      </x:c>
      <x:c r="K3664" s="69" t="n">
        <x:f>IFERROR(I3664/H3664,"")</x:f>
        <x:v>3.7222222222222223</x:v>
      </x:c>
      <x:c r="L3664" s="66" t="str">
        <x:f>IF(K3664="","","1 : "&amp;TEXT(K3664,"0.0"))</x:f>
        <x:v>1 : 3.7</x:v>
      </x:c>
      <x:c r="M3664" s="66" t="str">
        <x:f>IF(J3664="","Baru/Tanpa Data",IF(J3664&lt;='Catatan &amp; Sumber'!$B$14,"Sangat Ketat",IF(J3664&lt;='Catatan &amp; Sumber'!$B$15,"Ketat",IF(J3664&lt;='Catatan &amp; Sumber'!$B$16,"Sedang","Relatif Longgar"))))</x:f>
        <x:v>Relatif Longgar</x:v>
      </x:c>
      <x:c r="N3664" s="66" t="str">
        <x:v>Tidak Ada</x:v>
      </x:c>
      <x:c r="O3664" s="66" t="str">
        <x:v>Kalimantan Selatan</x:v>
      </x:c>
      <x:c r="P3664" s="66" t="str">
        <x:v>Kota Banjarmasin</x:v>
      </x:c>
      <x:c r="Q3664" s="66" t="str">
        <x:v>https://snpmb.id/snbp/daya-tampung-snbp</x:v>
      </x:c>
      <x:c r="R3664" s="66" t="str">
        <x:v>https://sidatagrun-public-1076756628210.asia-southeast2.run.app/ptn_sn.php?ptn=532</x:v>
      </x:c>
    </x:row>
    <x:row r="3665">
      <x:c r="A3665" s="87" t="n">
        <x:v>2989</x:v>
      </x:c>
      <x:c r="B3665" s="66" t="n">
        <x:v>532</x:v>
      </x:c>
      <x:c r="C3665" s="66" t="str">
        <x:v>UIN ANTASARI BANJARMASIN</x:v>
      </x:c>
      <x:c r="D3665" s="66" t="str">
        <x:v>PTKIN</x:v>
      </x:c>
      <x:c r="E3665" s="66" t="str">
        <x:v>15321002</x:v>
      </x:c>
      <x:c r="F3665" s="66" t="str">
        <x:v>BISNIS DIGITAL</x:v>
      </x:c>
      <x:c r="G3665" s="66" t="str">
        <x:v>Sarjana</x:v>
      </x:c>
      <x:c r="H3665" s="87" t="n">
        <x:v>28</x:v>
      </x:c>
      <x:c r="I3665" s="87" t="n">
        <x:v>96</x:v>
      </x:c>
      <x:c r="J3665" s="68" t="n">
        <x:f>IFERROR(H3665/I3665,"")</x:f>
        <x:v>0.2916666666666667</x:v>
      </x:c>
      <x:c r="K3665" s="69" t="n">
        <x:f>IFERROR(I3665/H3665,"")</x:f>
        <x:v>3.4285714285714284</x:v>
      </x:c>
      <x:c r="L3665" s="66" t="str">
        <x:f>IF(K3665="","","1 : "&amp;TEXT(K3665,"0.0"))</x:f>
        <x:v>1 : 3.4</x:v>
      </x:c>
      <x:c r="M3665" s="66" t="str">
        <x:f>IF(J3665="","Baru/Tanpa Data",IF(J3665&lt;='Catatan &amp; Sumber'!$B$14,"Sangat Ketat",IF(J3665&lt;='Catatan &amp; Sumber'!$B$15,"Ketat",IF(J3665&lt;='Catatan &amp; Sumber'!$B$16,"Sedang","Relatif Longgar"))))</x:f>
        <x:v>Relatif Longgar</x:v>
      </x:c>
      <x:c r="N3665" s="66" t="str">
        <x:v>Tidak Ada</x:v>
      </x:c>
      <x:c r="O3665" s="66" t="str">
        <x:v>Kalimantan Selatan</x:v>
      </x:c>
      <x:c r="P3665" s="66" t="str">
        <x:v>Kota Banjarmasin</x:v>
      </x:c>
      <x:c r="Q3665" s="66" t="str">
        <x:v>https://snpmb.id/snbp/daya-tampung-snbp</x:v>
      </x:c>
      <x:c r="R3665" s="66" t="str">
        <x:v>https://sidatagrun-public-1076756628210.asia-southeast2.run.app/ptn_sn.php?ptn=532</x:v>
      </x:c>
    </x:row>
    <x:row r="3666">
      <x:c r="A3666" s="87"/>
      <x:c r="B3666" s="66" t="n">
        <x:v>532</x:v>
      </x:c>
      <x:c r="C3666" s="66" t="str">
        <x:v>UIN ANTASARI BANJARMASIN</x:v>
      </x:c>
      <x:c r="D3666" s="66" t="str">
        <x:v>PTKIN</x:v>
      </x:c>
      <x:c r="E3666" s="66" t="str">
        <x:v>15321003</x:v>
      </x:c>
      <x:c r="F3666" s="66" t="str">
        <x:v>ILMU LINGKUNGAN</x:v>
      </x:c>
      <x:c r="G3666" s="66" t="str">
        <x:v>Sarjana</x:v>
      </x:c>
      <x:c r="H3666" s="87" t="n">
        <x:v>24</x:v>
      </x:c>
      <x:c r="I3666" s="87"/>
      <x:c r="J3666" s="68" t="str">
        <x:f>IFERROR(H3666/I3666,"")</x:f>
      </x:c>
      <x:c r="K3666" s="69" t="n">
        <x:f>IFERROR(I3666/H3666,"")</x:f>
        <x:v>0</x:v>
      </x:c>
      <x:c r="L3666" s="66" t="str">
        <x:f>IF(K3666="","","1 : "&amp;TEXT(K3666,"0.0"))</x:f>
      </x:c>
      <x:c r="M3666" s="66" t="str">
        <x:f>IF(J3666="","Baru/Tanpa Data",IF(J3666&lt;='Catatan &amp; Sumber'!$B$14,"Sangat Ketat",IF(J3666&lt;='Catatan &amp; Sumber'!$B$15,"Ketat",IF(J3666&lt;='Catatan &amp; Sumber'!$B$16,"Sedang","Relatif Longgar"))))</x:f>
        <x:v>Baru/Tanpa Data</x:v>
      </x:c>
      <x:c r="N3666" s="66" t="str">
        <x:v>Tidak Ada</x:v>
      </x:c>
      <x:c r="O3666" s="66" t="str">
        <x:v>Kalimantan Selatan</x:v>
      </x:c>
      <x:c r="P3666" s="66" t="str">
        <x:v>Kota Banjarmasin</x:v>
      </x:c>
      <x:c r="Q3666" s="66" t="str">
        <x:v>https://snpmb.id/snbp/daya-tampung-snbp</x:v>
      </x:c>
      <x:c r="R3666" s="66" t="str">
        <x:v>https://sidatagrun-public-1076756628210.asia-southeast2.run.app/ptn_sn.php?ptn=532</x:v>
      </x:c>
    </x:row>
    <x:row r="3667">
      <x:c r="A3667" s="87" t="n">
        <x:v>4305</x:v>
      </x:c>
      <x:c r="B3667" s="66" t="n">
        <x:v>536</x:v>
      </x:c>
      <x:c r="C3667" s="66" t="str">
        <x:v>POLITEKNIK NEGERI BANJARMASIN</x:v>
      </x:c>
      <x:c r="D3667" s="66" t="str">
        <x:v>PTN Vokasi</x:v>
      </x:c>
      <x:c r="E3667" s="66" t="str">
        <x:v>25362001</x:v>
      </x:c>
      <x:c r="F3667" s="66" t="str">
        <x:v>TEKNIK BANGUNAN RAWA</x:v>
      </x:c>
      <x:c r="G3667" s="66" t="str">
        <x:v>Sarjana Terapan</x:v>
      </x:c>
      <x:c r="H3667" s="87" t="n">
        <x:v>12</x:v>
      </x:c>
      <x:c r="I3667" s="87" t="n">
        <x:v>12</x:v>
      </x:c>
      <x:c r="J3667" s="68" t="n">
        <x:f>IFERROR(H3667/I3667,"")</x:f>
        <x:v>1</x:v>
      </x:c>
      <x:c r="K3667" s="69" t="n">
        <x:f>IFERROR(I3667/H3667,"")</x:f>
        <x:v>1</x:v>
      </x:c>
      <x:c r="L3667" s="66" t="str">
        <x:f>IF(K3667="","","1 : "&amp;TEXT(K3667,"0.0"))</x:f>
        <x:v>1 : 1.0</x:v>
      </x:c>
      <x:c r="M3667" s="66" t="str">
        <x:f>IF(J3667="","Baru/Tanpa Data",IF(J3667&lt;='Catatan &amp; Sumber'!$B$14,"Sangat Ketat",IF(J3667&lt;='Catatan &amp; Sumber'!$B$15,"Ketat",IF(J3667&lt;='Catatan &amp; Sumber'!$B$16,"Sedang","Relatif Longgar"))))</x:f>
        <x:v>Relatif Longgar</x:v>
      </x:c>
      <x:c r="N3667" s="66" t="str">
        <x:v>Tidak Ada</x:v>
      </x:c>
      <x:c r="O3667" s="66" t="str">
        <x:v>Kalimantan Selatan</x:v>
      </x:c>
      <x:c r="P3667" s="66" t="str">
        <x:v>Kota Banjarmasin</x:v>
      </x:c>
      <x:c r="Q3667" s="66" t="str">
        <x:v>https://snpmb.id/snbp/daya-tampung-snbp</x:v>
      </x:c>
      <x:c r="R3667" s="66" t="str">
        <x:v>https://sidatagrun-public-1076756628210.asia-southeast2.run.app/ptn_sn.php?ptn=536</x:v>
      </x:c>
    </x:row>
    <x:row r="3668">
      <x:c r="A3668" s="87" t="n">
        <x:v>4266</x:v>
      </x:c>
      <x:c r="B3668" s="66" t="n">
        <x:v>536</x:v>
      </x:c>
      <x:c r="C3668" s="66" t="str">
        <x:v>POLITEKNIK NEGERI BANJARMASIN</x:v>
      </x:c>
      <x:c r="D3668" s="66" t="str">
        <x:v>PTN Vokasi</x:v>
      </x:c>
      <x:c r="E3668" s="66" t="str">
        <x:v>25362002</x:v>
      </x:c>
      <x:c r="F3668" s="66" t="str">
        <x:v>TEKNOLOGI REKAYASA KONSTRUKSI JALAN DAN JEMBATAN</x:v>
      </x:c>
      <x:c r="G3668" s="66" t="str">
        <x:v>Sarjana Terapan</x:v>
      </x:c>
      <x:c r="H3668" s="87" t="n">
        <x:v>24</x:v>
      </x:c>
      <x:c r="I3668" s="87" t="n">
        <x:v>26</x:v>
      </x:c>
      <x:c r="J3668" s="68" t="n">
        <x:f>IFERROR(H3668/I3668,"")</x:f>
        <x:v>0.9230769230769231</x:v>
      </x:c>
      <x:c r="K3668" s="69" t="n">
        <x:f>IFERROR(I3668/H3668,"")</x:f>
        <x:v>1.0833333333333333</x:v>
      </x:c>
      <x:c r="L3668" s="66" t="str">
        <x:f>IF(K3668="","","1 : "&amp;TEXT(K3668,"0.0"))</x:f>
        <x:v>1 : 1.1</x:v>
      </x:c>
      <x:c r="M3668" s="66" t="str">
        <x:f>IF(J3668="","Baru/Tanpa Data",IF(J3668&lt;='Catatan &amp; Sumber'!$B$14,"Sangat Ketat",IF(J3668&lt;='Catatan &amp; Sumber'!$B$15,"Ketat",IF(J3668&lt;='Catatan &amp; Sumber'!$B$16,"Sedang","Relatif Longgar"))))</x:f>
        <x:v>Relatif Longgar</x:v>
      </x:c>
      <x:c r="N3668" s="66" t="str">
        <x:v>Tidak Ada</x:v>
      </x:c>
      <x:c r="O3668" s="66" t="str">
        <x:v>Kalimantan Selatan</x:v>
      </x:c>
      <x:c r="P3668" s="66" t="str">
        <x:v>Kota Banjarmasin</x:v>
      </x:c>
      <x:c r="Q3668" s="66" t="str">
        <x:v>https://snpmb.id/snbp/daya-tampung-snbp</x:v>
      </x:c>
      <x:c r="R3668" s="66" t="str">
        <x:v>https://sidatagrun-public-1076756628210.asia-southeast2.run.app/ptn_sn.php?ptn=536</x:v>
      </x:c>
    </x:row>
    <x:row r="3669">
      <x:c r="A3669" s="87" t="n">
        <x:v>4408</x:v>
      </x:c>
      <x:c r="B3669" s="66" t="n">
        <x:v>536</x:v>
      </x:c>
      <x:c r="C3669" s="66" t="str">
        <x:v>POLITEKNIK NEGERI BANJARMASIN</x:v>
      </x:c>
      <x:c r="D3669" s="66" t="str">
        <x:v>PTN Vokasi</x:v>
      </x:c>
      <x:c r="E3669" s="66" t="str">
        <x:v>25362003</x:v>
      </x:c>
      <x:c r="F3669" s="66" t="str">
        <x:v>TEKNOLOGI REKAYASA PEMBANGKIT ENERGI</x:v>
      </x:c>
      <x:c r="G3669" s="66" t="str">
        <x:v>Sarjana Terapan</x:v>
      </x:c>
      <x:c r="H3669" s="87" t="n">
        <x:v>24</x:v>
      </x:c>
      <x:c r="I3669" s="87" t="n">
        <x:v>21</x:v>
      </x:c>
      <x:c r="J3669" s="68" t="n">
        <x:f>IFERROR(H3669/I3669,"")</x:f>
        <x:v>1.1428571428571428</x:v>
      </x:c>
      <x:c r="K3669" s="69" t="n">
        <x:f>IFERROR(I3669/H3669,"")</x:f>
        <x:v>0.875</x:v>
      </x:c>
      <x:c r="L3669" s="66" t="str">
        <x:f>IF(K3669="","","1 : "&amp;TEXT(K3669,"0.0"))</x:f>
        <x:v>1 : 0.9</x:v>
      </x:c>
      <x:c r="M3669" s="66" t="str">
        <x:f>IF(J3669="","Baru/Tanpa Data",IF(J3669&lt;='Catatan &amp; Sumber'!$B$14,"Sangat Ketat",IF(J3669&lt;='Catatan &amp; Sumber'!$B$15,"Ketat",IF(J3669&lt;='Catatan &amp; Sumber'!$B$16,"Sedang","Relatif Longgar"))))</x:f>
        <x:v>Relatif Longgar</x:v>
      </x:c>
      <x:c r="N3669" s="66" t="str">
        <x:v>Tidak Ada</x:v>
      </x:c>
      <x:c r="O3669" s="66" t="str">
        <x:v>Kalimantan Selatan</x:v>
      </x:c>
      <x:c r="P3669" s="66" t="str">
        <x:v>Kota Banjarmasin</x:v>
      </x:c>
      <x:c r="Q3669" s="66" t="str">
        <x:v>https://snpmb.id/snbp/daya-tampung-snbp</x:v>
      </x:c>
      <x:c r="R3669" s="66" t="str">
        <x:v>https://sidatagrun-public-1076756628210.asia-southeast2.run.app/ptn_sn.php?ptn=536</x:v>
      </x:c>
    </x:row>
    <x:row r="3670">
      <x:c r="A3670" s="87" t="n">
        <x:v>4116</x:v>
      </x:c>
      <x:c r="B3670" s="66" t="n">
        <x:v>536</x:v>
      </x:c>
      <x:c r="C3670" s="66" t="str">
        <x:v>POLITEKNIK NEGERI BANJARMASIN</x:v>
      </x:c>
      <x:c r="D3670" s="66" t="str">
        <x:v>PTN Vokasi</x:v>
      </x:c>
      <x:c r="E3670" s="66" t="str">
        <x:v>25362004</x:v>
      </x:c>
      <x:c r="F3670" s="66" t="str">
        <x:v>SISTEM INFORMASI KOTA CERDAS</x:v>
      </x:c>
      <x:c r="G3670" s="66" t="str">
        <x:v>Sarjana Terapan</x:v>
      </x:c>
      <x:c r="H3670" s="87" t="n">
        <x:v>24</x:v>
      </x:c>
      <x:c r="I3670" s="87" t="n">
        <x:v>31</x:v>
      </x:c>
      <x:c r="J3670" s="68" t="n">
        <x:f>IFERROR(H3670/I3670,"")</x:f>
        <x:v>0.7741935483870968</x:v>
      </x:c>
      <x:c r="K3670" s="69" t="n">
        <x:f>IFERROR(I3670/H3670,"")</x:f>
        <x:v>1.2916666666666667</x:v>
      </x:c>
      <x:c r="L3670" s="66" t="str">
        <x:f>IF(K3670="","","1 : "&amp;TEXT(K3670,"0.0"))</x:f>
        <x:v>1 : 1.3</x:v>
      </x:c>
      <x:c r="M3670" s="66" t="str">
        <x:f>IF(J3670="","Baru/Tanpa Data",IF(J3670&lt;='Catatan &amp; Sumber'!$B$14,"Sangat Ketat",IF(J3670&lt;='Catatan &amp; Sumber'!$B$15,"Ketat",IF(J3670&lt;='Catatan &amp; Sumber'!$B$16,"Sedang","Relatif Longgar"))))</x:f>
        <x:v>Relatif Longgar</x:v>
      </x:c>
      <x:c r="N3670" s="66" t="str">
        <x:v>Tidak Ada</x:v>
      </x:c>
      <x:c r="O3670" s="66" t="str">
        <x:v>Kalimantan Selatan</x:v>
      </x:c>
      <x:c r="P3670" s="66" t="str">
        <x:v>Kota Banjarmasin</x:v>
      </x:c>
      <x:c r="Q3670" s="66" t="str">
        <x:v>https://snpmb.id/snbp/daya-tampung-snbp</x:v>
      </x:c>
      <x:c r="R3670" s="66" t="str">
        <x:v>https://sidatagrun-public-1076756628210.asia-southeast2.run.app/ptn_sn.php?ptn=536</x:v>
      </x:c>
    </x:row>
    <x:row r="3671">
      <x:c r="A3671" s="87" t="n">
        <x:v>4028</x:v>
      </x:c>
      <x:c r="B3671" s="66" t="n">
        <x:v>536</x:v>
      </x:c>
      <x:c r="C3671" s="66" t="str">
        <x:v>POLITEKNIK NEGERI BANJARMASIN</x:v>
      </x:c>
      <x:c r="D3671" s="66" t="str">
        <x:v>PTN Vokasi</x:v>
      </x:c>
      <x:c r="E3671" s="66" t="str">
        <x:v>25362005</x:v>
      </x:c>
      <x:c r="F3671" s="66" t="str">
        <x:v>AKUNTANSI LEMBAGA KEUANGAN SYARIAH</x:v>
      </x:c>
      <x:c r="G3671" s="66" t="str">
        <x:v>Sarjana Terapan</x:v>
      </x:c>
      <x:c r="H3671" s="87" t="n">
        <x:v>24</x:v>
      </x:c>
      <x:c r="I3671" s="87" t="n">
        <x:v>34</x:v>
      </x:c>
      <x:c r="J3671" s="68" t="n">
        <x:f>IFERROR(H3671/I3671,"")</x:f>
        <x:v>0.7058823529411765</x:v>
      </x:c>
      <x:c r="K3671" s="69" t="n">
        <x:f>IFERROR(I3671/H3671,"")</x:f>
        <x:v>1.4166666666666667</x:v>
      </x:c>
      <x:c r="L3671" s="66" t="str">
        <x:f>IF(K3671="","","1 : "&amp;TEXT(K3671,"0.0"))</x:f>
        <x:v>1 : 1.4</x:v>
      </x:c>
      <x:c r="M3671" s="66" t="str">
        <x:f>IF(J3671="","Baru/Tanpa Data",IF(J3671&lt;='Catatan &amp; Sumber'!$B$14,"Sangat Ketat",IF(J3671&lt;='Catatan &amp; Sumber'!$B$15,"Ketat",IF(J3671&lt;='Catatan &amp; Sumber'!$B$16,"Sedang","Relatif Longgar"))))</x:f>
        <x:v>Relatif Longgar</x:v>
      </x:c>
      <x:c r="N3671" s="66" t="str">
        <x:v>Tidak Ada</x:v>
      </x:c>
      <x:c r="O3671" s="66" t="str">
        <x:v>Kalimantan Selatan</x:v>
      </x:c>
      <x:c r="P3671" s="66" t="str">
        <x:v>Kota Banjarmasin</x:v>
      </x:c>
      <x:c r="Q3671" s="66" t="str">
        <x:v>https://snpmb.id/snbp/daya-tampung-snbp</x:v>
      </x:c>
      <x:c r="R3671" s="66" t="str">
        <x:v>https://sidatagrun-public-1076756628210.asia-southeast2.run.app/ptn_sn.php?ptn=536</x:v>
      </x:c>
    </x:row>
    <x:row r="3672">
      <x:c r="A3672" s="87" t="n">
        <x:v>3794</x:v>
      </x:c>
      <x:c r="B3672" s="66" t="n">
        <x:v>536</x:v>
      </x:c>
      <x:c r="C3672" s="66" t="str">
        <x:v>POLITEKNIK NEGERI BANJARMASIN</x:v>
      </x:c>
      <x:c r="D3672" s="66" t="str">
        <x:v>PTN Vokasi</x:v>
      </x:c>
      <x:c r="E3672" s="66" t="str">
        <x:v>25362006</x:v>
      </x:c>
      <x:c r="F3672" s="66" t="str">
        <x:v>BISNIS DIGITAL</x:v>
      </x:c>
      <x:c r="G3672" s="66" t="str">
        <x:v>Sarjana Terapan</x:v>
      </x:c>
      <x:c r="H3672" s="87" t="n">
        <x:v>60</x:v>
      </x:c>
      <x:c r="I3672" s="87" t="n">
        <x:v>106</x:v>
      </x:c>
      <x:c r="J3672" s="68" t="n">
        <x:f>IFERROR(H3672/I3672,"")</x:f>
        <x:v>0.5660377358490566</x:v>
      </x:c>
      <x:c r="K3672" s="69" t="n">
        <x:f>IFERROR(I3672/H3672,"")</x:f>
        <x:v>1.7666666666666666</x:v>
      </x:c>
      <x:c r="L3672" s="66" t="str">
        <x:f>IF(K3672="","","1 : "&amp;TEXT(K3672,"0.0"))</x:f>
        <x:v>1 : 1.8</x:v>
      </x:c>
      <x:c r="M3672" s="66" t="str">
        <x:f>IF(J3672="","Baru/Tanpa Data",IF(J3672&lt;='Catatan &amp; Sumber'!$B$14,"Sangat Ketat",IF(J3672&lt;='Catatan &amp; Sumber'!$B$15,"Ketat",IF(J3672&lt;='Catatan &amp; Sumber'!$B$16,"Sedang","Relatif Longgar"))))</x:f>
        <x:v>Relatif Longgar</x:v>
      </x:c>
      <x:c r="N3672" s="66" t="str">
        <x:v>Tidak Ada</x:v>
      </x:c>
      <x:c r="O3672" s="66" t="str">
        <x:v>Kalimantan Selatan</x:v>
      </x:c>
      <x:c r="P3672" s="66" t="str">
        <x:v>Kota Banjarmasin</x:v>
      </x:c>
      <x:c r="Q3672" s="66" t="str">
        <x:v>https://snpmb.id/snbp/daya-tampung-snbp</x:v>
      </x:c>
      <x:c r="R3672" s="66" t="str">
        <x:v>https://sidatagrun-public-1076756628210.asia-southeast2.run.app/ptn_sn.php?ptn=536</x:v>
      </x:c>
    </x:row>
    <x:row r="3673">
      <x:c r="A3673" s="87" t="n">
        <x:v>4302</x:v>
      </x:c>
      <x:c r="B3673" s="66" t="n">
        <x:v>536</x:v>
      </x:c>
      <x:c r="C3673" s="66" t="str">
        <x:v>POLITEKNIK NEGERI BANJARMASIN</x:v>
      </x:c>
      <x:c r="D3673" s="66" t="str">
        <x:v>PTN Vokasi</x:v>
      </x:c>
      <x:c r="E3673" s="66" t="str">
        <x:v>25362007</x:v>
      </x:c>
      <x:c r="F3673" s="66" t="str">
        <x:v>TEKNOLOGI REKAYASA GEOMATIKA DAN SURVEI</x:v>
      </x:c>
      <x:c r="G3673" s="66" t="str">
        <x:v>Sarjana Terapan</x:v>
      </x:c>
      <x:c r="H3673" s="87" t="n">
        <x:v>36</x:v>
      </x:c>
      <x:c r="I3673" s="87" t="n">
        <x:v>37</x:v>
      </x:c>
      <x:c r="J3673" s="68" t="n">
        <x:f>IFERROR(H3673/I3673,"")</x:f>
        <x:v>0.972972972972973</x:v>
      </x:c>
      <x:c r="K3673" s="69" t="n">
        <x:f>IFERROR(I3673/H3673,"")</x:f>
        <x:v>1.0277777777777777</x:v>
      </x:c>
      <x:c r="L3673" s="66" t="str">
        <x:f>IF(K3673="","","1 : "&amp;TEXT(K3673,"0.0"))</x:f>
        <x:v>1 : 1.0</x:v>
      </x:c>
      <x:c r="M3673" s="66" t="str">
        <x:f>IF(J3673="","Baru/Tanpa Data",IF(J3673&lt;='Catatan &amp; Sumber'!$B$14,"Sangat Ketat",IF(J3673&lt;='Catatan &amp; Sumber'!$B$15,"Ketat",IF(J3673&lt;='Catatan &amp; Sumber'!$B$16,"Sedang","Relatif Longgar"))))</x:f>
        <x:v>Relatif Longgar</x:v>
      </x:c>
      <x:c r="N3673" s="66" t="str">
        <x:v>Tidak Ada</x:v>
      </x:c>
      <x:c r="O3673" s="66" t="str">
        <x:v>Kalimantan Selatan</x:v>
      </x:c>
      <x:c r="P3673" s="66" t="str">
        <x:v>Kota Banjarmasin</x:v>
      </x:c>
      <x:c r="Q3673" s="66" t="str">
        <x:v>https://snpmb.id/snbp/daya-tampung-snbp</x:v>
      </x:c>
      <x:c r="R3673" s="66" t="str">
        <x:v>https://sidatagrun-public-1076756628210.asia-southeast2.run.app/ptn_sn.php?ptn=536</x:v>
      </x:c>
    </x:row>
    <x:row r="3674">
      <x:c r="A3674" s="87" t="n">
        <x:v>4711</x:v>
      </x:c>
      <x:c r="B3674" s="66" t="n">
        <x:v>536</x:v>
      </x:c>
      <x:c r="C3674" s="66" t="str">
        <x:v>POLITEKNIK NEGERI BANJARMASIN</x:v>
      </x:c>
      <x:c r="D3674" s="66" t="str">
        <x:v>PTN Vokasi</x:v>
      </x:c>
      <x:c r="E3674" s="66" t="str">
        <x:v>25362013</x:v>
      </x:c>
      <x:c r="F3674" s="66" t="str">
        <x:v>TEKNOLOGI REKAYASA OTOMOTIF</x:v>
      </x:c>
      <x:c r="G3674" s="66" t="str">
        <x:v>Sarjana Terapan</x:v>
      </x:c>
      <x:c r="H3674" s="87" t="n">
        <x:v>36</x:v>
      </x:c>
      <x:c r="I3674" s="87" t="n">
        <x:v>15</x:v>
      </x:c>
      <x:c r="J3674" s="68" t="n">
        <x:f>IFERROR(H3674/I3674,"")</x:f>
        <x:v>2.4</x:v>
      </x:c>
      <x:c r="K3674" s="69" t="n">
        <x:f>IFERROR(I3674/H3674,"")</x:f>
        <x:v>0.4166666666666667</x:v>
      </x:c>
      <x:c r="L3674" s="66" t="str">
        <x:f>IF(K3674="","","1 : "&amp;TEXT(K3674,"0.0"))</x:f>
        <x:v>1 : 0.4</x:v>
      </x:c>
      <x:c r="M3674" s="66" t="str">
        <x:f>IF(J3674="","Baru/Tanpa Data",IF(J3674&lt;='Catatan &amp; Sumber'!$B$14,"Sangat Ketat",IF(J3674&lt;='Catatan &amp; Sumber'!$B$15,"Ketat",IF(J3674&lt;='Catatan &amp; Sumber'!$B$16,"Sedang","Relatif Longgar"))))</x:f>
        <x:v>Relatif Longgar</x:v>
      </x:c>
      <x:c r="N3674" s="66" t="str">
        <x:v>Tidak Ada</x:v>
      </x:c>
      <x:c r="O3674" s="66" t="str">
        <x:v>Kalimantan Selatan</x:v>
      </x:c>
      <x:c r="P3674" s="66" t="str">
        <x:v>Kota Banjarmasin</x:v>
      </x:c>
      <x:c r="Q3674" s="66" t="str">
        <x:v>https://snpmb.id/snbp/daya-tampung-snbp</x:v>
      </x:c>
      <x:c r="R3674" s="66" t="str">
        <x:v>https://sidatagrun-public-1076756628210.asia-southeast2.run.app/ptn_sn.php?ptn=536</x:v>
      </x:c>
    </x:row>
    <x:row r="3675">
      <x:c r="A3675" s="87" t="n">
        <x:v>4759</x:v>
      </x:c>
      <x:c r="B3675" s="66" t="n">
        <x:v>536</x:v>
      </x:c>
      <x:c r="C3675" s="66" t="str">
        <x:v>POLITEKNIK NEGERI BANJARMASIN</x:v>
      </x:c>
      <x:c r="D3675" s="66" t="str">
        <x:v>PTN Vokasi</x:v>
      </x:c>
      <x:c r="E3675" s="66" t="str">
        <x:v>25362020</x:v>
      </x:c>
      <x:c r="F3675" s="66" t="str">
        <x:v>TEKNOLOGI REKAYASA OTOMASI</x:v>
      </x:c>
      <x:c r="G3675" s="66" t="str">
        <x:v>Sarjana Terapan</x:v>
      </x:c>
      <x:c r="H3675" s="87" t="n">
        <x:v>24</x:v>
      </x:c>
      <x:c r="I3675" s="87" t="n">
        <x:v>8</x:v>
      </x:c>
      <x:c r="J3675" s="68" t="n">
        <x:f>IFERROR(H3675/I3675,"")</x:f>
        <x:v>3</x:v>
      </x:c>
      <x:c r="K3675" s="69" t="n">
        <x:f>IFERROR(I3675/H3675,"")</x:f>
        <x:v>0.3333333333333333</x:v>
      </x:c>
      <x:c r="L3675" s="66" t="str">
        <x:f>IF(K3675="","","1 : "&amp;TEXT(K3675,"0.0"))</x:f>
        <x:v>1 : 0.3</x:v>
      </x:c>
      <x:c r="M3675" s="66" t="str">
        <x:f>IF(J3675="","Baru/Tanpa Data",IF(J3675&lt;='Catatan &amp; Sumber'!$B$14,"Sangat Ketat",IF(J3675&lt;='Catatan &amp; Sumber'!$B$15,"Ketat",IF(J3675&lt;='Catatan &amp; Sumber'!$B$16,"Sedang","Relatif Longgar"))))</x:f>
        <x:v>Relatif Longgar</x:v>
      </x:c>
      <x:c r="N3675" s="66" t="str">
        <x:v>Tidak Ada</x:v>
      </x:c>
      <x:c r="O3675" s="66" t="str">
        <x:v>Kalimantan Selatan</x:v>
      </x:c>
      <x:c r="P3675" s="66" t="str">
        <x:v>Kota Banjarmasin</x:v>
      </x:c>
      <x:c r="Q3675" s="66" t="str">
        <x:v>https://snpmb.id/snbp/daya-tampung-snbp</x:v>
      </x:c>
      <x:c r="R3675" s="66" t="str">
        <x:v>https://sidatagrun-public-1076756628210.asia-southeast2.run.app/ptn_sn.php?ptn=536</x:v>
      </x:c>
    </x:row>
    <x:row r="3676">
      <x:c r="A3676" s="87"/>
      <x:c r="B3676" s="66" t="n">
        <x:v>536</x:v>
      </x:c>
      <x:c r="C3676" s="66" t="str">
        <x:v>POLITEKNIK NEGERI BANJARMASIN</x:v>
      </x:c>
      <x:c r="D3676" s="66" t="str">
        <x:v>PTN Vokasi</x:v>
      </x:c>
      <x:c r="E3676" s="66" t="str">
        <x:v>25362021</x:v>
      </x:c>
      <x:c r="F3676" s="66" t="str">
        <x:v>TEKNOLOGI REKAYASA PEMELIHARAAN ALAT BERAT</x:v>
      </x:c>
      <x:c r="G3676" s="66" t="str">
        <x:v>Sarjana Terapan</x:v>
      </x:c>
      <x:c r="H3676" s="87" t="n">
        <x:v>20</x:v>
      </x:c>
      <x:c r="I3676" s="87"/>
      <x:c r="J3676" s="68" t="str">
        <x:f>IFERROR(H3676/I3676,"")</x:f>
      </x:c>
      <x:c r="K3676" s="69" t="n">
        <x:f>IFERROR(I3676/H3676,"")</x:f>
        <x:v>0</x:v>
      </x:c>
      <x:c r="L3676" s="66" t="str">
        <x:f>IF(K3676="","","1 : "&amp;TEXT(K3676,"0.0"))</x:f>
      </x:c>
      <x:c r="M3676" s="66" t="str">
        <x:f>IF(J3676="","Baru/Tanpa Data",IF(J3676&lt;='Catatan &amp; Sumber'!$B$14,"Sangat Ketat",IF(J3676&lt;='Catatan &amp; Sumber'!$B$15,"Ketat",IF(J3676&lt;='Catatan &amp; Sumber'!$B$16,"Sedang","Relatif Longgar"))))</x:f>
        <x:v>Baru/Tanpa Data</x:v>
      </x:c>
      <x:c r="N3676" s="66" t="str">
        <x:v>Tidak Ada</x:v>
      </x:c>
      <x:c r="O3676" s="66" t="str">
        <x:v>Kalimantan Selatan</x:v>
      </x:c>
      <x:c r="P3676" s="66" t="str">
        <x:v>Kota Banjarmasin</x:v>
      </x:c>
      <x:c r="Q3676" s="66" t="str">
        <x:v>https://snpmb.id/snbp/daya-tampung-snbp</x:v>
      </x:c>
      <x:c r="R3676" s="66" t="str">
        <x:v>https://sidatagrun-public-1076756628210.asia-southeast2.run.app/ptn_sn.php?ptn=536</x:v>
      </x:c>
    </x:row>
    <x:row r="3677">
      <x:c r="A3677" s="87" t="n">
        <x:v>4646</x:v>
      </x:c>
      <x:c r="B3677" s="66" t="n">
        <x:v>536</x:v>
      </x:c>
      <x:c r="C3677" s="66" t="str">
        <x:v>POLITEKNIK NEGERI BANJARMASIN</x:v>
      </x:c>
      <x:c r="D3677" s="66" t="str">
        <x:v>PTN Vokasi</x:v>
      </x:c>
      <x:c r="E3677" s="66" t="str">
        <x:v>25363008</x:v>
      </x:c>
      <x:c r="F3677" s="66" t="str">
        <x:v>SISTEM INFORMASI AKUNTANSI</x:v>
      </x:c>
      <x:c r="G3677" s="66" t="str">
        <x:v>Diploma Tiga</x:v>
      </x:c>
      <x:c r="H3677" s="87" t="n">
        <x:v>24</x:v>
      </x:c>
      <x:c r="I3677" s="87" t="n">
        <x:v>13</x:v>
      </x:c>
      <x:c r="J3677" s="68" t="n">
        <x:f>IFERROR(H3677/I3677,"")</x:f>
        <x:v>1.8461538461538463</x:v>
      </x:c>
      <x:c r="K3677" s="69" t="n">
        <x:f>IFERROR(I3677/H3677,"")</x:f>
        <x:v>0.5416666666666666</x:v>
      </x:c>
      <x:c r="L3677" s="66" t="str">
        <x:f>IF(K3677="","","1 : "&amp;TEXT(K3677,"0.0"))</x:f>
        <x:v>1 : 0.5</x:v>
      </x:c>
      <x:c r="M3677" s="66" t="str">
        <x:f>IF(J3677="","Baru/Tanpa Data",IF(J3677&lt;='Catatan &amp; Sumber'!$B$14,"Sangat Ketat",IF(J3677&lt;='Catatan &amp; Sumber'!$B$15,"Ketat",IF(J3677&lt;='Catatan &amp; Sumber'!$B$16,"Sedang","Relatif Longgar"))))</x:f>
        <x:v>Relatif Longgar</x:v>
      </x:c>
      <x:c r="N3677" s="66" t="str">
        <x:v>Tidak Ada</x:v>
      </x:c>
      <x:c r="O3677" s="66" t="str">
        <x:v>Kalimantan Selatan</x:v>
      </x:c>
      <x:c r="P3677" s="66" t="str">
        <x:v>Kota Banjarmasin</x:v>
      </x:c>
      <x:c r="Q3677" s="66" t="str">
        <x:v>https://snpmb.id/snbp/daya-tampung-snbp</x:v>
      </x:c>
      <x:c r="R3677" s="66" t="str">
        <x:v>https://sidatagrun-public-1076756628210.asia-southeast2.run.app/ptn_sn.php?ptn=536</x:v>
      </x:c>
    </x:row>
    <x:row r="3678">
      <x:c r="A3678" s="87" t="n">
        <x:v>4266</x:v>
      </x:c>
      <x:c r="B3678" s="66" t="n">
        <x:v>536</x:v>
      </x:c>
      <x:c r="C3678" s="66" t="str">
        <x:v>POLITEKNIK NEGERI BANJARMASIN</x:v>
      </x:c>
      <x:c r="D3678" s="66" t="str">
        <x:v>PTN Vokasi</x:v>
      </x:c>
      <x:c r="E3678" s="66" t="str">
        <x:v>25363009</x:v>
      </x:c>
      <x:c r="F3678" s="66" t="str">
        <x:v>TEKNIK LISTRIK</x:v>
      </x:c>
      <x:c r="G3678" s="66" t="str">
        <x:v>Diploma Tiga</x:v>
      </x:c>
      <x:c r="H3678" s="87" t="n">
        <x:v>48</x:v>
      </x:c>
      <x:c r="I3678" s="87" t="n">
        <x:v>52</x:v>
      </x:c>
      <x:c r="J3678" s="68" t="n">
        <x:f>IFERROR(H3678/I3678,"")</x:f>
        <x:v>0.9230769230769231</x:v>
      </x:c>
      <x:c r="K3678" s="69" t="n">
        <x:f>IFERROR(I3678/H3678,"")</x:f>
        <x:v>1.0833333333333333</x:v>
      </x:c>
      <x:c r="L3678" s="66" t="str">
        <x:f>IF(K3678="","","1 : "&amp;TEXT(K3678,"0.0"))</x:f>
        <x:v>1 : 1.1</x:v>
      </x:c>
      <x:c r="M3678" s="66" t="str">
        <x:f>IF(J3678="","Baru/Tanpa Data",IF(J3678&lt;='Catatan &amp; Sumber'!$B$14,"Sangat Ketat",IF(J3678&lt;='Catatan &amp; Sumber'!$B$15,"Ketat",IF(J3678&lt;='Catatan &amp; Sumber'!$B$16,"Sedang","Relatif Longgar"))))</x:f>
        <x:v>Relatif Longgar</x:v>
      </x:c>
      <x:c r="N3678" s="66" t="str">
        <x:v>Tidak Ada</x:v>
      </x:c>
      <x:c r="O3678" s="66" t="str">
        <x:v>Kalimantan Selatan</x:v>
      </x:c>
      <x:c r="P3678" s="66" t="str">
        <x:v>Kota Banjarmasin</x:v>
      </x:c>
      <x:c r="Q3678" s="66" t="str">
        <x:v>https://snpmb.id/snbp/daya-tampung-snbp</x:v>
      </x:c>
      <x:c r="R3678" s="66" t="str">
        <x:v>https://sidatagrun-public-1076756628210.asia-southeast2.run.app/ptn_sn.php?ptn=536</x:v>
      </x:c>
    </x:row>
    <x:row r="3679">
      <x:c r="A3679" s="87" t="n">
        <x:v>4456</x:v>
      </x:c>
      <x:c r="B3679" s="66" t="n">
        <x:v>536</x:v>
      </x:c>
      <x:c r="C3679" s="66" t="str">
        <x:v>POLITEKNIK NEGERI BANJARMASIN</x:v>
      </x:c>
      <x:c r="D3679" s="66" t="str">
        <x:v>PTN Vokasi</x:v>
      </x:c>
      <x:c r="E3679" s="66" t="str">
        <x:v>25363010</x:v>
      </x:c>
      <x:c r="F3679" s="66" t="str">
        <x:v>SISTEM INFORMASI</x:v>
      </x:c>
      <x:c r="G3679" s="66" t="str">
        <x:v>Diploma Tiga</x:v>
      </x:c>
      <x:c r="H3679" s="87" t="n">
        <x:v>60</x:v>
      </x:c>
      <x:c r="I3679" s="87" t="n">
        <x:v>49</x:v>
      </x:c>
      <x:c r="J3679" s="68" t="n">
        <x:f>IFERROR(H3679/I3679,"")</x:f>
        <x:v>1.2244897959183674</x:v>
      </x:c>
      <x:c r="K3679" s="69" t="n">
        <x:f>IFERROR(I3679/H3679,"")</x:f>
        <x:v>0.8166666666666667</x:v>
      </x:c>
      <x:c r="L3679" s="66" t="str">
        <x:f>IF(K3679="","","1 : "&amp;TEXT(K3679,"0.0"))</x:f>
        <x:v>1 : 0.8</x:v>
      </x:c>
      <x:c r="M3679" s="66" t="str">
        <x:f>IF(J3679="","Baru/Tanpa Data",IF(J3679&lt;='Catatan &amp; Sumber'!$B$14,"Sangat Ketat",IF(J3679&lt;='Catatan &amp; Sumber'!$B$15,"Ketat",IF(J3679&lt;='Catatan &amp; Sumber'!$B$16,"Sedang","Relatif Longgar"))))</x:f>
        <x:v>Relatif Longgar</x:v>
      </x:c>
      <x:c r="N3679" s="66" t="str">
        <x:v>Tidak Ada</x:v>
      </x:c>
      <x:c r="O3679" s="66" t="str">
        <x:v>Kalimantan Selatan</x:v>
      </x:c>
      <x:c r="P3679" s="66" t="str">
        <x:v>Kota Banjarmasin</x:v>
      </x:c>
      <x:c r="Q3679" s="66" t="str">
        <x:v>https://snpmb.id/snbp/daya-tampung-snbp</x:v>
      </x:c>
      <x:c r="R3679" s="66" t="str">
        <x:v>https://sidatagrun-public-1076756628210.asia-southeast2.run.app/ptn_sn.php?ptn=536</x:v>
      </x:c>
    </x:row>
    <x:row r="3680">
      <x:c r="A3680" s="87" t="n">
        <x:v>3581</x:v>
      </x:c>
      <x:c r="B3680" s="66" t="n">
        <x:v>536</x:v>
      </x:c>
      <x:c r="C3680" s="66" t="str">
        <x:v>POLITEKNIK NEGERI BANJARMASIN</x:v>
      </x:c>
      <x:c r="D3680" s="66" t="str">
        <x:v>PTN Vokasi</x:v>
      </x:c>
      <x:c r="E3680" s="66" t="str">
        <x:v>25363011</x:v>
      </x:c>
      <x:c r="F3680" s="66" t="str">
        <x:v>ADMINISTRASI BISNIS</x:v>
      </x:c>
      <x:c r="G3680" s="66" t="str">
        <x:v>Diploma Tiga</x:v>
      </x:c>
      <x:c r="H3680" s="87" t="n">
        <x:v>72</x:v>
      </x:c>
      <x:c r="I3680" s="87" t="n">
        <x:v>155</x:v>
      </x:c>
      <x:c r="J3680" s="68" t="n">
        <x:f>IFERROR(H3680/I3680,"")</x:f>
        <x:v>0.4645161290322581</x:v>
      </x:c>
      <x:c r="K3680" s="69" t="n">
        <x:f>IFERROR(I3680/H3680,"")</x:f>
        <x:v>2.1527777777777777</x:v>
      </x:c>
      <x:c r="L3680" s="66" t="str">
        <x:f>IF(K3680="","","1 : "&amp;TEXT(K3680,"0.0"))</x:f>
        <x:v>1 : 2.2</x:v>
      </x:c>
      <x:c r="M3680" s="66" t="str">
        <x:f>IF(J3680="","Baru/Tanpa Data",IF(J3680&lt;='Catatan &amp; Sumber'!$B$14,"Sangat Ketat",IF(J3680&lt;='Catatan &amp; Sumber'!$B$15,"Ketat",IF(J3680&lt;='Catatan &amp; Sumber'!$B$16,"Sedang","Relatif Longgar"))))</x:f>
        <x:v>Relatif Longgar</x:v>
      </x:c>
      <x:c r="N3680" s="66" t="str">
        <x:v>Tidak Ada</x:v>
      </x:c>
      <x:c r="O3680" s="66" t="str">
        <x:v>Kalimantan Selatan</x:v>
      </x:c>
      <x:c r="P3680" s="66" t="str">
        <x:v>Kota Banjarmasin</x:v>
      </x:c>
      <x:c r="Q3680" s="66" t="str">
        <x:v>https://snpmb.id/snbp/daya-tampung-snbp</x:v>
      </x:c>
      <x:c r="R3680" s="66" t="str">
        <x:v>https://sidatagrun-public-1076756628210.asia-southeast2.run.app/ptn_sn.php?ptn=536</x:v>
      </x:c>
    </x:row>
    <x:row r="3681">
      <x:c r="A3681" s="87" t="n">
        <x:v>3780</x:v>
      </x:c>
      <x:c r="B3681" s="66" t="n">
        <x:v>536</x:v>
      </x:c>
      <x:c r="C3681" s="66" t="str">
        <x:v>POLITEKNIK NEGERI BANJARMASIN</x:v>
      </x:c>
      <x:c r="D3681" s="66" t="str">
        <x:v>PTN Vokasi</x:v>
      </x:c>
      <x:c r="E3681" s="66" t="str">
        <x:v>25363012</x:v>
      </x:c>
      <x:c r="F3681" s="66" t="str">
        <x:v>TEKNIK MESIN</x:v>
      </x:c>
      <x:c r="G3681" s="66" t="str">
        <x:v>Diploma Tiga</x:v>
      </x:c>
      <x:c r="H3681" s="87" t="n">
        <x:v>36</x:v>
      </x:c>
      <x:c r="I3681" s="87" t="n">
        <x:v>64</x:v>
      </x:c>
      <x:c r="J3681" s="68" t="n">
        <x:f>IFERROR(H3681/I3681,"")</x:f>
        <x:v>0.5625</x:v>
      </x:c>
      <x:c r="K3681" s="69" t="n">
        <x:f>IFERROR(I3681/H3681,"")</x:f>
        <x:v>1.7777777777777777</x:v>
      </x:c>
      <x:c r="L3681" s="66" t="str">
        <x:f>IF(K3681="","","1 : "&amp;TEXT(K3681,"0.0"))</x:f>
        <x:v>1 : 1.8</x:v>
      </x:c>
      <x:c r="M3681" s="66" t="str">
        <x:f>IF(J3681="","Baru/Tanpa Data",IF(J3681&lt;='Catatan &amp; Sumber'!$B$14,"Sangat Ketat",IF(J3681&lt;='Catatan &amp; Sumber'!$B$15,"Ketat",IF(J3681&lt;='Catatan &amp; Sumber'!$B$16,"Sedang","Relatif Longgar"))))</x:f>
        <x:v>Relatif Longgar</x:v>
      </x:c>
      <x:c r="N3681" s="66" t="str">
        <x:v>Tidak Ada</x:v>
      </x:c>
      <x:c r="O3681" s="66" t="str">
        <x:v>Kalimantan Selatan</x:v>
      </x:c>
      <x:c r="P3681" s="66" t="str">
        <x:v>Kota Banjarmasin</x:v>
      </x:c>
      <x:c r="Q3681" s="66" t="str">
        <x:v>https://snpmb.id/snbp/daya-tampung-snbp</x:v>
      </x:c>
      <x:c r="R3681" s="66" t="str">
        <x:v>https://sidatagrun-public-1076756628210.asia-southeast2.run.app/ptn_sn.php?ptn=536</x:v>
      </x:c>
    </x:row>
    <x:row r="3682">
      <x:c r="A3682" s="87" t="n">
        <x:v>3625</x:v>
      </x:c>
      <x:c r="B3682" s="66" t="n">
        <x:v>536</x:v>
      </x:c>
      <x:c r="C3682" s="66" t="str">
        <x:v>POLITEKNIK NEGERI BANJARMASIN</x:v>
      </x:c>
      <x:c r="D3682" s="66" t="str">
        <x:v>PTN Vokasi</x:v>
      </x:c>
      <x:c r="E3682" s="66" t="str">
        <x:v>25363014</x:v>
      </x:c>
      <x:c r="F3682" s="66" t="str">
        <x:v>AKUNTANSI</x:v>
      </x:c>
      <x:c r="G3682" s="66" t="str">
        <x:v>Diploma Tiga</x:v>
      </x:c>
      <x:c r="H3682" s="87" t="n">
        <x:v>36</x:v>
      </x:c>
      <x:c r="I3682" s="87" t="n">
        <x:v>75</x:v>
      </x:c>
      <x:c r="J3682" s="68" t="n">
        <x:f>IFERROR(H3682/I3682,"")</x:f>
        <x:v>0.48</x:v>
      </x:c>
      <x:c r="K3682" s="69" t="n">
        <x:f>IFERROR(I3682/H3682,"")</x:f>
        <x:v>2.0833333333333335</x:v>
      </x:c>
      <x:c r="L3682" s="66" t="str">
        <x:f>IF(K3682="","","1 : "&amp;TEXT(K3682,"0.0"))</x:f>
        <x:v>1 : 2.1</x:v>
      </x:c>
      <x:c r="M3682" s="66" t="str">
        <x:f>IF(J3682="","Baru/Tanpa Data",IF(J3682&lt;='Catatan &amp; Sumber'!$B$14,"Sangat Ketat",IF(J3682&lt;='Catatan &amp; Sumber'!$B$15,"Ketat",IF(J3682&lt;='Catatan &amp; Sumber'!$B$16,"Sedang","Relatif Longgar"))))</x:f>
        <x:v>Relatif Longgar</x:v>
      </x:c>
      <x:c r="N3682" s="66" t="str">
        <x:v>Tidak Ada</x:v>
      </x:c>
      <x:c r="O3682" s="66" t="str">
        <x:v>Kalimantan Selatan</x:v>
      </x:c>
      <x:c r="P3682" s="66" t="str">
        <x:v>Kota Banjarmasin</x:v>
      </x:c>
      <x:c r="Q3682" s="66" t="str">
        <x:v>https://snpmb.id/snbp/daya-tampung-snbp</x:v>
      </x:c>
      <x:c r="R3682" s="66" t="str">
        <x:v>https://sidatagrun-public-1076756628210.asia-southeast2.run.app/ptn_sn.php?ptn=536</x:v>
      </x:c>
    </x:row>
    <x:row r="3683">
      <x:c r="A3683" s="87" t="n">
        <x:v>3762</x:v>
      </x:c>
      <x:c r="B3683" s="66" t="n">
        <x:v>536</x:v>
      </x:c>
      <x:c r="C3683" s="66" t="str">
        <x:v>POLITEKNIK NEGERI BANJARMASIN</x:v>
      </x:c>
      <x:c r="D3683" s="66" t="str">
        <x:v>PTN Vokasi</x:v>
      </x:c>
      <x:c r="E3683" s="66" t="str">
        <x:v>25363015</x:v>
      </x:c>
      <x:c r="F3683" s="66" t="str">
        <x:v>TEKNIK SIPIL</x:v>
      </x:c>
      <x:c r="G3683" s="66" t="str">
        <x:v>Diploma Tiga</x:v>
      </x:c>
      <x:c r="H3683" s="87" t="n">
        <x:v>60</x:v>
      </x:c>
      <x:c r="I3683" s="87" t="n">
        <x:v>109</x:v>
      </x:c>
      <x:c r="J3683" s="68" t="n">
        <x:f>IFERROR(H3683/I3683,"")</x:f>
        <x:v>0.5504587155963303</x:v>
      </x:c>
      <x:c r="K3683" s="69" t="n">
        <x:f>IFERROR(I3683/H3683,"")</x:f>
        <x:v>1.8166666666666667</x:v>
      </x:c>
      <x:c r="L3683" s="66" t="str">
        <x:f>IF(K3683="","","1 : "&amp;TEXT(K3683,"0.0"))</x:f>
        <x:v>1 : 1.8</x:v>
      </x:c>
      <x:c r="M3683" s="66" t="str">
        <x:f>IF(J3683="","Baru/Tanpa Data",IF(J3683&lt;='Catatan &amp; Sumber'!$B$14,"Sangat Ketat",IF(J3683&lt;='Catatan &amp; Sumber'!$B$15,"Ketat",IF(J3683&lt;='Catatan &amp; Sumber'!$B$16,"Sedang","Relatif Longgar"))))</x:f>
        <x:v>Relatif Longgar</x:v>
      </x:c>
      <x:c r="N3683" s="66" t="str">
        <x:v>Tidak Ada</x:v>
      </x:c>
      <x:c r="O3683" s="66" t="str">
        <x:v>Kalimantan Selatan</x:v>
      </x:c>
      <x:c r="P3683" s="66" t="str">
        <x:v>Kota Banjarmasin</x:v>
      </x:c>
      <x:c r="Q3683" s="66" t="str">
        <x:v>https://snpmb.id/snbp/daya-tampung-snbp</x:v>
      </x:c>
      <x:c r="R3683" s="66" t="str">
        <x:v>https://sidatagrun-public-1076756628210.asia-southeast2.run.app/ptn_sn.php?ptn=536</x:v>
      </x:c>
    </x:row>
    <x:row r="3684">
      <x:c r="A3684" s="87" t="n">
        <x:v>2996</x:v>
      </x:c>
      <x:c r="B3684" s="66" t="n">
        <x:v>536</x:v>
      </x:c>
      <x:c r="C3684" s="66" t="str">
        <x:v>POLITEKNIK NEGERI BANJARMASIN</x:v>
      </x:c>
      <x:c r="D3684" s="66" t="str">
        <x:v>PTN Vokasi</x:v>
      </x:c>
      <x:c r="E3684" s="66" t="str">
        <x:v>25363016</x:v>
      </x:c>
      <x:c r="F3684" s="66" t="str">
        <x:v>TEKNIK PERTAMBANGAN</x:v>
      </x:c>
      <x:c r="G3684" s="66" t="str">
        <x:v>Diploma Tiga</x:v>
      </x:c>
      <x:c r="H3684" s="87" t="n">
        <x:v>72</x:v>
      </x:c>
      <x:c r="I3684" s="87" t="n">
        <x:v>246</x:v>
      </x:c>
      <x:c r="J3684" s="68" t="n">
        <x:f>IFERROR(H3684/I3684,"")</x:f>
        <x:v>0.2926829268292683</x:v>
      </x:c>
      <x:c r="K3684" s="69" t="n">
        <x:f>IFERROR(I3684/H3684,"")</x:f>
        <x:v>3.4166666666666665</x:v>
      </x:c>
      <x:c r="L3684" s="66" t="str">
        <x:f>IF(K3684="","","1 : "&amp;TEXT(K3684,"0.0"))</x:f>
        <x:v>1 : 3.4</x:v>
      </x:c>
      <x:c r="M3684" s="66" t="str">
        <x:f>IF(J3684="","Baru/Tanpa Data",IF(J3684&lt;='Catatan &amp; Sumber'!$B$14,"Sangat Ketat",IF(J3684&lt;='Catatan &amp; Sumber'!$B$15,"Ketat",IF(J3684&lt;='Catatan &amp; Sumber'!$B$16,"Sedang","Relatif Longgar"))))</x:f>
        <x:v>Relatif Longgar</x:v>
      </x:c>
      <x:c r="N3684" s="66" t="str">
        <x:v>Tidak Ada</x:v>
      </x:c>
      <x:c r="O3684" s="66" t="str">
        <x:v>Kalimantan Selatan</x:v>
      </x:c>
      <x:c r="P3684" s="66" t="str">
        <x:v>Kota Banjarmasin</x:v>
      </x:c>
      <x:c r="Q3684" s="66" t="str">
        <x:v>https://snpmb.id/snbp/daya-tampung-snbp</x:v>
      </x:c>
      <x:c r="R3684" s="66" t="str">
        <x:v>https://sidatagrun-public-1076756628210.asia-southeast2.run.app/ptn_sn.php?ptn=536</x:v>
      </x:c>
    </x:row>
    <x:row r="3685">
      <x:c r="A3685" s="87" t="n">
        <x:v>2829</x:v>
      </x:c>
      <x:c r="B3685" s="66" t="n">
        <x:v>536</x:v>
      </x:c>
      <x:c r="C3685" s="66" t="str">
        <x:v>POLITEKNIK NEGERI BANJARMASIN</x:v>
      </x:c>
      <x:c r="D3685" s="66" t="str">
        <x:v>PTN Vokasi</x:v>
      </x:c>
      <x:c r="E3685" s="66" t="str">
        <x:v>25363017</x:v>
      </x:c>
      <x:c r="F3685" s="66" t="str">
        <x:v>ALAT BERAT</x:v>
      </x:c>
      <x:c r="G3685" s="66" t="str">
        <x:v>Diploma Tiga</x:v>
      </x:c>
      <x:c r="H3685" s="87" t="n">
        <x:v>25</x:v>
      </x:c>
      <x:c r="I3685" s="87" t="n">
        <x:v>95</x:v>
      </x:c>
      <x:c r="J3685" s="68" t="n">
        <x:f>IFERROR(H3685/I3685,"")</x:f>
        <x:v>0.2631578947368421</x:v>
      </x:c>
      <x:c r="K3685" s="69" t="n">
        <x:f>IFERROR(I3685/H3685,"")</x:f>
        <x:v>3.8</x:v>
      </x:c>
      <x:c r="L3685" s="66" t="str">
        <x:f>IF(K3685="","","1 : "&amp;TEXT(K3685,"0.0"))</x:f>
        <x:v>1 : 3.8</x:v>
      </x:c>
      <x:c r="M3685" s="66" t="str">
        <x:f>IF(J3685="","Baru/Tanpa Data",IF(J3685&lt;='Catatan &amp; Sumber'!$B$14,"Sangat Ketat",IF(J3685&lt;='Catatan &amp; Sumber'!$B$15,"Ketat",IF(J3685&lt;='Catatan &amp; Sumber'!$B$16,"Sedang","Relatif Longgar"))))</x:f>
        <x:v>Relatif Longgar</x:v>
      </x:c>
      <x:c r="N3685" s="66" t="str">
        <x:v>Tidak Ada</x:v>
      </x:c>
      <x:c r="O3685" s="66" t="str">
        <x:v>Kalimantan Selatan</x:v>
      </x:c>
      <x:c r="P3685" s="66" t="str">
        <x:v>Kota Banjarmasin</x:v>
      </x:c>
      <x:c r="Q3685" s="66" t="str">
        <x:v>https://snpmb.id/snbp/daya-tampung-snbp</x:v>
      </x:c>
      <x:c r="R3685" s="66" t="str">
        <x:v>https://sidatagrun-public-1076756628210.asia-southeast2.run.app/ptn_sn.php?ptn=536</x:v>
      </x:c>
    </x:row>
    <x:row r="3686">
      <x:c r="A3686" s="87" t="n">
        <x:v>3635</x:v>
      </x:c>
      <x:c r="B3686" s="66" t="n">
        <x:v>536</x:v>
      </x:c>
      <x:c r="C3686" s="66" t="str">
        <x:v>POLITEKNIK NEGERI BANJARMASIN</x:v>
      </x:c>
      <x:c r="D3686" s="66" t="str">
        <x:v>PTN Vokasi</x:v>
      </x:c>
      <x:c r="E3686" s="66" t="str">
        <x:v>25363018</x:v>
      </x:c>
      <x:c r="F3686" s="66" t="str">
        <x:v>TEKNIK INFORMATIKA</x:v>
      </x:c>
      <x:c r="G3686" s="66" t="str">
        <x:v>Diploma Tiga</x:v>
      </x:c>
      <x:c r="H3686" s="87" t="n">
        <x:v>60</x:v>
      </x:c>
      <x:c r="I3686" s="87" t="n">
        <x:v>124</x:v>
      </x:c>
      <x:c r="J3686" s="68" t="n">
        <x:f>IFERROR(H3686/I3686,"")</x:f>
        <x:v>0.4838709677419355</x:v>
      </x:c>
      <x:c r="K3686" s="69" t="n">
        <x:f>IFERROR(I3686/H3686,"")</x:f>
        <x:v>2.066666666666667</x:v>
      </x:c>
      <x:c r="L3686" s="66" t="str">
        <x:f>IF(K3686="","","1 : "&amp;TEXT(K3686,"0.0"))</x:f>
        <x:v>1 : 2.1</x:v>
      </x:c>
      <x:c r="M3686" s="66" t="str">
        <x:f>IF(J3686="","Baru/Tanpa Data",IF(J3686&lt;='Catatan &amp; Sumber'!$B$14,"Sangat Ketat",IF(J3686&lt;='Catatan &amp; Sumber'!$B$15,"Ketat",IF(J3686&lt;='Catatan &amp; Sumber'!$B$16,"Sedang","Relatif Longgar"))))</x:f>
        <x:v>Relatif Longgar</x:v>
      </x:c>
      <x:c r="N3686" s="66" t="str">
        <x:v>Tidak Ada</x:v>
      </x:c>
      <x:c r="O3686" s="66" t="str">
        <x:v>Kalimantan Selatan</x:v>
      </x:c>
      <x:c r="P3686" s="66" t="str">
        <x:v>Kota Banjarmasin</x:v>
      </x:c>
      <x:c r="Q3686" s="66" t="str">
        <x:v>https://snpmb.id/snbp/daya-tampung-snbp</x:v>
      </x:c>
      <x:c r="R3686" s="66" t="str">
        <x:v>https://sidatagrun-public-1076756628210.asia-southeast2.run.app/ptn_sn.php?ptn=536</x:v>
      </x:c>
    </x:row>
    <x:row r="3687">
      <x:c r="A3687" s="87" t="n">
        <x:v>4228</x:v>
      </x:c>
      <x:c r="B3687" s="66" t="n">
        <x:v>536</x:v>
      </x:c>
      <x:c r="C3687" s="66" t="str">
        <x:v>POLITEKNIK NEGERI BANJARMASIN</x:v>
      </x:c>
      <x:c r="D3687" s="66" t="str">
        <x:v>PTN Vokasi</x:v>
      </x:c>
      <x:c r="E3687" s="66" t="str">
        <x:v>25363019</x:v>
      </x:c>
      <x:c r="F3687" s="66" t="str">
        <x:v>ELEKTRONIKA</x:v>
      </x:c>
      <x:c r="G3687" s="66" t="str">
        <x:v>Diploma Tiga</x:v>
      </x:c>
      <x:c r="H3687" s="87" t="n">
        <x:v>24</x:v>
      </x:c>
      <x:c r="I3687" s="87" t="n">
        <x:v>27</x:v>
      </x:c>
      <x:c r="J3687" s="68" t="n">
        <x:f>IFERROR(H3687/I3687,"")</x:f>
        <x:v>0.8888888888888888</x:v>
      </x:c>
      <x:c r="K3687" s="69" t="n">
        <x:f>IFERROR(I3687/H3687,"")</x:f>
        <x:v>1.125</x:v>
      </x:c>
      <x:c r="L3687" s="66" t="str">
        <x:f>IF(K3687="","","1 : "&amp;TEXT(K3687,"0.0"))</x:f>
        <x:v>1 : 1.1</x:v>
      </x:c>
      <x:c r="M3687" s="66" t="str">
        <x:f>IF(J3687="","Baru/Tanpa Data",IF(J3687&lt;='Catatan &amp; Sumber'!$B$14,"Sangat Ketat",IF(J3687&lt;='Catatan &amp; Sumber'!$B$15,"Ketat",IF(J3687&lt;='Catatan &amp; Sumber'!$B$16,"Sedang","Relatif Longgar"))))</x:f>
        <x:v>Relatif Longgar</x:v>
      </x:c>
      <x:c r="N3687" s="66" t="str">
        <x:v>Tidak Ada</x:v>
      </x:c>
      <x:c r="O3687" s="66" t="str">
        <x:v>Kalimantan Selatan</x:v>
      </x:c>
      <x:c r="P3687" s="66" t="str">
        <x:v>Kota Banjarmasin</x:v>
      </x:c>
      <x:c r="Q3687" s="66" t="str">
        <x:v>https://snpmb.id/snbp/daya-tampung-snbp</x:v>
      </x:c>
      <x:c r="R3687" s="66" t="str">
        <x:v>https://sidatagrun-public-1076756628210.asia-southeast2.run.app/ptn_sn.php?ptn=536</x:v>
      </x:c>
    </x:row>
    <x:row r="3688">
      <x:c r="A3688" s="87" t="n">
        <x:v>3654</x:v>
      </x:c>
      <x:c r="B3688" s="66" t="n">
        <x:v>537</x:v>
      </x:c>
      <x:c r="C3688" s="66" t="str">
        <x:v>POLITEKNIK NEGERI TANAH LAUT</x:v>
      </x:c>
      <x:c r="D3688" s="66" t="str">
        <x:v>PTN Vokasi</x:v>
      </x:c>
      <x:c r="E3688" s="66" t="str">
        <x:v>25372001</x:v>
      </x:c>
      <x:c r="F3688" s="66" t="str">
        <x:v>TEKNOLOGI REKAYASA KOMPUTER JARINGAN</x:v>
      </x:c>
      <x:c r="G3688" s="66" t="str">
        <x:v>Sarjana Terapan</x:v>
      </x:c>
      <x:c r="H3688" s="87" t="n">
        <x:v>32</x:v>
      </x:c>
      <x:c r="I3688" s="87" t="n">
        <x:v>64</x:v>
      </x:c>
      <x:c r="J3688" s="68" t="n">
        <x:f>IFERROR(H3688/I3688,"")</x:f>
        <x:v>0.5</x:v>
      </x:c>
      <x:c r="K3688" s="69" t="n">
        <x:f>IFERROR(I3688/H3688,"")</x:f>
        <x:v>2</x:v>
      </x:c>
      <x:c r="L3688" s="66" t="str">
        <x:f>IF(K3688="","","1 : "&amp;TEXT(K3688,"0.0"))</x:f>
        <x:v>1 : 2.0</x:v>
      </x:c>
      <x:c r="M3688" s="66" t="str">
        <x:f>IF(J3688="","Baru/Tanpa Data",IF(J3688&lt;='Catatan &amp; Sumber'!$B$14,"Sangat Ketat",IF(J3688&lt;='Catatan &amp; Sumber'!$B$15,"Ketat",IF(J3688&lt;='Catatan &amp; Sumber'!$B$16,"Sedang","Relatif Longgar"))))</x:f>
        <x:v>Relatif Longgar</x:v>
      </x:c>
      <x:c r="N3688" s="66" t="str">
        <x:v>Tidak Ada</x:v>
      </x:c>
      <x:c r="O3688" s="66" t="str">
        <x:v>Kalimantan Selatan</x:v>
      </x:c>
      <x:c r="P3688" s="66" t="str">
        <x:v>Kabupaten Tanah Laut</x:v>
      </x:c>
      <x:c r="Q3688" s="66" t="str">
        <x:v>https://snpmb.id/snbp/daya-tampung-snbp</x:v>
      </x:c>
      <x:c r="R3688" s="66" t="str">
        <x:v>https://sidatagrun-public-1076756628210.asia-southeast2.run.app/ptn_sn.php?ptn=537</x:v>
      </x:c>
    </x:row>
    <x:row r="3689">
      <x:c r="A3689" s="87" t="n">
        <x:v>4297</x:v>
      </x:c>
      <x:c r="B3689" s="66" t="n">
        <x:v>537</x:v>
      </x:c>
      <x:c r="C3689" s="66" t="str">
        <x:v>POLITEKNIK NEGERI TANAH LAUT</x:v>
      </x:c>
      <x:c r="D3689" s="66" t="str">
        <x:v>PTN Vokasi</x:v>
      </x:c>
      <x:c r="E3689" s="66" t="str">
        <x:v>25372002</x:v>
      </x:c>
      <x:c r="F3689" s="66" t="str">
        <x:v>TEKNOLOGI REKAYASA KONSTRUKSI JALAN DAN JEMBATAN</x:v>
      </x:c>
      <x:c r="G3689" s="66" t="str">
        <x:v>Sarjana Terapan</x:v>
      </x:c>
      <x:c r="H3689" s="87" t="n">
        <x:v>27</x:v>
      </x:c>
      <x:c r="I3689" s="87" t="n">
        <x:v>28</x:v>
      </x:c>
      <x:c r="J3689" s="68" t="n">
        <x:f>IFERROR(H3689/I3689,"")</x:f>
        <x:v>0.9642857142857143</x:v>
      </x:c>
      <x:c r="K3689" s="69" t="n">
        <x:f>IFERROR(I3689/H3689,"")</x:f>
        <x:v>1.037037037037037</x:v>
      </x:c>
      <x:c r="L3689" s="66" t="str">
        <x:f>IF(K3689="","","1 : "&amp;TEXT(K3689,"0.0"))</x:f>
        <x:v>1 : 1.0</x:v>
      </x:c>
      <x:c r="M3689" s="66" t="str">
        <x:f>IF(J3689="","Baru/Tanpa Data",IF(J3689&lt;='Catatan &amp; Sumber'!$B$14,"Sangat Ketat",IF(J3689&lt;='Catatan &amp; Sumber'!$B$15,"Ketat",IF(J3689&lt;='Catatan &amp; Sumber'!$B$16,"Sedang","Relatif Longgar"))))</x:f>
        <x:v>Relatif Longgar</x:v>
      </x:c>
      <x:c r="N3689" s="66" t="str">
        <x:v>Tidak Ada</x:v>
      </x:c>
      <x:c r="O3689" s="66" t="str">
        <x:v>Kalimantan Selatan</x:v>
      </x:c>
      <x:c r="P3689" s="66" t="str">
        <x:v>Kabupaten Tanah Laut</x:v>
      </x:c>
      <x:c r="Q3689" s="66" t="str">
        <x:v>https://snpmb.id/snbp/daya-tampung-snbp</x:v>
      </x:c>
      <x:c r="R3689" s="66" t="str">
        <x:v>https://sidatagrun-public-1076756628210.asia-southeast2.run.app/ptn_sn.php?ptn=537</x:v>
      </x:c>
    </x:row>
    <x:row r="3690">
      <x:c r="A3690" s="87" t="n">
        <x:v>4305</x:v>
      </x:c>
      <x:c r="B3690" s="66" t="n">
        <x:v>537</x:v>
      </x:c>
      <x:c r="C3690" s="66" t="str">
        <x:v>POLITEKNIK NEGERI TANAH LAUT</x:v>
      </x:c>
      <x:c r="D3690" s="66" t="str">
        <x:v>PTN Vokasi</x:v>
      </x:c>
      <x:c r="E3690" s="66" t="str">
        <x:v>25372003</x:v>
      </x:c>
      <x:c r="F3690" s="66" t="str">
        <x:v>TEKNOLOGI PAKAN TERNAK</x:v>
      </x:c>
      <x:c r="G3690" s="66" t="str">
        <x:v>Sarjana Terapan</x:v>
      </x:c>
      <x:c r="H3690" s="87" t="n">
        <x:v>21</x:v>
      </x:c>
      <x:c r="I3690" s="87" t="n">
        <x:v>21</x:v>
      </x:c>
      <x:c r="J3690" s="68" t="n">
        <x:f>IFERROR(H3690/I3690,"")</x:f>
        <x:v>1</x:v>
      </x:c>
      <x:c r="K3690" s="69" t="n">
        <x:f>IFERROR(I3690/H3690,"")</x:f>
        <x:v>1</x:v>
      </x:c>
      <x:c r="L3690" s="66" t="str">
        <x:f>IF(K3690="","","1 : "&amp;TEXT(K3690,"0.0"))</x:f>
        <x:v>1 : 1.0</x:v>
      </x:c>
      <x:c r="M3690" s="66" t="str">
        <x:f>IF(J3690="","Baru/Tanpa Data",IF(J3690&lt;='Catatan &amp; Sumber'!$B$14,"Sangat Ketat",IF(J3690&lt;='Catatan &amp; Sumber'!$B$15,"Ketat",IF(J3690&lt;='Catatan &amp; Sumber'!$B$16,"Sedang","Relatif Longgar"))))</x:f>
        <x:v>Relatif Longgar</x:v>
      </x:c>
      <x:c r="N3690" s="66" t="str">
        <x:v>Tidak Ada</x:v>
      </x:c>
      <x:c r="O3690" s="66" t="str">
        <x:v>Kalimantan Selatan</x:v>
      </x:c>
      <x:c r="P3690" s="66" t="str">
        <x:v>Kabupaten Tanah Laut</x:v>
      </x:c>
      <x:c r="Q3690" s="66" t="str">
        <x:v>https://snpmb.id/snbp/daya-tampung-snbp</x:v>
      </x:c>
      <x:c r="R3690" s="66" t="str">
        <x:v>https://sidatagrun-public-1076756628210.asia-southeast2.run.app/ptn_sn.php?ptn=537</x:v>
      </x:c>
    </x:row>
    <x:row r="3691">
      <x:c r="A3691" s="87" t="n">
        <x:v>3686</x:v>
      </x:c>
      <x:c r="B3691" s="66" t="n">
        <x:v>537</x:v>
      </x:c>
      <x:c r="C3691" s="66" t="str">
        <x:v>POLITEKNIK NEGERI TANAH LAUT</x:v>
      </x:c>
      <x:c r="D3691" s="66" t="str">
        <x:v>PTN Vokasi</x:v>
      </x:c>
      <x:c r="E3691" s="66" t="str">
        <x:v>25372008</x:v>
      </x:c>
      <x:c r="F3691" s="66" t="str">
        <x:v>TEKNOLOGI REKAYASA PEMELIHARAAN ALAT BERAT</x:v>
      </x:c>
      <x:c r="G3691" s="66" t="str">
        <x:v>Sarjana Terapan</x:v>
      </x:c>
      <x:c r="H3691" s="87" t="n">
        <x:v>23</x:v>
      </x:c>
      <x:c r="I3691" s="87" t="n">
        <x:v>45</x:v>
      </x:c>
      <x:c r="J3691" s="68" t="n">
        <x:f>IFERROR(H3691/I3691,"")</x:f>
        <x:v>0.5111111111111111</x:v>
      </x:c>
      <x:c r="K3691" s="69" t="n">
        <x:f>IFERROR(I3691/H3691,"")</x:f>
        <x:v>1.9565217391304348</x:v>
      </x:c>
      <x:c r="L3691" s="66" t="str">
        <x:f>IF(K3691="","","1 : "&amp;TEXT(K3691,"0.0"))</x:f>
        <x:v>1 : 2.0</x:v>
      </x:c>
      <x:c r="M3691" s="66" t="str">
        <x:f>IF(J3691="","Baru/Tanpa Data",IF(J3691&lt;='Catatan &amp; Sumber'!$B$14,"Sangat Ketat",IF(J3691&lt;='Catatan &amp; Sumber'!$B$15,"Ketat",IF(J3691&lt;='Catatan &amp; Sumber'!$B$16,"Sedang","Relatif Longgar"))))</x:f>
        <x:v>Relatif Longgar</x:v>
      </x:c>
      <x:c r="N3691" s="66" t="str">
        <x:v>Tidak Ada</x:v>
      </x:c>
      <x:c r="O3691" s="66" t="str">
        <x:v>Kalimantan Selatan</x:v>
      </x:c>
      <x:c r="P3691" s="66" t="str">
        <x:v>Kabupaten Tanah Laut</x:v>
      </x:c>
      <x:c r="Q3691" s="66" t="str">
        <x:v>https://snpmb.id/snbp/daya-tampung-snbp</x:v>
      </x:c>
      <x:c r="R3691" s="66" t="str">
        <x:v>https://sidatagrun-public-1076756628210.asia-southeast2.run.app/ptn_sn.php?ptn=537</x:v>
      </x:c>
    </x:row>
    <x:row r="3692">
      <x:c r="A3692" s="87" t="n">
        <x:v>3551</x:v>
      </x:c>
      <x:c r="B3692" s="66" t="n">
        <x:v>537</x:v>
      </x:c>
      <x:c r="C3692" s="66" t="str">
        <x:v>POLITEKNIK NEGERI TANAH LAUT</x:v>
      </x:c>
      <x:c r="D3692" s="66" t="str">
        <x:v>PTN Vokasi</x:v>
      </x:c>
      <x:c r="E3692" s="66" t="str">
        <x:v>25372009</x:v>
      </x:c>
      <x:c r="F3692" s="66" t="str">
        <x:v>AKUNTANSI PERPAJAKAN</x:v>
      </x:c>
      <x:c r="G3692" s="66" t="str">
        <x:v>Sarjana Terapan</x:v>
      </x:c>
      <x:c r="H3692" s="87" t="n">
        <x:v>41</x:v>
      </x:c>
      <x:c r="I3692" s="87" t="n">
        <x:v>91</x:v>
      </x:c>
      <x:c r="J3692" s="68" t="n">
        <x:f>IFERROR(H3692/I3692,"")</x:f>
        <x:v>0.45054945054945056</x:v>
      </x:c>
      <x:c r="K3692" s="69" t="n">
        <x:f>IFERROR(I3692/H3692,"")</x:f>
        <x:v>2.2195121951219514</x:v>
      </x:c>
      <x:c r="L3692" s="66" t="str">
        <x:f>IF(K3692="","","1 : "&amp;TEXT(K3692,"0.0"))</x:f>
        <x:v>1 : 2.2</x:v>
      </x:c>
      <x:c r="M3692" s="66" t="str">
        <x:f>IF(J3692="","Baru/Tanpa Data",IF(J3692&lt;='Catatan &amp; Sumber'!$B$14,"Sangat Ketat",IF(J3692&lt;='Catatan &amp; Sumber'!$B$15,"Ketat",IF(J3692&lt;='Catatan &amp; Sumber'!$B$16,"Sedang","Relatif Longgar"))))</x:f>
        <x:v>Relatif Longgar</x:v>
      </x:c>
      <x:c r="N3692" s="66" t="str">
        <x:v>Tidak Ada</x:v>
      </x:c>
      <x:c r="O3692" s="66" t="str">
        <x:v>Kalimantan Selatan</x:v>
      </x:c>
      <x:c r="P3692" s="66" t="str">
        <x:v>Kabupaten Tanah Laut</x:v>
      </x:c>
      <x:c r="Q3692" s="66" t="str">
        <x:v>https://snpmb.id/snbp/daya-tampung-snbp</x:v>
      </x:c>
      <x:c r="R3692" s="66" t="str">
        <x:v>https://sidatagrun-public-1076756628210.asia-southeast2.run.app/ptn_sn.php?ptn=537</x:v>
      </x:c>
    </x:row>
    <x:row r="3693">
      <x:c r="A3693" s="87" t="n">
        <x:v>3463</x:v>
      </x:c>
      <x:c r="B3693" s="66" t="n">
        <x:v>537</x:v>
      </x:c>
      <x:c r="C3693" s="66" t="str">
        <x:v>POLITEKNIK NEGERI TANAH LAUT</x:v>
      </x:c>
      <x:c r="D3693" s="66" t="str">
        <x:v>PTN Vokasi</x:v>
      </x:c>
      <x:c r="E3693" s="66" t="str">
        <x:v>25372010</x:v>
      </x:c>
      <x:c r="F3693" s="66" t="str">
        <x:v>PENGEMBANGAN PRODUK AGROINDUSTRI</x:v>
      </x:c>
      <x:c r="G3693" s="66" t="str">
        <x:v>Sarjana Terapan</x:v>
      </x:c>
      <x:c r="H3693" s="87" t="n">
        <x:v>27</x:v>
      </x:c>
      <x:c r="I3693" s="87" t="n">
        <x:v>64</x:v>
      </x:c>
      <x:c r="J3693" s="68" t="n">
        <x:f>IFERROR(H3693/I3693,"")</x:f>
        <x:v>0.421875</x:v>
      </x:c>
      <x:c r="K3693" s="69" t="n">
        <x:f>IFERROR(I3693/H3693,"")</x:f>
        <x:v>2.3703703703703702</x:v>
      </x:c>
      <x:c r="L3693" s="66" t="str">
        <x:f>IF(K3693="","","1 : "&amp;TEXT(K3693,"0.0"))</x:f>
        <x:v>1 : 2.4</x:v>
      </x:c>
      <x:c r="M3693" s="66" t="str">
        <x:f>IF(J3693="","Baru/Tanpa Data",IF(J3693&lt;='Catatan &amp; Sumber'!$B$14,"Sangat Ketat",IF(J3693&lt;='Catatan &amp; Sumber'!$B$15,"Ketat",IF(J3693&lt;='Catatan &amp; Sumber'!$B$16,"Sedang","Relatif Longgar"))))</x:f>
        <x:v>Relatif Longgar</x:v>
      </x:c>
      <x:c r="N3693" s="66" t="str">
        <x:v>Tidak Ada</x:v>
      </x:c>
      <x:c r="O3693" s="66" t="str">
        <x:v>Kalimantan Selatan</x:v>
      </x:c>
      <x:c r="P3693" s="66" t="str">
        <x:v>Kabupaten Tanah Laut</x:v>
      </x:c>
      <x:c r="Q3693" s="66" t="str">
        <x:v>https://snpmb.id/snbp/daya-tampung-snbp</x:v>
      </x:c>
      <x:c r="R3693" s="66" t="str">
        <x:v>https://sidatagrun-public-1076756628210.asia-southeast2.run.app/ptn_sn.php?ptn=537</x:v>
      </x:c>
    </x:row>
    <x:row r="3694">
      <x:c r="A3694" s="87" t="n">
        <x:v>3737</x:v>
      </x:c>
      <x:c r="B3694" s="66" t="n">
        <x:v>537</x:v>
      </x:c>
      <x:c r="C3694" s="66" t="str">
        <x:v>POLITEKNIK NEGERI TANAH LAUT</x:v>
      </x:c>
      <x:c r="D3694" s="66" t="str">
        <x:v>PTN Vokasi</x:v>
      </x:c>
      <x:c r="E3694" s="66" t="str">
        <x:v>25373004</x:v>
      </x:c>
      <x:c r="F3694" s="66" t="str">
        <x:v>TEKNOLOGI INFORMASI</x:v>
      </x:c>
      <x:c r="G3694" s="66" t="str">
        <x:v>Diploma Tiga</x:v>
      </x:c>
      <x:c r="H3694" s="87" t="n">
        <x:v>42</x:v>
      </x:c>
      <x:c r="I3694" s="87" t="n">
        <x:v>78</x:v>
      </x:c>
      <x:c r="J3694" s="68" t="n">
        <x:f>IFERROR(H3694/I3694,"")</x:f>
        <x:v>0.5384615384615384</x:v>
      </x:c>
      <x:c r="K3694" s="69" t="n">
        <x:f>IFERROR(I3694/H3694,"")</x:f>
        <x:v>1.8571428571428572</x:v>
      </x:c>
      <x:c r="L3694" s="66" t="str">
        <x:f>IF(K3694="","","1 : "&amp;TEXT(K3694,"0.0"))</x:f>
        <x:v>1 : 1.9</x:v>
      </x:c>
      <x:c r="M3694" s="66" t="str">
        <x:f>IF(J3694="","Baru/Tanpa Data",IF(J3694&lt;='Catatan &amp; Sumber'!$B$14,"Sangat Ketat",IF(J3694&lt;='Catatan &amp; Sumber'!$B$15,"Ketat",IF(J3694&lt;='Catatan &amp; Sumber'!$B$16,"Sedang","Relatif Longgar"))))</x:f>
        <x:v>Relatif Longgar</x:v>
      </x:c>
      <x:c r="N3694" s="66" t="str">
        <x:v>Tidak Ada</x:v>
      </x:c>
      <x:c r="O3694" s="66" t="str">
        <x:v>Kalimantan Selatan</x:v>
      </x:c>
      <x:c r="P3694" s="66" t="str">
        <x:v>Kabupaten Tanah Laut</x:v>
      </x:c>
      <x:c r="Q3694" s="66" t="str">
        <x:v>https://snpmb.id/snbp/daya-tampung-snbp</x:v>
      </x:c>
      <x:c r="R3694" s="66" t="str">
        <x:v>https://sidatagrun-public-1076756628210.asia-southeast2.run.app/ptn_sn.php?ptn=537</x:v>
      </x:c>
    </x:row>
    <x:row r="3695">
      <x:c r="A3695" s="87" t="n">
        <x:v>4241</x:v>
      </x:c>
      <x:c r="B3695" s="66" t="n">
        <x:v>537</x:v>
      </x:c>
      <x:c r="C3695" s="66" t="str">
        <x:v>POLITEKNIK NEGERI TANAH LAUT</x:v>
      </x:c>
      <x:c r="D3695" s="66" t="str">
        <x:v>PTN Vokasi</x:v>
      </x:c>
      <x:c r="E3695" s="66" t="str">
        <x:v>25373005</x:v>
      </x:c>
      <x:c r="F3695" s="66" t="str">
        <x:v>TEKNOLOGI OTOMOTIF</x:v>
      </x:c>
      <x:c r="G3695" s="66" t="str">
        <x:v>Diploma Tiga</x:v>
      </x:c>
      <x:c r="H3695" s="87" t="n">
        <x:v>18</x:v>
      </x:c>
      <x:c r="I3695" s="87" t="n">
        <x:v>20</x:v>
      </x:c>
      <x:c r="J3695" s="68" t="n">
        <x:f>IFERROR(H3695/I3695,"")</x:f>
        <x:v>0.9</x:v>
      </x:c>
      <x:c r="K3695" s="69" t="n">
        <x:f>IFERROR(I3695/H3695,"")</x:f>
        <x:v>1.1111111111111112</x:v>
      </x:c>
      <x:c r="L3695" s="66" t="str">
        <x:f>IF(K3695="","","1 : "&amp;TEXT(K3695,"0.0"))</x:f>
        <x:v>1 : 1.1</x:v>
      </x:c>
      <x:c r="M3695" s="66" t="str">
        <x:f>IF(J3695="","Baru/Tanpa Data",IF(J3695&lt;='Catatan &amp; Sumber'!$B$14,"Sangat Ketat",IF(J3695&lt;='Catatan &amp; Sumber'!$B$15,"Ketat",IF(J3695&lt;='Catatan &amp; Sumber'!$B$16,"Sedang","Relatif Longgar"))))</x:f>
        <x:v>Relatif Longgar</x:v>
      </x:c>
      <x:c r="N3695" s="66" t="str">
        <x:v>Tidak Ada</x:v>
      </x:c>
      <x:c r="O3695" s="66" t="str">
        <x:v>Kalimantan Selatan</x:v>
      </x:c>
      <x:c r="P3695" s="66" t="str">
        <x:v>Kabupaten Tanah Laut</x:v>
      </x:c>
      <x:c r="Q3695" s="66" t="str">
        <x:v>https://snpmb.id/snbp/daya-tampung-snbp</x:v>
      </x:c>
      <x:c r="R3695" s="66" t="str">
        <x:v>https://sidatagrun-public-1076756628210.asia-southeast2.run.app/ptn_sn.php?ptn=537</x:v>
      </x:c>
    </x:row>
    <x:row r="3696">
      <x:c r="A3696" s="87" t="n">
        <x:v>3454</x:v>
      </x:c>
      <x:c r="B3696" s="66" t="n">
        <x:v>537</x:v>
      </x:c>
      <x:c r="C3696" s="66" t="str">
        <x:v>POLITEKNIK NEGERI TANAH LAUT</x:v>
      </x:c>
      <x:c r="D3696" s="66" t="str">
        <x:v>PTN Vokasi</x:v>
      </x:c>
      <x:c r="E3696" s="66" t="str">
        <x:v>25373006</x:v>
      </x:c>
      <x:c r="F3696" s="66" t="str">
        <x:v>AKUNTANSI</x:v>
      </x:c>
      <x:c r="G3696" s="66" t="str">
        <x:v>Diploma Tiga</x:v>
      </x:c>
      <x:c r="H3696" s="87" t="n">
        <x:v>42</x:v>
      </x:c>
      <x:c r="I3696" s="87" t="n">
        <x:v>100</x:v>
      </x:c>
      <x:c r="J3696" s="68" t="n">
        <x:f>IFERROR(H3696/I3696,"")</x:f>
        <x:v>0.42</x:v>
      </x:c>
      <x:c r="K3696" s="69" t="n">
        <x:f>IFERROR(I3696/H3696,"")</x:f>
        <x:v>2.380952380952381</x:v>
      </x:c>
      <x:c r="L3696" s="66" t="str">
        <x:f>IF(K3696="","","1 : "&amp;TEXT(K3696,"0.0"))</x:f>
        <x:v>1 : 2.4</x:v>
      </x:c>
      <x:c r="M3696" s="66" t="str">
        <x:f>IF(J3696="","Baru/Tanpa Data",IF(J3696&lt;='Catatan &amp; Sumber'!$B$14,"Sangat Ketat",IF(J3696&lt;='Catatan &amp; Sumber'!$B$15,"Ketat",IF(J3696&lt;='Catatan &amp; Sumber'!$B$16,"Sedang","Relatif Longgar"))))</x:f>
        <x:v>Relatif Longgar</x:v>
      </x:c>
      <x:c r="N3696" s="66" t="str">
        <x:v>Tidak Ada</x:v>
      </x:c>
      <x:c r="O3696" s="66" t="str">
        <x:v>Kalimantan Selatan</x:v>
      </x:c>
      <x:c r="P3696" s="66" t="str">
        <x:v>Kabupaten Tanah Laut</x:v>
      </x:c>
      <x:c r="Q3696" s="66" t="str">
        <x:v>https://snpmb.id/snbp/daya-tampung-snbp</x:v>
      </x:c>
      <x:c r="R3696" s="66" t="str">
        <x:v>https://sidatagrun-public-1076756628210.asia-southeast2.run.app/ptn_sn.php?ptn=537</x:v>
      </x:c>
    </x:row>
    <x:row r="3697">
      <x:c r="A3697" s="87" t="n">
        <x:v>4123</x:v>
      </x:c>
      <x:c r="B3697" s="66" t="n">
        <x:v>537</x:v>
      </x:c>
      <x:c r="C3697" s="66" t="str">
        <x:v>POLITEKNIK NEGERI TANAH LAUT</x:v>
      </x:c>
      <x:c r="D3697" s="66" t="str">
        <x:v>PTN Vokasi</x:v>
      </x:c>
      <x:c r="E3697" s="66" t="str">
        <x:v>25373007</x:v>
      </x:c>
      <x:c r="F3697" s="66" t="str">
        <x:v>AGROINDUSTRI</x:v>
      </x:c>
      <x:c r="G3697" s="66" t="str">
        <x:v>Diploma Tiga</x:v>
      </x:c>
      <x:c r="H3697" s="87" t="n">
        <x:v>36</x:v>
      </x:c>
      <x:c r="I3697" s="87" t="n">
        <x:v>46</x:v>
      </x:c>
      <x:c r="J3697" s="68" t="n">
        <x:f>IFERROR(H3697/I3697,"")</x:f>
        <x:v>0.782608695652174</x:v>
      </x:c>
      <x:c r="K3697" s="69" t="n">
        <x:f>IFERROR(I3697/H3697,"")</x:f>
        <x:v>1.2777777777777777</x:v>
      </x:c>
      <x:c r="L3697" s="66" t="str">
        <x:f>IF(K3697="","","1 : "&amp;TEXT(K3697,"0.0"))</x:f>
        <x:v>1 : 1.3</x:v>
      </x:c>
      <x:c r="M3697" s="66" t="str">
        <x:f>IF(J3697="","Baru/Tanpa Data",IF(J3697&lt;='Catatan &amp; Sumber'!$B$14,"Sangat Ketat",IF(J3697&lt;='Catatan &amp; Sumber'!$B$15,"Ketat",IF(J3697&lt;='Catatan &amp; Sumber'!$B$16,"Sedang","Relatif Longgar"))))</x:f>
        <x:v>Relatif Longgar</x:v>
      </x:c>
      <x:c r="N3697" s="66" t="str">
        <x:v>Tidak Ada</x:v>
      </x:c>
      <x:c r="O3697" s="66" t="str">
        <x:v>Kalimantan Selatan</x:v>
      </x:c>
      <x:c r="P3697" s="66" t="str">
        <x:v>Kabupaten Tanah Laut</x:v>
      </x:c>
      <x:c r="Q3697" s="66" t="str">
        <x:v>https://snpmb.id/snbp/daya-tampung-snbp</x:v>
      </x:c>
      <x:c r="R3697" s="66" t="str">
        <x:v>https://sidatagrun-public-1076756628210.asia-southeast2.run.app/ptn_sn.php?ptn=537</x:v>
      </x:c>
    </x:row>
    <x:row r="3698">
      <x:c r="A3698" s="87" t="n">
        <x:v>2441</x:v>
      </x:c>
      <x:c r="B3698" s="66" t="n">
        <x:v>541</x:v>
      </x:c>
      <x:c r="C3698" s="66" t="str">
        <x:v>UNIVERSITAS MULAWARMAN</x:v>
      </x:c>
      <x:c r="D3698" s="66" t="str">
        <x:v>PTN Akademik</x:v>
      </x:c>
      <x:c r="E3698" s="66" t="str">
        <x:v>15411001</x:v>
      </x:c>
      <x:c r="F3698" s="66" t="str">
        <x:v>AGROEKOTEKNOLOGI</x:v>
      </x:c>
      <x:c r="G3698" s="66" t="str">
        <x:v>Sarjana</x:v>
      </x:c>
      <x:c r="H3698" s="87" t="n">
        <x:v>35</x:v>
      </x:c>
      <x:c r="I3698" s="87" t="n">
        <x:v>174</x:v>
      </x:c>
      <x:c r="J3698" s="68" t="n">
        <x:f>IFERROR(H3698/I3698,"")</x:f>
        <x:v>0.20114942528735633</x:v>
      </x:c>
      <x:c r="K3698" s="69" t="n">
        <x:f>IFERROR(I3698/H3698,"")</x:f>
        <x:v>4.9714285714285715</x:v>
      </x:c>
      <x:c r="L3698" s="66" t="str">
        <x:f>IF(K3698="","","1 : "&amp;TEXT(K3698,"0.0"))</x:f>
        <x:v>1 : 5.0</x:v>
      </x:c>
      <x:c r="M3698" s="66" t="str">
        <x:f>IF(J3698="","Baru/Tanpa Data",IF(J3698&lt;='Catatan &amp; Sumber'!$B$14,"Sangat Ketat",IF(J3698&lt;='Catatan &amp; Sumber'!$B$15,"Ketat",IF(J3698&lt;='Catatan &amp; Sumber'!$B$16,"Sedang","Relatif Longgar"))))</x:f>
        <x:v>Relatif Longgar</x:v>
      </x:c>
      <x:c r="N3698" s="66" t="str">
        <x:v>Tidak Ada</x:v>
      </x:c>
      <x:c r="O3698" s="66" t="str">
        <x:v>Kalimantan Timur</x:v>
      </x:c>
      <x:c r="P3698" s="66" t="str">
        <x:v>Kota Samarinda</x:v>
      </x:c>
      <x:c r="Q3698" s="66" t="str">
        <x:v>https://snpmb.id/snbp/daya-tampung-snbp</x:v>
      </x:c>
      <x:c r="R3698" s="66" t="str">
        <x:v>https://sidatagrun-public-1076756628210.asia-southeast2.run.app/ptn_sn.php?ptn=541</x:v>
      </x:c>
    </x:row>
    <x:row r="3699">
      <x:c r="A3699" s="87" t="n">
        <x:v>2232</x:v>
      </x:c>
      <x:c r="B3699" s="66" t="n">
        <x:v>541</x:v>
      </x:c>
      <x:c r="C3699" s="66" t="str">
        <x:v>UNIVERSITAS MULAWARMAN</x:v>
      </x:c>
      <x:c r="D3699" s="66" t="str">
        <x:v>PTN Akademik</x:v>
      </x:c>
      <x:c r="E3699" s="66" t="str">
        <x:v>15411002</x:v>
      </x:c>
      <x:c r="F3699" s="66" t="str">
        <x:v>AGRIBISNIS</x:v>
      </x:c>
      <x:c r="G3699" s="66" t="str">
        <x:v>Sarjana</x:v>
      </x:c>
      <x:c r="H3699" s="87" t="n">
        <x:v>25</x:v>
      </x:c>
      <x:c r="I3699" s="87" t="n">
        <x:v>142</x:v>
      </x:c>
      <x:c r="J3699" s="68" t="n">
        <x:f>IFERROR(H3699/I3699,"")</x:f>
        <x:v>0.176056338028169</x:v>
      </x:c>
      <x:c r="K3699" s="69" t="n">
        <x:f>IFERROR(I3699/H3699,"")</x:f>
        <x:v>5.68</x:v>
      </x:c>
      <x:c r="L3699" s="66" t="str">
        <x:f>IF(K3699="","","1 : "&amp;TEXT(K3699,"0.0"))</x:f>
        <x:v>1 : 5.7</x:v>
      </x:c>
      <x:c r="M3699" s="66" t="str">
        <x:f>IF(J3699="","Baru/Tanpa Data",IF(J3699&lt;='Catatan &amp; Sumber'!$B$14,"Sangat Ketat",IF(J3699&lt;='Catatan &amp; Sumber'!$B$15,"Ketat",IF(J3699&lt;='Catatan &amp; Sumber'!$B$16,"Sedang","Relatif Longgar"))))</x:f>
        <x:v>Relatif Longgar</x:v>
      </x:c>
      <x:c r="N3699" s="66" t="str">
        <x:v>Tidak Ada</x:v>
      </x:c>
      <x:c r="O3699" s="66" t="str">
        <x:v>Kalimantan Timur</x:v>
      </x:c>
      <x:c r="P3699" s="66" t="str">
        <x:v>Kota Samarinda</x:v>
      </x:c>
      <x:c r="Q3699" s="66" t="str">
        <x:v>https://snpmb.id/snbp/daya-tampung-snbp</x:v>
      </x:c>
      <x:c r="R3699" s="66" t="str">
        <x:v>https://sidatagrun-public-1076756628210.asia-southeast2.run.app/ptn_sn.php?ptn=541</x:v>
      </x:c>
    </x:row>
    <x:row r="3700">
      <x:c r="A3700" s="87" t="n">
        <x:v>2799</x:v>
      </x:c>
      <x:c r="B3700" s="66" t="n">
        <x:v>541</x:v>
      </x:c>
      <x:c r="C3700" s="66" t="str">
        <x:v>UNIVERSITAS MULAWARMAN</x:v>
      </x:c>
      <x:c r="D3700" s="66" t="str">
        <x:v>PTN Akademik</x:v>
      </x:c>
      <x:c r="E3700" s="66" t="str">
        <x:v>15411003</x:v>
      </x:c>
      <x:c r="F3700" s="66" t="str">
        <x:v>TEKNOLOGI HASIL PERTANIAN</x:v>
      </x:c>
      <x:c r="G3700" s="66" t="str">
        <x:v>Sarjana</x:v>
      </x:c>
      <x:c r="H3700" s="87" t="n">
        <x:v>25</x:v>
      </x:c>
      <x:c r="I3700" s="87" t="n">
        <x:v>97</x:v>
      </x:c>
      <x:c r="J3700" s="68" t="n">
        <x:f>IFERROR(H3700/I3700,"")</x:f>
        <x:v>0.25773195876288657</x:v>
      </x:c>
      <x:c r="K3700" s="69" t="n">
        <x:f>IFERROR(I3700/H3700,"")</x:f>
        <x:v>3.88</x:v>
      </x:c>
      <x:c r="L3700" s="66" t="str">
        <x:f>IF(K3700="","","1 : "&amp;TEXT(K3700,"0.0"))</x:f>
        <x:v>1 : 3.9</x:v>
      </x:c>
      <x:c r="M3700" s="66" t="str">
        <x:f>IF(J3700="","Baru/Tanpa Data",IF(J3700&lt;='Catatan &amp; Sumber'!$B$14,"Sangat Ketat",IF(J3700&lt;='Catatan &amp; Sumber'!$B$15,"Ketat",IF(J3700&lt;='Catatan &amp; Sumber'!$B$16,"Sedang","Relatif Longgar"))))</x:f>
        <x:v>Relatif Longgar</x:v>
      </x:c>
      <x:c r="N3700" s="66" t="str">
        <x:v>Tidak Ada</x:v>
      </x:c>
      <x:c r="O3700" s="66" t="str">
        <x:v>Kalimantan Timur</x:v>
      </x:c>
      <x:c r="P3700" s="66" t="str">
        <x:v>Kota Samarinda</x:v>
      </x:c>
      <x:c r="Q3700" s="66" t="str">
        <x:v>https://snpmb.id/snbp/daya-tampung-snbp</x:v>
      </x:c>
      <x:c r="R3700" s="66" t="str">
        <x:v>https://sidatagrun-public-1076756628210.asia-southeast2.run.app/ptn_sn.php?ptn=541</x:v>
      </x:c>
    </x:row>
    <x:row r="3701">
      <x:c r="A3701" s="87" t="n">
        <x:v>2735</x:v>
      </x:c>
      <x:c r="B3701" s="66" t="n">
        <x:v>541</x:v>
      </x:c>
      <x:c r="C3701" s="66" t="str">
        <x:v>UNIVERSITAS MULAWARMAN</x:v>
      </x:c>
      <x:c r="D3701" s="66" t="str">
        <x:v>PTN Akademik</x:v>
      </x:c>
      <x:c r="E3701" s="66" t="str">
        <x:v>15411004</x:v>
      </x:c>
      <x:c r="F3701" s="66" t="str">
        <x:v>KEHUTANAN</x:v>
      </x:c>
      <x:c r="G3701" s="66" t="str">
        <x:v>Sarjana</x:v>
      </x:c>
      <x:c r="H3701" s="87" t="n">
        <x:v>80</x:v>
      </x:c>
      <x:c r="I3701" s="87" t="n">
        <x:v>320</x:v>
      </x:c>
      <x:c r="J3701" s="68" t="n">
        <x:f>IFERROR(H3701/I3701,"")</x:f>
        <x:v>0.25</x:v>
      </x:c>
      <x:c r="K3701" s="69" t="n">
        <x:f>IFERROR(I3701/H3701,"")</x:f>
        <x:v>4</x:v>
      </x:c>
      <x:c r="L3701" s="66" t="str">
        <x:f>IF(K3701="","","1 : "&amp;TEXT(K3701,"0.0"))</x:f>
        <x:v>1 : 4.0</x:v>
      </x:c>
      <x:c r="M3701" s="66" t="str">
        <x:f>IF(J3701="","Baru/Tanpa Data",IF(J3701&lt;='Catatan &amp; Sumber'!$B$14,"Sangat Ketat",IF(J3701&lt;='Catatan &amp; Sumber'!$B$15,"Ketat",IF(J3701&lt;='Catatan &amp; Sumber'!$B$16,"Sedang","Relatif Longgar"))))</x:f>
        <x:v>Relatif Longgar</x:v>
      </x:c>
      <x:c r="N3701" s="66" t="str">
        <x:v>Tidak Ada</x:v>
      </x:c>
      <x:c r="O3701" s="66" t="str">
        <x:v>Kalimantan Timur</x:v>
      </x:c>
      <x:c r="P3701" s="66" t="str">
        <x:v>Kota Samarinda</x:v>
      </x:c>
      <x:c r="Q3701" s="66" t="str">
        <x:v>https://snpmb.id/snbp/daya-tampung-snbp</x:v>
      </x:c>
      <x:c r="R3701" s="66" t="str">
        <x:v>https://sidatagrun-public-1076756628210.asia-southeast2.run.app/ptn_sn.php?ptn=541</x:v>
      </x:c>
    </x:row>
    <x:row r="3702">
      <x:c r="A3702" s="87" t="n">
        <x:v>2721</x:v>
      </x:c>
      <x:c r="B3702" s="66" t="n">
        <x:v>541</x:v>
      </x:c>
      <x:c r="C3702" s="66" t="str">
        <x:v>UNIVERSITAS MULAWARMAN</x:v>
      </x:c>
      <x:c r="D3702" s="66" t="str">
        <x:v>PTN Akademik</x:v>
      </x:c>
      <x:c r="E3702" s="66" t="str">
        <x:v>15411005</x:v>
      </x:c>
      <x:c r="F3702" s="66" t="str">
        <x:v>PENDIDIKAN BIOLOGI</x:v>
      </x:c>
      <x:c r="G3702" s="66" t="str">
        <x:v>Sarjana</x:v>
      </x:c>
      <x:c r="H3702" s="87" t="n">
        <x:v>24</x:v>
      </x:c>
      <x:c r="I3702" s="87" t="n">
        <x:v>97</x:v>
      </x:c>
      <x:c r="J3702" s="68" t="n">
        <x:f>IFERROR(H3702/I3702,"")</x:f>
        <x:v>0.24742268041237114</x:v>
      </x:c>
      <x:c r="K3702" s="69" t="n">
        <x:f>IFERROR(I3702/H3702,"")</x:f>
        <x:v>4.041666666666667</x:v>
      </x:c>
      <x:c r="L3702" s="66" t="str">
        <x:f>IF(K3702="","","1 : "&amp;TEXT(K3702,"0.0"))</x:f>
        <x:v>1 : 4.0</x:v>
      </x:c>
      <x:c r="M3702" s="66" t="str">
        <x:f>IF(J3702="","Baru/Tanpa Data",IF(J3702&lt;='Catatan &amp; Sumber'!$B$14,"Sangat Ketat",IF(J3702&lt;='Catatan &amp; Sumber'!$B$15,"Ketat",IF(J3702&lt;='Catatan &amp; Sumber'!$B$16,"Sedang","Relatif Longgar"))))</x:f>
        <x:v>Relatif Longgar</x:v>
      </x:c>
      <x:c r="N3702" s="66" t="str">
        <x:v>Tidak Ada</x:v>
      </x:c>
      <x:c r="O3702" s="66" t="str">
        <x:v>Kalimantan Timur</x:v>
      </x:c>
      <x:c r="P3702" s="66" t="str">
        <x:v>Kota Samarinda</x:v>
      </x:c>
      <x:c r="Q3702" s="66" t="str">
        <x:v>https://snpmb.id/snbp/daya-tampung-snbp</x:v>
      </x:c>
      <x:c r="R3702" s="66" t="str">
        <x:v>https://sidatagrun-public-1076756628210.asia-southeast2.run.app/ptn_sn.php?ptn=541</x:v>
      </x:c>
    </x:row>
    <x:row r="3703">
      <x:c r="A3703" s="87" t="n">
        <x:v>2652</x:v>
      </x:c>
      <x:c r="B3703" s="66" t="n">
        <x:v>541</x:v>
      </x:c>
      <x:c r="C3703" s="66" t="str">
        <x:v>UNIVERSITAS MULAWARMAN</x:v>
      </x:c>
      <x:c r="D3703" s="66" t="str">
        <x:v>PTN Akademik</x:v>
      </x:c>
      <x:c r="E3703" s="66" t="str">
        <x:v>15411006</x:v>
      </x:c>
      <x:c r="F3703" s="66" t="str">
        <x:v>PENDIDIKAN KIMIA</x:v>
      </x:c>
      <x:c r="G3703" s="66" t="str">
        <x:v>Sarjana</x:v>
      </x:c>
      <x:c r="H3703" s="87" t="n">
        <x:v>12</x:v>
      </x:c>
      <x:c r="I3703" s="87" t="n">
        <x:v>51</x:v>
      </x:c>
      <x:c r="J3703" s="68" t="n">
        <x:f>IFERROR(H3703/I3703,"")</x:f>
        <x:v>0.23529411764705882</x:v>
      </x:c>
      <x:c r="K3703" s="69" t="n">
        <x:f>IFERROR(I3703/H3703,"")</x:f>
        <x:v>4.25</x:v>
      </x:c>
      <x:c r="L3703" s="66" t="str">
        <x:f>IF(K3703="","","1 : "&amp;TEXT(K3703,"0.0"))</x:f>
        <x:v>1 : 4.3</x:v>
      </x:c>
      <x:c r="M3703" s="66" t="str">
        <x:f>IF(J3703="","Baru/Tanpa Data",IF(J3703&lt;='Catatan &amp; Sumber'!$B$14,"Sangat Ketat",IF(J3703&lt;='Catatan &amp; Sumber'!$B$15,"Ketat",IF(J3703&lt;='Catatan &amp; Sumber'!$B$16,"Sedang","Relatif Longgar"))))</x:f>
        <x:v>Relatif Longgar</x:v>
      </x:c>
      <x:c r="N3703" s="66" t="str">
        <x:v>Tidak Ada</x:v>
      </x:c>
      <x:c r="O3703" s="66" t="str">
        <x:v>Kalimantan Timur</x:v>
      </x:c>
      <x:c r="P3703" s="66" t="str">
        <x:v>Kota Samarinda</x:v>
      </x:c>
      <x:c r="Q3703" s="66" t="str">
        <x:v>https://snpmb.id/snbp/daya-tampung-snbp</x:v>
      </x:c>
      <x:c r="R3703" s="66" t="str">
        <x:v>https://sidatagrun-public-1076756628210.asia-southeast2.run.app/ptn_sn.php?ptn=541</x:v>
      </x:c>
    </x:row>
    <x:row r="3704">
      <x:c r="A3704" s="87" t="n">
        <x:v>4186</x:v>
      </x:c>
      <x:c r="B3704" s="66" t="n">
        <x:v>541</x:v>
      </x:c>
      <x:c r="C3704" s="66" t="str">
        <x:v>UNIVERSITAS MULAWARMAN</x:v>
      </x:c>
      <x:c r="D3704" s="66" t="str">
        <x:v>PTN Akademik</x:v>
      </x:c>
      <x:c r="E3704" s="66" t="str">
        <x:v>15411007</x:v>
      </x:c>
      <x:c r="F3704" s="66" t="str">
        <x:v>PENDIDIKAN FISIKA</x:v>
      </x:c>
      <x:c r="G3704" s="66" t="str">
        <x:v>Sarjana</x:v>
      </x:c>
      <x:c r="H3704" s="87" t="n">
        <x:v>21</x:v>
      </x:c>
      <x:c r="I3704" s="87" t="n">
        <x:v>25</x:v>
      </x:c>
      <x:c r="J3704" s="68" t="n">
        <x:f>IFERROR(H3704/I3704,"")</x:f>
        <x:v>0.84</x:v>
      </x:c>
      <x:c r="K3704" s="69" t="n">
        <x:f>IFERROR(I3704/H3704,"")</x:f>
        <x:v>1.1904761904761905</x:v>
      </x:c>
      <x:c r="L3704" s="66" t="str">
        <x:f>IF(K3704="","","1 : "&amp;TEXT(K3704,"0.0"))</x:f>
        <x:v>1 : 1.2</x:v>
      </x:c>
      <x:c r="M3704" s="66" t="str">
        <x:f>IF(J3704="","Baru/Tanpa Data",IF(J3704&lt;='Catatan &amp; Sumber'!$B$14,"Sangat Ketat",IF(J3704&lt;='Catatan &amp; Sumber'!$B$15,"Ketat",IF(J3704&lt;='Catatan &amp; Sumber'!$B$16,"Sedang","Relatif Longgar"))))</x:f>
        <x:v>Relatif Longgar</x:v>
      </x:c>
      <x:c r="N3704" s="66" t="str">
        <x:v>Tidak Ada</x:v>
      </x:c>
      <x:c r="O3704" s="66" t="str">
        <x:v>Kalimantan Timur</x:v>
      </x:c>
      <x:c r="P3704" s="66" t="str">
        <x:v>Kota Samarinda</x:v>
      </x:c>
      <x:c r="Q3704" s="66" t="str">
        <x:v>https://snpmb.id/snbp/daya-tampung-snbp</x:v>
      </x:c>
      <x:c r="R3704" s="66" t="str">
        <x:v>https://sidatagrun-public-1076756628210.asia-southeast2.run.app/ptn_sn.php?ptn=541</x:v>
      </x:c>
    </x:row>
    <x:row r="3705">
      <x:c r="A3705" s="87" t="n">
        <x:v>2408</x:v>
      </x:c>
      <x:c r="B3705" s="66" t="n">
        <x:v>541</x:v>
      </x:c>
      <x:c r="C3705" s="66" t="str">
        <x:v>UNIVERSITAS MULAWARMAN</x:v>
      </x:c>
      <x:c r="D3705" s="66" t="str">
        <x:v>PTN Akademik</x:v>
      </x:c>
      <x:c r="E3705" s="66" t="str">
        <x:v>15411008</x:v>
      </x:c>
      <x:c r="F3705" s="66" t="str">
        <x:v>PENDIDIKAN MATEMATIKA</x:v>
      </x:c>
      <x:c r="G3705" s="66" t="str">
        <x:v>Sarjana</x:v>
      </x:c>
      <x:c r="H3705" s="87" t="n">
        <x:v>24</x:v>
      </x:c>
      <x:c r="I3705" s="87" t="n">
        <x:v>122</x:v>
      </x:c>
      <x:c r="J3705" s="68" t="n">
        <x:f>IFERROR(H3705/I3705,"")</x:f>
        <x:v>0.19672131147540983</x:v>
      </x:c>
      <x:c r="K3705" s="69" t="n">
        <x:f>IFERROR(I3705/H3705,"")</x:f>
        <x:v>5.083333333333333</x:v>
      </x:c>
      <x:c r="L3705" s="66" t="str">
        <x:f>IF(K3705="","","1 : "&amp;TEXT(K3705,"0.0"))</x:f>
        <x:v>1 : 5.1</x:v>
      </x:c>
      <x:c r="M3705" s="66" t="str">
        <x:f>IF(J3705="","Baru/Tanpa Data",IF(J3705&lt;='Catatan &amp; Sumber'!$B$14,"Sangat Ketat",IF(J3705&lt;='Catatan &amp; Sumber'!$B$15,"Ketat",IF(J3705&lt;='Catatan &amp; Sumber'!$B$16,"Sedang","Relatif Longgar"))))</x:f>
        <x:v>Relatif Longgar</x:v>
      </x:c>
      <x:c r="N3705" s="66" t="str">
        <x:v>Tidak Ada</x:v>
      </x:c>
      <x:c r="O3705" s="66" t="str">
        <x:v>Kalimantan Timur</x:v>
      </x:c>
      <x:c r="P3705" s="66" t="str">
        <x:v>Kota Samarinda</x:v>
      </x:c>
      <x:c r="Q3705" s="66" t="str">
        <x:v>https://snpmb.id/snbp/daya-tampung-snbp</x:v>
      </x:c>
      <x:c r="R3705" s="66" t="str">
        <x:v>https://sidatagrun-public-1076756628210.asia-southeast2.run.app/ptn_sn.php?ptn=541</x:v>
      </x:c>
    </x:row>
    <x:row r="3706">
      <x:c r="A3706" s="87" t="n">
        <x:v>3391</x:v>
      </x:c>
      <x:c r="B3706" s="66" t="n">
        <x:v>541</x:v>
      </x:c>
      <x:c r="C3706" s="66" t="str">
        <x:v>UNIVERSITAS MULAWARMAN</x:v>
      </x:c>
      <x:c r="D3706" s="66" t="str">
        <x:v>PTN Akademik</x:v>
      </x:c>
      <x:c r="E3706" s="66" t="str">
        <x:v>15411009</x:v>
      </x:c>
      <x:c r="F3706" s="66" t="str">
        <x:v>AKUAKULTUR</x:v>
      </x:c>
      <x:c r="G3706" s="66" t="str">
        <x:v>Sarjana</x:v>
      </x:c>
      <x:c r="H3706" s="87" t="n">
        <x:v>12</x:v>
      </x:c>
      <x:c r="I3706" s="87" t="n">
        <x:v>30</x:v>
      </x:c>
      <x:c r="J3706" s="68" t="n">
        <x:f>IFERROR(H3706/I3706,"")</x:f>
        <x:v>0.4</x:v>
      </x:c>
      <x:c r="K3706" s="69" t="n">
        <x:f>IFERROR(I3706/H3706,"")</x:f>
        <x:v>2.5</x:v>
      </x:c>
      <x:c r="L3706" s="66" t="str">
        <x:f>IF(K3706="","","1 : "&amp;TEXT(K3706,"0.0"))</x:f>
        <x:v>1 : 2.5</x:v>
      </x:c>
      <x:c r="M3706" s="66" t="str">
        <x:f>IF(J3706="","Baru/Tanpa Data",IF(J3706&lt;='Catatan &amp; Sumber'!$B$14,"Sangat Ketat",IF(J3706&lt;='Catatan &amp; Sumber'!$B$15,"Ketat",IF(J3706&lt;='Catatan &amp; Sumber'!$B$16,"Sedang","Relatif Longgar"))))</x:f>
        <x:v>Relatif Longgar</x:v>
      </x:c>
      <x:c r="N3706" s="66" t="str">
        <x:v>Tidak Ada</x:v>
      </x:c>
      <x:c r="O3706" s="66" t="str">
        <x:v>Kalimantan Timur</x:v>
      </x:c>
      <x:c r="P3706" s="66" t="str">
        <x:v>Kota Samarinda</x:v>
      </x:c>
      <x:c r="Q3706" s="66" t="str">
        <x:v>https://snpmb.id/snbp/daya-tampung-snbp</x:v>
      </x:c>
      <x:c r="R3706" s="66" t="str">
        <x:v>https://sidatagrun-public-1076756628210.asia-southeast2.run.app/ptn_sn.php?ptn=541</x:v>
      </x:c>
    </x:row>
    <x:row r="3707">
      <x:c r="A3707" s="87" t="n">
        <x:v>4198</x:v>
      </x:c>
      <x:c r="B3707" s="66" t="n">
        <x:v>541</x:v>
      </x:c>
      <x:c r="C3707" s="66" t="str">
        <x:v>UNIVERSITAS MULAWARMAN</x:v>
      </x:c>
      <x:c r="D3707" s="66" t="str">
        <x:v>PTN Akademik</x:v>
      </x:c>
      <x:c r="E3707" s="66" t="str">
        <x:v>15411010</x:v>
      </x:c>
      <x:c r="F3707" s="66" t="str">
        <x:v>SOSIAL EKONOMI PERIKANAN</x:v>
      </x:c>
      <x:c r="G3707" s="66" t="str">
        <x:v>Sarjana</x:v>
      </x:c>
      <x:c r="H3707" s="87" t="n">
        <x:v>12</x:v>
      </x:c>
      <x:c r="I3707" s="87" t="n">
        <x:v>14</x:v>
      </x:c>
      <x:c r="J3707" s="68" t="n">
        <x:f>IFERROR(H3707/I3707,"")</x:f>
        <x:v>0.8571428571428571</x:v>
      </x:c>
      <x:c r="K3707" s="69" t="n">
        <x:f>IFERROR(I3707/H3707,"")</x:f>
        <x:v>1.1666666666666667</x:v>
      </x:c>
      <x:c r="L3707" s="66" t="str">
        <x:f>IF(K3707="","","1 : "&amp;TEXT(K3707,"0.0"))</x:f>
        <x:v>1 : 1.2</x:v>
      </x:c>
      <x:c r="M3707" s="66" t="str">
        <x:f>IF(J3707="","Baru/Tanpa Data",IF(J3707&lt;='Catatan &amp; Sumber'!$B$14,"Sangat Ketat",IF(J3707&lt;='Catatan &amp; Sumber'!$B$15,"Ketat",IF(J3707&lt;='Catatan &amp; Sumber'!$B$16,"Sedang","Relatif Longgar"))))</x:f>
        <x:v>Relatif Longgar</x:v>
      </x:c>
      <x:c r="N3707" s="66" t="str">
        <x:v>Tidak Ada</x:v>
      </x:c>
      <x:c r="O3707" s="66" t="str">
        <x:v>Kalimantan Timur</x:v>
      </x:c>
      <x:c r="P3707" s="66" t="str">
        <x:v>Kota Samarinda</x:v>
      </x:c>
      <x:c r="Q3707" s="66" t="str">
        <x:v>https://snpmb.id/snbp/daya-tampung-snbp</x:v>
      </x:c>
      <x:c r="R3707" s="66" t="str">
        <x:v>https://sidatagrun-public-1076756628210.asia-southeast2.run.app/ptn_sn.php?ptn=541</x:v>
      </x:c>
    </x:row>
    <x:row r="3708">
      <x:c r="A3708" s="87" t="n">
        <x:v>3713</x:v>
      </x:c>
      <x:c r="B3708" s="66" t="n">
        <x:v>541</x:v>
      </x:c>
      <x:c r="C3708" s="66" t="str">
        <x:v>UNIVERSITAS MULAWARMAN</x:v>
      </x:c>
      <x:c r="D3708" s="66" t="str">
        <x:v>PTN Akademik</x:v>
      </x:c>
      <x:c r="E3708" s="66" t="str">
        <x:v>15411011</x:v>
      </x:c>
      <x:c r="F3708" s="66" t="str">
        <x:v>PENGELOLAAN SUMBERDAYA PERIKANAN</x:v>
      </x:c>
      <x:c r="G3708" s="66" t="str">
        <x:v>Sarjana</x:v>
      </x:c>
      <x:c r="H3708" s="87" t="n">
        <x:v>12</x:v>
      </x:c>
      <x:c r="I3708" s="87" t="n">
        <x:v>23</x:v>
      </x:c>
      <x:c r="J3708" s="68" t="n">
        <x:f>IFERROR(H3708/I3708,"")</x:f>
        <x:v>0.5217391304347826</x:v>
      </x:c>
      <x:c r="K3708" s="69" t="n">
        <x:f>IFERROR(I3708/H3708,"")</x:f>
        <x:v>1.9166666666666667</x:v>
      </x:c>
      <x:c r="L3708" s="66" t="str">
        <x:f>IF(K3708="","","1 : "&amp;TEXT(K3708,"0.0"))</x:f>
        <x:v>1 : 1.9</x:v>
      </x:c>
      <x:c r="M3708" s="66" t="str">
        <x:f>IF(J3708="","Baru/Tanpa Data",IF(J3708&lt;='Catatan &amp; Sumber'!$B$14,"Sangat Ketat",IF(J3708&lt;='Catatan &amp; Sumber'!$B$15,"Ketat",IF(J3708&lt;='Catatan &amp; Sumber'!$B$16,"Sedang","Relatif Longgar"))))</x:f>
        <x:v>Relatif Longgar</x:v>
      </x:c>
      <x:c r="N3708" s="66" t="str">
        <x:v>Tidak Ada</x:v>
      </x:c>
      <x:c r="O3708" s="66" t="str">
        <x:v>Kalimantan Timur</x:v>
      </x:c>
      <x:c r="P3708" s="66" t="str">
        <x:v>Kota Samarinda</x:v>
      </x:c>
      <x:c r="Q3708" s="66" t="str">
        <x:v>https://snpmb.id/snbp/daya-tampung-snbp</x:v>
      </x:c>
      <x:c r="R3708" s="66" t="str">
        <x:v>https://sidatagrun-public-1076756628210.asia-southeast2.run.app/ptn_sn.php?ptn=541</x:v>
      </x:c>
    </x:row>
    <x:row r="3709">
      <x:c r="A3709" s="87" t="n">
        <x:v>2760</x:v>
      </x:c>
      <x:c r="B3709" s="66" t="n">
        <x:v>541</x:v>
      </x:c>
      <x:c r="C3709" s="66" t="str">
        <x:v>UNIVERSITAS MULAWARMAN</x:v>
      </x:c>
      <x:c r="D3709" s="66" t="str">
        <x:v>PTN Akademik</x:v>
      </x:c>
      <x:c r="E3709" s="66" t="str">
        <x:v>15411012</x:v>
      </x:c>
      <x:c r="F3709" s="66" t="str">
        <x:v>STATISTIKA</x:v>
      </x:c>
      <x:c r="G3709" s="66" t="str">
        <x:v>Sarjana</x:v>
      </x:c>
      <x:c r="H3709" s="87" t="n">
        <x:v>24</x:v>
      </x:c>
      <x:c r="I3709" s="87" t="n">
        <x:v>95</x:v>
      </x:c>
      <x:c r="J3709" s="68" t="n">
        <x:f>IFERROR(H3709/I3709,"")</x:f>
        <x:v>0.25263157894736843</x:v>
      </x:c>
      <x:c r="K3709" s="69" t="n">
        <x:f>IFERROR(I3709/H3709,"")</x:f>
        <x:v>3.9583333333333335</x:v>
      </x:c>
      <x:c r="L3709" s="66" t="str">
        <x:f>IF(K3709="","","1 : "&amp;TEXT(K3709,"0.0"))</x:f>
        <x:v>1 : 4.0</x:v>
      </x:c>
      <x:c r="M3709" s="66" t="str">
        <x:f>IF(J3709="","Baru/Tanpa Data",IF(J3709&lt;='Catatan &amp; Sumber'!$B$14,"Sangat Ketat",IF(J3709&lt;='Catatan &amp; Sumber'!$B$15,"Ketat",IF(J3709&lt;='Catatan &amp; Sumber'!$B$16,"Sedang","Relatif Longgar"))))</x:f>
        <x:v>Relatif Longgar</x:v>
      </x:c>
      <x:c r="N3709" s="66" t="str">
        <x:v>Tidak Ada</x:v>
      </x:c>
      <x:c r="O3709" s="66" t="str">
        <x:v>Kalimantan Timur</x:v>
      </x:c>
      <x:c r="P3709" s="66" t="str">
        <x:v>Kota Samarinda</x:v>
      </x:c>
      <x:c r="Q3709" s="66" t="str">
        <x:v>https://snpmb.id/snbp/daya-tampung-snbp</x:v>
      </x:c>
      <x:c r="R3709" s="66" t="str">
        <x:v>https://sidatagrun-public-1076756628210.asia-southeast2.run.app/ptn_sn.php?ptn=541</x:v>
      </x:c>
    </x:row>
    <x:row r="3710">
      <x:c r="A3710" s="87" t="n">
        <x:v>3298</x:v>
      </x:c>
      <x:c r="B3710" s="66" t="n">
        <x:v>541</x:v>
      </x:c>
      <x:c r="C3710" s="66" t="str">
        <x:v>UNIVERSITAS MULAWARMAN</x:v>
      </x:c>
      <x:c r="D3710" s="66" t="str">
        <x:v>PTN Akademik</x:v>
      </x:c>
      <x:c r="E3710" s="66" t="str">
        <x:v>15411013</x:v>
      </x:c>
      <x:c r="F3710" s="66" t="str">
        <x:v>BIOLOGI</x:v>
      </x:c>
      <x:c r="G3710" s="66" t="str">
        <x:v>Sarjana</x:v>
      </x:c>
      <x:c r="H3710" s="87" t="n">
        <x:v>24</x:v>
      </x:c>
      <x:c r="I3710" s="87" t="n">
        <x:v>64</x:v>
      </x:c>
      <x:c r="J3710" s="68" t="n">
        <x:f>IFERROR(H3710/I3710,"")</x:f>
        <x:v>0.375</x:v>
      </x:c>
      <x:c r="K3710" s="69" t="n">
        <x:f>IFERROR(I3710/H3710,"")</x:f>
        <x:v>2.6666666666666665</x:v>
      </x:c>
      <x:c r="L3710" s="66" t="str">
        <x:f>IF(K3710="","","1 : "&amp;TEXT(K3710,"0.0"))</x:f>
        <x:v>1 : 2.7</x:v>
      </x:c>
      <x:c r="M3710" s="66" t="str">
        <x:f>IF(J3710="","Baru/Tanpa Data",IF(J3710&lt;='Catatan &amp; Sumber'!$B$14,"Sangat Ketat",IF(J3710&lt;='Catatan &amp; Sumber'!$B$15,"Ketat",IF(J3710&lt;='Catatan &amp; Sumber'!$B$16,"Sedang","Relatif Longgar"))))</x:f>
        <x:v>Relatif Longgar</x:v>
      </x:c>
      <x:c r="N3710" s="66" t="str">
        <x:v>Tidak Ada</x:v>
      </x:c>
      <x:c r="O3710" s="66" t="str">
        <x:v>Kalimantan Timur</x:v>
      </x:c>
      <x:c r="P3710" s="66" t="str">
        <x:v>Kota Samarinda</x:v>
      </x:c>
      <x:c r="Q3710" s="66" t="str">
        <x:v>https://snpmb.id/snbp/daya-tampung-snbp</x:v>
      </x:c>
      <x:c r="R3710" s="66" t="str">
        <x:v>https://sidatagrun-public-1076756628210.asia-southeast2.run.app/ptn_sn.php?ptn=541</x:v>
      </x:c>
    </x:row>
    <x:row r="3711">
      <x:c r="A3711" s="87" t="n">
        <x:v>3131</x:v>
      </x:c>
      <x:c r="B3711" s="66" t="n">
        <x:v>541</x:v>
      </x:c>
      <x:c r="C3711" s="66" t="str">
        <x:v>UNIVERSITAS MULAWARMAN</x:v>
      </x:c>
      <x:c r="D3711" s="66" t="str">
        <x:v>PTN Akademik</x:v>
      </x:c>
      <x:c r="E3711" s="66" t="str">
        <x:v>15411014</x:v>
      </x:c>
      <x:c r="F3711" s="66" t="str">
        <x:v>KIMIA</x:v>
      </x:c>
      <x:c r="G3711" s="66" t="str">
        <x:v>Sarjana</x:v>
      </x:c>
      <x:c r="H3711" s="87" t="n">
        <x:v>19</x:v>
      </x:c>
      <x:c r="I3711" s="87" t="n">
        <x:v>59</x:v>
      </x:c>
      <x:c r="J3711" s="68" t="n">
        <x:f>IFERROR(H3711/I3711,"")</x:f>
        <x:v>0.3220338983050847</x:v>
      </x:c>
      <x:c r="K3711" s="69" t="n">
        <x:f>IFERROR(I3711/H3711,"")</x:f>
        <x:v>3.1052631578947367</x:v>
      </x:c>
      <x:c r="L3711" s="66" t="str">
        <x:f>IF(K3711="","","1 : "&amp;TEXT(K3711,"0.0"))</x:f>
        <x:v>1 : 3.1</x:v>
      </x:c>
      <x:c r="M3711" s="66" t="str">
        <x:f>IF(J3711="","Baru/Tanpa Data",IF(J3711&lt;='Catatan &amp; Sumber'!$B$14,"Sangat Ketat",IF(J3711&lt;='Catatan &amp; Sumber'!$B$15,"Ketat",IF(J3711&lt;='Catatan &amp; Sumber'!$B$16,"Sedang","Relatif Longgar"))))</x:f>
        <x:v>Relatif Longgar</x:v>
      </x:c>
      <x:c r="N3711" s="66" t="str">
        <x:v>Tidak Ada</x:v>
      </x:c>
      <x:c r="O3711" s="66" t="str">
        <x:v>Kalimantan Timur</x:v>
      </x:c>
      <x:c r="P3711" s="66" t="str">
        <x:v>Kota Samarinda</x:v>
      </x:c>
      <x:c r="Q3711" s="66" t="str">
        <x:v>https://snpmb.id/snbp/daya-tampung-snbp</x:v>
      </x:c>
      <x:c r="R3711" s="66" t="str">
        <x:v>https://sidatagrun-public-1076756628210.asia-southeast2.run.app/ptn_sn.php?ptn=541</x:v>
      </x:c>
    </x:row>
    <x:row r="3712">
      <x:c r="A3712" s="87" t="n">
        <x:v>3801</x:v>
      </x:c>
      <x:c r="B3712" s="66" t="n">
        <x:v>541</x:v>
      </x:c>
      <x:c r="C3712" s="66" t="str">
        <x:v>UNIVERSITAS MULAWARMAN</x:v>
      </x:c>
      <x:c r="D3712" s="66" t="str">
        <x:v>PTN Akademik</x:v>
      </x:c>
      <x:c r="E3712" s="66" t="str">
        <x:v>15411015</x:v>
      </x:c>
      <x:c r="F3712" s="66" t="str">
        <x:v>FISIKA</x:v>
      </x:c>
      <x:c r="G3712" s="66" t="str">
        <x:v>Sarjana</x:v>
      </x:c>
      <x:c r="H3712" s="87" t="n">
        <x:v>12</x:v>
      </x:c>
      <x:c r="I3712" s="87" t="n">
        <x:v>21</x:v>
      </x:c>
      <x:c r="J3712" s="68" t="n">
        <x:f>IFERROR(H3712/I3712,"")</x:f>
        <x:v>0.5714285714285714</x:v>
      </x:c>
      <x:c r="K3712" s="69" t="n">
        <x:f>IFERROR(I3712/H3712,"")</x:f>
        <x:v>1.75</x:v>
      </x:c>
      <x:c r="L3712" s="66" t="str">
        <x:f>IF(K3712="","","1 : "&amp;TEXT(K3712,"0.0"))</x:f>
        <x:v>1 : 1.8</x:v>
      </x:c>
      <x:c r="M3712" s="66" t="str">
        <x:f>IF(J3712="","Baru/Tanpa Data",IF(J3712&lt;='Catatan &amp; Sumber'!$B$14,"Sangat Ketat",IF(J3712&lt;='Catatan &amp; Sumber'!$B$15,"Ketat",IF(J3712&lt;='Catatan &amp; Sumber'!$B$16,"Sedang","Relatif Longgar"))))</x:f>
        <x:v>Relatif Longgar</x:v>
      </x:c>
      <x:c r="N3712" s="66" t="str">
        <x:v>Tidak Ada</x:v>
      </x:c>
      <x:c r="O3712" s="66" t="str">
        <x:v>Kalimantan Timur</x:v>
      </x:c>
      <x:c r="P3712" s="66" t="str">
        <x:v>Kota Samarinda</x:v>
      </x:c>
      <x:c r="Q3712" s="66" t="str">
        <x:v>https://snpmb.id/snbp/daya-tampung-snbp</x:v>
      </x:c>
      <x:c r="R3712" s="66" t="str">
        <x:v>https://sidatagrun-public-1076756628210.asia-southeast2.run.app/ptn_sn.php?ptn=541</x:v>
      </x:c>
    </x:row>
    <x:row r="3713">
      <x:c r="A3713" s="87" t="n">
        <x:v>340</x:v>
      </x:c>
      <x:c r="B3713" s="66" t="n">
        <x:v>541</x:v>
      </x:c>
      <x:c r="C3713" s="66" t="str">
        <x:v>UNIVERSITAS MULAWARMAN</x:v>
      </x:c>
      <x:c r="D3713" s="66" t="str">
        <x:v>PTN Akademik</x:v>
      </x:c>
      <x:c r="E3713" s="66" t="str">
        <x:v>15411017</x:v>
      </x:c>
      <x:c r="F3713" s="66" t="str">
        <x:v>TEKNIK SIPIL</x:v>
      </x:c>
      <x:c r="G3713" s="66" t="str">
        <x:v>Sarjana</x:v>
      </x:c>
      <x:c r="H3713" s="87" t="n">
        <x:v>15</x:v>
      </x:c>
      <x:c r="I3713" s="87" t="n">
        <x:v>341</x:v>
      </x:c>
      <x:c r="J3713" s="68" t="n">
        <x:f>IFERROR(H3713/I3713,"")</x:f>
        <x:v>0.04398826979472141</x:v>
      </x:c>
      <x:c r="K3713" s="69" t="n">
        <x:f>IFERROR(I3713/H3713,"")</x:f>
        <x:v>22.733333333333334</x:v>
      </x:c>
      <x:c r="L3713" s="66" t="str">
        <x:f>IF(K3713="","","1 : "&amp;TEXT(K3713,"0.0"))</x:f>
        <x:v>1 : 22.7</x:v>
      </x:c>
      <x:c r="M3713" s="66" t="str">
        <x:f>IF(J3713="","Baru/Tanpa Data",IF(J3713&lt;='Catatan &amp; Sumber'!$B$14,"Sangat Ketat",IF(J3713&lt;='Catatan &amp; Sumber'!$B$15,"Ketat",IF(J3713&lt;='Catatan &amp; Sumber'!$B$16,"Sedang","Relatif Longgar"))))</x:f>
        <x:v>Ketat</x:v>
      </x:c>
      <x:c r="N3713" s="66" t="str">
        <x:v>Tidak Ada</x:v>
      </x:c>
      <x:c r="O3713" s="66" t="str">
        <x:v>Kalimantan Timur</x:v>
      </x:c>
      <x:c r="P3713" s="66" t="str">
        <x:v>Kota Samarinda</x:v>
      </x:c>
      <x:c r="Q3713" s="66" t="str">
        <x:v>https://snpmb.id/snbp/daya-tampung-snbp</x:v>
      </x:c>
      <x:c r="R3713" s="66" t="str">
        <x:v>https://sidatagrun-public-1076756628210.asia-southeast2.run.app/ptn_sn.php?ptn=541</x:v>
      </x:c>
    </x:row>
    <x:row r="3714">
      <x:c r="A3714" s="87" t="n">
        <x:v>293</x:v>
      </x:c>
      <x:c r="B3714" s="66" t="n">
        <x:v>541</x:v>
      </x:c>
      <x:c r="C3714" s="66" t="str">
        <x:v>UNIVERSITAS MULAWARMAN</x:v>
      </x:c>
      <x:c r="D3714" s="66" t="str">
        <x:v>PTN Akademik</x:v>
      </x:c>
      <x:c r="E3714" s="66" t="str">
        <x:v>15411018</x:v>
      </x:c>
      <x:c r="F3714" s="66" t="str">
        <x:v>TEKNIK INDUSTRI</x:v>
      </x:c>
      <x:c r="G3714" s="66" t="str">
        <x:v>Sarjana</x:v>
      </x:c>
      <x:c r="H3714" s="87" t="n">
        <x:v>15</x:v>
      </x:c>
      <x:c r="I3714" s="87" t="n">
        <x:v>355</x:v>
      </x:c>
      <x:c r="J3714" s="68" t="n">
        <x:f>IFERROR(H3714/I3714,"")</x:f>
        <x:v>0.04225352112676056</x:v>
      </x:c>
      <x:c r="K3714" s="69" t="n">
        <x:f>IFERROR(I3714/H3714,"")</x:f>
        <x:v>23.666666666666668</x:v>
      </x:c>
      <x:c r="L3714" s="66" t="str">
        <x:f>IF(K3714="","","1 : "&amp;TEXT(K3714,"0.0"))</x:f>
        <x:v>1 : 23.7</x:v>
      </x:c>
      <x:c r="M3714" s="66" t="str">
        <x:f>IF(J3714="","Baru/Tanpa Data",IF(J3714&lt;='Catatan &amp; Sumber'!$B$14,"Sangat Ketat",IF(J3714&lt;='Catatan &amp; Sumber'!$B$15,"Ketat",IF(J3714&lt;='Catatan &amp; Sumber'!$B$16,"Sedang","Relatif Longgar"))))</x:f>
        <x:v>Ketat</x:v>
      </x:c>
      <x:c r="N3714" s="66" t="str">
        <x:v>Tidak Ada</x:v>
      </x:c>
      <x:c r="O3714" s="66" t="str">
        <x:v>Kalimantan Timur</x:v>
      </x:c>
      <x:c r="P3714" s="66" t="str">
        <x:v>Kota Samarinda</x:v>
      </x:c>
      <x:c r="Q3714" s="66" t="str">
        <x:v>https://snpmb.id/snbp/daya-tampung-snbp</x:v>
      </x:c>
      <x:c r="R3714" s="66" t="str">
        <x:v>https://sidatagrun-public-1076756628210.asia-southeast2.run.app/ptn_sn.php?ptn=541</x:v>
      </x:c>
    </x:row>
    <x:row r="3715">
      <x:c r="A3715" s="87" t="n">
        <x:v>548</x:v>
      </x:c>
      <x:c r="B3715" s="66" t="n">
        <x:v>541</x:v>
      </x:c>
      <x:c r="C3715" s="66" t="str">
        <x:v>UNIVERSITAS MULAWARMAN</x:v>
      </x:c>
      <x:c r="D3715" s="66" t="str">
        <x:v>PTN Akademik</x:v>
      </x:c>
      <x:c r="E3715" s="66" t="str">
        <x:v>15411019</x:v>
      </x:c>
      <x:c r="F3715" s="66" t="str">
        <x:v>TEKNIK LINGKUNGAN</x:v>
      </x:c>
      <x:c r="G3715" s="66" t="str">
        <x:v>Sarjana</x:v>
      </x:c>
      <x:c r="H3715" s="87" t="n">
        <x:v>15</x:v>
      </x:c>
      <x:c r="I3715" s="87" t="n">
        <x:v>278</x:v>
      </x:c>
      <x:c r="J3715" s="68" t="n">
        <x:f>IFERROR(H3715/I3715,"")</x:f>
        <x:v>0.0539568345323741</x:v>
      </x:c>
      <x:c r="K3715" s="69" t="n">
        <x:f>IFERROR(I3715/H3715,"")</x:f>
        <x:v>18.533333333333335</x:v>
      </x:c>
      <x:c r="L3715" s="66" t="str">
        <x:f>IF(K3715="","","1 : "&amp;TEXT(K3715,"0.0"))</x:f>
        <x:v>1 : 18.5</x:v>
      </x:c>
      <x:c r="M3715" s="66" t="str">
        <x:f>IF(J3715="","Baru/Tanpa Data",IF(J3715&lt;='Catatan &amp; Sumber'!$B$14,"Sangat Ketat",IF(J3715&lt;='Catatan &amp; Sumber'!$B$15,"Ketat",IF(J3715&lt;='Catatan &amp; Sumber'!$B$16,"Sedang","Relatif Longgar"))))</x:f>
        <x:v>Sedang</x:v>
      </x:c>
      <x:c r="N3715" s="66" t="str">
        <x:v>Tidak Ada</x:v>
      </x:c>
      <x:c r="O3715" s="66" t="str">
        <x:v>Kalimantan Timur</x:v>
      </x:c>
      <x:c r="P3715" s="66" t="str">
        <x:v>Kota Samarinda</x:v>
      </x:c>
      <x:c r="Q3715" s="66" t="str">
        <x:v>https://snpmb.id/snbp/daya-tampung-snbp</x:v>
      </x:c>
      <x:c r="R3715" s="66" t="str">
        <x:v>https://sidatagrun-public-1076756628210.asia-southeast2.run.app/ptn_sn.php?ptn=541</x:v>
      </x:c>
    </x:row>
    <x:row r="3716">
      <x:c r="A3716" s="87" t="n">
        <x:v>82</x:v>
      </x:c>
      <x:c r="B3716" s="66" t="n">
        <x:v>541</x:v>
      </x:c>
      <x:c r="C3716" s="66" t="str">
        <x:v>UNIVERSITAS MULAWARMAN</x:v>
      </x:c>
      <x:c r="D3716" s="66" t="str">
        <x:v>PTN Akademik</x:v>
      </x:c>
      <x:c r="E3716" s="66" t="str">
        <x:v>15411020</x:v>
      </x:c>
      <x:c r="F3716" s="66" t="str">
        <x:v>TEKNIK PERTAMBANGAN</x:v>
      </x:c>
      <x:c r="G3716" s="66" t="str">
        <x:v>Sarjana</x:v>
      </x:c>
      <x:c r="H3716" s="87" t="n">
        <x:v>15</x:v>
      </x:c>
      <x:c r="I3716" s="87" t="n">
        <x:v>561</x:v>
      </x:c>
      <x:c r="J3716" s="68" t="n">
        <x:f>IFERROR(H3716/I3716,"")</x:f>
        <x:v>0.026737967914438502</x:v>
      </x:c>
      <x:c r="K3716" s="69" t="n">
        <x:f>IFERROR(I3716/H3716,"")</x:f>
        <x:v>37.4</x:v>
      </x:c>
      <x:c r="L3716" s="66" t="str">
        <x:f>IF(K3716="","","1 : "&amp;TEXT(K3716,"0.0"))</x:f>
        <x:v>1 : 37.4</x:v>
      </x:c>
      <x:c r="M3716" s="66" t="str">
        <x:f>IF(J3716="","Baru/Tanpa Data",IF(J3716&lt;='Catatan &amp; Sumber'!$B$14,"Sangat Ketat",IF(J3716&lt;='Catatan &amp; Sumber'!$B$15,"Ketat",IF(J3716&lt;='Catatan &amp; Sumber'!$B$16,"Sedang","Relatif Longgar"))))</x:f>
        <x:v>Ketat</x:v>
      </x:c>
      <x:c r="N3716" s="66" t="str">
        <x:v>Tidak Ada</x:v>
      </x:c>
      <x:c r="O3716" s="66" t="str">
        <x:v>Kalimantan Timur</x:v>
      </x:c>
      <x:c r="P3716" s="66" t="str">
        <x:v>Kota Samarinda</x:v>
      </x:c>
      <x:c r="Q3716" s="66" t="str">
        <x:v>https://snpmb.id/snbp/daya-tampung-snbp</x:v>
      </x:c>
      <x:c r="R3716" s="66" t="str">
        <x:v>https://sidatagrun-public-1076756628210.asia-southeast2.run.app/ptn_sn.php?ptn=541</x:v>
      </x:c>
    </x:row>
    <x:row r="3717">
      <x:c r="A3717" s="87" t="n">
        <x:v>164</x:v>
      </x:c>
      <x:c r="B3717" s="66" t="n">
        <x:v>541</x:v>
      </x:c>
      <x:c r="C3717" s="66" t="str">
        <x:v>UNIVERSITAS MULAWARMAN</x:v>
      </x:c>
      <x:c r="D3717" s="66" t="str">
        <x:v>PTN Akademik</x:v>
      </x:c>
      <x:c r="E3717" s="66" t="str">
        <x:v>15411021</x:v>
      </x:c>
      <x:c r="F3717" s="66" t="str">
        <x:v>PENDIDIKAN DOKTER</x:v>
      </x:c>
      <x:c r="G3717" s="66" t="str">
        <x:v>Sarjana</x:v>
      </x:c>
      <x:c r="H3717" s="87" t="n">
        <x:v>26</x:v>
      </x:c>
      <x:c r="I3717" s="87" t="n">
        <x:v>754</x:v>
      </x:c>
      <x:c r="J3717" s="68" t="n">
        <x:f>IFERROR(H3717/I3717,"")</x:f>
        <x:v>0.034482758620689655</x:v>
      </x:c>
      <x:c r="K3717" s="69" t="n">
        <x:f>IFERROR(I3717/H3717,"")</x:f>
        <x:v>29</x:v>
      </x:c>
      <x:c r="L3717" s="66" t="str">
        <x:f>IF(K3717="","","1 : "&amp;TEXT(K3717,"0.0"))</x:f>
        <x:v>1 : 29.0</x:v>
      </x:c>
      <x:c r="M3717" s="66" t="str">
        <x:f>IF(J3717="","Baru/Tanpa Data",IF(J3717&lt;='Catatan &amp; Sumber'!$B$14,"Sangat Ketat",IF(J3717&lt;='Catatan &amp; Sumber'!$B$15,"Ketat",IF(J3717&lt;='Catatan &amp; Sumber'!$B$16,"Sedang","Relatif Longgar"))))</x:f>
        <x:v>Ketat</x:v>
      </x:c>
      <x:c r="N3717" s="66" t="str">
        <x:v>Tidak Ada</x:v>
      </x:c>
      <x:c r="O3717" s="66" t="str">
        <x:v>Kalimantan Timur</x:v>
      </x:c>
      <x:c r="P3717" s="66" t="str">
        <x:v>Kota Samarinda</x:v>
      </x:c>
      <x:c r="Q3717" s="66" t="str">
        <x:v>https://snpmb.id/snbp/daya-tampung-snbp</x:v>
      </x:c>
      <x:c r="R3717" s="66" t="str">
        <x:v>https://sidatagrun-public-1076756628210.asia-southeast2.run.app/ptn_sn.php?ptn=541</x:v>
      </x:c>
    </x:row>
    <x:row r="3718">
      <x:c r="A3718" s="87" t="n">
        <x:v>69</x:v>
      </x:c>
      <x:c r="B3718" s="66" t="n">
        <x:v>541</x:v>
      </x:c>
      <x:c r="C3718" s="66" t="str">
        <x:v>UNIVERSITAS MULAWARMAN</x:v>
      </x:c>
      <x:c r="D3718" s="66" t="str">
        <x:v>PTN Akademik</x:v>
      </x:c>
      <x:c r="E3718" s="66" t="str">
        <x:v>15411022</x:v>
      </x:c>
      <x:c r="F3718" s="66" t="str">
        <x:v>KESEHATAN MASYARAKAT</x:v>
      </x:c>
      <x:c r="G3718" s="66" t="str">
        <x:v>Sarjana</x:v>
      </x:c>
      <x:c r="H3718" s="87" t="n">
        <x:v>20</x:v>
      </x:c>
      <x:c r="I3718" s="87" t="n">
        <x:v>787</x:v>
      </x:c>
      <x:c r="J3718" s="68" t="n">
        <x:f>IFERROR(H3718/I3718,"")</x:f>
        <x:v>0.025412960609911054</x:v>
      </x:c>
      <x:c r="K3718" s="69" t="n">
        <x:f>IFERROR(I3718/H3718,"")</x:f>
        <x:v>39.35</x:v>
      </x:c>
      <x:c r="L3718" s="66" t="str">
        <x:f>IF(K3718="","","1 : "&amp;TEXT(K3718,"0.0"))</x:f>
        <x:v>1 : 39.4</x:v>
      </x:c>
      <x:c r="M3718" s="66" t="str">
        <x:f>IF(J3718="","Baru/Tanpa Data",IF(J3718&lt;='Catatan &amp; Sumber'!$B$14,"Sangat Ketat",IF(J3718&lt;='Catatan &amp; Sumber'!$B$15,"Ketat",IF(J3718&lt;='Catatan &amp; Sumber'!$B$16,"Sedang","Relatif Longgar"))))</x:f>
        <x:v>Ketat</x:v>
      </x:c>
      <x:c r="N3718" s="66" t="str">
        <x:v>Tidak Ada</x:v>
      </x:c>
      <x:c r="O3718" s="66" t="str">
        <x:v>Kalimantan Timur</x:v>
      </x:c>
      <x:c r="P3718" s="66" t="str">
        <x:v>Kota Samarinda</x:v>
      </x:c>
      <x:c r="Q3718" s="66" t="str">
        <x:v>https://snpmb.id/snbp/daya-tampung-snbp</x:v>
      </x:c>
      <x:c r="R3718" s="66" t="str">
        <x:v>https://sidatagrun-public-1076756628210.asia-southeast2.run.app/ptn_sn.php?ptn=541</x:v>
      </x:c>
    </x:row>
    <x:row r="3719">
      <x:c r="A3719" s="87" t="n">
        <x:v>166</x:v>
      </x:c>
      <x:c r="B3719" s="66" t="n">
        <x:v>541</x:v>
      </x:c>
      <x:c r="C3719" s="66" t="str">
        <x:v>UNIVERSITAS MULAWARMAN</x:v>
      </x:c>
      <x:c r="D3719" s="66" t="str">
        <x:v>PTN Akademik</x:v>
      </x:c>
      <x:c r="E3719" s="66" t="str">
        <x:v>15411023</x:v>
      </x:c>
      <x:c r="F3719" s="66" t="str">
        <x:v>FARMASI</x:v>
      </x:c>
      <x:c r="G3719" s="66" t="str">
        <x:v>Sarjana</x:v>
      </x:c>
      <x:c r="H3719" s="87" t="n">
        <x:v>30</x:v>
      </x:c>
      <x:c r="I3719" s="87" t="n">
        <x:v>868</x:v>
      </x:c>
      <x:c r="J3719" s="68" t="n">
        <x:f>IFERROR(H3719/I3719,"")</x:f>
        <x:v>0.03456221198156682</x:v>
      </x:c>
      <x:c r="K3719" s="69" t="n">
        <x:f>IFERROR(I3719/H3719,"")</x:f>
        <x:v>28.933333333333334</x:v>
      </x:c>
      <x:c r="L3719" s="66" t="str">
        <x:f>IF(K3719="","","1 : "&amp;TEXT(K3719,"0.0"))</x:f>
        <x:v>1 : 28.9</x:v>
      </x:c>
      <x:c r="M3719" s="66" t="str">
        <x:f>IF(J3719="","Baru/Tanpa Data",IF(J3719&lt;='Catatan &amp; Sumber'!$B$14,"Sangat Ketat",IF(J3719&lt;='Catatan &amp; Sumber'!$B$15,"Ketat",IF(J3719&lt;='Catatan &amp; Sumber'!$B$16,"Sedang","Relatif Longgar"))))</x:f>
        <x:v>Ketat</x:v>
      </x:c>
      <x:c r="N3719" s="66" t="str">
        <x:v>Tidak Ada</x:v>
      </x:c>
      <x:c r="O3719" s="66" t="str">
        <x:v>Kalimantan Timur</x:v>
      </x:c>
      <x:c r="P3719" s="66" t="str">
        <x:v>Kota Samarinda</x:v>
      </x:c>
      <x:c r="Q3719" s="66" t="str">
        <x:v>https://snpmb.id/snbp/daya-tampung-snbp</x:v>
      </x:c>
      <x:c r="R3719" s="66" t="str">
        <x:v>https://sidatagrun-public-1076756628210.asia-southeast2.run.app/ptn_sn.php?ptn=541</x:v>
      </x:c>
    </x:row>
    <x:row r="3720">
      <x:c r="A3720" s="87" t="n">
        <x:v>3829</x:v>
      </x:c>
      <x:c r="B3720" s="66" t="n">
        <x:v>541</x:v>
      </x:c>
      <x:c r="C3720" s="66" t="str">
        <x:v>UNIVERSITAS MULAWARMAN</x:v>
      </x:c>
      <x:c r="D3720" s="66" t="str">
        <x:v>PTN Akademik</x:v>
      </x:c>
      <x:c r="E3720" s="66" t="str">
        <x:v>15411024</x:v>
      </x:c>
      <x:c r="F3720" s="66" t="str">
        <x:v>PETERNAKAN</x:v>
      </x:c>
      <x:c r="G3720" s="66" t="str">
        <x:v>Sarjana</x:v>
      </x:c>
      <x:c r="H3720" s="87" t="n">
        <x:v>30</x:v>
      </x:c>
      <x:c r="I3720" s="87" t="n">
        <x:v>51</x:v>
      </x:c>
      <x:c r="J3720" s="68" t="n">
        <x:f>IFERROR(H3720/I3720,"")</x:f>
        <x:v>0.5882352941176471</x:v>
      </x:c>
      <x:c r="K3720" s="69" t="n">
        <x:f>IFERROR(I3720/H3720,"")</x:f>
        <x:v>1.7</x:v>
      </x:c>
      <x:c r="L3720" s="66" t="str">
        <x:f>IF(K3720="","","1 : "&amp;TEXT(K3720,"0.0"))</x:f>
        <x:v>1 : 1.7</x:v>
      </x:c>
      <x:c r="M3720" s="66" t="str">
        <x:f>IF(J3720="","Baru/Tanpa Data",IF(J3720&lt;='Catatan &amp; Sumber'!$B$14,"Sangat Ketat",IF(J3720&lt;='Catatan &amp; Sumber'!$B$15,"Ketat",IF(J3720&lt;='Catatan &amp; Sumber'!$B$16,"Sedang","Relatif Longgar"))))</x:f>
        <x:v>Relatif Longgar</x:v>
      </x:c>
      <x:c r="N3720" s="66" t="str">
        <x:v>Tidak Ada</x:v>
      </x:c>
      <x:c r="O3720" s="66" t="str">
        <x:v>Kalimantan Timur</x:v>
      </x:c>
      <x:c r="P3720" s="66" t="str">
        <x:v>Kota Samarinda</x:v>
      </x:c>
      <x:c r="Q3720" s="66" t="str">
        <x:v>https://snpmb.id/snbp/daya-tampung-snbp</x:v>
      </x:c>
      <x:c r="R3720" s="66" t="str">
        <x:v>https://sidatagrun-public-1076756628210.asia-southeast2.run.app/ptn_sn.php?ptn=541</x:v>
      </x:c>
    </x:row>
    <x:row r="3721">
      <x:c r="A3721" s="87" t="n">
        <x:v>2151</x:v>
      </x:c>
      <x:c r="B3721" s="66" t="n">
        <x:v>541</x:v>
      </x:c>
      <x:c r="C3721" s="66" t="str">
        <x:v>UNIVERSITAS MULAWARMAN</x:v>
      </x:c>
      <x:c r="D3721" s="66" t="str">
        <x:v>PTN Akademik</x:v>
      </x:c>
      <x:c r="E3721" s="66" t="str">
        <x:v>15411025</x:v>
      </x:c>
      <x:c r="F3721" s="66" t="str">
        <x:v>TEKNIK KIMIA</x:v>
      </x:c>
      <x:c r="G3721" s="66" t="str">
        <x:v>Sarjana</x:v>
      </x:c>
      <x:c r="H3721" s="87" t="n">
        <x:v>15</x:v>
      </x:c>
      <x:c r="I3721" s="87" t="n">
        <x:v>90</x:v>
      </x:c>
      <x:c r="J3721" s="68" t="n">
        <x:f>IFERROR(H3721/I3721,"")</x:f>
        <x:v>0.16666666666666666</x:v>
      </x:c>
      <x:c r="K3721" s="69" t="n">
        <x:f>IFERROR(I3721/H3721,"")</x:f>
        <x:v>6</x:v>
      </x:c>
      <x:c r="L3721" s="66" t="str">
        <x:f>IF(K3721="","","1 : "&amp;TEXT(K3721,"0.0"))</x:f>
        <x:v>1 : 6.0</x:v>
      </x:c>
      <x:c r="M3721" s="66" t="str">
        <x:f>IF(J3721="","Baru/Tanpa Data",IF(J3721&lt;='Catatan &amp; Sumber'!$B$14,"Sangat Ketat",IF(J3721&lt;='Catatan &amp; Sumber'!$B$15,"Ketat",IF(J3721&lt;='Catatan &amp; Sumber'!$B$16,"Sedang","Relatif Longgar"))))</x:f>
        <x:v>Relatif Longgar</x:v>
      </x:c>
      <x:c r="N3721" s="66" t="str">
        <x:v>Tidak Ada</x:v>
      </x:c>
      <x:c r="O3721" s="66" t="str">
        <x:v>Kalimantan Timur</x:v>
      </x:c>
      <x:c r="P3721" s="66" t="str">
        <x:v>Kota Samarinda</x:v>
      </x:c>
      <x:c r="Q3721" s="66" t="str">
        <x:v>https://snpmb.id/snbp/daya-tampung-snbp</x:v>
      </x:c>
      <x:c r="R3721" s="66" t="str">
        <x:v>https://sidatagrun-public-1076756628210.asia-southeast2.run.app/ptn_sn.php?ptn=541</x:v>
      </x:c>
    </x:row>
    <x:row r="3722">
      <x:c r="A3722" s="87" t="n">
        <x:v>212</x:v>
      </x:c>
      <x:c r="B3722" s="66" t="n">
        <x:v>541</x:v>
      </x:c>
      <x:c r="C3722" s="66" t="str">
        <x:v>UNIVERSITAS MULAWARMAN</x:v>
      </x:c>
      <x:c r="D3722" s="66" t="str">
        <x:v>PTN Akademik</x:v>
      </x:c>
      <x:c r="E3722" s="66" t="str">
        <x:v>15411026</x:v>
      </x:c>
      <x:c r="F3722" s="66" t="str">
        <x:v>INFORMATIKA</x:v>
      </x:c>
      <x:c r="G3722" s="66" t="str">
        <x:v>Sarjana</x:v>
      </x:c>
      <x:c r="H3722" s="87" t="n">
        <x:v>25</x:v>
      </x:c>
      <x:c r="I3722" s="87" t="n">
        <x:v>666</x:v>
      </x:c>
      <x:c r="J3722" s="68" t="n">
        <x:f>IFERROR(H3722/I3722,"")</x:f>
        <x:v>0.03753753753753754</x:v>
      </x:c>
      <x:c r="K3722" s="69" t="n">
        <x:f>IFERROR(I3722/H3722,"")</x:f>
        <x:v>26.64</x:v>
      </x:c>
      <x:c r="L3722" s="66" t="str">
        <x:f>IF(K3722="","","1 : "&amp;TEXT(K3722,"0.0"))</x:f>
        <x:v>1 : 26.6</x:v>
      </x:c>
      <x:c r="M3722" s="66" t="str">
        <x:f>IF(J3722="","Baru/Tanpa Data",IF(J3722&lt;='Catatan &amp; Sumber'!$B$14,"Sangat Ketat",IF(J3722&lt;='Catatan &amp; Sumber'!$B$15,"Ketat",IF(J3722&lt;='Catatan &amp; Sumber'!$B$16,"Sedang","Relatif Longgar"))))</x:f>
        <x:v>Ketat</x:v>
      </x:c>
      <x:c r="N3722" s="66" t="str">
        <x:v>Tidak Ada</x:v>
      </x:c>
      <x:c r="O3722" s="66" t="str">
        <x:v>Kalimantan Timur</x:v>
      </x:c>
      <x:c r="P3722" s="66" t="str">
        <x:v>Kota Samarinda</x:v>
      </x:c>
      <x:c r="Q3722" s="66" t="str">
        <x:v>https://snpmb.id/snbp/daya-tampung-snbp</x:v>
      </x:c>
      <x:c r="R3722" s="66" t="str">
        <x:v>https://sidatagrun-public-1076756628210.asia-southeast2.run.app/ptn_sn.php?ptn=541</x:v>
      </x:c>
    </x:row>
    <x:row r="3723">
      <x:c r="A3723" s="87" t="n">
        <x:v>1670</x:v>
      </x:c>
      <x:c r="B3723" s="66" t="n">
        <x:v>541</x:v>
      </x:c>
      <x:c r="C3723" s="66" t="str">
        <x:v>UNIVERSITAS MULAWARMAN</x:v>
      </x:c>
      <x:c r="D3723" s="66" t="str">
        <x:v>PTN Akademik</x:v>
      </x:c>
      <x:c r="E3723" s="66" t="str">
        <x:v>15411027</x:v>
      </x:c>
      <x:c r="F3723" s="66" t="str">
        <x:v>ARSITEKTUR</x:v>
      </x:c>
      <x:c r="G3723" s="66" t="str">
        <x:v>Sarjana</x:v>
      </x:c>
      <x:c r="H3723" s="87" t="n">
        <x:v>15</x:v>
      </x:c>
      <x:c r="I3723" s="87" t="n">
        <x:v>123</x:v>
      </x:c>
      <x:c r="J3723" s="68" t="n">
        <x:f>IFERROR(H3723/I3723,"")</x:f>
        <x:v>0.12195121951219512</x:v>
      </x:c>
      <x:c r="K3723" s="69" t="n">
        <x:f>IFERROR(I3723/H3723,"")</x:f>
        <x:v>8.2</x:v>
      </x:c>
      <x:c r="L3723" s="66" t="str">
        <x:f>IF(K3723="","","1 : "&amp;TEXT(K3723,"0.0"))</x:f>
        <x:v>1 : 8.2</x:v>
      </x:c>
      <x:c r="M3723" s="66" t="str">
        <x:f>IF(J3723="","Baru/Tanpa Data",IF(J3723&lt;='Catatan &amp; Sumber'!$B$14,"Sangat Ketat",IF(J3723&lt;='Catatan &amp; Sumber'!$B$15,"Ketat",IF(J3723&lt;='Catatan &amp; Sumber'!$B$16,"Sedang","Relatif Longgar"))))</x:f>
        <x:v>Relatif Longgar</x:v>
      </x:c>
      <x:c r="N3723" s="66" t="str">
        <x:v>Tidak Ada</x:v>
      </x:c>
      <x:c r="O3723" s="66" t="str">
        <x:v>Kalimantan Timur</x:v>
      </x:c>
      <x:c r="P3723" s="66" t="str">
        <x:v>Kota Samarinda</x:v>
      </x:c>
      <x:c r="Q3723" s="66" t="str">
        <x:v>https://snpmb.id/snbp/daya-tampung-snbp</x:v>
      </x:c>
      <x:c r="R3723" s="66" t="str">
        <x:v>https://sidatagrun-public-1076756628210.asia-southeast2.run.app/ptn_sn.php?ptn=541</x:v>
      </x:c>
    </x:row>
    <x:row r="3724">
      <x:c r="A3724" s="87" t="n">
        <x:v>579</x:v>
      </x:c>
      <x:c r="B3724" s="66" t="n">
        <x:v>541</x:v>
      </x:c>
      <x:c r="C3724" s="66" t="str">
        <x:v>UNIVERSITAS MULAWARMAN</x:v>
      </x:c>
      <x:c r="D3724" s="66" t="str">
        <x:v>PTN Akademik</x:v>
      </x:c>
      <x:c r="E3724" s="66" t="str">
        <x:v>15411028</x:v>
      </x:c>
      <x:c r="F3724" s="66" t="str">
        <x:v>TEKNIK GEOLOGI</x:v>
      </x:c>
      <x:c r="G3724" s="66" t="str">
        <x:v>Sarjana</x:v>
      </x:c>
      <x:c r="H3724" s="87" t="n">
        <x:v>15</x:v>
      </x:c>
      <x:c r="I3724" s="87" t="n">
        <x:v>269</x:v>
      </x:c>
      <x:c r="J3724" s="68" t="n">
        <x:f>IFERROR(H3724/I3724,"")</x:f>
        <x:v>0.055762081784386616</x:v>
      </x:c>
      <x:c r="K3724" s="69" t="n">
        <x:f>IFERROR(I3724/H3724,"")</x:f>
        <x:v>17.933333333333334</x:v>
      </x:c>
      <x:c r="L3724" s="66" t="str">
        <x:f>IF(K3724="","","1 : "&amp;TEXT(K3724,"0.0"))</x:f>
        <x:v>1 : 17.9</x:v>
      </x:c>
      <x:c r="M3724" s="66" t="str">
        <x:f>IF(J3724="","Baru/Tanpa Data",IF(J3724&lt;='Catatan &amp; Sumber'!$B$14,"Sangat Ketat",IF(J3724&lt;='Catatan &amp; Sumber'!$B$15,"Ketat",IF(J3724&lt;='Catatan &amp; Sumber'!$B$16,"Sedang","Relatif Longgar"))))</x:f>
        <x:v>Sedang</x:v>
      </x:c>
      <x:c r="N3724" s="66" t="str">
        <x:v>Tidak Ada</x:v>
      </x:c>
      <x:c r="O3724" s="66" t="str">
        <x:v>Kalimantan Timur</x:v>
      </x:c>
      <x:c r="P3724" s="66" t="str">
        <x:v>Kota Samarinda</x:v>
      </x:c>
      <x:c r="Q3724" s="66" t="str">
        <x:v>https://snpmb.id/snbp/daya-tampung-snbp</x:v>
      </x:c>
      <x:c r="R3724" s="66" t="str">
        <x:v>https://sidatagrun-public-1076756628210.asia-southeast2.run.app/ptn_sn.php?ptn=541</x:v>
      </x:c>
    </x:row>
    <x:row r="3725">
      <x:c r="A3725" s="87" t="n">
        <x:v>1747</x:v>
      </x:c>
      <x:c r="B3725" s="66" t="n">
        <x:v>541</x:v>
      </x:c>
      <x:c r="C3725" s="66" t="str">
        <x:v>UNIVERSITAS MULAWARMAN</x:v>
      </x:c>
      <x:c r="D3725" s="66" t="str">
        <x:v>PTN Akademik</x:v>
      </x:c>
      <x:c r="E3725" s="66" t="str">
        <x:v>15411030</x:v>
      </x:c>
      <x:c r="F3725" s="66" t="str">
        <x:v>TEKNIK ELEKTRO</x:v>
      </x:c>
      <x:c r="G3725" s="66" t="str">
        <x:v>Sarjana</x:v>
      </x:c>
      <x:c r="H3725" s="87" t="n">
        <x:v>15</x:v>
      </x:c>
      <x:c r="I3725" s="87" t="n">
        <x:v>117</x:v>
      </x:c>
      <x:c r="J3725" s="68" t="n">
        <x:f>IFERROR(H3725/I3725,"")</x:f>
        <x:v>0.1282051282051282</x:v>
      </x:c>
      <x:c r="K3725" s="69" t="n">
        <x:f>IFERROR(I3725/H3725,"")</x:f>
        <x:v>7.8</x:v>
      </x:c>
      <x:c r="L3725" s="66" t="str">
        <x:f>IF(K3725="","","1 : "&amp;TEXT(K3725,"0.0"))</x:f>
        <x:v>1 : 7.8</x:v>
      </x:c>
      <x:c r="M3725" s="66" t="str">
        <x:f>IF(J3725="","Baru/Tanpa Data",IF(J3725&lt;='Catatan &amp; Sumber'!$B$14,"Sangat Ketat",IF(J3725&lt;='Catatan &amp; Sumber'!$B$15,"Ketat",IF(J3725&lt;='Catatan &amp; Sumber'!$B$16,"Sedang","Relatif Longgar"))))</x:f>
        <x:v>Relatif Longgar</x:v>
      </x:c>
      <x:c r="N3725" s="66" t="str">
        <x:v>Tidak Ada</x:v>
      </x:c>
      <x:c r="O3725" s="66" t="str">
        <x:v>Kalimantan Timur</x:v>
      </x:c>
      <x:c r="P3725" s="66" t="str">
        <x:v>Kota Samarinda</x:v>
      </x:c>
      <x:c r="Q3725" s="66" t="str">
        <x:v>https://snpmb.id/snbp/daya-tampung-snbp</x:v>
      </x:c>
      <x:c r="R3725" s="66" t="str">
        <x:v>https://sidatagrun-public-1076756628210.asia-southeast2.run.app/ptn_sn.php?ptn=541</x:v>
      </x:c>
    </x:row>
    <x:row r="3726">
      <x:c r="A3726" s="87" t="n">
        <x:v>3573</x:v>
      </x:c>
      <x:c r="B3726" s="66" t="n">
        <x:v>541</x:v>
      </x:c>
      <x:c r="C3726" s="66" t="str">
        <x:v>UNIVERSITAS MULAWARMAN</x:v>
      </x:c>
      <x:c r="D3726" s="66" t="str">
        <x:v>PTN Akademik</x:v>
      </x:c>
      <x:c r="E3726" s="66" t="str">
        <x:v>15411031</x:v>
      </x:c>
      <x:c r="F3726" s="66" t="str">
        <x:v>TEKNOLOGI HASIL PERIKANAN</x:v>
      </x:c>
      <x:c r="G3726" s="66" t="str">
        <x:v>Sarjana</x:v>
      </x:c>
      <x:c r="H3726" s="87" t="n">
        <x:v>12</x:v>
      </x:c>
      <x:c r="I3726" s="87" t="n">
        <x:v>26</x:v>
      </x:c>
      <x:c r="J3726" s="68" t="n">
        <x:f>IFERROR(H3726/I3726,"")</x:f>
        <x:v>0.46153846153846156</x:v>
      </x:c>
      <x:c r="K3726" s="69" t="n">
        <x:f>IFERROR(I3726/H3726,"")</x:f>
        <x:v>2.1666666666666665</x:v>
      </x:c>
      <x:c r="L3726" s="66" t="str">
        <x:f>IF(K3726="","","1 : "&amp;TEXT(K3726,"0.0"))</x:f>
        <x:v>1 : 2.2</x:v>
      </x:c>
      <x:c r="M3726" s="66" t="str">
        <x:f>IF(J3726="","Baru/Tanpa Data",IF(J3726&lt;='Catatan &amp; Sumber'!$B$14,"Sangat Ketat",IF(J3726&lt;='Catatan &amp; Sumber'!$B$15,"Ketat",IF(J3726&lt;='Catatan &amp; Sumber'!$B$16,"Sedang","Relatif Longgar"))))</x:f>
        <x:v>Relatif Longgar</x:v>
      </x:c>
      <x:c r="N3726" s="66" t="str">
        <x:v>Tidak Ada</x:v>
      </x:c>
      <x:c r="O3726" s="66" t="str">
        <x:v>Kalimantan Timur</x:v>
      </x:c>
      <x:c r="P3726" s="66" t="str">
        <x:v>Kota Samarinda</x:v>
      </x:c>
      <x:c r="Q3726" s="66" t="str">
        <x:v>https://snpmb.id/snbp/daya-tampung-snbp</x:v>
      </x:c>
      <x:c r="R3726" s="66" t="str">
        <x:v>https://sidatagrun-public-1076756628210.asia-southeast2.run.app/ptn_sn.php?ptn=541</x:v>
      </x:c>
    </x:row>
    <x:row r="3727">
      <x:c r="A3727" s="87" t="n">
        <x:v>111</x:v>
      </x:c>
      <x:c r="B3727" s="66" t="n">
        <x:v>541</x:v>
      </x:c>
      <x:c r="C3727" s="66" t="str">
        <x:v>UNIVERSITAS MULAWARMAN</x:v>
      </x:c>
      <x:c r="D3727" s="66" t="str">
        <x:v>PTN Akademik</x:v>
      </x:c>
      <x:c r="E3727" s="66" t="str">
        <x:v>15411032</x:v>
      </x:c>
      <x:c r="F3727" s="66" t="str">
        <x:v>KEDOKTERAN GIGI</x:v>
      </x:c>
      <x:c r="G3727" s="66" t="str">
        <x:v>Sarjana</x:v>
      </x:c>
      <x:c r="H3727" s="87" t="n">
        <x:v>12</x:v>
      </x:c>
      <x:c r="I3727" s="87" t="n">
        <x:v>399</x:v>
      </x:c>
      <x:c r="J3727" s="68" t="n">
        <x:f>IFERROR(H3727/I3727,"")</x:f>
        <x:v>0.03007518796992481</x:v>
      </x:c>
      <x:c r="K3727" s="69" t="n">
        <x:f>IFERROR(I3727/H3727,"")</x:f>
        <x:v>33.25</x:v>
      </x:c>
      <x:c r="L3727" s="66" t="str">
        <x:f>IF(K3727="","","1 : "&amp;TEXT(K3727,"0.0"))</x:f>
        <x:v>1 : 33.3</x:v>
      </x:c>
      <x:c r="M3727" s="66" t="str">
        <x:f>IF(J3727="","Baru/Tanpa Data",IF(J3727&lt;='Catatan &amp; Sumber'!$B$14,"Sangat Ketat",IF(J3727&lt;='Catatan &amp; Sumber'!$B$15,"Ketat",IF(J3727&lt;='Catatan &amp; Sumber'!$B$16,"Sedang","Relatif Longgar"))))</x:f>
        <x:v>Ketat</x:v>
      </x:c>
      <x:c r="N3727" s="66" t="str">
        <x:v>Tidak Ada</x:v>
      </x:c>
      <x:c r="O3727" s="66" t="str">
        <x:v>Kalimantan Timur</x:v>
      </x:c>
      <x:c r="P3727" s="66" t="str">
        <x:v>Kota Samarinda</x:v>
      </x:c>
      <x:c r="Q3727" s="66" t="str">
        <x:v>https://snpmb.id/snbp/daya-tampung-snbp</x:v>
      </x:c>
      <x:c r="R3727" s="66" t="str">
        <x:v>https://sidatagrun-public-1076756628210.asia-southeast2.run.app/ptn_sn.php?ptn=541</x:v>
      </x:c>
    </x:row>
    <x:row r="3728">
      <x:c r="A3728" s="87" t="n">
        <x:v>3605</x:v>
      </x:c>
      <x:c r="B3728" s="66" t="n">
        <x:v>541</x:v>
      </x:c>
      <x:c r="C3728" s="66" t="str">
        <x:v>UNIVERSITAS MULAWARMAN</x:v>
      </x:c>
      <x:c r="D3728" s="66" t="str">
        <x:v>PTN Akademik</x:v>
      </x:c>
      <x:c r="E3728" s="66" t="str">
        <x:v>15411033</x:v>
      </x:c>
      <x:c r="F3728" s="66" t="str">
        <x:v>MATEMATIKA</x:v>
      </x:c>
      <x:c r="G3728" s="66" t="str">
        <x:v>Sarjana</x:v>
      </x:c>
      <x:c r="H3728" s="87" t="n">
        <x:v>17</x:v>
      </x:c>
      <x:c r="I3728" s="87" t="n">
        <x:v>36</x:v>
      </x:c>
      <x:c r="J3728" s="68" t="n">
        <x:f>IFERROR(H3728/I3728,"")</x:f>
        <x:v>0.4722222222222222</x:v>
      </x:c>
      <x:c r="K3728" s="69" t="n">
        <x:f>IFERROR(I3728/H3728,"")</x:f>
        <x:v>2.1176470588235294</x:v>
      </x:c>
      <x:c r="L3728" s="66" t="str">
        <x:f>IF(K3728="","","1 : "&amp;TEXT(K3728,"0.0"))</x:f>
        <x:v>1 : 2.1</x:v>
      </x:c>
      <x:c r="M3728" s="66" t="str">
        <x:f>IF(J3728="","Baru/Tanpa Data",IF(J3728&lt;='Catatan &amp; Sumber'!$B$14,"Sangat Ketat",IF(J3728&lt;='Catatan &amp; Sumber'!$B$15,"Ketat",IF(J3728&lt;='Catatan &amp; Sumber'!$B$16,"Sedang","Relatif Longgar"))))</x:f>
        <x:v>Relatif Longgar</x:v>
      </x:c>
      <x:c r="N3728" s="66" t="str">
        <x:v>Tidak Ada</x:v>
      </x:c>
      <x:c r="O3728" s="66" t="str">
        <x:v>Kalimantan Timur</x:v>
      </x:c>
      <x:c r="P3728" s="66" t="str">
        <x:v>Kota Samarinda</x:v>
      </x:c>
      <x:c r="Q3728" s="66" t="str">
        <x:v>https://snpmb.id/snbp/daya-tampung-snbp</x:v>
      </x:c>
      <x:c r="R3728" s="66" t="str">
        <x:v>https://sidatagrun-public-1076756628210.asia-southeast2.run.app/ptn_sn.php?ptn=541</x:v>
      </x:c>
    </x:row>
    <x:row r="3729">
      <x:c r="A3729" s="87" t="n">
        <x:v>3209</x:v>
      </x:c>
      <x:c r="B3729" s="66" t="n">
        <x:v>541</x:v>
      </x:c>
      <x:c r="C3729" s="66" t="str">
        <x:v>UNIVERSITAS MULAWARMAN</x:v>
      </x:c>
      <x:c r="D3729" s="66" t="str">
        <x:v>PTN Akademik</x:v>
      </x:c>
      <x:c r="E3729" s="66" t="str">
        <x:v>15411034</x:v>
      </x:c>
      <x:c r="F3729" s="66" t="str">
        <x:v>ILMU KELAUTAN</x:v>
      </x:c>
      <x:c r="G3729" s="66" t="str">
        <x:v>Sarjana</x:v>
      </x:c>
      <x:c r="H3729" s="87" t="n">
        <x:v>21</x:v>
      </x:c>
      <x:c r="I3729" s="87" t="n">
        <x:v>61</x:v>
      </x:c>
      <x:c r="J3729" s="68" t="n">
        <x:f>IFERROR(H3729/I3729,"")</x:f>
        <x:v>0.3442622950819672</x:v>
      </x:c>
      <x:c r="K3729" s="69" t="n">
        <x:f>IFERROR(I3729/H3729,"")</x:f>
        <x:v>2.9047619047619047</x:v>
      </x:c>
      <x:c r="L3729" s="66" t="str">
        <x:f>IF(K3729="","","1 : "&amp;TEXT(K3729,"0.0"))</x:f>
        <x:v>1 : 2.9</x:v>
      </x:c>
      <x:c r="M3729" s="66" t="str">
        <x:f>IF(J3729="","Baru/Tanpa Data",IF(J3729&lt;='Catatan &amp; Sumber'!$B$14,"Sangat Ketat",IF(J3729&lt;='Catatan &amp; Sumber'!$B$15,"Ketat",IF(J3729&lt;='Catatan &amp; Sumber'!$B$16,"Sedang","Relatif Longgar"))))</x:f>
        <x:v>Relatif Longgar</x:v>
      </x:c>
      <x:c r="N3729" s="66" t="str">
        <x:v>Tidak Ada</x:v>
      </x:c>
      <x:c r="O3729" s="66" t="str">
        <x:v>Kalimantan Timur</x:v>
      </x:c>
      <x:c r="P3729" s="66" t="str">
        <x:v>Kota Samarinda</x:v>
      </x:c>
      <x:c r="Q3729" s="66" t="str">
        <x:v>https://snpmb.id/snbp/daya-tampung-snbp</x:v>
      </x:c>
      <x:c r="R3729" s="66" t="str">
        <x:v>https://sidatagrun-public-1076756628210.asia-southeast2.run.app/ptn_sn.php?ptn=541</x:v>
      </x:c>
    </x:row>
    <x:row r="3730">
      <x:c r="A3730" s="87" t="n">
        <x:v>3479</x:v>
      </x:c>
      <x:c r="B3730" s="66" t="n">
        <x:v>541</x:v>
      </x:c>
      <x:c r="C3730" s="66" t="str">
        <x:v>UNIVERSITAS MULAWARMAN</x:v>
      </x:c>
      <x:c r="D3730" s="66" t="str">
        <x:v>PTN Akademik</x:v>
      </x:c>
      <x:c r="E3730" s="66" t="str">
        <x:v>15411035</x:v>
      </x:c>
      <x:c r="F3730" s="66" t="str">
        <x:v>GEOFISIKA</x:v>
      </x:c>
      <x:c r="G3730" s="66" t="str">
        <x:v>Sarjana</x:v>
      </x:c>
      <x:c r="H3730" s="87" t="n">
        <x:v>15</x:v>
      </x:c>
      <x:c r="I3730" s="87" t="n">
        <x:v>35</x:v>
      </x:c>
      <x:c r="J3730" s="68" t="n">
        <x:f>IFERROR(H3730/I3730,"")</x:f>
        <x:v>0.42857142857142855</x:v>
      </x:c>
      <x:c r="K3730" s="69" t="n">
        <x:f>IFERROR(I3730/H3730,"")</x:f>
        <x:v>2.3333333333333335</x:v>
      </x:c>
      <x:c r="L3730" s="66" t="str">
        <x:f>IF(K3730="","","1 : "&amp;TEXT(K3730,"0.0"))</x:f>
        <x:v>1 : 2.3</x:v>
      </x:c>
      <x:c r="M3730" s="66" t="str">
        <x:f>IF(J3730="","Baru/Tanpa Data",IF(J3730&lt;='Catatan &amp; Sumber'!$B$14,"Sangat Ketat",IF(J3730&lt;='Catatan &amp; Sumber'!$B$15,"Ketat",IF(J3730&lt;='Catatan &amp; Sumber'!$B$16,"Sedang","Relatif Longgar"))))</x:f>
        <x:v>Relatif Longgar</x:v>
      </x:c>
      <x:c r="N3730" s="66" t="str">
        <x:v>Tidak Ada</x:v>
      </x:c>
      <x:c r="O3730" s="66" t="str">
        <x:v>Kalimantan Timur</x:v>
      </x:c>
      <x:c r="P3730" s="66" t="str">
        <x:v>Kota Samarinda</x:v>
      </x:c>
      <x:c r="Q3730" s="66" t="str">
        <x:v>https://snpmb.id/snbp/daya-tampung-snbp</x:v>
      </x:c>
      <x:c r="R3730" s="66" t="str">
        <x:v>https://sidatagrun-public-1076756628210.asia-southeast2.run.app/ptn_sn.php?ptn=541</x:v>
      </x:c>
    </x:row>
    <x:row r="3731">
      <x:c r="A3731" s="87" t="n">
        <x:v>2199</x:v>
      </x:c>
      <x:c r="B3731" s="66" t="n">
        <x:v>541</x:v>
      </x:c>
      <x:c r="C3731" s="66" t="str">
        <x:v>UNIVERSITAS MULAWARMAN</x:v>
      </x:c>
      <x:c r="D3731" s="66" t="str">
        <x:v>PTN Akademik</x:v>
      </x:c>
      <x:c r="E3731" s="66" t="str">
        <x:v>15411036</x:v>
      </x:c>
      <x:c r="F3731" s="66" t="str">
        <x:v>PENDIDIKAN KOMPUTER</x:v>
      </x:c>
      <x:c r="G3731" s="66" t="str">
        <x:v>Sarjana</x:v>
      </x:c>
      <x:c r="H3731" s="87" t="n">
        <x:v>24</x:v>
      </x:c>
      <x:c r="I3731" s="87" t="n">
        <x:v>140</x:v>
      </x:c>
      <x:c r="J3731" s="68" t="n">
        <x:f>IFERROR(H3731/I3731,"")</x:f>
        <x:v>0.17142857142857143</x:v>
      </x:c>
      <x:c r="K3731" s="69" t="n">
        <x:f>IFERROR(I3731/H3731,"")</x:f>
        <x:v>5.833333333333333</x:v>
      </x:c>
      <x:c r="L3731" s="66" t="str">
        <x:f>IF(K3731="","","1 : "&amp;TEXT(K3731,"0.0"))</x:f>
        <x:v>1 : 5.8</x:v>
      </x:c>
      <x:c r="M3731" s="66" t="str">
        <x:f>IF(J3731="","Baru/Tanpa Data",IF(J3731&lt;='Catatan &amp; Sumber'!$B$14,"Sangat Ketat",IF(J3731&lt;='Catatan &amp; Sumber'!$B$15,"Ketat",IF(J3731&lt;='Catatan &amp; Sumber'!$B$16,"Sedang","Relatif Longgar"))))</x:f>
        <x:v>Relatif Longgar</x:v>
      </x:c>
      <x:c r="N3731" s="66" t="str">
        <x:v>Tidak Ada</x:v>
      </x:c>
      <x:c r="O3731" s="66" t="str">
        <x:v>Kalimantan Timur</x:v>
      </x:c>
      <x:c r="P3731" s="66" t="str">
        <x:v>Kota Samarinda</x:v>
      </x:c>
      <x:c r="Q3731" s="66" t="str">
        <x:v>https://snpmb.id/snbp/daya-tampung-snbp</x:v>
      </x:c>
      <x:c r="R3731" s="66" t="str">
        <x:v>https://sidatagrun-public-1076756628210.asia-southeast2.run.app/ptn_sn.php?ptn=541</x:v>
      </x:c>
    </x:row>
    <x:row r="3732">
      <x:c r="A3732" s="87" t="n">
        <x:v>722</x:v>
      </x:c>
      <x:c r="B3732" s="66" t="n">
        <x:v>541</x:v>
      </x:c>
      <x:c r="C3732" s="66" t="str">
        <x:v>UNIVERSITAS MULAWARMAN</x:v>
      </x:c>
      <x:c r="D3732" s="66" t="str">
        <x:v>PTN Akademik</x:v>
      </x:c>
      <x:c r="E3732" s="66" t="str">
        <x:v>15411038</x:v>
      </x:c>
      <x:c r="F3732" s="66" t="str">
        <x:v>SISTEM INFORMASI</x:v>
      </x:c>
      <x:c r="G3732" s="66" t="str">
        <x:v>Sarjana</x:v>
      </x:c>
      <x:c r="H3732" s="87" t="n">
        <x:v>25</x:v>
      </x:c>
      <x:c r="I3732" s="87" t="n">
        <x:v>395</x:v>
      </x:c>
      <x:c r="J3732" s="68" t="n">
        <x:f>IFERROR(H3732/I3732,"")</x:f>
        <x:v>0.06329113924050633</x:v>
      </x:c>
      <x:c r="K3732" s="69" t="n">
        <x:f>IFERROR(I3732/H3732,"")</x:f>
        <x:v>15.8</x:v>
      </x:c>
      <x:c r="L3732" s="66" t="str">
        <x:f>IF(K3732="","","1 : "&amp;TEXT(K3732,"0.0"))</x:f>
        <x:v>1 : 15.8</x:v>
      </x:c>
      <x:c r="M3732" s="66" t="str">
        <x:f>IF(J3732="","Baru/Tanpa Data",IF(J3732&lt;='Catatan &amp; Sumber'!$B$14,"Sangat Ketat",IF(J3732&lt;='Catatan &amp; Sumber'!$B$15,"Ketat",IF(J3732&lt;='Catatan &amp; Sumber'!$B$16,"Sedang","Relatif Longgar"))))</x:f>
        <x:v>Sedang</x:v>
      </x:c>
      <x:c r="N3732" s="66" t="str">
        <x:v>Tidak Ada</x:v>
      </x:c>
      <x:c r="O3732" s="66" t="str">
        <x:v>Kalimantan Timur</x:v>
      </x:c>
      <x:c r="P3732" s="66" t="str">
        <x:v>Kota Samarinda</x:v>
      </x:c>
      <x:c r="Q3732" s="66" t="str">
        <x:v>https://snpmb.id/snbp/daya-tampung-snbp</x:v>
      </x:c>
      <x:c r="R3732" s="66" t="str">
        <x:v>https://sidatagrun-public-1076756628210.asia-southeast2.run.app/ptn_sn.php?ptn=541</x:v>
      </x:c>
    </x:row>
    <x:row r="3733">
      <x:c r="A3733" s="87" t="n">
        <x:v>397</x:v>
      </x:c>
      <x:c r="B3733" s="66" t="n">
        <x:v>541</x:v>
      </x:c>
      <x:c r="C3733" s="66" t="str">
        <x:v>UNIVERSITAS MULAWARMAN</x:v>
      </x:c>
      <x:c r="D3733" s="66" t="str">
        <x:v>PTN Akademik</x:v>
      </x:c>
      <x:c r="E3733" s="66" t="str">
        <x:v>15411039</x:v>
      </x:c>
      <x:c r="F3733" s="66" t="str">
        <x:v>MANAJEMEN</x:v>
      </x:c>
      <x:c r="G3733" s="66" t="str">
        <x:v>Sarjana</x:v>
      </x:c>
      <x:c r="H3733" s="87" t="n">
        <x:v>56</x:v>
      </x:c>
      <x:c r="I3733" s="87" t="n">
        <x:v>1204</x:v>
      </x:c>
      <x:c r="J3733" s="68" t="n">
        <x:f>IFERROR(H3733/I3733,"")</x:f>
        <x:v>0.046511627906976744</x:v>
      </x:c>
      <x:c r="K3733" s="69" t="n">
        <x:f>IFERROR(I3733/H3733,"")</x:f>
        <x:v>21.5</x:v>
      </x:c>
      <x:c r="L3733" s="66" t="str">
        <x:f>IF(K3733="","","1 : "&amp;TEXT(K3733,"0.0"))</x:f>
        <x:v>1 : 21.5</x:v>
      </x:c>
      <x:c r="M3733" s="66" t="str">
        <x:f>IF(J3733="","Baru/Tanpa Data",IF(J3733&lt;='Catatan &amp; Sumber'!$B$14,"Sangat Ketat",IF(J3733&lt;='Catatan &amp; Sumber'!$B$15,"Ketat",IF(J3733&lt;='Catatan &amp; Sumber'!$B$16,"Sedang","Relatif Longgar"))))</x:f>
        <x:v>Ketat</x:v>
      </x:c>
      <x:c r="N3733" s="66" t="str">
        <x:v>Tidak Ada</x:v>
      </x:c>
      <x:c r="O3733" s="66" t="str">
        <x:v>Kalimantan Timur</x:v>
      </x:c>
      <x:c r="P3733" s="66" t="str">
        <x:v>Kota Samarinda</x:v>
      </x:c>
      <x:c r="Q3733" s="66" t="str">
        <x:v>https://snpmb.id/snbp/daya-tampung-snbp</x:v>
      </x:c>
      <x:c r="R3733" s="66" t="str">
        <x:v>https://sidatagrun-public-1076756628210.asia-southeast2.run.app/ptn_sn.php?ptn=541</x:v>
      </x:c>
    </x:row>
    <x:row r="3734">
      <x:c r="A3734" s="87" t="n">
        <x:v>2031</x:v>
      </x:c>
      <x:c r="B3734" s="66" t="n">
        <x:v>541</x:v>
      </x:c>
      <x:c r="C3734" s="66" t="str">
        <x:v>UNIVERSITAS MULAWARMAN</x:v>
      </x:c>
      <x:c r="D3734" s="66" t="str">
        <x:v>PTN Akademik</x:v>
      </x:c>
      <x:c r="E3734" s="66" t="str">
        <x:v>15411040</x:v>
      </x:c>
      <x:c r="F3734" s="66" t="str">
        <x:v>EKONOMI PEMBANGUNAN</x:v>
      </x:c>
      <x:c r="G3734" s="66" t="str">
        <x:v>Sarjana</x:v>
      </x:c>
      <x:c r="H3734" s="87" t="n">
        <x:v>36</x:v>
      </x:c>
      <x:c r="I3734" s="87" t="n">
        <x:v>233</x:v>
      </x:c>
      <x:c r="J3734" s="68" t="n">
        <x:f>IFERROR(H3734/I3734,"")</x:f>
        <x:v>0.15450643776824036</x:v>
      </x:c>
      <x:c r="K3734" s="69" t="n">
        <x:f>IFERROR(I3734/H3734,"")</x:f>
        <x:v>6.472222222222222</x:v>
      </x:c>
      <x:c r="L3734" s="66" t="str">
        <x:f>IF(K3734="","","1 : "&amp;TEXT(K3734,"0.0"))</x:f>
        <x:v>1 : 6.5</x:v>
      </x:c>
      <x:c r="M3734" s="66" t="str">
        <x:f>IF(J3734="","Baru/Tanpa Data",IF(J3734&lt;='Catatan &amp; Sumber'!$B$14,"Sangat Ketat",IF(J3734&lt;='Catatan &amp; Sumber'!$B$15,"Ketat",IF(J3734&lt;='Catatan &amp; Sumber'!$B$16,"Sedang","Relatif Longgar"))))</x:f>
        <x:v>Relatif Longgar</x:v>
      </x:c>
      <x:c r="N3734" s="66" t="str">
        <x:v>Tidak Ada</x:v>
      </x:c>
      <x:c r="O3734" s="66" t="str">
        <x:v>Kalimantan Timur</x:v>
      </x:c>
      <x:c r="P3734" s="66" t="str">
        <x:v>Kota Samarinda</x:v>
      </x:c>
      <x:c r="Q3734" s="66" t="str">
        <x:v>https://snpmb.id/snbp/daya-tampung-snbp</x:v>
      </x:c>
      <x:c r="R3734" s="66" t="str">
        <x:v>https://sidatagrun-public-1076756628210.asia-southeast2.run.app/ptn_sn.php?ptn=541</x:v>
      </x:c>
    </x:row>
    <x:row r="3735">
      <x:c r="A3735" s="87" t="n">
        <x:v>842</x:v>
      </x:c>
      <x:c r="B3735" s="66" t="n">
        <x:v>541</x:v>
      </x:c>
      <x:c r="C3735" s="66" t="str">
        <x:v>UNIVERSITAS MULAWARMAN</x:v>
      </x:c>
      <x:c r="D3735" s="66" t="str">
        <x:v>PTN Akademik</x:v>
      </x:c>
      <x:c r="E3735" s="66" t="str">
        <x:v>15411041</x:v>
      </x:c>
      <x:c r="F3735" s="66" t="str">
        <x:v>AKUNTANSI</x:v>
      </x:c>
      <x:c r="G3735" s="66" t="str">
        <x:v>Sarjana</x:v>
      </x:c>
      <x:c r="H3735" s="87" t="n">
        <x:v>56</x:v>
      </x:c>
      <x:c r="I3735" s="87" t="n">
        <x:v>812</x:v>
      </x:c>
      <x:c r="J3735" s="68" t="n">
        <x:f>IFERROR(H3735/I3735,"")</x:f>
        <x:v>0.06896551724137931</x:v>
      </x:c>
      <x:c r="K3735" s="69" t="n">
        <x:f>IFERROR(I3735/H3735,"")</x:f>
        <x:v>14.5</x:v>
      </x:c>
      <x:c r="L3735" s="66" t="str">
        <x:f>IF(K3735="","","1 : "&amp;TEXT(K3735,"0.0"))</x:f>
        <x:v>1 : 14.5</x:v>
      </x:c>
      <x:c r="M3735" s="66" t="str">
        <x:f>IF(J3735="","Baru/Tanpa Data",IF(J3735&lt;='Catatan &amp; Sumber'!$B$14,"Sangat Ketat",IF(J3735&lt;='Catatan &amp; Sumber'!$B$15,"Ketat",IF(J3735&lt;='Catatan &amp; Sumber'!$B$16,"Sedang","Relatif Longgar"))))</x:f>
        <x:v>Sedang</x:v>
      </x:c>
      <x:c r="N3735" s="66" t="str">
        <x:v>Tidak Ada</x:v>
      </x:c>
      <x:c r="O3735" s="66" t="str">
        <x:v>Kalimantan Timur</x:v>
      </x:c>
      <x:c r="P3735" s="66" t="str">
        <x:v>Kota Samarinda</x:v>
      </x:c>
      <x:c r="Q3735" s="66" t="str">
        <x:v>https://snpmb.id/snbp/daya-tampung-snbp</x:v>
      </x:c>
      <x:c r="R3735" s="66" t="str">
        <x:v>https://sidatagrun-public-1076756628210.asia-southeast2.run.app/ptn_sn.php?ptn=541</x:v>
      </x:c>
    </x:row>
    <x:row r="3736">
      <x:c r="A3736" s="87" t="n">
        <x:v>618</x:v>
      </x:c>
      <x:c r="B3736" s="66" t="n">
        <x:v>541</x:v>
      </x:c>
      <x:c r="C3736" s="66" t="str">
        <x:v>UNIVERSITAS MULAWARMAN</x:v>
      </x:c>
      <x:c r="D3736" s="66" t="str">
        <x:v>PTN Akademik</x:v>
      </x:c>
      <x:c r="E3736" s="66" t="str">
        <x:v>15411042</x:v>
      </x:c>
      <x:c r="F3736" s="66" t="str">
        <x:v>ADMINISTRASI PUBLIK</x:v>
      </x:c>
      <x:c r="G3736" s="66" t="str">
        <x:v>Sarjana</x:v>
      </x:c>
      <x:c r="H3736" s="87" t="n">
        <x:v>24</x:v>
      </x:c>
      <x:c r="I3736" s="87" t="n">
        <x:v>411</x:v>
      </x:c>
      <x:c r="J3736" s="68" t="n">
        <x:f>IFERROR(H3736/I3736,"")</x:f>
        <x:v>0.058394160583941604</x:v>
      </x:c>
      <x:c r="K3736" s="69" t="n">
        <x:f>IFERROR(I3736/H3736,"")</x:f>
        <x:v>17.125</x:v>
      </x:c>
      <x:c r="L3736" s="66" t="str">
        <x:f>IF(K3736="","","1 : "&amp;TEXT(K3736,"0.0"))</x:f>
        <x:v>1 : 17.1</x:v>
      </x:c>
      <x:c r="M3736" s="66" t="str">
        <x:f>IF(J3736="","Baru/Tanpa Data",IF(J3736&lt;='Catatan &amp; Sumber'!$B$14,"Sangat Ketat",IF(J3736&lt;='Catatan &amp; Sumber'!$B$15,"Ketat",IF(J3736&lt;='Catatan &amp; Sumber'!$B$16,"Sedang","Relatif Longgar"))))</x:f>
        <x:v>Sedang</x:v>
      </x:c>
      <x:c r="N3736" s="66" t="str">
        <x:v>Tidak Ada</x:v>
      </x:c>
      <x:c r="O3736" s="66" t="str">
        <x:v>Kalimantan Timur</x:v>
      </x:c>
      <x:c r="P3736" s="66" t="str">
        <x:v>Kota Samarinda</x:v>
      </x:c>
      <x:c r="Q3736" s="66" t="str">
        <x:v>https://snpmb.id/snbp/daya-tampung-snbp</x:v>
      </x:c>
      <x:c r="R3736" s="66" t="str">
        <x:v>https://sidatagrun-public-1076756628210.asia-southeast2.run.app/ptn_sn.php?ptn=541</x:v>
      </x:c>
    </x:row>
    <x:row r="3737">
      <x:c r="A3737" s="87" t="n">
        <x:v>1191</x:v>
      </x:c>
      <x:c r="B3737" s="66" t="n">
        <x:v>541</x:v>
      </x:c>
      <x:c r="C3737" s="66" t="str">
        <x:v>UNIVERSITAS MULAWARMAN</x:v>
      </x:c>
      <x:c r="D3737" s="66" t="str">
        <x:v>PTN Akademik</x:v>
      </x:c>
      <x:c r="E3737" s="66" t="str">
        <x:v>15411043</x:v>
      </x:c>
      <x:c r="F3737" s="66" t="str">
        <x:v>ILMU PEMERINTAHAN</x:v>
      </x:c>
      <x:c r="G3737" s="66" t="str">
        <x:v>Sarjana</x:v>
      </x:c>
      <x:c r="H3737" s="87" t="n">
        <x:v>24</x:v>
      </x:c>
      <x:c r="I3737" s="87" t="n">
        <x:v>269</x:v>
      </x:c>
      <x:c r="J3737" s="68" t="n">
        <x:f>IFERROR(H3737/I3737,"")</x:f>
        <x:v>0.08921933085501858</x:v>
      </x:c>
      <x:c r="K3737" s="69" t="n">
        <x:f>IFERROR(I3737/H3737,"")</x:f>
        <x:v>11.208333333333334</x:v>
      </x:c>
      <x:c r="L3737" s="66" t="str">
        <x:f>IF(K3737="","","1 : "&amp;TEXT(K3737,"0.0"))</x:f>
        <x:v>1 : 11.2</x:v>
      </x:c>
      <x:c r="M3737" s="66" t="str">
        <x:f>IF(J3737="","Baru/Tanpa Data",IF(J3737&lt;='Catatan &amp; Sumber'!$B$14,"Sangat Ketat",IF(J3737&lt;='Catatan &amp; Sumber'!$B$15,"Ketat",IF(J3737&lt;='Catatan &amp; Sumber'!$B$16,"Sedang","Relatif Longgar"))))</x:f>
        <x:v>Sedang</x:v>
      </x:c>
      <x:c r="N3737" s="66" t="str">
        <x:v>Tidak Ada</x:v>
      </x:c>
      <x:c r="O3737" s="66" t="str">
        <x:v>Kalimantan Timur</x:v>
      </x:c>
      <x:c r="P3737" s="66" t="str">
        <x:v>Kota Samarinda</x:v>
      </x:c>
      <x:c r="Q3737" s="66" t="str">
        <x:v>https://snpmb.id/snbp/daya-tampung-snbp</x:v>
      </x:c>
      <x:c r="R3737" s="66" t="str">
        <x:v>https://sidatagrun-public-1076756628210.asia-southeast2.run.app/ptn_sn.php?ptn=541</x:v>
      </x:c>
    </x:row>
    <x:row r="3738">
      <x:c r="A3738" s="87" t="n">
        <x:v>2563</x:v>
      </x:c>
      <x:c r="B3738" s="66" t="n">
        <x:v>541</x:v>
      </x:c>
      <x:c r="C3738" s="66" t="str">
        <x:v>UNIVERSITAS MULAWARMAN</x:v>
      </x:c>
      <x:c r="D3738" s="66" t="str">
        <x:v>PTN Akademik</x:v>
      </x:c>
      <x:c r="E3738" s="66" t="str">
        <x:v>15411044</x:v>
      </x:c>
      <x:c r="F3738" s="66" t="str">
        <x:v>PEMBANGUNAN SOSIAL</x:v>
      </x:c>
      <x:c r="G3738" s="66" t="str">
        <x:v>Sarjana</x:v>
      </x:c>
      <x:c r="H3738" s="87" t="n">
        <x:v>24</x:v>
      </x:c>
      <x:c r="I3738" s="87" t="n">
        <x:v>108</x:v>
      </x:c>
      <x:c r="J3738" s="68" t="n">
        <x:f>IFERROR(H3738/I3738,"")</x:f>
        <x:v>0.2222222222222222</x:v>
      </x:c>
      <x:c r="K3738" s="69" t="n">
        <x:f>IFERROR(I3738/H3738,"")</x:f>
        <x:v>4.5</x:v>
      </x:c>
      <x:c r="L3738" s="66" t="str">
        <x:f>IF(K3738="","","1 : "&amp;TEXT(K3738,"0.0"))</x:f>
        <x:v>1 : 4.5</x:v>
      </x:c>
      <x:c r="M3738" s="66" t="str">
        <x:f>IF(J3738="","Baru/Tanpa Data",IF(J3738&lt;='Catatan &amp; Sumber'!$B$14,"Sangat Ketat",IF(J3738&lt;='Catatan &amp; Sumber'!$B$15,"Ketat",IF(J3738&lt;='Catatan &amp; Sumber'!$B$16,"Sedang","Relatif Longgar"))))</x:f>
        <x:v>Relatif Longgar</x:v>
      </x:c>
      <x:c r="N3738" s="66" t="str">
        <x:v>Tidak Ada</x:v>
      </x:c>
      <x:c r="O3738" s="66" t="str">
        <x:v>Kalimantan Timur</x:v>
      </x:c>
      <x:c r="P3738" s="66" t="str">
        <x:v>Kota Samarinda</x:v>
      </x:c>
      <x:c r="Q3738" s="66" t="str">
        <x:v>https://snpmb.id/snbp/daya-tampung-snbp</x:v>
      </x:c>
      <x:c r="R3738" s="66" t="str">
        <x:v>https://sidatagrun-public-1076756628210.asia-southeast2.run.app/ptn_sn.php?ptn=541</x:v>
      </x:c>
    </x:row>
    <x:row r="3739">
      <x:c r="A3739" s="87" t="n">
        <x:v>1828</x:v>
      </x:c>
      <x:c r="B3739" s="66" t="n">
        <x:v>541</x:v>
      </x:c>
      <x:c r="C3739" s="66" t="str">
        <x:v>UNIVERSITAS MULAWARMAN</x:v>
      </x:c>
      <x:c r="D3739" s="66" t="str">
        <x:v>PTN Akademik</x:v>
      </x:c>
      <x:c r="E3739" s="66" t="str">
        <x:v>15411045</x:v>
      </x:c>
      <x:c r="F3739" s="66" t="str">
        <x:v>ILMU HUBUNGAN INTERNASIONAL</x:v>
      </x:c>
      <x:c r="G3739" s="66" t="str">
        <x:v>Sarjana</x:v>
      </x:c>
      <x:c r="H3739" s="87" t="n">
        <x:v>24</x:v>
      </x:c>
      <x:c r="I3739" s="87" t="n">
        <x:v>178</x:v>
      </x:c>
      <x:c r="J3739" s="68" t="n">
        <x:f>IFERROR(H3739/I3739,"")</x:f>
        <x:v>0.1348314606741573</x:v>
      </x:c>
      <x:c r="K3739" s="69" t="n">
        <x:f>IFERROR(I3739/H3739,"")</x:f>
        <x:v>7.416666666666667</x:v>
      </x:c>
      <x:c r="L3739" s="66" t="str">
        <x:f>IF(K3739="","","1 : "&amp;TEXT(K3739,"0.0"))</x:f>
        <x:v>1 : 7.4</x:v>
      </x:c>
      <x:c r="M3739" s="66" t="str">
        <x:f>IF(J3739="","Baru/Tanpa Data",IF(J3739&lt;='Catatan &amp; Sumber'!$B$14,"Sangat Ketat",IF(J3739&lt;='Catatan &amp; Sumber'!$B$15,"Ketat",IF(J3739&lt;='Catatan &amp; Sumber'!$B$16,"Sedang","Relatif Longgar"))))</x:f>
        <x:v>Relatif Longgar</x:v>
      </x:c>
      <x:c r="N3739" s="66" t="str">
        <x:v>Tidak Ada</x:v>
      </x:c>
      <x:c r="O3739" s="66" t="str">
        <x:v>Kalimantan Timur</x:v>
      </x:c>
      <x:c r="P3739" s="66" t="str">
        <x:v>Kota Samarinda</x:v>
      </x:c>
      <x:c r="Q3739" s="66" t="str">
        <x:v>https://snpmb.id/snbp/daya-tampung-snbp</x:v>
      </x:c>
      <x:c r="R3739" s="66" t="str">
        <x:v>https://sidatagrun-public-1076756628210.asia-southeast2.run.app/ptn_sn.php?ptn=541</x:v>
      </x:c>
    </x:row>
    <x:row r="3740">
      <x:c r="A3740" s="87" t="n">
        <x:v>453</x:v>
      </x:c>
      <x:c r="B3740" s="66" t="n">
        <x:v>541</x:v>
      </x:c>
      <x:c r="C3740" s="66" t="str">
        <x:v>UNIVERSITAS MULAWARMAN</x:v>
      </x:c>
      <x:c r="D3740" s="66" t="str">
        <x:v>PTN Akademik</x:v>
      </x:c>
      <x:c r="E3740" s="66" t="str">
        <x:v>15411046</x:v>
      </x:c>
      <x:c r="F3740" s="66" t="str">
        <x:v>ILMU KOMUNIKASI</x:v>
      </x:c>
      <x:c r="G3740" s="66" t="str">
        <x:v>Sarjana</x:v>
      </x:c>
      <x:c r="H3740" s="87" t="n">
        <x:v>24</x:v>
      </x:c>
      <x:c r="I3740" s="87" t="n">
        <x:v>489</x:v>
      </x:c>
      <x:c r="J3740" s="68" t="n">
        <x:f>IFERROR(H3740/I3740,"")</x:f>
        <x:v>0.049079754601226995</x:v>
      </x:c>
      <x:c r="K3740" s="69" t="n">
        <x:f>IFERROR(I3740/H3740,"")</x:f>
        <x:v>20.375</x:v>
      </x:c>
      <x:c r="L3740" s="66" t="str">
        <x:f>IF(K3740="","","1 : "&amp;TEXT(K3740,"0.0"))</x:f>
        <x:v>1 : 20.4</x:v>
      </x:c>
      <x:c r="M3740" s="66" t="str">
        <x:f>IF(J3740="","Baru/Tanpa Data",IF(J3740&lt;='Catatan &amp; Sumber'!$B$14,"Sangat Ketat",IF(J3740&lt;='Catatan &amp; Sumber'!$B$15,"Ketat",IF(J3740&lt;='Catatan &amp; Sumber'!$B$16,"Sedang","Relatif Longgar"))))</x:f>
        <x:v>Ketat</x:v>
      </x:c>
      <x:c r="N3740" s="66" t="str">
        <x:v>Tidak Ada</x:v>
      </x:c>
      <x:c r="O3740" s="66" t="str">
        <x:v>Kalimantan Timur</x:v>
      </x:c>
      <x:c r="P3740" s="66" t="str">
        <x:v>Kota Samarinda</x:v>
      </x:c>
      <x:c r="Q3740" s="66" t="str">
        <x:v>https://snpmb.id/snbp/daya-tampung-snbp</x:v>
      </x:c>
      <x:c r="R3740" s="66" t="str">
        <x:v>https://sidatagrun-public-1076756628210.asia-southeast2.run.app/ptn_sn.php?ptn=541</x:v>
      </x:c>
    </x:row>
    <x:row r="3741">
      <x:c r="A3741" s="87" t="n">
        <x:v>92</x:v>
      </x:c>
      <x:c r="B3741" s="66" t="n">
        <x:v>541</x:v>
      </x:c>
      <x:c r="C3741" s="66" t="str">
        <x:v>UNIVERSITAS MULAWARMAN</x:v>
      </x:c>
      <x:c r="D3741" s="66" t="str">
        <x:v>PTN Akademik</x:v>
      </x:c>
      <x:c r="E3741" s="66" t="str">
        <x:v>15411047</x:v>
      </x:c>
      <x:c r="F3741" s="66" t="str">
        <x:v>ADMINISTRASI BISNIS</x:v>
      </x:c>
      <x:c r="G3741" s="66" t="str">
        <x:v>Sarjana</x:v>
      </x:c>
      <x:c r="H3741" s="87" t="n">
        <x:v>24</x:v>
      </x:c>
      <x:c r="I3741" s="87" t="n">
        <x:v>871</x:v>
      </x:c>
      <x:c r="J3741" s="68" t="n">
        <x:f>IFERROR(H3741/I3741,"")</x:f>
        <x:v>0.027554535017221583</x:v>
      </x:c>
      <x:c r="K3741" s="69" t="n">
        <x:f>IFERROR(I3741/H3741,"")</x:f>
        <x:v>36.291666666666664</x:v>
      </x:c>
      <x:c r="L3741" s="66" t="str">
        <x:f>IF(K3741="","","1 : "&amp;TEXT(K3741,"0.0"))</x:f>
        <x:v>1 : 36.3</x:v>
      </x:c>
      <x:c r="M3741" s="66" t="str">
        <x:f>IF(J3741="","Baru/Tanpa Data",IF(J3741&lt;='Catatan &amp; Sumber'!$B$14,"Sangat Ketat",IF(J3741&lt;='Catatan &amp; Sumber'!$B$15,"Ketat",IF(J3741&lt;='Catatan &amp; Sumber'!$B$16,"Sedang","Relatif Longgar"))))</x:f>
        <x:v>Ketat</x:v>
      </x:c>
      <x:c r="N3741" s="66" t="str">
        <x:v>Tidak Ada</x:v>
      </x:c>
      <x:c r="O3741" s="66" t="str">
        <x:v>Kalimantan Timur</x:v>
      </x:c>
      <x:c r="P3741" s="66" t="str">
        <x:v>Kota Samarinda</x:v>
      </x:c>
      <x:c r="Q3741" s="66" t="str">
        <x:v>https://snpmb.id/snbp/daya-tampung-snbp</x:v>
      </x:c>
      <x:c r="R3741" s="66" t="str">
        <x:v>https://sidatagrun-public-1076756628210.asia-southeast2.run.app/ptn_sn.php?ptn=541</x:v>
      </x:c>
    </x:row>
    <x:row r="3742">
      <x:c r="A3742" s="87" t="n">
        <x:v>2931</x:v>
      </x:c>
      <x:c r="B3742" s="66" t="n">
        <x:v>541</x:v>
      </x:c>
      <x:c r="C3742" s="66" t="str">
        <x:v>UNIVERSITAS MULAWARMAN</x:v>
      </x:c>
      <x:c r="D3742" s="66" t="str">
        <x:v>PTN Akademik</x:v>
      </x:c>
      <x:c r="E3742" s="66" t="str">
        <x:v>15411048</x:v>
      </x:c>
      <x:c r="F3742" s="66" t="str">
        <x:v>PEND. PANCASILA DAN KEWARGANEGARAAN</x:v>
      </x:c>
      <x:c r="G3742" s="66" t="str">
        <x:v>Sarjana</x:v>
      </x:c>
      <x:c r="H3742" s="87" t="n">
        <x:v>24</x:v>
      </x:c>
      <x:c r="I3742" s="87" t="n">
        <x:v>86</x:v>
      </x:c>
      <x:c r="J3742" s="68" t="n">
        <x:f>IFERROR(H3742/I3742,"")</x:f>
        <x:v>0.27906976744186046</x:v>
      </x:c>
      <x:c r="K3742" s="69" t="n">
        <x:f>IFERROR(I3742/H3742,"")</x:f>
        <x:v>3.5833333333333335</x:v>
      </x:c>
      <x:c r="L3742" s="66" t="str">
        <x:f>IF(K3742="","","1 : "&amp;TEXT(K3742,"0.0"))</x:f>
        <x:v>1 : 3.6</x:v>
      </x:c>
      <x:c r="M3742" s="66" t="str">
        <x:f>IF(J3742="","Baru/Tanpa Data",IF(J3742&lt;='Catatan &amp; Sumber'!$B$14,"Sangat Ketat",IF(J3742&lt;='Catatan &amp; Sumber'!$B$15,"Ketat",IF(J3742&lt;='Catatan &amp; Sumber'!$B$16,"Sedang","Relatif Longgar"))))</x:f>
        <x:v>Relatif Longgar</x:v>
      </x:c>
      <x:c r="N3742" s="66" t="str">
        <x:v>Tidak Ada</x:v>
      </x:c>
      <x:c r="O3742" s="66" t="str">
        <x:v>Kalimantan Timur</x:v>
      </x:c>
      <x:c r="P3742" s="66" t="str">
        <x:v>Kota Samarinda</x:v>
      </x:c>
      <x:c r="Q3742" s="66" t="str">
        <x:v>https://snpmb.id/snbp/daya-tampung-snbp</x:v>
      </x:c>
      <x:c r="R3742" s="66" t="str">
        <x:v>https://sidatagrun-public-1076756628210.asia-southeast2.run.app/ptn_sn.php?ptn=541</x:v>
      </x:c>
    </x:row>
    <x:row r="3743">
      <x:c r="A3743" s="87" t="n">
        <x:v>2542</x:v>
      </x:c>
      <x:c r="B3743" s="66" t="n">
        <x:v>541</x:v>
      </x:c>
      <x:c r="C3743" s="66" t="str">
        <x:v>UNIVERSITAS MULAWARMAN</x:v>
      </x:c>
      <x:c r="D3743" s="66" t="str">
        <x:v>PTN Akademik</x:v>
      </x:c>
      <x:c r="E3743" s="66" t="str">
        <x:v>15411049</x:v>
      </x:c>
      <x:c r="F3743" s="66" t="str">
        <x:v>PENDIDIKAN EKONOMI</x:v>
      </x:c>
      <x:c r="G3743" s="66" t="str">
        <x:v>Sarjana</x:v>
      </x:c>
      <x:c r="H3743" s="87" t="n">
        <x:v>21</x:v>
      </x:c>
      <x:c r="I3743" s="87" t="n">
        <x:v>96</x:v>
      </x:c>
      <x:c r="J3743" s="68" t="n">
        <x:f>IFERROR(H3743/I3743,"")</x:f>
        <x:v>0.21875</x:v>
      </x:c>
      <x:c r="K3743" s="69" t="n">
        <x:f>IFERROR(I3743/H3743,"")</x:f>
        <x:v>4.571428571428571</x:v>
      </x:c>
      <x:c r="L3743" s="66" t="str">
        <x:f>IF(K3743="","","1 : "&amp;TEXT(K3743,"0.0"))</x:f>
        <x:v>1 : 4.6</x:v>
      </x:c>
      <x:c r="M3743" s="66" t="str">
        <x:f>IF(J3743="","Baru/Tanpa Data",IF(J3743&lt;='Catatan &amp; Sumber'!$B$14,"Sangat Ketat",IF(J3743&lt;='Catatan &amp; Sumber'!$B$15,"Ketat",IF(J3743&lt;='Catatan &amp; Sumber'!$B$16,"Sedang","Relatif Longgar"))))</x:f>
        <x:v>Relatif Longgar</x:v>
      </x:c>
      <x:c r="N3743" s="66" t="str">
        <x:v>Tidak Ada</x:v>
      </x:c>
      <x:c r="O3743" s="66" t="str">
        <x:v>Kalimantan Timur</x:v>
      </x:c>
      <x:c r="P3743" s="66" t="str">
        <x:v>Kota Samarinda</x:v>
      </x:c>
      <x:c r="Q3743" s="66" t="str">
        <x:v>https://snpmb.id/snbp/daya-tampung-snbp</x:v>
      </x:c>
      <x:c r="R3743" s="66" t="str">
        <x:v>https://sidatagrun-public-1076756628210.asia-southeast2.run.app/ptn_sn.php?ptn=541</x:v>
      </x:c>
    </x:row>
    <x:row r="3744">
      <x:c r="A3744" s="87" t="n">
        <x:v>2305</x:v>
      </x:c>
      <x:c r="B3744" s="66" t="n">
        <x:v>541</x:v>
      </x:c>
      <x:c r="C3744" s="66" t="str">
        <x:v>UNIVERSITAS MULAWARMAN</x:v>
      </x:c>
      <x:c r="D3744" s="66" t="str">
        <x:v>PTN Akademik</x:v>
      </x:c>
      <x:c r="E3744" s="66" t="str">
        <x:v>15411050</x:v>
      </x:c>
      <x:c r="F3744" s="66" t="str">
        <x:v>PEND. BAHASA, SASTRA INDO. &amp; DAERAH</x:v>
      </x:c>
      <x:c r="G3744" s="66" t="str">
        <x:v>Sarjana</x:v>
      </x:c>
      <x:c r="H3744" s="87" t="n">
        <x:v>24</x:v>
      </x:c>
      <x:c r="I3744" s="87" t="n">
        <x:v>130</x:v>
      </x:c>
      <x:c r="J3744" s="68" t="n">
        <x:f>IFERROR(H3744/I3744,"")</x:f>
        <x:v>0.18461538461538463</x:v>
      </x:c>
      <x:c r="K3744" s="69" t="n">
        <x:f>IFERROR(I3744/H3744,"")</x:f>
        <x:v>5.416666666666667</x:v>
      </x:c>
      <x:c r="L3744" s="66" t="str">
        <x:f>IF(K3744="","","1 : "&amp;TEXT(K3744,"0.0"))</x:f>
        <x:v>1 : 5.4</x:v>
      </x:c>
      <x:c r="M3744" s="66" t="str">
        <x:f>IF(J3744="","Baru/Tanpa Data",IF(J3744&lt;='Catatan &amp; Sumber'!$B$14,"Sangat Ketat",IF(J3744&lt;='Catatan &amp; Sumber'!$B$15,"Ketat",IF(J3744&lt;='Catatan &amp; Sumber'!$B$16,"Sedang","Relatif Longgar"))))</x:f>
        <x:v>Relatif Longgar</x:v>
      </x:c>
      <x:c r="N3744" s="66" t="str">
        <x:v>Tidak Ada</x:v>
      </x:c>
      <x:c r="O3744" s="66" t="str">
        <x:v>Kalimantan Timur</x:v>
      </x:c>
      <x:c r="P3744" s="66" t="str">
        <x:v>Kota Samarinda</x:v>
      </x:c>
      <x:c r="Q3744" s="66" t="str">
        <x:v>https://snpmb.id/snbp/daya-tampung-snbp</x:v>
      </x:c>
      <x:c r="R3744" s="66" t="str">
        <x:v>https://sidatagrun-public-1076756628210.asia-southeast2.run.app/ptn_sn.php?ptn=541</x:v>
      </x:c>
    </x:row>
    <x:row r="3745">
      <x:c r="A3745" s="87" t="n">
        <x:v>1917</x:v>
      </x:c>
      <x:c r="B3745" s="66" t="n">
        <x:v>541</x:v>
      </x:c>
      <x:c r="C3745" s="66" t="str">
        <x:v>UNIVERSITAS MULAWARMAN</x:v>
      </x:c>
      <x:c r="D3745" s="66" t="str">
        <x:v>PTN Akademik</x:v>
      </x:c>
      <x:c r="E3745" s="66" t="str">
        <x:v>15411051</x:v>
      </x:c>
      <x:c r="F3745" s="66" t="str">
        <x:v>PENDIDIKAN BAHASA INGGRIS</x:v>
      </x:c>
      <x:c r="G3745" s="66" t="str">
        <x:v>Sarjana</x:v>
      </x:c>
      <x:c r="H3745" s="87" t="n">
        <x:v>27</x:v>
      </x:c>
      <x:c r="I3745" s="87" t="n">
        <x:v>189</x:v>
      </x:c>
      <x:c r="J3745" s="68" t="n">
        <x:f>IFERROR(H3745/I3745,"")</x:f>
        <x:v>0.14285714285714285</x:v>
      </x:c>
      <x:c r="K3745" s="69" t="n">
        <x:f>IFERROR(I3745/H3745,"")</x:f>
        <x:v>7</x:v>
      </x:c>
      <x:c r="L3745" s="66" t="str">
        <x:f>IF(K3745="","","1 : "&amp;TEXT(K3745,"0.0"))</x:f>
        <x:v>1 : 7.0</x:v>
      </x:c>
      <x:c r="M3745" s="66" t="str">
        <x:f>IF(J3745="","Baru/Tanpa Data",IF(J3745&lt;='Catatan &amp; Sumber'!$B$14,"Sangat Ketat",IF(J3745&lt;='Catatan &amp; Sumber'!$B$15,"Ketat",IF(J3745&lt;='Catatan &amp; Sumber'!$B$16,"Sedang","Relatif Longgar"))))</x:f>
        <x:v>Relatif Longgar</x:v>
      </x:c>
      <x:c r="N3745" s="66" t="str">
        <x:v>Tidak Ada</x:v>
      </x:c>
      <x:c r="O3745" s="66" t="str">
        <x:v>Kalimantan Timur</x:v>
      </x:c>
      <x:c r="P3745" s="66" t="str">
        <x:v>Kota Samarinda</x:v>
      </x:c>
      <x:c r="Q3745" s="66" t="str">
        <x:v>https://snpmb.id/snbp/daya-tampung-snbp</x:v>
      </x:c>
      <x:c r="R3745" s="66" t="str">
        <x:v>https://sidatagrun-public-1076756628210.asia-southeast2.run.app/ptn_sn.php?ptn=541</x:v>
      </x:c>
    </x:row>
    <x:row r="3746">
      <x:c r="A3746" s="87" t="n">
        <x:v>1172</x:v>
      </x:c>
      <x:c r="B3746" s="66" t="n">
        <x:v>541</x:v>
      </x:c>
      <x:c r="C3746" s="66" t="str">
        <x:v>UNIVERSITAS MULAWARMAN</x:v>
      </x:c>
      <x:c r="D3746" s="66" t="str">
        <x:v>PTN Akademik</x:v>
      </x:c>
      <x:c r="E3746" s="66" t="str">
        <x:v>15411052</x:v>
      </x:c>
      <x:c r="F3746" s="66" t="str">
        <x:v>BIMBINGAN DAN KONSELING</x:v>
      </x:c>
      <x:c r="G3746" s="66" t="str">
        <x:v>Sarjana</x:v>
      </x:c>
      <x:c r="H3746" s="87" t="n">
        <x:v>24</x:v>
      </x:c>
      <x:c r="I3746" s="87" t="n">
        <x:v>272</x:v>
      </x:c>
      <x:c r="J3746" s="68" t="n">
        <x:f>IFERROR(H3746/I3746,"")</x:f>
        <x:v>0.08823529411764706</x:v>
      </x:c>
      <x:c r="K3746" s="69" t="n">
        <x:f>IFERROR(I3746/H3746,"")</x:f>
        <x:v>11.333333333333334</x:v>
      </x:c>
      <x:c r="L3746" s="66" t="str">
        <x:f>IF(K3746="","","1 : "&amp;TEXT(K3746,"0.0"))</x:f>
        <x:v>1 : 11.3</x:v>
      </x:c>
      <x:c r="M3746" s="66" t="str">
        <x:f>IF(J3746="","Baru/Tanpa Data",IF(J3746&lt;='Catatan &amp; Sumber'!$B$14,"Sangat Ketat",IF(J3746&lt;='Catatan &amp; Sumber'!$B$15,"Ketat",IF(J3746&lt;='Catatan &amp; Sumber'!$B$16,"Sedang","Relatif Longgar"))))</x:f>
        <x:v>Sedang</x:v>
      </x:c>
      <x:c r="N3746" s="66" t="str">
        <x:v>Tidak Ada</x:v>
      </x:c>
      <x:c r="O3746" s="66" t="str">
        <x:v>Kalimantan Timur</x:v>
      </x:c>
      <x:c r="P3746" s="66" t="str">
        <x:v>Kota Samarinda</x:v>
      </x:c>
      <x:c r="Q3746" s="66" t="str">
        <x:v>https://snpmb.id/snbp/daya-tampung-snbp</x:v>
      </x:c>
      <x:c r="R3746" s="66" t="str">
        <x:v>https://sidatagrun-public-1076756628210.asia-southeast2.run.app/ptn_sn.php?ptn=541</x:v>
      </x:c>
    </x:row>
    <x:row r="3747">
      <x:c r="A3747" s="87" t="n">
        <x:v>2996</x:v>
      </x:c>
      <x:c r="B3747" s="66" t="n">
        <x:v>541</x:v>
      </x:c>
      <x:c r="C3747" s="66" t="str">
        <x:v>UNIVERSITAS MULAWARMAN</x:v>
      </x:c>
      <x:c r="D3747" s="66" t="str">
        <x:v>PTN Akademik</x:v>
      </x:c>
      <x:c r="E3747" s="66" t="str">
        <x:v>15411053</x:v>
      </x:c>
      <x:c r="F3747" s="66" t="str">
        <x:v>PENDIDIKAN JASMANI</x:v>
      </x:c>
      <x:c r="G3747" s="66" t="str">
        <x:v>Sarjana</x:v>
      </x:c>
      <x:c r="H3747" s="87" t="n">
        <x:v>24</x:v>
      </x:c>
      <x:c r="I3747" s="87" t="n">
        <x:v>82</x:v>
      </x:c>
      <x:c r="J3747" s="68" t="n">
        <x:f>IFERROR(H3747/I3747,"")</x:f>
        <x:v>0.2926829268292683</x:v>
      </x:c>
      <x:c r="K3747" s="69" t="n">
        <x:f>IFERROR(I3747/H3747,"")</x:f>
        <x:v>3.4166666666666665</x:v>
      </x:c>
      <x:c r="L3747" s="66" t="str">
        <x:f>IF(K3747="","","1 : "&amp;TEXT(K3747,"0.0"))</x:f>
        <x:v>1 : 3.4</x:v>
      </x:c>
      <x:c r="M3747" s="66" t="str">
        <x:f>IF(J3747="","Baru/Tanpa Data",IF(J3747&lt;='Catatan &amp; Sumber'!$B$14,"Sangat Ketat",IF(J3747&lt;='Catatan &amp; Sumber'!$B$15,"Ketat",IF(J3747&lt;='Catatan &amp; Sumber'!$B$16,"Sedang","Relatif Longgar"))))</x:f>
        <x:v>Relatif Longgar</x:v>
      </x:c>
      <x:c r="N3747" s="66" t="str">
        <x:v>Olahraga</x:v>
      </x:c>
      <x:c r="O3747" s="66" t="str">
        <x:v>Kalimantan Timur</x:v>
      </x:c>
      <x:c r="P3747" s="66" t="str">
        <x:v>Kota Samarinda</x:v>
      </x:c>
      <x:c r="Q3747" s="66" t="str">
        <x:v>https://snpmb.id/snbp/daya-tampung-snbp</x:v>
      </x:c>
      <x:c r="R3747" s="66" t="str">
        <x:v>https://sidatagrun-public-1076756628210.asia-southeast2.run.app/ptn_sn.php?ptn=541</x:v>
      </x:c>
    </x:row>
    <x:row r="3748">
      <x:c r="A3748" s="87" t="n">
        <x:v>1076</x:v>
      </x:c>
      <x:c r="B3748" s="66" t="n">
        <x:v>541</x:v>
      </x:c>
      <x:c r="C3748" s="66" t="str">
        <x:v>UNIVERSITAS MULAWARMAN</x:v>
      </x:c>
      <x:c r="D3748" s="66" t="str">
        <x:v>PTN Akademik</x:v>
      </x:c>
      <x:c r="E3748" s="66" t="str">
        <x:v>15411054</x:v>
      </x:c>
      <x:c r="F3748" s="66" t="str">
        <x:v>PENDIDIKAN GURU SEKOLAH DASAR</x:v>
      </x:c>
      <x:c r="G3748" s="66" t="str">
        <x:v>Sarjana</x:v>
      </x:c>
      <x:c r="H3748" s="87" t="n">
        <x:v>48</x:v>
      </x:c>
      <x:c r="I3748" s="87" t="n">
        <x:v>585</x:v>
      </x:c>
      <x:c r="J3748" s="68" t="n">
        <x:f>IFERROR(H3748/I3748,"")</x:f>
        <x:v>0.08205128205128205</x:v>
      </x:c>
      <x:c r="K3748" s="69" t="n">
        <x:f>IFERROR(I3748/H3748,"")</x:f>
        <x:v>12.1875</x:v>
      </x:c>
      <x:c r="L3748" s="66" t="str">
        <x:f>IF(K3748="","","1 : "&amp;TEXT(K3748,"0.0"))</x:f>
        <x:v>1 : 12.2</x:v>
      </x:c>
      <x:c r="M3748" s="66" t="str">
        <x:f>IF(J3748="","Baru/Tanpa Data",IF(J3748&lt;='Catatan &amp; Sumber'!$B$14,"Sangat Ketat",IF(J3748&lt;='Catatan &amp; Sumber'!$B$15,"Ketat",IF(J3748&lt;='Catatan &amp; Sumber'!$B$16,"Sedang","Relatif Longgar"))))</x:f>
        <x:v>Sedang</x:v>
      </x:c>
      <x:c r="N3748" s="66" t="str">
        <x:v>Tidak Ada</x:v>
      </x:c>
      <x:c r="O3748" s="66" t="str">
        <x:v>Kalimantan Timur</x:v>
      </x:c>
      <x:c r="P3748" s="66" t="str">
        <x:v>Kota Samarinda</x:v>
      </x:c>
      <x:c r="Q3748" s="66" t="str">
        <x:v>https://snpmb.id/snbp/daya-tampung-snbp</x:v>
      </x:c>
      <x:c r="R3748" s="66" t="str">
        <x:v>https://sidatagrun-public-1076756628210.asia-southeast2.run.app/ptn_sn.php?ptn=541</x:v>
      </x:c>
    </x:row>
    <x:row r="3749">
      <x:c r="A3749" s="87" t="n">
        <x:v>3025</x:v>
      </x:c>
      <x:c r="B3749" s="66" t="n">
        <x:v>541</x:v>
      </x:c>
      <x:c r="C3749" s="66" t="str">
        <x:v>UNIVERSITAS MULAWARMAN</x:v>
      </x:c>
      <x:c r="D3749" s="66" t="str">
        <x:v>PTN Akademik</x:v>
      </x:c>
      <x:c r="E3749" s="66" t="str">
        <x:v>15411055</x:v>
      </x:c>
      <x:c r="F3749" s="66" t="str">
        <x:v>PENDIDIKAN ANAK USIA DINI</x:v>
      </x:c>
      <x:c r="G3749" s="66" t="str">
        <x:v>Sarjana</x:v>
      </x:c>
      <x:c r="H3749" s="87" t="n">
        <x:v>24</x:v>
      </x:c>
      <x:c r="I3749" s="87" t="n">
        <x:v>80</x:v>
      </x:c>
      <x:c r="J3749" s="68" t="n">
        <x:f>IFERROR(H3749/I3749,"")</x:f>
        <x:v>0.3</x:v>
      </x:c>
      <x:c r="K3749" s="69" t="n">
        <x:f>IFERROR(I3749/H3749,"")</x:f>
        <x:v>3.3333333333333335</x:v>
      </x:c>
      <x:c r="L3749" s="66" t="str">
        <x:f>IF(K3749="","","1 : "&amp;TEXT(K3749,"0.0"))</x:f>
        <x:v>1 : 3.3</x:v>
      </x:c>
      <x:c r="M3749" s="66" t="str">
        <x:f>IF(J3749="","Baru/Tanpa Data",IF(J3749&lt;='Catatan &amp; Sumber'!$B$14,"Sangat Ketat",IF(J3749&lt;='Catatan &amp; Sumber'!$B$15,"Ketat",IF(J3749&lt;='Catatan &amp; Sumber'!$B$16,"Sedang","Relatif Longgar"))))</x:f>
        <x:v>Relatif Longgar</x:v>
      </x:c>
      <x:c r="N3749" s="66" t="str">
        <x:v>Tidak Ada</x:v>
      </x:c>
      <x:c r="O3749" s="66" t="str">
        <x:v>Kalimantan Timur</x:v>
      </x:c>
      <x:c r="P3749" s="66" t="str">
        <x:v>Kota Samarinda</x:v>
      </x:c>
      <x:c r="Q3749" s="66" t="str">
        <x:v>https://snpmb.id/snbp/daya-tampung-snbp</x:v>
      </x:c>
      <x:c r="R3749" s="66" t="str">
        <x:v>https://sidatagrun-public-1076756628210.asia-southeast2.run.app/ptn_sn.php?ptn=541</x:v>
      </x:c>
    </x:row>
    <x:row r="3750">
      <x:c r="A3750" s="87" t="n">
        <x:v>2028</x:v>
      </x:c>
      <x:c r="B3750" s="66" t="n">
        <x:v>541</x:v>
      </x:c>
      <x:c r="C3750" s="66" t="str">
        <x:v>UNIVERSITAS MULAWARMAN</x:v>
      </x:c>
      <x:c r="D3750" s="66" t="str">
        <x:v>PTN Akademik</x:v>
      </x:c>
      <x:c r="E3750" s="66" t="str">
        <x:v>15411056</x:v>
      </x:c>
      <x:c r="F3750" s="66" t="str">
        <x:v>HUKUM</x:v>
      </x:c>
      <x:c r="G3750" s="66" t="str">
        <x:v>Sarjana</x:v>
      </x:c>
      <x:c r="H3750" s="87" t="n">
        <x:v>100</x:v>
      </x:c>
      <x:c r="I3750" s="87" t="n">
        <x:v>648</x:v>
      </x:c>
      <x:c r="J3750" s="68" t="n">
        <x:f>IFERROR(H3750/I3750,"")</x:f>
        <x:v>0.15432098765432098</x:v>
      </x:c>
      <x:c r="K3750" s="69" t="n">
        <x:f>IFERROR(I3750/H3750,"")</x:f>
        <x:v>6.48</x:v>
      </x:c>
      <x:c r="L3750" s="66" t="str">
        <x:f>IF(K3750="","","1 : "&amp;TEXT(K3750,"0.0"))</x:f>
        <x:v>1 : 6.5</x:v>
      </x:c>
      <x:c r="M3750" s="66" t="str">
        <x:f>IF(J3750="","Baru/Tanpa Data",IF(J3750&lt;='Catatan &amp; Sumber'!$B$14,"Sangat Ketat",IF(J3750&lt;='Catatan &amp; Sumber'!$B$15,"Ketat",IF(J3750&lt;='Catatan &amp; Sumber'!$B$16,"Sedang","Relatif Longgar"))))</x:f>
        <x:v>Relatif Longgar</x:v>
      </x:c>
      <x:c r="N3750" s="66" t="str">
        <x:v>Tidak Ada</x:v>
      </x:c>
      <x:c r="O3750" s="66" t="str">
        <x:v>Kalimantan Timur</x:v>
      </x:c>
      <x:c r="P3750" s="66" t="str">
        <x:v>Kota Samarinda</x:v>
      </x:c>
      <x:c r="Q3750" s="66" t="str">
        <x:v>https://snpmb.id/snbp/daya-tampung-snbp</x:v>
      </x:c>
      <x:c r="R3750" s="66" t="str">
        <x:v>https://sidatagrun-public-1076756628210.asia-southeast2.run.app/ptn_sn.php?ptn=541</x:v>
      </x:c>
    </x:row>
    <x:row r="3751">
      <x:c r="A3751" s="87" t="n">
        <x:v>161</x:v>
      </x:c>
      <x:c r="B3751" s="66" t="n">
        <x:v>541</x:v>
      </x:c>
      <x:c r="C3751" s="66" t="str">
        <x:v>UNIVERSITAS MULAWARMAN</x:v>
      </x:c>
      <x:c r="D3751" s="66" t="str">
        <x:v>PTN Akademik</x:v>
      </x:c>
      <x:c r="E3751" s="66" t="str">
        <x:v>15411057</x:v>
      </x:c>
      <x:c r="F3751" s="66" t="str">
        <x:v>PSIKOLOGI</x:v>
      </x:c>
      <x:c r="G3751" s="66" t="str">
        <x:v>Sarjana</x:v>
      </x:c>
      <x:c r="H3751" s="87" t="n">
        <x:v>24</x:v>
      </x:c>
      <x:c r="I3751" s="87" t="n">
        <x:v>699</x:v>
      </x:c>
      <x:c r="J3751" s="68" t="n">
        <x:f>IFERROR(H3751/I3751,"")</x:f>
        <x:v>0.034334763948497854</x:v>
      </x:c>
      <x:c r="K3751" s="69" t="n">
        <x:f>IFERROR(I3751/H3751,"")</x:f>
        <x:v>29.125</x:v>
      </x:c>
      <x:c r="L3751" s="66" t="str">
        <x:f>IF(K3751="","","1 : "&amp;TEXT(K3751,"0.0"))</x:f>
        <x:v>1 : 29.1</x:v>
      </x:c>
      <x:c r="M3751" s="66" t="str">
        <x:f>IF(J3751="","Baru/Tanpa Data",IF(J3751&lt;='Catatan &amp; Sumber'!$B$14,"Sangat Ketat",IF(J3751&lt;='Catatan &amp; Sumber'!$B$15,"Ketat",IF(J3751&lt;='Catatan &amp; Sumber'!$B$16,"Sedang","Relatif Longgar"))))</x:f>
        <x:v>Ketat</x:v>
      </x:c>
      <x:c r="N3751" s="66" t="str">
        <x:v>Tidak Ada</x:v>
      </x:c>
      <x:c r="O3751" s="66" t="str">
        <x:v>Kalimantan Timur</x:v>
      </x:c>
      <x:c r="P3751" s="66" t="str">
        <x:v>Kota Samarinda</x:v>
      </x:c>
      <x:c r="Q3751" s="66" t="str">
        <x:v>https://snpmb.id/snbp/daya-tampung-snbp</x:v>
      </x:c>
      <x:c r="R3751" s="66" t="str">
        <x:v>https://sidatagrun-public-1076756628210.asia-southeast2.run.app/ptn_sn.php?ptn=541</x:v>
      </x:c>
    </x:row>
    <x:row r="3752">
      <x:c r="A3752" s="87" t="n">
        <x:v>3741</x:v>
      </x:c>
      <x:c r="B3752" s="66" t="n">
        <x:v>541</x:v>
      </x:c>
      <x:c r="C3752" s="66" t="str">
        <x:v>UNIVERSITAS MULAWARMAN</x:v>
      </x:c>
      <x:c r="D3752" s="66" t="str">
        <x:v>PTN Akademik</x:v>
      </x:c>
      <x:c r="E3752" s="66" t="str">
        <x:v>15411058</x:v>
      </x:c>
      <x:c r="F3752" s="66" t="str">
        <x:v>SASTRA INDONESIA</x:v>
      </x:c>
      <x:c r="G3752" s="66" t="str">
        <x:v>Sarjana</x:v>
      </x:c>
      <x:c r="H3752" s="87" t="n">
        <x:v>40</x:v>
      </x:c>
      <x:c r="I3752" s="87" t="n">
        <x:v>74</x:v>
      </x:c>
      <x:c r="J3752" s="68" t="n">
        <x:f>IFERROR(H3752/I3752,"")</x:f>
        <x:v>0.5405405405405406</x:v>
      </x:c>
      <x:c r="K3752" s="69" t="n">
        <x:f>IFERROR(I3752/H3752,"")</x:f>
        <x:v>1.85</x:v>
      </x:c>
      <x:c r="L3752" s="66" t="str">
        <x:f>IF(K3752="","","1 : "&amp;TEXT(K3752,"0.0"))</x:f>
        <x:v>1 : 1.9</x:v>
      </x:c>
      <x:c r="M3752" s="66" t="str">
        <x:f>IF(J3752="","Baru/Tanpa Data",IF(J3752&lt;='Catatan &amp; Sumber'!$B$14,"Sangat Ketat",IF(J3752&lt;='Catatan &amp; Sumber'!$B$15,"Ketat",IF(J3752&lt;='Catatan &amp; Sumber'!$B$16,"Sedang","Relatif Longgar"))))</x:f>
        <x:v>Relatif Longgar</x:v>
      </x:c>
      <x:c r="N3752" s="66" t="str">
        <x:v>Tidak Ada</x:v>
      </x:c>
      <x:c r="O3752" s="66" t="str">
        <x:v>Kalimantan Timur</x:v>
      </x:c>
      <x:c r="P3752" s="66" t="str">
        <x:v>Kota Samarinda</x:v>
      </x:c>
      <x:c r="Q3752" s="66" t="str">
        <x:v>https://snpmb.id/snbp/daya-tampung-snbp</x:v>
      </x:c>
      <x:c r="R3752" s="66" t="str">
        <x:v>https://sidatagrun-public-1076756628210.asia-southeast2.run.app/ptn_sn.php?ptn=541</x:v>
      </x:c>
    </x:row>
    <x:row r="3753">
      <x:c r="A3753" s="87" t="n">
        <x:v>2298</x:v>
      </x:c>
      <x:c r="B3753" s="66" t="n">
        <x:v>541</x:v>
      </x:c>
      <x:c r="C3753" s="66" t="str">
        <x:v>UNIVERSITAS MULAWARMAN</x:v>
      </x:c>
      <x:c r="D3753" s="66" t="str">
        <x:v>PTN Akademik</x:v>
      </x:c>
      <x:c r="E3753" s="66" t="str">
        <x:v>15411059</x:v>
      </x:c>
      <x:c r="F3753" s="66" t="str">
        <x:v>SASTRA INGGRIS</x:v>
      </x:c>
      <x:c r="G3753" s="66" t="str">
        <x:v>Sarjana</x:v>
      </x:c>
      <x:c r="H3753" s="87" t="n">
        <x:v>40</x:v>
      </x:c>
      <x:c r="I3753" s="87" t="n">
        <x:v>218</x:v>
      </x:c>
      <x:c r="J3753" s="68" t="n">
        <x:f>IFERROR(H3753/I3753,"")</x:f>
        <x:v>0.1834862385321101</x:v>
      </x:c>
      <x:c r="K3753" s="69" t="n">
        <x:f>IFERROR(I3753/H3753,"")</x:f>
        <x:v>5.45</x:v>
      </x:c>
      <x:c r="L3753" s="66" t="str">
        <x:f>IF(K3753="","","1 : "&amp;TEXT(K3753,"0.0"))</x:f>
        <x:v>1 : 5.5</x:v>
      </x:c>
      <x:c r="M3753" s="66" t="str">
        <x:f>IF(J3753="","Baru/Tanpa Data",IF(J3753&lt;='Catatan &amp; Sumber'!$B$14,"Sangat Ketat",IF(J3753&lt;='Catatan &amp; Sumber'!$B$15,"Ketat",IF(J3753&lt;='Catatan &amp; Sumber'!$B$16,"Sedang","Relatif Longgar"))))</x:f>
        <x:v>Relatif Longgar</x:v>
      </x:c>
      <x:c r="N3753" s="66" t="str">
        <x:v>Tidak Ada</x:v>
      </x:c>
      <x:c r="O3753" s="66" t="str">
        <x:v>Kalimantan Timur</x:v>
      </x:c>
      <x:c r="P3753" s="66" t="str">
        <x:v>Kota Samarinda</x:v>
      </x:c>
      <x:c r="Q3753" s="66" t="str">
        <x:v>https://snpmb.id/snbp/daya-tampung-snbp</x:v>
      </x:c>
      <x:c r="R3753" s="66" t="str">
        <x:v>https://sidatagrun-public-1076756628210.asia-southeast2.run.app/ptn_sn.php?ptn=541</x:v>
      </x:c>
    </x:row>
    <x:row r="3754">
      <x:c r="A3754" s="87" t="n">
        <x:v>3691</x:v>
      </x:c>
      <x:c r="B3754" s="66" t="n">
        <x:v>541</x:v>
      </x:c>
      <x:c r="C3754" s="66" t="str">
        <x:v>UNIVERSITAS MULAWARMAN</x:v>
      </x:c>
      <x:c r="D3754" s="66" t="str">
        <x:v>PTN Akademik</x:v>
      </x:c>
      <x:c r="E3754" s="66" t="str">
        <x:v>15411060</x:v>
      </x:c>
      <x:c r="F3754" s="66" t="str">
        <x:v>PENDIDIKAN MASYARAKAT</x:v>
      </x:c>
      <x:c r="G3754" s="66" t="str">
        <x:v>Sarjana</x:v>
      </x:c>
      <x:c r="H3754" s="87" t="n">
        <x:v>21</x:v>
      </x:c>
      <x:c r="I3754" s="87" t="n">
        <x:v>41</x:v>
      </x:c>
      <x:c r="J3754" s="68" t="n">
        <x:f>IFERROR(H3754/I3754,"")</x:f>
        <x:v>0.5121951219512195</x:v>
      </x:c>
      <x:c r="K3754" s="69" t="n">
        <x:f>IFERROR(I3754/H3754,"")</x:f>
        <x:v>1.9523809523809523</x:v>
      </x:c>
      <x:c r="L3754" s="66" t="str">
        <x:f>IF(K3754="","","1 : "&amp;TEXT(K3754,"0.0"))</x:f>
        <x:v>1 : 2.0</x:v>
      </x:c>
      <x:c r="M3754" s="66" t="str">
        <x:f>IF(J3754="","Baru/Tanpa Data",IF(J3754&lt;='Catatan &amp; Sumber'!$B$14,"Sangat Ketat",IF(J3754&lt;='Catatan &amp; Sumber'!$B$15,"Ketat",IF(J3754&lt;='Catatan &amp; Sumber'!$B$16,"Sedang","Relatif Longgar"))))</x:f>
        <x:v>Relatif Longgar</x:v>
      </x:c>
      <x:c r="N3754" s="66" t="str">
        <x:v>Tidak Ada</x:v>
      </x:c>
      <x:c r="O3754" s="66" t="str">
        <x:v>Kalimantan Timur</x:v>
      </x:c>
      <x:c r="P3754" s="66" t="str">
        <x:v>Kota Samarinda</x:v>
      </x:c>
      <x:c r="Q3754" s="66" t="str">
        <x:v>https://snpmb.id/snbp/daya-tampung-snbp</x:v>
      </x:c>
      <x:c r="R3754" s="66" t="str">
        <x:v>https://sidatagrun-public-1076756628210.asia-southeast2.run.app/ptn_sn.php?ptn=541</x:v>
      </x:c>
    </x:row>
    <x:row r="3755">
      <x:c r="A3755" s="87" t="n">
        <x:v>3122</x:v>
      </x:c>
      <x:c r="B3755" s="66" t="n">
        <x:v>541</x:v>
      </x:c>
      <x:c r="C3755" s="66" t="str">
        <x:v>UNIVERSITAS MULAWARMAN</x:v>
      </x:c>
      <x:c r="D3755" s="66" t="str">
        <x:v>PTN Akademik</x:v>
      </x:c>
      <x:c r="E3755" s="66" t="str">
        <x:v>15411061</x:v>
      </x:c>
      <x:c r="F3755" s="66" t="str">
        <x:v>PENDIDIKAN GEOGRAFI</x:v>
      </x:c>
      <x:c r="G3755" s="66" t="str">
        <x:v>Sarjana</x:v>
      </x:c>
      <x:c r="H3755" s="87" t="n">
        <x:v>24</x:v>
      </x:c>
      <x:c r="I3755" s="87" t="n">
        <x:v>75</x:v>
      </x:c>
      <x:c r="J3755" s="68" t="n">
        <x:f>IFERROR(H3755/I3755,"")</x:f>
        <x:v>0.32</x:v>
      </x:c>
      <x:c r="K3755" s="69" t="n">
        <x:f>IFERROR(I3755/H3755,"")</x:f>
        <x:v>3.125</x:v>
      </x:c>
      <x:c r="L3755" s="66" t="str">
        <x:f>IF(K3755="","","1 : "&amp;TEXT(K3755,"0.0"))</x:f>
        <x:v>1 : 3.1</x:v>
      </x:c>
      <x:c r="M3755" s="66" t="str">
        <x:f>IF(J3755="","Baru/Tanpa Data",IF(J3755&lt;='Catatan &amp; Sumber'!$B$14,"Sangat Ketat",IF(J3755&lt;='Catatan &amp; Sumber'!$B$15,"Ketat",IF(J3755&lt;='Catatan &amp; Sumber'!$B$16,"Sedang","Relatif Longgar"))))</x:f>
        <x:v>Relatif Longgar</x:v>
      </x:c>
      <x:c r="N3755" s="66" t="str">
        <x:v>Tidak Ada</x:v>
      </x:c>
      <x:c r="O3755" s="66" t="str">
        <x:v>Kalimantan Timur</x:v>
      </x:c>
      <x:c r="P3755" s="66" t="str">
        <x:v>Kota Samarinda</x:v>
      </x:c>
      <x:c r="Q3755" s="66" t="str">
        <x:v>https://snpmb.id/snbp/daya-tampung-snbp</x:v>
      </x:c>
      <x:c r="R3755" s="66" t="str">
        <x:v>https://sidatagrun-public-1076756628210.asia-southeast2.run.app/ptn_sn.php?ptn=541</x:v>
      </x:c>
    </x:row>
    <x:row r="3756">
      <x:c r="A3756" s="87" t="n">
        <x:v>2663</x:v>
      </x:c>
      <x:c r="B3756" s="66" t="n">
        <x:v>541</x:v>
      </x:c>
      <x:c r="C3756" s="66" t="str">
        <x:v>UNIVERSITAS MULAWARMAN</x:v>
      </x:c>
      <x:c r="D3756" s="66" t="str">
        <x:v>PTN Akademik</x:v>
      </x:c>
      <x:c r="E3756" s="66" t="str">
        <x:v>15411062</x:v>
      </x:c>
      <x:c r="F3756" s="66" t="str">
        <x:v>EKONOMI SYARIAH</x:v>
      </x:c>
      <x:c r="G3756" s="66" t="str">
        <x:v>Sarjana</x:v>
      </x:c>
      <x:c r="H3756" s="87" t="n">
        <x:v>23</x:v>
      </x:c>
      <x:c r="I3756" s="87" t="n">
        <x:v>97</x:v>
      </x:c>
      <x:c r="J3756" s="68" t="n">
        <x:f>IFERROR(H3756/I3756,"")</x:f>
        <x:v>0.23711340206185566</x:v>
      </x:c>
      <x:c r="K3756" s="69" t="n">
        <x:f>IFERROR(I3756/H3756,"")</x:f>
        <x:v>4.217391304347826</x:v>
      </x:c>
      <x:c r="L3756" s="66" t="str">
        <x:f>IF(K3756="","","1 : "&amp;TEXT(K3756,"0.0"))</x:f>
        <x:v>1 : 4.2</x:v>
      </x:c>
      <x:c r="M3756" s="66" t="str">
        <x:f>IF(J3756="","Baru/Tanpa Data",IF(J3756&lt;='Catatan &amp; Sumber'!$B$14,"Sangat Ketat",IF(J3756&lt;='Catatan &amp; Sumber'!$B$15,"Ketat",IF(J3756&lt;='Catatan &amp; Sumber'!$B$16,"Sedang","Relatif Longgar"))))</x:f>
        <x:v>Relatif Longgar</x:v>
      </x:c>
      <x:c r="N3756" s="66" t="str">
        <x:v>Tidak Ada</x:v>
      </x:c>
      <x:c r="O3756" s="66" t="str">
        <x:v>Kalimantan Timur</x:v>
      </x:c>
      <x:c r="P3756" s="66" t="str">
        <x:v>Kota Samarinda</x:v>
      </x:c>
      <x:c r="Q3756" s="66" t="str">
        <x:v>https://snpmb.id/snbp/daya-tampung-snbp</x:v>
      </x:c>
      <x:c r="R3756" s="66" t="str">
        <x:v>https://sidatagrun-public-1076756628210.asia-southeast2.run.app/ptn_sn.php?ptn=541</x:v>
      </x:c>
    </x:row>
    <x:row r="3757">
      <x:c r="A3757" s="87" t="n">
        <x:v>4616</x:v>
      </x:c>
      <x:c r="B3757" s="66" t="n">
        <x:v>541</x:v>
      </x:c>
      <x:c r="C3757" s="66" t="str">
        <x:v>UNIVERSITAS MULAWARMAN</x:v>
      </x:c>
      <x:c r="D3757" s="66" t="str">
        <x:v>PTN Akademik</x:v>
      </x:c>
      <x:c r="E3757" s="66" t="str">
        <x:v>15411063</x:v>
      </x:c>
      <x:c r="F3757" s="66" t="str">
        <x:v>ETNOMUSIKOLOGI</x:v>
      </x:c>
      <x:c r="G3757" s="66" t="str">
        <x:v>Sarjana</x:v>
      </x:c>
      <x:c r="H3757" s="87" t="n">
        <x:v>12</x:v>
      </x:c>
      <x:c r="I3757" s="87" t="n">
        <x:v>7</x:v>
      </x:c>
      <x:c r="J3757" s="68" t="n">
        <x:f>IFERROR(H3757/I3757,"")</x:f>
        <x:v>1.7142857142857142</x:v>
      </x:c>
      <x:c r="K3757" s="69" t="n">
        <x:f>IFERROR(I3757/H3757,"")</x:f>
        <x:v>0.5833333333333334</x:v>
      </x:c>
      <x:c r="L3757" s="66" t="str">
        <x:f>IF(K3757="","","1 : "&amp;TEXT(K3757,"0.0"))</x:f>
        <x:v>1 : 0.6</x:v>
      </x:c>
      <x:c r="M3757" s="66" t="str">
        <x:f>IF(J3757="","Baru/Tanpa Data",IF(J3757&lt;='Catatan &amp; Sumber'!$B$14,"Sangat Ketat",IF(J3757&lt;='Catatan &amp; Sumber'!$B$15,"Ketat",IF(J3757&lt;='Catatan &amp; Sumber'!$B$16,"Sedang","Relatif Longgar"))))</x:f>
        <x:v>Relatif Longgar</x:v>
      </x:c>
      <x:c r="N3757" s="66" t="str">
        <x:v>Etnomusikologi</x:v>
      </x:c>
      <x:c r="O3757" s="66" t="str">
        <x:v>Kalimantan Timur</x:v>
      </x:c>
      <x:c r="P3757" s="66" t="str">
        <x:v>Kota Samarinda</x:v>
      </x:c>
      <x:c r="Q3757" s="66" t="str">
        <x:v>https://snpmb.id/snbp/daya-tampung-snbp</x:v>
      </x:c>
      <x:c r="R3757" s="66" t="str">
        <x:v>https://sidatagrun-public-1076756628210.asia-southeast2.run.app/ptn_sn.php?ptn=541</x:v>
      </x:c>
    </x:row>
    <x:row r="3758">
      <x:c r="A3758" s="87" t="n">
        <x:v>2863</x:v>
      </x:c>
      <x:c r="B3758" s="66" t="n">
        <x:v>541</x:v>
      </x:c>
      <x:c r="C3758" s="66" t="str">
        <x:v>UNIVERSITAS MULAWARMAN</x:v>
      </x:c>
      <x:c r="D3758" s="66" t="str">
        <x:v>PTN Akademik</x:v>
      </x:c>
      <x:c r="E3758" s="66" t="str">
        <x:v>15411064</x:v>
      </x:c>
      <x:c r="F3758" s="66" t="str">
        <x:v>PENDIDIKAN SEJARAH</x:v>
      </x:c>
      <x:c r="G3758" s="66" t="str">
        <x:v>Sarjana</x:v>
      </x:c>
      <x:c r="H3758" s="87" t="n">
        <x:v>24</x:v>
      </x:c>
      <x:c r="I3758" s="87" t="n">
        <x:v>89</x:v>
      </x:c>
      <x:c r="J3758" s="68" t="n">
        <x:f>IFERROR(H3758/I3758,"")</x:f>
        <x:v>0.2696629213483146</x:v>
      </x:c>
      <x:c r="K3758" s="69" t="n">
        <x:f>IFERROR(I3758/H3758,"")</x:f>
        <x:v>3.7083333333333335</x:v>
      </x:c>
      <x:c r="L3758" s="66" t="str">
        <x:f>IF(K3758="","","1 : "&amp;TEXT(K3758,"0.0"))</x:f>
        <x:v>1 : 3.7</x:v>
      </x:c>
      <x:c r="M3758" s="66" t="str">
        <x:f>IF(J3758="","Baru/Tanpa Data",IF(J3758&lt;='Catatan &amp; Sumber'!$B$14,"Sangat Ketat",IF(J3758&lt;='Catatan &amp; Sumber'!$B$15,"Ketat",IF(J3758&lt;='Catatan &amp; Sumber'!$B$16,"Sedang","Relatif Longgar"))))</x:f>
        <x:v>Relatif Longgar</x:v>
      </x:c>
      <x:c r="N3758" s="66" t="str">
        <x:v>Tidak Ada</x:v>
      </x:c>
      <x:c r="O3758" s="66" t="str">
        <x:v>Kalimantan Timur</x:v>
      </x:c>
      <x:c r="P3758" s="66" t="str">
        <x:v>Kota Samarinda</x:v>
      </x:c>
      <x:c r="Q3758" s="66" t="str">
        <x:v>https://snpmb.id/snbp/daya-tampung-snbp</x:v>
      </x:c>
      <x:c r="R3758" s="66" t="str">
        <x:v>https://sidatagrun-public-1076756628210.asia-southeast2.run.app/ptn_sn.php?ptn=541</x:v>
      </x:c>
    </x:row>
    <x:row r="3759">
      <x:c r="A3759" s="87" t="n">
        <x:v>3118</x:v>
      </x:c>
      <x:c r="B3759" s="66" t="n">
        <x:v>541</x:v>
      </x:c>
      <x:c r="C3759" s="66" t="str">
        <x:v>UNIVERSITAS MULAWARMAN</x:v>
      </x:c>
      <x:c r="D3759" s="66" t="str">
        <x:v>PTN Akademik</x:v>
      </x:c>
      <x:c r="E3759" s="66" t="str">
        <x:v>15411072</x:v>
      </x:c>
      <x:c r="F3759" s="66" t="str">
        <x:v>ILMU LINGKUNGAN</x:v>
      </x:c>
      <x:c r="G3759" s="66" t="str">
        <x:v>Sarjana</x:v>
      </x:c>
      <x:c r="H3759" s="87" t="n">
        <x:v>15</x:v>
      </x:c>
      <x:c r="I3759" s="87" t="n">
        <x:v>47</x:v>
      </x:c>
      <x:c r="J3759" s="68" t="n">
        <x:f>IFERROR(H3759/I3759,"")</x:f>
        <x:v>0.3191489361702128</x:v>
      </x:c>
      <x:c r="K3759" s="69" t="n">
        <x:f>IFERROR(I3759/H3759,"")</x:f>
        <x:v>3.1333333333333333</x:v>
      </x:c>
      <x:c r="L3759" s="66" t="str">
        <x:f>IF(K3759="","","1 : "&amp;TEXT(K3759,"0.0"))</x:f>
        <x:v>1 : 3.1</x:v>
      </x:c>
      <x:c r="M3759" s="66" t="str">
        <x:f>IF(J3759="","Baru/Tanpa Data",IF(J3759&lt;='Catatan &amp; Sumber'!$B$14,"Sangat Ketat",IF(J3759&lt;='Catatan &amp; Sumber'!$B$15,"Ketat",IF(J3759&lt;='Catatan &amp; Sumber'!$B$16,"Sedang","Relatif Longgar"))))</x:f>
        <x:v>Relatif Longgar</x:v>
      </x:c>
      <x:c r="N3759" s="66" t="str">
        <x:v>Tidak Ada</x:v>
      </x:c>
      <x:c r="O3759" s="66" t="str">
        <x:v>Kalimantan Timur</x:v>
      </x:c>
      <x:c r="P3759" s="66" t="str">
        <x:v>Kota Samarinda</x:v>
      </x:c>
      <x:c r="Q3759" s="66" t="str">
        <x:v>https://snpmb.id/snbp/daya-tampung-snbp</x:v>
      </x:c>
      <x:c r="R3759" s="66" t="str">
        <x:v>https://sidatagrun-public-1076756628210.asia-southeast2.run.app/ptn_sn.php?ptn=541</x:v>
      </x:c>
    </x:row>
    <x:row r="3760">
      <x:c r="A3760" s="87" t="n">
        <x:v>50</x:v>
      </x:c>
      <x:c r="B3760" s="66" t="n">
        <x:v>541</x:v>
      </x:c>
      <x:c r="C3760" s="66" t="str">
        <x:v>UNIVERSITAS MULAWARMAN</x:v>
      </x:c>
      <x:c r="D3760" s="66" t="str">
        <x:v>PTN Akademik</x:v>
      </x:c>
      <x:c r="E3760" s="66" t="str">
        <x:v>15411073</x:v>
      </x:c>
      <x:c r="F3760" s="66" t="str">
        <x:v>KEPERAWATAN</x:v>
      </x:c>
      <x:c r="G3760" s="66" t="str">
        <x:v>Sarjana</x:v>
      </x:c>
      <x:c r="H3760" s="87" t="n">
        <x:v>16</x:v>
      </x:c>
      <x:c r="I3760" s="87" t="n">
        <x:v>692</x:v>
      </x:c>
      <x:c r="J3760" s="68" t="n">
        <x:f>IFERROR(H3760/I3760,"")</x:f>
        <x:v>0.023121387283236993</x:v>
      </x:c>
      <x:c r="K3760" s="69" t="n">
        <x:f>IFERROR(I3760/H3760,"")</x:f>
        <x:v>43.25</x:v>
      </x:c>
      <x:c r="L3760" s="66" t="str">
        <x:f>IF(K3760="","","1 : "&amp;TEXT(K3760,"0.0"))</x:f>
        <x:v>1 : 43.3</x:v>
      </x:c>
      <x:c r="M3760" s="66" t="str">
        <x:f>IF(J3760="","Baru/Tanpa Data",IF(J3760&lt;='Catatan &amp; Sumber'!$B$14,"Sangat Ketat",IF(J3760&lt;='Catatan &amp; Sumber'!$B$15,"Ketat",IF(J3760&lt;='Catatan &amp; Sumber'!$B$16,"Sedang","Relatif Longgar"))))</x:f>
        <x:v>Ketat</x:v>
      </x:c>
      <x:c r="N3760" s="66" t="str">
        <x:v>Tidak Ada</x:v>
      </x:c>
      <x:c r="O3760" s="66" t="str">
        <x:v>Kalimantan Timur</x:v>
      </x:c>
      <x:c r="P3760" s="66" t="str">
        <x:v>Kota Samarinda</x:v>
      </x:c>
      <x:c r="Q3760" s="66" t="str">
        <x:v>https://snpmb.id/snbp/daya-tampung-snbp</x:v>
      </x:c>
      <x:c r="R3760" s="66" t="str">
        <x:v>https://sidatagrun-public-1076756628210.asia-southeast2.run.app/ptn_sn.php?ptn=541</x:v>
      </x:c>
    </x:row>
    <x:row r="3761">
      <x:c r="A3761" s="87" t="n">
        <x:v>378</x:v>
      </x:c>
      <x:c r="B3761" s="66" t="n">
        <x:v>541</x:v>
      </x:c>
      <x:c r="C3761" s="66" t="str">
        <x:v>UNIVERSITAS MULAWARMAN</x:v>
      </x:c>
      <x:c r="D3761" s="66" t="str">
        <x:v>PTN Akademik</x:v>
      </x:c>
      <x:c r="E3761" s="66" t="str">
        <x:v>15411074</x:v>
      </x:c>
      <x:c r="F3761" s="66" t="str">
        <x:v>GIZI</x:v>
      </x:c>
      <x:c r="G3761" s="66" t="str">
        <x:v>Sarjana</x:v>
      </x:c>
      <x:c r="H3761" s="87" t="n">
        <x:v>25</x:v>
      </x:c>
      <x:c r="I3761" s="87" t="n">
        <x:v>546</x:v>
      </x:c>
      <x:c r="J3761" s="68" t="n">
        <x:f>IFERROR(H3761/I3761,"")</x:f>
        <x:v>0.045787545787545784</x:v>
      </x:c>
      <x:c r="K3761" s="69" t="n">
        <x:f>IFERROR(I3761/H3761,"")</x:f>
        <x:v>21.84</x:v>
      </x:c>
      <x:c r="L3761" s="66" t="str">
        <x:f>IF(K3761="","","1 : "&amp;TEXT(K3761,"0.0"))</x:f>
        <x:v>1 : 21.8</x:v>
      </x:c>
      <x:c r="M3761" s="66" t="str">
        <x:f>IF(J3761="","Baru/Tanpa Data",IF(J3761&lt;='Catatan &amp; Sumber'!$B$14,"Sangat Ketat",IF(J3761&lt;='Catatan &amp; Sumber'!$B$15,"Ketat",IF(J3761&lt;='Catatan &amp; Sumber'!$B$16,"Sedang","Relatif Longgar"))))</x:f>
        <x:v>Ketat</x:v>
      </x:c>
      <x:c r="N3761" s="66" t="str">
        <x:v>Tidak Ada</x:v>
      </x:c>
      <x:c r="O3761" s="66" t="str">
        <x:v>Kalimantan Timur</x:v>
      </x:c>
      <x:c r="P3761" s="66" t="str">
        <x:v>Kota Samarinda</x:v>
      </x:c>
      <x:c r="Q3761" s="66" t="str">
        <x:v>https://snpmb.id/snbp/daya-tampung-snbp</x:v>
      </x:c>
      <x:c r="R3761" s="66" t="str">
        <x:v>https://sidatagrun-public-1076756628210.asia-southeast2.run.app/ptn_sn.php?ptn=541</x:v>
      </x:c>
    </x:row>
    <x:row r="3762">
      <x:c r="A3762" s="87" t="n">
        <x:v>3600</x:v>
      </x:c>
      <x:c r="B3762" s="66" t="n">
        <x:v>541</x:v>
      </x:c>
      <x:c r="C3762" s="66" t="str">
        <x:v>UNIVERSITAS MULAWARMAN</x:v>
      </x:c>
      <x:c r="D3762" s="66" t="str">
        <x:v>PTN Akademik</x:v>
      </x:c>
      <x:c r="E3762" s="66" t="str">
        <x:v>15411075</x:v>
      </x:c>
      <x:c r="F3762" s="66" t="str">
        <x:v>TARI</x:v>
      </x:c>
      <x:c r="G3762" s="66" t="str">
        <x:v>Sarjana</x:v>
      </x:c>
      <x:c r="H3762" s="87" t="n">
        <x:v>16</x:v>
      </x:c>
      <x:c r="I3762" s="87" t="n">
        <x:v>34</x:v>
      </x:c>
      <x:c r="J3762" s="68" t="n">
        <x:f>IFERROR(H3762/I3762,"")</x:f>
        <x:v>0.47058823529411764</x:v>
      </x:c>
      <x:c r="K3762" s="69" t="n">
        <x:f>IFERROR(I3762/H3762,"")</x:f>
        <x:v>2.125</x:v>
      </x:c>
      <x:c r="L3762" s="66" t="str">
        <x:f>IF(K3762="","","1 : "&amp;TEXT(K3762,"0.0"))</x:f>
        <x:v>1 : 2.1</x:v>
      </x:c>
      <x:c r="M3762" s="66" t="str">
        <x:f>IF(J3762="","Baru/Tanpa Data",IF(J3762&lt;='Catatan &amp; Sumber'!$B$14,"Sangat Ketat",IF(J3762&lt;='Catatan &amp; Sumber'!$B$15,"Ketat",IF(J3762&lt;='Catatan &amp; Sumber'!$B$16,"Sedang","Relatif Longgar"))))</x:f>
        <x:v>Relatif Longgar</x:v>
      </x:c>
      <x:c r="N3762" s="66" t="str">
        <x:v>Tari</x:v>
      </x:c>
      <x:c r="O3762" s="66" t="str">
        <x:v>Kalimantan Timur</x:v>
      </x:c>
      <x:c r="P3762" s="66" t="str">
        <x:v>Kota Samarinda</x:v>
      </x:c>
      <x:c r="Q3762" s="66" t="str">
        <x:v>https://snpmb.id/snbp/daya-tampung-snbp</x:v>
      </x:c>
      <x:c r="R3762" s="66" t="str">
        <x:v>https://sidatagrun-public-1076756628210.asia-southeast2.run.app/ptn_sn.php?ptn=541</x:v>
      </x:c>
    </x:row>
    <x:row r="3763">
      <x:c r="A3763" s="87" t="n">
        <x:v>4289</x:v>
      </x:c>
      <x:c r="B3763" s="66" t="n">
        <x:v>541</x:v>
      </x:c>
      <x:c r="C3763" s="66" t="str">
        <x:v>UNIVERSITAS MULAWARMAN</x:v>
      </x:c>
      <x:c r="D3763" s="66" t="str">
        <x:v>PTN Akademik</x:v>
      </x:c>
      <x:c r="E3763" s="66" t="str">
        <x:v>15411076</x:v>
      </x:c>
      <x:c r="F3763" s="66" t="str">
        <x:v>ILMU KEOLAHRAGAAN</x:v>
      </x:c>
      <x:c r="G3763" s="66" t="str">
        <x:v>Sarjana</x:v>
      </x:c>
      <x:c r="H3763" s="87" t="n">
        <x:v>24</x:v>
      </x:c>
      <x:c r="I3763" s="87" t="n">
        <x:v>25</x:v>
      </x:c>
      <x:c r="J3763" s="68" t="n">
        <x:f>IFERROR(H3763/I3763,"")</x:f>
        <x:v>0.96</x:v>
      </x:c>
      <x:c r="K3763" s="69" t="n">
        <x:f>IFERROR(I3763/H3763,"")</x:f>
        <x:v>1.0416666666666667</x:v>
      </x:c>
      <x:c r="L3763" s="66" t="str">
        <x:f>IF(K3763="","","1 : "&amp;TEXT(K3763,"0.0"))</x:f>
        <x:v>1 : 1.0</x:v>
      </x:c>
      <x:c r="M3763" s="66" t="str">
        <x:f>IF(J3763="","Baru/Tanpa Data",IF(J3763&lt;='Catatan &amp; Sumber'!$B$14,"Sangat Ketat",IF(J3763&lt;='Catatan &amp; Sumber'!$B$15,"Ketat",IF(J3763&lt;='Catatan &amp; Sumber'!$B$16,"Sedang","Relatif Longgar"))))</x:f>
        <x:v>Relatif Longgar</x:v>
      </x:c>
      <x:c r="N3763" s="66" t="str">
        <x:v>Olahraga</x:v>
      </x:c>
      <x:c r="O3763" s="66" t="str">
        <x:v>Kalimantan Timur</x:v>
      </x:c>
      <x:c r="P3763" s="66" t="str">
        <x:v>Kota Samarinda</x:v>
      </x:c>
      <x:c r="Q3763" s="66" t="str">
        <x:v>https://snpmb.id/snbp/daya-tampung-snbp</x:v>
      </x:c>
      <x:c r="R3763" s="66" t="str">
        <x:v>https://sidatagrun-public-1076756628210.asia-southeast2.run.app/ptn_sn.php?ptn=541</x:v>
      </x:c>
    </x:row>
    <x:row r="3764">
      <x:c r="A3764" s="87"/>
      <x:c r="B3764" s="66" t="n">
        <x:v>541</x:v>
      </x:c>
      <x:c r="C3764" s="66" t="str">
        <x:v>UNIVERSITAS MULAWARMAN</x:v>
      </x:c>
      <x:c r="D3764" s="66" t="str">
        <x:v>PTN Akademik</x:v>
      </x:c>
      <x:c r="E3764" s="66" t="str">
        <x:v>15411077</x:v>
      </x:c>
      <x:c r="F3764" s="66" t="str">
        <x:v>PENYULUHAN PERTANIAN</x:v>
      </x:c>
      <x:c r="G3764" s="66" t="str">
        <x:v>Sarjana</x:v>
      </x:c>
      <x:c r="H3764" s="87" t="n">
        <x:v>10</x:v>
      </x:c>
      <x:c r="I3764" s="87"/>
      <x:c r="J3764" s="68" t="str">
        <x:f>IFERROR(H3764/I3764,"")</x:f>
      </x:c>
      <x:c r="K3764" s="69" t="n">
        <x:f>IFERROR(I3764/H3764,"")</x:f>
        <x:v>0</x:v>
      </x:c>
      <x:c r="L3764" s="66" t="str">
        <x:f>IF(K3764="","","1 : "&amp;TEXT(K3764,"0.0"))</x:f>
      </x:c>
      <x:c r="M3764" s="66" t="str">
        <x:f>IF(J3764="","Baru/Tanpa Data",IF(J3764&lt;='Catatan &amp; Sumber'!$B$14,"Sangat Ketat",IF(J3764&lt;='Catatan &amp; Sumber'!$B$15,"Ketat",IF(J3764&lt;='Catatan &amp; Sumber'!$B$16,"Sedang","Relatif Longgar"))))</x:f>
        <x:v>Baru/Tanpa Data</x:v>
      </x:c>
      <x:c r="N3764" s="66" t="str">
        <x:v>Tidak Ada</x:v>
      </x:c>
      <x:c r="O3764" s="66" t="str">
        <x:v>Kalimantan Timur</x:v>
      </x:c>
      <x:c r="P3764" s="66" t="str">
        <x:v>Kota Samarinda</x:v>
      </x:c>
      <x:c r="Q3764" s="66" t="str">
        <x:v>https://snpmb.id/snbp/daya-tampung-snbp</x:v>
      </x:c>
      <x:c r="R3764" s="66" t="str">
        <x:v>https://sidatagrun-public-1076756628210.asia-southeast2.run.app/ptn_sn.php?ptn=541</x:v>
      </x:c>
    </x:row>
    <x:row r="3765">
      <x:c r="A3765" s="87"/>
      <x:c r="B3765" s="66" t="n">
        <x:v>541</x:v>
      </x:c>
      <x:c r="C3765" s="66" t="str">
        <x:v>UNIVERSITAS MULAWARMAN</x:v>
      </x:c>
      <x:c r="D3765" s="66" t="str">
        <x:v>PTN Akademik</x:v>
      </x:c>
      <x:c r="E3765" s="66" t="str">
        <x:v>15411078</x:v>
      </x:c>
      <x:c r="F3765" s="66" t="str">
        <x:v>PENDIDIKAN ILMU PENGETAHUAN ALAM</x:v>
      </x:c>
      <x:c r="G3765" s="66" t="str">
        <x:v>Sarjana</x:v>
      </x:c>
      <x:c r="H3765" s="87" t="n">
        <x:v>12</x:v>
      </x:c>
      <x:c r="I3765" s="87"/>
      <x:c r="J3765" s="68" t="str">
        <x:f>IFERROR(H3765/I3765,"")</x:f>
      </x:c>
      <x:c r="K3765" s="69" t="n">
        <x:f>IFERROR(I3765/H3765,"")</x:f>
        <x:v>0</x:v>
      </x:c>
      <x:c r="L3765" s="66" t="str">
        <x:f>IF(K3765="","","1 : "&amp;TEXT(K3765,"0.0"))</x:f>
      </x:c>
      <x:c r="M3765" s="66" t="str">
        <x:f>IF(J3765="","Baru/Tanpa Data",IF(J3765&lt;='Catatan &amp; Sumber'!$B$14,"Sangat Ketat",IF(J3765&lt;='Catatan &amp; Sumber'!$B$15,"Ketat",IF(J3765&lt;='Catatan &amp; Sumber'!$B$16,"Sedang","Relatif Longgar"))))</x:f>
        <x:v>Baru/Tanpa Data</x:v>
      </x:c>
      <x:c r="N3765" s="66" t="str">
        <x:v>Tidak Ada</x:v>
      </x:c>
      <x:c r="O3765" s="66" t="str">
        <x:v>Kalimantan Timur</x:v>
      </x:c>
      <x:c r="P3765" s="66" t="str">
        <x:v>Kota Samarinda</x:v>
      </x:c>
      <x:c r="Q3765" s="66" t="str">
        <x:v>https://snpmb.id/snbp/daya-tampung-snbp</x:v>
      </x:c>
      <x:c r="R3765" s="66" t="str">
        <x:v>https://sidatagrun-public-1076756628210.asia-southeast2.run.app/ptn_sn.php?ptn=541</x:v>
      </x:c>
    </x:row>
    <x:row r="3766">
      <x:c r="A3766" s="87"/>
      <x:c r="B3766" s="66" t="n">
        <x:v>541</x:v>
      </x:c>
      <x:c r="C3766" s="66" t="str">
        <x:v>UNIVERSITAS MULAWARMAN</x:v>
      </x:c>
      <x:c r="D3766" s="66" t="str">
        <x:v>PTN Akademik</x:v>
      </x:c>
      <x:c r="E3766" s="66" t="str">
        <x:v>15411079</x:v>
      </x:c>
      <x:c r="F3766" s="66" t="str">
        <x:v>PENDIDIKAN KEPELATIHAN OLAHRAGA</x:v>
      </x:c>
      <x:c r="G3766" s="66" t="str">
        <x:v>Sarjana</x:v>
      </x:c>
      <x:c r="H3766" s="87" t="n">
        <x:v>12</x:v>
      </x:c>
      <x:c r="I3766" s="87"/>
      <x:c r="J3766" s="68" t="str">
        <x:f>IFERROR(H3766/I3766,"")</x:f>
      </x:c>
      <x:c r="K3766" s="69" t="n">
        <x:f>IFERROR(I3766/H3766,"")</x:f>
        <x:v>0</x:v>
      </x:c>
      <x:c r="L3766" s="66" t="str">
        <x:f>IF(K3766="","","1 : "&amp;TEXT(K3766,"0.0"))</x:f>
      </x:c>
      <x:c r="M3766" s="66" t="str">
        <x:f>IF(J3766="","Baru/Tanpa Data",IF(J3766&lt;='Catatan &amp; Sumber'!$B$14,"Sangat Ketat",IF(J3766&lt;='Catatan &amp; Sumber'!$B$15,"Ketat",IF(J3766&lt;='Catatan &amp; Sumber'!$B$16,"Sedang","Relatif Longgar"))))</x:f>
        <x:v>Baru/Tanpa Data</x:v>
      </x:c>
      <x:c r="N3766" s="66" t="str">
        <x:v>Olahraga</x:v>
      </x:c>
      <x:c r="O3766" s="66" t="str">
        <x:v>Kalimantan Timur</x:v>
      </x:c>
      <x:c r="P3766" s="66" t="str">
        <x:v>Kota Samarinda</x:v>
      </x:c>
      <x:c r="Q3766" s="66" t="str">
        <x:v>https://snpmb.id/snbp/daya-tampung-snbp</x:v>
      </x:c>
      <x:c r="R3766" s="66" t="str">
        <x:v>https://sidatagrun-public-1076756628210.asia-southeast2.run.app/ptn_sn.php?ptn=541</x:v>
      </x:c>
    </x:row>
    <x:row r="3767">
      <x:c r="A3767" s="87" t="n">
        <x:v>708</x:v>
      </x:c>
      <x:c r="B3767" s="66" t="n">
        <x:v>541</x:v>
      </x:c>
      <x:c r="C3767" s="66" t="str">
        <x:v>UNIVERSITAS MULAWARMAN</x:v>
      </x:c>
      <x:c r="D3767" s="66" t="str">
        <x:v>PTN Akademik</x:v>
      </x:c>
      <x:c r="E3767" s="66" t="str">
        <x:v>15413069</x:v>
      </x:c>
      <x:c r="F3767" s="66" t="str">
        <x:v>FARMASI</x:v>
      </x:c>
      <x:c r="G3767" s="66" t="str">
        <x:v>Diploma Tiga</x:v>
      </x:c>
      <x:c r="H3767" s="87" t="n">
        <x:v>10</x:v>
      </x:c>
      <x:c r="I3767" s="87" t="n">
        <x:v>161</x:v>
      </x:c>
      <x:c r="J3767" s="68" t="n">
        <x:f>IFERROR(H3767/I3767,"")</x:f>
        <x:v>0.062111801242236024</x:v>
      </x:c>
      <x:c r="K3767" s="69" t="n">
        <x:f>IFERROR(I3767/H3767,"")</x:f>
        <x:v>16.1</x:v>
      </x:c>
      <x:c r="L3767" s="66" t="str">
        <x:f>IF(K3767="","","1 : "&amp;TEXT(K3767,"0.0"))</x:f>
        <x:v>1 : 16.1</x:v>
      </x:c>
      <x:c r="M3767" s="66" t="str">
        <x:f>IF(J3767="","Baru/Tanpa Data",IF(J3767&lt;='Catatan &amp; Sumber'!$B$14,"Sangat Ketat",IF(J3767&lt;='Catatan &amp; Sumber'!$B$15,"Ketat",IF(J3767&lt;='Catatan &amp; Sumber'!$B$16,"Sedang","Relatif Longgar"))))</x:f>
        <x:v>Sedang</x:v>
      </x:c>
      <x:c r="N3767" s="66" t="str">
        <x:v>Tidak Ada</x:v>
      </x:c>
      <x:c r="O3767" s="66" t="str">
        <x:v>Kalimantan Timur</x:v>
      </x:c>
      <x:c r="P3767" s="66" t="str">
        <x:v>Kota Samarinda</x:v>
      </x:c>
      <x:c r="Q3767" s="66" t="str">
        <x:v>https://snpmb.id/snbp/daya-tampung-snbp</x:v>
      </x:c>
      <x:c r="R3767" s="66" t="str">
        <x:v>https://sidatagrun-public-1076756628210.asia-southeast2.run.app/ptn_sn.php?ptn=541</x:v>
      </x:c>
    </x:row>
    <x:row r="3768">
      <x:c r="A3768" s="87" t="n">
        <x:v>4652</x:v>
      </x:c>
      <x:c r="B3768" s="66" t="n">
        <x:v>542</x:v>
      </x:c>
      <x:c r="C3768" s="66" t="str">
        <x:v>INSTITUT TEKNOLOGI KALIMANTAN</x:v>
      </x:c>
      <x:c r="D3768" s="66" t="str">
        <x:v>PTN Akademik</x:v>
      </x:c>
      <x:c r="E3768" s="66" t="str">
        <x:v>15421001</x:v>
      </x:c>
      <x:c r="F3768" s="66" t="str">
        <x:v>FISIKA</x:v>
      </x:c>
      <x:c r="G3768" s="66" t="str">
        <x:v>Sarjana</x:v>
      </x:c>
      <x:c r="H3768" s="87" t="n">
        <x:v>30</x:v>
      </x:c>
      <x:c r="I3768" s="87" t="n">
        <x:v>15</x:v>
      </x:c>
      <x:c r="J3768" s="68" t="n">
        <x:f>IFERROR(H3768/I3768,"")</x:f>
        <x:v>2</x:v>
      </x:c>
      <x:c r="K3768" s="69" t="n">
        <x:f>IFERROR(I3768/H3768,"")</x:f>
        <x:v>0.5</x:v>
      </x:c>
      <x:c r="L3768" s="66" t="str">
        <x:f>IF(K3768="","","1 : "&amp;TEXT(K3768,"0.0"))</x:f>
        <x:v>1 : 0.5</x:v>
      </x:c>
      <x:c r="M3768" s="66" t="str">
        <x:f>IF(J3768="","Baru/Tanpa Data",IF(J3768&lt;='Catatan &amp; Sumber'!$B$14,"Sangat Ketat",IF(J3768&lt;='Catatan &amp; Sumber'!$B$15,"Ketat",IF(J3768&lt;='Catatan &amp; Sumber'!$B$16,"Sedang","Relatif Longgar"))))</x:f>
        <x:v>Relatif Longgar</x:v>
      </x:c>
      <x:c r="N3768" s="66" t="str">
        <x:v>Tidak Ada</x:v>
      </x:c>
      <x:c r="O3768" s="66" t="str">
        <x:v>Kalimantan Timur</x:v>
      </x:c>
      <x:c r="P3768" s="66" t="str">
        <x:v>Kota Balikpapan</x:v>
      </x:c>
      <x:c r="Q3768" s="66" t="str">
        <x:v>https://snpmb.id/snbp/daya-tampung-snbp</x:v>
      </x:c>
      <x:c r="R3768" s="66" t="str">
        <x:v>https://sidatagrun-public-1076756628210.asia-southeast2.run.app/ptn_sn.php?ptn=542</x:v>
      </x:c>
    </x:row>
    <x:row r="3769">
      <x:c r="A3769" s="87" t="n">
        <x:v>4512</x:v>
      </x:c>
      <x:c r="B3769" s="66" t="n">
        <x:v>542</x:v>
      </x:c>
      <x:c r="C3769" s="66" t="str">
        <x:v>INSTITUT TEKNOLOGI KALIMANTAN</x:v>
      </x:c>
      <x:c r="D3769" s="66" t="str">
        <x:v>PTN Akademik</x:v>
      </x:c>
      <x:c r="E3769" s="66" t="str">
        <x:v>15421002</x:v>
      </x:c>
      <x:c r="F3769" s="66" t="str">
        <x:v>MATEMATIKA</x:v>
      </x:c>
      <x:c r="G3769" s="66" t="str">
        <x:v>Sarjana</x:v>
      </x:c>
      <x:c r="H3769" s="87" t="n">
        <x:v>30</x:v>
      </x:c>
      <x:c r="I3769" s="87" t="n">
        <x:v>22</x:v>
      </x:c>
      <x:c r="J3769" s="68" t="n">
        <x:f>IFERROR(H3769/I3769,"")</x:f>
        <x:v>1.3636363636363635</x:v>
      </x:c>
      <x:c r="K3769" s="69" t="n">
        <x:f>IFERROR(I3769/H3769,"")</x:f>
        <x:v>0.7333333333333333</x:v>
      </x:c>
      <x:c r="L3769" s="66" t="str">
        <x:f>IF(K3769="","","1 : "&amp;TEXT(K3769,"0.0"))</x:f>
        <x:v>1 : 0.7</x:v>
      </x:c>
      <x:c r="M3769" s="66" t="str">
        <x:f>IF(J3769="","Baru/Tanpa Data",IF(J3769&lt;='Catatan &amp; Sumber'!$B$14,"Sangat Ketat",IF(J3769&lt;='Catatan &amp; Sumber'!$B$15,"Ketat",IF(J3769&lt;='Catatan &amp; Sumber'!$B$16,"Sedang","Relatif Longgar"))))</x:f>
        <x:v>Relatif Longgar</x:v>
      </x:c>
      <x:c r="N3769" s="66" t="str">
        <x:v>Tidak Ada</x:v>
      </x:c>
      <x:c r="O3769" s="66" t="str">
        <x:v>Kalimantan Timur</x:v>
      </x:c>
      <x:c r="P3769" s="66" t="str">
        <x:v>Kota Balikpapan</x:v>
      </x:c>
      <x:c r="Q3769" s="66" t="str">
        <x:v>https://snpmb.id/snbp/daya-tampung-snbp</x:v>
      </x:c>
      <x:c r="R3769" s="66" t="str">
        <x:v>https://sidatagrun-public-1076756628210.asia-southeast2.run.app/ptn_sn.php?ptn=542</x:v>
      </x:c>
    </x:row>
    <x:row r="3770">
      <x:c r="A3770" s="87" t="n">
        <x:v>1572</x:v>
      </x:c>
      <x:c r="B3770" s="66" t="n">
        <x:v>542</x:v>
      </x:c>
      <x:c r="C3770" s="66" t="str">
        <x:v>INSTITUT TEKNOLOGI KALIMANTAN</x:v>
      </x:c>
      <x:c r="D3770" s="66" t="str">
        <x:v>PTN Akademik</x:v>
      </x:c>
      <x:c r="E3770" s="66" t="str">
        <x:v>15421003</x:v>
      </x:c>
      <x:c r="F3770" s="66" t="str">
        <x:v>TEKNIK MESIN</x:v>
      </x:c>
      <x:c r="G3770" s="66" t="str">
        <x:v>Sarjana</x:v>
      </x:c>
      <x:c r="H3770" s="87" t="n">
        <x:v>25</x:v>
      </x:c>
      <x:c r="I3770" s="87" t="n">
        <x:v>219</x:v>
      </x:c>
      <x:c r="J3770" s="68" t="n">
        <x:f>IFERROR(H3770/I3770,"")</x:f>
        <x:v>0.1141552511415525</x:v>
      </x:c>
      <x:c r="K3770" s="69" t="n">
        <x:f>IFERROR(I3770/H3770,"")</x:f>
        <x:v>8.76</x:v>
      </x:c>
      <x:c r="L3770" s="66" t="str">
        <x:f>IF(K3770="","","1 : "&amp;TEXT(K3770,"0.0"))</x:f>
        <x:v>1 : 8.8</x:v>
      </x:c>
      <x:c r="M3770" s="66" t="str">
        <x:f>IF(J3770="","Baru/Tanpa Data",IF(J3770&lt;='Catatan &amp; Sumber'!$B$14,"Sangat Ketat",IF(J3770&lt;='Catatan &amp; Sumber'!$B$15,"Ketat",IF(J3770&lt;='Catatan &amp; Sumber'!$B$16,"Sedang","Relatif Longgar"))))</x:f>
        <x:v>Relatif Longgar</x:v>
      </x:c>
      <x:c r="N3770" s="66" t="str">
        <x:v>Tidak Ada</x:v>
      </x:c>
      <x:c r="O3770" s="66" t="str">
        <x:v>Kalimantan Timur</x:v>
      </x:c>
      <x:c r="P3770" s="66" t="str">
        <x:v>Kota Balikpapan</x:v>
      </x:c>
      <x:c r="Q3770" s="66" t="str">
        <x:v>https://snpmb.id/snbp/daya-tampung-snbp</x:v>
      </x:c>
      <x:c r="R3770" s="66" t="str">
        <x:v>https://sidatagrun-public-1076756628210.asia-southeast2.run.app/ptn_sn.php?ptn=542</x:v>
      </x:c>
    </x:row>
    <x:row r="3771">
      <x:c r="A3771" s="87" t="n">
        <x:v>2231</x:v>
      </x:c>
      <x:c r="B3771" s="66" t="n">
        <x:v>542</x:v>
      </x:c>
      <x:c r="C3771" s="66" t="str">
        <x:v>INSTITUT TEKNOLOGI KALIMANTAN</x:v>
      </x:c>
      <x:c r="D3771" s="66" t="str">
        <x:v>PTN Akademik</x:v>
      </x:c>
      <x:c r="E3771" s="66" t="str">
        <x:v>15421004</x:v>
      </x:c>
      <x:c r="F3771" s="66" t="str">
        <x:v>TEKNIK ELEKTRO</x:v>
      </x:c>
      <x:c r="G3771" s="66" t="str">
        <x:v>Sarjana</x:v>
      </x:c>
      <x:c r="H3771" s="87" t="n">
        <x:v>35</x:v>
      </x:c>
      <x:c r="I3771" s="87" t="n">
        <x:v>199</x:v>
      </x:c>
      <x:c r="J3771" s="68" t="n">
        <x:f>IFERROR(H3771/I3771,"")</x:f>
        <x:v>0.17587939698492464</x:v>
      </x:c>
      <x:c r="K3771" s="69" t="n">
        <x:f>IFERROR(I3771/H3771,"")</x:f>
        <x:v>5.685714285714286</x:v>
      </x:c>
      <x:c r="L3771" s="66" t="str">
        <x:f>IF(K3771="","","1 : "&amp;TEXT(K3771,"0.0"))</x:f>
        <x:v>1 : 5.7</x:v>
      </x:c>
      <x:c r="M3771" s="66" t="str">
        <x:f>IF(J3771="","Baru/Tanpa Data",IF(J3771&lt;='Catatan &amp; Sumber'!$B$14,"Sangat Ketat",IF(J3771&lt;='Catatan &amp; Sumber'!$B$15,"Ketat",IF(J3771&lt;='Catatan &amp; Sumber'!$B$16,"Sedang","Relatif Longgar"))))</x:f>
        <x:v>Relatif Longgar</x:v>
      </x:c>
      <x:c r="N3771" s="66" t="str">
        <x:v>Tidak Ada</x:v>
      </x:c>
      <x:c r="O3771" s="66" t="str">
        <x:v>Kalimantan Timur</x:v>
      </x:c>
      <x:c r="P3771" s="66" t="str">
        <x:v>Kota Balikpapan</x:v>
      </x:c>
      <x:c r="Q3771" s="66" t="str">
        <x:v>https://snpmb.id/snbp/daya-tampung-snbp</x:v>
      </x:c>
      <x:c r="R3771" s="66" t="str">
        <x:v>https://sidatagrun-public-1076756628210.asia-southeast2.run.app/ptn_sn.php?ptn=542</x:v>
      </x:c>
    </x:row>
    <x:row r="3772">
      <x:c r="A3772" s="87" t="n">
        <x:v>2786</x:v>
      </x:c>
      <x:c r="B3772" s="66" t="n">
        <x:v>542</x:v>
      </x:c>
      <x:c r="C3772" s="66" t="str">
        <x:v>INSTITUT TEKNOLOGI KALIMANTAN</x:v>
      </x:c>
      <x:c r="D3772" s="66" t="str">
        <x:v>PTN Akademik</x:v>
      </x:c>
      <x:c r="E3772" s="66" t="str">
        <x:v>15421005</x:v>
      </x:c>
      <x:c r="F3772" s="66" t="str">
        <x:v>TEKNIK KIMIA</x:v>
      </x:c>
      <x:c r="G3772" s="66" t="str">
        <x:v>Sarjana</x:v>
      </x:c>
      <x:c r="H3772" s="87" t="n">
        <x:v>40</x:v>
      </x:c>
      <x:c r="I3772" s="87" t="n">
        <x:v>156</x:v>
      </x:c>
      <x:c r="J3772" s="68" t="n">
        <x:f>IFERROR(H3772/I3772,"")</x:f>
        <x:v>0.2564102564102564</x:v>
      </x:c>
      <x:c r="K3772" s="69" t="n">
        <x:f>IFERROR(I3772/H3772,"")</x:f>
        <x:v>3.9</x:v>
      </x:c>
      <x:c r="L3772" s="66" t="str">
        <x:f>IF(K3772="","","1 : "&amp;TEXT(K3772,"0.0"))</x:f>
        <x:v>1 : 3.9</x:v>
      </x:c>
      <x:c r="M3772" s="66" t="str">
        <x:f>IF(J3772="","Baru/Tanpa Data",IF(J3772&lt;='Catatan &amp; Sumber'!$B$14,"Sangat Ketat",IF(J3772&lt;='Catatan &amp; Sumber'!$B$15,"Ketat",IF(J3772&lt;='Catatan &amp; Sumber'!$B$16,"Sedang","Relatif Longgar"))))</x:f>
        <x:v>Relatif Longgar</x:v>
      </x:c>
      <x:c r="N3772" s="66" t="str">
        <x:v>Tidak Ada</x:v>
      </x:c>
      <x:c r="O3772" s="66" t="str">
        <x:v>Kalimantan Timur</x:v>
      </x:c>
      <x:c r="P3772" s="66" t="str">
        <x:v>Kota Balikpapan</x:v>
      </x:c>
      <x:c r="Q3772" s="66" t="str">
        <x:v>https://snpmb.id/snbp/daya-tampung-snbp</x:v>
      </x:c>
      <x:c r="R3772" s="66" t="str">
        <x:v>https://sidatagrun-public-1076756628210.asia-southeast2.run.app/ptn_sn.php?ptn=542</x:v>
      </x:c>
    </x:row>
    <x:row r="3773">
      <x:c r="A3773" s="87" t="n">
        <x:v>2121</x:v>
      </x:c>
      <x:c r="B3773" s="66" t="n">
        <x:v>542</x:v>
      </x:c>
      <x:c r="C3773" s="66" t="str">
        <x:v>INSTITUT TEKNOLOGI KALIMANTAN</x:v>
      </x:c>
      <x:c r="D3773" s="66" t="str">
        <x:v>PTN Akademik</x:v>
      </x:c>
      <x:c r="E3773" s="66" t="str">
        <x:v>15421006</x:v>
      </x:c>
      <x:c r="F3773" s="66" t="str">
        <x:v>TEKNIK MATERIAL DAN METALURGI</x:v>
      </x:c>
      <x:c r="G3773" s="66" t="str">
        <x:v>Sarjana</x:v>
      </x:c>
      <x:c r="H3773" s="87" t="n">
        <x:v>30</x:v>
      </x:c>
      <x:c r="I3773" s="87" t="n">
        <x:v>183</x:v>
      </x:c>
      <x:c r="J3773" s="68" t="n">
        <x:f>IFERROR(H3773/I3773,"")</x:f>
        <x:v>0.16393442622950818</x:v>
      </x:c>
      <x:c r="K3773" s="69" t="n">
        <x:f>IFERROR(I3773/H3773,"")</x:f>
        <x:v>6.1</x:v>
      </x:c>
      <x:c r="L3773" s="66" t="str">
        <x:f>IF(K3773="","","1 : "&amp;TEXT(K3773,"0.0"))</x:f>
        <x:v>1 : 6.1</x:v>
      </x:c>
      <x:c r="M3773" s="66" t="str">
        <x:f>IF(J3773="","Baru/Tanpa Data",IF(J3773&lt;='Catatan &amp; Sumber'!$B$14,"Sangat Ketat",IF(J3773&lt;='Catatan &amp; Sumber'!$B$15,"Ketat",IF(J3773&lt;='Catatan &amp; Sumber'!$B$16,"Sedang","Relatif Longgar"))))</x:f>
        <x:v>Relatif Longgar</x:v>
      </x:c>
      <x:c r="N3773" s="66" t="str">
        <x:v>Tidak Ada</x:v>
      </x:c>
      <x:c r="O3773" s="66" t="str">
        <x:v>Kalimantan Timur</x:v>
      </x:c>
      <x:c r="P3773" s="66" t="str">
        <x:v>Kota Balikpapan</x:v>
      </x:c>
      <x:c r="Q3773" s="66" t="str">
        <x:v>https://snpmb.id/snbp/daya-tampung-snbp</x:v>
      </x:c>
      <x:c r="R3773" s="66" t="str">
        <x:v>https://sidatagrun-public-1076756628210.asia-southeast2.run.app/ptn_sn.php?ptn=542</x:v>
      </x:c>
    </x:row>
    <x:row r="3774">
      <x:c r="A3774" s="87" t="n">
        <x:v>1773</x:v>
      </x:c>
      <x:c r="B3774" s="66" t="n">
        <x:v>542</x:v>
      </x:c>
      <x:c r="C3774" s="66" t="str">
        <x:v>INSTITUT TEKNOLOGI KALIMANTAN</x:v>
      </x:c>
      <x:c r="D3774" s="66" t="str">
        <x:v>PTN Akademik</x:v>
      </x:c>
      <x:c r="E3774" s="66" t="str">
        <x:v>15421007</x:v>
      </x:c>
      <x:c r="F3774" s="66" t="str">
        <x:v>TEKNIK SIPIL</x:v>
      </x:c>
      <x:c r="G3774" s="66" t="str">
        <x:v>Sarjana</x:v>
      </x:c>
      <x:c r="H3774" s="87" t="n">
        <x:v>25</x:v>
      </x:c>
      <x:c r="I3774" s="87" t="n">
        <x:v>192</x:v>
      </x:c>
      <x:c r="J3774" s="68" t="n">
        <x:f>IFERROR(H3774/I3774,"")</x:f>
        <x:v>0.13020833333333334</x:v>
      </x:c>
      <x:c r="K3774" s="69" t="n">
        <x:f>IFERROR(I3774/H3774,"")</x:f>
        <x:v>7.68</x:v>
      </x:c>
      <x:c r="L3774" s="66" t="str">
        <x:f>IF(K3774="","","1 : "&amp;TEXT(K3774,"0.0"))</x:f>
        <x:v>1 : 7.7</x:v>
      </x:c>
      <x:c r="M3774" s="66" t="str">
        <x:f>IF(J3774="","Baru/Tanpa Data",IF(J3774&lt;='Catatan &amp; Sumber'!$B$14,"Sangat Ketat",IF(J3774&lt;='Catatan &amp; Sumber'!$B$15,"Ketat",IF(J3774&lt;='Catatan &amp; Sumber'!$B$16,"Sedang","Relatif Longgar"))))</x:f>
        <x:v>Relatif Longgar</x:v>
      </x:c>
      <x:c r="N3774" s="66" t="str">
        <x:v>Tidak Ada</x:v>
      </x:c>
      <x:c r="O3774" s="66" t="str">
        <x:v>Kalimantan Timur</x:v>
      </x:c>
      <x:c r="P3774" s="66" t="str">
        <x:v>Kota Balikpapan</x:v>
      </x:c>
      <x:c r="Q3774" s="66" t="str">
        <x:v>https://snpmb.id/snbp/daya-tampung-snbp</x:v>
      </x:c>
      <x:c r="R3774" s="66" t="str">
        <x:v>https://sidatagrun-public-1076756628210.asia-southeast2.run.app/ptn_sn.php?ptn=542</x:v>
      </x:c>
    </x:row>
    <x:row r="3775">
      <x:c r="A3775" s="87" t="n">
        <x:v>2816</x:v>
      </x:c>
      <x:c r="B3775" s="66" t="n">
        <x:v>542</x:v>
      </x:c>
      <x:c r="C3775" s="66" t="str">
        <x:v>INSTITUT TEKNOLOGI KALIMANTAN</x:v>
      </x:c>
      <x:c r="D3775" s="66" t="str">
        <x:v>PTN Akademik</x:v>
      </x:c>
      <x:c r="E3775" s="66" t="str">
        <x:v>15421008</x:v>
      </x:c>
      <x:c r="F3775" s="66" t="str">
        <x:v>PERENCANAAN WILAYAH DAN KOTA</x:v>
      </x:c>
      <x:c r="G3775" s="66" t="str">
        <x:v>Sarjana</x:v>
      </x:c>
      <x:c r="H3775" s="87" t="n">
        <x:v>60</x:v>
      </x:c>
      <x:c r="I3775" s="87" t="n">
        <x:v>230</x:v>
      </x:c>
      <x:c r="J3775" s="68" t="n">
        <x:f>IFERROR(H3775/I3775,"")</x:f>
        <x:v>0.2608695652173913</x:v>
      </x:c>
      <x:c r="K3775" s="69" t="n">
        <x:f>IFERROR(I3775/H3775,"")</x:f>
        <x:v>3.8333333333333335</x:v>
      </x:c>
      <x:c r="L3775" s="66" t="str">
        <x:f>IF(K3775="","","1 : "&amp;TEXT(K3775,"0.0"))</x:f>
        <x:v>1 : 3.8</x:v>
      </x:c>
      <x:c r="M3775" s="66" t="str">
        <x:f>IF(J3775="","Baru/Tanpa Data",IF(J3775&lt;='Catatan &amp; Sumber'!$B$14,"Sangat Ketat",IF(J3775&lt;='Catatan &amp; Sumber'!$B$15,"Ketat",IF(J3775&lt;='Catatan &amp; Sumber'!$B$16,"Sedang","Relatif Longgar"))))</x:f>
        <x:v>Relatif Longgar</x:v>
      </x:c>
      <x:c r="N3775" s="66" t="str">
        <x:v>Tidak Ada</x:v>
      </x:c>
      <x:c r="O3775" s="66" t="str">
        <x:v>Kalimantan Timur</x:v>
      </x:c>
      <x:c r="P3775" s="66" t="str">
        <x:v>Kota Balikpapan</x:v>
      </x:c>
      <x:c r="Q3775" s="66" t="str">
        <x:v>https://snpmb.id/snbp/daya-tampung-snbp</x:v>
      </x:c>
      <x:c r="R3775" s="66" t="str">
        <x:v>https://sidatagrun-public-1076756628210.asia-southeast2.run.app/ptn_sn.php?ptn=542</x:v>
      </x:c>
    </x:row>
    <x:row r="3776">
      <x:c r="A3776" s="87" t="n">
        <x:v>3616</x:v>
      </x:c>
      <x:c r="B3776" s="66" t="n">
        <x:v>542</x:v>
      </x:c>
      <x:c r="C3776" s="66" t="str">
        <x:v>INSTITUT TEKNOLOGI KALIMANTAN</x:v>
      </x:c>
      <x:c r="D3776" s="66" t="str">
        <x:v>PTN Akademik</x:v>
      </x:c>
      <x:c r="E3776" s="66" t="str">
        <x:v>15421009</x:v>
      </x:c>
      <x:c r="F3776" s="66" t="str">
        <x:v>TEKNIK PERKAPALAN</x:v>
      </x:c>
      <x:c r="G3776" s="66" t="str">
        <x:v>Sarjana</x:v>
      </x:c>
      <x:c r="H3776" s="87" t="n">
        <x:v>40</x:v>
      </x:c>
      <x:c r="I3776" s="87" t="n">
        <x:v>84</x:v>
      </x:c>
      <x:c r="J3776" s="68" t="n">
        <x:f>IFERROR(H3776/I3776,"")</x:f>
        <x:v>0.47619047619047616</x:v>
      </x:c>
      <x:c r="K3776" s="69" t="n">
        <x:f>IFERROR(I3776/H3776,"")</x:f>
        <x:v>2.1</x:v>
      </x:c>
      <x:c r="L3776" s="66" t="str">
        <x:f>IF(K3776="","","1 : "&amp;TEXT(K3776,"0.0"))</x:f>
        <x:v>1 : 2.1</x:v>
      </x:c>
      <x:c r="M3776" s="66" t="str">
        <x:f>IF(J3776="","Baru/Tanpa Data",IF(J3776&lt;='Catatan &amp; Sumber'!$B$14,"Sangat Ketat",IF(J3776&lt;='Catatan &amp; Sumber'!$B$15,"Ketat",IF(J3776&lt;='Catatan &amp; Sumber'!$B$16,"Sedang","Relatif Longgar"))))</x:f>
        <x:v>Relatif Longgar</x:v>
      </x:c>
      <x:c r="N3776" s="66" t="str">
        <x:v>Tidak Ada</x:v>
      </x:c>
      <x:c r="O3776" s="66" t="str">
        <x:v>Kalimantan Timur</x:v>
      </x:c>
      <x:c r="P3776" s="66" t="str">
        <x:v>Kota Balikpapan</x:v>
      </x:c>
      <x:c r="Q3776" s="66" t="str">
        <x:v>https://snpmb.id/snbp/daya-tampung-snbp</x:v>
      </x:c>
      <x:c r="R3776" s="66" t="str">
        <x:v>https://sidatagrun-public-1076756628210.asia-southeast2.run.app/ptn_sn.php?ptn=542</x:v>
      </x:c>
    </x:row>
    <x:row r="3777">
      <x:c r="A3777" s="87" t="n">
        <x:v>1871</x:v>
      </x:c>
      <x:c r="B3777" s="66" t="n">
        <x:v>542</x:v>
      </x:c>
      <x:c r="C3777" s="66" t="str">
        <x:v>INSTITUT TEKNOLOGI KALIMANTAN</x:v>
      </x:c>
      <x:c r="D3777" s="66" t="str">
        <x:v>PTN Akademik</x:v>
      </x:c>
      <x:c r="E3777" s="66" t="str">
        <x:v>15421010</x:v>
      </x:c>
      <x:c r="F3777" s="66" t="str">
        <x:v>SISTEM INFORMASI</x:v>
      </x:c>
      <x:c r="G3777" s="66" t="str">
        <x:v>Sarjana</x:v>
      </x:c>
      <x:c r="H3777" s="87" t="n">
        <x:v>40</x:v>
      </x:c>
      <x:c r="I3777" s="87" t="n">
        <x:v>289</x:v>
      </x:c>
      <x:c r="J3777" s="68" t="n">
        <x:f>IFERROR(H3777/I3777,"")</x:f>
        <x:v>0.1384083044982699</x:v>
      </x:c>
      <x:c r="K3777" s="69" t="n">
        <x:f>IFERROR(I3777/H3777,"")</x:f>
        <x:v>7.225</x:v>
      </x:c>
      <x:c r="L3777" s="66" t="str">
        <x:f>IF(K3777="","","1 : "&amp;TEXT(K3777,"0.0"))</x:f>
        <x:v>1 : 7.2</x:v>
      </x:c>
      <x:c r="M3777" s="66" t="str">
        <x:f>IF(J3777="","Baru/Tanpa Data",IF(J3777&lt;='Catatan &amp; Sumber'!$B$14,"Sangat Ketat",IF(J3777&lt;='Catatan &amp; Sumber'!$B$15,"Ketat",IF(J3777&lt;='Catatan &amp; Sumber'!$B$16,"Sedang","Relatif Longgar"))))</x:f>
        <x:v>Relatif Longgar</x:v>
      </x:c>
      <x:c r="N3777" s="66" t="str">
        <x:v>Tidak Ada</x:v>
      </x:c>
      <x:c r="O3777" s="66" t="str">
        <x:v>Kalimantan Timur</x:v>
      </x:c>
      <x:c r="P3777" s="66" t="str">
        <x:v>Kota Balikpapan</x:v>
      </x:c>
      <x:c r="Q3777" s="66" t="str">
        <x:v>https://snpmb.id/snbp/daya-tampung-snbp</x:v>
      </x:c>
      <x:c r="R3777" s="66" t="str">
        <x:v>https://sidatagrun-public-1076756628210.asia-southeast2.run.app/ptn_sn.php?ptn=542</x:v>
      </x:c>
    </x:row>
    <x:row r="3778">
      <x:c r="A3778" s="87" t="n">
        <x:v>1341</x:v>
      </x:c>
      <x:c r="B3778" s="66" t="n">
        <x:v>542</x:v>
      </x:c>
      <x:c r="C3778" s="66" t="str">
        <x:v>INSTITUT TEKNOLOGI KALIMANTAN</x:v>
      </x:c>
      <x:c r="D3778" s="66" t="str">
        <x:v>PTN Akademik</x:v>
      </x:c>
      <x:c r="E3778" s="66" t="str">
        <x:v>15421011</x:v>
      </x:c>
      <x:c r="F3778" s="66" t="str">
        <x:v>TEKNIK INDUSTRI</x:v>
      </x:c>
      <x:c r="G3778" s="66" t="str">
        <x:v>Sarjana</x:v>
      </x:c>
      <x:c r="H3778" s="87" t="n">
        <x:v>35</x:v>
      </x:c>
      <x:c r="I3778" s="87" t="n">
        <x:v>357</x:v>
      </x:c>
      <x:c r="J3778" s="68" t="n">
        <x:f>IFERROR(H3778/I3778,"")</x:f>
        <x:v>0.09803921568627451</x:v>
      </x:c>
      <x:c r="K3778" s="69" t="n">
        <x:f>IFERROR(I3778/H3778,"")</x:f>
        <x:v>10.2</x:v>
      </x:c>
      <x:c r="L3778" s="66" t="str">
        <x:f>IF(K3778="","","1 : "&amp;TEXT(K3778,"0.0"))</x:f>
        <x:v>1 : 10.2</x:v>
      </x:c>
      <x:c r="M3778" s="66" t="str">
        <x:f>IF(J3778="","Baru/Tanpa Data",IF(J3778&lt;='Catatan &amp; Sumber'!$B$14,"Sangat Ketat",IF(J3778&lt;='Catatan &amp; Sumber'!$B$15,"Ketat",IF(J3778&lt;='Catatan &amp; Sumber'!$B$16,"Sedang","Relatif Longgar"))))</x:f>
        <x:v>Sedang</x:v>
      </x:c>
      <x:c r="N3778" s="66" t="str">
        <x:v>Tidak Ada</x:v>
      </x:c>
      <x:c r="O3778" s="66" t="str">
        <x:v>Kalimantan Timur</x:v>
      </x:c>
      <x:c r="P3778" s="66" t="str">
        <x:v>Kota Balikpapan</x:v>
      </x:c>
      <x:c r="Q3778" s="66" t="str">
        <x:v>https://snpmb.id/snbp/daya-tampung-snbp</x:v>
      </x:c>
      <x:c r="R3778" s="66" t="str">
        <x:v>https://sidatagrun-public-1076756628210.asia-southeast2.run.app/ptn_sn.php?ptn=542</x:v>
      </x:c>
    </x:row>
    <x:row r="3779">
      <x:c r="A3779" s="87" t="n">
        <x:v>1023</x:v>
      </x:c>
      <x:c r="B3779" s="66" t="n">
        <x:v>542</x:v>
      </x:c>
      <x:c r="C3779" s="66" t="str">
        <x:v>INSTITUT TEKNOLOGI KALIMANTAN</x:v>
      </x:c>
      <x:c r="D3779" s="66" t="str">
        <x:v>PTN Akademik</x:v>
      </x:c>
      <x:c r="E3779" s="66" t="str">
        <x:v>15421012</x:v>
      </x:c>
      <x:c r="F3779" s="66" t="str">
        <x:v>INFORMATIKA</x:v>
      </x:c>
      <x:c r="G3779" s="66" t="str">
        <x:v>Sarjana</x:v>
      </x:c>
      <x:c r="H3779" s="87" t="n">
        <x:v>21</x:v>
      </x:c>
      <x:c r="I3779" s="87" t="n">
        <x:v>265</x:v>
      </x:c>
      <x:c r="J3779" s="68" t="n">
        <x:f>IFERROR(H3779/I3779,"")</x:f>
        <x:v>0.07924528301886792</x:v>
      </x:c>
      <x:c r="K3779" s="69" t="n">
        <x:f>IFERROR(I3779/H3779,"")</x:f>
        <x:v>12.619047619047619</x:v>
      </x:c>
      <x:c r="L3779" s="66" t="str">
        <x:f>IF(K3779="","","1 : "&amp;TEXT(K3779,"0.0"))</x:f>
        <x:v>1 : 12.6</x:v>
      </x:c>
      <x:c r="M3779" s="66" t="str">
        <x:f>IF(J3779="","Baru/Tanpa Data",IF(J3779&lt;='Catatan &amp; Sumber'!$B$14,"Sangat Ketat",IF(J3779&lt;='Catatan &amp; Sumber'!$B$15,"Ketat",IF(J3779&lt;='Catatan &amp; Sumber'!$B$16,"Sedang","Relatif Longgar"))))</x:f>
        <x:v>Sedang</x:v>
      </x:c>
      <x:c r="N3779" s="66" t="str">
        <x:v>Tidak Ada</x:v>
      </x:c>
      <x:c r="O3779" s="66" t="str">
        <x:v>Kalimantan Timur</x:v>
      </x:c>
      <x:c r="P3779" s="66" t="str">
        <x:v>Kota Balikpapan</x:v>
      </x:c>
      <x:c r="Q3779" s="66" t="str">
        <x:v>https://snpmb.id/snbp/daya-tampung-snbp</x:v>
      </x:c>
      <x:c r="R3779" s="66" t="str">
        <x:v>https://sidatagrun-public-1076756628210.asia-southeast2.run.app/ptn_sn.php?ptn=542</x:v>
      </x:c>
    </x:row>
    <x:row r="3780">
      <x:c r="A3780" s="87" t="n">
        <x:v>2173</x:v>
      </x:c>
      <x:c r="B3780" s="66" t="n">
        <x:v>542</x:v>
      </x:c>
      <x:c r="C3780" s="66" t="str">
        <x:v>INSTITUT TEKNOLOGI KALIMANTAN</x:v>
      </x:c>
      <x:c r="D3780" s="66" t="str">
        <x:v>PTN Akademik</x:v>
      </x:c>
      <x:c r="E3780" s="66" t="str">
        <x:v>15421013</x:v>
      </x:c>
      <x:c r="F3780" s="66" t="str">
        <x:v>TEKNIK LINGKUNGAN</x:v>
      </x:c>
      <x:c r="G3780" s="66" t="str">
        <x:v>Sarjana</x:v>
      </x:c>
      <x:c r="H3780" s="87" t="n">
        <x:v>40</x:v>
      </x:c>
      <x:c r="I3780" s="87" t="n">
        <x:v>237</x:v>
      </x:c>
      <x:c r="J3780" s="68" t="n">
        <x:f>IFERROR(H3780/I3780,"")</x:f>
        <x:v>0.16877637130801687</x:v>
      </x:c>
      <x:c r="K3780" s="69" t="n">
        <x:f>IFERROR(I3780/H3780,"")</x:f>
        <x:v>5.925</x:v>
      </x:c>
      <x:c r="L3780" s="66" t="str">
        <x:f>IF(K3780="","","1 : "&amp;TEXT(K3780,"0.0"))</x:f>
        <x:v>1 : 5.9</x:v>
      </x:c>
      <x:c r="M3780" s="66" t="str">
        <x:f>IF(J3780="","Baru/Tanpa Data",IF(J3780&lt;='Catatan &amp; Sumber'!$B$14,"Sangat Ketat",IF(J3780&lt;='Catatan &amp; Sumber'!$B$15,"Ketat",IF(J3780&lt;='Catatan &amp; Sumber'!$B$16,"Sedang","Relatif Longgar"))))</x:f>
        <x:v>Relatif Longgar</x:v>
      </x:c>
      <x:c r="N3780" s="66" t="str">
        <x:v>Tidak Ada</x:v>
      </x:c>
      <x:c r="O3780" s="66" t="str">
        <x:v>Kalimantan Timur</x:v>
      </x:c>
      <x:c r="P3780" s="66" t="str">
        <x:v>Kota Balikpapan</x:v>
      </x:c>
      <x:c r="Q3780" s="66" t="str">
        <x:v>https://snpmb.id/snbp/daya-tampung-snbp</x:v>
      </x:c>
      <x:c r="R3780" s="66" t="str">
        <x:v>https://sidatagrun-public-1076756628210.asia-southeast2.run.app/ptn_sn.php?ptn=542</x:v>
      </x:c>
    </x:row>
    <x:row r="3781">
      <x:c r="A3781" s="87" t="n">
        <x:v>3432</x:v>
      </x:c>
      <x:c r="B3781" s="66" t="n">
        <x:v>542</x:v>
      </x:c>
      <x:c r="C3781" s="66" t="str">
        <x:v>INSTITUT TEKNOLOGI KALIMANTAN</x:v>
      </x:c>
      <x:c r="D3781" s="66" t="str">
        <x:v>PTN Akademik</x:v>
      </x:c>
      <x:c r="E3781" s="66" t="str">
        <x:v>15421014</x:v>
      </x:c>
      <x:c r="F3781" s="66" t="str">
        <x:v>TEKNIK KELAUTAN</x:v>
      </x:c>
      <x:c r="G3781" s="66" t="str">
        <x:v>Sarjana</x:v>
      </x:c>
      <x:c r="H3781" s="87" t="n">
        <x:v>40</x:v>
      </x:c>
      <x:c r="I3781" s="87" t="n">
        <x:v>97</x:v>
      </x:c>
      <x:c r="J3781" s="68" t="n">
        <x:f>IFERROR(H3781/I3781,"")</x:f>
        <x:v>0.41237113402061853</x:v>
      </x:c>
      <x:c r="K3781" s="69" t="n">
        <x:f>IFERROR(I3781/H3781,"")</x:f>
        <x:v>2.425</x:v>
      </x:c>
      <x:c r="L3781" s="66" t="str">
        <x:f>IF(K3781="","","1 : "&amp;TEXT(K3781,"0.0"))</x:f>
        <x:v>1 : 2.4</x:v>
      </x:c>
      <x:c r="M3781" s="66" t="str">
        <x:f>IF(J3781="","Baru/Tanpa Data",IF(J3781&lt;='Catatan &amp; Sumber'!$B$14,"Sangat Ketat",IF(J3781&lt;='Catatan &amp; Sumber'!$B$15,"Ketat",IF(J3781&lt;='Catatan &amp; Sumber'!$B$16,"Sedang","Relatif Longgar"))))</x:f>
        <x:v>Relatif Longgar</x:v>
      </x:c>
      <x:c r="N3781" s="66" t="str">
        <x:v>Tidak Ada</x:v>
      </x:c>
      <x:c r="O3781" s="66" t="str">
        <x:v>Kalimantan Timur</x:v>
      </x:c>
      <x:c r="P3781" s="66" t="str">
        <x:v>Kota Balikpapan</x:v>
      </x:c>
      <x:c r="Q3781" s="66" t="str">
        <x:v>https://snpmb.id/snbp/daya-tampung-snbp</x:v>
      </x:c>
      <x:c r="R3781" s="66" t="str">
        <x:v>https://sidatagrun-public-1076756628210.asia-southeast2.run.app/ptn_sn.php?ptn=542</x:v>
      </x:c>
    </x:row>
    <x:row r="3782">
      <x:c r="A3782" s="87" t="n">
        <x:v>2524</x:v>
      </x:c>
      <x:c r="B3782" s="66" t="n">
        <x:v>542</x:v>
      </x:c>
      <x:c r="C3782" s="66" t="str">
        <x:v>INSTITUT TEKNOLOGI KALIMANTAN</x:v>
      </x:c>
      <x:c r="D3782" s="66" t="str">
        <x:v>PTN Akademik</x:v>
      </x:c>
      <x:c r="E3782" s="66" t="str">
        <x:v>15421015</x:v>
      </x:c>
      <x:c r="F3782" s="66" t="str">
        <x:v>ARSITEKTUR</x:v>
      </x:c>
      <x:c r="G3782" s="66" t="str">
        <x:v>Sarjana</x:v>
      </x:c>
      <x:c r="H3782" s="87" t="n">
        <x:v>25</x:v>
      </x:c>
      <x:c r="I3782" s="87" t="n">
        <x:v>116</x:v>
      </x:c>
      <x:c r="J3782" s="68" t="n">
        <x:f>IFERROR(H3782/I3782,"")</x:f>
        <x:v>0.21551724137931033</x:v>
      </x:c>
      <x:c r="K3782" s="69" t="n">
        <x:f>IFERROR(I3782/H3782,"")</x:f>
        <x:v>4.64</x:v>
      </x:c>
      <x:c r="L3782" s="66" t="str">
        <x:f>IF(K3782="","","1 : "&amp;TEXT(K3782,"0.0"))</x:f>
        <x:v>1 : 4.6</x:v>
      </x:c>
      <x:c r="M3782" s="66" t="str">
        <x:f>IF(J3782="","Baru/Tanpa Data",IF(J3782&lt;='Catatan &amp; Sumber'!$B$14,"Sangat Ketat",IF(J3782&lt;='Catatan &amp; Sumber'!$B$15,"Ketat",IF(J3782&lt;='Catatan &amp; Sumber'!$B$16,"Sedang","Relatif Longgar"))))</x:f>
        <x:v>Relatif Longgar</x:v>
      </x:c>
      <x:c r="N3782" s="66" t="str">
        <x:v>Tidak Ada</x:v>
      </x:c>
      <x:c r="O3782" s="66" t="str">
        <x:v>Kalimantan Timur</x:v>
      </x:c>
      <x:c r="P3782" s="66" t="str">
        <x:v>Kota Balikpapan</x:v>
      </x:c>
      <x:c r="Q3782" s="66" t="str">
        <x:v>https://snpmb.id/snbp/daya-tampung-snbp</x:v>
      </x:c>
      <x:c r="R3782" s="66" t="str">
        <x:v>https://sidatagrun-public-1076756628210.asia-southeast2.run.app/ptn_sn.php?ptn=542</x:v>
      </x:c>
    </x:row>
    <x:row r="3783">
      <x:c r="A3783" s="87" t="n">
        <x:v>4063</x:v>
      </x:c>
      <x:c r="B3783" s="66" t="n">
        <x:v>542</x:v>
      </x:c>
      <x:c r="C3783" s="66" t="str">
        <x:v>INSTITUT TEKNOLOGI KALIMANTAN</x:v>
      </x:c>
      <x:c r="D3783" s="66" t="str">
        <x:v>PTN Akademik</x:v>
      </x:c>
      <x:c r="E3783" s="66" t="str">
        <x:v>15421016</x:v>
      </x:c>
      <x:c r="F3783" s="66" t="str">
        <x:v>STATISTIKA</x:v>
      </x:c>
      <x:c r="G3783" s="66" t="str">
        <x:v>Sarjana</x:v>
      </x:c>
      <x:c r="H3783" s="87" t="n">
        <x:v>45</x:v>
      </x:c>
      <x:c r="I3783" s="87" t="n">
        <x:v>62</x:v>
      </x:c>
      <x:c r="J3783" s="68" t="n">
        <x:f>IFERROR(H3783/I3783,"")</x:f>
        <x:v>0.7258064516129032</x:v>
      </x:c>
      <x:c r="K3783" s="69" t="n">
        <x:f>IFERROR(I3783/H3783,"")</x:f>
        <x:v>1.3777777777777778</x:v>
      </x:c>
      <x:c r="L3783" s="66" t="str">
        <x:f>IF(K3783="","","1 : "&amp;TEXT(K3783,"0.0"))</x:f>
        <x:v>1 : 1.4</x:v>
      </x:c>
      <x:c r="M3783" s="66" t="str">
        <x:f>IF(J3783="","Baru/Tanpa Data",IF(J3783&lt;='Catatan &amp; Sumber'!$B$14,"Sangat Ketat",IF(J3783&lt;='Catatan &amp; Sumber'!$B$15,"Ketat",IF(J3783&lt;='Catatan &amp; Sumber'!$B$16,"Sedang","Relatif Longgar"))))</x:f>
        <x:v>Relatif Longgar</x:v>
      </x:c>
      <x:c r="N3783" s="66" t="str">
        <x:v>Tidak Ada</x:v>
      </x:c>
      <x:c r="O3783" s="66" t="str">
        <x:v>Kalimantan Timur</x:v>
      </x:c>
      <x:c r="P3783" s="66" t="str">
        <x:v>Kota Balikpapan</x:v>
      </x:c>
      <x:c r="Q3783" s="66" t="str">
        <x:v>https://snpmb.id/snbp/daya-tampung-snbp</x:v>
      </x:c>
      <x:c r="R3783" s="66" t="str">
        <x:v>https://sidatagrun-public-1076756628210.asia-southeast2.run.app/ptn_sn.php?ptn=542</x:v>
      </x:c>
    </x:row>
    <x:row r="3784">
      <x:c r="A3784" s="87" t="n">
        <x:v>3865</x:v>
      </x:c>
      <x:c r="B3784" s="66" t="n">
        <x:v>542</x:v>
      </x:c>
      <x:c r="C3784" s="66" t="str">
        <x:v>INSTITUT TEKNOLOGI KALIMANTAN</x:v>
      </x:c>
      <x:c r="D3784" s="66" t="str">
        <x:v>PTN Akademik</x:v>
      </x:c>
      <x:c r="E3784" s="66" t="str">
        <x:v>15421017</x:v>
      </x:c>
      <x:c r="F3784" s="66" t="str">
        <x:v>ILMU AKTUARIA</x:v>
      </x:c>
      <x:c r="G3784" s="66" t="str">
        <x:v>Sarjana</x:v>
      </x:c>
      <x:c r="H3784" s="87" t="n">
        <x:v>40</x:v>
      </x:c>
      <x:c r="I3784" s="87" t="n">
        <x:v>66</x:v>
      </x:c>
      <x:c r="J3784" s="68" t="n">
        <x:f>IFERROR(H3784/I3784,"")</x:f>
        <x:v>0.6060606060606061</x:v>
      </x:c>
      <x:c r="K3784" s="69" t="n">
        <x:f>IFERROR(I3784/H3784,"")</x:f>
        <x:v>1.65</x:v>
      </x:c>
      <x:c r="L3784" s="66" t="str">
        <x:f>IF(K3784="","","1 : "&amp;TEXT(K3784,"0.0"))</x:f>
        <x:v>1 : 1.7</x:v>
      </x:c>
      <x:c r="M3784" s="66" t="str">
        <x:f>IF(J3784="","Baru/Tanpa Data",IF(J3784&lt;='Catatan &amp; Sumber'!$B$14,"Sangat Ketat",IF(J3784&lt;='Catatan &amp; Sumber'!$B$15,"Ketat",IF(J3784&lt;='Catatan &amp; Sumber'!$B$16,"Sedang","Relatif Longgar"))))</x:f>
        <x:v>Relatif Longgar</x:v>
      </x:c>
      <x:c r="N3784" s="66" t="str">
        <x:v>Tidak Ada</x:v>
      </x:c>
      <x:c r="O3784" s="66" t="str">
        <x:v>Kalimantan Timur</x:v>
      </x:c>
      <x:c r="P3784" s="66" t="str">
        <x:v>Kota Balikpapan</x:v>
      </x:c>
      <x:c r="Q3784" s="66" t="str">
        <x:v>https://snpmb.id/snbp/daya-tampung-snbp</x:v>
      </x:c>
      <x:c r="R3784" s="66" t="str">
        <x:v>https://sidatagrun-public-1076756628210.asia-southeast2.run.app/ptn_sn.php?ptn=542</x:v>
      </x:c>
    </x:row>
    <x:row r="3785">
      <x:c r="A3785" s="87" t="n">
        <x:v>1471</x:v>
      </x:c>
      <x:c r="B3785" s="66" t="n">
        <x:v>542</x:v>
      </x:c>
      <x:c r="C3785" s="66" t="str">
        <x:v>INSTITUT TEKNOLOGI KALIMANTAN</x:v>
      </x:c>
      <x:c r="D3785" s="66" t="str">
        <x:v>PTN Akademik</x:v>
      </x:c>
      <x:c r="E3785" s="66" t="str">
        <x:v>15421018</x:v>
      </x:c>
      <x:c r="F3785" s="66" t="str">
        <x:v>BISNIS DIGITAL</x:v>
      </x:c>
      <x:c r="G3785" s="66" t="str">
        <x:v>Sarjana</x:v>
      </x:c>
      <x:c r="H3785" s="87" t="n">
        <x:v>30</x:v>
      </x:c>
      <x:c r="I3785" s="87" t="n">
        <x:v>279</x:v>
      </x:c>
      <x:c r="J3785" s="68" t="n">
        <x:f>IFERROR(H3785/I3785,"")</x:f>
        <x:v>0.10752688172043011</x:v>
      </x:c>
      <x:c r="K3785" s="69" t="n">
        <x:f>IFERROR(I3785/H3785,"")</x:f>
        <x:v>9.3</x:v>
      </x:c>
      <x:c r="L3785" s="66" t="str">
        <x:f>IF(K3785="","","1 : "&amp;TEXT(K3785,"0.0"))</x:f>
        <x:v>1 : 9.3</x:v>
      </x:c>
      <x:c r="M3785" s="66" t="str">
        <x:f>IF(J3785="","Baru/Tanpa Data",IF(J3785&lt;='Catatan &amp; Sumber'!$B$14,"Sangat Ketat",IF(J3785&lt;='Catatan &amp; Sumber'!$B$15,"Ketat",IF(J3785&lt;='Catatan &amp; Sumber'!$B$16,"Sedang","Relatif Longgar"))))</x:f>
        <x:v>Relatif Longgar</x:v>
      </x:c>
      <x:c r="N3785" s="66" t="str">
        <x:v>Tidak Ada</x:v>
      </x:c>
      <x:c r="O3785" s="66" t="str">
        <x:v>Kalimantan Timur</x:v>
      </x:c>
      <x:c r="P3785" s="66" t="str">
        <x:v>Kota Balikpapan</x:v>
      </x:c>
      <x:c r="Q3785" s="66" t="str">
        <x:v>https://snpmb.id/snbp/daya-tampung-snbp</x:v>
      </x:c>
      <x:c r="R3785" s="66" t="str">
        <x:v>https://sidatagrun-public-1076756628210.asia-southeast2.run.app/ptn_sn.php?ptn=542</x:v>
      </x:c>
    </x:row>
    <x:row r="3786">
      <x:c r="A3786" s="87" t="n">
        <x:v>698</x:v>
      </x:c>
      <x:c r="B3786" s="66" t="n">
        <x:v>542</x:v>
      </x:c>
      <x:c r="C3786" s="66" t="str">
        <x:v>INSTITUT TEKNOLOGI KALIMANTAN</x:v>
      </x:c>
      <x:c r="D3786" s="66" t="str">
        <x:v>PTN Akademik</x:v>
      </x:c>
      <x:c r="E3786" s="66" t="str">
        <x:v>15421019</x:v>
      </x:c>
      <x:c r="F3786" s="66" t="str">
        <x:v>REKAYASA KESELAMATAN</x:v>
      </x:c>
      <x:c r="G3786" s="66" t="str">
        <x:v>Sarjana</x:v>
      </x:c>
      <x:c r="H3786" s="87" t="n">
        <x:v>24</x:v>
      </x:c>
      <x:c r="I3786" s="87" t="n">
        <x:v>388</x:v>
      </x:c>
      <x:c r="J3786" s="68" t="n">
        <x:f>IFERROR(H3786/I3786,"")</x:f>
        <x:v>0.061855670103092786</x:v>
      </x:c>
      <x:c r="K3786" s="69" t="n">
        <x:f>IFERROR(I3786/H3786,"")</x:f>
        <x:v>16.166666666666668</x:v>
      </x:c>
      <x:c r="L3786" s="66" t="str">
        <x:f>IF(K3786="","","1 : "&amp;TEXT(K3786,"0.0"))</x:f>
        <x:v>1 : 16.2</x:v>
      </x:c>
      <x:c r="M3786" s="66" t="str">
        <x:f>IF(J3786="","Baru/Tanpa Data",IF(J3786&lt;='Catatan &amp; Sumber'!$B$14,"Sangat Ketat",IF(J3786&lt;='Catatan &amp; Sumber'!$B$15,"Ketat",IF(J3786&lt;='Catatan &amp; Sumber'!$B$16,"Sedang","Relatif Longgar"))))</x:f>
        <x:v>Sedang</x:v>
      </x:c>
      <x:c r="N3786" s="66" t="str">
        <x:v>Tidak Ada</x:v>
      </x:c>
      <x:c r="O3786" s="66" t="str">
        <x:v>Kalimantan Timur</x:v>
      </x:c>
      <x:c r="P3786" s="66" t="str">
        <x:v>Kota Balikpapan</x:v>
      </x:c>
      <x:c r="Q3786" s="66" t="str">
        <x:v>https://snpmb.id/snbp/daya-tampung-snbp</x:v>
      </x:c>
      <x:c r="R3786" s="66" t="str">
        <x:v>https://sidatagrun-public-1076756628210.asia-southeast2.run.app/ptn_sn.php?ptn=542</x:v>
      </x:c>
    </x:row>
    <x:row r="3787">
      <x:c r="A3787" s="87" t="n">
        <x:v>2867</x:v>
      </x:c>
      <x:c r="B3787" s="66" t="n">
        <x:v>542</x:v>
      </x:c>
      <x:c r="C3787" s="66" t="str">
        <x:v>INSTITUT TEKNOLOGI KALIMANTAN</x:v>
      </x:c>
      <x:c r="D3787" s="66" t="str">
        <x:v>PTN Akademik</x:v>
      </x:c>
      <x:c r="E3787" s="66" t="str">
        <x:v>15421020</x:v>
      </x:c>
      <x:c r="F3787" s="66" t="str">
        <x:v>TEKNOLOGI PANGAN</x:v>
      </x:c>
      <x:c r="G3787" s="66" t="str">
        <x:v>Sarjana</x:v>
      </x:c>
      <x:c r="H3787" s="87" t="n">
        <x:v>40</x:v>
      </x:c>
      <x:c r="I3787" s="87" t="n">
        <x:v>148</x:v>
      </x:c>
      <x:c r="J3787" s="68" t="n">
        <x:f>IFERROR(H3787/I3787,"")</x:f>
        <x:v>0.2702702702702703</x:v>
      </x:c>
      <x:c r="K3787" s="69" t="n">
        <x:f>IFERROR(I3787/H3787,"")</x:f>
        <x:v>3.7</x:v>
      </x:c>
      <x:c r="L3787" s="66" t="str">
        <x:f>IF(K3787="","","1 : "&amp;TEXT(K3787,"0.0"))</x:f>
        <x:v>1 : 3.7</x:v>
      </x:c>
      <x:c r="M3787" s="66" t="str">
        <x:f>IF(J3787="","Baru/Tanpa Data",IF(J3787&lt;='Catatan &amp; Sumber'!$B$14,"Sangat Ketat",IF(J3787&lt;='Catatan &amp; Sumber'!$B$15,"Ketat",IF(J3787&lt;='Catatan &amp; Sumber'!$B$16,"Sedang","Relatif Longgar"))))</x:f>
        <x:v>Relatif Longgar</x:v>
      </x:c>
      <x:c r="N3787" s="66" t="str">
        <x:v>Tidak Ada</x:v>
      </x:c>
      <x:c r="O3787" s="66" t="str">
        <x:v>Kalimantan Timur</x:v>
      </x:c>
      <x:c r="P3787" s="66" t="str">
        <x:v>Kota Balikpapan</x:v>
      </x:c>
      <x:c r="Q3787" s="66" t="str">
        <x:v>https://snpmb.id/snbp/daya-tampung-snbp</x:v>
      </x:c>
      <x:c r="R3787" s="66" t="str">
        <x:v>https://sidatagrun-public-1076756628210.asia-southeast2.run.app/ptn_sn.php?ptn=542</x:v>
      </x:c>
    </x:row>
    <x:row r="3788">
      <x:c r="A3788" s="87" t="n">
        <x:v>3160</x:v>
      </x:c>
      <x:c r="B3788" s="66" t="n">
        <x:v>542</x:v>
      </x:c>
      <x:c r="C3788" s="66" t="str">
        <x:v>INSTITUT TEKNOLOGI KALIMANTAN</x:v>
      </x:c>
      <x:c r="D3788" s="66" t="str">
        <x:v>PTN Akademik</x:v>
      </x:c>
      <x:c r="E3788" s="66" t="str">
        <x:v>15421021</x:v>
      </x:c>
      <x:c r="F3788" s="66" t="str">
        <x:v>TEKNIK LOGISTIK</x:v>
      </x:c>
      <x:c r="G3788" s="66" t="str">
        <x:v>Sarjana</x:v>
      </x:c>
      <x:c r="H3788" s="87" t="n">
        <x:v>30</x:v>
      </x:c>
      <x:c r="I3788" s="87" t="n">
        <x:v>91</x:v>
      </x:c>
      <x:c r="J3788" s="68" t="n">
        <x:f>IFERROR(H3788/I3788,"")</x:f>
        <x:v>0.32967032967032966</x:v>
      </x:c>
      <x:c r="K3788" s="69" t="n">
        <x:f>IFERROR(I3788/H3788,"")</x:f>
        <x:v>3.033333333333333</x:v>
      </x:c>
      <x:c r="L3788" s="66" t="str">
        <x:f>IF(K3788="","","1 : "&amp;TEXT(K3788,"0.0"))</x:f>
        <x:v>1 : 3.0</x:v>
      </x:c>
      <x:c r="M3788" s="66" t="str">
        <x:f>IF(J3788="","Baru/Tanpa Data",IF(J3788&lt;='Catatan &amp; Sumber'!$B$14,"Sangat Ketat",IF(J3788&lt;='Catatan &amp; Sumber'!$B$15,"Ketat",IF(J3788&lt;='Catatan &amp; Sumber'!$B$16,"Sedang","Relatif Longgar"))))</x:f>
        <x:v>Relatif Longgar</x:v>
      </x:c>
      <x:c r="N3788" s="66" t="str">
        <x:v>Tidak Ada</x:v>
      </x:c>
      <x:c r="O3788" s="66" t="str">
        <x:v>Kalimantan Timur</x:v>
      </x:c>
      <x:c r="P3788" s="66" t="str">
        <x:v>Kota Balikpapan</x:v>
      </x:c>
      <x:c r="Q3788" s="66" t="str">
        <x:v>https://snpmb.id/snbp/daya-tampung-snbp</x:v>
      </x:c>
      <x:c r="R3788" s="66" t="str">
        <x:v>https://sidatagrun-public-1076756628210.asia-southeast2.run.app/ptn_sn.php?ptn=542</x:v>
      </x:c>
    </x:row>
    <x:row r="3789">
      <x:c r="A3789" s="87" t="n">
        <x:v>3952</x:v>
      </x:c>
      <x:c r="B3789" s="66" t="n">
        <x:v>542</x:v>
      </x:c>
      <x:c r="C3789" s="66" t="str">
        <x:v>INSTITUT TEKNOLOGI KALIMANTAN</x:v>
      </x:c>
      <x:c r="D3789" s="66" t="str">
        <x:v>PTN Akademik</x:v>
      </x:c>
      <x:c r="E3789" s="66" t="str">
        <x:v>15421022</x:v>
      </x:c>
      <x:c r="F3789" s="66" t="str">
        <x:v>DESAIN KOMUNIKASI VISUAL</x:v>
      </x:c>
      <x:c r="G3789" s="66" t="str">
        <x:v>Sarjana</x:v>
      </x:c>
      <x:c r="H3789" s="87" t="n">
        <x:v>50</x:v>
      </x:c>
      <x:c r="I3789" s="87" t="n">
        <x:v>76</x:v>
      </x:c>
      <x:c r="J3789" s="68" t="n">
        <x:f>IFERROR(H3789/I3789,"")</x:f>
        <x:v>0.6578947368421053</x:v>
      </x:c>
      <x:c r="K3789" s="69" t="n">
        <x:f>IFERROR(I3789/H3789,"")</x:f>
        <x:v>1.52</x:v>
      </x:c>
      <x:c r="L3789" s="66" t="str">
        <x:f>IF(K3789="","","1 : "&amp;TEXT(K3789,"0.0"))</x:f>
        <x:v>1 : 1.5</x:v>
      </x:c>
      <x:c r="M3789" s="66" t="str">
        <x:f>IF(J3789="","Baru/Tanpa Data",IF(J3789&lt;='Catatan &amp; Sumber'!$B$14,"Sangat Ketat",IF(J3789&lt;='Catatan &amp; Sumber'!$B$15,"Ketat",IF(J3789&lt;='Catatan &amp; Sumber'!$B$16,"Sedang","Relatif Longgar"))))</x:f>
        <x:v>Relatif Longgar</x:v>
      </x:c>
      <x:c r="N3789" s="66" t="str">
        <x:v>Seni Rupa, Desain, dan Kriya</x:v>
      </x:c>
      <x:c r="O3789" s="66" t="str">
        <x:v>Kalimantan Timur</x:v>
      </x:c>
      <x:c r="P3789" s="66" t="str">
        <x:v>Kota Balikpapan</x:v>
      </x:c>
      <x:c r="Q3789" s="66" t="str">
        <x:v>https://snpmb.id/snbp/daya-tampung-snbp</x:v>
      </x:c>
      <x:c r="R3789" s="66" t="str">
        <x:v>https://sidatagrun-public-1076756628210.asia-southeast2.run.app/ptn_sn.php?ptn=542</x:v>
      </x:c>
    </x:row>
    <x:row r="3790">
      <x:c r="A3790" s="87"/>
      <x:c r="B3790" s="66" t="n">
        <x:v>542</x:v>
      </x:c>
      <x:c r="C3790" s="66" t="str">
        <x:v>INSTITUT TEKNOLOGI KALIMANTAN</x:v>
      </x:c>
      <x:c r="D3790" s="66" t="str">
        <x:v>PTN Akademik</x:v>
      </x:c>
      <x:c r="E3790" s="66" t="str">
        <x:v>15421023</x:v>
      </x:c>
      <x:c r="F3790" s="66" t="str">
        <x:v>TEKNIK SISTEM PERKAPALAN</x:v>
      </x:c>
      <x:c r="G3790" s="66" t="str">
        <x:v>Sarjana</x:v>
      </x:c>
      <x:c r="H3790" s="87" t="n">
        <x:v>15</x:v>
      </x:c>
      <x:c r="I3790" s="87"/>
      <x:c r="J3790" s="68" t="str">
        <x:f>IFERROR(H3790/I3790,"")</x:f>
      </x:c>
      <x:c r="K3790" s="69" t="n">
        <x:f>IFERROR(I3790/H3790,"")</x:f>
        <x:v>0</x:v>
      </x:c>
      <x:c r="L3790" s="66" t="str">
        <x:f>IF(K3790="","","1 : "&amp;TEXT(K3790,"0.0"))</x:f>
      </x:c>
      <x:c r="M3790" s="66" t="str">
        <x:f>IF(J3790="","Baru/Tanpa Data",IF(J3790&lt;='Catatan &amp; Sumber'!$B$14,"Sangat Ketat",IF(J3790&lt;='Catatan &amp; Sumber'!$B$15,"Ketat",IF(J3790&lt;='Catatan &amp; Sumber'!$B$16,"Sedang","Relatif Longgar"))))</x:f>
        <x:v>Baru/Tanpa Data</x:v>
      </x:c>
      <x:c r="N3790" s="66" t="str">
        <x:v>Tidak Ada</x:v>
      </x:c>
      <x:c r="O3790" s="66" t="str">
        <x:v>Kalimantan Timur</x:v>
      </x:c>
      <x:c r="P3790" s="66" t="str">
        <x:v>Kota Balikpapan</x:v>
      </x:c>
      <x:c r="Q3790" s="66" t="str">
        <x:v>https://snpmb.id/snbp/daya-tampung-snbp</x:v>
      </x:c>
      <x:c r="R3790" s="66" t="str">
        <x:v>https://sidatagrun-public-1076756628210.asia-southeast2.run.app/ptn_sn.php?ptn=542</x:v>
      </x:c>
    </x:row>
    <x:row r="3791">
      <x:c r="A3791" s="87"/>
      <x:c r="B3791" s="66" t="n">
        <x:v>542</x:v>
      </x:c>
      <x:c r="C3791" s="66" t="str">
        <x:v>INSTITUT TEKNOLOGI KALIMANTAN</x:v>
      </x:c>
      <x:c r="D3791" s="66" t="str">
        <x:v>PTN Akademik</x:v>
      </x:c>
      <x:c r="E3791" s="66" t="str">
        <x:v>15421024</x:v>
      </x:c>
      <x:c r="F3791" s="66" t="str">
        <x:v>TEKNIK TRANSPORTASI LAUT</x:v>
      </x:c>
      <x:c r="G3791" s="66" t="str">
        <x:v>Sarjana</x:v>
      </x:c>
      <x:c r="H3791" s="87" t="n">
        <x:v>15</x:v>
      </x:c>
      <x:c r="I3791" s="87"/>
      <x:c r="J3791" s="68" t="str">
        <x:f>IFERROR(H3791/I3791,"")</x:f>
      </x:c>
      <x:c r="K3791" s="69" t="n">
        <x:f>IFERROR(I3791/H3791,"")</x:f>
        <x:v>0</x:v>
      </x:c>
      <x:c r="L3791" s="66" t="str">
        <x:f>IF(K3791="","","1 : "&amp;TEXT(K3791,"0.0"))</x:f>
      </x:c>
      <x:c r="M3791" s="66" t="str">
        <x:f>IF(J3791="","Baru/Tanpa Data",IF(J3791&lt;='Catatan &amp; Sumber'!$B$14,"Sangat Ketat",IF(J3791&lt;='Catatan &amp; Sumber'!$B$15,"Ketat",IF(J3791&lt;='Catatan &amp; Sumber'!$B$16,"Sedang","Relatif Longgar"))))</x:f>
        <x:v>Baru/Tanpa Data</x:v>
      </x:c>
      <x:c r="N3791" s="66" t="str">
        <x:v>Tidak Ada</x:v>
      </x:c>
      <x:c r="O3791" s="66" t="str">
        <x:v>Kalimantan Timur</x:v>
      </x:c>
      <x:c r="P3791" s="66" t="str">
        <x:v>Kota Balikpapan</x:v>
      </x:c>
      <x:c r="Q3791" s="66" t="str">
        <x:v>https://snpmb.id/snbp/daya-tampung-snbp</x:v>
      </x:c>
      <x:c r="R3791" s="66" t="str">
        <x:v>https://sidatagrun-public-1076756628210.asia-southeast2.run.app/ptn_sn.php?ptn=542</x:v>
      </x:c>
    </x:row>
    <x:row r="3792">
      <x:c r="A3792" s="87"/>
      <x:c r="B3792" s="66" t="n">
        <x:v>542</x:v>
      </x:c>
      <x:c r="C3792" s="66" t="str">
        <x:v>INSTITUT TEKNOLOGI KALIMANTAN</x:v>
      </x:c>
      <x:c r="D3792" s="66" t="str">
        <x:v>PTN Akademik</x:v>
      </x:c>
      <x:c r="E3792" s="66" t="str">
        <x:v>15421025</x:v>
      </x:c>
      <x:c r="F3792" s="66" t="str">
        <x:v>TEKNIK BIOMEDIS</x:v>
      </x:c>
      <x:c r="G3792" s="66" t="str">
        <x:v>Sarjana</x:v>
      </x:c>
      <x:c r="H3792" s="87" t="n">
        <x:v>14</x:v>
      </x:c>
      <x:c r="I3792" s="87"/>
      <x:c r="J3792" s="68" t="str">
        <x:f>IFERROR(H3792/I3792,"")</x:f>
      </x:c>
      <x:c r="K3792" s="69" t="n">
        <x:f>IFERROR(I3792/H3792,"")</x:f>
        <x:v>0</x:v>
      </x:c>
      <x:c r="L3792" s="66" t="str">
        <x:f>IF(K3792="","","1 : "&amp;TEXT(K3792,"0.0"))</x:f>
      </x:c>
      <x:c r="M3792" s="66" t="str">
        <x:f>IF(J3792="","Baru/Tanpa Data",IF(J3792&lt;='Catatan &amp; Sumber'!$B$14,"Sangat Ketat",IF(J3792&lt;='Catatan &amp; Sumber'!$B$15,"Ketat",IF(J3792&lt;='Catatan &amp; Sumber'!$B$16,"Sedang","Relatif Longgar"))))</x:f>
        <x:v>Baru/Tanpa Data</x:v>
      </x:c>
      <x:c r="N3792" s="66" t="str">
        <x:v>Tidak Ada</x:v>
      </x:c>
      <x:c r="O3792" s="66" t="str">
        <x:v>Kalimantan Timur</x:v>
      </x:c>
      <x:c r="P3792" s="66" t="str">
        <x:v>Kota Balikpapan</x:v>
      </x:c>
      <x:c r="Q3792" s="66" t="str">
        <x:v>https://snpmb.id/snbp/daya-tampung-snbp</x:v>
      </x:c>
      <x:c r="R3792" s="66" t="str">
        <x:v>https://sidatagrun-public-1076756628210.asia-southeast2.run.app/ptn_sn.php?ptn=542</x:v>
      </x:c>
    </x:row>
    <x:row r="3793">
      <x:c r="A3793" s="87" t="n">
        <x:v>2880</x:v>
      </x:c>
      <x:c r="B3793" s="66" t="n">
        <x:v>551</x:v>
      </x:c>
      <x:c r="C3793" s="66" t="str">
        <x:v>UNIVERSITAS BORNEO TARAKAN</x:v>
      </x:c>
      <x:c r="D3793" s="66" t="str">
        <x:v>PTN Akademik</x:v>
      </x:c>
      <x:c r="E3793" s="66" t="str">
        <x:v>15511001</x:v>
      </x:c>
      <x:c r="F3793" s="66" t="str">
        <x:v>TEKNIK ELEKTRO</x:v>
      </x:c>
      <x:c r="G3793" s="66" t="str">
        <x:v>Sarjana</x:v>
      </x:c>
      <x:c r="H3793" s="87" t="n">
        <x:v>22</x:v>
      </x:c>
      <x:c r="I3793" s="87" t="n">
        <x:v>81</x:v>
      </x:c>
      <x:c r="J3793" s="68" t="n">
        <x:f>IFERROR(H3793/I3793,"")</x:f>
        <x:v>0.2716049382716049</x:v>
      </x:c>
      <x:c r="K3793" s="69" t="n">
        <x:f>IFERROR(I3793/H3793,"")</x:f>
        <x:v>3.6818181818181817</x:v>
      </x:c>
      <x:c r="L3793" s="66" t="str">
        <x:f>IF(K3793="","","1 : "&amp;TEXT(K3793,"0.0"))</x:f>
        <x:v>1 : 3.7</x:v>
      </x:c>
      <x:c r="M3793" s="66" t="str">
        <x:f>IF(J3793="","Baru/Tanpa Data",IF(J3793&lt;='Catatan &amp; Sumber'!$B$14,"Sangat Ketat",IF(J3793&lt;='Catatan &amp; Sumber'!$B$15,"Ketat",IF(J3793&lt;='Catatan &amp; Sumber'!$B$16,"Sedang","Relatif Longgar"))))</x:f>
        <x:v>Relatif Longgar</x:v>
      </x:c>
      <x:c r="N3793" s="66" t="str">
        <x:v>Tidak Ada</x:v>
      </x:c>
      <x:c r="O3793" s="66" t="str">
        <x:v>Kalimantan Utara</x:v>
      </x:c>
      <x:c r="P3793" s="66" t="str">
        <x:v>Kota Tarakan</x:v>
      </x:c>
      <x:c r="Q3793" s="66" t="str">
        <x:v>https://snpmb.id/snbp/daya-tampung-snbp</x:v>
      </x:c>
      <x:c r="R3793" s="66" t="str">
        <x:v>https://sidatagrun-public-1076756628210.asia-southeast2.run.app/ptn_sn.php?ptn=551</x:v>
      </x:c>
    </x:row>
    <x:row r="3794">
      <x:c r="A3794" s="87" t="n">
        <x:v>2110</x:v>
      </x:c>
      <x:c r="B3794" s="66" t="n">
        <x:v>551</x:v>
      </x:c>
      <x:c r="C3794" s="66" t="str">
        <x:v>UNIVERSITAS BORNEO TARAKAN</x:v>
      </x:c>
      <x:c r="D3794" s="66" t="str">
        <x:v>PTN Akademik</x:v>
      </x:c>
      <x:c r="E3794" s="66" t="str">
        <x:v>15511002</x:v>
      </x:c>
      <x:c r="F3794" s="66" t="str">
        <x:v>TEKNIK SIPIL</x:v>
      </x:c>
      <x:c r="G3794" s="66" t="str">
        <x:v>Sarjana</x:v>
      </x:c>
      <x:c r="H3794" s="87" t="n">
        <x:v>32</x:v>
      </x:c>
      <x:c r="I3794" s="87" t="n">
        <x:v>197</x:v>
      </x:c>
      <x:c r="J3794" s="68" t="n">
        <x:f>IFERROR(H3794/I3794,"")</x:f>
        <x:v>0.16243654822335024</x:v>
      </x:c>
      <x:c r="K3794" s="69" t="n">
        <x:f>IFERROR(I3794/H3794,"")</x:f>
        <x:v>6.15625</x:v>
      </x:c>
      <x:c r="L3794" s="66" t="str">
        <x:f>IF(K3794="","","1 : "&amp;TEXT(K3794,"0.0"))</x:f>
        <x:v>1 : 6.2</x:v>
      </x:c>
      <x:c r="M3794" s="66" t="str">
        <x:f>IF(J3794="","Baru/Tanpa Data",IF(J3794&lt;='Catatan &amp; Sumber'!$B$14,"Sangat Ketat",IF(J3794&lt;='Catatan &amp; Sumber'!$B$15,"Ketat",IF(J3794&lt;='Catatan &amp; Sumber'!$B$16,"Sedang","Relatif Longgar"))))</x:f>
        <x:v>Relatif Longgar</x:v>
      </x:c>
      <x:c r="N3794" s="66" t="str">
        <x:v>Tidak Ada</x:v>
      </x:c>
      <x:c r="O3794" s="66" t="str">
        <x:v>Kalimantan Utara</x:v>
      </x:c>
      <x:c r="P3794" s="66" t="str">
        <x:v>Kota Tarakan</x:v>
      </x:c>
      <x:c r="Q3794" s="66" t="str">
        <x:v>https://snpmb.id/snbp/daya-tampung-snbp</x:v>
      </x:c>
      <x:c r="R3794" s="66" t="str">
        <x:v>https://sidatagrun-public-1076756628210.asia-southeast2.run.app/ptn_sn.php?ptn=551</x:v>
      </x:c>
    </x:row>
    <x:row r="3795">
      <x:c r="A3795" s="87" t="n">
        <x:v>3371</x:v>
      </x:c>
      <x:c r="B3795" s="66" t="n">
        <x:v>551</x:v>
      </x:c>
      <x:c r="C3795" s="66" t="str">
        <x:v>UNIVERSITAS BORNEO TARAKAN</x:v>
      </x:c>
      <x:c r="D3795" s="66" t="str">
        <x:v>PTN Akademik</x:v>
      </x:c>
      <x:c r="E3795" s="66" t="str">
        <x:v>15511003</x:v>
      </x:c>
      <x:c r="F3795" s="66" t="str">
        <x:v>AGRIBISNIS</x:v>
      </x:c>
      <x:c r="G3795" s="66" t="str">
        <x:v>Sarjana</x:v>
      </x:c>
      <x:c r="H3795" s="87" t="n">
        <x:v>36</x:v>
      </x:c>
      <x:c r="I3795" s="87" t="n">
        <x:v>92</x:v>
      </x:c>
      <x:c r="J3795" s="68" t="n">
        <x:f>IFERROR(H3795/I3795,"")</x:f>
        <x:v>0.391304347826087</x:v>
      </x:c>
      <x:c r="K3795" s="69" t="n">
        <x:f>IFERROR(I3795/H3795,"")</x:f>
        <x:v>2.5555555555555554</x:v>
      </x:c>
      <x:c r="L3795" s="66" t="str">
        <x:f>IF(K3795="","","1 : "&amp;TEXT(K3795,"0.0"))</x:f>
        <x:v>1 : 2.6</x:v>
      </x:c>
      <x:c r="M3795" s="66" t="str">
        <x:f>IF(J3795="","Baru/Tanpa Data",IF(J3795&lt;='Catatan &amp; Sumber'!$B$14,"Sangat Ketat",IF(J3795&lt;='Catatan &amp; Sumber'!$B$15,"Ketat",IF(J3795&lt;='Catatan &amp; Sumber'!$B$16,"Sedang","Relatif Longgar"))))</x:f>
        <x:v>Relatif Longgar</x:v>
      </x:c>
      <x:c r="N3795" s="66" t="str">
        <x:v>Tidak Ada</x:v>
      </x:c>
      <x:c r="O3795" s="66" t="str">
        <x:v>Kalimantan Utara</x:v>
      </x:c>
      <x:c r="P3795" s="66" t="str">
        <x:v>Kota Tarakan</x:v>
      </x:c>
      <x:c r="Q3795" s="66" t="str">
        <x:v>https://snpmb.id/snbp/daya-tampung-snbp</x:v>
      </x:c>
      <x:c r="R3795" s="66" t="str">
        <x:v>https://sidatagrun-public-1076756628210.asia-southeast2.run.app/ptn_sn.php?ptn=551</x:v>
      </x:c>
    </x:row>
    <x:row r="3796">
      <x:c r="A3796" s="87" t="n">
        <x:v>3573</x:v>
      </x:c>
      <x:c r="B3796" s="66" t="n">
        <x:v>551</x:v>
      </x:c>
      <x:c r="C3796" s="66" t="str">
        <x:v>UNIVERSITAS BORNEO TARAKAN</x:v>
      </x:c>
      <x:c r="D3796" s="66" t="str">
        <x:v>PTN Akademik</x:v>
      </x:c>
      <x:c r="E3796" s="66" t="str">
        <x:v>15511004</x:v>
      </x:c>
      <x:c r="F3796" s="66" t="str">
        <x:v>AGROTEKNOLOGI</x:v>
      </x:c>
      <x:c r="G3796" s="66" t="str">
        <x:v>Sarjana</x:v>
      </x:c>
      <x:c r="H3796" s="87" t="n">
        <x:v>30</x:v>
      </x:c>
      <x:c r="I3796" s="87" t="n">
        <x:v>65</x:v>
      </x:c>
      <x:c r="J3796" s="68" t="n">
        <x:f>IFERROR(H3796/I3796,"")</x:f>
        <x:v>0.46153846153846156</x:v>
      </x:c>
      <x:c r="K3796" s="69" t="n">
        <x:f>IFERROR(I3796/H3796,"")</x:f>
        <x:v>2.1666666666666665</x:v>
      </x:c>
      <x:c r="L3796" s="66" t="str">
        <x:f>IF(K3796="","","1 : "&amp;TEXT(K3796,"0.0"))</x:f>
        <x:v>1 : 2.2</x:v>
      </x:c>
      <x:c r="M3796" s="66" t="str">
        <x:f>IF(J3796="","Baru/Tanpa Data",IF(J3796&lt;='Catatan &amp; Sumber'!$B$14,"Sangat Ketat",IF(J3796&lt;='Catatan &amp; Sumber'!$B$15,"Ketat",IF(J3796&lt;='Catatan &amp; Sumber'!$B$16,"Sedang","Relatif Longgar"))))</x:f>
        <x:v>Relatif Longgar</x:v>
      </x:c>
      <x:c r="N3796" s="66" t="str">
        <x:v>Tidak Ada</x:v>
      </x:c>
      <x:c r="O3796" s="66" t="str">
        <x:v>Kalimantan Utara</x:v>
      </x:c>
      <x:c r="P3796" s="66" t="str">
        <x:v>Kota Tarakan</x:v>
      </x:c>
      <x:c r="Q3796" s="66" t="str">
        <x:v>https://snpmb.id/snbp/daya-tampung-snbp</x:v>
      </x:c>
      <x:c r="R3796" s="66" t="str">
        <x:v>https://sidatagrun-public-1076756628210.asia-southeast2.run.app/ptn_sn.php?ptn=551</x:v>
      </x:c>
    </x:row>
    <x:row r="3797">
      <x:c r="A3797" s="87" t="n">
        <x:v>3899</x:v>
      </x:c>
      <x:c r="B3797" s="66" t="n">
        <x:v>551</x:v>
      </x:c>
      <x:c r="C3797" s="66" t="str">
        <x:v>UNIVERSITAS BORNEO TARAKAN</x:v>
      </x:c>
      <x:c r="D3797" s="66" t="str">
        <x:v>PTN Akademik</x:v>
      </x:c>
      <x:c r="E3797" s="66" t="str">
        <x:v>15511005</x:v>
      </x:c>
      <x:c r="F3797" s="66" t="str">
        <x:v>PENDIDIKAN MATEMATIKA</x:v>
      </x:c>
      <x:c r="G3797" s="66" t="str">
        <x:v>Sarjana</x:v>
      </x:c>
      <x:c r="H3797" s="87" t="n">
        <x:v>25</x:v>
      </x:c>
      <x:c r="I3797" s="87" t="n">
        <x:v>40</x:v>
      </x:c>
      <x:c r="J3797" s="68" t="n">
        <x:f>IFERROR(H3797/I3797,"")</x:f>
        <x:v>0.625</x:v>
      </x:c>
      <x:c r="K3797" s="69" t="n">
        <x:f>IFERROR(I3797/H3797,"")</x:f>
        <x:v>1.6</x:v>
      </x:c>
      <x:c r="L3797" s="66" t="str">
        <x:f>IF(K3797="","","1 : "&amp;TEXT(K3797,"0.0"))</x:f>
        <x:v>1 : 1.6</x:v>
      </x:c>
      <x:c r="M3797" s="66" t="str">
        <x:f>IF(J3797="","Baru/Tanpa Data",IF(J3797&lt;='Catatan &amp; Sumber'!$B$14,"Sangat Ketat",IF(J3797&lt;='Catatan &amp; Sumber'!$B$15,"Ketat",IF(J3797&lt;='Catatan &amp; Sumber'!$B$16,"Sedang","Relatif Longgar"))))</x:f>
        <x:v>Relatif Longgar</x:v>
      </x:c>
      <x:c r="N3797" s="66" t="str">
        <x:v>Tidak Ada</x:v>
      </x:c>
      <x:c r="O3797" s="66" t="str">
        <x:v>Kalimantan Utara</x:v>
      </x:c>
      <x:c r="P3797" s="66" t="str">
        <x:v>Kota Tarakan</x:v>
      </x:c>
      <x:c r="Q3797" s="66" t="str">
        <x:v>https://snpmb.id/snbp/daya-tampung-snbp</x:v>
      </x:c>
      <x:c r="R3797" s="66" t="str">
        <x:v>https://sidatagrun-public-1076756628210.asia-southeast2.run.app/ptn_sn.php?ptn=551</x:v>
      </x:c>
    </x:row>
    <x:row r="3798">
      <x:c r="A3798" s="87" t="n">
        <x:v>3952</x:v>
      </x:c>
      <x:c r="B3798" s="66" t="n">
        <x:v>551</x:v>
      </x:c>
      <x:c r="C3798" s="66" t="str">
        <x:v>UNIVERSITAS BORNEO TARAKAN</x:v>
      </x:c>
      <x:c r="D3798" s="66" t="str">
        <x:v>PTN Akademik</x:v>
      </x:c>
      <x:c r="E3798" s="66" t="str">
        <x:v>15511006</x:v>
      </x:c>
      <x:c r="F3798" s="66" t="str">
        <x:v>PENDIDIKAN BIOLOGI</x:v>
      </x:c>
      <x:c r="G3798" s="66" t="str">
        <x:v>Sarjana</x:v>
      </x:c>
      <x:c r="H3798" s="87" t="n">
        <x:v>25</x:v>
      </x:c>
      <x:c r="I3798" s="87" t="n">
        <x:v>38</x:v>
      </x:c>
      <x:c r="J3798" s="68" t="n">
        <x:f>IFERROR(H3798/I3798,"")</x:f>
        <x:v>0.6578947368421053</x:v>
      </x:c>
      <x:c r="K3798" s="69" t="n">
        <x:f>IFERROR(I3798/H3798,"")</x:f>
        <x:v>1.52</x:v>
      </x:c>
      <x:c r="L3798" s="66" t="str">
        <x:f>IF(K3798="","","1 : "&amp;TEXT(K3798,"0.0"))</x:f>
        <x:v>1 : 1.5</x:v>
      </x:c>
      <x:c r="M3798" s="66" t="str">
        <x:f>IF(J3798="","Baru/Tanpa Data",IF(J3798&lt;='Catatan &amp; Sumber'!$B$14,"Sangat Ketat",IF(J3798&lt;='Catatan &amp; Sumber'!$B$15,"Ketat",IF(J3798&lt;='Catatan &amp; Sumber'!$B$16,"Sedang","Relatif Longgar"))))</x:f>
        <x:v>Relatif Longgar</x:v>
      </x:c>
      <x:c r="N3798" s="66" t="str">
        <x:v>Tidak Ada</x:v>
      </x:c>
      <x:c r="O3798" s="66" t="str">
        <x:v>Kalimantan Utara</x:v>
      </x:c>
      <x:c r="P3798" s="66" t="str">
        <x:v>Kota Tarakan</x:v>
      </x:c>
      <x:c r="Q3798" s="66" t="str">
        <x:v>https://snpmb.id/snbp/daya-tampung-snbp</x:v>
      </x:c>
      <x:c r="R3798" s="66" t="str">
        <x:v>https://sidatagrun-public-1076756628210.asia-southeast2.run.app/ptn_sn.php?ptn=551</x:v>
      </x:c>
    </x:row>
    <x:row r="3799">
      <x:c r="A3799" s="87" t="n">
        <x:v>4289</x:v>
      </x:c>
      <x:c r="B3799" s="66" t="n">
        <x:v>551</x:v>
      </x:c>
      <x:c r="C3799" s="66" t="str">
        <x:v>UNIVERSITAS BORNEO TARAKAN</x:v>
      </x:c>
      <x:c r="D3799" s="66" t="str">
        <x:v>PTN Akademik</x:v>
      </x:c>
      <x:c r="E3799" s="66" t="str">
        <x:v>15511007</x:v>
      </x:c>
      <x:c r="F3799" s="66" t="str">
        <x:v>MANAJEMEN SUMBER DAYA PERAIRAN</x:v>
      </x:c>
      <x:c r="G3799" s="66" t="str">
        <x:v>Sarjana</x:v>
      </x:c>
      <x:c r="H3799" s="87" t="n">
        <x:v>24</x:v>
      </x:c>
      <x:c r="I3799" s="87" t="n">
        <x:v>25</x:v>
      </x:c>
      <x:c r="J3799" s="68" t="n">
        <x:f>IFERROR(H3799/I3799,"")</x:f>
        <x:v>0.96</x:v>
      </x:c>
      <x:c r="K3799" s="69" t="n">
        <x:f>IFERROR(I3799/H3799,"")</x:f>
        <x:v>1.0416666666666667</x:v>
      </x:c>
      <x:c r="L3799" s="66" t="str">
        <x:f>IF(K3799="","","1 : "&amp;TEXT(K3799,"0.0"))</x:f>
        <x:v>1 : 1.0</x:v>
      </x:c>
      <x:c r="M3799" s="66" t="str">
        <x:f>IF(J3799="","Baru/Tanpa Data",IF(J3799&lt;='Catatan &amp; Sumber'!$B$14,"Sangat Ketat",IF(J3799&lt;='Catatan &amp; Sumber'!$B$15,"Ketat",IF(J3799&lt;='Catatan &amp; Sumber'!$B$16,"Sedang","Relatif Longgar"))))</x:f>
        <x:v>Relatif Longgar</x:v>
      </x:c>
      <x:c r="N3799" s="66" t="str">
        <x:v>Tidak Ada</x:v>
      </x:c>
      <x:c r="O3799" s="66" t="str">
        <x:v>Kalimantan Utara</x:v>
      </x:c>
      <x:c r="P3799" s="66" t="str">
        <x:v>Kota Tarakan</x:v>
      </x:c>
      <x:c r="Q3799" s="66" t="str">
        <x:v>https://snpmb.id/snbp/daya-tampung-snbp</x:v>
      </x:c>
      <x:c r="R3799" s="66" t="str">
        <x:v>https://sidatagrun-public-1076756628210.asia-southeast2.run.app/ptn_sn.php?ptn=551</x:v>
      </x:c>
    </x:row>
    <x:row r="3800">
      <x:c r="A3800" s="87" t="n">
        <x:v>4266</x:v>
      </x:c>
      <x:c r="B3800" s="66" t="n">
        <x:v>551</x:v>
      </x:c>
      <x:c r="C3800" s="66" t="str">
        <x:v>UNIVERSITAS BORNEO TARAKAN</x:v>
      </x:c>
      <x:c r="D3800" s="66" t="str">
        <x:v>PTN Akademik</x:v>
      </x:c>
      <x:c r="E3800" s="66" t="str">
        <x:v>15511008</x:v>
      </x:c>
      <x:c r="F3800" s="66" t="str">
        <x:v>AKUAKULTUR</x:v>
      </x:c>
      <x:c r="G3800" s="66" t="str">
        <x:v>Sarjana</x:v>
      </x:c>
      <x:c r="H3800" s="87" t="n">
        <x:v>24</x:v>
      </x:c>
      <x:c r="I3800" s="87" t="n">
        <x:v>26</x:v>
      </x:c>
      <x:c r="J3800" s="68" t="n">
        <x:f>IFERROR(H3800/I3800,"")</x:f>
        <x:v>0.9230769230769231</x:v>
      </x:c>
      <x:c r="K3800" s="69" t="n">
        <x:f>IFERROR(I3800/H3800,"")</x:f>
        <x:v>1.0833333333333333</x:v>
      </x:c>
      <x:c r="L3800" s="66" t="str">
        <x:f>IF(K3800="","","1 : "&amp;TEXT(K3800,"0.0"))</x:f>
        <x:v>1 : 1.1</x:v>
      </x:c>
      <x:c r="M3800" s="66" t="str">
        <x:f>IF(J3800="","Baru/Tanpa Data",IF(J3800&lt;='Catatan &amp; Sumber'!$B$14,"Sangat Ketat",IF(J3800&lt;='Catatan &amp; Sumber'!$B$15,"Ketat",IF(J3800&lt;='Catatan &amp; Sumber'!$B$16,"Sedang","Relatif Longgar"))))</x:f>
        <x:v>Relatif Longgar</x:v>
      </x:c>
      <x:c r="N3800" s="66" t="str">
        <x:v>Tidak Ada</x:v>
      </x:c>
      <x:c r="O3800" s="66" t="str">
        <x:v>Kalimantan Utara</x:v>
      </x:c>
      <x:c r="P3800" s="66" t="str">
        <x:v>Kota Tarakan</x:v>
      </x:c>
      <x:c r="Q3800" s="66" t="str">
        <x:v>https://snpmb.id/snbp/daya-tampung-snbp</x:v>
      </x:c>
      <x:c r="R3800" s="66" t="str">
        <x:v>https://sidatagrun-public-1076756628210.asia-southeast2.run.app/ptn_sn.php?ptn=551</x:v>
      </x:c>
    </x:row>
    <x:row r="3801">
      <x:c r="A3801" s="87" t="n">
        <x:v>3998</x:v>
      </x:c>
      <x:c r="B3801" s="66" t="n">
        <x:v>551</x:v>
      </x:c>
      <x:c r="C3801" s="66" t="str">
        <x:v>UNIVERSITAS BORNEO TARAKAN</x:v>
      </x:c>
      <x:c r="D3801" s="66" t="str">
        <x:v>PTN Akademik</x:v>
      </x:c>
      <x:c r="E3801" s="66" t="str">
        <x:v>15511009</x:v>
      </x:c>
      <x:c r="F3801" s="66" t="str">
        <x:v>TEKNOLOGI HASIL PERIKANAN</x:v>
      </x:c>
      <x:c r="G3801" s="66" t="str">
        <x:v>Sarjana</x:v>
      </x:c>
      <x:c r="H3801" s="87" t="n">
        <x:v>24</x:v>
      </x:c>
      <x:c r="I3801" s="87" t="n">
        <x:v>35</x:v>
      </x:c>
      <x:c r="J3801" s="68" t="n">
        <x:f>IFERROR(H3801/I3801,"")</x:f>
        <x:v>0.6857142857142857</x:v>
      </x:c>
      <x:c r="K3801" s="69" t="n">
        <x:f>IFERROR(I3801/H3801,"")</x:f>
        <x:v>1.4583333333333333</x:v>
      </x:c>
      <x:c r="L3801" s="66" t="str">
        <x:f>IF(K3801="","","1 : "&amp;TEXT(K3801,"0.0"))</x:f>
        <x:v>1 : 1.5</x:v>
      </x:c>
      <x:c r="M3801" s="66" t="str">
        <x:f>IF(J3801="","Baru/Tanpa Data",IF(J3801&lt;='Catatan &amp; Sumber'!$B$14,"Sangat Ketat",IF(J3801&lt;='Catatan &amp; Sumber'!$B$15,"Ketat",IF(J3801&lt;='Catatan &amp; Sumber'!$B$16,"Sedang","Relatif Longgar"))))</x:f>
        <x:v>Relatif Longgar</x:v>
      </x:c>
      <x:c r="N3801" s="66" t="str">
        <x:v>Tidak Ada</x:v>
      </x:c>
      <x:c r="O3801" s="66" t="str">
        <x:v>Kalimantan Utara</x:v>
      </x:c>
      <x:c r="P3801" s="66" t="str">
        <x:v>Kota Tarakan</x:v>
      </x:c>
      <x:c r="Q3801" s="66" t="str">
        <x:v>https://snpmb.id/snbp/daya-tampung-snbp</x:v>
      </x:c>
      <x:c r="R3801" s="66" t="str">
        <x:v>https://sidatagrun-public-1076756628210.asia-southeast2.run.app/ptn_sn.php?ptn=551</x:v>
      </x:c>
    </x:row>
    <x:row r="3802">
      <x:c r="A3802" s="87" t="n">
        <x:v>2084</x:v>
      </x:c>
      <x:c r="B3802" s="66" t="n">
        <x:v>551</x:v>
      </x:c>
      <x:c r="C3802" s="66" t="str">
        <x:v>UNIVERSITAS BORNEO TARAKAN</x:v>
      </x:c>
      <x:c r="D3802" s="66" t="str">
        <x:v>PTN Akademik</x:v>
      </x:c>
      <x:c r="E3802" s="66" t="str">
        <x:v>15511010</x:v>
      </x:c>
      <x:c r="F3802" s="66" t="str">
        <x:v>TEKNIK MESIN</x:v>
      </x:c>
      <x:c r="G3802" s="66" t="str">
        <x:v>Sarjana</x:v>
      </x:c>
      <x:c r="H3802" s="87" t="n">
        <x:v>12</x:v>
      </x:c>
      <x:c r="I3802" s="87" t="n">
        <x:v>75</x:v>
      </x:c>
      <x:c r="J3802" s="68" t="n">
        <x:f>IFERROR(H3802/I3802,"")</x:f>
        <x:v>0.16</x:v>
      </x:c>
      <x:c r="K3802" s="69" t="n">
        <x:f>IFERROR(I3802/H3802,"")</x:f>
        <x:v>6.25</x:v>
      </x:c>
      <x:c r="L3802" s="66" t="str">
        <x:f>IF(K3802="","","1 : "&amp;TEXT(K3802,"0.0"))</x:f>
        <x:v>1 : 6.3</x:v>
      </x:c>
      <x:c r="M3802" s="66" t="str">
        <x:f>IF(J3802="","Baru/Tanpa Data",IF(J3802&lt;='Catatan &amp; Sumber'!$B$14,"Sangat Ketat",IF(J3802&lt;='Catatan &amp; Sumber'!$B$15,"Ketat",IF(J3802&lt;='Catatan &amp; Sumber'!$B$16,"Sedang","Relatif Longgar"))))</x:f>
        <x:v>Relatif Longgar</x:v>
      </x:c>
      <x:c r="N3802" s="66" t="str">
        <x:v>Tidak Ada</x:v>
      </x:c>
      <x:c r="O3802" s="66" t="str">
        <x:v>Kalimantan Utara</x:v>
      </x:c>
      <x:c r="P3802" s="66" t="str">
        <x:v>Kota Tarakan</x:v>
      </x:c>
      <x:c r="Q3802" s="66" t="str">
        <x:v>https://snpmb.id/snbp/daya-tampung-snbp</x:v>
      </x:c>
      <x:c r="R3802" s="66" t="str">
        <x:v>https://sidatagrun-public-1076756628210.asia-southeast2.run.app/ptn_sn.php?ptn=551</x:v>
      </x:c>
    </x:row>
    <x:row r="3803">
      <x:c r="A3803" s="87" t="n">
        <x:v>1003</x:v>
      </x:c>
      <x:c r="B3803" s="66" t="n">
        <x:v>551</x:v>
      </x:c>
      <x:c r="C3803" s="66" t="str">
        <x:v>UNIVERSITAS BORNEO TARAKAN</x:v>
      </x:c>
      <x:c r="D3803" s="66" t="str">
        <x:v>PTN Akademik</x:v>
      </x:c>
      <x:c r="E3803" s="66" t="str">
        <x:v>15511011</x:v>
      </x:c>
      <x:c r="F3803" s="66" t="str">
        <x:v>KEPERAWATAN</x:v>
      </x:c>
      <x:c r="G3803" s="66" t="str">
        <x:v>Sarjana</x:v>
      </x:c>
      <x:c r="H3803" s="87" t="n">
        <x:v>29</x:v>
      </x:c>
      <x:c r="I3803" s="87" t="n">
        <x:v>370</x:v>
      </x:c>
      <x:c r="J3803" s="68" t="n">
        <x:f>IFERROR(H3803/I3803,"")</x:f>
        <x:v>0.07837837837837838</x:v>
      </x:c>
      <x:c r="K3803" s="69" t="n">
        <x:f>IFERROR(I3803/H3803,"")</x:f>
        <x:v>12.758620689655173</x:v>
      </x:c>
      <x:c r="L3803" s="66" t="str">
        <x:f>IF(K3803="","","1 : "&amp;TEXT(K3803,"0.0"))</x:f>
        <x:v>1 : 12.8</x:v>
      </x:c>
      <x:c r="M3803" s="66" t="str">
        <x:f>IF(J3803="","Baru/Tanpa Data",IF(J3803&lt;='Catatan &amp; Sumber'!$B$14,"Sangat Ketat",IF(J3803&lt;='Catatan &amp; Sumber'!$B$15,"Ketat",IF(J3803&lt;='Catatan &amp; Sumber'!$B$16,"Sedang","Relatif Longgar"))))</x:f>
        <x:v>Sedang</x:v>
      </x:c>
      <x:c r="N3803" s="66" t="str">
        <x:v>Tidak Ada</x:v>
      </x:c>
      <x:c r="O3803" s="66" t="str">
        <x:v>Kalimantan Utara</x:v>
      </x:c>
      <x:c r="P3803" s="66" t="str">
        <x:v>Kota Tarakan</x:v>
      </x:c>
      <x:c r="Q3803" s="66" t="str">
        <x:v>https://snpmb.id/snbp/daya-tampung-snbp</x:v>
      </x:c>
      <x:c r="R3803" s="66" t="str">
        <x:v>https://sidatagrun-public-1076756628210.asia-southeast2.run.app/ptn_sn.php?ptn=551</x:v>
      </x:c>
    </x:row>
    <x:row r="3804">
      <x:c r="A3804" s="87" t="n">
        <x:v>2087</x:v>
      </x:c>
      <x:c r="B3804" s="66" t="n">
        <x:v>551</x:v>
      </x:c>
      <x:c r="C3804" s="66" t="str">
        <x:v>UNIVERSITAS BORNEO TARAKAN</x:v>
      </x:c>
      <x:c r="D3804" s="66" t="str">
        <x:v>PTN Akademik</x:v>
      </x:c>
      <x:c r="E3804" s="66" t="str">
        <x:v>15511012</x:v>
      </x:c>
      <x:c r="F3804" s="66" t="str">
        <x:v>KEBIDANAN</x:v>
      </x:c>
      <x:c r="G3804" s="66" t="str">
        <x:v>Sarjana</x:v>
      </x:c>
      <x:c r="H3804" s="87" t="n">
        <x:v>29</x:v>
      </x:c>
      <x:c r="I3804" s="87" t="n">
        <x:v>181</x:v>
      </x:c>
      <x:c r="J3804" s="68" t="n">
        <x:f>IFERROR(H3804/I3804,"")</x:f>
        <x:v>0.16022099447513813</x:v>
      </x:c>
      <x:c r="K3804" s="69" t="n">
        <x:f>IFERROR(I3804/H3804,"")</x:f>
        <x:v>6.241379310344827</x:v>
      </x:c>
      <x:c r="L3804" s="66" t="str">
        <x:f>IF(K3804="","","1 : "&amp;TEXT(K3804,"0.0"))</x:f>
        <x:v>1 : 6.2</x:v>
      </x:c>
      <x:c r="M3804" s="66" t="str">
        <x:f>IF(J3804="","Baru/Tanpa Data",IF(J3804&lt;='Catatan &amp; Sumber'!$B$14,"Sangat Ketat",IF(J3804&lt;='Catatan &amp; Sumber'!$B$15,"Ketat",IF(J3804&lt;='Catatan &amp; Sumber'!$B$16,"Sedang","Relatif Longgar"))))</x:f>
        <x:v>Relatif Longgar</x:v>
      </x:c>
      <x:c r="N3804" s="66" t="str">
        <x:v>Tidak Ada</x:v>
      </x:c>
      <x:c r="O3804" s="66" t="str">
        <x:v>Kalimantan Utara</x:v>
      </x:c>
      <x:c r="P3804" s="66" t="str">
        <x:v>Kota Tarakan</x:v>
      </x:c>
      <x:c r="Q3804" s="66" t="str">
        <x:v>https://snpmb.id/snbp/daya-tampung-snbp</x:v>
      </x:c>
      <x:c r="R3804" s="66" t="str">
        <x:v>https://sidatagrun-public-1076756628210.asia-southeast2.run.app/ptn_sn.php?ptn=551</x:v>
      </x:c>
    </x:row>
    <x:row r="3805">
      <x:c r="A3805" s="87" t="n">
        <x:v>679</x:v>
      </x:c>
      <x:c r="B3805" s="66" t="n">
        <x:v>551</x:v>
      </x:c>
      <x:c r="C3805" s="66" t="str">
        <x:v>UNIVERSITAS BORNEO TARAKAN</x:v>
      </x:c>
      <x:c r="D3805" s="66" t="str">
        <x:v>PTN Akademik</x:v>
      </x:c>
      <x:c r="E3805" s="66" t="str">
        <x:v>15511013</x:v>
      </x:c>
      <x:c r="F3805" s="66" t="str">
        <x:v>TEKNIK KOMPUTER</x:v>
      </x:c>
      <x:c r="G3805" s="66" t="str">
        <x:v>Sarjana</x:v>
      </x:c>
      <x:c r="H3805" s="87" t="n">
        <x:v>12</x:v>
      </x:c>
      <x:c r="I3805" s="87" t="n">
        <x:v>198</x:v>
      </x:c>
      <x:c r="J3805" s="68" t="n">
        <x:f>IFERROR(H3805/I3805,"")</x:f>
        <x:v>0.06060606060606061</x:v>
      </x:c>
      <x:c r="K3805" s="69" t="n">
        <x:f>IFERROR(I3805/H3805,"")</x:f>
        <x:v>16.5</x:v>
      </x:c>
      <x:c r="L3805" s="66" t="str">
        <x:f>IF(K3805="","","1 : "&amp;TEXT(K3805,"0.0"))</x:f>
        <x:v>1 : 16.5</x:v>
      </x:c>
      <x:c r="M3805" s="66" t="str">
        <x:f>IF(J3805="","Baru/Tanpa Data",IF(J3805&lt;='Catatan &amp; Sumber'!$B$14,"Sangat Ketat",IF(J3805&lt;='Catatan &amp; Sumber'!$B$15,"Ketat",IF(J3805&lt;='Catatan &amp; Sumber'!$B$16,"Sedang","Relatif Longgar"))))</x:f>
        <x:v>Sedang</x:v>
      </x:c>
      <x:c r="N3805" s="66" t="str">
        <x:v>Tidak Ada</x:v>
      </x:c>
      <x:c r="O3805" s="66" t="str">
        <x:v>Kalimantan Utara</x:v>
      </x:c>
      <x:c r="P3805" s="66" t="str">
        <x:v>Kota Tarakan</x:v>
      </x:c>
      <x:c r="Q3805" s="66" t="str">
        <x:v>https://snpmb.id/snbp/daya-tampung-snbp</x:v>
      </x:c>
      <x:c r="R3805" s="66" t="str">
        <x:v>https://sidatagrun-public-1076756628210.asia-southeast2.run.app/ptn_sn.php?ptn=551</x:v>
      </x:c>
    </x:row>
    <x:row r="3806">
      <x:c r="A3806" s="87" t="n">
        <x:v>3336</x:v>
      </x:c>
      <x:c r="B3806" s="66" t="n">
        <x:v>551</x:v>
      </x:c>
      <x:c r="C3806" s="66" t="str">
        <x:v>UNIVERSITAS BORNEO TARAKAN</x:v>
      </x:c>
      <x:c r="D3806" s="66" t="str">
        <x:v>PTN Akademik</x:v>
      </x:c>
      <x:c r="E3806" s="66" t="str">
        <x:v>15511014</x:v>
      </x:c>
      <x:c r="F3806" s="66" t="str">
        <x:v>BIMBINGAN DAN KONSELING</x:v>
      </x:c>
      <x:c r="G3806" s="66" t="str">
        <x:v>Sarjana</x:v>
      </x:c>
      <x:c r="H3806" s="87" t="n">
        <x:v>49</x:v>
      </x:c>
      <x:c r="I3806" s="87" t="n">
        <x:v>128</x:v>
      </x:c>
      <x:c r="J3806" s="68" t="n">
        <x:f>IFERROR(H3806/I3806,"")</x:f>
        <x:v>0.3828125</x:v>
      </x:c>
      <x:c r="K3806" s="69" t="n">
        <x:f>IFERROR(I3806/H3806,"")</x:f>
        <x:v>2.6122448979591835</x:v>
      </x:c>
      <x:c r="L3806" s="66" t="str">
        <x:f>IF(K3806="","","1 : "&amp;TEXT(K3806,"0.0"))</x:f>
        <x:v>1 : 2.6</x:v>
      </x:c>
      <x:c r="M3806" s="66" t="str">
        <x:f>IF(J3806="","Baru/Tanpa Data",IF(J3806&lt;='Catatan &amp; Sumber'!$B$14,"Sangat Ketat",IF(J3806&lt;='Catatan &amp; Sumber'!$B$15,"Ketat",IF(J3806&lt;='Catatan &amp; Sumber'!$B$16,"Sedang","Relatif Longgar"))))</x:f>
        <x:v>Relatif Longgar</x:v>
      </x:c>
      <x:c r="N3806" s="66" t="str">
        <x:v>Tidak Ada</x:v>
      </x:c>
      <x:c r="O3806" s="66" t="str">
        <x:v>Kalimantan Utara</x:v>
      </x:c>
      <x:c r="P3806" s="66" t="str">
        <x:v>Kota Tarakan</x:v>
      </x:c>
      <x:c r="Q3806" s="66" t="str">
        <x:v>https://snpmb.id/snbp/daya-tampung-snbp</x:v>
      </x:c>
      <x:c r="R3806" s="66" t="str">
        <x:v>https://sidatagrun-public-1076756628210.asia-southeast2.run.app/ptn_sn.php?ptn=551</x:v>
      </x:c>
    </x:row>
    <x:row r="3807">
      <x:c r="A3807" s="87" t="n">
        <x:v>3125</x:v>
      </x:c>
      <x:c r="B3807" s="66" t="n">
        <x:v>551</x:v>
      </x:c>
      <x:c r="C3807" s="66" t="str">
        <x:v>UNIVERSITAS BORNEO TARAKAN</x:v>
      </x:c>
      <x:c r="D3807" s="66" t="str">
        <x:v>PTN Akademik</x:v>
      </x:c>
      <x:c r="E3807" s="66" t="str">
        <x:v>15511015</x:v>
      </x:c>
      <x:c r="F3807" s="66" t="str">
        <x:v>PENDIDIKAN BAHASA INDONESIA</x:v>
      </x:c>
      <x:c r="G3807" s="66" t="str">
        <x:v>Sarjana</x:v>
      </x:c>
      <x:c r="H3807" s="87" t="n">
        <x:v>25</x:v>
      </x:c>
      <x:c r="I3807" s="87" t="n">
        <x:v>78</x:v>
      </x:c>
      <x:c r="J3807" s="68" t="n">
        <x:f>IFERROR(H3807/I3807,"")</x:f>
        <x:v>0.32051282051282054</x:v>
      </x:c>
      <x:c r="K3807" s="69" t="n">
        <x:f>IFERROR(I3807/H3807,"")</x:f>
        <x:v>3.12</x:v>
      </x:c>
      <x:c r="L3807" s="66" t="str">
        <x:f>IF(K3807="","","1 : "&amp;TEXT(K3807,"0.0"))</x:f>
        <x:v>1 : 3.1</x:v>
      </x:c>
      <x:c r="M3807" s="66" t="str">
        <x:f>IF(J3807="","Baru/Tanpa Data",IF(J3807&lt;='Catatan &amp; Sumber'!$B$14,"Sangat Ketat",IF(J3807&lt;='Catatan &amp; Sumber'!$B$15,"Ketat",IF(J3807&lt;='Catatan &amp; Sumber'!$B$16,"Sedang","Relatif Longgar"))))</x:f>
        <x:v>Relatif Longgar</x:v>
      </x:c>
      <x:c r="N3807" s="66" t="str">
        <x:v>Tidak Ada</x:v>
      </x:c>
      <x:c r="O3807" s="66" t="str">
        <x:v>Kalimantan Utara</x:v>
      </x:c>
      <x:c r="P3807" s="66" t="str">
        <x:v>Kota Tarakan</x:v>
      </x:c>
      <x:c r="Q3807" s="66" t="str">
        <x:v>https://snpmb.id/snbp/daya-tampung-snbp</x:v>
      </x:c>
      <x:c r="R3807" s="66" t="str">
        <x:v>https://sidatagrun-public-1076756628210.asia-southeast2.run.app/ptn_sn.php?ptn=551</x:v>
      </x:c>
    </x:row>
    <x:row r="3808">
      <x:c r="A3808" s="87" t="n">
        <x:v>3218</x:v>
      </x:c>
      <x:c r="B3808" s="66" t="n">
        <x:v>551</x:v>
      </x:c>
      <x:c r="C3808" s="66" t="str">
        <x:v>UNIVERSITAS BORNEO TARAKAN</x:v>
      </x:c>
      <x:c r="D3808" s="66" t="str">
        <x:v>PTN Akademik</x:v>
      </x:c>
      <x:c r="E3808" s="66" t="str">
        <x:v>15511016</x:v>
      </x:c>
      <x:c r="F3808" s="66" t="str">
        <x:v>PENDIDIKAN BAHASA INGGRIS</x:v>
      </x:c>
      <x:c r="G3808" s="66" t="str">
        <x:v>Sarjana</x:v>
      </x:c>
      <x:c r="H3808" s="87" t="n">
        <x:v>25</x:v>
      </x:c>
      <x:c r="I3808" s="87" t="n">
        <x:v>72</x:v>
      </x:c>
      <x:c r="J3808" s="68" t="n">
        <x:f>IFERROR(H3808/I3808,"")</x:f>
        <x:v>0.3472222222222222</x:v>
      </x:c>
      <x:c r="K3808" s="69" t="n">
        <x:f>IFERROR(I3808/H3808,"")</x:f>
        <x:v>2.88</x:v>
      </x:c>
      <x:c r="L3808" s="66" t="str">
        <x:f>IF(K3808="","","1 : "&amp;TEXT(K3808,"0.0"))</x:f>
        <x:v>1 : 2.9</x:v>
      </x:c>
      <x:c r="M3808" s="66" t="str">
        <x:f>IF(J3808="","Baru/Tanpa Data",IF(J3808&lt;='Catatan &amp; Sumber'!$B$14,"Sangat Ketat",IF(J3808&lt;='Catatan &amp; Sumber'!$B$15,"Ketat",IF(J3808&lt;='Catatan &amp; Sumber'!$B$16,"Sedang","Relatif Longgar"))))</x:f>
        <x:v>Relatif Longgar</x:v>
      </x:c>
      <x:c r="N3808" s="66" t="str">
        <x:v>Tidak Ada</x:v>
      </x:c>
      <x:c r="O3808" s="66" t="str">
        <x:v>Kalimantan Utara</x:v>
      </x:c>
      <x:c r="P3808" s="66" t="str">
        <x:v>Kota Tarakan</x:v>
      </x:c>
      <x:c r="Q3808" s="66" t="str">
        <x:v>https://snpmb.id/snbp/daya-tampung-snbp</x:v>
      </x:c>
      <x:c r="R3808" s="66" t="str">
        <x:v>https://sidatagrun-public-1076756628210.asia-southeast2.run.app/ptn_sn.php?ptn=551</x:v>
      </x:c>
    </x:row>
    <x:row r="3809">
      <x:c r="A3809" s="87" t="n">
        <x:v>2859</x:v>
      </x:c>
      <x:c r="B3809" s="66" t="n">
        <x:v>551</x:v>
      </x:c>
      <x:c r="C3809" s="66" t="str">
        <x:v>UNIVERSITAS BORNEO TARAKAN</x:v>
      </x:c>
      <x:c r="D3809" s="66" t="str">
        <x:v>PTN Akademik</x:v>
      </x:c>
      <x:c r="E3809" s="66" t="str">
        <x:v>15511017</x:v>
      </x:c>
      <x:c r="F3809" s="66" t="str">
        <x:v>EKONOMI PEMBANGUNAN</x:v>
      </x:c>
      <x:c r="G3809" s="66" t="str">
        <x:v>Sarjana</x:v>
      </x:c>
      <x:c r="H3809" s="87" t="n">
        <x:v>36</x:v>
      </x:c>
      <x:c r="I3809" s="87" t="n">
        <x:v>134</x:v>
      </x:c>
      <x:c r="J3809" s="68" t="n">
        <x:f>IFERROR(H3809/I3809,"")</x:f>
        <x:v>0.26865671641791045</x:v>
      </x:c>
      <x:c r="K3809" s="69" t="n">
        <x:f>IFERROR(I3809/H3809,"")</x:f>
        <x:v>3.7222222222222223</x:v>
      </x:c>
      <x:c r="L3809" s="66" t="str">
        <x:f>IF(K3809="","","1 : "&amp;TEXT(K3809,"0.0"))</x:f>
        <x:v>1 : 3.7</x:v>
      </x:c>
      <x:c r="M3809" s="66" t="str">
        <x:f>IF(J3809="","Baru/Tanpa Data",IF(J3809&lt;='Catatan &amp; Sumber'!$B$14,"Sangat Ketat",IF(J3809&lt;='Catatan &amp; Sumber'!$B$15,"Ketat",IF(J3809&lt;='Catatan &amp; Sumber'!$B$16,"Sedang","Relatif Longgar"))))</x:f>
        <x:v>Relatif Longgar</x:v>
      </x:c>
      <x:c r="N3809" s="66" t="str">
        <x:v>Tidak Ada</x:v>
      </x:c>
      <x:c r="O3809" s="66" t="str">
        <x:v>Kalimantan Utara</x:v>
      </x:c>
      <x:c r="P3809" s="66" t="str">
        <x:v>Kota Tarakan</x:v>
      </x:c>
      <x:c r="Q3809" s="66" t="str">
        <x:v>https://snpmb.id/snbp/daya-tampung-snbp</x:v>
      </x:c>
      <x:c r="R3809" s="66" t="str">
        <x:v>https://sidatagrun-public-1076756628210.asia-southeast2.run.app/ptn_sn.php?ptn=551</x:v>
      </x:c>
    </x:row>
    <x:row r="3810">
      <x:c r="A3810" s="87" t="n">
        <x:v>1172</x:v>
      </x:c>
      <x:c r="B3810" s="66" t="n">
        <x:v>551</x:v>
      </x:c>
      <x:c r="C3810" s="66" t="str">
        <x:v>UNIVERSITAS BORNEO TARAKAN</x:v>
      </x:c>
      <x:c r="D3810" s="66" t="str">
        <x:v>PTN Akademik</x:v>
      </x:c>
      <x:c r="E3810" s="66" t="str">
        <x:v>15511018</x:v>
      </x:c>
      <x:c r="F3810" s="66" t="str">
        <x:v>MANAJEMEN</x:v>
      </x:c>
      <x:c r="G3810" s="66" t="str">
        <x:v>Sarjana</x:v>
      </x:c>
      <x:c r="H3810" s="87" t="n">
        <x:v>36</x:v>
      </x:c>
      <x:c r="I3810" s="87" t="n">
        <x:v>408</x:v>
      </x:c>
      <x:c r="J3810" s="68" t="n">
        <x:f>IFERROR(H3810/I3810,"")</x:f>
        <x:v>0.08823529411764706</x:v>
      </x:c>
      <x:c r="K3810" s="69" t="n">
        <x:f>IFERROR(I3810/H3810,"")</x:f>
        <x:v>11.333333333333334</x:v>
      </x:c>
      <x:c r="L3810" s="66" t="str">
        <x:f>IF(K3810="","","1 : "&amp;TEXT(K3810,"0.0"))</x:f>
        <x:v>1 : 11.3</x:v>
      </x:c>
      <x:c r="M3810" s="66" t="str">
        <x:f>IF(J3810="","Baru/Tanpa Data",IF(J3810&lt;='Catatan &amp; Sumber'!$B$14,"Sangat Ketat",IF(J3810&lt;='Catatan &amp; Sumber'!$B$15,"Ketat",IF(J3810&lt;='Catatan &amp; Sumber'!$B$16,"Sedang","Relatif Longgar"))))</x:f>
        <x:v>Sedang</x:v>
      </x:c>
      <x:c r="N3810" s="66" t="str">
        <x:v>Tidak Ada</x:v>
      </x:c>
      <x:c r="O3810" s="66" t="str">
        <x:v>Kalimantan Utara</x:v>
      </x:c>
      <x:c r="P3810" s="66" t="str">
        <x:v>Kota Tarakan</x:v>
      </x:c>
      <x:c r="Q3810" s="66" t="str">
        <x:v>https://snpmb.id/snbp/daya-tampung-snbp</x:v>
      </x:c>
      <x:c r="R3810" s="66" t="str">
        <x:v>https://sidatagrun-public-1076756628210.asia-southeast2.run.app/ptn_sn.php?ptn=551</x:v>
      </x:c>
    </x:row>
    <x:row r="3811">
      <x:c r="A3811" s="87" t="n">
        <x:v>2665</x:v>
      </x:c>
      <x:c r="B3811" s="66" t="n">
        <x:v>551</x:v>
      </x:c>
      <x:c r="C3811" s="66" t="str">
        <x:v>UNIVERSITAS BORNEO TARAKAN</x:v>
      </x:c>
      <x:c r="D3811" s="66" t="str">
        <x:v>PTN Akademik</x:v>
      </x:c>
      <x:c r="E3811" s="66" t="str">
        <x:v>15511019</x:v>
      </x:c>
      <x:c r="F3811" s="66" t="str">
        <x:v>HUKUM</x:v>
      </x:c>
      <x:c r="G3811" s="66" t="str">
        <x:v>Sarjana</x:v>
      </x:c>
      <x:c r="H3811" s="87" t="n">
        <x:v>52</x:v>
      </x:c>
      <x:c r="I3811" s="87" t="n">
        <x:v>219</x:v>
      </x:c>
      <x:c r="J3811" s="68" t="n">
        <x:f>IFERROR(H3811/I3811,"")</x:f>
        <x:v>0.2374429223744292</x:v>
      </x:c>
      <x:c r="K3811" s="69" t="n">
        <x:f>IFERROR(I3811/H3811,"")</x:f>
        <x:v>4.211538461538462</x:v>
      </x:c>
      <x:c r="L3811" s="66" t="str">
        <x:f>IF(K3811="","","1 : "&amp;TEXT(K3811,"0.0"))</x:f>
        <x:v>1 : 4.2</x:v>
      </x:c>
      <x:c r="M3811" s="66" t="str">
        <x:f>IF(J3811="","Baru/Tanpa Data",IF(J3811&lt;='Catatan &amp; Sumber'!$B$14,"Sangat Ketat",IF(J3811&lt;='Catatan &amp; Sumber'!$B$15,"Ketat",IF(J3811&lt;='Catatan &amp; Sumber'!$B$16,"Sedang","Relatif Longgar"))))</x:f>
        <x:v>Relatif Longgar</x:v>
      </x:c>
      <x:c r="N3811" s="66" t="str">
        <x:v>Tidak Ada</x:v>
      </x:c>
      <x:c r="O3811" s="66" t="str">
        <x:v>Kalimantan Utara</x:v>
      </x:c>
      <x:c r="P3811" s="66" t="str">
        <x:v>Kota Tarakan</x:v>
      </x:c>
      <x:c r="Q3811" s="66" t="str">
        <x:v>https://snpmb.id/snbp/daya-tampung-snbp</x:v>
      </x:c>
      <x:c r="R3811" s="66" t="str">
        <x:v>https://sidatagrun-public-1076756628210.asia-southeast2.run.app/ptn_sn.php?ptn=551</x:v>
      </x:c>
    </x:row>
    <x:row r="3812">
      <x:c r="A3812" s="87" t="n">
        <x:v>2725</x:v>
      </x:c>
      <x:c r="B3812" s="66" t="n">
        <x:v>551</x:v>
      </x:c>
      <x:c r="C3812" s="66" t="str">
        <x:v>UNIVERSITAS BORNEO TARAKAN</x:v>
      </x:c>
      <x:c r="D3812" s="66" t="str">
        <x:v>PTN Akademik</x:v>
      </x:c>
      <x:c r="E3812" s="66" t="str">
        <x:v>15511021</x:v>
      </x:c>
      <x:c r="F3812" s="66" t="str">
        <x:v>PENDIDIKAN GURU SEKOLAH DASAR</x:v>
      </x:c>
      <x:c r="G3812" s="66" t="str">
        <x:v>Sarjana</x:v>
      </x:c>
      <x:c r="H3812" s="87" t="n">
        <x:v>61</x:v>
      </x:c>
      <x:c r="I3812" s="87" t="n">
        <x:v>246</x:v>
      </x:c>
      <x:c r="J3812" s="68" t="n">
        <x:f>IFERROR(H3812/I3812,"")</x:f>
        <x:v>0.24796747967479674</x:v>
      </x:c>
      <x:c r="K3812" s="69" t="n">
        <x:f>IFERROR(I3812/H3812,"")</x:f>
        <x:v>4.032786885245901</x:v>
      </x:c>
      <x:c r="L3812" s="66" t="str">
        <x:f>IF(K3812="","","1 : "&amp;TEXT(K3812,"0.0"))</x:f>
        <x:v>1 : 4.0</x:v>
      </x:c>
      <x:c r="M3812" s="66" t="str">
        <x:f>IF(J3812="","Baru/Tanpa Data",IF(J3812&lt;='Catatan &amp; Sumber'!$B$14,"Sangat Ketat",IF(J3812&lt;='Catatan &amp; Sumber'!$B$15,"Ketat",IF(J3812&lt;='Catatan &amp; Sumber'!$B$16,"Sedang","Relatif Longgar"))))</x:f>
        <x:v>Relatif Longgar</x:v>
      </x:c>
      <x:c r="N3812" s="66" t="str">
        <x:v>Tidak Ada</x:v>
      </x:c>
      <x:c r="O3812" s="66" t="str">
        <x:v>Kalimantan Utara</x:v>
      </x:c>
      <x:c r="P3812" s="66" t="str">
        <x:v>Kota Tarakan</x:v>
      </x:c>
      <x:c r="Q3812" s="66" t="str">
        <x:v>https://snpmb.id/snbp/daya-tampung-snbp</x:v>
      </x:c>
      <x:c r="R3812" s="66" t="str">
        <x:v>https://sidatagrun-public-1076756628210.asia-southeast2.run.app/ptn_sn.php?ptn=551</x:v>
      </x:c>
    </x:row>
    <x:row r="3813">
      <x:c r="A3813" s="87" t="n">
        <x:v>1857</x:v>
      </x:c>
      <x:c r="B3813" s="66" t="n">
        <x:v>551</x:v>
      </x:c>
      <x:c r="C3813" s="66" t="str">
        <x:v>UNIVERSITAS BORNEO TARAKAN</x:v>
      </x:c>
      <x:c r="D3813" s="66" t="str">
        <x:v>PTN Akademik</x:v>
      </x:c>
      <x:c r="E3813" s="66" t="str">
        <x:v>15511022</x:v>
      </x:c>
      <x:c r="F3813" s="66" t="str">
        <x:v>AKUNTANSI</x:v>
      </x:c>
      <x:c r="G3813" s="66" t="str">
        <x:v>Sarjana</x:v>
      </x:c>
      <x:c r="H3813" s="87" t="n">
        <x:v>33</x:v>
      </x:c>
      <x:c r="I3813" s="87" t="n">
        <x:v>241</x:v>
      </x:c>
      <x:c r="J3813" s="68" t="n">
        <x:f>IFERROR(H3813/I3813,"")</x:f>
        <x:v>0.13692946058091288</x:v>
      </x:c>
      <x:c r="K3813" s="69" t="n">
        <x:f>IFERROR(I3813/H3813,"")</x:f>
        <x:v>7.303030303030303</x:v>
      </x:c>
      <x:c r="L3813" s="66" t="str">
        <x:f>IF(K3813="","","1 : "&amp;TEXT(K3813,"0.0"))</x:f>
        <x:v>1 : 7.3</x:v>
      </x:c>
      <x:c r="M3813" s="66" t="str">
        <x:f>IF(J3813="","Baru/Tanpa Data",IF(J3813&lt;='Catatan &amp; Sumber'!$B$14,"Sangat Ketat",IF(J3813&lt;='Catatan &amp; Sumber'!$B$15,"Ketat",IF(J3813&lt;='Catatan &amp; Sumber'!$B$16,"Sedang","Relatif Longgar"))))</x:f>
        <x:v>Relatif Longgar</x:v>
      </x:c>
      <x:c r="N3813" s="66" t="str">
        <x:v>Tidak Ada</x:v>
      </x:c>
      <x:c r="O3813" s="66" t="str">
        <x:v>Kalimantan Utara</x:v>
      </x:c>
      <x:c r="P3813" s="66" t="str">
        <x:v>Kota Tarakan</x:v>
      </x:c>
      <x:c r="Q3813" s="66" t="str">
        <x:v>https://snpmb.id/snbp/daya-tampung-snbp</x:v>
      </x:c>
      <x:c r="R3813" s="66" t="str">
        <x:v>https://sidatagrun-public-1076756628210.asia-southeast2.run.app/ptn_sn.php?ptn=551</x:v>
      </x:c>
    </x:row>
    <x:row r="3814">
      <x:c r="A3814" s="87" t="n">
        <x:v>771</x:v>
      </x:c>
      <x:c r="B3814" s="66" t="n">
        <x:v>551</x:v>
      </x:c>
      <x:c r="C3814" s="66" t="str">
        <x:v>UNIVERSITAS BORNEO TARAKAN</x:v>
      </x:c>
      <x:c r="D3814" s="66" t="str">
        <x:v>PTN Akademik</x:v>
      </x:c>
      <x:c r="E3814" s="66" t="str">
        <x:v>15511025</x:v>
      </x:c>
      <x:c r="F3814" s="66" t="str">
        <x:v>KEDOKTERAN</x:v>
      </x:c>
      <x:c r="G3814" s="66" t="str">
        <x:v>Sarjana</x:v>
      </x:c>
      <x:c r="H3814" s="87" t="n">
        <x:v>15</x:v>
      </x:c>
      <x:c r="I3814" s="87" t="n">
        <x:v>229</x:v>
      </x:c>
      <x:c r="J3814" s="68" t="n">
        <x:f>IFERROR(H3814/I3814,"")</x:f>
        <x:v>0.06550218340611354</x:v>
      </x:c>
      <x:c r="K3814" s="69" t="n">
        <x:f>IFERROR(I3814/H3814,"")</x:f>
        <x:v>15.266666666666667</x:v>
      </x:c>
      <x:c r="L3814" s="66" t="str">
        <x:f>IF(K3814="","","1 : "&amp;TEXT(K3814,"0.0"))</x:f>
        <x:v>1 : 15.3</x:v>
      </x:c>
      <x:c r="M3814" s="66" t="str">
        <x:f>IF(J3814="","Baru/Tanpa Data",IF(J3814&lt;='Catatan &amp; Sumber'!$B$14,"Sangat Ketat",IF(J3814&lt;='Catatan &amp; Sumber'!$B$15,"Ketat",IF(J3814&lt;='Catatan &amp; Sumber'!$B$16,"Sedang","Relatif Longgar"))))</x:f>
        <x:v>Sedang</x:v>
      </x:c>
      <x:c r="N3814" s="66" t="str">
        <x:v>Tidak Ada</x:v>
      </x:c>
      <x:c r="O3814" s="66" t="str">
        <x:v>Kalimantan Utara</x:v>
      </x:c>
      <x:c r="P3814" s="66" t="str">
        <x:v>Kota Tarakan</x:v>
      </x:c>
      <x:c r="Q3814" s="66" t="str">
        <x:v>https://snpmb.id/snbp/daya-tampung-snbp</x:v>
      </x:c>
      <x:c r="R3814" s="66" t="str">
        <x:v>https://sidatagrun-public-1076756628210.asia-southeast2.run.app/ptn_sn.php?ptn=551</x:v>
      </x:c>
    </x:row>
    <x:row r="3815">
      <x:c r="A3815" s="87" t="n">
        <x:v>1780</x:v>
      </x:c>
      <x:c r="B3815" s="66" t="n">
        <x:v>551</x:v>
      </x:c>
      <x:c r="C3815" s="66" t="str">
        <x:v>UNIVERSITAS BORNEO TARAKAN</x:v>
      </x:c>
      <x:c r="D3815" s="66" t="str">
        <x:v>PTN Akademik</x:v>
      </x:c>
      <x:c r="E3815" s="66" t="str">
        <x:v>15511026</x:v>
      </x:c>
      <x:c r="F3815" s="66" t="str">
        <x:v>PSIKOLOGI</x:v>
      </x:c>
      <x:c r="G3815" s="66" t="str">
        <x:v>Sarjana</x:v>
      </x:c>
      <x:c r="H3815" s="87" t="n">
        <x:v>14</x:v>
      </x:c>
      <x:c r="I3815" s="87" t="n">
        <x:v>107</x:v>
      </x:c>
      <x:c r="J3815" s="68" t="n">
        <x:f>IFERROR(H3815/I3815,"")</x:f>
        <x:v>0.1308411214953271</x:v>
      </x:c>
      <x:c r="K3815" s="69" t="n">
        <x:f>IFERROR(I3815/H3815,"")</x:f>
        <x:v>7.642857142857143</x:v>
      </x:c>
      <x:c r="L3815" s="66" t="str">
        <x:f>IF(K3815="","","1 : "&amp;TEXT(K3815,"0.0"))</x:f>
        <x:v>1 : 7.6</x:v>
      </x:c>
      <x:c r="M3815" s="66" t="str">
        <x:f>IF(J3815="","Baru/Tanpa Data",IF(J3815&lt;='Catatan &amp; Sumber'!$B$14,"Sangat Ketat",IF(J3815&lt;='Catatan &amp; Sumber'!$B$15,"Ketat",IF(J3815&lt;='Catatan &amp; Sumber'!$B$16,"Sedang","Relatif Longgar"))))</x:f>
        <x:v>Relatif Longgar</x:v>
      </x:c>
      <x:c r="N3815" s="66" t="str">
        <x:v>Tidak Ada</x:v>
      </x:c>
      <x:c r="O3815" s="66" t="str">
        <x:v>Kalimantan Utara</x:v>
      </x:c>
      <x:c r="P3815" s="66" t="str">
        <x:v>Kota Tarakan</x:v>
      </x:c>
      <x:c r="Q3815" s="66" t="str">
        <x:v>https://snpmb.id/snbp/daya-tampung-snbp</x:v>
      </x:c>
      <x:c r="R3815" s="66" t="str">
        <x:v>https://sidatagrun-public-1076756628210.asia-southeast2.run.app/ptn_sn.php?ptn=551</x:v>
      </x:c>
    </x:row>
    <x:row r="3816">
      <x:c r="A3816" s="87" t="n">
        <x:v>4228</x:v>
      </x:c>
      <x:c r="B3816" s="66" t="n">
        <x:v>551</x:v>
      </x:c>
      <x:c r="C3816" s="66" t="str">
        <x:v>UNIVERSITAS BORNEO TARAKAN</x:v>
      </x:c>
      <x:c r="D3816" s="66" t="str">
        <x:v>PTN Akademik</x:v>
      </x:c>
      <x:c r="E3816" s="66" t="str">
        <x:v>15511027</x:v>
      </x:c>
      <x:c r="F3816" s="66" t="str">
        <x:v>HUKUM BISNIS</x:v>
      </x:c>
      <x:c r="G3816" s="66" t="str">
        <x:v>Sarjana</x:v>
      </x:c>
      <x:c r="H3816" s="87" t="n">
        <x:v>24</x:v>
      </x:c>
      <x:c r="I3816" s="87" t="n">
        <x:v>27</x:v>
      </x:c>
      <x:c r="J3816" s="68" t="n">
        <x:f>IFERROR(H3816/I3816,"")</x:f>
        <x:v>0.8888888888888888</x:v>
      </x:c>
      <x:c r="K3816" s="69" t="n">
        <x:f>IFERROR(I3816/H3816,"")</x:f>
        <x:v>1.125</x:v>
      </x:c>
      <x:c r="L3816" s="66" t="str">
        <x:f>IF(K3816="","","1 : "&amp;TEXT(K3816,"0.0"))</x:f>
        <x:v>1 : 1.1</x:v>
      </x:c>
      <x:c r="M3816" s="66" t="str">
        <x:f>IF(J3816="","Baru/Tanpa Data",IF(J3816&lt;='Catatan &amp; Sumber'!$B$14,"Sangat Ketat",IF(J3816&lt;='Catatan &amp; Sumber'!$B$15,"Ketat",IF(J3816&lt;='Catatan &amp; Sumber'!$B$16,"Sedang","Relatif Longgar"))))</x:f>
        <x:v>Relatif Longgar</x:v>
      </x:c>
      <x:c r="N3816" s="66" t="str">
        <x:v>Tidak Ada</x:v>
      </x:c>
      <x:c r="O3816" s="66" t="str">
        <x:v>Kalimantan Utara</x:v>
      </x:c>
      <x:c r="P3816" s="66" t="str">
        <x:v>Kota Tarakan</x:v>
      </x:c>
      <x:c r="Q3816" s="66" t="str">
        <x:v>https://snpmb.id/snbp/daya-tampung-snbp</x:v>
      </x:c>
      <x:c r="R3816" s="66" t="str">
        <x:v>https://sidatagrun-public-1076756628210.asia-southeast2.run.app/ptn_sn.php?ptn=551</x:v>
      </x:c>
    </x:row>
    <x:row r="3817">
      <x:c r="A3817" s="87" t="n">
        <x:v>4526</x:v>
      </x:c>
      <x:c r="B3817" s="66" t="n">
        <x:v>552</x:v>
      </x:c>
      <x:c r="C3817" s="66" t="str">
        <x:v>POLITEKNIK NEGERI NUNUKAN</x:v>
      </x:c>
      <x:c r="D3817" s="66" t="str">
        <x:v>PTN Vokasi</x:v>
      </x:c>
      <x:c r="E3817" s="66" t="str">
        <x:v>25523001</x:v>
      </x:c>
      <x:c r="F3817" s="66" t="str">
        <x:v>ADMINISTRASI BISNIS</x:v>
      </x:c>
      <x:c r="G3817" s="66" t="str">
        <x:v>Diploma Tiga</x:v>
      </x:c>
      <x:c r="H3817" s="87" t="n">
        <x:v>35</x:v>
      </x:c>
      <x:c r="I3817" s="87" t="n">
        <x:v>25</x:v>
      </x:c>
      <x:c r="J3817" s="68" t="n">
        <x:f>IFERROR(H3817/I3817,"")</x:f>
        <x:v>1.4</x:v>
      </x:c>
      <x:c r="K3817" s="69" t="n">
        <x:f>IFERROR(I3817/H3817,"")</x:f>
        <x:v>0.7142857142857143</x:v>
      </x:c>
      <x:c r="L3817" s="66" t="str">
        <x:f>IF(K3817="","","1 : "&amp;TEXT(K3817,"0.0"))</x:f>
        <x:v>1 : 0.7</x:v>
      </x:c>
      <x:c r="M3817" s="66" t="str">
        <x:f>IF(J3817="","Baru/Tanpa Data",IF(J3817&lt;='Catatan &amp; Sumber'!$B$14,"Sangat Ketat",IF(J3817&lt;='Catatan &amp; Sumber'!$B$15,"Ketat",IF(J3817&lt;='Catatan &amp; Sumber'!$B$16,"Sedang","Relatif Longgar"))))</x:f>
        <x:v>Relatif Longgar</x:v>
      </x:c>
      <x:c r="N3817" s="66" t="str">
        <x:v>Tidak Ada</x:v>
      </x:c>
      <x:c r="O3817" s="66" t="str">
        <x:v>Kalimantan Utara</x:v>
      </x:c>
      <x:c r="P3817" s="66" t="str">
        <x:v>Kabupaten Nunukan</x:v>
      </x:c>
      <x:c r="Q3817" s="66" t="str">
        <x:v>https://snpmb.id/snbp/daya-tampung-snbp</x:v>
      </x:c>
      <x:c r="R3817" s="66" t="str">
        <x:v>https://sidatagrun-public-1076756628210.asia-southeast2.run.app/ptn_sn.php?ptn=552</x:v>
      </x:c>
    </x:row>
    <x:row r="3818">
      <x:c r="A3818" s="87" t="n">
        <x:v>4366</x:v>
      </x:c>
      <x:c r="B3818" s="66" t="n">
        <x:v>552</x:v>
      </x:c>
      <x:c r="C3818" s="66" t="str">
        <x:v>POLITEKNIK NEGERI NUNUKAN</x:v>
      </x:c>
      <x:c r="D3818" s="66" t="str">
        <x:v>PTN Vokasi</x:v>
      </x:c>
      <x:c r="E3818" s="66" t="str">
        <x:v>25523002</x:v>
      </x:c>
      <x:c r="F3818" s="66" t="str">
        <x:v>TEKNIK ALAT BERAT</x:v>
      </x:c>
      <x:c r="G3818" s="66" t="str">
        <x:v>Diploma Tiga</x:v>
      </x:c>
      <x:c r="H3818" s="87" t="n">
        <x:v>15</x:v>
      </x:c>
      <x:c r="I3818" s="87" t="n">
        <x:v>14</x:v>
      </x:c>
      <x:c r="J3818" s="68" t="n">
        <x:f>IFERROR(H3818/I3818,"")</x:f>
        <x:v>1.0714285714285714</x:v>
      </x:c>
      <x:c r="K3818" s="69" t="n">
        <x:f>IFERROR(I3818/H3818,"")</x:f>
        <x:v>0.9333333333333333</x:v>
      </x:c>
      <x:c r="L3818" s="66" t="str">
        <x:f>IF(K3818="","","1 : "&amp;TEXT(K3818,"0.0"))</x:f>
        <x:v>1 : 0.9</x:v>
      </x:c>
      <x:c r="M3818" s="66" t="str">
        <x:f>IF(J3818="","Baru/Tanpa Data",IF(J3818&lt;='Catatan &amp; Sumber'!$B$14,"Sangat Ketat",IF(J3818&lt;='Catatan &amp; Sumber'!$B$15,"Ketat",IF(J3818&lt;='Catatan &amp; Sumber'!$B$16,"Sedang","Relatif Longgar"))))</x:f>
        <x:v>Relatif Longgar</x:v>
      </x:c>
      <x:c r="N3818" s="66" t="str">
        <x:v>Tidak Ada</x:v>
      </x:c>
      <x:c r="O3818" s="66" t="str">
        <x:v>Kalimantan Utara</x:v>
      </x:c>
      <x:c r="P3818" s="66" t="str">
        <x:v>Kabupaten Nunukan</x:v>
      </x:c>
      <x:c r="Q3818" s="66" t="str">
        <x:v>https://snpmb.id/snbp/daya-tampung-snbp</x:v>
      </x:c>
      <x:c r="R3818" s="66" t="str">
        <x:v>https://sidatagrun-public-1076756628210.asia-southeast2.run.app/ptn_sn.php?ptn=552</x:v>
      </x:c>
    </x:row>
    <x:row r="3819">
      <x:c r="A3819" s="87" t="n">
        <x:v>4602</x:v>
      </x:c>
      <x:c r="B3819" s="66" t="n">
        <x:v>552</x:v>
      </x:c>
      <x:c r="C3819" s="66" t="str">
        <x:v>POLITEKNIK NEGERI NUNUKAN</x:v>
      </x:c>
      <x:c r="D3819" s="66" t="str">
        <x:v>PTN Vokasi</x:v>
      </x:c>
      <x:c r="E3819" s="66" t="str">
        <x:v>25523003</x:v>
      </x:c>
      <x:c r="F3819" s="66" t="str">
        <x:v>TEKNIK SIPIL INFRASTRUKTUR PERKOTAAN</x:v>
      </x:c>
      <x:c r="G3819" s="66" t="str">
        <x:v>Diploma Tiga</x:v>
      </x:c>
      <x:c r="H3819" s="87" t="n">
        <x:v>15</x:v>
      </x:c>
      <x:c r="I3819" s="87" t="n">
        <x:v>9</x:v>
      </x:c>
      <x:c r="J3819" s="68" t="n">
        <x:f>IFERROR(H3819/I3819,"")</x:f>
        <x:v>1.6666666666666667</x:v>
      </x:c>
      <x:c r="K3819" s="69" t="n">
        <x:f>IFERROR(I3819/H3819,"")</x:f>
        <x:v>0.6</x:v>
      </x:c>
      <x:c r="L3819" s="66" t="str">
        <x:f>IF(K3819="","","1 : "&amp;TEXT(K3819,"0.0"))</x:f>
        <x:v>1 : 0.6</x:v>
      </x:c>
      <x:c r="M3819" s="66" t="str">
        <x:f>IF(J3819="","Baru/Tanpa Data",IF(J3819&lt;='Catatan &amp; Sumber'!$B$14,"Sangat Ketat",IF(J3819&lt;='Catatan &amp; Sumber'!$B$15,"Ketat",IF(J3819&lt;='Catatan &amp; Sumber'!$B$16,"Sedang","Relatif Longgar"))))</x:f>
        <x:v>Relatif Longgar</x:v>
      </x:c>
      <x:c r="N3819" s="66" t="str">
        <x:v>Tidak Ada</x:v>
      </x:c>
      <x:c r="O3819" s="66" t="str">
        <x:v>Kalimantan Utara</x:v>
      </x:c>
      <x:c r="P3819" s="66" t="str">
        <x:v>Kabupaten Nunukan</x:v>
      </x:c>
      <x:c r="Q3819" s="66" t="str">
        <x:v>https://snpmb.id/snbp/daya-tampung-snbp</x:v>
      </x:c>
      <x:c r="R3819" s="66" t="str">
        <x:v>https://sidatagrun-public-1076756628210.asia-southeast2.run.app/ptn_sn.php?ptn=552</x:v>
      </x:c>
    </x:row>
    <x:row r="3820">
      <x:c r="A3820" s="87" t="n">
        <x:v>4305</x:v>
      </x:c>
      <x:c r="B3820" s="66" t="n">
        <x:v>552</x:v>
      </x:c>
      <x:c r="C3820" s="66" t="str">
        <x:v>POLITEKNIK NEGERI NUNUKAN</x:v>
      </x:c>
      <x:c r="D3820" s="66" t="str">
        <x:v>PTN Vokasi</x:v>
      </x:c>
      <x:c r="E3820" s="66" t="str">
        <x:v>25523004</x:v>
      </x:c>
      <x:c r="F3820" s="66" t="str">
        <x:v>TEKNOLOGI HASIL PERIKANAN</x:v>
      </x:c>
      <x:c r="G3820" s="66" t="str">
        <x:v>Diploma Tiga</x:v>
      </x:c>
      <x:c r="H3820" s="87" t="n">
        <x:v>15</x:v>
      </x:c>
      <x:c r="I3820" s="87" t="n">
        <x:v>15</x:v>
      </x:c>
      <x:c r="J3820" s="68" t="n">
        <x:f>IFERROR(H3820/I3820,"")</x:f>
        <x:v>1</x:v>
      </x:c>
      <x:c r="K3820" s="69" t="n">
        <x:f>IFERROR(I3820/H3820,"")</x:f>
        <x:v>1</x:v>
      </x:c>
      <x:c r="L3820" s="66" t="str">
        <x:f>IF(K3820="","","1 : "&amp;TEXT(K3820,"0.0"))</x:f>
        <x:v>1 : 1.0</x:v>
      </x:c>
      <x:c r="M3820" s="66" t="str">
        <x:f>IF(J3820="","Baru/Tanpa Data",IF(J3820&lt;='Catatan &amp; Sumber'!$B$14,"Sangat Ketat",IF(J3820&lt;='Catatan &amp; Sumber'!$B$15,"Ketat",IF(J3820&lt;='Catatan &amp; Sumber'!$B$16,"Sedang","Relatif Longgar"))))</x:f>
        <x:v>Relatif Longgar</x:v>
      </x:c>
      <x:c r="N3820" s="66" t="str">
        <x:v>Tidak Ada</x:v>
      </x:c>
      <x:c r="O3820" s="66" t="str">
        <x:v>Kalimantan Utara</x:v>
      </x:c>
      <x:c r="P3820" s="66" t="str">
        <x:v>Kabupaten Nunukan</x:v>
      </x:c>
      <x:c r="Q3820" s="66" t="str">
        <x:v>https://snpmb.id/snbp/daya-tampung-snbp</x:v>
      </x:c>
      <x:c r="R3820" s="66" t="str">
        <x:v>https://sidatagrun-public-1076756628210.asia-southeast2.run.app/ptn_sn.php?ptn=552</x:v>
      </x:c>
    </x:row>
    <x:row r="3821">
      <x:c r="A3821" s="87" t="n">
        <x:v>4135</x:v>
      </x:c>
      <x:c r="B3821" s="66" t="n">
        <x:v>561</x:v>
      </x:c>
      <x:c r="C3821" s="66" t="str">
        <x:v>POLITEKNIK PERTANIAN NEGERI SAMARINDA</x:v>
      </x:c>
      <x:c r="D3821" s="66" t="str">
        <x:v>PTN Vokasi</x:v>
      </x:c>
      <x:c r="E3821" s="66" t="str">
        <x:v>25612001</x:v>
      </x:c>
      <x:c r="F3821" s="66" t="str">
        <x:v>PENGELOLAAN PERKEBUNAN</x:v>
      </x:c>
      <x:c r="G3821" s="66" t="str">
        <x:v>Sarjana Terapan</x:v>
      </x:c>
      <x:c r="H3821" s="87" t="n">
        <x:v>28</x:v>
      </x:c>
      <x:c r="I3821" s="87" t="n">
        <x:v>35</x:v>
      </x:c>
      <x:c r="J3821" s="68" t="n">
        <x:f>IFERROR(H3821/I3821,"")</x:f>
        <x:v>0.8</x:v>
      </x:c>
      <x:c r="K3821" s="69" t="n">
        <x:f>IFERROR(I3821/H3821,"")</x:f>
        <x:v>1.25</x:v>
      </x:c>
      <x:c r="L3821" s="66" t="str">
        <x:f>IF(K3821="","","1 : "&amp;TEXT(K3821,"0.0"))</x:f>
        <x:v>1 : 1.3</x:v>
      </x:c>
      <x:c r="M3821" s="66" t="str">
        <x:f>IF(J3821="","Baru/Tanpa Data",IF(J3821&lt;='Catatan &amp; Sumber'!$B$14,"Sangat Ketat",IF(J3821&lt;='Catatan &amp; Sumber'!$B$15,"Ketat",IF(J3821&lt;='Catatan &amp; Sumber'!$B$16,"Sedang","Relatif Longgar"))))</x:f>
        <x:v>Relatif Longgar</x:v>
      </x:c>
      <x:c r="N3821" s="66" t="str">
        <x:v>Tidak Ada</x:v>
      </x:c>
      <x:c r="O3821" s="66" t="str">
        <x:v>Kalimantan Timur</x:v>
      </x:c>
      <x:c r="P3821" s="66" t="str">
        <x:v>Kota Samarinda</x:v>
      </x:c>
      <x:c r="Q3821" s="66" t="str">
        <x:v>https://snpmb.id/snbp/daya-tampung-snbp</x:v>
      </x:c>
      <x:c r="R3821" s="66" t="str">
        <x:v>https://sidatagrun-public-1076756628210.asia-southeast2.run.app/ptn_sn.php?ptn=561</x:v>
      </x:c>
    </x:row>
    <x:row r="3822">
      <x:c r="A3822" s="87" t="n">
        <x:v>4542</x:v>
      </x:c>
      <x:c r="B3822" s="66" t="n">
        <x:v>561</x:v>
      </x:c>
      <x:c r="C3822" s="66" t="str">
        <x:v>POLITEKNIK PERTANIAN NEGERI SAMARINDA</x:v>
      </x:c>
      <x:c r="D3822" s="66" t="str">
        <x:v>PTN Vokasi</x:v>
      </x:c>
      <x:c r="E3822" s="66" t="str">
        <x:v>25612002</x:v>
      </x:c>
      <x:c r="F3822" s="66" t="str">
        <x:v>TEKNOLOGI REKAYASA PERANGKAT LUNAK</x:v>
      </x:c>
      <x:c r="G3822" s="66" t="str">
        <x:v>Sarjana Terapan</x:v>
      </x:c>
      <x:c r="H3822" s="87" t="n">
        <x:v>22</x:v>
      </x:c>
      <x:c r="I3822" s="87" t="n">
        <x:v>15</x:v>
      </x:c>
      <x:c r="J3822" s="68" t="n">
        <x:f>IFERROR(H3822/I3822,"")</x:f>
        <x:v>1.4666666666666666</x:v>
      </x:c>
      <x:c r="K3822" s="69" t="n">
        <x:f>IFERROR(I3822/H3822,"")</x:f>
        <x:v>0.6818181818181818</x:v>
      </x:c>
      <x:c r="L3822" s="66" t="str">
        <x:f>IF(K3822="","","1 : "&amp;TEXT(K3822,"0.0"))</x:f>
        <x:v>1 : 0.7</x:v>
      </x:c>
      <x:c r="M3822" s="66" t="str">
        <x:f>IF(J3822="","Baru/Tanpa Data",IF(J3822&lt;='Catatan &amp; Sumber'!$B$14,"Sangat Ketat",IF(J3822&lt;='Catatan &amp; Sumber'!$B$15,"Ketat",IF(J3822&lt;='Catatan &amp; Sumber'!$B$16,"Sedang","Relatif Longgar"))))</x:f>
        <x:v>Relatif Longgar</x:v>
      </x:c>
      <x:c r="N3822" s="66" t="str">
        <x:v>Tidak Ada</x:v>
      </x:c>
      <x:c r="O3822" s="66" t="str">
        <x:v>Kalimantan Timur</x:v>
      </x:c>
      <x:c r="P3822" s="66" t="str">
        <x:v>Kota Samarinda</x:v>
      </x:c>
      <x:c r="Q3822" s="66" t="str">
        <x:v>https://snpmb.id/snbp/daya-tampung-snbp</x:v>
      </x:c>
      <x:c r="R3822" s="66" t="str">
        <x:v>https://sidatagrun-public-1076756628210.asia-southeast2.run.app/ptn_sn.php?ptn=561</x:v>
      </x:c>
    </x:row>
    <x:row r="3823">
      <x:c r="A3823" s="87"/>
      <x:c r="B3823" s="66" t="n">
        <x:v>561</x:v>
      </x:c>
      <x:c r="C3823" s="66" t="str">
        <x:v>POLITEKNIK PERTANIAN NEGERI SAMARINDA</x:v>
      </x:c>
      <x:c r="D3823" s="66" t="str">
        <x:v>PTN Vokasi</x:v>
      </x:c>
      <x:c r="E3823" s="66" t="str">
        <x:v>25612003</x:v>
      </x:c>
      <x:c r="F3823" s="66" t="str">
        <x:v>REKAYASA KAYU</x:v>
      </x:c>
      <x:c r="G3823" s="66" t="str">
        <x:v>Sarjana Terapan</x:v>
      </x:c>
      <x:c r="H3823" s="87" t="n">
        <x:v>9</x:v>
      </x:c>
      <x:c r="I3823" s="87"/>
      <x:c r="J3823" s="68" t="str">
        <x:f>IFERROR(H3823/I3823,"")</x:f>
      </x:c>
      <x:c r="K3823" s="69" t="n">
        <x:f>IFERROR(I3823/H3823,"")</x:f>
        <x:v>0</x:v>
      </x:c>
      <x:c r="L3823" s="66" t="str">
        <x:f>IF(K3823="","","1 : "&amp;TEXT(K3823,"0.0"))</x:f>
      </x:c>
      <x:c r="M3823" s="66" t="str">
        <x:f>IF(J3823="","Baru/Tanpa Data",IF(J3823&lt;='Catatan &amp; Sumber'!$B$14,"Sangat Ketat",IF(J3823&lt;='Catatan &amp; Sumber'!$B$15,"Ketat",IF(J3823&lt;='Catatan &amp; Sumber'!$B$16,"Sedang","Relatif Longgar"))))</x:f>
        <x:v>Baru/Tanpa Data</x:v>
      </x:c>
      <x:c r="N3823" s="66" t="str">
        <x:v>Tidak Ada</x:v>
      </x:c>
      <x:c r="O3823" s="66" t="str">
        <x:v>Kalimantan Timur</x:v>
      </x:c>
      <x:c r="P3823" s="66" t="str">
        <x:v>Kota Samarinda</x:v>
      </x:c>
      <x:c r="Q3823" s="66" t="str">
        <x:v>https://snpmb.id/snbp/daya-tampung-snbp</x:v>
      </x:c>
      <x:c r="R3823" s="66" t="str">
        <x:v>https://sidatagrun-public-1076756628210.asia-southeast2.run.app/ptn_sn.php?ptn=561</x:v>
      </x:c>
    </x:row>
    <x:row r="3824">
      <x:c r="A3824" s="87" t="n">
        <x:v>4215</x:v>
      </x:c>
      <x:c r="B3824" s="66" t="n">
        <x:v>561</x:v>
      </x:c>
      <x:c r="C3824" s="66" t="str">
        <x:v>POLITEKNIK PERTANIAN NEGERI SAMARINDA</x:v>
      </x:c>
      <x:c r="D3824" s="66" t="str">
        <x:v>PTN Vokasi</x:v>
      </x:c>
      <x:c r="E3824" s="66" t="str">
        <x:v>25612010</x:v>
      </x:c>
      <x:c r="F3824" s="66" t="str">
        <x:v>TEKNOLOGI REKAYASA GEOMATIKA DAN SURVEI</x:v>
      </x:c>
      <x:c r="G3824" s="66" t="str">
        <x:v>Sarjana Terapan</x:v>
      </x:c>
      <x:c r="H3824" s="87" t="n">
        <x:v>21</x:v>
      </x:c>
      <x:c r="I3824" s="87" t="n">
        <x:v>24</x:v>
      </x:c>
      <x:c r="J3824" s="68" t="n">
        <x:f>IFERROR(H3824/I3824,"")</x:f>
        <x:v>0.875</x:v>
      </x:c>
      <x:c r="K3824" s="69" t="n">
        <x:f>IFERROR(I3824/H3824,"")</x:f>
        <x:v>1.1428571428571428</x:v>
      </x:c>
      <x:c r="L3824" s="66" t="str">
        <x:f>IF(K3824="","","1 : "&amp;TEXT(K3824,"0.0"))</x:f>
        <x:v>1 : 1.1</x:v>
      </x:c>
      <x:c r="M3824" s="66" t="str">
        <x:f>IF(J3824="","Baru/Tanpa Data",IF(J3824&lt;='Catatan &amp; Sumber'!$B$14,"Sangat Ketat",IF(J3824&lt;='Catatan &amp; Sumber'!$B$15,"Ketat",IF(J3824&lt;='Catatan &amp; Sumber'!$B$16,"Sedang","Relatif Longgar"))))</x:f>
        <x:v>Relatif Longgar</x:v>
      </x:c>
      <x:c r="N3824" s="66" t="str">
        <x:v>Tidak Ada</x:v>
      </x:c>
      <x:c r="O3824" s="66" t="str">
        <x:v>Kalimantan Timur</x:v>
      </x:c>
      <x:c r="P3824" s="66" t="str">
        <x:v>Kota Samarinda</x:v>
      </x:c>
      <x:c r="Q3824" s="66" t="str">
        <x:v>https://snpmb.id/snbp/daya-tampung-snbp</x:v>
      </x:c>
      <x:c r="R3824" s="66" t="str">
        <x:v>https://sidatagrun-public-1076756628210.asia-southeast2.run.app/ptn_sn.php?ptn=561</x:v>
      </x:c>
    </x:row>
    <x:row r="3825">
      <x:c r="A3825" s="87" t="n">
        <x:v>3958</x:v>
      </x:c>
      <x:c r="B3825" s="66" t="n">
        <x:v>561</x:v>
      </x:c>
      <x:c r="C3825" s="66" t="str">
        <x:v>POLITEKNIK PERTANIAN NEGERI SAMARINDA</x:v>
      </x:c>
      <x:c r="D3825" s="66" t="str">
        <x:v>PTN Vokasi</x:v>
      </x:c>
      <x:c r="E3825" s="66" t="str">
        <x:v>25612012</x:v>
      </x:c>
      <x:c r="F3825" s="66" t="str">
        <x:v>TEKNOLOGI PRODUKSI TANAMAN PANGAN</x:v>
      </x:c>
      <x:c r="G3825" s="66" t="str">
        <x:v>Sarjana Terapan</x:v>
      </x:c>
      <x:c r="H3825" s="87" t="n">
        <x:v>12</x:v>
      </x:c>
      <x:c r="I3825" s="87" t="n">
        <x:v>18</x:v>
      </x:c>
      <x:c r="J3825" s="68" t="n">
        <x:f>IFERROR(H3825/I3825,"")</x:f>
        <x:v>0.6666666666666666</x:v>
      </x:c>
      <x:c r="K3825" s="69" t="n">
        <x:f>IFERROR(I3825/H3825,"")</x:f>
        <x:v>1.5</x:v>
      </x:c>
      <x:c r="L3825" s="66" t="str">
        <x:f>IF(K3825="","","1 : "&amp;TEXT(K3825,"0.0"))</x:f>
        <x:v>1 : 1.5</x:v>
      </x:c>
      <x:c r="M3825" s="66" t="str">
        <x:f>IF(J3825="","Baru/Tanpa Data",IF(J3825&lt;='Catatan &amp; Sumber'!$B$14,"Sangat Ketat",IF(J3825&lt;='Catatan &amp; Sumber'!$B$15,"Ketat",IF(J3825&lt;='Catatan &amp; Sumber'!$B$16,"Sedang","Relatif Longgar"))))</x:f>
        <x:v>Relatif Longgar</x:v>
      </x:c>
      <x:c r="N3825" s="66" t="str">
        <x:v>Tidak Ada</x:v>
      </x:c>
      <x:c r="O3825" s="66" t="str">
        <x:v>Kalimantan Timur</x:v>
      </x:c>
      <x:c r="P3825" s="66" t="str">
        <x:v>Kota Samarinda</x:v>
      </x:c>
      <x:c r="Q3825" s="66" t="str">
        <x:v>https://snpmb.id/snbp/daya-tampung-snbp</x:v>
      </x:c>
      <x:c r="R3825" s="66" t="str">
        <x:v>https://sidatagrun-public-1076756628210.asia-southeast2.run.app/ptn_sn.php?ptn=561</x:v>
      </x:c>
    </x:row>
    <x:row r="3826">
      <x:c r="A3826" s="87" t="n">
        <x:v>4696</x:v>
      </x:c>
      <x:c r="B3826" s="66" t="n">
        <x:v>561</x:v>
      </x:c>
      <x:c r="C3826" s="66" t="str">
        <x:v>POLITEKNIK PERTANIAN NEGERI SAMARINDA</x:v>
      </x:c>
      <x:c r="D3826" s="66" t="str">
        <x:v>PTN Vokasi</x:v>
      </x:c>
      <x:c r="E3826" s="66" t="str">
        <x:v>25612013</x:v>
      </x:c>
      <x:c r="F3826" s="66" t="str">
        <x:v>TEKNOLOGI REKAYASA PENGENDALIAN PENCEMARAN LINGKUNGAN</x:v>
      </x:c>
      <x:c r="G3826" s="66" t="str">
        <x:v>Sarjana Terapan</x:v>
      </x:c>
      <x:c r="H3826" s="87" t="n">
        <x:v>9</x:v>
      </x:c>
      <x:c r="I3826" s="87" t="n">
        <x:v>4</x:v>
      </x:c>
      <x:c r="J3826" s="68" t="n">
        <x:f>IFERROR(H3826/I3826,"")</x:f>
        <x:v>2.25</x:v>
      </x:c>
      <x:c r="K3826" s="69" t="n">
        <x:f>IFERROR(I3826/H3826,"")</x:f>
        <x:v>0.4444444444444444</x:v>
      </x:c>
      <x:c r="L3826" s="66" t="str">
        <x:f>IF(K3826="","","1 : "&amp;TEXT(K3826,"0.0"))</x:f>
        <x:v>1 : 0.4</x:v>
      </x:c>
      <x:c r="M3826" s="66" t="str">
        <x:f>IF(J3826="","Baru/Tanpa Data",IF(J3826&lt;='Catatan &amp; Sumber'!$B$14,"Sangat Ketat",IF(J3826&lt;='Catatan &amp; Sumber'!$B$15,"Ketat",IF(J3826&lt;='Catatan &amp; Sumber'!$B$16,"Sedang","Relatif Longgar"))))</x:f>
        <x:v>Relatif Longgar</x:v>
      </x:c>
      <x:c r="N3826" s="66" t="str">
        <x:v>Tidak Ada</x:v>
      </x:c>
      <x:c r="O3826" s="66" t="str">
        <x:v>Kalimantan Timur</x:v>
      </x:c>
      <x:c r="P3826" s="66" t="str">
        <x:v>Kota Samarinda</x:v>
      </x:c>
      <x:c r="Q3826" s="66" t="str">
        <x:v>https://snpmb.id/snbp/daya-tampung-snbp</x:v>
      </x:c>
      <x:c r="R3826" s="66" t="str">
        <x:v>https://sidatagrun-public-1076756628210.asia-southeast2.run.app/ptn_sn.php?ptn=561</x:v>
      </x:c>
    </x:row>
    <x:row r="3827">
      <x:c r="A3827" s="87" t="n">
        <x:v>4399</x:v>
      </x:c>
      <x:c r="B3827" s="66" t="n">
        <x:v>561</x:v>
      </x:c>
      <x:c r="C3827" s="66" t="str">
        <x:v>POLITEKNIK PERTANIAN NEGERI SAMARINDA</x:v>
      </x:c>
      <x:c r="D3827" s="66" t="str">
        <x:v>PTN Vokasi</x:v>
      </x:c>
      <x:c r="E3827" s="66" t="str">
        <x:v>25612014</x:v>
      </x:c>
      <x:c r="F3827" s="66" t="str">
        <x:v>TEKNOLOGI REKAYASA PANGAN</x:v>
      </x:c>
      <x:c r="G3827" s="66" t="str">
        <x:v>Sarjana Terapan</x:v>
      </x:c>
      <x:c r="H3827" s="87" t="n">
        <x:v>9</x:v>
      </x:c>
      <x:c r="I3827" s="87" t="n">
        <x:v>8</x:v>
      </x:c>
      <x:c r="J3827" s="68" t="n">
        <x:f>IFERROR(H3827/I3827,"")</x:f>
        <x:v>1.125</x:v>
      </x:c>
      <x:c r="K3827" s="69" t="n">
        <x:f>IFERROR(I3827/H3827,"")</x:f>
        <x:v>0.8888888888888888</x:v>
      </x:c>
      <x:c r="L3827" s="66" t="str">
        <x:f>IF(K3827="","","1 : "&amp;TEXT(K3827,"0.0"))</x:f>
        <x:v>1 : 0.9</x:v>
      </x:c>
      <x:c r="M3827" s="66" t="str">
        <x:f>IF(J3827="","Baru/Tanpa Data",IF(J3827&lt;='Catatan &amp; Sumber'!$B$14,"Sangat Ketat",IF(J3827&lt;='Catatan &amp; Sumber'!$B$15,"Ketat",IF(J3827&lt;='Catatan &amp; Sumber'!$B$16,"Sedang","Relatif Longgar"))))</x:f>
        <x:v>Relatif Longgar</x:v>
      </x:c>
      <x:c r="N3827" s="66" t="str">
        <x:v>Tidak Ada</x:v>
      </x:c>
      <x:c r="O3827" s="66" t="str">
        <x:v>Kalimantan Timur</x:v>
      </x:c>
      <x:c r="P3827" s="66" t="str">
        <x:v>Kota Samarinda</x:v>
      </x:c>
      <x:c r="Q3827" s="66" t="str">
        <x:v>https://snpmb.id/snbp/daya-tampung-snbp</x:v>
      </x:c>
      <x:c r="R3827" s="66" t="str">
        <x:v>https://sidatagrun-public-1076756628210.asia-southeast2.run.app/ptn_sn.php?ptn=561</x:v>
      </x:c>
    </x:row>
    <x:row r="3828">
      <x:c r="A3828" s="87" t="n">
        <x:v>4545</x:v>
      </x:c>
      <x:c r="B3828" s="66" t="n">
        <x:v>561</x:v>
      </x:c>
      <x:c r="C3828" s="66" t="str">
        <x:v>POLITEKNIK PERTANIAN NEGERI SAMARINDA</x:v>
      </x:c>
      <x:c r="D3828" s="66" t="str">
        <x:v>PTN Vokasi</x:v>
      </x:c>
      <x:c r="E3828" s="66" t="str">
        <x:v>25613004</x:v>
      </x:c>
      <x:c r="F3828" s="66" t="str">
        <x:v>BUDIDAYA TANAMAN PERKEBUNAN</x:v>
      </x:c>
      <x:c r="G3828" s="66" t="str">
        <x:v>Diploma Tiga</x:v>
      </x:c>
      <x:c r="H3828" s="87" t="n">
        <x:v>18</x:v>
      </x:c>
      <x:c r="I3828" s="87" t="n">
        <x:v>12</x:v>
      </x:c>
      <x:c r="J3828" s="68" t="n">
        <x:f>IFERROR(H3828/I3828,"")</x:f>
        <x:v>1.5</x:v>
      </x:c>
      <x:c r="K3828" s="69" t="n">
        <x:f>IFERROR(I3828/H3828,"")</x:f>
        <x:v>0.6666666666666666</x:v>
      </x:c>
      <x:c r="L3828" s="66" t="str">
        <x:f>IF(K3828="","","1 : "&amp;TEXT(K3828,"0.0"))</x:f>
        <x:v>1 : 0.7</x:v>
      </x:c>
      <x:c r="M3828" s="66" t="str">
        <x:f>IF(J3828="","Baru/Tanpa Data",IF(J3828&lt;='Catatan &amp; Sumber'!$B$14,"Sangat Ketat",IF(J3828&lt;='Catatan &amp; Sumber'!$B$15,"Ketat",IF(J3828&lt;='Catatan &amp; Sumber'!$B$16,"Sedang","Relatif Longgar"))))</x:f>
        <x:v>Relatif Longgar</x:v>
      </x:c>
      <x:c r="N3828" s="66" t="str">
        <x:v>Tidak Ada</x:v>
      </x:c>
      <x:c r="O3828" s="66" t="str">
        <x:v>Kalimantan Timur</x:v>
      </x:c>
      <x:c r="P3828" s="66" t="str">
        <x:v>Kota Samarinda</x:v>
      </x:c>
      <x:c r="Q3828" s="66" t="str">
        <x:v>https://snpmb.id/snbp/daya-tampung-snbp</x:v>
      </x:c>
      <x:c r="R3828" s="66" t="str">
        <x:v>https://sidatagrun-public-1076756628210.asia-southeast2.run.app/ptn_sn.php?ptn=561</x:v>
      </x:c>
    </x:row>
    <x:row r="3829">
      <x:c r="A3829" s="87" t="n">
        <x:v>4857</x:v>
      </x:c>
      <x:c r="B3829" s="66" t="n">
        <x:v>561</x:v>
      </x:c>
      <x:c r="C3829" s="66" t="str">
        <x:v>POLITEKNIK PERTANIAN NEGERI SAMARINDA</x:v>
      </x:c>
      <x:c r="D3829" s="66" t="str">
        <x:v>PTN Vokasi</x:v>
      </x:c>
      <x:c r="E3829" s="66" t="str">
        <x:v>25613005</x:v>
      </x:c>
      <x:c r="F3829" s="66" t="str">
        <x:v>TEKNOLOGI HASIL PERKEBUNAN</x:v>
      </x:c>
      <x:c r="G3829" s="66" t="str">
        <x:v>Diploma Tiga</x:v>
      </x:c>
      <x:c r="H3829" s="87" t="n">
        <x:v>18</x:v>
      </x:c>
      <x:c r="I3829" s="87" t="n">
        <x:v>3</x:v>
      </x:c>
      <x:c r="J3829" s="68" t="n">
        <x:f>IFERROR(H3829/I3829,"")</x:f>
        <x:v>6</x:v>
      </x:c>
      <x:c r="K3829" s="69" t="n">
        <x:f>IFERROR(I3829/H3829,"")</x:f>
        <x:v>0.16666666666666666</x:v>
      </x:c>
      <x:c r="L3829" s="66" t="str">
        <x:f>IF(K3829="","","1 : "&amp;TEXT(K3829,"0.0"))</x:f>
        <x:v>1 : 0.2</x:v>
      </x:c>
      <x:c r="M3829" s="66" t="str">
        <x:f>IF(J3829="","Baru/Tanpa Data",IF(J3829&lt;='Catatan &amp; Sumber'!$B$14,"Sangat Ketat",IF(J3829&lt;='Catatan &amp; Sumber'!$B$15,"Ketat",IF(J3829&lt;='Catatan &amp; Sumber'!$B$16,"Sedang","Relatif Longgar"))))</x:f>
        <x:v>Relatif Longgar</x:v>
      </x:c>
      <x:c r="N3829" s="66" t="str">
        <x:v>Tidak Ada</x:v>
      </x:c>
      <x:c r="O3829" s="66" t="str">
        <x:v>Kalimantan Timur</x:v>
      </x:c>
      <x:c r="P3829" s="66" t="str">
        <x:v>Kota Samarinda</x:v>
      </x:c>
      <x:c r="Q3829" s="66" t="str">
        <x:v>https://snpmb.id/snbp/daya-tampung-snbp</x:v>
      </x:c>
      <x:c r="R3829" s="66" t="str">
        <x:v>https://sidatagrun-public-1076756628210.asia-southeast2.run.app/ptn_sn.php?ptn=561</x:v>
      </x:c>
    </x:row>
    <x:row r="3830">
      <x:c r="A3830" s="87" t="n">
        <x:v>4905</x:v>
      </x:c>
      <x:c r="B3830" s="66" t="n">
        <x:v>561</x:v>
      </x:c>
      <x:c r="C3830" s="66" t="str">
        <x:v>POLITEKNIK PERTANIAN NEGERI SAMARINDA</x:v>
      </x:c>
      <x:c r="D3830" s="66" t="str">
        <x:v>PTN Vokasi</x:v>
      </x:c>
      <x:c r="E3830" s="66" t="str">
        <x:v>25613006</x:v>
      </x:c>
      <x:c r="F3830" s="66" t="str">
        <x:v>PENGOLAHAN HASIL HUTAN</x:v>
      </x:c>
      <x:c r="G3830" s="66" t="str">
        <x:v>Diploma Tiga</x:v>
      </x:c>
      <x:c r="H3830" s="87" t="n">
        <x:v>18</x:v>
      </x:c>
      <x:c r="I3830" s="87" t="n">
        <x:v>1</x:v>
      </x:c>
      <x:c r="J3830" s="68" t="n">
        <x:f>IFERROR(H3830/I3830,"")</x:f>
        <x:v>18</x:v>
      </x:c>
      <x:c r="K3830" s="69" t="n">
        <x:f>IFERROR(I3830/H3830,"")</x:f>
        <x:v>0.05555555555555555</x:v>
      </x:c>
      <x:c r="L3830" s="66" t="str">
        <x:f>IF(K3830="","","1 : "&amp;TEXT(K3830,"0.0"))</x:f>
        <x:v>1 : 0.1</x:v>
      </x:c>
      <x:c r="M3830" s="66" t="str">
        <x:f>IF(J3830="","Baru/Tanpa Data",IF(J3830&lt;='Catatan &amp; Sumber'!$B$14,"Sangat Ketat",IF(J3830&lt;='Catatan &amp; Sumber'!$B$15,"Ketat",IF(J3830&lt;='Catatan &amp; Sumber'!$B$16,"Sedang","Relatif Longgar"))))</x:f>
        <x:v>Relatif Longgar</x:v>
      </x:c>
      <x:c r="N3830" s="66" t="str">
        <x:v>Tidak Ada</x:v>
      </x:c>
      <x:c r="O3830" s="66" t="str">
        <x:v>Kalimantan Timur</x:v>
      </x:c>
      <x:c r="P3830" s="66" t="str">
        <x:v>Kota Samarinda</x:v>
      </x:c>
      <x:c r="Q3830" s="66" t="str">
        <x:v>https://snpmb.id/snbp/daya-tampung-snbp</x:v>
      </x:c>
      <x:c r="R3830" s="66" t="str">
        <x:v>https://sidatagrun-public-1076756628210.asia-southeast2.run.app/ptn_sn.php?ptn=561</x:v>
      </x:c>
    </x:row>
    <x:row r="3831">
      <x:c r="A3831" s="87" t="n">
        <x:v>4366</x:v>
      </x:c>
      <x:c r="B3831" s="66" t="n">
        <x:v>561</x:v>
      </x:c>
      <x:c r="C3831" s="66" t="str">
        <x:v>POLITEKNIK PERTANIAN NEGERI SAMARINDA</x:v>
      </x:c>
      <x:c r="D3831" s="66" t="str">
        <x:v>PTN Vokasi</x:v>
      </x:c>
      <x:c r="E3831" s="66" t="str">
        <x:v>25613007</x:v>
      </x:c>
      <x:c r="F3831" s="66" t="str">
        <x:v>TEKNOLOGI GEOMATIKA</x:v>
      </x:c>
      <x:c r="G3831" s="66" t="str">
        <x:v>Diploma Tiga</x:v>
      </x:c>
      <x:c r="H3831" s="87" t="n">
        <x:v>15</x:v>
      </x:c>
      <x:c r="I3831" s="87" t="n">
        <x:v>14</x:v>
      </x:c>
      <x:c r="J3831" s="68" t="n">
        <x:f>IFERROR(H3831/I3831,"")</x:f>
        <x:v>1.0714285714285714</x:v>
      </x:c>
      <x:c r="K3831" s="69" t="n">
        <x:f>IFERROR(I3831/H3831,"")</x:f>
        <x:v>0.9333333333333333</x:v>
      </x:c>
      <x:c r="L3831" s="66" t="str">
        <x:f>IF(K3831="","","1 : "&amp;TEXT(K3831,"0.0"))</x:f>
        <x:v>1 : 0.9</x:v>
      </x:c>
      <x:c r="M3831" s="66" t="str">
        <x:f>IF(J3831="","Baru/Tanpa Data",IF(J3831&lt;='Catatan &amp; Sumber'!$B$14,"Sangat Ketat",IF(J3831&lt;='Catatan &amp; Sumber'!$B$15,"Ketat",IF(J3831&lt;='Catatan &amp; Sumber'!$B$16,"Sedang","Relatif Longgar"))))</x:f>
        <x:v>Relatif Longgar</x:v>
      </x:c>
      <x:c r="N3831" s="66" t="str">
        <x:v>Tidak Ada</x:v>
      </x:c>
      <x:c r="O3831" s="66" t="str">
        <x:v>Kalimantan Timur</x:v>
      </x:c>
      <x:c r="P3831" s="66" t="str">
        <x:v>Kota Samarinda</x:v>
      </x:c>
      <x:c r="Q3831" s="66" t="str">
        <x:v>https://snpmb.id/snbp/daya-tampung-snbp</x:v>
      </x:c>
      <x:c r="R3831" s="66" t="str">
        <x:v>https://sidatagrun-public-1076756628210.asia-southeast2.run.app/ptn_sn.php?ptn=561</x:v>
      </x:c>
    </x:row>
    <x:row r="3832">
      <x:c r="A3832" s="87" t="n">
        <x:v>4616</x:v>
      </x:c>
      <x:c r="B3832" s="66" t="n">
        <x:v>561</x:v>
      </x:c>
      <x:c r="C3832" s="66" t="str">
        <x:v>POLITEKNIK PERTANIAN NEGERI SAMARINDA</x:v>
      </x:c>
      <x:c r="D3832" s="66" t="str">
        <x:v>PTN Vokasi</x:v>
      </x:c>
      <x:c r="E3832" s="66" t="str">
        <x:v>25613008</x:v>
      </x:c>
      <x:c r="F3832" s="66" t="str">
        <x:v>PENGELOLAAN LINGKUNGAN</x:v>
      </x:c>
      <x:c r="G3832" s="66" t="str">
        <x:v>Diploma Tiga</x:v>
      </x:c>
      <x:c r="H3832" s="87" t="n">
        <x:v>12</x:v>
      </x:c>
      <x:c r="I3832" s="87" t="n">
        <x:v>7</x:v>
      </x:c>
      <x:c r="J3832" s="68" t="n">
        <x:f>IFERROR(H3832/I3832,"")</x:f>
        <x:v>1.7142857142857142</x:v>
      </x:c>
      <x:c r="K3832" s="69" t="n">
        <x:f>IFERROR(I3832/H3832,"")</x:f>
        <x:v>0.5833333333333334</x:v>
      </x:c>
      <x:c r="L3832" s="66" t="str">
        <x:f>IF(K3832="","","1 : "&amp;TEXT(K3832,"0.0"))</x:f>
        <x:v>1 : 0.6</x:v>
      </x:c>
      <x:c r="M3832" s="66" t="str">
        <x:f>IF(J3832="","Baru/Tanpa Data",IF(J3832&lt;='Catatan &amp; Sumber'!$B$14,"Sangat Ketat",IF(J3832&lt;='Catatan &amp; Sumber'!$B$15,"Ketat",IF(J3832&lt;='Catatan &amp; Sumber'!$B$16,"Sedang","Relatif Longgar"))))</x:f>
        <x:v>Relatif Longgar</x:v>
      </x:c>
      <x:c r="N3832" s="66" t="str">
        <x:v>Tidak Ada</x:v>
      </x:c>
      <x:c r="O3832" s="66" t="str">
        <x:v>Kalimantan Timur</x:v>
      </x:c>
      <x:c r="P3832" s="66" t="str">
        <x:v>Kota Samarinda</x:v>
      </x:c>
      <x:c r="Q3832" s="66" t="str">
        <x:v>https://snpmb.id/snbp/daya-tampung-snbp</x:v>
      </x:c>
      <x:c r="R3832" s="66" t="str">
        <x:v>https://sidatagrun-public-1076756628210.asia-southeast2.run.app/ptn_sn.php?ptn=561</x:v>
      </x:c>
    </x:row>
    <x:row r="3833">
      <x:c r="A3833" s="87" t="n">
        <x:v>4696</x:v>
      </x:c>
      <x:c r="B3833" s="66" t="n">
        <x:v>561</x:v>
      </x:c>
      <x:c r="C3833" s="66" t="str">
        <x:v>POLITEKNIK PERTANIAN NEGERI SAMARINDA</x:v>
      </x:c>
      <x:c r="D3833" s="66" t="str">
        <x:v>PTN Vokasi</x:v>
      </x:c>
      <x:c r="E3833" s="66" t="str">
        <x:v>25613009</x:v>
      </x:c>
      <x:c r="F3833" s="66" t="str">
        <x:v>PENGELOLAAN HUTAN</x:v>
      </x:c>
      <x:c r="G3833" s="66" t="str">
        <x:v>Diploma Tiga</x:v>
      </x:c>
      <x:c r="H3833" s="87" t="n">
        <x:v>18</x:v>
      </x:c>
      <x:c r="I3833" s="87" t="n">
        <x:v>8</x:v>
      </x:c>
      <x:c r="J3833" s="68" t="n">
        <x:f>IFERROR(H3833/I3833,"")</x:f>
        <x:v>2.25</x:v>
      </x:c>
      <x:c r="K3833" s="69" t="n">
        <x:f>IFERROR(I3833/H3833,"")</x:f>
        <x:v>0.4444444444444444</x:v>
      </x:c>
      <x:c r="L3833" s="66" t="str">
        <x:f>IF(K3833="","","1 : "&amp;TEXT(K3833,"0.0"))</x:f>
        <x:v>1 : 0.4</x:v>
      </x:c>
      <x:c r="M3833" s="66" t="str">
        <x:f>IF(J3833="","Baru/Tanpa Data",IF(J3833&lt;='Catatan &amp; Sumber'!$B$14,"Sangat Ketat",IF(J3833&lt;='Catatan &amp; Sumber'!$B$15,"Ketat",IF(J3833&lt;='Catatan &amp; Sumber'!$B$16,"Sedang","Relatif Longgar"))))</x:f>
        <x:v>Relatif Longgar</x:v>
      </x:c>
      <x:c r="N3833" s="66" t="str">
        <x:v>Tidak Ada</x:v>
      </x:c>
      <x:c r="O3833" s="66" t="str">
        <x:v>Kalimantan Timur</x:v>
      </x:c>
      <x:c r="P3833" s="66" t="str">
        <x:v>Kota Samarinda</x:v>
      </x:c>
      <x:c r="Q3833" s="66" t="str">
        <x:v>https://snpmb.id/snbp/daya-tampung-snbp</x:v>
      </x:c>
      <x:c r="R3833" s="66" t="str">
        <x:v>https://sidatagrun-public-1076756628210.asia-southeast2.run.app/ptn_sn.php?ptn=561</x:v>
      </x:c>
    </x:row>
    <x:row r="3834">
      <x:c r="A3834" s="87" t="n">
        <x:v>4711</x:v>
      </x:c>
      <x:c r="B3834" s="66" t="n">
        <x:v>561</x:v>
      </x:c>
      <x:c r="C3834" s="66" t="str">
        <x:v>POLITEKNIK PERTANIAN NEGERI SAMARINDA</x:v>
      </x:c>
      <x:c r="D3834" s="66" t="str">
        <x:v>PTN Vokasi</x:v>
      </x:c>
      <x:c r="E3834" s="66" t="str">
        <x:v>25613011</x:v>
      </x:c>
      <x:c r="F3834" s="66" t="str">
        <x:v>SISTEM INFORMASI AKUNTANSI</x:v>
      </x:c>
      <x:c r="G3834" s="66" t="str">
        <x:v>Diploma Tiga</x:v>
      </x:c>
      <x:c r="H3834" s="87" t="n">
        <x:v>12</x:v>
      </x:c>
      <x:c r="I3834" s="87" t="n">
        <x:v>5</x:v>
      </x:c>
      <x:c r="J3834" s="68" t="n">
        <x:f>IFERROR(H3834/I3834,"")</x:f>
        <x:v>2.4</x:v>
      </x:c>
      <x:c r="K3834" s="69" t="n">
        <x:f>IFERROR(I3834/H3834,"")</x:f>
        <x:v>0.4166666666666667</x:v>
      </x:c>
      <x:c r="L3834" s="66" t="str">
        <x:f>IF(K3834="","","1 : "&amp;TEXT(K3834,"0.0"))</x:f>
        <x:v>1 : 0.4</x:v>
      </x:c>
      <x:c r="M3834" s="66" t="str">
        <x:f>IF(J3834="","Baru/Tanpa Data",IF(J3834&lt;='Catatan &amp; Sumber'!$B$14,"Sangat Ketat",IF(J3834&lt;='Catatan &amp; Sumber'!$B$15,"Ketat",IF(J3834&lt;='Catatan &amp; Sumber'!$B$16,"Sedang","Relatif Longgar"))))</x:f>
        <x:v>Relatif Longgar</x:v>
      </x:c>
      <x:c r="N3834" s="66" t="str">
        <x:v>Tidak Ada</x:v>
      </x:c>
      <x:c r="O3834" s="66" t="str">
        <x:v>Kalimantan Timur</x:v>
      </x:c>
      <x:c r="P3834" s="66" t="str">
        <x:v>Kota Samarinda</x:v>
      </x:c>
      <x:c r="Q3834" s="66" t="str">
        <x:v>https://snpmb.id/snbp/daya-tampung-snbp</x:v>
      </x:c>
      <x:c r="R3834" s="66" t="str">
        <x:v>https://sidatagrun-public-1076756628210.asia-southeast2.run.app/ptn_sn.php?ptn=561</x:v>
      </x:c>
    </x:row>
    <x:row r="3835">
      <x:c r="A3835" s="87" t="n">
        <x:v>2277</x:v>
      </x:c>
      <x:c r="B3835" s="66" t="n">
        <x:v>562</x:v>
      </x:c>
      <x:c r="C3835" s="66" t="str">
        <x:v>POLITEKNIK NEGERI SAMARINDA</x:v>
      </x:c>
      <x:c r="D3835" s="66" t="str">
        <x:v>PTN Vokasi</x:v>
      </x:c>
      <x:c r="E3835" s="66" t="str">
        <x:v>25622001</x:v>
      </x:c>
      <x:c r="F3835" s="66" t="str">
        <x:v>TEKNIK MESIN PRODUKSI DAN PERAWATAN</x:v>
      </x:c>
      <x:c r="G3835" s="66" t="str">
        <x:v>Sarjana Terapan</x:v>
      </x:c>
      <x:c r="H3835" s="87" t="n">
        <x:v>36</x:v>
      </x:c>
      <x:c r="I3835" s="87" t="n">
        <x:v>198</x:v>
      </x:c>
      <x:c r="J3835" s="68" t="n">
        <x:f>IFERROR(H3835/I3835,"")</x:f>
        <x:v>0.18181818181818182</x:v>
      </x:c>
      <x:c r="K3835" s="69" t="n">
        <x:f>IFERROR(I3835/H3835,"")</x:f>
        <x:v>5.5</x:v>
      </x:c>
      <x:c r="L3835" s="66" t="str">
        <x:f>IF(K3835="","","1 : "&amp;TEXT(K3835,"0.0"))</x:f>
        <x:v>1 : 5.5</x:v>
      </x:c>
      <x:c r="M3835" s="66" t="str">
        <x:f>IF(J3835="","Baru/Tanpa Data",IF(J3835&lt;='Catatan &amp; Sumber'!$B$14,"Sangat Ketat",IF(J3835&lt;='Catatan &amp; Sumber'!$B$15,"Ketat",IF(J3835&lt;='Catatan &amp; Sumber'!$B$16,"Sedang","Relatif Longgar"))))</x:f>
        <x:v>Relatif Longgar</x:v>
      </x:c>
      <x:c r="N3835" s="66" t="str">
        <x:v>Tidak Ada</x:v>
      </x:c>
      <x:c r="O3835" s="66" t="str">
        <x:v>Kalimantan Timur</x:v>
      </x:c>
      <x:c r="P3835" s="66" t="str">
        <x:v>Kota Samarinda</x:v>
      </x:c>
      <x:c r="Q3835" s="66" t="str">
        <x:v>https://snpmb.id/snbp/daya-tampung-snbp</x:v>
      </x:c>
      <x:c r="R3835" s="66" t="str">
        <x:v>https://sidatagrun-public-1076756628210.asia-southeast2.run.app/ptn_sn.php?ptn=562</x:v>
      </x:c>
    </x:row>
    <x:row r="3836">
      <x:c r="A3836" s="87" t="n">
        <x:v>2547</x:v>
      </x:c>
      <x:c r="B3836" s="66" t="n">
        <x:v>562</x:v>
      </x:c>
      <x:c r="C3836" s="66" t="str">
        <x:v>POLITEKNIK NEGERI SAMARINDA</x:v>
      </x:c>
      <x:c r="D3836" s="66" t="str">
        <x:v>PTN Vokasi</x:v>
      </x:c>
      <x:c r="E3836" s="66" t="str">
        <x:v>25622002</x:v>
      </x:c>
      <x:c r="F3836" s="66" t="str">
        <x:v>TEKNIK LISTRIK</x:v>
      </x:c>
      <x:c r="G3836" s="66" t="str">
        <x:v>Sarjana Terapan</x:v>
      </x:c>
      <x:c r="H3836" s="87" t="n">
        <x:v>23</x:v>
      </x:c>
      <x:c r="I3836" s="87" t="n">
        <x:v>105</x:v>
      </x:c>
      <x:c r="J3836" s="68" t="n">
        <x:f>IFERROR(H3836/I3836,"")</x:f>
        <x:v>0.21904761904761905</x:v>
      </x:c>
      <x:c r="K3836" s="69" t="n">
        <x:f>IFERROR(I3836/H3836,"")</x:f>
        <x:v>4.565217391304348</x:v>
      </x:c>
      <x:c r="L3836" s="66" t="str">
        <x:f>IF(K3836="","","1 : "&amp;TEXT(K3836,"0.0"))</x:f>
        <x:v>1 : 4.6</x:v>
      </x:c>
      <x:c r="M3836" s="66" t="str">
        <x:f>IF(J3836="","Baru/Tanpa Data",IF(J3836&lt;='Catatan &amp; Sumber'!$B$14,"Sangat Ketat",IF(J3836&lt;='Catatan &amp; Sumber'!$B$15,"Ketat",IF(J3836&lt;='Catatan &amp; Sumber'!$B$16,"Sedang","Relatif Longgar"))))</x:f>
        <x:v>Relatif Longgar</x:v>
      </x:c>
      <x:c r="N3836" s="66" t="str">
        <x:v>Tidak Ada</x:v>
      </x:c>
      <x:c r="O3836" s="66" t="str">
        <x:v>Kalimantan Timur</x:v>
      </x:c>
      <x:c r="P3836" s="66" t="str">
        <x:v>Kota Samarinda</x:v>
      </x:c>
      <x:c r="Q3836" s="66" t="str">
        <x:v>https://snpmb.id/snbp/daya-tampung-snbp</x:v>
      </x:c>
      <x:c r="R3836" s="66" t="str">
        <x:v>https://sidatagrun-public-1076756628210.asia-southeast2.run.app/ptn_sn.php?ptn=562</x:v>
      </x:c>
    </x:row>
    <x:row r="3837">
      <x:c r="A3837" s="87" t="n">
        <x:v>2939</x:v>
      </x:c>
      <x:c r="B3837" s="66" t="n">
        <x:v>562</x:v>
      </x:c>
      <x:c r="C3837" s="66" t="str">
        <x:v>POLITEKNIK NEGERI SAMARINDA</x:v>
      </x:c>
      <x:c r="D3837" s="66" t="str">
        <x:v>PTN Vokasi</x:v>
      </x:c>
      <x:c r="E3837" s="66" t="str">
        <x:v>25622003</x:v>
      </x:c>
      <x:c r="F3837" s="66" t="str">
        <x:v>TEKNOLOGI KIMIA INDUSTRI</x:v>
      </x:c>
      <x:c r="G3837" s="66" t="str">
        <x:v>Sarjana Terapan</x:v>
      </x:c>
      <x:c r="H3837" s="87" t="n">
        <x:v>27</x:v>
      </x:c>
      <x:c r="I3837" s="87" t="n">
        <x:v>96</x:v>
      </x:c>
      <x:c r="J3837" s="68" t="n">
        <x:f>IFERROR(H3837/I3837,"")</x:f>
        <x:v>0.28125</x:v>
      </x:c>
      <x:c r="K3837" s="69" t="n">
        <x:f>IFERROR(I3837/H3837,"")</x:f>
        <x:v>3.5555555555555554</x:v>
      </x:c>
      <x:c r="L3837" s="66" t="str">
        <x:f>IF(K3837="","","1 : "&amp;TEXT(K3837,"0.0"))</x:f>
        <x:v>1 : 3.6</x:v>
      </x:c>
      <x:c r="M3837" s="66" t="str">
        <x:f>IF(J3837="","Baru/Tanpa Data",IF(J3837&lt;='Catatan &amp; Sumber'!$B$14,"Sangat Ketat",IF(J3837&lt;='Catatan &amp; Sumber'!$B$15,"Ketat",IF(J3837&lt;='Catatan &amp; Sumber'!$B$16,"Sedang","Relatif Longgar"))))</x:f>
        <x:v>Relatif Longgar</x:v>
      </x:c>
      <x:c r="N3837" s="66" t="str">
        <x:v>Tidak Ada</x:v>
      </x:c>
      <x:c r="O3837" s="66" t="str">
        <x:v>Kalimantan Timur</x:v>
      </x:c>
      <x:c r="P3837" s="66" t="str">
        <x:v>Kota Samarinda</x:v>
      </x:c>
      <x:c r="Q3837" s="66" t="str">
        <x:v>https://snpmb.id/snbp/daya-tampung-snbp</x:v>
      </x:c>
      <x:c r="R3837" s="66" t="str">
        <x:v>https://sidatagrun-public-1076756628210.asia-southeast2.run.app/ptn_sn.php?ptn=562</x:v>
      </x:c>
    </x:row>
    <x:row r="3838">
      <x:c r="A3838" s="87" t="n">
        <x:v>3021</x:v>
      </x:c>
      <x:c r="B3838" s="66" t="n">
        <x:v>562</x:v>
      </x:c>
      <x:c r="C3838" s="66" t="str">
        <x:v>POLITEKNIK NEGERI SAMARINDA</x:v>
      </x:c>
      <x:c r="D3838" s="66" t="str">
        <x:v>PTN Vokasi</x:v>
      </x:c>
      <x:c r="E3838" s="66" t="str">
        <x:v>25622004</x:v>
      </x:c>
      <x:c r="F3838" s="66" t="str">
        <x:v>REKAYASA JALAN &amp; JEMBATAN</x:v>
      </x:c>
      <x:c r="G3838" s="66" t="str">
        <x:v>Sarjana Terapan</x:v>
      </x:c>
      <x:c r="H3838" s="87" t="n">
        <x:v>23</x:v>
      </x:c>
      <x:c r="I3838" s="87" t="n">
        <x:v>77</x:v>
      </x:c>
      <x:c r="J3838" s="68" t="n">
        <x:f>IFERROR(H3838/I3838,"")</x:f>
        <x:v>0.2987012987012987</x:v>
      </x:c>
      <x:c r="K3838" s="69" t="n">
        <x:f>IFERROR(I3838/H3838,"")</x:f>
        <x:v>3.347826086956522</x:v>
      </x:c>
      <x:c r="L3838" s="66" t="str">
        <x:f>IF(K3838="","","1 : "&amp;TEXT(K3838,"0.0"))</x:f>
        <x:v>1 : 3.3</x:v>
      </x:c>
      <x:c r="M3838" s="66" t="str">
        <x:f>IF(J3838="","Baru/Tanpa Data",IF(J3838&lt;='Catatan &amp; Sumber'!$B$14,"Sangat Ketat",IF(J3838&lt;='Catatan &amp; Sumber'!$B$15,"Ketat",IF(J3838&lt;='Catatan &amp; Sumber'!$B$16,"Sedang","Relatif Longgar"))))</x:f>
        <x:v>Relatif Longgar</x:v>
      </x:c>
      <x:c r="N3838" s="66" t="str">
        <x:v>Tidak Ada</x:v>
      </x:c>
      <x:c r="O3838" s="66" t="str">
        <x:v>Kalimantan Timur</x:v>
      </x:c>
      <x:c r="P3838" s="66" t="str">
        <x:v>Kota Samarinda</x:v>
      </x:c>
      <x:c r="Q3838" s="66" t="str">
        <x:v>https://snpmb.id/snbp/daya-tampung-snbp</x:v>
      </x:c>
      <x:c r="R3838" s="66" t="str">
        <x:v>https://sidatagrun-public-1076756628210.asia-southeast2.run.app/ptn_sn.php?ptn=562</x:v>
      </x:c>
    </x:row>
    <x:row r="3839">
      <x:c r="A3839" s="87" t="n">
        <x:v>2129</x:v>
      </x:c>
      <x:c r="B3839" s="66" t="n">
        <x:v>562</x:v>
      </x:c>
      <x:c r="C3839" s="66" t="str">
        <x:v>POLITEKNIK NEGERI SAMARINDA</x:v>
      </x:c>
      <x:c r="D3839" s="66" t="str">
        <x:v>PTN Vokasi</x:v>
      </x:c>
      <x:c r="E3839" s="66" t="str">
        <x:v>25622005</x:v>
      </x:c>
      <x:c r="F3839" s="66" t="str">
        <x:v>TEKNIK INFORMATIKA MULTIMEDIA</x:v>
      </x:c>
      <x:c r="G3839" s="66" t="str">
        <x:v>Sarjana Terapan</x:v>
      </x:c>
      <x:c r="H3839" s="87" t="n">
        <x:v>27</x:v>
      </x:c>
      <x:c r="I3839" s="87" t="n">
        <x:v>164</x:v>
      </x:c>
      <x:c r="J3839" s="68" t="n">
        <x:f>IFERROR(H3839/I3839,"")</x:f>
        <x:v>0.16463414634146342</x:v>
      </x:c>
      <x:c r="K3839" s="69" t="n">
        <x:f>IFERROR(I3839/H3839,"")</x:f>
        <x:v>6.074074074074074</x:v>
      </x:c>
      <x:c r="L3839" s="66" t="str">
        <x:f>IF(K3839="","","1 : "&amp;TEXT(K3839,"0.0"))</x:f>
        <x:v>1 : 6.1</x:v>
      </x:c>
      <x:c r="M3839" s="66" t="str">
        <x:f>IF(J3839="","Baru/Tanpa Data",IF(J3839&lt;='Catatan &amp; Sumber'!$B$14,"Sangat Ketat",IF(J3839&lt;='Catatan &amp; Sumber'!$B$15,"Ketat",IF(J3839&lt;='Catatan &amp; Sumber'!$B$16,"Sedang","Relatif Longgar"))))</x:f>
        <x:v>Relatif Longgar</x:v>
      </x:c>
      <x:c r="N3839" s="66" t="str">
        <x:v>Tidak Ada</x:v>
      </x:c>
      <x:c r="O3839" s="66" t="str">
        <x:v>Kalimantan Timur</x:v>
      </x:c>
      <x:c r="P3839" s="66" t="str">
        <x:v>Kota Samarinda</x:v>
      </x:c>
      <x:c r="Q3839" s="66" t="str">
        <x:v>https://snpmb.id/snbp/daya-tampung-snbp</x:v>
      </x:c>
      <x:c r="R3839" s="66" t="str">
        <x:v>https://sidatagrun-public-1076756628210.asia-southeast2.run.app/ptn_sn.php?ptn=562</x:v>
      </x:c>
    </x:row>
    <x:row r="3840">
      <x:c r="A3840" s="87" t="n">
        <x:v>3275</x:v>
      </x:c>
      <x:c r="B3840" s="66" t="n">
        <x:v>562</x:v>
      </x:c>
      <x:c r="C3840" s="66" t="str">
        <x:v>POLITEKNIK NEGERI SAMARINDA</x:v>
      </x:c>
      <x:c r="D3840" s="66" t="str">
        <x:v>PTN Vokasi</x:v>
      </x:c>
      <x:c r="E3840" s="66" t="str">
        <x:v>25622006</x:v>
      </x:c>
      <x:c r="F3840" s="66" t="str">
        <x:v>TEKNOLOGI REKAYASA KOMPUTER</x:v>
      </x:c>
      <x:c r="G3840" s="66" t="str">
        <x:v>Sarjana Terapan</x:v>
      </x:c>
      <x:c r="H3840" s="87" t="n">
        <x:v>27</x:v>
      </x:c>
      <x:c r="I3840" s="87" t="n">
        <x:v>74</x:v>
      </x:c>
      <x:c r="J3840" s="68" t="n">
        <x:f>IFERROR(H3840/I3840,"")</x:f>
        <x:v>0.36486486486486486</x:v>
      </x:c>
      <x:c r="K3840" s="69" t="n">
        <x:f>IFERROR(I3840/H3840,"")</x:f>
        <x:v>2.740740740740741</x:v>
      </x:c>
      <x:c r="L3840" s="66" t="str">
        <x:f>IF(K3840="","","1 : "&amp;TEXT(K3840,"0.0"))</x:f>
        <x:v>1 : 2.7</x:v>
      </x:c>
      <x:c r="M3840" s="66" t="str">
        <x:f>IF(J3840="","Baru/Tanpa Data",IF(J3840&lt;='Catatan &amp; Sumber'!$B$14,"Sangat Ketat",IF(J3840&lt;='Catatan &amp; Sumber'!$B$15,"Ketat",IF(J3840&lt;='Catatan &amp; Sumber'!$B$16,"Sedang","Relatif Longgar"))))</x:f>
        <x:v>Relatif Longgar</x:v>
      </x:c>
      <x:c r="N3840" s="66" t="str">
        <x:v>Tidak Ada</x:v>
      </x:c>
      <x:c r="O3840" s="66" t="str">
        <x:v>Kalimantan Timur</x:v>
      </x:c>
      <x:c r="P3840" s="66" t="str">
        <x:v>Kota Samarinda</x:v>
      </x:c>
      <x:c r="Q3840" s="66" t="str">
        <x:v>https://snpmb.id/snbp/daya-tampung-snbp</x:v>
      </x:c>
      <x:c r="R3840" s="66" t="str">
        <x:v>https://sidatagrun-public-1076756628210.asia-southeast2.run.app/ptn_sn.php?ptn=562</x:v>
      </x:c>
    </x:row>
    <x:row r="3841">
      <x:c r="A3841" s="87" t="n">
        <x:v>3142</x:v>
      </x:c>
      <x:c r="B3841" s="66" t="n">
        <x:v>562</x:v>
      </x:c>
      <x:c r="C3841" s="66" t="str">
        <x:v>POLITEKNIK NEGERI SAMARINDA</x:v>
      </x:c>
      <x:c r="D3841" s="66" t="str">
        <x:v>PTN Vokasi</x:v>
      </x:c>
      <x:c r="E3841" s="66" t="str">
        <x:v>25622007</x:v>
      </x:c>
      <x:c r="F3841" s="66" t="str">
        <x:v>USAHA PERJALANAN WISATA</x:v>
      </x:c>
      <x:c r="G3841" s="66" t="str">
        <x:v>Sarjana Terapan</x:v>
      </x:c>
      <x:c r="H3841" s="87" t="n">
        <x:v>15</x:v>
      </x:c>
      <x:c r="I3841" s="87" t="n">
        <x:v>46</x:v>
      </x:c>
      <x:c r="J3841" s="68" t="n">
        <x:f>IFERROR(H3841/I3841,"")</x:f>
        <x:v>0.32608695652173914</x:v>
      </x:c>
      <x:c r="K3841" s="69" t="n">
        <x:f>IFERROR(I3841/H3841,"")</x:f>
        <x:v>3.066666666666667</x:v>
      </x:c>
      <x:c r="L3841" s="66" t="str">
        <x:f>IF(K3841="","","1 : "&amp;TEXT(K3841,"0.0"))</x:f>
        <x:v>1 : 3.1</x:v>
      </x:c>
      <x:c r="M3841" s="66" t="str">
        <x:f>IF(J3841="","Baru/Tanpa Data",IF(J3841&lt;='Catatan &amp; Sumber'!$B$14,"Sangat Ketat",IF(J3841&lt;='Catatan &amp; Sumber'!$B$15,"Ketat",IF(J3841&lt;='Catatan &amp; Sumber'!$B$16,"Sedang","Relatif Longgar"))))</x:f>
        <x:v>Relatif Longgar</x:v>
      </x:c>
      <x:c r="N3841" s="66" t="str">
        <x:v>Tidak Ada</x:v>
      </x:c>
      <x:c r="O3841" s="66" t="str">
        <x:v>Kalimantan Timur</x:v>
      </x:c>
      <x:c r="P3841" s="66" t="str">
        <x:v>Kota Samarinda</x:v>
      </x:c>
      <x:c r="Q3841" s="66" t="str">
        <x:v>https://snpmb.id/snbp/daya-tampung-snbp</x:v>
      </x:c>
      <x:c r="R3841" s="66" t="str">
        <x:v>https://sidatagrun-public-1076756628210.asia-southeast2.run.app/ptn_sn.php?ptn=562</x:v>
      </x:c>
    </x:row>
    <x:row r="3842">
      <x:c r="A3842" s="87" t="n">
        <x:v>1928</x:v>
      </x:c>
      <x:c r="B3842" s="66" t="n">
        <x:v>562</x:v>
      </x:c>
      <x:c r="C3842" s="66" t="str">
        <x:v>POLITEKNIK NEGERI SAMARINDA</x:v>
      </x:c>
      <x:c r="D3842" s="66" t="str">
        <x:v>PTN Vokasi</x:v>
      </x:c>
      <x:c r="E3842" s="66" t="str">
        <x:v>25622008</x:v>
      </x:c>
      <x:c r="F3842" s="66" t="str">
        <x:v>AKUNTANSI MANAJERIAL</x:v>
      </x:c>
      <x:c r="G3842" s="66" t="str">
        <x:v>Sarjana Terapan</x:v>
      </x:c>
      <x:c r="H3842" s="87" t="n">
        <x:v>31</x:v>
      </x:c>
      <x:c r="I3842" s="87" t="n">
        <x:v>215</x:v>
      </x:c>
      <x:c r="J3842" s="68" t="n">
        <x:f>IFERROR(H3842/I3842,"")</x:f>
        <x:v>0.14418604651162792</x:v>
      </x:c>
      <x:c r="K3842" s="69" t="n">
        <x:f>IFERROR(I3842/H3842,"")</x:f>
        <x:v>6.935483870967742</x:v>
      </x:c>
      <x:c r="L3842" s="66" t="str">
        <x:f>IF(K3842="","","1 : "&amp;TEXT(K3842,"0.0"))</x:f>
        <x:v>1 : 6.9</x:v>
      </x:c>
      <x:c r="M3842" s="66" t="str">
        <x:f>IF(J3842="","Baru/Tanpa Data",IF(J3842&lt;='Catatan &amp; Sumber'!$B$14,"Sangat Ketat",IF(J3842&lt;='Catatan &amp; Sumber'!$B$15,"Ketat",IF(J3842&lt;='Catatan &amp; Sumber'!$B$16,"Sedang","Relatif Longgar"))))</x:f>
        <x:v>Relatif Longgar</x:v>
      </x:c>
      <x:c r="N3842" s="66" t="str">
        <x:v>Tidak Ada</x:v>
      </x:c>
      <x:c r="O3842" s="66" t="str">
        <x:v>Kalimantan Timur</x:v>
      </x:c>
      <x:c r="P3842" s="66" t="str">
        <x:v>Kota Samarinda</x:v>
      </x:c>
      <x:c r="Q3842" s="66" t="str">
        <x:v>https://snpmb.id/snbp/daya-tampung-snbp</x:v>
      </x:c>
      <x:c r="R3842" s="66" t="str">
        <x:v>https://sidatagrun-public-1076756628210.asia-southeast2.run.app/ptn_sn.php?ptn=562</x:v>
      </x:c>
    </x:row>
    <x:row r="3843">
      <x:c r="A3843" s="87" t="n">
        <x:v>2337</x:v>
      </x:c>
      <x:c r="B3843" s="66" t="n">
        <x:v>562</x:v>
      </x:c>
      <x:c r="C3843" s="66" t="str">
        <x:v>POLITEKNIK NEGERI SAMARINDA</x:v>
      </x:c>
      <x:c r="D3843" s="66" t="str">
        <x:v>PTN Vokasi</x:v>
      </x:c>
      <x:c r="E3843" s="66" t="str">
        <x:v>25622009</x:v>
      </x:c>
      <x:c r="F3843" s="66" t="str">
        <x:v>KEUANGAN DAN PERBANKAN</x:v>
      </x:c>
      <x:c r="G3843" s="66" t="str">
        <x:v>Sarjana Terapan</x:v>
      </x:c>
      <x:c r="H3843" s="87" t="n">
        <x:v>31</x:v>
      </x:c>
      <x:c r="I3843" s="87" t="n">
        <x:v>165</x:v>
      </x:c>
      <x:c r="J3843" s="68" t="n">
        <x:f>IFERROR(H3843/I3843,"")</x:f>
        <x:v>0.18787878787878787</x:v>
      </x:c>
      <x:c r="K3843" s="69" t="n">
        <x:f>IFERROR(I3843/H3843,"")</x:f>
        <x:v>5.32258064516129</x:v>
      </x:c>
      <x:c r="L3843" s="66" t="str">
        <x:f>IF(K3843="","","1 : "&amp;TEXT(K3843,"0.0"))</x:f>
        <x:v>1 : 5.3</x:v>
      </x:c>
      <x:c r="M3843" s="66" t="str">
        <x:f>IF(J3843="","Baru/Tanpa Data",IF(J3843&lt;='Catatan &amp; Sumber'!$B$14,"Sangat Ketat",IF(J3843&lt;='Catatan &amp; Sumber'!$B$15,"Ketat",IF(J3843&lt;='Catatan &amp; Sumber'!$B$16,"Sedang","Relatif Longgar"))))</x:f>
        <x:v>Relatif Longgar</x:v>
      </x:c>
      <x:c r="N3843" s="66" t="str">
        <x:v>Tidak Ada</x:v>
      </x:c>
      <x:c r="O3843" s="66" t="str">
        <x:v>Kalimantan Timur</x:v>
      </x:c>
      <x:c r="P3843" s="66" t="str">
        <x:v>Kota Samarinda</x:v>
      </x:c>
      <x:c r="Q3843" s="66" t="str">
        <x:v>https://snpmb.id/snbp/daya-tampung-snbp</x:v>
      </x:c>
      <x:c r="R3843" s="66" t="str">
        <x:v>https://sidatagrun-public-1076756628210.asia-southeast2.run.app/ptn_sn.php?ptn=562</x:v>
      </x:c>
    </x:row>
    <x:row r="3844">
      <x:c r="A3844" s="87" t="n">
        <x:v>2119</x:v>
      </x:c>
      <x:c r="B3844" s="66" t="n">
        <x:v>562</x:v>
      </x:c>
      <x:c r="C3844" s="66" t="str">
        <x:v>POLITEKNIK NEGERI SAMARINDA</x:v>
      </x:c>
      <x:c r="D3844" s="66" t="str">
        <x:v>PTN Vokasi</x:v>
      </x:c>
      <x:c r="E3844" s="66" t="str">
        <x:v>25622010</x:v>
      </x:c>
      <x:c r="F3844" s="66" t="str">
        <x:v>MANAJEMEN PEMASARAN</x:v>
      </x:c>
      <x:c r="G3844" s="66" t="str">
        <x:v>Sarjana Terapan</x:v>
      </x:c>
      <x:c r="H3844" s="87" t="n">
        <x:v>29</x:v>
      </x:c>
      <x:c r="I3844" s="87" t="n">
        <x:v>177</x:v>
      </x:c>
      <x:c r="J3844" s="68" t="n">
        <x:f>IFERROR(H3844/I3844,"")</x:f>
        <x:v>0.1638418079096045</x:v>
      </x:c>
      <x:c r="K3844" s="69" t="n">
        <x:f>IFERROR(I3844/H3844,"")</x:f>
        <x:v>6.103448275862069</x:v>
      </x:c>
      <x:c r="L3844" s="66" t="str">
        <x:f>IF(K3844="","","1 : "&amp;TEXT(K3844,"0.0"))</x:f>
        <x:v>1 : 6.1</x:v>
      </x:c>
      <x:c r="M3844" s="66" t="str">
        <x:f>IF(J3844="","Baru/Tanpa Data",IF(J3844&lt;='Catatan &amp; Sumber'!$B$14,"Sangat Ketat",IF(J3844&lt;='Catatan &amp; Sumber'!$B$15,"Ketat",IF(J3844&lt;='Catatan &amp; Sumber'!$B$16,"Sedang","Relatif Longgar"))))</x:f>
        <x:v>Relatif Longgar</x:v>
      </x:c>
      <x:c r="N3844" s="66" t="str">
        <x:v>Tidak Ada</x:v>
      </x:c>
      <x:c r="O3844" s="66" t="str">
        <x:v>Kalimantan Timur</x:v>
      </x:c>
      <x:c r="P3844" s="66" t="str">
        <x:v>Kota Samarinda</x:v>
      </x:c>
      <x:c r="Q3844" s="66" t="str">
        <x:v>https://snpmb.id/snbp/daya-tampung-snbp</x:v>
      </x:c>
      <x:c r="R3844" s="66" t="str">
        <x:v>https://sidatagrun-public-1076756628210.asia-southeast2.run.app/ptn_sn.php?ptn=562</x:v>
      </x:c>
    </x:row>
    <x:row r="3845">
      <x:c r="A3845" s="87" t="n">
        <x:v>3250</x:v>
      </x:c>
      <x:c r="B3845" s="66" t="n">
        <x:v>562</x:v>
      </x:c>
      <x:c r="C3845" s="66" t="str">
        <x:v>POLITEKNIK NEGERI SAMARINDA</x:v>
      </x:c>
      <x:c r="D3845" s="66" t="str">
        <x:v>PTN Vokasi</x:v>
      </x:c>
      <x:c r="E3845" s="66" t="str">
        <x:v>25622029</x:v>
      </x:c>
      <x:c r="F3845" s="66" t="str">
        <x:v>ARSITEKTUR BANGUNAN GEDUNG</x:v>
      </x:c>
      <x:c r="G3845" s="66" t="str">
        <x:v>Sarjana Terapan</x:v>
      </x:c>
      <x:c r="H3845" s="87" t="n">
        <x:v>25</x:v>
      </x:c>
      <x:c r="I3845" s="87" t="n">
        <x:v>70</x:v>
      </x:c>
      <x:c r="J3845" s="68" t="n">
        <x:f>IFERROR(H3845/I3845,"")</x:f>
        <x:v>0.35714285714285715</x:v>
      </x:c>
      <x:c r="K3845" s="69" t="n">
        <x:f>IFERROR(I3845/H3845,"")</x:f>
        <x:v>2.8</x:v>
      </x:c>
      <x:c r="L3845" s="66" t="str">
        <x:f>IF(K3845="","","1 : "&amp;TEXT(K3845,"0.0"))</x:f>
        <x:v>1 : 2.8</x:v>
      </x:c>
      <x:c r="M3845" s="66" t="str">
        <x:f>IF(J3845="","Baru/Tanpa Data",IF(J3845&lt;='Catatan &amp; Sumber'!$B$14,"Sangat Ketat",IF(J3845&lt;='Catatan &amp; Sumber'!$B$15,"Ketat",IF(J3845&lt;='Catatan &amp; Sumber'!$B$16,"Sedang","Relatif Longgar"))))</x:f>
        <x:v>Relatif Longgar</x:v>
      </x:c>
      <x:c r="N3845" s="66" t="str">
        <x:v>Tidak Ada</x:v>
      </x:c>
      <x:c r="O3845" s="66" t="str">
        <x:v>Kalimantan Timur</x:v>
      </x:c>
      <x:c r="P3845" s="66" t="str">
        <x:v>Kota Samarinda</x:v>
      </x:c>
      <x:c r="Q3845" s="66" t="str">
        <x:v>https://snpmb.id/snbp/daya-tampung-snbp</x:v>
      </x:c>
      <x:c r="R3845" s="66" t="str">
        <x:v>https://sidatagrun-public-1076756628210.asia-southeast2.run.app/ptn_sn.php?ptn=562</x:v>
      </x:c>
    </x:row>
    <x:row r="3846">
      <x:c r="A3846" s="87" t="n">
        <x:v>1997</x:v>
      </x:c>
      <x:c r="B3846" s="66" t="n">
        <x:v>562</x:v>
      </x:c>
      <x:c r="C3846" s="66" t="str">
        <x:v>POLITEKNIK NEGERI SAMARINDA</x:v>
      </x:c>
      <x:c r="D3846" s="66" t="str">
        <x:v>PTN Vokasi</x:v>
      </x:c>
      <x:c r="E3846" s="66" t="str">
        <x:v>25622030</x:v>
      </x:c>
      <x:c r="F3846" s="66" t="str">
        <x:v>BISNIS DIGITAL</x:v>
      </x:c>
      <x:c r="G3846" s="66" t="str">
        <x:v>Sarjana Terapan</x:v>
      </x:c>
      <x:c r="H3846" s="87" t="n">
        <x:v>29</x:v>
      </x:c>
      <x:c r="I3846" s="87" t="n">
        <x:v>191</x:v>
      </x:c>
      <x:c r="J3846" s="68" t="n">
        <x:f>IFERROR(H3846/I3846,"")</x:f>
        <x:v>0.1518324607329843</x:v>
      </x:c>
      <x:c r="K3846" s="69" t="n">
        <x:f>IFERROR(I3846/H3846,"")</x:f>
        <x:v>6.586206896551724</x:v>
      </x:c>
      <x:c r="L3846" s="66" t="str">
        <x:f>IF(K3846="","","1 : "&amp;TEXT(K3846,"0.0"))</x:f>
        <x:v>1 : 6.6</x:v>
      </x:c>
      <x:c r="M3846" s="66" t="str">
        <x:f>IF(J3846="","Baru/Tanpa Data",IF(J3846&lt;='Catatan &amp; Sumber'!$B$14,"Sangat Ketat",IF(J3846&lt;='Catatan &amp; Sumber'!$B$15,"Ketat",IF(J3846&lt;='Catatan &amp; Sumber'!$B$16,"Sedang","Relatif Longgar"))))</x:f>
        <x:v>Relatif Longgar</x:v>
      </x:c>
      <x:c r="N3846" s="66" t="str">
        <x:v>Tidak Ada</x:v>
      </x:c>
      <x:c r="O3846" s="66" t="str">
        <x:v>Kalimantan Timur</x:v>
      </x:c>
      <x:c r="P3846" s="66" t="str">
        <x:v>Kota Samarinda</x:v>
      </x:c>
      <x:c r="Q3846" s="66" t="str">
        <x:v>https://snpmb.id/snbp/daya-tampung-snbp</x:v>
      </x:c>
      <x:c r="R3846" s="66" t="str">
        <x:v>https://sidatagrun-public-1076756628210.asia-southeast2.run.app/ptn_sn.php?ptn=562</x:v>
      </x:c>
    </x:row>
    <x:row r="3847">
      <x:c r="A3847" s="87" t="n">
        <x:v>4033</x:v>
      </x:c>
      <x:c r="B3847" s="66" t="n">
        <x:v>562</x:v>
      </x:c>
      <x:c r="C3847" s="66" t="str">
        <x:v>POLITEKNIK NEGERI SAMARINDA</x:v>
      </x:c>
      <x:c r="D3847" s="66" t="str">
        <x:v>PTN Vokasi</x:v>
      </x:c>
      <x:c r="E3847" s="66" t="str">
        <x:v>25622031</x:v>
      </x:c>
      <x:c r="F3847" s="66" t="str">
        <x:v>DESAIN PRODUK KAYU DAN SERAT</x:v>
      </x:c>
      <x:c r="G3847" s="66" t="str">
        <x:v>Sarjana Terapan</x:v>
      </x:c>
      <x:c r="H3847" s="87" t="n">
        <x:v>17</x:v>
      </x:c>
      <x:c r="I3847" s="87" t="n">
        <x:v>24</x:v>
      </x:c>
      <x:c r="J3847" s="68" t="n">
        <x:f>IFERROR(H3847/I3847,"")</x:f>
        <x:v>0.7083333333333334</x:v>
      </x:c>
      <x:c r="K3847" s="69" t="n">
        <x:f>IFERROR(I3847/H3847,"")</x:f>
        <x:v>1.411764705882353</x:v>
      </x:c>
      <x:c r="L3847" s="66" t="str">
        <x:f>IF(K3847="","","1 : "&amp;TEXT(K3847,"0.0"))</x:f>
        <x:v>1 : 1.4</x:v>
      </x:c>
      <x:c r="M3847" s="66" t="str">
        <x:f>IF(J3847="","Baru/Tanpa Data",IF(J3847&lt;='Catatan &amp; Sumber'!$B$14,"Sangat Ketat",IF(J3847&lt;='Catatan &amp; Sumber'!$B$15,"Ketat",IF(J3847&lt;='Catatan &amp; Sumber'!$B$16,"Sedang","Relatif Longgar"))))</x:f>
        <x:v>Relatif Longgar</x:v>
      </x:c>
      <x:c r="N3847" s="66" t="str">
        <x:v>Seni Rupa, Desain, dan Kriya</x:v>
      </x:c>
      <x:c r="O3847" s="66" t="str">
        <x:v>Kalimantan Timur</x:v>
      </x:c>
      <x:c r="P3847" s="66" t="str">
        <x:v>Kota Samarinda</x:v>
      </x:c>
      <x:c r="Q3847" s="66" t="str">
        <x:v>https://snpmb.id/snbp/daya-tampung-snbp</x:v>
      </x:c>
      <x:c r="R3847" s="66" t="str">
        <x:v>https://sidatagrun-public-1076756628210.asia-southeast2.run.app/ptn_sn.php?ptn=562</x:v>
      </x:c>
    </x:row>
    <x:row r="3848">
      <x:c r="A3848" s="87" t="n">
        <x:v>2761</x:v>
      </x:c>
      <x:c r="B3848" s="66" t="n">
        <x:v>562</x:v>
      </x:c>
      <x:c r="C3848" s="66" t="str">
        <x:v>POLITEKNIK NEGERI SAMARINDA</x:v>
      </x:c>
      <x:c r="D3848" s="66" t="str">
        <x:v>PTN Vokasi</x:v>
      </x:c>
      <x:c r="E3848" s="66" t="str">
        <x:v>25622032</x:v>
      </x:c>
      <x:c r="F3848" s="66" t="str">
        <x:v>TEKNOLOGI REKAYASA KONSTRUKSI BANGUNAN GEDUNG</x:v>
      </x:c>
      <x:c r="G3848" s="66" t="str">
        <x:v>Sarjana Terapan</x:v>
      </x:c>
      <x:c r="H3848" s="87" t="n">
        <x:v>23</x:v>
      </x:c>
      <x:c r="I3848" s="87" t="n">
        <x:v>91</x:v>
      </x:c>
      <x:c r="J3848" s="68" t="n">
        <x:f>IFERROR(H3848/I3848,"")</x:f>
        <x:v>0.25274725274725274</x:v>
      </x:c>
      <x:c r="K3848" s="69" t="n">
        <x:f>IFERROR(I3848/H3848,"")</x:f>
        <x:v>3.9565217391304346</x:v>
      </x:c>
      <x:c r="L3848" s="66" t="str">
        <x:f>IF(K3848="","","1 : "&amp;TEXT(K3848,"0.0"))</x:f>
        <x:v>1 : 4.0</x:v>
      </x:c>
      <x:c r="M3848" s="66" t="str">
        <x:f>IF(J3848="","Baru/Tanpa Data",IF(J3848&lt;='Catatan &amp; Sumber'!$B$14,"Sangat Ketat",IF(J3848&lt;='Catatan &amp; Sumber'!$B$15,"Ketat",IF(J3848&lt;='Catatan &amp; Sumber'!$B$16,"Sedang","Relatif Longgar"))))</x:f>
        <x:v>Relatif Longgar</x:v>
      </x:c>
      <x:c r="N3848" s="66" t="str">
        <x:v>Tidak Ada</x:v>
      </x:c>
      <x:c r="O3848" s="66" t="str">
        <x:v>Kalimantan Timur</x:v>
      </x:c>
      <x:c r="P3848" s="66" t="str">
        <x:v>Kota Samarinda</x:v>
      </x:c>
      <x:c r="Q3848" s="66" t="str">
        <x:v>https://snpmb.id/snbp/daya-tampung-snbp</x:v>
      </x:c>
      <x:c r="R3848" s="66" t="str">
        <x:v>https://sidatagrun-public-1076756628210.asia-southeast2.run.app/ptn_sn.php?ptn=562</x:v>
      </x:c>
    </x:row>
    <x:row r="3849">
      <x:c r="A3849" s="87" t="n">
        <x:v>4120</x:v>
      </x:c>
      <x:c r="B3849" s="66" t="n">
        <x:v>562</x:v>
      </x:c>
      <x:c r="C3849" s="66" t="str">
        <x:v>POLITEKNIK NEGERI SAMARINDA</x:v>
      </x:c>
      <x:c r="D3849" s="66" t="str">
        <x:v>PTN Vokasi</x:v>
      </x:c>
      <x:c r="E3849" s="66" t="str">
        <x:v>25622033</x:v>
      </x:c>
      <x:c r="F3849" s="66" t="str">
        <x:v>TEKNOLOGI REKAYASA KONSTRUKSI BANGUNAN AIR</x:v>
      </x:c>
      <x:c r="G3849" s="66" t="str">
        <x:v>Sarjana Terapan</x:v>
      </x:c>
      <x:c r="H3849" s="87" t="n">
        <x:v>7</x:v>
      </x:c>
      <x:c r="I3849" s="87" t="n">
        <x:v>9</x:v>
      </x:c>
      <x:c r="J3849" s="68" t="n">
        <x:f>IFERROR(H3849/I3849,"")</x:f>
        <x:v>0.7777777777777778</x:v>
      </x:c>
      <x:c r="K3849" s="69" t="n">
        <x:f>IFERROR(I3849/H3849,"")</x:f>
        <x:v>1.2857142857142858</x:v>
      </x:c>
      <x:c r="L3849" s="66" t="str">
        <x:f>IF(K3849="","","1 : "&amp;TEXT(K3849,"0.0"))</x:f>
        <x:v>1 : 1.3</x:v>
      </x:c>
      <x:c r="M3849" s="66" t="str">
        <x:f>IF(J3849="","Baru/Tanpa Data",IF(J3849&lt;='Catatan &amp; Sumber'!$B$14,"Sangat Ketat",IF(J3849&lt;='Catatan &amp; Sumber'!$B$15,"Ketat",IF(J3849&lt;='Catatan &amp; Sumber'!$B$16,"Sedang","Relatif Longgar"))))</x:f>
        <x:v>Relatif Longgar</x:v>
      </x:c>
      <x:c r="N3849" s="66" t="str">
        <x:v>Tidak Ada</x:v>
      </x:c>
      <x:c r="O3849" s="66" t="str">
        <x:v>Kalimantan Timur</x:v>
      </x:c>
      <x:c r="P3849" s="66" t="str">
        <x:v>Kota Samarinda</x:v>
      </x:c>
      <x:c r="Q3849" s="66" t="str">
        <x:v>https://snpmb.id/snbp/daya-tampung-snbp</x:v>
      </x:c>
      <x:c r="R3849" s="66" t="str">
        <x:v>https://sidatagrun-public-1076756628210.asia-southeast2.run.app/ptn_sn.php?ptn=562</x:v>
      </x:c>
    </x:row>
    <x:row r="3850">
      <x:c r="A3850" s="87" t="n">
        <x:v>2929</x:v>
      </x:c>
      <x:c r="B3850" s="66" t="n">
        <x:v>562</x:v>
      </x:c>
      <x:c r="C3850" s="66" t="str">
        <x:v>POLITEKNIK NEGERI SAMARINDA</x:v>
      </x:c>
      <x:c r="D3850" s="66" t="str">
        <x:v>PTN Vokasi</x:v>
      </x:c>
      <x:c r="E3850" s="66" t="str">
        <x:v>25623011</x:v>
      </x:c>
      <x:c r="F3850" s="66" t="str">
        <x:v>TEKNIK INFORMATIKA</x:v>
      </x:c>
      <x:c r="G3850" s="66" t="str">
        <x:v>Diploma Tiga</x:v>
      </x:c>
      <x:c r="H3850" s="87" t="n">
        <x:v>27</x:v>
      </x:c>
      <x:c r="I3850" s="87" t="n">
        <x:v>97</x:v>
      </x:c>
      <x:c r="J3850" s="68" t="n">
        <x:f>IFERROR(H3850/I3850,"")</x:f>
        <x:v>0.27835051546391754</x:v>
      </x:c>
      <x:c r="K3850" s="69" t="n">
        <x:f>IFERROR(I3850/H3850,"")</x:f>
        <x:v>3.5925925925925926</x:v>
      </x:c>
      <x:c r="L3850" s="66" t="str">
        <x:f>IF(K3850="","","1 : "&amp;TEXT(K3850,"0.0"))</x:f>
        <x:v>1 : 3.6</x:v>
      </x:c>
      <x:c r="M3850" s="66" t="str">
        <x:f>IF(J3850="","Baru/Tanpa Data",IF(J3850&lt;='Catatan &amp; Sumber'!$B$14,"Sangat Ketat",IF(J3850&lt;='Catatan &amp; Sumber'!$B$15,"Ketat",IF(J3850&lt;='Catatan &amp; Sumber'!$B$16,"Sedang","Relatif Longgar"))))</x:f>
        <x:v>Relatif Longgar</x:v>
      </x:c>
      <x:c r="N3850" s="66" t="str">
        <x:v>Tidak Ada</x:v>
      </x:c>
      <x:c r="O3850" s="66" t="str">
        <x:v>Kalimantan Timur</x:v>
      </x:c>
      <x:c r="P3850" s="66" t="str">
        <x:v>Kota Samarinda</x:v>
      </x:c>
      <x:c r="Q3850" s="66" t="str">
        <x:v>https://snpmb.id/snbp/daya-tampung-snbp</x:v>
      </x:c>
      <x:c r="R3850" s="66" t="str">
        <x:v>https://sidatagrun-public-1076756628210.asia-southeast2.run.app/ptn_sn.php?ptn=562</x:v>
      </x:c>
    </x:row>
    <x:row r="3851">
      <x:c r="A3851" s="87" t="n">
        <x:v>3517</x:v>
      </x:c>
      <x:c r="B3851" s="66" t="n">
        <x:v>562</x:v>
      </x:c>
      <x:c r="C3851" s="66" t="str">
        <x:v>POLITEKNIK NEGERI SAMARINDA</x:v>
      </x:c>
      <x:c r="D3851" s="66" t="str">
        <x:v>PTN Vokasi</x:v>
      </x:c>
      <x:c r="E3851" s="66" t="str">
        <x:v>25623014</x:v>
      </x:c>
      <x:c r="F3851" s="66" t="str">
        <x:v>PETRO DAN OLEO KIMIA</x:v>
      </x:c>
      <x:c r="G3851" s="66" t="str">
        <x:v>Diploma Tiga</x:v>
      </x:c>
      <x:c r="H3851" s="87" t="n">
        <x:v>18</x:v>
      </x:c>
      <x:c r="I3851" s="87" t="n">
        <x:v>41</x:v>
      </x:c>
      <x:c r="J3851" s="68" t="n">
        <x:f>IFERROR(H3851/I3851,"")</x:f>
        <x:v>0.43902439024390244</x:v>
      </x:c>
      <x:c r="K3851" s="69" t="n">
        <x:f>IFERROR(I3851/H3851,"")</x:f>
        <x:v>2.2777777777777777</x:v>
      </x:c>
      <x:c r="L3851" s="66" t="str">
        <x:f>IF(K3851="","","1 : "&amp;TEXT(K3851,"0.0"))</x:f>
        <x:v>1 : 2.3</x:v>
      </x:c>
      <x:c r="M3851" s="66" t="str">
        <x:f>IF(J3851="","Baru/Tanpa Data",IF(J3851&lt;='Catatan &amp; Sumber'!$B$14,"Sangat Ketat",IF(J3851&lt;='Catatan &amp; Sumber'!$B$15,"Ketat",IF(J3851&lt;='Catatan &amp; Sumber'!$B$16,"Sedang","Relatif Longgar"))))</x:f>
        <x:v>Relatif Longgar</x:v>
      </x:c>
      <x:c r="N3851" s="66" t="str">
        <x:v>Tidak Ada</x:v>
      </x:c>
      <x:c r="O3851" s="66" t="str">
        <x:v>Kalimantan Timur</x:v>
      </x:c>
      <x:c r="P3851" s="66" t="str">
        <x:v>Kota Samarinda</x:v>
      </x:c>
      <x:c r="Q3851" s="66" t="str">
        <x:v>https://snpmb.id/snbp/daya-tampung-snbp</x:v>
      </x:c>
      <x:c r="R3851" s="66" t="str">
        <x:v>https://sidatagrun-public-1076756628210.asia-southeast2.run.app/ptn_sn.php?ptn=562</x:v>
      </x:c>
    </x:row>
    <x:row r="3852">
      <x:c r="A3852" s="87" t="n">
        <x:v>3042</x:v>
      </x:c>
      <x:c r="B3852" s="66" t="n">
        <x:v>562</x:v>
      </x:c>
      <x:c r="C3852" s="66" t="str">
        <x:v>POLITEKNIK NEGERI SAMARINDA</x:v>
      </x:c>
      <x:c r="D3852" s="66" t="str">
        <x:v>PTN Vokasi</x:v>
      </x:c>
      <x:c r="E3852" s="66" t="str">
        <x:v>25623015</x:v>
      </x:c>
      <x:c r="F3852" s="66" t="str">
        <x:v>PERAWATAN DAN PERBAIKAN MESIN</x:v>
      </x:c>
      <x:c r="G3852" s="66" t="str">
        <x:v>Diploma Tiga</x:v>
      </x:c>
      <x:c r="H3852" s="87" t="n">
        <x:v>36</x:v>
      </x:c>
      <x:c r="I3852" s="87" t="n">
        <x:v>119</x:v>
      </x:c>
      <x:c r="J3852" s="68" t="n">
        <x:f>IFERROR(H3852/I3852,"")</x:f>
        <x:v>0.3025210084033613</x:v>
      </x:c>
      <x:c r="K3852" s="69" t="n">
        <x:f>IFERROR(I3852/H3852,"")</x:f>
        <x:v>3.3055555555555554</x:v>
      </x:c>
      <x:c r="L3852" s="66" t="str">
        <x:f>IF(K3852="","","1 : "&amp;TEXT(K3852,"0.0"))</x:f>
        <x:v>1 : 3.3</x:v>
      </x:c>
      <x:c r="M3852" s="66" t="str">
        <x:f>IF(J3852="","Baru/Tanpa Data",IF(J3852&lt;='Catatan &amp; Sumber'!$B$14,"Sangat Ketat",IF(J3852&lt;='Catatan &amp; Sumber'!$B$15,"Ketat",IF(J3852&lt;='Catatan &amp; Sumber'!$B$16,"Sedang","Relatif Longgar"))))</x:f>
        <x:v>Relatif Longgar</x:v>
      </x:c>
      <x:c r="N3852" s="66" t="str">
        <x:v>Tidak Ada</x:v>
      </x:c>
      <x:c r="O3852" s="66" t="str">
        <x:v>Kalimantan Timur</x:v>
      </x:c>
      <x:c r="P3852" s="66" t="str">
        <x:v>Kota Samarinda</x:v>
      </x:c>
      <x:c r="Q3852" s="66" t="str">
        <x:v>https://snpmb.id/snbp/daya-tampung-snbp</x:v>
      </x:c>
      <x:c r="R3852" s="66" t="str">
        <x:v>https://sidatagrun-public-1076756628210.asia-southeast2.run.app/ptn_sn.php?ptn=562</x:v>
      </x:c>
    </x:row>
    <x:row r="3853">
      <x:c r="A3853" s="87" t="n">
        <x:v>4125</x:v>
      </x:c>
      <x:c r="B3853" s="66" t="n">
        <x:v>562</x:v>
      </x:c>
      <x:c r="C3853" s="66" t="str">
        <x:v>POLITEKNIK NEGERI SAMARINDA</x:v>
      </x:c>
      <x:c r="D3853" s="66" t="str">
        <x:v>PTN Vokasi</x:v>
      </x:c>
      <x:c r="E3853" s="66" t="str">
        <x:v>25623017</x:v>
      </x:c>
      <x:c r="F3853" s="66" t="str">
        <x:v>NAUTIKA</x:v>
      </x:c>
      <x:c r="G3853" s="66" t="str">
        <x:v>Diploma Tiga</x:v>
      </x:c>
      <x:c r="H3853" s="87" t="n">
        <x:v>30</x:v>
      </x:c>
      <x:c r="I3853" s="87" t="n">
        <x:v>38</x:v>
      </x:c>
      <x:c r="J3853" s="68" t="n">
        <x:f>IFERROR(H3853/I3853,"")</x:f>
        <x:v>0.7894736842105263</x:v>
      </x:c>
      <x:c r="K3853" s="69" t="n">
        <x:f>IFERROR(I3853/H3853,"")</x:f>
        <x:v>1.2666666666666666</x:v>
      </x:c>
      <x:c r="L3853" s="66" t="str">
        <x:f>IF(K3853="","","1 : "&amp;TEXT(K3853,"0.0"))</x:f>
        <x:v>1 : 1.3</x:v>
      </x:c>
      <x:c r="M3853" s="66" t="str">
        <x:f>IF(J3853="","Baru/Tanpa Data",IF(J3853&lt;='Catatan &amp; Sumber'!$B$14,"Sangat Ketat",IF(J3853&lt;='Catatan &amp; Sumber'!$B$15,"Ketat",IF(J3853&lt;='Catatan &amp; Sumber'!$B$16,"Sedang","Relatif Longgar"))))</x:f>
        <x:v>Relatif Longgar</x:v>
      </x:c>
      <x:c r="N3853" s="66" t="str">
        <x:v>Tidak Ada</x:v>
      </x:c>
      <x:c r="O3853" s="66" t="str">
        <x:v>Kalimantan Timur</x:v>
      </x:c>
      <x:c r="P3853" s="66" t="str">
        <x:v>Kota Samarinda</x:v>
      </x:c>
      <x:c r="Q3853" s="66" t="str">
        <x:v>https://snpmb.id/snbp/daya-tampung-snbp</x:v>
      </x:c>
      <x:c r="R3853" s="66" t="str">
        <x:v>https://sidatagrun-public-1076756628210.asia-southeast2.run.app/ptn_sn.php?ptn=562</x:v>
      </x:c>
    </x:row>
    <x:row r="3854">
      <x:c r="A3854" s="87" t="n">
        <x:v>4085</x:v>
      </x:c>
      <x:c r="B3854" s="66" t="n">
        <x:v>562</x:v>
      </x:c>
      <x:c r="C3854" s="66" t="str">
        <x:v>POLITEKNIK NEGERI SAMARINDA</x:v>
      </x:c>
      <x:c r="D3854" s="66" t="str">
        <x:v>PTN Vokasi</x:v>
      </x:c>
      <x:c r="E3854" s="66" t="str">
        <x:v>25623018</x:v>
      </x:c>
      <x:c r="F3854" s="66" t="str">
        <x:v>TEKNIK KOMPUTER</x:v>
      </x:c>
      <x:c r="G3854" s="66" t="str">
        <x:v>Diploma Tiga</x:v>
      </x:c>
      <x:c r="H3854" s="87" t="n">
        <x:v>27</x:v>
      </x:c>
      <x:c r="I3854" s="87" t="n">
        <x:v>36</x:v>
      </x:c>
      <x:c r="J3854" s="68" t="n">
        <x:f>IFERROR(H3854/I3854,"")</x:f>
        <x:v>0.75</x:v>
      </x:c>
      <x:c r="K3854" s="69" t="n">
        <x:f>IFERROR(I3854/H3854,"")</x:f>
        <x:v>1.3333333333333333</x:v>
      </x:c>
      <x:c r="L3854" s="66" t="str">
        <x:f>IF(K3854="","","1 : "&amp;TEXT(K3854,"0.0"))</x:f>
        <x:v>1 : 1.3</x:v>
      </x:c>
      <x:c r="M3854" s="66" t="str">
        <x:f>IF(J3854="","Baru/Tanpa Data",IF(J3854&lt;='Catatan &amp; Sumber'!$B$14,"Sangat Ketat",IF(J3854&lt;='Catatan &amp; Sumber'!$B$15,"Ketat",IF(J3854&lt;='Catatan &amp; Sumber'!$B$16,"Sedang","Relatif Longgar"))))</x:f>
        <x:v>Relatif Longgar</x:v>
      </x:c>
      <x:c r="N3854" s="66" t="str">
        <x:v>Tidak Ada</x:v>
      </x:c>
      <x:c r="O3854" s="66" t="str">
        <x:v>Kalimantan Timur</x:v>
      </x:c>
      <x:c r="P3854" s="66" t="str">
        <x:v>Kota Samarinda</x:v>
      </x:c>
      <x:c r="Q3854" s="66" t="str">
        <x:v>https://snpmb.id/snbp/daya-tampung-snbp</x:v>
      </x:c>
      <x:c r="R3854" s="66" t="str">
        <x:v>https://sidatagrun-public-1076756628210.asia-southeast2.run.app/ptn_sn.php?ptn=562</x:v>
      </x:c>
    </x:row>
    <x:row r="3855">
      <x:c r="A3855" s="87" t="n">
        <x:v>4392</x:v>
      </x:c>
      <x:c r="B3855" s="66" t="n">
        <x:v>562</x:v>
      </x:c>
      <x:c r="C3855" s="66" t="str">
        <x:v>POLITEKNIK NEGERI SAMARINDA</x:v>
      </x:c>
      <x:c r="D3855" s="66" t="str">
        <x:v>PTN Vokasi</x:v>
      </x:c>
      <x:c r="E3855" s="66" t="str">
        <x:v>25623019</x:v>
      </x:c>
      <x:c r="F3855" s="66" t="str">
        <x:v>TEKNIKA</x:v>
      </x:c>
      <x:c r="G3855" s="66" t="str">
        <x:v>Diploma Tiga</x:v>
      </x:c>
      <x:c r="H3855" s="87" t="n">
        <x:v>30</x:v>
      </x:c>
      <x:c r="I3855" s="87" t="n">
        <x:v>27</x:v>
      </x:c>
      <x:c r="J3855" s="68" t="n">
        <x:f>IFERROR(H3855/I3855,"")</x:f>
        <x:v>1.1111111111111112</x:v>
      </x:c>
      <x:c r="K3855" s="69" t="n">
        <x:f>IFERROR(I3855/H3855,"")</x:f>
        <x:v>0.9</x:v>
      </x:c>
      <x:c r="L3855" s="66" t="str">
        <x:f>IF(K3855="","","1 : "&amp;TEXT(K3855,"0.0"))</x:f>
        <x:v>1 : 0.9</x:v>
      </x:c>
      <x:c r="M3855" s="66" t="str">
        <x:f>IF(J3855="","Baru/Tanpa Data",IF(J3855&lt;='Catatan &amp; Sumber'!$B$14,"Sangat Ketat",IF(J3855&lt;='Catatan &amp; Sumber'!$B$15,"Ketat",IF(J3855&lt;='Catatan &amp; Sumber'!$B$16,"Sedang","Relatif Longgar"))))</x:f>
        <x:v>Relatif Longgar</x:v>
      </x:c>
      <x:c r="N3855" s="66" t="str">
        <x:v>Tidak Ada</x:v>
      </x:c>
      <x:c r="O3855" s="66" t="str">
        <x:v>Kalimantan Timur</x:v>
      </x:c>
      <x:c r="P3855" s="66" t="str">
        <x:v>Kota Samarinda</x:v>
      </x:c>
      <x:c r="Q3855" s="66" t="str">
        <x:v>https://snpmb.id/snbp/daya-tampung-snbp</x:v>
      </x:c>
      <x:c r="R3855" s="66" t="str">
        <x:v>https://sidatagrun-public-1076756628210.asia-southeast2.run.app/ptn_sn.php?ptn=562</x:v>
      </x:c>
    </x:row>
    <x:row r="3856">
      <x:c r="A3856" s="87" t="n">
        <x:v>3194</x:v>
      </x:c>
      <x:c r="B3856" s="66" t="n">
        <x:v>562</x:v>
      </x:c>
      <x:c r="C3856" s="66" t="str">
        <x:v>POLITEKNIK NEGERI SAMARINDA</x:v>
      </x:c>
      <x:c r="D3856" s="66" t="str">
        <x:v>PTN Vokasi</x:v>
      </x:c>
      <x:c r="E3856" s="66" t="str">
        <x:v>25623021</x:v>
      </x:c>
      <x:c r="F3856" s="66" t="str">
        <x:v>PARIWISATA</x:v>
      </x:c>
      <x:c r="G3856" s="66" t="str">
        <x:v>Diploma Tiga</x:v>
      </x:c>
      <x:c r="H3856" s="87" t="n">
        <x:v>30</x:v>
      </x:c>
      <x:c r="I3856" s="87" t="n">
        <x:v>88</x:v>
      </x:c>
      <x:c r="J3856" s="68" t="n">
        <x:f>IFERROR(H3856/I3856,"")</x:f>
        <x:v>0.3409090909090909</x:v>
      </x:c>
      <x:c r="K3856" s="69" t="n">
        <x:f>IFERROR(I3856/H3856,"")</x:f>
        <x:v>2.933333333333333</x:v>
      </x:c>
      <x:c r="L3856" s="66" t="str">
        <x:f>IF(K3856="","","1 : "&amp;TEXT(K3856,"0.0"))</x:f>
        <x:v>1 : 2.9</x:v>
      </x:c>
      <x:c r="M3856" s="66" t="str">
        <x:f>IF(J3856="","Baru/Tanpa Data",IF(J3856&lt;='Catatan &amp; Sumber'!$B$14,"Sangat Ketat",IF(J3856&lt;='Catatan &amp; Sumber'!$B$15,"Ketat",IF(J3856&lt;='Catatan &amp; Sumber'!$B$16,"Sedang","Relatif Longgar"))))</x:f>
        <x:v>Relatif Longgar</x:v>
      </x:c>
      <x:c r="N3856" s="66" t="str">
        <x:v>Tidak Ada</x:v>
      </x:c>
      <x:c r="O3856" s="66" t="str">
        <x:v>Kalimantan Timur</x:v>
      </x:c>
      <x:c r="P3856" s="66" t="str">
        <x:v>Kota Samarinda</x:v>
      </x:c>
      <x:c r="Q3856" s="66" t="str">
        <x:v>https://snpmb.id/snbp/daya-tampung-snbp</x:v>
      </x:c>
      <x:c r="R3856" s="66" t="str">
        <x:v>https://sidatagrun-public-1076756628210.asia-southeast2.run.app/ptn_sn.php?ptn=562</x:v>
      </x:c>
    </x:row>
    <x:row r="3857">
      <x:c r="A3857" s="87" t="n">
        <x:v>3444</x:v>
      </x:c>
      <x:c r="B3857" s="66" t="n">
        <x:v>562</x:v>
      </x:c>
      <x:c r="C3857" s="66" t="str">
        <x:v>POLITEKNIK NEGERI SAMARINDA</x:v>
      </x:c>
      <x:c r="D3857" s="66" t="str">
        <x:v>PTN Vokasi</x:v>
      </x:c>
      <x:c r="E3857" s="66" t="str">
        <x:v>25623022</x:v>
      </x:c>
      <x:c r="F3857" s="66" t="str">
        <x:v>TEKNIK LISTRIK</x:v>
      </x:c>
      <x:c r="G3857" s="66" t="str">
        <x:v>Diploma Tiga</x:v>
      </x:c>
      <x:c r="H3857" s="87" t="n">
        <x:v>15</x:v>
      </x:c>
      <x:c r="I3857" s="87" t="n">
        <x:v>36</x:v>
      </x:c>
      <x:c r="J3857" s="68" t="n">
        <x:f>IFERROR(H3857/I3857,"")</x:f>
        <x:v>0.4166666666666667</x:v>
      </x:c>
      <x:c r="K3857" s="69" t="n">
        <x:f>IFERROR(I3857/H3857,"")</x:f>
        <x:v>2.4</x:v>
      </x:c>
      <x:c r="L3857" s="66" t="str">
        <x:f>IF(K3857="","","1 : "&amp;TEXT(K3857,"0.0"))</x:f>
        <x:v>1 : 2.4</x:v>
      </x:c>
      <x:c r="M3857" s="66" t="str">
        <x:f>IF(J3857="","Baru/Tanpa Data",IF(J3857&lt;='Catatan &amp; Sumber'!$B$14,"Sangat Ketat",IF(J3857&lt;='Catatan &amp; Sumber'!$B$15,"Ketat",IF(J3857&lt;='Catatan &amp; Sumber'!$B$16,"Sedang","Relatif Longgar"))))</x:f>
        <x:v>Relatif Longgar</x:v>
      </x:c>
      <x:c r="N3857" s="66" t="str">
        <x:v>Tidak Ada</x:v>
      </x:c>
      <x:c r="O3857" s="66" t="str">
        <x:v>Kalimantan Timur</x:v>
      </x:c>
      <x:c r="P3857" s="66" t="str">
        <x:v>Kota Samarinda</x:v>
      </x:c>
      <x:c r="Q3857" s="66" t="str">
        <x:v>https://snpmb.id/snbp/daya-tampung-snbp</x:v>
      </x:c>
      <x:c r="R3857" s="66" t="str">
        <x:v>https://sidatagrun-public-1076756628210.asia-southeast2.run.app/ptn_sn.php?ptn=562</x:v>
      </x:c>
    </x:row>
    <x:row r="3858">
      <x:c r="A3858" s="87" t="n">
        <x:v>1830</x:v>
      </x:c>
      <x:c r="B3858" s="66" t="n">
        <x:v>562</x:v>
      </x:c>
      <x:c r="C3858" s="66" t="str">
        <x:v>POLITEKNIK NEGERI SAMARINDA</x:v>
      </x:c>
      <x:c r="D3858" s="66" t="str">
        <x:v>PTN Vokasi</x:v>
      </x:c>
      <x:c r="E3858" s="66" t="str">
        <x:v>25623024</x:v>
      </x:c>
      <x:c r="F3858" s="66" t="str">
        <x:v>TEKNIK ALAT BERAT</x:v>
      </x:c>
      <x:c r="G3858" s="66" t="str">
        <x:v>Diploma Tiga</x:v>
      </x:c>
      <x:c r="H3858" s="87" t="n">
        <x:v>34</x:v>
      </x:c>
      <x:c r="I3858" s="87" t="n">
        <x:v>252</x:v>
      </x:c>
      <x:c r="J3858" s="68" t="n">
        <x:f>IFERROR(H3858/I3858,"")</x:f>
        <x:v>0.1349206349206349</x:v>
      </x:c>
      <x:c r="K3858" s="69" t="n">
        <x:f>IFERROR(I3858/H3858,"")</x:f>
        <x:v>7.411764705882353</x:v>
      </x:c>
      <x:c r="L3858" s="66" t="str">
        <x:f>IF(K3858="","","1 : "&amp;TEXT(K3858,"0.0"))</x:f>
        <x:v>1 : 7.4</x:v>
      </x:c>
      <x:c r="M3858" s="66" t="str">
        <x:f>IF(J3858="","Baru/Tanpa Data",IF(J3858&lt;='Catatan &amp; Sumber'!$B$14,"Sangat Ketat",IF(J3858&lt;='Catatan &amp; Sumber'!$B$15,"Ketat",IF(J3858&lt;='Catatan &amp; Sumber'!$B$16,"Sedang","Relatif Longgar"))))</x:f>
        <x:v>Relatif Longgar</x:v>
      </x:c>
      <x:c r="N3858" s="66" t="str">
        <x:v>Tidak Ada</x:v>
      </x:c>
      <x:c r="O3858" s="66" t="str">
        <x:v>Kalimantan Timur</x:v>
      </x:c>
      <x:c r="P3858" s="66" t="str">
        <x:v>Kota Samarinda</x:v>
      </x:c>
      <x:c r="Q3858" s="66" t="str">
        <x:v>https://snpmb.id/snbp/daya-tampung-snbp</x:v>
      </x:c>
      <x:c r="R3858" s="66" t="str">
        <x:v>https://sidatagrun-public-1076756628210.asia-southeast2.run.app/ptn_sn.php?ptn=562</x:v>
      </x:c>
    </x:row>
    <x:row r="3859">
      <x:c r="A3859" s="87" t="n">
        <x:v>4085</x:v>
      </x:c>
      <x:c r="B3859" s="66" t="n">
        <x:v>562</x:v>
      </x:c>
      <x:c r="C3859" s="66" t="str">
        <x:v>POLITEKNIK NEGERI SAMARINDA</x:v>
      </x:c>
      <x:c r="D3859" s="66" t="str">
        <x:v>PTN Vokasi</x:v>
      </x:c>
      <x:c r="E3859" s="66" t="str">
        <x:v>25623026</x:v>
      </x:c>
      <x:c r="F3859" s="66" t="str">
        <x:v>KETATALAKSANAAN PELAYARAN NIAGA DAN KEPELABUHAN</x:v>
      </x:c>
      <x:c r="G3859" s="66" t="str">
        <x:v>Diploma Tiga</x:v>
      </x:c>
      <x:c r="H3859" s="87" t="n">
        <x:v>36</x:v>
      </x:c>
      <x:c r="I3859" s="87" t="n">
        <x:v>48</x:v>
      </x:c>
      <x:c r="J3859" s="68" t="n">
        <x:f>IFERROR(H3859/I3859,"")</x:f>
        <x:v>0.75</x:v>
      </x:c>
      <x:c r="K3859" s="69" t="n">
        <x:f>IFERROR(I3859/H3859,"")</x:f>
        <x:v>1.3333333333333333</x:v>
      </x:c>
      <x:c r="L3859" s="66" t="str">
        <x:f>IF(K3859="","","1 : "&amp;TEXT(K3859,"0.0"))</x:f>
        <x:v>1 : 1.3</x:v>
      </x:c>
      <x:c r="M3859" s="66" t="str">
        <x:f>IF(J3859="","Baru/Tanpa Data",IF(J3859&lt;='Catatan &amp; Sumber'!$B$14,"Sangat Ketat",IF(J3859&lt;='Catatan &amp; Sumber'!$B$15,"Ketat",IF(J3859&lt;='Catatan &amp; Sumber'!$B$16,"Sedang","Relatif Longgar"))))</x:f>
        <x:v>Relatif Longgar</x:v>
      </x:c>
      <x:c r="N3859" s="66" t="str">
        <x:v>Tidak Ada</x:v>
      </x:c>
      <x:c r="O3859" s="66" t="str">
        <x:v>Kalimantan Timur</x:v>
      </x:c>
      <x:c r="P3859" s="66" t="str">
        <x:v>Kota Samarinda</x:v>
      </x:c>
      <x:c r="Q3859" s="66" t="str">
        <x:v>https://snpmb.id/snbp/daya-tampung-snbp</x:v>
      </x:c>
      <x:c r="R3859" s="66" t="str">
        <x:v>https://sidatagrun-public-1076756628210.asia-southeast2.run.app/ptn_sn.php?ptn=562</x:v>
      </x:c>
    </x:row>
    <x:row r="3860">
      <x:c r="A3860" s="87" t="n">
        <x:v>3135</x:v>
      </x:c>
      <x:c r="B3860" s="66" t="n">
        <x:v>562</x:v>
      </x:c>
      <x:c r="C3860" s="66" t="str">
        <x:v>POLITEKNIK NEGERI SAMARINDA</x:v>
      </x:c>
      <x:c r="D3860" s="66" t="str">
        <x:v>PTN Vokasi</x:v>
      </x:c>
      <x:c r="E3860" s="66" t="str">
        <x:v>25623027</x:v>
      </x:c>
      <x:c r="F3860" s="66" t="str">
        <x:v>AKUNTANSI</x:v>
      </x:c>
      <x:c r="G3860" s="66" t="str">
        <x:v>Diploma Tiga</x:v>
      </x:c>
      <x:c r="H3860" s="87" t="n">
        <x:v>31</x:v>
      </x:c>
      <x:c r="I3860" s="87" t="n">
        <x:v>96</x:v>
      </x:c>
      <x:c r="J3860" s="68" t="n">
        <x:f>IFERROR(H3860/I3860,"")</x:f>
        <x:v>0.3229166666666667</x:v>
      </x:c>
      <x:c r="K3860" s="69" t="n">
        <x:f>IFERROR(I3860/H3860,"")</x:f>
        <x:v>3.096774193548387</x:v>
      </x:c>
      <x:c r="L3860" s="66" t="str">
        <x:f>IF(K3860="","","1 : "&amp;TEXT(K3860,"0.0"))</x:f>
        <x:v>1 : 3.1</x:v>
      </x:c>
      <x:c r="M3860" s="66" t="str">
        <x:f>IF(J3860="","Baru/Tanpa Data",IF(J3860&lt;='Catatan &amp; Sumber'!$B$14,"Sangat Ketat",IF(J3860&lt;='Catatan &amp; Sumber'!$B$15,"Ketat",IF(J3860&lt;='Catatan &amp; Sumber'!$B$16,"Sedang","Relatif Longgar"))))</x:f>
        <x:v>Relatif Longgar</x:v>
      </x:c>
      <x:c r="N3860" s="66" t="str">
        <x:v>Tidak Ada</x:v>
      </x:c>
      <x:c r="O3860" s="66" t="str">
        <x:v>Kalimantan Timur</x:v>
      </x:c>
      <x:c r="P3860" s="66" t="str">
        <x:v>Kota Samarinda</x:v>
      </x:c>
      <x:c r="Q3860" s="66" t="str">
        <x:v>https://snpmb.id/snbp/daya-tampung-snbp</x:v>
      </x:c>
      <x:c r="R3860" s="66" t="str">
        <x:v>https://sidatagrun-public-1076756628210.asia-southeast2.run.app/ptn_sn.php?ptn=562</x:v>
      </x:c>
    </x:row>
    <x:row r="3861">
      <x:c r="A3861" s="87" t="n">
        <x:v>4517</x:v>
      </x:c>
      <x:c r="B3861" s="66" t="n">
        <x:v>563</x:v>
      </x:c>
      <x:c r="C3861" s="66" t="str">
        <x:v>POLITEKNIK NEGERI BALIKPAPAN</x:v>
      </x:c>
      <x:c r="D3861" s="66" t="str">
        <x:v>PTN Vokasi</x:v>
      </x:c>
      <x:c r="E3861" s="66" t="str">
        <x:v>25632001</x:v>
      </x:c>
      <x:c r="F3861" s="66" t="str">
        <x:v>TEKNOLOGI REKAYASA KONSTRUKSI JALAN DAN JEMBATAN</x:v>
      </x:c>
      <x:c r="G3861" s="66" t="str">
        <x:v>Sarjana Terapan</x:v>
      </x:c>
      <x:c r="H3861" s="87" t="n">
        <x:v>40</x:v>
      </x:c>
      <x:c r="I3861" s="87" t="n">
        <x:v>29</x:v>
      </x:c>
      <x:c r="J3861" s="68" t="n">
        <x:f>IFERROR(H3861/I3861,"")</x:f>
        <x:v>1.3793103448275863</x:v>
      </x:c>
      <x:c r="K3861" s="69" t="n">
        <x:f>IFERROR(I3861/H3861,"")</x:f>
        <x:v>0.725</x:v>
      </x:c>
      <x:c r="L3861" s="66" t="str">
        <x:f>IF(K3861="","","1 : "&amp;TEXT(K3861,"0.0"))</x:f>
        <x:v>1 : 0.7</x:v>
      </x:c>
      <x:c r="M3861" s="66" t="str">
        <x:f>IF(J3861="","Baru/Tanpa Data",IF(J3861&lt;='Catatan &amp; Sumber'!$B$14,"Sangat Ketat",IF(J3861&lt;='Catatan &amp; Sumber'!$B$15,"Ketat",IF(J3861&lt;='Catatan &amp; Sumber'!$B$16,"Sedang","Relatif Longgar"))))</x:f>
        <x:v>Relatif Longgar</x:v>
      </x:c>
      <x:c r="N3861" s="66" t="str">
        <x:v>Tidak Ada</x:v>
      </x:c>
      <x:c r="O3861" s="66" t="str">
        <x:v>Kalimantan Timur</x:v>
      </x:c>
      <x:c r="P3861" s="66" t="str">
        <x:v>Kota Balikpapan</x:v>
      </x:c>
      <x:c r="Q3861" s="66" t="str">
        <x:v>https://snpmb.id/snbp/daya-tampung-snbp</x:v>
      </x:c>
      <x:c r="R3861" s="66" t="str">
        <x:v>https://sidatagrun-public-1076756628210.asia-southeast2.run.app/ptn_sn.php?ptn=563</x:v>
      </x:c>
    </x:row>
    <x:row r="3862">
      <x:c r="A3862" s="87" t="n">
        <x:v>3167</x:v>
      </x:c>
      <x:c r="B3862" s="66" t="n">
        <x:v>563</x:v>
      </x:c>
      <x:c r="C3862" s="66" t="str">
        <x:v>POLITEKNIK NEGERI BALIKPAPAN</x:v>
      </x:c>
      <x:c r="D3862" s="66" t="str">
        <x:v>PTN Vokasi</x:v>
      </x:c>
      <x:c r="E3862" s="66" t="str">
        <x:v>25632002</x:v>
      </x:c>
      <x:c r="F3862" s="66" t="str">
        <x:v>AKUNTANSI PERPAJAKAN</x:v>
      </x:c>
      <x:c r="G3862" s="66" t="str">
        <x:v>Sarjana Terapan</x:v>
      </x:c>
      <x:c r="H3862" s="87" t="n">
        <x:v>48</x:v>
      </x:c>
      <x:c r="I3862" s="87" t="n">
        <x:v>144</x:v>
      </x:c>
      <x:c r="J3862" s="68" t="n">
        <x:f>IFERROR(H3862/I3862,"")</x:f>
        <x:v>0.3333333333333333</x:v>
      </x:c>
      <x:c r="K3862" s="69" t="n">
        <x:f>IFERROR(I3862/H3862,"")</x:f>
        <x:v>3</x:v>
      </x:c>
      <x:c r="L3862" s="66" t="str">
        <x:f>IF(K3862="","","1 : "&amp;TEXT(K3862,"0.0"))</x:f>
        <x:v>1 : 3.0</x:v>
      </x:c>
      <x:c r="M3862" s="66" t="str">
        <x:f>IF(J3862="","Baru/Tanpa Data",IF(J3862&lt;='Catatan &amp; Sumber'!$B$14,"Sangat Ketat",IF(J3862&lt;='Catatan &amp; Sumber'!$B$15,"Ketat",IF(J3862&lt;='Catatan &amp; Sumber'!$B$16,"Sedang","Relatif Longgar"))))</x:f>
        <x:v>Relatif Longgar</x:v>
      </x:c>
      <x:c r="N3862" s="66" t="str">
        <x:v>Tidak Ada</x:v>
      </x:c>
      <x:c r="O3862" s="66" t="str">
        <x:v>Kalimantan Timur</x:v>
      </x:c>
      <x:c r="P3862" s="66" t="str">
        <x:v>Kota Balikpapan</x:v>
      </x:c>
      <x:c r="Q3862" s="66" t="str">
        <x:v>https://snpmb.id/snbp/daya-tampung-snbp</x:v>
      </x:c>
      <x:c r="R3862" s="66" t="str">
        <x:v>https://sidatagrun-public-1076756628210.asia-southeast2.run.app/ptn_sn.php?ptn=563</x:v>
      </x:c>
    </x:row>
    <x:row r="3863">
      <x:c r="A3863" s="87" t="n">
        <x:v>4104</x:v>
      </x:c>
      <x:c r="B3863" s="66" t="n">
        <x:v>563</x:v>
      </x:c>
      <x:c r="C3863" s="66" t="str">
        <x:v>POLITEKNIK NEGERI BALIKPAPAN</x:v>
      </x:c>
      <x:c r="D3863" s="66" t="str">
        <x:v>PTN Vokasi</x:v>
      </x:c>
      <x:c r="E3863" s="66" t="str">
        <x:v>25632005</x:v>
      </x:c>
      <x:c r="F3863" s="66" t="str">
        <x:v>PENGELOLAAN PERHOTELAN</x:v>
      </x:c>
      <x:c r="G3863" s="66" t="str">
        <x:v>Sarjana Terapan</x:v>
      </x:c>
      <x:c r="H3863" s="87" t="n">
        <x:v>40</x:v>
      </x:c>
      <x:c r="I3863" s="87" t="n">
        <x:v>53</x:v>
      </x:c>
      <x:c r="J3863" s="68" t="n">
        <x:f>IFERROR(H3863/I3863,"")</x:f>
        <x:v>0.7547169811320755</x:v>
      </x:c>
      <x:c r="K3863" s="69" t="n">
        <x:f>IFERROR(I3863/H3863,"")</x:f>
        <x:v>1.325</x:v>
      </x:c>
      <x:c r="L3863" s="66" t="str">
        <x:f>IF(K3863="","","1 : "&amp;TEXT(K3863,"0.0"))</x:f>
        <x:v>1 : 1.3</x:v>
      </x:c>
      <x:c r="M3863" s="66" t="str">
        <x:f>IF(J3863="","Baru/Tanpa Data",IF(J3863&lt;='Catatan &amp; Sumber'!$B$14,"Sangat Ketat",IF(J3863&lt;='Catatan &amp; Sumber'!$B$15,"Ketat",IF(J3863&lt;='Catatan &amp; Sumber'!$B$16,"Sedang","Relatif Longgar"))))</x:f>
        <x:v>Relatif Longgar</x:v>
      </x:c>
      <x:c r="N3863" s="66" t="str">
        <x:v>Tidak Ada</x:v>
      </x:c>
      <x:c r="O3863" s="66" t="str">
        <x:v>Kalimantan Timur</x:v>
      </x:c>
      <x:c r="P3863" s="66" t="str">
        <x:v>Kota Balikpapan</x:v>
      </x:c>
      <x:c r="Q3863" s="66" t="str">
        <x:v>https://snpmb.id/snbp/daya-tampung-snbp</x:v>
      </x:c>
      <x:c r="R3863" s="66" t="str">
        <x:v>https://sidatagrun-public-1076756628210.asia-southeast2.run.app/ptn_sn.php?ptn=563</x:v>
      </x:c>
    </x:row>
    <x:row r="3864">
      <x:c r="A3864" s="87" t="n">
        <x:v>3342</x:v>
      </x:c>
      <x:c r="B3864" s="66" t="n">
        <x:v>563</x:v>
      </x:c>
      <x:c r="C3864" s="66" t="str">
        <x:v>POLITEKNIK NEGERI BALIKPAPAN</x:v>
      </x:c>
      <x:c r="D3864" s="66" t="str">
        <x:v>PTN Vokasi</x:v>
      </x:c>
      <x:c r="E3864" s="66" t="str">
        <x:v>25632009</x:v>
      </x:c>
      <x:c r="F3864" s="66" t="str">
        <x:v>PERBANKAN DAN KEUANGAN DIGITAL</x:v>
      </x:c>
      <x:c r="G3864" s="66" t="str">
        <x:v>Sarjana Terapan</x:v>
      </x:c>
      <x:c r="H3864" s="87" t="n">
        <x:v>50</x:v>
      </x:c>
      <x:c r="I3864" s="87" t="n">
        <x:v>130</x:v>
      </x:c>
      <x:c r="J3864" s="68" t="n">
        <x:f>IFERROR(H3864/I3864,"")</x:f>
        <x:v>0.38461538461538464</x:v>
      </x:c>
      <x:c r="K3864" s="69" t="n">
        <x:f>IFERROR(I3864/H3864,"")</x:f>
        <x:v>2.6</x:v>
      </x:c>
      <x:c r="L3864" s="66" t="str">
        <x:f>IF(K3864="","","1 : "&amp;TEXT(K3864,"0.0"))</x:f>
        <x:v>1 : 2.6</x:v>
      </x:c>
      <x:c r="M3864" s="66" t="str">
        <x:f>IF(J3864="","Baru/Tanpa Data",IF(J3864&lt;='Catatan &amp; Sumber'!$B$14,"Sangat Ketat",IF(J3864&lt;='Catatan &amp; Sumber'!$B$15,"Ketat",IF(J3864&lt;='Catatan &amp; Sumber'!$B$16,"Sedang","Relatif Longgar"))))</x:f>
        <x:v>Relatif Longgar</x:v>
      </x:c>
      <x:c r="N3864" s="66" t="str">
        <x:v>Tidak Ada</x:v>
      </x:c>
      <x:c r="O3864" s="66" t="str">
        <x:v>Kalimantan Timur</x:v>
      </x:c>
      <x:c r="P3864" s="66" t="str">
        <x:v>Kota Balikpapan</x:v>
      </x:c>
      <x:c r="Q3864" s="66" t="str">
        <x:v>https://snpmb.id/snbp/daya-tampung-snbp</x:v>
      </x:c>
      <x:c r="R3864" s="66" t="str">
        <x:v>https://sidatagrun-public-1076756628210.asia-southeast2.run.app/ptn_sn.php?ptn=563</x:v>
      </x:c>
    </x:row>
    <x:row r="3865">
      <x:c r="A3865" s="87" t="n">
        <x:v>4532</x:v>
      </x:c>
      <x:c r="B3865" s="66" t="n">
        <x:v>563</x:v>
      </x:c>
      <x:c r="C3865" s="66" t="str">
        <x:v>POLITEKNIK NEGERI BALIKPAPAN</x:v>
      </x:c>
      <x:c r="D3865" s="66" t="str">
        <x:v>PTN Vokasi</x:v>
      </x:c>
      <x:c r="E3865" s="66" t="str">
        <x:v>25632010</x:v>
      </x:c>
      <x:c r="F3865" s="66" t="str">
        <x:v>TEKNOLOGI REKAYASA MANUFAKTUR</x:v>
      </x:c>
      <x:c r="G3865" s="66" t="str">
        <x:v>Sarjana Terapan</x:v>
      </x:c>
      <x:c r="H3865" s="87" t="n">
        <x:v>40</x:v>
      </x:c>
      <x:c r="I3865" s="87" t="n">
        <x:v>28</x:v>
      </x:c>
      <x:c r="J3865" s="68" t="n">
        <x:f>IFERROR(H3865/I3865,"")</x:f>
        <x:v>1.4285714285714286</x:v>
      </x:c>
      <x:c r="K3865" s="69" t="n">
        <x:f>IFERROR(I3865/H3865,"")</x:f>
        <x:v>0.7</x:v>
      </x:c>
      <x:c r="L3865" s="66" t="str">
        <x:f>IF(K3865="","","1 : "&amp;TEXT(K3865,"0.0"))</x:f>
        <x:v>1 : 0.7</x:v>
      </x:c>
      <x:c r="M3865" s="66" t="str">
        <x:f>IF(J3865="","Baru/Tanpa Data",IF(J3865&lt;='Catatan &amp; Sumber'!$B$14,"Sangat Ketat",IF(J3865&lt;='Catatan &amp; Sumber'!$B$15,"Ketat",IF(J3865&lt;='Catatan &amp; Sumber'!$B$16,"Sedang","Relatif Longgar"))))</x:f>
        <x:v>Relatif Longgar</x:v>
      </x:c>
      <x:c r="N3865" s="66" t="str">
        <x:v>Tidak Ada</x:v>
      </x:c>
      <x:c r="O3865" s="66" t="str">
        <x:v>Kalimantan Timur</x:v>
      </x:c>
      <x:c r="P3865" s="66" t="str">
        <x:v>Kota Balikpapan</x:v>
      </x:c>
      <x:c r="Q3865" s="66" t="str">
        <x:v>https://snpmb.id/snbp/daya-tampung-snbp</x:v>
      </x:c>
      <x:c r="R3865" s="66" t="str">
        <x:v>https://sidatagrun-public-1076756628210.asia-southeast2.run.app/ptn_sn.php?ptn=563</x:v>
      </x:c>
    </x:row>
    <x:row r="3866">
      <x:c r="A3866" s="87"/>
      <x:c r="B3866" s="66" t="n">
        <x:v>563</x:v>
      </x:c>
      <x:c r="C3866" s="66" t="str">
        <x:v>POLITEKNIK NEGERI BALIKPAPAN</x:v>
      </x:c>
      <x:c r="D3866" s="66" t="str">
        <x:v>PTN Vokasi</x:v>
      </x:c>
      <x:c r="E3866" s="66" t="str">
        <x:v>25632011</x:v>
      </x:c>
      <x:c r="F3866" s="66" t="str">
        <x:v>SISTEM INFORMASI KOTA CERDAS</x:v>
      </x:c>
      <x:c r="G3866" s="66" t="str">
        <x:v>Sarjana Terapan</x:v>
      </x:c>
      <x:c r="H3866" s="87" t="n">
        <x:v>24</x:v>
      </x:c>
      <x:c r="I3866" s="87"/>
      <x:c r="J3866" s="68" t="str">
        <x:f>IFERROR(H3866/I3866,"")</x:f>
      </x:c>
      <x:c r="K3866" s="69" t="n">
        <x:f>IFERROR(I3866/H3866,"")</x:f>
        <x:v>0</x:v>
      </x:c>
      <x:c r="L3866" s="66" t="str">
        <x:f>IF(K3866="","","1 : "&amp;TEXT(K3866,"0.0"))</x:f>
      </x:c>
      <x:c r="M3866" s="66" t="str">
        <x:f>IF(J3866="","Baru/Tanpa Data",IF(J3866&lt;='Catatan &amp; Sumber'!$B$14,"Sangat Ketat",IF(J3866&lt;='Catatan &amp; Sumber'!$B$15,"Ketat",IF(J3866&lt;='Catatan &amp; Sumber'!$B$16,"Sedang","Relatif Longgar"))))</x:f>
        <x:v>Baru/Tanpa Data</x:v>
      </x:c>
      <x:c r="N3866" s="66" t="str">
        <x:v>Tidak Ada</x:v>
      </x:c>
      <x:c r="O3866" s="66" t="str">
        <x:v>Kalimantan Timur</x:v>
      </x:c>
      <x:c r="P3866" s="66" t="str">
        <x:v>Kota Balikpapan</x:v>
      </x:c>
      <x:c r="Q3866" s="66" t="str">
        <x:v>https://snpmb.id/snbp/daya-tampung-snbp</x:v>
      </x:c>
      <x:c r="R3866" s="66" t="str">
        <x:v>https://sidatagrun-public-1076756628210.asia-southeast2.run.app/ptn_sn.php?ptn=563</x:v>
      </x:c>
    </x:row>
    <x:row r="3867">
      <x:c r="A3867" s="87"/>
      <x:c r="B3867" s="66" t="n">
        <x:v>563</x:v>
      </x:c>
      <x:c r="C3867" s="66" t="str">
        <x:v>POLITEKNIK NEGERI BALIKPAPAN</x:v>
      </x:c>
      <x:c r="D3867" s="66" t="str">
        <x:v>PTN Vokasi</x:v>
      </x:c>
      <x:c r="E3867" s="66" t="str">
        <x:v>25632012</x:v>
      </x:c>
      <x:c r="F3867" s="66" t="str">
        <x:v>TEKNOLOGI REKAYASA KONSTRUKSI BANGUNAN AIR</x:v>
      </x:c>
      <x:c r="G3867" s="66" t="str">
        <x:v>Sarjana Terapan</x:v>
      </x:c>
      <x:c r="H3867" s="87" t="n">
        <x:v>24</x:v>
      </x:c>
      <x:c r="I3867" s="87"/>
      <x:c r="J3867" s="68" t="str">
        <x:f>IFERROR(H3867/I3867,"")</x:f>
      </x:c>
      <x:c r="K3867" s="69" t="n">
        <x:f>IFERROR(I3867/H3867,"")</x:f>
        <x:v>0</x:v>
      </x:c>
      <x:c r="L3867" s="66" t="str">
        <x:f>IF(K3867="","","1 : "&amp;TEXT(K3867,"0.0"))</x:f>
      </x:c>
      <x:c r="M3867" s="66" t="str">
        <x:f>IF(J3867="","Baru/Tanpa Data",IF(J3867&lt;='Catatan &amp; Sumber'!$B$14,"Sangat Ketat",IF(J3867&lt;='Catatan &amp; Sumber'!$B$15,"Ketat",IF(J3867&lt;='Catatan &amp; Sumber'!$B$16,"Sedang","Relatif Longgar"))))</x:f>
        <x:v>Baru/Tanpa Data</x:v>
      </x:c>
      <x:c r="N3867" s="66" t="str">
        <x:v>Tidak Ada</x:v>
      </x:c>
      <x:c r="O3867" s="66" t="str">
        <x:v>Kalimantan Timur</x:v>
      </x:c>
      <x:c r="P3867" s="66" t="str">
        <x:v>Kota Balikpapan</x:v>
      </x:c>
      <x:c r="Q3867" s="66" t="str">
        <x:v>https://snpmb.id/snbp/daya-tampung-snbp</x:v>
      </x:c>
      <x:c r="R3867" s="66" t="str">
        <x:v>https://sidatagrun-public-1076756628210.asia-southeast2.run.app/ptn_sn.php?ptn=563</x:v>
      </x:c>
    </x:row>
    <x:row r="3868">
      <x:c r="A3868" s="87" t="n">
        <x:v>4366</x:v>
      </x:c>
      <x:c r="B3868" s="66" t="n">
        <x:v>563</x:v>
      </x:c>
      <x:c r="C3868" s="66" t="str">
        <x:v>POLITEKNIK NEGERI BALIKPAPAN</x:v>
      </x:c>
      <x:c r="D3868" s="66" t="str">
        <x:v>PTN Vokasi</x:v>
      </x:c>
      <x:c r="E3868" s="66" t="str">
        <x:v>25633003</x:v>
      </x:c>
      <x:c r="F3868" s="66" t="str">
        <x:v>TEKNOLOGI LISTRIK</x:v>
      </x:c>
      <x:c r="G3868" s="66" t="str">
        <x:v>Diploma Tiga</x:v>
      </x:c>
      <x:c r="H3868" s="87" t="n">
        <x:v>30</x:v>
      </x:c>
      <x:c r="I3868" s="87" t="n">
        <x:v>28</x:v>
      </x:c>
      <x:c r="J3868" s="68" t="n">
        <x:f>IFERROR(H3868/I3868,"")</x:f>
        <x:v>1.0714285714285714</x:v>
      </x:c>
      <x:c r="K3868" s="69" t="n">
        <x:f>IFERROR(I3868/H3868,"")</x:f>
        <x:v>0.9333333333333333</x:v>
      </x:c>
      <x:c r="L3868" s="66" t="str">
        <x:f>IF(K3868="","","1 : "&amp;TEXT(K3868,"0.0"))</x:f>
        <x:v>1 : 0.9</x:v>
      </x:c>
      <x:c r="M3868" s="66" t="str">
        <x:f>IF(J3868="","Baru/Tanpa Data",IF(J3868&lt;='Catatan &amp; Sumber'!$B$14,"Sangat Ketat",IF(J3868&lt;='Catatan &amp; Sumber'!$B$15,"Ketat",IF(J3868&lt;='Catatan &amp; Sumber'!$B$16,"Sedang","Relatif Longgar"))))</x:f>
        <x:v>Relatif Longgar</x:v>
      </x:c>
      <x:c r="N3868" s="66" t="str">
        <x:v>Tidak Ada</x:v>
      </x:c>
      <x:c r="O3868" s="66" t="str">
        <x:v>Kalimantan Timur</x:v>
      </x:c>
      <x:c r="P3868" s="66" t="str">
        <x:v>Kota Balikpapan</x:v>
      </x:c>
      <x:c r="Q3868" s="66" t="str">
        <x:v>https://snpmb.id/snbp/daya-tampung-snbp</x:v>
      </x:c>
      <x:c r="R3868" s="66" t="str">
        <x:v>https://sidatagrun-public-1076756628210.asia-southeast2.run.app/ptn_sn.php?ptn=563</x:v>
      </x:c>
    </x:row>
    <x:row r="3869">
      <x:c r="A3869" s="87" t="n">
        <x:v>4423</x:v>
      </x:c>
      <x:c r="B3869" s="66" t="n">
        <x:v>563</x:v>
      </x:c>
      <x:c r="C3869" s="66" t="str">
        <x:v>POLITEKNIK NEGERI BALIKPAPAN</x:v>
      </x:c>
      <x:c r="D3869" s="66" t="str">
        <x:v>PTN Vokasi</x:v>
      </x:c>
      <x:c r="E3869" s="66" t="str">
        <x:v>25633004</x:v>
      </x:c>
      <x:c r="F3869" s="66" t="str">
        <x:v>TEKNIK ELEKTRONIKA</x:v>
      </x:c>
      <x:c r="G3869" s="66" t="str">
        <x:v>Diploma Tiga</x:v>
      </x:c>
      <x:c r="H3869" s="87" t="n">
        <x:v>52</x:v>
      </x:c>
      <x:c r="I3869" s="87" t="n">
        <x:v>45</x:v>
      </x:c>
      <x:c r="J3869" s="68" t="n">
        <x:f>IFERROR(H3869/I3869,"")</x:f>
        <x:v>1.1555555555555554</x:v>
      </x:c>
      <x:c r="K3869" s="69" t="n">
        <x:f>IFERROR(I3869/H3869,"")</x:f>
        <x:v>0.8653846153846154</x:v>
      </x:c>
      <x:c r="L3869" s="66" t="str">
        <x:f>IF(K3869="","","1 : "&amp;TEXT(K3869,"0.0"))</x:f>
        <x:v>1 : 0.9</x:v>
      </x:c>
      <x:c r="M3869" s="66" t="str">
        <x:f>IF(J3869="","Baru/Tanpa Data",IF(J3869&lt;='Catatan &amp; Sumber'!$B$14,"Sangat Ketat",IF(J3869&lt;='Catatan &amp; Sumber'!$B$15,"Ketat",IF(J3869&lt;='Catatan &amp; Sumber'!$B$16,"Sedang","Relatif Longgar"))))</x:f>
        <x:v>Relatif Longgar</x:v>
      </x:c>
      <x:c r="N3869" s="66" t="str">
        <x:v>Tidak Ada</x:v>
      </x:c>
      <x:c r="O3869" s="66" t="str">
        <x:v>Kalimantan Timur</x:v>
      </x:c>
      <x:c r="P3869" s="66" t="str">
        <x:v>Kota Balikpapan</x:v>
      </x:c>
      <x:c r="Q3869" s="66" t="str">
        <x:v>https://snpmb.id/snbp/daya-tampung-snbp</x:v>
      </x:c>
      <x:c r="R3869" s="66" t="str">
        <x:v>https://sidatagrun-public-1076756628210.asia-southeast2.run.app/ptn_sn.php?ptn=563</x:v>
      </x:c>
    </x:row>
    <x:row r="3870">
      <x:c r="A3870" s="87" t="n">
        <x:v>3682</x:v>
      </x:c>
      <x:c r="B3870" s="66" t="n">
        <x:v>563</x:v>
      </x:c>
      <x:c r="C3870" s="66" t="str">
        <x:v>POLITEKNIK NEGERI BALIKPAPAN</x:v>
      </x:c>
      <x:c r="D3870" s="66" t="str">
        <x:v>PTN Vokasi</x:v>
      </x:c>
      <x:c r="E3870" s="66" t="str">
        <x:v>25633006</x:v>
      </x:c>
      <x:c r="F3870" s="66" t="str">
        <x:v>ALAT BERAT</x:v>
      </x:c>
      <x:c r="G3870" s="66" t="str">
        <x:v>Diploma Tiga</x:v>
      </x:c>
      <x:c r="H3870" s="87" t="n">
        <x:v>52</x:v>
      </x:c>
      <x:c r="I3870" s="87" t="n">
        <x:v>102</x:v>
      </x:c>
      <x:c r="J3870" s="68" t="n">
        <x:f>IFERROR(H3870/I3870,"")</x:f>
        <x:v>0.5098039215686274</x:v>
      </x:c>
      <x:c r="K3870" s="69" t="n">
        <x:f>IFERROR(I3870/H3870,"")</x:f>
        <x:v>1.9615384615384615</x:v>
      </x:c>
      <x:c r="L3870" s="66" t="str">
        <x:f>IF(K3870="","","1 : "&amp;TEXT(K3870,"0.0"))</x:f>
        <x:v>1 : 2.0</x:v>
      </x:c>
      <x:c r="M3870" s="66" t="str">
        <x:f>IF(J3870="","Baru/Tanpa Data",IF(J3870&lt;='Catatan &amp; Sumber'!$B$14,"Sangat Ketat",IF(J3870&lt;='Catatan &amp; Sumber'!$B$15,"Ketat",IF(J3870&lt;='Catatan &amp; Sumber'!$B$16,"Sedang","Relatif Longgar"))))</x:f>
        <x:v>Relatif Longgar</x:v>
      </x:c>
      <x:c r="N3870" s="66" t="str">
        <x:v>Tidak Ada</x:v>
      </x:c>
      <x:c r="O3870" s="66" t="str">
        <x:v>Kalimantan Timur</x:v>
      </x:c>
      <x:c r="P3870" s="66" t="str">
        <x:v>Kota Balikpapan</x:v>
      </x:c>
      <x:c r="Q3870" s="66" t="str">
        <x:v>https://snpmb.id/snbp/daya-tampung-snbp</x:v>
      </x:c>
      <x:c r="R3870" s="66" t="str">
        <x:v>https://sidatagrun-public-1076756628210.asia-southeast2.run.app/ptn_sn.php?ptn=563</x:v>
      </x:c>
    </x:row>
    <x:row r="3871">
      <x:c r="A3871" s="87" t="n">
        <x:v>4348</x:v>
      </x:c>
      <x:c r="B3871" s="66" t="n">
        <x:v>563</x:v>
      </x:c>
      <x:c r="C3871" s="66" t="str">
        <x:v>POLITEKNIK NEGERI BALIKPAPAN</x:v>
      </x:c>
      <x:c r="D3871" s="66" t="str">
        <x:v>PTN Vokasi</x:v>
      </x:c>
      <x:c r="E3871" s="66" t="str">
        <x:v>25633007</x:v>
      </x:c>
      <x:c r="F3871" s="66" t="str">
        <x:v>TEKNIK SIPIL</x:v>
      </x:c>
      <x:c r="G3871" s="66" t="str">
        <x:v>Diploma Tiga</x:v>
      </x:c>
      <x:c r="H3871" s="87" t="n">
        <x:v>52</x:v>
      </x:c>
      <x:c r="I3871" s="87" t="n">
        <x:v>50</x:v>
      </x:c>
      <x:c r="J3871" s="68" t="n">
        <x:f>IFERROR(H3871/I3871,"")</x:f>
        <x:v>1.04</x:v>
      </x:c>
      <x:c r="K3871" s="69" t="n">
        <x:f>IFERROR(I3871/H3871,"")</x:f>
        <x:v>0.9615384615384616</x:v>
      </x:c>
      <x:c r="L3871" s="66" t="str">
        <x:f>IF(K3871="","","1 : "&amp;TEXT(K3871,"0.0"))</x:f>
        <x:v>1 : 1.0</x:v>
      </x:c>
      <x:c r="M3871" s="66" t="str">
        <x:f>IF(J3871="","Baru/Tanpa Data",IF(J3871&lt;='Catatan &amp; Sumber'!$B$14,"Sangat Ketat",IF(J3871&lt;='Catatan &amp; Sumber'!$B$15,"Ketat",IF(J3871&lt;='Catatan &amp; Sumber'!$B$16,"Sedang","Relatif Longgar"))))</x:f>
        <x:v>Relatif Longgar</x:v>
      </x:c>
      <x:c r="N3871" s="66" t="str">
        <x:v>Tidak Ada</x:v>
      </x:c>
      <x:c r="O3871" s="66" t="str">
        <x:v>Kalimantan Timur</x:v>
      </x:c>
      <x:c r="P3871" s="66" t="str">
        <x:v>Kota Balikpapan</x:v>
      </x:c>
      <x:c r="Q3871" s="66" t="str">
        <x:v>https://snpmb.id/snbp/daya-tampung-snbp</x:v>
      </x:c>
      <x:c r="R3871" s="66" t="str">
        <x:v>https://sidatagrun-public-1076756628210.asia-southeast2.run.app/ptn_sn.php?ptn=563</x:v>
      </x:c>
    </x:row>
    <x:row r="3872">
      <x:c r="A3872" s="87" t="n">
        <x:v>4125</x:v>
      </x:c>
      <x:c r="B3872" s="66" t="n">
        <x:v>563</x:v>
      </x:c>
      <x:c r="C3872" s="66" t="str">
        <x:v>POLITEKNIK NEGERI BALIKPAPAN</x:v>
      </x:c>
      <x:c r="D3872" s="66" t="str">
        <x:v>PTN Vokasi</x:v>
      </x:c>
      <x:c r="E3872" s="66" t="str">
        <x:v>25633008</x:v>
      </x:c>
      <x:c r="F3872" s="66" t="str">
        <x:v>TATA BOGA</x:v>
      </x:c>
      <x:c r="G3872" s="66" t="str">
        <x:v>Diploma Tiga</x:v>
      </x:c>
      <x:c r="H3872" s="87" t="n">
        <x:v>60</x:v>
      </x:c>
      <x:c r="I3872" s="87" t="n">
        <x:v>76</x:v>
      </x:c>
      <x:c r="J3872" s="68" t="n">
        <x:f>IFERROR(H3872/I3872,"")</x:f>
        <x:v>0.7894736842105263</x:v>
      </x:c>
      <x:c r="K3872" s="69" t="n">
        <x:f>IFERROR(I3872/H3872,"")</x:f>
        <x:v>1.2666666666666666</x:v>
      </x:c>
      <x:c r="L3872" s="66" t="str">
        <x:f>IF(K3872="","","1 : "&amp;TEXT(K3872,"0.0"))</x:f>
        <x:v>1 : 1.3</x:v>
      </x:c>
      <x:c r="M3872" s="66" t="str">
        <x:f>IF(J3872="","Baru/Tanpa Data",IF(J3872&lt;='Catatan &amp; Sumber'!$B$14,"Sangat Ketat",IF(J3872&lt;='Catatan &amp; Sumber'!$B$15,"Ketat",IF(J3872&lt;='Catatan &amp; Sumber'!$B$16,"Sedang","Relatif Longgar"))))</x:f>
        <x:v>Relatif Longgar</x:v>
      </x:c>
      <x:c r="N3872" s="66" t="str">
        <x:v>Tidak Ada</x:v>
      </x:c>
      <x:c r="O3872" s="66" t="str">
        <x:v>Kalimantan Timur</x:v>
      </x:c>
      <x:c r="P3872" s="66" t="str">
        <x:v>Kota Balikpapan</x:v>
      </x:c>
      <x:c r="Q3872" s="66" t="str">
        <x:v>https://snpmb.id/snbp/daya-tampung-snbp</x:v>
      </x:c>
      <x:c r="R3872" s="66" t="str">
        <x:v>https://sidatagrun-public-1076756628210.asia-southeast2.run.app/ptn_sn.php?ptn=563</x:v>
      </x:c>
    </x:row>
    <x:row r="3873">
      <x:c r="A3873" s="87" t="n">
        <x:v>3906</x:v>
      </x:c>
      <x:c r="B3873" s="66" t="n">
        <x:v>571</x:v>
      </x:c>
      <x:c r="C3873" s="66" t="str">
        <x:v>UIN SULTAN AJI MUHAMMAD IDRIS SAMARINDA</x:v>
      </x:c>
      <x:c r="D3873" s="66" t="str">
        <x:v>PTKIN</x:v>
      </x:c>
      <x:c r="E3873" s="66" t="str">
        <x:v>15711001</x:v>
      </x:c>
      <x:c r="F3873" s="66" t="str">
        <x:v>SISTEM INFORMASI</x:v>
      </x:c>
      <x:c r="G3873" s="66" t="str">
        <x:v>Sarjana</x:v>
      </x:c>
      <x:c r="H3873" s="87" t="n">
        <x:v>32</x:v>
      </x:c>
      <x:c r="I3873" s="87" t="n">
        <x:v>51</x:v>
      </x:c>
      <x:c r="J3873" s="68" t="n">
        <x:f>IFERROR(H3873/I3873,"")</x:f>
        <x:v>0.6274509803921569</x:v>
      </x:c>
      <x:c r="K3873" s="69" t="n">
        <x:f>IFERROR(I3873/H3873,"")</x:f>
        <x:v>1.59375</x:v>
      </x:c>
      <x:c r="L3873" s="66" t="str">
        <x:f>IF(K3873="","","1 : "&amp;TEXT(K3873,"0.0"))</x:f>
        <x:v>1 : 1.6</x:v>
      </x:c>
      <x:c r="M3873" s="66" t="str">
        <x:f>IF(J3873="","Baru/Tanpa Data",IF(J3873&lt;='Catatan &amp; Sumber'!$B$14,"Sangat Ketat",IF(J3873&lt;='Catatan &amp; Sumber'!$B$15,"Ketat",IF(J3873&lt;='Catatan &amp; Sumber'!$B$16,"Sedang","Relatif Longgar"))))</x:f>
        <x:v>Relatif Longgar</x:v>
      </x:c>
      <x:c r="N3873" s="66" t="str">
        <x:v>Tidak Ada</x:v>
      </x:c>
      <x:c r="O3873" s="66" t="str">
        <x:v>Kalimantan Timur</x:v>
      </x:c>
      <x:c r="P3873" s="66" t="str">
        <x:v>Kota Samarinda</x:v>
      </x:c>
      <x:c r="Q3873" s="66" t="str">
        <x:v>https://snpmb.id/snbp/daya-tampung-snbp</x:v>
      </x:c>
      <x:c r="R3873" s="66" t="str">
        <x:v>https://sidatagrun-public-1076756628210.asia-southeast2.run.app/ptn_sn.php?ptn=571</x:v>
      </x:c>
    </x:row>
    <x:row r="3874">
      <x:c r="A3874" s="87" t="n">
        <x:v>176</x:v>
      </x:c>
      <x:c r="B3874" s="66" t="n">
        <x:v>611</x:v>
      </x:c>
      <x:c r="C3874" s="66" t="str">
        <x:v>UNIVERSITAS UDAYANA</x:v>
      </x:c>
      <x:c r="D3874" s="66" t="str">
        <x:v>PTN Akademik</x:v>
      </x:c>
      <x:c r="E3874" s="66" t="str">
        <x:v>16111001</x:v>
      </x:c>
      <x:c r="F3874" s="66" t="str">
        <x:v>KEDOKTERAN</x:v>
      </x:c>
      <x:c r="G3874" s="66" t="str">
        <x:v>Sarjana</x:v>
      </x:c>
      <x:c r="H3874" s="87" t="n">
        <x:v>52</x:v>
      </x:c>
      <x:c r="I3874" s="87" t="n">
        <x:v>1471</x:v>
      </x:c>
      <x:c r="J3874" s="68" t="n">
        <x:f>IFERROR(H3874/I3874,"")</x:f>
        <x:v>0.03535010197144799</x:v>
      </x:c>
      <x:c r="K3874" s="69" t="n">
        <x:f>IFERROR(I3874/H3874,"")</x:f>
        <x:v>28.28846153846154</x:v>
      </x:c>
      <x:c r="L3874" s="66" t="str">
        <x:f>IF(K3874="","","1 : "&amp;TEXT(K3874,"0.0"))</x:f>
        <x:v>1 : 28.3</x:v>
      </x:c>
      <x:c r="M3874" s="66" t="str">
        <x:f>IF(J3874="","Baru/Tanpa Data",IF(J3874&lt;='Catatan &amp; Sumber'!$B$14,"Sangat Ketat",IF(J3874&lt;='Catatan &amp; Sumber'!$B$15,"Ketat",IF(J3874&lt;='Catatan &amp; Sumber'!$B$16,"Sedang","Relatif Longgar"))))</x:f>
        <x:v>Ketat</x:v>
      </x:c>
      <x:c r="N3874" s="66" t="str">
        <x:v>Tidak Ada</x:v>
      </x:c>
      <x:c r="O3874" s="66" t="str">
        <x:v>Bali</x:v>
      </x:c>
      <x:c r="P3874" s="66" t="str">
        <x:v>Kabupaten Badung</x:v>
      </x:c>
      <x:c r="Q3874" s="66" t="str">
        <x:v>https://snpmb.id/snbp/daya-tampung-snbp</x:v>
      </x:c>
      <x:c r="R3874" s="66" t="str">
        <x:v>https://sidatagrun-public-1076756628210.asia-southeast2.run.app/ptn_sn.php?ptn=611</x:v>
      </x:c>
    </x:row>
    <x:row r="3875">
      <x:c r="A3875" s="87" t="n">
        <x:v>1934</x:v>
      </x:c>
      <x:c r="B3875" s="66" t="n">
        <x:v>611</x:v>
      </x:c>
      <x:c r="C3875" s="66" t="str">
        <x:v>UNIVERSITAS UDAYANA</x:v>
      </x:c>
      <x:c r="D3875" s="66" t="str">
        <x:v>PTN Akademik</x:v>
      </x:c>
      <x:c r="E3875" s="66" t="str">
        <x:v>16111002</x:v>
      </x:c>
      <x:c r="F3875" s="66" t="str">
        <x:v>KEDOKTERAN HEWAN</x:v>
      </x:c>
      <x:c r="G3875" s="66" t="str">
        <x:v>Sarjana</x:v>
      </x:c>
      <x:c r="H3875" s="87" t="n">
        <x:v>50</x:v>
      </x:c>
      <x:c r="I3875" s="87" t="n">
        <x:v>346</x:v>
      </x:c>
      <x:c r="J3875" s="68" t="n">
        <x:f>IFERROR(H3875/I3875,"")</x:f>
        <x:v>0.14450867052023122</x:v>
      </x:c>
      <x:c r="K3875" s="69" t="n">
        <x:f>IFERROR(I3875/H3875,"")</x:f>
        <x:v>6.92</x:v>
      </x:c>
      <x:c r="L3875" s="66" t="str">
        <x:f>IF(K3875="","","1 : "&amp;TEXT(K3875,"0.0"))</x:f>
        <x:v>1 : 6.9</x:v>
      </x:c>
      <x:c r="M3875" s="66" t="str">
        <x:f>IF(J3875="","Baru/Tanpa Data",IF(J3875&lt;='Catatan &amp; Sumber'!$B$14,"Sangat Ketat",IF(J3875&lt;='Catatan &amp; Sumber'!$B$15,"Ketat",IF(J3875&lt;='Catatan &amp; Sumber'!$B$16,"Sedang","Relatif Longgar"))))</x:f>
        <x:v>Relatif Longgar</x:v>
      </x:c>
      <x:c r="N3875" s="66" t="str">
        <x:v>Tidak Ada</x:v>
      </x:c>
      <x:c r="O3875" s="66" t="str">
        <x:v>Bali</x:v>
      </x:c>
      <x:c r="P3875" s="66" t="str">
        <x:v>Kabupaten Badung</x:v>
      </x:c>
      <x:c r="Q3875" s="66" t="str">
        <x:v>https://snpmb.id/snbp/daya-tampung-snbp</x:v>
      </x:c>
      <x:c r="R3875" s="66" t="str">
        <x:v>https://sidatagrun-public-1076756628210.asia-southeast2.run.app/ptn_sn.php?ptn=611</x:v>
      </x:c>
    </x:row>
    <x:row r="3876">
      <x:c r="A3876" s="87" t="n">
        <x:v>1247</x:v>
      </x:c>
      <x:c r="B3876" s="66" t="n">
        <x:v>611</x:v>
      </x:c>
      <x:c r="C3876" s="66" t="str">
        <x:v>UNIVERSITAS UDAYANA</x:v>
      </x:c>
      <x:c r="D3876" s="66" t="str">
        <x:v>PTN Akademik</x:v>
      </x:c>
      <x:c r="E3876" s="66" t="str">
        <x:v>16111003</x:v>
      </x:c>
      <x:c r="F3876" s="66" t="str">
        <x:v>ARSITEKTUR</x:v>
      </x:c>
      <x:c r="G3876" s="66" t="str">
        <x:v>Sarjana</x:v>
      </x:c>
      <x:c r="H3876" s="87" t="n">
        <x:v>32</x:v>
      </x:c>
      <x:c r="I3876" s="87" t="n">
        <x:v>345</x:v>
      </x:c>
      <x:c r="J3876" s="68" t="n">
        <x:f>IFERROR(H3876/I3876,"")</x:f>
        <x:v>0.0927536231884058</x:v>
      </x:c>
      <x:c r="K3876" s="69" t="n">
        <x:f>IFERROR(I3876/H3876,"")</x:f>
        <x:v>10.78125</x:v>
      </x:c>
      <x:c r="L3876" s="66" t="str">
        <x:f>IF(K3876="","","1 : "&amp;TEXT(K3876,"0.0"))</x:f>
        <x:v>1 : 10.8</x:v>
      </x:c>
      <x:c r="M3876" s="66" t="str">
        <x:f>IF(J3876="","Baru/Tanpa Data",IF(J3876&lt;='Catatan &amp; Sumber'!$B$14,"Sangat Ketat",IF(J3876&lt;='Catatan &amp; Sumber'!$B$15,"Ketat",IF(J3876&lt;='Catatan &amp; Sumber'!$B$16,"Sedang","Relatif Longgar"))))</x:f>
        <x:v>Sedang</x:v>
      </x:c>
      <x:c r="N3876" s="66" t="str">
        <x:v>Tidak Ada</x:v>
      </x:c>
      <x:c r="O3876" s="66" t="str">
        <x:v>Bali</x:v>
      </x:c>
      <x:c r="P3876" s="66" t="str">
        <x:v>Kabupaten Badung</x:v>
      </x:c>
      <x:c r="Q3876" s="66" t="str">
        <x:v>https://snpmb.id/snbp/daya-tampung-snbp</x:v>
      </x:c>
      <x:c r="R3876" s="66" t="str">
        <x:v>https://sidatagrun-public-1076756628210.asia-southeast2.run.app/ptn_sn.php?ptn=611</x:v>
      </x:c>
    </x:row>
    <x:row r="3877">
      <x:c r="A3877" s="87" t="n">
        <x:v>1190</x:v>
      </x:c>
      <x:c r="B3877" s="66" t="n">
        <x:v>611</x:v>
      </x:c>
      <x:c r="C3877" s="66" t="str">
        <x:v>UNIVERSITAS UDAYANA</x:v>
      </x:c>
      <x:c r="D3877" s="66" t="str">
        <x:v>PTN Akademik</x:v>
      </x:c>
      <x:c r="E3877" s="66" t="str">
        <x:v>16111004</x:v>
      </x:c>
      <x:c r="F3877" s="66" t="str">
        <x:v>TEKNIK SIPIL</x:v>
      </x:c>
      <x:c r="G3877" s="66" t="str">
        <x:v>Sarjana</x:v>
      </x:c>
      <x:c r="H3877" s="87" t="n">
        <x:v>42</x:v>
      </x:c>
      <x:c r="I3877" s="87" t="n">
        <x:v>471</x:v>
      </x:c>
      <x:c r="J3877" s="68" t="n">
        <x:f>IFERROR(H3877/I3877,"")</x:f>
        <x:v>0.08917197452229299</x:v>
      </x:c>
      <x:c r="K3877" s="69" t="n">
        <x:f>IFERROR(I3877/H3877,"")</x:f>
        <x:v>11.214285714285714</x:v>
      </x:c>
      <x:c r="L3877" s="66" t="str">
        <x:f>IF(K3877="","","1 : "&amp;TEXT(K3877,"0.0"))</x:f>
        <x:v>1 : 11.2</x:v>
      </x:c>
      <x:c r="M3877" s="66" t="str">
        <x:f>IF(J3877="","Baru/Tanpa Data",IF(J3877&lt;='Catatan &amp; Sumber'!$B$14,"Sangat Ketat",IF(J3877&lt;='Catatan &amp; Sumber'!$B$15,"Ketat",IF(J3877&lt;='Catatan &amp; Sumber'!$B$16,"Sedang","Relatif Longgar"))))</x:f>
        <x:v>Sedang</x:v>
      </x:c>
      <x:c r="N3877" s="66" t="str">
        <x:v>Tidak Ada</x:v>
      </x:c>
      <x:c r="O3877" s="66" t="str">
        <x:v>Bali</x:v>
      </x:c>
      <x:c r="P3877" s="66" t="str">
        <x:v>Kabupaten Badung</x:v>
      </x:c>
      <x:c r="Q3877" s="66" t="str">
        <x:v>https://snpmb.id/snbp/daya-tampung-snbp</x:v>
      </x:c>
      <x:c r="R3877" s="66" t="str">
        <x:v>https://sidatagrun-public-1076756628210.asia-southeast2.run.app/ptn_sn.php?ptn=611</x:v>
      </x:c>
    </x:row>
    <x:row r="3878">
      <x:c r="A3878" s="87" t="n">
        <x:v>2554</x:v>
      </x:c>
      <x:c r="B3878" s="66" t="n">
        <x:v>611</x:v>
      </x:c>
      <x:c r="C3878" s="66" t="str">
        <x:v>UNIVERSITAS UDAYANA</x:v>
      </x:c>
      <x:c r="D3878" s="66" t="str">
        <x:v>PTN Akademik</x:v>
      </x:c>
      <x:c r="E3878" s="66" t="str">
        <x:v>16111005</x:v>
      </x:c>
      <x:c r="F3878" s="66" t="str">
        <x:v>TEKNOLOGI PANGAN</x:v>
      </x:c>
      <x:c r="G3878" s="66" t="str">
        <x:v>Sarjana</x:v>
      </x:c>
      <x:c r="H3878" s="87" t="n">
        <x:v>55</x:v>
      </x:c>
      <x:c r="I3878" s="87" t="n">
        <x:v>250</x:v>
      </x:c>
      <x:c r="J3878" s="68" t="n">
        <x:f>IFERROR(H3878/I3878,"")</x:f>
        <x:v>0.22</x:v>
      </x:c>
      <x:c r="K3878" s="69" t="n">
        <x:f>IFERROR(I3878/H3878,"")</x:f>
        <x:v>4.545454545454546</x:v>
      </x:c>
      <x:c r="L3878" s="66" t="str">
        <x:f>IF(K3878="","","1 : "&amp;TEXT(K3878,"0.0"))</x:f>
        <x:v>1 : 4.5</x:v>
      </x:c>
      <x:c r="M3878" s="66" t="str">
        <x:f>IF(J3878="","Baru/Tanpa Data",IF(J3878&lt;='Catatan &amp; Sumber'!$B$14,"Sangat Ketat",IF(J3878&lt;='Catatan &amp; Sumber'!$B$15,"Ketat",IF(J3878&lt;='Catatan &amp; Sumber'!$B$16,"Sedang","Relatif Longgar"))))</x:f>
        <x:v>Relatif Longgar</x:v>
      </x:c>
      <x:c r="N3878" s="66" t="str">
        <x:v>Tidak Ada</x:v>
      </x:c>
      <x:c r="O3878" s="66" t="str">
        <x:v>Bali</x:v>
      </x:c>
      <x:c r="P3878" s="66" t="str">
        <x:v>Kabupaten Badung</x:v>
      </x:c>
      <x:c r="Q3878" s="66" t="str">
        <x:v>https://snpmb.id/snbp/daya-tampung-snbp</x:v>
      </x:c>
      <x:c r="R3878" s="66" t="str">
        <x:v>https://sidatagrun-public-1076756628210.asia-southeast2.run.app/ptn_sn.php?ptn=611</x:v>
      </x:c>
    </x:row>
    <x:row r="3879">
      <x:c r="A3879" s="87" t="n">
        <x:v>3929</x:v>
      </x:c>
      <x:c r="B3879" s="66" t="n">
        <x:v>611</x:v>
      </x:c>
      <x:c r="C3879" s="66" t="str">
        <x:v>UNIVERSITAS UDAYANA</x:v>
      </x:c>
      <x:c r="D3879" s="66" t="str">
        <x:v>PTN Akademik</x:v>
      </x:c>
      <x:c r="E3879" s="66" t="str">
        <x:v>16111006</x:v>
      </x:c>
      <x:c r="F3879" s="66" t="str">
        <x:v>TEKNOLOGI INDUSTRI PERTANIAN</x:v>
      </x:c>
      <x:c r="G3879" s="66" t="str">
        <x:v>Sarjana</x:v>
      </x:c>
      <x:c r="H3879" s="87" t="n">
        <x:v>50</x:v>
      </x:c>
      <x:c r="I3879" s="87" t="n">
        <x:v>78</x:v>
      </x:c>
      <x:c r="J3879" s="68" t="n">
        <x:f>IFERROR(H3879/I3879,"")</x:f>
        <x:v>0.6410256410256411</x:v>
      </x:c>
      <x:c r="K3879" s="69" t="n">
        <x:f>IFERROR(I3879/H3879,"")</x:f>
        <x:v>1.56</x:v>
      </x:c>
      <x:c r="L3879" s="66" t="str">
        <x:f>IF(K3879="","","1 : "&amp;TEXT(K3879,"0.0"))</x:f>
        <x:v>1 : 1.6</x:v>
      </x:c>
      <x:c r="M3879" s="66" t="str">
        <x:f>IF(J3879="","Baru/Tanpa Data",IF(J3879&lt;='Catatan &amp; Sumber'!$B$14,"Sangat Ketat",IF(J3879&lt;='Catatan &amp; Sumber'!$B$15,"Ketat",IF(J3879&lt;='Catatan &amp; Sumber'!$B$16,"Sedang","Relatif Longgar"))))</x:f>
        <x:v>Relatif Longgar</x:v>
      </x:c>
      <x:c r="N3879" s="66" t="str">
        <x:v>Tidak Ada</x:v>
      </x:c>
      <x:c r="O3879" s="66" t="str">
        <x:v>Bali</x:v>
      </x:c>
      <x:c r="P3879" s="66" t="str">
        <x:v>Kabupaten Badung</x:v>
      </x:c>
      <x:c r="Q3879" s="66" t="str">
        <x:v>https://snpmb.id/snbp/daya-tampung-snbp</x:v>
      </x:c>
      <x:c r="R3879" s="66" t="str">
        <x:v>https://sidatagrun-public-1076756628210.asia-southeast2.run.app/ptn_sn.php?ptn=611</x:v>
      </x:c>
    </x:row>
    <x:row r="3880">
      <x:c r="A3880" s="87" t="n">
        <x:v>3583</x:v>
      </x:c>
      <x:c r="B3880" s="66" t="n">
        <x:v>611</x:v>
      </x:c>
      <x:c r="C3880" s="66" t="str">
        <x:v>UNIVERSITAS UDAYANA</x:v>
      </x:c>
      <x:c r="D3880" s="66" t="str">
        <x:v>PTN Akademik</x:v>
      </x:c>
      <x:c r="E3880" s="66" t="str">
        <x:v>16111007</x:v>
      </x:c>
      <x:c r="F3880" s="66" t="str">
        <x:v>TEKNIK PERTANIAN DAN BIOSISTEM</x:v>
      </x:c>
      <x:c r="G3880" s="66" t="str">
        <x:v>Sarjana</x:v>
      </x:c>
      <x:c r="H3880" s="87" t="n">
        <x:v>40</x:v>
      </x:c>
      <x:c r="I3880" s="87" t="n">
        <x:v>86</x:v>
      </x:c>
      <x:c r="J3880" s="68" t="n">
        <x:f>IFERROR(H3880/I3880,"")</x:f>
        <x:v>0.46511627906976744</x:v>
      </x:c>
      <x:c r="K3880" s="69" t="n">
        <x:f>IFERROR(I3880/H3880,"")</x:f>
        <x:v>2.15</x:v>
      </x:c>
      <x:c r="L3880" s="66" t="str">
        <x:f>IF(K3880="","","1 : "&amp;TEXT(K3880,"0.0"))</x:f>
        <x:v>1 : 2.2</x:v>
      </x:c>
      <x:c r="M3880" s="66" t="str">
        <x:f>IF(J3880="","Baru/Tanpa Data",IF(J3880&lt;='Catatan &amp; Sumber'!$B$14,"Sangat Ketat",IF(J3880&lt;='Catatan &amp; Sumber'!$B$15,"Ketat",IF(J3880&lt;='Catatan &amp; Sumber'!$B$16,"Sedang","Relatif Longgar"))))</x:f>
        <x:v>Relatif Longgar</x:v>
      </x:c>
      <x:c r="N3880" s="66" t="str">
        <x:v>Tidak Ada</x:v>
      </x:c>
      <x:c r="O3880" s="66" t="str">
        <x:v>Bali</x:v>
      </x:c>
      <x:c r="P3880" s="66" t="str">
        <x:v>Kabupaten Badung</x:v>
      </x:c>
      <x:c r="Q3880" s="66" t="str">
        <x:v>https://snpmb.id/snbp/daya-tampung-snbp</x:v>
      </x:c>
      <x:c r="R3880" s="66" t="str">
        <x:v>https://sidatagrun-public-1076756628210.asia-southeast2.run.app/ptn_sn.php?ptn=611</x:v>
      </x:c>
    </x:row>
    <x:row r="3881">
      <x:c r="A3881" s="87" t="n">
        <x:v>3884</x:v>
      </x:c>
      <x:c r="B3881" s="66" t="n">
        <x:v>611</x:v>
      </x:c>
      <x:c r="C3881" s="66" t="str">
        <x:v>UNIVERSITAS UDAYANA</x:v>
      </x:c>
      <x:c r="D3881" s="66" t="str">
        <x:v>PTN Akademik</x:v>
      </x:c>
      <x:c r="E3881" s="66" t="str">
        <x:v>16111008</x:v>
      </x:c>
      <x:c r="F3881" s="66" t="str">
        <x:v>BIOLOGI</x:v>
      </x:c>
      <x:c r="G3881" s="66" t="str">
        <x:v>Sarjana</x:v>
      </x:c>
      <x:c r="H3881" s="87" t="n">
        <x:v>35</x:v>
      </x:c>
      <x:c r="I3881" s="87" t="n">
        <x:v>57</x:v>
      </x:c>
      <x:c r="J3881" s="68" t="n">
        <x:f>IFERROR(H3881/I3881,"")</x:f>
        <x:v>0.6140350877192983</x:v>
      </x:c>
      <x:c r="K3881" s="69" t="n">
        <x:f>IFERROR(I3881/H3881,"")</x:f>
        <x:v>1.6285714285714286</x:v>
      </x:c>
      <x:c r="L3881" s="66" t="str">
        <x:f>IF(K3881="","","1 : "&amp;TEXT(K3881,"0.0"))</x:f>
        <x:v>1 : 1.6</x:v>
      </x:c>
      <x:c r="M3881" s="66" t="str">
        <x:f>IF(J3881="","Baru/Tanpa Data",IF(J3881&lt;='Catatan &amp; Sumber'!$B$14,"Sangat Ketat",IF(J3881&lt;='Catatan &amp; Sumber'!$B$15,"Ketat",IF(J3881&lt;='Catatan &amp; Sumber'!$B$16,"Sedang","Relatif Longgar"))))</x:f>
        <x:v>Relatif Longgar</x:v>
      </x:c>
      <x:c r="N3881" s="66" t="str">
        <x:v>Tidak Ada</x:v>
      </x:c>
      <x:c r="O3881" s="66" t="str">
        <x:v>Bali</x:v>
      </x:c>
      <x:c r="P3881" s="66" t="str">
        <x:v>Kabupaten Badung</x:v>
      </x:c>
      <x:c r="Q3881" s="66" t="str">
        <x:v>https://snpmb.id/snbp/daya-tampung-snbp</x:v>
      </x:c>
      <x:c r="R3881" s="66" t="str">
        <x:v>https://sidatagrun-public-1076756628210.asia-southeast2.run.app/ptn_sn.php?ptn=611</x:v>
      </x:c>
    </x:row>
    <x:row r="3882">
      <x:c r="A3882" s="87" t="n">
        <x:v>3654</x:v>
      </x:c>
      <x:c r="B3882" s="66" t="n">
        <x:v>611</x:v>
      </x:c>
      <x:c r="C3882" s="66" t="str">
        <x:v>UNIVERSITAS UDAYANA</x:v>
      </x:c>
      <x:c r="D3882" s="66" t="str">
        <x:v>PTN Akademik</x:v>
      </x:c>
      <x:c r="E3882" s="66" t="str">
        <x:v>16111009</x:v>
      </x:c>
      <x:c r="F3882" s="66" t="str">
        <x:v>KIMIA</x:v>
      </x:c>
      <x:c r="G3882" s="66" t="str">
        <x:v>Sarjana</x:v>
      </x:c>
      <x:c r="H3882" s="87" t="n">
        <x:v>35</x:v>
      </x:c>
      <x:c r="I3882" s="87" t="n">
        <x:v>70</x:v>
      </x:c>
      <x:c r="J3882" s="68" t="n">
        <x:f>IFERROR(H3882/I3882,"")</x:f>
        <x:v>0.5</x:v>
      </x:c>
      <x:c r="K3882" s="69" t="n">
        <x:f>IFERROR(I3882/H3882,"")</x:f>
        <x:v>2</x:v>
      </x:c>
      <x:c r="L3882" s="66" t="str">
        <x:f>IF(K3882="","","1 : "&amp;TEXT(K3882,"0.0"))</x:f>
        <x:v>1 : 2.0</x:v>
      </x:c>
      <x:c r="M3882" s="66" t="str">
        <x:f>IF(J3882="","Baru/Tanpa Data",IF(J3882&lt;='Catatan &amp; Sumber'!$B$14,"Sangat Ketat",IF(J3882&lt;='Catatan &amp; Sumber'!$B$15,"Ketat",IF(J3882&lt;='Catatan &amp; Sumber'!$B$16,"Sedang","Relatif Longgar"))))</x:f>
        <x:v>Relatif Longgar</x:v>
      </x:c>
      <x:c r="N3882" s="66" t="str">
        <x:v>Tidak Ada</x:v>
      </x:c>
      <x:c r="O3882" s="66" t="str">
        <x:v>Bali</x:v>
      </x:c>
      <x:c r="P3882" s="66" t="str">
        <x:v>Kabupaten Badung</x:v>
      </x:c>
      <x:c r="Q3882" s="66" t="str">
        <x:v>https://snpmb.id/snbp/daya-tampung-snbp</x:v>
      </x:c>
      <x:c r="R3882" s="66" t="str">
        <x:v>https://sidatagrun-public-1076756628210.asia-southeast2.run.app/ptn_sn.php?ptn=611</x:v>
      </x:c>
    </x:row>
    <x:row r="3883">
      <x:c r="A3883" s="87" t="n">
        <x:v>4281</x:v>
      </x:c>
      <x:c r="B3883" s="66" t="n">
        <x:v>611</x:v>
      </x:c>
      <x:c r="C3883" s="66" t="str">
        <x:v>UNIVERSITAS UDAYANA</x:v>
      </x:c>
      <x:c r="D3883" s="66" t="str">
        <x:v>PTN Akademik</x:v>
      </x:c>
      <x:c r="E3883" s="66" t="str">
        <x:v>16111010</x:v>
      </x:c>
      <x:c r="F3883" s="66" t="str">
        <x:v>FISIKA</x:v>
      </x:c>
      <x:c r="G3883" s="66" t="str">
        <x:v>Sarjana</x:v>
      </x:c>
      <x:c r="H3883" s="87" t="n">
        <x:v>50</x:v>
      </x:c>
      <x:c r="I3883" s="87" t="n">
        <x:v>53</x:v>
      </x:c>
      <x:c r="J3883" s="68" t="n">
        <x:f>IFERROR(H3883/I3883,"")</x:f>
        <x:v>0.9433962264150944</x:v>
      </x:c>
      <x:c r="K3883" s="69" t="n">
        <x:f>IFERROR(I3883/H3883,"")</x:f>
        <x:v>1.06</x:v>
      </x:c>
      <x:c r="L3883" s="66" t="str">
        <x:f>IF(K3883="","","1 : "&amp;TEXT(K3883,"0.0"))</x:f>
        <x:v>1 : 1.1</x:v>
      </x:c>
      <x:c r="M3883" s="66" t="str">
        <x:f>IF(J3883="","Baru/Tanpa Data",IF(J3883&lt;='Catatan &amp; Sumber'!$B$14,"Sangat Ketat",IF(J3883&lt;='Catatan &amp; Sumber'!$B$15,"Ketat",IF(J3883&lt;='Catatan &amp; Sumber'!$B$16,"Sedang","Relatif Longgar"))))</x:f>
        <x:v>Relatif Longgar</x:v>
      </x:c>
      <x:c r="N3883" s="66" t="str">
        <x:v>Tidak Ada</x:v>
      </x:c>
      <x:c r="O3883" s="66" t="str">
        <x:v>Bali</x:v>
      </x:c>
      <x:c r="P3883" s="66" t="str">
        <x:v>Kabupaten Badung</x:v>
      </x:c>
      <x:c r="Q3883" s="66" t="str">
        <x:v>https://snpmb.id/snbp/daya-tampung-snbp</x:v>
      </x:c>
      <x:c r="R3883" s="66" t="str">
        <x:v>https://sidatagrun-public-1076756628210.asia-southeast2.run.app/ptn_sn.php?ptn=611</x:v>
      </x:c>
    </x:row>
    <x:row r="3884">
      <x:c r="A3884" s="87" t="n">
        <x:v>3769</x:v>
      </x:c>
      <x:c r="B3884" s="66" t="n">
        <x:v>611</x:v>
      </x:c>
      <x:c r="C3884" s="66" t="str">
        <x:v>UNIVERSITAS UDAYANA</x:v>
      </x:c>
      <x:c r="D3884" s="66" t="str">
        <x:v>PTN Akademik</x:v>
      </x:c>
      <x:c r="E3884" s="66" t="str">
        <x:v>16111011</x:v>
      </x:c>
      <x:c r="F3884" s="66" t="str">
        <x:v>TEKNIK MESIN</x:v>
      </x:c>
      <x:c r="G3884" s="66" t="str">
        <x:v>Sarjana</x:v>
      </x:c>
      <x:c r="H3884" s="87" t="n">
        <x:v>90</x:v>
      </x:c>
      <x:c r="I3884" s="87" t="n">
        <x:v>162</x:v>
      </x:c>
      <x:c r="J3884" s="68" t="n">
        <x:f>IFERROR(H3884/I3884,"")</x:f>
        <x:v>0.5555555555555556</x:v>
      </x:c>
      <x:c r="K3884" s="69" t="n">
        <x:f>IFERROR(I3884/H3884,"")</x:f>
        <x:v>1.8</x:v>
      </x:c>
      <x:c r="L3884" s="66" t="str">
        <x:f>IF(K3884="","","1 : "&amp;TEXT(K3884,"0.0"))</x:f>
        <x:v>1 : 1.8</x:v>
      </x:c>
      <x:c r="M3884" s="66" t="str">
        <x:f>IF(J3884="","Baru/Tanpa Data",IF(J3884&lt;='Catatan &amp; Sumber'!$B$14,"Sangat Ketat",IF(J3884&lt;='Catatan &amp; Sumber'!$B$15,"Ketat",IF(J3884&lt;='Catatan &amp; Sumber'!$B$16,"Sedang","Relatif Longgar"))))</x:f>
        <x:v>Relatif Longgar</x:v>
      </x:c>
      <x:c r="N3884" s="66" t="str">
        <x:v>Tidak Ada</x:v>
      </x:c>
      <x:c r="O3884" s="66" t="str">
        <x:v>Bali</x:v>
      </x:c>
      <x:c r="P3884" s="66" t="str">
        <x:v>Kabupaten Badung</x:v>
      </x:c>
      <x:c r="Q3884" s="66" t="str">
        <x:v>https://snpmb.id/snbp/daya-tampung-snbp</x:v>
      </x:c>
      <x:c r="R3884" s="66" t="str">
        <x:v>https://sidatagrun-public-1076756628210.asia-southeast2.run.app/ptn_sn.php?ptn=611</x:v>
      </x:c>
    </x:row>
    <x:row r="3885">
      <x:c r="A3885" s="87" t="n">
        <x:v>3415</x:v>
      </x:c>
      <x:c r="B3885" s="66" t="n">
        <x:v>611</x:v>
      </x:c>
      <x:c r="C3885" s="66" t="str">
        <x:v>UNIVERSITAS UDAYANA</x:v>
      </x:c>
      <x:c r="D3885" s="66" t="str">
        <x:v>PTN Akademik</x:v>
      </x:c>
      <x:c r="E3885" s="66" t="str">
        <x:v>16111012</x:v>
      </x:c>
      <x:c r="F3885" s="66" t="str">
        <x:v>TEKNIK ELEKTRO</x:v>
      </x:c>
      <x:c r="G3885" s="66" t="str">
        <x:v>Sarjana</x:v>
      </x:c>
      <x:c r="H3885" s="87" t="n">
        <x:v>80</x:v>
      </x:c>
      <x:c r="I3885" s="87" t="n">
        <x:v>197</x:v>
      </x:c>
      <x:c r="J3885" s="68" t="n">
        <x:f>IFERROR(H3885/I3885,"")</x:f>
        <x:v>0.40609137055837563</x:v>
      </x:c>
      <x:c r="K3885" s="69" t="n">
        <x:f>IFERROR(I3885/H3885,"")</x:f>
        <x:v>2.4625</x:v>
      </x:c>
      <x:c r="L3885" s="66" t="str">
        <x:f>IF(K3885="","","1 : "&amp;TEXT(K3885,"0.0"))</x:f>
        <x:v>1 : 2.5</x:v>
      </x:c>
      <x:c r="M3885" s="66" t="str">
        <x:f>IF(J3885="","Baru/Tanpa Data",IF(J3885&lt;='Catatan &amp; Sumber'!$B$14,"Sangat Ketat",IF(J3885&lt;='Catatan &amp; Sumber'!$B$15,"Ketat",IF(J3885&lt;='Catatan &amp; Sumber'!$B$16,"Sedang","Relatif Longgar"))))</x:f>
        <x:v>Relatif Longgar</x:v>
      </x:c>
      <x:c r="N3885" s="66" t="str">
        <x:v>Tidak Ada</x:v>
      </x:c>
      <x:c r="O3885" s="66" t="str">
        <x:v>Bali</x:v>
      </x:c>
      <x:c r="P3885" s="66" t="str">
        <x:v>Kabupaten Badung</x:v>
      </x:c>
      <x:c r="Q3885" s="66" t="str">
        <x:v>https://snpmb.id/snbp/daya-tampung-snbp</x:v>
      </x:c>
      <x:c r="R3885" s="66" t="str">
        <x:v>https://sidatagrun-public-1076756628210.asia-southeast2.run.app/ptn_sn.php?ptn=611</x:v>
      </x:c>
    </x:row>
    <x:row r="3886">
      <x:c r="A3886" s="87" t="n">
        <x:v>2953</x:v>
      </x:c>
      <x:c r="B3886" s="66" t="n">
        <x:v>611</x:v>
      </x:c>
      <x:c r="C3886" s="66" t="str">
        <x:v>UNIVERSITAS UDAYANA</x:v>
      </x:c>
      <x:c r="D3886" s="66" t="str">
        <x:v>PTN Akademik</x:v>
      </x:c>
      <x:c r="E3886" s="66" t="str">
        <x:v>16111013</x:v>
      </x:c>
      <x:c r="F3886" s="66" t="str">
        <x:v>AGRIBISNIS</x:v>
      </x:c>
      <x:c r="G3886" s="66" t="str">
        <x:v>Sarjana</x:v>
      </x:c>
      <x:c r="H3886" s="87" t="n">
        <x:v>42</x:v>
      </x:c>
      <x:c r="I3886" s="87" t="n">
        <x:v>147</x:v>
      </x:c>
      <x:c r="J3886" s="68" t="n">
        <x:f>IFERROR(H3886/I3886,"")</x:f>
        <x:v>0.2857142857142857</x:v>
      </x:c>
      <x:c r="K3886" s="69" t="n">
        <x:f>IFERROR(I3886/H3886,"")</x:f>
        <x:v>3.5</x:v>
      </x:c>
      <x:c r="L3886" s="66" t="str">
        <x:f>IF(K3886="","","1 : "&amp;TEXT(K3886,"0.0"))</x:f>
        <x:v>1 : 3.5</x:v>
      </x:c>
      <x:c r="M3886" s="66" t="str">
        <x:f>IF(J3886="","Baru/Tanpa Data",IF(J3886&lt;='Catatan &amp; Sumber'!$B$14,"Sangat Ketat",IF(J3886&lt;='Catatan &amp; Sumber'!$B$15,"Ketat",IF(J3886&lt;='Catatan &amp; Sumber'!$B$16,"Sedang","Relatif Longgar"))))</x:f>
        <x:v>Relatif Longgar</x:v>
      </x:c>
      <x:c r="N3886" s="66" t="str">
        <x:v>Tidak Ada</x:v>
      </x:c>
      <x:c r="O3886" s="66" t="str">
        <x:v>Bali</x:v>
      </x:c>
      <x:c r="P3886" s="66" t="str">
        <x:v>Kabupaten Badung</x:v>
      </x:c>
      <x:c r="Q3886" s="66" t="str">
        <x:v>https://snpmb.id/snbp/daya-tampung-snbp</x:v>
      </x:c>
      <x:c r="R3886" s="66" t="str">
        <x:v>https://sidatagrun-public-1076756628210.asia-southeast2.run.app/ptn_sn.php?ptn=611</x:v>
      </x:c>
    </x:row>
    <x:row r="3887">
      <x:c r="A3887" s="87" t="n">
        <x:v>3610</x:v>
      </x:c>
      <x:c r="B3887" s="66" t="n">
        <x:v>611</x:v>
      </x:c>
      <x:c r="C3887" s="66" t="str">
        <x:v>UNIVERSITAS UDAYANA</x:v>
      </x:c>
      <x:c r="D3887" s="66" t="str">
        <x:v>PTN Akademik</x:v>
      </x:c>
      <x:c r="E3887" s="66" t="str">
        <x:v>16111014</x:v>
      </x:c>
      <x:c r="F3887" s="66" t="str">
        <x:v>AGROEKOTEKNOLOGI</x:v>
      </x:c>
      <x:c r="G3887" s="66" t="str">
        <x:v>Sarjana</x:v>
      </x:c>
      <x:c r="H3887" s="87" t="n">
        <x:v>63</x:v>
      </x:c>
      <x:c r="I3887" s="87" t="n">
        <x:v>133</x:v>
      </x:c>
      <x:c r="J3887" s="68" t="n">
        <x:f>IFERROR(H3887/I3887,"")</x:f>
        <x:v>0.47368421052631576</x:v>
      </x:c>
      <x:c r="K3887" s="69" t="n">
        <x:f>IFERROR(I3887/H3887,"")</x:f>
        <x:v>2.111111111111111</x:v>
      </x:c>
      <x:c r="L3887" s="66" t="str">
        <x:f>IF(K3887="","","1 : "&amp;TEXT(K3887,"0.0"))</x:f>
        <x:v>1 : 2.1</x:v>
      </x:c>
      <x:c r="M3887" s="66" t="str">
        <x:f>IF(J3887="","Baru/Tanpa Data",IF(J3887&lt;='Catatan &amp; Sumber'!$B$14,"Sangat Ketat",IF(J3887&lt;='Catatan &amp; Sumber'!$B$15,"Ketat",IF(J3887&lt;='Catatan &amp; Sumber'!$B$16,"Sedang","Relatif Longgar"))))</x:f>
        <x:v>Relatif Longgar</x:v>
      </x:c>
      <x:c r="N3887" s="66" t="str">
        <x:v>Tidak Ada</x:v>
      </x:c>
      <x:c r="O3887" s="66" t="str">
        <x:v>Bali</x:v>
      </x:c>
      <x:c r="P3887" s="66" t="str">
        <x:v>Kabupaten Badung</x:v>
      </x:c>
      <x:c r="Q3887" s="66" t="str">
        <x:v>https://snpmb.id/snbp/daya-tampung-snbp</x:v>
      </x:c>
      <x:c r="R3887" s="66" t="str">
        <x:v>https://sidatagrun-public-1076756628210.asia-southeast2.run.app/ptn_sn.php?ptn=611</x:v>
      </x:c>
    </x:row>
    <x:row r="3888">
      <x:c r="A3888" s="87" t="n">
        <x:v>4281</x:v>
      </x:c>
      <x:c r="B3888" s="66" t="n">
        <x:v>611</x:v>
      </x:c>
      <x:c r="C3888" s="66" t="str">
        <x:v>UNIVERSITAS UDAYANA</x:v>
      </x:c>
      <x:c r="D3888" s="66" t="str">
        <x:v>PTN Akademik</x:v>
      </x:c>
      <x:c r="E3888" s="66" t="str">
        <x:v>16111015</x:v>
      </x:c>
      <x:c r="F3888" s="66" t="str">
        <x:v>PETERNAKAN</x:v>
      </x:c>
      <x:c r="G3888" s="66" t="str">
        <x:v>Sarjana</x:v>
      </x:c>
      <x:c r="H3888" s="87" t="n">
        <x:v>100</x:v>
      </x:c>
      <x:c r="I3888" s="87" t="n">
        <x:v>106</x:v>
      </x:c>
      <x:c r="J3888" s="68" t="n">
        <x:f>IFERROR(H3888/I3888,"")</x:f>
        <x:v>0.9433962264150944</x:v>
      </x:c>
      <x:c r="K3888" s="69" t="n">
        <x:f>IFERROR(I3888/H3888,"")</x:f>
        <x:v>1.06</x:v>
      </x:c>
      <x:c r="L3888" s="66" t="str">
        <x:f>IF(K3888="","","1 : "&amp;TEXT(K3888,"0.0"))</x:f>
        <x:v>1 : 1.1</x:v>
      </x:c>
      <x:c r="M3888" s="66" t="str">
        <x:f>IF(J3888="","Baru/Tanpa Data",IF(J3888&lt;='Catatan &amp; Sumber'!$B$14,"Sangat Ketat",IF(J3888&lt;='Catatan &amp; Sumber'!$B$15,"Ketat",IF(J3888&lt;='Catatan &amp; Sumber'!$B$16,"Sedang","Relatif Longgar"))))</x:f>
        <x:v>Relatif Longgar</x:v>
      </x:c>
      <x:c r="N3888" s="66" t="str">
        <x:v>Tidak Ada</x:v>
      </x:c>
      <x:c r="O3888" s="66" t="str">
        <x:v>Bali</x:v>
      </x:c>
      <x:c r="P3888" s="66" t="str">
        <x:v>Kabupaten Badung</x:v>
      </x:c>
      <x:c r="Q3888" s="66" t="str">
        <x:v>https://snpmb.id/snbp/daya-tampung-snbp</x:v>
      </x:c>
      <x:c r="R3888" s="66" t="str">
        <x:v>https://sidatagrun-public-1076756628210.asia-southeast2.run.app/ptn_sn.php?ptn=611</x:v>
      </x:c>
    </x:row>
    <x:row r="3889">
      <x:c r="A3889" s="87" t="n">
        <x:v>3769</x:v>
      </x:c>
      <x:c r="B3889" s="66" t="n">
        <x:v>611</x:v>
      </x:c>
      <x:c r="C3889" s="66" t="str">
        <x:v>UNIVERSITAS UDAYANA</x:v>
      </x:c>
      <x:c r="D3889" s="66" t="str">
        <x:v>PTN Akademik</x:v>
      </x:c>
      <x:c r="E3889" s="66" t="str">
        <x:v>16111016</x:v>
      </x:c>
      <x:c r="F3889" s="66" t="str">
        <x:v>MATEMATIKA</x:v>
      </x:c>
      <x:c r="G3889" s="66" t="str">
        <x:v>Sarjana</x:v>
      </x:c>
      <x:c r="H3889" s="87" t="n">
        <x:v>45</x:v>
      </x:c>
      <x:c r="I3889" s="87" t="n">
        <x:v>81</x:v>
      </x:c>
      <x:c r="J3889" s="68" t="n">
        <x:f>IFERROR(H3889/I3889,"")</x:f>
        <x:v>0.5555555555555556</x:v>
      </x:c>
      <x:c r="K3889" s="69" t="n">
        <x:f>IFERROR(I3889/H3889,"")</x:f>
        <x:v>1.8</x:v>
      </x:c>
      <x:c r="L3889" s="66" t="str">
        <x:f>IF(K3889="","","1 : "&amp;TEXT(K3889,"0.0"))</x:f>
        <x:v>1 : 1.8</x:v>
      </x:c>
      <x:c r="M3889" s="66" t="str">
        <x:f>IF(J3889="","Baru/Tanpa Data",IF(J3889&lt;='Catatan &amp; Sumber'!$B$14,"Sangat Ketat",IF(J3889&lt;='Catatan &amp; Sumber'!$B$15,"Ketat",IF(J3889&lt;='Catatan &amp; Sumber'!$B$16,"Sedang","Relatif Longgar"))))</x:f>
        <x:v>Relatif Longgar</x:v>
      </x:c>
      <x:c r="N3889" s="66" t="str">
        <x:v>Tidak Ada</x:v>
      </x:c>
      <x:c r="O3889" s="66" t="str">
        <x:v>Bali</x:v>
      </x:c>
      <x:c r="P3889" s="66" t="str">
        <x:v>Kabupaten Badung</x:v>
      </x:c>
      <x:c r="Q3889" s="66" t="str">
        <x:v>https://snpmb.id/snbp/daya-tampung-snbp</x:v>
      </x:c>
      <x:c r="R3889" s="66" t="str">
        <x:v>https://sidatagrun-public-1076756628210.asia-southeast2.run.app/ptn_sn.php?ptn=611</x:v>
      </x:c>
    </x:row>
    <x:row r="3890">
      <x:c r="A3890" s="87" t="n">
        <x:v>1353</x:v>
      </x:c>
      <x:c r="B3890" s="66" t="n">
        <x:v>611</x:v>
      </x:c>
      <x:c r="C3890" s="66" t="str">
        <x:v>UNIVERSITAS UDAYANA</x:v>
      </x:c>
      <x:c r="D3890" s="66" t="str">
        <x:v>PTN Akademik</x:v>
      </x:c>
      <x:c r="E3890" s="66" t="str">
        <x:v>16111017</x:v>
      </x:c>
      <x:c r="F3890" s="66" t="str">
        <x:v>ILMU KESEHATAN MASYARAKAT</x:v>
      </x:c>
      <x:c r="G3890" s="66" t="str">
        <x:v>Sarjana</x:v>
      </x:c>
      <x:c r="H3890" s="87" t="n">
        <x:v>57</x:v>
      </x:c>
      <x:c r="I3890" s="87" t="n">
        <x:v>578</x:v>
      </x:c>
      <x:c r="J3890" s="68" t="n">
        <x:f>IFERROR(H3890/I3890,"")</x:f>
        <x:v>0.0986159169550173</x:v>
      </x:c>
      <x:c r="K3890" s="69" t="n">
        <x:f>IFERROR(I3890/H3890,"")</x:f>
        <x:v>10.140350877192983</x:v>
      </x:c>
      <x:c r="L3890" s="66" t="str">
        <x:f>IF(K3890="","","1 : "&amp;TEXT(K3890,"0.0"))</x:f>
        <x:v>1 : 10.1</x:v>
      </x:c>
      <x:c r="M3890" s="66" t="str">
        <x:f>IF(J3890="","Baru/Tanpa Data",IF(J3890&lt;='Catatan &amp; Sumber'!$B$14,"Sangat Ketat",IF(J3890&lt;='Catatan &amp; Sumber'!$B$15,"Ketat",IF(J3890&lt;='Catatan &amp; Sumber'!$B$16,"Sedang","Relatif Longgar"))))</x:f>
        <x:v>Sedang</x:v>
      </x:c>
      <x:c r="N3890" s="66" t="str">
        <x:v>Tidak Ada</x:v>
      </x:c>
      <x:c r="O3890" s="66" t="str">
        <x:v>Bali</x:v>
      </x:c>
      <x:c r="P3890" s="66" t="str">
        <x:v>Kabupaten Badung</x:v>
      </x:c>
      <x:c r="Q3890" s="66" t="str">
        <x:v>https://snpmb.id/snbp/daya-tampung-snbp</x:v>
      </x:c>
      <x:c r="R3890" s="66" t="str">
        <x:v>https://sidatagrun-public-1076756628210.asia-southeast2.run.app/ptn_sn.php?ptn=611</x:v>
      </x:c>
    </x:row>
    <x:row r="3891">
      <x:c r="A3891" s="87" t="n">
        <x:v>53</x:v>
      </x:c>
      <x:c r="B3891" s="66" t="n">
        <x:v>611</x:v>
      </x:c>
      <x:c r="C3891" s="66" t="str">
        <x:v>UNIVERSITAS UDAYANA</x:v>
      </x:c>
      <x:c r="D3891" s="66" t="str">
        <x:v>PTN Akademik</x:v>
      </x:c>
      <x:c r="E3891" s="66" t="str">
        <x:v>16111018</x:v>
      </x:c>
      <x:c r="F3891" s="66" t="str">
        <x:v>FARMASI</x:v>
      </x:c>
      <x:c r="G3891" s="66" t="str">
        <x:v>Sarjana</x:v>
      </x:c>
      <x:c r="H3891" s="87" t="n">
        <x:v>24</x:v>
      </x:c>
      <x:c r="I3891" s="87" t="n">
        <x:v>1012</x:v>
      </x:c>
      <x:c r="J3891" s="68" t="n">
        <x:f>IFERROR(H3891/I3891,"")</x:f>
        <x:v>0.023715415019762844</x:v>
      </x:c>
      <x:c r="K3891" s="69" t="n">
        <x:f>IFERROR(I3891/H3891,"")</x:f>
        <x:v>42.166666666666664</x:v>
      </x:c>
      <x:c r="L3891" s="66" t="str">
        <x:f>IF(K3891="","","1 : "&amp;TEXT(K3891,"0.0"))</x:f>
        <x:v>1 : 42.2</x:v>
      </x:c>
      <x:c r="M3891" s="66" t="str">
        <x:f>IF(J3891="","Baru/Tanpa Data",IF(J3891&lt;='Catatan &amp; Sumber'!$B$14,"Sangat Ketat",IF(J3891&lt;='Catatan &amp; Sumber'!$B$15,"Ketat",IF(J3891&lt;='Catatan &amp; Sumber'!$B$16,"Sedang","Relatif Longgar"))))</x:f>
        <x:v>Ketat</x:v>
      </x:c>
      <x:c r="N3891" s="66" t="str">
        <x:v>Tidak Ada</x:v>
      </x:c>
      <x:c r="O3891" s="66" t="str">
        <x:v>Bali</x:v>
      </x:c>
      <x:c r="P3891" s="66" t="str">
        <x:v>Kabupaten Badung</x:v>
      </x:c>
      <x:c r="Q3891" s="66" t="str">
        <x:v>https://snpmb.id/snbp/daya-tampung-snbp</x:v>
      </x:c>
      <x:c r="R3891" s="66" t="str">
        <x:v>https://sidatagrun-public-1076756628210.asia-southeast2.run.app/ptn_sn.php?ptn=611</x:v>
      </x:c>
    </x:row>
    <x:row r="3892">
      <x:c r="A3892" s="87" t="n">
        <x:v>482</x:v>
      </x:c>
      <x:c r="B3892" s="66" t="n">
        <x:v>611</x:v>
      </x:c>
      <x:c r="C3892" s="66" t="str">
        <x:v>UNIVERSITAS UDAYANA</x:v>
      </x:c>
      <x:c r="D3892" s="66" t="str">
        <x:v>PTN Akademik</x:v>
      </x:c>
      <x:c r="E3892" s="66" t="str">
        <x:v>16111019</x:v>
      </x:c>
      <x:c r="F3892" s="66" t="str">
        <x:v>KEPERAWATAN</x:v>
      </x:c>
      <x:c r="G3892" s="66" t="str">
        <x:v>Sarjana</x:v>
      </x:c>
      <x:c r="H3892" s="87" t="n">
        <x:v>43</x:v>
      </x:c>
      <x:c r="I3892" s="87" t="n">
        <x:v>853</x:v>
      </x:c>
      <x:c r="J3892" s="68" t="n">
        <x:f>IFERROR(H3892/I3892,"")</x:f>
        <x:v>0.05041031652989449</x:v>
      </x:c>
      <x:c r="K3892" s="69" t="n">
        <x:f>IFERROR(I3892/H3892,"")</x:f>
        <x:v>19.837209302325583</x:v>
      </x:c>
      <x:c r="L3892" s="66" t="str">
        <x:f>IF(K3892="","","1 : "&amp;TEXT(K3892,"0.0"))</x:f>
        <x:v>1 : 19.8</x:v>
      </x:c>
      <x:c r="M3892" s="66" t="str">
        <x:f>IF(J3892="","Baru/Tanpa Data",IF(J3892&lt;='Catatan &amp; Sumber'!$B$14,"Sangat Ketat",IF(J3892&lt;='Catatan &amp; Sumber'!$B$15,"Ketat",IF(J3892&lt;='Catatan &amp; Sumber'!$B$16,"Sedang","Relatif Longgar"))))</x:f>
        <x:v>Sedang</x:v>
      </x:c>
      <x:c r="N3892" s="66" t="str">
        <x:v>Tidak Ada</x:v>
      </x:c>
      <x:c r="O3892" s="66" t="str">
        <x:v>Bali</x:v>
      </x:c>
      <x:c r="P3892" s="66" t="str">
        <x:v>Kabupaten Badung</x:v>
      </x:c>
      <x:c r="Q3892" s="66" t="str">
        <x:v>https://snpmb.id/snbp/daya-tampung-snbp</x:v>
      </x:c>
      <x:c r="R3892" s="66" t="str">
        <x:v>https://sidatagrun-public-1076756628210.asia-southeast2.run.app/ptn_sn.php?ptn=611</x:v>
      </x:c>
    </x:row>
    <x:row r="3893">
      <x:c r="A3893" s="87" t="n">
        <x:v>1341</x:v>
      </x:c>
      <x:c r="B3893" s="66" t="n">
        <x:v>611</x:v>
      </x:c>
      <x:c r="C3893" s="66" t="str">
        <x:v>UNIVERSITAS UDAYANA</x:v>
      </x:c>
      <x:c r="D3893" s="66" t="str">
        <x:v>PTN Akademik</x:v>
      </x:c>
      <x:c r="E3893" s="66" t="str">
        <x:v>16111020</x:v>
      </x:c>
      <x:c r="F3893" s="66" t="str">
        <x:v>INFORMATIKA</x:v>
      </x:c>
      <x:c r="G3893" s="66" t="str">
        <x:v>Sarjana</x:v>
      </x:c>
      <x:c r="H3893" s="87" t="n">
        <x:v>50</x:v>
      </x:c>
      <x:c r="I3893" s="87" t="n">
        <x:v>510</x:v>
      </x:c>
      <x:c r="J3893" s="68" t="n">
        <x:f>IFERROR(H3893/I3893,"")</x:f>
        <x:v>0.09803921568627451</x:v>
      </x:c>
      <x:c r="K3893" s="69" t="n">
        <x:f>IFERROR(I3893/H3893,"")</x:f>
        <x:v>10.2</x:v>
      </x:c>
      <x:c r="L3893" s="66" t="str">
        <x:f>IF(K3893="","","1 : "&amp;TEXT(K3893,"0.0"))</x:f>
        <x:v>1 : 10.2</x:v>
      </x:c>
      <x:c r="M3893" s="66" t="str">
        <x:f>IF(J3893="","Baru/Tanpa Data",IF(J3893&lt;='Catatan &amp; Sumber'!$B$14,"Sangat Ketat",IF(J3893&lt;='Catatan &amp; Sumber'!$B$15,"Ketat",IF(J3893&lt;='Catatan &amp; Sumber'!$B$16,"Sedang","Relatif Longgar"))))</x:f>
        <x:v>Sedang</x:v>
      </x:c>
      <x:c r="N3893" s="66" t="str">
        <x:v>Tidak Ada</x:v>
      </x:c>
      <x:c r="O3893" s="66" t="str">
        <x:v>Bali</x:v>
      </x:c>
      <x:c r="P3893" s="66" t="str">
        <x:v>Kabupaten Badung</x:v>
      </x:c>
      <x:c r="Q3893" s="66" t="str">
        <x:v>https://snpmb.id/snbp/daya-tampung-snbp</x:v>
      </x:c>
      <x:c r="R3893" s="66" t="str">
        <x:v>https://sidatagrun-public-1076756628210.asia-southeast2.run.app/ptn_sn.php?ptn=611</x:v>
      </x:c>
    </x:row>
    <x:row r="3894">
      <x:c r="A3894" s="87" t="n">
        <x:v>1104</x:v>
      </x:c>
      <x:c r="B3894" s="66" t="n">
        <x:v>611</x:v>
      </x:c>
      <x:c r="C3894" s="66" t="str">
        <x:v>UNIVERSITAS UDAYANA</x:v>
      </x:c>
      <x:c r="D3894" s="66" t="str">
        <x:v>PTN Akademik</x:v>
      </x:c>
      <x:c r="E3894" s="66" t="str">
        <x:v>16111021</x:v>
      </x:c>
      <x:c r="F3894" s="66" t="str">
        <x:v>TEKNOLOGI INFORMASI</x:v>
      </x:c>
      <x:c r="G3894" s="66" t="str">
        <x:v>Sarjana</x:v>
      </x:c>
      <x:c r="H3894" s="87" t="n">
        <x:v>40</x:v>
      </x:c>
      <x:c r="I3894" s="87" t="n">
        <x:v>476</x:v>
      </x:c>
      <x:c r="J3894" s="68" t="n">
        <x:f>IFERROR(H3894/I3894,"")</x:f>
        <x:v>0.08403361344537816</x:v>
      </x:c>
      <x:c r="K3894" s="69" t="n">
        <x:f>IFERROR(I3894/H3894,"")</x:f>
        <x:v>11.9</x:v>
      </x:c>
      <x:c r="L3894" s="66" t="str">
        <x:f>IF(K3894="","","1 : "&amp;TEXT(K3894,"0.0"))</x:f>
        <x:v>1 : 11.9</x:v>
      </x:c>
      <x:c r="M3894" s="66" t="str">
        <x:f>IF(J3894="","Baru/Tanpa Data",IF(J3894&lt;='Catatan &amp; Sumber'!$B$14,"Sangat Ketat",IF(J3894&lt;='Catatan &amp; Sumber'!$B$15,"Ketat",IF(J3894&lt;='Catatan &amp; Sumber'!$B$16,"Sedang","Relatif Longgar"))))</x:f>
        <x:v>Sedang</x:v>
      </x:c>
      <x:c r="N3894" s="66" t="str">
        <x:v>Tidak Ada</x:v>
      </x:c>
      <x:c r="O3894" s="66" t="str">
        <x:v>Bali</x:v>
      </x:c>
      <x:c r="P3894" s="66" t="str">
        <x:v>Kabupaten Badung</x:v>
      </x:c>
      <x:c r="Q3894" s="66" t="str">
        <x:v>https://snpmb.id/snbp/daya-tampung-snbp</x:v>
      </x:c>
      <x:c r="R3894" s="66" t="str">
        <x:v>https://sidatagrun-public-1076756628210.asia-southeast2.run.app/ptn_sn.php?ptn=611</x:v>
      </x:c>
    </x:row>
    <x:row r="3895">
      <x:c r="A3895" s="87" t="n">
        <x:v>1215</x:v>
      </x:c>
      <x:c r="B3895" s="66" t="n">
        <x:v>611</x:v>
      </x:c>
      <x:c r="C3895" s="66" t="str">
        <x:v>UNIVERSITAS UDAYANA</x:v>
      </x:c>
      <x:c r="D3895" s="66" t="str">
        <x:v>PTN Akademik</x:v>
      </x:c>
      <x:c r="E3895" s="66" t="str">
        <x:v>16111022</x:v>
      </x:c>
      <x:c r="F3895" s="66" t="str">
        <x:v>FISIOTERAPI</x:v>
      </x:c>
      <x:c r="G3895" s="66" t="str">
        <x:v>Sarjana</x:v>
      </x:c>
      <x:c r="H3895" s="87" t="n">
        <x:v>32</x:v>
      </x:c>
      <x:c r="I3895" s="87" t="n">
        <x:v>352</x:v>
      </x:c>
      <x:c r="J3895" s="68" t="n">
        <x:f>IFERROR(H3895/I3895,"")</x:f>
        <x:v>0.09090909090909091</x:v>
      </x:c>
      <x:c r="K3895" s="69" t="n">
        <x:f>IFERROR(I3895/H3895,"")</x:f>
        <x:v>11</x:v>
      </x:c>
      <x:c r="L3895" s="66" t="str">
        <x:f>IF(K3895="","","1 : "&amp;TEXT(K3895,"0.0"))</x:f>
        <x:v>1 : 11.0</x:v>
      </x:c>
      <x:c r="M3895" s="66" t="str">
        <x:f>IF(J3895="","Baru/Tanpa Data",IF(J3895&lt;='Catatan &amp; Sumber'!$B$14,"Sangat Ketat",IF(J3895&lt;='Catatan &amp; Sumber'!$B$15,"Ketat",IF(J3895&lt;='Catatan &amp; Sumber'!$B$16,"Sedang","Relatif Longgar"))))</x:f>
        <x:v>Sedang</x:v>
      </x:c>
      <x:c r="N3895" s="66" t="str">
        <x:v>Tidak Ada</x:v>
      </x:c>
      <x:c r="O3895" s="66" t="str">
        <x:v>Bali</x:v>
      </x:c>
      <x:c r="P3895" s="66" t="str">
        <x:v>Kabupaten Badung</x:v>
      </x:c>
      <x:c r="Q3895" s="66" t="str">
        <x:v>https://snpmb.id/snbp/daya-tampung-snbp</x:v>
      </x:c>
      <x:c r="R3895" s="66" t="str">
        <x:v>https://sidatagrun-public-1076756628210.asia-southeast2.run.app/ptn_sn.php?ptn=611</x:v>
      </x:c>
    </x:row>
    <x:row r="3896">
      <x:c r="A3896" s="87" t="n">
        <x:v>3938</x:v>
      </x:c>
      <x:c r="B3896" s="66" t="n">
        <x:v>611</x:v>
      </x:c>
      <x:c r="C3896" s="66" t="str">
        <x:v>UNIVERSITAS UDAYANA</x:v>
      </x:c>
      <x:c r="D3896" s="66" t="str">
        <x:v>PTN Akademik</x:v>
      </x:c>
      <x:c r="E3896" s="66" t="str">
        <x:v>16111023</x:v>
      </x:c>
      <x:c r="F3896" s="66" t="str">
        <x:v>ILMU KELAUTAN</x:v>
      </x:c>
      <x:c r="G3896" s="66" t="str">
        <x:v>Sarjana</x:v>
      </x:c>
      <x:c r="H3896" s="87" t="n">
        <x:v>60</x:v>
      </x:c>
      <x:c r="I3896" s="87" t="n">
        <x:v>93</x:v>
      </x:c>
      <x:c r="J3896" s="68" t="n">
        <x:f>IFERROR(H3896/I3896,"")</x:f>
        <x:v>0.6451612903225806</x:v>
      </x:c>
      <x:c r="K3896" s="69" t="n">
        <x:f>IFERROR(I3896/H3896,"")</x:f>
        <x:v>1.55</x:v>
      </x:c>
      <x:c r="L3896" s="66" t="str">
        <x:f>IF(K3896="","","1 : "&amp;TEXT(K3896,"0.0"))</x:f>
        <x:v>1 : 1.6</x:v>
      </x:c>
      <x:c r="M3896" s="66" t="str">
        <x:f>IF(J3896="","Baru/Tanpa Data",IF(J3896&lt;='Catatan &amp; Sumber'!$B$14,"Sangat Ketat",IF(J3896&lt;='Catatan &amp; Sumber'!$B$15,"Ketat",IF(J3896&lt;='Catatan &amp; Sumber'!$B$16,"Sedang","Relatif Longgar"))))</x:f>
        <x:v>Relatif Longgar</x:v>
      </x:c>
      <x:c r="N3896" s="66" t="str">
        <x:v>Tidak Ada</x:v>
      </x:c>
      <x:c r="O3896" s="66" t="str">
        <x:v>Bali</x:v>
      </x:c>
      <x:c r="P3896" s="66" t="str">
        <x:v>Kabupaten Badung</x:v>
      </x:c>
      <x:c r="Q3896" s="66" t="str">
        <x:v>https://snpmb.id/snbp/daya-tampung-snbp</x:v>
      </x:c>
      <x:c r="R3896" s="66" t="str">
        <x:v>https://sidatagrun-public-1076756628210.asia-southeast2.run.app/ptn_sn.php?ptn=611</x:v>
      </x:c>
    </x:row>
    <x:row r="3897">
      <x:c r="A3897" s="87" t="n">
        <x:v>3412</x:v>
      </x:c>
      <x:c r="B3897" s="66" t="n">
        <x:v>611</x:v>
      </x:c>
      <x:c r="C3897" s="66" t="str">
        <x:v>UNIVERSITAS UDAYANA</x:v>
      </x:c>
      <x:c r="D3897" s="66" t="str">
        <x:v>PTN Akademik</x:v>
      </x:c>
      <x:c r="E3897" s="66" t="str">
        <x:v>16111024</x:v>
      </x:c>
      <x:c r="F3897" s="66" t="str">
        <x:v>ARSITEKTUR LANSKAP</x:v>
      </x:c>
      <x:c r="G3897" s="66" t="str">
        <x:v>Sarjana</x:v>
      </x:c>
      <x:c r="H3897" s="87" t="n">
        <x:v>15</x:v>
      </x:c>
      <x:c r="I3897" s="87" t="n">
        <x:v>37</x:v>
      </x:c>
      <x:c r="J3897" s="68" t="n">
        <x:f>IFERROR(H3897/I3897,"")</x:f>
        <x:v>0.40540540540540543</x:v>
      </x:c>
      <x:c r="K3897" s="69" t="n">
        <x:f>IFERROR(I3897/H3897,"")</x:f>
        <x:v>2.466666666666667</x:v>
      </x:c>
      <x:c r="L3897" s="66" t="str">
        <x:f>IF(K3897="","","1 : "&amp;TEXT(K3897,"0.0"))</x:f>
        <x:v>1 : 2.5</x:v>
      </x:c>
      <x:c r="M3897" s="66" t="str">
        <x:f>IF(J3897="","Baru/Tanpa Data",IF(J3897&lt;='Catatan &amp; Sumber'!$B$14,"Sangat Ketat",IF(J3897&lt;='Catatan &amp; Sumber'!$B$15,"Ketat",IF(J3897&lt;='Catatan &amp; Sumber'!$B$16,"Sedang","Relatif Longgar"))))</x:f>
        <x:v>Relatif Longgar</x:v>
      </x:c>
      <x:c r="N3897" s="66" t="str">
        <x:v>Tidak Ada</x:v>
      </x:c>
      <x:c r="O3897" s="66" t="str">
        <x:v>Bali</x:v>
      </x:c>
      <x:c r="P3897" s="66" t="str">
        <x:v>Kabupaten Badung</x:v>
      </x:c>
      <x:c r="Q3897" s="66" t="str">
        <x:v>https://snpmb.id/snbp/daya-tampung-snbp</x:v>
      </x:c>
      <x:c r="R3897" s="66" t="str">
        <x:v>https://sidatagrun-public-1076756628210.asia-southeast2.run.app/ptn_sn.php?ptn=611</x:v>
      </x:c>
    </x:row>
    <x:row r="3898">
      <x:c r="A3898" s="87" t="n">
        <x:v>4456</x:v>
      </x:c>
      <x:c r="B3898" s="66" t="n">
        <x:v>611</x:v>
      </x:c>
      <x:c r="C3898" s="66" t="str">
        <x:v>UNIVERSITAS UDAYANA</x:v>
      </x:c>
      <x:c r="D3898" s="66" t="str">
        <x:v>PTN Akademik</x:v>
      </x:c>
      <x:c r="E3898" s="66" t="str">
        <x:v>16111025</x:v>
      </x:c>
      <x:c r="F3898" s="66" t="str">
        <x:v>MANAJEMEN SUMBER DAYA PERAIRAN</x:v>
      </x:c>
      <x:c r="G3898" s="66" t="str">
        <x:v>Sarjana</x:v>
      </x:c>
      <x:c r="H3898" s="87" t="n">
        <x:v>60</x:v>
      </x:c>
      <x:c r="I3898" s="87" t="n">
        <x:v>49</x:v>
      </x:c>
      <x:c r="J3898" s="68" t="n">
        <x:f>IFERROR(H3898/I3898,"")</x:f>
        <x:v>1.2244897959183674</x:v>
      </x:c>
      <x:c r="K3898" s="69" t="n">
        <x:f>IFERROR(I3898/H3898,"")</x:f>
        <x:v>0.8166666666666667</x:v>
      </x:c>
      <x:c r="L3898" s="66" t="str">
        <x:f>IF(K3898="","","1 : "&amp;TEXT(K3898,"0.0"))</x:f>
        <x:v>1 : 0.8</x:v>
      </x:c>
      <x:c r="M3898" s="66" t="str">
        <x:f>IF(J3898="","Baru/Tanpa Data",IF(J3898&lt;='Catatan &amp; Sumber'!$B$14,"Sangat Ketat",IF(J3898&lt;='Catatan &amp; Sumber'!$B$15,"Ketat",IF(J3898&lt;='Catatan &amp; Sumber'!$B$16,"Sedang","Relatif Longgar"))))</x:f>
        <x:v>Relatif Longgar</x:v>
      </x:c>
      <x:c r="N3898" s="66" t="str">
        <x:v>Tidak Ada</x:v>
      </x:c>
      <x:c r="O3898" s="66" t="str">
        <x:v>Bali</x:v>
      </x:c>
      <x:c r="P3898" s="66" t="str">
        <x:v>Kabupaten Badung</x:v>
      </x:c>
      <x:c r="Q3898" s="66" t="str">
        <x:v>https://snpmb.id/snbp/daya-tampung-snbp</x:v>
      </x:c>
      <x:c r="R3898" s="66" t="str">
        <x:v>https://sidatagrun-public-1076756628210.asia-southeast2.run.app/ptn_sn.php?ptn=611</x:v>
      </x:c>
    </x:row>
    <x:row r="3899">
      <x:c r="A3899" s="87" t="n">
        <x:v>285</x:v>
      </x:c>
      <x:c r="B3899" s="66" t="n">
        <x:v>611</x:v>
      </x:c>
      <x:c r="C3899" s="66" t="str">
        <x:v>UNIVERSITAS UDAYANA</x:v>
      </x:c>
      <x:c r="D3899" s="66" t="str">
        <x:v>PTN Akademik</x:v>
      </x:c>
      <x:c r="E3899" s="66" t="str">
        <x:v>16111026</x:v>
      </x:c>
      <x:c r="F3899" s="66" t="str">
        <x:v>KEDOKTERAN GIGI</x:v>
      </x:c>
      <x:c r="G3899" s="66" t="str">
        <x:v>Sarjana</x:v>
      </x:c>
      <x:c r="H3899" s="87" t="n">
        <x:v>22</x:v>
      </x:c>
      <x:c r="I3899" s="87" t="n">
        <x:v>527</x:v>
      </x:c>
      <x:c r="J3899" s="68" t="n">
        <x:f>IFERROR(H3899/I3899,"")</x:f>
        <x:v>0.04174573055028463</x:v>
      </x:c>
      <x:c r="K3899" s="69" t="n">
        <x:f>IFERROR(I3899/H3899,"")</x:f>
        <x:v>23.954545454545453</x:v>
      </x:c>
      <x:c r="L3899" s="66" t="str">
        <x:f>IF(K3899="","","1 : "&amp;TEXT(K3899,"0.0"))</x:f>
        <x:v>1 : 24.0</x:v>
      </x:c>
      <x:c r="M3899" s="66" t="str">
        <x:f>IF(J3899="","Baru/Tanpa Data",IF(J3899&lt;='Catatan &amp; Sumber'!$B$14,"Sangat Ketat",IF(J3899&lt;='Catatan &amp; Sumber'!$B$15,"Ketat",IF(J3899&lt;='Catatan &amp; Sumber'!$B$16,"Sedang","Relatif Longgar"))))</x:f>
        <x:v>Ketat</x:v>
      </x:c>
      <x:c r="N3899" s="66" t="str">
        <x:v>Tidak Ada</x:v>
      </x:c>
      <x:c r="O3899" s="66" t="str">
        <x:v>Bali</x:v>
      </x:c>
      <x:c r="P3899" s="66" t="str">
        <x:v>Kabupaten Badung</x:v>
      </x:c>
      <x:c r="Q3899" s="66" t="str">
        <x:v>https://snpmb.id/snbp/daya-tampung-snbp</x:v>
      </x:c>
      <x:c r="R3899" s="66" t="str">
        <x:v>https://sidatagrun-public-1076756628210.asia-southeast2.run.app/ptn_sn.php?ptn=611</x:v>
      </x:c>
    </x:row>
    <x:row r="3900">
      <x:c r="A3900" s="87" t="n">
        <x:v>1868</x:v>
      </x:c>
      <x:c r="B3900" s="66" t="n">
        <x:v>611</x:v>
      </x:c>
      <x:c r="C3900" s="66" t="str">
        <x:v>UNIVERSITAS UDAYANA</x:v>
      </x:c>
      <x:c r="D3900" s="66" t="str">
        <x:v>PTN Akademik</x:v>
      </x:c>
      <x:c r="E3900" s="66" t="str">
        <x:v>16111027</x:v>
      </x:c>
      <x:c r="F3900" s="66" t="str">
        <x:v>TEKNIK LINGKUNGAN</x:v>
      </x:c>
      <x:c r="G3900" s="66" t="str">
        <x:v>Sarjana</x:v>
      </x:c>
      <x:c r="H3900" s="87" t="n">
        <x:v>24</x:v>
      </x:c>
      <x:c r="I3900" s="87" t="n">
        <x:v>174</x:v>
      </x:c>
      <x:c r="J3900" s="68" t="n">
        <x:f>IFERROR(H3900/I3900,"")</x:f>
        <x:v>0.13793103448275862</x:v>
      </x:c>
      <x:c r="K3900" s="69" t="n">
        <x:f>IFERROR(I3900/H3900,"")</x:f>
        <x:v>7.25</x:v>
      </x:c>
      <x:c r="L3900" s="66" t="str">
        <x:f>IF(K3900="","","1 : "&amp;TEXT(K3900,"0.0"))</x:f>
        <x:v>1 : 7.3</x:v>
      </x:c>
      <x:c r="M3900" s="66" t="str">
        <x:f>IF(J3900="","Baru/Tanpa Data",IF(J3900&lt;='Catatan &amp; Sumber'!$B$14,"Sangat Ketat",IF(J3900&lt;='Catatan &amp; Sumber'!$B$15,"Ketat",IF(J3900&lt;='Catatan &amp; Sumber'!$B$16,"Sedang","Relatif Longgar"))))</x:f>
        <x:v>Relatif Longgar</x:v>
      </x:c>
      <x:c r="N3900" s="66" t="str">
        <x:v>Tidak Ada</x:v>
      </x:c>
      <x:c r="O3900" s="66" t="str">
        <x:v>Bali</x:v>
      </x:c>
      <x:c r="P3900" s="66" t="str">
        <x:v>Kabupaten Badung</x:v>
      </x:c>
      <x:c r="Q3900" s="66" t="str">
        <x:v>https://snpmb.id/snbp/daya-tampung-snbp</x:v>
      </x:c>
      <x:c r="R3900" s="66" t="str">
        <x:v>https://sidatagrun-public-1076756628210.asia-southeast2.run.app/ptn_sn.php?ptn=611</x:v>
      </x:c>
    </x:row>
    <x:row r="3901">
      <x:c r="A3901" s="87" t="n">
        <x:v>963</x:v>
      </x:c>
      <x:c r="B3901" s="66" t="n">
        <x:v>611</x:v>
      </x:c>
      <x:c r="C3901" s="66" t="str">
        <x:v>UNIVERSITAS UDAYANA</x:v>
      </x:c>
      <x:c r="D3901" s="66" t="str">
        <x:v>PTN Akademik</x:v>
      </x:c>
      <x:c r="E3901" s="66" t="str">
        <x:v>16111028</x:v>
      </x:c>
      <x:c r="F3901" s="66" t="str">
        <x:v>TEKNIK INDUSTRI</x:v>
      </x:c>
      <x:c r="G3901" s="66" t="str">
        <x:v>Sarjana</x:v>
      </x:c>
      <x:c r="H3901" s="87" t="n">
        <x:v>24</x:v>
      </x:c>
      <x:c r="I3901" s="87" t="n">
        <x:v>316</x:v>
      </x:c>
      <x:c r="J3901" s="68" t="n">
        <x:f>IFERROR(H3901/I3901,"")</x:f>
        <x:v>0.0759493670886076</x:v>
      </x:c>
      <x:c r="K3901" s="69" t="n">
        <x:f>IFERROR(I3901/H3901,"")</x:f>
        <x:v>13.166666666666666</x:v>
      </x:c>
      <x:c r="L3901" s="66" t="str">
        <x:f>IF(K3901="","","1 : "&amp;TEXT(K3901,"0.0"))</x:f>
        <x:v>1 : 13.2</x:v>
      </x:c>
      <x:c r="M3901" s="66" t="str">
        <x:f>IF(J3901="","Baru/Tanpa Data",IF(J3901&lt;='Catatan &amp; Sumber'!$B$14,"Sangat Ketat",IF(J3901&lt;='Catatan &amp; Sumber'!$B$15,"Ketat",IF(J3901&lt;='Catatan &amp; Sumber'!$B$16,"Sedang","Relatif Longgar"))))</x:f>
        <x:v>Sedang</x:v>
      </x:c>
      <x:c r="N3901" s="66" t="str">
        <x:v>Tidak Ada</x:v>
      </x:c>
      <x:c r="O3901" s="66" t="str">
        <x:v>Bali</x:v>
      </x:c>
      <x:c r="P3901" s="66" t="str">
        <x:v>Kabupaten Badung</x:v>
      </x:c>
      <x:c r="Q3901" s="66" t="str">
        <x:v>https://snpmb.id/snbp/daya-tampung-snbp</x:v>
      </x:c>
      <x:c r="R3901" s="66" t="str">
        <x:v>https://sidatagrun-public-1076756628210.asia-southeast2.run.app/ptn_sn.php?ptn=611</x:v>
      </x:c>
    </x:row>
    <x:row r="3902">
      <x:c r="A3902" s="87" t="n">
        <x:v>3847</x:v>
      </x:c>
      <x:c r="B3902" s="66" t="n">
        <x:v>611</x:v>
      </x:c>
      <x:c r="C3902" s="66" t="str">
        <x:v>UNIVERSITAS UDAYANA</x:v>
      </x:c>
      <x:c r="D3902" s="66" t="str">
        <x:v>PTN Akademik</x:v>
      </x:c>
      <x:c r="E3902" s="66" t="str">
        <x:v>16111029</x:v>
      </x:c>
      <x:c r="F3902" s="66" t="str">
        <x:v>ARKEOLOGI</x:v>
      </x:c>
      <x:c r="G3902" s="66" t="str">
        <x:v>Sarjana</x:v>
      </x:c>
      <x:c r="H3902" s="87" t="n">
        <x:v>30</x:v>
      </x:c>
      <x:c r="I3902" s="87" t="n">
        <x:v>50</x:v>
      </x:c>
      <x:c r="J3902" s="68" t="n">
        <x:f>IFERROR(H3902/I3902,"")</x:f>
        <x:v>0.6</x:v>
      </x:c>
      <x:c r="K3902" s="69" t="n">
        <x:f>IFERROR(I3902/H3902,"")</x:f>
        <x:v>1.6666666666666667</x:v>
      </x:c>
      <x:c r="L3902" s="66" t="str">
        <x:f>IF(K3902="","","1 : "&amp;TEXT(K3902,"0.0"))</x:f>
        <x:v>1 : 1.7</x:v>
      </x:c>
      <x:c r="M3902" s="66" t="str">
        <x:f>IF(J3902="","Baru/Tanpa Data",IF(J3902&lt;='Catatan &amp; Sumber'!$B$14,"Sangat Ketat",IF(J3902&lt;='Catatan &amp; Sumber'!$B$15,"Ketat",IF(J3902&lt;='Catatan &amp; Sumber'!$B$16,"Sedang","Relatif Longgar"))))</x:f>
        <x:v>Relatif Longgar</x:v>
      </x:c>
      <x:c r="N3902" s="66" t="str">
        <x:v>Tidak Ada</x:v>
      </x:c>
      <x:c r="O3902" s="66" t="str">
        <x:v>Bali</x:v>
      </x:c>
      <x:c r="P3902" s="66" t="str">
        <x:v>Kabupaten Badung</x:v>
      </x:c>
      <x:c r="Q3902" s="66" t="str">
        <x:v>https://snpmb.id/snbp/daya-tampung-snbp</x:v>
      </x:c>
      <x:c r="R3902" s="66" t="str">
        <x:v>https://sidatagrun-public-1076756628210.asia-southeast2.run.app/ptn_sn.php?ptn=611</x:v>
      </x:c>
    </x:row>
    <x:row r="3903">
      <x:c r="A3903" s="87" t="n">
        <x:v>3465</x:v>
      </x:c>
      <x:c r="B3903" s="66" t="n">
        <x:v>611</x:v>
      </x:c>
      <x:c r="C3903" s="66" t="str">
        <x:v>UNIVERSITAS UDAYANA</x:v>
      </x:c>
      <x:c r="D3903" s="66" t="str">
        <x:v>PTN Akademik</x:v>
      </x:c>
      <x:c r="E3903" s="66" t="str">
        <x:v>16111030</x:v>
      </x:c>
      <x:c r="F3903" s="66" t="str">
        <x:v>ANTROPOLOGI BUDAYA</x:v>
      </x:c>
      <x:c r="G3903" s="66" t="str">
        <x:v>Sarjana</x:v>
      </x:c>
      <x:c r="H3903" s="87" t="n">
        <x:v>30</x:v>
      </x:c>
      <x:c r="I3903" s="87" t="n">
        <x:v>71</x:v>
      </x:c>
      <x:c r="J3903" s="68" t="n">
        <x:f>IFERROR(H3903/I3903,"")</x:f>
        <x:v>0.4225352112676056</x:v>
      </x:c>
      <x:c r="K3903" s="69" t="n">
        <x:f>IFERROR(I3903/H3903,"")</x:f>
        <x:v>2.3666666666666667</x:v>
      </x:c>
      <x:c r="L3903" s="66" t="str">
        <x:f>IF(K3903="","","1 : "&amp;TEXT(K3903,"0.0"))</x:f>
        <x:v>1 : 2.4</x:v>
      </x:c>
      <x:c r="M3903" s="66" t="str">
        <x:f>IF(J3903="","Baru/Tanpa Data",IF(J3903&lt;='Catatan &amp; Sumber'!$B$14,"Sangat Ketat",IF(J3903&lt;='Catatan &amp; Sumber'!$B$15,"Ketat",IF(J3903&lt;='Catatan &amp; Sumber'!$B$16,"Sedang","Relatif Longgar"))))</x:f>
        <x:v>Relatif Longgar</x:v>
      </x:c>
      <x:c r="N3903" s="66" t="str">
        <x:v>Tidak Ada</x:v>
      </x:c>
      <x:c r="O3903" s="66" t="str">
        <x:v>Bali</x:v>
      </x:c>
      <x:c r="P3903" s="66" t="str">
        <x:v>Kabupaten Badung</x:v>
      </x:c>
      <x:c r="Q3903" s="66" t="str">
        <x:v>https://snpmb.id/snbp/daya-tampung-snbp</x:v>
      </x:c>
      <x:c r="R3903" s="66" t="str">
        <x:v>https://sidatagrun-public-1076756628210.asia-southeast2.run.app/ptn_sn.php?ptn=611</x:v>
      </x:c>
    </x:row>
    <x:row r="3904">
      <x:c r="A3904" s="87" t="n">
        <x:v>4125</x:v>
      </x:c>
      <x:c r="B3904" s="66" t="n">
        <x:v>611</x:v>
      </x:c>
      <x:c r="C3904" s="66" t="str">
        <x:v>UNIVERSITAS UDAYANA</x:v>
      </x:c>
      <x:c r="D3904" s="66" t="str">
        <x:v>PTN Akademik</x:v>
      </x:c>
      <x:c r="E3904" s="66" t="str">
        <x:v>16111031</x:v>
      </x:c>
      <x:c r="F3904" s="66" t="str">
        <x:v>ILMU SEJARAH</x:v>
      </x:c>
      <x:c r="G3904" s="66" t="str">
        <x:v>Sarjana</x:v>
      </x:c>
      <x:c r="H3904" s="87" t="n">
        <x:v>30</x:v>
      </x:c>
      <x:c r="I3904" s="87" t="n">
        <x:v>38</x:v>
      </x:c>
      <x:c r="J3904" s="68" t="n">
        <x:f>IFERROR(H3904/I3904,"")</x:f>
        <x:v>0.7894736842105263</x:v>
      </x:c>
      <x:c r="K3904" s="69" t="n">
        <x:f>IFERROR(I3904/H3904,"")</x:f>
        <x:v>1.2666666666666666</x:v>
      </x:c>
      <x:c r="L3904" s="66" t="str">
        <x:f>IF(K3904="","","1 : "&amp;TEXT(K3904,"0.0"))</x:f>
        <x:v>1 : 1.3</x:v>
      </x:c>
      <x:c r="M3904" s="66" t="str">
        <x:f>IF(J3904="","Baru/Tanpa Data",IF(J3904&lt;='Catatan &amp; Sumber'!$B$14,"Sangat Ketat",IF(J3904&lt;='Catatan &amp; Sumber'!$B$15,"Ketat",IF(J3904&lt;='Catatan &amp; Sumber'!$B$16,"Sedang","Relatif Longgar"))))</x:f>
        <x:v>Relatif Longgar</x:v>
      </x:c>
      <x:c r="N3904" s="66" t="str">
        <x:v>Tidak Ada</x:v>
      </x:c>
      <x:c r="O3904" s="66" t="str">
        <x:v>Bali</x:v>
      </x:c>
      <x:c r="P3904" s="66" t="str">
        <x:v>Kabupaten Badung</x:v>
      </x:c>
      <x:c r="Q3904" s="66" t="str">
        <x:v>https://snpmb.id/snbp/daya-tampung-snbp</x:v>
      </x:c>
      <x:c r="R3904" s="66" t="str">
        <x:v>https://sidatagrun-public-1076756628210.asia-southeast2.run.app/ptn_sn.php?ptn=611</x:v>
      </x:c>
    </x:row>
    <x:row r="3905">
      <x:c r="A3905" s="87" t="n">
        <x:v>1619</x:v>
      </x:c>
      <x:c r="B3905" s="66" t="n">
        <x:v>611</x:v>
      </x:c>
      <x:c r="C3905" s="66" t="str">
        <x:v>UNIVERSITAS UDAYANA</x:v>
      </x:c>
      <x:c r="D3905" s="66" t="str">
        <x:v>PTN Akademik</x:v>
      </x:c>
      <x:c r="E3905" s="66" t="str">
        <x:v>16111032</x:v>
      </x:c>
      <x:c r="F3905" s="66" t="str">
        <x:v>ILMU HUKUM</x:v>
      </x:c>
      <x:c r="G3905" s="66" t="str">
        <x:v>Sarjana</x:v>
      </x:c>
      <x:c r="H3905" s="87" t="n">
        <x:v>120</x:v>
      </x:c>
      <x:c r="I3905" s="87" t="n">
        <x:v>1011</x:v>
      </x:c>
      <x:c r="J3905" s="68" t="n">
        <x:f>IFERROR(H3905/I3905,"")</x:f>
        <x:v>0.11869436201780416</x:v>
      </x:c>
      <x:c r="K3905" s="69" t="n">
        <x:f>IFERROR(I3905/H3905,"")</x:f>
        <x:v>8.425</x:v>
      </x:c>
      <x:c r="L3905" s="66" t="str">
        <x:f>IF(K3905="","","1 : "&amp;TEXT(K3905,"0.0"))</x:f>
        <x:v>1 : 8.4</x:v>
      </x:c>
      <x:c r="M3905" s="66" t="str">
        <x:f>IF(J3905="","Baru/Tanpa Data",IF(J3905&lt;='Catatan &amp; Sumber'!$B$14,"Sangat Ketat",IF(J3905&lt;='Catatan &amp; Sumber'!$B$15,"Ketat",IF(J3905&lt;='Catatan &amp; Sumber'!$B$16,"Sedang","Relatif Longgar"))))</x:f>
        <x:v>Relatif Longgar</x:v>
      </x:c>
      <x:c r="N3905" s="66" t="str">
        <x:v>Tidak Ada</x:v>
      </x:c>
      <x:c r="O3905" s="66" t="str">
        <x:v>Bali</x:v>
      </x:c>
      <x:c r="P3905" s="66" t="str">
        <x:v>Kabupaten Badung</x:v>
      </x:c>
      <x:c r="Q3905" s="66" t="str">
        <x:v>https://snpmb.id/snbp/daya-tampung-snbp</x:v>
      </x:c>
      <x:c r="R3905" s="66" t="str">
        <x:v>https://sidatagrun-public-1076756628210.asia-southeast2.run.app/ptn_sn.php?ptn=611</x:v>
      </x:c>
    </x:row>
    <x:row r="3906">
      <x:c r="A3906" s="87" t="n">
        <x:v>2186</x:v>
      </x:c>
      <x:c r="B3906" s="66" t="n">
        <x:v>611</x:v>
      </x:c>
      <x:c r="C3906" s="66" t="str">
        <x:v>UNIVERSITAS UDAYANA</x:v>
      </x:c>
      <x:c r="D3906" s="66" t="str">
        <x:v>PTN Akademik</x:v>
      </x:c>
      <x:c r="E3906" s="66" t="str">
        <x:v>16111033</x:v>
      </x:c>
      <x:c r="F3906" s="66" t="str">
        <x:v>EKONOMI</x:v>
      </x:c>
      <x:c r="G3906" s="66" t="str">
        <x:v>Sarjana</x:v>
      </x:c>
      <x:c r="H3906" s="87" t="n">
        <x:v>60</x:v>
      </x:c>
      <x:c r="I3906" s="87" t="n">
        <x:v>353</x:v>
      </x:c>
      <x:c r="J3906" s="68" t="n">
        <x:f>IFERROR(H3906/I3906,"")</x:f>
        <x:v>0.16997167138810199</x:v>
      </x:c>
      <x:c r="K3906" s="69" t="n">
        <x:f>IFERROR(I3906/H3906,"")</x:f>
        <x:v>5.883333333333334</x:v>
      </x:c>
      <x:c r="L3906" s="66" t="str">
        <x:f>IF(K3906="","","1 : "&amp;TEXT(K3906,"0.0"))</x:f>
        <x:v>1 : 5.9</x:v>
      </x:c>
      <x:c r="M3906" s="66" t="str">
        <x:f>IF(J3906="","Baru/Tanpa Data",IF(J3906&lt;='Catatan &amp; Sumber'!$B$14,"Sangat Ketat",IF(J3906&lt;='Catatan &amp; Sumber'!$B$15,"Ketat",IF(J3906&lt;='Catatan &amp; Sumber'!$B$16,"Sedang","Relatif Longgar"))))</x:f>
        <x:v>Relatif Longgar</x:v>
      </x:c>
      <x:c r="N3906" s="66" t="str">
        <x:v>Tidak Ada</x:v>
      </x:c>
      <x:c r="O3906" s="66" t="str">
        <x:v>Bali</x:v>
      </x:c>
      <x:c r="P3906" s="66" t="str">
        <x:v>Kabupaten Badung</x:v>
      </x:c>
      <x:c r="Q3906" s="66" t="str">
        <x:v>https://snpmb.id/snbp/daya-tampung-snbp</x:v>
      </x:c>
      <x:c r="R3906" s="66" t="str">
        <x:v>https://sidatagrun-public-1076756628210.asia-southeast2.run.app/ptn_sn.php?ptn=611</x:v>
      </x:c>
    </x:row>
    <x:row r="3907">
      <x:c r="A3907" s="87" t="n">
        <x:v>917</x:v>
      </x:c>
      <x:c r="B3907" s="66" t="n">
        <x:v>611</x:v>
      </x:c>
      <x:c r="C3907" s="66" t="str">
        <x:v>UNIVERSITAS UDAYANA</x:v>
      </x:c>
      <x:c r="D3907" s="66" t="str">
        <x:v>PTN Akademik</x:v>
      </x:c>
      <x:c r="E3907" s="66" t="str">
        <x:v>16111034</x:v>
      </x:c>
      <x:c r="F3907" s="66" t="str">
        <x:v>AKUNTANSI</x:v>
      </x:c>
      <x:c r="G3907" s="66" t="str">
        <x:v>Sarjana</x:v>
      </x:c>
      <x:c r="H3907" s="87" t="n">
        <x:v>80</x:v>
      </x:c>
      <x:c r="I3907" s="87" t="n">
        <x:v>1092</x:v>
      </x:c>
      <x:c r="J3907" s="68" t="n">
        <x:f>IFERROR(H3907/I3907,"")</x:f>
        <x:v>0.07326007326007326</x:v>
      </x:c>
      <x:c r="K3907" s="69" t="n">
        <x:f>IFERROR(I3907/H3907,"")</x:f>
        <x:v>13.65</x:v>
      </x:c>
      <x:c r="L3907" s="66" t="str">
        <x:f>IF(K3907="","","1 : "&amp;TEXT(K3907,"0.0"))</x:f>
        <x:v>1 : 13.7</x:v>
      </x:c>
      <x:c r="M3907" s="66" t="str">
        <x:f>IF(J3907="","Baru/Tanpa Data",IF(J3907&lt;='Catatan &amp; Sumber'!$B$14,"Sangat Ketat",IF(J3907&lt;='Catatan &amp; Sumber'!$B$15,"Ketat",IF(J3907&lt;='Catatan &amp; Sumber'!$B$16,"Sedang","Relatif Longgar"))))</x:f>
        <x:v>Sedang</x:v>
      </x:c>
      <x:c r="N3907" s="66" t="str">
        <x:v>Tidak Ada</x:v>
      </x:c>
      <x:c r="O3907" s="66" t="str">
        <x:v>Bali</x:v>
      </x:c>
      <x:c r="P3907" s="66" t="str">
        <x:v>Kabupaten Badung</x:v>
      </x:c>
      <x:c r="Q3907" s="66" t="str">
        <x:v>https://snpmb.id/snbp/daya-tampung-snbp</x:v>
      </x:c>
      <x:c r="R3907" s="66" t="str">
        <x:v>https://sidatagrun-public-1076756628210.asia-southeast2.run.app/ptn_sn.php?ptn=611</x:v>
      </x:c>
    </x:row>
    <x:row r="3908">
      <x:c r="A3908" s="87" t="n">
        <x:v>660</x:v>
      </x:c>
      <x:c r="B3908" s="66" t="n">
        <x:v>611</x:v>
      </x:c>
      <x:c r="C3908" s="66" t="str">
        <x:v>UNIVERSITAS UDAYANA</x:v>
      </x:c>
      <x:c r="D3908" s="66" t="str">
        <x:v>PTN Akademik</x:v>
      </x:c>
      <x:c r="E3908" s="66" t="str">
        <x:v>16111035</x:v>
      </x:c>
      <x:c r="F3908" s="66" t="str">
        <x:v>MANAJEMEN</x:v>
      </x:c>
      <x:c r="G3908" s="66" t="str">
        <x:v>Sarjana</x:v>
      </x:c>
      <x:c r="H3908" s="87" t="n">
        <x:v>85</x:v>
      </x:c>
      <x:c r="I3908" s="87" t="n">
        <x:v>1422</x:v>
      </x:c>
      <x:c r="J3908" s="68" t="n">
        <x:f>IFERROR(H3908/I3908,"")</x:f>
        <x:v>0.05977496483825598</x:v>
      </x:c>
      <x:c r="K3908" s="69" t="n">
        <x:f>IFERROR(I3908/H3908,"")</x:f>
        <x:v>16.729411764705883</x:v>
      </x:c>
      <x:c r="L3908" s="66" t="str">
        <x:f>IF(K3908="","","1 : "&amp;TEXT(K3908,"0.0"))</x:f>
        <x:v>1 : 16.7</x:v>
      </x:c>
      <x:c r="M3908" s="66" t="str">
        <x:f>IF(J3908="","Baru/Tanpa Data",IF(J3908&lt;='Catatan &amp; Sumber'!$B$14,"Sangat Ketat",IF(J3908&lt;='Catatan &amp; Sumber'!$B$15,"Ketat",IF(J3908&lt;='Catatan &amp; Sumber'!$B$16,"Sedang","Relatif Longgar"))))</x:f>
        <x:v>Sedang</x:v>
      </x:c>
      <x:c r="N3908" s="66" t="str">
        <x:v>Tidak Ada</x:v>
      </x:c>
      <x:c r="O3908" s="66" t="str">
        <x:v>Bali</x:v>
      </x:c>
      <x:c r="P3908" s="66" t="str">
        <x:v>Kabupaten Badung</x:v>
      </x:c>
      <x:c r="Q3908" s="66" t="str">
        <x:v>https://snpmb.id/snbp/daya-tampung-snbp</x:v>
      </x:c>
      <x:c r="R3908" s="66" t="str">
        <x:v>https://sidatagrun-public-1076756628210.asia-southeast2.run.app/ptn_sn.php?ptn=611</x:v>
      </x:c>
    </x:row>
    <x:row r="3909">
      <x:c r="A3909" s="87" t="n">
        <x:v>3791</x:v>
      </x:c>
      <x:c r="B3909" s="66" t="n">
        <x:v>611</x:v>
      </x:c>
      <x:c r="C3909" s="66" t="str">
        <x:v>UNIVERSITAS UDAYANA</x:v>
      </x:c>
      <x:c r="D3909" s="66" t="str">
        <x:v>PTN Akademik</x:v>
      </x:c>
      <x:c r="E3909" s="66" t="str">
        <x:v>16111036</x:v>
      </x:c>
      <x:c r="F3909" s="66" t="str">
        <x:v>SASTRA INDONESIA</x:v>
      </x:c>
      <x:c r="G3909" s="66" t="str">
        <x:v>Sarjana</x:v>
      </x:c>
      <x:c r="H3909" s="87" t="n">
        <x:v>35</x:v>
      </x:c>
      <x:c r="I3909" s="87" t="n">
        <x:v>62</x:v>
      </x:c>
      <x:c r="J3909" s="68" t="n">
        <x:f>IFERROR(H3909/I3909,"")</x:f>
        <x:v>0.5645161290322581</x:v>
      </x:c>
      <x:c r="K3909" s="69" t="n">
        <x:f>IFERROR(I3909/H3909,"")</x:f>
        <x:v>1.7714285714285714</x:v>
      </x:c>
      <x:c r="L3909" s="66" t="str">
        <x:f>IF(K3909="","","1 : "&amp;TEXT(K3909,"0.0"))</x:f>
        <x:v>1 : 1.8</x:v>
      </x:c>
      <x:c r="M3909" s="66" t="str">
        <x:f>IF(J3909="","Baru/Tanpa Data",IF(J3909&lt;='Catatan &amp; Sumber'!$B$14,"Sangat Ketat",IF(J3909&lt;='Catatan &amp; Sumber'!$B$15,"Ketat",IF(J3909&lt;='Catatan &amp; Sumber'!$B$16,"Sedang","Relatif Longgar"))))</x:f>
        <x:v>Relatif Longgar</x:v>
      </x:c>
      <x:c r="N3909" s="66" t="str">
        <x:v>Tidak Ada</x:v>
      </x:c>
      <x:c r="O3909" s="66" t="str">
        <x:v>Bali</x:v>
      </x:c>
      <x:c r="P3909" s="66" t="str">
        <x:v>Kabupaten Badung</x:v>
      </x:c>
      <x:c r="Q3909" s="66" t="str">
        <x:v>https://snpmb.id/snbp/daya-tampung-snbp</x:v>
      </x:c>
      <x:c r="R3909" s="66" t="str">
        <x:v>https://sidatagrun-public-1076756628210.asia-southeast2.run.app/ptn_sn.php?ptn=611</x:v>
      </x:c>
    </x:row>
    <x:row r="3910">
      <x:c r="A3910" s="87" t="n">
        <x:v>1511</x:v>
      </x:c>
      <x:c r="B3910" s="66" t="n">
        <x:v>611</x:v>
      </x:c>
      <x:c r="C3910" s="66" t="str">
        <x:v>UNIVERSITAS UDAYANA</x:v>
      </x:c>
      <x:c r="D3910" s="66" t="str">
        <x:v>PTN Akademik</x:v>
      </x:c>
      <x:c r="E3910" s="66" t="str">
        <x:v>16111037</x:v>
      </x:c>
      <x:c r="F3910" s="66" t="str">
        <x:v>SASTRA INGGRIS</x:v>
      </x:c>
      <x:c r="G3910" s="66" t="str">
        <x:v>Sarjana</x:v>
      </x:c>
      <x:c r="H3910" s="87" t="n">
        <x:v>42</x:v>
      </x:c>
      <x:c r="I3910" s="87" t="n">
        <x:v>381</x:v>
      </x:c>
      <x:c r="J3910" s="68" t="n">
        <x:f>IFERROR(H3910/I3910,"")</x:f>
        <x:v>0.11023622047244094</x:v>
      </x:c>
      <x:c r="K3910" s="69" t="n">
        <x:f>IFERROR(I3910/H3910,"")</x:f>
        <x:v>9.071428571428571</x:v>
      </x:c>
      <x:c r="L3910" s="66" t="str">
        <x:f>IF(K3910="","","1 : "&amp;TEXT(K3910,"0.0"))</x:f>
        <x:v>1 : 9.1</x:v>
      </x:c>
      <x:c r="M3910" s="66" t="str">
        <x:f>IF(J3910="","Baru/Tanpa Data",IF(J3910&lt;='Catatan &amp; Sumber'!$B$14,"Sangat Ketat",IF(J3910&lt;='Catatan &amp; Sumber'!$B$15,"Ketat",IF(J3910&lt;='Catatan &amp; Sumber'!$B$16,"Sedang","Relatif Longgar"))))</x:f>
        <x:v>Relatif Longgar</x:v>
      </x:c>
      <x:c r="N3910" s="66" t="str">
        <x:v>Tidak Ada</x:v>
      </x:c>
      <x:c r="O3910" s="66" t="str">
        <x:v>Bali</x:v>
      </x:c>
      <x:c r="P3910" s="66" t="str">
        <x:v>Kabupaten Badung</x:v>
      </x:c>
      <x:c r="Q3910" s="66" t="str">
        <x:v>https://snpmb.id/snbp/daya-tampung-snbp</x:v>
      </x:c>
      <x:c r="R3910" s="66" t="str">
        <x:v>https://sidatagrun-public-1076756628210.asia-southeast2.run.app/ptn_sn.php?ptn=611</x:v>
      </x:c>
    </x:row>
    <x:row r="3911">
      <x:c r="A3911" s="87" t="n">
        <x:v>4545</x:v>
      </x:c>
      <x:c r="B3911" s="66" t="n">
        <x:v>611</x:v>
      </x:c>
      <x:c r="C3911" s="66" t="str">
        <x:v>UNIVERSITAS UDAYANA</x:v>
      </x:c>
      <x:c r="D3911" s="66" t="str">
        <x:v>PTN Akademik</x:v>
      </x:c>
      <x:c r="E3911" s="66" t="str">
        <x:v>16111038</x:v>
      </x:c>
      <x:c r="F3911" s="66" t="str">
        <x:v>SASTRA JAWA KUNO</x:v>
      </x:c>
      <x:c r="G3911" s="66" t="str">
        <x:v>Sarjana</x:v>
      </x:c>
      <x:c r="H3911" s="87" t="n">
        <x:v>12</x:v>
      </x:c>
      <x:c r="I3911" s="87" t="n">
        <x:v>8</x:v>
      </x:c>
      <x:c r="J3911" s="68" t="n">
        <x:f>IFERROR(H3911/I3911,"")</x:f>
        <x:v>1.5</x:v>
      </x:c>
      <x:c r="K3911" s="69" t="n">
        <x:f>IFERROR(I3911/H3911,"")</x:f>
        <x:v>0.6666666666666666</x:v>
      </x:c>
      <x:c r="L3911" s="66" t="str">
        <x:f>IF(K3911="","","1 : "&amp;TEXT(K3911,"0.0"))</x:f>
        <x:v>1 : 0.7</x:v>
      </x:c>
      <x:c r="M3911" s="66" t="str">
        <x:f>IF(J3911="","Baru/Tanpa Data",IF(J3911&lt;='Catatan &amp; Sumber'!$B$14,"Sangat Ketat",IF(J3911&lt;='Catatan &amp; Sumber'!$B$15,"Ketat",IF(J3911&lt;='Catatan &amp; Sumber'!$B$16,"Sedang","Relatif Longgar"))))</x:f>
        <x:v>Relatif Longgar</x:v>
      </x:c>
      <x:c r="N3911" s="66" t="str">
        <x:v>Tidak Ada</x:v>
      </x:c>
      <x:c r="O3911" s="66" t="str">
        <x:v>Bali</x:v>
      </x:c>
      <x:c r="P3911" s="66" t="str">
        <x:v>Kabupaten Badung</x:v>
      </x:c>
      <x:c r="Q3911" s="66" t="str">
        <x:v>https://snpmb.id/snbp/daya-tampung-snbp</x:v>
      </x:c>
      <x:c r="R3911" s="66" t="str">
        <x:v>https://sidatagrun-public-1076756628210.asia-southeast2.run.app/ptn_sn.php?ptn=611</x:v>
      </x:c>
    </x:row>
    <x:row r="3912">
      <x:c r="A3912" s="87" t="n">
        <x:v>4110</x:v>
      </x:c>
      <x:c r="B3912" s="66" t="n">
        <x:v>611</x:v>
      </x:c>
      <x:c r="C3912" s="66" t="str">
        <x:v>UNIVERSITAS UDAYANA</x:v>
      </x:c>
      <x:c r="D3912" s="66" t="str">
        <x:v>PTN Akademik</x:v>
      </x:c>
      <x:c r="E3912" s="66" t="str">
        <x:v>16111039</x:v>
      </x:c>
      <x:c r="F3912" s="66" t="str">
        <x:v>SASTRA BALI</x:v>
      </x:c>
      <x:c r="G3912" s="66" t="str">
        <x:v>Sarjana</x:v>
      </x:c>
      <x:c r="H3912" s="87" t="n">
        <x:v>20</x:v>
      </x:c>
      <x:c r="I3912" s="87" t="n">
        <x:v>26</x:v>
      </x:c>
      <x:c r="J3912" s="68" t="n">
        <x:f>IFERROR(H3912/I3912,"")</x:f>
        <x:v>0.7692307692307693</x:v>
      </x:c>
      <x:c r="K3912" s="69" t="n">
        <x:f>IFERROR(I3912/H3912,"")</x:f>
        <x:v>1.3</x:v>
      </x:c>
      <x:c r="L3912" s="66" t="str">
        <x:f>IF(K3912="","","1 : "&amp;TEXT(K3912,"0.0"))</x:f>
        <x:v>1 : 1.3</x:v>
      </x:c>
      <x:c r="M3912" s="66" t="str">
        <x:f>IF(J3912="","Baru/Tanpa Data",IF(J3912&lt;='Catatan &amp; Sumber'!$B$14,"Sangat Ketat",IF(J3912&lt;='Catatan &amp; Sumber'!$B$15,"Ketat",IF(J3912&lt;='Catatan &amp; Sumber'!$B$16,"Sedang","Relatif Longgar"))))</x:f>
        <x:v>Relatif Longgar</x:v>
      </x:c>
      <x:c r="N3912" s="66" t="str">
        <x:v>Tidak Ada</x:v>
      </x:c>
      <x:c r="O3912" s="66" t="str">
        <x:v>Bali</x:v>
      </x:c>
      <x:c r="P3912" s="66" t="str">
        <x:v>Kabupaten Badung</x:v>
      </x:c>
      <x:c r="Q3912" s="66" t="str">
        <x:v>https://snpmb.id/snbp/daya-tampung-snbp</x:v>
      </x:c>
      <x:c r="R3912" s="66" t="str">
        <x:v>https://sidatagrun-public-1076756628210.asia-southeast2.run.app/ptn_sn.php?ptn=611</x:v>
      </x:c>
    </x:row>
    <x:row r="3913">
      <x:c r="A3913" s="87" t="n">
        <x:v>3710</x:v>
      </x:c>
      <x:c r="B3913" s="66" t="n">
        <x:v>611</x:v>
      </x:c>
      <x:c r="C3913" s="66" t="str">
        <x:v>UNIVERSITAS UDAYANA</x:v>
      </x:c>
      <x:c r="D3913" s="66" t="str">
        <x:v>PTN Akademik</x:v>
      </x:c>
      <x:c r="E3913" s="66" t="str">
        <x:v>16111040</x:v>
      </x:c>
      <x:c r="F3913" s="66" t="str">
        <x:v>SASTRA JEPANG</x:v>
      </x:c>
      <x:c r="G3913" s="66" t="str">
        <x:v>Sarjana</x:v>
      </x:c>
      <x:c r="H3913" s="87" t="n">
        <x:v>50</x:v>
      </x:c>
      <x:c r="I3913" s="87" t="n">
        <x:v>96</x:v>
      </x:c>
      <x:c r="J3913" s="68" t="n">
        <x:f>IFERROR(H3913/I3913,"")</x:f>
        <x:v>0.5208333333333334</x:v>
      </x:c>
      <x:c r="K3913" s="69" t="n">
        <x:f>IFERROR(I3913/H3913,"")</x:f>
        <x:v>1.92</x:v>
      </x:c>
      <x:c r="L3913" s="66" t="str">
        <x:f>IF(K3913="","","1 : "&amp;TEXT(K3913,"0.0"))</x:f>
        <x:v>1 : 1.9</x:v>
      </x:c>
      <x:c r="M3913" s="66" t="str">
        <x:f>IF(J3913="","Baru/Tanpa Data",IF(J3913&lt;='Catatan &amp; Sumber'!$B$14,"Sangat Ketat",IF(J3913&lt;='Catatan &amp; Sumber'!$B$15,"Ketat",IF(J3913&lt;='Catatan &amp; Sumber'!$B$16,"Sedang","Relatif Longgar"))))</x:f>
        <x:v>Relatif Longgar</x:v>
      </x:c>
      <x:c r="N3913" s="66" t="str">
        <x:v>Tidak Ada</x:v>
      </x:c>
      <x:c r="O3913" s="66" t="str">
        <x:v>Bali</x:v>
      </x:c>
      <x:c r="P3913" s="66" t="str">
        <x:v>Kabupaten Badung</x:v>
      </x:c>
      <x:c r="Q3913" s="66" t="str">
        <x:v>https://snpmb.id/snbp/daya-tampung-snbp</x:v>
      </x:c>
      <x:c r="R3913" s="66" t="str">
        <x:v>https://sidatagrun-public-1076756628210.asia-southeast2.run.app/ptn_sn.php?ptn=611</x:v>
      </x:c>
    </x:row>
    <x:row r="3914">
      <x:c r="A3914" s="87" t="n">
        <x:v>417</x:v>
      </x:c>
      <x:c r="B3914" s="66" t="n">
        <x:v>611</x:v>
      </x:c>
      <x:c r="C3914" s="66" t="str">
        <x:v>UNIVERSITAS UDAYANA</x:v>
      </x:c>
      <x:c r="D3914" s="66" t="str">
        <x:v>PTN Akademik</x:v>
      </x:c>
      <x:c r="E3914" s="66" t="str">
        <x:v>16111042</x:v>
      </x:c>
      <x:c r="F3914" s="66" t="str">
        <x:v>PARIWISATA</x:v>
      </x:c>
      <x:c r="G3914" s="66" t="str">
        <x:v>Sarjana</x:v>
      </x:c>
      <x:c r="H3914" s="87" t="n">
        <x:v>36</x:v>
      </x:c>
      <x:c r="I3914" s="87" t="n">
        <x:v>756</x:v>
      </x:c>
      <x:c r="J3914" s="68" t="n">
        <x:f>IFERROR(H3914/I3914,"")</x:f>
        <x:v>0.047619047619047616</x:v>
      </x:c>
      <x:c r="K3914" s="69" t="n">
        <x:f>IFERROR(I3914/H3914,"")</x:f>
        <x:v>21</x:v>
      </x:c>
      <x:c r="L3914" s="66" t="str">
        <x:f>IF(K3914="","","1 : "&amp;TEXT(K3914,"0.0"))</x:f>
        <x:v>1 : 21.0</x:v>
      </x:c>
      <x:c r="M3914" s="66" t="str">
        <x:f>IF(J3914="","Baru/Tanpa Data",IF(J3914&lt;='Catatan &amp; Sumber'!$B$14,"Sangat Ketat",IF(J3914&lt;='Catatan &amp; Sumber'!$B$15,"Ketat",IF(J3914&lt;='Catatan &amp; Sumber'!$B$16,"Sedang","Relatif Longgar"))))</x:f>
        <x:v>Ketat</x:v>
      </x:c>
      <x:c r="N3914" s="66" t="str">
        <x:v>Tidak Ada</x:v>
      </x:c>
      <x:c r="O3914" s="66" t="str">
        <x:v>Bali</x:v>
      </x:c>
      <x:c r="P3914" s="66" t="str">
        <x:v>Kabupaten Badung</x:v>
      </x:c>
      <x:c r="Q3914" s="66" t="str">
        <x:v>https://snpmb.id/snbp/daya-tampung-snbp</x:v>
      </x:c>
      <x:c r="R3914" s="66" t="str">
        <x:v>https://sidatagrun-public-1076756628210.asia-southeast2.run.app/ptn_sn.php?ptn=611</x:v>
      </x:c>
    </x:row>
    <x:row r="3915">
      <x:c r="A3915" s="87" t="n">
        <x:v>3645</x:v>
      </x:c>
      <x:c r="B3915" s="66" t="n">
        <x:v>611</x:v>
      </x:c>
      <x:c r="C3915" s="66" t="str">
        <x:v>UNIVERSITAS UDAYANA</x:v>
      </x:c>
      <x:c r="D3915" s="66" t="str">
        <x:v>PTN Akademik</x:v>
      </x:c>
      <x:c r="E3915" s="66" t="str">
        <x:v>16111043</x:v>
      </x:c>
      <x:c r="F3915" s="66" t="str">
        <x:v>INDUSTRI PERJALANAN WISATA</x:v>
      </x:c>
      <x:c r="G3915" s="66" t="str">
        <x:v>Sarjana</x:v>
      </x:c>
      <x:c r="H3915" s="87" t="n">
        <x:v>75</x:v>
      </x:c>
      <x:c r="I3915" s="87" t="n">
        <x:v>154</x:v>
      </x:c>
      <x:c r="J3915" s="68" t="n">
        <x:f>IFERROR(H3915/I3915,"")</x:f>
        <x:v>0.487012987012987</x:v>
      </x:c>
      <x:c r="K3915" s="69" t="n">
        <x:f>IFERROR(I3915/H3915,"")</x:f>
        <x:v>2.0533333333333332</x:v>
      </x:c>
      <x:c r="L3915" s="66" t="str">
        <x:f>IF(K3915="","","1 : "&amp;TEXT(K3915,"0.0"))</x:f>
        <x:v>1 : 2.1</x:v>
      </x:c>
      <x:c r="M3915" s="66" t="str">
        <x:f>IF(J3915="","Baru/Tanpa Data",IF(J3915&lt;='Catatan &amp; Sumber'!$B$14,"Sangat Ketat",IF(J3915&lt;='Catatan &amp; Sumber'!$B$15,"Ketat",IF(J3915&lt;='Catatan &amp; Sumber'!$B$16,"Sedang","Relatif Longgar"))))</x:f>
        <x:v>Relatif Longgar</x:v>
      </x:c>
      <x:c r="N3915" s="66" t="str">
        <x:v>Tidak Ada</x:v>
      </x:c>
      <x:c r="O3915" s="66" t="str">
        <x:v>Bali</x:v>
      </x:c>
      <x:c r="P3915" s="66" t="str">
        <x:v>Kabupaten Badung</x:v>
      </x:c>
      <x:c r="Q3915" s="66" t="str">
        <x:v>https://snpmb.id/snbp/daya-tampung-snbp</x:v>
      </x:c>
      <x:c r="R3915" s="66" t="str">
        <x:v>https://sidatagrun-public-1076756628210.asia-southeast2.run.app/ptn_sn.php?ptn=611</x:v>
      </x:c>
    </x:row>
    <x:row r="3916">
      <x:c r="A3916" s="87" t="n">
        <x:v>1593</x:v>
      </x:c>
      <x:c r="B3916" s="66" t="n">
        <x:v>611</x:v>
      </x:c>
      <x:c r="C3916" s="66" t="str">
        <x:v>UNIVERSITAS UDAYANA</x:v>
      </x:c>
      <x:c r="D3916" s="66" t="str">
        <x:v>PTN Akademik</x:v>
      </x:c>
      <x:c r="E3916" s="66" t="str">
        <x:v>16111044</x:v>
      </x:c>
      <x:c r="F3916" s="66" t="str">
        <x:v>HUBUNGAN INTERNASIONAL</x:v>
      </x:c>
      <x:c r="G3916" s="66" t="str">
        <x:v>Sarjana</x:v>
      </x:c>
      <x:c r="H3916" s="87" t="n">
        <x:v>36</x:v>
      </x:c>
      <x:c r="I3916" s="87" t="n">
        <x:v>311</x:v>
      </x:c>
      <x:c r="J3916" s="68" t="n">
        <x:f>IFERROR(H3916/I3916,"")</x:f>
        <x:v>0.1157556270096463</x:v>
      </x:c>
      <x:c r="K3916" s="69" t="n">
        <x:f>IFERROR(I3916/H3916,"")</x:f>
        <x:v>8.63888888888889</x:v>
      </x:c>
      <x:c r="L3916" s="66" t="str">
        <x:f>IF(K3916="","","1 : "&amp;TEXT(K3916,"0.0"))</x:f>
        <x:v>1 : 8.6</x:v>
      </x:c>
      <x:c r="M3916" s="66" t="str">
        <x:f>IF(J3916="","Baru/Tanpa Data",IF(J3916&lt;='Catatan &amp; Sumber'!$B$14,"Sangat Ketat",IF(J3916&lt;='Catatan &amp; Sumber'!$B$15,"Ketat",IF(J3916&lt;='Catatan &amp; Sumber'!$B$16,"Sedang","Relatif Longgar"))))</x:f>
        <x:v>Relatif Longgar</x:v>
      </x:c>
      <x:c r="N3916" s="66" t="str">
        <x:v>Tidak Ada</x:v>
      </x:c>
      <x:c r="O3916" s="66" t="str">
        <x:v>Bali</x:v>
      </x:c>
      <x:c r="P3916" s="66" t="str">
        <x:v>Kabupaten Badung</x:v>
      </x:c>
      <x:c r="Q3916" s="66" t="str">
        <x:v>https://snpmb.id/snbp/daya-tampung-snbp</x:v>
      </x:c>
      <x:c r="R3916" s="66" t="str">
        <x:v>https://sidatagrun-public-1076756628210.asia-southeast2.run.app/ptn_sn.php?ptn=611</x:v>
      </x:c>
    </x:row>
    <x:row r="3917">
      <x:c r="A3917" s="87" t="n">
        <x:v>3879</x:v>
      </x:c>
      <x:c r="B3917" s="66" t="n">
        <x:v>611</x:v>
      </x:c>
      <x:c r="C3917" s="66" t="str">
        <x:v>UNIVERSITAS UDAYANA</x:v>
      </x:c>
      <x:c r="D3917" s="66" t="str">
        <x:v>PTN Akademik</x:v>
      </x:c>
      <x:c r="E3917" s="66" t="str">
        <x:v>16111045</x:v>
      </x:c>
      <x:c r="F3917" s="66" t="str">
        <x:v>SOSIOLOGI</x:v>
      </x:c>
      <x:c r="G3917" s="66" t="str">
        <x:v>Sarjana</x:v>
      </x:c>
      <x:c r="H3917" s="87" t="n">
        <x:v>60</x:v>
      </x:c>
      <x:c r="I3917" s="87" t="n">
        <x:v>98</x:v>
      </x:c>
      <x:c r="J3917" s="68" t="n">
        <x:f>IFERROR(H3917/I3917,"")</x:f>
        <x:v>0.6122448979591837</x:v>
      </x:c>
      <x:c r="K3917" s="69" t="n">
        <x:f>IFERROR(I3917/H3917,"")</x:f>
        <x:v>1.6333333333333333</x:v>
      </x:c>
      <x:c r="L3917" s="66" t="str">
        <x:f>IF(K3917="","","1 : "&amp;TEXT(K3917,"0.0"))</x:f>
        <x:v>1 : 1.6</x:v>
      </x:c>
      <x:c r="M3917" s="66" t="str">
        <x:f>IF(J3917="","Baru/Tanpa Data",IF(J3917&lt;='Catatan &amp; Sumber'!$B$14,"Sangat Ketat",IF(J3917&lt;='Catatan &amp; Sumber'!$B$15,"Ketat",IF(J3917&lt;='Catatan &amp; Sumber'!$B$16,"Sedang","Relatif Longgar"))))</x:f>
        <x:v>Relatif Longgar</x:v>
      </x:c>
      <x:c r="N3917" s="66" t="str">
        <x:v>Tidak Ada</x:v>
      </x:c>
      <x:c r="O3917" s="66" t="str">
        <x:v>Bali</x:v>
      </x:c>
      <x:c r="P3917" s="66" t="str">
        <x:v>Kabupaten Badung</x:v>
      </x:c>
      <x:c r="Q3917" s="66" t="str">
        <x:v>https://snpmb.id/snbp/daya-tampung-snbp</x:v>
      </x:c>
      <x:c r="R3917" s="66" t="str">
        <x:v>https://sidatagrun-public-1076756628210.asia-southeast2.run.app/ptn_sn.php?ptn=611</x:v>
      </x:c>
    </x:row>
    <x:row r="3918">
      <x:c r="A3918" s="87" t="n">
        <x:v>322</x:v>
      </x:c>
      <x:c r="B3918" s="66" t="n">
        <x:v>611</x:v>
      </x:c>
      <x:c r="C3918" s="66" t="str">
        <x:v>UNIVERSITAS UDAYANA</x:v>
      </x:c>
      <x:c r="D3918" s="66" t="str">
        <x:v>PTN Akademik</x:v>
      </x:c>
      <x:c r="E3918" s="66" t="str">
        <x:v>16111046</x:v>
      </x:c>
      <x:c r="F3918" s="66" t="str">
        <x:v>PSIKOLOGI</x:v>
      </x:c>
      <x:c r="G3918" s="66" t="str">
        <x:v>Sarjana</x:v>
      </x:c>
      <x:c r="H3918" s="87" t="n">
        <x:v>28</x:v>
      </x:c>
      <x:c r="I3918" s="87" t="n">
        <x:v>644</x:v>
      </x:c>
      <x:c r="J3918" s="68" t="n">
        <x:f>IFERROR(H3918/I3918,"")</x:f>
        <x:v>0.043478260869565216</x:v>
      </x:c>
      <x:c r="K3918" s="69" t="n">
        <x:f>IFERROR(I3918/H3918,"")</x:f>
        <x:v>23</x:v>
      </x:c>
      <x:c r="L3918" s="66" t="str">
        <x:f>IF(K3918="","","1 : "&amp;TEXT(K3918,"0.0"))</x:f>
        <x:v>1 : 23.0</x:v>
      </x:c>
      <x:c r="M3918" s="66" t="str">
        <x:f>IF(J3918="","Baru/Tanpa Data",IF(J3918&lt;='Catatan &amp; Sumber'!$B$14,"Sangat Ketat",IF(J3918&lt;='Catatan &amp; Sumber'!$B$15,"Ketat",IF(J3918&lt;='Catatan &amp; Sumber'!$B$16,"Sedang","Relatif Longgar"))))</x:f>
        <x:v>Ketat</x:v>
      </x:c>
      <x:c r="N3918" s="66" t="str">
        <x:v>Tidak Ada</x:v>
      </x:c>
      <x:c r="O3918" s="66" t="str">
        <x:v>Bali</x:v>
      </x:c>
      <x:c r="P3918" s="66" t="str">
        <x:v>Kabupaten Badung</x:v>
      </x:c>
      <x:c r="Q3918" s="66" t="str">
        <x:v>https://snpmb.id/snbp/daya-tampung-snbp</x:v>
      </x:c>
      <x:c r="R3918" s="66" t="str">
        <x:v>https://sidatagrun-public-1076756628210.asia-southeast2.run.app/ptn_sn.php?ptn=611</x:v>
      </x:c>
    </x:row>
    <x:row r="3919">
      <x:c r="A3919" s="87" t="n">
        <x:v>1378</x:v>
      </x:c>
      <x:c r="B3919" s="66" t="n">
        <x:v>611</x:v>
      </x:c>
      <x:c r="C3919" s="66" t="str">
        <x:v>UNIVERSITAS UDAYANA</x:v>
      </x:c>
      <x:c r="D3919" s="66" t="str">
        <x:v>PTN Akademik</x:v>
      </x:c>
      <x:c r="E3919" s="66" t="str">
        <x:v>16111047</x:v>
      </x:c>
      <x:c r="F3919" s="66" t="str">
        <x:v>ADMINISTRASI PUBLIK</x:v>
      </x:c>
      <x:c r="G3919" s="66" t="str">
        <x:v>Sarjana</x:v>
      </x:c>
      <x:c r="H3919" s="87" t="n">
        <x:v>35</x:v>
      </x:c>
      <x:c r="I3919" s="87" t="n">
        <x:v>349</x:v>
      </x:c>
      <x:c r="J3919" s="68" t="n">
        <x:f>IFERROR(H3919/I3919,"")</x:f>
        <x:v>0.10028653295128939</x:v>
      </x:c>
      <x:c r="K3919" s="69" t="n">
        <x:f>IFERROR(I3919/H3919,"")</x:f>
        <x:v>9.971428571428572</x:v>
      </x:c>
      <x:c r="L3919" s="66" t="str">
        <x:f>IF(K3919="","","1 : "&amp;TEXT(K3919,"0.0"))</x:f>
        <x:v>1 : 10.0</x:v>
      </x:c>
      <x:c r="M3919" s="66" t="str">
        <x:f>IF(J3919="","Baru/Tanpa Data",IF(J3919&lt;='Catatan &amp; Sumber'!$B$14,"Sangat Ketat",IF(J3919&lt;='Catatan &amp; Sumber'!$B$15,"Ketat",IF(J3919&lt;='Catatan &amp; Sumber'!$B$16,"Sedang","Relatif Longgar"))))</x:f>
        <x:v>Relatif Longgar</x:v>
      </x:c>
      <x:c r="N3919" s="66" t="str">
        <x:v>Tidak Ada</x:v>
      </x:c>
      <x:c r="O3919" s="66" t="str">
        <x:v>Bali</x:v>
      </x:c>
      <x:c r="P3919" s="66" t="str">
        <x:v>Kabupaten Badung</x:v>
      </x:c>
      <x:c r="Q3919" s="66" t="str">
        <x:v>https://snpmb.id/snbp/daya-tampung-snbp</x:v>
      </x:c>
      <x:c r="R3919" s="66" t="str">
        <x:v>https://sidatagrun-public-1076756628210.asia-southeast2.run.app/ptn_sn.php?ptn=611</x:v>
      </x:c>
    </x:row>
    <x:row r="3920">
      <x:c r="A3920" s="87" t="n">
        <x:v>767</x:v>
      </x:c>
      <x:c r="B3920" s="66" t="n">
        <x:v>611</x:v>
      </x:c>
      <x:c r="C3920" s="66" t="str">
        <x:v>UNIVERSITAS UDAYANA</x:v>
      </x:c>
      <x:c r="D3920" s="66" t="str">
        <x:v>PTN Akademik</x:v>
      </x:c>
      <x:c r="E3920" s="66" t="str">
        <x:v>16111048</x:v>
      </x:c>
      <x:c r="F3920" s="66" t="str">
        <x:v>ILMU KOMUNIKASI</x:v>
      </x:c>
      <x:c r="G3920" s="66" t="str">
        <x:v>Sarjana</x:v>
      </x:c>
      <x:c r="H3920" s="87" t="n">
        <x:v>35</x:v>
      </x:c>
      <x:c r="I3920" s="87" t="n">
        <x:v>536</x:v>
      </x:c>
      <x:c r="J3920" s="68" t="n">
        <x:f>IFERROR(H3920/I3920,"")</x:f>
        <x:v>0.06529850746268656</x:v>
      </x:c>
      <x:c r="K3920" s="69" t="n">
        <x:f>IFERROR(I3920/H3920,"")</x:f>
        <x:v>15.314285714285715</x:v>
      </x:c>
      <x:c r="L3920" s="66" t="str">
        <x:f>IF(K3920="","","1 : "&amp;TEXT(K3920,"0.0"))</x:f>
        <x:v>1 : 15.3</x:v>
      </x:c>
      <x:c r="M3920" s="66" t="str">
        <x:f>IF(J3920="","Baru/Tanpa Data",IF(J3920&lt;='Catatan &amp; Sumber'!$B$14,"Sangat Ketat",IF(J3920&lt;='Catatan &amp; Sumber'!$B$15,"Ketat",IF(J3920&lt;='Catatan &amp; Sumber'!$B$16,"Sedang","Relatif Longgar"))))</x:f>
        <x:v>Sedang</x:v>
      </x:c>
      <x:c r="N3920" s="66" t="str">
        <x:v>Tidak Ada</x:v>
      </x:c>
      <x:c r="O3920" s="66" t="str">
        <x:v>Bali</x:v>
      </x:c>
      <x:c r="P3920" s="66" t="str">
        <x:v>Kabupaten Badung</x:v>
      </x:c>
      <x:c r="Q3920" s="66" t="str">
        <x:v>https://snpmb.id/snbp/daya-tampung-snbp</x:v>
      </x:c>
      <x:c r="R3920" s="66" t="str">
        <x:v>https://sidatagrun-public-1076756628210.asia-southeast2.run.app/ptn_sn.php?ptn=611</x:v>
      </x:c>
    </x:row>
    <x:row r="3921">
      <x:c r="A3921" s="87" t="n">
        <x:v>3909</x:v>
      </x:c>
      <x:c r="B3921" s="66" t="n">
        <x:v>611</x:v>
      </x:c>
      <x:c r="C3921" s="66" t="str">
        <x:v>UNIVERSITAS UDAYANA</x:v>
      </x:c>
      <x:c r="D3921" s="66" t="str">
        <x:v>PTN Akademik</x:v>
      </x:c>
      <x:c r="E3921" s="66" t="str">
        <x:v>16111049</x:v>
      </x:c>
      <x:c r="F3921" s="66" t="str">
        <x:v>ILMU POLITIK</x:v>
      </x:c>
      <x:c r="G3921" s="66" t="str">
        <x:v>Sarjana</x:v>
      </x:c>
      <x:c r="H3921" s="87" t="n">
        <x:v>60</x:v>
      </x:c>
      <x:c r="I3921" s="87" t="n">
        <x:v>95</x:v>
      </x:c>
      <x:c r="J3921" s="68" t="n">
        <x:f>IFERROR(H3921/I3921,"")</x:f>
        <x:v>0.631578947368421</x:v>
      </x:c>
      <x:c r="K3921" s="69" t="n">
        <x:f>IFERROR(I3921/H3921,"")</x:f>
        <x:v>1.5833333333333333</x:v>
      </x:c>
      <x:c r="L3921" s="66" t="str">
        <x:f>IF(K3921="","","1 : "&amp;TEXT(K3921,"0.0"))</x:f>
        <x:v>1 : 1.6</x:v>
      </x:c>
      <x:c r="M3921" s="66" t="str">
        <x:f>IF(J3921="","Baru/Tanpa Data",IF(J3921&lt;='Catatan &amp; Sumber'!$B$14,"Sangat Ketat",IF(J3921&lt;='Catatan &amp; Sumber'!$B$15,"Ketat",IF(J3921&lt;='Catatan &amp; Sumber'!$B$16,"Sedang","Relatif Longgar"))))</x:f>
        <x:v>Relatif Longgar</x:v>
      </x:c>
      <x:c r="N3921" s="66" t="str">
        <x:v>Tidak Ada</x:v>
      </x:c>
      <x:c r="O3921" s="66" t="str">
        <x:v>Bali</x:v>
      </x:c>
      <x:c r="P3921" s="66" t="str">
        <x:v>Kabupaten Badung</x:v>
      </x:c>
      <x:c r="Q3921" s="66" t="str">
        <x:v>https://snpmb.id/snbp/daya-tampung-snbp</x:v>
      </x:c>
      <x:c r="R3921" s="66" t="str">
        <x:v>https://sidatagrun-public-1076756628210.asia-southeast2.run.app/ptn_sn.php?ptn=611</x:v>
      </x:c>
    </x:row>
    <x:row r="3922">
      <x:c r="A3922" s="87" t="n">
        <x:v>4870</x:v>
      </x:c>
      <x:c r="B3922" s="66" t="n">
        <x:v>611</x:v>
      </x:c>
      <x:c r="C3922" s="66" t="str">
        <x:v>UNIVERSITAS UDAYANA</x:v>
      </x:c>
      <x:c r="D3922" s="66" t="str">
        <x:v>PTN Akademik</x:v>
      </x:c>
      <x:c r="E3922" s="66" t="str">
        <x:v>16111053</x:v>
      </x:c>
      <x:c r="F3922" s="66" t="str">
        <x:v>AKUAKULTUR</x:v>
      </x:c>
      <x:c r="G3922" s="66" t="str">
        <x:v>Sarjana</x:v>
      </x:c>
      <x:c r="H3922" s="87" t="n">
        <x:v>40</x:v>
      </x:c>
      <x:c r="I3922" s="87" t="n">
        <x:v>6</x:v>
      </x:c>
      <x:c r="J3922" s="68" t="n">
        <x:f>IFERROR(H3922/I3922,"")</x:f>
        <x:v>6.666666666666667</x:v>
      </x:c>
      <x:c r="K3922" s="69" t="n">
        <x:f>IFERROR(I3922/H3922,"")</x:f>
        <x:v>0.15</x:v>
      </x:c>
      <x:c r="L3922" s="66" t="str">
        <x:f>IF(K3922="","","1 : "&amp;TEXT(K3922,"0.0"))</x:f>
        <x:v>1 : 0.2</x:v>
      </x:c>
      <x:c r="M3922" s="66" t="str">
        <x:f>IF(J3922="","Baru/Tanpa Data",IF(J3922&lt;='Catatan &amp; Sumber'!$B$14,"Sangat Ketat",IF(J3922&lt;='Catatan &amp; Sumber'!$B$15,"Ketat",IF(J3922&lt;='Catatan &amp; Sumber'!$B$16,"Sedang","Relatif Longgar"))))</x:f>
        <x:v>Relatif Longgar</x:v>
      </x:c>
      <x:c r="N3922" s="66" t="str">
        <x:v>Tidak Ada</x:v>
      </x:c>
      <x:c r="O3922" s="66" t="str">
        <x:v>Bali</x:v>
      </x:c>
      <x:c r="P3922" s="66" t="str">
        <x:v>Kabupaten Badung</x:v>
      </x:c>
      <x:c r="Q3922" s="66" t="str">
        <x:v>https://snpmb.id/snbp/daya-tampung-snbp</x:v>
      </x:c>
      <x:c r="R3922" s="66" t="str">
        <x:v>https://sidatagrun-public-1076756628210.asia-southeast2.run.app/ptn_sn.php?ptn=611</x:v>
      </x:c>
    </x:row>
    <x:row r="3923">
      <x:c r="A3923" s="87"/>
      <x:c r="B3923" s="66" t="n">
        <x:v>611</x:v>
      </x:c>
      <x:c r="C3923" s="66" t="str">
        <x:v>UNIVERSITAS UDAYANA</x:v>
      </x:c>
      <x:c r="D3923" s="66" t="str">
        <x:v>PTN Akademik</x:v>
      </x:c>
      <x:c r="E3923" s="66" t="str">
        <x:v>16111054</x:v>
      </x:c>
      <x:c r="F3923" s="66" t="str">
        <x:v>PERPUSTAKAAN DAN SAINS INFORMASI</x:v>
      </x:c>
      <x:c r="G3923" s="66" t="str">
        <x:v>Sarjana</x:v>
      </x:c>
      <x:c r="H3923" s="87" t="n">
        <x:v>20</x:v>
      </x:c>
      <x:c r="I3923" s="87"/>
      <x:c r="J3923" s="68" t="str">
        <x:f>IFERROR(H3923/I3923,"")</x:f>
      </x:c>
      <x:c r="K3923" s="69" t="n">
        <x:f>IFERROR(I3923/H3923,"")</x:f>
        <x:v>0</x:v>
      </x:c>
      <x:c r="L3923" s="66" t="str">
        <x:f>IF(K3923="","","1 : "&amp;TEXT(K3923,"0.0"))</x:f>
      </x:c>
      <x:c r="M3923" s="66" t="str">
        <x:f>IF(J3923="","Baru/Tanpa Data",IF(J3923&lt;='Catatan &amp; Sumber'!$B$14,"Sangat Ketat",IF(J3923&lt;='Catatan &amp; Sumber'!$B$15,"Ketat",IF(J3923&lt;='Catatan &amp; Sumber'!$B$16,"Sedang","Relatif Longgar"))))</x:f>
        <x:v>Baru/Tanpa Data</x:v>
      </x:c>
      <x:c r="N3923" s="66" t="str">
        <x:v>Tidak Ada</x:v>
      </x:c>
      <x:c r="O3923" s="66" t="str">
        <x:v>Bali</x:v>
      </x:c>
      <x:c r="P3923" s="66" t="str">
        <x:v>Kabupaten Badung</x:v>
      </x:c>
      <x:c r="Q3923" s="66" t="str">
        <x:v>https://snpmb.id/snbp/daya-tampung-snbp</x:v>
      </x:c>
      <x:c r="R3923" s="66" t="str">
        <x:v>https://sidatagrun-public-1076756628210.asia-southeast2.run.app/ptn_sn.php?ptn=611</x:v>
      </x:c>
    </x:row>
    <x:row r="3924">
      <x:c r="A3924" s="87" t="n">
        <x:v>3287</x:v>
      </x:c>
      <x:c r="B3924" s="66" t="n">
        <x:v>611</x:v>
      </x:c>
      <x:c r="C3924" s="66" t="str">
        <x:v>UNIVERSITAS UDAYANA</x:v>
      </x:c>
      <x:c r="D3924" s="66" t="str">
        <x:v>PTN Akademik</x:v>
      </x:c>
      <x:c r="E3924" s="66" t="str">
        <x:v>16112041</x:v>
      </x:c>
      <x:c r="F3924" s="66" t="str">
        <x:v>PENGELOLAAN PERHOTELAN</x:v>
      </x:c>
      <x:c r="G3924" s="66" t="str">
        <x:v>Sarjana Terapan</x:v>
      </x:c>
      <x:c r="H3924" s="87" t="n">
        <x:v>75</x:v>
      </x:c>
      <x:c r="I3924" s="87" t="n">
        <x:v>203</x:v>
      </x:c>
      <x:c r="J3924" s="68" t="n">
        <x:f>IFERROR(H3924/I3924,"")</x:f>
        <x:v>0.3694581280788177</x:v>
      </x:c>
      <x:c r="K3924" s="69" t="n">
        <x:f>IFERROR(I3924/H3924,"")</x:f>
        <x:v>2.7066666666666666</x:v>
      </x:c>
      <x:c r="L3924" s="66" t="str">
        <x:f>IF(K3924="","","1 : "&amp;TEXT(K3924,"0.0"))</x:f>
        <x:v>1 : 2.7</x:v>
      </x:c>
      <x:c r="M3924" s="66" t="str">
        <x:f>IF(J3924="","Baru/Tanpa Data",IF(J3924&lt;='Catatan &amp; Sumber'!$B$14,"Sangat Ketat",IF(J3924&lt;='Catatan &amp; Sumber'!$B$15,"Ketat",IF(J3924&lt;='Catatan &amp; Sumber'!$B$16,"Sedang","Relatif Longgar"))))</x:f>
        <x:v>Relatif Longgar</x:v>
      </x:c>
      <x:c r="N3924" s="66" t="str">
        <x:v>Tidak Ada</x:v>
      </x:c>
      <x:c r="O3924" s="66" t="str">
        <x:v>Bali</x:v>
      </x:c>
      <x:c r="P3924" s="66" t="str">
        <x:v>Kabupaten Badung</x:v>
      </x:c>
      <x:c r="Q3924" s="66" t="str">
        <x:v>https://snpmb.id/snbp/daya-tampung-snbp</x:v>
      </x:c>
      <x:c r="R3924" s="66" t="str">
        <x:v>https://sidatagrun-public-1076756628210.asia-southeast2.run.app/ptn_sn.php?ptn=611</x:v>
      </x:c>
    </x:row>
    <x:row r="3925">
      <x:c r="A3925" s="87" t="n">
        <x:v>4108</x:v>
      </x:c>
      <x:c r="B3925" s="66" t="n">
        <x:v>611</x:v>
      </x:c>
      <x:c r="C3925" s="66" t="str">
        <x:v>UNIVERSITAS UDAYANA</x:v>
      </x:c>
      <x:c r="D3925" s="66" t="str">
        <x:v>PTN Akademik</x:v>
      </x:c>
      <x:c r="E3925" s="66" t="str">
        <x:v>16113050</x:v>
      </x:c>
      <x:c r="F3925" s="66" t="str">
        <x:v>PERPUSTAKAAN</x:v>
      </x:c>
      <x:c r="G3925" s="66" t="str">
        <x:v>Diploma Tiga</x:v>
      </x:c>
      <x:c r="H3925" s="87" t="n">
        <x:v>16</x:v>
      </x:c>
      <x:c r="I3925" s="87" t="n">
        <x:v>21</x:v>
      </x:c>
      <x:c r="J3925" s="68" t="n">
        <x:f>IFERROR(H3925/I3925,"")</x:f>
        <x:v>0.7619047619047619</x:v>
      </x:c>
      <x:c r="K3925" s="69" t="n">
        <x:f>IFERROR(I3925/H3925,"")</x:f>
        <x:v>1.3125</x:v>
      </x:c>
      <x:c r="L3925" s="66" t="str">
        <x:f>IF(K3925="","","1 : "&amp;TEXT(K3925,"0.0"))</x:f>
        <x:v>1 : 1.3</x:v>
      </x:c>
      <x:c r="M3925" s="66" t="str">
        <x:f>IF(J3925="","Baru/Tanpa Data",IF(J3925&lt;='Catatan &amp; Sumber'!$B$14,"Sangat Ketat",IF(J3925&lt;='Catatan &amp; Sumber'!$B$15,"Ketat",IF(J3925&lt;='Catatan &amp; Sumber'!$B$16,"Sedang","Relatif Longgar"))))</x:f>
        <x:v>Relatif Longgar</x:v>
      </x:c>
      <x:c r="N3925" s="66" t="str">
        <x:v>Tidak Ada</x:v>
      </x:c>
      <x:c r="O3925" s="66" t="str">
        <x:v>Bali</x:v>
      </x:c>
      <x:c r="P3925" s="66" t="str">
        <x:v>Kabupaten Badung</x:v>
      </x:c>
      <x:c r="Q3925" s="66" t="str">
        <x:v>https://snpmb.id/snbp/daya-tampung-snbp</x:v>
      </x:c>
      <x:c r="R3925" s="66" t="str">
        <x:v>https://sidatagrun-public-1076756628210.asia-southeast2.run.app/ptn_sn.php?ptn=611</x:v>
      </x:c>
    </x:row>
    <x:row r="3926">
      <x:c r="A3926" s="87" t="n">
        <x:v>3191</x:v>
      </x:c>
      <x:c r="B3926" s="66" t="n">
        <x:v>611</x:v>
      </x:c>
      <x:c r="C3926" s="66" t="str">
        <x:v>UNIVERSITAS UDAYANA</x:v>
      </x:c>
      <x:c r="D3926" s="66" t="str">
        <x:v>PTN Akademik</x:v>
      </x:c>
      <x:c r="E3926" s="66" t="str">
        <x:v>16113051</x:v>
      </x:c>
      <x:c r="F3926" s="66" t="str">
        <x:v>PERPAJAKAN</x:v>
      </x:c>
      <x:c r="G3926" s="66" t="str">
        <x:v>Diploma Tiga</x:v>
      </x:c>
      <x:c r="H3926" s="87" t="n">
        <x:v>35</x:v>
      </x:c>
      <x:c r="I3926" s="87" t="n">
        <x:v>103</x:v>
      </x:c>
      <x:c r="J3926" s="68" t="n">
        <x:f>IFERROR(H3926/I3926,"")</x:f>
        <x:v>0.33980582524271846</x:v>
      </x:c>
      <x:c r="K3926" s="69" t="n">
        <x:f>IFERROR(I3926/H3926,"")</x:f>
        <x:v>2.942857142857143</x:v>
      </x:c>
      <x:c r="L3926" s="66" t="str">
        <x:f>IF(K3926="","","1 : "&amp;TEXT(K3926,"0.0"))</x:f>
        <x:v>1 : 2.9</x:v>
      </x:c>
      <x:c r="M3926" s="66" t="str">
        <x:f>IF(J3926="","Baru/Tanpa Data",IF(J3926&lt;='Catatan &amp; Sumber'!$B$14,"Sangat Ketat",IF(J3926&lt;='Catatan &amp; Sumber'!$B$15,"Ketat",IF(J3926&lt;='Catatan &amp; Sumber'!$B$16,"Sedang","Relatif Longgar"))))</x:f>
        <x:v>Relatif Longgar</x:v>
      </x:c>
      <x:c r="N3926" s="66" t="str">
        <x:v>Tidak Ada</x:v>
      </x:c>
      <x:c r="O3926" s="66" t="str">
        <x:v>Bali</x:v>
      </x:c>
      <x:c r="P3926" s="66" t="str">
        <x:v>Kabupaten Badung</x:v>
      </x:c>
      <x:c r="Q3926" s="66" t="str">
        <x:v>https://snpmb.id/snbp/daya-tampung-snbp</x:v>
      </x:c>
      <x:c r="R3926" s="66" t="str">
        <x:v>https://sidatagrun-public-1076756628210.asia-southeast2.run.app/ptn_sn.php?ptn=611</x:v>
      </x:c>
    </x:row>
    <x:row r="3927">
      <x:c r="A3927" s="87" t="n">
        <x:v>4065</x:v>
      </x:c>
      <x:c r="B3927" s="66" t="n">
        <x:v>611</x:v>
      </x:c>
      <x:c r="C3927" s="66" t="str">
        <x:v>UNIVERSITAS UDAYANA</x:v>
      </x:c>
      <x:c r="D3927" s="66" t="str">
        <x:v>PTN Akademik</x:v>
      </x:c>
      <x:c r="E3927" s="66" t="str">
        <x:v>16113052</x:v>
      </x:c>
      <x:c r="F3927" s="66" t="str">
        <x:v>AKUNTANSI</x:v>
      </x:c>
      <x:c r="G3927" s="66" t="str">
        <x:v>Diploma Tiga</x:v>
      </x:c>
      <x:c r="H3927" s="87" t="n">
        <x:v>35</x:v>
      </x:c>
      <x:c r="I3927" s="87" t="n">
        <x:v>48</x:v>
      </x:c>
      <x:c r="J3927" s="68" t="n">
        <x:f>IFERROR(H3927/I3927,"")</x:f>
        <x:v>0.7291666666666666</x:v>
      </x:c>
      <x:c r="K3927" s="69" t="n">
        <x:f>IFERROR(I3927/H3927,"")</x:f>
        <x:v>1.3714285714285714</x:v>
      </x:c>
      <x:c r="L3927" s="66" t="str">
        <x:f>IF(K3927="","","1 : "&amp;TEXT(K3927,"0.0"))</x:f>
        <x:v>1 : 1.4</x:v>
      </x:c>
      <x:c r="M3927" s="66" t="str">
        <x:f>IF(J3927="","Baru/Tanpa Data",IF(J3927&lt;='Catatan &amp; Sumber'!$B$14,"Sangat Ketat",IF(J3927&lt;='Catatan &amp; Sumber'!$B$15,"Ketat",IF(J3927&lt;='Catatan &amp; Sumber'!$B$16,"Sedang","Relatif Longgar"))))</x:f>
        <x:v>Relatif Longgar</x:v>
      </x:c>
      <x:c r="N3927" s="66" t="str">
        <x:v>Tidak Ada</x:v>
      </x:c>
      <x:c r="O3927" s="66" t="str">
        <x:v>Bali</x:v>
      </x:c>
      <x:c r="P3927" s="66" t="str">
        <x:v>Kabupaten Badung</x:v>
      </x:c>
      <x:c r="Q3927" s="66" t="str">
        <x:v>https://snpmb.id/snbp/daya-tampung-snbp</x:v>
      </x:c>
      <x:c r="R3927" s="66" t="str">
        <x:v>https://sidatagrun-public-1076756628210.asia-southeast2.run.app/ptn_sn.php?ptn=611</x:v>
      </x:c>
    </x:row>
    <x:row r="3928">
      <x:c r="A3928" s="87" t="n">
        <x:v>3976</x:v>
      </x:c>
      <x:c r="B3928" s="66" t="n">
        <x:v>612</x:v>
      </x:c>
      <x:c r="C3928" s="66" t="str">
        <x:v>UNIVERSITAS PENDIDIKAN GANESHA</x:v>
      </x:c>
      <x:c r="D3928" s="66" t="str">
        <x:v>PTN Akademik</x:v>
      </x:c>
      <x:c r="E3928" s="66" t="str">
        <x:v>16121001</x:v>
      </x:c>
      <x:c r="F3928" s="66" t="str">
        <x:v>PENDIDIKAN MATEMATIKA</x:v>
      </x:c>
      <x:c r="G3928" s="66" t="str">
        <x:v>Sarjana</x:v>
      </x:c>
      <x:c r="H3928" s="87" t="n">
        <x:v>98</x:v>
      </x:c>
      <x:c r="I3928" s="87" t="n">
        <x:v>146</x:v>
      </x:c>
      <x:c r="J3928" s="68" t="n">
        <x:f>IFERROR(H3928/I3928,"")</x:f>
        <x:v>0.6712328767123288</x:v>
      </x:c>
      <x:c r="K3928" s="69" t="n">
        <x:f>IFERROR(I3928/H3928,"")</x:f>
        <x:v>1.489795918367347</x:v>
      </x:c>
      <x:c r="L3928" s="66" t="str">
        <x:f>IF(K3928="","","1 : "&amp;TEXT(K3928,"0.0"))</x:f>
        <x:v>1 : 1.5</x:v>
      </x:c>
      <x:c r="M3928" s="66" t="str">
        <x:f>IF(J3928="","Baru/Tanpa Data",IF(J3928&lt;='Catatan &amp; Sumber'!$B$14,"Sangat Ketat",IF(J3928&lt;='Catatan &amp; Sumber'!$B$15,"Ketat",IF(J3928&lt;='Catatan &amp; Sumber'!$B$16,"Sedang","Relatif Longgar"))))</x:f>
        <x:v>Relatif Longgar</x:v>
      </x:c>
      <x:c r="N3928" s="66" t="str">
        <x:v>Tidak Ada</x:v>
      </x:c>
      <x:c r="O3928" s="66" t="str">
        <x:v>Bali</x:v>
      </x:c>
      <x:c r="P3928" s="66" t="str">
        <x:v>Kabupaten Buleleng</x:v>
      </x:c>
      <x:c r="Q3928" s="66" t="str">
        <x:v>https://snpmb.id/snbp/daya-tampung-snbp</x:v>
      </x:c>
      <x:c r="R3928" s="66" t="str">
        <x:v>https://sidatagrun-public-1076756628210.asia-southeast2.run.app/ptn_sn.php?ptn=612</x:v>
      </x:c>
    </x:row>
    <x:row r="3929">
      <x:c r="A3929" s="87" t="n">
        <x:v>4058</x:v>
      </x:c>
      <x:c r="B3929" s="66" t="n">
        <x:v>612</x:v>
      </x:c>
      <x:c r="C3929" s="66" t="str">
        <x:v>UNIVERSITAS PENDIDIKAN GANESHA</x:v>
      </x:c>
      <x:c r="D3929" s="66" t="str">
        <x:v>PTN Akademik</x:v>
      </x:c>
      <x:c r="E3929" s="66" t="str">
        <x:v>16121002</x:v>
      </x:c>
      <x:c r="F3929" s="66" t="str">
        <x:v>PENDIDIKAN BIOLOGI</x:v>
      </x:c>
      <x:c r="G3929" s="66" t="str">
        <x:v>Sarjana</x:v>
      </x:c>
      <x:c r="H3929" s="87" t="n">
        <x:v>60</x:v>
      </x:c>
      <x:c r="I3929" s="87" t="n">
        <x:v>83</x:v>
      </x:c>
      <x:c r="J3929" s="68" t="n">
        <x:f>IFERROR(H3929/I3929,"")</x:f>
        <x:v>0.7228915662650602</x:v>
      </x:c>
      <x:c r="K3929" s="69" t="n">
        <x:f>IFERROR(I3929/H3929,"")</x:f>
        <x:v>1.3833333333333333</x:v>
      </x:c>
      <x:c r="L3929" s="66" t="str">
        <x:f>IF(K3929="","","1 : "&amp;TEXT(K3929,"0.0"))</x:f>
        <x:v>1 : 1.4</x:v>
      </x:c>
      <x:c r="M3929" s="66" t="str">
        <x:f>IF(J3929="","Baru/Tanpa Data",IF(J3929&lt;='Catatan &amp; Sumber'!$B$14,"Sangat Ketat",IF(J3929&lt;='Catatan &amp; Sumber'!$B$15,"Ketat",IF(J3929&lt;='Catatan &amp; Sumber'!$B$16,"Sedang","Relatif Longgar"))))</x:f>
        <x:v>Relatif Longgar</x:v>
      </x:c>
      <x:c r="N3929" s="66" t="str">
        <x:v>Tidak Ada</x:v>
      </x:c>
      <x:c r="O3929" s="66" t="str">
        <x:v>Bali</x:v>
      </x:c>
      <x:c r="P3929" s="66" t="str">
        <x:v>Kabupaten Buleleng</x:v>
      </x:c>
      <x:c r="Q3929" s="66" t="str">
        <x:v>https://snpmb.id/snbp/daya-tampung-snbp</x:v>
      </x:c>
      <x:c r="R3929" s="66" t="str">
        <x:v>https://sidatagrun-public-1076756628210.asia-southeast2.run.app/ptn_sn.php?ptn=612</x:v>
      </x:c>
    </x:row>
    <x:row r="3930">
      <x:c r="A3930" s="87" t="n">
        <x:v>3988</x:v>
      </x:c>
      <x:c r="B3930" s="66" t="n">
        <x:v>612</x:v>
      </x:c>
      <x:c r="C3930" s="66" t="str">
        <x:v>UNIVERSITAS PENDIDIKAN GANESHA</x:v>
      </x:c>
      <x:c r="D3930" s="66" t="str">
        <x:v>PTN Akademik</x:v>
      </x:c>
      <x:c r="E3930" s="66" t="str">
        <x:v>16121003</x:v>
      </x:c>
      <x:c r="F3930" s="66" t="str">
        <x:v>PENDIDIKAN KIMIA</x:v>
      </x:c>
      <x:c r="G3930" s="66" t="str">
        <x:v>Sarjana</x:v>
      </x:c>
      <x:c r="H3930" s="87" t="n">
        <x:v>30</x:v>
      </x:c>
      <x:c r="I3930" s="87" t="n">
        <x:v>44</x:v>
      </x:c>
      <x:c r="J3930" s="68" t="n">
        <x:f>IFERROR(H3930/I3930,"")</x:f>
        <x:v>0.6818181818181818</x:v>
      </x:c>
      <x:c r="K3930" s="69" t="n">
        <x:f>IFERROR(I3930/H3930,"")</x:f>
        <x:v>1.4666666666666666</x:v>
      </x:c>
      <x:c r="L3930" s="66" t="str">
        <x:f>IF(K3930="","","1 : "&amp;TEXT(K3930,"0.0"))</x:f>
        <x:v>1 : 1.5</x:v>
      </x:c>
      <x:c r="M3930" s="66" t="str">
        <x:f>IF(J3930="","Baru/Tanpa Data",IF(J3930&lt;='Catatan &amp; Sumber'!$B$14,"Sangat Ketat",IF(J3930&lt;='Catatan &amp; Sumber'!$B$15,"Ketat",IF(J3930&lt;='Catatan &amp; Sumber'!$B$16,"Sedang","Relatif Longgar"))))</x:f>
        <x:v>Relatif Longgar</x:v>
      </x:c>
      <x:c r="N3930" s="66" t="str">
        <x:v>Tidak Ada</x:v>
      </x:c>
      <x:c r="O3930" s="66" t="str">
        <x:v>Bali</x:v>
      </x:c>
      <x:c r="P3930" s="66" t="str">
        <x:v>Kabupaten Buleleng</x:v>
      </x:c>
      <x:c r="Q3930" s="66" t="str">
        <x:v>https://snpmb.id/snbp/daya-tampung-snbp</x:v>
      </x:c>
      <x:c r="R3930" s="66" t="str">
        <x:v>https://sidatagrun-public-1076756628210.asia-southeast2.run.app/ptn_sn.php?ptn=612</x:v>
      </x:c>
    </x:row>
    <x:row r="3931">
      <x:c r="A3931" s="87" t="n">
        <x:v>4305</x:v>
      </x:c>
      <x:c r="B3931" s="66" t="n">
        <x:v>612</x:v>
      </x:c>
      <x:c r="C3931" s="66" t="str">
        <x:v>UNIVERSITAS PENDIDIKAN GANESHA</x:v>
      </x:c>
      <x:c r="D3931" s="66" t="str">
        <x:v>PTN Akademik</x:v>
      </x:c>
      <x:c r="E3931" s="66" t="str">
        <x:v>16121004</x:v>
      </x:c>
      <x:c r="F3931" s="66" t="str">
        <x:v>PENDIDIKAN FISIKA</x:v>
      </x:c>
      <x:c r="G3931" s="66" t="str">
        <x:v>Sarjana</x:v>
      </x:c>
      <x:c r="H3931" s="87" t="n">
        <x:v>30</x:v>
      </x:c>
      <x:c r="I3931" s="87" t="n">
        <x:v>30</x:v>
      </x:c>
      <x:c r="J3931" s="68" t="n">
        <x:f>IFERROR(H3931/I3931,"")</x:f>
        <x:v>1</x:v>
      </x:c>
      <x:c r="K3931" s="69" t="n">
        <x:f>IFERROR(I3931/H3931,"")</x:f>
        <x:v>1</x:v>
      </x:c>
      <x:c r="L3931" s="66" t="str">
        <x:f>IF(K3931="","","1 : "&amp;TEXT(K3931,"0.0"))</x:f>
        <x:v>1 : 1.0</x:v>
      </x:c>
      <x:c r="M3931" s="66" t="str">
        <x:f>IF(J3931="","Baru/Tanpa Data",IF(J3931&lt;='Catatan &amp; Sumber'!$B$14,"Sangat Ketat",IF(J3931&lt;='Catatan &amp; Sumber'!$B$15,"Ketat",IF(J3931&lt;='Catatan &amp; Sumber'!$B$16,"Sedang","Relatif Longgar"))))</x:f>
        <x:v>Relatif Longgar</x:v>
      </x:c>
      <x:c r="N3931" s="66" t="str">
        <x:v>Tidak Ada</x:v>
      </x:c>
      <x:c r="O3931" s="66" t="str">
        <x:v>Bali</x:v>
      </x:c>
      <x:c r="P3931" s="66" t="str">
        <x:v>Kabupaten Buleleng</x:v>
      </x:c>
      <x:c r="Q3931" s="66" t="str">
        <x:v>https://snpmb.id/snbp/daya-tampung-snbp</x:v>
      </x:c>
      <x:c r="R3931" s="66" t="str">
        <x:v>https://sidatagrun-public-1076756628210.asia-southeast2.run.app/ptn_sn.php?ptn=612</x:v>
      </x:c>
    </x:row>
    <x:row r="3932">
      <x:c r="A3932" s="87" t="n">
        <x:v>3727</x:v>
      </x:c>
      <x:c r="B3932" s="66" t="n">
        <x:v>612</x:v>
      </x:c>
      <x:c r="C3932" s="66" t="str">
        <x:v>UNIVERSITAS PENDIDIKAN GANESHA</x:v>
      </x:c>
      <x:c r="D3932" s="66" t="str">
        <x:v>PTN Akademik</x:v>
      </x:c>
      <x:c r="E3932" s="66" t="str">
        <x:v>16121005</x:v>
      </x:c>
      <x:c r="F3932" s="66" t="str">
        <x:v>PENDIDIKAN TEKNIK INFORMATIKA</x:v>
      </x:c>
      <x:c r="G3932" s="66" t="str">
        <x:v>Sarjana</x:v>
      </x:c>
      <x:c r="H3932" s="87" t="n">
        <x:v>85</x:v>
      </x:c>
      <x:c r="I3932" s="87" t="n">
        <x:v>160</x:v>
      </x:c>
      <x:c r="J3932" s="68" t="n">
        <x:f>IFERROR(H3932/I3932,"")</x:f>
        <x:v>0.53125</x:v>
      </x:c>
      <x:c r="K3932" s="69" t="n">
        <x:f>IFERROR(I3932/H3932,"")</x:f>
        <x:v>1.8823529411764706</x:v>
      </x:c>
      <x:c r="L3932" s="66" t="str">
        <x:f>IF(K3932="","","1 : "&amp;TEXT(K3932,"0.0"))</x:f>
        <x:v>1 : 1.9</x:v>
      </x:c>
      <x:c r="M3932" s="66" t="str">
        <x:f>IF(J3932="","Baru/Tanpa Data",IF(J3932&lt;='Catatan &amp; Sumber'!$B$14,"Sangat Ketat",IF(J3932&lt;='Catatan &amp; Sumber'!$B$15,"Ketat",IF(J3932&lt;='Catatan &amp; Sumber'!$B$16,"Sedang","Relatif Longgar"))))</x:f>
        <x:v>Relatif Longgar</x:v>
      </x:c>
      <x:c r="N3932" s="66" t="str">
        <x:v>Tidak Ada</x:v>
      </x:c>
      <x:c r="O3932" s="66" t="str">
        <x:v>Bali</x:v>
      </x:c>
      <x:c r="P3932" s="66" t="str">
        <x:v>Kabupaten Buleleng</x:v>
      </x:c>
      <x:c r="Q3932" s="66" t="str">
        <x:v>https://snpmb.id/snbp/daya-tampung-snbp</x:v>
      </x:c>
      <x:c r="R3932" s="66" t="str">
        <x:v>https://sidatagrun-public-1076756628210.asia-southeast2.run.app/ptn_sn.php?ptn=612</x:v>
      </x:c>
    </x:row>
    <x:row r="3933">
      <x:c r="A3933" s="87" t="n">
        <x:v>4523</x:v>
      </x:c>
      <x:c r="B3933" s="66" t="n">
        <x:v>612</x:v>
      </x:c>
      <x:c r="C3933" s="66" t="str">
        <x:v>UNIVERSITAS PENDIDIKAN GANESHA</x:v>
      </x:c>
      <x:c r="D3933" s="66" t="str">
        <x:v>PTN Akademik</x:v>
      </x:c>
      <x:c r="E3933" s="66" t="str">
        <x:v>16121006</x:v>
      </x:c>
      <x:c r="F3933" s="66" t="str">
        <x:v>ILMU KEOLAHRAGAAN</x:v>
      </x:c>
      <x:c r="G3933" s="66" t="str">
        <x:v>Sarjana</x:v>
      </x:c>
      <x:c r="H3933" s="87" t="n">
        <x:v>25</x:v>
      </x:c>
      <x:c r="I3933" s="87" t="n">
        <x:v>18</x:v>
      </x:c>
      <x:c r="J3933" s="68" t="n">
        <x:f>IFERROR(H3933/I3933,"")</x:f>
        <x:v>1.3888888888888888</x:v>
      </x:c>
      <x:c r="K3933" s="69" t="n">
        <x:f>IFERROR(I3933/H3933,"")</x:f>
        <x:v>0.72</x:v>
      </x:c>
      <x:c r="L3933" s="66" t="str">
        <x:f>IF(K3933="","","1 : "&amp;TEXT(K3933,"0.0"))</x:f>
        <x:v>1 : 0.7</x:v>
      </x:c>
      <x:c r="M3933" s="66" t="str">
        <x:f>IF(J3933="","Baru/Tanpa Data",IF(J3933&lt;='Catatan &amp; Sumber'!$B$14,"Sangat Ketat",IF(J3933&lt;='Catatan &amp; Sumber'!$B$15,"Ketat",IF(J3933&lt;='Catatan &amp; Sumber'!$B$16,"Sedang","Relatif Longgar"))))</x:f>
        <x:v>Relatif Longgar</x:v>
      </x:c>
      <x:c r="N3933" s="66" t="str">
        <x:v>Olahraga</x:v>
      </x:c>
      <x:c r="O3933" s="66" t="str">
        <x:v>Bali</x:v>
      </x:c>
      <x:c r="P3933" s="66" t="str">
        <x:v>Kabupaten Buleleng</x:v>
      </x:c>
      <x:c r="Q3933" s="66" t="str">
        <x:v>https://snpmb.id/snbp/daya-tampung-snbp</x:v>
      </x:c>
      <x:c r="R3933" s="66" t="str">
        <x:v>https://sidatagrun-public-1076756628210.asia-southeast2.run.app/ptn_sn.php?ptn=612</x:v>
      </x:c>
    </x:row>
    <x:row r="3934">
      <x:c r="A3934" s="87" t="n">
        <x:v>4680</x:v>
      </x:c>
      <x:c r="B3934" s="66" t="n">
        <x:v>612</x:v>
      </x:c>
      <x:c r="C3934" s="66" t="str">
        <x:v>UNIVERSITAS PENDIDIKAN GANESHA</x:v>
      </x:c>
      <x:c r="D3934" s="66" t="str">
        <x:v>PTN Akademik</x:v>
      </x:c>
      <x:c r="E3934" s="66" t="str">
        <x:v>16121007</x:v>
      </x:c>
      <x:c r="F3934" s="66" t="str">
        <x:v>PENDIDIKAN TEKNIK ELEKTRO</x:v>
      </x:c>
      <x:c r="G3934" s="66" t="str">
        <x:v>Sarjana</x:v>
      </x:c>
      <x:c r="H3934" s="87" t="n">
        <x:v>35</x:v>
      </x:c>
      <x:c r="I3934" s="87" t="n">
        <x:v>17</x:v>
      </x:c>
      <x:c r="J3934" s="68" t="n">
        <x:f>IFERROR(H3934/I3934,"")</x:f>
        <x:v>2.0588235294117645</x:v>
      </x:c>
      <x:c r="K3934" s="69" t="n">
        <x:f>IFERROR(I3934/H3934,"")</x:f>
        <x:v>0.4857142857142857</x:v>
      </x:c>
      <x:c r="L3934" s="66" t="str">
        <x:f>IF(K3934="","","1 : "&amp;TEXT(K3934,"0.0"))</x:f>
        <x:v>1 : 0.5</x:v>
      </x:c>
      <x:c r="M3934" s="66" t="str">
        <x:f>IF(J3934="","Baru/Tanpa Data",IF(J3934&lt;='Catatan &amp; Sumber'!$B$14,"Sangat Ketat",IF(J3934&lt;='Catatan &amp; Sumber'!$B$15,"Ketat",IF(J3934&lt;='Catatan &amp; Sumber'!$B$16,"Sedang","Relatif Longgar"))))</x:f>
        <x:v>Relatif Longgar</x:v>
      </x:c>
      <x:c r="N3934" s="66" t="str">
        <x:v>Tidak Ada</x:v>
      </x:c>
      <x:c r="O3934" s="66" t="str">
        <x:v>Bali</x:v>
      </x:c>
      <x:c r="P3934" s="66" t="str">
        <x:v>Kabupaten Buleleng</x:v>
      </x:c>
      <x:c r="Q3934" s="66" t="str">
        <x:v>https://snpmb.id/snbp/daya-tampung-snbp</x:v>
      </x:c>
      <x:c r="R3934" s="66" t="str">
        <x:v>https://sidatagrun-public-1076756628210.asia-southeast2.run.app/ptn_sn.php?ptn=612</x:v>
      </x:c>
    </x:row>
    <x:row r="3935">
      <x:c r="A3935" s="87" t="n">
        <x:v>4374</x:v>
      </x:c>
      <x:c r="B3935" s="66" t="n">
        <x:v>612</x:v>
      </x:c>
      <x:c r="C3935" s="66" t="str">
        <x:v>UNIVERSITAS PENDIDIKAN GANESHA</x:v>
      </x:c>
      <x:c r="D3935" s="66" t="str">
        <x:v>PTN Akademik</x:v>
      </x:c>
      <x:c r="E3935" s="66" t="str">
        <x:v>16121012</x:v>
      </x:c>
      <x:c r="F3935" s="66" t="str">
        <x:v>PENDIDIKAN TEKNIK MESIN</x:v>
      </x:c>
      <x:c r="G3935" s="66" t="str">
        <x:v>Sarjana</x:v>
      </x:c>
      <x:c r="H3935" s="87" t="n">
        <x:v>40</x:v>
      </x:c>
      <x:c r="I3935" s="87" t="n">
        <x:v>37</x:v>
      </x:c>
      <x:c r="J3935" s="68" t="n">
        <x:f>IFERROR(H3935/I3935,"")</x:f>
        <x:v>1.0810810810810811</x:v>
      </x:c>
      <x:c r="K3935" s="69" t="n">
        <x:f>IFERROR(I3935/H3935,"")</x:f>
        <x:v>0.925</x:v>
      </x:c>
      <x:c r="L3935" s="66" t="str">
        <x:f>IF(K3935="","","1 : "&amp;TEXT(K3935,"0.0"))</x:f>
        <x:v>1 : 0.9</x:v>
      </x:c>
      <x:c r="M3935" s="66" t="str">
        <x:f>IF(J3935="","Baru/Tanpa Data",IF(J3935&lt;='Catatan &amp; Sumber'!$B$14,"Sangat Ketat",IF(J3935&lt;='Catatan &amp; Sumber'!$B$15,"Ketat",IF(J3935&lt;='Catatan &amp; Sumber'!$B$16,"Sedang","Relatif Longgar"))))</x:f>
        <x:v>Relatif Longgar</x:v>
      </x:c>
      <x:c r="N3935" s="66" t="str">
        <x:v>Tidak Ada</x:v>
      </x:c>
      <x:c r="O3935" s="66" t="str">
        <x:v>Bali</x:v>
      </x:c>
      <x:c r="P3935" s="66" t="str">
        <x:v>Kabupaten Buleleng</x:v>
      </x:c>
      <x:c r="Q3935" s="66" t="str">
        <x:v>https://snpmb.id/snbp/daya-tampung-snbp</x:v>
      </x:c>
      <x:c r="R3935" s="66" t="str">
        <x:v>https://sidatagrun-public-1076756628210.asia-southeast2.run.app/ptn_sn.php?ptn=612</x:v>
      </x:c>
    </x:row>
    <x:row r="3936">
      <x:c r="A3936" s="87" t="n">
        <x:v>4415</x:v>
      </x:c>
      <x:c r="B3936" s="66" t="n">
        <x:v>612</x:v>
      </x:c>
      <x:c r="C3936" s="66" t="str">
        <x:v>UNIVERSITAS PENDIDIKAN GANESHA</x:v>
      </x:c>
      <x:c r="D3936" s="66" t="str">
        <x:v>PTN Akademik</x:v>
      </x:c>
      <x:c r="E3936" s="66" t="str">
        <x:v>16121013</x:v>
      </x:c>
      <x:c r="F3936" s="66" t="str">
        <x:v>PENDIDIKAN IPA</x:v>
      </x:c>
      <x:c r="G3936" s="66" t="str">
        <x:v>Sarjana</x:v>
      </x:c>
      <x:c r="H3936" s="87" t="n">
        <x:v>60</x:v>
      </x:c>
      <x:c r="I3936" s="87" t="n">
        <x:v>52</x:v>
      </x:c>
      <x:c r="J3936" s="68" t="n">
        <x:f>IFERROR(H3936/I3936,"")</x:f>
        <x:v>1.1538461538461537</x:v>
      </x:c>
      <x:c r="K3936" s="69" t="n">
        <x:f>IFERROR(I3936/H3936,"")</x:f>
        <x:v>0.8666666666666667</x:v>
      </x:c>
      <x:c r="L3936" s="66" t="str">
        <x:f>IF(K3936="","","1 : "&amp;TEXT(K3936,"0.0"))</x:f>
        <x:v>1 : 0.9</x:v>
      </x:c>
      <x:c r="M3936" s="66" t="str">
        <x:f>IF(J3936="","Baru/Tanpa Data",IF(J3936&lt;='Catatan &amp; Sumber'!$B$14,"Sangat Ketat",IF(J3936&lt;='Catatan &amp; Sumber'!$B$15,"Ketat",IF(J3936&lt;='Catatan &amp; Sumber'!$B$16,"Sedang","Relatif Longgar"))))</x:f>
        <x:v>Relatif Longgar</x:v>
      </x:c>
      <x:c r="N3936" s="66" t="str">
        <x:v>Tidak Ada</x:v>
      </x:c>
      <x:c r="O3936" s="66" t="str">
        <x:v>Bali</x:v>
      </x:c>
      <x:c r="P3936" s="66" t="str">
        <x:v>Kabupaten Buleleng</x:v>
      </x:c>
      <x:c r="Q3936" s="66" t="str">
        <x:v>https://snpmb.id/snbp/daya-tampung-snbp</x:v>
      </x:c>
      <x:c r="R3936" s="66" t="str">
        <x:v>https://sidatagrun-public-1076756628210.asia-southeast2.run.app/ptn_sn.php?ptn=612</x:v>
      </x:c>
    </x:row>
    <x:row r="3937">
      <x:c r="A3937" s="87" t="n">
        <x:v>4305</x:v>
      </x:c>
      <x:c r="B3937" s="66" t="n">
        <x:v>612</x:v>
      </x:c>
      <x:c r="C3937" s="66" t="str">
        <x:v>UNIVERSITAS PENDIDIKAN GANESHA</x:v>
      </x:c>
      <x:c r="D3937" s="66" t="str">
        <x:v>PTN Akademik</x:v>
      </x:c>
      <x:c r="E3937" s="66" t="str">
        <x:v>16121014</x:v>
      </x:c>
      <x:c r="F3937" s="66" t="str">
        <x:v>KIMIA</x:v>
      </x:c>
      <x:c r="G3937" s="66" t="str">
        <x:v>Sarjana</x:v>
      </x:c>
      <x:c r="H3937" s="87" t="n">
        <x:v>30</x:v>
      </x:c>
      <x:c r="I3937" s="87" t="n">
        <x:v>30</x:v>
      </x:c>
      <x:c r="J3937" s="68" t="n">
        <x:f>IFERROR(H3937/I3937,"")</x:f>
        <x:v>1</x:v>
      </x:c>
      <x:c r="K3937" s="69" t="n">
        <x:f>IFERROR(I3937/H3937,"")</x:f>
        <x:v>1</x:v>
      </x:c>
      <x:c r="L3937" s="66" t="str">
        <x:f>IF(K3937="","","1 : "&amp;TEXT(K3937,"0.0"))</x:f>
        <x:v>1 : 1.0</x:v>
      </x:c>
      <x:c r="M3937" s="66" t="str">
        <x:f>IF(J3937="","Baru/Tanpa Data",IF(J3937&lt;='Catatan &amp; Sumber'!$B$14,"Sangat Ketat",IF(J3937&lt;='Catatan &amp; Sumber'!$B$15,"Ketat",IF(J3937&lt;='Catatan &amp; Sumber'!$B$16,"Sedang","Relatif Longgar"))))</x:f>
        <x:v>Relatif Longgar</x:v>
      </x:c>
      <x:c r="N3937" s="66" t="str">
        <x:v>Tidak Ada</x:v>
      </x:c>
      <x:c r="O3937" s="66" t="str">
        <x:v>Bali</x:v>
      </x:c>
      <x:c r="P3937" s="66" t="str">
        <x:v>Kabupaten Buleleng</x:v>
      </x:c>
      <x:c r="Q3937" s="66" t="str">
        <x:v>https://snpmb.id/snbp/daya-tampung-snbp</x:v>
      </x:c>
      <x:c r="R3937" s="66" t="str">
        <x:v>https://sidatagrun-public-1076756628210.asia-southeast2.run.app/ptn_sn.php?ptn=612</x:v>
      </x:c>
    </x:row>
    <x:row r="3938">
      <x:c r="A3938" s="87" t="n">
        <x:v>4301</x:v>
      </x:c>
      <x:c r="B3938" s="66" t="n">
        <x:v>612</x:v>
      </x:c>
      <x:c r="C3938" s="66" t="str">
        <x:v>UNIVERSITAS PENDIDIKAN GANESHA</x:v>
      </x:c>
      <x:c r="D3938" s="66" t="str">
        <x:v>PTN Akademik</x:v>
      </x:c>
      <x:c r="E3938" s="66" t="str">
        <x:v>16121015</x:v>
      </x:c>
      <x:c r="F3938" s="66" t="str">
        <x:v>MATEMATIKA</x:v>
      </x:c>
      <x:c r="G3938" s="66" t="str">
        <x:v>Sarjana</x:v>
      </x:c>
      <x:c r="H3938" s="87" t="n">
        <x:v>30</x:v>
      </x:c>
      <x:c r="I3938" s="87" t="n">
        <x:v>31</x:v>
      </x:c>
      <x:c r="J3938" s="68" t="n">
        <x:f>IFERROR(H3938/I3938,"")</x:f>
        <x:v>0.967741935483871</x:v>
      </x:c>
      <x:c r="K3938" s="69" t="n">
        <x:f>IFERROR(I3938/H3938,"")</x:f>
        <x:v>1.0333333333333334</x:v>
      </x:c>
      <x:c r="L3938" s="66" t="str">
        <x:f>IF(K3938="","","1 : "&amp;TEXT(K3938,"0.0"))</x:f>
        <x:v>1 : 1.0</x:v>
      </x:c>
      <x:c r="M3938" s="66" t="str">
        <x:f>IF(J3938="","Baru/Tanpa Data",IF(J3938&lt;='Catatan &amp; Sumber'!$B$14,"Sangat Ketat",IF(J3938&lt;='Catatan &amp; Sumber'!$B$15,"Ketat",IF(J3938&lt;='Catatan &amp; Sumber'!$B$16,"Sedang","Relatif Longgar"))))</x:f>
        <x:v>Relatif Longgar</x:v>
      </x:c>
      <x:c r="N3938" s="66" t="str">
        <x:v>Tidak Ada</x:v>
      </x:c>
      <x:c r="O3938" s="66" t="str">
        <x:v>Bali</x:v>
      </x:c>
      <x:c r="P3938" s="66" t="str">
        <x:v>Kabupaten Buleleng</x:v>
      </x:c>
      <x:c r="Q3938" s="66" t="str">
        <x:v>https://snpmb.id/snbp/daya-tampung-snbp</x:v>
      </x:c>
      <x:c r="R3938" s="66" t="str">
        <x:v>https://sidatagrun-public-1076756628210.asia-southeast2.run.app/ptn_sn.php?ptn=612</x:v>
      </x:c>
    </x:row>
    <x:row r="3939">
      <x:c r="A3939" s="87" t="n">
        <x:v>4580</x:v>
      </x:c>
      <x:c r="B3939" s="66" t="n">
        <x:v>612</x:v>
      </x:c>
      <x:c r="C3939" s="66" t="str">
        <x:v>UNIVERSITAS PENDIDIKAN GANESHA</x:v>
      </x:c>
      <x:c r="D3939" s="66" t="str">
        <x:v>PTN Akademik</x:v>
      </x:c>
      <x:c r="E3939" s="66" t="str">
        <x:v>16121016</x:v>
      </x:c>
      <x:c r="F3939" s="66" t="str">
        <x:v>BIOLOGI</x:v>
      </x:c>
      <x:c r="G3939" s="66" t="str">
        <x:v>Sarjana</x:v>
      </x:c>
      <x:c r="H3939" s="87" t="n">
        <x:v>30</x:v>
      </x:c>
      <x:c r="I3939" s="87" t="n">
        <x:v>19</x:v>
      </x:c>
      <x:c r="J3939" s="68" t="n">
        <x:f>IFERROR(H3939/I3939,"")</x:f>
        <x:v>1.5789473684210527</x:v>
      </x:c>
      <x:c r="K3939" s="69" t="n">
        <x:f>IFERROR(I3939/H3939,"")</x:f>
        <x:v>0.6333333333333333</x:v>
      </x:c>
      <x:c r="L3939" s="66" t="str">
        <x:f>IF(K3939="","","1 : "&amp;TEXT(K3939,"0.0"))</x:f>
        <x:v>1 : 0.6</x:v>
      </x:c>
      <x:c r="M3939" s="66" t="str">
        <x:f>IF(J3939="","Baru/Tanpa Data",IF(J3939&lt;='Catatan &amp; Sumber'!$B$14,"Sangat Ketat",IF(J3939&lt;='Catatan &amp; Sumber'!$B$15,"Ketat",IF(J3939&lt;='Catatan &amp; Sumber'!$B$16,"Sedang","Relatif Longgar"))))</x:f>
        <x:v>Relatif Longgar</x:v>
      </x:c>
      <x:c r="N3939" s="66" t="str">
        <x:v>Tidak Ada</x:v>
      </x:c>
      <x:c r="O3939" s="66" t="str">
        <x:v>Bali</x:v>
      </x:c>
      <x:c r="P3939" s="66" t="str">
        <x:v>Kabupaten Buleleng</x:v>
      </x:c>
      <x:c r="Q3939" s="66" t="str">
        <x:v>https://snpmb.id/snbp/daya-tampung-snbp</x:v>
      </x:c>
      <x:c r="R3939" s="66" t="str">
        <x:v>https://sidatagrun-public-1076756628210.asia-southeast2.run.app/ptn_sn.php?ptn=612</x:v>
      </x:c>
    </x:row>
    <x:row r="3940">
      <x:c r="A3940" s="87" t="n">
        <x:v>4783</x:v>
      </x:c>
      <x:c r="B3940" s="66" t="n">
        <x:v>612</x:v>
      </x:c>
      <x:c r="C3940" s="66" t="str">
        <x:v>UNIVERSITAS PENDIDIKAN GANESHA</x:v>
      </x:c>
      <x:c r="D3940" s="66" t="str">
        <x:v>PTN Akademik</x:v>
      </x:c>
      <x:c r="E3940" s="66" t="str">
        <x:v>16121017</x:v>
      </x:c>
      <x:c r="F3940" s="66" t="str">
        <x:v>AKUAKULTUR</x:v>
      </x:c>
      <x:c r="G3940" s="66" t="str">
        <x:v>Sarjana</x:v>
      </x:c>
      <x:c r="H3940" s="87" t="n">
        <x:v>45</x:v>
      </x:c>
      <x:c r="I3940" s="87" t="n">
        <x:v>14</x:v>
      </x:c>
      <x:c r="J3940" s="68" t="n">
        <x:f>IFERROR(H3940/I3940,"")</x:f>
        <x:v>3.2142857142857144</x:v>
      </x:c>
      <x:c r="K3940" s="69" t="n">
        <x:f>IFERROR(I3940/H3940,"")</x:f>
        <x:v>0.3111111111111111</x:v>
      </x:c>
      <x:c r="L3940" s="66" t="str">
        <x:f>IF(K3940="","","1 : "&amp;TEXT(K3940,"0.0"))</x:f>
        <x:v>1 : 0.3</x:v>
      </x:c>
      <x:c r="M3940" s="66" t="str">
        <x:f>IF(J3940="","Baru/Tanpa Data",IF(J3940&lt;='Catatan &amp; Sumber'!$B$14,"Sangat Ketat",IF(J3940&lt;='Catatan &amp; Sumber'!$B$15,"Ketat",IF(J3940&lt;='Catatan &amp; Sumber'!$B$16,"Sedang","Relatif Longgar"))))</x:f>
        <x:v>Relatif Longgar</x:v>
      </x:c>
      <x:c r="N3940" s="66" t="str">
        <x:v>Tidak Ada</x:v>
      </x:c>
      <x:c r="O3940" s="66" t="str">
        <x:v>Bali</x:v>
      </x:c>
      <x:c r="P3940" s="66" t="str">
        <x:v>Kabupaten Buleleng</x:v>
      </x:c>
      <x:c r="Q3940" s="66" t="str">
        <x:v>https://snpmb.id/snbp/daya-tampung-snbp</x:v>
      </x:c>
      <x:c r="R3940" s="66" t="str">
        <x:v>https://sidatagrun-public-1076756628210.asia-southeast2.run.app/ptn_sn.php?ptn=612</x:v>
      </x:c>
    </x:row>
    <x:row r="3941">
      <x:c r="A3941" s="87" t="n">
        <x:v>3361</x:v>
      </x:c>
      <x:c r="B3941" s="66" t="n">
        <x:v>612</x:v>
      </x:c>
      <x:c r="C3941" s="66" t="str">
        <x:v>UNIVERSITAS PENDIDIKAN GANESHA</x:v>
      </x:c>
      <x:c r="D3941" s="66" t="str">
        <x:v>PTN Akademik</x:v>
      </x:c>
      <x:c r="E3941" s="66" t="str">
        <x:v>16121018</x:v>
      </x:c>
      <x:c r="F3941" s="66" t="str">
        <x:v>SISTEM INFORMASI</x:v>
      </x:c>
      <x:c r="G3941" s="66" t="str">
        <x:v>Sarjana</x:v>
      </x:c>
      <x:c r="H3941" s="87" t="n">
        <x:v>95</x:v>
      </x:c>
      <x:c r="I3941" s="87" t="n">
        <x:v>245</x:v>
      </x:c>
      <x:c r="J3941" s="68" t="n">
        <x:f>IFERROR(H3941/I3941,"")</x:f>
        <x:v>0.3877551020408163</x:v>
      </x:c>
      <x:c r="K3941" s="69" t="n">
        <x:f>IFERROR(I3941/H3941,"")</x:f>
        <x:v>2.5789473684210527</x:v>
      </x:c>
      <x:c r="L3941" s="66" t="str">
        <x:f>IF(K3941="","","1 : "&amp;TEXT(K3941,"0.0"))</x:f>
        <x:v>1 : 2.6</x:v>
      </x:c>
      <x:c r="M3941" s="66" t="str">
        <x:f>IF(J3941="","Baru/Tanpa Data",IF(J3941&lt;='Catatan &amp; Sumber'!$B$14,"Sangat Ketat",IF(J3941&lt;='Catatan &amp; Sumber'!$B$15,"Ketat",IF(J3941&lt;='Catatan &amp; Sumber'!$B$16,"Sedang","Relatif Longgar"))))</x:f>
        <x:v>Relatif Longgar</x:v>
      </x:c>
      <x:c r="N3941" s="66" t="str">
        <x:v>Tidak Ada</x:v>
      </x:c>
      <x:c r="O3941" s="66" t="str">
        <x:v>Bali</x:v>
      </x:c>
      <x:c r="P3941" s="66" t="str">
        <x:v>Kabupaten Buleleng</x:v>
      </x:c>
      <x:c r="Q3941" s="66" t="str">
        <x:v>https://snpmb.id/snbp/daya-tampung-snbp</x:v>
      </x:c>
      <x:c r="R3941" s="66" t="str">
        <x:v>https://sidatagrun-public-1076756628210.asia-southeast2.run.app/ptn_sn.php?ptn=612</x:v>
      </x:c>
    </x:row>
    <x:row r="3942">
      <x:c r="A3942" s="87" t="n">
        <x:v>3649</x:v>
      </x:c>
      <x:c r="B3942" s="66" t="n">
        <x:v>612</x:v>
      </x:c>
      <x:c r="C3942" s="66" t="str">
        <x:v>UNIVERSITAS PENDIDIKAN GANESHA</x:v>
      </x:c>
      <x:c r="D3942" s="66" t="str">
        <x:v>PTN Akademik</x:v>
      </x:c>
      <x:c r="E3942" s="66" t="str">
        <x:v>16121019</x:v>
      </x:c>
      <x:c r="F3942" s="66" t="str">
        <x:v>ILMU KOMPUTER</x:v>
      </x:c>
      <x:c r="G3942" s="66" t="str">
        <x:v>Sarjana</x:v>
      </x:c>
      <x:c r="H3942" s="87" t="n">
        <x:v>78</x:v>
      </x:c>
      <x:c r="I3942" s="87" t="n">
        <x:v>159</x:v>
      </x:c>
      <x:c r="J3942" s="68" t="n">
        <x:f>IFERROR(H3942/I3942,"")</x:f>
        <x:v>0.49056603773584906</x:v>
      </x:c>
      <x:c r="K3942" s="69" t="n">
        <x:f>IFERROR(I3942/H3942,"")</x:f>
        <x:v>2.0384615384615383</x:v>
      </x:c>
      <x:c r="L3942" s="66" t="str">
        <x:f>IF(K3942="","","1 : "&amp;TEXT(K3942,"0.0"))</x:f>
        <x:v>1 : 2.0</x:v>
      </x:c>
      <x:c r="M3942" s="66" t="str">
        <x:f>IF(J3942="","Baru/Tanpa Data",IF(J3942&lt;='Catatan &amp; Sumber'!$B$14,"Sangat Ketat",IF(J3942&lt;='Catatan &amp; Sumber'!$B$15,"Ketat",IF(J3942&lt;='Catatan &amp; Sumber'!$B$16,"Sedang","Relatif Longgar"))))</x:f>
        <x:v>Relatif Longgar</x:v>
      </x:c>
      <x:c r="N3942" s="66" t="str">
        <x:v>Tidak Ada</x:v>
      </x:c>
      <x:c r="O3942" s="66" t="str">
        <x:v>Bali</x:v>
      </x:c>
      <x:c r="P3942" s="66" t="str">
        <x:v>Kabupaten Buleleng</x:v>
      </x:c>
      <x:c r="Q3942" s="66" t="str">
        <x:v>https://snpmb.id/snbp/daya-tampung-snbp</x:v>
      </x:c>
      <x:c r="R3942" s="66" t="str">
        <x:v>https://sidatagrun-public-1076756628210.asia-southeast2.run.app/ptn_sn.php?ptn=612</x:v>
      </x:c>
    </x:row>
    <x:row r="3943">
      <x:c r="A3943" s="87" t="n">
        <x:v>464</x:v>
      </x:c>
      <x:c r="B3943" s="66" t="n">
        <x:v>612</x:v>
      </x:c>
      <x:c r="C3943" s="66" t="str">
        <x:v>UNIVERSITAS PENDIDIKAN GANESHA</x:v>
      </x:c>
      <x:c r="D3943" s="66" t="str">
        <x:v>PTN Akademik</x:v>
      </x:c>
      <x:c r="E3943" s="66" t="str">
        <x:v>16121020</x:v>
      </x:c>
      <x:c r="F3943" s="66" t="str">
        <x:v>KEDOKTERAN</x:v>
      </x:c>
      <x:c r="G3943" s="66" t="str">
        <x:v>Sarjana</x:v>
      </x:c>
      <x:c r="H3943" s="87" t="n">
        <x:v>30</x:v>
      </x:c>
      <x:c r="I3943" s="87" t="n">
        <x:v>606</x:v>
      </x:c>
      <x:c r="J3943" s="68" t="n">
        <x:f>IFERROR(H3943/I3943,"")</x:f>
        <x:v>0.04950495049504951</x:v>
      </x:c>
      <x:c r="K3943" s="69" t="n">
        <x:f>IFERROR(I3943/H3943,"")</x:f>
        <x:v>20.2</x:v>
      </x:c>
      <x:c r="L3943" s="66" t="str">
        <x:f>IF(K3943="","","1 : "&amp;TEXT(K3943,"0.0"))</x:f>
        <x:v>1 : 20.2</x:v>
      </x:c>
      <x:c r="M3943" s="66" t="str">
        <x:f>IF(J3943="","Baru/Tanpa Data",IF(J3943&lt;='Catatan &amp; Sumber'!$B$14,"Sangat Ketat",IF(J3943&lt;='Catatan &amp; Sumber'!$B$15,"Ketat",IF(J3943&lt;='Catatan &amp; Sumber'!$B$16,"Sedang","Relatif Longgar"))))</x:f>
        <x:v>Ketat</x:v>
      </x:c>
      <x:c r="N3943" s="66" t="str">
        <x:v>Tidak Ada</x:v>
      </x:c>
      <x:c r="O3943" s="66" t="str">
        <x:v>Bali</x:v>
      </x:c>
      <x:c r="P3943" s="66" t="str">
        <x:v>Kabupaten Buleleng</x:v>
      </x:c>
      <x:c r="Q3943" s="66" t="str">
        <x:v>https://snpmb.id/snbp/daya-tampung-snbp</x:v>
      </x:c>
      <x:c r="R3943" s="66" t="str">
        <x:v>https://sidatagrun-public-1076756628210.asia-southeast2.run.app/ptn_sn.php?ptn=612</x:v>
      </x:c>
    </x:row>
    <x:row r="3944">
      <x:c r="A3944" s="87" t="n">
        <x:v>4113</x:v>
      </x:c>
      <x:c r="B3944" s="66" t="n">
        <x:v>612</x:v>
      </x:c>
      <x:c r="C3944" s="66" t="str">
        <x:v>UNIVERSITAS PENDIDIKAN GANESHA</x:v>
      </x:c>
      <x:c r="D3944" s="66" t="str">
        <x:v>PTN Akademik</x:v>
      </x:c>
      <x:c r="E3944" s="66" t="str">
        <x:v>16121021</x:v>
      </x:c>
      <x:c r="F3944" s="66" t="str">
        <x:v>PENDIDIKAN PANCASILA DAN KEWARGANEGARAAN</x:v>
      </x:c>
      <x:c r="G3944" s="66" t="str">
        <x:v>Sarjana</x:v>
      </x:c>
      <x:c r="H3944" s="87" t="n">
        <x:v>108</x:v>
      </x:c>
      <x:c r="I3944" s="87" t="n">
        <x:v>140</x:v>
      </x:c>
      <x:c r="J3944" s="68" t="n">
        <x:f>IFERROR(H3944/I3944,"")</x:f>
        <x:v>0.7714285714285715</x:v>
      </x:c>
      <x:c r="K3944" s="69" t="n">
        <x:f>IFERROR(I3944/H3944,"")</x:f>
        <x:v>1.2962962962962963</x:v>
      </x:c>
      <x:c r="L3944" s="66" t="str">
        <x:f>IF(K3944="","","1 : "&amp;TEXT(K3944,"0.0"))</x:f>
        <x:v>1 : 1.3</x:v>
      </x:c>
      <x:c r="M3944" s="66" t="str">
        <x:f>IF(J3944="","Baru/Tanpa Data",IF(J3944&lt;='Catatan &amp; Sumber'!$B$14,"Sangat Ketat",IF(J3944&lt;='Catatan &amp; Sumber'!$B$15,"Ketat",IF(J3944&lt;='Catatan &amp; Sumber'!$B$16,"Sedang","Relatif Longgar"))))</x:f>
        <x:v>Relatif Longgar</x:v>
      </x:c>
      <x:c r="N3944" s="66" t="str">
        <x:v>Tidak Ada</x:v>
      </x:c>
      <x:c r="O3944" s="66" t="str">
        <x:v>Bali</x:v>
      </x:c>
      <x:c r="P3944" s="66" t="str">
        <x:v>Kabupaten Buleleng</x:v>
      </x:c>
      <x:c r="Q3944" s="66" t="str">
        <x:v>https://snpmb.id/snbp/daya-tampung-snbp</x:v>
      </x:c>
      <x:c r="R3944" s="66" t="str">
        <x:v>https://sidatagrun-public-1076756628210.asia-southeast2.run.app/ptn_sn.php?ptn=612</x:v>
      </x:c>
    </x:row>
    <x:row r="3945">
      <x:c r="A3945" s="87" t="n">
        <x:v>4069</x:v>
      </x:c>
      <x:c r="B3945" s="66" t="n">
        <x:v>612</x:v>
      </x:c>
      <x:c r="C3945" s="66" t="str">
        <x:v>UNIVERSITAS PENDIDIKAN GANESHA</x:v>
      </x:c>
      <x:c r="D3945" s="66" t="str">
        <x:v>PTN Akademik</x:v>
      </x:c>
      <x:c r="E3945" s="66" t="str">
        <x:v>16121022</x:v>
      </x:c>
      <x:c r="F3945" s="66" t="str">
        <x:v>PENDIDIKAN EKONOMI</x:v>
      </x:c>
      <x:c r="G3945" s="66" t="str">
        <x:v>Sarjana</x:v>
      </x:c>
      <x:c r="H3945" s="87" t="n">
        <x:v>83</x:v>
      </x:c>
      <x:c r="I3945" s="87" t="n">
        <x:v>113</x:v>
      </x:c>
      <x:c r="J3945" s="68" t="n">
        <x:f>IFERROR(H3945/I3945,"")</x:f>
        <x:v>0.7345132743362832</x:v>
      </x:c>
      <x:c r="K3945" s="69" t="n">
        <x:f>IFERROR(I3945/H3945,"")</x:f>
        <x:v>1.3614457831325302</x:v>
      </x:c>
      <x:c r="L3945" s="66" t="str">
        <x:f>IF(K3945="","","1 : "&amp;TEXT(K3945,"0.0"))</x:f>
        <x:v>1 : 1.4</x:v>
      </x:c>
      <x:c r="M3945" s="66" t="str">
        <x:f>IF(J3945="","Baru/Tanpa Data",IF(J3945&lt;='Catatan &amp; Sumber'!$B$14,"Sangat Ketat",IF(J3945&lt;='Catatan &amp; Sumber'!$B$15,"Ketat",IF(J3945&lt;='Catatan &amp; Sumber'!$B$16,"Sedang","Relatif Longgar"))))</x:f>
        <x:v>Relatif Longgar</x:v>
      </x:c>
      <x:c r="N3945" s="66" t="str">
        <x:v>Tidak Ada</x:v>
      </x:c>
      <x:c r="O3945" s="66" t="str">
        <x:v>Bali</x:v>
      </x:c>
      <x:c r="P3945" s="66" t="str">
        <x:v>Kabupaten Buleleng</x:v>
      </x:c>
      <x:c r="Q3945" s="66" t="str">
        <x:v>https://snpmb.id/snbp/daya-tampung-snbp</x:v>
      </x:c>
      <x:c r="R3945" s="66" t="str">
        <x:v>https://sidatagrun-public-1076756628210.asia-southeast2.run.app/ptn_sn.php?ptn=612</x:v>
      </x:c>
    </x:row>
    <x:row r="3946">
      <x:c r="A3946" s="87" t="n">
        <x:v>4429</x:v>
      </x:c>
      <x:c r="B3946" s="66" t="n">
        <x:v>612</x:v>
      </x:c>
      <x:c r="C3946" s="66" t="str">
        <x:v>UNIVERSITAS PENDIDIKAN GANESHA</x:v>
      </x:c>
      <x:c r="D3946" s="66" t="str">
        <x:v>PTN Akademik</x:v>
      </x:c>
      <x:c r="E3946" s="66" t="str">
        <x:v>16121023</x:v>
      </x:c>
      <x:c r="F3946" s="66" t="str">
        <x:v>PENDIDIKAN SEJARAH</x:v>
      </x:c>
      <x:c r="G3946" s="66" t="str">
        <x:v>Sarjana</x:v>
      </x:c>
      <x:c r="H3946" s="87" t="n">
        <x:v>80</x:v>
      </x:c>
      <x:c r="I3946" s="87" t="n">
        <x:v>68</x:v>
      </x:c>
      <x:c r="J3946" s="68" t="n">
        <x:f>IFERROR(H3946/I3946,"")</x:f>
        <x:v>1.1764705882352942</x:v>
      </x:c>
      <x:c r="K3946" s="69" t="n">
        <x:f>IFERROR(I3946/H3946,"")</x:f>
        <x:v>0.85</x:v>
      </x:c>
      <x:c r="L3946" s="66" t="str">
        <x:f>IF(K3946="","","1 : "&amp;TEXT(K3946,"0.0"))</x:f>
        <x:v>1 : 0.9</x:v>
      </x:c>
      <x:c r="M3946" s="66" t="str">
        <x:f>IF(J3946="","Baru/Tanpa Data",IF(J3946&lt;='Catatan &amp; Sumber'!$B$14,"Sangat Ketat",IF(J3946&lt;='Catatan &amp; Sumber'!$B$15,"Ketat",IF(J3946&lt;='Catatan &amp; Sumber'!$B$16,"Sedang","Relatif Longgar"))))</x:f>
        <x:v>Relatif Longgar</x:v>
      </x:c>
      <x:c r="N3946" s="66" t="str">
        <x:v>Tidak Ada</x:v>
      </x:c>
      <x:c r="O3946" s="66" t="str">
        <x:v>Bali</x:v>
      </x:c>
      <x:c r="P3946" s="66" t="str">
        <x:v>Kabupaten Buleleng</x:v>
      </x:c>
      <x:c r="Q3946" s="66" t="str">
        <x:v>https://snpmb.id/snbp/daya-tampung-snbp</x:v>
      </x:c>
      <x:c r="R3946" s="66" t="str">
        <x:v>https://sidatagrun-public-1076756628210.asia-southeast2.run.app/ptn_sn.php?ptn=612</x:v>
      </x:c>
    </x:row>
    <x:row r="3947">
      <x:c r="A3947" s="87" t="n">
        <x:v>4571</x:v>
      </x:c>
      <x:c r="B3947" s="66" t="n">
        <x:v>612</x:v>
      </x:c>
      <x:c r="C3947" s="66" t="str">
        <x:v>UNIVERSITAS PENDIDIKAN GANESHA</x:v>
      </x:c>
      <x:c r="D3947" s="66" t="str">
        <x:v>PTN Akademik</x:v>
      </x:c>
      <x:c r="E3947" s="66" t="str">
        <x:v>16121024</x:v>
      </x:c>
      <x:c r="F3947" s="66" t="str">
        <x:v>PENDIDIKAN GEOGRAFI</x:v>
      </x:c>
      <x:c r="G3947" s="66" t="str">
        <x:v>Sarjana</x:v>
      </x:c>
      <x:c r="H3947" s="87" t="n">
        <x:v>73</x:v>
      </x:c>
      <x:c r="I3947" s="87" t="n">
        <x:v>48</x:v>
      </x:c>
      <x:c r="J3947" s="68" t="n">
        <x:f>IFERROR(H3947/I3947,"")</x:f>
        <x:v>1.5208333333333333</x:v>
      </x:c>
      <x:c r="K3947" s="69" t="n">
        <x:f>IFERROR(I3947/H3947,"")</x:f>
        <x:v>0.6575342465753424</x:v>
      </x:c>
      <x:c r="L3947" s="66" t="str">
        <x:f>IF(K3947="","","1 : "&amp;TEXT(K3947,"0.0"))</x:f>
        <x:v>1 : 0.7</x:v>
      </x:c>
      <x:c r="M3947" s="66" t="str">
        <x:f>IF(J3947="","Baru/Tanpa Data",IF(J3947&lt;='Catatan &amp; Sumber'!$B$14,"Sangat Ketat",IF(J3947&lt;='Catatan &amp; Sumber'!$B$15,"Ketat",IF(J3947&lt;='Catatan &amp; Sumber'!$B$16,"Sedang","Relatif Longgar"))))</x:f>
        <x:v>Relatif Longgar</x:v>
      </x:c>
      <x:c r="N3947" s="66" t="str">
        <x:v>Tidak Ada</x:v>
      </x:c>
      <x:c r="O3947" s="66" t="str">
        <x:v>Bali</x:v>
      </x:c>
      <x:c r="P3947" s="66" t="str">
        <x:v>Kabupaten Buleleng</x:v>
      </x:c>
      <x:c r="Q3947" s="66" t="str">
        <x:v>https://snpmb.id/snbp/daya-tampung-snbp</x:v>
      </x:c>
      <x:c r="R3947" s="66" t="str">
        <x:v>https://sidatagrun-public-1076756628210.asia-southeast2.run.app/ptn_sn.php?ptn=612</x:v>
      </x:c>
    </x:row>
    <x:row r="3948">
      <x:c r="A3948" s="87" t="n">
        <x:v>3845</x:v>
      </x:c>
      <x:c r="B3948" s="66" t="n">
        <x:v>612</x:v>
      </x:c>
      <x:c r="C3948" s="66" t="str">
        <x:v>UNIVERSITAS PENDIDIKAN GANESHA</x:v>
      </x:c>
      <x:c r="D3948" s="66" t="str">
        <x:v>PTN Akademik</x:v>
      </x:c>
      <x:c r="E3948" s="66" t="str">
        <x:v>16121025</x:v>
      </x:c>
      <x:c r="F3948" s="66" t="str">
        <x:v>PENDIDIKAN BAHASA DAN SASTRA INDONESIA</x:v>
      </x:c>
      <x:c r="G3948" s="66" t="str">
        <x:v>Sarjana</x:v>
      </x:c>
      <x:c r="H3948" s="87" t="n">
        <x:v>90</x:v>
      </x:c>
      <x:c r="I3948" s="87" t="n">
        <x:v>151</x:v>
      </x:c>
      <x:c r="J3948" s="68" t="n">
        <x:f>IFERROR(H3948/I3948,"")</x:f>
        <x:v>0.5960264900662252</x:v>
      </x:c>
      <x:c r="K3948" s="69" t="n">
        <x:f>IFERROR(I3948/H3948,"")</x:f>
        <x:v>1.6777777777777778</x:v>
      </x:c>
      <x:c r="L3948" s="66" t="str">
        <x:f>IF(K3948="","","1 : "&amp;TEXT(K3948,"0.0"))</x:f>
        <x:v>1 : 1.7</x:v>
      </x:c>
      <x:c r="M3948" s="66" t="str">
        <x:f>IF(J3948="","Baru/Tanpa Data",IF(J3948&lt;='Catatan &amp; Sumber'!$B$14,"Sangat Ketat",IF(J3948&lt;='Catatan &amp; Sumber'!$B$15,"Ketat",IF(J3948&lt;='Catatan &amp; Sumber'!$B$16,"Sedang","Relatif Longgar"))))</x:f>
        <x:v>Relatif Longgar</x:v>
      </x:c>
      <x:c r="N3948" s="66" t="str">
        <x:v>Tidak Ada</x:v>
      </x:c>
      <x:c r="O3948" s="66" t="str">
        <x:v>Bali</x:v>
      </x:c>
      <x:c r="P3948" s="66" t="str">
        <x:v>Kabupaten Buleleng</x:v>
      </x:c>
      <x:c r="Q3948" s="66" t="str">
        <x:v>https://snpmb.id/snbp/daya-tampung-snbp</x:v>
      </x:c>
      <x:c r="R3948" s="66" t="str">
        <x:v>https://sidatagrun-public-1076756628210.asia-southeast2.run.app/ptn_sn.php?ptn=612</x:v>
      </x:c>
    </x:row>
    <x:row r="3949">
      <x:c r="A3949" s="87" t="n">
        <x:v>3230</x:v>
      </x:c>
      <x:c r="B3949" s="66" t="n">
        <x:v>612</x:v>
      </x:c>
      <x:c r="C3949" s="66" t="str">
        <x:v>UNIVERSITAS PENDIDIKAN GANESHA</x:v>
      </x:c>
      <x:c r="D3949" s="66" t="str">
        <x:v>PTN Akademik</x:v>
      </x:c>
      <x:c r="E3949" s="66" t="str">
        <x:v>16121026</x:v>
      </x:c>
      <x:c r="F3949" s="66" t="str">
        <x:v>PENDIDIKAN BAHASA INGGRIS</x:v>
      </x:c>
      <x:c r="G3949" s="66" t="str">
        <x:v>Sarjana</x:v>
      </x:c>
      <x:c r="H3949" s="87" t="n">
        <x:v>148</x:v>
      </x:c>
      <x:c r="I3949" s="87" t="n">
        <x:v>423</x:v>
      </x:c>
      <x:c r="J3949" s="68" t="n">
        <x:f>IFERROR(H3949/I3949,"")</x:f>
        <x:v>0.34988179669030733</x:v>
      </x:c>
      <x:c r="K3949" s="69" t="n">
        <x:f>IFERROR(I3949/H3949,"")</x:f>
        <x:v>2.858108108108108</x:v>
      </x:c>
      <x:c r="L3949" s="66" t="str">
        <x:f>IF(K3949="","","1 : "&amp;TEXT(K3949,"0.0"))</x:f>
        <x:v>1 : 2.9</x:v>
      </x:c>
      <x:c r="M3949" s="66" t="str">
        <x:f>IF(J3949="","Baru/Tanpa Data",IF(J3949&lt;='Catatan &amp; Sumber'!$B$14,"Sangat Ketat",IF(J3949&lt;='Catatan &amp; Sumber'!$B$15,"Ketat",IF(J3949&lt;='Catatan &amp; Sumber'!$B$16,"Sedang","Relatif Longgar"))))</x:f>
        <x:v>Relatif Longgar</x:v>
      </x:c>
      <x:c r="N3949" s="66" t="str">
        <x:v>Tidak Ada</x:v>
      </x:c>
      <x:c r="O3949" s="66" t="str">
        <x:v>Bali</x:v>
      </x:c>
      <x:c r="P3949" s="66" t="str">
        <x:v>Kabupaten Buleleng</x:v>
      </x:c>
      <x:c r="Q3949" s="66" t="str">
        <x:v>https://snpmb.id/snbp/daya-tampung-snbp</x:v>
      </x:c>
      <x:c r="R3949" s="66" t="str">
        <x:v>https://sidatagrun-public-1076756628210.asia-southeast2.run.app/ptn_sn.php?ptn=612</x:v>
      </x:c>
    </x:row>
    <x:row r="3950">
      <x:c r="A3950" s="87" t="n">
        <x:v>4687</x:v>
      </x:c>
      <x:c r="B3950" s="66" t="n">
        <x:v>612</x:v>
      </x:c>
      <x:c r="C3950" s="66" t="str">
        <x:v>UNIVERSITAS PENDIDIKAN GANESHA</x:v>
      </x:c>
      <x:c r="D3950" s="66" t="str">
        <x:v>PTN Akademik</x:v>
      </x:c>
      <x:c r="E3950" s="66" t="str">
        <x:v>16121027</x:v>
      </x:c>
      <x:c r="F3950" s="66" t="str">
        <x:v>PENDIDIKAN SENI RUPA</x:v>
      </x:c>
      <x:c r="G3950" s="66" t="str">
        <x:v>Sarjana</x:v>
      </x:c>
      <x:c r="H3950" s="87" t="n">
        <x:v>45</x:v>
      </x:c>
      <x:c r="I3950" s="87" t="n">
        <x:v>21</x:v>
      </x:c>
      <x:c r="J3950" s="68" t="n">
        <x:f>IFERROR(H3950/I3950,"")</x:f>
        <x:v>2.142857142857143</x:v>
      </x:c>
      <x:c r="K3950" s="69" t="n">
        <x:f>IFERROR(I3950/H3950,"")</x:f>
        <x:v>0.4666666666666667</x:v>
      </x:c>
      <x:c r="L3950" s="66" t="str">
        <x:f>IF(K3950="","","1 : "&amp;TEXT(K3950,"0.0"))</x:f>
        <x:v>1 : 0.5</x:v>
      </x:c>
      <x:c r="M3950" s="66" t="str">
        <x:f>IF(J3950="","Baru/Tanpa Data",IF(J3950&lt;='Catatan &amp; Sumber'!$B$14,"Sangat Ketat",IF(J3950&lt;='Catatan &amp; Sumber'!$B$15,"Ketat",IF(J3950&lt;='Catatan &amp; Sumber'!$B$16,"Sedang","Relatif Longgar"))))</x:f>
        <x:v>Relatif Longgar</x:v>
      </x:c>
      <x:c r="N3950" s="66" t="str">
        <x:v>Seni Rupa, Desain, dan Kriya</x:v>
      </x:c>
      <x:c r="O3950" s="66" t="str">
        <x:v>Bali</x:v>
      </x:c>
      <x:c r="P3950" s="66" t="str">
        <x:v>Kabupaten Buleleng</x:v>
      </x:c>
      <x:c r="Q3950" s="66" t="str">
        <x:v>https://snpmb.id/snbp/daya-tampung-snbp</x:v>
      </x:c>
      <x:c r="R3950" s="66" t="str">
        <x:v>https://sidatagrun-public-1076756628210.asia-southeast2.run.app/ptn_sn.php?ptn=612</x:v>
      </x:c>
    </x:row>
    <x:row r="3951">
      <x:c r="A3951" s="87" t="n">
        <x:v>4429</x:v>
      </x:c>
      <x:c r="B3951" s="66" t="n">
        <x:v>612</x:v>
      </x:c>
      <x:c r="C3951" s="66" t="str">
        <x:v>UNIVERSITAS PENDIDIKAN GANESHA</x:v>
      </x:c>
      <x:c r="D3951" s="66" t="str">
        <x:v>PTN Akademik</x:v>
      </x:c>
      <x:c r="E3951" s="66" t="str">
        <x:v>16121028</x:v>
      </x:c>
      <x:c r="F3951" s="66" t="str">
        <x:v>PENDIDIKAN KESEJAHTERAAN KELUARGA</x:v>
      </x:c>
      <x:c r="G3951" s="66" t="str">
        <x:v>Sarjana</x:v>
      </x:c>
      <x:c r="H3951" s="87" t="n">
        <x:v>60</x:v>
      </x:c>
      <x:c r="I3951" s="87" t="n">
        <x:v>51</x:v>
      </x:c>
      <x:c r="J3951" s="68" t="n">
        <x:f>IFERROR(H3951/I3951,"")</x:f>
        <x:v>1.1764705882352942</x:v>
      </x:c>
      <x:c r="K3951" s="69" t="n">
        <x:f>IFERROR(I3951/H3951,"")</x:f>
        <x:v>0.85</x:v>
      </x:c>
      <x:c r="L3951" s="66" t="str">
        <x:f>IF(K3951="","","1 : "&amp;TEXT(K3951,"0.0"))</x:f>
        <x:v>1 : 0.9</x:v>
      </x:c>
      <x:c r="M3951" s="66" t="str">
        <x:f>IF(J3951="","Baru/Tanpa Data",IF(J3951&lt;='Catatan &amp; Sumber'!$B$14,"Sangat Ketat",IF(J3951&lt;='Catatan &amp; Sumber'!$B$15,"Ketat",IF(J3951&lt;='Catatan &amp; Sumber'!$B$16,"Sedang","Relatif Longgar"))))</x:f>
        <x:v>Relatif Longgar</x:v>
      </x:c>
      <x:c r="N3951" s="66" t="str">
        <x:v>Tidak Ada</x:v>
      </x:c>
      <x:c r="O3951" s="66" t="str">
        <x:v>Bali</x:v>
      </x:c>
      <x:c r="P3951" s="66" t="str">
        <x:v>Kabupaten Buleleng</x:v>
      </x:c>
      <x:c r="Q3951" s="66" t="str">
        <x:v>https://snpmb.id/snbp/daya-tampung-snbp</x:v>
      </x:c>
      <x:c r="R3951" s="66" t="str">
        <x:v>https://sidatagrun-public-1076756628210.asia-southeast2.run.app/ptn_sn.php?ptn=612</x:v>
      </x:c>
    </x:row>
    <x:row r="3952">
      <x:c r="A3952" s="87" t="n">
        <x:v>3174</x:v>
      </x:c>
      <x:c r="B3952" s="66" t="n">
        <x:v>612</x:v>
      </x:c>
      <x:c r="C3952" s="66" t="str">
        <x:v>UNIVERSITAS PENDIDIKAN GANESHA</x:v>
      </x:c>
      <x:c r="D3952" s="66" t="str">
        <x:v>PTN Akademik</x:v>
      </x:c>
      <x:c r="E3952" s="66" t="str">
        <x:v>16121029</x:v>
      </x:c>
      <x:c r="F3952" s="66" t="str">
        <x:v>BIMBINGAN KONSELING</x:v>
      </x:c>
      <x:c r="G3952" s="66" t="str">
        <x:v>Sarjana</x:v>
      </x:c>
      <x:c r="H3952" s="87" t="n">
        <x:v>80</x:v>
      </x:c>
      <x:c r="I3952" s="87" t="n">
        <x:v>239</x:v>
      </x:c>
      <x:c r="J3952" s="68" t="n">
        <x:f>IFERROR(H3952/I3952,"")</x:f>
        <x:v>0.33472803347280333</x:v>
      </x:c>
      <x:c r="K3952" s="69" t="n">
        <x:f>IFERROR(I3952/H3952,"")</x:f>
        <x:v>2.9875</x:v>
      </x:c>
      <x:c r="L3952" s="66" t="str">
        <x:f>IF(K3952="","","1 : "&amp;TEXT(K3952,"0.0"))</x:f>
        <x:v>1 : 3.0</x:v>
      </x:c>
      <x:c r="M3952" s="66" t="str">
        <x:f>IF(J3952="","Baru/Tanpa Data",IF(J3952&lt;='Catatan &amp; Sumber'!$B$14,"Sangat Ketat",IF(J3952&lt;='Catatan &amp; Sumber'!$B$15,"Ketat",IF(J3952&lt;='Catatan &amp; Sumber'!$B$16,"Sedang","Relatif Longgar"))))</x:f>
        <x:v>Relatif Longgar</x:v>
      </x:c>
      <x:c r="N3952" s="66" t="str">
        <x:v>Tidak Ada</x:v>
      </x:c>
      <x:c r="O3952" s="66" t="str">
        <x:v>Bali</x:v>
      </x:c>
      <x:c r="P3952" s="66" t="str">
        <x:v>Kabupaten Buleleng</x:v>
      </x:c>
      <x:c r="Q3952" s="66" t="str">
        <x:v>https://snpmb.id/snbp/daya-tampung-snbp</x:v>
      </x:c>
      <x:c r="R3952" s="66" t="str">
        <x:v>https://sidatagrun-public-1076756628210.asia-southeast2.run.app/ptn_sn.php?ptn=612</x:v>
      </x:c>
    </x:row>
    <x:row r="3953">
      <x:c r="A3953" s="87" t="n">
        <x:v>4718</x:v>
      </x:c>
      <x:c r="B3953" s="66" t="n">
        <x:v>612</x:v>
      </x:c>
      <x:c r="C3953" s="66" t="str">
        <x:v>UNIVERSITAS PENDIDIKAN GANESHA</x:v>
      </x:c>
      <x:c r="D3953" s="66" t="str">
        <x:v>PTN Akademik</x:v>
      </x:c>
      <x:c r="E3953" s="66" t="str">
        <x:v>16121030</x:v>
      </x:c>
      <x:c r="F3953" s="66" t="str">
        <x:v>TEKNOLOGI PENDIDIKAN</x:v>
      </x:c>
      <x:c r="G3953" s="66" t="str">
        <x:v>Sarjana</x:v>
      </x:c>
      <x:c r="H3953" s="87" t="n">
        <x:v>75</x:v>
      </x:c>
      <x:c r="I3953" s="87" t="n">
        <x:v>31</x:v>
      </x:c>
      <x:c r="J3953" s="68" t="n">
        <x:f>IFERROR(H3953/I3953,"")</x:f>
        <x:v>2.4193548387096775</x:v>
      </x:c>
      <x:c r="K3953" s="69" t="n">
        <x:f>IFERROR(I3953/H3953,"")</x:f>
        <x:v>0.41333333333333333</x:v>
      </x:c>
      <x:c r="L3953" s="66" t="str">
        <x:f>IF(K3953="","","1 : "&amp;TEXT(K3953,"0.0"))</x:f>
        <x:v>1 : 0.4</x:v>
      </x:c>
      <x:c r="M3953" s="66" t="str">
        <x:f>IF(J3953="","Baru/Tanpa Data",IF(J3953&lt;='Catatan &amp; Sumber'!$B$14,"Sangat Ketat",IF(J3953&lt;='Catatan &amp; Sumber'!$B$15,"Ketat",IF(J3953&lt;='Catatan &amp; Sumber'!$B$16,"Sedang","Relatif Longgar"))))</x:f>
        <x:v>Relatif Longgar</x:v>
      </x:c>
      <x:c r="N3953" s="66" t="str">
        <x:v>Tidak Ada</x:v>
      </x:c>
      <x:c r="O3953" s="66" t="str">
        <x:v>Bali</x:v>
      </x:c>
      <x:c r="P3953" s="66" t="str">
        <x:v>Kabupaten Buleleng</x:v>
      </x:c>
      <x:c r="Q3953" s="66" t="str">
        <x:v>https://snpmb.id/snbp/daya-tampung-snbp</x:v>
      </x:c>
      <x:c r="R3953" s="66" t="str">
        <x:v>https://sidatagrun-public-1076756628210.asia-southeast2.run.app/ptn_sn.php?ptn=612</x:v>
      </x:c>
    </x:row>
    <x:row r="3954">
      <x:c r="A3954" s="87" t="n">
        <x:v>4188</x:v>
      </x:c>
      <x:c r="B3954" s="66" t="n">
        <x:v>612</x:v>
      </x:c>
      <x:c r="C3954" s="66" t="str">
        <x:v>UNIVERSITAS PENDIDIKAN GANESHA</x:v>
      </x:c>
      <x:c r="D3954" s="66" t="str">
        <x:v>PTN Akademik</x:v>
      </x:c>
      <x:c r="E3954" s="66" t="str">
        <x:v>16121031</x:v>
      </x:c>
      <x:c r="F3954" s="66" t="str">
        <x:v>PENDIDIKAN JASMANI KESEHATAN DAN REKREASI</x:v>
      </x:c>
      <x:c r="G3954" s="66" t="str">
        <x:v>Sarjana</x:v>
      </x:c>
      <x:c r="H3954" s="87" t="n">
        <x:v>138</x:v>
      </x:c>
      <x:c r="I3954" s="87" t="n">
        <x:v>164</x:v>
      </x:c>
      <x:c r="J3954" s="68" t="n">
        <x:f>IFERROR(H3954/I3954,"")</x:f>
        <x:v>0.8414634146341463</x:v>
      </x:c>
      <x:c r="K3954" s="69" t="n">
        <x:f>IFERROR(I3954/H3954,"")</x:f>
        <x:v>1.1884057971014492</x:v>
      </x:c>
      <x:c r="L3954" s="66" t="str">
        <x:f>IF(K3954="","","1 : "&amp;TEXT(K3954,"0.0"))</x:f>
        <x:v>1 : 1.2</x:v>
      </x:c>
      <x:c r="M3954" s="66" t="str">
        <x:f>IF(J3954="","Baru/Tanpa Data",IF(J3954&lt;='Catatan &amp; Sumber'!$B$14,"Sangat Ketat",IF(J3954&lt;='Catatan &amp; Sumber'!$B$15,"Ketat",IF(J3954&lt;='Catatan &amp; Sumber'!$B$16,"Sedang","Relatif Longgar"))))</x:f>
        <x:v>Relatif Longgar</x:v>
      </x:c>
      <x:c r="N3954" s="66" t="str">
        <x:v>Olahraga</x:v>
      </x:c>
      <x:c r="O3954" s="66" t="str">
        <x:v>Bali</x:v>
      </x:c>
      <x:c r="P3954" s="66" t="str">
        <x:v>Kabupaten Buleleng</x:v>
      </x:c>
      <x:c r="Q3954" s="66" t="str">
        <x:v>https://snpmb.id/snbp/daya-tampung-snbp</x:v>
      </x:c>
      <x:c r="R3954" s="66" t="str">
        <x:v>https://sidatagrun-public-1076756628210.asia-southeast2.run.app/ptn_sn.php?ptn=612</x:v>
      </x:c>
    </x:row>
    <x:row r="3955">
      <x:c r="A3955" s="87" t="n">
        <x:v>2988</x:v>
      </x:c>
      <x:c r="B3955" s="66" t="n">
        <x:v>612</x:v>
      </x:c>
      <x:c r="C3955" s="66" t="str">
        <x:v>UNIVERSITAS PENDIDIKAN GANESHA</x:v>
      </x:c>
      <x:c r="D3955" s="66" t="str">
        <x:v>PTN Akademik</x:v>
      </x:c>
      <x:c r="E3955" s="66" t="str">
        <x:v>16121032</x:v>
      </x:c>
      <x:c r="F3955" s="66" t="str">
        <x:v>MANAJEMEN</x:v>
      </x:c>
      <x:c r="G3955" s="66" t="str">
        <x:v>Sarjana</x:v>
      </x:c>
      <x:c r="H3955" s="87" t="n">
        <x:v>170</x:v>
      </x:c>
      <x:c r="I3955" s="87" t="n">
        <x:v>585</x:v>
      </x:c>
      <x:c r="J3955" s="68" t="n">
        <x:f>IFERROR(H3955/I3955,"")</x:f>
        <x:v>0.2905982905982906</x:v>
      </x:c>
      <x:c r="K3955" s="69" t="n">
        <x:f>IFERROR(I3955/H3955,"")</x:f>
        <x:v>3.4411764705882355</x:v>
      </x:c>
      <x:c r="L3955" s="66" t="str">
        <x:f>IF(K3955="","","1 : "&amp;TEXT(K3955,"0.0"))</x:f>
        <x:v>1 : 3.4</x:v>
      </x:c>
      <x:c r="M3955" s="66" t="str">
        <x:f>IF(J3955="","Baru/Tanpa Data",IF(J3955&lt;='Catatan &amp; Sumber'!$B$14,"Sangat Ketat",IF(J3955&lt;='Catatan &amp; Sumber'!$B$15,"Ketat",IF(J3955&lt;='Catatan &amp; Sumber'!$B$16,"Sedang","Relatif Longgar"))))</x:f>
        <x:v>Relatif Longgar</x:v>
      </x:c>
      <x:c r="N3955" s="66" t="str">
        <x:v>Tidak Ada</x:v>
      </x:c>
      <x:c r="O3955" s="66" t="str">
        <x:v>Bali</x:v>
      </x:c>
      <x:c r="P3955" s="66" t="str">
        <x:v>Kabupaten Buleleng</x:v>
      </x:c>
      <x:c r="Q3955" s="66" t="str">
        <x:v>https://snpmb.id/snbp/daya-tampung-snbp</x:v>
      </x:c>
      <x:c r="R3955" s="66" t="str">
        <x:v>https://sidatagrun-public-1076756628210.asia-southeast2.run.app/ptn_sn.php?ptn=612</x:v>
      </x:c>
    </x:row>
    <x:row r="3956">
      <x:c r="A3956" s="87" t="n">
        <x:v>3112</x:v>
      </x:c>
      <x:c r="B3956" s="66" t="n">
        <x:v>612</x:v>
      </x:c>
      <x:c r="C3956" s="66" t="str">
        <x:v>UNIVERSITAS PENDIDIKAN GANESHA</x:v>
      </x:c>
      <x:c r="D3956" s="66" t="str">
        <x:v>PTN Akademik</x:v>
      </x:c>
      <x:c r="E3956" s="66" t="str">
        <x:v>16121033</x:v>
      </x:c>
      <x:c r="F3956" s="66" t="str">
        <x:v>AKUNTANSI</x:v>
      </x:c>
      <x:c r="G3956" s="66" t="str">
        <x:v>Sarjana</x:v>
      </x:c>
      <x:c r="H3956" s="87" t="n">
        <x:v>150</x:v>
      </x:c>
      <x:c r="I3956" s="87" t="n">
        <x:v>473</x:v>
      </x:c>
      <x:c r="J3956" s="68" t="n">
        <x:f>IFERROR(H3956/I3956,"")</x:f>
        <x:v>0.3171247357293869</x:v>
      </x:c>
      <x:c r="K3956" s="69" t="n">
        <x:f>IFERROR(I3956/H3956,"")</x:f>
        <x:v>3.1533333333333333</x:v>
      </x:c>
      <x:c r="L3956" s="66" t="str">
        <x:f>IF(K3956="","","1 : "&amp;TEXT(K3956,"0.0"))</x:f>
        <x:v>1 : 3.2</x:v>
      </x:c>
      <x:c r="M3956" s="66" t="str">
        <x:f>IF(J3956="","Baru/Tanpa Data",IF(J3956&lt;='Catatan &amp; Sumber'!$B$14,"Sangat Ketat",IF(J3956&lt;='Catatan &amp; Sumber'!$B$15,"Ketat",IF(J3956&lt;='Catatan &amp; Sumber'!$B$16,"Sedang","Relatif Longgar"))))</x:f>
        <x:v>Relatif Longgar</x:v>
      </x:c>
      <x:c r="N3956" s="66" t="str">
        <x:v>Tidak Ada</x:v>
      </x:c>
      <x:c r="O3956" s="66" t="str">
        <x:v>Bali</x:v>
      </x:c>
      <x:c r="P3956" s="66" t="str">
        <x:v>Kabupaten Buleleng</x:v>
      </x:c>
      <x:c r="Q3956" s="66" t="str">
        <x:v>https://snpmb.id/snbp/daya-tampung-snbp</x:v>
      </x:c>
      <x:c r="R3956" s="66" t="str">
        <x:v>https://sidatagrun-public-1076756628210.asia-southeast2.run.app/ptn_sn.php?ptn=612</x:v>
      </x:c>
    </x:row>
    <x:row r="3957">
      <x:c r="A3957" s="87" t="n">
        <x:v>4263</x:v>
      </x:c>
      <x:c r="B3957" s="66" t="n">
        <x:v>612</x:v>
      </x:c>
      <x:c r="C3957" s="66" t="str">
        <x:v>UNIVERSITAS PENDIDIKAN GANESHA</x:v>
      </x:c>
      <x:c r="D3957" s="66" t="str">
        <x:v>PTN Akademik</x:v>
      </x:c>
      <x:c r="E3957" s="66" t="str">
        <x:v>16121034</x:v>
      </x:c>
      <x:c r="F3957" s="66" t="str">
        <x:v>PENDIDIKAN KEPELATIHAN OLAHRAGA</x:v>
      </x:c>
      <x:c r="G3957" s="66" t="str">
        <x:v>Sarjana</x:v>
      </x:c>
      <x:c r="H3957" s="87" t="n">
        <x:v>45</x:v>
      </x:c>
      <x:c r="I3957" s="87" t="n">
        <x:v>49</x:v>
      </x:c>
      <x:c r="J3957" s="68" t="n">
        <x:f>IFERROR(H3957/I3957,"")</x:f>
        <x:v>0.9183673469387755</x:v>
      </x:c>
      <x:c r="K3957" s="69" t="n">
        <x:f>IFERROR(I3957/H3957,"")</x:f>
        <x:v>1.0888888888888888</x:v>
      </x:c>
      <x:c r="L3957" s="66" t="str">
        <x:f>IF(K3957="","","1 : "&amp;TEXT(K3957,"0.0"))</x:f>
        <x:v>1 : 1.1</x:v>
      </x:c>
      <x:c r="M3957" s="66" t="str">
        <x:f>IF(J3957="","Baru/Tanpa Data",IF(J3957&lt;='Catatan &amp; Sumber'!$B$14,"Sangat Ketat",IF(J3957&lt;='Catatan &amp; Sumber'!$B$15,"Ketat",IF(J3957&lt;='Catatan &amp; Sumber'!$B$16,"Sedang","Relatif Longgar"))))</x:f>
        <x:v>Relatif Longgar</x:v>
      </x:c>
      <x:c r="N3957" s="66" t="str">
        <x:v>Olahraga</x:v>
      </x:c>
      <x:c r="O3957" s="66" t="str">
        <x:v>Bali</x:v>
      </x:c>
      <x:c r="P3957" s="66" t="str">
        <x:v>Kabupaten Buleleng</x:v>
      </x:c>
      <x:c r="Q3957" s="66" t="str">
        <x:v>https://snpmb.id/snbp/daya-tampung-snbp</x:v>
      </x:c>
      <x:c r="R3957" s="66" t="str">
        <x:v>https://sidatagrun-public-1076756628210.asia-southeast2.run.app/ptn_sn.php?ptn=612</x:v>
      </x:c>
    </x:row>
    <x:row r="3958">
      <x:c r="A3958" s="87" t="n">
        <x:v>2143</x:v>
      </x:c>
      <x:c r="B3958" s="66" t="n">
        <x:v>612</x:v>
      </x:c>
      <x:c r="C3958" s="66" t="str">
        <x:v>UNIVERSITAS PENDIDIKAN GANESHA</x:v>
      </x:c>
      <x:c r="D3958" s="66" t="str">
        <x:v>PTN Akademik</x:v>
      </x:c>
      <x:c r="E3958" s="66" t="str">
        <x:v>16121036</x:v>
      </x:c>
      <x:c r="F3958" s="66" t="str">
        <x:v>PENDIDIKAN GURU SEKOLAH DASAR</x:v>
      </x:c>
      <x:c r="G3958" s="66" t="str">
        <x:v>Sarjana</x:v>
      </x:c>
      <x:c r="H3958" s="87" t="n">
        <x:v>173</x:v>
      </x:c>
      <x:c r="I3958" s="87" t="n">
        <x:v>1046</x:v>
      </x:c>
      <x:c r="J3958" s="68" t="n">
        <x:f>IFERROR(H3958/I3958,"")</x:f>
        <x:v>0.16539196940726578</x:v>
      </x:c>
      <x:c r="K3958" s="69" t="n">
        <x:f>IFERROR(I3958/H3958,"")</x:f>
        <x:v>6.046242774566474</x:v>
      </x:c>
      <x:c r="L3958" s="66" t="str">
        <x:f>IF(K3958="","","1 : "&amp;TEXT(K3958,"0.0"))</x:f>
        <x:v>1 : 6.0</x:v>
      </x:c>
      <x:c r="M3958" s="66" t="str">
        <x:f>IF(J3958="","Baru/Tanpa Data",IF(J3958&lt;='Catatan &amp; Sumber'!$B$14,"Sangat Ketat",IF(J3958&lt;='Catatan &amp; Sumber'!$B$15,"Ketat",IF(J3958&lt;='Catatan &amp; Sumber'!$B$16,"Sedang","Relatif Longgar"))))</x:f>
        <x:v>Relatif Longgar</x:v>
      </x:c>
      <x:c r="N3958" s="66" t="str">
        <x:v>Tidak Ada</x:v>
      </x:c>
      <x:c r="O3958" s="66" t="str">
        <x:v>Bali</x:v>
      </x:c>
      <x:c r="P3958" s="66" t="str">
        <x:v>Kabupaten Buleleng</x:v>
      </x:c>
      <x:c r="Q3958" s="66" t="str">
        <x:v>https://snpmb.id/snbp/daya-tampung-snbp</x:v>
      </x:c>
      <x:c r="R3958" s="66" t="str">
        <x:v>https://sidatagrun-public-1076756628210.asia-southeast2.run.app/ptn_sn.php?ptn=612</x:v>
      </x:c>
    </x:row>
    <x:row r="3959">
      <x:c r="A3959" s="87" t="n">
        <x:v>4494</x:v>
      </x:c>
      <x:c r="B3959" s="66" t="n">
        <x:v>612</x:v>
      </x:c>
      <x:c r="C3959" s="66" t="str">
        <x:v>UNIVERSITAS PENDIDIKAN GANESHA</x:v>
      </x:c>
      <x:c r="D3959" s="66" t="str">
        <x:v>PTN Akademik</x:v>
      </x:c>
      <x:c r="E3959" s="66" t="str">
        <x:v>16121038</x:v>
      </x:c>
      <x:c r="F3959" s="66" t="str">
        <x:v>PENDIDIKAN GURU ANAK USIA DINI</x:v>
      </x:c>
      <x:c r="G3959" s="66" t="str">
        <x:v>Sarjana</x:v>
      </x:c>
      <x:c r="H3959" s="87" t="n">
        <x:v>75</x:v>
      </x:c>
      <x:c r="I3959" s="87" t="n">
        <x:v>57</x:v>
      </x:c>
      <x:c r="J3959" s="68" t="n">
        <x:f>IFERROR(H3959/I3959,"")</x:f>
        <x:v>1.3157894736842106</x:v>
      </x:c>
      <x:c r="K3959" s="69" t="n">
        <x:f>IFERROR(I3959/H3959,"")</x:f>
        <x:v>0.76</x:v>
      </x:c>
      <x:c r="L3959" s="66" t="str">
        <x:f>IF(K3959="","","1 : "&amp;TEXT(K3959,"0.0"))</x:f>
        <x:v>1 : 0.8</x:v>
      </x:c>
      <x:c r="M3959" s="66" t="str">
        <x:f>IF(J3959="","Baru/Tanpa Data",IF(J3959&lt;='Catatan &amp; Sumber'!$B$14,"Sangat Ketat",IF(J3959&lt;='Catatan &amp; Sumber'!$B$15,"Ketat",IF(J3959&lt;='Catatan &amp; Sumber'!$B$16,"Sedang","Relatif Longgar"))))</x:f>
        <x:v>Relatif Longgar</x:v>
      </x:c>
      <x:c r="N3959" s="66" t="str">
        <x:v>Tidak Ada</x:v>
      </x:c>
      <x:c r="O3959" s="66" t="str">
        <x:v>Bali</x:v>
      </x:c>
      <x:c r="P3959" s="66" t="str">
        <x:v>Kabupaten Buleleng</x:v>
      </x:c>
      <x:c r="Q3959" s="66" t="str">
        <x:v>https://snpmb.id/snbp/daya-tampung-snbp</x:v>
      </x:c>
      <x:c r="R3959" s="66" t="str">
        <x:v>https://sidatagrun-public-1076756628210.asia-southeast2.run.app/ptn_sn.php?ptn=612</x:v>
      </x:c>
    </x:row>
    <x:row r="3960">
      <x:c r="A3960" s="87" t="n">
        <x:v>4429</x:v>
      </x:c>
      <x:c r="B3960" s="66" t="n">
        <x:v>612</x:v>
      </x:c>
      <x:c r="C3960" s="66" t="str">
        <x:v>UNIVERSITAS PENDIDIKAN GANESHA</x:v>
      </x:c>
      <x:c r="D3960" s="66" t="str">
        <x:v>PTN Akademik</x:v>
      </x:c>
      <x:c r="E3960" s="66" t="str">
        <x:v>16121039</x:v>
      </x:c>
      <x:c r="F3960" s="66" t="str">
        <x:v>PEND. BAHASA JEPANG</x:v>
      </x:c>
      <x:c r="G3960" s="66" t="str">
        <x:v>Sarjana</x:v>
      </x:c>
      <x:c r="H3960" s="87" t="n">
        <x:v>60</x:v>
      </x:c>
      <x:c r="I3960" s="87" t="n">
        <x:v>51</x:v>
      </x:c>
      <x:c r="J3960" s="68" t="n">
        <x:f>IFERROR(H3960/I3960,"")</x:f>
        <x:v>1.1764705882352942</x:v>
      </x:c>
      <x:c r="K3960" s="69" t="n">
        <x:f>IFERROR(I3960/H3960,"")</x:f>
        <x:v>0.85</x:v>
      </x:c>
      <x:c r="L3960" s="66" t="str">
        <x:f>IF(K3960="","","1 : "&amp;TEXT(K3960,"0.0"))</x:f>
        <x:v>1 : 0.9</x:v>
      </x:c>
      <x:c r="M3960" s="66" t="str">
        <x:f>IF(J3960="","Baru/Tanpa Data",IF(J3960&lt;='Catatan &amp; Sumber'!$B$14,"Sangat Ketat",IF(J3960&lt;='Catatan &amp; Sumber'!$B$15,"Ketat",IF(J3960&lt;='Catatan &amp; Sumber'!$B$16,"Sedang","Relatif Longgar"))))</x:f>
        <x:v>Relatif Longgar</x:v>
      </x:c>
      <x:c r="N3960" s="66" t="str">
        <x:v>Tidak Ada</x:v>
      </x:c>
      <x:c r="O3960" s="66" t="str">
        <x:v>Bali</x:v>
      </x:c>
      <x:c r="P3960" s="66" t="str">
        <x:v>Kabupaten Buleleng</x:v>
      </x:c>
      <x:c r="Q3960" s="66" t="str">
        <x:v>https://snpmb.id/snbp/daya-tampung-snbp</x:v>
      </x:c>
      <x:c r="R3960" s="66" t="str">
        <x:v>https://sidatagrun-public-1076756628210.asia-southeast2.run.app/ptn_sn.php?ptn=612</x:v>
      </x:c>
    </x:row>
    <x:row r="3961">
      <x:c r="A3961" s="87" t="n">
        <x:v>4223</x:v>
      </x:c>
      <x:c r="B3961" s="66" t="n">
        <x:v>612</x:v>
      </x:c>
      <x:c r="C3961" s="66" t="str">
        <x:v>UNIVERSITAS PENDIDIKAN GANESHA</x:v>
      </x:c>
      <x:c r="D3961" s="66" t="str">
        <x:v>PTN Akademik</x:v>
      </x:c>
      <x:c r="E3961" s="66" t="str">
        <x:v>16121040</x:v>
      </x:c>
      <x:c r="F3961" s="66" t="str">
        <x:v>PENDIDIKAN BAHASA BALI</x:v>
      </x:c>
      <x:c r="G3961" s="66" t="str">
        <x:v>Sarjana</x:v>
      </x:c>
      <x:c r="H3961" s="87" t="n">
        <x:v>45</x:v>
      </x:c>
      <x:c r="I3961" s="87" t="n">
        <x:v>51</x:v>
      </x:c>
      <x:c r="J3961" s="68" t="n">
        <x:f>IFERROR(H3961/I3961,"")</x:f>
        <x:v>0.8823529411764706</x:v>
      </x:c>
      <x:c r="K3961" s="69" t="n">
        <x:f>IFERROR(I3961/H3961,"")</x:f>
        <x:v>1.1333333333333333</x:v>
      </x:c>
      <x:c r="L3961" s="66" t="str">
        <x:f>IF(K3961="","","1 : "&amp;TEXT(K3961,"0.0"))</x:f>
        <x:v>1 : 1.1</x:v>
      </x:c>
      <x:c r="M3961" s="66" t="str">
        <x:f>IF(J3961="","Baru/Tanpa Data",IF(J3961&lt;='Catatan &amp; Sumber'!$B$14,"Sangat Ketat",IF(J3961&lt;='Catatan &amp; Sumber'!$B$15,"Ketat",IF(J3961&lt;='Catatan &amp; Sumber'!$B$16,"Sedang","Relatif Longgar"))))</x:f>
        <x:v>Relatif Longgar</x:v>
      </x:c>
      <x:c r="N3961" s="66" t="str">
        <x:v>Tidak Ada</x:v>
      </x:c>
      <x:c r="O3961" s="66" t="str">
        <x:v>Bali</x:v>
      </x:c>
      <x:c r="P3961" s="66" t="str">
        <x:v>Kabupaten Buleleng</x:v>
      </x:c>
      <x:c r="Q3961" s="66" t="str">
        <x:v>https://snpmb.id/snbp/daya-tampung-snbp</x:v>
      </x:c>
      <x:c r="R3961" s="66" t="str">
        <x:v>https://sidatagrun-public-1076756628210.asia-southeast2.run.app/ptn_sn.php?ptn=612</x:v>
      </x:c>
    </x:row>
    <x:row r="3962">
      <x:c r="A3962" s="87" t="n">
        <x:v>4568</x:v>
      </x:c>
      <x:c r="B3962" s="66" t="n">
        <x:v>612</x:v>
      </x:c>
      <x:c r="C3962" s="66" t="str">
        <x:v>UNIVERSITAS PENDIDIKAN GANESHA</x:v>
      </x:c>
      <x:c r="D3962" s="66" t="str">
        <x:v>PTN Akademik</x:v>
      </x:c>
      <x:c r="E3962" s="66" t="str">
        <x:v>16121041</x:v>
      </x:c>
      <x:c r="F3962" s="66" t="str">
        <x:v>PENDIDIKAN SOSIOLOGI</x:v>
      </x:c>
      <x:c r="G3962" s="66" t="str">
        <x:v>Sarjana</x:v>
      </x:c>
      <x:c r="H3962" s="87" t="n">
        <x:v>83</x:v>
      </x:c>
      <x:c r="I3962" s="87" t="n">
        <x:v>55</x:v>
      </x:c>
      <x:c r="J3962" s="68" t="n">
        <x:f>IFERROR(H3962/I3962,"")</x:f>
        <x:v>1.509090909090909</x:v>
      </x:c>
      <x:c r="K3962" s="69" t="n">
        <x:f>IFERROR(I3962/H3962,"")</x:f>
        <x:v>0.6626506024096386</x:v>
      </x:c>
      <x:c r="L3962" s="66" t="str">
        <x:f>IF(K3962="","","1 : "&amp;TEXT(K3962,"0.0"))</x:f>
        <x:v>1 : 0.7</x:v>
      </x:c>
      <x:c r="M3962" s="66" t="str">
        <x:f>IF(J3962="","Baru/Tanpa Data",IF(J3962&lt;='Catatan &amp; Sumber'!$B$14,"Sangat Ketat",IF(J3962&lt;='Catatan &amp; Sumber'!$B$15,"Ketat",IF(J3962&lt;='Catatan &amp; Sumber'!$B$16,"Sedang","Relatif Longgar"))))</x:f>
        <x:v>Relatif Longgar</x:v>
      </x:c>
      <x:c r="N3962" s="66" t="str">
        <x:v>Tidak Ada</x:v>
      </x:c>
      <x:c r="O3962" s="66" t="str">
        <x:v>Bali</x:v>
      </x:c>
      <x:c r="P3962" s="66" t="str">
        <x:v>Kabupaten Buleleng</x:v>
      </x:c>
      <x:c r="Q3962" s="66" t="str">
        <x:v>https://snpmb.id/snbp/daya-tampung-snbp</x:v>
      </x:c>
      <x:c r="R3962" s="66" t="str">
        <x:v>https://sidatagrun-public-1076756628210.asia-southeast2.run.app/ptn_sn.php?ptn=612</x:v>
      </x:c>
    </x:row>
    <x:row r="3963">
      <x:c r="A3963" s="87" t="n">
        <x:v>3745</x:v>
      </x:c>
      <x:c r="B3963" s="66" t="n">
        <x:v>612</x:v>
      </x:c>
      <x:c r="C3963" s="66" t="str">
        <x:v>UNIVERSITAS PENDIDIKAN GANESHA</x:v>
      </x:c>
      <x:c r="D3963" s="66" t="str">
        <x:v>PTN Akademik</x:v>
      </x:c>
      <x:c r="E3963" s="66" t="str">
        <x:v>16121042</x:v>
      </x:c>
      <x:c r="F3963" s="66" t="str">
        <x:v>ILMU HUKUM</x:v>
      </x:c>
      <x:c r="G3963" s="66" t="str">
        <x:v>Sarjana</x:v>
      </x:c>
      <x:c r="H3963" s="87" t="n">
        <x:v>156</x:v>
      </x:c>
      <x:c r="I3963" s="87" t="n">
        <x:v>288</x:v>
      </x:c>
      <x:c r="J3963" s="68" t="n">
        <x:f>IFERROR(H3963/I3963,"")</x:f>
        <x:v>0.5416666666666666</x:v>
      </x:c>
      <x:c r="K3963" s="69" t="n">
        <x:f>IFERROR(I3963/H3963,"")</x:f>
        <x:v>1.8461538461538463</x:v>
      </x:c>
      <x:c r="L3963" s="66" t="str">
        <x:f>IF(K3963="","","1 : "&amp;TEXT(K3963,"0.0"))</x:f>
        <x:v>1 : 1.8</x:v>
      </x:c>
      <x:c r="M3963" s="66" t="str">
        <x:f>IF(J3963="","Baru/Tanpa Data",IF(J3963&lt;='Catatan &amp; Sumber'!$B$14,"Sangat Ketat",IF(J3963&lt;='Catatan &amp; Sumber'!$B$15,"Ketat",IF(J3963&lt;='Catatan &amp; Sumber'!$B$16,"Sedang","Relatif Longgar"))))</x:f>
        <x:v>Relatif Longgar</x:v>
      </x:c>
      <x:c r="N3963" s="66" t="str">
        <x:v>Tidak Ada</x:v>
      </x:c>
      <x:c r="O3963" s="66" t="str">
        <x:v>Bali</x:v>
      </x:c>
      <x:c r="P3963" s="66" t="str">
        <x:v>Kabupaten Buleleng</x:v>
      </x:c>
      <x:c r="Q3963" s="66" t="str">
        <x:v>https://snpmb.id/snbp/daya-tampung-snbp</x:v>
      </x:c>
      <x:c r="R3963" s="66" t="str">
        <x:v>https://sidatagrun-public-1076756628210.asia-southeast2.run.app/ptn_sn.php?ptn=612</x:v>
      </x:c>
    </x:row>
    <x:row r="3964">
      <x:c r="A3964" s="87" t="n">
        <x:v>4601</x:v>
      </x:c>
      <x:c r="B3964" s="66" t="n">
        <x:v>612</x:v>
      </x:c>
      <x:c r="C3964" s="66" t="str">
        <x:v>UNIVERSITAS PENDIDIKAN GANESHA</x:v>
      </x:c>
      <x:c r="D3964" s="66" t="str">
        <x:v>PTN Akademik</x:v>
      </x:c>
      <x:c r="E3964" s="66" t="str">
        <x:v>16121043</x:v>
      </x:c>
      <x:c r="F3964" s="66" t="str">
        <x:v>PENDIDIKAN VOKASIONAL SENI KULINER</x:v>
      </x:c>
      <x:c r="G3964" s="66" t="str">
        <x:v>Sarjana</x:v>
      </x:c>
      <x:c r="H3964" s="87" t="n">
        <x:v>63</x:v>
      </x:c>
      <x:c r="I3964" s="87" t="n">
        <x:v>38</x:v>
      </x:c>
      <x:c r="J3964" s="68" t="n">
        <x:f>IFERROR(H3964/I3964,"")</x:f>
        <x:v>1.6578947368421053</x:v>
      </x:c>
      <x:c r="K3964" s="69" t="n">
        <x:f>IFERROR(I3964/H3964,"")</x:f>
        <x:v>0.6031746031746031</x:v>
      </x:c>
      <x:c r="L3964" s="66" t="str">
        <x:f>IF(K3964="","","1 : "&amp;TEXT(K3964,"0.0"))</x:f>
        <x:v>1 : 0.6</x:v>
      </x:c>
      <x:c r="M3964" s="66" t="str">
        <x:f>IF(J3964="","Baru/Tanpa Data",IF(J3964&lt;='Catatan &amp; Sumber'!$B$14,"Sangat Ketat",IF(J3964&lt;='Catatan &amp; Sumber'!$B$15,"Ketat",IF(J3964&lt;='Catatan &amp; Sumber'!$B$16,"Sedang","Relatif Longgar"))))</x:f>
        <x:v>Relatif Longgar</x:v>
      </x:c>
      <x:c r="N3964" s="66" t="str">
        <x:v>Tidak Ada</x:v>
      </x:c>
      <x:c r="O3964" s="66" t="str">
        <x:v>Bali</x:v>
      </x:c>
      <x:c r="P3964" s="66" t="str">
        <x:v>Kabupaten Buleleng</x:v>
      </x:c>
      <x:c r="Q3964" s="66" t="str">
        <x:v>https://snpmb.id/snbp/daya-tampung-snbp</x:v>
      </x:c>
      <x:c r="R3964" s="66" t="str">
        <x:v>https://sidatagrun-public-1076756628210.asia-southeast2.run.app/ptn_sn.php?ptn=612</x:v>
      </x:c>
    </x:row>
    <x:row r="3965">
      <x:c r="A3965" s="87" t="n">
        <x:v>4704</x:v>
      </x:c>
      <x:c r="B3965" s="66" t="n">
        <x:v>612</x:v>
      </x:c>
      <x:c r="C3965" s="66" t="str">
        <x:v>UNIVERSITAS PENDIDIKAN GANESHA</x:v>
      </x:c>
      <x:c r="D3965" s="66" t="str">
        <x:v>PTN Akademik</x:v>
      </x:c>
      <x:c r="E3965" s="66" t="str">
        <x:v>16121044</x:v>
      </x:c>
      <x:c r="F3965" s="66" t="str">
        <x:v>GEOGRAFI</x:v>
      </x:c>
      <x:c r="G3965" s="66" t="str">
        <x:v>Sarjana</x:v>
      </x:c>
      <x:c r="H3965" s="87" t="n">
        <x:v>60</x:v>
      </x:c>
      <x:c r="I3965" s="87" t="n">
        <x:v>26</x:v>
      </x:c>
      <x:c r="J3965" s="68" t="n">
        <x:f>IFERROR(H3965/I3965,"")</x:f>
        <x:v>2.3076923076923075</x:v>
      </x:c>
      <x:c r="K3965" s="69" t="n">
        <x:f>IFERROR(I3965/H3965,"")</x:f>
        <x:v>0.43333333333333335</x:v>
      </x:c>
      <x:c r="L3965" s="66" t="str">
        <x:f>IF(K3965="","","1 : "&amp;TEXT(K3965,"0.0"))</x:f>
        <x:v>1 : 0.4</x:v>
      </x:c>
      <x:c r="M3965" s="66" t="str">
        <x:f>IF(J3965="","Baru/Tanpa Data",IF(J3965&lt;='Catatan &amp; Sumber'!$B$14,"Sangat Ketat",IF(J3965&lt;='Catatan &amp; Sumber'!$B$15,"Ketat",IF(J3965&lt;='Catatan &amp; Sumber'!$B$16,"Sedang","Relatif Longgar"))))</x:f>
        <x:v>Relatif Longgar</x:v>
      </x:c>
      <x:c r="N3965" s="66" t="str">
        <x:v>Tidak Ada</x:v>
      </x:c>
      <x:c r="O3965" s="66" t="str">
        <x:v>Bali</x:v>
      </x:c>
      <x:c r="P3965" s="66" t="str">
        <x:v>Kabupaten Buleleng</x:v>
      </x:c>
      <x:c r="Q3965" s="66" t="str">
        <x:v>https://snpmb.id/snbp/daya-tampung-snbp</x:v>
      </x:c>
      <x:c r="R3965" s="66" t="str">
        <x:v>https://sidatagrun-public-1076756628210.asia-southeast2.run.app/ptn_sn.php?ptn=612</x:v>
      </x:c>
    </x:row>
    <x:row r="3966">
      <x:c r="A3966" s="87" t="n">
        <x:v>4786</x:v>
      </x:c>
      <x:c r="B3966" s="66" t="n">
        <x:v>612</x:v>
      </x:c>
      <x:c r="C3966" s="66" t="str">
        <x:v>UNIVERSITAS PENDIDIKAN GANESHA</x:v>
      </x:c>
      <x:c r="D3966" s="66" t="str">
        <x:v>PTN Akademik</x:v>
      </x:c>
      <x:c r="E3966" s="66" t="str">
        <x:v>16121056</x:v>
      </x:c>
      <x:c r="F3966" s="66" t="str">
        <x:v>FISIKA</x:v>
      </x:c>
      <x:c r="G3966" s="66" t="str">
        <x:v>Sarjana</x:v>
      </x:c>
      <x:c r="H3966" s="87" t="n">
        <x:v>30</x:v>
      </x:c>
      <x:c r="I3966" s="87" t="n">
        <x:v>9</x:v>
      </x:c>
      <x:c r="J3966" s="68" t="n">
        <x:f>IFERROR(H3966/I3966,"")</x:f>
        <x:v>3.3333333333333335</x:v>
      </x:c>
      <x:c r="K3966" s="69" t="n">
        <x:f>IFERROR(I3966/H3966,"")</x:f>
        <x:v>0.3</x:v>
      </x:c>
      <x:c r="L3966" s="66" t="str">
        <x:f>IF(K3966="","","1 : "&amp;TEXT(K3966,"0.0"))</x:f>
        <x:v>1 : 0.3</x:v>
      </x:c>
      <x:c r="M3966" s="66" t="str">
        <x:f>IF(J3966="","Baru/Tanpa Data",IF(J3966&lt;='Catatan &amp; Sumber'!$B$14,"Sangat Ketat",IF(J3966&lt;='Catatan &amp; Sumber'!$B$15,"Ketat",IF(J3966&lt;='Catatan &amp; Sumber'!$B$16,"Sedang","Relatif Longgar"))))</x:f>
        <x:v>Relatif Longgar</x:v>
      </x:c>
      <x:c r="N3966" s="66" t="str">
        <x:v>Tidak Ada</x:v>
      </x:c>
      <x:c r="O3966" s="66" t="str">
        <x:v>Bali</x:v>
      </x:c>
      <x:c r="P3966" s="66" t="str">
        <x:v>Kabupaten Buleleng</x:v>
      </x:c>
      <x:c r="Q3966" s="66" t="str">
        <x:v>https://snpmb.id/snbp/daya-tampung-snbp</x:v>
      </x:c>
      <x:c r="R3966" s="66" t="str">
        <x:v>https://sidatagrun-public-1076756628210.asia-southeast2.run.app/ptn_sn.php?ptn=612</x:v>
      </x:c>
    </x:row>
    <x:row r="3967">
      <x:c r="A3967" s="87" t="n">
        <x:v>177</x:v>
      </x:c>
      <x:c r="B3967" s="66" t="n">
        <x:v>612</x:v>
      </x:c>
      <x:c r="C3967" s="66" t="str">
        <x:v>UNIVERSITAS PENDIDIKAN GANESHA</x:v>
      </x:c>
      <x:c r="D3967" s="66" t="str">
        <x:v>PTN Akademik</x:v>
      </x:c>
      <x:c r="E3967" s="66" t="str">
        <x:v>16121057</x:v>
      </x:c>
      <x:c r="F3967" s="66" t="str">
        <x:v>KEPERAWATAN</x:v>
      </x:c>
      <x:c r="G3967" s="66" t="str">
        <x:v>Sarjana</x:v>
      </x:c>
      <x:c r="H3967" s="87" t="n">
        <x:v>11</x:v>
      </x:c>
      <x:c r="I3967" s="87" t="n">
        <x:v>311</x:v>
      </x:c>
      <x:c r="J3967" s="68" t="n">
        <x:f>IFERROR(H3967/I3967,"")</x:f>
        <x:v>0.03536977491961415</x:v>
      </x:c>
      <x:c r="K3967" s="69" t="n">
        <x:f>IFERROR(I3967/H3967,"")</x:f>
        <x:v>28.272727272727273</x:v>
      </x:c>
      <x:c r="L3967" s="66" t="str">
        <x:f>IF(K3967="","","1 : "&amp;TEXT(K3967,"0.0"))</x:f>
        <x:v>1 : 28.3</x:v>
      </x:c>
      <x:c r="M3967" s="66" t="str">
        <x:f>IF(J3967="","Baru/Tanpa Data",IF(J3967&lt;='Catatan &amp; Sumber'!$B$14,"Sangat Ketat",IF(J3967&lt;='Catatan &amp; Sumber'!$B$15,"Ketat",IF(J3967&lt;='Catatan &amp; Sumber'!$B$16,"Sedang","Relatif Longgar"))))</x:f>
        <x:v>Ketat</x:v>
      </x:c>
      <x:c r="N3967" s="66" t="str">
        <x:v>Tidak Ada</x:v>
      </x:c>
      <x:c r="O3967" s="66" t="str">
        <x:v>Bali</x:v>
      </x:c>
      <x:c r="P3967" s="66" t="str">
        <x:v>Kabupaten Buleleng</x:v>
      </x:c>
      <x:c r="Q3967" s="66" t="str">
        <x:v>https://snpmb.id/snbp/daya-tampung-snbp</x:v>
      </x:c>
      <x:c r="R3967" s="66" t="str">
        <x:v>https://sidatagrun-public-1076756628210.asia-southeast2.run.app/ptn_sn.php?ptn=612</x:v>
      </x:c>
    </x:row>
    <x:row r="3968">
      <x:c r="A3968" s="87" t="n">
        <x:v>1517</x:v>
      </x:c>
      <x:c r="B3968" s="66" t="n">
        <x:v>612</x:v>
      </x:c>
      <x:c r="C3968" s="66" t="str">
        <x:v>UNIVERSITAS PENDIDIKAN GANESHA</x:v>
      </x:c>
      <x:c r="D3968" s="66" t="str">
        <x:v>PTN Akademik</x:v>
      </x:c>
      <x:c r="E3968" s="66" t="str">
        <x:v>16121058</x:v>
      </x:c>
      <x:c r="F3968" s="66" t="str">
        <x:v>KEBIDANAN</x:v>
      </x:c>
      <x:c r="G3968" s="66" t="str">
        <x:v>Sarjana</x:v>
      </x:c>
      <x:c r="H3968" s="87" t="n">
        <x:v>11</x:v>
      </x:c>
      <x:c r="I3968" s="87" t="n">
        <x:v>99</x:v>
      </x:c>
      <x:c r="J3968" s="68" t="n">
        <x:f>IFERROR(H3968/I3968,"")</x:f>
        <x:v>0.1111111111111111</x:v>
      </x:c>
      <x:c r="K3968" s="69" t="n">
        <x:f>IFERROR(I3968/H3968,"")</x:f>
        <x:v>9</x:v>
      </x:c>
      <x:c r="L3968" s="66" t="str">
        <x:f>IF(K3968="","","1 : "&amp;TEXT(K3968,"0.0"))</x:f>
        <x:v>1 : 9.0</x:v>
      </x:c>
      <x:c r="M3968" s="66" t="str">
        <x:f>IF(J3968="","Baru/Tanpa Data",IF(J3968&lt;='Catatan &amp; Sumber'!$B$14,"Sangat Ketat",IF(J3968&lt;='Catatan &amp; Sumber'!$B$15,"Ketat",IF(J3968&lt;='Catatan &amp; Sumber'!$B$16,"Sedang","Relatif Longgar"))))</x:f>
        <x:v>Relatif Longgar</x:v>
      </x:c>
      <x:c r="N3968" s="66" t="str">
        <x:v>Tidak Ada</x:v>
      </x:c>
      <x:c r="O3968" s="66" t="str">
        <x:v>Bali</x:v>
      </x:c>
      <x:c r="P3968" s="66" t="str">
        <x:v>Kabupaten Buleleng</x:v>
      </x:c>
      <x:c r="Q3968" s="66" t="str">
        <x:v>https://snpmb.id/snbp/daya-tampung-snbp</x:v>
      </x:c>
      <x:c r="R3968" s="66" t="str">
        <x:v>https://sidatagrun-public-1076756628210.asia-southeast2.run.app/ptn_sn.php?ptn=612</x:v>
      </x:c>
    </x:row>
    <x:row r="3969">
      <x:c r="A3969" s="87" t="n">
        <x:v>4386</x:v>
      </x:c>
      <x:c r="B3969" s="66" t="n">
        <x:v>612</x:v>
      </x:c>
      <x:c r="C3969" s="66" t="str">
        <x:v>UNIVERSITAS PENDIDIKAN GANESHA</x:v>
      </x:c>
      <x:c r="D3969" s="66" t="str">
        <x:v>PTN Akademik</x:v>
      </x:c>
      <x:c r="E3969" s="66" t="str">
        <x:v>16122045</x:v>
      </x:c>
      <x:c r="F3969" s="66" t="str">
        <x:v>TEKNOLOGI REKAYASA SISTEM ELEKTRONIKA</x:v>
      </x:c>
      <x:c r="G3969" s="66" t="str">
        <x:v>Sarjana Terapan</x:v>
      </x:c>
      <x:c r="H3969" s="87" t="n">
        <x:v>23</x:v>
      </x:c>
      <x:c r="I3969" s="87" t="n">
        <x:v>21</x:v>
      </x:c>
      <x:c r="J3969" s="68" t="n">
        <x:f>IFERROR(H3969/I3969,"")</x:f>
        <x:v>1.0952380952380953</x:v>
      </x:c>
      <x:c r="K3969" s="69" t="n">
        <x:f>IFERROR(I3969/H3969,"")</x:f>
        <x:v>0.9130434782608695</x:v>
      </x:c>
      <x:c r="L3969" s="66" t="str">
        <x:f>IF(K3969="","","1 : "&amp;TEXT(K3969,"0.0"))</x:f>
        <x:v>1 : 0.9</x:v>
      </x:c>
      <x:c r="M3969" s="66" t="str">
        <x:f>IF(J3969="","Baru/Tanpa Data",IF(J3969&lt;='Catatan &amp; Sumber'!$B$14,"Sangat Ketat",IF(J3969&lt;='Catatan &amp; Sumber'!$B$15,"Ketat",IF(J3969&lt;='Catatan &amp; Sumber'!$B$16,"Sedang","Relatif Longgar"))))</x:f>
        <x:v>Relatif Longgar</x:v>
      </x:c>
      <x:c r="N3969" s="66" t="str">
        <x:v>Tidak Ada</x:v>
      </x:c>
      <x:c r="O3969" s="66" t="str">
        <x:v>Bali</x:v>
      </x:c>
      <x:c r="P3969" s="66" t="str">
        <x:v>Kabupaten Buleleng</x:v>
      </x:c>
      <x:c r="Q3969" s="66" t="str">
        <x:v>https://snpmb.id/snbp/daya-tampung-snbp</x:v>
      </x:c>
      <x:c r="R3969" s="66" t="str">
        <x:v>https://sidatagrun-public-1076756628210.asia-southeast2.run.app/ptn_sn.php?ptn=612</x:v>
      </x:c>
    </x:row>
    <x:row r="3970">
      <x:c r="A3970" s="87" t="n">
        <x:v>4831</x:v>
      </x:c>
      <x:c r="B3970" s="66" t="n">
        <x:v>612</x:v>
      </x:c>
      <x:c r="C3970" s="66" t="str">
        <x:v>UNIVERSITAS PENDIDIKAN GANESHA</x:v>
      </x:c>
      <x:c r="D3970" s="66" t="str">
        <x:v>PTN Akademik</x:v>
      </x:c>
      <x:c r="E3970" s="66" t="str">
        <x:v>16122047</x:v>
      </x:c>
      <x:c r="F3970" s="66" t="str">
        <x:v>TEKNOLOGI REKAYASA PENGINDERAAN JAUH</x:v>
      </x:c>
      <x:c r="G3970" s="66" t="str">
        <x:v>Sarjana Terapan</x:v>
      </x:c>
      <x:c r="H3970" s="87" t="n">
        <x:v>40</x:v>
      </x:c>
      <x:c r="I3970" s="87" t="n">
        <x:v>9</x:v>
      </x:c>
      <x:c r="J3970" s="68" t="n">
        <x:f>IFERROR(H3970/I3970,"")</x:f>
        <x:v>4.444444444444445</x:v>
      </x:c>
      <x:c r="K3970" s="69" t="n">
        <x:f>IFERROR(I3970/H3970,"")</x:f>
        <x:v>0.225</x:v>
      </x:c>
      <x:c r="L3970" s="66" t="str">
        <x:f>IF(K3970="","","1 : "&amp;TEXT(K3970,"0.0"))</x:f>
        <x:v>1 : 0.2</x:v>
      </x:c>
      <x:c r="M3970" s="66" t="str">
        <x:f>IF(J3970="","Baru/Tanpa Data",IF(J3970&lt;='Catatan &amp; Sumber'!$B$14,"Sangat Ketat",IF(J3970&lt;='Catatan &amp; Sumber'!$B$15,"Ketat",IF(J3970&lt;='Catatan &amp; Sumber'!$B$16,"Sedang","Relatif Longgar"))))</x:f>
        <x:v>Relatif Longgar</x:v>
      </x:c>
      <x:c r="N3970" s="66" t="str">
        <x:v>Tidak Ada</x:v>
      </x:c>
      <x:c r="O3970" s="66" t="str">
        <x:v>Bali</x:v>
      </x:c>
      <x:c r="P3970" s="66" t="str">
        <x:v>Kabupaten Buleleng</x:v>
      </x:c>
      <x:c r="Q3970" s="66" t="str">
        <x:v>https://snpmb.id/snbp/daya-tampung-snbp</x:v>
      </x:c>
      <x:c r="R3970" s="66" t="str">
        <x:v>https://sidatagrun-public-1076756628210.asia-southeast2.run.app/ptn_sn.php?ptn=612</x:v>
      </x:c>
    </x:row>
    <x:row r="3971">
      <x:c r="A3971" s="87" t="n">
        <x:v>4749</x:v>
      </x:c>
      <x:c r="B3971" s="66" t="n">
        <x:v>612</x:v>
      </x:c>
      <x:c r="C3971" s="66" t="str">
        <x:v>UNIVERSITAS PENDIDIKAN GANESHA</x:v>
      </x:c>
      <x:c r="D3971" s="66" t="str">
        <x:v>PTN Akademik</x:v>
      </x:c>
      <x:c r="E3971" s="66" t="str">
        <x:v>16122050</x:v>
      </x:c>
      <x:c r="F3971" s="66" t="str">
        <x:v>TEKNOLOGI REKAYASA PERANGKAT LUNAK</x:v>
      </x:c>
      <x:c r="G3971" s="66" t="str">
        <x:v>Sarjana Terapan</x:v>
      </x:c>
      <x:c r="H3971" s="87" t="n">
        <x:v>28</x:v>
      </x:c>
      <x:c r="I3971" s="87" t="n">
        <x:v>10</x:v>
      </x:c>
      <x:c r="J3971" s="68" t="n">
        <x:f>IFERROR(H3971/I3971,"")</x:f>
        <x:v>2.8</x:v>
      </x:c>
      <x:c r="K3971" s="69" t="n">
        <x:f>IFERROR(I3971/H3971,"")</x:f>
        <x:v>0.35714285714285715</x:v>
      </x:c>
      <x:c r="L3971" s="66" t="str">
        <x:f>IF(K3971="","","1 : "&amp;TEXT(K3971,"0.0"))</x:f>
        <x:v>1 : 0.4</x:v>
      </x:c>
      <x:c r="M3971" s="66" t="str">
        <x:f>IF(J3971="","Baru/Tanpa Data",IF(J3971&lt;='Catatan &amp; Sumber'!$B$14,"Sangat Ketat",IF(J3971&lt;='Catatan &amp; Sumber'!$B$15,"Ketat",IF(J3971&lt;='Catatan &amp; Sumber'!$B$16,"Sedang","Relatif Longgar"))))</x:f>
        <x:v>Relatif Longgar</x:v>
      </x:c>
      <x:c r="N3971" s="66" t="str">
        <x:v>Tidak Ada</x:v>
      </x:c>
      <x:c r="O3971" s="66" t="str">
        <x:v>Bali</x:v>
      </x:c>
      <x:c r="P3971" s="66" t="str">
        <x:v>Kabupaten Buleleng</x:v>
      </x:c>
      <x:c r="Q3971" s="66" t="str">
        <x:v>https://snpmb.id/snbp/daya-tampung-snbp</x:v>
      </x:c>
      <x:c r="R3971" s="66" t="str">
        <x:v>https://sidatagrun-public-1076756628210.asia-southeast2.run.app/ptn_sn.php?ptn=612</x:v>
      </x:c>
    </x:row>
    <x:row r="3972">
      <x:c r="A3972" s="87" t="n">
        <x:v>4841</x:v>
      </x:c>
      <x:c r="B3972" s="66" t="n">
        <x:v>612</x:v>
      </x:c>
      <x:c r="C3972" s="66" t="str">
        <x:v>UNIVERSITAS PENDIDIKAN GANESHA</x:v>
      </x:c>
      <x:c r="D3972" s="66" t="str">
        <x:v>PTN Akademik</x:v>
      </x:c>
      <x:c r="E3972" s="66" t="str">
        <x:v>16122051</x:v>
      </x:c>
      <x:c r="F3972" s="66" t="str">
        <x:v>KIMIA TERAPAN</x:v>
      </x:c>
      <x:c r="G3972" s="66" t="str">
        <x:v>Sarjana Terapan</x:v>
      </x:c>
      <x:c r="H3972" s="87" t="n">
        <x:v>30</x:v>
      </x:c>
      <x:c r="I3972" s="87" t="n">
        <x:v>6</x:v>
      </x:c>
      <x:c r="J3972" s="68" t="n">
        <x:f>IFERROR(H3972/I3972,"")</x:f>
        <x:v>5</x:v>
      </x:c>
      <x:c r="K3972" s="69" t="n">
        <x:f>IFERROR(I3972/H3972,"")</x:f>
        <x:v>0.2</x:v>
      </x:c>
      <x:c r="L3972" s="66" t="str">
        <x:f>IF(K3972="","","1 : "&amp;TEXT(K3972,"0.0"))</x:f>
        <x:v>1 : 0.2</x:v>
      </x:c>
      <x:c r="M3972" s="66" t="str">
        <x:f>IF(J3972="","Baru/Tanpa Data",IF(J3972&lt;='Catatan &amp; Sumber'!$B$14,"Sangat Ketat",IF(J3972&lt;='Catatan &amp; Sumber'!$B$15,"Ketat",IF(J3972&lt;='Catatan &amp; Sumber'!$B$16,"Sedang","Relatif Longgar"))))</x:f>
        <x:v>Relatif Longgar</x:v>
      </x:c>
      <x:c r="N3972" s="66" t="str">
        <x:v>Tidak Ada</x:v>
      </x:c>
      <x:c r="O3972" s="66" t="str">
        <x:v>Bali</x:v>
      </x:c>
      <x:c r="P3972" s="66" t="str">
        <x:v>Kabupaten Buleleng</x:v>
      </x:c>
      <x:c r="Q3972" s="66" t="str">
        <x:v>https://snpmb.id/snbp/daya-tampung-snbp</x:v>
      </x:c>
      <x:c r="R3972" s="66" t="str">
        <x:v>https://sidatagrun-public-1076756628210.asia-southeast2.run.app/ptn_sn.php?ptn=612</x:v>
      </x:c>
    </x:row>
    <x:row r="3973">
      <x:c r="A3973" s="87" t="n">
        <x:v>3640</x:v>
      </x:c>
      <x:c r="B3973" s="66" t="n">
        <x:v>612</x:v>
      </x:c>
      <x:c r="C3973" s="66" t="str">
        <x:v>UNIVERSITAS PENDIDIKAN GANESHA</x:v>
      </x:c>
      <x:c r="D3973" s="66" t="str">
        <x:v>PTN Akademik</x:v>
      </x:c>
      <x:c r="E3973" s="66" t="str">
        <x:v>16122052</x:v>
      </x:c>
      <x:c r="F3973" s="66" t="str">
        <x:v>PENGELOLAAN PERHOTELAN</x:v>
      </x:c>
      <x:c r="G3973" s="66" t="str">
        <x:v>Sarjana Terapan</x:v>
      </x:c>
      <x:c r="H3973" s="87" t="n">
        <x:v>35</x:v>
      </x:c>
      <x:c r="I3973" s="87" t="n">
        <x:v>72</x:v>
      </x:c>
      <x:c r="J3973" s="68" t="n">
        <x:f>IFERROR(H3973/I3973,"")</x:f>
        <x:v>0.4861111111111111</x:v>
      </x:c>
      <x:c r="K3973" s="69" t="n">
        <x:f>IFERROR(I3973/H3973,"")</x:f>
        <x:v>2.057142857142857</x:v>
      </x:c>
      <x:c r="L3973" s="66" t="str">
        <x:f>IF(K3973="","","1 : "&amp;TEXT(K3973,"0.0"))</x:f>
        <x:v>1 : 2.1</x:v>
      </x:c>
      <x:c r="M3973" s="66" t="str">
        <x:f>IF(J3973="","Baru/Tanpa Data",IF(J3973&lt;='Catatan &amp; Sumber'!$B$14,"Sangat Ketat",IF(J3973&lt;='Catatan &amp; Sumber'!$B$15,"Ketat",IF(J3973&lt;='Catatan &amp; Sumber'!$B$16,"Sedang","Relatif Longgar"))))</x:f>
        <x:v>Relatif Longgar</x:v>
      </x:c>
      <x:c r="N3973" s="66" t="str">
        <x:v>Tidak Ada</x:v>
      </x:c>
      <x:c r="O3973" s="66" t="str">
        <x:v>Bali</x:v>
      </x:c>
      <x:c r="P3973" s="66" t="str">
        <x:v>Kabupaten Buleleng</x:v>
      </x:c>
      <x:c r="Q3973" s="66" t="str">
        <x:v>https://snpmb.id/snbp/daya-tampung-snbp</x:v>
      </x:c>
      <x:c r="R3973" s="66" t="str">
        <x:v>https://sidatagrun-public-1076756628210.asia-southeast2.run.app/ptn_sn.php?ptn=612</x:v>
      </x:c>
    </x:row>
    <x:row r="3974">
      <x:c r="A3974" s="87" t="n">
        <x:v>4518</x:v>
      </x:c>
      <x:c r="B3974" s="66" t="n">
        <x:v>612</x:v>
      </x:c>
      <x:c r="C3974" s="66" t="str">
        <x:v>UNIVERSITAS PENDIDIKAN GANESHA</x:v>
      </x:c>
      <x:c r="D3974" s="66" t="str">
        <x:v>PTN Akademik</x:v>
      </x:c>
      <x:c r="E3974" s="66" t="str">
        <x:v>16122053</x:v>
      </x:c>
      <x:c r="F3974" s="66" t="str">
        <x:v>BAHASA INGGRIS UNTUK KOMUNIKASI BISNIS DAN PROFESIONAL</x:v>
      </x:c>
      <x:c r="G3974" s="66" t="str">
        <x:v>Sarjana Terapan</x:v>
      </x:c>
      <x:c r="H3974" s="87" t="n">
        <x:v>90</x:v>
      </x:c>
      <x:c r="I3974" s="87" t="n">
        <x:v>65</x:v>
      </x:c>
      <x:c r="J3974" s="68" t="n">
        <x:f>IFERROR(H3974/I3974,"")</x:f>
        <x:v>1.3846153846153846</x:v>
      </x:c>
      <x:c r="K3974" s="69" t="n">
        <x:f>IFERROR(I3974/H3974,"")</x:f>
        <x:v>0.7222222222222222</x:v>
      </x:c>
      <x:c r="L3974" s="66" t="str">
        <x:f>IF(K3974="","","1 : "&amp;TEXT(K3974,"0.0"))</x:f>
        <x:v>1 : 0.7</x:v>
      </x:c>
      <x:c r="M3974" s="66" t="str">
        <x:f>IF(J3974="","Baru/Tanpa Data",IF(J3974&lt;='Catatan &amp; Sumber'!$B$14,"Sangat Ketat",IF(J3974&lt;='Catatan &amp; Sumber'!$B$15,"Ketat",IF(J3974&lt;='Catatan &amp; Sumber'!$B$16,"Sedang","Relatif Longgar"))))</x:f>
        <x:v>Relatif Longgar</x:v>
      </x:c>
      <x:c r="N3974" s="66" t="str">
        <x:v>Tidak Ada</x:v>
      </x:c>
      <x:c r="O3974" s="66" t="str">
        <x:v>Bali</x:v>
      </x:c>
      <x:c r="P3974" s="66" t="str">
        <x:v>Kabupaten Buleleng</x:v>
      </x:c>
      <x:c r="Q3974" s="66" t="str">
        <x:v>https://snpmb.id/snbp/daya-tampung-snbp</x:v>
      </x:c>
      <x:c r="R3974" s="66" t="str">
        <x:v>https://sidatagrun-public-1076756628210.asia-southeast2.run.app/ptn_sn.php?ptn=612</x:v>
      </x:c>
    </x:row>
    <x:row r="3975">
      <x:c r="A3975" s="87" t="n">
        <x:v>4366</x:v>
      </x:c>
      <x:c r="B3975" s="66" t="n">
        <x:v>612</x:v>
      </x:c>
      <x:c r="C3975" s="66" t="str">
        <x:v>UNIVERSITAS PENDIDIKAN GANESHA</x:v>
      </x:c>
      <x:c r="D3975" s="66" t="str">
        <x:v>PTN Akademik</x:v>
      </x:c>
      <x:c r="E3975" s="66" t="str">
        <x:v>16122054</x:v>
      </x:c>
      <x:c r="F3975" s="66" t="str">
        <x:v>AKUNTANSI SEKTOR PUBLIK</x:v>
      </x:c>
      <x:c r="G3975" s="66" t="str">
        <x:v>Sarjana Terapan</x:v>
      </x:c>
      <x:c r="H3975" s="87" t="n">
        <x:v>30</x:v>
      </x:c>
      <x:c r="I3975" s="87" t="n">
        <x:v>28</x:v>
      </x:c>
      <x:c r="J3975" s="68" t="n">
        <x:f>IFERROR(H3975/I3975,"")</x:f>
        <x:v>1.0714285714285714</x:v>
      </x:c>
      <x:c r="K3975" s="69" t="n">
        <x:f>IFERROR(I3975/H3975,"")</x:f>
        <x:v>0.9333333333333333</x:v>
      </x:c>
      <x:c r="L3975" s="66" t="str">
        <x:f>IF(K3975="","","1 : "&amp;TEXT(K3975,"0.0"))</x:f>
        <x:v>1 : 0.9</x:v>
      </x:c>
      <x:c r="M3975" s="66" t="str">
        <x:f>IF(J3975="","Baru/Tanpa Data",IF(J3975&lt;='Catatan &amp; Sumber'!$B$14,"Sangat Ketat",IF(J3975&lt;='Catatan &amp; Sumber'!$B$15,"Ketat",IF(J3975&lt;='Catatan &amp; Sumber'!$B$16,"Sedang","Relatif Longgar"))))</x:f>
        <x:v>Relatif Longgar</x:v>
      </x:c>
      <x:c r="N3975" s="66" t="str">
        <x:v>Tidak Ada</x:v>
      </x:c>
      <x:c r="O3975" s="66" t="str">
        <x:v>Bali</x:v>
      </x:c>
      <x:c r="P3975" s="66" t="str">
        <x:v>Kabupaten Buleleng</x:v>
      </x:c>
      <x:c r="Q3975" s="66" t="str">
        <x:v>https://snpmb.id/snbp/daya-tampung-snbp</x:v>
      </x:c>
      <x:c r="R3975" s="66" t="str">
        <x:v>https://sidatagrun-public-1076756628210.asia-southeast2.run.app/ptn_sn.php?ptn=612</x:v>
      </x:c>
    </x:row>
    <x:row r="3976">
      <x:c r="A3976" s="87" t="n">
        <x:v>4786</x:v>
      </x:c>
      <x:c r="B3976" s="66" t="n">
        <x:v>612</x:v>
      </x:c>
      <x:c r="C3976" s="66" t="str">
        <x:v>UNIVERSITAS PENDIDIKAN GANESHA</x:v>
      </x:c>
      <x:c r="D3976" s="66" t="str">
        <x:v>PTN Akademik</x:v>
      </x:c>
      <x:c r="E3976" s="66" t="str">
        <x:v>16122055</x:v>
      </x:c>
      <x:c r="F3976" s="66" t="str">
        <x:v>BIOTEKNOLOGI PERIKANAN</x:v>
      </x:c>
      <x:c r="G3976" s="66" t="str">
        <x:v>Sarjana Terapan</x:v>
      </x:c>
      <x:c r="H3976" s="87" t="n">
        <x:v>30</x:v>
      </x:c>
      <x:c r="I3976" s="87" t="n">
        <x:v>9</x:v>
      </x:c>
      <x:c r="J3976" s="68" t="n">
        <x:f>IFERROR(H3976/I3976,"")</x:f>
        <x:v>3.3333333333333335</x:v>
      </x:c>
      <x:c r="K3976" s="69" t="n">
        <x:f>IFERROR(I3976/H3976,"")</x:f>
        <x:v>0.3</x:v>
      </x:c>
      <x:c r="L3976" s="66" t="str">
        <x:f>IF(K3976="","","1 : "&amp;TEXT(K3976,"0.0"))</x:f>
        <x:v>1 : 0.3</x:v>
      </x:c>
      <x:c r="M3976" s="66" t="str">
        <x:f>IF(J3976="","Baru/Tanpa Data",IF(J3976&lt;='Catatan &amp; Sumber'!$B$14,"Sangat Ketat",IF(J3976&lt;='Catatan &amp; Sumber'!$B$15,"Ketat",IF(J3976&lt;='Catatan &amp; Sumber'!$B$16,"Sedang","Relatif Longgar"))))</x:f>
        <x:v>Relatif Longgar</x:v>
      </x:c>
      <x:c r="N3976" s="66" t="str">
        <x:v>Tidak Ada</x:v>
      </x:c>
      <x:c r="O3976" s="66" t="str">
        <x:v>Bali</x:v>
      </x:c>
      <x:c r="P3976" s="66" t="str">
        <x:v>Kabupaten Buleleng</x:v>
      </x:c>
      <x:c r="Q3976" s="66" t="str">
        <x:v>https://snpmb.id/snbp/daya-tampung-snbp</x:v>
      </x:c>
      <x:c r="R3976" s="66" t="str">
        <x:v>https://sidatagrun-public-1076756628210.asia-southeast2.run.app/ptn_sn.php?ptn=612</x:v>
      </x:c>
    </x:row>
    <x:row r="3977">
      <x:c r="A3977" s="87" t="n">
        <x:v>4359</x:v>
      </x:c>
      <x:c r="B3977" s="66" t="n">
        <x:v>612</x:v>
      </x:c>
      <x:c r="C3977" s="66" t="str">
        <x:v>UNIVERSITAS PENDIDIKAN GANESHA</x:v>
      </x:c>
      <x:c r="D3977" s="66" t="str">
        <x:v>PTN Akademik</x:v>
      </x:c>
      <x:c r="E3977" s="66" t="str">
        <x:v>16123046</x:v>
      </x:c>
      <x:c r="F3977" s="66" t="str">
        <x:v>KEBIDANAN</x:v>
      </x:c>
      <x:c r="G3977" s="66" t="str">
        <x:v>Diploma Tiga</x:v>
      </x:c>
      <x:c r="H3977" s="87" t="n">
        <x:v>38</x:v>
      </x:c>
      <x:c r="I3977" s="87" t="n">
        <x:v>36</x:v>
      </x:c>
      <x:c r="J3977" s="68" t="n">
        <x:f>IFERROR(H3977/I3977,"")</x:f>
        <x:v>1.0555555555555556</x:v>
      </x:c>
      <x:c r="K3977" s="69" t="n">
        <x:f>IFERROR(I3977/H3977,"")</x:f>
        <x:v>0.9473684210526315</x:v>
      </x:c>
      <x:c r="L3977" s="66" t="str">
        <x:f>IF(K3977="","","1 : "&amp;TEXT(K3977,"0.0"))</x:f>
        <x:v>1 : 0.9</x:v>
      </x:c>
      <x:c r="M3977" s="66" t="str">
        <x:f>IF(J3977="","Baru/Tanpa Data",IF(J3977&lt;='Catatan &amp; Sumber'!$B$14,"Sangat Ketat",IF(J3977&lt;='Catatan &amp; Sumber'!$B$15,"Ketat",IF(J3977&lt;='Catatan &amp; Sumber'!$B$16,"Sedang","Relatif Longgar"))))</x:f>
        <x:v>Relatif Longgar</x:v>
      </x:c>
      <x:c r="N3977" s="66" t="str">
        <x:v>Tidak Ada</x:v>
      </x:c>
      <x:c r="O3977" s="66" t="str">
        <x:v>Bali</x:v>
      </x:c>
      <x:c r="P3977" s="66" t="str">
        <x:v>Kabupaten Buleleng</x:v>
      </x:c>
      <x:c r="Q3977" s="66" t="str">
        <x:v>https://snpmb.id/snbp/daya-tampung-snbp</x:v>
      </x:c>
      <x:c r="R3977" s="66" t="str">
        <x:v>https://sidatagrun-public-1076756628210.asia-southeast2.run.app/ptn_sn.php?ptn=612</x:v>
      </x:c>
    </x:row>
    <x:row r="3978">
      <x:c r="A3978" s="87" t="n">
        <x:v>4389</x:v>
      </x:c>
      <x:c r="B3978" s="66" t="n">
        <x:v>612</x:v>
      </x:c>
      <x:c r="C3978" s="66" t="str">
        <x:v>UNIVERSITAS PENDIDIKAN GANESHA</x:v>
      </x:c>
      <x:c r="D3978" s="66" t="str">
        <x:v>PTN Akademik</x:v>
      </x:c>
      <x:c r="E3978" s="66" t="str">
        <x:v>16123048</x:v>
      </x:c>
      <x:c r="F3978" s="66" t="str">
        <x:v>DESAIN KOMUNIKASI VISUAL</x:v>
      </x:c>
      <x:c r="G3978" s="66" t="str">
        <x:v>Diploma Tiga</x:v>
      </x:c>
      <x:c r="H3978" s="87" t="n">
        <x:v>45</x:v>
      </x:c>
      <x:c r="I3978" s="87" t="n">
        <x:v>41</x:v>
      </x:c>
      <x:c r="J3978" s="68" t="n">
        <x:f>IFERROR(H3978/I3978,"")</x:f>
        <x:v>1.0975609756097562</x:v>
      </x:c>
      <x:c r="K3978" s="69" t="n">
        <x:f>IFERROR(I3978/H3978,"")</x:f>
        <x:v>0.9111111111111111</x:v>
      </x:c>
      <x:c r="L3978" s="66" t="str">
        <x:f>IF(K3978="","","1 : "&amp;TEXT(K3978,"0.0"))</x:f>
        <x:v>1 : 0.9</x:v>
      </x:c>
      <x:c r="M3978" s="66" t="str">
        <x:f>IF(J3978="","Baru/Tanpa Data",IF(J3978&lt;='Catatan &amp; Sumber'!$B$14,"Sangat Ketat",IF(J3978&lt;='Catatan &amp; Sumber'!$B$15,"Ketat",IF(J3978&lt;='Catatan &amp; Sumber'!$B$16,"Sedang","Relatif Longgar"))))</x:f>
        <x:v>Relatif Longgar</x:v>
      </x:c>
      <x:c r="N3978" s="66" t="str">
        <x:v>Seni Rupa, Desain, dan Kriya</x:v>
      </x:c>
      <x:c r="O3978" s="66" t="str">
        <x:v>Bali</x:v>
      </x:c>
      <x:c r="P3978" s="66" t="str">
        <x:v>Kabupaten Buleleng</x:v>
      </x:c>
      <x:c r="Q3978" s="66" t="str">
        <x:v>https://snpmb.id/snbp/daya-tampung-snbp</x:v>
      </x:c>
      <x:c r="R3978" s="66" t="str">
        <x:v>https://sidatagrun-public-1076756628210.asia-southeast2.run.app/ptn_sn.php?ptn=612</x:v>
      </x:c>
    </x:row>
    <x:row r="3979">
      <x:c r="A3979" s="87" t="n">
        <x:v>4781</x:v>
      </x:c>
      <x:c r="B3979" s="66" t="n">
        <x:v>612</x:v>
      </x:c>
      <x:c r="C3979" s="66" t="str">
        <x:v>UNIVERSITAS PENDIDIKAN GANESHA</x:v>
      </x:c>
      <x:c r="D3979" s="66" t="str">
        <x:v>PTN Akademik</x:v>
      </x:c>
      <x:c r="E3979" s="66" t="str">
        <x:v>16123049</x:v>
      </x:c>
      <x:c r="F3979" s="66" t="str">
        <x:v>PERPUSTAKAAN</x:v>
      </x:c>
      <x:c r="G3979" s="66" t="str">
        <x:v>Diploma Tiga</x:v>
      </x:c>
      <x:c r="H3979" s="87" t="n">
        <x:v>40</x:v>
      </x:c>
      <x:c r="I3979" s="87" t="n">
        <x:v>13</x:v>
      </x:c>
      <x:c r="J3979" s="68" t="n">
        <x:f>IFERROR(H3979/I3979,"")</x:f>
        <x:v>3.076923076923077</x:v>
      </x:c>
      <x:c r="K3979" s="69" t="n">
        <x:f>IFERROR(I3979/H3979,"")</x:f>
        <x:v>0.325</x:v>
      </x:c>
      <x:c r="L3979" s="66" t="str">
        <x:f>IF(K3979="","","1 : "&amp;TEXT(K3979,"0.0"))</x:f>
        <x:v>1 : 0.3</x:v>
      </x:c>
      <x:c r="M3979" s="66" t="str">
        <x:f>IF(J3979="","Baru/Tanpa Data",IF(J3979&lt;='Catatan &amp; Sumber'!$B$14,"Sangat Ketat",IF(J3979&lt;='Catatan &amp; Sumber'!$B$15,"Ketat",IF(J3979&lt;='Catatan &amp; Sumber'!$B$16,"Sedang","Relatif Longgar"))))</x:f>
        <x:v>Relatif Longgar</x:v>
      </x:c>
      <x:c r="N3979" s="66" t="str">
        <x:v>Tidak Ada</x:v>
      </x:c>
      <x:c r="O3979" s="66" t="str">
        <x:v>Bali</x:v>
      </x:c>
      <x:c r="P3979" s="66" t="str">
        <x:v>Kabupaten Buleleng</x:v>
      </x:c>
      <x:c r="Q3979" s="66" t="str">
        <x:v>https://snpmb.id/snbp/daya-tampung-snbp</x:v>
      </x:c>
      <x:c r="R3979" s="66" t="str">
        <x:v>https://sidatagrun-public-1076756628210.asia-southeast2.run.app/ptn_sn.php?ptn=612</x:v>
      </x:c>
    </x:row>
    <x:row r="3980">
      <x:c r="A3980" s="87" t="n">
        <x:v>3995</x:v>
      </x:c>
      <x:c r="B3980" s="66" t="n">
        <x:v>613</x:v>
      </x:c>
      <x:c r="C3980" s="66" t="str">
        <x:v>ISI BALI</x:v>
      </x:c>
      <x:c r="D3980" s="66" t="str">
        <x:v>PTN Akademik</x:v>
      </x:c>
      <x:c r="E3980" s="66" t="str">
        <x:v>16131001</x:v>
      </x:c>
      <x:c r="F3980" s="66" t="str">
        <x:v>TARI</x:v>
      </x:c>
      <x:c r="G3980" s="66" t="str">
        <x:v>Sarjana</x:v>
      </x:c>
      <x:c r="H3980" s="87" t="n">
        <x:v>26</x:v>
      </x:c>
      <x:c r="I3980" s="87" t="n">
        <x:v>38</x:v>
      </x:c>
      <x:c r="J3980" s="68" t="n">
        <x:f>IFERROR(H3980/I3980,"")</x:f>
        <x:v>0.6842105263157895</x:v>
      </x:c>
      <x:c r="K3980" s="69" t="n">
        <x:f>IFERROR(I3980/H3980,"")</x:f>
        <x:v>1.4615384615384615</x:v>
      </x:c>
      <x:c r="L3980" s="66" t="str">
        <x:f>IF(K3980="","","1 : "&amp;TEXT(K3980,"0.0"))</x:f>
        <x:v>1 : 1.5</x:v>
      </x:c>
      <x:c r="M3980" s="66" t="str">
        <x:f>IF(J3980="","Baru/Tanpa Data",IF(J3980&lt;='Catatan &amp; Sumber'!$B$14,"Sangat Ketat",IF(J3980&lt;='Catatan &amp; Sumber'!$B$15,"Ketat",IF(J3980&lt;='Catatan &amp; Sumber'!$B$16,"Sedang","Relatif Longgar"))))</x:f>
        <x:v>Relatif Longgar</x:v>
      </x:c>
      <x:c r="N3980" s="66" t="str">
        <x:v>Tari</x:v>
      </x:c>
      <x:c r="O3980" s="66" t="str">
        <x:v>Bali</x:v>
      </x:c>
      <x:c r="P3980" s="66" t="str">
        <x:v>Kota Denpasar</x:v>
      </x:c>
      <x:c r="Q3980" s="66" t="str">
        <x:v>https://snpmb.id/snbp/daya-tampung-snbp</x:v>
      </x:c>
      <x:c r="R3980" s="66" t="str">
        <x:v>https://sidatagrun-public-1076756628210.asia-southeast2.run.app/ptn_sn.php?ptn=613</x:v>
      </x:c>
    </x:row>
    <x:row r="3981">
      <x:c r="A3981" s="87" t="n">
        <x:v>4577</x:v>
      </x:c>
      <x:c r="B3981" s="66" t="n">
        <x:v>613</x:v>
      </x:c>
      <x:c r="C3981" s="66" t="str">
        <x:v>ISI BALI</x:v>
      </x:c>
      <x:c r="D3981" s="66" t="str">
        <x:v>PTN Akademik</x:v>
      </x:c>
      <x:c r="E3981" s="66" t="str">
        <x:v>16131002</x:v>
      </x:c>
      <x:c r="F3981" s="66" t="str">
        <x:v>SENI KARAWITAN</x:v>
      </x:c>
      <x:c r="G3981" s="66" t="str">
        <x:v>Sarjana</x:v>
      </x:c>
      <x:c r="H3981" s="87" t="n">
        <x:v>25</x:v>
      </x:c>
      <x:c r="I3981" s="87" t="n">
        <x:v>16</x:v>
      </x:c>
      <x:c r="J3981" s="68" t="n">
        <x:f>IFERROR(H3981/I3981,"")</x:f>
        <x:v>1.5625</x:v>
      </x:c>
      <x:c r="K3981" s="69" t="n">
        <x:f>IFERROR(I3981/H3981,"")</x:f>
        <x:v>0.64</x:v>
      </x:c>
      <x:c r="L3981" s="66" t="str">
        <x:f>IF(K3981="","","1 : "&amp;TEXT(K3981,"0.0"))</x:f>
        <x:v>1 : 0.6</x:v>
      </x:c>
      <x:c r="M3981" s="66" t="str">
        <x:f>IF(J3981="","Baru/Tanpa Data",IF(J3981&lt;='Catatan &amp; Sumber'!$B$14,"Sangat Ketat",IF(J3981&lt;='Catatan &amp; Sumber'!$B$15,"Ketat",IF(J3981&lt;='Catatan &amp; Sumber'!$B$16,"Sedang","Relatif Longgar"))))</x:f>
        <x:v>Relatif Longgar</x:v>
      </x:c>
      <x:c r="N3981" s="66" t="str">
        <x:v>Seni Karawitan</x:v>
      </x:c>
      <x:c r="O3981" s="66" t="str">
        <x:v>Bali</x:v>
      </x:c>
      <x:c r="P3981" s="66" t="str">
        <x:v>Kota Denpasar</x:v>
      </x:c>
      <x:c r="Q3981" s="66" t="str">
        <x:v>https://snpmb.id/snbp/daya-tampung-snbp</x:v>
      </x:c>
      <x:c r="R3981" s="66" t="str">
        <x:v>https://sidatagrun-public-1076756628210.asia-southeast2.run.app/ptn_sn.php?ptn=613</x:v>
      </x:c>
    </x:row>
    <x:row r="3982">
      <x:c r="A3982" s="87" t="n">
        <x:v>4248</x:v>
      </x:c>
      <x:c r="B3982" s="66" t="n">
        <x:v>613</x:v>
      </x:c>
      <x:c r="C3982" s="66" t="str">
        <x:v>ISI BALI</x:v>
      </x:c>
      <x:c r="D3982" s="66" t="str">
        <x:v>PTN Akademik</x:v>
      </x:c>
      <x:c r="E3982" s="66" t="str">
        <x:v>16131003</x:v>
      </x:c>
      <x:c r="F3982" s="66" t="str">
        <x:v>PENDIDIKAN SENI PERTUNJUKAN</x:v>
      </x:c>
      <x:c r="G3982" s="66" t="str">
        <x:v>Sarjana</x:v>
      </x:c>
      <x:c r="H3982" s="87" t="n">
        <x:v>46</x:v>
      </x:c>
      <x:c r="I3982" s="87" t="n">
        <x:v>51</x:v>
      </x:c>
      <x:c r="J3982" s="68" t="n">
        <x:f>IFERROR(H3982/I3982,"")</x:f>
        <x:v>0.9019607843137255</x:v>
      </x:c>
      <x:c r="K3982" s="69" t="n">
        <x:f>IFERROR(I3982/H3982,"")</x:f>
        <x:v>1.108695652173913</x:v>
      </x:c>
      <x:c r="L3982" s="66" t="str">
        <x:f>IF(K3982="","","1 : "&amp;TEXT(K3982,"0.0"))</x:f>
        <x:v>1 : 1.1</x:v>
      </x:c>
      <x:c r="M3982" s="66" t="str">
        <x:f>IF(J3982="","Baru/Tanpa Data",IF(J3982&lt;='Catatan &amp; Sumber'!$B$14,"Sangat Ketat",IF(J3982&lt;='Catatan &amp; Sumber'!$B$15,"Ketat",IF(J3982&lt;='Catatan &amp; Sumber'!$B$16,"Sedang","Relatif Longgar"))))</x:f>
        <x:v>Relatif Longgar</x:v>
      </x:c>
      <x:c r="N3982" s="66" t="str">
        <x:v>Sendratasik</x:v>
      </x:c>
      <x:c r="O3982" s="66" t="str">
        <x:v>Bali</x:v>
      </x:c>
      <x:c r="P3982" s="66" t="str">
        <x:v>Kota Denpasar</x:v>
      </x:c>
      <x:c r="Q3982" s="66" t="str">
        <x:v>https://snpmb.id/snbp/daya-tampung-snbp</x:v>
      </x:c>
      <x:c r="R3982" s="66" t="str">
        <x:v>https://sidatagrun-public-1076756628210.asia-southeast2.run.app/ptn_sn.php?ptn=613</x:v>
      </x:c>
    </x:row>
    <x:row r="3983">
      <x:c r="A3983" s="87" t="n">
        <x:v>3924</x:v>
      </x:c>
      <x:c r="B3983" s="66" t="n">
        <x:v>613</x:v>
      </x:c>
      <x:c r="C3983" s="66" t="str">
        <x:v>ISI BALI</x:v>
      </x:c>
      <x:c r="D3983" s="66" t="str">
        <x:v>PTN Akademik</x:v>
      </x:c>
      <x:c r="E3983" s="66" t="str">
        <x:v>16131004</x:v>
      </x:c>
      <x:c r="F3983" s="66" t="str">
        <x:v>MUSIK</x:v>
      </x:c>
      <x:c r="G3983" s="66" t="str">
        <x:v>Sarjana</x:v>
      </x:c>
      <x:c r="H3983" s="87" t="n">
        <x:v>32</x:v>
      </x:c>
      <x:c r="I3983" s="87" t="n">
        <x:v>50</x:v>
      </x:c>
      <x:c r="J3983" s="68" t="n">
        <x:f>IFERROR(H3983/I3983,"")</x:f>
        <x:v>0.64</x:v>
      </x:c>
      <x:c r="K3983" s="69" t="n">
        <x:f>IFERROR(I3983/H3983,"")</x:f>
        <x:v>1.5625</x:v>
      </x:c>
      <x:c r="L3983" s="66" t="str">
        <x:f>IF(K3983="","","1 : "&amp;TEXT(K3983,"0.0"))</x:f>
        <x:v>1 : 1.6</x:v>
      </x:c>
      <x:c r="M3983" s="66" t="str">
        <x:f>IF(J3983="","Baru/Tanpa Data",IF(J3983&lt;='Catatan &amp; Sumber'!$B$14,"Sangat Ketat",IF(J3983&lt;='Catatan &amp; Sumber'!$B$15,"Ketat",IF(J3983&lt;='Catatan &amp; Sumber'!$B$16,"Sedang","Relatif Longgar"))))</x:f>
        <x:v>Relatif Longgar</x:v>
      </x:c>
      <x:c r="N3983" s="66" t="str">
        <x:v>Musik</x:v>
      </x:c>
      <x:c r="O3983" s="66" t="str">
        <x:v>Bali</x:v>
      </x:c>
      <x:c r="P3983" s="66" t="str">
        <x:v>Kota Denpasar</x:v>
      </x:c>
      <x:c r="Q3983" s="66" t="str">
        <x:v>https://snpmb.id/snbp/daya-tampung-snbp</x:v>
      </x:c>
      <x:c r="R3983" s="66" t="str">
        <x:v>https://sidatagrun-public-1076756628210.asia-southeast2.run.app/ptn_sn.php?ptn=613</x:v>
      </x:c>
    </x:row>
    <x:row r="3984">
      <x:c r="A3984" s="87" t="n">
        <x:v>4477</x:v>
      </x:c>
      <x:c r="B3984" s="66" t="n">
        <x:v>613</x:v>
      </x:c>
      <x:c r="C3984" s="66" t="str">
        <x:v>ISI BALI</x:v>
      </x:c>
      <x:c r="D3984" s="66" t="str">
        <x:v>PTN Akademik</x:v>
      </x:c>
      <x:c r="E3984" s="66" t="str">
        <x:v>16131005</x:v>
      </x:c>
      <x:c r="F3984" s="66" t="str">
        <x:v>SENI MURNI</x:v>
      </x:c>
      <x:c r="G3984" s="66" t="str">
        <x:v>Sarjana</x:v>
      </x:c>
      <x:c r="H3984" s="87" t="n">
        <x:v>32</x:v>
      </x:c>
      <x:c r="I3984" s="87" t="n">
        <x:v>25</x:v>
      </x:c>
      <x:c r="J3984" s="68" t="n">
        <x:f>IFERROR(H3984/I3984,"")</x:f>
        <x:v>1.28</x:v>
      </x:c>
      <x:c r="K3984" s="69" t="n">
        <x:f>IFERROR(I3984/H3984,"")</x:f>
        <x:v>0.78125</x:v>
      </x:c>
      <x:c r="L3984" s="66" t="str">
        <x:f>IF(K3984="","","1 : "&amp;TEXT(K3984,"0.0"))</x:f>
        <x:v>1 : 0.8</x:v>
      </x:c>
      <x:c r="M3984" s="66" t="str">
        <x:f>IF(J3984="","Baru/Tanpa Data",IF(J3984&lt;='Catatan &amp; Sumber'!$B$14,"Sangat Ketat",IF(J3984&lt;='Catatan &amp; Sumber'!$B$15,"Ketat",IF(J3984&lt;='Catatan &amp; Sumber'!$B$16,"Sedang","Relatif Longgar"))))</x:f>
        <x:v>Relatif Longgar</x:v>
      </x:c>
      <x:c r="N3984" s="66" t="str">
        <x:v>Seni Rupa, Desain, dan Kriya</x:v>
      </x:c>
      <x:c r="O3984" s="66" t="str">
        <x:v>Bali</x:v>
      </x:c>
      <x:c r="P3984" s="66" t="str">
        <x:v>Kota Denpasar</x:v>
      </x:c>
      <x:c r="Q3984" s="66" t="str">
        <x:v>https://snpmb.id/snbp/daya-tampung-snbp</x:v>
      </x:c>
      <x:c r="R3984" s="66" t="str">
        <x:v>https://sidatagrun-public-1076756628210.asia-southeast2.run.app/ptn_sn.php?ptn=613</x:v>
      </x:c>
    </x:row>
    <x:row r="3985">
      <x:c r="A3985" s="87" t="n">
        <x:v>4055</x:v>
      </x:c>
      <x:c r="B3985" s="66" t="n">
        <x:v>613</x:v>
      </x:c>
      <x:c r="C3985" s="66" t="str">
        <x:v>ISI BALI</x:v>
      </x:c>
      <x:c r="D3985" s="66" t="str">
        <x:v>PTN Akademik</x:v>
      </x:c>
      <x:c r="E3985" s="66" t="str">
        <x:v>16131006</x:v>
      </x:c>
      <x:c r="F3985" s="66" t="str">
        <x:v>DESAIN INTERIOR</x:v>
      </x:c>
      <x:c r="G3985" s="66" t="str">
        <x:v>Sarjana</x:v>
      </x:c>
      <x:c r="H3985" s="87" t="n">
        <x:v>52</x:v>
      </x:c>
      <x:c r="I3985" s="87" t="n">
        <x:v>72</x:v>
      </x:c>
      <x:c r="J3985" s="68" t="n">
        <x:f>IFERROR(H3985/I3985,"")</x:f>
        <x:v>0.7222222222222222</x:v>
      </x:c>
      <x:c r="K3985" s="69" t="n">
        <x:f>IFERROR(I3985/H3985,"")</x:f>
        <x:v>1.3846153846153846</x:v>
      </x:c>
      <x:c r="L3985" s="66" t="str">
        <x:f>IF(K3985="","","1 : "&amp;TEXT(K3985,"0.0"))</x:f>
        <x:v>1 : 1.4</x:v>
      </x:c>
      <x:c r="M3985" s="66" t="str">
        <x:f>IF(J3985="","Baru/Tanpa Data",IF(J3985&lt;='Catatan &amp; Sumber'!$B$14,"Sangat Ketat",IF(J3985&lt;='Catatan &amp; Sumber'!$B$15,"Ketat",IF(J3985&lt;='Catatan &amp; Sumber'!$B$16,"Sedang","Relatif Longgar"))))</x:f>
        <x:v>Relatif Longgar</x:v>
      </x:c>
      <x:c r="N3985" s="66" t="str">
        <x:v>Seni Rupa, Desain, dan Kriya</x:v>
      </x:c>
      <x:c r="O3985" s="66" t="str">
        <x:v>Bali</x:v>
      </x:c>
      <x:c r="P3985" s="66" t="str">
        <x:v>Kota Denpasar</x:v>
      </x:c>
      <x:c r="Q3985" s="66" t="str">
        <x:v>https://snpmb.id/snbp/daya-tampung-snbp</x:v>
      </x:c>
      <x:c r="R3985" s="66" t="str">
        <x:v>https://sidatagrun-public-1076756628210.asia-southeast2.run.app/ptn_sn.php?ptn=613</x:v>
      </x:c>
    </x:row>
    <x:row r="3986">
      <x:c r="A3986" s="87" t="n">
        <x:v>3740</x:v>
      </x:c>
      <x:c r="B3986" s="66" t="n">
        <x:v>613</x:v>
      </x:c>
      <x:c r="C3986" s="66" t="str">
        <x:v>ISI BALI</x:v>
      </x:c>
      <x:c r="D3986" s="66" t="str">
        <x:v>PTN Akademik</x:v>
      </x:c>
      <x:c r="E3986" s="66" t="str">
        <x:v>16131007</x:v>
      </x:c>
      <x:c r="F3986" s="66" t="str">
        <x:v>DESAIN KOMUNIKASI VISUAL</x:v>
      </x:c>
      <x:c r="G3986" s="66" t="str">
        <x:v>Sarjana</x:v>
      </x:c>
      <x:c r="H3986" s="87" t="n">
        <x:v>117</x:v>
      </x:c>
      <x:c r="I3986" s="87" t="n">
        <x:v>217</x:v>
      </x:c>
      <x:c r="J3986" s="68" t="n">
        <x:f>IFERROR(H3986/I3986,"")</x:f>
        <x:v>0.5391705069124424</x:v>
      </x:c>
      <x:c r="K3986" s="69" t="n">
        <x:f>IFERROR(I3986/H3986,"")</x:f>
        <x:v>1.8547008547008548</x:v>
      </x:c>
      <x:c r="L3986" s="66" t="str">
        <x:f>IF(K3986="","","1 : "&amp;TEXT(K3986,"0.0"))</x:f>
        <x:v>1 : 1.9</x:v>
      </x:c>
      <x:c r="M3986" s="66" t="str">
        <x:f>IF(J3986="","Baru/Tanpa Data",IF(J3986&lt;='Catatan &amp; Sumber'!$B$14,"Sangat Ketat",IF(J3986&lt;='Catatan &amp; Sumber'!$B$15,"Ketat",IF(J3986&lt;='Catatan &amp; Sumber'!$B$16,"Sedang","Relatif Longgar"))))</x:f>
        <x:v>Relatif Longgar</x:v>
      </x:c>
      <x:c r="N3986" s="66" t="str">
        <x:v>Seni Rupa, Desain, dan Kriya</x:v>
      </x:c>
      <x:c r="O3986" s="66" t="str">
        <x:v>Bali</x:v>
      </x:c>
      <x:c r="P3986" s="66" t="str">
        <x:v>Kota Denpasar</x:v>
      </x:c>
      <x:c r="Q3986" s="66" t="str">
        <x:v>https://snpmb.id/snbp/daya-tampung-snbp</x:v>
      </x:c>
      <x:c r="R3986" s="66" t="str">
        <x:v>https://sidatagrun-public-1076756628210.asia-southeast2.run.app/ptn_sn.php?ptn=613</x:v>
      </x:c>
    </x:row>
    <x:row r="3987">
      <x:c r="A3987" s="87" t="n">
        <x:v>4812</x:v>
      </x:c>
      <x:c r="B3987" s="66" t="n">
        <x:v>613</x:v>
      </x:c>
      <x:c r="C3987" s="66" t="str">
        <x:v>ISI BALI</x:v>
      </x:c>
      <x:c r="D3987" s="66" t="str">
        <x:v>PTN Akademik</x:v>
      </x:c>
      <x:c r="E3987" s="66" t="str">
        <x:v>16131008</x:v>
      </x:c>
      <x:c r="F3987" s="66" t="str">
        <x:v>KRIYA</x:v>
      </x:c>
      <x:c r="G3987" s="66" t="str">
        <x:v>Sarjana</x:v>
      </x:c>
      <x:c r="H3987" s="87" t="n">
        <x:v>8</x:v>
      </x:c>
      <x:c r="I3987" s="87" t="n">
        <x:v>2</x:v>
      </x:c>
      <x:c r="J3987" s="68" t="n">
        <x:f>IFERROR(H3987/I3987,"")</x:f>
        <x:v>4</x:v>
      </x:c>
      <x:c r="K3987" s="69" t="n">
        <x:f>IFERROR(I3987/H3987,"")</x:f>
        <x:v>0.25</x:v>
      </x:c>
      <x:c r="L3987" s="66" t="str">
        <x:f>IF(K3987="","","1 : "&amp;TEXT(K3987,"0.0"))</x:f>
        <x:v>1 : 0.3</x:v>
      </x:c>
      <x:c r="M3987" s="66" t="str">
        <x:f>IF(J3987="","Baru/Tanpa Data",IF(J3987&lt;='Catatan &amp; Sumber'!$B$14,"Sangat Ketat",IF(J3987&lt;='Catatan &amp; Sumber'!$B$15,"Ketat",IF(J3987&lt;='Catatan &amp; Sumber'!$B$16,"Sedang","Relatif Longgar"))))</x:f>
        <x:v>Relatif Longgar</x:v>
      </x:c>
      <x:c r="N3987" s="66" t="str">
        <x:v>Seni Rupa, Desain, dan Kriya</x:v>
      </x:c>
      <x:c r="O3987" s="66" t="str">
        <x:v>Bali</x:v>
      </x:c>
      <x:c r="P3987" s="66" t="str">
        <x:v>Kota Denpasar</x:v>
      </x:c>
      <x:c r="Q3987" s="66" t="str">
        <x:v>https://snpmb.id/snbp/daya-tampung-snbp</x:v>
      </x:c>
      <x:c r="R3987" s="66" t="str">
        <x:v>https://sidatagrun-public-1076756628210.asia-southeast2.run.app/ptn_sn.php?ptn=613</x:v>
      </x:c>
    </x:row>
    <x:row r="3988">
      <x:c r="A3988" s="87" t="n">
        <x:v>4103</x:v>
      </x:c>
      <x:c r="B3988" s="66" t="n">
        <x:v>613</x:v>
      </x:c>
      <x:c r="C3988" s="66" t="str">
        <x:v>ISI BALI</x:v>
      </x:c>
      <x:c r="D3988" s="66" t="str">
        <x:v>PTN Akademik</x:v>
      </x:c>
      <x:c r="E3988" s="66" t="str">
        <x:v>16131009</x:v>
      </x:c>
      <x:c r="F3988" s="66" t="str">
        <x:v>FOTOGRAFI</x:v>
      </x:c>
      <x:c r="G3988" s="66" t="str">
        <x:v>Sarjana</x:v>
      </x:c>
      <x:c r="H3988" s="87" t="n">
        <x:v>43</x:v>
      </x:c>
      <x:c r="I3988" s="87" t="n">
        <x:v>57</x:v>
      </x:c>
      <x:c r="J3988" s="68" t="n">
        <x:f>IFERROR(H3988/I3988,"")</x:f>
        <x:v>0.7543859649122807</x:v>
      </x:c>
      <x:c r="K3988" s="69" t="n">
        <x:f>IFERROR(I3988/H3988,"")</x:f>
        <x:v>1.3255813953488371</x:v>
      </x:c>
      <x:c r="L3988" s="66" t="str">
        <x:f>IF(K3988="","","1 : "&amp;TEXT(K3988,"0.0"))</x:f>
        <x:v>1 : 1.3</x:v>
      </x:c>
      <x:c r="M3988" s="66" t="str">
        <x:f>IF(J3988="","Baru/Tanpa Data",IF(J3988&lt;='Catatan &amp; Sumber'!$B$14,"Sangat Ketat",IF(J3988&lt;='Catatan &amp; Sumber'!$B$15,"Ketat",IF(J3988&lt;='Catatan &amp; Sumber'!$B$16,"Sedang","Relatif Longgar"))))</x:f>
        <x:v>Relatif Longgar</x:v>
      </x:c>
      <x:c r="N3988" s="66" t="str">
        <x:v>Fotografi</x:v>
      </x:c>
      <x:c r="O3988" s="66" t="str">
        <x:v>Bali</x:v>
      </x:c>
      <x:c r="P3988" s="66" t="str">
        <x:v>Kota Denpasar</x:v>
      </x:c>
      <x:c r="Q3988" s="66" t="str">
        <x:v>https://snpmb.id/snbp/daya-tampung-snbp</x:v>
      </x:c>
      <x:c r="R3988" s="66" t="str">
        <x:v>https://sidatagrun-public-1076756628210.asia-southeast2.run.app/ptn_sn.php?ptn=613</x:v>
      </x:c>
    </x:row>
    <x:row r="3989">
      <x:c r="A3989" s="87" t="n">
        <x:v>4873</x:v>
      </x:c>
      <x:c r="B3989" s="66" t="n">
        <x:v>613</x:v>
      </x:c>
      <x:c r="C3989" s="66" t="str">
        <x:v>ISI BALI</x:v>
      </x:c>
      <x:c r="D3989" s="66" t="str">
        <x:v>PTN Akademik</x:v>
      </x:c>
      <x:c r="E3989" s="66" t="str">
        <x:v>16131010</x:v>
      </x:c>
      <x:c r="F3989" s="66" t="str">
        <x:v>SENI PEDALANGAN</x:v>
      </x:c>
      <x:c r="G3989" s="66" t="str">
        <x:v>Sarjana</x:v>
      </x:c>
      <x:c r="H3989" s="87" t="n">
        <x:v>7</x:v>
      </x:c>
      <x:c r="I3989" s="87" t="n">
        <x:v>1</x:v>
      </x:c>
      <x:c r="J3989" s="68" t="n">
        <x:f>IFERROR(H3989/I3989,"")</x:f>
        <x:v>7</x:v>
      </x:c>
      <x:c r="K3989" s="69" t="n">
        <x:f>IFERROR(I3989/H3989,"")</x:f>
        <x:v>0.14285714285714285</x:v>
      </x:c>
      <x:c r="L3989" s="66" t="str">
        <x:f>IF(K3989="","","1 : "&amp;TEXT(K3989,"0.0"))</x:f>
        <x:v>1 : 0.1</x:v>
      </x:c>
      <x:c r="M3989" s="66" t="str">
        <x:f>IF(J3989="","Baru/Tanpa Data",IF(J3989&lt;='Catatan &amp; Sumber'!$B$14,"Sangat Ketat",IF(J3989&lt;='Catatan &amp; Sumber'!$B$15,"Ketat",IF(J3989&lt;='Catatan &amp; Sumber'!$B$16,"Sedang","Relatif Longgar"))))</x:f>
        <x:v>Relatif Longgar</x:v>
      </x:c>
      <x:c r="N3989" s="66" t="str">
        <x:v>Seni Pedalangan</x:v>
      </x:c>
      <x:c r="O3989" s="66" t="str">
        <x:v>Bali</x:v>
      </x:c>
      <x:c r="P3989" s="66" t="str">
        <x:v>Kota Denpasar</x:v>
      </x:c>
      <x:c r="Q3989" s="66" t="str">
        <x:v>https://snpmb.id/snbp/daya-tampung-snbp</x:v>
      </x:c>
      <x:c r="R3989" s="66" t="str">
        <x:v>https://sidatagrun-public-1076756628210.asia-southeast2.run.app/ptn_sn.php?ptn=613</x:v>
      </x:c>
    </x:row>
    <x:row r="3990">
      <x:c r="A3990" s="87" t="n">
        <x:v>3958</x:v>
      </x:c>
      <x:c r="B3990" s="66" t="n">
        <x:v>613</x:v>
      </x:c>
      <x:c r="C3990" s="66" t="str">
        <x:v>ISI BALI</x:v>
      </x:c>
      <x:c r="D3990" s="66" t="str">
        <x:v>PTN Akademik</x:v>
      </x:c>
      <x:c r="E3990" s="66" t="str">
        <x:v>16131013</x:v>
      </x:c>
      <x:c r="F3990" s="66" t="str">
        <x:v>DESAIN PRODUK</x:v>
      </x:c>
      <x:c r="G3990" s="66" t="str">
        <x:v>Sarjana</x:v>
      </x:c>
      <x:c r="H3990" s="87" t="n">
        <x:v>18</x:v>
      </x:c>
      <x:c r="I3990" s="87" t="n">
        <x:v>27</x:v>
      </x:c>
      <x:c r="J3990" s="68" t="n">
        <x:f>IFERROR(H3990/I3990,"")</x:f>
        <x:v>0.6666666666666666</x:v>
      </x:c>
      <x:c r="K3990" s="69" t="n">
        <x:f>IFERROR(I3990/H3990,"")</x:f>
        <x:v>1.5</x:v>
      </x:c>
      <x:c r="L3990" s="66" t="str">
        <x:f>IF(K3990="","","1 : "&amp;TEXT(K3990,"0.0"))</x:f>
        <x:v>1 : 1.5</x:v>
      </x:c>
      <x:c r="M3990" s="66" t="str">
        <x:f>IF(J3990="","Baru/Tanpa Data",IF(J3990&lt;='Catatan &amp; Sumber'!$B$14,"Sangat Ketat",IF(J3990&lt;='Catatan &amp; Sumber'!$B$15,"Ketat",IF(J3990&lt;='Catatan &amp; Sumber'!$B$16,"Sedang","Relatif Longgar"))))</x:f>
        <x:v>Relatif Longgar</x:v>
      </x:c>
      <x:c r="N3990" s="66" t="str">
        <x:v>Seni Rupa, Desain, dan Kriya</x:v>
      </x:c>
      <x:c r="O3990" s="66" t="str">
        <x:v>Bali</x:v>
      </x:c>
      <x:c r="P3990" s="66" t="str">
        <x:v>Kota Denpasar</x:v>
      </x:c>
      <x:c r="Q3990" s="66" t="str">
        <x:v>https://snpmb.id/snbp/daya-tampung-snbp</x:v>
      </x:c>
      <x:c r="R3990" s="66" t="str">
        <x:v>https://sidatagrun-public-1076756628210.asia-southeast2.run.app/ptn_sn.php?ptn=613</x:v>
      </x:c>
    </x:row>
    <x:row r="3991">
      <x:c r="A3991" s="87" t="n">
        <x:v>4545</x:v>
      </x:c>
      <x:c r="B3991" s="66" t="n">
        <x:v>613</x:v>
      </x:c>
      <x:c r="C3991" s="66" t="str">
        <x:v>ISI BALI</x:v>
      </x:c>
      <x:c r="D3991" s="66" t="str">
        <x:v>PTN Akademik</x:v>
      </x:c>
      <x:c r="E3991" s="66" t="str">
        <x:v>16131015</x:v>
      </x:c>
      <x:c r="F3991" s="66" t="str">
        <x:v>TEATER</x:v>
      </x:c>
      <x:c r="G3991" s="66" t="str">
        <x:v>Sarjana</x:v>
      </x:c>
      <x:c r="H3991" s="87" t="n">
        <x:v>6</x:v>
      </x:c>
      <x:c r="I3991" s="87" t="n">
        <x:v>4</x:v>
      </x:c>
      <x:c r="J3991" s="68" t="n">
        <x:f>IFERROR(H3991/I3991,"")</x:f>
        <x:v>1.5</x:v>
      </x:c>
      <x:c r="K3991" s="69" t="n">
        <x:f>IFERROR(I3991/H3991,"")</x:f>
        <x:v>0.6666666666666666</x:v>
      </x:c>
      <x:c r="L3991" s="66" t="str">
        <x:f>IF(K3991="","","1 : "&amp;TEXT(K3991,"0.0"))</x:f>
        <x:v>1 : 0.7</x:v>
      </x:c>
      <x:c r="M3991" s="66" t="str">
        <x:f>IF(J3991="","Baru/Tanpa Data",IF(J3991&lt;='Catatan &amp; Sumber'!$B$14,"Sangat Ketat",IF(J3991&lt;='Catatan &amp; Sumber'!$B$15,"Ketat",IF(J3991&lt;='Catatan &amp; Sumber'!$B$16,"Sedang","Relatif Longgar"))))</x:f>
        <x:v>Relatif Longgar</x:v>
      </x:c>
      <x:c r="N3991" s="66" t="str">
        <x:v>Teater</x:v>
      </x:c>
      <x:c r="O3991" s="66" t="str">
        <x:v>Bali</x:v>
      </x:c>
      <x:c r="P3991" s="66" t="str">
        <x:v>Kota Denpasar</x:v>
      </x:c>
      <x:c r="Q3991" s="66" t="str">
        <x:v>https://snpmb.id/snbp/daya-tampung-snbp</x:v>
      </x:c>
      <x:c r="R3991" s="66" t="str">
        <x:v>https://sidatagrun-public-1076756628210.asia-southeast2.run.app/ptn_sn.php?ptn=613</x:v>
      </x:c>
    </x:row>
    <x:row r="3992">
      <x:c r="A3992" s="87"/>
      <x:c r="B3992" s="66" t="n">
        <x:v>613</x:v>
      </x:c>
      <x:c r="C3992" s="66" t="str">
        <x:v>ISI BALI</x:v>
      </x:c>
      <x:c r="D3992" s="66" t="str">
        <x:v>PTN Akademik</x:v>
      </x:c>
      <x:c r="E3992" s="66" t="str">
        <x:v>16131016</x:v>
      </x:c>
      <x:c r="F3992" s="66" t="str">
        <x:v>ARSITEKTUR</x:v>
      </x:c>
      <x:c r="G3992" s="66" t="str">
        <x:v>Sarjana</x:v>
      </x:c>
      <x:c r="H3992" s="87" t="n">
        <x:v>24</x:v>
      </x:c>
      <x:c r="I3992" s="87"/>
      <x:c r="J3992" s="68" t="str">
        <x:f>IFERROR(H3992/I3992,"")</x:f>
      </x:c>
      <x:c r="K3992" s="69" t="n">
        <x:f>IFERROR(I3992/H3992,"")</x:f>
        <x:v>0</x:v>
      </x:c>
      <x:c r="L3992" s="66" t="str">
        <x:f>IF(K3992="","","1 : "&amp;TEXT(K3992,"0.0"))</x:f>
      </x:c>
      <x:c r="M3992" s="66" t="str">
        <x:f>IF(J3992="","Baru/Tanpa Data",IF(J3992&lt;='Catatan &amp; Sumber'!$B$14,"Sangat Ketat",IF(J3992&lt;='Catatan &amp; Sumber'!$B$15,"Ketat",IF(J3992&lt;='Catatan &amp; Sumber'!$B$16,"Sedang","Relatif Longgar"))))</x:f>
        <x:v>Baru/Tanpa Data</x:v>
      </x:c>
      <x:c r="N3992" s="66" t="str">
        <x:v>Tidak Ada</x:v>
      </x:c>
      <x:c r="O3992" s="66" t="str">
        <x:v>Bali</x:v>
      </x:c>
      <x:c r="P3992" s="66" t="str">
        <x:v>Kota Denpasar</x:v>
      </x:c>
      <x:c r="Q3992" s="66" t="str">
        <x:v>https://snpmb.id/snbp/daya-tampung-snbp</x:v>
      </x:c>
      <x:c r="R3992" s="66" t="str">
        <x:v>https://sidatagrun-public-1076756628210.asia-southeast2.run.app/ptn_sn.php?ptn=613</x:v>
      </x:c>
    </x:row>
    <x:row r="3993">
      <x:c r="A3993" s="87"/>
      <x:c r="B3993" s="66" t="n">
        <x:v>613</x:v>
      </x:c>
      <x:c r="C3993" s="66" t="str">
        <x:v>ISI BALI</x:v>
      </x:c>
      <x:c r="D3993" s="66" t="str">
        <x:v>PTN Akademik</x:v>
      </x:c>
      <x:c r="E3993" s="66" t="str">
        <x:v>16131017</x:v>
      </x:c>
      <x:c r="F3993" s="66" t="str">
        <x:v>BISNIS DIGITAL</x:v>
      </x:c>
      <x:c r="G3993" s="66" t="str">
        <x:v>Sarjana</x:v>
      </x:c>
      <x:c r="H3993" s="87" t="n">
        <x:v>32</x:v>
      </x:c>
      <x:c r="I3993" s="87"/>
      <x:c r="J3993" s="68" t="str">
        <x:f>IFERROR(H3993/I3993,"")</x:f>
      </x:c>
      <x:c r="K3993" s="69" t="n">
        <x:f>IFERROR(I3993/H3993,"")</x:f>
        <x:v>0</x:v>
      </x:c>
      <x:c r="L3993" s="66" t="str">
        <x:f>IF(K3993="","","1 : "&amp;TEXT(K3993,"0.0"))</x:f>
      </x:c>
      <x:c r="M3993" s="66" t="str">
        <x:f>IF(J3993="","Baru/Tanpa Data",IF(J3993&lt;='Catatan &amp; Sumber'!$B$14,"Sangat Ketat",IF(J3993&lt;='Catatan &amp; Sumber'!$B$15,"Ketat",IF(J3993&lt;='Catatan &amp; Sumber'!$B$16,"Sedang","Relatif Longgar"))))</x:f>
        <x:v>Baru/Tanpa Data</x:v>
      </x:c>
      <x:c r="N3993" s="66" t="str">
        <x:v>Tidak Ada</x:v>
      </x:c>
      <x:c r="O3993" s="66" t="str">
        <x:v>Bali</x:v>
      </x:c>
      <x:c r="P3993" s="66" t="str">
        <x:v>Kota Denpasar</x:v>
      </x:c>
      <x:c r="Q3993" s="66" t="str">
        <x:v>https://snpmb.id/snbp/daya-tampung-snbp</x:v>
      </x:c>
      <x:c r="R3993" s="66" t="str">
        <x:v>https://sidatagrun-public-1076756628210.asia-southeast2.run.app/ptn_sn.php?ptn=613</x:v>
      </x:c>
    </x:row>
    <x:row r="3994">
      <x:c r="A3994" s="87"/>
      <x:c r="B3994" s="66" t="n">
        <x:v>613</x:v>
      </x:c>
      <x:c r="C3994" s="66" t="str">
        <x:v>ISI BALI</x:v>
      </x:c>
      <x:c r="D3994" s="66" t="str">
        <x:v>PTN Akademik</x:v>
      </x:c>
      <x:c r="E3994" s="66" t="str">
        <x:v>16131018</x:v>
      </x:c>
      <x:c r="F3994" s="66" t="str">
        <x:v>BAHASA DAN KEBUDAYAAN INGGRIS</x:v>
      </x:c>
      <x:c r="G3994" s="66" t="str">
        <x:v>Sarjana</x:v>
      </x:c>
      <x:c r="H3994" s="87" t="n">
        <x:v>18</x:v>
      </x:c>
      <x:c r="I3994" s="87"/>
      <x:c r="J3994" s="68" t="str">
        <x:f>IFERROR(H3994/I3994,"")</x:f>
      </x:c>
      <x:c r="K3994" s="69" t="n">
        <x:f>IFERROR(I3994/H3994,"")</x:f>
        <x:v>0</x:v>
      </x:c>
      <x:c r="L3994" s="66" t="str">
        <x:f>IF(K3994="","","1 : "&amp;TEXT(K3994,"0.0"))</x:f>
      </x:c>
      <x:c r="M3994" s="66" t="str">
        <x:f>IF(J3994="","Baru/Tanpa Data",IF(J3994&lt;='Catatan &amp; Sumber'!$B$14,"Sangat Ketat",IF(J3994&lt;='Catatan &amp; Sumber'!$B$15,"Ketat",IF(J3994&lt;='Catatan &amp; Sumber'!$B$16,"Sedang","Relatif Longgar"))))</x:f>
        <x:v>Baru/Tanpa Data</x:v>
      </x:c>
      <x:c r="N3994" s="66" t="str">
        <x:v>Tidak Ada</x:v>
      </x:c>
      <x:c r="O3994" s="66" t="str">
        <x:v>Bali</x:v>
      </x:c>
      <x:c r="P3994" s="66" t="str">
        <x:v>Kota Denpasar</x:v>
      </x:c>
      <x:c r="Q3994" s="66" t="str">
        <x:v>https://snpmb.id/snbp/daya-tampung-snbp</x:v>
      </x:c>
      <x:c r="R3994" s="66" t="str">
        <x:v>https://sidatagrun-public-1076756628210.asia-southeast2.run.app/ptn_sn.php?ptn=613</x:v>
      </x:c>
    </x:row>
    <x:row r="3995">
      <x:c r="A3995" s="87" t="n">
        <x:v>4264</x:v>
      </x:c>
      <x:c r="B3995" s="66" t="n">
        <x:v>613</x:v>
      </x:c>
      <x:c r="C3995" s="66" t="str">
        <x:v>ISI BALI</x:v>
      </x:c>
      <x:c r="D3995" s="66" t="str">
        <x:v>PTN Akademik</x:v>
      </x:c>
      <x:c r="E3995" s="66" t="str">
        <x:v>16132011</x:v>
      </x:c>
      <x:c r="F3995" s="66" t="str">
        <x:v>DESAIN MODE</x:v>
      </x:c>
      <x:c r="G3995" s="66" t="str">
        <x:v>Sarjana Terapan</x:v>
      </x:c>
      <x:c r="H3995" s="87" t="n">
        <x:v>46</x:v>
      </x:c>
      <x:c r="I3995" s="87" t="n">
        <x:v>50</x:v>
      </x:c>
      <x:c r="J3995" s="68" t="n">
        <x:f>IFERROR(H3995/I3995,"")</x:f>
        <x:v>0.92</x:v>
      </x:c>
      <x:c r="K3995" s="69" t="n">
        <x:f>IFERROR(I3995/H3995,"")</x:f>
        <x:v>1.0869565217391304</x:v>
      </x:c>
      <x:c r="L3995" s="66" t="str">
        <x:f>IF(K3995="","","1 : "&amp;TEXT(K3995,"0.0"))</x:f>
        <x:v>1 : 1.1</x:v>
      </x:c>
      <x:c r="M3995" s="66" t="str">
        <x:f>IF(J3995="","Baru/Tanpa Data",IF(J3995&lt;='Catatan &amp; Sumber'!$B$14,"Sangat Ketat",IF(J3995&lt;='Catatan &amp; Sumber'!$B$15,"Ketat",IF(J3995&lt;='Catatan &amp; Sumber'!$B$16,"Sedang","Relatif Longgar"))))</x:f>
        <x:v>Relatif Longgar</x:v>
      </x:c>
      <x:c r="N3995" s="66" t="str">
        <x:v>Tidak Ada</x:v>
      </x:c>
      <x:c r="O3995" s="66" t="str">
        <x:v>Bali</x:v>
      </x:c>
      <x:c r="P3995" s="66" t="str">
        <x:v>Kota Denpasar</x:v>
      </x:c>
      <x:c r="Q3995" s="66" t="str">
        <x:v>https://snpmb.id/snbp/daya-tampung-snbp</x:v>
      </x:c>
      <x:c r="R3995" s="66" t="str">
        <x:v>https://sidatagrun-public-1076756628210.asia-southeast2.run.app/ptn_sn.php?ptn=613</x:v>
      </x:c>
    </x:row>
    <x:row r="3996">
      <x:c r="A3996" s="87" t="n">
        <x:v>4082</x:v>
      </x:c>
      <x:c r="B3996" s="66" t="n">
        <x:v>613</x:v>
      </x:c>
      <x:c r="C3996" s="66" t="str">
        <x:v>ISI BALI</x:v>
      </x:c>
      <x:c r="D3996" s="66" t="str">
        <x:v>PTN Akademik</x:v>
      </x:c>
      <x:c r="E3996" s="66" t="str">
        <x:v>16132012</x:v>
      </x:c>
      <x:c r="F3996" s="66" t="str">
        <x:v>PRODUKSI FILM DAN TELEVISI</x:v>
      </x:c>
      <x:c r="G3996" s="66" t="str">
        <x:v>Sarjana Terapan</x:v>
      </x:c>
      <x:c r="H3996" s="87" t="n">
        <x:v>38</x:v>
      </x:c>
      <x:c r="I3996" s="87" t="n">
        <x:v>51</x:v>
      </x:c>
      <x:c r="J3996" s="68" t="n">
        <x:f>IFERROR(H3996/I3996,"")</x:f>
        <x:v>0.7450980392156863</x:v>
      </x:c>
      <x:c r="K3996" s="69" t="n">
        <x:f>IFERROR(I3996/H3996,"")</x:f>
        <x:v>1.3421052631578947</x:v>
      </x:c>
      <x:c r="L3996" s="66" t="str">
        <x:f>IF(K3996="","","1 : "&amp;TEXT(K3996,"0.0"))</x:f>
        <x:v>1 : 1.3</x:v>
      </x:c>
      <x:c r="M3996" s="66" t="str">
        <x:f>IF(J3996="","Baru/Tanpa Data",IF(J3996&lt;='Catatan &amp; Sumber'!$B$14,"Sangat Ketat",IF(J3996&lt;='Catatan &amp; Sumber'!$B$15,"Ketat",IF(J3996&lt;='Catatan &amp; Sumber'!$B$16,"Sedang","Relatif Longgar"))))</x:f>
        <x:v>Relatif Longgar</x:v>
      </x:c>
      <x:c r="N3996" s="66" t="str">
        <x:v>Film dan Televisi</x:v>
      </x:c>
      <x:c r="O3996" s="66" t="str">
        <x:v>Bali</x:v>
      </x:c>
      <x:c r="P3996" s="66" t="str">
        <x:v>Kota Denpasar</x:v>
      </x:c>
      <x:c r="Q3996" s="66" t="str">
        <x:v>https://snpmb.id/snbp/daya-tampung-snbp</x:v>
      </x:c>
      <x:c r="R3996" s="66" t="str">
        <x:v>https://sidatagrun-public-1076756628210.asia-southeast2.run.app/ptn_sn.php?ptn=613</x:v>
      </x:c>
    </x:row>
    <x:row r="3997">
      <x:c r="A3997" s="87" t="n">
        <x:v>4594</x:v>
      </x:c>
      <x:c r="B3997" s="66" t="n">
        <x:v>613</x:v>
      </x:c>
      <x:c r="C3997" s="66" t="str">
        <x:v>ISI BALI</x:v>
      </x:c>
      <x:c r="D3997" s="66" t="str">
        <x:v>PTN Akademik</x:v>
      </x:c>
      <x:c r="E3997" s="66" t="str">
        <x:v>16132014</x:v>
      </x:c>
      <x:c r="F3997" s="66" t="str">
        <x:v>ANIMASI</x:v>
      </x:c>
      <x:c r="G3997" s="66" t="str">
        <x:v>Sarjana Terapan</x:v>
      </x:c>
      <x:c r="H3997" s="87" t="n">
        <x:v>34</x:v>
      </x:c>
      <x:c r="I3997" s="87" t="n">
        <x:v>21</x:v>
      </x:c>
      <x:c r="J3997" s="68" t="n">
        <x:f>IFERROR(H3997/I3997,"")</x:f>
        <x:v>1.619047619047619</x:v>
      </x:c>
      <x:c r="K3997" s="69" t="n">
        <x:f>IFERROR(I3997/H3997,"")</x:f>
        <x:v>0.6176470588235294</x:v>
      </x:c>
      <x:c r="L3997" s="66" t="str">
        <x:f>IF(K3997="","","1 : "&amp;TEXT(K3997,"0.0"))</x:f>
        <x:v>1 : 0.6</x:v>
      </x:c>
      <x:c r="M3997" s="66" t="str">
        <x:f>IF(J3997="","Baru/Tanpa Data",IF(J3997&lt;='Catatan &amp; Sumber'!$B$14,"Sangat Ketat",IF(J3997&lt;='Catatan &amp; Sumber'!$B$15,"Ketat",IF(J3997&lt;='Catatan &amp; Sumber'!$B$16,"Sedang","Relatif Longgar"))))</x:f>
        <x:v>Relatif Longgar</x:v>
      </x:c>
      <x:c r="N3997" s="66" t="str">
        <x:v>Seni Rupa, Desain, dan Kriya</x:v>
      </x:c>
      <x:c r="O3997" s="66" t="str">
        <x:v>Bali</x:v>
      </x:c>
      <x:c r="P3997" s="66" t="str">
        <x:v>Kota Denpasar</x:v>
      </x:c>
      <x:c r="Q3997" s="66" t="str">
        <x:v>https://snpmb.id/snbp/daya-tampung-snbp</x:v>
      </x:c>
      <x:c r="R3997" s="66" t="str">
        <x:v>https://sidatagrun-public-1076756628210.asia-southeast2.run.app/ptn_sn.php?ptn=613</x:v>
      </x:c>
    </x:row>
    <x:row r="3998">
      <x:c r="A3998" s="87" t="n">
        <x:v>4047</x:v>
      </x:c>
      <x:c r="B3998" s="66" t="n">
        <x:v>617</x:v>
      </x:c>
      <x:c r="C3998" s="66" t="str">
        <x:v>POLITEKNIK NEGERI BALI</x:v>
      </x:c>
      <x:c r="D3998" s="66" t="str">
        <x:v>PTN Vokasi</x:v>
      </x:c>
      <x:c r="E3998" s="66" t="str">
        <x:v>26172001</x:v>
      </x:c>
      <x:c r="F3998" s="66" t="str">
        <x:v>MANAJEMEN PROYEK KONSTRUKSI</x:v>
      </x:c>
      <x:c r="G3998" s="66" t="str">
        <x:v>Sarjana Terapan</x:v>
      </x:c>
      <x:c r="H3998" s="87" t="n">
        <x:v>38</x:v>
      </x:c>
      <x:c r="I3998" s="87" t="n">
        <x:v>53</x:v>
      </x:c>
      <x:c r="J3998" s="68" t="n">
        <x:f>IFERROR(H3998/I3998,"")</x:f>
        <x:v>0.7169811320754716</x:v>
      </x:c>
      <x:c r="K3998" s="69" t="n">
        <x:f>IFERROR(I3998/H3998,"")</x:f>
        <x:v>1.394736842105263</x:v>
      </x:c>
      <x:c r="L3998" s="66" t="str">
        <x:f>IF(K3998="","","1 : "&amp;TEXT(K3998,"0.0"))</x:f>
        <x:v>1 : 1.4</x:v>
      </x:c>
      <x:c r="M3998" s="66" t="str">
        <x:f>IF(J3998="","Baru/Tanpa Data",IF(J3998&lt;='Catatan &amp; Sumber'!$B$14,"Sangat Ketat",IF(J3998&lt;='Catatan &amp; Sumber'!$B$15,"Ketat",IF(J3998&lt;='Catatan &amp; Sumber'!$B$16,"Sedang","Relatif Longgar"))))</x:f>
        <x:v>Relatif Longgar</x:v>
      </x:c>
      <x:c r="N3998" s="66" t="str">
        <x:v>Tidak Ada</x:v>
      </x:c>
      <x:c r="O3998" s="66" t="str">
        <x:v>Bali</x:v>
      </x:c>
      <x:c r="P3998" s="66" t="str">
        <x:v>Kabupaten Badung</x:v>
      </x:c>
      <x:c r="Q3998" s="66" t="str">
        <x:v>https://snpmb.id/snbp/daya-tampung-snbp</x:v>
      </x:c>
      <x:c r="R3998" s="66" t="str">
        <x:v>https://sidatagrun-public-1076756628210.asia-southeast2.run.app/ptn_sn.php?ptn=617</x:v>
      </x:c>
    </x:row>
    <x:row r="3999">
      <x:c r="A3999" s="87" t="n">
        <x:v>3703</x:v>
      </x:c>
      <x:c r="B3999" s="66" t="n">
        <x:v>617</x:v>
      </x:c>
      <x:c r="C3999" s="66" t="str">
        <x:v>POLITEKNIK NEGERI BALI</x:v>
      </x:c>
      <x:c r="D3999" s="66" t="str">
        <x:v>PTN Vokasi</x:v>
      </x:c>
      <x:c r="E3999" s="66" t="str">
        <x:v>26172002</x:v>
      </x:c>
      <x:c r="F3999" s="66" t="str">
        <x:v>TEKNOLOGI REKAYASA UTILITAS</x:v>
      </x:c>
      <x:c r="G3999" s="66" t="str">
        <x:v>Sarjana Terapan</x:v>
      </x:c>
      <x:c r="H3999" s="87" t="n">
        <x:v>15</x:v>
      </x:c>
      <x:c r="I3999" s="87" t="n">
        <x:v>29</x:v>
      </x:c>
      <x:c r="J3999" s="68" t="n">
        <x:f>IFERROR(H3999/I3999,"")</x:f>
        <x:v>0.5172413793103449</x:v>
      </x:c>
      <x:c r="K3999" s="69" t="n">
        <x:f>IFERROR(I3999/H3999,"")</x:f>
        <x:v>1.9333333333333333</x:v>
      </x:c>
      <x:c r="L3999" s="66" t="str">
        <x:f>IF(K3999="","","1 : "&amp;TEXT(K3999,"0.0"))</x:f>
        <x:v>1 : 1.9</x:v>
      </x:c>
      <x:c r="M3999" s="66" t="str">
        <x:f>IF(J3999="","Baru/Tanpa Data",IF(J3999&lt;='Catatan &amp; Sumber'!$B$14,"Sangat Ketat",IF(J3999&lt;='Catatan &amp; Sumber'!$B$15,"Ketat",IF(J3999&lt;='Catatan &amp; Sumber'!$B$16,"Sedang","Relatif Longgar"))))</x:f>
        <x:v>Relatif Longgar</x:v>
      </x:c>
      <x:c r="N3999" s="66" t="str">
        <x:v>Tidak Ada</x:v>
      </x:c>
      <x:c r="O3999" s="66" t="str">
        <x:v>Bali</x:v>
      </x:c>
      <x:c r="P3999" s="66" t="str">
        <x:v>Kabupaten Badung</x:v>
      </x:c>
      <x:c r="Q3999" s="66" t="str">
        <x:v>https://snpmb.id/snbp/daya-tampung-snbp</x:v>
      </x:c>
      <x:c r="R3999" s="66" t="str">
        <x:v>https://sidatagrun-public-1076756628210.asia-southeast2.run.app/ptn_sn.php?ptn=617</x:v>
      </x:c>
    </x:row>
    <x:row r="4000">
      <x:c r="A4000" s="87" t="n">
        <x:v>3983</x:v>
      </x:c>
      <x:c r="B4000" s="66" t="n">
        <x:v>617</x:v>
      </x:c>
      <x:c r="C4000" s="66" t="str">
        <x:v>POLITEKNIK NEGERI BALI</x:v>
      </x:c>
      <x:c r="D4000" s="66" t="str">
        <x:v>PTN Vokasi</x:v>
      </x:c>
      <x:c r="E4000" s="66" t="str">
        <x:v>26172003</x:v>
      </x:c>
      <x:c r="F4000" s="66" t="str">
        <x:v>TEKNIK OTOMASI</x:v>
      </x:c>
      <x:c r="G4000" s="66" t="str">
        <x:v>Sarjana Terapan</x:v>
      </x:c>
      <x:c r="H4000" s="87" t="n">
        <x:v>23</x:v>
      </x:c>
      <x:c r="I4000" s="87" t="n">
        <x:v>34</x:v>
      </x:c>
      <x:c r="J4000" s="68" t="n">
        <x:f>IFERROR(H4000/I4000,"")</x:f>
        <x:v>0.6764705882352942</x:v>
      </x:c>
      <x:c r="K4000" s="69" t="n">
        <x:f>IFERROR(I4000/H4000,"")</x:f>
        <x:v>1.4782608695652173</x:v>
      </x:c>
      <x:c r="L4000" s="66" t="str">
        <x:f>IF(K4000="","","1 : "&amp;TEXT(K4000,"0.0"))</x:f>
        <x:v>1 : 1.5</x:v>
      </x:c>
      <x:c r="M4000" s="66" t="str">
        <x:f>IF(J4000="","Baru/Tanpa Data",IF(J4000&lt;='Catatan &amp; Sumber'!$B$14,"Sangat Ketat",IF(J4000&lt;='Catatan &amp; Sumber'!$B$15,"Ketat",IF(J4000&lt;='Catatan &amp; Sumber'!$B$16,"Sedang","Relatif Longgar"))))</x:f>
        <x:v>Relatif Longgar</x:v>
      </x:c>
      <x:c r="N4000" s="66" t="str">
        <x:v>Tidak Ada</x:v>
      </x:c>
      <x:c r="O4000" s="66" t="str">
        <x:v>Bali</x:v>
      </x:c>
      <x:c r="P4000" s="66" t="str">
        <x:v>Kabupaten Badung</x:v>
      </x:c>
      <x:c r="Q4000" s="66" t="str">
        <x:v>https://snpmb.id/snbp/daya-tampung-snbp</x:v>
      </x:c>
      <x:c r="R4000" s="66" t="str">
        <x:v>https://sidatagrun-public-1076756628210.asia-southeast2.run.app/ptn_sn.php?ptn=617</x:v>
      </x:c>
    </x:row>
    <x:row r="4001">
      <x:c r="A4001" s="87" t="n">
        <x:v>3862</x:v>
      </x:c>
      <x:c r="B4001" s="66" t="n">
        <x:v>617</x:v>
      </x:c>
      <x:c r="C4001" s="66" t="str">
        <x:v>POLITEKNIK NEGERI BALI</x:v>
      </x:c>
      <x:c r="D4001" s="66" t="str">
        <x:v>PTN Vokasi</x:v>
      </x:c>
      <x:c r="E4001" s="66" t="str">
        <x:v>26172004</x:v>
      </x:c>
      <x:c r="F4001" s="66" t="str">
        <x:v>TEKNOLOGI REKAYASA PERANGKAT LUNAK</x:v>
      </x:c>
      <x:c r="G4001" s="66" t="str">
        <x:v>Sarjana Terapan</x:v>
      </x:c>
      <x:c r="H4001" s="87" t="n">
        <x:v>38</x:v>
      </x:c>
      <x:c r="I4001" s="87" t="n">
        <x:v>63</x:v>
      </x:c>
      <x:c r="J4001" s="68" t="n">
        <x:f>IFERROR(H4001/I4001,"")</x:f>
        <x:v>0.6031746031746031</x:v>
      </x:c>
      <x:c r="K4001" s="69" t="n">
        <x:f>IFERROR(I4001/H4001,"")</x:f>
        <x:v>1.6578947368421053</x:v>
      </x:c>
      <x:c r="L4001" s="66" t="str">
        <x:f>IF(K4001="","","1 : "&amp;TEXT(K4001,"0.0"))</x:f>
        <x:v>1 : 1.7</x:v>
      </x:c>
      <x:c r="M4001" s="66" t="str">
        <x:f>IF(J4001="","Baru/Tanpa Data",IF(J4001&lt;='Catatan &amp; Sumber'!$B$14,"Sangat Ketat",IF(J4001&lt;='Catatan &amp; Sumber'!$B$15,"Ketat",IF(J4001&lt;='Catatan &amp; Sumber'!$B$16,"Sedang","Relatif Longgar"))))</x:f>
        <x:v>Relatif Longgar</x:v>
      </x:c>
      <x:c r="N4001" s="66" t="str">
        <x:v>Tidak Ada</x:v>
      </x:c>
      <x:c r="O4001" s="66" t="str">
        <x:v>Bali</x:v>
      </x:c>
      <x:c r="P4001" s="66" t="str">
        <x:v>Kabupaten Badung</x:v>
      </x:c>
      <x:c r="Q4001" s="66" t="str">
        <x:v>https://snpmb.id/snbp/daya-tampung-snbp</x:v>
      </x:c>
      <x:c r="R4001" s="66" t="str">
        <x:v>https://sidatagrun-public-1076756628210.asia-southeast2.run.app/ptn_sn.php?ptn=617</x:v>
      </x:c>
    </x:row>
    <x:row r="4002">
      <x:c r="A4002" s="87" t="n">
        <x:v>3847</x:v>
      </x:c>
      <x:c r="B4002" s="66" t="n">
        <x:v>617</x:v>
      </x:c>
      <x:c r="C4002" s="66" t="str">
        <x:v>POLITEKNIK NEGERI BALI</x:v>
      </x:c>
      <x:c r="D4002" s="66" t="str">
        <x:v>PTN Vokasi</x:v>
      </x:c>
      <x:c r="E4002" s="66" t="str">
        <x:v>26172005</x:v>
      </x:c>
      <x:c r="F4002" s="66" t="str">
        <x:v>TEKNOLOGI REKAYASA KONSTRUKSI BANGUNAN GEDUNG</x:v>
      </x:c>
      <x:c r="G4002" s="66" t="str">
        <x:v>Sarjana Terapan</x:v>
      </x:c>
      <x:c r="H4002" s="87" t="n">
        <x:v>15</x:v>
      </x:c>
      <x:c r="I4002" s="87" t="n">
        <x:v>25</x:v>
      </x:c>
      <x:c r="J4002" s="68" t="n">
        <x:f>IFERROR(H4002/I4002,"")</x:f>
        <x:v>0.6</x:v>
      </x:c>
      <x:c r="K4002" s="69" t="n">
        <x:f>IFERROR(I4002/H4002,"")</x:f>
        <x:v>1.6666666666666667</x:v>
      </x:c>
      <x:c r="L4002" s="66" t="str">
        <x:f>IF(K4002="","","1 : "&amp;TEXT(K4002,"0.0"))</x:f>
        <x:v>1 : 1.7</x:v>
      </x:c>
      <x:c r="M4002" s="66" t="str">
        <x:f>IF(J4002="","Baru/Tanpa Data",IF(J4002&lt;='Catatan &amp; Sumber'!$B$14,"Sangat Ketat",IF(J4002&lt;='Catatan &amp; Sumber'!$B$15,"Ketat",IF(J4002&lt;='Catatan &amp; Sumber'!$B$16,"Sedang","Relatif Longgar"))))</x:f>
        <x:v>Relatif Longgar</x:v>
      </x:c>
      <x:c r="N4002" s="66" t="str">
        <x:v>Tidak Ada</x:v>
      </x:c>
      <x:c r="O4002" s="66" t="str">
        <x:v>Bali</x:v>
      </x:c>
      <x:c r="P4002" s="66" t="str">
        <x:v>Kabupaten Badung</x:v>
      </x:c>
      <x:c r="Q4002" s="66" t="str">
        <x:v>https://snpmb.id/snbp/daya-tampung-snbp</x:v>
      </x:c>
      <x:c r="R4002" s="66" t="str">
        <x:v>https://sidatagrun-public-1076756628210.asia-southeast2.run.app/ptn_sn.php?ptn=617</x:v>
      </x:c>
    </x:row>
    <x:row r="4003">
      <x:c r="A4003" s="87" t="n">
        <x:v>2714</x:v>
      </x:c>
      <x:c r="B4003" s="66" t="n">
        <x:v>617</x:v>
      </x:c>
      <x:c r="C4003" s="66" t="str">
        <x:v>POLITEKNIK NEGERI BALI</x:v>
      </x:c>
      <x:c r="D4003" s="66" t="str">
        <x:v>PTN Vokasi</x:v>
      </x:c>
      <x:c r="E4003" s="66" t="str">
        <x:v>26172006</x:v>
      </x:c>
      <x:c r="F4003" s="66" t="str">
        <x:v>AKUNTANSI PERPAJAKAN</x:v>
      </x:c>
      <x:c r="G4003" s="66" t="str">
        <x:v>Sarjana Terapan</x:v>
      </x:c>
      <x:c r="H4003" s="87" t="n">
        <x:v>45</x:v>
      </x:c>
      <x:c r="I4003" s="87" t="n">
        <x:v>183</x:v>
      </x:c>
      <x:c r="J4003" s="68" t="n">
        <x:f>IFERROR(H4003/I4003,"")</x:f>
        <x:v>0.2459016393442623</x:v>
      </x:c>
      <x:c r="K4003" s="69" t="n">
        <x:f>IFERROR(I4003/H4003,"")</x:f>
        <x:v>4.066666666666666</x:v>
      </x:c>
      <x:c r="L4003" s="66" t="str">
        <x:f>IF(K4003="","","1 : "&amp;TEXT(K4003,"0.0"))</x:f>
        <x:v>1 : 4.1</x:v>
      </x:c>
      <x:c r="M4003" s="66" t="str">
        <x:f>IF(J4003="","Baru/Tanpa Data",IF(J4003&lt;='Catatan &amp; Sumber'!$B$14,"Sangat Ketat",IF(J4003&lt;='Catatan &amp; Sumber'!$B$15,"Ketat",IF(J4003&lt;='Catatan &amp; Sumber'!$B$16,"Sedang","Relatif Longgar"))))</x:f>
        <x:v>Relatif Longgar</x:v>
      </x:c>
      <x:c r="N4003" s="66" t="str">
        <x:v>Tidak Ada</x:v>
      </x:c>
      <x:c r="O4003" s="66" t="str">
        <x:v>Bali</x:v>
      </x:c>
      <x:c r="P4003" s="66" t="str">
        <x:v>Kabupaten Badung</x:v>
      </x:c>
      <x:c r="Q4003" s="66" t="str">
        <x:v>https://snpmb.id/snbp/daya-tampung-snbp</x:v>
      </x:c>
      <x:c r="R4003" s="66" t="str">
        <x:v>https://sidatagrun-public-1076756628210.asia-southeast2.run.app/ptn_sn.php?ptn=617</x:v>
      </x:c>
    </x:row>
    <x:row r="4004">
      <x:c r="A4004" s="87" t="n">
        <x:v>2795</x:v>
      </x:c>
      <x:c r="B4004" s="66" t="n">
        <x:v>617</x:v>
      </x:c>
      <x:c r="C4004" s="66" t="str">
        <x:v>POLITEKNIK NEGERI BALI</x:v>
      </x:c>
      <x:c r="D4004" s="66" t="str">
        <x:v>PTN Vokasi</x:v>
      </x:c>
      <x:c r="E4004" s="66" t="str">
        <x:v>26172007</x:v>
      </x:c>
      <x:c r="F4004" s="66" t="str">
        <x:v>AKUNTANSI MANAJERIAL</x:v>
      </x:c>
      <x:c r="G4004" s="66" t="str">
        <x:v>Sarjana Terapan</x:v>
      </x:c>
      <x:c r="H4004" s="87" t="n">
        <x:v>53</x:v>
      </x:c>
      <x:c r="I4004" s="87" t="n">
        <x:v>206</x:v>
      </x:c>
      <x:c r="J4004" s="68" t="n">
        <x:f>IFERROR(H4004/I4004,"")</x:f>
        <x:v>0.25728155339805825</x:v>
      </x:c>
      <x:c r="K4004" s="69" t="n">
        <x:f>IFERROR(I4004/H4004,"")</x:f>
        <x:v>3.8867924528301887</x:v>
      </x:c>
      <x:c r="L4004" s="66" t="str">
        <x:f>IF(K4004="","","1 : "&amp;TEXT(K4004,"0.0"))</x:f>
        <x:v>1 : 3.9</x:v>
      </x:c>
      <x:c r="M4004" s="66" t="str">
        <x:f>IF(J4004="","Baru/Tanpa Data",IF(J4004&lt;='Catatan &amp; Sumber'!$B$14,"Sangat Ketat",IF(J4004&lt;='Catatan &amp; Sumber'!$B$15,"Ketat",IF(J4004&lt;='Catatan &amp; Sumber'!$B$16,"Sedang","Relatif Longgar"))))</x:f>
        <x:v>Relatif Longgar</x:v>
      </x:c>
      <x:c r="N4004" s="66" t="str">
        <x:v>Tidak Ada</x:v>
      </x:c>
      <x:c r="O4004" s="66" t="str">
        <x:v>Bali</x:v>
      </x:c>
      <x:c r="P4004" s="66" t="str">
        <x:v>Kabupaten Badung</x:v>
      </x:c>
      <x:c r="Q4004" s="66" t="str">
        <x:v>https://snpmb.id/snbp/daya-tampung-snbp</x:v>
      </x:c>
      <x:c r="R4004" s="66" t="str">
        <x:v>https://sidatagrun-public-1076756628210.asia-southeast2.run.app/ptn_sn.php?ptn=617</x:v>
      </x:c>
    </x:row>
    <x:row r="4005">
      <x:c r="A4005" s="87" t="n">
        <x:v>3070</x:v>
      </x:c>
      <x:c r="B4005" s="66" t="n">
        <x:v>617</x:v>
      </x:c>
      <x:c r="C4005" s="66" t="str">
        <x:v>POLITEKNIK NEGERI BALI</x:v>
      </x:c>
      <x:c r="D4005" s="66" t="str">
        <x:v>PTN Vokasi</x:v>
      </x:c>
      <x:c r="E4005" s="66" t="str">
        <x:v>26172008</x:v>
      </x:c>
      <x:c r="F4005" s="66" t="str">
        <x:v>MANAJEMEN BISNIS INTERNASIONAL</x:v>
      </x:c>
      <x:c r="G4005" s="66" t="str">
        <x:v>Sarjana Terapan</x:v>
      </x:c>
      <x:c r="H4005" s="87" t="n">
        <x:v>53</x:v>
      </x:c>
      <x:c r="I4005" s="87" t="n">
        <x:v>172</x:v>
      </x:c>
      <x:c r="J4005" s="68" t="n">
        <x:f>IFERROR(H4005/I4005,"")</x:f>
        <x:v>0.3081395348837209</x:v>
      </x:c>
      <x:c r="K4005" s="69" t="n">
        <x:f>IFERROR(I4005/H4005,"")</x:f>
        <x:v>3.2452830188679247</x:v>
      </x:c>
      <x:c r="L4005" s="66" t="str">
        <x:f>IF(K4005="","","1 : "&amp;TEXT(K4005,"0.0"))</x:f>
        <x:v>1 : 3.2</x:v>
      </x:c>
      <x:c r="M4005" s="66" t="str">
        <x:f>IF(J4005="","Baru/Tanpa Data",IF(J4005&lt;='Catatan &amp; Sumber'!$B$14,"Sangat Ketat",IF(J4005&lt;='Catatan &amp; Sumber'!$B$15,"Ketat",IF(J4005&lt;='Catatan &amp; Sumber'!$B$16,"Sedang","Relatif Longgar"))))</x:f>
        <x:v>Relatif Longgar</x:v>
      </x:c>
      <x:c r="N4005" s="66" t="str">
        <x:v>Tidak Ada</x:v>
      </x:c>
      <x:c r="O4005" s="66" t="str">
        <x:v>Bali</x:v>
      </x:c>
      <x:c r="P4005" s="66" t="str">
        <x:v>Kabupaten Badung</x:v>
      </x:c>
      <x:c r="Q4005" s="66" t="str">
        <x:v>https://snpmb.id/snbp/daya-tampung-snbp</x:v>
      </x:c>
      <x:c r="R4005" s="66" t="str">
        <x:v>https://sidatagrun-public-1076756628210.asia-southeast2.run.app/ptn_sn.php?ptn=617</x:v>
      </x:c>
    </x:row>
    <x:row r="4006">
      <x:c r="A4006" s="87" t="n">
        <x:v>2126</x:v>
      </x:c>
      <x:c r="B4006" s="66" t="n">
        <x:v>617</x:v>
      </x:c>
      <x:c r="C4006" s="66" t="str">
        <x:v>POLITEKNIK NEGERI BALI</x:v>
      </x:c>
      <x:c r="D4006" s="66" t="str">
        <x:v>PTN Vokasi</x:v>
      </x:c>
      <x:c r="E4006" s="66" t="str">
        <x:v>26172009</x:v>
      </x:c>
      <x:c r="F4006" s="66" t="str">
        <x:v>MANAJEMEN BISNIS PARIWISATA</x:v>
      </x:c>
      <x:c r="G4006" s="66" t="str">
        <x:v>Sarjana Terapan</x:v>
      </x:c>
      <x:c r="H4006" s="87" t="n">
        <x:v>60</x:v>
      </x:c>
      <x:c r="I4006" s="87" t="n">
        <x:v>365</x:v>
      </x:c>
      <x:c r="J4006" s="68" t="n">
        <x:f>IFERROR(H4006/I4006,"")</x:f>
        <x:v>0.1643835616438356</x:v>
      </x:c>
      <x:c r="K4006" s="69" t="n">
        <x:f>IFERROR(I4006/H4006,"")</x:f>
        <x:v>6.083333333333333</x:v>
      </x:c>
      <x:c r="L4006" s="66" t="str">
        <x:f>IF(K4006="","","1 : "&amp;TEXT(K4006,"0.0"))</x:f>
        <x:v>1 : 6.1</x:v>
      </x:c>
      <x:c r="M4006" s="66" t="str">
        <x:f>IF(J4006="","Baru/Tanpa Data",IF(J4006&lt;='Catatan &amp; Sumber'!$B$14,"Sangat Ketat",IF(J4006&lt;='Catatan &amp; Sumber'!$B$15,"Ketat",IF(J4006&lt;='Catatan &amp; Sumber'!$B$16,"Sedang","Relatif Longgar"))))</x:f>
        <x:v>Relatif Longgar</x:v>
      </x:c>
      <x:c r="N4006" s="66" t="str">
        <x:v>Tidak Ada</x:v>
      </x:c>
      <x:c r="O4006" s="66" t="str">
        <x:v>Bali</x:v>
      </x:c>
      <x:c r="P4006" s="66" t="str">
        <x:v>Kabupaten Badung</x:v>
      </x:c>
      <x:c r="Q4006" s="66" t="str">
        <x:v>https://snpmb.id/snbp/daya-tampung-snbp</x:v>
      </x:c>
      <x:c r="R4006" s="66" t="str">
        <x:v>https://sidatagrun-public-1076756628210.asia-southeast2.run.app/ptn_sn.php?ptn=617</x:v>
      </x:c>
    </x:row>
    <x:row r="4007">
      <x:c r="A4007" s="87" t="n">
        <x:v>2647</x:v>
      </x:c>
      <x:c r="B4007" s="66" t="n">
        <x:v>617</x:v>
      </x:c>
      <x:c r="C4007" s="66" t="str">
        <x:v>POLITEKNIK NEGERI BALI</x:v>
      </x:c>
      <x:c r="D4007" s="66" t="str">
        <x:v>PTN Vokasi</x:v>
      </x:c>
      <x:c r="E4007" s="66" t="str">
        <x:v>26172010</x:v>
      </x:c>
      <x:c r="F4007" s="66" t="str">
        <x:v>BISNIS DIGITAL</x:v>
      </x:c>
      <x:c r="G4007" s="66" t="str">
        <x:v>Sarjana Terapan</x:v>
      </x:c>
      <x:c r="H4007" s="87" t="n">
        <x:v>38</x:v>
      </x:c>
      <x:c r="I4007" s="87" t="n">
        <x:v>162</x:v>
      </x:c>
      <x:c r="J4007" s="68" t="n">
        <x:f>IFERROR(H4007/I4007,"")</x:f>
        <x:v>0.2345679012345679</x:v>
      </x:c>
      <x:c r="K4007" s="69" t="n">
        <x:f>IFERROR(I4007/H4007,"")</x:f>
        <x:v>4.2631578947368425</x:v>
      </x:c>
      <x:c r="L4007" s="66" t="str">
        <x:f>IF(K4007="","","1 : "&amp;TEXT(K4007,"0.0"))</x:f>
        <x:v>1 : 4.3</x:v>
      </x:c>
      <x:c r="M4007" s="66" t="str">
        <x:f>IF(J4007="","Baru/Tanpa Data",IF(J4007&lt;='Catatan &amp; Sumber'!$B$14,"Sangat Ketat",IF(J4007&lt;='Catatan &amp; Sumber'!$B$15,"Ketat",IF(J4007&lt;='Catatan &amp; Sumber'!$B$16,"Sedang","Relatif Longgar"))))</x:f>
        <x:v>Relatif Longgar</x:v>
      </x:c>
      <x:c r="N4007" s="66" t="str">
        <x:v>Tidak Ada</x:v>
      </x:c>
      <x:c r="O4007" s="66" t="str">
        <x:v>Bali</x:v>
      </x:c>
      <x:c r="P4007" s="66" t="str">
        <x:v>Kabupaten Badung</x:v>
      </x:c>
      <x:c r="Q4007" s="66" t="str">
        <x:v>https://snpmb.id/snbp/daya-tampung-snbp</x:v>
      </x:c>
      <x:c r="R4007" s="66" t="str">
        <x:v>https://sidatagrun-public-1076756628210.asia-southeast2.run.app/ptn_sn.php?ptn=617</x:v>
      </x:c>
    </x:row>
    <x:row r="4008">
      <x:c r="A4008" s="87" t="n">
        <x:v>4812</x:v>
      </x:c>
      <x:c r="B4008" s="66" t="n">
        <x:v>617</x:v>
      </x:c>
      <x:c r="C4008" s="66" t="str">
        <x:v>POLITEKNIK NEGERI BALI</x:v>
      </x:c>
      <x:c r="D4008" s="66" t="str">
        <x:v>PTN Vokasi</x:v>
      </x:c>
      <x:c r="E4008" s="66" t="str">
        <x:v>26172024</x:v>
      </x:c>
      <x:c r="F4008" s="66" t="str">
        <x:v>TEKNOLOGI REKAYASA KONSTRUKSI BANGUNAN AIR</x:v>
      </x:c>
      <x:c r="G4008" s="66" t="str">
        <x:v>Sarjana Terapan</x:v>
      </x:c>
      <x:c r="H4008" s="87" t="n">
        <x:v>8</x:v>
      </x:c>
      <x:c r="I4008" s="87" t="n">
        <x:v>2</x:v>
      </x:c>
      <x:c r="J4008" s="68" t="n">
        <x:f>IFERROR(H4008/I4008,"")</x:f>
        <x:v>4</x:v>
      </x:c>
      <x:c r="K4008" s="69" t="n">
        <x:f>IFERROR(I4008/H4008,"")</x:f>
        <x:v>0.25</x:v>
      </x:c>
      <x:c r="L4008" s="66" t="str">
        <x:f>IF(K4008="","","1 : "&amp;TEXT(K4008,"0.0"))</x:f>
        <x:v>1 : 0.3</x:v>
      </x:c>
      <x:c r="M4008" s="66" t="str">
        <x:f>IF(J4008="","Baru/Tanpa Data",IF(J4008&lt;='Catatan &amp; Sumber'!$B$14,"Sangat Ketat",IF(J4008&lt;='Catatan &amp; Sumber'!$B$15,"Ketat",IF(J4008&lt;='Catatan &amp; Sumber'!$B$16,"Sedang","Relatif Longgar"))))</x:f>
        <x:v>Relatif Longgar</x:v>
      </x:c>
      <x:c r="N4008" s="66" t="str">
        <x:v>Tidak Ada</x:v>
      </x:c>
      <x:c r="O4008" s="66" t="str">
        <x:v>Bali</x:v>
      </x:c>
      <x:c r="P4008" s="66" t="str">
        <x:v>Kabupaten Badung</x:v>
      </x:c>
      <x:c r="Q4008" s="66" t="str">
        <x:v>https://snpmb.id/snbp/daya-tampung-snbp</x:v>
      </x:c>
      <x:c r="R4008" s="66" t="str">
        <x:v>https://sidatagrun-public-1076756628210.asia-southeast2.run.app/ptn_sn.php?ptn=617</x:v>
      </x:c>
    </x:row>
    <x:row r="4009">
      <x:c r="A4009" s="87" t="n">
        <x:v>3654</x:v>
      </x:c>
      <x:c r="B4009" s="66" t="n">
        <x:v>617</x:v>
      </x:c>
      <x:c r="C4009" s="66" t="str">
        <x:v>POLITEKNIK NEGERI BALI</x:v>
      </x:c>
      <x:c r="D4009" s="66" t="str">
        <x:v>PTN Vokasi</x:v>
      </x:c>
      <x:c r="E4009" s="66" t="str">
        <x:v>26172025</x:v>
      </x:c>
      <x:c r="F4009" s="66" t="str">
        <x:v>REKAYASA PERANCANGAN MEKANIK</x:v>
      </x:c>
      <x:c r="G4009" s="66" t="str">
        <x:v>Sarjana Terapan</x:v>
      </x:c>
      <x:c r="H4009" s="87" t="n">
        <x:v>8</x:v>
      </x:c>
      <x:c r="I4009" s="87" t="n">
        <x:v>16</x:v>
      </x:c>
      <x:c r="J4009" s="68" t="n">
        <x:f>IFERROR(H4009/I4009,"")</x:f>
        <x:v>0.5</x:v>
      </x:c>
      <x:c r="K4009" s="69" t="n">
        <x:f>IFERROR(I4009/H4009,"")</x:f>
        <x:v>2</x:v>
      </x:c>
      <x:c r="L4009" s="66" t="str">
        <x:f>IF(K4009="","","1 : "&amp;TEXT(K4009,"0.0"))</x:f>
        <x:v>1 : 2.0</x:v>
      </x:c>
      <x:c r="M4009" s="66" t="str">
        <x:f>IF(J4009="","Baru/Tanpa Data",IF(J4009&lt;='Catatan &amp; Sumber'!$B$14,"Sangat Ketat",IF(J4009&lt;='Catatan &amp; Sumber'!$B$15,"Ketat",IF(J4009&lt;='Catatan &amp; Sumber'!$B$16,"Sedang","Relatif Longgar"))))</x:f>
        <x:v>Relatif Longgar</x:v>
      </x:c>
      <x:c r="N4009" s="66" t="str">
        <x:v>Tidak Ada</x:v>
      </x:c>
      <x:c r="O4009" s="66" t="str">
        <x:v>Bali</x:v>
      </x:c>
      <x:c r="P4009" s="66" t="str">
        <x:v>Kabupaten Badung</x:v>
      </x:c>
      <x:c r="Q4009" s="66" t="str">
        <x:v>https://snpmb.id/snbp/daya-tampung-snbp</x:v>
      </x:c>
      <x:c r="R4009" s="66" t="str">
        <x:v>https://sidatagrun-public-1076756628210.asia-southeast2.run.app/ptn_sn.php?ptn=617</x:v>
      </x:c>
    </x:row>
    <x:row r="4010">
      <x:c r="A4010" s="87" t="n">
        <x:v>3703</x:v>
      </x:c>
      <x:c r="B4010" s="66" t="n">
        <x:v>617</x:v>
      </x:c>
      <x:c r="C4010" s="66" t="str">
        <x:v>POLITEKNIK NEGERI BALI</x:v>
      </x:c>
      <x:c r="D4010" s="66" t="str">
        <x:v>PTN Vokasi</x:v>
      </x:c>
      <x:c r="E4010" s="66" t="str">
        <x:v>26172026</x:v>
      </x:c>
      <x:c r="F4010" s="66" t="str">
        <x:v>BAHASA INGGRIS UNTUK KOMUNIKASI BISNIS DAN PROFESIONAL</x:v>
      </x:c>
      <x:c r="G4010" s="66" t="str">
        <x:v>Sarjana Terapan</x:v>
      </x:c>
      <x:c r="H4010" s="87" t="n">
        <x:v>15</x:v>
      </x:c>
      <x:c r="I4010" s="87" t="n">
        <x:v>29</x:v>
      </x:c>
      <x:c r="J4010" s="68" t="n">
        <x:f>IFERROR(H4010/I4010,"")</x:f>
        <x:v>0.5172413793103449</x:v>
      </x:c>
      <x:c r="K4010" s="69" t="n">
        <x:f>IFERROR(I4010/H4010,"")</x:f>
        <x:v>1.9333333333333333</x:v>
      </x:c>
      <x:c r="L4010" s="66" t="str">
        <x:f>IF(K4010="","","1 : "&amp;TEXT(K4010,"0.0"))</x:f>
        <x:v>1 : 1.9</x:v>
      </x:c>
      <x:c r="M4010" s="66" t="str">
        <x:f>IF(J4010="","Baru/Tanpa Data",IF(J4010&lt;='Catatan &amp; Sumber'!$B$14,"Sangat Ketat",IF(J4010&lt;='Catatan &amp; Sumber'!$B$15,"Ketat",IF(J4010&lt;='Catatan &amp; Sumber'!$B$16,"Sedang","Relatif Longgar"))))</x:f>
        <x:v>Relatif Longgar</x:v>
      </x:c>
      <x:c r="N4010" s="66" t="str">
        <x:v>Tidak Ada</x:v>
      </x:c>
      <x:c r="O4010" s="66" t="str">
        <x:v>Bali</x:v>
      </x:c>
      <x:c r="P4010" s="66" t="str">
        <x:v>Kabupaten Badung</x:v>
      </x:c>
      <x:c r="Q4010" s="66" t="str">
        <x:v>https://snpmb.id/snbp/daya-tampung-snbp</x:v>
      </x:c>
      <x:c r="R4010" s="66" t="str">
        <x:v>https://sidatagrun-public-1076756628210.asia-southeast2.run.app/ptn_sn.php?ptn=617</x:v>
      </x:c>
    </x:row>
    <x:row r="4011">
      <x:c r="A4011" s="87" t="n">
        <x:v>4512</x:v>
      </x:c>
      <x:c r="B4011" s="66" t="n">
        <x:v>617</x:v>
      </x:c>
      <x:c r="C4011" s="66" t="str">
        <x:v>POLITEKNIK NEGERI BALI</x:v>
      </x:c>
      <x:c r="D4011" s="66" t="str">
        <x:v>PTN Vokasi</x:v>
      </x:c>
      <x:c r="E4011" s="66" t="str">
        <x:v>26172027</x:v>
      </x:c>
      <x:c r="F4011" s="66" t="str">
        <x:v>TEKNOLOGI REKAYASA ENERGI TERBARUKAN</x:v>
      </x:c>
      <x:c r="G4011" s="66" t="str">
        <x:v>Sarjana Terapan</x:v>
      </x:c>
      <x:c r="H4011" s="87" t="n">
        <x:v>15</x:v>
      </x:c>
      <x:c r="I4011" s="87" t="n">
        <x:v>11</x:v>
      </x:c>
      <x:c r="J4011" s="68" t="n">
        <x:f>IFERROR(H4011/I4011,"")</x:f>
        <x:v>1.3636363636363635</x:v>
      </x:c>
      <x:c r="K4011" s="69" t="n">
        <x:f>IFERROR(I4011/H4011,"")</x:f>
        <x:v>0.7333333333333333</x:v>
      </x:c>
      <x:c r="L4011" s="66" t="str">
        <x:f>IF(K4011="","","1 : "&amp;TEXT(K4011,"0.0"))</x:f>
        <x:v>1 : 0.7</x:v>
      </x:c>
      <x:c r="M4011" s="66" t="str">
        <x:f>IF(J4011="","Baru/Tanpa Data",IF(J4011&lt;='Catatan &amp; Sumber'!$B$14,"Sangat Ketat",IF(J4011&lt;='Catatan &amp; Sumber'!$B$15,"Ketat",IF(J4011&lt;='Catatan &amp; Sumber'!$B$16,"Sedang","Relatif Longgar"))))</x:f>
        <x:v>Relatif Longgar</x:v>
      </x:c>
      <x:c r="N4011" s="66" t="str">
        <x:v>Tidak Ada</x:v>
      </x:c>
      <x:c r="O4011" s="66" t="str">
        <x:v>Bali</x:v>
      </x:c>
      <x:c r="P4011" s="66" t="str">
        <x:v>Kabupaten Badung</x:v>
      </x:c>
      <x:c r="Q4011" s="66" t="str">
        <x:v>https://snpmb.id/snbp/daya-tampung-snbp</x:v>
      </x:c>
      <x:c r="R4011" s="66" t="str">
        <x:v>https://sidatagrun-public-1076756628210.asia-southeast2.run.app/ptn_sn.php?ptn=617</x:v>
      </x:c>
    </x:row>
    <x:row r="4012">
      <x:c r="A4012" s="87" t="n">
        <x:v>4163</x:v>
      </x:c>
      <x:c r="B4012" s="66" t="n">
        <x:v>617</x:v>
      </x:c>
      <x:c r="C4012" s="66" t="str">
        <x:v>POLITEKNIK NEGERI BALI</x:v>
      </x:c>
      <x:c r="D4012" s="66" t="str">
        <x:v>PTN Vokasi</x:v>
      </x:c>
      <x:c r="E4012" s="66" t="str">
        <x:v>26172028</x:v>
      </x:c>
      <x:c r="F4012" s="66" t="str">
        <x:v>AKUNTANSI BISNIS DIGITAL</x:v>
      </x:c>
      <x:c r="G4012" s="66" t="str">
        <x:v>Sarjana Terapan</x:v>
      </x:c>
      <x:c r="H4012" s="87" t="n">
        <x:v>23</x:v>
      </x:c>
      <x:c r="I4012" s="87" t="n">
        <x:v>28</x:v>
      </x:c>
      <x:c r="J4012" s="68" t="n">
        <x:f>IFERROR(H4012/I4012,"")</x:f>
        <x:v>0.8214285714285714</x:v>
      </x:c>
      <x:c r="K4012" s="69" t="n">
        <x:f>IFERROR(I4012/H4012,"")</x:f>
        <x:v>1.2173913043478262</x:v>
      </x:c>
      <x:c r="L4012" s="66" t="str">
        <x:f>IF(K4012="","","1 : "&amp;TEXT(K4012,"0.0"))</x:f>
        <x:v>1 : 1.2</x:v>
      </x:c>
      <x:c r="M4012" s="66" t="str">
        <x:f>IF(J4012="","Baru/Tanpa Data",IF(J4012&lt;='Catatan &amp; Sumber'!$B$14,"Sangat Ketat",IF(J4012&lt;='Catatan &amp; Sumber'!$B$15,"Ketat",IF(J4012&lt;='Catatan &amp; Sumber'!$B$16,"Sedang","Relatif Longgar"))))</x:f>
        <x:v>Relatif Longgar</x:v>
      </x:c>
      <x:c r="N4012" s="66" t="str">
        <x:v>Tidak Ada</x:v>
      </x:c>
      <x:c r="O4012" s="66" t="str">
        <x:v>Bali</x:v>
      </x:c>
      <x:c r="P4012" s="66" t="str">
        <x:v>Kabupaten Badung</x:v>
      </x:c>
      <x:c r="Q4012" s="66" t="str">
        <x:v>https://snpmb.id/snbp/daya-tampung-snbp</x:v>
      </x:c>
      <x:c r="R4012" s="66" t="str">
        <x:v>https://sidatagrun-public-1076756628210.asia-southeast2.run.app/ptn_sn.php?ptn=617</x:v>
      </x:c>
    </x:row>
    <x:row r="4013">
      <x:c r="A4013" s="87" t="n">
        <x:v>3429</x:v>
      </x:c>
      <x:c r="B4013" s="66" t="n">
        <x:v>617</x:v>
      </x:c>
      <x:c r="C4013" s="66" t="str">
        <x:v>POLITEKNIK NEGERI BALI</x:v>
      </x:c>
      <x:c r="D4013" s="66" t="str">
        <x:v>PTN Vokasi</x:v>
      </x:c>
      <x:c r="E4013" s="66" t="str">
        <x:v>26173011</x:v>
      </x:c>
      <x:c r="F4013" s="66" t="str">
        <x:v>ADMINISTRASI BISNIS</x:v>
      </x:c>
      <x:c r="G4013" s="66" t="str">
        <x:v>Diploma Tiga</x:v>
      </x:c>
      <x:c r="H4013" s="87" t="n">
        <x:v>60</x:v>
      </x:c>
      <x:c r="I4013" s="87" t="n">
        <x:v>146</x:v>
      </x:c>
      <x:c r="J4013" s="68" t="n">
        <x:f>IFERROR(H4013/I4013,"")</x:f>
        <x:v>0.410958904109589</x:v>
      </x:c>
      <x:c r="K4013" s="69" t="n">
        <x:f>IFERROR(I4013/H4013,"")</x:f>
        <x:v>2.433333333333333</x:v>
      </x:c>
      <x:c r="L4013" s="66" t="str">
        <x:f>IF(K4013="","","1 : "&amp;TEXT(K4013,"0.0"))</x:f>
        <x:v>1 : 2.4</x:v>
      </x:c>
      <x:c r="M4013" s="66" t="str">
        <x:f>IF(J4013="","Baru/Tanpa Data",IF(J4013&lt;='Catatan &amp; Sumber'!$B$14,"Sangat Ketat",IF(J4013&lt;='Catatan &amp; Sumber'!$B$15,"Ketat",IF(J4013&lt;='Catatan &amp; Sumber'!$B$16,"Sedang","Relatif Longgar"))))</x:f>
        <x:v>Relatif Longgar</x:v>
      </x:c>
      <x:c r="N4013" s="66" t="str">
        <x:v>Tidak Ada</x:v>
      </x:c>
      <x:c r="O4013" s="66" t="str">
        <x:v>Bali</x:v>
      </x:c>
      <x:c r="P4013" s="66" t="str">
        <x:v>Kabupaten Badung</x:v>
      </x:c>
      <x:c r="Q4013" s="66" t="str">
        <x:v>https://snpmb.id/snbp/daya-tampung-snbp</x:v>
      </x:c>
      <x:c r="R4013" s="66" t="str">
        <x:v>https://sidatagrun-public-1076756628210.asia-southeast2.run.app/ptn_sn.php?ptn=617</x:v>
      </x:c>
    </x:row>
    <x:row r="4014">
      <x:c r="A4014" s="87" t="n">
        <x:v>3367</x:v>
      </x:c>
      <x:c r="B4014" s="66" t="n">
        <x:v>617</x:v>
      </x:c>
      <x:c r="C4014" s="66" t="str">
        <x:v>POLITEKNIK NEGERI BALI</x:v>
      </x:c>
      <x:c r="D4014" s="66" t="str">
        <x:v>PTN Vokasi</x:v>
      </x:c>
      <x:c r="E4014" s="66" t="str">
        <x:v>26173012</x:v>
      </x:c>
      <x:c r="F4014" s="66" t="str">
        <x:v>AKUNTANSI</x:v>
      </x:c>
      <x:c r="G4014" s="66" t="str">
        <x:v>Diploma Tiga</x:v>
      </x:c>
      <x:c r="H4014" s="87" t="n">
        <x:v>53</x:v>
      </x:c>
      <x:c r="I4014" s="87" t="n">
        <x:v>136</x:v>
      </x:c>
      <x:c r="J4014" s="68" t="n">
        <x:f>IFERROR(H4014/I4014,"")</x:f>
        <x:v>0.3897058823529412</x:v>
      </x:c>
      <x:c r="K4014" s="69" t="n">
        <x:f>IFERROR(I4014/H4014,"")</x:f>
        <x:v>2.5660377358490565</x:v>
      </x:c>
      <x:c r="L4014" s="66" t="str">
        <x:f>IF(K4014="","","1 : "&amp;TEXT(K4014,"0.0"))</x:f>
        <x:v>1 : 2.6</x:v>
      </x:c>
      <x:c r="M4014" s="66" t="str">
        <x:f>IF(J4014="","Baru/Tanpa Data",IF(J4014&lt;='Catatan &amp; Sumber'!$B$14,"Sangat Ketat",IF(J4014&lt;='Catatan &amp; Sumber'!$B$15,"Ketat",IF(J4014&lt;='Catatan &amp; Sumber'!$B$16,"Sedang","Relatif Longgar"))))</x:f>
        <x:v>Relatif Longgar</x:v>
      </x:c>
      <x:c r="N4014" s="66" t="str">
        <x:v>Tidak Ada</x:v>
      </x:c>
      <x:c r="O4014" s="66" t="str">
        <x:v>Bali</x:v>
      </x:c>
      <x:c r="P4014" s="66" t="str">
        <x:v>Kabupaten Badung</x:v>
      </x:c>
      <x:c r="Q4014" s="66" t="str">
        <x:v>https://snpmb.id/snbp/daya-tampung-snbp</x:v>
      </x:c>
      <x:c r="R4014" s="66" t="str">
        <x:v>https://sidatagrun-public-1076756628210.asia-southeast2.run.app/ptn_sn.php?ptn=617</x:v>
      </x:c>
    </x:row>
    <x:row r="4015">
      <x:c r="A4015" s="87" t="n">
        <x:v>4066</x:v>
      </x:c>
      <x:c r="B4015" s="66" t="n">
        <x:v>617</x:v>
      </x:c>
      <x:c r="C4015" s="66" t="str">
        <x:v>POLITEKNIK NEGERI BALI</x:v>
      </x:c>
      <x:c r="D4015" s="66" t="str">
        <x:v>PTN Vokasi</x:v>
      </x:c>
      <x:c r="E4015" s="66" t="str">
        <x:v>26173013</x:v>
      </x:c>
      <x:c r="F4015" s="66" t="str">
        <x:v>TEKNIK SIPIL</x:v>
      </x:c>
      <x:c r="G4015" s="66" t="str">
        <x:v>Diploma Tiga</x:v>
      </x:c>
      <x:c r="H4015" s="87" t="n">
        <x:v>38</x:v>
      </x:c>
      <x:c r="I4015" s="87" t="n">
        <x:v>52</x:v>
      </x:c>
      <x:c r="J4015" s="68" t="n">
        <x:f>IFERROR(H4015/I4015,"")</x:f>
        <x:v>0.7307692307692307</x:v>
      </x:c>
      <x:c r="K4015" s="69" t="n">
        <x:f>IFERROR(I4015/H4015,"")</x:f>
        <x:v>1.368421052631579</x:v>
      </x:c>
      <x:c r="L4015" s="66" t="str">
        <x:f>IF(K4015="","","1 : "&amp;TEXT(K4015,"0.0"))</x:f>
        <x:v>1 : 1.4</x:v>
      </x:c>
      <x:c r="M4015" s="66" t="str">
        <x:f>IF(J4015="","Baru/Tanpa Data",IF(J4015&lt;='Catatan &amp; Sumber'!$B$14,"Sangat Ketat",IF(J4015&lt;='Catatan &amp; Sumber'!$B$15,"Ketat",IF(J4015&lt;='Catatan &amp; Sumber'!$B$16,"Sedang","Relatif Longgar"))))</x:f>
        <x:v>Relatif Longgar</x:v>
      </x:c>
      <x:c r="N4015" s="66" t="str">
        <x:v>Tidak Ada</x:v>
      </x:c>
      <x:c r="O4015" s="66" t="str">
        <x:v>Bali</x:v>
      </x:c>
      <x:c r="P4015" s="66" t="str">
        <x:v>Kabupaten Badung</x:v>
      </x:c>
      <x:c r="Q4015" s="66" t="str">
        <x:v>https://snpmb.id/snbp/daya-tampung-snbp</x:v>
      </x:c>
      <x:c r="R4015" s="66" t="str">
        <x:v>https://sidatagrun-public-1076756628210.asia-southeast2.run.app/ptn_sn.php?ptn=617</x:v>
      </x:c>
    </x:row>
    <x:row r="4016">
      <x:c r="A4016" s="87" t="n">
        <x:v>3799</x:v>
      </x:c>
      <x:c r="B4016" s="66" t="n">
        <x:v>617</x:v>
      </x:c>
      <x:c r="C4016" s="66" t="str">
        <x:v>POLITEKNIK NEGERI BALI</x:v>
      </x:c>
      <x:c r="D4016" s="66" t="str">
        <x:v>PTN Vokasi</x:v>
      </x:c>
      <x:c r="E4016" s="66" t="str">
        <x:v>26173014</x:v>
      </x:c>
      <x:c r="F4016" s="66" t="str">
        <x:v>TEKNIK LISTRIK</x:v>
      </x:c>
      <x:c r="G4016" s="66" t="str">
        <x:v>Diploma Tiga</x:v>
      </x:c>
      <x:c r="H4016" s="87" t="n">
        <x:v>38</x:v>
      </x:c>
      <x:c r="I4016" s="87" t="n">
        <x:v>67</x:v>
      </x:c>
      <x:c r="J4016" s="68" t="n">
        <x:f>IFERROR(H4016/I4016,"")</x:f>
        <x:v>0.5671641791044776</x:v>
      </x:c>
      <x:c r="K4016" s="69" t="n">
        <x:f>IFERROR(I4016/H4016,"")</x:f>
        <x:v>1.763157894736842</x:v>
      </x:c>
      <x:c r="L4016" s="66" t="str">
        <x:f>IF(K4016="","","1 : "&amp;TEXT(K4016,"0.0"))</x:f>
        <x:v>1 : 1.8</x:v>
      </x:c>
      <x:c r="M4016" s="66" t="str">
        <x:f>IF(J4016="","Baru/Tanpa Data",IF(J4016&lt;='Catatan &amp; Sumber'!$B$14,"Sangat Ketat",IF(J4016&lt;='Catatan &amp; Sumber'!$B$15,"Ketat",IF(J4016&lt;='Catatan &amp; Sumber'!$B$16,"Sedang","Relatif Longgar"))))</x:f>
        <x:v>Relatif Longgar</x:v>
      </x:c>
      <x:c r="N4016" s="66" t="str">
        <x:v>Tidak Ada</x:v>
      </x:c>
      <x:c r="O4016" s="66" t="str">
        <x:v>Bali</x:v>
      </x:c>
      <x:c r="P4016" s="66" t="str">
        <x:v>Kabupaten Badung</x:v>
      </x:c>
      <x:c r="Q4016" s="66" t="str">
        <x:v>https://snpmb.id/snbp/daya-tampung-snbp</x:v>
      </x:c>
      <x:c r="R4016" s="66" t="str">
        <x:v>https://sidatagrun-public-1076756628210.asia-southeast2.run.app/ptn_sn.php?ptn=617</x:v>
      </x:c>
    </x:row>
    <x:row r="4017">
      <x:c r="A4017" s="87" t="n">
        <x:v>4170</x:v>
      </x:c>
      <x:c r="B4017" s="66" t="n">
        <x:v>617</x:v>
      </x:c>
      <x:c r="C4017" s="66" t="str">
        <x:v>POLITEKNIK NEGERI BALI</x:v>
      </x:c>
      <x:c r="D4017" s="66" t="str">
        <x:v>PTN Vokasi</x:v>
      </x:c>
      <x:c r="E4017" s="66" t="str">
        <x:v>26173015</x:v>
      </x:c>
      <x:c r="F4017" s="66" t="str">
        <x:v>PERHOTELAN (KAMPUS KAB. KARANGASEM)</x:v>
      </x:c>
      <x:c r="G4017" s="66" t="str">
        <x:v>Diploma Tiga</x:v>
      </x:c>
      <x:c r="H4017" s="87" t="n">
        <x:v>15</x:v>
      </x:c>
      <x:c r="I4017" s="87" t="n">
        <x:v>18</x:v>
      </x:c>
      <x:c r="J4017" s="68" t="n">
        <x:f>IFERROR(H4017/I4017,"")</x:f>
        <x:v>0.8333333333333334</x:v>
      </x:c>
      <x:c r="K4017" s="69" t="n">
        <x:f>IFERROR(I4017/H4017,"")</x:f>
        <x:v>1.2</x:v>
      </x:c>
      <x:c r="L4017" s="66" t="str">
        <x:f>IF(K4017="","","1 : "&amp;TEXT(K4017,"0.0"))</x:f>
        <x:v>1 : 1.2</x:v>
      </x:c>
      <x:c r="M4017" s="66" t="str">
        <x:f>IF(J4017="","Baru/Tanpa Data",IF(J4017&lt;='Catatan &amp; Sumber'!$B$14,"Sangat Ketat",IF(J4017&lt;='Catatan &amp; Sumber'!$B$15,"Ketat",IF(J4017&lt;='Catatan &amp; Sumber'!$B$16,"Sedang","Relatif Longgar"))))</x:f>
        <x:v>Relatif Longgar</x:v>
      </x:c>
      <x:c r="N4017" s="66" t="str">
        <x:v>Tidak Ada</x:v>
      </x:c>
      <x:c r="O4017" s="66" t="str">
        <x:v>Bali</x:v>
      </x:c>
      <x:c r="P4017" s="66" t="str">
        <x:v>Kabupaten Badung</x:v>
      </x:c>
      <x:c r="Q4017" s="66" t="str">
        <x:v>https://snpmb.id/snbp/daya-tampung-snbp</x:v>
      </x:c>
      <x:c r="R4017" s="66" t="str">
        <x:v>https://sidatagrun-public-1076756628210.asia-southeast2.run.app/ptn_sn.php?ptn=617</x:v>
      </x:c>
    </x:row>
    <x:row r="4018">
      <x:c r="A4018" s="87" t="n">
        <x:v>4602</x:v>
      </x:c>
      <x:c r="B4018" s="66" t="n">
        <x:v>617</x:v>
      </x:c>
      <x:c r="C4018" s="66" t="str">
        <x:v>POLITEKNIK NEGERI BALI</x:v>
      </x:c>
      <x:c r="D4018" s="66" t="str">
        <x:v>PTN Vokasi</x:v>
      </x:c>
      <x:c r="E4018" s="66" t="str">
        <x:v>26173016</x:v>
      </x:c>
      <x:c r="F4018" s="66" t="str">
        <x:v>PERHOTELAN (KAMPUS KAB. JEMBRANA)</x:v>
      </x:c>
      <x:c r="G4018" s="66" t="str">
        <x:v>Diploma Tiga</x:v>
      </x:c>
      <x:c r="H4018" s="87" t="n">
        <x:v>15</x:v>
      </x:c>
      <x:c r="I4018" s="87" t="n">
        <x:v>9</x:v>
      </x:c>
      <x:c r="J4018" s="68" t="n">
        <x:f>IFERROR(H4018/I4018,"")</x:f>
        <x:v>1.6666666666666667</x:v>
      </x:c>
      <x:c r="K4018" s="69" t="n">
        <x:f>IFERROR(I4018/H4018,"")</x:f>
        <x:v>0.6</x:v>
      </x:c>
      <x:c r="L4018" s="66" t="str">
        <x:f>IF(K4018="","","1 : "&amp;TEXT(K4018,"0.0"))</x:f>
        <x:v>1 : 0.6</x:v>
      </x:c>
      <x:c r="M4018" s="66" t="str">
        <x:f>IF(J4018="","Baru/Tanpa Data",IF(J4018&lt;='Catatan &amp; Sumber'!$B$14,"Sangat Ketat",IF(J4018&lt;='Catatan &amp; Sumber'!$B$15,"Ketat",IF(J4018&lt;='Catatan &amp; Sumber'!$B$16,"Sedang","Relatif Longgar"))))</x:f>
        <x:v>Relatif Longgar</x:v>
      </x:c>
      <x:c r="N4018" s="66" t="str">
        <x:v>Tidak Ada</x:v>
      </x:c>
      <x:c r="O4018" s="66" t="str">
        <x:v>Bali</x:v>
      </x:c>
      <x:c r="P4018" s="66" t="str">
        <x:v>Kabupaten Badung</x:v>
      </x:c>
      <x:c r="Q4018" s="66" t="str">
        <x:v>https://snpmb.id/snbp/daya-tampung-snbp</x:v>
      </x:c>
      <x:c r="R4018" s="66" t="str">
        <x:v>https://sidatagrun-public-1076756628210.asia-southeast2.run.app/ptn_sn.php?ptn=617</x:v>
      </x:c>
    </x:row>
    <x:row r="4019">
      <x:c r="A4019" s="87" t="n">
        <x:v>3983</x:v>
      </x:c>
      <x:c r="B4019" s="66" t="n">
        <x:v>617</x:v>
      </x:c>
      <x:c r="C4019" s="66" t="str">
        <x:v>POLITEKNIK NEGERI BALI</x:v>
      </x:c>
      <x:c r="D4019" s="66" t="str">
        <x:v>PTN Vokasi</x:v>
      </x:c>
      <x:c r="E4019" s="66" t="str">
        <x:v>26173017</x:v>
      </x:c>
      <x:c r="F4019" s="66" t="str">
        <x:v>USAHA PERJALANAN WISATA</x:v>
      </x:c>
      <x:c r="G4019" s="66" t="str">
        <x:v>Diploma Tiga</x:v>
      </x:c>
      <x:c r="H4019" s="87" t="n">
        <x:v>23</x:v>
      </x:c>
      <x:c r="I4019" s="87" t="n">
        <x:v>34</x:v>
      </x:c>
      <x:c r="J4019" s="68" t="n">
        <x:f>IFERROR(H4019/I4019,"")</x:f>
        <x:v>0.6764705882352942</x:v>
      </x:c>
      <x:c r="K4019" s="69" t="n">
        <x:f>IFERROR(I4019/H4019,"")</x:f>
        <x:v>1.4782608695652173</x:v>
      </x:c>
      <x:c r="L4019" s="66" t="str">
        <x:f>IF(K4019="","","1 : "&amp;TEXT(K4019,"0.0"))</x:f>
        <x:v>1 : 1.5</x:v>
      </x:c>
      <x:c r="M4019" s="66" t="str">
        <x:f>IF(J4019="","Baru/Tanpa Data",IF(J4019&lt;='Catatan &amp; Sumber'!$B$14,"Sangat Ketat",IF(J4019&lt;='Catatan &amp; Sumber'!$B$15,"Ketat",IF(J4019&lt;='Catatan &amp; Sumber'!$B$16,"Sedang","Relatif Longgar"))))</x:f>
        <x:v>Relatif Longgar</x:v>
      </x:c>
      <x:c r="N4019" s="66" t="str">
        <x:v>Tidak Ada</x:v>
      </x:c>
      <x:c r="O4019" s="66" t="str">
        <x:v>Bali</x:v>
      </x:c>
      <x:c r="P4019" s="66" t="str">
        <x:v>Kabupaten Badung</x:v>
      </x:c>
      <x:c r="Q4019" s="66" t="str">
        <x:v>https://snpmb.id/snbp/daya-tampung-snbp</x:v>
      </x:c>
      <x:c r="R4019" s="66" t="str">
        <x:v>https://sidatagrun-public-1076756628210.asia-southeast2.run.app/ptn_sn.php?ptn=617</x:v>
      </x:c>
    </x:row>
    <x:row r="4020">
      <x:c r="A4020" s="87" t="n">
        <x:v>3167</x:v>
      </x:c>
      <x:c r="B4020" s="66" t="n">
        <x:v>617</x:v>
      </x:c>
      <x:c r="C4020" s="66" t="str">
        <x:v>POLITEKNIK NEGERI BALI</x:v>
      </x:c>
      <x:c r="D4020" s="66" t="str">
        <x:v>PTN Vokasi</x:v>
      </x:c>
      <x:c r="E4020" s="66" t="str">
        <x:v>26173018</x:v>
      </x:c>
      <x:c r="F4020" s="66" t="str">
        <x:v>TEKNIK MESIN</x:v>
      </x:c>
      <x:c r="G4020" s="66" t="str">
        <x:v>Diploma Tiga</x:v>
      </x:c>
      <x:c r="H4020" s="87" t="n">
        <x:v>45</x:v>
      </x:c>
      <x:c r="I4020" s="87" t="n">
        <x:v>135</x:v>
      </x:c>
      <x:c r="J4020" s="68" t="n">
        <x:f>IFERROR(H4020/I4020,"")</x:f>
        <x:v>0.3333333333333333</x:v>
      </x:c>
      <x:c r="K4020" s="69" t="n">
        <x:f>IFERROR(I4020/H4020,"")</x:f>
        <x:v>3</x:v>
      </x:c>
      <x:c r="L4020" s="66" t="str">
        <x:f>IF(K4020="","","1 : "&amp;TEXT(K4020,"0.0"))</x:f>
        <x:v>1 : 3.0</x:v>
      </x:c>
      <x:c r="M4020" s="66" t="str">
        <x:f>IF(J4020="","Baru/Tanpa Data",IF(J4020&lt;='Catatan &amp; Sumber'!$B$14,"Sangat Ketat",IF(J4020&lt;='Catatan &amp; Sumber'!$B$15,"Ketat",IF(J4020&lt;='Catatan &amp; Sumber'!$B$16,"Sedang","Relatif Longgar"))))</x:f>
        <x:v>Relatif Longgar</x:v>
      </x:c>
      <x:c r="N4020" s="66" t="str">
        <x:v>Tidak Ada</x:v>
      </x:c>
      <x:c r="O4020" s="66" t="str">
        <x:v>Bali</x:v>
      </x:c>
      <x:c r="P4020" s="66" t="str">
        <x:v>Kabupaten Badung</x:v>
      </x:c>
      <x:c r="Q4020" s="66" t="str">
        <x:v>https://snpmb.id/snbp/daya-tampung-snbp</x:v>
      </x:c>
      <x:c r="R4020" s="66" t="str">
        <x:v>https://sidatagrun-public-1076756628210.asia-southeast2.run.app/ptn_sn.php?ptn=617</x:v>
      </x:c>
    </x:row>
    <x:row r="4021">
      <x:c r="A4021" s="87" t="n">
        <x:v>3495</x:v>
      </x:c>
      <x:c r="B4021" s="66" t="n">
        <x:v>617</x:v>
      </x:c>
      <x:c r="C4021" s="66" t="str">
        <x:v>POLITEKNIK NEGERI BALI</x:v>
      </x:c>
      <x:c r="D4021" s="66" t="str">
        <x:v>PTN Vokasi</x:v>
      </x:c>
      <x:c r="E4021" s="66" t="str">
        <x:v>26173020</x:v>
      </x:c>
      <x:c r="F4021" s="66" t="str">
        <x:v>TEKNIK PENDINGIN DAN TATA UDARA</x:v>
      </x:c>
      <x:c r="G4021" s="66" t="str">
        <x:v>Diploma Tiga</x:v>
      </x:c>
      <x:c r="H4021" s="87" t="n">
        <x:v>23</x:v>
      </x:c>
      <x:c r="I4021" s="87" t="n">
        <x:v>53</x:v>
      </x:c>
      <x:c r="J4021" s="68" t="n">
        <x:f>IFERROR(H4021/I4021,"")</x:f>
        <x:v>0.4339622641509434</x:v>
      </x:c>
      <x:c r="K4021" s="69" t="n">
        <x:f>IFERROR(I4021/H4021,"")</x:f>
        <x:v>2.3043478260869565</x:v>
      </x:c>
      <x:c r="L4021" s="66" t="str">
        <x:f>IF(K4021="","","1 : "&amp;TEXT(K4021,"0.0"))</x:f>
        <x:v>1 : 2.3</x:v>
      </x:c>
      <x:c r="M4021" s="66" t="str">
        <x:f>IF(J4021="","Baru/Tanpa Data",IF(J4021&lt;='Catatan &amp; Sumber'!$B$14,"Sangat Ketat",IF(J4021&lt;='Catatan &amp; Sumber'!$B$15,"Ketat",IF(J4021&lt;='Catatan &amp; Sumber'!$B$16,"Sedang","Relatif Longgar"))))</x:f>
        <x:v>Relatif Longgar</x:v>
      </x:c>
      <x:c r="N4021" s="66" t="str">
        <x:v>Tidak Ada</x:v>
      </x:c>
      <x:c r="O4021" s="66" t="str">
        <x:v>Bali</x:v>
      </x:c>
      <x:c r="P4021" s="66" t="str">
        <x:v>Kabupaten Badung</x:v>
      </x:c>
      <x:c r="Q4021" s="66" t="str">
        <x:v>https://snpmb.id/snbp/daya-tampung-snbp</x:v>
      </x:c>
      <x:c r="R4021" s="66" t="str">
        <x:v>https://sidatagrun-public-1076756628210.asia-southeast2.run.app/ptn_sn.php?ptn=617</x:v>
      </x:c>
    </x:row>
    <x:row r="4022">
      <x:c r="A4022" s="87" t="n">
        <x:v>3794</x:v>
      </x:c>
      <x:c r="B4022" s="66" t="n">
        <x:v>617</x:v>
      </x:c>
      <x:c r="C4022" s="66" t="str">
        <x:v>POLITEKNIK NEGERI BALI</x:v>
      </x:c>
      <x:c r="D4022" s="66" t="str">
        <x:v>PTN Vokasi</x:v>
      </x:c>
      <x:c r="E4022" s="66" t="str">
        <x:v>26173021</x:v>
      </x:c>
      <x:c r="F4022" s="66" t="str">
        <x:v>MANAJEMEN INFORMATIKA</x:v>
      </x:c>
      <x:c r="G4022" s="66" t="str">
        <x:v>Diploma Tiga</x:v>
      </x:c>
      <x:c r="H4022" s="87" t="n">
        <x:v>30</x:v>
      </x:c>
      <x:c r="I4022" s="87" t="n">
        <x:v>53</x:v>
      </x:c>
      <x:c r="J4022" s="68" t="n">
        <x:f>IFERROR(H4022/I4022,"")</x:f>
        <x:v>0.5660377358490566</x:v>
      </x:c>
      <x:c r="K4022" s="69" t="n">
        <x:f>IFERROR(I4022/H4022,"")</x:f>
        <x:v>1.7666666666666666</x:v>
      </x:c>
      <x:c r="L4022" s="66" t="str">
        <x:f>IF(K4022="","","1 : "&amp;TEXT(K4022,"0.0"))</x:f>
        <x:v>1 : 1.8</x:v>
      </x:c>
      <x:c r="M4022" s="66" t="str">
        <x:f>IF(J4022="","Baru/Tanpa Data",IF(J4022&lt;='Catatan &amp; Sumber'!$B$14,"Sangat Ketat",IF(J4022&lt;='Catatan &amp; Sumber'!$B$15,"Ketat",IF(J4022&lt;='Catatan &amp; Sumber'!$B$16,"Sedang","Relatif Longgar"))))</x:f>
        <x:v>Relatif Longgar</x:v>
      </x:c>
      <x:c r="N4022" s="66" t="str">
        <x:v>Tidak Ada</x:v>
      </x:c>
      <x:c r="O4022" s="66" t="str">
        <x:v>Bali</x:v>
      </x:c>
      <x:c r="P4022" s="66" t="str">
        <x:v>Kabupaten Badung</x:v>
      </x:c>
      <x:c r="Q4022" s="66" t="str">
        <x:v>https://snpmb.id/snbp/daya-tampung-snbp</x:v>
      </x:c>
      <x:c r="R4022" s="66" t="str">
        <x:v>https://sidatagrun-public-1076756628210.asia-southeast2.run.app/ptn_sn.php?ptn=617</x:v>
      </x:c>
    </x:row>
    <x:row r="4023">
      <x:c r="A4023" s="87" t="n">
        <x:v>2920</x:v>
      </x:c>
      <x:c r="B4023" s="66" t="n">
        <x:v>617</x:v>
      </x:c>
      <x:c r="C4023" s="66" t="str">
        <x:v>POLITEKNIK NEGERI BALI</x:v>
      </x:c>
      <x:c r="D4023" s="66" t="str">
        <x:v>PTN Vokasi</x:v>
      </x:c>
      <x:c r="E4023" s="66" t="str">
        <x:v>26173022</x:v>
      </x:c>
      <x:c r="F4023" s="66" t="str">
        <x:v>PERHOTELAN</x:v>
      </x:c>
      <x:c r="G4023" s="66" t="str">
        <x:v>Diploma Tiga</x:v>
      </x:c>
      <x:c r="H4023" s="87" t="n">
        <x:v>98</x:v>
      </x:c>
      <x:c r="I4023" s="87" t="n">
        <x:v>353</x:v>
      </x:c>
      <x:c r="J4023" s="68" t="n">
        <x:f>IFERROR(H4023/I4023,"")</x:f>
        <x:v>0.2776203966005666</x:v>
      </x:c>
      <x:c r="K4023" s="69" t="n">
        <x:f>IFERROR(I4023/H4023,"")</x:f>
        <x:v>3.6020408163265305</x:v>
      </x:c>
      <x:c r="L4023" s="66" t="str">
        <x:f>IF(K4023="","","1 : "&amp;TEXT(K4023,"0.0"))</x:f>
        <x:v>1 : 3.6</x:v>
      </x:c>
      <x:c r="M4023" s="66" t="str">
        <x:f>IF(J4023="","Baru/Tanpa Data",IF(J4023&lt;='Catatan &amp; Sumber'!$B$14,"Sangat Ketat",IF(J4023&lt;='Catatan &amp; Sumber'!$B$15,"Ketat",IF(J4023&lt;='Catatan &amp; Sumber'!$B$16,"Sedang","Relatif Longgar"))))</x:f>
        <x:v>Relatif Longgar</x:v>
      </x:c>
      <x:c r="N4023" s="66" t="str">
        <x:v>Tidak Ada</x:v>
      </x:c>
      <x:c r="O4023" s="66" t="str">
        <x:v>Bali</x:v>
      </x:c>
      <x:c r="P4023" s="66" t="str">
        <x:v>Kabupaten Badung</x:v>
      </x:c>
      <x:c r="Q4023" s="66" t="str">
        <x:v>https://snpmb.id/snbp/daya-tampung-snbp</x:v>
      </x:c>
      <x:c r="R4023" s="66" t="str">
        <x:v>https://sidatagrun-public-1076756628210.asia-southeast2.run.app/ptn_sn.php?ptn=617</x:v>
      </x:c>
    </x:row>
    <x:row r="4024">
      <x:c r="A4024" s="87" t="n">
        <x:v>4415</x:v>
      </x:c>
      <x:c r="B4024" s="66" t="n">
        <x:v>617</x:v>
      </x:c>
      <x:c r="C4024" s="66" t="str">
        <x:v>POLITEKNIK NEGERI BALI</x:v>
      </x:c>
      <x:c r="D4024" s="66" t="str">
        <x:v>PTN Vokasi</x:v>
      </x:c>
      <x:c r="E4024" s="66" t="str">
        <x:v>26173023</x:v>
      </x:c>
      <x:c r="F4024" s="66" t="str">
        <x:v>ADMINISTRASI BISNIS (KAMPUS KAB. KARANGASEM)</x:v>
      </x:c>
      <x:c r="G4024" s="66" t="str">
        <x:v>Diploma Tiga</x:v>
      </x:c>
      <x:c r="H4024" s="87" t="n">
        <x:v>15</x:v>
      </x:c>
      <x:c r="I4024" s="87" t="n">
        <x:v>13</x:v>
      </x:c>
      <x:c r="J4024" s="68" t="n">
        <x:f>IFERROR(H4024/I4024,"")</x:f>
        <x:v>1.1538461538461537</x:v>
      </x:c>
      <x:c r="K4024" s="69" t="n">
        <x:f>IFERROR(I4024/H4024,"")</x:f>
        <x:v>0.8666666666666667</x:v>
      </x:c>
      <x:c r="L4024" s="66" t="str">
        <x:f>IF(K4024="","","1 : "&amp;TEXT(K4024,"0.0"))</x:f>
        <x:v>1 : 0.9</x:v>
      </x:c>
      <x:c r="M4024" s="66" t="str">
        <x:f>IF(J4024="","Baru/Tanpa Data",IF(J4024&lt;='Catatan &amp; Sumber'!$B$14,"Sangat Ketat",IF(J4024&lt;='Catatan &amp; Sumber'!$B$15,"Ketat",IF(J4024&lt;='Catatan &amp; Sumber'!$B$16,"Sedang","Relatif Longgar"))))</x:f>
        <x:v>Relatif Longgar</x:v>
      </x:c>
      <x:c r="N4024" s="66" t="str">
        <x:v>Tidak Ada</x:v>
      </x:c>
      <x:c r="O4024" s="66" t="str">
        <x:v>Bali</x:v>
      </x:c>
      <x:c r="P4024" s="66" t="str">
        <x:v>Kabupaten Badung</x:v>
      </x:c>
      <x:c r="Q4024" s="66" t="str">
        <x:v>https://snpmb.id/snbp/daya-tampung-snbp</x:v>
      </x:c>
      <x:c r="R4024" s="66" t="str">
        <x:v>https://sidatagrun-public-1076756628210.asia-southeast2.run.app/ptn_sn.php?ptn=617</x:v>
      </x:c>
    </x:row>
    <x:row r="4025">
      <x:c r="A4025" s="87" t="n">
        <x:v>2058</x:v>
      </x:c>
      <x:c r="B4025" s="66" t="n">
        <x:v>621</x:v>
      </x:c>
      <x:c r="C4025" s="66" t="str">
        <x:v>UNIVERSITAS MATARAM</x:v>
      </x:c>
      <x:c r="D4025" s="66" t="str">
        <x:v>PTN Akademik</x:v>
      </x:c>
      <x:c r="E4025" s="66" t="str">
        <x:v>16211001</x:v>
      </x:c>
      <x:c r="F4025" s="66" t="str">
        <x:v>AGROEKOTEKNOLOGI</x:v>
      </x:c>
      <x:c r="G4025" s="66" t="str">
        <x:v>Sarjana</x:v>
      </x:c>
      <x:c r="H4025" s="87" t="n">
        <x:v>32</x:v>
      </x:c>
      <x:c r="I4025" s="87" t="n">
        <x:v>203</x:v>
      </x:c>
      <x:c r="J4025" s="68" t="n">
        <x:f>IFERROR(H4025/I4025,"")</x:f>
        <x:v>0.15763546798029557</x:v>
      </x:c>
      <x:c r="K4025" s="69" t="n">
        <x:f>IFERROR(I4025/H4025,"")</x:f>
        <x:v>6.34375</x:v>
      </x:c>
      <x:c r="L4025" s="66" t="str">
        <x:f>IF(K4025="","","1 : "&amp;TEXT(K4025,"0.0"))</x:f>
        <x:v>1 : 6.3</x:v>
      </x:c>
      <x:c r="M4025" s="66" t="str">
        <x:f>IF(J4025="","Baru/Tanpa Data",IF(J4025&lt;='Catatan &amp; Sumber'!$B$14,"Sangat Ketat",IF(J4025&lt;='Catatan &amp; Sumber'!$B$15,"Ketat",IF(J4025&lt;='Catatan &amp; Sumber'!$B$16,"Sedang","Relatif Longgar"))))</x:f>
        <x:v>Relatif Longgar</x:v>
      </x:c>
      <x:c r="N4025" s="66" t="str">
        <x:v>Tidak Ada</x:v>
      </x:c>
      <x:c r="O4025" s="66" t="str">
        <x:v>Nusa Tenggara Barat</x:v>
      </x:c>
      <x:c r="P4025" s="66" t="str">
        <x:v>Kota Mataram</x:v>
      </x:c>
      <x:c r="Q4025" s="66" t="str">
        <x:v>https://snpmb.id/snbp/daya-tampung-snbp</x:v>
      </x:c>
      <x:c r="R4025" s="66" t="str">
        <x:v>https://sidatagrun-public-1076756628210.asia-southeast2.run.app/ptn_sn.php?ptn=621</x:v>
      </x:c>
    </x:row>
    <x:row r="4026">
      <x:c r="A4026" s="87" t="n">
        <x:v>1431</x:v>
      </x:c>
      <x:c r="B4026" s="66" t="n">
        <x:v>621</x:v>
      </x:c>
      <x:c r="C4026" s="66" t="str">
        <x:v>UNIVERSITAS MATARAM</x:v>
      </x:c>
      <x:c r="D4026" s="66" t="str">
        <x:v>PTN Akademik</x:v>
      </x:c>
      <x:c r="E4026" s="66" t="str">
        <x:v>16211002</x:v>
      </x:c>
      <x:c r="F4026" s="66" t="str">
        <x:v>AGRIBISNIS</x:v>
      </x:c>
      <x:c r="G4026" s="66" t="str">
        <x:v>Sarjana</x:v>
      </x:c>
      <x:c r="H4026" s="87" t="n">
        <x:v>57</x:v>
      </x:c>
      <x:c r="I4026" s="87" t="n">
        <x:v>545</x:v>
      </x:c>
      <x:c r="J4026" s="68" t="n">
        <x:f>IFERROR(H4026/I4026,"")</x:f>
        <x:v>0.10458715596330276</x:v>
      </x:c>
      <x:c r="K4026" s="69" t="n">
        <x:f>IFERROR(I4026/H4026,"")</x:f>
        <x:v>9.56140350877193</x:v>
      </x:c>
      <x:c r="L4026" s="66" t="str">
        <x:f>IF(K4026="","","1 : "&amp;TEXT(K4026,"0.0"))</x:f>
        <x:v>1 : 9.6</x:v>
      </x:c>
      <x:c r="M4026" s="66" t="str">
        <x:f>IF(J4026="","Baru/Tanpa Data",IF(J4026&lt;='Catatan &amp; Sumber'!$B$14,"Sangat Ketat",IF(J4026&lt;='Catatan &amp; Sumber'!$B$15,"Ketat",IF(J4026&lt;='Catatan &amp; Sumber'!$B$16,"Sedang","Relatif Longgar"))))</x:f>
        <x:v>Relatif Longgar</x:v>
      </x:c>
      <x:c r="N4026" s="66" t="str">
        <x:v>Tidak Ada</x:v>
      </x:c>
      <x:c r="O4026" s="66" t="str">
        <x:v>Nusa Tenggara Barat</x:v>
      </x:c>
      <x:c r="P4026" s="66" t="str">
        <x:v>Kota Mataram</x:v>
      </x:c>
      <x:c r="Q4026" s="66" t="str">
        <x:v>https://snpmb.id/snbp/daya-tampung-snbp</x:v>
      </x:c>
      <x:c r="R4026" s="66" t="str">
        <x:v>https://sidatagrun-public-1076756628210.asia-southeast2.run.app/ptn_sn.php?ptn=621</x:v>
      </x:c>
    </x:row>
    <x:row r="4027">
      <x:c r="A4027" s="87" t="n">
        <x:v>1887</x:v>
      </x:c>
      <x:c r="B4027" s="66" t="n">
        <x:v>621</x:v>
      </x:c>
      <x:c r="C4027" s="66" t="str">
        <x:v>UNIVERSITAS MATARAM</x:v>
      </x:c>
      <x:c r="D4027" s="66" t="str">
        <x:v>PTN Akademik</x:v>
      </x:c>
      <x:c r="E4027" s="66" t="str">
        <x:v>16211003</x:v>
      </x:c>
      <x:c r="F4027" s="66" t="str">
        <x:v>KEHUTANAN</x:v>
      </x:c>
      <x:c r="G4027" s="66" t="str">
        <x:v>Sarjana</x:v>
      </x:c>
      <x:c r="H4027" s="87" t="n">
        <x:v>26</x:v>
      </x:c>
      <x:c r="I4027" s="87" t="n">
        <x:v>186</x:v>
      </x:c>
      <x:c r="J4027" s="68" t="n">
        <x:f>IFERROR(H4027/I4027,"")</x:f>
        <x:v>0.13978494623655913</x:v>
      </x:c>
      <x:c r="K4027" s="69" t="n">
        <x:f>IFERROR(I4027/H4027,"")</x:f>
        <x:v>7.153846153846154</x:v>
      </x:c>
      <x:c r="L4027" s="66" t="str">
        <x:f>IF(K4027="","","1 : "&amp;TEXT(K4027,"0.0"))</x:f>
        <x:v>1 : 7.2</x:v>
      </x:c>
      <x:c r="M4027" s="66" t="str">
        <x:f>IF(J4027="","Baru/Tanpa Data",IF(J4027&lt;='Catatan &amp; Sumber'!$B$14,"Sangat Ketat",IF(J4027&lt;='Catatan &amp; Sumber'!$B$15,"Ketat",IF(J4027&lt;='Catatan &amp; Sumber'!$B$16,"Sedang","Relatif Longgar"))))</x:f>
        <x:v>Relatif Longgar</x:v>
      </x:c>
      <x:c r="N4027" s="66" t="str">
        <x:v>Tidak Ada</x:v>
      </x:c>
      <x:c r="O4027" s="66" t="str">
        <x:v>Nusa Tenggara Barat</x:v>
      </x:c>
      <x:c r="P4027" s="66" t="str">
        <x:v>Kota Mataram</x:v>
      </x:c>
      <x:c r="Q4027" s="66" t="str">
        <x:v>https://snpmb.id/snbp/daya-tampung-snbp</x:v>
      </x:c>
      <x:c r="R4027" s="66" t="str">
        <x:v>https://sidatagrun-public-1076756628210.asia-southeast2.run.app/ptn_sn.php?ptn=621</x:v>
      </x:c>
    </x:row>
    <x:row r="4028">
      <x:c r="A4028" s="87" t="n">
        <x:v>1210</x:v>
      </x:c>
      <x:c r="B4028" s="66" t="n">
        <x:v>621</x:v>
      </x:c>
      <x:c r="C4028" s="66" t="str">
        <x:v>UNIVERSITAS MATARAM</x:v>
      </x:c>
      <x:c r="D4028" s="66" t="str">
        <x:v>PTN Akademik</x:v>
      </x:c>
      <x:c r="E4028" s="66" t="str">
        <x:v>16211004</x:v>
      </x:c>
      <x:c r="F4028" s="66" t="str">
        <x:v>PENDIDIKAN BIOLOGI</x:v>
      </x:c>
      <x:c r="G4028" s="66" t="str">
        <x:v>Sarjana</x:v>
      </x:c>
      <x:c r="H4028" s="87" t="n">
        <x:v>26</x:v>
      </x:c>
      <x:c r="I4028" s="87" t="n">
        <x:v>288</x:v>
      </x:c>
      <x:c r="J4028" s="68" t="n">
        <x:f>IFERROR(H4028/I4028,"")</x:f>
        <x:v>0.09027777777777778</x:v>
      </x:c>
      <x:c r="K4028" s="69" t="n">
        <x:f>IFERROR(I4028/H4028,"")</x:f>
        <x:v>11.076923076923077</x:v>
      </x:c>
      <x:c r="L4028" s="66" t="str">
        <x:f>IF(K4028="","","1 : "&amp;TEXT(K4028,"0.0"))</x:f>
        <x:v>1 : 11.1</x:v>
      </x:c>
      <x:c r="M4028" s="66" t="str">
        <x:f>IF(J4028="","Baru/Tanpa Data",IF(J4028&lt;='Catatan &amp; Sumber'!$B$14,"Sangat Ketat",IF(J4028&lt;='Catatan &amp; Sumber'!$B$15,"Ketat",IF(J4028&lt;='Catatan &amp; Sumber'!$B$16,"Sedang","Relatif Longgar"))))</x:f>
        <x:v>Sedang</x:v>
      </x:c>
      <x:c r="N4028" s="66" t="str">
        <x:v>Tidak Ada</x:v>
      </x:c>
      <x:c r="O4028" s="66" t="str">
        <x:v>Nusa Tenggara Barat</x:v>
      </x:c>
      <x:c r="P4028" s="66" t="str">
        <x:v>Kota Mataram</x:v>
      </x:c>
      <x:c r="Q4028" s="66" t="str">
        <x:v>https://snpmb.id/snbp/daya-tampung-snbp</x:v>
      </x:c>
      <x:c r="R4028" s="66" t="str">
        <x:v>https://sidatagrun-public-1076756628210.asia-southeast2.run.app/ptn_sn.php?ptn=621</x:v>
      </x:c>
    </x:row>
    <x:row r="4029">
      <x:c r="A4029" s="87" t="n">
        <x:v>2189</x:v>
      </x:c>
      <x:c r="B4029" s="66" t="n">
        <x:v>621</x:v>
      </x:c>
      <x:c r="C4029" s="66" t="str">
        <x:v>UNIVERSITAS MATARAM</x:v>
      </x:c>
      <x:c r="D4029" s="66" t="str">
        <x:v>PTN Akademik</x:v>
      </x:c>
      <x:c r="E4029" s="66" t="str">
        <x:v>16211005</x:v>
      </x:c>
      <x:c r="F4029" s="66" t="str">
        <x:v>PENDIDIKAN KIMIA</x:v>
      </x:c>
      <x:c r="G4029" s="66" t="str">
        <x:v>Sarjana</x:v>
      </x:c>
      <x:c r="H4029" s="87" t="n">
        <x:v>16</x:v>
      </x:c>
      <x:c r="I4029" s="87" t="n">
        <x:v>94</x:v>
      </x:c>
      <x:c r="J4029" s="68" t="n">
        <x:f>IFERROR(H4029/I4029,"")</x:f>
        <x:v>0.1702127659574468</x:v>
      </x:c>
      <x:c r="K4029" s="69" t="n">
        <x:f>IFERROR(I4029/H4029,"")</x:f>
        <x:v>5.875</x:v>
      </x:c>
      <x:c r="L4029" s="66" t="str">
        <x:f>IF(K4029="","","1 : "&amp;TEXT(K4029,"0.0"))</x:f>
        <x:v>1 : 5.9</x:v>
      </x:c>
      <x:c r="M4029" s="66" t="str">
        <x:f>IF(J4029="","Baru/Tanpa Data",IF(J4029&lt;='Catatan &amp; Sumber'!$B$14,"Sangat Ketat",IF(J4029&lt;='Catatan &amp; Sumber'!$B$15,"Ketat",IF(J4029&lt;='Catatan &amp; Sumber'!$B$16,"Sedang","Relatif Longgar"))))</x:f>
        <x:v>Relatif Longgar</x:v>
      </x:c>
      <x:c r="N4029" s="66" t="str">
        <x:v>Tidak Ada</x:v>
      </x:c>
      <x:c r="O4029" s="66" t="str">
        <x:v>Nusa Tenggara Barat</x:v>
      </x:c>
      <x:c r="P4029" s="66" t="str">
        <x:v>Kota Mataram</x:v>
      </x:c>
      <x:c r="Q4029" s="66" t="str">
        <x:v>https://snpmb.id/snbp/daya-tampung-snbp</x:v>
      </x:c>
      <x:c r="R4029" s="66" t="str">
        <x:v>https://sidatagrun-public-1076756628210.asia-southeast2.run.app/ptn_sn.php?ptn=621</x:v>
      </x:c>
    </x:row>
    <x:row r="4030">
      <x:c r="A4030" s="87" t="n">
        <x:v>2208</x:v>
      </x:c>
      <x:c r="B4030" s="66" t="n">
        <x:v>621</x:v>
      </x:c>
      <x:c r="C4030" s="66" t="str">
        <x:v>UNIVERSITAS MATARAM</x:v>
      </x:c>
      <x:c r="D4030" s="66" t="str">
        <x:v>PTN Akademik</x:v>
      </x:c>
      <x:c r="E4030" s="66" t="str">
        <x:v>16211006</x:v>
      </x:c>
      <x:c r="F4030" s="66" t="str">
        <x:v>PENDIDIKAN FISIKA</x:v>
      </x:c>
      <x:c r="G4030" s="66" t="str">
        <x:v>Sarjana</x:v>
      </x:c>
      <x:c r="H4030" s="87" t="n">
        <x:v>16</x:v>
      </x:c>
      <x:c r="I4030" s="87" t="n">
        <x:v>93</x:v>
      </x:c>
      <x:c r="J4030" s="68" t="n">
        <x:f>IFERROR(H4030/I4030,"")</x:f>
        <x:v>0.17204301075268819</x:v>
      </x:c>
      <x:c r="K4030" s="69" t="n">
        <x:f>IFERROR(I4030/H4030,"")</x:f>
        <x:v>5.8125</x:v>
      </x:c>
      <x:c r="L4030" s="66" t="str">
        <x:f>IF(K4030="","","1 : "&amp;TEXT(K4030,"0.0"))</x:f>
        <x:v>1 : 5.8</x:v>
      </x:c>
      <x:c r="M4030" s="66" t="str">
        <x:f>IF(J4030="","Baru/Tanpa Data",IF(J4030&lt;='Catatan &amp; Sumber'!$B$14,"Sangat Ketat",IF(J4030&lt;='Catatan &amp; Sumber'!$B$15,"Ketat",IF(J4030&lt;='Catatan &amp; Sumber'!$B$16,"Sedang","Relatif Longgar"))))</x:f>
        <x:v>Relatif Longgar</x:v>
      </x:c>
      <x:c r="N4030" s="66" t="str">
        <x:v>Tidak Ada</x:v>
      </x:c>
      <x:c r="O4030" s="66" t="str">
        <x:v>Nusa Tenggara Barat</x:v>
      </x:c>
      <x:c r="P4030" s="66" t="str">
        <x:v>Kota Mataram</x:v>
      </x:c>
      <x:c r="Q4030" s="66" t="str">
        <x:v>https://snpmb.id/snbp/daya-tampung-snbp</x:v>
      </x:c>
      <x:c r="R4030" s="66" t="str">
        <x:v>https://sidatagrun-public-1076756628210.asia-southeast2.run.app/ptn_sn.php?ptn=621</x:v>
      </x:c>
    </x:row>
    <x:row r="4031">
      <x:c r="A4031" s="87" t="n">
        <x:v>1270</x:v>
      </x:c>
      <x:c r="B4031" s="66" t="n">
        <x:v>621</x:v>
      </x:c>
      <x:c r="C4031" s="66" t="str">
        <x:v>UNIVERSITAS MATARAM</x:v>
      </x:c>
      <x:c r="D4031" s="66" t="str">
        <x:v>PTN Akademik</x:v>
      </x:c>
      <x:c r="E4031" s="66" t="str">
        <x:v>16211007</x:v>
      </x:c>
      <x:c r="F4031" s="66" t="str">
        <x:v>PENDIDIKAN MATEMATIKA</x:v>
      </x:c>
      <x:c r="G4031" s="66" t="str">
        <x:v>Sarjana</x:v>
      </x:c>
      <x:c r="H4031" s="87" t="n">
        <x:v>30</x:v>
      </x:c>
      <x:c r="I4031" s="87" t="n">
        <x:v>319</x:v>
      </x:c>
      <x:c r="J4031" s="68" t="n">
        <x:f>IFERROR(H4031/I4031,"")</x:f>
        <x:v>0.09404388714733543</x:v>
      </x:c>
      <x:c r="K4031" s="69" t="n">
        <x:f>IFERROR(I4031/H4031,"")</x:f>
        <x:v>10.633333333333333</x:v>
      </x:c>
      <x:c r="L4031" s="66" t="str">
        <x:f>IF(K4031="","","1 : "&amp;TEXT(K4031,"0.0"))</x:f>
        <x:v>1 : 10.6</x:v>
      </x:c>
      <x:c r="M4031" s="66" t="str">
        <x:f>IF(J4031="","Baru/Tanpa Data",IF(J4031&lt;='Catatan &amp; Sumber'!$B$14,"Sangat Ketat",IF(J4031&lt;='Catatan &amp; Sumber'!$B$15,"Ketat",IF(J4031&lt;='Catatan &amp; Sumber'!$B$16,"Sedang","Relatif Longgar"))))</x:f>
        <x:v>Sedang</x:v>
      </x:c>
      <x:c r="N4031" s="66" t="str">
        <x:v>Tidak Ada</x:v>
      </x:c>
      <x:c r="O4031" s="66" t="str">
        <x:v>Nusa Tenggara Barat</x:v>
      </x:c>
      <x:c r="P4031" s="66" t="str">
        <x:v>Kota Mataram</x:v>
      </x:c>
      <x:c r="Q4031" s="66" t="str">
        <x:v>https://snpmb.id/snbp/daya-tampung-snbp</x:v>
      </x:c>
      <x:c r="R4031" s="66" t="str">
        <x:v>https://sidatagrun-public-1076756628210.asia-southeast2.run.app/ptn_sn.php?ptn=621</x:v>
      </x:c>
    </x:row>
    <x:row r="4032">
      <x:c r="A4032" s="87" t="n">
        <x:v>617</x:v>
      </x:c>
      <x:c r="B4032" s="66" t="n">
        <x:v>621</x:v>
      </x:c>
      <x:c r="C4032" s="66" t="str">
        <x:v>UNIVERSITAS MATARAM</x:v>
      </x:c>
      <x:c r="D4032" s="66" t="str">
        <x:v>PTN Akademik</x:v>
      </x:c>
      <x:c r="E4032" s="66" t="str">
        <x:v>16211008</x:v>
      </x:c>
      <x:c r="F4032" s="66" t="str">
        <x:v>TEKNIK SIPIL</x:v>
      </x:c>
      <x:c r="G4032" s="66" t="str">
        <x:v>Sarjana</x:v>
      </x:c>
      <x:c r="H4032" s="87" t="n">
        <x:v>40</x:v>
      </x:c>
      <x:c r="I4032" s="87" t="n">
        <x:v>686</x:v>
      </x:c>
      <x:c r="J4032" s="68" t="n">
        <x:f>IFERROR(H4032/I4032,"")</x:f>
        <x:v>0.05830903790087463</x:v>
      </x:c>
      <x:c r="K4032" s="69" t="n">
        <x:f>IFERROR(I4032/H4032,"")</x:f>
        <x:v>17.15</x:v>
      </x:c>
      <x:c r="L4032" s="66" t="str">
        <x:f>IF(K4032="","","1 : "&amp;TEXT(K4032,"0.0"))</x:f>
        <x:v>1 : 17.2</x:v>
      </x:c>
      <x:c r="M4032" s="66" t="str">
        <x:f>IF(J4032="","Baru/Tanpa Data",IF(J4032&lt;='Catatan &amp; Sumber'!$B$14,"Sangat Ketat",IF(J4032&lt;='Catatan &amp; Sumber'!$B$15,"Ketat",IF(J4032&lt;='Catatan &amp; Sumber'!$B$16,"Sedang","Relatif Longgar"))))</x:f>
        <x:v>Sedang</x:v>
      </x:c>
      <x:c r="N4032" s="66" t="str">
        <x:v>Tidak Ada</x:v>
      </x:c>
      <x:c r="O4032" s="66" t="str">
        <x:v>Nusa Tenggara Barat</x:v>
      </x:c>
      <x:c r="P4032" s="66" t="str">
        <x:v>Kota Mataram</x:v>
      </x:c>
      <x:c r="Q4032" s="66" t="str">
        <x:v>https://snpmb.id/snbp/daya-tampung-snbp</x:v>
      </x:c>
      <x:c r="R4032" s="66" t="str">
        <x:v>https://sidatagrun-public-1076756628210.asia-southeast2.run.app/ptn_sn.php?ptn=621</x:v>
      </x:c>
    </x:row>
    <x:row r="4033">
      <x:c r="A4033" s="87" t="n">
        <x:v>1583</x:v>
      </x:c>
      <x:c r="B4033" s="66" t="n">
        <x:v>621</x:v>
      </x:c>
      <x:c r="C4033" s="66" t="str">
        <x:v>UNIVERSITAS MATARAM</x:v>
      </x:c>
      <x:c r="D4033" s="66" t="str">
        <x:v>PTN Akademik</x:v>
      </x:c>
      <x:c r="E4033" s="66" t="str">
        <x:v>16211009</x:v>
      </x:c>
      <x:c r="F4033" s="66" t="str">
        <x:v>TEKNIK MESIN</x:v>
      </x:c>
      <x:c r="G4033" s="66" t="str">
        <x:v>Sarjana</x:v>
      </x:c>
      <x:c r="H4033" s="87" t="n">
        <x:v>25</x:v>
      </x:c>
      <x:c r="I4033" s="87" t="n">
        <x:v>218</x:v>
      </x:c>
      <x:c r="J4033" s="68" t="n">
        <x:f>IFERROR(H4033/I4033,"")</x:f>
        <x:v>0.11467889908256881</x:v>
      </x:c>
      <x:c r="K4033" s="69" t="n">
        <x:f>IFERROR(I4033/H4033,"")</x:f>
        <x:v>8.72</x:v>
      </x:c>
      <x:c r="L4033" s="66" t="str">
        <x:f>IF(K4033="","","1 : "&amp;TEXT(K4033,"0.0"))</x:f>
        <x:v>1 : 8.7</x:v>
      </x:c>
      <x:c r="M4033" s="66" t="str">
        <x:f>IF(J4033="","Baru/Tanpa Data",IF(J4033&lt;='Catatan &amp; Sumber'!$B$14,"Sangat Ketat",IF(J4033&lt;='Catatan &amp; Sumber'!$B$15,"Ketat",IF(J4033&lt;='Catatan &amp; Sumber'!$B$16,"Sedang","Relatif Longgar"))))</x:f>
        <x:v>Relatif Longgar</x:v>
      </x:c>
      <x:c r="N4033" s="66" t="str">
        <x:v>Tidak Ada</x:v>
      </x:c>
      <x:c r="O4033" s="66" t="str">
        <x:v>Nusa Tenggara Barat</x:v>
      </x:c>
      <x:c r="P4033" s="66" t="str">
        <x:v>Kota Mataram</x:v>
      </x:c>
      <x:c r="Q4033" s="66" t="str">
        <x:v>https://snpmb.id/snbp/daya-tampung-snbp</x:v>
      </x:c>
      <x:c r="R4033" s="66" t="str">
        <x:v>https://sidatagrun-public-1076756628210.asia-southeast2.run.app/ptn_sn.php?ptn=621</x:v>
      </x:c>
    </x:row>
    <x:row r="4034">
      <x:c r="A4034" s="87" t="n">
        <x:v>1480</x:v>
      </x:c>
      <x:c r="B4034" s="66" t="n">
        <x:v>621</x:v>
      </x:c>
      <x:c r="C4034" s="66" t="str">
        <x:v>UNIVERSITAS MATARAM</x:v>
      </x:c>
      <x:c r="D4034" s="66" t="str">
        <x:v>PTN Akademik</x:v>
      </x:c>
      <x:c r="E4034" s="66" t="str">
        <x:v>16211010</x:v>
      </x:c>
      <x:c r="F4034" s="66" t="str">
        <x:v>TEKNIK ELEKTRO</x:v>
      </x:c>
      <x:c r="G4034" s="66" t="str">
        <x:v>Sarjana</x:v>
      </x:c>
      <x:c r="H4034" s="87" t="n">
        <x:v>30</x:v>
      </x:c>
      <x:c r="I4034" s="87" t="n">
        <x:v>277</x:v>
      </x:c>
      <x:c r="J4034" s="68" t="n">
        <x:f>IFERROR(H4034/I4034,"")</x:f>
        <x:v>0.10830324909747292</x:v>
      </x:c>
      <x:c r="K4034" s="69" t="n">
        <x:f>IFERROR(I4034/H4034,"")</x:f>
        <x:v>9.233333333333333</x:v>
      </x:c>
      <x:c r="L4034" s="66" t="str">
        <x:f>IF(K4034="","","1 : "&amp;TEXT(K4034,"0.0"))</x:f>
        <x:v>1 : 9.2</x:v>
      </x:c>
      <x:c r="M4034" s="66" t="str">
        <x:f>IF(J4034="","Baru/Tanpa Data",IF(J4034&lt;='Catatan &amp; Sumber'!$B$14,"Sangat Ketat",IF(J4034&lt;='Catatan &amp; Sumber'!$B$15,"Ketat",IF(J4034&lt;='Catatan &amp; Sumber'!$B$16,"Sedang","Relatif Longgar"))))</x:f>
        <x:v>Relatif Longgar</x:v>
      </x:c>
      <x:c r="N4034" s="66" t="str">
        <x:v>Tidak Ada</x:v>
      </x:c>
      <x:c r="O4034" s="66" t="str">
        <x:v>Nusa Tenggara Barat</x:v>
      </x:c>
      <x:c r="P4034" s="66" t="str">
        <x:v>Kota Mataram</x:v>
      </x:c>
      <x:c r="Q4034" s="66" t="str">
        <x:v>https://snpmb.id/snbp/daya-tampung-snbp</x:v>
      </x:c>
      <x:c r="R4034" s="66" t="str">
        <x:v>https://sidatagrun-public-1076756628210.asia-southeast2.run.app/ptn_sn.php?ptn=621</x:v>
      </x:c>
    </x:row>
    <x:row r="4035">
      <x:c r="A4035" s="87" t="n">
        <x:v>895</x:v>
      </x:c>
      <x:c r="B4035" s="66" t="n">
        <x:v>621</x:v>
      </x:c>
      <x:c r="C4035" s="66" t="str">
        <x:v>UNIVERSITAS MATARAM</x:v>
      </x:c>
      <x:c r="D4035" s="66" t="str">
        <x:v>PTN Akademik</x:v>
      </x:c>
      <x:c r="E4035" s="66" t="str">
        <x:v>16211011</x:v>
      </x:c>
      <x:c r="F4035" s="66" t="str">
        <x:v>BIOLOGI</x:v>
      </x:c>
      <x:c r="G4035" s="66" t="str">
        <x:v>Sarjana</x:v>
      </x:c>
      <x:c r="H4035" s="87" t="n">
        <x:v>12</x:v>
      </x:c>
      <x:c r="I4035" s="87" t="n">
        <x:v>167</x:v>
      </x:c>
      <x:c r="J4035" s="68" t="n">
        <x:f>IFERROR(H4035/I4035,"")</x:f>
        <x:v>0.0718562874251497</x:v>
      </x:c>
      <x:c r="K4035" s="69" t="n">
        <x:f>IFERROR(I4035/H4035,"")</x:f>
        <x:v>13.916666666666666</x:v>
      </x:c>
      <x:c r="L4035" s="66" t="str">
        <x:f>IF(K4035="","","1 : "&amp;TEXT(K4035,"0.0"))</x:f>
        <x:v>1 : 13.9</x:v>
      </x:c>
      <x:c r="M4035" s="66" t="str">
        <x:f>IF(J4035="","Baru/Tanpa Data",IF(J4035&lt;='Catatan &amp; Sumber'!$B$14,"Sangat Ketat",IF(J4035&lt;='Catatan &amp; Sumber'!$B$15,"Ketat",IF(J4035&lt;='Catatan &amp; Sumber'!$B$16,"Sedang","Relatif Longgar"))))</x:f>
        <x:v>Sedang</x:v>
      </x:c>
      <x:c r="N4035" s="66" t="str">
        <x:v>Tidak Ada</x:v>
      </x:c>
      <x:c r="O4035" s="66" t="str">
        <x:v>Nusa Tenggara Barat</x:v>
      </x:c>
      <x:c r="P4035" s="66" t="str">
        <x:v>Kota Mataram</x:v>
      </x:c>
      <x:c r="Q4035" s="66" t="str">
        <x:v>https://snpmb.id/snbp/daya-tampung-snbp</x:v>
      </x:c>
      <x:c r="R4035" s="66" t="str">
        <x:v>https://sidatagrun-public-1076756628210.asia-southeast2.run.app/ptn_sn.php?ptn=621</x:v>
      </x:c>
    </x:row>
    <x:row r="4036">
      <x:c r="A4036" s="87" t="n">
        <x:v>1297</x:v>
      </x:c>
      <x:c r="B4036" s="66" t="n">
        <x:v>621</x:v>
      </x:c>
      <x:c r="C4036" s="66" t="str">
        <x:v>UNIVERSITAS MATARAM</x:v>
      </x:c>
      <x:c r="D4036" s="66" t="str">
        <x:v>PTN Akademik</x:v>
      </x:c>
      <x:c r="E4036" s="66" t="str">
        <x:v>16211012</x:v>
      </x:c>
      <x:c r="F4036" s="66" t="str">
        <x:v>MATEMATIKA</x:v>
      </x:c>
      <x:c r="G4036" s="66" t="str">
        <x:v>Sarjana</x:v>
      </x:c>
      <x:c r="H4036" s="87" t="n">
        <x:v>12</x:v>
      </x:c>
      <x:c r="I4036" s="87" t="n">
        <x:v>126</x:v>
      </x:c>
      <x:c r="J4036" s="68" t="n">
        <x:f>IFERROR(H4036/I4036,"")</x:f>
        <x:v>0.09523809523809523</x:v>
      </x:c>
      <x:c r="K4036" s="69" t="n">
        <x:f>IFERROR(I4036/H4036,"")</x:f>
        <x:v>10.5</x:v>
      </x:c>
      <x:c r="L4036" s="66" t="str">
        <x:f>IF(K4036="","","1 : "&amp;TEXT(K4036,"0.0"))</x:f>
        <x:v>1 : 10.5</x:v>
      </x:c>
      <x:c r="M4036" s="66" t="str">
        <x:f>IF(J4036="","Baru/Tanpa Data",IF(J4036&lt;='Catatan &amp; Sumber'!$B$14,"Sangat Ketat",IF(J4036&lt;='Catatan &amp; Sumber'!$B$15,"Ketat",IF(J4036&lt;='Catatan &amp; Sumber'!$B$16,"Sedang","Relatif Longgar"))))</x:f>
        <x:v>Sedang</x:v>
      </x:c>
      <x:c r="N4036" s="66" t="str">
        <x:v>Tidak Ada</x:v>
      </x:c>
      <x:c r="O4036" s="66" t="str">
        <x:v>Nusa Tenggara Barat</x:v>
      </x:c>
      <x:c r="P4036" s="66" t="str">
        <x:v>Kota Mataram</x:v>
      </x:c>
      <x:c r="Q4036" s="66" t="str">
        <x:v>https://snpmb.id/snbp/daya-tampung-snbp</x:v>
      </x:c>
      <x:c r="R4036" s="66" t="str">
        <x:v>https://sidatagrun-public-1076756628210.asia-southeast2.run.app/ptn_sn.php?ptn=621</x:v>
      </x:c>
    </x:row>
    <x:row r="4037">
      <x:c r="A4037" s="87" t="n">
        <x:v>2845</x:v>
      </x:c>
      <x:c r="B4037" s="66" t="n">
        <x:v>621</x:v>
      </x:c>
      <x:c r="C4037" s="66" t="str">
        <x:v>UNIVERSITAS MATARAM</x:v>
      </x:c>
      <x:c r="D4037" s="66" t="str">
        <x:v>PTN Akademik</x:v>
      </x:c>
      <x:c r="E4037" s="66" t="str">
        <x:v>16211013</x:v>
      </x:c>
      <x:c r="F4037" s="66" t="str">
        <x:v>FISIKA</x:v>
      </x:c>
      <x:c r="G4037" s="66" t="str">
        <x:v>Sarjana</x:v>
      </x:c>
      <x:c r="H4037" s="87" t="n">
        <x:v>12</x:v>
      </x:c>
      <x:c r="I4037" s="87" t="n">
        <x:v>45</x:v>
      </x:c>
      <x:c r="J4037" s="68" t="n">
        <x:f>IFERROR(H4037/I4037,"")</x:f>
        <x:v>0.26666666666666666</x:v>
      </x:c>
      <x:c r="K4037" s="69" t="n">
        <x:f>IFERROR(I4037/H4037,"")</x:f>
        <x:v>3.75</x:v>
      </x:c>
      <x:c r="L4037" s="66" t="str">
        <x:f>IF(K4037="","","1 : "&amp;TEXT(K4037,"0.0"))</x:f>
        <x:v>1 : 3.8</x:v>
      </x:c>
      <x:c r="M4037" s="66" t="str">
        <x:f>IF(J4037="","Baru/Tanpa Data",IF(J4037&lt;='Catatan &amp; Sumber'!$B$14,"Sangat Ketat",IF(J4037&lt;='Catatan &amp; Sumber'!$B$15,"Ketat",IF(J4037&lt;='Catatan &amp; Sumber'!$B$16,"Sedang","Relatif Longgar"))))</x:f>
        <x:v>Relatif Longgar</x:v>
      </x:c>
      <x:c r="N4037" s="66" t="str">
        <x:v>Tidak Ada</x:v>
      </x:c>
      <x:c r="O4037" s="66" t="str">
        <x:v>Nusa Tenggara Barat</x:v>
      </x:c>
      <x:c r="P4037" s="66" t="str">
        <x:v>Kota Mataram</x:v>
      </x:c>
      <x:c r="Q4037" s="66" t="str">
        <x:v>https://snpmb.id/snbp/daya-tampung-snbp</x:v>
      </x:c>
      <x:c r="R4037" s="66" t="str">
        <x:v>https://sidatagrun-public-1076756628210.asia-southeast2.run.app/ptn_sn.php?ptn=621</x:v>
      </x:c>
    </x:row>
    <x:row r="4038">
      <x:c r="A4038" s="87" t="n">
        <x:v>1662</x:v>
      </x:c>
      <x:c r="B4038" s="66" t="n">
        <x:v>621</x:v>
      </x:c>
      <x:c r="C4038" s="66" t="str">
        <x:v>UNIVERSITAS MATARAM</x:v>
      </x:c>
      <x:c r="D4038" s="66" t="str">
        <x:v>PTN Akademik</x:v>
      </x:c>
      <x:c r="E4038" s="66" t="str">
        <x:v>16211014</x:v>
      </x:c>
      <x:c r="F4038" s="66" t="str">
        <x:v>KIMIA</x:v>
      </x:c>
      <x:c r="G4038" s="66" t="str">
        <x:v>Sarjana</x:v>
      </x:c>
      <x:c r="H4038" s="87" t="n">
        <x:v>12</x:v>
      </x:c>
      <x:c r="I4038" s="87" t="n">
        <x:v>99</x:v>
      </x:c>
      <x:c r="J4038" s="68" t="n">
        <x:f>IFERROR(H4038/I4038,"")</x:f>
        <x:v>0.12121212121212122</x:v>
      </x:c>
      <x:c r="K4038" s="69" t="n">
        <x:f>IFERROR(I4038/H4038,"")</x:f>
        <x:v>8.25</x:v>
      </x:c>
      <x:c r="L4038" s="66" t="str">
        <x:f>IF(K4038="","","1 : "&amp;TEXT(K4038,"0.0"))</x:f>
        <x:v>1 : 8.3</x:v>
      </x:c>
      <x:c r="M4038" s="66" t="str">
        <x:f>IF(J4038="","Baru/Tanpa Data",IF(J4038&lt;='Catatan &amp; Sumber'!$B$14,"Sangat Ketat",IF(J4038&lt;='Catatan &amp; Sumber'!$B$15,"Ketat",IF(J4038&lt;='Catatan &amp; Sumber'!$B$16,"Sedang","Relatif Longgar"))))</x:f>
        <x:v>Relatif Longgar</x:v>
      </x:c>
      <x:c r="N4038" s="66" t="str">
        <x:v>Tidak Ada</x:v>
      </x:c>
      <x:c r="O4038" s="66" t="str">
        <x:v>Nusa Tenggara Barat</x:v>
      </x:c>
      <x:c r="P4038" s="66" t="str">
        <x:v>Kota Mataram</x:v>
      </x:c>
      <x:c r="Q4038" s="66" t="str">
        <x:v>https://snpmb.id/snbp/daya-tampung-snbp</x:v>
      </x:c>
      <x:c r="R4038" s="66" t="str">
        <x:v>https://sidatagrun-public-1076756628210.asia-southeast2.run.app/ptn_sn.php?ptn=621</x:v>
      </x:c>
    </x:row>
    <x:row r="4039">
      <x:c r="A4039" s="87" t="n">
        <x:v>2222</x:v>
      </x:c>
      <x:c r="B4039" s="66" t="n">
        <x:v>621</x:v>
      </x:c>
      <x:c r="C4039" s="66" t="str">
        <x:v>UNIVERSITAS MATARAM</x:v>
      </x:c>
      <x:c r="D4039" s="66" t="str">
        <x:v>PTN Akademik</x:v>
      </x:c>
      <x:c r="E4039" s="66" t="str">
        <x:v>16211015</x:v>
      </x:c>
      <x:c r="F4039" s="66" t="str">
        <x:v>PETERNAKAN</x:v>
      </x:c>
      <x:c r="G4039" s="66" t="str">
        <x:v>Sarjana</x:v>
      </x:c>
      <x:c r="H4039" s="87" t="n">
        <x:v>60</x:v>
      </x:c>
      <x:c r="I4039" s="87" t="n">
        <x:v>343</x:v>
      </x:c>
      <x:c r="J4039" s="68" t="n">
        <x:f>IFERROR(H4039/I4039,"")</x:f>
        <x:v>0.1749271137026239</x:v>
      </x:c>
      <x:c r="K4039" s="69" t="n">
        <x:f>IFERROR(I4039/H4039,"")</x:f>
        <x:v>5.716666666666667</x:v>
      </x:c>
      <x:c r="L4039" s="66" t="str">
        <x:f>IF(K4039="","","1 : "&amp;TEXT(K4039,"0.0"))</x:f>
        <x:v>1 : 5.7</x:v>
      </x:c>
      <x:c r="M4039" s="66" t="str">
        <x:f>IF(J4039="","Baru/Tanpa Data",IF(J4039&lt;='Catatan &amp; Sumber'!$B$14,"Sangat Ketat",IF(J4039&lt;='Catatan &amp; Sumber'!$B$15,"Ketat",IF(J4039&lt;='Catatan &amp; Sumber'!$B$16,"Sedang","Relatif Longgar"))))</x:f>
        <x:v>Relatif Longgar</x:v>
      </x:c>
      <x:c r="N4039" s="66" t="str">
        <x:v>Tidak Ada</x:v>
      </x:c>
      <x:c r="O4039" s="66" t="str">
        <x:v>Nusa Tenggara Barat</x:v>
      </x:c>
      <x:c r="P4039" s="66" t="str">
        <x:v>Kota Mataram</x:v>
      </x:c>
      <x:c r="Q4039" s="66" t="str">
        <x:v>https://snpmb.id/snbp/daya-tampung-snbp</x:v>
      </x:c>
      <x:c r="R4039" s="66" t="str">
        <x:v>https://sidatagrun-public-1076756628210.asia-southeast2.run.app/ptn_sn.php?ptn=621</x:v>
      </x:c>
    </x:row>
    <x:row r="4040">
      <x:c r="A4040" s="87" t="n">
        <x:v>383</x:v>
      </x:c>
      <x:c r="B4040" s="66" t="n">
        <x:v>621</x:v>
      </x:c>
      <x:c r="C4040" s="66" t="str">
        <x:v>UNIVERSITAS MATARAM</x:v>
      </x:c>
      <x:c r="D4040" s="66" t="str">
        <x:v>PTN Akademik</x:v>
      </x:c>
      <x:c r="E4040" s="66" t="str">
        <x:v>16211016</x:v>
      </x:c>
      <x:c r="F4040" s="66" t="str">
        <x:v>PENDIDIKAN DOKTER</x:v>
      </x:c>
      <x:c r="G4040" s="66" t="str">
        <x:v>Sarjana</x:v>
      </x:c>
      <x:c r="H4040" s="87" t="n">
        <x:v>45</x:v>
      </x:c>
      <x:c r="I4040" s="87" t="n">
        <x:v>980</x:v>
      </x:c>
      <x:c r="J4040" s="68" t="n">
        <x:f>IFERROR(H4040/I4040,"")</x:f>
        <x:v>0.04591836734693878</x:v>
      </x:c>
      <x:c r="K4040" s="69" t="n">
        <x:f>IFERROR(I4040/H4040,"")</x:f>
        <x:v>21.77777777777778</x:v>
      </x:c>
      <x:c r="L4040" s="66" t="str">
        <x:f>IF(K4040="","","1 : "&amp;TEXT(K4040,"0.0"))</x:f>
        <x:v>1 : 21.8</x:v>
      </x:c>
      <x:c r="M4040" s="66" t="str">
        <x:f>IF(J4040="","Baru/Tanpa Data",IF(J4040&lt;='Catatan &amp; Sumber'!$B$14,"Sangat Ketat",IF(J4040&lt;='Catatan &amp; Sumber'!$B$15,"Ketat",IF(J4040&lt;='Catatan &amp; Sumber'!$B$16,"Sedang","Relatif Longgar"))))</x:f>
        <x:v>Ketat</x:v>
      </x:c>
      <x:c r="N4040" s="66" t="str">
        <x:v>Tidak Ada</x:v>
      </x:c>
      <x:c r="O4040" s="66" t="str">
        <x:v>Nusa Tenggara Barat</x:v>
      </x:c>
      <x:c r="P4040" s="66" t="str">
        <x:v>Kota Mataram</x:v>
      </x:c>
      <x:c r="Q4040" s="66" t="str">
        <x:v>https://snpmb.id/snbp/daya-tampung-snbp</x:v>
      </x:c>
      <x:c r="R4040" s="66" t="str">
        <x:v>https://sidatagrun-public-1076756628210.asia-southeast2.run.app/ptn_sn.php?ptn=621</x:v>
      </x:c>
    </x:row>
    <x:row r="4041">
      <x:c r="A4041" s="87" t="n">
        <x:v>974</x:v>
      </x:c>
      <x:c r="B4041" s="66" t="n">
        <x:v>621</x:v>
      </x:c>
      <x:c r="C4041" s="66" t="str">
        <x:v>UNIVERSITAS MATARAM</x:v>
      </x:c>
      <x:c r="D4041" s="66" t="str">
        <x:v>PTN Akademik</x:v>
      </x:c>
      <x:c r="E4041" s="66" t="str">
        <x:v>16211017</x:v>
      </x:c>
      <x:c r="F4041" s="66" t="str">
        <x:v>ILMU DAN TEKNOLOGI PANGAN</x:v>
      </x:c>
      <x:c r="G4041" s="66" t="str">
        <x:v>Sarjana</x:v>
      </x:c>
      <x:c r="H4041" s="87" t="n">
        <x:v>30</x:v>
      </x:c>
      <x:c r="I4041" s="87" t="n">
        <x:v>392</x:v>
      </x:c>
      <x:c r="J4041" s="68" t="n">
        <x:f>IFERROR(H4041/I4041,"")</x:f>
        <x:v>0.07653061224489796</x:v>
      </x:c>
      <x:c r="K4041" s="69" t="n">
        <x:f>IFERROR(I4041/H4041,"")</x:f>
        <x:v>13.066666666666666</x:v>
      </x:c>
      <x:c r="L4041" s="66" t="str">
        <x:f>IF(K4041="","","1 : "&amp;TEXT(K4041,"0.0"))</x:f>
        <x:v>1 : 13.1</x:v>
      </x:c>
      <x:c r="M4041" s="66" t="str">
        <x:f>IF(J4041="","Baru/Tanpa Data",IF(J4041&lt;='Catatan &amp; Sumber'!$B$14,"Sangat Ketat",IF(J4041&lt;='Catatan &amp; Sumber'!$B$15,"Ketat",IF(J4041&lt;='Catatan &amp; Sumber'!$B$16,"Sedang","Relatif Longgar"))))</x:f>
        <x:v>Sedang</x:v>
      </x:c>
      <x:c r="N4041" s="66" t="str">
        <x:v>Tidak Ada</x:v>
      </x:c>
      <x:c r="O4041" s="66" t="str">
        <x:v>Nusa Tenggara Barat</x:v>
      </x:c>
      <x:c r="P4041" s="66" t="str">
        <x:v>Kota Mataram</x:v>
      </x:c>
      <x:c r="Q4041" s="66" t="str">
        <x:v>https://snpmb.id/snbp/daya-tampung-snbp</x:v>
      </x:c>
      <x:c r="R4041" s="66" t="str">
        <x:v>https://sidatagrun-public-1076756628210.asia-southeast2.run.app/ptn_sn.php?ptn=621</x:v>
      </x:c>
    </x:row>
    <x:row r="4042">
      <x:c r="A4042" s="87" t="n">
        <x:v>1559</x:v>
      </x:c>
      <x:c r="B4042" s="66" t="n">
        <x:v>621</x:v>
      </x:c>
      <x:c r="C4042" s="66" t="str">
        <x:v>UNIVERSITAS MATARAM</x:v>
      </x:c>
      <x:c r="D4042" s="66" t="str">
        <x:v>PTN Akademik</x:v>
      </x:c>
      <x:c r="E4042" s="66" t="str">
        <x:v>16211018</x:v>
      </x:c>
      <x:c r="F4042" s="66" t="str">
        <x:v>KETEKNIKAN PERTANIAN</x:v>
      </x:c>
      <x:c r="G4042" s="66" t="str">
        <x:v>Sarjana</x:v>
      </x:c>
      <x:c r="H4042" s="87" t="n">
        <x:v>30</x:v>
      </x:c>
      <x:c r="I4042" s="87" t="n">
        <x:v>264</x:v>
      </x:c>
      <x:c r="J4042" s="68" t="n">
        <x:f>IFERROR(H4042/I4042,"")</x:f>
        <x:v>0.11363636363636363</x:v>
      </x:c>
      <x:c r="K4042" s="69" t="n">
        <x:f>IFERROR(I4042/H4042,"")</x:f>
        <x:v>8.8</x:v>
      </x:c>
      <x:c r="L4042" s="66" t="str">
        <x:f>IF(K4042="","","1 : "&amp;TEXT(K4042,"0.0"))</x:f>
        <x:v>1 : 8.8</x:v>
      </x:c>
      <x:c r="M4042" s="66" t="str">
        <x:f>IF(J4042="","Baru/Tanpa Data",IF(J4042&lt;='Catatan &amp; Sumber'!$B$14,"Sangat Ketat",IF(J4042&lt;='Catatan &amp; Sumber'!$B$15,"Ketat",IF(J4042&lt;='Catatan &amp; Sumber'!$B$16,"Sedang","Relatif Longgar"))))</x:f>
        <x:v>Relatif Longgar</x:v>
      </x:c>
      <x:c r="N4042" s="66" t="str">
        <x:v>Tidak Ada</x:v>
      </x:c>
      <x:c r="O4042" s="66" t="str">
        <x:v>Nusa Tenggara Barat</x:v>
      </x:c>
      <x:c r="P4042" s="66" t="str">
        <x:v>Kota Mataram</x:v>
      </x:c>
      <x:c r="Q4042" s="66" t="str">
        <x:v>https://snpmb.id/snbp/daya-tampung-snbp</x:v>
      </x:c>
      <x:c r="R4042" s="66" t="str">
        <x:v>https://sidatagrun-public-1076756628210.asia-southeast2.run.app/ptn_sn.php?ptn=621</x:v>
      </x:c>
    </x:row>
    <x:row r="4043">
      <x:c r="A4043" s="87" t="n">
        <x:v>2989</x:v>
      </x:c>
      <x:c r="B4043" s="66" t="n">
        <x:v>621</x:v>
      </x:c>
      <x:c r="C4043" s="66" t="str">
        <x:v>UNIVERSITAS MATARAM</x:v>
      </x:c>
      <x:c r="D4043" s="66" t="str">
        <x:v>PTN Akademik</x:v>
      </x:c>
      <x:c r="E4043" s="66" t="str">
        <x:v>16211019</x:v>
      </x:c>
      <x:c r="F4043" s="66" t="str">
        <x:v>BUDIDAYA PERAIRAN</x:v>
      </x:c>
      <x:c r="G4043" s="66" t="str">
        <x:v>Sarjana</x:v>
      </x:c>
      <x:c r="H4043" s="87" t="n">
        <x:v>21</x:v>
      </x:c>
      <x:c r="I4043" s="87" t="n">
        <x:v>72</x:v>
      </x:c>
      <x:c r="J4043" s="68" t="n">
        <x:f>IFERROR(H4043/I4043,"")</x:f>
        <x:v>0.2916666666666667</x:v>
      </x:c>
      <x:c r="K4043" s="69" t="n">
        <x:f>IFERROR(I4043/H4043,"")</x:f>
        <x:v>3.4285714285714284</x:v>
      </x:c>
      <x:c r="L4043" s="66" t="str">
        <x:f>IF(K4043="","","1 : "&amp;TEXT(K4043,"0.0"))</x:f>
        <x:v>1 : 3.4</x:v>
      </x:c>
      <x:c r="M4043" s="66" t="str">
        <x:f>IF(J4043="","Baru/Tanpa Data",IF(J4043&lt;='Catatan &amp; Sumber'!$B$14,"Sangat Ketat",IF(J4043&lt;='Catatan &amp; Sumber'!$B$15,"Ketat",IF(J4043&lt;='Catatan &amp; Sumber'!$B$16,"Sedang","Relatif Longgar"))))</x:f>
        <x:v>Relatif Longgar</x:v>
      </x:c>
      <x:c r="N4043" s="66" t="str">
        <x:v>Tidak Ada</x:v>
      </x:c>
      <x:c r="O4043" s="66" t="str">
        <x:v>Nusa Tenggara Barat</x:v>
      </x:c>
      <x:c r="P4043" s="66" t="str">
        <x:v>Kota Mataram</x:v>
      </x:c>
      <x:c r="Q4043" s="66" t="str">
        <x:v>https://snpmb.id/snbp/daya-tampung-snbp</x:v>
      </x:c>
      <x:c r="R4043" s="66" t="str">
        <x:v>https://sidatagrun-public-1076756628210.asia-southeast2.run.app/ptn_sn.php?ptn=621</x:v>
      </x:c>
    </x:row>
    <x:row r="4044">
      <x:c r="A4044" s="87" t="n">
        <x:v>60</x:v>
      </x:c>
      <x:c r="B4044" s="66" t="n">
        <x:v>621</x:v>
      </x:c>
      <x:c r="C4044" s="66" t="str">
        <x:v>UNIVERSITAS MATARAM</x:v>
      </x:c>
      <x:c r="D4044" s="66" t="str">
        <x:v>PTN Akademik</x:v>
      </x:c>
      <x:c r="E4044" s="66" t="str">
        <x:v>16211020</x:v>
      </x:c>
      <x:c r="F4044" s="66" t="str">
        <x:v>TEKNIK INFORMATIKA</x:v>
      </x:c>
      <x:c r="G4044" s="66" t="str">
        <x:v>Sarjana</x:v>
      </x:c>
      <x:c r="H4044" s="87" t="n">
        <x:v>30</x:v>
      </x:c>
      <x:c r="I4044" s="87" t="n">
        <x:v>1230</x:v>
      </x:c>
      <x:c r="J4044" s="68" t="n">
        <x:f>IFERROR(H4044/I4044,"")</x:f>
        <x:v>0.024390243902439025</x:v>
      </x:c>
      <x:c r="K4044" s="69" t="n">
        <x:f>IFERROR(I4044/H4044,"")</x:f>
        <x:v>41</x:v>
      </x:c>
      <x:c r="L4044" s="66" t="str">
        <x:f>IF(K4044="","","1 : "&amp;TEXT(K4044,"0.0"))</x:f>
        <x:v>1 : 41.0</x:v>
      </x:c>
      <x:c r="M4044" s="66" t="str">
        <x:f>IF(J4044="","Baru/Tanpa Data",IF(J4044&lt;='Catatan &amp; Sumber'!$B$14,"Sangat Ketat",IF(J4044&lt;='Catatan &amp; Sumber'!$B$15,"Ketat",IF(J4044&lt;='Catatan &amp; Sumber'!$B$16,"Sedang","Relatif Longgar"))))</x:f>
        <x:v>Ketat</x:v>
      </x:c>
      <x:c r="N4044" s="66" t="str">
        <x:v>Tidak Ada</x:v>
      </x:c>
      <x:c r="O4044" s="66" t="str">
        <x:v>Nusa Tenggara Barat</x:v>
      </x:c>
      <x:c r="P4044" s="66" t="str">
        <x:v>Kota Mataram</x:v>
      </x:c>
      <x:c r="Q4044" s="66" t="str">
        <x:v>https://snpmb.id/snbp/daya-tampung-snbp</x:v>
      </x:c>
      <x:c r="R4044" s="66" t="str">
        <x:v>https://sidatagrun-public-1076756628210.asia-southeast2.run.app/ptn_sn.php?ptn=621</x:v>
      </x:c>
    </x:row>
    <x:row r="4045">
      <x:c r="A4045" s="87" t="n">
        <x:v>7</x:v>
      </x:c>
      <x:c r="B4045" s="66" t="n">
        <x:v>621</x:v>
      </x:c>
      <x:c r="C4045" s="66" t="str">
        <x:v>UNIVERSITAS MATARAM</x:v>
      </x:c>
      <x:c r="D4045" s="66" t="str">
        <x:v>PTN Akademik</x:v>
      </x:c>
      <x:c r="E4045" s="66" t="str">
        <x:v>16211021</x:v>
      </x:c>
      <x:c r="F4045" s="66" t="str">
        <x:v>FARMASI</x:v>
      </x:c>
      <x:c r="G4045" s="66" t="str">
        <x:v>Sarjana</x:v>
      </x:c>
      <x:c r="H4045" s="87" t="n">
        <x:v>18</x:v>
      </x:c>
      <x:c r="I4045" s="87" t="n">
        <x:v>1256</x:v>
      </x:c>
      <x:c r="J4045" s="68" t="n">
        <x:f>IFERROR(H4045/I4045,"")</x:f>
        <x:v>0.014331210191082803</x:v>
      </x:c>
      <x:c r="K4045" s="69" t="n">
        <x:f>IFERROR(I4045/H4045,"")</x:f>
        <x:v>69.77777777777777</x:v>
      </x:c>
      <x:c r="L4045" s="66" t="str">
        <x:f>IF(K4045="","","1 : "&amp;TEXT(K4045,"0.0"))</x:f>
        <x:v>1 : 69.8</x:v>
      </x:c>
      <x:c r="M4045" s="66" t="str">
        <x:f>IF(J4045="","Baru/Tanpa Data",IF(J4045&lt;='Catatan &amp; Sumber'!$B$14,"Sangat Ketat",IF(J4045&lt;='Catatan &amp; Sumber'!$B$15,"Ketat",IF(J4045&lt;='Catatan &amp; Sumber'!$B$16,"Sedang","Relatif Longgar"))))</x:f>
        <x:v>Sangat Ketat</x:v>
      </x:c>
      <x:c r="N4045" s="66" t="str">
        <x:v>Tidak Ada</x:v>
      </x:c>
      <x:c r="O4045" s="66" t="str">
        <x:v>Nusa Tenggara Barat</x:v>
      </x:c>
      <x:c r="P4045" s="66" t="str">
        <x:v>Kota Mataram</x:v>
      </x:c>
      <x:c r="Q4045" s="66" t="str">
        <x:v>https://snpmb.id/snbp/daya-tampung-snbp</x:v>
      </x:c>
      <x:c r="R4045" s="66" t="str">
        <x:v>https://sidatagrun-public-1076756628210.asia-southeast2.run.app/ptn_sn.php?ptn=621</x:v>
      </x:c>
    </x:row>
    <x:row r="4046">
      <x:c r="A4046" s="87" t="n">
        <x:v>2417</x:v>
      </x:c>
      <x:c r="B4046" s="66" t="n">
        <x:v>621</x:v>
      </x:c>
      <x:c r="C4046" s="66" t="str">
        <x:v>UNIVERSITAS MATARAM</x:v>
      </x:c>
      <x:c r="D4046" s="66" t="str">
        <x:v>PTN Akademik</x:v>
      </x:c>
      <x:c r="E4046" s="66" t="str">
        <x:v>16211022</x:v>
      </x:c>
      <x:c r="F4046" s="66" t="str">
        <x:v>ILMU TANAH</x:v>
      </x:c>
      <x:c r="G4046" s="66" t="str">
        <x:v>Sarjana</x:v>
      </x:c>
      <x:c r="H4046" s="87" t="n">
        <x:v>23</x:v>
      </x:c>
      <x:c r="I4046" s="87" t="n">
        <x:v>116</x:v>
      </x:c>
      <x:c r="J4046" s="68" t="n">
        <x:f>IFERROR(H4046/I4046,"")</x:f>
        <x:v>0.19827586206896552</x:v>
      </x:c>
      <x:c r="K4046" s="69" t="n">
        <x:f>IFERROR(I4046/H4046,"")</x:f>
        <x:v>5.043478260869565</x:v>
      </x:c>
      <x:c r="L4046" s="66" t="str">
        <x:f>IF(K4046="","","1 : "&amp;TEXT(K4046,"0.0"))</x:f>
        <x:v>1 : 5.0</x:v>
      </x:c>
      <x:c r="M4046" s="66" t="str">
        <x:f>IF(J4046="","Baru/Tanpa Data",IF(J4046&lt;='Catatan &amp; Sumber'!$B$14,"Sangat Ketat",IF(J4046&lt;='Catatan &amp; Sumber'!$B$15,"Ketat",IF(J4046&lt;='Catatan &amp; Sumber'!$B$16,"Sedang","Relatif Longgar"))))</x:f>
        <x:v>Relatif Longgar</x:v>
      </x:c>
      <x:c r="N4046" s="66" t="str">
        <x:v>Tidak Ada</x:v>
      </x:c>
      <x:c r="O4046" s="66" t="str">
        <x:v>Nusa Tenggara Barat</x:v>
      </x:c>
      <x:c r="P4046" s="66" t="str">
        <x:v>Kota Mataram</x:v>
      </x:c>
      <x:c r="Q4046" s="66" t="str">
        <x:v>https://snpmb.id/snbp/daya-tampung-snbp</x:v>
      </x:c>
      <x:c r="R4046" s="66" t="str">
        <x:v>https://sidatagrun-public-1076756628210.asia-southeast2.run.app/ptn_sn.php?ptn=621</x:v>
      </x:c>
    </x:row>
    <x:row r="4047">
      <x:c r="A4047" s="87" t="n">
        <x:v>2888</x:v>
      </x:c>
      <x:c r="B4047" s="66" t="n">
        <x:v>621</x:v>
      </x:c>
      <x:c r="C4047" s="66" t="str">
        <x:v>UNIVERSITAS MATARAM</x:v>
      </x:c>
      <x:c r="D4047" s="66" t="str">
        <x:v>PTN Akademik</x:v>
      </x:c>
      <x:c r="E4047" s="66" t="str">
        <x:v>16211023</x:v>
      </x:c>
      <x:c r="F4047" s="66" t="str">
        <x:v>ILMU KELAUTAN</x:v>
      </x:c>
      <x:c r="G4047" s="66" t="str">
        <x:v>Sarjana</x:v>
      </x:c>
      <x:c r="H4047" s="87" t="n">
        <x:v>21</x:v>
      </x:c>
      <x:c r="I4047" s="87" t="n">
        <x:v>77</x:v>
      </x:c>
      <x:c r="J4047" s="68" t="n">
        <x:f>IFERROR(H4047/I4047,"")</x:f>
        <x:v>0.2727272727272727</x:v>
      </x:c>
      <x:c r="K4047" s="69" t="n">
        <x:f>IFERROR(I4047/H4047,"")</x:f>
        <x:v>3.6666666666666665</x:v>
      </x:c>
      <x:c r="L4047" s="66" t="str">
        <x:f>IF(K4047="","","1 : "&amp;TEXT(K4047,"0.0"))</x:f>
        <x:v>1 : 3.7</x:v>
      </x:c>
      <x:c r="M4047" s="66" t="str">
        <x:f>IF(J4047="","Baru/Tanpa Data",IF(J4047&lt;='Catatan &amp; Sumber'!$B$14,"Sangat Ketat",IF(J4047&lt;='Catatan &amp; Sumber'!$B$15,"Ketat",IF(J4047&lt;='Catatan &amp; Sumber'!$B$16,"Sedang","Relatif Longgar"))))</x:f>
        <x:v>Relatif Longgar</x:v>
      </x:c>
      <x:c r="N4047" s="66" t="str">
        <x:v>Tidak Ada</x:v>
      </x:c>
      <x:c r="O4047" s="66" t="str">
        <x:v>Nusa Tenggara Barat</x:v>
      </x:c>
      <x:c r="P4047" s="66" t="str">
        <x:v>Kota Mataram</x:v>
      </x:c>
      <x:c r="Q4047" s="66" t="str">
        <x:v>https://snpmb.id/snbp/daya-tampung-snbp</x:v>
      </x:c>
      <x:c r="R4047" s="66" t="str">
        <x:v>https://sidatagrun-public-1076756628210.asia-southeast2.run.app/ptn_sn.php?ptn=621</x:v>
      </x:c>
    </x:row>
    <x:row r="4048">
      <x:c r="A4048" s="87" t="n">
        <x:v>904</x:v>
      </x:c>
      <x:c r="B4048" s="66" t="n">
        <x:v>621</x:v>
      </x:c>
      <x:c r="C4048" s="66" t="str">
        <x:v>UNIVERSITAS MATARAM</x:v>
      </x:c>
      <x:c r="D4048" s="66" t="str">
        <x:v>PTN Akademik</x:v>
      </x:c>
      <x:c r="E4048" s="66" t="str">
        <x:v>16211024</x:v>
      </x:c>
      <x:c r="F4048" s="66" t="str">
        <x:v>ARSITEKTUR</x:v>
      </x:c>
      <x:c r="G4048" s="66" t="str">
        <x:v>Sarjana</x:v>
      </x:c>
      <x:c r="H4048" s="87" t="n">
        <x:v>20</x:v>
      </x:c>
      <x:c r="I4048" s="87" t="n">
        <x:v>276</x:v>
      </x:c>
      <x:c r="J4048" s="68" t="n">
        <x:f>IFERROR(H4048/I4048,"")</x:f>
        <x:v>0.07246376811594203</x:v>
      </x:c>
      <x:c r="K4048" s="69" t="n">
        <x:f>IFERROR(I4048/H4048,"")</x:f>
        <x:v>13.8</x:v>
      </x:c>
      <x:c r="L4048" s="66" t="str">
        <x:f>IF(K4048="","","1 : "&amp;TEXT(K4048,"0.0"))</x:f>
        <x:v>1 : 13.8</x:v>
      </x:c>
      <x:c r="M4048" s="66" t="str">
        <x:f>IF(J4048="","Baru/Tanpa Data",IF(J4048&lt;='Catatan &amp; Sumber'!$B$14,"Sangat Ketat",IF(J4048&lt;='Catatan &amp; Sumber'!$B$15,"Ketat",IF(J4048&lt;='Catatan &amp; Sumber'!$B$16,"Sedang","Relatif Longgar"))))</x:f>
        <x:v>Sedang</x:v>
      </x:c>
      <x:c r="N4048" s="66" t="str">
        <x:v>Tidak Ada</x:v>
      </x:c>
      <x:c r="O4048" s="66" t="str">
        <x:v>Nusa Tenggara Barat</x:v>
      </x:c>
      <x:c r="P4048" s="66" t="str">
        <x:v>Kota Mataram</x:v>
      </x:c>
      <x:c r="Q4048" s="66" t="str">
        <x:v>https://snpmb.id/snbp/daya-tampung-snbp</x:v>
      </x:c>
      <x:c r="R4048" s="66" t="str">
        <x:v>https://sidatagrun-public-1076756628210.asia-southeast2.run.app/ptn_sn.php?ptn=621</x:v>
      </x:c>
    </x:row>
    <x:row r="4049">
      <x:c r="A4049" s="87" t="n">
        <x:v>782</x:v>
      </x:c>
      <x:c r="B4049" s="66" t="n">
        <x:v>621</x:v>
      </x:c>
      <x:c r="C4049" s="66" t="str">
        <x:v>UNIVERSITAS MATARAM</x:v>
      </x:c>
      <x:c r="D4049" s="66" t="str">
        <x:v>PTN Akademik</x:v>
      </x:c>
      <x:c r="E4049" s="66" t="str">
        <x:v>16211025</x:v>
      </x:c>
      <x:c r="F4049" s="66" t="str">
        <x:v>ILMU LINGKUNGAN</x:v>
      </x:c>
      <x:c r="G4049" s="66" t="str">
        <x:v>Sarjana</x:v>
      </x:c>
      <x:c r="H4049" s="87" t="n">
        <x:v>12</x:v>
      </x:c>
      <x:c r="I4049" s="87" t="n">
        <x:v>182</x:v>
      </x:c>
      <x:c r="J4049" s="68" t="n">
        <x:f>IFERROR(H4049/I4049,"")</x:f>
        <x:v>0.06593406593406594</x:v>
      </x:c>
      <x:c r="K4049" s="69" t="n">
        <x:f>IFERROR(I4049/H4049,"")</x:f>
        <x:v>15.166666666666666</x:v>
      </x:c>
      <x:c r="L4049" s="66" t="str">
        <x:f>IF(K4049="","","1 : "&amp;TEXT(K4049,"0.0"))</x:f>
        <x:v>1 : 15.2</x:v>
      </x:c>
      <x:c r="M4049" s="66" t="str">
        <x:f>IF(J4049="","Baru/Tanpa Data",IF(J4049&lt;='Catatan &amp; Sumber'!$B$14,"Sangat Ketat",IF(J4049&lt;='Catatan &amp; Sumber'!$B$15,"Ketat",IF(J4049&lt;='Catatan &amp; Sumber'!$B$16,"Sedang","Relatif Longgar"))))</x:f>
        <x:v>Sedang</x:v>
      </x:c>
      <x:c r="N4049" s="66" t="str">
        <x:v>Tidak Ada</x:v>
      </x:c>
      <x:c r="O4049" s="66" t="str">
        <x:v>Nusa Tenggara Barat</x:v>
      </x:c>
      <x:c r="P4049" s="66" t="str">
        <x:v>Kota Mataram</x:v>
      </x:c>
      <x:c r="Q4049" s="66" t="str">
        <x:v>https://snpmb.id/snbp/daya-tampung-snbp</x:v>
      </x:c>
      <x:c r="R4049" s="66" t="str">
        <x:v>https://sidatagrun-public-1076756628210.asia-southeast2.run.app/ptn_sn.php?ptn=621</x:v>
      </x:c>
    </x:row>
    <x:row r="4050">
      <x:c r="A4050" s="87" t="n">
        <x:v>1336</x:v>
      </x:c>
      <x:c r="B4050" s="66" t="n">
        <x:v>621</x:v>
      </x:c>
      <x:c r="C4050" s="66" t="str">
        <x:v>UNIVERSITAS MATARAM</x:v>
      </x:c>
      <x:c r="D4050" s="66" t="str">
        <x:v>PTN Akademik</x:v>
      </x:c>
      <x:c r="E4050" s="66" t="str">
        <x:v>16211026</x:v>
      </x:c>
      <x:c r="F4050" s="66" t="str">
        <x:v>EKONOMI PEMBANGUNAN</x:v>
      </x:c>
      <x:c r="G4050" s="66" t="str">
        <x:v>Sarjana</x:v>
      </x:c>
      <x:c r="H4050" s="87" t="n">
        <x:v>46</x:v>
      </x:c>
      <x:c r="I4050" s="87" t="n">
        <x:v>471</x:v>
      </x:c>
      <x:c r="J4050" s="68" t="n">
        <x:f>IFERROR(H4050/I4050,"")</x:f>
        <x:v>0.09766454352441614</x:v>
      </x:c>
      <x:c r="K4050" s="69" t="n">
        <x:f>IFERROR(I4050/H4050,"")</x:f>
        <x:v>10.23913043478261</x:v>
      </x:c>
      <x:c r="L4050" s="66" t="str">
        <x:f>IF(K4050="","","1 : "&amp;TEXT(K4050,"0.0"))</x:f>
        <x:v>1 : 10.2</x:v>
      </x:c>
      <x:c r="M4050" s="66" t="str">
        <x:f>IF(J4050="","Baru/Tanpa Data",IF(J4050&lt;='Catatan &amp; Sumber'!$B$14,"Sangat Ketat",IF(J4050&lt;='Catatan &amp; Sumber'!$B$15,"Ketat",IF(J4050&lt;='Catatan &amp; Sumber'!$B$16,"Sedang","Relatif Longgar"))))</x:f>
        <x:v>Sedang</x:v>
      </x:c>
      <x:c r="N4050" s="66" t="str">
        <x:v>Tidak Ada</x:v>
      </x:c>
      <x:c r="O4050" s="66" t="str">
        <x:v>Nusa Tenggara Barat</x:v>
      </x:c>
      <x:c r="P4050" s="66" t="str">
        <x:v>Kota Mataram</x:v>
      </x:c>
      <x:c r="Q4050" s="66" t="str">
        <x:v>https://snpmb.id/snbp/daya-tampung-snbp</x:v>
      </x:c>
      <x:c r="R4050" s="66" t="str">
        <x:v>https://sidatagrun-public-1076756628210.asia-southeast2.run.app/ptn_sn.php?ptn=621</x:v>
      </x:c>
    </x:row>
    <x:row r="4051">
      <x:c r="A4051" s="87" t="n">
        <x:v>184</x:v>
      </x:c>
      <x:c r="B4051" s="66" t="n">
        <x:v>621</x:v>
      </x:c>
      <x:c r="C4051" s="66" t="str">
        <x:v>UNIVERSITAS MATARAM</x:v>
      </x:c>
      <x:c r="D4051" s="66" t="str">
        <x:v>PTN Akademik</x:v>
      </x:c>
      <x:c r="E4051" s="66" t="str">
        <x:v>16211027</x:v>
      </x:c>
      <x:c r="F4051" s="66" t="str">
        <x:v>MANAJEMEN</x:v>
      </x:c>
      <x:c r="G4051" s="66" t="str">
        <x:v>Sarjana</x:v>
      </x:c>
      <x:c r="H4051" s="87" t="n">
        <x:v>60</x:v>
      </x:c>
      <x:c r="I4051" s="87" t="n">
        <x:v>1668</x:v>
      </x:c>
      <x:c r="J4051" s="68" t="n">
        <x:f>IFERROR(H4051/I4051,"")</x:f>
        <x:v>0.03597122302158273</x:v>
      </x:c>
      <x:c r="K4051" s="69" t="n">
        <x:f>IFERROR(I4051/H4051,"")</x:f>
        <x:v>27.8</x:v>
      </x:c>
      <x:c r="L4051" s="66" t="str">
        <x:f>IF(K4051="","","1 : "&amp;TEXT(K4051,"0.0"))</x:f>
        <x:v>1 : 27.8</x:v>
      </x:c>
      <x:c r="M4051" s="66" t="str">
        <x:f>IF(J4051="","Baru/Tanpa Data",IF(J4051&lt;='Catatan &amp; Sumber'!$B$14,"Sangat Ketat",IF(J4051&lt;='Catatan &amp; Sumber'!$B$15,"Ketat",IF(J4051&lt;='Catatan &amp; Sumber'!$B$16,"Sedang","Relatif Longgar"))))</x:f>
        <x:v>Ketat</x:v>
      </x:c>
      <x:c r="N4051" s="66" t="str">
        <x:v>Tidak Ada</x:v>
      </x:c>
      <x:c r="O4051" s="66" t="str">
        <x:v>Nusa Tenggara Barat</x:v>
      </x:c>
      <x:c r="P4051" s="66" t="str">
        <x:v>Kota Mataram</x:v>
      </x:c>
      <x:c r="Q4051" s="66" t="str">
        <x:v>https://snpmb.id/snbp/daya-tampung-snbp</x:v>
      </x:c>
      <x:c r="R4051" s="66" t="str">
        <x:v>https://sidatagrun-public-1076756628210.asia-southeast2.run.app/ptn_sn.php?ptn=621</x:v>
      </x:c>
    </x:row>
    <x:row r="4052">
      <x:c r="A4052" s="87" t="n">
        <x:v>249</x:v>
      </x:c>
      <x:c r="B4052" s="66" t="n">
        <x:v>621</x:v>
      </x:c>
      <x:c r="C4052" s="66" t="str">
        <x:v>UNIVERSITAS MATARAM</x:v>
      </x:c>
      <x:c r="D4052" s="66" t="str">
        <x:v>PTN Akademik</x:v>
      </x:c>
      <x:c r="E4052" s="66" t="str">
        <x:v>16211028</x:v>
      </x:c>
      <x:c r="F4052" s="66" t="str">
        <x:v>AKUNTANSI</x:v>
      </x:c>
      <x:c r="G4052" s="66" t="str">
        <x:v>Sarjana</x:v>
      </x:c>
      <x:c r="H4052" s="87" t="n">
        <x:v>46</x:v>
      </x:c>
      <x:c r="I4052" s="87" t="n">
        <x:v>1161</x:v>
      </x:c>
      <x:c r="J4052" s="68" t="n">
        <x:f>IFERROR(H4052/I4052,"")</x:f>
        <x:v>0.03962101636520241</x:v>
      </x:c>
      <x:c r="K4052" s="69" t="n">
        <x:f>IFERROR(I4052/H4052,"")</x:f>
        <x:v>25.23913043478261</x:v>
      </x:c>
      <x:c r="L4052" s="66" t="str">
        <x:f>IF(K4052="","","1 : "&amp;TEXT(K4052,"0.0"))</x:f>
        <x:v>1 : 25.2</x:v>
      </x:c>
      <x:c r="M4052" s="66" t="str">
        <x:f>IF(J4052="","Baru/Tanpa Data",IF(J4052&lt;='Catatan &amp; Sumber'!$B$14,"Sangat Ketat",IF(J4052&lt;='Catatan &amp; Sumber'!$B$15,"Ketat",IF(J4052&lt;='Catatan &amp; Sumber'!$B$16,"Sedang","Relatif Longgar"))))</x:f>
        <x:v>Ketat</x:v>
      </x:c>
      <x:c r="N4052" s="66" t="str">
        <x:v>Tidak Ada</x:v>
      </x:c>
      <x:c r="O4052" s="66" t="str">
        <x:v>Nusa Tenggara Barat</x:v>
      </x:c>
      <x:c r="P4052" s="66" t="str">
        <x:v>Kota Mataram</x:v>
      </x:c>
      <x:c r="Q4052" s="66" t="str">
        <x:v>https://snpmb.id/snbp/daya-tampung-snbp</x:v>
      </x:c>
      <x:c r="R4052" s="66" t="str">
        <x:v>https://sidatagrun-public-1076756628210.asia-southeast2.run.app/ptn_sn.php?ptn=621</x:v>
      </x:c>
    </x:row>
    <x:row r="4053">
      <x:c r="A4053" s="87" t="n">
        <x:v>1308</x:v>
      </x:c>
      <x:c r="B4053" s="66" t="n">
        <x:v>621</x:v>
      </x:c>
      <x:c r="C4053" s="66" t="str">
        <x:v>UNIVERSITAS MATARAM</x:v>
      </x:c>
      <x:c r="D4053" s="66" t="str">
        <x:v>PTN Akademik</x:v>
      </x:c>
      <x:c r="E4053" s="66" t="str">
        <x:v>16211029</x:v>
      </x:c>
      <x:c r="F4053" s="66" t="str">
        <x:v>ILMU HUKUM</x:v>
      </x:c>
      <x:c r="G4053" s="66" t="str">
        <x:v>Sarjana</x:v>
      </x:c>
      <x:c r="H4053" s="87" t="n">
        <x:v>90</x:v>
      </x:c>
      <x:c r="I4053" s="87" t="n">
        <x:v>938</x:v>
      </x:c>
      <x:c r="J4053" s="68" t="n">
        <x:f>IFERROR(H4053/I4053,"")</x:f>
        <x:v>0.09594882729211088</x:v>
      </x:c>
      <x:c r="K4053" s="69" t="n">
        <x:f>IFERROR(I4053/H4053,"")</x:f>
        <x:v>10.422222222222222</x:v>
      </x:c>
      <x:c r="L4053" s="66" t="str">
        <x:f>IF(K4053="","","1 : "&amp;TEXT(K4053,"0.0"))</x:f>
        <x:v>1 : 10.4</x:v>
      </x:c>
      <x:c r="M4053" s="66" t="str">
        <x:f>IF(J4053="","Baru/Tanpa Data",IF(J4053&lt;='Catatan &amp; Sumber'!$B$14,"Sangat Ketat",IF(J4053&lt;='Catatan &amp; Sumber'!$B$15,"Ketat",IF(J4053&lt;='Catatan &amp; Sumber'!$B$16,"Sedang","Relatif Longgar"))))</x:f>
        <x:v>Sedang</x:v>
      </x:c>
      <x:c r="N4053" s="66" t="str">
        <x:v>Tidak Ada</x:v>
      </x:c>
      <x:c r="O4053" s="66" t="str">
        <x:v>Nusa Tenggara Barat</x:v>
      </x:c>
      <x:c r="P4053" s="66" t="str">
        <x:v>Kota Mataram</x:v>
      </x:c>
      <x:c r="Q4053" s="66" t="str">
        <x:v>https://snpmb.id/snbp/daya-tampung-snbp</x:v>
      </x:c>
      <x:c r="R4053" s="66" t="str">
        <x:v>https://sidatagrun-public-1076756628210.asia-southeast2.run.app/ptn_sn.php?ptn=621</x:v>
      </x:c>
    </x:row>
    <x:row r="4054">
      <x:c r="A4054" s="87" t="n">
        <x:v>774</x:v>
      </x:c>
      <x:c r="B4054" s="66" t="n">
        <x:v>621</x:v>
      </x:c>
      <x:c r="C4054" s="66" t="str">
        <x:v>UNIVERSITAS MATARAM</x:v>
      </x:c>
      <x:c r="D4054" s="66" t="str">
        <x:v>PTN Akademik</x:v>
      </x:c>
      <x:c r="E4054" s="66" t="str">
        <x:v>16211030</x:v>
      </x:c>
      <x:c r="F4054" s="66" t="str">
        <x:v>PENDIDIKAN BAHASA DAN SASTRA INDONESIA</x:v>
      </x:c>
      <x:c r="G4054" s="66" t="str">
        <x:v>Sarjana</x:v>
      </x:c>
      <x:c r="H4054" s="87" t="n">
        <x:v>42</x:v>
      </x:c>
      <x:c r="I4054" s="87" t="n">
        <x:v>640</x:v>
      </x:c>
      <x:c r="J4054" s="68" t="n">
        <x:f>IFERROR(H4054/I4054,"")</x:f>
        <x:v>0.065625</x:v>
      </x:c>
      <x:c r="K4054" s="69" t="n">
        <x:f>IFERROR(I4054/H4054,"")</x:f>
        <x:v>15.238095238095237</x:v>
      </x:c>
      <x:c r="L4054" s="66" t="str">
        <x:f>IF(K4054="","","1 : "&amp;TEXT(K4054,"0.0"))</x:f>
        <x:v>1 : 15.2</x:v>
      </x:c>
      <x:c r="M4054" s="66" t="str">
        <x:f>IF(J4054="","Baru/Tanpa Data",IF(J4054&lt;='Catatan &amp; Sumber'!$B$14,"Sangat Ketat",IF(J4054&lt;='Catatan &amp; Sumber'!$B$15,"Ketat",IF(J4054&lt;='Catatan &amp; Sumber'!$B$16,"Sedang","Relatif Longgar"))))</x:f>
        <x:v>Sedang</x:v>
      </x:c>
      <x:c r="N4054" s="66" t="str">
        <x:v>Tidak Ada</x:v>
      </x:c>
      <x:c r="O4054" s="66" t="str">
        <x:v>Nusa Tenggara Barat</x:v>
      </x:c>
      <x:c r="P4054" s="66" t="str">
        <x:v>Kota Mataram</x:v>
      </x:c>
      <x:c r="Q4054" s="66" t="str">
        <x:v>https://snpmb.id/snbp/daya-tampung-snbp</x:v>
      </x:c>
      <x:c r="R4054" s="66" t="str">
        <x:v>https://sidatagrun-public-1076756628210.asia-southeast2.run.app/ptn_sn.php?ptn=621</x:v>
      </x:c>
    </x:row>
    <x:row r="4055">
      <x:c r="A4055" s="87" t="n">
        <x:v>1058</x:v>
      </x:c>
      <x:c r="B4055" s="66" t="n">
        <x:v>621</x:v>
      </x:c>
      <x:c r="C4055" s="66" t="str">
        <x:v>UNIVERSITAS MATARAM</x:v>
      </x:c>
      <x:c r="D4055" s="66" t="str">
        <x:v>PTN Akademik</x:v>
      </x:c>
      <x:c r="E4055" s="66" t="str">
        <x:v>16211031</x:v>
      </x:c>
      <x:c r="F4055" s="66" t="str">
        <x:v>PENDIDIKAN BAHASA INGGRIS</x:v>
      </x:c>
      <x:c r="G4055" s="66" t="str">
        <x:v>Sarjana</x:v>
      </x:c>
      <x:c r="H4055" s="87" t="n">
        <x:v>50</x:v>
      </x:c>
      <x:c r="I4055" s="87" t="n">
        <x:v>613</x:v>
      </x:c>
      <x:c r="J4055" s="68" t="n">
        <x:f>IFERROR(H4055/I4055,"")</x:f>
        <x:v>0.08156606851549755</x:v>
      </x:c>
      <x:c r="K4055" s="69" t="n">
        <x:f>IFERROR(I4055/H4055,"")</x:f>
        <x:v>12.26</x:v>
      </x:c>
      <x:c r="L4055" s="66" t="str">
        <x:f>IF(K4055="","","1 : "&amp;TEXT(K4055,"0.0"))</x:f>
        <x:v>1 : 12.3</x:v>
      </x:c>
      <x:c r="M4055" s="66" t="str">
        <x:f>IF(J4055="","Baru/Tanpa Data",IF(J4055&lt;='Catatan &amp; Sumber'!$B$14,"Sangat Ketat",IF(J4055&lt;='Catatan &amp; Sumber'!$B$15,"Ketat",IF(J4055&lt;='Catatan &amp; Sumber'!$B$16,"Sedang","Relatif Longgar"))))</x:f>
        <x:v>Sedang</x:v>
      </x:c>
      <x:c r="N4055" s="66" t="str">
        <x:v>Tidak Ada</x:v>
      </x:c>
      <x:c r="O4055" s="66" t="str">
        <x:v>Nusa Tenggara Barat</x:v>
      </x:c>
      <x:c r="P4055" s="66" t="str">
        <x:v>Kota Mataram</x:v>
      </x:c>
      <x:c r="Q4055" s="66" t="str">
        <x:v>https://snpmb.id/snbp/daya-tampung-snbp</x:v>
      </x:c>
      <x:c r="R4055" s="66" t="str">
        <x:v>https://sidatagrun-public-1076756628210.asia-southeast2.run.app/ptn_sn.php?ptn=621</x:v>
      </x:c>
    </x:row>
    <x:row r="4056">
      <x:c r="A4056" s="87" t="n">
        <x:v>705</x:v>
      </x:c>
      <x:c r="B4056" s="66" t="n">
        <x:v>621</x:v>
      </x:c>
      <x:c r="C4056" s="66" t="str">
        <x:v>UNIVERSITAS MATARAM</x:v>
      </x:c>
      <x:c r="D4056" s="66" t="str">
        <x:v>PTN Akademik</x:v>
      </x:c>
      <x:c r="E4056" s="66" t="str">
        <x:v>16211032</x:v>
      </x:c>
      <x:c r="F4056" s="66" t="str">
        <x:v>PENDIDIKAN PANCASILA DAN KEWARGANEGARAAN</x:v>
      </x:c>
      <x:c r="G4056" s="66" t="str">
        <x:v>Sarjana</x:v>
      </x:c>
      <x:c r="H4056" s="87" t="n">
        <x:v>28</x:v>
      </x:c>
      <x:c r="I4056" s="87" t="n">
        <x:v>452</x:v>
      </x:c>
      <x:c r="J4056" s="68" t="n">
        <x:f>IFERROR(H4056/I4056,"")</x:f>
        <x:v>0.061946902654867256</x:v>
      </x:c>
      <x:c r="K4056" s="69" t="n">
        <x:f>IFERROR(I4056/H4056,"")</x:f>
        <x:v>16.142857142857142</x:v>
      </x:c>
      <x:c r="L4056" s="66" t="str">
        <x:f>IF(K4056="","","1 : "&amp;TEXT(K4056,"0.0"))</x:f>
        <x:v>1 : 16.1</x:v>
      </x:c>
      <x:c r="M4056" s="66" t="str">
        <x:f>IF(J4056="","Baru/Tanpa Data",IF(J4056&lt;='Catatan &amp; Sumber'!$B$14,"Sangat Ketat",IF(J4056&lt;='Catatan &amp; Sumber'!$B$15,"Ketat",IF(J4056&lt;='Catatan &amp; Sumber'!$B$16,"Sedang","Relatif Longgar"))))</x:f>
        <x:v>Sedang</x:v>
      </x:c>
      <x:c r="N4056" s="66" t="str">
        <x:v>Tidak Ada</x:v>
      </x:c>
      <x:c r="O4056" s="66" t="str">
        <x:v>Nusa Tenggara Barat</x:v>
      </x:c>
      <x:c r="P4056" s="66" t="str">
        <x:v>Kota Mataram</x:v>
      </x:c>
      <x:c r="Q4056" s="66" t="str">
        <x:v>https://snpmb.id/snbp/daya-tampung-snbp</x:v>
      </x:c>
      <x:c r="R4056" s="66" t="str">
        <x:v>https://sidatagrun-public-1076756628210.asia-southeast2.run.app/ptn_sn.php?ptn=621</x:v>
      </x:c>
    </x:row>
    <x:row r="4057">
      <x:c r="A4057" s="87" t="n">
        <x:v>144</x:v>
      </x:c>
      <x:c r="B4057" s="66" t="n">
        <x:v>621</x:v>
      </x:c>
      <x:c r="C4057" s="66" t="str">
        <x:v>UNIVERSITAS MATARAM</x:v>
      </x:c>
      <x:c r="D4057" s="66" t="str">
        <x:v>PTN Akademik</x:v>
      </x:c>
      <x:c r="E4057" s="66" t="str">
        <x:v>16211033</x:v>
      </x:c>
      <x:c r="F4057" s="66" t="str">
        <x:v>PENDIDIKAN GURU SEKOLAH DASAR</x:v>
      </x:c>
      <x:c r="G4057" s="66" t="str">
        <x:v>Sarjana</x:v>
      </x:c>
      <x:c r="H4057" s="87" t="n">
        <x:v>60</x:v>
      </x:c>
      <x:c r="I4057" s="87" t="n">
        <x:v>1832</x:v>
      </x:c>
      <x:c r="J4057" s="68" t="n">
        <x:f>IFERROR(H4057/I4057,"")</x:f>
        <x:v>0.03275109170305677</x:v>
      </x:c>
      <x:c r="K4057" s="69" t="n">
        <x:f>IFERROR(I4057/H4057,"")</x:f>
        <x:v>30.533333333333335</x:v>
      </x:c>
      <x:c r="L4057" s="66" t="str">
        <x:f>IF(K4057="","","1 : "&amp;TEXT(K4057,"0.0"))</x:f>
        <x:v>1 : 30.5</x:v>
      </x:c>
      <x:c r="M4057" s="66" t="str">
        <x:f>IF(J4057="","Baru/Tanpa Data",IF(J4057&lt;='Catatan &amp; Sumber'!$B$14,"Sangat Ketat",IF(J4057&lt;='Catatan &amp; Sumber'!$B$15,"Ketat",IF(J4057&lt;='Catatan &amp; Sumber'!$B$16,"Sedang","Relatif Longgar"))))</x:f>
        <x:v>Ketat</x:v>
      </x:c>
      <x:c r="N4057" s="66" t="str">
        <x:v>Tidak Ada</x:v>
      </x:c>
      <x:c r="O4057" s="66" t="str">
        <x:v>Nusa Tenggara Barat</x:v>
      </x:c>
      <x:c r="P4057" s="66" t="str">
        <x:v>Kota Mataram</x:v>
      </x:c>
      <x:c r="Q4057" s="66" t="str">
        <x:v>https://snpmb.id/snbp/daya-tampung-snbp</x:v>
      </x:c>
      <x:c r="R4057" s="66" t="str">
        <x:v>https://sidatagrun-public-1076756628210.asia-southeast2.run.app/ptn_sn.php?ptn=621</x:v>
      </x:c>
    </x:row>
    <x:row r="4058">
      <x:c r="A4058" s="87" t="n">
        <x:v>1179</x:v>
      </x:c>
      <x:c r="B4058" s="66" t="n">
        <x:v>621</x:v>
      </x:c>
      <x:c r="C4058" s="66" t="str">
        <x:v>UNIVERSITAS MATARAM</x:v>
      </x:c>
      <x:c r="D4058" s="66" t="str">
        <x:v>PTN Akademik</x:v>
      </x:c>
      <x:c r="E4058" s="66" t="str">
        <x:v>16211034</x:v>
      </x:c>
      <x:c r="F4058" s="66" t="str">
        <x:v>PENDIDIKAN ANAK USIA DINI</x:v>
      </x:c>
      <x:c r="G4058" s="66" t="str">
        <x:v>Sarjana</x:v>
      </x:c>
      <x:c r="H4058" s="87" t="n">
        <x:v>24</x:v>
      </x:c>
      <x:c r="I4058" s="87" t="n">
        <x:v>271</x:v>
      </x:c>
      <x:c r="J4058" s="68" t="n">
        <x:f>IFERROR(H4058/I4058,"")</x:f>
        <x:v>0.08856088560885608</x:v>
      </x:c>
      <x:c r="K4058" s="69" t="n">
        <x:f>IFERROR(I4058/H4058,"")</x:f>
        <x:v>11.291666666666666</x:v>
      </x:c>
      <x:c r="L4058" s="66" t="str">
        <x:f>IF(K4058="","","1 : "&amp;TEXT(K4058,"0.0"))</x:f>
        <x:v>1 : 11.3</x:v>
      </x:c>
      <x:c r="M4058" s="66" t="str">
        <x:f>IF(J4058="","Baru/Tanpa Data",IF(J4058&lt;='Catatan &amp; Sumber'!$B$14,"Sangat Ketat",IF(J4058&lt;='Catatan &amp; Sumber'!$B$15,"Ketat",IF(J4058&lt;='Catatan &amp; Sumber'!$B$16,"Sedang","Relatif Longgar"))))</x:f>
        <x:v>Sedang</x:v>
      </x:c>
      <x:c r="N4058" s="66" t="str">
        <x:v>Tidak Ada</x:v>
      </x:c>
      <x:c r="O4058" s="66" t="str">
        <x:v>Nusa Tenggara Barat</x:v>
      </x:c>
      <x:c r="P4058" s="66" t="str">
        <x:v>Kota Mataram</x:v>
      </x:c>
      <x:c r="Q4058" s="66" t="str">
        <x:v>https://snpmb.id/snbp/daya-tampung-snbp</x:v>
      </x:c>
      <x:c r="R4058" s="66" t="str">
        <x:v>https://sidatagrun-public-1076756628210.asia-southeast2.run.app/ptn_sn.php?ptn=621</x:v>
      </x:c>
    </x:row>
    <x:row r="4059">
      <x:c r="A4059" s="87" t="n">
        <x:v>1009</x:v>
      </x:c>
      <x:c r="B4059" s="66" t="n">
        <x:v>621</x:v>
      </x:c>
      <x:c r="C4059" s="66" t="str">
        <x:v>UNIVERSITAS MATARAM</x:v>
      </x:c>
      <x:c r="D4059" s="66" t="str">
        <x:v>PTN Akademik</x:v>
      </x:c>
      <x:c r="E4059" s="66" t="str">
        <x:v>16211035</x:v>
      </x:c>
      <x:c r="F4059" s="66" t="str">
        <x:v>HUBUNGAN INTERNASIONAL</x:v>
      </x:c>
      <x:c r="G4059" s="66" t="str">
        <x:v>Sarjana</x:v>
      </x:c>
      <x:c r="H4059" s="87" t="n">
        <x:v>30</x:v>
      </x:c>
      <x:c r="I4059" s="87" t="n">
        <x:v>381</x:v>
      </x:c>
      <x:c r="J4059" s="68" t="n">
        <x:f>IFERROR(H4059/I4059,"")</x:f>
        <x:v>0.07874015748031496</x:v>
      </x:c>
      <x:c r="K4059" s="69" t="n">
        <x:f>IFERROR(I4059/H4059,"")</x:f>
        <x:v>12.7</x:v>
      </x:c>
      <x:c r="L4059" s="66" t="str">
        <x:f>IF(K4059="","","1 : "&amp;TEXT(K4059,"0.0"))</x:f>
        <x:v>1 : 12.7</x:v>
      </x:c>
      <x:c r="M4059" s="66" t="str">
        <x:f>IF(J4059="","Baru/Tanpa Data",IF(J4059&lt;='Catatan &amp; Sumber'!$B$14,"Sangat Ketat",IF(J4059&lt;='Catatan &amp; Sumber'!$B$15,"Ketat",IF(J4059&lt;='Catatan &amp; Sumber'!$B$16,"Sedang","Relatif Longgar"))))</x:f>
        <x:v>Sedang</x:v>
      </x:c>
      <x:c r="N4059" s="66" t="str">
        <x:v>Tidak Ada</x:v>
      </x:c>
      <x:c r="O4059" s="66" t="str">
        <x:v>Nusa Tenggara Barat</x:v>
      </x:c>
      <x:c r="P4059" s="66" t="str">
        <x:v>Kota Mataram</x:v>
      </x:c>
      <x:c r="Q4059" s="66" t="str">
        <x:v>https://snpmb.id/snbp/daya-tampung-snbp</x:v>
      </x:c>
      <x:c r="R4059" s="66" t="str">
        <x:v>https://sidatagrun-public-1076756628210.asia-southeast2.run.app/ptn_sn.php?ptn=621</x:v>
      </x:c>
    </x:row>
    <x:row r="4060">
      <x:c r="A4060" s="87" t="n">
        <x:v>159</x:v>
      </x:c>
      <x:c r="B4060" s="66" t="n">
        <x:v>621</x:v>
      </x:c>
      <x:c r="C4060" s="66" t="str">
        <x:v>UNIVERSITAS MATARAM</x:v>
      </x:c>
      <x:c r="D4060" s="66" t="str">
        <x:v>PTN Akademik</x:v>
      </x:c>
      <x:c r="E4060" s="66" t="str">
        <x:v>16211036</x:v>
      </x:c>
      <x:c r="F4060" s="66" t="str">
        <x:v>ILMU KOMUNIKASI</x:v>
      </x:c>
      <x:c r="G4060" s="66" t="str">
        <x:v>Sarjana</x:v>
      </x:c>
      <x:c r="H4060" s="87" t="n">
        <x:v>22</x:v>
      </x:c>
      <x:c r="I4060" s="87" t="n">
        <x:v>644</x:v>
      </x:c>
      <x:c r="J4060" s="68" t="n">
        <x:f>IFERROR(H4060/I4060,"")</x:f>
        <x:v>0.034161490683229816</x:v>
      </x:c>
      <x:c r="K4060" s="69" t="n">
        <x:f>IFERROR(I4060/H4060,"")</x:f>
        <x:v>29.272727272727273</x:v>
      </x:c>
      <x:c r="L4060" s="66" t="str">
        <x:f>IF(K4060="","","1 : "&amp;TEXT(K4060,"0.0"))</x:f>
        <x:v>1 : 29.3</x:v>
      </x:c>
      <x:c r="M4060" s="66" t="str">
        <x:f>IF(J4060="","Baru/Tanpa Data",IF(J4060&lt;='Catatan &amp; Sumber'!$B$14,"Sangat Ketat",IF(J4060&lt;='Catatan &amp; Sumber'!$B$15,"Ketat",IF(J4060&lt;='Catatan &amp; Sumber'!$B$16,"Sedang","Relatif Longgar"))))</x:f>
        <x:v>Ketat</x:v>
      </x:c>
      <x:c r="N4060" s="66" t="str">
        <x:v>Tidak Ada</x:v>
      </x:c>
      <x:c r="O4060" s="66" t="str">
        <x:v>Nusa Tenggara Barat</x:v>
      </x:c>
      <x:c r="P4060" s="66" t="str">
        <x:v>Kota Mataram</x:v>
      </x:c>
      <x:c r="Q4060" s="66" t="str">
        <x:v>https://snpmb.id/snbp/daya-tampung-snbp</x:v>
      </x:c>
      <x:c r="R4060" s="66" t="str">
        <x:v>https://sidatagrun-public-1076756628210.asia-southeast2.run.app/ptn_sn.php?ptn=621</x:v>
      </x:c>
    </x:row>
    <x:row r="4061">
      <x:c r="A4061" s="87" t="n">
        <x:v>1774</x:v>
      </x:c>
      <x:c r="B4061" s="66" t="n">
        <x:v>621</x:v>
      </x:c>
      <x:c r="C4061" s="66" t="str">
        <x:v>UNIVERSITAS MATARAM</x:v>
      </x:c>
      <x:c r="D4061" s="66" t="str">
        <x:v>PTN Akademik</x:v>
      </x:c>
      <x:c r="E4061" s="66" t="str">
        <x:v>16211037</x:v>
      </x:c>
      <x:c r="F4061" s="66" t="str">
        <x:v>SOSIOLOGI</x:v>
      </x:c>
      <x:c r="G4061" s="66" t="str">
        <x:v>Sarjana</x:v>
      </x:c>
      <x:c r="H4061" s="87" t="n">
        <x:v>30</x:v>
      </x:c>
      <x:c r="I4061" s="87" t="n">
        <x:v>230</x:v>
      </x:c>
      <x:c r="J4061" s="68" t="n">
        <x:f>IFERROR(H4061/I4061,"")</x:f>
        <x:v>0.13043478260869565</x:v>
      </x:c>
      <x:c r="K4061" s="69" t="n">
        <x:f>IFERROR(I4061/H4061,"")</x:f>
        <x:v>7.666666666666667</x:v>
      </x:c>
      <x:c r="L4061" s="66" t="str">
        <x:f>IF(K4061="","","1 : "&amp;TEXT(K4061,"0.0"))</x:f>
        <x:v>1 : 7.7</x:v>
      </x:c>
      <x:c r="M4061" s="66" t="str">
        <x:f>IF(J4061="","Baru/Tanpa Data",IF(J4061&lt;='Catatan &amp; Sumber'!$B$14,"Sangat Ketat",IF(J4061&lt;='Catatan &amp; Sumber'!$B$15,"Ketat",IF(J4061&lt;='Catatan &amp; Sumber'!$B$16,"Sedang","Relatif Longgar"))))</x:f>
        <x:v>Relatif Longgar</x:v>
      </x:c>
      <x:c r="N4061" s="66" t="str">
        <x:v>Tidak Ada</x:v>
      </x:c>
      <x:c r="O4061" s="66" t="str">
        <x:v>Nusa Tenggara Barat</x:v>
      </x:c>
      <x:c r="P4061" s="66" t="str">
        <x:v>Kota Mataram</x:v>
      </x:c>
      <x:c r="Q4061" s="66" t="str">
        <x:v>https://snpmb.id/snbp/daya-tampung-snbp</x:v>
      </x:c>
      <x:c r="R4061" s="66" t="str">
        <x:v>https://sidatagrun-public-1076756628210.asia-southeast2.run.app/ptn_sn.php?ptn=621</x:v>
      </x:c>
    </x:row>
    <x:row r="4062">
      <x:c r="A4062" s="87" t="n">
        <x:v>1399</x:v>
      </x:c>
      <x:c r="B4062" s="66" t="n">
        <x:v>621</x:v>
      </x:c>
      <x:c r="C4062" s="66" t="str">
        <x:v>UNIVERSITAS MATARAM</x:v>
      </x:c>
      <x:c r="D4062" s="66" t="str">
        <x:v>PTN Akademik</x:v>
      </x:c>
      <x:c r="E4062" s="66" t="str">
        <x:v>16211038</x:v>
      </x:c>
      <x:c r="F4062" s="66" t="str">
        <x:v>PENDIDIKAN SOSIOLOGI</x:v>
      </x:c>
      <x:c r="G4062" s="66" t="str">
        <x:v>Sarjana</x:v>
      </x:c>
      <x:c r="H4062" s="87" t="n">
        <x:v>28</x:v>
      </x:c>
      <x:c r="I4062" s="87" t="n">
        <x:v>275</x:v>
      </x:c>
      <x:c r="J4062" s="68" t="n">
        <x:f>IFERROR(H4062/I4062,"")</x:f>
        <x:v>0.10181818181818182</x:v>
      </x:c>
      <x:c r="K4062" s="69" t="n">
        <x:f>IFERROR(I4062/H4062,"")</x:f>
        <x:v>9.821428571428571</x:v>
      </x:c>
      <x:c r="L4062" s="66" t="str">
        <x:f>IF(K4062="","","1 : "&amp;TEXT(K4062,"0.0"))</x:f>
        <x:v>1 : 9.8</x:v>
      </x:c>
      <x:c r="M4062" s="66" t="str">
        <x:f>IF(J4062="","Baru/Tanpa Data",IF(J4062&lt;='Catatan &amp; Sumber'!$B$14,"Sangat Ketat",IF(J4062&lt;='Catatan &amp; Sumber'!$B$15,"Ketat",IF(J4062&lt;='Catatan &amp; Sumber'!$B$16,"Sedang","Relatif Longgar"))))</x:f>
        <x:v>Relatif Longgar</x:v>
      </x:c>
      <x:c r="N4062" s="66" t="str">
        <x:v>Tidak Ada</x:v>
      </x:c>
      <x:c r="O4062" s="66" t="str">
        <x:v>Nusa Tenggara Barat</x:v>
      </x:c>
      <x:c r="P4062" s="66" t="str">
        <x:v>Kota Mataram</x:v>
      </x:c>
      <x:c r="Q4062" s="66" t="str">
        <x:v>https://snpmb.id/snbp/daya-tampung-snbp</x:v>
      </x:c>
      <x:c r="R4062" s="66" t="str">
        <x:v>https://sidatagrun-public-1076756628210.asia-southeast2.run.app/ptn_sn.php?ptn=621</x:v>
      </x:c>
    </x:row>
    <x:row r="4063">
      <x:c r="A4063" s="87" t="n">
        <x:v>671</x:v>
      </x:c>
      <x:c r="B4063" s="66" t="n">
        <x:v>621</x:v>
      </x:c>
      <x:c r="C4063" s="66" t="str">
        <x:v>UNIVERSITAS MATARAM</x:v>
      </x:c>
      <x:c r="D4063" s="66" t="str">
        <x:v>PTN Akademik</x:v>
      </x:c>
      <x:c r="E4063" s="66" t="str">
        <x:v>16211048</x:v>
      </x:c>
      <x:c r="F4063" s="66" t="str">
        <x:v>STATISTIKA</x:v>
      </x:c>
      <x:c r="G4063" s="66" t="str">
        <x:v>Sarjana</x:v>
      </x:c>
      <x:c r="H4063" s="87" t="n">
        <x:v>12</x:v>
      </x:c>
      <x:c r="I4063" s="87" t="n">
        <x:v>199</x:v>
      </x:c>
      <x:c r="J4063" s="68" t="n">
        <x:f>IFERROR(H4063/I4063,"")</x:f>
        <x:v>0.06030150753768844</x:v>
      </x:c>
      <x:c r="K4063" s="69" t="n">
        <x:f>IFERROR(I4063/H4063,"")</x:f>
        <x:v>16.583333333333332</x:v>
      </x:c>
      <x:c r="L4063" s="66" t="str">
        <x:f>IF(K4063="","","1 : "&amp;TEXT(K4063,"0.0"))</x:f>
        <x:v>1 : 16.6</x:v>
      </x:c>
      <x:c r="M4063" s="66" t="str">
        <x:f>IF(J4063="","Baru/Tanpa Data",IF(J4063&lt;='Catatan &amp; Sumber'!$B$14,"Sangat Ketat",IF(J4063&lt;='Catatan &amp; Sumber'!$B$15,"Ketat",IF(J4063&lt;='Catatan &amp; Sumber'!$B$16,"Sedang","Relatif Longgar"))))</x:f>
        <x:v>Sedang</x:v>
      </x:c>
      <x:c r="N4063" s="66" t="str">
        <x:v>Tidak Ada</x:v>
      </x:c>
      <x:c r="O4063" s="66" t="str">
        <x:v>Nusa Tenggara Barat</x:v>
      </x:c>
      <x:c r="P4063" s="66" t="str">
        <x:v>Kota Mataram</x:v>
      </x:c>
      <x:c r="Q4063" s="66" t="str">
        <x:v>https://snpmb.id/snbp/daya-tampung-snbp</x:v>
      </x:c>
      <x:c r="R4063" s="66" t="str">
        <x:v>https://sidatagrun-public-1076756628210.asia-southeast2.run.app/ptn_sn.php?ptn=621</x:v>
      </x:c>
    </x:row>
    <x:row r="4064">
      <x:c r="A4064" s="87" t="n">
        <x:v>297</x:v>
      </x:c>
      <x:c r="B4064" s="66" t="n">
        <x:v>621</x:v>
      </x:c>
      <x:c r="C4064" s="66" t="str">
        <x:v>UNIVERSITAS MATARAM</x:v>
      </x:c>
      <x:c r="D4064" s="66" t="str">
        <x:v>PTN Akademik</x:v>
      </x:c>
      <x:c r="E4064" s="66" t="str">
        <x:v>16211049</x:v>
      </x:c>
      <x:c r="F4064" s="66" t="str">
        <x:v>TEKNIK INDUSTRI</x:v>
      </x:c>
      <x:c r="G4064" s="66" t="str">
        <x:v>Sarjana</x:v>
      </x:c>
      <x:c r="H4064" s="87" t="n">
        <x:v>15</x:v>
      </x:c>
      <x:c r="I4064" s="87" t="n">
        <x:v>353</x:v>
      </x:c>
      <x:c r="J4064" s="68" t="n">
        <x:f>IFERROR(H4064/I4064,"")</x:f>
        <x:v>0.042492917847025496</x:v>
      </x:c>
      <x:c r="K4064" s="69" t="n">
        <x:f>IFERROR(I4064/H4064,"")</x:f>
        <x:v>23.533333333333335</x:v>
      </x:c>
      <x:c r="L4064" s="66" t="str">
        <x:f>IF(K4064="","","1 : "&amp;TEXT(K4064,"0.0"))</x:f>
        <x:v>1 : 23.5</x:v>
      </x:c>
      <x:c r="M4064" s="66" t="str">
        <x:f>IF(J4064="","Baru/Tanpa Data",IF(J4064&lt;='Catatan &amp; Sumber'!$B$14,"Sangat Ketat",IF(J4064&lt;='Catatan &amp; Sumber'!$B$15,"Ketat",IF(J4064&lt;='Catatan &amp; Sumber'!$B$16,"Sedang","Relatif Longgar"))))</x:f>
        <x:v>Ketat</x:v>
      </x:c>
      <x:c r="N4064" s="66" t="str">
        <x:v>Tidak Ada</x:v>
      </x:c>
      <x:c r="O4064" s="66" t="str">
        <x:v>Nusa Tenggara Barat</x:v>
      </x:c>
      <x:c r="P4064" s="66" t="str">
        <x:v>Kota Mataram</x:v>
      </x:c>
      <x:c r="Q4064" s="66" t="str">
        <x:v>https://snpmb.id/snbp/daya-tampung-snbp</x:v>
      </x:c>
      <x:c r="R4064" s="66" t="str">
        <x:v>https://sidatagrun-public-1076756628210.asia-southeast2.run.app/ptn_sn.php?ptn=621</x:v>
      </x:c>
    </x:row>
    <x:row r="4065">
      <x:c r="A4065" s="87" t="n">
        <x:v>2295</x:v>
      </x:c>
      <x:c r="B4065" s="66" t="n">
        <x:v>621</x:v>
      </x:c>
      <x:c r="C4065" s="66" t="str">
        <x:v>UNIVERSITAS MATARAM</x:v>
      </x:c>
      <x:c r="D4065" s="66" t="str">
        <x:v>PTN Akademik</x:v>
      </x:c>
      <x:c r="E4065" s="66" t="str">
        <x:v>16213039</x:v>
      </x:c>
      <x:c r="F4065" s="66" t="str">
        <x:v>PERPAJAKAN</x:v>
      </x:c>
      <x:c r="G4065" s="66" t="str">
        <x:v>Diploma Tiga</x:v>
      </x:c>
      <x:c r="H4065" s="87" t="n">
        <x:v>30</x:v>
      </x:c>
      <x:c r="I4065" s="87" t="n">
        <x:v>164</x:v>
      </x:c>
      <x:c r="J4065" s="68" t="n">
        <x:f>IFERROR(H4065/I4065,"")</x:f>
        <x:v>0.18292682926829268</x:v>
      </x:c>
      <x:c r="K4065" s="69" t="n">
        <x:f>IFERROR(I4065/H4065,"")</x:f>
        <x:v>5.466666666666667</x:v>
      </x:c>
      <x:c r="L4065" s="66" t="str">
        <x:f>IF(K4065="","","1 : "&amp;TEXT(K4065,"0.0"))</x:f>
        <x:v>1 : 5.5</x:v>
      </x:c>
      <x:c r="M4065" s="66" t="str">
        <x:f>IF(J4065="","Baru/Tanpa Data",IF(J4065&lt;='Catatan &amp; Sumber'!$B$14,"Sangat Ketat",IF(J4065&lt;='Catatan &amp; Sumber'!$B$15,"Ketat",IF(J4065&lt;='Catatan &amp; Sumber'!$B$16,"Sedang","Relatif Longgar"))))</x:f>
        <x:v>Relatif Longgar</x:v>
      </x:c>
      <x:c r="N4065" s="66" t="str">
        <x:v>Tidak Ada</x:v>
      </x:c>
      <x:c r="O4065" s="66" t="str">
        <x:v>Nusa Tenggara Barat</x:v>
      </x:c>
      <x:c r="P4065" s="66" t="str">
        <x:v>Kota Mataram</x:v>
      </x:c>
      <x:c r="Q4065" s="66" t="str">
        <x:v>https://snpmb.id/snbp/daya-tampung-snbp</x:v>
      </x:c>
      <x:c r="R4065" s="66" t="str">
        <x:v>https://sidatagrun-public-1076756628210.asia-southeast2.run.app/ptn_sn.php?ptn=621</x:v>
      </x:c>
    </x:row>
    <x:row r="4066">
      <x:c r="A4066" s="87" t="n">
        <x:v>3696</x:v>
      </x:c>
      <x:c r="B4066" s="66" t="n">
        <x:v>621</x:v>
      </x:c>
      <x:c r="C4066" s="66" t="str">
        <x:v>UNIVERSITAS MATARAM</x:v>
      </x:c>
      <x:c r="D4066" s="66" t="str">
        <x:v>PTN Akademik</x:v>
      </x:c>
      <x:c r="E4066" s="66" t="str">
        <x:v>16213043</x:v>
      </x:c>
      <x:c r="F4066" s="66" t="str">
        <x:v>AKUNTANSI</x:v>
      </x:c>
      <x:c r="G4066" s="66" t="str">
        <x:v>Diploma Tiga</x:v>
      </x:c>
      <x:c r="H4066" s="87" t="n">
        <x:v>35</x:v>
      </x:c>
      <x:c r="I4066" s="87" t="n">
        <x:v>68</x:v>
      </x:c>
      <x:c r="J4066" s="68" t="n">
        <x:f>IFERROR(H4066/I4066,"")</x:f>
        <x:v>0.5147058823529411</x:v>
      </x:c>
      <x:c r="K4066" s="69" t="n">
        <x:f>IFERROR(I4066/H4066,"")</x:f>
        <x:v>1.9428571428571428</x:v>
      </x:c>
      <x:c r="L4066" s="66" t="str">
        <x:f>IF(K4066="","","1 : "&amp;TEXT(K4066,"0.0"))</x:f>
        <x:v>1 : 1.9</x:v>
      </x:c>
      <x:c r="M4066" s="66" t="str">
        <x:f>IF(J4066="","Baru/Tanpa Data",IF(J4066&lt;='Catatan &amp; Sumber'!$B$14,"Sangat Ketat",IF(J4066&lt;='Catatan &amp; Sumber'!$B$15,"Ketat",IF(J4066&lt;='Catatan &amp; Sumber'!$B$16,"Sedang","Relatif Longgar"))))</x:f>
        <x:v>Relatif Longgar</x:v>
      </x:c>
      <x:c r="N4066" s="66" t="str">
        <x:v>Tidak Ada</x:v>
      </x:c>
      <x:c r="O4066" s="66" t="str">
        <x:v>Nusa Tenggara Barat</x:v>
      </x:c>
      <x:c r="P4066" s="66" t="str">
        <x:v>Kota Mataram</x:v>
      </x:c>
      <x:c r="Q4066" s="66" t="str">
        <x:v>https://snpmb.id/snbp/daya-tampung-snbp</x:v>
      </x:c>
      <x:c r="R4066" s="66" t="str">
        <x:v>https://sidatagrun-public-1076756628210.asia-southeast2.run.app/ptn_sn.php?ptn=621</x:v>
      </x:c>
    </x:row>
    <x:row r="4067">
      <x:c r="A4067" s="87" t="n">
        <x:v>3944</x:v>
      </x:c>
      <x:c r="B4067" s="66" t="n">
        <x:v>621</x:v>
      </x:c>
      <x:c r="C4067" s="66" t="str">
        <x:v>UNIVERSITAS MATARAM</x:v>
      </x:c>
      <x:c r="D4067" s="66" t="str">
        <x:v>PTN Akademik</x:v>
      </x:c>
      <x:c r="E4067" s="66" t="str">
        <x:v>16213044</x:v>
      </x:c>
      <x:c r="F4067" s="66" t="str">
        <x:v>AGRIBISNIS PETERNAKAN</x:v>
      </x:c>
      <x:c r="G4067" s="66" t="str">
        <x:v>Diploma Tiga</x:v>
      </x:c>
      <x:c r="H4067" s="87" t="n">
        <x:v>15</x:v>
      </x:c>
      <x:c r="I4067" s="87" t="n">
        <x:v>23</x:v>
      </x:c>
      <x:c r="J4067" s="68" t="n">
        <x:f>IFERROR(H4067/I4067,"")</x:f>
        <x:v>0.6521739130434783</x:v>
      </x:c>
      <x:c r="K4067" s="69" t="n">
        <x:f>IFERROR(I4067/H4067,"")</x:f>
        <x:v>1.5333333333333334</x:v>
      </x:c>
      <x:c r="L4067" s="66" t="str">
        <x:f>IF(K4067="","","1 : "&amp;TEXT(K4067,"0.0"))</x:f>
        <x:v>1 : 1.5</x:v>
      </x:c>
      <x:c r="M4067" s="66" t="str">
        <x:f>IF(J4067="","Baru/Tanpa Data",IF(J4067&lt;='Catatan &amp; Sumber'!$B$14,"Sangat Ketat",IF(J4067&lt;='Catatan &amp; Sumber'!$B$15,"Ketat",IF(J4067&lt;='Catatan &amp; Sumber'!$B$16,"Sedang","Relatif Longgar"))))</x:f>
        <x:v>Relatif Longgar</x:v>
      </x:c>
      <x:c r="N4067" s="66" t="str">
        <x:v>Tidak Ada</x:v>
      </x:c>
      <x:c r="O4067" s="66" t="str">
        <x:v>Nusa Tenggara Barat</x:v>
      </x:c>
      <x:c r="P4067" s="66" t="str">
        <x:v>Kota Mataram</x:v>
      </x:c>
      <x:c r="Q4067" s="66" t="str">
        <x:v>https://snpmb.id/snbp/daya-tampung-snbp</x:v>
      </x:c>
      <x:c r="R4067" s="66" t="str">
        <x:v>https://sidatagrun-public-1076756628210.asia-southeast2.run.app/ptn_sn.php?ptn=621</x:v>
      </x:c>
    </x:row>
    <x:row r="4068">
      <x:c r="A4068" s="87" t="n">
        <x:v>1567</x:v>
      </x:c>
      <x:c r="B4068" s="66" t="n">
        <x:v>621</x:v>
      </x:c>
      <x:c r="C4068" s="66" t="str">
        <x:v>UNIVERSITAS MATARAM</x:v>
      </x:c>
      <x:c r="D4068" s="66" t="str">
        <x:v>PTN Akademik</x:v>
      </x:c>
      <x:c r="E4068" s="66" t="str">
        <x:v>16213047</x:v>
      </x:c>
      <x:c r="F4068" s="66" t="str">
        <x:v>PARIWISATA</x:v>
      </x:c>
      <x:c r="G4068" s="66" t="str">
        <x:v>Diploma Tiga</x:v>
      </x:c>
      <x:c r="H4068" s="87" t="n">
        <x:v>30</x:v>
      </x:c>
      <x:c r="I4068" s="87" t="n">
        <x:v>263</x:v>
      </x:c>
      <x:c r="J4068" s="68" t="n">
        <x:f>IFERROR(H4068/I4068,"")</x:f>
        <x:v>0.11406844106463879</x:v>
      </x:c>
      <x:c r="K4068" s="69" t="n">
        <x:f>IFERROR(I4068/H4068,"")</x:f>
        <x:v>8.766666666666667</x:v>
      </x:c>
      <x:c r="L4068" s="66" t="str">
        <x:f>IF(K4068="","","1 : "&amp;TEXT(K4068,"0.0"))</x:f>
        <x:v>1 : 8.8</x:v>
      </x:c>
      <x:c r="M4068" s="66" t="str">
        <x:f>IF(J4068="","Baru/Tanpa Data",IF(J4068&lt;='Catatan &amp; Sumber'!$B$14,"Sangat Ketat",IF(J4068&lt;='Catatan &amp; Sumber'!$B$15,"Ketat",IF(J4068&lt;='Catatan &amp; Sumber'!$B$16,"Sedang","Relatif Longgar"))))</x:f>
        <x:v>Relatif Longgar</x:v>
      </x:c>
      <x:c r="N4068" s="66" t="str">
        <x:v>Tidak Ada</x:v>
      </x:c>
      <x:c r="O4068" s="66" t="str">
        <x:v>Nusa Tenggara Barat</x:v>
      </x:c>
      <x:c r="P4068" s="66" t="str">
        <x:v>Kota Mataram</x:v>
      </x:c>
      <x:c r="Q4068" s="66" t="str">
        <x:v>https://snpmb.id/snbp/daya-tampung-snbp</x:v>
      </x:c>
      <x:c r="R4068" s="66" t="str">
        <x:v>https://sidatagrun-public-1076756628210.asia-southeast2.run.app/ptn_sn.php?ptn=621</x:v>
      </x:c>
    </x:row>
    <x:row r="4069">
      <x:c r="A4069" s="87" t="n">
        <x:v>2499</x:v>
      </x:c>
      <x:c r="B4069" s="66" t="n">
        <x:v>622</x:v>
      </x:c>
      <x:c r="C4069" s="66" t="str">
        <x:v>UIN MATARAM</x:v>
      </x:c>
      <x:c r="D4069" s="66" t="str">
        <x:v>PTKIN</x:v>
      </x:c>
      <x:c r="E4069" s="66" t="str">
        <x:v>16221001</x:v>
      </x:c>
      <x:c r="F4069" s="66" t="str">
        <x:v>HUKUM BISNIS</x:v>
      </x:c>
      <x:c r="G4069" s="66" t="str">
        <x:v>Sarjana</x:v>
      </x:c>
      <x:c r="H4069" s="87" t="n">
        <x:v>23</x:v>
      </x:c>
      <x:c r="I4069" s="87" t="n">
        <x:v>109</x:v>
      </x:c>
      <x:c r="J4069" s="68" t="n">
        <x:f>IFERROR(H4069/I4069,"")</x:f>
        <x:v>0.21100917431192662</x:v>
      </x:c>
      <x:c r="K4069" s="69" t="n">
        <x:f>IFERROR(I4069/H4069,"")</x:f>
        <x:v>4.739130434782608</x:v>
      </x:c>
      <x:c r="L4069" s="66" t="str">
        <x:f>IF(K4069="","","1 : "&amp;TEXT(K4069,"0.0"))</x:f>
        <x:v>1 : 4.7</x:v>
      </x:c>
      <x:c r="M4069" s="66" t="str">
        <x:f>IF(J4069="","Baru/Tanpa Data",IF(J4069&lt;='Catatan &amp; Sumber'!$B$14,"Sangat Ketat",IF(J4069&lt;='Catatan &amp; Sumber'!$B$15,"Ketat",IF(J4069&lt;='Catatan &amp; Sumber'!$B$16,"Sedang","Relatif Longgar"))))</x:f>
        <x:v>Relatif Longgar</x:v>
      </x:c>
      <x:c r="N4069" s="66" t="str">
        <x:v>Tidak Ada</x:v>
      </x:c>
      <x:c r="O4069" s="66" t="str">
        <x:v>Nusa Tenggara Barat</x:v>
      </x:c>
      <x:c r="P4069" s="66" t="str">
        <x:v>Kota Mataram</x:v>
      </x:c>
      <x:c r="Q4069" s="66" t="str">
        <x:v>https://snpmb.id/snbp/daya-tampung-snbp</x:v>
      </x:c>
      <x:c r="R4069" s="66" t="str">
        <x:v>https://sidatagrun-public-1076756628210.asia-southeast2.run.app/ptn_sn.php?ptn=622</x:v>
      </x:c>
    </x:row>
    <x:row r="4070">
      <x:c r="A4070" s="87" t="n">
        <x:v>2019</x:v>
      </x:c>
      <x:c r="B4070" s="66" t="n">
        <x:v>622</x:v>
      </x:c>
      <x:c r="C4070" s="66" t="str">
        <x:v>UIN MATARAM</x:v>
      </x:c>
      <x:c r="D4070" s="66" t="str">
        <x:v>PTKIN</x:v>
      </x:c>
      <x:c r="E4070" s="66" t="str">
        <x:v>16221002</x:v>
      </x:c>
      <x:c r="F4070" s="66" t="str">
        <x:v>KEWIRAUSAHAAN</x:v>
      </x:c>
      <x:c r="G4070" s="66" t="str">
        <x:v>Sarjana</x:v>
      </x:c>
      <x:c r="H4070" s="87" t="n">
        <x:v>18</x:v>
      </x:c>
      <x:c r="I4070" s="87" t="n">
        <x:v>117</x:v>
      </x:c>
      <x:c r="J4070" s="68" t="n">
        <x:f>IFERROR(H4070/I4070,"")</x:f>
        <x:v>0.15384615384615385</x:v>
      </x:c>
      <x:c r="K4070" s="69" t="n">
        <x:f>IFERROR(I4070/H4070,"")</x:f>
        <x:v>6.5</x:v>
      </x:c>
      <x:c r="L4070" s="66" t="str">
        <x:f>IF(K4070="","","1 : "&amp;TEXT(K4070,"0.0"))</x:f>
        <x:v>1 : 6.5</x:v>
      </x:c>
      <x:c r="M4070" s="66" t="str">
        <x:f>IF(J4070="","Baru/Tanpa Data",IF(J4070&lt;='Catatan &amp; Sumber'!$B$14,"Sangat Ketat",IF(J4070&lt;='Catatan &amp; Sumber'!$B$15,"Ketat",IF(J4070&lt;='Catatan &amp; Sumber'!$B$16,"Sedang","Relatif Longgar"))))</x:f>
        <x:v>Relatif Longgar</x:v>
      </x:c>
      <x:c r="N4070" s="66" t="str">
        <x:v>Tidak Ada</x:v>
      </x:c>
      <x:c r="O4070" s="66" t="str">
        <x:v>Nusa Tenggara Barat</x:v>
      </x:c>
      <x:c r="P4070" s="66" t="str">
        <x:v>Kota Mataram</x:v>
      </x:c>
      <x:c r="Q4070" s="66" t="str">
        <x:v>https://snpmb.id/snbp/daya-tampung-snbp</x:v>
      </x:c>
      <x:c r="R4070" s="66" t="str">
        <x:v>https://sidatagrun-public-1076756628210.asia-southeast2.run.app/ptn_sn.php?ptn=622</x:v>
      </x:c>
    </x:row>
    <x:row r="4071">
      <x:c r="A4071" s="87" t="n">
        <x:v>2104</x:v>
      </x:c>
      <x:c r="B4071" s="66" t="n">
        <x:v>622</x:v>
      </x:c>
      <x:c r="C4071" s="66" t="str">
        <x:v>UIN MATARAM</x:v>
      </x:c>
      <x:c r="D4071" s="66" t="str">
        <x:v>PTKIN</x:v>
      </x:c>
      <x:c r="E4071" s="66" t="str">
        <x:v>16221003</x:v>
      </x:c>
      <x:c r="F4071" s="66" t="str">
        <x:v>TEKNOLOGI INFORMASI</x:v>
      </x:c>
      <x:c r="G4071" s="66" t="str">
        <x:v>Sarjana</x:v>
      </x:c>
      <x:c r="H4071" s="87" t="n">
        <x:v>23</x:v>
      </x:c>
      <x:c r="I4071" s="87" t="n">
        <x:v>142</x:v>
      </x:c>
      <x:c r="J4071" s="68" t="n">
        <x:f>IFERROR(H4071/I4071,"")</x:f>
        <x:v>0.1619718309859155</x:v>
      </x:c>
      <x:c r="K4071" s="69" t="n">
        <x:f>IFERROR(I4071/H4071,"")</x:f>
        <x:v>6.173913043478261</x:v>
      </x:c>
      <x:c r="L4071" s="66" t="str">
        <x:f>IF(K4071="","","1 : "&amp;TEXT(K4071,"0.0"))</x:f>
        <x:v>1 : 6.2</x:v>
      </x:c>
      <x:c r="M4071" s="66" t="str">
        <x:f>IF(J4071="","Baru/Tanpa Data",IF(J4071&lt;='Catatan &amp; Sumber'!$B$14,"Sangat Ketat",IF(J4071&lt;='Catatan &amp; Sumber'!$B$15,"Ketat",IF(J4071&lt;='Catatan &amp; Sumber'!$B$16,"Sedang","Relatif Longgar"))))</x:f>
        <x:v>Relatif Longgar</x:v>
      </x:c>
      <x:c r="N4071" s="66" t="str">
        <x:v>Tidak Ada</x:v>
      </x:c>
      <x:c r="O4071" s="66" t="str">
        <x:v>Nusa Tenggara Barat</x:v>
      </x:c>
      <x:c r="P4071" s="66" t="str">
        <x:v>Kota Mataram</x:v>
      </x:c>
      <x:c r="Q4071" s="66" t="str">
        <x:v>https://snpmb.id/snbp/daya-tampung-snbp</x:v>
      </x:c>
      <x:c r="R4071" s="66" t="str">
        <x:v>https://sidatagrun-public-1076756628210.asia-southeast2.run.app/ptn_sn.php?ptn=622</x:v>
      </x:c>
    </x:row>
    <x:row r="4072">
      <x:c r="A4072" s="87"/>
      <x:c r="B4072" s="66" t="n">
        <x:v>622</x:v>
      </x:c>
      <x:c r="C4072" s="66" t="str">
        <x:v>UIN MATARAM</x:v>
      </x:c>
      <x:c r="D4072" s="66" t="str">
        <x:v>PTKIN</x:v>
      </x:c>
      <x:c r="E4072" s="66" t="str">
        <x:v>16221004</x:v>
      </x:c>
      <x:c r="F4072" s="66" t="str">
        <x:v>KESELAMATAN DAN KESEHATAN KERJA</x:v>
      </x:c>
      <x:c r="G4072" s="66" t="str">
        <x:v>Sarjana</x:v>
      </x:c>
      <x:c r="H4072" s="87" t="n">
        <x:v>14</x:v>
      </x:c>
      <x:c r="I4072" s="87"/>
      <x:c r="J4072" s="68" t="str">
        <x:f>IFERROR(H4072/I4072,"")</x:f>
      </x:c>
      <x:c r="K4072" s="69" t="n">
        <x:f>IFERROR(I4072/H4072,"")</x:f>
        <x:v>0</x:v>
      </x:c>
      <x:c r="L4072" s="66" t="str">
        <x:f>IF(K4072="","","1 : "&amp;TEXT(K4072,"0.0"))</x:f>
      </x:c>
      <x:c r="M4072" s="66" t="str">
        <x:f>IF(J4072="","Baru/Tanpa Data",IF(J4072&lt;='Catatan &amp; Sumber'!$B$14,"Sangat Ketat",IF(J4072&lt;='Catatan &amp; Sumber'!$B$15,"Ketat",IF(J4072&lt;='Catatan &amp; Sumber'!$B$16,"Sedang","Relatif Longgar"))))</x:f>
        <x:v>Baru/Tanpa Data</x:v>
      </x:c>
      <x:c r="N4072" s="66" t="str">
        <x:v>Tidak Ada</x:v>
      </x:c>
      <x:c r="O4072" s="66" t="str">
        <x:v>Nusa Tenggara Barat</x:v>
      </x:c>
      <x:c r="P4072" s="66" t="str">
        <x:v>Kota Mataram</x:v>
      </x:c>
      <x:c r="Q4072" s="66" t="str">
        <x:v>https://snpmb.id/snbp/daya-tampung-snbp</x:v>
      </x:c>
      <x:c r="R4072" s="66" t="str">
        <x:v>https://sidatagrun-public-1076756628210.asia-southeast2.run.app/ptn_sn.php?ptn=622</x:v>
      </x:c>
    </x:row>
    <x:row r="4073">
      <x:c r="A4073" s="87"/>
      <x:c r="B4073" s="66" t="n">
        <x:v>622</x:v>
      </x:c>
      <x:c r="C4073" s="66" t="str">
        <x:v>UIN MATARAM</x:v>
      </x:c>
      <x:c r="D4073" s="66" t="str">
        <x:v>PTKIN</x:v>
      </x:c>
      <x:c r="E4073" s="66" t="str">
        <x:v>16222005</x:v>
      </x:c>
      <x:c r="F4073" s="66" t="str">
        <x:v>KEPERAWATAN ANESTESIOLOGI</x:v>
      </x:c>
      <x:c r="G4073" s="66" t="str">
        <x:v>Sarjana Terapan</x:v>
      </x:c>
      <x:c r="H4073" s="87" t="n">
        <x:v>14</x:v>
      </x:c>
      <x:c r="I4073" s="87"/>
      <x:c r="J4073" s="68" t="str">
        <x:f>IFERROR(H4073/I4073,"")</x:f>
      </x:c>
      <x:c r="K4073" s="69" t="n">
        <x:f>IFERROR(I4073/H4073,"")</x:f>
        <x:v>0</x:v>
      </x:c>
      <x:c r="L4073" s="66" t="str">
        <x:f>IF(K4073="","","1 : "&amp;TEXT(K4073,"0.0"))</x:f>
      </x:c>
      <x:c r="M4073" s="66" t="str">
        <x:f>IF(J4073="","Baru/Tanpa Data",IF(J4073&lt;='Catatan &amp; Sumber'!$B$14,"Sangat Ketat",IF(J4073&lt;='Catatan &amp; Sumber'!$B$15,"Ketat",IF(J4073&lt;='Catatan &amp; Sumber'!$B$16,"Sedang","Relatif Longgar"))))</x:f>
        <x:v>Baru/Tanpa Data</x:v>
      </x:c>
      <x:c r="N4073" s="66" t="str">
        <x:v>Tidak Ada</x:v>
      </x:c>
      <x:c r="O4073" s="66" t="str">
        <x:v>Nusa Tenggara Barat</x:v>
      </x:c>
      <x:c r="P4073" s="66" t="str">
        <x:v>Kota Mataram</x:v>
      </x:c>
      <x:c r="Q4073" s="66" t="str">
        <x:v>https://snpmb.id/snbp/daya-tampung-snbp</x:v>
      </x:c>
      <x:c r="R4073" s="66" t="str">
        <x:v>https://sidatagrun-public-1076756628210.asia-southeast2.run.app/ptn_sn.php?ptn=622</x:v>
      </x:c>
    </x:row>
    <x:row r="4074">
      <x:c r="A4074" s="87" t="n">
        <x:v>2220</x:v>
      </x:c>
      <x:c r="B4074" s="66" t="n">
        <x:v>631</x:v>
      </x:c>
      <x:c r="C4074" s="66" t="str">
        <x:v>UNIVERSITAS NUSA CENDANA</x:v>
      </x:c>
      <x:c r="D4074" s="66" t="str">
        <x:v>PTN Akademik</x:v>
      </x:c>
      <x:c r="E4074" s="66" t="str">
        <x:v>16311001</x:v>
      </x:c>
      <x:c r="F4074" s="66" t="str">
        <x:v>PEND. MATEMATIKA</x:v>
      </x:c>
      <x:c r="G4074" s="66" t="str">
        <x:v>Sarjana</x:v>
      </x:c>
      <x:c r="H4074" s="87" t="n">
        <x:v>33</x:v>
      </x:c>
      <x:c r="I4074" s="87" t="n">
        <x:v>189</x:v>
      </x:c>
      <x:c r="J4074" s="68" t="n">
        <x:f>IFERROR(H4074/I4074,"")</x:f>
        <x:v>0.1746031746031746</x:v>
      </x:c>
      <x:c r="K4074" s="69" t="n">
        <x:f>IFERROR(I4074/H4074,"")</x:f>
        <x:v>5.7272727272727275</x:v>
      </x:c>
      <x:c r="L4074" s="66" t="str">
        <x:f>IF(K4074="","","1 : "&amp;TEXT(K4074,"0.0"))</x:f>
        <x:v>1 : 5.7</x:v>
      </x:c>
      <x:c r="M4074" s="66" t="str">
        <x:f>IF(J4074="","Baru/Tanpa Data",IF(J4074&lt;='Catatan &amp; Sumber'!$B$14,"Sangat Ketat",IF(J4074&lt;='Catatan &amp; Sumber'!$B$15,"Ketat",IF(J4074&lt;='Catatan &amp; Sumber'!$B$16,"Sedang","Relatif Longgar"))))</x:f>
        <x:v>Relatif Longgar</x:v>
      </x:c>
      <x:c r="N4074" s="66" t="str">
        <x:v>Tidak Ada</x:v>
      </x:c>
      <x:c r="O4074" s="66" t="str">
        <x:v>Nusa Tenggara Timur</x:v>
      </x:c>
      <x:c r="P4074" s="66" t="str">
        <x:v>Kota Kupang</x:v>
      </x:c>
      <x:c r="Q4074" s="66" t="str">
        <x:v>https://snpmb.id/snbp/daya-tampung-snbp</x:v>
      </x:c>
      <x:c r="R4074" s="66" t="str">
        <x:v>https://sidatagrun-public-1076756628210.asia-southeast2.run.app/ptn_sn.php?ptn=631</x:v>
      </x:c>
    </x:row>
    <x:row r="4075">
      <x:c r="A4075" s="87" t="n">
        <x:v>2277</x:v>
      </x:c>
      <x:c r="B4075" s="66" t="n">
        <x:v>631</x:v>
      </x:c>
      <x:c r="C4075" s="66" t="str">
        <x:v>UNIVERSITAS NUSA CENDANA</x:v>
      </x:c>
      <x:c r="D4075" s="66" t="str">
        <x:v>PTN Akademik</x:v>
      </x:c>
      <x:c r="E4075" s="66" t="str">
        <x:v>16311002</x:v>
      </x:c>
      <x:c r="F4075" s="66" t="str">
        <x:v>PEND. BIOLOGI</x:v>
      </x:c>
      <x:c r="G4075" s="66" t="str">
        <x:v>Sarjana</x:v>
      </x:c>
      <x:c r="H4075" s="87" t="n">
        <x:v>30</x:v>
      </x:c>
      <x:c r="I4075" s="87" t="n">
        <x:v>165</x:v>
      </x:c>
      <x:c r="J4075" s="68" t="n">
        <x:f>IFERROR(H4075/I4075,"")</x:f>
        <x:v>0.18181818181818182</x:v>
      </x:c>
      <x:c r="K4075" s="69" t="n">
        <x:f>IFERROR(I4075/H4075,"")</x:f>
        <x:v>5.5</x:v>
      </x:c>
      <x:c r="L4075" s="66" t="str">
        <x:f>IF(K4075="","","1 : "&amp;TEXT(K4075,"0.0"))</x:f>
        <x:v>1 : 5.5</x:v>
      </x:c>
      <x:c r="M4075" s="66" t="str">
        <x:f>IF(J4075="","Baru/Tanpa Data",IF(J4075&lt;='Catatan &amp; Sumber'!$B$14,"Sangat Ketat",IF(J4075&lt;='Catatan &amp; Sumber'!$B$15,"Ketat",IF(J4075&lt;='Catatan &amp; Sumber'!$B$16,"Sedang","Relatif Longgar"))))</x:f>
        <x:v>Relatif Longgar</x:v>
      </x:c>
      <x:c r="N4075" s="66" t="str">
        <x:v>Tidak Ada</x:v>
      </x:c>
      <x:c r="O4075" s="66" t="str">
        <x:v>Nusa Tenggara Timur</x:v>
      </x:c>
      <x:c r="P4075" s="66" t="str">
        <x:v>Kota Kupang</x:v>
      </x:c>
      <x:c r="Q4075" s="66" t="str">
        <x:v>https://snpmb.id/snbp/daya-tampung-snbp</x:v>
      </x:c>
      <x:c r="R4075" s="66" t="str">
        <x:v>https://sidatagrun-public-1076756628210.asia-southeast2.run.app/ptn_sn.php?ptn=631</x:v>
      </x:c>
    </x:row>
    <x:row r="4076">
      <x:c r="A4076" s="87" t="n">
        <x:v>3470</x:v>
      </x:c>
      <x:c r="B4076" s="66" t="n">
        <x:v>631</x:v>
      </x:c>
      <x:c r="C4076" s="66" t="str">
        <x:v>UNIVERSITAS NUSA CENDANA</x:v>
      </x:c>
      <x:c r="D4076" s="66" t="str">
        <x:v>PTN Akademik</x:v>
      </x:c>
      <x:c r="E4076" s="66" t="str">
        <x:v>16311003</x:v>
      </x:c>
      <x:c r="F4076" s="66" t="str">
        <x:v>PEND. FISIKA</x:v>
      </x:c>
      <x:c r="G4076" s="66" t="str">
        <x:v>Sarjana</x:v>
      </x:c>
      <x:c r="H4076" s="87" t="n">
        <x:v>33</x:v>
      </x:c>
      <x:c r="I4076" s="87" t="n">
        <x:v>78</x:v>
      </x:c>
      <x:c r="J4076" s="68" t="n">
        <x:f>IFERROR(H4076/I4076,"")</x:f>
        <x:v>0.4230769230769231</x:v>
      </x:c>
      <x:c r="K4076" s="69" t="n">
        <x:f>IFERROR(I4076/H4076,"")</x:f>
        <x:v>2.3636363636363638</x:v>
      </x:c>
      <x:c r="L4076" s="66" t="str">
        <x:f>IF(K4076="","","1 : "&amp;TEXT(K4076,"0.0"))</x:f>
        <x:v>1 : 2.4</x:v>
      </x:c>
      <x:c r="M4076" s="66" t="str">
        <x:f>IF(J4076="","Baru/Tanpa Data",IF(J4076&lt;='Catatan &amp; Sumber'!$B$14,"Sangat Ketat",IF(J4076&lt;='Catatan &amp; Sumber'!$B$15,"Ketat",IF(J4076&lt;='Catatan &amp; Sumber'!$B$16,"Sedang","Relatif Longgar"))))</x:f>
        <x:v>Relatif Longgar</x:v>
      </x:c>
      <x:c r="N4076" s="66" t="str">
        <x:v>Tidak Ada</x:v>
      </x:c>
      <x:c r="O4076" s="66" t="str">
        <x:v>Nusa Tenggara Timur</x:v>
      </x:c>
      <x:c r="P4076" s="66" t="str">
        <x:v>Kota Kupang</x:v>
      </x:c>
      <x:c r="Q4076" s="66" t="str">
        <x:v>https://snpmb.id/snbp/daya-tampung-snbp</x:v>
      </x:c>
      <x:c r="R4076" s="66" t="str">
        <x:v>https://sidatagrun-public-1076756628210.asia-southeast2.run.app/ptn_sn.php?ptn=631</x:v>
      </x:c>
    </x:row>
    <x:row r="4077">
      <x:c r="A4077" s="87" t="n">
        <x:v>3285</x:v>
      </x:c>
      <x:c r="B4077" s="66" t="n">
        <x:v>631</x:v>
      </x:c>
      <x:c r="C4077" s="66" t="str">
        <x:v>UNIVERSITAS NUSA CENDANA</x:v>
      </x:c>
      <x:c r="D4077" s="66" t="str">
        <x:v>PTN Akademik</x:v>
      </x:c>
      <x:c r="E4077" s="66" t="str">
        <x:v>16311004</x:v>
      </x:c>
      <x:c r="F4077" s="66" t="str">
        <x:v>PEND. KIMIA</x:v>
      </x:c>
      <x:c r="G4077" s="66" t="str">
        <x:v>Sarjana</x:v>
      </x:c>
      <x:c r="H4077" s="87" t="n">
        <x:v>35</x:v>
      </x:c>
      <x:c r="I4077" s="87" t="n">
        <x:v>95</x:v>
      </x:c>
      <x:c r="J4077" s="68" t="n">
        <x:f>IFERROR(H4077/I4077,"")</x:f>
        <x:v>0.3684210526315789</x:v>
      </x:c>
      <x:c r="K4077" s="69" t="n">
        <x:f>IFERROR(I4077/H4077,"")</x:f>
        <x:v>2.7142857142857144</x:v>
      </x:c>
      <x:c r="L4077" s="66" t="str">
        <x:f>IF(K4077="","","1 : "&amp;TEXT(K4077,"0.0"))</x:f>
        <x:v>1 : 2.7</x:v>
      </x:c>
      <x:c r="M4077" s="66" t="str">
        <x:f>IF(J4077="","Baru/Tanpa Data",IF(J4077&lt;='Catatan &amp; Sumber'!$B$14,"Sangat Ketat",IF(J4077&lt;='Catatan &amp; Sumber'!$B$15,"Ketat",IF(J4077&lt;='Catatan &amp; Sumber'!$B$16,"Sedang","Relatif Longgar"))))</x:f>
        <x:v>Relatif Longgar</x:v>
      </x:c>
      <x:c r="N4077" s="66" t="str">
        <x:v>Tidak Ada</x:v>
      </x:c>
      <x:c r="O4077" s="66" t="str">
        <x:v>Nusa Tenggara Timur</x:v>
      </x:c>
      <x:c r="P4077" s="66" t="str">
        <x:v>Kota Kupang</x:v>
      </x:c>
      <x:c r="Q4077" s="66" t="str">
        <x:v>https://snpmb.id/snbp/daya-tampung-snbp</x:v>
      </x:c>
      <x:c r="R4077" s="66" t="str">
        <x:v>https://sidatagrun-public-1076756628210.asia-southeast2.run.app/ptn_sn.php?ptn=631</x:v>
      </x:c>
    </x:row>
    <x:row r="4078">
      <x:c r="A4078" s="87" t="n">
        <x:v>4289</x:v>
      </x:c>
      <x:c r="B4078" s="66" t="n">
        <x:v>631</x:v>
      </x:c>
      <x:c r="C4078" s="66" t="str">
        <x:v>UNIVERSITAS NUSA CENDANA</x:v>
      </x:c>
      <x:c r="D4078" s="66" t="str">
        <x:v>PTN Akademik</x:v>
      </x:c>
      <x:c r="E4078" s="66" t="str">
        <x:v>16311005</x:v>
      </x:c>
      <x:c r="F4078" s="66" t="str">
        <x:v>PEND. TEKNIK BANGUNAN</x:v>
      </x:c>
      <x:c r="G4078" s="66" t="str">
        <x:v>Sarjana</x:v>
      </x:c>
      <x:c r="H4078" s="87" t="n">
        <x:v>24</x:v>
      </x:c>
      <x:c r="I4078" s="87" t="n">
        <x:v>25</x:v>
      </x:c>
      <x:c r="J4078" s="68" t="n">
        <x:f>IFERROR(H4078/I4078,"")</x:f>
        <x:v>0.96</x:v>
      </x:c>
      <x:c r="K4078" s="69" t="n">
        <x:f>IFERROR(I4078/H4078,"")</x:f>
        <x:v>1.0416666666666667</x:v>
      </x:c>
      <x:c r="L4078" s="66" t="str">
        <x:f>IF(K4078="","","1 : "&amp;TEXT(K4078,"0.0"))</x:f>
        <x:v>1 : 1.0</x:v>
      </x:c>
      <x:c r="M4078" s="66" t="str">
        <x:f>IF(J4078="","Baru/Tanpa Data",IF(J4078&lt;='Catatan &amp; Sumber'!$B$14,"Sangat Ketat",IF(J4078&lt;='Catatan &amp; Sumber'!$B$15,"Ketat",IF(J4078&lt;='Catatan &amp; Sumber'!$B$16,"Sedang","Relatif Longgar"))))</x:f>
        <x:v>Relatif Longgar</x:v>
      </x:c>
      <x:c r="N4078" s="66" t="str">
        <x:v>Tidak Ada</x:v>
      </x:c>
      <x:c r="O4078" s="66" t="str">
        <x:v>Nusa Tenggara Timur</x:v>
      </x:c>
      <x:c r="P4078" s="66" t="str">
        <x:v>Kota Kupang</x:v>
      </x:c>
      <x:c r="Q4078" s="66" t="str">
        <x:v>https://snpmb.id/snbp/daya-tampung-snbp</x:v>
      </x:c>
      <x:c r="R4078" s="66" t="str">
        <x:v>https://sidatagrun-public-1076756628210.asia-southeast2.run.app/ptn_sn.php?ptn=631</x:v>
      </x:c>
    </x:row>
    <x:row r="4079">
      <x:c r="A4079" s="87" t="n">
        <x:v>3391</x:v>
      </x:c>
      <x:c r="B4079" s="66" t="n">
        <x:v>631</x:v>
      </x:c>
      <x:c r="C4079" s="66" t="str">
        <x:v>UNIVERSITAS NUSA CENDANA</x:v>
      </x:c>
      <x:c r="D4079" s="66" t="str">
        <x:v>PTN Akademik</x:v>
      </x:c>
      <x:c r="E4079" s="66" t="str">
        <x:v>16311006</x:v>
      </x:c>
      <x:c r="F4079" s="66" t="str">
        <x:v>PEND. TEKNIK MESIN</x:v>
      </x:c>
      <x:c r="G4079" s="66" t="str">
        <x:v>Sarjana</x:v>
      </x:c>
      <x:c r="H4079" s="87" t="n">
        <x:v>24</x:v>
      </x:c>
      <x:c r="I4079" s="87" t="n">
        <x:v>60</x:v>
      </x:c>
      <x:c r="J4079" s="68" t="n">
        <x:f>IFERROR(H4079/I4079,"")</x:f>
        <x:v>0.4</x:v>
      </x:c>
      <x:c r="K4079" s="69" t="n">
        <x:f>IFERROR(I4079/H4079,"")</x:f>
        <x:v>2.5</x:v>
      </x:c>
      <x:c r="L4079" s="66" t="str">
        <x:f>IF(K4079="","","1 : "&amp;TEXT(K4079,"0.0"))</x:f>
        <x:v>1 : 2.5</x:v>
      </x:c>
      <x:c r="M4079" s="66" t="str">
        <x:f>IF(J4079="","Baru/Tanpa Data",IF(J4079&lt;='Catatan &amp; Sumber'!$B$14,"Sangat Ketat",IF(J4079&lt;='Catatan &amp; Sumber'!$B$15,"Ketat",IF(J4079&lt;='Catatan &amp; Sumber'!$B$16,"Sedang","Relatif Longgar"))))</x:f>
        <x:v>Relatif Longgar</x:v>
      </x:c>
      <x:c r="N4079" s="66" t="str">
        <x:v>Tidak Ada</x:v>
      </x:c>
      <x:c r="O4079" s="66" t="str">
        <x:v>Nusa Tenggara Timur</x:v>
      </x:c>
      <x:c r="P4079" s="66" t="str">
        <x:v>Kota Kupang</x:v>
      </x:c>
      <x:c r="Q4079" s="66" t="str">
        <x:v>https://snpmb.id/snbp/daya-tampung-snbp</x:v>
      </x:c>
      <x:c r="R4079" s="66" t="str">
        <x:v>https://sidatagrun-public-1076756628210.asia-southeast2.run.app/ptn_sn.php?ptn=631</x:v>
      </x:c>
    </x:row>
    <x:row r="4080">
      <x:c r="A4080" s="87" t="n">
        <x:v>3943</x:v>
      </x:c>
      <x:c r="B4080" s="66" t="n">
        <x:v>631</x:v>
      </x:c>
      <x:c r="C4080" s="66" t="str">
        <x:v>UNIVERSITAS NUSA CENDANA</x:v>
      </x:c>
      <x:c r="D4080" s="66" t="str">
        <x:v>PTN Akademik</x:v>
      </x:c>
      <x:c r="E4080" s="66" t="str">
        <x:v>16311007</x:v>
      </x:c>
      <x:c r="F4080" s="66" t="str">
        <x:v>PEND. TEKNIK ELEKTRO</x:v>
      </x:c>
      <x:c r="G4080" s="66" t="str">
        <x:v>Sarjana</x:v>
      </x:c>
      <x:c r="H4080" s="87" t="n">
        <x:v>24</x:v>
      </x:c>
      <x:c r="I4080" s="87" t="n">
        <x:v>37</x:v>
      </x:c>
      <x:c r="J4080" s="68" t="n">
        <x:f>IFERROR(H4080/I4080,"")</x:f>
        <x:v>0.6486486486486487</x:v>
      </x:c>
      <x:c r="K4080" s="69" t="n">
        <x:f>IFERROR(I4080/H4080,"")</x:f>
        <x:v>1.5416666666666667</x:v>
      </x:c>
      <x:c r="L4080" s="66" t="str">
        <x:f>IF(K4080="","","1 : "&amp;TEXT(K4080,"0.0"))</x:f>
        <x:v>1 : 1.5</x:v>
      </x:c>
      <x:c r="M4080" s="66" t="str">
        <x:f>IF(J4080="","Baru/Tanpa Data",IF(J4080&lt;='Catatan &amp; Sumber'!$B$14,"Sangat Ketat",IF(J4080&lt;='Catatan &amp; Sumber'!$B$15,"Ketat",IF(J4080&lt;='Catatan &amp; Sumber'!$B$16,"Sedang","Relatif Longgar"))))</x:f>
        <x:v>Relatif Longgar</x:v>
      </x:c>
      <x:c r="N4080" s="66" t="str">
        <x:v>Tidak Ada</x:v>
      </x:c>
      <x:c r="O4080" s="66" t="str">
        <x:v>Nusa Tenggara Timur</x:v>
      </x:c>
      <x:c r="P4080" s="66" t="str">
        <x:v>Kota Kupang</x:v>
      </x:c>
      <x:c r="Q4080" s="66" t="str">
        <x:v>https://snpmb.id/snbp/daya-tampung-snbp</x:v>
      </x:c>
      <x:c r="R4080" s="66" t="str">
        <x:v>https://sidatagrun-public-1076756628210.asia-southeast2.run.app/ptn_sn.php?ptn=631</x:v>
      </x:c>
    </x:row>
    <x:row r="4081">
      <x:c r="A4081" s="87" t="n">
        <x:v>4102</x:v>
      </x:c>
      <x:c r="B4081" s="66" t="n">
        <x:v>631</x:v>
      </x:c>
      <x:c r="C4081" s="66" t="str">
        <x:v>UNIVERSITAS NUSA CENDANA</x:v>
      </x:c>
      <x:c r="D4081" s="66" t="str">
        <x:v>PTN Akademik</x:v>
      </x:c>
      <x:c r="E4081" s="66" t="str">
        <x:v>16311008</x:v>
      </x:c>
      <x:c r="F4081" s="66" t="str">
        <x:v>AGRONOMI/AGROEKOTEKNOLOGI</x:v>
      </x:c>
      <x:c r="G4081" s="66" t="str">
        <x:v>Sarjana</x:v>
      </x:c>
      <x:c r="H4081" s="87" t="n">
        <x:v>67</x:v>
      </x:c>
      <x:c r="I4081" s="87" t="n">
        <x:v>89</x:v>
      </x:c>
      <x:c r="J4081" s="68" t="n">
        <x:f>IFERROR(H4081/I4081,"")</x:f>
        <x:v>0.7528089887640449</x:v>
      </x:c>
      <x:c r="K4081" s="69" t="n">
        <x:f>IFERROR(I4081/H4081,"")</x:f>
        <x:v>1.328358208955224</x:v>
      </x:c>
      <x:c r="L4081" s="66" t="str">
        <x:f>IF(K4081="","","1 : "&amp;TEXT(K4081,"0.0"))</x:f>
        <x:v>1 : 1.3</x:v>
      </x:c>
      <x:c r="M4081" s="66" t="str">
        <x:f>IF(J4081="","Baru/Tanpa Data",IF(J4081&lt;='Catatan &amp; Sumber'!$B$14,"Sangat Ketat",IF(J4081&lt;='Catatan &amp; Sumber'!$B$15,"Ketat",IF(J4081&lt;='Catatan &amp; Sumber'!$B$16,"Sedang","Relatif Longgar"))))</x:f>
        <x:v>Relatif Longgar</x:v>
      </x:c>
      <x:c r="N4081" s="66" t="str">
        <x:v>Tidak Ada</x:v>
      </x:c>
      <x:c r="O4081" s="66" t="str">
        <x:v>Nusa Tenggara Timur</x:v>
      </x:c>
      <x:c r="P4081" s="66" t="str">
        <x:v>Kota Kupang</x:v>
      </x:c>
      <x:c r="Q4081" s="66" t="str">
        <x:v>https://snpmb.id/snbp/daya-tampung-snbp</x:v>
      </x:c>
      <x:c r="R4081" s="66" t="str">
        <x:v>https://sidatagrun-public-1076756628210.asia-southeast2.run.app/ptn_sn.php?ptn=631</x:v>
      </x:c>
    </x:row>
    <x:row r="4082">
      <x:c r="A4082" s="87" t="n">
        <x:v>3542</x:v>
      </x:c>
      <x:c r="B4082" s="66" t="n">
        <x:v>631</x:v>
      </x:c>
      <x:c r="C4082" s="66" t="str">
        <x:v>UNIVERSITAS NUSA CENDANA</x:v>
      </x:c>
      <x:c r="D4082" s="66" t="str">
        <x:v>PTN Akademik</x:v>
      </x:c>
      <x:c r="E4082" s="66" t="str">
        <x:v>16311009</x:v>
      </x:c>
      <x:c r="F4082" s="66" t="str">
        <x:v>AGRIBISNIS</x:v>
      </x:c>
      <x:c r="G4082" s="66" t="str">
        <x:v>Sarjana</x:v>
      </x:c>
      <x:c r="H4082" s="87" t="n">
        <x:v>60</x:v>
      </x:c>
      <x:c r="I4082" s="87" t="n">
        <x:v>134</x:v>
      </x:c>
      <x:c r="J4082" s="68" t="n">
        <x:f>IFERROR(H4082/I4082,"")</x:f>
        <x:v>0.44776119402985076</x:v>
      </x:c>
      <x:c r="K4082" s="69" t="n">
        <x:f>IFERROR(I4082/H4082,"")</x:f>
        <x:v>2.2333333333333334</x:v>
      </x:c>
      <x:c r="L4082" s="66" t="str">
        <x:f>IF(K4082="","","1 : "&amp;TEXT(K4082,"0.0"))</x:f>
        <x:v>1 : 2.2</x:v>
      </x:c>
      <x:c r="M4082" s="66" t="str">
        <x:f>IF(J4082="","Baru/Tanpa Data",IF(J4082&lt;='Catatan &amp; Sumber'!$B$14,"Sangat Ketat",IF(J4082&lt;='Catatan &amp; Sumber'!$B$15,"Ketat",IF(J4082&lt;='Catatan &amp; Sumber'!$B$16,"Sedang","Relatif Longgar"))))</x:f>
        <x:v>Relatif Longgar</x:v>
      </x:c>
      <x:c r="N4082" s="66" t="str">
        <x:v>Tidak Ada</x:v>
      </x:c>
      <x:c r="O4082" s="66" t="str">
        <x:v>Nusa Tenggara Timur</x:v>
      </x:c>
      <x:c r="P4082" s="66" t="str">
        <x:v>Kota Kupang</x:v>
      </x:c>
      <x:c r="Q4082" s="66" t="str">
        <x:v>https://snpmb.id/snbp/daya-tampung-snbp</x:v>
      </x:c>
      <x:c r="R4082" s="66" t="str">
        <x:v>https://sidatagrun-public-1076756628210.asia-southeast2.run.app/ptn_sn.php?ptn=631</x:v>
      </x:c>
    </x:row>
    <x:row r="4083">
      <x:c r="A4083" s="87" t="n">
        <x:v>3654</x:v>
      </x:c>
      <x:c r="B4083" s="66" t="n">
        <x:v>631</x:v>
      </x:c>
      <x:c r="C4083" s="66" t="str">
        <x:v>UNIVERSITAS NUSA CENDANA</x:v>
      </x:c>
      <x:c r="D4083" s="66" t="str">
        <x:v>PTN Akademik</x:v>
      </x:c>
      <x:c r="E4083" s="66" t="str">
        <x:v>16311010</x:v>
      </x:c>
      <x:c r="F4083" s="66" t="str">
        <x:v>ILMU PETERNAKAN</x:v>
      </x:c>
      <x:c r="G4083" s="66" t="str">
        <x:v>Sarjana</x:v>
      </x:c>
      <x:c r="H4083" s="87" t="n">
        <x:v>120</x:v>
      </x:c>
      <x:c r="I4083" s="87" t="n">
        <x:v>240</x:v>
      </x:c>
      <x:c r="J4083" s="68" t="n">
        <x:f>IFERROR(H4083/I4083,"")</x:f>
        <x:v>0.5</x:v>
      </x:c>
      <x:c r="K4083" s="69" t="n">
        <x:f>IFERROR(I4083/H4083,"")</x:f>
        <x:v>2</x:v>
      </x:c>
      <x:c r="L4083" s="66" t="str">
        <x:f>IF(K4083="","","1 : "&amp;TEXT(K4083,"0.0"))</x:f>
        <x:v>1 : 2.0</x:v>
      </x:c>
      <x:c r="M4083" s="66" t="str">
        <x:f>IF(J4083="","Baru/Tanpa Data",IF(J4083&lt;='Catatan &amp; Sumber'!$B$14,"Sangat Ketat",IF(J4083&lt;='Catatan &amp; Sumber'!$B$15,"Ketat",IF(J4083&lt;='Catatan &amp; Sumber'!$B$16,"Sedang","Relatif Longgar"))))</x:f>
        <x:v>Relatif Longgar</x:v>
      </x:c>
      <x:c r="N4083" s="66" t="str">
        <x:v>Tidak Ada</x:v>
      </x:c>
      <x:c r="O4083" s="66" t="str">
        <x:v>Nusa Tenggara Timur</x:v>
      </x:c>
      <x:c r="P4083" s="66" t="str">
        <x:v>Kota Kupang</x:v>
      </x:c>
      <x:c r="Q4083" s="66" t="str">
        <x:v>https://snpmb.id/snbp/daya-tampung-snbp</x:v>
      </x:c>
      <x:c r="R4083" s="66" t="str">
        <x:v>https://sidatagrun-public-1076756628210.asia-southeast2.run.app/ptn_sn.php?ptn=631</x:v>
      </x:c>
    </x:row>
    <x:row r="4084">
      <x:c r="A4084" s="87" t="n">
        <x:v>371</x:v>
      </x:c>
      <x:c r="B4084" s="66" t="n">
        <x:v>631</x:v>
      </x:c>
      <x:c r="C4084" s="66" t="str">
        <x:v>UNIVERSITAS NUSA CENDANA</x:v>
      </x:c>
      <x:c r="D4084" s="66" t="str">
        <x:v>PTN Akademik</x:v>
      </x:c>
      <x:c r="E4084" s="66" t="str">
        <x:v>16311011</x:v>
      </x:c>
      <x:c r="F4084" s="66" t="str">
        <x:v>ILMU KESEHATAN MASYARAKAT</x:v>
      </x:c>
      <x:c r="G4084" s="66" t="str">
        <x:v>Sarjana</x:v>
      </x:c>
      <x:c r="H4084" s="87" t="n">
        <x:v>59</x:v>
      </x:c>
      <x:c r="I4084" s="87" t="n">
        <x:v>1302</x:v>
      </x:c>
      <x:c r="J4084" s="68" t="n">
        <x:f>IFERROR(H4084/I4084,"")</x:f>
        <x:v>0.04531490015360983</x:v>
      </x:c>
      <x:c r="K4084" s="69" t="n">
        <x:f>IFERROR(I4084/H4084,"")</x:f>
        <x:v>22.06779661016949</x:v>
      </x:c>
      <x:c r="L4084" s="66" t="str">
        <x:f>IF(K4084="","","1 : "&amp;TEXT(K4084,"0.0"))</x:f>
        <x:v>1 : 22.1</x:v>
      </x:c>
      <x:c r="M4084" s="66" t="str">
        <x:f>IF(J4084="","Baru/Tanpa Data",IF(J4084&lt;='Catatan &amp; Sumber'!$B$14,"Sangat Ketat",IF(J4084&lt;='Catatan &amp; Sumber'!$B$15,"Ketat",IF(J4084&lt;='Catatan &amp; Sumber'!$B$16,"Sedang","Relatif Longgar"))))</x:f>
        <x:v>Ketat</x:v>
      </x:c>
      <x:c r="N4084" s="66" t="str">
        <x:v>Tidak Ada</x:v>
      </x:c>
      <x:c r="O4084" s="66" t="str">
        <x:v>Nusa Tenggara Timur</x:v>
      </x:c>
      <x:c r="P4084" s="66" t="str">
        <x:v>Kota Kupang</x:v>
      </x:c>
      <x:c r="Q4084" s="66" t="str">
        <x:v>https://snpmb.id/snbp/daya-tampung-snbp</x:v>
      </x:c>
      <x:c r="R4084" s="66" t="str">
        <x:v>https://sidatagrun-public-1076756628210.asia-southeast2.run.app/ptn_sn.php?ptn=631</x:v>
      </x:c>
    </x:row>
    <x:row r="4085">
      <x:c r="A4085" s="87" t="n">
        <x:v>3078</x:v>
      </x:c>
      <x:c r="B4085" s="66" t="n">
        <x:v>631</x:v>
      </x:c>
      <x:c r="C4085" s="66" t="str">
        <x:v>UNIVERSITAS NUSA CENDANA</x:v>
      </x:c>
      <x:c r="D4085" s="66" t="str">
        <x:v>PTN Akademik</x:v>
      </x:c>
      <x:c r="E4085" s="66" t="str">
        <x:v>16311012</x:v>
      </x:c>
      <x:c r="F4085" s="66" t="str">
        <x:v>MATEMATIKA</x:v>
      </x:c>
      <x:c r="G4085" s="66" t="str">
        <x:v>Sarjana</x:v>
      </x:c>
      <x:c r="H4085" s="87" t="n">
        <x:v>36</x:v>
      </x:c>
      <x:c r="I4085" s="87" t="n">
        <x:v>116</x:v>
      </x:c>
      <x:c r="J4085" s="68" t="n">
        <x:f>IFERROR(H4085/I4085,"")</x:f>
        <x:v>0.3103448275862069</x:v>
      </x:c>
      <x:c r="K4085" s="69" t="n">
        <x:f>IFERROR(I4085/H4085,"")</x:f>
        <x:v>3.2222222222222223</x:v>
      </x:c>
      <x:c r="L4085" s="66" t="str">
        <x:f>IF(K4085="","","1 : "&amp;TEXT(K4085,"0.0"))</x:f>
        <x:v>1 : 3.2</x:v>
      </x:c>
      <x:c r="M4085" s="66" t="str">
        <x:f>IF(J4085="","Baru/Tanpa Data",IF(J4085&lt;='Catatan &amp; Sumber'!$B$14,"Sangat Ketat",IF(J4085&lt;='Catatan &amp; Sumber'!$B$15,"Ketat",IF(J4085&lt;='Catatan &amp; Sumber'!$B$16,"Sedang","Relatif Longgar"))))</x:f>
        <x:v>Relatif Longgar</x:v>
      </x:c>
      <x:c r="N4085" s="66" t="str">
        <x:v>Tidak Ada</x:v>
      </x:c>
      <x:c r="O4085" s="66" t="str">
        <x:v>Nusa Tenggara Timur</x:v>
      </x:c>
      <x:c r="P4085" s="66" t="str">
        <x:v>Kota Kupang</x:v>
      </x:c>
      <x:c r="Q4085" s="66" t="str">
        <x:v>https://snpmb.id/snbp/daya-tampung-snbp</x:v>
      </x:c>
      <x:c r="R4085" s="66" t="str">
        <x:v>https://sidatagrun-public-1076756628210.asia-southeast2.run.app/ptn_sn.php?ptn=631</x:v>
      </x:c>
    </x:row>
    <x:row r="4086">
      <x:c r="A4086" s="87" t="n">
        <x:v>3127</x:v>
      </x:c>
      <x:c r="B4086" s="66" t="n">
        <x:v>631</x:v>
      </x:c>
      <x:c r="C4086" s="66" t="str">
        <x:v>UNIVERSITAS NUSA CENDANA</x:v>
      </x:c>
      <x:c r="D4086" s="66" t="str">
        <x:v>PTN Akademik</x:v>
      </x:c>
      <x:c r="E4086" s="66" t="str">
        <x:v>16311013</x:v>
      </x:c>
      <x:c r="F4086" s="66" t="str">
        <x:v>BIOLOGI</x:v>
      </x:c>
      <x:c r="G4086" s="66" t="str">
        <x:v>Sarjana</x:v>
      </x:c>
      <x:c r="H4086" s="87" t="n">
        <x:v>36</x:v>
      </x:c>
      <x:c r="I4086" s="87" t="n">
        <x:v>112</x:v>
      </x:c>
      <x:c r="J4086" s="68" t="n">
        <x:f>IFERROR(H4086/I4086,"")</x:f>
        <x:v>0.32142857142857145</x:v>
      </x:c>
      <x:c r="K4086" s="69" t="n">
        <x:f>IFERROR(I4086/H4086,"")</x:f>
        <x:v>3.111111111111111</x:v>
      </x:c>
      <x:c r="L4086" s="66" t="str">
        <x:f>IF(K4086="","","1 : "&amp;TEXT(K4086,"0.0"))</x:f>
        <x:v>1 : 3.1</x:v>
      </x:c>
      <x:c r="M4086" s="66" t="str">
        <x:f>IF(J4086="","Baru/Tanpa Data",IF(J4086&lt;='Catatan &amp; Sumber'!$B$14,"Sangat Ketat",IF(J4086&lt;='Catatan &amp; Sumber'!$B$15,"Ketat",IF(J4086&lt;='Catatan &amp; Sumber'!$B$16,"Sedang","Relatif Longgar"))))</x:f>
        <x:v>Relatif Longgar</x:v>
      </x:c>
      <x:c r="N4086" s="66" t="str">
        <x:v>Tidak Ada</x:v>
      </x:c>
      <x:c r="O4086" s="66" t="str">
        <x:v>Nusa Tenggara Timur</x:v>
      </x:c>
      <x:c r="P4086" s="66" t="str">
        <x:v>Kota Kupang</x:v>
      </x:c>
      <x:c r="Q4086" s="66" t="str">
        <x:v>https://snpmb.id/snbp/daya-tampung-snbp</x:v>
      </x:c>
      <x:c r="R4086" s="66" t="str">
        <x:v>https://sidatagrun-public-1076756628210.asia-southeast2.run.app/ptn_sn.php?ptn=631</x:v>
      </x:c>
    </x:row>
    <x:row r="4087">
      <x:c r="A4087" s="87" t="n">
        <x:v>4116</x:v>
      </x:c>
      <x:c r="B4087" s="66" t="n">
        <x:v>631</x:v>
      </x:c>
      <x:c r="C4087" s="66" t="str">
        <x:v>UNIVERSITAS NUSA CENDANA</x:v>
      </x:c>
      <x:c r="D4087" s="66" t="str">
        <x:v>PTN Akademik</x:v>
      </x:c>
      <x:c r="E4087" s="66" t="str">
        <x:v>16311014</x:v>
      </x:c>
      <x:c r="F4087" s="66" t="str">
        <x:v>FISIKA</x:v>
      </x:c>
      <x:c r="G4087" s="66" t="str">
        <x:v>Sarjana</x:v>
      </x:c>
      <x:c r="H4087" s="87" t="n">
        <x:v>24</x:v>
      </x:c>
      <x:c r="I4087" s="87" t="n">
        <x:v>31</x:v>
      </x:c>
      <x:c r="J4087" s="68" t="n">
        <x:f>IFERROR(H4087/I4087,"")</x:f>
        <x:v>0.7741935483870968</x:v>
      </x:c>
      <x:c r="K4087" s="69" t="n">
        <x:f>IFERROR(I4087/H4087,"")</x:f>
        <x:v>1.2916666666666667</x:v>
      </x:c>
      <x:c r="L4087" s="66" t="str">
        <x:f>IF(K4087="","","1 : "&amp;TEXT(K4087,"0.0"))</x:f>
        <x:v>1 : 1.3</x:v>
      </x:c>
      <x:c r="M4087" s="66" t="str">
        <x:f>IF(J4087="","Baru/Tanpa Data",IF(J4087&lt;='Catatan &amp; Sumber'!$B$14,"Sangat Ketat",IF(J4087&lt;='Catatan &amp; Sumber'!$B$15,"Ketat",IF(J4087&lt;='Catatan &amp; Sumber'!$B$16,"Sedang","Relatif Longgar"))))</x:f>
        <x:v>Relatif Longgar</x:v>
      </x:c>
      <x:c r="N4087" s="66" t="str">
        <x:v>Tidak Ada</x:v>
      </x:c>
      <x:c r="O4087" s="66" t="str">
        <x:v>Nusa Tenggara Timur</x:v>
      </x:c>
      <x:c r="P4087" s="66" t="str">
        <x:v>Kota Kupang</x:v>
      </x:c>
      <x:c r="Q4087" s="66" t="str">
        <x:v>https://snpmb.id/snbp/daya-tampung-snbp</x:v>
      </x:c>
      <x:c r="R4087" s="66" t="str">
        <x:v>https://sidatagrun-public-1076756628210.asia-southeast2.run.app/ptn_sn.php?ptn=631</x:v>
      </x:c>
    </x:row>
    <x:row r="4088">
      <x:c r="A4088" s="87" t="n">
        <x:v>3794</x:v>
      </x:c>
      <x:c r="B4088" s="66" t="n">
        <x:v>631</x:v>
      </x:c>
      <x:c r="C4088" s="66" t="str">
        <x:v>UNIVERSITAS NUSA CENDANA</x:v>
      </x:c>
      <x:c r="D4088" s="66" t="str">
        <x:v>PTN Akademik</x:v>
      </x:c>
      <x:c r="E4088" s="66" t="str">
        <x:v>16311015</x:v>
      </x:c>
      <x:c r="F4088" s="66" t="str">
        <x:v>KIMIA</x:v>
      </x:c>
      <x:c r="G4088" s="66" t="str">
        <x:v>Sarjana</x:v>
      </x:c>
      <x:c r="H4088" s="87" t="n">
        <x:v>30</x:v>
      </x:c>
      <x:c r="I4088" s="87" t="n">
        <x:v>53</x:v>
      </x:c>
      <x:c r="J4088" s="68" t="n">
        <x:f>IFERROR(H4088/I4088,"")</x:f>
        <x:v>0.5660377358490566</x:v>
      </x:c>
      <x:c r="K4088" s="69" t="n">
        <x:f>IFERROR(I4088/H4088,"")</x:f>
        <x:v>1.7666666666666666</x:v>
      </x:c>
      <x:c r="L4088" s="66" t="str">
        <x:f>IF(K4088="","","1 : "&amp;TEXT(K4088,"0.0"))</x:f>
        <x:v>1 : 1.8</x:v>
      </x:c>
      <x:c r="M4088" s="66" t="str">
        <x:f>IF(J4088="","Baru/Tanpa Data",IF(J4088&lt;='Catatan &amp; Sumber'!$B$14,"Sangat Ketat",IF(J4088&lt;='Catatan &amp; Sumber'!$B$15,"Ketat",IF(J4088&lt;='Catatan &amp; Sumber'!$B$16,"Sedang","Relatif Longgar"))))</x:f>
        <x:v>Relatif Longgar</x:v>
      </x:c>
      <x:c r="N4088" s="66" t="str">
        <x:v>Tidak Ada</x:v>
      </x:c>
      <x:c r="O4088" s="66" t="str">
        <x:v>Nusa Tenggara Timur</x:v>
      </x:c>
      <x:c r="P4088" s="66" t="str">
        <x:v>Kota Kupang</x:v>
      </x:c>
      <x:c r="Q4088" s="66" t="str">
        <x:v>https://snpmb.id/snbp/daya-tampung-snbp</x:v>
      </x:c>
      <x:c r="R4088" s="66" t="str">
        <x:v>https://sidatagrun-public-1076756628210.asia-southeast2.run.app/ptn_sn.php?ptn=631</x:v>
      </x:c>
    </x:row>
    <x:row r="4089">
      <x:c r="A4089" s="87" t="n">
        <x:v>1275</x:v>
      </x:c>
      <x:c r="B4089" s="66" t="n">
        <x:v>631</x:v>
      </x:c>
      <x:c r="C4089" s="66" t="str">
        <x:v>UNIVERSITAS NUSA CENDANA</x:v>
      </x:c>
      <x:c r="D4089" s="66" t="str">
        <x:v>PTN Akademik</x:v>
      </x:c>
      <x:c r="E4089" s="66" t="str">
        <x:v>16311016</x:v>
      </x:c>
      <x:c r="F4089" s="66" t="str">
        <x:v>TEKNIK SIPIL</x:v>
      </x:c>
      <x:c r="G4089" s="66" t="str">
        <x:v>Sarjana</x:v>
      </x:c>
      <x:c r="H4089" s="87" t="n">
        <x:v>35</x:v>
      </x:c>
      <x:c r="I4089" s="87" t="n">
        <x:v>372</x:v>
      </x:c>
      <x:c r="J4089" s="68" t="n">
        <x:f>IFERROR(H4089/I4089,"")</x:f>
        <x:v>0.09408602150537634</x:v>
      </x:c>
      <x:c r="K4089" s="69" t="n">
        <x:f>IFERROR(I4089/H4089,"")</x:f>
        <x:v>10.628571428571428</x:v>
      </x:c>
      <x:c r="L4089" s="66" t="str">
        <x:f>IF(K4089="","","1 : "&amp;TEXT(K4089,"0.0"))</x:f>
        <x:v>1 : 10.6</x:v>
      </x:c>
      <x:c r="M4089" s="66" t="str">
        <x:f>IF(J4089="","Baru/Tanpa Data",IF(J4089&lt;='Catatan &amp; Sumber'!$B$14,"Sangat Ketat",IF(J4089&lt;='Catatan &amp; Sumber'!$B$15,"Ketat",IF(J4089&lt;='Catatan &amp; Sumber'!$B$16,"Sedang","Relatif Longgar"))))</x:f>
        <x:v>Sedang</x:v>
      </x:c>
      <x:c r="N4089" s="66" t="str">
        <x:v>Tidak Ada</x:v>
      </x:c>
      <x:c r="O4089" s="66" t="str">
        <x:v>Nusa Tenggara Timur</x:v>
      </x:c>
      <x:c r="P4089" s="66" t="str">
        <x:v>Kota Kupang</x:v>
      </x:c>
      <x:c r="Q4089" s="66" t="str">
        <x:v>https://snpmb.id/snbp/daya-tampung-snbp</x:v>
      </x:c>
      <x:c r="R4089" s="66" t="str">
        <x:v>https://sidatagrun-public-1076756628210.asia-southeast2.run.app/ptn_sn.php?ptn=631</x:v>
      </x:c>
    </x:row>
    <x:row r="4090">
      <x:c r="A4090" s="87" t="n">
        <x:v>2631</x:v>
      </x:c>
      <x:c r="B4090" s="66" t="n">
        <x:v>631</x:v>
      </x:c>
      <x:c r="C4090" s="66" t="str">
        <x:v>UNIVERSITAS NUSA CENDANA</x:v>
      </x:c>
      <x:c r="D4090" s="66" t="str">
        <x:v>PTN Akademik</x:v>
      </x:c>
      <x:c r="E4090" s="66" t="str">
        <x:v>16311017</x:v>
      </x:c>
      <x:c r="F4090" s="66" t="str">
        <x:v>TEKNIK ELEKTRO</x:v>
      </x:c>
      <x:c r="G4090" s="66" t="str">
        <x:v>Sarjana</x:v>
      </x:c>
      <x:c r="H4090" s="87" t="n">
        <x:v>29</x:v>
      </x:c>
      <x:c r="I4090" s="87" t="n">
        <x:v>125</x:v>
      </x:c>
      <x:c r="J4090" s="68" t="n">
        <x:f>IFERROR(H4090/I4090,"")</x:f>
        <x:v>0.232</x:v>
      </x:c>
      <x:c r="K4090" s="69" t="n">
        <x:f>IFERROR(I4090/H4090,"")</x:f>
        <x:v>4.310344827586207</x:v>
      </x:c>
      <x:c r="L4090" s="66" t="str">
        <x:f>IF(K4090="","","1 : "&amp;TEXT(K4090,"0.0"))</x:f>
        <x:v>1 : 4.3</x:v>
      </x:c>
      <x:c r="M4090" s="66" t="str">
        <x:f>IF(J4090="","Baru/Tanpa Data",IF(J4090&lt;='Catatan &amp; Sumber'!$B$14,"Sangat Ketat",IF(J4090&lt;='Catatan &amp; Sumber'!$B$15,"Ketat",IF(J4090&lt;='Catatan &amp; Sumber'!$B$16,"Sedang","Relatif Longgar"))))</x:f>
        <x:v>Relatif Longgar</x:v>
      </x:c>
      <x:c r="N4090" s="66" t="str">
        <x:v>Tidak Ada</x:v>
      </x:c>
      <x:c r="O4090" s="66" t="str">
        <x:v>Nusa Tenggara Timur</x:v>
      </x:c>
      <x:c r="P4090" s="66" t="str">
        <x:v>Kota Kupang</x:v>
      </x:c>
      <x:c r="Q4090" s="66" t="str">
        <x:v>https://snpmb.id/snbp/daya-tampung-snbp</x:v>
      </x:c>
      <x:c r="R4090" s="66" t="str">
        <x:v>https://sidatagrun-public-1076756628210.asia-southeast2.run.app/ptn_sn.php?ptn=631</x:v>
      </x:c>
    </x:row>
    <x:row r="4091">
      <x:c r="A4091" s="87" t="n">
        <x:v>2766</x:v>
      </x:c>
      <x:c r="B4091" s="66" t="n">
        <x:v>631</x:v>
      </x:c>
      <x:c r="C4091" s="66" t="str">
        <x:v>UNIVERSITAS NUSA CENDANA</x:v>
      </x:c>
      <x:c r="D4091" s="66" t="str">
        <x:v>PTN Akademik</x:v>
      </x:c>
      <x:c r="E4091" s="66" t="str">
        <x:v>16311018</x:v>
      </x:c>
      <x:c r="F4091" s="66" t="str">
        <x:v>TEKNIK MESIN</x:v>
      </x:c>
      <x:c r="G4091" s="66" t="str">
        <x:v>Sarjana</x:v>
      </x:c>
      <x:c r="H4091" s="87" t="n">
        <x:v>37</x:v>
      </x:c>
      <x:c r="I4091" s="87" t="n">
        <x:v>146</x:v>
      </x:c>
      <x:c r="J4091" s="68" t="n">
        <x:f>IFERROR(H4091/I4091,"")</x:f>
        <x:v>0.2534246575342466</x:v>
      </x:c>
      <x:c r="K4091" s="69" t="n">
        <x:f>IFERROR(I4091/H4091,"")</x:f>
        <x:v>3.945945945945946</x:v>
      </x:c>
      <x:c r="L4091" s="66" t="str">
        <x:f>IF(K4091="","","1 : "&amp;TEXT(K4091,"0.0"))</x:f>
        <x:v>1 : 3.9</x:v>
      </x:c>
      <x:c r="M4091" s="66" t="str">
        <x:f>IF(J4091="","Baru/Tanpa Data",IF(J4091&lt;='Catatan &amp; Sumber'!$B$14,"Sangat Ketat",IF(J4091&lt;='Catatan &amp; Sumber'!$B$15,"Ketat",IF(J4091&lt;='Catatan &amp; Sumber'!$B$16,"Sedang","Relatif Longgar"))))</x:f>
        <x:v>Relatif Longgar</x:v>
      </x:c>
      <x:c r="N4091" s="66" t="str">
        <x:v>Tidak Ada</x:v>
      </x:c>
      <x:c r="O4091" s="66" t="str">
        <x:v>Nusa Tenggara Timur</x:v>
      </x:c>
      <x:c r="P4091" s="66" t="str">
        <x:v>Kota Kupang</x:v>
      </x:c>
      <x:c r="Q4091" s="66" t="str">
        <x:v>https://snpmb.id/snbp/daya-tampung-snbp</x:v>
      </x:c>
      <x:c r="R4091" s="66" t="str">
        <x:v>https://sidatagrun-public-1076756628210.asia-southeast2.run.app/ptn_sn.php?ptn=631</x:v>
      </x:c>
    </x:row>
    <x:row r="4092">
      <x:c r="A4092" s="87" t="n">
        <x:v>204</x:v>
      </x:c>
      <x:c r="B4092" s="66" t="n">
        <x:v>631</x:v>
      </x:c>
      <x:c r="C4092" s="66" t="str">
        <x:v>UNIVERSITAS NUSA CENDANA</x:v>
      </x:c>
      <x:c r="D4092" s="66" t="str">
        <x:v>PTN Akademik</x:v>
      </x:c>
      <x:c r="E4092" s="66" t="str">
        <x:v>16311019</x:v>
      </x:c>
      <x:c r="F4092" s="66" t="str">
        <x:v>ILMU KOMPUTER</x:v>
      </x:c>
      <x:c r="G4092" s="66" t="str">
        <x:v>Sarjana</x:v>
      </x:c>
      <x:c r="H4092" s="87" t="n">
        <x:v>30</x:v>
      </x:c>
      <x:c r="I4092" s="87" t="n">
        <x:v>808</x:v>
      </x:c>
      <x:c r="J4092" s="68" t="n">
        <x:f>IFERROR(H4092/I4092,"")</x:f>
        <x:v>0.03712871287128713</x:v>
      </x:c>
      <x:c r="K4092" s="69" t="n">
        <x:f>IFERROR(I4092/H4092,"")</x:f>
        <x:v>26.933333333333334</x:v>
      </x:c>
      <x:c r="L4092" s="66" t="str">
        <x:f>IF(K4092="","","1 : "&amp;TEXT(K4092,"0.0"))</x:f>
        <x:v>1 : 26.9</x:v>
      </x:c>
      <x:c r="M4092" s="66" t="str">
        <x:f>IF(J4092="","Baru/Tanpa Data",IF(J4092&lt;='Catatan &amp; Sumber'!$B$14,"Sangat Ketat",IF(J4092&lt;='Catatan &amp; Sumber'!$B$15,"Ketat",IF(J4092&lt;='Catatan &amp; Sumber'!$B$16,"Sedang","Relatif Longgar"))))</x:f>
        <x:v>Ketat</x:v>
      </x:c>
      <x:c r="N4092" s="66" t="str">
        <x:v>Tidak Ada</x:v>
      </x:c>
      <x:c r="O4092" s="66" t="str">
        <x:v>Nusa Tenggara Timur</x:v>
      </x:c>
      <x:c r="P4092" s="66" t="str">
        <x:v>Kota Kupang</x:v>
      </x:c>
      <x:c r="Q4092" s="66" t="str">
        <x:v>https://snpmb.id/snbp/daya-tampung-snbp</x:v>
      </x:c>
      <x:c r="R4092" s="66" t="str">
        <x:v>https://sidatagrun-public-1076756628210.asia-southeast2.run.app/ptn_sn.php?ptn=631</x:v>
      </x:c>
    </x:row>
    <x:row r="4093">
      <x:c r="A4093" s="87" t="n">
        <x:v>3121</x:v>
      </x:c>
      <x:c r="B4093" s="66" t="n">
        <x:v>631</x:v>
      </x:c>
      <x:c r="C4093" s="66" t="str">
        <x:v>UNIVERSITAS NUSA CENDANA</x:v>
      </x:c>
      <x:c r="D4093" s="66" t="str">
        <x:v>PTN Akademik</x:v>
      </x:c>
      <x:c r="E4093" s="66" t="str">
        <x:v>16311020</x:v>
      </x:c>
      <x:c r="F4093" s="66" t="str">
        <x:v>TEKNIK ARSITEKTUR</x:v>
      </x:c>
      <x:c r="G4093" s="66" t="str">
        <x:v>Sarjana</x:v>
      </x:c>
      <x:c r="H4093" s="87" t="n">
        <x:v>39</x:v>
      </x:c>
      <x:c r="I4093" s="87" t="n">
        <x:v>122</x:v>
      </x:c>
      <x:c r="J4093" s="68" t="n">
        <x:f>IFERROR(H4093/I4093,"")</x:f>
        <x:v>0.319672131147541</x:v>
      </x:c>
      <x:c r="K4093" s="69" t="n">
        <x:f>IFERROR(I4093/H4093,"")</x:f>
        <x:v>3.128205128205128</x:v>
      </x:c>
      <x:c r="L4093" s="66" t="str">
        <x:f>IF(K4093="","","1 : "&amp;TEXT(K4093,"0.0"))</x:f>
        <x:v>1 : 3.1</x:v>
      </x:c>
      <x:c r="M4093" s="66" t="str">
        <x:f>IF(J4093="","Baru/Tanpa Data",IF(J4093&lt;='Catatan &amp; Sumber'!$B$14,"Sangat Ketat",IF(J4093&lt;='Catatan &amp; Sumber'!$B$15,"Ketat",IF(J4093&lt;='Catatan &amp; Sumber'!$B$16,"Sedang","Relatif Longgar"))))</x:f>
        <x:v>Relatif Longgar</x:v>
      </x:c>
      <x:c r="N4093" s="66" t="str">
        <x:v>Tidak Ada</x:v>
      </x:c>
      <x:c r="O4093" s="66" t="str">
        <x:v>Nusa Tenggara Timur</x:v>
      </x:c>
      <x:c r="P4093" s="66" t="str">
        <x:v>Kota Kupang</x:v>
      </x:c>
      <x:c r="Q4093" s="66" t="str">
        <x:v>https://snpmb.id/snbp/daya-tampung-snbp</x:v>
      </x:c>
      <x:c r="R4093" s="66" t="str">
        <x:v>https://sidatagrun-public-1076756628210.asia-southeast2.run.app/ptn_sn.php?ptn=631</x:v>
      </x:c>
    </x:row>
    <x:row r="4094">
      <x:c r="A4094" s="87" t="n">
        <x:v>2364</x:v>
      </x:c>
      <x:c r="B4094" s="66" t="n">
        <x:v>631</x:v>
      </x:c>
      <x:c r="C4094" s="66" t="str">
        <x:v>UNIVERSITAS NUSA CENDANA</x:v>
      </x:c>
      <x:c r="D4094" s="66" t="str">
        <x:v>PTN Akademik</x:v>
      </x:c>
      <x:c r="E4094" s="66" t="str">
        <x:v>16311021</x:v>
      </x:c>
      <x:c r="F4094" s="66" t="str">
        <x:v>TEKNIK PERTAMBANGAN</x:v>
      </x:c>
      <x:c r="G4094" s="66" t="str">
        <x:v>Sarjana</x:v>
      </x:c>
      <x:c r="H4094" s="87" t="n">
        <x:v>30</x:v>
      </x:c>
      <x:c r="I4094" s="87" t="n">
        <x:v>157</x:v>
      </x:c>
      <x:c r="J4094" s="68" t="n">
        <x:f>IFERROR(H4094/I4094,"")</x:f>
        <x:v>0.1910828025477707</x:v>
      </x:c>
      <x:c r="K4094" s="69" t="n">
        <x:f>IFERROR(I4094/H4094,"")</x:f>
        <x:v>5.233333333333333</x:v>
      </x:c>
      <x:c r="L4094" s="66" t="str">
        <x:f>IF(K4094="","","1 : "&amp;TEXT(K4094,"0.0"))</x:f>
        <x:v>1 : 5.2</x:v>
      </x:c>
      <x:c r="M4094" s="66" t="str">
        <x:f>IF(J4094="","Baru/Tanpa Data",IF(J4094&lt;='Catatan &amp; Sumber'!$B$14,"Sangat Ketat",IF(J4094&lt;='Catatan &amp; Sumber'!$B$15,"Ketat",IF(J4094&lt;='Catatan &amp; Sumber'!$B$16,"Sedang","Relatif Longgar"))))</x:f>
        <x:v>Relatif Longgar</x:v>
      </x:c>
      <x:c r="N4094" s="66" t="str">
        <x:v>Tidak Ada</x:v>
      </x:c>
      <x:c r="O4094" s="66" t="str">
        <x:v>Nusa Tenggara Timur</x:v>
      </x:c>
      <x:c r="P4094" s="66" t="str">
        <x:v>Kota Kupang</x:v>
      </x:c>
      <x:c r="Q4094" s="66" t="str">
        <x:v>https://snpmb.id/snbp/daya-tampung-snbp</x:v>
      </x:c>
      <x:c r="R4094" s="66" t="str">
        <x:v>https://sidatagrun-public-1076756628210.asia-southeast2.run.app/ptn_sn.php?ptn=631</x:v>
      </x:c>
    </x:row>
    <x:row r="4095">
      <x:c r="A4095" s="87" t="n">
        <x:v>296</x:v>
      </x:c>
      <x:c r="B4095" s="66" t="n">
        <x:v>631</x:v>
      </x:c>
      <x:c r="C4095" s="66" t="str">
        <x:v>UNIVERSITAS NUSA CENDANA</x:v>
      </x:c>
      <x:c r="D4095" s="66" t="str">
        <x:v>PTN Akademik</x:v>
      </x:c>
      <x:c r="E4095" s="66" t="str">
        <x:v>16311022</x:v>
      </x:c>
      <x:c r="F4095" s="66" t="str">
        <x:v>PENDIDIKAN DOKTER</x:v>
      </x:c>
      <x:c r="G4095" s="66" t="str">
        <x:v>Sarjana</x:v>
      </x:c>
      <x:c r="H4095" s="87" t="n">
        <x:v>33</x:v>
      </x:c>
      <x:c r="I4095" s="87" t="n">
        <x:v>777</x:v>
      </x:c>
      <x:c r="J4095" s="68" t="n">
        <x:f>IFERROR(H4095/I4095,"")</x:f>
        <x:v>0.04247104247104247</x:v>
      </x:c>
      <x:c r="K4095" s="69" t="n">
        <x:f>IFERROR(I4095/H4095,"")</x:f>
        <x:v>23.545454545454547</x:v>
      </x:c>
      <x:c r="L4095" s="66" t="str">
        <x:f>IF(K4095="","","1 : "&amp;TEXT(K4095,"0.0"))</x:f>
        <x:v>1 : 23.5</x:v>
      </x:c>
      <x:c r="M4095" s="66" t="str">
        <x:f>IF(J4095="","Baru/Tanpa Data",IF(J4095&lt;='Catatan &amp; Sumber'!$B$14,"Sangat Ketat",IF(J4095&lt;='Catatan &amp; Sumber'!$B$15,"Ketat",IF(J4095&lt;='Catatan &amp; Sumber'!$B$16,"Sedang","Relatif Longgar"))))</x:f>
        <x:v>Ketat</x:v>
      </x:c>
      <x:c r="N4095" s="66" t="str">
        <x:v>Tidak Ada</x:v>
      </x:c>
      <x:c r="O4095" s="66" t="str">
        <x:v>Nusa Tenggara Timur</x:v>
      </x:c>
      <x:c r="P4095" s="66" t="str">
        <x:v>Kota Kupang</x:v>
      </x:c>
      <x:c r="Q4095" s="66" t="str">
        <x:v>https://snpmb.id/snbp/daya-tampung-snbp</x:v>
      </x:c>
      <x:c r="R4095" s="66" t="str">
        <x:v>https://sidatagrun-public-1076756628210.asia-southeast2.run.app/ptn_sn.php?ptn=631</x:v>
      </x:c>
    </x:row>
    <x:row r="4096">
      <x:c r="A4096" s="87" t="n">
        <x:v>3635</x:v>
      </x:c>
      <x:c r="B4096" s="66" t="n">
        <x:v>631</x:v>
      </x:c>
      <x:c r="C4096" s="66" t="str">
        <x:v>UNIVERSITAS NUSA CENDANA</x:v>
      </x:c>
      <x:c r="D4096" s="66" t="str">
        <x:v>PTN Akademik</x:v>
      </x:c>
      <x:c r="E4096" s="66" t="str">
        <x:v>16311023</x:v>
      </x:c>
      <x:c r="F4096" s="66" t="str">
        <x:v>BUDIDAYA PERIKANAN</x:v>
      </x:c>
      <x:c r="G4096" s="66" t="str">
        <x:v>Sarjana</x:v>
      </x:c>
      <x:c r="H4096" s="87" t="n">
        <x:v>30</x:v>
      </x:c>
      <x:c r="I4096" s="87" t="n">
        <x:v>62</x:v>
      </x:c>
      <x:c r="J4096" s="68" t="n">
        <x:f>IFERROR(H4096/I4096,"")</x:f>
        <x:v>0.4838709677419355</x:v>
      </x:c>
      <x:c r="K4096" s="69" t="n">
        <x:f>IFERROR(I4096/H4096,"")</x:f>
        <x:v>2.066666666666667</x:v>
      </x:c>
      <x:c r="L4096" s="66" t="str">
        <x:f>IF(K4096="","","1 : "&amp;TEXT(K4096,"0.0"))</x:f>
        <x:v>1 : 2.1</x:v>
      </x:c>
      <x:c r="M4096" s="66" t="str">
        <x:f>IF(J4096="","Baru/Tanpa Data",IF(J4096&lt;='Catatan &amp; Sumber'!$B$14,"Sangat Ketat",IF(J4096&lt;='Catatan &amp; Sumber'!$B$15,"Ketat",IF(J4096&lt;='Catatan &amp; Sumber'!$B$16,"Sedang","Relatif Longgar"))))</x:f>
        <x:v>Relatif Longgar</x:v>
      </x:c>
      <x:c r="N4096" s="66" t="str">
        <x:v>Tidak Ada</x:v>
      </x:c>
      <x:c r="O4096" s="66" t="str">
        <x:v>Nusa Tenggara Timur</x:v>
      </x:c>
      <x:c r="P4096" s="66" t="str">
        <x:v>Kota Kupang</x:v>
      </x:c>
      <x:c r="Q4096" s="66" t="str">
        <x:v>https://snpmb.id/snbp/daya-tampung-snbp</x:v>
      </x:c>
      <x:c r="R4096" s="66" t="str">
        <x:v>https://sidatagrun-public-1076756628210.asia-southeast2.run.app/ptn_sn.php?ptn=631</x:v>
      </x:c>
    </x:row>
    <x:row r="4097">
      <x:c r="A4097" s="87" t="n">
        <x:v>1133</x:v>
      </x:c>
      <x:c r="B4097" s="66" t="n">
        <x:v>631</x:v>
      </x:c>
      <x:c r="C4097" s="66" t="str">
        <x:v>UNIVERSITAS NUSA CENDANA</x:v>
      </x:c>
      <x:c r="D4097" s="66" t="str">
        <x:v>PTN Akademik</x:v>
      </x:c>
      <x:c r="E4097" s="66" t="str">
        <x:v>16311024</x:v>
      </x:c>
      <x:c r="F4097" s="66" t="str">
        <x:v>KEDOKTERAN HEWAN</x:v>
      </x:c>
      <x:c r="G4097" s="66" t="str">
        <x:v>Sarjana</x:v>
      </x:c>
      <x:c r="H4097" s="87" t="n">
        <x:v>24</x:v>
      </x:c>
      <x:c r="I4097" s="87" t="n">
        <x:v>279</x:v>
      </x:c>
      <x:c r="J4097" s="68" t="n">
        <x:f>IFERROR(H4097/I4097,"")</x:f>
        <x:v>0.08602150537634409</x:v>
      </x:c>
      <x:c r="K4097" s="69" t="n">
        <x:f>IFERROR(I4097/H4097,"")</x:f>
        <x:v>11.625</x:v>
      </x:c>
      <x:c r="L4097" s="66" t="str">
        <x:f>IF(K4097="","","1 : "&amp;TEXT(K4097,"0.0"))</x:f>
        <x:v>1 : 11.6</x:v>
      </x:c>
      <x:c r="M4097" s="66" t="str">
        <x:f>IF(J4097="","Baru/Tanpa Data",IF(J4097&lt;='Catatan &amp; Sumber'!$B$14,"Sangat Ketat",IF(J4097&lt;='Catatan &amp; Sumber'!$B$15,"Ketat",IF(J4097&lt;='Catatan &amp; Sumber'!$B$16,"Sedang","Relatif Longgar"))))</x:f>
        <x:v>Sedang</x:v>
      </x:c>
      <x:c r="N4097" s="66" t="str">
        <x:v>Tidak Ada</x:v>
      </x:c>
      <x:c r="O4097" s="66" t="str">
        <x:v>Nusa Tenggara Timur</x:v>
      </x:c>
      <x:c r="P4097" s="66" t="str">
        <x:v>Kota Kupang</x:v>
      </x:c>
      <x:c r="Q4097" s="66" t="str">
        <x:v>https://snpmb.id/snbp/daya-tampung-snbp</x:v>
      </x:c>
      <x:c r="R4097" s="66" t="str">
        <x:v>https://sidatagrun-public-1076756628210.asia-southeast2.run.app/ptn_sn.php?ptn=631</x:v>
      </x:c>
    </x:row>
    <x:row r="4098">
      <x:c r="A4098" s="87" t="n">
        <x:v>2541</x:v>
      </x:c>
      <x:c r="B4098" s="66" t="n">
        <x:v>631</x:v>
      </x:c>
      <x:c r="C4098" s="66" t="str">
        <x:v>UNIVERSITAS NUSA CENDANA</x:v>
      </x:c>
      <x:c r="D4098" s="66" t="str">
        <x:v>PTN Akademik</x:v>
      </x:c>
      <x:c r="E4098" s="66" t="str">
        <x:v>16311025</x:v>
      </x:c>
      <x:c r="F4098" s="66" t="str">
        <x:v>KEHUTANAN</x:v>
      </x:c>
      <x:c r="G4098" s="66" t="str">
        <x:v>Sarjana</x:v>
      </x:c>
      <x:c r="H4098" s="87" t="n">
        <x:v>31</x:v>
      </x:c>
      <x:c r="I4098" s="87" t="n">
        <x:v>142</x:v>
      </x:c>
      <x:c r="J4098" s="68" t="n">
        <x:f>IFERROR(H4098/I4098,"")</x:f>
        <x:v>0.21830985915492956</x:v>
      </x:c>
      <x:c r="K4098" s="69" t="n">
        <x:f>IFERROR(I4098/H4098,"")</x:f>
        <x:v>4.580645161290323</x:v>
      </x:c>
      <x:c r="L4098" s="66" t="str">
        <x:f>IF(K4098="","","1 : "&amp;TEXT(K4098,"0.0"))</x:f>
        <x:v>1 : 4.6</x:v>
      </x:c>
      <x:c r="M4098" s="66" t="str">
        <x:f>IF(J4098="","Baru/Tanpa Data",IF(J4098&lt;='Catatan &amp; Sumber'!$B$14,"Sangat Ketat",IF(J4098&lt;='Catatan &amp; Sumber'!$B$15,"Ketat",IF(J4098&lt;='Catatan &amp; Sumber'!$B$16,"Sedang","Relatif Longgar"))))</x:f>
        <x:v>Relatif Longgar</x:v>
      </x:c>
      <x:c r="N4098" s="66" t="str">
        <x:v>Tidak Ada</x:v>
      </x:c>
      <x:c r="O4098" s="66" t="str">
        <x:v>Nusa Tenggara Timur</x:v>
      </x:c>
      <x:c r="P4098" s="66" t="str">
        <x:v>Kota Kupang</x:v>
      </x:c>
      <x:c r="Q4098" s="66" t="str">
        <x:v>https://snpmb.id/snbp/daya-tampung-snbp</x:v>
      </x:c>
      <x:c r="R4098" s="66" t="str">
        <x:v>https://sidatagrun-public-1076756628210.asia-southeast2.run.app/ptn_sn.php?ptn=631</x:v>
      </x:c>
    </x:row>
    <x:row r="4099">
      <x:c r="A4099" s="87" t="n">
        <x:v>3879</x:v>
      </x:c>
      <x:c r="B4099" s="66" t="n">
        <x:v>631</x:v>
      </x:c>
      <x:c r="C4099" s="66" t="str">
        <x:v>UNIVERSITAS NUSA CENDANA</x:v>
      </x:c>
      <x:c r="D4099" s="66" t="str">
        <x:v>PTN Akademik</x:v>
      </x:c>
      <x:c r="E4099" s="66" t="str">
        <x:v>16311026</x:v>
      </x:c>
      <x:c r="F4099" s="66" t="str">
        <x:v>MANAJEMEN SUMBER DAYA PERAIRAN</x:v>
      </x:c>
      <x:c r="G4099" s="66" t="str">
        <x:v>Sarjana</x:v>
      </x:c>
      <x:c r="H4099" s="87" t="n">
        <x:v>30</x:v>
      </x:c>
      <x:c r="I4099" s="87" t="n">
        <x:v>49</x:v>
      </x:c>
      <x:c r="J4099" s="68" t="n">
        <x:f>IFERROR(H4099/I4099,"")</x:f>
        <x:v>0.6122448979591837</x:v>
      </x:c>
      <x:c r="K4099" s="69" t="n">
        <x:f>IFERROR(I4099/H4099,"")</x:f>
        <x:v>1.6333333333333333</x:v>
      </x:c>
      <x:c r="L4099" s="66" t="str">
        <x:f>IF(K4099="","","1 : "&amp;TEXT(K4099,"0.0"))</x:f>
        <x:v>1 : 1.6</x:v>
      </x:c>
      <x:c r="M4099" s="66" t="str">
        <x:f>IF(J4099="","Baru/Tanpa Data",IF(J4099&lt;='Catatan &amp; Sumber'!$B$14,"Sangat Ketat",IF(J4099&lt;='Catatan &amp; Sumber'!$B$15,"Ketat",IF(J4099&lt;='Catatan &amp; Sumber'!$B$16,"Sedang","Relatif Longgar"))))</x:f>
        <x:v>Relatif Longgar</x:v>
      </x:c>
      <x:c r="N4099" s="66" t="str">
        <x:v>Tidak Ada</x:v>
      </x:c>
      <x:c r="O4099" s="66" t="str">
        <x:v>Nusa Tenggara Timur</x:v>
      </x:c>
      <x:c r="P4099" s="66" t="str">
        <x:v>Kota Kupang</x:v>
      </x:c>
      <x:c r="Q4099" s="66" t="str">
        <x:v>https://snpmb.id/snbp/daya-tampung-snbp</x:v>
      </x:c>
      <x:c r="R4099" s="66" t="str">
        <x:v>https://sidatagrun-public-1076756628210.asia-southeast2.run.app/ptn_sn.php?ptn=631</x:v>
      </x:c>
    </x:row>
    <x:row r="4100">
      <x:c r="A4100" s="87" t="n">
        <x:v>2369</x:v>
      </x:c>
      <x:c r="B4100" s="66" t="n">
        <x:v>631</x:v>
      </x:c>
      <x:c r="C4100" s="66" t="str">
        <x:v>UNIVERSITAS NUSA CENDANA</x:v>
      </x:c>
      <x:c r="D4100" s="66" t="str">
        <x:v>PTN Akademik</x:v>
      </x:c>
      <x:c r="E4100" s="66" t="str">
        <x:v>16311027</x:v>
      </x:c>
      <x:c r="F4100" s="66" t="str">
        <x:v>PEND. BHS &amp; SASTRA INDO.</x:v>
      </x:c>
      <x:c r="G4100" s="66" t="str">
        <x:v>Sarjana</x:v>
      </x:c>
      <x:c r="H4100" s="87" t="n">
        <x:v>48</x:v>
      </x:c>
      <x:c r="I4100" s="87" t="n">
        <x:v>251</x:v>
      </x:c>
      <x:c r="J4100" s="68" t="n">
        <x:f>IFERROR(H4100/I4100,"")</x:f>
        <x:v>0.19123505976095617</x:v>
      </x:c>
      <x:c r="K4100" s="69" t="n">
        <x:f>IFERROR(I4100/H4100,"")</x:f>
        <x:v>5.229166666666667</x:v>
      </x:c>
      <x:c r="L4100" s="66" t="str">
        <x:f>IF(K4100="","","1 : "&amp;TEXT(K4100,"0.0"))</x:f>
        <x:v>1 : 5.2</x:v>
      </x:c>
      <x:c r="M4100" s="66" t="str">
        <x:f>IF(J4100="","Baru/Tanpa Data",IF(J4100&lt;='Catatan &amp; Sumber'!$B$14,"Sangat Ketat",IF(J4100&lt;='Catatan &amp; Sumber'!$B$15,"Ketat",IF(J4100&lt;='Catatan &amp; Sumber'!$B$16,"Sedang","Relatif Longgar"))))</x:f>
        <x:v>Relatif Longgar</x:v>
      </x:c>
      <x:c r="N4100" s="66" t="str">
        <x:v>Tidak Ada</x:v>
      </x:c>
      <x:c r="O4100" s="66" t="str">
        <x:v>Nusa Tenggara Timur</x:v>
      </x:c>
      <x:c r="P4100" s="66" t="str">
        <x:v>Kota Kupang</x:v>
      </x:c>
      <x:c r="Q4100" s="66" t="str">
        <x:v>https://snpmb.id/snbp/daya-tampung-snbp</x:v>
      </x:c>
      <x:c r="R4100" s="66" t="str">
        <x:v>https://sidatagrun-public-1076756628210.asia-southeast2.run.app/ptn_sn.php?ptn=631</x:v>
      </x:c>
    </x:row>
    <x:row r="4101">
      <x:c r="A4101" s="87" t="n">
        <x:v>2092</x:v>
      </x:c>
      <x:c r="B4101" s="66" t="n">
        <x:v>631</x:v>
      </x:c>
      <x:c r="C4101" s="66" t="str">
        <x:v>UNIVERSITAS NUSA CENDANA</x:v>
      </x:c>
      <x:c r="D4101" s="66" t="str">
        <x:v>PTN Akademik</x:v>
      </x:c>
      <x:c r="E4101" s="66" t="str">
        <x:v>16311028</x:v>
      </x:c>
      <x:c r="F4101" s="66" t="str">
        <x:v>PEND. BHS. INGGRIS</x:v>
      </x:c>
      <x:c r="G4101" s="66" t="str">
        <x:v>Sarjana</x:v>
      </x:c>
      <x:c r="H4101" s="87" t="n">
        <x:v>48</x:v>
      </x:c>
      <x:c r="I4101" s="87" t="n">
        <x:v>299</x:v>
      </x:c>
      <x:c r="J4101" s="68" t="n">
        <x:f>IFERROR(H4101/I4101,"")</x:f>
        <x:v>0.1605351170568562</x:v>
      </x:c>
      <x:c r="K4101" s="69" t="n">
        <x:f>IFERROR(I4101/H4101,"")</x:f>
        <x:v>6.229166666666667</x:v>
      </x:c>
      <x:c r="L4101" s="66" t="str">
        <x:f>IF(K4101="","","1 : "&amp;TEXT(K4101,"0.0"))</x:f>
        <x:v>1 : 6.2</x:v>
      </x:c>
      <x:c r="M4101" s="66" t="str">
        <x:f>IF(J4101="","Baru/Tanpa Data",IF(J4101&lt;='Catatan &amp; Sumber'!$B$14,"Sangat Ketat",IF(J4101&lt;='Catatan &amp; Sumber'!$B$15,"Ketat",IF(J4101&lt;='Catatan &amp; Sumber'!$B$16,"Sedang","Relatif Longgar"))))</x:f>
        <x:v>Relatif Longgar</x:v>
      </x:c>
      <x:c r="N4101" s="66" t="str">
        <x:v>Tidak Ada</x:v>
      </x:c>
      <x:c r="O4101" s="66" t="str">
        <x:v>Nusa Tenggara Timur</x:v>
      </x:c>
      <x:c r="P4101" s="66" t="str">
        <x:v>Kota Kupang</x:v>
      </x:c>
      <x:c r="Q4101" s="66" t="str">
        <x:v>https://snpmb.id/snbp/daya-tampung-snbp</x:v>
      </x:c>
      <x:c r="R4101" s="66" t="str">
        <x:v>https://sidatagrun-public-1076756628210.asia-southeast2.run.app/ptn_sn.php?ptn=631</x:v>
      </x:c>
    </x:row>
    <x:row r="4102">
      <x:c r="A4102" s="87" t="n">
        <x:v>868</x:v>
      </x:c>
      <x:c r="B4102" s="66" t="n">
        <x:v>631</x:v>
      </x:c>
      <x:c r="C4102" s="66" t="str">
        <x:v>UNIVERSITAS NUSA CENDANA</x:v>
      </x:c>
      <x:c r="D4102" s="66" t="str">
        <x:v>PTN Akademik</x:v>
      </x:c>
      <x:c r="E4102" s="66" t="str">
        <x:v>16311029</x:v>
      </x:c>
      <x:c r="F4102" s="66" t="str">
        <x:v>PPKN</x:v>
      </x:c>
      <x:c r="G4102" s="66" t="str">
        <x:v>Sarjana</x:v>
      </x:c>
      <x:c r="H4102" s="87" t="n">
        <x:v>36</x:v>
      </x:c>
      <x:c r="I4102" s="87" t="n">
        <x:v>512</x:v>
      </x:c>
      <x:c r="J4102" s="68" t="n">
        <x:f>IFERROR(H4102/I4102,"")</x:f>
        <x:v>0.0703125</x:v>
      </x:c>
      <x:c r="K4102" s="69" t="n">
        <x:f>IFERROR(I4102/H4102,"")</x:f>
        <x:v>14.222222222222221</x:v>
      </x:c>
      <x:c r="L4102" s="66" t="str">
        <x:f>IF(K4102="","","1 : "&amp;TEXT(K4102,"0.0"))</x:f>
        <x:v>1 : 14.2</x:v>
      </x:c>
      <x:c r="M4102" s="66" t="str">
        <x:f>IF(J4102="","Baru/Tanpa Data",IF(J4102&lt;='Catatan &amp; Sumber'!$B$14,"Sangat Ketat",IF(J4102&lt;='Catatan &amp; Sumber'!$B$15,"Ketat",IF(J4102&lt;='Catatan &amp; Sumber'!$B$16,"Sedang","Relatif Longgar"))))</x:f>
        <x:v>Sedang</x:v>
      </x:c>
      <x:c r="N4102" s="66" t="str">
        <x:v>Tidak Ada</x:v>
      </x:c>
      <x:c r="O4102" s="66" t="str">
        <x:v>Nusa Tenggara Timur</x:v>
      </x:c>
      <x:c r="P4102" s="66" t="str">
        <x:v>Kota Kupang</x:v>
      </x:c>
      <x:c r="Q4102" s="66" t="str">
        <x:v>https://snpmb.id/snbp/daya-tampung-snbp</x:v>
      </x:c>
      <x:c r="R4102" s="66" t="str">
        <x:v>https://sidatagrun-public-1076756628210.asia-southeast2.run.app/ptn_sn.php?ptn=631</x:v>
      </x:c>
    </x:row>
    <x:row r="4103">
      <x:c r="A4103" s="87" t="n">
        <x:v>3012</x:v>
      </x:c>
      <x:c r="B4103" s="66" t="n">
        <x:v>631</x:v>
      </x:c>
      <x:c r="C4103" s="66" t="str">
        <x:v>UNIVERSITAS NUSA CENDANA</x:v>
      </x:c>
      <x:c r="D4103" s="66" t="str">
        <x:v>PTN Akademik</x:v>
      </x:c>
      <x:c r="E4103" s="66" t="str">
        <x:v>16311030</x:v>
      </x:c>
      <x:c r="F4103" s="66" t="str">
        <x:v>PEND. EKONOMI</x:v>
      </x:c>
      <x:c r="G4103" s="66" t="str">
        <x:v>Sarjana</x:v>
      </x:c>
      <x:c r="H4103" s="87" t="n">
        <x:v>36</x:v>
      </x:c>
      <x:c r="I4103" s="87" t="n">
        <x:v>121</x:v>
      </x:c>
      <x:c r="J4103" s="68" t="n">
        <x:f>IFERROR(H4103/I4103,"")</x:f>
        <x:v>0.2975206611570248</x:v>
      </x:c>
      <x:c r="K4103" s="69" t="n">
        <x:f>IFERROR(I4103/H4103,"")</x:f>
        <x:v>3.361111111111111</x:v>
      </x:c>
      <x:c r="L4103" s="66" t="str">
        <x:f>IF(K4103="","","1 : "&amp;TEXT(K4103,"0.0"))</x:f>
        <x:v>1 : 3.4</x:v>
      </x:c>
      <x:c r="M4103" s="66" t="str">
        <x:f>IF(J4103="","Baru/Tanpa Data",IF(J4103&lt;='Catatan &amp; Sumber'!$B$14,"Sangat Ketat",IF(J4103&lt;='Catatan &amp; Sumber'!$B$15,"Ketat",IF(J4103&lt;='Catatan &amp; Sumber'!$B$16,"Sedang","Relatif Longgar"))))</x:f>
        <x:v>Relatif Longgar</x:v>
      </x:c>
      <x:c r="N4103" s="66" t="str">
        <x:v>Tidak Ada</x:v>
      </x:c>
      <x:c r="O4103" s="66" t="str">
        <x:v>Nusa Tenggara Timur</x:v>
      </x:c>
      <x:c r="P4103" s="66" t="str">
        <x:v>Kota Kupang</x:v>
      </x:c>
      <x:c r="Q4103" s="66" t="str">
        <x:v>https://snpmb.id/snbp/daya-tampung-snbp</x:v>
      </x:c>
      <x:c r="R4103" s="66" t="str">
        <x:v>https://sidatagrun-public-1076756628210.asia-southeast2.run.app/ptn_sn.php?ptn=631</x:v>
      </x:c>
    </x:row>
    <x:row r="4104">
      <x:c r="A4104" s="87" t="n">
        <x:v>2423</x:v>
      </x:c>
      <x:c r="B4104" s="66" t="n">
        <x:v>631</x:v>
      </x:c>
      <x:c r="C4104" s="66" t="str">
        <x:v>UNIVERSITAS NUSA CENDANA</x:v>
      </x:c>
      <x:c r="D4104" s="66" t="str">
        <x:v>PTN Akademik</x:v>
      </x:c>
      <x:c r="E4104" s="66" t="str">
        <x:v>16311031</x:v>
      </x:c>
      <x:c r="F4104" s="66" t="str">
        <x:v>PEND. GEOGRAFI</x:v>
      </x:c>
      <x:c r="G4104" s="66" t="str">
        <x:v>Sarjana</x:v>
      </x:c>
      <x:c r="H4104" s="87" t="n">
        <x:v>42</x:v>
      </x:c>
      <x:c r="I4104" s="87" t="n">
        <x:v>210</x:v>
      </x:c>
      <x:c r="J4104" s="68" t="n">
        <x:f>IFERROR(H4104/I4104,"")</x:f>
        <x:v>0.2</x:v>
      </x:c>
      <x:c r="K4104" s="69" t="n">
        <x:f>IFERROR(I4104/H4104,"")</x:f>
        <x:v>5</x:v>
      </x:c>
      <x:c r="L4104" s="66" t="str">
        <x:f>IF(K4104="","","1 : "&amp;TEXT(K4104,"0.0"))</x:f>
        <x:v>1 : 5.0</x:v>
      </x:c>
      <x:c r="M4104" s="66" t="str">
        <x:f>IF(J4104="","Baru/Tanpa Data",IF(J4104&lt;='Catatan &amp; Sumber'!$B$14,"Sangat Ketat",IF(J4104&lt;='Catatan &amp; Sumber'!$B$15,"Ketat",IF(J4104&lt;='Catatan &amp; Sumber'!$B$16,"Sedang","Relatif Longgar"))))</x:f>
        <x:v>Relatif Longgar</x:v>
      </x:c>
      <x:c r="N4104" s="66" t="str">
        <x:v>Tidak Ada</x:v>
      </x:c>
      <x:c r="O4104" s="66" t="str">
        <x:v>Nusa Tenggara Timur</x:v>
      </x:c>
      <x:c r="P4104" s="66" t="str">
        <x:v>Kota Kupang</x:v>
      </x:c>
      <x:c r="Q4104" s="66" t="str">
        <x:v>https://snpmb.id/snbp/daya-tampung-snbp</x:v>
      </x:c>
      <x:c r="R4104" s="66" t="str">
        <x:v>https://sidatagrun-public-1076756628210.asia-southeast2.run.app/ptn_sn.php?ptn=631</x:v>
      </x:c>
    </x:row>
    <x:row r="4105">
      <x:c r="A4105" s="87" t="n">
        <x:v>2323</x:v>
      </x:c>
      <x:c r="B4105" s="66" t="n">
        <x:v>631</x:v>
      </x:c>
      <x:c r="C4105" s="66" t="str">
        <x:v>UNIVERSITAS NUSA CENDANA</x:v>
      </x:c>
      <x:c r="D4105" s="66" t="str">
        <x:v>PTN Akademik</x:v>
      </x:c>
      <x:c r="E4105" s="66" t="str">
        <x:v>16311032</x:v>
      </x:c>
      <x:c r="F4105" s="66" t="str">
        <x:v>PEND. SEJARAH</x:v>
      </x:c>
      <x:c r="G4105" s="66" t="str">
        <x:v>Sarjana</x:v>
      </x:c>
      <x:c r="H4105" s="87" t="n">
        <x:v>35</x:v>
      </x:c>
      <x:c r="I4105" s="87" t="n">
        <x:v>188</x:v>
      </x:c>
      <x:c r="J4105" s="68" t="n">
        <x:f>IFERROR(H4105/I4105,"")</x:f>
        <x:v>0.18617021276595744</x:v>
      </x:c>
      <x:c r="K4105" s="69" t="n">
        <x:f>IFERROR(I4105/H4105,"")</x:f>
        <x:v>5.371428571428571</x:v>
      </x:c>
      <x:c r="L4105" s="66" t="str">
        <x:f>IF(K4105="","","1 : "&amp;TEXT(K4105,"0.0"))</x:f>
        <x:v>1 : 5.4</x:v>
      </x:c>
      <x:c r="M4105" s="66" t="str">
        <x:f>IF(J4105="","Baru/Tanpa Data",IF(J4105&lt;='Catatan &amp; Sumber'!$B$14,"Sangat Ketat",IF(J4105&lt;='Catatan &amp; Sumber'!$B$15,"Ketat",IF(J4105&lt;='Catatan &amp; Sumber'!$B$16,"Sedang","Relatif Longgar"))))</x:f>
        <x:v>Relatif Longgar</x:v>
      </x:c>
      <x:c r="N4105" s="66" t="str">
        <x:v>Tidak Ada</x:v>
      </x:c>
      <x:c r="O4105" s="66" t="str">
        <x:v>Nusa Tenggara Timur</x:v>
      </x:c>
      <x:c r="P4105" s="66" t="str">
        <x:v>Kota Kupang</x:v>
      </x:c>
      <x:c r="Q4105" s="66" t="str">
        <x:v>https://snpmb.id/snbp/daya-tampung-snbp</x:v>
      </x:c>
      <x:c r="R4105" s="66" t="str">
        <x:v>https://sidatagrun-public-1076756628210.asia-southeast2.run.app/ptn_sn.php?ptn=631</x:v>
      </x:c>
    </x:row>
    <x:row r="4106">
      <x:c r="A4106" s="87" t="n">
        <x:v>446</x:v>
      </x:c>
      <x:c r="B4106" s="66" t="n">
        <x:v>631</x:v>
      </x:c>
      <x:c r="C4106" s="66" t="str">
        <x:v>UNIVERSITAS NUSA CENDANA</x:v>
      </x:c>
      <x:c r="D4106" s="66" t="str">
        <x:v>PTN Akademik</x:v>
      </x:c>
      <x:c r="E4106" s="66" t="str">
        <x:v>16311033</x:v>
      </x:c>
      <x:c r="F4106" s="66" t="str">
        <x:v>BIMBINGAN KONSELING</x:v>
      </x:c>
      <x:c r="G4106" s="66" t="str">
        <x:v>Sarjana</x:v>
      </x:c>
      <x:c r="H4106" s="87" t="n">
        <x:v>27</x:v>
      </x:c>
      <x:c r="I4106" s="87" t="n">
        <x:v>552</x:v>
      </x:c>
      <x:c r="J4106" s="68" t="n">
        <x:f>IFERROR(H4106/I4106,"")</x:f>
        <x:v>0.04891304347826087</x:v>
      </x:c>
      <x:c r="K4106" s="69" t="n">
        <x:f>IFERROR(I4106/H4106,"")</x:f>
        <x:v>20.444444444444443</x:v>
      </x:c>
      <x:c r="L4106" s="66" t="str">
        <x:f>IF(K4106="","","1 : "&amp;TEXT(K4106,"0.0"))</x:f>
        <x:v>1 : 20.4</x:v>
      </x:c>
      <x:c r="M4106" s="66" t="str">
        <x:f>IF(J4106="","Baru/Tanpa Data",IF(J4106&lt;='Catatan &amp; Sumber'!$B$14,"Sangat Ketat",IF(J4106&lt;='Catatan &amp; Sumber'!$B$15,"Ketat",IF(J4106&lt;='Catatan &amp; Sumber'!$B$16,"Sedang","Relatif Longgar"))))</x:f>
        <x:v>Ketat</x:v>
      </x:c>
      <x:c r="N4106" s="66" t="str">
        <x:v>Tidak Ada</x:v>
      </x:c>
      <x:c r="O4106" s="66" t="str">
        <x:v>Nusa Tenggara Timur</x:v>
      </x:c>
      <x:c r="P4106" s="66" t="str">
        <x:v>Kota Kupang</x:v>
      </x:c>
      <x:c r="Q4106" s="66" t="str">
        <x:v>https://snpmb.id/snbp/daya-tampung-snbp</x:v>
      </x:c>
      <x:c r="R4106" s="66" t="str">
        <x:v>https://sidatagrun-public-1076756628210.asia-southeast2.run.app/ptn_sn.php?ptn=631</x:v>
      </x:c>
    </x:row>
    <x:row r="4107">
      <x:c r="A4107" s="87" t="n">
        <x:v>4228</x:v>
      </x:c>
      <x:c r="B4107" s="66" t="n">
        <x:v>631</x:v>
      </x:c>
      <x:c r="C4107" s="66" t="str">
        <x:v>UNIVERSITAS NUSA CENDANA</x:v>
      </x:c>
      <x:c r="D4107" s="66" t="str">
        <x:v>PTN Akademik</x:v>
      </x:c>
      <x:c r="E4107" s="66" t="str">
        <x:v>16311034</x:v>
      </x:c>
      <x:c r="F4107" s="66" t="str">
        <x:v>PEND. LUAR SEKOLAH</x:v>
      </x:c>
      <x:c r="G4107" s="66" t="str">
        <x:v>Sarjana</x:v>
      </x:c>
      <x:c r="H4107" s="87" t="n">
        <x:v>24</x:v>
      </x:c>
      <x:c r="I4107" s="87" t="n">
        <x:v>27</x:v>
      </x:c>
      <x:c r="J4107" s="68" t="n">
        <x:f>IFERROR(H4107/I4107,"")</x:f>
        <x:v>0.8888888888888888</x:v>
      </x:c>
      <x:c r="K4107" s="69" t="n">
        <x:f>IFERROR(I4107/H4107,"")</x:f>
        <x:v>1.125</x:v>
      </x:c>
      <x:c r="L4107" s="66" t="str">
        <x:f>IF(K4107="","","1 : "&amp;TEXT(K4107,"0.0"))</x:f>
        <x:v>1 : 1.1</x:v>
      </x:c>
      <x:c r="M4107" s="66" t="str">
        <x:f>IF(J4107="","Baru/Tanpa Data",IF(J4107&lt;='Catatan &amp; Sumber'!$B$14,"Sangat Ketat",IF(J4107&lt;='Catatan &amp; Sumber'!$B$15,"Ketat",IF(J4107&lt;='Catatan &amp; Sumber'!$B$16,"Sedang","Relatif Longgar"))))</x:f>
        <x:v>Relatif Longgar</x:v>
      </x:c>
      <x:c r="N4107" s="66" t="str">
        <x:v>Tidak Ada</x:v>
      </x:c>
      <x:c r="O4107" s="66" t="str">
        <x:v>Nusa Tenggara Timur</x:v>
      </x:c>
      <x:c r="P4107" s="66" t="str">
        <x:v>Kota Kupang</x:v>
      </x:c>
      <x:c r="Q4107" s="66" t="str">
        <x:v>https://snpmb.id/snbp/daya-tampung-snbp</x:v>
      </x:c>
      <x:c r="R4107" s="66" t="str">
        <x:v>https://sidatagrun-public-1076756628210.asia-southeast2.run.app/ptn_sn.php?ptn=631</x:v>
      </x:c>
    </x:row>
    <x:row r="4108">
      <x:c r="A4108" s="87" t="n">
        <x:v>1917</x:v>
      </x:c>
      <x:c r="B4108" s="66" t="n">
        <x:v>631</x:v>
      </x:c>
      <x:c r="C4108" s="66" t="str">
        <x:v>UNIVERSITAS NUSA CENDANA</x:v>
      </x:c>
      <x:c r="D4108" s="66" t="str">
        <x:v>PTN Akademik</x:v>
      </x:c>
      <x:c r="E4108" s="66" t="str">
        <x:v>16311035</x:v>
      </x:c>
      <x:c r="F4108" s="66" t="str">
        <x:v>PEND. ANAK USIA DINI</x:v>
      </x:c>
      <x:c r="G4108" s="66" t="str">
        <x:v>Sarjana</x:v>
      </x:c>
      <x:c r="H4108" s="87" t="n">
        <x:v>27</x:v>
      </x:c>
      <x:c r="I4108" s="87" t="n">
        <x:v>189</x:v>
      </x:c>
      <x:c r="J4108" s="68" t="n">
        <x:f>IFERROR(H4108/I4108,"")</x:f>
        <x:v>0.14285714285714285</x:v>
      </x:c>
      <x:c r="K4108" s="69" t="n">
        <x:f>IFERROR(I4108/H4108,"")</x:f>
        <x:v>7</x:v>
      </x:c>
      <x:c r="L4108" s="66" t="str">
        <x:f>IF(K4108="","","1 : "&amp;TEXT(K4108,"0.0"))</x:f>
        <x:v>1 : 7.0</x:v>
      </x:c>
      <x:c r="M4108" s="66" t="str">
        <x:f>IF(J4108="","Baru/Tanpa Data",IF(J4108&lt;='Catatan &amp; Sumber'!$B$14,"Sangat Ketat",IF(J4108&lt;='Catatan &amp; Sumber'!$B$15,"Ketat",IF(J4108&lt;='Catatan &amp; Sumber'!$B$16,"Sedang","Relatif Longgar"))))</x:f>
        <x:v>Relatif Longgar</x:v>
      </x:c>
      <x:c r="N4108" s="66" t="str">
        <x:v>Tidak Ada</x:v>
      </x:c>
      <x:c r="O4108" s="66" t="str">
        <x:v>Nusa Tenggara Timur</x:v>
      </x:c>
      <x:c r="P4108" s="66" t="str">
        <x:v>Kota Kupang</x:v>
      </x:c>
      <x:c r="Q4108" s="66" t="str">
        <x:v>https://snpmb.id/snbp/daya-tampung-snbp</x:v>
      </x:c>
      <x:c r="R4108" s="66" t="str">
        <x:v>https://sidatagrun-public-1076756628210.asia-southeast2.run.app/ptn_sn.php?ptn=631</x:v>
      </x:c>
    </x:row>
    <x:row r="4109">
      <x:c r="A4109" s="87" t="n">
        <x:v>412</x:v>
      </x:c>
      <x:c r="B4109" s="66" t="n">
        <x:v>631</x:v>
      </x:c>
      <x:c r="C4109" s="66" t="str">
        <x:v>UNIVERSITAS NUSA CENDANA</x:v>
      </x:c>
      <x:c r="D4109" s="66" t="str">
        <x:v>PTN Akademik</x:v>
      </x:c>
      <x:c r="E4109" s="66" t="str">
        <x:v>16311036</x:v>
      </x:c>
      <x:c r="F4109" s="66" t="str">
        <x:v>PEND. GURU SEKOLAH DASAR</x:v>
      </x:c>
      <x:c r="G4109" s="66" t="str">
        <x:v>Sarjana</x:v>
      </x:c>
      <x:c r="H4109" s="87" t="n">
        <x:v>60</x:v>
      </x:c>
      <x:c r="I4109" s="87" t="n">
        <x:v>1267</x:v>
      </x:c>
      <x:c r="J4109" s="68" t="n">
        <x:f>IFERROR(H4109/I4109,"")</x:f>
        <x:v>0.0473559589581689</x:v>
      </x:c>
      <x:c r="K4109" s="69" t="n">
        <x:f>IFERROR(I4109/H4109,"")</x:f>
        <x:v>21.116666666666667</x:v>
      </x:c>
      <x:c r="L4109" s="66" t="str">
        <x:f>IF(K4109="","","1 : "&amp;TEXT(K4109,"0.0"))</x:f>
        <x:v>1 : 21.1</x:v>
      </x:c>
      <x:c r="M4109" s="66" t="str">
        <x:f>IF(J4109="","Baru/Tanpa Data",IF(J4109&lt;='Catatan &amp; Sumber'!$B$14,"Sangat Ketat",IF(J4109&lt;='Catatan &amp; Sumber'!$B$15,"Ketat",IF(J4109&lt;='Catatan &amp; Sumber'!$B$16,"Sedang","Relatif Longgar"))))</x:f>
        <x:v>Ketat</x:v>
      </x:c>
      <x:c r="N4109" s="66" t="str">
        <x:v>Tidak Ada</x:v>
      </x:c>
      <x:c r="O4109" s="66" t="str">
        <x:v>Nusa Tenggara Timur</x:v>
      </x:c>
      <x:c r="P4109" s="66" t="str">
        <x:v>Kota Kupang</x:v>
      </x:c>
      <x:c r="Q4109" s="66" t="str">
        <x:v>https://snpmb.id/snbp/daya-tampung-snbp</x:v>
      </x:c>
      <x:c r="R4109" s="66" t="str">
        <x:v>https://sidatagrun-public-1076756628210.asia-southeast2.run.app/ptn_sn.php?ptn=631</x:v>
      </x:c>
    </x:row>
    <x:row r="4110">
      <x:c r="A4110" s="87" t="n">
        <x:v>2224</x:v>
      </x:c>
      <x:c r="B4110" s="66" t="n">
        <x:v>631</x:v>
      </x:c>
      <x:c r="C4110" s="66" t="str">
        <x:v>UNIVERSITAS NUSA CENDANA</x:v>
      </x:c>
      <x:c r="D4110" s="66" t="str">
        <x:v>PTN Akademik</x:v>
      </x:c>
      <x:c r="E4110" s="66" t="str">
        <x:v>16311037</x:v>
      </x:c>
      <x:c r="F4110" s="66" t="str">
        <x:v>ILMU HUKUM</x:v>
      </x:c>
      <x:c r="G4110" s="66" t="str">
        <x:v>Sarjana</x:v>
      </x:c>
      <x:c r="H4110" s="87" t="n">
        <x:v>102</x:v>
      </x:c>
      <x:c r="I4110" s="87" t="n">
        <x:v>581</x:v>
      </x:c>
      <x:c r="J4110" s="68" t="n">
        <x:f>IFERROR(H4110/I4110,"")</x:f>
        <x:v>0.17555938037865748</x:v>
      </x:c>
      <x:c r="K4110" s="69" t="n">
        <x:f>IFERROR(I4110/H4110,"")</x:f>
        <x:v>5.696078431372549</x:v>
      </x:c>
      <x:c r="L4110" s="66" t="str">
        <x:f>IF(K4110="","","1 : "&amp;TEXT(K4110,"0.0"))</x:f>
        <x:v>1 : 5.7</x:v>
      </x:c>
      <x:c r="M4110" s="66" t="str">
        <x:f>IF(J4110="","Baru/Tanpa Data",IF(J4110&lt;='Catatan &amp; Sumber'!$B$14,"Sangat Ketat",IF(J4110&lt;='Catatan &amp; Sumber'!$B$15,"Ketat",IF(J4110&lt;='Catatan &amp; Sumber'!$B$16,"Sedang","Relatif Longgar"))))</x:f>
        <x:v>Relatif Longgar</x:v>
      </x:c>
      <x:c r="N4110" s="66" t="str">
        <x:v>Tidak Ada</x:v>
      </x:c>
      <x:c r="O4110" s="66" t="str">
        <x:v>Nusa Tenggara Timur</x:v>
      </x:c>
      <x:c r="P4110" s="66" t="str">
        <x:v>Kota Kupang</x:v>
      </x:c>
      <x:c r="Q4110" s="66" t="str">
        <x:v>https://snpmb.id/snbp/daya-tampung-snbp</x:v>
      </x:c>
      <x:c r="R4110" s="66" t="str">
        <x:v>https://sidatagrun-public-1076756628210.asia-southeast2.run.app/ptn_sn.php?ptn=631</x:v>
      </x:c>
    </x:row>
    <x:row r="4111">
      <x:c r="A4111" s="87" t="n">
        <x:v>2785</x:v>
      </x:c>
      <x:c r="B4111" s="66" t="n">
        <x:v>631</x:v>
      </x:c>
      <x:c r="C4111" s="66" t="str">
        <x:v>UNIVERSITAS NUSA CENDANA</x:v>
      </x:c>
      <x:c r="D4111" s="66" t="str">
        <x:v>PTN Akademik</x:v>
      </x:c>
      <x:c r="E4111" s="66" t="str">
        <x:v>16311038</x:v>
      </x:c>
      <x:c r="F4111" s="66" t="str">
        <x:v>ILMU ADM.NEGARA</x:v>
      </x:c>
      <x:c r="G4111" s="66" t="str">
        <x:v>Sarjana</x:v>
      </x:c>
      <x:c r="H4111" s="87" t="n">
        <x:v>93</x:v>
      </x:c>
      <x:c r="I4111" s="87" t="n">
        <x:v>363</x:v>
      </x:c>
      <x:c r="J4111" s="68" t="n">
        <x:f>IFERROR(H4111/I4111,"")</x:f>
        <x:v>0.256198347107438</x:v>
      </x:c>
      <x:c r="K4111" s="69" t="n">
        <x:f>IFERROR(I4111/H4111,"")</x:f>
        <x:v>3.903225806451613</x:v>
      </x:c>
      <x:c r="L4111" s="66" t="str">
        <x:f>IF(K4111="","","1 : "&amp;TEXT(K4111,"0.0"))</x:f>
        <x:v>1 : 3.9</x:v>
      </x:c>
      <x:c r="M4111" s="66" t="str">
        <x:f>IF(J4111="","Baru/Tanpa Data",IF(J4111&lt;='Catatan &amp; Sumber'!$B$14,"Sangat Ketat",IF(J4111&lt;='Catatan &amp; Sumber'!$B$15,"Ketat",IF(J4111&lt;='Catatan &amp; Sumber'!$B$16,"Sedang","Relatif Longgar"))))</x:f>
        <x:v>Relatif Longgar</x:v>
      </x:c>
      <x:c r="N4111" s="66" t="str">
        <x:v>Tidak Ada</x:v>
      </x:c>
      <x:c r="O4111" s="66" t="str">
        <x:v>Nusa Tenggara Timur</x:v>
      </x:c>
      <x:c r="P4111" s="66" t="str">
        <x:v>Kota Kupang</x:v>
      </x:c>
      <x:c r="Q4111" s="66" t="str">
        <x:v>https://snpmb.id/snbp/daya-tampung-snbp</x:v>
      </x:c>
      <x:c r="R4111" s="66" t="str">
        <x:v>https://sidatagrun-public-1076756628210.asia-southeast2.run.app/ptn_sn.php?ptn=631</x:v>
      </x:c>
    </x:row>
    <x:row r="4112">
      <x:c r="A4112" s="87" t="n">
        <x:v>3763</x:v>
      </x:c>
      <x:c r="B4112" s="66" t="n">
        <x:v>631</x:v>
      </x:c>
      <x:c r="C4112" s="66" t="str">
        <x:v>UNIVERSITAS NUSA CENDANA</x:v>
      </x:c>
      <x:c r="D4112" s="66" t="str">
        <x:v>PTN Akademik</x:v>
      </x:c>
      <x:c r="E4112" s="66" t="str">
        <x:v>16311039</x:v>
      </x:c>
      <x:c r="F4112" s="66" t="str">
        <x:v>ILMU ADM.NIAGA</x:v>
      </x:c>
      <x:c r="G4112" s="66" t="str">
        <x:v>Sarjana</x:v>
      </x:c>
      <x:c r="H4112" s="87" t="n">
        <x:v>75</x:v>
      </x:c>
      <x:c r="I4112" s="87" t="n">
        <x:v>136</x:v>
      </x:c>
      <x:c r="J4112" s="68" t="n">
        <x:f>IFERROR(H4112/I4112,"")</x:f>
        <x:v>0.5514705882352942</x:v>
      </x:c>
      <x:c r="K4112" s="69" t="n">
        <x:f>IFERROR(I4112/H4112,"")</x:f>
        <x:v>1.8133333333333332</x:v>
      </x:c>
      <x:c r="L4112" s="66" t="str">
        <x:f>IF(K4112="","","1 : "&amp;TEXT(K4112,"0.0"))</x:f>
        <x:v>1 : 1.8</x:v>
      </x:c>
      <x:c r="M4112" s="66" t="str">
        <x:f>IF(J4112="","Baru/Tanpa Data",IF(J4112&lt;='Catatan &amp; Sumber'!$B$14,"Sangat Ketat",IF(J4112&lt;='Catatan &amp; Sumber'!$B$15,"Ketat",IF(J4112&lt;='Catatan &amp; Sumber'!$B$16,"Sedang","Relatif Longgar"))))</x:f>
        <x:v>Relatif Longgar</x:v>
      </x:c>
      <x:c r="N4112" s="66" t="str">
        <x:v>Tidak Ada</x:v>
      </x:c>
      <x:c r="O4112" s="66" t="str">
        <x:v>Nusa Tenggara Timur</x:v>
      </x:c>
      <x:c r="P4112" s="66" t="str">
        <x:v>Kota Kupang</x:v>
      </x:c>
      <x:c r="Q4112" s="66" t="str">
        <x:v>https://snpmb.id/snbp/daya-tampung-snbp</x:v>
      </x:c>
      <x:c r="R4112" s="66" t="str">
        <x:v>https://sidatagrun-public-1076756628210.asia-southeast2.run.app/ptn_sn.php?ptn=631</x:v>
      </x:c>
    </x:row>
    <x:row r="4113">
      <x:c r="A4113" s="87" t="n">
        <x:v>2467</x:v>
      </x:c>
      <x:c r="B4113" s="66" t="n">
        <x:v>631</x:v>
      </x:c>
      <x:c r="C4113" s="66" t="str">
        <x:v>UNIVERSITAS NUSA CENDANA</x:v>
      </x:c>
      <x:c r="D4113" s="66" t="str">
        <x:v>PTN Akademik</x:v>
      </x:c>
      <x:c r="E4113" s="66" t="str">
        <x:v>16311040</x:v>
      </x:c>
      <x:c r="F4113" s="66" t="str">
        <x:v>SOSIOLOGI</x:v>
      </x:c>
      <x:c r="G4113" s="66" t="str">
        <x:v>Sarjana</x:v>
      </x:c>
      <x:c r="H4113" s="87" t="n">
        <x:v>49</x:v>
      </x:c>
      <x:c r="I4113" s="87" t="n">
        <x:v>239</x:v>
      </x:c>
      <x:c r="J4113" s="68" t="n">
        <x:f>IFERROR(H4113/I4113,"")</x:f>
        <x:v>0.20502092050209206</x:v>
      </x:c>
      <x:c r="K4113" s="69" t="n">
        <x:f>IFERROR(I4113/H4113,"")</x:f>
        <x:v>4.877551020408164</x:v>
      </x:c>
      <x:c r="L4113" s="66" t="str">
        <x:f>IF(K4113="","","1 : "&amp;TEXT(K4113,"0.0"))</x:f>
        <x:v>1 : 4.9</x:v>
      </x:c>
      <x:c r="M4113" s="66" t="str">
        <x:f>IF(J4113="","Baru/Tanpa Data",IF(J4113&lt;='Catatan &amp; Sumber'!$B$14,"Sangat Ketat",IF(J4113&lt;='Catatan &amp; Sumber'!$B$15,"Ketat",IF(J4113&lt;='Catatan &amp; Sumber'!$B$16,"Sedang","Relatif Longgar"))))</x:f>
        <x:v>Relatif Longgar</x:v>
      </x:c>
      <x:c r="N4113" s="66" t="str">
        <x:v>Tidak Ada</x:v>
      </x:c>
      <x:c r="O4113" s="66" t="str">
        <x:v>Nusa Tenggara Timur</x:v>
      </x:c>
      <x:c r="P4113" s="66" t="str">
        <x:v>Kota Kupang</x:v>
      </x:c>
      <x:c r="Q4113" s="66" t="str">
        <x:v>https://snpmb.id/snbp/daya-tampung-snbp</x:v>
      </x:c>
      <x:c r="R4113" s="66" t="str">
        <x:v>https://sidatagrun-public-1076756628210.asia-southeast2.run.app/ptn_sn.php?ptn=631</x:v>
      </x:c>
    </x:row>
    <x:row r="4114">
      <x:c r="A4114" s="87" t="n">
        <x:v>1794</x:v>
      </x:c>
      <x:c r="B4114" s="66" t="n">
        <x:v>631</x:v>
      </x:c>
      <x:c r="C4114" s="66" t="str">
        <x:v>UNIVERSITAS NUSA CENDANA</x:v>
      </x:c>
      <x:c r="D4114" s="66" t="str">
        <x:v>PTN Akademik</x:v>
      </x:c>
      <x:c r="E4114" s="66" t="str">
        <x:v>16311041</x:v>
      </x:c>
      <x:c r="F4114" s="66" t="str">
        <x:v>ILMU KOMUNIKASI</x:v>
      </x:c>
      <x:c r="G4114" s="66" t="str">
        <x:v>Sarjana</x:v>
      </x:c>
      <x:c r="H4114" s="87" t="n">
        <x:v>74</x:v>
      </x:c>
      <x:c r="I4114" s="87" t="n">
        <x:v>560</x:v>
      </x:c>
      <x:c r="J4114" s="68" t="n">
        <x:f>IFERROR(H4114/I4114,"")</x:f>
        <x:v>0.13214285714285715</x:v>
      </x:c>
      <x:c r="K4114" s="69" t="n">
        <x:f>IFERROR(I4114/H4114,"")</x:f>
        <x:v>7.5675675675675675</x:v>
      </x:c>
      <x:c r="L4114" s="66" t="str">
        <x:f>IF(K4114="","","1 : "&amp;TEXT(K4114,"0.0"))</x:f>
        <x:v>1 : 7.6</x:v>
      </x:c>
      <x:c r="M4114" s="66" t="str">
        <x:f>IF(J4114="","Baru/Tanpa Data",IF(J4114&lt;='Catatan &amp; Sumber'!$B$14,"Sangat Ketat",IF(J4114&lt;='Catatan &amp; Sumber'!$B$15,"Ketat",IF(J4114&lt;='Catatan &amp; Sumber'!$B$16,"Sedang","Relatif Longgar"))))</x:f>
        <x:v>Relatif Longgar</x:v>
      </x:c>
      <x:c r="N4114" s="66" t="str">
        <x:v>Tidak Ada</x:v>
      </x:c>
      <x:c r="O4114" s="66" t="str">
        <x:v>Nusa Tenggara Timur</x:v>
      </x:c>
      <x:c r="P4114" s="66" t="str">
        <x:v>Kota Kupang</x:v>
      </x:c>
      <x:c r="Q4114" s="66" t="str">
        <x:v>https://snpmb.id/snbp/daya-tampung-snbp</x:v>
      </x:c>
      <x:c r="R4114" s="66" t="str">
        <x:v>https://sidatagrun-public-1076756628210.asia-southeast2.run.app/ptn_sn.php?ptn=631</x:v>
      </x:c>
    </x:row>
    <x:row r="4115">
      <x:c r="A4115" s="87" t="n">
        <x:v>3835</x:v>
      </x:c>
      <x:c r="B4115" s="66" t="n">
        <x:v>631</x:v>
      </x:c>
      <x:c r="C4115" s="66" t="str">
        <x:v>UNIVERSITAS NUSA CENDANA</x:v>
      </x:c>
      <x:c r="D4115" s="66" t="str">
        <x:v>PTN Akademik</x:v>
      </x:c>
      <x:c r="E4115" s="66" t="str">
        <x:v>16311042</x:v>
      </x:c>
      <x:c r="F4115" s="66" t="str">
        <x:v>ILMU POLITIK</x:v>
      </x:c>
      <x:c r="G4115" s="66" t="str">
        <x:v>Sarjana</x:v>
      </x:c>
      <x:c r="H4115" s="87" t="n">
        <x:v>46</x:v>
      </x:c>
      <x:c r="I4115" s="87" t="n">
        <x:v>78</x:v>
      </x:c>
      <x:c r="J4115" s="68" t="n">
        <x:f>IFERROR(H4115/I4115,"")</x:f>
        <x:v>0.5897435897435898</x:v>
      </x:c>
      <x:c r="K4115" s="69" t="n">
        <x:f>IFERROR(I4115/H4115,"")</x:f>
        <x:v>1.6956521739130435</x:v>
      </x:c>
      <x:c r="L4115" s="66" t="str">
        <x:f>IF(K4115="","","1 : "&amp;TEXT(K4115,"0.0"))</x:f>
        <x:v>1 : 1.7</x:v>
      </x:c>
      <x:c r="M4115" s="66" t="str">
        <x:f>IF(J4115="","Baru/Tanpa Data",IF(J4115&lt;='Catatan &amp; Sumber'!$B$14,"Sangat Ketat",IF(J4115&lt;='Catatan &amp; Sumber'!$B$15,"Ketat",IF(J4115&lt;='Catatan &amp; Sumber'!$B$16,"Sedang","Relatif Longgar"))))</x:f>
        <x:v>Relatif Longgar</x:v>
      </x:c>
      <x:c r="N4115" s="66" t="str">
        <x:v>Tidak Ada</x:v>
      </x:c>
      <x:c r="O4115" s="66" t="str">
        <x:v>Nusa Tenggara Timur</x:v>
      </x:c>
      <x:c r="P4115" s="66" t="str">
        <x:v>Kota Kupang</x:v>
      </x:c>
      <x:c r="Q4115" s="66" t="str">
        <x:v>https://snpmb.id/snbp/daya-tampung-snbp</x:v>
      </x:c>
      <x:c r="R4115" s="66" t="str">
        <x:v>https://sidatagrun-public-1076756628210.asia-southeast2.run.app/ptn_sn.php?ptn=631</x:v>
      </x:c>
    </x:row>
    <x:row r="4116">
      <x:c r="A4116" s="87" t="n">
        <x:v>3059</x:v>
      </x:c>
      <x:c r="B4116" s="66" t="n">
        <x:v>631</x:v>
      </x:c>
      <x:c r="C4116" s="66" t="str">
        <x:v>UNIVERSITAS NUSA CENDANA</x:v>
      </x:c>
      <x:c r="D4116" s="66" t="str">
        <x:v>PTN Akademik</x:v>
      </x:c>
      <x:c r="E4116" s="66" t="str">
        <x:v>16311043</x:v>
      </x:c>
      <x:c r="F4116" s="66" t="str">
        <x:v>PENJASKESREK</x:v>
      </x:c>
      <x:c r="G4116" s="66" t="str">
        <x:v>Sarjana</x:v>
      </x:c>
      <x:c r="H4116" s="87" t="n">
        <x:v>36</x:v>
      </x:c>
      <x:c r="I4116" s="87" t="n">
        <x:v>118</x:v>
      </x:c>
      <x:c r="J4116" s="68" t="n">
        <x:f>IFERROR(H4116/I4116,"")</x:f>
        <x:v>0.3050847457627119</x:v>
      </x:c>
      <x:c r="K4116" s="69" t="n">
        <x:f>IFERROR(I4116/H4116,"")</x:f>
        <x:v>3.2777777777777777</x:v>
      </x:c>
      <x:c r="L4116" s="66" t="str">
        <x:f>IF(K4116="","","1 : "&amp;TEXT(K4116,"0.0"))</x:f>
        <x:v>1 : 3.3</x:v>
      </x:c>
      <x:c r="M4116" s="66" t="str">
        <x:f>IF(J4116="","Baru/Tanpa Data",IF(J4116&lt;='Catatan &amp; Sumber'!$B$14,"Sangat Ketat",IF(J4116&lt;='Catatan &amp; Sumber'!$B$15,"Ketat",IF(J4116&lt;='Catatan &amp; Sumber'!$B$16,"Sedang","Relatif Longgar"))))</x:f>
        <x:v>Relatif Longgar</x:v>
      </x:c>
      <x:c r="N4116" s="66" t="str">
        <x:v>Olahraga</x:v>
      </x:c>
      <x:c r="O4116" s="66" t="str">
        <x:v>Nusa Tenggara Timur</x:v>
      </x:c>
      <x:c r="P4116" s="66" t="str">
        <x:v>Kota Kupang</x:v>
      </x:c>
      <x:c r="Q4116" s="66" t="str">
        <x:v>https://snpmb.id/snbp/daya-tampung-snbp</x:v>
      </x:c>
      <x:c r="R4116" s="66" t="str">
        <x:v>https://sidatagrun-public-1076756628210.asia-southeast2.run.app/ptn_sn.php?ptn=631</x:v>
      </x:c>
    </x:row>
    <x:row r="4117">
      <x:c r="A4117" s="87" t="n">
        <x:v>3507</x:v>
      </x:c>
      <x:c r="B4117" s="66" t="n">
        <x:v>631</x:v>
      </x:c>
      <x:c r="C4117" s="66" t="str">
        <x:v>UNIVERSITAS NUSA CENDANA</x:v>
      </x:c>
      <x:c r="D4117" s="66" t="str">
        <x:v>PTN Akademik</x:v>
      </x:c>
      <x:c r="E4117" s="66" t="str">
        <x:v>16311044</x:v>
      </x:c>
      <x:c r="F4117" s="66" t="str">
        <x:v>EKONOMI PEMBANGUNAN</x:v>
      </x:c>
      <x:c r="G4117" s="66" t="str">
        <x:v>Sarjana</x:v>
      </x:c>
      <x:c r="H4117" s="87" t="n">
        <x:v>41</x:v>
      </x:c>
      <x:c r="I4117" s="87" t="n">
        <x:v>94</x:v>
      </x:c>
      <x:c r="J4117" s="68" t="n">
        <x:f>IFERROR(H4117/I4117,"")</x:f>
        <x:v>0.43617021276595747</x:v>
      </x:c>
      <x:c r="K4117" s="69" t="n">
        <x:f>IFERROR(I4117/H4117,"")</x:f>
        <x:v>2.292682926829268</x:v>
      </x:c>
      <x:c r="L4117" s="66" t="str">
        <x:f>IF(K4117="","","1 : "&amp;TEXT(K4117,"0.0"))</x:f>
        <x:v>1 : 2.3</x:v>
      </x:c>
      <x:c r="M4117" s="66" t="str">
        <x:f>IF(J4117="","Baru/Tanpa Data",IF(J4117&lt;='Catatan &amp; Sumber'!$B$14,"Sangat Ketat",IF(J4117&lt;='Catatan &amp; Sumber'!$B$15,"Ketat",IF(J4117&lt;='Catatan &amp; Sumber'!$B$16,"Sedang","Relatif Longgar"))))</x:f>
        <x:v>Relatif Longgar</x:v>
      </x:c>
      <x:c r="N4117" s="66" t="str">
        <x:v>Tidak Ada</x:v>
      </x:c>
      <x:c r="O4117" s="66" t="str">
        <x:v>Nusa Tenggara Timur</x:v>
      </x:c>
      <x:c r="P4117" s="66" t="str">
        <x:v>Kota Kupang</x:v>
      </x:c>
      <x:c r="Q4117" s="66" t="str">
        <x:v>https://snpmb.id/snbp/daya-tampung-snbp</x:v>
      </x:c>
      <x:c r="R4117" s="66" t="str">
        <x:v>https://sidatagrun-public-1076756628210.asia-southeast2.run.app/ptn_sn.php?ptn=631</x:v>
      </x:c>
    </x:row>
    <x:row r="4118">
      <x:c r="A4118" s="87" t="n">
        <x:v>881</x:v>
      </x:c>
      <x:c r="B4118" s="66" t="n">
        <x:v>631</x:v>
      </x:c>
      <x:c r="C4118" s="66" t="str">
        <x:v>UNIVERSITAS NUSA CENDANA</x:v>
      </x:c>
      <x:c r="D4118" s="66" t="str">
        <x:v>PTN Akademik</x:v>
      </x:c>
      <x:c r="E4118" s="66" t="str">
        <x:v>16311045</x:v>
      </x:c>
      <x:c r="F4118" s="66" t="str">
        <x:v>AKUNTANSI</x:v>
      </x:c>
      <x:c r="G4118" s="66" t="str">
        <x:v>Sarjana</x:v>
      </x:c>
      <x:c r="H4118" s="87" t="n">
        <x:v>59</x:v>
      </x:c>
      <x:c r="I4118" s="87" t="n">
        <x:v>832</x:v>
      </x:c>
      <x:c r="J4118" s="68" t="n">
        <x:f>IFERROR(H4118/I4118,"")</x:f>
        <x:v>0.07091346153846154</x:v>
      </x:c>
      <x:c r="K4118" s="69" t="n">
        <x:f>IFERROR(I4118/H4118,"")</x:f>
        <x:v>14.101694915254237</x:v>
      </x:c>
      <x:c r="L4118" s="66" t="str">
        <x:f>IF(K4118="","","1 : "&amp;TEXT(K4118,"0.0"))</x:f>
        <x:v>1 : 14.1</x:v>
      </x:c>
      <x:c r="M4118" s="66" t="str">
        <x:f>IF(J4118="","Baru/Tanpa Data",IF(J4118&lt;='Catatan &amp; Sumber'!$B$14,"Sangat Ketat",IF(J4118&lt;='Catatan &amp; Sumber'!$B$15,"Ketat",IF(J4118&lt;='Catatan &amp; Sumber'!$B$16,"Sedang","Relatif Longgar"))))</x:f>
        <x:v>Sedang</x:v>
      </x:c>
      <x:c r="N4118" s="66" t="str">
        <x:v>Tidak Ada</x:v>
      </x:c>
      <x:c r="O4118" s="66" t="str">
        <x:v>Nusa Tenggara Timur</x:v>
      </x:c>
      <x:c r="P4118" s="66" t="str">
        <x:v>Kota Kupang</x:v>
      </x:c>
      <x:c r="Q4118" s="66" t="str">
        <x:v>https://snpmb.id/snbp/daya-tampung-snbp</x:v>
      </x:c>
      <x:c r="R4118" s="66" t="str">
        <x:v>https://sidatagrun-public-1076756628210.asia-southeast2.run.app/ptn_sn.php?ptn=631</x:v>
      </x:c>
    </x:row>
    <x:row r="4119">
      <x:c r="A4119" s="87" t="n">
        <x:v>1443</x:v>
      </x:c>
      <x:c r="B4119" s="66" t="n">
        <x:v>631</x:v>
      </x:c>
      <x:c r="C4119" s="66" t="str">
        <x:v>UNIVERSITAS NUSA CENDANA</x:v>
      </x:c>
      <x:c r="D4119" s="66" t="str">
        <x:v>PTN Akademik</x:v>
      </x:c>
      <x:c r="E4119" s="66" t="str">
        <x:v>16311046</x:v>
      </x:c>
      <x:c r="F4119" s="66" t="str">
        <x:v>MANAJEMEN</x:v>
      </x:c>
      <x:c r="G4119" s="66" t="str">
        <x:v>Sarjana</x:v>
      </x:c>
      <x:c r="H4119" s="87" t="n">
        <x:v>86</x:v>
      </x:c>
      <x:c r="I4119" s="87" t="n">
        <x:v>815</x:v>
      </x:c>
      <x:c r="J4119" s="68" t="n">
        <x:f>IFERROR(H4119/I4119,"")</x:f>
        <x:v>0.10552147239263804</x:v>
      </x:c>
      <x:c r="K4119" s="69" t="n">
        <x:f>IFERROR(I4119/H4119,"")</x:f>
        <x:v>9.476744186046512</x:v>
      </x:c>
      <x:c r="L4119" s="66" t="str">
        <x:f>IF(K4119="","","1 : "&amp;TEXT(K4119,"0.0"))</x:f>
        <x:v>1 : 9.5</x:v>
      </x:c>
      <x:c r="M4119" s="66" t="str">
        <x:f>IF(J4119="","Baru/Tanpa Data",IF(J4119&lt;='Catatan &amp; Sumber'!$B$14,"Sangat Ketat",IF(J4119&lt;='Catatan &amp; Sumber'!$B$15,"Ketat",IF(J4119&lt;='Catatan &amp; Sumber'!$B$16,"Sedang","Relatif Longgar"))))</x:f>
        <x:v>Relatif Longgar</x:v>
      </x:c>
      <x:c r="N4119" s="66" t="str">
        <x:v>Tidak Ada</x:v>
      </x:c>
      <x:c r="O4119" s="66" t="str">
        <x:v>Nusa Tenggara Timur</x:v>
      </x:c>
      <x:c r="P4119" s="66" t="str">
        <x:v>Kota Kupang</x:v>
      </x:c>
      <x:c r="Q4119" s="66" t="str">
        <x:v>https://snpmb.id/snbp/daya-tampung-snbp</x:v>
      </x:c>
      <x:c r="R4119" s="66" t="str">
        <x:v>https://sidatagrun-public-1076756628210.asia-southeast2.run.app/ptn_sn.php?ptn=631</x:v>
      </x:c>
    </x:row>
    <x:row r="4120">
      <x:c r="A4120" s="87" t="n">
        <x:v>1434</x:v>
      </x:c>
      <x:c r="B4120" s="66" t="n">
        <x:v>631</x:v>
      </x:c>
      <x:c r="C4120" s="66" t="str">
        <x:v>UNIVERSITAS NUSA CENDANA</x:v>
      </x:c>
      <x:c r="D4120" s="66" t="str">
        <x:v>PTN Akademik</x:v>
      </x:c>
      <x:c r="E4120" s="66" t="str">
        <x:v>16311047</x:v>
      </x:c>
      <x:c r="F4120" s="66" t="str">
        <x:v>PSIKOLOGI</x:v>
      </x:c>
      <x:c r="G4120" s="66" t="str">
        <x:v>Sarjana</x:v>
      </x:c>
      <x:c r="H4120" s="87" t="n">
        <x:v>38</x:v>
      </x:c>
      <x:c r="I4120" s="87" t="n">
        <x:v>361</x:v>
      </x:c>
      <x:c r="J4120" s="68" t="n">
        <x:f>IFERROR(H4120/I4120,"")</x:f>
        <x:v>0.10526315789473684</x:v>
      </x:c>
      <x:c r="K4120" s="69" t="n">
        <x:f>IFERROR(I4120/H4120,"")</x:f>
        <x:v>9.5</x:v>
      </x:c>
      <x:c r="L4120" s="66" t="str">
        <x:f>IF(K4120="","","1 : "&amp;TEXT(K4120,"0.0"))</x:f>
        <x:v>1 : 9.5</x:v>
      </x:c>
      <x:c r="M4120" s="66" t="str">
        <x:f>IF(J4120="","Baru/Tanpa Data",IF(J4120&lt;='Catatan &amp; Sumber'!$B$14,"Sangat Ketat",IF(J4120&lt;='Catatan &amp; Sumber'!$B$15,"Ketat",IF(J4120&lt;='Catatan &amp; Sumber'!$B$16,"Sedang","Relatif Longgar"))))</x:f>
        <x:v>Relatif Longgar</x:v>
      </x:c>
      <x:c r="N4120" s="66" t="str">
        <x:v>Tidak Ada</x:v>
      </x:c>
      <x:c r="O4120" s="66" t="str">
        <x:v>Nusa Tenggara Timur</x:v>
      </x:c>
      <x:c r="P4120" s="66" t="str">
        <x:v>Kota Kupang</x:v>
      </x:c>
      <x:c r="Q4120" s="66" t="str">
        <x:v>https://snpmb.id/snbp/daya-tampung-snbp</x:v>
      </x:c>
      <x:c r="R4120" s="66" t="str">
        <x:v>https://sidatagrun-public-1076756628210.asia-southeast2.run.app/ptn_sn.php?ptn=631</x:v>
      </x:c>
    </x:row>
    <x:row r="4121">
      <x:c r="A4121" s="87" t="n">
        <x:v>30</x:v>
      </x:c>
      <x:c r="B4121" s="66" t="n">
        <x:v>631</x:v>
      </x:c>
      <x:c r="C4121" s="66" t="str">
        <x:v>UNIVERSITAS NUSA CENDANA</x:v>
      </x:c>
      <x:c r="D4121" s="66" t="str">
        <x:v>PTN Akademik</x:v>
      </x:c>
      <x:c r="E4121" s="66" t="str">
        <x:v>16311049</x:v>
      </x:c>
      <x:c r="F4121" s="66" t="str">
        <x:v>FARMASI</x:v>
      </x:c>
      <x:c r="G4121" s="66" t="str">
        <x:v>Sarjana</x:v>
      </x:c>
      <x:c r="H4121" s="87" t="n">
        <x:v>20</x:v>
      </x:c>
      <x:c r="I4121" s="87" t="n">
        <x:v>1051</x:v>
      </x:c>
      <x:c r="J4121" s="68" t="n">
        <x:f>IFERROR(H4121/I4121,"")</x:f>
        <x:v>0.019029495718363463</x:v>
      </x:c>
      <x:c r="K4121" s="69" t="n">
        <x:f>IFERROR(I4121/H4121,"")</x:f>
        <x:v>52.55</x:v>
      </x:c>
      <x:c r="L4121" s="66" t="str">
        <x:f>IF(K4121="","","1 : "&amp;TEXT(K4121,"0.0"))</x:f>
        <x:v>1 : 52.6</x:v>
      </x:c>
      <x:c r="M4121" s="66" t="str">
        <x:f>IF(J4121="","Baru/Tanpa Data",IF(J4121&lt;='Catatan &amp; Sumber'!$B$14,"Sangat Ketat",IF(J4121&lt;='Catatan &amp; Sumber'!$B$15,"Ketat",IF(J4121&lt;='Catatan &amp; Sumber'!$B$16,"Sedang","Relatif Longgar"))))</x:f>
        <x:v>Sangat Ketat</x:v>
      </x:c>
      <x:c r="N4121" s="66" t="str">
        <x:v>Tidak Ada</x:v>
      </x:c>
      <x:c r="O4121" s="66" t="str">
        <x:v>Nusa Tenggara Timur</x:v>
      </x:c>
      <x:c r="P4121" s="66" t="str">
        <x:v>Kota Kupang</x:v>
      </x:c>
      <x:c r="Q4121" s="66" t="str">
        <x:v>https://snpmb.id/snbp/daya-tampung-snbp</x:v>
      </x:c>
      <x:c r="R4121" s="66" t="str">
        <x:v>https://sidatagrun-public-1076756628210.asia-southeast2.run.app/ptn_sn.php?ptn=631</x:v>
      </x:c>
    </x:row>
    <x:row r="4122">
      <x:c r="A4122" s="87" t="n">
        <x:v>3909</x:v>
      </x:c>
      <x:c r="B4122" s="66" t="n">
        <x:v>631</x:v>
      </x:c>
      <x:c r="C4122" s="66" t="str">
        <x:v>UNIVERSITAS NUSA CENDANA</x:v>
      </x:c>
      <x:c r="D4122" s="66" t="str">
        <x:v>PTN Akademik</x:v>
      </x:c>
      <x:c r="E4122" s="66" t="str">
        <x:v>16313048</x:v>
      </x:c>
      <x:c r="F4122" s="66" t="str">
        <x:v>TEKNIK PEMBUATAN TENUN IKAT</x:v>
      </x:c>
      <x:c r="G4122" s="66" t="str">
        <x:v>Diploma Tiga</x:v>
      </x:c>
      <x:c r="H4122" s="87" t="n">
        <x:v>12</x:v>
      </x:c>
      <x:c r="I4122" s="87" t="n">
        <x:v>19</x:v>
      </x:c>
      <x:c r="J4122" s="68" t="n">
        <x:f>IFERROR(H4122/I4122,"")</x:f>
        <x:v>0.631578947368421</x:v>
      </x:c>
      <x:c r="K4122" s="69" t="n">
        <x:f>IFERROR(I4122/H4122,"")</x:f>
        <x:v>1.5833333333333333</x:v>
      </x:c>
      <x:c r="L4122" s="66" t="str">
        <x:f>IF(K4122="","","1 : "&amp;TEXT(K4122,"0.0"))</x:f>
        <x:v>1 : 1.6</x:v>
      </x:c>
      <x:c r="M4122" s="66" t="str">
        <x:f>IF(J4122="","Baru/Tanpa Data",IF(J4122&lt;='Catatan &amp; Sumber'!$B$14,"Sangat Ketat",IF(J4122&lt;='Catatan &amp; Sumber'!$B$15,"Ketat",IF(J4122&lt;='Catatan &amp; Sumber'!$B$16,"Sedang","Relatif Longgar"))))</x:f>
        <x:v>Relatif Longgar</x:v>
      </x:c>
      <x:c r="N4122" s="66" t="str">
        <x:v>Tidak Ada</x:v>
      </x:c>
      <x:c r="O4122" s="66" t="str">
        <x:v>Nusa Tenggara Timur</x:v>
      </x:c>
      <x:c r="P4122" s="66" t="str">
        <x:v>Kota Kupang</x:v>
      </x:c>
      <x:c r="Q4122" s="66" t="str">
        <x:v>https://snpmb.id/snbp/daya-tampung-snbp</x:v>
      </x:c>
      <x:c r="R4122" s="66" t="str">
        <x:v>https://sidatagrun-public-1076756628210.asia-southeast2.run.app/ptn_sn.php?ptn=631</x:v>
      </x:c>
    </x:row>
    <x:row r="4123">
      <x:c r="A4123" s="87" t="n">
        <x:v>4508</x:v>
      </x:c>
      <x:c r="B4123" s="66" t="n">
        <x:v>632</x:v>
      </x:c>
      <x:c r="C4123" s="66" t="str">
        <x:v>UNIVERSITAS TIMOR</x:v>
      </x:c>
      <x:c r="D4123" s="66" t="str">
        <x:v>PTN Akademik</x:v>
      </x:c>
      <x:c r="E4123" s="66" t="str">
        <x:v>16321001</x:v>
      </x:c>
      <x:c r="F4123" s="66" t="str">
        <x:v>AGRIBISNIS</x:v>
      </x:c>
      <x:c r="G4123" s="66" t="str">
        <x:v>Sarjana</x:v>
      </x:c>
      <x:c r="H4123" s="87" t="n">
        <x:v>39</x:v>
      </x:c>
      <x:c r="I4123" s="87" t="n">
        <x:v>29</x:v>
      </x:c>
      <x:c r="J4123" s="68" t="n">
        <x:f>IFERROR(H4123/I4123,"")</x:f>
        <x:v>1.3448275862068966</x:v>
      </x:c>
      <x:c r="K4123" s="69" t="n">
        <x:f>IFERROR(I4123/H4123,"")</x:f>
        <x:v>0.7435897435897436</x:v>
      </x:c>
      <x:c r="L4123" s="66" t="str">
        <x:f>IF(K4123="","","1 : "&amp;TEXT(K4123,"0.0"))</x:f>
        <x:v>1 : 0.7</x:v>
      </x:c>
      <x:c r="M4123" s="66" t="str">
        <x:f>IF(J4123="","Baru/Tanpa Data",IF(J4123&lt;='Catatan &amp; Sumber'!$B$14,"Sangat Ketat",IF(J4123&lt;='Catatan &amp; Sumber'!$B$15,"Ketat",IF(J4123&lt;='Catatan &amp; Sumber'!$B$16,"Sedang","Relatif Longgar"))))</x:f>
        <x:v>Relatif Longgar</x:v>
      </x:c>
      <x:c r="N4123" s="66" t="str">
        <x:v>Tidak Ada</x:v>
      </x:c>
      <x:c r="O4123" s="66" t="str">
        <x:v>Nusa Tenggara Timur</x:v>
      </x:c>
      <x:c r="P4123" s="66" t="str">
        <x:v>Kabupaten Timor Tengah Utara</x:v>
      </x:c>
      <x:c r="Q4123" s="66" t="str">
        <x:v>https://snpmb.id/snbp/daya-tampung-snbp</x:v>
      </x:c>
      <x:c r="R4123" s="66" t="str">
        <x:v>https://sidatagrun-public-1076756628210.asia-southeast2.run.app/ptn_sn.php?ptn=632</x:v>
      </x:c>
    </x:row>
    <x:row r="4124">
      <x:c r="A4124" s="87" t="n">
        <x:v>4625</x:v>
      </x:c>
      <x:c r="B4124" s="66" t="n">
        <x:v>632</x:v>
      </x:c>
      <x:c r="C4124" s="66" t="str">
        <x:v>UNIVERSITAS TIMOR</x:v>
      </x:c>
      <x:c r="D4124" s="66" t="str">
        <x:v>PTN Akademik</x:v>
      </x:c>
      <x:c r="E4124" s="66" t="str">
        <x:v>16321002</x:v>
      </x:c>
      <x:c r="F4124" s="66" t="str">
        <x:v>AGROTEKNOLOGI</x:v>
      </x:c>
      <x:c r="G4124" s="66" t="str">
        <x:v>Sarjana</x:v>
      </x:c>
      <x:c r="H4124" s="87" t="n">
        <x:v>33</x:v>
      </x:c>
      <x:c r="I4124" s="87" t="n">
        <x:v>19</x:v>
      </x:c>
      <x:c r="J4124" s="68" t="n">
        <x:f>IFERROR(H4124/I4124,"")</x:f>
        <x:v>1.736842105263158</x:v>
      </x:c>
      <x:c r="K4124" s="69" t="n">
        <x:f>IFERROR(I4124/H4124,"")</x:f>
        <x:v>0.5757575757575758</x:v>
      </x:c>
      <x:c r="L4124" s="66" t="str">
        <x:f>IF(K4124="","","1 : "&amp;TEXT(K4124,"0.0"))</x:f>
        <x:v>1 : 0.6</x:v>
      </x:c>
      <x:c r="M4124" s="66" t="str">
        <x:f>IF(J4124="","Baru/Tanpa Data",IF(J4124&lt;='Catatan &amp; Sumber'!$B$14,"Sangat Ketat",IF(J4124&lt;='Catatan &amp; Sumber'!$B$15,"Ketat",IF(J4124&lt;='Catatan &amp; Sumber'!$B$16,"Sedang","Relatif Longgar"))))</x:f>
        <x:v>Relatif Longgar</x:v>
      </x:c>
      <x:c r="N4124" s="66" t="str">
        <x:v>Tidak Ada</x:v>
      </x:c>
      <x:c r="O4124" s="66" t="str">
        <x:v>Nusa Tenggara Timur</x:v>
      </x:c>
      <x:c r="P4124" s="66" t="str">
        <x:v>Kabupaten Timor Tengah Utara</x:v>
      </x:c>
      <x:c r="Q4124" s="66" t="str">
        <x:v>https://snpmb.id/snbp/daya-tampung-snbp</x:v>
      </x:c>
      <x:c r="R4124" s="66" t="str">
        <x:v>https://sidatagrun-public-1076756628210.asia-southeast2.run.app/ptn_sn.php?ptn=632</x:v>
      </x:c>
    </x:row>
    <x:row r="4125">
      <x:c r="A4125" s="87" t="n">
        <x:v>4595</x:v>
      </x:c>
      <x:c r="B4125" s="66" t="n">
        <x:v>632</x:v>
      </x:c>
      <x:c r="C4125" s="66" t="str">
        <x:v>UNIVERSITAS TIMOR</x:v>
      </x:c>
      <x:c r="D4125" s="66" t="str">
        <x:v>PTN Akademik</x:v>
      </x:c>
      <x:c r="E4125" s="66" t="str">
        <x:v>16321003</x:v>
      </x:c>
      <x:c r="F4125" s="66" t="str">
        <x:v>PETERNAKAN</x:v>
      </x:c>
      <x:c r="G4125" s="66" t="str">
        <x:v>Sarjana</x:v>
      </x:c>
      <x:c r="H4125" s="87" t="n">
        <x:v>39</x:v>
      </x:c>
      <x:c r="I4125" s="87" t="n">
        <x:v>24</x:v>
      </x:c>
      <x:c r="J4125" s="68" t="n">
        <x:f>IFERROR(H4125/I4125,"")</x:f>
        <x:v>1.625</x:v>
      </x:c>
      <x:c r="K4125" s="69" t="n">
        <x:f>IFERROR(I4125/H4125,"")</x:f>
        <x:v>0.6153846153846154</x:v>
      </x:c>
      <x:c r="L4125" s="66" t="str">
        <x:f>IF(K4125="","","1 : "&amp;TEXT(K4125,"0.0"))</x:f>
        <x:v>1 : 0.6</x:v>
      </x:c>
      <x:c r="M4125" s="66" t="str">
        <x:f>IF(J4125="","Baru/Tanpa Data",IF(J4125&lt;='Catatan &amp; Sumber'!$B$14,"Sangat Ketat",IF(J4125&lt;='Catatan &amp; Sumber'!$B$15,"Ketat",IF(J4125&lt;='Catatan &amp; Sumber'!$B$16,"Sedang","Relatif Longgar"))))</x:f>
        <x:v>Relatif Longgar</x:v>
      </x:c>
      <x:c r="N4125" s="66" t="str">
        <x:v>Tidak Ada</x:v>
      </x:c>
      <x:c r="O4125" s="66" t="str">
        <x:v>Nusa Tenggara Timur</x:v>
      </x:c>
      <x:c r="P4125" s="66" t="str">
        <x:v>Kabupaten Timor Tengah Utara</x:v>
      </x:c>
      <x:c r="Q4125" s="66" t="str">
        <x:v>https://snpmb.id/snbp/daya-tampung-snbp</x:v>
      </x:c>
      <x:c r="R4125" s="66" t="str">
        <x:v>https://sidatagrun-public-1076756628210.asia-southeast2.run.app/ptn_sn.php?ptn=632</x:v>
      </x:c>
    </x:row>
    <x:row r="4126">
      <x:c r="A4126" s="87" t="n">
        <x:v>4297</x:v>
      </x:c>
      <x:c r="B4126" s="66" t="n">
        <x:v>632</x:v>
      </x:c>
      <x:c r="C4126" s="66" t="str">
        <x:v>UNIVERSITAS TIMOR</x:v>
      </x:c>
      <x:c r="D4126" s="66" t="str">
        <x:v>PTN Akademik</x:v>
      </x:c>
      <x:c r="E4126" s="66" t="str">
        <x:v>16321004</x:v>
      </x:c>
      <x:c r="F4126" s="66" t="str">
        <x:v>PEND. BIOLOGI</x:v>
      </x:c>
      <x:c r="G4126" s="66" t="str">
        <x:v>Sarjana</x:v>
      </x:c>
      <x:c r="H4126" s="87" t="n">
        <x:v>54</x:v>
      </x:c>
      <x:c r="I4126" s="87" t="n">
        <x:v>56</x:v>
      </x:c>
      <x:c r="J4126" s="68" t="n">
        <x:f>IFERROR(H4126/I4126,"")</x:f>
        <x:v>0.9642857142857143</x:v>
      </x:c>
      <x:c r="K4126" s="69" t="n">
        <x:f>IFERROR(I4126/H4126,"")</x:f>
        <x:v>1.037037037037037</x:v>
      </x:c>
      <x:c r="L4126" s="66" t="str">
        <x:f>IF(K4126="","","1 : "&amp;TEXT(K4126,"0.0"))</x:f>
        <x:v>1 : 1.0</x:v>
      </x:c>
      <x:c r="M4126" s="66" t="str">
        <x:f>IF(J4126="","Baru/Tanpa Data",IF(J4126&lt;='Catatan &amp; Sumber'!$B$14,"Sangat Ketat",IF(J4126&lt;='Catatan &amp; Sumber'!$B$15,"Ketat",IF(J4126&lt;='Catatan &amp; Sumber'!$B$16,"Sedang","Relatif Longgar"))))</x:f>
        <x:v>Relatif Longgar</x:v>
      </x:c>
      <x:c r="N4126" s="66" t="str">
        <x:v>Tidak Ada</x:v>
      </x:c>
      <x:c r="O4126" s="66" t="str">
        <x:v>Nusa Tenggara Timur</x:v>
      </x:c>
      <x:c r="P4126" s="66" t="str">
        <x:v>Kabupaten Timor Tengah Utara</x:v>
      </x:c>
      <x:c r="Q4126" s="66" t="str">
        <x:v>https://snpmb.id/snbp/daya-tampung-snbp</x:v>
      </x:c>
      <x:c r="R4126" s="66" t="str">
        <x:v>https://sidatagrun-public-1076756628210.asia-southeast2.run.app/ptn_sn.php?ptn=632</x:v>
      </x:c>
    </x:row>
    <x:row r="4127">
      <x:c r="A4127" s="87" t="n">
        <x:v>4545</x:v>
      </x:c>
      <x:c r="B4127" s="66" t="n">
        <x:v>632</x:v>
      </x:c>
      <x:c r="C4127" s="66" t="str">
        <x:v>UNIVERSITAS TIMOR</x:v>
      </x:c>
      <x:c r="D4127" s="66" t="str">
        <x:v>PTN Akademik</x:v>
      </x:c>
      <x:c r="E4127" s="66" t="str">
        <x:v>16321005</x:v>
      </x:c>
      <x:c r="F4127" s="66" t="str">
        <x:v>PEND. MATEMATIKA</x:v>
      </x:c>
      <x:c r="G4127" s="66" t="str">
        <x:v>Sarjana</x:v>
      </x:c>
      <x:c r="H4127" s="87" t="n">
        <x:v>54</x:v>
      </x:c>
      <x:c r="I4127" s="87" t="n">
        <x:v>36</x:v>
      </x:c>
      <x:c r="J4127" s="68" t="n">
        <x:f>IFERROR(H4127/I4127,"")</x:f>
        <x:v>1.5</x:v>
      </x:c>
      <x:c r="K4127" s="69" t="n">
        <x:f>IFERROR(I4127/H4127,"")</x:f>
        <x:v>0.6666666666666666</x:v>
      </x:c>
      <x:c r="L4127" s="66" t="str">
        <x:f>IF(K4127="","","1 : "&amp;TEXT(K4127,"0.0"))</x:f>
        <x:v>1 : 0.7</x:v>
      </x:c>
      <x:c r="M4127" s="66" t="str">
        <x:f>IF(J4127="","Baru/Tanpa Data",IF(J4127&lt;='Catatan &amp; Sumber'!$B$14,"Sangat Ketat",IF(J4127&lt;='Catatan &amp; Sumber'!$B$15,"Ketat",IF(J4127&lt;='Catatan &amp; Sumber'!$B$16,"Sedang","Relatif Longgar"))))</x:f>
        <x:v>Relatif Longgar</x:v>
      </x:c>
      <x:c r="N4127" s="66" t="str">
        <x:v>Tidak Ada</x:v>
      </x:c>
      <x:c r="O4127" s="66" t="str">
        <x:v>Nusa Tenggara Timur</x:v>
      </x:c>
      <x:c r="P4127" s="66" t="str">
        <x:v>Kabupaten Timor Tengah Utara</x:v>
      </x:c>
      <x:c r="Q4127" s="66" t="str">
        <x:v>https://snpmb.id/snbp/daya-tampung-snbp</x:v>
      </x:c>
      <x:c r="R4127" s="66" t="str">
        <x:v>https://sidatagrun-public-1076756628210.asia-southeast2.run.app/ptn_sn.php?ptn=632</x:v>
      </x:c>
    </x:row>
    <x:row r="4128">
      <x:c r="A4128" s="87" t="n">
        <x:v>4512</x:v>
      </x:c>
      <x:c r="B4128" s="66" t="n">
        <x:v>632</x:v>
      </x:c>
      <x:c r="C4128" s="66" t="str">
        <x:v>UNIVERSITAS TIMOR</x:v>
      </x:c>
      <x:c r="D4128" s="66" t="str">
        <x:v>PTN Akademik</x:v>
      </x:c>
      <x:c r="E4128" s="66" t="str">
        <x:v>16321006</x:v>
      </x:c>
      <x:c r="F4128" s="66" t="str">
        <x:v>BIOLOGI</x:v>
      </x:c>
      <x:c r="G4128" s="66" t="str">
        <x:v>Sarjana</x:v>
      </x:c>
      <x:c r="H4128" s="87" t="n">
        <x:v>30</x:v>
      </x:c>
      <x:c r="I4128" s="87" t="n">
        <x:v>22</x:v>
      </x:c>
      <x:c r="J4128" s="68" t="n">
        <x:f>IFERROR(H4128/I4128,"")</x:f>
        <x:v>1.3636363636363635</x:v>
      </x:c>
      <x:c r="K4128" s="69" t="n">
        <x:f>IFERROR(I4128/H4128,"")</x:f>
        <x:v>0.7333333333333333</x:v>
      </x:c>
      <x:c r="L4128" s="66" t="str">
        <x:f>IF(K4128="","","1 : "&amp;TEXT(K4128,"0.0"))</x:f>
        <x:v>1 : 0.7</x:v>
      </x:c>
      <x:c r="M4128" s="66" t="str">
        <x:f>IF(J4128="","Baru/Tanpa Data",IF(J4128&lt;='Catatan &amp; Sumber'!$B$14,"Sangat Ketat",IF(J4128&lt;='Catatan &amp; Sumber'!$B$15,"Ketat",IF(J4128&lt;='Catatan &amp; Sumber'!$B$16,"Sedang","Relatif Longgar"))))</x:f>
        <x:v>Relatif Longgar</x:v>
      </x:c>
      <x:c r="N4128" s="66" t="str">
        <x:v>Tidak Ada</x:v>
      </x:c>
      <x:c r="O4128" s="66" t="str">
        <x:v>Nusa Tenggara Timur</x:v>
      </x:c>
      <x:c r="P4128" s="66" t="str">
        <x:v>Kabupaten Timor Tengah Utara</x:v>
      </x:c>
      <x:c r="Q4128" s="66" t="str">
        <x:v>https://snpmb.id/snbp/daya-tampung-snbp</x:v>
      </x:c>
      <x:c r="R4128" s="66" t="str">
        <x:v>https://sidatagrun-public-1076756628210.asia-southeast2.run.app/ptn_sn.php?ptn=632</x:v>
      </x:c>
    </x:row>
    <x:row r="4129">
      <x:c r="A4129" s="87" t="n">
        <x:v>4399</x:v>
      </x:c>
      <x:c r="B4129" s="66" t="n">
        <x:v>632</x:v>
      </x:c>
      <x:c r="C4129" s="66" t="str">
        <x:v>UNIVERSITAS TIMOR</x:v>
      </x:c>
      <x:c r="D4129" s="66" t="str">
        <x:v>PTN Akademik</x:v>
      </x:c>
      <x:c r="E4129" s="66" t="str">
        <x:v>16321007</x:v>
      </x:c>
      <x:c r="F4129" s="66" t="str">
        <x:v>MATEMATIKA</x:v>
      </x:c>
      <x:c r="G4129" s="66" t="str">
        <x:v>Sarjana</x:v>
      </x:c>
      <x:c r="H4129" s="87" t="n">
        <x:v>18</x:v>
      </x:c>
      <x:c r="I4129" s="87" t="n">
        <x:v>16</x:v>
      </x:c>
      <x:c r="J4129" s="68" t="n">
        <x:f>IFERROR(H4129/I4129,"")</x:f>
        <x:v>1.125</x:v>
      </x:c>
      <x:c r="K4129" s="69" t="n">
        <x:f>IFERROR(I4129/H4129,"")</x:f>
        <x:v>0.8888888888888888</x:v>
      </x:c>
      <x:c r="L4129" s="66" t="str">
        <x:f>IF(K4129="","","1 : "&amp;TEXT(K4129,"0.0"))</x:f>
        <x:v>1 : 0.9</x:v>
      </x:c>
      <x:c r="M4129" s="66" t="str">
        <x:f>IF(J4129="","Baru/Tanpa Data",IF(J4129&lt;='Catatan &amp; Sumber'!$B$14,"Sangat Ketat",IF(J4129&lt;='Catatan &amp; Sumber'!$B$15,"Ketat",IF(J4129&lt;='Catatan &amp; Sumber'!$B$16,"Sedang","Relatif Longgar"))))</x:f>
        <x:v>Relatif Longgar</x:v>
      </x:c>
      <x:c r="N4129" s="66" t="str">
        <x:v>Tidak Ada</x:v>
      </x:c>
      <x:c r="O4129" s="66" t="str">
        <x:v>Nusa Tenggara Timur</x:v>
      </x:c>
      <x:c r="P4129" s="66" t="str">
        <x:v>Kabupaten Timor Tengah Utara</x:v>
      </x:c>
      <x:c r="Q4129" s="66" t="str">
        <x:v>https://snpmb.id/snbp/daya-tampung-snbp</x:v>
      </x:c>
      <x:c r="R4129" s="66" t="str">
        <x:v>https://sidatagrun-public-1076756628210.asia-southeast2.run.app/ptn_sn.php?ptn=632</x:v>
      </x:c>
    </x:row>
    <x:row r="4130">
      <x:c r="A4130" s="87" t="n">
        <x:v>4503</x:v>
      </x:c>
      <x:c r="B4130" s="66" t="n">
        <x:v>632</x:v>
      </x:c>
      <x:c r="C4130" s="66" t="str">
        <x:v>UNIVERSITAS TIMOR</x:v>
      </x:c>
      <x:c r="D4130" s="66" t="str">
        <x:v>PTN Akademik</x:v>
      </x:c>
      <x:c r="E4130" s="66" t="str">
        <x:v>16321008</x:v>
      </x:c>
      <x:c r="F4130" s="66" t="str">
        <x:v>KIMIA</x:v>
      </x:c>
      <x:c r="G4130" s="66" t="str">
        <x:v>Sarjana</x:v>
      </x:c>
      <x:c r="H4130" s="87" t="n">
        <x:v>24</x:v>
      </x:c>
      <x:c r="I4130" s="87" t="n">
        <x:v>18</x:v>
      </x:c>
      <x:c r="J4130" s="68" t="n">
        <x:f>IFERROR(H4130/I4130,"")</x:f>
        <x:v>1.3333333333333333</x:v>
      </x:c>
      <x:c r="K4130" s="69" t="n">
        <x:f>IFERROR(I4130/H4130,"")</x:f>
        <x:v>0.75</x:v>
      </x:c>
      <x:c r="L4130" s="66" t="str">
        <x:f>IF(K4130="","","1 : "&amp;TEXT(K4130,"0.0"))</x:f>
        <x:v>1 : 0.8</x:v>
      </x:c>
      <x:c r="M4130" s="66" t="str">
        <x:f>IF(J4130="","Baru/Tanpa Data",IF(J4130&lt;='Catatan &amp; Sumber'!$B$14,"Sangat Ketat",IF(J4130&lt;='Catatan &amp; Sumber'!$B$15,"Ketat",IF(J4130&lt;='Catatan &amp; Sumber'!$B$16,"Sedang","Relatif Longgar"))))</x:f>
        <x:v>Relatif Longgar</x:v>
      </x:c>
      <x:c r="N4130" s="66" t="str">
        <x:v>Tidak Ada</x:v>
      </x:c>
      <x:c r="O4130" s="66" t="str">
        <x:v>Nusa Tenggara Timur</x:v>
      </x:c>
      <x:c r="P4130" s="66" t="str">
        <x:v>Kabupaten Timor Tengah Utara</x:v>
      </x:c>
      <x:c r="Q4130" s="66" t="str">
        <x:v>https://snpmb.id/snbp/daya-tampung-snbp</x:v>
      </x:c>
      <x:c r="R4130" s="66" t="str">
        <x:v>https://sidatagrun-public-1076756628210.asia-southeast2.run.app/ptn_sn.php?ptn=632</x:v>
      </x:c>
    </x:row>
    <x:row r="4131">
      <x:c r="A4131" s="87" t="n">
        <x:v>3014</x:v>
      </x:c>
      <x:c r="B4131" s="66" t="n">
        <x:v>632</x:v>
      </x:c>
      <x:c r="C4131" s="66" t="str">
        <x:v>UNIVERSITAS TIMOR</x:v>
      </x:c>
      <x:c r="D4131" s="66" t="str">
        <x:v>PTN Akademik</x:v>
      </x:c>
      <x:c r="E4131" s="66" t="str">
        <x:v>16321009</x:v>
      </x:c>
      <x:c r="F4131" s="66" t="str">
        <x:v>TEKNOLOGI INFORMASI</x:v>
      </x:c>
      <x:c r="G4131" s="66" t="str">
        <x:v>Sarjana</x:v>
      </x:c>
      <x:c r="H4131" s="87" t="n">
        <x:v>53</x:v>
      </x:c>
      <x:c r="I4131" s="87" t="n">
        <x:v>178</x:v>
      </x:c>
      <x:c r="J4131" s="68" t="n">
        <x:f>IFERROR(H4131/I4131,"")</x:f>
        <x:v>0.29775280898876405</x:v>
      </x:c>
      <x:c r="K4131" s="69" t="n">
        <x:f>IFERROR(I4131/H4131,"")</x:f>
        <x:v>3.358490566037736</x:v>
      </x:c>
      <x:c r="L4131" s="66" t="str">
        <x:f>IF(K4131="","","1 : "&amp;TEXT(K4131,"0.0"))</x:f>
        <x:v>1 : 3.4</x:v>
      </x:c>
      <x:c r="M4131" s="66" t="str">
        <x:f>IF(J4131="","Baru/Tanpa Data",IF(J4131&lt;='Catatan &amp; Sumber'!$B$14,"Sangat Ketat",IF(J4131&lt;='Catatan &amp; Sumber'!$B$15,"Ketat",IF(J4131&lt;='Catatan &amp; Sumber'!$B$16,"Sedang","Relatif Longgar"))))</x:f>
        <x:v>Relatif Longgar</x:v>
      </x:c>
      <x:c r="N4131" s="66" t="str">
        <x:v>Tidak Ada</x:v>
      </x:c>
      <x:c r="O4131" s="66" t="str">
        <x:v>Nusa Tenggara Timur</x:v>
      </x:c>
      <x:c r="P4131" s="66" t="str">
        <x:v>Kabupaten Timor Tengah Utara</x:v>
      </x:c>
      <x:c r="Q4131" s="66" t="str">
        <x:v>https://snpmb.id/snbp/daya-tampung-snbp</x:v>
      </x:c>
      <x:c r="R4131" s="66" t="str">
        <x:v>https://sidatagrun-public-1076756628210.asia-southeast2.run.app/ptn_sn.php?ptn=632</x:v>
      </x:c>
    </x:row>
    <x:row r="4132">
      <x:c r="A4132" s="87" t="n">
        <x:v>4591</x:v>
      </x:c>
      <x:c r="B4132" s="66" t="n">
        <x:v>632</x:v>
      </x:c>
      <x:c r="C4132" s="66" t="str">
        <x:v>UNIVERSITAS TIMOR</x:v>
      </x:c>
      <x:c r="D4132" s="66" t="str">
        <x:v>PTN Akademik</x:v>
      </x:c>
      <x:c r="E4132" s="66" t="str">
        <x:v>16321010</x:v>
      </x:c>
      <x:c r="F4132" s="66" t="str">
        <x:v>ADM. NEGARA</x:v>
      </x:c>
      <x:c r="G4132" s="66" t="str">
        <x:v>Sarjana</x:v>
      </x:c>
      <x:c r="H4132" s="87" t="n">
        <x:v>87</x:v>
      </x:c>
      <x:c r="I4132" s="87" t="n">
        <x:v>54</x:v>
      </x:c>
      <x:c r="J4132" s="68" t="n">
        <x:f>IFERROR(H4132/I4132,"")</x:f>
        <x:v>1.6111111111111112</x:v>
      </x:c>
      <x:c r="K4132" s="69" t="n">
        <x:f>IFERROR(I4132/H4132,"")</x:f>
        <x:v>0.6206896551724138</x:v>
      </x:c>
      <x:c r="L4132" s="66" t="str">
        <x:f>IF(K4132="","","1 : "&amp;TEXT(K4132,"0.0"))</x:f>
        <x:v>1 : 0.6</x:v>
      </x:c>
      <x:c r="M4132" s="66" t="str">
        <x:f>IF(J4132="","Baru/Tanpa Data",IF(J4132&lt;='Catatan &amp; Sumber'!$B$14,"Sangat Ketat",IF(J4132&lt;='Catatan &amp; Sumber'!$B$15,"Ketat",IF(J4132&lt;='Catatan &amp; Sumber'!$B$16,"Sedang","Relatif Longgar"))))</x:f>
        <x:v>Relatif Longgar</x:v>
      </x:c>
      <x:c r="N4132" s="66" t="str">
        <x:v>Tidak Ada</x:v>
      </x:c>
      <x:c r="O4132" s="66" t="str">
        <x:v>Nusa Tenggara Timur</x:v>
      </x:c>
      <x:c r="P4132" s="66" t="str">
        <x:v>Kabupaten Timor Tengah Utara</x:v>
      </x:c>
      <x:c r="Q4132" s="66" t="str">
        <x:v>https://snpmb.id/snbp/daya-tampung-snbp</x:v>
      </x:c>
      <x:c r="R4132" s="66" t="str">
        <x:v>https://sidatagrun-public-1076756628210.asia-southeast2.run.app/ptn_sn.php?ptn=632</x:v>
      </x:c>
    </x:row>
    <x:row r="4133">
      <x:c r="A4133" s="87" t="n">
        <x:v>4648</x:v>
      </x:c>
      <x:c r="B4133" s="66" t="n">
        <x:v>632</x:v>
      </x:c>
      <x:c r="C4133" s="66" t="str">
        <x:v>UNIVERSITAS TIMOR</x:v>
      </x:c>
      <x:c r="D4133" s="66" t="str">
        <x:v>PTN Akademik</x:v>
      </x:c>
      <x:c r="E4133" s="66" t="str">
        <x:v>16321011</x:v>
      </x:c>
      <x:c r="F4133" s="66" t="str">
        <x:v>ILMU PEMERINTAHAN</x:v>
      </x:c>
      <x:c r="G4133" s="66" t="str">
        <x:v>Sarjana</x:v>
      </x:c>
      <x:c r="H4133" s="87" t="n">
        <x:v>75</x:v>
      </x:c>
      <x:c r="I4133" s="87" t="n">
        <x:v>40</x:v>
      </x:c>
      <x:c r="J4133" s="68" t="n">
        <x:f>IFERROR(H4133/I4133,"")</x:f>
        <x:v>1.875</x:v>
      </x:c>
      <x:c r="K4133" s="69" t="n">
        <x:f>IFERROR(I4133/H4133,"")</x:f>
        <x:v>0.5333333333333333</x:v>
      </x:c>
      <x:c r="L4133" s="66" t="str">
        <x:f>IF(K4133="","","1 : "&amp;TEXT(K4133,"0.0"))</x:f>
        <x:v>1 : 0.5</x:v>
      </x:c>
      <x:c r="M4133" s="66" t="str">
        <x:f>IF(J4133="","Baru/Tanpa Data",IF(J4133&lt;='Catatan &amp; Sumber'!$B$14,"Sangat Ketat",IF(J4133&lt;='Catatan &amp; Sumber'!$B$15,"Ketat",IF(J4133&lt;='Catatan &amp; Sumber'!$B$16,"Sedang","Relatif Longgar"))))</x:f>
        <x:v>Relatif Longgar</x:v>
      </x:c>
      <x:c r="N4133" s="66" t="str">
        <x:v>Tidak Ada</x:v>
      </x:c>
      <x:c r="O4133" s="66" t="str">
        <x:v>Nusa Tenggara Timur</x:v>
      </x:c>
      <x:c r="P4133" s="66" t="str">
        <x:v>Kabupaten Timor Tengah Utara</x:v>
      </x:c>
      <x:c r="Q4133" s="66" t="str">
        <x:v>https://snpmb.id/snbp/daya-tampung-snbp</x:v>
      </x:c>
      <x:c r="R4133" s="66" t="str">
        <x:v>https://sidatagrun-public-1076756628210.asia-southeast2.run.app/ptn_sn.php?ptn=632</x:v>
      </x:c>
    </x:row>
    <x:row r="4134">
      <x:c r="A4134" s="87" t="n">
        <x:v>3780</x:v>
      </x:c>
      <x:c r="B4134" s="66" t="n">
        <x:v>632</x:v>
      </x:c>
      <x:c r="C4134" s="66" t="str">
        <x:v>UNIVERSITAS TIMOR</x:v>
      </x:c>
      <x:c r="D4134" s="66" t="str">
        <x:v>PTN Akademik</x:v>
      </x:c>
      <x:c r="E4134" s="66" t="str">
        <x:v>16321012</x:v>
      </x:c>
      <x:c r="F4134" s="66" t="str">
        <x:v>PEND. BAHASA INDONESIA</x:v>
      </x:c>
      <x:c r="G4134" s="66" t="str">
        <x:v>Sarjana</x:v>
      </x:c>
      <x:c r="H4134" s="87" t="n">
        <x:v>54</x:v>
      </x:c>
      <x:c r="I4134" s="87" t="n">
        <x:v>96</x:v>
      </x:c>
      <x:c r="J4134" s="68" t="n">
        <x:f>IFERROR(H4134/I4134,"")</x:f>
        <x:v>0.5625</x:v>
      </x:c>
      <x:c r="K4134" s="69" t="n">
        <x:f>IFERROR(I4134/H4134,"")</x:f>
        <x:v>1.7777777777777777</x:v>
      </x:c>
      <x:c r="L4134" s="66" t="str">
        <x:f>IF(K4134="","","1 : "&amp;TEXT(K4134,"0.0"))</x:f>
        <x:v>1 : 1.8</x:v>
      </x:c>
      <x:c r="M4134" s="66" t="str">
        <x:f>IF(J4134="","Baru/Tanpa Data",IF(J4134&lt;='Catatan &amp; Sumber'!$B$14,"Sangat Ketat",IF(J4134&lt;='Catatan &amp; Sumber'!$B$15,"Ketat",IF(J4134&lt;='Catatan &amp; Sumber'!$B$16,"Sedang","Relatif Longgar"))))</x:f>
        <x:v>Relatif Longgar</x:v>
      </x:c>
      <x:c r="N4134" s="66" t="str">
        <x:v>Tidak Ada</x:v>
      </x:c>
      <x:c r="O4134" s="66" t="str">
        <x:v>Nusa Tenggara Timur</x:v>
      </x:c>
      <x:c r="P4134" s="66" t="str">
        <x:v>Kabupaten Timor Tengah Utara</x:v>
      </x:c>
      <x:c r="Q4134" s="66" t="str">
        <x:v>https://snpmb.id/snbp/daya-tampung-snbp</x:v>
      </x:c>
      <x:c r="R4134" s="66" t="str">
        <x:v>https://sidatagrun-public-1076756628210.asia-southeast2.run.app/ptn_sn.php?ptn=632</x:v>
      </x:c>
    </x:row>
    <x:row r="4135">
      <x:c r="A4135" s="87" t="n">
        <x:v>4516</x:v>
      </x:c>
      <x:c r="B4135" s="66" t="n">
        <x:v>632</x:v>
      </x:c>
      <x:c r="C4135" s="66" t="str">
        <x:v>UNIVERSITAS TIMOR</x:v>
      </x:c>
      <x:c r="D4135" s="66" t="str">
        <x:v>PTN Akademik</x:v>
      </x:c>
      <x:c r="E4135" s="66" t="str">
        <x:v>16321013</x:v>
      </x:c>
      <x:c r="F4135" s="66" t="str">
        <x:v>PEND. BAHASA INGGRIS</x:v>
      </x:c>
      <x:c r="G4135" s="66" t="str">
        <x:v>Sarjana</x:v>
      </x:c>
      <x:c r="H4135" s="87" t="n">
        <x:v>51</x:v>
      </x:c>
      <x:c r="I4135" s="87" t="n">
        <x:v>37</x:v>
      </x:c>
      <x:c r="J4135" s="68" t="n">
        <x:f>IFERROR(H4135/I4135,"")</x:f>
        <x:v>1.3783783783783783</x:v>
      </x:c>
      <x:c r="K4135" s="69" t="n">
        <x:f>IFERROR(I4135/H4135,"")</x:f>
        <x:v>0.7254901960784313</x:v>
      </x:c>
      <x:c r="L4135" s="66" t="str">
        <x:f>IF(K4135="","","1 : "&amp;TEXT(K4135,"0.0"))</x:f>
        <x:v>1 : 0.7</x:v>
      </x:c>
      <x:c r="M4135" s="66" t="str">
        <x:f>IF(J4135="","Baru/Tanpa Data",IF(J4135&lt;='Catatan &amp; Sumber'!$B$14,"Sangat Ketat",IF(J4135&lt;='Catatan &amp; Sumber'!$B$15,"Ketat",IF(J4135&lt;='Catatan &amp; Sumber'!$B$16,"Sedang","Relatif Longgar"))))</x:f>
        <x:v>Relatif Longgar</x:v>
      </x:c>
      <x:c r="N4135" s="66" t="str">
        <x:v>Tidak Ada</x:v>
      </x:c>
      <x:c r="O4135" s="66" t="str">
        <x:v>Nusa Tenggara Timur</x:v>
      </x:c>
      <x:c r="P4135" s="66" t="str">
        <x:v>Kabupaten Timor Tengah Utara</x:v>
      </x:c>
      <x:c r="Q4135" s="66" t="str">
        <x:v>https://snpmb.id/snbp/daya-tampung-snbp</x:v>
      </x:c>
      <x:c r="R4135" s="66" t="str">
        <x:v>https://sidatagrun-public-1076756628210.asia-southeast2.run.app/ptn_sn.php?ptn=632</x:v>
      </x:c>
    </x:row>
    <x:row r="4136">
      <x:c r="A4136" s="87" t="n">
        <x:v>4170</x:v>
      </x:c>
      <x:c r="B4136" s="66" t="n">
        <x:v>632</x:v>
      </x:c>
      <x:c r="C4136" s="66" t="str">
        <x:v>UNIVERSITAS TIMOR</x:v>
      </x:c>
      <x:c r="D4136" s="66" t="str">
        <x:v>PTN Akademik</x:v>
      </x:c>
      <x:c r="E4136" s="66" t="str">
        <x:v>16321014</x:v>
      </x:c>
      <x:c r="F4136" s="66" t="str">
        <x:v>MANAJEMEN</x:v>
      </x:c>
      <x:c r="G4136" s="66" t="str">
        <x:v>Sarjana</x:v>
      </x:c>
      <x:c r="H4136" s="87" t="n">
        <x:v>90</x:v>
      </x:c>
      <x:c r="I4136" s="87" t="n">
        <x:v>108</x:v>
      </x:c>
      <x:c r="J4136" s="68" t="n">
        <x:f>IFERROR(H4136/I4136,"")</x:f>
        <x:v>0.8333333333333334</x:v>
      </x:c>
      <x:c r="K4136" s="69" t="n">
        <x:f>IFERROR(I4136/H4136,"")</x:f>
        <x:v>1.2</x:v>
      </x:c>
      <x:c r="L4136" s="66" t="str">
        <x:f>IF(K4136="","","1 : "&amp;TEXT(K4136,"0.0"))</x:f>
        <x:v>1 : 1.2</x:v>
      </x:c>
      <x:c r="M4136" s="66" t="str">
        <x:f>IF(J4136="","Baru/Tanpa Data",IF(J4136&lt;='Catatan &amp; Sumber'!$B$14,"Sangat Ketat",IF(J4136&lt;='Catatan &amp; Sumber'!$B$15,"Ketat",IF(J4136&lt;='Catatan &amp; Sumber'!$B$16,"Sedang","Relatif Longgar"))))</x:f>
        <x:v>Relatif Longgar</x:v>
      </x:c>
      <x:c r="N4136" s="66" t="str">
        <x:v>Tidak Ada</x:v>
      </x:c>
      <x:c r="O4136" s="66" t="str">
        <x:v>Nusa Tenggara Timur</x:v>
      </x:c>
      <x:c r="P4136" s="66" t="str">
        <x:v>Kabupaten Timor Tengah Utara</x:v>
      </x:c>
      <x:c r="Q4136" s="66" t="str">
        <x:v>https://snpmb.id/snbp/daya-tampung-snbp</x:v>
      </x:c>
      <x:c r="R4136" s="66" t="str">
        <x:v>https://sidatagrun-public-1076756628210.asia-southeast2.run.app/ptn_sn.php?ptn=632</x:v>
      </x:c>
    </x:row>
    <x:row r="4137">
      <x:c r="A4137" s="87" t="n">
        <x:v>4737</x:v>
      </x:c>
      <x:c r="B4137" s="66" t="n">
        <x:v>632</x:v>
      </x:c>
      <x:c r="C4137" s="66" t="str">
        <x:v>UNIVERSITAS TIMOR</x:v>
      </x:c>
      <x:c r="D4137" s="66" t="str">
        <x:v>PTN Akademik</x:v>
      </x:c>
      <x:c r="E4137" s="66" t="str">
        <x:v>16321015</x:v>
      </x:c>
      <x:c r="F4137" s="66" t="str">
        <x:v>EKO. PEMBANGUNAN</x:v>
      </x:c>
      <x:c r="G4137" s="66" t="str">
        <x:v>Sarjana</x:v>
      </x:c>
      <x:c r="H4137" s="87" t="n">
        <x:v>68</x:v>
      </x:c>
      <x:c r="I4137" s="87" t="n">
        <x:v>26</x:v>
      </x:c>
      <x:c r="J4137" s="68" t="n">
        <x:f>IFERROR(H4137/I4137,"")</x:f>
        <x:v>2.6153846153846154</x:v>
      </x:c>
      <x:c r="K4137" s="69" t="n">
        <x:f>IFERROR(I4137/H4137,"")</x:f>
        <x:v>0.38235294117647056</x:v>
      </x:c>
      <x:c r="L4137" s="66" t="str">
        <x:f>IF(K4137="","","1 : "&amp;TEXT(K4137,"0.0"))</x:f>
        <x:v>1 : 0.4</x:v>
      </x:c>
      <x:c r="M4137" s="66" t="str">
        <x:f>IF(J4137="","Baru/Tanpa Data",IF(J4137&lt;='Catatan &amp; Sumber'!$B$14,"Sangat Ketat",IF(J4137&lt;='Catatan &amp; Sumber'!$B$15,"Ketat",IF(J4137&lt;='Catatan &amp; Sumber'!$B$16,"Sedang","Relatif Longgar"))))</x:f>
        <x:v>Relatif Longgar</x:v>
      </x:c>
      <x:c r="N4137" s="66" t="str">
        <x:v>Tidak Ada</x:v>
      </x:c>
      <x:c r="O4137" s="66" t="str">
        <x:v>Nusa Tenggara Timur</x:v>
      </x:c>
      <x:c r="P4137" s="66" t="str">
        <x:v>Kabupaten Timor Tengah Utara</x:v>
      </x:c>
      <x:c r="Q4137" s="66" t="str">
        <x:v>https://snpmb.id/snbp/daya-tampung-snbp</x:v>
      </x:c>
      <x:c r="R4137" s="66" t="str">
        <x:v>https://sidatagrun-public-1076756628210.asia-southeast2.run.app/ptn_sn.php?ptn=632</x:v>
      </x:c>
    </x:row>
    <x:row r="4138">
      <x:c r="A4138" s="87"/>
      <x:c r="B4138" s="66" t="n">
        <x:v>632</x:v>
      </x:c>
      <x:c r="C4138" s="66" t="str">
        <x:v>UNIVERSITAS TIMOR</x:v>
      </x:c>
      <x:c r="D4138" s="66" t="str">
        <x:v>PTN Akademik</x:v>
      </x:c>
      <x:c r="E4138" s="66" t="str">
        <x:v>16321017</x:v>
      </x:c>
      <x:c r="F4138" s="66" t="str">
        <x:v>KEHUTANAN</x:v>
      </x:c>
      <x:c r="G4138" s="66" t="str">
        <x:v>Sarjana</x:v>
      </x:c>
      <x:c r="H4138" s="87" t="n">
        <x:v>18</x:v>
      </x:c>
      <x:c r="I4138" s="87"/>
      <x:c r="J4138" s="68" t="str">
        <x:f>IFERROR(H4138/I4138,"")</x:f>
      </x:c>
      <x:c r="K4138" s="69" t="n">
        <x:f>IFERROR(I4138/H4138,"")</x:f>
        <x:v>0</x:v>
      </x:c>
      <x:c r="L4138" s="66" t="str">
        <x:f>IF(K4138="","","1 : "&amp;TEXT(K4138,"0.0"))</x:f>
      </x:c>
      <x:c r="M4138" s="66" t="str">
        <x:f>IF(J4138="","Baru/Tanpa Data",IF(J4138&lt;='Catatan &amp; Sumber'!$B$14,"Sangat Ketat",IF(J4138&lt;='Catatan &amp; Sumber'!$B$15,"Ketat",IF(J4138&lt;='Catatan &amp; Sumber'!$B$16,"Sedang","Relatif Longgar"))))</x:f>
        <x:v>Baru/Tanpa Data</x:v>
      </x:c>
      <x:c r="N4138" s="66" t="str">
        <x:v>Tidak Ada</x:v>
      </x:c>
      <x:c r="O4138" s="66" t="str">
        <x:v>Nusa Tenggara Timur</x:v>
      </x:c>
      <x:c r="P4138" s="66" t="str">
        <x:v>Kabupaten Timor Tengah Utara</x:v>
      </x:c>
      <x:c r="Q4138" s="66" t="str">
        <x:v>https://snpmb.id/snbp/daya-tampung-snbp</x:v>
      </x:c>
      <x:c r="R4138" s="66" t="str">
        <x:v>https://sidatagrun-public-1076756628210.asia-southeast2.run.app/ptn_sn.php?ptn=632</x:v>
      </x:c>
    </x:row>
    <x:row r="4139">
      <x:c r="A4139" s="87"/>
      <x:c r="B4139" s="66" t="n">
        <x:v>632</x:v>
      </x:c>
      <x:c r="C4139" s="66" t="str">
        <x:v>UNIVERSITAS TIMOR</x:v>
      </x:c>
      <x:c r="D4139" s="66" t="str">
        <x:v>PTN Akademik</x:v>
      </x:c>
      <x:c r="E4139" s="66" t="str">
        <x:v>16321018</x:v>
      </x:c>
      <x:c r="F4139" s="66" t="str">
        <x:v>TEKNOLOGI HASIL PERTANIAN</x:v>
      </x:c>
      <x:c r="G4139" s="66" t="str">
        <x:v>Sarjana</x:v>
      </x:c>
      <x:c r="H4139" s="87" t="n">
        <x:v>15</x:v>
      </x:c>
      <x:c r="I4139" s="87"/>
      <x:c r="J4139" s="68" t="str">
        <x:f>IFERROR(H4139/I4139,"")</x:f>
      </x:c>
      <x:c r="K4139" s="69" t="n">
        <x:f>IFERROR(I4139/H4139,"")</x:f>
        <x:v>0</x:v>
      </x:c>
      <x:c r="L4139" s="66" t="str">
        <x:f>IF(K4139="","","1 : "&amp;TEXT(K4139,"0.0"))</x:f>
      </x:c>
      <x:c r="M4139" s="66" t="str">
        <x:f>IF(J4139="","Baru/Tanpa Data",IF(J4139&lt;='Catatan &amp; Sumber'!$B$14,"Sangat Ketat",IF(J4139&lt;='Catatan &amp; Sumber'!$B$15,"Ketat",IF(J4139&lt;='Catatan &amp; Sumber'!$B$16,"Sedang","Relatif Longgar"))))</x:f>
        <x:v>Baru/Tanpa Data</x:v>
      </x:c>
      <x:c r="N4139" s="66" t="str">
        <x:v>Tidak Ada</x:v>
      </x:c>
      <x:c r="O4139" s="66" t="str">
        <x:v>Nusa Tenggara Timur</x:v>
      </x:c>
      <x:c r="P4139" s="66" t="str">
        <x:v>Kabupaten Timor Tengah Utara</x:v>
      </x:c>
      <x:c r="Q4139" s="66" t="str">
        <x:v>https://snpmb.id/snbp/daya-tampung-snbp</x:v>
      </x:c>
      <x:c r="R4139" s="66" t="str">
        <x:v>https://sidatagrun-public-1076756628210.asia-southeast2.run.app/ptn_sn.php?ptn=632</x:v>
      </x:c>
    </x:row>
    <x:row r="4140">
      <x:c r="A4140" s="87" t="n">
        <x:v>3178</x:v>
      </x:c>
      <x:c r="B4140" s="66" t="n">
        <x:v>632</x:v>
      </x:c>
      <x:c r="C4140" s="66" t="str">
        <x:v>UNIVERSITAS TIMOR</x:v>
      </x:c>
      <x:c r="D4140" s="66" t="str">
        <x:v>PTN Akademik</x:v>
      </x:c>
      <x:c r="E4140" s="66" t="str">
        <x:v>16323016</x:v>
      </x:c>
      <x:c r="F4140" s="66" t="str">
        <x:v>KEPERAWATAN</x:v>
      </x:c>
      <x:c r="G4140" s="66" t="str">
        <x:v>Diploma Tiga</x:v>
      </x:c>
      <x:c r="H4140" s="87" t="n">
        <x:v>32</x:v>
      </x:c>
      <x:c r="I4140" s="87" t="n">
        <x:v>95</x:v>
      </x:c>
      <x:c r="J4140" s="68" t="n">
        <x:f>IFERROR(H4140/I4140,"")</x:f>
        <x:v>0.3368421052631579</x:v>
      </x:c>
      <x:c r="K4140" s="69" t="n">
        <x:f>IFERROR(I4140/H4140,"")</x:f>
        <x:v>2.96875</x:v>
      </x:c>
      <x:c r="L4140" s="66" t="str">
        <x:f>IF(K4140="","","1 : "&amp;TEXT(K4140,"0.0"))</x:f>
        <x:v>1 : 3.0</x:v>
      </x:c>
      <x:c r="M4140" s="66" t="str">
        <x:f>IF(J4140="","Baru/Tanpa Data",IF(J4140&lt;='Catatan &amp; Sumber'!$B$14,"Sangat Ketat",IF(J4140&lt;='Catatan &amp; Sumber'!$B$15,"Ketat",IF(J4140&lt;='Catatan &amp; Sumber'!$B$16,"Sedang","Relatif Longgar"))))</x:f>
        <x:v>Relatif Longgar</x:v>
      </x:c>
      <x:c r="N4140" s="66" t="str">
        <x:v>Tidak Ada</x:v>
      </x:c>
      <x:c r="O4140" s="66" t="str">
        <x:v>Nusa Tenggara Timur</x:v>
      </x:c>
      <x:c r="P4140" s="66" t="str">
        <x:v>Kabupaten Timor Tengah Utara</x:v>
      </x:c>
      <x:c r="Q4140" s="66" t="str">
        <x:v>https://snpmb.id/snbp/daya-tampung-snbp</x:v>
      </x:c>
      <x:c r="R4140" s="66" t="str">
        <x:v>https://sidatagrun-public-1076756628210.asia-southeast2.run.app/ptn_sn.php?ptn=632</x:v>
      </x:c>
    </x:row>
    <x:row r="4141">
      <x:c r="A4141" s="87" t="n">
        <x:v>3006</x:v>
      </x:c>
      <x:c r="B4141" s="66" t="n">
        <x:v>641</x:v>
      </x:c>
      <x:c r="C4141" s="66" t="str">
        <x:v>POLITEKNIK NEGERI KUPANG</x:v>
      </x:c>
      <x:c r="D4141" s="66" t="str">
        <x:v>PTN Vokasi</x:v>
      </x:c>
      <x:c r="E4141" s="66" t="str">
        <x:v>26412001</x:v>
      </x:c>
      <x:c r="F4141" s="66" t="str">
        <x:v>PERANCANGAN JALAN DAN JEMBATAN</x:v>
      </x:c>
      <x:c r="G4141" s="66" t="str">
        <x:v>Sarjana Terapan</x:v>
      </x:c>
      <x:c r="H4141" s="87" t="n">
        <x:v>21</x:v>
      </x:c>
      <x:c r="I4141" s="87" t="n">
        <x:v>71</x:v>
      </x:c>
      <x:c r="J4141" s="68" t="n">
        <x:f>IFERROR(H4141/I4141,"")</x:f>
        <x:v>0.29577464788732394</x:v>
      </x:c>
      <x:c r="K4141" s="69" t="n">
        <x:f>IFERROR(I4141/H4141,"")</x:f>
        <x:v>3.380952380952381</x:v>
      </x:c>
      <x:c r="L4141" s="66" t="str">
        <x:f>IF(K4141="","","1 : "&amp;TEXT(K4141,"0.0"))</x:f>
        <x:v>1 : 3.4</x:v>
      </x:c>
      <x:c r="M4141" s="66" t="str">
        <x:f>IF(J4141="","Baru/Tanpa Data",IF(J4141&lt;='Catatan &amp; Sumber'!$B$14,"Sangat Ketat",IF(J4141&lt;='Catatan &amp; Sumber'!$B$15,"Ketat",IF(J4141&lt;='Catatan &amp; Sumber'!$B$16,"Sedang","Relatif Longgar"))))</x:f>
        <x:v>Relatif Longgar</x:v>
      </x:c>
      <x:c r="N4141" s="66" t="str">
        <x:v>Tidak Ada</x:v>
      </x:c>
      <x:c r="O4141" s="66" t="str">
        <x:v>Nusa Tenggara Timur</x:v>
      </x:c>
      <x:c r="P4141" s="66" t="str">
        <x:v>Kota Kupang</x:v>
      </x:c>
      <x:c r="Q4141" s="66" t="str">
        <x:v>https://snpmb.id/snbp/daya-tampung-snbp</x:v>
      </x:c>
      <x:c r="R4141" s="66" t="str">
        <x:v>https://sidatagrun-public-1076756628210.asia-southeast2.run.app/ptn_sn.php?ptn=641</x:v>
      </x:c>
    </x:row>
    <x:row r="4142">
      <x:c r="A4142" s="87" t="n">
        <x:v>4426</x:v>
      </x:c>
      <x:c r="B4142" s="66" t="n">
        <x:v>641</x:v>
      </x:c>
      <x:c r="C4142" s="66" t="str">
        <x:v>POLITEKNIK NEGERI KUPANG</x:v>
      </x:c>
      <x:c r="D4142" s="66" t="str">
        <x:v>PTN Vokasi</x:v>
      </x:c>
      <x:c r="E4142" s="66" t="str">
        <x:v>26412002</x:v>
      </x:c>
      <x:c r="F4142" s="66" t="str">
        <x:v>TEKNIK PERANCANGAN IRIGASI DAN PENANGANAN PANTAI</x:v>
      </x:c>
      <x:c r="G4142" s="66" t="str">
        <x:v>Sarjana Terapan</x:v>
      </x:c>
      <x:c r="H4142" s="87" t="n">
        <x:v>21</x:v>
      </x:c>
      <x:c r="I4142" s="87" t="n">
        <x:v>18</x:v>
      </x:c>
      <x:c r="J4142" s="68" t="n">
        <x:f>IFERROR(H4142/I4142,"")</x:f>
        <x:v>1.1666666666666667</x:v>
      </x:c>
      <x:c r="K4142" s="69" t="n">
        <x:f>IFERROR(I4142/H4142,"")</x:f>
        <x:v>0.8571428571428571</x:v>
      </x:c>
      <x:c r="L4142" s="66" t="str">
        <x:f>IF(K4142="","","1 : "&amp;TEXT(K4142,"0.0"))</x:f>
        <x:v>1 : 0.9</x:v>
      </x:c>
      <x:c r="M4142" s="66" t="str">
        <x:f>IF(J4142="","Baru/Tanpa Data",IF(J4142&lt;='Catatan &amp; Sumber'!$B$14,"Sangat Ketat",IF(J4142&lt;='Catatan &amp; Sumber'!$B$15,"Ketat",IF(J4142&lt;='Catatan &amp; Sumber'!$B$16,"Sedang","Relatif Longgar"))))</x:f>
        <x:v>Relatif Longgar</x:v>
      </x:c>
      <x:c r="N4142" s="66" t="str">
        <x:v>Tidak Ada</x:v>
      </x:c>
      <x:c r="O4142" s="66" t="str">
        <x:v>Nusa Tenggara Timur</x:v>
      </x:c>
      <x:c r="P4142" s="66" t="str">
        <x:v>Kota Kupang</x:v>
      </x:c>
      <x:c r="Q4142" s="66" t="str">
        <x:v>https://snpmb.id/snbp/daya-tampung-snbp</x:v>
      </x:c>
      <x:c r="R4142" s="66" t="str">
        <x:v>https://sidatagrun-public-1076756628210.asia-southeast2.run.app/ptn_sn.php?ptn=641</x:v>
      </x:c>
    </x:row>
    <x:row r="4143">
      <x:c r="A4143" s="87" t="n">
        <x:v>3355</x:v>
      </x:c>
      <x:c r="B4143" s="66" t="n">
        <x:v>641</x:v>
      </x:c>
      <x:c r="C4143" s="66" t="str">
        <x:v>POLITEKNIK NEGERI KUPANG</x:v>
      </x:c>
      <x:c r="D4143" s="66" t="str">
        <x:v>PTN Vokasi</x:v>
      </x:c>
      <x:c r="E4143" s="66" t="str">
        <x:v>26412003</x:v>
      </x:c>
      <x:c r="F4143" s="66" t="str">
        <x:v>TEKNIK MESIN PRODUKSI DAN PERAWATAN</x:v>
      </x:c>
      <x:c r="G4143" s="66" t="str">
        <x:v>Sarjana Terapan</x:v>
      </x:c>
      <x:c r="H4143" s="87" t="n">
        <x:v>12</x:v>
      </x:c>
      <x:c r="I4143" s="87" t="n">
        <x:v>31</x:v>
      </x:c>
      <x:c r="J4143" s="68" t="n">
        <x:f>IFERROR(H4143/I4143,"")</x:f>
        <x:v>0.3870967741935484</x:v>
      </x:c>
      <x:c r="K4143" s="69" t="n">
        <x:f>IFERROR(I4143/H4143,"")</x:f>
        <x:v>2.5833333333333335</x:v>
      </x:c>
      <x:c r="L4143" s="66" t="str">
        <x:f>IF(K4143="","","1 : "&amp;TEXT(K4143,"0.0"))</x:f>
        <x:v>1 : 2.6</x:v>
      </x:c>
      <x:c r="M4143" s="66" t="str">
        <x:f>IF(J4143="","Baru/Tanpa Data",IF(J4143&lt;='Catatan &amp; Sumber'!$B$14,"Sangat Ketat",IF(J4143&lt;='Catatan &amp; Sumber'!$B$15,"Ketat",IF(J4143&lt;='Catatan &amp; Sumber'!$B$16,"Sedang","Relatif Longgar"))))</x:f>
        <x:v>Relatif Longgar</x:v>
      </x:c>
      <x:c r="N4143" s="66" t="str">
        <x:v>Tidak Ada</x:v>
      </x:c>
      <x:c r="O4143" s="66" t="str">
        <x:v>Nusa Tenggara Timur</x:v>
      </x:c>
      <x:c r="P4143" s="66" t="str">
        <x:v>Kota Kupang</x:v>
      </x:c>
      <x:c r="Q4143" s="66" t="str">
        <x:v>https://snpmb.id/snbp/daya-tampung-snbp</x:v>
      </x:c>
      <x:c r="R4143" s="66" t="str">
        <x:v>https://sidatagrun-public-1076756628210.asia-southeast2.run.app/ptn_sn.php?ptn=641</x:v>
      </x:c>
    </x:row>
    <x:row r="4144">
      <x:c r="A4144" s="87" t="n">
        <x:v>2791</x:v>
      </x:c>
      <x:c r="B4144" s="66" t="n">
        <x:v>641</x:v>
      </x:c>
      <x:c r="C4144" s="66" t="str">
        <x:v>POLITEKNIK NEGERI KUPANG</x:v>
      </x:c>
      <x:c r="D4144" s="66" t="str">
        <x:v>PTN Vokasi</x:v>
      </x:c>
      <x:c r="E4144" s="66" t="str">
        <x:v>26412004</x:v>
      </x:c>
      <x:c r="F4144" s="66" t="str">
        <x:v>TEKNIK INSTALASI LISTRIK</x:v>
      </x:c>
      <x:c r="G4144" s="66" t="str">
        <x:v>Sarjana Terapan</x:v>
      </x:c>
      <x:c r="H4144" s="87" t="n">
        <x:v>18</x:v>
      </x:c>
      <x:c r="I4144" s="87" t="n">
        <x:v>70</x:v>
      </x:c>
      <x:c r="J4144" s="68" t="n">
        <x:f>IFERROR(H4144/I4144,"")</x:f>
        <x:v>0.2571428571428571</x:v>
      </x:c>
      <x:c r="K4144" s="69" t="n">
        <x:f>IFERROR(I4144/H4144,"")</x:f>
        <x:v>3.888888888888889</x:v>
      </x:c>
      <x:c r="L4144" s="66" t="str">
        <x:f>IF(K4144="","","1 : "&amp;TEXT(K4144,"0.0"))</x:f>
        <x:v>1 : 3.9</x:v>
      </x:c>
      <x:c r="M4144" s="66" t="str">
        <x:f>IF(J4144="","Baru/Tanpa Data",IF(J4144&lt;='Catatan &amp; Sumber'!$B$14,"Sangat Ketat",IF(J4144&lt;='Catatan &amp; Sumber'!$B$15,"Ketat",IF(J4144&lt;='Catatan &amp; Sumber'!$B$16,"Sedang","Relatif Longgar"))))</x:f>
        <x:v>Relatif Longgar</x:v>
      </x:c>
      <x:c r="N4144" s="66" t="str">
        <x:v>Tidak Ada</x:v>
      </x:c>
      <x:c r="O4144" s="66" t="str">
        <x:v>Nusa Tenggara Timur</x:v>
      </x:c>
      <x:c r="P4144" s="66" t="str">
        <x:v>Kota Kupang</x:v>
      </x:c>
      <x:c r="Q4144" s="66" t="str">
        <x:v>https://snpmb.id/snbp/daya-tampung-snbp</x:v>
      </x:c>
      <x:c r="R4144" s="66" t="str">
        <x:v>https://sidatagrun-public-1076756628210.asia-southeast2.run.app/ptn_sn.php?ptn=641</x:v>
      </x:c>
    </x:row>
    <x:row r="4145">
      <x:c r="A4145" s="87" t="n">
        <x:v>2735</x:v>
      </x:c>
      <x:c r="B4145" s="66" t="n">
        <x:v>641</x:v>
      </x:c>
      <x:c r="C4145" s="66" t="str">
        <x:v>POLITEKNIK NEGERI KUPANG</x:v>
      </x:c>
      <x:c r="D4145" s="66" t="str">
        <x:v>PTN Vokasi</x:v>
      </x:c>
      <x:c r="E4145" s="66" t="str">
        <x:v>26412005</x:v>
      </x:c>
      <x:c r="F4145" s="66" t="str">
        <x:v>MANAJEMEN PERUSAHAAN</x:v>
      </x:c>
      <x:c r="G4145" s="66" t="str">
        <x:v>Sarjana Terapan</x:v>
      </x:c>
      <x:c r="H4145" s="87" t="n">
        <x:v>49</x:v>
      </x:c>
      <x:c r="I4145" s="87" t="n">
        <x:v>196</x:v>
      </x:c>
      <x:c r="J4145" s="68" t="n">
        <x:f>IFERROR(H4145/I4145,"")</x:f>
        <x:v>0.25</x:v>
      </x:c>
      <x:c r="K4145" s="69" t="n">
        <x:f>IFERROR(I4145/H4145,"")</x:f>
        <x:v>4</x:v>
      </x:c>
      <x:c r="L4145" s="66" t="str">
        <x:f>IF(K4145="","","1 : "&amp;TEXT(K4145,"0.0"))</x:f>
        <x:v>1 : 4.0</x:v>
      </x:c>
      <x:c r="M4145" s="66" t="str">
        <x:f>IF(J4145="","Baru/Tanpa Data",IF(J4145&lt;='Catatan &amp; Sumber'!$B$14,"Sangat Ketat",IF(J4145&lt;='Catatan &amp; Sumber'!$B$15,"Ketat",IF(J4145&lt;='Catatan &amp; Sumber'!$B$16,"Sedang","Relatif Longgar"))))</x:f>
        <x:v>Relatif Longgar</x:v>
      </x:c>
      <x:c r="N4145" s="66" t="str">
        <x:v>Tidak Ada</x:v>
      </x:c>
      <x:c r="O4145" s="66" t="str">
        <x:v>Nusa Tenggara Timur</x:v>
      </x:c>
      <x:c r="P4145" s="66" t="str">
        <x:v>Kota Kupang</x:v>
      </x:c>
      <x:c r="Q4145" s="66" t="str">
        <x:v>https://snpmb.id/snbp/daya-tampung-snbp</x:v>
      </x:c>
      <x:c r="R4145" s="66" t="str">
        <x:v>https://sidatagrun-public-1076756628210.asia-southeast2.run.app/ptn_sn.php?ptn=641</x:v>
      </x:c>
    </x:row>
    <x:row r="4146">
      <x:c r="A4146" s="87" t="n">
        <x:v>3072</x:v>
      </x:c>
      <x:c r="B4146" s="66" t="n">
        <x:v>641</x:v>
      </x:c>
      <x:c r="C4146" s="66" t="str">
        <x:v>POLITEKNIK NEGERI KUPANG</x:v>
      </x:c>
      <x:c r="D4146" s="66" t="str">
        <x:v>PTN Vokasi</x:v>
      </x:c>
      <x:c r="E4146" s="66" t="str">
        <x:v>26412006</x:v>
      </x:c>
      <x:c r="F4146" s="66" t="str">
        <x:v>AKUNTANSI SEKTOR PUBLIK</x:v>
      </x:c>
      <x:c r="G4146" s="66" t="str">
        <x:v>Sarjana Terapan</x:v>
      </x:c>
      <x:c r="H4146" s="87" t="n">
        <x:v>42</x:v>
      </x:c>
      <x:c r="I4146" s="87" t="n">
        <x:v>136</x:v>
      </x:c>
      <x:c r="J4146" s="68" t="n">
        <x:f>IFERROR(H4146/I4146,"")</x:f>
        <x:v>0.3088235294117647</x:v>
      </x:c>
      <x:c r="K4146" s="69" t="n">
        <x:f>IFERROR(I4146/H4146,"")</x:f>
        <x:v>3.238095238095238</x:v>
      </x:c>
      <x:c r="L4146" s="66" t="str">
        <x:f>IF(K4146="","","1 : "&amp;TEXT(K4146,"0.0"))</x:f>
        <x:v>1 : 3.2</x:v>
      </x:c>
      <x:c r="M4146" s="66" t="str">
        <x:f>IF(J4146="","Baru/Tanpa Data",IF(J4146&lt;='Catatan &amp; Sumber'!$B$14,"Sangat Ketat",IF(J4146&lt;='Catatan &amp; Sumber'!$B$15,"Ketat",IF(J4146&lt;='Catatan &amp; Sumber'!$B$16,"Sedang","Relatif Longgar"))))</x:f>
        <x:v>Relatif Longgar</x:v>
      </x:c>
      <x:c r="N4146" s="66" t="str">
        <x:v>Tidak Ada</x:v>
      </x:c>
      <x:c r="O4146" s="66" t="str">
        <x:v>Nusa Tenggara Timur</x:v>
      </x:c>
      <x:c r="P4146" s="66" t="str">
        <x:v>Kota Kupang</x:v>
      </x:c>
      <x:c r="Q4146" s="66" t="str">
        <x:v>https://snpmb.id/snbp/daya-tampung-snbp</x:v>
      </x:c>
      <x:c r="R4146" s="66" t="str">
        <x:v>https://sidatagrun-public-1076756628210.asia-southeast2.run.app/ptn_sn.php?ptn=641</x:v>
      </x:c>
    </x:row>
    <x:row r="4147">
      <x:c r="A4147" s="87" t="n">
        <x:v>2979</x:v>
      </x:c>
      <x:c r="B4147" s="66" t="n">
        <x:v>641</x:v>
      </x:c>
      <x:c r="C4147" s="66" t="str">
        <x:v>POLITEKNIK NEGERI KUPANG</x:v>
      </x:c>
      <x:c r="D4147" s="66" t="str">
        <x:v>PTN Vokasi</x:v>
      </x:c>
      <x:c r="E4147" s="66" t="str">
        <x:v>26412007</x:v>
      </x:c>
      <x:c r="F4147" s="66" t="str">
        <x:v>PERHOTELAN</x:v>
      </x:c>
      <x:c r="G4147" s="66" t="str">
        <x:v>Sarjana Terapan</x:v>
      </x:c>
      <x:c r="H4147" s="87" t="n">
        <x:v>35</x:v>
      </x:c>
      <x:c r="I4147" s="87" t="n">
        <x:v>121</x:v>
      </x:c>
      <x:c r="J4147" s="68" t="n">
        <x:f>IFERROR(H4147/I4147,"")</x:f>
        <x:v>0.2892561983471074</x:v>
      </x:c>
      <x:c r="K4147" s="69" t="n">
        <x:f>IFERROR(I4147/H4147,"")</x:f>
        <x:v>3.4571428571428573</x:v>
      </x:c>
      <x:c r="L4147" s="66" t="str">
        <x:f>IF(K4147="","","1 : "&amp;TEXT(K4147,"0.0"))</x:f>
        <x:v>1 : 3.5</x:v>
      </x:c>
      <x:c r="M4147" s="66" t="str">
        <x:f>IF(J4147="","Baru/Tanpa Data",IF(J4147&lt;='Catatan &amp; Sumber'!$B$14,"Sangat Ketat",IF(J4147&lt;='Catatan &amp; Sumber'!$B$15,"Ketat",IF(J4147&lt;='Catatan &amp; Sumber'!$B$16,"Sedang","Relatif Longgar"))))</x:f>
        <x:v>Relatif Longgar</x:v>
      </x:c>
      <x:c r="N4147" s="66" t="str">
        <x:v>Tidak Ada</x:v>
      </x:c>
      <x:c r="O4147" s="66" t="str">
        <x:v>Nusa Tenggara Timur</x:v>
      </x:c>
      <x:c r="P4147" s="66" t="str">
        <x:v>Kota Kupang</x:v>
      </x:c>
      <x:c r="Q4147" s="66" t="str">
        <x:v>https://snpmb.id/snbp/daya-tampung-snbp</x:v>
      </x:c>
      <x:c r="R4147" s="66" t="str">
        <x:v>https://sidatagrun-public-1076756628210.asia-southeast2.run.app/ptn_sn.php?ptn=641</x:v>
      </x:c>
    </x:row>
    <x:row r="4148">
      <x:c r="A4148" s="87" t="n">
        <x:v>2979</x:v>
      </x:c>
      <x:c r="B4148" s="66" t="n">
        <x:v>641</x:v>
      </x:c>
      <x:c r="C4148" s="66" t="str">
        <x:v>POLITEKNIK NEGERI KUPANG</x:v>
      </x:c>
      <x:c r="D4148" s="66" t="str">
        <x:v>PTN Vokasi</x:v>
      </x:c>
      <x:c r="E4148" s="66" t="str">
        <x:v>26412008</x:v>
      </x:c>
      <x:c r="F4148" s="66" t="str">
        <x:v>USAHA PERJALANAN WISATA</x:v>
      </x:c>
      <x:c r="G4148" s="66" t="str">
        <x:v>Sarjana Terapan</x:v>
      </x:c>
      <x:c r="H4148" s="87" t="n">
        <x:v>35</x:v>
      </x:c>
      <x:c r="I4148" s="87" t="n">
        <x:v>121</x:v>
      </x:c>
      <x:c r="J4148" s="68" t="n">
        <x:f>IFERROR(H4148/I4148,"")</x:f>
        <x:v>0.2892561983471074</x:v>
      </x:c>
      <x:c r="K4148" s="69" t="n">
        <x:f>IFERROR(I4148/H4148,"")</x:f>
        <x:v>3.4571428571428573</x:v>
      </x:c>
      <x:c r="L4148" s="66" t="str">
        <x:f>IF(K4148="","","1 : "&amp;TEXT(K4148,"0.0"))</x:f>
        <x:v>1 : 3.5</x:v>
      </x:c>
      <x:c r="M4148" s="66" t="str">
        <x:f>IF(J4148="","Baru/Tanpa Data",IF(J4148&lt;='Catatan &amp; Sumber'!$B$14,"Sangat Ketat",IF(J4148&lt;='Catatan &amp; Sumber'!$B$15,"Ketat",IF(J4148&lt;='Catatan &amp; Sumber'!$B$16,"Sedang","Relatif Longgar"))))</x:f>
        <x:v>Relatif Longgar</x:v>
      </x:c>
      <x:c r="N4148" s="66" t="str">
        <x:v>Tidak Ada</x:v>
      </x:c>
      <x:c r="O4148" s="66" t="str">
        <x:v>Nusa Tenggara Timur</x:v>
      </x:c>
      <x:c r="P4148" s="66" t="str">
        <x:v>Kota Kupang</x:v>
      </x:c>
      <x:c r="Q4148" s="66" t="str">
        <x:v>https://snpmb.id/snbp/daya-tampung-snbp</x:v>
      </x:c>
      <x:c r="R4148" s="66" t="str">
        <x:v>https://sidatagrun-public-1076756628210.asia-southeast2.run.app/ptn_sn.php?ptn=641</x:v>
      </x:c>
    </x:row>
    <x:row r="4149">
      <x:c r="A4149" s="87" t="n">
        <x:v>3074</x:v>
      </x:c>
      <x:c r="B4149" s="66" t="n">
        <x:v>641</x:v>
      </x:c>
      <x:c r="C4149" s="66" t="str">
        <x:v>POLITEKNIK NEGERI KUPANG</x:v>
      </x:c>
      <x:c r="D4149" s="66" t="str">
        <x:v>PTN Vokasi</x:v>
      </x:c>
      <x:c r="E4149" s="66" t="str">
        <x:v>26413009</x:v>
      </x:c>
      <x:c r="F4149" s="66" t="str">
        <x:v>TEKNIK SIPIL</x:v>
      </x:c>
      <x:c r="G4149" s="66" t="str">
        <x:v>Diploma Tiga</x:v>
      </x:c>
      <x:c r="H4149" s="87" t="n">
        <x:v>17</x:v>
      </x:c>
      <x:c r="I4149" s="87" t="n">
        <x:v>55</x:v>
      </x:c>
      <x:c r="J4149" s="68" t="n">
        <x:f>IFERROR(H4149/I4149,"")</x:f>
        <x:v>0.3090909090909091</x:v>
      </x:c>
      <x:c r="K4149" s="69" t="n">
        <x:f>IFERROR(I4149/H4149,"")</x:f>
        <x:v>3.235294117647059</x:v>
      </x:c>
      <x:c r="L4149" s="66" t="str">
        <x:f>IF(K4149="","","1 : "&amp;TEXT(K4149,"0.0"))</x:f>
        <x:v>1 : 3.2</x:v>
      </x:c>
      <x:c r="M4149" s="66" t="str">
        <x:f>IF(J4149="","Baru/Tanpa Data",IF(J4149&lt;='Catatan &amp; Sumber'!$B$14,"Sangat Ketat",IF(J4149&lt;='Catatan &amp; Sumber'!$B$15,"Ketat",IF(J4149&lt;='Catatan &amp; Sumber'!$B$16,"Sedang","Relatif Longgar"))))</x:f>
        <x:v>Relatif Longgar</x:v>
      </x:c>
      <x:c r="N4149" s="66" t="str">
        <x:v>Tidak Ada</x:v>
      </x:c>
      <x:c r="O4149" s="66" t="str">
        <x:v>Nusa Tenggara Timur</x:v>
      </x:c>
      <x:c r="P4149" s="66" t="str">
        <x:v>Kota Kupang</x:v>
      </x:c>
      <x:c r="Q4149" s="66" t="str">
        <x:v>https://snpmb.id/snbp/daya-tampung-snbp</x:v>
      </x:c>
      <x:c r="R4149" s="66" t="str">
        <x:v>https://sidatagrun-public-1076756628210.asia-southeast2.run.app/ptn_sn.php?ptn=641</x:v>
      </x:c>
    </x:row>
    <x:row r="4150">
      <x:c r="A4150" s="87" t="n">
        <x:v>3203</x:v>
      </x:c>
      <x:c r="B4150" s="66" t="n">
        <x:v>641</x:v>
      </x:c>
      <x:c r="C4150" s="66" t="str">
        <x:v>POLITEKNIK NEGERI KUPANG</x:v>
      </x:c>
      <x:c r="D4150" s="66" t="str">
        <x:v>PTN Vokasi</x:v>
      </x:c>
      <x:c r="E4150" s="66" t="str">
        <x:v>26413010</x:v>
      </x:c>
      <x:c r="F4150" s="66" t="str">
        <x:v>TEKNIK ELEKTRONIKA</x:v>
      </x:c>
      <x:c r="G4150" s="66" t="str">
        <x:v>Diploma Tiga</x:v>
      </x:c>
      <x:c r="H4150" s="87" t="n">
        <x:v>12</x:v>
      </x:c>
      <x:c r="I4150" s="87" t="n">
        <x:v>35</x:v>
      </x:c>
      <x:c r="J4150" s="68" t="n">
        <x:f>IFERROR(H4150/I4150,"")</x:f>
        <x:v>0.34285714285714286</x:v>
      </x:c>
      <x:c r="K4150" s="69" t="n">
        <x:f>IFERROR(I4150/H4150,"")</x:f>
        <x:v>2.9166666666666665</x:v>
      </x:c>
      <x:c r="L4150" s="66" t="str">
        <x:f>IF(K4150="","","1 : "&amp;TEXT(K4150,"0.0"))</x:f>
        <x:v>1 : 2.9</x:v>
      </x:c>
      <x:c r="M4150" s="66" t="str">
        <x:f>IF(J4150="","Baru/Tanpa Data",IF(J4150&lt;='Catatan &amp; Sumber'!$B$14,"Sangat Ketat",IF(J4150&lt;='Catatan &amp; Sumber'!$B$15,"Ketat",IF(J4150&lt;='Catatan &amp; Sumber'!$B$16,"Sedang","Relatif Longgar"))))</x:f>
        <x:v>Relatif Longgar</x:v>
      </x:c>
      <x:c r="N4150" s="66" t="str">
        <x:v>Tidak Ada</x:v>
      </x:c>
      <x:c r="O4150" s="66" t="str">
        <x:v>Nusa Tenggara Timur</x:v>
      </x:c>
      <x:c r="P4150" s="66" t="str">
        <x:v>Kota Kupang</x:v>
      </x:c>
      <x:c r="Q4150" s="66" t="str">
        <x:v>https://snpmb.id/snbp/daya-tampung-snbp</x:v>
      </x:c>
      <x:c r="R4150" s="66" t="str">
        <x:v>https://sidatagrun-public-1076756628210.asia-southeast2.run.app/ptn_sn.php?ptn=641</x:v>
      </x:c>
    </x:row>
    <x:row r="4151">
      <x:c r="A4151" s="87" t="n">
        <x:v>3725</x:v>
      </x:c>
      <x:c r="B4151" s="66" t="n">
        <x:v>641</x:v>
      </x:c>
      <x:c r="C4151" s="66" t="str">
        <x:v>POLITEKNIK NEGERI KUPANG</x:v>
      </x:c>
      <x:c r="D4151" s="66" t="str">
        <x:v>PTN Vokasi</x:v>
      </x:c>
      <x:c r="E4151" s="66" t="str">
        <x:v>26413011</x:v>
      </x:c>
      <x:c r="F4151" s="66" t="str">
        <x:v>TEKNIK LISTRIK</x:v>
      </x:c>
      <x:c r="G4151" s="66" t="str">
        <x:v>Diploma Tiga</x:v>
      </x:c>
      <x:c r="H4151" s="87" t="n">
        <x:v>18</x:v>
      </x:c>
      <x:c r="I4151" s="87" t="n">
        <x:v>34</x:v>
      </x:c>
      <x:c r="J4151" s="68" t="n">
        <x:f>IFERROR(H4151/I4151,"")</x:f>
        <x:v>0.5294117647058824</x:v>
      </x:c>
      <x:c r="K4151" s="69" t="n">
        <x:f>IFERROR(I4151/H4151,"")</x:f>
        <x:v>1.8888888888888888</x:v>
      </x:c>
      <x:c r="L4151" s="66" t="str">
        <x:f>IF(K4151="","","1 : "&amp;TEXT(K4151,"0.0"))</x:f>
        <x:v>1 : 1.9</x:v>
      </x:c>
      <x:c r="M4151" s="66" t="str">
        <x:f>IF(J4151="","Baru/Tanpa Data",IF(J4151&lt;='Catatan &amp; Sumber'!$B$14,"Sangat Ketat",IF(J4151&lt;='Catatan &amp; Sumber'!$B$15,"Ketat",IF(J4151&lt;='Catatan &amp; Sumber'!$B$16,"Sedang","Relatif Longgar"))))</x:f>
        <x:v>Relatif Longgar</x:v>
      </x:c>
      <x:c r="N4151" s="66" t="str">
        <x:v>Tidak Ada</x:v>
      </x:c>
      <x:c r="O4151" s="66" t="str">
        <x:v>Nusa Tenggara Timur</x:v>
      </x:c>
      <x:c r="P4151" s="66" t="str">
        <x:v>Kota Kupang</x:v>
      </x:c>
      <x:c r="Q4151" s="66" t="str">
        <x:v>https://snpmb.id/snbp/daya-tampung-snbp</x:v>
      </x:c>
      <x:c r="R4151" s="66" t="str">
        <x:v>https://sidatagrun-public-1076756628210.asia-southeast2.run.app/ptn_sn.php?ptn=641</x:v>
      </x:c>
    </x:row>
    <x:row r="4152">
      <x:c r="A4152" s="87" t="n">
        <x:v>3573</x:v>
      </x:c>
      <x:c r="B4152" s="66" t="n">
        <x:v>641</x:v>
      </x:c>
      <x:c r="C4152" s="66" t="str">
        <x:v>POLITEKNIK NEGERI KUPANG</x:v>
      </x:c>
      <x:c r="D4152" s="66" t="str">
        <x:v>PTN Vokasi</x:v>
      </x:c>
      <x:c r="E4152" s="66" t="str">
        <x:v>26413012</x:v>
      </x:c>
      <x:c r="F4152" s="66" t="str">
        <x:v>MESIN OTOMOTIF</x:v>
      </x:c>
      <x:c r="G4152" s="66" t="str">
        <x:v>Diploma Tiga</x:v>
      </x:c>
      <x:c r="H4152" s="87" t="n">
        <x:v>12</x:v>
      </x:c>
      <x:c r="I4152" s="87" t="n">
        <x:v>26</x:v>
      </x:c>
      <x:c r="J4152" s="68" t="n">
        <x:f>IFERROR(H4152/I4152,"")</x:f>
        <x:v>0.46153846153846156</x:v>
      </x:c>
      <x:c r="K4152" s="69" t="n">
        <x:f>IFERROR(I4152/H4152,"")</x:f>
        <x:v>2.1666666666666665</x:v>
      </x:c>
      <x:c r="L4152" s="66" t="str">
        <x:f>IF(K4152="","","1 : "&amp;TEXT(K4152,"0.0"))</x:f>
        <x:v>1 : 2.2</x:v>
      </x:c>
      <x:c r="M4152" s="66" t="str">
        <x:f>IF(J4152="","Baru/Tanpa Data",IF(J4152&lt;='Catatan &amp; Sumber'!$B$14,"Sangat Ketat",IF(J4152&lt;='Catatan &amp; Sumber'!$B$15,"Ketat",IF(J4152&lt;='Catatan &amp; Sumber'!$B$16,"Sedang","Relatif Longgar"))))</x:f>
        <x:v>Relatif Longgar</x:v>
      </x:c>
      <x:c r="N4152" s="66" t="str">
        <x:v>Tidak Ada</x:v>
      </x:c>
      <x:c r="O4152" s="66" t="str">
        <x:v>Nusa Tenggara Timur</x:v>
      </x:c>
      <x:c r="P4152" s="66" t="str">
        <x:v>Kota Kupang</x:v>
      </x:c>
      <x:c r="Q4152" s="66" t="str">
        <x:v>https://snpmb.id/snbp/daya-tampung-snbp</x:v>
      </x:c>
      <x:c r="R4152" s="66" t="str">
        <x:v>https://sidatagrun-public-1076756628210.asia-southeast2.run.app/ptn_sn.php?ptn=641</x:v>
      </x:c>
    </x:row>
    <x:row r="4153">
      <x:c r="A4153" s="87" t="n">
        <x:v>2921</x:v>
      </x:c>
      <x:c r="B4153" s="66" t="n">
        <x:v>641</x:v>
      </x:c>
      <x:c r="C4153" s="66" t="str">
        <x:v>POLITEKNIK NEGERI KUPANG</x:v>
      </x:c>
      <x:c r="D4153" s="66" t="str">
        <x:v>PTN Vokasi</x:v>
      </x:c>
      <x:c r="E4153" s="66" t="str">
        <x:v>26413013</x:v>
      </x:c>
      <x:c r="F4153" s="66" t="str">
        <x:v>TEKNIK KOMPUTER DAN JARINGAN</x:v>
      </x:c>
      <x:c r="G4153" s="66" t="str">
        <x:v>Diploma Tiga</x:v>
      </x:c>
      <x:c r="H4153" s="87" t="n">
        <x:v>30</x:v>
      </x:c>
      <x:c r="I4153" s="87" t="n">
        <x:v>108</x:v>
      </x:c>
      <x:c r="J4153" s="68" t="n">
        <x:f>IFERROR(H4153/I4153,"")</x:f>
        <x:v>0.2777777777777778</x:v>
      </x:c>
      <x:c r="K4153" s="69" t="n">
        <x:f>IFERROR(I4153/H4153,"")</x:f>
        <x:v>3.6</x:v>
      </x:c>
      <x:c r="L4153" s="66" t="str">
        <x:f>IF(K4153="","","1 : "&amp;TEXT(K4153,"0.0"))</x:f>
        <x:v>1 : 3.6</x:v>
      </x:c>
      <x:c r="M4153" s="66" t="str">
        <x:f>IF(J4153="","Baru/Tanpa Data",IF(J4153&lt;='Catatan &amp; Sumber'!$B$14,"Sangat Ketat",IF(J4153&lt;='Catatan &amp; Sumber'!$B$15,"Ketat",IF(J4153&lt;='Catatan &amp; Sumber'!$B$16,"Sedang","Relatif Longgar"))))</x:f>
        <x:v>Relatif Longgar</x:v>
      </x:c>
      <x:c r="N4153" s="66" t="str">
        <x:v>Tidak Ada</x:v>
      </x:c>
      <x:c r="O4153" s="66" t="str">
        <x:v>Nusa Tenggara Timur</x:v>
      </x:c>
      <x:c r="P4153" s="66" t="str">
        <x:v>Kota Kupang</x:v>
      </x:c>
      <x:c r="Q4153" s="66" t="str">
        <x:v>https://snpmb.id/snbp/daya-tampung-snbp</x:v>
      </x:c>
      <x:c r="R4153" s="66" t="str">
        <x:v>https://sidatagrun-public-1076756628210.asia-southeast2.run.app/ptn_sn.php?ptn=641</x:v>
      </x:c>
    </x:row>
    <x:row r="4154">
      <x:c r="A4154" s="87" t="n">
        <x:v>3282</x:v>
      </x:c>
      <x:c r="B4154" s="66" t="n">
        <x:v>641</x:v>
      </x:c>
      <x:c r="C4154" s="66" t="str">
        <x:v>POLITEKNIK NEGERI KUPANG</x:v>
      </x:c>
      <x:c r="D4154" s="66" t="str">
        <x:v>PTN Vokasi</x:v>
      </x:c>
      <x:c r="E4154" s="66" t="str">
        <x:v>26413014</x:v>
      </x:c>
      <x:c r="F4154" s="66" t="str">
        <x:v>ADMINISTRASI BISNIS</x:v>
      </x:c>
      <x:c r="G4154" s="66" t="str">
        <x:v>Diploma Tiga</x:v>
      </x:c>
      <x:c r="H4154" s="87" t="n">
        <x:v>18</x:v>
      </x:c>
      <x:c r="I4154" s="87" t="n">
        <x:v>49</x:v>
      </x:c>
      <x:c r="J4154" s="68" t="n">
        <x:f>IFERROR(H4154/I4154,"")</x:f>
        <x:v>0.3673469387755102</x:v>
      </x:c>
      <x:c r="K4154" s="69" t="n">
        <x:f>IFERROR(I4154/H4154,"")</x:f>
        <x:v>2.7222222222222223</x:v>
      </x:c>
      <x:c r="L4154" s="66" t="str">
        <x:f>IF(K4154="","","1 : "&amp;TEXT(K4154,"0.0"))</x:f>
        <x:v>1 : 2.7</x:v>
      </x:c>
      <x:c r="M4154" s="66" t="str">
        <x:f>IF(J4154="","Baru/Tanpa Data",IF(J4154&lt;='Catatan &amp; Sumber'!$B$14,"Sangat Ketat",IF(J4154&lt;='Catatan &amp; Sumber'!$B$15,"Ketat",IF(J4154&lt;='Catatan &amp; Sumber'!$B$16,"Sedang","Relatif Longgar"))))</x:f>
        <x:v>Relatif Longgar</x:v>
      </x:c>
      <x:c r="N4154" s="66" t="str">
        <x:v>Tidak Ada</x:v>
      </x:c>
      <x:c r="O4154" s="66" t="str">
        <x:v>Nusa Tenggara Timur</x:v>
      </x:c>
      <x:c r="P4154" s="66" t="str">
        <x:v>Kota Kupang</x:v>
      </x:c>
      <x:c r="Q4154" s="66" t="str">
        <x:v>https://snpmb.id/snbp/daya-tampung-snbp</x:v>
      </x:c>
      <x:c r="R4154" s="66" t="str">
        <x:v>https://sidatagrun-public-1076756628210.asia-southeast2.run.app/ptn_sn.php?ptn=641</x:v>
      </x:c>
    </x:row>
    <x:row r="4155">
      <x:c r="A4155" s="87" t="n">
        <x:v>3298</x:v>
      </x:c>
      <x:c r="B4155" s="66" t="n">
        <x:v>641</x:v>
      </x:c>
      <x:c r="C4155" s="66" t="str">
        <x:v>POLITEKNIK NEGERI KUPANG</x:v>
      </x:c>
      <x:c r="D4155" s="66" t="str">
        <x:v>PTN Vokasi</x:v>
      </x:c>
      <x:c r="E4155" s="66" t="str">
        <x:v>26413015</x:v>
      </x:c>
      <x:c r="F4155" s="66" t="str">
        <x:v>TEKNIK MESIN</x:v>
      </x:c>
      <x:c r="G4155" s="66" t="str">
        <x:v>Diploma Tiga</x:v>
      </x:c>
      <x:c r="H4155" s="87" t="n">
        <x:v>12</x:v>
      </x:c>
      <x:c r="I4155" s="87" t="n">
        <x:v>32</x:v>
      </x:c>
      <x:c r="J4155" s="68" t="n">
        <x:f>IFERROR(H4155/I4155,"")</x:f>
        <x:v>0.375</x:v>
      </x:c>
      <x:c r="K4155" s="69" t="n">
        <x:f>IFERROR(I4155/H4155,"")</x:f>
        <x:v>2.6666666666666665</x:v>
      </x:c>
      <x:c r="L4155" s="66" t="str">
        <x:f>IF(K4155="","","1 : "&amp;TEXT(K4155,"0.0"))</x:f>
        <x:v>1 : 2.7</x:v>
      </x:c>
      <x:c r="M4155" s="66" t="str">
        <x:f>IF(J4155="","Baru/Tanpa Data",IF(J4155&lt;='Catatan &amp; Sumber'!$B$14,"Sangat Ketat",IF(J4155&lt;='Catatan &amp; Sumber'!$B$15,"Ketat",IF(J4155&lt;='Catatan &amp; Sumber'!$B$16,"Sedang","Relatif Longgar"))))</x:f>
        <x:v>Relatif Longgar</x:v>
      </x:c>
      <x:c r="N4155" s="66" t="str">
        <x:v>Tidak Ada</x:v>
      </x:c>
      <x:c r="O4155" s="66" t="str">
        <x:v>Nusa Tenggara Timur</x:v>
      </x:c>
      <x:c r="P4155" s="66" t="str">
        <x:v>Kota Kupang</x:v>
      </x:c>
      <x:c r="Q4155" s="66" t="str">
        <x:v>https://snpmb.id/snbp/daya-tampung-snbp</x:v>
      </x:c>
      <x:c r="R4155" s="66" t="str">
        <x:v>https://sidatagrun-public-1076756628210.asia-southeast2.run.app/ptn_sn.php?ptn=641</x:v>
      </x:c>
    </x:row>
    <x:row r="4156">
      <x:c r="A4156" s="87" t="n">
        <x:v>3332</x:v>
      </x:c>
      <x:c r="B4156" s="66" t="n">
        <x:v>641</x:v>
      </x:c>
      <x:c r="C4156" s="66" t="str">
        <x:v>POLITEKNIK NEGERI KUPANG</x:v>
      </x:c>
      <x:c r="D4156" s="66" t="str">
        <x:v>PTN Vokasi</x:v>
      </x:c>
      <x:c r="E4156" s="66" t="str">
        <x:v>26413016</x:v>
      </x:c>
      <x:c r="F4156" s="66" t="str">
        <x:v>AKUNTANSI</x:v>
      </x:c>
      <x:c r="G4156" s="66" t="str">
        <x:v>Diploma Tiga</x:v>
      </x:c>
      <x:c r="H4156" s="87" t="n">
        <x:v>24</x:v>
      </x:c>
      <x:c r="I4156" s="87" t="n">
        <x:v>63</x:v>
      </x:c>
      <x:c r="J4156" s="68" t="n">
        <x:f>IFERROR(H4156/I4156,"")</x:f>
        <x:v>0.38095238095238093</x:v>
      </x:c>
      <x:c r="K4156" s="69" t="n">
        <x:f>IFERROR(I4156/H4156,"")</x:f>
        <x:v>2.625</x:v>
      </x:c>
      <x:c r="L4156" s="66" t="str">
        <x:f>IF(K4156="","","1 : "&amp;TEXT(K4156,"0.0"))</x:f>
        <x:v>1 : 2.6</x:v>
      </x:c>
      <x:c r="M4156" s="66" t="str">
        <x:f>IF(J4156="","Baru/Tanpa Data",IF(J4156&lt;='Catatan &amp; Sumber'!$B$14,"Sangat Ketat",IF(J4156&lt;='Catatan &amp; Sumber'!$B$15,"Ketat",IF(J4156&lt;='Catatan &amp; Sumber'!$B$16,"Sedang","Relatif Longgar"))))</x:f>
        <x:v>Relatif Longgar</x:v>
      </x:c>
      <x:c r="N4156" s="66" t="str">
        <x:v>Tidak Ada</x:v>
      </x:c>
      <x:c r="O4156" s="66" t="str">
        <x:v>Nusa Tenggara Timur</x:v>
      </x:c>
      <x:c r="P4156" s="66" t="str">
        <x:v>Kota Kupang</x:v>
      </x:c>
      <x:c r="Q4156" s="66" t="str">
        <x:v>https://snpmb.id/snbp/daya-tampung-snbp</x:v>
      </x:c>
      <x:c r="R4156" s="66" t="str">
        <x:v>https://sidatagrun-public-1076756628210.asia-southeast2.run.app/ptn_sn.php?ptn=641</x:v>
      </x:c>
    </x:row>
    <x:row r="4157">
      <x:c r="A4157" s="87" t="n">
        <x:v>4489</x:v>
      </x:c>
      <x:c r="B4157" s="66" t="n">
        <x:v>642</x:v>
      </x:c>
      <x:c r="C4157" s="66" t="str">
        <x:v>POLITEKNIK PERTANIAN NEGERI KUPANG</x:v>
      </x:c>
      <x:c r="D4157" s="66" t="str">
        <x:v>PTN Vokasi</x:v>
      </x:c>
      <x:c r="E4157" s="66" t="str">
        <x:v>26422001</x:v>
      </x:c>
      <x:c r="F4157" s="66" t="str">
        <x:v>PENYULUHAN PERTANIAN LAHAN KERING</x:v>
      </x:c>
      <x:c r="G4157" s="66" t="str">
        <x:v>Sarjana Terapan</x:v>
      </x:c>
      <x:c r="H4157" s="87" t="n">
        <x:v>30</x:v>
      </x:c>
      <x:c r="I4157" s="87" t="n">
        <x:v>23</x:v>
      </x:c>
      <x:c r="J4157" s="68" t="n">
        <x:f>IFERROR(H4157/I4157,"")</x:f>
        <x:v>1.3043478260869565</x:v>
      </x:c>
      <x:c r="K4157" s="69" t="n">
        <x:f>IFERROR(I4157/H4157,"")</x:f>
        <x:v>0.7666666666666667</x:v>
      </x:c>
      <x:c r="L4157" s="66" t="str">
        <x:f>IF(K4157="","","1 : "&amp;TEXT(K4157,"0.0"))</x:f>
        <x:v>1 : 0.8</x:v>
      </x:c>
      <x:c r="M4157" s="66" t="str">
        <x:f>IF(J4157="","Baru/Tanpa Data",IF(J4157&lt;='Catatan &amp; Sumber'!$B$14,"Sangat Ketat",IF(J4157&lt;='Catatan &amp; Sumber'!$B$15,"Ketat",IF(J4157&lt;='Catatan &amp; Sumber'!$B$16,"Sedang","Relatif Longgar"))))</x:f>
        <x:v>Relatif Longgar</x:v>
      </x:c>
      <x:c r="N4157" s="66" t="str">
        <x:v>Tidak Ada</x:v>
      </x:c>
      <x:c r="O4157" s="66" t="str">
        <x:v>Nusa Tenggara Timur</x:v>
      </x:c>
      <x:c r="P4157" s="66" t="str">
        <x:v>Kota Kupang</x:v>
      </x:c>
      <x:c r="Q4157" s="66" t="str">
        <x:v>https://snpmb.id/snbp/daya-tampung-snbp</x:v>
      </x:c>
      <x:c r="R4157" s="66" t="str">
        <x:v>https://sidatagrun-public-1076756628210.asia-southeast2.run.app/ptn_sn.php?ptn=642</x:v>
      </x:c>
    </x:row>
    <x:row r="4158">
      <x:c r="A4158" s="87" t="n">
        <x:v>4439</x:v>
      </x:c>
      <x:c r="B4158" s="66" t="n">
        <x:v>642</x:v>
      </x:c>
      <x:c r="C4158" s="66" t="str">
        <x:v>POLITEKNIK PERTANIAN NEGERI KUPANG</x:v>
      </x:c>
      <x:c r="D4158" s="66" t="str">
        <x:v>PTN Vokasi</x:v>
      </x:c>
      <x:c r="E4158" s="66" t="str">
        <x:v>26422002</x:v>
      </x:c>
      <x:c r="F4158" s="66" t="str">
        <x:v>TEKNOLOGI INDUSTRI HORTIKULTURA</x:v>
      </x:c>
      <x:c r="G4158" s="66" t="str">
        <x:v>Sarjana Terapan</x:v>
      </x:c>
      <x:c r="H4158" s="87" t="n">
        <x:v>18</x:v>
      </x:c>
      <x:c r="I4158" s="87" t="n">
        <x:v>15</x:v>
      </x:c>
      <x:c r="J4158" s="68" t="n">
        <x:f>IFERROR(H4158/I4158,"")</x:f>
        <x:v>1.2</x:v>
      </x:c>
      <x:c r="K4158" s="69" t="n">
        <x:f>IFERROR(I4158/H4158,"")</x:f>
        <x:v>0.8333333333333334</x:v>
      </x:c>
      <x:c r="L4158" s="66" t="str">
        <x:f>IF(K4158="","","1 : "&amp;TEXT(K4158,"0.0"))</x:f>
        <x:v>1 : 0.8</x:v>
      </x:c>
      <x:c r="M4158" s="66" t="str">
        <x:f>IF(J4158="","Baru/Tanpa Data",IF(J4158&lt;='Catatan &amp; Sumber'!$B$14,"Sangat Ketat",IF(J4158&lt;='Catatan &amp; Sumber'!$B$15,"Ketat",IF(J4158&lt;='Catatan &amp; Sumber'!$B$16,"Sedang","Relatif Longgar"))))</x:f>
        <x:v>Relatif Longgar</x:v>
      </x:c>
      <x:c r="N4158" s="66" t="str">
        <x:v>Tidak Ada</x:v>
      </x:c>
      <x:c r="O4158" s="66" t="str">
        <x:v>Nusa Tenggara Timur</x:v>
      </x:c>
      <x:c r="P4158" s="66" t="str">
        <x:v>Kota Kupang</x:v>
      </x:c>
      <x:c r="Q4158" s="66" t="str">
        <x:v>https://snpmb.id/snbp/daya-tampung-snbp</x:v>
      </x:c>
      <x:c r="R4158" s="66" t="str">
        <x:v>https://sidatagrun-public-1076756628210.asia-southeast2.run.app/ptn_sn.php?ptn=642</x:v>
      </x:c>
    </x:row>
    <x:row r="4159">
      <x:c r="A4159" s="87" t="n">
        <x:v>4341</x:v>
      </x:c>
      <x:c r="B4159" s="66" t="n">
        <x:v>642</x:v>
      </x:c>
      <x:c r="C4159" s="66" t="str">
        <x:v>POLITEKNIK PERTANIAN NEGERI KUPANG</x:v>
      </x:c>
      <x:c r="D4159" s="66" t="str">
        <x:v>PTN Vokasi</x:v>
      </x:c>
      <x:c r="E4159" s="66" t="str">
        <x:v>26422003</x:v>
      </x:c>
      <x:c r="F4159" s="66" t="str">
        <x:v>TEKNOLOGI PAKAN TERNAK</x:v>
      </x:c>
      <x:c r="G4159" s="66" t="str">
        <x:v>Sarjana Terapan</x:v>
      </x:c>
      <x:c r="H4159" s="87" t="n">
        <x:v>36</x:v>
      </x:c>
      <x:c r="I4159" s="87" t="n">
        <x:v>35</x:v>
      </x:c>
      <x:c r="J4159" s="68" t="n">
        <x:f>IFERROR(H4159/I4159,"")</x:f>
        <x:v>1.0285714285714285</x:v>
      </x:c>
      <x:c r="K4159" s="69" t="n">
        <x:f>IFERROR(I4159/H4159,"")</x:f>
        <x:v>0.9722222222222222</x:v>
      </x:c>
      <x:c r="L4159" s="66" t="str">
        <x:f>IF(K4159="","","1 : "&amp;TEXT(K4159,"0.0"))</x:f>
        <x:v>1 : 1.0</x:v>
      </x:c>
      <x:c r="M4159" s="66" t="str">
        <x:f>IF(J4159="","Baru/Tanpa Data",IF(J4159&lt;='Catatan &amp; Sumber'!$B$14,"Sangat Ketat",IF(J4159&lt;='Catatan &amp; Sumber'!$B$15,"Ketat",IF(J4159&lt;='Catatan &amp; Sumber'!$B$16,"Sedang","Relatif Longgar"))))</x:f>
        <x:v>Relatif Longgar</x:v>
      </x:c>
      <x:c r="N4159" s="66" t="str">
        <x:v>Tidak Ada</x:v>
      </x:c>
      <x:c r="O4159" s="66" t="str">
        <x:v>Nusa Tenggara Timur</x:v>
      </x:c>
      <x:c r="P4159" s="66" t="str">
        <x:v>Kota Kupang</x:v>
      </x:c>
      <x:c r="Q4159" s="66" t="str">
        <x:v>https://snpmb.id/snbp/daya-tampung-snbp</x:v>
      </x:c>
      <x:c r="R4159" s="66" t="str">
        <x:v>https://sidatagrun-public-1076756628210.asia-southeast2.run.app/ptn_sn.php?ptn=642</x:v>
      </x:c>
    </x:row>
    <x:row r="4160">
      <x:c r="A4160" s="87" t="n">
        <x:v>4531</x:v>
      </x:c>
      <x:c r="B4160" s="66" t="n">
        <x:v>642</x:v>
      </x:c>
      <x:c r="C4160" s="66" t="str">
        <x:v>POLITEKNIK PERTANIAN NEGERI KUPANG</x:v>
      </x:c>
      <x:c r="D4160" s="66" t="str">
        <x:v>PTN Vokasi</x:v>
      </x:c>
      <x:c r="E4160" s="66" t="str">
        <x:v>26422004</x:v>
      </x:c>
      <x:c r="F4160" s="66" t="str">
        <x:v>PENGELOLAAN HUTAN</x:v>
      </x:c>
      <x:c r="G4160" s="66" t="str">
        <x:v>Sarjana Terapan</x:v>
      </x:c>
      <x:c r="H4160" s="87" t="n">
        <x:v>27</x:v>
      </x:c>
      <x:c r="I4160" s="87" t="n">
        <x:v>19</x:v>
      </x:c>
      <x:c r="J4160" s="68" t="n">
        <x:f>IFERROR(H4160/I4160,"")</x:f>
        <x:v>1.4210526315789473</x:v>
      </x:c>
      <x:c r="K4160" s="69" t="n">
        <x:f>IFERROR(I4160/H4160,"")</x:f>
        <x:v>0.7037037037037037</x:v>
      </x:c>
      <x:c r="L4160" s="66" t="str">
        <x:f>IF(K4160="","","1 : "&amp;TEXT(K4160,"0.0"))</x:f>
        <x:v>1 : 0.7</x:v>
      </x:c>
      <x:c r="M4160" s="66" t="str">
        <x:f>IF(J4160="","Baru/Tanpa Data",IF(J4160&lt;='Catatan &amp; Sumber'!$B$14,"Sangat Ketat",IF(J4160&lt;='Catatan &amp; Sumber'!$B$15,"Ketat",IF(J4160&lt;='Catatan &amp; Sumber'!$B$16,"Sedang","Relatif Longgar"))))</x:f>
        <x:v>Relatif Longgar</x:v>
      </x:c>
      <x:c r="N4160" s="66" t="str">
        <x:v>Tidak Ada</x:v>
      </x:c>
      <x:c r="O4160" s="66" t="str">
        <x:v>Nusa Tenggara Timur</x:v>
      </x:c>
      <x:c r="P4160" s="66" t="str">
        <x:v>Kota Kupang</x:v>
      </x:c>
      <x:c r="Q4160" s="66" t="str">
        <x:v>https://snpmb.id/snbp/daya-tampung-snbp</x:v>
      </x:c>
      <x:c r="R4160" s="66" t="str">
        <x:v>https://sidatagrun-public-1076756628210.asia-southeast2.run.app/ptn_sn.php?ptn=642</x:v>
      </x:c>
    </x:row>
    <x:row r="4161">
      <x:c r="A4161" s="87" t="n">
        <x:v>4805</x:v>
      </x:c>
      <x:c r="B4161" s="66" t="n">
        <x:v>642</x:v>
      </x:c>
      <x:c r="C4161" s="66" t="str">
        <x:v>POLITEKNIK PERTANIAN NEGERI KUPANG</x:v>
      </x:c>
      <x:c r="D4161" s="66" t="str">
        <x:v>PTN Vokasi</x:v>
      </x:c>
      <x:c r="E4161" s="66" t="str">
        <x:v>26422005</x:v>
      </x:c>
      <x:c r="F4161" s="66" t="str">
        <x:v>AGRIBISNIS PERIKANAN</x:v>
      </x:c>
      <x:c r="G4161" s="66" t="str">
        <x:v>Sarjana Terapan</x:v>
      </x:c>
      <x:c r="H4161" s="87" t="n">
        <x:v>18</x:v>
      </x:c>
      <x:c r="I4161" s="87" t="n">
        <x:v>5</x:v>
      </x:c>
      <x:c r="J4161" s="68" t="n">
        <x:f>IFERROR(H4161/I4161,"")</x:f>
        <x:v>3.6</x:v>
      </x:c>
      <x:c r="K4161" s="69" t="n">
        <x:f>IFERROR(I4161/H4161,"")</x:f>
        <x:v>0.2777777777777778</x:v>
      </x:c>
      <x:c r="L4161" s="66" t="str">
        <x:f>IF(K4161="","","1 : "&amp;TEXT(K4161,"0.0"))</x:f>
        <x:v>1 : 0.3</x:v>
      </x:c>
      <x:c r="M4161" s="66" t="str">
        <x:f>IF(J4161="","Baru/Tanpa Data",IF(J4161&lt;='Catatan &amp; Sumber'!$B$14,"Sangat Ketat",IF(J4161&lt;='Catatan &amp; Sumber'!$B$15,"Ketat",IF(J4161&lt;='Catatan &amp; Sumber'!$B$16,"Sedang","Relatif Longgar"))))</x:f>
        <x:v>Relatif Longgar</x:v>
      </x:c>
      <x:c r="N4161" s="66" t="str">
        <x:v>Tidak Ada</x:v>
      </x:c>
      <x:c r="O4161" s="66" t="str">
        <x:v>Nusa Tenggara Timur</x:v>
      </x:c>
      <x:c r="P4161" s="66" t="str">
        <x:v>Kota Kupang</x:v>
      </x:c>
      <x:c r="Q4161" s="66" t="str">
        <x:v>https://snpmb.id/snbp/daya-tampung-snbp</x:v>
      </x:c>
      <x:c r="R4161" s="66" t="str">
        <x:v>https://sidatagrun-public-1076756628210.asia-southeast2.run.app/ptn_sn.php?ptn=642</x:v>
      </x:c>
    </x:row>
    <x:row r="4162">
      <x:c r="A4162" s="87" t="n">
        <x:v>4399</x:v>
      </x:c>
      <x:c r="B4162" s="66" t="n">
        <x:v>642</x:v>
      </x:c>
      <x:c r="C4162" s="66" t="str">
        <x:v>POLITEKNIK PERTANIAN NEGERI KUPANG</x:v>
      </x:c>
      <x:c r="D4162" s="66" t="str">
        <x:v>PTN Vokasi</x:v>
      </x:c>
      <x:c r="E4162" s="66" t="str">
        <x:v>26422006</x:v>
      </x:c>
      <x:c r="F4162" s="66" t="str">
        <x:v>TEKNOLOGI REKAYASA PANGAN</x:v>
      </x:c>
      <x:c r="G4162" s="66" t="str">
        <x:v>Sarjana Terapan</x:v>
      </x:c>
      <x:c r="H4162" s="87" t="n">
        <x:v>9</x:v>
      </x:c>
      <x:c r="I4162" s="87" t="n">
        <x:v>8</x:v>
      </x:c>
      <x:c r="J4162" s="68" t="n">
        <x:f>IFERROR(H4162/I4162,"")</x:f>
        <x:v>1.125</x:v>
      </x:c>
      <x:c r="K4162" s="69" t="n">
        <x:f>IFERROR(I4162/H4162,"")</x:f>
        <x:v>0.8888888888888888</x:v>
      </x:c>
      <x:c r="L4162" s="66" t="str">
        <x:f>IF(K4162="","","1 : "&amp;TEXT(K4162,"0.0"))</x:f>
        <x:v>1 : 0.9</x:v>
      </x:c>
      <x:c r="M4162" s="66" t="str">
        <x:f>IF(J4162="","Baru/Tanpa Data",IF(J4162&lt;='Catatan &amp; Sumber'!$B$14,"Sangat Ketat",IF(J4162&lt;='Catatan &amp; Sumber'!$B$15,"Ketat",IF(J4162&lt;='Catatan &amp; Sumber'!$B$16,"Sedang","Relatif Longgar"))))</x:f>
        <x:v>Relatif Longgar</x:v>
      </x:c>
      <x:c r="N4162" s="66" t="str">
        <x:v>Tidak Ada</x:v>
      </x:c>
      <x:c r="O4162" s="66" t="str">
        <x:v>Nusa Tenggara Timur</x:v>
      </x:c>
      <x:c r="P4162" s="66" t="str">
        <x:v>Kota Kupang</x:v>
      </x:c>
      <x:c r="Q4162" s="66" t="str">
        <x:v>https://snpmb.id/snbp/daya-tampung-snbp</x:v>
      </x:c>
      <x:c r="R4162" s="66" t="str">
        <x:v>https://sidatagrun-public-1076756628210.asia-southeast2.run.app/ptn_sn.php?ptn=642</x:v>
      </x:c>
    </x:row>
    <x:row r="4163">
      <x:c r="A4163" s="87" t="n">
        <x:v>4458</x:v>
      </x:c>
      <x:c r="B4163" s="66" t="n">
        <x:v>642</x:v>
      </x:c>
      <x:c r="C4163" s="66" t="str">
        <x:v>POLITEKNIK PERTANIAN NEGERI KUPANG</x:v>
      </x:c>
      <x:c r="D4163" s="66" t="str">
        <x:v>PTN Vokasi</x:v>
      </x:c>
      <x:c r="E4163" s="66" t="str">
        <x:v>26422010</x:v>
      </x:c>
      <x:c r="F4163" s="66" t="str">
        <x:v>PENGELOLAAN AGRIBISNIS</x:v>
      </x:c>
      <x:c r="G4163" s="66" t="str">
        <x:v>Sarjana Terapan</x:v>
      </x:c>
      <x:c r="H4163" s="87" t="n">
        <x:v>27</x:v>
      </x:c>
      <x:c r="I4163" s="87" t="n">
        <x:v>22</x:v>
      </x:c>
      <x:c r="J4163" s="68" t="n">
        <x:f>IFERROR(H4163/I4163,"")</x:f>
        <x:v>1.2272727272727273</x:v>
      </x:c>
      <x:c r="K4163" s="69" t="n">
        <x:f>IFERROR(I4163/H4163,"")</x:f>
        <x:v>0.8148148148148148</x:v>
      </x:c>
      <x:c r="L4163" s="66" t="str">
        <x:f>IF(K4163="","","1 : "&amp;TEXT(K4163,"0.0"))</x:f>
        <x:v>1 : 0.8</x:v>
      </x:c>
      <x:c r="M4163" s="66" t="str">
        <x:f>IF(J4163="","Baru/Tanpa Data",IF(J4163&lt;='Catatan &amp; Sumber'!$B$14,"Sangat Ketat",IF(J4163&lt;='Catatan &amp; Sumber'!$B$15,"Ketat",IF(J4163&lt;='Catatan &amp; Sumber'!$B$16,"Sedang","Relatif Longgar"))))</x:f>
        <x:v>Relatif Longgar</x:v>
      </x:c>
      <x:c r="N4163" s="66" t="str">
        <x:v>Tidak Ada</x:v>
      </x:c>
      <x:c r="O4163" s="66" t="str">
        <x:v>Nusa Tenggara Timur</x:v>
      </x:c>
      <x:c r="P4163" s="66" t="str">
        <x:v>Kota Kupang</x:v>
      </x:c>
      <x:c r="Q4163" s="66" t="str">
        <x:v>https://snpmb.id/snbp/daya-tampung-snbp</x:v>
      </x:c>
      <x:c r="R4163" s="66" t="str">
        <x:v>https://sidatagrun-public-1076756628210.asia-southeast2.run.app/ptn_sn.php?ptn=642</x:v>
      </x:c>
    </x:row>
    <x:row r="4164">
      <x:c r="A4164" s="87"/>
      <x:c r="B4164" s="66" t="n">
        <x:v>642</x:v>
      </x:c>
      <x:c r="C4164" s="66" t="str">
        <x:v>POLITEKNIK PERTANIAN NEGERI KUPANG</x:v>
      </x:c>
      <x:c r="D4164" s="66" t="str">
        <x:v>PTN Vokasi</x:v>
      </x:c>
      <x:c r="E4164" s="66" t="str">
        <x:v>26422015</x:v>
      </x:c>
      <x:c r="F4164" s="66" t="str">
        <x:v>TEKNOLOGI BUDIDAYA PERIKANAN</x:v>
      </x:c>
      <x:c r="G4164" s="66" t="str">
        <x:v>Sarjana Terapan</x:v>
      </x:c>
      <x:c r="H4164" s="87" t="n">
        <x:v>18</x:v>
      </x:c>
      <x:c r="I4164" s="87"/>
      <x:c r="J4164" s="68" t="str">
        <x:f>IFERROR(H4164/I4164,"")</x:f>
      </x:c>
      <x:c r="K4164" s="69" t="n">
        <x:f>IFERROR(I4164/H4164,"")</x:f>
        <x:v>0</x:v>
      </x:c>
      <x:c r="L4164" s="66" t="str">
        <x:f>IF(K4164="","","1 : "&amp;TEXT(K4164,"0.0"))</x:f>
      </x:c>
      <x:c r="M4164" s="66" t="str">
        <x:f>IF(J4164="","Baru/Tanpa Data",IF(J4164&lt;='Catatan &amp; Sumber'!$B$14,"Sangat Ketat",IF(J4164&lt;='Catatan &amp; Sumber'!$B$15,"Ketat",IF(J4164&lt;='Catatan &amp; Sumber'!$B$16,"Sedang","Relatif Longgar"))))</x:f>
        <x:v>Baru/Tanpa Data</x:v>
      </x:c>
      <x:c r="N4164" s="66" t="str">
        <x:v>Tidak Ada</x:v>
      </x:c>
      <x:c r="O4164" s="66" t="str">
        <x:v>Nusa Tenggara Timur</x:v>
      </x:c>
      <x:c r="P4164" s="66" t="str">
        <x:v>Kota Kupang</x:v>
      </x:c>
      <x:c r="Q4164" s="66" t="str">
        <x:v>https://snpmb.id/snbp/daya-tampung-snbp</x:v>
      </x:c>
      <x:c r="R4164" s="66" t="str">
        <x:v>https://sidatagrun-public-1076756628210.asia-southeast2.run.app/ptn_sn.php?ptn=642</x:v>
      </x:c>
    </x:row>
    <x:row r="4165">
      <x:c r="A4165" s="87"/>
      <x:c r="B4165" s="66" t="n">
        <x:v>642</x:v>
      </x:c>
      <x:c r="C4165" s="66" t="str">
        <x:v>POLITEKNIK PERTANIAN NEGERI KUPANG</x:v>
      </x:c>
      <x:c r="D4165" s="66" t="str">
        <x:v>PTN Vokasi</x:v>
      </x:c>
      <x:c r="E4165" s="66" t="str">
        <x:v>26422016</x:v>
      </x:c>
      <x:c r="F4165" s="66" t="str">
        <x:v>TEKNOLOGI PRODUKSI TERNAK</x:v>
      </x:c>
      <x:c r="G4165" s="66" t="str">
        <x:v>Sarjana Terapan</x:v>
      </x:c>
      <x:c r="H4165" s="87" t="n">
        <x:v>18</x:v>
      </x:c>
      <x:c r="I4165" s="87"/>
      <x:c r="J4165" s="68" t="str">
        <x:f>IFERROR(H4165/I4165,"")</x:f>
      </x:c>
      <x:c r="K4165" s="69" t="n">
        <x:f>IFERROR(I4165/H4165,"")</x:f>
        <x:v>0</x:v>
      </x:c>
      <x:c r="L4165" s="66" t="str">
        <x:f>IF(K4165="","","1 : "&amp;TEXT(K4165,"0.0"))</x:f>
      </x:c>
      <x:c r="M4165" s="66" t="str">
        <x:f>IF(J4165="","Baru/Tanpa Data",IF(J4165&lt;='Catatan &amp; Sumber'!$B$14,"Sangat Ketat",IF(J4165&lt;='Catatan &amp; Sumber'!$B$15,"Ketat",IF(J4165&lt;='Catatan &amp; Sumber'!$B$16,"Sedang","Relatif Longgar"))))</x:f>
        <x:v>Baru/Tanpa Data</x:v>
      </x:c>
      <x:c r="N4165" s="66" t="str">
        <x:v>Tidak Ada</x:v>
      </x:c>
      <x:c r="O4165" s="66" t="str">
        <x:v>Nusa Tenggara Timur</x:v>
      </x:c>
      <x:c r="P4165" s="66" t="str">
        <x:v>Kota Kupang</x:v>
      </x:c>
      <x:c r="Q4165" s="66" t="str">
        <x:v>https://snpmb.id/snbp/daya-tampung-snbp</x:v>
      </x:c>
      <x:c r="R4165" s="66" t="str">
        <x:v>https://sidatagrun-public-1076756628210.asia-southeast2.run.app/ptn_sn.php?ptn=642</x:v>
      </x:c>
    </x:row>
    <x:row r="4166">
      <x:c r="A4166" s="87" t="n">
        <x:v>4652</x:v>
      </x:c>
      <x:c r="B4166" s="66" t="n">
        <x:v>642</x:v>
      </x:c>
      <x:c r="C4166" s="66" t="str">
        <x:v>POLITEKNIK PERTANIAN NEGERI KUPANG</x:v>
      </x:c>
      <x:c r="D4166" s="66" t="str">
        <x:v>PTN Vokasi</x:v>
      </x:c>
      <x:c r="E4166" s="66" t="str">
        <x:v>26423007</x:v>
      </x:c>
      <x:c r="F4166" s="66" t="str">
        <x:v>TANAMAN PANGAN DAN HORTIKULTURA</x:v>
      </x:c>
      <x:c r="G4166" s="66" t="str">
        <x:v>Diploma Tiga</x:v>
      </x:c>
      <x:c r="H4166" s="87" t="n">
        <x:v>6</x:v>
      </x:c>
      <x:c r="I4166" s="87" t="n">
        <x:v>3</x:v>
      </x:c>
      <x:c r="J4166" s="68" t="n">
        <x:f>IFERROR(H4166/I4166,"")</x:f>
        <x:v>2</x:v>
      </x:c>
      <x:c r="K4166" s="69" t="n">
        <x:f>IFERROR(I4166/H4166,"")</x:f>
        <x:v>0.5</x:v>
      </x:c>
      <x:c r="L4166" s="66" t="str">
        <x:f>IF(K4166="","","1 : "&amp;TEXT(K4166,"0.0"))</x:f>
        <x:v>1 : 0.5</x:v>
      </x:c>
      <x:c r="M4166" s="66" t="str">
        <x:f>IF(J4166="","Baru/Tanpa Data",IF(J4166&lt;='Catatan &amp; Sumber'!$B$14,"Sangat Ketat",IF(J4166&lt;='Catatan &amp; Sumber'!$B$15,"Ketat",IF(J4166&lt;='Catatan &amp; Sumber'!$B$16,"Sedang","Relatif Longgar"))))</x:f>
        <x:v>Relatif Longgar</x:v>
      </x:c>
      <x:c r="N4166" s="66" t="str">
        <x:v>Tidak Ada</x:v>
      </x:c>
      <x:c r="O4166" s="66" t="str">
        <x:v>Nusa Tenggara Timur</x:v>
      </x:c>
      <x:c r="P4166" s="66" t="str">
        <x:v>Kota Kupang</x:v>
      </x:c>
      <x:c r="Q4166" s="66" t="str">
        <x:v>https://snpmb.id/snbp/daya-tampung-snbp</x:v>
      </x:c>
      <x:c r="R4166" s="66" t="str">
        <x:v>https://sidatagrun-public-1076756628210.asia-southeast2.run.app/ptn_sn.php?ptn=642</x:v>
      </x:c>
    </x:row>
    <x:row r="4167">
      <x:c r="A4167" s="87" t="n">
        <x:v>4644</x:v>
      </x:c>
      <x:c r="B4167" s="66" t="n">
        <x:v>642</x:v>
      </x:c>
      <x:c r="C4167" s="66" t="str">
        <x:v>POLITEKNIK PERTANIAN NEGERI KUPANG</x:v>
      </x:c>
      <x:c r="D4167" s="66" t="str">
        <x:v>PTN Vokasi</x:v>
      </x:c>
      <x:c r="E4167" s="66" t="str">
        <x:v>26423008</x:v>
      </x:c>
      <x:c r="F4167" s="66" t="str">
        <x:v>MANAJEMEN SUMBER DAYA HUTAN</x:v>
      </x:c>
      <x:c r="G4167" s="66" t="str">
        <x:v>Diploma Tiga</x:v>
      </x:c>
      <x:c r="H4167" s="87" t="n">
        <x:v>11</x:v>
      </x:c>
      <x:c r="I4167" s="87" t="n">
        <x:v>6</x:v>
      </x:c>
      <x:c r="J4167" s="68" t="n">
        <x:f>IFERROR(H4167/I4167,"")</x:f>
        <x:v>1.8333333333333333</x:v>
      </x:c>
      <x:c r="K4167" s="69" t="n">
        <x:f>IFERROR(I4167/H4167,"")</x:f>
        <x:v>0.5454545454545454</x:v>
      </x:c>
      <x:c r="L4167" s="66" t="str">
        <x:f>IF(K4167="","","1 : "&amp;TEXT(K4167,"0.0"))</x:f>
        <x:v>1 : 0.5</x:v>
      </x:c>
      <x:c r="M4167" s="66" t="str">
        <x:f>IF(J4167="","Baru/Tanpa Data",IF(J4167&lt;='Catatan &amp; Sumber'!$B$14,"Sangat Ketat",IF(J4167&lt;='Catatan &amp; Sumber'!$B$15,"Ketat",IF(J4167&lt;='Catatan &amp; Sumber'!$B$16,"Sedang","Relatif Longgar"))))</x:f>
        <x:v>Relatif Longgar</x:v>
      </x:c>
      <x:c r="N4167" s="66" t="str">
        <x:v>Tidak Ada</x:v>
      </x:c>
      <x:c r="O4167" s="66" t="str">
        <x:v>Nusa Tenggara Timur</x:v>
      </x:c>
      <x:c r="P4167" s="66" t="str">
        <x:v>Kota Kupang</x:v>
      </x:c>
      <x:c r="Q4167" s="66" t="str">
        <x:v>https://snpmb.id/snbp/daya-tampung-snbp</x:v>
      </x:c>
      <x:c r="R4167" s="66" t="str">
        <x:v>https://sidatagrun-public-1076756628210.asia-southeast2.run.app/ptn_sn.php?ptn=642</x:v>
      </x:c>
    </x:row>
    <x:row r="4168">
      <x:c r="A4168" s="87" t="n">
        <x:v>4652</x:v>
      </x:c>
      <x:c r="B4168" s="66" t="n">
        <x:v>642</x:v>
      </x:c>
      <x:c r="C4168" s="66" t="str">
        <x:v>POLITEKNIK PERTANIAN NEGERI KUPANG</x:v>
      </x:c>
      <x:c r="D4168" s="66" t="str">
        <x:v>PTN Vokasi</x:v>
      </x:c>
      <x:c r="E4168" s="66" t="str">
        <x:v>26423011</x:v>
      </x:c>
      <x:c r="F4168" s="66" t="str">
        <x:v>TEKNOLOGI BUDIDAYA PERIKANAN</x:v>
      </x:c>
      <x:c r="G4168" s="66" t="str">
        <x:v>Diploma Tiga</x:v>
      </x:c>
      <x:c r="H4168" s="87" t="n">
        <x:v>6</x:v>
      </x:c>
      <x:c r="I4168" s="87" t="n">
        <x:v>3</x:v>
      </x:c>
      <x:c r="J4168" s="68" t="n">
        <x:f>IFERROR(H4168/I4168,"")</x:f>
        <x:v>2</x:v>
      </x:c>
      <x:c r="K4168" s="69" t="n">
        <x:f>IFERROR(I4168/H4168,"")</x:f>
        <x:v>0.5</x:v>
      </x:c>
      <x:c r="L4168" s="66" t="str">
        <x:f>IF(K4168="","","1 : "&amp;TEXT(K4168,"0.0"))</x:f>
        <x:v>1 : 0.5</x:v>
      </x:c>
      <x:c r="M4168" s="66" t="str">
        <x:f>IF(J4168="","Baru/Tanpa Data",IF(J4168&lt;='Catatan &amp; Sumber'!$B$14,"Sangat Ketat",IF(J4168&lt;='Catatan &amp; Sumber'!$B$15,"Ketat",IF(J4168&lt;='Catatan &amp; Sumber'!$B$16,"Sedang","Relatif Longgar"))))</x:f>
        <x:v>Relatif Longgar</x:v>
      </x:c>
      <x:c r="N4168" s="66" t="str">
        <x:v>Tidak Ada</x:v>
      </x:c>
      <x:c r="O4168" s="66" t="str">
        <x:v>Nusa Tenggara Timur</x:v>
      </x:c>
      <x:c r="P4168" s="66" t="str">
        <x:v>Kota Kupang</x:v>
      </x:c>
      <x:c r="Q4168" s="66" t="str">
        <x:v>https://snpmb.id/snbp/daya-tampung-snbp</x:v>
      </x:c>
      <x:c r="R4168" s="66" t="str">
        <x:v>https://sidatagrun-public-1076756628210.asia-southeast2.run.app/ptn_sn.php?ptn=642</x:v>
      </x:c>
    </x:row>
    <x:row r="4169">
      <x:c r="A4169" s="87" t="n">
        <x:v>4503</x:v>
      </x:c>
      <x:c r="B4169" s="66" t="n">
        <x:v>642</x:v>
      </x:c>
      <x:c r="C4169" s="66" t="str">
        <x:v>POLITEKNIK PERTANIAN NEGERI KUPANG</x:v>
      </x:c>
      <x:c r="D4169" s="66" t="str">
        <x:v>PTN Vokasi</x:v>
      </x:c>
      <x:c r="E4169" s="66" t="str">
        <x:v>26423012</x:v>
      </x:c>
      <x:c r="F4169" s="66" t="str">
        <x:v>PRODUKSI TERNAK</x:v>
      </x:c>
      <x:c r="G4169" s="66" t="str">
        <x:v>Diploma Tiga</x:v>
      </x:c>
      <x:c r="H4169" s="87" t="n">
        <x:v>12</x:v>
      </x:c>
      <x:c r="I4169" s="87" t="n">
        <x:v>9</x:v>
      </x:c>
      <x:c r="J4169" s="68" t="n">
        <x:f>IFERROR(H4169/I4169,"")</x:f>
        <x:v>1.3333333333333333</x:v>
      </x:c>
      <x:c r="K4169" s="69" t="n">
        <x:f>IFERROR(I4169/H4169,"")</x:f>
        <x:v>0.75</x:v>
      </x:c>
      <x:c r="L4169" s="66" t="str">
        <x:f>IF(K4169="","","1 : "&amp;TEXT(K4169,"0.0"))</x:f>
        <x:v>1 : 0.8</x:v>
      </x:c>
      <x:c r="M4169" s="66" t="str">
        <x:f>IF(J4169="","Baru/Tanpa Data",IF(J4169&lt;='Catatan &amp; Sumber'!$B$14,"Sangat Ketat",IF(J4169&lt;='Catatan &amp; Sumber'!$B$15,"Ketat",IF(J4169&lt;='Catatan &amp; Sumber'!$B$16,"Sedang","Relatif Longgar"))))</x:f>
        <x:v>Relatif Longgar</x:v>
      </x:c>
      <x:c r="N4169" s="66" t="str">
        <x:v>Tidak Ada</x:v>
      </x:c>
      <x:c r="O4169" s="66" t="str">
        <x:v>Nusa Tenggara Timur</x:v>
      </x:c>
      <x:c r="P4169" s="66" t="str">
        <x:v>Kota Kupang</x:v>
      </x:c>
      <x:c r="Q4169" s="66" t="str">
        <x:v>https://snpmb.id/snbp/daya-tampung-snbp</x:v>
      </x:c>
      <x:c r="R4169" s="66" t="str">
        <x:v>https://sidatagrun-public-1076756628210.asia-southeast2.run.app/ptn_sn.php?ptn=642</x:v>
      </x:c>
    </x:row>
    <x:row r="4170">
      <x:c r="A4170" s="87" t="n">
        <x:v>4853</x:v>
      </x:c>
      <x:c r="B4170" s="66" t="n">
        <x:v>642</x:v>
      </x:c>
      <x:c r="C4170" s="66" t="str">
        <x:v>POLITEKNIK PERTANIAN NEGERI KUPANG</x:v>
      </x:c>
      <x:c r="D4170" s="66" t="str">
        <x:v>PTN Vokasi</x:v>
      </x:c>
      <x:c r="E4170" s="66" t="str">
        <x:v>26423013</x:v>
      </x:c>
      <x:c r="F4170" s="66" t="str">
        <x:v>MANAJEMEN PERTANIAN LAHAN KERING</x:v>
      </x:c>
      <x:c r="G4170" s="66" t="str">
        <x:v>Diploma Tiga</x:v>
      </x:c>
      <x:c r="H4170" s="87" t="n">
        <x:v>11</x:v>
      </x:c>
      <x:c r="I4170" s="87" t="n">
        <x:v>2</x:v>
      </x:c>
      <x:c r="J4170" s="68" t="n">
        <x:f>IFERROR(H4170/I4170,"")</x:f>
        <x:v>5.5</x:v>
      </x:c>
      <x:c r="K4170" s="69" t="n">
        <x:f>IFERROR(I4170/H4170,"")</x:f>
        <x:v>0.18181818181818182</x:v>
      </x:c>
      <x:c r="L4170" s="66" t="str">
        <x:f>IF(K4170="","","1 : "&amp;TEXT(K4170,"0.0"))</x:f>
        <x:v>1 : 0.2</x:v>
      </x:c>
      <x:c r="M4170" s="66" t="str">
        <x:f>IF(J4170="","Baru/Tanpa Data",IF(J4170&lt;='Catatan &amp; Sumber'!$B$14,"Sangat Ketat",IF(J4170&lt;='Catatan &amp; Sumber'!$B$15,"Ketat",IF(J4170&lt;='Catatan &amp; Sumber'!$B$16,"Sedang","Relatif Longgar"))))</x:f>
        <x:v>Relatif Longgar</x:v>
      </x:c>
      <x:c r="N4170" s="66" t="str">
        <x:v>Tidak Ada</x:v>
      </x:c>
      <x:c r="O4170" s="66" t="str">
        <x:v>Nusa Tenggara Timur</x:v>
      </x:c>
      <x:c r="P4170" s="66" t="str">
        <x:v>Kota Kupang</x:v>
      </x:c>
      <x:c r="Q4170" s="66" t="str">
        <x:v>https://snpmb.id/snbp/daya-tampung-snbp</x:v>
      </x:c>
      <x:c r="R4170" s="66" t="str">
        <x:v>https://sidatagrun-public-1076756628210.asia-southeast2.run.app/ptn_sn.php?ptn=642</x:v>
      </x:c>
    </x:row>
    <x:row r="4171">
      <x:c r="A4171" s="87" t="n">
        <x:v>3686</x:v>
      </x:c>
      <x:c r="B4171" s="66" t="n">
        <x:v>642</x:v>
      </x:c>
      <x:c r="C4171" s="66" t="str">
        <x:v>POLITEKNIK PERTANIAN NEGERI KUPANG</x:v>
      </x:c>
      <x:c r="D4171" s="66" t="str">
        <x:v>PTN Vokasi</x:v>
      </x:c>
      <x:c r="E4171" s="66" t="str">
        <x:v>26423014</x:v>
      </x:c>
      <x:c r="F4171" s="66" t="str">
        <x:v>KESEHATAN HEWAN</x:v>
      </x:c>
      <x:c r="G4171" s="66" t="str">
        <x:v>Diploma Tiga</x:v>
      </x:c>
      <x:c r="H4171" s="87" t="n">
        <x:v>23</x:v>
      </x:c>
      <x:c r="I4171" s="87" t="n">
        <x:v>45</x:v>
      </x:c>
      <x:c r="J4171" s="68" t="n">
        <x:f>IFERROR(H4171/I4171,"")</x:f>
        <x:v>0.5111111111111111</x:v>
      </x:c>
      <x:c r="K4171" s="69" t="n">
        <x:f>IFERROR(I4171/H4171,"")</x:f>
        <x:v>1.9565217391304348</x:v>
      </x:c>
      <x:c r="L4171" s="66" t="str">
        <x:f>IF(K4171="","","1 : "&amp;TEXT(K4171,"0.0"))</x:f>
        <x:v>1 : 2.0</x:v>
      </x:c>
      <x:c r="M4171" s="66" t="str">
        <x:f>IF(J4171="","Baru/Tanpa Data",IF(J4171&lt;='Catatan &amp; Sumber'!$B$14,"Sangat Ketat",IF(J4171&lt;='Catatan &amp; Sumber'!$B$15,"Ketat",IF(J4171&lt;='Catatan &amp; Sumber'!$B$16,"Sedang","Relatif Longgar"))))</x:f>
        <x:v>Relatif Longgar</x:v>
      </x:c>
      <x:c r="N4171" s="66" t="str">
        <x:v>Tidak Ada</x:v>
      </x:c>
      <x:c r="O4171" s="66" t="str">
        <x:v>Nusa Tenggara Timur</x:v>
      </x:c>
      <x:c r="P4171" s="66" t="str">
        <x:v>Kota Kupang</x:v>
      </x:c>
      <x:c r="Q4171" s="66" t="str">
        <x:v>https://snpmb.id/snbp/daya-tampung-snbp</x:v>
      </x:c>
      <x:c r="R4171" s="66" t="str">
        <x:v>https://sidatagrun-public-1076756628210.asia-southeast2.run.app/ptn_sn.php?ptn=642</x:v>
      </x:c>
    </x:row>
    <x:row r="4172">
      <x:c r="A4172" s="87" t="n">
        <x:v>2442</x:v>
      </x:c>
      <x:c r="B4172" s="66" t="n">
        <x:v>711</x:v>
      </x:c>
      <x:c r="C4172" s="66" t="str">
        <x:v>UNIVERSITAS HASANUDDIN</x:v>
      </x:c>
      <x:c r="D4172" s="66" t="str">
        <x:v>PTN Akademik</x:v>
      </x:c>
      <x:c r="E4172" s="66" t="str">
        <x:v>17111001</x:v>
      </x:c>
      <x:c r="F4172" s="66" t="str">
        <x:v>MATEMATIKA</x:v>
      </x:c>
      <x:c r="G4172" s="66" t="str">
        <x:v>Sarjana</x:v>
      </x:c>
      <x:c r="H4172" s="87" t="n">
        <x:v>32</x:v>
      </x:c>
      <x:c r="I4172" s="87" t="n">
        <x:v>159</x:v>
      </x:c>
      <x:c r="J4172" s="68" t="n">
        <x:f>IFERROR(H4172/I4172,"")</x:f>
        <x:v>0.20125786163522014</x:v>
      </x:c>
      <x:c r="K4172" s="69" t="n">
        <x:f>IFERROR(I4172/H4172,"")</x:f>
        <x:v>4.96875</x:v>
      </x:c>
      <x:c r="L4172" s="66" t="str">
        <x:f>IF(K4172="","","1 : "&amp;TEXT(K4172,"0.0"))</x:f>
        <x:v>1 : 5.0</x:v>
      </x:c>
      <x:c r="M4172" s="66" t="str">
        <x:f>IF(J4172="","Baru/Tanpa Data",IF(J4172&lt;='Catatan &amp; Sumber'!$B$14,"Sangat Ketat",IF(J4172&lt;='Catatan &amp; Sumber'!$B$15,"Ketat",IF(J4172&lt;='Catatan &amp; Sumber'!$B$16,"Sedang","Relatif Longgar"))))</x:f>
        <x:v>Relatif Longgar</x:v>
      </x:c>
      <x:c r="N4172" s="66" t="str">
        <x:v>Tidak Ada</x:v>
      </x:c>
      <x:c r="O4172" s="66" t="str">
        <x:v>Sulawesi Selatan</x:v>
      </x:c>
      <x:c r="P4172" s="66" t="str">
        <x:v>Kota Makassar</x:v>
      </x:c>
      <x:c r="Q4172" s="66" t="str">
        <x:v>https://snpmb.id/snbp/daya-tampung-snbp</x:v>
      </x:c>
      <x:c r="R4172" s="66" t="str">
        <x:v>https://sidatagrun-public-1076756628210.asia-southeast2.run.app/ptn_sn.php?ptn=711</x:v>
      </x:c>
    </x:row>
    <x:row r="4173">
      <x:c r="A4173" s="87" t="n">
        <x:v>3271</x:v>
      </x:c>
      <x:c r="B4173" s="66" t="n">
        <x:v>711</x:v>
      </x:c>
      <x:c r="C4173" s="66" t="str">
        <x:v>UNIVERSITAS HASANUDDIN</x:v>
      </x:c>
      <x:c r="D4173" s="66" t="str">
        <x:v>PTN Akademik</x:v>
      </x:c>
      <x:c r="E4173" s="66" t="str">
        <x:v>17111002</x:v>
      </x:c>
      <x:c r="F4173" s="66" t="str">
        <x:v>FISIKA</x:v>
      </x:c>
      <x:c r="G4173" s="66" t="str">
        <x:v>Sarjana</x:v>
      </x:c>
      <x:c r="H4173" s="87" t="n">
        <x:v>32</x:v>
      </x:c>
      <x:c r="I4173" s="87" t="n">
        <x:v>88</x:v>
      </x:c>
      <x:c r="J4173" s="68" t="n">
        <x:f>IFERROR(H4173/I4173,"")</x:f>
        <x:v>0.36363636363636365</x:v>
      </x:c>
      <x:c r="K4173" s="69" t="n">
        <x:f>IFERROR(I4173/H4173,"")</x:f>
        <x:v>2.75</x:v>
      </x:c>
      <x:c r="L4173" s="66" t="str">
        <x:f>IF(K4173="","","1 : "&amp;TEXT(K4173,"0.0"))</x:f>
        <x:v>1 : 2.8</x:v>
      </x:c>
      <x:c r="M4173" s="66" t="str">
        <x:f>IF(J4173="","Baru/Tanpa Data",IF(J4173&lt;='Catatan &amp; Sumber'!$B$14,"Sangat Ketat",IF(J4173&lt;='Catatan &amp; Sumber'!$B$15,"Ketat",IF(J4173&lt;='Catatan &amp; Sumber'!$B$16,"Sedang","Relatif Longgar"))))</x:f>
        <x:v>Relatif Longgar</x:v>
      </x:c>
      <x:c r="N4173" s="66" t="str">
        <x:v>Tidak Ada</x:v>
      </x:c>
      <x:c r="O4173" s="66" t="str">
        <x:v>Sulawesi Selatan</x:v>
      </x:c>
      <x:c r="P4173" s="66" t="str">
        <x:v>Kota Makassar</x:v>
      </x:c>
      <x:c r="Q4173" s="66" t="str">
        <x:v>https://snpmb.id/snbp/daya-tampung-snbp</x:v>
      </x:c>
      <x:c r="R4173" s="66" t="str">
        <x:v>https://sidatagrun-public-1076756628210.asia-southeast2.run.app/ptn_sn.php?ptn=711</x:v>
      </x:c>
    </x:row>
    <x:row r="4174">
      <x:c r="A4174" s="87" t="n">
        <x:v>1050</x:v>
      </x:c>
      <x:c r="B4174" s="66" t="n">
        <x:v>711</x:v>
      </x:c>
      <x:c r="C4174" s="66" t="str">
        <x:v>UNIVERSITAS HASANUDDIN</x:v>
      </x:c>
      <x:c r="D4174" s="66" t="str">
        <x:v>PTN Akademik</x:v>
      </x:c>
      <x:c r="E4174" s="66" t="str">
        <x:v>17111003</x:v>
      </x:c>
      <x:c r="F4174" s="66" t="str">
        <x:v>KESEHATAN MASYARAKAT</x:v>
      </x:c>
      <x:c r="G4174" s="66" t="str">
        <x:v>Sarjana</x:v>
      </x:c>
      <x:c r="H4174" s="87" t="n">
        <x:v>119</x:v>
      </x:c>
      <x:c r="I4174" s="87" t="n">
        <x:v>1466</x:v>
      </x:c>
      <x:c r="J4174" s="68" t="n">
        <x:f>IFERROR(H4174/I4174,"")</x:f>
        <x:v>0.08117326057298772</x:v>
      </x:c>
      <x:c r="K4174" s="69" t="n">
        <x:f>IFERROR(I4174/H4174,"")</x:f>
        <x:v>12.319327731092438</x:v>
      </x:c>
      <x:c r="L4174" s="66" t="str">
        <x:f>IF(K4174="","","1 : "&amp;TEXT(K4174,"0.0"))</x:f>
        <x:v>1 : 12.3</x:v>
      </x:c>
      <x:c r="M4174" s="66" t="str">
        <x:f>IF(J4174="","Baru/Tanpa Data",IF(J4174&lt;='Catatan &amp; Sumber'!$B$14,"Sangat Ketat",IF(J4174&lt;='Catatan &amp; Sumber'!$B$15,"Ketat",IF(J4174&lt;='Catatan &amp; Sumber'!$B$16,"Sedang","Relatif Longgar"))))</x:f>
        <x:v>Sedang</x:v>
      </x:c>
      <x:c r="N4174" s="66" t="str">
        <x:v>Tidak Ada</x:v>
      </x:c>
      <x:c r="O4174" s="66" t="str">
        <x:v>Sulawesi Selatan</x:v>
      </x:c>
      <x:c r="P4174" s="66" t="str">
        <x:v>Kota Makassar</x:v>
      </x:c>
      <x:c r="Q4174" s="66" t="str">
        <x:v>https://snpmb.id/snbp/daya-tampung-snbp</x:v>
      </x:c>
      <x:c r="R4174" s="66" t="str">
        <x:v>https://sidatagrun-public-1076756628210.asia-southeast2.run.app/ptn_sn.php?ptn=711</x:v>
      </x:c>
    </x:row>
    <x:row r="4175">
      <x:c r="A4175" s="87" t="n">
        <x:v>135</x:v>
      </x:c>
      <x:c r="B4175" s="66" t="n">
        <x:v>711</x:v>
      </x:c>
      <x:c r="C4175" s="66" t="str">
        <x:v>UNIVERSITAS HASANUDDIN</x:v>
      </x:c>
      <x:c r="D4175" s="66" t="str">
        <x:v>PTN Akademik</x:v>
      </x:c>
      <x:c r="E4175" s="66" t="str">
        <x:v>17111004</x:v>
      </x:c>
      <x:c r="F4175" s="66" t="str">
        <x:v>FARMASI</x:v>
      </x:c>
      <x:c r="G4175" s="66" t="str">
        <x:v>Sarjana</x:v>
      </x:c>
      <x:c r="H4175" s="87" t="n">
        <x:v>50</x:v>
      </x:c>
      <x:c r="I4175" s="87" t="n">
        <x:v>1572</x:v>
      </x:c>
      <x:c r="J4175" s="68" t="n">
        <x:f>IFERROR(H4175/I4175,"")</x:f>
        <x:v>0.031806615776081425</x:v>
      </x:c>
      <x:c r="K4175" s="69" t="n">
        <x:f>IFERROR(I4175/H4175,"")</x:f>
        <x:v>31.44</x:v>
      </x:c>
      <x:c r="L4175" s="66" t="str">
        <x:f>IF(K4175="","","1 : "&amp;TEXT(K4175,"0.0"))</x:f>
        <x:v>1 : 31.4</x:v>
      </x:c>
      <x:c r="M4175" s="66" t="str">
        <x:f>IF(J4175="","Baru/Tanpa Data",IF(J4175&lt;='Catatan &amp; Sumber'!$B$14,"Sangat Ketat",IF(J4175&lt;='Catatan &amp; Sumber'!$B$15,"Ketat",IF(J4175&lt;='Catatan &amp; Sumber'!$B$16,"Sedang","Relatif Longgar"))))</x:f>
        <x:v>Ketat</x:v>
      </x:c>
      <x:c r="N4175" s="66" t="str">
        <x:v>Tidak Ada</x:v>
      </x:c>
      <x:c r="O4175" s="66" t="str">
        <x:v>Sulawesi Selatan</x:v>
      </x:c>
      <x:c r="P4175" s="66" t="str">
        <x:v>Kota Makassar</x:v>
      </x:c>
      <x:c r="Q4175" s="66" t="str">
        <x:v>https://snpmb.id/snbp/daya-tampung-snbp</x:v>
      </x:c>
      <x:c r="R4175" s="66" t="str">
        <x:v>https://sidatagrun-public-1076756628210.asia-southeast2.run.app/ptn_sn.php?ptn=711</x:v>
      </x:c>
    </x:row>
    <x:row r="4176">
      <x:c r="A4176" s="87" t="n">
        <x:v>2411</x:v>
      </x:c>
      <x:c r="B4176" s="66" t="n">
        <x:v>711</x:v>
      </x:c>
      <x:c r="C4176" s="66" t="str">
        <x:v>UNIVERSITAS HASANUDDIN</x:v>
      </x:c>
      <x:c r="D4176" s="66" t="str">
        <x:v>PTN Akademik</x:v>
      </x:c>
      <x:c r="E4176" s="66" t="str">
        <x:v>17111005</x:v>
      </x:c>
      <x:c r="F4176" s="66" t="str">
        <x:v>KIMIA</x:v>
      </x:c>
      <x:c r="G4176" s="66" t="str">
        <x:v>Sarjana</x:v>
      </x:c>
      <x:c r="H4176" s="87" t="n">
        <x:v>40</x:v>
      </x:c>
      <x:c r="I4176" s="87" t="n">
        <x:v>203</x:v>
      </x:c>
      <x:c r="J4176" s="68" t="n">
        <x:f>IFERROR(H4176/I4176,"")</x:f>
        <x:v>0.19704433497536947</x:v>
      </x:c>
      <x:c r="K4176" s="69" t="n">
        <x:f>IFERROR(I4176/H4176,"")</x:f>
        <x:v>5.075</x:v>
      </x:c>
      <x:c r="L4176" s="66" t="str">
        <x:f>IF(K4176="","","1 : "&amp;TEXT(K4176,"0.0"))</x:f>
        <x:v>1 : 5.1</x:v>
      </x:c>
      <x:c r="M4176" s="66" t="str">
        <x:f>IF(J4176="","Baru/Tanpa Data",IF(J4176&lt;='Catatan &amp; Sumber'!$B$14,"Sangat Ketat",IF(J4176&lt;='Catatan &amp; Sumber'!$B$15,"Ketat",IF(J4176&lt;='Catatan &amp; Sumber'!$B$16,"Sedang","Relatif Longgar"))))</x:f>
        <x:v>Relatif Longgar</x:v>
      </x:c>
      <x:c r="N4176" s="66" t="str">
        <x:v>Tidak Ada</x:v>
      </x:c>
      <x:c r="O4176" s="66" t="str">
        <x:v>Sulawesi Selatan</x:v>
      </x:c>
      <x:c r="P4176" s="66" t="str">
        <x:v>Kota Makassar</x:v>
      </x:c>
      <x:c r="Q4176" s="66" t="str">
        <x:v>https://snpmb.id/snbp/daya-tampung-snbp</x:v>
      </x:c>
      <x:c r="R4176" s="66" t="str">
        <x:v>https://sidatagrun-public-1076756628210.asia-southeast2.run.app/ptn_sn.php?ptn=711</x:v>
      </x:c>
    </x:row>
    <x:row r="4177">
      <x:c r="A4177" s="87" t="n">
        <x:v>2703</x:v>
      </x:c>
      <x:c r="B4177" s="66" t="n">
        <x:v>711</x:v>
      </x:c>
      <x:c r="C4177" s="66" t="str">
        <x:v>UNIVERSITAS HASANUDDIN</x:v>
      </x:c>
      <x:c r="D4177" s="66" t="str">
        <x:v>PTN Akademik</x:v>
      </x:c>
      <x:c r="E4177" s="66" t="str">
        <x:v>17111006</x:v>
      </x:c>
      <x:c r="F4177" s="66" t="str">
        <x:v>BIOLOGI</x:v>
      </x:c>
      <x:c r="G4177" s="66" t="str">
        <x:v>Sarjana</x:v>
      </x:c>
      <x:c r="H4177" s="87" t="n">
        <x:v>40</x:v>
      </x:c>
      <x:c r="I4177" s="87" t="n">
        <x:v>164</x:v>
      </x:c>
      <x:c r="J4177" s="68" t="n">
        <x:f>IFERROR(H4177/I4177,"")</x:f>
        <x:v>0.24390243902439024</x:v>
      </x:c>
      <x:c r="K4177" s="69" t="n">
        <x:f>IFERROR(I4177/H4177,"")</x:f>
        <x:v>4.1</x:v>
      </x:c>
      <x:c r="L4177" s="66" t="str">
        <x:f>IF(K4177="","","1 : "&amp;TEXT(K4177,"0.0"))</x:f>
        <x:v>1 : 4.1</x:v>
      </x:c>
      <x:c r="M4177" s="66" t="str">
        <x:f>IF(J4177="","Baru/Tanpa Data",IF(J4177&lt;='Catatan &amp; Sumber'!$B$14,"Sangat Ketat",IF(J4177&lt;='Catatan &amp; Sumber'!$B$15,"Ketat",IF(J4177&lt;='Catatan &amp; Sumber'!$B$16,"Sedang","Relatif Longgar"))))</x:f>
        <x:v>Relatif Longgar</x:v>
      </x:c>
      <x:c r="N4177" s="66" t="str">
        <x:v>Tidak Ada</x:v>
      </x:c>
      <x:c r="O4177" s="66" t="str">
        <x:v>Sulawesi Selatan</x:v>
      </x:c>
      <x:c r="P4177" s="66" t="str">
        <x:v>Kota Makassar</x:v>
      </x:c>
      <x:c r="Q4177" s="66" t="str">
        <x:v>https://snpmb.id/snbp/daya-tampung-snbp</x:v>
      </x:c>
      <x:c r="R4177" s="66" t="str">
        <x:v>https://sidatagrun-public-1076756628210.asia-southeast2.run.app/ptn_sn.php?ptn=711</x:v>
      </x:c>
    </x:row>
    <x:row r="4178">
      <x:c r="A4178" s="87" t="n">
        <x:v>328</x:v>
      </x:c>
      <x:c r="B4178" s="66" t="n">
        <x:v>711</x:v>
      </x:c>
      <x:c r="C4178" s="66" t="str">
        <x:v>UNIVERSITAS HASANUDDIN</x:v>
      </x:c>
      <x:c r="D4178" s="66" t="str">
        <x:v>PTN Akademik</x:v>
      </x:c>
      <x:c r="E4178" s="66" t="str">
        <x:v>17111007</x:v>
      </x:c>
      <x:c r="F4178" s="66" t="str">
        <x:v>PENDIDIKAN DOKTER</x:v>
      </x:c>
      <x:c r="G4178" s="66" t="str">
        <x:v>Sarjana</x:v>
      </x:c>
      <x:c r="H4178" s="87" t="n">
        <x:v>69</x:v>
      </x:c>
      <x:c r="I4178" s="87" t="n">
        <x:v>1579</x:v>
      </x:c>
      <x:c r="J4178" s="68" t="n">
        <x:f>IFERROR(H4178/I4178,"")</x:f>
        <x:v>0.04369854338188727</x:v>
      </x:c>
      <x:c r="K4178" s="69" t="n">
        <x:f>IFERROR(I4178/H4178,"")</x:f>
        <x:v>22.884057971014492</x:v>
      </x:c>
      <x:c r="L4178" s="66" t="str">
        <x:f>IF(K4178="","","1 : "&amp;TEXT(K4178,"0.0"))</x:f>
        <x:v>1 : 22.9</x:v>
      </x:c>
      <x:c r="M4178" s="66" t="str">
        <x:f>IF(J4178="","Baru/Tanpa Data",IF(J4178&lt;='Catatan &amp; Sumber'!$B$14,"Sangat Ketat",IF(J4178&lt;='Catatan &amp; Sumber'!$B$15,"Ketat",IF(J4178&lt;='Catatan &amp; Sumber'!$B$16,"Sedang","Relatif Longgar"))))</x:f>
        <x:v>Ketat</x:v>
      </x:c>
      <x:c r="N4178" s="66" t="str">
        <x:v>Tidak Ada</x:v>
      </x:c>
      <x:c r="O4178" s="66" t="str">
        <x:v>Sulawesi Selatan</x:v>
      </x:c>
      <x:c r="P4178" s="66" t="str">
        <x:v>Kota Makassar</x:v>
      </x:c>
      <x:c r="Q4178" s="66" t="str">
        <x:v>https://snpmb.id/snbp/daya-tampung-snbp</x:v>
      </x:c>
      <x:c r="R4178" s="66" t="str">
        <x:v>https://sidatagrun-public-1076756628210.asia-southeast2.run.app/ptn_sn.php?ptn=711</x:v>
      </x:c>
    </x:row>
    <x:row r="4179">
      <x:c r="A4179" s="87" t="n">
        <x:v>2567</x:v>
      </x:c>
      <x:c r="B4179" s="66" t="n">
        <x:v>711</x:v>
      </x:c>
      <x:c r="C4179" s="66" t="str">
        <x:v>UNIVERSITAS HASANUDDIN</x:v>
      </x:c>
      <x:c r="D4179" s="66" t="str">
        <x:v>PTN Akademik</x:v>
      </x:c>
      <x:c r="E4179" s="66" t="str">
        <x:v>17111008</x:v>
      </x:c>
      <x:c r="F4179" s="66" t="str">
        <x:v>AGROTEKNOLOGI</x:v>
      </x:c>
      <x:c r="G4179" s="66" t="str">
        <x:v>Sarjana</x:v>
      </x:c>
      <x:c r="H4179" s="87" t="n">
        <x:v>80</x:v>
      </x:c>
      <x:c r="I4179" s="87" t="n">
        <x:v>359</x:v>
      </x:c>
      <x:c r="J4179" s="68" t="n">
        <x:f>IFERROR(H4179/I4179,"")</x:f>
        <x:v>0.22284122562674094</x:v>
      </x:c>
      <x:c r="K4179" s="69" t="n">
        <x:f>IFERROR(I4179/H4179,"")</x:f>
        <x:v>4.4875</x:v>
      </x:c>
      <x:c r="L4179" s="66" t="str">
        <x:f>IF(K4179="","","1 : "&amp;TEXT(K4179,"0.0"))</x:f>
        <x:v>1 : 4.5</x:v>
      </x:c>
      <x:c r="M4179" s="66" t="str">
        <x:f>IF(J4179="","Baru/Tanpa Data",IF(J4179&lt;='Catatan &amp; Sumber'!$B$14,"Sangat Ketat",IF(J4179&lt;='Catatan &amp; Sumber'!$B$15,"Ketat",IF(J4179&lt;='Catatan &amp; Sumber'!$B$16,"Sedang","Relatif Longgar"))))</x:f>
        <x:v>Relatif Longgar</x:v>
      </x:c>
      <x:c r="N4179" s="66" t="str">
        <x:v>Tidak Ada</x:v>
      </x:c>
      <x:c r="O4179" s="66" t="str">
        <x:v>Sulawesi Selatan</x:v>
      </x:c>
      <x:c r="P4179" s="66" t="str">
        <x:v>Kota Makassar</x:v>
      </x:c>
      <x:c r="Q4179" s="66" t="str">
        <x:v>https://snpmb.id/snbp/daya-tampung-snbp</x:v>
      </x:c>
      <x:c r="R4179" s="66" t="str">
        <x:v>https://sidatagrun-public-1076756628210.asia-southeast2.run.app/ptn_sn.php?ptn=711</x:v>
      </x:c>
    </x:row>
    <x:row r="4180">
      <x:c r="A4180" s="87" t="n">
        <x:v>1892</x:v>
      </x:c>
      <x:c r="B4180" s="66" t="n">
        <x:v>711</x:v>
      </x:c>
      <x:c r="C4180" s="66" t="str">
        <x:v>UNIVERSITAS HASANUDDIN</x:v>
      </x:c>
      <x:c r="D4180" s="66" t="str">
        <x:v>PTN Akademik</x:v>
      </x:c>
      <x:c r="E4180" s="66" t="str">
        <x:v>17111009</x:v>
      </x:c>
      <x:c r="F4180" s="66" t="str">
        <x:v>ILMU DAN TEKNOLOGI PANGAN</x:v>
      </x:c>
      <x:c r="G4180" s="66" t="str">
        <x:v>Sarjana</x:v>
      </x:c>
      <x:c r="H4180" s="87" t="n">
        <x:v>47</x:v>
      </x:c>
      <x:c r="I4180" s="87" t="n">
        <x:v>335</x:v>
      </x:c>
      <x:c r="J4180" s="68" t="n">
        <x:f>IFERROR(H4180/I4180,"")</x:f>
        <x:v>0.14029850746268657</x:v>
      </x:c>
      <x:c r="K4180" s="69" t="n">
        <x:f>IFERROR(I4180/H4180,"")</x:f>
        <x:v>7.127659574468085</x:v>
      </x:c>
      <x:c r="L4180" s="66" t="str">
        <x:f>IF(K4180="","","1 : "&amp;TEXT(K4180,"0.0"))</x:f>
        <x:v>1 : 7.1</x:v>
      </x:c>
      <x:c r="M4180" s="66" t="str">
        <x:f>IF(J4180="","Baru/Tanpa Data",IF(J4180&lt;='Catatan &amp; Sumber'!$B$14,"Sangat Ketat",IF(J4180&lt;='Catatan &amp; Sumber'!$B$15,"Ketat",IF(J4180&lt;='Catatan &amp; Sumber'!$B$16,"Sedang","Relatif Longgar"))))</x:f>
        <x:v>Relatif Longgar</x:v>
      </x:c>
      <x:c r="N4180" s="66" t="str">
        <x:v>Tidak Ada</x:v>
      </x:c>
      <x:c r="O4180" s="66" t="str">
        <x:v>Sulawesi Selatan</x:v>
      </x:c>
      <x:c r="P4180" s="66" t="str">
        <x:v>Kota Makassar</x:v>
      </x:c>
      <x:c r="Q4180" s="66" t="str">
        <x:v>https://snpmb.id/snbp/daya-tampung-snbp</x:v>
      </x:c>
      <x:c r="R4180" s="66" t="str">
        <x:v>https://sidatagrun-public-1076756628210.asia-southeast2.run.app/ptn_sn.php?ptn=711</x:v>
      </x:c>
    </x:row>
    <x:row r="4181">
      <x:c r="A4181" s="87" t="n">
        <x:v>2063</x:v>
      </x:c>
      <x:c r="B4181" s="66" t="n">
        <x:v>711</x:v>
      </x:c>
      <x:c r="C4181" s="66" t="str">
        <x:v>UNIVERSITAS HASANUDDIN</x:v>
      </x:c>
      <x:c r="D4181" s="66" t="str">
        <x:v>PTN Akademik</x:v>
      </x:c>
      <x:c r="E4181" s="66" t="str">
        <x:v>17111010</x:v>
      </x:c>
      <x:c r="F4181" s="66" t="str">
        <x:v>AGRIBISNIS</x:v>
      </x:c>
      <x:c r="G4181" s="66" t="str">
        <x:v>Sarjana</x:v>
      </x:c>
      <x:c r="H4181" s="87" t="n">
        <x:v>64</x:v>
      </x:c>
      <x:c r="I4181" s="87" t="n">
        <x:v>405</x:v>
      </x:c>
      <x:c r="J4181" s="68" t="n">
        <x:f>IFERROR(H4181/I4181,"")</x:f>
        <x:v>0.1580246913580247</x:v>
      </x:c>
      <x:c r="K4181" s="69" t="n">
        <x:f>IFERROR(I4181/H4181,"")</x:f>
        <x:v>6.328125</x:v>
      </x:c>
      <x:c r="L4181" s="66" t="str">
        <x:f>IF(K4181="","","1 : "&amp;TEXT(K4181,"0.0"))</x:f>
        <x:v>1 : 6.3</x:v>
      </x:c>
      <x:c r="M4181" s="66" t="str">
        <x:f>IF(J4181="","Baru/Tanpa Data",IF(J4181&lt;='Catatan &amp; Sumber'!$B$14,"Sangat Ketat",IF(J4181&lt;='Catatan &amp; Sumber'!$B$15,"Ketat",IF(J4181&lt;='Catatan &amp; Sumber'!$B$16,"Sedang","Relatif Longgar"))))</x:f>
        <x:v>Relatif Longgar</x:v>
      </x:c>
      <x:c r="N4181" s="66" t="str">
        <x:v>Tidak Ada</x:v>
      </x:c>
      <x:c r="O4181" s="66" t="str">
        <x:v>Sulawesi Selatan</x:v>
      </x:c>
      <x:c r="P4181" s="66" t="str">
        <x:v>Kota Makassar</x:v>
      </x:c>
      <x:c r="Q4181" s="66" t="str">
        <x:v>https://snpmb.id/snbp/daya-tampung-snbp</x:v>
      </x:c>
      <x:c r="R4181" s="66" t="str">
        <x:v>https://sidatagrun-public-1076756628210.asia-southeast2.run.app/ptn_sn.php?ptn=711</x:v>
      </x:c>
    </x:row>
    <x:row r="4182">
      <x:c r="A4182" s="87" t="n">
        <x:v>2290</x:v>
      </x:c>
      <x:c r="B4182" s="66" t="n">
        <x:v>711</x:v>
      </x:c>
      <x:c r="C4182" s="66" t="str">
        <x:v>UNIVERSITAS HASANUDDIN</x:v>
      </x:c>
      <x:c r="D4182" s="66" t="str">
        <x:v>PTN Akademik</x:v>
      </x:c>
      <x:c r="E4182" s="66" t="str">
        <x:v>17111011</x:v>
      </x:c>
      <x:c r="F4182" s="66" t="str">
        <x:v>TEKNIK PERTANIAN</x:v>
      </x:c>
      <x:c r="G4182" s="66" t="str">
        <x:v>Sarjana</x:v>
      </x:c>
      <x:c r="H4182" s="87" t="n">
        <x:v>51</x:v>
      </x:c>
      <x:c r="I4182" s="87" t="n">
        <x:v>280</x:v>
      </x:c>
      <x:c r="J4182" s="68" t="n">
        <x:f>IFERROR(H4182/I4182,"")</x:f>
        <x:v>0.18214285714285713</x:v>
      </x:c>
      <x:c r="K4182" s="69" t="n">
        <x:f>IFERROR(I4182/H4182,"")</x:f>
        <x:v>5.490196078431373</x:v>
      </x:c>
      <x:c r="L4182" s="66" t="str">
        <x:f>IF(K4182="","","1 : "&amp;TEXT(K4182,"0.0"))</x:f>
        <x:v>1 : 5.5</x:v>
      </x:c>
      <x:c r="M4182" s="66" t="str">
        <x:f>IF(J4182="","Baru/Tanpa Data",IF(J4182&lt;='Catatan &amp; Sumber'!$B$14,"Sangat Ketat",IF(J4182&lt;='Catatan &amp; Sumber'!$B$15,"Ketat",IF(J4182&lt;='Catatan &amp; Sumber'!$B$16,"Sedang","Relatif Longgar"))))</x:f>
        <x:v>Relatif Longgar</x:v>
      </x:c>
      <x:c r="N4182" s="66" t="str">
        <x:v>Tidak Ada</x:v>
      </x:c>
      <x:c r="O4182" s="66" t="str">
        <x:v>Sulawesi Selatan</x:v>
      </x:c>
      <x:c r="P4182" s="66" t="str">
        <x:v>Kota Makassar</x:v>
      </x:c>
      <x:c r="Q4182" s="66" t="str">
        <x:v>https://snpmb.id/snbp/daya-tampung-snbp</x:v>
      </x:c>
      <x:c r="R4182" s="66" t="str">
        <x:v>https://sidatagrun-public-1076756628210.asia-southeast2.run.app/ptn_sn.php?ptn=711</x:v>
      </x:c>
    </x:row>
    <x:row r="4183">
      <x:c r="A4183" s="87" t="n">
        <x:v>381</x:v>
      </x:c>
      <x:c r="B4183" s="66" t="n">
        <x:v>711</x:v>
      </x:c>
      <x:c r="C4183" s="66" t="str">
        <x:v>UNIVERSITAS HASANUDDIN</x:v>
      </x:c>
      <x:c r="D4183" s="66" t="str">
        <x:v>PTN Akademik</x:v>
      </x:c>
      <x:c r="E4183" s="66" t="str">
        <x:v>17111012</x:v>
      </x:c>
      <x:c r="F4183" s="66" t="str">
        <x:v>TEKNIK SIPIL</x:v>
      </x:c>
      <x:c r="G4183" s="66" t="str">
        <x:v>Sarjana</x:v>
      </x:c>
      <x:c r="H4183" s="87" t="n">
        <x:v>34</x:v>
      </x:c>
      <x:c r="I4183" s="87" t="n">
        <x:v>741</x:v>
      </x:c>
      <x:c r="J4183" s="68" t="n">
        <x:f>IFERROR(H4183/I4183,"")</x:f>
        <x:v>0.04588394062078273</x:v>
      </x:c>
      <x:c r="K4183" s="69" t="n">
        <x:f>IFERROR(I4183/H4183,"")</x:f>
        <x:v>21.794117647058822</x:v>
      </x:c>
      <x:c r="L4183" s="66" t="str">
        <x:f>IF(K4183="","","1 : "&amp;TEXT(K4183,"0.0"))</x:f>
        <x:v>1 : 21.8</x:v>
      </x:c>
      <x:c r="M4183" s="66" t="str">
        <x:f>IF(J4183="","Baru/Tanpa Data",IF(J4183&lt;='Catatan &amp; Sumber'!$B$14,"Sangat Ketat",IF(J4183&lt;='Catatan &amp; Sumber'!$B$15,"Ketat",IF(J4183&lt;='Catatan &amp; Sumber'!$B$16,"Sedang","Relatif Longgar"))))</x:f>
        <x:v>Ketat</x:v>
      </x:c>
      <x:c r="N4183" s="66" t="str">
        <x:v>Tidak Ada</x:v>
      </x:c>
      <x:c r="O4183" s="66" t="str">
        <x:v>Sulawesi Selatan</x:v>
      </x:c>
      <x:c r="P4183" s="66" t="str">
        <x:v>Kota Makassar</x:v>
      </x:c>
      <x:c r="Q4183" s="66" t="str">
        <x:v>https://snpmb.id/snbp/daya-tampung-snbp</x:v>
      </x:c>
      <x:c r="R4183" s="66" t="str">
        <x:v>https://sidatagrun-public-1076756628210.asia-southeast2.run.app/ptn_sn.php?ptn=711</x:v>
      </x:c>
    </x:row>
    <x:row r="4184">
      <x:c r="A4184" s="87" t="n">
        <x:v>1324</x:v>
      </x:c>
      <x:c r="B4184" s="66" t="n">
        <x:v>711</x:v>
      </x:c>
      <x:c r="C4184" s="66" t="str">
        <x:v>UNIVERSITAS HASANUDDIN</x:v>
      </x:c>
      <x:c r="D4184" s="66" t="str">
        <x:v>PTN Akademik</x:v>
      </x:c>
      <x:c r="E4184" s="66" t="str">
        <x:v>17111013</x:v>
      </x:c>
      <x:c r="F4184" s="66" t="str">
        <x:v>TEKNIK MESIN</x:v>
      </x:c>
      <x:c r="G4184" s="66" t="str">
        <x:v>Sarjana</x:v>
      </x:c>
      <x:c r="H4184" s="87" t="n">
        <x:v>34</x:v>
      </x:c>
      <x:c r="I4184" s="87" t="n">
        <x:v>351</x:v>
      </x:c>
      <x:c r="J4184" s="68" t="n">
        <x:f>IFERROR(H4184/I4184,"")</x:f>
        <x:v>0.09686609686609686</x:v>
      </x:c>
      <x:c r="K4184" s="69" t="n">
        <x:f>IFERROR(I4184/H4184,"")</x:f>
        <x:v>10.323529411764707</x:v>
      </x:c>
      <x:c r="L4184" s="66" t="str">
        <x:f>IF(K4184="","","1 : "&amp;TEXT(K4184,"0.0"))</x:f>
        <x:v>1 : 10.3</x:v>
      </x:c>
      <x:c r="M4184" s="66" t="str">
        <x:f>IF(J4184="","Baru/Tanpa Data",IF(J4184&lt;='Catatan &amp; Sumber'!$B$14,"Sangat Ketat",IF(J4184&lt;='Catatan &amp; Sumber'!$B$15,"Ketat",IF(J4184&lt;='Catatan &amp; Sumber'!$B$16,"Sedang","Relatif Longgar"))))</x:f>
        <x:v>Sedang</x:v>
      </x:c>
      <x:c r="N4184" s="66" t="str">
        <x:v>Tidak Ada</x:v>
      </x:c>
      <x:c r="O4184" s="66" t="str">
        <x:v>Sulawesi Selatan</x:v>
      </x:c>
      <x:c r="P4184" s="66" t="str">
        <x:v>Kota Makassar</x:v>
      </x:c>
      <x:c r="Q4184" s="66" t="str">
        <x:v>https://snpmb.id/snbp/daya-tampung-snbp</x:v>
      </x:c>
      <x:c r="R4184" s="66" t="str">
        <x:v>https://sidatagrun-public-1076756628210.asia-southeast2.run.app/ptn_sn.php?ptn=711</x:v>
      </x:c>
    </x:row>
    <x:row r="4185">
      <x:c r="A4185" s="87" t="n">
        <x:v>1327</x:v>
      </x:c>
      <x:c r="B4185" s="66" t="n">
        <x:v>711</x:v>
      </x:c>
      <x:c r="C4185" s="66" t="str">
        <x:v>UNIVERSITAS HASANUDDIN</x:v>
      </x:c>
      <x:c r="D4185" s="66" t="str">
        <x:v>PTN Akademik</x:v>
      </x:c>
      <x:c r="E4185" s="66" t="str">
        <x:v>17111014</x:v>
      </x:c>
      <x:c r="F4185" s="66" t="str">
        <x:v>TEKNIK ELEKTRO</x:v>
      </x:c>
      <x:c r="G4185" s="66" t="str">
        <x:v>Sarjana</x:v>
      </x:c>
      <x:c r="H4185" s="87" t="n">
        <x:v>50</x:v>
      </x:c>
      <x:c r="I4185" s="87" t="n">
        <x:v>515</x:v>
      </x:c>
      <x:c r="J4185" s="68" t="n">
        <x:f>IFERROR(H4185/I4185,"")</x:f>
        <x:v>0.0970873786407767</x:v>
      </x:c>
      <x:c r="K4185" s="69" t="n">
        <x:f>IFERROR(I4185/H4185,"")</x:f>
        <x:v>10.3</x:v>
      </x:c>
      <x:c r="L4185" s="66" t="str">
        <x:f>IF(K4185="","","1 : "&amp;TEXT(K4185,"0.0"))</x:f>
        <x:v>1 : 10.3</x:v>
      </x:c>
      <x:c r="M4185" s="66" t="str">
        <x:f>IF(J4185="","Baru/Tanpa Data",IF(J4185&lt;='Catatan &amp; Sumber'!$B$14,"Sangat Ketat",IF(J4185&lt;='Catatan &amp; Sumber'!$B$15,"Ketat",IF(J4185&lt;='Catatan &amp; Sumber'!$B$16,"Sedang","Relatif Longgar"))))</x:f>
        <x:v>Sedang</x:v>
      </x:c>
      <x:c r="N4185" s="66" t="str">
        <x:v>Tidak Ada</x:v>
      </x:c>
      <x:c r="O4185" s="66" t="str">
        <x:v>Sulawesi Selatan</x:v>
      </x:c>
      <x:c r="P4185" s="66" t="str">
        <x:v>Kota Makassar</x:v>
      </x:c>
      <x:c r="Q4185" s="66" t="str">
        <x:v>https://snpmb.id/snbp/daya-tampung-snbp</x:v>
      </x:c>
      <x:c r="R4185" s="66" t="str">
        <x:v>https://sidatagrun-public-1076756628210.asia-southeast2.run.app/ptn_sn.php?ptn=711</x:v>
      </x:c>
    </x:row>
    <x:row r="4186">
      <x:c r="A4186" s="87" t="n">
        <x:v>1654</x:v>
      </x:c>
      <x:c r="B4186" s="66" t="n">
        <x:v>711</x:v>
      </x:c>
      <x:c r="C4186" s="66" t="str">
        <x:v>UNIVERSITAS HASANUDDIN</x:v>
      </x:c>
      <x:c r="D4186" s="66" t="str">
        <x:v>PTN Akademik</x:v>
      </x:c>
      <x:c r="E4186" s="66" t="str">
        <x:v>17111015</x:v>
      </x:c>
      <x:c r="F4186" s="66" t="str">
        <x:v>TEKNIK PERKAPALAN</x:v>
      </x:c>
      <x:c r="G4186" s="66" t="str">
        <x:v>Sarjana</x:v>
      </x:c>
      <x:c r="H4186" s="87" t="n">
        <x:v>32</x:v>
      </x:c>
      <x:c r="I4186" s="87" t="n">
        <x:v>265</x:v>
      </x:c>
      <x:c r="J4186" s="68" t="n">
        <x:f>IFERROR(H4186/I4186,"")</x:f>
        <x:v>0.12075471698113208</x:v>
      </x:c>
      <x:c r="K4186" s="69" t="n">
        <x:f>IFERROR(I4186/H4186,"")</x:f>
        <x:v>8.28125</x:v>
      </x:c>
      <x:c r="L4186" s="66" t="str">
        <x:f>IF(K4186="","","1 : "&amp;TEXT(K4186,"0.0"))</x:f>
        <x:v>1 : 8.3</x:v>
      </x:c>
      <x:c r="M4186" s="66" t="str">
        <x:f>IF(J4186="","Baru/Tanpa Data",IF(J4186&lt;='Catatan &amp; Sumber'!$B$14,"Sangat Ketat",IF(J4186&lt;='Catatan &amp; Sumber'!$B$15,"Ketat",IF(J4186&lt;='Catatan &amp; Sumber'!$B$16,"Sedang","Relatif Longgar"))))</x:f>
        <x:v>Relatif Longgar</x:v>
      </x:c>
      <x:c r="N4186" s="66" t="str">
        <x:v>Tidak Ada</x:v>
      </x:c>
      <x:c r="O4186" s="66" t="str">
        <x:v>Sulawesi Selatan</x:v>
      </x:c>
      <x:c r="P4186" s="66" t="str">
        <x:v>Kota Makassar</x:v>
      </x:c>
      <x:c r="Q4186" s="66" t="str">
        <x:v>https://snpmb.id/snbp/daya-tampung-snbp</x:v>
      </x:c>
      <x:c r="R4186" s="66" t="str">
        <x:v>https://sidatagrun-public-1076756628210.asia-southeast2.run.app/ptn_sn.php?ptn=711</x:v>
      </x:c>
    </x:row>
    <x:row r="4187">
      <x:c r="A4187" s="87" t="n">
        <x:v>307</x:v>
      </x:c>
      <x:c r="B4187" s="66" t="n">
        <x:v>711</x:v>
      </x:c>
      <x:c r="C4187" s="66" t="str">
        <x:v>UNIVERSITAS HASANUDDIN</x:v>
      </x:c>
      <x:c r="D4187" s="66" t="str">
        <x:v>PTN Akademik</x:v>
      </x:c>
      <x:c r="E4187" s="66" t="str">
        <x:v>17111016</x:v>
      </x:c>
      <x:c r="F4187" s="66" t="str">
        <x:v>TEKNIK GEOLOGI</x:v>
      </x:c>
      <x:c r="G4187" s="66" t="str">
        <x:v>Sarjana</x:v>
      </x:c>
      <x:c r="H4187" s="87" t="n">
        <x:v>25</x:v>
      </x:c>
      <x:c r="I4187" s="87" t="n">
        <x:v>586</x:v>
      </x:c>
      <x:c r="J4187" s="68" t="n">
        <x:f>IFERROR(H4187/I4187,"")</x:f>
        <x:v>0.042662116040955635</x:v>
      </x:c>
      <x:c r="K4187" s="69" t="n">
        <x:f>IFERROR(I4187/H4187,"")</x:f>
        <x:v>23.44</x:v>
      </x:c>
      <x:c r="L4187" s="66" t="str">
        <x:f>IF(K4187="","","1 : "&amp;TEXT(K4187,"0.0"))</x:f>
        <x:v>1 : 23.4</x:v>
      </x:c>
      <x:c r="M4187" s="66" t="str">
        <x:f>IF(J4187="","Baru/Tanpa Data",IF(J4187&lt;='Catatan &amp; Sumber'!$B$14,"Sangat Ketat",IF(J4187&lt;='Catatan &amp; Sumber'!$B$15,"Ketat",IF(J4187&lt;='Catatan &amp; Sumber'!$B$16,"Sedang","Relatif Longgar"))))</x:f>
        <x:v>Ketat</x:v>
      </x:c>
      <x:c r="N4187" s="66" t="str">
        <x:v>Tidak Ada</x:v>
      </x:c>
      <x:c r="O4187" s="66" t="str">
        <x:v>Sulawesi Selatan</x:v>
      </x:c>
      <x:c r="P4187" s="66" t="str">
        <x:v>Kota Makassar</x:v>
      </x:c>
      <x:c r="Q4187" s="66" t="str">
        <x:v>https://snpmb.id/snbp/daya-tampung-snbp</x:v>
      </x:c>
      <x:c r="R4187" s="66" t="str">
        <x:v>https://sidatagrun-public-1076756628210.asia-southeast2.run.app/ptn_sn.php?ptn=711</x:v>
      </x:c>
    </x:row>
    <x:row r="4188">
      <x:c r="A4188" s="87" t="n">
        <x:v>434</x:v>
      </x:c>
      <x:c r="B4188" s="66" t="n">
        <x:v>711</x:v>
      </x:c>
      <x:c r="C4188" s="66" t="str">
        <x:v>UNIVERSITAS HASANUDDIN</x:v>
      </x:c>
      <x:c r="D4188" s="66" t="str">
        <x:v>PTN Akademik</x:v>
      </x:c>
      <x:c r="E4188" s="66" t="str">
        <x:v>17111017</x:v>
      </x:c>
      <x:c r="F4188" s="66" t="str">
        <x:v>PENDIDIKAN DOKTER GIGI</x:v>
      </x:c>
      <x:c r="G4188" s="66" t="str">
        <x:v>Sarjana</x:v>
      </x:c>
      <x:c r="H4188" s="87" t="n">
        <x:v>50</x:v>
      </x:c>
      <x:c r="I4188" s="87" t="n">
        <x:v>1033</x:v>
      </x:c>
      <x:c r="J4188" s="68" t="n">
        <x:f>IFERROR(H4188/I4188,"")</x:f>
        <x:v>0.0484027105517909</x:v>
      </x:c>
      <x:c r="K4188" s="69" t="n">
        <x:f>IFERROR(I4188/H4188,"")</x:f>
        <x:v>20.66</x:v>
      </x:c>
      <x:c r="L4188" s="66" t="str">
        <x:f>IF(K4188="","","1 : "&amp;TEXT(K4188,"0.0"))</x:f>
        <x:v>1 : 20.7</x:v>
      </x:c>
      <x:c r="M4188" s="66" t="str">
        <x:f>IF(J4188="","Baru/Tanpa Data",IF(J4188&lt;='Catatan &amp; Sumber'!$B$14,"Sangat Ketat",IF(J4188&lt;='Catatan &amp; Sumber'!$B$15,"Ketat",IF(J4188&lt;='Catatan &amp; Sumber'!$B$16,"Sedang","Relatif Longgar"))))</x:f>
        <x:v>Ketat</x:v>
      </x:c>
      <x:c r="N4188" s="66" t="str">
        <x:v>Tidak Ada</x:v>
      </x:c>
      <x:c r="O4188" s="66" t="str">
        <x:v>Sulawesi Selatan</x:v>
      </x:c>
      <x:c r="P4188" s="66" t="str">
        <x:v>Kota Makassar</x:v>
      </x:c>
      <x:c r="Q4188" s="66" t="str">
        <x:v>https://snpmb.id/snbp/daya-tampung-snbp</x:v>
      </x:c>
      <x:c r="R4188" s="66" t="str">
        <x:v>https://sidatagrun-public-1076756628210.asia-southeast2.run.app/ptn_sn.php?ptn=711</x:v>
      </x:c>
    </x:row>
    <x:row r="4189">
      <x:c r="A4189" s="87" t="n">
        <x:v>993</x:v>
      </x:c>
      <x:c r="B4189" s="66" t="n">
        <x:v>711</x:v>
      </x:c>
      <x:c r="C4189" s="66" t="str">
        <x:v>UNIVERSITAS HASANUDDIN</x:v>
      </x:c>
      <x:c r="D4189" s="66" t="str">
        <x:v>PTN Akademik</x:v>
      </x:c>
      <x:c r="E4189" s="66" t="str">
        <x:v>17111018</x:v>
      </x:c>
      <x:c r="F4189" s="66" t="str">
        <x:v>TEKNIK ARSITEKTUR</x:v>
      </x:c>
      <x:c r="G4189" s="66" t="str">
        <x:v>Sarjana</x:v>
      </x:c>
      <x:c r="H4189" s="87" t="n">
        <x:v>30</x:v>
      </x:c>
      <x:c r="I4189" s="87" t="n">
        <x:v>386</x:v>
      </x:c>
      <x:c r="J4189" s="68" t="n">
        <x:f>IFERROR(H4189/I4189,"")</x:f>
        <x:v>0.07772020725388601</x:v>
      </x:c>
      <x:c r="K4189" s="69" t="n">
        <x:f>IFERROR(I4189/H4189,"")</x:f>
        <x:v>12.866666666666667</x:v>
      </x:c>
      <x:c r="L4189" s="66" t="str">
        <x:f>IF(K4189="","","1 : "&amp;TEXT(K4189,"0.0"))</x:f>
        <x:v>1 : 12.9</x:v>
      </x:c>
      <x:c r="M4189" s="66" t="str">
        <x:f>IF(J4189="","Baru/Tanpa Data",IF(J4189&lt;='Catatan &amp; Sumber'!$B$14,"Sangat Ketat",IF(J4189&lt;='Catatan &amp; Sumber'!$B$15,"Ketat",IF(J4189&lt;='Catatan &amp; Sumber'!$B$16,"Sedang","Relatif Longgar"))))</x:f>
        <x:v>Sedang</x:v>
      </x:c>
      <x:c r="N4189" s="66" t="str">
        <x:v>Tidak Ada</x:v>
      </x:c>
      <x:c r="O4189" s="66" t="str">
        <x:v>Sulawesi Selatan</x:v>
      </x:c>
      <x:c r="P4189" s="66" t="str">
        <x:v>Kota Makassar</x:v>
      </x:c>
      <x:c r="Q4189" s="66" t="str">
        <x:v>https://snpmb.id/snbp/daya-tampung-snbp</x:v>
      </x:c>
      <x:c r="R4189" s="66" t="str">
        <x:v>https://sidatagrun-public-1076756628210.asia-southeast2.run.app/ptn_sn.php?ptn=711</x:v>
      </x:c>
    </x:row>
    <x:row r="4190">
      <x:c r="A4190" s="87" t="n">
        <x:v>3073</x:v>
      </x:c>
      <x:c r="B4190" s="66" t="n">
        <x:v>711</x:v>
      </x:c>
      <x:c r="C4190" s="66" t="str">
        <x:v>UNIVERSITAS HASANUDDIN</x:v>
      </x:c>
      <x:c r="D4190" s="66" t="str">
        <x:v>PTN Akademik</x:v>
      </x:c>
      <x:c r="E4190" s="66" t="str">
        <x:v>17111019</x:v>
      </x:c>
      <x:c r="F4190" s="66" t="str">
        <x:v>KEHUTANAN</x:v>
      </x:c>
      <x:c r="G4190" s="66" t="str">
        <x:v>Sarjana</x:v>
      </x:c>
      <x:c r="H4190" s="87" t="n">
        <x:v>135</x:v>
      </x:c>
      <x:c r="I4190" s="87" t="n">
        <x:v>437</x:v>
      </x:c>
      <x:c r="J4190" s="68" t="n">
        <x:f>IFERROR(H4190/I4190,"")</x:f>
        <x:v>0.30892448512585813</x:v>
      </x:c>
      <x:c r="K4190" s="69" t="n">
        <x:f>IFERROR(I4190/H4190,"")</x:f>
        <x:v>3.237037037037037</x:v>
      </x:c>
      <x:c r="L4190" s="66" t="str">
        <x:f>IF(K4190="","","1 : "&amp;TEXT(K4190,"0.0"))</x:f>
        <x:v>1 : 3.2</x:v>
      </x:c>
      <x:c r="M4190" s="66" t="str">
        <x:f>IF(J4190="","Baru/Tanpa Data",IF(J4190&lt;='Catatan &amp; Sumber'!$B$14,"Sangat Ketat",IF(J4190&lt;='Catatan &amp; Sumber'!$B$15,"Ketat",IF(J4190&lt;='Catatan &amp; Sumber'!$B$16,"Sedang","Relatif Longgar"))))</x:f>
        <x:v>Relatif Longgar</x:v>
      </x:c>
      <x:c r="N4190" s="66" t="str">
        <x:v>Tidak Ada</x:v>
      </x:c>
      <x:c r="O4190" s="66" t="str">
        <x:v>Sulawesi Selatan</x:v>
      </x:c>
      <x:c r="P4190" s="66" t="str">
        <x:v>Kota Makassar</x:v>
      </x:c>
      <x:c r="Q4190" s="66" t="str">
        <x:v>https://snpmb.id/snbp/daya-tampung-snbp</x:v>
      </x:c>
      <x:c r="R4190" s="66" t="str">
        <x:v>https://sidatagrun-public-1076756628210.asia-southeast2.run.app/ptn_sn.php?ptn=711</x:v>
      </x:c>
    </x:row>
    <x:row r="4191">
      <x:c r="A4191" s="87" t="n">
        <x:v>2693</x:v>
      </x:c>
      <x:c r="B4191" s="66" t="n">
        <x:v>711</x:v>
      </x:c>
      <x:c r="C4191" s="66" t="str">
        <x:v>UNIVERSITAS HASANUDDIN</x:v>
      </x:c>
      <x:c r="D4191" s="66" t="str">
        <x:v>PTN Akademik</x:v>
      </x:c>
      <x:c r="E4191" s="66" t="str">
        <x:v>17111020</x:v>
      </x:c>
      <x:c r="F4191" s="66" t="str">
        <x:v>GEOFISIKA</x:v>
      </x:c>
      <x:c r="G4191" s="66" t="str">
        <x:v>Sarjana</x:v>
      </x:c>
      <x:c r="H4191" s="87" t="n">
        <x:v>40</x:v>
      </x:c>
      <x:c r="I4191" s="87" t="n">
        <x:v>165</x:v>
      </x:c>
      <x:c r="J4191" s="68" t="n">
        <x:f>IFERROR(H4191/I4191,"")</x:f>
        <x:v>0.24242424242424243</x:v>
      </x:c>
      <x:c r="K4191" s="69" t="n">
        <x:f>IFERROR(I4191/H4191,"")</x:f>
        <x:v>4.125</x:v>
      </x:c>
      <x:c r="L4191" s="66" t="str">
        <x:f>IF(K4191="","","1 : "&amp;TEXT(K4191,"0.0"))</x:f>
        <x:v>1 : 4.1</x:v>
      </x:c>
      <x:c r="M4191" s="66" t="str">
        <x:f>IF(J4191="","Baru/Tanpa Data",IF(J4191&lt;='Catatan &amp; Sumber'!$B$14,"Sangat Ketat",IF(J4191&lt;='Catatan &amp; Sumber'!$B$15,"Ketat",IF(J4191&lt;='Catatan &amp; Sumber'!$B$16,"Sedang","Relatif Longgar"))))</x:f>
        <x:v>Relatif Longgar</x:v>
      </x:c>
      <x:c r="N4191" s="66" t="str">
        <x:v>Tidak Ada</x:v>
      </x:c>
      <x:c r="O4191" s="66" t="str">
        <x:v>Sulawesi Selatan</x:v>
      </x:c>
      <x:c r="P4191" s="66" t="str">
        <x:v>Kota Makassar</x:v>
      </x:c>
      <x:c r="Q4191" s="66" t="str">
        <x:v>https://snpmb.id/snbp/daya-tampung-snbp</x:v>
      </x:c>
      <x:c r="R4191" s="66" t="str">
        <x:v>https://sidatagrun-public-1076756628210.asia-southeast2.run.app/ptn_sn.php?ptn=711</x:v>
      </x:c>
    </x:row>
    <x:row r="4192">
      <x:c r="A4192" s="87" t="n">
        <x:v>1403</x:v>
      </x:c>
      <x:c r="B4192" s="66" t="n">
        <x:v>711</x:v>
      </x:c>
      <x:c r="C4192" s="66" t="str">
        <x:v>UNIVERSITAS HASANUDDIN</x:v>
      </x:c>
      <x:c r="D4192" s="66" t="str">
        <x:v>PTN Akademik</x:v>
      </x:c>
      <x:c r="E4192" s="66" t="str">
        <x:v>17111021</x:v>
      </x:c>
      <x:c r="F4192" s="66" t="str">
        <x:v>STATISTIKA</x:v>
      </x:c>
      <x:c r="G4192" s="66" t="str">
        <x:v>Sarjana</x:v>
      </x:c>
      <x:c r="H4192" s="87" t="n">
        <x:v>32</x:v>
      </x:c>
      <x:c r="I4192" s="87" t="n">
        <x:v>313</x:v>
      </x:c>
      <x:c r="J4192" s="68" t="n">
        <x:f>IFERROR(H4192/I4192,"")</x:f>
        <x:v>0.10223642172523961</x:v>
      </x:c>
      <x:c r="K4192" s="69" t="n">
        <x:f>IFERROR(I4192/H4192,"")</x:f>
        <x:v>9.78125</x:v>
      </x:c>
      <x:c r="L4192" s="66" t="str">
        <x:f>IF(K4192="","","1 : "&amp;TEXT(K4192,"0.0"))</x:f>
        <x:v>1 : 9.8</x:v>
      </x:c>
      <x:c r="M4192" s="66" t="str">
        <x:f>IF(J4192="","Baru/Tanpa Data",IF(J4192&lt;='Catatan &amp; Sumber'!$B$14,"Sangat Ketat",IF(J4192&lt;='Catatan &amp; Sumber'!$B$15,"Ketat",IF(J4192&lt;='Catatan &amp; Sumber'!$B$16,"Sedang","Relatif Longgar"))))</x:f>
        <x:v>Relatif Longgar</x:v>
      </x:c>
      <x:c r="N4192" s="66" t="str">
        <x:v>Tidak Ada</x:v>
      </x:c>
      <x:c r="O4192" s="66" t="str">
        <x:v>Sulawesi Selatan</x:v>
      </x:c>
      <x:c r="P4192" s="66" t="str">
        <x:v>Kota Makassar</x:v>
      </x:c>
      <x:c r="Q4192" s="66" t="str">
        <x:v>https://snpmb.id/snbp/daya-tampung-snbp</x:v>
      </x:c>
      <x:c r="R4192" s="66" t="str">
        <x:v>https://sidatagrun-public-1076756628210.asia-southeast2.run.app/ptn_sn.php?ptn=711</x:v>
      </x:c>
    </x:row>
    <x:row r="4193">
      <x:c r="A4193" s="87" t="n">
        <x:v>834</x:v>
      </x:c>
      <x:c r="B4193" s="66" t="n">
        <x:v>711</x:v>
      </x:c>
      <x:c r="C4193" s="66" t="str">
        <x:v>UNIVERSITAS HASANUDDIN</x:v>
      </x:c>
      <x:c r="D4193" s="66" t="str">
        <x:v>PTN Akademik</x:v>
      </x:c>
      <x:c r="E4193" s="66" t="str">
        <x:v>17111022</x:v>
      </x:c>
      <x:c r="F4193" s="66" t="str">
        <x:v>ILMU GIZI</x:v>
      </x:c>
      <x:c r="G4193" s="66" t="str">
        <x:v>Sarjana</x:v>
      </x:c>
      <x:c r="H4193" s="87" t="n">
        <x:v>54</x:v>
      </x:c>
      <x:c r="I4193" s="87" t="n">
        <x:v>790</x:v>
      </x:c>
      <x:c r="J4193" s="68" t="n">
        <x:f>IFERROR(H4193/I4193,"")</x:f>
        <x:v>0.06835443037974684</x:v>
      </x:c>
      <x:c r="K4193" s="69" t="n">
        <x:f>IFERROR(I4193/H4193,"")</x:f>
        <x:v>14.62962962962963</x:v>
      </x:c>
      <x:c r="L4193" s="66" t="str">
        <x:f>IF(K4193="","","1 : "&amp;TEXT(K4193,"0.0"))</x:f>
        <x:v>1 : 14.6</x:v>
      </x:c>
      <x:c r="M4193" s="66" t="str">
        <x:f>IF(J4193="","Baru/Tanpa Data",IF(J4193&lt;='Catatan &amp; Sumber'!$B$14,"Sangat Ketat",IF(J4193&lt;='Catatan &amp; Sumber'!$B$15,"Ketat",IF(J4193&lt;='Catatan &amp; Sumber'!$B$16,"Sedang","Relatif Longgar"))))</x:f>
        <x:v>Sedang</x:v>
      </x:c>
      <x:c r="N4193" s="66" t="str">
        <x:v>Tidak Ada</x:v>
      </x:c>
      <x:c r="O4193" s="66" t="str">
        <x:v>Sulawesi Selatan</x:v>
      </x:c>
      <x:c r="P4193" s="66" t="str">
        <x:v>Kota Makassar</x:v>
      </x:c>
      <x:c r="Q4193" s="66" t="str">
        <x:v>https://snpmb.id/snbp/daya-tampung-snbp</x:v>
      </x:c>
      <x:c r="R4193" s="66" t="str">
        <x:v>https://sidatagrun-public-1076756628210.asia-southeast2.run.app/ptn_sn.php?ptn=711</x:v>
      </x:c>
    </x:row>
    <x:row r="4194">
      <x:c r="A4194" s="87" t="n">
        <x:v>3994</x:v>
      </x:c>
      <x:c r="B4194" s="66" t="n">
        <x:v>711</x:v>
      </x:c>
      <x:c r="C4194" s="66" t="str">
        <x:v>UNIVERSITAS HASANUDDIN</x:v>
      </x:c>
      <x:c r="D4194" s="66" t="str">
        <x:v>PTN Akademik</x:v>
      </x:c>
      <x:c r="E4194" s="66" t="str">
        <x:v>17111023</x:v>
      </x:c>
      <x:c r="F4194" s="66" t="str">
        <x:v>ILMU KELAUTAN</x:v>
      </x:c>
      <x:c r="G4194" s="66" t="str">
        <x:v>Sarjana</x:v>
      </x:c>
      <x:c r="H4194" s="87" t="n">
        <x:v>84</x:v>
      </x:c>
      <x:c r="I4194" s="87" t="n">
        <x:v>123</x:v>
      </x:c>
      <x:c r="J4194" s="68" t="n">
        <x:f>IFERROR(H4194/I4194,"")</x:f>
        <x:v>0.6829268292682927</x:v>
      </x:c>
      <x:c r="K4194" s="69" t="n">
        <x:f>IFERROR(I4194/H4194,"")</x:f>
        <x:v>1.4642857142857142</x:v>
      </x:c>
      <x:c r="L4194" s="66" t="str">
        <x:f>IF(K4194="","","1 : "&amp;TEXT(K4194,"0.0"))</x:f>
        <x:v>1 : 1.5</x:v>
      </x:c>
      <x:c r="M4194" s="66" t="str">
        <x:f>IF(J4194="","Baru/Tanpa Data",IF(J4194&lt;='Catatan &amp; Sumber'!$B$14,"Sangat Ketat",IF(J4194&lt;='Catatan &amp; Sumber'!$B$15,"Ketat",IF(J4194&lt;='Catatan &amp; Sumber'!$B$16,"Sedang","Relatif Longgar"))))</x:f>
        <x:v>Relatif Longgar</x:v>
      </x:c>
      <x:c r="N4194" s="66" t="str">
        <x:v>Tidak Ada</x:v>
      </x:c>
      <x:c r="O4194" s="66" t="str">
        <x:v>Sulawesi Selatan</x:v>
      </x:c>
      <x:c r="P4194" s="66" t="str">
        <x:v>Kota Makassar</x:v>
      </x:c>
      <x:c r="Q4194" s="66" t="str">
        <x:v>https://snpmb.id/snbp/daya-tampung-snbp</x:v>
      </x:c>
      <x:c r="R4194" s="66" t="str">
        <x:v>https://sidatagrun-public-1076756628210.asia-southeast2.run.app/ptn_sn.php?ptn=711</x:v>
      </x:c>
    </x:row>
    <x:row r="4195">
      <x:c r="A4195" s="87" t="n">
        <x:v>3908</x:v>
      </x:c>
      <x:c r="B4195" s="66" t="n">
        <x:v>711</x:v>
      </x:c>
      <x:c r="C4195" s="66" t="str">
        <x:v>UNIVERSITAS HASANUDDIN</x:v>
      </x:c>
      <x:c r="D4195" s="66" t="str">
        <x:v>PTN Akademik</x:v>
      </x:c>
      <x:c r="E4195" s="66" t="str">
        <x:v>17111024</x:v>
      </x:c>
      <x:c r="F4195" s="66" t="str">
        <x:v>BUDIDAYA PERAIRAN</x:v>
      </x:c>
      <x:c r="G4195" s="66" t="str">
        <x:v>Sarjana</x:v>
      </x:c>
      <x:c r="H4195" s="87" t="n">
        <x:v>39</x:v>
      </x:c>
      <x:c r="I4195" s="87" t="n">
        <x:v>62</x:v>
      </x:c>
      <x:c r="J4195" s="68" t="n">
        <x:f>IFERROR(H4195/I4195,"")</x:f>
        <x:v>0.6290322580645161</x:v>
      </x:c>
      <x:c r="K4195" s="69" t="n">
        <x:f>IFERROR(I4195/H4195,"")</x:f>
        <x:v>1.5897435897435896</x:v>
      </x:c>
      <x:c r="L4195" s="66" t="str">
        <x:f>IF(K4195="","","1 : "&amp;TEXT(K4195,"0.0"))</x:f>
        <x:v>1 : 1.6</x:v>
      </x:c>
      <x:c r="M4195" s="66" t="str">
        <x:f>IF(J4195="","Baru/Tanpa Data",IF(J4195&lt;='Catatan &amp; Sumber'!$B$14,"Sangat Ketat",IF(J4195&lt;='Catatan &amp; Sumber'!$B$15,"Ketat",IF(J4195&lt;='Catatan &amp; Sumber'!$B$16,"Sedang","Relatif Longgar"))))</x:f>
        <x:v>Relatif Longgar</x:v>
      </x:c>
      <x:c r="N4195" s="66" t="str">
        <x:v>Tidak Ada</x:v>
      </x:c>
      <x:c r="O4195" s="66" t="str">
        <x:v>Sulawesi Selatan</x:v>
      </x:c>
      <x:c r="P4195" s="66" t="str">
        <x:v>Kota Makassar</x:v>
      </x:c>
      <x:c r="Q4195" s="66" t="str">
        <x:v>https://snpmb.id/snbp/daya-tampung-snbp</x:v>
      </x:c>
      <x:c r="R4195" s="66" t="str">
        <x:v>https://sidatagrun-public-1076756628210.asia-southeast2.run.app/ptn_sn.php?ptn=711</x:v>
      </x:c>
    </x:row>
    <x:row r="4196">
      <x:c r="A4196" s="87" t="n">
        <x:v>3958</x:v>
      </x:c>
      <x:c r="B4196" s="66" t="n">
        <x:v>711</x:v>
      </x:c>
      <x:c r="C4196" s="66" t="str">
        <x:v>UNIVERSITAS HASANUDDIN</x:v>
      </x:c>
      <x:c r="D4196" s="66" t="str">
        <x:v>PTN Akademik</x:v>
      </x:c>
      <x:c r="E4196" s="66" t="str">
        <x:v>17111025</x:v>
      </x:c>
      <x:c r="F4196" s="66" t="str">
        <x:v>MANAJEMEN SUMBERDAYA PERAIRAN</x:v>
      </x:c>
      <x:c r="G4196" s="66" t="str">
        <x:v>Sarjana</x:v>
      </x:c>
      <x:c r="H4196" s="87" t="n">
        <x:v>44</x:v>
      </x:c>
      <x:c r="I4196" s="87" t="n">
        <x:v>66</x:v>
      </x:c>
      <x:c r="J4196" s="68" t="n">
        <x:f>IFERROR(H4196/I4196,"")</x:f>
        <x:v>0.6666666666666666</x:v>
      </x:c>
      <x:c r="K4196" s="69" t="n">
        <x:f>IFERROR(I4196/H4196,"")</x:f>
        <x:v>1.5</x:v>
      </x:c>
      <x:c r="L4196" s="66" t="str">
        <x:f>IF(K4196="","","1 : "&amp;TEXT(K4196,"0.0"))</x:f>
        <x:v>1 : 1.5</x:v>
      </x:c>
      <x:c r="M4196" s="66" t="str">
        <x:f>IF(J4196="","Baru/Tanpa Data",IF(J4196&lt;='Catatan &amp; Sumber'!$B$14,"Sangat Ketat",IF(J4196&lt;='Catatan &amp; Sumber'!$B$15,"Ketat",IF(J4196&lt;='Catatan &amp; Sumber'!$B$16,"Sedang","Relatif Longgar"))))</x:f>
        <x:v>Relatif Longgar</x:v>
      </x:c>
      <x:c r="N4196" s="66" t="str">
        <x:v>Tidak Ada</x:v>
      </x:c>
      <x:c r="O4196" s="66" t="str">
        <x:v>Sulawesi Selatan</x:v>
      </x:c>
      <x:c r="P4196" s="66" t="str">
        <x:v>Kota Makassar</x:v>
      </x:c>
      <x:c r="Q4196" s="66" t="str">
        <x:v>https://snpmb.id/snbp/daya-tampung-snbp</x:v>
      </x:c>
      <x:c r="R4196" s="66" t="str">
        <x:v>https://sidatagrun-public-1076756628210.asia-southeast2.run.app/ptn_sn.php?ptn=711</x:v>
      </x:c>
    </x:row>
    <x:row r="4197">
      <x:c r="A4197" s="87" t="n">
        <x:v>4305</x:v>
      </x:c>
      <x:c r="B4197" s="66" t="n">
        <x:v>711</x:v>
      </x:c>
      <x:c r="C4197" s="66" t="str">
        <x:v>UNIVERSITAS HASANUDDIN</x:v>
      </x:c>
      <x:c r="D4197" s="66" t="str">
        <x:v>PTN Akademik</x:v>
      </x:c>
      <x:c r="E4197" s="66" t="str">
        <x:v>17111026</x:v>
      </x:c>
      <x:c r="F4197" s="66" t="str">
        <x:v>PEMANFAATAN SUMBERDAYA PERIKANAN</x:v>
      </x:c>
      <x:c r="G4197" s="66" t="str">
        <x:v>Sarjana</x:v>
      </x:c>
      <x:c r="H4197" s="87" t="n">
        <x:v>32</x:v>
      </x:c>
      <x:c r="I4197" s="87" t="n">
        <x:v>32</x:v>
      </x:c>
      <x:c r="J4197" s="68" t="n">
        <x:f>IFERROR(H4197/I4197,"")</x:f>
        <x:v>1</x:v>
      </x:c>
      <x:c r="K4197" s="69" t="n">
        <x:f>IFERROR(I4197/H4197,"")</x:f>
        <x:v>1</x:v>
      </x:c>
      <x:c r="L4197" s="66" t="str">
        <x:f>IF(K4197="","","1 : "&amp;TEXT(K4197,"0.0"))</x:f>
        <x:v>1 : 1.0</x:v>
      </x:c>
      <x:c r="M4197" s="66" t="str">
        <x:f>IF(J4197="","Baru/Tanpa Data",IF(J4197&lt;='Catatan &amp; Sumber'!$B$14,"Sangat Ketat",IF(J4197&lt;='Catatan &amp; Sumber'!$B$15,"Ketat",IF(J4197&lt;='Catatan &amp; Sumber'!$B$16,"Sedang","Relatif Longgar"))))</x:f>
        <x:v>Relatif Longgar</x:v>
      </x:c>
      <x:c r="N4197" s="66" t="str">
        <x:v>Tidak Ada</x:v>
      </x:c>
      <x:c r="O4197" s="66" t="str">
        <x:v>Sulawesi Selatan</x:v>
      </x:c>
      <x:c r="P4197" s="66" t="str">
        <x:v>Kota Makassar</x:v>
      </x:c>
      <x:c r="Q4197" s="66" t="str">
        <x:v>https://snpmb.id/snbp/daya-tampung-snbp</x:v>
      </x:c>
      <x:c r="R4197" s="66" t="str">
        <x:v>https://sidatagrun-public-1076756628210.asia-southeast2.run.app/ptn_sn.php?ptn=711</x:v>
      </x:c>
    </x:row>
    <x:row r="4198">
      <x:c r="A4198" s="87" t="n">
        <x:v>3766</x:v>
      </x:c>
      <x:c r="B4198" s="66" t="n">
        <x:v>711</x:v>
      </x:c>
      <x:c r="C4198" s="66" t="str">
        <x:v>UNIVERSITAS HASANUDDIN</x:v>
      </x:c>
      <x:c r="D4198" s="66" t="str">
        <x:v>PTN Akademik</x:v>
      </x:c>
      <x:c r="E4198" s="66" t="str">
        <x:v>17111027</x:v>
      </x:c>
      <x:c r="F4198" s="66" t="str">
        <x:v>AGROBISNIS PERIKANAN</x:v>
      </x:c>
      <x:c r="G4198" s="66" t="str">
        <x:v>Sarjana</x:v>
      </x:c>
      <x:c r="H4198" s="87" t="n">
        <x:v>42</x:v>
      </x:c>
      <x:c r="I4198" s="87" t="n">
        <x:v>76</x:v>
      </x:c>
      <x:c r="J4198" s="68" t="n">
        <x:f>IFERROR(H4198/I4198,"")</x:f>
        <x:v>0.5526315789473685</x:v>
      </x:c>
      <x:c r="K4198" s="69" t="n">
        <x:f>IFERROR(I4198/H4198,"")</x:f>
        <x:v>1.8095238095238095</x:v>
      </x:c>
      <x:c r="L4198" s="66" t="str">
        <x:f>IF(K4198="","","1 : "&amp;TEXT(K4198,"0.0"))</x:f>
        <x:v>1 : 1.8</x:v>
      </x:c>
      <x:c r="M4198" s="66" t="str">
        <x:f>IF(J4198="","Baru/Tanpa Data",IF(J4198&lt;='Catatan &amp; Sumber'!$B$14,"Sangat Ketat",IF(J4198&lt;='Catatan &amp; Sumber'!$B$15,"Ketat",IF(J4198&lt;='Catatan &amp; Sumber'!$B$16,"Sedang","Relatif Longgar"))))</x:f>
        <x:v>Relatif Longgar</x:v>
      </x:c>
      <x:c r="N4198" s="66" t="str">
        <x:v>Tidak Ada</x:v>
      </x:c>
      <x:c r="O4198" s="66" t="str">
        <x:v>Sulawesi Selatan</x:v>
      </x:c>
      <x:c r="P4198" s="66" t="str">
        <x:v>Kota Makassar</x:v>
      </x:c>
      <x:c r="Q4198" s="66" t="str">
        <x:v>https://snpmb.id/snbp/daya-tampung-snbp</x:v>
      </x:c>
      <x:c r="R4198" s="66" t="str">
        <x:v>https://sidatagrun-public-1076756628210.asia-southeast2.run.app/ptn_sn.php?ptn=711</x:v>
      </x:c>
    </x:row>
    <x:row r="4199">
      <x:c r="A4199" s="87" t="n">
        <x:v>591</x:v>
      </x:c>
      <x:c r="B4199" s="66" t="n">
        <x:v>711</x:v>
      </x:c>
      <x:c r="C4199" s="66" t="str">
        <x:v>UNIVERSITAS HASANUDDIN</x:v>
      </x:c>
      <x:c r="D4199" s="66" t="str">
        <x:v>PTN Akademik</x:v>
      </x:c>
      <x:c r="E4199" s="66" t="str">
        <x:v>17111028</x:v>
      </x:c>
      <x:c r="F4199" s="66" t="str">
        <x:v>ILMU KEPERAWATAN</x:v>
      </x:c>
      <x:c r="G4199" s="66" t="str">
        <x:v>Sarjana</x:v>
      </x:c>
      <x:c r="H4199" s="87" t="n">
        <x:v>68</x:v>
      </x:c>
      <x:c r="I4199" s="87" t="n">
        <x:v>1192</x:v>
      </x:c>
      <x:c r="J4199" s="68" t="n">
        <x:f>IFERROR(H4199/I4199,"")</x:f>
        <x:v>0.05704697986577181</x:v>
      </x:c>
      <x:c r="K4199" s="69" t="n">
        <x:f>IFERROR(I4199/H4199,"")</x:f>
        <x:v>17.529411764705884</x:v>
      </x:c>
      <x:c r="L4199" s="66" t="str">
        <x:f>IF(K4199="","","1 : "&amp;TEXT(K4199,"0.0"))</x:f>
        <x:v>1 : 17.5</x:v>
      </x:c>
      <x:c r="M4199" s="66" t="str">
        <x:f>IF(J4199="","Baru/Tanpa Data",IF(J4199&lt;='Catatan &amp; Sumber'!$B$14,"Sangat Ketat",IF(J4199&lt;='Catatan &amp; Sumber'!$B$15,"Ketat",IF(J4199&lt;='Catatan &amp; Sumber'!$B$16,"Sedang","Relatif Longgar"))))</x:f>
        <x:v>Sedang</x:v>
      </x:c>
      <x:c r="N4199" s="66" t="str">
        <x:v>Tidak Ada</x:v>
      </x:c>
      <x:c r="O4199" s="66" t="str">
        <x:v>Sulawesi Selatan</x:v>
      </x:c>
      <x:c r="P4199" s="66" t="str">
        <x:v>Kota Makassar</x:v>
      </x:c>
      <x:c r="Q4199" s="66" t="str">
        <x:v>https://snpmb.id/snbp/daya-tampung-snbp</x:v>
      </x:c>
      <x:c r="R4199" s="66" t="str">
        <x:v>https://sidatagrun-public-1076756628210.asia-southeast2.run.app/ptn_sn.php?ptn=711</x:v>
      </x:c>
    </x:row>
    <x:row r="4200">
      <x:c r="A4200" s="87" t="n">
        <x:v>4208</x:v>
      </x:c>
      <x:c r="B4200" s="66" t="n">
        <x:v>711</x:v>
      </x:c>
      <x:c r="C4200" s="66" t="str">
        <x:v>UNIVERSITAS HASANUDDIN</x:v>
      </x:c>
      <x:c r="D4200" s="66" t="str">
        <x:v>PTN Akademik</x:v>
      </x:c>
      <x:c r="E4200" s="66" t="str">
        <x:v>17111029</x:v>
      </x:c>
      <x:c r="F4200" s="66" t="str">
        <x:v>PETERNAKAN</x:v>
      </x:c>
      <x:c r="G4200" s="66" t="str">
        <x:v>Sarjana</x:v>
      </x:c>
      <x:c r="H4200" s="87" t="n">
        <x:v>216</x:v>
      </x:c>
      <x:c r="I4200" s="87" t="n">
        <x:v>250</x:v>
      </x:c>
      <x:c r="J4200" s="68" t="n">
        <x:f>IFERROR(H4200/I4200,"")</x:f>
        <x:v>0.864</x:v>
      </x:c>
      <x:c r="K4200" s="69" t="n">
        <x:f>IFERROR(I4200/H4200,"")</x:f>
        <x:v>1.1574074074074074</x:v>
      </x:c>
      <x:c r="L4200" s="66" t="str">
        <x:f>IF(K4200="","","1 : "&amp;TEXT(K4200,"0.0"))</x:f>
        <x:v>1 : 1.2</x:v>
      </x:c>
      <x:c r="M4200" s="66" t="str">
        <x:f>IF(J4200="","Baru/Tanpa Data",IF(J4200&lt;='Catatan &amp; Sumber'!$B$14,"Sangat Ketat",IF(J4200&lt;='Catatan &amp; Sumber'!$B$15,"Ketat",IF(J4200&lt;='Catatan &amp; Sumber'!$B$16,"Sedang","Relatif Longgar"))))</x:f>
        <x:v>Relatif Longgar</x:v>
      </x:c>
      <x:c r="N4200" s="66" t="str">
        <x:v>Tidak Ada</x:v>
      </x:c>
      <x:c r="O4200" s="66" t="str">
        <x:v>Sulawesi Selatan</x:v>
      </x:c>
      <x:c r="P4200" s="66" t="str">
        <x:v>Kota Makassar</x:v>
      </x:c>
      <x:c r="Q4200" s="66" t="str">
        <x:v>https://snpmb.id/snbp/daya-tampung-snbp</x:v>
      </x:c>
      <x:c r="R4200" s="66" t="str">
        <x:v>https://sidatagrun-public-1076756628210.asia-southeast2.run.app/ptn_sn.php?ptn=711</x:v>
      </x:c>
    </x:row>
    <x:row r="4201">
      <x:c r="A4201" s="87" t="n">
        <x:v>2551</x:v>
      </x:c>
      <x:c r="B4201" s="66" t="n">
        <x:v>711</x:v>
      </x:c>
      <x:c r="C4201" s="66" t="str">
        <x:v>UNIVERSITAS HASANUDDIN</x:v>
      </x:c>
      <x:c r="D4201" s="66" t="str">
        <x:v>PTN Akademik</x:v>
      </x:c>
      <x:c r="E4201" s="66" t="str">
        <x:v>17111030</x:v>
      </x:c>
      <x:c r="F4201" s="66" t="str">
        <x:v>TEKNIK KELAUTAN</x:v>
      </x:c>
      <x:c r="G4201" s="66" t="str">
        <x:v>Sarjana</x:v>
      </x:c>
      <x:c r="H4201" s="87" t="n">
        <x:v>29</x:v>
      </x:c>
      <x:c r="I4201" s="87" t="n">
        <x:v>132</x:v>
      </x:c>
      <x:c r="J4201" s="68" t="n">
        <x:f>IFERROR(H4201/I4201,"")</x:f>
        <x:v>0.2196969696969697</x:v>
      </x:c>
      <x:c r="K4201" s="69" t="n">
        <x:f>IFERROR(I4201/H4201,"")</x:f>
        <x:v>4.551724137931035</x:v>
      </x:c>
      <x:c r="L4201" s="66" t="str">
        <x:f>IF(K4201="","","1 : "&amp;TEXT(K4201,"0.0"))</x:f>
        <x:v>1 : 4.6</x:v>
      </x:c>
      <x:c r="M4201" s="66" t="str">
        <x:f>IF(J4201="","Baru/Tanpa Data",IF(J4201&lt;='Catatan &amp; Sumber'!$B$14,"Sangat Ketat",IF(J4201&lt;='Catatan &amp; Sumber'!$B$15,"Ketat",IF(J4201&lt;='Catatan &amp; Sumber'!$B$16,"Sedang","Relatif Longgar"))))</x:f>
        <x:v>Relatif Longgar</x:v>
      </x:c>
      <x:c r="N4201" s="66" t="str">
        <x:v>Tidak Ada</x:v>
      </x:c>
      <x:c r="O4201" s="66" t="str">
        <x:v>Sulawesi Selatan</x:v>
      </x:c>
      <x:c r="P4201" s="66" t="str">
        <x:v>Kota Makassar</x:v>
      </x:c>
      <x:c r="Q4201" s="66" t="str">
        <x:v>https://snpmb.id/snbp/daya-tampung-snbp</x:v>
      </x:c>
      <x:c r="R4201" s="66" t="str">
        <x:v>https://sidatagrun-public-1076756628210.asia-southeast2.run.app/ptn_sn.php?ptn=711</x:v>
      </x:c>
    </x:row>
    <x:row r="4202">
      <x:c r="A4202" s="87" t="n">
        <x:v>147</x:v>
      </x:c>
      <x:c r="B4202" s="66" t="n">
        <x:v>711</x:v>
      </x:c>
      <x:c r="C4202" s="66" t="str">
        <x:v>UNIVERSITAS HASANUDDIN</x:v>
      </x:c>
      <x:c r="D4202" s="66" t="str">
        <x:v>PTN Akademik</x:v>
      </x:c>
      <x:c r="E4202" s="66" t="str">
        <x:v>17111031</x:v>
      </x:c>
      <x:c r="F4202" s="66" t="str">
        <x:v>TEKNIK INDUSTRI</x:v>
      </x:c>
      <x:c r="G4202" s="66" t="str">
        <x:v>Sarjana</x:v>
      </x:c>
      <x:c r="H4202" s="87" t="n">
        <x:v>23</x:v>
      </x:c>
      <x:c r="I4202" s="87" t="n">
        <x:v>695</x:v>
      </x:c>
      <x:c r="J4202" s="68" t="n">
        <x:f>IFERROR(H4202/I4202,"")</x:f>
        <x:v>0.033093525179856115</x:v>
      </x:c>
      <x:c r="K4202" s="69" t="n">
        <x:f>IFERROR(I4202/H4202,"")</x:f>
        <x:v>30.217391304347824</x:v>
      </x:c>
      <x:c r="L4202" s="66" t="str">
        <x:f>IF(K4202="","","1 : "&amp;TEXT(K4202,"0.0"))</x:f>
        <x:v>1 : 30.2</x:v>
      </x:c>
      <x:c r="M4202" s="66" t="str">
        <x:f>IF(J4202="","Baru/Tanpa Data",IF(J4202&lt;='Catatan &amp; Sumber'!$B$14,"Sangat Ketat",IF(J4202&lt;='Catatan &amp; Sumber'!$B$15,"Ketat",IF(J4202&lt;='Catatan &amp; Sumber'!$B$16,"Sedang","Relatif Longgar"))))</x:f>
        <x:v>Ketat</x:v>
      </x:c>
      <x:c r="N4202" s="66" t="str">
        <x:v>Tidak Ada</x:v>
      </x:c>
      <x:c r="O4202" s="66" t="str">
        <x:v>Sulawesi Selatan</x:v>
      </x:c>
      <x:c r="P4202" s="66" t="str">
        <x:v>Kota Makassar</x:v>
      </x:c>
      <x:c r="Q4202" s="66" t="str">
        <x:v>https://snpmb.id/snbp/daya-tampung-snbp</x:v>
      </x:c>
      <x:c r="R4202" s="66" t="str">
        <x:v>https://sidatagrun-public-1076756628210.asia-southeast2.run.app/ptn_sn.php?ptn=711</x:v>
      </x:c>
    </x:row>
    <x:row r="4203">
      <x:c r="A4203" s="87" t="n">
        <x:v>3199</x:v>
      </x:c>
      <x:c r="B4203" s="66" t="n">
        <x:v>711</x:v>
      </x:c>
      <x:c r="C4203" s="66" t="str">
        <x:v>UNIVERSITAS HASANUDDIN</x:v>
      </x:c>
      <x:c r="D4203" s="66" t="str">
        <x:v>PTN Akademik</x:v>
      </x:c>
      <x:c r="E4203" s="66" t="str">
        <x:v>17111032</x:v>
      </x:c>
      <x:c r="F4203" s="66" t="str">
        <x:v>TEKNIK SISTEM PERKAPALAN</x:v>
      </x:c>
      <x:c r="G4203" s="66" t="str">
        <x:v>Sarjana</x:v>
      </x:c>
      <x:c r="H4203" s="87" t="n">
        <x:v>43</x:v>
      </x:c>
      <x:c r="I4203" s="87" t="n">
        <x:v>126</x:v>
      </x:c>
      <x:c r="J4203" s="68" t="n">
        <x:f>IFERROR(H4203/I4203,"")</x:f>
        <x:v>0.3412698412698413</x:v>
      </x:c>
      <x:c r="K4203" s="69" t="n">
        <x:f>IFERROR(I4203/H4203,"")</x:f>
        <x:v>2.9302325581395348</x:v>
      </x:c>
      <x:c r="L4203" s="66" t="str">
        <x:f>IF(K4203="","","1 : "&amp;TEXT(K4203,"0.0"))</x:f>
        <x:v>1 : 2.9</x:v>
      </x:c>
      <x:c r="M4203" s="66" t="str">
        <x:f>IF(J4203="","Baru/Tanpa Data",IF(J4203&lt;='Catatan &amp; Sumber'!$B$14,"Sangat Ketat",IF(J4203&lt;='Catatan &amp; Sumber'!$B$15,"Ketat",IF(J4203&lt;='Catatan &amp; Sumber'!$B$16,"Sedang","Relatif Longgar"))))</x:f>
        <x:v>Relatif Longgar</x:v>
      </x:c>
      <x:c r="N4203" s="66" t="str">
        <x:v>Tidak Ada</x:v>
      </x:c>
      <x:c r="O4203" s="66" t="str">
        <x:v>Sulawesi Selatan</x:v>
      </x:c>
      <x:c r="P4203" s="66" t="str">
        <x:v>Kota Makassar</x:v>
      </x:c>
      <x:c r="Q4203" s="66" t="str">
        <x:v>https://snpmb.id/snbp/daya-tampung-snbp</x:v>
      </x:c>
      <x:c r="R4203" s="66" t="str">
        <x:v>https://sidatagrun-public-1076756628210.asia-southeast2.run.app/ptn_sn.php?ptn=711</x:v>
      </x:c>
    </x:row>
    <x:row r="4204">
      <x:c r="A4204" s="87" t="n">
        <x:v>978</x:v>
      </x:c>
      <x:c r="B4204" s="66" t="n">
        <x:v>711</x:v>
      </x:c>
      <x:c r="C4204" s="66" t="str">
        <x:v>UNIVERSITAS HASANUDDIN</x:v>
      </x:c>
      <x:c r="D4204" s="66" t="str">
        <x:v>PTN Akademik</x:v>
      </x:c>
      <x:c r="E4204" s="66" t="str">
        <x:v>17111033</x:v>
      </x:c>
      <x:c r="F4204" s="66" t="str">
        <x:v>PERENCANAAN WILAYAH DAN KOTA</x:v>
      </x:c>
      <x:c r="G4204" s="66" t="str">
        <x:v>Sarjana</x:v>
      </x:c>
      <x:c r="H4204" s="87" t="n">
        <x:v>20</x:v>
      </x:c>
      <x:c r="I4204" s="87" t="n">
        <x:v>260</x:v>
      </x:c>
      <x:c r="J4204" s="68" t="n">
        <x:f>IFERROR(H4204/I4204,"")</x:f>
        <x:v>0.07692307692307693</x:v>
      </x:c>
      <x:c r="K4204" s="69" t="n">
        <x:f>IFERROR(I4204/H4204,"")</x:f>
        <x:v>13</x:v>
      </x:c>
      <x:c r="L4204" s="66" t="str">
        <x:f>IF(K4204="","","1 : "&amp;TEXT(K4204,"0.0"))</x:f>
        <x:v>1 : 13.0</x:v>
      </x:c>
      <x:c r="M4204" s="66" t="str">
        <x:f>IF(J4204="","Baru/Tanpa Data",IF(J4204&lt;='Catatan &amp; Sumber'!$B$14,"Sangat Ketat",IF(J4204&lt;='Catatan &amp; Sumber'!$B$15,"Ketat",IF(J4204&lt;='Catatan &amp; Sumber'!$B$16,"Sedang","Relatif Longgar"))))</x:f>
        <x:v>Sedang</x:v>
      </x:c>
      <x:c r="N4204" s="66" t="str">
        <x:v>Tidak Ada</x:v>
      </x:c>
      <x:c r="O4204" s="66" t="str">
        <x:v>Sulawesi Selatan</x:v>
      </x:c>
      <x:c r="P4204" s="66" t="str">
        <x:v>Kota Makassar</x:v>
      </x:c>
      <x:c r="Q4204" s="66" t="str">
        <x:v>https://snpmb.id/snbp/daya-tampung-snbp</x:v>
      </x:c>
      <x:c r="R4204" s="66" t="str">
        <x:v>https://sidatagrun-public-1076756628210.asia-southeast2.run.app/ptn_sn.php?ptn=711</x:v>
      </x:c>
    </x:row>
    <x:row r="4205">
      <x:c r="A4205" s="87" t="n">
        <x:v>16</x:v>
      </x:c>
      <x:c r="B4205" s="66" t="n">
        <x:v>711</x:v>
      </x:c>
      <x:c r="C4205" s="66" t="str">
        <x:v>UNIVERSITAS HASANUDDIN</x:v>
      </x:c>
      <x:c r="D4205" s="66" t="str">
        <x:v>PTN Akademik</x:v>
      </x:c>
      <x:c r="E4205" s="66" t="str">
        <x:v>17111034</x:v>
      </x:c>
      <x:c r="F4205" s="66" t="str">
        <x:v>TEKNIK PERTAMBANGAN</x:v>
      </x:c>
      <x:c r="G4205" s="66" t="str">
        <x:v>Sarjana</x:v>
      </x:c>
      <x:c r="H4205" s="87" t="n">
        <x:v>20</x:v>
      </x:c>
      <x:c r="I4205" s="87" t="n">
        <x:v>1242</x:v>
      </x:c>
      <x:c r="J4205" s="68" t="n">
        <x:f>IFERROR(H4205/I4205,"")</x:f>
        <x:v>0.01610305958132045</x:v>
      </x:c>
      <x:c r="K4205" s="69" t="n">
        <x:f>IFERROR(I4205/H4205,"")</x:f>
        <x:v>62.1</x:v>
      </x:c>
      <x:c r="L4205" s="66" t="str">
        <x:f>IF(K4205="","","1 : "&amp;TEXT(K4205,"0.0"))</x:f>
        <x:v>1 : 62.1</x:v>
      </x:c>
      <x:c r="M4205" s="66" t="str">
        <x:f>IF(J4205="","Baru/Tanpa Data",IF(J4205&lt;='Catatan &amp; Sumber'!$B$14,"Sangat Ketat",IF(J4205&lt;='Catatan &amp; Sumber'!$B$15,"Ketat",IF(J4205&lt;='Catatan &amp; Sumber'!$B$16,"Sedang","Relatif Longgar"))))</x:f>
        <x:v>Sangat Ketat</x:v>
      </x:c>
      <x:c r="N4205" s="66" t="str">
        <x:v>Tidak Ada</x:v>
      </x:c>
      <x:c r="O4205" s="66" t="str">
        <x:v>Sulawesi Selatan</x:v>
      </x:c>
      <x:c r="P4205" s="66" t="str">
        <x:v>Kota Makassar</x:v>
      </x:c>
      <x:c r="Q4205" s="66" t="str">
        <x:v>https://snpmb.id/snbp/daya-tampung-snbp</x:v>
      </x:c>
      <x:c r="R4205" s="66" t="str">
        <x:v>https://sidatagrun-public-1076756628210.asia-southeast2.run.app/ptn_sn.php?ptn=711</x:v>
      </x:c>
    </x:row>
    <x:row r="4206">
      <x:c r="A4206" s="87" t="n">
        <x:v>26</x:v>
      </x:c>
      <x:c r="B4206" s="66" t="n">
        <x:v>711</x:v>
      </x:c>
      <x:c r="C4206" s="66" t="str">
        <x:v>UNIVERSITAS HASANUDDIN</x:v>
      </x:c>
      <x:c r="D4206" s="66" t="str">
        <x:v>PTN Akademik</x:v>
      </x:c>
      <x:c r="E4206" s="66" t="str">
        <x:v>17111035</x:v>
      </x:c>
      <x:c r="F4206" s="66" t="str">
        <x:v>TEKNIK INFORMATIKA</x:v>
      </x:c>
      <x:c r="G4206" s="66" t="str">
        <x:v>Sarjana</x:v>
      </x:c>
      <x:c r="H4206" s="87" t="n">
        <x:v>27</x:v>
      </x:c>
      <x:c r="I4206" s="87" t="n">
        <x:v>1457</x:v>
      </x:c>
      <x:c r="J4206" s="68" t="n">
        <x:f>IFERROR(H4206/I4206,"")</x:f>
        <x:v>0.018531228551818806</x:v>
      </x:c>
      <x:c r="K4206" s="69" t="n">
        <x:f>IFERROR(I4206/H4206,"")</x:f>
        <x:v>53.96296296296296</x:v>
      </x:c>
      <x:c r="L4206" s="66" t="str">
        <x:f>IF(K4206="","","1 : "&amp;TEXT(K4206,"0.0"))</x:f>
        <x:v>1 : 54.0</x:v>
      </x:c>
      <x:c r="M4206" s="66" t="str">
        <x:f>IF(J4206="","Baru/Tanpa Data",IF(J4206&lt;='Catatan &amp; Sumber'!$B$14,"Sangat Ketat",IF(J4206&lt;='Catatan &amp; Sumber'!$B$15,"Ketat",IF(J4206&lt;='Catatan &amp; Sumber'!$B$16,"Sedang","Relatif Longgar"))))</x:f>
        <x:v>Sangat Ketat</x:v>
      </x:c>
      <x:c r="N4206" s="66" t="str">
        <x:v>Tidak Ada</x:v>
      </x:c>
      <x:c r="O4206" s="66" t="str">
        <x:v>Sulawesi Selatan</x:v>
      </x:c>
      <x:c r="P4206" s="66" t="str">
        <x:v>Kota Makassar</x:v>
      </x:c>
      <x:c r="Q4206" s="66" t="str">
        <x:v>https://snpmb.id/snbp/daya-tampung-snbp</x:v>
      </x:c>
      <x:c r="R4206" s="66" t="str">
        <x:v>https://sidatagrun-public-1076756628210.asia-southeast2.run.app/ptn_sn.php?ptn=711</x:v>
      </x:c>
    </x:row>
    <x:row r="4207">
      <x:c r="A4207" s="87" t="n">
        <x:v>941</x:v>
      </x:c>
      <x:c r="B4207" s="66" t="n">
        <x:v>711</x:v>
      </x:c>
      <x:c r="C4207" s="66" t="str">
        <x:v>UNIVERSITAS HASANUDDIN</x:v>
      </x:c>
      <x:c r="D4207" s="66" t="str">
        <x:v>PTN Akademik</x:v>
      </x:c>
      <x:c r="E4207" s="66" t="str">
        <x:v>17111036</x:v>
      </x:c>
      <x:c r="F4207" s="66" t="str">
        <x:v>FISOTERAPI</x:v>
      </x:c>
      <x:c r="G4207" s="66" t="str">
        <x:v>Sarjana</x:v>
      </x:c>
      <x:c r="H4207" s="87" t="n">
        <x:v>40</x:v>
      </x:c>
      <x:c r="I4207" s="87" t="n">
        <x:v>535</x:v>
      </x:c>
      <x:c r="J4207" s="68" t="n">
        <x:f>IFERROR(H4207/I4207,"")</x:f>
        <x:v>0.07476635514018691</x:v>
      </x:c>
      <x:c r="K4207" s="69" t="n">
        <x:f>IFERROR(I4207/H4207,"")</x:f>
        <x:v>13.375</x:v>
      </x:c>
      <x:c r="L4207" s="66" t="str">
        <x:f>IF(K4207="","","1 : "&amp;TEXT(K4207,"0.0"))</x:f>
        <x:v>1 : 13.4</x:v>
      </x:c>
      <x:c r="M4207" s="66" t="str">
        <x:f>IF(J4207="","Baru/Tanpa Data",IF(J4207&lt;='Catatan &amp; Sumber'!$B$14,"Sangat Ketat",IF(J4207&lt;='Catatan &amp; Sumber'!$B$15,"Ketat",IF(J4207&lt;='Catatan &amp; Sumber'!$B$16,"Sedang","Relatif Longgar"))))</x:f>
        <x:v>Sedang</x:v>
      </x:c>
      <x:c r="N4207" s="66" t="str">
        <x:v>Tidak Ada</x:v>
      </x:c>
      <x:c r="O4207" s="66" t="str">
        <x:v>Sulawesi Selatan</x:v>
      </x:c>
      <x:c r="P4207" s="66" t="str">
        <x:v>Kota Makassar</x:v>
      </x:c>
      <x:c r="Q4207" s="66" t="str">
        <x:v>https://snpmb.id/snbp/daya-tampung-snbp</x:v>
      </x:c>
      <x:c r="R4207" s="66" t="str">
        <x:v>https://sidatagrun-public-1076756628210.asia-southeast2.run.app/ptn_sn.php?ptn=711</x:v>
      </x:c>
    </x:row>
    <x:row r="4208">
      <x:c r="A4208" s="87" t="n">
        <x:v>786</x:v>
      </x:c>
      <x:c r="B4208" s="66" t="n">
        <x:v>711</x:v>
      </x:c>
      <x:c r="C4208" s="66" t="str">
        <x:v>UNIVERSITAS HASANUDDIN</x:v>
      </x:c>
      <x:c r="D4208" s="66" t="str">
        <x:v>PTN Akademik</x:v>
      </x:c>
      <x:c r="E4208" s="66" t="str">
        <x:v>17111037</x:v>
      </x:c>
      <x:c r="F4208" s="66" t="str">
        <x:v>TEKNIK LINGKUNGAN</x:v>
      </x:c>
      <x:c r="G4208" s="66" t="str">
        <x:v>Sarjana</x:v>
      </x:c>
      <x:c r="H4208" s="87" t="n">
        <x:v>25</x:v>
      </x:c>
      <x:c r="I4208" s="87" t="n">
        <x:v>378</x:v>
      </x:c>
      <x:c r="J4208" s="68" t="n">
        <x:f>IFERROR(H4208/I4208,"")</x:f>
        <x:v>0.06613756613756613</x:v>
      </x:c>
      <x:c r="K4208" s="69" t="n">
        <x:f>IFERROR(I4208/H4208,"")</x:f>
        <x:v>15.12</x:v>
      </x:c>
      <x:c r="L4208" s="66" t="str">
        <x:f>IF(K4208="","","1 : "&amp;TEXT(K4208,"0.0"))</x:f>
        <x:v>1 : 15.1</x:v>
      </x:c>
      <x:c r="M4208" s="66" t="str">
        <x:f>IF(J4208="","Baru/Tanpa Data",IF(J4208&lt;='Catatan &amp; Sumber'!$B$14,"Sangat Ketat",IF(J4208&lt;='Catatan &amp; Sumber'!$B$15,"Ketat",IF(J4208&lt;='Catatan &amp; Sumber'!$B$16,"Sedang","Relatif Longgar"))))</x:f>
        <x:v>Sedang</x:v>
      </x:c>
      <x:c r="N4208" s="66" t="str">
        <x:v>Tidak Ada</x:v>
      </x:c>
      <x:c r="O4208" s="66" t="str">
        <x:v>Sulawesi Selatan</x:v>
      </x:c>
      <x:c r="P4208" s="66" t="str">
        <x:v>Kota Makassar</x:v>
      </x:c>
      <x:c r="Q4208" s="66" t="str">
        <x:v>https://snpmb.id/snbp/daya-tampung-snbp</x:v>
      </x:c>
      <x:c r="R4208" s="66" t="str">
        <x:v>https://sidatagrun-public-1076756628210.asia-southeast2.run.app/ptn_sn.php?ptn=711</x:v>
      </x:c>
    </x:row>
    <x:row r="4209">
      <x:c r="A4209" s="87" t="n">
        <x:v>1864</x:v>
      </x:c>
      <x:c r="B4209" s="66" t="n">
        <x:v>711</x:v>
      </x:c>
      <x:c r="C4209" s="66" t="str">
        <x:v>UNIVERSITAS HASANUDDIN</x:v>
      </x:c>
      <x:c r="D4209" s="66" t="str">
        <x:v>PTN Akademik</x:v>
      </x:c>
      <x:c r="E4209" s="66" t="str">
        <x:v>17111038</x:v>
      </x:c>
      <x:c r="F4209" s="66" t="str">
        <x:v>KEDOKTERAN HEWAN</x:v>
      </x:c>
      <x:c r="G4209" s="66" t="str">
        <x:v>Sarjana</x:v>
      </x:c>
      <x:c r="H4209" s="87" t="n">
        <x:v>46</x:v>
      </x:c>
      <x:c r="I4209" s="87" t="n">
        <x:v>334</x:v>
      </x:c>
      <x:c r="J4209" s="68" t="n">
        <x:f>IFERROR(H4209/I4209,"")</x:f>
        <x:v>0.1377245508982036</x:v>
      </x:c>
      <x:c r="K4209" s="69" t="n">
        <x:f>IFERROR(I4209/H4209,"")</x:f>
        <x:v>7.260869565217392</x:v>
      </x:c>
      <x:c r="L4209" s="66" t="str">
        <x:f>IF(K4209="","","1 : "&amp;TEXT(K4209,"0.0"))</x:f>
        <x:v>1 : 7.3</x:v>
      </x:c>
      <x:c r="M4209" s="66" t="str">
        <x:f>IF(J4209="","Baru/Tanpa Data",IF(J4209&lt;='Catatan &amp; Sumber'!$B$14,"Sangat Ketat",IF(J4209&lt;='Catatan &amp; Sumber'!$B$15,"Ketat",IF(J4209&lt;='Catatan &amp; Sumber'!$B$16,"Sedang","Relatif Longgar"))))</x:f>
        <x:v>Relatif Longgar</x:v>
      </x:c>
      <x:c r="N4209" s="66" t="str">
        <x:v>Tidak Ada</x:v>
      </x:c>
      <x:c r="O4209" s="66" t="str">
        <x:v>Sulawesi Selatan</x:v>
      </x:c>
      <x:c r="P4209" s="66" t="str">
        <x:v>Kota Makassar</x:v>
      </x:c>
      <x:c r="Q4209" s="66" t="str">
        <x:v>https://snpmb.id/snbp/daya-tampung-snbp</x:v>
      </x:c>
      <x:c r="R4209" s="66" t="str">
        <x:v>https://sidatagrun-public-1076756628210.asia-southeast2.run.app/ptn_sn.php?ptn=711</x:v>
      </x:c>
    </x:row>
    <x:row r="4210">
      <x:c r="A4210" s="87" t="n">
        <x:v>504</x:v>
      </x:c>
      <x:c r="B4210" s="66" t="n">
        <x:v>711</x:v>
      </x:c>
      <x:c r="C4210" s="66" t="str">
        <x:v>UNIVERSITAS HASANUDDIN</x:v>
      </x:c>
      <x:c r="D4210" s="66" t="str">
        <x:v>PTN Akademik</x:v>
      </x:c>
      <x:c r="E4210" s="66" t="str">
        <x:v>17111039</x:v>
      </x:c>
      <x:c r="F4210" s="66" t="str">
        <x:v>PSIKOLOGI</x:v>
      </x:c>
      <x:c r="G4210" s="66" t="str">
        <x:v>Sarjana</x:v>
      </x:c>
      <x:c r="H4210" s="87" t="n">
        <x:v>39</x:v>
      </x:c>
      <x:c r="I4210" s="87" t="n">
        <x:v>758</x:v>
      </x:c>
      <x:c r="J4210" s="68" t="n">
        <x:f>IFERROR(H4210/I4210,"")</x:f>
        <x:v>0.051451187335092345</x:v>
      </x:c>
      <x:c r="K4210" s="69" t="n">
        <x:f>IFERROR(I4210/H4210,"")</x:f>
        <x:v>19.435897435897434</x:v>
      </x:c>
      <x:c r="L4210" s="66" t="str">
        <x:f>IF(K4210="","","1 : "&amp;TEXT(K4210,"0.0"))</x:f>
        <x:v>1 : 19.4</x:v>
      </x:c>
      <x:c r="M4210" s="66" t="str">
        <x:f>IF(J4210="","Baru/Tanpa Data",IF(J4210&lt;='Catatan &amp; Sumber'!$B$14,"Sangat Ketat",IF(J4210&lt;='Catatan &amp; Sumber'!$B$15,"Ketat",IF(J4210&lt;='Catatan &amp; Sumber'!$B$16,"Sedang","Relatif Longgar"))))</x:f>
        <x:v>Sedang</x:v>
      </x:c>
      <x:c r="N4210" s="66" t="str">
        <x:v>Tidak Ada</x:v>
      </x:c>
      <x:c r="O4210" s="66" t="str">
        <x:v>Sulawesi Selatan</x:v>
      </x:c>
      <x:c r="P4210" s="66" t="str">
        <x:v>Kota Makassar</x:v>
      </x:c>
      <x:c r="Q4210" s="66" t="str">
        <x:v>https://snpmb.id/snbp/daya-tampung-snbp</x:v>
      </x:c>
      <x:c r="R4210" s="66" t="str">
        <x:v>https://sidatagrun-public-1076756628210.asia-southeast2.run.app/ptn_sn.php?ptn=711</x:v>
      </x:c>
    </x:row>
    <x:row r="4211">
      <x:c r="A4211" s="87" t="n">
        <x:v>1079</x:v>
      </x:c>
      <x:c r="B4211" s="66" t="n">
        <x:v>711</x:v>
      </x:c>
      <x:c r="C4211" s="66" t="str">
        <x:v>UNIVERSITAS HASANUDDIN</x:v>
      </x:c>
      <x:c r="D4211" s="66" t="str">
        <x:v>PTN Akademik</x:v>
      </x:c>
      <x:c r="E4211" s="66" t="str">
        <x:v>17111040</x:v>
      </x:c>
      <x:c r="F4211" s="66" t="str">
        <x:v>SISTEM INFORMASI</x:v>
      </x:c>
      <x:c r="G4211" s="66" t="str">
        <x:v>Sarjana</x:v>
      </x:c>
      <x:c r="H4211" s="87" t="n">
        <x:v>46</x:v>
      </x:c>
      <x:c r="I4211" s="87" t="n">
        <x:v>559</x:v>
      </x:c>
      <x:c r="J4211" s="68" t="n">
        <x:f>IFERROR(H4211/I4211,"")</x:f>
        <x:v>0.08228980322003578</x:v>
      </x:c>
      <x:c r="K4211" s="69" t="n">
        <x:f>IFERROR(I4211/H4211,"")</x:f>
        <x:v>12.152173913043478</x:v>
      </x:c>
      <x:c r="L4211" s="66" t="str">
        <x:f>IF(K4211="","","1 : "&amp;TEXT(K4211,"0.0"))</x:f>
        <x:v>1 : 12.2</x:v>
      </x:c>
      <x:c r="M4211" s="66" t="str">
        <x:f>IF(J4211="","Baru/Tanpa Data",IF(J4211&lt;='Catatan &amp; Sumber'!$B$14,"Sangat Ketat",IF(J4211&lt;='Catatan &amp; Sumber'!$B$15,"Ketat",IF(J4211&lt;='Catatan &amp; Sumber'!$B$16,"Sedang","Relatif Longgar"))))</x:f>
        <x:v>Sedang</x:v>
      </x:c>
      <x:c r="N4211" s="66" t="str">
        <x:v>Tidak Ada</x:v>
      </x:c>
      <x:c r="O4211" s="66" t="str">
        <x:v>Sulawesi Selatan</x:v>
      </x:c>
      <x:c r="P4211" s="66" t="str">
        <x:v>Kota Makassar</x:v>
      </x:c>
      <x:c r="Q4211" s="66" t="str">
        <x:v>https://snpmb.id/snbp/daya-tampung-snbp</x:v>
      </x:c>
      <x:c r="R4211" s="66" t="str">
        <x:v>https://sidatagrun-public-1076756628210.asia-southeast2.run.app/ptn_sn.php?ptn=711</x:v>
      </x:c>
    </x:row>
    <x:row r="4212">
      <x:c r="A4212" s="87" t="n">
        <x:v>1012</x:v>
      </x:c>
      <x:c r="B4212" s="66" t="n">
        <x:v>711</x:v>
      </x:c>
      <x:c r="C4212" s="66" t="str">
        <x:v>UNIVERSITAS HASANUDDIN</x:v>
      </x:c>
      <x:c r="D4212" s="66" t="str">
        <x:v>PTN Akademik</x:v>
      </x:c>
      <x:c r="E4212" s="66" t="str">
        <x:v>17111041</x:v>
      </x:c>
      <x:c r="F4212" s="66" t="str">
        <x:v>ILMU AKTUARIA</x:v>
      </x:c>
      <x:c r="G4212" s="66" t="str">
        <x:v>Sarjana</x:v>
      </x:c>
      <x:c r="H4212" s="87" t="n">
        <x:v>18</x:v>
      </x:c>
      <x:c r="I4212" s="87" t="n">
        <x:v>228</x:v>
      </x:c>
      <x:c r="J4212" s="68" t="n">
        <x:f>IFERROR(H4212/I4212,"")</x:f>
        <x:v>0.07894736842105263</x:v>
      </x:c>
      <x:c r="K4212" s="69" t="n">
        <x:f>IFERROR(I4212/H4212,"")</x:f>
        <x:v>12.666666666666666</x:v>
      </x:c>
      <x:c r="L4212" s="66" t="str">
        <x:f>IF(K4212="","","1 : "&amp;TEXT(K4212,"0.0"))</x:f>
        <x:v>1 : 12.7</x:v>
      </x:c>
      <x:c r="M4212" s="66" t="str">
        <x:f>IF(J4212="","Baru/Tanpa Data",IF(J4212&lt;='Catatan &amp; Sumber'!$B$14,"Sangat Ketat",IF(J4212&lt;='Catatan &amp; Sumber'!$B$15,"Ketat",IF(J4212&lt;='Catatan &amp; Sumber'!$B$16,"Sedang","Relatif Longgar"))))</x:f>
        <x:v>Sedang</x:v>
      </x:c>
      <x:c r="N4212" s="66" t="str">
        <x:v>Tidak Ada</x:v>
      </x:c>
      <x:c r="O4212" s="66" t="str">
        <x:v>Sulawesi Selatan</x:v>
      </x:c>
      <x:c r="P4212" s="66" t="str">
        <x:v>Kota Makassar</x:v>
      </x:c>
      <x:c r="Q4212" s="66" t="str">
        <x:v>https://snpmb.id/snbp/daya-tampung-snbp</x:v>
      </x:c>
      <x:c r="R4212" s="66" t="str">
        <x:v>https://sidatagrun-public-1076756628210.asia-southeast2.run.app/ptn_sn.php?ptn=711</x:v>
      </x:c>
    </x:row>
    <x:row r="4213">
      <x:c r="A4213" s="87" t="n">
        <x:v>3703</x:v>
      </x:c>
      <x:c r="B4213" s="66" t="n">
        <x:v>711</x:v>
      </x:c>
      <x:c r="C4213" s="66" t="str">
        <x:v>UNIVERSITAS HASANUDDIN</x:v>
      </x:c>
      <x:c r="D4213" s="66" t="str">
        <x:v>PTN Akademik</x:v>
      </x:c>
      <x:c r="E4213" s="66" t="str">
        <x:v>17111042</x:v>
      </x:c>
      <x:c r="F4213" s="66" t="str">
        <x:v>REKAYASA KEHUTANAN</x:v>
      </x:c>
      <x:c r="G4213" s="66" t="str">
        <x:v>Sarjana</x:v>
      </x:c>
      <x:c r="H4213" s="87" t="n">
        <x:v>45</x:v>
      </x:c>
      <x:c r="I4213" s="87" t="n">
        <x:v>87</x:v>
      </x:c>
      <x:c r="J4213" s="68" t="n">
        <x:f>IFERROR(H4213/I4213,"")</x:f>
        <x:v>0.5172413793103449</x:v>
      </x:c>
      <x:c r="K4213" s="69" t="n">
        <x:f>IFERROR(I4213/H4213,"")</x:f>
        <x:v>1.9333333333333333</x:v>
      </x:c>
      <x:c r="L4213" s="66" t="str">
        <x:f>IF(K4213="","","1 : "&amp;TEXT(K4213,"0.0"))</x:f>
        <x:v>1 : 1.9</x:v>
      </x:c>
      <x:c r="M4213" s="66" t="str">
        <x:f>IF(J4213="","Baru/Tanpa Data",IF(J4213&lt;='Catatan &amp; Sumber'!$B$14,"Sangat Ketat",IF(J4213&lt;='Catatan &amp; Sumber'!$B$15,"Ketat",IF(J4213&lt;='Catatan &amp; Sumber'!$B$16,"Sedang","Relatif Longgar"))))</x:f>
        <x:v>Relatif Longgar</x:v>
      </x:c>
      <x:c r="N4213" s="66" t="str">
        <x:v>Tidak Ada</x:v>
      </x:c>
      <x:c r="O4213" s="66" t="str">
        <x:v>Sulawesi Selatan</x:v>
      </x:c>
      <x:c r="P4213" s="66" t="str">
        <x:v>Kota Makassar</x:v>
      </x:c>
      <x:c r="Q4213" s="66" t="str">
        <x:v>https://snpmb.id/snbp/daya-tampung-snbp</x:v>
      </x:c>
      <x:c r="R4213" s="66" t="str">
        <x:v>https://sidatagrun-public-1076756628210.asia-southeast2.run.app/ptn_sn.php?ptn=711</x:v>
      </x:c>
    </x:row>
    <x:row r="4214">
      <x:c r="A4214" s="87" t="n">
        <x:v>3194</x:v>
      </x:c>
      <x:c r="B4214" s="66" t="n">
        <x:v>711</x:v>
      </x:c>
      <x:c r="C4214" s="66" t="str">
        <x:v>UNIVERSITAS HASANUDDIN</x:v>
      </x:c>
      <x:c r="D4214" s="66" t="str">
        <x:v>PTN Akademik</x:v>
      </x:c>
      <x:c r="E4214" s="66" t="str">
        <x:v>17111045</x:v>
      </x:c>
      <x:c r="F4214" s="66" t="str">
        <x:v>ILMU TANAH</x:v>
      </x:c>
      <x:c r="G4214" s="66" t="str">
        <x:v>Sarjana</x:v>
      </x:c>
      <x:c r="H4214" s="87" t="n">
        <x:v>45</x:v>
      </x:c>
      <x:c r="I4214" s="87" t="n">
        <x:v>132</x:v>
      </x:c>
      <x:c r="J4214" s="68" t="n">
        <x:f>IFERROR(H4214/I4214,"")</x:f>
        <x:v>0.3409090909090909</x:v>
      </x:c>
      <x:c r="K4214" s="69" t="n">
        <x:f>IFERROR(I4214/H4214,"")</x:f>
        <x:v>2.933333333333333</x:v>
      </x:c>
      <x:c r="L4214" s="66" t="str">
        <x:f>IF(K4214="","","1 : "&amp;TEXT(K4214,"0.0"))</x:f>
        <x:v>1 : 2.9</x:v>
      </x:c>
      <x:c r="M4214" s="66" t="str">
        <x:f>IF(J4214="","Baru/Tanpa Data",IF(J4214&lt;='Catatan &amp; Sumber'!$B$14,"Sangat Ketat",IF(J4214&lt;='Catatan &amp; Sumber'!$B$15,"Ketat",IF(J4214&lt;='Catatan &amp; Sumber'!$B$16,"Sedang","Relatif Longgar"))))</x:f>
        <x:v>Relatif Longgar</x:v>
      </x:c>
      <x:c r="N4214" s="66" t="str">
        <x:v>Tidak Ada</x:v>
      </x:c>
      <x:c r="O4214" s="66" t="str">
        <x:v>Sulawesi Selatan</x:v>
      </x:c>
      <x:c r="P4214" s="66" t="str">
        <x:v>Kota Makassar</x:v>
      </x:c>
      <x:c r="Q4214" s="66" t="str">
        <x:v>https://snpmb.id/snbp/daya-tampung-snbp</x:v>
      </x:c>
      <x:c r="R4214" s="66" t="str">
        <x:v>https://sidatagrun-public-1076756628210.asia-southeast2.run.app/ptn_sn.php?ptn=711</x:v>
      </x:c>
    </x:row>
    <x:row r="4215">
      <x:c r="A4215" s="87" t="n">
        <x:v>3461</x:v>
      </x:c>
      <x:c r="B4215" s="66" t="n">
        <x:v>711</x:v>
      </x:c>
      <x:c r="C4215" s="66" t="str">
        <x:v>UNIVERSITAS HASANUDDIN</x:v>
      </x:c>
      <x:c r="D4215" s="66" t="str">
        <x:v>PTN Akademik</x:v>
      </x:c>
      <x:c r="E4215" s="66" t="str">
        <x:v>17111046</x:v>
      </x:c>
      <x:c r="F4215" s="66" t="str">
        <x:v>PROTEKSI TANAMAN</x:v>
      </x:c>
      <x:c r="G4215" s="66" t="str">
        <x:v>Sarjana</x:v>
      </x:c>
      <x:c r="H4215" s="87" t="n">
        <x:v>43</x:v>
      </x:c>
      <x:c r="I4215" s="87" t="n">
        <x:v>102</x:v>
      </x:c>
      <x:c r="J4215" s="68" t="n">
        <x:f>IFERROR(H4215/I4215,"")</x:f>
        <x:v>0.4215686274509804</x:v>
      </x:c>
      <x:c r="K4215" s="69" t="n">
        <x:f>IFERROR(I4215/H4215,"")</x:f>
        <x:v>2.372093023255814</x:v>
      </x:c>
      <x:c r="L4215" s="66" t="str">
        <x:f>IF(K4215="","","1 : "&amp;TEXT(K4215,"0.0"))</x:f>
        <x:v>1 : 2.4</x:v>
      </x:c>
      <x:c r="M4215" s="66" t="str">
        <x:f>IF(J4215="","Baru/Tanpa Data",IF(J4215&lt;='Catatan &amp; Sumber'!$B$14,"Sangat Ketat",IF(J4215&lt;='Catatan &amp; Sumber'!$B$15,"Ketat",IF(J4215&lt;='Catatan &amp; Sumber'!$B$16,"Sedang","Relatif Longgar"))))</x:f>
        <x:v>Relatif Longgar</x:v>
      </x:c>
      <x:c r="N4215" s="66" t="str">
        <x:v>Tidak Ada</x:v>
      </x:c>
      <x:c r="O4215" s="66" t="str">
        <x:v>Sulawesi Selatan</x:v>
      </x:c>
      <x:c r="P4215" s="66" t="str">
        <x:v>Kota Makassar</x:v>
      </x:c>
      <x:c r="Q4215" s="66" t="str">
        <x:v>https://snpmb.id/snbp/daya-tampung-snbp</x:v>
      </x:c>
      <x:c r="R4215" s="66" t="str">
        <x:v>https://sidatagrun-public-1076756628210.asia-southeast2.run.app/ptn_sn.php?ptn=711</x:v>
      </x:c>
    </x:row>
    <x:row r="4216">
      <x:c r="A4216" s="87" t="n">
        <x:v>3355</x:v>
      </x:c>
      <x:c r="B4216" s="66" t="n">
        <x:v>711</x:v>
      </x:c>
      <x:c r="C4216" s="66" t="str">
        <x:v>UNIVERSITAS HASANUDDIN</x:v>
      </x:c>
      <x:c r="D4216" s="66" t="str">
        <x:v>PTN Akademik</x:v>
      </x:c>
      <x:c r="E4216" s="66" t="str">
        <x:v>17111047</x:v>
      </x:c>
      <x:c r="F4216" s="66" t="str">
        <x:v>KONSERVASI HUTAN</x:v>
      </x:c>
      <x:c r="G4216" s="66" t="str">
        <x:v>Sarjana</x:v>
      </x:c>
      <x:c r="H4216" s="87" t="n">
        <x:v>36</x:v>
      </x:c>
      <x:c r="I4216" s="87" t="n">
        <x:v>93</x:v>
      </x:c>
      <x:c r="J4216" s="68" t="n">
        <x:f>IFERROR(H4216/I4216,"")</x:f>
        <x:v>0.3870967741935484</x:v>
      </x:c>
      <x:c r="K4216" s="69" t="n">
        <x:f>IFERROR(I4216/H4216,"")</x:f>
        <x:v>2.5833333333333335</x:v>
      </x:c>
      <x:c r="L4216" s="66" t="str">
        <x:f>IF(K4216="","","1 : "&amp;TEXT(K4216,"0.0"))</x:f>
        <x:v>1 : 2.6</x:v>
      </x:c>
      <x:c r="M4216" s="66" t="str">
        <x:f>IF(J4216="","Baru/Tanpa Data",IF(J4216&lt;='Catatan &amp; Sumber'!$B$14,"Sangat Ketat",IF(J4216&lt;='Catatan &amp; Sumber'!$B$15,"Ketat",IF(J4216&lt;='Catatan &amp; Sumber'!$B$16,"Sedang","Relatif Longgar"))))</x:f>
        <x:v>Relatif Longgar</x:v>
      </x:c>
      <x:c r="N4216" s="66" t="str">
        <x:v>Tidak Ada</x:v>
      </x:c>
      <x:c r="O4216" s="66" t="str">
        <x:v>Sulawesi Selatan</x:v>
      </x:c>
      <x:c r="P4216" s="66" t="str">
        <x:v>Kota Makassar</x:v>
      </x:c>
      <x:c r="Q4216" s="66" t="str">
        <x:v>https://snpmb.id/snbp/daya-tampung-snbp</x:v>
      </x:c>
      <x:c r="R4216" s="66" t="str">
        <x:v>https://sidatagrun-public-1076756628210.asia-southeast2.run.app/ptn_sn.php?ptn=711</x:v>
      </x:c>
    </x:row>
    <x:row r="4217">
      <x:c r="A4217" s="87" t="n">
        <x:v>3924</x:v>
      </x:c>
      <x:c r="B4217" s="66" t="n">
        <x:v>711</x:v>
      </x:c>
      <x:c r="C4217" s="66" t="str">
        <x:v>UNIVERSITAS HASANUDDIN</x:v>
      </x:c>
      <x:c r="D4217" s="66" t="str">
        <x:v>PTN Akademik</x:v>
      </x:c>
      <x:c r="E4217" s="66" t="str">
        <x:v>17111048</x:v>
      </x:c>
      <x:c r="F4217" s="66" t="str">
        <x:v>TEKNOLOGI HASIL PERIKANAN</x:v>
      </x:c>
      <x:c r="G4217" s="66" t="str">
        <x:v>Sarjana</x:v>
      </x:c>
      <x:c r="H4217" s="87" t="n">
        <x:v>32</x:v>
      </x:c>
      <x:c r="I4217" s="87" t="n">
        <x:v>50</x:v>
      </x:c>
      <x:c r="J4217" s="68" t="n">
        <x:f>IFERROR(H4217/I4217,"")</x:f>
        <x:v>0.64</x:v>
      </x:c>
      <x:c r="K4217" s="69" t="n">
        <x:f>IFERROR(I4217/H4217,"")</x:f>
        <x:v>1.5625</x:v>
      </x:c>
      <x:c r="L4217" s="66" t="str">
        <x:f>IF(K4217="","","1 : "&amp;TEXT(K4217,"0.0"))</x:f>
        <x:v>1 : 1.6</x:v>
      </x:c>
      <x:c r="M4217" s="66" t="str">
        <x:f>IF(J4217="","Baru/Tanpa Data",IF(J4217&lt;='Catatan &amp; Sumber'!$B$14,"Sangat Ketat",IF(J4217&lt;='Catatan &amp; Sumber'!$B$15,"Ketat",IF(J4217&lt;='Catatan &amp; Sumber'!$B$16,"Sedang","Relatif Longgar"))))</x:f>
        <x:v>Relatif Longgar</x:v>
      </x:c>
      <x:c r="N4217" s="66" t="str">
        <x:v>Tidak Ada</x:v>
      </x:c>
      <x:c r="O4217" s="66" t="str">
        <x:v>Sulawesi Selatan</x:v>
      </x:c>
      <x:c r="P4217" s="66" t="str">
        <x:v>Kota Makassar</x:v>
      </x:c>
      <x:c r="Q4217" s="66" t="str">
        <x:v>https://snpmb.id/snbp/daya-tampung-snbp</x:v>
      </x:c>
      <x:c r="R4217" s="66" t="str">
        <x:v>https://sidatagrun-public-1076756628210.asia-southeast2.run.app/ptn_sn.php?ptn=711</x:v>
      </x:c>
    </x:row>
    <x:row r="4218">
      <x:c r="A4218" s="87" t="n">
        <x:v>490</x:v>
      </x:c>
      <x:c r="B4218" s="66" t="n">
        <x:v>711</x:v>
      </x:c>
      <x:c r="C4218" s="66" t="str">
        <x:v>UNIVERSITAS HASANUDDIN</x:v>
      </x:c>
      <x:c r="D4218" s="66" t="str">
        <x:v>PTN Akademik</x:v>
      </x:c>
      <x:c r="E4218" s="66" t="str">
        <x:v>17111054</x:v>
      </x:c>
      <x:c r="F4218" s="66" t="str">
        <x:v>MANAJEMEN</x:v>
      </x:c>
      <x:c r="G4218" s="66" t="str">
        <x:v>Sarjana</x:v>
      </x:c>
      <x:c r="H4218" s="87" t="n">
        <x:v>70</x:v>
      </x:c>
      <x:c r="I4218" s="87" t="n">
        <x:v>1383</x:v>
      </x:c>
      <x:c r="J4218" s="68" t="n">
        <x:f>IFERROR(H4218/I4218,"")</x:f>
        <x:v>0.05061460592913955</x:v>
      </x:c>
      <x:c r="K4218" s="69" t="n">
        <x:f>IFERROR(I4218/H4218,"")</x:f>
        <x:v>19.757142857142856</x:v>
      </x:c>
      <x:c r="L4218" s="66" t="str">
        <x:f>IF(K4218="","","1 : "&amp;TEXT(K4218,"0.0"))</x:f>
        <x:v>1 : 19.8</x:v>
      </x:c>
      <x:c r="M4218" s="66" t="str">
        <x:f>IF(J4218="","Baru/Tanpa Data",IF(J4218&lt;='Catatan &amp; Sumber'!$B$14,"Sangat Ketat",IF(J4218&lt;='Catatan &amp; Sumber'!$B$15,"Ketat",IF(J4218&lt;='Catatan &amp; Sumber'!$B$16,"Sedang","Relatif Longgar"))))</x:f>
        <x:v>Sedang</x:v>
      </x:c>
      <x:c r="N4218" s="66" t="str">
        <x:v>Tidak Ada</x:v>
      </x:c>
      <x:c r="O4218" s="66" t="str">
        <x:v>Sulawesi Selatan</x:v>
      </x:c>
      <x:c r="P4218" s="66" t="str">
        <x:v>Kota Makassar</x:v>
      </x:c>
      <x:c r="Q4218" s="66" t="str">
        <x:v>https://snpmb.id/snbp/daya-tampung-snbp</x:v>
      </x:c>
      <x:c r="R4218" s="66" t="str">
        <x:v>https://sidatagrun-public-1076756628210.asia-southeast2.run.app/ptn_sn.php?ptn=711</x:v>
      </x:c>
    </x:row>
    <x:row r="4219">
      <x:c r="A4219" s="87" t="n">
        <x:v>1085</x:v>
      </x:c>
      <x:c r="B4219" s="66" t="n">
        <x:v>711</x:v>
      </x:c>
      <x:c r="C4219" s="66" t="str">
        <x:v>UNIVERSITAS HASANUDDIN</x:v>
      </x:c>
      <x:c r="D4219" s="66" t="str">
        <x:v>PTN Akademik</x:v>
      </x:c>
      <x:c r="E4219" s="66" t="str">
        <x:v>17111055</x:v>
      </x:c>
      <x:c r="F4219" s="66" t="str">
        <x:v>ILMU HUKUM</x:v>
      </x:c>
      <x:c r="G4219" s="66" t="str">
        <x:v>Sarjana</x:v>
      </x:c>
      <x:c r="H4219" s="87" t="n">
        <x:v>121</x:v>
      </x:c>
      <x:c r="I4219" s="87" t="n">
        <x:v>1464</x:v>
      </x:c>
      <x:c r="J4219" s="68" t="n">
        <x:f>IFERROR(H4219/I4219,"")</x:f>
        <x:v>0.08265027322404371</x:v>
      </x:c>
      <x:c r="K4219" s="69" t="n">
        <x:f>IFERROR(I4219/H4219,"")</x:f>
        <x:v>12.099173553719009</x:v>
      </x:c>
      <x:c r="L4219" s="66" t="str">
        <x:f>IF(K4219="","","1 : "&amp;TEXT(K4219,"0.0"))</x:f>
        <x:v>1 : 12.1</x:v>
      </x:c>
      <x:c r="M4219" s="66" t="str">
        <x:f>IF(J4219="","Baru/Tanpa Data",IF(J4219&lt;='Catatan &amp; Sumber'!$B$14,"Sangat Ketat",IF(J4219&lt;='Catatan &amp; Sumber'!$B$15,"Ketat",IF(J4219&lt;='Catatan &amp; Sumber'!$B$16,"Sedang","Relatif Longgar"))))</x:f>
        <x:v>Sedang</x:v>
      </x:c>
      <x:c r="N4219" s="66" t="str">
        <x:v>Tidak Ada</x:v>
      </x:c>
      <x:c r="O4219" s="66" t="str">
        <x:v>Sulawesi Selatan</x:v>
      </x:c>
      <x:c r="P4219" s="66" t="str">
        <x:v>Kota Makassar</x:v>
      </x:c>
      <x:c r="Q4219" s="66" t="str">
        <x:v>https://snpmb.id/snbp/daya-tampung-snbp</x:v>
      </x:c>
      <x:c r="R4219" s="66" t="str">
        <x:v>https://sidatagrun-public-1076756628210.asia-southeast2.run.app/ptn_sn.php?ptn=711</x:v>
      </x:c>
    </x:row>
    <x:row r="4220">
      <x:c r="A4220" s="87" t="n">
        <x:v>2083</x:v>
      </x:c>
      <x:c r="B4220" s="66" t="n">
        <x:v>711</x:v>
      </x:c>
      <x:c r="C4220" s="66" t="str">
        <x:v>UNIVERSITAS HASANUDDIN</x:v>
      </x:c>
      <x:c r="D4220" s="66" t="str">
        <x:v>PTN Akademik</x:v>
      </x:c>
      <x:c r="E4220" s="66" t="str">
        <x:v>17111056</x:v>
      </x:c>
      <x:c r="F4220" s="66" t="str">
        <x:v>ILMU POLITIK</x:v>
      </x:c>
      <x:c r="G4220" s="66" t="str">
        <x:v>Sarjana</x:v>
      </x:c>
      <x:c r="H4220" s="87" t="n">
        <x:v>31</x:v>
      </x:c>
      <x:c r="I4220" s="87" t="n">
        <x:v>194</x:v>
      </x:c>
      <x:c r="J4220" s="68" t="n">
        <x:f>IFERROR(H4220/I4220,"")</x:f>
        <x:v>0.15979381443298968</x:v>
      </x:c>
      <x:c r="K4220" s="69" t="n">
        <x:f>IFERROR(I4220/H4220,"")</x:f>
        <x:v>6.258064516129032</x:v>
      </x:c>
      <x:c r="L4220" s="66" t="str">
        <x:f>IF(K4220="","","1 : "&amp;TEXT(K4220,"0.0"))</x:f>
        <x:v>1 : 6.3</x:v>
      </x:c>
      <x:c r="M4220" s="66" t="str">
        <x:f>IF(J4220="","Baru/Tanpa Data",IF(J4220&lt;='Catatan &amp; Sumber'!$B$14,"Sangat Ketat",IF(J4220&lt;='Catatan &amp; Sumber'!$B$15,"Ketat",IF(J4220&lt;='Catatan &amp; Sumber'!$B$16,"Sedang","Relatif Longgar"))))</x:f>
        <x:v>Relatif Longgar</x:v>
      </x:c>
      <x:c r="N4220" s="66" t="str">
        <x:v>Tidak Ada</x:v>
      </x:c>
      <x:c r="O4220" s="66" t="str">
        <x:v>Sulawesi Selatan</x:v>
      </x:c>
      <x:c r="P4220" s="66" t="str">
        <x:v>Kota Makassar</x:v>
      </x:c>
      <x:c r="Q4220" s="66" t="str">
        <x:v>https://snpmb.id/snbp/daya-tampung-snbp</x:v>
      </x:c>
      <x:c r="R4220" s="66" t="str">
        <x:v>https://sidatagrun-public-1076756628210.asia-southeast2.run.app/ptn_sn.php?ptn=711</x:v>
      </x:c>
    </x:row>
    <x:row r="4221">
      <x:c r="A4221" s="87" t="n">
        <x:v>2392</x:v>
      </x:c>
      <x:c r="B4221" s="66" t="n">
        <x:v>711</x:v>
      </x:c>
      <x:c r="C4221" s="66" t="str">
        <x:v>UNIVERSITAS HASANUDDIN</x:v>
      </x:c>
      <x:c r="D4221" s="66" t="str">
        <x:v>PTN Akademik</x:v>
      </x:c>
      <x:c r="E4221" s="66" t="str">
        <x:v>17111057</x:v>
      </x:c>
      <x:c r="F4221" s="66" t="str">
        <x:v>ANTROPOLOGI</x:v>
      </x:c>
      <x:c r="G4221" s="66" t="str">
        <x:v>Sarjana</x:v>
      </x:c>
      <x:c r="H4221" s="87" t="n">
        <x:v>28</x:v>
      </x:c>
      <x:c r="I4221" s="87" t="n">
        <x:v>144</x:v>
      </x:c>
      <x:c r="J4221" s="68" t="n">
        <x:f>IFERROR(H4221/I4221,"")</x:f>
        <x:v>0.19444444444444445</x:v>
      </x:c>
      <x:c r="K4221" s="69" t="n">
        <x:f>IFERROR(I4221/H4221,"")</x:f>
        <x:v>5.142857142857143</x:v>
      </x:c>
      <x:c r="L4221" s="66" t="str">
        <x:f>IF(K4221="","","1 : "&amp;TEXT(K4221,"0.0"))</x:f>
        <x:v>1 : 5.1</x:v>
      </x:c>
      <x:c r="M4221" s="66" t="str">
        <x:f>IF(J4221="","Baru/Tanpa Data",IF(J4221&lt;='Catatan &amp; Sumber'!$B$14,"Sangat Ketat",IF(J4221&lt;='Catatan &amp; Sumber'!$B$15,"Ketat",IF(J4221&lt;='Catatan &amp; Sumber'!$B$16,"Sedang","Relatif Longgar"))))</x:f>
        <x:v>Relatif Longgar</x:v>
      </x:c>
      <x:c r="N4221" s="66" t="str">
        <x:v>Tidak Ada</x:v>
      </x:c>
      <x:c r="O4221" s="66" t="str">
        <x:v>Sulawesi Selatan</x:v>
      </x:c>
      <x:c r="P4221" s="66" t="str">
        <x:v>Kota Makassar</x:v>
      </x:c>
      <x:c r="Q4221" s="66" t="str">
        <x:v>https://snpmb.id/snbp/daya-tampung-snbp</x:v>
      </x:c>
      <x:c r="R4221" s="66" t="str">
        <x:v>https://sidatagrun-public-1076756628210.asia-southeast2.run.app/ptn_sn.php?ptn=711</x:v>
      </x:c>
    </x:row>
    <x:row r="4222">
      <x:c r="A4222" s="87" t="n">
        <x:v>2843</x:v>
      </x:c>
      <x:c r="B4222" s="66" t="n">
        <x:v>711</x:v>
      </x:c>
      <x:c r="C4222" s="66" t="str">
        <x:v>UNIVERSITAS HASANUDDIN</x:v>
      </x:c>
      <x:c r="D4222" s="66" t="str">
        <x:v>PTN Akademik</x:v>
      </x:c>
      <x:c r="E4222" s="66" t="str">
        <x:v>17111058</x:v>
      </x:c>
      <x:c r="F4222" s="66" t="str">
        <x:v>ILMU SEJARAH</x:v>
      </x:c>
      <x:c r="G4222" s="66" t="str">
        <x:v>Sarjana</x:v>
      </x:c>
      <x:c r="H4222" s="87" t="n">
        <x:v>30</x:v>
      </x:c>
      <x:c r="I4222" s="87" t="n">
        <x:v>113</x:v>
      </x:c>
      <x:c r="J4222" s="68" t="n">
        <x:f>IFERROR(H4222/I4222,"")</x:f>
        <x:v>0.26548672566371684</x:v>
      </x:c>
      <x:c r="K4222" s="69" t="n">
        <x:f>IFERROR(I4222/H4222,"")</x:f>
        <x:v>3.7666666666666666</x:v>
      </x:c>
      <x:c r="L4222" s="66" t="str">
        <x:f>IF(K4222="","","1 : "&amp;TEXT(K4222,"0.0"))</x:f>
        <x:v>1 : 3.8</x:v>
      </x:c>
      <x:c r="M4222" s="66" t="str">
        <x:f>IF(J4222="","Baru/Tanpa Data",IF(J4222&lt;='Catatan &amp; Sumber'!$B$14,"Sangat Ketat",IF(J4222&lt;='Catatan &amp; Sumber'!$B$15,"Ketat",IF(J4222&lt;='Catatan &amp; Sumber'!$B$16,"Sedang","Relatif Longgar"))))</x:f>
        <x:v>Relatif Longgar</x:v>
      </x:c>
      <x:c r="N4222" s="66" t="str">
        <x:v>Tidak Ada</x:v>
      </x:c>
      <x:c r="O4222" s="66" t="str">
        <x:v>Sulawesi Selatan</x:v>
      </x:c>
      <x:c r="P4222" s="66" t="str">
        <x:v>Kota Makassar</x:v>
      </x:c>
      <x:c r="Q4222" s="66" t="str">
        <x:v>https://snpmb.id/snbp/daya-tampung-snbp</x:v>
      </x:c>
      <x:c r="R4222" s="66" t="str">
        <x:v>https://sidatagrun-public-1076756628210.asia-southeast2.run.app/ptn_sn.php?ptn=711</x:v>
      </x:c>
    </x:row>
    <x:row r="4223">
      <x:c r="A4223" s="87" t="n">
        <x:v>561</x:v>
      </x:c>
      <x:c r="B4223" s="66" t="n">
        <x:v>711</x:v>
      </x:c>
      <x:c r="C4223" s="66" t="str">
        <x:v>UNIVERSITAS HASANUDDIN</x:v>
      </x:c>
      <x:c r="D4223" s="66" t="str">
        <x:v>PTN Akademik</x:v>
      </x:c>
      <x:c r="E4223" s="66" t="str">
        <x:v>17111059</x:v>
      </x:c>
      <x:c r="F4223" s="66" t="str">
        <x:v>ILMU KOMUNIKASI</x:v>
      </x:c>
      <x:c r="G4223" s="66" t="str">
        <x:v>Sarjana</x:v>
      </x:c>
      <x:c r="H4223" s="87" t="n">
        <x:v>41</x:v>
      </x:c>
      <x:c r="I4223" s="87" t="n">
        <x:v>751</x:v>
      </x:c>
      <x:c r="J4223" s="68" t="n">
        <x:f>IFERROR(H4223/I4223,"")</x:f>
        <x:v>0.05459387483355526</x:v>
      </x:c>
      <x:c r="K4223" s="69" t="n">
        <x:f>IFERROR(I4223/H4223,"")</x:f>
        <x:v>18.317073170731707</x:v>
      </x:c>
      <x:c r="L4223" s="66" t="str">
        <x:f>IF(K4223="","","1 : "&amp;TEXT(K4223,"0.0"))</x:f>
        <x:v>1 : 18.3</x:v>
      </x:c>
      <x:c r="M4223" s="66" t="str">
        <x:f>IF(J4223="","Baru/Tanpa Data",IF(J4223&lt;='Catatan &amp; Sumber'!$B$14,"Sangat Ketat",IF(J4223&lt;='Catatan &amp; Sumber'!$B$15,"Ketat",IF(J4223&lt;='Catatan &amp; Sumber'!$B$16,"Sedang","Relatif Longgar"))))</x:f>
        <x:v>Sedang</x:v>
      </x:c>
      <x:c r="N4223" s="66" t="str">
        <x:v>Tidak Ada</x:v>
      </x:c>
      <x:c r="O4223" s="66" t="str">
        <x:v>Sulawesi Selatan</x:v>
      </x:c>
      <x:c r="P4223" s="66" t="str">
        <x:v>Kota Makassar</x:v>
      </x:c>
      <x:c r="Q4223" s="66" t="str">
        <x:v>https://snpmb.id/snbp/daya-tampung-snbp</x:v>
      </x:c>
      <x:c r="R4223" s="66" t="str">
        <x:v>https://sidatagrun-public-1076756628210.asia-southeast2.run.app/ptn_sn.php?ptn=711</x:v>
      </x:c>
    </x:row>
    <x:row r="4224">
      <x:c r="A4224" s="87" t="n">
        <x:v>2659</x:v>
      </x:c>
      <x:c r="B4224" s="66" t="n">
        <x:v>711</x:v>
      </x:c>
      <x:c r="C4224" s="66" t="str">
        <x:v>UNIVERSITAS HASANUDDIN</x:v>
      </x:c>
      <x:c r="D4224" s="66" t="str">
        <x:v>PTN Akademik</x:v>
      </x:c>
      <x:c r="E4224" s="66" t="str">
        <x:v>17111060</x:v>
      </x:c>
      <x:c r="F4224" s="66" t="str">
        <x:v>SOSIOLOGI</x:v>
      </x:c>
      <x:c r="G4224" s="66" t="str">
        <x:v>Sarjana</x:v>
      </x:c>
      <x:c r="H4224" s="87" t="n">
        <x:v>33</x:v>
      </x:c>
      <x:c r="I4224" s="87" t="n">
        <x:v>140</x:v>
      </x:c>
      <x:c r="J4224" s="68" t="n">
        <x:f>IFERROR(H4224/I4224,"")</x:f>
        <x:v>0.2357142857142857</x:v>
      </x:c>
      <x:c r="K4224" s="69" t="n">
        <x:f>IFERROR(I4224/H4224,"")</x:f>
        <x:v>4.242424242424242</x:v>
      </x:c>
      <x:c r="L4224" s="66" t="str">
        <x:f>IF(K4224="","","1 : "&amp;TEXT(K4224,"0.0"))</x:f>
        <x:v>1 : 4.2</x:v>
      </x:c>
      <x:c r="M4224" s="66" t="str">
        <x:f>IF(J4224="","Baru/Tanpa Data",IF(J4224&lt;='Catatan &amp; Sumber'!$B$14,"Sangat Ketat",IF(J4224&lt;='Catatan &amp; Sumber'!$B$15,"Ketat",IF(J4224&lt;='Catatan &amp; Sumber'!$B$16,"Sedang","Relatif Longgar"))))</x:f>
        <x:v>Relatif Longgar</x:v>
      </x:c>
      <x:c r="N4224" s="66" t="str">
        <x:v>Tidak Ada</x:v>
      </x:c>
      <x:c r="O4224" s="66" t="str">
        <x:v>Sulawesi Selatan</x:v>
      </x:c>
      <x:c r="P4224" s="66" t="str">
        <x:v>Kota Makassar</x:v>
      </x:c>
      <x:c r="Q4224" s="66" t="str">
        <x:v>https://snpmb.id/snbp/daya-tampung-snbp</x:v>
      </x:c>
      <x:c r="R4224" s="66" t="str">
        <x:v>https://sidatagrun-public-1076756628210.asia-southeast2.run.app/ptn_sn.php?ptn=711</x:v>
      </x:c>
    </x:row>
    <x:row r="4225">
      <x:c r="A4225" s="87" t="n">
        <x:v>814</x:v>
      </x:c>
      <x:c r="B4225" s="66" t="n">
        <x:v>711</x:v>
      </x:c>
      <x:c r="C4225" s="66" t="str">
        <x:v>UNIVERSITAS HASANUDDIN</x:v>
      </x:c>
      <x:c r="D4225" s="66" t="str">
        <x:v>PTN Akademik</x:v>
      </x:c>
      <x:c r="E4225" s="66" t="str">
        <x:v>17111061</x:v>
      </x:c>
      <x:c r="F4225" s="66" t="str">
        <x:v>AKUNTANSI</x:v>
      </x:c>
      <x:c r="G4225" s="66" t="str">
        <x:v>Sarjana</x:v>
      </x:c>
      <x:c r="H4225" s="87" t="n">
        <x:v>70</x:v>
      </x:c>
      <x:c r="I4225" s="87" t="n">
        <x:v>1038</x:v>
      </x:c>
      <x:c r="J4225" s="68" t="n">
        <x:f>IFERROR(H4225/I4225,"")</x:f>
        <x:v>0.0674373795761079</x:v>
      </x:c>
      <x:c r="K4225" s="69" t="n">
        <x:f>IFERROR(I4225/H4225,"")</x:f>
        <x:v>14.82857142857143</x:v>
      </x:c>
      <x:c r="L4225" s="66" t="str">
        <x:f>IF(K4225="","","1 : "&amp;TEXT(K4225,"0.0"))</x:f>
        <x:v>1 : 14.8</x:v>
      </x:c>
      <x:c r="M4225" s="66" t="str">
        <x:f>IF(J4225="","Baru/Tanpa Data",IF(J4225&lt;='Catatan &amp; Sumber'!$B$14,"Sangat Ketat",IF(J4225&lt;='Catatan &amp; Sumber'!$B$15,"Ketat",IF(J4225&lt;='Catatan &amp; Sumber'!$B$16,"Sedang","Relatif Longgar"))))</x:f>
        <x:v>Sedang</x:v>
      </x:c>
      <x:c r="N4225" s="66" t="str">
        <x:v>Tidak Ada</x:v>
      </x:c>
      <x:c r="O4225" s="66" t="str">
        <x:v>Sulawesi Selatan</x:v>
      </x:c>
      <x:c r="P4225" s="66" t="str">
        <x:v>Kota Makassar</x:v>
      </x:c>
      <x:c r="Q4225" s="66" t="str">
        <x:v>https://snpmb.id/snbp/daya-tampung-snbp</x:v>
      </x:c>
      <x:c r="R4225" s="66" t="str">
        <x:v>https://sidatagrun-public-1076756628210.asia-southeast2.run.app/ptn_sn.php?ptn=711</x:v>
      </x:c>
    </x:row>
    <x:row r="4226">
      <x:c r="A4226" s="87" t="n">
        <x:v>1685</x:v>
      </x:c>
      <x:c r="B4226" s="66" t="n">
        <x:v>711</x:v>
      </x:c>
      <x:c r="C4226" s="66" t="str">
        <x:v>UNIVERSITAS HASANUDDIN</x:v>
      </x:c>
      <x:c r="D4226" s="66" t="str">
        <x:v>PTN Akademik</x:v>
      </x:c>
      <x:c r="E4226" s="66" t="str">
        <x:v>17111062</x:v>
      </x:c>
      <x:c r="F4226" s="66" t="str">
        <x:v>ILMU PEMERINTAHAN</x:v>
      </x:c>
      <x:c r="G4226" s="66" t="str">
        <x:v>Sarjana</x:v>
      </x:c>
      <x:c r="H4226" s="87" t="n">
        <x:v>35</x:v>
      </x:c>
      <x:c r="I4226" s="87" t="n">
        <x:v>285</x:v>
      </x:c>
      <x:c r="J4226" s="68" t="n">
        <x:f>IFERROR(H4226/I4226,"")</x:f>
        <x:v>0.12280701754385964</x:v>
      </x:c>
      <x:c r="K4226" s="69" t="n">
        <x:f>IFERROR(I4226/H4226,"")</x:f>
        <x:v>8.142857142857142</x:v>
      </x:c>
      <x:c r="L4226" s="66" t="str">
        <x:f>IF(K4226="","","1 : "&amp;TEXT(K4226,"0.0"))</x:f>
        <x:v>1 : 8.1</x:v>
      </x:c>
      <x:c r="M4226" s="66" t="str">
        <x:f>IF(J4226="","Baru/Tanpa Data",IF(J4226&lt;='Catatan &amp; Sumber'!$B$14,"Sangat Ketat",IF(J4226&lt;='Catatan &amp; Sumber'!$B$15,"Ketat",IF(J4226&lt;='Catatan &amp; Sumber'!$B$16,"Sedang","Relatif Longgar"))))</x:f>
        <x:v>Relatif Longgar</x:v>
      </x:c>
      <x:c r="N4226" s="66" t="str">
        <x:v>Tidak Ada</x:v>
      </x:c>
      <x:c r="O4226" s="66" t="str">
        <x:v>Sulawesi Selatan</x:v>
      </x:c>
      <x:c r="P4226" s="66" t="str">
        <x:v>Kota Makassar</x:v>
      </x:c>
      <x:c r="Q4226" s="66" t="str">
        <x:v>https://snpmb.id/snbp/daya-tampung-snbp</x:v>
      </x:c>
      <x:c r="R4226" s="66" t="str">
        <x:v>https://sidatagrun-public-1076756628210.asia-southeast2.run.app/ptn_sn.php?ptn=711</x:v>
      </x:c>
    </x:row>
    <x:row r="4227">
      <x:c r="A4227" s="87" t="n">
        <x:v>1248</x:v>
      </x:c>
      <x:c r="B4227" s="66" t="n">
        <x:v>711</x:v>
      </x:c>
      <x:c r="C4227" s="66" t="str">
        <x:v>UNIVERSITAS HASANUDDIN</x:v>
      </x:c>
      <x:c r="D4227" s="66" t="str">
        <x:v>PTN Akademik</x:v>
      </x:c>
      <x:c r="E4227" s="66" t="str">
        <x:v>17111063</x:v>
      </x:c>
      <x:c r="F4227" s="66" t="str">
        <x:v>ILMU HUBUNGAN INTERNASIONAL</x:v>
      </x:c>
      <x:c r="G4227" s="66" t="str">
        <x:v>Sarjana</x:v>
      </x:c>
      <x:c r="H4227" s="87" t="n">
        <x:v>40</x:v>
      </x:c>
      <x:c r="I4227" s="87" t="n">
        <x:v>431</x:v>
      </x:c>
      <x:c r="J4227" s="68" t="n">
        <x:f>IFERROR(H4227/I4227,"")</x:f>
        <x:v>0.09280742459396751</x:v>
      </x:c>
      <x:c r="K4227" s="69" t="n">
        <x:f>IFERROR(I4227/H4227,"")</x:f>
        <x:v>10.775</x:v>
      </x:c>
      <x:c r="L4227" s="66" t="str">
        <x:f>IF(K4227="","","1 : "&amp;TEXT(K4227,"0.0"))</x:f>
        <x:v>1 : 10.8</x:v>
      </x:c>
      <x:c r="M4227" s="66" t="str">
        <x:f>IF(J4227="","Baru/Tanpa Data",IF(J4227&lt;='Catatan &amp; Sumber'!$B$14,"Sangat Ketat",IF(J4227&lt;='Catatan &amp; Sumber'!$B$15,"Ketat",IF(J4227&lt;='Catatan &amp; Sumber'!$B$16,"Sedang","Relatif Longgar"))))</x:f>
        <x:v>Sedang</x:v>
      </x:c>
      <x:c r="N4227" s="66" t="str">
        <x:v>Tidak Ada</x:v>
      </x:c>
      <x:c r="O4227" s="66" t="str">
        <x:v>Sulawesi Selatan</x:v>
      </x:c>
      <x:c r="P4227" s="66" t="str">
        <x:v>Kota Makassar</x:v>
      </x:c>
      <x:c r="Q4227" s="66" t="str">
        <x:v>https://snpmb.id/snbp/daya-tampung-snbp</x:v>
      </x:c>
      <x:c r="R4227" s="66" t="str">
        <x:v>https://sidatagrun-public-1076756628210.asia-southeast2.run.app/ptn_sn.php?ptn=711</x:v>
      </x:c>
    </x:row>
    <x:row r="4228">
      <x:c r="A4228" s="87" t="n">
        <x:v>792</x:v>
      </x:c>
      <x:c r="B4228" s="66" t="n">
        <x:v>711</x:v>
      </x:c>
      <x:c r="C4228" s="66" t="str">
        <x:v>UNIVERSITAS HASANUDDIN</x:v>
      </x:c>
      <x:c r="D4228" s="66" t="str">
        <x:v>PTN Akademik</x:v>
      </x:c>
      <x:c r="E4228" s="66" t="str">
        <x:v>17111064</x:v>
      </x:c>
      <x:c r="F4228" s="66" t="str">
        <x:v>ADMINISTRASI PUBLIK</x:v>
      </x:c>
      <x:c r="G4228" s="66" t="str">
        <x:v>Sarjana</x:v>
      </x:c>
      <x:c r="H4228" s="87" t="n">
        <x:v>36</x:v>
      </x:c>
      <x:c r="I4228" s="87" t="n">
        <x:v>543</x:v>
      </x:c>
      <x:c r="J4228" s="68" t="n">
        <x:f>IFERROR(H4228/I4228,"")</x:f>
        <x:v>0.06629834254143646</x:v>
      </x:c>
      <x:c r="K4228" s="69" t="n">
        <x:f>IFERROR(I4228/H4228,"")</x:f>
        <x:v>15.083333333333334</x:v>
      </x:c>
      <x:c r="L4228" s="66" t="str">
        <x:f>IF(K4228="","","1 : "&amp;TEXT(K4228,"0.0"))</x:f>
        <x:v>1 : 15.1</x:v>
      </x:c>
      <x:c r="M4228" s="66" t="str">
        <x:f>IF(J4228="","Baru/Tanpa Data",IF(J4228&lt;='Catatan &amp; Sumber'!$B$14,"Sangat Ketat",IF(J4228&lt;='Catatan &amp; Sumber'!$B$15,"Ketat",IF(J4228&lt;='Catatan &amp; Sumber'!$B$16,"Sedang","Relatif Longgar"))))</x:f>
        <x:v>Sedang</x:v>
      </x:c>
      <x:c r="N4228" s="66" t="str">
        <x:v>Tidak Ada</x:v>
      </x:c>
      <x:c r="O4228" s="66" t="str">
        <x:v>Sulawesi Selatan</x:v>
      </x:c>
      <x:c r="P4228" s="66" t="str">
        <x:v>Kota Makassar</x:v>
      </x:c>
      <x:c r="Q4228" s="66" t="str">
        <x:v>https://snpmb.id/snbp/daya-tampung-snbp</x:v>
      </x:c>
      <x:c r="R4228" s="66" t="str">
        <x:v>https://sidatagrun-public-1076756628210.asia-southeast2.run.app/ptn_sn.php?ptn=711</x:v>
      </x:c>
    </x:row>
    <x:row r="4229">
      <x:c r="A4229" s="87" t="n">
        <x:v>3266</x:v>
      </x:c>
      <x:c r="B4229" s="66" t="n">
        <x:v>711</x:v>
      </x:c>
      <x:c r="C4229" s="66" t="str">
        <x:v>UNIVERSITAS HASANUDDIN</x:v>
      </x:c>
      <x:c r="D4229" s="66" t="str">
        <x:v>PTN Akademik</x:v>
      </x:c>
      <x:c r="E4229" s="66" t="str">
        <x:v>17111065</x:v>
      </x:c>
      <x:c r="F4229" s="66" t="str">
        <x:v>SASTRA INDONESIA</x:v>
      </x:c>
      <x:c r="G4229" s="66" t="str">
        <x:v>Sarjana</x:v>
      </x:c>
      <x:c r="H4229" s="87" t="n">
        <x:v>72</x:v>
      </x:c>
      <x:c r="I4229" s="87" t="n">
        <x:v>199</x:v>
      </x:c>
      <x:c r="J4229" s="68" t="n">
        <x:f>IFERROR(H4229/I4229,"")</x:f>
        <x:v>0.36180904522613067</x:v>
      </x:c>
      <x:c r="K4229" s="69" t="n">
        <x:f>IFERROR(I4229/H4229,"")</x:f>
        <x:v>2.763888888888889</x:v>
      </x:c>
      <x:c r="L4229" s="66" t="str">
        <x:f>IF(K4229="","","1 : "&amp;TEXT(K4229,"0.0"))</x:f>
        <x:v>1 : 2.8</x:v>
      </x:c>
      <x:c r="M4229" s="66" t="str">
        <x:f>IF(J4229="","Baru/Tanpa Data",IF(J4229&lt;='Catatan &amp; Sumber'!$B$14,"Sangat Ketat",IF(J4229&lt;='Catatan &amp; Sumber'!$B$15,"Ketat",IF(J4229&lt;='Catatan &amp; Sumber'!$B$16,"Sedang","Relatif Longgar"))))</x:f>
        <x:v>Relatif Longgar</x:v>
      </x:c>
      <x:c r="N4229" s="66" t="str">
        <x:v>Tidak Ada</x:v>
      </x:c>
      <x:c r="O4229" s="66" t="str">
        <x:v>Sulawesi Selatan</x:v>
      </x:c>
      <x:c r="P4229" s="66" t="str">
        <x:v>Kota Makassar</x:v>
      </x:c>
      <x:c r="Q4229" s="66" t="str">
        <x:v>https://snpmb.id/snbp/daya-tampung-snbp</x:v>
      </x:c>
      <x:c r="R4229" s="66" t="str">
        <x:v>https://sidatagrun-public-1076756628210.asia-southeast2.run.app/ptn_sn.php?ptn=711</x:v>
      </x:c>
    </x:row>
    <x:row r="4230">
      <x:c r="A4230" s="87" t="n">
        <x:v>3713</x:v>
      </x:c>
      <x:c r="B4230" s="66" t="n">
        <x:v>711</x:v>
      </x:c>
      <x:c r="C4230" s="66" t="str">
        <x:v>UNIVERSITAS HASANUDDIN</x:v>
      </x:c>
      <x:c r="D4230" s="66" t="str">
        <x:v>PTN Akademik</x:v>
      </x:c>
      <x:c r="E4230" s="66" t="str">
        <x:v>17111066</x:v>
      </x:c>
      <x:c r="F4230" s="66" t="str">
        <x:v>SASTRA DAERAH</x:v>
      </x:c>
      <x:c r="G4230" s="66" t="str">
        <x:v>Sarjana</x:v>
      </x:c>
      <x:c r="H4230" s="87" t="n">
        <x:v>12</x:v>
      </x:c>
      <x:c r="I4230" s="87" t="n">
        <x:v>23</x:v>
      </x:c>
      <x:c r="J4230" s="68" t="n">
        <x:f>IFERROR(H4230/I4230,"")</x:f>
        <x:v>0.5217391304347826</x:v>
      </x:c>
      <x:c r="K4230" s="69" t="n">
        <x:f>IFERROR(I4230/H4230,"")</x:f>
        <x:v>1.9166666666666667</x:v>
      </x:c>
      <x:c r="L4230" s="66" t="str">
        <x:f>IF(K4230="","","1 : "&amp;TEXT(K4230,"0.0"))</x:f>
        <x:v>1 : 1.9</x:v>
      </x:c>
      <x:c r="M4230" s="66" t="str">
        <x:f>IF(J4230="","Baru/Tanpa Data",IF(J4230&lt;='Catatan &amp; Sumber'!$B$14,"Sangat Ketat",IF(J4230&lt;='Catatan &amp; Sumber'!$B$15,"Ketat",IF(J4230&lt;='Catatan &amp; Sumber'!$B$16,"Sedang","Relatif Longgar"))))</x:f>
        <x:v>Relatif Longgar</x:v>
      </x:c>
      <x:c r="N4230" s="66" t="str">
        <x:v>Tidak Ada</x:v>
      </x:c>
      <x:c r="O4230" s="66" t="str">
        <x:v>Sulawesi Selatan</x:v>
      </x:c>
      <x:c r="P4230" s="66" t="str">
        <x:v>Kota Makassar</x:v>
      </x:c>
      <x:c r="Q4230" s="66" t="str">
        <x:v>https://snpmb.id/snbp/daya-tampung-snbp</x:v>
      </x:c>
      <x:c r="R4230" s="66" t="str">
        <x:v>https://sidatagrun-public-1076756628210.asia-southeast2.run.app/ptn_sn.php?ptn=711</x:v>
      </x:c>
    </x:row>
    <x:row r="4231">
      <x:c r="A4231" s="87" t="n">
        <x:v>3114</x:v>
      </x:c>
      <x:c r="B4231" s="66" t="n">
        <x:v>711</x:v>
      </x:c>
      <x:c r="C4231" s="66" t="str">
        <x:v>UNIVERSITAS HASANUDDIN</x:v>
      </x:c>
      <x:c r="D4231" s="66" t="str">
        <x:v>PTN Akademik</x:v>
      </x:c>
      <x:c r="E4231" s="66" t="str">
        <x:v>17111067</x:v>
      </x:c>
      <x:c r="F4231" s="66" t="str">
        <x:v>SASTRA ARAB</x:v>
      </x:c>
      <x:c r="G4231" s="66" t="str">
        <x:v>Sarjana</x:v>
      </x:c>
      <x:c r="H4231" s="87" t="n">
        <x:v>40</x:v>
      </x:c>
      <x:c r="I4231" s="87" t="n">
        <x:v>126</x:v>
      </x:c>
      <x:c r="J4231" s="68" t="n">
        <x:f>IFERROR(H4231/I4231,"")</x:f>
        <x:v>0.31746031746031744</x:v>
      </x:c>
      <x:c r="K4231" s="69" t="n">
        <x:f>IFERROR(I4231/H4231,"")</x:f>
        <x:v>3.15</x:v>
      </x:c>
      <x:c r="L4231" s="66" t="str">
        <x:f>IF(K4231="","","1 : "&amp;TEXT(K4231,"0.0"))</x:f>
        <x:v>1 : 3.2</x:v>
      </x:c>
      <x:c r="M4231" s="66" t="str">
        <x:f>IF(J4231="","Baru/Tanpa Data",IF(J4231&lt;='Catatan &amp; Sumber'!$B$14,"Sangat Ketat",IF(J4231&lt;='Catatan &amp; Sumber'!$B$15,"Ketat",IF(J4231&lt;='Catatan &amp; Sumber'!$B$16,"Sedang","Relatif Longgar"))))</x:f>
        <x:v>Relatif Longgar</x:v>
      </x:c>
      <x:c r="N4231" s="66" t="str">
        <x:v>Tidak Ada</x:v>
      </x:c>
      <x:c r="O4231" s="66" t="str">
        <x:v>Sulawesi Selatan</x:v>
      </x:c>
      <x:c r="P4231" s="66" t="str">
        <x:v>Kota Makassar</x:v>
      </x:c>
      <x:c r="Q4231" s="66" t="str">
        <x:v>https://snpmb.id/snbp/daya-tampung-snbp</x:v>
      </x:c>
      <x:c r="R4231" s="66" t="str">
        <x:v>https://sidatagrun-public-1076756628210.asia-southeast2.run.app/ptn_sn.php?ptn=711</x:v>
      </x:c>
    </x:row>
    <x:row r="4232">
      <x:c r="A4232" s="87" t="n">
        <x:v>2379</x:v>
      </x:c>
      <x:c r="B4232" s="66" t="n">
        <x:v>711</x:v>
      </x:c>
      <x:c r="C4232" s="66" t="str">
        <x:v>UNIVERSITAS HASANUDDIN</x:v>
      </x:c>
      <x:c r="D4232" s="66" t="str">
        <x:v>PTN Akademik</x:v>
      </x:c>
      <x:c r="E4232" s="66" t="str">
        <x:v>17111068</x:v>
      </x:c>
      <x:c r="F4232" s="66" t="str">
        <x:v>SASTRA INGGRIS</x:v>
      </x:c>
      <x:c r="G4232" s="66" t="str">
        <x:v>Sarjana</x:v>
      </x:c>
      <x:c r="H4232" s="87" t="n">
        <x:v>83</x:v>
      </x:c>
      <x:c r="I4232" s="87" t="n">
        <x:v>430</x:v>
      </x:c>
      <x:c r="J4232" s="68" t="n">
        <x:f>IFERROR(H4232/I4232,"")</x:f>
        <x:v>0.1930232558139535</x:v>
      </x:c>
      <x:c r="K4232" s="69" t="n">
        <x:f>IFERROR(I4232/H4232,"")</x:f>
        <x:v>5.180722891566265</x:v>
      </x:c>
      <x:c r="L4232" s="66" t="str">
        <x:f>IF(K4232="","","1 : "&amp;TEXT(K4232,"0.0"))</x:f>
        <x:v>1 : 5.2</x:v>
      </x:c>
      <x:c r="M4232" s="66" t="str">
        <x:f>IF(J4232="","Baru/Tanpa Data",IF(J4232&lt;='Catatan &amp; Sumber'!$B$14,"Sangat Ketat",IF(J4232&lt;='Catatan &amp; Sumber'!$B$15,"Ketat",IF(J4232&lt;='Catatan &amp; Sumber'!$B$16,"Sedang","Relatif Longgar"))))</x:f>
        <x:v>Relatif Longgar</x:v>
      </x:c>
      <x:c r="N4232" s="66" t="str">
        <x:v>Tidak Ada</x:v>
      </x:c>
      <x:c r="O4232" s="66" t="str">
        <x:v>Sulawesi Selatan</x:v>
      </x:c>
      <x:c r="P4232" s="66" t="str">
        <x:v>Kota Makassar</x:v>
      </x:c>
      <x:c r="Q4232" s="66" t="str">
        <x:v>https://snpmb.id/snbp/daya-tampung-snbp</x:v>
      </x:c>
      <x:c r="R4232" s="66" t="str">
        <x:v>https://sidatagrun-public-1076756628210.asia-southeast2.run.app/ptn_sn.php?ptn=711</x:v>
      </x:c>
    </x:row>
    <x:row r="4233">
      <x:c r="A4233" s="87" t="n">
        <x:v>4135</x:v>
      </x:c>
      <x:c r="B4233" s="66" t="n">
        <x:v>711</x:v>
      </x:c>
      <x:c r="C4233" s="66" t="str">
        <x:v>UNIVERSITAS HASANUDDIN</x:v>
      </x:c>
      <x:c r="D4233" s="66" t="str">
        <x:v>PTN Akademik</x:v>
      </x:c>
      <x:c r="E4233" s="66" t="str">
        <x:v>17111069</x:v>
      </x:c>
      <x:c r="F4233" s="66" t="str">
        <x:v>SASTRA PERANCIS</x:v>
      </x:c>
      <x:c r="G4233" s="66" t="str">
        <x:v>Sarjana</x:v>
      </x:c>
      <x:c r="H4233" s="87" t="n">
        <x:v>12</x:v>
      </x:c>
      <x:c r="I4233" s="87" t="n">
        <x:v>15</x:v>
      </x:c>
      <x:c r="J4233" s="68" t="n">
        <x:f>IFERROR(H4233/I4233,"")</x:f>
        <x:v>0.8</x:v>
      </x:c>
      <x:c r="K4233" s="69" t="n">
        <x:f>IFERROR(I4233/H4233,"")</x:f>
        <x:v>1.25</x:v>
      </x:c>
      <x:c r="L4233" s="66" t="str">
        <x:f>IF(K4233="","","1 : "&amp;TEXT(K4233,"0.0"))</x:f>
        <x:v>1 : 1.3</x:v>
      </x:c>
      <x:c r="M4233" s="66" t="str">
        <x:f>IF(J4233="","Baru/Tanpa Data",IF(J4233&lt;='Catatan &amp; Sumber'!$B$14,"Sangat Ketat",IF(J4233&lt;='Catatan &amp; Sumber'!$B$15,"Ketat",IF(J4233&lt;='Catatan &amp; Sumber'!$B$16,"Sedang","Relatif Longgar"))))</x:f>
        <x:v>Relatif Longgar</x:v>
      </x:c>
      <x:c r="N4233" s="66" t="str">
        <x:v>Tidak Ada</x:v>
      </x:c>
      <x:c r="O4233" s="66" t="str">
        <x:v>Sulawesi Selatan</x:v>
      </x:c>
      <x:c r="P4233" s="66" t="str">
        <x:v>Kota Makassar</x:v>
      </x:c>
      <x:c r="Q4233" s="66" t="str">
        <x:v>https://snpmb.id/snbp/daya-tampung-snbp</x:v>
      </x:c>
      <x:c r="R4233" s="66" t="str">
        <x:v>https://sidatagrun-public-1076756628210.asia-southeast2.run.app/ptn_sn.php?ptn=711</x:v>
      </x:c>
    </x:row>
    <x:row r="4234">
      <x:c r="A4234" s="87" t="n">
        <x:v>3215</x:v>
      </x:c>
      <x:c r="B4234" s="66" t="n">
        <x:v>711</x:v>
      </x:c>
      <x:c r="C4234" s="66" t="str">
        <x:v>UNIVERSITAS HASANUDDIN</x:v>
      </x:c>
      <x:c r="D4234" s="66" t="str">
        <x:v>PTN Akademik</x:v>
      </x:c>
      <x:c r="E4234" s="66" t="str">
        <x:v>17111070</x:v>
      </x:c>
      <x:c r="F4234" s="66" t="str">
        <x:v>ARKEOLOGI</x:v>
      </x:c>
      <x:c r="G4234" s="66" t="str">
        <x:v>Sarjana</x:v>
      </x:c>
      <x:c r="H4234" s="87" t="n">
        <x:v>35</x:v>
      </x:c>
      <x:c r="I4234" s="87" t="n">
        <x:v>101</x:v>
      </x:c>
      <x:c r="J4234" s="68" t="n">
        <x:f>IFERROR(H4234/I4234,"")</x:f>
        <x:v>0.3465346534653465</x:v>
      </x:c>
      <x:c r="K4234" s="69" t="n">
        <x:f>IFERROR(I4234/H4234,"")</x:f>
        <x:v>2.8857142857142857</x:v>
      </x:c>
      <x:c r="L4234" s="66" t="str">
        <x:f>IF(K4234="","","1 : "&amp;TEXT(K4234,"0.0"))</x:f>
        <x:v>1 : 2.9</x:v>
      </x:c>
      <x:c r="M4234" s="66" t="str">
        <x:f>IF(J4234="","Baru/Tanpa Data",IF(J4234&lt;='Catatan &amp; Sumber'!$B$14,"Sangat Ketat",IF(J4234&lt;='Catatan &amp; Sumber'!$B$15,"Ketat",IF(J4234&lt;='Catatan &amp; Sumber'!$B$16,"Sedang","Relatif Longgar"))))</x:f>
        <x:v>Relatif Longgar</x:v>
      </x:c>
      <x:c r="N4234" s="66" t="str">
        <x:v>Tidak Ada</x:v>
      </x:c>
      <x:c r="O4234" s="66" t="str">
        <x:v>Sulawesi Selatan</x:v>
      </x:c>
      <x:c r="P4234" s="66" t="str">
        <x:v>Kota Makassar</x:v>
      </x:c>
      <x:c r="Q4234" s="66" t="str">
        <x:v>https://snpmb.id/snbp/daya-tampung-snbp</x:v>
      </x:c>
      <x:c r="R4234" s="66" t="str">
        <x:v>https://sidatagrun-public-1076756628210.asia-southeast2.run.app/ptn_sn.php?ptn=711</x:v>
      </x:c>
    </x:row>
    <x:row r="4235">
      <x:c r="A4235" s="87" t="n">
        <x:v>3326</x:v>
      </x:c>
      <x:c r="B4235" s="66" t="n">
        <x:v>711</x:v>
      </x:c>
      <x:c r="C4235" s="66" t="str">
        <x:v>UNIVERSITAS HASANUDDIN</x:v>
      </x:c>
      <x:c r="D4235" s="66" t="str">
        <x:v>PTN Akademik</x:v>
      </x:c>
      <x:c r="E4235" s="66" t="str">
        <x:v>17111071</x:v>
      </x:c>
      <x:c r="F4235" s="66" t="str">
        <x:v>SASTRA JEPANG</x:v>
      </x:c>
      <x:c r="G4235" s="66" t="str">
        <x:v>Sarjana</x:v>
      </x:c>
      <x:c r="H4235" s="87" t="n">
        <x:v>60</x:v>
      </x:c>
      <x:c r="I4235" s="87" t="n">
        <x:v>158</x:v>
      </x:c>
      <x:c r="J4235" s="68" t="n">
        <x:f>IFERROR(H4235/I4235,"")</x:f>
        <x:v>0.379746835443038</x:v>
      </x:c>
      <x:c r="K4235" s="69" t="n">
        <x:f>IFERROR(I4235/H4235,"")</x:f>
        <x:v>2.6333333333333333</x:v>
      </x:c>
      <x:c r="L4235" s="66" t="str">
        <x:f>IF(K4235="","","1 : "&amp;TEXT(K4235,"0.0"))</x:f>
        <x:v>1 : 2.6</x:v>
      </x:c>
      <x:c r="M4235" s="66" t="str">
        <x:f>IF(J4235="","Baru/Tanpa Data",IF(J4235&lt;='Catatan &amp; Sumber'!$B$14,"Sangat Ketat",IF(J4235&lt;='Catatan &amp; Sumber'!$B$15,"Ketat",IF(J4235&lt;='Catatan &amp; Sumber'!$B$16,"Sedang","Relatif Longgar"))))</x:f>
        <x:v>Relatif Longgar</x:v>
      </x:c>
      <x:c r="N4235" s="66" t="str">
        <x:v>Tidak Ada</x:v>
      </x:c>
      <x:c r="O4235" s="66" t="str">
        <x:v>Sulawesi Selatan</x:v>
      </x:c>
      <x:c r="P4235" s="66" t="str">
        <x:v>Kota Makassar</x:v>
      </x:c>
      <x:c r="Q4235" s="66" t="str">
        <x:v>https://snpmb.id/snbp/daya-tampung-snbp</x:v>
      </x:c>
      <x:c r="R4235" s="66" t="str">
        <x:v>https://sidatagrun-public-1076756628210.asia-southeast2.run.app/ptn_sn.php?ptn=711</x:v>
      </x:c>
    </x:row>
    <x:row r="4236">
      <x:c r="A4236" s="87" t="n">
        <x:v>1736</x:v>
      </x:c>
      <x:c r="B4236" s="66" t="n">
        <x:v>711</x:v>
      </x:c>
      <x:c r="C4236" s="66" t="str">
        <x:v>UNIVERSITAS HASANUDDIN</x:v>
      </x:c>
      <x:c r="D4236" s="66" t="str">
        <x:v>PTN Akademik</x:v>
      </x:c>
      <x:c r="E4236" s="66" t="str">
        <x:v>17111072</x:v>
      </x:c>
      <x:c r="F4236" s="66" t="str">
        <x:v>EKONOMI PEMBANGUNAN</x:v>
      </x:c>
      <x:c r="G4236" s="66" t="str">
        <x:v>Sarjana</x:v>
      </x:c>
      <x:c r="H4236" s="87" t="n">
        <x:v>45</x:v>
      </x:c>
      <x:c r="I4236" s="87" t="n">
        <x:v>354</x:v>
      </x:c>
      <x:c r="J4236" s="68" t="n">
        <x:f>IFERROR(H4236/I4236,"")</x:f>
        <x:v>0.1271186440677966</x:v>
      </x:c>
      <x:c r="K4236" s="69" t="n">
        <x:f>IFERROR(I4236/H4236,"")</x:f>
        <x:v>7.866666666666666</x:v>
      </x:c>
      <x:c r="L4236" s="66" t="str">
        <x:f>IF(K4236="","","1 : "&amp;TEXT(K4236,"0.0"))</x:f>
        <x:v>1 : 7.9</x:v>
      </x:c>
      <x:c r="M4236" s="66" t="str">
        <x:f>IF(J4236="","Baru/Tanpa Data",IF(J4236&lt;='Catatan &amp; Sumber'!$B$14,"Sangat Ketat",IF(J4236&lt;='Catatan &amp; Sumber'!$B$15,"Ketat",IF(J4236&lt;='Catatan &amp; Sumber'!$B$16,"Sedang","Relatif Longgar"))))</x:f>
        <x:v>Relatif Longgar</x:v>
      </x:c>
      <x:c r="N4236" s="66" t="str">
        <x:v>Tidak Ada</x:v>
      </x:c>
      <x:c r="O4236" s="66" t="str">
        <x:v>Sulawesi Selatan</x:v>
      </x:c>
      <x:c r="P4236" s="66" t="str">
        <x:v>Kota Makassar</x:v>
      </x:c>
      <x:c r="Q4236" s="66" t="str">
        <x:v>https://snpmb.id/snbp/daya-tampung-snbp</x:v>
      </x:c>
      <x:c r="R4236" s="66" t="str">
        <x:v>https://sidatagrun-public-1076756628210.asia-southeast2.run.app/ptn_sn.php?ptn=711</x:v>
      </x:c>
    </x:row>
    <x:row r="4237">
      <x:c r="A4237" s="87" t="n">
        <x:v>823</x:v>
      </x:c>
      <x:c r="B4237" s="66" t="n">
        <x:v>711</x:v>
      </x:c>
      <x:c r="C4237" s="66" t="str">
        <x:v>UNIVERSITAS HASANUDDIN</x:v>
      </x:c>
      <x:c r="D4237" s="66" t="str">
        <x:v>PTN Akademik</x:v>
      </x:c>
      <x:c r="E4237" s="66" t="str">
        <x:v>17111073</x:v>
      </x:c>
      <x:c r="F4237" s="66" t="str">
        <x:v>HUKUM ADMINISTRASI NEGARA</x:v>
      </x:c>
      <x:c r="G4237" s="66" t="str">
        <x:v>Sarjana</x:v>
      </x:c>
      <x:c r="H4237" s="87" t="n">
        <x:v>27</x:v>
      </x:c>
      <x:c r="I4237" s="87" t="n">
        <x:v>398</x:v>
      </x:c>
      <x:c r="J4237" s="68" t="n">
        <x:f>IFERROR(H4237/I4237,"")</x:f>
        <x:v>0.0678391959798995</x:v>
      </x:c>
      <x:c r="K4237" s="69" t="n">
        <x:f>IFERROR(I4237/H4237,"")</x:f>
        <x:v>14.74074074074074</x:v>
      </x:c>
      <x:c r="L4237" s="66" t="str">
        <x:f>IF(K4237="","","1 : "&amp;TEXT(K4237,"0.0"))</x:f>
        <x:v>1 : 14.7</x:v>
      </x:c>
      <x:c r="M4237" s="66" t="str">
        <x:f>IF(J4237="","Baru/Tanpa Data",IF(J4237&lt;='Catatan &amp; Sumber'!$B$14,"Sangat Ketat",IF(J4237&lt;='Catatan &amp; Sumber'!$B$15,"Ketat",IF(J4237&lt;='Catatan &amp; Sumber'!$B$16,"Sedang","Relatif Longgar"))))</x:f>
        <x:v>Sedang</x:v>
      </x:c>
      <x:c r="N4237" s="66" t="str">
        <x:v>Tidak Ada</x:v>
      </x:c>
      <x:c r="O4237" s="66" t="str">
        <x:v>Sulawesi Selatan</x:v>
      </x:c>
      <x:c r="P4237" s="66" t="str">
        <x:v>Kota Makassar</x:v>
      </x:c>
      <x:c r="Q4237" s="66" t="str">
        <x:v>https://snpmb.id/snbp/daya-tampung-snbp</x:v>
      </x:c>
      <x:c r="R4237" s="66" t="str">
        <x:v>https://sidatagrun-public-1076756628210.asia-southeast2.run.app/ptn_sn.php?ptn=711</x:v>
      </x:c>
    </x:row>
    <x:row r="4238">
      <x:c r="A4238" s="87" t="n">
        <x:v>2629</x:v>
      </x:c>
      <x:c r="B4238" s="66" t="n">
        <x:v>711</x:v>
      </x:c>
      <x:c r="C4238" s="66" t="str">
        <x:v>UNIVERSITAS HASANUDDIN</x:v>
      </x:c>
      <x:c r="D4238" s="66" t="str">
        <x:v>PTN Akademik</x:v>
      </x:c>
      <x:c r="E4238" s="66" t="str">
        <x:v>17111074</x:v>
      </x:c>
      <x:c r="F4238" s="66" t="str">
        <x:v>BAHASA MANDARIN DAN KEBUDAYAAN TIONGKOK</x:v>
      </x:c>
      <x:c r="G4238" s="66" t="str">
        <x:v>Sarjana</x:v>
      </x:c>
      <x:c r="H4238" s="87" t="n">
        <x:v>51</x:v>
      </x:c>
      <x:c r="I4238" s="87" t="n">
        <x:v>220</x:v>
      </x:c>
      <x:c r="J4238" s="68" t="n">
        <x:f>IFERROR(H4238/I4238,"")</x:f>
        <x:v>0.2318181818181818</x:v>
      </x:c>
      <x:c r="K4238" s="69" t="n">
        <x:f>IFERROR(I4238/H4238,"")</x:f>
        <x:v>4.313725490196078</x:v>
      </x:c>
      <x:c r="L4238" s="66" t="str">
        <x:f>IF(K4238="","","1 : "&amp;TEXT(K4238,"0.0"))</x:f>
        <x:v>1 : 4.3</x:v>
      </x:c>
      <x:c r="M4238" s="66" t="str">
        <x:f>IF(J4238="","Baru/Tanpa Data",IF(J4238&lt;='Catatan &amp; Sumber'!$B$14,"Sangat Ketat",IF(J4238&lt;='Catatan &amp; Sumber'!$B$15,"Ketat",IF(J4238&lt;='Catatan &amp; Sumber'!$B$16,"Sedang","Relatif Longgar"))))</x:f>
        <x:v>Relatif Longgar</x:v>
      </x:c>
      <x:c r="N4238" s="66" t="str">
        <x:v>Tidak Ada</x:v>
      </x:c>
      <x:c r="O4238" s="66" t="str">
        <x:v>Sulawesi Selatan</x:v>
      </x:c>
      <x:c r="P4238" s="66" t="str">
        <x:v>Kota Makassar</x:v>
      </x:c>
      <x:c r="Q4238" s="66" t="str">
        <x:v>https://snpmb.id/snbp/daya-tampung-snbp</x:v>
      </x:c>
      <x:c r="R4238" s="66" t="str">
        <x:v>https://sidatagrun-public-1076756628210.asia-southeast2.run.app/ptn_sn.php?ptn=711</x:v>
      </x:c>
    </x:row>
    <x:row r="4239">
      <x:c r="A4239" s="87" t="n">
        <x:v>1460</x:v>
      </x:c>
      <x:c r="B4239" s="66" t="n">
        <x:v>711</x:v>
      </x:c>
      <x:c r="C4239" s="66" t="str">
        <x:v>UNIVERSITAS HASANUDDIN</x:v>
      </x:c>
      <x:c r="D4239" s="66" t="str">
        <x:v>PTN Akademik</x:v>
      </x:c>
      <x:c r="E4239" s="66" t="str">
        <x:v>17111077</x:v>
      </x:c>
      <x:c r="F4239" s="66" t="str">
        <x:v>PARIWISATA</x:v>
      </x:c>
      <x:c r="G4239" s="66" t="str">
        <x:v>Sarjana</x:v>
      </x:c>
      <x:c r="H4239" s="87" t="n">
        <x:v>44</x:v>
      </x:c>
      <x:c r="I4239" s="87" t="n">
        <x:v>413</x:v>
      </x:c>
      <x:c r="J4239" s="68" t="n">
        <x:f>IFERROR(H4239/I4239,"")</x:f>
        <x:v>0.10653753026634383</x:v>
      </x:c>
      <x:c r="K4239" s="69" t="n">
        <x:f>IFERROR(I4239/H4239,"")</x:f>
        <x:v>9.386363636363637</x:v>
      </x:c>
      <x:c r="L4239" s="66" t="str">
        <x:f>IF(K4239="","","1 : "&amp;TEXT(K4239,"0.0"))</x:f>
        <x:v>1 : 9.4</x:v>
      </x:c>
      <x:c r="M4239" s="66" t="str">
        <x:f>IF(J4239="","Baru/Tanpa Data",IF(J4239&lt;='Catatan &amp; Sumber'!$B$14,"Sangat Ketat",IF(J4239&lt;='Catatan &amp; Sumber'!$B$15,"Ketat",IF(J4239&lt;='Catatan &amp; Sumber'!$B$16,"Sedang","Relatif Longgar"))))</x:f>
        <x:v>Relatif Longgar</x:v>
      </x:c>
      <x:c r="N4239" s="66" t="str">
        <x:v>Tidak Ada</x:v>
      </x:c>
      <x:c r="O4239" s="66" t="str">
        <x:v>Sulawesi Selatan</x:v>
      </x:c>
      <x:c r="P4239" s="66" t="str">
        <x:v>Kota Makassar</x:v>
      </x:c>
      <x:c r="Q4239" s="66" t="str">
        <x:v>https://snpmb.id/snbp/daya-tampung-snbp</x:v>
      </x:c>
      <x:c r="R4239" s="66" t="str">
        <x:v>https://sidatagrun-public-1076756628210.asia-southeast2.run.app/ptn_sn.php?ptn=711</x:v>
      </x:c>
    </x:row>
    <x:row r="4240">
      <x:c r="A4240" s="87" t="n">
        <x:v>1405</x:v>
      </x:c>
      <x:c r="B4240" s="66" t="n">
        <x:v>711</x:v>
      </x:c>
      <x:c r="C4240" s="66" t="str">
        <x:v>UNIVERSITAS HASANUDDIN</x:v>
      </x:c>
      <x:c r="D4240" s="66" t="str">
        <x:v>PTN Akademik</x:v>
      </x:c>
      <x:c r="E4240" s="66" t="str">
        <x:v>17111080</x:v>
      </x:c>
      <x:c r="F4240" s="66" t="str">
        <x:v>EKONOMI DAN BISNIS ISLAM</x:v>
      </x:c>
      <x:c r="G4240" s="66" t="str">
        <x:v>Sarjana</x:v>
      </x:c>
      <x:c r="H4240" s="87" t="n">
        <x:v>21</x:v>
      </x:c>
      <x:c r="I4240" s="87" t="n">
        <x:v>205</x:v>
      </x:c>
      <x:c r="J4240" s="68" t="n">
        <x:f>IFERROR(H4240/I4240,"")</x:f>
        <x:v>0.1024390243902439</x:v>
      </x:c>
      <x:c r="K4240" s="69" t="n">
        <x:f>IFERROR(I4240/H4240,"")</x:f>
        <x:v>9.761904761904763</x:v>
      </x:c>
      <x:c r="L4240" s="66" t="str">
        <x:f>IF(K4240="","","1 : "&amp;TEXT(K4240,"0.0"))</x:f>
        <x:v>1 : 9.8</x:v>
      </x:c>
      <x:c r="M4240" s="66" t="str">
        <x:f>IF(J4240="","Baru/Tanpa Data",IF(J4240&lt;='Catatan &amp; Sumber'!$B$14,"Sangat Ketat",IF(J4240&lt;='Catatan &amp; Sumber'!$B$15,"Ketat",IF(J4240&lt;='Catatan &amp; Sumber'!$B$16,"Sedang","Relatif Longgar"))))</x:f>
        <x:v>Relatif Longgar</x:v>
      </x:c>
      <x:c r="N4240" s="66" t="str">
        <x:v>Tidak Ada</x:v>
      </x:c>
      <x:c r="O4240" s="66" t="str">
        <x:v>Sulawesi Selatan</x:v>
      </x:c>
      <x:c r="P4240" s="66" t="str">
        <x:v>Kota Makassar</x:v>
      </x:c>
      <x:c r="Q4240" s="66" t="str">
        <x:v>https://snpmb.id/snbp/daya-tampung-snbp</x:v>
      </x:c>
      <x:c r="R4240" s="66" t="str">
        <x:v>https://sidatagrun-public-1076756628210.asia-southeast2.run.app/ptn_sn.php?ptn=711</x:v>
      </x:c>
    </x:row>
    <x:row r="4241">
      <x:c r="A4241" s="87" t="n">
        <x:v>2687</x:v>
      </x:c>
      <x:c r="B4241" s="66" t="n">
        <x:v>711</x:v>
      </x:c>
      <x:c r="C4241" s="66" t="str">
        <x:v>UNIVERSITAS HASANUDDIN</x:v>
      </x:c>
      <x:c r="D4241" s="66" t="str">
        <x:v>PTN Akademik</x:v>
      </x:c>
      <x:c r="E4241" s="66" t="str">
        <x:v>17111081</x:v>
      </x:c>
      <x:c r="F4241" s="66" t="str">
        <x:v>TEKNOLOGI INDUSTRI PERTANIAN</x:v>
      </x:c>
      <x:c r="G4241" s="66" t="str">
        <x:v>Sarjana</x:v>
      </x:c>
      <x:c r="H4241" s="87" t="n">
        <x:v>27</x:v>
      </x:c>
      <x:c r="I4241" s="87" t="n">
        <x:v>112</x:v>
      </x:c>
      <x:c r="J4241" s="68" t="n">
        <x:f>IFERROR(H4241/I4241,"")</x:f>
        <x:v>0.24107142857142858</x:v>
      </x:c>
      <x:c r="K4241" s="69" t="n">
        <x:f>IFERROR(I4241/H4241,"")</x:f>
        <x:v>4.148148148148148</x:v>
      </x:c>
      <x:c r="L4241" s="66" t="str">
        <x:f>IF(K4241="","","1 : "&amp;TEXT(K4241,"0.0"))</x:f>
        <x:v>1 : 4.1</x:v>
      </x:c>
      <x:c r="M4241" s="66" t="str">
        <x:f>IF(J4241="","Baru/Tanpa Data",IF(J4241&lt;='Catatan &amp; Sumber'!$B$14,"Sangat Ketat",IF(J4241&lt;='Catatan &amp; Sumber'!$B$15,"Ketat",IF(J4241&lt;='Catatan &amp; Sumber'!$B$16,"Sedang","Relatif Longgar"))))</x:f>
        <x:v>Relatif Longgar</x:v>
      </x:c>
      <x:c r="N4241" s="66" t="str">
        <x:v>Tidak Ada</x:v>
      </x:c>
      <x:c r="O4241" s="66" t="str">
        <x:v>Sulawesi Selatan</x:v>
      </x:c>
      <x:c r="P4241" s="66" t="str">
        <x:v>Kota Makassar</x:v>
      </x:c>
      <x:c r="Q4241" s="66" t="str">
        <x:v>https://snpmb.id/snbp/daya-tampung-snbp</x:v>
      </x:c>
      <x:c r="R4241" s="66" t="str">
        <x:v>https://sidatagrun-public-1076756628210.asia-southeast2.run.app/ptn_sn.php?ptn=711</x:v>
      </x:c>
    </x:row>
    <x:row r="4242">
      <x:c r="A4242" s="87" t="n">
        <x:v>2829</x:v>
      </x:c>
      <x:c r="B4242" s="66" t="n">
        <x:v>711</x:v>
      </x:c>
      <x:c r="C4242" s="66" t="str">
        <x:v>UNIVERSITAS HASANUDDIN</x:v>
      </x:c>
      <x:c r="D4242" s="66" t="str">
        <x:v>PTN Akademik</x:v>
      </x:c>
      <x:c r="E4242" s="66" t="str">
        <x:v>17111084</x:v>
      </x:c>
      <x:c r="F4242" s="66" t="str">
        <x:v>TEKNIK GEODESI</x:v>
      </x:c>
      <x:c r="G4242" s="66" t="str">
        <x:v>Sarjana</x:v>
      </x:c>
      <x:c r="H4242" s="87" t="n">
        <x:v>15</x:v>
      </x:c>
      <x:c r="I4242" s="87" t="n">
        <x:v>57</x:v>
      </x:c>
      <x:c r="J4242" s="68" t="n">
        <x:f>IFERROR(H4242/I4242,"")</x:f>
        <x:v>0.2631578947368421</x:v>
      </x:c>
      <x:c r="K4242" s="69" t="n">
        <x:f>IFERROR(I4242/H4242,"")</x:f>
        <x:v>3.8</x:v>
      </x:c>
      <x:c r="L4242" s="66" t="str">
        <x:f>IF(K4242="","","1 : "&amp;TEXT(K4242,"0.0"))</x:f>
        <x:v>1 : 3.8</x:v>
      </x:c>
      <x:c r="M4242" s="66" t="str">
        <x:f>IF(J4242="","Baru/Tanpa Data",IF(J4242&lt;='Catatan &amp; Sumber'!$B$14,"Sangat Ketat",IF(J4242&lt;='Catatan &amp; Sumber'!$B$15,"Ketat",IF(J4242&lt;='Catatan &amp; Sumber'!$B$16,"Sedang","Relatif Longgar"))))</x:f>
        <x:v>Relatif Longgar</x:v>
      </x:c>
      <x:c r="N4242" s="66" t="str">
        <x:v>Tidak Ada</x:v>
      </x:c>
      <x:c r="O4242" s="66" t="str">
        <x:v>Sulawesi Selatan</x:v>
      </x:c>
      <x:c r="P4242" s="66" t="str">
        <x:v>Kota Makassar</x:v>
      </x:c>
      <x:c r="Q4242" s="66" t="str">
        <x:v>https://snpmb.id/snbp/daya-tampung-snbp</x:v>
      </x:c>
      <x:c r="R4242" s="66" t="str">
        <x:v>https://sidatagrun-public-1076756628210.asia-southeast2.run.app/ptn_sn.php?ptn=711</x:v>
      </x:c>
    </x:row>
    <x:row r="4243">
      <x:c r="A4243" s="87" t="n">
        <x:v>885</x:v>
      </x:c>
      <x:c r="B4243" s="66" t="n">
        <x:v>711</x:v>
      </x:c>
      <x:c r="C4243" s="66" t="str">
        <x:v>UNIVERSITAS HASANUDDIN</x:v>
      </x:c>
      <x:c r="D4243" s="66" t="str">
        <x:v>PTN Akademik</x:v>
      </x:c>
      <x:c r="E4243" s="66" t="str">
        <x:v>17111085</x:v>
      </x:c>
      <x:c r="F4243" s="66" t="str">
        <x:v>TEKNIK METALURGI DAN MATERIAL</x:v>
      </x:c>
      <x:c r="G4243" s="66" t="str">
        <x:v>Sarjana</x:v>
      </x:c>
      <x:c r="H4243" s="87" t="n">
        <x:v>17</x:v>
      </x:c>
      <x:c r="I4243" s="87" t="n">
        <x:v>239</x:v>
      </x:c>
      <x:c r="J4243" s="68" t="n">
        <x:f>IFERROR(H4243/I4243,"")</x:f>
        <x:v>0.07112970711297072</x:v>
      </x:c>
      <x:c r="K4243" s="69" t="n">
        <x:f>IFERROR(I4243/H4243,"")</x:f>
        <x:v>14.058823529411764</x:v>
      </x:c>
      <x:c r="L4243" s="66" t="str">
        <x:f>IF(K4243="","","1 : "&amp;TEXT(K4243,"0.0"))</x:f>
        <x:v>1 : 14.1</x:v>
      </x:c>
      <x:c r="M4243" s="66" t="str">
        <x:f>IF(J4243="","Baru/Tanpa Data",IF(J4243&lt;='Catatan &amp; Sumber'!$B$14,"Sangat Ketat",IF(J4243&lt;='Catatan &amp; Sumber'!$B$15,"Ketat",IF(J4243&lt;='Catatan &amp; Sumber'!$B$16,"Sedang","Relatif Longgar"))))</x:f>
        <x:v>Sedang</x:v>
      </x:c>
      <x:c r="N4243" s="66" t="str">
        <x:v>Tidak Ada</x:v>
      </x:c>
      <x:c r="O4243" s="66" t="str">
        <x:v>Sulawesi Selatan</x:v>
      </x:c>
      <x:c r="P4243" s="66" t="str">
        <x:v>Kota Makassar</x:v>
      </x:c>
      <x:c r="Q4243" s="66" t="str">
        <x:v>https://snpmb.id/snbp/daya-tampung-snbp</x:v>
      </x:c>
      <x:c r="R4243" s="66" t="str">
        <x:v>https://sidatagrun-public-1076756628210.asia-southeast2.run.app/ptn_sn.php?ptn=711</x:v>
      </x:c>
    </x:row>
    <x:row r="4244">
      <x:c r="A4244" s="87"/>
      <x:c r="B4244" s="66" t="n">
        <x:v>711</x:v>
      </x:c>
      <x:c r="C4244" s="66" t="str">
        <x:v>UNIVERSITAS HASANUDDIN</x:v>
      </x:c>
      <x:c r="D4244" s="66" t="str">
        <x:v>PTN Akademik</x:v>
      </x:c>
      <x:c r="E4244" s="66" t="str">
        <x:v>17111087</x:v>
      </x:c>
      <x:c r="F4244" s="66" t="str">
        <x:v>PEMULIAAN DAN BIOTEKNOLOGI TANAMAN</x:v>
      </x:c>
      <x:c r="G4244" s="66" t="str">
        <x:v>Sarjana</x:v>
      </x:c>
      <x:c r="H4244" s="87" t="n">
        <x:v>12</x:v>
      </x:c>
      <x:c r="I4244" s="87"/>
      <x:c r="J4244" s="68" t="str">
        <x:f>IFERROR(H4244/I4244,"")</x:f>
      </x:c>
      <x:c r="K4244" s="69" t="n">
        <x:f>IFERROR(I4244/H4244,"")</x:f>
        <x:v>0</x:v>
      </x:c>
      <x:c r="L4244" s="66" t="str">
        <x:f>IF(K4244="","","1 : "&amp;TEXT(K4244,"0.0"))</x:f>
      </x:c>
      <x:c r="M4244" s="66" t="str">
        <x:f>IF(J4244="","Baru/Tanpa Data",IF(J4244&lt;='Catatan &amp; Sumber'!$B$14,"Sangat Ketat",IF(J4244&lt;='Catatan &amp; Sumber'!$B$15,"Ketat",IF(J4244&lt;='Catatan &amp; Sumber'!$B$16,"Sedang","Relatif Longgar"))))</x:f>
        <x:v>Baru/Tanpa Data</x:v>
      </x:c>
      <x:c r="N4244" s="66" t="str">
        <x:v>Tidak Ada</x:v>
      </x:c>
      <x:c r="O4244" s="66" t="str">
        <x:v>Sulawesi Selatan</x:v>
      </x:c>
      <x:c r="P4244" s="66" t="str">
        <x:v>Kota Makassar</x:v>
      </x:c>
      <x:c r="Q4244" s="66" t="str">
        <x:v>https://snpmb.id/snbp/daya-tampung-snbp</x:v>
      </x:c>
      <x:c r="R4244" s="66" t="str">
        <x:v>https://sidatagrun-public-1076756628210.asia-southeast2.run.app/ptn_sn.php?ptn=711</x:v>
      </x:c>
    </x:row>
    <x:row r="4245">
      <x:c r="A4245" s="87"/>
      <x:c r="B4245" s="66" t="n">
        <x:v>711</x:v>
      </x:c>
      <x:c r="C4245" s="66" t="str">
        <x:v>UNIVERSITAS HASANUDDIN</x:v>
      </x:c>
      <x:c r="D4245" s="66" t="str">
        <x:v>PTN Akademik</x:v>
      </x:c>
      <x:c r="E4245" s="66" t="str">
        <x:v>17111088</x:v>
      </x:c>
      <x:c r="F4245" s="66" t="str">
        <x:v>PEMBANGUNAN PERTANIAN</x:v>
      </x:c>
      <x:c r="G4245" s="66" t="str">
        <x:v>Sarjana</x:v>
      </x:c>
      <x:c r="H4245" s="87" t="n">
        <x:v>12</x:v>
      </x:c>
      <x:c r="I4245" s="87"/>
      <x:c r="J4245" s="68" t="str">
        <x:f>IFERROR(H4245/I4245,"")</x:f>
      </x:c>
      <x:c r="K4245" s="69" t="n">
        <x:f>IFERROR(I4245/H4245,"")</x:f>
        <x:v>0</x:v>
      </x:c>
      <x:c r="L4245" s="66" t="str">
        <x:f>IF(K4245="","","1 : "&amp;TEXT(K4245,"0.0"))</x:f>
      </x:c>
      <x:c r="M4245" s="66" t="str">
        <x:f>IF(J4245="","Baru/Tanpa Data",IF(J4245&lt;='Catatan &amp; Sumber'!$B$14,"Sangat Ketat",IF(J4245&lt;='Catatan &amp; Sumber'!$B$15,"Ketat",IF(J4245&lt;='Catatan &amp; Sumber'!$B$16,"Sedang","Relatif Longgar"))))</x:f>
        <x:v>Baru/Tanpa Data</x:v>
      </x:c>
      <x:c r="N4245" s="66" t="str">
        <x:v>Tidak Ada</x:v>
      </x:c>
      <x:c r="O4245" s="66" t="str">
        <x:v>Sulawesi Selatan</x:v>
      </x:c>
      <x:c r="P4245" s="66" t="str">
        <x:v>Kota Makassar</x:v>
      </x:c>
      <x:c r="Q4245" s="66" t="str">
        <x:v>https://snpmb.id/snbp/daya-tampung-snbp</x:v>
      </x:c>
      <x:c r="R4245" s="66" t="str">
        <x:v>https://sidatagrun-public-1076756628210.asia-southeast2.run.app/ptn_sn.php?ptn=711</x:v>
      </x:c>
    </x:row>
    <x:row r="4246">
      <x:c r="A4246" s="87" t="n">
        <x:v>4692</x:v>
      </x:c>
      <x:c r="B4246" s="66" t="n">
        <x:v>711</x:v>
      </x:c>
      <x:c r="C4246" s="66" t="str">
        <x:v>UNIVERSITAS HASANUDDIN</x:v>
      </x:c>
      <x:c r="D4246" s="66" t="str">
        <x:v>PTN Akademik</x:v>
      </x:c>
      <x:c r="E4246" s="66" t="str">
        <x:v>17112043</x:v>
      </x:c>
      <x:c r="F4246" s="66" t="str">
        <x:v>TEKNOLOGI PRODUKSI TERNAK</x:v>
      </x:c>
      <x:c r="G4246" s="66" t="str">
        <x:v>Sarjana Terapan</x:v>
      </x:c>
      <x:c r="H4246" s="87" t="n">
        <x:v>13</x:v>
      </x:c>
      <x:c r="I4246" s="87" t="n">
        <x:v>6</x:v>
      </x:c>
      <x:c r="J4246" s="68" t="n">
        <x:f>IFERROR(H4246/I4246,"")</x:f>
        <x:v>2.1666666666666665</x:v>
      </x:c>
      <x:c r="K4246" s="69" t="n">
        <x:f>IFERROR(I4246/H4246,"")</x:f>
        <x:v>0.46153846153846156</x:v>
      </x:c>
      <x:c r="L4246" s="66" t="str">
        <x:f>IF(K4246="","","1 : "&amp;TEXT(K4246,"0.0"))</x:f>
        <x:v>1 : 0.5</x:v>
      </x:c>
      <x:c r="M4246" s="66" t="str">
        <x:f>IF(J4246="","Baru/Tanpa Data",IF(J4246&lt;='Catatan &amp; Sumber'!$B$14,"Sangat Ketat",IF(J4246&lt;='Catatan &amp; Sumber'!$B$15,"Ketat",IF(J4246&lt;='Catatan &amp; Sumber'!$B$16,"Sedang","Relatif Longgar"))))</x:f>
        <x:v>Relatif Longgar</x:v>
      </x:c>
      <x:c r="N4246" s="66" t="str">
        <x:v>Tidak Ada</x:v>
      </x:c>
      <x:c r="O4246" s="66" t="str">
        <x:v>Sulawesi Selatan</x:v>
      </x:c>
      <x:c r="P4246" s="66" t="str">
        <x:v>Kota Makassar</x:v>
      </x:c>
      <x:c r="Q4246" s="66" t="str">
        <x:v>https://snpmb.id/snbp/daya-tampung-snbp</x:v>
      </x:c>
      <x:c r="R4246" s="66" t="str">
        <x:v>https://sidatagrun-public-1076756628210.asia-southeast2.run.app/ptn_sn.php?ptn=711</x:v>
      </x:c>
    </x:row>
    <x:row r="4247">
      <x:c r="A4247" s="87" t="n">
        <x:v>4020</x:v>
      </x:c>
      <x:c r="B4247" s="66" t="n">
        <x:v>711</x:v>
      </x:c>
      <x:c r="C4247" s="66" t="str">
        <x:v>UNIVERSITAS HASANUDDIN</x:v>
      </x:c>
      <x:c r="D4247" s="66" t="str">
        <x:v>PTN Akademik</x:v>
      </x:c>
      <x:c r="E4247" s="66" t="str">
        <x:v>17112044</x:v>
      </x:c>
      <x:c r="F4247" s="66" t="str">
        <x:v>TEKNOLOGI PRODUKSI TANAMAN PANGAN</x:v>
      </x:c>
      <x:c r="G4247" s="66" t="str">
        <x:v>Sarjana Terapan</x:v>
      </x:c>
      <x:c r="H4247" s="87" t="n">
        <x:v>14</x:v>
      </x:c>
      <x:c r="I4247" s="87" t="n">
        <x:v>20</x:v>
      </x:c>
      <x:c r="J4247" s="68" t="n">
        <x:f>IFERROR(H4247/I4247,"")</x:f>
        <x:v>0.7</x:v>
      </x:c>
      <x:c r="K4247" s="69" t="n">
        <x:f>IFERROR(I4247/H4247,"")</x:f>
        <x:v>1.4285714285714286</x:v>
      </x:c>
      <x:c r="L4247" s="66" t="str">
        <x:f>IF(K4247="","","1 : "&amp;TEXT(K4247,"0.0"))</x:f>
        <x:v>1 : 1.4</x:v>
      </x:c>
      <x:c r="M4247" s="66" t="str">
        <x:f>IF(J4247="","Baru/Tanpa Data",IF(J4247&lt;='Catatan &amp; Sumber'!$B$14,"Sangat Ketat",IF(J4247&lt;='Catatan &amp; Sumber'!$B$15,"Ketat",IF(J4247&lt;='Catatan &amp; Sumber'!$B$16,"Sedang","Relatif Longgar"))))</x:f>
        <x:v>Relatif Longgar</x:v>
      </x:c>
      <x:c r="N4247" s="66" t="str">
        <x:v>Tidak Ada</x:v>
      </x:c>
      <x:c r="O4247" s="66" t="str">
        <x:v>Sulawesi Selatan</x:v>
      </x:c>
      <x:c r="P4247" s="66" t="str">
        <x:v>Kota Makassar</x:v>
      </x:c>
      <x:c r="Q4247" s="66" t="str">
        <x:v>https://snpmb.id/snbp/daya-tampung-snbp</x:v>
      </x:c>
      <x:c r="R4247" s="66" t="str">
        <x:v>https://sidatagrun-public-1076756628210.asia-southeast2.run.app/ptn_sn.php?ptn=711</x:v>
      </x:c>
    </x:row>
    <x:row r="4248">
      <x:c r="A4248" s="87" t="n">
        <x:v>3694</x:v>
      </x:c>
      <x:c r="B4248" s="66" t="n">
        <x:v>711</x:v>
      </x:c>
      <x:c r="C4248" s="66" t="str">
        <x:v>UNIVERSITAS HASANUDDIN</x:v>
      </x:c>
      <x:c r="D4248" s="66" t="str">
        <x:v>PTN Akademik</x:v>
      </x:c>
      <x:c r="E4248" s="66" t="str">
        <x:v>17112049</x:v>
      </x:c>
      <x:c r="F4248" s="66" t="str">
        <x:v>AGRIBISNIS PANGAN</x:v>
      </x:c>
      <x:c r="G4248" s="66" t="str">
        <x:v>Sarjana Terapan</x:v>
      </x:c>
      <x:c r="H4248" s="87" t="n">
        <x:v>18</x:v>
      </x:c>
      <x:c r="I4248" s="87" t="n">
        <x:v>35</x:v>
      </x:c>
      <x:c r="J4248" s="68" t="n">
        <x:f>IFERROR(H4248/I4248,"")</x:f>
        <x:v>0.5142857142857142</x:v>
      </x:c>
      <x:c r="K4248" s="69" t="n">
        <x:f>IFERROR(I4248/H4248,"")</x:f>
        <x:v>1.9444444444444444</x:v>
      </x:c>
      <x:c r="L4248" s="66" t="str">
        <x:f>IF(K4248="","","1 : "&amp;TEXT(K4248,"0.0"))</x:f>
        <x:v>1 : 1.9</x:v>
      </x:c>
      <x:c r="M4248" s="66" t="str">
        <x:f>IF(J4248="","Baru/Tanpa Data",IF(J4248&lt;='Catatan &amp; Sumber'!$B$14,"Sangat Ketat",IF(J4248&lt;='Catatan &amp; Sumber'!$B$15,"Ketat",IF(J4248&lt;='Catatan &amp; Sumber'!$B$16,"Sedang","Relatif Longgar"))))</x:f>
        <x:v>Relatif Longgar</x:v>
      </x:c>
      <x:c r="N4248" s="66" t="str">
        <x:v>Tidak Ada</x:v>
      </x:c>
      <x:c r="O4248" s="66" t="str">
        <x:v>Sulawesi Selatan</x:v>
      </x:c>
      <x:c r="P4248" s="66" t="str">
        <x:v>Kota Makassar</x:v>
      </x:c>
      <x:c r="Q4248" s="66" t="str">
        <x:v>https://snpmb.id/snbp/daya-tampung-snbp</x:v>
      </x:c>
      <x:c r="R4248" s="66" t="str">
        <x:v>https://sidatagrun-public-1076756628210.asia-southeast2.run.app/ptn_sn.php?ptn=711</x:v>
      </x:c>
    </x:row>
    <x:row r="4249">
      <x:c r="A4249" s="87" t="n">
        <x:v>4595</x:v>
      </x:c>
      <x:c r="B4249" s="66" t="n">
        <x:v>711</x:v>
      </x:c>
      <x:c r="C4249" s="66" t="str">
        <x:v>UNIVERSITAS HASANUDDIN</x:v>
      </x:c>
      <x:c r="D4249" s="66" t="str">
        <x:v>PTN Akademik</x:v>
      </x:c>
      <x:c r="E4249" s="66" t="str">
        <x:v>17112050</x:v>
      </x:c>
      <x:c r="F4249" s="66" t="str">
        <x:v>TEKNOLOGI PAKAN TERNAK</x:v>
      </x:c>
      <x:c r="G4249" s="66" t="str">
        <x:v>Sarjana Terapan</x:v>
      </x:c>
      <x:c r="H4249" s="87" t="n">
        <x:v>13</x:v>
      </x:c>
      <x:c r="I4249" s="87" t="n">
        <x:v>8</x:v>
      </x:c>
      <x:c r="J4249" s="68" t="n">
        <x:f>IFERROR(H4249/I4249,"")</x:f>
        <x:v>1.625</x:v>
      </x:c>
      <x:c r="K4249" s="69" t="n">
        <x:f>IFERROR(I4249/H4249,"")</x:f>
        <x:v>0.6153846153846154</x:v>
      </x:c>
      <x:c r="L4249" s="66" t="str">
        <x:f>IF(K4249="","","1 : "&amp;TEXT(K4249,"0.0"))</x:f>
        <x:v>1 : 0.6</x:v>
      </x:c>
      <x:c r="M4249" s="66" t="str">
        <x:f>IF(J4249="","Baru/Tanpa Data",IF(J4249&lt;='Catatan &amp; Sumber'!$B$14,"Sangat Ketat",IF(J4249&lt;='Catatan &amp; Sumber'!$B$15,"Ketat",IF(J4249&lt;='Catatan &amp; Sumber'!$B$16,"Sedang","Relatif Longgar"))))</x:f>
        <x:v>Relatif Longgar</x:v>
      </x:c>
      <x:c r="N4249" s="66" t="str">
        <x:v>Tidak Ada</x:v>
      </x:c>
      <x:c r="O4249" s="66" t="str">
        <x:v>Sulawesi Selatan</x:v>
      </x:c>
      <x:c r="P4249" s="66" t="str">
        <x:v>Kota Makassar</x:v>
      </x:c>
      <x:c r="Q4249" s="66" t="str">
        <x:v>https://snpmb.id/snbp/daya-tampung-snbp</x:v>
      </x:c>
      <x:c r="R4249" s="66" t="str">
        <x:v>https://sidatagrun-public-1076756628210.asia-southeast2.run.app/ptn_sn.php?ptn=711</x:v>
      </x:c>
    </x:row>
    <x:row r="4250">
      <x:c r="A4250" s="87" t="n">
        <x:v>3988</x:v>
      </x:c>
      <x:c r="B4250" s="66" t="n">
        <x:v>711</x:v>
      </x:c>
      <x:c r="C4250" s="66" t="str">
        <x:v>UNIVERSITAS HASANUDDIN</x:v>
      </x:c>
      <x:c r="D4250" s="66" t="str">
        <x:v>PTN Akademik</x:v>
      </x:c>
      <x:c r="E4250" s="66" t="str">
        <x:v>17112051</x:v>
      </x:c>
      <x:c r="F4250" s="66" t="str">
        <x:v>AGRIBISNIS PETERNAKAN</x:v>
      </x:c>
      <x:c r="G4250" s="66" t="str">
        <x:v>Sarjana Terapan</x:v>
      </x:c>
      <x:c r="H4250" s="87" t="n">
        <x:v>15</x:v>
      </x:c>
      <x:c r="I4250" s="87" t="n">
        <x:v>22</x:v>
      </x:c>
      <x:c r="J4250" s="68" t="n">
        <x:f>IFERROR(H4250/I4250,"")</x:f>
        <x:v>0.6818181818181818</x:v>
      </x:c>
      <x:c r="K4250" s="69" t="n">
        <x:f>IFERROR(I4250/H4250,"")</x:f>
        <x:v>1.4666666666666666</x:v>
      </x:c>
      <x:c r="L4250" s="66" t="str">
        <x:f>IF(K4250="","","1 : "&amp;TEXT(K4250,"0.0"))</x:f>
        <x:v>1 : 1.5</x:v>
      </x:c>
      <x:c r="M4250" s="66" t="str">
        <x:f>IF(J4250="","Baru/Tanpa Data",IF(J4250&lt;='Catatan &amp; Sumber'!$B$14,"Sangat Ketat",IF(J4250&lt;='Catatan &amp; Sumber'!$B$15,"Ketat",IF(J4250&lt;='Catatan &amp; Sumber'!$B$16,"Sedang","Relatif Longgar"))))</x:f>
        <x:v>Relatif Longgar</x:v>
      </x:c>
      <x:c r="N4250" s="66" t="str">
        <x:v>Tidak Ada</x:v>
      </x:c>
      <x:c r="O4250" s="66" t="str">
        <x:v>Sulawesi Selatan</x:v>
      </x:c>
      <x:c r="P4250" s="66" t="str">
        <x:v>Kota Makassar</x:v>
      </x:c>
      <x:c r="Q4250" s="66" t="str">
        <x:v>https://snpmb.id/snbp/daya-tampung-snbp</x:v>
      </x:c>
      <x:c r="R4250" s="66" t="str">
        <x:v>https://sidatagrun-public-1076756628210.asia-southeast2.run.app/ptn_sn.php?ptn=711</x:v>
      </x:c>
    </x:row>
    <x:row r="4251">
      <x:c r="A4251" s="87" t="n">
        <x:v>2810</x:v>
      </x:c>
      <x:c r="B4251" s="66" t="n">
        <x:v>711</x:v>
      </x:c>
      <x:c r="C4251" s="66" t="str">
        <x:v>UNIVERSITAS HASANUDDIN</x:v>
      </x:c>
      <x:c r="D4251" s="66" t="str">
        <x:v>PTN Akademik</x:v>
      </x:c>
      <x:c r="E4251" s="66" t="str">
        <x:v>17112052</x:v>
      </x:c>
      <x:c r="F4251" s="66" t="str">
        <x:v>TERAPI GIGI</x:v>
      </x:c>
      <x:c r="G4251" s="66" t="str">
        <x:v>Sarjana Terapan</x:v>
      </x:c>
      <x:c r="H4251" s="87" t="n">
        <x:v>40</x:v>
      </x:c>
      <x:c r="I4251" s="87" t="n">
        <x:v>154</x:v>
      </x:c>
      <x:c r="J4251" s="68" t="n">
        <x:f>IFERROR(H4251/I4251,"")</x:f>
        <x:v>0.2597402597402597</x:v>
      </x:c>
      <x:c r="K4251" s="69" t="n">
        <x:f>IFERROR(I4251/H4251,"")</x:f>
        <x:v>3.85</x:v>
      </x:c>
      <x:c r="L4251" s="66" t="str">
        <x:f>IF(K4251="","","1 : "&amp;TEXT(K4251,"0.0"))</x:f>
        <x:v>1 : 3.9</x:v>
      </x:c>
      <x:c r="M4251" s="66" t="str">
        <x:f>IF(J4251="","Baru/Tanpa Data",IF(J4251&lt;='Catatan &amp; Sumber'!$B$14,"Sangat Ketat",IF(J4251&lt;='Catatan &amp; Sumber'!$B$15,"Ketat",IF(J4251&lt;='Catatan &amp; Sumber'!$B$16,"Sedang","Relatif Longgar"))))</x:f>
        <x:v>Relatif Longgar</x:v>
      </x:c>
      <x:c r="N4251" s="66" t="str">
        <x:v>Tidak Ada</x:v>
      </x:c>
      <x:c r="O4251" s="66" t="str">
        <x:v>Sulawesi Selatan</x:v>
      </x:c>
      <x:c r="P4251" s="66" t="str">
        <x:v>Kota Makassar</x:v>
      </x:c>
      <x:c r="Q4251" s="66" t="str">
        <x:v>https://snpmb.id/snbp/daya-tampung-snbp</x:v>
      </x:c>
      <x:c r="R4251" s="66" t="str">
        <x:v>https://sidatagrun-public-1076756628210.asia-southeast2.run.app/ptn_sn.php?ptn=711</x:v>
      </x:c>
    </x:row>
    <x:row r="4252">
      <x:c r="A4252" s="87" t="n">
        <x:v>4595</x:v>
      </x:c>
      <x:c r="B4252" s="66" t="n">
        <x:v>711</x:v>
      </x:c>
      <x:c r="C4252" s="66" t="str">
        <x:v>UNIVERSITAS HASANUDDIN</x:v>
      </x:c>
      <x:c r="D4252" s="66" t="str">
        <x:v>PTN Akademik</x:v>
      </x:c>
      <x:c r="E4252" s="66" t="str">
        <x:v>17112053</x:v>
      </x:c>
      <x:c r="F4252" s="66" t="str">
        <x:v>BUDI DAYA LAUT DAN PANTAI</x:v>
      </x:c>
      <x:c r="G4252" s="66" t="str">
        <x:v>Sarjana Terapan</x:v>
      </x:c>
      <x:c r="H4252" s="87" t="n">
        <x:v>13</x:v>
      </x:c>
      <x:c r="I4252" s="87" t="n">
        <x:v>8</x:v>
      </x:c>
      <x:c r="J4252" s="68" t="n">
        <x:f>IFERROR(H4252/I4252,"")</x:f>
        <x:v>1.625</x:v>
      </x:c>
      <x:c r="K4252" s="69" t="n">
        <x:f>IFERROR(I4252/H4252,"")</x:f>
        <x:v>0.6153846153846154</x:v>
      </x:c>
      <x:c r="L4252" s="66" t="str">
        <x:f>IF(K4252="","","1 : "&amp;TEXT(K4252,"0.0"))</x:f>
        <x:v>1 : 0.6</x:v>
      </x:c>
      <x:c r="M4252" s="66" t="str">
        <x:f>IF(J4252="","Baru/Tanpa Data",IF(J4252&lt;='Catatan &amp; Sumber'!$B$14,"Sangat Ketat",IF(J4252&lt;='Catatan &amp; Sumber'!$B$15,"Ketat",IF(J4252&lt;='Catatan &amp; Sumber'!$B$16,"Sedang","Relatif Longgar"))))</x:f>
        <x:v>Relatif Longgar</x:v>
      </x:c>
      <x:c r="N4252" s="66" t="str">
        <x:v>Tidak Ada</x:v>
      </x:c>
      <x:c r="O4252" s="66" t="str">
        <x:v>Sulawesi Selatan</x:v>
      </x:c>
      <x:c r="P4252" s="66" t="str">
        <x:v>Kota Makassar</x:v>
      </x:c>
      <x:c r="Q4252" s="66" t="str">
        <x:v>https://snpmb.id/snbp/daya-tampung-snbp</x:v>
      </x:c>
      <x:c r="R4252" s="66" t="str">
        <x:v>https://sidatagrun-public-1076756628210.asia-southeast2.run.app/ptn_sn.php?ptn=711</x:v>
      </x:c>
    </x:row>
    <x:row r="4253">
      <x:c r="A4253" s="87" t="n">
        <x:v>3223</x:v>
      </x:c>
      <x:c r="B4253" s="66" t="n">
        <x:v>711</x:v>
      </x:c>
      <x:c r="C4253" s="66" t="str">
        <x:v>UNIVERSITAS HASANUDDIN</x:v>
      </x:c>
      <x:c r="D4253" s="66" t="str">
        <x:v>PTN Akademik</x:v>
      </x:c>
      <x:c r="E4253" s="66" t="str">
        <x:v>17112075</x:v>
      </x:c>
      <x:c r="F4253" s="66" t="str">
        <x:v>DESTINASI PARIWISATA</x:v>
      </x:c>
      <x:c r="G4253" s="66" t="str">
        <x:v>Sarjana Terapan</x:v>
      </x:c>
      <x:c r="H4253" s="87" t="n">
        <x:v>15</x:v>
      </x:c>
      <x:c r="I4253" s="87" t="n">
        <x:v>43</x:v>
      </x:c>
      <x:c r="J4253" s="68" t="n">
        <x:f>IFERROR(H4253/I4253,"")</x:f>
        <x:v>0.3488372093023256</x:v>
      </x:c>
      <x:c r="K4253" s="69" t="n">
        <x:f>IFERROR(I4253/H4253,"")</x:f>
        <x:v>2.8666666666666667</x:v>
      </x:c>
      <x:c r="L4253" s="66" t="str">
        <x:f>IF(K4253="","","1 : "&amp;TEXT(K4253,"0.0"))</x:f>
        <x:v>1 : 2.9</x:v>
      </x:c>
      <x:c r="M4253" s="66" t="str">
        <x:f>IF(J4253="","Baru/Tanpa Data",IF(J4253&lt;='Catatan &amp; Sumber'!$B$14,"Sangat Ketat",IF(J4253&lt;='Catatan &amp; Sumber'!$B$15,"Ketat",IF(J4253&lt;='Catatan &amp; Sumber'!$B$16,"Sedang","Relatif Longgar"))))</x:f>
        <x:v>Relatif Longgar</x:v>
      </x:c>
      <x:c r="N4253" s="66" t="str">
        <x:v>Tidak Ada</x:v>
      </x:c>
      <x:c r="O4253" s="66" t="str">
        <x:v>Sulawesi Selatan</x:v>
      </x:c>
      <x:c r="P4253" s="66" t="str">
        <x:v>Kota Makassar</x:v>
      </x:c>
      <x:c r="Q4253" s="66" t="str">
        <x:v>https://snpmb.id/snbp/daya-tampung-snbp</x:v>
      </x:c>
      <x:c r="R4253" s="66" t="str">
        <x:v>https://sidatagrun-public-1076756628210.asia-southeast2.run.app/ptn_sn.php?ptn=711</x:v>
      </x:c>
    </x:row>
    <x:row r="4254">
      <x:c r="A4254" s="87" t="n">
        <x:v>4739</x:v>
      </x:c>
      <x:c r="B4254" s="66" t="n">
        <x:v>711</x:v>
      </x:c>
      <x:c r="C4254" s="66" t="str">
        <x:v>UNIVERSITAS HASANUDDIN</x:v>
      </x:c>
      <x:c r="D4254" s="66" t="str">
        <x:v>PTN Akademik</x:v>
      </x:c>
      <x:c r="E4254" s="66" t="str">
        <x:v>17112078</x:v>
      </x:c>
      <x:c r="F4254" s="66" t="str">
        <x:v>TEKNOLOGI AKUAKULTUR DAN PASCA PANEN PERIKANAN</x:v>
      </x:c>
      <x:c r="G4254" s="66" t="str">
        <x:v>Sarjana Terapan</x:v>
      </x:c>
      <x:c r="H4254" s="87" t="n">
        <x:v>8</x:v>
      </x:c>
      <x:c r="I4254" s="87" t="n">
        <x:v>3</x:v>
      </x:c>
      <x:c r="J4254" s="68" t="n">
        <x:f>IFERROR(H4254/I4254,"")</x:f>
        <x:v>2.6666666666666665</x:v>
      </x:c>
      <x:c r="K4254" s="69" t="n">
        <x:f>IFERROR(I4254/H4254,"")</x:f>
        <x:v>0.375</x:v>
      </x:c>
      <x:c r="L4254" s="66" t="str">
        <x:f>IF(K4254="","","1 : "&amp;TEXT(K4254,"0.0"))</x:f>
        <x:v>1 : 0.4</x:v>
      </x:c>
      <x:c r="M4254" s="66" t="str">
        <x:f>IF(J4254="","Baru/Tanpa Data",IF(J4254&lt;='Catatan &amp; Sumber'!$B$14,"Sangat Ketat",IF(J4254&lt;='Catatan &amp; Sumber'!$B$15,"Ketat",IF(J4254&lt;='Catatan &amp; Sumber'!$B$16,"Sedang","Relatif Longgar"))))</x:f>
        <x:v>Relatif Longgar</x:v>
      </x:c>
      <x:c r="N4254" s="66" t="str">
        <x:v>Tidak Ada</x:v>
      </x:c>
      <x:c r="O4254" s="66" t="str">
        <x:v>Sulawesi Selatan</x:v>
      </x:c>
      <x:c r="P4254" s="66" t="str">
        <x:v>Kota Makassar</x:v>
      </x:c>
      <x:c r="Q4254" s="66" t="str">
        <x:v>https://snpmb.id/snbp/daya-tampung-snbp</x:v>
      </x:c>
      <x:c r="R4254" s="66" t="str">
        <x:v>https://sidatagrun-public-1076756628210.asia-southeast2.run.app/ptn_sn.php?ptn=711</x:v>
      </x:c>
    </x:row>
    <x:row r="4255">
      <x:c r="A4255" s="87" t="n">
        <x:v>3889</x:v>
      </x:c>
      <x:c r="B4255" s="66" t="n">
        <x:v>711</x:v>
      </x:c>
      <x:c r="C4255" s="66" t="str">
        <x:v>UNIVERSITAS HASANUDDIN</x:v>
      </x:c>
      <x:c r="D4255" s="66" t="str">
        <x:v>PTN Akademik</x:v>
      </x:c>
      <x:c r="E4255" s="66" t="str">
        <x:v>17112079</x:v>
      </x:c>
      <x:c r="F4255" s="66" t="str">
        <x:v>PARAMEDIK VETERINER</x:v>
      </x:c>
      <x:c r="G4255" s="66" t="str">
        <x:v>Sarjana Terapan</x:v>
      </x:c>
      <x:c r="H4255" s="87" t="n">
        <x:v>21</x:v>
      </x:c>
      <x:c r="I4255" s="87" t="n">
        <x:v>34</x:v>
      </x:c>
      <x:c r="J4255" s="68" t="n">
        <x:f>IFERROR(H4255/I4255,"")</x:f>
        <x:v>0.6176470588235294</x:v>
      </x:c>
      <x:c r="K4255" s="69" t="n">
        <x:f>IFERROR(I4255/H4255,"")</x:f>
        <x:v>1.619047619047619</x:v>
      </x:c>
      <x:c r="L4255" s="66" t="str">
        <x:f>IF(K4255="","","1 : "&amp;TEXT(K4255,"0.0"))</x:f>
        <x:v>1 : 1.6</x:v>
      </x:c>
      <x:c r="M4255" s="66" t="str">
        <x:f>IF(J4255="","Baru/Tanpa Data",IF(J4255&lt;='Catatan &amp; Sumber'!$B$14,"Sangat Ketat",IF(J4255&lt;='Catatan &amp; Sumber'!$B$15,"Ketat",IF(J4255&lt;='Catatan &amp; Sumber'!$B$16,"Sedang","Relatif Longgar"))))</x:f>
        <x:v>Relatif Longgar</x:v>
      </x:c>
      <x:c r="N4255" s="66" t="str">
        <x:v>Tidak Ada</x:v>
      </x:c>
      <x:c r="O4255" s="66" t="str">
        <x:v>Sulawesi Selatan</x:v>
      </x:c>
      <x:c r="P4255" s="66" t="str">
        <x:v>Kota Makassar</x:v>
      </x:c>
      <x:c r="Q4255" s="66" t="str">
        <x:v>https://snpmb.id/snbp/daya-tampung-snbp</x:v>
      </x:c>
      <x:c r="R4255" s="66" t="str">
        <x:v>https://sidatagrun-public-1076756628210.asia-southeast2.run.app/ptn_sn.php?ptn=711</x:v>
      </x:c>
    </x:row>
    <x:row r="4256">
      <x:c r="A4256" s="87" t="n">
        <x:v>3391</x:v>
      </x:c>
      <x:c r="B4256" s="66" t="n">
        <x:v>711</x:v>
      </x:c>
      <x:c r="C4256" s="66" t="str">
        <x:v>UNIVERSITAS HASANUDDIN</x:v>
      </x:c>
      <x:c r="D4256" s="66" t="str">
        <x:v>PTN Akademik</x:v>
      </x:c>
      <x:c r="E4256" s="66" t="str">
        <x:v>17112082</x:v>
      </x:c>
      <x:c r="F4256" s="66" t="str">
        <x:v>TEKNOLOGI METALURGI EKSTRAKSI</x:v>
      </x:c>
      <x:c r="G4256" s="66" t="str">
        <x:v>Sarjana Terapan</x:v>
      </x:c>
      <x:c r="H4256" s="87" t="n">
        <x:v>14</x:v>
      </x:c>
      <x:c r="I4256" s="87" t="n">
        <x:v>35</x:v>
      </x:c>
      <x:c r="J4256" s="68" t="n">
        <x:f>IFERROR(H4256/I4256,"")</x:f>
        <x:v>0.4</x:v>
      </x:c>
      <x:c r="K4256" s="69" t="n">
        <x:f>IFERROR(I4256/H4256,"")</x:f>
        <x:v>2.5</x:v>
      </x:c>
      <x:c r="L4256" s="66" t="str">
        <x:f>IF(K4256="","","1 : "&amp;TEXT(K4256,"0.0"))</x:f>
        <x:v>1 : 2.5</x:v>
      </x:c>
      <x:c r="M4256" s="66" t="str">
        <x:f>IF(J4256="","Baru/Tanpa Data",IF(J4256&lt;='Catatan &amp; Sumber'!$B$14,"Sangat Ketat",IF(J4256&lt;='Catatan &amp; Sumber'!$B$15,"Ketat",IF(J4256&lt;='Catatan &amp; Sumber'!$B$16,"Sedang","Relatif Longgar"))))</x:f>
        <x:v>Relatif Longgar</x:v>
      </x:c>
      <x:c r="N4256" s="66" t="str">
        <x:v>Tidak Ada</x:v>
      </x:c>
      <x:c r="O4256" s="66" t="str">
        <x:v>Sulawesi Selatan</x:v>
      </x:c>
      <x:c r="P4256" s="66" t="str">
        <x:v>Kota Makassar</x:v>
      </x:c>
      <x:c r="Q4256" s="66" t="str">
        <x:v>https://snpmb.id/snbp/daya-tampung-snbp</x:v>
      </x:c>
      <x:c r="R4256" s="66" t="str">
        <x:v>https://sidatagrun-public-1076756628210.asia-southeast2.run.app/ptn_sn.php?ptn=711</x:v>
      </x:c>
    </x:row>
    <x:row r="4257">
      <x:c r="A4257" s="87" t="n">
        <x:v>3847</x:v>
      </x:c>
      <x:c r="B4257" s="66" t="n">
        <x:v>711</x:v>
      </x:c>
      <x:c r="C4257" s="66" t="str">
        <x:v>UNIVERSITAS HASANUDDIN</x:v>
      </x:c>
      <x:c r="D4257" s="66" t="str">
        <x:v>PTN Akademik</x:v>
      </x:c>
      <x:c r="E4257" s="66" t="str">
        <x:v>17112083</x:v>
      </x:c>
      <x:c r="F4257" s="66" t="str">
        <x:v>PENGINDERAAN JAUH DAN SISTEM INFORMASI GEOGRAFIS</x:v>
      </x:c>
      <x:c r="G4257" s="66" t="str">
        <x:v>Sarjana Terapan</x:v>
      </x:c>
      <x:c r="H4257" s="87" t="n">
        <x:v>12</x:v>
      </x:c>
      <x:c r="I4257" s="87" t="n">
        <x:v>20</x:v>
      </x:c>
      <x:c r="J4257" s="68" t="n">
        <x:f>IFERROR(H4257/I4257,"")</x:f>
        <x:v>0.6</x:v>
      </x:c>
      <x:c r="K4257" s="69" t="n">
        <x:f>IFERROR(I4257/H4257,"")</x:f>
        <x:v>1.6666666666666667</x:v>
      </x:c>
      <x:c r="L4257" s="66" t="str">
        <x:f>IF(K4257="","","1 : "&amp;TEXT(K4257,"0.0"))</x:f>
        <x:v>1 : 1.7</x:v>
      </x:c>
      <x:c r="M4257" s="66" t="str">
        <x:f>IF(J4257="","Baru/Tanpa Data",IF(J4257&lt;='Catatan &amp; Sumber'!$B$14,"Sangat Ketat",IF(J4257&lt;='Catatan &amp; Sumber'!$B$15,"Ketat",IF(J4257&lt;='Catatan &amp; Sumber'!$B$16,"Sedang","Relatif Longgar"))))</x:f>
        <x:v>Relatif Longgar</x:v>
      </x:c>
      <x:c r="N4257" s="66" t="str">
        <x:v>Tidak Ada</x:v>
      </x:c>
      <x:c r="O4257" s="66" t="str">
        <x:v>Sulawesi Selatan</x:v>
      </x:c>
      <x:c r="P4257" s="66" t="str">
        <x:v>Kota Makassar</x:v>
      </x:c>
      <x:c r="Q4257" s="66" t="str">
        <x:v>https://snpmb.id/snbp/daya-tampung-snbp</x:v>
      </x:c>
      <x:c r="R4257" s="66" t="str">
        <x:v>https://sidatagrun-public-1076756628210.asia-southeast2.run.app/ptn_sn.php?ptn=711</x:v>
      </x:c>
    </x:row>
    <x:row r="4258">
      <x:c r="A4258" s="87"/>
      <x:c r="B4258" s="66" t="n">
        <x:v>711</x:v>
      </x:c>
      <x:c r="C4258" s="66" t="str">
        <x:v>UNIVERSITAS HASANUDDIN</x:v>
      </x:c>
      <x:c r="D4258" s="66" t="str">
        <x:v>PTN Akademik</x:v>
      </x:c>
      <x:c r="E4258" s="66" t="str">
        <x:v>17112086</x:v>
      </x:c>
      <x:c r="F4258" s="66" t="str">
        <x:v>KOMUNIKASI DIGITAL</x:v>
      </x:c>
      <x:c r="G4258" s="66" t="str">
        <x:v>Sarjana Terapan</x:v>
      </x:c>
      <x:c r="H4258" s="87" t="n">
        <x:v>12</x:v>
      </x:c>
      <x:c r="I4258" s="87"/>
      <x:c r="J4258" s="68" t="str">
        <x:f>IFERROR(H4258/I4258,"")</x:f>
      </x:c>
      <x:c r="K4258" s="69" t="n">
        <x:f>IFERROR(I4258/H4258,"")</x:f>
        <x:v>0</x:v>
      </x:c>
      <x:c r="L4258" s="66" t="str">
        <x:f>IF(K4258="","","1 : "&amp;TEXT(K4258,"0.0"))</x:f>
      </x:c>
      <x:c r="M4258" s="66" t="str">
        <x:f>IF(J4258="","Baru/Tanpa Data",IF(J4258&lt;='Catatan &amp; Sumber'!$B$14,"Sangat Ketat",IF(J4258&lt;='Catatan &amp; Sumber'!$B$15,"Ketat",IF(J4258&lt;='Catatan &amp; Sumber'!$B$16,"Sedang","Relatif Longgar"))))</x:f>
        <x:v>Baru/Tanpa Data</x:v>
      </x:c>
      <x:c r="N4258" s="66" t="str">
        <x:v>Tidak Ada</x:v>
      </x:c>
      <x:c r="O4258" s="66" t="str">
        <x:v>Sulawesi Selatan</x:v>
      </x:c>
      <x:c r="P4258" s="66" t="str">
        <x:v>Kota Makassar</x:v>
      </x:c>
      <x:c r="Q4258" s="66" t="str">
        <x:v>https://snpmb.id/snbp/daya-tampung-snbp</x:v>
      </x:c>
      <x:c r="R4258" s="66" t="str">
        <x:v>https://sidatagrun-public-1076756628210.asia-southeast2.run.app/ptn_sn.php?ptn=711</x:v>
      </x:c>
    </x:row>
    <x:row r="4259">
      <x:c r="A4259" s="87" t="n">
        <x:v>1703</x:v>
      </x:c>
      <x:c r="B4259" s="66" t="n">
        <x:v>712</x:v>
      </x:c>
      <x:c r="C4259" s="66" t="str">
        <x:v>UNIVERSITAS NEGERI MAKASSAR</x:v>
      </x:c>
      <x:c r="D4259" s="66" t="str">
        <x:v>PTN Akademik</x:v>
      </x:c>
      <x:c r="E4259" s="66" t="str">
        <x:v>17121001</x:v>
      </x:c>
      <x:c r="F4259" s="66" t="str">
        <x:v>PENDIDIKAN MATEMATIKA</x:v>
      </x:c>
      <x:c r="G4259" s="66" t="str">
        <x:v>Sarjana</x:v>
      </x:c>
      <x:c r="H4259" s="87" t="n">
        <x:v>52</x:v>
      </x:c>
      <x:c r="I4259" s="87" t="n">
        <x:v>418</x:v>
      </x:c>
      <x:c r="J4259" s="68" t="n">
        <x:f>IFERROR(H4259/I4259,"")</x:f>
        <x:v>0.12440191387559808</x:v>
      </x:c>
      <x:c r="K4259" s="69" t="n">
        <x:f>IFERROR(I4259/H4259,"")</x:f>
        <x:v>8.038461538461538</x:v>
      </x:c>
      <x:c r="L4259" s="66" t="str">
        <x:f>IF(K4259="","","1 : "&amp;TEXT(K4259,"0.0"))</x:f>
        <x:v>1 : 8.0</x:v>
      </x:c>
      <x:c r="M4259" s="66" t="str">
        <x:f>IF(J4259="","Baru/Tanpa Data",IF(J4259&lt;='Catatan &amp; Sumber'!$B$14,"Sangat Ketat",IF(J4259&lt;='Catatan &amp; Sumber'!$B$15,"Ketat",IF(J4259&lt;='Catatan &amp; Sumber'!$B$16,"Sedang","Relatif Longgar"))))</x:f>
        <x:v>Relatif Longgar</x:v>
      </x:c>
      <x:c r="N4259" s="66" t="str">
        <x:v>Tidak Ada</x:v>
      </x:c>
      <x:c r="O4259" s="66" t="str">
        <x:v>Sulawesi Selatan</x:v>
      </x:c>
      <x:c r="P4259" s="66" t="str">
        <x:v>Kota Makassar</x:v>
      </x:c>
      <x:c r="Q4259" s="66" t="str">
        <x:v>https://snpmb.id/snbp/daya-tampung-snbp</x:v>
      </x:c>
      <x:c r="R4259" s="66" t="str">
        <x:v>https://sidatagrun-public-1076756628210.asia-southeast2.run.app/ptn_sn.php?ptn=712</x:v>
      </x:c>
    </x:row>
    <x:row r="4260">
      <x:c r="A4260" s="87" t="n">
        <x:v>2460</x:v>
      </x:c>
      <x:c r="B4260" s="66" t="n">
        <x:v>712</x:v>
      </x:c>
      <x:c r="C4260" s="66" t="str">
        <x:v>UNIVERSITAS NEGERI MAKASSAR</x:v>
      </x:c>
      <x:c r="D4260" s="66" t="str">
        <x:v>PTN Akademik</x:v>
      </x:c>
      <x:c r="E4260" s="66" t="str">
        <x:v>17121002</x:v>
      </x:c>
      <x:c r="F4260" s="66" t="str">
        <x:v>PENDIDIKAN FISIKA</x:v>
      </x:c>
      <x:c r="G4260" s="66" t="str">
        <x:v>Sarjana</x:v>
      </x:c>
      <x:c r="H4260" s="87" t="n">
        <x:v>32</x:v>
      </x:c>
      <x:c r="I4260" s="87" t="n">
        <x:v>157</x:v>
      </x:c>
      <x:c r="J4260" s="68" t="n">
        <x:f>IFERROR(H4260/I4260,"")</x:f>
        <x:v>0.20382165605095542</x:v>
      </x:c>
      <x:c r="K4260" s="69" t="n">
        <x:f>IFERROR(I4260/H4260,"")</x:f>
        <x:v>4.90625</x:v>
      </x:c>
      <x:c r="L4260" s="66" t="str">
        <x:f>IF(K4260="","","1 : "&amp;TEXT(K4260,"0.0"))</x:f>
        <x:v>1 : 4.9</x:v>
      </x:c>
      <x:c r="M4260" s="66" t="str">
        <x:f>IF(J4260="","Baru/Tanpa Data",IF(J4260&lt;='Catatan &amp; Sumber'!$B$14,"Sangat Ketat",IF(J4260&lt;='Catatan &amp; Sumber'!$B$15,"Ketat",IF(J4260&lt;='Catatan &amp; Sumber'!$B$16,"Sedang","Relatif Longgar"))))</x:f>
        <x:v>Relatif Longgar</x:v>
      </x:c>
      <x:c r="N4260" s="66" t="str">
        <x:v>Tidak Ada</x:v>
      </x:c>
      <x:c r="O4260" s="66" t="str">
        <x:v>Sulawesi Selatan</x:v>
      </x:c>
      <x:c r="P4260" s="66" t="str">
        <x:v>Kota Makassar</x:v>
      </x:c>
      <x:c r="Q4260" s="66" t="str">
        <x:v>https://snpmb.id/snbp/daya-tampung-snbp</x:v>
      </x:c>
      <x:c r="R4260" s="66" t="str">
        <x:v>https://sidatagrun-public-1076756628210.asia-southeast2.run.app/ptn_sn.php?ptn=712</x:v>
      </x:c>
    </x:row>
    <x:row r="4261">
      <x:c r="A4261" s="87" t="n">
        <x:v>2604</x:v>
      </x:c>
      <x:c r="B4261" s="66" t="n">
        <x:v>712</x:v>
      </x:c>
      <x:c r="C4261" s="66" t="str">
        <x:v>UNIVERSITAS NEGERI MAKASSAR</x:v>
      </x:c>
      <x:c r="D4261" s="66" t="str">
        <x:v>PTN Akademik</x:v>
      </x:c>
      <x:c r="E4261" s="66" t="str">
        <x:v>17121003</x:v>
      </x:c>
      <x:c r="F4261" s="66" t="str">
        <x:v>PENDIDIKAN KIMIA</x:v>
      </x:c>
      <x:c r="G4261" s="66" t="str">
        <x:v>Sarjana</x:v>
      </x:c>
      <x:c r="H4261" s="87" t="n">
        <x:v>32</x:v>
      </x:c>
      <x:c r="I4261" s="87" t="n">
        <x:v>140</x:v>
      </x:c>
      <x:c r="J4261" s="68" t="n">
        <x:f>IFERROR(H4261/I4261,"")</x:f>
        <x:v>0.22857142857142856</x:v>
      </x:c>
      <x:c r="K4261" s="69" t="n">
        <x:f>IFERROR(I4261/H4261,"")</x:f>
        <x:v>4.375</x:v>
      </x:c>
      <x:c r="L4261" s="66" t="str">
        <x:f>IF(K4261="","","1 : "&amp;TEXT(K4261,"0.0"))</x:f>
        <x:v>1 : 4.4</x:v>
      </x:c>
      <x:c r="M4261" s="66" t="str">
        <x:f>IF(J4261="","Baru/Tanpa Data",IF(J4261&lt;='Catatan &amp; Sumber'!$B$14,"Sangat Ketat",IF(J4261&lt;='Catatan &amp; Sumber'!$B$15,"Ketat",IF(J4261&lt;='Catatan &amp; Sumber'!$B$16,"Sedang","Relatif Longgar"))))</x:f>
        <x:v>Relatif Longgar</x:v>
      </x:c>
      <x:c r="N4261" s="66" t="str">
        <x:v>Tidak Ada</x:v>
      </x:c>
      <x:c r="O4261" s="66" t="str">
        <x:v>Sulawesi Selatan</x:v>
      </x:c>
      <x:c r="P4261" s="66" t="str">
        <x:v>Kota Makassar</x:v>
      </x:c>
      <x:c r="Q4261" s="66" t="str">
        <x:v>https://snpmb.id/snbp/daya-tampung-snbp</x:v>
      </x:c>
      <x:c r="R4261" s="66" t="str">
        <x:v>https://sidatagrun-public-1076756628210.asia-southeast2.run.app/ptn_sn.php?ptn=712</x:v>
      </x:c>
    </x:row>
    <x:row r="4262">
      <x:c r="A4262" s="87" t="n">
        <x:v>2080</x:v>
      </x:c>
      <x:c r="B4262" s="66" t="n">
        <x:v>712</x:v>
      </x:c>
      <x:c r="C4262" s="66" t="str">
        <x:v>UNIVERSITAS NEGERI MAKASSAR</x:v>
      </x:c>
      <x:c r="D4262" s="66" t="str">
        <x:v>PTN Akademik</x:v>
      </x:c>
      <x:c r="E4262" s="66" t="str">
        <x:v>17121004</x:v>
      </x:c>
      <x:c r="F4262" s="66" t="str">
        <x:v>PENDIDIKAN BIOLOGI</x:v>
      </x:c>
      <x:c r="G4262" s="66" t="str">
        <x:v>Sarjana</x:v>
      </x:c>
      <x:c r="H4262" s="87" t="n">
        <x:v>52</x:v>
      </x:c>
      <x:c r="I4262" s="87" t="n">
        <x:v>326</x:v>
      </x:c>
      <x:c r="J4262" s="68" t="n">
        <x:f>IFERROR(H4262/I4262,"")</x:f>
        <x:v>0.15950920245398773</x:v>
      </x:c>
      <x:c r="K4262" s="69" t="n">
        <x:f>IFERROR(I4262/H4262,"")</x:f>
        <x:v>6.269230769230769</x:v>
      </x:c>
      <x:c r="L4262" s="66" t="str">
        <x:f>IF(K4262="","","1 : "&amp;TEXT(K4262,"0.0"))</x:f>
        <x:v>1 : 6.3</x:v>
      </x:c>
      <x:c r="M4262" s="66" t="str">
        <x:f>IF(J4262="","Baru/Tanpa Data",IF(J4262&lt;='Catatan &amp; Sumber'!$B$14,"Sangat Ketat",IF(J4262&lt;='Catatan &amp; Sumber'!$B$15,"Ketat",IF(J4262&lt;='Catatan &amp; Sumber'!$B$16,"Sedang","Relatif Longgar"))))</x:f>
        <x:v>Relatif Longgar</x:v>
      </x:c>
      <x:c r="N4262" s="66" t="str">
        <x:v>Tidak Ada</x:v>
      </x:c>
      <x:c r="O4262" s="66" t="str">
        <x:v>Sulawesi Selatan</x:v>
      </x:c>
      <x:c r="P4262" s="66" t="str">
        <x:v>Kota Makassar</x:v>
      </x:c>
      <x:c r="Q4262" s="66" t="str">
        <x:v>https://snpmb.id/snbp/daya-tampung-snbp</x:v>
      </x:c>
      <x:c r="R4262" s="66" t="str">
        <x:v>https://sidatagrun-public-1076756628210.asia-southeast2.run.app/ptn_sn.php?ptn=712</x:v>
      </x:c>
    </x:row>
    <x:row r="4263">
      <x:c r="A4263" s="87" t="n">
        <x:v>2852</x:v>
      </x:c>
      <x:c r="B4263" s="66" t="n">
        <x:v>712</x:v>
      </x:c>
      <x:c r="C4263" s="66" t="str">
        <x:v>UNIVERSITAS NEGERI MAKASSAR</x:v>
      </x:c>
      <x:c r="D4263" s="66" t="str">
        <x:v>PTN Akademik</x:v>
      </x:c>
      <x:c r="E4263" s="66" t="str">
        <x:v>17121005</x:v>
      </x:c>
      <x:c r="F4263" s="66" t="str">
        <x:v>MATEMATIKA</x:v>
      </x:c>
      <x:c r="G4263" s="66" t="str">
        <x:v>Sarjana</x:v>
      </x:c>
      <x:c r="H4263" s="87" t="n">
        <x:v>31</x:v>
      </x:c>
      <x:c r="I4263" s="87" t="n">
        <x:v>116</x:v>
      </x:c>
      <x:c r="J4263" s="68" t="n">
        <x:f>IFERROR(H4263/I4263,"")</x:f>
        <x:v>0.2672413793103448</x:v>
      </x:c>
      <x:c r="K4263" s="69" t="n">
        <x:f>IFERROR(I4263/H4263,"")</x:f>
        <x:v>3.7419354838709675</x:v>
      </x:c>
      <x:c r="L4263" s="66" t="str">
        <x:f>IF(K4263="","","1 : "&amp;TEXT(K4263,"0.0"))</x:f>
        <x:v>1 : 3.7</x:v>
      </x:c>
      <x:c r="M4263" s="66" t="str">
        <x:f>IF(J4263="","Baru/Tanpa Data",IF(J4263&lt;='Catatan &amp; Sumber'!$B$14,"Sangat Ketat",IF(J4263&lt;='Catatan &amp; Sumber'!$B$15,"Ketat",IF(J4263&lt;='Catatan &amp; Sumber'!$B$16,"Sedang","Relatif Longgar"))))</x:f>
        <x:v>Relatif Longgar</x:v>
      </x:c>
      <x:c r="N4263" s="66" t="str">
        <x:v>Tidak Ada</x:v>
      </x:c>
      <x:c r="O4263" s="66" t="str">
        <x:v>Sulawesi Selatan</x:v>
      </x:c>
      <x:c r="P4263" s="66" t="str">
        <x:v>Kota Makassar</x:v>
      </x:c>
      <x:c r="Q4263" s="66" t="str">
        <x:v>https://snpmb.id/snbp/daya-tampung-snbp</x:v>
      </x:c>
      <x:c r="R4263" s="66" t="str">
        <x:v>https://sidatagrun-public-1076756628210.asia-southeast2.run.app/ptn_sn.php?ptn=712</x:v>
      </x:c>
    </x:row>
    <x:row r="4264">
      <x:c r="A4264" s="87" t="n">
        <x:v>3630</x:v>
      </x:c>
      <x:c r="B4264" s="66" t="n">
        <x:v>712</x:v>
      </x:c>
      <x:c r="C4264" s="66" t="str">
        <x:v>UNIVERSITAS NEGERI MAKASSAR</x:v>
      </x:c>
      <x:c r="D4264" s="66" t="str">
        <x:v>PTN Akademik</x:v>
      </x:c>
      <x:c r="E4264" s="66" t="str">
        <x:v>17121006</x:v>
      </x:c>
      <x:c r="F4264" s="66" t="str">
        <x:v>FISIKA</x:v>
      </x:c>
      <x:c r="G4264" s="66" t="str">
        <x:v>Sarjana</x:v>
      </x:c>
      <x:c r="H4264" s="87" t="n">
        <x:v>26</x:v>
      </x:c>
      <x:c r="I4264" s="87" t="n">
        <x:v>54</x:v>
      </x:c>
      <x:c r="J4264" s="68" t="n">
        <x:f>IFERROR(H4264/I4264,"")</x:f>
        <x:v>0.48148148148148145</x:v>
      </x:c>
      <x:c r="K4264" s="69" t="n">
        <x:f>IFERROR(I4264/H4264,"")</x:f>
        <x:v>2.076923076923077</x:v>
      </x:c>
      <x:c r="L4264" s="66" t="str">
        <x:f>IF(K4264="","","1 : "&amp;TEXT(K4264,"0.0"))</x:f>
        <x:v>1 : 2.1</x:v>
      </x:c>
      <x:c r="M4264" s="66" t="str">
        <x:f>IF(J4264="","Baru/Tanpa Data",IF(J4264&lt;='Catatan &amp; Sumber'!$B$14,"Sangat Ketat",IF(J4264&lt;='Catatan &amp; Sumber'!$B$15,"Ketat",IF(J4264&lt;='Catatan &amp; Sumber'!$B$16,"Sedang","Relatif Longgar"))))</x:f>
        <x:v>Relatif Longgar</x:v>
      </x:c>
      <x:c r="N4264" s="66" t="str">
        <x:v>Tidak Ada</x:v>
      </x:c>
      <x:c r="O4264" s="66" t="str">
        <x:v>Sulawesi Selatan</x:v>
      </x:c>
      <x:c r="P4264" s="66" t="str">
        <x:v>Kota Makassar</x:v>
      </x:c>
      <x:c r="Q4264" s="66" t="str">
        <x:v>https://snpmb.id/snbp/daya-tampung-snbp</x:v>
      </x:c>
      <x:c r="R4264" s="66" t="str">
        <x:v>https://sidatagrun-public-1076756628210.asia-southeast2.run.app/ptn_sn.php?ptn=712</x:v>
      </x:c>
    </x:row>
    <x:row r="4265">
      <x:c r="A4265" s="87" t="n">
        <x:v>2711</x:v>
      </x:c>
      <x:c r="B4265" s="66" t="n">
        <x:v>712</x:v>
      </x:c>
      <x:c r="C4265" s="66" t="str">
        <x:v>UNIVERSITAS NEGERI MAKASSAR</x:v>
      </x:c>
      <x:c r="D4265" s="66" t="str">
        <x:v>PTN Akademik</x:v>
      </x:c>
      <x:c r="E4265" s="66" t="str">
        <x:v>17121007</x:v>
      </x:c>
      <x:c r="F4265" s="66" t="str">
        <x:v>KIMIA</x:v>
      </x:c>
      <x:c r="G4265" s="66" t="str">
        <x:v>Sarjana</x:v>
      </x:c>
      <x:c r="H4265" s="87" t="n">
        <x:v>26</x:v>
      </x:c>
      <x:c r="I4265" s="87" t="n">
        <x:v>106</x:v>
      </x:c>
      <x:c r="J4265" s="68" t="n">
        <x:f>IFERROR(H4265/I4265,"")</x:f>
        <x:v>0.24528301886792453</x:v>
      </x:c>
      <x:c r="K4265" s="69" t="n">
        <x:f>IFERROR(I4265/H4265,"")</x:f>
        <x:v>4.076923076923077</x:v>
      </x:c>
      <x:c r="L4265" s="66" t="str">
        <x:f>IF(K4265="","","1 : "&amp;TEXT(K4265,"0.0"))</x:f>
        <x:v>1 : 4.1</x:v>
      </x:c>
      <x:c r="M4265" s="66" t="str">
        <x:f>IF(J4265="","Baru/Tanpa Data",IF(J4265&lt;='Catatan &amp; Sumber'!$B$14,"Sangat Ketat",IF(J4265&lt;='Catatan &amp; Sumber'!$B$15,"Ketat",IF(J4265&lt;='Catatan &amp; Sumber'!$B$16,"Sedang","Relatif Longgar"))))</x:f>
        <x:v>Relatif Longgar</x:v>
      </x:c>
      <x:c r="N4265" s="66" t="str">
        <x:v>Tidak Ada</x:v>
      </x:c>
      <x:c r="O4265" s="66" t="str">
        <x:v>Sulawesi Selatan</x:v>
      </x:c>
      <x:c r="P4265" s="66" t="str">
        <x:v>Kota Makassar</x:v>
      </x:c>
      <x:c r="Q4265" s="66" t="str">
        <x:v>https://snpmb.id/snbp/daya-tampung-snbp</x:v>
      </x:c>
      <x:c r="R4265" s="66" t="str">
        <x:v>https://sidatagrun-public-1076756628210.asia-southeast2.run.app/ptn_sn.php?ptn=712</x:v>
      </x:c>
    </x:row>
    <x:row r="4266">
      <x:c r="A4266" s="87" t="n">
        <x:v>2580</x:v>
      </x:c>
      <x:c r="B4266" s="66" t="n">
        <x:v>712</x:v>
      </x:c>
      <x:c r="C4266" s="66" t="str">
        <x:v>UNIVERSITAS NEGERI MAKASSAR</x:v>
      </x:c>
      <x:c r="D4266" s="66" t="str">
        <x:v>PTN Akademik</x:v>
      </x:c>
      <x:c r="E4266" s="66" t="str">
        <x:v>17121008</x:v>
      </x:c>
      <x:c r="F4266" s="66" t="str">
        <x:v>BIOLOGI</x:v>
      </x:c>
      <x:c r="G4266" s="66" t="str">
        <x:v>Sarjana</x:v>
      </x:c>
      <x:c r="H4266" s="87" t="n">
        <x:v>30</x:v>
      </x:c>
      <x:c r="I4266" s="87" t="n">
        <x:v>133</x:v>
      </x:c>
      <x:c r="J4266" s="68" t="n">
        <x:f>IFERROR(H4266/I4266,"")</x:f>
        <x:v>0.22556390977443608</x:v>
      </x:c>
      <x:c r="K4266" s="69" t="n">
        <x:f>IFERROR(I4266/H4266,"")</x:f>
        <x:v>4.433333333333334</x:v>
      </x:c>
      <x:c r="L4266" s="66" t="str">
        <x:f>IF(K4266="","","1 : "&amp;TEXT(K4266,"0.0"))</x:f>
        <x:v>1 : 4.4</x:v>
      </x:c>
      <x:c r="M4266" s="66" t="str">
        <x:f>IF(J4266="","Baru/Tanpa Data",IF(J4266&lt;='Catatan &amp; Sumber'!$B$14,"Sangat Ketat",IF(J4266&lt;='Catatan &amp; Sumber'!$B$15,"Ketat",IF(J4266&lt;='Catatan &amp; Sumber'!$B$16,"Sedang","Relatif Longgar"))))</x:f>
        <x:v>Relatif Longgar</x:v>
      </x:c>
      <x:c r="N4266" s="66" t="str">
        <x:v>Tidak Ada</x:v>
      </x:c>
      <x:c r="O4266" s="66" t="str">
        <x:v>Sulawesi Selatan</x:v>
      </x:c>
      <x:c r="P4266" s="66" t="str">
        <x:v>Kota Makassar</x:v>
      </x:c>
      <x:c r="Q4266" s="66" t="str">
        <x:v>https://snpmb.id/snbp/daya-tampung-snbp</x:v>
      </x:c>
      <x:c r="R4266" s="66" t="str">
        <x:v>https://sidatagrun-public-1076756628210.asia-southeast2.run.app/ptn_sn.php?ptn=712</x:v>
      </x:c>
    </x:row>
    <x:row r="4267">
      <x:c r="A4267" s="87" t="n">
        <x:v>2843</x:v>
      </x:c>
      <x:c r="B4267" s="66" t="n">
        <x:v>712</x:v>
      </x:c>
      <x:c r="C4267" s="66" t="str">
        <x:v>UNIVERSITAS NEGERI MAKASSAR</x:v>
      </x:c>
      <x:c r="D4267" s="66" t="str">
        <x:v>PTN Akademik</x:v>
      </x:c>
      <x:c r="E4267" s="66" t="str">
        <x:v>17121009</x:v>
      </x:c>
      <x:c r="F4267" s="66" t="str">
        <x:v>GEOGRAFI</x:v>
      </x:c>
      <x:c r="G4267" s="66" t="str">
        <x:v>Sarjana</x:v>
      </x:c>
      <x:c r="H4267" s="87" t="n">
        <x:v>30</x:v>
      </x:c>
      <x:c r="I4267" s="87" t="n">
        <x:v>113</x:v>
      </x:c>
      <x:c r="J4267" s="68" t="n">
        <x:f>IFERROR(H4267/I4267,"")</x:f>
        <x:v>0.26548672566371684</x:v>
      </x:c>
      <x:c r="K4267" s="69" t="n">
        <x:f>IFERROR(I4267/H4267,"")</x:f>
        <x:v>3.7666666666666666</x:v>
      </x:c>
      <x:c r="L4267" s="66" t="str">
        <x:f>IF(K4267="","","1 : "&amp;TEXT(K4267,"0.0"))</x:f>
        <x:v>1 : 3.8</x:v>
      </x:c>
      <x:c r="M4267" s="66" t="str">
        <x:f>IF(J4267="","Baru/Tanpa Data",IF(J4267&lt;='Catatan &amp; Sumber'!$B$14,"Sangat Ketat",IF(J4267&lt;='Catatan &amp; Sumber'!$B$15,"Ketat",IF(J4267&lt;='Catatan &amp; Sumber'!$B$16,"Sedang","Relatif Longgar"))))</x:f>
        <x:v>Relatif Longgar</x:v>
      </x:c>
      <x:c r="N4267" s="66" t="str">
        <x:v>Tidak Ada</x:v>
      </x:c>
      <x:c r="O4267" s="66" t="str">
        <x:v>Sulawesi Selatan</x:v>
      </x:c>
      <x:c r="P4267" s="66" t="str">
        <x:v>Kota Makassar</x:v>
      </x:c>
      <x:c r="Q4267" s="66" t="str">
        <x:v>https://snpmb.id/snbp/daya-tampung-snbp</x:v>
      </x:c>
      <x:c r="R4267" s="66" t="str">
        <x:v>https://sidatagrun-public-1076756628210.asia-southeast2.run.app/ptn_sn.php?ptn=712</x:v>
      </x:c>
    </x:row>
    <x:row r="4268">
      <x:c r="A4268" s="87" t="n">
        <x:v>3622</x:v>
      </x:c>
      <x:c r="B4268" s="66" t="n">
        <x:v>712</x:v>
      </x:c>
      <x:c r="C4268" s="66" t="str">
        <x:v>UNIVERSITAS NEGERI MAKASSAR</x:v>
      </x:c>
      <x:c r="D4268" s="66" t="str">
        <x:v>PTN Akademik</x:v>
      </x:c>
      <x:c r="E4268" s="66" t="str">
        <x:v>17121010</x:v>
      </x:c>
      <x:c r="F4268" s="66" t="str">
        <x:v>PENDIDIKAN TEKNIK ELEKTRO</x:v>
      </x:c>
      <x:c r="G4268" s="66" t="str">
        <x:v>Sarjana</x:v>
      </x:c>
      <x:c r="H4268" s="87" t="n">
        <x:v>35</x:v>
      </x:c>
      <x:c r="I4268" s="87" t="n">
        <x:v>73</x:v>
      </x:c>
      <x:c r="J4268" s="68" t="n">
        <x:f>IFERROR(H4268/I4268,"")</x:f>
        <x:v>0.4794520547945205</x:v>
      </x:c>
      <x:c r="K4268" s="69" t="n">
        <x:f>IFERROR(I4268/H4268,"")</x:f>
        <x:v>2.085714285714286</x:v>
      </x:c>
      <x:c r="L4268" s="66" t="str">
        <x:f>IF(K4268="","","1 : "&amp;TEXT(K4268,"0.0"))</x:f>
        <x:v>1 : 2.1</x:v>
      </x:c>
      <x:c r="M4268" s="66" t="str">
        <x:f>IF(J4268="","Baru/Tanpa Data",IF(J4268&lt;='Catatan &amp; Sumber'!$B$14,"Sangat Ketat",IF(J4268&lt;='Catatan &amp; Sumber'!$B$15,"Ketat",IF(J4268&lt;='Catatan &amp; Sumber'!$B$16,"Sedang","Relatif Longgar"))))</x:f>
        <x:v>Relatif Longgar</x:v>
      </x:c>
      <x:c r="N4268" s="66" t="str">
        <x:v>Tidak Ada</x:v>
      </x:c>
      <x:c r="O4268" s="66" t="str">
        <x:v>Sulawesi Selatan</x:v>
      </x:c>
      <x:c r="P4268" s="66" t="str">
        <x:v>Kota Makassar</x:v>
      </x:c>
      <x:c r="Q4268" s="66" t="str">
        <x:v>https://snpmb.id/snbp/daya-tampung-snbp</x:v>
      </x:c>
      <x:c r="R4268" s="66" t="str">
        <x:v>https://sidatagrun-public-1076756628210.asia-southeast2.run.app/ptn_sn.php?ptn=712</x:v>
      </x:c>
    </x:row>
    <x:row r="4269">
      <x:c r="A4269" s="87" t="n">
        <x:v>3689</x:v>
      </x:c>
      <x:c r="B4269" s="66" t="n">
        <x:v>712</x:v>
      </x:c>
      <x:c r="C4269" s="66" t="str">
        <x:v>UNIVERSITAS NEGERI MAKASSAR</x:v>
      </x:c>
      <x:c r="D4269" s="66" t="str">
        <x:v>PTN Akademik</x:v>
      </x:c>
      <x:c r="E4269" s="66" t="str">
        <x:v>17121011</x:v>
      </x:c>
      <x:c r="F4269" s="66" t="str">
        <x:v>PEND. TEKNIK ELEKTRONIKA</x:v>
      </x:c>
      <x:c r="G4269" s="66" t="str">
        <x:v>Sarjana</x:v>
      </x:c>
      <x:c r="H4269" s="87" t="n">
        <x:v>22</x:v>
      </x:c>
      <x:c r="I4269" s="87" t="n">
        <x:v>43</x:v>
      </x:c>
      <x:c r="J4269" s="68" t="n">
        <x:f>IFERROR(H4269/I4269,"")</x:f>
        <x:v>0.5116279069767442</x:v>
      </x:c>
      <x:c r="K4269" s="69" t="n">
        <x:f>IFERROR(I4269/H4269,"")</x:f>
        <x:v>1.9545454545454546</x:v>
      </x:c>
      <x:c r="L4269" s="66" t="str">
        <x:f>IF(K4269="","","1 : "&amp;TEXT(K4269,"0.0"))</x:f>
        <x:v>1 : 2.0</x:v>
      </x:c>
      <x:c r="M4269" s="66" t="str">
        <x:f>IF(J4269="","Baru/Tanpa Data",IF(J4269&lt;='Catatan &amp; Sumber'!$B$14,"Sangat Ketat",IF(J4269&lt;='Catatan &amp; Sumber'!$B$15,"Ketat",IF(J4269&lt;='Catatan &amp; Sumber'!$B$16,"Sedang","Relatif Longgar"))))</x:f>
        <x:v>Relatif Longgar</x:v>
      </x:c>
      <x:c r="N4269" s="66" t="str">
        <x:v>Tidak Ada</x:v>
      </x:c>
      <x:c r="O4269" s="66" t="str">
        <x:v>Sulawesi Selatan</x:v>
      </x:c>
      <x:c r="P4269" s="66" t="str">
        <x:v>Kota Makassar</x:v>
      </x:c>
      <x:c r="Q4269" s="66" t="str">
        <x:v>https://snpmb.id/snbp/daya-tampung-snbp</x:v>
      </x:c>
      <x:c r="R4269" s="66" t="str">
        <x:v>https://sidatagrun-public-1076756628210.asia-southeast2.run.app/ptn_sn.php?ptn=712</x:v>
      </x:c>
    </x:row>
    <x:row r="4270">
      <x:c r="A4270" s="87" t="n">
        <x:v>3152</x:v>
      </x:c>
      <x:c r="B4270" s="66" t="n">
        <x:v>712</x:v>
      </x:c>
      <x:c r="C4270" s="66" t="str">
        <x:v>UNIVERSITAS NEGERI MAKASSAR</x:v>
      </x:c>
      <x:c r="D4270" s="66" t="str">
        <x:v>PTN Akademik</x:v>
      </x:c>
      <x:c r="E4270" s="66" t="str">
        <x:v>17121012</x:v>
      </x:c>
      <x:c r="F4270" s="66" t="str">
        <x:v>PENDIDIKAN TEKNIK MESIN</x:v>
      </x:c>
      <x:c r="G4270" s="66" t="str">
        <x:v>Sarjana</x:v>
      </x:c>
      <x:c r="H4270" s="87" t="n">
        <x:v>22</x:v>
      </x:c>
      <x:c r="I4270" s="87" t="n">
        <x:v>67</x:v>
      </x:c>
      <x:c r="J4270" s="68" t="n">
        <x:f>IFERROR(H4270/I4270,"")</x:f>
        <x:v>0.3283582089552239</x:v>
      </x:c>
      <x:c r="K4270" s="69" t="n">
        <x:f>IFERROR(I4270/H4270,"")</x:f>
        <x:v>3.0454545454545454</x:v>
      </x:c>
      <x:c r="L4270" s="66" t="str">
        <x:f>IF(K4270="","","1 : "&amp;TEXT(K4270,"0.0"))</x:f>
        <x:v>1 : 3.0</x:v>
      </x:c>
      <x:c r="M4270" s="66" t="str">
        <x:f>IF(J4270="","Baru/Tanpa Data",IF(J4270&lt;='Catatan &amp; Sumber'!$B$14,"Sangat Ketat",IF(J4270&lt;='Catatan &amp; Sumber'!$B$15,"Ketat",IF(J4270&lt;='Catatan &amp; Sumber'!$B$16,"Sedang","Relatif Longgar"))))</x:f>
        <x:v>Relatif Longgar</x:v>
      </x:c>
      <x:c r="N4270" s="66" t="str">
        <x:v>Tidak Ada</x:v>
      </x:c>
      <x:c r="O4270" s="66" t="str">
        <x:v>Sulawesi Selatan</x:v>
      </x:c>
      <x:c r="P4270" s="66" t="str">
        <x:v>Kota Makassar</x:v>
      </x:c>
      <x:c r="Q4270" s="66" t="str">
        <x:v>https://snpmb.id/snbp/daya-tampung-snbp</x:v>
      </x:c>
      <x:c r="R4270" s="66" t="str">
        <x:v>https://sidatagrun-public-1076756628210.asia-southeast2.run.app/ptn_sn.php?ptn=712</x:v>
      </x:c>
    </x:row>
    <x:row r="4271">
      <x:c r="A4271" s="87" t="n">
        <x:v>3571</x:v>
      </x:c>
      <x:c r="B4271" s="66" t="n">
        <x:v>712</x:v>
      </x:c>
      <x:c r="C4271" s="66" t="str">
        <x:v>UNIVERSITAS NEGERI MAKASSAR</x:v>
      </x:c>
      <x:c r="D4271" s="66" t="str">
        <x:v>PTN Akademik</x:v>
      </x:c>
      <x:c r="E4271" s="66" t="str">
        <x:v>17121013</x:v>
      </x:c>
      <x:c r="F4271" s="66" t="str">
        <x:v>PEND. TEKNIK OTOMOTIF</x:v>
      </x:c>
      <x:c r="G4271" s="66" t="str">
        <x:v>Sarjana</x:v>
      </x:c>
      <x:c r="H4271" s="87" t="n">
        <x:v>33</x:v>
      </x:c>
      <x:c r="I4271" s="87" t="n">
        <x:v>72</x:v>
      </x:c>
      <x:c r="J4271" s="68" t="n">
        <x:f>IFERROR(H4271/I4271,"")</x:f>
        <x:v>0.4583333333333333</x:v>
      </x:c>
      <x:c r="K4271" s="69" t="n">
        <x:f>IFERROR(I4271/H4271,"")</x:f>
        <x:v>2.1818181818181817</x:v>
      </x:c>
      <x:c r="L4271" s="66" t="str">
        <x:f>IF(K4271="","","1 : "&amp;TEXT(K4271,"0.0"))</x:f>
        <x:v>1 : 2.2</x:v>
      </x:c>
      <x:c r="M4271" s="66" t="str">
        <x:f>IF(J4271="","Baru/Tanpa Data",IF(J4271&lt;='Catatan &amp; Sumber'!$B$14,"Sangat Ketat",IF(J4271&lt;='Catatan &amp; Sumber'!$B$15,"Ketat",IF(J4271&lt;='Catatan &amp; Sumber'!$B$16,"Sedang","Relatif Longgar"))))</x:f>
        <x:v>Relatif Longgar</x:v>
      </x:c>
      <x:c r="N4271" s="66" t="str">
        <x:v>Tidak Ada</x:v>
      </x:c>
      <x:c r="O4271" s="66" t="str">
        <x:v>Sulawesi Selatan</x:v>
      </x:c>
      <x:c r="P4271" s="66" t="str">
        <x:v>Kota Makassar</x:v>
      </x:c>
      <x:c r="Q4271" s="66" t="str">
        <x:v>https://snpmb.id/snbp/daya-tampung-snbp</x:v>
      </x:c>
      <x:c r="R4271" s="66" t="str">
        <x:v>https://sidatagrun-public-1076756628210.asia-southeast2.run.app/ptn_sn.php?ptn=712</x:v>
      </x:c>
    </x:row>
    <x:row r="4272">
      <x:c r="A4272" s="87" t="n">
        <x:v>3734</x:v>
      </x:c>
      <x:c r="B4272" s="66" t="n">
        <x:v>712</x:v>
      </x:c>
      <x:c r="C4272" s="66" t="str">
        <x:v>UNIVERSITAS NEGERI MAKASSAR</x:v>
      </x:c>
      <x:c r="D4272" s="66" t="str">
        <x:v>PTN Akademik</x:v>
      </x:c>
      <x:c r="E4272" s="66" t="str">
        <x:v>17121014</x:v>
      </x:c>
      <x:c r="F4272" s="66" t="str">
        <x:v>PENDIDIKAN TEKNIK BANGUNAN</x:v>
      </x:c>
      <x:c r="G4272" s="66" t="str">
        <x:v>Sarjana</x:v>
      </x:c>
      <x:c r="H4272" s="87" t="n">
        <x:v>22</x:v>
      </x:c>
      <x:c r="I4272" s="87" t="n">
        <x:v>41</x:v>
      </x:c>
      <x:c r="J4272" s="68" t="n">
        <x:f>IFERROR(H4272/I4272,"")</x:f>
        <x:v>0.5365853658536586</x:v>
      </x:c>
      <x:c r="K4272" s="69" t="n">
        <x:f>IFERROR(I4272/H4272,"")</x:f>
        <x:v>1.8636363636363635</x:v>
      </x:c>
      <x:c r="L4272" s="66" t="str">
        <x:f>IF(K4272="","","1 : "&amp;TEXT(K4272,"0.0"))</x:f>
        <x:v>1 : 1.9</x:v>
      </x:c>
      <x:c r="M4272" s="66" t="str">
        <x:f>IF(J4272="","Baru/Tanpa Data",IF(J4272&lt;='Catatan &amp; Sumber'!$B$14,"Sangat Ketat",IF(J4272&lt;='Catatan &amp; Sumber'!$B$15,"Ketat",IF(J4272&lt;='Catatan &amp; Sumber'!$B$16,"Sedang","Relatif Longgar"))))</x:f>
        <x:v>Relatif Longgar</x:v>
      </x:c>
      <x:c r="N4272" s="66" t="str">
        <x:v>Tidak Ada</x:v>
      </x:c>
      <x:c r="O4272" s="66" t="str">
        <x:v>Sulawesi Selatan</x:v>
      </x:c>
      <x:c r="P4272" s="66" t="str">
        <x:v>Kota Makassar</x:v>
      </x:c>
      <x:c r="Q4272" s="66" t="str">
        <x:v>https://snpmb.id/snbp/daya-tampung-snbp</x:v>
      </x:c>
      <x:c r="R4272" s="66" t="str">
        <x:v>https://sidatagrun-public-1076756628210.asia-southeast2.run.app/ptn_sn.php?ptn=712</x:v>
      </x:c>
    </x:row>
    <x:row r="4273">
      <x:c r="A4273" s="87" t="n">
        <x:v>2873</x:v>
      </x:c>
      <x:c r="B4273" s="66" t="n">
        <x:v>712</x:v>
      </x:c>
      <x:c r="C4273" s="66" t="str">
        <x:v>UNIVERSITAS NEGERI MAKASSAR</x:v>
      </x:c>
      <x:c r="D4273" s="66" t="str">
        <x:v>PTN Akademik</x:v>
      </x:c>
      <x:c r="E4273" s="66" t="str">
        <x:v>17121015</x:v>
      </x:c>
      <x:c r="F4273" s="66" t="str">
        <x:v>ILMU KEOLAHRAGAAN</x:v>
      </x:c>
      <x:c r="G4273" s="66" t="str">
        <x:v>Sarjana</x:v>
      </x:c>
      <x:c r="H4273" s="87" t="n">
        <x:v>29</x:v>
      </x:c>
      <x:c r="I4273" s="87" t="n">
        <x:v>107</x:v>
      </x:c>
      <x:c r="J4273" s="68" t="n">
        <x:f>IFERROR(H4273/I4273,"")</x:f>
        <x:v>0.27102803738317754</x:v>
      </x:c>
      <x:c r="K4273" s="69" t="n">
        <x:f>IFERROR(I4273/H4273,"")</x:f>
        <x:v>3.689655172413793</x:v>
      </x:c>
      <x:c r="L4273" s="66" t="str">
        <x:f>IF(K4273="","","1 : "&amp;TEXT(K4273,"0.0"))</x:f>
        <x:v>1 : 3.7</x:v>
      </x:c>
      <x:c r="M4273" s="66" t="str">
        <x:f>IF(J4273="","Baru/Tanpa Data",IF(J4273&lt;='Catatan &amp; Sumber'!$B$14,"Sangat Ketat",IF(J4273&lt;='Catatan &amp; Sumber'!$B$15,"Ketat",IF(J4273&lt;='Catatan &amp; Sumber'!$B$16,"Sedang","Relatif Longgar"))))</x:f>
        <x:v>Relatif Longgar</x:v>
      </x:c>
      <x:c r="N4273" s="66" t="str">
        <x:v>Olahraga</x:v>
      </x:c>
      <x:c r="O4273" s="66" t="str">
        <x:v>Sulawesi Selatan</x:v>
      </x:c>
      <x:c r="P4273" s="66" t="str">
        <x:v>Kota Makassar</x:v>
      </x:c>
      <x:c r="Q4273" s="66" t="str">
        <x:v>https://snpmb.id/snbp/daya-tampung-snbp</x:v>
      </x:c>
      <x:c r="R4273" s="66" t="str">
        <x:v>https://sidatagrun-public-1076756628210.asia-southeast2.run.app/ptn_sn.php?ptn=712</x:v>
      </x:c>
    </x:row>
    <x:row r="4274">
      <x:c r="A4274" s="87" t="n">
        <x:v>780</x:v>
      </x:c>
      <x:c r="B4274" s="66" t="n">
        <x:v>712</x:v>
      </x:c>
      <x:c r="C4274" s="66" t="str">
        <x:v>UNIVERSITAS NEGERI MAKASSAR</x:v>
      </x:c>
      <x:c r="D4274" s="66" t="str">
        <x:v>PTN Akademik</x:v>
      </x:c>
      <x:c r="E4274" s="66" t="str">
        <x:v>17121016</x:v>
      </x:c>
      <x:c r="F4274" s="66" t="str">
        <x:v>PENDIDIKAN TEKNIK INFORMATIKA &amp; KOMPUTER</x:v>
      </x:c>
      <x:c r="G4274" s="66" t="str">
        <x:v>Sarjana</x:v>
      </x:c>
      <x:c r="H4274" s="87" t="n">
        <x:v>58</x:v>
      </x:c>
      <x:c r="I4274" s="87" t="n">
        <x:v>881</x:v>
      </x:c>
      <x:c r="J4274" s="68" t="n">
        <x:f>IFERROR(H4274/I4274,"")</x:f>
        <x:v>0.06583427922814983</x:v>
      </x:c>
      <x:c r="K4274" s="69" t="n">
        <x:f>IFERROR(I4274/H4274,"")</x:f>
        <x:v>15.189655172413794</x:v>
      </x:c>
      <x:c r="L4274" s="66" t="str">
        <x:f>IF(K4274="","","1 : "&amp;TEXT(K4274,"0.0"))</x:f>
        <x:v>1 : 15.2</x:v>
      </x:c>
      <x:c r="M4274" s="66" t="str">
        <x:f>IF(J4274="","Baru/Tanpa Data",IF(J4274&lt;='Catatan &amp; Sumber'!$B$14,"Sangat Ketat",IF(J4274&lt;='Catatan &amp; Sumber'!$B$15,"Ketat",IF(J4274&lt;='Catatan &amp; Sumber'!$B$16,"Sedang","Relatif Longgar"))))</x:f>
        <x:v>Sedang</x:v>
      </x:c>
      <x:c r="N4274" s="66" t="str">
        <x:v>Tidak Ada</x:v>
      </x:c>
      <x:c r="O4274" s="66" t="str">
        <x:v>Sulawesi Selatan</x:v>
      </x:c>
      <x:c r="P4274" s="66" t="str">
        <x:v>Kota Makassar</x:v>
      </x:c>
      <x:c r="Q4274" s="66" t="str">
        <x:v>https://snpmb.id/snbp/daya-tampung-snbp</x:v>
      </x:c>
      <x:c r="R4274" s="66" t="str">
        <x:v>https://sidatagrun-public-1076756628210.asia-southeast2.run.app/ptn_sn.php?ptn=712</x:v>
      </x:c>
    </x:row>
    <x:row r="4275">
      <x:c r="A4275" s="87" t="n">
        <x:v>3654</x:v>
      </x:c>
      <x:c r="B4275" s="66" t="n">
        <x:v>712</x:v>
      </x:c>
      <x:c r="C4275" s="66" t="str">
        <x:v>UNIVERSITAS NEGERI MAKASSAR</x:v>
      </x:c>
      <x:c r="D4275" s="66" t="str">
        <x:v>PTN Akademik</x:v>
      </x:c>
      <x:c r="E4275" s="66" t="str">
        <x:v>17121017</x:v>
      </x:c>
      <x:c r="F4275" s="66" t="str">
        <x:v>PEND. KIMIA KLS INTERNASIONAL (BILINGUAL)</x:v>
      </x:c>
      <x:c r="G4275" s="66" t="str">
        <x:v>Sarjana</x:v>
      </x:c>
      <x:c r="H4275" s="87" t="n">
        <x:v>12</x:v>
      </x:c>
      <x:c r="I4275" s="87" t="n">
        <x:v>24</x:v>
      </x:c>
      <x:c r="J4275" s="68" t="n">
        <x:f>IFERROR(H4275/I4275,"")</x:f>
        <x:v>0.5</x:v>
      </x:c>
      <x:c r="K4275" s="69" t="n">
        <x:f>IFERROR(I4275/H4275,"")</x:f>
        <x:v>2</x:v>
      </x:c>
      <x:c r="L4275" s="66" t="str">
        <x:f>IF(K4275="","","1 : "&amp;TEXT(K4275,"0.0"))</x:f>
        <x:v>1 : 2.0</x:v>
      </x:c>
      <x:c r="M4275" s="66" t="str">
        <x:f>IF(J4275="","Baru/Tanpa Data",IF(J4275&lt;='Catatan &amp; Sumber'!$B$14,"Sangat Ketat",IF(J4275&lt;='Catatan &amp; Sumber'!$B$15,"Ketat",IF(J4275&lt;='Catatan &amp; Sumber'!$B$16,"Sedang","Relatif Longgar"))))</x:f>
        <x:v>Relatif Longgar</x:v>
      </x:c>
      <x:c r="N4275" s="66" t="str">
        <x:v>Tidak Ada</x:v>
      </x:c>
      <x:c r="O4275" s="66" t="str">
        <x:v>Sulawesi Selatan</x:v>
      </x:c>
      <x:c r="P4275" s="66" t="str">
        <x:v>Kota Makassar</x:v>
      </x:c>
      <x:c r="Q4275" s="66" t="str">
        <x:v>https://snpmb.id/snbp/daya-tampung-snbp</x:v>
      </x:c>
      <x:c r="R4275" s="66" t="str">
        <x:v>https://sidatagrun-public-1076756628210.asia-southeast2.run.app/ptn_sn.php?ptn=712</x:v>
      </x:c>
    </x:row>
    <x:row r="4276">
      <x:c r="A4276" s="87" t="n">
        <x:v>2618</x:v>
      </x:c>
      <x:c r="B4276" s="66" t="n">
        <x:v>712</x:v>
      </x:c>
      <x:c r="C4276" s="66" t="str">
        <x:v>UNIVERSITAS NEGERI MAKASSAR</x:v>
      </x:c>
      <x:c r="D4276" s="66" t="str">
        <x:v>PTN Akademik</x:v>
      </x:c>
      <x:c r="E4276" s="66" t="str">
        <x:v>17121018</x:v>
      </x:c>
      <x:c r="F4276" s="66" t="str">
        <x:v>PEND. MATEMATIKA KLS INTERNAS. (BILINGUAL)</x:v>
      </x:c>
      <x:c r="G4276" s="66" t="str">
        <x:v>Sarjana</x:v>
      </x:c>
      <x:c r="H4276" s="87" t="n">
        <x:v>12</x:v>
      </x:c>
      <x:c r="I4276" s="87" t="n">
        <x:v>52</x:v>
      </x:c>
      <x:c r="J4276" s="68" t="n">
        <x:f>IFERROR(H4276/I4276,"")</x:f>
        <x:v>0.23076923076923078</x:v>
      </x:c>
      <x:c r="K4276" s="69" t="n">
        <x:f>IFERROR(I4276/H4276,"")</x:f>
        <x:v>4.333333333333333</x:v>
      </x:c>
      <x:c r="L4276" s="66" t="str">
        <x:f>IF(K4276="","","1 : "&amp;TEXT(K4276,"0.0"))</x:f>
        <x:v>1 : 4.3</x:v>
      </x:c>
      <x:c r="M4276" s="66" t="str">
        <x:f>IF(J4276="","Baru/Tanpa Data",IF(J4276&lt;='Catatan &amp; Sumber'!$B$14,"Sangat Ketat",IF(J4276&lt;='Catatan &amp; Sumber'!$B$15,"Ketat",IF(J4276&lt;='Catatan &amp; Sumber'!$B$16,"Sedang","Relatif Longgar"))))</x:f>
        <x:v>Relatif Longgar</x:v>
      </x:c>
      <x:c r="N4276" s="66" t="str">
        <x:v>Tidak Ada</x:v>
      </x:c>
      <x:c r="O4276" s="66" t="str">
        <x:v>Sulawesi Selatan</x:v>
      </x:c>
      <x:c r="P4276" s="66" t="str">
        <x:v>Kota Makassar</x:v>
      </x:c>
      <x:c r="Q4276" s="66" t="str">
        <x:v>https://snpmb.id/snbp/daya-tampung-snbp</x:v>
      </x:c>
      <x:c r="R4276" s="66" t="str">
        <x:v>https://sidatagrun-public-1076756628210.asia-southeast2.run.app/ptn_sn.php?ptn=712</x:v>
      </x:c>
    </x:row>
    <x:row r="4277">
      <x:c r="A4277" s="87" t="n">
        <x:v>3291</x:v>
      </x:c>
      <x:c r="B4277" s="66" t="n">
        <x:v>712</x:v>
      </x:c>
      <x:c r="C4277" s="66" t="str">
        <x:v>UNIVERSITAS NEGERI MAKASSAR</x:v>
      </x:c>
      <x:c r="D4277" s="66" t="str">
        <x:v>PTN Akademik</x:v>
      </x:c>
      <x:c r="E4277" s="66" t="str">
        <x:v>17121019</x:v>
      </x:c>
      <x:c r="F4277" s="66" t="str">
        <x:v>DESAIN KOMUNIKASI VISUAL</x:v>
      </x:c>
      <x:c r="G4277" s="66" t="str">
        <x:v>Sarjana</x:v>
      </x:c>
      <x:c r="H4277" s="87" t="n">
        <x:v>57</x:v>
      </x:c>
      <x:c r="I4277" s="87" t="n">
        <x:v>154</x:v>
      </x:c>
      <x:c r="J4277" s="68" t="n">
        <x:f>IFERROR(H4277/I4277,"")</x:f>
        <x:v>0.37012987012987014</x:v>
      </x:c>
      <x:c r="K4277" s="69" t="n">
        <x:f>IFERROR(I4277/H4277,"")</x:f>
        <x:v>2.7017543859649122</x:v>
      </x:c>
      <x:c r="L4277" s="66" t="str">
        <x:f>IF(K4277="","","1 : "&amp;TEXT(K4277,"0.0"))</x:f>
        <x:v>1 : 2.7</x:v>
      </x:c>
      <x:c r="M4277" s="66" t="str">
        <x:f>IF(J4277="","Baru/Tanpa Data",IF(J4277&lt;='Catatan &amp; Sumber'!$B$14,"Sangat Ketat",IF(J4277&lt;='Catatan &amp; Sumber'!$B$15,"Ketat",IF(J4277&lt;='Catatan &amp; Sumber'!$B$16,"Sedang","Relatif Longgar"))))</x:f>
        <x:v>Relatif Longgar</x:v>
      </x:c>
      <x:c r="N4277" s="66" t="str">
        <x:v>Seni Rupa, Desain, dan Kriya</x:v>
      </x:c>
      <x:c r="O4277" s="66" t="str">
        <x:v>Sulawesi Selatan</x:v>
      </x:c>
      <x:c r="P4277" s="66" t="str">
        <x:v>Kota Makassar</x:v>
      </x:c>
      <x:c r="Q4277" s="66" t="str">
        <x:v>https://snpmb.id/snbp/daya-tampung-snbp</x:v>
      </x:c>
      <x:c r="R4277" s="66" t="str">
        <x:v>https://sidatagrun-public-1076756628210.asia-southeast2.run.app/ptn_sn.php?ptn=712</x:v>
      </x:c>
    </x:row>
    <x:row r="4278">
      <x:c r="A4278" s="87" t="n">
        <x:v>2816</x:v>
      </x:c>
      <x:c r="B4278" s="66" t="n">
        <x:v>712</x:v>
      </x:c>
      <x:c r="C4278" s="66" t="str">
        <x:v>UNIVERSITAS NEGERI MAKASSAR</x:v>
      </x:c>
      <x:c r="D4278" s="66" t="str">
        <x:v>PTN Akademik</x:v>
      </x:c>
      <x:c r="E4278" s="66" t="str">
        <x:v>17121020</x:v>
      </x:c>
      <x:c r="F4278" s="66" t="str">
        <x:v>PEND. BIOLOGI KLS INTERNASIONAL (BILINGUAL)</x:v>
      </x:c>
      <x:c r="G4278" s="66" t="str">
        <x:v>Sarjana</x:v>
      </x:c>
      <x:c r="H4278" s="87" t="n">
        <x:v>12</x:v>
      </x:c>
      <x:c r="I4278" s="87" t="n">
        <x:v>46</x:v>
      </x:c>
      <x:c r="J4278" s="68" t="n">
        <x:f>IFERROR(H4278/I4278,"")</x:f>
        <x:v>0.2608695652173913</x:v>
      </x:c>
      <x:c r="K4278" s="69" t="n">
        <x:f>IFERROR(I4278/H4278,"")</x:f>
        <x:v>3.8333333333333335</x:v>
      </x:c>
      <x:c r="L4278" s="66" t="str">
        <x:f>IF(K4278="","","1 : "&amp;TEXT(K4278,"0.0"))</x:f>
        <x:v>1 : 3.8</x:v>
      </x:c>
      <x:c r="M4278" s="66" t="str">
        <x:f>IF(J4278="","Baru/Tanpa Data",IF(J4278&lt;='Catatan &amp; Sumber'!$B$14,"Sangat Ketat",IF(J4278&lt;='Catatan &amp; Sumber'!$B$15,"Ketat",IF(J4278&lt;='Catatan &amp; Sumber'!$B$16,"Sedang","Relatif Longgar"))))</x:f>
        <x:v>Relatif Longgar</x:v>
      </x:c>
      <x:c r="N4278" s="66" t="str">
        <x:v>Tidak Ada</x:v>
      </x:c>
      <x:c r="O4278" s="66" t="str">
        <x:v>Sulawesi Selatan</x:v>
      </x:c>
      <x:c r="P4278" s="66" t="str">
        <x:v>Kota Makassar</x:v>
      </x:c>
      <x:c r="Q4278" s="66" t="str">
        <x:v>https://snpmb.id/snbp/daya-tampung-snbp</x:v>
      </x:c>
      <x:c r="R4278" s="66" t="str">
        <x:v>https://sidatagrun-public-1076756628210.asia-southeast2.run.app/ptn_sn.php?ptn=712</x:v>
      </x:c>
    </x:row>
    <x:row r="4279">
      <x:c r="A4279" s="87" t="n">
        <x:v>3654</x:v>
      </x:c>
      <x:c r="B4279" s="66" t="n">
        <x:v>712</x:v>
      </x:c>
      <x:c r="C4279" s="66" t="str">
        <x:v>UNIVERSITAS NEGERI MAKASSAR</x:v>
      </x:c>
      <x:c r="D4279" s="66" t="str">
        <x:v>PTN Akademik</x:v>
      </x:c>
      <x:c r="E4279" s="66" t="str">
        <x:v>17121021</x:v>
      </x:c>
      <x:c r="F4279" s="66" t="str">
        <x:v>PEND. FISIKA KLS INTERNASIONAL (BILINGUAL)</x:v>
      </x:c>
      <x:c r="G4279" s="66" t="str">
        <x:v>Sarjana</x:v>
      </x:c>
      <x:c r="H4279" s="87" t="n">
        <x:v>12</x:v>
      </x:c>
      <x:c r="I4279" s="87" t="n">
        <x:v>24</x:v>
      </x:c>
      <x:c r="J4279" s="68" t="n">
        <x:f>IFERROR(H4279/I4279,"")</x:f>
        <x:v>0.5</x:v>
      </x:c>
      <x:c r="K4279" s="69" t="n">
        <x:f>IFERROR(I4279/H4279,"")</x:f>
        <x:v>2</x:v>
      </x:c>
      <x:c r="L4279" s="66" t="str">
        <x:f>IF(K4279="","","1 : "&amp;TEXT(K4279,"0.0"))</x:f>
        <x:v>1 : 2.0</x:v>
      </x:c>
      <x:c r="M4279" s="66" t="str">
        <x:f>IF(J4279="","Baru/Tanpa Data",IF(J4279&lt;='Catatan &amp; Sumber'!$B$14,"Sangat Ketat",IF(J4279&lt;='Catatan &amp; Sumber'!$B$15,"Ketat",IF(J4279&lt;='Catatan &amp; Sumber'!$B$16,"Sedang","Relatif Longgar"))))</x:f>
        <x:v>Relatif Longgar</x:v>
      </x:c>
      <x:c r="N4279" s="66" t="str">
        <x:v>Tidak Ada</x:v>
      </x:c>
      <x:c r="O4279" s="66" t="str">
        <x:v>Sulawesi Selatan</x:v>
      </x:c>
      <x:c r="P4279" s="66" t="str">
        <x:v>Kota Makassar</x:v>
      </x:c>
      <x:c r="Q4279" s="66" t="str">
        <x:v>https://snpmb.id/snbp/daya-tampung-snbp</x:v>
      </x:c>
      <x:c r="R4279" s="66" t="str">
        <x:v>https://sidatagrun-public-1076756628210.asia-southeast2.run.app/ptn_sn.php?ptn=712</x:v>
      </x:c>
    </x:row>
    <x:row r="4280">
      <x:c r="A4280" s="87" t="n">
        <x:v>2355</x:v>
      </x:c>
      <x:c r="B4280" s="66" t="n">
        <x:v>712</x:v>
      </x:c>
      <x:c r="C4280" s="66" t="str">
        <x:v>UNIVERSITAS NEGERI MAKASSAR</x:v>
      </x:c>
      <x:c r="D4280" s="66" t="str">
        <x:v>PTN Akademik</x:v>
      </x:c>
      <x:c r="E4280" s="66" t="str">
        <x:v>17121022</x:v>
      </x:c>
      <x:c r="F4280" s="66" t="str">
        <x:v>PENDIDIKAN TEKNOLOGI PERTANIAN</x:v>
      </x:c>
      <x:c r="G4280" s="66" t="str">
        <x:v>Sarjana</x:v>
      </x:c>
      <x:c r="H4280" s="87" t="n">
        <x:v>23</x:v>
      </x:c>
      <x:c r="I4280" s="87" t="n">
        <x:v>121</x:v>
      </x:c>
      <x:c r="J4280" s="68" t="n">
        <x:f>IFERROR(H4280/I4280,"")</x:f>
        <x:v>0.19008264462809918</x:v>
      </x:c>
      <x:c r="K4280" s="69" t="n">
        <x:f>IFERROR(I4280/H4280,"")</x:f>
        <x:v>5.260869565217392</x:v>
      </x:c>
      <x:c r="L4280" s="66" t="str">
        <x:f>IF(K4280="","","1 : "&amp;TEXT(K4280,"0.0"))</x:f>
        <x:v>1 : 5.3</x:v>
      </x:c>
      <x:c r="M4280" s="66" t="str">
        <x:f>IF(J4280="","Baru/Tanpa Data",IF(J4280&lt;='Catatan &amp; Sumber'!$B$14,"Sangat Ketat",IF(J4280&lt;='Catatan &amp; Sumber'!$B$15,"Ketat",IF(J4280&lt;='Catatan &amp; Sumber'!$B$16,"Sedang","Relatif Longgar"))))</x:f>
        <x:v>Relatif Longgar</x:v>
      </x:c>
      <x:c r="N4280" s="66" t="str">
        <x:v>Tidak Ada</x:v>
      </x:c>
      <x:c r="O4280" s="66" t="str">
        <x:v>Sulawesi Selatan</x:v>
      </x:c>
      <x:c r="P4280" s="66" t="str">
        <x:v>Kota Makassar</x:v>
      </x:c>
      <x:c r="Q4280" s="66" t="str">
        <x:v>https://snpmb.id/snbp/daya-tampung-snbp</x:v>
      </x:c>
      <x:c r="R4280" s="66" t="str">
        <x:v>https://sidatagrun-public-1076756628210.asia-southeast2.run.app/ptn_sn.php?ptn=712</x:v>
      </x:c>
    </x:row>
    <x:row r="4281">
      <x:c r="A4281" s="87" t="n">
        <x:v>2364</x:v>
      </x:c>
      <x:c r="B4281" s="66" t="n">
        <x:v>712</x:v>
      </x:c>
      <x:c r="C4281" s="66" t="str">
        <x:v>UNIVERSITAS NEGERI MAKASSAR</x:v>
      </x:c>
      <x:c r="D4281" s="66" t="str">
        <x:v>PTN Akademik</x:v>
      </x:c>
      <x:c r="E4281" s="66" t="str">
        <x:v>17121023</x:v>
      </x:c>
      <x:c r="F4281" s="66" t="str">
        <x:v>PENDIDIKAN IPA</x:v>
      </x:c>
      <x:c r="G4281" s="66" t="str">
        <x:v>Sarjana</x:v>
      </x:c>
      <x:c r="H4281" s="87" t="n">
        <x:v>30</x:v>
      </x:c>
      <x:c r="I4281" s="87" t="n">
        <x:v>157</x:v>
      </x:c>
      <x:c r="J4281" s="68" t="n">
        <x:f>IFERROR(H4281/I4281,"")</x:f>
        <x:v>0.1910828025477707</x:v>
      </x:c>
      <x:c r="K4281" s="69" t="n">
        <x:f>IFERROR(I4281/H4281,"")</x:f>
        <x:v>5.233333333333333</x:v>
      </x:c>
      <x:c r="L4281" s="66" t="str">
        <x:f>IF(K4281="","","1 : "&amp;TEXT(K4281,"0.0"))</x:f>
        <x:v>1 : 5.2</x:v>
      </x:c>
      <x:c r="M4281" s="66" t="str">
        <x:f>IF(J4281="","Baru/Tanpa Data",IF(J4281&lt;='Catatan &amp; Sumber'!$B$14,"Sangat Ketat",IF(J4281&lt;='Catatan &amp; Sumber'!$B$15,"Ketat",IF(J4281&lt;='Catatan &amp; Sumber'!$B$16,"Sedang","Relatif Longgar"))))</x:f>
        <x:v>Relatif Longgar</x:v>
      </x:c>
      <x:c r="N4281" s="66" t="str">
        <x:v>Tidak Ada</x:v>
      </x:c>
      <x:c r="O4281" s="66" t="str">
        <x:v>Sulawesi Selatan</x:v>
      </x:c>
      <x:c r="P4281" s="66" t="str">
        <x:v>Kota Makassar</x:v>
      </x:c>
      <x:c r="Q4281" s="66" t="str">
        <x:v>https://snpmb.id/snbp/daya-tampung-snbp</x:v>
      </x:c>
      <x:c r="R4281" s="66" t="str">
        <x:v>https://sidatagrun-public-1076756628210.asia-southeast2.run.app/ptn_sn.php?ptn=712</x:v>
      </x:c>
    </x:row>
    <x:row r="4282">
      <x:c r="A4282" s="87" t="n">
        <x:v>3625</x:v>
      </x:c>
      <x:c r="B4282" s="66" t="n">
        <x:v>712</x:v>
      </x:c>
      <x:c r="C4282" s="66" t="str">
        <x:v>UNIVERSITAS NEGERI MAKASSAR</x:v>
      </x:c>
      <x:c r="D4282" s="66" t="str">
        <x:v>PTN Akademik</x:v>
      </x:c>
      <x:c r="E4282" s="66" t="str">
        <x:v>17121024</x:v>
      </x:c>
      <x:c r="F4282" s="66" t="str">
        <x:v>PENDIDIKAN IPA KLS INTERNASIONAL (BILINGUAL)</x:v>
      </x:c>
      <x:c r="G4282" s="66" t="str">
        <x:v>Sarjana</x:v>
      </x:c>
      <x:c r="H4282" s="87" t="n">
        <x:v>12</x:v>
      </x:c>
      <x:c r="I4282" s="87" t="n">
        <x:v>25</x:v>
      </x:c>
      <x:c r="J4282" s="68" t="n">
        <x:f>IFERROR(H4282/I4282,"")</x:f>
        <x:v>0.48</x:v>
      </x:c>
      <x:c r="K4282" s="69" t="n">
        <x:f>IFERROR(I4282/H4282,"")</x:f>
        <x:v>2.0833333333333335</x:v>
      </x:c>
      <x:c r="L4282" s="66" t="str">
        <x:f>IF(K4282="","","1 : "&amp;TEXT(K4282,"0.0"))</x:f>
        <x:v>1 : 2.1</x:v>
      </x:c>
      <x:c r="M4282" s="66" t="str">
        <x:f>IF(J4282="","Baru/Tanpa Data",IF(J4282&lt;='Catatan &amp; Sumber'!$B$14,"Sangat Ketat",IF(J4282&lt;='Catatan &amp; Sumber'!$B$15,"Ketat",IF(J4282&lt;='Catatan &amp; Sumber'!$B$16,"Sedang","Relatif Longgar"))))</x:f>
        <x:v>Relatif Longgar</x:v>
      </x:c>
      <x:c r="N4282" s="66" t="str">
        <x:v>Tidak Ada</x:v>
      </x:c>
      <x:c r="O4282" s="66" t="str">
        <x:v>Sulawesi Selatan</x:v>
      </x:c>
      <x:c r="P4282" s="66" t="str">
        <x:v>Kota Makassar</x:v>
      </x:c>
      <x:c r="Q4282" s="66" t="str">
        <x:v>https://snpmb.id/snbp/daya-tampung-snbp</x:v>
      </x:c>
      <x:c r="R4282" s="66" t="str">
        <x:v>https://sidatagrun-public-1076756628210.asia-southeast2.run.app/ptn_sn.php?ptn=712</x:v>
      </x:c>
    </x:row>
    <x:row r="4283">
      <x:c r="A4283" s="87" t="n">
        <x:v>2878</x:v>
      </x:c>
      <x:c r="B4283" s="66" t="n">
        <x:v>712</x:v>
      </x:c>
      <x:c r="C4283" s="66" t="str">
        <x:v>UNIVERSITAS NEGERI MAKASSAR</x:v>
      </x:c>
      <x:c r="D4283" s="66" t="str">
        <x:v>PTN Akademik</x:v>
      </x:c>
      <x:c r="E4283" s="66" t="str">
        <x:v>17121025</x:v>
      </x:c>
      <x:c r="F4283" s="66" t="str">
        <x:v>STATISTIKA</x:v>
      </x:c>
      <x:c r="G4283" s="66" t="str">
        <x:v>Sarjana</x:v>
      </x:c>
      <x:c r="H4283" s="87" t="n">
        <x:v>60</x:v>
      </x:c>
      <x:c r="I4283" s="87" t="n">
        <x:v>221</x:v>
      </x:c>
      <x:c r="J4283" s="68" t="n">
        <x:f>IFERROR(H4283/I4283,"")</x:f>
        <x:v>0.27149321266968324</x:v>
      </x:c>
      <x:c r="K4283" s="69" t="n">
        <x:f>IFERROR(I4283/H4283,"")</x:f>
        <x:v>3.683333333333333</x:v>
      </x:c>
      <x:c r="L4283" s="66" t="str">
        <x:f>IF(K4283="","","1 : "&amp;TEXT(K4283,"0.0"))</x:f>
        <x:v>1 : 3.7</x:v>
      </x:c>
      <x:c r="M4283" s="66" t="str">
        <x:f>IF(J4283="","Baru/Tanpa Data",IF(J4283&lt;='Catatan &amp; Sumber'!$B$14,"Sangat Ketat",IF(J4283&lt;='Catatan &amp; Sumber'!$B$15,"Ketat",IF(J4283&lt;='Catatan &amp; Sumber'!$B$16,"Sedang","Relatif Longgar"))))</x:f>
        <x:v>Relatif Longgar</x:v>
      </x:c>
      <x:c r="N4283" s="66" t="str">
        <x:v>Tidak Ada</x:v>
      </x:c>
      <x:c r="O4283" s="66" t="str">
        <x:v>Sulawesi Selatan</x:v>
      </x:c>
      <x:c r="P4283" s="66" t="str">
        <x:v>Kota Makassar</x:v>
      </x:c>
      <x:c r="Q4283" s="66" t="str">
        <x:v>https://snpmb.id/snbp/daya-tampung-snbp</x:v>
      </x:c>
      <x:c r="R4283" s="66" t="str">
        <x:v>https://sidatagrun-public-1076756628210.asia-southeast2.run.app/ptn_sn.php?ptn=712</x:v>
      </x:c>
    </x:row>
    <x:row r="4284">
      <x:c r="A4284" s="87" t="n">
        <x:v>4261</x:v>
      </x:c>
      <x:c r="B4284" s="66" t="n">
        <x:v>712</x:v>
      </x:c>
      <x:c r="C4284" s="66" t="str">
        <x:v>UNIVERSITAS NEGERI MAKASSAR</x:v>
      </x:c>
      <x:c r="D4284" s="66" t="str">
        <x:v>PTN Akademik</x:v>
      </x:c>
      <x:c r="E4284" s="66" t="str">
        <x:v>17121026</x:v>
      </x:c>
      <x:c r="F4284" s="66" t="str">
        <x:v>PENDIDIKAN VOKASIONAL MEKATRONIKA</x:v>
      </x:c>
      <x:c r="G4284" s="66" t="str">
        <x:v>Sarjana</x:v>
      </x:c>
      <x:c r="H4284" s="87" t="n">
        <x:v>22</x:v>
      </x:c>
      <x:c r="I4284" s="87" t="n">
        <x:v>24</x:v>
      </x:c>
      <x:c r="J4284" s="68" t="n">
        <x:f>IFERROR(H4284/I4284,"")</x:f>
        <x:v>0.9166666666666666</x:v>
      </x:c>
      <x:c r="K4284" s="69" t="n">
        <x:f>IFERROR(I4284/H4284,"")</x:f>
        <x:v>1.0909090909090908</x:v>
      </x:c>
      <x:c r="L4284" s="66" t="str">
        <x:f>IF(K4284="","","1 : "&amp;TEXT(K4284,"0.0"))</x:f>
        <x:v>1 : 1.1</x:v>
      </x:c>
      <x:c r="M4284" s="66" t="str">
        <x:f>IF(J4284="","Baru/Tanpa Data",IF(J4284&lt;='Catatan &amp; Sumber'!$B$14,"Sangat Ketat",IF(J4284&lt;='Catatan &amp; Sumber'!$B$15,"Ketat",IF(J4284&lt;='Catatan &amp; Sumber'!$B$16,"Sedang","Relatif Longgar"))))</x:f>
        <x:v>Relatif Longgar</x:v>
      </x:c>
      <x:c r="N4284" s="66" t="str">
        <x:v>Tidak Ada</x:v>
      </x:c>
      <x:c r="O4284" s="66" t="str">
        <x:v>Sulawesi Selatan</x:v>
      </x:c>
      <x:c r="P4284" s="66" t="str">
        <x:v>Kota Makassar</x:v>
      </x:c>
      <x:c r="Q4284" s="66" t="str">
        <x:v>https://snpmb.id/snbp/daya-tampung-snbp</x:v>
      </x:c>
      <x:c r="R4284" s="66" t="str">
        <x:v>https://sidatagrun-public-1076756628210.asia-southeast2.run.app/ptn_sn.php?ptn=712</x:v>
      </x:c>
    </x:row>
    <x:row r="4285">
      <x:c r="A4285" s="87" t="n">
        <x:v>690</x:v>
      </x:c>
      <x:c r="B4285" s="66" t="n">
        <x:v>712</x:v>
      </x:c>
      <x:c r="C4285" s="66" t="str">
        <x:v>UNIVERSITAS NEGERI MAKASSAR</x:v>
      </x:c>
      <x:c r="D4285" s="66" t="str">
        <x:v>PTN Akademik</x:v>
      </x:c>
      <x:c r="E4285" s="66" t="str">
        <x:v>17121027</x:v>
      </x:c>
      <x:c r="F4285" s="66" t="str">
        <x:v>TEKNIK KOMPUTER</x:v>
      </x:c>
      <x:c r="G4285" s="66" t="str">
        <x:v>Sarjana</x:v>
      </x:c>
      <x:c r="H4285" s="87" t="n">
        <x:v>47</x:v>
      </x:c>
      <x:c r="I4285" s="87" t="n">
        <x:v>765</x:v>
      </x:c>
      <x:c r="J4285" s="68" t="n">
        <x:f>IFERROR(H4285/I4285,"")</x:f>
        <x:v>0.06143790849673202</x:v>
      </x:c>
      <x:c r="K4285" s="69" t="n">
        <x:f>IFERROR(I4285/H4285,"")</x:f>
        <x:v>16.27659574468085</x:v>
      </x:c>
      <x:c r="L4285" s="66" t="str">
        <x:f>IF(K4285="","","1 : "&amp;TEXT(K4285,"0.0"))</x:f>
        <x:v>1 : 16.3</x:v>
      </x:c>
      <x:c r="M4285" s="66" t="str">
        <x:f>IF(J4285="","Baru/Tanpa Data",IF(J4285&lt;='Catatan &amp; Sumber'!$B$14,"Sangat Ketat",IF(J4285&lt;='Catatan &amp; Sumber'!$B$15,"Ketat",IF(J4285&lt;='Catatan &amp; Sumber'!$B$16,"Sedang","Relatif Longgar"))))</x:f>
        <x:v>Sedang</x:v>
      </x:c>
      <x:c r="N4285" s="66" t="str">
        <x:v>Tidak Ada</x:v>
      </x:c>
      <x:c r="O4285" s="66" t="str">
        <x:v>Sulawesi Selatan</x:v>
      </x:c>
      <x:c r="P4285" s="66" t="str">
        <x:v>Kota Makassar</x:v>
      </x:c>
      <x:c r="Q4285" s="66" t="str">
        <x:v>https://snpmb.id/snbp/daya-tampung-snbp</x:v>
      </x:c>
      <x:c r="R4285" s="66" t="str">
        <x:v>https://sidatagrun-public-1076756628210.asia-southeast2.run.app/ptn_sn.php?ptn=712</x:v>
      </x:c>
    </x:row>
    <x:row r="4286">
      <x:c r="A4286" s="87" t="n">
        <x:v>1452</x:v>
      </x:c>
      <x:c r="B4286" s="66" t="n">
        <x:v>712</x:v>
      </x:c>
      <x:c r="C4286" s="66" t="str">
        <x:v>UNIVERSITAS NEGERI MAKASSAR</x:v>
      </x:c>
      <x:c r="D4286" s="66" t="str">
        <x:v>PTN Akademik</x:v>
      </x:c>
      <x:c r="E4286" s="66" t="str">
        <x:v>17121028</x:v>
      </x:c>
      <x:c r="F4286" s="66" t="str">
        <x:v>ADMINISTRASI KESEHATAN</x:v>
      </x:c>
      <x:c r="G4286" s="66" t="str">
        <x:v>Sarjana</x:v>
      </x:c>
      <x:c r="H4286" s="87" t="n">
        <x:v>115</x:v>
      </x:c>
      <x:c r="I4286" s="87" t="n">
        <x:v>1085</x:v>
      </x:c>
      <x:c r="J4286" s="68" t="n">
        <x:f>IFERROR(H4286/I4286,"")</x:f>
        <x:v>0.10599078341013825</x:v>
      </x:c>
      <x:c r="K4286" s="69" t="n">
        <x:f>IFERROR(I4286/H4286,"")</x:f>
        <x:v>9.434782608695652</x:v>
      </x:c>
      <x:c r="L4286" s="66" t="str">
        <x:f>IF(K4286="","","1 : "&amp;TEXT(K4286,"0.0"))</x:f>
        <x:v>1 : 9.4</x:v>
      </x:c>
      <x:c r="M4286" s="66" t="str">
        <x:f>IF(J4286="","Baru/Tanpa Data",IF(J4286&lt;='Catatan &amp; Sumber'!$B$14,"Sangat Ketat",IF(J4286&lt;='Catatan &amp; Sumber'!$B$15,"Ketat",IF(J4286&lt;='Catatan &amp; Sumber'!$B$16,"Sedang","Relatif Longgar"))))</x:f>
        <x:v>Relatif Longgar</x:v>
      </x:c>
      <x:c r="N4286" s="66" t="str">
        <x:v>Tidak Ada</x:v>
      </x:c>
      <x:c r="O4286" s="66" t="str">
        <x:v>Sulawesi Selatan</x:v>
      </x:c>
      <x:c r="P4286" s="66" t="str">
        <x:v>Kota Makassar</x:v>
      </x:c>
      <x:c r="Q4286" s="66" t="str">
        <x:v>https://snpmb.id/snbp/daya-tampung-snbp</x:v>
      </x:c>
      <x:c r="R4286" s="66" t="str">
        <x:v>https://sidatagrun-public-1076756628210.asia-southeast2.run.app/ptn_sn.php?ptn=712</x:v>
      </x:c>
    </x:row>
    <x:row r="4287">
      <x:c r="A4287" s="87" t="n">
        <x:v>1899</x:v>
      </x:c>
      <x:c r="B4287" s="66" t="n">
        <x:v>712</x:v>
      </x:c>
      <x:c r="C4287" s="66" t="str">
        <x:v>UNIVERSITAS NEGERI MAKASSAR</x:v>
      </x:c>
      <x:c r="D4287" s="66" t="str">
        <x:v>PTN Akademik</x:v>
      </x:c>
      <x:c r="E4287" s="66" t="str">
        <x:v>17121029</x:v>
      </x:c>
      <x:c r="F4287" s="66" t="str">
        <x:v>GIZI</x:v>
      </x:c>
      <x:c r="G4287" s="66" t="str">
        <x:v>Sarjana</x:v>
      </x:c>
      <x:c r="H4287" s="87" t="n">
        <x:v>115</x:v>
      </x:c>
      <x:c r="I4287" s="87" t="n">
        <x:v>818</x:v>
      </x:c>
      <x:c r="J4287" s="68" t="n">
        <x:f>IFERROR(H4287/I4287,"")</x:f>
        <x:v>0.14058679706601468</x:v>
      </x:c>
      <x:c r="K4287" s="69" t="n">
        <x:f>IFERROR(I4287/H4287,"")</x:f>
        <x:v>7.113043478260869</x:v>
      </x:c>
      <x:c r="L4287" s="66" t="str">
        <x:f>IF(K4287="","","1 : "&amp;TEXT(K4287,"0.0"))</x:f>
        <x:v>1 : 7.1</x:v>
      </x:c>
      <x:c r="M4287" s="66" t="str">
        <x:f>IF(J4287="","Baru/Tanpa Data",IF(J4287&lt;='Catatan &amp; Sumber'!$B$14,"Sangat Ketat",IF(J4287&lt;='Catatan &amp; Sumber'!$B$15,"Ketat",IF(J4287&lt;='Catatan &amp; Sumber'!$B$16,"Sedang","Relatif Longgar"))))</x:f>
        <x:v>Relatif Longgar</x:v>
      </x:c>
      <x:c r="N4287" s="66" t="str">
        <x:v>Tidak Ada</x:v>
      </x:c>
      <x:c r="O4287" s="66" t="str">
        <x:v>Sulawesi Selatan</x:v>
      </x:c>
      <x:c r="P4287" s="66" t="str">
        <x:v>Kota Makassar</x:v>
      </x:c>
      <x:c r="Q4287" s="66" t="str">
        <x:v>https://snpmb.id/snbp/daya-tampung-snbp</x:v>
      </x:c>
      <x:c r="R4287" s="66" t="str">
        <x:v>https://sidatagrun-public-1076756628210.asia-southeast2.run.app/ptn_sn.php?ptn=712</x:v>
      </x:c>
    </x:row>
    <x:row r="4288">
      <x:c r="A4288" s="87" t="n">
        <x:v>2071</x:v>
      </x:c>
      <x:c r="B4288" s="66" t="n">
        <x:v>712</x:v>
      </x:c>
      <x:c r="C4288" s="66" t="str">
        <x:v>UNIVERSITAS NEGERI MAKASSAR</x:v>
      </x:c>
      <x:c r="D4288" s="66" t="str">
        <x:v>PTN Akademik</x:v>
      </x:c>
      <x:c r="E4288" s="66" t="str">
        <x:v>17121030</x:v>
      </x:c>
      <x:c r="F4288" s="66" t="str">
        <x:v>ARSITEKTUR</x:v>
      </x:c>
      <x:c r="G4288" s="66" t="str">
        <x:v>Sarjana</x:v>
      </x:c>
      <x:c r="H4288" s="87" t="n">
        <x:v>33</x:v>
      </x:c>
      <x:c r="I4288" s="87" t="n">
        <x:v>208</x:v>
      </x:c>
      <x:c r="J4288" s="68" t="n">
        <x:f>IFERROR(H4288/I4288,"")</x:f>
        <x:v>0.15865384615384615</x:v>
      </x:c>
      <x:c r="K4288" s="69" t="n">
        <x:f>IFERROR(I4288/H4288,"")</x:f>
        <x:v>6.303030303030303</x:v>
      </x:c>
      <x:c r="L4288" s="66" t="str">
        <x:f>IF(K4288="","","1 : "&amp;TEXT(K4288,"0.0"))</x:f>
        <x:v>1 : 6.3</x:v>
      </x:c>
      <x:c r="M4288" s="66" t="str">
        <x:f>IF(J4288="","Baru/Tanpa Data",IF(J4288&lt;='Catatan &amp; Sumber'!$B$14,"Sangat Ketat",IF(J4288&lt;='Catatan &amp; Sumber'!$B$15,"Ketat",IF(J4288&lt;='Catatan &amp; Sumber'!$B$16,"Sedang","Relatif Longgar"))))</x:f>
        <x:v>Relatif Longgar</x:v>
      </x:c>
      <x:c r="N4288" s="66" t="str">
        <x:v>Tidak Ada</x:v>
      </x:c>
      <x:c r="O4288" s="66" t="str">
        <x:v>Sulawesi Selatan</x:v>
      </x:c>
      <x:c r="P4288" s="66" t="str">
        <x:v>Kota Makassar</x:v>
      </x:c>
      <x:c r="Q4288" s="66" t="str">
        <x:v>https://snpmb.id/snbp/daya-tampung-snbp</x:v>
      </x:c>
      <x:c r="R4288" s="66" t="str">
        <x:v>https://sidatagrun-public-1076756628210.asia-southeast2.run.app/ptn_sn.php?ptn=712</x:v>
      </x:c>
    </x:row>
    <x:row r="4289">
      <x:c r="A4289" s="87" t="n">
        <x:v>1783</x:v>
      </x:c>
      <x:c r="B4289" s="66" t="n">
        <x:v>712</x:v>
      </x:c>
      <x:c r="C4289" s="66" t="str">
        <x:v>UNIVERSITAS NEGERI MAKASSAR</x:v>
      </x:c>
      <x:c r="D4289" s="66" t="str">
        <x:v>PTN Akademik</x:v>
      </x:c>
      <x:c r="E4289" s="66" t="str">
        <x:v>17121036</x:v>
      </x:c>
      <x:c r="F4289" s="66" t="str">
        <x:v>FISIOTERAPI</x:v>
      </x:c>
      <x:c r="G4289" s="66" t="str">
        <x:v>Sarjana</x:v>
      </x:c>
      <x:c r="H4289" s="87" t="n">
        <x:v>43</x:v>
      </x:c>
      <x:c r="I4289" s="87" t="n">
        <x:v>328</x:v>
      </x:c>
      <x:c r="J4289" s="68" t="n">
        <x:f>IFERROR(H4289/I4289,"")</x:f>
        <x:v>0.13109756097560976</x:v>
      </x:c>
      <x:c r="K4289" s="69" t="n">
        <x:f>IFERROR(I4289/H4289,"")</x:f>
        <x:v>7.627906976744186</x:v>
      </x:c>
      <x:c r="L4289" s="66" t="str">
        <x:f>IF(K4289="","","1 : "&amp;TEXT(K4289,"0.0"))</x:f>
        <x:v>1 : 7.6</x:v>
      </x:c>
      <x:c r="M4289" s="66" t="str">
        <x:f>IF(J4289="","Baru/Tanpa Data",IF(J4289&lt;='Catatan &amp; Sumber'!$B$14,"Sangat Ketat",IF(J4289&lt;='Catatan &amp; Sumber'!$B$15,"Ketat",IF(J4289&lt;='Catatan &amp; Sumber'!$B$16,"Sedang","Relatif Longgar"))))</x:f>
        <x:v>Relatif Longgar</x:v>
      </x:c>
      <x:c r="N4289" s="66" t="str">
        <x:v>Tidak Ada</x:v>
      </x:c>
      <x:c r="O4289" s="66" t="str">
        <x:v>Sulawesi Selatan</x:v>
      </x:c>
      <x:c r="P4289" s="66" t="str">
        <x:v>Kota Makassar</x:v>
      </x:c>
      <x:c r="Q4289" s="66" t="str">
        <x:v>https://snpmb.id/snbp/daya-tampung-snbp</x:v>
      </x:c>
      <x:c r="R4289" s="66" t="str">
        <x:v>https://sidatagrun-public-1076756628210.asia-southeast2.run.app/ptn_sn.php?ptn=712</x:v>
      </x:c>
    </x:row>
    <x:row r="4290">
      <x:c r="A4290" s="87" t="n">
        <x:v>2325</x:v>
      </x:c>
      <x:c r="B4290" s="66" t="n">
        <x:v>712</x:v>
      </x:c>
      <x:c r="C4290" s="66" t="str">
        <x:v>UNIVERSITAS NEGERI MAKASSAR</x:v>
      </x:c>
      <x:c r="D4290" s="66" t="str">
        <x:v>PTN Akademik</x:v>
      </x:c>
      <x:c r="E4290" s="66" t="str">
        <x:v>17121037</x:v>
      </x:c>
      <x:c r="F4290" s="66" t="str">
        <x:v>PENDIDIKAN GEOGRAFI</x:v>
      </x:c>
      <x:c r="G4290" s="66" t="str">
        <x:v>Sarjana</x:v>
      </x:c>
      <x:c r="H4290" s="87" t="n">
        <x:v>41</x:v>
      </x:c>
      <x:c r="I4290" s="87" t="n">
        <x:v>220</x:v>
      </x:c>
      <x:c r="J4290" s="68" t="n">
        <x:f>IFERROR(H4290/I4290,"")</x:f>
        <x:v>0.18636363636363637</x:v>
      </x:c>
      <x:c r="K4290" s="69" t="n">
        <x:f>IFERROR(I4290/H4290,"")</x:f>
        <x:v>5.365853658536586</x:v>
      </x:c>
      <x:c r="L4290" s="66" t="str">
        <x:f>IF(K4290="","","1 : "&amp;TEXT(K4290,"0.0"))</x:f>
        <x:v>1 : 5.4</x:v>
      </x:c>
      <x:c r="M4290" s="66" t="str">
        <x:f>IF(J4290="","Baru/Tanpa Data",IF(J4290&lt;='Catatan &amp; Sumber'!$B$14,"Sangat Ketat",IF(J4290&lt;='Catatan &amp; Sumber'!$B$15,"Ketat",IF(J4290&lt;='Catatan &amp; Sumber'!$B$16,"Sedang","Relatif Longgar"))))</x:f>
        <x:v>Relatif Longgar</x:v>
      </x:c>
      <x:c r="N4290" s="66" t="str">
        <x:v>Tidak Ada</x:v>
      </x:c>
      <x:c r="O4290" s="66" t="str">
        <x:v>Sulawesi Selatan</x:v>
      </x:c>
      <x:c r="P4290" s="66" t="str">
        <x:v>Kota Makassar</x:v>
      </x:c>
      <x:c r="Q4290" s="66" t="str">
        <x:v>https://snpmb.id/snbp/daya-tampung-snbp</x:v>
      </x:c>
      <x:c r="R4290" s="66" t="str">
        <x:v>https://sidatagrun-public-1076756628210.asia-southeast2.run.app/ptn_sn.php?ptn=712</x:v>
      </x:c>
    </x:row>
    <x:row r="4291">
      <x:c r="A4291" s="87" t="n">
        <x:v>641</x:v>
      </x:c>
      <x:c r="B4291" s="66" t="n">
        <x:v>712</x:v>
      </x:c>
      <x:c r="C4291" s="66" t="str">
        <x:v>UNIVERSITAS NEGERI MAKASSAR</x:v>
      </x:c>
      <x:c r="D4291" s="66" t="str">
        <x:v>PTN Akademik</x:v>
      </x:c>
      <x:c r="E4291" s="66" t="str">
        <x:v>17121038</x:v>
      </x:c>
      <x:c r="F4291" s="66" t="str">
        <x:v>PENDIDIKAN KESEJAHTERAAN KELUARGA</x:v>
      </x:c>
      <x:c r="G4291" s="66" t="str">
        <x:v>Sarjana</x:v>
      </x:c>
      <x:c r="H4291" s="87" t="n">
        <x:v>13</x:v>
      </x:c>
      <x:c r="I4291" s="87" t="n">
        <x:v>220</x:v>
      </x:c>
      <x:c r="J4291" s="68" t="n">
        <x:f>IFERROR(H4291/I4291,"")</x:f>
        <x:v>0.05909090909090909</x:v>
      </x:c>
      <x:c r="K4291" s="69" t="n">
        <x:f>IFERROR(I4291/H4291,"")</x:f>
        <x:v>16.923076923076923</x:v>
      </x:c>
      <x:c r="L4291" s="66" t="str">
        <x:f>IF(K4291="","","1 : "&amp;TEXT(K4291,"0.0"))</x:f>
        <x:v>1 : 16.9</x:v>
      </x:c>
      <x:c r="M4291" s="66" t="str">
        <x:f>IF(J4291="","Baru/Tanpa Data",IF(J4291&lt;='Catatan &amp; Sumber'!$B$14,"Sangat Ketat",IF(J4291&lt;='Catatan &amp; Sumber'!$B$15,"Ketat",IF(J4291&lt;='Catatan &amp; Sumber'!$B$16,"Sedang","Relatif Longgar"))))</x:f>
        <x:v>Sedang</x:v>
      </x:c>
      <x:c r="N4291" s="66" t="str">
        <x:v>Tidak Ada</x:v>
      </x:c>
      <x:c r="O4291" s="66" t="str">
        <x:v>Sulawesi Selatan</x:v>
      </x:c>
      <x:c r="P4291" s="66" t="str">
        <x:v>Kota Makassar</x:v>
      </x:c>
      <x:c r="Q4291" s="66" t="str">
        <x:v>https://snpmb.id/snbp/daya-tampung-snbp</x:v>
      </x:c>
      <x:c r="R4291" s="66" t="str">
        <x:v>https://sidatagrun-public-1076756628210.asia-southeast2.run.app/ptn_sn.php?ptn=712</x:v>
      </x:c>
    </x:row>
    <x:row r="4292">
      <x:c r="A4292" s="87" t="n">
        <x:v>2873</x:v>
      </x:c>
      <x:c r="B4292" s="66" t="n">
        <x:v>712</x:v>
      </x:c>
      <x:c r="C4292" s="66" t="str">
        <x:v>UNIVERSITAS NEGERI MAKASSAR</x:v>
      </x:c>
      <x:c r="D4292" s="66" t="str">
        <x:v>PTN Akademik</x:v>
      </x:c>
      <x:c r="E4292" s="66" t="str">
        <x:v>17121039</x:v>
      </x:c>
      <x:c r="F4292" s="66" t="str">
        <x:v>PENDIDIKAN JASMANI, KESEHATAN &amp; REKREASI</x:v>
      </x:c>
      <x:c r="G4292" s="66" t="str">
        <x:v>Sarjana</x:v>
      </x:c>
      <x:c r="H4292" s="87" t="n">
        <x:v>145</x:v>
      </x:c>
      <x:c r="I4292" s="87" t="n">
        <x:v>535</x:v>
      </x:c>
      <x:c r="J4292" s="68" t="n">
        <x:f>IFERROR(H4292/I4292,"")</x:f>
        <x:v>0.27102803738317754</x:v>
      </x:c>
      <x:c r="K4292" s="69" t="n">
        <x:f>IFERROR(I4292/H4292,"")</x:f>
        <x:v>3.689655172413793</x:v>
      </x:c>
      <x:c r="L4292" s="66" t="str">
        <x:f>IF(K4292="","","1 : "&amp;TEXT(K4292,"0.0"))</x:f>
        <x:v>1 : 3.7</x:v>
      </x:c>
      <x:c r="M4292" s="66" t="str">
        <x:f>IF(J4292="","Baru/Tanpa Data",IF(J4292&lt;='Catatan &amp; Sumber'!$B$14,"Sangat Ketat",IF(J4292&lt;='Catatan &amp; Sumber'!$B$15,"Ketat",IF(J4292&lt;='Catatan &amp; Sumber'!$B$16,"Sedang","Relatif Longgar"))))</x:f>
        <x:v>Relatif Longgar</x:v>
      </x:c>
      <x:c r="N4292" s="66" t="str">
        <x:v>Olahraga</x:v>
      </x:c>
      <x:c r="O4292" s="66" t="str">
        <x:v>Sulawesi Selatan</x:v>
      </x:c>
      <x:c r="P4292" s="66" t="str">
        <x:v>Kota Makassar</x:v>
      </x:c>
      <x:c r="Q4292" s="66" t="str">
        <x:v>https://snpmb.id/snbp/daya-tampung-snbp</x:v>
      </x:c>
      <x:c r="R4292" s="66" t="str">
        <x:v>https://sidatagrun-public-1076756628210.asia-southeast2.run.app/ptn_sn.php?ptn=712</x:v>
      </x:c>
    </x:row>
    <x:row r="4293">
      <x:c r="A4293" s="87" t="n">
        <x:v>2030</x:v>
      </x:c>
      <x:c r="B4293" s="66" t="n">
        <x:v>712</x:v>
      </x:c>
      <x:c r="C4293" s="66" t="str">
        <x:v>UNIVERSITAS NEGERI MAKASSAR</x:v>
      </x:c>
      <x:c r="D4293" s="66" t="str">
        <x:v>PTN Akademik</x:v>
      </x:c>
      <x:c r="E4293" s="66" t="str">
        <x:v>17121040</x:v>
      </x:c>
      <x:c r="F4293" s="66" t="str">
        <x:v>PENDIDIKAN KEPELATIHAN OLAHRAGA</x:v>
      </x:c>
      <x:c r="G4293" s="66" t="str">
        <x:v>Sarjana</x:v>
      </x:c>
      <x:c r="H4293" s="87" t="n">
        <x:v>40</x:v>
      </x:c>
      <x:c r="I4293" s="87" t="n">
        <x:v>259</x:v>
      </x:c>
      <x:c r="J4293" s="68" t="n">
        <x:f>IFERROR(H4293/I4293,"")</x:f>
        <x:v>0.15444015444015444</x:v>
      </x:c>
      <x:c r="K4293" s="69" t="n">
        <x:f>IFERROR(I4293/H4293,"")</x:f>
        <x:v>6.475</x:v>
      </x:c>
      <x:c r="L4293" s="66" t="str">
        <x:f>IF(K4293="","","1 : "&amp;TEXT(K4293,"0.0"))</x:f>
        <x:v>1 : 6.5</x:v>
      </x:c>
      <x:c r="M4293" s="66" t="str">
        <x:f>IF(J4293="","Baru/Tanpa Data",IF(J4293&lt;='Catatan &amp; Sumber'!$B$14,"Sangat Ketat",IF(J4293&lt;='Catatan &amp; Sumber'!$B$15,"Ketat",IF(J4293&lt;='Catatan &amp; Sumber'!$B$16,"Sedang","Relatif Longgar"))))</x:f>
        <x:v>Relatif Longgar</x:v>
      </x:c>
      <x:c r="N4293" s="66" t="str">
        <x:v>Olahraga</x:v>
      </x:c>
      <x:c r="O4293" s="66" t="str">
        <x:v>Sulawesi Selatan</x:v>
      </x:c>
      <x:c r="P4293" s="66" t="str">
        <x:v>Kota Makassar</x:v>
      </x:c>
      <x:c r="Q4293" s="66" t="str">
        <x:v>https://snpmb.id/snbp/daya-tampung-snbp</x:v>
      </x:c>
      <x:c r="R4293" s="66" t="str">
        <x:v>https://sidatagrun-public-1076756628210.asia-southeast2.run.app/ptn_sn.php?ptn=712</x:v>
      </x:c>
    </x:row>
    <x:row r="4294">
      <x:c r="A4294" s="87" t="n">
        <x:v>2237</x:v>
      </x:c>
      <x:c r="B4294" s="66" t="n">
        <x:v>712</x:v>
      </x:c>
      <x:c r="C4294" s="66" t="str">
        <x:v>UNIVERSITAS NEGERI MAKASSAR</x:v>
      </x:c>
      <x:c r="D4294" s="66" t="str">
        <x:v>PTN Akademik</x:v>
      </x:c>
      <x:c r="E4294" s="66" t="str">
        <x:v>17121041</x:v>
      </x:c>
      <x:c r="F4294" s="66" t="str">
        <x:v>ADMINISTRASI PENDIDIKAN</x:v>
      </x:c>
      <x:c r="G4294" s="66" t="str">
        <x:v>Sarjana</x:v>
      </x:c>
      <x:c r="H4294" s="87" t="n">
        <x:v>44</x:v>
      </x:c>
      <x:c r="I4294" s="87" t="n">
        <x:v>249</x:v>
      </x:c>
      <x:c r="J4294" s="68" t="n">
        <x:f>IFERROR(H4294/I4294,"")</x:f>
        <x:v>0.17670682730923695</x:v>
      </x:c>
      <x:c r="K4294" s="69" t="n">
        <x:f>IFERROR(I4294/H4294,"")</x:f>
        <x:v>5.659090909090909</x:v>
      </x:c>
      <x:c r="L4294" s="66" t="str">
        <x:f>IF(K4294="","","1 : "&amp;TEXT(K4294,"0.0"))</x:f>
        <x:v>1 : 5.7</x:v>
      </x:c>
      <x:c r="M4294" s="66" t="str">
        <x:f>IF(J4294="","Baru/Tanpa Data",IF(J4294&lt;='Catatan &amp; Sumber'!$B$14,"Sangat Ketat",IF(J4294&lt;='Catatan &amp; Sumber'!$B$15,"Ketat",IF(J4294&lt;='Catatan &amp; Sumber'!$B$16,"Sedang","Relatif Longgar"))))</x:f>
        <x:v>Relatif Longgar</x:v>
      </x:c>
      <x:c r="N4294" s="66" t="str">
        <x:v>Tidak Ada</x:v>
      </x:c>
      <x:c r="O4294" s="66" t="str">
        <x:v>Sulawesi Selatan</x:v>
      </x:c>
      <x:c r="P4294" s="66" t="str">
        <x:v>Kota Makassar</x:v>
      </x:c>
      <x:c r="Q4294" s="66" t="str">
        <x:v>https://snpmb.id/snbp/daya-tampung-snbp</x:v>
      </x:c>
      <x:c r="R4294" s="66" t="str">
        <x:v>https://sidatagrun-public-1076756628210.asia-southeast2.run.app/ptn_sn.php?ptn=712</x:v>
      </x:c>
    </x:row>
    <x:row r="4295">
      <x:c r="A4295" s="87" t="n">
        <x:v>2756</x:v>
      </x:c>
      <x:c r="B4295" s="66" t="n">
        <x:v>712</x:v>
      </x:c>
      <x:c r="C4295" s="66" t="str">
        <x:v>UNIVERSITAS NEGERI MAKASSAR</x:v>
      </x:c>
      <x:c r="D4295" s="66" t="str">
        <x:v>PTN Akademik</x:v>
      </x:c>
      <x:c r="E4295" s="66" t="str">
        <x:v>17121042</x:v>
      </x:c>
      <x:c r="F4295" s="66" t="str">
        <x:v>TEKNOLOGI PENDIDIKAN</x:v>
      </x:c>
      <x:c r="G4295" s="66" t="str">
        <x:v>Sarjana</x:v>
      </x:c>
      <x:c r="H4295" s="87" t="n">
        <x:v>32</x:v>
      </x:c>
      <x:c r="I4295" s="87" t="n">
        <x:v>127</x:v>
      </x:c>
      <x:c r="J4295" s="68" t="n">
        <x:f>IFERROR(H4295/I4295,"")</x:f>
        <x:v>0.25196850393700787</x:v>
      </x:c>
      <x:c r="K4295" s="69" t="n">
        <x:f>IFERROR(I4295/H4295,"")</x:f>
        <x:v>3.96875</x:v>
      </x:c>
      <x:c r="L4295" s="66" t="str">
        <x:f>IF(K4295="","","1 : "&amp;TEXT(K4295,"0.0"))</x:f>
        <x:v>1 : 4.0</x:v>
      </x:c>
      <x:c r="M4295" s="66" t="str">
        <x:f>IF(J4295="","Baru/Tanpa Data",IF(J4295&lt;='Catatan &amp; Sumber'!$B$14,"Sangat Ketat",IF(J4295&lt;='Catatan &amp; Sumber'!$B$15,"Ketat",IF(J4295&lt;='Catatan &amp; Sumber'!$B$16,"Sedang","Relatif Longgar"))))</x:f>
        <x:v>Relatif Longgar</x:v>
      </x:c>
      <x:c r="N4295" s="66" t="str">
        <x:v>Tidak Ada</x:v>
      </x:c>
      <x:c r="O4295" s="66" t="str">
        <x:v>Sulawesi Selatan</x:v>
      </x:c>
      <x:c r="P4295" s="66" t="str">
        <x:v>Kota Makassar</x:v>
      </x:c>
      <x:c r="Q4295" s="66" t="str">
        <x:v>https://snpmb.id/snbp/daya-tampung-snbp</x:v>
      </x:c>
      <x:c r="R4295" s="66" t="str">
        <x:v>https://sidatagrun-public-1076756628210.asia-southeast2.run.app/ptn_sn.php?ptn=712</x:v>
      </x:c>
    </x:row>
    <x:row r="4296">
      <x:c r="A4296" s="87" t="n">
        <x:v>369</x:v>
      </x:c>
      <x:c r="B4296" s="66" t="n">
        <x:v>712</x:v>
      </x:c>
      <x:c r="C4296" s="66" t="str">
        <x:v>UNIVERSITAS NEGERI MAKASSAR</x:v>
      </x:c>
      <x:c r="D4296" s="66" t="str">
        <x:v>PTN Akademik</x:v>
      </x:c>
      <x:c r="E4296" s="66" t="str">
        <x:v>17121043</x:v>
      </x:c>
      <x:c r="F4296" s="66" t="str">
        <x:v>BIMBINGAN DAN KONSELING</x:v>
      </x:c>
      <x:c r="G4296" s="66" t="str">
        <x:v>Sarjana</x:v>
      </x:c>
      <x:c r="H4296" s="87" t="n">
        <x:v>56</x:v>
      </x:c>
      <x:c r="I4296" s="87" t="n">
        <x:v>1237</x:v>
      </x:c>
      <x:c r="J4296" s="68" t="n">
        <x:f>IFERROR(H4296/I4296,"")</x:f>
        <x:v>0.04527081649151172</x:v>
      </x:c>
      <x:c r="K4296" s="69" t="n">
        <x:f>IFERROR(I4296/H4296,"")</x:f>
        <x:v>22.089285714285715</x:v>
      </x:c>
      <x:c r="L4296" s="66" t="str">
        <x:f>IF(K4296="","","1 : "&amp;TEXT(K4296,"0.0"))</x:f>
        <x:v>1 : 22.1</x:v>
      </x:c>
      <x:c r="M4296" s="66" t="str">
        <x:f>IF(J4296="","Baru/Tanpa Data",IF(J4296&lt;='Catatan &amp; Sumber'!$B$14,"Sangat Ketat",IF(J4296&lt;='Catatan &amp; Sumber'!$B$15,"Ketat",IF(J4296&lt;='Catatan &amp; Sumber'!$B$16,"Sedang","Relatif Longgar"))))</x:f>
        <x:v>Ketat</x:v>
      </x:c>
      <x:c r="N4296" s="66" t="str">
        <x:v>Tidak Ada</x:v>
      </x:c>
      <x:c r="O4296" s="66" t="str">
        <x:v>Sulawesi Selatan</x:v>
      </x:c>
      <x:c r="P4296" s="66" t="str">
        <x:v>Kota Makassar</x:v>
      </x:c>
      <x:c r="Q4296" s="66" t="str">
        <x:v>https://snpmb.id/snbp/daya-tampung-snbp</x:v>
      </x:c>
      <x:c r="R4296" s="66" t="str">
        <x:v>https://sidatagrun-public-1076756628210.asia-southeast2.run.app/ptn_sn.php?ptn=712</x:v>
      </x:c>
    </x:row>
    <x:row r="4297">
      <x:c r="A4297" s="87" t="n">
        <x:v>4305</x:v>
      </x:c>
      <x:c r="B4297" s="66" t="n">
        <x:v>712</x:v>
      </x:c>
      <x:c r="C4297" s="66" t="str">
        <x:v>UNIVERSITAS NEGERI MAKASSAR</x:v>
      </x:c>
      <x:c r="D4297" s="66" t="str">
        <x:v>PTN Akademik</x:v>
      </x:c>
      <x:c r="E4297" s="66" t="str">
        <x:v>17121044</x:v>
      </x:c>
      <x:c r="F4297" s="66" t="str">
        <x:v>PENDIDIKAN LUAR SEKOLAH</x:v>
      </x:c>
      <x:c r="G4297" s="66" t="str">
        <x:v>Sarjana</x:v>
      </x:c>
      <x:c r="H4297" s="87" t="n">
        <x:v>23</x:v>
      </x:c>
      <x:c r="I4297" s="87" t="n">
        <x:v>23</x:v>
      </x:c>
      <x:c r="J4297" s="68" t="n">
        <x:f>IFERROR(H4297/I4297,"")</x:f>
        <x:v>1</x:v>
      </x:c>
      <x:c r="K4297" s="69" t="n">
        <x:f>IFERROR(I4297/H4297,"")</x:f>
        <x:v>1</x:v>
      </x:c>
      <x:c r="L4297" s="66" t="str">
        <x:f>IF(K4297="","","1 : "&amp;TEXT(K4297,"0.0"))</x:f>
        <x:v>1 : 1.0</x:v>
      </x:c>
      <x:c r="M4297" s="66" t="str">
        <x:f>IF(J4297="","Baru/Tanpa Data",IF(J4297&lt;='Catatan &amp; Sumber'!$B$14,"Sangat Ketat",IF(J4297&lt;='Catatan &amp; Sumber'!$B$15,"Ketat",IF(J4297&lt;='Catatan &amp; Sumber'!$B$16,"Sedang","Relatif Longgar"))))</x:f>
        <x:v>Relatif Longgar</x:v>
      </x:c>
      <x:c r="N4297" s="66" t="str">
        <x:v>Tidak Ada</x:v>
      </x:c>
      <x:c r="O4297" s="66" t="str">
        <x:v>Sulawesi Selatan</x:v>
      </x:c>
      <x:c r="P4297" s="66" t="str">
        <x:v>Kota Makassar</x:v>
      </x:c>
      <x:c r="Q4297" s="66" t="str">
        <x:v>https://snpmb.id/snbp/daya-tampung-snbp</x:v>
      </x:c>
      <x:c r="R4297" s="66" t="str">
        <x:v>https://sidatagrun-public-1076756628210.asia-southeast2.run.app/ptn_sn.php?ptn=712</x:v>
      </x:c>
    </x:row>
    <x:row r="4298">
      <x:c r="A4298" s="87" t="n">
        <x:v>3622</x:v>
      </x:c>
      <x:c r="B4298" s="66" t="n">
        <x:v>712</x:v>
      </x:c>
      <x:c r="C4298" s="66" t="str">
        <x:v>UNIVERSITAS NEGERI MAKASSAR</x:v>
      </x:c>
      <x:c r="D4298" s="66" t="str">
        <x:v>PTN Akademik</x:v>
      </x:c>
      <x:c r="E4298" s="66" t="str">
        <x:v>17121045</x:v>
      </x:c>
      <x:c r="F4298" s="66" t="str">
        <x:v>PENDIDIKAN LUAR BIASA</x:v>
      </x:c>
      <x:c r="G4298" s="66" t="str">
        <x:v>Sarjana</x:v>
      </x:c>
      <x:c r="H4298" s="87" t="n">
        <x:v>35</x:v>
      </x:c>
      <x:c r="I4298" s="87" t="n">
        <x:v>73</x:v>
      </x:c>
      <x:c r="J4298" s="68" t="n">
        <x:f>IFERROR(H4298/I4298,"")</x:f>
        <x:v>0.4794520547945205</x:v>
      </x:c>
      <x:c r="K4298" s="69" t="n">
        <x:f>IFERROR(I4298/H4298,"")</x:f>
        <x:v>2.085714285714286</x:v>
      </x:c>
      <x:c r="L4298" s="66" t="str">
        <x:f>IF(K4298="","","1 : "&amp;TEXT(K4298,"0.0"))</x:f>
        <x:v>1 : 2.1</x:v>
      </x:c>
      <x:c r="M4298" s="66" t="str">
        <x:f>IF(J4298="","Baru/Tanpa Data",IF(J4298&lt;='Catatan &amp; Sumber'!$B$14,"Sangat Ketat",IF(J4298&lt;='Catatan &amp; Sumber'!$B$15,"Ketat",IF(J4298&lt;='Catatan &amp; Sumber'!$B$16,"Sedang","Relatif Longgar"))))</x:f>
        <x:v>Relatif Longgar</x:v>
      </x:c>
      <x:c r="N4298" s="66" t="str">
        <x:v>Tidak Ada</x:v>
      </x:c>
      <x:c r="O4298" s="66" t="str">
        <x:v>Sulawesi Selatan</x:v>
      </x:c>
      <x:c r="P4298" s="66" t="str">
        <x:v>Kota Makassar</x:v>
      </x:c>
      <x:c r="Q4298" s="66" t="str">
        <x:v>https://snpmb.id/snbp/daya-tampung-snbp</x:v>
      </x:c>
      <x:c r="R4298" s="66" t="str">
        <x:v>https://sidatagrun-public-1076756628210.asia-southeast2.run.app/ptn_sn.php?ptn=712</x:v>
      </x:c>
    </x:row>
    <x:row r="4299">
      <x:c r="A4299" s="87" t="n">
        <x:v>2050</x:v>
      </x:c>
      <x:c r="B4299" s="66" t="n">
        <x:v>712</x:v>
      </x:c>
      <x:c r="C4299" s="66" t="str">
        <x:v>UNIVERSITAS NEGERI MAKASSAR</x:v>
      </x:c>
      <x:c r="D4299" s="66" t="str">
        <x:v>PTN Akademik</x:v>
      </x:c>
      <x:c r="E4299" s="66" t="str">
        <x:v>17121046</x:v>
      </x:c>
      <x:c r="F4299" s="66" t="str">
        <x:v>PENDIDIKAN BAHASA DAN SASTRA INDONESIA</x:v>
      </x:c>
      <x:c r="G4299" s="66" t="str">
        <x:v>Sarjana</x:v>
      </x:c>
      <x:c r="H4299" s="87" t="n">
        <x:v>96</x:v>
      </x:c>
      <x:c r="I4299" s="87" t="n">
        <x:v>613</x:v>
      </x:c>
      <x:c r="J4299" s="68" t="n">
        <x:f>IFERROR(H4299/I4299,"")</x:f>
        <x:v>0.1566068515497553</x:v>
      </x:c>
      <x:c r="K4299" s="69" t="n">
        <x:f>IFERROR(I4299/H4299,"")</x:f>
        <x:v>6.385416666666667</x:v>
      </x:c>
      <x:c r="L4299" s="66" t="str">
        <x:f>IF(K4299="","","1 : "&amp;TEXT(K4299,"0.0"))</x:f>
        <x:v>1 : 6.4</x:v>
      </x:c>
      <x:c r="M4299" s="66" t="str">
        <x:f>IF(J4299="","Baru/Tanpa Data",IF(J4299&lt;='Catatan &amp; Sumber'!$B$14,"Sangat Ketat",IF(J4299&lt;='Catatan &amp; Sumber'!$B$15,"Ketat",IF(J4299&lt;='Catatan &amp; Sumber'!$B$16,"Sedang","Relatif Longgar"))))</x:f>
        <x:v>Relatif Longgar</x:v>
      </x:c>
      <x:c r="N4299" s="66" t="str">
        <x:v>Tidak Ada</x:v>
      </x:c>
      <x:c r="O4299" s="66" t="str">
        <x:v>Sulawesi Selatan</x:v>
      </x:c>
      <x:c r="P4299" s="66" t="str">
        <x:v>Kota Makassar</x:v>
      </x:c>
      <x:c r="Q4299" s="66" t="str">
        <x:v>https://snpmb.id/snbp/daya-tampung-snbp</x:v>
      </x:c>
      <x:c r="R4299" s="66" t="str">
        <x:v>https://sidatagrun-public-1076756628210.asia-southeast2.run.app/ptn_sn.php?ptn=712</x:v>
      </x:c>
    </x:row>
    <x:row r="4300">
      <x:c r="A4300" s="87" t="n">
        <x:v>2523</x:v>
      </x:c>
      <x:c r="B4300" s="66" t="n">
        <x:v>712</x:v>
      </x:c>
      <x:c r="C4300" s="66" t="str">
        <x:v>UNIVERSITAS NEGERI MAKASSAR</x:v>
      </x:c>
      <x:c r="D4300" s="66" t="str">
        <x:v>PTN Akademik</x:v>
      </x:c>
      <x:c r="E4300" s="66" t="str">
        <x:v>17121047</x:v>
      </x:c>
      <x:c r="F4300" s="66" t="str">
        <x:v>PENDIDIKAN BAHASA INGGRIS</x:v>
      </x:c>
      <x:c r="G4300" s="66" t="str">
        <x:v>Sarjana</x:v>
      </x:c>
      <x:c r="H4300" s="87" t="n">
        <x:v>109</x:v>
      </x:c>
      <x:c r="I4300" s="87" t="n">
        <x:v>506</x:v>
      </x:c>
      <x:c r="J4300" s="68" t="n">
        <x:f>IFERROR(H4300/I4300,"")</x:f>
        <x:v>0.21541501976284586</x:v>
      </x:c>
      <x:c r="K4300" s="69" t="n">
        <x:f>IFERROR(I4300/H4300,"")</x:f>
        <x:v>4.6422018348623855</x:v>
      </x:c>
      <x:c r="L4300" s="66" t="str">
        <x:f>IF(K4300="","","1 : "&amp;TEXT(K4300,"0.0"))</x:f>
        <x:v>1 : 4.6</x:v>
      </x:c>
      <x:c r="M4300" s="66" t="str">
        <x:f>IF(J4300="","Baru/Tanpa Data",IF(J4300&lt;='Catatan &amp; Sumber'!$B$14,"Sangat Ketat",IF(J4300&lt;='Catatan &amp; Sumber'!$B$15,"Ketat",IF(J4300&lt;='Catatan &amp; Sumber'!$B$16,"Sedang","Relatif Longgar"))))</x:f>
        <x:v>Relatif Longgar</x:v>
      </x:c>
      <x:c r="N4300" s="66" t="str">
        <x:v>Tidak Ada</x:v>
      </x:c>
      <x:c r="O4300" s="66" t="str">
        <x:v>Sulawesi Selatan</x:v>
      </x:c>
      <x:c r="P4300" s="66" t="str">
        <x:v>Kota Makassar</x:v>
      </x:c>
      <x:c r="Q4300" s="66" t="str">
        <x:v>https://snpmb.id/snbp/daya-tampung-snbp</x:v>
      </x:c>
      <x:c r="R4300" s="66" t="str">
        <x:v>https://sidatagrun-public-1076756628210.asia-southeast2.run.app/ptn_sn.php?ptn=712</x:v>
      </x:c>
    </x:row>
    <x:row r="4301">
      <x:c r="A4301" s="87" t="n">
        <x:v>3918</x:v>
      </x:c>
      <x:c r="B4301" s="66" t="n">
        <x:v>712</x:v>
      </x:c>
      <x:c r="C4301" s="66" t="str">
        <x:v>UNIVERSITAS NEGERI MAKASSAR</x:v>
      </x:c>
      <x:c r="D4301" s="66" t="str">
        <x:v>PTN Akademik</x:v>
      </x:c>
      <x:c r="E4301" s="66" t="str">
        <x:v>17121048</x:v>
      </x:c>
      <x:c r="F4301" s="66" t="str">
        <x:v>SASTRA INDONESIA</x:v>
      </x:c>
      <x:c r="G4301" s="66" t="str">
        <x:v>Sarjana</x:v>
      </x:c>
      <x:c r="H4301" s="87" t="n">
        <x:v>55</x:v>
      </x:c>
      <x:c r="I4301" s="87" t="n">
        <x:v>87</x:v>
      </x:c>
      <x:c r="J4301" s="68" t="n">
        <x:f>IFERROR(H4301/I4301,"")</x:f>
        <x:v>0.632183908045977</x:v>
      </x:c>
      <x:c r="K4301" s="69" t="n">
        <x:f>IFERROR(I4301/H4301,"")</x:f>
        <x:v>1.5818181818181818</x:v>
      </x:c>
      <x:c r="L4301" s="66" t="str">
        <x:f>IF(K4301="","","1 : "&amp;TEXT(K4301,"0.0"))</x:f>
        <x:v>1 : 1.6</x:v>
      </x:c>
      <x:c r="M4301" s="66" t="str">
        <x:f>IF(J4301="","Baru/Tanpa Data",IF(J4301&lt;='Catatan &amp; Sumber'!$B$14,"Sangat Ketat",IF(J4301&lt;='Catatan &amp; Sumber'!$B$15,"Ketat",IF(J4301&lt;='Catatan &amp; Sumber'!$B$16,"Sedang","Relatif Longgar"))))</x:f>
        <x:v>Relatif Longgar</x:v>
      </x:c>
      <x:c r="N4301" s="66" t="str">
        <x:v>Tidak Ada</x:v>
      </x:c>
      <x:c r="O4301" s="66" t="str">
        <x:v>Sulawesi Selatan</x:v>
      </x:c>
      <x:c r="P4301" s="66" t="str">
        <x:v>Kota Makassar</x:v>
      </x:c>
      <x:c r="Q4301" s="66" t="str">
        <x:v>https://snpmb.id/snbp/daya-tampung-snbp</x:v>
      </x:c>
      <x:c r="R4301" s="66" t="str">
        <x:v>https://sidatagrun-public-1076756628210.asia-southeast2.run.app/ptn_sn.php?ptn=712</x:v>
      </x:c>
    </x:row>
    <x:row r="4302">
      <x:c r="A4302" s="87" t="n">
        <x:v>2953</x:v>
      </x:c>
      <x:c r="B4302" s="66" t="n">
        <x:v>712</x:v>
      </x:c>
      <x:c r="C4302" s="66" t="str">
        <x:v>UNIVERSITAS NEGERI MAKASSAR</x:v>
      </x:c>
      <x:c r="D4302" s="66" t="str">
        <x:v>PTN Akademik</x:v>
      </x:c>
      <x:c r="E4302" s="66" t="str">
        <x:v>17121049</x:v>
      </x:c>
      <x:c r="F4302" s="66" t="str">
        <x:v>SASTRA INGGRIS</x:v>
      </x:c>
      <x:c r="G4302" s="66" t="str">
        <x:v>Sarjana</x:v>
      </x:c>
      <x:c r="H4302" s="87" t="n">
        <x:v>68</x:v>
      </x:c>
      <x:c r="I4302" s="87" t="n">
        <x:v>238</x:v>
      </x:c>
      <x:c r="J4302" s="68" t="n">
        <x:f>IFERROR(H4302/I4302,"")</x:f>
        <x:v>0.2857142857142857</x:v>
      </x:c>
      <x:c r="K4302" s="69" t="n">
        <x:f>IFERROR(I4302/H4302,"")</x:f>
        <x:v>3.5</x:v>
      </x:c>
      <x:c r="L4302" s="66" t="str">
        <x:f>IF(K4302="","","1 : "&amp;TEXT(K4302,"0.0"))</x:f>
        <x:v>1 : 3.5</x:v>
      </x:c>
      <x:c r="M4302" s="66" t="str">
        <x:f>IF(J4302="","Baru/Tanpa Data",IF(J4302&lt;='Catatan &amp; Sumber'!$B$14,"Sangat Ketat",IF(J4302&lt;='Catatan &amp; Sumber'!$B$15,"Ketat",IF(J4302&lt;='Catatan &amp; Sumber'!$B$16,"Sedang","Relatif Longgar"))))</x:f>
        <x:v>Relatif Longgar</x:v>
      </x:c>
      <x:c r="N4302" s="66" t="str">
        <x:v>Tidak Ada</x:v>
      </x:c>
      <x:c r="O4302" s="66" t="str">
        <x:v>Sulawesi Selatan</x:v>
      </x:c>
      <x:c r="P4302" s="66" t="str">
        <x:v>Kota Makassar</x:v>
      </x:c>
      <x:c r="Q4302" s="66" t="str">
        <x:v>https://snpmb.id/snbp/daya-tampung-snbp</x:v>
      </x:c>
      <x:c r="R4302" s="66" t="str">
        <x:v>https://sidatagrun-public-1076756628210.asia-southeast2.run.app/ptn_sn.php?ptn=712</x:v>
      </x:c>
    </x:row>
    <x:row r="4303">
      <x:c r="A4303" s="87" t="n">
        <x:v>4207</x:v>
      </x:c>
      <x:c r="B4303" s="66" t="n">
        <x:v>712</x:v>
      </x:c>
      <x:c r="C4303" s="66" t="str">
        <x:v>UNIVERSITAS NEGERI MAKASSAR</x:v>
      </x:c>
      <x:c r="D4303" s="66" t="str">
        <x:v>PTN Akademik</x:v>
      </x:c>
      <x:c r="E4303" s="66" t="str">
        <x:v>17121050</x:v>
      </x:c>
      <x:c r="F4303" s="66" t="str">
        <x:v>PENDIDIKAN BAHASA JERMAN</x:v>
      </x:c>
      <x:c r="G4303" s="66" t="str">
        <x:v>Sarjana</x:v>
      </x:c>
      <x:c r="H4303" s="87" t="n">
        <x:v>37</x:v>
      </x:c>
      <x:c r="I4303" s="87" t="n">
        <x:v>43</x:v>
      </x:c>
      <x:c r="J4303" s="68" t="n">
        <x:f>IFERROR(H4303/I4303,"")</x:f>
        <x:v>0.8604651162790697</x:v>
      </x:c>
      <x:c r="K4303" s="69" t="n">
        <x:f>IFERROR(I4303/H4303,"")</x:f>
        <x:v>1.162162162162162</x:v>
      </x:c>
      <x:c r="L4303" s="66" t="str">
        <x:f>IF(K4303="","","1 : "&amp;TEXT(K4303,"0.0"))</x:f>
        <x:v>1 : 1.2</x:v>
      </x:c>
      <x:c r="M4303" s="66" t="str">
        <x:f>IF(J4303="","Baru/Tanpa Data",IF(J4303&lt;='Catatan &amp; Sumber'!$B$14,"Sangat Ketat",IF(J4303&lt;='Catatan &amp; Sumber'!$B$15,"Ketat",IF(J4303&lt;='Catatan &amp; Sumber'!$B$16,"Sedang","Relatif Longgar"))))</x:f>
        <x:v>Relatif Longgar</x:v>
      </x:c>
      <x:c r="N4303" s="66" t="str">
        <x:v>Tidak Ada</x:v>
      </x:c>
      <x:c r="O4303" s="66" t="str">
        <x:v>Sulawesi Selatan</x:v>
      </x:c>
      <x:c r="P4303" s="66" t="str">
        <x:v>Kota Makassar</x:v>
      </x:c>
      <x:c r="Q4303" s="66" t="str">
        <x:v>https://snpmb.id/snbp/daya-tampung-snbp</x:v>
      </x:c>
      <x:c r="R4303" s="66" t="str">
        <x:v>https://sidatagrun-public-1076756628210.asia-southeast2.run.app/ptn_sn.php?ptn=712</x:v>
      </x:c>
    </x:row>
    <x:row r="4304">
      <x:c r="A4304" s="87" t="n">
        <x:v>1182</x:v>
      </x:c>
      <x:c r="B4304" s="66" t="n">
        <x:v>712</x:v>
      </x:c>
      <x:c r="C4304" s="66" t="str">
        <x:v>UNIVERSITAS NEGERI MAKASSAR</x:v>
      </x:c>
      <x:c r="D4304" s="66" t="str">
        <x:v>PTN Akademik</x:v>
      </x:c>
      <x:c r="E4304" s="66" t="str">
        <x:v>17121051</x:v>
      </x:c>
      <x:c r="F4304" s="66" t="str">
        <x:v>PENDIDIKAN PANCASILA DAN KEWARGANEGARAAN</x:v>
      </x:c>
      <x:c r="G4304" s="66" t="str">
        <x:v>Sarjana</x:v>
      </x:c>
      <x:c r="H4304" s="87" t="n">
        <x:v>28</x:v>
      </x:c>
      <x:c r="I4304" s="87" t="n">
        <x:v>316</x:v>
      </x:c>
      <x:c r="J4304" s="68" t="n">
        <x:f>IFERROR(H4304/I4304,"")</x:f>
        <x:v>0.08860759493670886</x:v>
      </x:c>
      <x:c r="K4304" s="69" t="n">
        <x:f>IFERROR(I4304/H4304,"")</x:f>
        <x:v>11.285714285714286</x:v>
      </x:c>
      <x:c r="L4304" s="66" t="str">
        <x:f>IF(K4304="","","1 : "&amp;TEXT(K4304,"0.0"))</x:f>
        <x:v>1 : 11.3</x:v>
      </x:c>
      <x:c r="M4304" s="66" t="str">
        <x:f>IF(J4304="","Baru/Tanpa Data",IF(J4304&lt;='Catatan &amp; Sumber'!$B$14,"Sangat Ketat",IF(J4304&lt;='Catatan &amp; Sumber'!$B$15,"Ketat",IF(J4304&lt;='Catatan &amp; Sumber'!$B$16,"Sedang","Relatif Longgar"))))</x:f>
        <x:v>Sedang</x:v>
      </x:c>
      <x:c r="N4304" s="66" t="str">
        <x:v>Tidak Ada</x:v>
      </x:c>
      <x:c r="O4304" s="66" t="str">
        <x:v>Sulawesi Selatan</x:v>
      </x:c>
      <x:c r="P4304" s="66" t="str">
        <x:v>Kota Makassar</x:v>
      </x:c>
      <x:c r="Q4304" s="66" t="str">
        <x:v>https://snpmb.id/snbp/daya-tampung-snbp</x:v>
      </x:c>
      <x:c r="R4304" s="66" t="str">
        <x:v>https://sidatagrun-public-1076756628210.asia-southeast2.run.app/ptn_sn.php?ptn=712</x:v>
      </x:c>
    </x:row>
    <x:row r="4305">
      <x:c r="A4305" s="87" t="n">
        <x:v>1634</x:v>
      </x:c>
      <x:c r="B4305" s="66" t="n">
        <x:v>712</x:v>
      </x:c>
      <x:c r="C4305" s="66" t="str">
        <x:v>UNIVERSITAS NEGERI MAKASSAR</x:v>
      </x:c>
      <x:c r="D4305" s="66" t="str">
        <x:v>PTN Akademik</x:v>
      </x:c>
      <x:c r="E4305" s="66" t="str">
        <x:v>17121052</x:v>
      </x:c>
      <x:c r="F4305" s="66" t="str">
        <x:v>PENDIDIKAAN SOSIOLOGI</x:v>
      </x:c>
      <x:c r="G4305" s="66" t="str">
        <x:v>Sarjana</x:v>
      </x:c>
      <x:c r="H4305" s="87" t="n">
        <x:v>28</x:v>
      </x:c>
      <x:c r="I4305" s="87" t="n">
        <x:v>235</x:v>
      </x:c>
      <x:c r="J4305" s="68" t="n">
        <x:f>IFERROR(H4305/I4305,"")</x:f>
        <x:v>0.11914893617021277</x:v>
      </x:c>
      <x:c r="K4305" s="69" t="n">
        <x:f>IFERROR(I4305/H4305,"")</x:f>
        <x:v>8.392857142857142</x:v>
      </x:c>
      <x:c r="L4305" s="66" t="str">
        <x:f>IF(K4305="","","1 : "&amp;TEXT(K4305,"0.0"))</x:f>
        <x:v>1 : 8.4</x:v>
      </x:c>
      <x:c r="M4305" s="66" t="str">
        <x:f>IF(J4305="","Baru/Tanpa Data",IF(J4305&lt;='Catatan &amp; Sumber'!$B$14,"Sangat Ketat",IF(J4305&lt;='Catatan &amp; Sumber'!$B$15,"Ketat",IF(J4305&lt;='Catatan &amp; Sumber'!$B$16,"Sedang","Relatif Longgar"))))</x:f>
        <x:v>Relatif Longgar</x:v>
      </x:c>
      <x:c r="N4305" s="66" t="str">
        <x:v>Tidak Ada</x:v>
      </x:c>
      <x:c r="O4305" s="66" t="str">
        <x:v>Sulawesi Selatan</x:v>
      </x:c>
      <x:c r="P4305" s="66" t="str">
        <x:v>Kota Makassar</x:v>
      </x:c>
      <x:c r="Q4305" s="66" t="str">
        <x:v>https://snpmb.id/snbp/daya-tampung-snbp</x:v>
      </x:c>
      <x:c r="R4305" s="66" t="str">
        <x:v>https://sidatagrun-public-1076756628210.asia-southeast2.run.app/ptn_sn.php?ptn=712</x:v>
      </x:c>
    </x:row>
    <x:row r="4306">
      <x:c r="A4306" s="87" t="n">
        <x:v>1352</x:v>
      </x:c>
      <x:c r="B4306" s="66" t="n">
        <x:v>712</x:v>
      </x:c>
      <x:c r="C4306" s="66" t="str">
        <x:v>UNIVERSITAS NEGERI MAKASSAR</x:v>
      </x:c>
      <x:c r="D4306" s="66" t="str">
        <x:v>PTN Akademik</x:v>
      </x:c>
      <x:c r="E4306" s="66" t="str">
        <x:v>17121053</x:v>
      </x:c>
      <x:c r="F4306" s="66" t="str">
        <x:v>PENDIDIKAN SEJARAH</x:v>
      </x:c>
      <x:c r="G4306" s="66" t="str">
        <x:v>Sarjana</x:v>
      </x:c>
      <x:c r="H4306" s="87" t="n">
        <x:v>28</x:v>
      </x:c>
      <x:c r="I4306" s="87" t="n">
        <x:v>284</x:v>
      </x:c>
      <x:c r="J4306" s="68" t="n">
        <x:f>IFERROR(H4306/I4306,"")</x:f>
        <x:v>0.09859154929577464</x:v>
      </x:c>
      <x:c r="K4306" s="69" t="n">
        <x:f>IFERROR(I4306/H4306,"")</x:f>
        <x:v>10.142857142857142</x:v>
      </x:c>
      <x:c r="L4306" s="66" t="str">
        <x:f>IF(K4306="","","1 : "&amp;TEXT(K4306,"0.0"))</x:f>
        <x:v>1 : 10.1</x:v>
      </x:c>
      <x:c r="M4306" s="66" t="str">
        <x:f>IF(J4306="","Baru/Tanpa Data",IF(J4306&lt;='Catatan &amp; Sumber'!$B$14,"Sangat Ketat",IF(J4306&lt;='Catatan &amp; Sumber'!$B$15,"Ketat",IF(J4306&lt;='Catatan &amp; Sumber'!$B$16,"Sedang","Relatif Longgar"))))</x:f>
        <x:v>Sedang</x:v>
      </x:c>
      <x:c r="N4306" s="66" t="str">
        <x:v>Tidak Ada</x:v>
      </x:c>
      <x:c r="O4306" s="66" t="str">
        <x:v>Sulawesi Selatan</x:v>
      </x:c>
      <x:c r="P4306" s="66" t="str">
        <x:v>Kota Makassar</x:v>
      </x:c>
      <x:c r="Q4306" s="66" t="str">
        <x:v>https://snpmb.id/snbp/daya-tampung-snbp</x:v>
      </x:c>
      <x:c r="R4306" s="66" t="str">
        <x:v>https://sidatagrun-public-1076756628210.asia-southeast2.run.app/ptn_sn.php?ptn=712</x:v>
      </x:c>
    </x:row>
    <x:row r="4307">
      <x:c r="A4307" s="87" t="n">
        <x:v>977</x:v>
      </x:c>
      <x:c r="B4307" s="66" t="n">
        <x:v>712</x:v>
      </x:c>
      <x:c r="C4307" s="66" t="str">
        <x:v>UNIVERSITAS NEGERI MAKASSAR</x:v>
      </x:c>
      <x:c r="D4307" s="66" t="str">
        <x:v>PTN Akademik</x:v>
      </x:c>
      <x:c r="E4307" s="66" t="str">
        <x:v>17121054</x:v>
      </x:c>
      <x:c r="F4307" s="66" t="str">
        <x:v>MANAJEMEN</x:v>
      </x:c>
      <x:c r="G4307" s="66" t="str">
        <x:v>Sarjana</x:v>
      </x:c>
      <x:c r="H4307" s="87" t="n">
        <x:v>112</x:v>
      </x:c>
      <x:c r="I4307" s="87" t="n">
        <x:v>1458</x:v>
      </x:c>
      <x:c r="J4307" s="68" t="n">
        <x:f>IFERROR(H4307/I4307,"")</x:f>
        <x:v>0.07681755829903979</x:v>
      </x:c>
      <x:c r="K4307" s="69" t="n">
        <x:f>IFERROR(I4307/H4307,"")</x:f>
        <x:v>13.017857142857142</x:v>
      </x:c>
      <x:c r="L4307" s="66" t="str">
        <x:f>IF(K4307="","","1 : "&amp;TEXT(K4307,"0.0"))</x:f>
        <x:v>1 : 13.0</x:v>
      </x:c>
      <x:c r="M4307" s="66" t="str">
        <x:f>IF(J4307="","Baru/Tanpa Data",IF(J4307&lt;='Catatan &amp; Sumber'!$B$14,"Sangat Ketat",IF(J4307&lt;='Catatan &amp; Sumber'!$B$15,"Ketat",IF(J4307&lt;='Catatan &amp; Sumber'!$B$16,"Sedang","Relatif Longgar"))))</x:f>
        <x:v>Sedang</x:v>
      </x:c>
      <x:c r="N4307" s="66" t="str">
        <x:v>Tidak Ada</x:v>
      </x:c>
      <x:c r="O4307" s="66" t="str">
        <x:v>Sulawesi Selatan</x:v>
      </x:c>
      <x:c r="P4307" s="66" t="str">
        <x:v>Kota Makassar</x:v>
      </x:c>
      <x:c r="Q4307" s="66" t="str">
        <x:v>https://snpmb.id/snbp/daya-tampung-snbp</x:v>
      </x:c>
      <x:c r="R4307" s="66" t="str">
        <x:v>https://sidatagrun-public-1076756628210.asia-southeast2.run.app/ptn_sn.php?ptn=712</x:v>
      </x:c>
    </x:row>
    <x:row r="4308">
      <x:c r="A4308" s="87" t="n">
        <x:v>2774</x:v>
      </x:c>
      <x:c r="B4308" s="66" t="n">
        <x:v>712</x:v>
      </x:c>
      <x:c r="C4308" s="66" t="str">
        <x:v>UNIVERSITAS NEGERI MAKASSAR</x:v>
      </x:c>
      <x:c r="D4308" s="66" t="str">
        <x:v>PTN Akademik</x:v>
      </x:c>
      <x:c r="E4308" s="66" t="str">
        <x:v>17121055</x:v>
      </x:c>
      <x:c r="F4308" s="66" t="str">
        <x:v>SOSIOLOGI</x:v>
      </x:c>
      <x:c r="G4308" s="66" t="str">
        <x:v>Sarjana</x:v>
      </x:c>
      <x:c r="H4308" s="87" t="n">
        <x:v>28</x:v>
      </x:c>
      <x:c r="I4308" s="87" t="n">
        <x:v>110</x:v>
      </x:c>
      <x:c r="J4308" s="68" t="n">
        <x:f>IFERROR(H4308/I4308,"")</x:f>
        <x:v>0.2545454545454545</x:v>
      </x:c>
      <x:c r="K4308" s="69" t="n">
        <x:f>IFERROR(I4308/H4308,"")</x:f>
        <x:v>3.9285714285714284</x:v>
      </x:c>
      <x:c r="L4308" s="66" t="str">
        <x:f>IF(K4308="","","1 : "&amp;TEXT(K4308,"0.0"))</x:f>
        <x:v>1 : 3.9</x:v>
      </x:c>
      <x:c r="M4308" s="66" t="str">
        <x:f>IF(J4308="","Baru/Tanpa Data",IF(J4308&lt;='Catatan &amp; Sumber'!$B$14,"Sangat Ketat",IF(J4308&lt;='Catatan &amp; Sumber'!$B$15,"Ketat",IF(J4308&lt;='Catatan &amp; Sumber'!$B$16,"Sedang","Relatif Longgar"))))</x:f>
        <x:v>Relatif Longgar</x:v>
      </x:c>
      <x:c r="N4308" s="66" t="str">
        <x:v>Tidak Ada</x:v>
      </x:c>
      <x:c r="O4308" s="66" t="str">
        <x:v>Sulawesi Selatan</x:v>
      </x:c>
      <x:c r="P4308" s="66" t="str">
        <x:v>Kota Makassar</x:v>
      </x:c>
      <x:c r="Q4308" s="66" t="str">
        <x:v>https://snpmb.id/snbp/daya-tampung-snbp</x:v>
      </x:c>
      <x:c r="R4308" s="66" t="str">
        <x:v>https://sidatagrun-public-1076756628210.asia-southeast2.run.app/ptn_sn.php?ptn=712</x:v>
      </x:c>
    </x:row>
    <x:row r="4309">
      <x:c r="A4309" s="87" t="n">
        <x:v>1145</x:v>
      </x:c>
      <x:c r="B4309" s="66" t="n">
        <x:v>712</x:v>
      </x:c>
      <x:c r="C4309" s="66" t="str">
        <x:v>UNIVERSITAS NEGERI MAKASSAR</x:v>
      </x:c>
      <x:c r="D4309" s="66" t="str">
        <x:v>PTN Akademik</x:v>
      </x:c>
      <x:c r="E4309" s="66" t="str">
        <x:v>17121056</x:v>
      </x:c>
      <x:c r="F4309" s="66" t="str">
        <x:v>PSIKOLOGI</x:v>
      </x:c>
      <x:c r="G4309" s="66" t="str">
        <x:v>Sarjana</x:v>
      </x:c>
      <x:c r="H4309" s="87" t="n">
        <x:v>82</x:v>
      </x:c>
      <x:c r="I4309" s="87" t="n">
        <x:v>946</x:v>
      </x:c>
      <x:c r="J4309" s="68" t="n">
        <x:f>IFERROR(H4309/I4309,"")</x:f>
        <x:v>0.08668076109936575</x:v>
      </x:c>
      <x:c r="K4309" s="69" t="n">
        <x:f>IFERROR(I4309/H4309,"")</x:f>
        <x:v>11.536585365853659</x:v>
      </x:c>
      <x:c r="L4309" s="66" t="str">
        <x:f>IF(K4309="","","1 : "&amp;TEXT(K4309,"0.0"))</x:f>
        <x:v>1 : 11.5</x:v>
      </x:c>
      <x:c r="M4309" s="66" t="str">
        <x:f>IF(J4309="","Baru/Tanpa Data",IF(J4309&lt;='Catatan &amp; Sumber'!$B$14,"Sangat Ketat",IF(J4309&lt;='Catatan &amp; Sumber'!$B$15,"Ketat",IF(J4309&lt;='Catatan &amp; Sumber'!$B$16,"Sedang","Relatif Longgar"))))</x:f>
        <x:v>Sedang</x:v>
      </x:c>
      <x:c r="N4309" s="66" t="str">
        <x:v>Tidak Ada</x:v>
      </x:c>
      <x:c r="O4309" s="66" t="str">
        <x:v>Sulawesi Selatan</x:v>
      </x:c>
      <x:c r="P4309" s="66" t="str">
        <x:v>Kota Makassar</x:v>
      </x:c>
      <x:c r="Q4309" s="66" t="str">
        <x:v>https://snpmb.id/snbp/daya-tampung-snbp</x:v>
      </x:c>
      <x:c r="R4309" s="66" t="str">
        <x:v>https://sidatagrun-public-1076756628210.asia-southeast2.run.app/ptn_sn.php?ptn=712</x:v>
      </x:c>
    </x:row>
    <x:row r="4310">
      <x:c r="A4310" s="87" t="n">
        <x:v>687</x:v>
      </x:c>
      <x:c r="B4310" s="66" t="n">
        <x:v>712</x:v>
      </x:c>
      <x:c r="C4310" s="66" t="str">
        <x:v>UNIVERSITAS NEGERI MAKASSAR</x:v>
      </x:c>
      <x:c r="D4310" s="66" t="str">
        <x:v>PTN Akademik</x:v>
      </x:c>
      <x:c r="E4310" s="66" t="str">
        <x:v>17121057</x:v>
      </x:c>
      <x:c r="F4310" s="66" t="str">
        <x:v>PEND. GURU SEK. DASAR (KAMPUS MAKASSAR)</x:v>
      </x:c>
      <x:c r="G4310" s="66" t="str">
        <x:v>Sarjana</x:v>
      </x:c>
      <x:c r="H4310" s="87" t="n">
        <x:v>94</x:v>
      </x:c>
      <x:c r="I4310" s="87" t="n">
        <x:v>1534</x:v>
      </x:c>
      <x:c r="J4310" s="68" t="n">
        <x:f>IFERROR(H4310/I4310,"")</x:f>
        <x:v>0.061277705345501955</x:v>
      </x:c>
      <x:c r="K4310" s="69" t="n">
        <x:f>IFERROR(I4310/H4310,"")</x:f>
        <x:v>16.319148936170212</x:v>
      </x:c>
      <x:c r="L4310" s="66" t="str">
        <x:f>IF(K4310="","","1 : "&amp;TEXT(K4310,"0.0"))</x:f>
        <x:v>1 : 16.3</x:v>
      </x:c>
      <x:c r="M4310" s="66" t="str">
        <x:f>IF(J4310="","Baru/Tanpa Data",IF(J4310&lt;='Catatan &amp; Sumber'!$B$14,"Sangat Ketat",IF(J4310&lt;='Catatan &amp; Sumber'!$B$15,"Ketat",IF(J4310&lt;='Catatan &amp; Sumber'!$B$16,"Sedang","Relatif Longgar"))))</x:f>
        <x:v>Sedang</x:v>
      </x:c>
      <x:c r="N4310" s="66" t="str">
        <x:v>Tidak Ada</x:v>
      </x:c>
      <x:c r="O4310" s="66" t="str">
        <x:v>Sulawesi Selatan</x:v>
      </x:c>
      <x:c r="P4310" s="66" t="str">
        <x:v>Kota Makassar</x:v>
      </x:c>
      <x:c r="Q4310" s="66" t="str">
        <x:v>https://snpmb.id/snbp/daya-tampung-snbp</x:v>
      </x:c>
      <x:c r="R4310" s="66" t="str">
        <x:v>https://sidatagrun-public-1076756628210.asia-southeast2.run.app/ptn_sn.php?ptn=712</x:v>
      </x:c>
    </x:row>
    <x:row r="4311">
      <x:c r="A4311" s="87" t="n">
        <x:v>2257</x:v>
      </x:c>
      <x:c r="B4311" s="66" t="n">
        <x:v>712</x:v>
      </x:c>
      <x:c r="C4311" s="66" t="str">
        <x:v>UNIVERSITAS NEGERI MAKASSAR</x:v>
      </x:c>
      <x:c r="D4311" s="66" t="str">
        <x:v>PTN Akademik</x:v>
      </x:c>
      <x:c r="E4311" s="66" t="str">
        <x:v>17121058</x:v>
      </x:c>
      <x:c r="F4311" s="66" t="str">
        <x:v>PENDIDIKAN GURU PAUD</x:v>
      </x:c>
      <x:c r="G4311" s="66" t="str">
        <x:v>Sarjana</x:v>
      </x:c>
      <x:c r="H4311" s="87" t="n">
        <x:v>44</x:v>
      </x:c>
      <x:c r="I4311" s="87" t="n">
        <x:v>246</x:v>
      </x:c>
      <x:c r="J4311" s="68" t="n">
        <x:f>IFERROR(H4311/I4311,"")</x:f>
        <x:v>0.17886178861788618</x:v>
      </x:c>
      <x:c r="K4311" s="69" t="n">
        <x:f>IFERROR(I4311/H4311,"")</x:f>
        <x:v>5.590909090909091</x:v>
      </x:c>
      <x:c r="L4311" s="66" t="str">
        <x:f>IF(K4311="","","1 : "&amp;TEXT(K4311,"0.0"))</x:f>
        <x:v>1 : 5.6</x:v>
      </x:c>
      <x:c r="M4311" s="66" t="str">
        <x:f>IF(J4311="","Baru/Tanpa Data",IF(J4311&lt;='Catatan &amp; Sumber'!$B$14,"Sangat Ketat",IF(J4311&lt;='Catatan &amp; Sumber'!$B$15,"Ketat",IF(J4311&lt;='Catatan &amp; Sumber'!$B$16,"Sedang","Relatif Longgar"))))</x:f>
        <x:v>Relatif Longgar</x:v>
      </x:c>
      <x:c r="N4311" s="66" t="str">
        <x:v>Tidak Ada</x:v>
      </x:c>
      <x:c r="O4311" s="66" t="str">
        <x:v>Sulawesi Selatan</x:v>
      </x:c>
      <x:c r="P4311" s="66" t="str">
        <x:v>Kota Makassar</x:v>
      </x:c>
      <x:c r="Q4311" s="66" t="str">
        <x:v>https://snpmb.id/snbp/daya-tampung-snbp</x:v>
      </x:c>
      <x:c r="R4311" s="66" t="str">
        <x:v>https://sidatagrun-public-1076756628210.asia-southeast2.run.app/ptn_sn.php?ptn=712</x:v>
      </x:c>
    </x:row>
    <x:row r="4312">
      <x:c r="A4312" s="87" t="n">
        <x:v>2196</x:v>
      </x:c>
      <x:c r="B4312" s="66" t="n">
        <x:v>712</x:v>
      </x:c>
      <x:c r="C4312" s="66" t="str">
        <x:v>UNIVERSITAS NEGERI MAKASSAR</x:v>
      </x:c>
      <x:c r="D4312" s="66" t="str">
        <x:v>PTN Akademik</x:v>
      </x:c>
      <x:c r="E4312" s="66" t="str">
        <x:v>17121059</x:v>
      </x:c>
      <x:c r="F4312" s="66" t="str">
        <x:v>PEND. GURU SEKOLAH DASAR (KAMPUS BONE)</x:v>
      </x:c>
      <x:c r="G4312" s="66" t="str">
        <x:v>Sarjana</x:v>
      </x:c>
      <x:c r="H4312" s="87" t="n">
        <x:v>59</x:v>
      </x:c>
      <x:c r="I4312" s="87" t="n">
        <x:v>345</x:v>
      </x:c>
      <x:c r="J4312" s="68" t="n">
        <x:f>IFERROR(H4312/I4312,"")</x:f>
        <x:v>0.17101449275362318</x:v>
      </x:c>
      <x:c r="K4312" s="69" t="n">
        <x:f>IFERROR(I4312/H4312,"")</x:f>
        <x:v>5.8474576271186445</x:v>
      </x:c>
      <x:c r="L4312" s="66" t="str">
        <x:f>IF(K4312="","","1 : "&amp;TEXT(K4312,"0.0"))</x:f>
        <x:v>1 : 5.8</x:v>
      </x:c>
      <x:c r="M4312" s="66" t="str">
        <x:f>IF(J4312="","Baru/Tanpa Data",IF(J4312&lt;='Catatan &amp; Sumber'!$B$14,"Sangat Ketat",IF(J4312&lt;='Catatan &amp; Sumber'!$B$15,"Ketat",IF(J4312&lt;='Catatan &amp; Sumber'!$B$16,"Sedang","Relatif Longgar"))))</x:f>
        <x:v>Relatif Longgar</x:v>
      </x:c>
      <x:c r="N4312" s="66" t="str">
        <x:v>Tidak Ada</x:v>
      </x:c>
      <x:c r="O4312" s="66" t="str">
        <x:v>Sulawesi Selatan</x:v>
      </x:c>
      <x:c r="P4312" s="66" t="str">
        <x:v>Kota Makassar</x:v>
      </x:c>
      <x:c r="Q4312" s="66" t="str">
        <x:v>https://snpmb.id/snbp/daya-tampung-snbp</x:v>
      </x:c>
      <x:c r="R4312" s="66" t="str">
        <x:v>https://sidatagrun-public-1076756628210.asia-southeast2.run.app/ptn_sn.php?ptn=712</x:v>
      </x:c>
    </x:row>
    <x:row r="4313">
      <x:c r="A4313" s="87" t="n">
        <x:v>2421</x:v>
      </x:c>
      <x:c r="B4313" s="66" t="n">
        <x:v>712</x:v>
      </x:c>
      <x:c r="C4313" s="66" t="str">
        <x:v>UNIVERSITAS NEGERI MAKASSAR</x:v>
      </x:c>
      <x:c r="D4313" s="66" t="str">
        <x:v>PTN Akademik</x:v>
      </x:c>
      <x:c r="E4313" s="66" t="str">
        <x:v>17121060</x:v>
      </x:c>
      <x:c r="F4313" s="66" t="str">
        <x:v>PEND. GURU SEK. DASAR (KAMPUS PARE-PARE)</x:v>
      </x:c>
      <x:c r="G4313" s="66" t="str">
        <x:v>Sarjana</x:v>
      </x:c>
      <x:c r="H4313" s="87" t="n">
        <x:v>47</x:v>
      </x:c>
      <x:c r="I4313" s="87" t="n">
        <x:v>236</x:v>
      </x:c>
      <x:c r="J4313" s="68" t="n">
        <x:f>IFERROR(H4313/I4313,"")</x:f>
        <x:v>0.19915254237288135</x:v>
      </x:c>
      <x:c r="K4313" s="69" t="n">
        <x:f>IFERROR(I4313/H4313,"")</x:f>
        <x:v>5.0212765957446805</x:v>
      </x:c>
      <x:c r="L4313" s="66" t="str">
        <x:f>IF(K4313="","","1 : "&amp;TEXT(K4313,"0.0"))</x:f>
        <x:v>1 : 5.0</x:v>
      </x:c>
      <x:c r="M4313" s="66" t="str">
        <x:f>IF(J4313="","Baru/Tanpa Data",IF(J4313&lt;='Catatan &amp; Sumber'!$B$14,"Sangat Ketat",IF(J4313&lt;='Catatan &amp; Sumber'!$B$15,"Ketat",IF(J4313&lt;='Catatan &amp; Sumber'!$B$16,"Sedang","Relatif Longgar"))))</x:f>
        <x:v>Relatif Longgar</x:v>
      </x:c>
      <x:c r="N4313" s="66" t="str">
        <x:v>Tidak Ada</x:v>
      </x:c>
      <x:c r="O4313" s="66" t="str">
        <x:v>Sulawesi Selatan</x:v>
      </x:c>
      <x:c r="P4313" s="66" t="str">
        <x:v>Kota Makassar</x:v>
      </x:c>
      <x:c r="Q4313" s="66" t="str">
        <x:v>https://snpmb.id/snbp/daya-tampung-snbp</x:v>
      </x:c>
      <x:c r="R4313" s="66" t="str">
        <x:v>https://sidatagrun-public-1076756628210.asia-southeast2.run.app/ptn_sn.php?ptn=712</x:v>
      </x:c>
    </x:row>
    <x:row r="4314">
      <x:c r="A4314" s="87" t="n">
        <x:v>2664</x:v>
      </x:c>
      <x:c r="B4314" s="66" t="n">
        <x:v>712</x:v>
      </x:c>
      <x:c r="C4314" s="66" t="str">
        <x:v>UNIVERSITAS NEGERI MAKASSAR</x:v>
      </x:c>
      <x:c r="D4314" s="66" t="str">
        <x:v>PTN Akademik</x:v>
      </x:c>
      <x:c r="E4314" s="66" t="str">
        <x:v>17121061</x:v>
      </x:c>
      <x:c r="F4314" s="66" t="str">
        <x:v>PENDIDIKAN IPS</x:v>
      </x:c>
      <x:c r="G4314" s="66" t="str">
        <x:v>Sarjana</x:v>
      </x:c>
      <x:c r="H4314" s="87" t="n">
        <x:v>28</x:v>
      </x:c>
      <x:c r="I4314" s="87" t="n">
        <x:v>118</x:v>
      </x:c>
      <x:c r="J4314" s="68" t="n">
        <x:f>IFERROR(H4314/I4314,"")</x:f>
        <x:v>0.23728813559322035</x:v>
      </x:c>
      <x:c r="K4314" s="69" t="n">
        <x:f>IFERROR(I4314/H4314,"")</x:f>
        <x:v>4.214285714285714</x:v>
      </x:c>
      <x:c r="L4314" s="66" t="str">
        <x:f>IF(K4314="","","1 : "&amp;TEXT(K4314,"0.0"))</x:f>
        <x:v>1 : 4.2</x:v>
      </x:c>
      <x:c r="M4314" s="66" t="str">
        <x:f>IF(J4314="","Baru/Tanpa Data",IF(J4314&lt;='Catatan &amp; Sumber'!$B$14,"Sangat Ketat",IF(J4314&lt;='Catatan &amp; Sumber'!$B$15,"Ketat",IF(J4314&lt;='Catatan &amp; Sumber'!$B$16,"Sedang","Relatif Longgar"))))</x:f>
        <x:v>Relatif Longgar</x:v>
      </x:c>
      <x:c r="N4314" s="66" t="str">
        <x:v>Tidak Ada</x:v>
      </x:c>
      <x:c r="O4314" s="66" t="str">
        <x:v>Sulawesi Selatan</x:v>
      </x:c>
      <x:c r="P4314" s="66" t="str">
        <x:v>Kota Makassar</x:v>
      </x:c>
      <x:c r="Q4314" s="66" t="str">
        <x:v>https://snpmb.id/snbp/daya-tampung-snbp</x:v>
      </x:c>
      <x:c r="R4314" s="66" t="str">
        <x:v>https://sidatagrun-public-1076756628210.asia-southeast2.run.app/ptn_sn.php?ptn=712</x:v>
      </x:c>
    </x:row>
    <x:row r="4315">
      <x:c r="A4315" s="87" t="n">
        <x:v>1155</x:v>
      </x:c>
      <x:c r="B4315" s="66" t="n">
        <x:v>712</x:v>
      </x:c>
      <x:c r="C4315" s="66" t="str">
        <x:v>UNIVERSITAS NEGERI MAKASSAR</x:v>
      </x:c>
      <x:c r="D4315" s="66" t="str">
        <x:v>PTN Akademik</x:v>
      </x:c>
      <x:c r="E4315" s="66" t="str">
        <x:v>17121062</x:v>
      </x:c>
      <x:c r="F4315" s="66" t="str">
        <x:v>ADMINISTRASI NEGARA</x:v>
      </x:c>
      <x:c r="G4315" s="66" t="str">
        <x:v>Sarjana</x:v>
      </x:c>
      <x:c r="H4315" s="87" t="n">
        <x:v>46</x:v>
      </x:c>
      <x:c r="I4315" s="87" t="n">
        <x:v>528</x:v>
      </x:c>
      <x:c r="J4315" s="68" t="n">
        <x:f>IFERROR(H4315/I4315,"")</x:f>
        <x:v>0.08712121212121213</x:v>
      </x:c>
      <x:c r="K4315" s="69" t="n">
        <x:f>IFERROR(I4315/H4315,"")</x:f>
        <x:v>11.478260869565217</x:v>
      </x:c>
      <x:c r="L4315" s="66" t="str">
        <x:f>IF(K4315="","","1 : "&amp;TEXT(K4315,"0.0"))</x:f>
        <x:v>1 : 11.5</x:v>
      </x:c>
      <x:c r="M4315" s="66" t="str">
        <x:f>IF(J4315="","Baru/Tanpa Data",IF(J4315&lt;='Catatan &amp; Sumber'!$B$14,"Sangat Ketat",IF(J4315&lt;='Catatan &amp; Sumber'!$B$15,"Ketat",IF(J4315&lt;='Catatan &amp; Sumber'!$B$16,"Sedang","Relatif Longgar"))))</x:f>
        <x:v>Sedang</x:v>
      </x:c>
      <x:c r="N4315" s="66" t="str">
        <x:v>Tidak Ada</x:v>
      </x:c>
      <x:c r="O4315" s="66" t="str">
        <x:v>Sulawesi Selatan</x:v>
      </x:c>
      <x:c r="P4315" s="66" t="str">
        <x:v>Kota Makassar</x:v>
      </x:c>
      <x:c r="Q4315" s="66" t="str">
        <x:v>https://snpmb.id/snbp/daya-tampung-snbp</x:v>
      </x:c>
      <x:c r="R4315" s="66" t="str">
        <x:v>https://sidatagrun-public-1076756628210.asia-southeast2.run.app/ptn_sn.php?ptn=712</x:v>
      </x:c>
    </x:row>
    <x:row r="4316">
      <x:c r="A4316" s="87" t="n">
        <x:v>2749</x:v>
      </x:c>
      <x:c r="B4316" s="66" t="n">
        <x:v>712</x:v>
      </x:c>
      <x:c r="C4316" s="66" t="str">
        <x:v>UNIVERSITAS NEGERI MAKASSAR</x:v>
      </x:c>
      <x:c r="D4316" s="66" t="str">
        <x:v>PTN Akademik</x:v>
      </x:c>
      <x:c r="E4316" s="66" t="str">
        <x:v>17121063</x:v>
      </x:c>
      <x:c r="F4316" s="66" t="str">
        <x:v>PENDIDIKAN EKONOMI</x:v>
      </x:c>
      <x:c r="G4316" s="66" t="str">
        <x:v>Sarjana</x:v>
      </x:c>
      <x:c r="H4316" s="87" t="n">
        <x:v>56</x:v>
      </x:c>
      <x:c r="I4316" s="87" t="n">
        <x:v>223</x:v>
      </x:c>
      <x:c r="J4316" s="68" t="n">
        <x:f>IFERROR(H4316/I4316,"")</x:f>
        <x:v>0.25112107623318386</x:v>
      </x:c>
      <x:c r="K4316" s="69" t="n">
        <x:f>IFERROR(I4316/H4316,"")</x:f>
        <x:v>3.982142857142857</x:v>
      </x:c>
      <x:c r="L4316" s="66" t="str">
        <x:f>IF(K4316="","","1 : "&amp;TEXT(K4316,"0.0"))</x:f>
        <x:v>1 : 4.0</x:v>
      </x:c>
      <x:c r="M4316" s="66" t="str">
        <x:f>IF(J4316="","Baru/Tanpa Data",IF(J4316&lt;='Catatan &amp; Sumber'!$B$14,"Sangat Ketat",IF(J4316&lt;='Catatan &amp; Sumber'!$B$15,"Ketat",IF(J4316&lt;='Catatan &amp; Sumber'!$B$16,"Sedang","Relatif Longgar"))))</x:f>
        <x:v>Relatif Longgar</x:v>
      </x:c>
      <x:c r="N4316" s="66" t="str">
        <x:v>Tidak Ada</x:v>
      </x:c>
      <x:c r="O4316" s="66" t="str">
        <x:v>Sulawesi Selatan</x:v>
      </x:c>
      <x:c r="P4316" s="66" t="str">
        <x:v>Kota Makassar</x:v>
      </x:c>
      <x:c r="Q4316" s="66" t="str">
        <x:v>https://snpmb.id/snbp/daya-tampung-snbp</x:v>
      </x:c>
      <x:c r="R4316" s="66" t="str">
        <x:v>https://sidatagrun-public-1076756628210.asia-southeast2.run.app/ptn_sn.php?ptn=712</x:v>
      </x:c>
    </x:row>
    <x:row r="4317">
      <x:c r="A4317" s="87" t="n">
        <x:v>3801</x:v>
      </x:c>
      <x:c r="B4317" s="66" t="n">
        <x:v>712</x:v>
      </x:c>
      <x:c r="C4317" s="66" t="str">
        <x:v>UNIVERSITAS NEGERI MAKASSAR</x:v>
      </x:c>
      <x:c r="D4317" s="66" t="str">
        <x:v>PTN Akademik</x:v>
      </x:c>
      <x:c r="E4317" s="66" t="str">
        <x:v>17121064</x:v>
      </x:c>
      <x:c r="F4317" s="66" t="str">
        <x:v>PEND. GEOGRAFI KLS INTERNAS. (BILINGUAL)</x:v>
      </x:c>
      <x:c r="G4317" s="66" t="str">
        <x:v>Sarjana</x:v>
      </x:c>
      <x:c r="H4317" s="87" t="n">
        <x:v>12</x:v>
      </x:c>
      <x:c r="I4317" s="87" t="n">
        <x:v>21</x:v>
      </x:c>
      <x:c r="J4317" s="68" t="n">
        <x:f>IFERROR(H4317/I4317,"")</x:f>
        <x:v>0.5714285714285714</x:v>
      </x:c>
      <x:c r="K4317" s="69" t="n">
        <x:f>IFERROR(I4317/H4317,"")</x:f>
        <x:v>1.75</x:v>
      </x:c>
      <x:c r="L4317" s="66" t="str">
        <x:f>IF(K4317="","","1 : "&amp;TEXT(K4317,"0.0"))</x:f>
        <x:v>1 : 1.8</x:v>
      </x:c>
      <x:c r="M4317" s="66" t="str">
        <x:f>IF(J4317="","Baru/Tanpa Data",IF(J4317&lt;='Catatan &amp; Sumber'!$B$14,"Sangat Ketat",IF(J4317&lt;='Catatan &amp; Sumber'!$B$15,"Ketat",IF(J4317&lt;='Catatan &amp; Sumber'!$B$16,"Sedang","Relatif Longgar"))))</x:f>
        <x:v>Relatif Longgar</x:v>
      </x:c>
      <x:c r="N4317" s="66" t="str">
        <x:v>Tidak Ada</x:v>
      </x:c>
      <x:c r="O4317" s="66" t="str">
        <x:v>Sulawesi Selatan</x:v>
      </x:c>
      <x:c r="P4317" s="66" t="str">
        <x:v>Kota Makassar</x:v>
      </x:c>
      <x:c r="Q4317" s="66" t="str">
        <x:v>https://snpmb.id/snbp/daya-tampung-snbp</x:v>
      </x:c>
      <x:c r="R4317" s="66" t="str">
        <x:v>https://sidatagrun-public-1076756628210.asia-southeast2.run.app/ptn_sn.php?ptn=712</x:v>
      </x:c>
    </x:row>
    <x:row r="4318">
      <x:c r="A4318" s="87" t="n">
        <x:v>2676</x:v>
      </x:c>
      <x:c r="B4318" s="66" t="n">
        <x:v>712</x:v>
      </x:c>
      <x:c r="C4318" s="66" t="str">
        <x:v>UNIVERSITAS NEGERI MAKASSAR</x:v>
      </x:c>
      <x:c r="D4318" s="66" t="str">
        <x:v>PTN Akademik</x:v>
      </x:c>
      <x:c r="E4318" s="66" t="str">
        <x:v>17121065</x:v>
      </x:c>
      <x:c r="F4318" s="66" t="str">
        <x:v>EKONOMI PEMBANGUNAN</x:v>
      </x:c>
      <x:c r="G4318" s="66" t="str">
        <x:v>Sarjana</x:v>
      </x:c>
      <x:c r="H4318" s="87" t="n">
        <x:v>45</x:v>
      </x:c>
      <x:c r="I4318" s="87" t="n">
        <x:v>188</x:v>
      </x:c>
      <x:c r="J4318" s="68" t="n">
        <x:f>IFERROR(H4318/I4318,"")</x:f>
        <x:v>0.2393617021276596</x:v>
      </x:c>
      <x:c r="K4318" s="69" t="n">
        <x:f>IFERROR(I4318/H4318,"")</x:f>
        <x:v>4.177777777777778</x:v>
      </x:c>
      <x:c r="L4318" s="66" t="str">
        <x:f>IF(K4318="","","1 : "&amp;TEXT(K4318,"0.0"))</x:f>
        <x:v>1 : 4.2</x:v>
      </x:c>
      <x:c r="M4318" s="66" t="str">
        <x:f>IF(J4318="","Baru/Tanpa Data",IF(J4318&lt;='Catatan &amp; Sumber'!$B$14,"Sangat Ketat",IF(J4318&lt;='Catatan &amp; Sumber'!$B$15,"Ketat",IF(J4318&lt;='Catatan &amp; Sumber'!$B$16,"Sedang","Relatif Longgar"))))</x:f>
        <x:v>Relatif Longgar</x:v>
      </x:c>
      <x:c r="N4318" s="66" t="str">
        <x:v>Tidak Ada</x:v>
      </x:c>
      <x:c r="O4318" s="66" t="str">
        <x:v>Sulawesi Selatan</x:v>
      </x:c>
      <x:c r="P4318" s="66" t="str">
        <x:v>Kota Makassar</x:v>
      </x:c>
      <x:c r="Q4318" s="66" t="str">
        <x:v>https://snpmb.id/snbp/daya-tampung-snbp</x:v>
      </x:c>
      <x:c r="R4318" s="66" t="str">
        <x:v>https://sidatagrun-public-1076756628210.asia-southeast2.run.app/ptn_sn.php?ptn=712</x:v>
      </x:c>
    </x:row>
    <x:row r="4319">
      <x:c r="A4319" s="87" t="n">
        <x:v>1159</x:v>
      </x:c>
      <x:c r="B4319" s="66" t="n">
        <x:v>712</x:v>
      </x:c>
      <x:c r="C4319" s="66" t="str">
        <x:v>UNIVERSITAS NEGERI MAKASSAR</x:v>
      </x:c>
      <x:c r="D4319" s="66" t="str">
        <x:v>PTN Akademik</x:v>
      </x:c>
      <x:c r="E4319" s="66" t="str">
        <x:v>17121066</x:v>
      </x:c>
      <x:c r="F4319" s="66" t="str">
        <x:v>AKUNTANSI</x:v>
      </x:c>
      <x:c r="G4319" s="66" t="str">
        <x:v>Sarjana</x:v>
      </x:c>
      <x:c r="H4319" s="87" t="n">
        <x:v>77</x:v>
      </x:c>
      <x:c r="I4319" s="87" t="n">
        <x:v>880</x:v>
      </x:c>
      <x:c r="J4319" s="68" t="n">
        <x:f>IFERROR(H4319/I4319,"")</x:f>
        <x:v>0.0875</x:v>
      </x:c>
      <x:c r="K4319" s="69" t="n">
        <x:f>IFERROR(I4319/H4319,"")</x:f>
        <x:v>11.428571428571429</x:v>
      </x:c>
      <x:c r="L4319" s="66" t="str">
        <x:f>IF(K4319="","","1 : "&amp;TEXT(K4319,"0.0"))</x:f>
        <x:v>1 : 11.4</x:v>
      </x:c>
      <x:c r="M4319" s="66" t="str">
        <x:f>IF(J4319="","Baru/Tanpa Data",IF(J4319&lt;='Catatan &amp; Sumber'!$B$14,"Sangat Ketat",IF(J4319&lt;='Catatan &amp; Sumber'!$B$15,"Ketat",IF(J4319&lt;='Catatan &amp; Sumber'!$B$16,"Sedang","Relatif Longgar"))))</x:f>
        <x:v>Sedang</x:v>
      </x:c>
      <x:c r="N4319" s="66" t="str">
        <x:v>Tidak Ada</x:v>
      </x:c>
      <x:c r="O4319" s="66" t="str">
        <x:v>Sulawesi Selatan</x:v>
      </x:c>
      <x:c r="P4319" s="66" t="str">
        <x:v>Kota Makassar</x:v>
      </x:c>
      <x:c r="Q4319" s="66" t="str">
        <x:v>https://snpmb.id/snbp/daya-tampung-snbp</x:v>
      </x:c>
      <x:c r="R4319" s="66" t="str">
        <x:v>https://sidatagrun-public-1076756628210.asia-southeast2.run.app/ptn_sn.php?ptn=712</x:v>
      </x:c>
    </x:row>
    <x:row r="4320">
      <x:c r="A4320" s="87" t="n">
        <x:v>2930</x:v>
      </x:c>
      <x:c r="B4320" s="66" t="n">
        <x:v>712</x:v>
      </x:c>
      <x:c r="C4320" s="66" t="str">
        <x:v>UNIVERSITAS NEGERI MAKASSAR</x:v>
      </x:c>
      <x:c r="D4320" s="66" t="str">
        <x:v>PTN Akademik</x:v>
      </x:c>
      <x:c r="E4320" s="66" t="str">
        <x:v>17121067</x:v>
      </x:c>
      <x:c r="F4320" s="66" t="str">
        <x:v>PENDIDIKAN SENI DRAMA, TARI, DAN MUSIK</x:v>
      </x:c>
      <x:c r="G4320" s="66" t="str">
        <x:v>Sarjana</x:v>
      </x:c>
      <x:c r="H4320" s="87" t="n">
        <x:v>46</x:v>
      </x:c>
      <x:c r="I4320" s="87" t="n">
        <x:v>165</x:v>
      </x:c>
      <x:c r="J4320" s="68" t="n">
        <x:f>IFERROR(H4320/I4320,"")</x:f>
        <x:v>0.2787878787878788</x:v>
      </x:c>
      <x:c r="K4320" s="69" t="n">
        <x:f>IFERROR(I4320/H4320,"")</x:f>
        <x:v>3.5869565217391304</x:v>
      </x:c>
      <x:c r="L4320" s="66" t="str">
        <x:f>IF(K4320="","","1 : "&amp;TEXT(K4320,"0.0"))</x:f>
        <x:v>1 : 3.6</x:v>
      </x:c>
      <x:c r="M4320" s="66" t="str">
        <x:f>IF(J4320="","Baru/Tanpa Data",IF(J4320&lt;='Catatan &amp; Sumber'!$B$14,"Sangat Ketat",IF(J4320&lt;='Catatan &amp; Sumber'!$B$15,"Ketat",IF(J4320&lt;='Catatan &amp; Sumber'!$B$16,"Sedang","Relatif Longgar"))))</x:f>
        <x:v>Relatif Longgar</x:v>
      </x:c>
      <x:c r="N4320" s="66" t="str">
        <x:v>Sendratasik</x:v>
      </x:c>
      <x:c r="O4320" s="66" t="str">
        <x:v>Sulawesi Selatan</x:v>
      </x:c>
      <x:c r="P4320" s="66" t="str">
        <x:v>Kota Makassar</x:v>
      </x:c>
      <x:c r="Q4320" s="66" t="str">
        <x:v>https://snpmb.id/snbp/daya-tampung-snbp</x:v>
      </x:c>
      <x:c r="R4320" s="66" t="str">
        <x:v>https://sidatagrun-public-1076756628210.asia-southeast2.run.app/ptn_sn.php?ptn=712</x:v>
      </x:c>
    </x:row>
    <x:row r="4321">
      <x:c r="A4321" s="87" t="n">
        <x:v>2838</x:v>
      </x:c>
      <x:c r="B4321" s="66" t="n">
        <x:v>712</x:v>
      </x:c>
      <x:c r="C4321" s="66" t="str">
        <x:v>UNIVERSITAS NEGERI MAKASSAR</x:v>
      </x:c>
      <x:c r="D4321" s="66" t="str">
        <x:v>PTN Akademik</x:v>
      </x:c>
      <x:c r="E4321" s="66" t="str">
        <x:v>17121068</x:v>
      </x:c>
      <x:c r="F4321" s="66" t="str">
        <x:v>PENDIDIKAN SENI RUPA</x:v>
      </x:c>
      <x:c r="G4321" s="66" t="str">
        <x:v>Sarjana</x:v>
      </x:c>
      <x:c r="H4321" s="87" t="n">
        <x:v>23</x:v>
      </x:c>
      <x:c r="I4321" s="87" t="n">
        <x:v>87</x:v>
      </x:c>
      <x:c r="J4321" s="68" t="n">
        <x:f>IFERROR(H4321/I4321,"")</x:f>
        <x:v>0.26436781609195403</x:v>
      </x:c>
      <x:c r="K4321" s="69" t="n">
        <x:f>IFERROR(I4321/H4321,"")</x:f>
        <x:v>3.782608695652174</x:v>
      </x:c>
      <x:c r="L4321" s="66" t="str">
        <x:f>IF(K4321="","","1 : "&amp;TEXT(K4321,"0.0"))</x:f>
        <x:v>1 : 3.8</x:v>
      </x:c>
      <x:c r="M4321" s="66" t="str">
        <x:f>IF(J4321="","Baru/Tanpa Data",IF(J4321&lt;='Catatan &amp; Sumber'!$B$14,"Sangat Ketat",IF(J4321&lt;='Catatan &amp; Sumber'!$B$15,"Ketat",IF(J4321&lt;='Catatan &amp; Sumber'!$B$16,"Sedang","Relatif Longgar"))))</x:f>
        <x:v>Relatif Longgar</x:v>
      </x:c>
      <x:c r="N4321" s="66" t="str">
        <x:v>Seni Rupa, Desain, dan Kriya</x:v>
      </x:c>
      <x:c r="O4321" s="66" t="str">
        <x:v>Sulawesi Selatan</x:v>
      </x:c>
      <x:c r="P4321" s="66" t="str">
        <x:v>Kota Makassar</x:v>
      </x:c>
      <x:c r="Q4321" s="66" t="str">
        <x:v>https://snpmb.id/snbp/daya-tampung-snbp</x:v>
      </x:c>
      <x:c r="R4321" s="66" t="str">
        <x:v>https://sidatagrun-public-1076756628210.asia-southeast2.run.app/ptn_sn.php?ptn=712</x:v>
      </x:c>
    </x:row>
    <x:row r="4322">
      <x:c r="A4322" s="87" t="n">
        <x:v>2341</x:v>
      </x:c>
      <x:c r="B4322" s="66" t="n">
        <x:v>712</x:v>
      </x:c>
      <x:c r="C4322" s="66" t="str">
        <x:v>UNIVERSITAS NEGERI MAKASSAR</x:v>
      </x:c>
      <x:c r="D4322" s="66" t="str">
        <x:v>PTN Akademik</x:v>
      </x:c>
      <x:c r="E4322" s="66" t="str">
        <x:v>17121069</x:v>
      </x:c>
      <x:c r="F4322" s="66" t="str">
        <x:v>P. GURU SEK DASAR BILINGUAL (KAMP MAKASSAR)</x:v>
      </x:c>
      <x:c r="G4322" s="66" t="str">
        <x:v>Sarjana</x:v>
      </x:c>
      <x:c r="H4322" s="87" t="n">
        <x:v>32</x:v>
      </x:c>
      <x:c r="I4322" s="87" t="n">
        <x:v>170</x:v>
      </x:c>
      <x:c r="J4322" s="68" t="n">
        <x:f>IFERROR(H4322/I4322,"")</x:f>
        <x:v>0.18823529411764706</x:v>
      </x:c>
      <x:c r="K4322" s="69" t="n">
        <x:f>IFERROR(I4322/H4322,"")</x:f>
        <x:v>5.3125</x:v>
      </x:c>
      <x:c r="L4322" s="66" t="str">
        <x:f>IF(K4322="","","1 : "&amp;TEXT(K4322,"0.0"))</x:f>
        <x:v>1 : 5.3</x:v>
      </x:c>
      <x:c r="M4322" s="66" t="str">
        <x:f>IF(J4322="","Baru/Tanpa Data",IF(J4322&lt;='Catatan &amp; Sumber'!$B$14,"Sangat Ketat",IF(J4322&lt;='Catatan &amp; Sumber'!$B$15,"Ketat",IF(J4322&lt;='Catatan &amp; Sumber'!$B$16,"Sedang","Relatif Longgar"))))</x:f>
        <x:v>Relatif Longgar</x:v>
      </x:c>
      <x:c r="N4322" s="66" t="str">
        <x:v>Tidak Ada</x:v>
      </x:c>
      <x:c r="O4322" s="66" t="str">
        <x:v>Sulawesi Selatan</x:v>
      </x:c>
      <x:c r="P4322" s="66" t="str">
        <x:v>Kota Makassar</x:v>
      </x:c>
      <x:c r="Q4322" s="66" t="str">
        <x:v>https://snpmb.id/snbp/daya-tampung-snbp</x:v>
      </x:c>
      <x:c r="R4322" s="66" t="str">
        <x:v>https://sidatagrun-public-1076756628210.asia-southeast2.run.app/ptn_sn.php?ptn=712</x:v>
      </x:c>
    </x:row>
    <x:row r="4323">
      <x:c r="A4323" s="87" t="n">
        <x:v>2406</x:v>
      </x:c>
      <x:c r="B4323" s="66" t="n">
        <x:v>712</x:v>
      </x:c>
      <x:c r="C4323" s="66" t="str">
        <x:v>UNIVERSITAS NEGERI MAKASSAR</x:v>
      </x:c>
      <x:c r="D4323" s="66" t="str">
        <x:v>PTN Akademik</x:v>
      </x:c>
      <x:c r="E4323" s="66" t="str">
        <x:v>17121070</x:v>
      </x:c>
      <x:c r="F4323" s="66" t="str">
        <x:v>SENI TARI</x:v>
      </x:c>
      <x:c r="G4323" s="66" t="str">
        <x:v>Sarjana</x:v>
      </x:c>
      <x:c r="H4323" s="87" t="n">
        <x:v>11</x:v>
      </x:c>
      <x:c r="I4323" s="87" t="n">
        <x:v>56</x:v>
      </x:c>
      <x:c r="J4323" s="68" t="n">
        <x:f>IFERROR(H4323/I4323,"")</x:f>
        <x:v>0.19642857142857142</x:v>
      </x:c>
      <x:c r="K4323" s="69" t="n">
        <x:f>IFERROR(I4323/H4323,"")</x:f>
        <x:v>5.090909090909091</x:v>
      </x:c>
      <x:c r="L4323" s="66" t="str">
        <x:f>IF(K4323="","","1 : "&amp;TEXT(K4323,"0.0"))</x:f>
        <x:v>1 : 5.1</x:v>
      </x:c>
      <x:c r="M4323" s="66" t="str">
        <x:f>IF(J4323="","Baru/Tanpa Data",IF(J4323&lt;='Catatan &amp; Sumber'!$B$14,"Sangat Ketat",IF(J4323&lt;='Catatan &amp; Sumber'!$B$15,"Ketat",IF(J4323&lt;='Catatan &amp; Sumber'!$B$16,"Sedang","Relatif Longgar"))))</x:f>
        <x:v>Relatif Longgar</x:v>
      </x:c>
      <x:c r="N4323" s="66" t="str">
        <x:v>Tari</x:v>
      </x:c>
      <x:c r="O4323" s="66" t="str">
        <x:v>Sulawesi Selatan</x:v>
      </x:c>
      <x:c r="P4323" s="66" t="str">
        <x:v>Kota Makassar</x:v>
      </x:c>
      <x:c r="Q4323" s="66" t="str">
        <x:v>https://snpmb.id/snbp/daya-tampung-snbp</x:v>
      </x:c>
      <x:c r="R4323" s="66" t="str">
        <x:v>https://sidatagrun-public-1076756628210.asia-southeast2.run.app/ptn_sn.php?ptn=712</x:v>
      </x:c>
    </x:row>
    <x:row r="4324">
      <x:c r="A4324" s="87" t="n">
        <x:v>1365</x:v>
      </x:c>
      <x:c r="B4324" s="66" t="n">
        <x:v>712</x:v>
      </x:c>
      <x:c r="C4324" s="66" t="str">
        <x:v>UNIVERSITAS NEGERI MAKASSAR</x:v>
      </x:c>
      <x:c r="D4324" s="66" t="str">
        <x:v>PTN Akademik</x:v>
      </x:c>
      <x:c r="E4324" s="66" t="str">
        <x:v>17121071</x:v>
      </x:c>
      <x:c r="F4324" s="66" t="str">
        <x:v>PEND. ADMINISTRASI PERKANTORAN</x:v>
      </x:c>
      <x:c r="G4324" s="66" t="str">
        <x:v>Sarjana</x:v>
      </x:c>
      <x:c r="H4324" s="87" t="n">
        <x:v>36</x:v>
      </x:c>
      <x:c r="I4324" s="87" t="n">
        <x:v>362</x:v>
      </x:c>
      <x:c r="J4324" s="68" t="n">
        <x:f>IFERROR(H4324/I4324,"")</x:f>
        <x:v>0.09944751381215469</x:v>
      </x:c>
      <x:c r="K4324" s="69" t="n">
        <x:f>IFERROR(I4324/H4324,"")</x:f>
        <x:v>10.055555555555555</x:v>
      </x:c>
      <x:c r="L4324" s="66" t="str">
        <x:f>IF(K4324="","","1 : "&amp;TEXT(K4324,"0.0"))</x:f>
        <x:v>1 : 10.1</x:v>
      </x:c>
      <x:c r="M4324" s="66" t="str">
        <x:f>IF(J4324="","Baru/Tanpa Data",IF(J4324&lt;='Catatan &amp; Sumber'!$B$14,"Sangat Ketat",IF(J4324&lt;='Catatan &amp; Sumber'!$B$15,"Ketat",IF(J4324&lt;='Catatan &amp; Sumber'!$B$16,"Sedang","Relatif Longgar"))))</x:f>
        <x:v>Sedang</x:v>
      </x:c>
      <x:c r="N4324" s="66" t="str">
        <x:v>Tidak Ada</x:v>
      </x:c>
      <x:c r="O4324" s="66" t="str">
        <x:v>Sulawesi Selatan</x:v>
      </x:c>
      <x:c r="P4324" s="66" t="str">
        <x:v>Kota Makassar</x:v>
      </x:c>
      <x:c r="Q4324" s="66" t="str">
        <x:v>https://snpmb.id/snbp/daya-tampung-snbp</x:v>
      </x:c>
      <x:c r="R4324" s="66" t="str">
        <x:v>https://sidatagrun-public-1076756628210.asia-southeast2.run.app/ptn_sn.php?ptn=712</x:v>
      </x:c>
    </x:row>
    <x:row r="4325">
      <x:c r="A4325" s="87" t="n">
        <x:v>2618</x:v>
      </x:c>
      <x:c r="B4325" s="66" t="n">
        <x:v>712</x:v>
      </x:c>
      <x:c r="C4325" s="66" t="str">
        <x:v>UNIVERSITAS NEGERI MAKASSAR</x:v>
      </x:c>
      <x:c r="D4325" s="66" t="str">
        <x:v>PTN Akademik</x:v>
      </x:c>
      <x:c r="E4325" s="66" t="str">
        <x:v>17121073</x:v>
      </x:c>
      <x:c r="F4325" s="66" t="str">
        <x:v>PEND. AKUNTANSI</x:v>
      </x:c>
      <x:c r="G4325" s="66" t="str">
        <x:v>Sarjana</x:v>
      </x:c>
      <x:c r="H4325" s="87" t="n">
        <x:v>36</x:v>
      </x:c>
      <x:c r="I4325" s="87" t="n">
        <x:v>156</x:v>
      </x:c>
      <x:c r="J4325" s="68" t="n">
        <x:f>IFERROR(H4325/I4325,"")</x:f>
        <x:v>0.23076923076923078</x:v>
      </x:c>
      <x:c r="K4325" s="69" t="n">
        <x:f>IFERROR(I4325/H4325,"")</x:f>
        <x:v>4.333333333333333</x:v>
      </x:c>
      <x:c r="L4325" s="66" t="str">
        <x:f>IF(K4325="","","1 : "&amp;TEXT(K4325,"0.0"))</x:f>
        <x:v>1 : 4.3</x:v>
      </x:c>
      <x:c r="M4325" s="66" t="str">
        <x:f>IF(J4325="","Baru/Tanpa Data",IF(J4325&lt;='Catatan &amp; Sumber'!$B$14,"Sangat Ketat",IF(J4325&lt;='Catatan &amp; Sumber'!$B$15,"Ketat",IF(J4325&lt;='Catatan &amp; Sumber'!$B$16,"Sedang","Relatif Longgar"))))</x:f>
        <x:v>Relatif Longgar</x:v>
      </x:c>
      <x:c r="N4325" s="66" t="str">
        <x:v>Tidak Ada</x:v>
      </x:c>
      <x:c r="O4325" s="66" t="str">
        <x:v>Sulawesi Selatan</x:v>
      </x:c>
      <x:c r="P4325" s="66" t="str">
        <x:v>Kota Makassar</x:v>
      </x:c>
      <x:c r="Q4325" s="66" t="str">
        <x:v>https://snpmb.id/snbp/daya-tampung-snbp</x:v>
      </x:c>
      <x:c r="R4325" s="66" t="str">
        <x:v>https://sidatagrun-public-1076756628210.asia-southeast2.run.app/ptn_sn.php?ptn=712</x:v>
      </x:c>
    </x:row>
    <x:row r="4326">
      <x:c r="A4326" s="87" t="n">
        <x:v>3450</x:v>
      </x:c>
      <x:c r="B4326" s="66" t="n">
        <x:v>712</x:v>
      </x:c>
      <x:c r="C4326" s="66" t="str">
        <x:v>UNIVERSITAS NEGERI MAKASSAR</x:v>
      </x:c>
      <x:c r="D4326" s="66" t="str">
        <x:v>PTN Akademik</x:v>
      </x:c>
      <x:c r="E4326" s="66" t="str">
        <x:v>17121074</x:v>
      </x:c>
      <x:c r="F4326" s="66" t="str">
        <x:v>PENDIDIKAN ANTROPOLOGI</x:v>
      </x:c>
      <x:c r="G4326" s="66" t="str">
        <x:v>Sarjana</x:v>
      </x:c>
      <x:c r="H4326" s="87" t="n">
        <x:v>28</x:v>
      </x:c>
      <x:c r="I4326" s="87" t="n">
        <x:v>67</x:v>
      </x:c>
      <x:c r="J4326" s="68" t="n">
        <x:f>IFERROR(H4326/I4326,"")</x:f>
        <x:v>0.417910447761194</x:v>
      </x:c>
      <x:c r="K4326" s="69" t="n">
        <x:f>IFERROR(I4326/H4326,"")</x:f>
        <x:v>2.392857142857143</x:v>
      </x:c>
      <x:c r="L4326" s="66" t="str">
        <x:f>IF(K4326="","","1 : "&amp;TEXT(K4326,"0.0"))</x:f>
        <x:v>1 : 2.4</x:v>
      </x:c>
      <x:c r="M4326" s="66" t="str">
        <x:f>IF(J4326="","Baru/Tanpa Data",IF(J4326&lt;='Catatan &amp; Sumber'!$B$14,"Sangat Ketat",IF(J4326&lt;='Catatan &amp; Sumber'!$B$15,"Ketat",IF(J4326&lt;='Catatan &amp; Sumber'!$B$16,"Sedang","Relatif Longgar"))))</x:f>
        <x:v>Relatif Longgar</x:v>
      </x:c>
      <x:c r="N4326" s="66" t="str">
        <x:v>Tidak Ada</x:v>
      </x:c>
      <x:c r="O4326" s="66" t="str">
        <x:v>Sulawesi Selatan</x:v>
      </x:c>
      <x:c r="P4326" s="66" t="str">
        <x:v>Kota Makassar</x:v>
      </x:c>
      <x:c r="Q4326" s="66" t="str">
        <x:v>https://snpmb.id/snbp/daya-tampung-snbp</x:v>
      </x:c>
      <x:c r="R4326" s="66" t="str">
        <x:v>https://sidatagrun-public-1076756628210.asia-southeast2.run.app/ptn_sn.php?ptn=712</x:v>
      </x:c>
    </x:row>
    <x:row r="4327">
      <x:c r="A4327" s="87" t="n">
        <x:v>3441</x:v>
      </x:c>
      <x:c r="B4327" s="66" t="n">
        <x:v>712</x:v>
      </x:c>
      <x:c r="C4327" s="66" t="str">
        <x:v>UNIVERSITAS NEGERI MAKASSAR</x:v>
      </x:c>
      <x:c r="D4327" s="66" t="str">
        <x:v>PTN Akademik</x:v>
      </x:c>
      <x:c r="E4327" s="66" t="str">
        <x:v>17121076</x:v>
      </x:c>
      <x:c r="F4327" s="66" t="str">
        <x:v>PENDIDIKAN BAHASA ARAB</x:v>
      </x:c>
      <x:c r="G4327" s="66" t="str">
        <x:v>Sarjana</x:v>
      </x:c>
      <x:c r="H4327" s="87" t="n">
        <x:v>70</x:v>
      </x:c>
      <x:c r="I4327" s="87" t="n">
        <x:v>169</x:v>
      </x:c>
      <x:c r="J4327" s="68" t="n">
        <x:f>IFERROR(H4327/I4327,"")</x:f>
        <x:v>0.41420118343195267</x:v>
      </x:c>
      <x:c r="K4327" s="69" t="n">
        <x:f>IFERROR(I4327/H4327,"")</x:f>
        <x:v>2.414285714285714</x:v>
      </x:c>
      <x:c r="L4327" s="66" t="str">
        <x:f>IF(K4327="","","1 : "&amp;TEXT(K4327,"0.0"))</x:f>
        <x:v>1 : 2.4</x:v>
      </x:c>
      <x:c r="M4327" s="66" t="str">
        <x:f>IF(J4327="","Baru/Tanpa Data",IF(J4327&lt;='Catatan &amp; Sumber'!$B$14,"Sangat Ketat",IF(J4327&lt;='Catatan &amp; Sumber'!$B$15,"Ketat",IF(J4327&lt;='Catatan &amp; Sumber'!$B$16,"Sedang","Relatif Longgar"))))</x:f>
        <x:v>Relatif Longgar</x:v>
      </x:c>
      <x:c r="N4327" s="66" t="str">
        <x:v>Tidak Ada</x:v>
      </x:c>
      <x:c r="O4327" s="66" t="str">
        <x:v>Sulawesi Selatan</x:v>
      </x:c>
      <x:c r="P4327" s="66" t="str">
        <x:v>Kota Makassar</x:v>
      </x:c>
      <x:c r="Q4327" s="66" t="str">
        <x:v>https://snpmb.id/snbp/daya-tampung-snbp</x:v>
      </x:c>
      <x:c r="R4327" s="66" t="str">
        <x:v>https://sidatagrun-public-1076756628210.asia-southeast2.run.app/ptn_sn.php?ptn=712</x:v>
      </x:c>
    </x:row>
    <x:row r="4328">
      <x:c r="A4328" s="87" t="n">
        <x:v>589</x:v>
      </x:c>
      <x:c r="B4328" s="66" t="n">
        <x:v>712</x:v>
      </x:c>
      <x:c r="C4328" s="66" t="str">
        <x:v>UNIVERSITAS NEGERI MAKASSAR</x:v>
      </x:c>
      <x:c r="D4328" s="66" t="str">
        <x:v>PTN Akademik</x:v>
      </x:c>
      <x:c r="E4328" s="66" t="str">
        <x:v>17121077</x:v>
      </x:c>
      <x:c r="F4328" s="66" t="str">
        <x:v>ILMU ADMINISTRASI BISNIS</x:v>
      </x:c>
      <x:c r="G4328" s="66" t="str">
        <x:v>Sarjana</x:v>
      </x:c>
      <x:c r="H4328" s="87" t="n">
        <x:v>36</x:v>
      </x:c>
      <x:c r="I4328" s="87" t="n">
        <x:v>634</x:v>
      </x:c>
      <x:c r="J4328" s="68" t="n">
        <x:f>IFERROR(H4328/I4328,"")</x:f>
        <x:v>0.056782334384858045</x:v>
      </x:c>
      <x:c r="K4328" s="69" t="n">
        <x:f>IFERROR(I4328/H4328,"")</x:f>
        <x:v>17.61111111111111</x:v>
      </x:c>
      <x:c r="L4328" s="66" t="str">
        <x:f>IF(K4328="","","1 : "&amp;TEXT(K4328,"0.0"))</x:f>
        <x:v>1 : 17.6</x:v>
      </x:c>
      <x:c r="M4328" s="66" t="str">
        <x:f>IF(J4328="","Baru/Tanpa Data",IF(J4328&lt;='Catatan &amp; Sumber'!$B$14,"Sangat Ketat",IF(J4328&lt;='Catatan &amp; Sumber'!$B$15,"Ketat",IF(J4328&lt;='Catatan &amp; Sumber'!$B$16,"Sedang","Relatif Longgar"))))</x:f>
        <x:v>Sedang</x:v>
      </x:c>
      <x:c r="N4328" s="66" t="str">
        <x:v>Tidak Ada</x:v>
      </x:c>
      <x:c r="O4328" s="66" t="str">
        <x:v>Sulawesi Selatan</x:v>
      </x:c>
      <x:c r="P4328" s="66" t="str">
        <x:v>Kota Makassar</x:v>
      </x:c>
      <x:c r="Q4328" s="66" t="str">
        <x:v>https://snpmb.id/snbp/daya-tampung-snbp</x:v>
      </x:c>
      <x:c r="R4328" s="66" t="str">
        <x:v>https://sidatagrun-public-1076756628210.asia-southeast2.run.app/ptn_sn.php?ptn=712</x:v>
      </x:c>
    </x:row>
    <x:row r="4329">
      <x:c r="A4329" s="87" t="n">
        <x:v>3190</x:v>
      </x:c>
      <x:c r="B4329" s="66" t="n">
        <x:v>712</x:v>
      </x:c>
      <x:c r="C4329" s="66" t="str">
        <x:v>UNIVERSITAS NEGERI MAKASSAR</x:v>
      </x:c>
      <x:c r="D4329" s="66" t="str">
        <x:v>PTN Akademik</x:v>
      </x:c>
      <x:c r="E4329" s="66" t="str">
        <x:v>17121078</x:v>
      </x:c>
      <x:c r="F4329" s="66" t="str">
        <x:v>PENDIDIKAN BAHASA MANDARIN</x:v>
      </x:c>
      <x:c r="G4329" s="66" t="str">
        <x:v>Sarjana</x:v>
      </x:c>
      <x:c r="H4329" s="87" t="n">
        <x:v>37</x:v>
      </x:c>
      <x:c r="I4329" s="87" t="n">
        <x:v>109</x:v>
      </x:c>
      <x:c r="J4329" s="68" t="n">
        <x:f>IFERROR(H4329/I4329,"")</x:f>
        <x:v>0.3394495412844037</x:v>
      </x:c>
      <x:c r="K4329" s="69" t="n">
        <x:f>IFERROR(I4329/H4329,"")</x:f>
        <x:v>2.945945945945946</x:v>
      </x:c>
      <x:c r="L4329" s="66" t="str">
        <x:f>IF(K4329="","","1 : "&amp;TEXT(K4329,"0.0"))</x:f>
        <x:v>1 : 2.9</x:v>
      </x:c>
      <x:c r="M4329" s="66" t="str">
        <x:f>IF(J4329="","Baru/Tanpa Data",IF(J4329&lt;='Catatan &amp; Sumber'!$B$14,"Sangat Ketat",IF(J4329&lt;='Catatan &amp; Sumber'!$B$15,"Ketat",IF(J4329&lt;='Catatan &amp; Sumber'!$B$16,"Sedang","Relatif Longgar"))))</x:f>
        <x:v>Relatif Longgar</x:v>
      </x:c>
      <x:c r="N4329" s="66" t="str">
        <x:v>Tidak Ada</x:v>
      </x:c>
      <x:c r="O4329" s="66" t="str">
        <x:v>Sulawesi Selatan</x:v>
      </x:c>
      <x:c r="P4329" s="66" t="str">
        <x:v>Kota Makassar</x:v>
      </x:c>
      <x:c r="Q4329" s="66" t="str">
        <x:v>https://snpmb.id/snbp/daya-tampung-snbp</x:v>
      </x:c>
      <x:c r="R4329" s="66" t="str">
        <x:v>https://sidatagrun-public-1076756628210.asia-southeast2.run.app/ptn_sn.php?ptn=712</x:v>
      </x:c>
    </x:row>
    <x:row r="4330">
      <x:c r="A4330" s="87" t="n">
        <x:v>3117</x:v>
      </x:c>
      <x:c r="B4330" s="66" t="n">
        <x:v>712</x:v>
      </x:c>
      <x:c r="C4330" s="66" t="str">
        <x:v>UNIVERSITAS NEGERI MAKASSAR</x:v>
      </x:c>
      <x:c r="D4330" s="66" t="str">
        <x:v>PTN Akademik</x:v>
      </x:c>
      <x:c r="E4330" s="66" t="str">
        <x:v>17121079</x:v>
      </x:c>
      <x:c r="F4330" s="66" t="str">
        <x:v>KEWIRAUSAHAAN</x:v>
      </x:c>
      <x:c r="G4330" s="66" t="str">
        <x:v>Sarjana</x:v>
      </x:c>
      <x:c r="H4330" s="87" t="n">
        <x:v>65</x:v>
      </x:c>
      <x:c r="I4330" s="87" t="n">
        <x:v>204</x:v>
      </x:c>
      <x:c r="J4330" s="68" t="n">
        <x:f>IFERROR(H4330/I4330,"")</x:f>
        <x:v>0.31862745098039214</x:v>
      </x:c>
      <x:c r="K4330" s="69" t="n">
        <x:f>IFERROR(I4330/H4330,"")</x:f>
        <x:v>3.1384615384615384</x:v>
      </x:c>
      <x:c r="L4330" s="66" t="str">
        <x:f>IF(K4330="","","1 : "&amp;TEXT(K4330,"0.0"))</x:f>
        <x:v>1 : 3.1</x:v>
      </x:c>
      <x:c r="M4330" s="66" t="str">
        <x:f>IF(J4330="","Baru/Tanpa Data",IF(J4330&lt;='Catatan &amp; Sumber'!$B$14,"Sangat Ketat",IF(J4330&lt;='Catatan &amp; Sumber'!$B$15,"Ketat",IF(J4330&lt;='Catatan &amp; Sumber'!$B$16,"Sedang","Relatif Longgar"))))</x:f>
        <x:v>Relatif Longgar</x:v>
      </x:c>
      <x:c r="N4330" s="66" t="str">
        <x:v>Tidak Ada</x:v>
      </x:c>
      <x:c r="O4330" s="66" t="str">
        <x:v>Sulawesi Selatan</x:v>
      </x:c>
      <x:c r="P4330" s="66" t="str">
        <x:v>Kota Makassar</x:v>
      </x:c>
      <x:c r="Q4330" s="66" t="str">
        <x:v>https://snpmb.id/snbp/daya-tampung-snbp</x:v>
      </x:c>
      <x:c r="R4330" s="66" t="str">
        <x:v>https://sidatagrun-public-1076756628210.asia-southeast2.run.app/ptn_sn.php?ptn=712</x:v>
      </x:c>
    </x:row>
    <x:row r="4331">
      <x:c r="A4331" s="87" t="n">
        <x:v>2069</x:v>
      </x:c>
      <x:c r="B4331" s="66" t="n">
        <x:v>712</x:v>
      </x:c>
      <x:c r="C4331" s="66" t="str">
        <x:v>UNIVERSITAS NEGERI MAKASSAR</x:v>
      </x:c>
      <x:c r="D4331" s="66" t="str">
        <x:v>PTN Akademik</x:v>
      </x:c>
      <x:c r="E4331" s="66" t="str">
        <x:v>17121080</x:v>
      </x:c>
      <x:c r="F4331" s="66" t="str">
        <x:v>BISNIS DIGITAL</x:v>
      </x:c>
      <x:c r="G4331" s="66" t="str">
        <x:v>Sarjana</x:v>
      </x:c>
      <x:c r="H4331" s="87" t="n">
        <x:v>45</x:v>
      </x:c>
      <x:c r="I4331" s="87" t="n">
        <x:v>284</x:v>
      </x:c>
      <x:c r="J4331" s="68" t="n">
        <x:f>IFERROR(H4331/I4331,"")</x:f>
        <x:v>0.15845070422535212</x:v>
      </x:c>
      <x:c r="K4331" s="69" t="n">
        <x:f>IFERROR(I4331/H4331,"")</x:f>
        <x:v>6.311111111111111</x:v>
      </x:c>
      <x:c r="L4331" s="66" t="str">
        <x:f>IF(K4331="","","1 : "&amp;TEXT(K4331,"0.0"))</x:f>
        <x:v>1 : 6.3</x:v>
      </x:c>
      <x:c r="M4331" s="66" t="str">
        <x:f>IF(J4331="","Baru/Tanpa Data",IF(J4331&lt;='Catatan &amp; Sumber'!$B$14,"Sangat Ketat",IF(J4331&lt;='Catatan &amp; Sumber'!$B$15,"Ketat",IF(J4331&lt;='Catatan &amp; Sumber'!$B$16,"Sedang","Relatif Longgar"))))</x:f>
        <x:v>Relatif Longgar</x:v>
      </x:c>
      <x:c r="N4331" s="66" t="str">
        <x:v>Tidak Ada</x:v>
      </x:c>
      <x:c r="O4331" s="66" t="str">
        <x:v>Sulawesi Selatan</x:v>
      </x:c>
      <x:c r="P4331" s="66" t="str">
        <x:v>Kota Makassar</x:v>
      </x:c>
      <x:c r="Q4331" s="66" t="str">
        <x:v>https://snpmb.id/snbp/daya-tampung-snbp</x:v>
      </x:c>
      <x:c r="R4331" s="66" t="str">
        <x:v>https://sidatagrun-public-1076756628210.asia-southeast2.run.app/ptn_sn.php?ptn=712</x:v>
      </x:c>
    </x:row>
    <x:row r="4332">
      <x:c r="A4332" s="87" t="n">
        <x:v>1444</x:v>
      </x:c>
      <x:c r="B4332" s="66" t="n">
        <x:v>712</x:v>
      </x:c>
      <x:c r="C4332" s="66" t="str">
        <x:v>UNIVERSITAS NEGERI MAKASSAR</x:v>
      </x:c>
      <x:c r="D4332" s="66" t="str">
        <x:v>PTN Akademik</x:v>
      </x:c>
      <x:c r="E4332" s="66" t="str">
        <x:v>17121093</x:v>
      </x:c>
      <x:c r="F4332" s="66" t="str">
        <x:v>HUKUM BISNIS</x:v>
      </x:c>
      <x:c r="G4332" s="66" t="str">
        <x:v>Sarjana</x:v>
      </x:c>
      <x:c r="H4332" s="87" t="n">
        <x:v>36</x:v>
      </x:c>
      <x:c r="I4332" s="87" t="n">
        <x:v>341</x:v>
      </x:c>
      <x:c r="J4332" s="68" t="n">
        <x:f>IFERROR(H4332/I4332,"")</x:f>
        <x:v>0.10557184750733138</x:v>
      </x:c>
      <x:c r="K4332" s="69" t="n">
        <x:f>IFERROR(I4332/H4332,"")</x:f>
        <x:v>9.472222222222221</x:v>
      </x:c>
      <x:c r="L4332" s="66" t="str">
        <x:f>IF(K4332="","","1 : "&amp;TEXT(K4332,"0.0"))</x:f>
        <x:v>1 : 9.5</x:v>
      </x:c>
      <x:c r="M4332" s="66" t="str">
        <x:f>IF(J4332="","Baru/Tanpa Data",IF(J4332&lt;='Catatan &amp; Sumber'!$B$14,"Sangat Ketat",IF(J4332&lt;='Catatan &amp; Sumber'!$B$15,"Ketat",IF(J4332&lt;='Catatan &amp; Sumber'!$B$16,"Sedang","Relatif Longgar"))))</x:f>
        <x:v>Relatif Longgar</x:v>
      </x:c>
      <x:c r="N4332" s="66" t="str">
        <x:v>Tidak Ada</x:v>
      </x:c>
      <x:c r="O4332" s="66" t="str">
        <x:v>Sulawesi Selatan</x:v>
      </x:c>
      <x:c r="P4332" s="66" t="str">
        <x:v>Kota Makassar</x:v>
      </x:c>
      <x:c r="Q4332" s="66" t="str">
        <x:v>https://snpmb.id/snbp/daya-tampung-snbp</x:v>
      </x:c>
      <x:c r="R4332" s="66" t="str">
        <x:v>https://sidatagrun-public-1076756628210.asia-southeast2.run.app/ptn_sn.php?ptn=712</x:v>
      </x:c>
    </x:row>
    <x:row r="4333">
      <x:c r="A4333" s="87" t="n">
        <x:v>4107</x:v>
      </x:c>
      <x:c r="B4333" s="66" t="n">
        <x:v>712</x:v>
      </x:c>
      <x:c r="C4333" s="66" t="str">
        <x:v>UNIVERSITAS NEGERI MAKASSAR</x:v>
      </x:c>
      <x:c r="D4333" s="66" t="str">
        <x:v>PTN Akademik</x:v>
      </x:c>
      <x:c r="E4333" s="66" t="str">
        <x:v>17121094</x:v>
      </x:c>
      <x:c r="F4333" s="66" t="str">
        <x:v>REKAYASA ELEKTRO</x:v>
      </x:c>
      <x:c r="G4333" s="66" t="str">
        <x:v>Sarjana</x:v>
      </x:c>
      <x:c r="H4333" s="87" t="n">
        <x:v>22</x:v>
      </x:c>
      <x:c r="I4333" s="87" t="n">
        <x:v>29</x:v>
      </x:c>
      <x:c r="J4333" s="68" t="n">
        <x:f>IFERROR(H4333/I4333,"")</x:f>
        <x:v>0.7586206896551724</x:v>
      </x:c>
      <x:c r="K4333" s="69" t="n">
        <x:f>IFERROR(I4333/H4333,"")</x:f>
        <x:v>1.3181818181818181</x:v>
      </x:c>
      <x:c r="L4333" s="66" t="str">
        <x:f>IF(K4333="","","1 : "&amp;TEXT(K4333,"0.0"))</x:f>
        <x:v>1 : 1.3</x:v>
      </x:c>
      <x:c r="M4333" s="66" t="str">
        <x:f>IF(J4333="","Baru/Tanpa Data",IF(J4333&lt;='Catatan &amp; Sumber'!$B$14,"Sangat Ketat",IF(J4333&lt;='Catatan &amp; Sumber'!$B$15,"Ketat",IF(J4333&lt;='Catatan &amp; Sumber'!$B$16,"Sedang","Relatif Longgar"))))</x:f>
        <x:v>Relatif Longgar</x:v>
      </x:c>
      <x:c r="N4333" s="66" t="str">
        <x:v>Tidak Ada</x:v>
      </x:c>
      <x:c r="O4333" s="66" t="str">
        <x:v>Sulawesi Selatan</x:v>
      </x:c>
      <x:c r="P4333" s="66" t="str">
        <x:v>Kota Makassar</x:v>
      </x:c>
      <x:c r="Q4333" s="66" t="str">
        <x:v>https://snpmb.id/snbp/daya-tampung-snbp</x:v>
      </x:c>
      <x:c r="R4333" s="66" t="str">
        <x:v>https://sidatagrun-public-1076756628210.asia-southeast2.run.app/ptn_sn.php?ptn=712</x:v>
      </x:c>
    </x:row>
    <x:row r="4334">
      <x:c r="A4334" s="87" t="n">
        <x:v>1881</x:v>
      </x:c>
      <x:c r="B4334" s="66" t="n">
        <x:v>712</x:v>
      </x:c>
      <x:c r="C4334" s="66" t="str">
        <x:v>UNIVERSITAS NEGERI MAKASSAR</x:v>
      </x:c>
      <x:c r="D4334" s="66" t="str">
        <x:v>PTN Akademik</x:v>
      </x:c>
      <x:c r="E4334" s="66" t="str">
        <x:v>17121095</x:v>
      </x:c>
      <x:c r="F4334" s="66" t="str">
        <x:v>TEKNOLOGI INDUSTRI PERTANIAN</x:v>
      </x:c>
      <x:c r="G4334" s="66" t="str">
        <x:v>Sarjana</x:v>
      </x:c>
      <x:c r="H4334" s="87" t="n">
        <x:v>24</x:v>
      </x:c>
      <x:c r="I4334" s="87" t="n">
        <x:v>172</x:v>
      </x:c>
      <x:c r="J4334" s="68" t="n">
        <x:f>IFERROR(H4334/I4334,"")</x:f>
        <x:v>0.13953488372093023</x:v>
      </x:c>
      <x:c r="K4334" s="69" t="n">
        <x:f>IFERROR(I4334/H4334,"")</x:f>
        <x:v>7.166666666666667</x:v>
      </x:c>
      <x:c r="L4334" s="66" t="str">
        <x:f>IF(K4334="","","1 : "&amp;TEXT(K4334,"0.0"))</x:f>
        <x:v>1 : 7.2</x:v>
      </x:c>
      <x:c r="M4334" s="66" t="str">
        <x:f>IF(J4334="","Baru/Tanpa Data",IF(J4334&lt;='Catatan &amp; Sumber'!$B$14,"Sangat Ketat",IF(J4334&lt;='Catatan &amp; Sumber'!$B$15,"Ketat",IF(J4334&lt;='Catatan &amp; Sumber'!$B$16,"Sedang","Relatif Longgar"))))</x:f>
        <x:v>Relatif Longgar</x:v>
      </x:c>
      <x:c r="N4334" s="66" t="str">
        <x:v>Tidak Ada</x:v>
      </x:c>
      <x:c r="O4334" s="66" t="str">
        <x:v>Sulawesi Selatan</x:v>
      </x:c>
      <x:c r="P4334" s="66" t="str">
        <x:v>Kota Makassar</x:v>
      </x:c>
      <x:c r="Q4334" s="66" t="str">
        <x:v>https://snpmb.id/snbp/daya-tampung-snbp</x:v>
      </x:c>
      <x:c r="R4334" s="66" t="str">
        <x:v>https://sidatagrun-public-1076756628210.asia-southeast2.run.app/ptn_sn.php?ptn=712</x:v>
      </x:c>
    </x:row>
    <x:row r="4335">
      <x:c r="A4335" s="87" t="n">
        <x:v>3368</x:v>
      </x:c>
      <x:c r="B4335" s="66" t="n">
        <x:v>712</x:v>
      </x:c>
      <x:c r="C4335" s="66" t="str">
        <x:v>UNIVERSITAS NEGERI MAKASSAR</x:v>
      </x:c>
      <x:c r="D4335" s="66" t="str">
        <x:v>PTN Akademik</x:v>
      </x:c>
      <x:c r="E4335" s="66" t="str">
        <x:v>17121096</x:v>
      </x:c>
      <x:c r="F4335" s="66" t="str">
        <x:v>BIOTEKNOLOGI</x:v>
      </x:c>
      <x:c r="G4335" s="66" t="str">
        <x:v>Sarjana</x:v>
      </x:c>
      <x:c r="H4335" s="87" t="n">
        <x:v>32</x:v>
      </x:c>
      <x:c r="I4335" s="87" t="n">
        <x:v>82</x:v>
      </x:c>
      <x:c r="J4335" s="68" t="n">
        <x:f>IFERROR(H4335/I4335,"")</x:f>
        <x:v>0.3902439024390244</x:v>
      </x:c>
      <x:c r="K4335" s="69" t="n">
        <x:f>IFERROR(I4335/H4335,"")</x:f>
        <x:v>2.5625</x:v>
      </x:c>
      <x:c r="L4335" s="66" t="str">
        <x:f>IF(K4335="","","1 : "&amp;TEXT(K4335,"0.0"))</x:f>
        <x:v>1 : 2.6</x:v>
      </x:c>
      <x:c r="M4335" s="66" t="str">
        <x:f>IF(J4335="","Baru/Tanpa Data",IF(J4335&lt;='Catatan &amp; Sumber'!$B$14,"Sangat Ketat",IF(J4335&lt;='Catatan &amp; Sumber'!$B$15,"Ketat",IF(J4335&lt;='Catatan &amp; Sumber'!$B$16,"Sedang","Relatif Longgar"))))</x:f>
        <x:v>Relatif Longgar</x:v>
      </x:c>
      <x:c r="N4335" s="66" t="str">
        <x:v>Tidak Ada</x:v>
      </x:c>
      <x:c r="O4335" s="66" t="str">
        <x:v>Sulawesi Selatan</x:v>
      </x:c>
      <x:c r="P4335" s="66" t="str">
        <x:v>Kota Makassar</x:v>
      </x:c>
      <x:c r="Q4335" s="66" t="str">
        <x:v>https://snpmb.id/snbp/daya-tampung-snbp</x:v>
      </x:c>
      <x:c r="R4335" s="66" t="str">
        <x:v>https://sidatagrun-public-1076756628210.asia-southeast2.run.app/ptn_sn.php?ptn=712</x:v>
      </x:c>
    </x:row>
    <x:row r="4336">
      <x:c r="A4336" s="87" t="n">
        <x:v>4189</x:v>
      </x:c>
      <x:c r="B4336" s="66" t="n">
        <x:v>712</x:v>
      </x:c>
      <x:c r="C4336" s="66" t="str">
        <x:v>UNIVERSITAS NEGERI MAKASSAR</x:v>
      </x:c>
      <x:c r="D4336" s="66" t="str">
        <x:v>PTN Akademik</x:v>
      </x:c>
      <x:c r="E4336" s="66" t="str">
        <x:v>17121097</x:v>
      </x:c>
      <x:c r="F4336" s="66" t="str">
        <x:v>SAINS INFORMASI GEOGRAFI</x:v>
      </x:c>
      <x:c r="G4336" s="66" t="str">
        <x:v>Sarjana</x:v>
      </x:c>
      <x:c r="H4336" s="87" t="n">
        <x:v>32</x:v>
      </x:c>
      <x:c r="I4336" s="87" t="n">
        <x:v>38</x:v>
      </x:c>
      <x:c r="J4336" s="68" t="n">
        <x:f>IFERROR(H4336/I4336,"")</x:f>
        <x:v>0.8421052631578947</x:v>
      </x:c>
      <x:c r="K4336" s="69" t="n">
        <x:f>IFERROR(I4336/H4336,"")</x:f>
        <x:v>1.1875</x:v>
      </x:c>
      <x:c r="L4336" s="66" t="str">
        <x:f>IF(K4336="","","1 : "&amp;TEXT(K4336,"0.0"))</x:f>
        <x:v>1 : 1.2</x:v>
      </x:c>
      <x:c r="M4336" s="66" t="str">
        <x:f>IF(J4336="","Baru/Tanpa Data",IF(J4336&lt;='Catatan &amp; Sumber'!$B$14,"Sangat Ketat",IF(J4336&lt;='Catatan &amp; Sumber'!$B$15,"Ketat",IF(J4336&lt;='Catatan &amp; Sumber'!$B$16,"Sedang","Relatif Longgar"))))</x:f>
        <x:v>Relatif Longgar</x:v>
      </x:c>
      <x:c r="N4336" s="66" t="str">
        <x:v>Tidak Ada</x:v>
      </x:c>
      <x:c r="O4336" s="66" t="str">
        <x:v>Sulawesi Selatan</x:v>
      </x:c>
      <x:c r="P4336" s="66" t="str">
        <x:v>Kota Makassar</x:v>
      </x:c>
      <x:c r="Q4336" s="66" t="str">
        <x:v>https://snpmb.id/snbp/daya-tampung-snbp</x:v>
      </x:c>
      <x:c r="R4336" s="66" t="str">
        <x:v>https://sidatagrun-public-1076756628210.asia-southeast2.run.app/ptn_sn.php?ptn=712</x:v>
      </x:c>
    </x:row>
    <x:row r="4337">
      <x:c r="A4337" s="87" t="n">
        <x:v>3332</x:v>
      </x:c>
      <x:c r="B4337" s="66" t="n">
        <x:v>712</x:v>
      </x:c>
      <x:c r="C4337" s="66" t="str">
        <x:v>UNIVERSITAS NEGERI MAKASSAR</x:v>
      </x:c>
      <x:c r="D4337" s="66" t="str">
        <x:v>PTN Akademik</x:v>
      </x:c>
      <x:c r="E4337" s="66" t="str">
        <x:v>17121099</x:v>
      </x:c>
      <x:c r="F4337" s="66" t="str">
        <x:v>SAINS AKTUARIA</x:v>
      </x:c>
      <x:c r="G4337" s="66" t="str">
        <x:v>Sarjana</x:v>
      </x:c>
      <x:c r="H4337" s="87" t="n">
        <x:v>32</x:v>
      </x:c>
      <x:c r="I4337" s="87" t="n">
        <x:v>84</x:v>
      </x:c>
      <x:c r="J4337" s="68" t="n">
        <x:f>IFERROR(H4337/I4337,"")</x:f>
        <x:v>0.38095238095238093</x:v>
      </x:c>
      <x:c r="K4337" s="69" t="n">
        <x:f>IFERROR(I4337/H4337,"")</x:f>
        <x:v>2.625</x:v>
      </x:c>
      <x:c r="L4337" s="66" t="str">
        <x:f>IF(K4337="","","1 : "&amp;TEXT(K4337,"0.0"))</x:f>
        <x:v>1 : 2.6</x:v>
      </x:c>
      <x:c r="M4337" s="66" t="str">
        <x:f>IF(J4337="","Baru/Tanpa Data",IF(J4337&lt;='Catatan &amp; Sumber'!$B$14,"Sangat Ketat",IF(J4337&lt;='Catatan &amp; Sumber'!$B$15,"Ketat",IF(J4337&lt;='Catatan &amp; Sumber'!$B$16,"Sedang","Relatif Longgar"))))</x:f>
        <x:v>Relatif Longgar</x:v>
      </x:c>
      <x:c r="N4337" s="66" t="str">
        <x:v>Tidak Ada</x:v>
      </x:c>
      <x:c r="O4337" s="66" t="str">
        <x:v>Sulawesi Selatan</x:v>
      </x:c>
      <x:c r="P4337" s="66" t="str">
        <x:v>Kota Makassar</x:v>
      </x:c>
      <x:c r="Q4337" s="66" t="str">
        <x:v>https://snpmb.id/snbp/daya-tampung-snbp</x:v>
      </x:c>
      <x:c r="R4337" s="66" t="str">
        <x:v>https://sidatagrun-public-1076756628210.asia-southeast2.run.app/ptn_sn.php?ptn=712</x:v>
      </x:c>
    </x:row>
    <x:row r="4338">
      <x:c r="A4338" s="87" t="n">
        <x:v>106</x:v>
      </x:c>
      <x:c r="B4338" s="66" t="n">
        <x:v>712</x:v>
      </x:c>
      <x:c r="C4338" s="66" t="str">
        <x:v>UNIVERSITAS NEGERI MAKASSAR</x:v>
      </x:c>
      <x:c r="D4338" s="66" t="str">
        <x:v>PTN Akademik</x:v>
      </x:c>
      <x:c r="E4338" s="66" t="str">
        <x:v>17121100</x:v>
      </x:c>
      <x:c r="F4338" s="66" t="str">
        <x:v>KEDOKTERAN</x:v>
      </x:c>
      <x:c r="G4338" s="66" t="str">
        <x:v>Sarjana</x:v>
      </x:c>
      <x:c r="H4338" s="87" t="n">
        <x:v>10</x:v>
      </x:c>
      <x:c r="I4338" s="87" t="n">
        <x:v>344</x:v>
      </x:c>
      <x:c r="J4338" s="68" t="n">
        <x:f>IFERROR(H4338/I4338,"")</x:f>
        <x:v>0.029069767441860465</x:v>
      </x:c>
      <x:c r="K4338" s="69" t="n">
        <x:f>IFERROR(I4338/H4338,"")</x:f>
        <x:v>34.4</x:v>
      </x:c>
      <x:c r="L4338" s="66" t="str">
        <x:f>IF(K4338="","","1 : "&amp;TEXT(K4338,"0.0"))</x:f>
        <x:v>1 : 34.4</x:v>
      </x:c>
      <x:c r="M4338" s="66" t="str">
        <x:f>IF(J4338="","Baru/Tanpa Data",IF(J4338&lt;='Catatan &amp; Sumber'!$B$14,"Sangat Ketat",IF(J4338&lt;='Catatan &amp; Sumber'!$B$15,"Ketat",IF(J4338&lt;='Catatan &amp; Sumber'!$B$16,"Sedang","Relatif Longgar"))))</x:f>
        <x:v>Ketat</x:v>
      </x:c>
      <x:c r="N4338" s="66" t="str">
        <x:v>Tidak Ada</x:v>
      </x:c>
      <x:c r="O4338" s="66" t="str">
        <x:v>Sulawesi Selatan</x:v>
      </x:c>
      <x:c r="P4338" s="66" t="str">
        <x:v>Kota Makassar</x:v>
      </x:c>
      <x:c r="Q4338" s="66" t="str">
        <x:v>https://snpmb.id/snbp/daya-tampung-snbp</x:v>
      </x:c>
      <x:c r="R4338" s="66" t="str">
        <x:v>https://sidatagrun-public-1076756628210.asia-southeast2.run.app/ptn_sn.php?ptn=712</x:v>
      </x:c>
    </x:row>
    <x:row r="4339">
      <x:c r="A4339" s="87" t="n">
        <x:v>4241</x:v>
      </x:c>
      <x:c r="B4339" s="66" t="n">
        <x:v>712</x:v>
      </x:c>
      <x:c r="C4339" s="66" t="str">
        <x:v>UNIVERSITAS NEGERI MAKASSAR</x:v>
      </x:c>
      <x:c r="D4339" s="66" t="str">
        <x:v>PTN Akademik</x:v>
      </x:c>
      <x:c r="E4339" s="66" t="str">
        <x:v>17121101</x:v>
      </x:c>
      <x:c r="F4339" s="66" t="str">
        <x:v>SAINS LINGKUNGAN</x:v>
      </x:c>
      <x:c r="G4339" s="66" t="str">
        <x:v>Sarjana</x:v>
      </x:c>
      <x:c r="H4339" s="87" t="n">
        <x:v>18</x:v>
      </x:c>
      <x:c r="I4339" s="87" t="n">
        <x:v>20</x:v>
      </x:c>
      <x:c r="J4339" s="68" t="n">
        <x:f>IFERROR(H4339/I4339,"")</x:f>
        <x:v>0.9</x:v>
      </x:c>
      <x:c r="K4339" s="69" t="n">
        <x:f>IFERROR(I4339/H4339,"")</x:f>
        <x:v>1.1111111111111112</x:v>
      </x:c>
      <x:c r="L4339" s="66" t="str">
        <x:f>IF(K4339="","","1 : "&amp;TEXT(K4339,"0.0"))</x:f>
        <x:v>1 : 1.1</x:v>
      </x:c>
      <x:c r="M4339" s="66" t="str">
        <x:f>IF(J4339="","Baru/Tanpa Data",IF(J4339&lt;='Catatan &amp; Sumber'!$B$14,"Sangat Ketat",IF(J4339&lt;='Catatan &amp; Sumber'!$B$15,"Ketat",IF(J4339&lt;='Catatan &amp; Sumber'!$B$16,"Sedang","Relatif Longgar"))))</x:f>
        <x:v>Relatif Longgar</x:v>
      </x:c>
      <x:c r="N4339" s="66" t="str">
        <x:v>Tidak Ada</x:v>
      </x:c>
      <x:c r="O4339" s="66" t="str">
        <x:v>Sulawesi Selatan</x:v>
      </x:c>
      <x:c r="P4339" s="66" t="str">
        <x:v>Kota Makassar</x:v>
      </x:c>
      <x:c r="Q4339" s="66" t="str">
        <x:v>https://snpmb.id/snbp/daya-tampung-snbp</x:v>
      </x:c>
      <x:c r="R4339" s="66" t="str">
        <x:v>https://sidatagrun-public-1076756628210.asia-southeast2.run.app/ptn_sn.php?ptn=712</x:v>
      </x:c>
    </x:row>
    <x:row r="4340">
      <x:c r="A4340" s="87"/>
      <x:c r="B4340" s="66" t="n">
        <x:v>712</x:v>
      </x:c>
      <x:c r="C4340" s="66" t="str">
        <x:v>UNIVERSITAS NEGERI MAKASSAR</x:v>
      </x:c>
      <x:c r="D4340" s="66" t="str">
        <x:v>PTN Akademik</x:v>
      </x:c>
      <x:c r="E4340" s="66" t="str">
        <x:v>17121103</x:v>
      </x:c>
      <x:c r="F4340" s="66" t="str">
        <x:v>PENDIDIKAN BAHASA BUGIS</x:v>
      </x:c>
      <x:c r="G4340" s="66" t="str">
        <x:v>Sarjana</x:v>
      </x:c>
      <x:c r="H4340" s="87" t="n">
        <x:v>14</x:v>
      </x:c>
      <x:c r="I4340" s="87"/>
      <x:c r="J4340" s="68" t="str">
        <x:f>IFERROR(H4340/I4340,"")</x:f>
      </x:c>
      <x:c r="K4340" s="69" t="n">
        <x:f>IFERROR(I4340/H4340,"")</x:f>
        <x:v>0</x:v>
      </x:c>
      <x:c r="L4340" s="66" t="str">
        <x:f>IF(K4340="","","1 : "&amp;TEXT(K4340,"0.0"))</x:f>
      </x:c>
      <x:c r="M4340" s="66" t="str">
        <x:f>IF(J4340="","Baru/Tanpa Data",IF(J4340&lt;='Catatan &amp; Sumber'!$B$14,"Sangat Ketat",IF(J4340&lt;='Catatan &amp; Sumber'!$B$15,"Ketat",IF(J4340&lt;='Catatan &amp; Sumber'!$B$16,"Sedang","Relatif Longgar"))))</x:f>
        <x:v>Baru/Tanpa Data</x:v>
      </x:c>
      <x:c r="N4340" s="66" t="str">
        <x:v>Tidak Ada</x:v>
      </x:c>
      <x:c r="O4340" s="66" t="str">
        <x:v>Sulawesi Selatan</x:v>
      </x:c>
      <x:c r="P4340" s="66" t="str">
        <x:v>Kota Makassar</x:v>
      </x:c>
      <x:c r="Q4340" s="66" t="str">
        <x:v>https://snpmb.id/snbp/daya-tampung-snbp</x:v>
      </x:c>
      <x:c r="R4340" s="66" t="str">
        <x:v>https://sidatagrun-public-1076756628210.asia-southeast2.run.app/ptn_sn.php?ptn=712</x:v>
      </x:c>
    </x:row>
    <x:row r="4341">
      <x:c r="A4341" s="87"/>
      <x:c r="B4341" s="66" t="n">
        <x:v>712</x:v>
      </x:c>
      <x:c r="C4341" s="66" t="str">
        <x:v>UNIVERSITAS NEGERI MAKASSAR</x:v>
      </x:c>
      <x:c r="D4341" s="66" t="str">
        <x:v>PTN Akademik</x:v>
      </x:c>
      <x:c r="E4341" s="66" t="str">
        <x:v>17121104</x:v>
      </x:c>
      <x:c r="F4341" s="66" t="str">
        <x:v>PENDIDIKAN BAHASA MAKASSAR</x:v>
      </x:c>
      <x:c r="G4341" s="66" t="str">
        <x:v>Sarjana</x:v>
      </x:c>
      <x:c r="H4341" s="87" t="n">
        <x:v>25</x:v>
      </x:c>
      <x:c r="I4341" s="87"/>
      <x:c r="J4341" s="68" t="str">
        <x:f>IFERROR(H4341/I4341,"")</x:f>
      </x:c>
      <x:c r="K4341" s="69" t="n">
        <x:f>IFERROR(I4341/H4341,"")</x:f>
        <x:v>0</x:v>
      </x:c>
      <x:c r="L4341" s="66" t="str">
        <x:f>IF(K4341="","","1 : "&amp;TEXT(K4341,"0.0"))</x:f>
      </x:c>
      <x:c r="M4341" s="66" t="str">
        <x:f>IF(J4341="","Baru/Tanpa Data",IF(J4341&lt;='Catatan &amp; Sumber'!$B$14,"Sangat Ketat",IF(J4341&lt;='Catatan &amp; Sumber'!$B$15,"Ketat",IF(J4341&lt;='Catatan &amp; Sumber'!$B$16,"Sedang","Relatif Longgar"))))</x:f>
        <x:v>Baru/Tanpa Data</x:v>
      </x:c>
      <x:c r="N4341" s="66" t="str">
        <x:v>Tidak Ada</x:v>
      </x:c>
      <x:c r="O4341" s="66" t="str">
        <x:v>Sulawesi Selatan</x:v>
      </x:c>
      <x:c r="P4341" s="66" t="str">
        <x:v>Kota Makassar</x:v>
      </x:c>
      <x:c r="Q4341" s="66" t="str">
        <x:v>https://snpmb.id/snbp/daya-tampung-snbp</x:v>
      </x:c>
      <x:c r="R4341" s="66" t="str">
        <x:v>https://sidatagrun-public-1076756628210.asia-southeast2.run.app/ptn_sn.php?ptn=712</x:v>
      </x:c>
    </x:row>
    <x:row r="4342">
      <x:c r="A4342" s="87"/>
      <x:c r="B4342" s="66" t="n">
        <x:v>712</x:v>
      </x:c>
      <x:c r="C4342" s="66" t="str">
        <x:v>UNIVERSITAS NEGERI MAKASSAR</x:v>
      </x:c>
      <x:c r="D4342" s="66" t="str">
        <x:v>PTN Akademik</x:v>
      </x:c>
      <x:c r="E4342" s="66" t="str">
        <x:v>17121105</x:v>
      </x:c>
      <x:c r="F4342" s="66" t="str">
        <x:v>SASTRA ARAB</x:v>
      </x:c>
      <x:c r="G4342" s="66" t="str">
        <x:v>Sarjana</x:v>
      </x:c>
      <x:c r="H4342" s="87" t="n">
        <x:v>13</x:v>
      </x:c>
      <x:c r="I4342" s="87"/>
      <x:c r="J4342" s="68" t="str">
        <x:f>IFERROR(H4342/I4342,"")</x:f>
      </x:c>
      <x:c r="K4342" s="69" t="n">
        <x:f>IFERROR(I4342/H4342,"")</x:f>
        <x:v>0</x:v>
      </x:c>
      <x:c r="L4342" s="66" t="str">
        <x:f>IF(K4342="","","1 : "&amp;TEXT(K4342,"0.0"))</x:f>
      </x:c>
      <x:c r="M4342" s="66" t="str">
        <x:f>IF(J4342="","Baru/Tanpa Data",IF(J4342&lt;='Catatan &amp; Sumber'!$B$14,"Sangat Ketat",IF(J4342&lt;='Catatan &amp; Sumber'!$B$15,"Ketat",IF(J4342&lt;='Catatan &amp; Sumber'!$B$16,"Sedang","Relatif Longgar"))))</x:f>
        <x:v>Baru/Tanpa Data</x:v>
      </x:c>
      <x:c r="N4342" s="66" t="str">
        <x:v>Tidak Ada</x:v>
      </x:c>
      <x:c r="O4342" s="66" t="str">
        <x:v>Sulawesi Selatan</x:v>
      </x:c>
      <x:c r="P4342" s="66" t="str">
        <x:v>Kota Makassar</x:v>
      </x:c>
      <x:c r="Q4342" s="66" t="str">
        <x:v>https://snpmb.id/snbp/daya-tampung-snbp</x:v>
      </x:c>
      <x:c r="R4342" s="66" t="str">
        <x:v>https://sidatagrun-public-1076756628210.asia-southeast2.run.app/ptn_sn.php?ptn=712</x:v>
      </x:c>
    </x:row>
    <x:row r="4343">
      <x:c r="A4343" s="87"/>
      <x:c r="B4343" s="66" t="n">
        <x:v>712</x:v>
      </x:c>
      <x:c r="C4343" s="66" t="str">
        <x:v>UNIVERSITAS NEGERI MAKASSAR</x:v>
      </x:c>
      <x:c r="D4343" s="66" t="str">
        <x:v>PTN Akademik</x:v>
      </x:c>
      <x:c r="E4343" s="66" t="str">
        <x:v>17121106</x:v>
      </x:c>
      <x:c r="F4343" s="66" t="str">
        <x:v>REKAYASA INDUSTRI</x:v>
      </x:c>
      <x:c r="G4343" s="66" t="str">
        <x:v>Sarjana</x:v>
      </x:c>
      <x:c r="H4343" s="87" t="n">
        <x:v>12</x:v>
      </x:c>
      <x:c r="I4343" s="87"/>
      <x:c r="J4343" s="68" t="str">
        <x:f>IFERROR(H4343/I4343,"")</x:f>
      </x:c>
      <x:c r="K4343" s="69" t="n">
        <x:f>IFERROR(I4343/H4343,"")</x:f>
        <x:v>0</x:v>
      </x:c>
      <x:c r="L4343" s="66" t="str">
        <x:f>IF(K4343="","","1 : "&amp;TEXT(K4343,"0.0"))</x:f>
      </x:c>
      <x:c r="M4343" s="66" t="str">
        <x:f>IF(J4343="","Baru/Tanpa Data",IF(J4343&lt;='Catatan &amp; Sumber'!$B$14,"Sangat Ketat",IF(J4343&lt;='Catatan &amp; Sumber'!$B$15,"Ketat",IF(J4343&lt;='Catatan &amp; Sumber'!$B$16,"Sedang","Relatif Longgar"))))</x:f>
        <x:v>Baru/Tanpa Data</x:v>
      </x:c>
      <x:c r="N4343" s="66" t="str">
        <x:v>Tidak Ada</x:v>
      </x:c>
      <x:c r="O4343" s="66" t="str">
        <x:v>Sulawesi Selatan</x:v>
      </x:c>
      <x:c r="P4343" s="66" t="str">
        <x:v>Kota Makassar</x:v>
      </x:c>
      <x:c r="Q4343" s="66" t="str">
        <x:v>https://snpmb.id/snbp/daya-tampung-snbp</x:v>
      </x:c>
      <x:c r="R4343" s="66" t="str">
        <x:v>https://sidatagrun-public-1076756628210.asia-southeast2.run.app/ptn_sn.php?ptn=712</x:v>
      </x:c>
    </x:row>
    <x:row r="4344">
      <x:c r="A4344" s="87"/>
      <x:c r="B4344" s="66" t="n">
        <x:v>712</x:v>
      </x:c>
      <x:c r="C4344" s="66" t="str">
        <x:v>UNIVERSITAS NEGERI MAKASSAR</x:v>
      </x:c>
      <x:c r="D4344" s="66" t="str">
        <x:v>PTN Akademik</x:v>
      </x:c>
      <x:c r="E4344" s="66" t="str">
        <x:v>17121107</x:v>
      </x:c>
      <x:c r="F4344" s="66" t="str">
        <x:v>SAINS PERIKANAN</x:v>
      </x:c>
      <x:c r="G4344" s="66" t="str">
        <x:v>Sarjana</x:v>
      </x:c>
      <x:c r="H4344" s="87" t="n">
        <x:v>22</x:v>
      </x:c>
      <x:c r="I4344" s="87"/>
      <x:c r="J4344" s="68" t="str">
        <x:f>IFERROR(H4344/I4344,"")</x:f>
      </x:c>
      <x:c r="K4344" s="69" t="n">
        <x:f>IFERROR(I4344/H4344,"")</x:f>
        <x:v>0</x:v>
      </x:c>
      <x:c r="L4344" s="66" t="str">
        <x:f>IF(K4344="","","1 : "&amp;TEXT(K4344,"0.0"))</x:f>
      </x:c>
      <x:c r="M4344" s="66" t="str">
        <x:f>IF(J4344="","Baru/Tanpa Data",IF(J4344&lt;='Catatan &amp; Sumber'!$B$14,"Sangat Ketat",IF(J4344&lt;='Catatan &amp; Sumber'!$B$15,"Ketat",IF(J4344&lt;='Catatan &amp; Sumber'!$B$16,"Sedang","Relatif Longgar"))))</x:f>
        <x:v>Baru/Tanpa Data</x:v>
      </x:c>
      <x:c r="N4344" s="66" t="str">
        <x:v>Tidak Ada</x:v>
      </x:c>
      <x:c r="O4344" s="66" t="str">
        <x:v>Sulawesi Selatan</x:v>
      </x:c>
      <x:c r="P4344" s="66" t="str">
        <x:v>Kota Makassar</x:v>
      </x:c>
      <x:c r="Q4344" s="66" t="str">
        <x:v>https://snpmb.id/snbp/daya-tampung-snbp</x:v>
      </x:c>
      <x:c r="R4344" s="66" t="str">
        <x:v>https://sidatagrun-public-1076756628210.asia-southeast2.run.app/ptn_sn.php?ptn=712</x:v>
      </x:c>
    </x:row>
    <x:row r="4345">
      <x:c r="A4345" s="87"/>
      <x:c r="B4345" s="66" t="n">
        <x:v>712</x:v>
      </x:c>
      <x:c r="C4345" s="66" t="str">
        <x:v>UNIVERSITAS NEGERI MAKASSAR</x:v>
      </x:c>
      <x:c r="D4345" s="66" t="str">
        <x:v>PTN Akademik</x:v>
      </x:c>
      <x:c r="E4345" s="66" t="str">
        <x:v>17121108</x:v>
      </x:c>
      <x:c r="F4345" s="66" t="str">
        <x:v>PENDIDIKAN VOKASIONAL DESAIN FASHION</x:v>
      </x:c>
      <x:c r="G4345" s="66" t="str">
        <x:v>Sarjana</x:v>
      </x:c>
      <x:c r="H4345" s="87" t="n">
        <x:v>22</x:v>
      </x:c>
      <x:c r="I4345" s="87"/>
      <x:c r="J4345" s="68" t="str">
        <x:f>IFERROR(H4345/I4345,"")</x:f>
      </x:c>
      <x:c r="K4345" s="69" t="n">
        <x:f>IFERROR(I4345/H4345,"")</x:f>
        <x:v>0</x:v>
      </x:c>
      <x:c r="L4345" s="66" t="str">
        <x:f>IF(K4345="","","1 : "&amp;TEXT(K4345,"0.0"))</x:f>
      </x:c>
      <x:c r="M4345" s="66" t="str">
        <x:f>IF(J4345="","Baru/Tanpa Data",IF(J4345&lt;='Catatan &amp; Sumber'!$B$14,"Sangat Ketat",IF(J4345&lt;='Catatan &amp; Sumber'!$B$15,"Ketat",IF(J4345&lt;='Catatan &amp; Sumber'!$B$16,"Sedang","Relatif Longgar"))))</x:f>
        <x:v>Baru/Tanpa Data</x:v>
      </x:c>
      <x:c r="N4345" s="66" t="str">
        <x:v>Tidak Ada</x:v>
      </x:c>
      <x:c r="O4345" s="66" t="str">
        <x:v>Sulawesi Selatan</x:v>
      </x:c>
      <x:c r="P4345" s="66" t="str">
        <x:v>Kota Makassar</x:v>
      </x:c>
      <x:c r="Q4345" s="66" t="str">
        <x:v>https://snpmb.id/snbp/daya-tampung-snbp</x:v>
      </x:c>
      <x:c r="R4345" s="66" t="str">
        <x:v>https://sidatagrun-public-1076756628210.asia-southeast2.run.app/ptn_sn.php?ptn=712</x:v>
      </x:c>
    </x:row>
    <x:row r="4346">
      <x:c r="A4346" s="87"/>
      <x:c r="B4346" s="66" t="n">
        <x:v>712</x:v>
      </x:c>
      <x:c r="C4346" s="66" t="str">
        <x:v>UNIVERSITAS NEGERI MAKASSAR</x:v>
      </x:c>
      <x:c r="D4346" s="66" t="str">
        <x:v>PTN Akademik</x:v>
      </x:c>
      <x:c r="E4346" s="66" t="str">
        <x:v>17121109</x:v>
      </x:c>
      <x:c r="F4346" s="66" t="str">
        <x:v>PENDIDIKAN VOKASIONAL SENI KULINER</x:v>
      </x:c>
      <x:c r="G4346" s="66" t="str">
        <x:v>Sarjana</x:v>
      </x:c>
      <x:c r="H4346" s="87" t="n">
        <x:v>11</x:v>
      </x:c>
      <x:c r="I4346" s="87"/>
      <x:c r="J4346" s="68" t="str">
        <x:f>IFERROR(H4346/I4346,"")</x:f>
      </x:c>
      <x:c r="K4346" s="69" t="n">
        <x:f>IFERROR(I4346/H4346,"")</x:f>
        <x:v>0</x:v>
      </x:c>
      <x:c r="L4346" s="66" t="str">
        <x:f>IF(K4346="","","1 : "&amp;TEXT(K4346,"0.0"))</x:f>
      </x:c>
      <x:c r="M4346" s="66" t="str">
        <x:f>IF(J4346="","Baru/Tanpa Data",IF(J4346&lt;='Catatan &amp; Sumber'!$B$14,"Sangat Ketat",IF(J4346&lt;='Catatan &amp; Sumber'!$B$15,"Ketat",IF(J4346&lt;='Catatan &amp; Sumber'!$B$16,"Sedang","Relatif Longgar"))))</x:f>
        <x:v>Baru/Tanpa Data</x:v>
      </x:c>
      <x:c r="N4346" s="66" t="str">
        <x:v>Tidak Ada</x:v>
      </x:c>
      <x:c r="O4346" s="66" t="str">
        <x:v>Sulawesi Selatan</x:v>
      </x:c>
      <x:c r="P4346" s="66" t="str">
        <x:v>Kota Makassar</x:v>
      </x:c>
      <x:c r="Q4346" s="66" t="str">
        <x:v>https://snpmb.id/snbp/daya-tampung-snbp</x:v>
      </x:c>
      <x:c r="R4346" s="66" t="str">
        <x:v>https://sidatagrun-public-1076756628210.asia-southeast2.run.app/ptn_sn.php?ptn=712</x:v>
      </x:c>
    </x:row>
    <x:row r="4347">
      <x:c r="A4347" s="87" t="n">
        <x:v>3377</x:v>
      </x:c>
      <x:c r="B4347" s="66" t="n">
        <x:v>712</x:v>
      </x:c>
      <x:c r="C4347" s="66" t="str">
        <x:v>UNIVERSITAS NEGERI MAKASSAR</x:v>
      </x:c>
      <x:c r="D4347" s="66" t="str">
        <x:v>PTN Akademik</x:v>
      </x:c>
      <x:c r="E4347" s="66" t="str">
        <x:v>17122031</x:v>
      </x:c>
      <x:c r="F4347" s="66" t="str">
        <x:v>MESIN OTOMOTIF</x:v>
      </x:c>
      <x:c r="G4347" s="66" t="str">
        <x:v>Sarjana Terapan</x:v>
      </x:c>
      <x:c r="H4347" s="87" t="n">
        <x:v>22</x:v>
      </x:c>
      <x:c r="I4347" s="87" t="n">
        <x:v>56</x:v>
      </x:c>
      <x:c r="J4347" s="68" t="n">
        <x:f>IFERROR(H4347/I4347,"")</x:f>
        <x:v>0.39285714285714285</x:v>
      </x:c>
      <x:c r="K4347" s="69" t="n">
        <x:f>IFERROR(I4347/H4347,"")</x:f>
        <x:v>2.5454545454545454</x:v>
      </x:c>
      <x:c r="L4347" s="66" t="str">
        <x:f>IF(K4347="","","1 : "&amp;TEXT(K4347,"0.0"))</x:f>
        <x:v>1 : 2.5</x:v>
      </x:c>
      <x:c r="M4347" s="66" t="str">
        <x:f>IF(J4347="","Baru/Tanpa Data",IF(J4347&lt;='Catatan &amp; Sumber'!$B$14,"Sangat Ketat",IF(J4347&lt;='Catatan &amp; Sumber'!$B$15,"Ketat",IF(J4347&lt;='Catatan &amp; Sumber'!$B$16,"Sedang","Relatif Longgar"))))</x:f>
        <x:v>Relatif Longgar</x:v>
      </x:c>
      <x:c r="N4347" s="66" t="str">
        <x:v>Tidak Ada</x:v>
      </x:c>
      <x:c r="O4347" s="66" t="str">
        <x:v>Sulawesi Selatan</x:v>
      </x:c>
      <x:c r="P4347" s="66" t="str">
        <x:v>Kota Makassar</x:v>
      </x:c>
      <x:c r="Q4347" s="66" t="str">
        <x:v>https://snpmb.id/snbp/daya-tampung-snbp</x:v>
      </x:c>
      <x:c r="R4347" s="66" t="str">
        <x:v>https://sidatagrun-public-1076756628210.asia-southeast2.run.app/ptn_sn.php?ptn=712</x:v>
      </x:c>
    </x:row>
    <x:row r="4348">
      <x:c r="A4348" s="87" t="n">
        <x:v>3789</x:v>
      </x:c>
      <x:c r="B4348" s="66" t="n">
        <x:v>712</x:v>
      </x:c>
      <x:c r="C4348" s="66" t="str">
        <x:v>UNIVERSITAS NEGERI MAKASSAR</x:v>
      </x:c>
      <x:c r="D4348" s="66" t="str">
        <x:v>PTN Akademik</x:v>
      </x:c>
      <x:c r="E4348" s="66" t="str">
        <x:v>17122032</x:v>
      </x:c>
      <x:c r="F4348" s="66" t="str">
        <x:v>TEKNIK ELEKTRONIKA</x:v>
      </x:c>
      <x:c r="G4348" s="66" t="str">
        <x:v>Sarjana Terapan</x:v>
      </x:c>
      <x:c r="H4348" s="87" t="n">
        <x:v>22</x:v>
      </x:c>
      <x:c r="I4348" s="87" t="n">
        <x:v>39</x:v>
      </x:c>
      <x:c r="J4348" s="68" t="n">
        <x:f>IFERROR(H4348/I4348,"")</x:f>
        <x:v>0.5641025641025641</x:v>
      </x:c>
      <x:c r="K4348" s="69" t="n">
        <x:f>IFERROR(I4348/H4348,"")</x:f>
        <x:v>1.7727272727272727</x:v>
      </x:c>
      <x:c r="L4348" s="66" t="str">
        <x:f>IF(K4348="","","1 : "&amp;TEXT(K4348,"0.0"))</x:f>
        <x:v>1 : 1.8</x:v>
      </x:c>
      <x:c r="M4348" s="66" t="str">
        <x:f>IF(J4348="","Baru/Tanpa Data",IF(J4348&lt;='Catatan &amp; Sumber'!$B$14,"Sangat Ketat",IF(J4348&lt;='Catatan &amp; Sumber'!$B$15,"Ketat",IF(J4348&lt;='Catatan &amp; Sumber'!$B$16,"Sedang","Relatif Longgar"))))</x:f>
        <x:v>Relatif Longgar</x:v>
      </x:c>
      <x:c r="N4348" s="66" t="str">
        <x:v>Tidak Ada</x:v>
      </x:c>
      <x:c r="O4348" s="66" t="str">
        <x:v>Sulawesi Selatan</x:v>
      </x:c>
      <x:c r="P4348" s="66" t="str">
        <x:v>Kota Makassar</x:v>
      </x:c>
      <x:c r="Q4348" s="66" t="str">
        <x:v>https://snpmb.id/snbp/daya-tampung-snbp</x:v>
      </x:c>
      <x:c r="R4348" s="66" t="str">
        <x:v>https://sidatagrun-public-1076756628210.asia-southeast2.run.app/ptn_sn.php?ptn=712</x:v>
      </x:c>
    </x:row>
    <x:row r="4349">
      <x:c r="A4349" s="87" t="n">
        <x:v>2989</x:v>
      </x:c>
      <x:c r="B4349" s="66" t="n">
        <x:v>712</x:v>
      </x:c>
      <x:c r="C4349" s="66" t="str">
        <x:v>UNIVERSITAS NEGERI MAKASSAR</x:v>
      </x:c>
      <x:c r="D4349" s="66" t="str">
        <x:v>PTN Akademik</x:v>
      </x:c>
      <x:c r="E4349" s="66" t="str">
        <x:v>17122033</x:v>
      </x:c>
      <x:c r="F4349" s="66" t="str">
        <x:v>TEKNIK MESIN</x:v>
      </x:c>
      <x:c r="G4349" s="66" t="str">
        <x:v>Sarjana Terapan</x:v>
      </x:c>
      <x:c r="H4349" s="87" t="n">
        <x:v>35</x:v>
      </x:c>
      <x:c r="I4349" s="87" t="n">
        <x:v>120</x:v>
      </x:c>
      <x:c r="J4349" s="68" t="n">
        <x:f>IFERROR(H4349/I4349,"")</x:f>
        <x:v>0.2916666666666667</x:v>
      </x:c>
      <x:c r="K4349" s="69" t="n">
        <x:f>IFERROR(I4349/H4349,"")</x:f>
        <x:v>3.4285714285714284</x:v>
      </x:c>
      <x:c r="L4349" s="66" t="str">
        <x:f>IF(K4349="","","1 : "&amp;TEXT(K4349,"0.0"))</x:f>
        <x:v>1 : 3.4</x:v>
      </x:c>
      <x:c r="M4349" s="66" t="str">
        <x:f>IF(J4349="","Baru/Tanpa Data",IF(J4349&lt;='Catatan &amp; Sumber'!$B$14,"Sangat Ketat",IF(J4349&lt;='Catatan &amp; Sumber'!$B$15,"Ketat",IF(J4349&lt;='Catatan &amp; Sumber'!$B$16,"Sedang","Relatif Longgar"))))</x:f>
        <x:v>Relatif Longgar</x:v>
      </x:c>
      <x:c r="N4349" s="66" t="str">
        <x:v>Tidak Ada</x:v>
      </x:c>
      <x:c r="O4349" s="66" t="str">
        <x:v>Sulawesi Selatan</x:v>
      </x:c>
      <x:c r="P4349" s="66" t="str">
        <x:v>Kota Makassar</x:v>
      </x:c>
      <x:c r="Q4349" s="66" t="str">
        <x:v>https://snpmb.id/snbp/daya-tampung-snbp</x:v>
      </x:c>
      <x:c r="R4349" s="66" t="str">
        <x:v>https://sidatagrun-public-1076756628210.asia-southeast2.run.app/ptn_sn.php?ptn=712</x:v>
      </x:c>
    </x:row>
    <x:row r="4350">
      <x:c r="A4350" s="87" t="n">
        <x:v>3312</x:v>
      </x:c>
      <x:c r="B4350" s="66" t="n">
        <x:v>712</x:v>
      </x:c>
      <x:c r="C4350" s="66" t="str">
        <x:v>UNIVERSITAS NEGERI MAKASSAR</x:v>
      </x:c>
      <x:c r="D4350" s="66" t="str">
        <x:v>PTN Akademik</x:v>
      </x:c>
      <x:c r="E4350" s="66" t="str">
        <x:v>17122034</x:v>
      </x:c>
      <x:c r="F4350" s="66" t="str">
        <x:v>TEKNIK ELEKTRO</x:v>
      </x:c>
      <x:c r="G4350" s="66" t="str">
        <x:v>Sarjana Terapan</x:v>
      </x:c>
      <x:c r="H4350" s="87" t="n">
        <x:v>47</x:v>
      </x:c>
      <x:c r="I4350" s="87" t="n">
        <x:v>125</x:v>
      </x:c>
      <x:c r="J4350" s="68" t="n">
        <x:f>IFERROR(H4350/I4350,"")</x:f>
        <x:v>0.376</x:v>
      </x:c>
      <x:c r="K4350" s="69" t="n">
        <x:f>IFERROR(I4350/H4350,"")</x:f>
        <x:v>2.6595744680851063</x:v>
      </x:c>
      <x:c r="L4350" s="66" t="str">
        <x:f>IF(K4350="","","1 : "&amp;TEXT(K4350,"0.0"))</x:f>
        <x:v>1 : 2.7</x:v>
      </x:c>
      <x:c r="M4350" s="66" t="str">
        <x:f>IF(J4350="","Baru/Tanpa Data",IF(J4350&lt;='Catatan &amp; Sumber'!$B$14,"Sangat Ketat",IF(J4350&lt;='Catatan &amp; Sumber'!$B$15,"Ketat",IF(J4350&lt;='Catatan &amp; Sumber'!$B$16,"Sedang","Relatif Longgar"))))</x:f>
        <x:v>Relatif Longgar</x:v>
      </x:c>
      <x:c r="N4350" s="66" t="str">
        <x:v>Tidak Ada</x:v>
      </x:c>
      <x:c r="O4350" s="66" t="str">
        <x:v>Sulawesi Selatan</x:v>
      </x:c>
      <x:c r="P4350" s="66" t="str">
        <x:v>Kota Makassar</x:v>
      </x:c>
      <x:c r="Q4350" s="66" t="str">
        <x:v>https://snpmb.id/snbp/daya-tampung-snbp</x:v>
      </x:c>
      <x:c r="R4350" s="66" t="str">
        <x:v>https://sidatagrun-public-1076756628210.asia-southeast2.run.app/ptn_sn.php?ptn=712</x:v>
      </x:c>
    </x:row>
    <x:row r="4351">
      <x:c r="A4351" s="87" t="n">
        <x:v>3263</x:v>
      </x:c>
      <x:c r="B4351" s="66" t="n">
        <x:v>712</x:v>
      </x:c>
      <x:c r="C4351" s="66" t="str">
        <x:v>UNIVERSITAS NEGERI MAKASSAR</x:v>
      </x:c>
      <x:c r="D4351" s="66" t="str">
        <x:v>PTN Akademik</x:v>
      </x:c>
      <x:c r="E4351" s="66" t="str">
        <x:v>17122035</x:v>
      </x:c>
      <x:c r="F4351" s="66" t="str">
        <x:v>TEKNIK SIPIL BANGUNAN GEDUNG</x:v>
      </x:c>
      <x:c r="G4351" s="66" t="str">
        <x:v>Sarjana Terapan</x:v>
      </x:c>
      <x:c r="H4351" s="87" t="n">
        <x:v>58</x:v>
      </x:c>
      <x:c r="I4351" s="87" t="n">
        <x:v>161</x:v>
      </x:c>
      <x:c r="J4351" s="68" t="n">
        <x:f>IFERROR(H4351/I4351,"")</x:f>
        <x:v>0.36024844720496896</x:v>
      </x:c>
      <x:c r="K4351" s="69" t="n">
        <x:f>IFERROR(I4351/H4351,"")</x:f>
        <x:v>2.7758620689655173</x:v>
      </x:c>
      <x:c r="L4351" s="66" t="str">
        <x:f>IF(K4351="","","1 : "&amp;TEXT(K4351,"0.0"))</x:f>
        <x:v>1 : 2.8</x:v>
      </x:c>
      <x:c r="M4351" s="66" t="str">
        <x:f>IF(J4351="","Baru/Tanpa Data",IF(J4351&lt;='Catatan &amp; Sumber'!$B$14,"Sangat Ketat",IF(J4351&lt;='Catatan &amp; Sumber'!$B$15,"Ketat",IF(J4351&lt;='Catatan &amp; Sumber'!$B$16,"Sedang","Relatif Longgar"))))</x:f>
        <x:v>Relatif Longgar</x:v>
      </x:c>
      <x:c r="N4351" s="66" t="str">
        <x:v>Tidak Ada</x:v>
      </x:c>
      <x:c r="O4351" s="66" t="str">
        <x:v>Sulawesi Selatan</x:v>
      </x:c>
      <x:c r="P4351" s="66" t="str">
        <x:v>Kota Makassar</x:v>
      </x:c>
      <x:c r="Q4351" s="66" t="str">
        <x:v>https://snpmb.id/snbp/daya-tampung-snbp</x:v>
      </x:c>
      <x:c r="R4351" s="66" t="str">
        <x:v>https://sidatagrun-public-1076756628210.asia-southeast2.run.app/ptn_sn.php?ptn=712</x:v>
      </x:c>
    </x:row>
    <x:row r="4352">
      <x:c r="A4352" s="87" t="n">
        <x:v>2783</x:v>
      </x:c>
      <x:c r="B4352" s="66" t="n">
        <x:v>712</x:v>
      </x:c>
      <x:c r="C4352" s="66" t="str">
        <x:v>UNIVERSITAS NEGERI MAKASSAR</x:v>
      </x:c>
      <x:c r="D4352" s="66" t="str">
        <x:v>PTN Akademik</x:v>
      </x:c>
      <x:c r="E4352" s="66" t="str">
        <x:v>17122081</x:v>
      </x:c>
      <x:c r="F4352" s="66" t="str">
        <x:v>TATA BOGA</x:v>
      </x:c>
      <x:c r="G4352" s="66" t="str">
        <x:v>Sarjana Terapan</x:v>
      </x:c>
      <x:c r="H4352" s="87" t="n">
        <x:v>33</x:v>
      </x:c>
      <x:c r="I4352" s="87" t="n">
        <x:v>129</x:v>
      </x:c>
      <x:c r="J4352" s="68" t="n">
        <x:f>IFERROR(H4352/I4352,"")</x:f>
        <x:v>0.2558139534883721</x:v>
      </x:c>
      <x:c r="K4352" s="69" t="n">
        <x:f>IFERROR(I4352/H4352,"")</x:f>
        <x:v>3.909090909090909</x:v>
      </x:c>
      <x:c r="L4352" s="66" t="str">
        <x:f>IF(K4352="","","1 : "&amp;TEXT(K4352,"0.0"))</x:f>
        <x:v>1 : 3.9</x:v>
      </x:c>
      <x:c r="M4352" s="66" t="str">
        <x:f>IF(J4352="","Baru/Tanpa Data",IF(J4352&lt;='Catatan &amp; Sumber'!$B$14,"Sangat Ketat",IF(J4352&lt;='Catatan &amp; Sumber'!$B$15,"Ketat",IF(J4352&lt;='Catatan &amp; Sumber'!$B$16,"Sedang","Relatif Longgar"))))</x:f>
        <x:v>Relatif Longgar</x:v>
      </x:c>
      <x:c r="N4352" s="66" t="str">
        <x:v>Tidak Ada</x:v>
      </x:c>
      <x:c r="O4352" s="66" t="str">
        <x:v>Sulawesi Selatan</x:v>
      </x:c>
      <x:c r="P4352" s="66" t="str">
        <x:v>Kota Makassar</x:v>
      </x:c>
      <x:c r="Q4352" s="66" t="str">
        <x:v>https://snpmb.id/snbp/daya-tampung-snbp</x:v>
      </x:c>
      <x:c r="R4352" s="66" t="str">
        <x:v>https://sidatagrun-public-1076756628210.asia-southeast2.run.app/ptn_sn.php?ptn=712</x:v>
      </x:c>
    </x:row>
    <x:row r="4353">
      <x:c r="A4353" s="87" t="n">
        <x:v>3836</x:v>
      </x:c>
      <x:c r="B4353" s="66" t="n">
        <x:v>712</x:v>
      </x:c>
      <x:c r="C4353" s="66" t="str">
        <x:v>UNIVERSITAS NEGERI MAKASSAR</x:v>
      </x:c>
      <x:c r="D4353" s="66" t="str">
        <x:v>PTN Akademik</x:v>
      </x:c>
      <x:c r="E4353" s="66" t="str">
        <x:v>17122082</x:v>
      </x:c>
      <x:c r="F4353" s="66" t="str">
        <x:v>AKUNTANSI</x:v>
      </x:c>
      <x:c r="G4353" s="66" t="str">
        <x:v>Sarjana Terapan</x:v>
      </x:c>
      <x:c r="H4353" s="87" t="n">
        <x:v>36</x:v>
      </x:c>
      <x:c r="I4353" s="87" t="n">
        <x:v>61</x:v>
      </x:c>
      <x:c r="J4353" s="68" t="n">
        <x:f>IFERROR(H4353/I4353,"")</x:f>
        <x:v>0.5901639344262295</x:v>
      </x:c>
      <x:c r="K4353" s="69" t="n">
        <x:f>IFERROR(I4353/H4353,"")</x:f>
        <x:v>1.6944444444444444</x:v>
      </x:c>
      <x:c r="L4353" s="66" t="str">
        <x:f>IF(K4353="","","1 : "&amp;TEXT(K4353,"0.0"))</x:f>
        <x:v>1 : 1.7</x:v>
      </x:c>
      <x:c r="M4353" s="66" t="str">
        <x:f>IF(J4353="","Baru/Tanpa Data",IF(J4353&lt;='Catatan &amp; Sumber'!$B$14,"Sangat Ketat",IF(J4353&lt;='Catatan &amp; Sumber'!$B$15,"Ketat",IF(J4353&lt;='Catatan &amp; Sumber'!$B$16,"Sedang","Relatif Longgar"))))</x:f>
        <x:v>Relatif Longgar</x:v>
      </x:c>
      <x:c r="N4353" s="66" t="str">
        <x:v>Tidak Ada</x:v>
      </x:c>
      <x:c r="O4353" s="66" t="str">
        <x:v>Sulawesi Selatan</x:v>
      </x:c>
      <x:c r="P4353" s="66" t="str">
        <x:v>Kota Makassar</x:v>
      </x:c>
      <x:c r="Q4353" s="66" t="str">
        <x:v>https://snpmb.id/snbp/daya-tampung-snbp</x:v>
      </x:c>
      <x:c r="R4353" s="66" t="str">
        <x:v>https://sidatagrun-public-1076756628210.asia-southeast2.run.app/ptn_sn.php?ptn=712</x:v>
      </x:c>
    </x:row>
    <x:row r="4354">
      <x:c r="A4354" s="87" t="n">
        <x:v>4184</x:v>
      </x:c>
      <x:c r="B4354" s="66" t="n">
        <x:v>712</x:v>
      </x:c>
      <x:c r="C4354" s="66" t="str">
        <x:v>UNIVERSITAS NEGERI MAKASSAR</x:v>
      </x:c>
      <x:c r="D4354" s="66" t="str">
        <x:v>PTN Akademik</x:v>
      </x:c>
      <x:c r="E4354" s="66" t="str">
        <x:v>17122083</x:v>
      </x:c>
      <x:c r="F4354" s="66" t="str">
        <x:v>BAHASA INGGRIS</x:v>
      </x:c>
      <x:c r="G4354" s="66" t="str">
        <x:v>Sarjana Terapan</x:v>
      </x:c>
      <x:c r="H4354" s="87" t="n">
        <x:v>41</x:v>
      </x:c>
      <x:c r="I4354" s="87" t="n">
        <x:v>49</x:v>
      </x:c>
      <x:c r="J4354" s="68" t="n">
        <x:f>IFERROR(H4354/I4354,"")</x:f>
        <x:v>0.8367346938775511</x:v>
      </x:c>
      <x:c r="K4354" s="69" t="n">
        <x:f>IFERROR(I4354/H4354,"")</x:f>
        <x:v>1.1951219512195121</x:v>
      </x:c>
      <x:c r="L4354" s="66" t="str">
        <x:f>IF(K4354="","","1 : "&amp;TEXT(K4354,"0.0"))</x:f>
        <x:v>1 : 1.2</x:v>
      </x:c>
      <x:c r="M4354" s="66" t="str">
        <x:f>IF(J4354="","Baru/Tanpa Data",IF(J4354&lt;='Catatan &amp; Sumber'!$B$14,"Sangat Ketat",IF(J4354&lt;='Catatan &amp; Sumber'!$B$15,"Ketat",IF(J4354&lt;='Catatan &amp; Sumber'!$B$16,"Sedang","Relatif Longgar"))))</x:f>
        <x:v>Relatif Longgar</x:v>
      </x:c>
      <x:c r="N4354" s="66" t="str">
        <x:v>Tidak Ada</x:v>
      </x:c>
      <x:c r="O4354" s="66" t="str">
        <x:v>Sulawesi Selatan</x:v>
      </x:c>
      <x:c r="P4354" s="66" t="str">
        <x:v>Kota Makassar</x:v>
      </x:c>
      <x:c r="Q4354" s="66" t="str">
        <x:v>https://snpmb.id/snbp/daya-tampung-snbp</x:v>
      </x:c>
      <x:c r="R4354" s="66" t="str">
        <x:v>https://sidatagrun-public-1076756628210.asia-southeast2.run.app/ptn_sn.php?ptn=712</x:v>
      </x:c>
    </x:row>
    <x:row r="4355">
      <x:c r="A4355" s="87" t="n">
        <x:v>3877</x:v>
      </x:c>
      <x:c r="B4355" s="66" t="n">
        <x:v>712</x:v>
      </x:c>
      <x:c r="C4355" s="66" t="str">
        <x:v>UNIVERSITAS NEGERI MAKASSAR</x:v>
      </x:c>
      <x:c r="D4355" s="66" t="str">
        <x:v>PTN Akademik</x:v>
      </x:c>
      <x:c r="E4355" s="66" t="str">
        <x:v>17122098</x:v>
      </x:c>
      <x:c r="F4355" s="66" t="str">
        <x:v>ANIMASI</x:v>
      </x:c>
      <x:c r="G4355" s="66" t="str">
        <x:v>Sarjana Terapan</x:v>
      </x:c>
      <x:c r="H4355" s="87" t="n">
        <x:v>11</x:v>
      </x:c>
      <x:c r="I4355" s="87" t="n">
        <x:v>18</x:v>
      </x:c>
      <x:c r="J4355" s="68" t="n">
        <x:f>IFERROR(H4355/I4355,"")</x:f>
        <x:v>0.6111111111111112</x:v>
      </x:c>
      <x:c r="K4355" s="69" t="n">
        <x:f>IFERROR(I4355/H4355,"")</x:f>
        <x:v>1.6363636363636365</x:v>
      </x:c>
      <x:c r="L4355" s="66" t="str">
        <x:f>IF(K4355="","","1 : "&amp;TEXT(K4355,"0.0"))</x:f>
        <x:v>1 : 1.6</x:v>
      </x:c>
      <x:c r="M4355" s="66" t="str">
        <x:f>IF(J4355="","Baru/Tanpa Data",IF(J4355&lt;='Catatan &amp; Sumber'!$B$14,"Sangat Ketat",IF(J4355&lt;='Catatan &amp; Sumber'!$B$15,"Ketat",IF(J4355&lt;='Catatan &amp; Sumber'!$B$16,"Sedang","Relatif Longgar"))))</x:f>
        <x:v>Relatif Longgar</x:v>
      </x:c>
      <x:c r="N4355" s="66" t="str">
        <x:v>Seni Rupa, Desain, dan Kriya</x:v>
      </x:c>
      <x:c r="O4355" s="66" t="str">
        <x:v>Sulawesi Selatan</x:v>
      </x:c>
      <x:c r="P4355" s="66" t="str">
        <x:v>Kota Makassar</x:v>
      </x:c>
      <x:c r="Q4355" s="66" t="str">
        <x:v>https://snpmb.id/snbp/daya-tampung-snbp</x:v>
      </x:c>
      <x:c r="R4355" s="66" t="str">
        <x:v>https://sidatagrun-public-1076756628210.asia-southeast2.run.app/ptn_sn.php?ptn=712</x:v>
      </x:c>
    </x:row>
    <x:row r="4356">
      <x:c r="A4356" s="87" t="n">
        <x:v>4344</x:v>
      </x:c>
      <x:c r="B4356" s="66" t="n">
        <x:v>712</x:v>
      </x:c>
      <x:c r="C4356" s="66" t="str">
        <x:v>UNIVERSITAS NEGERI MAKASSAR</x:v>
      </x:c>
      <x:c r="D4356" s="66" t="str">
        <x:v>PTN Akademik</x:v>
      </x:c>
      <x:c r="E4356" s="66" t="str">
        <x:v>17122102</x:v>
      </x:c>
      <x:c r="F4356" s="66" t="str">
        <x:v>PROMOSI KESEHATAN</x:v>
      </x:c>
      <x:c r="G4356" s="66" t="str">
        <x:v>Sarjana Terapan</x:v>
      </x:c>
      <x:c r="H4356" s="87" t="n">
        <x:v>31</x:v>
      </x:c>
      <x:c r="I4356" s="87" t="n">
        <x:v>30</x:v>
      </x:c>
      <x:c r="J4356" s="68" t="n">
        <x:f>IFERROR(H4356/I4356,"")</x:f>
        <x:v>1.0333333333333334</x:v>
      </x:c>
      <x:c r="K4356" s="69" t="n">
        <x:f>IFERROR(I4356/H4356,"")</x:f>
        <x:v>0.967741935483871</x:v>
      </x:c>
      <x:c r="L4356" s="66" t="str">
        <x:f>IF(K4356="","","1 : "&amp;TEXT(K4356,"0.0"))</x:f>
        <x:v>1 : 1.0</x:v>
      </x:c>
      <x:c r="M4356" s="66" t="str">
        <x:f>IF(J4356="","Baru/Tanpa Data",IF(J4356&lt;='Catatan &amp; Sumber'!$B$14,"Sangat Ketat",IF(J4356&lt;='Catatan &amp; Sumber'!$B$15,"Ketat",IF(J4356&lt;='Catatan &amp; Sumber'!$B$16,"Sedang","Relatif Longgar"))))</x:f>
        <x:v>Relatif Longgar</x:v>
      </x:c>
      <x:c r="N4356" s="66" t="str">
        <x:v>Tidak Ada</x:v>
      </x:c>
      <x:c r="O4356" s="66" t="str">
        <x:v>Sulawesi Selatan</x:v>
      </x:c>
      <x:c r="P4356" s="66" t="str">
        <x:v>Kota Makassar</x:v>
      </x:c>
      <x:c r="Q4356" s="66" t="str">
        <x:v>https://snpmb.id/snbp/daya-tampung-snbp</x:v>
      </x:c>
      <x:c r="R4356" s="66" t="str">
        <x:v>https://sidatagrun-public-1076756628210.asia-southeast2.run.app/ptn_sn.php?ptn=712</x:v>
      </x:c>
    </x:row>
    <x:row r="4357">
      <x:c r="A4357" s="87" t="n">
        <x:v>2563</x:v>
      </x:c>
      <x:c r="B4357" s="66" t="n">
        <x:v>712</x:v>
      </x:c>
      <x:c r="C4357" s="66" t="str">
        <x:v>UNIVERSITAS NEGERI MAKASSAR</x:v>
      </x:c>
      <x:c r="D4357" s="66" t="str">
        <x:v>PTN Akademik</x:v>
      </x:c>
      <x:c r="E4357" s="66" t="str">
        <x:v>17123092</x:v>
      </x:c>
      <x:c r="F4357" s="66" t="str">
        <x:v>TATA BUSANA</x:v>
      </x:c>
      <x:c r="G4357" s="66" t="str">
        <x:v>Diploma Tiga</x:v>
      </x:c>
      <x:c r="H4357" s="87" t="n">
        <x:v>22</x:v>
      </x:c>
      <x:c r="I4357" s="87" t="n">
        <x:v>99</x:v>
      </x:c>
      <x:c r="J4357" s="68" t="n">
        <x:f>IFERROR(H4357/I4357,"")</x:f>
        <x:v>0.2222222222222222</x:v>
      </x:c>
      <x:c r="K4357" s="69" t="n">
        <x:f>IFERROR(I4357/H4357,"")</x:f>
        <x:v>4.5</x:v>
      </x:c>
      <x:c r="L4357" s="66" t="str">
        <x:f>IF(K4357="","","1 : "&amp;TEXT(K4357,"0.0"))</x:f>
        <x:v>1 : 4.5</x:v>
      </x:c>
      <x:c r="M4357" s="66" t="str">
        <x:f>IF(J4357="","Baru/Tanpa Data",IF(J4357&lt;='Catatan &amp; Sumber'!$B$14,"Sangat Ketat",IF(J4357&lt;='Catatan &amp; Sumber'!$B$15,"Ketat",IF(J4357&lt;='Catatan &amp; Sumber'!$B$16,"Sedang","Relatif Longgar"))))</x:f>
        <x:v>Relatif Longgar</x:v>
      </x:c>
      <x:c r="N4357" s="66" t="str">
        <x:v>Tidak Ada</x:v>
      </x:c>
      <x:c r="O4357" s="66" t="str">
        <x:v>Sulawesi Selatan</x:v>
      </x:c>
      <x:c r="P4357" s="66" t="str">
        <x:v>Kota Makassar</x:v>
      </x:c>
      <x:c r="Q4357" s="66" t="str">
        <x:v>https://snpmb.id/snbp/daya-tampung-snbp</x:v>
      </x:c>
      <x:c r="R4357" s="66" t="str">
        <x:v>https://sidatagrun-public-1076756628210.asia-southeast2.run.app/ptn_sn.php?ptn=712</x:v>
      </x:c>
    </x:row>
    <x:row r="4358">
      <x:c r="A4358" s="87" t="n">
        <x:v>4210</x:v>
      </x:c>
      <x:c r="B4358" s="66" t="n">
        <x:v>713</x:v>
      </x:c>
      <x:c r="C4358" s="66" t="str">
        <x:v>UIN ALAUDDIN</x:v>
      </x:c>
      <x:c r="D4358" s="66" t="str">
        <x:v>PTKIN</x:v>
      </x:c>
      <x:c r="E4358" s="66" t="str">
        <x:v>17131001</x:v>
      </x:c>
      <x:c r="F4358" s="66" t="str">
        <x:v>MATEMATIKA</x:v>
      </x:c>
      <x:c r="G4358" s="66" t="str">
        <x:v>Sarjana</x:v>
      </x:c>
      <x:c r="H4358" s="87" t="n">
        <x:v>32</x:v>
      </x:c>
      <x:c r="I4358" s="87" t="n">
        <x:v>37</x:v>
      </x:c>
      <x:c r="J4358" s="68" t="n">
        <x:f>IFERROR(H4358/I4358,"")</x:f>
        <x:v>0.8648648648648649</x:v>
      </x:c>
      <x:c r="K4358" s="69" t="n">
        <x:f>IFERROR(I4358/H4358,"")</x:f>
        <x:v>1.15625</x:v>
      </x:c>
      <x:c r="L4358" s="66" t="str">
        <x:f>IF(K4358="","","1 : "&amp;TEXT(K4358,"0.0"))</x:f>
        <x:v>1 : 1.2</x:v>
      </x:c>
      <x:c r="M4358" s="66" t="str">
        <x:f>IF(J4358="","Baru/Tanpa Data",IF(J4358&lt;='Catatan &amp; Sumber'!$B$14,"Sangat Ketat",IF(J4358&lt;='Catatan &amp; Sumber'!$B$15,"Ketat",IF(J4358&lt;='Catatan &amp; Sumber'!$B$16,"Sedang","Relatif Longgar"))))</x:f>
        <x:v>Relatif Longgar</x:v>
      </x:c>
      <x:c r="N4358" s="66" t="str">
        <x:v>Tidak Ada</x:v>
      </x:c>
      <x:c r="O4358" s="66" t="str">
        <x:v>Sulawesi Selatan</x:v>
      </x:c>
      <x:c r="P4358" s="66" t="str">
        <x:v>Kabupaten Gowa</x:v>
      </x:c>
      <x:c r="Q4358" s="66" t="str">
        <x:v>https://snpmb.id/snbp/daya-tampung-snbp</x:v>
      </x:c>
      <x:c r="R4358" s="66" t="str">
        <x:v>https://sidatagrun-public-1076756628210.asia-southeast2.run.app/ptn_sn.php?ptn=713</x:v>
      </x:c>
    </x:row>
    <x:row r="4359">
      <x:c r="A4359" s="87" t="n">
        <x:v>4584</x:v>
      </x:c>
      <x:c r="B4359" s="66" t="n">
        <x:v>713</x:v>
      </x:c>
      <x:c r="C4359" s="66" t="str">
        <x:v>UIN ALAUDDIN</x:v>
      </x:c>
      <x:c r="D4359" s="66" t="str">
        <x:v>PTKIN</x:v>
      </x:c>
      <x:c r="E4359" s="66" t="str">
        <x:v>17131003</x:v>
      </x:c>
      <x:c r="F4359" s="66" t="str">
        <x:v>KIMIA</x:v>
      </x:c>
      <x:c r="G4359" s="66" t="str">
        <x:v>Sarjana</x:v>
      </x:c>
      <x:c r="H4359" s="87" t="n">
        <x:v>32</x:v>
      </x:c>
      <x:c r="I4359" s="87" t="n">
        <x:v>20</x:v>
      </x:c>
      <x:c r="J4359" s="68" t="n">
        <x:f>IFERROR(H4359/I4359,"")</x:f>
        <x:v>1.6</x:v>
      </x:c>
      <x:c r="K4359" s="69" t="n">
        <x:f>IFERROR(I4359/H4359,"")</x:f>
        <x:v>0.625</x:v>
      </x:c>
      <x:c r="L4359" s="66" t="str">
        <x:f>IF(K4359="","","1 : "&amp;TEXT(K4359,"0.0"))</x:f>
        <x:v>1 : 0.6</x:v>
      </x:c>
      <x:c r="M4359" s="66" t="str">
        <x:f>IF(J4359="","Baru/Tanpa Data",IF(J4359&lt;='Catatan &amp; Sumber'!$B$14,"Sangat Ketat",IF(J4359&lt;='Catatan &amp; Sumber'!$B$15,"Ketat",IF(J4359&lt;='Catatan &amp; Sumber'!$B$16,"Sedang","Relatif Longgar"))))</x:f>
        <x:v>Relatif Longgar</x:v>
      </x:c>
      <x:c r="N4359" s="66" t="str">
        <x:v>Tidak Ada</x:v>
      </x:c>
      <x:c r="O4359" s="66" t="str">
        <x:v>Sulawesi Selatan</x:v>
      </x:c>
      <x:c r="P4359" s="66" t="str">
        <x:v>Kabupaten Gowa</x:v>
      </x:c>
      <x:c r="Q4359" s="66" t="str">
        <x:v>https://snpmb.id/snbp/daya-tampung-snbp</x:v>
      </x:c>
      <x:c r="R4359" s="66" t="str">
        <x:v>https://sidatagrun-public-1076756628210.asia-southeast2.run.app/ptn_sn.php?ptn=713</x:v>
      </x:c>
    </x:row>
    <x:row r="4360">
      <x:c r="A4360" s="87" t="n">
        <x:v>3654</x:v>
      </x:c>
      <x:c r="B4360" s="66" t="n">
        <x:v>713</x:v>
      </x:c>
      <x:c r="C4360" s="66" t="str">
        <x:v>UIN ALAUDDIN</x:v>
      </x:c>
      <x:c r="D4360" s="66" t="str">
        <x:v>PTKIN</x:v>
      </x:c>
      <x:c r="E4360" s="66" t="str">
        <x:v>17131006</x:v>
      </x:c>
      <x:c r="F4360" s="66" t="str">
        <x:v>TEKNIK PERENCANAAN WILAYAH DAN KOTA</x:v>
      </x:c>
      <x:c r="G4360" s="66" t="str">
        <x:v>Sarjana</x:v>
      </x:c>
      <x:c r="H4360" s="87" t="n">
        <x:v>39</x:v>
      </x:c>
      <x:c r="I4360" s="87" t="n">
        <x:v>78</x:v>
      </x:c>
      <x:c r="J4360" s="68" t="n">
        <x:f>IFERROR(H4360/I4360,"")</x:f>
        <x:v>0.5</x:v>
      </x:c>
      <x:c r="K4360" s="69" t="n">
        <x:f>IFERROR(I4360/H4360,"")</x:f>
        <x:v>2</x:v>
      </x:c>
      <x:c r="L4360" s="66" t="str">
        <x:f>IF(K4360="","","1 : "&amp;TEXT(K4360,"0.0"))</x:f>
        <x:v>1 : 2.0</x:v>
      </x:c>
      <x:c r="M4360" s="66" t="str">
        <x:f>IF(J4360="","Baru/Tanpa Data",IF(J4360&lt;='Catatan &amp; Sumber'!$B$14,"Sangat Ketat",IF(J4360&lt;='Catatan &amp; Sumber'!$B$15,"Ketat",IF(J4360&lt;='Catatan &amp; Sumber'!$B$16,"Sedang","Relatif Longgar"))))</x:f>
        <x:v>Relatif Longgar</x:v>
      </x:c>
      <x:c r="N4360" s="66" t="str">
        <x:v>Tidak Ada</x:v>
      </x:c>
      <x:c r="O4360" s="66" t="str">
        <x:v>Sulawesi Selatan</x:v>
      </x:c>
      <x:c r="P4360" s="66" t="str">
        <x:v>Kabupaten Gowa</x:v>
      </x:c>
      <x:c r="Q4360" s="66" t="str">
        <x:v>https://snpmb.id/snbp/daya-tampung-snbp</x:v>
      </x:c>
      <x:c r="R4360" s="66" t="str">
        <x:v>https://sidatagrun-public-1076756628210.asia-southeast2.run.app/ptn_sn.php?ptn=713</x:v>
      </x:c>
    </x:row>
    <x:row r="4361">
      <x:c r="A4361" s="87" t="n">
        <x:v>3654</x:v>
      </x:c>
      <x:c r="B4361" s="66" t="n">
        <x:v>713</x:v>
      </x:c>
      <x:c r="C4361" s="66" t="str">
        <x:v>UIN ALAUDDIN</x:v>
      </x:c>
      <x:c r="D4361" s="66" t="str">
        <x:v>PTKIN</x:v>
      </x:c>
      <x:c r="E4361" s="66" t="str">
        <x:v>17131007</x:v>
      </x:c>
      <x:c r="F4361" s="66" t="str">
        <x:v>TEKNIK ARSITEKTUR</x:v>
      </x:c>
      <x:c r="G4361" s="66" t="str">
        <x:v>Sarjana</x:v>
      </x:c>
      <x:c r="H4361" s="87" t="n">
        <x:v>45</x:v>
      </x:c>
      <x:c r="I4361" s="87" t="n">
        <x:v>90</x:v>
      </x:c>
      <x:c r="J4361" s="68" t="n">
        <x:f>IFERROR(H4361/I4361,"")</x:f>
        <x:v>0.5</x:v>
      </x:c>
      <x:c r="K4361" s="69" t="n">
        <x:f>IFERROR(I4361/H4361,"")</x:f>
        <x:v>2</x:v>
      </x:c>
      <x:c r="L4361" s="66" t="str">
        <x:f>IF(K4361="","","1 : "&amp;TEXT(K4361,"0.0"))</x:f>
        <x:v>1 : 2.0</x:v>
      </x:c>
      <x:c r="M4361" s="66" t="str">
        <x:f>IF(J4361="","Baru/Tanpa Data",IF(J4361&lt;='Catatan &amp; Sumber'!$B$14,"Sangat Ketat",IF(J4361&lt;='Catatan &amp; Sumber'!$B$15,"Ketat",IF(J4361&lt;='Catatan &amp; Sumber'!$B$16,"Sedang","Relatif Longgar"))))</x:f>
        <x:v>Relatif Longgar</x:v>
      </x:c>
      <x:c r="N4361" s="66" t="str">
        <x:v>Tidak Ada</x:v>
      </x:c>
      <x:c r="O4361" s="66" t="str">
        <x:v>Sulawesi Selatan</x:v>
      </x:c>
      <x:c r="P4361" s="66" t="str">
        <x:v>Kabupaten Gowa</x:v>
      </x:c>
      <x:c r="Q4361" s="66" t="str">
        <x:v>https://snpmb.id/snbp/daya-tampung-snbp</x:v>
      </x:c>
      <x:c r="R4361" s="66" t="str">
        <x:v>https://sidatagrun-public-1076756628210.asia-southeast2.run.app/ptn_sn.php?ptn=713</x:v>
      </x:c>
    </x:row>
    <x:row r="4362">
      <x:c r="A4362" s="87" t="n">
        <x:v>4260</x:v>
      </x:c>
      <x:c r="B4362" s="66" t="n">
        <x:v>713</x:v>
      </x:c>
      <x:c r="C4362" s="66" t="str">
        <x:v>UIN ALAUDDIN</x:v>
      </x:c>
      <x:c r="D4362" s="66" t="str">
        <x:v>PTKIN</x:v>
      </x:c>
      <x:c r="E4362" s="66" t="str">
        <x:v>17131008</x:v>
      </x:c>
      <x:c r="F4362" s="66" t="str">
        <x:v>ILMU PETERNAKAN</x:v>
      </x:c>
      <x:c r="G4362" s="66" t="str">
        <x:v>Sarjana</x:v>
      </x:c>
      <x:c r="H4362" s="87" t="n">
        <x:v>32</x:v>
      </x:c>
      <x:c r="I4362" s="87" t="n">
        <x:v>35</x:v>
      </x:c>
      <x:c r="J4362" s="68" t="n">
        <x:f>IFERROR(H4362/I4362,"")</x:f>
        <x:v>0.9142857142857143</x:v>
      </x:c>
      <x:c r="K4362" s="69" t="n">
        <x:f>IFERROR(I4362/H4362,"")</x:f>
        <x:v>1.09375</x:v>
      </x:c>
      <x:c r="L4362" s="66" t="str">
        <x:f>IF(K4362="","","1 : "&amp;TEXT(K4362,"0.0"))</x:f>
        <x:v>1 : 1.1</x:v>
      </x:c>
      <x:c r="M4362" s="66" t="str">
        <x:f>IF(J4362="","Baru/Tanpa Data",IF(J4362&lt;='Catatan &amp; Sumber'!$B$14,"Sangat Ketat",IF(J4362&lt;='Catatan &amp; Sumber'!$B$15,"Ketat",IF(J4362&lt;='Catatan &amp; Sumber'!$B$16,"Sedang","Relatif Longgar"))))</x:f>
        <x:v>Relatif Longgar</x:v>
      </x:c>
      <x:c r="N4362" s="66" t="str">
        <x:v>Tidak Ada</x:v>
      </x:c>
      <x:c r="O4362" s="66" t="str">
        <x:v>Sulawesi Selatan</x:v>
      </x:c>
      <x:c r="P4362" s="66" t="str">
        <x:v>Kabupaten Gowa</x:v>
      </x:c>
      <x:c r="Q4362" s="66" t="str">
        <x:v>https://snpmb.id/snbp/daya-tampung-snbp</x:v>
      </x:c>
      <x:c r="R4362" s="66" t="str">
        <x:v>https://sidatagrun-public-1076756628210.asia-southeast2.run.app/ptn_sn.php?ptn=713</x:v>
      </x:c>
    </x:row>
    <x:row r="4363">
      <x:c r="A4363" s="87" t="n">
        <x:v>2698</x:v>
      </x:c>
      <x:c r="B4363" s="66" t="n">
        <x:v>713</x:v>
      </x:c>
      <x:c r="C4363" s="66" t="str">
        <x:v>UIN ALAUDDIN</x:v>
      </x:c>
      <x:c r="D4363" s="66" t="str">
        <x:v>PTKIN</x:v>
      </x:c>
      <x:c r="E4363" s="66" t="str">
        <x:v>17131015</x:v>
      </x:c>
      <x:c r="F4363" s="66" t="str">
        <x:v>SISTEM INFORMASI</x:v>
      </x:c>
      <x:c r="G4363" s="66" t="str">
        <x:v>Sarjana</x:v>
      </x:c>
      <x:c r="H4363" s="87" t="n">
        <x:v>45</x:v>
      </x:c>
      <x:c r="I4363" s="87" t="n">
        <x:v>185</x:v>
      </x:c>
      <x:c r="J4363" s="68" t="n">
        <x:f>IFERROR(H4363/I4363,"")</x:f>
        <x:v>0.24324324324324326</x:v>
      </x:c>
      <x:c r="K4363" s="69" t="n">
        <x:f>IFERROR(I4363/H4363,"")</x:f>
        <x:v>4.111111111111111</x:v>
      </x:c>
      <x:c r="L4363" s="66" t="str">
        <x:f>IF(K4363="","","1 : "&amp;TEXT(K4363,"0.0"))</x:f>
        <x:v>1 : 4.1</x:v>
      </x:c>
      <x:c r="M4363" s="66" t="str">
        <x:f>IF(J4363="","Baru/Tanpa Data",IF(J4363&lt;='Catatan &amp; Sumber'!$B$14,"Sangat Ketat",IF(J4363&lt;='Catatan &amp; Sumber'!$B$15,"Ketat",IF(J4363&lt;='Catatan &amp; Sumber'!$B$16,"Sedang","Relatif Longgar"))))</x:f>
        <x:v>Relatif Longgar</x:v>
      </x:c>
      <x:c r="N4363" s="66" t="str">
        <x:v>Tidak Ada</x:v>
      </x:c>
      <x:c r="O4363" s="66" t="str">
        <x:v>Sulawesi Selatan</x:v>
      </x:c>
      <x:c r="P4363" s="66" t="str">
        <x:v>Kabupaten Gowa</x:v>
      </x:c>
      <x:c r="Q4363" s="66" t="str">
        <x:v>https://snpmb.id/snbp/daya-tampung-snbp</x:v>
      </x:c>
      <x:c r="R4363" s="66" t="str">
        <x:v>https://sidatagrun-public-1076756628210.asia-southeast2.run.app/ptn_sn.php?ptn=713</x:v>
      </x:c>
    </x:row>
    <x:row r="4364">
      <x:c r="A4364" s="87" t="n">
        <x:v>403</x:v>
      </x:c>
      <x:c r="B4364" s="66" t="n">
        <x:v>713</x:v>
      </x:c>
      <x:c r="C4364" s="66" t="str">
        <x:v>UIN ALAUDDIN</x:v>
      </x:c>
      <x:c r="D4364" s="66" t="str">
        <x:v>PTKIN</x:v>
      </x:c>
      <x:c r="E4364" s="66" t="str">
        <x:v>17131016</x:v>
      </x:c>
      <x:c r="F4364" s="66" t="str">
        <x:v>PENDIDIKAN DOKTER</x:v>
      </x:c>
      <x:c r="G4364" s="66" t="str">
        <x:v>Sarjana</x:v>
      </x:c>
      <x:c r="H4364" s="87" t="n">
        <x:v>26</x:v>
      </x:c>
      <x:c r="I4364" s="87" t="n">
        <x:v>554</x:v>
      </x:c>
      <x:c r="J4364" s="68" t="n">
        <x:f>IFERROR(H4364/I4364,"")</x:f>
        <x:v>0.04693140794223827</x:v>
      </x:c>
      <x:c r="K4364" s="69" t="n">
        <x:f>IFERROR(I4364/H4364,"")</x:f>
        <x:v>21.307692307692307</x:v>
      </x:c>
      <x:c r="L4364" s="66" t="str">
        <x:f>IF(K4364="","","1 : "&amp;TEXT(K4364,"0.0"))</x:f>
        <x:v>1 : 21.3</x:v>
      </x:c>
      <x:c r="M4364" s="66" t="str">
        <x:f>IF(J4364="","Baru/Tanpa Data",IF(J4364&lt;='Catatan &amp; Sumber'!$B$14,"Sangat Ketat",IF(J4364&lt;='Catatan &amp; Sumber'!$B$15,"Ketat",IF(J4364&lt;='Catatan &amp; Sumber'!$B$16,"Sedang","Relatif Longgar"))))</x:f>
        <x:v>Ketat</x:v>
      </x:c>
      <x:c r="N4364" s="66" t="str">
        <x:v>Tidak Ada</x:v>
      </x:c>
      <x:c r="O4364" s="66" t="str">
        <x:v>Sulawesi Selatan</x:v>
      </x:c>
      <x:c r="P4364" s="66" t="str">
        <x:v>Kabupaten Gowa</x:v>
      </x:c>
      <x:c r="Q4364" s="66" t="str">
        <x:v>https://snpmb.id/snbp/daya-tampung-snbp</x:v>
      </x:c>
      <x:c r="R4364" s="66" t="str">
        <x:v>https://sidatagrun-public-1076756628210.asia-southeast2.run.app/ptn_sn.php?ptn=713</x:v>
      </x:c>
    </x:row>
    <x:row r="4365">
      <x:c r="A4365" s="87" t="n">
        <x:v>2748</x:v>
      </x:c>
      <x:c r="B4365" s="66" t="n">
        <x:v>713</x:v>
      </x:c>
      <x:c r="C4365" s="66" t="str">
        <x:v>UIN ALAUDDIN</x:v>
      </x:c>
      <x:c r="D4365" s="66" t="str">
        <x:v>PTKIN</x:v>
      </x:c>
      <x:c r="E4365" s="66" t="str">
        <x:v>17131017</x:v>
      </x:c>
      <x:c r="F4365" s="66" t="str">
        <x:v>ILMU HUKUM</x:v>
      </x:c>
      <x:c r="G4365" s="66" t="str">
        <x:v>Sarjana</x:v>
      </x:c>
      <x:c r="H4365" s="87" t="n">
        <x:v>75</x:v>
      </x:c>
      <x:c r="I4365" s="87" t="n">
        <x:v>299</x:v>
      </x:c>
      <x:c r="J4365" s="68" t="n">
        <x:f>IFERROR(H4365/I4365,"")</x:f>
        <x:v>0.2508361204013378</x:v>
      </x:c>
      <x:c r="K4365" s="69" t="n">
        <x:f>IFERROR(I4365/H4365,"")</x:f>
        <x:v>3.986666666666667</x:v>
      </x:c>
      <x:c r="L4365" s="66" t="str">
        <x:f>IF(K4365="","","1 : "&amp;TEXT(K4365,"0.0"))</x:f>
        <x:v>1 : 4.0</x:v>
      </x:c>
      <x:c r="M4365" s="66" t="str">
        <x:f>IF(J4365="","Baru/Tanpa Data",IF(J4365&lt;='Catatan &amp; Sumber'!$B$14,"Sangat Ketat",IF(J4365&lt;='Catatan &amp; Sumber'!$B$15,"Ketat",IF(J4365&lt;='Catatan &amp; Sumber'!$B$16,"Sedang","Relatif Longgar"))))</x:f>
        <x:v>Relatif Longgar</x:v>
      </x:c>
      <x:c r="N4365" s="66" t="str">
        <x:v>Tidak Ada</x:v>
      </x:c>
      <x:c r="O4365" s="66" t="str">
        <x:v>Sulawesi Selatan</x:v>
      </x:c>
      <x:c r="P4365" s="66" t="str">
        <x:v>Kabupaten Gowa</x:v>
      </x:c>
      <x:c r="Q4365" s="66" t="str">
        <x:v>https://snpmb.id/snbp/daya-tampung-snbp</x:v>
      </x:c>
      <x:c r="R4365" s="66" t="str">
        <x:v>https://sidatagrun-public-1076756628210.asia-southeast2.run.app/ptn_sn.php?ptn=713</x:v>
      </x:c>
    </x:row>
    <x:row r="4366">
      <x:c r="A4366" s="87" t="n">
        <x:v>4460</x:v>
      </x:c>
      <x:c r="B4366" s="66" t="n">
        <x:v>713</x:v>
      </x:c>
      <x:c r="C4366" s="66" t="str">
        <x:v>UIN ALAUDDIN</x:v>
      </x:c>
      <x:c r="D4366" s="66" t="str">
        <x:v>PTKIN</x:v>
      </x:c>
      <x:c r="E4366" s="66" t="str">
        <x:v>17131018</x:v>
      </x:c>
      <x:c r="F4366" s="66" t="str">
        <x:v>JURNALISTIK</x:v>
      </x:c>
      <x:c r="G4366" s="66" t="str">
        <x:v>Sarjana</x:v>
      </x:c>
      <x:c r="H4366" s="87" t="n">
        <x:v>36</x:v>
      </x:c>
      <x:c r="I4366" s="87" t="n">
        <x:v>29</x:v>
      </x:c>
      <x:c r="J4366" s="68" t="n">
        <x:f>IFERROR(H4366/I4366,"")</x:f>
        <x:v>1.2413793103448276</x:v>
      </x:c>
      <x:c r="K4366" s="69" t="n">
        <x:f>IFERROR(I4366/H4366,"")</x:f>
        <x:v>0.8055555555555556</x:v>
      </x:c>
      <x:c r="L4366" s="66" t="str">
        <x:f>IF(K4366="","","1 : "&amp;TEXT(K4366,"0.0"))</x:f>
        <x:v>1 : 0.8</x:v>
      </x:c>
      <x:c r="M4366" s="66" t="str">
        <x:f>IF(J4366="","Baru/Tanpa Data",IF(J4366&lt;='Catatan &amp; Sumber'!$B$14,"Sangat Ketat",IF(J4366&lt;='Catatan &amp; Sumber'!$B$15,"Ketat",IF(J4366&lt;='Catatan &amp; Sumber'!$B$16,"Sedang","Relatif Longgar"))))</x:f>
        <x:v>Relatif Longgar</x:v>
      </x:c>
      <x:c r="N4366" s="66" t="str">
        <x:v>Tidak Ada</x:v>
      </x:c>
      <x:c r="O4366" s="66" t="str">
        <x:v>Sulawesi Selatan</x:v>
      </x:c>
      <x:c r="P4366" s="66" t="str">
        <x:v>Kabupaten Gowa</x:v>
      </x:c>
      <x:c r="Q4366" s="66" t="str">
        <x:v>https://snpmb.id/snbp/daya-tampung-snbp</x:v>
      </x:c>
      <x:c r="R4366" s="66" t="str">
        <x:v>https://sidatagrun-public-1076756628210.asia-southeast2.run.app/ptn_sn.php?ptn=713</x:v>
      </x:c>
    </x:row>
    <x:row r="4367">
      <x:c r="A4367" s="87" t="n">
        <x:v>2359</x:v>
      </x:c>
      <x:c r="B4367" s="66" t="n">
        <x:v>713</x:v>
      </x:c>
      <x:c r="C4367" s="66" t="str">
        <x:v>UIN ALAUDDIN</x:v>
      </x:c>
      <x:c r="D4367" s="66" t="str">
        <x:v>PTKIN</x:v>
      </x:c>
      <x:c r="E4367" s="66" t="str">
        <x:v>17131019</x:v>
      </x:c>
      <x:c r="F4367" s="66" t="str">
        <x:v>MANAJEMEN</x:v>
      </x:c>
      <x:c r="G4367" s="66" t="str">
        <x:v>Sarjana</x:v>
      </x:c>
      <x:c r="H4367" s="87" t="n">
        <x:v>57</x:v>
      </x:c>
      <x:c r="I4367" s="87" t="n">
        <x:v>299</x:v>
      </x:c>
      <x:c r="J4367" s="68" t="n">
        <x:f>IFERROR(H4367/I4367,"")</x:f>
        <x:v>0.19063545150501673</x:v>
      </x:c>
      <x:c r="K4367" s="69" t="n">
        <x:f>IFERROR(I4367/H4367,"")</x:f>
        <x:v>5.245614035087719</x:v>
      </x:c>
      <x:c r="L4367" s="66" t="str">
        <x:f>IF(K4367="","","1 : "&amp;TEXT(K4367,"0.0"))</x:f>
        <x:v>1 : 5.2</x:v>
      </x:c>
      <x:c r="M4367" s="66" t="str">
        <x:f>IF(J4367="","Baru/Tanpa Data",IF(J4367&lt;='Catatan &amp; Sumber'!$B$14,"Sangat Ketat",IF(J4367&lt;='Catatan &amp; Sumber'!$B$15,"Ketat",IF(J4367&lt;='Catatan &amp; Sumber'!$B$16,"Sedang","Relatif Longgar"))))</x:f>
        <x:v>Relatif Longgar</x:v>
      </x:c>
      <x:c r="N4367" s="66" t="str">
        <x:v>Tidak Ada</x:v>
      </x:c>
      <x:c r="O4367" s="66" t="str">
        <x:v>Sulawesi Selatan</x:v>
      </x:c>
      <x:c r="P4367" s="66" t="str">
        <x:v>Kabupaten Gowa</x:v>
      </x:c>
      <x:c r="Q4367" s="66" t="str">
        <x:v>https://snpmb.id/snbp/daya-tampung-snbp</x:v>
      </x:c>
      <x:c r="R4367" s="66" t="str">
        <x:v>https://sidatagrun-public-1076756628210.asia-southeast2.run.app/ptn_sn.php?ptn=713</x:v>
      </x:c>
    </x:row>
    <x:row r="4368">
      <x:c r="A4368" s="87" t="n">
        <x:v>3323</x:v>
      </x:c>
      <x:c r="B4368" s="66" t="n">
        <x:v>713</x:v>
      </x:c>
      <x:c r="C4368" s="66" t="str">
        <x:v>UIN ALAUDDIN</x:v>
      </x:c>
      <x:c r="D4368" s="66" t="str">
        <x:v>PTKIN</x:v>
      </x:c>
      <x:c r="E4368" s="66" t="str">
        <x:v>17131024</x:v>
      </x:c>
      <x:c r="F4368" s="66" t="str">
        <x:v>AKUNTANSI</x:v>
      </x:c>
      <x:c r="G4368" s="66" t="str">
        <x:v>Sarjana</x:v>
      </x:c>
      <x:c r="H4368" s="87" t="n">
        <x:v>66</x:v>
      </x:c>
      <x:c r="I4368" s="87" t="n">
        <x:v>174</x:v>
      </x:c>
      <x:c r="J4368" s="68" t="n">
        <x:f>IFERROR(H4368/I4368,"")</x:f>
        <x:v>0.3793103448275862</x:v>
      </x:c>
      <x:c r="K4368" s="69" t="n">
        <x:f>IFERROR(I4368/H4368,"")</x:f>
        <x:v>2.6363636363636362</x:v>
      </x:c>
      <x:c r="L4368" s="66" t="str">
        <x:f>IF(K4368="","","1 : "&amp;TEXT(K4368,"0.0"))</x:f>
        <x:v>1 : 2.6</x:v>
      </x:c>
      <x:c r="M4368" s="66" t="str">
        <x:f>IF(J4368="","Baru/Tanpa Data",IF(J4368&lt;='Catatan &amp; Sumber'!$B$14,"Sangat Ketat",IF(J4368&lt;='Catatan &amp; Sumber'!$B$15,"Ketat",IF(J4368&lt;='Catatan &amp; Sumber'!$B$16,"Sedang","Relatif Longgar"))))</x:f>
        <x:v>Relatif Longgar</x:v>
      </x:c>
      <x:c r="N4368" s="66" t="str">
        <x:v>Tidak Ada</x:v>
      </x:c>
      <x:c r="O4368" s="66" t="str">
        <x:v>Sulawesi Selatan</x:v>
      </x:c>
      <x:c r="P4368" s="66" t="str">
        <x:v>Kabupaten Gowa</x:v>
      </x:c>
      <x:c r="Q4368" s="66" t="str">
        <x:v>https://snpmb.id/snbp/daya-tampung-snbp</x:v>
      </x:c>
      <x:c r="R4368" s="66" t="str">
        <x:v>https://sidatagrun-public-1076756628210.asia-southeast2.run.app/ptn_sn.php?ptn=713</x:v>
      </x:c>
    </x:row>
    <x:row r="4369">
      <x:c r="A4369" s="87" t="n">
        <x:v>3800</x:v>
      </x:c>
      <x:c r="B4369" s="66" t="n">
        <x:v>713</x:v>
      </x:c>
      <x:c r="C4369" s="66" t="str">
        <x:v>UIN ALAUDDIN</x:v>
      </x:c>
      <x:c r="D4369" s="66" t="str">
        <x:v>PTKIN</x:v>
      </x:c>
      <x:c r="E4369" s="66" t="str">
        <x:v>17131025</x:v>
      </x:c>
      <x:c r="F4369" s="66" t="str">
        <x:v>ILMU EKONOMI</x:v>
      </x:c>
      <x:c r="G4369" s="66" t="str">
        <x:v>Sarjana</x:v>
      </x:c>
      <x:c r="H4369" s="87" t="n">
        <x:v>57</x:v>
      </x:c>
      <x:c r="I4369" s="87" t="n">
        <x:v>100</x:v>
      </x:c>
      <x:c r="J4369" s="68" t="n">
        <x:f>IFERROR(H4369/I4369,"")</x:f>
        <x:v>0.57</x:v>
      </x:c>
      <x:c r="K4369" s="69" t="n">
        <x:f>IFERROR(I4369/H4369,"")</x:f>
        <x:v>1.7543859649122806</x:v>
      </x:c>
      <x:c r="L4369" s="66" t="str">
        <x:f>IF(K4369="","","1 : "&amp;TEXT(K4369,"0.0"))</x:f>
        <x:v>1 : 1.8</x:v>
      </x:c>
      <x:c r="M4369" s="66" t="str">
        <x:f>IF(J4369="","Baru/Tanpa Data",IF(J4369&lt;='Catatan &amp; Sumber'!$B$14,"Sangat Ketat",IF(J4369&lt;='Catatan &amp; Sumber'!$B$15,"Ketat",IF(J4369&lt;='Catatan &amp; Sumber'!$B$16,"Sedang","Relatif Longgar"))))</x:f>
        <x:v>Relatif Longgar</x:v>
      </x:c>
      <x:c r="N4369" s="66" t="str">
        <x:v>Tidak Ada</x:v>
      </x:c>
      <x:c r="O4369" s="66" t="str">
        <x:v>Sulawesi Selatan</x:v>
      </x:c>
      <x:c r="P4369" s="66" t="str">
        <x:v>Kabupaten Gowa</x:v>
      </x:c>
      <x:c r="Q4369" s="66" t="str">
        <x:v>https://snpmb.id/snbp/daya-tampung-snbp</x:v>
      </x:c>
      <x:c r="R4369" s="66" t="str">
        <x:v>https://sidatagrun-public-1076756628210.asia-southeast2.run.app/ptn_sn.php?ptn=713</x:v>
      </x:c>
    </x:row>
    <x:row r="4370">
      <x:c r="A4370" s="87" t="n">
        <x:v>4285</x:v>
      </x:c>
      <x:c r="B4370" s="66" t="n">
        <x:v>713</x:v>
      </x:c>
      <x:c r="C4370" s="66" t="str">
        <x:v>UIN ALAUDDIN</x:v>
      </x:c>
      <x:c r="D4370" s="66" t="str">
        <x:v>PTKIN</x:v>
      </x:c>
      <x:c r="E4370" s="66" t="str">
        <x:v>17131031</x:v>
      </x:c>
      <x:c r="F4370" s="66" t="str">
        <x:v>ILMU POLITIK</x:v>
      </x:c>
      <x:c r="G4370" s="66" t="str">
        <x:v>Sarjana</x:v>
      </x:c>
      <x:c r="H4370" s="87" t="n">
        <x:v>36</x:v>
      </x:c>
      <x:c r="I4370" s="87" t="n">
        <x:v>38</x:v>
      </x:c>
      <x:c r="J4370" s="68" t="n">
        <x:f>IFERROR(H4370/I4370,"")</x:f>
        <x:v>0.9473684210526315</x:v>
      </x:c>
      <x:c r="K4370" s="69" t="n">
        <x:f>IFERROR(I4370/H4370,"")</x:f>
        <x:v>1.0555555555555556</x:v>
      </x:c>
      <x:c r="L4370" s="66" t="str">
        <x:f>IF(K4370="","","1 : "&amp;TEXT(K4370,"0.0"))</x:f>
        <x:v>1 : 1.1</x:v>
      </x:c>
      <x:c r="M4370" s="66" t="str">
        <x:f>IF(J4370="","Baru/Tanpa Data",IF(J4370&lt;='Catatan &amp; Sumber'!$B$14,"Sangat Ketat",IF(J4370&lt;='Catatan &amp; Sumber'!$B$15,"Ketat",IF(J4370&lt;='Catatan &amp; Sumber'!$B$16,"Sedang","Relatif Longgar"))))</x:f>
        <x:v>Relatif Longgar</x:v>
      </x:c>
      <x:c r="N4370" s="66" t="str">
        <x:v>Tidak Ada</x:v>
      </x:c>
      <x:c r="O4370" s="66" t="str">
        <x:v>Sulawesi Selatan</x:v>
      </x:c>
      <x:c r="P4370" s="66" t="str">
        <x:v>Kabupaten Gowa</x:v>
      </x:c>
      <x:c r="Q4370" s="66" t="str">
        <x:v>https://snpmb.id/snbp/daya-tampung-snbp</x:v>
      </x:c>
      <x:c r="R4370" s="66" t="str">
        <x:v>https://sidatagrun-public-1076756628210.asia-southeast2.run.app/ptn_sn.php?ptn=713</x:v>
      </x:c>
    </x:row>
    <x:row r="4371">
      <x:c r="A4371" s="87" t="n">
        <x:v>2823</x:v>
      </x:c>
      <x:c r="B4371" s="66" t="n">
        <x:v>713</x:v>
      </x:c>
      <x:c r="C4371" s="66" t="str">
        <x:v>UIN ALAUDDIN</x:v>
      </x:c>
      <x:c r="D4371" s="66" t="str">
        <x:v>PTKIN</x:v>
      </x:c>
      <x:c r="E4371" s="66" t="str">
        <x:v>17131034</x:v>
      </x:c>
      <x:c r="F4371" s="66" t="str">
        <x:v>ILMU KOMUNIKASI</x:v>
      </x:c>
      <x:c r="G4371" s="66" t="str">
        <x:v>Sarjana</x:v>
      </x:c>
      <x:c r="H4371" s="87" t="n">
        <x:v>45</x:v>
      </x:c>
      <x:c r="I4371" s="87" t="n">
        <x:v>172</x:v>
      </x:c>
      <x:c r="J4371" s="68" t="n">
        <x:f>IFERROR(H4371/I4371,"")</x:f>
        <x:v>0.2616279069767442</x:v>
      </x:c>
      <x:c r="K4371" s="69" t="n">
        <x:f>IFERROR(I4371/H4371,"")</x:f>
        <x:v>3.8222222222222224</x:v>
      </x:c>
      <x:c r="L4371" s="66" t="str">
        <x:f>IF(K4371="","","1 : "&amp;TEXT(K4371,"0.0"))</x:f>
        <x:v>1 : 3.8</x:v>
      </x:c>
      <x:c r="M4371" s="66" t="str">
        <x:f>IF(J4371="","Baru/Tanpa Data",IF(J4371&lt;='Catatan &amp; Sumber'!$B$14,"Sangat Ketat",IF(J4371&lt;='Catatan &amp; Sumber'!$B$15,"Ketat",IF(J4371&lt;='Catatan &amp; Sumber'!$B$16,"Sedang","Relatif Longgar"))))</x:f>
        <x:v>Relatif Longgar</x:v>
      </x:c>
      <x:c r="N4371" s="66" t="str">
        <x:v>Tidak Ada</x:v>
      </x:c>
      <x:c r="O4371" s="66" t="str">
        <x:v>Sulawesi Selatan</x:v>
      </x:c>
      <x:c r="P4371" s="66" t="str">
        <x:v>Kabupaten Gowa</x:v>
      </x:c>
      <x:c r="Q4371" s="66" t="str">
        <x:v>https://snpmb.id/snbp/daya-tampung-snbp</x:v>
      </x:c>
      <x:c r="R4371" s="66" t="str">
        <x:v>https://sidatagrun-public-1076756628210.asia-southeast2.run.app/ptn_sn.php?ptn=713</x:v>
      </x:c>
    </x:row>
    <x:row r="4372">
      <x:c r="A4372" s="87" t="n">
        <x:v>4028</x:v>
      </x:c>
      <x:c r="B4372" s="66" t="n">
        <x:v>713</x:v>
      </x:c>
      <x:c r="C4372" s="66" t="str">
        <x:v>UIN ALAUDDIN</x:v>
      </x:c>
      <x:c r="D4372" s="66" t="str">
        <x:v>PTKIN</x:v>
      </x:c>
      <x:c r="E4372" s="66" t="str">
        <x:v>17131047</x:v>
      </x:c>
      <x:c r="F4372" s="66" t="str">
        <x:v>HUBUNGAN INTERNASIONAL</x:v>
      </x:c>
      <x:c r="G4372" s="66" t="str">
        <x:v>Sarjana</x:v>
      </x:c>
      <x:c r="H4372" s="87" t="n">
        <x:v>36</x:v>
      </x:c>
      <x:c r="I4372" s="87" t="n">
        <x:v>51</x:v>
      </x:c>
      <x:c r="J4372" s="68" t="n">
        <x:f>IFERROR(H4372/I4372,"")</x:f>
        <x:v>0.7058823529411765</x:v>
      </x:c>
      <x:c r="K4372" s="69" t="n">
        <x:f>IFERROR(I4372/H4372,"")</x:f>
        <x:v>1.4166666666666667</x:v>
      </x:c>
      <x:c r="L4372" s="66" t="str">
        <x:f>IF(K4372="","","1 : "&amp;TEXT(K4372,"0.0"))</x:f>
        <x:v>1 : 1.4</x:v>
      </x:c>
      <x:c r="M4372" s="66" t="str">
        <x:f>IF(J4372="","Baru/Tanpa Data",IF(J4372&lt;='Catatan &amp; Sumber'!$B$14,"Sangat Ketat",IF(J4372&lt;='Catatan &amp; Sumber'!$B$15,"Ketat",IF(J4372&lt;='Catatan &amp; Sumber'!$B$16,"Sedang","Relatif Longgar"))))</x:f>
        <x:v>Relatif Longgar</x:v>
      </x:c>
      <x:c r="N4372" s="66" t="str">
        <x:v>Tidak Ada</x:v>
      </x:c>
      <x:c r="O4372" s="66" t="str">
        <x:v>Sulawesi Selatan</x:v>
      </x:c>
      <x:c r="P4372" s="66" t="str">
        <x:v>Kabupaten Gowa</x:v>
      </x:c>
      <x:c r="Q4372" s="66" t="str">
        <x:v>https://snpmb.id/snbp/daya-tampung-snbp</x:v>
      </x:c>
      <x:c r="R4372" s="66" t="str">
        <x:v>https://sidatagrun-public-1076756628210.asia-southeast2.run.app/ptn_sn.php?ptn=713</x:v>
      </x:c>
    </x:row>
    <x:row r="4373">
      <x:c r="A4373" s="87" t="n">
        <x:v>4424</x:v>
      </x:c>
      <x:c r="B4373" s="66" t="n">
        <x:v>713</x:v>
      </x:c>
      <x:c r="C4373" s="66" t="str">
        <x:v>UIN ALAUDDIN</x:v>
      </x:c>
      <x:c r="D4373" s="66" t="str">
        <x:v>PTKIN</x:v>
      </x:c>
      <x:c r="E4373" s="66" t="str">
        <x:v>17131048</x:v>
      </x:c>
      <x:c r="F4373" s="66" t="str">
        <x:v>KESEJAHTERAAN SOSIAL</x:v>
      </x:c>
      <x:c r="G4373" s="66" t="str">
        <x:v>Sarjana</x:v>
      </x:c>
      <x:c r="H4373" s="87" t="n">
        <x:v>36</x:v>
      </x:c>
      <x:c r="I4373" s="87" t="n">
        <x:v>31</x:v>
      </x:c>
      <x:c r="J4373" s="68" t="n">
        <x:f>IFERROR(H4373/I4373,"")</x:f>
        <x:v>1.1612903225806452</x:v>
      </x:c>
      <x:c r="K4373" s="69" t="n">
        <x:f>IFERROR(I4373/H4373,"")</x:f>
        <x:v>0.8611111111111112</x:v>
      </x:c>
      <x:c r="L4373" s="66" t="str">
        <x:f>IF(K4373="","","1 : "&amp;TEXT(K4373,"0.0"))</x:f>
        <x:v>1 : 0.9</x:v>
      </x:c>
      <x:c r="M4373" s="66" t="str">
        <x:f>IF(J4373="","Baru/Tanpa Data",IF(J4373&lt;='Catatan &amp; Sumber'!$B$14,"Sangat Ketat",IF(J4373&lt;='Catatan &amp; Sumber'!$B$15,"Ketat",IF(J4373&lt;='Catatan &amp; Sumber'!$B$16,"Sedang","Relatif Longgar"))))</x:f>
        <x:v>Relatif Longgar</x:v>
      </x:c>
      <x:c r="N4373" s="66" t="str">
        <x:v>Tidak Ada</x:v>
      </x:c>
      <x:c r="O4373" s="66" t="str">
        <x:v>Sulawesi Selatan</x:v>
      </x:c>
      <x:c r="P4373" s="66" t="str">
        <x:v>Kabupaten Gowa</x:v>
      </x:c>
      <x:c r="Q4373" s="66" t="str">
        <x:v>https://snpmb.id/snbp/daya-tampung-snbp</x:v>
      </x:c>
      <x:c r="R4373" s="66" t="str">
        <x:v>https://sidatagrun-public-1076756628210.asia-southeast2.run.app/ptn_sn.php?ptn=713</x:v>
      </x:c>
    </x:row>
    <x:row r="4374">
      <x:c r="A4374" s="87" t="n">
        <x:v>2593</x:v>
      </x:c>
      <x:c r="B4374" s="66" t="n">
        <x:v>713</x:v>
      </x:c>
      <x:c r="C4374" s="66" t="str">
        <x:v>UIN ALAUDDIN</x:v>
      </x:c>
      <x:c r="D4374" s="66" t="str">
        <x:v>PTKIN</x:v>
      </x:c>
      <x:c r="E4374" s="66" t="str">
        <x:v>17131049</x:v>
      </x:c>
      <x:c r="F4374" s="66" t="str">
        <x:v>KEBIDANAN</x:v>
      </x:c>
      <x:c r="G4374" s="66" t="str">
        <x:v>Sarjana</x:v>
      </x:c>
      <x:c r="H4374" s="87" t="n">
        <x:v>30</x:v>
      </x:c>
      <x:c r="I4374" s="87" t="n">
        <x:v>132</x:v>
      </x:c>
      <x:c r="J4374" s="68" t="n">
        <x:f>IFERROR(H4374/I4374,"")</x:f>
        <x:v>0.22727272727272727</x:v>
      </x:c>
      <x:c r="K4374" s="69" t="n">
        <x:f>IFERROR(I4374/H4374,"")</x:f>
        <x:v>4.4</x:v>
      </x:c>
      <x:c r="L4374" s="66" t="str">
        <x:f>IF(K4374="","","1 : "&amp;TEXT(K4374,"0.0"))</x:f>
        <x:v>1 : 4.4</x:v>
      </x:c>
      <x:c r="M4374" s="66" t="str">
        <x:f>IF(J4374="","Baru/Tanpa Data",IF(J4374&lt;='Catatan &amp; Sumber'!$B$14,"Sangat Ketat",IF(J4374&lt;='Catatan &amp; Sumber'!$B$15,"Ketat",IF(J4374&lt;='Catatan &amp; Sumber'!$B$16,"Sedang","Relatif Longgar"))))</x:f>
        <x:v>Relatif Longgar</x:v>
      </x:c>
      <x:c r="N4374" s="66" t="str">
        <x:v>Tidak Ada</x:v>
      </x:c>
      <x:c r="O4374" s="66" t="str">
        <x:v>Sulawesi Selatan</x:v>
      </x:c>
      <x:c r="P4374" s="66" t="str">
        <x:v>Kabupaten Gowa</x:v>
      </x:c>
      <x:c r="Q4374" s="66" t="str">
        <x:v>https://snpmb.id/snbp/daya-tampung-snbp</x:v>
      </x:c>
      <x:c r="R4374" s="66" t="str">
        <x:v>https://sidatagrun-public-1076756628210.asia-southeast2.run.app/ptn_sn.php?ptn=713</x:v>
      </x:c>
    </x:row>
    <x:row r="4375">
      <x:c r="A4375" s="87" t="n">
        <x:v>2918</x:v>
      </x:c>
      <x:c r="B4375" s="66" t="n">
        <x:v>716</x:v>
      </x:c>
      <x:c r="C4375" s="66" t="str">
        <x:v>POLITEKNIK NEGERI UJUNG PANDANG</x:v>
      </x:c>
      <x:c r="D4375" s="66" t="str">
        <x:v>PTN Vokasi</x:v>
      </x:c>
      <x:c r="E4375" s="66" t="str">
        <x:v>27162001</x:v>
      </x:c>
      <x:c r="F4375" s="66" t="str">
        <x:v>PERANCANGAN BANGUNAN GEDUNG</x:v>
      </x:c>
      <x:c r="G4375" s="66" t="str">
        <x:v>Sarjana Terapan</x:v>
      </x:c>
      <x:c r="H4375" s="87" t="n">
        <x:v>23</x:v>
      </x:c>
      <x:c r="I4375" s="87" t="n">
        <x:v>83</x:v>
      </x:c>
      <x:c r="J4375" s="68" t="n">
        <x:f>IFERROR(H4375/I4375,"")</x:f>
        <x:v>0.27710843373493976</x:v>
      </x:c>
      <x:c r="K4375" s="69" t="n">
        <x:f>IFERROR(I4375/H4375,"")</x:f>
        <x:v>3.608695652173913</x:v>
      </x:c>
      <x:c r="L4375" s="66" t="str">
        <x:f>IF(K4375="","","1 : "&amp;TEXT(K4375,"0.0"))</x:f>
        <x:v>1 : 3.6</x:v>
      </x:c>
      <x:c r="M4375" s="66" t="str">
        <x:f>IF(J4375="","Baru/Tanpa Data",IF(J4375&lt;='Catatan &amp; Sumber'!$B$14,"Sangat Ketat",IF(J4375&lt;='Catatan &amp; Sumber'!$B$15,"Ketat",IF(J4375&lt;='Catatan &amp; Sumber'!$B$16,"Sedang","Relatif Longgar"))))</x:f>
        <x:v>Relatif Longgar</x:v>
      </x:c>
      <x:c r="N4375" s="66" t="str">
        <x:v>Tidak Ada</x:v>
      </x:c>
      <x:c r="O4375" s="66" t="str">
        <x:v>Sulawesi Selatan</x:v>
      </x:c>
      <x:c r="P4375" s="66" t="str">
        <x:v>Kota Makassar</x:v>
      </x:c>
      <x:c r="Q4375" s="66" t="str">
        <x:v>https://snpmb.id/snbp/daya-tampung-snbp</x:v>
      </x:c>
      <x:c r="R4375" s="66" t="str">
        <x:v>https://sidatagrun-public-1076756628210.asia-southeast2.run.app/ptn_sn.php?ptn=716</x:v>
      </x:c>
    </x:row>
    <x:row r="4376">
      <x:c r="A4376" s="87" t="n">
        <x:v>3206</x:v>
      </x:c>
      <x:c r="B4376" s="66" t="n">
        <x:v>716</x:v>
      </x:c>
      <x:c r="C4376" s="66" t="str">
        <x:v>POLITEKNIK NEGERI UJUNG PANDANG</x:v>
      </x:c>
      <x:c r="D4376" s="66" t="str">
        <x:v>PTN Vokasi</x:v>
      </x:c>
      <x:c r="E4376" s="66" t="str">
        <x:v>27162002</x:v>
      </x:c>
      <x:c r="F4376" s="66" t="str">
        <x:v>JASA KONSTRUKSI</x:v>
      </x:c>
      <x:c r="G4376" s="66" t="str">
        <x:v>Sarjana Terapan</x:v>
      </x:c>
      <x:c r="H4376" s="87" t="n">
        <x:v>23</x:v>
      </x:c>
      <x:c r="I4376" s="87" t="n">
        <x:v>67</x:v>
      </x:c>
      <x:c r="J4376" s="68" t="n">
        <x:f>IFERROR(H4376/I4376,"")</x:f>
        <x:v>0.34328358208955223</x:v>
      </x:c>
      <x:c r="K4376" s="69" t="n">
        <x:f>IFERROR(I4376/H4376,"")</x:f>
        <x:v>2.9130434782608696</x:v>
      </x:c>
      <x:c r="L4376" s="66" t="str">
        <x:f>IF(K4376="","","1 : "&amp;TEXT(K4376,"0.0"))</x:f>
        <x:v>1 : 2.9</x:v>
      </x:c>
      <x:c r="M4376" s="66" t="str">
        <x:f>IF(J4376="","Baru/Tanpa Data",IF(J4376&lt;='Catatan &amp; Sumber'!$B$14,"Sangat Ketat",IF(J4376&lt;='Catatan &amp; Sumber'!$B$15,"Ketat",IF(J4376&lt;='Catatan &amp; Sumber'!$B$16,"Sedang","Relatif Longgar"))))</x:f>
        <x:v>Relatif Longgar</x:v>
      </x:c>
      <x:c r="N4376" s="66" t="str">
        <x:v>Tidak Ada</x:v>
      </x:c>
      <x:c r="O4376" s="66" t="str">
        <x:v>Sulawesi Selatan</x:v>
      </x:c>
      <x:c r="P4376" s="66" t="str">
        <x:v>Kota Makassar</x:v>
      </x:c>
      <x:c r="Q4376" s="66" t="str">
        <x:v>https://snpmb.id/snbp/daya-tampung-snbp</x:v>
      </x:c>
      <x:c r="R4376" s="66" t="str">
        <x:v>https://sidatagrun-public-1076756628210.asia-southeast2.run.app/ptn_sn.php?ptn=716</x:v>
      </x:c>
    </x:row>
    <x:row r="4377">
      <x:c r="A4377" s="87" t="n">
        <x:v>3983</x:v>
      </x:c>
      <x:c r="B4377" s="66" t="n">
        <x:v>716</x:v>
      </x:c>
      <x:c r="C4377" s="66" t="str">
        <x:v>POLITEKNIK NEGERI UJUNG PANDANG</x:v>
      </x:c>
      <x:c r="D4377" s="66" t="str">
        <x:v>PTN Vokasi</x:v>
      </x:c>
      <x:c r="E4377" s="66" t="str">
        <x:v>27162003</x:v>
      </x:c>
      <x:c r="F4377" s="66" t="str">
        <x:v>TEKNIK PEMBANGKIT ENERGI</x:v>
      </x:c>
      <x:c r="G4377" s="66" t="str">
        <x:v>Sarjana Terapan</x:v>
      </x:c>
      <x:c r="H4377" s="87" t="n">
        <x:v>23</x:v>
      </x:c>
      <x:c r="I4377" s="87" t="n">
        <x:v>34</x:v>
      </x:c>
      <x:c r="J4377" s="68" t="n">
        <x:f>IFERROR(H4377/I4377,"")</x:f>
        <x:v>0.6764705882352942</x:v>
      </x:c>
      <x:c r="K4377" s="69" t="n">
        <x:f>IFERROR(I4377/H4377,"")</x:f>
        <x:v>1.4782608695652173</x:v>
      </x:c>
      <x:c r="L4377" s="66" t="str">
        <x:f>IF(K4377="","","1 : "&amp;TEXT(K4377,"0.0"))</x:f>
        <x:v>1 : 1.5</x:v>
      </x:c>
      <x:c r="M4377" s="66" t="str">
        <x:f>IF(J4377="","Baru/Tanpa Data",IF(J4377&lt;='Catatan &amp; Sumber'!$B$14,"Sangat Ketat",IF(J4377&lt;='Catatan &amp; Sumber'!$B$15,"Ketat",IF(J4377&lt;='Catatan &amp; Sumber'!$B$16,"Sedang","Relatif Longgar"))))</x:f>
        <x:v>Relatif Longgar</x:v>
      </x:c>
      <x:c r="N4377" s="66" t="str">
        <x:v>Tidak Ada</x:v>
      </x:c>
      <x:c r="O4377" s="66" t="str">
        <x:v>Sulawesi Selatan</x:v>
      </x:c>
      <x:c r="P4377" s="66" t="str">
        <x:v>Kota Makassar</x:v>
      </x:c>
      <x:c r="Q4377" s="66" t="str">
        <x:v>https://snpmb.id/snbp/daya-tampung-snbp</x:v>
      </x:c>
      <x:c r="R4377" s="66" t="str">
        <x:v>https://sidatagrun-public-1076756628210.asia-southeast2.run.app/ptn_sn.php?ptn=716</x:v>
      </x:c>
    </x:row>
    <x:row r="4378">
      <x:c r="A4378" s="87" t="n">
        <x:v>2854</x:v>
      </x:c>
      <x:c r="B4378" s="66" t="n">
        <x:v>716</x:v>
      </x:c>
      <x:c r="C4378" s="66" t="str">
        <x:v>POLITEKNIK NEGERI UJUNG PANDANG</x:v>
      </x:c>
      <x:c r="D4378" s="66" t="str">
        <x:v>PTN Vokasi</x:v>
      </x:c>
      <x:c r="E4378" s="66" t="str">
        <x:v>27162004</x:v>
      </x:c>
      <x:c r="F4378" s="66" t="str">
        <x:v>TEKNOLOGI KIMIA INDUSTRI</x:v>
      </x:c>
      <x:c r="G4378" s="66" t="str">
        <x:v>Sarjana Terapan</x:v>
      </x:c>
      <x:c r="H4378" s="87" t="n">
        <x:v>30</x:v>
      </x:c>
      <x:c r="I4378" s="87" t="n">
        <x:v>112</x:v>
      </x:c>
      <x:c r="J4378" s="68" t="n">
        <x:f>IFERROR(H4378/I4378,"")</x:f>
        <x:v>0.26785714285714285</x:v>
      </x:c>
      <x:c r="K4378" s="69" t="n">
        <x:f>IFERROR(I4378/H4378,"")</x:f>
        <x:v>3.7333333333333334</x:v>
      </x:c>
      <x:c r="L4378" s="66" t="str">
        <x:f>IF(K4378="","","1 : "&amp;TEXT(K4378,"0.0"))</x:f>
        <x:v>1 : 3.7</x:v>
      </x:c>
      <x:c r="M4378" s="66" t="str">
        <x:f>IF(J4378="","Baru/Tanpa Data",IF(J4378&lt;='Catatan &amp; Sumber'!$B$14,"Sangat Ketat",IF(J4378&lt;='Catatan &amp; Sumber'!$B$15,"Ketat",IF(J4378&lt;='Catatan &amp; Sumber'!$B$16,"Sedang","Relatif Longgar"))))</x:f>
        <x:v>Relatif Longgar</x:v>
      </x:c>
      <x:c r="N4378" s="66" t="str">
        <x:v>Tidak Ada</x:v>
      </x:c>
      <x:c r="O4378" s="66" t="str">
        <x:v>Sulawesi Selatan</x:v>
      </x:c>
      <x:c r="P4378" s="66" t="str">
        <x:v>Kota Makassar</x:v>
      </x:c>
      <x:c r="Q4378" s="66" t="str">
        <x:v>https://snpmb.id/snbp/daya-tampung-snbp</x:v>
      </x:c>
      <x:c r="R4378" s="66" t="str">
        <x:v>https://sidatagrun-public-1076756628210.asia-southeast2.run.app/ptn_sn.php?ptn=716</x:v>
      </x:c>
    </x:row>
    <x:row r="4379">
      <x:c r="A4379" s="87" t="n">
        <x:v>3944</x:v>
      </x:c>
      <x:c r="B4379" s="66" t="n">
        <x:v>716</x:v>
      </x:c>
      <x:c r="C4379" s="66" t="str">
        <x:v>POLITEKNIK NEGERI UJUNG PANDANG</x:v>
      </x:c>
      <x:c r="D4379" s="66" t="str">
        <x:v>PTN Vokasi</x:v>
      </x:c>
      <x:c r="E4379" s="66" t="str">
        <x:v>27162005</x:v>
      </x:c>
      <x:c r="F4379" s="66" t="str">
        <x:v>TEKNIK MEKATRONIKA</x:v>
      </x:c>
      <x:c r="G4379" s="66" t="str">
        <x:v>Sarjana Terapan</x:v>
      </x:c>
      <x:c r="H4379" s="87" t="n">
        <x:v>30</x:v>
      </x:c>
      <x:c r="I4379" s="87" t="n">
        <x:v>46</x:v>
      </x:c>
      <x:c r="J4379" s="68" t="n">
        <x:f>IFERROR(H4379/I4379,"")</x:f>
        <x:v>0.6521739130434783</x:v>
      </x:c>
      <x:c r="K4379" s="69" t="n">
        <x:f>IFERROR(I4379/H4379,"")</x:f>
        <x:v>1.5333333333333334</x:v>
      </x:c>
      <x:c r="L4379" s="66" t="str">
        <x:f>IF(K4379="","","1 : "&amp;TEXT(K4379,"0.0"))</x:f>
        <x:v>1 : 1.5</x:v>
      </x:c>
      <x:c r="M4379" s="66" t="str">
        <x:f>IF(J4379="","Baru/Tanpa Data",IF(J4379&lt;='Catatan &amp; Sumber'!$B$14,"Sangat Ketat",IF(J4379&lt;='Catatan &amp; Sumber'!$B$15,"Ketat",IF(J4379&lt;='Catatan &amp; Sumber'!$B$16,"Sedang","Relatif Longgar"))))</x:f>
        <x:v>Relatif Longgar</x:v>
      </x:c>
      <x:c r="N4379" s="66" t="str">
        <x:v>Tidak Ada</x:v>
      </x:c>
      <x:c r="O4379" s="66" t="str">
        <x:v>Sulawesi Selatan</x:v>
      </x:c>
      <x:c r="P4379" s="66" t="str">
        <x:v>Kota Makassar</x:v>
      </x:c>
      <x:c r="Q4379" s="66" t="str">
        <x:v>https://snpmb.id/snbp/daya-tampung-snbp</x:v>
      </x:c>
      <x:c r="R4379" s="66" t="str">
        <x:v>https://sidatagrun-public-1076756628210.asia-southeast2.run.app/ptn_sn.php?ptn=716</x:v>
      </x:c>
    </x:row>
    <x:row r="4380">
      <x:c r="A4380" s="87" t="n">
        <x:v>3731</x:v>
      </x:c>
      <x:c r="B4380" s="66" t="n">
        <x:v>716</x:v>
      </x:c>
      <x:c r="C4380" s="66" t="str">
        <x:v>POLITEKNIK NEGERI UJUNG PANDANG</x:v>
      </x:c>
      <x:c r="D4380" s="66" t="str">
        <x:v>PTN Vokasi</x:v>
      </x:c>
      <x:c r="E4380" s="66" t="str">
        <x:v>27162006</x:v>
      </x:c>
      <x:c r="F4380" s="66" t="str">
        <x:v>TEKNIK MANUFAKTUR</x:v>
      </x:c>
      <x:c r="G4380" s="66" t="str">
        <x:v>Sarjana Terapan</x:v>
      </x:c>
      <x:c r="H4380" s="87" t="n">
        <x:v>23</x:v>
      </x:c>
      <x:c r="I4380" s="87" t="n">
        <x:v>43</x:v>
      </x:c>
      <x:c r="J4380" s="68" t="n">
        <x:f>IFERROR(H4380/I4380,"")</x:f>
        <x:v>0.5348837209302325</x:v>
      </x:c>
      <x:c r="K4380" s="69" t="n">
        <x:f>IFERROR(I4380/H4380,"")</x:f>
        <x:v>1.8695652173913044</x:v>
      </x:c>
      <x:c r="L4380" s="66" t="str">
        <x:f>IF(K4380="","","1 : "&amp;TEXT(K4380,"0.0"))</x:f>
        <x:v>1 : 1.9</x:v>
      </x:c>
      <x:c r="M4380" s="66" t="str">
        <x:f>IF(J4380="","Baru/Tanpa Data",IF(J4380&lt;='Catatan &amp; Sumber'!$B$14,"Sangat Ketat",IF(J4380&lt;='Catatan &amp; Sumber'!$B$15,"Ketat",IF(J4380&lt;='Catatan &amp; Sumber'!$B$16,"Sedang","Relatif Longgar"))))</x:f>
        <x:v>Relatif Longgar</x:v>
      </x:c>
      <x:c r="N4380" s="66" t="str">
        <x:v>Tidak Ada</x:v>
      </x:c>
      <x:c r="O4380" s="66" t="str">
        <x:v>Sulawesi Selatan</x:v>
      </x:c>
      <x:c r="P4380" s="66" t="str">
        <x:v>Kota Makassar</x:v>
      </x:c>
      <x:c r="Q4380" s="66" t="str">
        <x:v>https://snpmb.id/snbp/daya-tampung-snbp</x:v>
      </x:c>
      <x:c r="R4380" s="66" t="str">
        <x:v>https://sidatagrun-public-1076756628210.asia-southeast2.run.app/ptn_sn.php?ptn=716</x:v>
      </x:c>
    </x:row>
    <x:row r="4381">
      <x:c r="A4381" s="87" t="n">
        <x:v>3180</x:v>
      </x:c>
      <x:c r="B4381" s="66" t="n">
        <x:v>716</x:v>
      </x:c>
      <x:c r="C4381" s="66" t="str">
        <x:v>POLITEKNIK NEGERI UJUNG PANDANG</x:v>
      </x:c>
      <x:c r="D4381" s="66" t="str">
        <x:v>PTN Vokasi</x:v>
      </x:c>
      <x:c r="E4381" s="66" t="str">
        <x:v>27162007</x:v>
      </x:c>
      <x:c r="F4381" s="66" t="str">
        <x:v>TEKNIK MULTIMEDIA &amp; JARINGAN</x:v>
      </x:c>
      <x:c r="G4381" s="66" t="str">
        <x:v>Sarjana Terapan</x:v>
      </x:c>
      <x:c r="H4381" s="87" t="n">
        <x:v>30</x:v>
      </x:c>
      <x:c r="I4381" s="87" t="n">
        <x:v>89</x:v>
      </x:c>
      <x:c r="J4381" s="68" t="n">
        <x:f>IFERROR(H4381/I4381,"")</x:f>
        <x:v>0.33707865168539325</x:v>
      </x:c>
      <x:c r="K4381" s="69" t="n">
        <x:f>IFERROR(I4381/H4381,"")</x:f>
        <x:v>2.966666666666667</x:v>
      </x:c>
      <x:c r="L4381" s="66" t="str">
        <x:f>IF(K4381="","","1 : "&amp;TEXT(K4381,"0.0"))</x:f>
        <x:v>1 : 3.0</x:v>
      </x:c>
      <x:c r="M4381" s="66" t="str">
        <x:f>IF(J4381="","Baru/Tanpa Data",IF(J4381&lt;='Catatan &amp; Sumber'!$B$14,"Sangat Ketat",IF(J4381&lt;='Catatan &amp; Sumber'!$B$15,"Ketat",IF(J4381&lt;='Catatan &amp; Sumber'!$B$16,"Sedang","Relatif Longgar"))))</x:f>
        <x:v>Relatif Longgar</x:v>
      </x:c>
      <x:c r="N4381" s="66" t="str">
        <x:v>Tidak Ada</x:v>
      </x:c>
      <x:c r="O4381" s="66" t="str">
        <x:v>Sulawesi Selatan</x:v>
      </x:c>
      <x:c r="P4381" s="66" t="str">
        <x:v>Kota Makassar</x:v>
      </x:c>
      <x:c r="Q4381" s="66" t="str">
        <x:v>https://snpmb.id/snbp/daya-tampung-snbp</x:v>
      </x:c>
      <x:c r="R4381" s="66" t="str">
        <x:v>https://sidatagrun-public-1076756628210.asia-southeast2.run.app/ptn_sn.php?ptn=716</x:v>
      </x:c>
    </x:row>
    <x:row r="4382">
      <x:c r="A4382" s="87" t="n">
        <x:v>1642</x:v>
      </x:c>
      <x:c r="B4382" s="66" t="n">
        <x:v>716</x:v>
      </x:c>
      <x:c r="C4382" s="66" t="str">
        <x:v>POLITEKNIK NEGERI UJUNG PANDANG</x:v>
      </x:c>
      <x:c r="D4382" s="66" t="str">
        <x:v>PTN Vokasi</x:v>
      </x:c>
      <x:c r="E4382" s="66" t="str">
        <x:v>27162008</x:v>
      </x:c>
      <x:c r="F4382" s="66" t="str">
        <x:v>TEKNIK KOMPUTER &amp; JARINGAN</x:v>
      </x:c>
      <x:c r="G4382" s="66" t="str">
        <x:v>Sarjana Terapan</x:v>
      </x:c>
      <x:c r="H4382" s="87" t="n">
        <x:v>30</x:v>
      </x:c>
      <x:c r="I4382" s="87" t="n">
        <x:v>251</x:v>
      </x:c>
      <x:c r="J4382" s="68" t="n">
        <x:f>IFERROR(H4382/I4382,"")</x:f>
        <x:v>0.11952191235059761</x:v>
      </x:c>
      <x:c r="K4382" s="69" t="n">
        <x:f>IFERROR(I4382/H4382,"")</x:f>
        <x:v>8.366666666666667</x:v>
      </x:c>
      <x:c r="L4382" s="66" t="str">
        <x:f>IF(K4382="","","1 : "&amp;TEXT(K4382,"0.0"))</x:f>
        <x:v>1 : 8.4</x:v>
      </x:c>
      <x:c r="M4382" s="66" t="str">
        <x:f>IF(J4382="","Baru/Tanpa Data",IF(J4382&lt;='Catatan &amp; Sumber'!$B$14,"Sangat Ketat",IF(J4382&lt;='Catatan &amp; Sumber'!$B$15,"Ketat",IF(J4382&lt;='Catatan &amp; Sumber'!$B$16,"Sedang","Relatif Longgar"))))</x:f>
        <x:v>Relatif Longgar</x:v>
      </x:c>
      <x:c r="N4382" s="66" t="str">
        <x:v>Tidak Ada</x:v>
      </x:c>
      <x:c r="O4382" s="66" t="str">
        <x:v>Sulawesi Selatan</x:v>
      </x:c>
      <x:c r="P4382" s="66" t="str">
        <x:v>Kota Makassar</x:v>
      </x:c>
      <x:c r="Q4382" s="66" t="str">
        <x:v>https://snpmb.id/snbp/daya-tampung-snbp</x:v>
      </x:c>
      <x:c r="R4382" s="66" t="str">
        <x:v>https://sidatagrun-public-1076756628210.asia-southeast2.run.app/ptn_sn.php?ptn=716</x:v>
      </x:c>
    </x:row>
    <x:row r="4383">
      <x:c r="A4383" s="87" t="n">
        <x:v>2301</x:v>
      </x:c>
      <x:c r="B4383" s="66" t="n">
        <x:v>716</x:v>
      </x:c>
      <x:c r="C4383" s="66" t="str">
        <x:v>POLITEKNIK NEGERI UJUNG PANDANG</x:v>
      </x:c>
      <x:c r="D4383" s="66" t="str">
        <x:v>PTN Vokasi</x:v>
      </x:c>
      <x:c r="E4383" s="66" t="str">
        <x:v>27162009</x:v>
      </x:c>
      <x:c r="F4383" s="66" t="str">
        <x:v>TEKNIK LISTRIK</x:v>
      </x:c>
      <x:c r="G4383" s="66" t="str">
        <x:v>Sarjana Terapan</x:v>
      </x:c>
      <x:c r="H4383" s="87" t="n">
        <x:v>23</x:v>
      </x:c>
      <x:c r="I4383" s="87" t="n">
        <x:v>125</x:v>
      </x:c>
      <x:c r="J4383" s="68" t="n">
        <x:f>IFERROR(H4383/I4383,"")</x:f>
        <x:v>0.184</x:v>
      </x:c>
      <x:c r="K4383" s="69" t="n">
        <x:f>IFERROR(I4383/H4383,"")</x:f>
        <x:v>5.434782608695652</x:v>
      </x:c>
      <x:c r="L4383" s="66" t="str">
        <x:f>IF(K4383="","","1 : "&amp;TEXT(K4383,"0.0"))</x:f>
        <x:v>1 : 5.4</x:v>
      </x:c>
      <x:c r="M4383" s="66" t="str">
        <x:f>IF(J4383="","Baru/Tanpa Data",IF(J4383&lt;='Catatan &amp; Sumber'!$B$14,"Sangat Ketat",IF(J4383&lt;='Catatan &amp; Sumber'!$B$15,"Ketat",IF(J4383&lt;='Catatan &amp; Sumber'!$B$16,"Sedang","Relatif Longgar"))))</x:f>
        <x:v>Relatif Longgar</x:v>
      </x:c>
      <x:c r="N4383" s="66" t="str">
        <x:v>Tidak Ada</x:v>
      </x:c>
      <x:c r="O4383" s="66" t="str">
        <x:v>Sulawesi Selatan</x:v>
      </x:c>
      <x:c r="P4383" s="66" t="str">
        <x:v>Kota Makassar</x:v>
      </x:c>
      <x:c r="Q4383" s="66" t="str">
        <x:v>https://snpmb.id/snbp/daya-tampung-snbp</x:v>
      </x:c>
      <x:c r="R4383" s="66" t="str">
        <x:v>https://sidatagrun-public-1076756628210.asia-southeast2.run.app/ptn_sn.php?ptn=716</x:v>
      </x:c>
    </x:row>
    <x:row r="4384">
      <x:c r="A4384" s="87" t="n">
        <x:v>3893</x:v>
      </x:c>
      <x:c r="B4384" s="66" t="n">
        <x:v>716</x:v>
      </x:c>
      <x:c r="C4384" s="66" t="str">
        <x:v>POLITEKNIK NEGERI UJUNG PANDANG</x:v>
      </x:c>
      <x:c r="D4384" s="66" t="str">
        <x:v>PTN Vokasi</x:v>
      </x:c>
      <x:c r="E4384" s="66" t="str">
        <x:v>27162010</x:v>
      </x:c>
      <x:c r="F4384" s="66" t="str">
        <x:v>TEKNOLOGI REKAYASA JARINGAN TELEKOMUNIKASI</x:v>
      </x:c>
      <x:c r="G4384" s="66" t="str">
        <x:v>Sarjana Terapan</x:v>
      </x:c>
      <x:c r="H4384" s="87" t="n">
        <x:v>23</x:v>
      </x:c>
      <x:c r="I4384" s="87" t="n">
        <x:v>37</x:v>
      </x:c>
      <x:c r="J4384" s="68" t="n">
        <x:f>IFERROR(H4384/I4384,"")</x:f>
        <x:v>0.6216216216216216</x:v>
      </x:c>
      <x:c r="K4384" s="69" t="n">
        <x:f>IFERROR(I4384/H4384,"")</x:f>
        <x:v>1.608695652173913</x:v>
      </x:c>
      <x:c r="L4384" s="66" t="str">
        <x:f>IF(K4384="","","1 : "&amp;TEXT(K4384,"0.0"))</x:f>
        <x:v>1 : 1.6</x:v>
      </x:c>
      <x:c r="M4384" s="66" t="str">
        <x:f>IF(J4384="","Baru/Tanpa Data",IF(J4384&lt;='Catatan &amp; Sumber'!$B$14,"Sangat Ketat",IF(J4384&lt;='Catatan &amp; Sumber'!$B$15,"Ketat",IF(J4384&lt;='Catatan &amp; Sumber'!$B$16,"Sedang","Relatif Longgar"))))</x:f>
        <x:v>Relatif Longgar</x:v>
      </x:c>
      <x:c r="N4384" s="66" t="str">
        <x:v>Tidak Ada</x:v>
      </x:c>
      <x:c r="O4384" s="66" t="str">
        <x:v>Sulawesi Selatan</x:v>
      </x:c>
      <x:c r="P4384" s="66" t="str">
        <x:v>Kota Makassar</x:v>
      </x:c>
      <x:c r="Q4384" s="66" t="str">
        <x:v>https://snpmb.id/snbp/daya-tampung-snbp</x:v>
      </x:c>
      <x:c r="R4384" s="66" t="str">
        <x:v>https://sidatagrun-public-1076756628210.asia-southeast2.run.app/ptn_sn.php?ptn=716</x:v>
      </x:c>
    </x:row>
    <x:row r="4385">
      <x:c r="A4385" s="87" t="n">
        <x:v>2953</x:v>
      </x:c>
      <x:c r="B4385" s="66" t="n">
        <x:v>716</x:v>
      </x:c>
      <x:c r="C4385" s="66" t="str">
        <x:v>POLITEKNIK NEGERI UJUNG PANDANG</x:v>
      </x:c>
      <x:c r="D4385" s="66" t="str">
        <x:v>PTN Vokasi</x:v>
      </x:c>
      <x:c r="E4385" s="66" t="str">
        <x:v>27162011</x:v>
      </x:c>
      <x:c r="F4385" s="66" t="str">
        <x:v>AKUNTANSI MANAJERIAL</x:v>
      </x:c>
      <x:c r="G4385" s="66" t="str">
        <x:v>Sarjana Terapan</x:v>
      </x:c>
      <x:c r="H4385" s="87" t="n">
        <x:v>38</x:v>
      </x:c>
      <x:c r="I4385" s="87" t="n">
        <x:v>133</x:v>
      </x:c>
      <x:c r="J4385" s="68" t="n">
        <x:f>IFERROR(H4385/I4385,"")</x:f>
        <x:v>0.2857142857142857</x:v>
      </x:c>
      <x:c r="K4385" s="69" t="n">
        <x:f>IFERROR(I4385/H4385,"")</x:f>
        <x:v>3.5</x:v>
      </x:c>
      <x:c r="L4385" s="66" t="str">
        <x:f>IF(K4385="","","1 : "&amp;TEXT(K4385,"0.0"))</x:f>
        <x:v>1 : 3.5</x:v>
      </x:c>
      <x:c r="M4385" s="66" t="str">
        <x:f>IF(J4385="","Baru/Tanpa Data",IF(J4385&lt;='Catatan &amp; Sumber'!$B$14,"Sangat Ketat",IF(J4385&lt;='Catatan &amp; Sumber'!$B$15,"Ketat",IF(J4385&lt;='Catatan &amp; Sumber'!$B$16,"Sedang","Relatif Longgar"))))</x:f>
        <x:v>Relatif Longgar</x:v>
      </x:c>
      <x:c r="N4385" s="66" t="str">
        <x:v>Tidak Ada</x:v>
      </x:c>
      <x:c r="O4385" s="66" t="str">
        <x:v>Sulawesi Selatan</x:v>
      </x:c>
      <x:c r="P4385" s="66" t="str">
        <x:v>Kota Makassar</x:v>
      </x:c>
      <x:c r="Q4385" s="66" t="str">
        <x:v>https://snpmb.id/snbp/daya-tampung-snbp</x:v>
      </x:c>
      <x:c r="R4385" s="66" t="str">
        <x:v>https://sidatagrun-public-1076756628210.asia-southeast2.run.app/ptn_sn.php?ptn=716</x:v>
      </x:c>
    </x:row>
    <x:row r="4386">
      <x:c r="A4386" s="87" t="n">
        <x:v>2478</x:v>
      </x:c>
      <x:c r="B4386" s="66" t="n">
        <x:v>716</x:v>
      </x:c>
      <x:c r="C4386" s="66" t="str">
        <x:v>POLITEKNIK NEGERI UJUNG PANDANG</x:v>
      </x:c>
      <x:c r="D4386" s="66" t="str">
        <x:v>PTN Vokasi</x:v>
      </x:c>
      <x:c r="E4386" s="66" t="str">
        <x:v>27162012</x:v>
      </x:c>
      <x:c r="F4386" s="66" t="str">
        <x:v>ADMINISTRASI BISNIS</x:v>
      </x:c>
      <x:c r="G4386" s="66" t="str">
        <x:v>Sarjana Terapan</x:v>
      </x:c>
      <x:c r="H4386" s="87" t="n">
        <x:v>38</x:v>
      </x:c>
      <x:c r="I4386" s="87" t="n">
        <x:v>183</x:v>
      </x:c>
      <x:c r="J4386" s="68" t="n">
        <x:f>IFERROR(H4386/I4386,"")</x:f>
        <x:v>0.20765027322404372</x:v>
      </x:c>
      <x:c r="K4386" s="69" t="n">
        <x:f>IFERROR(I4386/H4386,"")</x:f>
        <x:v>4.815789473684211</x:v>
      </x:c>
      <x:c r="L4386" s="66" t="str">
        <x:f>IF(K4386="","","1 : "&amp;TEXT(K4386,"0.0"))</x:f>
        <x:v>1 : 4.8</x:v>
      </x:c>
      <x:c r="M4386" s="66" t="str">
        <x:f>IF(J4386="","Baru/Tanpa Data",IF(J4386&lt;='Catatan &amp; Sumber'!$B$14,"Sangat Ketat",IF(J4386&lt;='Catatan &amp; Sumber'!$B$15,"Ketat",IF(J4386&lt;='Catatan &amp; Sumber'!$B$16,"Sedang","Relatif Longgar"))))</x:f>
        <x:v>Relatif Longgar</x:v>
      </x:c>
      <x:c r="N4386" s="66" t="str">
        <x:v>Tidak Ada</x:v>
      </x:c>
      <x:c r="O4386" s="66" t="str">
        <x:v>Sulawesi Selatan</x:v>
      </x:c>
      <x:c r="P4386" s="66" t="str">
        <x:v>Kota Makassar</x:v>
      </x:c>
      <x:c r="Q4386" s="66" t="str">
        <x:v>https://snpmb.id/snbp/daya-tampung-snbp</x:v>
      </x:c>
      <x:c r="R4386" s="66" t="str">
        <x:v>https://sidatagrun-public-1076756628210.asia-southeast2.run.app/ptn_sn.php?ptn=716</x:v>
      </x:c>
    </x:row>
    <x:row r="4387">
      <x:c r="A4387" s="87" t="n">
        <x:v>4226</x:v>
      </x:c>
      <x:c r="B4387" s="66" t="n">
        <x:v>716</x:v>
      </x:c>
      <x:c r="C4387" s="66" t="str">
        <x:v>POLITEKNIK NEGERI UJUNG PANDANG</x:v>
      </x:c>
      <x:c r="D4387" s="66" t="str">
        <x:v>PTN Vokasi</x:v>
      </x:c>
      <x:c r="E4387" s="66" t="str">
        <x:v>27162015</x:v>
      </x:c>
      <x:c r="F4387" s="66" t="str">
        <x:v>TEKNOLOGI REKAYASA KIMIA</x:v>
      </x:c>
      <x:c r="G4387" s="66" t="str">
        <x:v>Sarjana Terapan</x:v>
      </x:c>
      <x:c r="H4387" s="87" t="n">
        <x:v>23</x:v>
      </x:c>
      <x:c r="I4387" s="87" t="n">
        <x:v>26</x:v>
      </x:c>
      <x:c r="J4387" s="68" t="n">
        <x:f>IFERROR(H4387/I4387,"")</x:f>
        <x:v>0.8846153846153846</x:v>
      </x:c>
      <x:c r="K4387" s="69" t="n">
        <x:f>IFERROR(I4387/H4387,"")</x:f>
        <x:v>1.1304347826086956</x:v>
      </x:c>
      <x:c r="L4387" s="66" t="str">
        <x:f>IF(K4387="","","1 : "&amp;TEXT(K4387,"0.0"))</x:f>
        <x:v>1 : 1.1</x:v>
      </x:c>
      <x:c r="M4387" s="66" t="str">
        <x:f>IF(J4387="","Baru/Tanpa Data",IF(J4387&lt;='Catatan &amp; Sumber'!$B$14,"Sangat Ketat",IF(J4387&lt;='Catatan &amp; Sumber'!$B$15,"Ketat",IF(J4387&lt;='Catatan &amp; Sumber'!$B$16,"Sedang","Relatif Longgar"))))</x:f>
        <x:v>Relatif Longgar</x:v>
      </x:c>
      <x:c r="N4387" s="66" t="str">
        <x:v>Tidak Ada</x:v>
      </x:c>
      <x:c r="O4387" s="66" t="str">
        <x:v>Sulawesi Selatan</x:v>
      </x:c>
      <x:c r="P4387" s="66" t="str">
        <x:v>Kota Makassar</x:v>
      </x:c>
      <x:c r="Q4387" s="66" t="str">
        <x:v>https://snpmb.id/snbp/daya-tampung-snbp</x:v>
      </x:c>
      <x:c r="R4387" s="66" t="str">
        <x:v>https://sidatagrun-public-1076756628210.asia-southeast2.run.app/ptn_sn.php?ptn=716</x:v>
      </x:c>
    </x:row>
    <x:row r="4388">
      <x:c r="A4388" s="87" t="n">
        <x:v>3801</x:v>
      </x:c>
      <x:c r="B4388" s="66" t="n">
        <x:v>716</x:v>
      </x:c>
      <x:c r="C4388" s="66" t="str">
        <x:v>POLITEKNIK NEGERI UJUNG PANDANG</x:v>
      </x:c>
      <x:c r="D4388" s="66" t="str">
        <x:v>PTN Vokasi</x:v>
      </x:c>
      <x:c r="E4388" s="66" t="str">
        <x:v>27162030</x:v>
      </x:c>
      <x:c r="F4388" s="66" t="str">
        <x:v>TEKNOLOGI REKAYASA ENERGI TERBARUKAN</x:v>
      </x:c>
      <x:c r="G4388" s="66" t="str">
        <x:v>Sarjana Terapan</x:v>
      </x:c>
      <x:c r="H4388" s="87" t="n">
        <x:v>8</x:v>
      </x:c>
      <x:c r="I4388" s="87" t="n">
        <x:v>14</x:v>
      </x:c>
      <x:c r="J4388" s="68" t="n">
        <x:f>IFERROR(H4388/I4388,"")</x:f>
        <x:v>0.5714285714285714</x:v>
      </x:c>
      <x:c r="K4388" s="69" t="n">
        <x:f>IFERROR(I4388/H4388,"")</x:f>
        <x:v>1.75</x:v>
      </x:c>
      <x:c r="L4388" s="66" t="str">
        <x:f>IF(K4388="","","1 : "&amp;TEXT(K4388,"0.0"))</x:f>
        <x:v>1 : 1.8</x:v>
      </x:c>
      <x:c r="M4388" s="66" t="str">
        <x:f>IF(J4388="","Baru/Tanpa Data",IF(J4388&lt;='Catatan &amp; Sumber'!$B$14,"Sangat Ketat",IF(J4388&lt;='Catatan &amp; Sumber'!$B$15,"Ketat",IF(J4388&lt;='Catatan &amp; Sumber'!$B$16,"Sedang","Relatif Longgar"))))</x:f>
        <x:v>Relatif Longgar</x:v>
      </x:c>
      <x:c r="N4388" s="66" t="str">
        <x:v>Tidak Ada</x:v>
      </x:c>
      <x:c r="O4388" s="66" t="str">
        <x:v>Sulawesi Selatan</x:v>
      </x:c>
      <x:c r="P4388" s="66" t="str">
        <x:v>Kota Makassar</x:v>
      </x:c>
      <x:c r="Q4388" s="66" t="str">
        <x:v>https://snpmb.id/snbp/daya-tampung-snbp</x:v>
      </x:c>
      <x:c r="R4388" s="66" t="str">
        <x:v>https://sidatagrun-public-1076756628210.asia-southeast2.run.app/ptn_sn.php?ptn=716</x:v>
      </x:c>
    </x:row>
    <x:row r="4389">
      <x:c r="A4389" s="87" t="n">
        <x:v>4837</x:v>
      </x:c>
      <x:c r="B4389" s="66" t="n">
        <x:v>716</x:v>
      </x:c>
      <x:c r="C4389" s="66" t="str">
        <x:v>POLITEKNIK NEGERI UJUNG PANDANG</x:v>
      </x:c>
      <x:c r="D4389" s="66" t="str">
        <x:v>PTN Vokasi</x:v>
      </x:c>
      <x:c r="E4389" s="66" t="str">
        <x:v>27162031</x:v>
      </x:c>
      <x:c r="F4389" s="66" t="str">
        <x:v>TEKNOLOGI REKAYASA KONSTRUKSI BANGUNAN AIR</x:v>
      </x:c>
      <x:c r="G4389" s="66" t="str">
        <x:v>Sarjana Terapan</x:v>
      </x:c>
      <x:c r="H4389" s="87" t="n">
        <x:v>23</x:v>
      </x:c>
      <x:c r="I4389" s="87" t="n">
        <x:v>5</x:v>
      </x:c>
      <x:c r="J4389" s="68" t="n">
        <x:f>IFERROR(H4389/I4389,"")</x:f>
        <x:v>4.6</x:v>
      </x:c>
      <x:c r="K4389" s="69" t="n">
        <x:f>IFERROR(I4389/H4389,"")</x:f>
        <x:v>0.21739130434782608</x:v>
      </x:c>
      <x:c r="L4389" s="66" t="str">
        <x:f>IF(K4389="","","1 : "&amp;TEXT(K4389,"0.0"))</x:f>
        <x:v>1 : 0.2</x:v>
      </x:c>
      <x:c r="M4389" s="66" t="str">
        <x:f>IF(J4389="","Baru/Tanpa Data",IF(J4389&lt;='Catatan &amp; Sumber'!$B$14,"Sangat Ketat",IF(J4389&lt;='Catatan &amp; Sumber'!$B$15,"Ketat",IF(J4389&lt;='Catatan &amp; Sumber'!$B$16,"Sedang","Relatif Longgar"))))</x:f>
        <x:v>Relatif Longgar</x:v>
      </x:c>
      <x:c r="N4389" s="66" t="str">
        <x:v>Tidak Ada</x:v>
      </x:c>
      <x:c r="O4389" s="66" t="str">
        <x:v>Sulawesi Selatan</x:v>
      </x:c>
      <x:c r="P4389" s="66" t="str">
        <x:v>Kota Makassar</x:v>
      </x:c>
      <x:c r="Q4389" s="66" t="str">
        <x:v>https://snpmb.id/snbp/daya-tampung-snbp</x:v>
      </x:c>
      <x:c r="R4389" s="66" t="str">
        <x:v>https://sidatagrun-public-1076756628210.asia-southeast2.run.app/ptn_sn.php?ptn=716</x:v>
      </x:c>
    </x:row>
    <x:row r="4390">
      <x:c r="A4390" s="87" t="n">
        <x:v>4879</x:v>
      </x:c>
      <x:c r="B4390" s="66" t="n">
        <x:v>716</x:v>
      </x:c>
      <x:c r="C4390" s="66" t="str">
        <x:v>POLITEKNIK NEGERI UJUNG PANDANG</x:v>
      </x:c>
      <x:c r="D4390" s="66" t="str">
        <x:v>PTN Vokasi</x:v>
      </x:c>
      <x:c r="E4390" s="66" t="str">
        <x:v>27162032</x:v>
      </x:c>
      <x:c r="F4390" s="66" t="str">
        <x:v>AKUNTANSI MANAJERIAL KAMPUS KABUPATEN KOLAKA</x:v>
      </x:c>
      <x:c r="G4390" s="66" t="str">
        <x:v>Sarjana Terapan</x:v>
      </x:c>
      <x:c r="H4390" s="87" t="n">
        <x:v>8</x:v>
      </x:c>
      <x:c r="I4390" s="87" t="n">
        <x:v>1</x:v>
      </x:c>
      <x:c r="J4390" s="68" t="n">
        <x:f>IFERROR(H4390/I4390,"")</x:f>
        <x:v>8</x:v>
      </x:c>
      <x:c r="K4390" s="69" t="n">
        <x:f>IFERROR(I4390/H4390,"")</x:f>
        <x:v>0.125</x:v>
      </x:c>
      <x:c r="L4390" s="66" t="str">
        <x:f>IF(K4390="","","1 : "&amp;TEXT(K4390,"0.0"))</x:f>
        <x:v>1 : 0.1</x:v>
      </x:c>
      <x:c r="M4390" s="66" t="str">
        <x:f>IF(J4390="","Baru/Tanpa Data",IF(J4390&lt;='Catatan &amp; Sumber'!$B$14,"Sangat Ketat",IF(J4390&lt;='Catatan &amp; Sumber'!$B$15,"Ketat",IF(J4390&lt;='Catatan &amp; Sumber'!$B$16,"Sedang","Relatif Longgar"))))</x:f>
        <x:v>Relatif Longgar</x:v>
      </x:c>
      <x:c r="N4390" s="66" t="str">
        <x:v>Tidak Ada</x:v>
      </x:c>
      <x:c r="O4390" s="66" t="str">
        <x:v>Sulawesi Selatan</x:v>
      </x:c>
      <x:c r="P4390" s="66" t="str">
        <x:v>Kota Makassar</x:v>
      </x:c>
      <x:c r="Q4390" s="66" t="str">
        <x:v>https://snpmb.id/snbp/daya-tampung-snbp</x:v>
      </x:c>
      <x:c r="R4390" s="66" t="str">
        <x:v>https://sidatagrun-public-1076756628210.asia-southeast2.run.app/ptn_sn.php?ptn=716</x:v>
      </x:c>
    </x:row>
    <x:row r="4391">
      <x:c r="A4391" s="87" t="n">
        <x:v>4602</x:v>
      </x:c>
      <x:c r="B4391" s="66" t="n">
        <x:v>716</x:v>
      </x:c>
      <x:c r="C4391" s="66" t="str">
        <x:v>POLITEKNIK NEGERI UJUNG PANDANG</x:v>
      </x:c>
      <x:c r="D4391" s="66" t="str">
        <x:v>PTN Vokasi</x:v>
      </x:c>
      <x:c r="E4391" s="66" t="str">
        <x:v>27162033</x:v>
      </x:c>
      <x:c r="F4391" s="66" t="str">
        <x:v>TEKNOLOGI REKAYASA SISTEM ELEKTRONIKA</x:v>
      </x:c>
      <x:c r="G4391" s="66" t="str">
        <x:v>Sarjana Terapan</x:v>
      </x:c>
      <x:c r="H4391" s="87" t="n">
        <x:v>15</x:v>
      </x:c>
      <x:c r="I4391" s="87" t="n">
        <x:v>9</x:v>
      </x:c>
      <x:c r="J4391" s="68" t="n">
        <x:f>IFERROR(H4391/I4391,"")</x:f>
        <x:v>1.6666666666666667</x:v>
      </x:c>
      <x:c r="K4391" s="69" t="n">
        <x:f>IFERROR(I4391/H4391,"")</x:f>
        <x:v>0.6</x:v>
      </x:c>
      <x:c r="L4391" s="66" t="str">
        <x:f>IF(K4391="","","1 : "&amp;TEXT(K4391,"0.0"))</x:f>
        <x:v>1 : 0.6</x:v>
      </x:c>
      <x:c r="M4391" s="66" t="str">
        <x:f>IF(J4391="","Baru/Tanpa Data",IF(J4391&lt;='Catatan &amp; Sumber'!$B$14,"Sangat Ketat",IF(J4391&lt;='Catatan &amp; Sumber'!$B$15,"Ketat",IF(J4391&lt;='Catatan &amp; Sumber'!$B$16,"Sedang","Relatif Longgar"))))</x:f>
        <x:v>Relatif Longgar</x:v>
      </x:c>
      <x:c r="N4391" s="66" t="str">
        <x:v>Tidak Ada</x:v>
      </x:c>
      <x:c r="O4391" s="66" t="str">
        <x:v>Sulawesi Selatan</x:v>
      </x:c>
      <x:c r="P4391" s="66" t="str">
        <x:v>Kota Makassar</x:v>
      </x:c>
      <x:c r="Q4391" s="66" t="str">
        <x:v>https://snpmb.id/snbp/daya-tampung-snbp</x:v>
      </x:c>
      <x:c r="R4391" s="66" t="str">
        <x:v>https://sidatagrun-public-1076756628210.asia-southeast2.run.app/ptn_sn.php?ptn=716</x:v>
      </x:c>
    </x:row>
    <x:row r="4392">
      <x:c r="A4392" s="87" t="n">
        <x:v>2854</x:v>
      </x:c>
      <x:c r="B4392" s="66" t="n">
        <x:v>716</x:v>
      </x:c>
      <x:c r="C4392" s="66" t="str">
        <x:v>POLITEKNIK NEGERI UJUNG PANDANG</x:v>
      </x:c>
      <x:c r="D4392" s="66" t="str">
        <x:v>PTN Vokasi</x:v>
      </x:c>
      <x:c r="E4392" s="66" t="str">
        <x:v>27162034</x:v>
      </x:c>
      <x:c r="F4392" s="66" t="str">
        <x:v>ADMINISTRASI PERKANTORAN DIGITAL</x:v>
      </x:c>
      <x:c r="G4392" s="66" t="str">
        <x:v>Sarjana Terapan</x:v>
      </x:c>
      <x:c r="H4392" s="87" t="n">
        <x:v>15</x:v>
      </x:c>
      <x:c r="I4392" s="87" t="n">
        <x:v>56</x:v>
      </x:c>
      <x:c r="J4392" s="68" t="n">
        <x:f>IFERROR(H4392/I4392,"")</x:f>
        <x:v>0.26785714285714285</x:v>
      </x:c>
      <x:c r="K4392" s="69" t="n">
        <x:f>IFERROR(I4392/H4392,"")</x:f>
        <x:v>3.7333333333333334</x:v>
      </x:c>
      <x:c r="L4392" s="66" t="str">
        <x:f>IF(K4392="","","1 : "&amp;TEXT(K4392,"0.0"))</x:f>
        <x:v>1 : 3.7</x:v>
      </x:c>
      <x:c r="M4392" s="66" t="str">
        <x:f>IF(J4392="","Baru/Tanpa Data",IF(J4392&lt;='Catatan &amp; Sumber'!$B$14,"Sangat Ketat",IF(J4392&lt;='Catatan &amp; Sumber'!$B$15,"Ketat",IF(J4392&lt;='Catatan &amp; Sumber'!$B$16,"Sedang","Relatif Longgar"))))</x:f>
        <x:v>Relatif Longgar</x:v>
      </x:c>
      <x:c r="N4392" s="66" t="str">
        <x:v>Tidak Ada</x:v>
      </x:c>
      <x:c r="O4392" s="66" t="str">
        <x:v>Sulawesi Selatan</x:v>
      </x:c>
      <x:c r="P4392" s="66" t="str">
        <x:v>Kota Makassar</x:v>
      </x:c>
      <x:c r="Q4392" s="66" t="str">
        <x:v>https://snpmb.id/snbp/daya-tampung-snbp</x:v>
      </x:c>
      <x:c r="R4392" s="66" t="str">
        <x:v>https://sidatagrun-public-1076756628210.asia-southeast2.run.app/ptn_sn.php?ptn=716</x:v>
      </x:c>
    </x:row>
    <x:row r="4393">
      <x:c r="A4393" s="87" t="n">
        <x:v>4584</x:v>
      </x:c>
      <x:c r="B4393" s="66" t="n">
        <x:v>716</x:v>
      </x:c>
      <x:c r="C4393" s="66" t="str">
        <x:v>POLITEKNIK NEGERI UJUNG PANDANG</x:v>
      </x:c>
      <x:c r="D4393" s="66" t="str">
        <x:v>PTN Vokasi</x:v>
      </x:c>
      <x:c r="E4393" s="66" t="str">
        <x:v>27162035</x:v>
      </x:c>
      <x:c r="F4393" s="66" t="str">
        <x:v>BAHASA INGGRIS UNTUK KOMUNIKASI BISNIS DAN PROFESIONAL</x:v>
      </x:c>
      <x:c r="G4393" s="66" t="str">
        <x:v>Sarjana Terapan</x:v>
      </x:c>
      <x:c r="H4393" s="87" t="n">
        <x:v>8</x:v>
      </x:c>
      <x:c r="I4393" s="87" t="n">
        <x:v>5</x:v>
      </x:c>
      <x:c r="J4393" s="68" t="n">
        <x:f>IFERROR(H4393/I4393,"")</x:f>
        <x:v>1.6</x:v>
      </x:c>
      <x:c r="K4393" s="69" t="n">
        <x:f>IFERROR(I4393/H4393,"")</x:f>
        <x:v>0.625</x:v>
      </x:c>
      <x:c r="L4393" s="66" t="str">
        <x:f>IF(K4393="","","1 : "&amp;TEXT(K4393,"0.0"))</x:f>
        <x:v>1 : 0.6</x:v>
      </x:c>
      <x:c r="M4393" s="66" t="str">
        <x:f>IF(J4393="","Baru/Tanpa Data",IF(J4393&lt;='Catatan &amp; Sumber'!$B$14,"Sangat Ketat",IF(J4393&lt;='Catatan &amp; Sumber'!$B$15,"Ketat",IF(J4393&lt;='Catatan &amp; Sumber'!$B$16,"Sedang","Relatif Longgar"))))</x:f>
        <x:v>Relatif Longgar</x:v>
      </x:c>
      <x:c r="N4393" s="66" t="str">
        <x:v>Tidak Ada</x:v>
      </x:c>
      <x:c r="O4393" s="66" t="str">
        <x:v>Sulawesi Selatan</x:v>
      </x:c>
      <x:c r="P4393" s="66" t="str">
        <x:v>Kota Makassar</x:v>
      </x:c>
      <x:c r="Q4393" s="66" t="str">
        <x:v>https://snpmb.id/snbp/daya-tampung-snbp</x:v>
      </x:c>
      <x:c r="R4393" s="66" t="str">
        <x:v>https://sidatagrun-public-1076756628210.asia-southeast2.run.app/ptn_sn.php?ptn=716</x:v>
      </x:c>
    </x:row>
    <x:row r="4394">
      <x:c r="A4394" s="87" t="n">
        <x:v>4463</x:v>
      </x:c>
      <x:c r="B4394" s="66" t="n">
        <x:v>716</x:v>
      </x:c>
      <x:c r="C4394" s="66" t="str">
        <x:v>POLITEKNIK NEGERI UJUNG PANDANG</x:v>
      </x:c>
      <x:c r="D4394" s="66" t="str">
        <x:v>PTN Vokasi</x:v>
      </x:c>
      <x:c r="E4394" s="66" t="str">
        <x:v>27162036</x:v>
      </x:c>
      <x:c r="F4394" s="66" t="str">
        <x:v>AKUNTANSI LEMBAGA KEUANGAN SYARIAH</x:v>
      </x:c>
      <x:c r="G4394" s="66" t="str">
        <x:v>Sarjana Terapan</x:v>
      </x:c>
      <x:c r="H4394" s="87" t="n">
        <x:v>15</x:v>
      </x:c>
      <x:c r="I4394" s="87" t="n">
        <x:v>12</x:v>
      </x:c>
      <x:c r="J4394" s="68" t="n">
        <x:f>IFERROR(H4394/I4394,"")</x:f>
        <x:v>1.25</x:v>
      </x:c>
      <x:c r="K4394" s="69" t="n">
        <x:f>IFERROR(I4394/H4394,"")</x:f>
        <x:v>0.8</x:v>
      </x:c>
      <x:c r="L4394" s="66" t="str">
        <x:f>IF(K4394="","","1 : "&amp;TEXT(K4394,"0.0"))</x:f>
        <x:v>1 : 0.8</x:v>
      </x:c>
      <x:c r="M4394" s="66" t="str">
        <x:f>IF(J4394="","Baru/Tanpa Data",IF(J4394&lt;='Catatan &amp; Sumber'!$B$14,"Sangat Ketat",IF(J4394&lt;='Catatan &amp; Sumber'!$B$15,"Ketat",IF(J4394&lt;='Catatan &amp; Sumber'!$B$16,"Sedang","Relatif Longgar"))))</x:f>
        <x:v>Relatif Longgar</x:v>
      </x:c>
      <x:c r="N4394" s="66" t="str">
        <x:v>Tidak Ada</x:v>
      </x:c>
      <x:c r="O4394" s="66" t="str">
        <x:v>Sulawesi Selatan</x:v>
      </x:c>
      <x:c r="P4394" s="66" t="str">
        <x:v>Kota Makassar</x:v>
      </x:c>
      <x:c r="Q4394" s="66" t="str">
        <x:v>https://snpmb.id/snbp/daya-tampung-snbp</x:v>
      </x:c>
      <x:c r="R4394" s="66" t="str">
        <x:v>https://sidatagrun-public-1076756628210.asia-southeast2.run.app/ptn_sn.php?ptn=716</x:v>
      </x:c>
    </x:row>
    <x:row r="4395">
      <x:c r="A4395" s="87" t="n">
        <x:v>2953</x:v>
      </x:c>
      <x:c r="B4395" s="66" t="n">
        <x:v>716</x:v>
      </x:c>
      <x:c r="C4395" s="66" t="str">
        <x:v>POLITEKNIK NEGERI UJUNG PANDANG</x:v>
      </x:c>
      <x:c r="D4395" s="66" t="str">
        <x:v>PTN Vokasi</x:v>
      </x:c>
      <x:c r="E4395" s="66" t="str">
        <x:v>27162037</x:v>
      </x:c>
      <x:c r="F4395" s="66" t="str">
        <x:v>BISNIS DIGITAL</x:v>
      </x:c>
      <x:c r="G4395" s="66" t="str">
        <x:v>Sarjana Terapan</x:v>
      </x:c>
      <x:c r="H4395" s="87" t="n">
        <x:v>8</x:v>
      </x:c>
      <x:c r="I4395" s="87" t="n">
        <x:v>28</x:v>
      </x:c>
      <x:c r="J4395" s="68" t="n">
        <x:f>IFERROR(H4395/I4395,"")</x:f>
        <x:v>0.2857142857142857</x:v>
      </x:c>
      <x:c r="K4395" s="69" t="n">
        <x:f>IFERROR(I4395/H4395,"")</x:f>
        <x:v>3.5</x:v>
      </x:c>
      <x:c r="L4395" s="66" t="str">
        <x:f>IF(K4395="","","1 : "&amp;TEXT(K4395,"0.0"))</x:f>
        <x:v>1 : 3.5</x:v>
      </x:c>
      <x:c r="M4395" s="66" t="str">
        <x:f>IF(J4395="","Baru/Tanpa Data",IF(J4395&lt;='Catatan &amp; Sumber'!$B$14,"Sangat Ketat",IF(J4395&lt;='Catatan &amp; Sumber'!$B$15,"Ketat",IF(J4395&lt;='Catatan &amp; Sumber'!$B$16,"Sedang","Relatif Longgar"))))</x:f>
        <x:v>Relatif Longgar</x:v>
      </x:c>
      <x:c r="N4395" s="66" t="str">
        <x:v>Tidak Ada</x:v>
      </x:c>
      <x:c r="O4395" s="66" t="str">
        <x:v>Sulawesi Selatan</x:v>
      </x:c>
      <x:c r="P4395" s="66" t="str">
        <x:v>Kota Makassar</x:v>
      </x:c>
      <x:c r="Q4395" s="66" t="str">
        <x:v>https://snpmb.id/snbp/daya-tampung-snbp</x:v>
      </x:c>
      <x:c r="R4395" s="66" t="str">
        <x:v>https://sidatagrun-public-1076756628210.asia-southeast2.run.app/ptn_sn.php?ptn=716</x:v>
      </x:c>
    </x:row>
    <x:row r="4396">
      <x:c r="A4396" s="87"/>
      <x:c r="B4396" s="66" t="n">
        <x:v>716</x:v>
      </x:c>
      <x:c r="C4396" s="66" t="str">
        <x:v>POLITEKNIK NEGERI UJUNG PANDANG</x:v>
      </x:c>
      <x:c r="D4396" s="66" t="str">
        <x:v>PTN Vokasi</x:v>
      </x:c>
      <x:c r="E4396" s="66" t="str">
        <x:v>27162038</x:v>
      </x:c>
      <x:c r="F4396" s="66" t="str">
        <x:v>TEKNOLOGI REKAYASA KIMIA INDUSTRI PSDKU KAB. KOLAKA</x:v>
      </x:c>
      <x:c r="G4396" s="66" t="str">
        <x:v>Sarjana Terapan</x:v>
      </x:c>
      <x:c r="H4396" s="87" t="n">
        <x:v>8</x:v>
      </x:c>
      <x:c r="I4396" s="87"/>
      <x:c r="J4396" s="68" t="str">
        <x:f>IFERROR(H4396/I4396,"")</x:f>
      </x:c>
      <x:c r="K4396" s="69" t="n">
        <x:f>IFERROR(I4396/H4396,"")</x:f>
        <x:v>0</x:v>
      </x:c>
      <x:c r="L4396" s="66" t="str">
        <x:f>IF(K4396="","","1 : "&amp;TEXT(K4396,"0.0"))</x:f>
      </x:c>
      <x:c r="M4396" s="66" t="str">
        <x:f>IF(J4396="","Baru/Tanpa Data",IF(J4396&lt;='Catatan &amp; Sumber'!$B$14,"Sangat Ketat",IF(J4396&lt;='Catatan &amp; Sumber'!$B$15,"Ketat",IF(J4396&lt;='Catatan &amp; Sumber'!$B$16,"Sedang","Relatif Longgar"))))</x:f>
        <x:v>Baru/Tanpa Data</x:v>
      </x:c>
      <x:c r="N4396" s="66" t="str">
        <x:v>Tidak Ada</x:v>
      </x:c>
      <x:c r="O4396" s="66" t="str">
        <x:v>Sulawesi Selatan</x:v>
      </x:c>
      <x:c r="P4396" s="66" t="str">
        <x:v>Kota Makassar</x:v>
      </x:c>
      <x:c r="Q4396" s="66" t="str">
        <x:v>https://snpmb.id/snbp/daya-tampung-snbp</x:v>
      </x:c>
      <x:c r="R4396" s="66" t="str">
        <x:v>https://sidatagrun-public-1076756628210.asia-southeast2.run.app/ptn_sn.php?ptn=716</x:v>
      </x:c>
    </x:row>
    <x:row r="4397">
      <x:c r="A4397" s="87"/>
      <x:c r="B4397" s="66" t="n">
        <x:v>716</x:v>
      </x:c>
      <x:c r="C4397" s="66" t="str">
        <x:v>POLITEKNIK NEGERI UJUNG PANDANG</x:v>
      </x:c>
      <x:c r="D4397" s="66" t="str">
        <x:v>PTN Vokasi</x:v>
      </x:c>
      <x:c r="E4397" s="66" t="str">
        <x:v>27162039</x:v>
      </x:c>
      <x:c r="F4397" s="66" t="str">
        <x:v>TEKNOLOGI REKAYASA MULTIMEDIA PSDKU KAB. KOLAKA</x:v>
      </x:c>
      <x:c r="G4397" s="66" t="str">
        <x:v>Sarjana Terapan</x:v>
      </x:c>
      <x:c r="H4397" s="87" t="n">
        <x:v>8</x:v>
      </x:c>
      <x:c r="I4397" s="87"/>
      <x:c r="J4397" s="68" t="str">
        <x:f>IFERROR(H4397/I4397,"")</x:f>
      </x:c>
      <x:c r="K4397" s="69" t="n">
        <x:f>IFERROR(I4397/H4397,"")</x:f>
        <x:v>0</x:v>
      </x:c>
      <x:c r="L4397" s="66" t="str">
        <x:f>IF(K4397="","","1 : "&amp;TEXT(K4397,"0.0"))</x:f>
      </x:c>
      <x:c r="M4397" s="66" t="str">
        <x:f>IF(J4397="","Baru/Tanpa Data",IF(J4397&lt;='Catatan &amp; Sumber'!$B$14,"Sangat Ketat",IF(J4397&lt;='Catatan &amp; Sumber'!$B$15,"Ketat",IF(J4397&lt;='Catatan &amp; Sumber'!$B$16,"Sedang","Relatif Longgar"))))</x:f>
        <x:v>Baru/Tanpa Data</x:v>
      </x:c>
      <x:c r="N4397" s="66" t="str">
        <x:v>Tidak Ada</x:v>
      </x:c>
      <x:c r="O4397" s="66" t="str">
        <x:v>Sulawesi Selatan</x:v>
      </x:c>
      <x:c r="P4397" s="66" t="str">
        <x:v>Kota Makassar</x:v>
      </x:c>
      <x:c r="Q4397" s="66" t="str">
        <x:v>https://snpmb.id/snbp/daya-tampung-snbp</x:v>
      </x:c>
      <x:c r="R4397" s="66" t="str">
        <x:v>https://sidatagrun-public-1076756628210.asia-southeast2.run.app/ptn_sn.php?ptn=716</x:v>
      </x:c>
    </x:row>
    <x:row r="4398">
      <x:c r="A4398" s="87" t="n">
        <x:v>4345</x:v>
      </x:c>
      <x:c r="B4398" s="66" t="n">
        <x:v>716</x:v>
      </x:c>
      <x:c r="C4398" s="66" t="str">
        <x:v>POLITEKNIK NEGERI UJUNG PANDANG</x:v>
      </x:c>
      <x:c r="D4398" s="66" t="str">
        <x:v>PTN Vokasi</x:v>
      </x:c>
      <x:c r="E4398" s="66" t="str">
        <x:v>27163013</x:v>
      </x:c>
      <x:c r="F4398" s="66" t="str">
        <x:v>ADMINISTRASI BISNIS</x:v>
      </x:c>
      <x:c r="G4398" s="66" t="str">
        <x:v>Diploma Tiga</x:v>
      </x:c>
      <x:c r="H4398" s="87" t="n">
        <x:v>30</x:v>
      </x:c>
      <x:c r="I4398" s="87" t="n">
        <x:v>29</x:v>
      </x:c>
      <x:c r="J4398" s="68" t="n">
        <x:f>IFERROR(H4398/I4398,"")</x:f>
        <x:v>1.0344827586206897</x:v>
      </x:c>
      <x:c r="K4398" s="69" t="n">
        <x:f>IFERROR(I4398/H4398,"")</x:f>
        <x:v>0.9666666666666667</x:v>
      </x:c>
      <x:c r="L4398" s="66" t="str">
        <x:f>IF(K4398="","","1 : "&amp;TEXT(K4398,"0.0"))</x:f>
        <x:v>1 : 1.0</x:v>
      </x:c>
      <x:c r="M4398" s="66" t="str">
        <x:f>IF(J4398="","Baru/Tanpa Data",IF(J4398&lt;='Catatan &amp; Sumber'!$B$14,"Sangat Ketat",IF(J4398&lt;='Catatan &amp; Sumber'!$B$15,"Ketat",IF(J4398&lt;='Catatan &amp; Sumber'!$B$16,"Sedang","Relatif Longgar"))))</x:f>
        <x:v>Relatif Longgar</x:v>
      </x:c>
      <x:c r="N4398" s="66" t="str">
        <x:v>Tidak Ada</x:v>
      </x:c>
      <x:c r="O4398" s="66" t="str">
        <x:v>Sulawesi Selatan</x:v>
      </x:c>
      <x:c r="P4398" s="66" t="str">
        <x:v>Kota Makassar</x:v>
      </x:c>
      <x:c r="Q4398" s="66" t="str">
        <x:v>https://snpmb.id/snbp/daya-tampung-snbp</x:v>
      </x:c>
      <x:c r="R4398" s="66" t="str">
        <x:v>https://sidatagrun-public-1076756628210.asia-southeast2.run.app/ptn_sn.php?ptn=716</x:v>
      </x:c>
    </x:row>
    <x:row r="4399">
      <x:c r="A4399" s="87" t="n">
        <x:v>2423</x:v>
      </x:c>
      <x:c r="B4399" s="66" t="n">
        <x:v>716</x:v>
      </x:c>
      <x:c r="C4399" s="66" t="str">
        <x:v>POLITEKNIK NEGERI UJUNG PANDANG</x:v>
      </x:c>
      <x:c r="D4399" s="66" t="str">
        <x:v>PTN Vokasi</x:v>
      </x:c>
      <x:c r="E4399" s="66" t="str">
        <x:v>27163014</x:v>
      </x:c>
      <x:c r="F4399" s="66" t="str">
        <x:v>TEKNIK KONSTRUKSI SIPIL</x:v>
      </x:c>
      <x:c r="G4399" s="66" t="str">
        <x:v>Diploma Tiga</x:v>
      </x:c>
      <x:c r="H4399" s="87" t="n">
        <x:v>15</x:v>
      </x:c>
      <x:c r="I4399" s="87" t="n">
        <x:v>75</x:v>
      </x:c>
      <x:c r="J4399" s="68" t="n">
        <x:f>IFERROR(H4399/I4399,"")</x:f>
        <x:v>0.2</x:v>
      </x:c>
      <x:c r="K4399" s="69" t="n">
        <x:f>IFERROR(I4399/H4399,"")</x:f>
        <x:v>5</x:v>
      </x:c>
      <x:c r="L4399" s="66" t="str">
        <x:f>IF(K4399="","","1 : "&amp;TEXT(K4399,"0.0"))</x:f>
        <x:v>1 : 5.0</x:v>
      </x:c>
      <x:c r="M4399" s="66" t="str">
        <x:f>IF(J4399="","Baru/Tanpa Data",IF(J4399&lt;='Catatan &amp; Sumber'!$B$14,"Sangat Ketat",IF(J4399&lt;='Catatan &amp; Sumber'!$B$15,"Ketat",IF(J4399&lt;='Catatan &amp; Sumber'!$B$16,"Sedang","Relatif Longgar"))))</x:f>
        <x:v>Relatif Longgar</x:v>
      </x:c>
      <x:c r="N4399" s="66" t="str">
        <x:v>Tidak Ada</x:v>
      </x:c>
      <x:c r="O4399" s="66" t="str">
        <x:v>Sulawesi Selatan</x:v>
      </x:c>
      <x:c r="P4399" s="66" t="str">
        <x:v>Kota Makassar</x:v>
      </x:c>
      <x:c r="Q4399" s="66" t="str">
        <x:v>https://snpmb.id/snbp/daya-tampung-snbp</x:v>
      </x:c>
      <x:c r="R4399" s="66" t="str">
        <x:v>https://sidatagrun-public-1076756628210.asia-southeast2.run.app/ptn_sn.php?ptn=716</x:v>
      </x:c>
    </x:row>
    <x:row r="4400">
      <x:c r="A4400" s="87" t="n">
        <x:v>4132</x:v>
      </x:c>
      <x:c r="B4400" s="66" t="n">
        <x:v>716</x:v>
      </x:c>
      <x:c r="C4400" s="66" t="str">
        <x:v>POLITEKNIK NEGERI UJUNG PANDANG</x:v>
      </x:c>
      <x:c r="D4400" s="66" t="str">
        <x:v>PTN Vokasi</x:v>
      </x:c>
      <x:c r="E4400" s="66" t="str">
        <x:v>27163016</x:v>
      </x:c>
      <x:c r="F4400" s="66" t="str">
        <x:v>ANALISIS KIMIA</x:v>
      </x:c>
      <x:c r="G4400" s="66" t="str">
        <x:v>Diploma Tiga</x:v>
      </x:c>
      <x:c r="H4400" s="87" t="n">
        <x:v>23</x:v>
      </x:c>
      <x:c r="I4400" s="87" t="n">
        <x:v>29</x:v>
      </x:c>
      <x:c r="J4400" s="68" t="n">
        <x:f>IFERROR(H4400/I4400,"")</x:f>
        <x:v>0.7931034482758621</x:v>
      </x:c>
      <x:c r="K4400" s="69" t="n">
        <x:f>IFERROR(I4400/H4400,"")</x:f>
        <x:v>1.2608695652173914</x:v>
      </x:c>
      <x:c r="L4400" s="66" t="str">
        <x:f>IF(K4400="","","1 : "&amp;TEXT(K4400,"0.0"))</x:f>
        <x:v>1 : 1.3</x:v>
      </x:c>
      <x:c r="M4400" s="66" t="str">
        <x:f>IF(J4400="","Baru/Tanpa Data",IF(J4400&lt;='Catatan &amp; Sumber'!$B$14,"Sangat Ketat",IF(J4400&lt;='Catatan &amp; Sumber'!$B$15,"Ketat",IF(J4400&lt;='Catatan &amp; Sumber'!$B$16,"Sedang","Relatif Longgar"))))</x:f>
        <x:v>Relatif Longgar</x:v>
      </x:c>
      <x:c r="N4400" s="66" t="str">
        <x:v>Tidak Ada</x:v>
      </x:c>
      <x:c r="O4400" s="66" t="str">
        <x:v>Sulawesi Selatan</x:v>
      </x:c>
      <x:c r="P4400" s="66" t="str">
        <x:v>Kota Makassar</x:v>
      </x:c>
      <x:c r="Q4400" s="66" t="str">
        <x:v>https://snpmb.id/snbp/daya-tampung-snbp</x:v>
      </x:c>
      <x:c r="R4400" s="66" t="str">
        <x:v>https://sidatagrun-public-1076756628210.asia-southeast2.run.app/ptn_sn.php?ptn=716</x:v>
      </x:c>
    </x:row>
    <x:row r="4401">
      <x:c r="A4401" s="87" t="n">
        <x:v>4415</x:v>
      </x:c>
      <x:c r="B4401" s="66" t="n">
        <x:v>716</x:v>
      </x:c>
      <x:c r="C4401" s="66" t="str">
        <x:v>POLITEKNIK NEGERI UJUNG PANDANG</x:v>
      </x:c>
      <x:c r="D4401" s="66" t="str">
        <x:v>PTN Vokasi</x:v>
      </x:c>
      <x:c r="E4401" s="66" t="str">
        <x:v>27163017</x:v>
      </x:c>
      <x:c r="F4401" s="66" t="str">
        <x:v>TEKNIK KONSTRUKSI GEDUNG</x:v>
      </x:c>
      <x:c r="G4401" s="66" t="str">
        <x:v>Diploma Tiga</x:v>
      </x:c>
      <x:c r="H4401" s="87" t="n">
        <x:v>15</x:v>
      </x:c>
      <x:c r="I4401" s="87" t="n">
        <x:v>13</x:v>
      </x:c>
      <x:c r="J4401" s="68" t="n">
        <x:f>IFERROR(H4401/I4401,"")</x:f>
        <x:v>1.1538461538461537</x:v>
      </x:c>
      <x:c r="K4401" s="69" t="n">
        <x:f>IFERROR(I4401/H4401,"")</x:f>
        <x:v>0.8666666666666667</x:v>
      </x:c>
      <x:c r="L4401" s="66" t="str">
        <x:f>IF(K4401="","","1 : "&amp;TEXT(K4401,"0.0"))</x:f>
        <x:v>1 : 0.9</x:v>
      </x:c>
      <x:c r="M4401" s="66" t="str">
        <x:f>IF(J4401="","Baru/Tanpa Data",IF(J4401&lt;='Catatan &amp; Sumber'!$B$14,"Sangat Ketat",IF(J4401&lt;='Catatan &amp; Sumber'!$B$15,"Ketat",IF(J4401&lt;='Catatan &amp; Sumber'!$B$16,"Sedang","Relatif Longgar"))))</x:f>
        <x:v>Relatif Longgar</x:v>
      </x:c>
      <x:c r="N4401" s="66" t="str">
        <x:v>Tidak Ada</x:v>
      </x:c>
      <x:c r="O4401" s="66" t="str">
        <x:v>Sulawesi Selatan</x:v>
      </x:c>
      <x:c r="P4401" s="66" t="str">
        <x:v>Kota Makassar</x:v>
      </x:c>
      <x:c r="Q4401" s="66" t="str">
        <x:v>https://snpmb.id/snbp/daya-tampung-snbp</x:v>
      </x:c>
      <x:c r="R4401" s="66" t="str">
        <x:v>https://sidatagrun-public-1076756628210.asia-southeast2.run.app/ptn_sn.php?ptn=716</x:v>
      </x:c>
    </x:row>
    <x:row r="4402">
      <x:c r="A4402" s="87"/>
      <x:c r="B4402" s="66" t="n">
        <x:v>716</x:v>
      </x:c>
      <x:c r="C4402" s="66" t="str">
        <x:v>POLITEKNIK NEGERI UJUNG PANDANG</x:v>
      </x:c>
      <x:c r="D4402" s="66" t="str">
        <x:v>PTN Vokasi</x:v>
      </x:c>
      <x:c r="E4402" s="66" t="str">
        <x:v>27163018</x:v>
      </x:c>
      <x:c r="F4402" s="66" t="str">
        <x:v>TEKNOLOGI KONVERSI ENERGI (KAMPUS KAB. KOLAKA)</x:v>
      </x:c>
      <x:c r="G4402" s="66" t="str">
        <x:v>Diploma Tiga</x:v>
      </x:c>
      <x:c r="H4402" s="87" t="n">
        <x:v>8</x:v>
      </x:c>
      <x:c r="I4402" s="87"/>
      <x:c r="J4402" s="68" t="str">
        <x:f>IFERROR(H4402/I4402,"")</x:f>
      </x:c>
      <x:c r="K4402" s="69" t="n">
        <x:f>IFERROR(I4402/H4402,"")</x:f>
        <x:v>0</x:v>
      </x:c>
      <x:c r="L4402" s="66" t="str">
        <x:f>IF(K4402="","","1 : "&amp;TEXT(K4402,"0.0"))</x:f>
      </x:c>
      <x:c r="M4402" s="66" t="str">
        <x:f>IF(J4402="","Baru/Tanpa Data",IF(J4402&lt;='Catatan &amp; Sumber'!$B$14,"Sangat Ketat",IF(J4402&lt;='Catatan &amp; Sumber'!$B$15,"Ketat",IF(J4402&lt;='Catatan &amp; Sumber'!$B$16,"Sedang","Relatif Longgar"))))</x:f>
        <x:v>Baru/Tanpa Data</x:v>
      </x:c>
      <x:c r="N4402" s="66" t="str">
        <x:v>Tidak Ada</x:v>
      </x:c>
      <x:c r="O4402" s="66" t="str">
        <x:v>Sulawesi Selatan</x:v>
      </x:c>
      <x:c r="P4402" s="66" t="str">
        <x:v>Kota Makassar</x:v>
      </x:c>
      <x:c r="Q4402" s="66" t="str">
        <x:v>https://snpmb.id/snbp/daya-tampung-snbp</x:v>
      </x:c>
      <x:c r="R4402" s="66" t="str">
        <x:v>https://sidatagrun-public-1076756628210.asia-southeast2.run.app/ptn_sn.php?ptn=716</x:v>
      </x:c>
    </x:row>
    <x:row r="4403">
      <x:c r="A4403" s="87" t="n">
        <x:v>3703</x:v>
      </x:c>
      <x:c r="B4403" s="66" t="n">
        <x:v>716</x:v>
      </x:c>
      <x:c r="C4403" s="66" t="str">
        <x:v>POLITEKNIK NEGERI UJUNG PANDANG</x:v>
      </x:c>
      <x:c r="D4403" s="66" t="str">
        <x:v>PTN Vokasi</x:v>
      </x:c>
      <x:c r="E4403" s="66" t="str">
        <x:v>27163019</x:v>
      </x:c>
      <x:c r="F4403" s="66" t="str">
        <x:v>AKUNTANSI</x:v>
      </x:c>
      <x:c r="G4403" s="66" t="str">
        <x:v>Diploma Tiga</x:v>
      </x:c>
      <x:c r="H4403" s="87" t="n">
        <x:v>30</x:v>
      </x:c>
      <x:c r="I4403" s="87" t="n">
        <x:v>58</x:v>
      </x:c>
      <x:c r="J4403" s="68" t="n">
        <x:f>IFERROR(H4403/I4403,"")</x:f>
        <x:v>0.5172413793103449</x:v>
      </x:c>
      <x:c r="K4403" s="69" t="n">
        <x:f>IFERROR(I4403/H4403,"")</x:f>
        <x:v>1.9333333333333333</x:v>
      </x:c>
      <x:c r="L4403" s="66" t="str">
        <x:f>IF(K4403="","","1 : "&amp;TEXT(K4403,"0.0"))</x:f>
        <x:v>1 : 1.9</x:v>
      </x:c>
      <x:c r="M4403" s="66" t="str">
        <x:f>IF(J4403="","Baru/Tanpa Data",IF(J4403&lt;='Catatan &amp; Sumber'!$B$14,"Sangat Ketat",IF(J4403&lt;='Catatan &amp; Sumber'!$B$15,"Ketat",IF(J4403&lt;='Catatan &amp; Sumber'!$B$16,"Sedang","Relatif Longgar"))))</x:f>
        <x:v>Relatif Longgar</x:v>
      </x:c>
      <x:c r="N4403" s="66" t="str">
        <x:v>Tidak Ada</x:v>
      </x:c>
      <x:c r="O4403" s="66" t="str">
        <x:v>Sulawesi Selatan</x:v>
      </x:c>
      <x:c r="P4403" s="66" t="str">
        <x:v>Kota Makassar</x:v>
      </x:c>
      <x:c r="Q4403" s="66" t="str">
        <x:v>https://snpmb.id/snbp/daya-tampung-snbp</x:v>
      </x:c>
      <x:c r="R4403" s="66" t="str">
        <x:v>https://sidatagrun-public-1076756628210.asia-southeast2.run.app/ptn_sn.php?ptn=716</x:v>
      </x:c>
    </x:row>
    <x:row r="4404">
      <x:c r="A4404" s="87" t="n">
        <x:v>3342</x:v>
      </x:c>
      <x:c r="B4404" s="66" t="n">
        <x:v>716</x:v>
      </x:c>
      <x:c r="C4404" s="66" t="str">
        <x:v>POLITEKNIK NEGERI UJUNG PANDANG</x:v>
      </x:c>
      <x:c r="D4404" s="66" t="str">
        <x:v>PTN Vokasi</x:v>
      </x:c>
      <x:c r="E4404" s="66" t="str">
        <x:v>27163020</x:v>
      </x:c>
      <x:c r="F4404" s="66" t="str">
        <x:v>TEKNIK ELEKTRONIKA</x:v>
      </x:c>
      <x:c r="G4404" s="66" t="str">
        <x:v>Diploma Tiga</x:v>
      </x:c>
      <x:c r="H4404" s="87" t="n">
        <x:v>15</x:v>
      </x:c>
      <x:c r="I4404" s="87" t="n">
        <x:v>39</x:v>
      </x:c>
      <x:c r="J4404" s="68" t="n">
        <x:f>IFERROR(H4404/I4404,"")</x:f>
        <x:v>0.38461538461538464</x:v>
      </x:c>
      <x:c r="K4404" s="69" t="n">
        <x:f>IFERROR(I4404/H4404,"")</x:f>
        <x:v>2.6</x:v>
      </x:c>
      <x:c r="L4404" s="66" t="str">
        <x:f>IF(K4404="","","1 : "&amp;TEXT(K4404,"0.0"))</x:f>
        <x:v>1 : 2.6</x:v>
      </x:c>
      <x:c r="M4404" s="66" t="str">
        <x:f>IF(J4404="","Baru/Tanpa Data",IF(J4404&lt;='Catatan &amp; Sumber'!$B$14,"Sangat Ketat",IF(J4404&lt;='Catatan &amp; Sumber'!$B$15,"Ketat",IF(J4404&lt;='Catatan &amp; Sumber'!$B$16,"Sedang","Relatif Longgar"))))</x:f>
        <x:v>Relatif Longgar</x:v>
      </x:c>
      <x:c r="N4404" s="66" t="str">
        <x:v>Tidak Ada</x:v>
      </x:c>
      <x:c r="O4404" s="66" t="str">
        <x:v>Sulawesi Selatan</x:v>
      </x:c>
      <x:c r="P4404" s="66" t="str">
        <x:v>Kota Makassar</x:v>
      </x:c>
      <x:c r="Q4404" s="66" t="str">
        <x:v>https://snpmb.id/snbp/daya-tampung-snbp</x:v>
      </x:c>
      <x:c r="R4404" s="66" t="str">
        <x:v>https://sidatagrun-public-1076756628210.asia-southeast2.run.app/ptn_sn.php?ptn=716</x:v>
      </x:c>
    </x:row>
    <x:row r="4405">
      <x:c r="A4405" s="87" t="n">
        <x:v>4474</x:v>
      </x:c>
      <x:c r="B4405" s="66" t="n">
        <x:v>716</x:v>
      </x:c>
      <x:c r="C4405" s="66" t="str">
        <x:v>POLITEKNIK NEGERI UJUNG PANDANG</x:v>
      </x:c>
      <x:c r="D4405" s="66" t="str">
        <x:v>PTN Vokasi</x:v>
      </x:c>
      <x:c r="E4405" s="66" t="str">
        <x:v>27163022</x:v>
      </x:c>
      <x:c r="F4405" s="66" t="str">
        <x:v>TEKNIK TELEKOMUNIKASI</x:v>
      </x:c>
      <x:c r="G4405" s="66" t="str">
        <x:v>Diploma Tiga</x:v>
      </x:c>
      <x:c r="H4405" s="87" t="n">
        <x:v>23</x:v>
      </x:c>
      <x:c r="I4405" s="87" t="n">
        <x:v>18</x:v>
      </x:c>
      <x:c r="J4405" s="68" t="n">
        <x:f>IFERROR(H4405/I4405,"")</x:f>
        <x:v>1.2777777777777777</x:v>
      </x:c>
      <x:c r="K4405" s="69" t="n">
        <x:f>IFERROR(I4405/H4405,"")</x:f>
        <x:v>0.782608695652174</x:v>
      </x:c>
      <x:c r="L4405" s="66" t="str">
        <x:f>IF(K4405="","","1 : "&amp;TEXT(K4405,"0.0"))</x:f>
        <x:v>1 : 0.8</x:v>
      </x:c>
      <x:c r="M4405" s="66" t="str">
        <x:f>IF(J4405="","Baru/Tanpa Data",IF(J4405&lt;='Catatan &amp; Sumber'!$B$14,"Sangat Ketat",IF(J4405&lt;='Catatan &amp; Sumber'!$B$15,"Ketat",IF(J4405&lt;='Catatan &amp; Sumber'!$B$16,"Sedang","Relatif Longgar"))))</x:f>
        <x:v>Relatif Longgar</x:v>
      </x:c>
      <x:c r="N4405" s="66" t="str">
        <x:v>Tidak Ada</x:v>
      </x:c>
      <x:c r="O4405" s="66" t="str">
        <x:v>Sulawesi Selatan</x:v>
      </x:c>
      <x:c r="P4405" s="66" t="str">
        <x:v>Kota Makassar</x:v>
      </x:c>
      <x:c r="Q4405" s="66" t="str">
        <x:v>https://snpmb.id/snbp/daya-tampung-snbp</x:v>
      </x:c>
      <x:c r="R4405" s="66" t="str">
        <x:v>https://sidatagrun-public-1076756628210.asia-southeast2.run.app/ptn_sn.php?ptn=716</x:v>
      </x:c>
    </x:row>
    <x:row r="4406">
      <x:c r="A4406" s="87" t="n">
        <x:v>2781</x:v>
      </x:c>
      <x:c r="B4406" s="66" t="n">
        <x:v>716</x:v>
      </x:c>
      <x:c r="C4406" s="66" t="str">
        <x:v>POLITEKNIK NEGERI UJUNG PANDANG</x:v>
      </x:c>
      <x:c r="D4406" s="66" t="str">
        <x:v>PTN Vokasi</x:v>
      </x:c>
      <x:c r="E4406" s="66" t="str">
        <x:v>27163023</x:v>
      </x:c>
      <x:c r="F4406" s="66" t="str">
        <x:v>TEKNIK MESIN</x:v>
      </x:c>
      <x:c r="G4406" s="66" t="str">
        <x:v>Diploma Tiga</x:v>
      </x:c>
      <x:c r="H4406" s="87" t="n">
        <x:v>23</x:v>
      </x:c>
      <x:c r="I4406" s="87" t="n">
        <x:v>90</x:v>
      </x:c>
      <x:c r="J4406" s="68" t="n">
        <x:f>IFERROR(H4406/I4406,"")</x:f>
        <x:v>0.25555555555555554</x:v>
      </x:c>
      <x:c r="K4406" s="69" t="n">
        <x:f>IFERROR(I4406/H4406,"")</x:f>
        <x:v>3.9130434782608696</x:v>
      </x:c>
      <x:c r="L4406" s="66" t="str">
        <x:f>IF(K4406="","","1 : "&amp;TEXT(K4406,"0.0"))</x:f>
        <x:v>1 : 3.9</x:v>
      </x:c>
      <x:c r="M4406" s="66" t="str">
        <x:f>IF(J4406="","Baru/Tanpa Data",IF(J4406&lt;='Catatan &amp; Sumber'!$B$14,"Sangat Ketat",IF(J4406&lt;='Catatan &amp; Sumber'!$B$15,"Ketat",IF(J4406&lt;='Catatan &amp; Sumber'!$B$16,"Sedang","Relatif Longgar"))))</x:f>
        <x:v>Relatif Longgar</x:v>
      </x:c>
      <x:c r="N4406" s="66" t="str">
        <x:v>Tidak Ada</x:v>
      </x:c>
      <x:c r="O4406" s="66" t="str">
        <x:v>Sulawesi Selatan</x:v>
      </x:c>
      <x:c r="P4406" s="66" t="str">
        <x:v>Kota Makassar</x:v>
      </x:c>
      <x:c r="Q4406" s="66" t="str">
        <x:v>https://snpmb.id/snbp/daya-tampung-snbp</x:v>
      </x:c>
      <x:c r="R4406" s="66" t="str">
        <x:v>https://sidatagrun-public-1076756628210.asia-southeast2.run.app/ptn_sn.php?ptn=716</x:v>
      </x:c>
    </x:row>
    <x:row r="4407">
      <x:c r="A4407" s="87" t="n">
        <x:v>3250</x:v>
      </x:c>
      <x:c r="B4407" s="66" t="n">
        <x:v>716</x:v>
      </x:c>
      <x:c r="C4407" s="66" t="str">
        <x:v>POLITEKNIK NEGERI UJUNG PANDANG</x:v>
      </x:c>
      <x:c r="D4407" s="66" t="str">
        <x:v>PTN Vokasi</x:v>
      </x:c>
      <x:c r="E4407" s="66" t="str">
        <x:v>27163024</x:v>
      </x:c>
      <x:c r="F4407" s="66" t="str">
        <x:v>TEKNIK OTOMOTIF</x:v>
      </x:c>
      <x:c r="G4407" s="66" t="str">
        <x:v>Diploma Tiga</x:v>
      </x:c>
      <x:c r="H4407" s="87" t="n">
        <x:v>15</x:v>
      </x:c>
      <x:c r="I4407" s="87" t="n">
        <x:v>42</x:v>
      </x:c>
      <x:c r="J4407" s="68" t="n">
        <x:f>IFERROR(H4407/I4407,"")</x:f>
        <x:v>0.35714285714285715</x:v>
      </x:c>
      <x:c r="K4407" s="69" t="n">
        <x:f>IFERROR(I4407/H4407,"")</x:f>
        <x:v>2.8</x:v>
      </x:c>
      <x:c r="L4407" s="66" t="str">
        <x:f>IF(K4407="","","1 : "&amp;TEXT(K4407,"0.0"))</x:f>
        <x:v>1 : 2.8</x:v>
      </x:c>
      <x:c r="M4407" s="66" t="str">
        <x:f>IF(J4407="","Baru/Tanpa Data",IF(J4407&lt;='Catatan &amp; Sumber'!$B$14,"Sangat Ketat",IF(J4407&lt;='Catatan &amp; Sumber'!$B$15,"Ketat",IF(J4407&lt;='Catatan &amp; Sumber'!$B$16,"Sedang","Relatif Longgar"))))</x:f>
        <x:v>Relatif Longgar</x:v>
      </x:c>
      <x:c r="N4407" s="66" t="str">
        <x:v>Tidak Ada</x:v>
      </x:c>
      <x:c r="O4407" s="66" t="str">
        <x:v>Sulawesi Selatan</x:v>
      </x:c>
      <x:c r="P4407" s="66" t="str">
        <x:v>Kota Makassar</x:v>
      </x:c>
      <x:c r="Q4407" s="66" t="str">
        <x:v>https://snpmb.id/snbp/daya-tampung-snbp</x:v>
      </x:c>
      <x:c r="R4407" s="66" t="str">
        <x:v>https://sidatagrun-public-1076756628210.asia-southeast2.run.app/ptn_sn.php?ptn=716</x:v>
      </x:c>
    </x:row>
    <x:row r="4408">
      <x:c r="A4408" s="87" t="n">
        <x:v>3923</x:v>
      </x:c>
      <x:c r="B4408" s="66" t="n">
        <x:v>716</x:v>
      </x:c>
      <x:c r="C4408" s="66" t="str">
        <x:v>POLITEKNIK NEGERI UJUNG PANDANG</x:v>
      </x:c>
      <x:c r="D4408" s="66" t="str">
        <x:v>PTN Vokasi</x:v>
      </x:c>
      <x:c r="E4408" s="66" t="str">
        <x:v>27163025</x:v>
      </x:c>
      <x:c r="F4408" s="66" t="str">
        <x:v>TEKNIK LISTRIK</x:v>
      </x:c>
      <x:c r="G4408" s="66" t="str">
        <x:v>Diploma Tiga</x:v>
      </x:c>
      <x:c r="H4408" s="87" t="n">
        <x:v>23</x:v>
      </x:c>
      <x:c r="I4408" s="87" t="n">
        <x:v>36</x:v>
      </x:c>
      <x:c r="J4408" s="68" t="n">
        <x:f>IFERROR(H4408/I4408,"")</x:f>
        <x:v>0.6388888888888888</x:v>
      </x:c>
      <x:c r="K4408" s="69" t="n">
        <x:f>IFERROR(I4408/H4408,"")</x:f>
        <x:v>1.565217391304348</x:v>
      </x:c>
      <x:c r="L4408" s="66" t="str">
        <x:f>IF(K4408="","","1 : "&amp;TEXT(K4408,"0.0"))</x:f>
        <x:v>1 : 1.6</x:v>
      </x:c>
      <x:c r="M4408" s="66" t="str">
        <x:f>IF(J4408="","Baru/Tanpa Data",IF(J4408&lt;='Catatan &amp; Sumber'!$B$14,"Sangat Ketat",IF(J4408&lt;='Catatan &amp; Sumber'!$B$15,"Ketat",IF(J4408&lt;='Catatan &amp; Sumber'!$B$16,"Sedang","Relatif Longgar"))))</x:f>
        <x:v>Relatif Longgar</x:v>
      </x:c>
      <x:c r="N4408" s="66" t="str">
        <x:v>Tidak Ada</x:v>
      </x:c>
      <x:c r="O4408" s="66" t="str">
        <x:v>Sulawesi Selatan</x:v>
      </x:c>
      <x:c r="P4408" s="66" t="str">
        <x:v>Kota Makassar</x:v>
      </x:c>
      <x:c r="Q4408" s="66" t="str">
        <x:v>https://snpmb.id/snbp/daya-tampung-snbp</x:v>
      </x:c>
      <x:c r="R4408" s="66" t="str">
        <x:v>https://sidatagrun-public-1076756628210.asia-southeast2.run.app/ptn_sn.php?ptn=716</x:v>
      </x:c>
    </x:row>
    <x:row r="4409">
      <x:c r="A4409" s="87" t="n">
        <x:v>3678</x:v>
      </x:c>
      <x:c r="B4409" s="66" t="n">
        <x:v>716</x:v>
      </x:c>
      <x:c r="C4409" s="66" t="str">
        <x:v>POLITEKNIK NEGERI UJUNG PANDANG</x:v>
      </x:c>
      <x:c r="D4409" s="66" t="str">
        <x:v>PTN Vokasi</x:v>
      </x:c>
      <x:c r="E4409" s="66" t="str">
        <x:v>27163026</x:v>
      </x:c>
      <x:c r="F4409" s="66" t="str">
        <x:v>PERAWATAN ALAT BERAT</x:v>
      </x:c>
      <x:c r="G4409" s="66" t="str">
        <x:v>Diploma Tiga</x:v>
      </x:c>
      <x:c r="H4409" s="87" t="n">
        <x:v>30</x:v>
      </x:c>
      <x:c r="I4409" s="87" t="n">
        <x:v>59</x:v>
      </x:c>
      <x:c r="J4409" s="68" t="n">
        <x:f>IFERROR(H4409/I4409,"")</x:f>
        <x:v>0.5084745762711864</x:v>
      </x:c>
      <x:c r="K4409" s="69" t="n">
        <x:f>IFERROR(I4409/H4409,"")</x:f>
        <x:v>1.9666666666666666</x:v>
      </x:c>
      <x:c r="L4409" s="66" t="str">
        <x:f>IF(K4409="","","1 : "&amp;TEXT(K4409,"0.0"))</x:f>
        <x:v>1 : 2.0</x:v>
      </x:c>
      <x:c r="M4409" s="66" t="str">
        <x:f>IF(J4409="","Baru/Tanpa Data",IF(J4409&lt;='Catatan &amp; Sumber'!$B$14,"Sangat Ketat",IF(J4409&lt;='Catatan &amp; Sumber'!$B$15,"Ketat",IF(J4409&lt;='Catatan &amp; Sumber'!$B$16,"Sedang","Relatif Longgar"))))</x:f>
        <x:v>Relatif Longgar</x:v>
      </x:c>
      <x:c r="N4409" s="66" t="str">
        <x:v>Tidak Ada</x:v>
      </x:c>
      <x:c r="O4409" s="66" t="str">
        <x:v>Sulawesi Selatan</x:v>
      </x:c>
      <x:c r="P4409" s="66" t="str">
        <x:v>Kota Makassar</x:v>
      </x:c>
      <x:c r="Q4409" s="66" t="str">
        <x:v>https://snpmb.id/snbp/daya-tampung-snbp</x:v>
      </x:c>
      <x:c r="R4409" s="66" t="str">
        <x:v>https://sidatagrun-public-1076756628210.asia-southeast2.run.app/ptn_sn.php?ptn=716</x:v>
      </x:c>
    </x:row>
    <x:row r="4410">
      <x:c r="A4410" s="87" t="n">
        <x:v>4785</x:v>
      </x:c>
      <x:c r="B4410" s="66" t="n">
        <x:v>716</x:v>
      </x:c>
      <x:c r="C4410" s="66" t="str">
        <x:v>POLITEKNIK NEGERI UJUNG PANDANG</x:v>
      </x:c>
      <x:c r="D4410" s="66" t="str">
        <x:v>PTN Vokasi</x:v>
      </x:c>
      <x:c r="E4410" s="66" t="str">
        <x:v>27163029</x:v>
      </x:c>
      <x:c r="F4410" s="66" t="str">
        <x:v>TEKNIK KONVERSI ENERGI</x:v>
      </x:c>
      <x:c r="G4410" s="66" t="str">
        <x:v>Diploma Tiga</x:v>
      </x:c>
      <x:c r="H4410" s="87" t="n">
        <x:v>23</x:v>
      </x:c>
      <x:c r="I4410" s="87" t="n">
        <x:v>7</x:v>
      </x:c>
      <x:c r="J4410" s="68" t="n">
        <x:f>IFERROR(H4410/I4410,"")</x:f>
        <x:v>3.2857142857142856</x:v>
      </x:c>
      <x:c r="K4410" s="69" t="n">
        <x:f>IFERROR(I4410/H4410,"")</x:f>
        <x:v>0.30434782608695654</x:v>
      </x:c>
      <x:c r="L4410" s="66" t="str">
        <x:f>IF(K4410="","","1 : "&amp;TEXT(K4410,"0.0"))</x:f>
        <x:v>1 : 0.3</x:v>
      </x:c>
      <x:c r="M4410" s="66" t="str">
        <x:f>IF(J4410="","Baru/Tanpa Data",IF(J4410&lt;='Catatan &amp; Sumber'!$B$14,"Sangat Ketat",IF(J4410&lt;='Catatan &amp; Sumber'!$B$15,"Ketat",IF(J4410&lt;='Catatan &amp; Sumber'!$B$16,"Sedang","Relatif Longgar"))))</x:f>
        <x:v>Relatif Longgar</x:v>
      </x:c>
      <x:c r="N4410" s="66" t="str">
        <x:v>Tidak Ada</x:v>
      </x:c>
      <x:c r="O4410" s="66" t="str">
        <x:v>Sulawesi Selatan</x:v>
      </x:c>
      <x:c r="P4410" s="66" t="str">
        <x:v>Kota Makassar</x:v>
      </x:c>
      <x:c r="Q4410" s="66" t="str">
        <x:v>https://snpmb.id/snbp/daya-tampung-snbp</x:v>
      </x:c>
      <x:c r="R4410" s="66" t="str">
        <x:v>https://sidatagrun-public-1076756628210.asia-southeast2.run.app/ptn_sn.php?ptn=716</x:v>
      </x:c>
    </x:row>
    <x:row r="4411">
      <x:c r="A4411" s="87" t="n">
        <x:v>3894</x:v>
      </x:c>
      <x:c r="B4411" s="66" t="n">
        <x:v>717</x:v>
      </x:c>
      <x:c r="C4411" s="66" t="str">
        <x:v>POLITEKNIK PERTANIAN NEGERI PANGKAJENE KEPULAUAN</x:v>
      </x:c>
      <x:c r="D4411" s="66" t="str">
        <x:v>PTN Vokasi</x:v>
      </x:c>
      <x:c r="E4411" s="66" t="str">
        <x:v>27172001</x:v>
      </x:c>
      <x:c r="F4411" s="66" t="str">
        <x:v>AGROINDUSTRI</x:v>
      </x:c>
      <x:c r="G4411" s="66" t="str">
        <x:v>Sarjana Terapan</x:v>
      </x:c>
      <x:c r="H4411" s="87" t="n">
        <x:v>28</x:v>
      </x:c>
      <x:c r="I4411" s="87" t="n">
        <x:v>45</x:v>
      </x:c>
      <x:c r="J4411" s="68" t="n">
        <x:f>IFERROR(H4411/I4411,"")</x:f>
        <x:v>0.6222222222222222</x:v>
      </x:c>
      <x:c r="K4411" s="69" t="n">
        <x:f>IFERROR(I4411/H4411,"")</x:f>
        <x:v>1.6071428571428572</x:v>
      </x:c>
      <x:c r="L4411" s="66" t="str">
        <x:f>IF(K4411="","","1 : "&amp;TEXT(K4411,"0.0"))</x:f>
        <x:v>1 : 1.6</x:v>
      </x:c>
      <x:c r="M4411" s="66" t="str">
        <x:f>IF(J4411="","Baru/Tanpa Data",IF(J4411&lt;='Catatan &amp; Sumber'!$B$14,"Sangat Ketat",IF(J4411&lt;='Catatan &amp; Sumber'!$B$15,"Ketat",IF(J4411&lt;='Catatan &amp; Sumber'!$B$16,"Sedang","Relatif Longgar"))))</x:f>
        <x:v>Relatif Longgar</x:v>
      </x:c>
      <x:c r="N4411" s="66" t="str">
        <x:v>Tidak Ada</x:v>
      </x:c>
      <x:c r="O4411" s="66" t="str">
        <x:v>Sulawesi Selatan</x:v>
      </x:c>
      <x:c r="P4411" s="66" t="str">
        <x:v>Kabupaten Pangkaje</x:v>
      </x:c>
      <x:c r="Q4411" s="66" t="str">
        <x:v>https://snpmb.id/snbp/daya-tampung-snbp</x:v>
      </x:c>
      <x:c r="R4411" s="66" t="str">
        <x:v>https://sidatagrun-public-1076756628210.asia-southeast2.run.app/ptn_sn.php?ptn=717</x:v>
      </x:c>
    </x:row>
    <x:row r="4412">
      <x:c r="A4412" s="87" t="n">
        <x:v>3737</x:v>
      </x:c>
      <x:c r="B4412" s="66" t="n">
        <x:v>717</x:v>
      </x:c>
      <x:c r="C4412" s="66" t="str">
        <x:v>POLITEKNIK PERTANIAN NEGERI PANGKAJENE KEPULAUAN</x:v>
      </x:c>
      <x:c r="D4412" s="66" t="str">
        <x:v>PTN Vokasi</x:v>
      </x:c>
      <x:c r="E4412" s="66" t="str">
        <x:v>27172002</x:v>
      </x:c>
      <x:c r="F4412" s="66" t="str">
        <x:v>PENGELOLAAN PELABUHAN PERIKANAN</x:v>
      </x:c>
      <x:c r="G4412" s="66" t="str">
        <x:v>Sarjana Terapan</x:v>
      </x:c>
      <x:c r="H4412" s="87" t="n">
        <x:v>14</x:v>
      </x:c>
      <x:c r="I4412" s="87" t="n">
        <x:v>26</x:v>
      </x:c>
      <x:c r="J4412" s="68" t="n">
        <x:f>IFERROR(H4412/I4412,"")</x:f>
        <x:v>0.5384615384615384</x:v>
      </x:c>
      <x:c r="K4412" s="69" t="n">
        <x:f>IFERROR(I4412/H4412,"")</x:f>
        <x:v>1.8571428571428572</x:v>
      </x:c>
      <x:c r="L4412" s="66" t="str">
        <x:f>IF(K4412="","","1 : "&amp;TEXT(K4412,"0.0"))</x:f>
        <x:v>1 : 1.9</x:v>
      </x:c>
      <x:c r="M4412" s="66" t="str">
        <x:f>IF(J4412="","Baru/Tanpa Data",IF(J4412&lt;='Catatan &amp; Sumber'!$B$14,"Sangat Ketat",IF(J4412&lt;='Catatan &amp; Sumber'!$B$15,"Ketat",IF(J4412&lt;='Catatan &amp; Sumber'!$B$16,"Sedang","Relatif Longgar"))))</x:f>
        <x:v>Relatif Longgar</x:v>
      </x:c>
      <x:c r="N4412" s="66" t="str">
        <x:v>Tidak Ada</x:v>
      </x:c>
      <x:c r="O4412" s="66" t="str">
        <x:v>Sulawesi Selatan</x:v>
      </x:c>
      <x:c r="P4412" s="66" t="str">
        <x:v>Kabupaten Pangkaje</x:v>
      </x:c>
      <x:c r="Q4412" s="66" t="str">
        <x:v>https://snpmb.id/snbp/daya-tampung-snbp</x:v>
      </x:c>
      <x:c r="R4412" s="66" t="str">
        <x:v>https://sidatagrun-public-1076756628210.asia-southeast2.run.app/ptn_sn.php?ptn=717</x:v>
      </x:c>
    </x:row>
    <x:row r="4413">
      <x:c r="A4413" s="87" t="n">
        <x:v>4526</x:v>
      </x:c>
      <x:c r="B4413" s="66" t="n">
        <x:v>717</x:v>
      </x:c>
      <x:c r="C4413" s="66" t="str">
        <x:v>POLITEKNIK PERTANIAN NEGERI PANGKAJENE KEPULAUAN</x:v>
      </x:c>
      <x:c r="D4413" s="66" t="str">
        <x:v>PTN Vokasi</x:v>
      </x:c>
      <x:c r="E4413" s="66" t="str">
        <x:v>27172003</x:v>
      </x:c>
      <x:c r="F4413" s="66" t="str">
        <x:v>AGRIBISNIS PETERNAKAN</x:v>
      </x:c>
      <x:c r="G4413" s="66" t="str">
        <x:v>Sarjana Terapan</x:v>
      </x:c>
      <x:c r="H4413" s="87" t="n">
        <x:v>14</x:v>
      </x:c>
      <x:c r="I4413" s="87" t="n">
        <x:v>10</x:v>
      </x:c>
      <x:c r="J4413" s="68" t="n">
        <x:f>IFERROR(H4413/I4413,"")</x:f>
        <x:v>1.4</x:v>
      </x:c>
      <x:c r="K4413" s="69" t="n">
        <x:f>IFERROR(I4413/H4413,"")</x:f>
        <x:v>0.7142857142857143</x:v>
      </x:c>
      <x:c r="L4413" s="66" t="str">
        <x:f>IF(K4413="","","1 : "&amp;TEXT(K4413,"0.0"))</x:f>
        <x:v>1 : 0.7</x:v>
      </x:c>
      <x:c r="M4413" s="66" t="str">
        <x:f>IF(J4413="","Baru/Tanpa Data",IF(J4413&lt;='Catatan &amp; Sumber'!$B$14,"Sangat Ketat",IF(J4413&lt;='Catatan &amp; Sumber'!$B$15,"Ketat",IF(J4413&lt;='Catatan &amp; Sumber'!$B$16,"Sedang","Relatif Longgar"))))</x:f>
        <x:v>Relatif Longgar</x:v>
      </x:c>
      <x:c r="N4413" s="66" t="str">
        <x:v>Tidak Ada</x:v>
      </x:c>
      <x:c r="O4413" s="66" t="str">
        <x:v>Sulawesi Selatan</x:v>
      </x:c>
      <x:c r="P4413" s="66" t="str">
        <x:v>Kabupaten Pangkaje</x:v>
      </x:c>
      <x:c r="Q4413" s="66" t="str">
        <x:v>https://snpmb.id/snbp/daya-tampung-snbp</x:v>
      </x:c>
      <x:c r="R4413" s="66" t="str">
        <x:v>https://sidatagrun-public-1076756628210.asia-southeast2.run.app/ptn_sn.php?ptn=717</x:v>
      </x:c>
    </x:row>
    <x:row r="4414">
      <x:c r="A4414" s="87" t="n">
        <x:v>4753</x:v>
      </x:c>
      <x:c r="B4414" s="66" t="n">
        <x:v>717</x:v>
      </x:c>
      <x:c r="C4414" s="66" t="str">
        <x:v>POLITEKNIK PERTANIAN NEGERI PANGKAJENE KEPULAUAN</x:v>
      </x:c>
      <x:c r="D4414" s="66" t="str">
        <x:v>PTN Vokasi</x:v>
      </x:c>
      <x:c r="E4414" s="66" t="str">
        <x:v>27172004</x:v>
      </x:c>
      <x:c r="F4414" s="66" t="str">
        <x:v>TEKNOLOGI PEMBENIHAN IKAN</x:v>
      </x:c>
      <x:c r="G4414" s="66" t="str">
        <x:v>Sarjana Terapan</x:v>
      </x:c>
      <x:c r="H4414" s="87" t="n">
        <x:v>20</x:v>
      </x:c>
      <x:c r="I4414" s="87" t="n">
        <x:v>7</x:v>
      </x:c>
      <x:c r="J4414" s="68" t="n">
        <x:f>IFERROR(H4414/I4414,"")</x:f>
        <x:v>2.857142857142857</x:v>
      </x:c>
      <x:c r="K4414" s="69" t="n">
        <x:f>IFERROR(I4414/H4414,"")</x:f>
        <x:v>0.35</x:v>
      </x:c>
      <x:c r="L4414" s="66" t="str">
        <x:f>IF(K4414="","","1 : "&amp;TEXT(K4414,"0.0"))</x:f>
        <x:v>1 : 0.4</x:v>
      </x:c>
      <x:c r="M4414" s="66" t="str">
        <x:f>IF(J4414="","Baru/Tanpa Data",IF(J4414&lt;='Catatan &amp; Sumber'!$B$14,"Sangat Ketat",IF(J4414&lt;='Catatan &amp; Sumber'!$B$15,"Ketat",IF(J4414&lt;='Catatan &amp; Sumber'!$B$16,"Sedang","Relatif Longgar"))))</x:f>
        <x:v>Relatif Longgar</x:v>
      </x:c>
      <x:c r="N4414" s="66" t="str">
        <x:v>Tidak Ada</x:v>
      </x:c>
      <x:c r="O4414" s="66" t="str">
        <x:v>Sulawesi Selatan</x:v>
      </x:c>
      <x:c r="P4414" s="66" t="str">
        <x:v>Kabupaten Pangkaje</x:v>
      </x:c>
      <x:c r="Q4414" s="66" t="str">
        <x:v>https://snpmb.id/snbp/daya-tampung-snbp</x:v>
      </x:c>
      <x:c r="R4414" s="66" t="str">
        <x:v>https://sidatagrun-public-1076756628210.asia-southeast2.run.app/ptn_sn.php?ptn=717</x:v>
      </x:c>
    </x:row>
    <x:row r="4415">
      <x:c r="A4415" s="87" t="n">
        <x:v>4403</x:v>
      </x:c>
      <x:c r="B4415" s="66" t="n">
        <x:v>717</x:v>
      </x:c>
      <x:c r="C4415" s="66" t="str">
        <x:v>POLITEKNIK PERTANIAN NEGERI PANGKAJENE KEPULAUAN</x:v>
      </x:c>
      <x:c r="D4415" s="66" t="str">
        <x:v>PTN Vokasi</x:v>
      </x:c>
      <x:c r="E4415" s="66" t="str">
        <x:v>27172005</x:v>
      </x:c>
      <x:c r="F4415" s="66" t="str">
        <x:v>TEKNOLOGI PRODUKSI TANAMAN PANGAN</x:v>
      </x:c>
      <x:c r="G4415" s="66" t="str">
        <x:v>Sarjana Terapan</x:v>
      </x:c>
      <x:c r="H4415" s="87" t="n">
        <x:v>17</x:v>
      </x:c>
      <x:c r="I4415" s="87" t="n">
        <x:v>15</x:v>
      </x:c>
      <x:c r="J4415" s="68" t="n">
        <x:f>IFERROR(H4415/I4415,"")</x:f>
        <x:v>1.1333333333333333</x:v>
      </x:c>
      <x:c r="K4415" s="69" t="n">
        <x:f>IFERROR(I4415/H4415,"")</x:f>
        <x:v>0.8823529411764706</x:v>
      </x:c>
      <x:c r="L4415" s="66" t="str">
        <x:f>IF(K4415="","","1 : "&amp;TEXT(K4415,"0.0"))</x:f>
        <x:v>1 : 0.9</x:v>
      </x:c>
      <x:c r="M4415" s="66" t="str">
        <x:f>IF(J4415="","Baru/Tanpa Data",IF(J4415&lt;='Catatan &amp; Sumber'!$B$14,"Sangat Ketat",IF(J4415&lt;='Catatan &amp; Sumber'!$B$15,"Ketat",IF(J4415&lt;='Catatan &amp; Sumber'!$B$16,"Sedang","Relatif Longgar"))))</x:f>
        <x:v>Relatif Longgar</x:v>
      </x:c>
      <x:c r="N4415" s="66" t="str">
        <x:v>Tidak Ada</x:v>
      </x:c>
      <x:c r="O4415" s="66" t="str">
        <x:v>Sulawesi Selatan</x:v>
      </x:c>
      <x:c r="P4415" s="66" t="str">
        <x:v>Kabupaten Pangkaje</x:v>
      </x:c>
      <x:c r="Q4415" s="66" t="str">
        <x:v>https://snpmb.id/snbp/daya-tampung-snbp</x:v>
      </x:c>
      <x:c r="R4415" s="66" t="str">
        <x:v>https://sidatagrun-public-1076756628210.asia-southeast2.run.app/ptn_sn.php?ptn=717</x:v>
      </x:c>
    </x:row>
    <x:row r="4416">
      <x:c r="A4416" s="87" t="n">
        <x:v>4873</x:v>
      </x:c>
      <x:c r="B4416" s="66" t="n">
        <x:v>717</x:v>
      </x:c>
      <x:c r="C4416" s="66" t="str">
        <x:v>POLITEKNIK PERTANIAN NEGERI PANGKAJENE KEPULAUAN</x:v>
      </x:c>
      <x:c r="D4416" s="66" t="str">
        <x:v>PTN Vokasi</x:v>
      </x:c>
      <x:c r="E4416" s="66" t="str">
        <x:v>27172006</x:v>
      </x:c>
      <x:c r="F4416" s="66" t="str">
        <x:v>TEKNOLOGI PAKAN TERNAK</x:v>
      </x:c>
      <x:c r="G4416" s="66" t="str">
        <x:v>Sarjana Terapan</x:v>
      </x:c>
      <x:c r="H4416" s="87" t="n">
        <x:v>14</x:v>
      </x:c>
      <x:c r="I4416" s="87" t="n">
        <x:v>2</x:v>
      </x:c>
      <x:c r="J4416" s="68" t="n">
        <x:f>IFERROR(H4416/I4416,"")</x:f>
        <x:v>7</x:v>
      </x:c>
      <x:c r="K4416" s="69" t="n">
        <x:f>IFERROR(I4416/H4416,"")</x:f>
        <x:v>0.14285714285714285</x:v>
      </x:c>
      <x:c r="L4416" s="66" t="str">
        <x:f>IF(K4416="","","1 : "&amp;TEXT(K4416,"0.0"))</x:f>
        <x:v>1 : 0.1</x:v>
      </x:c>
      <x:c r="M4416" s="66" t="str">
        <x:f>IF(J4416="","Baru/Tanpa Data",IF(J4416&lt;='Catatan &amp; Sumber'!$B$14,"Sangat Ketat",IF(J4416&lt;='Catatan &amp; Sumber'!$B$15,"Ketat",IF(J4416&lt;='Catatan &amp; Sumber'!$B$16,"Sedang","Relatif Longgar"))))</x:f>
        <x:v>Relatif Longgar</x:v>
      </x:c>
      <x:c r="N4416" s="66" t="str">
        <x:v>Tidak Ada</x:v>
      </x:c>
      <x:c r="O4416" s="66" t="str">
        <x:v>Sulawesi Selatan</x:v>
      </x:c>
      <x:c r="P4416" s="66" t="str">
        <x:v>Kabupaten Pangkaje</x:v>
      </x:c>
      <x:c r="Q4416" s="66" t="str">
        <x:v>https://snpmb.id/snbp/daya-tampung-snbp</x:v>
      </x:c>
      <x:c r="R4416" s="66" t="str">
        <x:v>https://sidatagrun-public-1076756628210.asia-southeast2.run.app/ptn_sn.php?ptn=717</x:v>
      </x:c>
    </x:row>
    <x:row r="4417">
      <x:c r="A4417" s="87" t="n">
        <x:v>4576</x:v>
      </x:c>
      <x:c r="B4417" s="66" t="n">
        <x:v>717</x:v>
      </x:c>
      <x:c r="C4417" s="66" t="str">
        <x:v>POLITEKNIK PERTANIAN NEGERI PANGKAJENE KEPULAUAN</x:v>
      </x:c>
      <x:c r="D4417" s="66" t="str">
        <x:v>PTN Vokasi</x:v>
      </x:c>
      <x:c r="E4417" s="66" t="str">
        <x:v>27172007</x:v>
      </x:c>
      <x:c r="F4417" s="66" t="str">
        <x:v>TEKNOLOGI PRODUKSI TANAMAN HORTIKULTURA</x:v>
      </x:c>
      <x:c r="G4417" s="66" t="str">
        <x:v>Sarjana Terapan</x:v>
      </x:c>
      <x:c r="H4417" s="87" t="n">
        <x:v>14</x:v>
      </x:c>
      <x:c r="I4417" s="87" t="n">
        <x:v>9</x:v>
      </x:c>
      <x:c r="J4417" s="68" t="n">
        <x:f>IFERROR(H4417/I4417,"")</x:f>
        <x:v>1.5555555555555556</x:v>
      </x:c>
      <x:c r="K4417" s="69" t="n">
        <x:f>IFERROR(I4417/H4417,"")</x:f>
        <x:v>0.6428571428571429</x:v>
      </x:c>
      <x:c r="L4417" s="66" t="str">
        <x:f>IF(K4417="","","1 : "&amp;TEXT(K4417,"0.0"))</x:f>
        <x:v>1 : 0.6</x:v>
      </x:c>
      <x:c r="M4417" s="66" t="str">
        <x:f>IF(J4417="","Baru/Tanpa Data",IF(J4417&lt;='Catatan &amp; Sumber'!$B$14,"Sangat Ketat",IF(J4417&lt;='Catatan &amp; Sumber'!$B$15,"Ketat",IF(J4417&lt;='Catatan &amp; Sumber'!$B$16,"Sedang","Relatif Longgar"))))</x:f>
        <x:v>Relatif Longgar</x:v>
      </x:c>
      <x:c r="N4417" s="66" t="str">
        <x:v>Tidak Ada</x:v>
      </x:c>
      <x:c r="O4417" s="66" t="str">
        <x:v>Sulawesi Selatan</x:v>
      </x:c>
      <x:c r="P4417" s="66" t="str">
        <x:v>Kabupaten Pangkaje</x:v>
      </x:c>
      <x:c r="Q4417" s="66" t="str">
        <x:v>https://snpmb.id/snbp/daya-tampung-snbp</x:v>
      </x:c>
      <x:c r="R4417" s="66" t="str">
        <x:v>https://sidatagrun-public-1076756628210.asia-southeast2.run.app/ptn_sn.php?ptn=717</x:v>
      </x:c>
    </x:row>
    <x:row r="4418">
      <x:c r="A4418" s="87" t="n">
        <x:v>4752</x:v>
      </x:c>
      <x:c r="B4418" s="66" t="n">
        <x:v>717</x:v>
      </x:c>
      <x:c r="C4418" s="66" t="str">
        <x:v>POLITEKNIK PERTANIAN NEGERI PANGKAJENE KEPULAUAN</x:v>
      </x:c>
      <x:c r="D4418" s="66" t="str">
        <x:v>PTN Vokasi</x:v>
      </x:c>
      <x:c r="E4418" s="66" t="str">
        <x:v>27172008</x:v>
      </x:c>
      <x:c r="F4418" s="66" t="str">
        <x:v>PENGELOLAAN PERKEBUNAN KOPI</x:v>
      </x:c>
      <x:c r="G4418" s="66" t="str">
        <x:v>Sarjana Terapan</x:v>
      </x:c>
      <x:c r="H4418" s="87" t="n">
        <x:v>17</x:v>
      </x:c>
      <x:c r="I4418" s="87" t="n">
        <x:v>6</x:v>
      </x:c>
      <x:c r="J4418" s="68" t="n">
        <x:f>IFERROR(H4418/I4418,"")</x:f>
        <x:v>2.8333333333333335</x:v>
      </x:c>
      <x:c r="K4418" s="69" t="n">
        <x:f>IFERROR(I4418/H4418,"")</x:f>
        <x:v>0.35294117647058826</x:v>
      </x:c>
      <x:c r="L4418" s="66" t="str">
        <x:f>IF(K4418="","","1 : "&amp;TEXT(K4418,"0.0"))</x:f>
        <x:v>1 : 0.4</x:v>
      </x:c>
      <x:c r="M4418" s="66" t="str">
        <x:f>IF(J4418="","Baru/Tanpa Data",IF(J4418&lt;='Catatan &amp; Sumber'!$B$14,"Sangat Ketat",IF(J4418&lt;='Catatan &amp; Sumber'!$B$15,"Ketat",IF(J4418&lt;='Catatan &amp; Sumber'!$B$16,"Sedang","Relatif Longgar"))))</x:f>
        <x:v>Relatif Longgar</x:v>
      </x:c>
      <x:c r="N4418" s="66" t="str">
        <x:v>Tidak Ada</x:v>
      </x:c>
      <x:c r="O4418" s="66" t="str">
        <x:v>Sulawesi Selatan</x:v>
      </x:c>
      <x:c r="P4418" s="66" t="str">
        <x:v>Kabupaten Pangkaje</x:v>
      </x:c>
      <x:c r="Q4418" s="66" t="str">
        <x:v>https://snpmb.id/snbp/daya-tampung-snbp</x:v>
      </x:c>
      <x:c r="R4418" s="66" t="str">
        <x:v>https://sidatagrun-public-1076756628210.asia-southeast2.run.app/ptn_sn.php?ptn=717</x:v>
      </x:c>
    </x:row>
    <x:row r="4419">
      <x:c r="A4419" s="87" t="n">
        <x:v>4453</x:v>
      </x:c>
      <x:c r="B4419" s="66" t="n">
        <x:v>717</x:v>
      </x:c>
      <x:c r="C4419" s="66" t="str">
        <x:v>POLITEKNIK PERTANIAN NEGERI PANGKAJENE KEPULAUAN</x:v>
      </x:c>
      <x:c r="D4419" s="66" t="str">
        <x:v>PTN Vokasi</x:v>
      </x:c>
      <x:c r="E4419" s="66" t="str">
        <x:v>27172009</x:v>
      </x:c>
      <x:c r="F4419" s="66" t="str">
        <x:v>TEKNOLOGI BUDIDAYA PERIKANAN</x:v>
      </x:c>
      <x:c r="G4419" s="66" t="str">
        <x:v>Sarjana Terapan</x:v>
      </x:c>
      <x:c r="H4419" s="87" t="n">
        <x:v>28</x:v>
      </x:c>
      <x:c r="I4419" s="87" t="n">
        <x:v>23</x:v>
      </x:c>
      <x:c r="J4419" s="68" t="n">
        <x:f>IFERROR(H4419/I4419,"")</x:f>
        <x:v>1.2173913043478262</x:v>
      </x:c>
      <x:c r="K4419" s="69" t="n">
        <x:f>IFERROR(I4419/H4419,"")</x:f>
        <x:v>0.8214285714285714</x:v>
      </x:c>
      <x:c r="L4419" s="66" t="str">
        <x:f>IF(K4419="","","1 : "&amp;TEXT(K4419,"0.0"))</x:f>
        <x:v>1 : 0.8</x:v>
      </x:c>
      <x:c r="M4419" s="66" t="str">
        <x:f>IF(J4419="","Baru/Tanpa Data",IF(J4419&lt;='Catatan &amp; Sumber'!$B$14,"Sangat Ketat",IF(J4419&lt;='Catatan &amp; Sumber'!$B$15,"Ketat",IF(J4419&lt;='Catatan &amp; Sumber'!$B$16,"Sedang","Relatif Longgar"))))</x:f>
        <x:v>Relatif Longgar</x:v>
      </x:c>
      <x:c r="N4419" s="66" t="str">
        <x:v>Tidak Ada</x:v>
      </x:c>
      <x:c r="O4419" s="66" t="str">
        <x:v>Sulawesi Selatan</x:v>
      </x:c>
      <x:c r="P4419" s="66" t="str">
        <x:v>Kabupaten Pangkaje</x:v>
      </x:c>
      <x:c r="Q4419" s="66" t="str">
        <x:v>https://snpmb.id/snbp/daya-tampung-snbp</x:v>
      </x:c>
      <x:c r="R4419" s="66" t="str">
        <x:v>https://sidatagrun-public-1076756628210.asia-southeast2.run.app/ptn_sn.php?ptn=717</x:v>
      </x:c>
    </x:row>
    <x:row r="4420">
      <x:c r="A4420" s="87" t="n">
        <x:v>3819</x:v>
      </x:c>
      <x:c r="B4420" s="66" t="n">
        <x:v>717</x:v>
      </x:c>
      <x:c r="C4420" s="66" t="str">
        <x:v>POLITEKNIK PERTANIAN NEGERI PANGKAJENE KEPULAUAN</x:v>
      </x:c>
      <x:c r="D4420" s="66" t="str">
        <x:v>PTN Vokasi</x:v>
      </x:c>
      <x:c r="E4420" s="66" t="str">
        <x:v>27172010</x:v>
      </x:c>
      <x:c r="F4420" s="66" t="str">
        <x:v>TEKNOLOGI PRODUKSI TANAMAN PERKEBUNAN</x:v>
      </x:c>
      <x:c r="G4420" s="66" t="str">
        <x:v>Sarjana Terapan</x:v>
      </x:c>
      <x:c r="H4420" s="87" t="n">
        <x:v>14</x:v>
      </x:c>
      <x:c r="I4420" s="87" t="n">
        <x:v>24</x:v>
      </x:c>
      <x:c r="J4420" s="68" t="n">
        <x:f>IFERROR(H4420/I4420,"")</x:f>
        <x:v>0.5833333333333334</x:v>
      </x:c>
      <x:c r="K4420" s="69" t="n">
        <x:f>IFERROR(I4420/H4420,"")</x:f>
        <x:v>1.7142857142857142</x:v>
      </x:c>
      <x:c r="L4420" s="66" t="str">
        <x:f>IF(K4420="","","1 : "&amp;TEXT(K4420,"0.0"))</x:f>
        <x:v>1 : 1.7</x:v>
      </x:c>
      <x:c r="M4420" s="66" t="str">
        <x:f>IF(J4420="","Baru/Tanpa Data",IF(J4420&lt;='Catatan &amp; Sumber'!$B$14,"Sangat Ketat",IF(J4420&lt;='Catatan &amp; Sumber'!$B$15,"Ketat",IF(J4420&lt;='Catatan &amp; Sumber'!$B$16,"Sedang","Relatif Longgar"))))</x:f>
        <x:v>Relatif Longgar</x:v>
      </x:c>
      <x:c r="N4420" s="66" t="str">
        <x:v>Tidak Ada</x:v>
      </x:c>
      <x:c r="O4420" s="66" t="str">
        <x:v>Sulawesi Selatan</x:v>
      </x:c>
      <x:c r="P4420" s="66" t="str">
        <x:v>Kabupaten Pangkaje</x:v>
      </x:c>
      <x:c r="Q4420" s="66" t="str">
        <x:v>https://snpmb.id/snbp/daya-tampung-snbp</x:v>
      </x:c>
      <x:c r="R4420" s="66" t="str">
        <x:v>https://sidatagrun-public-1076756628210.asia-southeast2.run.app/ptn_sn.php?ptn=717</x:v>
      </x:c>
    </x:row>
    <x:row r="4421">
      <x:c r="A4421" s="87" t="n">
        <x:v>4529</x:v>
      </x:c>
      <x:c r="B4421" s="66" t="n">
        <x:v>717</x:v>
      </x:c>
      <x:c r="C4421" s="66" t="str">
        <x:v>POLITEKNIK PERTANIAN NEGERI PANGKAJENE KEPULAUAN</x:v>
      </x:c>
      <x:c r="D4421" s="66" t="str">
        <x:v>PTN Vokasi</x:v>
      </x:c>
      <x:c r="E4421" s="66" t="str">
        <x:v>27172011</x:v>
      </x:c>
      <x:c r="F4421" s="66" t="str">
        <x:v>PENGOLAHAN DAN PENYIMPANAN HASIL PERIKANAN</x:v>
      </x:c>
      <x:c r="G4421" s="66" t="str">
        <x:v>Sarjana Terapan</x:v>
      </x:c>
      <x:c r="H4421" s="87" t="n">
        <x:v>24</x:v>
      </x:c>
      <x:c r="I4421" s="87" t="n">
        <x:v>17</x:v>
      </x:c>
      <x:c r="J4421" s="68" t="n">
        <x:f>IFERROR(H4421/I4421,"")</x:f>
        <x:v>1.411764705882353</x:v>
      </x:c>
      <x:c r="K4421" s="69" t="n">
        <x:f>IFERROR(I4421/H4421,"")</x:f>
        <x:v>0.7083333333333334</x:v>
      </x:c>
      <x:c r="L4421" s="66" t="str">
        <x:f>IF(K4421="","","1 : "&amp;TEXT(K4421,"0.0"))</x:f>
        <x:v>1 : 0.7</x:v>
      </x:c>
      <x:c r="M4421" s="66" t="str">
        <x:f>IF(J4421="","Baru/Tanpa Data",IF(J4421&lt;='Catatan &amp; Sumber'!$B$14,"Sangat Ketat",IF(J4421&lt;='Catatan &amp; Sumber'!$B$15,"Ketat",IF(J4421&lt;='Catatan &amp; Sumber'!$B$16,"Sedang","Relatif Longgar"))))</x:f>
        <x:v>Relatif Longgar</x:v>
      </x:c>
      <x:c r="N4421" s="66" t="str">
        <x:v>Tidak Ada</x:v>
      </x:c>
      <x:c r="O4421" s="66" t="str">
        <x:v>Sulawesi Selatan</x:v>
      </x:c>
      <x:c r="P4421" s="66" t="str">
        <x:v>Kabupaten Pangkaje</x:v>
      </x:c>
      <x:c r="Q4421" s="66" t="str">
        <x:v>https://snpmb.id/snbp/daya-tampung-snbp</x:v>
      </x:c>
      <x:c r="R4421" s="66" t="str">
        <x:v>https://sidatagrun-public-1076756628210.asia-southeast2.run.app/ptn_sn.php?ptn=717</x:v>
      </x:c>
    </x:row>
    <x:row r="4422">
      <x:c r="A4422" s="87" t="n">
        <x:v>4072</x:v>
      </x:c>
      <x:c r="B4422" s="66" t="n">
        <x:v>717</x:v>
      </x:c>
      <x:c r="C4422" s="66" t="str">
        <x:v>POLITEKNIK PERTANIAN NEGERI PANGKAJENE KEPULAUAN</x:v>
      </x:c>
      <x:c r="D4422" s="66" t="str">
        <x:v>PTN Vokasi</x:v>
      </x:c>
      <x:c r="E4422" s="66" t="str">
        <x:v>27172012</x:v>
      </x:c>
      <x:c r="F4422" s="66" t="str">
        <x:v>AGRIBISNIS PERIKANAN</x:v>
      </x:c>
      <x:c r="G4422" s="66" t="str">
        <x:v>Sarjana Terapan</x:v>
      </x:c>
      <x:c r="H4422" s="87" t="n">
        <x:v>28</x:v>
      </x:c>
      <x:c r="I4422" s="87" t="n">
        <x:v>38</x:v>
      </x:c>
      <x:c r="J4422" s="68" t="n">
        <x:f>IFERROR(H4422/I4422,"")</x:f>
        <x:v>0.7368421052631579</x:v>
      </x:c>
      <x:c r="K4422" s="69" t="n">
        <x:f>IFERROR(I4422/H4422,"")</x:f>
        <x:v>1.3571428571428572</x:v>
      </x:c>
      <x:c r="L4422" s="66" t="str">
        <x:f>IF(K4422="","","1 : "&amp;TEXT(K4422,"0.0"))</x:f>
        <x:v>1 : 1.4</x:v>
      </x:c>
      <x:c r="M4422" s="66" t="str">
        <x:f>IF(J4422="","Baru/Tanpa Data",IF(J4422&lt;='Catatan &amp; Sumber'!$B$14,"Sangat Ketat",IF(J4422&lt;='Catatan &amp; Sumber'!$B$15,"Ketat",IF(J4422&lt;='Catatan &amp; Sumber'!$B$16,"Sedang","Relatif Longgar"))))</x:f>
        <x:v>Relatif Longgar</x:v>
      </x:c>
      <x:c r="N4422" s="66" t="str">
        <x:v>Tidak Ada</x:v>
      </x:c>
      <x:c r="O4422" s="66" t="str">
        <x:v>Sulawesi Selatan</x:v>
      </x:c>
      <x:c r="P4422" s="66" t="str">
        <x:v>Kabupaten Pangkaje</x:v>
      </x:c>
      <x:c r="Q4422" s="66" t="str">
        <x:v>https://snpmb.id/snbp/daya-tampung-snbp</x:v>
      </x:c>
      <x:c r="R4422" s="66" t="str">
        <x:v>https://sidatagrun-public-1076756628210.asia-southeast2.run.app/ptn_sn.php?ptn=717</x:v>
      </x:c>
    </x:row>
    <x:row r="4423">
      <x:c r="A4423" s="87" t="n">
        <x:v>3479</x:v>
      </x:c>
      <x:c r="B4423" s="66" t="n">
        <x:v>717</x:v>
      </x:c>
      <x:c r="C4423" s="66" t="str">
        <x:v>POLITEKNIK PERTANIAN NEGERI PANGKAJENE KEPULAUAN</x:v>
      </x:c>
      <x:c r="D4423" s="66" t="str">
        <x:v>PTN Vokasi</x:v>
      </x:c>
      <x:c r="E4423" s="66" t="str">
        <x:v>27172013</x:v>
      </x:c>
      <x:c r="F4423" s="66" t="str">
        <x:v>ADMINISTRASI BISNIS INTERNASIONAL</x:v>
      </x:c>
      <x:c r="G4423" s="66" t="str">
        <x:v>Sarjana Terapan</x:v>
      </x:c>
      <x:c r="H4423" s="87" t="n">
        <x:v>30</x:v>
      </x:c>
      <x:c r="I4423" s="87" t="n">
        <x:v>70</x:v>
      </x:c>
      <x:c r="J4423" s="68" t="n">
        <x:f>IFERROR(H4423/I4423,"")</x:f>
        <x:v>0.42857142857142855</x:v>
      </x:c>
      <x:c r="K4423" s="69" t="n">
        <x:f>IFERROR(I4423/H4423,"")</x:f>
        <x:v>2.3333333333333335</x:v>
      </x:c>
      <x:c r="L4423" s="66" t="str">
        <x:f>IF(K4423="","","1 : "&amp;TEXT(K4423,"0.0"))</x:f>
        <x:v>1 : 2.3</x:v>
      </x:c>
      <x:c r="M4423" s="66" t="str">
        <x:f>IF(J4423="","Baru/Tanpa Data",IF(J4423&lt;='Catatan &amp; Sumber'!$B$14,"Sangat Ketat",IF(J4423&lt;='Catatan &amp; Sumber'!$B$15,"Ketat",IF(J4423&lt;='Catatan &amp; Sumber'!$B$16,"Sedang","Relatif Longgar"))))</x:f>
        <x:v>Relatif Longgar</x:v>
      </x:c>
      <x:c r="N4423" s="66" t="str">
        <x:v>Tidak Ada</x:v>
      </x:c>
      <x:c r="O4423" s="66" t="str">
        <x:v>Sulawesi Selatan</x:v>
      </x:c>
      <x:c r="P4423" s="66" t="str">
        <x:v>Kabupaten Pangkaje</x:v>
      </x:c>
      <x:c r="Q4423" s="66" t="str">
        <x:v>https://snpmb.id/snbp/daya-tampung-snbp</x:v>
      </x:c>
      <x:c r="R4423" s="66" t="str">
        <x:v>https://sidatagrun-public-1076756628210.asia-southeast2.run.app/ptn_sn.php?ptn=717</x:v>
      </x:c>
    </x:row>
    <x:row r="4424">
      <x:c r="A4424" s="87" t="n">
        <x:v>4020</x:v>
      </x:c>
      <x:c r="B4424" s="66" t="n">
        <x:v>717</x:v>
      </x:c>
      <x:c r="C4424" s="66" t="str">
        <x:v>POLITEKNIK PERTANIAN NEGERI PANGKAJENE KEPULAUAN</x:v>
      </x:c>
      <x:c r="D4424" s="66" t="str">
        <x:v>PTN Vokasi</x:v>
      </x:c>
      <x:c r="E4424" s="66" t="str">
        <x:v>27172020</x:v>
      </x:c>
      <x:c r="F4424" s="66" t="str">
        <x:v>AKUNTANSI BISNIS DIGITAL</x:v>
      </x:c>
      <x:c r="G4424" s="66" t="str">
        <x:v>Sarjana Terapan</x:v>
      </x:c>
      <x:c r="H4424" s="87" t="n">
        <x:v>14</x:v>
      </x:c>
      <x:c r="I4424" s="87" t="n">
        <x:v>20</x:v>
      </x:c>
      <x:c r="J4424" s="68" t="n">
        <x:f>IFERROR(H4424/I4424,"")</x:f>
        <x:v>0.7</x:v>
      </x:c>
      <x:c r="K4424" s="69" t="n">
        <x:f>IFERROR(I4424/H4424,"")</x:f>
        <x:v>1.4285714285714286</x:v>
      </x:c>
      <x:c r="L4424" s="66" t="str">
        <x:f>IF(K4424="","","1 : "&amp;TEXT(K4424,"0.0"))</x:f>
        <x:v>1 : 1.4</x:v>
      </x:c>
      <x:c r="M4424" s="66" t="str">
        <x:f>IF(J4424="","Baru/Tanpa Data",IF(J4424&lt;='Catatan &amp; Sumber'!$B$14,"Sangat Ketat",IF(J4424&lt;='Catatan &amp; Sumber'!$B$15,"Ketat",IF(J4424&lt;='Catatan &amp; Sumber'!$B$16,"Sedang","Relatif Longgar"))))</x:f>
        <x:v>Relatif Longgar</x:v>
      </x:c>
      <x:c r="N4424" s="66" t="str">
        <x:v>Tidak Ada</x:v>
      </x:c>
      <x:c r="O4424" s="66" t="str">
        <x:v>Sulawesi Selatan</x:v>
      </x:c>
      <x:c r="P4424" s="66" t="str">
        <x:v>Kabupaten Pangkaje</x:v>
      </x:c>
      <x:c r="Q4424" s="66" t="str">
        <x:v>https://snpmb.id/snbp/daya-tampung-snbp</x:v>
      </x:c>
      <x:c r="R4424" s="66" t="str">
        <x:v>https://sidatagrun-public-1076756628210.asia-southeast2.run.app/ptn_sn.php?ptn=717</x:v>
      </x:c>
    </x:row>
    <x:row r="4425">
      <x:c r="A4425" s="87" t="n">
        <x:v>4198</x:v>
      </x:c>
      <x:c r="B4425" s="66" t="n">
        <x:v>717</x:v>
      </x:c>
      <x:c r="C4425" s="66" t="str">
        <x:v>POLITEKNIK PERTANIAN NEGERI PANGKAJENE KEPULAUAN</x:v>
      </x:c>
      <x:c r="D4425" s="66" t="str">
        <x:v>PTN Vokasi</x:v>
      </x:c>
      <x:c r="E4425" s="66" t="str">
        <x:v>27173017</x:v>
      </x:c>
      <x:c r="F4425" s="66" t="str">
        <x:v>PENANGKAPAN IKAN</x:v>
      </x:c>
      <x:c r="G4425" s="66" t="str">
        <x:v>Diploma Tiga</x:v>
      </x:c>
      <x:c r="H4425" s="87" t="n">
        <x:v>6</x:v>
      </x:c>
      <x:c r="I4425" s="87" t="n">
        <x:v>7</x:v>
      </x:c>
      <x:c r="J4425" s="68" t="n">
        <x:f>IFERROR(H4425/I4425,"")</x:f>
        <x:v>0.8571428571428571</x:v>
      </x:c>
      <x:c r="K4425" s="69" t="n">
        <x:f>IFERROR(I4425/H4425,"")</x:f>
        <x:v>1.1666666666666667</x:v>
      </x:c>
      <x:c r="L4425" s="66" t="str">
        <x:f>IF(K4425="","","1 : "&amp;TEXT(K4425,"0.0"))</x:f>
        <x:v>1 : 1.2</x:v>
      </x:c>
      <x:c r="M4425" s="66" t="str">
        <x:f>IF(J4425="","Baru/Tanpa Data",IF(J4425&lt;='Catatan &amp; Sumber'!$B$14,"Sangat Ketat",IF(J4425&lt;='Catatan &amp; Sumber'!$B$15,"Ketat",IF(J4425&lt;='Catatan &amp; Sumber'!$B$16,"Sedang","Relatif Longgar"))))</x:f>
        <x:v>Relatif Longgar</x:v>
      </x:c>
      <x:c r="N4425" s="66" t="str">
        <x:v>Tidak Ada</x:v>
      </x:c>
      <x:c r="O4425" s="66" t="str">
        <x:v>Sulawesi Selatan</x:v>
      </x:c>
      <x:c r="P4425" s="66" t="str">
        <x:v>Kabupaten Pangkaje</x:v>
      </x:c>
      <x:c r="Q4425" s="66" t="str">
        <x:v>https://snpmb.id/snbp/daya-tampung-snbp</x:v>
      </x:c>
      <x:c r="R4425" s="66" t="str">
        <x:v>https://sidatagrun-public-1076756628210.asia-southeast2.run.app/ptn_sn.php?ptn=717</x:v>
      </x:c>
    </x:row>
    <x:row r="4426">
      <x:c r="A4426" s="87" t="n">
        <x:v>4627</x:v>
      </x:c>
      <x:c r="B4426" s="66" t="n">
        <x:v>717</x:v>
      </x:c>
      <x:c r="C4426" s="66" t="str">
        <x:v>POLITEKNIK PERTANIAN NEGERI PANGKAJENE KEPULAUAN</x:v>
      </x:c>
      <x:c r="D4426" s="66" t="str">
        <x:v>PTN Vokasi</x:v>
      </x:c>
      <x:c r="E4426" s="66" t="str">
        <x:v>27173018</x:v>
      </x:c>
      <x:c r="F4426" s="66" t="str">
        <x:v>TEKNIK KELAUTAN</x:v>
      </x:c>
      <x:c r="G4426" s="66" t="str">
        <x:v>Diploma Tiga</x:v>
      </x:c>
      <x:c r="H4426" s="87" t="n">
        <x:v>14</x:v>
      </x:c>
      <x:c r="I4426" s="87" t="n">
        <x:v>8</x:v>
      </x:c>
      <x:c r="J4426" s="68" t="n">
        <x:f>IFERROR(H4426/I4426,"")</x:f>
        <x:v>1.75</x:v>
      </x:c>
      <x:c r="K4426" s="69" t="n">
        <x:f>IFERROR(I4426/H4426,"")</x:f>
        <x:v>0.5714285714285714</x:v>
      </x:c>
      <x:c r="L4426" s="66" t="str">
        <x:f>IF(K4426="","","1 : "&amp;TEXT(K4426,"0.0"))</x:f>
        <x:v>1 : 0.6</x:v>
      </x:c>
      <x:c r="M4426" s="66" t="str">
        <x:f>IF(J4426="","Baru/Tanpa Data",IF(J4426&lt;='Catatan &amp; Sumber'!$B$14,"Sangat Ketat",IF(J4426&lt;='Catatan &amp; Sumber'!$B$15,"Ketat",IF(J4426&lt;='Catatan &amp; Sumber'!$B$16,"Sedang","Relatif Longgar"))))</x:f>
        <x:v>Relatif Longgar</x:v>
      </x:c>
      <x:c r="N4426" s="66" t="str">
        <x:v>Tidak Ada</x:v>
      </x:c>
      <x:c r="O4426" s="66" t="str">
        <x:v>Sulawesi Selatan</x:v>
      </x:c>
      <x:c r="P4426" s="66" t="str">
        <x:v>Kabupaten Pangkaje</x:v>
      </x:c>
      <x:c r="Q4426" s="66" t="str">
        <x:v>https://snpmb.id/snbp/daya-tampung-snbp</x:v>
      </x:c>
      <x:c r="R4426" s="66" t="str">
        <x:v>https://sidatagrun-public-1076756628210.asia-southeast2.run.app/ptn_sn.php?ptn=717</x:v>
      </x:c>
    </x:row>
    <x:row r="4427">
      <x:c r="A4427" s="87" t="n">
        <x:v>2965</x:v>
      </x:c>
      <x:c r="B4427" s="66" t="n">
        <x:v>718</x:v>
      </x:c>
      <x:c r="C4427" s="66" t="str">
        <x:v>INSTITUT TEKNOLOGI BJ. HABIBIE SULAWESI SELATAN</x:v>
      </x:c>
      <x:c r="D4427" s="66" t="str">
        <x:v>PTN Akademik</x:v>
      </x:c>
      <x:c r="E4427" s="66" t="str">
        <x:v>17181001</x:v>
      </x:c>
      <x:c r="F4427" s="66" t="str">
        <x:v>ILMU KOMPUTER</x:v>
      </x:c>
      <x:c r="G4427" s="66" t="str">
        <x:v>Sarjana</x:v>
      </x:c>
      <x:c r="H4427" s="87" t="n">
        <x:v>64</x:v>
      </x:c>
      <x:c r="I4427" s="87" t="n">
        <x:v>223</x:v>
      </x:c>
      <x:c r="J4427" s="68" t="n">
        <x:f>IFERROR(H4427/I4427,"")</x:f>
        <x:v>0.28699551569506726</x:v>
      </x:c>
      <x:c r="K4427" s="69" t="n">
        <x:f>IFERROR(I4427/H4427,"")</x:f>
        <x:v>3.484375</x:v>
      </x:c>
      <x:c r="L4427" s="66" t="str">
        <x:f>IF(K4427="","","1 : "&amp;TEXT(K4427,"0.0"))</x:f>
        <x:v>1 : 3.5</x:v>
      </x:c>
      <x:c r="M4427" s="66" t="str">
        <x:f>IF(J4427="","Baru/Tanpa Data",IF(J4427&lt;='Catatan &amp; Sumber'!$B$14,"Sangat Ketat",IF(J4427&lt;='Catatan &amp; Sumber'!$B$15,"Ketat",IF(J4427&lt;='Catatan &amp; Sumber'!$B$16,"Sedang","Relatif Longgar"))))</x:f>
        <x:v>Relatif Longgar</x:v>
      </x:c>
      <x:c r="N4427" s="66" t="str">
        <x:v>Tidak Ada</x:v>
      </x:c>
      <x:c r="O4427" s="66" t="str">
        <x:v>Sulawesi Selatan</x:v>
      </x:c>
      <x:c r="P4427" s="66" t="str">
        <x:v>Kota Parepare</x:v>
      </x:c>
      <x:c r="Q4427" s="66" t="str">
        <x:v>https://snpmb.id/snbp/daya-tampung-snbp</x:v>
      </x:c>
      <x:c r="R4427" s="66" t="str">
        <x:v>https://sidatagrun-public-1076756628210.asia-southeast2.run.app/ptn_sn.php?ptn=718</x:v>
      </x:c>
    </x:row>
    <x:row r="4428">
      <x:c r="A4428" s="87" t="n">
        <x:v>3401</x:v>
      </x:c>
      <x:c r="B4428" s="66" t="n">
        <x:v>718</x:v>
      </x:c>
      <x:c r="C4428" s="66" t="str">
        <x:v>INSTITUT TEKNOLOGI BJ. HABIBIE SULAWESI SELATAN</x:v>
      </x:c>
      <x:c r="D4428" s="66" t="str">
        <x:v>PTN Akademik</x:v>
      </x:c>
      <x:c r="E4428" s="66" t="str">
        <x:v>17181002</x:v>
      </x:c>
      <x:c r="F4428" s="66" t="str">
        <x:v>SISTEM INFORMASI</x:v>
      </x:c>
      <x:c r="G4428" s="66" t="str">
        <x:v>Sarjana</x:v>
      </x:c>
      <x:c r="H4428" s="87" t="n">
        <x:v>64</x:v>
      </x:c>
      <x:c r="I4428" s="87" t="n">
        <x:v>159</x:v>
      </x:c>
      <x:c r="J4428" s="68" t="n">
        <x:f>IFERROR(H4428/I4428,"")</x:f>
        <x:v>0.4025157232704403</x:v>
      </x:c>
      <x:c r="K4428" s="69" t="n">
        <x:f>IFERROR(I4428/H4428,"")</x:f>
        <x:v>2.484375</x:v>
      </x:c>
      <x:c r="L4428" s="66" t="str">
        <x:f>IF(K4428="","","1 : "&amp;TEXT(K4428,"0.0"))</x:f>
        <x:v>1 : 2.5</x:v>
      </x:c>
      <x:c r="M4428" s="66" t="str">
        <x:f>IF(J4428="","Baru/Tanpa Data",IF(J4428&lt;='Catatan &amp; Sumber'!$B$14,"Sangat Ketat",IF(J4428&lt;='Catatan &amp; Sumber'!$B$15,"Ketat",IF(J4428&lt;='Catatan &amp; Sumber'!$B$16,"Sedang","Relatif Longgar"))))</x:f>
        <x:v>Relatif Longgar</x:v>
      </x:c>
      <x:c r="N4428" s="66" t="str">
        <x:v>Tidak Ada</x:v>
      </x:c>
      <x:c r="O4428" s="66" t="str">
        <x:v>Sulawesi Selatan</x:v>
      </x:c>
      <x:c r="P4428" s="66" t="str">
        <x:v>Kota Parepare</x:v>
      </x:c>
      <x:c r="Q4428" s="66" t="str">
        <x:v>https://snpmb.id/snbp/daya-tampung-snbp</x:v>
      </x:c>
      <x:c r="R4428" s="66" t="str">
        <x:v>https://sidatagrun-public-1076756628210.asia-southeast2.run.app/ptn_sn.php?ptn=718</x:v>
      </x:c>
    </x:row>
    <x:row r="4429">
      <x:c r="A4429" s="87" t="n">
        <x:v>4135</x:v>
      </x:c>
      <x:c r="B4429" s="66" t="n">
        <x:v>718</x:v>
      </x:c>
      <x:c r="C4429" s="66" t="str">
        <x:v>INSTITUT TEKNOLOGI BJ. HABIBIE SULAWESI SELATAN</x:v>
      </x:c>
      <x:c r="D4429" s="66" t="str">
        <x:v>PTN Akademik</x:v>
      </x:c>
      <x:c r="E4429" s="66" t="str">
        <x:v>17181003</x:v>
      </x:c>
      <x:c r="F4429" s="66" t="str">
        <x:v>MATEMATIKA</x:v>
      </x:c>
      <x:c r="G4429" s="66" t="str">
        <x:v>Sarjana</x:v>
      </x:c>
      <x:c r="H4429" s="87" t="n">
        <x:v>12</x:v>
      </x:c>
      <x:c r="I4429" s="87" t="n">
        <x:v>15</x:v>
      </x:c>
      <x:c r="J4429" s="68" t="n">
        <x:f>IFERROR(H4429/I4429,"")</x:f>
        <x:v>0.8</x:v>
      </x:c>
      <x:c r="K4429" s="69" t="n">
        <x:f>IFERROR(I4429/H4429,"")</x:f>
        <x:v>1.25</x:v>
      </x:c>
      <x:c r="L4429" s="66" t="str">
        <x:f>IF(K4429="","","1 : "&amp;TEXT(K4429,"0.0"))</x:f>
        <x:v>1 : 1.3</x:v>
      </x:c>
      <x:c r="M4429" s="66" t="str">
        <x:f>IF(J4429="","Baru/Tanpa Data",IF(J4429&lt;='Catatan &amp; Sumber'!$B$14,"Sangat Ketat",IF(J4429&lt;='Catatan &amp; Sumber'!$B$15,"Ketat",IF(J4429&lt;='Catatan &amp; Sumber'!$B$16,"Sedang","Relatif Longgar"))))</x:f>
        <x:v>Relatif Longgar</x:v>
      </x:c>
      <x:c r="N4429" s="66" t="str">
        <x:v>Tidak Ada</x:v>
      </x:c>
      <x:c r="O4429" s="66" t="str">
        <x:v>Sulawesi Selatan</x:v>
      </x:c>
      <x:c r="P4429" s="66" t="str">
        <x:v>Kota Parepare</x:v>
      </x:c>
      <x:c r="Q4429" s="66" t="str">
        <x:v>https://snpmb.id/snbp/daya-tampung-snbp</x:v>
      </x:c>
      <x:c r="R4429" s="66" t="str">
        <x:v>https://sidatagrun-public-1076756628210.asia-southeast2.run.app/ptn_sn.php?ptn=718</x:v>
      </x:c>
    </x:row>
    <x:row r="4430">
      <x:c r="A4430" s="87" t="n">
        <x:v>3748</x:v>
      </x:c>
      <x:c r="B4430" s="66" t="n">
        <x:v>718</x:v>
      </x:c>
      <x:c r="C4430" s="66" t="str">
        <x:v>INSTITUT TEKNOLOGI BJ. HABIBIE SULAWESI SELATAN</x:v>
      </x:c>
      <x:c r="D4430" s="66" t="str">
        <x:v>PTN Akademik</x:v>
      </x:c>
      <x:c r="E4430" s="66" t="str">
        <x:v>17181004</x:v>
      </x:c>
      <x:c r="F4430" s="66" t="str">
        <x:v>TEKNOLOGI PANGAN</x:v>
      </x:c>
      <x:c r="G4430" s="66" t="str">
        <x:v>Sarjana</x:v>
      </x:c>
      <x:c r="H4430" s="87" t="n">
        <x:v>32</x:v>
      </x:c>
      <x:c r="I4430" s="87" t="n">
        <x:v>59</x:v>
      </x:c>
      <x:c r="J4430" s="68" t="n">
        <x:f>IFERROR(H4430/I4430,"")</x:f>
        <x:v>0.5423728813559322</x:v>
      </x:c>
      <x:c r="K4430" s="69" t="n">
        <x:f>IFERROR(I4430/H4430,"")</x:f>
        <x:v>1.84375</x:v>
      </x:c>
      <x:c r="L4430" s="66" t="str">
        <x:f>IF(K4430="","","1 : "&amp;TEXT(K4430,"0.0"))</x:f>
        <x:v>1 : 1.8</x:v>
      </x:c>
      <x:c r="M4430" s="66" t="str">
        <x:f>IF(J4430="","Baru/Tanpa Data",IF(J4430&lt;='Catatan &amp; Sumber'!$B$14,"Sangat Ketat",IF(J4430&lt;='Catatan &amp; Sumber'!$B$15,"Ketat",IF(J4430&lt;='Catatan &amp; Sumber'!$B$16,"Sedang","Relatif Longgar"))))</x:f>
        <x:v>Relatif Longgar</x:v>
      </x:c>
      <x:c r="N4430" s="66" t="str">
        <x:v>Tidak Ada</x:v>
      </x:c>
      <x:c r="O4430" s="66" t="str">
        <x:v>Sulawesi Selatan</x:v>
      </x:c>
      <x:c r="P4430" s="66" t="str">
        <x:v>Kota Parepare</x:v>
      </x:c>
      <x:c r="Q4430" s="66" t="str">
        <x:v>https://snpmb.id/snbp/daya-tampung-snbp</x:v>
      </x:c>
      <x:c r="R4430" s="66" t="str">
        <x:v>https://sidatagrun-public-1076756628210.asia-southeast2.run.app/ptn_sn.php?ptn=718</x:v>
      </x:c>
    </x:row>
    <x:row r="4431">
      <x:c r="A4431" s="87" t="n">
        <x:v>4228</x:v>
      </x:c>
      <x:c r="B4431" s="66" t="n">
        <x:v>718</x:v>
      </x:c>
      <x:c r="C4431" s="66" t="str">
        <x:v>INSTITUT TEKNOLOGI BJ. HABIBIE SULAWESI SELATAN</x:v>
      </x:c>
      <x:c r="D4431" s="66" t="str">
        <x:v>PTN Akademik</x:v>
      </x:c>
      <x:c r="E4431" s="66" t="str">
        <x:v>17181005</x:v>
      </x:c>
      <x:c r="F4431" s="66" t="str">
        <x:v>SAINS DATA</x:v>
      </x:c>
      <x:c r="G4431" s="66" t="str">
        <x:v>Sarjana</x:v>
      </x:c>
      <x:c r="H4431" s="87" t="n">
        <x:v>24</x:v>
      </x:c>
      <x:c r="I4431" s="87" t="n">
        <x:v>27</x:v>
      </x:c>
      <x:c r="J4431" s="68" t="n">
        <x:f>IFERROR(H4431/I4431,"")</x:f>
        <x:v>0.8888888888888888</x:v>
      </x:c>
      <x:c r="K4431" s="69" t="n">
        <x:f>IFERROR(I4431/H4431,"")</x:f>
        <x:v>1.125</x:v>
      </x:c>
      <x:c r="L4431" s="66" t="str">
        <x:f>IF(K4431="","","1 : "&amp;TEXT(K4431,"0.0"))</x:f>
        <x:v>1 : 1.1</x:v>
      </x:c>
      <x:c r="M4431" s="66" t="str">
        <x:f>IF(J4431="","Baru/Tanpa Data",IF(J4431&lt;='Catatan &amp; Sumber'!$B$14,"Sangat Ketat",IF(J4431&lt;='Catatan &amp; Sumber'!$B$15,"Ketat",IF(J4431&lt;='Catatan &amp; Sumber'!$B$16,"Sedang","Relatif Longgar"))))</x:f>
        <x:v>Relatif Longgar</x:v>
      </x:c>
      <x:c r="N4431" s="66" t="str">
        <x:v>Tidak Ada</x:v>
      </x:c>
      <x:c r="O4431" s="66" t="str">
        <x:v>Sulawesi Selatan</x:v>
      </x:c>
      <x:c r="P4431" s="66" t="str">
        <x:v>Kota Parepare</x:v>
      </x:c>
      <x:c r="Q4431" s="66" t="str">
        <x:v>https://snpmb.id/snbp/daya-tampung-snbp</x:v>
      </x:c>
      <x:c r="R4431" s="66" t="str">
        <x:v>https://sidatagrun-public-1076756628210.asia-southeast2.run.app/ptn_sn.php?ptn=718</x:v>
      </x:c>
    </x:row>
    <x:row r="4432">
      <x:c r="A4432" s="87" t="n">
        <x:v>4289</x:v>
      </x:c>
      <x:c r="B4432" s="66" t="n">
        <x:v>718</x:v>
      </x:c>
      <x:c r="C4432" s="66" t="str">
        <x:v>INSTITUT TEKNOLOGI BJ. HABIBIE SULAWESI SELATAN</x:v>
      </x:c>
      <x:c r="D4432" s="66" t="str">
        <x:v>PTN Akademik</x:v>
      </x:c>
      <x:c r="E4432" s="66" t="str">
        <x:v>17181006</x:v>
      </x:c>
      <x:c r="F4432" s="66" t="str">
        <x:v>SAINS AKTUARIA</x:v>
      </x:c>
      <x:c r="G4432" s="66" t="str">
        <x:v>Sarjana</x:v>
      </x:c>
      <x:c r="H4432" s="87" t="n">
        <x:v>24</x:v>
      </x:c>
      <x:c r="I4432" s="87" t="n">
        <x:v>25</x:v>
      </x:c>
      <x:c r="J4432" s="68" t="n">
        <x:f>IFERROR(H4432/I4432,"")</x:f>
        <x:v>0.96</x:v>
      </x:c>
      <x:c r="K4432" s="69" t="n">
        <x:f>IFERROR(I4432/H4432,"")</x:f>
        <x:v>1.0416666666666667</x:v>
      </x:c>
      <x:c r="L4432" s="66" t="str">
        <x:f>IF(K4432="","","1 : "&amp;TEXT(K4432,"0.0"))</x:f>
        <x:v>1 : 1.0</x:v>
      </x:c>
      <x:c r="M4432" s="66" t="str">
        <x:f>IF(J4432="","Baru/Tanpa Data",IF(J4432&lt;='Catatan &amp; Sumber'!$B$14,"Sangat Ketat",IF(J4432&lt;='Catatan &amp; Sumber'!$B$15,"Ketat",IF(J4432&lt;='Catatan &amp; Sumber'!$B$16,"Sedang","Relatif Longgar"))))</x:f>
        <x:v>Relatif Longgar</x:v>
      </x:c>
      <x:c r="N4432" s="66" t="str">
        <x:v>Tidak Ada</x:v>
      </x:c>
      <x:c r="O4432" s="66" t="str">
        <x:v>Sulawesi Selatan</x:v>
      </x:c>
      <x:c r="P4432" s="66" t="str">
        <x:v>Kota Parepare</x:v>
      </x:c>
      <x:c r="Q4432" s="66" t="str">
        <x:v>https://snpmb.id/snbp/daya-tampung-snbp</x:v>
      </x:c>
      <x:c r="R4432" s="66" t="str">
        <x:v>https://sidatagrun-public-1076756628210.asia-southeast2.run.app/ptn_sn.php?ptn=718</x:v>
      </x:c>
    </x:row>
    <x:row r="4433">
      <x:c r="A4433" s="87" t="n">
        <x:v>4349</x:v>
      </x:c>
      <x:c r="B4433" s="66" t="n">
        <x:v>718</x:v>
      </x:c>
      <x:c r="C4433" s="66" t="str">
        <x:v>INSTITUT TEKNOLOGI BJ. HABIBIE SULAWESI SELATAN</x:v>
      </x:c>
      <x:c r="D4433" s="66" t="str">
        <x:v>PTN Akademik</x:v>
      </x:c>
      <x:c r="E4433" s="66" t="str">
        <x:v>17181007</x:v>
      </x:c>
      <x:c r="F4433" s="66" t="str">
        <x:v>TEKNIK SISTEM ENERGI</x:v>
      </x:c>
      <x:c r="G4433" s="66" t="str">
        <x:v>Sarjana</x:v>
      </x:c>
      <x:c r="H4433" s="87" t="n">
        <x:v>24</x:v>
      </x:c>
      <x:c r="I4433" s="87" t="n">
        <x:v>23</x:v>
      </x:c>
      <x:c r="J4433" s="68" t="n">
        <x:f>IFERROR(H4433/I4433,"")</x:f>
        <x:v>1.0434782608695652</x:v>
      </x:c>
      <x:c r="K4433" s="69" t="n">
        <x:f>IFERROR(I4433/H4433,"")</x:f>
        <x:v>0.9583333333333334</x:v>
      </x:c>
      <x:c r="L4433" s="66" t="str">
        <x:f>IF(K4433="","","1 : "&amp;TEXT(K4433,"0.0"))</x:f>
        <x:v>1 : 1.0</x:v>
      </x:c>
      <x:c r="M4433" s="66" t="str">
        <x:f>IF(J4433="","Baru/Tanpa Data",IF(J4433&lt;='Catatan &amp; Sumber'!$B$14,"Sangat Ketat",IF(J4433&lt;='Catatan &amp; Sumber'!$B$15,"Ketat",IF(J4433&lt;='Catatan &amp; Sumber'!$B$16,"Sedang","Relatif Longgar"))))</x:f>
        <x:v>Relatif Longgar</x:v>
      </x:c>
      <x:c r="N4433" s="66" t="str">
        <x:v>Tidak Ada</x:v>
      </x:c>
      <x:c r="O4433" s="66" t="str">
        <x:v>Sulawesi Selatan</x:v>
      </x:c>
      <x:c r="P4433" s="66" t="str">
        <x:v>Kota Parepare</x:v>
      </x:c>
      <x:c r="Q4433" s="66" t="str">
        <x:v>https://snpmb.id/snbp/daya-tampung-snbp</x:v>
      </x:c>
      <x:c r="R4433" s="66" t="str">
        <x:v>https://sidatagrun-public-1076756628210.asia-southeast2.run.app/ptn_sn.php?ptn=718</x:v>
      </x:c>
    </x:row>
    <x:row r="4434">
      <x:c r="A4434" s="87" t="n">
        <x:v>3455</x:v>
      </x:c>
      <x:c r="B4434" s="66" t="n">
        <x:v>718</x:v>
      </x:c>
      <x:c r="C4434" s="66" t="str">
        <x:v>INSTITUT TEKNOLOGI BJ. HABIBIE SULAWESI SELATAN</x:v>
      </x:c>
      <x:c r="D4434" s="66" t="str">
        <x:v>PTN Akademik</x:v>
      </x:c>
      <x:c r="E4434" s="66" t="str">
        <x:v>17181008</x:v>
      </x:c>
      <x:c r="F4434" s="66" t="str">
        <x:v>TEKNIK METALURGI</x:v>
      </x:c>
      <x:c r="G4434" s="66" t="str">
        <x:v>Sarjana</x:v>
      </x:c>
      <x:c r="H4434" s="87" t="n">
        <x:v>24</x:v>
      </x:c>
      <x:c r="I4434" s="87" t="n">
        <x:v>57</x:v>
      </x:c>
      <x:c r="J4434" s="68" t="n">
        <x:f>IFERROR(H4434/I4434,"")</x:f>
        <x:v>0.42105263157894735</x:v>
      </x:c>
      <x:c r="K4434" s="69" t="n">
        <x:f>IFERROR(I4434/H4434,"")</x:f>
        <x:v>2.375</x:v>
      </x:c>
      <x:c r="L4434" s="66" t="str">
        <x:f>IF(K4434="","","1 : "&amp;TEXT(K4434,"0.0"))</x:f>
        <x:v>1 : 2.4</x:v>
      </x:c>
      <x:c r="M4434" s="66" t="str">
        <x:f>IF(J4434="","Baru/Tanpa Data",IF(J4434&lt;='Catatan &amp; Sumber'!$B$14,"Sangat Ketat",IF(J4434&lt;='Catatan &amp; Sumber'!$B$15,"Ketat",IF(J4434&lt;='Catatan &amp; Sumber'!$B$16,"Sedang","Relatif Longgar"))))</x:f>
        <x:v>Relatif Longgar</x:v>
      </x:c>
      <x:c r="N4434" s="66" t="str">
        <x:v>Tidak Ada</x:v>
      </x:c>
      <x:c r="O4434" s="66" t="str">
        <x:v>Sulawesi Selatan</x:v>
      </x:c>
      <x:c r="P4434" s="66" t="str">
        <x:v>Kota Parepare</x:v>
      </x:c>
      <x:c r="Q4434" s="66" t="str">
        <x:v>https://snpmb.id/snbp/daya-tampung-snbp</x:v>
      </x:c>
      <x:c r="R4434" s="66" t="str">
        <x:v>https://sidatagrun-public-1076756628210.asia-southeast2.run.app/ptn_sn.php?ptn=718</x:v>
      </x:c>
    </x:row>
    <x:row r="4435">
      <x:c r="A4435" s="87" t="n">
        <x:v>3713</x:v>
      </x:c>
      <x:c r="B4435" s="66" t="n">
        <x:v>718</x:v>
      </x:c>
      <x:c r="C4435" s="66" t="str">
        <x:v>INSTITUT TEKNOLOGI BJ. HABIBIE SULAWESI SELATAN</x:v>
      </x:c>
      <x:c r="D4435" s="66" t="str">
        <x:v>PTN Akademik</x:v>
      </x:c>
      <x:c r="E4435" s="66" t="str">
        <x:v>17181009</x:v>
      </x:c>
      <x:c r="F4435" s="66" t="str">
        <x:v>BIOTEKNOLOGI</x:v>
      </x:c>
      <x:c r="G4435" s="66" t="str">
        <x:v>Sarjana</x:v>
      </x:c>
      <x:c r="H4435" s="87" t="n">
        <x:v>24</x:v>
      </x:c>
      <x:c r="I4435" s="87" t="n">
        <x:v>46</x:v>
      </x:c>
      <x:c r="J4435" s="68" t="n">
        <x:f>IFERROR(H4435/I4435,"")</x:f>
        <x:v>0.5217391304347826</x:v>
      </x:c>
      <x:c r="K4435" s="69" t="n">
        <x:f>IFERROR(I4435/H4435,"")</x:f>
        <x:v>1.9166666666666667</x:v>
      </x:c>
      <x:c r="L4435" s="66" t="str">
        <x:f>IF(K4435="","","1 : "&amp;TEXT(K4435,"0.0"))</x:f>
        <x:v>1 : 1.9</x:v>
      </x:c>
      <x:c r="M4435" s="66" t="str">
        <x:f>IF(J4435="","Baru/Tanpa Data",IF(J4435&lt;='Catatan &amp; Sumber'!$B$14,"Sangat Ketat",IF(J4435&lt;='Catatan &amp; Sumber'!$B$15,"Ketat",IF(J4435&lt;='Catatan &amp; Sumber'!$B$16,"Sedang","Relatif Longgar"))))</x:f>
        <x:v>Relatif Longgar</x:v>
      </x:c>
      <x:c r="N4435" s="66" t="str">
        <x:v>Tidak Ada</x:v>
      </x:c>
      <x:c r="O4435" s="66" t="str">
        <x:v>Sulawesi Selatan</x:v>
      </x:c>
      <x:c r="P4435" s="66" t="str">
        <x:v>Kota Parepare</x:v>
      </x:c>
      <x:c r="Q4435" s="66" t="str">
        <x:v>https://snpmb.id/snbp/daya-tampung-snbp</x:v>
      </x:c>
      <x:c r="R4435" s="66" t="str">
        <x:v>https://sidatagrun-public-1076756628210.asia-southeast2.run.app/ptn_sn.php?ptn=718</x:v>
      </x:c>
    </x:row>
    <x:row r="4436">
      <x:c r="A4436" s="87" t="n">
        <x:v>3368</x:v>
      </x:c>
      <x:c r="B4436" s="66" t="n">
        <x:v>718</x:v>
      </x:c>
      <x:c r="C4436" s="66" t="str">
        <x:v>INSTITUT TEKNOLOGI BJ. HABIBIE SULAWESI SELATAN</x:v>
      </x:c>
      <x:c r="D4436" s="66" t="str">
        <x:v>PTN Akademik</x:v>
      </x:c>
      <x:c r="E4436" s="66" t="str">
        <x:v>17181010</x:v>
      </x:c>
      <x:c r="F4436" s="66" t="str">
        <x:v>TEKNIK SIPIL</x:v>
      </x:c>
      <x:c r="G4436" s="66" t="str">
        <x:v>Sarjana</x:v>
      </x:c>
      <x:c r="H4436" s="87" t="n">
        <x:v>32</x:v>
      </x:c>
      <x:c r="I4436" s="87" t="n">
        <x:v>82</x:v>
      </x:c>
      <x:c r="J4436" s="68" t="n">
        <x:f>IFERROR(H4436/I4436,"")</x:f>
        <x:v>0.3902439024390244</x:v>
      </x:c>
      <x:c r="K4436" s="69" t="n">
        <x:f>IFERROR(I4436/H4436,"")</x:f>
        <x:v>2.5625</x:v>
      </x:c>
      <x:c r="L4436" s="66" t="str">
        <x:f>IF(K4436="","","1 : "&amp;TEXT(K4436,"0.0"))</x:f>
        <x:v>1 : 2.6</x:v>
      </x:c>
      <x:c r="M4436" s="66" t="str">
        <x:f>IF(J4436="","Baru/Tanpa Data",IF(J4436&lt;='Catatan &amp; Sumber'!$B$14,"Sangat Ketat",IF(J4436&lt;='Catatan &amp; Sumber'!$B$15,"Ketat",IF(J4436&lt;='Catatan &amp; Sumber'!$B$16,"Sedang","Relatif Longgar"))))</x:f>
        <x:v>Relatif Longgar</x:v>
      </x:c>
      <x:c r="N4436" s="66" t="str">
        <x:v>Tidak Ada</x:v>
      </x:c>
      <x:c r="O4436" s="66" t="str">
        <x:v>Sulawesi Selatan</x:v>
      </x:c>
      <x:c r="P4436" s="66" t="str">
        <x:v>Kota Parepare</x:v>
      </x:c>
      <x:c r="Q4436" s="66" t="str">
        <x:v>https://snpmb.id/snbp/daya-tampung-snbp</x:v>
      </x:c>
      <x:c r="R4436" s="66" t="str">
        <x:v>https://sidatagrun-public-1076756628210.asia-southeast2.run.app/ptn_sn.php?ptn=718</x:v>
      </x:c>
    </x:row>
    <x:row r="4437">
      <x:c r="A4437" s="87" t="n">
        <x:v>4116</x:v>
      </x:c>
      <x:c r="B4437" s="66" t="n">
        <x:v>718</x:v>
      </x:c>
      <x:c r="C4437" s="66" t="str">
        <x:v>INSTITUT TEKNOLOGI BJ. HABIBIE SULAWESI SELATAN</x:v>
      </x:c>
      <x:c r="D4437" s="66" t="str">
        <x:v>PTN Akademik</x:v>
      </x:c>
      <x:c r="E4437" s="66" t="str">
        <x:v>17181011</x:v>
      </x:c>
      <x:c r="F4437" s="66" t="str">
        <x:v>ARSITEKTUR</x:v>
      </x:c>
      <x:c r="G4437" s="66" t="str">
        <x:v>Sarjana</x:v>
      </x:c>
      <x:c r="H4437" s="87" t="n">
        <x:v>24</x:v>
      </x:c>
      <x:c r="I4437" s="87" t="n">
        <x:v>31</x:v>
      </x:c>
      <x:c r="J4437" s="68" t="n">
        <x:f>IFERROR(H4437/I4437,"")</x:f>
        <x:v>0.7741935483870968</x:v>
      </x:c>
      <x:c r="K4437" s="69" t="n">
        <x:f>IFERROR(I4437/H4437,"")</x:f>
        <x:v>1.2916666666666667</x:v>
      </x:c>
      <x:c r="L4437" s="66" t="str">
        <x:f>IF(K4437="","","1 : "&amp;TEXT(K4437,"0.0"))</x:f>
        <x:v>1 : 1.3</x:v>
      </x:c>
      <x:c r="M4437" s="66" t="str">
        <x:f>IF(J4437="","Baru/Tanpa Data",IF(J4437&lt;='Catatan &amp; Sumber'!$B$14,"Sangat Ketat",IF(J4437&lt;='Catatan &amp; Sumber'!$B$15,"Ketat",IF(J4437&lt;='Catatan &amp; Sumber'!$B$16,"Sedang","Relatif Longgar"))))</x:f>
        <x:v>Relatif Longgar</x:v>
      </x:c>
      <x:c r="N4437" s="66" t="str">
        <x:v>Tidak Ada</x:v>
      </x:c>
      <x:c r="O4437" s="66" t="str">
        <x:v>Sulawesi Selatan</x:v>
      </x:c>
      <x:c r="P4437" s="66" t="str">
        <x:v>Kota Parepare</x:v>
      </x:c>
      <x:c r="Q4437" s="66" t="str">
        <x:v>https://snpmb.id/snbp/daya-tampung-snbp</x:v>
      </x:c>
      <x:c r="R4437" s="66" t="str">
        <x:v>https://sidatagrun-public-1076756628210.asia-southeast2.run.app/ptn_sn.php?ptn=718</x:v>
      </x:c>
    </x:row>
    <x:row r="4438">
      <x:c r="A4438" s="87"/>
      <x:c r="B4438" s="66" t="n">
        <x:v>718</x:v>
      </x:c>
      <x:c r="C4438" s="66" t="str">
        <x:v>INSTITUT TEKNOLOGI BJ. HABIBIE SULAWESI SELATAN</x:v>
      </x:c>
      <x:c r="D4438" s="66" t="str">
        <x:v>PTN Akademik</x:v>
      </x:c>
      <x:c r="E4438" s="66" t="str">
        <x:v>17181012</x:v>
      </x:c>
      <x:c r="F4438" s="66" t="str">
        <x:v>TEKNIK PERKAPALAN</x:v>
      </x:c>
      <x:c r="G4438" s="66" t="str">
        <x:v>Sarjana</x:v>
      </x:c>
      <x:c r="H4438" s="87" t="n">
        <x:v>24</x:v>
      </x:c>
      <x:c r="I4438" s="87"/>
      <x:c r="J4438" s="68" t="str">
        <x:f>IFERROR(H4438/I4438,"")</x:f>
      </x:c>
      <x:c r="K4438" s="69" t="n">
        <x:f>IFERROR(I4438/H4438,"")</x:f>
        <x:v>0</x:v>
      </x:c>
      <x:c r="L4438" s="66" t="str">
        <x:f>IF(K4438="","","1 : "&amp;TEXT(K4438,"0.0"))</x:f>
      </x:c>
      <x:c r="M4438" s="66" t="str">
        <x:f>IF(J4438="","Baru/Tanpa Data",IF(J4438&lt;='Catatan &amp; Sumber'!$B$14,"Sangat Ketat",IF(J4438&lt;='Catatan &amp; Sumber'!$B$15,"Ketat",IF(J4438&lt;='Catatan &amp; Sumber'!$B$16,"Sedang","Relatif Longgar"))))</x:f>
        <x:v>Baru/Tanpa Data</x:v>
      </x:c>
      <x:c r="N4438" s="66" t="str">
        <x:v>Tidak Ada</x:v>
      </x:c>
      <x:c r="O4438" s="66" t="str">
        <x:v>Sulawesi Selatan</x:v>
      </x:c>
      <x:c r="P4438" s="66" t="str">
        <x:v>Kota Parepare</x:v>
      </x:c>
      <x:c r="Q4438" s="66" t="str">
        <x:v>https://snpmb.id/snbp/daya-tampung-snbp</x:v>
      </x:c>
      <x:c r="R4438" s="66" t="str">
        <x:v>https://sidatagrun-public-1076756628210.asia-southeast2.run.app/ptn_sn.php?ptn=718</x:v>
      </x:c>
    </x:row>
    <x:row r="4439">
      <x:c r="A4439" s="87"/>
      <x:c r="B4439" s="66" t="n">
        <x:v>718</x:v>
      </x:c>
      <x:c r="C4439" s="66" t="str">
        <x:v>INSTITUT TEKNOLOGI BJ. HABIBIE SULAWESI SELATAN</x:v>
      </x:c>
      <x:c r="D4439" s="66" t="str">
        <x:v>PTN Akademik</x:v>
      </x:c>
      <x:c r="E4439" s="66" t="str">
        <x:v>17181013</x:v>
      </x:c>
      <x:c r="F4439" s="66" t="str">
        <x:v>TEKNIK ROBOTIKA DAN KECERDASAN BUATAN</x:v>
      </x:c>
      <x:c r="G4439" s="66" t="str">
        <x:v>Sarjana</x:v>
      </x:c>
      <x:c r="H4439" s="87" t="n">
        <x:v>28</x:v>
      </x:c>
      <x:c r="I4439" s="87"/>
      <x:c r="J4439" s="68" t="str">
        <x:f>IFERROR(H4439/I4439,"")</x:f>
      </x:c>
      <x:c r="K4439" s="69" t="n">
        <x:f>IFERROR(I4439/H4439,"")</x:f>
        <x:v>0</x:v>
      </x:c>
      <x:c r="L4439" s="66" t="str">
        <x:f>IF(K4439="","","1 : "&amp;TEXT(K4439,"0.0"))</x:f>
      </x:c>
      <x:c r="M4439" s="66" t="str">
        <x:f>IF(J4439="","Baru/Tanpa Data",IF(J4439&lt;='Catatan &amp; Sumber'!$B$14,"Sangat Ketat",IF(J4439&lt;='Catatan &amp; Sumber'!$B$15,"Ketat",IF(J4439&lt;='Catatan &amp; Sumber'!$B$16,"Sedang","Relatif Longgar"))))</x:f>
        <x:v>Baru/Tanpa Data</x:v>
      </x:c>
      <x:c r="N4439" s="66" t="str">
        <x:v>Tidak Ada</x:v>
      </x:c>
      <x:c r="O4439" s="66" t="str">
        <x:v>Sulawesi Selatan</x:v>
      </x:c>
      <x:c r="P4439" s="66" t="str">
        <x:v>Kota Parepare</x:v>
      </x:c>
      <x:c r="Q4439" s="66" t="str">
        <x:v>https://snpmb.id/snbp/daya-tampung-snbp</x:v>
      </x:c>
      <x:c r="R4439" s="66" t="str">
        <x:v>https://sidatagrun-public-1076756628210.asia-southeast2.run.app/ptn_sn.php?ptn=718</x:v>
      </x:c>
    </x:row>
    <x:row r="4440">
      <x:c r="A4440" s="87"/>
      <x:c r="B4440" s="66" t="n">
        <x:v>718</x:v>
      </x:c>
      <x:c r="C4440" s="66" t="str">
        <x:v>INSTITUT TEKNOLOGI BJ. HABIBIE SULAWESI SELATAN</x:v>
      </x:c>
      <x:c r="D4440" s="66" t="str">
        <x:v>PTN Akademik</x:v>
      </x:c>
      <x:c r="E4440" s="66" t="str">
        <x:v>17181014</x:v>
      </x:c>
      <x:c r="F4440" s="66" t="str">
        <x:v>TEKNIK INDUSTRI</x:v>
      </x:c>
      <x:c r="G4440" s="66" t="str">
        <x:v>Sarjana</x:v>
      </x:c>
      <x:c r="H4440" s="87" t="n">
        <x:v>24</x:v>
      </x:c>
      <x:c r="I4440" s="87"/>
      <x:c r="J4440" s="68" t="str">
        <x:f>IFERROR(H4440/I4440,"")</x:f>
      </x:c>
      <x:c r="K4440" s="69" t="n">
        <x:f>IFERROR(I4440/H4440,"")</x:f>
        <x:v>0</x:v>
      </x:c>
      <x:c r="L4440" s="66" t="str">
        <x:f>IF(K4440="","","1 : "&amp;TEXT(K4440,"0.0"))</x:f>
      </x:c>
      <x:c r="M4440" s="66" t="str">
        <x:f>IF(J4440="","Baru/Tanpa Data",IF(J4440&lt;='Catatan &amp; Sumber'!$B$14,"Sangat Ketat",IF(J4440&lt;='Catatan &amp; Sumber'!$B$15,"Ketat",IF(J4440&lt;='Catatan &amp; Sumber'!$B$16,"Sedang","Relatif Longgar"))))</x:f>
        <x:v>Baru/Tanpa Data</x:v>
      </x:c>
      <x:c r="N4440" s="66" t="str">
        <x:v>Tidak Ada</x:v>
      </x:c>
      <x:c r="O4440" s="66" t="str">
        <x:v>Sulawesi Selatan</x:v>
      </x:c>
      <x:c r="P4440" s="66" t="str">
        <x:v>Kota Parepare</x:v>
      </x:c>
      <x:c r="Q4440" s="66" t="str">
        <x:v>https://snpmb.id/snbp/daya-tampung-snbp</x:v>
      </x:c>
      <x:c r="R4440" s="66" t="str">
        <x:v>https://sidatagrun-public-1076756628210.asia-southeast2.run.app/ptn_sn.php?ptn=718</x:v>
      </x:c>
    </x:row>
    <x:row r="4441">
      <x:c r="A4441" s="87"/>
      <x:c r="B4441" s="66" t="n">
        <x:v>718</x:v>
      </x:c>
      <x:c r="C4441" s="66" t="str">
        <x:v>INSTITUT TEKNOLOGI BJ. HABIBIE SULAWESI SELATAN</x:v>
      </x:c>
      <x:c r="D4441" s="66" t="str">
        <x:v>PTN Akademik</x:v>
      </x:c>
      <x:c r="E4441" s="66" t="str">
        <x:v>17181015</x:v>
      </x:c>
      <x:c r="F4441" s="66" t="str">
        <x:v>TEKNIK LINGKUNGAN</x:v>
      </x:c>
      <x:c r="G4441" s="66" t="str">
        <x:v>Sarjana</x:v>
      </x:c>
      <x:c r="H4441" s="87" t="n">
        <x:v>24</x:v>
      </x:c>
      <x:c r="I4441" s="87"/>
      <x:c r="J4441" s="68" t="str">
        <x:f>IFERROR(H4441/I4441,"")</x:f>
      </x:c>
      <x:c r="K4441" s="69" t="n">
        <x:f>IFERROR(I4441/H4441,"")</x:f>
        <x:v>0</x:v>
      </x:c>
      <x:c r="L4441" s="66" t="str">
        <x:f>IF(K4441="","","1 : "&amp;TEXT(K4441,"0.0"))</x:f>
      </x:c>
      <x:c r="M4441" s="66" t="str">
        <x:f>IF(J4441="","Baru/Tanpa Data",IF(J4441&lt;='Catatan &amp; Sumber'!$B$14,"Sangat Ketat",IF(J4441&lt;='Catatan &amp; Sumber'!$B$15,"Ketat",IF(J4441&lt;='Catatan &amp; Sumber'!$B$16,"Sedang","Relatif Longgar"))))</x:f>
        <x:v>Baru/Tanpa Data</x:v>
      </x:c>
      <x:c r="N4441" s="66" t="str">
        <x:v>Tidak Ada</x:v>
      </x:c>
      <x:c r="O4441" s="66" t="str">
        <x:v>Sulawesi Selatan</x:v>
      </x:c>
      <x:c r="P4441" s="66" t="str">
        <x:v>Kota Parepare</x:v>
      </x:c>
      <x:c r="Q4441" s="66" t="str">
        <x:v>https://snpmb.id/snbp/daya-tampung-snbp</x:v>
      </x:c>
      <x:c r="R4441" s="66" t="str">
        <x:v>https://sidatagrun-public-1076756628210.asia-southeast2.run.app/ptn_sn.php?ptn=718</x:v>
      </x:c>
    </x:row>
    <x:row r="4442">
      <x:c r="A4442" s="87"/>
      <x:c r="B4442" s="66" t="n">
        <x:v>718</x:v>
      </x:c>
      <x:c r="C4442" s="66" t="str">
        <x:v>INSTITUT TEKNOLOGI BJ. HABIBIE SULAWESI SELATAN</x:v>
      </x:c>
      <x:c r="D4442" s="66" t="str">
        <x:v>PTN Akademik</x:v>
      </x:c>
      <x:c r="E4442" s="66" t="str">
        <x:v>17181016</x:v>
      </x:c>
      <x:c r="F4442" s="66" t="str">
        <x:v>TEKNIK MESIN</x:v>
      </x:c>
      <x:c r="G4442" s="66" t="str">
        <x:v>Sarjana</x:v>
      </x:c>
      <x:c r="H4442" s="87" t="n">
        <x:v>24</x:v>
      </x:c>
      <x:c r="I4442" s="87"/>
      <x:c r="J4442" s="68" t="str">
        <x:f>IFERROR(H4442/I4442,"")</x:f>
      </x:c>
      <x:c r="K4442" s="69" t="n">
        <x:f>IFERROR(I4442/H4442,"")</x:f>
        <x:v>0</x:v>
      </x:c>
      <x:c r="L4442" s="66" t="str">
        <x:f>IF(K4442="","","1 : "&amp;TEXT(K4442,"0.0"))</x:f>
      </x:c>
      <x:c r="M4442" s="66" t="str">
        <x:f>IF(J4442="","Baru/Tanpa Data",IF(J4442&lt;='Catatan &amp; Sumber'!$B$14,"Sangat Ketat",IF(J4442&lt;='Catatan &amp; Sumber'!$B$15,"Ketat",IF(J4442&lt;='Catatan &amp; Sumber'!$B$16,"Sedang","Relatif Longgar"))))</x:f>
        <x:v>Baru/Tanpa Data</x:v>
      </x:c>
      <x:c r="N4442" s="66" t="str">
        <x:v>Tidak Ada</x:v>
      </x:c>
      <x:c r="O4442" s="66" t="str">
        <x:v>Sulawesi Selatan</x:v>
      </x:c>
      <x:c r="P4442" s="66" t="str">
        <x:v>Kota Parepare</x:v>
      </x:c>
      <x:c r="Q4442" s="66" t="str">
        <x:v>https://snpmb.id/snbp/daya-tampung-snbp</x:v>
      </x:c>
      <x:c r="R4442" s="66" t="str">
        <x:v>https://sidatagrun-public-1076756628210.asia-southeast2.run.app/ptn_sn.php?ptn=718</x:v>
      </x:c>
    </x:row>
    <x:row r="4443">
      <x:c r="A4443" s="87"/>
      <x:c r="B4443" s="66" t="n">
        <x:v>718</x:v>
      </x:c>
      <x:c r="C4443" s="66" t="str">
        <x:v>INSTITUT TEKNOLOGI BJ. HABIBIE SULAWESI SELATAN</x:v>
      </x:c>
      <x:c r="D4443" s="66" t="str">
        <x:v>PTN Akademik</x:v>
      </x:c>
      <x:c r="E4443" s="66" t="str">
        <x:v>17181017</x:v>
      </x:c>
      <x:c r="F4443" s="66" t="str">
        <x:v>TEKNIK ELEKTRO</x:v>
      </x:c>
      <x:c r="G4443" s="66" t="str">
        <x:v>Sarjana</x:v>
      </x:c>
      <x:c r="H4443" s="87" t="n">
        <x:v>24</x:v>
      </x:c>
      <x:c r="I4443" s="87"/>
      <x:c r="J4443" s="68" t="str">
        <x:f>IFERROR(H4443/I4443,"")</x:f>
      </x:c>
      <x:c r="K4443" s="69" t="n">
        <x:f>IFERROR(I4443/H4443,"")</x:f>
        <x:v>0</x:v>
      </x:c>
      <x:c r="L4443" s="66" t="str">
        <x:f>IF(K4443="","","1 : "&amp;TEXT(K4443,"0.0"))</x:f>
      </x:c>
      <x:c r="M4443" s="66" t="str">
        <x:f>IF(J4443="","Baru/Tanpa Data",IF(J4443&lt;='Catatan &amp; Sumber'!$B$14,"Sangat Ketat",IF(J4443&lt;='Catatan &amp; Sumber'!$B$15,"Ketat",IF(J4443&lt;='Catatan &amp; Sumber'!$B$16,"Sedang","Relatif Longgar"))))</x:f>
        <x:v>Baru/Tanpa Data</x:v>
      </x:c>
      <x:c r="N4443" s="66" t="str">
        <x:v>Tidak Ada</x:v>
      </x:c>
      <x:c r="O4443" s="66" t="str">
        <x:v>Sulawesi Selatan</x:v>
      </x:c>
      <x:c r="P4443" s="66" t="str">
        <x:v>Kota Parepare</x:v>
      </x:c>
      <x:c r="Q4443" s="66" t="str">
        <x:v>https://snpmb.id/snbp/daya-tampung-snbp</x:v>
      </x:c>
      <x:c r="R4443" s="66" t="str">
        <x:v>https://sidatagrun-public-1076756628210.asia-southeast2.run.app/ptn_sn.php?ptn=718</x:v>
      </x:c>
    </x:row>
    <x:row r="4444">
      <x:c r="A4444" s="87"/>
      <x:c r="B4444" s="66" t="n">
        <x:v>718</x:v>
      </x:c>
      <x:c r="C4444" s="66" t="str">
        <x:v>INSTITUT TEKNOLOGI BJ. HABIBIE SULAWESI SELATAN</x:v>
      </x:c>
      <x:c r="D4444" s="66" t="str">
        <x:v>PTN Akademik</x:v>
      </x:c>
      <x:c r="E4444" s="66" t="str">
        <x:v>17181018</x:v>
      </x:c>
      <x:c r="F4444" s="66" t="str">
        <x:v>BISNIS DIGITAL</x:v>
      </x:c>
      <x:c r="G4444" s="66" t="str">
        <x:v>Sarjana</x:v>
      </x:c>
      <x:c r="H4444" s="87" t="n">
        <x:v>24</x:v>
      </x:c>
      <x:c r="I4444" s="87"/>
      <x:c r="J4444" s="68" t="str">
        <x:f>IFERROR(H4444/I4444,"")</x:f>
      </x:c>
      <x:c r="K4444" s="69" t="n">
        <x:f>IFERROR(I4444/H4444,"")</x:f>
        <x:v>0</x:v>
      </x:c>
      <x:c r="L4444" s="66" t="str">
        <x:f>IF(K4444="","","1 : "&amp;TEXT(K4444,"0.0"))</x:f>
      </x:c>
      <x:c r="M4444" s="66" t="str">
        <x:f>IF(J4444="","Baru/Tanpa Data",IF(J4444&lt;='Catatan &amp; Sumber'!$B$14,"Sangat Ketat",IF(J4444&lt;='Catatan &amp; Sumber'!$B$15,"Ketat",IF(J4444&lt;='Catatan &amp; Sumber'!$B$16,"Sedang","Relatif Longgar"))))</x:f>
        <x:v>Baru/Tanpa Data</x:v>
      </x:c>
      <x:c r="N4444" s="66" t="str">
        <x:v>Tidak Ada</x:v>
      </x:c>
      <x:c r="O4444" s="66" t="str">
        <x:v>Sulawesi Selatan</x:v>
      </x:c>
      <x:c r="P4444" s="66" t="str">
        <x:v>Kota Parepare</x:v>
      </x:c>
      <x:c r="Q4444" s="66" t="str">
        <x:v>https://snpmb.id/snbp/daya-tampung-snbp</x:v>
      </x:c>
      <x:c r="R4444" s="66" t="str">
        <x:v>https://sidatagrun-public-1076756628210.asia-southeast2.run.app/ptn_sn.php?ptn=718</x:v>
      </x:c>
    </x:row>
    <x:row r="4445">
      <x:c r="A4445" s="87" t="n">
        <x:v>282</x:v>
      </x:c>
      <x:c r="B4445" s="66" t="n">
        <x:v>721</x:v>
      </x:c>
      <x:c r="C4445" s="66" t="str">
        <x:v>UNIVERSITAS SAM RATULANGI</x:v>
      </x:c>
      <x:c r="D4445" s="66" t="str">
        <x:v>PTN Akademik</x:v>
      </x:c>
      <x:c r="E4445" s="66" t="str">
        <x:v>17211001</x:v>
      </x:c>
      <x:c r="F4445" s="66" t="str">
        <x:v>PENDIDIKAN DOKTER</x:v>
      </x:c>
      <x:c r="G4445" s="66" t="str">
        <x:v>Sarjana</x:v>
      </x:c>
      <x:c r="H4445" s="87" t="n">
        <x:v>40</x:v>
      </x:c>
      <x:c r="I4445" s="87" t="n">
        <x:v>965</x:v>
      </x:c>
      <x:c r="J4445" s="68" t="n">
        <x:f>IFERROR(H4445/I4445,"")</x:f>
        <x:v>0.04145077720207254</x:v>
      </x:c>
      <x:c r="K4445" s="69" t="n">
        <x:f>IFERROR(I4445/H4445,"")</x:f>
        <x:v>24.125</x:v>
      </x:c>
      <x:c r="L4445" s="66" t="str">
        <x:f>IF(K4445="","","1 : "&amp;TEXT(K4445,"0.0"))</x:f>
        <x:v>1 : 24.1</x:v>
      </x:c>
      <x:c r="M4445" s="66" t="str">
        <x:f>IF(J4445="","Baru/Tanpa Data",IF(J4445&lt;='Catatan &amp; Sumber'!$B$14,"Sangat Ketat",IF(J4445&lt;='Catatan &amp; Sumber'!$B$15,"Ketat",IF(J4445&lt;='Catatan &amp; Sumber'!$B$16,"Sedang","Relatif Longgar"))))</x:f>
        <x:v>Ketat</x:v>
      </x:c>
      <x:c r="N4445" s="66" t="str">
        <x:v>Tidak Ada</x:v>
      </x:c>
      <x:c r="O4445" s="66" t="str">
        <x:v>Sulawesi Utara</x:v>
      </x:c>
      <x:c r="P4445" s="66" t="str">
        <x:v>Kota Manado</x:v>
      </x:c>
      <x:c r="Q4445" s="66" t="str">
        <x:v>https://snpmb.id/snbp/daya-tampung-snbp</x:v>
      </x:c>
      <x:c r="R4445" s="66" t="str">
        <x:v>https://sidatagrun-public-1076756628210.asia-southeast2.run.app/ptn_sn.php?ptn=721</x:v>
      </x:c>
    </x:row>
    <x:row r="4446">
      <x:c r="A4446" s="87" t="n">
        <x:v>287</x:v>
      </x:c>
      <x:c r="B4446" s="66" t="n">
        <x:v>721</x:v>
      </x:c>
      <x:c r="C4446" s="66" t="str">
        <x:v>UNIVERSITAS SAM RATULANGI</x:v>
      </x:c>
      <x:c r="D4446" s="66" t="str">
        <x:v>PTN Akademik</x:v>
      </x:c>
      <x:c r="E4446" s="66" t="str">
        <x:v>17211002</x:v>
      </x:c>
      <x:c r="F4446" s="66" t="str">
        <x:v>PENDIDIKAN DOKTER GIGI</x:v>
      </x:c>
      <x:c r="G4446" s="66" t="str">
        <x:v>Sarjana</x:v>
      </x:c>
      <x:c r="H4446" s="87" t="n">
        <x:v>10</x:v>
      </x:c>
      <x:c r="I4446" s="87" t="n">
        <x:v>239</x:v>
      </x:c>
      <x:c r="J4446" s="68" t="n">
        <x:f>IFERROR(H4446/I4446,"")</x:f>
        <x:v>0.04184100418410042</x:v>
      </x:c>
      <x:c r="K4446" s="69" t="n">
        <x:f>IFERROR(I4446/H4446,"")</x:f>
        <x:v>23.9</x:v>
      </x:c>
      <x:c r="L4446" s="66" t="str">
        <x:f>IF(K4446="","","1 : "&amp;TEXT(K4446,"0.0"))</x:f>
        <x:v>1 : 23.9</x:v>
      </x:c>
      <x:c r="M4446" s="66" t="str">
        <x:f>IF(J4446="","Baru/Tanpa Data",IF(J4446&lt;='Catatan &amp; Sumber'!$B$14,"Sangat Ketat",IF(J4446&lt;='Catatan &amp; Sumber'!$B$15,"Ketat",IF(J4446&lt;='Catatan &amp; Sumber'!$B$16,"Sedang","Relatif Longgar"))))</x:f>
        <x:v>Ketat</x:v>
      </x:c>
      <x:c r="N4446" s="66" t="str">
        <x:v>Tidak Ada</x:v>
      </x:c>
      <x:c r="O4446" s="66" t="str">
        <x:v>Sulawesi Utara</x:v>
      </x:c>
      <x:c r="P4446" s="66" t="str">
        <x:v>Kota Manado</x:v>
      </x:c>
      <x:c r="Q4446" s="66" t="str">
        <x:v>https://snpmb.id/snbp/daya-tampung-snbp</x:v>
      </x:c>
      <x:c r="R4446" s="66" t="str">
        <x:v>https://sidatagrun-public-1076756628210.asia-southeast2.run.app/ptn_sn.php?ptn=721</x:v>
      </x:c>
    </x:row>
    <x:row r="4447">
      <x:c r="A4447" s="87" t="n">
        <x:v>1221</x:v>
      </x:c>
      <x:c r="B4447" s="66" t="n">
        <x:v>721</x:v>
      </x:c>
      <x:c r="C4447" s="66" t="str">
        <x:v>UNIVERSITAS SAM RATULANGI</x:v>
      </x:c>
      <x:c r="D4447" s="66" t="str">
        <x:v>PTN Akademik</x:v>
      </x:c>
      <x:c r="E4447" s="66" t="str">
        <x:v>17211003</x:v>
      </x:c>
      <x:c r="F4447" s="66" t="str">
        <x:v>ILMU KESEHATAN MASYARAKAT</x:v>
      </x:c>
      <x:c r="G4447" s="66" t="str">
        <x:v>Sarjana</x:v>
      </x:c>
      <x:c r="H4447" s="87" t="n">
        <x:v>55</x:v>
      </x:c>
      <x:c r="I4447" s="87" t="n">
        <x:v>602</x:v>
      </x:c>
      <x:c r="J4447" s="68" t="n">
        <x:f>IFERROR(H4447/I4447,"")</x:f>
        <x:v>0.09136212624584718</x:v>
      </x:c>
      <x:c r="K4447" s="69" t="n">
        <x:f>IFERROR(I4447/H4447,"")</x:f>
        <x:v>10.945454545454545</x:v>
      </x:c>
      <x:c r="L4447" s="66" t="str">
        <x:f>IF(K4447="","","1 : "&amp;TEXT(K4447,"0.0"))</x:f>
        <x:v>1 : 10.9</x:v>
      </x:c>
      <x:c r="M4447" s="66" t="str">
        <x:f>IF(J4447="","Baru/Tanpa Data",IF(J4447&lt;='Catatan &amp; Sumber'!$B$14,"Sangat Ketat",IF(J4447&lt;='Catatan &amp; Sumber'!$B$15,"Ketat",IF(J4447&lt;='Catatan &amp; Sumber'!$B$16,"Sedang","Relatif Longgar"))))</x:f>
        <x:v>Sedang</x:v>
      </x:c>
      <x:c r="N4447" s="66" t="str">
        <x:v>Tidak Ada</x:v>
      </x:c>
      <x:c r="O4447" s="66" t="str">
        <x:v>Sulawesi Utara</x:v>
      </x:c>
      <x:c r="P4447" s="66" t="str">
        <x:v>Kota Manado</x:v>
      </x:c>
      <x:c r="Q4447" s="66" t="str">
        <x:v>https://snpmb.id/snbp/daya-tampung-snbp</x:v>
      </x:c>
      <x:c r="R4447" s="66" t="str">
        <x:v>https://sidatagrun-public-1076756628210.asia-southeast2.run.app/ptn_sn.php?ptn=721</x:v>
      </x:c>
    </x:row>
    <x:row r="4448">
      <x:c r="A4448" s="87" t="n">
        <x:v>270</x:v>
      </x:c>
      <x:c r="B4448" s="66" t="n">
        <x:v>721</x:v>
      </x:c>
      <x:c r="C4448" s="66" t="str">
        <x:v>UNIVERSITAS SAM RATULANGI</x:v>
      </x:c>
      <x:c r="D4448" s="66" t="str">
        <x:v>PTN Akademik</x:v>
      </x:c>
      <x:c r="E4448" s="66" t="str">
        <x:v>17211004</x:v>
      </x:c>
      <x:c r="F4448" s="66" t="str">
        <x:v>ILMU KEPERAWATAN</x:v>
      </x:c>
      <x:c r="G4448" s="66" t="str">
        <x:v>Sarjana</x:v>
      </x:c>
      <x:c r="H4448" s="87" t="n">
        <x:v>30</x:v>
      </x:c>
      <x:c r="I4448" s="87" t="n">
        <x:v>736</x:v>
      </x:c>
      <x:c r="J4448" s="68" t="n">
        <x:f>IFERROR(H4448/I4448,"")</x:f>
        <x:v>0.04076086956521739</x:v>
      </x:c>
      <x:c r="K4448" s="69" t="n">
        <x:f>IFERROR(I4448/H4448,"")</x:f>
        <x:v>24.533333333333335</x:v>
      </x:c>
      <x:c r="L4448" s="66" t="str">
        <x:f>IF(K4448="","","1 : "&amp;TEXT(K4448,"0.0"))</x:f>
        <x:v>1 : 24.5</x:v>
      </x:c>
      <x:c r="M4448" s="66" t="str">
        <x:f>IF(J4448="","Baru/Tanpa Data",IF(J4448&lt;='Catatan &amp; Sumber'!$B$14,"Sangat Ketat",IF(J4448&lt;='Catatan &amp; Sumber'!$B$15,"Ketat",IF(J4448&lt;='Catatan &amp; Sumber'!$B$16,"Sedang","Relatif Longgar"))))</x:f>
        <x:v>Ketat</x:v>
      </x:c>
      <x:c r="N4448" s="66" t="str">
        <x:v>Tidak Ada</x:v>
      </x:c>
      <x:c r="O4448" s="66" t="str">
        <x:v>Sulawesi Utara</x:v>
      </x:c>
      <x:c r="P4448" s="66" t="str">
        <x:v>Kota Manado</x:v>
      </x:c>
      <x:c r="Q4448" s="66" t="str">
        <x:v>https://snpmb.id/snbp/daya-tampung-snbp</x:v>
      </x:c>
      <x:c r="R4448" s="66" t="str">
        <x:v>https://sidatagrun-public-1076756628210.asia-southeast2.run.app/ptn_sn.php?ptn=721</x:v>
      </x:c>
    </x:row>
    <x:row r="4449">
      <x:c r="A4449" s="87" t="n">
        <x:v>2780</x:v>
      </x:c>
      <x:c r="B4449" s="66" t="n">
        <x:v>721</x:v>
      </x:c>
      <x:c r="C4449" s="66" t="str">
        <x:v>UNIVERSITAS SAM RATULANGI</x:v>
      </x:c>
      <x:c r="D4449" s="66" t="str">
        <x:v>PTN Akademik</x:v>
      </x:c>
      <x:c r="E4449" s="66" t="str">
        <x:v>17211005</x:v>
      </x:c>
      <x:c r="F4449" s="66" t="str">
        <x:v>TEKNIK ELEKTRO</x:v>
      </x:c>
      <x:c r="G4449" s="66" t="str">
        <x:v>Sarjana</x:v>
      </x:c>
      <x:c r="H4449" s="87" t="n">
        <x:v>24</x:v>
      </x:c>
      <x:c r="I4449" s="87" t="n">
        <x:v>94</x:v>
      </x:c>
      <x:c r="J4449" s="68" t="n">
        <x:f>IFERROR(H4449/I4449,"")</x:f>
        <x:v>0.2553191489361702</x:v>
      </x:c>
      <x:c r="K4449" s="69" t="n">
        <x:f>IFERROR(I4449/H4449,"")</x:f>
        <x:v>3.9166666666666665</x:v>
      </x:c>
      <x:c r="L4449" s="66" t="str">
        <x:f>IF(K4449="","","1 : "&amp;TEXT(K4449,"0.0"))</x:f>
        <x:v>1 : 3.9</x:v>
      </x:c>
      <x:c r="M4449" s="66" t="str">
        <x:f>IF(J4449="","Baru/Tanpa Data",IF(J4449&lt;='Catatan &amp; Sumber'!$B$14,"Sangat Ketat",IF(J4449&lt;='Catatan &amp; Sumber'!$B$15,"Ketat",IF(J4449&lt;='Catatan &amp; Sumber'!$B$16,"Sedang","Relatif Longgar"))))</x:f>
        <x:v>Relatif Longgar</x:v>
      </x:c>
      <x:c r="N4449" s="66" t="str">
        <x:v>Tidak Ada</x:v>
      </x:c>
      <x:c r="O4449" s="66" t="str">
        <x:v>Sulawesi Utara</x:v>
      </x:c>
      <x:c r="P4449" s="66" t="str">
        <x:v>Kota Manado</x:v>
      </x:c>
      <x:c r="Q4449" s="66" t="str">
        <x:v>https://snpmb.id/snbp/daya-tampung-snbp</x:v>
      </x:c>
      <x:c r="R4449" s="66" t="str">
        <x:v>https://sidatagrun-public-1076756628210.asia-southeast2.run.app/ptn_sn.php?ptn=721</x:v>
      </x:c>
    </x:row>
    <x:row r="4450">
      <x:c r="A4450" s="87" t="n">
        <x:v>3097</x:v>
      </x:c>
      <x:c r="B4450" s="66" t="n">
        <x:v>721</x:v>
      </x:c>
      <x:c r="C4450" s="66" t="str">
        <x:v>UNIVERSITAS SAM RATULANGI</x:v>
      </x:c>
      <x:c r="D4450" s="66" t="str">
        <x:v>PTN Akademik</x:v>
      </x:c>
      <x:c r="E4450" s="66" t="str">
        <x:v>17211006</x:v>
      </x:c>
      <x:c r="F4450" s="66" t="str">
        <x:v>TEKNIK MESIN</x:v>
      </x:c>
      <x:c r="G4450" s="66" t="str">
        <x:v>Sarjana</x:v>
      </x:c>
      <x:c r="H4450" s="87" t="n">
        <x:v>18</x:v>
      </x:c>
      <x:c r="I4450" s="87" t="n">
        <x:v>57</x:v>
      </x:c>
      <x:c r="J4450" s="68" t="n">
        <x:f>IFERROR(H4450/I4450,"")</x:f>
        <x:v>0.3157894736842105</x:v>
      </x:c>
      <x:c r="K4450" s="69" t="n">
        <x:f>IFERROR(I4450/H4450,"")</x:f>
        <x:v>3.1666666666666665</x:v>
      </x:c>
      <x:c r="L4450" s="66" t="str">
        <x:f>IF(K4450="","","1 : "&amp;TEXT(K4450,"0.0"))</x:f>
        <x:v>1 : 3.2</x:v>
      </x:c>
      <x:c r="M4450" s="66" t="str">
        <x:f>IF(J4450="","Baru/Tanpa Data",IF(J4450&lt;='Catatan &amp; Sumber'!$B$14,"Sangat Ketat",IF(J4450&lt;='Catatan &amp; Sumber'!$B$15,"Ketat",IF(J4450&lt;='Catatan &amp; Sumber'!$B$16,"Sedang","Relatif Longgar"))))</x:f>
        <x:v>Relatif Longgar</x:v>
      </x:c>
      <x:c r="N4450" s="66" t="str">
        <x:v>Tidak Ada</x:v>
      </x:c>
      <x:c r="O4450" s="66" t="str">
        <x:v>Sulawesi Utara</x:v>
      </x:c>
      <x:c r="P4450" s="66" t="str">
        <x:v>Kota Manado</x:v>
      </x:c>
      <x:c r="Q4450" s="66" t="str">
        <x:v>https://snpmb.id/snbp/daya-tampung-snbp</x:v>
      </x:c>
      <x:c r="R4450" s="66" t="str">
        <x:v>https://sidatagrun-public-1076756628210.asia-southeast2.run.app/ptn_sn.php?ptn=721</x:v>
      </x:c>
    </x:row>
    <x:row r="4451">
      <x:c r="A4451" s="87" t="n">
        <x:v>1738</x:v>
      </x:c>
      <x:c r="B4451" s="66" t="n">
        <x:v>721</x:v>
      </x:c>
      <x:c r="C4451" s="66" t="str">
        <x:v>UNIVERSITAS SAM RATULANGI</x:v>
      </x:c>
      <x:c r="D4451" s="66" t="str">
        <x:v>PTN Akademik</x:v>
      </x:c>
      <x:c r="E4451" s="66" t="str">
        <x:v>17211007</x:v>
      </x:c>
      <x:c r="F4451" s="66" t="str">
        <x:v>TEKNIK SIPIL</x:v>
      </x:c>
      <x:c r="G4451" s="66" t="str">
        <x:v>Sarjana</x:v>
      </x:c>
      <x:c r="H4451" s="87" t="n">
        <x:v>36</x:v>
      </x:c>
      <x:c r="I4451" s="87" t="n">
        <x:v>283</x:v>
      </x:c>
      <x:c r="J4451" s="68" t="n">
        <x:f>IFERROR(H4451/I4451,"")</x:f>
        <x:v>0.127208480565371</x:v>
      </x:c>
      <x:c r="K4451" s="69" t="n">
        <x:f>IFERROR(I4451/H4451,"")</x:f>
        <x:v>7.861111111111111</x:v>
      </x:c>
      <x:c r="L4451" s="66" t="str">
        <x:f>IF(K4451="","","1 : "&amp;TEXT(K4451,"0.0"))</x:f>
        <x:v>1 : 7.9</x:v>
      </x:c>
      <x:c r="M4451" s="66" t="str">
        <x:f>IF(J4451="","Baru/Tanpa Data",IF(J4451&lt;='Catatan &amp; Sumber'!$B$14,"Sangat Ketat",IF(J4451&lt;='Catatan &amp; Sumber'!$B$15,"Ketat",IF(J4451&lt;='Catatan &amp; Sumber'!$B$16,"Sedang","Relatif Longgar"))))</x:f>
        <x:v>Relatif Longgar</x:v>
      </x:c>
      <x:c r="N4451" s="66" t="str">
        <x:v>Tidak Ada</x:v>
      </x:c>
      <x:c r="O4451" s="66" t="str">
        <x:v>Sulawesi Utara</x:v>
      </x:c>
      <x:c r="P4451" s="66" t="str">
        <x:v>Kota Manado</x:v>
      </x:c>
      <x:c r="Q4451" s="66" t="str">
        <x:v>https://snpmb.id/snbp/daya-tampung-snbp</x:v>
      </x:c>
      <x:c r="R4451" s="66" t="str">
        <x:v>https://sidatagrun-public-1076756628210.asia-southeast2.run.app/ptn_sn.php?ptn=721</x:v>
      </x:c>
    </x:row>
    <x:row r="4452">
      <x:c r="A4452" s="87" t="n">
        <x:v>2530</x:v>
      </x:c>
      <x:c r="B4452" s="66" t="n">
        <x:v>721</x:v>
      </x:c>
      <x:c r="C4452" s="66" t="str">
        <x:v>UNIVERSITAS SAM RATULANGI</x:v>
      </x:c>
      <x:c r="D4452" s="66" t="str">
        <x:v>PTN Akademik</x:v>
      </x:c>
      <x:c r="E4452" s="66" t="str">
        <x:v>17211008</x:v>
      </x:c>
      <x:c r="F4452" s="66" t="str">
        <x:v>ARSITEKTUR</x:v>
      </x:c>
      <x:c r="G4452" s="66" t="str">
        <x:v>Sarjana</x:v>
      </x:c>
      <x:c r="H4452" s="87" t="n">
        <x:v>24</x:v>
      </x:c>
      <x:c r="I4452" s="87" t="n">
        <x:v>111</x:v>
      </x:c>
      <x:c r="J4452" s="68" t="n">
        <x:f>IFERROR(H4452/I4452,"")</x:f>
        <x:v>0.21621621621621623</x:v>
      </x:c>
      <x:c r="K4452" s="69" t="n">
        <x:f>IFERROR(I4452/H4452,"")</x:f>
        <x:v>4.625</x:v>
      </x:c>
      <x:c r="L4452" s="66" t="str">
        <x:f>IF(K4452="","","1 : "&amp;TEXT(K4452,"0.0"))</x:f>
        <x:v>1 : 4.6</x:v>
      </x:c>
      <x:c r="M4452" s="66" t="str">
        <x:f>IF(J4452="","Baru/Tanpa Data",IF(J4452&lt;='Catatan &amp; Sumber'!$B$14,"Sangat Ketat",IF(J4452&lt;='Catatan &amp; Sumber'!$B$15,"Ketat",IF(J4452&lt;='Catatan &amp; Sumber'!$B$16,"Sedang","Relatif Longgar"))))</x:f>
        <x:v>Relatif Longgar</x:v>
      </x:c>
      <x:c r="N4452" s="66" t="str">
        <x:v>Tidak Ada</x:v>
      </x:c>
      <x:c r="O4452" s="66" t="str">
        <x:v>Sulawesi Utara</x:v>
      </x:c>
      <x:c r="P4452" s="66" t="str">
        <x:v>Kota Manado</x:v>
      </x:c>
      <x:c r="Q4452" s="66" t="str">
        <x:v>https://snpmb.id/snbp/daya-tampung-snbp</x:v>
      </x:c>
      <x:c r="R4452" s="66" t="str">
        <x:v>https://sidatagrun-public-1076756628210.asia-southeast2.run.app/ptn_sn.php?ptn=721</x:v>
      </x:c>
    </x:row>
    <x:row r="4453">
      <x:c r="A4453" s="87" t="n">
        <x:v>2981</x:v>
      </x:c>
      <x:c r="B4453" s="66" t="n">
        <x:v>721</x:v>
      </x:c>
      <x:c r="C4453" s="66" t="str">
        <x:v>UNIVERSITAS SAM RATULANGI</x:v>
      </x:c>
      <x:c r="D4453" s="66" t="str">
        <x:v>PTN Akademik</x:v>
      </x:c>
      <x:c r="E4453" s="66" t="str">
        <x:v>17211009</x:v>
      </x:c>
      <x:c r="F4453" s="66" t="str">
        <x:v>PERENCANAAN WILAYAH DAN KOTA</x:v>
      </x:c>
      <x:c r="G4453" s="66" t="str">
        <x:v>Sarjana</x:v>
      </x:c>
      <x:c r="H4453" s="87" t="n">
        <x:v>22</x:v>
      </x:c>
      <x:c r="I4453" s="87" t="n">
        <x:v>76</x:v>
      </x:c>
      <x:c r="J4453" s="68" t="n">
        <x:f>IFERROR(H4453/I4453,"")</x:f>
        <x:v>0.2894736842105263</x:v>
      </x:c>
      <x:c r="K4453" s="69" t="n">
        <x:f>IFERROR(I4453/H4453,"")</x:f>
        <x:v>3.4545454545454546</x:v>
      </x:c>
      <x:c r="L4453" s="66" t="str">
        <x:f>IF(K4453="","","1 : "&amp;TEXT(K4453,"0.0"))</x:f>
        <x:v>1 : 3.5</x:v>
      </x:c>
      <x:c r="M4453" s="66" t="str">
        <x:f>IF(J4453="","Baru/Tanpa Data",IF(J4453&lt;='Catatan &amp; Sumber'!$B$14,"Sangat Ketat",IF(J4453&lt;='Catatan &amp; Sumber'!$B$15,"Ketat",IF(J4453&lt;='Catatan &amp; Sumber'!$B$16,"Sedang","Relatif Longgar"))))</x:f>
        <x:v>Relatif Longgar</x:v>
      </x:c>
      <x:c r="N4453" s="66" t="str">
        <x:v>Tidak Ada</x:v>
      </x:c>
      <x:c r="O4453" s="66" t="str">
        <x:v>Sulawesi Utara</x:v>
      </x:c>
      <x:c r="P4453" s="66" t="str">
        <x:v>Kota Manado</x:v>
      </x:c>
      <x:c r="Q4453" s="66" t="str">
        <x:v>https://snpmb.id/snbp/daya-tampung-snbp</x:v>
      </x:c>
      <x:c r="R4453" s="66" t="str">
        <x:v>https://sidatagrun-public-1076756628210.asia-southeast2.run.app/ptn_sn.php?ptn=721</x:v>
      </x:c>
    </x:row>
    <x:row r="4454">
      <x:c r="A4454" s="87" t="n">
        <x:v>3437</x:v>
      </x:c>
      <x:c r="B4454" s="66" t="n">
        <x:v>721</x:v>
      </x:c>
      <x:c r="C4454" s="66" t="str">
        <x:v>UNIVERSITAS SAM RATULANGI</x:v>
      </x:c>
      <x:c r="D4454" s="66" t="str">
        <x:v>PTN Akademik</x:v>
      </x:c>
      <x:c r="E4454" s="66" t="str">
        <x:v>17211010</x:v>
      </x:c>
      <x:c r="F4454" s="66" t="str">
        <x:v>TEKNIK PERTANIAN</x:v>
      </x:c>
      <x:c r="G4454" s="66" t="str">
        <x:v>Sarjana</x:v>
      </x:c>
      <x:c r="H4454" s="87" t="n">
        <x:v>24</x:v>
      </x:c>
      <x:c r="I4454" s="87" t="n">
        <x:v>58</x:v>
      </x:c>
      <x:c r="J4454" s="68" t="n">
        <x:f>IFERROR(H4454/I4454,"")</x:f>
        <x:v>0.41379310344827586</x:v>
      </x:c>
      <x:c r="K4454" s="69" t="n">
        <x:f>IFERROR(I4454/H4454,"")</x:f>
        <x:v>2.4166666666666665</x:v>
      </x:c>
      <x:c r="L4454" s="66" t="str">
        <x:f>IF(K4454="","","1 : "&amp;TEXT(K4454,"0.0"))</x:f>
        <x:v>1 : 2.4</x:v>
      </x:c>
      <x:c r="M4454" s="66" t="str">
        <x:f>IF(J4454="","Baru/Tanpa Data",IF(J4454&lt;='Catatan &amp; Sumber'!$B$14,"Sangat Ketat",IF(J4454&lt;='Catatan &amp; Sumber'!$B$15,"Ketat",IF(J4454&lt;='Catatan &amp; Sumber'!$B$16,"Sedang","Relatif Longgar"))))</x:f>
        <x:v>Relatif Longgar</x:v>
      </x:c>
      <x:c r="N4454" s="66" t="str">
        <x:v>Tidak Ada</x:v>
      </x:c>
      <x:c r="O4454" s="66" t="str">
        <x:v>Sulawesi Utara</x:v>
      </x:c>
      <x:c r="P4454" s="66" t="str">
        <x:v>Kota Manado</x:v>
      </x:c>
      <x:c r="Q4454" s="66" t="str">
        <x:v>https://snpmb.id/snbp/daya-tampung-snbp</x:v>
      </x:c>
      <x:c r="R4454" s="66" t="str">
        <x:v>https://sidatagrun-public-1076756628210.asia-southeast2.run.app/ptn_sn.php?ptn=721</x:v>
      </x:c>
    </x:row>
    <x:row r="4455">
      <x:c r="A4455" s="87" t="n">
        <x:v>3412</x:v>
      </x:c>
      <x:c r="B4455" s="66" t="n">
        <x:v>721</x:v>
      </x:c>
      <x:c r="C4455" s="66" t="str">
        <x:v>UNIVERSITAS SAM RATULANGI</x:v>
      </x:c>
      <x:c r="D4455" s="66" t="str">
        <x:v>PTN Akademik</x:v>
      </x:c>
      <x:c r="E4455" s="66" t="str">
        <x:v>17211011</x:v>
      </x:c>
      <x:c r="F4455" s="66" t="str">
        <x:v>TEKNOLOGI PANGAN</x:v>
      </x:c>
      <x:c r="G4455" s="66" t="str">
        <x:v>Sarjana</x:v>
      </x:c>
      <x:c r="H4455" s="87" t="n">
        <x:v>15</x:v>
      </x:c>
      <x:c r="I4455" s="87" t="n">
        <x:v>37</x:v>
      </x:c>
      <x:c r="J4455" s="68" t="n">
        <x:f>IFERROR(H4455/I4455,"")</x:f>
        <x:v>0.40540540540540543</x:v>
      </x:c>
      <x:c r="K4455" s="69" t="n">
        <x:f>IFERROR(I4455/H4455,"")</x:f>
        <x:v>2.466666666666667</x:v>
      </x:c>
      <x:c r="L4455" s="66" t="str">
        <x:f>IF(K4455="","","1 : "&amp;TEXT(K4455,"0.0"))</x:f>
        <x:v>1 : 2.5</x:v>
      </x:c>
      <x:c r="M4455" s="66" t="str">
        <x:f>IF(J4455="","Baru/Tanpa Data",IF(J4455&lt;='Catatan &amp; Sumber'!$B$14,"Sangat Ketat",IF(J4455&lt;='Catatan &amp; Sumber'!$B$15,"Ketat",IF(J4455&lt;='Catatan &amp; Sumber'!$B$16,"Sedang","Relatif Longgar"))))</x:f>
        <x:v>Relatif Longgar</x:v>
      </x:c>
      <x:c r="N4455" s="66" t="str">
        <x:v>Tidak Ada</x:v>
      </x:c>
      <x:c r="O4455" s="66" t="str">
        <x:v>Sulawesi Utara</x:v>
      </x:c>
      <x:c r="P4455" s="66" t="str">
        <x:v>Kota Manado</x:v>
      </x:c>
      <x:c r="Q4455" s="66" t="str">
        <x:v>https://snpmb.id/snbp/daya-tampung-snbp</x:v>
      </x:c>
      <x:c r="R4455" s="66" t="str">
        <x:v>https://sidatagrun-public-1076756628210.asia-southeast2.run.app/ptn_sn.php?ptn=721</x:v>
      </x:c>
    </x:row>
    <x:row r="4456">
      <x:c r="A4456" s="87" t="n">
        <x:v>4135</x:v>
      </x:c>
      <x:c r="B4456" s="66" t="n">
        <x:v>721</x:v>
      </x:c>
      <x:c r="C4456" s="66" t="str">
        <x:v>UNIVERSITAS SAM RATULANGI</x:v>
      </x:c>
      <x:c r="D4456" s="66" t="str">
        <x:v>PTN Akademik</x:v>
      </x:c>
      <x:c r="E4456" s="66" t="str">
        <x:v>17211012</x:v>
      </x:c>
      <x:c r="F4456" s="66" t="str">
        <x:v>MATEMATIKA</x:v>
      </x:c>
      <x:c r="G4456" s="66" t="str">
        <x:v>Sarjana</x:v>
      </x:c>
      <x:c r="H4456" s="87" t="n">
        <x:v>20</x:v>
      </x:c>
      <x:c r="I4456" s="87" t="n">
        <x:v>25</x:v>
      </x:c>
      <x:c r="J4456" s="68" t="n">
        <x:f>IFERROR(H4456/I4456,"")</x:f>
        <x:v>0.8</x:v>
      </x:c>
      <x:c r="K4456" s="69" t="n">
        <x:f>IFERROR(I4456/H4456,"")</x:f>
        <x:v>1.25</x:v>
      </x:c>
      <x:c r="L4456" s="66" t="str">
        <x:f>IF(K4456="","","1 : "&amp;TEXT(K4456,"0.0"))</x:f>
        <x:v>1 : 1.3</x:v>
      </x:c>
      <x:c r="M4456" s="66" t="str">
        <x:f>IF(J4456="","Baru/Tanpa Data",IF(J4456&lt;='Catatan &amp; Sumber'!$B$14,"Sangat Ketat",IF(J4456&lt;='Catatan &amp; Sumber'!$B$15,"Ketat",IF(J4456&lt;='Catatan &amp; Sumber'!$B$16,"Sedang","Relatif Longgar"))))</x:f>
        <x:v>Relatif Longgar</x:v>
      </x:c>
      <x:c r="N4456" s="66" t="str">
        <x:v>Tidak Ada</x:v>
      </x:c>
      <x:c r="O4456" s="66" t="str">
        <x:v>Sulawesi Utara</x:v>
      </x:c>
      <x:c r="P4456" s="66" t="str">
        <x:v>Kota Manado</x:v>
      </x:c>
      <x:c r="Q4456" s="66" t="str">
        <x:v>https://snpmb.id/snbp/daya-tampung-snbp</x:v>
      </x:c>
      <x:c r="R4456" s="66" t="str">
        <x:v>https://sidatagrun-public-1076756628210.asia-southeast2.run.app/ptn_sn.php?ptn=721</x:v>
      </x:c>
    </x:row>
    <x:row r="4457">
      <x:c r="A4457" s="87" t="n">
        <x:v>4473</x:v>
      </x:c>
      <x:c r="B4457" s="66" t="n">
        <x:v>721</x:v>
      </x:c>
      <x:c r="C4457" s="66" t="str">
        <x:v>UNIVERSITAS SAM RATULANGI</x:v>
      </x:c>
      <x:c r="D4457" s="66" t="str">
        <x:v>PTN Akademik</x:v>
      </x:c>
      <x:c r="E4457" s="66" t="str">
        <x:v>17211013</x:v>
      </x:c>
      <x:c r="F4457" s="66" t="str">
        <x:v>FISIKA</x:v>
      </x:c>
      <x:c r="G4457" s="66" t="str">
        <x:v>Sarjana</x:v>
      </x:c>
      <x:c r="H4457" s="87" t="n">
        <x:v>14</x:v>
      </x:c>
      <x:c r="I4457" s="87" t="n">
        <x:v>11</x:v>
      </x:c>
      <x:c r="J4457" s="68" t="n">
        <x:f>IFERROR(H4457/I4457,"")</x:f>
        <x:v>1.2727272727272727</x:v>
      </x:c>
      <x:c r="K4457" s="69" t="n">
        <x:f>IFERROR(I4457/H4457,"")</x:f>
        <x:v>0.7857142857142857</x:v>
      </x:c>
      <x:c r="L4457" s="66" t="str">
        <x:f>IF(K4457="","","1 : "&amp;TEXT(K4457,"0.0"))</x:f>
        <x:v>1 : 0.8</x:v>
      </x:c>
      <x:c r="M4457" s="66" t="str">
        <x:f>IF(J4457="","Baru/Tanpa Data",IF(J4457&lt;='Catatan &amp; Sumber'!$B$14,"Sangat Ketat",IF(J4457&lt;='Catatan &amp; Sumber'!$B$15,"Ketat",IF(J4457&lt;='Catatan &amp; Sumber'!$B$16,"Sedang","Relatif Longgar"))))</x:f>
        <x:v>Relatif Longgar</x:v>
      </x:c>
      <x:c r="N4457" s="66" t="str">
        <x:v>Tidak Ada</x:v>
      </x:c>
      <x:c r="O4457" s="66" t="str">
        <x:v>Sulawesi Utara</x:v>
      </x:c>
      <x:c r="P4457" s="66" t="str">
        <x:v>Kota Manado</x:v>
      </x:c>
      <x:c r="Q4457" s="66" t="str">
        <x:v>https://snpmb.id/snbp/daya-tampung-snbp</x:v>
      </x:c>
      <x:c r="R4457" s="66" t="str">
        <x:v>https://sidatagrun-public-1076756628210.asia-southeast2.run.app/ptn_sn.php?ptn=721</x:v>
      </x:c>
    </x:row>
    <x:row r="4458">
      <x:c r="A4458" s="87" t="n">
        <x:v>3741</x:v>
      </x:c>
      <x:c r="B4458" s="66" t="n">
        <x:v>721</x:v>
      </x:c>
      <x:c r="C4458" s="66" t="str">
        <x:v>UNIVERSITAS SAM RATULANGI</x:v>
      </x:c>
      <x:c r="D4458" s="66" t="str">
        <x:v>PTN Akademik</x:v>
      </x:c>
      <x:c r="E4458" s="66" t="str">
        <x:v>17211014</x:v>
      </x:c>
      <x:c r="F4458" s="66" t="str">
        <x:v>BIOLOGI</x:v>
      </x:c>
      <x:c r="G4458" s="66" t="str">
        <x:v>Sarjana</x:v>
      </x:c>
      <x:c r="H4458" s="87" t="n">
        <x:v>20</x:v>
      </x:c>
      <x:c r="I4458" s="87" t="n">
        <x:v>37</x:v>
      </x:c>
      <x:c r="J4458" s="68" t="n">
        <x:f>IFERROR(H4458/I4458,"")</x:f>
        <x:v>0.5405405405405406</x:v>
      </x:c>
      <x:c r="K4458" s="69" t="n">
        <x:f>IFERROR(I4458/H4458,"")</x:f>
        <x:v>1.85</x:v>
      </x:c>
      <x:c r="L4458" s="66" t="str">
        <x:f>IF(K4458="","","1 : "&amp;TEXT(K4458,"0.0"))</x:f>
        <x:v>1 : 1.9</x:v>
      </x:c>
      <x:c r="M4458" s="66" t="str">
        <x:f>IF(J4458="","Baru/Tanpa Data",IF(J4458&lt;='Catatan &amp; Sumber'!$B$14,"Sangat Ketat",IF(J4458&lt;='Catatan &amp; Sumber'!$B$15,"Ketat",IF(J4458&lt;='Catatan &amp; Sumber'!$B$16,"Sedang","Relatif Longgar"))))</x:f>
        <x:v>Relatif Longgar</x:v>
      </x:c>
      <x:c r="N4458" s="66" t="str">
        <x:v>Tidak Ada</x:v>
      </x:c>
      <x:c r="O4458" s="66" t="str">
        <x:v>Sulawesi Utara</x:v>
      </x:c>
      <x:c r="P4458" s="66" t="str">
        <x:v>Kota Manado</x:v>
      </x:c>
      <x:c r="Q4458" s="66" t="str">
        <x:v>https://snpmb.id/snbp/daya-tampung-snbp</x:v>
      </x:c>
      <x:c r="R4458" s="66" t="str">
        <x:v>https://sidatagrun-public-1076756628210.asia-southeast2.run.app/ptn_sn.php?ptn=721</x:v>
      </x:c>
    </x:row>
    <x:row r="4459">
      <x:c r="A4459" s="87" t="n">
        <x:v>3882</x:v>
      </x:c>
      <x:c r="B4459" s="66" t="n">
        <x:v>721</x:v>
      </x:c>
      <x:c r="C4459" s="66" t="str">
        <x:v>UNIVERSITAS SAM RATULANGI</x:v>
      </x:c>
      <x:c r="D4459" s="66" t="str">
        <x:v>PTN Akademik</x:v>
      </x:c>
      <x:c r="E4459" s="66" t="str">
        <x:v>17211015</x:v>
      </x:c>
      <x:c r="F4459" s="66" t="str">
        <x:v>KIMIA</x:v>
      </x:c>
      <x:c r="G4459" s="66" t="str">
        <x:v>Sarjana</x:v>
      </x:c>
      <x:c r="H4459" s="87" t="n">
        <x:v>19</x:v>
      </x:c>
      <x:c r="I4459" s="87" t="n">
        <x:v>31</x:v>
      </x:c>
      <x:c r="J4459" s="68" t="n">
        <x:f>IFERROR(H4459/I4459,"")</x:f>
        <x:v>0.6129032258064516</x:v>
      </x:c>
      <x:c r="K4459" s="69" t="n">
        <x:f>IFERROR(I4459/H4459,"")</x:f>
        <x:v>1.631578947368421</x:v>
      </x:c>
      <x:c r="L4459" s="66" t="str">
        <x:f>IF(K4459="","","1 : "&amp;TEXT(K4459,"0.0"))</x:f>
        <x:v>1 : 1.6</x:v>
      </x:c>
      <x:c r="M4459" s="66" t="str">
        <x:f>IF(J4459="","Baru/Tanpa Data",IF(J4459&lt;='Catatan &amp; Sumber'!$B$14,"Sangat Ketat",IF(J4459&lt;='Catatan &amp; Sumber'!$B$15,"Ketat",IF(J4459&lt;='Catatan &amp; Sumber'!$B$16,"Sedang","Relatif Longgar"))))</x:f>
        <x:v>Relatif Longgar</x:v>
      </x:c>
      <x:c r="N4459" s="66" t="str">
        <x:v>Tidak Ada</x:v>
      </x:c>
      <x:c r="O4459" s="66" t="str">
        <x:v>Sulawesi Utara</x:v>
      </x:c>
      <x:c r="P4459" s="66" t="str">
        <x:v>Kota Manado</x:v>
      </x:c>
      <x:c r="Q4459" s="66" t="str">
        <x:v>https://snpmb.id/snbp/daya-tampung-snbp</x:v>
      </x:c>
      <x:c r="R4459" s="66" t="str">
        <x:v>https://sidatagrun-public-1076756628210.asia-southeast2.run.app/ptn_sn.php?ptn=721</x:v>
      </x:c>
    </x:row>
    <x:row r="4460">
      <x:c r="A4460" s="87" t="n">
        <x:v>3693</x:v>
      </x:c>
      <x:c r="B4460" s="66" t="n">
        <x:v>721</x:v>
      </x:c>
      <x:c r="C4460" s="66" t="str">
        <x:v>UNIVERSITAS SAM RATULANGI</x:v>
      </x:c>
      <x:c r="D4460" s="66" t="str">
        <x:v>PTN Akademik</x:v>
      </x:c>
      <x:c r="E4460" s="66" t="str">
        <x:v>17211016</x:v>
      </x:c>
      <x:c r="F4460" s="66" t="str">
        <x:v>AGRIBISNIS</x:v>
      </x:c>
      <x:c r="G4460" s="66" t="str">
        <x:v>Sarjana</x:v>
      </x:c>
      <x:c r="H4460" s="87" t="n">
        <x:v>39</x:v>
      </x:c>
      <x:c r="I4460" s="87" t="n">
        <x:v>76</x:v>
      </x:c>
      <x:c r="J4460" s="68" t="n">
        <x:f>IFERROR(H4460/I4460,"")</x:f>
        <x:v>0.5131578947368421</x:v>
      </x:c>
      <x:c r="K4460" s="69" t="n">
        <x:f>IFERROR(I4460/H4460,"")</x:f>
        <x:v>1.9487179487179487</x:v>
      </x:c>
      <x:c r="L4460" s="66" t="str">
        <x:f>IF(K4460="","","1 : "&amp;TEXT(K4460,"0.0"))</x:f>
        <x:v>1 : 1.9</x:v>
      </x:c>
      <x:c r="M4460" s="66" t="str">
        <x:f>IF(J4460="","Baru/Tanpa Data",IF(J4460&lt;='Catatan &amp; Sumber'!$B$14,"Sangat Ketat",IF(J4460&lt;='Catatan &amp; Sumber'!$B$15,"Ketat",IF(J4460&lt;='Catatan &amp; Sumber'!$B$16,"Sedang","Relatif Longgar"))))</x:f>
        <x:v>Relatif Longgar</x:v>
      </x:c>
      <x:c r="N4460" s="66" t="str">
        <x:v>Tidak Ada</x:v>
      </x:c>
      <x:c r="O4460" s="66" t="str">
        <x:v>Sulawesi Utara</x:v>
      </x:c>
      <x:c r="P4460" s="66" t="str">
        <x:v>Kota Manado</x:v>
      </x:c>
      <x:c r="Q4460" s="66" t="str">
        <x:v>https://snpmb.id/snbp/daya-tampung-snbp</x:v>
      </x:c>
      <x:c r="R4460" s="66" t="str">
        <x:v>https://sidatagrun-public-1076756628210.asia-southeast2.run.app/ptn_sn.php?ptn=721</x:v>
      </x:c>
    </x:row>
    <x:row r="4461">
      <x:c r="A4461" s="87" t="n">
        <x:v>3342</x:v>
      </x:c>
      <x:c r="B4461" s="66" t="n">
        <x:v>721</x:v>
      </x:c>
      <x:c r="C4461" s="66" t="str">
        <x:v>UNIVERSITAS SAM RATULANGI</x:v>
      </x:c>
      <x:c r="D4461" s="66" t="str">
        <x:v>PTN Akademik</x:v>
      </x:c>
      <x:c r="E4461" s="66" t="str">
        <x:v>17211017</x:v>
      </x:c>
      <x:c r="F4461" s="66" t="str">
        <x:v>AGROEKOTEKNOLOGI</x:v>
      </x:c>
      <x:c r="G4461" s="66" t="str">
        <x:v>Sarjana</x:v>
      </x:c>
      <x:c r="H4461" s="87" t="n">
        <x:v>15</x:v>
      </x:c>
      <x:c r="I4461" s="87" t="n">
        <x:v>39</x:v>
      </x:c>
      <x:c r="J4461" s="68" t="n">
        <x:f>IFERROR(H4461/I4461,"")</x:f>
        <x:v>0.38461538461538464</x:v>
      </x:c>
      <x:c r="K4461" s="69" t="n">
        <x:f>IFERROR(I4461/H4461,"")</x:f>
        <x:v>2.6</x:v>
      </x:c>
      <x:c r="L4461" s="66" t="str">
        <x:f>IF(K4461="","","1 : "&amp;TEXT(K4461,"0.0"))</x:f>
        <x:v>1 : 2.6</x:v>
      </x:c>
      <x:c r="M4461" s="66" t="str">
        <x:f>IF(J4461="","Baru/Tanpa Data",IF(J4461&lt;='Catatan &amp; Sumber'!$B$14,"Sangat Ketat",IF(J4461&lt;='Catatan &amp; Sumber'!$B$15,"Ketat",IF(J4461&lt;='Catatan &amp; Sumber'!$B$16,"Sedang","Relatif Longgar"))))</x:f>
        <x:v>Relatif Longgar</x:v>
      </x:c>
      <x:c r="N4461" s="66" t="str">
        <x:v>Tidak Ada</x:v>
      </x:c>
      <x:c r="O4461" s="66" t="str">
        <x:v>Sulawesi Utara</x:v>
      </x:c>
      <x:c r="P4461" s="66" t="str">
        <x:v>Kota Manado</x:v>
      </x:c>
      <x:c r="Q4461" s="66" t="str">
        <x:v>https://snpmb.id/snbp/daya-tampung-snbp</x:v>
      </x:c>
      <x:c r="R4461" s="66" t="str">
        <x:v>https://sidatagrun-public-1076756628210.asia-southeast2.run.app/ptn_sn.php?ptn=721</x:v>
      </x:c>
    </x:row>
    <x:row r="4462">
      <x:c r="A4462" s="87" t="n">
        <x:v>4305</x:v>
      </x:c>
      <x:c r="B4462" s="66" t="n">
        <x:v>721</x:v>
      </x:c>
      <x:c r="C4462" s="66" t="str">
        <x:v>UNIVERSITAS SAM RATULANGI</x:v>
      </x:c>
      <x:c r="D4462" s="66" t="str">
        <x:v>PTN Akademik</x:v>
      </x:c>
      <x:c r="E4462" s="66" t="str">
        <x:v>17211018</x:v>
      </x:c>
      <x:c r="F4462" s="66" t="str">
        <x:v>PETERNAKAN</x:v>
      </x:c>
      <x:c r="G4462" s="66" t="str">
        <x:v>Sarjana</x:v>
      </x:c>
      <x:c r="H4462" s="87" t="n">
        <x:v>30</x:v>
      </x:c>
      <x:c r="I4462" s="87" t="n">
        <x:v>30</x:v>
      </x:c>
      <x:c r="J4462" s="68" t="n">
        <x:f>IFERROR(H4462/I4462,"")</x:f>
        <x:v>1</x:v>
      </x:c>
      <x:c r="K4462" s="69" t="n">
        <x:f>IFERROR(I4462/H4462,"")</x:f>
        <x:v>1</x:v>
      </x:c>
      <x:c r="L4462" s="66" t="str">
        <x:f>IF(K4462="","","1 : "&amp;TEXT(K4462,"0.0"))</x:f>
        <x:v>1 : 1.0</x:v>
      </x:c>
      <x:c r="M4462" s="66" t="str">
        <x:f>IF(J4462="","Baru/Tanpa Data",IF(J4462&lt;='Catatan &amp; Sumber'!$B$14,"Sangat Ketat",IF(J4462&lt;='Catatan &amp; Sumber'!$B$15,"Ketat",IF(J4462&lt;='Catatan &amp; Sumber'!$B$16,"Sedang","Relatif Longgar"))))</x:f>
        <x:v>Relatif Longgar</x:v>
      </x:c>
      <x:c r="N4462" s="66" t="str">
        <x:v>Tidak Ada</x:v>
      </x:c>
      <x:c r="O4462" s="66" t="str">
        <x:v>Sulawesi Utara</x:v>
      </x:c>
      <x:c r="P4462" s="66" t="str">
        <x:v>Kota Manado</x:v>
      </x:c>
      <x:c r="Q4462" s="66" t="str">
        <x:v>https://snpmb.id/snbp/daya-tampung-snbp</x:v>
      </x:c>
      <x:c r="R4462" s="66" t="str">
        <x:v>https://sidatagrun-public-1076756628210.asia-southeast2.run.app/ptn_sn.php?ptn=721</x:v>
      </x:c>
    </x:row>
    <x:row r="4463">
      <x:c r="A4463" s="87" t="n">
        <x:v>4439</x:v>
      </x:c>
      <x:c r="B4463" s="66" t="n">
        <x:v>721</x:v>
      </x:c>
      <x:c r="C4463" s="66" t="str">
        <x:v>UNIVERSITAS SAM RATULANGI</x:v>
      </x:c>
      <x:c r="D4463" s="66" t="str">
        <x:v>PTN Akademik</x:v>
      </x:c>
      <x:c r="E4463" s="66" t="str">
        <x:v>17211019</x:v>
      </x:c>
      <x:c r="F4463" s="66" t="str">
        <x:v>ILMU KELAUTAN</x:v>
      </x:c>
      <x:c r="G4463" s="66" t="str">
        <x:v>Sarjana</x:v>
      </x:c>
      <x:c r="H4463" s="87" t="n">
        <x:v>30</x:v>
      </x:c>
      <x:c r="I4463" s="87" t="n">
        <x:v>25</x:v>
      </x:c>
      <x:c r="J4463" s="68" t="n">
        <x:f>IFERROR(H4463/I4463,"")</x:f>
        <x:v>1.2</x:v>
      </x:c>
      <x:c r="K4463" s="69" t="n">
        <x:f>IFERROR(I4463/H4463,"")</x:f>
        <x:v>0.8333333333333334</x:v>
      </x:c>
      <x:c r="L4463" s="66" t="str">
        <x:f>IF(K4463="","","1 : "&amp;TEXT(K4463,"0.0"))</x:f>
        <x:v>1 : 0.8</x:v>
      </x:c>
      <x:c r="M4463" s="66" t="str">
        <x:f>IF(J4463="","Baru/Tanpa Data",IF(J4463&lt;='Catatan &amp; Sumber'!$B$14,"Sangat Ketat",IF(J4463&lt;='Catatan &amp; Sumber'!$B$15,"Ketat",IF(J4463&lt;='Catatan &amp; Sumber'!$B$16,"Sedang","Relatif Longgar"))))</x:f>
        <x:v>Relatif Longgar</x:v>
      </x:c>
      <x:c r="N4463" s="66" t="str">
        <x:v>Tidak Ada</x:v>
      </x:c>
      <x:c r="O4463" s="66" t="str">
        <x:v>Sulawesi Utara</x:v>
      </x:c>
      <x:c r="P4463" s="66" t="str">
        <x:v>Kota Manado</x:v>
      </x:c>
      <x:c r="Q4463" s="66" t="str">
        <x:v>https://snpmb.id/snbp/daya-tampung-snbp</x:v>
      </x:c>
      <x:c r="R4463" s="66" t="str">
        <x:v>https://sidatagrun-public-1076756628210.asia-southeast2.run.app/ptn_sn.php?ptn=721</x:v>
      </x:c>
    </x:row>
    <x:row r="4464">
      <x:c r="A4464" s="87" t="n">
        <x:v>4759</x:v>
      </x:c>
      <x:c r="B4464" s="66" t="n">
        <x:v>721</x:v>
      </x:c>
      <x:c r="C4464" s="66" t="str">
        <x:v>UNIVERSITAS SAM RATULANGI</x:v>
      </x:c>
      <x:c r="D4464" s="66" t="str">
        <x:v>PTN Akademik</x:v>
      </x:c>
      <x:c r="E4464" s="66" t="str">
        <x:v>17211020</x:v>
      </x:c>
      <x:c r="F4464" s="66" t="str">
        <x:v>MANAJEMEN SUMBERDAYA PERAIRAN</x:v>
      </x:c>
      <x:c r="G4464" s="66" t="str">
        <x:v>Sarjana</x:v>
      </x:c>
      <x:c r="H4464" s="87" t="n">
        <x:v>12</x:v>
      </x:c>
      <x:c r="I4464" s="87" t="n">
        <x:v>4</x:v>
      </x:c>
      <x:c r="J4464" s="68" t="n">
        <x:f>IFERROR(H4464/I4464,"")</x:f>
        <x:v>3</x:v>
      </x:c>
      <x:c r="K4464" s="69" t="n">
        <x:f>IFERROR(I4464/H4464,"")</x:f>
        <x:v>0.3333333333333333</x:v>
      </x:c>
      <x:c r="L4464" s="66" t="str">
        <x:f>IF(K4464="","","1 : "&amp;TEXT(K4464,"0.0"))</x:f>
        <x:v>1 : 0.3</x:v>
      </x:c>
      <x:c r="M4464" s="66" t="str">
        <x:f>IF(J4464="","Baru/Tanpa Data",IF(J4464&lt;='Catatan &amp; Sumber'!$B$14,"Sangat Ketat",IF(J4464&lt;='Catatan &amp; Sumber'!$B$15,"Ketat",IF(J4464&lt;='Catatan &amp; Sumber'!$B$16,"Sedang","Relatif Longgar"))))</x:f>
        <x:v>Relatif Longgar</x:v>
      </x:c>
      <x:c r="N4464" s="66" t="str">
        <x:v>Tidak Ada</x:v>
      </x:c>
      <x:c r="O4464" s="66" t="str">
        <x:v>Sulawesi Utara</x:v>
      </x:c>
      <x:c r="P4464" s="66" t="str">
        <x:v>Kota Manado</x:v>
      </x:c>
      <x:c r="Q4464" s="66" t="str">
        <x:v>https://snpmb.id/snbp/daya-tampung-snbp</x:v>
      </x:c>
      <x:c r="R4464" s="66" t="str">
        <x:v>https://sidatagrun-public-1076756628210.asia-southeast2.run.app/ptn_sn.php?ptn=721</x:v>
      </x:c>
    </x:row>
    <x:row r="4465">
      <x:c r="A4465" s="87" t="n">
        <x:v>4841</x:v>
      </x:c>
      <x:c r="B4465" s="66" t="n">
        <x:v>721</x:v>
      </x:c>
      <x:c r="C4465" s="66" t="str">
        <x:v>UNIVERSITAS SAM RATULANGI</x:v>
      </x:c>
      <x:c r="D4465" s="66" t="str">
        <x:v>PTN Akademik</x:v>
      </x:c>
      <x:c r="E4465" s="66" t="str">
        <x:v>17211021</x:v>
      </x:c>
      <x:c r="F4465" s="66" t="str">
        <x:v>BUDIDAYA PERAIRAN</x:v>
      </x:c>
      <x:c r="G4465" s="66" t="str">
        <x:v>Sarjana</x:v>
      </x:c>
      <x:c r="H4465" s="87" t="n">
        <x:v>10</x:v>
      </x:c>
      <x:c r="I4465" s="87" t="n">
        <x:v>2</x:v>
      </x:c>
      <x:c r="J4465" s="68" t="n">
        <x:f>IFERROR(H4465/I4465,"")</x:f>
        <x:v>5</x:v>
      </x:c>
      <x:c r="K4465" s="69" t="n">
        <x:f>IFERROR(I4465/H4465,"")</x:f>
        <x:v>0.2</x:v>
      </x:c>
      <x:c r="L4465" s="66" t="str">
        <x:f>IF(K4465="","","1 : "&amp;TEXT(K4465,"0.0"))</x:f>
        <x:v>1 : 0.2</x:v>
      </x:c>
      <x:c r="M4465" s="66" t="str">
        <x:f>IF(J4465="","Baru/Tanpa Data",IF(J4465&lt;='Catatan &amp; Sumber'!$B$14,"Sangat Ketat",IF(J4465&lt;='Catatan &amp; Sumber'!$B$15,"Ketat",IF(J4465&lt;='Catatan &amp; Sumber'!$B$16,"Sedang","Relatif Longgar"))))</x:f>
        <x:v>Relatif Longgar</x:v>
      </x:c>
      <x:c r="N4465" s="66" t="str">
        <x:v>Tidak Ada</x:v>
      </x:c>
      <x:c r="O4465" s="66" t="str">
        <x:v>Sulawesi Utara</x:v>
      </x:c>
      <x:c r="P4465" s="66" t="str">
        <x:v>Kota Manado</x:v>
      </x:c>
      <x:c r="Q4465" s="66" t="str">
        <x:v>https://snpmb.id/snbp/daya-tampung-snbp</x:v>
      </x:c>
      <x:c r="R4465" s="66" t="str">
        <x:v>https://sidatagrun-public-1076756628210.asia-southeast2.run.app/ptn_sn.php?ptn=721</x:v>
      </x:c>
    </x:row>
    <x:row r="4466">
      <x:c r="A4466" s="87" t="n">
        <x:v>4841</x:v>
      </x:c>
      <x:c r="B4466" s="66" t="n">
        <x:v>721</x:v>
      </x:c>
      <x:c r="C4466" s="66" t="str">
        <x:v>UNIVERSITAS SAM RATULANGI</x:v>
      </x:c>
      <x:c r="D4466" s="66" t="str">
        <x:v>PTN Akademik</x:v>
      </x:c>
      <x:c r="E4466" s="66" t="str">
        <x:v>17211022</x:v>
      </x:c>
      <x:c r="F4466" s="66" t="str">
        <x:v>TEKNOLOGI HASIL PERIKANAN</x:v>
      </x:c>
      <x:c r="G4466" s="66" t="str">
        <x:v>Sarjana</x:v>
      </x:c>
      <x:c r="H4466" s="87" t="n">
        <x:v>10</x:v>
      </x:c>
      <x:c r="I4466" s="87" t="n">
        <x:v>2</x:v>
      </x:c>
      <x:c r="J4466" s="68" t="n">
        <x:f>IFERROR(H4466/I4466,"")</x:f>
        <x:v>5</x:v>
      </x:c>
      <x:c r="K4466" s="69" t="n">
        <x:f>IFERROR(I4466/H4466,"")</x:f>
        <x:v>0.2</x:v>
      </x:c>
      <x:c r="L4466" s="66" t="str">
        <x:f>IF(K4466="","","1 : "&amp;TEXT(K4466,"0.0"))</x:f>
        <x:v>1 : 0.2</x:v>
      </x:c>
      <x:c r="M4466" s="66" t="str">
        <x:f>IF(J4466="","Baru/Tanpa Data",IF(J4466&lt;='Catatan &amp; Sumber'!$B$14,"Sangat Ketat",IF(J4466&lt;='Catatan &amp; Sumber'!$B$15,"Ketat",IF(J4466&lt;='Catatan &amp; Sumber'!$B$16,"Sedang","Relatif Longgar"))))</x:f>
        <x:v>Relatif Longgar</x:v>
      </x:c>
      <x:c r="N4466" s="66" t="str">
        <x:v>Tidak Ada</x:v>
      </x:c>
      <x:c r="O4466" s="66" t="str">
        <x:v>Sulawesi Utara</x:v>
      </x:c>
      <x:c r="P4466" s="66" t="str">
        <x:v>Kota Manado</x:v>
      </x:c>
      <x:c r="Q4466" s="66" t="str">
        <x:v>https://snpmb.id/snbp/daya-tampung-snbp</x:v>
      </x:c>
      <x:c r="R4466" s="66" t="str">
        <x:v>https://sidatagrun-public-1076756628210.asia-southeast2.run.app/ptn_sn.php?ptn=721</x:v>
      </x:c>
    </x:row>
    <x:row r="4467">
      <x:c r="A4467" s="87" t="n">
        <x:v>4812</x:v>
      </x:c>
      <x:c r="B4467" s="66" t="n">
        <x:v>721</x:v>
      </x:c>
      <x:c r="C4467" s="66" t="str">
        <x:v>UNIVERSITAS SAM RATULANGI</x:v>
      </x:c>
      <x:c r="D4467" s="66" t="str">
        <x:v>PTN Akademik</x:v>
      </x:c>
      <x:c r="E4467" s="66" t="str">
        <x:v>17211023</x:v>
      </x:c>
      <x:c r="F4467" s="66" t="str">
        <x:v>AGROBISNIS PERIKANAN</x:v>
      </x:c>
      <x:c r="G4467" s="66" t="str">
        <x:v>Sarjana</x:v>
      </x:c>
      <x:c r="H4467" s="87" t="n">
        <x:v>12</x:v>
      </x:c>
      <x:c r="I4467" s="87" t="n">
        <x:v>3</x:v>
      </x:c>
      <x:c r="J4467" s="68" t="n">
        <x:f>IFERROR(H4467/I4467,"")</x:f>
        <x:v>4</x:v>
      </x:c>
      <x:c r="K4467" s="69" t="n">
        <x:f>IFERROR(I4467/H4467,"")</x:f>
        <x:v>0.25</x:v>
      </x:c>
      <x:c r="L4467" s="66" t="str">
        <x:f>IF(K4467="","","1 : "&amp;TEXT(K4467,"0.0"))</x:f>
        <x:v>1 : 0.3</x:v>
      </x:c>
      <x:c r="M4467" s="66" t="str">
        <x:f>IF(J4467="","Baru/Tanpa Data",IF(J4467&lt;='Catatan &amp; Sumber'!$B$14,"Sangat Ketat",IF(J4467&lt;='Catatan &amp; Sumber'!$B$15,"Ketat",IF(J4467&lt;='Catatan &amp; Sumber'!$B$16,"Sedang","Relatif Longgar"))))</x:f>
        <x:v>Relatif Longgar</x:v>
      </x:c>
      <x:c r="N4467" s="66" t="str">
        <x:v>Tidak Ada</x:v>
      </x:c>
      <x:c r="O4467" s="66" t="str">
        <x:v>Sulawesi Utara</x:v>
      </x:c>
      <x:c r="P4467" s="66" t="str">
        <x:v>Kota Manado</x:v>
      </x:c>
      <x:c r="Q4467" s="66" t="str">
        <x:v>https://snpmb.id/snbp/daya-tampung-snbp</x:v>
      </x:c>
      <x:c r="R4467" s="66" t="str">
        <x:v>https://sidatagrun-public-1076756628210.asia-southeast2.run.app/ptn_sn.php?ptn=721</x:v>
      </x:c>
    </x:row>
    <x:row r="4468">
      <x:c r="A4468" s="87" t="n">
        <x:v>4652</x:v>
      </x:c>
      <x:c r="B4468" s="66" t="n">
        <x:v>721</x:v>
      </x:c>
      <x:c r="C4468" s="66" t="str">
        <x:v>UNIVERSITAS SAM RATULANGI</x:v>
      </x:c>
      <x:c r="D4468" s="66" t="str">
        <x:v>PTN Akademik</x:v>
      </x:c>
      <x:c r="E4468" s="66" t="str">
        <x:v>17211024</x:v>
      </x:c>
      <x:c r="F4468" s="66" t="str">
        <x:v>PEMANFAATAN SUMBERDAYA PERIKANAN</x:v>
      </x:c>
      <x:c r="G4468" s="66" t="str">
        <x:v>Sarjana</x:v>
      </x:c>
      <x:c r="H4468" s="87" t="n">
        <x:v>6</x:v>
      </x:c>
      <x:c r="I4468" s="87" t="n">
        <x:v>3</x:v>
      </x:c>
      <x:c r="J4468" s="68" t="n">
        <x:f>IFERROR(H4468/I4468,"")</x:f>
        <x:v>2</x:v>
      </x:c>
      <x:c r="K4468" s="69" t="n">
        <x:f>IFERROR(I4468/H4468,"")</x:f>
        <x:v>0.5</x:v>
      </x:c>
      <x:c r="L4468" s="66" t="str">
        <x:f>IF(K4468="","","1 : "&amp;TEXT(K4468,"0.0"))</x:f>
        <x:v>1 : 0.5</x:v>
      </x:c>
      <x:c r="M4468" s="66" t="str">
        <x:f>IF(J4468="","Baru/Tanpa Data",IF(J4468&lt;='Catatan &amp; Sumber'!$B$14,"Sangat Ketat",IF(J4468&lt;='Catatan &amp; Sumber'!$B$15,"Ketat",IF(J4468&lt;='Catatan &amp; Sumber'!$B$16,"Sedang","Relatif Longgar"))))</x:f>
        <x:v>Relatif Longgar</x:v>
      </x:c>
      <x:c r="N4468" s="66" t="str">
        <x:v>Tidak Ada</x:v>
      </x:c>
      <x:c r="O4468" s="66" t="str">
        <x:v>Sulawesi Utara</x:v>
      </x:c>
      <x:c r="P4468" s="66" t="str">
        <x:v>Kota Manado</x:v>
      </x:c>
      <x:c r="Q4468" s="66" t="str">
        <x:v>https://snpmb.id/snbp/daya-tampung-snbp</x:v>
      </x:c>
      <x:c r="R4468" s="66" t="str">
        <x:v>https://sidatagrun-public-1076756628210.asia-southeast2.run.app/ptn_sn.php?ptn=721</x:v>
      </x:c>
    </x:row>
    <x:row r="4469">
      <x:c r="A4469" s="87" t="n">
        <x:v>3701</x:v>
      </x:c>
      <x:c r="B4469" s="66" t="n">
        <x:v>721</x:v>
      </x:c>
      <x:c r="C4469" s="66" t="str">
        <x:v>UNIVERSITAS SAM RATULANGI</x:v>
      </x:c>
      <x:c r="D4469" s="66" t="str">
        <x:v>PTN Akademik</x:v>
      </x:c>
      <x:c r="E4469" s="66" t="str">
        <x:v>17211025</x:v>
      </x:c>
      <x:c r="F4469" s="66" t="str">
        <x:v>KEHUTANAN</x:v>
      </x:c>
      <x:c r="G4469" s="66" t="str">
        <x:v>Sarjana</x:v>
      </x:c>
      <x:c r="H4469" s="87" t="n">
        <x:v>16</x:v>
      </x:c>
      <x:c r="I4469" s="87" t="n">
        <x:v>31</x:v>
      </x:c>
      <x:c r="J4469" s="68" t="n">
        <x:f>IFERROR(H4469/I4469,"")</x:f>
        <x:v>0.5161290322580645</x:v>
      </x:c>
      <x:c r="K4469" s="69" t="n">
        <x:f>IFERROR(I4469/H4469,"")</x:f>
        <x:v>1.9375</x:v>
      </x:c>
      <x:c r="L4469" s="66" t="str">
        <x:f>IF(K4469="","","1 : "&amp;TEXT(K4469,"0.0"))</x:f>
        <x:v>1 : 1.9</x:v>
      </x:c>
      <x:c r="M4469" s="66" t="str">
        <x:f>IF(J4469="","Baru/Tanpa Data",IF(J4469&lt;='Catatan &amp; Sumber'!$B$14,"Sangat Ketat",IF(J4469&lt;='Catatan &amp; Sumber'!$B$15,"Ketat",IF(J4469&lt;='Catatan &amp; Sumber'!$B$16,"Sedang","Relatif Longgar"))))</x:f>
        <x:v>Relatif Longgar</x:v>
      </x:c>
      <x:c r="N4469" s="66" t="str">
        <x:v>Tidak Ada</x:v>
      </x:c>
      <x:c r="O4469" s="66" t="str">
        <x:v>Sulawesi Utara</x:v>
      </x:c>
      <x:c r="P4469" s="66" t="str">
        <x:v>Kota Manado</x:v>
      </x:c>
      <x:c r="Q4469" s="66" t="str">
        <x:v>https://snpmb.id/snbp/daya-tampung-snbp</x:v>
      </x:c>
      <x:c r="R4469" s="66" t="str">
        <x:v>https://sidatagrun-public-1076756628210.asia-southeast2.run.app/ptn_sn.php?ptn=721</x:v>
      </x:c>
    </x:row>
    <x:row r="4470">
      <x:c r="A4470" s="87" t="n">
        <x:v>947</x:v>
      </x:c>
      <x:c r="B4470" s="66" t="n">
        <x:v>721</x:v>
      </x:c>
      <x:c r="C4470" s="66" t="str">
        <x:v>UNIVERSITAS SAM RATULANGI</x:v>
      </x:c>
      <x:c r="D4470" s="66" t="str">
        <x:v>PTN Akademik</x:v>
      </x:c>
      <x:c r="E4470" s="66" t="str">
        <x:v>17211026</x:v>
      </x:c>
      <x:c r="F4470" s="66" t="str">
        <x:v>INFORMATIKA</x:v>
      </x:c>
      <x:c r="G4470" s="66" t="str">
        <x:v>Sarjana</x:v>
      </x:c>
      <x:c r="H4470" s="87" t="n">
        <x:v>32</x:v>
      </x:c>
      <x:c r="I4470" s="87" t="n">
        <x:v>427</x:v>
      </x:c>
      <x:c r="J4470" s="68" t="n">
        <x:f>IFERROR(H4470/I4470,"")</x:f>
        <x:v>0.07494145199063232</x:v>
      </x:c>
      <x:c r="K4470" s="69" t="n">
        <x:f>IFERROR(I4470/H4470,"")</x:f>
        <x:v>13.34375</x:v>
      </x:c>
      <x:c r="L4470" s="66" t="str">
        <x:f>IF(K4470="","","1 : "&amp;TEXT(K4470,"0.0"))</x:f>
        <x:v>1 : 13.3</x:v>
      </x:c>
      <x:c r="M4470" s="66" t="str">
        <x:f>IF(J4470="","Baru/Tanpa Data",IF(J4470&lt;='Catatan &amp; Sumber'!$B$14,"Sangat Ketat",IF(J4470&lt;='Catatan &amp; Sumber'!$B$15,"Ketat",IF(J4470&lt;='Catatan &amp; Sumber'!$B$16,"Sedang","Relatif Longgar"))))</x:f>
        <x:v>Sedang</x:v>
      </x:c>
      <x:c r="N4470" s="66" t="str">
        <x:v>Tidak Ada</x:v>
      </x:c>
      <x:c r="O4470" s="66" t="str">
        <x:v>Sulawesi Utara</x:v>
      </x:c>
      <x:c r="P4470" s="66" t="str">
        <x:v>Kota Manado</x:v>
      </x:c>
      <x:c r="Q4470" s="66" t="str">
        <x:v>https://snpmb.id/snbp/daya-tampung-snbp</x:v>
      </x:c>
      <x:c r="R4470" s="66" t="str">
        <x:v>https://sidatagrun-public-1076756628210.asia-southeast2.run.app/ptn_sn.php?ptn=721</x:v>
      </x:c>
    </x:row>
    <x:row r="4471">
      <x:c r="A4471" s="87" t="n">
        <x:v>304</x:v>
      </x:c>
      <x:c r="B4471" s="66" t="n">
        <x:v>721</x:v>
      </x:c>
      <x:c r="C4471" s="66" t="str">
        <x:v>UNIVERSITAS SAM RATULANGI</x:v>
      </x:c>
      <x:c r="D4471" s="66" t="str">
        <x:v>PTN Akademik</x:v>
      </x:c>
      <x:c r="E4471" s="66" t="str">
        <x:v>17211027</x:v>
      </x:c>
      <x:c r="F4471" s="66" t="str">
        <x:v>FARMASI</x:v>
      </x:c>
      <x:c r="G4471" s="66" t="str">
        <x:v>Sarjana</x:v>
      </x:c>
      <x:c r="H4471" s="87" t="n">
        <x:v>28</x:v>
      </x:c>
      <x:c r="I4471" s="87" t="n">
        <x:v>657</x:v>
      </x:c>
      <x:c r="J4471" s="68" t="n">
        <x:f>IFERROR(H4471/I4471,"")</x:f>
        <x:v>0.0426179604261796</x:v>
      </x:c>
      <x:c r="K4471" s="69" t="n">
        <x:f>IFERROR(I4471/H4471,"")</x:f>
        <x:v>23.464285714285715</x:v>
      </x:c>
      <x:c r="L4471" s="66" t="str">
        <x:f>IF(K4471="","","1 : "&amp;TEXT(K4471,"0.0"))</x:f>
        <x:v>1 : 23.5</x:v>
      </x:c>
      <x:c r="M4471" s="66" t="str">
        <x:f>IF(J4471="","Baru/Tanpa Data",IF(J4471&lt;='Catatan &amp; Sumber'!$B$14,"Sangat Ketat",IF(J4471&lt;='Catatan &amp; Sumber'!$B$15,"Ketat",IF(J4471&lt;='Catatan &amp; Sumber'!$B$16,"Sedang","Relatif Longgar"))))</x:f>
        <x:v>Ketat</x:v>
      </x:c>
      <x:c r="N4471" s="66" t="str">
        <x:v>Tidak Ada</x:v>
      </x:c>
      <x:c r="O4471" s="66" t="str">
        <x:v>Sulawesi Utara</x:v>
      </x:c>
      <x:c r="P4471" s="66" t="str">
        <x:v>Kota Manado</x:v>
      </x:c>
      <x:c r="Q4471" s="66" t="str">
        <x:v>https://snpmb.id/snbp/daya-tampung-snbp</x:v>
      </x:c>
      <x:c r="R4471" s="66" t="str">
        <x:v>https://sidatagrun-public-1076756628210.asia-southeast2.run.app/ptn_sn.php?ptn=721</x:v>
      </x:c>
    </x:row>
    <x:row r="4472">
      <x:c r="A4472" s="87" t="n">
        <x:v>2716</x:v>
      </x:c>
      <x:c r="B4472" s="66" t="n">
        <x:v>721</x:v>
      </x:c>
      <x:c r="C4472" s="66" t="str">
        <x:v>UNIVERSITAS SAM RATULANGI</x:v>
      </x:c>
      <x:c r="D4472" s="66" t="str">
        <x:v>PTN Akademik</x:v>
      </x:c>
      <x:c r="E4472" s="66" t="str">
        <x:v>17211028</x:v>
      </x:c>
      <x:c r="F4472" s="66" t="str">
        <x:v>TEKNIK LINGKUNGAN</x:v>
      </x:c>
      <x:c r="G4472" s="66" t="str">
        <x:v>Sarjana</x:v>
      </x:c>
      <x:c r="H4472" s="87" t="n">
        <x:v>16</x:v>
      </x:c>
      <x:c r="I4472" s="87" t="n">
        <x:v>65</x:v>
      </x:c>
      <x:c r="J4472" s="68" t="n">
        <x:f>IFERROR(H4472/I4472,"")</x:f>
        <x:v>0.24615384615384617</x:v>
      </x:c>
      <x:c r="K4472" s="69" t="n">
        <x:f>IFERROR(I4472/H4472,"")</x:f>
        <x:v>4.0625</x:v>
      </x:c>
      <x:c r="L4472" s="66" t="str">
        <x:f>IF(K4472="","","1 : "&amp;TEXT(K4472,"0.0"))</x:f>
        <x:v>1 : 4.1</x:v>
      </x:c>
      <x:c r="M4472" s="66" t="str">
        <x:f>IF(J4472="","Baru/Tanpa Data",IF(J4472&lt;='Catatan &amp; Sumber'!$B$14,"Sangat Ketat",IF(J4472&lt;='Catatan &amp; Sumber'!$B$15,"Ketat",IF(J4472&lt;='Catatan &amp; Sumber'!$B$16,"Sedang","Relatif Longgar"))))</x:f>
        <x:v>Relatif Longgar</x:v>
      </x:c>
      <x:c r="N4472" s="66" t="str">
        <x:v>Tidak Ada</x:v>
      </x:c>
      <x:c r="O4472" s="66" t="str">
        <x:v>Sulawesi Utara</x:v>
      </x:c>
      <x:c r="P4472" s="66" t="str">
        <x:v>Kota Manado</x:v>
      </x:c>
      <x:c r="Q4472" s="66" t="str">
        <x:v>https://snpmb.id/snbp/daya-tampung-snbp</x:v>
      </x:c>
      <x:c r="R4472" s="66" t="str">
        <x:v>https://sidatagrun-public-1076756628210.asia-southeast2.run.app/ptn_sn.php?ptn=721</x:v>
      </x:c>
    </x:row>
    <x:row r="4473">
      <x:c r="A4473" s="87" t="n">
        <x:v>2145</x:v>
      </x:c>
      <x:c r="B4473" s="66" t="n">
        <x:v>721</x:v>
      </x:c>
      <x:c r="C4473" s="66" t="str">
        <x:v>UNIVERSITAS SAM RATULANGI</x:v>
      </x:c>
      <x:c r="D4473" s="66" t="str">
        <x:v>PTN Akademik</x:v>
      </x:c>
      <x:c r="E4473" s="66" t="str">
        <x:v>17211029</x:v>
      </x:c>
      <x:c r="F4473" s="66" t="str">
        <x:v>SISTEM INFORMASI</x:v>
      </x:c>
      <x:c r="G4473" s="66" t="str">
        <x:v>Sarjana</x:v>
      </x:c>
      <x:c r="H4473" s="87" t="n">
        <x:v>24</x:v>
      </x:c>
      <x:c r="I4473" s="87" t="n">
        <x:v>145</x:v>
      </x:c>
      <x:c r="J4473" s="68" t="n">
        <x:f>IFERROR(H4473/I4473,"")</x:f>
        <x:v>0.16551724137931034</x:v>
      </x:c>
      <x:c r="K4473" s="69" t="n">
        <x:f>IFERROR(I4473/H4473,"")</x:f>
        <x:v>6.041666666666667</x:v>
      </x:c>
      <x:c r="L4473" s="66" t="str">
        <x:f>IF(K4473="","","1 : "&amp;TEXT(K4473,"0.0"))</x:f>
        <x:v>1 : 6.0</x:v>
      </x:c>
      <x:c r="M4473" s="66" t="str">
        <x:f>IF(J4473="","Baru/Tanpa Data",IF(J4473&lt;='Catatan &amp; Sumber'!$B$14,"Sangat Ketat",IF(J4473&lt;='Catatan &amp; Sumber'!$B$15,"Ketat",IF(J4473&lt;='Catatan &amp; Sumber'!$B$16,"Sedang","Relatif Longgar"))))</x:f>
        <x:v>Relatif Longgar</x:v>
      </x:c>
      <x:c r="N4473" s="66" t="str">
        <x:v>Tidak Ada</x:v>
      </x:c>
      <x:c r="O4473" s="66" t="str">
        <x:v>Sulawesi Utara</x:v>
      </x:c>
      <x:c r="P4473" s="66" t="str">
        <x:v>Kota Manado</x:v>
      </x:c>
      <x:c r="Q4473" s="66" t="str">
        <x:v>https://snpmb.id/snbp/daya-tampung-snbp</x:v>
      </x:c>
      <x:c r="R4473" s="66" t="str">
        <x:v>https://sidatagrun-public-1076756628210.asia-southeast2.run.app/ptn_sn.php?ptn=721</x:v>
      </x:c>
    </x:row>
    <x:row r="4474">
      <x:c r="A4474" s="87" t="n">
        <x:v>4652</x:v>
      </x:c>
      <x:c r="B4474" s="66" t="n">
        <x:v>721</x:v>
      </x:c>
      <x:c r="C4474" s="66" t="str">
        <x:v>UNIVERSITAS SAM RATULANGI</x:v>
      </x:c>
      <x:c r="D4474" s="66" t="str">
        <x:v>PTN Akademik</x:v>
      </x:c>
      <x:c r="E4474" s="66" t="str">
        <x:v>17211030</x:v>
      </x:c>
      <x:c r="F4474" s="66" t="str">
        <x:v>ILMU TANAH</x:v>
      </x:c>
      <x:c r="G4474" s="66" t="str">
        <x:v>Sarjana</x:v>
      </x:c>
      <x:c r="H4474" s="87" t="n">
        <x:v>12</x:v>
      </x:c>
      <x:c r="I4474" s="87" t="n">
        <x:v>6</x:v>
      </x:c>
      <x:c r="J4474" s="68" t="n">
        <x:f>IFERROR(H4474/I4474,"")</x:f>
        <x:v>2</x:v>
      </x:c>
      <x:c r="K4474" s="69" t="n">
        <x:f>IFERROR(I4474/H4474,"")</x:f>
        <x:v>0.5</x:v>
      </x:c>
      <x:c r="L4474" s="66" t="str">
        <x:f>IF(K4474="","","1 : "&amp;TEXT(K4474,"0.0"))</x:f>
        <x:v>1 : 0.5</x:v>
      </x:c>
      <x:c r="M4474" s="66" t="str">
        <x:f>IF(J4474="","Baru/Tanpa Data",IF(J4474&lt;='Catatan &amp; Sumber'!$B$14,"Sangat Ketat",IF(J4474&lt;='Catatan &amp; Sumber'!$B$15,"Ketat",IF(J4474&lt;='Catatan &amp; Sumber'!$B$16,"Sedang","Relatif Longgar"))))</x:f>
        <x:v>Relatif Longgar</x:v>
      </x:c>
      <x:c r="N4474" s="66" t="str">
        <x:v>Tidak Ada</x:v>
      </x:c>
      <x:c r="O4474" s="66" t="str">
        <x:v>Sulawesi Utara</x:v>
      </x:c>
      <x:c r="P4474" s="66" t="str">
        <x:v>Kota Manado</x:v>
      </x:c>
      <x:c r="Q4474" s="66" t="str">
        <x:v>https://snpmb.id/snbp/daya-tampung-snbp</x:v>
      </x:c>
      <x:c r="R4474" s="66" t="str">
        <x:v>https://sidatagrun-public-1076756628210.asia-southeast2.run.app/ptn_sn.php?ptn=721</x:v>
      </x:c>
    </x:row>
    <x:row r="4475">
      <x:c r="A4475" s="87" t="n">
        <x:v>4379</x:v>
      </x:c>
      <x:c r="B4475" s="66" t="n">
        <x:v>721</x:v>
      </x:c>
      <x:c r="C4475" s="66" t="str">
        <x:v>UNIVERSITAS SAM RATULANGI</x:v>
      </x:c>
      <x:c r="D4475" s="66" t="str">
        <x:v>PTN Akademik</x:v>
      </x:c>
      <x:c r="E4475" s="66" t="str">
        <x:v>17211031</x:v>
      </x:c>
      <x:c r="F4475" s="66" t="str">
        <x:v>AGRONOMI</x:v>
      </x:c>
      <x:c r="G4475" s="66" t="str">
        <x:v>Sarjana</x:v>
      </x:c>
      <x:c r="H4475" s="87" t="n">
        <x:v>12</x:v>
      </x:c>
      <x:c r="I4475" s="87" t="n">
        <x:v>11</x:v>
      </x:c>
      <x:c r="J4475" s="68" t="n">
        <x:f>IFERROR(H4475/I4475,"")</x:f>
        <x:v>1.0909090909090908</x:v>
      </x:c>
      <x:c r="K4475" s="69" t="n">
        <x:f>IFERROR(I4475/H4475,"")</x:f>
        <x:v>0.9166666666666666</x:v>
      </x:c>
      <x:c r="L4475" s="66" t="str">
        <x:f>IF(K4475="","","1 : "&amp;TEXT(K4475,"0.0"))</x:f>
        <x:v>1 : 0.9</x:v>
      </x:c>
      <x:c r="M4475" s="66" t="str">
        <x:f>IF(J4475="","Baru/Tanpa Data",IF(J4475&lt;='Catatan &amp; Sumber'!$B$14,"Sangat Ketat",IF(J4475&lt;='Catatan &amp; Sumber'!$B$15,"Ketat",IF(J4475&lt;='Catatan &amp; Sumber'!$B$16,"Sedang","Relatif Longgar"))))</x:f>
        <x:v>Relatif Longgar</x:v>
      </x:c>
      <x:c r="N4475" s="66" t="str">
        <x:v>Tidak Ada</x:v>
      </x:c>
      <x:c r="O4475" s="66" t="str">
        <x:v>Sulawesi Utara</x:v>
      </x:c>
      <x:c r="P4475" s="66" t="str">
        <x:v>Kota Manado</x:v>
      </x:c>
      <x:c r="Q4475" s="66" t="str">
        <x:v>https://snpmb.id/snbp/daya-tampung-snbp</x:v>
      </x:c>
      <x:c r="R4475" s="66" t="str">
        <x:v>https://sidatagrun-public-1076756628210.asia-southeast2.run.app/ptn_sn.php?ptn=721</x:v>
      </x:c>
    </x:row>
    <x:row r="4476">
      <x:c r="A4476" s="87" t="n">
        <x:v>3847</x:v>
      </x:c>
      <x:c r="B4476" s="66" t="n">
        <x:v>721</x:v>
      </x:c>
      <x:c r="C4476" s="66" t="str">
        <x:v>UNIVERSITAS SAM RATULANGI</x:v>
      </x:c>
      <x:c r="D4476" s="66" t="str">
        <x:v>PTN Akademik</x:v>
      </x:c>
      <x:c r="E4476" s="66" t="str">
        <x:v>17211032</x:v>
      </x:c>
      <x:c r="F4476" s="66" t="str">
        <x:v>PROTEKSI TANAMAN</x:v>
      </x:c>
      <x:c r="G4476" s="66" t="str">
        <x:v>Sarjana</x:v>
      </x:c>
      <x:c r="H4476" s="87" t="n">
        <x:v>12</x:v>
      </x:c>
      <x:c r="I4476" s="87" t="n">
        <x:v>20</x:v>
      </x:c>
      <x:c r="J4476" s="68" t="n">
        <x:f>IFERROR(H4476/I4476,"")</x:f>
        <x:v>0.6</x:v>
      </x:c>
      <x:c r="K4476" s="69" t="n">
        <x:f>IFERROR(I4476/H4476,"")</x:f>
        <x:v>1.6666666666666667</x:v>
      </x:c>
      <x:c r="L4476" s="66" t="str">
        <x:f>IF(K4476="","","1 : "&amp;TEXT(K4476,"0.0"))</x:f>
        <x:v>1 : 1.7</x:v>
      </x:c>
      <x:c r="M4476" s="66" t="str">
        <x:f>IF(J4476="","Baru/Tanpa Data",IF(J4476&lt;='Catatan &amp; Sumber'!$B$14,"Sangat Ketat",IF(J4476&lt;='Catatan &amp; Sumber'!$B$15,"Ketat",IF(J4476&lt;='Catatan &amp; Sumber'!$B$16,"Sedang","Relatif Longgar"))))</x:f>
        <x:v>Relatif Longgar</x:v>
      </x:c>
      <x:c r="N4476" s="66" t="str">
        <x:v>Tidak Ada</x:v>
      </x:c>
      <x:c r="O4476" s="66" t="str">
        <x:v>Sulawesi Utara</x:v>
      </x:c>
      <x:c r="P4476" s="66" t="str">
        <x:v>Kota Manado</x:v>
      </x:c>
      <x:c r="Q4476" s="66" t="str">
        <x:v>https://snpmb.id/snbp/daya-tampung-snbp</x:v>
      </x:c>
      <x:c r="R4476" s="66" t="str">
        <x:v>https://sidatagrun-public-1076756628210.asia-southeast2.run.app/ptn_sn.php?ptn=721</x:v>
      </x:c>
    </x:row>
    <x:row r="4477">
      <x:c r="A4477" s="87" t="n">
        <x:v>3634</x:v>
      </x:c>
      <x:c r="B4477" s="66" t="n">
        <x:v>721</x:v>
      </x:c>
      <x:c r="C4477" s="66" t="str">
        <x:v>UNIVERSITAS SAM RATULANGI</x:v>
      </x:c>
      <x:c r="D4477" s="66" t="str">
        <x:v>PTN Akademik</x:v>
      </x:c>
      <x:c r="E4477" s="66" t="str">
        <x:v>17211033</x:v>
      </x:c>
      <x:c r="F4477" s="66" t="str">
        <x:v>EKONOMI PEMBANGNAN</x:v>
      </x:c>
      <x:c r="G4477" s="66" t="str">
        <x:v>Sarjana</x:v>
      </x:c>
      <x:c r="H4477" s="87" t="n">
        <x:v>41</x:v>
      </x:c>
      <x:c r="I4477" s="87" t="n">
        <x:v>85</x:v>
      </x:c>
      <x:c r="J4477" s="68" t="n">
        <x:f>IFERROR(H4477/I4477,"")</x:f>
        <x:v>0.4823529411764706</x:v>
      </x:c>
      <x:c r="K4477" s="69" t="n">
        <x:f>IFERROR(I4477/H4477,"")</x:f>
        <x:v>2.073170731707317</x:v>
      </x:c>
      <x:c r="L4477" s="66" t="str">
        <x:f>IF(K4477="","","1 : "&amp;TEXT(K4477,"0.0"))</x:f>
        <x:v>1 : 2.1</x:v>
      </x:c>
      <x:c r="M4477" s="66" t="str">
        <x:f>IF(J4477="","Baru/Tanpa Data",IF(J4477&lt;='Catatan &amp; Sumber'!$B$14,"Sangat Ketat",IF(J4477&lt;='Catatan &amp; Sumber'!$B$15,"Ketat",IF(J4477&lt;='Catatan &amp; Sumber'!$B$16,"Sedang","Relatif Longgar"))))</x:f>
        <x:v>Relatif Longgar</x:v>
      </x:c>
      <x:c r="N4477" s="66" t="str">
        <x:v>Tidak Ada</x:v>
      </x:c>
      <x:c r="O4477" s="66" t="str">
        <x:v>Sulawesi Utara</x:v>
      </x:c>
      <x:c r="P4477" s="66" t="str">
        <x:v>Kota Manado</x:v>
      </x:c>
      <x:c r="Q4477" s="66" t="str">
        <x:v>https://snpmb.id/snbp/daya-tampung-snbp</x:v>
      </x:c>
      <x:c r="R4477" s="66" t="str">
        <x:v>https://sidatagrun-public-1076756628210.asia-southeast2.run.app/ptn_sn.php?ptn=721</x:v>
      </x:c>
    </x:row>
    <x:row r="4478">
      <x:c r="A4478" s="87" t="n">
        <x:v>1546</x:v>
      </x:c>
      <x:c r="B4478" s="66" t="n">
        <x:v>721</x:v>
      </x:c>
      <x:c r="C4478" s="66" t="str">
        <x:v>UNIVERSITAS SAM RATULANGI</x:v>
      </x:c>
      <x:c r="D4478" s="66" t="str">
        <x:v>PTN Akademik</x:v>
      </x:c>
      <x:c r="E4478" s="66" t="str">
        <x:v>17211034</x:v>
      </x:c>
      <x:c r="F4478" s="66" t="str">
        <x:v>MANAJEMEN</x:v>
      </x:c>
      <x:c r="G4478" s="66" t="str">
        <x:v>Sarjana</x:v>
      </x:c>
      <x:c r="H4478" s="87" t="n">
        <x:v>80</x:v>
      </x:c>
      <x:c r="I4478" s="87" t="n">
        <x:v>708</x:v>
      </x:c>
      <x:c r="J4478" s="68" t="n">
        <x:f>IFERROR(H4478/I4478,"")</x:f>
        <x:v>0.11299435028248588</x:v>
      </x:c>
      <x:c r="K4478" s="69" t="n">
        <x:f>IFERROR(I4478/H4478,"")</x:f>
        <x:v>8.85</x:v>
      </x:c>
      <x:c r="L4478" s="66" t="str">
        <x:f>IF(K4478="","","1 : "&amp;TEXT(K4478,"0.0"))</x:f>
        <x:v>1 : 8.9</x:v>
      </x:c>
      <x:c r="M4478" s="66" t="str">
        <x:f>IF(J4478="","Baru/Tanpa Data",IF(J4478&lt;='Catatan &amp; Sumber'!$B$14,"Sangat Ketat",IF(J4478&lt;='Catatan &amp; Sumber'!$B$15,"Ketat",IF(J4478&lt;='Catatan &amp; Sumber'!$B$16,"Sedang","Relatif Longgar"))))</x:f>
        <x:v>Relatif Longgar</x:v>
      </x:c>
      <x:c r="N4478" s="66" t="str">
        <x:v>Tidak Ada</x:v>
      </x:c>
      <x:c r="O4478" s="66" t="str">
        <x:v>Sulawesi Utara</x:v>
      </x:c>
      <x:c r="P4478" s="66" t="str">
        <x:v>Kota Manado</x:v>
      </x:c>
      <x:c r="Q4478" s="66" t="str">
        <x:v>https://snpmb.id/snbp/daya-tampung-snbp</x:v>
      </x:c>
      <x:c r="R4478" s="66" t="str">
        <x:v>https://sidatagrun-public-1076756628210.asia-southeast2.run.app/ptn_sn.php?ptn=721</x:v>
      </x:c>
    </x:row>
    <x:row r="4479">
      <x:c r="A4479" s="87" t="n">
        <x:v>1866</x:v>
      </x:c>
      <x:c r="B4479" s="66" t="n">
        <x:v>721</x:v>
      </x:c>
      <x:c r="C4479" s="66" t="str">
        <x:v>UNIVERSITAS SAM RATULANGI</x:v>
      </x:c>
      <x:c r="D4479" s="66" t="str">
        <x:v>PTN Akademik</x:v>
      </x:c>
      <x:c r="E4479" s="66" t="str">
        <x:v>17211035</x:v>
      </x:c>
      <x:c r="F4479" s="66" t="str">
        <x:v>AKUNTANSI</x:v>
      </x:c>
      <x:c r="G4479" s="66" t="str">
        <x:v>Sarjana</x:v>
      </x:c>
      <x:c r="H4479" s="87" t="n">
        <x:v>63</x:v>
      </x:c>
      <x:c r="I4479" s="87" t="n">
        <x:v>457</x:v>
      </x:c>
      <x:c r="J4479" s="68" t="n">
        <x:f>IFERROR(H4479/I4479,"")</x:f>
        <x:v>0.13785557986870897</x:v>
      </x:c>
      <x:c r="K4479" s="69" t="n">
        <x:f>IFERROR(I4479/H4479,"")</x:f>
        <x:v>7.253968253968254</x:v>
      </x:c>
      <x:c r="L4479" s="66" t="str">
        <x:f>IF(K4479="","","1 : "&amp;TEXT(K4479,"0.0"))</x:f>
        <x:v>1 : 7.3</x:v>
      </x:c>
      <x:c r="M4479" s="66" t="str">
        <x:f>IF(J4479="","Baru/Tanpa Data",IF(J4479&lt;='Catatan &amp; Sumber'!$B$14,"Sangat Ketat",IF(J4479&lt;='Catatan &amp; Sumber'!$B$15,"Ketat",IF(J4479&lt;='Catatan &amp; Sumber'!$B$16,"Sedang","Relatif Longgar"))))</x:f>
        <x:v>Relatif Longgar</x:v>
      </x:c>
      <x:c r="N4479" s="66" t="str">
        <x:v>Tidak Ada</x:v>
      </x:c>
      <x:c r="O4479" s="66" t="str">
        <x:v>Sulawesi Utara</x:v>
      </x:c>
      <x:c r="P4479" s="66" t="str">
        <x:v>Kota Manado</x:v>
      </x:c>
      <x:c r="Q4479" s="66" t="str">
        <x:v>https://snpmb.id/snbp/daya-tampung-snbp</x:v>
      </x:c>
      <x:c r="R4479" s="66" t="str">
        <x:v>https://sidatagrun-public-1076756628210.asia-southeast2.run.app/ptn_sn.php?ptn=721</x:v>
      </x:c>
    </x:row>
    <x:row r="4480">
      <x:c r="A4480" s="87" t="n">
        <x:v>2387</x:v>
      </x:c>
      <x:c r="B4480" s="66" t="n">
        <x:v>721</x:v>
      </x:c>
      <x:c r="C4480" s="66" t="str">
        <x:v>UNIVERSITAS SAM RATULANGI</x:v>
      </x:c>
      <x:c r="D4480" s="66" t="str">
        <x:v>PTN Akademik</x:v>
      </x:c>
      <x:c r="E4480" s="66" t="str">
        <x:v>17211036</x:v>
      </x:c>
      <x:c r="F4480" s="66" t="str">
        <x:v>ILMU ADMINISTRASI NEGARA</x:v>
      </x:c>
      <x:c r="G4480" s="66" t="str">
        <x:v>Sarjana</x:v>
      </x:c>
      <x:c r="H4480" s="87" t="n">
        <x:v>25</x:v>
      </x:c>
      <x:c r="I4480" s="87" t="n">
        <x:v>129</x:v>
      </x:c>
      <x:c r="J4480" s="68" t="n">
        <x:f>IFERROR(H4480/I4480,"")</x:f>
        <x:v>0.1937984496124031</x:v>
      </x:c>
      <x:c r="K4480" s="69" t="n">
        <x:f>IFERROR(I4480/H4480,"")</x:f>
        <x:v>5.16</x:v>
      </x:c>
      <x:c r="L4480" s="66" t="str">
        <x:f>IF(K4480="","","1 : "&amp;TEXT(K4480,"0.0"))</x:f>
        <x:v>1 : 5.2</x:v>
      </x:c>
      <x:c r="M4480" s="66" t="str">
        <x:f>IF(J4480="","Baru/Tanpa Data",IF(J4480&lt;='Catatan &amp; Sumber'!$B$14,"Sangat Ketat",IF(J4480&lt;='Catatan &amp; Sumber'!$B$15,"Ketat",IF(J4480&lt;='Catatan &amp; Sumber'!$B$16,"Sedang","Relatif Longgar"))))</x:f>
        <x:v>Relatif Longgar</x:v>
      </x:c>
      <x:c r="N4480" s="66" t="str">
        <x:v>Tidak Ada</x:v>
      </x:c>
      <x:c r="O4480" s="66" t="str">
        <x:v>Sulawesi Utara</x:v>
      </x:c>
      <x:c r="P4480" s="66" t="str">
        <x:v>Kota Manado</x:v>
      </x:c>
      <x:c r="Q4480" s="66" t="str">
        <x:v>https://snpmb.id/snbp/daya-tampung-snbp</x:v>
      </x:c>
      <x:c r="R4480" s="66" t="str">
        <x:v>https://sidatagrun-public-1076756628210.asia-southeast2.run.app/ptn_sn.php?ptn=721</x:v>
      </x:c>
    </x:row>
    <x:row r="4481">
      <x:c r="A4481" s="87" t="n">
        <x:v>1208</x:v>
      </x:c>
      <x:c r="B4481" s="66" t="n">
        <x:v>721</x:v>
      </x:c>
      <x:c r="C4481" s="66" t="str">
        <x:v>UNIVERSITAS SAM RATULANGI</x:v>
      </x:c>
      <x:c r="D4481" s="66" t="str">
        <x:v>PTN Akademik</x:v>
      </x:c>
      <x:c r="E4481" s="66" t="str">
        <x:v>17211037</x:v>
      </x:c>
      <x:c r="F4481" s="66" t="str">
        <x:v>ILMU ADMINISTRASI BISNIS</x:v>
      </x:c>
      <x:c r="G4481" s="66" t="str">
        <x:v>Sarjana</x:v>
      </x:c>
      <x:c r="H4481" s="87" t="n">
        <x:v>25</x:v>
      </x:c>
      <x:c r="I4481" s="87" t="n">
        <x:v>277</x:v>
      </x:c>
      <x:c r="J4481" s="68" t="n">
        <x:f>IFERROR(H4481/I4481,"")</x:f>
        <x:v>0.09025270758122744</x:v>
      </x:c>
      <x:c r="K4481" s="69" t="n">
        <x:f>IFERROR(I4481/H4481,"")</x:f>
        <x:v>11.08</x:v>
      </x:c>
      <x:c r="L4481" s="66" t="str">
        <x:f>IF(K4481="","","1 : "&amp;TEXT(K4481,"0.0"))</x:f>
        <x:v>1 : 11.1</x:v>
      </x:c>
      <x:c r="M4481" s="66" t="str">
        <x:f>IF(J4481="","Baru/Tanpa Data",IF(J4481&lt;='Catatan &amp; Sumber'!$B$14,"Sangat Ketat",IF(J4481&lt;='Catatan &amp; Sumber'!$B$15,"Ketat",IF(J4481&lt;='Catatan &amp; Sumber'!$B$16,"Sedang","Relatif Longgar"))))</x:f>
        <x:v>Sedang</x:v>
      </x:c>
      <x:c r="N4481" s="66" t="str">
        <x:v>Tidak Ada</x:v>
      </x:c>
      <x:c r="O4481" s="66" t="str">
        <x:v>Sulawesi Utara</x:v>
      </x:c>
      <x:c r="P4481" s="66" t="str">
        <x:v>Kota Manado</x:v>
      </x:c>
      <x:c r="Q4481" s="66" t="str">
        <x:v>https://snpmb.id/snbp/daya-tampung-snbp</x:v>
      </x:c>
      <x:c r="R4481" s="66" t="str">
        <x:v>https://sidatagrun-public-1076756628210.asia-southeast2.run.app/ptn_sn.php?ptn=721</x:v>
      </x:c>
    </x:row>
    <x:row r="4482">
      <x:c r="A4482" s="87" t="n">
        <x:v>2423</x:v>
      </x:c>
      <x:c r="B4482" s="66" t="n">
        <x:v>721</x:v>
      </x:c>
      <x:c r="C4482" s="66" t="str">
        <x:v>UNIVERSITAS SAM RATULANGI</x:v>
      </x:c>
      <x:c r="D4482" s="66" t="str">
        <x:v>PTN Akademik</x:v>
      </x:c>
      <x:c r="E4482" s="66" t="str">
        <x:v>17211038</x:v>
      </x:c>
      <x:c r="F4482" s="66" t="str">
        <x:v>ILMU PEMERINTAHAN</x:v>
      </x:c>
      <x:c r="G4482" s="66" t="str">
        <x:v>Sarjana</x:v>
      </x:c>
      <x:c r="H4482" s="87" t="n">
        <x:v>25</x:v>
      </x:c>
      <x:c r="I4482" s="87" t="n">
        <x:v>125</x:v>
      </x:c>
      <x:c r="J4482" s="68" t="n">
        <x:f>IFERROR(H4482/I4482,"")</x:f>
        <x:v>0.2</x:v>
      </x:c>
      <x:c r="K4482" s="69" t="n">
        <x:f>IFERROR(I4482/H4482,"")</x:f>
        <x:v>5</x:v>
      </x:c>
      <x:c r="L4482" s="66" t="str">
        <x:f>IF(K4482="","","1 : "&amp;TEXT(K4482,"0.0"))</x:f>
        <x:v>1 : 5.0</x:v>
      </x:c>
      <x:c r="M4482" s="66" t="str">
        <x:f>IF(J4482="","Baru/Tanpa Data",IF(J4482&lt;='Catatan &amp; Sumber'!$B$14,"Sangat Ketat",IF(J4482&lt;='Catatan &amp; Sumber'!$B$15,"Ketat",IF(J4482&lt;='Catatan &amp; Sumber'!$B$16,"Sedang","Relatif Longgar"))))</x:f>
        <x:v>Relatif Longgar</x:v>
      </x:c>
      <x:c r="N4482" s="66" t="str">
        <x:v>Tidak Ada</x:v>
      </x:c>
      <x:c r="O4482" s="66" t="str">
        <x:v>Sulawesi Utara</x:v>
      </x:c>
      <x:c r="P4482" s="66" t="str">
        <x:v>Kota Manado</x:v>
      </x:c>
      <x:c r="Q4482" s="66" t="str">
        <x:v>https://snpmb.id/snbp/daya-tampung-snbp</x:v>
      </x:c>
      <x:c r="R4482" s="66" t="str">
        <x:v>https://sidatagrun-public-1076756628210.asia-southeast2.run.app/ptn_sn.php?ptn=721</x:v>
      </x:c>
    </x:row>
    <x:row r="4483">
      <x:c r="A4483" s="87" t="n">
        <x:v>3371</x:v>
      </x:c>
      <x:c r="B4483" s="66" t="n">
        <x:v>721</x:v>
      </x:c>
      <x:c r="C4483" s="66" t="str">
        <x:v>UNIVERSITAS SAM RATULANGI</x:v>
      </x:c>
      <x:c r="D4483" s="66" t="str">
        <x:v>PTN Akademik</x:v>
      </x:c>
      <x:c r="E4483" s="66" t="str">
        <x:v>17211039</x:v>
      </x:c>
      <x:c r="F4483" s="66" t="str">
        <x:v>ILMU POLITIK</x:v>
      </x:c>
      <x:c r="G4483" s="66" t="str">
        <x:v>Sarjana</x:v>
      </x:c>
      <x:c r="H4483" s="87" t="n">
        <x:v>18</x:v>
      </x:c>
      <x:c r="I4483" s="87" t="n">
        <x:v>46</x:v>
      </x:c>
      <x:c r="J4483" s="68" t="n">
        <x:f>IFERROR(H4483/I4483,"")</x:f>
        <x:v>0.391304347826087</x:v>
      </x:c>
      <x:c r="K4483" s="69" t="n">
        <x:f>IFERROR(I4483/H4483,"")</x:f>
        <x:v>2.5555555555555554</x:v>
      </x:c>
      <x:c r="L4483" s="66" t="str">
        <x:f>IF(K4483="","","1 : "&amp;TEXT(K4483,"0.0"))</x:f>
        <x:v>1 : 2.6</x:v>
      </x:c>
      <x:c r="M4483" s="66" t="str">
        <x:f>IF(J4483="","Baru/Tanpa Data",IF(J4483&lt;='Catatan &amp; Sumber'!$B$14,"Sangat Ketat",IF(J4483&lt;='Catatan &amp; Sumber'!$B$15,"Ketat",IF(J4483&lt;='Catatan &amp; Sumber'!$B$16,"Sedang","Relatif Longgar"))))</x:f>
        <x:v>Relatif Longgar</x:v>
      </x:c>
      <x:c r="N4483" s="66" t="str">
        <x:v>Tidak Ada</x:v>
      </x:c>
      <x:c r="O4483" s="66" t="str">
        <x:v>Sulawesi Utara</x:v>
      </x:c>
      <x:c r="P4483" s="66" t="str">
        <x:v>Kota Manado</x:v>
      </x:c>
      <x:c r="Q4483" s="66" t="str">
        <x:v>https://snpmb.id/snbp/daya-tampung-snbp</x:v>
      </x:c>
      <x:c r="R4483" s="66" t="str">
        <x:v>https://sidatagrun-public-1076756628210.asia-southeast2.run.app/ptn_sn.php?ptn=721</x:v>
      </x:c>
    </x:row>
    <x:row r="4484">
      <x:c r="A4484" s="87" t="n">
        <x:v>3847</x:v>
      </x:c>
      <x:c r="B4484" s="66" t="n">
        <x:v>721</x:v>
      </x:c>
      <x:c r="C4484" s="66" t="str">
        <x:v>UNIVERSITAS SAM RATULANGI</x:v>
      </x:c>
      <x:c r="D4484" s="66" t="str">
        <x:v>PTN Akademik</x:v>
      </x:c>
      <x:c r="E4484" s="66" t="str">
        <x:v>17211040</x:v>
      </x:c>
      <x:c r="F4484" s="66" t="str">
        <x:v>SOSIOLOGI</x:v>
      </x:c>
      <x:c r="G4484" s="66" t="str">
        <x:v>Sarjana</x:v>
      </x:c>
      <x:c r="H4484" s="87" t="n">
        <x:v>18</x:v>
      </x:c>
      <x:c r="I4484" s="87" t="n">
        <x:v>30</x:v>
      </x:c>
      <x:c r="J4484" s="68" t="n">
        <x:f>IFERROR(H4484/I4484,"")</x:f>
        <x:v>0.6</x:v>
      </x:c>
      <x:c r="K4484" s="69" t="n">
        <x:f>IFERROR(I4484/H4484,"")</x:f>
        <x:v>1.6666666666666667</x:v>
      </x:c>
      <x:c r="L4484" s="66" t="str">
        <x:f>IF(K4484="","","1 : "&amp;TEXT(K4484,"0.0"))</x:f>
        <x:v>1 : 1.7</x:v>
      </x:c>
      <x:c r="M4484" s="66" t="str">
        <x:f>IF(J4484="","Baru/Tanpa Data",IF(J4484&lt;='Catatan &amp; Sumber'!$B$14,"Sangat Ketat",IF(J4484&lt;='Catatan &amp; Sumber'!$B$15,"Ketat",IF(J4484&lt;='Catatan &amp; Sumber'!$B$16,"Sedang","Relatif Longgar"))))</x:f>
        <x:v>Relatif Longgar</x:v>
      </x:c>
      <x:c r="N4484" s="66" t="str">
        <x:v>Tidak Ada</x:v>
      </x:c>
      <x:c r="O4484" s="66" t="str">
        <x:v>Sulawesi Utara</x:v>
      </x:c>
      <x:c r="P4484" s="66" t="str">
        <x:v>Kota Manado</x:v>
      </x:c>
      <x:c r="Q4484" s="66" t="str">
        <x:v>https://snpmb.id/snbp/daya-tampung-snbp</x:v>
      </x:c>
      <x:c r="R4484" s="66" t="str">
        <x:v>https://sidatagrun-public-1076756628210.asia-southeast2.run.app/ptn_sn.php?ptn=721</x:v>
      </x:c>
    </x:row>
    <x:row r="4485">
      <x:c r="A4485" s="87" t="n">
        <x:v>1670</x:v>
      </x:c>
      <x:c r="B4485" s="66" t="n">
        <x:v>721</x:v>
      </x:c>
      <x:c r="C4485" s="66" t="str">
        <x:v>UNIVERSITAS SAM RATULANGI</x:v>
      </x:c>
      <x:c r="D4485" s="66" t="str">
        <x:v>PTN Akademik</x:v>
      </x:c>
      <x:c r="E4485" s="66" t="str">
        <x:v>17211041</x:v>
      </x:c>
      <x:c r="F4485" s="66" t="str">
        <x:v>ILMU KOMUNIKASI</x:v>
      </x:c>
      <x:c r="G4485" s="66" t="str">
        <x:v>Sarjana</x:v>
      </x:c>
      <x:c r="H4485" s="87" t="n">
        <x:v>25</x:v>
      </x:c>
      <x:c r="I4485" s="87" t="n">
        <x:v>205</x:v>
      </x:c>
      <x:c r="J4485" s="68" t="n">
        <x:f>IFERROR(H4485/I4485,"")</x:f>
        <x:v>0.12195121951219512</x:v>
      </x:c>
      <x:c r="K4485" s="69" t="n">
        <x:f>IFERROR(I4485/H4485,"")</x:f>
        <x:v>8.2</x:v>
      </x:c>
      <x:c r="L4485" s="66" t="str">
        <x:f>IF(K4485="","","1 : "&amp;TEXT(K4485,"0.0"))</x:f>
        <x:v>1 : 8.2</x:v>
      </x:c>
      <x:c r="M4485" s="66" t="str">
        <x:f>IF(J4485="","Baru/Tanpa Data",IF(J4485&lt;='Catatan &amp; Sumber'!$B$14,"Sangat Ketat",IF(J4485&lt;='Catatan &amp; Sumber'!$B$15,"Ketat",IF(J4485&lt;='Catatan &amp; Sumber'!$B$16,"Sedang","Relatif Longgar"))))</x:f>
        <x:v>Relatif Longgar</x:v>
      </x:c>
      <x:c r="N4485" s="66" t="str">
        <x:v>Tidak Ada</x:v>
      </x:c>
      <x:c r="O4485" s="66" t="str">
        <x:v>Sulawesi Utara</x:v>
      </x:c>
      <x:c r="P4485" s="66" t="str">
        <x:v>Kota Manado</x:v>
      </x:c>
      <x:c r="Q4485" s="66" t="str">
        <x:v>https://snpmb.id/snbp/daya-tampung-snbp</x:v>
      </x:c>
      <x:c r="R4485" s="66" t="str">
        <x:v>https://sidatagrun-public-1076756628210.asia-southeast2.run.app/ptn_sn.php?ptn=721</x:v>
      </x:c>
    </x:row>
    <x:row r="4486">
      <x:c r="A4486" s="87" t="n">
        <x:v>4266</x:v>
      </x:c>
      <x:c r="B4486" s="66" t="n">
        <x:v>721</x:v>
      </x:c>
      <x:c r="C4486" s="66" t="str">
        <x:v>UNIVERSITAS SAM RATULANGI</x:v>
      </x:c>
      <x:c r="D4486" s="66" t="str">
        <x:v>PTN Akademik</x:v>
      </x:c>
      <x:c r="E4486" s="66" t="str">
        <x:v>17211042</x:v>
      </x:c>
      <x:c r="F4486" s="66" t="str">
        <x:v>ILMU PERPUSTAKAAN</x:v>
      </x:c>
      <x:c r="G4486" s="66" t="str">
        <x:v>Sarjana</x:v>
      </x:c>
      <x:c r="H4486" s="87" t="n">
        <x:v>12</x:v>
      </x:c>
      <x:c r="I4486" s="87" t="n">
        <x:v>13</x:v>
      </x:c>
      <x:c r="J4486" s="68" t="n">
        <x:f>IFERROR(H4486/I4486,"")</x:f>
        <x:v>0.9230769230769231</x:v>
      </x:c>
      <x:c r="K4486" s="69" t="n">
        <x:f>IFERROR(I4486/H4486,"")</x:f>
        <x:v>1.0833333333333333</x:v>
      </x:c>
      <x:c r="L4486" s="66" t="str">
        <x:f>IF(K4486="","","1 : "&amp;TEXT(K4486,"0.0"))</x:f>
        <x:v>1 : 1.1</x:v>
      </x:c>
      <x:c r="M4486" s="66" t="str">
        <x:f>IF(J4486="","Baru/Tanpa Data",IF(J4486&lt;='Catatan &amp; Sumber'!$B$14,"Sangat Ketat",IF(J4486&lt;='Catatan &amp; Sumber'!$B$15,"Ketat",IF(J4486&lt;='Catatan &amp; Sumber'!$B$16,"Sedang","Relatif Longgar"))))</x:f>
        <x:v>Relatif Longgar</x:v>
      </x:c>
      <x:c r="N4486" s="66" t="str">
        <x:v>Tidak Ada</x:v>
      </x:c>
      <x:c r="O4486" s="66" t="str">
        <x:v>Sulawesi Utara</x:v>
      </x:c>
      <x:c r="P4486" s="66" t="str">
        <x:v>Kota Manado</x:v>
      </x:c>
      <x:c r="Q4486" s="66" t="str">
        <x:v>https://snpmb.id/snbp/daya-tampung-snbp</x:v>
      </x:c>
      <x:c r="R4486" s="66" t="str">
        <x:v>https://sidatagrun-public-1076756628210.asia-southeast2.run.app/ptn_sn.php?ptn=721</x:v>
      </x:c>
    </x:row>
    <x:row r="4487">
      <x:c r="A4487" s="87" t="n">
        <x:v>2857</x:v>
      </x:c>
      <x:c r="B4487" s="66" t="n">
        <x:v>721</x:v>
      </x:c>
      <x:c r="C4487" s="66" t="str">
        <x:v>UNIVERSITAS SAM RATULANGI</x:v>
      </x:c>
      <x:c r="D4487" s="66" t="str">
        <x:v>PTN Akademik</x:v>
      </x:c>
      <x:c r="E4487" s="66" t="str">
        <x:v>17211043</x:v>
      </x:c>
      <x:c r="F4487" s="66" t="str">
        <x:v>ILMU HUKUM</x:v>
      </x:c>
      <x:c r="G4487" s="66" t="str">
        <x:v>Sarjana</x:v>
      </x:c>
      <x:c r="H4487" s="87" t="n">
        <x:v>140</x:v>
      </x:c>
      <x:c r="I4487" s="87" t="n">
        <x:v>522</x:v>
      </x:c>
      <x:c r="J4487" s="68" t="n">
        <x:f>IFERROR(H4487/I4487,"")</x:f>
        <x:v>0.2681992337164751</x:v>
      </x:c>
      <x:c r="K4487" s="69" t="n">
        <x:f>IFERROR(I4487/H4487,"")</x:f>
        <x:v>3.7285714285714286</x:v>
      </x:c>
      <x:c r="L4487" s="66" t="str">
        <x:f>IF(K4487="","","1 : "&amp;TEXT(K4487,"0.0"))</x:f>
        <x:v>1 : 3.7</x:v>
      </x:c>
      <x:c r="M4487" s="66" t="str">
        <x:f>IF(J4487="","Baru/Tanpa Data",IF(J4487&lt;='Catatan &amp; Sumber'!$B$14,"Sangat Ketat",IF(J4487&lt;='Catatan &amp; Sumber'!$B$15,"Ketat",IF(J4487&lt;='Catatan &amp; Sumber'!$B$16,"Sedang","Relatif Longgar"))))</x:f>
        <x:v>Relatif Longgar</x:v>
      </x:c>
      <x:c r="N4487" s="66" t="str">
        <x:v>Tidak Ada</x:v>
      </x:c>
      <x:c r="O4487" s="66" t="str">
        <x:v>Sulawesi Utara</x:v>
      </x:c>
      <x:c r="P4487" s="66" t="str">
        <x:v>Kota Manado</x:v>
      </x:c>
      <x:c r="Q4487" s="66" t="str">
        <x:v>https://snpmb.id/snbp/daya-tampung-snbp</x:v>
      </x:c>
      <x:c r="R4487" s="66" t="str">
        <x:v>https://sidatagrun-public-1076756628210.asia-southeast2.run.app/ptn_sn.php?ptn=721</x:v>
      </x:c>
    </x:row>
    <x:row r="4488">
      <x:c r="A4488" s="87" t="n">
        <x:v>3958</x:v>
      </x:c>
      <x:c r="B4488" s="66" t="n">
        <x:v>721</x:v>
      </x:c>
      <x:c r="C4488" s="66" t="str">
        <x:v>UNIVERSITAS SAM RATULANGI</x:v>
      </x:c>
      <x:c r="D4488" s="66" t="str">
        <x:v>PTN Akademik</x:v>
      </x:c>
      <x:c r="E4488" s="66" t="str">
        <x:v>17211044</x:v>
      </x:c>
      <x:c r="F4488" s="66" t="str">
        <x:v>SASTRA INDONESIA</x:v>
      </x:c>
      <x:c r="G4488" s="66" t="str">
        <x:v>Sarjana</x:v>
      </x:c>
      <x:c r="H4488" s="87" t="n">
        <x:v>12</x:v>
      </x:c>
      <x:c r="I4488" s="87" t="n">
        <x:v>18</x:v>
      </x:c>
      <x:c r="J4488" s="68" t="n">
        <x:f>IFERROR(H4488/I4488,"")</x:f>
        <x:v>0.6666666666666666</x:v>
      </x:c>
      <x:c r="K4488" s="69" t="n">
        <x:f>IFERROR(I4488/H4488,"")</x:f>
        <x:v>1.5</x:v>
      </x:c>
      <x:c r="L4488" s="66" t="str">
        <x:f>IF(K4488="","","1 : "&amp;TEXT(K4488,"0.0"))</x:f>
        <x:v>1 : 1.5</x:v>
      </x:c>
      <x:c r="M4488" s="66" t="str">
        <x:f>IF(J4488="","Baru/Tanpa Data",IF(J4488&lt;='Catatan &amp; Sumber'!$B$14,"Sangat Ketat",IF(J4488&lt;='Catatan &amp; Sumber'!$B$15,"Ketat",IF(J4488&lt;='Catatan &amp; Sumber'!$B$16,"Sedang","Relatif Longgar"))))</x:f>
        <x:v>Relatif Longgar</x:v>
      </x:c>
      <x:c r="N4488" s="66" t="str">
        <x:v>Tidak Ada</x:v>
      </x:c>
      <x:c r="O4488" s="66" t="str">
        <x:v>Sulawesi Utara</x:v>
      </x:c>
      <x:c r="P4488" s="66" t="str">
        <x:v>Kota Manado</x:v>
      </x:c>
      <x:c r="Q4488" s="66" t="str">
        <x:v>https://snpmb.id/snbp/daya-tampung-snbp</x:v>
      </x:c>
      <x:c r="R4488" s="66" t="str">
        <x:v>https://sidatagrun-public-1076756628210.asia-southeast2.run.app/ptn_sn.php?ptn=721</x:v>
      </x:c>
    </x:row>
    <x:row r="4489">
      <x:c r="A4489" s="87" t="n">
        <x:v>2604</x:v>
      </x:c>
      <x:c r="B4489" s="66" t="n">
        <x:v>721</x:v>
      </x:c>
      <x:c r="C4489" s="66" t="str">
        <x:v>UNIVERSITAS SAM RATULANGI</x:v>
      </x:c>
      <x:c r="D4489" s="66" t="str">
        <x:v>PTN Akademik</x:v>
      </x:c>
      <x:c r="E4489" s="66" t="str">
        <x:v>17211045</x:v>
      </x:c>
      <x:c r="F4489" s="66" t="str">
        <x:v>SASTRA INGGRIS</x:v>
      </x:c>
      <x:c r="G4489" s="66" t="str">
        <x:v>Sarjana</x:v>
      </x:c>
      <x:c r="H4489" s="87" t="n">
        <x:v>24</x:v>
      </x:c>
      <x:c r="I4489" s="87" t="n">
        <x:v>105</x:v>
      </x:c>
      <x:c r="J4489" s="68" t="n">
        <x:f>IFERROR(H4489/I4489,"")</x:f>
        <x:v>0.22857142857142856</x:v>
      </x:c>
      <x:c r="K4489" s="69" t="n">
        <x:f>IFERROR(I4489/H4489,"")</x:f>
        <x:v>4.375</x:v>
      </x:c>
      <x:c r="L4489" s="66" t="str">
        <x:f>IF(K4489="","","1 : "&amp;TEXT(K4489,"0.0"))</x:f>
        <x:v>1 : 4.4</x:v>
      </x:c>
      <x:c r="M4489" s="66" t="str">
        <x:f>IF(J4489="","Baru/Tanpa Data",IF(J4489&lt;='Catatan &amp; Sumber'!$B$14,"Sangat Ketat",IF(J4489&lt;='Catatan &amp; Sumber'!$B$15,"Ketat",IF(J4489&lt;='Catatan &amp; Sumber'!$B$16,"Sedang","Relatif Longgar"))))</x:f>
        <x:v>Relatif Longgar</x:v>
      </x:c>
      <x:c r="N4489" s="66" t="str">
        <x:v>Tidak Ada</x:v>
      </x:c>
      <x:c r="O4489" s="66" t="str">
        <x:v>Sulawesi Utara</x:v>
      </x:c>
      <x:c r="P4489" s="66" t="str">
        <x:v>Kota Manado</x:v>
      </x:c>
      <x:c r="Q4489" s="66" t="str">
        <x:v>https://snpmb.id/snbp/daya-tampung-snbp</x:v>
      </x:c>
      <x:c r="R4489" s="66" t="str">
        <x:v>https://sidatagrun-public-1076756628210.asia-southeast2.run.app/ptn_sn.php?ptn=721</x:v>
      </x:c>
    </x:row>
    <x:row r="4490">
      <x:c r="A4490" s="87" t="n">
        <x:v>4156</x:v>
      </x:c>
      <x:c r="B4490" s="66" t="n">
        <x:v>721</x:v>
      </x:c>
      <x:c r="C4490" s="66" t="str">
        <x:v>UNIVERSITAS SAM RATULANGI</x:v>
      </x:c>
      <x:c r="D4490" s="66" t="str">
        <x:v>PTN Akademik</x:v>
      </x:c>
      <x:c r="E4490" s="66" t="str">
        <x:v>17211046</x:v>
      </x:c>
      <x:c r="F4490" s="66" t="str">
        <x:v>SASTRA JERMAN</x:v>
      </x:c>
      <x:c r="G4490" s="66" t="str">
        <x:v>Sarjana</x:v>
      </x:c>
      <x:c r="H4490" s="87" t="n">
        <x:v>9</x:v>
      </x:c>
      <x:c r="I4490" s="87" t="n">
        <x:v>11</x:v>
      </x:c>
      <x:c r="J4490" s="68" t="n">
        <x:f>IFERROR(H4490/I4490,"")</x:f>
        <x:v>0.8181818181818182</x:v>
      </x:c>
      <x:c r="K4490" s="69" t="n">
        <x:f>IFERROR(I4490/H4490,"")</x:f>
        <x:v>1.2222222222222223</x:v>
      </x:c>
      <x:c r="L4490" s="66" t="str">
        <x:f>IF(K4490="","","1 : "&amp;TEXT(K4490,"0.0"))</x:f>
        <x:v>1 : 1.2</x:v>
      </x:c>
      <x:c r="M4490" s="66" t="str">
        <x:f>IF(J4490="","Baru/Tanpa Data",IF(J4490&lt;='Catatan &amp; Sumber'!$B$14,"Sangat Ketat",IF(J4490&lt;='Catatan &amp; Sumber'!$B$15,"Ketat",IF(J4490&lt;='Catatan &amp; Sumber'!$B$16,"Sedang","Relatif Longgar"))))</x:f>
        <x:v>Relatif Longgar</x:v>
      </x:c>
      <x:c r="N4490" s="66" t="str">
        <x:v>Tidak Ada</x:v>
      </x:c>
      <x:c r="O4490" s="66" t="str">
        <x:v>Sulawesi Utara</x:v>
      </x:c>
      <x:c r="P4490" s="66" t="str">
        <x:v>Kota Manado</x:v>
      </x:c>
      <x:c r="Q4490" s="66" t="str">
        <x:v>https://snpmb.id/snbp/daya-tampung-snbp</x:v>
      </x:c>
      <x:c r="R4490" s="66" t="str">
        <x:v>https://sidatagrun-public-1076756628210.asia-southeast2.run.app/ptn_sn.php?ptn=721</x:v>
      </x:c>
    </x:row>
    <x:row r="4491">
      <x:c r="A4491" s="87" t="n">
        <x:v>4037</x:v>
      </x:c>
      <x:c r="B4491" s="66" t="n">
        <x:v>721</x:v>
      </x:c>
      <x:c r="C4491" s="66" t="str">
        <x:v>UNIVERSITAS SAM RATULANGI</x:v>
      </x:c>
      <x:c r="D4491" s="66" t="str">
        <x:v>PTN Akademik</x:v>
      </x:c>
      <x:c r="E4491" s="66" t="str">
        <x:v>17211047</x:v>
      </x:c>
      <x:c r="F4491" s="66" t="str">
        <x:v>ILMU SEJARAH</x:v>
      </x:c>
      <x:c r="G4491" s="66" t="str">
        <x:v>Sarjana</x:v>
      </x:c>
      <x:c r="H4491" s="87" t="n">
        <x:v>10</x:v>
      </x:c>
      <x:c r="I4491" s="87" t="n">
        <x:v>14</x:v>
      </x:c>
      <x:c r="J4491" s="68" t="n">
        <x:f>IFERROR(H4491/I4491,"")</x:f>
        <x:v>0.7142857142857143</x:v>
      </x:c>
      <x:c r="K4491" s="69" t="n">
        <x:f>IFERROR(I4491/H4491,"")</x:f>
        <x:v>1.4</x:v>
      </x:c>
      <x:c r="L4491" s="66" t="str">
        <x:f>IF(K4491="","","1 : "&amp;TEXT(K4491,"0.0"))</x:f>
        <x:v>1 : 1.4</x:v>
      </x:c>
      <x:c r="M4491" s="66" t="str">
        <x:f>IF(J4491="","Baru/Tanpa Data",IF(J4491&lt;='Catatan &amp; Sumber'!$B$14,"Sangat Ketat",IF(J4491&lt;='Catatan &amp; Sumber'!$B$15,"Ketat",IF(J4491&lt;='Catatan &amp; Sumber'!$B$16,"Sedang","Relatif Longgar"))))</x:f>
        <x:v>Relatif Longgar</x:v>
      </x:c>
      <x:c r="N4491" s="66" t="str">
        <x:v>Tidak Ada</x:v>
      </x:c>
      <x:c r="O4491" s="66" t="str">
        <x:v>Sulawesi Utara</x:v>
      </x:c>
      <x:c r="P4491" s="66" t="str">
        <x:v>Kota Manado</x:v>
      </x:c>
      <x:c r="Q4491" s="66" t="str">
        <x:v>https://snpmb.id/snbp/daya-tampung-snbp</x:v>
      </x:c>
      <x:c r="R4491" s="66" t="str">
        <x:v>https://sidatagrun-public-1076756628210.asia-southeast2.run.app/ptn_sn.php?ptn=721</x:v>
      </x:c>
    </x:row>
    <x:row r="4492">
      <x:c r="A4492" s="87" t="n">
        <x:v>4379</x:v>
      </x:c>
      <x:c r="B4492" s="66" t="n">
        <x:v>721</x:v>
      </x:c>
      <x:c r="C4492" s="66" t="str">
        <x:v>UNIVERSITAS SAM RATULANGI</x:v>
      </x:c>
      <x:c r="D4492" s="66" t="str">
        <x:v>PTN Akademik</x:v>
      </x:c>
      <x:c r="E4492" s="66" t="str">
        <x:v>17211048</x:v>
      </x:c>
      <x:c r="F4492" s="66" t="str">
        <x:v>ANTROPOLOGI SOSIAL</x:v>
      </x:c>
      <x:c r="G4492" s="66" t="str">
        <x:v>Sarjana</x:v>
      </x:c>
      <x:c r="H4492" s="87" t="n">
        <x:v>12</x:v>
      </x:c>
      <x:c r="I4492" s="87" t="n">
        <x:v>11</x:v>
      </x:c>
      <x:c r="J4492" s="68" t="n">
        <x:f>IFERROR(H4492/I4492,"")</x:f>
        <x:v>1.0909090909090908</x:v>
      </x:c>
      <x:c r="K4492" s="69" t="n">
        <x:f>IFERROR(I4492/H4492,"")</x:f>
        <x:v>0.9166666666666666</x:v>
      </x:c>
      <x:c r="L4492" s="66" t="str">
        <x:f>IF(K4492="","","1 : "&amp;TEXT(K4492,"0.0"))</x:f>
        <x:v>1 : 0.9</x:v>
      </x:c>
      <x:c r="M4492" s="66" t="str">
        <x:f>IF(J4492="","Baru/Tanpa Data",IF(J4492&lt;='Catatan &amp; Sumber'!$B$14,"Sangat Ketat",IF(J4492&lt;='Catatan &amp; Sumber'!$B$15,"Ketat",IF(J4492&lt;='Catatan &amp; Sumber'!$B$16,"Sedang","Relatif Longgar"))))</x:f>
        <x:v>Relatif Longgar</x:v>
      </x:c>
      <x:c r="N4492" s="66" t="str">
        <x:v>Tidak Ada</x:v>
      </x:c>
      <x:c r="O4492" s="66" t="str">
        <x:v>Sulawesi Utara</x:v>
      </x:c>
      <x:c r="P4492" s="66" t="str">
        <x:v>Kota Manado</x:v>
      </x:c>
      <x:c r="Q4492" s="66" t="str">
        <x:v>https://snpmb.id/snbp/daya-tampung-snbp</x:v>
      </x:c>
      <x:c r="R4492" s="66" t="str">
        <x:v>https://sidatagrun-public-1076756628210.asia-southeast2.run.app/ptn_sn.php?ptn=721</x:v>
      </x:c>
    </x:row>
    <x:row r="4493">
      <x:c r="A4493" s="87" t="n">
        <x:v>1205</x:v>
      </x:c>
      <x:c r="B4493" s="66" t="n">
        <x:v>721</x:v>
      </x:c>
      <x:c r="C4493" s="66" t="str">
        <x:v>UNIVERSITAS SAM RATULANGI</x:v>
      </x:c>
      <x:c r="D4493" s="66" t="str">
        <x:v>PTN Akademik</x:v>
      </x:c>
      <x:c r="E4493" s="66" t="str">
        <x:v>17211051</x:v>
      </x:c>
      <x:c r="F4493" s="66" t="str">
        <x:v>TEKNIK INDUSTRI</x:v>
      </x:c>
      <x:c r="G4493" s="66" t="str">
        <x:v>Sarjana</x:v>
      </x:c>
      <x:c r="H4493" s="87" t="n">
        <x:v>10</x:v>
      </x:c>
      <x:c r="I4493" s="87" t="n">
        <x:v>111</x:v>
      </x:c>
      <x:c r="J4493" s="68" t="n">
        <x:f>IFERROR(H4493/I4493,"")</x:f>
        <x:v>0.09009009009009009</x:v>
      </x:c>
      <x:c r="K4493" s="69" t="n">
        <x:f>IFERROR(I4493/H4493,"")</x:f>
        <x:v>11.1</x:v>
      </x:c>
      <x:c r="L4493" s="66" t="str">
        <x:f>IF(K4493="","","1 : "&amp;TEXT(K4493,"0.0"))</x:f>
        <x:v>1 : 11.1</x:v>
      </x:c>
      <x:c r="M4493" s="66" t="str">
        <x:f>IF(J4493="","Baru/Tanpa Data",IF(J4493&lt;='Catatan &amp; Sumber'!$B$14,"Sangat Ketat",IF(J4493&lt;='Catatan &amp; Sumber'!$B$15,"Ketat",IF(J4493&lt;='Catatan &amp; Sumber'!$B$16,"Sedang","Relatif Longgar"))))</x:f>
        <x:v>Sedang</x:v>
      </x:c>
      <x:c r="N4493" s="66" t="str">
        <x:v>Tidak Ada</x:v>
      </x:c>
      <x:c r="O4493" s="66" t="str">
        <x:v>Sulawesi Utara</x:v>
      </x:c>
      <x:c r="P4493" s="66" t="str">
        <x:v>Kota Manado</x:v>
      </x:c>
      <x:c r="Q4493" s="66" t="str">
        <x:v>https://snpmb.id/snbp/daya-tampung-snbp</x:v>
      </x:c>
      <x:c r="R4493" s="66" t="str">
        <x:v>https://sidatagrun-public-1076756628210.asia-southeast2.run.app/ptn_sn.php?ptn=721</x:v>
      </x:c>
    </x:row>
    <x:row r="4494">
      <x:c r="A4494" s="87"/>
      <x:c r="B4494" s="66" t="n">
        <x:v>721</x:v>
      </x:c>
      <x:c r="C4494" s="66" t="str">
        <x:v>UNIVERSITAS SAM RATULANGI</x:v>
      </x:c>
      <x:c r="D4494" s="66" t="str">
        <x:v>PTN Akademik</x:v>
      </x:c>
      <x:c r="E4494" s="66" t="str">
        <x:v>17211052</x:v>
      </x:c>
      <x:c r="F4494" s="66" t="str">
        <x:v>TEKNIK PERTAMBANGAN</x:v>
      </x:c>
      <x:c r="G4494" s="66" t="str">
        <x:v>Sarjana</x:v>
      </x:c>
      <x:c r="H4494" s="87" t="n">
        <x:v>12</x:v>
      </x:c>
      <x:c r="I4494" s="87"/>
      <x:c r="J4494" s="68" t="str">
        <x:f>IFERROR(H4494/I4494,"")</x:f>
      </x:c>
      <x:c r="K4494" s="69" t="n">
        <x:f>IFERROR(I4494/H4494,"")</x:f>
        <x:v>0</x:v>
      </x:c>
      <x:c r="L4494" s="66" t="str">
        <x:f>IF(K4494="","","1 : "&amp;TEXT(K4494,"0.0"))</x:f>
      </x:c>
      <x:c r="M4494" s="66" t="str">
        <x:f>IF(J4494="","Baru/Tanpa Data",IF(J4494&lt;='Catatan &amp; Sumber'!$B$14,"Sangat Ketat",IF(J4494&lt;='Catatan &amp; Sumber'!$B$15,"Ketat",IF(J4494&lt;='Catatan &amp; Sumber'!$B$16,"Sedang","Relatif Longgar"))))</x:f>
        <x:v>Baru/Tanpa Data</x:v>
      </x:c>
      <x:c r="N4494" s="66" t="str">
        <x:v>Tidak Ada</x:v>
      </x:c>
      <x:c r="O4494" s="66" t="str">
        <x:v>Sulawesi Utara</x:v>
      </x:c>
      <x:c r="P4494" s="66" t="str">
        <x:v>Kota Manado</x:v>
      </x:c>
      <x:c r="Q4494" s="66" t="str">
        <x:v>https://snpmb.id/snbp/daya-tampung-snbp</x:v>
      </x:c>
      <x:c r="R4494" s="66" t="str">
        <x:v>https://sidatagrun-public-1076756628210.asia-southeast2.run.app/ptn_sn.php?ptn=721</x:v>
      </x:c>
    </x:row>
    <x:row r="4495">
      <x:c r="A4495" s="87" t="n">
        <x:v>3522</x:v>
      </x:c>
      <x:c r="B4495" s="66" t="n">
        <x:v>722</x:v>
      </x:c>
      <x:c r="C4495" s="66" t="str">
        <x:v>UNIVERSITAS NEGERI MANADO</x:v>
      </x:c>
      <x:c r="D4495" s="66" t="str">
        <x:v>PTN Akademik</x:v>
      </x:c>
      <x:c r="E4495" s="66" t="str">
        <x:v>17221001</x:v>
      </x:c>
      <x:c r="F4495" s="66" t="str">
        <x:v>PEND. BIOLOGI</x:v>
      </x:c>
      <x:c r="G4495" s="66" t="str">
        <x:v>Sarjana</x:v>
      </x:c>
      <x:c r="H4495" s="87" t="n">
        <x:v>15</x:v>
      </x:c>
      <x:c r="I4495" s="87" t="n">
        <x:v>34</x:v>
      </x:c>
      <x:c r="J4495" s="68" t="n">
        <x:f>IFERROR(H4495/I4495,"")</x:f>
        <x:v>0.4411764705882353</x:v>
      </x:c>
      <x:c r="K4495" s="69" t="n">
        <x:f>IFERROR(I4495/H4495,"")</x:f>
        <x:v>2.2666666666666666</x:v>
      </x:c>
      <x:c r="L4495" s="66" t="str">
        <x:f>IF(K4495="","","1 : "&amp;TEXT(K4495,"0.0"))</x:f>
        <x:v>1 : 2.3</x:v>
      </x:c>
      <x:c r="M4495" s="66" t="str">
        <x:f>IF(J4495="","Baru/Tanpa Data",IF(J4495&lt;='Catatan &amp; Sumber'!$B$14,"Sangat Ketat",IF(J4495&lt;='Catatan &amp; Sumber'!$B$15,"Ketat",IF(J4495&lt;='Catatan &amp; Sumber'!$B$16,"Sedang","Relatif Longgar"))))</x:f>
        <x:v>Relatif Longgar</x:v>
      </x:c>
      <x:c r="N4495" s="66" t="str">
        <x:v>Tidak Ada</x:v>
      </x:c>
      <x:c r="O4495" s="66" t="str">
        <x:v>Sulawesi Utara</x:v>
      </x:c>
      <x:c r="P4495" s="66" t="str">
        <x:v>Kabupaten Minahasa</x:v>
      </x:c>
      <x:c r="Q4495" s="66" t="str">
        <x:v>https://snpmb.id/snbp/daya-tampung-snbp</x:v>
      </x:c>
      <x:c r="R4495" s="66" t="str">
        <x:v>https://sidatagrun-public-1076756628210.asia-southeast2.run.app/ptn_sn.php?ptn=722</x:v>
      </x:c>
    </x:row>
    <x:row r="4496">
      <x:c r="A4496" s="87" t="n">
        <x:v>4170</x:v>
      </x:c>
      <x:c r="B4496" s="66" t="n">
        <x:v>722</x:v>
      </x:c>
      <x:c r="C4496" s="66" t="str">
        <x:v>UNIVERSITAS NEGERI MANADO</x:v>
      </x:c>
      <x:c r="D4496" s="66" t="str">
        <x:v>PTN Akademik</x:v>
      </x:c>
      <x:c r="E4496" s="66" t="str">
        <x:v>17221002</x:v>
      </x:c>
      <x:c r="F4496" s="66" t="str">
        <x:v>ILMU BIOLOGI</x:v>
      </x:c>
      <x:c r="G4496" s="66" t="str">
        <x:v>Sarjana</x:v>
      </x:c>
      <x:c r="H4496" s="87" t="n">
        <x:v>15</x:v>
      </x:c>
      <x:c r="I4496" s="87" t="n">
        <x:v>18</x:v>
      </x:c>
      <x:c r="J4496" s="68" t="n">
        <x:f>IFERROR(H4496/I4496,"")</x:f>
        <x:v>0.8333333333333334</x:v>
      </x:c>
      <x:c r="K4496" s="69" t="n">
        <x:f>IFERROR(I4496/H4496,"")</x:f>
        <x:v>1.2</x:v>
      </x:c>
      <x:c r="L4496" s="66" t="str">
        <x:f>IF(K4496="","","1 : "&amp;TEXT(K4496,"0.0"))</x:f>
        <x:v>1 : 1.2</x:v>
      </x:c>
      <x:c r="M4496" s="66" t="str">
        <x:f>IF(J4496="","Baru/Tanpa Data",IF(J4496&lt;='Catatan &amp; Sumber'!$B$14,"Sangat Ketat",IF(J4496&lt;='Catatan &amp; Sumber'!$B$15,"Ketat",IF(J4496&lt;='Catatan &amp; Sumber'!$B$16,"Sedang","Relatif Longgar"))))</x:f>
        <x:v>Relatif Longgar</x:v>
      </x:c>
      <x:c r="N4496" s="66" t="str">
        <x:v>Tidak Ada</x:v>
      </x:c>
      <x:c r="O4496" s="66" t="str">
        <x:v>Sulawesi Utara</x:v>
      </x:c>
      <x:c r="P4496" s="66" t="str">
        <x:v>Kabupaten Minahasa</x:v>
      </x:c>
      <x:c r="Q4496" s="66" t="str">
        <x:v>https://snpmb.id/snbp/daya-tampung-snbp</x:v>
      </x:c>
      <x:c r="R4496" s="66" t="str">
        <x:v>https://sidatagrun-public-1076756628210.asia-southeast2.run.app/ptn_sn.php?ptn=722</x:v>
      </x:c>
    </x:row>
    <x:row r="4497">
      <x:c r="A4497" s="87" t="n">
        <x:v>4480</x:v>
      </x:c>
      <x:c r="B4497" s="66" t="n">
        <x:v>722</x:v>
      </x:c>
      <x:c r="C4497" s="66" t="str">
        <x:v>UNIVERSITAS NEGERI MANADO</x:v>
      </x:c>
      <x:c r="D4497" s="66" t="str">
        <x:v>PTN Akademik</x:v>
      </x:c>
      <x:c r="E4497" s="66" t="str">
        <x:v>17221003</x:v>
      </x:c>
      <x:c r="F4497" s="66" t="str">
        <x:v>PEND. KIMIA</x:v>
      </x:c>
      <x:c r="G4497" s="66" t="str">
        <x:v>Sarjana</x:v>
      </x:c>
      <x:c r="H4497" s="87" t="n">
        <x:v>18</x:v>
      </x:c>
      <x:c r="I4497" s="87" t="n">
        <x:v>14</x:v>
      </x:c>
      <x:c r="J4497" s="68" t="n">
        <x:f>IFERROR(H4497/I4497,"")</x:f>
        <x:v>1.2857142857142858</x:v>
      </x:c>
      <x:c r="K4497" s="69" t="n">
        <x:f>IFERROR(I4497/H4497,"")</x:f>
        <x:v>0.7777777777777778</x:v>
      </x:c>
      <x:c r="L4497" s="66" t="str">
        <x:f>IF(K4497="","","1 : "&amp;TEXT(K4497,"0.0"))</x:f>
        <x:v>1 : 0.8</x:v>
      </x:c>
      <x:c r="M4497" s="66" t="str">
        <x:f>IF(J4497="","Baru/Tanpa Data",IF(J4497&lt;='Catatan &amp; Sumber'!$B$14,"Sangat Ketat",IF(J4497&lt;='Catatan &amp; Sumber'!$B$15,"Ketat",IF(J4497&lt;='Catatan &amp; Sumber'!$B$16,"Sedang","Relatif Longgar"))))</x:f>
        <x:v>Relatif Longgar</x:v>
      </x:c>
      <x:c r="N4497" s="66" t="str">
        <x:v>Tidak Ada</x:v>
      </x:c>
      <x:c r="O4497" s="66" t="str">
        <x:v>Sulawesi Utara</x:v>
      </x:c>
      <x:c r="P4497" s="66" t="str">
        <x:v>Kabupaten Minahasa</x:v>
      </x:c>
      <x:c r="Q4497" s="66" t="str">
        <x:v>https://snpmb.id/snbp/daya-tampung-snbp</x:v>
      </x:c>
      <x:c r="R4497" s="66" t="str">
        <x:v>https://sidatagrun-public-1076756628210.asia-southeast2.run.app/ptn_sn.php?ptn=722</x:v>
      </x:c>
    </x:row>
    <x:row r="4498">
      <x:c r="A4498" s="87" t="n">
        <x:v>4857</x:v>
      </x:c>
      <x:c r="B4498" s="66" t="n">
        <x:v>722</x:v>
      </x:c>
      <x:c r="C4498" s="66" t="str">
        <x:v>UNIVERSITAS NEGERI MANADO</x:v>
      </x:c>
      <x:c r="D4498" s="66" t="str">
        <x:v>PTN Akademik</x:v>
      </x:c>
      <x:c r="E4498" s="66" t="str">
        <x:v>17221004</x:v>
      </x:c>
      <x:c r="F4498" s="66" t="str">
        <x:v>ILMU KIMIA</x:v>
      </x:c>
      <x:c r="G4498" s="66" t="str">
        <x:v>Sarjana</x:v>
      </x:c>
      <x:c r="H4498" s="87" t="n">
        <x:v>12</x:v>
      </x:c>
      <x:c r="I4498" s="87" t="n">
        <x:v>2</x:v>
      </x:c>
      <x:c r="J4498" s="68" t="n">
        <x:f>IFERROR(H4498/I4498,"")</x:f>
        <x:v>6</x:v>
      </x:c>
      <x:c r="K4498" s="69" t="n">
        <x:f>IFERROR(I4498/H4498,"")</x:f>
        <x:v>0.16666666666666666</x:v>
      </x:c>
      <x:c r="L4498" s="66" t="str">
        <x:f>IF(K4498="","","1 : "&amp;TEXT(K4498,"0.0"))</x:f>
        <x:v>1 : 0.2</x:v>
      </x:c>
      <x:c r="M4498" s="66" t="str">
        <x:f>IF(J4498="","Baru/Tanpa Data",IF(J4498&lt;='Catatan &amp; Sumber'!$B$14,"Sangat Ketat",IF(J4498&lt;='Catatan &amp; Sumber'!$B$15,"Ketat",IF(J4498&lt;='Catatan &amp; Sumber'!$B$16,"Sedang","Relatif Longgar"))))</x:f>
        <x:v>Relatif Longgar</x:v>
      </x:c>
      <x:c r="N4498" s="66" t="str">
        <x:v>Tidak Ada</x:v>
      </x:c>
      <x:c r="O4498" s="66" t="str">
        <x:v>Sulawesi Utara</x:v>
      </x:c>
      <x:c r="P4498" s="66" t="str">
        <x:v>Kabupaten Minahasa</x:v>
      </x:c>
      <x:c r="Q4498" s="66" t="str">
        <x:v>https://snpmb.id/snbp/daya-tampung-snbp</x:v>
      </x:c>
      <x:c r="R4498" s="66" t="str">
        <x:v>https://sidatagrun-public-1076756628210.asia-southeast2.run.app/ptn_sn.php?ptn=722</x:v>
      </x:c>
    </x:row>
    <x:row r="4499">
      <x:c r="A4499" s="87" t="n">
        <x:v>4379</x:v>
      </x:c>
      <x:c r="B4499" s="66" t="n">
        <x:v>722</x:v>
      </x:c>
      <x:c r="C4499" s="66" t="str">
        <x:v>UNIVERSITAS NEGERI MANADO</x:v>
      </x:c>
      <x:c r="D4499" s="66" t="str">
        <x:v>PTN Akademik</x:v>
      </x:c>
      <x:c r="E4499" s="66" t="str">
        <x:v>17221005</x:v>
      </x:c>
      <x:c r="F4499" s="66" t="str">
        <x:v>PEND. FISIKA</x:v>
      </x:c>
      <x:c r="G4499" s="66" t="str">
        <x:v>Sarjana</x:v>
      </x:c>
      <x:c r="H4499" s="87" t="n">
        <x:v>12</x:v>
      </x:c>
      <x:c r="I4499" s="87" t="n">
        <x:v>11</x:v>
      </x:c>
      <x:c r="J4499" s="68" t="n">
        <x:f>IFERROR(H4499/I4499,"")</x:f>
        <x:v>1.0909090909090908</x:v>
      </x:c>
      <x:c r="K4499" s="69" t="n">
        <x:f>IFERROR(I4499/H4499,"")</x:f>
        <x:v>0.9166666666666666</x:v>
      </x:c>
      <x:c r="L4499" s="66" t="str">
        <x:f>IF(K4499="","","1 : "&amp;TEXT(K4499,"0.0"))</x:f>
        <x:v>1 : 0.9</x:v>
      </x:c>
      <x:c r="M4499" s="66" t="str">
        <x:f>IF(J4499="","Baru/Tanpa Data",IF(J4499&lt;='Catatan &amp; Sumber'!$B$14,"Sangat Ketat",IF(J4499&lt;='Catatan &amp; Sumber'!$B$15,"Ketat",IF(J4499&lt;='Catatan &amp; Sumber'!$B$16,"Sedang","Relatif Longgar"))))</x:f>
        <x:v>Relatif Longgar</x:v>
      </x:c>
      <x:c r="N4499" s="66" t="str">
        <x:v>Tidak Ada</x:v>
      </x:c>
      <x:c r="O4499" s="66" t="str">
        <x:v>Sulawesi Utara</x:v>
      </x:c>
      <x:c r="P4499" s="66" t="str">
        <x:v>Kabupaten Minahasa</x:v>
      </x:c>
      <x:c r="Q4499" s="66" t="str">
        <x:v>https://snpmb.id/snbp/daya-tampung-snbp</x:v>
      </x:c>
      <x:c r="R4499" s="66" t="str">
        <x:v>https://sidatagrun-public-1076756628210.asia-southeast2.run.app/ptn_sn.php?ptn=722</x:v>
      </x:c>
    </x:row>
    <x:row r="4500">
      <x:c r="A4500" s="87" t="n">
        <x:v>4832</x:v>
      </x:c>
      <x:c r="B4500" s="66" t="n">
        <x:v>722</x:v>
      </x:c>
      <x:c r="C4500" s="66" t="str">
        <x:v>UNIVERSITAS NEGERI MANADO</x:v>
      </x:c>
      <x:c r="D4500" s="66" t="str">
        <x:v>PTN Akademik</x:v>
      </x:c>
      <x:c r="E4500" s="66" t="str">
        <x:v>17221006</x:v>
      </x:c>
      <x:c r="F4500" s="66" t="str">
        <x:v>ILMU FISIKA</x:v>
      </x:c>
      <x:c r="G4500" s="66" t="str">
        <x:v>Sarjana</x:v>
      </x:c>
      <x:c r="H4500" s="87" t="n">
        <x:v>9</x:v>
      </x:c>
      <x:c r="I4500" s="87" t="n">
        <x:v>2</x:v>
      </x:c>
      <x:c r="J4500" s="68" t="n">
        <x:f>IFERROR(H4500/I4500,"")</x:f>
        <x:v>4.5</x:v>
      </x:c>
      <x:c r="K4500" s="69" t="n">
        <x:f>IFERROR(I4500/H4500,"")</x:f>
        <x:v>0.2222222222222222</x:v>
      </x:c>
      <x:c r="L4500" s="66" t="str">
        <x:f>IF(K4500="","","1 : "&amp;TEXT(K4500,"0.0"))</x:f>
        <x:v>1 : 0.2</x:v>
      </x:c>
      <x:c r="M4500" s="66" t="str">
        <x:f>IF(J4500="","Baru/Tanpa Data",IF(J4500&lt;='Catatan &amp; Sumber'!$B$14,"Sangat Ketat",IF(J4500&lt;='Catatan &amp; Sumber'!$B$15,"Ketat",IF(J4500&lt;='Catatan &amp; Sumber'!$B$16,"Sedang","Relatif Longgar"))))</x:f>
        <x:v>Relatif Longgar</x:v>
      </x:c>
      <x:c r="N4500" s="66" t="str">
        <x:v>Tidak Ada</x:v>
      </x:c>
      <x:c r="O4500" s="66" t="str">
        <x:v>Sulawesi Utara</x:v>
      </x:c>
      <x:c r="P4500" s="66" t="str">
        <x:v>Kabupaten Minahasa</x:v>
      </x:c>
      <x:c r="Q4500" s="66" t="str">
        <x:v>https://snpmb.id/snbp/daya-tampung-snbp</x:v>
      </x:c>
      <x:c r="R4500" s="66" t="str">
        <x:v>https://sidatagrun-public-1076756628210.asia-southeast2.run.app/ptn_sn.php?ptn=722</x:v>
      </x:c>
    </x:row>
    <x:row r="4501">
      <x:c r="A4501" s="87" t="n">
        <x:v>4302</x:v>
      </x:c>
      <x:c r="B4501" s="66" t="n">
        <x:v>722</x:v>
      </x:c>
      <x:c r="C4501" s="66" t="str">
        <x:v>UNIVERSITAS NEGERI MANADO</x:v>
      </x:c>
      <x:c r="D4501" s="66" t="str">
        <x:v>PTN Akademik</x:v>
      </x:c>
      <x:c r="E4501" s="66" t="str">
        <x:v>17221007</x:v>
      </x:c>
      <x:c r="F4501" s="66" t="str">
        <x:v>PEND. MATEMATIKA</x:v>
      </x:c>
      <x:c r="G4501" s="66" t="str">
        <x:v>Sarjana</x:v>
      </x:c>
      <x:c r="H4501" s="87" t="n">
        <x:v>36</x:v>
      </x:c>
      <x:c r="I4501" s="87" t="n">
        <x:v>37</x:v>
      </x:c>
      <x:c r="J4501" s="68" t="n">
        <x:f>IFERROR(H4501/I4501,"")</x:f>
        <x:v>0.972972972972973</x:v>
      </x:c>
      <x:c r="K4501" s="69" t="n">
        <x:f>IFERROR(I4501/H4501,"")</x:f>
        <x:v>1.0277777777777777</x:v>
      </x:c>
      <x:c r="L4501" s="66" t="str">
        <x:f>IF(K4501="","","1 : "&amp;TEXT(K4501,"0.0"))</x:f>
        <x:v>1 : 1.0</x:v>
      </x:c>
      <x:c r="M4501" s="66" t="str">
        <x:f>IF(J4501="","Baru/Tanpa Data",IF(J4501&lt;='Catatan &amp; Sumber'!$B$14,"Sangat Ketat",IF(J4501&lt;='Catatan &amp; Sumber'!$B$15,"Ketat",IF(J4501&lt;='Catatan &amp; Sumber'!$B$16,"Sedang","Relatif Longgar"))))</x:f>
        <x:v>Relatif Longgar</x:v>
      </x:c>
      <x:c r="N4501" s="66" t="str">
        <x:v>Tidak Ada</x:v>
      </x:c>
      <x:c r="O4501" s="66" t="str">
        <x:v>Sulawesi Utara</x:v>
      </x:c>
      <x:c r="P4501" s="66" t="str">
        <x:v>Kabupaten Minahasa</x:v>
      </x:c>
      <x:c r="Q4501" s="66" t="str">
        <x:v>https://snpmb.id/snbp/daya-tampung-snbp</x:v>
      </x:c>
      <x:c r="R4501" s="66" t="str">
        <x:v>https://sidatagrun-public-1076756628210.asia-southeast2.run.app/ptn_sn.php?ptn=722</x:v>
      </x:c>
    </x:row>
    <x:row r="4502">
      <x:c r="A4502" s="87"/>
      <x:c r="B4502" s="66" t="n">
        <x:v>722</x:v>
      </x:c>
      <x:c r="C4502" s="66" t="str">
        <x:v>UNIVERSITAS NEGERI MANADO</x:v>
      </x:c>
      <x:c r="D4502" s="66" t="str">
        <x:v>PTN Akademik</x:v>
      </x:c>
      <x:c r="E4502" s="66" t="str">
        <x:v>17221008</x:v>
      </x:c>
      <x:c r="F4502" s="66" t="str">
        <x:v>PEND. TEK BANGUNAN</x:v>
      </x:c>
      <x:c r="G4502" s="66" t="str">
        <x:v>Sarjana</x:v>
      </x:c>
      <x:c r="H4502" s="87" t="n">
        <x:v>12</x:v>
      </x:c>
      <x:c r="I4502" s="87"/>
      <x:c r="J4502" s="68" t="str">
        <x:f>IFERROR(H4502/I4502,"")</x:f>
      </x:c>
      <x:c r="K4502" s="69" t="n">
        <x:f>IFERROR(I4502/H4502,"")</x:f>
        <x:v>0</x:v>
      </x:c>
      <x:c r="L4502" s="66" t="str">
        <x:f>IF(K4502="","","1 : "&amp;TEXT(K4502,"0.0"))</x:f>
      </x:c>
      <x:c r="M4502" s="66" t="str">
        <x:f>IF(J4502="","Baru/Tanpa Data",IF(J4502&lt;='Catatan &amp; Sumber'!$B$14,"Sangat Ketat",IF(J4502&lt;='Catatan &amp; Sumber'!$B$15,"Ketat",IF(J4502&lt;='Catatan &amp; Sumber'!$B$16,"Sedang","Relatif Longgar"))))</x:f>
        <x:v>Baru/Tanpa Data</x:v>
      </x:c>
      <x:c r="N4502" s="66" t="str">
        <x:v>Tidak Ada</x:v>
      </x:c>
      <x:c r="O4502" s="66" t="str">
        <x:v>Sulawesi Utara</x:v>
      </x:c>
      <x:c r="P4502" s="66" t="str">
        <x:v>Kabupaten Minahasa</x:v>
      </x:c>
      <x:c r="Q4502" s="66" t="str">
        <x:v>https://snpmb.id/snbp/daya-tampung-snbp</x:v>
      </x:c>
      <x:c r="R4502" s="66" t="str">
        <x:v>https://sidatagrun-public-1076756628210.asia-southeast2.run.app/ptn_sn.php?ptn=722</x:v>
      </x:c>
    </x:row>
    <x:row r="4503">
      <x:c r="A4503" s="87" t="n">
        <x:v>4305</x:v>
      </x:c>
      <x:c r="B4503" s="66" t="n">
        <x:v>722</x:v>
      </x:c>
      <x:c r="C4503" s="66" t="str">
        <x:v>UNIVERSITAS NEGERI MANADO</x:v>
      </x:c>
      <x:c r="D4503" s="66" t="str">
        <x:v>PTN Akademik</x:v>
      </x:c>
      <x:c r="E4503" s="66" t="str">
        <x:v>17221009</x:v>
      </x:c>
      <x:c r="F4503" s="66" t="str">
        <x:v>PEND. TEK ELEKTRO</x:v>
      </x:c>
      <x:c r="G4503" s="66" t="str">
        <x:v>Sarjana</x:v>
      </x:c>
      <x:c r="H4503" s="87" t="n">
        <x:v>12</x:v>
      </x:c>
      <x:c r="I4503" s="87" t="n">
        <x:v>12</x:v>
      </x:c>
      <x:c r="J4503" s="68" t="n">
        <x:f>IFERROR(H4503/I4503,"")</x:f>
        <x:v>1</x:v>
      </x:c>
      <x:c r="K4503" s="69" t="n">
        <x:f>IFERROR(I4503/H4503,"")</x:f>
        <x:v>1</x:v>
      </x:c>
      <x:c r="L4503" s="66" t="str">
        <x:f>IF(K4503="","","1 : "&amp;TEXT(K4503,"0.0"))</x:f>
        <x:v>1 : 1.0</x:v>
      </x:c>
      <x:c r="M4503" s="66" t="str">
        <x:f>IF(J4503="","Baru/Tanpa Data",IF(J4503&lt;='Catatan &amp; Sumber'!$B$14,"Sangat Ketat",IF(J4503&lt;='Catatan &amp; Sumber'!$B$15,"Ketat",IF(J4503&lt;='Catatan &amp; Sumber'!$B$16,"Sedang","Relatif Longgar"))))</x:f>
        <x:v>Relatif Longgar</x:v>
      </x:c>
      <x:c r="N4503" s="66" t="str">
        <x:v>Tidak Ada</x:v>
      </x:c>
      <x:c r="O4503" s="66" t="str">
        <x:v>Sulawesi Utara</x:v>
      </x:c>
      <x:c r="P4503" s="66" t="str">
        <x:v>Kabupaten Minahasa</x:v>
      </x:c>
      <x:c r="Q4503" s="66" t="str">
        <x:v>https://snpmb.id/snbp/daya-tampung-snbp</x:v>
      </x:c>
      <x:c r="R4503" s="66" t="str">
        <x:v>https://sidatagrun-public-1076756628210.asia-southeast2.run.app/ptn_sn.php?ptn=722</x:v>
      </x:c>
    </x:row>
    <x:row r="4504">
      <x:c r="A4504" s="87" t="n">
        <x:v>4266</x:v>
      </x:c>
      <x:c r="B4504" s="66" t="n">
        <x:v>722</x:v>
      </x:c>
      <x:c r="C4504" s="66" t="str">
        <x:v>UNIVERSITAS NEGERI MANADO</x:v>
      </x:c>
      <x:c r="D4504" s="66" t="str">
        <x:v>PTN Akademik</x:v>
      </x:c>
      <x:c r="E4504" s="66" t="str">
        <x:v>17221010</x:v>
      </x:c>
      <x:c r="F4504" s="66" t="str">
        <x:v>PEND. INF./KOM</x:v>
      </x:c>
      <x:c r="G4504" s="66" t="str">
        <x:v>Sarjana</x:v>
      </x:c>
      <x:c r="H4504" s="87" t="n">
        <x:v>36</x:v>
      </x:c>
      <x:c r="I4504" s="87" t="n">
        <x:v>39</x:v>
      </x:c>
      <x:c r="J4504" s="68" t="n">
        <x:f>IFERROR(H4504/I4504,"")</x:f>
        <x:v>0.9230769230769231</x:v>
      </x:c>
      <x:c r="K4504" s="69" t="n">
        <x:f>IFERROR(I4504/H4504,"")</x:f>
        <x:v>1.0833333333333333</x:v>
      </x:c>
      <x:c r="L4504" s="66" t="str">
        <x:f>IF(K4504="","","1 : "&amp;TEXT(K4504,"0.0"))</x:f>
        <x:v>1 : 1.1</x:v>
      </x:c>
      <x:c r="M4504" s="66" t="str">
        <x:f>IF(J4504="","Baru/Tanpa Data",IF(J4504&lt;='Catatan &amp; Sumber'!$B$14,"Sangat Ketat",IF(J4504&lt;='Catatan &amp; Sumber'!$B$15,"Ketat",IF(J4504&lt;='Catatan &amp; Sumber'!$B$16,"Sedang","Relatif Longgar"))))</x:f>
        <x:v>Relatif Longgar</x:v>
      </x:c>
      <x:c r="N4504" s="66" t="str">
        <x:v>Tidak Ada</x:v>
      </x:c>
      <x:c r="O4504" s="66" t="str">
        <x:v>Sulawesi Utara</x:v>
      </x:c>
      <x:c r="P4504" s="66" t="str">
        <x:v>Kabupaten Minahasa</x:v>
      </x:c>
      <x:c r="Q4504" s="66" t="str">
        <x:v>https://snpmb.id/snbp/daya-tampung-snbp</x:v>
      </x:c>
      <x:c r="R4504" s="66" t="str">
        <x:v>https://sidatagrun-public-1076756628210.asia-southeast2.run.app/ptn_sn.php?ptn=722</x:v>
      </x:c>
    </x:row>
    <x:row r="4505">
      <x:c r="A4505" s="87" t="n">
        <x:v>4711</x:v>
      </x:c>
      <x:c r="B4505" s="66" t="n">
        <x:v>722</x:v>
      </x:c>
      <x:c r="C4505" s="66" t="str">
        <x:v>UNIVERSITAS NEGERI MANADO</x:v>
      </x:c>
      <x:c r="D4505" s="66" t="str">
        <x:v>PTN Akademik</x:v>
      </x:c>
      <x:c r="E4505" s="66" t="str">
        <x:v>17221011</x:v>
      </x:c>
      <x:c r="F4505" s="66" t="str">
        <x:v>PEND. TEK MESIN</x:v>
      </x:c>
      <x:c r="G4505" s="66" t="str">
        <x:v>Sarjana</x:v>
      </x:c>
      <x:c r="H4505" s="87" t="n">
        <x:v>12</x:v>
      </x:c>
      <x:c r="I4505" s="87" t="n">
        <x:v>5</x:v>
      </x:c>
      <x:c r="J4505" s="68" t="n">
        <x:f>IFERROR(H4505/I4505,"")</x:f>
        <x:v>2.4</x:v>
      </x:c>
      <x:c r="K4505" s="69" t="n">
        <x:f>IFERROR(I4505/H4505,"")</x:f>
        <x:v>0.4166666666666667</x:v>
      </x:c>
      <x:c r="L4505" s="66" t="str">
        <x:f>IF(K4505="","","1 : "&amp;TEXT(K4505,"0.0"))</x:f>
        <x:v>1 : 0.4</x:v>
      </x:c>
      <x:c r="M4505" s="66" t="str">
        <x:f>IF(J4505="","Baru/Tanpa Data",IF(J4505&lt;='Catatan &amp; Sumber'!$B$14,"Sangat Ketat",IF(J4505&lt;='Catatan &amp; Sumber'!$B$15,"Ketat",IF(J4505&lt;='Catatan &amp; Sumber'!$B$16,"Sedang","Relatif Longgar"))))</x:f>
        <x:v>Relatif Longgar</x:v>
      </x:c>
      <x:c r="N4505" s="66" t="str">
        <x:v>Tidak Ada</x:v>
      </x:c>
      <x:c r="O4505" s="66" t="str">
        <x:v>Sulawesi Utara</x:v>
      </x:c>
      <x:c r="P4505" s="66" t="str">
        <x:v>Kabupaten Minahasa</x:v>
      </x:c>
      <x:c r="Q4505" s="66" t="str">
        <x:v>https://snpmb.id/snbp/daya-tampung-snbp</x:v>
      </x:c>
      <x:c r="R4505" s="66" t="str">
        <x:v>https://sidatagrun-public-1076756628210.asia-southeast2.run.app/ptn_sn.php?ptn=722</x:v>
      </x:c>
    </x:row>
    <x:row r="4506">
      <x:c r="A4506" s="87" t="n">
        <x:v>4305</x:v>
      </x:c>
      <x:c r="B4506" s="66" t="n">
        <x:v>722</x:v>
      </x:c>
      <x:c r="C4506" s="66" t="str">
        <x:v>UNIVERSITAS NEGERI MANADO</x:v>
      </x:c>
      <x:c r="D4506" s="66" t="str">
        <x:v>PTN Akademik</x:v>
      </x:c>
      <x:c r="E4506" s="66" t="str">
        <x:v>17221012</x:v>
      </x:c>
      <x:c r="F4506" s="66" t="str">
        <x:v>ILMU GEOGRAFI</x:v>
      </x:c>
      <x:c r="G4506" s="66" t="str">
        <x:v>Sarjana</x:v>
      </x:c>
      <x:c r="H4506" s="87" t="n">
        <x:v>6</x:v>
      </x:c>
      <x:c r="I4506" s="87" t="n">
        <x:v>6</x:v>
      </x:c>
      <x:c r="J4506" s="68" t="n">
        <x:f>IFERROR(H4506/I4506,"")</x:f>
        <x:v>1</x:v>
      </x:c>
      <x:c r="K4506" s="69" t="n">
        <x:f>IFERROR(I4506/H4506,"")</x:f>
        <x:v>1</x:v>
      </x:c>
      <x:c r="L4506" s="66" t="str">
        <x:f>IF(K4506="","","1 : "&amp;TEXT(K4506,"0.0"))</x:f>
        <x:v>1 : 1.0</x:v>
      </x:c>
      <x:c r="M4506" s="66" t="str">
        <x:f>IF(J4506="","Baru/Tanpa Data",IF(J4506&lt;='Catatan &amp; Sumber'!$B$14,"Sangat Ketat",IF(J4506&lt;='Catatan &amp; Sumber'!$B$15,"Ketat",IF(J4506&lt;='Catatan &amp; Sumber'!$B$16,"Sedang","Relatif Longgar"))))</x:f>
        <x:v>Relatif Longgar</x:v>
      </x:c>
      <x:c r="N4506" s="66" t="str">
        <x:v>Tidak Ada</x:v>
      </x:c>
      <x:c r="O4506" s="66" t="str">
        <x:v>Sulawesi Utara</x:v>
      </x:c>
      <x:c r="P4506" s="66" t="str">
        <x:v>Kabupaten Minahasa</x:v>
      </x:c>
      <x:c r="Q4506" s="66" t="str">
        <x:v>https://snpmb.id/snbp/daya-tampung-snbp</x:v>
      </x:c>
      <x:c r="R4506" s="66" t="str">
        <x:v>https://sidatagrun-public-1076756628210.asia-southeast2.run.app/ptn_sn.php?ptn=722</x:v>
      </x:c>
    </x:row>
    <x:row r="4507">
      <x:c r="A4507" s="87" t="n">
        <x:v>4241</x:v>
      </x:c>
      <x:c r="B4507" s="66" t="n">
        <x:v>722</x:v>
      </x:c>
      <x:c r="C4507" s="66" t="str">
        <x:v>UNIVERSITAS NEGERI MANADO</x:v>
      </x:c>
      <x:c r="D4507" s="66" t="str">
        <x:v>PTN Akademik</x:v>
      </x:c>
      <x:c r="E4507" s="66" t="str">
        <x:v>17221013</x:v>
      </x:c>
      <x:c r="F4507" s="66" t="str">
        <x:v>ILMU KEOLAHRAGAAN</x:v>
      </x:c>
      <x:c r="G4507" s="66" t="str">
        <x:v>Sarjana</x:v>
      </x:c>
      <x:c r="H4507" s="87" t="n">
        <x:v>9</x:v>
      </x:c>
      <x:c r="I4507" s="87" t="n">
        <x:v>10</x:v>
      </x:c>
      <x:c r="J4507" s="68" t="n">
        <x:f>IFERROR(H4507/I4507,"")</x:f>
        <x:v>0.9</x:v>
      </x:c>
      <x:c r="K4507" s="69" t="n">
        <x:f>IFERROR(I4507/H4507,"")</x:f>
        <x:v>1.1111111111111112</x:v>
      </x:c>
      <x:c r="L4507" s="66" t="str">
        <x:f>IF(K4507="","","1 : "&amp;TEXT(K4507,"0.0"))</x:f>
        <x:v>1 : 1.1</x:v>
      </x:c>
      <x:c r="M4507" s="66" t="str">
        <x:f>IF(J4507="","Baru/Tanpa Data",IF(J4507&lt;='Catatan &amp; Sumber'!$B$14,"Sangat Ketat",IF(J4507&lt;='Catatan &amp; Sumber'!$B$15,"Ketat",IF(J4507&lt;='Catatan &amp; Sumber'!$B$16,"Sedang","Relatif Longgar"))))</x:f>
        <x:v>Relatif Longgar</x:v>
      </x:c>
      <x:c r="N4507" s="66" t="str">
        <x:v>Olahraga</x:v>
      </x:c>
      <x:c r="O4507" s="66" t="str">
        <x:v>Sulawesi Utara</x:v>
      </x:c>
      <x:c r="P4507" s="66" t="str">
        <x:v>Kabupaten Minahasa</x:v>
      </x:c>
      <x:c r="Q4507" s="66" t="str">
        <x:v>https://snpmb.id/snbp/daya-tampung-snbp</x:v>
      </x:c>
      <x:c r="R4507" s="66" t="str">
        <x:v>https://sidatagrun-public-1076756628210.asia-southeast2.run.app/ptn_sn.php?ptn=722</x:v>
      </x:c>
    </x:row>
    <x:row r="4508">
      <x:c r="A4508" s="87" t="n">
        <x:v>4480</x:v>
      </x:c>
      <x:c r="B4508" s="66" t="n">
        <x:v>722</x:v>
      </x:c>
      <x:c r="C4508" s="66" t="str">
        <x:v>UNIVERSITAS NEGERI MANADO</x:v>
      </x:c>
      <x:c r="D4508" s="66" t="str">
        <x:v>PTN Akademik</x:v>
      </x:c>
      <x:c r="E4508" s="66" t="str">
        <x:v>17221017</x:v>
      </x:c>
      <x:c r="F4508" s="66" t="str">
        <x:v>PENDIDIKAN IPA</x:v>
      </x:c>
      <x:c r="G4508" s="66" t="str">
        <x:v>Sarjana</x:v>
      </x:c>
      <x:c r="H4508" s="87" t="n">
        <x:v>18</x:v>
      </x:c>
      <x:c r="I4508" s="87" t="n">
        <x:v>14</x:v>
      </x:c>
      <x:c r="J4508" s="68" t="n">
        <x:f>IFERROR(H4508/I4508,"")</x:f>
        <x:v>1.2857142857142858</x:v>
      </x:c>
      <x:c r="K4508" s="69" t="n">
        <x:f>IFERROR(I4508/H4508,"")</x:f>
        <x:v>0.7777777777777778</x:v>
      </x:c>
      <x:c r="L4508" s="66" t="str">
        <x:f>IF(K4508="","","1 : "&amp;TEXT(K4508,"0.0"))</x:f>
        <x:v>1 : 0.8</x:v>
      </x:c>
      <x:c r="M4508" s="66" t="str">
        <x:f>IF(J4508="","Baru/Tanpa Data",IF(J4508&lt;='Catatan &amp; Sumber'!$B$14,"Sangat Ketat",IF(J4508&lt;='Catatan &amp; Sumber'!$B$15,"Ketat",IF(J4508&lt;='Catatan &amp; Sumber'!$B$16,"Sedang","Relatif Longgar"))))</x:f>
        <x:v>Relatif Longgar</x:v>
      </x:c>
      <x:c r="N4508" s="66" t="str">
        <x:v>Tidak Ada</x:v>
      </x:c>
      <x:c r="O4508" s="66" t="str">
        <x:v>Sulawesi Utara</x:v>
      </x:c>
      <x:c r="P4508" s="66" t="str">
        <x:v>Kabupaten Minahasa</x:v>
      </x:c>
      <x:c r="Q4508" s="66" t="str">
        <x:v>https://snpmb.id/snbp/daya-tampung-snbp</x:v>
      </x:c>
      <x:c r="R4508" s="66" t="str">
        <x:v>https://sidatagrun-public-1076756628210.asia-southeast2.run.app/ptn_sn.php?ptn=722</x:v>
      </x:c>
    </x:row>
    <x:row r="4509">
      <x:c r="A4509" s="87" t="n">
        <x:v>4074</x:v>
      </x:c>
      <x:c r="B4509" s="66" t="n">
        <x:v>722</x:v>
      </x:c>
      <x:c r="C4509" s="66" t="str">
        <x:v>UNIVERSITAS NEGERI MANADO</x:v>
      </x:c>
      <x:c r="D4509" s="66" t="str">
        <x:v>PTN Akademik</x:v>
      </x:c>
      <x:c r="E4509" s="66" t="str">
        <x:v>17221018</x:v>
      </x:c>
      <x:c r="F4509" s="66" t="str">
        <x:v>ARSITEKTUR</x:v>
      </x:c>
      <x:c r="G4509" s="66" t="str">
        <x:v>Sarjana</x:v>
      </x:c>
      <x:c r="H4509" s="87" t="n">
        <x:v>17</x:v>
      </x:c>
      <x:c r="I4509" s="87" t="n">
        <x:v>23</x:v>
      </x:c>
      <x:c r="J4509" s="68" t="n">
        <x:f>IFERROR(H4509/I4509,"")</x:f>
        <x:v>0.7391304347826086</x:v>
      </x:c>
      <x:c r="K4509" s="69" t="n">
        <x:f>IFERROR(I4509/H4509,"")</x:f>
        <x:v>1.3529411764705883</x:v>
      </x:c>
      <x:c r="L4509" s="66" t="str">
        <x:f>IF(K4509="","","1 : "&amp;TEXT(K4509,"0.0"))</x:f>
        <x:v>1 : 1.4</x:v>
      </x:c>
      <x:c r="M4509" s="66" t="str">
        <x:f>IF(J4509="","Baru/Tanpa Data",IF(J4509&lt;='Catatan &amp; Sumber'!$B$14,"Sangat Ketat",IF(J4509&lt;='Catatan &amp; Sumber'!$B$15,"Ketat",IF(J4509&lt;='Catatan &amp; Sumber'!$B$16,"Sedang","Relatif Longgar"))))</x:f>
        <x:v>Relatif Longgar</x:v>
      </x:c>
      <x:c r="N4509" s="66" t="str">
        <x:v>Tidak Ada</x:v>
      </x:c>
      <x:c r="O4509" s="66" t="str">
        <x:v>Sulawesi Utara</x:v>
      </x:c>
      <x:c r="P4509" s="66" t="str">
        <x:v>Kabupaten Minahasa</x:v>
      </x:c>
      <x:c r="Q4509" s="66" t="str">
        <x:v>https://snpmb.id/snbp/daya-tampung-snbp</x:v>
      </x:c>
      <x:c r="R4509" s="66" t="str">
        <x:v>https://sidatagrun-public-1076756628210.asia-southeast2.run.app/ptn_sn.php?ptn=722</x:v>
      </x:c>
    </x:row>
    <x:row r="4510">
      <x:c r="A4510" s="87" t="n">
        <x:v>3110</x:v>
      </x:c>
      <x:c r="B4510" s="66" t="n">
        <x:v>722</x:v>
      </x:c>
      <x:c r="C4510" s="66" t="str">
        <x:v>UNIVERSITAS NEGERI MANADO</x:v>
      </x:c>
      <x:c r="D4510" s="66" t="str">
        <x:v>PTN Akademik</x:v>
      </x:c>
      <x:c r="E4510" s="66" t="str">
        <x:v>17221019</x:v>
      </x:c>
      <x:c r="F4510" s="66" t="str">
        <x:v>TEKNIK INFORMATIKA</x:v>
      </x:c>
      <x:c r="G4510" s="66" t="str">
        <x:v>Sarjana</x:v>
      </x:c>
      <x:c r="H4510" s="87" t="n">
        <x:v>50</x:v>
      </x:c>
      <x:c r="I4510" s="87" t="n">
        <x:v>158</x:v>
      </x:c>
      <x:c r="J4510" s="68" t="n">
        <x:f>IFERROR(H4510/I4510,"")</x:f>
        <x:v>0.31645569620253167</x:v>
      </x:c>
      <x:c r="K4510" s="69" t="n">
        <x:f>IFERROR(I4510/H4510,"")</x:f>
        <x:v>3.16</x:v>
      </x:c>
      <x:c r="L4510" s="66" t="str">
        <x:f>IF(K4510="","","1 : "&amp;TEXT(K4510,"0.0"))</x:f>
        <x:v>1 : 3.2</x:v>
      </x:c>
      <x:c r="M4510" s="66" t="str">
        <x:f>IF(J4510="","Baru/Tanpa Data",IF(J4510&lt;='Catatan &amp; Sumber'!$B$14,"Sangat Ketat",IF(J4510&lt;='Catatan &amp; Sumber'!$B$15,"Ketat",IF(J4510&lt;='Catatan &amp; Sumber'!$B$16,"Sedang","Relatif Longgar"))))</x:f>
        <x:v>Relatif Longgar</x:v>
      </x:c>
      <x:c r="N4510" s="66" t="str">
        <x:v>Tidak Ada</x:v>
      </x:c>
      <x:c r="O4510" s="66" t="str">
        <x:v>Sulawesi Utara</x:v>
      </x:c>
      <x:c r="P4510" s="66" t="str">
        <x:v>Kabupaten Minahasa</x:v>
      </x:c>
      <x:c r="Q4510" s="66" t="str">
        <x:v>https://snpmb.id/snbp/daya-tampung-snbp</x:v>
      </x:c>
      <x:c r="R4510" s="66" t="str">
        <x:v>https://sidatagrun-public-1076756628210.asia-southeast2.run.app/ptn_sn.php?ptn=722</x:v>
      </x:c>
    </x:row>
    <x:row r="4511">
      <x:c r="A4511" s="87" t="n">
        <x:v>3839</x:v>
      </x:c>
      <x:c r="B4511" s="66" t="n">
        <x:v>722</x:v>
      </x:c>
      <x:c r="C4511" s="66" t="str">
        <x:v>UNIVERSITAS NEGERI MANADO</x:v>
      </x:c>
      <x:c r="D4511" s="66" t="str">
        <x:v>PTN Akademik</x:v>
      </x:c>
      <x:c r="E4511" s="66" t="str">
        <x:v>17221020</x:v>
      </x:c>
      <x:c r="F4511" s="66" t="str">
        <x:v>TEKNIK SIPIL</x:v>
      </x:c>
      <x:c r="G4511" s="66" t="str">
        <x:v>Sarjana</x:v>
      </x:c>
      <x:c r="H4511" s="87" t="n">
        <x:v>29</x:v>
      </x:c>
      <x:c r="I4511" s="87" t="n">
        <x:v>49</x:v>
      </x:c>
      <x:c r="J4511" s="68" t="n">
        <x:f>IFERROR(H4511/I4511,"")</x:f>
        <x:v>0.5918367346938775</x:v>
      </x:c>
      <x:c r="K4511" s="69" t="n">
        <x:f>IFERROR(I4511/H4511,"")</x:f>
        <x:v>1.6896551724137931</x:v>
      </x:c>
      <x:c r="L4511" s="66" t="str">
        <x:f>IF(K4511="","","1 : "&amp;TEXT(K4511,"0.0"))</x:f>
        <x:v>1 : 1.7</x:v>
      </x:c>
      <x:c r="M4511" s="66" t="str">
        <x:f>IF(J4511="","Baru/Tanpa Data",IF(J4511&lt;='Catatan &amp; Sumber'!$B$14,"Sangat Ketat",IF(J4511&lt;='Catatan &amp; Sumber'!$B$15,"Ketat",IF(J4511&lt;='Catatan &amp; Sumber'!$B$16,"Sedang","Relatif Longgar"))))</x:f>
        <x:v>Relatif Longgar</x:v>
      </x:c>
      <x:c r="N4511" s="66" t="str">
        <x:v>Tidak Ada</x:v>
      </x:c>
      <x:c r="O4511" s="66" t="str">
        <x:v>Sulawesi Utara</x:v>
      </x:c>
      <x:c r="P4511" s="66" t="str">
        <x:v>Kabupaten Minahasa</x:v>
      </x:c>
      <x:c r="Q4511" s="66" t="str">
        <x:v>https://snpmb.id/snbp/daya-tampung-snbp</x:v>
      </x:c>
      <x:c r="R4511" s="66" t="str">
        <x:v>https://sidatagrun-public-1076756628210.asia-southeast2.run.app/ptn_sn.php?ptn=722</x:v>
      </x:c>
    </x:row>
    <x:row r="4512">
      <x:c r="A4512" s="87" t="n">
        <x:v>3064</x:v>
      </x:c>
      <x:c r="B4512" s="66" t="n">
        <x:v>722</x:v>
      </x:c>
      <x:c r="C4512" s="66" t="str">
        <x:v>UNIVERSITAS NEGERI MANADO</x:v>
      </x:c>
      <x:c r="D4512" s="66" t="str">
        <x:v>PTN Akademik</x:v>
      </x:c>
      <x:c r="E4512" s="66" t="str">
        <x:v>17221021</x:v>
      </x:c>
      <x:c r="F4512" s="66" t="str">
        <x:v>ILMU KESEHATAN MASYARAKAT</x:v>
      </x:c>
      <x:c r="G4512" s="66" t="str">
        <x:v>Sarjana</x:v>
      </x:c>
      <x:c r="H4512" s="87" t="n">
        <x:v>53</x:v>
      </x:c>
      <x:c r="I4512" s="87" t="n">
        <x:v>173</x:v>
      </x:c>
      <x:c r="J4512" s="68" t="n">
        <x:f>IFERROR(H4512/I4512,"")</x:f>
        <x:v>0.3063583815028902</x:v>
      </x:c>
      <x:c r="K4512" s="69" t="n">
        <x:f>IFERROR(I4512/H4512,"")</x:f>
        <x:v>3.2641509433962264</x:v>
      </x:c>
      <x:c r="L4512" s="66" t="str">
        <x:f>IF(K4512="","","1 : "&amp;TEXT(K4512,"0.0"))</x:f>
        <x:v>1 : 3.3</x:v>
      </x:c>
      <x:c r="M4512" s="66" t="str">
        <x:f>IF(J4512="","Baru/Tanpa Data",IF(J4512&lt;='Catatan &amp; Sumber'!$B$14,"Sangat Ketat",IF(J4512&lt;='Catatan &amp; Sumber'!$B$15,"Ketat",IF(J4512&lt;='Catatan &amp; Sumber'!$B$16,"Sedang","Relatif Longgar"))))</x:f>
        <x:v>Relatif Longgar</x:v>
      </x:c>
      <x:c r="N4512" s="66" t="str">
        <x:v>Tidak Ada</x:v>
      </x:c>
      <x:c r="O4512" s="66" t="str">
        <x:v>Sulawesi Utara</x:v>
      </x:c>
      <x:c r="P4512" s="66" t="str">
        <x:v>Kabupaten Minahasa</x:v>
      </x:c>
      <x:c r="Q4512" s="66" t="str">
        <x:v>https://snpmb.id/snbp/daya-tampung-snbp</x:v>
      </x:c>
      <x:c r="R4512" s="66" t="str">
        <x:v>https://sidatagrun-public-1076756628210.asia-southeast2.run.app/ptn_sn.php?ptn=722</x:v>
      </x:c>
    </x:row>
    <x:row r="4513">
      <x:c r="A4513" s="87" t="n">
        <x:v>4474</x:v>
      </x:c>
      <x:c r="B4513" s="66" t="n">
        <x:v>722</x:v>
      </x:c>
      <x:c r="C4513" s="66" t="str">
        <x:v>UNIVERSITAS NEGERI MANADO</x:v>
      </x:c>
      <x:c r="D4513" s="66" t="str">
        <x:v>PTN Akademik</x:v>
      </x:c>
      <x:c r="E4513" s="66" t="str">
        <x:v>17221022</x:v>
      </x:c>
      <x:c r="F4513" s="66" t="str">
        <x:v>TEKNIK MESIN</x:v>
      </x:c>
      <x:c r="G4513" s="66" t="str">
        <x:v>Sarjana</x:v>
      </x:c>
      <x:c r="H4513" s="87" t="n">
        <x:v>23</x:v>
      </x:c>
      <x:c r="I4513" s="87" t="n">
        <x:v>18</x:v>
      </x:c>
      <x:c r="J4513" s="68" t="n">
        <x:f>IFERROR(H4513/I4513,"")</x:f>
        <x:v>1.2777777777777777</x:v>
      </x:c>
      <x:c r="K4513" s="69" t="n">
        <x:f>IFERROR(I4513/H4513,"")</x:f>
        <x:v>0.782608695652174</x:v>
      </x:c>
      <x:c r="L4513" s="66" t="str">
        <x:f>IF(K4513="","","1 : "&amp;TEXT(K4513,"0.0"))</x:f>
        <x:v>1 : 0.8</x:v>
      </x:c>
      <x:c r="M4513" s="66" t="str">
        <x:f>IF(J4513="","Baru/Tanpa Data",IF(J4513&lt;='Catatan &amp; Sumber'!$B$14,"Sangat Ketat",IF(J4513&lt;='Catatan &amp; Sumber'!$B$15,"Ketat",IF(J4513&lt;='Catatan &amp; Sumber'!$B$16,"Sedang","Relatif Longgar"))))</x:f>
        <x:v>Relatif Longgar</x:v>
      </x:c>
      <x:c r="N4513" s="66" t="str">
        <x:v>Tidak Ada</x:v>
      </x:c>
      <x:c r="O4513" s="66" t="str">
        <x:v>Sulawesi Utara</x:v>
      </x:c>
      <x:c r="P4513" s="66" t="str">
        <x:v>Kabupaten Minahasa</x:v>
      </x:c>
      <x:c r="Q4513" s="66" t="str">
        <x:v>https://snpmb.id/snbp/daya-tampung-snbp</x:v>
      </x:c>
      <x:c r="R4513" s="66" t="str">
        <x:v>https://sidatagrun-public-1076756628210.asia-southeast2.run.app/ptn_sn.php?ptn=722</x:v>
      </x:c>
    </x:row>
    <x:row r="4514">
      <x:c r="A4514" s="87" t="n">
        <x:v>4652</x:v>
      </x:c>
      <x:c r="B4514" s="66" t="n">
        <x:v>722</x:v>
      </x:c>
      <x:c r="C4514" s="66" t="str">
        <x:v>UNIVERSITAS NEGERI MANADO</x:v>
      </x:c>
      <x:c r="D4514" s="66" t="str">
        <x:v>PTN Akademik</x:v>
      </x:c>
      <x:c r="E4514" s="66" t="str">
        <x:v>17221023</x:v>
      </x:c>
      <x:c r="F4514" s="66" t="str">
        <x:v>PEND. KES. KEL</x:v>
      </x:c>
      <x:c r="G4514" s="66" t="str">
        <x:v>Sarjana</x:v>
      </x:c>
      <x:c r="H4514" s="87" t="n">
        <x:v>12</x:v>
      </x:c>
      <x:c r="I4514" s="87" t="n">
        <x:v>6</x:v>
      </x:c>
      <x:c r="J4514" s="68" t="n">
        <x:f>IFERROR(H4514/I4514,"")</x:f>
        <x:v>2</x:v>
      </x:c>
      <x:c r="K4514" s="69" t="n">
        <x:f>IFERROR(I4514/H4514,"")</x:f>
        <x:v>0.5</x:v>
      </x:c>
      <x:c r="L4514" s="66" t="str">
        <x:f>IF(K4514="","","1 : "&amp;TEXT(K4514,"0.0"))</x:f>
        <x:v>1 : 0.5</x:v>
      </x:c>
      <x:c r="M4514" s="66" t="str">
        <x:f>IF(J4514="","Baru/Tanpa Data",IF(J4514&lt;='Catatan &amp; Sumber'!$B$14,"Sangat Ketat",IF(J4514&lt;='Catatan &amp; Sumber'!$B$15,"Ketat",IF(J4514&lt;='Catatan &amp; Sumber'!$B$16,"Sedang","Relatif Longgar"))))</x:f>
        <x:v>Relatif Longgar</x:v>
      </x:c>
      <x:c r="N4514" s="66" t="str">
        <x:v>Tidak Ada</x:v>
      </x:c>
      <x:c r="O4514" s="66" t="str">
        <x:v>Sulawesi Utara</x:v>
      </x:c>
      <x:c r="P4514" s="66" t="str">
        <x:v>Kabupaten Minahasa</x:v>
      </x:c>
      <x:c r="Q4514" s="66" t="str">
        <x:v>https://snpmb.id/snbp/daya-tampung-snbp</x:v>
      </x:c>
      <x:c r="R4514" s="66" t="str">
        <x:v>https://sidatagrun-public-1076756628210.asia-southeast2.run.app/ptn_sn.php?ptn=722</x:v>
      </x:c>
    </x:row>
    <x:row r="4515">
      <x:c r="A4515" s="87" t="n">
        <x:v>3353</x:v>
      </x:c>
      <x:c r="B4515" s="66" t="n">
        <x:v>722</x:v>
      </x:c>
      <x:c r="C4515" s="66" t="str">
        <x:v>UNIVERSITAS NEGERI MANADO</x:v>
      </x:c>
      <x:c r="D4515" s="66" t="str">
        <x:v>PTN Akademik</x:v>
      </x:c>
      <x:c r="E4515" s="66" t="str">
        <x:v>17221024</x:v>
      </x:c>
      <x:c r="F4515" s="66" t="str">
        <x:v>PEND. BAHASA INDONESIA</x:v>
      </x:c>
      <x:c r="G4515" s="66" t="str">
        <x:v>Sarjana</x:v>
      </x:c>
      <x:c r="H4515" s="87" t="n">
        <x:v>29</x:v>
      </x:c>
      <x:c r="I4515" s="87" t="n">
        <x:v>75</x:v>
      </x:c>
      <x:c r="J4515" s="68" t="n">
        <x:f>IFERROR(H4515/I4515,"")</x:f>
        <x:v>0.38666666666666666</x:v>
      </x:c>
      <x:c r="K4515" s="69" t="n">
        <x:f>IFERROR(I4515/H4515,"")</x:f>
        <x:v>2.586206896551724</x:v>
      </x:c>
      <x:c r="L4515" s="66" t="str">
        <x:f>IF(K4515="","","1 : "&amp;TEXT(K4515,"0.0"))</x:f>
        <x:v>1 : 2.6</x:v>
      </x:c>
      <x:c r="M4515" s="66" t="str">
        <x:f>IF(J4515="","Baru/Tanpa Data",IF(J4515&lt;='Catatan &amp; Sumber'!$B$14,"Sangat Ketat",IF(J4515&lt;='Catatan &amp; Sumber'!$B$15,"Ketat",IF(J4515&lt;='Catatan &amp; Sumber'!$B$16,"Sedang","Relatif Longgar"))))</x:f>
        <x:v>Relatif Longgar</x:v>
      </x:c>
      <x:c r="N4515" s="66" t="str">
        <x:v>Tidak Ada</x:v>
      </x:c>
      <x:c r="O4515" s="66" t="str">
        <x:v>Sulawesi Utara</x:v>
      </x:c>
      <x:c r="P4515" s="66" t="str">
        <x:v>Kabupaten Minahasa</x:v>
      </x:c>
      <x:c r="Q4515" s="66" t="str">
        <x:v>https://snpmb.id/snbp/daya-tampung-snbp</x:v>
      </x:c>
      <x:c r="R4515" s="66" t="str">
        <x:v>https://sidatagrun-public-1076756628210.asia-southeast2.run.app/ptn_sn.php?ptn=722</x:v>
      </x:c>
    </x:row>
    <x:row r="4516">
      <x:c r="A4516" s="87" t="n">
        <x:v>3337</x:v>
      </x:c>
      <x:c r="B4516" s="66" t="n">
        <x:v>722</x:v>
      </x:c>
      <x:c r="C4516" s="66" t="str">
        <x:v>UNIVERSITAS NEGERI MANADO</x:v>
      </x:c>
      <x:c r="D4516" s="66" t="str">
        <x:v>PTN Akademik</x:v>
      </x:c>
      <x:c r="E4516" s="66" t="str">
        <x:v>17221025</x:v>
      </x:c>
      <x:c r="F4516" s="66" t="str">
        <x:v>PEND. BAH INGGRIS</x:v>
      </x:c>
      <x:c r="G4516" s="66" t="str">
        <x:v>Sarjana</x:v>
      </x:c>
      <x:c r="H4516" s="87" t="n">
        <x:v>18</x:v>
      </x:c>
      <x:c r="I4516" s="87" t="n">
        <x:v>47</x:v>
      </x:c>
      <x:c r="J4516" s="68" t="n">
        <x:f>IFERROR(H4516/I4516,"")</x:f>
        <x:v>0.3829787234042553</x:v>
      </x:c>
      <x:c r="K4516" s="69" t="n">
        <x:f>IFERROR(I4516/H4516,"")</x:f>
        <x:v>2.611111111111111</x:v>
      </x:c>
      <x:c r="L4516" s="66" t="str">
        <x:f>IF(K4516="","","1 : "&amp;TEXT(K4516,"0.0"))</x:f>
        <x:v>1 : 2.6</x:v>
      </x:c>
      <x:c r="M4516" s="66" t="str">
        <x:f>IF(J4516="","Baru/Tanpa Data",IF(J4516&lt;='Catatan &amp; Sumber'!$B$14,"Sangat Ketat",IF(J4516&lt;='Catatan &amp; Sumber'!$B$15,"Ketat",IF(J4516&lt;='Catatan &amp; Sumber'!$B$16,"Sedang","Relatif Longgar"))))</x:f>
        <x:v>Relatif Longgar</x:v>
      </x:c>
      <x:c r="N4516" s="66" t="str">
        <x:v>Tidak Ada</x:v>
      </x:c>
      <x:c r="O4516" s="66" t="str">
        <x:v>Sulawesi Utara</x:v>
      </x:c>
      <x:c r="P4516" s="66" t="str">
        <x:v>Kabupaten Minahasa</x:v>
      </x:c>
      <x:c r="Q4516" s="66" t="str">
        <x:v>https://snpmb.id/snbp/daya-tampung-snbp</x:v>
      </x:c>
      <x:c r="R4516" s="66" t="str">
        <x:v>https://sidatagrun-public-1076756628210.asia-southeast2.run.app/ptn_sn.php?ptn=722</x:v>
      </x:c>
    </x:row>
    <x:row r="4517">
      <x:c r="A4517" s="87" t="n">
        <x:v>4120</x:v>
      </x:c>
      <x:c r="B4517" s="66" t="n">
        <x:v>722</x:v>
      </x:c>
      <x:c r="C4517" s="66" t="str">
        <x:v>UNIVERSITAS NEGERI MANADO</x:v>
      </x:c>
      <x:c r="D4517" s="66" t="str">
        <x:v>PTN Akademik</x:v>
      </x:c>
      <x:c r="E4517" s="66" t="str">
        <x:v>17221026</x:v>
      </x:c>
      <x:c r="F4517" s="66" t="str">
        <x:v>BAH &amp; SASTRA INGGRIS</x:v>
      </x:c>
      <x:c r="G4517" s="66" t="str">
        <x:v>Sarjana</x:v>
      </x:c>
      <x:c r="H4517" s="87" t="n">
        <x:v>21</x:v>
      </x:c>
      <x:c r="I4517" s="87" t="n">
        <x:v>27</x:v>
      </x:c>
      <x:c r="J4517" s="68" t="n">
        <x:f>IFERROR(H4517/I4517,"")</x:f>
        <x:v>0.7777777777777778</x:v>
      </x:c>
      <x:c r="K4517" s="69" t="n">
        <x:f>IFERROR(I4517/H4517,"")</x:f>
        <x:v>1.2857142857142858</x:v>
      </x:c>
      <x:c r="L4517" s="66" t="str">
        <x:f>IF(K4517="","","1 : "&amp;TEXT(K4517,"0.0"))</x:f>
        <x:v>1 : 1.3</x:v>
      </x:c>
      <x:c r="M4517" s="66" t="str">
        <x:f>IF(J4517="","Baru/Tanpa Data",IF(J4517&lt;='Catatan &amp; Sumber'!$B$14,"Sangat Ketat",IF(J4517&lt;='Catatan &amp; Sumber'!$B$15,"Ketat",IF(J4517&lt;='Catatan &amp; Sumber'!$B$16,"Sedang","Relatif Longgar"))))</x:f>
        <x:v>Relatif Longgar</x:v>
      </x:c>
      <x:c r="N4517" s="66" t="str">
        <x:v>Tidak Ada</x:v>
      </x:c>
      <x:c r="O4517" s="66" t="str">
        <x:v>Sulawesi Utara</x:v>
      </x:c>
      <x:c r="P4517" s="66" t="str">
        <x:v>Kabupaten Minahasa</x:v>
      </x:c>
      <x:c r="Q4517" s="66" t="str">
        <x:v>https://snpmb.id/snbp/daya-tampung-snbp</x:v>
      </x:c>
      <x:c r="R4517" s="66" t="str">
        <x:v>https://sidatagrun-public-1076756628210.asia-southeast2.run.app/ptn_sn.php?ptn=722</x:v>
      </x:c>
    </x:row>
    <x:row r="4518">
      <x:c r="A4518" s="87" t="n">
        <x:v>3644</x:v>
      </x:c>
      <x:c r="B4518" s="66" t="n">
        <x:v>722</x:v>
      </x:c>
      <x:c r="C4518" s="66" t="str">
        <x:v>UNIVERSITAS NEGERI MANADO</x:v>
      </x:c>
      <x:c r="D4518" s="66" t="str">
        <x:v>PTN Akademik</x:v>
      </x:c>
      <x:c r="E4518" s="66" t="str">
        <x:v>17221027</x:v>
      </x:c>
      <x:c r="F4518" s="66" t="str">
        <x:v>PEND. BAHASA JEPANG</x:v>
      </x:c>
      <x:c r="G4518" s="66" t="str">
        <x:v>Sarjana</x:v>
      </x:c>
      <x:c r="H4518" s="87" t="n">
        <x:v>18</x:v>
      </x:c>
      <x:c r="I4518" s="87" t="n">
        <x:v>37</x:v>
      </x:c>
      <x:c r="J4518" s="68" t="n">
        <x:f>IFERROR(H4518/I4518,"")</x:f>
        <x:v>0.4864864864864865</x:v>
      </x:c>
      <x:c r="K4518" s="69" t="n">
        <x:f>IFERROR(I4518/H4518,"")</x:f>
        <x:v>2.0555555555555554</x:v>
      </x:c>
      <x:c r="L4518" s="66" t="str">
        <x:f>IF(K4518="","","1 : "&amp;TEXT(K4518,"0.0"))</x:f>
        <x:v>1 : 2.1</x:v>
      </x:c>
      <x:c r="M4518" s="66" t="str">
        <x:f>IF(J4518="","Baru/Tanpa Data",IF(J4518&lt;='Catatan &amp; Sumber'!$B$14,"Sangat Ketat",IF(J4518&lt;='Catatan &amp; Sumber'!$B$15,"Ketat",IF(J4518&lt;='Catatan &amp; Sumber'!$B$16,"Sedang","Relatif Longgar"))))</x:f>
        <x:v>Relatif Longgar</x:v>
      </x:c>
      <x:c r="N4518" s="66" t="str">
        <x:v>Tidak Ada</x:v>
      </x:c>
      <x:c r="O4518" s="66" t="str">
        <x:v>Sulawesi Utara</x:v>
      </x:c>
      <x:c r="P4518" s="66" t="str">
        <x:v>Kabupaten Minahasa</x:v>
      </x:c>
      <x:c r="Q4518" s="66" t="str">
        <x:v>https://snpmb.id/snbp/daya-tampung-snbp</x:v>
      </x:c>
      <x:c r="R4518" s="66" t="str">
        <x:v>https://sidatagrun-public-1076756628210.asia-southeast2.run.app/ptn_sn.php?ptn=722</x:v>
      </x:c>
    </x:row>
    <x:row r="4519">
      <x:c r="A4519" s="87" t="n">
        <x:v>3479</x:v>
      </x:c>
      <x:c r="B4519" s="66" t="n">
        <x:v>722</x:v>
      </x:c>
      <x:c r="C4519" s="66" t="str">
        <x:v>UNIVERSITAS NEGERI MANADO</x:v>
      </x:c>
      <x:c r="D4519" s="66" t="str">
        <x:v>PTN Akademik</x:v>
      </x:c>
      <x:c r="E4519" s="66" t="str">
        <x:v>17221028</x:v>
      </x:c>
      <x:c r="F4519" s="66" t="str">
        <x:v>PEND. BAH. JERMAN</x:v>
      </x:c>
      <x:c r="G4519" s="66" t="str">
        <x:v>Sarjana</x:v>
      </x:c>
      <x:c r="H4519" s="87" t="n">
        <x:v>3</x:v>
      </x:c>
      <x:c r="I4519" s="87" t="n">
        <x:v>7</x:v>
      </x:c>
      <x:c r="J4519" s="68" t="n">
        <x:f>IFERROR(H4519/I4519,"")</x:f>
        <x:v>0.42857142857142855</x:v>
      </x:c>
      <x:c r="K4519" s="69" t="n">
        <x:f>IFERROR(I4519/H4519,"")</x:f>
        <x:v>2.3333333333333335</x:v>
      </x:c>
      <x:c r="L4519" s="66" t="str">
        <x:f>IF(K4519="","","1 : "&amp;TEXT(K4519,"0.0"))</x:f>
        <x:v>1 : 2.3</x:v>
      </x:c>
      <x:c r="M4519" s="66" t="str">
        <x:f>IF(J4519="","Baru/Tanpa Data",IF(J4519&lt;='Catatan &amp; Sumber'!$B$14,"Sangat Ketat",IF(J4519&lt;='Catatan &amp; Sumber'!$B$15,"Ketat",IF(J4519&lt;='Catatan &amp; Sumber'!$B$16,"Sedang","Relatif Longgar"))))</x:f>
        <x:v>Relatif Longgar</x:v>
      </x:c>
      <x:c r="N4519" s="66" t="str">
        <x:v>Tidak Ada</x:v>
      </x:c>
      <x:c r="O4519" s="66" t="str">
        <x:v>Sulawesi Utara</x:v>
      </x:c>
      <x:c r="P4519" s="66" t="str">
        <x:v>Kabupaten Minahasa</x:v>
      </x:c>
      <x:c r="Q4519" s="66" t="str">
        <x:v>https://snpmb.id/snbp/daya-tampung-snbp</x:v>
      </x:c>
      <x:c r="R4519" s="66" t="str">
        <x:v>https://sidatagrun-public-1076756628210.asia-southeast2.run.app/ptn_sn.php?ptn=722</x:v>
      </x:c>
    </x:row>
    <x:row r="4520">
      <x:c r="A4520" s="87"/>
      <x:c r="B4520" s="66" t="n">
        <x:v>722</x:v>
      </x:c>
      <x:c r="C4520" s="66" t="str">
        <x:v>UNIVERSITAS NEGERI MANADO</x:v>
      </x:c>
      <x:c r="D4520" s="66" t="str">
        <x:v>PTN Akademik</x:v>
      </x:c>
      <x:c r="E4520" s="66" t="str">
        <x:v>17221029</x:v>
      </x:c>
      <x:c r="F4520" s="66" t="str">
        <x:v>PEND. BAH. PERANCIS</x:v>
      </x:c>
      <x:c r="G4520" s="66" t="str">
        <x:v>Sarjana</x:v>
      </x:c>
      <x:c r="H4520" s="87" t="n">
        <x:v>3</x:v>
      </x:c>
      <x:c r="I4520" s="87"/>
      <x:c r="J4520" s="68" t="str">
        <x:f>IFERROR(H4520/I4520,"")</x:f>
      </x:c>
      <x:c r="K4520" s="69" t="n">
        <x:f>IFERROR(I4520/H4520,"")</x:f>
        <x:v>0</x:v>
      </x:c>
      <x:c r="L4520" s="66" t="str">
        <x:f>IF(K4520="","","1 : "&amp;TEXT(K4520,"0.0"))</x:f>
      </x:c>
      <x:c r="M4520" s="66" t="str">
        <x:f>IF(J4520="","Baru/Tanpa Data",IF(J4520&lt;='Catatan &amp; Sumber'!$B$14,"Sangat Ketat",IF(J4520&lt;='Catatan &amp; Sumber'!$B$15,"Ketat",IF(J4520&lt;='Catatan &amp; Sumber'!$B$16,"Sedang","Relatif Longgar"))))</x:f>
        <x:v>Baru/Tanpa Data</x:v>
      </x:c>
      <x:c r="N4520" s="66" t="str">
        <x:v>Tidak Ada</x:v>
      </x:c>
      <x:c r="O4520" s="66" t="str">
        <x:v>Sulawesi Utara</x:v>
      </x:c>
      <x:c r="P4520" s="66" t="str">
        <x:v>Kabupaten Minahasa</x:v>
      </x:c>
      <x:c r="Q4520" s="66" t="str">
        <x:v>https://snpmb.id/snbp/daya-tampung-snbp</x:v>
      </x:c>
      <x:c r="R4520" s="66" t="str">
        <x:v>https://sidatagrun-public-1076756628210.asia-southeast2.run.app/ptn_sn.php?ptn=722</x:v>
      </x:c>
    </x:row>
    <x:row r="4521">
      <x:c r="A4521" s="87" t="n">
        <x:v>4503</x:v>
      </x:c>
      <x:c r="B4521" s="66" t="n">
        <x:v>722</x:v>
      </x:c>
      <x:c r="C4521" s="66" t="str">
        <x:v>UNIVERSITAS NEGERI MANADO</x:v>
      </x:c>
      <x:c r="D4521" s="66" t="str">
        <x:v>PTN Akademik</x:v>
      </x:c>
      <x:c r="E4521" s="66" t="str">
        <x:v>17221030</x:v>
      </x:c>
      <x:c r="F4521" s="66" t="str">
        <x:v>PEND. SENI MUSIK</x:v>
      </x:c>
      <x:c r="G4521" s="66" t="str">
        <x:v>Sarjana</x:v>
      </x:c>
      <x:c r="H4521" s="87" t="n">
        <x:v>12</x:v>
      </x:c>
      <x:c r="I4521" s="87" t="n">
        <x:v>9</x:v>
      </x:c>
      <x:c r="J4521" s="68" t="n">
        <x:f>IFERROR(H4521/I4521,"")</x:f>
        <x:v>1.3333333333333333</x:v>
      </x:c>
      <x:c r="K4521" s="69" t="n">
        <x:f>IFERROR(I4521/H4521,"")</x:f>
        <x:v>0.75</x:v>
      </x:c>
      <x:c r="L4521" s="66" t="str">
        <x:f>IF(K4521="","","1 : "&amp;TEXT(K4521,"0.0"))</x:f>
        <x:v>1 : 0.8</x:v>
      </x:c>
      <x:c r="M4521" s="66" t="str">
        <x:f>IF(J4521="","Baru/Tanpa Data",IF(J4521&lt;='Catatan &amp; Sumber'!$B$14,"Sangat Ketat",IF(J4521&lt;='Catatan &amp; Sumber'!$B$15,"Ketat",IF(J4521&lt;='Catatan &amp; Sumber'!$B$16,"Sedang","Relatif Longgar"))))</x:f>
        <x:v>Relatif Longgar</x:v>
      </x:c>
      <x:c r="N4521" s="66" t="str">
        <x:v>Musik</x:v>
      </x:c>
      <x:c r="O4521" s="66" t="str">
        <x:v>Sulawesi Utara</x:v>
      </x:c>
      <x:c r="P4521" s="66" t="str">
        <x:v>Kabupaten Minahasa</x:v>
      </x:c>
      <x:c r="Q4521" s="66" t="str">
        <x:v>https://snpmb.id/snbp/daya-tampung-snbp</x:v>
      </x:c>
      <x:c r="R4521" s="66" t="str">
        <x:v>https://sidatagrun-public-1076756628210.asia-southeast2.run.app/ptn_sn.php?ptn=722</x:v>
      </x:c>
    </x:row>
    <x:row r="4522">
      <x:c r="A4522" s="87" t="n">
        <x:v>4439</x:v>
      </x:c>
      <x:c r="B4522" s="66" t="n">
        <x:v>722</x:v>
      </x:c>
      <x:c r="C4522" s="66" t="str">
        <x:v>UNIVERSITAS NEGERI MANADO</x:v>
      </x:c>
      <x:c r="D4522" s="66" t="str">
        <x:v>PTN Akademik</x:v>
      </x:c>
      <x:c r="E4522" s="66" t="str">
        <x:v>17221031</x:v>
      </x:c>
      <x:c r="F4522" s="66" t="str">
        <x:v>PEND. SENI RUPA</x:v>
      </x:c>
      <x:c r="G4522" s="66" t="str">
        <x:v>Sarjana</x:v>
      </x:c>
      <x:c r="H4522" s="87" t="n">
        <x:v>6</x:v>
      </x:c>
      <x:c r="I4522" s="87" t="n">
        <x:v>5</x:v>
      </x:c>
      <x:c r="J4522" s="68" t="n">
        <x:f>IFERROR(H4522/I4522,"")</x:f>
        <x:v>1.2</x:v>
      </x:c>
      <x:c r="K4522" s="69" t="n">
        <x:f>IFERROR(I4522/H4522,"")</x:f>
        <x:v>0.8333333333333334</x:v>
      </x:c>
      <x:c r="L4522" s="66" t="str">
        <x:f>IF(K4522="","","1 : "&amp;TEXT(K4522,"0.0"))</x:f>
        <x:v>1 : 0.8</x:v>
      </x:c>
      <x:c r="M4522" s="66" t="str">
        <x:f>IF(J4522="","Baru/Tanpa Data",IF(J4522&lt;='Catatan &amp; Sumber'!$B$14,"Sangat Ketat",IF(J4522&lt;='Catatan &amp; Sumber'!$B$15,"Ketat",IF(J4522&lt;='Catatan &amp; Sumber'!$B$16,"Sedang","Relatif Longgar"))))</x:f>
        <x:v>Relatif Longgar</x:v>
      </x:c>
      <x:c r="N4522" s="66" t="str">
        <x:v>Seni Rupa, Desain, dan Kriya</x:v>
      </x:c>
      <x:c r="O4522" s="66" t="str">
        <x:v>Sulawesi Utara</x:v>
      </x:c>
      <x:c r="P4522" s="66" t="str">
        <x:v>Kabupaten Minahasa</x:v>
      </x:c>
      <x:c r="Q4522" s="66" t="str">
        <x:v>https://snpmb.id/snbp/daya-tampung-snbp</x:v>
      </x:c>
      <x:c r="R4522" s="66" t="str">
        <x:v>https://sidatagrun-public-1076756628210.asia-southeast2.run.app/ptn_sn.php?ptn=722</x:v>
      </x:c>
    </x:row>
    <x:row r="4523">
      <x:c r="A4523" s="87" t="n">
        <x:v>3437</x:v>
      </x:c>
      <x:c r="B4523" s="66" t="n">
        <x:v>722</x:v>
      </x:c>
      <x:c r="C4523" s="66" t="str">
        <x:v>UNIVERSITAS NEGERI MANADO</x:v>
      </x:c>
      <x:c r="D4523" s="66" t="str">
        <x:v>PTN Akademik</x:v>
      </x:c>
      <x:c r="E4523" s="66" t="str">
        <x:v>17221032</x:v>
      </x:c>
      <x:c r="F4523" s="66" t="str">
        <x:v>PPKN</x:v>
      </x:c>
      <x:c r="G4523" s="66" t="str">
        <x:v>Sarjana</x:v>
      </x:c>
      <x:c r="H4523" s="87" t="n">
        <x:v>12</x:v>
      </x:c>
      <x:c r="I4523" s="87" t="n">
        <x:v>29</x:v>
      </x:c>
      <x:c r="J4523" s="68" t="n">
        <x:f>IFERROR(H4523/I4523,"")</x:f>
        <x:v>0.41379310344827586</x:v>
      </x:c>
      <x:c r="K4523" s="69" t="n">
        <x:f>IFERROR(I4523/H4523,"")</x:f>
        <x:v>2.4166666666666665</x:v>
      </x:c>
      <x:c r="L4523" s="66" t="str">
        <x:f>IF(K4523="","","1 : "&amp;TEXT(K4523,"0.0"))</x:f>
        <x:v>1 : 2.4</x:v>
      </x:c>
      <x:c r="M4523" s="66" t="str">
        <x:f>IF(J4523="","Baru/Tanpa Data",IF(J4523&lt;='Catatan &amp; Sumber'!$B$14,"Sangat Ketat",IF(J4523&lt;='Catatan &amp; Sumber'!$B$15,"Ketat",IF(J4523&lt;='Catatan &amp; Sumber'!$B$16,"Sedang","Relatif Longgar"))))</x:f>
        <x:v>Relatif Longgar</x:v>
      </x:c>
      <x:c r="N4523" s="66" t="str">
        <x:v>Tidak Ada</x:v>
      </x:c>
      <x:c r="O4523" s="66" t="str">
        <x:v>Sulawesi Utara</x:v>
      </x:c>
      <x:c r="P4523" s="66" t="str">
        <x:v>Kabupaten Minahasa</x:v>
      </x:c>
      <x:c r="Q4523" s="66" t="str">
        <x:v>https://snpmb.id/snbp/daya-tampung-snbp</x:v>
      </x:c>
      <x:c r="R4523" s="66" t="str">
        <x:v>https://sidatagrun-public-1076756628210.asia-southeast2.run.app/ptn_sn.php?ptn=722</x:v>
      </x:c>
    </x:row>
    <x:row r="4524">
      <x:c r="A4524" s="87" t="n">
        <x:v>3391</x:v>
      </x:c>
      <x:c r="B4524" s="66" t="n">
        <x:v>722</x:v>
      </x:c>
      <x:c r="C4524" s="66" t="str">
        <x:v>UNIVERSITAS NEGERI MANADO</x:v>
      </x:c>
      <x:c r="D4524" s="66" t="str">
        <x:v>PTN Akademik</x:v>
      </x:c>
      <x:c r="E4524" s="66" t="str">
        <x:v>17221033</x:v>
      </x:c>
      <x:c r="F4524" s="66" t="str">
        <x:v>PEND. SEJARAH</x:v>
      </x:c>
      <x:c r="G4524" s="66" t="str">
        <x:v>Sarjana</x:v>
      </x:c>
      <x:c r="H4524" s="87" t="n">
        <x:v>12</x:v>
      </x:c>
      <x:c r="I4524" s="87" t="n">
        <x:v>30</x:v>
      </x:c>
      <x:c r="J4524" s="68" t="n">
        <x:f>IFERROR(H4524/I4524,"")</x:f>
        <x:v>0.4</x:v>
      </x:c>
      <x:c r="K4524" s="69" t="n">
        <x:f>IFERROR(I4524/H4524,"")</x:f>
        <x:v>2.5</x:v>
      </x:c>
      <x:c r="L4524" s="66" t="str">
        <x:f>IF(K4524="","","1 : "&amp;TEXT(K4524,"0.0"))</x:f>
        <x:v>1 : 2.5</x:v>
      </x:c>
      <x:c r="M4524" s="66" t="str">
        <x:f>IF(J4524="","Baru/Tanpa Data",IF(J4524&lt;='Catatan &amp; Sumber'!$B$14,"Sangat Ketat",IF(J4524&lt;='Catatan &amp; Sumber'!$B$15,"Ketat",IF(J4524&lt;='Catatan &amp; Sumber'!$B$16,"Sedang","Relatif Longgar"))))</x:f>
        <x:v>Relatif Longgar</x:v>
      </x:c>
      <x:c r="N4524" s="66" t="str">
        <x:v>Tidak Ada</x:v>
      </x:c>
      <x:c r="O4524" s="66" t="str">
        <x:v>Sulawesi Utara</x:v>
      </x:c>
      <x:c r="P4524" s="66" t="str">
        <x:v>Kabupaten Minahasa</x:v>
      </x:c>
      <x:c r="Q4524" s="66" t="str">
        <x:v>https://snpmb.id/snbp/daya-tampung-snbp</x:v>
      </x:c>
      <x:c r="R4524" s="66" t="str">
        <x:v>https://sidatagrun-public-1076756628210.asia-southeast2.run.app/ptn_sn.php?ptn=722</x:v>
      </x:c>
    </x:row>
    <x:row r="4525">
      <x:c r="A4525" s="87" t="n">
        <x:v>4241</x:v>
      </x:c>
      <x:c r="B4525" s="66" t="n">
        <x:v>722</x:v>
      </x:c>
      <x:c r="C4525" s="66" t="str">
        <x:v>UNIVERSITAS NEGERI MANADO</x:v>
      </x:c>
      <x:c r="D4525" s="66" t="str">
        <x:v>PTN Akademik</x:v>
      </x:c>
      <x:c r="E4525" s="66" t="str">
        <x:v>17221034</x:v>
      </x:c>
      <x:c r="F4525" s="66" t="str">
        <x:v>PEND GEOGRAFI</x:v>
      </x:c>
      <x:c r="G4525" s="66" t="str">
        <x:v>Sarjana</x:v>
      </x:c>
      <x:c r="H4525" s="87" t="n">
        <x:v>9</x:v>
      </x:c>
      <x:c r="I4525" s="87" t="n">
        <x:v>10</x:v>
      </x:c>
      <x:c r="J4525" s="68" t="n">
        <x:f>IFERROR(H4525/I4525,"")</x:f>
        <x:v>0.9</x:v>
      </x:c>
      <x:c r="K4525" s="69" t="n">
        <x:f>IFERROR(I4525/H4525,"")</x:f>
        <x:v>1.1111111111111112</x:v>
      </x:c>
      <x:c r="L4525" s="66" t="str">
        <x:f>IF(K4525="","","1 : "&amp;TEXT(K4525,"0.0"))</x:f>
        <x:v>1 : 1.1</x:v>
      </x:c>
      <x:c r="M4525" s="66" t="str">
        <x:f>IF(J4525="","Baru/Tanpa Data",IF(J4525&lt;='Catatan &amp; Sumber'!$B$14,"Sangat Ketat",IF(J4525&lt;='Catatan &amp; Sumber'!$B$15,"Ketat",IF(J4525&lt;='Catatan &amp; Sumber'!$B$16,"Sedang","Relatif Longgar"))))</x:f>
        <x:v>Relatif Longgar</x:v>
      </x:c>
      <x:c r="N4525" s="66" t="str">
        <x:v>Tidak Ada</x:v>
      </x:c>
      <x:c r="O4525" s="66" t="str">
        <x:v>Sulawesi Utara</x:v>
      </x:c>
      <x:c r="P4525" s="66" t="str">
        <x:v>Kabupaten Minahasa</x:v>
      </x:c>
      <x:c r="Q4525" s="66" t="str">
        <x:v>https://snpmb.id/snbp/daya-tampung-snbp</x:v>
      </x:c>
      <x:c r="R4525" s="66" t="str">
        <x:v>https://sidatagrun-public-1076756628210.asia-southeast2.run.app/ptn_sn.php?ptn=722</x:v>
      </x:c>
    </x:row>
    <x:row r="4526">
      <x:c r="A4526" s="87" t="n">
        <x:v>3314</x:v>
      </x:c>
      <x:c r="B4526" s="66" t="n">
        <x:v>722</x:v>
      </x:c>
      <x:c r="C4526" s="66" t="str">
        <x:v>UNIVERSITAS NEGERI MANADO</x:v>
      </x:c>
      <x:c r="D4526" s="66" t="str">
        <x:v>PTN Akademik</x:v>
      </x:c>
      <x:c r="E4526" s="66" t="str">
        <x:v>17221035</x:v>
      </x:c>
      <x:c r="F4526" s="66" t="str">
        <x:v>ILMU ADM NEGARA</x:v>
      </x:c>
      <x:c r="G4526" s="66" t="str">
        <x:v>Sarjana</x:v>
      </x:c>
      <x:c r="H4526" s="87" t="n">
        <x:v>23</x:v>
      </x:c>
      <x:c r="I4526" s="87" t="n">
        <x:v>61</x:v>
      </x:c>
      <x:c r="J4526" s="68" t="n">
        <x:f>IFERROR(H4526/I4526,"")</x:f>
        <x:v>0.3770491803278688</x:v>
      </x:c>
      <x:c r="K4526" s="69" t="n">
        <x:f>IFERROR(I4526/H4526,"")</x:f>
        <x:v>2.652173913043478</x:v>
      </x:c>
      <x:c r="L4526" s="66" t="str">
        <x:f>IF(K4526="","","1 : "&amp;TEXT(K4526,"0.0"))</x:f>
        <x:v>1 : 2.7</x:v>
      </x:c>
      <x:c r="M4526" s="66" t="str">
        <x:f>IF(J4526="","Baru/Tanpa Data",IF(J4526&lt;='Catatan &amp; Sumber'!$B$14,"Sangat Ketat",IF(J4526&lt;='Catatan &amp; Sumber'!$B$15,"Ketat",IF(J4526&lt;='Catatan &amp; Sumber'!$B$16,"Sedang","Relatif Longgar"))))</x:f>
        <x:v>Relatif Longgar</x:v>
      </x:c>
      <x:c r="N4526" s="66" t="str">
        <x:v>Tidak Ada</x:v>
      </x:c>
      <x:c r="O4526" s="66" t="str">
        <x:v>Sulawesi Utara</x:v>
      </x:c>
      <x:c r="P4526" s="66" t="str">
        <x:v>Kabupaten Minahasa</x:v>
      </x:c>
      <x:c r="Q4526" s="66" t="str">
        <x:v>https://snpmb.id/snbp/daya-tampung-snbp</x:v>
      </x:c>
      <x:c r="R4526" s="66" t="str">
        <x:v>https://sidatagrun-public-1076756628210.asia-southeast2.run.app/ptn_sn.php?ptn=722</x:v>
      </x:c>
    </x:row>
    <x:row r="4527">
      <x:c r="A4527" s="87" t="n">
        <x:v>3987</x:v>
      </x:c>
      <x:c r="B4527" s="66" t="n">
        <x:v>722</x:v>
      </x:c>
      <x:c r="C4527" s="66" t="str">
        <x:v>UNIVERSITAS NEGERI MANADO</x:v>
      </x:c>
      <x:c r="D4527" s="66" t="str">
        <x:v>PTN Akademik</x:v>
      </x:c>
      <x:c r="E4527" s="66" t="str">
        <x:v>17221036</x:v>
      </x:c>
      <x:c r="F4527" s="66" t="str">
        <x:v>ILMU HUKUM</x:v>
      </x:c>
      <x:c r="G4527" s="66" t="str">
        <x:v>Sarjana</x:v>
      </x:c>
      <x:c r="H4527" s="87" t="n">
        <x:v>53</x:v>
      </x:c>
      <x:c r="I4527" s="87" t="n">
        <x:v>78</x:v>
      </x:c>
      <x:c r="J4527" s="68" t="n">
        <x:f>IFERROR(H4527/I4527,"")</x:f>
        <x:v>0.6794871794871795</x:v>
      </x:c>
      <x:c r="K4527" s="69" t="n">
        <x:f>IFERROR(I4527/H4527,"")</x:f>
        <x:v>1.471698113207547</x:v>
      </x:c>
      <x:c r="L4527" s="66" t="str">
        <x:f>IF(K4527="","","1 : "&amp;TEXT(K4527,"0.0"))</x:f>
        <x:v>1 : 1.5</x:v>
      </x:c>
      <x:c r="M4527" s="66" t="str">
        <x:f>IF(J4527="","Baru/Tanpa Data",IF(J4527&lt;='Catatan &amp; Sumber'!$B$14,"Sangat Ketat",IF(J4527&lt;='Catatan &amp; Sumber'!$B$15,"Ketat",IF(J4527&lt;='Catatan &amp; Sumber'!$B$16,"Sedang","Relatif Longgar"))))</x:f>
        <x:v>Relatif Longgar</x:v>
      </x:c>
      <x:c r="N4527" s="66" t="str">
        <x:v>Tidak Ada</x:v>
      </x:c>
      <x:c r="O4527" s="66" t="str">
        <x:v>Sulawesi Utara</x:v>
      </x:c>
      <x:c r="P4527" s="66" t="str">
        <x:v>Kabupaten Minahasa</x:v>
      </x:c>
      <x:c r="Q4527" s="66" t="str">
        <x:v>https://snpmb.id/snbp/daya-tampung-snbp</x:v>
      </x:c>
      <x:c r="R4527" s="66" t="str">
        <x:v>https://sidatagrun-public-1076756628210.asia-southeast2.run.app/ptn_sn.php?ptn=722</x:v>
      </x:c>
    </x:row>
    <x:row r="4528">
      <x:c r="A4528" s="87" t="n">
        <x:v>3741</x:v>
      </x:c>
      <x:c r="B4528" s="66" t="n">
        <x:v>722</x:v>
      </x:c>
      <x:c r="C4528" s="66" t="str">
        <x:v>UNIVERSITAS NEGERI MANADO</x:v>
      </x:c>
      <x:c r="D4528" s="66" t="str">
        <x:v>PTN Akademik</x:v>
      </x:c>
      <x:c r="E4528" s="66" t="str">
        <x:v>17221037</x:v>
      </x:c>
      <x:c r="F4528" s="66" t="str">
        <x:v>PEND EKONOMI S1</x:v>
      </x:c>
      <x:c r="G4528" s="66" t="str">
        <x:v>Sarjana</x:v>
      </x:c>
      <x:c r="H4528" s="87" t="n">
        <x:v>20</x:v>
      </x:c>
      <x:c r="I4528" s="87" t="n">
        <x:v>37</x:v>
      </x:c>
      <x:c r="J4528" s="68" t="n">
        <x:f>IFERROR(H4528/I4528,"")</x:f>
        <x:v>0.5405405405405406</x:v>
      </x:c>
      <x:c r="K4528" s="69" t="n">
        <x:f>IFERROR(I4528/H4528,"")</x:f>
        <x:v>1.85</x:v>
      </x:c>
      <x:c r="L4528" s="66" t="str">
        <x:f>IF(K4528="","","1 : "&amp;TEXT(K4528,"0.0"))</x:f>
        <x:v>1 : 1.9</x:v>
      </x:c>
      <x:c r="M4528" s="66" t="str">
        <x:f>IF(J4528="","Baru/Tanpa Data",IF(J4528&lt;='Catatan &amp; Sumber'!$B$14,"Sangat Ketat",IF(J4528&lt;='Catatan &amp; Sumber'!$B$15,"Ketat",IF(J4528&lt;='Catatan &amp; Sumber'!$B$16,"Sedang","Relatif Longgar"))))</x:f>
        <x:v>Relatif Longgar</x:v>
      </x:c>
      <x:c r="N4528" s="66" t="str">
        <x:v>Tidak Ada</x:v>
      </x:c>
      <x:c r="O4528" s="66" t="str">
        <x:v>Sulawesi Utara</x:v>
      </x:c>
      <x:c r="P4528" s="66" t="str">
        <x:v>Kabupaten Minahasa</x:v>
      </x:c>
      <x:c r="Q4528" s="66" t="str">
        <x:v>https://snpmb.id/snbp/daya-tampung-snbp</x:v>
      </x:c>
      <x:c r="R4528" s="66" t="str">
        <x:v>https://sidatagrun-public-1076756628210.asia-southeast2.run.app/ptn_sn.php?ptn=722</x:v>
      </x:c>
    </x:row>
    <x:row r="4529">
      <x:c r="A4529" s="87" t="n">
        <x:v>3560</x:v>
      </x:c>
      <x:c r="B4529" s="66" t="n">
        <x:v>722</x:v>
      </x:c>
      <x:c r="C4529" s="66" t="str">
        <x:v>UNIVERSITAS NEGERI MANADO</x:v>
      </x:c>
      <x:c r="D4529" s="66" t="str">
        <x:v>PTN Akademik</x:v>
      </x:c>
      <x:c r="E4529" s="66" t="str">
        <x:v>17221038</x:v>
      </x:c>
      <x:c r="F4529" s="66" t="str">
        <x:v>MANAJEMEN S1</x:v>
      </x:c>
      <x:c r="G4529" s="66" t="str">
        <x:v>Sarjana</x:v>
      </x:c>
      <x:c r="H4529" s="87" t="n">
        <x:v>80</x:v>
      </x:c>
      <x:c r="I4529" s="87" t="n">
        <x:v>176</x:v>
      </x:c>
      <x:c r="J4529" s="68" t="n">
        <x:f>IFERROR(H4529/I4529,"")</x:f>
        <x:v>0.45454545454545453</x:v>
      </x:c>
      <x:c r="K4529" s="69" t="n">
        <x:f>IFERROR(I4529/H4529,"")</x:f>
        <x:v>2.2</x:v>
      </x:c>
      <x:c r="L4529" s="66" t="str">
        <x:f>IF(K4529="","","1 : "&amp;TEXT(K4529,"0.0"))</x:f>
        <x:v>1 : 2.2</x:v>
      </x:c>
      <x:c r="M4529" s="66" t="str">
        <x:f>IF(J4529="","Baru/Tanpa Data",IF(J4529&lt;='Catatan &amp; Sumber'!$B$14,"Sangat Ketat",IF(J4529&lt;='Catatan &amp; Sumber'!$B$15,"Ketat",IF(J4529&lt;='Catatan &amp; Sumber'!$B$16,"Sedang","Relatif Longgar"))))</x:f>
        <x:v>Relatif Longgar</x:v>
      </x:c>
      <x:c r="N4529" s="66" t="str">
        <x:v>Tidak Ada</x:v>
      </x:c>
      <x:c r="O4529" s="66" t="str">
        <x:v>Sulawesi Utara</x:v>
      </x:c>
      <x:c r="P4529" s="66" t="str">
        <x:v>Kabupaten Minahasa</x:v>
      </x:c>
      <x:c r="Q4529" s="66" t="str">
        <x:v>https://snpmb.id/snbp/daya-tampung-snbp</x:v>
      </x:c>
      <x:c r="R4529" s="66" t="str">
        <x:v>https://sidatagrun-public-1076756628210.asia-southeast2.run.app/ptn_sn.php?ptn=722</x:v>
      </x:c>
    </x:row>
    <x:row r="4530">
      <x:c r="A4530" s="87" t="n">
        <x:v>4616</x:v>
      </x:c>
      <x:c r="B4530" s="66" t="n">
        <x:v>722</x:v>
      </x:c>
      <x:c r="C4530" s="66" t="str">
        <x:v>UNIVERSITAS NEGERI MANADO</x:v>
      </x:c>
      <x:c r="D4530" s="66" t="str">
        <x:v>PTN Akademik</x:v>
      </x:c>
      <x:c r="E4530" s="66" t="str">
        <x:v>17221039</x:v>
      </x:c>
      <x:c r="F4530" s="66" t="str">
        <x:v>PEND. KEPELATIHAN OR</x:v>
      </x:c>
      <x:c r="G4530" s="66" t="str">
        <x:v>Sarjana</x:v>
      </x:c>
      <x:c r="H4530" s="87" t="n">
        <x:v>36</x:v>
      </x:c>
      <x:c r="I4530" s="87" t="n">
        <x:v>21</x:v>
      </x:c>
      <x:c r="J4530" s="68" t="n">
        <x:f>IFERROR(H4530/I4530,"")</x:f>
        <x:v>1.7142857142857142</x:v>
      </x:c>
      <x:c r="K4530" s="69" t="n">
        <x:f>IFERROR(I4530/H4530,"")</x:f>
        <x:v>0.5833333333333334</x:v>
      </x:c>
      <x:c r="L4530" s="66" t="str">
        <x:f>IF(K4530="","","1 : "&amp;TEXT(K4530,"0.0"))</x:f>
        <x:v>1 : 0.6</x:v>
      </x:c>
      <x:c r="M4530" s="66" t="str">
        <x:f>IF(J4530="","Baru/Tanpa Data",IF(J4530&lt;='Catatan &amp; Sumber'!$B$14,"Sangat Ketat",IF(J4530&lt;='Catatan &amp; Sumber'!$B$15,"Ketat",IF(J4530&lt;='Catatan &amp; Sumber'!$B$16,"Sedang","Relatif Longgar"))))</x:f>
        <x:v>Relatif Longgar</x:v>
      </x:c>
      <x:c r="N4530" s="66" t="str">
        <x:v>Olahraga</x:v>
      </x:c>
      <x:c r="O4530" s="66" t="str">
        <x:v>Sulawesi Utara</x:v>
      </x:c>
      <x:c r="P4530" s="66" t="str">
        <x:v>Kabupaten Minahasa</x:v>
      </x:c>
      <x:c r="Q4530" s="66" t="str">
        <x:v>https://snpmb.id/snbp/daya-tampung-snbp</x:v>
      </x:c>
      <x:c r="R4530" s="66" t="str">
        <x:v>https://sidatagrun-public-1076756628210.asia-southeast2.run.app/ptn_sn.php?ptn=722</x:v>
      </x:c>
    </x:row>
    <x:row r="4531">
      <x:c r="A4531" s="87" t="n">
        <x:v>4633</x:v>
      </x:c>
      <x:c r="B4531" s="66" t="n">
        <x:v>722</x:v>
      </x:c>
      <x:c r="C4531" s="66" t="str">
        <x:v>UNIVERSITAS NEGERI MANADO</x:v>
      </x:c>
      <x:c r="D4531" s="66" t="str">
        <x:v>PTN Akademik</x:v>
      </x:c>
      <x:c r="E4531" s="66" t="str">
        <x:v>17221040</x:v>
      </x:c>
      <x:c r="F4531" s="66" t="str">
        <x:v>PEND. JASMANI, KES. REK</x:v>
      </x:c>
      <x:c r="G4531" s="66" t="str">
        <x:v>Sarjana</x:v>
      </x:c>
      <x:c r="H4531" s="87" t="n">
        <x:v>36</x:v>
      </x:c>
      <x:c r="I4531" s="87" t="n">
        <x:v>20</x:v>
      </x:c>
      <x:c r="J4531" s="68" t="n">
        <x:f>IFERROR(H4531/I4531,"")</x:f>
        <x:v>1.8</x:v>
      </x:c>
      <x:c r="K4531" s="69" t="n">
        <x:f>IFERROR(I4531/H4531,"")</x:f>
        <x:v>0.5555555555555556</x:v>
      </x:c>
      <x:c r="L4531" s="66" t="str">
        <x:f>IF(K4531="","","1 : "&amp;TEXT(K4531,"0.0"))</x:f>
        <x:v>1 : 0.6</x:v>
      </x:c>
      <x:c r="M4531" s="66" t="str">
        <x:f>IF(J4531="","Baru/Tanpa Data",IF(J4531&lt;='Catatan &amp; Sumber'!$B$14,"Sangat Ketat",IF(J4531&lt;='Catatan &amp; Sumber'!$B$15,"Ketat",IF(J4531&lt;='Catatan &amp; Sumber'!$B$16,"Sedang","Relatif Longgar"))))</x:f>
        <x:v>Relatif Longgar</x:v>
      </x:c>
      <x:c r="N4531" s="66" t="str">
        <x:v>Olahraga</x:v>
      </x:c>
      <x:c r="O4531" s="66" t="str">
        <x:v>Sulawesi Utara</x:v>
      </x:c>
      <x:c r="P4531" s="66" t="str">
        <x:v>Kabupaten Minahasa</x:v>
      </x:c>
      <x:c r="Q4531" s="66" t="str">
        <x:v>https://snpmb.id/snbp/daya-tampung-snbp</x:v>
      </x:c>
      <x:c r="R4531" s="66" t="str">
        <x:v>https://sidatagrun-public-1076756628210.asia-southeast2.run.app/ptn_sn.php?ptn=722</x:v>
      </x:c>
    </x:row>
    <x:row r="4532">
      <x:c r="A4532" s="87" t="n">
        <x:v>4897</x:v>
      </x:c>
      <x:c r="B4532" s="66" t="n">
        <x:v>722</x:v>
      </x:c>
      <x:c r="C4532" s="66" t="str">
        <x:v>UNIVERSITAS NEGERI MANADO</x:v>
      </x:c>
      <x:c r="D4532" s="66" t="str">
        <x:v>PTN Akademik</x:v>
      </x:c>
      <x:c r="E4532" s="66" t="str">
        <x:v>17221041</x:v>
      </x:c>
      <x:c r="F4532" s="66" t="str">
        <x:v>PLS</x:v>
      </x:c>
      <x:c r="G4532" s="66" t="str">
        <x:v>Sarjana</x:v>
      </x:c>
      <x:c r="H4532" s="87" t="n">
        <x:v>27</x:v>
      </x:c>
      <x:c r="I4532" s="87" t="n">
        <x:v>2</x:v>
      </x:c>
      <x:c r="J4532" s="68" t="n">
        <x:f>IFERROR(H4532/I4532,"")</x:f>
        <x:v>13.5</x:v>
      </x:c>
      <x:c r="K4532" s="69" t="n">
        <x:f>IFERROR(I4532/H4532,"")</x:f>
        <x:v>0.07407407407407407</x:v>
      </x:c>
      <x:c r="L4532" s="66" t="str">
        <x:f>IF(K4532="","","1 : "&amp;TEXT(K4532,"0.0"))</x:f>
        <x:v>1 : 0.1</x:v>
      </x:c>
      <x:c r="M4532" s="66" t="str">
        <x:f>IF(J4532="","Baru/Tanpa Data",IF(J4532&lt;='Catatan &amp; Sumber'!$B$14,"Sangat Ketat",IF(J4532&lt;='Catatan &amp; Sumber'!$B$15,"Ketat",IF(J4532&lt;='Catatan &amp; Sumber'!$B$16,"Sedang","Relatif Longgar"))))</x:f>
        <x:v>Relatif Longgar</x:v>
      </x:c>
      <x:c r="N4532" s="66" t="str">
        <x:v>Tidak Ada</x:v>
      </x:c>
      <x:c r="O4532" s="66" t="str">
        <x:v>Sulawesi Utara</x:v>
      </x:c>
      <x:c r="P4532" s="66" t="str">
        <x:v>Kabupaten Minahasa</x:v>
      </x:c>
      <x:c r="Q4532" s="66" t="str">
        <x:v>https://snpmb.id/snbp/daya-tampung-snbp</x:v>
      </x:c>
      <x:c r="R4532" s="66" t="str">
        <x:v>https://sidatagrun-public-1076756628210.asia-southeast2.run.app/ptn_sn.php?ptn=722</x:v>
      </x:c>
    </x:row>
    <x:row r="4533">
      <x:c r="A4533" s="87" t="n">
        <x:v>4872</x:v>
      </x:c>
      <x:c r="B4533" s="66" t="n">
        <x:v>722</x:v>
      </x:c>
      <x:c r="C4533" s="66" t="str">
        <x:v>UNIVERSITAS NEGERI MANADO</x:v>
      </x:c>
      <x:c r="D4533" s="66" t="str">
        <x:v>PTN Akademik</x:v>
      </x:c>
      <x:c r="E4533" s="66" t="str">
        <x:v>17221042</x:v>
      </x:c>
      <x:c r="F4533" s="66" t="str">
        <x:v>PLB/P.KH</x:v>
      </x:c>
      <x:c r="G4533" s="66" t="str">
        <x:v>Sarjana</x:v>
      </x:c>
      <x:c r="H4533" s="87" t="n">
        <x:v>27</x:v>
      </x:c>
      <x:c r="I4533" s="87" t="n">
        <x:v>4</x:v>
      </x:c>
      <x:c r="J4533" s="68" t="n">
        <x:f>IFERROR(H4533/I4533,"")</x:f>
        <x:v>6.75</x:v>
      </x:c>
      <x:c r="K4533" s="69" t="n">
        <x:f>IFERROR(I4533/H4533,"")</x:f>
        <x:v>0.14814814814814814</x:v>
      </x:c>
      <x:c r="L4533" s="66" t="str">
        <x:f>IF(K4533="","","1 : "&amp;TEXT(K4533,"0.0"))</x:f>
        <x:v>1 : 0.1</x:v>
      </x:c>
      <x:c r="M4533" s="66" t="str">
        <x:f>IF(J4533="","Baru/Tanpa Data",IF(J4533&lt;='Catatan &amp; Sumber'!$B$14,"Sangat Ketat",IF(J4533&lt;='Catatan &amp; Sumber'!$B$15,"Ketat",IF(J4533&lt;='Catatan &amp; Sumber'!$B$16,"Sedang","Relatif Longgar"))))</x:f>
        <x:v>Relatif Longgar</x:v>
      </x:c>
      <x:c r="N4533" s="66" t="str">
        <x:v>Tidak Ada</x:v>
      </x:c>
      <x:c r="O4533" s="66" t="str">
        <x:v>Sulawesi Utara</x:v>
      </x:c>
      <x:c r="P4533" s="66" t="str">
        <x:v>Kabupaten Minahasa</x:v>
      </x:c>
      <x:c r="Q4533" s="66" t="str">
        <x:v>https://snpmb.id/snbp/daya-tampung-snbp</x:v>
      </x:c>
      <x:c r="R4533" s="66" t="str">
        <x:v>https://sidatagrun-public-1076756628210.asia-southeast2.run.app/ptn_sn.php?ptn=722</x:v>
      </x:c>
    </x:row>
    <x:row r="4534">
      <x:c r="A4534" s="87" t="n">
        <x:v>2943</x:v>
      </x:c>
      <x:c r="B4534" s="66" t="n">
        <x:v>722</x:v>
      </x:c>
      <x:c r="C4534" s="66" t="str">
        <x:v>UNIVERSITAS NEGERI MANADO</x:v>
      </x:c>
      <x:c r="D4534" s="66" t="str">
        <x:v>PTN Akademik</x:v>
      </x:c>
      <x:c r="E4534" s="66" t="str">
        <x:v>17221043</x:v>
      </x:c>
      <x:c r="F4534" s="66" t="str">
        <x:v>PSIKOLOGI</x:v>
      </x:c>
      <x:c r="G4534" s="66" t="str">
        <x:v>Sarjana</x:v>
      </x:c>
      <x:c r="H4534" s="87" t="n">
        <x:v>59</x:v>
      </x:c>
      <x:c r="I4534" s="87" t="n">
        <x:v>209</x:v>
      </x:c>
      <x:c r="J4534" s="68" t="n">
        <x:f>IFERROR(H4534/I4534,"")</x:f>
        <x:v>0.2822966507177033</x:v>
      </x:c>
      <x:c r="K4534" s="69" t="n">
        <x:f>IFERROR(I4534/H4534,"")</x:f>
        <x:v>3.542372881355932</x:v>
      </x:c>
      <x:c r="L4534" s="66" t="str">
        <x:f>IF(K4534="","","1 : "&amp;TEXT(K4534,"0.0"))</x:f>
        <x:v>1 : 3.5</x:v>
      </x:c>
      <x:c r="M4534" s="66" t="str">
        <x:f>IF(J4534="","Baru/Tanpa Data",IF(J4534&lt;='Catatan &amp; Sumber'!$B$14,"Sangat Ketat",IF(J4534&lt;='Catatan &amp; Sumber'!$B$15,"Ketat",IF(J4534&lt;='Catatan &amp; Sumber'!$B$16,"Sedang","Relatif Longgar"))))</x:f>
        <x:v>Relatif Longgar</x:v>
      </x:c>
      <x:c r="N4534" s="66" t="str">
        <x:v>Tidak Ada</x:v>
      </x:c>
      <x:c r="O4534" s="66" t="str">
        <x:v>Sulawesi Utara</x:v>
      </x:c>
      <x:c r="P4534" s="66" t="str">
        <x:v>Kabupaten Minahasa</x:v>
      </x:c>
      <x:c r="Q4534" s="66" t="str">
        <x:v>https://snpmb.id/snbp/daya-tampung-snbp</x:v>
      </x:c>
      <x:c r="R4534" s="66" t="str">
        <x:v>https://sidatagrun-public-1076756628210.asia-southeast2.run.app/ptn_sn.php?ptn=722</x:v>
      </x:c>
    </x:row>
    <x:row r="4535">
      <x:c r="A4535" s="87" t="n">
        <x:v>3559</x:v>
      </x:c>
      <x:c r="B4535" s="66" t="n">
        <x:v>722</x:v>
      </x:c>
      <x:c r="C4535" s="66" t="str">
        <x:v>UNIVERSITAS NEGERI MANADO</x:v>
      </x:c>
      <x:c r="D4535" s="66" t="str">
        <x:v>PTN Akademik</x:v>
      </x:c>
      <x:c r="E4535" s="66" t="str">
        <x:v>17221044</x:v>
      </x:c>
      <x:c r="F4535" s="66" t="str">
        <x:v>PGSD</x:v>
      </x:c>
      <x:c r="G4535" s="66" t="str">
        <x:v>Sarjana</x:v>
      </x:c>
      <x:c r="H4535" s="87" t="n">
        <x:v>107</x:v>
      </x:c>
      <x:c r="I4535" s="87" t="n">
        <x:v>236</x:v>
      </x:c>
      <x:c r="J4535" s="68" t="n">
        <x:f>IFERROR(H4535/I4535,"")</x:f>
        <x:v>0.4533898305084746</x:v>
      </x:c>
      <x:c r="K4535" s="69" t="n">
        <x:f>IFERROR(I4535/H4535,"")</x:f>
        <x:v>2.205607476635514</x:v>
      </x:c>
      <x:c r="L4535" s="66" t="str">
        <x:f>IF(K4535="","","1 : "&amp;TEXT(K4535,"0.0"))</x:f>
        <x:v>1 : 2.2</x:v>
      </x:c>
      <x:c r="M4535" s="66" t="str">
        <x:f>IF(J4535="","Baru/Tanpa Data",IF(J4535&lt;='Catatan &amp; Sumber'!$B$14,"Sangat Ketat",IF(J4535&lt;='Catatan &amp; Sumber'!$B$15,"Ketat",IF(J4535&lt;='Catatan &amp; Sumber'!$B$16,"Sedang","Relatif Longgar"))))</x:f>
        <x:v>Relatif Longgar</x:v>
      </x:c>
      <x:c r="N4535" s="66" t="str">
        <x:v>Tidak Ada</x:v>
      </x:c>
      <x:c r="O4535" s="66" t="str">
        <x:v>Sulawesi Utara</x:v>
      </x:c>
      <x:c r="P4535" s="66" t="str">
        <x:v>Kabupaten Minahasa</x:v>
      </x:c>
      <x:c r="Q4535" s="66" t="str">
        <x:v>https://snpmb.id/snbp/daya-tampung-snbp</x:v>
      </x:c>
      <x:c r="R4535" s="66" t="str">
        <x:v>https://sidatagrun-public-1076756628210.asia-southeast2.run.app/ptn_sn.php?ptn=722</x:v>
      </x:c>
    </x:row>
    <x:row r="4536">
      <x:c r="A4536" s="87" t="n">
        <x:v>3290</x:v>
      </x:c>
      <x:c r="B4536" s="66" t="n">
        <x:v>722</x:v>
      </x:c>
      <x:c r="C4536" s="66" t="str">
        <x:v>UNIVERSITAS NEGERI MANADO</x:v>
      </x:c>
      <x:c r="D4536" s="66" t="str">
        <x:v>PTN Akademik</x:v>
      </x:c>
      <x:c r="E4536" s="66" t="str">
        <x:v>17221046</x:v>
      </x:c>
      <x:c r="F4536" s="66" t="str">
        <x:v>AKUNTANSI</x:v>
      </x:c>
      <x:c r="G4536" s="66" t="str">
        <x:v>Sarjana</x:v>
      </x:c>
      <x:c r="H4536" s="87" t="n">
        <x:v>47</x:v>
      </x:c>
      <x:c r="I4536" s="87" t="n">
        <x:v>127</x:v>
      </x:c>
      <x:c r="J4536" s="68" t="n">
        <x:f>IFERROR(H4536/I4536,"")</x:f>
        <x:v>0.3700787401574803</x:v>
      </x:c>
      <x:c r="K4536" s="69" t="n">
        <x:f>IFERROR(I4536/H4536,"")</x:f>
        <x:v>2.702127659574468</x:v>
      </x:c>
      <x:c r="L4536" s="66" t="str">
        <x:f>IF(K4536="","","1 : "&amp;TEXT(K4536,"0.0"))</x:f>
        <x:v>1 : 2.7</x:v>
      </x:c>
      <x:c r="M4536" s="66" t="str">
        <x:f>IF(J4536="","Baru/Tanpa Data",IF(J4536&lt;='Catatan &amp; Sumber'!$B$14,"Sangat Ketat",IF(J4536&lt;='Catatan &amp; Sumber'!$B$15,"Ketat",IF(J4536&lt;='Catatan &amp; Sumber'!$B$16,"Sedang","Relatif Longgar"))))</x:f>
        <x:v>Relatif Longgar</x:v>
      </x:c>
      <x:c r="N4536" s="66" t="str">
        <x:v>Tidak Ada</x:v>
      </x:c>
      <x:c r="O4536" s="66" t="str">
        <x:v>Sulawesi Utara</x:v>
      </x:c>
      <x:c r="P4536" s="66" t="str">
        <x:v>Kabupaten Minahasa</x:v>
      </x:c>
      <x:c r="Q4536" s="66" t="str">
        <x:v>https://snpmb.id/snbp/daya-tampung-snbp</x:v>
      </x:c>
      <x:c r="R4536" s="66" t="str">
        <x:v>https://sidatagrun-public-1076756628210.asia-southeast2.run.app/ptn_sn.php?ptn=722</x:v>
      </x:c>
    </x:row>
    <x:row r="4537">
      <x:c r="A4537" s="87" t="n">
        <x:v>3374</x:v>
      </x:c>
      <x:c r="B4537" s="66" t="n">
        <x:v>722</x:v>
      </x:c>
      <x:c r="C4537" s="66" t="str">
        <x:v>UNIVERSITAS NEGERI MANADO</x:v>
      </x:c>
      <x:c r="D4537" s="66" t="str">
        <x:v>PTN Akademik</x:v>
      </x:c>
      <x:c r="E4537" s="66" t="str">
        <x:v>17221047</x:v>
      </x:c>
      <x:c r="F4537" s="66" t="str">
        <x:v>BIMBINGAN KONSELING</x:v>
      </x:c>
      <x:c r="G4537" s="66" t="str">
        <x:v>Sarjana</x:v>
      </x:c>
      <x:c r="H4537" s="87" t="n">
        <x:v>38</x:v>
      </x:c>
      <x:c r="I4537" s="87" t="n">
        <x:v>97</x:v>
      </x:c>
      <x:c r="J4537" s="68" t="n">
        <x:f>IFERROR(H4537/I4537,"")</x:f>
        <x:v>0.3917525773195876</x:v>
      </x:c>
      <x:c r="K4537" s="69" t="n">
        <x:f>IFERROR(I4537/H4537,"")</x:f>
        <x:v>2.5526315789473686</x:v>
      </x:c>
      <x:c r="L4537" s="66" t="str">
        <x:f>IF(K4537="","","1 : "&amp;TEXT(K4537,"0.0"))</x:f>
        <x:v>1 : 2.6</x:v>
      </x:c>
      <x:c r="M4537" s="66" t="str">
        <x:f>IF(J4537="","Baru/Tanpa Data",IF(J4537&lt;='Catatan &amp; Sumber'!$B$14,"Sangat Ketat",IF(J4537&lt;='Catatan &amp; Sumber'!$B$15,"Ketat",IF(J4537&lt;='Catatan &amp; Sumber'!$B$16,"Sedang","Relatif Longgar"))))</x:f>
        <x:v>Relatif Longgar</x:v>
      </x:c>
      <x:c r="N4537" s="66" t="str">
        <x:v>Tidak Ada</x:v>
      </x:c>
      <x:c r="O4537" s="66" t="str">
        <x:v>Sulawesi Utara</x:v>
      </x:c>
      <x:c r="P4537" s="66" t="str">
        <x:v>Kabupaten Minahasa</x:v>
      </x:c>
      <x:c r="Q4537" s="66" t="str">
        <x:v>https://snpmb.id/snbp/daya-tampung-snbp</x:v>
      </x:c>
      <x:c r="R4537" s="66" t="str">
        <x:v>https://sidatagrun-public-1076756628210.asia-southeast2.run.app/ptn_sn.php?ptn=722</x:v>
      </x:c>
    </x:row>
    <x:row r="4538">
      <x:c r="A4538" s="87" t="n">
        <x:v>4616</x:v>
      </x:c>
      <x:c r="B4538" s="66" t="n">
        <x:v>722</x:v>
      </x:c>
      <x:c r="C4538" s="66" t="str">
        <x:v>UNIVERSITAS NEGERI MANADO</x:v>
      </x:c>
      <x:c r="D4538" s="66" t="str">
        <x:v>PTN Akademik</x:v>
      </x:c>
      <x:c r="E4538" s="66" t="str">
        <x:v>17221048</x:v>
      </x:c>
      <x:c r="F4538" s="66" t="str">
        <x:v>PEND. ANAK USIA DINI</x:v>
      </x:c>
      <x:c r="G4538" s="66" t="str">
        <x:v>Sarjana</x:v>
      </x:c>
      <x:c r="H4538" s="87" t="n">
        <x:v>36</x:v>
      </x:c>
      <x:c r="I4538" s="87" t="n">
        <x:v>21</x:v>
      </x:c>
      <x:c r="J4538" s="68" t="n">
        <x:f>IFERROR(H4538/I4538,"")</x:f>
        <x:v>1.7142857142857142</x:v>
      </x:c>
      <x:c r="K4538" s="69" t="n">
        <x:f>IFERROR(I4538/H4538,"")</x:f>
        <x:v>0.5833333333333334</x:v>
      </x:c>
      <x:c r="L4538" s="66" t="str">
        <x:f>IF(K4538="","","1 : "&amp;TEXT(K4538,"0.0"))</x:f>
        <x:v>1 : 0.6</x:v>
      </x:c>
      <x:c r="M4538" s="66" t="str">
        <x:f>IF(J4538="","Baru/Tanpa Data",IF(J4538&lt;='Catatan &amp; Sumber'!$B$14,"Sangat Ketat",IF(J4538&lt;='Catatan &amp; Sumber'!$B$15,"Ketat",IF(J4538&lt;='Catatan &amp; Sumber'!$B$16,"Sedang","Relatif Longgar"))))</x:f>
        <x:v>Relatif Longgar</x:v>
      </x:c>
      <x:c r="N4538" s="66" t="str">
        <x:v>Tidak Ada</x:v>
      </x:c>
      <x:c r="O4538" s="66" t="str">
        <x:v>Sulawesi Utara</x:v>
      </x:c>
      <x:c r="P4538" s="66" t="str">
        <x:v>Kabupaten Minahasa</x:v>
      </x:c>
      <x:c r="Q4538" s="66" t="str">
        <x:v>https://snpmb.id/snbp/daya-tampung-snbp</x:v>
      </x:c>
      <x:c r="R4538" s="66" t="str">
        <x:v>https://sidatagrun-public-1076756628210.asia-southeast2.run.app/ptn_sn.php?ptn=722</x:v>
      </x:c>
    </x:row>
    <x:row r="4539">
      <x:c r="A4539" s="87" t="n">
        <x:v>2953</x:v>
      </x:c>
      <x:c r="B4539" s="66" t="n">
        <x:v>722</x:v>
      </x:c>
      <x:c r="C4539" s="66" t="str">
        <x:v>UNIVERSITAS NEGERI MANADO</x:v>
      </x:c>
      <x:c r="D4539" s="66" t="str">
        <x:v>PTN Akademik</x:v>
      </x:c>
      <x:c r="E4539" s="66" t="str">
        <x:v>17221049</x:v>
      </x:c>
      <x:c r="F4539" s="66" t="str">
        <x:v>PENDIDIKAN SOSIOLOGI</x:v>
      </x:c>
      <x:c r="G4539" s="66" t="str">
        <x:v>Sarjana</x:v>
      </x:c>
      <x:c r="H4539" s="87" t="n">
        <x:v>12</x:v>
      </x:c>
      <x:c r="I4539" s="87" t="n">
        <x:v>42</x:v>
      </x:c>
      <x:c r="J4539" s="68" t="n">
        <x:f>IFERROR(H4539/I4539,"")</x:f>
        <x:v>0.2857142857142857</x:v>
      </x:c>
      <x:c r="K4539" s="69" t="n">
        <x:f>IFERROR(I4539/H4539,"")</x:f>
        <x:v>3.5</x:v>
      </x:c>
      <x:c r="L4539" s="66" t="str">
        <x:f>IF(K4539="","","1 : "&amp;TEXT(K4539,"0.0"))</x:f>
        <x:v>1 : 3.5</x:v>
      </x:c>
      <x:c r="M4539" s="66" t="str">
        <x:f>IF(J4539="","Baru/Tanpa Data",IF(J4539&lt;='Catatan &amp; Sumber'!$B$14,"Sangat Ketat",IF(J4539&lt;='Catatan &amp; Sumber'!$B$15,"Ketat",IF(J4539&lt;='Catatan &amp; Sumber'!$B$16,"Sedang","Relatif Longgar"))))</x:f>
        <x:v>Relatif Longgar</x:v>
      </x:c>
      <x:c r="N4539" s="66" t="str">
        <x:v>Tidak Ada</x:v>
      </x:c>
      <x:c r="O4539" s="66" t="str">
        <x:v>Sulawesi Utara</x:v>
      </x:c>
      <x:c r="P4539" s="66" t="str">
        <x:v>Kabupaten Minahasa</x:v>
      </x:c>
      <x:c r="Q4539" s="66" t="str">
        <x:v>https://snpmb.id/snbp/daya-tampung-snbp</x:v>
      </x:c>
      <x:c r="R4539" s="66" t="str">
        <x:v>https://sidatagrun-public-1076756628210.asia-southeast2.run.app/ptn_sn.php?ptn=722</x:v>
      </x:c>
    </x:row>
    <x:row r="4540">
      <x:c r="A4540" s="87" t="n">
        <x:v>4198</x:v>
      </x:c>
      <x:c r="B4540" s="66" t="n">
        <x:v>722</x:v>
      </x:c>
      <x:c r="C4540" s="66" t="str">
        <x:v>UNIVERSITAS NEGERI MANADO</x:v>
      </x:c>
      <x:c r="D4540" s="66" t="str">
        <x:v>PTN Akademik</x:v>
      </x:c>
      <x:c r="E4540" s="66" t="str">
        <x:v>17221051</x:v>
      </x:c>
      <x:c r="F4540" s="66" t="str">
        <x:v>PENDIDIKAN IPS</x:v>
      </x:c>
      <x:c r="G4540" s="66" t="str">
        <x:v>Sarjana</x:v>
      </x:c>
      <x:c r="H4540" s="87" t="n">
        <x:v>6</x:v>
      </x:c>
      <x:c r="I4540" s="87" t="n">
        <x:v>7</x:v>
      </x:c>
      <x:c r="J4540" s="68" t="n">
        <x:f>IFERROR(H4540/I4540,"")</x:f>
        <x:v>0.8571428571428571</x:v>
      </x:c>
      <x:c r="K4540" s="69" t="n">
        <x:f>IFERROR(I4540/H4540,"")</x:f>
        <x:v>1.1666666666666667</x:v>
      </x:c>
      <x:c r="L4540" s="66" t="str">
        <x:f>IF(K4540="","","1 : "&amp;TEXT(K4540,"0.0"))</x:f>
        <x:v>1 : 1.2</x:v>
      </x:c>
      <x:c r="M4540" s="66" t="str">
        <x:f>IF(J4540="","Baru/Tanpa Data",IF(J4540&lt;='Catatan &amp; Sumber'!$B$14,"Sangat Ketat",IF(J4540&lt;='Catatan &amp; Sumber'!$B$15,"Ketat",IF(J4540&lt;='Catatan &amp; Sumber'!$B$16,"Sedang","Relatif Longgar"))))</x:f>
        <x:v>Relatif Longgar</x:v>
      </x:c>
      <x:c r="N4540" s="66" t="str">
        <x:v>Tidak Ada</x:v>
      </x:c>
      <x:c r="O4540" s="66" t="str">
        <x:v>Sulawesi Utara</x:v>
      </x:c>
      <x:c r="P4540" s="66" t="str">
        <x:v>Kabupaten Minahasa</x:v>
      </x:c>
      <x:c r="Q4540" s="66" t="str">
        <x:v>https://snpmb.id/snbp/daya-tampung-snbp</x:v>
      </x:c>
      <x:c r="R4540" s="66" t="str">
        <x:v>https://sidatagrun-public-1076756628210.asia-southeast2.run.app/ptn_sn.php?ptn=722</x:v>
      </x:c>
    </x:row>
    <x:row r="4541">
      <x:c r="A4541" s="87" t="n">
        <x:v>3444</x:v>
      </x:c>
      <x:c r="B4541" s="66" t="n">
        <x:v>722</x:v>
      </x:c>
      <x:c r="C4541" s="66" t="str">
        <x:v>UNIVERSITAS NEGERI MANADO</x:v>
      </x:c>
      <x:c r="D4541" s="66" t="str">
        <x:v>PTN Akademik</x:v>
      </x:c>
      <x:c r="E4541" s="66" t="str">
        <x:v>17221052</x:v>
      </x:c>
      <x:c r="F4541" s="66" t="str">
        <x:v>ILMU EKONOMI</x:v>
      </x:c>
      <x:c r="G4541" s="66" t="str">
        <x:v>Sarjana</x:v>
      </x:c>
      <x:c r="H4541" s="87" t="n">
        <x:v>20</x:v>
      </x:c>
      <x:c r="I4541" s="87" t="n">
        <x:v>48</x:v>
      </x:c>
      <x:c r="J4541" s="68" t="n">
        <x:f>IFERROR(H4541/I4541,"")</x:f>
        <x:v>0.4166666666666667</x:v>
      </x:c>
      <x:c r="K4541" s="69" t="n">
        <x:f>IFERROR(I4541/H4541,"")</x:f>
        <x:v>2.4</x:v>
      </x:c>
      <x:c r="L4541" s="66" t="str">
        <x:f>IF(K4541="","","1 : "&amp;TEXT(K4541,"0.0"))</x:f>
        <x:v>1 : 2.4</x:v>
      </x:c>
      <x:c r="M4541" s="66" t="str">
        <x:f>IF(J4541="","Baru/Tanpa Data",IF(J4541&lt;='Catatan &amp; Sumber'!$B$14,"Sangat Ketat",IF(J4541&lt;='Catatan &amp; Sumber'!$B$15,"Ketat",IF(J4541&lt;='Catatan &amp; Sumber'!$B$16,"Sedang","Relatif Longgar"))))</x:f>
        <x:v>Relatif Longgar</x:v>
      </x:c>
      <x:c r="N4541" s="66" t="str">
        <x:v>Tidak Ada</x:v>
      </x:c>
      <x:c r="O4541" s="66" t="str">
        <x:v>Sulawesi Utara</x:v>
      </x:c>
      <x:c r="P4541" s="66" t="str">
        <x:v>Kabupaten Minahasa</x:v>
      </x:c>
      <x:c r="Q4541" s="66" t="str">
        <x:v>https://snpmb.id/snbp/daya-tampung-snbp</x:v>
      </x:c>
      <x:c r="R4541" s="66" t="str">
        <x:v>https://sidatagrun-public-1076756628210.asia-southeast2.run.app/ptn_sn.php?ptn=722</x:v>
      </x:c>
    </x:row>
    <x:row r="4542">
      <x:c r="A4542" s="87"/>
      <x:c r="B4542" s="66" t="n">
        <x:v>722</x:v>
      </x:c>
      <x:c r="C4542" s="66" t="str">
        <x:v>UNIVERSITAS NEGERI MANADO</x:v>
      </x:c>
      <x:c r="D4542" s="66" t="str">
        <x:v>PTN Akademik</x:v>
      </x:c>
      <x:c r="E4542" s="66" t="str">
        <x:v>17221057</x:v>
      </x:c>
      <x:c r="F4542" s="66" t="str">
        <x:v>GEOFISIKA</x:v>
      </x:c>
      <x:c r="G4542" s="66" t="str">
        <x:v>Sarjana</x:v>
      </x:c>
      <x:c r="H4542" s="87" t="n">
        <x:v>9</x:v>
      </x:c>
      <x:c r="I4542" s="87"/>
      <x:c r="J4542" s="68" t="str">
        <x:f>IFERROR(H4542/I4542,"")</x:f>
      </x:c>
      <x:c r="K4542" s="69" t="n">
        <x:f>IFERROR(I4542/H4542,"")</x:f>
        <x:v>0</x:v>
      </x:c>
      <x:c r="L4542" s="66" t="str">
        <x:f>IF(K4542="","","1 : "&amp;TEXT(K4542,"0.0"))</x:f>
      </x:c>
      <x:c r="M4542" s="66" t="str">
        <x:f>IF(J4542="","Baru/Tanpa Data",IF(J4542&lt;='Catatan &amp; Sumber'!$B$14,"Sangat Ketat",IF(J4542&lt;='Catatan &amp; Sumber'!$B$15,"Ketat",IF(J4542&lt;='Catatan &amp; Sumber'!$B$16,"Sedang","Relatif Longgar"))))</x:f>
        <x:v>Baru/Tanpa Data</x:v>
      </x:c>
      <x:c r="N4542" s="66" t="str">
        <x:v>Tidak Ada</x:v>
      </x:c>
      <x:c r="O4542" s="66" t="str">
        <x:v>Sulawesi Utara</x:v>
      </x:c>
      <x:c r="P4542" s="66" t="str">
        <x:v>Kabupaten Minahasa</x:v>
      </x:c>
      <x:c r="Q4542" s="66" t="str">
        <x:v>https://snpmb.id/snbp/daya-tampung-snbp</x:v>
      </x:c>
      <x:c r="R4542" s="66" t="str">
        <x:v>https://sidatagrun-public-1076756628210.asia-southeast2.run.app/ptn_sn.php?ptn=722</x:v>
      </x:c>
    </x:row>
    <x:row r="4543">
      <x:c r="A4543" s="87"/>
      <x:c r="B4543" s="66" t="n">
        <x:v>722</x:v>
      </x:c>
      <x:c r="C4543" s="66" t="str">
        <x:v>UNIVERSITAS NEGERI MANADO</x:v>
      </x:c>
      <x:c r="D4543" s="66" t="str">
        <x:v>PTN Akademik</x:v>
      </x:c>
      <x:c r="E4543" s="66" t="str">
        <x:v>17221058</x:v>
      </x:c>
      <x:c r="F4543" s="66" t="str">
        <x:v>ILMU LINGKUNGAN</x:v>
      </x:c>
      <x:c r="G4543" s="66" t="str">
        <x:v>Sarjana</x:v>
      </x:c>
      <x:c r="H4543" s="87" t="n">
        <x:v>9</x:v>
      </x:c>
      <x:c r="I4543" s="87"/>
      <x:c r="J4543" s="68" t="str">
        <x:f>IFERROR(H4543/I4543,"")</x:f>
      </x:c>
      <x:c r="K4543" s="69" t="n">
        <x:f>IFERROR(I4543/H4543,"")</x:f>
        <x:v>0</x:v>
      </x:c>
      <x:c r="L4543" s="66" t="str">
        <x:f>IF(K4543="","","1 : "&amp;TEXT(K4543,"0.0"))</x:f>
      </x:c>
      <x:c r="M4543" s="66" t="str">
        <x:f>IF(J4543="","Baru/Tanpa Data",IF(J4543&lt;='Catatan &amp; Sumber'!$B$14,"Sangat Ketat",IF(J4543&lt;='Catatan &amp; Sumber'!$B$15,"Ketat",IF(J4543&lt;='Catatan &amp; Sumber'!$B$16,"Sedang","Relatif Longgar"))))</x:f>
        <x:v>Baru/Tanpa Data</x:v>
      </x:c>
      <x:c r="N4543" s="66" t="str">
        <x:v>Tidak Ada</x:v>
      </x:c>
      <x:c r="O4543" s="66" t="str">
        <x:v>Sulawesi Utara</x:v>
      </x:c>
      <x:c r="P4543" s="66" t="str">
        <x:v>Kabupaten Minahasa</x:v>
      </x:c>
      <x:c r="Q4543" s="66" t="str">
        <x:v>https://snpmb.id/snbp/daya-tampung-snbp</x:v>
      </x:c>
      <x:c r="R4543" s="66" t="str">
        <x:v>https://sidatagrun-public-1076756628210.asia-southeast2.run.app/ptn_sn.php?ptn=722</x:v>
      </x:c>
    </x:row>
    <x:row r="4544">
      <x:c r="A4544" s="87" t="n">
        <x:v>4480</x:v>
      </x:c>
      <x:c r="B4544" s="66" t="n">
        <x:v>722</x:v>
      </x:c>
      <x:c r="C4544" s="66" t="str">
        <x:v>UNIVERSITAS NEGERI MANADO</x:v>
      </x:c>
      <x:c r="D4544" s="66" t="str">
        <x:v>PTN Akademik</x:v>
      </x:c>
      <x:c r="E4544" s="66" t="str">
        <x:v>17223055</x:v>
      </x:c>
      <x:c r="F4544" s="66" t="str">
        <x:v>MANAJEMEN PEMASARAN</x:v>
      </x:c>
      <x:c r="G4544" s="66" t="str">
        <x:v>Diploma Tiga</x:v>
      </x:c>
      <x:c r="H4544" s="87" t="n">
        <x:v>9</x:v>
      </x:c>
      <x:c r="I4544" s="87" t="n">
        <x:v>7</x:v>
      </x:c>
      <x:c r="J4544" s="68" t="n">
        <x:f>IFERROR(H4544/I4544,"")</x:f>
        <x:v>1.2857142857142858</x:v>
      </x:c>
      <x:c r="K4544" s="69" t="n">
        <x:f>IFERROR(I4544/H4544,"")</x:f>
        <x:v>0.7777777777777778</x:v>
      </x:c>
      <x:c r="L4544" s="66" t="str">
        <x:f>IF(K4544="","","1 : "&amp;TEXT(K4544,"0.0"))</x:f>
        <x:v>1 : 0.8</x:v>
      </x:c>
      <x:c r="M4544" s="66" t="str">
        <x:f>IF(J4544="","Baru/Tanpa Data",IF(J4544&lt;='Catatan &amp; Sumber'!$B$14,"Sangat Ketat",IF(J4544&lt;='Catatan &amp; Sumber'!$B$15,"Ketat",IF(J4544&lt;='Catatan &amp; Sumber'!$B$16,"Sedang","Relatif Longgar"))))</x:f>
        <x:v>Relatif Longgar</x:v>
      </x:c>
      <x:c r="N4544" s="66" t="str">
        <x:v>Tidak Ada</x:v>
      </x:c>
      <x:c r="O4544" s="66" t="str">
        <x:v>Sulawesi Utara</x:v>
      </x:c>
      <x:c r="P4544" s="66" t="str">
        <x:v>Kabupaten Minahasa</x:v>
      </x:c>
      <x:c r="Q4544" s="66" t="str">
        <x:v>https://snpmb.id/snbp/daya-tampung-snbp</x:v>
      </x:c>
      <x:c r="R4544" s="66" t="str">
        <x:v>https://sidatagrun-public-1076756628210.asia-southeast2.run.app/ptn_sn.php?ptn=722</x:v>
      </x:c>
    </x:row>
    <x:row r="4545">
      <x:c r="A4545" s="87" t="n">
        <x:v>4354</x:v>
      </x:c>
      <x:c r="B4545" s="66" t="n">
        <x:v>727</x:v>
      </x:c>
      <x:c r="C4545" s="66" t="str">
        <x:v>POLITEKNIK NEGERI MANADO</x:v>
      </x:c>
      <x:c r="D4545" s="66" t="str">
        <x:v>PTN Vokasi</x:v>
      </x:c>
      <x:c r="E4545" s="66" t="str">
        <x:v>27272001</x:v>
      </x:c>
      <x:c r="F4545" s="66" t="str">
        <x:v>KONSTRUKSI BANGUNAN GEDUNG</x:v>
      </x:c>
      <x:c r="G4545" s="66" t="str">
        <x:v>Sarjana Terapan</x:v>
      </x:c>
      <x:c r="H4545" s="87" t="n">
        <x:v>20</x:v>
      </x:c>
      <x:c r="I4545" s="87" t="n">
        <x:v>19</x:v>
      </x:c>
      <x:c r="J4545" s="68" t="n">
        <x:f>IFERROR(H4545/I4545,"")</x:f>
        <x:v>1.0526315789473684</x:v>
      </x:c>
      <x:c r="K4545" s="69" t="n">
        <x:f>IFERROR(I4545/H4545,"")</x:f>
        <x:v>0.95</x:v>
      </x:c>
      <x:c r="L4545" s="66" t="str">
        <x:f>IF(K4545="","","1 : "&amp;TEXT(K4545,"0.0"))</x:f>
        <x:v>1 : 1.0</x:v>
      </x:c>
      <x:c r="M4545" s="66" t="str">
        <x:f>IF(J4545="","Baru/Tanpa Data",IF(J4545&lt;='Catatan &amp; Sumber'!$B$14,"Sangat Ketat",IF(J4545&lt;='Catatan &amp; Sumber'!$B$15,"Ketat",IF(J4545&lt;='Catatan &amp; Sumber'!$B$16,"Sedang","Relatif Longgar"))))</x:f>
        <x:v>Relatif Longgar</x:v>
      </x:c>
      <x:c r="N4545" s="66" t="str">
        <x:v>Tidak Ada</x:v>
      </x:c>
      <x:c r="O4545" s="66" t="str">
        <x:v>Sulawesi Utara</x:v>
      </x:c>
      <x:c r="P4545" s="66" t="str">
        <x:v>Kota Manado</x:v>
      </x:c>
      <x:c r="Q4545" s="66" t="str">
        <x:v>https://snpmb.id/snbp/daya-tampung-snbp</x:v>
      </x:c>
      <x:c r="R4545" s="66" t="str">
        <x:v>https://sidatagrun-public-1076756628210.asia-southeast2.run.app/ptn_sn.php?ptn=727</x:v>
      </x:c>
    </x:row>
    <x:row r="4546">
      <x:c r="A4546" s="87" t="n">
        <x:v>4250</x:v>
      </x:c>
      <x:c r="B4546" s="66" t="n">
        <x:v>727</x:v>
      </x:c>
      <x:c r="C4546" s="66" t="str">
        <x:v>POLITEKNIK NEGERI MANADO</x:v>
      </x:c>
      <x:c r="D4546" s="66" t="str">
        <x:v>PTN Vokasi</x:v>
      </x:c>
      <x:c r="E4546" s="66" t="str">
        <x:v>27272002</x:v>
      </x:c>
      <x:c r="F4546" s="66" t="str">
        <x:v>TEKNIK JALAN JEMBATAN</x:v>
      </x:c>
      <x:c r="G4546" s="66" t="str">
        <x:v>Sarjana Terapan</x:v>
      </x:c>
      <x:c r="H4546" s="87" t="n">
        <x:v>20</x:v>
      </x:c>
      <x:c r="I4546" s="87" t="n">
        <x:v>22</x:v>
      </x:c>
      <x:c r="J4546" s="68" t="n">
        <x:f>IFERROR(H4546/I4546,"")</x:f>
        <x:v>0.9090909090909091</x:v>
      </x:c>
      <x:c r="K4546" s="69" t="n">
        <x:f>IFERROR(I4546/H4546,"")</x:f>
        <x:v>1.1</x:v>
      </x:c>
      <x:c r="L4546" s="66" t="str">
        <x:f>IF(K4546="","","1 : "&amp;TEXT(K4546,"0.0"))</x:f>
        <x:v>1 : 1.1</x:v>
      </x:c>
      <x:c r="M4546" s="66" t="str">
        <x:f>IF(J4546="","Baru/Tanpa Data",IF(J4546&lt;='Catatan &amp; Sumber'!$B$14,"Sangat Ketat",IF(J4546&lt;='Catatan &amp; Sumber'!$B$15,"Ketat",IF(J4546&lt;='Catatan &amp; Sumber'!$B$16,"Sedang","Relatif Longgar"))))</x:f>
        <x:v>Relatif Longgar</x:v>
      </x:c>
      <x:c r="N4546" s="66" t="str">
        <x:v>Tidak Ada</x:v>
      </x:c>
      <x:c r="O4546" s="66" t="str">
        <x:v>Sulawesi Utara</x:v>
      </x:c>
      <x:c r="P4546" s="66" t="str">
        <x:v>Kota Manado</x:v>
      </x:c>
      <x:c r="Q4546" s="66" t="str">
        <x:v>https://snpmb.id/snbp/daya-tampung-snbp</x:v>
      </x:c>
      <x:c r="R4546" s="66" t="str">
        <x:v>https://sidatagrun-public-1076756628210.asia-southeast2.run.app/ptn_sn.php?ptn=727</x:v>
      </x:c>
    </x:row>
    <x:row r="4547">
      <x:c r="A4547" s="87" t="n">
        <x:v>3683</x:v>
      </x:c>
      <x:c r="B4547" s="66" t="n">
        <x:v>727</x:v>
      </x:c>
      <x:c r="C4547" s="66" t="str">
        <x:v>POLITEKNIK NEGERI MANADO</x:v>
      </x:c>
      <x:c r="D4547" s="66" t="str">
        <x:v>PTN Vokasi</x:v>
      </x:c>
      <x:c r="E4547" s="66" t="str">
        <x:v>27272003</x:v>
      </x:c>
      <x:c r="F4547" s="66" t="str">
        <x:v>TEKNIK LISTRIK</x:v>
      </x:c>
      <x:c r="G4547" s="66" t="str">
        <x:v>Sarjana Terapan</x:v>
      </x:c>
      <x:c r="H4547" s="87" t="n">
        <x:v>25</x:v>
      </x:c>
      <x:c r="I4547" s="87" t="n">
        <x:v>49</x:v>
      </x:c>
      <x:c r="J4547" s="68" t="n">
        <x:f>IFERROR(H4547/I4547,"")</x:f>
        <x:v>0.5102040816326531</x:v>
      </x:c>
      <x:c r="K4547" s="69" t="n">
        <x:f>IFERROR(I4547/H4547,"")</x:f>
        <x:v>1.96</x:v>
      </x:c>
      <x:c r="L4547" s="66" t="str">
        <x:f>IF(K4547="","","1 : "&amp;TEXT(K4547,"0.0"))</x:f>
        <x:v>1 : 2.0</x:v>
      </x:c>
      <x:c r="M4547" s="66" t="str">
        <x:f>IF(J4547="","Baru/Tanpa Data",IF(J4547&lt;='Catatan &amp; Sumber'!$B$14,"Sangat Ketat",IF(J4547&lt;='Catatan &amp; Sumber'!$B$15,"Ketat",IF(J4547&lt;='Catatan &amp; Sumber'!$B$16,"Sedang","Relatif Longgar"))))</x:f>
        <x:v>Relatif Longgar</x:v>
      </x:c>
      <x:c r="N4547" s="66" t="str">
        <x:v>Tidak Ada</x:v>
      </x:c>
      <x:c r="O4547" s="66" t="str">
        <x:v>Sulawesi Utara</x:v>
      </x:c>
      <x:c r="P4547" s="66" t="str">
        <x:v>Kota Manado</x:v>
      </x:c>
      <x:c r="Q4547" s="66" t="str">
        <x:v>https://snpmb.id/snbp/daya-tampung-snbp</x:v>
      </x:c>
      <x:c r="R4547" s="66" t="str">
        <x:v>https://sidatagrun-public-1076756628210.asia-southeast2.run.app/ptn_sn.php?ptn=727</x:v>
      </x:c>
    </x:row>
    <x:row r="4548">
      <x:c r="A4548" s="87" t="n">
        <x:v>3137</x:v>
      </x:c>
      <x:c r="B4548" s="66" t="n">
        <x:v>727</x:v>
      </x:c>
      <x:c r="C4548" s="66" t="str">
        <x:v>POLITEKNIK NEGERI MANADO</x:v>
      </x:c>
      <x:c r="D4548" s="66" t="str">
        <x:v>PTN Vokasi</x:v>
      </x:c>
      <x:c r="E4548" s="66" t="str">
        <x:v>27272004</x:v>
      </x:c>
      <x:c r="F4548" s="66" t="str">
        <x:v>TEKNIK INFORMATIKA</x:v>
      </x:c>
      <x:c r="G4548" s="66" t="str">
        <x:v>Sarjana Terapan</x:v>
      </x:c>
      <x:c r="H4548" s="87" t="n">
        <x:v>40</x:v>
      </x:c>
      <x:c r="I4548" s="87" t="n">
        <x:v>123</x:v>
      </x:c>
      <x:c r="J4548" s="68" t="n">
        <x:f>IFERROR(H4548/I4548,"")</x:f>
        <x:v>0.3252032520325203</x:v>
      </x:c>
      <x:c r="K4548" s="69" t="n">
        <x:f>IFERROR(I4548/H4548,"")</x:f>
        <x:v>3.075</x:v>
      </x:c>
      <x:c r="L4548" s="66" t="str">
        <x:f>IF(K4548="","","1 : "&amp;TEXT(K4548,"0.0"))</x:f>
        <x:v>1 : 3.1</x:v>
      </x:c>
      <x:c r="M4548" s="66" t="str">
        <x:f>IF(J4548="","Baru/Tanpa Data",IF(J4548&lt;='Catatan &amp; Sumber'!$B$14,"Sangat Ketat",IF(J4548&lt;='Catatan &amp; Sumber'!$B$15,"Ketat",IF(J4548&lt;='Catatan &amp; Sumber'!$B$16,"Sedang","Relatif Longgar"))))</x:f>
        <x:v>Relatif Longgar</x:v>
      </x:c>
      <x:c r="N4548" s="66" t="str">
        <x:v>Tidak Ada</x:v>
      </x:c>
      <x:c r="O4548" s="66" t="str">
        <x:v>Sulawesi Utara</x:v>
      </x:c>
      <x:c r="P4548" s="66" t="str">
        <x:v>Kota Manado</x:v>
      </x:c>
      <x:c r="Q4548" s="66" t="str">
        <x:v>https://snpmb.id/snbp/daya-tampung-snbp</x:v>
      </x:c>
      <x:c r="R4548" s="66" t="str">
        <x:v>https://sidatagrun-public-1076756628210.asia-southeast2.run.app/ptn_sn.php?ptn=727</x:v>
      </x:c>
    </x:row>
    <x:row r="4549">
      <x:c r="A4549" s="87" t="n">
        <x:v>4439</x:v>
      </x:c>
      <x:c r="B4549" s="66" t="n">
        <x:v>727</x:v>
      </x:c>
      <x:c r="C4549" s="66" t="str">
        <x:v>POLITEKNIK NEGERI MANADO</x:v>
      </x:c>
      <x:c r="D4549" s="66" t="str">
        <x:v>PTN Vokasi</x:v>
      </x:c>
      <x:c r="E4549" s="66" t="str">
        <x:v>27272005</x:v>
      </x:c>
      <x:c r="F4549" s="66" t="str">
        <x:v>TEKNIK MESIN PRODUKSI DAN PERAWATAN</x:v>
      </x:c>
      <x:c r="G4549" s="66" t="str">
        <x:v>Sarjana Terapan</x:v>
      </x:c>
      <x:c r="H4549" s="87" t="n">
        <x:v>30</x:v>
      </x:c>
      <x:c r="I4549" s="87" t="n">
        <x:v>25</x:v>
      </x:c>
      <x:c r="J4549" s="68" t="n">
        <x:f>IFERROR(H4549/I4549,"")</x:f>
        <x:v>1.2</x:v>
      </x:c>
      <x:c r="K4549" s="69" t="n">
        <x:f>IFERROR(I4549/H4549,"")</x:f>
        <x:v>0.8333333333333334</x:v>
      </x:c>
      <x:c r="L4549" s="66" t="str">
        <x:f>IF(K4549="","","1 : "&amp;TEXT(K4549,"0.0"))</x:f>
        <x:v>1 : 0.8</x:v>
      </x:c>
      <x:c r="M4549" s="66" t="str">
        <x:f>IF(J4549="","Baru/Tanpa Data",IF(J4549&lt;='Catatan &amp; Sumber'!$B$14,"Sangat Ketat",IF(J4549&lt;='Catatan &amp; Sumber'!$B$15,"Ketat",IF(J4549&lt;='Catatan &amp; Sumber'!$B$16,"Sedang","Relatif Longgar"))))</x:f>
        <x:v>Relatif Longgar</x:v>
      </x:c>
      <x:c r="N4549" s="66" t="str">
        <x:v>Tidak Ada</x:v>
      </x:c>
      <x:c r="O4549" s="66" t="str">
        <x:v>Sulawesi Utara</x:v>
      </x:c>
      <x:c r="P4549" s="66" t="str">
        <x:v>Kota Manado</x:v>
      </x:c>
      <x:c r="Q4549" s="66" t="str">
        <x:v>https://snpmb.id/snbp/daya-tampung-snbp</x:v>
      </x:c>
      <x:c r="R4549" s="66" t="str">
        <x:v>https://sidatagrun-public-1076756628210.asia-southeast2.run.app/ptn_sn.php?ptn=727</x:v>
      </x:c>
    </x:row>
    <x:row r="4550">
      <x:c r="A4550" s="87" t="n">
        <x:v>3298</x:v>
      </x:c>
      <x:c r="B4550" s="66" t="n">
        <x:v>727</x:v>
      </x:c>
      <x:c r="C4550" s="66" t="str">
        <x:v>POLITEKNIK NEGERI MANADO</x:v>
      </x:c>
      <x:c r="D4550" s="66" t="str">
        <x:v>PTN Vokasi</x:v>
      </x:c>
      <x:c r="E4550" s="66" t="str">
        <x:v>27272006</x:v>
      </x:c>
      <x:c r="F4550" s="66" t="str">
        <x:v>AKUNTANSI KEUANGAN</x:v>
      </x:c>
      <x:c r="G4550" s="66" t="str">
        <x:v>Sarjana Terapan</x:v>
      </x:c>
      <x:c r="H4550" s="87" t="n">
        <x:v>30</x:v>
      </x:c>
      <x:c r="I4550" s="87" t="n">
        <x:v>80</x:v>
      </x:c>
      <x:c r="J4550" s="68" t="n">
        <x:f>IFERROR(H4550/I4550,"")</x:f>
        <x:v>0.375</x:v>
      </x:c>
      <x:c r="K4550" s="69" t="n">
        <x:f>IFERROR(I4550/H4550,"")</x:f>
        <x:v>2.6666666666666665</x:v>
      </x:c>
      <x:c r="L4550" s="66" t="str">
        <x:f>IF(K4550="","","1 : "&amp;TEXT(K4550,"0.0"))</x:f>
        <x:v>1 : 2.7</x:v>
      </x:c>
      <x:c r="M4550" s="66" t="str">
        <x:f>IF(J4550="","Baru/Tanpa Data",IF(J4550&lt;='Catatan &amp; Sumber'!$B$14,"Sangat Ketat",IF(J4550&lt;='Catatan &amp; Sumber'!$B$15,"Ketat",IF(J4550&lt;='Catatan &amp; Sumber'!$B$16,"Sedang","Relatif Longgar"))))</x:f>
        <x:v>Relatif Longgar</x:v>
      </x:c>
      <x:c r="N4550" s="66" t="str">
        <x:v>Tidak Ada</x:v>
      </x:c>
      <x:c r="O4550" s="66" t="str">
        <x:v>Sulawesi Utara</x:v>
      </x:c>
      <x:c r="P4550" s="66" t="str">
        <x:v>Kota Manado</x:v>
      </x:c>
      <x:c r="Q4550" s="66" t="str">
        <x:v>https://snpmb.id/snbp/daya-tampung-snbp</x:v>
      </x:c>
      <x:c r="R4550" s="66" t="str">
        <x:v>https://sidatagrun-public-1076756628210.asia-southeast2.run.app/ptn_sn.php?ptn=727</x:v>
      </x:c>
    </x:row>
    <x:row r="4551">
      <x:c r="A4551" s="87" t="n">
        <x:v>3432</x:v>
      </x:c>
      <x:c r="B4551" s="66" t="n">
        <x:v>727</x:v>
      </x:c>
      <x:c r="C4551" s="66" t="str">
        <x:v>POLITEKNIK NEGERI MANADO</x:v>
      </x:c>
      <x:c r="D4551" s="66" t="str">
        <x:v>PTN Vokasi</x:v>
      </x:c>
      <x:c r="E4551" s="66" t="str">
        <x:v>27272007</x:v>
      </x:c>
      <x:c r="F4551" s="66" t="str">
        <x:v>MANAJEMEN BISNIS</x:v>
      </x:c>
      <x:c r="G4551" s="66" t="str">
        <x:v>Sarjana Terapan</x:v>
      </x:c>
      <x:c r="H4551" s="87" t="n">
        <x:v>40</x:v>
      </x:c>
      <x:c r="I4551" s="87" t="n">
        <x:v>97</x:v>
      </x:c>
      <x:c r="J4551" s="68" t="n">
        <x:f>IFERROR(H4551/I4551,"")</x:f>
        <x:v>0.41237113402061853</x:v>
      </x:c>
      <x:c r="K4551" s="69" t="n">
        <x:f>IFERROR(I4551/H4551,"")</x:f>
        <x:v>2.425</x:v>
      </x:c>
      <x:c r="L4551" s="66" t="str">
        <x:f>IF(K4551="","","1 : "&amp;TEXT(K4551,"0.0"))</x:f>
        <x:v>1 : 2.4</x:v>
      </x:c>
      <x:c r="M4551" s="66" t="str">
        <x:f>IF(J4551="","Baru/Tanpa Data",IF(J4551&lt;='Catatan &amp; Sumber'!$B$14,"Sangat Ketat",IF(J4551&lt;='Catatan &amp; Sumber'!$B$15,"Ketat",IF(J4551&lt;='Catatan &amp; Sumber'!$B$16,"Sedang","Relatif Longgar"))))</x:f>
        <x:v>Relatif Longgar</x:v>
      </x:c>
      <x:c r="N4551" s="66" t="str">
        <x:v>Tidak Ada</x:v>
      </x:c>
      <x:c r="O4551" s="66" t="str">
        <x:v>Sulawesi Utara</x:v>
      </x:c>
      <x:c r="P4551" s="66" t="str">
        <x:v>Kota Manado</x:v>
      </x:c>
      <x:c r="Q4551" s="66" t="str">
        <x:v>https://snpmb.id/snbp/daya-tampung-snbp</x:v>
      </x:c>
      <x:c r="R4551" s="66" t="str">
        <x:v>https://sidatagrun-public-1076756628210.asia-southeast2.run.app/ptn_sn.php?ptn=727</x:v>
      </x:c>
    </x:row>
    <x:row r="4552">
      <x:c r="A4552" s="87" t="n">
        <x:v>3929</x:v>
      </x:c>
      <x:c r="B4552" s="66" t="n">
        <x:v>727</x:v>
      </x:c>
      <x:c r="C4552" s="66" t="str">
        <x:v>POLITEKNIK NEGERI MANADO</x:v>
      </x:c>
      <x:c r="D4552" s="66" t="str">
        <x:v>PTN Vokasi</x:v>
      </x:c>
      <x:c r="E4552" s="66" t="str">
        <x:v>27272008</x:v>
      </x:c>
      <x:c r="F4552" s="66" t="str">
        <x:v>PERHOTELAN</x:v>
      </x:c>
      <x:c r="G4552" s="66" t="str">
        <x:v>Sarjana Terapan</x:v>
      </x:c>
      <x:c r="H4552" s="87" t="n">
        <x:v>25</x:v>
      </x:c>
      <x:c r="I4552" s="87" t="n">
        <x:v>39</x:v>
      </x:c>
      <x:c r="J4552" s="68" t="n">
        <x:f>IFERROR(H4552/I4552,"")</x:f>
        <x:v>0.6410256410256411</x:v>
      </x:c>
      <x:c r="K4552" s="69" t="n">
        <x:f>IFERROR(I4552/H4552,"")</x:f>
        <x:v>1.56</x:v>
      </x:c>
      <x:c r="L4552" s="66" t="str">
        <x:f>IF(K4552="","","1 : "&amp;TEXT(K4552,"0.0"))</x:f>
        <x:v>1 : 1.6</x:v>
      </x:c>
      <x:c r="M4552" s="66" t="str">
        <x:f>IF(J4552="","Baru/Tanpa Data",IF(J4552&lt;='Catatan &amp; Sumber'!$B$14,"Sangat Ketat",IF(J4552&lt;='Catatan &amp; Sumber'!$B$15,"Ketat",IF(J4552&lt;='Catatan &amp; Sumber'!$B$16,"Sedang","Relatif Longgar"))))</x:f>
        <x:v>Relatif Longgar</x:v>
      </x:c>
      <x:c r="N4552" s="66" t="str">
        <x:v>Tidak Ada</x:v>
      </x:c>
      <x:c r="O4552" s="66" t="str">
        <x:v>Sulawesi Utara</x:v>
      </x:c>
      <x:c r="P4552" s="66" t="str">
        <x:v>Kota Manado</x:v>
      </x:c>
      <x:c r="Q4552" s="66" t="str">
        <x:v>https://snpmb.id/snbp/daya-tampung-snbp</x:v>
      </x:c>
      <x:c r="R4552" s="66" t="str">
        <x:v>https://sidatagrun-public-1076756628210.asia-southeast2.run.app/ptn_sn.php?ptn=727</x:v>
      </x:c>
    </x:row>
    <x:row r="4553">
      <x:c r="A4553" s="87" t="n">
        <x:v>3316</x:v>
      </x:c>
      <x:c r="B4553" s="66" t="n">
        <x:v>727</x:v>
      </x:c>
      <x:c r="C4553" s="66" t="str">
        <x:v>POLITEKNIK NEGERI MANADO</x:v>
      </x:c>
      <x:c r="D4553" s="66" t="str">
        <x:v>PTN Vokasi</x:v>
      </x:c>
      <x:c r="E4553" s="66" t="str">
        <x:v>27272011</x:v>
      </x:c>
      <x:c r="F4553" s="66" t="str">
        <x:v>AKUNTANSI PERPAJAKAN</x:v>
      </x:c>
      <x:c r="G4553" s="66" t="str">
        <x:v>Sarjana Terapan</x:v>
      </x:c>
      <x:c r="H4553" s="87" t="n">
        <x:v>20</x:v>
      </x:c>
      <x:c r="I4553" s="87" t="n">
        <x:v>53</x:v>
      </x:c>
      <x:c r="J4553" s="68" t="n">
        <x:f>IFERROR(H4553/I4553,"")</x:f>
        <x:v>0.37735849056603776</x:v>
      </x:c>
      <x:c r="K4553" s="69" t="n">
        <x:f>IFERROR(I4553/H4553,"")</x:f>
        <x:v>2.65</x:v>
      </x:c>
      <x:c r="L4553" s="66" t="str">
        <x:f>IF(K4553="","","1 : "&amp;TEXT(K4553,"0.0"))</x:f>
        <x:v>1 : 2.7</x:v>
      </x:c>
      <x:c r="M4553" s="66" t="str">
        <x:f>IF(J4553="","Baru/Tanpa Data",IF(J4553&lt;='Catatan &amp; Sumber'!$B$14,"Sangat Ketat",IF(J4553&lt;='Catatan &amp; Sumber'!$B$15,"Ketat",IF(J4553&lt;='Catatan &amp; Sumber'!$B$16,"Sedang","Relatif Longgar"))))</x:f>
        <x:v>Relatif Longgar</x:v>
      </x:c>
      <x:c r="N4553" s="66" t="str">
        <x:v>Tidak Ada</x:v>
      </x:c>
      <x:c r="O4553" s="66" t="str">
        <x:v>Sulawesi Utara</x:v>
      </x:c>
      <x:c r="P4553" s="66" t="str">
        <x:v>Kota Manado</x:v>
      </x:c>
      <x:c r="Q4553" s="66" t="str">
        <x:v>https://snpmb.id/snbp/daya-tampung-snbp</x:v>
      </x:c>
      <x:c r="R4553" s="66" t="str">
        <x:v>https://sidatagrun-public-1076756628210.asia-southeast2.run.app/ptn_sn.php?ptn=727</x:v>
      </x:c>
    </x:row>
    <x:row r="4554">
      <x:c r="A4554" s="87" t="n">
        <x:v>4812</x:v>
      </x:c>
      <x:c r="B4554" s="66" t="n">
        <x:v>727</x:v>
      </x:c>
      <x:c r="C4554" s="66" t="str">
        <x:v>POLITEKNIK NEGERI MANADO</x:v>
      </x:c>
      <x:c r="D4554" s="66" t="str">
        <x:v>PTN Vokasi</x:v>
      </x:c>
      <x:c r="E4554" s="66" t="str">
        <x:v>27272013</x:v>
      </x:c>
      <x:c r="F4554" s="66" t="str">
        <x:v>TEKNOLOGI REKAYASA MEKATRONIKA</x:v>
      </x:c>
      <x:c r="G4554" s="66" t="str">
        <x:v>Sarjana Terapan</x:v>
      </x:c>
      <x:c r="H4554" s="87" t="n">
        <x:v>20</x:v>
      </x:c>
      <x:c r="I4554" s="87" t="n">
        <x:v>5</x:v>
      </x:c>
      <x:c r="J4554" s="68" t="n">
        <x:f>IFERROR(H4554/I4554,"")</x:f>
        <x:v>4</x:v>
      </x:c>
      <x:c r="K4554" s="69" t="n">
        <x:f>IFERROR(I4554/H4554,"")</x:f>
        <x:v>0.25</x:v>
      </x:c>
      <x:c r="L4554" s="66" t="str">
        <x:f>IF(K4554="","","1 : "&amp;TEXT(K4554,"0.0"))</x:f>
        <x:v>1 : 0.3</x:v>
      </x:c>
      <x:c r="M4554" s="66" t="str">
        <x:f>IF(J4554="","Baru/Tanpa Data",IF(J4554&lt;='Catatan &amp; Sumber'!$B$14,"Sangat Ketat",IF(J4554&lt;='Catatan &amp; Sumber'!$B$15,"Ketat",IF(J4554&lt;='Catatan &amp; Sumber'!$B$16,"Sedang","Relatif Longgar"))))</x:f>
        <x:v>Relatif Longgar</x:v>
      </x:c>
      <x:c r="N4554" s="66" t="str">
        <x:v>Tidak Ada</x:v>
      </x:c>
      <x:c r="O4554" s="66" t="str">
        <x:v>Sulawesi Utara</x:v>
      </x:c>
      <x:c r="P4554" s="66" t="str">
        <x:v>Kota Manado</x:v>
      </x:c>
      <x:c r="Q4554" s="66" t="str">
        <x:v>https://snpmb.id/snbp/daya-tampung-snbp</x:v>
      </x:c>
      <x:c r="R4554" s="66" t="str">
        <x:v>https://sidatagrun-public-1076756628210.asia-southeast2.run.app/ptn_sn.php?ptn=727</x:v>
      </x:c>
    </x:row>
    <x:row r="4555">
      <x:c r="A4555" s="87" t="n">
        <x:v>4250</x:v>
      </x:c>
      <x:c r="B4555" s="66" t="n">
        <x:v>727</x:v>
      </x:c>
      <x:c r="C4555" s="66" t="str">
        <x:v>POLITEKNIK NEGERI MANADO</x:v>
      </x:c>
      <x:c r="D4555" s="66" t="str">
        <x:v>PTN Vokasi</x:v>
      </x:c>
      <x:c r="E4555" s="66" t="str">
        <x:v>27272020</x:v>
      </x:c>
      <x:c r="F4555" s="66" t="str">
        <x:v>MANAJEMEN PARIWISATA GLOBAL</x:v>
      </x:c>
      <x:c r="G4555" s="66" t="str">
        <x:v>Sarjana Terapan</x:v>
      </x:c>
      <x:c r="H4555" s="87" t="n">
        <x:v>20</x:v>
      </x:c>
      <x:c r="I4555" s="87" t="n">
        <x:v>22</x:v>
      </x:c>
      <x:c r="J4555" s="68" t="n">
        <x:f>IFERROR(H4555/I4555,"")</x:f>
        <x:v>0.9090909090909091</x:v>
      </x:c>
      <x:c r="K4555" s="69" t="n">
        <x:f>IFERROR(I4555/H4555,"")</x:f>
        <x:v>1.1</x:v>
      </x:c>
      <x:c r="L4555" s="66" t="str">
        <x:f>IF(K4555="","","1 : "&amp;TEXT(K4555,"0.0"))</x:f>
        <x:v>1 : 1.1</x:v>
      </x:c>
      <x:c r="M4555" s="66" t="str">
        <x:f>IF(J4555="","Baru/Tanpa Data",IF(J4555&lt;='Catatan &amp; Sumber'!$B$14,"Sangat Ketat",IF(J4555&lt;='Catatan &amp; Sumber'!$B$15,"Ketat",IF(J4555&lt;='Catatan &amp; Sumber'!$B$16,"Sedang","Relatif Longgar"))))</x:f>
        <x:v>Relatif Longgar</x:v>
      </x:c>
      <x:c r="N4555" s="66" t="str">
        <x:v>Tidak Ada</x:v>
      </x:c>
      <x:c r="O4555" s="66" t="str">
        <x:v>Sulawesi Utara</x:v>
      </x:c>
      <x:c r="P4555" s="66" t="str">
        <x:v>Kota Manado</x:v>
      </x:c>
      <x:c r="Q4555" s="66" t="str">
        <x:v>https://snpmb.id/snbp/daya-tampung-snbp</x:v>
      </x:c>
      <x:c r="R4555" s="66" t="str">
        <x:v>https://sidatagrun-public-1076756628210.asia-southeast2.run.app/ptn_sn.php?ptn=727</x:v>
      </x:c>
    </x:row>
    <x:row r="4556">
      <x:c r="A4556" s="87" t="n">
        <x:v>3210</x:v>
      </x:c>
      <x:c r="B4556" s="66" t="n">
        <x:v>727</x:v>
      </x:c>
      <x:c r="C4556" s="66" t="str">
        <x:v>POLITEKNIK NEGERI MANADO</x:v>
      </x:c>
      <x:c r="D4556" s="66" t="str">
        <x:v>PTN Vokasi</x:v>
      </x:c>
      <x:c r="E4556" s="66" t="str">
        <x:v>27273009</x:v>
      </x:c>
      <x:c r="F4556" s="66" t="str">
        <x:v>TEKNIK SIPIL</x:v>
      </x:c>
      <x:c r="G4556" s="66" t="str">
        <x:v>Diploma Tiga</x:v>
      </x:c>
      <x:c r="H4556" s="87" t="n">
        <x:v>10</x:v>
      </x:c>
      <x:c r="I4556" s="87" t="n">
        <x:v>29</x:v>
      </x:c>
      <x:c r="J4556" s="68" t="n">
        <x:f>IFERROR(H4556/I4556,"")</x:f>
        <x:v>0.3448275862068966</x:v>
      </x:c>
      <x:c r="K4556" s="69" t="n">
        <x:f>IFERROR(I4556/H4556,"")</x:f>
        <x:v>2.9</x:v>
      </x:c>
      <x:c r="L4556" s="66" t="str">
        <x:f>IF(K4556="","","1 : "&amp;TEXT(K4556,"0.0"))</x:f>
        <x:v>1 : 2.9</x:v>
      </x:c>
      <x:c r="M4556" s="66" t="str">
        <x:f>IF(J4556="","Baru/Tanpa Data",IF(J4556&lt;='Catatan &amp; Sumber'!$B$14,"Sangat Ketat",IF(J4556&lt;='Catatan &amp; Sumber'!$B$15,"Ketat",IF(J4556&lt;='Catatan &amp; Sumber'!$B$16,"Sedang","Relatif Longgar"))))</x:f>
        <x:v>Relatif Longgar</x:v>
      </x:c>
      <x:c r="N4556" s="66" t="str">
        <x:v>Tidak Ada</x:v>
      </x:c>
      <x:c r="O4556" s="66" t="str">
        <x:v>Sulawesi Utara</x:v>
      </x:c>
      <x:c r="P4556" s="66" t="str">
        <x:v>Kota Manado</x:v>
      </x:c>
      <x:c r="Q4556" s="66" t="str">
        <x:v>https://snpmb.id/snbp/daya-tampung-snbp</x:v>
      </x:c>
      <x:c r="R4556" s="66" t="str">
        <x:v>https://sidatagrun-public-1076756628210.asia-southeast2.run.app/ptn_sn.php?ptn=727</x:v>
      </x:c>
    </x:row>
    <x:row r="4557">
      <x:c r="A4557" s="87" t="n">
        <x:v>2867</x:v>
      </x:c>
      <x:c r="B4557" s="66" t="n">
        <x:v>727</x:v>
      </x:c>
      <x:c r="C4557" s="66" t="str">
        <x:v>POLITEKNIK NEGERI MANADO</x:v>
      </x:c>
      <x:c r="D4557" s="66" t="str">
        <x:v>PTN Vokasi</x:v>
      </x:c>
      <x:c r="E4557" s="66" t="str">
        <x:v>27273010</x:v>
      </x:c>
      <x:c r="F4557" s="66" t="str">
        <x:v>PARIWISATA</x:v>
      </x:c>
      <x:c r="G4557" s="66" t="str">
        <x:v>Diploma Tiga</x:v>
      </x:c>
      <x:c r="H4557" s="87" t="n">
        <x:v>10</x:v>
      </x:c>
      <x:c r="I4557" s="87" t="n">
        <x:v>37</x:v>
      </x:c>
      <x:c r="J4557" s="68" t="n">
        <x:f>IFERROR(H4557/I4557,"")</x:f>
        <x:v>0.2702702702702703</x:v>
      </x:c>
      <x:c r="K4557" s="69" t="n">
        <x:f>IFERROR(I4557/H4557,"")</x:f>
        <x:v>3.7</x:v>
      </x:c>
      <x:c r="L4557" s="66" t="str">
        <x:f>IF(K4557="","","1 : "&amp;TEXT(K4557,"0.0"))</x:f>
        <x:v>1 : 3.7</x:v>
      </x:c>
      <x:c r="M4557" s="66" t="str">
        <x:f>IF(J4557="","Baru/Tanpa Data",IF(J4557&lt;='Catatan &amp; Sumber'!$B$14,"Sangat Ketat",IF(J4557&lt;='Catatan &amp; Sumber'!$B$15,"Ketat",IF(J4557&lt;='Catatan &amp; Sumber'!$B$16,"Sedang","Relatif Longgar"))))</x:f>
        <x:v>Relatif Longgar</x:v>
      </x:c>
      <x:c r="N4557" s="66" t="str">
        <x:v>Tidak Ada</x:v>
      </x:c>
      <x:c r="O4557" s="66" t="str">
        <x:v>Sulawesi Utara</x:v>
      </x:c>
      <x:c r="P4557" s="66" t="str">
        <x:v>Kota Manado</x:v>
      </x:c>
      <x:c r="Q4557" s="66" t="str">
        <x:v>https://snpmb.id/snbp/daya-tampung-snbp</x:v>
      </x:c>
      <x:c r="R4557" s="66" t="str">
        <x:v>https://sidatagrun-public-1076756628210.asia-southeast2.run.app/ptn_sn.php?ptn=727</x:v>
      </x:c>
    </x:row>
    <x:row r="4558">
      <x:c r="A4558" s="87" t="n">
        <x:v>3958</x:v>
      </x:c>
      <x:c r="B4558" s="66" t="n">
        <x:v>727</x:v>
      </x:c>
      <x:c r="C4558" s="66" t="str">
        <x:v>POLITEKNIK NEGERI MANADO</x:v>
      </x:c>
      <x:c r="D4558" s="66" t="str">
        <x:v>PTN Vokasi</x:v>
      </x:c>
      <x:c r="E4558" s="66" t="str">
        <x:v>27273012</x:v>
      </x:c>
      <x:c r="F4558" s="66" t="str">
        <x:v>ADMINISTRASI BISNIS</x:v>
      </x:c>
      <x:c r="G4558" s="66" t="str">
        <x:v>Diploma Tiga</x:v>
      </x:c>
      <x:c r="H4558" s="87" t="n">
        <x:v>10</x:v>
      </x:c>
      <x:c r="I4558" s="87" t="n">
        <x:v>15</x:v>
      </x:c>
      <x:c r="J4558" s="68" t="n">
        <x:f>IFERROR(H4558/I4558,"")</x:f>
        <x:v>0.6666666666666666</x:v>
      </x:c>
      <x:c r="K4558" s="69" t="n">
        <x:f>IFERROR(I4558/H4558,"")</x:f>
        <x:v>1.5</x:v>
      </x:c>
      <x:c r="L4558" s="66" t="str">
        <x:f>IF(K4558="","","1 : "&amp;TEXT(K4558,"0.0"))</x:f>
        <x:v>1 : 1.5</x:v>
      </x:c>
      <x:c r="M4558" s="66" t="str">
        <x:f>IF(J4558="","Baru/Tanpa Data",IF(J4558&lt;='Catatan &amp; Sumber'!$B$14,"Sangat Ketat",IF(J4558&lt;='Catatan &amp; Sumber'!$B$15,"Ketat",IF(J4558&lt;='Catatan &amp; Sumber'!$B$16,"Sedang","Relatif Longgar"))))</x:f>
        <x:v>Relatif Longgar</x:v>
      </x:c>
      <x:c r="N4558" s="66" t="str">
        <x:v>Tidak Ada</x:v>
      </x:c>
      <x:c r="O4558" s="66" t="str">
        <x:v>Sulawesi Utara</x:v>
      </x:c>
      <x:c r="P4558" s="66" t="str">
        <x:v>Kota Manado</x:v>
      </x:c>
      <x:c r="Q4558" s="66" t="str">
        <x:v>https://snpmb.id/snbp/daya-tampung-snbp</x:v>
      </x:c>
      <x:c r="R4558" s="66" t="str">
        <x:v>https://sidatagrun-public-1076756628210.asia-southeast2.run.app/ptn_sn.php?ptn=727</x:v>
      </x:c>
    </x:row>
    <x:row r="4559">
      <x:c r="A4559" s="87" t="n">
        <x:v>3899</x:v>
      </x:c>
      <x:c r="B4559" s="66" t="n">
        <x:v>727</x:v>
      </x:c>
      <x:c r="C4559" s="66" t="str">
        <x:v>POLITEKNIK NEGERI MANADO</x:v>
      </x:c>
      <x:c r="D4559" s="66" t="str">
        <x:v>PTN Vokasi</x:v>
      </x:c>
      <x:c r="E4559" s="66" t="str">
        <x:v>27273014</x:v>
      </x:c>
      <x:c r="F4559" s="66" t="str">
        <x:v>TEKNIK KOMPUTER</x:v>
      </x:c>
      <x:c r="G4559" s="66" t="str">
        <x:v>Diploma Tiga</x:v>
      </x:c>
      <x:c r="H4559" s="87" t="n">
        <x:v>15</x:v>
      </x:c>
      <x:c r="I4559" s="87" t="n">
        <x:v>24</x:v>
      </x:c>
      <x:c r="J4559" s="68" t="n">
        <x:f>IFERROR(H4559/I4559,"")</x:f>
        <x:v>0.625</x:v>
      </x:c>
      <x:c r="K4559" s="69" t="n">
        <x:f>IFERROR(I4559/H4559,"")</x:f>
        <x:v>1.6</x:v>
      </x:c>
      <x:c r="L4559" s="66" t="str">
        <x:f>IF(K4559="","","1 : "&amp;TEXT(K4559,"0.0"))</x:f>
        <x:v>1 : 1.6</x:v>
      </x:c>
      <x:c r="M4559" s="66" t="str">
        <x:f>IF(J4559="","Baru/Tanpa Data",IF(J4559&lt;='Catatan &amp; Sumber'!$B$14,"Sangat Ketat",IF(J4559&lt;='Catatan &amp; Sumber'!$B$15,"Ketat",IF(J4559&lt;='Catatan &amp; Sumber'!$B$16,"Sedang","Relatif Longgar"))))</x:f>
        <x:v>Relatif Longgar</x:v>
      </x:c>
      <x:c r="N4559" s="66" t="str">
        <x:v>Tidak Ada</x:v>
      </x:c>
      <x:c r="O4559" s="66" t="str">
        <x:v>Sulawesi Utara</x:v>
      </x:c>
      <x:c r="P4559" s="66" t="str">
        <x:v>Kota Manado</x:v>
      </x:c>
      <x:c r="Q4559" s="66" t="str">
        <x:v>https://snpmb.id/snbp/daya-tampung-snbp</x:v>
      </x:c>
      <x:c r="R4559" s="66" t="str">
        <x:v>https://sidatagrun-public-1076756628210.asia-southeast2.run.app/ptn_sn.php?ptn=727</x:v>
      </x:c>
    </x:row>
    <x:row r="4560">
      <x:c r="A4560" s="87" t="n">
        <x:v>4786</x:v>
      </x:c>
      <x:c r="B4560" s="66" t="n">
        <x:v>727</x:v>
      </x:c>
      <x:c r="C4560" s="66" t="str">
        <x:v>POLITEKNIK NEGERI MANADO</x:v>
      </x:c>
      <x:c r="D4560" s="66" t="str">
        <x:v>PTN Vokasi</x:v>
      </x:c>
      <x:c r="E4560" s="66" t="str">
        <x:v>27273015</x:v>
      </x:c>
      <x:c r="F4560" s="66" t="str">
        <x:v>MANAJEMEN PEMASARAN</x:v>
      </x:c>
      <x:c r="G4560" s="66" t="str">
        <x:v>Diploma Tiga</x:v>
      </x:c>
      <x:c r="H4560" s="87" t="n">
        <x:v>10</x:v>
      </x:c>
      <x:c r="I4560" s="87" t="n">
        <x:v>3</x:v>
      </x:c>
      <x:c r="J4560" s="68" t="n">
        <x:f>IFERROR(H4560/I4560,"")</x:f>
        <x:v>3.3333333333333335</x:v>
      </x:c>
      <x:c r="K4560" s="69" t="n">
        <x:f>IFERROR(I4560/H4560,"")</x:f>
        <x:v>0.3</x:v>
      </x:c>
      <x:c r="L4560" s="66" t="str">
        <x:f>IF(K4560="","","1 : "&amp;TEXT(K4560,"0.0"))</x:f>
        <x:v>1 : 0.3</x:v>
      </x:c>
      <x:c r="M4560" s="66" t="str">
        <x:f>IF(J4560="","Baru/Tanpa Data",IF(J4560&lt;='Catatan &amp; Sumber'!$B$14,"Sangat Ketat",IF(J4560&lt;='Catatan &amp; Sumber'!$B$15,"Ketat",IF(J4560&lt;='Catatan &amp; Sumber'!$B$16,"Sedang","Relatif Longgar"))))</x:f>
        <x:v>Relatif Longgar</x:v>
      </x:c>
      <x:c r="N4560" s="66" t="str">
        <x:v>Tidak Ada</x:v>
      </x:c>
      <x:c r="O4560" s="66" t="str">
        <x:v>Sulawesi Utara</x:v>
      </x:c>
      <x:c r="P4560" s="66" t="str">
        <x:v>Kota Manado</x:v>
      </x:c>
      <x:c r="Q4560" s="66" t="str">
        <x:v>https://snpmb.id/snbp/daya-tampung-snbp</x:v>
      </x:c>
      <x:c r="R4560" s="66" t="str">
        <x:v>https://sidatagrun-public-1076756628210.asia-southeast2.run.app/ptn_sn.php?ptn=727</x:v>
      </x:c>
    </x:row>
    <x:row r="4561">
      <x:c r="A4561" s="87" t="n">
        <x:v>4724</x:v>
      </x:c>
      <x:c r="B4561" s="66" t="n">
        <x:v>727</x:v>
      </x:c>
      <x:c r="C4561" s="66" t="str">
        <x:v>POLITEKNIK NEGERI MANADO</x:v>
      </x:c>
      <x:c r="D4561" s="66" t="str">
        <x:v>PTN Vokasi</x:v>
      </x:c>
      <x:c r="E4561" s="66" t="str">
        <x:v>27273016</x:v>
      </x:c>
      <x:c r="F4561" s="66" t="str">
        <x:v>EKOWISATA BAWAH LAUT</x:v>
      </x:c>
      <x:c r="G4561" s="66" t="str">
        <x:v>Diploma Tiga</x:v>
      </x:c>
      <x:c r="H4561" s="87" t="n">
        <x:v>5</x:v>
      </x:c>
      <x:c r="I4561" s="87" t="n">
        <x:v>2</x:v>
      </x:c>
      <x:c r="J4561" s="68" t="n">
        <x:f>IFERROR(H4561/I4561,"")</x:f>
        <x:v>2.5</x:v>
      </x:c>
      <x:c r="K4561" s="69" t="n">
        <x:f>IFERROR(I4561/H4561,"")</x:f>
        <x:v>0.4</x:v>
      </x:c>
      <x:c r="L4561" s="66" t="str">
        <x:f>IF(K4561="","","1 : "&amp;TEXT(K4561,"0.0"))</x:f>
        <x:v>1 : 0.4</x:v>
      </x:c>
      <x:c r="M4561" s="66" t="str">
        <x:f>IF(J4561="","Baru/Tanpa Data",IF(J4561&lt;='Catatan &amp; Sumber'!$B$14,"Sangat Ketat",IF(J4561&lt;='Catatan &amp; Sumber'!$B$15,"Ketat",IF(J4561&lt;='Catatan &amp; Sumber'!$B$16,"Sedang","Relatif Longgar"))))</x:f>
        <x:v>Relatif Longgar</x:v>
      </x:c>
      <x:c r="N4561" s="66" t="str">
        <x:v>Tidak Ada</x:v>
      </x:c>
      <x:c r="O4561" s="66" t="str">
        <x:v>Sulawesi Utara</x:v>
      </x:c>
      <x:c r="P4561" s="66" t="str">
        <x:v>Kota Manado</x:v>
      </x:c>
      <x:c r="Q4561" s="66" t="str">
        <x:v>https://snpmb.id/snbp/daya-tampung-snbp</x:v>
      </x:c>
      <x:c r="R4561" s="66" t="str">
        <x:v>https://sidatagrun-public-1076756628210.asia-southeast2.run.app/ptn_sn.php?ptn=727</x:v>
      </x:c>
    </x:row>
    <x:row r="4562">
      <x:c r="A4562" s="87" t="n">
        <x:v>4602</x:v>
      </x:c>
      <x:c r="B4562" s="66" t="n">
        <x:v>727</x:v>
      </x:c>
      <x:c r="C4562" s="66" t="str">
        <x:v>POLITEKNIK NEGERI MANADO</x:v>
      </x:c>
      <x:c r="D4562" s="66" t="str">
        <x:v>PTN Vokasi</x:v>
      </x:c>
      <x:c r="E4562" s="66" t="str">
        <x:v>27273017</x:v>
      </x:c>
      <x:c r="F4562" s="66" t="str">
        <x:v>USAHA PERJALANAN WISATA</x:v>
      </x:c>
      <x:c r="G4562" s="66" t="str">
        <x:v>Diploma Tiga</x:v>
      </x:c>
      <x:c r="H4562" s="87" t="n">
        <x:v>5</x:v>
      </x:c>
      <x:c r="I4562" s="87" t="n">
        <x:v>3</x:v>
      </x:c>
      <x:c r="J4562" s="68" t="n">
        <x:f>IFERROR(H4562/I4562,"")</x:f>
        <x:v>1.6666666666666667</x:v>
      </x:c>
      <x:c r="K4562" s="69" t="n">
        <x:f>IFERROR(I4562/H4562,"")</x:f>
        <x:v>0.6</x:v>
      </x:c>
      <x:c r="L4562" s="66" t="str">
        <x:f>IF(K4562="","","1 : "&amp;TEXT(K4562,"0.0"))</x:f>
        <x:v>1 : 0.6</x:v>
      </x:c>
      <x:c r="M4562" s="66" t="str">
        <x:f>IF(J4562="","Baru/Tanpa Data",IF(J4562&lt;='Catatan &amp; Sumber'!$B$14,"Sangat Ketat",IF(J4562&lt;='Catatan &amp; Sumber'!$B$15,"Ketat",IF(J4562&lt;='Catatan &amp; Sumber'!$B$16,"Sedang","Relatif Longgar"))))</x:f>
        <x:v>Relatif Longgar</x:v>
      </x:c>
      <x:c r="N4562" s="66" t="str">
        <x:v>Tidak Ada</x:v>
      </x:c>
      <x:c r="O4562" s="66" t="str">
        <x:v>Sulawesi Utara</x:v>
      </x:c>
      <x:c r="P4562" s="66" t="str">
        <x:v>Kota Manado</x:v>
      </x:c>
      <x:c r="Q4562" s="66" t="str">
        <x:v>https://snpmb.id/snbp/daya-tampung-snbp</x:v>
      </x:c>
      <x:c r="R4562" s="66" t="str">
        <x:v>https://sidatagrun-public-1076756628210.asia-southeast2.run.app/ptn_sn.php?ptn=727</x:v>
      </x:c>
    </x:row>
    <x:row r="4563">
      <x:c r="A4563" s="87" t="n">
        <x:v>4275</x:v>
      </x:c>
      <x:c r="B4563" s="66" t="n">
        <x:v>727</x:v>
      </x:c>
      <x:c r="C4563" s="66" t="str">
        <x:v>POLITEKNIK NEGERI MANADO</x:v>
      </x:c>
      <x:c r="D4563" s="66" t="str">
        <x:v>PTN Vokasi</x:v>
      </x:c>
      <x:c r="E4563" s="66" t="str">
        <x:v>27273018</x:v>
      </x:c>
      <x:c r="F4563" s="66" t="str">
        <x:v>TEKNIK LISTRIK</x:v>
      </x:c>
      <x:c r="G4563" s="66" t="str">
        <x:v>Diploma Tiga</x:v>
      </x:c>
      <x:c r="H4563" s="87" t="n">
        <x:v>15</x:v>
      </x:c>
      <x:c r="I4563" s="87" t="n">
        <x:v>16</x:v>
      </x:c>
      <x:c r="J4563" s="68" t="n">
        <x:f>IFERROR(H4563/I4563,"")</x:f>
        <x:v>0.9375</x:v>
      </x:c>
      <x:c r="K4563" s="69" t="n">
        <x:f>IFERROR(I4563/H4563,"")</x:f>
        <x:v>1.0666666666666667</x:v>
      </x:c>
      <x:c r="L4563" s="66" t="str">
        <x:f>IF(K4563="","","1 : "&amp;TEXT(K4563,"0.0"))</x:f>
        <x:v>1 : 1.1</x:v>
      </x:c>
      <x:c r="M4563" s="66" t="str">
        <x:f>IF(J4563="","Baru/Tanpa Data",IF(J4563&lt;='Catatan &amp; Sumber'!$B$14,"Sangat Ketat",IF(J4563&lt;='Catatan &amp; Sumber'!$B$15,"Ketat",IF(J4563&lt;='Catatan &amp; Sumber'!$B$16,"Sedang","Relatif Longgar"))))</x:f>
        <x:v>Relatif Longgar</x:v>
      </x:c>
      <x:c r="N4563" s="66" t="str">
        <x:v>Tidak Ada</x:v>
      </x:c>
      <x:c r="O4563" s="66" t="str">
        <x:v>Sulawesi Utara</x:v>
      </x:c>
      <x:c r="P4563" s="66" t="str">
        <x:v>Kota Manado</x:v>
      </x:c>
      <x:c r="Q4563" s="66" t="str">
        <x:v>https://snpmb.id/snbp/daya-tampung-snbp</x:v>
      </x:c>
      <x:c r="R4563" s="66" t="str">
        <x:v>https://sidatagrun-public-1076756628210.asia-southeast2.run.app/ptn_sn.php?ptn=727</x:v>
      </x:c>
    </x:row>
    <x:row r="4564">
      <x:c r="A4564" s="87" t="n">
        <x:v>3721</x:v>
      </x:c>
      <x:c r="B4564" s="66" t="n">
        <x:v>727</x:v>
      </x:c>
      <x:c r="C4564" s="66" t="str">
        <x:v>POLITEKNIK NEGERI MANADO</x:v>
      </x:c>
      <x:c r="D4564" s="66" t="str">
        <x:v>PTN Vokasi</x:v>
      </x:c>
      <x:c r="E4564" s="66" t="str">
        <x:v>27273019</x:v>
      </x:c>
      <x:c r="F4564" s="66" t="str">
        <x:v>AKUNTANSI</x:v>
      </x:c>
      <x:c r="G4564" s="66" t="str">
        <x:v>Diploma Tiga</x:v>
      </x:c>
      <x:c r="H4564" s="87" t="n">
        <x:v>10</x:v>
      </x:c>
      <x:c r="I4564" s="87" t="n">
        <x:v>19</x:v>
      </x:c>
      <x:c r="J4564" s="68" t="n">
        <x:f>IFERROR(H4564/I4564,"")</x:f>
        <x:v>0.5263157894736842</x:v>
      </x:c>
      <x:c r="K4564" s="69" t="n">
        <x:f>IFERROR(I4564/H4564,"")</x:f>
        <x:v>1.9</x:v>
      </x:c>
      <x:c r="L4564" s="66" t="str">
        <x:f>IF(K4564="","","1 : "&amp;TEXT(K4564,"0.0"))</x:f>
        <x:v>1 : 1.9</x:v>
      </x:c>
      <x:c r="M4564" s="66" t="str">
        <x:f>IF(J4564="","Baru/Tanpa Data",IF(J4564&lt;='Catatan &amp; Sumber'!$B$14,"Sangat Ketat",IF(J4564&lt;='Catatan &amp; Sumber'!$B$15,"Ketat",IF(J4564&lt;='Catatan &amp; Sumber'!$B$16,"Sedang","Relatif Longgar"))))</x:f>
        <x:v>Relatif Longgar</x:v>
      </x:c>
      <x:c r="N4564" s="66" t="str">
        <x:v>Tidak Ada</x:v>
      </x:c>
      <x:c r="O4564" s="66" t="str">
        <x:v>Sulawesi Utara</x:v>
      </x:c>
      <x:c r="P4564" s="66" t="str">
        <x:v>Kota Manado</x:v>
      </x:c>
      <x:c r="Q4564" s="66" t="str">
        <x:v>https://snpmb.id/snbp/daya-tampung-snbp</x:v>
      </x:c>
      <x:c r="R4564" s="66" t="str">
        <x:v>https://sidatagrun-public-1076756628210.asia-southeast2.run.app/ptn_sn.php?ptn=727</x:v>
      </x:c>
    </x:row>
    <x:row r="4565">
      <x:c r="A4565" s="87" t="n">
        <x:v>4882</x:v>
      </x:c>
      <x:c r="B4565" s="66" t="n">
        <x:v>728</x:v>
      </x:c>
      <x:c r="C4565" s="66" t="str">
        <x:v>POLITEKNIK NEGERI NUSA UTARA</x:v>
      </x:c>
      <x:c r="D4565" s="66" t="str">
        <x:v>PTN Vokasi</x:v>
      </x:c>
      <x:c r="E4565" s="66" t="str">
        <x:v>27282007</x:v>
      </x:c>
      <x:c r="F4565" s="66" t="str">
        <x:v>PENGOLAHAN DAN PENYIMPANAN HASIL PERIKANAN</x:v>
      </x:c>
      <x:c r="G4565" s="66" t="str">
        <x:v>Sarjana Terapan</x:v>
      </x:c>
      <x:c r="H4565" s="87" t="n">
        <x:v>9</x:v>
      </x:c>
      <x:c r="I4565" s="87" t="n">
        <x:v>1</x:v>
      </x:c>
      <x:c r="J4565" s="68" t="n">
        <x:f>IFERROR(H4565/I4565,"")</x:f>
        <x:v>9</x:v>
      </x:c>
      <x:c r="K4565" s="69" t="n">
        <x:f>IFERROR(I4565/H4565,"")</x:f>
        <x:v>0.1111111111111111</x:v>
      </x:c>
      <x:c r="L4565" s="66" t="str">
        <x:f>IF(K4565="","","1 : "&amp;TEXT(K4565,"0.0"))</x:f>
        <x:v>1 : 0.1</x:v>
      </x:c>
      <x:c r="M4565" s="66" t="str">
        <x:f>IF(J4565="","Baru/Tanpa Data",IF(J4565&lt;='Catatan &amp; Sumber'!$B$14,"Sangat Ketat",IF(J4565&lt;='Catatan &amp; Sumber'!$B$15,"Ketat",IF(J4565&lt;='Catatan &amp; Sumber'!$B$16,"Sedang","Relatif Longgar"))))</x:f>
        <x:v>Relatif Longgar</x:v>
      </x:c>
      <x:c r="N4565" s="66" t="str">
        <x:v>Tidak Ada</x:v>
      </x:c>
      <x:c r="O4565" s="66" t="str">
        <x:v>Sulawesi Utara</x:v>
      </x:c>
      <x:c r="P4565" s="66" t="str">
        <x:v>Kabupaten Kepulauan Sangihe</x:v>
      </x:c>
      <x:c r="Q4565" s="66" t="str">
        <x:v>https://snpmb.id/snbp/daya-tampung-snbp</x:v>
      </x:c>
      <x:c r="R4565" s="66" t="str">
        <x:v>https://sidatagrun-public-1076756628210.asia-southeast2.run.app/ptn_sn.php?ptn=728</x:v>
      </x:c>
    </x:row>
    <x:row r="4566">
      <x:c r="A4566" s="87" t="n">
        <x:v>4739</x:v>
      </x:c>
      <x:c r="B4566" s="66" t="n">
        <x:v>728</x:v>
      </x:c>
      <x:c r="C4566" s="66" t="str">
        <x:v>POLITEKNIK NEGERI NUSA UTARA</x:v>
      </x:c>
      <x:c r="D4566" s="66" t="str">
        <x:v>PTN Vokasi</x:v>
      </x:c>
      <x:c r="E4566" s="66" t="str">
        <x:v>27283001</x:v>
      </x:c>
      <x:c r="F4566" s="66" t="str">
        <x:v>KEPERAWATAN</x:v>
      </x:c>
      <x:c r="G4566" s="66" t="str">
        <x:v>Diploma Tiga</x:v>
      </x:c>
      <x:c r="H4566" s="87" t="n">
        <x:v>24</x:v>
      </x:c>
      <x:c r="I4566" s="87" t="n">
        <x:v>9</x:v>
      </x:c>
      <x:c r="J4566" s="68" t="n">
        <x:f>IFERROR(H4566/I4566,"")</x:f>
        <x:v>2.6666666666666665</x:v>
      </x:c>
      <x:c r="K4566" s="69" t="n">
        <x:f>IFERROR(I4566/H4566,"")</x:f>
        <x:v>0.375</x:v>
      </x:c>
      <x:c r="L4566" s="66" t="str">
        <x:f>IF(K4566="","","1 : "&amp;TEXT(K4566,"0.0"))</x:f>
        <x:v>1 : 0.4</x:v>
      </x:c>
      <x:c r="M4566" s="66" t="str">
        <x:f>IF(J4566="","Baru/Tanpa Data",IF(J4566&lt;='Catatan &amp; Sumber'!$B$14,"Sangat Ketat",IF(J4566&lt;='Catatan &amp; Sumber'!$B$15,"Ketat",IF(J4566&lt;='Catatan &amp; Sumber'!$B$16,"Sedang","Relatif Longgar"))))</x:f>
        <x:v>Relatif Longgar</x:v>
      </x:c>
      <x:c r="N4566" s="66" t="str">
        <x:v>Tidak Ada</x:v>
      </x:c>
      <x:c r="O4566" s="66" t="str">
        <x:v>Sulawesi Utara</x:v>
      </x:c>
      <x:c r="P4566" s="66" t="str">
        <x:v>Kabupaten Kepulauan Sangihe</x:v>
      </x:c>
      <x:c r="Q4566" s="66" t="str">
        <x:v>https://snpmb.id/snbp/daya-tampung-snbp</x:v>
      </x:c>
      <x:c r="R4566" s="66" t="str">
        <x:v>https://sidatagrun-public-1076756628210.asia-southeast2.run.app/ptn_sn.php?ptn=728</x:v>
      </x:c>
    </x:row>
    <x:row r="4567">
      <x:c r="A4567" s="87" t="n">
        <x:v>4739</x:v>
      </x:c>
      <x:c r="B4567" s="66" t="n">
        <x:v>728</x:v>
      </x:c>
      <x:c r="C4567" s="66" t="str">
        <x:v>POLITEKNIK NEGERI NUSA UTARA</x:v>
      </x:c>
      <x:c r="D4567" s="66" t="str">
        <x:v>PTN Vokasi</x:v>
      </x:c>
      <x:c r="E4567" s="66" t="str">
        <x:v>27283002</x:v>
      </x:c>
      <x:c r="F4567" s="66" t="str">
        <x:v>TEKNOLOGI PENANGKAPAN IKAN</x:v>
      </x:c>
      <x:c r="G4567" s="66" t="str">
        <x:v>Diploma Tiga</x:v>
      </x:c>
      <x:c r="H4567" s="87" t="n">
        <x:v>8</x:v>
      </x:c>
      <x:c r="I4567" s="87" t="n">
        <x:v>3</x:v>
      </x:c>
      <x:c r="J4567" s="68" t="n">
        <x:f>IFERROR(H4567/I4567,"")</x:f>
        <x:v>2.6666666666666665</x:v>
      </x:c>
      <x:c r="K4567" s="69" t="n">
        <x:f>IFERROR(I4567/H4567,"")</x:f>
        <x:v>0.375</x:v>
      </x:c>
      <x:c r="L4567" s="66" t="str">
        <x:f>IF(K4567="","","1 : "&amp;TEXT(K4567,"0.0"))</x:f>
        <x:v>1 : 0.4</x:v>
      </x:c>
      <x:c r="M4567" s="66" t="str">
        <x:f>IF(J4567="","Baru/Tanpa Data",IF(J4567&lt;='Catatan &amp; Sumber'!$B$14,"Sangat Ketat",IF(J4567&lt;='Catatan &amp; Sumber'!$B$15,"Ketat",IF(J4567&lt;='Catatan &amp; Sumber'!$B$16,"Sedang","Relatif Longgar"))))</x:f>
        <x:v>Relatif Longgar</x:v>
      </x:c>
      <x:c r="N4567" s="66" t="str">
        <x:v>Tidak Ada</x:v>
      </x:c>
      <x:c r="O4567" s="66" t="str">
        <x:v>Sulawesi Utara</x:v>
      </x:c>
      <x:c r="P4567" s="66" t="str">
        <x:v>Kabupaten Kepulauan Sangihe</x:v>
      </x:c>
      <x:c r="Q4567" s="66" t="str">
        <x:v>https://snpmb.id/snbp/daya-tampung-snbp</x:v>
      </x:c>
      <x:c r="R4567" s="66" t="str">
        <x:v>https://sidatagrun-public-1076756628210.asia-southeast2.run.app/ptn_sn.php?ptn=728</x:v>
      </x:c>
    </x:row>
    <x:row r="4568">
      <x:c r="A4568" s="87" t="n">
        <x:v>4812</x:v>
      </x:c>
      <x:c r="B4568" s="66" t="n">
        <x:v>728</x:v>
      </x:c>
      <x:c r="C4568" s="66" t="str">
        <x:v>POLITEKNIK NEGERI NUSA UTARA</x:v>
      </x:c>
      <x:c r="D4568" s="66" t="str">
        <x:v>PTN Vokasi</x:v>
      </x:c>
      <x:c r="E4568" s="66" t="str">
        <x:v>27283003</x:v>
      </x:c>
      <x:c r="F4568" s="66" t="str">
        <x:v>TEKNOLOGI BUDIDAYA IKAN</x:v>
      </x:c>
      <x:c r="G4568" s="66" t="str">
        <x:v>Diploma Tiga</x:v>
      </x:c>
      <x:c r="H4568" s="87" t="n">
        <x:v>8</x:v>
      </x:c>
      <x:c r="I4568" s="87" t="n">
        <x:v>2</x:v>
      </x:c>
      <x:c r="J4568" s="68" t="n">
        <x:f>IFERROR(H4568/I4568,"")</x:f>
        <x:v>4</x:v>
      </x:c>
      <x:c r="K4568" s="69" t="n">
        <x:f>IFERROR(I4568/H4568,"")</x:f>
        <x:v>0.25</x:v>
      </x:c>
      <x:c r="L4568" s="66" t="str">
        <x:f>IF(K4568="","","1 : "&amp;TEXT(K4568,"0.0"))</x:f>
        <x:v>1 : 0.3</x:v>
      </x:c>
      <x:c r="M4568" s="66" t="str">
        <x:f>IF(J4568="","Baru/Tanpa Data",IF(J4568&lt;='Catatan &amp; Sumber'!$B$14,"Sangat Ketat",IF(J4568&lt;='Catatan &amp; Sumber'!$B$15,"Ketat",IF(J4568&lt;='Catatan &amp; Sumber'!$B$16,"Sedang","Relatif Longgar"))))</x:f>
        <x:v>Relatif Longgar</x:v>
      </x:c>
      <x:c r="N4568" s="66" t="str">
        <x:v>Tidak Ada</x:v>
      </x:c>
      <x:c r="O4568" s="66" t="str">
        <x:v>Sulawesi Utara</x:v>
      </x:c>
      <x:c r="P4568" s="66" t="str">
        <x:v>Kabupaten Kepulauan Sangihe</x:v>
      </x:c>
      <x:c r="Q4568" s="66" t="str">
        <x:v>https://snpmb.id/snbp/daya-tampung-snbp</x:v>
      </x:c>
      <x:c r="R4568" s="66" t="str">
        <x:v>https://sidatagrun-public-1076756628210.asia-southeast2.run.app/ptn_sn.php?ptn=728</x:v>
      </x:c>
    </x:row>
    <x:row r="4569">
      <x:c r="A4569" s="87" t="n">
        <x:v>4305</x:v>
      </x:c>
      <x:c r="B4569" s="66" t="n">
        <x:v>728</x:v>
      </x:c>
      <x:c r="C4569" s="66" t="str">
        <x:v>POLITEKNIK NEGERI NUSA UTARA</x:v>
      </x:c>
      <x:c r="D4569" s="66" t="str">
        <x:v>PTN Vokasi</x:v>
      </x:c>
      <x:c r="E4569" s="66" t="str">
        <x:v>27283004</x:v>
      </x:c>
      <x:c r="F4569" s="66" t="str">
        <x:v>SISTEM INFORMASI</x:v>
      </x:c>
      <x:c r="G4569" s="66" t="str">
        <x:v>Diploma Tiga</x:v>
      </x:c>
      <x:c r="H4569" s="87" t="n">
        <x:v>9</x:v>
      </x:c>
      <x:c r="I4569" s="87" t="n">
        <x:v>9</x:v>
      </x:c>
      <x:c r="J4569" s="68" t="n">
        <x:f>IFERROR(H4569/I4569,"")</x:f>
        <x:v>1</x:v>
      </x:c>
      <x:c r="K4569" s="69" t="n">
        <x:f>IFERROR(I4569/H4569,"")</x:f>
        <x:v>1</x:v>
      </x:c>
      <x:c r="L4569" s="66" t="str">
        <x:f>IF(K4569="","","1 : "&amp;TEXT(K4569,"0.0"))</x:f>
        <x:v>1 : 1.0</x:v>
      </x:c>
      <x:c r="M4569" s="66" t="str">
        <x:f>IF(J4569="","Baru/Tanpa Data",IF(J4569&lt;='Catatan &amp; Sumber'!$B$14,"Sangat Ketat",IF(J4569&lt;='Catatan &amp; Sumber'!$B$15,"Ketat",IF(J4569&lt;='Catatan &amp; Sumber'!$B$16,"Sedang","Relatif Longgar"))))</x:f>
        <x:v>Relatif Longgar</x:v>
      </x:c>
      <x:c r="N4569" s="66" t="str">
        <x:v>Tidak Ada</x:v>
      </x:c>
      <x:c r="O4569" s="66" t="str">
        <x:v>Sulawesi Utara</x:v>
      </x:c>
      <x:c r="P4569" s="66" t="str">
        <x:v>Kabupaten Kepulauan Sangihe</x:v>
      </x:c>
      <x:c r="Q4569" s="66" t="str">
        <x:v>https://snpmb.id/snbp/daya-tampung-snbp</x:v>
      </x:c>
      <x:c r="R4569" s="66" t="str">
        <x:v>https://sidatagrun-public-1076756628210.asia-southeast2.run.app/ptn_sn.php?ptn=728</x:v>
      </x:c>
    </x:row>
    <x:row r="4570">
      <x:c r="A4570" s="87" t="n">
        <x:v>2340</x:v>
      </x:c>
      <x:c r="B4570" s="66" t="n">
        <x:v>731</x:v>
      </x:c>
      <x:c r="C4570" s="66" t="str">
        <x:v>UNIVERSITAS TADULAKO</x:v>
      </x:c>
      <x:c r="D4570" s="66" t="str">
        <x:v>PTN Akademik</x:v>
      </x:c>
      <x:c r="E4570" s="66" t="str">
        <x:v>17311001</x:v>
      </x:c>
      <x:c r="F4570" s="66" t="str">
        <x:v>PEND. BIOLOGI</x:v>
      </x:c>
      <x:c r="G4570" s="66" t="str">
        <x:v>Sarjana</x:v>
      </x:c>
      <x:c r="H4570" s="87" t="n">
        <x:v>35</x:v>
      </x:c>
      <x:c r="I4570" s="87" t="n">
        <x:v>186</x:v>
      </x:c>
      <x:c r="J4570" s="68" t="n">
        <x:f>IFERROR(H4570/I4570,"")</x:f>
        <x:v>0.1881720430107527</x:v>
      </x:c>
      <x:c r="K4570" s="69" t="n">
        <x:f>IFERROR(I4570/H4570,"")</x:f>
        <x:v>5.314285714285714</x:v>
      </x:c>
      <x:c r="L4570" s="66" t="str">
        <x:f>IF(K4570="","","1 : "&amp;TEXT(K4570,"0.0"))</x:f>
        <x:v>1 : 5.3</x:v>
      </x:c>
      <x:c r="M4570" s="66" t="str">
        <x:f>IF(J4570="","Baru/Tanpa Data",IF(J4570&lt;='Catatan &amp; Sumber'!$B$14,"Sangat Ketat",IF(J4570&lt;='Catatan &amp; Sumber'!$B$15,"Ketat",IF(J4570&lt;='Catatan &amp; Sumber'!$B$16,"Sedang","Relatif Longgar"))))</x:f>
        <x:v>Relatif Longgar</x:v>
      </x:c>
      <x:c r="N4570" s="66" t="str">
        <x:v>Tidak Ada</x:v>
      </x:c>
      <x:c r="O4570" s="66" t="str">
        <x:v>Sulawesi Tengah</x:v>
      </x:c>
      <x:c r="P4570" s="66" t="str">
        <x:v>Kota Palu</x:v>
      </x:c>
      <x:c r="Q4570" s="66" t="str">
        <x:v>https://snpmb.id/snbp/daya-tampung-snbp</x:v>
      </x:c>
      <x:c r="R4570" s="66" t="str">
        <x:v>https://sidatagrun-public-1076756628210.asia-southeast2.run.app/ptn_sn.php?ptn=731</x:v>
      </x:c>
    </x:row>
    <x:row r="4571">
      <x:c r="A4571" s="87" t="n">
        <x:v>2495</x:v>
      </x:c>
      <x:c r="B4571" s="66" t="n">
        <x:v>731</x:v>
      </x:c>
      <x:c r="C4571" s="66" t="str">
        <x:v>UNIVERSITAS TADULAKO</x:v>
      </x:c>
      <x:c r="D4571" s="66" t="str">
        <x:v>PTN Akademik</x:v>
      </x:c>
      <x:c r="E4571" s="66" t="str">
        <x:v>17311002</x:v>
      </x:c>
      <x:c r="F4571" s="66" t="str">
        <x:v>PEND. MATEMATIKA</x:v>
      </x:c>
      <x:c r="G4571" s="66" t="str">
        <x:v>Sarjana</x:v>
      </x:c>
      <x:c r="H4571" s="87" t="n">
        <x:v>45</x:v>
      </x:c>
      <x:c r="I4571" s="87" t="n">
        <x:v>214</x:v>
      </x:c>
      <x:c r="J4571" s="68" t="n">
        <x:f>IFERROR(H4571/I4571,"")</x:f>
        <x:v>0.2102803738317757</x:v>
      </x:c>
      <x:c r="K4571" s="69" t="n">
        <x:f>IFERROR(I4571/H4571,"")</x:f>
        <x:v>4.7555555555555555</x:v>
      </x:c>
      <x:c r="L4571" s="66" t="str">
        <x:f>IF(K4571="","","1 : "&amp;TEXT(K4571,"0.0"))</x:f>
        <x:v>1 : 4.8</x:v>
      </x:c>
      <x:c r="M4571" s="66" t="str">
        <x:f>IF(J4571="","Baru/Tanpa Data",IF(J4571&lt;='Catatan &amp; Sumber'!$B$14,"Sangat Ketat",IF(J4571&lt;='Catatan &amp; Sumber'!$B$15,"Ketat",IF(J4571&lt;='Catatan &amp; Sumber'!$B$16,"Sedang","Relatif Longgar"))))</x:f>
        <x:v>Relatif Longgar</x:v>
      </x:c>
      <x:c r="N4571" s="66" t="str">
        <x:v>Tidak Ada</x:v>
      </x:c>
      <x:c r="O4571" s="66" t="str">
        <x:v>Sulawesi Tengah</x:v>
      </x:c>
      <x:c r="P4571" s="66" t="str">
        <x:v>Kota Palu</x:v>
      </x:c>
      <x:c r="Q4571" s="66" t="str">
        <x:v>https://snpmb.id/snbp/daya-tampung-snbp</x:v>
      </x:c>
      <x:c r="R4571" s="66" t="str">
        <x:v>https://sidatagrun-public-1076756628210.asia-southeast2.run.app/ptn_sn.php?ptn=731</x:v>
      </x:c>
    </x:row>
    <x:row r="4572">
      <x:c r="A4572" s="87" t="n">
        <x:v>4281</x:v>
      </x:c>
      <x:c r="B4572" s="66" t="n">
        <x:v>731</x:v>
      </x:c>
      <x:c r="C4572" s="66" t="str">
        <x:v>UNIVERSITAS TADULAKO</x:v>
      </x:c>
      <x:c r="D4572" s="66" t="str">
        <x:v>PTN Akademik</x:v>
      </x:c>
      <x:c r="E4572" s="66" t="str">
        <x:v>17311003</x:v>
      </x:c>
      <x:c r="F4572" s="66" t="str">
        <x:v>PEND. FISIKA</x:v>
      </x:c>
      <x:c r="G4572" s="66" t="str">
        <x:v>Sarjana</x:v>
      </x:c>
      <x:c r="H4572" s="87" t="n">
        <x:v>50</x:v>
      </x:c>
      <x:c r="I4572" s="87" t="n">
        <x:v>53</x:v>
      </x:c>
      <x:c r="J4572" s="68" t="n">
        <x:f>IFERROR(H4572/I4572,"")</x:f>
        <x:v>0.9433962264150944</x:v>
      </x:c>
      <x:c r="K4572" s="69" t="n">
        <x:f>IFERROR(I4572/H4572,"")</x:f>
        <x:v>1.06</x:v>
      </x:c>
      <x:c r="L4572" s="66" t="str">
        <x:f>IF(K4572="","","1 : "&amp;TEXT(K4572,"0.0"))</x:f>
        <x:v>1 : 1.1</x:v>
      </x:c>
      <x:c r="M4572" s="66" t="str">
        <x:f>IF(J4572="","Baru/Tanpa Data",IF(J4572&lt;='Catatan &amp; Sumber'!$B$14,"Sangat Ketat",IF(J4572&lt;='Catatan &amp; Sumber'!$B$15,"Ketat",IF(J4572&lt;='Catatan &amp; Sumber'!$B$16,"Sedang","Relatif Longgar"))))</x:f>
        <x:v>Relatif Longgar</x:v>
      </x:c>
      <x:c r="N4572" s="66" t="str">
        <x:v>Tidak Ada</x:v>
      </x:c>
      <x:c r="O4572" s="66" t="str">
        <x:v>Sulawesi Tengah</x:v>
      </x:c>
      <x:c r="P4572" s="66" t="str">
        <x:v>Kota Palu</x:v>
      </x:c>
      <x:c r="Q4572" s="66" t="str">
        <x:v>https://snpmb.id/snbp/daya-tampung-snbp</x:v>
      </x:c>
      <x:c r="R4572" s="66" t="str">
        <x:v>https://sidatagrun-public-1076756628210.asia-southeast2.run.app/ptn_sn.php?ptn=731</x:v>
      </x:c>
    </x:row>
    <x:row r="4573">
      <x:c r="A4573" s="87" t="n">
        <x:v>3713</x:v>
      </x:c>
      <x:c r="B4573" s="66" t="n">
        <x:v>731</x:v>
      </x:c>
      <x:c r="C4573" s="66" t="str">
        <x:v>UNIVERSITAS TADULAKO</x:v>
      </x:c>
      <x:c r="D4573" s="66" t="str">
        <x:v>PTN Akademik</x:v>
      </x:c>
      <x:c r="E4573" s="66" t="str">
        <x:v>17311004</x:v>
      </x:c>
      <x:c r="F4573" s="66" t="str">
        <x:v>PEND. KIMIA</x:v>
      </x:c>
      <x:c r="G4573" s="66" t="str">
        <x:v>Sarjana</x:v>
      </x:c>
      <x:c r="H4573" s="87" t="n">
        <x:v>36</x:v>
      </x:c>
      <x:c r="I4573" s="87" t="n">
        <x:v>69</x:v>
      </x:c>
      <x:c r="J4573" s="68" t="n">
        <x:f>IFERROR(H4573/I4573,"")</x:f>
        <x:v>0.5217391304347826</x:v>
      </x:c>
      <x:c r="K4573" s="69" t="n">
        <x:f>IFERROR(I4573/H4573,"")</x:f>
        <x:v>1.9166666666666667</x:v>
      </x:c>
      <x:c r="L4573" s="66" t="str">
        <x:f>IF(K4573="","","1 : "&amp;TEXT(K4573,"0.0"))</x:f>
        <x:v>1 : 1.9</x:v>
      </x:c>
      <x:c r="M4573" s="66" t="str">
        <x:f>IF(J4573="","Baru/Tanpa Data",IF(J4573&lt;='Catatan &amp; Sumber'!$B$14,"Sangat Ketat",IF(J4573&lt;='Catatan &amp; Sumber'!$B$15,"Ketat",IF(J4573&lt;='Catatan &amp; Sumber'!$B$16,"Sedang","Relatif Longgar"))))</x:f>
        <x:v>Relatif Longgar</x:v>
      </x:c>
      <x:c r="N4573" s="66" t="str">
        <x:v>Tidak Ada</x:v>
      </x:c>
      <x:c r="O4573" s="66" t="str">
        <x:v>Sulawesi Tengah</x:v>
      </x:c>
      <x:c r="P4573" s="66" t="str">
        <x:v>Kota Palu</x:v>
      </x:c>
      <x:c r="Q4573" s="66" t="str">
        <x:v>https://snpmb.id/snbp/daya-tampung-snbp</x:v>
      </x:c>
      <x:c r="R4573" s="66" t="str">
        <x:v>https://sidatagrun-public-1076756628210.asia-southeast2.run.app/ptn_sn.php?ptn=731</x:v>
      </x:c>
    </x:row>
    <x:row r="4574">
      <x:c r="A4574" s="87" t="n">
        <x:v>3462</x:v>
      </x:c>
      <x:c r="B4574" s="66" t="n">
        <x:v>731</x:v>
      </x:c>
      <x:c r="C4574" s="66" t="str">
        <x:v>UNIVERSITAS TADULAKO</x:v>
      </x:c>
      <x:c r="D4574" s="66" t="str">
        <x:v>PTN Akademik</x:v>
      </x:c>
      <x:c r="E4574" s="66" t="str">
        <x:v>17311005</x:v>
      </x:c>
      <x:c r="F4574" s="66" t="str">
        <x:v>AGROTEKNOLOGI</x:v>
      </x:c>
      <x:c r="G4574" s="66" t="str">
        <x:v>Sarjana</x:v>
      </x:c>
      <x:c r="H4574" s="87" t="n">
        <x:v>70</x:v>
      </x:c>
      <x:c r="I4574" s="87" t="n">
        <x:v>166</x:v>
      </x:c>
      <x:c r="J4574" s="68" t="n">
        <x:f>IFERROR(H4574/I4574,"")</x:f>
        <x:v>0.42168674698795183</x:v>
      </x:c>
      <x:c r="K4574" s="69" t="n">
        <x:f>IFERROR(I4574/H4574,"")</x:f>
        <x:v>2.3714285714285714</x:v>
      </x:c>
      <x:c r="L4574" s="66" t="str">
        <x:f>IF(K4574="","","1 : "&amp;TEXT(K4574,"0.0"))</x:f>
        <x:v>1 : 2.4</x:v>
      </x:c>
      <x:c r="M4574" s="66" t="str">
        <x:f>IF(J4574="","Baru/Tanpa Data",IF(J4574&lt;='Catatan &amp; Sumber'!$B$14,"Sangat Ketat",IF(J4574&lt;='Catatan &amp; Sumber'!$B$15,"Ketat",IF(J4574&lt;='Catatan &amp; Sumber'!$B$16,"Sedang","Relatif Longgar"))))</x:f>
        <x:v>Relatif Longgar</x:v>
      </x:c>
      <x:c r="N4574" s="66" t="str">
        <x:v>Tidak Ada</x:v>
      </x:c>
      <x:c r="O4574" s="66" t="str">
        <x:v>Sulawesi Tengah</x:v>
      </x:c>
      <x:c r="P4574" s="66" t="str">
        <x:v>Kota Palu</x:v>
      </x:c>
      <x:c r="Q4574" s="66" t="str">
        <x:v>https://snpmb.id/snbp/daya-tampung-snbp</x:v>
      </x:c>
      <x:c r="R4574" s="66" t="str">
        <x:v>https://sidatagrun-public-1076756628210.asia-southeast2.run.app/ptn_sn.php?ptn=731</x:v>
      </x:c>
    </x:row>
    <x:row r="4575">
      <x:c r="A4575" s="87" t="n">
        <x:v>4074</x:v>
      </x:c>
      <x:c r="B4575" s="66" t="n">
        <x:v>731</x:v>
      </x:c>
      <x:c r="C4575" s="66" t="str">
        <x:v>UNIVERSITAS TADULAKO</x:v>
      </x:c>
      <x:c r="D4575" s="66" t="str">
        <x:v>PTN Akademik</x:v>
      </x:c>
      <x:c r="E4575" s="66" t="str">
        <x:v>17311006</x:v>
      </x:c>
      <x:c r="F4575" s="66" t="str">
        <x:v>KEHUTANAN</x:v>
      </x:c>
      <x:c r="G4575" s="66" t="str">
        <x:v>Sarjana</x:v>
      </x:c>
      <x:c r="H4575" s="87" t="n">
        <x:v>85</x:v>
      </x:c>
      <x:c r="I4575" s="87" t="n">
        <x:v>115</x:v>
      </x:c>
      <x:c r="J4575" s="68" t="n">
        <x:f>IFERROR(H4575/I4575,"")</x:f>
        <x:v>0.7391304347826086</x:v>
      </x:c>
      <x:c r="K4575" s="69" t="n">
        <x:f>IFERROR(I4575/H4575,"")</x:f>
        <x:v>1.3529411764705883</x:v>
      </x:c>
      <x:c r="L4575" s="66" t="str">
        <x:f>IF(K4575="","","1 : "&amp;TEXT(K4575,"0.0"))</x:f>
        <x:v>1 : 1.4</x:v>
      </x:c>
      <x:c r="M4575" s="66" t="str">
        <x:f>IF(J4575="","Baru/Tanpa Data",IF(J4575&lt;='Catatan &amp; Sumber'!$B$14,"Sangat Ketat",IF(J4575&lt;='Catatan &amp; Sumber'!$B$15,"Ketat",IF(J4575&lt;='Catatan &amp; Sumber'!$B$16,"Sedang","Relatif Longgar"))))</x:f>
        <x:v>Relatif Longgar</x:v>
      </x:c>
      <x:c r="N4575" s="66" t="str">
        <x:v>Tidak Ada</x:v>
      </x:c>
      <x:c r="O4575" s="66" t="str">
        <x:v>Sulawesi Tengah</x:v>
      </x:c>
      <x:c r="P4575" s="66" t="str">
        <x:v>Kota Palu</x:v>
      </x:c>
      <x:c r="Q4575" s="66" t="str">
        <x:v>https://snpmb.id/snbp/daya-tampung-snbp</x:v>
      </x:c>
      <x:c r="R4575" s="66" t="str">
        <x:v>https://sidatagrun-public-1076756628210.asia-southeast2.run.app/ptn_sn.php?ptn=731</x:v>
      </x:c>
    </x:row>
    <x:row r="4576">
      <x:c r="A4576" s="87" t="n">
        <x:v>2822</x:v>
      </x:c>
      <x:c r="B4576" s="66" t="n">
        <x:v>731</x:v>
      </x:c>
      <x:c r="C4576" s="66" t="str">
        <x:v>UNIVERSITAS TADULAKO</x:v>
      </x:c>
      <x:c r="D4576" s="66" t="str">
        <x:v>PTN Akademik</x:v>
      </x:c>
      <x:c r="E4576" s="66" t="str">
        <x:v>17311007</x:v>
      </x:c>
      <x:c r="F4576" s="66" t="str">
        <x:v>AGRIBISNIS</x:v>
      </x:c>
      <x:c r="G4576" s="66" t="str">
        <x:v>Sarjana</x:v>
      </x:c>
      <x:c r="H4576" s="87" t="n">
        <x:v>70</x:v>
      </x:c>
      <x:c r="I4576" s="87" t="n">
        <x:v>268</x:v>
      </x:c>
      <x:c r="J4576" s="68" t="n">
        <x:f>IFERROR(H4576/I4576,"")</x:f>
        <x:v>0.26119402985074625</x:v>
      </x:c>
      <x:c r="K4576" s="69" t="n">
        <x:f>IFERROR(I4576/H4576,"")</x:f>
        <x:v>3.8285714285714287</x:v>
      </x:c>
      <x:c r="L4576" s="66" t="str">
        <x:f>IF(K4576="","","1 : "&amp;TEXT(K4576,"0.0"))</x:f>
        <x:v>1 : 3.8</x:v>
      </x:c>
      <x:c r="M4576" s="66" t="str">
        <x:f>IF(J4576="","Baru/Tanpa Data",IF(J4576&lt;='Catatan &amp; Sumber'!$B$14,"Sangat Ketat",IF(J4576&lt;='Catatan &amp; Sumber'!$B$15,"Ketat",IF(J4576&lt;='Catatan &amp; Sumber'!$B$16,"Sedang","Relatif Longgar"))))</x:f>
        <x:v>Relatif Longgar</x:v>
      </x:c>
      <x:c r="N4576" s="66" t="str">
        <x:v>Tidak Ada</x:v>
      </x:c>
      <x:c r="O4576" s="66" t="str">
        <x:v>Sulawesi Tengah</x:v>
      </x:c>
      <x:c r="P4576" s="66" t="str">
        <x:v>Kota Palu</x:v>
      </x:c>
      <x:c r="Q4576" s="66" t="str">
        <x:v>https://snpmb.id/snbp/daya-tampung-snbp</x:v>
      </x:c>
      <x:c r="R4576" s="66" t="str">
        <x:v>https://sidatagrun-public-1076756628210.asia-southeast2.run.app/ptn_sn.php?ptn=731</x:v>
      </x:c>
    </x:row>
    <x:row r="4577">
      <x:c r="A4577" s="87" t="n">
        <x:v>4155</x:v>
      </x:c>
      <x:c r="B4577" s="66" t="n">
        <x:v>731</x:v>
      </x:c>
      <x:c r="C4577" s="66" t="str">
        <x:v>UNIVERSITAS TADULAKO</x:v>
      </x:c>
      <x:c r="D4577" s="66" t="str">
        <x:v>PTN Akademik</x:v>
      </x:c>
      <x:c r="E4577" s="66" t="str">
        <x:v>17311008</x:v>
      </x:c>
      <x:c r="F4577" s="66" t="str">
        <x:v>PETERNAKAN</x:v>
      </x:c>
      <x:c r="G4577" s="66" t="str">
        <x:v>Sarjana</x:v>
      </x:c>
      <x:c r="H4577" s="87" t="n">
        <x:v>75</x:v>
      </x:c>
      <x:c r="I4577" s="87" t="n">
        <x:v>92</x:v>
      </x:c>
      <x:c r="J4577" s="68" t="n">
        <x:f>IFERROR(H4577/I4577,"")</x:f>
        <x:v>0.8152173913043478</x:v>
      </x:c>
      <x:c r="K4577" s="69" t="n">
        <x:f>IFERROR(I4577/H4577,"")</x:f>
        <x:v>1.2266666666666666</x:v>
      </x:c>
      <x:c r="L4577" s="66" t="str">
        <x:f>IF(K4577="","","1 : "&amp;TEXT(K4577,"0.0"))</x:f>
        <x:v>1 : 1.2</x:v>
      </x:c>
      <x:c r="M4577" s="66" t="str">
        <x:f>IF(J4577="","Baru/Tanpa Data",IF(J4577&lt;='Catatan &amp; Sumber'!$B$14,"Sangat Ketat",IF(J4577&lt;='Catatan &amp; Sumber'!$B$15,"Ketat",IF(J4577&lt;='Catatan &amp; Sumber'!$B$16,"Sedang","Relatif Longgar"))))</x:f>
        <x:v>Relatif Longgar</x:v>
      </x:c>
      <x:c r="N4577" s="66" t="str">
        <x:v>Tidak Ada</x:v>
      </x:c>
      <x:c r="O4577" s="66" t="str">
        <x:v>Sulawesi Tengah</x:v>
      </x:c>
      <x:c r="P4577" s="66" t="str">
        <x:v>Kota Palu</x:v>
      </x:c>
      <x:c r="Q4577" s="66" t="str">
        <x:v>https://snpmb.id/snbp/daya-tampung-snbp</x:v>
      </x:c>
      <x:c r="R4577" s="66" t="str">
        <x:v>https://sidatagrun-public-1076756628210.asia-southeast2.run.app/ptn_sn.php?ptn=731</x:v>
      </x:c>
    </x:row>
    <x:row r="4578">
      <x:c r="A4578" s="87" t="n">
        <x:v>1914</x:v>
      </x:c>
      <x:c r="B4578" s="66" t="n">
        <x:v>731</x:v>
      </x:c>
      <x:c r="C4578" s="66" t="str">
        <x:v>UNIVERSITAS TADULAKO</x:v>
      </x:c>
      <x:c r="D4578" s="66" t="str">
        <x:v>PTN Akademik</x:v>
      </x:c>
      <x:c r="E4578" s="66" t="str">
        <x:v>17311009</x:v>
      </x:c>
      <x:c r="F4578" s="66" t="str">
        <x:v>TEKNIK SIPIL</x:v>
      </x:c>
      <x:c r="G4578" s="66" t="str">
        <x:v>Sarjana</x:v>
      </x:c>
      <x:c r="H4578" s="87" t="n">
        <x:v>60</x:v>
      </x:c>
      <x:c r="I4578" s="87" t="n">
        <x:v>422</x:v>
      </x:c>
      <x:c r="J4578" s="68" t="n">
        <x:f>IFERROR(H4578/I4578,"")</x:f>
        <x:v>0.14218009478672985</x:v>
      </x:c>
      <x:c r="K4578" s="69" t="n">
        <x:f>IFERROR(I4578/H4578,"")</x:f>
        <x:v>7.033333333333333</x:v>
      </x:c>
      <x:c r="L4578" s="66" t="str">
        <x:f>IF(K4578="","","1 : "&amp;TEXT(K4578,"0.0"))</x:f>
        <x:v>1 : 7.0</x:v>
      </x:c>
      <x:c r="M4578" s="66" t="str">
        <x:f>IF(J4578="","Baru/Tanpa Data",IF(J4578&lt;='Catatan &amp; Sumber'!$B$14,"Sangat Ketat",IF(J4578&lt;='Catatan &amp; Sumber'!$B$15,"Ketat",IF(J4578&lt;='Catatan &amp; Sumber'!$B$16,"Sedang","Relatif Longgar"))))</x:f>
        <x:v>Relatif Longgar</x:v>
      </x:c>
      <x:c r="N4578" s="66" t="str">
        <x:v>Tidak Ada</x:v>
      </x:c>
      <x:c r="O4578" s="66" t="str">
        <x:v>Sulawesi Tengah</x:v>
      </x:c>
      <x:c r="P4578" s="66" t="str">
        <x:v>Kota Palu</x:v>
      </x:c>
      <x:c r="Q4578" s="66" t="str">
        <x:v>https://snpmb.id/snbp/daya-tampung-snbp</x:v>
      </x:c>
      <x:c r="R4578" s="66" t="str">
        <x:v>https://sidatagrun-public-1076756628210.asia-southeast2.run.app/ptn_sn.php?ptn=731</x:v>
      </x:c>
    </x:row>
    <x:row r="4579">
      <x:c r="A4579" s="87" t="n">
        <x:v>2870</x:v>
      </x:c>
      <x:c r="B4579" s="66" t="n">
        <x:v>731</x:v>
      </x:c>
      <x:c r="C4579" s="66" t="str">
        <x:v>UNIVERSITAS TADULAKO</x:v>
      </x:c>
      <x:c r="D4579" s="66" t="str">
        <x:v>PTN Akademik</x:v>
      </x:c>
      <x:c r="E4579" s="66" t="str">
        <x:v>17311010</x:v>
      </x:c>
      <x:c r="F4579" s="66" t="str">
        <x:v>TEKNIK ARSITEKTUR</x:v>
      </x:c>
      <x:c r="G4579" s="66" t="str">
        <x:v>Sarjana</x:v>
      </x:c>
      <x:c r="H4579" s="87" t="n">
        <x:v>36</x:v>
      </x:c>
      <x:c r="I4579" s="87" t="n">
        <x:v>133</x:v>
      </x:c>
      <x:c r="J4579" s="68" t="n">
        <x:f>IFERROR(H4579/I4579,"")</x:f>
        <x:v>0.2706766917293233</x:v>
      </x:c>
      <x:c r="K4579" s="69" t="n">
        <x:f>IFERROR(I4579/H4579,"")</x:f>
        <x:v>3.6944444444444446</x:v>
      </x:c>
      <x:c r="L4579" s="66" t="str">
        <x:f>IF(K4579="","","1 : "&amp;TEXT(K4579,"0.0"))</x:f>
        <x:v>1 : 3.7</x:v>
      </x:c>
      <x:c r="M4579" s="66" t="str">
        <x:f>IF(J4579="","Baru/Tanpa Data",IF(J4579&lt;='Catatan &amp; Sumber'!$B$14,"Sangat Ketat",IF(J4579&lt;='Catatan &amp; Sumber'!$B$15,"Ketat",IF(J4579&lt;='Catatan &amp; Sumber'!$B$16,"Sedang","Relatif Longgar"))))</x:f>
        <x:v>Relatif Longgar</x:v>
      </x:c>
      <x:c r="N4579" s="66" t="str">
        <x:v>Tidak Ada</x:v>
      </x:c>
      <x:c r="O4579" s="66" t="str">
        <x:v>Sulawesi Tengah</x:v>
      </x:c>
      <x:c r="P4579" s="66" t="str">
        <x:v>Kota Palu</x:v>
      </x:c>
      <x:c r="Q4579" s="66" t="str">
        <x:v>https://snpmb.id/snbp/daya-tampung-snbp</x:v>
      </x:c>
      <x:c r="R4579" s="66" t="str">
        <x:v>https://sidatagrun-public-1076756628210.asia-southeast2.run.app/ptn_sn.php?ptn=731</x:v>
      </x:c>
    </x:row>
    <x:row r="4580">
      <x:c r="A4580" s="87" t="n">
        <x:v>2632</x:v>
      </x:c>
      <x:c r="B4580" s="66" t="n">
        <x:v>731</x:v>
      </x:c>
      <x:c r="C4580" s="66" t="str">
        <x:v>UNIVERSITAS TADULAKO</x:v>
      </x:c>
      <x:c r="D4580" s="66" t="str">
        <x:v>PTN Akademik</x:v>
      </x:c>
      <x:c r="E4580" s="66" t="str">
        <x:v>17311011</x:v>
      </x:c>
      <x:c r="F4580" s="66" t="str">
        <x:v>TEKNIK MESIN</x:v>
      </x:c>
      <x:c r="G4580" s="66" t="str">
        <x:v>Sarjana</x:v>
      </x:c>
      <x:c r="H4580" s="87" t="n">
        <x:v>36</x:v>
      </x:c>
      <x:c r="I4580" s="87" t="n">
        <x:v>155</x:v>
      </x:c>
      <x:c r="J4580" s="68" t="n">
        <x:f>IFERROR(H4580/I4580,"")</x:f>
        <x:v>0.23225806451612904</x:v>
      </x:c>
      <x:c r="K4580" s="69" t="n">
        <x:f>IFERROR(I4580/H4580,"")</x:f>
        <x:v>4.305555555555555</x:v>
      </x:c>
      <x:c r="L4580" s="66" t="str">
        <x:f>IF(K4580="","","1 : "&amp;TEXT(K4580,"0.0"))</x:f>
        <x:v>1 : 4.3</x:v>
      </x:c>
      <x:c r="M4580" s="66" t="str">
        <x:f>IF(J4580="","Baru/Tanpa Data",IF(J4580&lt;='Catatan &amp; Sumber'!$B$14,"Sangat Ketat",IF(J4580&lt;='Catatan &amp; Sumber'!$B$15,"Ketat",IF(J4580&lt;='Catatan &amp; Sumber'!$B$16,"Sedang","Relatif Longgar"))))</x:f>
        <x:v>Relatif Longgar</x:v>
      </x:c>
      <x:c r="N4580" s="66" t="str">
        <x:v>Tidak Ada</x:v>
      </x:c>
      <x:c r="O4580" s="66" t="str">
        <x:v>Sulawesi Tengah</x:v>
      </x:c>
      <x:c r="P4580" s="66" t="str">
        <x:v>Kota Palu</x:v>
      </x:c>
      <x:c r="Q4580" s="66" t="str">
        <x:v>https://snpmb.id/snbp/daya-tampung-snbp</x:v>
      </x:c>
      <x:c r="R4580" s="66" t="str">
        <x:v>https://sidatagrun-public-1076756628210.asia-southeast2.run.app/ptn_sn.php?ptn=731</x:v>
      </x:c>
    </x:row>
    <x:row r="4581">
      <x:c r="A4581" s="87" t="n">
        <x:v>2973</x:v>
      </x:c>
      <x:c r="B4581" s="66" t="n">
        <x:v>731</x:v>
      </x:c>
      <x:c r="C4581" s="66" t="str">
        <x:v>UNIVERSITAS TADULAKO</x:v>
      </x:c>
      <x:c r="D4581" s="66" t="str">
        <x:v>PTN Akademik</x:v>
      </x:c>
      <x:c r="E4581" s="66" t="str">
        <x:v>17311012</x:v>
      </x:c>
      <x:c r="F4581" s="66" t="str">
        <x:v>TEKNIK ELEKTRO</x:v>
      </x:c>
      <x:c r="G4581" s="66" t="str">
        <x:v>Sarjana</x:v>
      </x:c>
      <x:c r="H4581" s="87" t="n">
        <x:v>36</x:v>
      </x:c>
      <x:c r="I4581" s="87" t="n">
        <x:v>125</x:v>
      </x:c>
      <x:c r="J4581" s="68" t="n">
        <x:f>IFERROR(H4581/I4581,"")</x:f>
        <x:v>0.288</x:v>
      </x:c>
      <x:c r="K4581" s="69" t="n">
        <x:f>IFERROR(I4581/H4581,"")</x:f>
        <x:v>3.4722222222222223</x:v>
      </x:c>
      <x:c r="L4581" s="66" t="str">
        <x:f>IF(K4581="","","1 : "&amp;TEXT(K4581,"0.0"))</x:f>
        <x:v>1 : 3.5</x:v>
      </x:c>
      <x:c r="M4581" s="66" t="str">
        <x:f>IF(J4581="","Baru/Tanpa Data",IF(J4581&lt;='Catatan &amp; Sumber'!$B$14,"Sangat Ketat",IF(J4581&lt;='Catatan &amp; Sumber'!$B$15,"Ketat",IF(J4581&lt;='Catatan &amp; Sumber'!$B$16,"Sedang","Relatif Longgar"))))</x:f>
        <x:v>Relatif Longgar</x:v>
      </x:c>
      <x:c r="N4581" s="66" t="str">
        <x:v>Tidak Ada</x:v>
      </x:c>
      <x:c r="O4581" s="66" t="str">
        <x:v>Sulawesi Tengah</x:v>
      </x:c>
      <x:c r="P4581" s="66" t="str">
        <x:v>Kota Palu</x:v>
      </x:c>
      <x:c r="Q4581" s="66" t="str">
        <x:v>https://snpmb.id/snbp/daya-tampung-snbp</x:v>
      </x:c>
      <x:c r="R4581" s="66" t="str">
        <x:v>https://sidatagrun-public-1076756628210.asia-southeast2.run.app/ptn_sn.php?ptn=731</x:v>
      </x:c>
    </x:row>
    <x:row r="4582">
      <x:c r="A4582" s="87" t="n">
        <x:v>4354</x:v>
      </x:c>
      <x:c r="B4582" s="66" t="n">
        <x:v>731</x:v>
      </x:c>
      <x:c r="C4582" s="66" t="str">
        <x:v>UNIVERSITAS TADULAKO</x:v>
      </x:c>
      <x:c r="D4582" s="66" t="str">
        <x:v>PTN Akademik</x:v>
      </x:c>
      <x:c r="E4582" s="66" t="str">
        <x:v>17311013</x:v>
      </x:c>
      <x:c r="F4582" s="66" t="str">
        <x:v>FISIKA</x:v>
      </x:c>
      <x:c r="G4582" s="66" t="str">
        <x:v>Sarjana</x:v>
      </x:c>
      <x:c r="H4582" s="87" t="n">
        <x:v>20</x:v>
      </x:c>
      <x:c r="I4582" s="87" t="n">
        <x:v>19</x:v>
      </x:c>
      <x:c r="J4582" s="68" t="n">
        <x:f>IFERROR(H4582/I4582,"")</x:f>
        <x:v>1.0526315789473684</x:v>
      </x:c>
      <x:c r="K4582" s="69" t="n">
        <x:f>IFERROR(I4582/H4582,"")</x:f>
        <x:v>0.95</x:v>
      </x:c>
      <x:c r="L4582" s="66" t="str">
        <x:f>IF(K4582="","","1 : "&amp;TEXT(K4582,"0.0"))</x:f>
        <x:v>1 : 1.0</x:v>
      </x:c>
      <x:c r="M4582" s="66" t="str">
        <x:f>IF(J4582="","Baru/Tanpa Data",IF(J4582&lt;='Catatan &amp; Sumber'!$B$14,"Sangat Ketat",IF(J4582&lt;='Catatan &amp; Sumber'!$B$15,"Ketat",IF(J4582&lt;='Catatan &amp; Sumber'!$B$16,"Sedang","Relatif Longgar"))))</x:f>
        <x:v>Relatif Longgar</x:v>
      </x:c>
      <x:c r="N4582" s="66" t="str">
        <x:v>Tidak Ada</x:v>
      </x:c>
      <x:c r="O4582" s="66" t="str">
        <x:v>Sulawesi Tengah</x:v>
      </x:c>
      <x:c r="P4582" s="66" t="str">
        <x:v>Kota Palu</x:v>
      </x:c>
      <x:c r="Q4582" s="66" t="str">
        <x:v>https://snpmb.id/snbp/daya-tampung-snbp</x:v>
      </x:c>
      <x:c r="R4582" s="66" t="str">
        <x:v>https://sidatagrun-public-1076756628210.asia-southeast2.run.app/ptn_sn.php?ptn=731</x:v>
      </x:c>
    </x:row>
    <x:row r="4583">
      <x:c r="A4583" s="87" t="n">
        <x:v>2829</x:v>
      </x:c>
      <x:c r="B4583" s="66" t="n">
        <x:v>731</x:v>
      </x:c>
      <x:c r="C4583" s="66" t="str">
        <x:v>UNIVERSITAS TADULAKO</x:v>
      </x:c>
      <x:c r="D4583" s="66" t="str">
        <x:v>PTN Akademik</x:v>
      </x:c>
      <x:c r="E4583" s="66" t="str">
        <x:v>17311014</x:v>
      </x:c>
      <x:c r="F4583" s="66" t="str">
        <x:v>MATEMATIKA</x:v>
      </x:c>
      <x:c r="G4583" s="66" t="str">
        <x:v>Sarjana</x:v>
      </x:c>
      <x:c r="H4583" s="87" t="n">
        <x:v>15</x:v>
      </x:c>
      <x:c r="I4583" s="87" t="n">
        <x:v>57</x:v>
      </x:c>
      <x:c r="J4583" s="68" t="n">
        <x:f>IFERROR(H4583/I4583,"")</x:f>
        <x:v>0.2631578947368421</x:v>
      </x:c>
      <x:c r="K4583" s="69" t="n">
        <x:f>IFERROR(I4583/H4583,"")</x:f>
        <x:v>3.8</x:v>
      </x:c>
      <x:c r="L4583" s="66" t="str">
        <x:f>IF(K4583="","","1 : "&amp;TEXT(K4583,"0.0"))</x:f>
        <x:v>1 : 3.8</x:v>
      </x:c>
      <x:c r="M4583" s="66" t="str">
        <x:f>IF(J4583="","Baru/Tanpa Data",IF(J4583&lt;='Catatan &amp; Sumber'!$B$14,"Sangat Ketat",IF(J4583&lt;='Catatan &amp; Sumber'!$B$15,"Ketat",IF(J4583&lt;='Catatan &amp; Sumber'!$B$16,"Sedang","Relatif Longgar"))))</x:f>
        <x:v>Relatif Longgar</x:v>
      </x:c>
      <x:c r="N4583" s="66" t="str">
        <x:v>Tidak Ada</x:v>
      </x:c>
      <x:c r="O4583" s="66" t="str">
        <x:v>Sulawesi Tengah</x:v>
      </x:c>
      <x:c r="P4583" s="66" t="str">
        <x:v>Kota Palu</x:v>
      </x:c>
      <x:c r="Q4583" s="66" t="str">
        <x:v>https://snpmb.id/snbp/daya-tampung-snbp</x:v>
      </x:c>
      <x:c r="R4583" s="66" t="str">
        <x:v>https://sidatagrun-public-1076756628210.asia-southeast2.run.app/ptn_sn.php?ptn=731</x:v>
      </x:c>
    </x:row>
    <x:row r="4584">
      <x:c r="A4584" s="87" t="n">
        <x:v>3677</x:v>
      </x:c>
      <x:c r="B4584" s="66" t="n">
        <x:v>731</x:v>
      </x:c>
      <x:c r="C4584" s="66" t="str">
        <x:v>UNIVERSITAS TADULAKO</x:v>
      </x:c>
      <x:c r="D4584" s="66" t="str">
        <x:v>PTN Akademik</x:v>
      </x:c>
      <x:c r="E4584" s="66" t="str">
        <x:v>17311015</x:v>
      </x:c>
      <x:c r="F4584" s="66" t="str">
        <x:v>KIMIA</x:v>
      </x:c>
      <x:c r="G4584" s="66" t="str">
        <x:v>Sarjana</x:v>
      </x:c>
      <x:c r="H4584" s="87" t="n">
        <x:v>32</x:v>
      </x:c>
      <x:c r="I4584" s="87" t="n">
        <x:v>63</x:v>
      </x:c>
      <x:c r="J4584" s="68" t="n">
        <x:f>IFERROR(H4584/I4584,"")</x:f>
        <x:v>0.5079365079365079</x:v>
      </x:c>
      <x:c r="K4584" s="69" t="n">
        <x:f>IFERROR(I4584/H4584,"")</x:f>
        <x:v>1.96875</x:v>
      </x:c>
      <x:c r="L4584" s="66" t="str">
        <x:f>IF(K4584="","","1 : "&amp;TEXT(K4584,"0.0"))</x:f>
        <x:v>1 : 2.0</x:v>
      </x:c>
      <x:c r="M4584" s="66" t="str">
        <x:f>IF(J4584="","Baru/Tanpa Data",IF(J4584&lt;='Catatan &amp; Sumber'!$B$14,"Sangat Ketat",IF(J4584&lt;='Catatan &amp; Sumber'!$B$15,"Ketat",IF(J4584&lt;='Catatan &amp; Sumber'!$B$16,"Sedang","Relatif Longgar"))))</x:f>
        <x:v>Relatif Longgar</x:v>
      </x:c>
      <x:c r="N4584" s="66" t="str">
        <x:v>Tidak Ada</x:v>
      </x:c>
      <x:c r="O4584" s="66" t="str">
        <x:v>Sulawesi Tengah</x:v>
      </x:c>
      <x:c r="P4584" s="66" t="str">
        <x:v>Kota Palu</x:v>
      </x:c>
      <x:c r="Q4584" s="66" t="str">
        <x:v>https://snpmb.id/snbp/daya-tampung-snbp</x:v>
      </x:c>
      <x:c r="R4584" s="66" t="str">
        <x:v>https://sidatagrun-public-1076756628210.asia-southeast2.run.app/ptn_sn.php?ptn=731</x:v>
      </x:c>
    </x:row>
    <x:row r="4585">
      <x:c r="A4585" s="87" t="n">
        <x:v>3418</x:v>
      </x:c>
      <x:c r="B4585" s="66" t="n">
        <x:v>731</x:v>
      </x:c>
      <x:c r="C4585" s="66" t="str">
        <x:v>UNIVERSITAS TADULAKO</x:v>
      </x:c>
      <x:c r="D4585" s="66" t="str">
        <x:v>PTN Akademik</x:v>
      </x:c>
      <x:c r="E4585" s="66" t="str">
        <x:v>17311016</x:v>
      </x:c>
      <x:c r="F4585" s="66" t="str">
        <x:v>BIOLOGI</x:v>
      </x:c>
      <x:c r="G4585" s="66" t="str">
        <x:v>Sarjana</x:v>
      </x:c>
      <x:c r="H4585" s="87" t="n">
        <x:v>24</x:v>
      </x:c>
      <x:c r="I4585" s="87" t="n">
        <x:v>59</x:v>
      </x:c>
      <x:c r="J4585" s="68" t="n">
        <x:f>IFERROR(H4585/I4585,"")</x:f>
        <x:v>0.4067796610169492</x:v>
      </x:c>
      <x:c r="K4585" s="69" t="n">
        <x:f>IFERROR(I4585/H4585,"")</x:f>
        <x:v>2.4583333333333335</x:v>
      </x:c>
      <x:c r="L4585" s="66" t="str">
        <x:f>IF(K4585="","","1 : "&amp;TEXT(K4585,"0.0"))</x:f>
        <x:v>1 : 2.5</x:v>
      </x:c>
      <x:c r="M4585" s="66" t="str">
        <x:f>IF(J4585="","Baru/Tanpa Data",IF(J4585&lt;='Catatan &amp; Sumber'!$B$14,"Sangat Ketat",IF(J4585&lt;='Catatan &amp; Sumber'!$B$15,"Ketat",IF(J4585&lt;='Catatan &amp; Sumber'!$B$16,"Sedang","Relatif Longgar"))))</x:f>
        <x:v>Relatif Longgar</x:v>
      </x:c>
      <x:c r="N4585" s="66" t="str">
        <x:v>Tidak Ada</x:v>
      </x:c>
      <x:c r="O4585" s="66" t="str">
        <x:v>Sulawesi Tengah</x:v>
      </x:c>
      <x:c r="P4585" s="66" t="str">
        <x:v>Kota Palu</x:v>
      </x:c>
      <x:c r="Q4585" s="66" t="str">
        <x:v>https://snpmb.id/snbp/daya-tampung-snbp</x:v>
      </x:c>
      <x:c r="R4585" s="66" t="str">
        <x:v>https://sidatagrun-public-1076756628210.asia-southeast2.run.app/ptn_sn.php?ptn=731</x:v>
      </x:c>
    </x:row>
    <x:row r="4586">
      <x:c r="A4586" s="87" t="n">
        <x:v>800</x:v>
      </x:c>
      <x:c r="B4586" s="66" t="n">
        <x:v>731</x:v>
      </x:c>
      <x:c r="C4586" s="66" t="str">
        <x:v>UNIVERSITAS TADULAKO</x:v>
      </x:c>
      <x:c r="D4586" s="66" t="str">
        <x:v>PTN Akademik</x:v>
      </x:c>
      <x:c r="E4586" s="66" t="str">
        <x:v>17311017</x:v>
      </x:c>
      <x:c r="F4586" s="66" t="str">
        <x:v>KEDOKTERAN</x:v>
      </x:c>
      <x:c r="G4586" s="66" t="str">
        <x:v>Sarjana</x:v>
      </x:c>
      <x:c r="H4586" s="87" t="n">
        <x:v>41</x:v>
      </x:c>
      <x:c r="I4586" s="87" t="n">
        <x:v>613</x:v>
      </x:c>
      <x:c r="J4586" s="68" t="n">
        <x:f>IFERROR(H4586/I4586,"")</x:f>
        <x:v>0.06688417618270799</x:v>
      </x:c>
      <x:c r="K4586" s="69" t="n">
        <x:f>IFERROR(I4586/H4586,"")</x:f>
        <x:v>14.951219512195122</x:v>
      </x:c>
      <x:c r="L4586" s="66" t="str">
        <x:f>IF(K4586="","","1 : "&amp;TEXT(K4586,"0.0"))</x:f>
        <x:v>1 : 15.0</x:v>
      </x:c>
      <x:c r="M4586" s="66" t="str">
        <x:f>IF(J4586="","Baru/Tanpa Data",IF(J4586&lt;='Catatan &amp; Sumber'!$B$14,"Sangat Ketat",IF(J4586&lt;='Catatan &amp; Sumber'!$B$15,"Ketat",IF(J4586&lt;='Catatan &amp; Sumber'!$B$16,"Sedang","Relatif Longgar"))))</x:f>
        <x:v>Sedang</x:v>
      </x:c>
      <x:c r="N4586" s="66" t="str">
        <x:v>Tidak Ada</x:v>
      </x:c>
      <x:c r="O4586" s="66" t="str">
        <x:v>Sulawesi Tengah</x:v>
      </x:c>
      <x:c r="P4586" s="66" t="str">
        <x:v>Kota Palu</x:v>
      </x:c>
      <x:c r="Q4586" s="66" t="str">
        <x:v>https://snpmb.id/snbp/daya-tampung-snbp</x:v>
      </x:c>
      <x:c r="R4586" s="66" t="str">
        <x:v>https://sidatagrun-public-1076756628210.asia-southeast2.run.app/ptn_sn.php?ptn=731</x:v>
      </x:c>
    </x:row>
    <x:row r="4587">
      <x:c r="A4587" s="87" t="n">
        <x:v>1043</x:v>
      </x:c>
      <x:c r="B4587" s="66" t="n">
        <x:v>731</x:v>
      </x:c>
      <x:c r="C4587" s="66" t="str">
        <x:v>UNIVERSITAS TADULAKO</x:v>
      </x:c>
      <x:c r="D4587" s="66" t="str">
        <x:v>PTN Akademik</x:v>
      </x:c>
      <x:c r="E4587" s="66" t="str">
        <x:v>17311018</x:v>
      </x:c>
      <x:c r="F4587" s="66" t="str">
        <x:v>KESEHATAN MASYARAKAT</x:v>
      </x:c>
      <x:c r="G4587" s="66" t="str">
        <x:v>Sarjana</x:v>
      </x:c>
      <x:c r="H4587" s="87" t="n">
        <x:v>50</x:v>
      </x:c>
      <x:c r="I4587" s="87" t="n">
        <x:v>621</x:v>
      </x:c>
      <x:c r="J4587" s="68" t="n">
        <x:f>IFERROR(H4587/I4587,"")</x:f>
        <x:v>0.08051529790660225</x:v>
      </x:c>
      <x:c r="K4587" s="69" t="n">
        <x:f>IFERROR(I4587/H4587,"")</x:f>
        <x:v>12.42</x:v>
      </x:c>
      <x:c r="L4587" s="66" t="str">
        <x:f>IF(K4587="","","1 : "&amp;TEXT(K4587,"0.0"))</x:f>
        <x:v>1 : 12.4</x:v>
      </x:c>
      <x:c r="M4587" s="66" t="str">
        <x:f>IF(J4587="","Baru/Tanpa Data",IF(J4587&lt;='Catatan &amp; Sumber'!$B$14,"Sangat Ketat",IF(J4587&lt;='Catatan &amp; Sumber'!$B$15,"Ketat",IF(J4587&lt;='Catatan &amp; Sumber'!$B$16,"Sedang","Relatif Longgar"))))</x:f>
        <x:v>Sedang</x:v>
      </x:c>
      <x:c r="N4587" s="66" t="str">
        <x:v>Tidak Ada</x:v>
      </x:c>
      <x:c r="O4587" s="66" t="str">
        <x:v>Sulawesi Tengah</x:v>
      </x:c>
      <x:c r="P4587" s="66" t="str">
        <x:v>Kota Palu</x:v>
      </x:c>
      <x:c r="Q4587" s="66" t="str">
        <x:v>https://snpmb.id/snbp/daya-tampung-snbp</x:v>
      </x:c>
      <x:c r="R4587" s="66" t="str">
        <x:v>https://sidatagrun-public-1076756628210.asia-southeast2.run.app/ptn_sn.php?ptn=731</x:v>
      </x:c>
    </x:row>
    <x:row r="4588">
      <x:c r="A4588" s="87" t="n">
        <x:v>4545</x:v>
      </x:c>
      <x:c r="B4588" s="66" t="n">
        <x:v>731</x:v>
      </x:c>
      <x:c r="C4588" s="66" t="str">
        <x:v>UNIVERSITAS TADULAKO</x:v>
      </x:c>
      <x:c r="D4588" s="66" t="str">
        <x:v>PTN Akademik</x:v>
      </x:c>
      <x:c r="E4588" s="66" t="str">
        <x:v>17311019</x:v>
      </x:c>
      <x:c r="F4588" s="66" t="str">
        <x:v>AKUAKULTUR</x:v>
      </x:c>
      <x:c r="G4588" s="66" t="str">
        <x:v>Sarjana</x:v>
      </x:c>
      <x:c r="H4588" s="87" t="n">
        <x:v>45</x:v>
      </x:c>
      <x:c r="I4588" s="87" t="n">
        <x:v>30</x:v>
      </x:c>
      <x:c r="J4588" s="68" t="n">
        <x:f>IFERROR(H4588/I4588,"")</x:f>
        <x:v>1.5</x:v>
      </x:c>
      <x:c r="K4588" s="69" t="n">
        <x:f>IFERROR(I4588/H4588,"")</x:f>
        <x:v>0.6666666666666666</x:v>
      </x:c>
      <x:c r="L4588" s="66" t="str">
        <x:f>IF(K4588="","","1 : "&amp;TEXT(K4588,"0.0"))</x:f>
        <x:v>1 : 0.7</x:v>
      </x:c>
      <x:c r="M4588" s="66" t="str">
        <x:f>IF(J4588="","Baru/Tanpa Data",IF(J4588&lt;='Catatan &amp; Sumber'!$B$14,"Sangat Ketat",IF(J4588&lt;='Catatan &amp; Sumber'!$B$15,"Ketat",IF(J4588&lt;='Catatan &amp; Sumber'!$B$16,"Sedang","Relatif Longgar"))))</x:f>
        <x:v>Relatif Longgar</x:v>
      </x:c>
      <x:c r="N4588" s="66" t="str">
        <x:v>Tidak Ada</x:v>
      </x:c>
      <x:c r="O4588" s="66" t="str">
        <x:v>Sulawesi Tengah</x:v>
      </x:c>
      <x:c r="P4588" s="66" t="str">
        <x:v>Kota Palu</x:v>
      </x:c>
      <x:c r="Q4588" s="66" t="str">
        <x:v>https://snpmb.id/snbp/daya-tampung-snbp</x:v>
      </x:c>
      <x:c r="R4588" s="66" t="str">
        <x:v>https://sidatagrun-public-1076756628210.asia-southeast2.run.app/ptn_sn.php?ptn=731</x:v>
      </x:c>
    </x:row>
    <x:row r="4589">
      <x:c r="A4589" s="87" t="n">
        <x:v>492</x:v>
      </x:c>
      <x:c r="B4589" s="66" t="n">
        <x:v>731</x:v>
      </x:c>
      <x:c r="C4589" s="66" t="str">
        <x:v>UNIVERSITAS TADULAKO</x:v>
      </x:c>
      <x:c r="D4589" s="66" t="str">
        <x:v>PTN Akademik</x:v>
      </x:c>
      <x:c r="E4589" s="66" t="str">
        <x:v>17311020</x:v>
      </x:c>
      <x:c r="F4589" s="66" t="str">
        <x:v>FARMASI</x:v>
      </x:c>
      <x:c r="G4589" s="66" t="str">
        <x:v>Sarjana</x:v>
      </x:c>
      <x:c r="H4589" s="87" t="n">
        <x:v>30</x:v>
      </x:c>
      <x:c r="I4589" s="87" t="n">
        <x:v>592</x:v>
      </x:c>
      <x:c r="J4589" s="68" t="n">
        <x:f>IFERROR(H4589/I4589,"")</x:f>
        <x:v>0.05067567567567568</x:v>
      </x:c>
      <x:c r="K4589" s="69" t="n">
        <x:f>IFERROR(I4589/H4589,"")</x:f>
        <x:v>19.733333333333334</x:v>
      </x:c>
      <x:c r="L4589" s="66" t="str">
        <x:f>IF(K4589="","","1 : "&amp;TEXT(K4589,"0.0"))</x:f>
        <x:v>1 : 19.7</x:v>
      </x:c>
      <x:c r="M4589" s="66" t="str">
        <x:f>IF(J4589="","Baru/Tanpa Data",IF(J4589&lt;='Catatan &amp; Sumber'!$B$14,"Sangat Ketat",IF(J4589&lt;='Catatan &amp; Sumber'!$B$15,"Ketat",IF(J4589&lt;='Catatan &amp; Sumber'!$B$16,"Sedang","Relatif Longgar"))))</x:f>
        <x:v>Sedang</x:v>
      </x:c>
      <x:c r="N4589" s="66" t="str">
        <x:v>Tidak Ada</x:v>
      </x:c>
      <x:c r="O4589" s="66" t="str">
        <x:v>Sulawesi Tengah</x:v>
      </x:c>
      <x:c r="P4589" s="66" t="str">
        <x:v>Kota Palu</x:v>
      </x:c>
      <x:c r="Q4589" s="66" t="str">
        <x:v>https://snpmb.id/snbp/daya-tampung-snbp</x:v>
      </x:c>
      <x:c r="R4589" s="66" t="str">
        <x:v>https://sidatagrun-public-1076756628210.asia-southeast2.run.app/ptn_sn.php?ptn=731</x:v>
      </x:c>
    </x:row>
    <x:row r="4590">
      <x:c r="A4590" s="87" t="n">
        <x:v>895</x:v>
      </x:c>
      <x:c r="B4590" s="66" t="n">
        <x:v>731</x:v>
      </x:c>
      <x:c r="C4590" s="66" t="str">
        <x:v>UNIVERSITAS TADULAKO</x:v>
      </x:c>
      <x:c r="D4590" s="66" t="str">
        <x:v>PTN Akademik</x:v>
      </x:c>
      <x:c r="E4590" s="66" t="str">
        <x:v>17311021</x:v>
      </x:c>
      <x:c r="F4590" s="66" t="str">
        <x:v>TEKNIK INFORMATIKA</x:v>
      </x:c>
      <x:c r="G4590" s="66" t="str">
        <x:v>Sarjana</x:v>
      </x:c>
      <x:c r="H4590" s="87" t="n">
        <x:v>48</x:v>
      </x:c>
      <x:c r="I4590" s="87" t="n">
        <x:v>668</x:v>
      </x:c>
      <x:c r="J4590" s="68" t="n">
        <x:f>IFERROR(H4590/I4590,"")</x:f>
        <x:v>0.0718562874251497</x:v>
      </x:c>
      <x:c r="K4590" s="69" t="n">
        <x:f>IFERROR(I4590/H4590,"")</x:f>
        <x:v>13.916666666666666</x:v>
      </x:c>
      <x:c r="L4590" s="66" t="str">
        <x:f>IF(K4590="","","1 : "&amp;TEXT(K4590,"0.0"))</x:f>
        <x:v>1 : 13.9</x:v>
      </x:c>
      <x:c r="M4590" s="66" t="str">
        <x:f>IF(J4590="","Baru/Tanpa Data",IF(J4590&lt;='Catatan &amp; Sumber'!$B$14,"Sangat Ketat",IF(J4590&lt;='Catatan &amp; Sumber'!$B$15,"Ketat",IF(J4590&lt;='Catatan &amp; Sumber'!$B$16,"Sedang","Relatif Longgar"))))</x:f>
        <x:v>Sedang</x:v>
      </x:c>
      <x:c r="N4590" s="66" t="str">
        <x:v>Tidak Ada</x:v>
      </x:c>
      <x:c r="O4590" s="66" t="str">
        <x:v>Sulawesi Tengah</x:v>
      </x:c>
      <x:c r="P4590" s="66" t="str">
        <x:v>Kota Palu</x:v>
      </x:c>
      <x:c r="Q4590" s="66" t="str">
        <x:v>https://snpmb.id/snbp/daya-tampung-snbp</x:v>
      </x:c>
      <x:c r="R4590" s="66" t="str">
        <x:v>https://sidatagrun-public-1076756628210.asia-southeast2.run.app/ptn_sn.php?ptn=731</x:v>
      </x:c>
    </x:row>
    <x:row r="4591">
      <x:c r="A4591" s="87" t="n">
        <x:v>2556</x:v>
      </x:c>
      <x:c r="B4591" s="66" t="n">
        <x:v>731</x:v>
      </x:c>
      <x:c r="C4591" s="66" t="str">
        <x:v>UNIVERSITAS TADULAKO</x:v>
      </x:c>
      <x:c r="D4591" s="66" t="str">
        <x:v>PTN Akademik</x:v>
      </x:c>
      <x:c r="E4591" s="66" t="str">
        <x:v>17311022</x:v>
      </x:c>
      <x:c r="F4591" s="66" t="str">
        <x:v>STATISTIKA</x:v>
      </x:c>
      <x:c r="G4591" s="66" t="str">
        <x:v>Sarjana</x:v>
      </x:c>
      <x:c r="H4591" s="87" t="n">
        <x:v>24</x:v>
      </x:c>
      <x:c r="I4591" s="87" t="n">
        <x:v>109</x:v>
      </x:c>
      <x:c r="J4591" s="68" t="n">
        <x:f>IFERROR(H4591/I4591,"")</x:f>
        <x:v>0.22018348623853212</x:v>
      </x:c>
      <x:c r="K4591" s="69" t="n">
        <x:f>IFERROR(I4591/H4591,"")</x:f>
        <x:v>4.541666666666667</x:v>
      </x:c>
      <x:c r="L4591" s="66" t="str">
        <x:f>IF(K4591="","","1 : "&amp;TEXT(K4591,"0.0"))</x:f>
        <x:v>1 : 4.5</x:v>
      </x:c>
      <x:c r="M4591" s="66" t="str">
        <x:f>IF(J4591="","Baru/Tanpa Data",IF(J4591&lt;='Catatan &amp; Sumber'!$B$14,"Sangat Ketat",IF(J4591&lt;='Catatan &amp; Sumber'!$B$15,"Ketat",IF(J4591&lt;='Catatan &amp; Sumber'!$B$16,"Sedang","Relatif Longgar"))))</x:f>
        <x:v>Relatif Longgar</x:v>
      </x:c>
      <x:c r="N4591" s="66" t="str">
        <x:v>Tidak Ada</x:v>
      </x:c>
      <x:c r="O4591" s="66" t="str">
        <x:v>Sulawesi Tengah</x:v>
      </x:c>
      <x:c r="P4591" s="66" t="str">
        <x:v>Kota Palu</x:v>
      </x:c>
      <x:c r="Q4591" s="66" t="str">
        <x:v>https://snpmb.id/snbp/daya-tampung-snbp</x:v>
      </x:c>
      <x:c r="R4591" s="66" t="str">
        <x:v>https://sidatagrun-public-1076756628210.asia-southeast2.run.app/ptn_sn.php?ptn=731</x:v>
      </x:c>
    </x:row>
    <x:row r="4592">
      <x:c r="A4592" s="87" t="n">
        <x:v>1819</x:v>
      </x:c>
      <x:c r="B4592" s="66" t="n">
        <x:v>731</x:v>
      </x:c>
      <x:c r="C4592" s="66" t="str">
        <x:v>UNIVERSITAS TADULAKO</x:v>
      </x:c>
      <x:c r="D4592" s="66" t="str">
        <x:v>PTN Akademik</x:v>
      </x:c>
      <x:c r="E4592" s="66" t="str">
        <x:v>17311023</x:v>
      </x:c>
      <x:c r="F4592" s="66" t="str">
        <x:v>TEKNIK GEOLOGI</x:v>
      </x:c>
      <x:c r="G4592" s="66" t="str">
        <x:v>Sarjana</x:v>
      </x:c>
      <x:c r="H4592" s="87" t="n">
        <x:v>36</x:v>
      </x:c>
      <x:c r="I4592" s="87" t="n">
        <x:v>269</x:v>
      </x:c>
      <x:c r="J4592" s="68" t="n">
        <x:f>IFERROR(H4592/I4592,"")</x:f>
        <x:v>0.13382899628252787</x:v>
      </x:c>
      <x:c r="K4592" s="69" t="n">
        <x:f>IFERROR(I4592/H4592,"")</x:f>
        <x:v>7.472222222222222</x:v>
      </x:c>
      <x:c r="L4592" s="66" t="str">
        <x:f>IF(K4592="","","1 : "&amp;TEXT(K4592,"0.0"))</x:f>
        <x:v>1 : 7.5</x:v>
      </x:c>
      <x:c r="M4592" s="66" t="str">
        <x:f>IF(J4592="","Baru/Tanpa Data",IF(J4592&lt;='Catatan &amp; Sumber'!$B$14,"Sangat Ketat",IF(J4592&lt;='Catatan &amp; Sumber'!$B$15,"Ketat",IF(J4592&lt;='Catatan &amp; Sumber'!$B$16,"Sedang","Relatif Longgar"))))</x:f>
        <x:v>Relatif Longgar</x:v>
      </x:c>
      <x:c r="N4592" s="66" t="str">
        <x:v>Tidak Ada</x:v>
      </x:c>
      <x:c r="O4592" s="66" t="str">
        <x:v>Sulawesi Tengah</x:v>
      </x:c>
      <x:c r="P4592" s="66" t="str">
        <x:v>Kota Palu</x:v>
      </x:c>
      <x:c r="Q4592" s="66" t="str">
        <x:v>https://snpmb.id/snbp/daya-tampung-snbp</x:v>
      </x:c>
      <x:c r="R4592" s="66" t="str">
        <x:v>https://sidatagrun-public-1076756628210.asia-southeast2.run.app/ptn_sn.php?ptn=731</x:v>
      </x:c>
    </x:row>
    <x:row r="4593">
      <x:c r="A4593" s="87" t="n">
        <x:v>2677</x:v>
      </x:c>
      <x:c r="B4593" s="66" t="n">
        <x:v>731</x:v>
      </x:c>
      <x:c r="C4593" s="66" t="str">
        <x:v>UNIVERSITAS TADULAKO</x:v>
      </x:c>
      <x:c r="D4593" s="66" t="str">
        <x:v>PTN Akademik</x:v>
      </x:c>
      <x:c r="E4593" s="66" t="str">
        <x:v>17311024</x:v>
      </x:c>
      <x:c r="F4593" s="66" t="str">
        <x:v>PERENCANAAN WILAYAH DAN KOTA</x:v>
      </x:c>
      <x:c r="G4593" s="66" t="str">
        <x:v>Sarjana</x:v>
      </x:c>
      <x:c r="H4593" s="87" t="n">
        <x:v>36</x:v>
      </x:c>
      <x:c r="I4593" s="87" t="n">
        <x:v>150</x:v>
      </x:c>
      <x:c r="J4593" s="68" t="n">
        <x:f>IFERROR(H4593/I4593,"")</x:f>
        <x:v>0.24</x:v>
      </x:c>
      <x:c r="K4593" s="69" t="n">
        <x:f>IFERROR(I4593/H4593,"")</x:f>
        <x:v>4.166666666666667</x:v>
      </x:c>
      <x:c r="L4593" s="66" t="str">
        <x:f>IF(K4593="","","1 : "&amp;TEXT(K4593,"0.0"))</x:f>
        <x:v>1 : 4.2</x:v>
      </x:c>
      <x:c r="M4593" s="66" t="str">
        <x:f>IF(J4593="","Baru/Tanpa Data",IF(J4593&lt;='Catatan &amp; Sumber'!$B$14,"Sangat Ketat",IF(J4593&lt;='Catatan &amp; Sumber'!$B$15,"Ketat",IF(J4593&lt;='Catatan &amp; Sumber'!$B$16,"Sedang","Relatif Longgar"))))</x:f>
        <x:v>Relatif Longgar</x:v>
      </x:c>
      <x:c r="N4593" s="66" t="str">
        <x:v>Tidak Ada</x:v>
      </x:c>
      <x:c r="O4593" s="66" t="str">
        <x:v>Sulawesi Tengah</x:v>
      </x:c>
      <x:c r="P4593" s="66" t="str">
        <x:v>Kota Palu</x:v>
      </x:c>
      <x:c r="Q4593" s="66" t="str">
        <x:v>https://snpmb.id/snbp/daya-tampung-snbp</x:v>
      </x:c>
      <x:c r="R4593" s="66" t="str">
        <x:v>https://sidatagrun-public-1076756628210.asia-southeast2.run.app/ptn_sn.php?ptn=731</x:v>
      </x:c>
    </x:row>
    <x:row r="4594">
      <x:c r="A4594" s="87" t="n">
        <x:v>385</x:v>
      </x:c>
      <x:c r="B4594" s="66" t="n">
        <x:v>731</x:v>
      </x:c>
      <x:c r="C4594" s="66" t="str">
        <x:v>UNIVERSITAS TADULAKO</x:v>
      </x:c>
      <x:c r="D4594" s="66" t="str">
        <x:v>PTN Akademik</x:v>
      </x:c>
      <x:c r="E4594" s="66" t="str">
        <x:v>17311025</x:v>
      </x:c>
      <x:c r="F4594" s="66" t="str">
        <x:v>GIZI</x:v>
      </x:c>
      <x:c r="G4594" s="66" t="str">
        <x:v>Sarjana</x:v>
      </x:c>
      <x:c r="H4594" s="87" t="n">
        <x:v>20</x:v>
      </x:c>
      <x:c r="I4594" s="87" t="n">
        <x:v>435</x:v>
      </x:c>
      <x:c r="J4594" s="68" t="n">
        <x:f>IFERROR(H4594/I4594,"")</x:f>
        <x:v>0.04597701149425287</x:v>
      </x:c>
      <x:c r="K4594" s="69" t="n">
        <x:f>IFERROR(I4594/H4594,"")</x:f>
        <x:v>21.75</x:v>
      </x:c>
      <x:c r="L4594" s="66" t="str">
        <x:f>IF(K4594="","","1 : "&amp;TEXT(K4594,"0.0"))</x:f>
        <x:v>1 : 21.8</x:v>
      </x:c>
      <x:c r="M4594" s="66" t="str">
        <x:f>IF(J4594="","Baru/Tanpa Data",IF(J4594&lt;='Catatan &amp; Sumber'!$B$14,"Sangat Ketat",IF(J4594&lt;='Catatan &amp; Sumber'!$B$15,"Ketat",IF(J4594&lt;='Catatan &amp; Sumber'!$B$16,"Sedang","Relatif Longgar"))))</x:f>
        <x:v>Ketat</x:v>
      </x:c>
      <x:c r="N4594" s="66" t="str">
        <x:v>Tidak Ada</x:v>
      </x:c>
      <x:c r="O4594" s="66" t="str">
        <x:v>Sulawesi Tengah</x:v>
      </x:c>
      <x:c r="P4594" s="66" t="str">
        <x:v>Kota Palu</x:v>
      </x:c>
      <x:c r="Q4594" s="66" t="str">
        <x:v>https://snpmb.id/snbp/daya-tampung-snbp</x:v>
      </x:c>
      <x:c r="R4594" s="66" t="str">
        <x:v>https://sidatagrun-public-1076756628210.asia-southeast2.run.app/ptn_sn.php?ptn=731</x:v>
      </x:c>
    </x:row>
    <x:row r="4595">
      <x:c r="A4595" s="87" t="n">
        <x:v>3596</x:v>
      </x:c>
      <x:c r="B4595" s="66" t="n">
        <x:v>731</x:v>
      </x:c>
      <x:c r="C4595" s="66" t="str">
        <x:v>UNIVERSITAS TADULAKO</x:v>
      </x:c>
      <x:c r="D4595" s="66" t="str">
        <x:v>PTN Akademik</x:v>
      </x:c>
      <x:c r="E4595" s="66" t="str">
        <x:v>17311026</x:v>
      </x:c>
      <x:c r="F4595" s="66" t="str">
        <x:v>TEKNIK GEO FISIKA</x:v>
      </x:c>
      <x:c r="G4595" s="66" t="str">
        <x:v>Sarjana</x:v>
      </x:c>
      <x:c r="H4595" s="87" t="n">
        <x:v>15</x:v>
      </x:c>
      <x:c r="I4595" s="87" t="n">
        <x:v>32</x:v>
      </x:c>
      <x:c r="J4595" s="68" t="n">
        <x:f>IFERROR(H4595/I4595,"")</x:f>
        <x:v>0.46875</x:v>
      </x:c>
      <x:c r="K4595" s="69" t="n">
        <x:f>IFERROR(I4595/H4595,"")</x:f>
        <x:v>2.1333333333333333</x:v>
      </x:c>
      <x:c r="L4595" s="66" t="str">
        <x:f>IF(K4595="","","1 : "&amp;TEXT(K4595,"0.0"))</x:f>
        <x:v>1 : 2.1</x:v>
      </x:c>
      <x:c r="M4595" s="66" t="str">
        <x:f>IF(J4595="","Baru/Tanpa Data",IF(J4595&lt;='Catatan &amp; Sumber'!$B$14,"Sangat Ketat",IF(J4595&lt;='Catatan &amp; Sumber'!$B$15,"Ketat",IF(J4595&lt;='Catatan &amp; Sumber'!$B$16,"Sedang","Relatif Longgar"))))</x:f>
        <x:v>Relatif Longgar</x:v>
      </x:c>
      <x:c r="N4595" s="66" t="str">
        <x:v>Tidak Ada</x:v>
      </x:c>
      <x:c r="O4595" s="66" t="str">
        <x:v>Sulawesi Tengah</x:v>
      </x:c>
      <x:c r="P4595" s="66" t="str">
        <x:v>Kota Palu</x:v>
      </x:c>
      <x:c r="Q4595" s="66" t="str">
        <x:v>https://snpmb.id/snbp/daya-tampung-snbp</x:v>
      </x:c>
      <x:c r="R4595" s="66" t="str">
        <x:v>https://sidatagrun-public-1076756628210.asia-southeast2.run.app/ptn_sn.php?ptn=731</x:v>
      </x:c>
    </x:row>
    <x:row r="4596">
      <x:c r="A4596" s="87" t="n">
        <x:v>4759</x:v>
      </x:c>
      <x:c r="B4596" s="66" t="n">
        <x:v>731</x:v>
      </x:c>
      <x:c r="C4596" s="66" t="str">
        <x:v>UNIVERSITAS TADULAKO</x:v>
      </x:c>
      <x:c r="D4596" s="66" t="str">
        <x:v>PTN Akademik</x:v>
      </x:c>
      <x:c r="E4596" s="66" t="str">
        <x:v>17311027</x:v>
      </x:c>
      <x:c r="F4596" s="66" t="str">
        <x:v>AGROTEKNOLOGI (PSDKU MOROWALI)</x:v>
      </x:c>
      <x:c r="G4596" s="66" t="str">
        <x:v>Sarjana</x:v>
      </x:c>
      <x:c r="H4596" s="87" t="n">
        <x:v>12</x:v>
      </x:c>
      <x:c r="I4596" s="87" t="n">
        <x:v>4</x:v>
      </x:c>
      <x:c r="J4596" s="68" t="n">
        <x:f>IFERROR(H4596/I4596,"")</x:f>
        <x:v>3</x:v>
      </x:c>
      <x:c r="K4596" s="69" t="n">
        <x:f>IFERROR(I4596/H4596,"")</x:f>
        <x:v>0.3333333333333333</x:v>
      </x:c>
      <x:c r="L4596" s="66" t="str">
        <x:f>IF(K4596="","","1 : "&amp;TEXT(K4596,"0.0"))</x:f>
        <x:v>1 : 0.3</x:v>
      </x:c>
      <x:c r="M4596" s="66" t="str">
        <x:f>IF(J4596="","Baru/Tanpa Data",IF(J4596&lt;='Catatan &amp; Sumber'!$B$14,"Sangat Ketat",IF(J4596&lt;='Catatan &amp; Sumber'!$B$15,"Ketat",IF(J4596&lt;='Catatan &amp; Sumber'!$B$16,"Sedang","Relatif Longgar"))))</x:f>
        <x:v>Relatif Longgar</x:v>
      </x:c>
      <x:c r="N4596" s="66" t="str">
        <x:v>Tidak Ada</x:v>
      </x:c>
      <x:c r="O4596" s="66" t="str">
        <x:v>Sulawesi Tengah</x:v>
      </x:c>
      <x:c r="P4596" s="66" t="str">
        <x:v>Kota Palu</x:v>
      </x:c>
      <x:c r="Q4596" s="66" t="str">
        <x:v>https://snpmb.id/snbp/daya-tampung-snbp</x:v>
      </x:c>
      <x:c r="R4596" s="66" t="str">
        <x:v>https://sidatagrun-public-1076756628210.asia-southeast2.run.app/ptn_sn.php?ptn=731</x:v>
      </x:c>
    </x:row>
    <x:row r="4597">
      <x:c r="A4597" s="87" t="n">
        <x:v>4392</x:v>
      </x:c>
      <x:c r="B4597" s="66" t="n">
        <x:v>731</x:v>
      </x:c>
      <x:c r="C4597" s="66" t="str">
        <x:v>UNIVERSITAS TADULAKO</x:v>
      </x:c>
      <x:c r="D4597" s="66" t="str">
        <x:v>PTN Akademik</x:v>
      </x:c>
      <x:c r="E4597" s="66" t="str">
        <x:v>17311028</x:v>
      </x:c>
      <x:c r="F4597" s="66" t="str">
        <x:v>TEKNIK SIPIL (PSDKU MOROWALI)</x:v>
      </x:c>
      <x:c r="G4597" s="66" t="str">
        <x:v>Sarjana</x:v>
      </x:c>
      <x:c r="H4597" s="87" t="n">
        <x:v>10</x:v>
      </x:c>
      <x:c r="I4597" s="87" t="n">
        <x:v>9</x:v>
      </x:c>
      <x:c r="J4597" s="68" t="n">
        <x:f>IFERROR(H4597/I4597,"")</x:f>
        <x:v>1.1111111111111112</x:v>
      </x:c>
      <x:c r="K4597" s="69" t="n">
        <x:f>IFERROR(I4597/H4597,"")</x:f>
        <x:v>0.9</x:v>
      </x:c>
      <x:c r="L4597" s="66" t="str">
        <x:f>IF(K4597="","","1 : "&amp;TEXT(K4597,"0.0"))</x:f>
        <x:v>1 : 0.9</x:v>
      </x:c>
      <x:c r="M4597" s="66" t="str">
        <x:f>IF(J4597="","Baru/Tanpa Data",IF(J4597&lt;='Catatan &amp; Sumber'!$B$14,"Sangat Ketat",IF(J4597&lt;='Catatan &amp; Sumber'!$B$15,"Ketat",IF(J4597&lt;='Catatan &amp; Sumber'!$B$16,"Sedang","Relatif Longgar"))))</x:f>
        <x:v>Relatif Longgar</x:v>
      </x:c>
      <x:c r="N4597" s="66" t="str">
        <x:v>Tidak Ada</x:v>
      </x:c>
      <x:c r="O4597" s="66" t="str">
        <x:v>Sulawesi Tengah</x:v>
      </x:c>
      <x:c r="P4597" s="66" t="str">
        <x:v>Kota Palu</x:v>
      </x:c>
      <x:c r="Q4597" s="66" t="str">
        <x:v>https://snpmb.id/snbp/daya-tampung-snbp</x:v>
      </x:c>
      <x:c r="R4597" s="66" t="str">
        <x:v>https://sidatagrun-public-1076756628210.asia-southeast2.run.app/ptn_sn.php?ptn=731</x:v>
      </x:c>
    </x:row>
    <x:row r="4598">
      <x:c r="A4598" s="87" t="n">
        <x:v>3801</x:v>
      </x:c>
      <x:c r="B4598" s="66" t="n">
        <x:v>731</x:v>
      </x:c>
      <x:c r="C4598" s="66" t="str">
        <x:v>UNIVERSITAS TADULAKO</x:v>
      </x:c>
      <x:c r="D4598" s="66" t="str">
        <x:v>PTN Akademik</x:v>
      </x:c>
      <x:c r="E4598" s="66" t="str">
        <x:v>17311029</x:v>
      </x:c>
      <x:c r="F4598" s="66" t="str">
        <x:v>AGROTEKNOLOGI (PSDKU TOUNA)</x:v>
      </x:c>
      <x:c r="G4598" s="66" t="str">
        <x:v>Sarjana</x:v>
      </x:c>
      <x:c r="H4598" s="87" t="n">
        <x:v>12</x:v>
      </x:c>
      <x:c r="I4598" s="87" t="n">
        <x:v>21</x:v>
      </x:c>
      <x:c r="J4598" s="68" t="n">
        <x:f>IFERROR(H4598/I4598,"")</x:f>
        <x:v>0.5714285714285714</x:v>
      </x:c>
      <x:c r="K4598" s="69" t="n">
        <x:f>IFERROR(I4598/H4598,"")</x:f>
        <x:v>1.75</x:v>
      </x:c>
      <x:c r="L4598" s="66" t="str">
        <x:f>IF(K4598="","","1 : "&amp;TEXT(K4598,"0.0"))</x:f>
        <x:v>1 : 1.8</x:v>
      </x:c>
      <x:c r="M4598" s="66" t="str">
        <x:f>IF(J4598="","Baru/Tanpa Data",IF(J4598&lt;='Catatan &amp; Sumber'!$B$14,"Sangat Ketat",IF(J4598&lt;='Catatan &amp; Sumber'!$B$15,"Ketat",IF(J4598&lt;='Catatan &amp; Sumber'!$B$16,"Sedang","Relatif Longgar"))))</x:f>
        <x:v>Relatif Longgar</x:v>
      </x:c>
      <x:c r="N4598" s="66" t="str">
        <x:v>Tidak Ada</x:v>
      </x:c>
      <x:c r="O4598" s="66" t="str">
        <x:v>Sulawesi Tengah</x:v>
      </x:c>
      <x:c r="P4598" s="66" t="str">
        <x:v>Kota Palu</x:v>
      </x:c>
      <x:c r="Q4598" s="66" t="str">
        <x:v>https://snpmb.id/snbp/daya-tampung-snbp</x:v>
      </x:c>
      <x:c r="R4598" s="66" t="str">
        <x:v>https://sidatagrun-public-1076756628210.asia-southeast2.run.app/ptn_sn.php?ptn=731</x:v>
      </x:c>
    </x:row>
    <x:row r="4599">
      <x:c r="A4599" s="87" t="n">
        <x:v>3899</x:v>
      </x:c>
      <x:c r="B4599" s="66" t="n">
        <x:v>731</x:v>
      </x:c>
      <x:c r="C4599" s="66" t="str">
        <x:v>UNIVERSITAS TADULAKO</x:v>
      </x:c>
      <x:c r="D4599" s="66" t="str">
        <x:v>PTN Akademik</x:v>
      </x:c>
      <x:c r="E4599" s="66" t="str">
        <x:v>17311030</x:v>
      </x:c>
      <x:c r="F4599" s="66" t="str">
        <x:v>TEKNIK SIPIL (PSDKU TOUNA)</x:v>
      </x:c>
      <x:c r="G4599" s="66" t="str">
        <x:v>Sarjana</x:v>
      </x:c>
      <x:c r="H4599" s="87" t="n">
        <x:v>10</x:v>
      </x:c>
      <x:c r="I4599" s="87" t="n">
        <x:v>16</x:v>
      </x:c>
      <x:c r="J4599" s="68" t="n">
        <x:f>IFERROR(H4599/I4599,"")</x:f>
        <x:v>0.625</x:v>
      </x:c>
      <x:c r="K4599" s="69" t="n">
        <x:f>IFERROR(I4599/H4599,"")</x:f>
        <x:v>1.6</x:v>
      </x:c>
      <x:c r="L4599" s="66" t="str">
        <x:f>IF(K4599="","","1 : "&amp;TEXT(K4599,"0.0"))</x:f>
        <x:v>1 : 1.6</x:v>
      </x:c>
      <x:c r="M4599" s="66" t="str">
        <x:f>IF(J4599="","Baru/Tanpa Data",IF(J4599&lt;='Catatan &amp; Sumber'!$B$14,"Sangat Ketat",IF(J4599&lt;='Catatan &amp; Sumber'!$B$15,"Ketat",IF(J4599&lt;='Catatan &amp; Sumber'!$B$16,"Sedang","Relatif Longgar"))))</x:f>
        <x:v>Relatif Longgar</x:v>
      </x:c>
      <x:c r="N4599" s="66" t="str">
        <x:v>Tidak Ada</x:v>
      </x:c>
      <x:c r="O4599" s="66" t="str">
        <x:v>Sulawesi Tengah</x:v>
      </x:c>
      <x:c r="P4599" s="66" t="str">
        <x:v>Kota Palu</x:v>
      </x:c>
      <x:c r="Q4599" s="66" t="str">
        <x:v>https://snpmb.id/snbp/daya-tampung-snbp</x:v>
      </x:c>
      <x:c r="R4599" s="66" t="str">
        <x:v>https://sidatagrun-public-1076756628210.asia-southeast2.run.app/ptn_sn.php?ptn=731</x:v>
      </x:c>
    </x:row>
    <x:row r="4600">
      <x:c r="A4600" s="87" t="n">
        <x:v>2677</x:v>
      </x:c>
      <x:c r="B4600" s="66" t="n">
        <x:v>731</x:v>
      </x:c>
      <x:c r="C4600" s="66" t="str">
        <x:v>UNIVERSITAS TADULAKO</x:v>
      </x:c>
      <x:c r="D4600" s="66" t="str">
        <x:v>PTN Akademik</x:v>
      </x:c>
      <x:c r="E4600" s="66" t="str">
        <x:v>17311031</x:v>
      </x:c>
      <x:c r="F4600" s="66" t="str">
        <x:v>TEKNIK LINGKUNGAN</x:v>
      </x:c>
      <x:c r="G4600" s="66" t="str">
        <x:v>Sarjana</x:v>
      </x:c>
      <x:c r="H4600" s="87" t="n">
        <x:v>36</x:v>
      </x:c>
      <x:c r="I4600" s="87" t="n">
        <x:v>150</x:v>
      </x:c>
      <x:c r="J4600" s="68" t="n">
        <x:f>IFERROR(H4600/I4600,"")</x:f>
        <x:v>0.24</x:v>
      </x:c>
      <x:c r="K4600" s="69" t="n">
        <x:f>IFERROR(I4600/H4600,"")</x:f>
        <x:v>4.166666666666667</x:v>
      </x:c>
      <x:c r="L4600" s="66" t="str">
        <x:f>IF(K4600="","","1 : "&amp;TEXT(K4600,"0.0"))</x:f>
        <x:v>1 : 4.2</x:v>
      </x:c>
      <x:c r="M4600" s="66" t="str">
        <x:f>IF(J4600="","Baru/Tanpa Data",IF(J4600&lt;='Catatan &amp; Sumber'!$B$14,"Sangat Ketat",IF(J4600&lt;='Catatan &amp; Sumber'!$B$15,"Ketat",IF(J4600&lt;='Catatan &amp; Sumber'!$B$16,"Sedang","Relatif Longgar"))))</x:f>
        <x:v>Relatif Longgar</x:v>
      </x:c>
      <x:c r="N4600" s="66" t="str">
        <x:v>Tidak Ada</x:v>
      </x:c>
      <x:c r="O4600" s="66" t="str">
        <x:v>Sulawesi Tengah</x:v>
      </x:c>
      <x:c r="P4600" s="66" t="str">
        <x:v>Kota Palu</x:v>
      </x:c>
      <x:c r="Q4600" s="66" t="str">
        <x:v>https://snpmb.id/snbp/daya-tampung-snbp</x:v>
      </x:c>
      <x:c r="R4600" s="66" t="str">
        <x:v>https://sidatagrun-public-1076756628210.asia-southeast2.run.app/ptn_sn.php?ptn=731</x:v>
      </x:c>
    </x:row>
    <x:row r="4601">
      <x:c r="A4601" s="87" t="n">
        <x:v>1774</x:v>
      </x:c>
      <x:c r="B4601" s="66" t="n">
        <x:v>731</x:v>
      </x:c>
      <x:c r="C4601" s="66" t="str">
        <x:v>UNIVERSITAS TADULAKO</x:v>
      </x:c>
      <x:c r="D4601" s="66" t="str">
        <x:v>PTN Akademik</x:v>
      </x:c>
      <x:c r="E4601" s="66" t="str">
        <x:v>17311032</x:v>
      </x:c>
      <x:c r="F4601" s="66" t="str">
        <x:v>SISTEM INFORMASI</x:v>
      </x:c>
      <x:c r="G4601" s="66" t="str">
        <x:v>Sarjana</x:v>
      </x:c>
      <x:c r="H4601" s="87" t="n">
        <x:v>36</x:v>
      </x:c>
      <x:c r="I4601" s="87" t="n">
        <x:v>276</x:v>
      </x:c>
      <x:c r="J4601" s="68" t="n">
        <x:f>IFERROR(H4601/I4601,"")</x:f>
        <x:v>0.13043478260869565</x:v>
      </x:c>
      <x:c r="K4601" s="69" t="n">
        <x:f>IFERROR(I4601/H4601,"")</x:f>
        <x:v>7.666666666666667</x:v>
      </x:c>
      <x:c r="L4601" s="66" t="str">
        <x:f>IF(K4601="","","1 : "&amp;TEXT(K4601,"0.0"))</x:f>
        <x:v>1 : 7.7</x:v>
      </x:c>
      <x:c r="M4601" s="66" t="str">
        <x:f>IF(J4601="","Baru/Tanpa Data",IF(J4601&lt;='Catatan &amp; Sumber'!$B$14,"Sangat Ketat",IF(J4601&lt;='Catatan &amp; Sumber'!$B$15,"Ketat",IF(J4601&lt;='Catatan &amp; Sumber'!$B$16,"Sedang","Relatif Longgar"))))</x:f>
        <x:v>Relatif Longgar</x:v>
      </x:c>
      <x:c r="N4601" s="66" t="str">
        <x:v>Tidak Ada</x:v>
      </x:c>
      <x:c r="O4601" s="66" t="str">
        <x:v>Sulawesi Tengah</x:v>
      </x:c>
      <x:c r="P4601" s="66" t="str">
        <x:v>Kota Palu</x:v>
      </x:c>
      <x:c r="Q4601" s="66" t="str">
        <x:v>https://snpmb.id/snbp/daya-tampung-snbp</x:v>
      </x:c>
      <x:c r="R4601" s="66" t="str">
        <x:v>https://sidatagrun-public-1076756628210.asia-southeast2.run.app/ptn_sn.php?ptn=731</x:v>
      </x:c>
    </x:row>
    <x:row r="4602">
      <x:c r="A4602" s="87" t="n">
        <x:v>1707</x:v>
      </x:c>
      <x:c r="B4602" s="66" t="n">
        <x:v>731</x:v>
      </x:c>
      <x:c r="C4602" s="66" t="str">
        <x:v>UNIVERSITAS TADULAKO</x:v>
      </x:c>
      <x:c r="D4602" s="66" t="str">
        <x:v>PTN Akademik</x:v>
      </x:c>
      <x:c r="E4602" s="66" t="str">
        <x:v>17311033</x:v>
      </x:c>
      <x:c r="F4602" s="66" t="str">
        <x:v>PEND. BAHASA INDONESIA</x:v>
      </x:c>
      <x:c r="G4602" s="66" t="str">
        <x:v>Sarjana</x:v>
      </x:c>
      <x:c r="H4602" s="87" t="n">
        <x:v>50</x:v>
      </x:c>
      <x:c r="I4602" s="87" t="n">
        <x:v>401</x:v>
      </x:c>
      <x:c r="J4602" s="68" t="n">
        <x:f>IFERROR(H4602/I4602,"")</x:f>
        <x:v>0.12468827930174564</x:v>
      </x:c>
      <x:c r="K4602" s="69" t="n">
        <x:f>IFERROR(I4602/H4602,"")</x:f>
        <x:v>8.02</x:v>
      </x:c>
      <x:c r="L4602" s="66" t="str">
        <x:f>IF(K4602="","","1 : "&amp;TEXT(K4602,"0.0"))</x:f>
        <x:v>1 : 8.0</x:v>
      </x:c>
      <x:c r="M4602" s="66" t="str">
        <x:f>IF(J4602="","Baru/Tanpa Data",IF(J4602&lt;='Catatan &amp; Sumber'!$B$14,"Sangat Ketat",IF(J4602&lt;='Catatan &amp; Sumber'!$B$15,"Ketat",IF(J4602&lt;='Catatan &amp; Sumber'!$B$16,"Sedang","Relatif Longgar"))))</x:f>
        <x:v>Relatif Longgar</x:v>
      </x:c>
      <x:c r="N4602" s="66" t="str">
        <x:v>Tidak Ada</x:v>
      </x:c>
      <x:c r="O4602" s="66" t="str">
        <x:v>Sulawesi Tengah</x:v>
      </x:c>
      <x:c r="P4602" s="66" t="str">
        <x:v>Kota Palu</x:v>
      </x:c>
      <x:c r="Q4602" s="66" t="str">
        <x:v>https://snpmb.id/snbp/daya-tampung-snbp</x:v>
      </x:c>
      <x:c r="R4602" s="66" t="str">
        <x:v>https://sidatagrun-public-1076756628210.asia-southeast2.run.app/ptn_sn.php?ptn=731</x:v>
      </x:c>
    </x:row>
    <x:row r="4603">
      <x:c r="A4603" s="87" t="n">
        <x:v>2710</x:v>
      </x:c>
      <x:c r="B4603" s="66" t="n">
        <x:v>731</x:v>
      </x:c>
      <x:c r="C4603" s="66" t="str">
        <x:v>UNIVERSITAS TADULAKO</x:v>
      </x:c>
      <x:c r="D4603" s="66" t="str">
        <x:v>PTN Akademik</x:v>
      </x:c>
      <x:c r="E4603" s="66" t="str">
        <x:v>17311034</x:v>
      </x:c>
      <x:c r="F4603" s="66" t="str">
        <x:v>PEND. BAHASA INGGRIS</x:v>
      </x:c>
      <x:c r="G4603" s="66" t="str">
        <x:v>Sarjana</x:v>
      </x:c>
      <x:c r="H4603" s="87" t="n">
        <x:v>75</x:v>
      </x:c>
      <x:c r="I4603" s="87" t="n">
        <x:v>306</x:v>
      </x:c>
      <x:c r="J4603" s="68" t="n">
        <x:f>IFERROR(H4603/I4603,"")</x:f>
        <x:v>0.24509803921568626</x:v>
      </x:c>
      <x:c r="K4603" s="69" t="n">
        <x:f>IFERROR(I4603/H4603,"")</x:f>
        <x:v>4.08</x:v>
      </x:c>
      <x:c r="L4603" s="66" t="str">
        <x:f>IF(K4603="","","1 : "&amp;TEXT(K4603,"0.0"))</x:f>
        <x:v>1 : 4.1</x:v>
      </x:c>
      <x:c r="M4603" s="66" t="str">
        <x:f>IF(J4603="","Baru/Tanpa Data",IF(J4603&lt;='Catatan &amp; Sumber'!$B$14,"Sangat Ketat",IF(J4603&lt;='Catatan &amp; Sumber'!$B$15,"Ketat",IF(J4603&lt;='Catatan &amp; Sumber'!$B$16,"Sedang","Relatif Longgar"))))</x:f>
        <x:v>Relatif Longgar</x:v>
      </x:c>
      <x:c r="N4603" s="66" t="str">
        <x:v>Tidak Ada</x:v>
      </x:c>
      <x:c r="O4603" s="66" t="str">
        <x:v>Sulawesi Tengah</x:v>
      </x:c>
      <x:c r="P4603" s="66" t="str">
        <x:v>Kota Palu</x:v>
      </x:c>
      <x:c r="Q4603" s="66" t="str">
        <x:v>https://snpmb.id/snbp/daya-tampung-snbp</x:v>
      </x:c>
      <x:c r="R4603" s="66" t="str">
        <x:v>https://sidatagrun-public-1076756628210.asia-southeast2.run.app/ptn_sn.php?ptn=731</x:v>
      </x:c>
    </x:row>
    <x:row r="4604">
      <x:c r="A4604" s="87" t="n">
        <x:v>3261</x:v>
      </x:c>
      <x:c r="B4604" s="66" t="n">
        <x:v>731</x:v>
      </x:c>
      <x:c r="C4604" s="66" t="str">
        <x:v>UNIVERSITAS TADULAKO</x:v>
      </x:c>
      <x:c r="D4604" s="66" t="str">
        <x:v>PTN Akademik</x:v>
      </x:c>
      <x:c r="E4604" s="66" t="str">
        <x:v>17311035</x:v>
      </x:c>
      <x:c r="F4604" s="66" t="str">
        <x:v>PEND. PANCASILA DAN KEWARGANEGARAAN</x:v>
      </x:c>
      <x:c r="G4604" s="66" t="str">
        <x:v>Sarjana</x:v>
      </x:c>
      <x:c r="H4604" s="87" t="n">
        <x:v>45</x:v>
      </x:c>
      <x:c r="I4604" s="87" t="n">
        <x:v>125</x:v>
      </x:c>
      <x:c r="J4604" s="68" t="n">
        <x:f>IFERROR(H4604/I4604,"")</x:f>
        <x:v>0.36</x:v>
      </x:c>
      <x:c r="K4604" s="69" t="n">
        <x:f>IFERROR(I4604/H4604,"")</x:f>
        <x:v>2.7777777777777777</x:v>
      </x:c>
      <x:c r="L4604" s="66" t="str">
        <x:f>IF(K4604="","","1 : "&amp;TEXT(K4604,"0.0"))</x:f>
        <x:v>1 : 2.8</x:v>
      </x:c>
      <x:c r="M4604" s="66" t="str">
        <x:f>IF(J4604="","Baru/Tanpa Data",IF(J4604&lt;='Catatan &amp; Sumber'!$B$14,"Sangat Ketat",IF(J4604&lt;='Catatan &amp; Sumber'!$B$15,"Ketat",IF(J4604&lt;='Catatan &amp; Sumber'!$B$16,"Sedang","Relatif Longgar"))))</x:f>
        <x:v>Relatif Longgar</x:v>
      </x:c>
      <x:c r="N4604" s="66" t="str">
        <x:v>Tidak Ada</x:v>
      </x:c>
      <x:c r="O4604" s="66" t="str">
        <x:v>Sulawesi Tengah</x:v>
      </x:c>
      <x:c r="P4604" s="66" t="str">
        <x:v>Kota Palu</x:v>
      </x:c>
      <x:c r="Q4604" s="66" t="str">
        <x:v>https://snpmb.id/snbp/daya-tampung-snbp</x:v>
      </x:c>
      <x:c r="R4604" s="66" t="str">
        <x:v>https://sidatagrun-public-1076756628210.asia-southeast2.run.app/ptn_sn.php?ptn=731</x:v>
      </x:c>
    </x:row>
    <x:row r="4605">
      <x:c r="A4605" s="87" t="n">
        <x:v>3588</x:v>
      </x:c>
      <x:c r="B4605" s="66" t="n">
        <x:v>731</x:v>
      </x:c>
      <x:c r="C4605" s="66" t="str">
        <x:v>UNIVERSITAS TADULAKO</x:v>
      </x:c>
      <x:c r="D4605" s="66" t="str">
        <x:v>PTN Akademik</x:v>
      </x:c>
      <x:c r="E4605" s="66" t="str">
        <x:v>17311036</x:v>
      </x:c>
      <x:c r="F4605" s="66" t="str">
        <x:v>PEND. SEJARAH</x:v>
      </x:c>
      <x:c r="G4605" s="66" t="str">
        <x:v>Sarjana</x:v>
      </x:c>
      <x:c r="H4605" s="87" t="n">
        <x:v>70</x:v>
      </x:c>
      <x:c r="I4605" s="87" t="n">
        <x:v>150</x:v>
      </x:c>
      <x:c r="J4605" s="68" t="n">
        <x:f>IFERROR(H4605/I4605,"")</x:f>
        <x:v>0.4666666666666667</x:v>
      </x:c>
      <x:c r="K4605" s="69" t="n">
        <x:f>IFERROR(I4605/H4605,"")</x:f>
        <x:v>2.142857142857143</x:v>
      </x:c>
      <x:c r="L4605" s="66" t="str">
        <x:f>IF(K4605="","","1 : "&amp;TEXT(K4605,"0.0"))</x:f>
        <x:v>1 : 2.1</x:v>
      </x:c>
      <x:c r="M4605" s="66" t="str">
        <x:f>IF(J4605="","Baru/Tanpa Data",IF(J4605&lt;='Catatan &amp; Sumber'!$B$14,"Sangat Ketat",IF(J4605&lt;='Catatan &amp; Sumber'!$B$15,"Ketat",IF(J4605&lt;='Catatan &amp; Sumber'!$B$16,"Sedang","Relatif Longgar"))))</x:f>
        <x:v>Relatif Longgar</x:v>
      </x:c>
      <x:c r="N4605" s="66" t="str">
        <x:v>Tidak Ada</x:v>
      </x:c>
      <x:c r="O4605" s="66" t="str">
        <x:v>Sulawesi Tengah</x:v>
      </x:c>
      <x:c r="P4605" s="66" t="str">
        <x:v>Kota Palu</x:v>
      </x:c>
      <x:c r="Q4605" s="66" t="str">
        <x:v>https://snpmb.id/snbp/daya-tampung-snbp</x:v>
      </x:c>
      <x:c r="R4605" s="66" t="str">
        <x:v>https://sidatagrun-public-1076756628210.asia-southeast2.run.app/ptn_sn.php?ptn=731</x:v>
      </x:c>
    </x:row>
    <x:row r="4606">
      <x:c r="A4606" s="87" t="n">
        <x:v>1475</x:v>
      </x:c>
      <x:c r="B4606" s="66" t="n">
        <x:v>731</x:v>
      </x:c>
      <x:c r="C4606" s="66" t="str">
        <x:v>UNIVERSITAS TADULAKO</x:v>
      </x:c>
      <x:c r="D4606" s="66" t="str">
        <x:v>PTN Akademik</x:v>
      </x:c>
      <x:c r="E4606" s="66" t="str">
        <x:v>17311037</x:v>
      </x:c>
      <x:c r="F4606" s="66" t="str">
        <x:v>BIMBINGAN DAN KONSELING</x:v>
      </x:c>
      <x:c r="G4606" s="66" t="str">
        <x:v>Sarjana</x:v>
      </x:c>
      <x:c r="H4606" s="87" t="n">
        <x:v>45</x:v>
      </x:c>
      <x:c r="I4606" s="87" t="n">
        <x:v>417</x:v>
      </x:c>
      <x:c r="J4606" s="68" t="n">
        <x:f>IFERROR(H4606/I4606,"")</x:f>
        <x:v>0.1079136690647482</x:v>
      </x:c>
      <x:c r="K4606" s="69" t="n">
        <x:f>IFERROR(I4606/H4606,"")</x:f>
        <x:v>9.266666666666667</x:v>
      </x:c>
      <x:c r="L4606" s="66" t="str">
        <x:f>IF(K4606="","","1 : "&amp;TEXT(K4606,"0.0"))</x:f>
        <x:v>1 : 9.3</x:v>
      </x:c>
      <x:c r="M4606" s="66" t="str">
        <x:f>IF(J4606="","Baru/Tanpa Data",IF(J4606&lt;='Catatan &amp; Sumber'!$B$14,"Sangat Ketat",IF(J4606&lt;='Catatan &amp; Sumber'!$B$15,"Ketat",IF(J4606&lt;='Catatan &amp; Sumber'!$B$16,"Sedang","Relatif Longgar"))))</x:f>
        <x:v>Relatif Longgar</x:v>
      </x:c>
      <x:c r="N4606" s="66" t="str">
        <x:v>Tidak Ada</x:v>
      </x:c>
      <x:c r="O4606" s="66" t="str">
        <x:v>Sulawesi Tengah</x:v>
      </x:c>
      <x:c r="P4606" s="66" t="str">
        <x:v>Kota Palu</x:v>
      </x:c>
      <x:c r="Q4606" s="66" t="str">
        <x:v>https://snpmb.id/snbp/daya-tampung-snbp</x:v>
      </x:c>
      <x:c r="R4606" s="66" t="str">
        <x:v>https://sidatagrun-public-1076756628210.asia-southeast2.run.app/ptn_sn.php?ptn=731</x:v>
      </x:c>
    </x:row>
    <x:row r="4607">
      <x:c r="A4607" s="87" t="n">
        <x:v>835</x:v>
      </x:c>
      <x:c r="B4607" s="66" t="n">
        <x:v>731</x:v>
      </x:c>
      <x:c r="C4607" s="66" t="str">
        <x:v>UNIVERSITAS TADULAKO</x:v>
      </x:c>
      <x:c r="D4607" s="66" t="str">
        <x:v>PTN Akademik</x:v>
      </x:c>
      <x:c r="E4607" s="66" t="str">
        <x:v>17311038</x:v>
      </x:c>
      <x:c r="F4607" s="66" t="str">
        <x:v>PEND. GURU SEKOLAH DASAR</x:v>
      </x:c>
      <x:c r="G4607" s="66" t="str">
        <x:v>Sarjana</x:v>
      </x:c>
      <x:c r="H4607" s="87" t="n">
        <x:v>75</x:v>
      </x:c>
      <x:c r="I4607" s="87" t="n">
        <x:v>1097</x:v>
      </x:c>
      <x:c r="J4607" s="68" t="n">
        <x:f>IFERROR(H4607/I4607,"")</x:f>
        <x:v>0.06836827711941659</x:v>
      </x:c>
      <x:c r="K4607" s="69" t="n">
        <x:f>IFERROR(I4607/H4607,"")</x:f>
        <x:v>14.626666666666667</x:v>
      </x:c>
      <x:c r="L4607" s="66" t="str">
        <x:f>IF(K4607="","","1 : "&amp;TEXT(K4607,"0.0"))</x:f>
        <x:v>1 : 14.6</x:v>
      </x:c>
      <x:c r="M4607" s="66" t="str">
        <x:f>IF(J4607="","Baru/Tanpa Data",IF(J4607&lt;='Catatan &amp; Sumber'!$B$14,"Sangat Ketat",IF(J4607&lt;='Catatan &amp; Sumber'!$B$15,"Ketat",IF(J4607&lt;='Catatan &amp; Sumber'!$B$16,"Sedang","Relatif Longgar"))))</x:f>
        <x:v>Sedang</x:v>
      </x:c>
      <x:c r="N4607" s="66" t="str">
        <x:v>Tidak Ada</x:v>
      </x:c>
      <x:c r="O4607" s="66" t="str">
        <x:v>Sulawesi Tengah</x:v>
      </x:c>
      <x:c r="P4607" s="66" t="str">
        <x:v>Kota Palu</x:v>
      </x:c>
      <x:c r="Q4607" s="66" t="str">
        <x:v>https://snpmb.id/snbp/daya-tampung-snbp</x:v>
      </x:c>
      <x:c r="R4607" s="66" t="str">
        <x:v>https://sidatagrun-public-1076756628210.asia-southeast2.run.app/ptn_sn.php?ptn=731</x:v>
      </x:c>
    </x:row>
    <x:row r="4608">
      <x:c r="A4608" s="87" t="n">
        <x:v>3284</x:v>
      </x:c>
      <x:c r="B4608" s="66" t="n">
        <x:v>731</x:v>
      </x:c>
      <x:c r="C4608" s="66" t="str">
        <x:v>UNIVERSITAS TADULAKO</x:v>
      </x:c>
      <x:c r="D4608" s="66" t="str">
        <x:v>PTN Akademik</x:v>
      </x:c>
      <x:c r="E4608" s="66" t="str">
        <x:v>17311039</x:v>
      </x:c>
      <x:c r="F4608" s="66" t="str">
        <x:v>PEND. GURU PAUD</x:v>
      </x:c>
      <x:c r="G4608" s="66" t="str">
        <x:v>Sarjana</x:v>
      </x:c>
      <x:c r="H4608" s="87" t="n">
        <x:v>50</x:v>
      </x:c>
      <x:c r="I4608" s="87" t="n">
        <x:v>136</x:v>
      </x:c>
      <x:c r="J4608" s="68" t="n">
        <x:f>IFERROR(H4608/I4608,"")</x:f>
        <x:v>0.36764705882352944</x:v>
      </x:c>
      <x:c r="K4608" s="69" t="n">
        <x:f>IFERROR(I4608/H4608,"")</x:f>
        <x:v>2.72</x:v>
      </x:c>
      <x:c r="L4608" s="66" t="str">
        <x:f>IF(K4608="","","1 : "&amp;TEXT(K4608,"0.0"))</x:f>
        <x:v>1 : 2.7</x:v>
      </x:c>
      <x:c r="M4608" s="66" t="str">
        <x:f>IF(J4608="","Baru/Tanpa Data",IF(J4608&lt;='Catatan &amp; Sumber'!$B$14,"Sangat Ketat",IF(J4608&lt;='Catatan &amp; Sumber'!$B$15,"Ketat",IF(J4608&lt;='Catatan &amp; Sumber'!$B$16,"Sedang","Relatif Longgar"))))</x:f>
        <x:v>Relatif Longgar</x:v>
      </x:c>
      <x:c r="N4608" s="66" t="str">
        <x:v>Tidak Ada</x:v>
      </x:c>
      <x:c r="O4608" s="66" t="str">
        <x:v>Sulawesi Tengah</x:v>
      </x:c>
      <x:c r="P4608" s="66" t="str">
        <x:v>Kota Palu</x:v>
      </x:c>
      <x:c r="Q4608" s="66" t="str">
        <x:v>https://snpmb.id/snbp/daya-tampung-snbp</x:v>
      </x:c>
      <x:c r="R4608" s="66" t="str">
        <x:v>https://sidatagrun-public-1076756628210.asia-southeast2.run.app/ptn_sn.php?ptn=731</x:v>
      </x:c>
    </x:row>
    <x:row r="4609">
      <x:c r="A4609" s="87" t="n">
        <x:v>1551</x:v>
      </x:c>
      <x:c r="B4609" s="66" t="n">
        <x:v>731</x:v>
      </x:c>
      <x:c r="C4609" s="66" t="str">
        <x:v>UNIVERSITAS TADULAKO</x:v>
      </x:c>
      <x:c r="D4609" s="66" t="str">
        <x:v>PTN Akademik</x:v>
      </x:c>
      <x:c r="E4609" s="66" t="str">
        <x:v>17311040</x:v>
      </x:c>
      <x:c r="F4609" s="66" t="str">
        <x:v>ADMINISTRASI PUBLIK</x:v>
      </x:c>
      <x:c r="G4609" s="66" t="str">
        <x:v>Sarjana</x:v>
      </x:c>
      <x:c r="H4609" s="87" t="n">
        <x:v>40</x:v>
      </x:c>
      <x:c r="I4609" s="87" t="n">
        <x:v>353</x:v>
      </x:c>
      <x:c r="J4609" s="68" t="n">
        <x:f>IFERROR(H4609/I4609,"")</x:f>
        <x:v>0.11331444759206799</x:v>
      </x:c>
      <x:c r="K4609" s="69" t="n">
        <x:f>IFERROR(I4609/H4609,"")</x:f>
        <x:v>8.825</x:v>
      </x:c>
      <x:c r="L4609" s="66" t="str">
        <x:f>IF(K4609="","","1 : "&amp;TEXT(K4609,"0.0"))</x:f>
        <x:v>1 : 8.8</x:v>
      </x:c>
      <x:c r="M4609" s="66" t="str">
        <x:f>IF(J4609="","Baru/Tanpa Data",IF(J4609&lt;='Catatan &amp; Sumber'!$B$14,"Sangat Ketat",IF(J4609&lt;='Catatan &amp; Sumber'!$B$15,"Ketat",IF(J4609&lt;='Catatan &amp; Sumber'!$B$16,"Sedang","Relatif Longgar"))))</x:f>
        <x:v>Relatif Longgar</x:v>
      </x:c>
      <x:c r="N4609" s="66" t="str">
        <x:v>Tidak Ada</x:v>
      </x:c>
      <x:c r="O4609" s="66" t="str">
        <x:v>Sulawesi Tengah</x:v>
      </x:c>
      <x:c r="P4609" s="66" t="str">
        <x:v>Kota Palu</x:v>
      </x:c>
      <x:c r="Q4609" s="66" t="str">
        <x:v>https://snpmb.id/snbp/daya-tampung-snbp</x:v>
      </x:c>
      <x:c r="R4609" s="66" t="str">
        <x:v>https://sidatagrun-public-1076756628210.asia-southeast2.run.app/ptn_sn.php?ptn=731</x:v>
      </x:c>
    </x:row>
    <x:row r="4610">
      <x:c r="A4610" s="87" t="n">
        <x:v>2444</x:v>
      </x:c>
      <x:c r="B4610" s="66" t="n">
        <x:v>731</x:v>
      </x:c>
      <x:c r="C4610" s="66" t="str">
        <x:v>UNIVERSITAS TADULAKO</x:v>
      </x:c>
      <x:c r="D4610" s="66" t="str">
        <x:v>PTN Akademik</x:v>
      </x:c>
      <x:c r="E4610" s="66" t="str">
        <x:v>17311041</x:v>
      </x:c>
      <x:c r="F4610" s="66" t="str">
        <x:v>SOSIOLOGI</x:v>
      </x:c>
      <x:c r="G4610" s="66" t="str">
        <x:v>Sarjana</x:v>
      </x:c>
      <x:c r="H4610" s="87" t="n">
        <x:v>30</x:v>
      </x:c>
      <x:c r="I4610" s="87" t="n">
        <x:v>149</x:v>
      </x:c>
      <x:c r="J4610" s="68" t="n">
        <x:f>IFERROR(H4610/I4610,"")</x:f>
        <x:v>0.20134228187919462</x:v>
      </x:c>
      <x:c r="K4610" s="69" t="n">
        <x:f>IFERROR(I4610/H4610,"")</x:f>
        <x:v>4.966666666666667</x:v>
      </x:c>
      <x:c r="L4610" s="66" t="str">
        <x:f>IF(K4610="","","1 : "&amp;TEXT(K4610,"0.0"))</x:f>
        <x:v>1 : 5.0</x:v>
      </x:c>
      <x:c r="M4610" s="66" t="str">
        <x:f>IF(J4610="","Baru/Tanpa Data",IF(J4610&lt;='Catatan &amp; Sumber'!$B$14,"Sangat Ketat",IF(J4610&lt;='Catatan &amp; Sumber'!$B$15,"Ketat",IF(J4610&lt;='Catatan &amp; Sumber'!$B$16,"Sedang","Relatif Longgar"))))</x:f>
        <x:v>Relatif Longgar</x:v>
      </x:c>
      <x:c r="N4610" s="66" t="str">
        <x:v>Tidak Ada</x:v>
      </x:c>
      <x:c r="O4610" s="66" t="str">
        <x:v>Sulawesi Tengah</x:v>
      </x:c>
      <x:c r="P4610" s="66" t="str">
        <x:v>Kota Palu</x:v>
      </x:c>
      <x:c r="Q4610" s="66" t="str">
        <x:v>https://snpmb.id/snbp/daya-tampung-snbp</x:v>
      </x:c>
      <x:c r="R4610" s="66" t="str">
        <x:v>https://sidatagrun-public-1076756628210.asia-southeast2.run.app/ptn_sn.php?ptn=731</x:v>
      </x:c>
    </x:row>
    <x:row r="4611">
      <x:c r="A4611" s="87" t="n">
        <x:v>3412</x:v>
      </x:c>
      <x:c r="B4611" s="66" t="n">
        <x:v>731</x:v>
      </x:c>
      <x:c r="C4611" s="66" t="str">
        <x:v>UNIVERSITAS TADULAKO</x:v>
      </x:c>
      <x:c r="D4611" s="66" t="str">
        <x:v>PTN Akademik</x:v>
      </x:c>
      <x:c r="E4611" s="66" t="str">
        <x:v>17311042</x:v>
      </x:c>
      <x:c r="F4611" s="66" t="str">
        <x:v>ANTROPOLOGI</x:v>
      </x:c>
      <x:c r="G4611" s="66" t="str">
        <x:v>Sarjana</x:v>
      </x:c>
      <x:c r="H4611" s="87" t="n">
        <x:v>30</x:v>
      </x:c>
      <x:c r="I4611" s="87" t="n">
        <x:v>74</x:v>
      </x:c>
      <x:c r="J4611" s="68" t="n">
        <x:f>IFERROR(H4611/I4611,"")</x:f>
        <x:v>0.40540540540540543</x:v>
      </x:c>
      <x:c r="K4611" s="69" t="n">
        <x:f>IFERROR(I4611/H4611,"")</x:f>
        <x:v>2.466666666666667</x:v>
      </x:c>
      <x:c r="L4611" s="66" t="str">
        <x:f>IF(K4611="","","1 : "&amp;TEXT(K4611,"0.0"))</x:f>
        <x:v>1 : 2.5</x:v>
      </x:c>
      <x:c r="M4611" s="66" t="str">
        <x:f>IF(J4611="","Baru/Tanpa Data",IF(J4611&lt;='Catatan &amp; Sumber'!$B$14,"Sangat Ketat",IF(J4611&lt;='Catatan &amp; Sumber'!$B$15,"Ketat",IF(J4611&lt;='Catatan &amp; Sumber'!$B$16,"Sedang","Relatif Longgar"))))</x:f>
        <x:v>Relatif Longgar</x:v>
      </x:c>
      <x:c r="N4611" s="66" t="str">
        <x:v>Tidak Ada</x:v>
      </x:c>
      <x:c r="O4611" s="66" t="str">
        <x:v>Sulawesi Tengah</x:v>
      </x:c>
      <x:c r="P4611" s="66" t="str">
        <x:v>Kota Palu</x:v>
      </x:c>
      <x:c r="Q4611" s="66" t="str">
        <x:v>https://snpmb.id/snbp/daya-tampung-snbp</x:v>
      </x:c>
      <x:c r="R4611" s="66" t="str">
        <x:v>https://sidatagrun-public-1076756628210.asia-southeast2.run.app/ptn_sn.php?ptn=731</x:v>
      </x:c>
    </x:row>
    <x:row r="4612">
      <x:c r="A4612" s="87" t="n">
        <x:v>2240</x:v>
      </x:c>
      <x:c r="B4612" s="66" t="n">
        <x:v>731</x:v>
      </x:c>
      <x:c r="C4612" s="66" t="str">
        <x:v>UNIVERSITAS TADULAKO</x:v>
      </x:c>
      <x:c r="D4612" s="66" t="str">
        <x:v>PTN Akademik</x:v>
      </x:c>
      <x:c r="E4612" s="66" t="str">
        <x:v>17311043</x:v>
      </x:c>
      <x:c r="F4612" s="66" t="str">
        <x:v>ILMU PEMERINTAHAN</x:v>
      </x:c>
      <x:c r="G4612" s="66" t="str">
        <x:v>Sarjana</x:v>
      </x:c>
      <x:c r="H4612" s="87" t="n">
        <x:v>40</x:v>
      </x:c>
      <x:c r="I4612" s="87" t="n">
        <x:v>226</x:v>
      </x:c>
      <x:c r="J4612" s="68" t="n">
        <x:f>IFERROR(H4612/I4612,"")</x:f>
        <x:v>0.17699115044247787</x:v>
      </x:c>
      <x:c r="K4612" s="69" t="n">
        <x:f>IFERROR(I4612/H4612,"")</x:f>
        <x:v>5.65</x:v>
      </x:c>
      <x:c r="L4612" s="66" t="str">
        <x:f>IF(K4612="","","1 : "&amp;TEXT(K4612,"0.0"))</x:f>
        <x:v>1 : 5.7</x:v>
      </x:c>
      <x:c r="M4612" s="66" t="str">
        <x:f>IF(J4612="","Baru/Tanpa Data",IF(J4612&lt;='Catatan &amp; Sumber'!$B$14,"Sangat Ketat",IF(J4612&lt;='Catatan &amp; Sumber'!$B$15,"Ketat",IF(J4612&lt;='Catatan &amp; Sumber'!$B$16,"Sedang","Relatif Longgar"))))</x:f>
        <x:v>Relatif Longgar</x:v>
      </x:c>
      <x:c r="N4612" s="66" t="str">
        <x:v>Tidak Ada</x:v>
      </x:c>
      <x:c r="O4612" s="66" t="str">
        <x:v>Sulawesi Tengah</x:v>
      </x:c>
      <x:c r="P4612" s="66" t="str">
        <x:v>Kota Palu</x:v>
      </x:c>
      <x:c r="Q4612" s="66" t="str">
        <x:v>https://snpmb.id/snbp/daya-tampung-snbp</x:v>
      </x:c>
      <x:c r="R4612" s="66" t="str">
        <x:v>https://sidatagrun-public-1076756628210.asia-southeast2.run.app/ptn_sn.php?ptn=731</x:v>
      </x:c>
    </x:row>
    <x:row r="4613">
      <x:c r="A4613" s="87" t="n">
        <x:v>1165</x:v>
      </x:c>
      <x:c r="B4613" s="66" t="n">
        <x:v>731</x:v>
      </x:c>
      <x:c r="C4613" s="66" t="str">
        <x:v>UNIVERSITAS TADULAKO</x:v>
      </x:c>
      <x:c r="D4613" s="66" t="str">
        <x:v>PTN Akademik</x:v>
      </x:c>
      <x:c r="E4613" s="66" t="str">
        <x:v>17311044</x:v>
      </x:c>
      <x:c r="F4613" s="66" t="str">
        <x:v>ILMU KOMUNIKASI</x:v>
      </x:c>
      <x:c r="G4613" s="66" t="str">
        <x:v>Sarjana</x:v>
      </x:c>
      <x:c r="H4613" s="87" t="n">
        <x:v>40</x:v>
      </x:c>
      <x:c r="I4613" s="87" t="n">
        <x:v>456</x:v>
      </x:c>
      <x:c r="J4613" s="68" t="n">
        <x:f>IFERROR(H4613/I4613,"")</x:f>
        <x:v>0.08771929824561403</x:v>
      </x:c>
      <x:c r="K4613" s="69" t="n">
        <x:f>IFERROR(I4613/H4613,"")</x:f>
        <x:v>11.4</x:v>
      </x:c>
      <x:c r="L4613" s="66" t="str">
        <x:f>IF(K4613="","","1 : "&amp;TEXT(K4613,"0.0"))</x:f>
        <x:v>1 : 11.4</x:v>
      </x:c>
      <x:c r="M4613" s="66" t="str">
        <x:f>IF(J4613="","Baru/Tanpa Data",IF(J4613&lt;='Catatan &amp; Sumber'!$B$14,"Sangat Ketat",IF(J4613&lt;='Catatan &amp; Sumber'!$B$15,"Ketat",IF(J4613&lt;='Catatan &amp; Sumber'!$B$16,"Sedang","Relatif Longgar"))))</x:f>
        <x:v>Sedang</x:v>
      </x:c>
      <x:c r="N4613" s="66" t="str">
        <x:v>Tidak Ada</x:v>
      </x:c>
      <x:c r="O4613" s="66" t="str">
        <x:v>Sulawesi Tengah</x:v>
      </x:c>
      <x:c r="P4613" s="66" t="str">
        <x:v>Kota Palu</x:v>
      </x:c>
      <x:c r="Q4613" s="66" t="str">
        <x:v>https://snpmb.id/snbp/daya-tampung-snbp</x:v>
      </x:c>
      <x:c r="R4613" s="66" t="str">
        <x:v>https://sidatagrun-public-1076756628210.asia-southeast2.run.app/ptn_sn.php?ptn=731</x:v>
      </x:c>
    </x:row>
    <x:row r="4614">
      <x:c r="A4614" s="87" t="n">
        <x:v>3528</x:v>
      </x:c>
      <x:c r="B4614" s="66" t="n">
        <x:v>731</x:v>
      </x:c>
      <x:c r="C4614" s="66" t="str">
        <x:v>UNIVERSITAS TADULAKO</x:v>
      </x:c>
      <x:c r="D4614" s="66" t="str">
        <x:v>PTN Akademik</x:v>
      </x:c>
      <x:c r="E4614" s="66" t="str">
        <x:v>17311045</x:v>
      </x:c>
      <x:c r="F4614" s="66" t="str">
        <x:v>EKONOMI PEMBANGUNAN</x:v>
      </x:c>
      <x:c r="G4614" s="66" t="str">
        <x:v>Sarjana</x:v>
      </x:c>
      <x:c r="H4614" s="87" t="n">
        <x:v>40</x:v>
      </x:c>
      <x:c r="I4614" s="87" t="n">
        <x:v>90</x:v>
      </x:c>
      <x:c r="J4614" s="68" t="n">
        <x:f>IFERROR(H4614/I4614,"")</x:f>
        <x:v>0.4444444444444444</x:v>
      </x:c>
      <x:c r="K4614" s="69" t="n">
        <x:f>IFERROR(I4614/H4614,"")</x:f>
        <x:v>2.25</x:v>
      </x:c>
      <x:c r="L4614" s="66" t="str">
        <x:f>IF(K4614="","","1 : "&amp;TEXT(K4614,"0.0"))</x:f>
        <x:v>1 : 2.3</x:v>
      </x:c>
      <x:c r="M4614" s="66" t="str">
        <x:f>IF(J4614="","Baru/Tanpa Data",IF(J4614&lt;='Catatan &amp; Sumber'!$B$14,"Sangat Ketat",IF(J4614&lt;='Catatan &amp; Sumber'!$B$15,"Ketat",IF(J4614&lt;='Catatan &amp; Sumber'!$B$16,"Sedang","Relatif Longgar"))))</x:f>
        <x:v>Relatif Longgar</x:v>
      </x:c>
      <x:c r="N4614" s="66" t="str">
        <x:v>Tidak Ada</x:v>
      </x:c>
      <x:c r="O4614" s="66" t="str">
        <x:v>Sulawesi Tengah</x:v>
      </x:c>
      <x:c r="P4614" s="66" t="str">
        <x:v>Kota Palu</x:v>
      </x:c>
      <x:c r="Q4614" s="66" t="str">
        <x:v>https://snpmb.id/snbp/daya-tampung-snbp</x:v>
      </x:c>
      <x:c r="R4614" s="66" t="str">
        <x:v>https://sidatagrun-public-1076756628210.asia-southeast2.run.app/ptn_sn.php?ptn=731</x:v>
      </x:c>
    </x:row>
    <x:row r="4615">
      <x:c r="A4615" s="87" t="n">
        <x:v>793</x:v>
      </x:c>
      <x:c r="B4615" s="66" t="n">
        <x:v>731</x:v>
      </x:c>
      <x:c r="C4615" s="66" t="str">
        <x:v>UNIVERSITAS TADULAKO</x:v>
      </x:c>
      <x:c r="D4615" s="66" t="str">
        <x:v>PTN Akademik</x:v>
      </x:c>
      <x:c r="E4615" s="66" t="str">
        <x:v>17311046</x:v>
      </x:c>
      <x:c r="F4615" s="66" t="str">
        <x:v>EKONOMI MANAJEMEN</x:v>
      </x:c>
      <x:c r="G4615" s="66" t="str">
        <x:v>Sarjana</x:v>
      </x:c>
      <x:c r="H4615" s="87" t="n">
        <x:v>50</x:v>
      </x:c>
      <x:c r="I4615" s="87" t="n">
        <x:v>754</x:v>
      </x:c>
      <x:c r="J4615" s="68" t="n">
        <x:f>IFERROR(H4615/I4615,"")</x:f>
        <x:v>0.06631299734748011</x:v>
      </x:c>
      <x:c r="K4615" s="69" t="n">
        <x:f>IFERROR(I4615/H4615,"")</x:f>
        <x:v>15.08</x:v>
      </x:c>
      <x:c r="L4615" s="66" t="str">
        <x:f>IF(K4615="","","1 : "&amp;TEXT(K4615,"0.0"))</x:f>
        <x:v>1 : 15.1</x:v>
      </x:c>
      <x:c r="M4615" s="66" t="str">
        <x:f>IF(J4615="","Baru/Tanpa Data",IF(J4615&lt;='Catatan &amp; Sumber'!$B$14,"Sangat Ketat",IF(J4615&lt;='Catatan &amp; Sumber'!$B$15,"Ketat",IF(J4615&lt;='Catatan &amp; Sumber'!$B$16,"Sedang","Relatif Longgar"))))</x:f>
        <x:v>Sedang</x:v>
      </x:c>
      <x:c r="N4615" s="66" t="str">
        <x:v>Tidak Ada</x:v>
      </x:c>
      <x:c r="O4615" s="66" t="str">
        <x:v>Sulawesi Tengah</x:v>
      </x:c>
      <x:c r="P4615" s="66" t="str">
        <x:v>Kota Palu</x:v>
      </x:c>
      <x:c r="Q4615" s="66" t="str">
        <x:v>https://snpmb.id/snbp/daya-tampung-snbp</x:v>
      </x:c>
      <x:c r="R4615" s="66" t="str">
        <x:v>https://sidatagrun-public-1076756628210.asia-southeast2.run.app/ptn_sn.php?ptn=731</x:v>
      </x:c>
    </x:row>
    <x:row r="4616">
      <x:c r="A4616" s="87" t="n">
        <x:v>1293</x:v>
      </x:c>
      <x:c r="B4616" s="66" t="n">
        <x:v>731</x:v>
      </x:c>
      <x:c r="C4616" s="66" t="str">
        <x:v>UNIVERSITAS TADULAKO</x:v>
      </x:c>
      <x:c r="D4616" s="66" t="str">
        <x:v>PTN Akademik</x:v>
      </x:c>
      <x:c r="E4616" s="66" t="str">
        <x:v>17311047</x:v>
      </x:c>
      <x:c r="F4616" s="66" t="str">
        <x:v>EKONOMI AKUNTANSI</x:v>
      </x:c>
      <x:c r="G4616" s="66" t="str">
        <x:v>Sarjana</x:v>
      </x:c>
      <x:c r="H4616" s="87" t="n">
        <x:v>50</x:v>
      </x:c>
      <x:c r="I4616" s="87" t="n">
        <x:v>527</x:v>
      </x:c>
      <x:c r="J4616" s="68" t="n">
        <x:f>IFERROR(H4616/I4616,"")</x:f>
        <x:v>0.09487666034155598</x:v>
      </x:c>
      <x:c r="K4616" s="69" t="n">
        <x:f>IFERROR(I4616/H4616,"")</x:f>
        <x:v>10.54</x:v>
      </x:c>
      <x:c r="L4616" s="66" t="str">
        <x:f>IF(K4616="","","1 : "&amp;TEXT(K4616,"0.0"))</x:f>
        <x:v>1 : 10.5</x:v>
      </x:c>
      <x:c r="M4616" s="66" t="str">
        <x:f>IF(J4616="","Baru/Tanpa Data",IF(J4616&lt;='Catatan &amp; Sumber'!$B$14,"Sangat Ketat",IF(J4616&lt;='Catatan &amp; Sumber'!$B$15,"Ketat",IF(J4616&lt;='Catatan &amp; Sumber'!$B$16,"Sedang","Relatif Longgar"))))</x:f>
        <x:v>Sedang</x:v>
      </x:c>
      <x:c r="N4616" s="66" t="str">
        <x:v>Tidak Ada</x:v>
      </x:c>
      <x:c r="O4616" s="66" t="str">
        <x:v>Sulawesi Tengah</x:v>
      </x:c>
      <x:c r="P4616" s="66" t="str">
        <x:v>Kota Palu</x:v>
      </x:c>
      <x:c r="Q4616" s="66" t="str">
        <x:v>https://snpmb.id/snbp/daya-tampung-snbp</x:v>
      </x:c>
      <x:c r="R4616" s="66" t="str">
        <x:v>https://sidatagrun-public-1076756628210.asia-southeast2.run.app/ptn_sn.php?ptn=731</x:v>
      </x:c>
    </x:row>
    <x:row r="4617">
      <x:c r="A4617" s="87" t="n">
        <x:v>3189</x:v>
      </x:c>
      <x:c r="B4617" s="66" t="n">
        <x:v>731</x:v>
      </x:c>
      <x:c r="C4617" s="66" t="str">
        <x:v>UNIVERSITAS TADULAKO</x:v>
      </x:c>
      <x:c r="D4617" s="66" t="str">
        <x:v>PTN Akademik</x:v>
      </x:c>
      <x:c r="E4617" s="66" t="str">
        <x:v>17311048</x:v>
      </x:c>
      <x:c r="F4617" s="66" t="str">
        <x:v>ILMU HUKUM</x:v>
      </x:c>
      <x:c r="G4617" s="66" t="str">
        <x:v>Sarjana</x:v>
      </x:c>
      <x:c r="H4617" s="87" t="n">
        <x:v>175</x:v>
      </x:c>
      <x:c r="I4617" s="87" t="n">
        <x:v>516</x:v>
      </x:c>
      <x:c r="J4617" s="68" t="n">
        <x:f>IFERROR(H4617/I4617,"")</x:f>
        <x:v>0.3391472868217054</x:v>
      </x:c>
      <x:c r="K4617" s="69" t="n">
        <x:f>IFERROR(I4617/H4617,"")</x:f>
        <x:v>2.9485714285714284</x:v>
      </x:c>
      <x:c r="L4617" s="66" t="str">
        <x:f>IF(K4617="","","1 : "&amp;TEXT(K4617,"0.0"))</x:f>
        <x:v>1 : 2.9</x:v>
      </x:c>
      <x:c r="M4617" s="66" t="str">
        <x:f>IF(J4617="","Baru/Tanpa Data",IF(J4617&lt;='Catatan &amp; Sumber'!$B$14,"Sangat Ketat",IF(J4617&lt;='Catatan &amp; Sumber'!$B$15,"Ketat",IF(J4617&lt;='Catatan &amp; Sumber'!$B$16,"Sedang","Relatif Longgar"))))</x:f>
        <x:v>Relatif Longgar</x:v>
      </x:c>
      <x:c r="N4617" s="66" t="str">
        <x:v>Tidak Ada</x:v>
      </x:c>
      <x:c r="O4617" s="66" t="str">
        <x:v>Sulawesi Tengah</x:v>
      </x:c>
      <x:c r="P4617" s="66" t="str">
        <x:v>Kota Palu</x:v>
      </x:c>
      <x:c r="Q4617" s="66" t="str">
        <x:v>https://snpmb.id/snbp/daya-tampung-snbp</x:v>
      </x:c>
      <x:c r="R4617" s="66" t="str">
        <x:v>https://sidatagrun-public-1076756628210.asia-southeast2.run.app/ptn_sn.php?ptn=731</x:v>
      </x:c>
    </x:row>
    <x:row r="4618">
      <x:c r="A4618" s="87" t="n">
        <x:v>3298</x:v>
      </x:c>
      <x:c r="B4618" s="66" t="n">
        <x:v>731</x:v>
      </x:c>
      <x:c r="C4618" s="66" t="str">
        <x:v>UNIVERSITAS TADULAKO</x:v>
      </x:c>
      <x:c r="D4618" s="66" t="str">
        <x:v>PTN Akademik</x:v>
      </x:c>
      <x:c r="E4618" s="66" t="str">
        <x:v>17311049</x:v>
      </x:c>
      <x:c r="F4618" s="66" t="str">
        <x:v>PEND. JASMANI, KESEHATAN DAN REKREASI</x:v>
      </x:c>
      <x:c r="G4618" s="66" t="str">
        <x:v>Sarjana</x:v>
      </x:c>
      <x:c r="H4618" s="87" t="n">
        <x:v>60</x:v>
      </x:c>
      <x:c r="I4618" s="87" t="n">
        <x:v>160</x:v>
      </x:c>
      <x:c r="J4618" s="68" t="n">
        <x:f>IFERROR(H4618/I4618,"")</x:f>
        <x:v>0.375</x:v>
      </x:c>
      <x:c r="K4618" s="69" t="n">
        <x:f>IFERROR(I4618/H4618,"")</x:f>
        <x:v>2.6666666666666665</x:v>
      </x:c>
      <x:c r="L4618" s="66" t="str">
        <x:f>IF(K4618="","","1 : "&amp;TEXT(K4618,"0.0"))</x:f>
        <x:v>1 : 2.7</x:v>
      </x:c>
      <x:c r="M4618" s="66" t="str">
        <x:f>IF(J4618="","Baru/Tanpa Data",IF(J4618&lt;='Catatan &amp; Sumber'!$B$14,"Sangat Ketat",IF(J4618&lt;='Catatan &amp; Sumber'!$B$15,"Ketat",IF(J4618&lt;='Catatan &amp; Sumber'!$B$16,"Sedang","Relatif Longgar"))))</x:f>
        <x:v>Relatif Longgar</x:v>
      </x:c>
      <x:c r="N4618" s="66" t="str">
        <x:v>Olahraga</x:v>
      </x:c>
      <x:c r="O4618" s="66" t="str">
        <x:v>Sulawesi Tengah</x:v>
      </x:c>
      <x:c r="P4618" s="66" t="str">
        <x:v>Kota Palu</x:v>
      </x:c>
      <x:c r="Q4618" s="66" t="str">
        <x:v>https://snpmb.id/snbp/daya-tampung-snbp</x:v>
      </x:c>
      <x:c r="R4618" s="66" t="str">
        <x:v>https://sidatagrun-public-1076756628210.asia-southeast2.run.app/ptn_sn.php?ptn=731</x:v>
      </x:c>
    </x:row>
    <x:row r="4619">
      <x:c r="A4619" s="87" t="n">
        <x:v>3342</x:v>
      </x:c>
      <x:c r="B4619" s="66" t="n">
        <x:v>731</x:v>
      </x:c>
      <x:c r="C4619" s="66" t="str">
        <x:v>UNIVERSITAS TADULAKO</x:v>
      </x:c>
      <x:c r="D4619" s="66" t="str">
        <x:v>PTN Akademik</x:v>
      </x:c>
      <x:c r="E4619" s="66" t="str">
        <x:v>17311050</x:v>
      </x:c>
      <x:c r="F4619" s="66" t="str">
        <x:v>PEND. GEOGRAFI</x:v>
      </x:c>
      <x:c r="G4619" s="66" t="str">
        <x:v>Sarjana</x:v>
      </x:c>
      <x:c r="H4619" s="87" t="n">
        <x:v>35</x:v>
      </x:c>
      <x:c r="I4619" s="87" t="n">
        <x:v>91</x:v>
      </x:c>
      <x:c r="J4619" s="68" t="n">
        <x:f>IFERROR(H4619/I4619,"")</x:f>
        <x:v>0.38461538461538464</x:v>
      </x:c>
      <x:c r="K4619" s="69" t="n">
        <x:f>IFERROR(I4619/H4619,"")</x:f>
        <x:v>2.6</x:v>
      </x:c>
      <x:c r="L4619" s="66" t="str">
        <x:f>IF(K4619="","","1 : "&amp;TEXT(K4619,"0.0"))</x:f>
        <x:v>1 : 2.6</x:v>
      </x:c>
      <x:c r="M4619" s="66" t="str">
        <x:f>IF(J4619="","Baru/Tanpa Data",IF(J4619&lt;='Catatan &amp; Sumber'!$B$14,"Sangat Ketat",IF(J4619&lt;='Catatan &amp; Sumber'!$B$15,"Ketat",IF(J4619&lt;='Catatan &amp; Sumber'!$B$16,"Sedang","Relatif Longgar"))))</x:f>
        <x:v>Relatif Longgar</x:v>
      </x:c>
      <x:c r="N4619" s="66" t="str">
        <x:v>Tidak Ada</x:v>
      </x:c>
      <x:c r="O4619" s="66" t="str">
        <x:v>Sulawesi Tengah</x:v>
      </x:c>
      <x:c r="P4619" s="66" t="str">
        <x:v>Kota Palu</x:v>
      </x:c>
      <x:c r="Q4619" s="66" t="str">
        <x:v>https://snpmb.id/snbp/daya-tampung-snbp</x:v>
      </x:c>
      <x:c r="R4619" s="66" t="str">
        <x:v>https://sidatagrun-public-1076756628210.asia-southeast2.run.app/ptn_sn.php?ptn=731</x:v>
      </x:c>
    </x:row>
    <x:row r="4620">
      <x:c r="A4620" s="87" t="n">
        <x:v>4085</x:v>
      </x:c>
      <x:c r="B4620" s="66" t="n">
        <x:v>731</x:v>
      </x:c>
      <x:c r="C4620" s="66" t="str">
        <x:v>UNIVERSITAS TADULAKO</x:v>
      </x:c>
      <x:c r="D4620" s="66" t="str">
        <x:v>PTN Akademik</x:v>
      </x:c>
      <x:c r="E4620" s="66" t="str">
        <x:v>17311051</x:v>
      </x:c>
      <x:c r="F4620" s="66" t="str">
        <x:v>MANAJEMEN (PSDKU MOROWALI)</x:v>
      </x:c>
      <x:c r="G4620" s="66" t="str">
        <x:v>Sarjana</x:v>
      </x:c>
      <x:c r="H4620" s="87" t="n">
        <x:v>30</x:v>
      </x:c>
      <x:c r="I4620" s="87" t="n">
        <x:v>40</x:v>
      </x:c>
      <x:c r="J4620" s="68" t="n">
        <x:f>IFERROR(H4620/I4620,"")</x:f>
        <x:v>0.75</x:v>
      </x:c>
      <x:c r="K4620" s="69" t="n">
        <x:f>IFERROR(I4620/H4620,"")</x:f>
        <x:v>1.3333333333333333</x:v>
      </x:c>
      <x:c r="L4620" s="66" t="str">
        <x:f>IF(K4620="","","1 : "&amp;TEXT(K4620,"0.0"))</x:f>
        <x:v>1 : 1.3</x:v>
      </x:c>
      <x:c r="M4620" s="66" t="str">
        <x:f>IF(J4620="","Baru/Tanpa Data",IF(J4620&lt;='Catatan &amp; Sumber'!$B$14,"Sangat Ketat",IF(J4620&lt;='Catatan &amp; Sumber'!$B$15,"Ketat",IF(J4620&lt;='Catatan &amp; Sumber'!$B$16,"Sedang","Relatif Longgar"))))</x:f>
        <x:v>Relatif Longgar</x:v>
      </x:c>
      <x:c r="N4620" s="66" t="str">
        <x:v>Tidak Ada</x:v>
      </x:c>
      <x:c r="O4620" s="66" t="str">
        <x:v>Sulawesi Tengah</x:v>
      </x:c>
      <x:c r="P4620" s="66" t="str">
        <x:v>Kota Palu</x:v>
      </x:c>
      <x:c r="Q4620" s="66" t="str">
        <x:v>https://snpmb.id/snbp/daya-tampung-snbp</x:v>
      </x:c>
      <x:c r="R4620" s="66" t="str">
        <x:v>https://sidatagrun-public-1076756628210.asia-southeast2.run.app/ptn_sn.php?ptn=731</x:v>
      </x:c>
    </x:row>
    <x:row r="4621">
      <x:c r="A4621" s="87" t="n">
        <x:v>4235</x:v>
      </x:c>
      <x:c r="B4621" s="66" t="n">
        <x:v>731</x:v>
      </x:c>
      <x:c r="C4621" s="66" t="str">
        <x:v>UNIVERSITAS TADULAKO</x:v>
      </x:c>
      <x:c r="D4621" s="66" t="str">
        <x:v>PTN Akademik</x:v>
      </x:c>
      <x:c r="E4621" s="66" t="str">
        <x:v>17311052</x:v>
      </x:c>
      <x:c r="F4621" s="66" t="str">
        <x:v>MANAJEMEN (PSDKU TOUNA)</x:v>
      </x:c>
      <x:c r="G4621" s="66" t="str">
        <x:v>Sarjana</x:v>
      </x:c>
      <x:c r="H4621" s="87" t="n">
        <x:v>50</x:v>
      </x:c>
      <x:c r="I4621" s="87" t="n">
        <x:v>56</x:v>
      </x:c>
      <x:c r="J4621" s="68" t="n">
        <x:f>IFERROR(H4621/I4621,"")</x:f>
        <x:v>0.8928571428571429</x:v>
      </x:c>
      <x:c r="K4621" s="69" t="n">
        <x:f>IFERROR(I4621/H4621,"")</x:f>
        <x:v>1.12</x:v>
      </x:c>
      <x:c r="L4621" s="66" t="str">
        <x:f>IF(K4621="","","1 : "&amp;TEXT(K4621,"0.0"))</x:f>
        <x:v>1 : 1.1</x:v>
      </x:c>
      <x:c r="M4621" s="66" t="str">
        <x:f>IF(J4621="","Baru/Tanpa Data",IF(J4621&lt;='Catatan &amp; Sumber'!$B$14,"Sangat Ketat",IF(J4621&lt;='Catatan &amp; Sumber'!$B$15,"Ketat",IF(J4621&lt;='Catatan &amp; Sumber'!$B$16,"Sedang","Relatif Longgar"))))</x:f>
        <x:v>Relatif Longgar</x:v>
      </x:c>
      <x:c r="N4621" s="66" t="str">
        <x:v>Tidak Ada</x:v>
      </x:c>
      <x:c r="O4621" s="66" t="str">
        <x:v>Sulawesi Tengah</x:v>
      </x:c>
      <x:c r="P4621" s="66" t="str">
        <x:v>Kota Palu</x:v>
      </x:c>
      <x:c r="Q4621" s="66" t="str">
        <x:v>https://snpmb.id/snbp/daya-tampung-snbp</x:v>
      </x:c>
      <x:c r="R4621" s="66" t="str">
        <x:v>https://sidatagrun-public-1076756628210.asia-southeast2.run.app/ptn_sn.php?ptn=731</x:v>
      </x:c>
    </x:row>
    <x:row r="4622">
      <x:c r="A4622" s="87" t="n">
        <x:v>3233</x:v>
      </x:c>
      <x:c r="B4622" s="66" t="n">
        <x:v>731</x:v>
      </x:c>
      <x:c r="C4622" s="66" t="str">
        <x:v>UNIVERSITAS TADULAKO</x:v>
      </x:c>
      <x:c r="D4622" s="66" t="str">
        <x:v>PTN Akademik</x:v>
      </x:c>
      <x:c r="E4622" s="66" t="str">
        <x:v>17311061</x:v>
      </x:c>
      <x:c r="F4622" s="66" t="str">
        <x:v>PENDIDIKAN ILMU PENGETAHUAN ALAM</x:v>
      </x:c>
      <x:c r="G4622" s="66" t="str">
        <x:v>Sarjana</x:v>
      </x:c>
      <x:c r="H4622" s="87" t="n">
        <x:v>20</x:v>
      </x:c>
      <x:c r="I4622" s="87" t="n">
        <x:v>57</x:v>
      </x:c>
      <x:c r="J4622" s="68" t="n">
        <x:f>IFERROR(H4622/I4622,"")</x:f>
        <x:v>0.3508771929824561</x:v>
      </x:c>
      <x:c r="K4622" s="69" t="n">
        <x:f>IFERROR(I4622/H4622,"")</x:f>
        <x:v>2.85</x:v>
      </x:c>
      <x:c r="L4622" s="66" t="str">
        <x:f>IF(K4622="","","1 : "&amp;TEXT(K4622,"0.0"))</x:f>
        <x:v>1 : 2.9</x:v>
      </x:c>
      <x:c r="M4622" s="66" t="str">
        <x:f>IF(J4622="","Baru/Tanpa Data",IF(J4622&lt;='Catatan &amp; Sumber'!$B$14,"Sangat Ketat",IF(J4622&lt;='Catatan &amp; Sumber'!$B$15,"Ketat",IF(J4622&lt;='Catatan &amp; Sumber'!$B$16,"Sedang","Relatif Longgar"))))</x:f>
        <x:v>Relatif Longgar</x:v>
      </x:c>
      <x:c r="N4622" s="66" t="str">
        <x:v>Tidak Ada</x:v>
      </x:c>
      <x:c r="O4622" s="66" t="str">
        <x:v>Sulawesi Tengah</x:v>
      </x:c>
      <x:c r="P4622" s="66" t="str">
        <x:v>Kota Palu</x:v>
      </x:c>
      <x:c r="Q4622" s="66" t="str">
        <x:v>https://snpmb.id/snbp/daya-tampung-snbp</x:v>
      </x:c>
      <x:c r="R4622" s="66" t="str">
        <x:v>https://sidatagrun-public-1076756628210.asia-southeast2.run.app/ptn_sn.php?ptn=731</x:v>
      </x:c>
    </x:row>
    <x:row r="4623">
      <x:c r="A4623" s="87" t="n">
        <x:v>4759</x:v>
      </x:c>
      <x:c r="B4623" s="66" t="n">
        <x:v>731</x:v>
      </x:c>
      <x:c r="C4623" s="66" t="str">
        <x:v>UNIVERSITAS TADULAKO</x:v>
      </x:c>
      <x:c r="D4623" s="66" t="str">
        <x:v>PTN Akademik</x:v>
      </x:c>
      <x:c r="E4623" s="66" t="str">
        <x:v>17311062</x:v>
      </x:c>
      <x:c r="F4623" s="66" t="str">
        <x:v>SUMBER DAYA AKUATIK</x:v>
      </x:c>
      <x:c r="G4623" s="66" t="str">
        <x:v>Sarjana</x:v>
      </x:c>
      <x:c r="H4623" s="87" t="n">
        <x:v>30</x:v>
      </x:c>
      <x:c r="I4623" s="87" t="n">
        <x:v>10</x:v>
      </x:c>
      <x:c r="J4623" s="68" t="n">
        <x:f>IFERROR(H4623/I4623,"")</x:f>
        <x:v>3</x:v>
      </x:c>
      <x:c r="K4623" s="69" t="n">
        <x:f>IFERROR(I4623/H4623,"")</x:f>
        <x:v>0.3333333333333333</x:v>
      </x:c>
      <x:c r="L4623" s="66" t="str">
        <x:f>IF(K4623="","","1 : "&amp;TEXT(K4623,"0.0"))</x:f>
        <x:v>1 : 0.3</x:v>
      </x:c>
      <x:c r="M4623" s="66" t="str">
        <x:f>IF(J4623="","Baru/Tanpa Data",IF(J4623&lt;='Catatan &amp; Sumber'!$B$14,"Sangat Ketat",IF(J4623&lt;='Catatan &amp; Sumber'!$B$15,"Ketat",IF(J4623&lt;='Catatan &amp; Sumber'!$B$16,"Sedang","Relatif Longgar"))))</x:f>
        <x:v>Relatif Longgar</x:v>
      </x:c>
      <x:c r="N4623" s="66" t="str">
        <x:v>Tidak Ada</x:v>
      </x:c>
      <x:c r="O4623" s="66" t="str">
        <x:v>Sulawesi Tengah</x:v>
      </x:c>
      <x:c r="P4623" s="66" t="str">
        <x:v>Kota Palu</x:v>
      </x:c>
      <x:c r="Q4623" s="66" t="str">
        <x:v>https://snpmb.id/snbp/daya-tampung-snbp</x:v>
      </x:c>
      <x:c r="R4623" s="66" t="str">
        <x:v>https://sidatagrun-public-1076756628210.asia-southeast2.run.app/ptn_sn.php?ptn=731</x:v>
      </x:c>
    </x:row>
    <x:row r="4624">
      <x:c r="A4624" s="87" t="n">
        <x:v>4652</x:v>
      </x:c>
      <x:c r="B4624" s="66" t="n">
        <x:v>731</x:v>
      </x:c>
      <x:c r="C4624" s="66" t="str">
        <x:v>UNIVERSITAS TADULAKO</x:v>
      </x:c>
      <x:c r="D4624" s="66" t="str">
        <x:v>PTN Akademik</x:v>
      </x:c>
      <x:c r="E4624" s="66" t="str">
        <x:v>17311064</x:v>
      </x:c>
      <x:c r="F4624" s="66" t="str">
        <x:v>PROTEKSI TANAMAN</x:v>
      </x:c>
      <x:c r="G4624" s="66" t="str">
        <x:v>Sarjana</x:v>
      </x:c>
      <x:c r="H4624" s="87" t="n">
        <x:v>24</x:v>
      </x:c>
      <x:c r="I4624" s="87" t="n">
        <x:v>12</x:v>
      </x:c>
      <x:c r="J4624" s="68" t="n">
        <x:f>IFERROR(H4624/I4624,"")</x:f>
        <x:v>2</x:v>
      </x:c>
      <x:c r="K4624" s="69" t="n">
        <x:f>IFERROR(I4624/H4624,"")</x:f>
        <x:v>0.5</x:v>
      </x:c>
      <x:c r="L4624" s="66" t="str">
        <x:f>IF(K4624="","","1 : "&amp;TEXT(K4624,"0.0"))</x:f>
        <x:v>1 : 0.5</x:v>
      </x:c>
      <x:c r="M4624" s="66" t="str">
        <x:f>IF(J4624="","Baru/Tanpa Data",IF(J4624&lt;='Catatan &amp; Sumber'!$B$14,"Sangat Ketat",IF(J4624&lt;='Catatan &amp; Sumber'!$B$15,"Ketat",IF(J4624&lt;='Catatan &amp; Sumber'!$B$16,"Sedang","Relatif Longgar"))))</x:f>
        <x:v>Relatif Longgar</x:v>
      </x:c>
      <x:c r="N4624" s="66" t="str">
        <x:v>Tidak Ada</x:v>
      </x:c>
      <x:c r="O4624" s="66" t="str">
        <x:v>Sulawesi Tengah</x:v>
      </x:c>
      <x:c r="P4624" s="66" t="str">
        <x:v>Kota Palu</x:v>
      </x:c>
      <x:c r="Q4624" s="66" t="str">
        <x:v>https://snpmb.id/snbp/daya-tampung-snbp</x:v>
      </x:c>
      <x:c r="R4624" s="66" t="str">
        <x:v>https://sidatagrun-public-1076756628210.asia-southeast2.run.app/ptn_sn.php?ptn=731</x:v>
      </x:c>
    </x:row>
    <x:row r="4625">
      <x:c r="A4625" s="87" t="n">
        <x:v>4886</x:v>
      </x:c>
      <x:c r="B4625" s="66" t="n">
        <x:v>731</x:v>
      </x:c>
      <x:c r="C4625" s="66" t="str">
        <x:v>UNIVERSITAS TADULAKO</x:v>
      </x:c>
      <x:c r="D4625" s="66" t="str">
        <x:v>PTN Akademik</x:v>
      </x:c>
      <x:c r="E4625" s="66" t="str">
        <x:v>17311065</x:v>
      </x:c>
      <x:c r="F4625" s="66" t="str">
        <x:v>SOSIAL EKONOMI PETERNAKAN</x:v>
      </x:c>
      <x:c r="G4625" s="66" t="str">
        <x:v>Sarjana</x:v>
      </x:c>
      <x:c r="H4625" s="87" t="n">
        <x:v>30</x:v>
      </x:c>
      <x:c r="I4625" s="87" t="n">
        <x:v>3</x:v>
      </x:c>
      <x:c r="J4625" s="68" t="n">
        <x:f>IFERROR(H4625/I4625,"")</x:f>
        <x:v>10</x:v>
      </x:c>
      <x:c r="K4625" s="69" t="n">
        <x:f>IFERROR(I4625/H4625,"")</x:f>
        <x:v>0.1</x:v>
      </x:c>
      <x:c r="L4625" s="66" t="str">
        <x:f>IF(K4625="","","1 : "&amp;TEXT(K4625,"0.0"))</x:f>
        <x:v>1 : 0.1</x:v>
      </x:c>
      <x:c r="M4625" s="66" t="str">
        <x:f>IF(J4625="","Baru/Tanpa Data",IF(J4625&lt;='Catatan &amp; Sumber'!$B$14,"Sangat Ketat",IF(J4625&lt;='Catatan &amp; Sumber'!$B$15,"Ketat",IF(J4625&lt;='Catatan &amp; Sumber'!$B$16,"Sedang","Relatif Longgar"))))</x:f>
        <x:v>Relatif Longgar</x:v>
      </x:c>
      <x:c r="N4625" s="66" t="str">
        <x:v>Tidak Ada</x:v>
      </x:c>
      <x:c r="O4625" s="66" t="str">
        <x:v>Sulawesi Tengah</x:v>
      </x:c>
      <x:c r="P4625" s="66" t="str">
        <x:v>Kota Palu</x:v>
      </x:c>
      <x:c r="Q4625" s="66" t="str">
        <x:v>https://snpmb.id/snbp/daya-tampung-snbp</x:v>
      </x:c>
      <x:c r="R4625" s="66" t="str">
        <x:v>https://sidatagrun-public-1076756628210.asia-southeast2.run.app/ptn_sn.php?ptn=731</x:v>
      </x:c>
    </x:row>
    <x:row r="4626">
      <x:c r="A4626" s="87" t="n">
        <x:v>4545</x:v>
      </x:c>
      <x:c r="B4626" s="66" t="n">
        <x:v>731</x:v>
      </x:c>
      <x:c r="C4626" s="66" t="str">
        <x:v>UNIVERSITAS TADULAKO</x:v>
      </x:c>
      <x:c r="D4626" s="66" t="str">
        <x:v>PTN Akademik</x:v>
      </x:c>
      <x:c r="E4626" s="66" t="str">
        <x:v>17311066</x:v>
      </x:c>
      <x:c r="F4626" s="66" t="str">
        <x:v>ILMU KELAUTAN</x:v>
      </x:c>
      <x:c r="G4626" s="66" t="str">
        <x:v>Sarjana</x:v>
      </x:c>
      <x:c r="H4626" s="87" t="n">
        <x:v>21</x:v>
      </x:c>
      <x:c r="I4626" s="87" t="n">
        <x:v>14</x:v>
      </x:c>
      <x:c r="J4626" s="68" t="n">
        <x:f>IFERROR(H4626/I4626,"")</x:f>
        <x:v>1.5</x:v>
      </x:c>
      <x:c r="K4626" s="69" t="n">
        <x:f>IFERROR(I4626/H4626,"")</x:f>
        <x:v>0.6666666666666666</x:v>
      </x:c>
      <x:c r="L4626" s="66" t="str">
        <x:f>IF(K4626="","","1 : "&amp;TEXT(K4626,"0.0"))</x:f>
        <x:v>1 : 0.7</x:v>
      </x:c>
      <x:c r="M4626" s="66" t="str">
        <x:f>IF(J4626="","Baru/Tanpa Data",IF(J4626&lt;='Catatan &amp; Sumber'!$B$14,"Sangat Ketat",IF(J4626&lt;='Catatan &amp; Sumber'!$B$15,"Ketat",IF(J4626&lt;='Catatan &amp; Sumber'!$B$16,"Sedang","Relatif Longgar"))))</x:f>
        <x:v>Relatif Longgar</x:v>
      </x:c>
      <x:c r="N4626" s="66" t="str">
        <x:v>Tidak Ada</x:v>
      </x:c>
      <x:c r="O4626" s="66" t="str">
        <x:v>Sulawesi Tengah</x:v>
      </x:c>
      <x:c r="P4626" s="66" t="str">
        <x:v>Kota Palu</x:v>
      </x:c>
      <x:c r="Q4626" s="66" t="str">
        <x:v>https://snpmb.id/snbp/daya-tampung-snbp</x:v>
      </x:c>
      <x:c r="R4626" s="66" t="str">
        <x:v>https://sidatagrun-public-1076756628210.asia-southeast2.run.app/ptn_sn.php?ptn=731</x:v>
      </x:c>
    </x:row>
    <x:row r="4627">
      <x:c r="A4627" s="87"/>
      <x:c r="B4627" s="66" t="n">
        <x:v>731</x:v>
      </x:c>
      <x:c r="C4627" s="66" t="str">
        <x:v>UNIVERSITAS TADULAKO</x:v>
      </x:c>
      <x:c r="D4627" s="66" t="str">
        <x:v>PTN Akademik</x:v>
      </x:c>
      <x:c r="E4627" s="66" t="str">
        <x:v>17311067</x:v>
      </x:c>
      <x:c r="F4627" s="66" t="str">
        <x:v>SAINS DATA</x:v>
      </x:c>
      <x:c r="G4627" s="66" t="str">
        <x:v>Sarjana</x:v>
      </x:c>
      <x:c r="H4627" s="87" t="n">
        <x:v>20</x:v>
      </x:c>
      <x:c r="I4627" s="87"/>
      <x:c r="J4627" s="68" t="str">
        <x:f>IFERROR(H4627/I4627,"")</x:f>
      </x:c>
      <x:c r="K4627" s="69" t="n">
        <x:f>IFERROR(I4627/H4627,"")</x:f>
        <x:v>0</x:v>
      </x:c>
      <x:c r="L4627" s="66" t="str">
        <x:f>IF(K4627="","","1 : "&amp;TEXT(K4627,"0.0"))</x:f>
      </x:c>
      <x:c r="M4627" s="66" t="str">
        <x:f>IF(J4627="","Baru/Tanpa Data",IF(J4627&lt;='Catatan &amp; Sumber'!$B$14,"Sangat Ketat",IF(J4627&lt;='Catatan &amp; Sumber'!$B$15,"Ketat",IF(J4627&lt;='Catatan &amp; Sumber'!$B$16,"Sedang","Relatif Longgar"))))</x:f>
        <x:v>Baru/Tanpa Data</x:v>
      </x:c>
      <x:c r="N4627" s="66" t="str">
        <x:v>Tidak Ada</x:v>
      </x:c>
      <x:c r="O4627" s="66" t="str">
        <x:v>Sulawesi Tengah</x:v>
      </x:c>
      <x:c r="P4627" s="66" t="str">
        <x:v>Kota Palu</x:v>
      </x:c>
      <x:c r="Q4627" s="66" t="str">
        <x:v>https://snpmb.id/snbp/daya-tampung-snbp</x:v>
      </x:c>
      <x:c r="R4627" s="66" t="str">
        <x:v>https://sidatagrun-public-1076756628210.asia-southeast2.run.app/ptn_sn.php?ptn=731</x:v>
      </x:c>
    </x:row>
    <x:row r="4628">
      <x:c r="A4628" s="87"/>
      <x:c r="B4628" s="66" t="n">
        <x:v>731</x:v>
      </x:c>
      <x:c r="C4628" s="66" t="str">
        <x:v>UNIVERSITAS TADULAKO</x:v>
      </x:c>
      <x:c r="D4628" s="66" t="str">
        <x:v>PTN Akademik</x:v>
      </x:c>
      <x:c r="E4628" s="66" t="str">
        <x:v>17311068</x:v>
      </x:c>
      <x:c r="F4628" s="66" t="str">
        <x:v>PENDIDIKAN KEPELATIHAN OLAHRAGA</x:v>
      </x:c>
      <x:c r="G4628" s="66" t="str">
        <x:v>Sarjana</x:v>
      </x:c>
      <x:c r="H4628" s="87" t="n">
        <x:v>30</x:v>
      </x:c>
      <x:c r="I4628" s="87"/>
      <x:c r="J4628" s="68" t="str">
        <x:f>IFERROR(H4628/I4628,"")</x:f>
      </x:c>
      <x:c r="K4628" s="69" t="n">
        <x:f>IFERROR(I4628/H4628,"")</x:f>
        <x:v>0</x:v>
      </x:c>
      <x:c r="L4628" s="66" t="str">
        <x:f>IF(K4628="","","1 : "&amp;TEXT(K4628,"0.0"))</x:f>
      </x:c>
      <x:c r="M4628" s="66" t="str">
        <x:f>IF(J4628="","Baru/Tanpa Data",IF(J4628&lt;='Catatan &amp; Sumber'!$B$14,"Sangat Ketat",IF(J4628&lt;='Catatan &amp; Sumber'!$B$15,"Ketat",IF(J4628&lt;='Catatan &amp; Sumber'!$B$16,"Sedang","Relatif Longgar"))))</x:f>
        <x:v>Baru/Tanpa Data</x:v>
      </x:c>
      <x:c r="N4628" s="66" t="str">
        <x:v>Olahraga</x:v>
      </x:c>
      <x:c r="O4628" s="66" t="str">
        <x:v>Sulawesi Tengah</x:v>
      </x:c>
      <x:c r="P4628" s="66" t="str">
        <x:v>Kota Palu</x:v>
      </x:c>
      <x:c r="Q4628" s="66" t="str">
        <x:v>https://snpmb.id/snbp/daya-tampung-snbp</x:v>
      </x:c>
      <x:c r="R4628" s="66" t="str">
        <x:v>https://sidatagrun-public-1076756628210.asia-southeast2.run.app/ptn_sn.php?ptn=731</x:v>
      </x:c>
    </x:row>
    <x:row r="4629">
      <x:c r="A4629" s="87" t="n">
        <x:v>4739</x:v>
      </x:c>
      <x:c r="B4629" s="66" t="n">
        <x:v>731</x:v>
      </x:c>
      <x:c r="C4629" s="66" t="str">
        <x:v>UNIVERSITAS TADULAKO</x:v>
      </x:c>
      <x:c r="D4629" s="66" t="str">
        <x:v>PTN Akademik</x:v>
      </x:c>
      <x:c r="E4629" s="66" t="str">
        <x:v>17312058</x:v>
      </x:c>
      <x:c r="F4629" s="66" t="str">
        <x:v>TEKNOLOGI REKAYASA MANUFAKTUR</x:v>
      </x:c>
      <x:c r="G4629" s="66" t="str">
        <x:v>Sarjana Terapan</x:v>
      </x:c>
      <x:c r="H4629" s="87" t="n">
        <x:v>32</x:v>
      </x:c>
      <x:c r="I4629" s="87" t="n">
        <x:v>12</x:v>
      </x:c>
      <x:c r="J4629" s="68" t="n">
        <x:f>IFERROR(H4629/I4629,"")</x:f>
        <x:v>2.6666666666666665</x:v>
      </x:c>
      <x:c r="K4629" s="69" t="n">
        <x:f>IFERROR(I4629/H4629,"")</x:f>
        <x:v>0.375</x:v>
      </x:c>
      <x:c r="L4629" s="66" t="str">
        <x:f>IF(K4629="","","1 : "&amp;TEXT(K4629,"0.0"))</x:f>
        <x:v>1 : 0.4</x:v>
      </x:c>
      <x:c r="M4629" s="66" t="str">
        <x:f>IF(J4629="","Baru/Tanpa Data",IF(J4629&lt;='Catatan &amp; Sumber'!$B$14,"Sangat Ketat",IF(J4629&lt;='Catatan &amp; Sumber'!$B$15,"Ketat",IF(J4629&lt;='Catatan &amp; Sumber'!$B$16,"Sedang","Relatif Longgar"))))</x:f>
        <x:v>Relatif Longgar</x:v>
      </x:c>
      <x:c r="N4629" s="66" t="str">
        <x:v>Tidak Ada</x:v>
      </x:c>
      <x:c r="O4629" s="66" t="str">
        <x:v>Sulawesi Tengah</x:v>
      </x:c>
      <x:c r="P4629" s="66" t="str">
        <x:v>Kota Palu</x:v>
      </x:c>
      <x:c r="Q4629" s="66" t="str">
        <x:v>https://snpmb.id/snbp/daya-tampung-snbp</x:v>
      </x:c>
      <x:c r="R4629" s="66" t="str">
        <x:v>https://sidatagrun-public-1076756628210.asia-southeast2.run.app/ptn_sn.php?ptn=731</x:v>
      </x:c>
    </x:row>
    <x:row r="4630">
      <x:c r="A4630" s="87" t="n">
        <x:v>4867</x:v>
      </x:c>
      <x:c r="B4630" s="66" t="n">
        <x:v>731</x:v>
      </x:c>
      <x:c r="C4630" s="66" t="str">
        <x:v>UNIVERSITAS TADULAKO</x:v>
      </x:c>
      <x:c r="D4630" s="66" t="str">
        <x:v>PTN Akademik</x:v>
      </x:c>
      <x:c r="E4630" s="66" t="str">
        <x:v>17312059</x:v>
      </x:c>
      <x:c r="F4630" s="66" t="str">
        <x:v>TEKNOLOGI REKAYASA INSTALASI LISTRIK</x:v>
      </x:c>
      <x:c r="G4630" s="66" t="str">
        <x:v>Sarjana Terapan</x:v>
      </x:c>
      <x:c r="H4630" s="87" t="n">
        <x:v>32</x:v>
      </x:c>
      <x:c r="I4630" s="87" t="n">
        <x:v>5</x:v>
      </x:c>
      <x:c r="J4630" s="68" t="n">
        <x:f>IFERROR(H4630/I4630,"")</x:f>
        <x:v>6.4</x:v>
      </x:c>
      <x:c r="K4630" s="69" t="n">
        <x:f>IFERROR(I4630/H4630,"")</x:f>
        <x:v>0.15625</x:v>
      </x:c>
      <x:c r="L4630" s="66" t="str">
        <x:f>IF(K4630="","","1 : "&amp;TEXT(K4630,"0.0"))</x:f>
        <x:v>1 : 0.2</x:v>
      </x:c>
      <x:c r="M4630" s="66" t="str">
        <x:f>IF(J4630="","Baru/Tanpa Data",IF(J4630&lt;='Catatan &amp; Sumber'!$B$14,"Sangat Ketat",IF(J4630&lt;='Catatan &amp; Sumber'!$B$15,"Ketat",IF(J4630&lt;='Catatan &amp; Sumber'!$B$16,"Sedang","Relatif Longgar"))))</x:f>
        <x:v>Relatif Longgar</x:v>
      </x:c>
      <x:c r="N4630" s="66" t="str">
        <x:v>Tidak Ada</x:v>
      </x:c>
      <x:c r="O4630" s="66" t="str">
        <x:v>Sulawesi Tengah</x:v>
      </x:c>
      <x:c r="P4630" s="66" t="str">
        <x:v>Kota Palu</x:v>
      </x:c>
      <x:c r="Q4630" s="66" t="str">
        <x:v>https://snpmb.id/snbp/daya-tampung-snbp</x:v>
      </x:c>
      <x:c r="R4630" s="66" t="str">
        <x:v>https://sidatagrun-public-1076756628210.asia-southeast2.run.app/ptn_sn.php?ptn=731</x:v>
      </x:c>
    </x:row>
    <x:row r="4631">
      <x:c r="A4631" s="87" t="n">
        <x:v>3819</x:v>
      </x:c>
      <x:c r="B4631" s="66" t="n">
        <x:v>731</x:v>
      </x:c>
      <x:c r="C4631" s="66" t="str">
        <x:v>UNIVERSITAS TADULAKO</x:v>
      </x:c>
      <x:c r="D4631" s="66" t="str">
        <x:v>PTN Akademik</x:v>
      </x:c>
      <x:c r="E4631" s="66" t="str">
        <x:v>17312060</x:v>
      </x:c>
      <x:c r="F4631" s="66" t="str">
        <x:v>AKUNTANSI SEKTOR PUBLIK</x:v>
      </x:c>
      <x:c r="G4631" s="66" t="str">
        <x:v>Sarjana Terapan</x:v>
      </x:c>
      <x:c r="H4631" s="87" t="n">
        <x:v>28</x:v>
      </x:c>
      <x:c r="I4631" s="87" t="n">
        <x:v>48</x:v>
      </x:c>
      <x:c r="J4631" s="68" t="n">
        <x:f>IFERROR(H4631/I4631,"")</x:f>
        <x:v>0.5833333333333334</x:v>
      </x:c>
      <x:c r="K4631" s="69" t="n">
        <x:f>IFERROR(I4631/H4631,"")</x:f>
        <x:v>1.7142857142857142</x:v>
      </x:c>
      <x:c r="L4631" s="66" t="str">
        <x:f>IF(K4631="","","1 : "&amp;TEXT(K4631,"0.0"))</x:f>
        <x:v>1 : 1.7</x:v>
      </x:c>
      <x:c r="M4631" s="66" t="str">
        <x:f>IF(J4631="","Baru/Tanpa Data",IF(J4631&lt;='Catatan &amp; Sumber'!$B$14,"Sangat Ketat",IF(J4631&lt;='Catatan &amp; Sumber'!$B$15,"Ketat",IF(J4631&lt;='Catatan &amp; Sumber'!$B$16,"Sedang","Relatif Longgar"))))</x:f>
        <x:v>Relatif Longgar</x:v>
      </x:c>
      <x:c r="N4631" s="66" t="str">
        <x:v>Tidak Ada</x:v>
      </x:c>
      <x:c r="O4631" s="66" t="str">
        <x:v>Sulawesi Tengah</x:v>
      </x:c>
      <x:c r="P4631" s="66" t="str">
        <x:v>Kota Palu</x:v>
      </x:c>
      <x:c r="Q4631" s="66" t="str">
        <x:v>https://snpmb.id/snbp/daya-tampung-snbp</x:v>
      </x:c>
      <x:c r="R4631" s="66" t="str">
        <x:v>https://sidatagrun-public-1076756628210.asia-southeast2.run.app/ptn_sn.php?ptn=731</x:v>
      </x:c>
    </x:row>
    <x:row r="4632">
      <x:c r="A4632" s="87" t="n">
        <x:v>4812</x:v>
      </x:c>
      <x:c r="B4632" s="66" t="n">
        <x:v>731</x:v>
      </x:c>
      <x:c r="C4632" s="66" t="str">
        <x:v>UNIVERSITAS TADULAKO</x:v>
      </x:c>
      <x:c r="D4632" s="66" t="str">
        <x:v>PTN Akademik</x:v>
      </x:c>
      <x:c r="E4632" s="66" t="str">
        <x:v>17312063</x:v>
      </x:c>
      <x:c r="F4632" s="66" t="str">
        <x:v>TEKNOLOGI REKAYASA KONSTRUKSI JALAN DAN JEMBATAN</x:v>
      </x:c>
      <x:c r="G4632" s="66" t="str">
        <x:v>Sarjana Terapan</x:v>
      </x:c>
      <x:c r="H4632" s="87" t="n">
        <x:v>32</x:v>
      </x:c>
      <x:c r="I4632" s="87" t="n">
        <x:v>8</x:v>
      </x:c>
      <x:c r="J4632" s="68" t="n">
        <x:f>IFERROR(H4632/I4632,"")</x:f>
        <x:v>4</x:v>
      </x:c>
      <x:c r="K4632" s="69" t="n">
        <x:f>IFERROR(I4632/H4632,"")</x:f>
        <x:v>0.25</x:v>
      </x:c>
      <x:c r="L4632" s="66" t="str">
        <x:f>IF(K4632="","","1 : "&amp;TEXT(K4632,"0.0"))</x:f>
        <x:v>1 : 0.3</x:v>
      </x:c>
      <x:c r="M4632" s="66" t="str">
        <x:f>IF(J4632="","Baru/Tanpa Data",IF(J4632&lt;='Catatan &amp; Sumber'!$B$14,"Sangat Ketat",IF(J4632&lt;='Catatan &amp; Sumber'!$B$15,"Ketat",IF(J4632&lt;='Catatan &amp; Sumber'!$B$16,"Sedang","Relatif Longgar"))))</x:f>
        <x:v>Relatif Longgar</x:v>
      </x:c>
      <x:c r="N4632" s="66" t="str">
        <x:v>Tidak Ada</x:v>
      </x:c>
      <x:c r="O4632" s="66" t="str">
        <x:v>Sulawesi Tengah</x:v>
      </x:c>
      <x:c r="P4632" s="66" t="str">
        <x:v>Kota Palu</x:v>
      </x:c>
      <x:c r="Q4632" s="66" t="str">
        <x:v>https://snpmb.id/snbp/daya-tampung-snbp</x:v>
      </x:c>
      <x:c r="R4632" s="66" t="str">
        <x:v>https://sidatagrun-public-1076756628210.asia-southeast2.run.app/ptn_sn.php?ptn=731</x:v>
      </x:c>
    </x:row>
    <x:row r="4633">
      <x:c r="A4633" s="87" t="n">
        <x:v>1215</x:v>
      </x:c>
      <x:c r="B4633" s="66" t="n">
        <x:v>731</x:v>
      </x:c>
      <x:c r="C4633" s="66" t="str">
        <x:v>UNIVERSITAS TADULAKO</x:v>
      </x:c>
      <x:c r="D4633" s="66" t="str">
        <x:v>PTN Akademik</x:v>
      </x:c>
      <x:c r="E4633" s="66" t="str">
        <x:v>17313054</x:v>
      </x:c>
      <x:c r="F4633" s="66" t="str">
        <x:v>KEPERAWATAN</x:v>
      </x:c>
      <x:c r="G4633" s="66" t="str">
        <x:v>Diploma Tiga</x:v>
      </x:c>
      <x:c r="H4633" s="87" t="n">
        <x:v>26</x:v>
      </x:c>
      <x:c r="I4633" s="87" t="n">
        <x:v>286</x:v>
      </x:c>
      <x:c r="J4633" s="68" t="n">
        <x:f>IFERROR(H4633/I4633,"")</x:f>
        <x:v>0.09090909090909091</x:v>
      </x:c>
      <x:c r="K4633" s="69" t="n">
        <x:f>IFERROR(I4633/H4633,"")</x:f>
        <x:v>11</x:v>
      </x:c>
      <x:c r="L4633" s="66" t="str">
        <x:f>IF(K4633="","","1 : "&amp;TEXT(K4633,"0.0"))</x:f>
        <x:v>1 : 11.0</x:v>
      </x:c>
      <x:c r="M4633" s="66" t="str">
        <x:f>IF(J4633="","Baru/Tanpa Data",IF(J4633&lt;='Catatan &amp; Sumber'!$B$14,"Sangat Ketat",IF(J4633&lt;='Catatan &amp; Sumber'!$B$15,"Ketat",IF(J4633&lt;='Catatan &amp; Sumber'!$B$16,"Sedang","Relatif Longgar"))))</x:f>
        <x:v>Sedang</x:v>
      </x:c>
      <x:c r="N4633" s="66" t="str">
        <x:v>Tidak Ada</x:v>
      </x:c>
      <x:c r="O4633" s="66" t="str">
        <x:v>Sulawesi Tengah</x:v>
      </x:c>
      <x:c r="P4633" s="66" t="str">
        <x:v>Kota Palu</x:v>
      </x:c>
      <x:c r="Q4633" s="66" t="str">
        <x:v>https://snpmb.id/snbp/daya-tampung-snbp</x:v>
      </x:c>
      <x:c r="R4633" s="66" t="str">
        <x:v>https://sidatagrun-public-1076756628210.asia-southeast2.run.app/ptn_sn.php?ptn=731</x:v>
      </x:c>
    </x:row>
    <x:row r="4634">
      <x:c r="A4634" s="87" t="n">
        <x:v>4463</x:v>
      </x:c>
      <x:c r="B4634" s="66" t="n">
        <x:v>731</x:v>
      </x:c>
      <x:c r="C4634" s="66" t="str">
        <x:v>UNIVERSITAS TADULAKO</x:v>
      </x:c>
      <x:c r="D4634" s="66" t="str">
        <x:v>PTN Akademik</x:v>
      </x:c>
      <x:c r="E4634" s="66" t="str">
        <x:v>17313055</x:v>
      </x:c>
      <x:c r="F4634" s="66" t="str">
        <x:v>MANAJEMEN PEMASARAN</x:v>
      </x:c>
      <x:c r="G4634" s="66" t="str">
        <x:v>Diploma Tiga</x:v>
      </x:c>
      <x:c r="H4634" s="87" t="n">
        <x:v>10</x:v>
      </x:c>
      <x:c r="I4634" s="87" t="n">
        <x:v>8</x:v>
      </x:c>
      <x:c r="J4634" s="68" t="n">
        <x:f>IFERROR(H4634/I4634,"")</x:f>
        <x:v>1.25</x:v>
      </x:c>
      <x:c r="K4634" s="69" t="n">
        <x:f>IFERROR(I4634/H4634,"")</x:f>
        <x:v>0.8</x:v>
      </x:c>
      <x:c r="L4634" s="66" t="str">
        <x:f>IF(K4634="","","1 : "&amp;TEXT(K4634,"0.0"))</x:f>
        <x:v>1 : 0.8</x:v>
      </x:c>
      <x:c r="M4634" s="66" t="str">
        <x:f>IF(J4634="","Baru/Tanpa Data",IF(J4634&lt;='Catatan &amp; Sumber'!$B$14,"Sangat Ketat",IF(J4634&lt;='Catatan &amp; Sumber'!$B$15,"Ketat",IF(J4634&lt;='Catatan &amp; Sumber'!$B$16,"Sedang","Relatif Longgar"))))</x:f>
        <x:v>Relatif Longgar</x:v>
      </x:c>
      <x:c r="N4634" s="66" t="str">
        <x:v>Tidak Ada</x:v>
      </x:c>
      <x:c r="O4634" s="66" t="str">
        <x:v>Sulawesi Tengah</x:v>
      </x:c>
      <x:c r="P4634" s="66" t="str">
        <x:v>Kota Palu</x:v>
      </x:c>
      <x:c r="Q4634" s="66" t="str">
        <x:v>https://snpmb.id/snbp/daya-tampung-snbp</x:v>
      </x:c>
      <x:c r="R4634" s="66" t="str">
        <x:v>https://sidatagrun-public-1076756628210.asia-southeast2.run.app/ptn_sn.php?ptn=731</x:v>
      </x:c>
    </x:row>
    <x:row r="4635">
      <x:c r="A4635" s="87" t="n">
        <x:v>3383</x:v>
      </x:c>
      <x:c r="B4635" s="66" t="n">
        <x:v>732</x:v>
      </x:c>
      <x:c r="C4635" s="66" t="str">
        <x:v>UIN DATOKARAMA PALU</x:v>
      </x:c>
      <x:c r="D4635" s="66" t="str">
        <x:v>PTKIN</x:v>
      </x:c>
      <x:c r="E4635" s="66" t="str">
        <x:v>17321001</x:v>
      </x:c>
      <x:c r="F4635" s="66" t="str">
        <x:v>INFORMATIKA</x:v>
      </x:c>
      <x:c r="G4635" s="66" t="str">
        <x:v>Sarjana</x:v>
      </x:c>
      <x:c r="H4635" s="87" t="n">
        <x:v>38</x:v>
      </x:c>
      <x:c r="I4635" s="87" t="n">
        <x:v>96</x:v>
      </x:c>
      <x:c r="J4635" s="68" t="n">
        <x:f>IFERROR(H4635/I4635,"")</x:f>
        <x:v>0.3958333333333333</x:v>
      </x:c>
      <x:c r="K4635" s="69" t="n">
        <x:f>IFERROR(I4635/H4635,"")</x:f>
        <x:v>2.526315789473684</x:v>
      </x:c>
      <x:c r="L4635" s="66" t="str">
        <x:f>IF(K4635="","","1 : "&amp;TEXT(K4635,"0.0"))</x:f>
        <x:v>1 : 2.5</x:v>
      </x:c>
      <x:c r="M4635" s="66" t="str">
        <x:f>IF(J4635="","Baru/Tanpa Data",IF(J4635&lt;='Catatan &amp; Sumber'!$B$14,"Sangat Ketat",IF(J4635&lt;='Catatan &amp; Sumber'!$B$15,"Ketat",IF(J4635&lt;='Catatan &amp; Sumber'!$B$16,"Sedang","Relatif Longgar"))))</x:f>
        <x:v>Relatif Longgar</x:v>
      </x:c>
      <x:c r="N4635" s="66" t="str">
        <x:v>Tidak Ada</x:v>
      </x:c>
      <x:c r="O4635" s="66" t="str">
        <x:v>Sulawesi Tengah</x:v>
      </x:c>
      <x:c r="P4635" s="66" t="str">
        <x:v>Kota Palu</x:v>
      </x:c>
      <x:c r="Q4635" s="66" t="str">
        <x:v>https://snpmb.id/snbp/daya-tampung-snbp</x:v>
      </x:c>
      <x:c r="R4635" s="66" t="str">
        <x:v>https://sidatagrun-public-1076756628210.asia-southeast2.run.app/ptn_sn.php?ptn=732</x:v>
      </x:c>
    </x:row>
    <x:row r="4636">
      <x:c r="A4636" s="87" t="n">
        <x:v>4545</x:v>
      </x:c>
      <x:c r="B4636" s="66" t="n">
        <x:v>732</x:v>
      </x:c>
      <x:c r="C4636" s="66" t="str">
        <x:v>UIN DATOKARAMA PALU</x:v>
      </x:c>
      <x:c r="D4636" s="66" t="str">
        <x:v>PTKIN</x:v>
      </x:c>
      <x:c r="E4636" s="66" t="str">
        <x:v>17321002</x:v>
      </x:c>
      <x:c r="F4636" s="66" t="str">
        <x:v>ARSITEKTUR</x:v>
      </x:c>
      <x:c r="G4636" s="66" t="str">
        <x:v>Sarjana</x:v>
      </x:c>
      <x:c r="H4636" s="87" t="n">
        <x:v>21</x:v>
      </x:c>
      <x:c r="I4636" s="87" t="n">
        <x:v>14</x:v>
      </x:c>
      <x:c r="J4636" s="68" t="n">
        <x:f>IFERROR(H4636/I4636,"")</x:f>
        <x:v>1.5</x:v>
      </x:c>
      <x:c r="K4636" s="69" t="n">
        <x:f>IFERROR(I4636/H4636,"")</x:f>
        <x:v>0.6666666666666666</x:v>
      </x:c>
      <x:c r="L4636" s="66" t="str">
        <x:f>IF(K4636="","","1 : "&amp;TEXT(K4636,"0.0"))</x:f>
        <x:v>1 : 0.7</x:v>
      </x:c>
      <x:c r="M4636" s="66" t="str">
        <x:f>IF(J4636="","Baru/Tanpa Data",IF(J4636&lt;='Catatan &amp; Sumber'!$B$14,"Sangat Ketat",IF(J4636&lt;='Catatan &amp; Sumber'!$B$15,"Ketat",IF(J4636&lt;='Catatan &amp; Sumber'!$B$16,"Sedang","Relatif Longgar"))))</x:f>
        <x:v>Relatif Longgar</x:v>
      </x:c>
      <x:c r="N4636" s="66" t="str">
        <x:v>Tidak Ada</x:v>
      </x:c>
      <x:c r="O4636" s="66" t="str">
        <x:v>Sulawesi Tengah</x:v>
      </x:c>
      <x:c r="P4636" s="66" t="str">
        <x:v>Kota Palu</x:v>
      </x:c>
      <x:c r="Q4636" s="66" t="str">
        <x:v>https://snpmb.id/snbp/daya-tampung-snbp</x:v>
      </x:c>
      <x:c r="R4636" s="66" t="str">
        <x:v>https://sidatagrun-public-1076756628210.asia-southeast2.run.app/ptn_sn.php?ptn=732</x:v>
      </x:c>
    </x:row>
    <x:row r="4637">
      <x:c r="A4637" s="87" t="n">
        <x:v>3351</x:v>
      </x:c>
      <x:c r="B4637" s="66" t="n">
        <x:v>732</x:v>
      </x:c>
      <x:c r="C4637" s="66" t="str">
        <x:v>UIN DATOKARAMA PALU</x:v>
      </x:c>
      <x:c r="D4637" s="66" t="str">
        <x:v>PTKIN</x:v>
      </x:c>
      <x:c r="E4637" s="66" t="str">
        <x:v>17321003</x:v>
      </x:c>
      <x:c r="F4637" s="66" t="str">
        <x:v>SISTEM INFORMASI</x:v>
      </x:c>
      <x:c r="G4637" s="66" t="str">
        <x:v>Sarjana</x:v>
      </x:c>
      <x:c r="H4637" s="87" t="n">
        <x:v>27</x:v>
      </x:c>
      <x:c r="I4637" s="87" t="n">
        <x:v>70</x:v>
      </x:c>
      <x:c r="J4637" s="68" t="n">
        <x:f>IFERROR(H4637/I4637,"")</x:f>
        <x:v>0.38571428571428573</x:v>
      </x:c>
      <x:c r="K4637" s="69" t="n">
        <x:f>IFERROR(I4637/H4637,"")</x:f>
        <x:v>2.5925925925925926</x:v>
      </x:c>
      <x:c r="L4637" s="66" t="str">
        <x:f>IF(K4637="","","1 : "&amp;TEXT(K4637,"0.0"))</x:f>
        <x:v>1 : 2.6</x:v>
      </x:c>
      <x:c r="M4637" s="66" t="str">
        <x:f>IF(J4637="","Baru/Tanpa Data",IF(J4637&lt;='Catatan &amp; Sumber'!$B$14,"Sangat Ketat",IF(J4637&lt;='Catatan &amp; Sumber'!$B$15,"Ketat",IF(J4637&lt;='Catatan &amp; Sumber'!$B$16,"Sedang","Relatif Longgar"))))</x:f>
        <x:v>Relatif Longgar</x:v>
      </x:c>
      <x:c r="N4637" s="66" t="str">
        <x:v>Tidak Ada</x:v>
      </x:c>
      <x:c r="O4637" s="66" t="str">
        <x:v>Sulawesi Tengah</x:v>
      </x:c>
      <x:c r="P4637" s="66" t="str">
        <x:v>Kota Palu</x:v>
      </x:c>
      <x:c r="Q4637" s="66" t="str">
        <x:v>https://snpmb.id/snbp/daya-tampung-snbp</x:v>
      </x:c>
      <x:c r="R4637" s="66" t="str">
        <x:v>https://sidatagrun-public-1076756628210.asia-southeast2.run.app/ptn_sn.php?ptn=732</x:v>
      </x:c>
    </x:row>
    <x:row r="4638">
      <x:c r="A4638" s="87" t="n">
        <x:v>3737</x:v>
      </x:c>
      <x:c r="B4638" s="66" t="n">
        <x:v>741</x:v>
      </x:c>
      <x:c r="C4638" s="66" t="str">
        <x:v>UNIVERSITAS SULAWESI BARAT</x:v>
      </x:c>
      <x:c r="D4638" s="66" t="str">
        <x:v>PTN Akademik</x:v>
      </x:c>
      <x:c r="E4638" s="66" t="str">
        <x:v>17411001</x:v>
      </x:c>
      <x:c r="F4638" s="66" t="str">
        <x:v>AGRIBISNIS</x:v>
      </x:c>
      <x:c r="G4638" s="66" t="str">
        <x:v>Sarjana</x:v>
      </x:c>
      <x:c r="H4638" s="87" t="n">
        <x:v>70</x:v>
      </x:c>
      <x:c r="I4638" s="87" t="n">
        <x:v>130</x:v>
      </x:c>
      <x:c r="J4638" s="68" t="n">
        <x:f>IFERROR(H4638/I4638,"")</x:f>
        <x:v>0.5384615384615384</x:v>
      </x:c>
      <x:c r="K4638" s="69" t="n">
        <x:f>IFERROR(I4638/H4638,"")</x:f>
        <x:v>1.8571428571428572</x:v>
      </x:c>
      <x:c r="L4638" s="66" t="str">
        <x:f>IF(K4638="","","1 : "&amp;TEXT(K4638,"0.0"))</x:f>
        <x:v>1 : 1.9</x:v>
      </x:c>
      <x:c r="M4638" s="66" t="str">
        <x:f>IF(J4638="","Baru/Tanpa Data",IF(J4638&lt;='Catatan &amp; Sumber'!$B$14,"Sangat Ketat",IF(J4638&lt;='Catatan &amp; Sumber'!$B$15,"Ketat",IF(J4638&lt;='Catatan &amp; Sumber'!$B$16,"Sedang","Relatif Longgar"))))</x:f>
        <x:v>Relatif Longgar</x:v>
      </x:c>
      <x:c r="N4638" s="66" t="str">
        <x:v>Tidak Ada</x:v>
      </x:c>
      <x:c r="O4638" s="66" t="str">
        <x:v>Sulawesi Barat</x:v>
      </x:c>
      <x:c r="P4638" s="66" t="str">
        <x:v>Kabupaten Majene</x:v>
      </x:c>
      <x:c r="Q4638" s="66" t="str">
        <x:v>https://snpmb.id/snbp/daya-tampung-snbp</x:v>
      </x:c>
      <x:c r="R4638" s="66" t="str">
        <x:v>https://sidatagrun-public-1076756628210.asia-southeast2.run.app/ptn_sn.php?ptn=741</x:v>
      </x:c>
    </x:row>
    <x:row r="4639">
      <x:c r="A4639" s="87" t="n">
        <x:v>4343</x:v>
      </x:c>
      <x:c r="B4639" s="66" t="n">
        <x:v>741</x:v>
      </x:c>
      <x:c r="C4639" s="66" t="str">
        <x:v>UNIVERSITAS SULAWESI BARAT</x:v>
      </x:c>
      <x:c r="D4639" s="66" t="str">
        <x:v>PTN Akademik</x:v>
      </x:c>
      <x:c r="E4639" s="66" t="str">
        <x:v>17411002</x:v>
      </x:c>
      <x:c r="F4639" s="66" t="str">
        <x:v>KEHUTANAN</x:v>
      </x:c>
      <x:c r="G4639" s="66" t="str">
        <x:v>Sarjana</x:v>
      </x:c>
      <x:c r="H4639" s="87" t="n">
        <x:v>34</x:v>
      </x:c>
      <x:c r="I4639" s="87" t="n">
        <x:v>33</x:v>
      </x:c>
      <x:c r="J4639" s="68" t="n">
        <x:f>IFERROR(H4639/I4639,"")</x:f>
        <x:v>1.0303030303030303</x:v>
      </x:c>
      <x:c r="K4639" s="69" t="n">
        <x:f>IFERROR(I4639/H4639,"")</x:f>
        <x:v>0.9705882352941176</x:v>
      </x:c>
      <x:c r="L4639" s="66" t="str">
        <x:f>IF(K4639="","","1 : "&amp;TEXT(K4639,"0.0"))</x:f>
        <x:v>1 : 1.0</x:v>
      </x:c>
      <x:c r="M4639" s="66" t="str">
        <x:f>IF(J4639="","Baru/Tanpa Data",IF(J4639&lt;='Catatan &amp; Sumber'!$B$14,"Sangat Ketat",IF(J4639&lt;='Catatan &amp; Sumber'!$B$15,"Ketat",IF(J4639&lt;='Catatan &amp; Sumber'!$B$16,"Sedang","Relatif Longgar"))))</x:f>
        <x:v>Relatif Longgar</x:v>
      </x:c>
      <x:c r="N4639" s="66" t="str">
        <x:v>Tidak Ada</x:v>
      </x:c>
      <x:c r="O4639" s="66" t="str">
        <x:v>Sulawesi Barat</x:v>
      </x:c>
      <x:c r="P4639" s="66" t="str">
        <x:v>Kabupaten Majene</x:v>
      </x:c>
      <x:c r="Q4639" s="66" t="str">
        <x:v>https://snpmb.id/snbp/daya-tampung-snbp</x:v>
      </x:c>
      <x:c r="R4639" s="66" t="str">
        <x:v>https://sidatagrun-public-1076756628210.asia-southeast2.run.app/ptn_sn.php?ptn=741</x:v>
      </x:c>
    </x:row>
    <x:row r="4640">
      <x:c r="A4640" s="87" t="n">
        <x:v>2598</x:v>
      </x:c>
      <x:c r="B4640" s="66" t="n">
        <x:v>741</x:v>
      </x:c>
      <x:c r="C4640" s="66" t="str">
        <x:v>UNIVERSITAS SULAWESI BARAT</x:v>
      </x:c>
      <x:c r="D4640" s="66" t="str">
        <x:v>PTN Akademik</x:v>
      </x:c>
      <x:c r="E4640" s="66" t="str">
        <x:v>17411003</x:v>
      </x:c>
      <x:c r="F4640" s="66" t="str">
        <x:v>KEPERAWATAN</x:v>
      </x:c>
      <x:c r="G4640" s="66" t="str">
        <x:v>Sarjana</x:v>
      </x:c>
      <x:c r="H4640" s="87" t="n">
        <x:v>48</x:v>
      </x:c>
      <x:c r="I4640" s="87" t="n">
        <x:v>211</x:v>
      </x:c>
      <x:c r="J4640" s="68" t="n">
        <x:f>IFERROR(H4640/I4640,"")</x:f>
        <x:v>0.22748815165876776</x:v>
      </x:c>
      <x:c r="K4640" s="69" t="n">
        <x:f>IFERROR(I4640/H4640,"")</x:f>
        <x:v>4.395833333333333</x:v>
      </x:c>
      <x:c r="L4640" s="66" t="str">
        <x:f>IF(K4640="","","1 : "&amp;TEXT(K4640,"0.0"))</x:f>
        <x:v>1 : 4.4</x:v>
      </x:c>
      <x:c r="M4640" s="66" t="str">
        <x:f>IF(J4640="","Baru/Tanpa Data",IF(J4640&lt;='Catatan &amp; Sumber'!$B$14,"Sangat Ketat",IF(J4640&lt;='Catatan &amp; Sumber'!$B$15,"Ketat",IF(J4640&lt;='Catatan &amp; Sumber'!$B$16,"Sedang","Relatif Longgar"))))</x:f>
        <x:v>Relatif Longgar</x:v>
      </x:c>
      <x:c r="N4640" s="66" t="str">
        <x:v>Tidak Ada</x:v>
      </x:c>
      <x:c r="O4640" s="66" t="str">
        <x:v>Sulawesi Barat</x:v>
      </x:c>
      <x:c r="P4640" s="66" t="str">
        <x:v>Kabupaten Majene</x:v>
      </x:c>
      <x:c r="Q4640" s="66" t="str">
        <x:v>https://snpmb.id/snbp/daya-tampung-snbp</x:v>
      </x:c>
      <x:c r="R4640" s="66" t="str">
        <x:v>https://sidatagrun-public-1076756628210.asia-southeast2.run.app/ptn_sn.php?ptn=741</x:v>
      </x:c>
    </x:row>
    <x:row r="4641">
      <x:c r="A4641" s="87" t="n">
        <x:v>3391</x:v>
      </x:c>
      <x:c r="B4641" s="66" t="n">
        <x:v>741</x:v>
      </x:c>
      <x:c r="C4641" s="66" t="str">
        <x:v>UNIVERSITAS SULAWESI BARAT</x:v>
      </x:c>
      <x:c r="D4641" s="66" t="str">
        <x:v>PTN Akademik</x:v>
      </x:c>
      <x:c r="E4641" s="66" t="str">
        <x:v>17411004</x:v>
      </x:c>
      <x:c r="F4641" s="66" t="str">
        <x:v>TEKNIK SIPIL</x:v>
      </x:c>
      <x:c r="G4641" s="66" t="str">
        <x:v>Sarjana</x:v>
      </x:c>
      <x:c r="H4641" s="87" t="n">
        <x:v>54</x:v>
      </x:c>
      <x:c r="I4641" s="87" t="n">
        <x:v>135</x:v>
      </x:c>
      <x:c r="J4641" s="68" t="n">
        <x:f>IFERROR(H4641/I4641,"")</x:f>
        <x:v>0.4</x:v>
      </x:c>
      <x:c r="K4641" s="69" t="n">
        <x:f>IFERROR(I4641/H4641,"")</x:f>
        <x:v>2.5</x:v>
      </x:c>
      <x:c r="L4641" s="66" t="str">
        <x:f>IF(K4641="","","1 : "&amp;TEXT(K4641,"0.0"))</x:f>
        <x:v>1 : 2.5</x:v>
      </x:c>
      <x:c r="M4641" s="66" t="str">
        <x:f>IF(J4641="","Baru/Tanpa Data",IF(J4641&lt;='Catatan &amp; Sumber'!$B$14,"Sangat Ketat",IF(J4641&lt;='Catatan &amp; Sumber'!$B$15,"Ketat",IF(J4641&lt;='Catatan &amp; Sumber'!$B$16,"Sedang","Relatif Longgar"))))</x:f>
        <x:v>Relatif Longgar</x:v>
      </x:c>
      <x:c r="N4641" s="66" t="str">
        <x:v>Tidak Ada</x:v>
      </x:c>
      <x:c r="O4641" s="66" t="str">
        <x:v>Sulawesi Barat</x:v>
      </x:c>
      <x:c r="P4641" s="66" t="str">
        <x:v>Kabupaten Majene</x:v>
      </x:c>
      <x:c r="Q4641" s="66" t="str">
        <x:v>https://snpmb.id/snbp/daya-tampung-snbp</x:v>
      </x:c>
      <x:c r="R4641" s="66" t="str">
        <x:v>https://sidatagrun-public-1076756628210.asia-southeast2.run.app/ptn_sn.php?ptn=741</x:v>
      </x:c>
    </x:row>
    <x:row r="4642">
      <x:c r="A4642" s="87" t="n">
        <x:v>2320</x:v>
      </x:c>
      <x:c r="B4642" s="66" t="n">
        <x:v>741</x:v>
      </x:c>
      <x:c r="C4642" s="66" t="str">
        <x:v>UNIVERSITAS SULAWESI BARAT</x:v>
      </x:c>
      <x:c r="D4642" s="66" t="str">
        <x:v>PTN Akademik</x:v>
      </x:c>
      <x:c r="E4642" s="66" t="str">
        <x:v>17411005</x:v>
      </x:c>
      <x:c r="F4642" s="66" t="str">
        <x:v>INFORMATIKA</x:v>
      </x:c>
      <x:c r="G4642" s="66" t="str">
        <x:v>Sarjana</x:v>
      </x:c>
      <x:c r="H4642" s="87" t="n">
        <x:v>48</x:v>
      </x:c>
      <x:c r="I4642" s="87" t="n">
        <x:v>258</x:v>
      </x:c>
      <x:c r="J4642" s="68" t="n">
        <x:f>IFERROR(H4642/I4642,"")</x:f>
        <x:v>0.18604651162790697</x:v>
      </x:c>
      <x:c r="K4642" s="69" t="n">
        <x:f>IFERROR(I4642/H4642,"")</x:f>
        <x:v>5.375</x:v>
      </x:c>
      <x:c r="L4642" s="66" t="str">
        <x:f>IF(K4642="","","1 : "&amp;TEXT(K4642,"0.0"))</x:f>
        <x:v>1 : 5.4</x:v>
      </x:c>
      <x:c r="M4642" s="66" t="str">
        <x:f>IF(J4642="","Baru/Tanpa Data",IF(J4642&lt;='Catatan &amp; Sumber'!$B$14,"Sangat Ketat",IF(J4642&lt;='Catatan &amp; Sumber'!$B$15,"Ketat",IF(J4642&lt;='Catatan &amp; Sumber'!$B$16,"Sedang","Relatif Longgar"))))</x:f>
        <x:v>Relatif Longgar</x:v>
      </x:c>
      <x:c r="N4642" s="66" t="str">
        <x:v>Tidak Ada</x:v>
      </x:c>
      <x:c r="O4642" s="66" t="str">
        <x:v>Sulawesi Barat</x:v>
      </x:c>
      <x:c r="P4642" s="66" t="str">
        <x:v>Kabupaten Majene</x:v>
      </x:c>
      <x:c r="Q4642" s="66" t="str">
        <x:v>https://snpmb.id/snbp/daya-tampung-snbp</x:v>
      </x:c>
      <x:c r="R4642" s="66" t="str">
        <x:v>https://sidatagrun-public-1076756628210.asia-southeast2.run.app/ptn_sn.php?ptn=741</x:v>
      </x:c>
    </x:row>
    <x:row r="4643">
      <x:c r="A4643" s="87" t="n">
        <x:v>4020</x:v>
      </x:c>
      <x:c r="B4643" s="66" t="n">
        <x:v>741</x:v>
      </x:c>
      <x:c r="C4643" s="66" t="str">
        <x:v>UNIVERSITAS SULAWESI BARAT</x:v>
      </x:c>
      <x:c r="D4643" s="66" t="str">
        <x:v>PTN Akademik</x:v>
      </x:c>
      <x:c r="E4643" s="66" t="str">
        <x:v>17411006</x:v>
      </x:c>
      <x:c r="F4643" s="66" t="str">
        <x:v>MATEMATIKA</x:v>
      </x:c>
      <x:c r="G4643" s="66" t="str">
        <x:v>Sarjana</x:v>
      </x:c>
      <x:c r="H4643" s="87" t="n">
        <x:v>14</x:v>
      </x:c>
      <x:c r="I4643" s="87" t="n">
        <x:v>20</x:v>
      </x:c>
      <x:c r="J4643" s="68" t="n">
        <x:f>IFERROR(H4643/I4643,"")</x:f>
        <x:v>0.7</x:v>
      </x:c>
      <x:c r="K4643" s="69" t="n">
        <x:f>IFERROR(I4643/H4643,"")</x:f>
        <x:v>1.4285714285714286</x:v>
      </x:c>
      <x:c r="L4643" s="66" t="str">
        <x:f>IF(K4643="","","1 : "&amp;TEXT(K4643,"0.0"))</x:f>
        <x:v>1 : 1.4</x:v>
      </x:c>
      <x:c r="M4643" s="66" t="str">
        <x:f>IF(J4643="","Baru/Tanpa Data",IF(J4643&lt;='Catatan &amp; Sumber'!$B$14,"Sangat Ketat",IF(J4643&lt;='Catatan &amp; Sumber'!$B$15,"Ketat",IF(J4643&lt;='Catatan &amp; Sumber'!$B$16,"Sedang","Relatif Longgar"))))</x:f>
        <x:v>Relatif Longgar</x:v>
      </x:c>
      <x:c r="N4643" s="66" t="str">
        <x:v>Tidak Ada</x:v>
      </x:c>
      <x:c r="O4643" s="66" t="str">
        <x:v>Sulawesi Barat</x:v>
      </x:c>
      <x:c r="P4643" s="66" t="str">
        <x:v>Kabupaten Majene</x:v>
      </x:c>
      <x:c r="Q4643" s="66" t="str">
        <x:v>https://snpmb.id/snbp/daya-tampung-snbp</x:v>
      </x:c>
      <x:c r="R4643" s="66" t="str">
        <x:v>https://sidatagrun-public-1076756628210.asia-southeast2.run.app/ptn_sn.php?ptn=741</x:v>
      </x:c>
    </x:row>
    <x:row r="4644">
      <x:c r="A4644" s="87" t="n">
        <x:v>3405</x:v>
      </x:c>
      <x:c r="B4644" s="66" t="n">
        <x:v>741</x:v>
      </x:c>
      <x:c r="C4644" s="66" t="str">
        <x:v>UNIVERSITAS SULAWESI BARAT</x:v>
      </x:c>
      <x:c r="D4644" s="66" t="str">
        <x:v>PTN Akademik</x:v>
      </x:c>
      <x:c r="E4644" s="66" t="str">
        <x:v>17411007</x:v>
      </x:c>
      <x:c r="F4644" s="66" t="str">
        <x:v>PEND. MATEMATIKA</x:v>
      </x:c>
      <x:c r="G4644" s="66" t="str">
        <x:v>Sarjana</x:v>
      </x:c>
      <x:c r="H4644" s="87" t="n">
        <x:v>42</x:v>
      </x:c>
      <x:c r="I4644" s="87" t="n">
        <x:v>104</x:v>
      </x:c>
      <x:c r="J4644" s="68" t="n">
        <x:f>IFERROR(H4644/I4644,"")</x:f>
        <x:v>0.40384615384615385</x:v>
      </x:c>
      <x:c r="K4644" s="69" t="n">
        <x:f>IFERROR(I4644/H4644,"")</x:f>
        <x:v>2.4761904761904763</x:v>
      </x:c>
      <x:c r="L4644" s="66" t="str">
        <x:f>IF(K4644="","","1 : "&amp;TEXT(K4644,"0.0"))</x:f>
        <x:v>1 : 2.5</x:v>
      </x:c>
      <x:c r="M4644" s="66" t="str">
        <x:f>IF(J4644="","Baru/Tanpa Data",IF(J4644&lt;='Catatan &amp; Sumber'!$B$14,"Sangat Ketat",IF(J4644&lt;='Catatan &amp; Sumber'!$B$15,"Ketat",IF(J4644&lt;='Catatan &amp; Sumber'!$B$16,"Sedang","Relatif Longgar"))))</x:f>
        <x:v>Relatif Longgar</x:v>
      </x:c>
      <x:c r="N4644" s="66" t="str">
        <x:v>Tidak Ada</x:v>
      </x:c>
      <x:c r="O4644" s="66" t="str">
        <x:v>Sulawesi Barat</x:v>
      </x:c>
      <x:c r="P4644" s="66" t="str">
        <x:v>Kabupaten Majene</x:v>
      </x:c>
      <x:c r="Q4644" s="66" t="str">
        <x:v>https://snpmb.id/snbp/daya-tampung-snbp</x:v>
      </x:c>
      <x:c r="R4644" s="66" t="str">
        <x:v>https://sidatagrun-public-1076756628210.asia-southeast2.run.app/ptn_sn.php?ptn=741</x:v>
      </x:c>
    </x:row>
    <x:row r="4645">
      <x:c r="A4645" s="87" t="n">
        <x:v>3728</x:v>
      </x:c>
      <x:c r="B4645" s="66" t="n">
        <x:v>741</x:v>
      </x:c>
      <x:c r="C4645" s="66" t="str">
        <x:v>UNIVERSITAS SULAWESI BARAT</x:v>
      </x:c>
      <x:c r="D4645" s="66" t="str">
        <x:v>PTN Akademik</x:v>
      </x:c>
      <x:c r="E4645" s="66" t="str">
        <x:v>17411008</x:v>
      </x:c>
      <x:c r="F4645" s="66" t="str">
        <x:v>PEND. BIOLOGI</x:v>
      </x:c>
      <x:c r="G4645" s="66" t="str">
        <x:v>Sarjana</x:v>
      </x:c>
      <x:c r="H4645" s="87" t="n">
        <x:v>42</x:v>
      </x:c>
      <x:c r="I4645" s="87" t="n">
        <x:v>79</x:v>
      </x:c>
      <x:c r="J4645" s="68" t="n">
        <x:f>IFERROR(H4645/I4645,"")</x:f>
        <x:v>0.5316455696202531</x:v>
      </x:c>
      <x:c r="K4645" s="69" t="n">
        <x:f>IFERROR(I4645/H4645,"")</x:f>
        <x:v>1.880952380952381</x:v>
      </x:c>
      <x:c r="L4645" s="66" t="str">
        <x:f>IF(K4645="","","1 : "&amp;TEXT(K4645,"0.0"))</x:f>
        <x:v>1 : 1.9</x:v>
      </x:c>
      <x:c r="M4645" s="66" t="str">
        <x:f>IF(J4645="","Baru/Tanpa Data",IF(J4645&lt;='Catatan &amp; Sumber'!$B$14,"Sangat Ketat",IF(J4645&lt;='Catatan &amp; Sumber'!$B$15,"Ketat",IF(J4645&lt;='Catatan &amp; Sumber'!$B$16,"Sedang","Relatif Longgar"))))</x:f>
        <x:v>Relatif Longgar</x:v>
      </x:c>
      <x:c r="N4645" s="66" t="str">
        <x:v>Tidak Ada</x:v>
      </x:c>
      <x:c r="O4645" s="66" t="str">
        <x:v>Sulawesi Barat</x:v>
      </x:c>
      <x:c r="P4645" s="66" t="str">
        <x:v>Kabupaten Majene</x:v>
      </x:c>
      <x:c r="Q4645" s="66" t="str">
        <x:v>https://snpmb.id/snbp/daya-tampung-snbp</x:v>
      </x:c>
      <x:c r="R4645" s="66" t="str">
        <x:v>https://sidatagrun-public-1076756628210.asia-southeast2.run.app/ptn_sn.php?ptn=741</x:v>
      </x:c>
    </x:row>
    <x:row r="4646">
      <x:c r="A4646" s="87" t="n">
        <x:v>4212</x:v>
      </x:c>
      <x:c r="B4646" s="66" t="n">
        <x:v>741</x:v>
      </x:c>
      <x:c r="C4646" s="66" t="str">
        <x:v>UNIVERSITAS SULAWESI BARAT</x:v>
      </x:c>
      <x:c r="D4646" s="66" t="str">
        <x:v>PTN Akademik</x:v>
      </x:c>
      <x:c r="E4646" s="66" t="str">
        <x:v>17411009</x:v>
      </x:c>
      <x:c r="F4646" s="66" t="str">
        <x:v>PEND. FISIKA</x:v>
      </x:c>
      <x:c r="G4646" s="66" t="str">
        <x:v>Sarjana</x:v>
      </x:c>
      <x:c r="H4646" s="87" t="n">
        <x:v>20</x:v>
      </x:c>
      <x:c r="I4646" s="87" t="n">
        <x:v>23</x:v>
      </x:c>
      <x:c r="J4646" s="68" t="n">
        <x:f>IFERROR(H4646/I4646,"")</x:f>
        <x:v>0.8695652173913043</x:v>
      </x:c>
      <x:c r="K4646" s="69" t="n">
        <x:f>IFERROR(I4646/H4646,"")</x:f>
        <x:v>1.15</x:v>
      </x:c>
      <x:c r="L4646" s="66" t="str">
        <x:f>IF(K4646="","","1 : "&amp;TEXT(K4646,"0.0"))</x:f>
        <x:v>1 : 1.2</x:v>
      </x:c>
      <x:c r="M4646" s="66" t="str">
        <x:f>IF(J4646="","Baru/Tanpa Data",IF(J4646&lt;='Catatan &amp; Sumber'!$B$14,"Sangat Ketat",IF(J4646&lt;='Catatan &amp; Sumber'!$B$15,"Ketat",IF(J4646&lt;='Catatan &amp; Sumber'!$B$16,"Sedang","Relatif Longgar"))))</x:f>
        <x:v>Relatif Longgar</x:v>
      </x:c>
      <x:c r="N4646" s="66" t="str">
        <x:v>Tidak Ada</x:v>
      </x:c>
      <x:c r="O4646" s="66" t="str">
        <x:v>Sulawesi Barat</x:v>
      </x:c>
      <x:c r="P4646" s="66" t="str">
        <x:v>Kabupaten Majene</x:v>
      </x:c>
      <x:c r="Q4646" s="66" t="str">
        <x:v>https://snpmb.id/snbp/daya-tampung-snbp</x:v>
      </x:c>
      <x:c r="R4646" s="66" t="str">
        <x:v>https://sidatagrun-public-1076756628210.asia-southeast2.run.app/ptn_sn.php?ptn=741</x:v>
      </x:c>
    </x:row>
    <x:row r="4647">
      <x:c r="A4647" s="87" t="n">
        <x:v>4439</x:v>
      </x:c>
      <x:c r="B4647" s="66" t="n">
        <x:v>741</x:v>
      </x:c>
      <x:c r="C4647" s="66" t="str">
        <x:v>UNIVERSITAS SULAWESI BARAT</x:v>
      </x:c>
      <x:c r="D4647" s="66" t="str">
        <x:v>PTN Akademik</x:v>
      </x:c>
      <x:c r="E4647" s="66" t="str">
        <x:v>17411010</x:v>
      </x:c>
      <x:c r="F4647" s="66" t="str">
        <x:v>PETERNAKAN</x:v>
      </x:c>
      <x:c r="G4647" s="66" t="str">
        <x:v>Sarjana</x:v>
      </x:c>
      <x:c r="H4647" s="87" t="n">
        <x:v>42</x:v>
      </x:c>
      <x:c r="I4647" s="87" t="n">
        <x:v>35</x:v>
      </x:c>
      <x:c r="J4647" s="68" t="n">
        <x:f>IFERROR(H4647/I4647,"")</x:f>
        <x:v>1.2</x:v>
      </x:c>
      <x:c r="K4647" s="69" t="n">
        <x:f>IFERROR(I4647/H4647,"")</x:f>
        <x:v>0.8333333333333334</x:v>
      </x:c>
      <x:c r="L4647" s="66" t="str">
        <x:f>IF(K4647="","","1 : "&amp;TEXT(K4647,"0.0"))</x:f>
        <x:v>1 : 0.8</x:v>
      </x:c>
      <x:c r="M4647" s="66" t="str">
        <x:f>IF(J4647="","Baru/Tanpa Data",IF(J4647&lt;='Catatan &amp; Sumber'!$B$14,"Sangat Ketat",IF(J4647&lt;='Catatan &amp; Sumber'!$B$15,"Ketat",IF(J4647&lt;='Catatan &amp; Sumber'!$B$16,"Sedang","Relatif Longgar"))))</x:f>
        <x:v>Relatif Longgar</x:v>
      </x:c>
      <x:c r="N4647" s="66" t="str">
        <x:v>Tidak Ada</x:v>
      </x:c>
      <x:c r="O4647" s="66" t="str">
        <x:v>Sulawesi Barat</x:v>
      </x:c>
      <x:c r="P4647" s="66" t="str">
        <x:v>Kabupaten Majene</x:v>
      </x:c>
      <x:c r="Q4647" s="66" t="str">
        <x:v>https://snpmb.id/snbp/daya-tampung-snbp</x:v>
      </x:c>
      <x:c r="R4647" s="66" t="str">
        <x:v>https://sidatagrun-public-1076756628210.asia-southeast2.run.app/ptn_sn.php?ptn=741</x:v>
      </x:c>
    </x:row>
    <x:row r="4648">
      <x:c r="A4648" s="87" t="n">
        <x:v>4429</x:v>
      </x:c>
      <x:c r="B4648" s="66" t="n">
        <x:v>741</x:v>
      </x:c>
      <x:c r="C4648" s="66" t="str">
        <x:v>UNIVERSITAS SULAWESI BARAT</x:v>
      </x:c>
      <x:c r="D4648" s="66" t="str">
        <x:v>PTN Akademik</x:v>
      </x:c>
      <x:c r="E4648" s="66" t="str">
        <x:v>17411011</x:v>
      </x:c>
      <x:c r="F4648" s="66" t="str">
        <x:v>AKUAKULTUR</x:v>
      </x:c>
      <x:c r="G4648" s="66" t="str">
        <x:v>Sarjana</x:v>
      </x:c>
      <x:c r="H4648" s="87" t="n">
        <x:v>20</x:v>
      </x:c>
      <x:c r="I4648" s="87" t="n">
        <x:v>17</x:v>
      </x:c>
      <x:c r="J4648" s="68" t="n">
        <x:f>IFERROR(H4648/I4648,"")</x:f>
        <x:v>1.1764705882352942</x:v>
      </x:c>
      <x:c r="K4648" s="69" t="n">
        <x:f>IFERROR(I4648/H4648,"")</x:f>
        <x:v>0.85</x:v>
      </x:c>
      <x:c r="L4648" s="66" t="str">
        <x:f>IF(K4648="","","1 : "&amp;TEXT(K4648,"0.0"))</x:f>
        <x:v>1 : 0.9</x:v>
      </x:c>
      <x:c r="M4648" s="66" t="str">
        <x:f>IF(J4648="","Baru/Tanpa Data",IF(J4648&lt;='Catatan &amp; Sumber'!$B$14,"Sangat Ketat",IF(J4648&lt;='Catatan &amp; Sumber'!$B$15,"Ketat",IF(J4648&lt;='Catatan &amp; Sumber'!$B$16,"Sedang","Relatif Longgar"))))</x:f>
        <x:v>Relatif Longgar</x:v>
      </x:c>
      <x:c r="N4648" s="66" t="str">
        <x:v>Tidak Ada</x:v>
      </x:c>
      <x:c r="O4648" s="66" t="str">
        <x:v>Sulawesi Barat</x:v>
      </x:c>
      <x:c r="P4648" s="66" t="str">
        <x:v>Kabupaten Majene</x:v>
      </x:c>
      <x:c r="Q4648" s="66" t="str">
        <x:v>https://snpmb.id/snbp/daya-tampung-snbp</x:v>
      </x:c>
      <x:c r="R4648" s="66" t="str">
        <x:v>https://sidatagrun-public-1076756628210.asia-southeast2.run.app/ptn_sn.php?ptn=741</x:v>
      </x:c>
    </x:row>
    <x:row r="4649">
      <x:c r="A4649" s="87" t="n">
        <x:v>4707</x:v>
      </x:c>
      <x:c r="B4649" s="66" t="n">
        <x:v>741</x:v>
      </x:c>
      <x:c r="C4649" s="66" t="str">
        <x:v>UNIVERSITAS SULAWESI BARAT</x:v>
      </x:c>
      <x:c r="D4649" s="66" t="str">
        <x:v>PTN Akademik</x:v>
      </x:c>
      <x:c r="E4649" s="66" t="str">
        <x:v>17411012</x:v>
      </x:c>
      <x:c r="F4649" s="66" t="str">
        <x:v>PERIKANAN TANGKAP</x:v>
      </x:c>
      <x:c r="G4649" s="66" t="str">
        <x:v>Sarjana</x:v>
      </x:c>
      <x:c r="H4649" s="87" t="n">
        <x:v>28</x:v>
      </x:c>
      <x:c r="I4649" s="87" t="n">
        <x:v>12</x:v>
      </x:c>
      <x:c r="J4649" s="68" t="n">
        <x:f>IFERROR(H4649/I4649,"")</x:f>
        <x:v>2.3333333333333335</x:v>
      </x:c>
      <x:c r="K4649" s="69" t="n">
        <x:f>IFERROR(I4649/H4649,"")</x:f>
        <x:v>0.42857142857142855</x:v>
      </x:c>
      <x:c r="L4649" s="66" t="str">
        <x:f>IF(K4649="","","1 : "&amp;TEXT(K4649,"0.0"))</x:f>
        <x:v>1 : 0.4</x:v>
      </x:c>
      <x:c r="M4649" s="66" t="str">
        <x:f>IF(J4649="","Baru/Tanpa Data",IF(J4649&lt;='Catatan &amp; Sumber'!$B$14,"Sangat Ketat",IF(J4649&lt;='Catatan &amp; Sumber'!$B$15,"Ketat",IF(J4649&lt;='Catatan &amp; Sumber'!$B$16,"Sedang","Relatif Longgar"))))</x:f>
        <x:v>Relatif Longgar</x:v>
      </x:c>
      <x:c r="N4649" s="66" t="str">
        <x:v>Tidak Ada</x:v>
      </x:c>
      <x:c r="O4649" s="66" t="str">
        <x:v>Sulawesi Barat</x:v>
      </x:c>
      <x:c r="P4649" s="66" t="str">
        <x:v>Kabupaten Majene</x:v>
      </x:c>
      <x:c r="Q4649" s="66" t="str">
        <x:v>https://snpmb.id/snbp/daya-tampung-snbp</x:v>
      </x:c>
      <x:c r="R4649" s="66" t="str">
        <x:v>https://sidatagrun-public-1076756628210.asia-southeast2.run.app/ptn_sn.php?ptn=741</x:v>
      </x:c>
    </x:row>
    <x:row r="4650">
      <x:c r="A4650" s="87" t="n">
        <x:v>4020</x:v>
      </x:c>
      <x:c r="B4650" s="66" t="n">
        <x:v>741</x:v>
      </x:c>
      <x:c r="C4650" s="66" t="str">
        <x:v>UNIVERSITAS SULAWESI BARAT</x:v>
      </x:c>
      <x:c r="D4650" s="66" t="str">
        <x:v>PTN Akademik</x:v>
      </x:c>
      <x:c r="E4650" s="66" t="str">
        <x:v>17411013</x:v>
      </x:c>
      <x:c r="F4650" s="66" t="str">
        <x:v>AGROEKOTEKNOLOGI</x:v>
      </x:c>
      <x:c r="G4650" s="66" t="str">
        <x:v>Sarjana</x:v>
      </x:c>
      <x:c r="H4650" s="87" t="n">
        <x:v>28</x:v>
      </x:c>
      <x:c r="I4650" s="87" t="n">
        <x:v>40</x:v>
      </x:c>
      <x:c r="J4650" s="68" t="n">
        <x:f>IFERROR(H4650/I4650,"")</x:f>
        <x:v>0.7</x:v>
      </x:c>
      <x:c r="K4650" s="69" t="n">
        <x:f>IFERROR(I4650/H4650,"")</x:f>
        <x:v>1.4285714285714286</x:v>
      </x:c>
      <x:c r="L4650" s="66" t="str">
        <x:f>IF(K4650="","","1 : "&amp;TEXT(K4650,"0.0"))</x:f>
        <x:v>1 : 1.4</x:v>
      </x:c>
      <x:c r="M4650" s="66" t="str">
        <x:f>IF(J4650="","Baru/Tanpa Data",IF(J4650&lt;='Catatan &amp; Sumber'!$B$14,"Sangat Ketat",IF(J4650&lt;='Catatan &amp; Sumber'!$B$15,"Ketat",IF(J4650&lt;='Catatan &amp; Sumber'!$B$16,"Sedang","Relatif Longgar"))))</x:f>
        <x:v>Relatif Longgar</x:v>
      </x:c>
      <x:c r="N4650" s="66" t="str">
        <x:v>Tidak Ada</x:v>
      </x:c>
      <x:c r="O4650" s="66" t="str">
        <x:v>Sulawesi Barat</x:v>
      </x:c>
      <x:c r="P4650" s="66" t="str">
        <x:v>Kabupaten Majene</x:v>
      </x:c>
      <x:c r="Q4650" s="66" t="str">
        <x:v>https://snpmb.id/snbp/daya-tampung-snbp</x:v>
      </x:c>
      <x:c r="R4650" s="66" t="str">
        <x:v>https://sidatagrun-public-1076756628210.asia-southeast2.run.app/ptn_sn.php?ptn=741</x:v>
      </x:c>
    </x:row>
    <x:row r="4651">
      <x:c r="A4651" s="87" t="n">
        <x:v>4584</x:v>
      </x:c>
      <x:c r="B4651" s="66" t="n">
        <x:v>741</x:v>
      </x:c>
      <x:c r="C4651" s="66" t="str">
        <x:v>UNIVERSITAS SULAWESI BARAT</x:v>
      </x:c>
      <x:c r="D4651" s="66" t="str">
        <x:v>PTN Akademik</x:v>
      </x:c>
      <x:c r="E4651" s="66" t="str">
        <x:v>17411014</x:v>
      </x:c>
      <x:c r="F4651" s="66" t="str">
        <x:v>PERENCANAAN WILAYAH DAN KOTA</x:v>
      </x:c>
      <x:c r="G4651" s="66" t="str">
        <x:v>Sarjana</x:v>
      </x:c>
      <x:c r="H4651" s="87" t="n">
        <x:v>48</x:v>
      </x:c>
      <x:c r="I4651" s="87" t="n">
        <x:v>30</x:v>
      </x:c>
      <x:c r="J4651" s="68" t="n">
        <x:f>IFERROR(H4651/I4651,"")</x:f>
        <x:v>1.6</x:v>
      </x:c>
      <x:c r="K4651" s="69" t="n">
        <x:f>IFERROR(I4651/H4651,"")</x:f>
        <x:v>0.625</x:v>
      </x:c>
      <x:c r="L4651" s="66" t="str">
        <x:f>IF(K4651="","","1 : "&amp;TEXT(K4651,"0.0"))</x:f>
        <x:v>1 : 0.6</x:v>
      </x:c>
      <x:c r="M4651" s="66" t="str">
        <x:f>IF(J4651="","Baru/Tanpa Data",IF(J4651&lt;='Catatan &amp; Sumber'!$B$14,"Sangat Ketat",IF(J4651&lt;='Catatan &amp; Sumber'!$B$15,"Ketat",IF(J4651&lt;='Catatan &amp; Sumber'!$B$16,"Sedang","Relatif Longgar"))))</x:f>
        <x:v>Relatif Longgar</x:v>
      </x:c>
      <x:c r="N4651" s="66" t="str">
        <x:v>Tidak Ada</x:v>
      </x:c>
      <x:c r="O4651" s="66" t="str">
        <x:v>Sulawesi Barat</x:v>
      </x:c>
      <x:c r="P4651" s="66" t="str">
        <x:v>Kabupaten Majene</x:v>
      </x:c>
      <x:c r="Q4651" s="66" t="str">
        <x:v>https://snpmb.id/snbp/daya-tampung-snbp</x:v>
      </x:c>
      <x:c r="R4651" s="66" t="str">
        <x:v>https://sidatagrun-public-1076756628210.asia-southeast2.run.app/ptn_sn.php?ptn=741</x:v>
      </x:c>
    </x:row>
    <x:row r="4652">
      <x:c r="A4652" s="87" t="n">
        <x:v>4215</x:v>
      </x:c>
      <x:c r="B4652" s="66" t="n">
        <x:v>741</x:v>
      </x:c>
      <x:c r="C4652" s="66" t="str">
        <x:v>UNIVERSITAS SULAWESI BARAT</x:v>
      </x:c>
      <x:c r="D4652" s="66" t="str">
        <x:v>PTN Akademik</x:v>
      </x:c>
      <x:c r="E4652" s="66" t="str">
        <x:v>17411015</x:v>
      </x:c>
      <x:c r="F4652" s="66" t="str">
        <x:v>STATISTIKA</x:v>
      </x:c>
      <x:c r="G4652" s="66" t="str">
        <x:v>Sarjana</x:v>
      </x:c>
      <x:c r="H4652" s="87" t="n">
        <x:v>28</x:v>
      </x:c>
      <x:c r="I4652" s="87" t="n">
        <x:v>32</x:v>
      </x:c>
      <x:c r="J4652" s="68" t="n">
        <x:f>IFERROR(H4652/I4652,"")</x:f>
        <x:v>0.875</x:v>
      </x:c>
      <x:c r="K4652" s="69" t="n">
        <x:f>IFERROR(I4652/H4652,"")</x:f>
        <x:v>1.1428571428571428</x:v>
      </x:c>
      <x:c r="L4652" s="66" t="str">
        <x:f>IF(K4652="","","1 : "&amp;TEXT(K4652,"0.0"))</x:f>
        <x:v>1 : 1.1</x:v>
      </x:c>
      <x:c r="M4652" s="66" t="str">
        <x:f>IF(J4652="","Baru/Tanpa Data",IF(J4652&lt;='Catatan &amp; Sumber'!$B$14,"Sangat Ketat",IF(J4652&lt;='Catatan &amp; Sumber'!$B$15,"Ketat",IF(J4652&lt;='Catatan &amp; Sumber'!$B$16,"Sedang","Relatif Longgar"))))</x:f>
        <x:v>Relatif Longgar</x:v>
      </x:c>
      <x:c r="N4652" s="66" t="str">
        <x:v>Tidak Ada</x:v>
      </x:c>
      <x:c r="O4652" s="66" t="str">
        <x:v>Sulawesi Barat</x:v>
      </x:c>
      <x:c r="P4652" s="66" t="str">
        <x:v>Kabupaten Majene</x:v>
      </x:c>
      <x:c r="Q4652" s="66" t="str">
        <x:v>https://snpmb.id/snbp/daya-tampung-snbp</x:v>
      </x:c>
      <x:c r="R4652" s="66" t="str">
        <x:v>https://sidatagrun-public-1076756628210.asia-southeast2.run.app/ptn_sn.php?ptn=741</x:v>
      </x:c>
    </x:row>
    <x:row r="4653">
      <x:c r="A4653" s="87" t="n">
        <x:v>2442</x:v>
      </x:c>
      <x:c r="B4653" s="66" t="n">
        <x:v>741</x:v>
      </x:c>
      <x:c r="C4653" s="66" t="str">
        <x:v>UNIVERSITAS SULAWESI BARAT</x:v>
      </x:c>
      <x:c r="D4653" s="66" t="str">
        <x:v>PTN Akademik</x:v>
      </x:c>
      <x:c r="E4653" s="66" t="str">
        <x:v>17411016</x:v>
      </x:c>
      <x:c r="F4653" s="66" t="str">
        <x:v>GIZI</x:v>
      </x:c>
      <x:c r="G4653" s="66" t="str">
        <x:v>Sarjana</x:v>
      </x:c>
      <x:c r="H4653" s="87" t="n">
        <x:v>32</x:v>
      </x:c>
      <x:c r="I4653" s="87" t="n">
        <x:v>159</x:v>
      </x:c>
      <x:c r="J4653" s="68" t="n">
        <x:f>IFERROR(H4653/I4653,"")</x:f>
        <x:v>0.20125786163522014</x:v>
      </x:c>
      <x:c r="K4653" s="69" t="n">
        <x:f>IFERROR(I4653/H4653,"")</x:f>
        <x:v>4.96875</x:v>
      </x:c>
      <x:c r="L4653" s="66" t="str">
        <x:f>IF(K4653="","","1 : "&amp;TEXT(K4653,"0.0"))</x:f>
        <x:v>1 : 5.0</x:v>
      </x:c>
      <x:c r="M4653" s="66" t="str">
        <x:f>IF(J4653="","Baru/Tanpa Data",IF(J4653&lt;='Catatan &amp; Sumber'!$B$14,"Sangat Ketat",IF(J4653&lt;='Catatan &amp; Sumber'!$B$15,"Ketat",IF(J4653&lt;='Catatan &amp; Sumber'!$B$16,"Sedang","Relatif Longgar"))))</x:f>
        <x:v>Relatif Longgar</x:v>
      </x:c>
      <x:c r="N4653" s="66" t="str">
        <x:v>Tidak Ada</x:v>
      </x:c>
      <x:c r="O4653" s="66" t="str">
        <x:v>Sulawesi Barat</x:v>
      </x:c>
      <x:c r="P4653" s="66" t="str">
        <x:v>Kabupaten Majene</x:v>
      </x:c>
      <x:c r="Q4653" s="66" t="str">
        <x:v>https://snpmb.id/snbp/daya-tampung-snbp</x:v>
      </x:c>
      <x:c r="R4653" s="66" t="str">
        <x:v>https://sidatagrun-public-1076756628210.asia-southeast2.run.app/ptn_sn.php?ptn=741</x:v>
      </x:c>
    </x:row>
    <x:row r="4654">
      <x:c r="A4654" s="87" t="n">
        <x:v>2803</x:v>
      </x:c>
      <x:c r="B4654" s="66" t="n">
        <x:v>741</x:v>
      </x:c>
      <x:c r="C4654" s="66" t="str">
        <x:v>UNIVERSITAS SULAWESI BARAT</x:v>
      </x:c>
      <x:c r="D4654" s="66" t="str">
        <x:v>PTN Akademik</x:v>
      </x:c>
      <x:c r="E4654" s="66" t="str">
        <x:v>17411017</x:v>
      </x:c>
      <x:c r="F4654" s="66" t="str">
        <x:v>ADMINISTRASI KESEHATAN</x:v>
      </x:c>
      <x:c r="G4654" s="66" t="str">
        <x:v>Sarjana</x:v>
      </x:c>
      <x:c r="H4654" s="87" t="n">
        <x:v>42</x:v>
      </x:c>
      <x:c r="I4654" s="87" t="n">
        <x:v>162</x:v>
      </x:c>
      <x:c r="J4654" s="68" t="n">
        <x:f>IFERROR(H4654/I4654,"")</x:f>
        <x:v>0.25925925925925924</x:v>
      </x:c>
      <x:c r="K4654" s="69" t="n">
        <x:f>IFERROR(I4654/H4654,"")</x:f>
        <x:v>3.857142857142857</x:v>
      </x:c>
      <x:c r="L4654" s="66" t="str">
        <x:f>IF(K4654="","","1 : "&amp;TEXT(K4654,"0.0"))</x:f>
        <x:v>1 : 3.9</x:v>
      </x:c>
      <x:c r="M4654" s="66" t="str">
        <x:f>IF(J4654="","Baru/Tanpa Data",IF(J4654&lt;='Catatan &amp; Sumber'!$B$14,"Sangat Ketat",IF(J4654&lt;='Catatan &amp; Sumber'!$B$15,"Ketat",IF(J4654&lt;='Catatan &amp; Sumber'!$B$16,"Sedang","Relatif Longgar"))))</x:f>
        <x:v>Relatif Longgar</x:v>
      </x:c>
      <x:c r="N4654" s="66" t="str">
        <x:v>Tidak Ada</x:v>
      </x:c>
      <x:c r="O4654" s="66" t="str">
        <x:v>Sulawesi Barat</x:v>
      </x:c>
      <x:c r="P4654" s="66" t="str">
        <x:v>Kabupaten Majene</x:v>
      </x:c>
      <x:c r="Q4654" s="66" t="str">
        <x:v>https://snpmb.id/snbp/daya-tampung-snbp</x:v>
      </x:c>
      <x:c r="R4654" s="66" t="str">
        <x:v>https://sidatagrun-public-1076756628210.asia-southeast2.run.app/ptn_sn.php?ptn=741</x:v>
      </x:c>
    </x:row>
    <x:row r="4655">
      <x:c r="A4655" s="87" t="n">
        <x:v>3707</x:v>
      </x:c>
      <x:c r="B4655" s="66" t="n">
        <x:v>741</x:v>
      </x:c>
      <x:c r="C4655" s="66" t="str">
        <x:v>UNIVERSITAS SULAWESI BARAT</x:v>
      </x:c>
      <x:c r="D4655" s="66" t="str">
        <x:v>PTN Akademik</x:v>
      </x:c>
      <x:c r="E4655" s="66" t="str">
        <x:v>17411018</x:v>
      </x:c>
      <x:c r="F4655" s="66" t="str">
        <x:v>TEKNOLOGI HASIL PERTANIAN</x:v>
      </x:c>
      <x:c r="G4655" s="66" t="str">
        <x:v>Sarjana</x:v>
      </x:c>
      <x:c r="H4655" s="87" t="n">
        <x:v>28</x:v>
      </x:c>
      <x:c r="I4655" s="87" t="n">
        <x:v>54</x:v>
      </x:c>
      <x:c r="J4655" s="68" t="n">
        <x:f>IFERROR(H4655/I4655,"")</x:f>
        <x:v>0.5185185185185185</x:v>
      </x:c>
      <x:c r="K4655" s="69" t="n">
        <x:f>IFERROR(I4655/H4655,"")</x:f>
        <x:v>1.9285714285714286</x:v>
      </x:c>
      <x:c r="L4655" s="66" t="str">
        <x:f>IF(K4655="","","1 : "&amp;TEXT(K4655,"0.0"))</x:f>
        <x:v>1 : 1.9</x:v>
      </x:c>
      <x:c r="M4655" s="66" t="str">
        <x:f>IF(J4655="","Baru/Tanpa Data",IF(J4655&lt;='Catatan &amp; Sumber'!$B$14,"Sangat Ketat",IF(J4655&lt;='Catatan &amp; Sumber'!$B$15,"Ketat",IF(J4655&lt;='Catatan &amp; Sumber'!$B$16,"Sedang","Relatif Longgar"))))</x:f>
        <x:v>Relatif Longgar</x:v>
      </x:c>
      <x:c r="N4655" s="66" t="str">
        <x:v>Tidak Ada</x:v>
      </x:c>
      <x:c r="O4655" s="66" t="str">
        <x:v>Sulawesi Barat</x:v>
      </x:c>
      <x:c r="P4655" s="66" t="str">
        <x:v>Kabupaten Majene</x:v>
      </x:c>
      <x:c r="Q4655" s="66" t="str">
        <x:v>https://snpmb.id/snbp/daya-tampung-snbp</x:v>
      </x:c>
      <x:c r="R4655" s="66" t="str">
        <x:v>https://sidatagrun-public-1076756628210.asia-southeast2.run.app/ptn_sn.php?ptn=741</x:v>
      </x:c>
    </x:row>
    <x:row r="4656">
      <x:c r="A4656" s="87" t="n">
        <x:v>2908</x:v>
      </x:c>
      <x:c r="B4656" s="66" t="n">
        <x:v>741</x:v>
      </x:c>
      <x:c r="C4656" s="66" t="str">
        <x:v>UNIVERSITAS SULAWESI BARAT</x:v>
      </x:c>
      <x:c r="D4656" s="66" t="str">
        <x:v>PTN Akademik</x:v>
      </x:c>
      <x:c r="E4656" s="66" t="str">
        <x:v>17411019</x:v>
      </x:c>
      <x:c r="F4656" s="66" t="str">
        <x:v>MANAJEMEN</x:v>
      </x:c>
      <x:c r="G4656" s="66" t="str">
        <x:v>Sarjana</x:v>
      </x:c>
      <x:c r="H4656" s="87" t="n">
        <x:v>98</x:v>
      </x:c>
      <x:c r="I4656" s="87" t="n">
        <x:v>355</x:v>
      </x:c>
      <x:c r="J4656" s="68" t="n">
        <x:f>IFERROR(H4656/I4656,"")</x:f>
        <x:v>0.27605633802816903</x:v>
      </x:c>
      <x:c r="K4656" s="69" t="n">
        <x:f>IFERROR(I4656/H4656,"")</x:f>
        <x:v>3.622448979591837</x:v>
      </x:c>
      <x:c r="L4656" s="66" t="str">
        <x:f>IF(K4656="","","1 : "&amp;TEXT(K4656,"0.0"))</x:f>
        <x:v>1 : 3.6</x:v>
      </x:c>
      <x:c r="M4656" s="66" t="str">
        <x:f>IF(J4656="","Baru/Tanpa Data",IF(J4656&lt;='Catatan &amp; Sumber'!$B$14,"Sangat Ketat",IF(J4656&lt;='Catatan &amp; Sumber'!$B$15,"Ketat",IF(J4656&lt;='Catatan &amp; Sumber'!$B$16,"Sedang","Relatif Longgar"))))</x:f>
        <x:v>Relatif Longgar</x:v>
      </x:c>
      <x:c r="N4656" s="66" t="str">
        <x:v>Tidak Ada</x:v>
      </x:c>
      <x:c r="O4656" s="66" t="str">
        <x:v>Sulawesi Barat</x:v>
      </x:c>
      <x:c r="P4656" s="66" t="str">
        <x:v>Kabupaten Majene</x:v>
      </x:c>
      <x:c r="Q4656" s="66" t="str">
        <x:v>https://snpmb.id/snbp/daya-tampung-snbp</x:v>
      </x:c>
      <x:c r="R4656" s="66" t="str">
        <x:v>https://sidatagrun-public-1076756628210.asia-southeast2.run.app/ptn_sn.php?ptn=741</x:v>
      </x:c>
    </x:row>
    <x:row r="4657">
      <x:c r="A4657" s="87" t="n">
        <x:v>3648</x:v>
      </x:c>
      <x:c r="B4657" s="66" t="n">
        <x:v>741</x:v>
      </x:c>
      <x:c r="C4657" s="66" t="str">
        <x:v>UNIVERSITAS SULAWESI BARAT</x:v>
      </x:c>
      <x:c r="D4657" s="66" t="str">
        <x:v>PTN Akademik</x:v>
      </x:c>
      <x:c r="E4657" s="66" t="str">
        <x:v>17411020</x:v>
      </x:c>
      <x:c r="F4657" s="66" t="str">
        <x:v>AKUNTANSI</x:v>
      </x:c>
      <x:c r="G4657" s="66" t="str">
        <x:v>Sarjana</x:v>
      </x:c>
      <x:c r="H4657" s="87" t="n">
        <x:v>98</x:v>
      </x:c>
      <x:c r="I4657" s="87" t="n">
        <x:v>200</x:v>
      </x:c>
      <x:c r="J4657" s="68" t="n">
        <x:f>IFERROR(H4657/I4657,"")</x:f>
        <x:v>0.49</x:v>
      </x:c>
      <x:c r="K4657" s="69" t="n">
        <x:f>IFERROR(I4657/H4657,"")</x:f>
        <x:v>2.0408163265306123</x:v>
      </x:c>
      <x:c r="L4657" s="66" t="str">
        <x:f>IF(K4657="","","1 : "&amp;TEXT(K4657,"0.0"))</x:f>
        <x:v>1 : 2.0</x:v>
      </x:c>
      <x:c r="M4657" s="66" t="str">
        <x:f>IF(J4657="","Baru/Tanpa Data",IF(J4657&lt;='Catatan &amp; Sumber'!$B$14,"Sangat Ketat",IF(J4657&lt;='Catatan &amp; Sumber'!$B$15,"Ketat",IF(J4657&lt;='Catatan &amp; Sumber'!$B$16,"Sedang","Relatif Longgar"))))</x:f>
        <x:v>Relatif Longgar</x:v>
      </x:c>
      <x:c r="N4657" s="66" t="str">
        <x:v>Tidak Ada</x:v>
      </x:c>
      <x:c r="O4657" s="66" t="str">
        <x:v>Sulawesi Barat</x:v>
      </x:c>
      <x:c r="P4657" s="66" t="str">
        <x:v>Kabupaten Majene</x:v>
      </x:c>
      <x:c r="Q4657" s="66" t="str">
        <x:v>https://snpmb.id/snbp/daya-tampung-snbp</x:v>
      </x:c>
      <x:c r="R4657" s="66" t="str">
        <x:v>https://sidatagrun-public-1076756628210.asia-southeast2.run.app/ptn_sn.php?ptn=741</x:v>
      </x:c>
    </x:row>
    <x:row r="4658">
      <x:c r="A4658" s="87" t="n">
        <x:v>4510</x:v>
      </x:c>
      <x:c r="B4658" s="66" t="n">
        <x:v>741</x:v>
      </x:c>
      <x:c r="C4658" s="66" t="str">
        <x:v>UNIVERSITAS SULAWESI BARAT</x:v>
      </x:c>
      <x:c r="D4658" s="66" t="str">
        <x:v>PTN Akademik</x:v>
      </x:c>
      <x:c r="E4658" s="66" t="str">
        <x:v>17411021</x:v>
      </x:c>
      <x:c r="F4658" s="66" t="str">
        <x:v>ILMU POLITIK</x:v>
      </x:c>
      <x:c r="G4658" s="66" t="str">
        <x:v>Sarjana</x:v>
      </x:c>
      <x:c r="H4658" s="87" t="n">
        <x:v>42</x:v>
      </x:c>
      <x:c r="I4658" s="87" t="n">
        <x:v>31</x:v>
      </x:c>
      <x:c r="J4658" s="68" t="n">
        <x:f>IFERROR(H4658/I4658,"")</x:f>
        <x:v>1.3548387096774193</x:v>
      </x:c>
      <x:c r="K4658" s="69" t="n">
        <x:f>IFERROR(I4658/H4658,"")</x:f>
        <x:v>0.7380952380952381</x:v>
      </x:c>
      <x:c r="L4658" s="66" t="str">
        <x:f>IF(K4658="","","1 : "&amp;TEXT(K4658,"0.0"))</x:f>
        <x:v>1 : 0.7</x:v>
      </x:c>
      <x:c r="M4658" s="66" t="str">
        <x:f>IF(J4658="","Baru/Tanpa Data",IF(J4658&lt;='Catatan &amp; Sumber'!$B$14,"Sangat Ketat",IF(J4658&lt;='Catatan &amp; Sumber'!$B$15,"Ketat",IF(J4658&lt;='Catatan &amp; Sumber'!$B$16,"Sedang","Relatif Longgar"))))</x:f>
        <x:v>Relatif Longgar</x:v>
      </x:c>
      <x:c r="N4658" s="66" t="str">
        <x:v>Tidak Ada</x:v>
      </x:c>
      <x:c r="O4658" s="66" t="str">
        <x:v>Sulawesi Barat</x:v>
      </x:c>
      <x:c r="P4658" s="66" t="str">
        <x:v>Kabupaten Majene</x:v>
      </x:c>
      <x:c r="Q4658" s="66" t="str">
        <x:v>https://snpmb.id/snbp/daya-tampung-snbp</x:v>
      </x:c>
      <x:c r="R4658" s="66" t="str">
        <x:v>https://sidatagrun-public-1076756628210.asia-southeast2.run.app/ptn_sn.php?ptn=741</x:v>
      </x:c>
    </x:row>
    <x:row r="4659">
      <x:c r="A4659" s="87" t="n">
        <x:v>4259</x:v>
      </x:c>
      <x:c r="B4659" s="66" t="n">
        <x:v>741</x:v>
      </x:c>
      <x:c r="C4659" s="66" t="str">
        <x:v>UNIVERSITAS SULAWESI BARAT</x:v>
      </x:c>
      <x:c r="D4659" s="66" t="str">
        <x:v>PTN Akademik</x:v>
      </x:c>
      <x:c r="E4659" s="66" t="str">
        <x:v>17411022</x:v>
      </x:c>
      <x:c r="F4659" s="66" t="str">
        <x:v>HUBUNGAN INTERNASIONAL</x:v>
      </x:c>
      <x:c r="G4659" s="66" t="str">
        <x:v>Sarjana</x:v>
      </x:c>
      <x:c r="H4659" s="87" t="n">
        <x:v>42</x:v>
      </x:c>
      <x:c r="I4659" s="87" t="n">
        <x:v>46</x:v>
      </x:c>
      <x:c r="J4659" s="68" t="n">
        <x:f>IFERROR(H4659/I4659,"")</x:f>
        <x:v>0.9130434782608695</x:v>
      </x:c>
      <x:c r="K4659" s="69" t="n">
        <x:f>IFERROR(I4659/H4659,"")</x:f>
        <x:v>1.0952380952380953</x:v>
      </x:c>
      <x:c r="L4659" s="66" t="str">
        <x:f>IF(K4659="","","1 : "&amp;TEXT(K4659,"0.0"))</x:f>
        <x:v>1 : 1.1</x:v>
      </x:c>
      <x:c r="M4659" s="66" t="str">
        <x:f>IF(J4659="","Baru/Tanpa Data",IF(J4659&lt;='Catatan &amp; Sumber'!$B$14,"Sangat Ketat",IF(J4659&lt;='Catatan &amp; Sumber'!$B$15,"Ketat",IF(J4659&lt;='Catatan &amp; Sumber'!$B$16,"Sedang","Relatif Longgar"))))</x:f>
        <x:v>Relatif Longgar</x:v>
      </x:c>
      <x:c r="N4659" s="66" t="str">
        <x:v>Tidak Ada</x:v>
      </x:c>
      <x:c r="O4659" s="66" t="str">
        <x:v>Sulawesi Barat</x:v>
      </x:c>
      <x:c r="P4659" s="66" t="str">
        <x:v>Kabupaten Majene</x:v>
      </x:c>
      <x:c r="Q4659" s="66" t="str">
        <x:v>https://snpmb.id/snbp/daya-tampung-snbp</x:v>
      </x:c>
      <x:c r="R4659" s="66" t="str">
        <x:v>https://sidatagrun-public-1076756628210.asia-southeast2.run.app/ptn_sn.php?ptn=741</x:v>
      </x:c>
    </x:row>
    <x:row r="4660">
      <x:c r="A4660" s="87" t="n">
        <x:v>3606</x:v>
      </x:c>
      <x:c r="B4660" s="66" t="n">
        <x:v>741</x:v>
      </x:c>
      <x:c r="C4660" s="66" t="str">
        <x:v>UNIVERSITAS SULAWESI BARAT</x:v>
      </x:c>
      <x:c r="D4660" s="66" t="str">
        <x:v>PTN Akademik</x:v>
      </x:c>
      <x:c r="E4660" s="66" t="str">
        <x:v>17411023</x:v>
      </x:c>
      <x:c r="F4660" s="66" t="str">
        <x:v>HUKUM</x:v>
      </x:c>
      <x:c r="G4660" s="66" t="str">
        <x:v>Sarjana</x:v>
      </x:c>
      <x:c r="H4660" s="87" t="n">
        <x:v>60</x:v>
      </x:c>
      <x:c r="I4660" s="87" t="n">
        <x:v>127</x:v>
      </x:c>
      <x:c r="J4660" s="68" t="n">
        <x:f>IFERROR(H4660/I4660,"")</x:f>
        <x:v>0.47244094488188976</x:v>
      </x:c>
      <x:c r="K4660" s="69" t="n">
        <x:f>IFERROR(I4660/H4660,"")</x:f>
        <x:v>2.1166666666666667</x:v>
      </x:c>
      <x:c r="L4660" s="66" t="str">
        <x:f>IF(K4660="","","1 : "&amp;TEXT(K4660,"0.0"))</x:f>
        <x:v>1 : 2.1</x:v>
      </x:c>
      <x:c r="M4660" s="66" t="str">
        <x:f>IF(J4660="","Baru/Tanpa Data",IF(J4660&lt;='Catatan &amp; Sumber'!$B$14,"Sangat Ketat",IF(J4660&lt;='Catatan &amp; Sumber'!$B$15,"Ketat",IF(J4660&lt;='Catatan &amp; Sumber'!$B$16,"Sedang","Relatif Longgar"))))</x:f>
        <x:v>Relatif Longgar</x:v>
      </x:c>
      <x:c r="N4660" s="66" t="str">
        <x:v>Tidak Ada</x:v>
      </x:c>
      <x:c r="O4660" s="66" t="str">
        <x:v>Sulawesi Barat</x:v>
      </x:c>
      <x:c r="P4660" s="66" t="str">
        <x:v>Kabupaten Majene</x:v>
      </x:c>
      <x:c r="Q4660" s="66" t="str">
        <x:v>https://snpmb.id/snbp/daya-tampung-snbp</x:v>
      </x:c>
      <x:c r="R4660" s="66" t="str">
        <x:v>https://sidatagrun-public-1076756628210.asia-southeast2.run.app/ptn_sn.php?ptn=741</x:v>
      </x:c>
    </x:row>
    <x:row r="4661">
      <x:c r="A4661" s="87" t="n">
        <x:v>2947</x:v>
      </x:c>
      <x:c r="B4661" s="66" t="n">
        <x:v>741</x:v>
      </x:c>
      <x:c r="C4661" s="66" t="str">
        <x:v>UNIVERSITAS SULAWESI BARAT</x:v>
      </x:c>
      <x:c r="D4661" s="66" t="str">
        <x:v>PTN Akademik</x:v>
      </x:c>
      <x:c r="E4661" s="66" t="str">
        <x:v>17411024</x:v>
      </x:c>
      <x:c r="F4661" s="66" t="str">
        <x:v>PEND. BHS. INGGRIS</x:v>
      </x:c>
      <x:c r="G4661" s="66" t="str">
        <x:v>Sarjana</x:v>
      </x:c>
      <x:c r="H4661" s="87" t="n">
        <x:v>42</x:v>
      </x:c>
      <x:c r="I4661" s="87" t="n">
        <x:v>148</x:v>
      </x:c>
      <x:c r="J4661" s="68" t="n">
        <x:f>IFERROR(H4661/I4661,"")</x:f>
        <x:v>0.28378378378378377</x:v>
      </x:c>
      <x:c r="K4661" s="69" t="n">
        <x:f>IFERROR(I4661/H4661,"")</x:f>
        <x:v>3.5238095238095237</x:v>
      </x:c>
      <x:c r="L4661" s="66" t="str">
        <x:f>IF(K4661="","","1 : "&amp;TEXT(K4661,"0.0"))</x:f>
        <x:v>1 : 3.5</x:v>
      </x:c>
      <x:c r="M4661" s="66" t="str">
        <x:f>IF(J4661="","Baru/Tanpa Data",IF(J4661&lt;='Catatan &amp; Sumber'!$B$14,"Sangat Ketat",IF(J4661&lt;='Catatan &amp; Sumber'!$B$15,"Ketat",IF(J4661&lt;='Catatan &amp; Sumber'!$B$16,"Sedang","Relatif Longgar"))))</x:f>
        <x:v>Relatif Longgar</x:v>
      </x:c>
      <x:c r="N4661" s="66" t="str">
        <x:v>Tidak Ada</x:v>
      </x:c>
      <x:c r="O4661" s="66" t="str">
        <x:v>Sulawesi Barat</x:v>
      </x:c>
      <x:c r="P4661" s="66" t="str">
        <x:v>Kabupaten Majene</x:v>
      </x:c>
      <x:c r="Q4661" s="66" t="str">
        <x:v>https://snpmb.id/snbp/daya-tampung-snbp</x:v>
      </x:c>
      <x:c r="R4661" s="66" t="str">
        <x:v>https://sidatagrun-public-1076756628210.asia-southeast2.run.app/ptn_sn.php?ptn=741</x:v>
      </x:c>
    </x:row>
    <x:row r="4662">
      <x:c r="A4662" s="87" t="n">
        <x:v>1188</x:v>
      </x:c>
      <x:c r="B4662" s="66" t="n">
        <x:v>741</x:v>
      </x:c>
      <x:c r="C4662" s="66" t="str">
        <x:v>UNIVERSITAS SULAWESI BARAT</x:v>
      </x:c>
      <x:c r="D4662" s="66" t="str">
        <x:v>PTN Akademik</x:v>
      </x:c>
      <x:c r="E4662" s="66" t="str">
        <x:v>17411026</x:v>
      </x:c>
      <x:c r="F4662" s="66" t="str">
        <x:v>PENDIDIKAN GURU SEKOLAH DASAR (PGSD)</x:v>
      </x:c>
      <x:c r="G4662" s="66" t="str">
        <x:v>Sarjana</x:v>
      </x:c>
      <x:c r="H4662" s="87" t="n">
        <x:v>70</x:v>
      </x:c>
      <x:c r="I4662" s="87" t="n">
        <x:v>786</x:v>
      </x:c>
      <x:c r="J4662" s="68" t="n">
        <x:f>IFERROR(H4662/I4662,"")</x:f>
        <x:v>0.089058524173028</x:v>
      </x:c>
      <x:c r="K4662" s="69" t="n">
        <x:f>IFERROR(I4662/H4662,"")</x:f>
        <x:v>11.228571428571428</x:v>
      </x:c>
      <x:c r="L4662" s="66" t="str">
        <x:f>IF(K4662="","","1 : "&amp;TEXT(K4662,"0.0"))</x:f>
        <x:v>1 : 11.2</x:v>
      </x:c>
      <x:c r="M4662" s="66" t="str">
        <x:f>IF(J4662="","Baru/Tanpa Data",IF(J4662&lt;='Catatan &amp; Sumber'!$B$14,"Sangat Ketat",IF(J4662&lt;='Catatan &amp; Sumber'!$B$15,"Ketat",IF(J4662&lt;='Catatan &amp; Sumber'!$B$16,"Sedang","Relatif Longgar"))))</x:f>
        <x:v>Sedang</x:v>
      </x:c>
      <x:c r="N4662" s="66" t="str">
        <x:v>Tidak Ada</x:v>
      </x:c>
      <x:c r="O4662" s="66" t="str">
        <x:v>Sulawesi Barat</x:v>
      </x:c>
      <x:c r="P4662" s="66" t="str">
        <x:v>Kabupaten Majene</x:v>
      </x:c>
      <x:c r="Q4662" s="66" t="str">
        <x:v>https://snpmb.id/snbp/daya-tampung-snbp</x:v>
      </x:c>
      <x:c r="R4662" s="66" t="str">
        <x:v>https://sidatagrun-public-1076756628210.asia-southeast2.run.app/ptn_sn.php?ptn=741</x:v>
      </x:c>
    </x:row>
    <x:row r="4663">
      <x:c r="A4663" s="87" t="n">
        <x:v>3568</x:v>
      </x:c>
      <x:c r="B4663" s="66" t="n">
        <x:v>741</x:v>
      </x:c>
      <x:c r="C4663" s="66" t="str">
        <x:v>UNIVERSITAS SULAWESI BARAT</x:v>
      </x:c>
      <x:c r="D4663" s="66" t="str">
        <x:v>PTN Akademik</x:v>
      </x:c>
      <x:c r="E4663" s="66" t="str">
        <x:v>17411027</x:v>
      </x:c>
      <x:c r="F4663" s="66" t="str">
        <x:v>PENDIDIKAN ILMU PENGETAHUAN ALAM (IPA)</x:v>
      </x:c>
      <x:c r="G4663" s="66" t="str">
        <x:v>Sarjana</x:v>
      </x:c>
      <x:c r="H4663" s="87" t="n">
        <x:v>42</x:v>
      </x:c>
      <x:c r="I4663" s="87" t="n">
        <x:v>92</x:v>
      </x:c>
      <x:c r="J4663" s="68" t="n">
        <x:f>IFERROR(H4663/I4663,"")</x:f>
        <x:v>0.45652173913043476</x:v>
      </x:c>
      <x:c r="K4663" s="69" t="n">
        <x:f>IFERROR(I4663/H4663,"")</x:f>
        <x:v>2.1904761904761907</x:v>
      </x:c>
      <x:c r="L4663" s="66" t="str">
        <x:f>IF(K4663="","","1 : "&amp;TEXT(K4663,"0.0"))</x:f>
        <x:v>1 : 2.2</x:v>
      </x:c>
      <x:c r="M4663" s="66" t="str">
        <x:f>IF(J4663="","Baru/Tanpa Data",IF(J4663&lt;='Catatan &amp; Sumber'!$B$14,"Sangat Ketat",IF(J4663&lt;='Catatan &amp; Sumber'!$B$15,"Ketat",IF(J4663&lt;='Catatan &amp; Sumber'!$B$16,"Sedang","Relatif Longgar"))))</x:f>
        <x:v>Relatif Longgar</x:v>
      </x:c>
      <x:c r="N4663" s="66" t="str">
        <x:v>Tidak Ada</x:v>
      </x:c>
      <x:c r="O4663" s="66" t="str">
        <x:v>Sulawesi Barat</x:v>
      </x:c>
      <x:c r="P4663" s="66" t="str">
        <x:v>Kabupaten Majene</x:v>
      </x:c>
      <x:c r="Q4663" s="66" t="str">
        <x:v>https://snpmb.id/snbp/daya-tampung-snbp</x:v>
      </x:c>
      <x:c r="R4663" s="66" t="str">
        <x:v>https://sidatagrun-public-1076756628210.asia-southeast2.run.app/ptn_sn.php?ptn=741</x:v>
      </x:c>
    </x:row>
    <x:row r="4664">
      <x:c r="A4664" s="87" t="n">
        <x:v>2630</x:v>
      </x:c>
      <x:c r="B4664" s="66" t="n">
        <x:v>741</x:v>
      </x:c>
      <x:c r="C4664" s="66" t="str">
        <x:v>UNIVERSITAS SULAWESI BARAT</x:v>
      </x:c>
      <x:c r="D4664" s="66" t="str">
        <x:v>PTN Akademik</x:v>
      </x:c>
      <x:c r="E4664" s="66" t="str">
        <x:v>17411028</x:v>
      </x:c>
      <x:c r="F4664" s="66" t="str">
        <x:v>SISTEM INFORMASI</x:v>
      </x:c>
      <x:c r="G4664" s="66" t="str">
        <x:v>Sarjana</x:v>
      </x:c>
      <x:c r="H4664" s="87" t="n">
        <x:v>16</x:v>
      </x:c>
      <x:c r="I4664" s="87" t="n">
        <x:v>69</x:v>
      </x:c>
      <x:c r="J4664" s="68" t="n">
        <x:f>IFERROR(H4664/I4664,"")</x:f>
        <x:v>0.2318840579710145</x:v>
      </x:c>
      <x:c r="K4664" s="69" t="n">
        <x:f>IFERROR(I4664/H4664,"")</x:f>
        <x:v>4.3125</x:v>
      </x:c>
      <x:c r="L4664" s="66" t="str">
        <x:f>IF(K4664="","","1 : "&amp;TEXT(K4664,"0.0"))</x:f>
        <x:v>1 : 4.3</x:v>
      </x:c>
      <x:c r="M4664" s="66" t="str">
        <x:f>IF(J4664="","Baru/Tanpa Data",IF(J4664&lt;='Catatan &amp; Sumber'!$B$14,"Sangat Ketat",IF(J4664&lt;='Catatan &amp; Sumber'!$B$15,"Ketat",IF(J4664&lt;='Catatan &amp; Sumber'!$B$16,"Sedang","Relatif Longgar"))))</x:f>
        <x:v>Relatif Longgar</x:v>
      </x:c>
      <x:c r="N4664" s="66" t="str">
        <x:v>Tidak Ada</x:v>
      </x:c>
      <x:c r="O4664" s="66" t="str">
        <x:v>Sulawesi Barat</x:v>
      </x:c>
      <x:c r="P4664" s="66" t="str">
        <x:v>Kabupaten Majene</x:v>
      </x:c>
      <x:c r="Q4664" s="66" t="str">
        <x:v>https://snpmb.id/snbp/daya-tampung-snbp</x:v>
      </x:c>
      <x:c r="R4664" s="66" t="str">
        <x:v>https://sidatagrun-public-1076756628210.asia-southeast2.run.app/ptn_sn.php?ptn=741</x:v>
      </x:c>
    </x:row>
    <x:row r="4665">
      <x:c r="A4665" s="87" t="n">
        <x:v>4749</x:v>
      </x:c>
      <x:c r="B4665" s="66" t="n">
        <x:v>741</x:v>
      </x:c>
      <x:c r="C4665" s="66" t="str">
        <x:v>UNIVERSITAS SULAWESI BARAT</x:v>
      </x:c>
      <x:c r="D4665" s="66" t="str">
        <x:v>PTN Akademik</x:v>
      </x:c>
      <x:c r="E4665" s="66" t="str">
        <x:v>17411029</x:v>
      </x:c>
      <x:c r="F4665" s="66" t="str">
        <x:v>SUMBER DAYA AKUATIK</x:v>
      </x:c>
      <x:c r="G4665" s="66" t="str">
        <x:v>Sarjana</x:v>
      </x:c>
      <x:c r="H4665" s="87" t="n">
        <x:v>14</x:v>
      </x:c>
      <x:c r="I4665" s="87" t="n">
        <x:v>5</x:v>
      </x:c>
      <x:c r="J4665" s="68" t="n">
        <x:f>IFERROR(H4665/I4665,"")</x:f>
        <x:v>2.8</x:v>
      </x:c>
      <x:c r="K4665" s="69" t="n">
        <x:f>IFERROR(I4665/H4665,"")</x:f>
        <x:v>0.35714285714285715</x:v>
      </x:c>
      <x:c r="L4665" s="66" t="str">
        <x:f>IF(K4665="","","1 : "&amp;TEXT(K4665,"0.0"))</x:f>
        <x:v>1 : 0.4</x:v>
      </x:c>
      <x:c r="M4665" s="66" t="str">
        <x:f>IF(J4665="","Baru/Tanpa Data",IF(J4665&lt;='Catatan &amp; Sumber'!$B$14,"Sangat Ketat",IF(J4665&lt;='Catatan &amp; Sumber'!$B$15,"Ketat",IF(J4665&lt;='Catatan &amp; Sumber'!$B$16,"Sedang","Relatif Longgar"))))</x:f>
        <x:v>Relatif Longgar</x:v>
      </x:c>
      <x:c r="N4665" s="66" t="str">
        <x:v>Tidak Ada</x:v>
      </x:c>
      <x:c r="O4665" s="66" t="str">
        <x:v>Sulawesi Barat</x:v>
      </x:c>
      <x:c r="P4665" s="66" t="str">
        <x:v>Kabupaten Majene</x:v>
      </x:c>
      <x:c r="Q4665" s="66" t="str">
        <x:v>https://snpmb.id/snbp/daya-tampung-snbp</x:v>
      </x:c>
      <x:c r="R4665" s="66" t="str">
        <x:v>https://sidatagrun-public-1076756628210.asia-southeast2.run.app/ptn_sn.php?ptn=741</x:v>
      </x:c>
    </x:row>
    <x:row r="4666">
      <x:c r="A4666" s="87" t="n">
        <x:v>2542</x:v>
      </x:c>
      <x:c r="B4666" s="66" t="n">
        <x:v>741</x:v>
      </x:c>
      <x:c r="C4666" s="66" t="str">
        <x:v>UNIVERSITAS SULAWESI BARAT</x:v>
      </x:c>
      <x:c r="D4666" s="66" t="str">
        <x:v>PTN Akademik</x:v>
      </x:c>
      <x:c r="E4666" s="66" t="str">
        <x:v>17411032</x:v>
      </x:c>
      <x:c r="F4666" s="66" t="str">
        <x:v>PENDIDIKAN TEKNOLOGI INFORMASI</x:v>
      </x:c>
      <x:c r="G4666" s="66" t="str">
        <x:v>Sarjana</x:v>
      </x:c>
      <x:c r="H4666" s="87" t="n">
        <x:v>28</x:v>
      </x:c>
      <x:c r="I4666" s="87" t="n">
        <x:v>128</x:v>
      </x:c>
      <x:c r="J4666" s="68" t="n">
        <x:f>IFERROR(H4666/I4666,"")</x:f>
        <x:v>0.21875</x:v>
      </x:c>
      <x:c r="K4666" s="69" t="n">
        <x:f>IFERROR(I4666/H4666,"")</x:f>
        <x:v>4.571428571428571</x:v>
      </x:c>
      <x:c r="L4666" s="66" t="str">
        <x:f>IF(K4666="","","1 : "&amp;TEXT(K4666,"0.0"))</x:f>
        <x:v>1 : 4.6</x:v>
      </x:c>
      <x:c r="M4666" s="66" t="str">
        <x:f>IF(J4666="","Baru/Tanpa Data",IF(J4666&lt;='Catatan &amp; Sumber'!$B$14,"Sangat Ketat",IF(J4666&lt;='Catatan &amp; Sumber'!$B$15,"Ketat",IF(J4666&lt;='Catatan &amp; Sumber'!$B$16,"Sedang","Relatif Longgar"))))</x:f>
        <x:v>Relatif Longgar</x:v>
      </x:c>
      <x:c r="N4666" s="66" t="str">
        <x:v>Tidak Ada</x:v>
      </x:c>
      <x:c r="O4666" s="66" t="str">
        <x:v>Sulawesi Barat</x:v>
      </x:c>
      <x:c r="P4666" s="66" t="str">
        <x:v>Kabupaten Majene</x:v>
      </x:c>
      <x:c r="Q4666" s="66" t="str">
        <x:v>https://snpmb.id/snbp/daya-tampung-snbp</x:v>
      </x:c>
      <x:c r="R4666" s="66" t="str">
        <x:v>https://sidatagrun-public-1076756628210.asia-southeast2.run.app/ptn_sn.php?ptn=741</x:v>
      </x:c>
    </x:row>
    <x:row r="4667">
      <x:c r="A4667" s="87" t="n">
        <x:v>4085</x:v>
      </x:c>
      <x:c r="B4667" s="66" t="n">
        <x:v>741</x:v>
      </x:c>
      <x:c r="C4667" s="66" t="str">
        <x:v>UNIVERSITAS SULAWESI BARAT</x:v>
      </x:c>
      <x:c r="D4667" s="66" t="str">
        <x:v>PTN Akademik</x:v>
      </x:c>
      <x:c r="E4667" s="66" t="str">
        <x:v>17411033</x:v>
      </x:c>
      <x:c r="F4667" s="66" t="str">
        <x:v>BIOTEKNOLOGI</x:v>
      </x:c>
      <x:c r="G4667" s="66" t="str">
        <x:v>Sarjana</x:v>
      </x:c>
      <x:c r="H4667" s="87" t="n">
        <x:v>12</x:v>
      </x:c>
      <x:c r="I4667" s="87" t="n">
        <x:v>16</x:v>
      </x:c>
      <x:c r="J4667" s="68" t="n">
        <x:f>IFERROR(H4667/I4667,"")</x:f>
        <x:v>0.75</x:v>
      </x:c>
      <x:c r="K4667" s="69" t="n">
        <x:f>IFERROR(I4667/H4667,"")</x:f>
        <x:v>1.3333333333333333</x:v>
      </x:c>
      <x:c r="L4667" s="66" t="str">
        <x:f>IF(K4667="","","1 : "&amp;TEXT(K4667,"0.0"))</x:f>
        <x:v>1 : 1.3</x:v>
      </x:c>
      <x:c r="M4667" s="66" t="str">
        <x:f>IF(J4667="","Baru/Tanpa Data",IF(J4667&lt;='Catatan &amp; Sumber'!$B$14,"Sangat Ketat",IF(J4667&lt;='Catatan &amp; Sumber'!$B$15,"Ketat",IF(J4667&lt;='Catatan &amp; Sumber'!$B$16,"Sedang","Relatif Longgar"))))</x:f>
        <x:v>Relatif Longgar</x:v>
      </x:c>
      <x:c r="N4667" s="66" t="str">
        <x:v>Tidak Ada</x:v>
      </x:c>
      <x:c r="O4667" s="66" t="str">
        <x:v>Sulawesi Barat</x:v>
      </x:c>
      <x:c r="P4667" s="66" t="str">
        <x:v>Kabupaten Majene</x:v>
      </x:c>
      <x:c r="Q4667" s="66" t="str">
        <x:v>https://snpmb.id/snbp/daya-tampung-snbp</x:v>
      </x:c>
      <x:c r="R4667" s="66" t="str">
        <x:v>https://sidatagrun-public-1076756628210.asia-southeast2.run.app/ptn_sn.php?ptn=741</x:v>
      </x:c>
    </x:row>
    <x:row r="4668">
      <x:c r="A4668" s="87" t="n">
        <x:v>3613</x:v>
      </x:c>
      <x:c r="B4668" s="66" t="n">
        <x:v>741</x:v>
      </x:c>
      <x:c r="C4668" s="66" t="str">
        <x:v>UNIVERSITAS SULAWESI BARAT</x:v>
      </x:c>
      <x:c r="D4668" s="66" t="str">
        <x:v>PTN Akademik</x:v>
      </x:c>
      <x:c r="E4668" s="66" t="str">
        <x:v>17411035</x:v>
      </x:c>
      <x:c r="F4668" s="66" t="str">
        <x:v>BISNIS DIGITAL</x:v>
      </x:c>
      <x:c r="G4668" s="66" t="str">
        <x:v>Sarjana</x:v>
      </x:c>
      <x:c r="H4668" s="87" t="n">
        <x:v>28</x:v>
      </x:c>
      <x:c r="I4668" s="87" t="n">
        <x:v>59</x:v>
      </x:c>
      <x:c r="J4668" s="68" t="n">
        <x:f>IFERROR(H4668/I4668,"")</x:f>
        <x:v>0.4745762711864407</x:v>
      </x:c>
      <x:c r="K4668" s="69" t="n">
        <x:f>IFERROR(I4668/H4668,"")</x:f>
        <x:v>2.107142857142857</x:v>
      </x:c>
      <x:c r="L4668" s="66" t="str">
        <x:f>IF(K4668="","","1 : "&amp;TEXT(K4668,"0.0"))</x:f>
        <x:v>1 : 2.1</x:v>
      </x:c>
      <x:c r="M4668" s="66" t="str">
        <x:f>IF(J4668="","Baru/Tanpa Data",IF(J4668&lt;='Catatan &amp; Sumber'!$B$14,"Sangat Ketat",IF(J4668&lt;='Catatan &amp; Sumber'!$B$15,"Ketat",IF(J4668&lt;='Catatan &amp; Sumber'!$B$16,"Sedang","Relatif Longgar"))))</x:f>
        <x:v>Relatif Longgar</x:v>
      </x:c>
      <x:c r="N4668" s="66" t="str">
        <x:v>Tidak Ada</x:v>
      </x:c>
      <x:c r="O4668" s="66" t="str">
        <x:v>Sulawesi Barat</x:v>
      </x:c>
      <x:c r="P4668" s="66" t="str">
        <x:v>Kabupaten Majene</x:v>
      </x:c>
      <x:c r="Q4668" s="66" t="str">
        <x:v>https://snpmb.id/snbp/daya-tampung-snbp</x:v>
      </x:c>
      <x:c r="R4668" s="66" t="str">
        <x:v>https://sidatagrun-public-1076756628210.asia-southeast2.run.app/ptn_sn.php?ptn=741</x:v>
      </x:c>
    </x:row>
    <x:row r="4669">
      <x:c r="A4669" s="87" t="n">
        <x:v>4707</x:v>
      </x:c>
      <x:c r="B4669" s="66" t="n">
        <x:v>741</x:v>
      </x:c>
      <x:c r="C4669" s="66" t="str">
        <x:v>UNIVERSITAS SULAWESI BARAT</x:v>
      </x:c>
      <x:c r="D4669" s="66" t="str">
        <x:v>PTN Akademik</x:v>
      </x:c>
      <x:c r="E4669" s="66" t="str">
        <x:v>17411036</x:v>
      </x:c>
      <x:c r="F4669" s="66" t="str">
        <x:v>ILMU AKTUARIA</x:v>
      </x:c>
      <x:c r="G4669" s="66" t="str">
        <x:v>Sarjana</x:v>
      </x:c>
      <x:c r="H4669" s="87" t="n">
        <x:v>14</x:v>
      </x:c>
      <x:c r="I4669" s="87" t="n">
        <x:v>6</x:v>
      </x:c>
      <x:c r="J4669" s="68" t="n">
        <x:f>IFERROR(H4669/I4669,"")</x:f>
        <x:v>2.3333333333333335</x:v>
      </x:c>
      <x:c r="K4669" s="69" t="n">
        <x:f>IFERROR(I4669/H4669,"")</x:f>
        <x:v>0.42857142857142855</x:v>
      </x:c>
      <x:c r="L4669" s="66" t="str">
        <x:f>IF(K4669="","","1 : "&amp;TEXT(K4669,"0.0"))</x:f>
        <x:v>1 : 0.4</x:v>
      </x:c>
      <x:c r="M4669" s="66" t="str">
        <x:f>IF(J4669="","Baru/Tanpa Data",IF(J4669&lt;='Catatan &amp; Sumber'!$B$14,"Sangat Ketat",IF(J4669&lt;='Catatan &amp; Sumber'!$B$15,"Ketat",IF(J4669&lt;='Catatan &amp; Sumber'!$B$16,"Sedang","Relatif Longgar"))))</x:f>
        <x:v>Relatif Longgar</x:v>
      </x:c>
      <x:c r="N4669" s="66" t="str">
        <x:v>Tidak Ada</x:v>
      </x:c>
      <x:c r="O4669" s="66" t="str">
        <x:v>Sulawesi Barat</x:v>
      </x:c>
      <x:c r="P4669" s="66" t="str">
        <x:v>Kabupaten Majene</x:v>
      </x:c>
      <x:c r="Q4669" s="66" t="str">
        <x:v>https://snpmb.id/snbp/daya-tampung-snbp</x:v>
      </x:c>
      <x:c r="R4669" s="66" t="str">
        <x:v>https://sidatagrun-public-1076756628210.asia-southeast2.run.app/ptn_sn.php?ptn=741</x:v>
      </x:c>
    </x:row>
    <x:row r="4670">
      <x:c r="A4670" s="87" t="n">
        <x:v>3231</x:v>
      </x:c>
      <x:c r="B4670" s="66" t="n">
        <x:v>741</x:v>
      </x:c>
      <x:c r="C4670" s="66" t="str">
        <x:v>UNIVERSITAS SULAWESI BARAT</x:v>
      </x:c>
      <x:c r="D4670" s="66" t="str">
        <x:v>PTN Akademik</x:v>
      </x:c>
      <x:c r="E4670" s="66" t="str">
        <x:v>17411037</x:v>
      </x:c>
      <x:c r="F4670" s="66" t="str">
        <x:v>ARSITEKTUR</x:v>
      </x:c>
      <x:c r="G4670" s="66" t="str">
        <x:v>Sarjana</x:v>
      </x:c>
      <x:c r="H4670" s="87" t="n">
        <x:v>14</x:v>
      </x:c>
      <x:c r="I4670" s="87" t="n">
        <x:v>40</x:v>
      </x:c>
      <x:c r="J4670" s="68" t="n">
        <x:f>IFERROR(H4670/I4670,"")</x:f>
        <x:v>0.35</x:v>
      </x:c>
      <x:c r="K4670" s="69" t="n">
        <x:f>IFERROR(I4670/H4670,"")</x:f>
        <x:v>2.857142857142857</x:v>
      </x:c>
      <x:c r="L4670" s="66" t="str">
        <x:f>IF(K4670="","","1 : "&amp;TEXT(K4670,"0.0"))</x:f>
        <x:v>1 : 2.9</x:v>
      </x:c>
      <x:c r="M4670" s="66" t="str">
        <x:f>IF(J4670="","Baru/Tanpa Data",IF(J4670&lt;='Catatan &amp; Sumber'!$B$14,"Sangat Ketat",IF(J4670&lt;='Catatan &amp; Sumber'!$B$15,"Ketat",IF(J4670&lt;='Catatan &amp; Sumber'!$B$16,"Sedang","Relatif Longgar"))))</x:f>
        <x:v>Relatif Longgar</x:v>
      </x:c>
      <x:c r="N4670" s="66" t="str">
        <x:v>Tidak Ada</x:v>
      </x:c>
      <x:c r="O4670" s="66" t="str">
        <x:v>Sulawesi Barat</x:v>
      </x:c>
      <x:c r="P4670" s="66" t="str">
        <x:v>Kabupaten Majene</x:v>
      </x:c>
      <x:c r="Q4670" s="66" t="str">
        <x:v>https://snpmb.id/snbp/daya-tampung-snbp</x:v>
      </x:c>
      <x:c r="R4670" s="66" t="str">
        <x:v>https://sidatagrun-public-1076756628210.asia-southeast2.run.app/ptn_sn.php?ptn=741</x:v>
      </x:c>
    </x:row>
    <x:row r="4671">
      <x:c r="A4671" s="87" t="n">
        <x:v>479</x:v>
      </x:c>
      <x:c r="B4671" s="66" t="n">
        <x:v>741</x:v>
      </x:c>
      <x:c r="C4671" s="66" t="str">
        <x:v>UNIVERSITAS SULAWESI BARAT</x:v>
      </x:c>
      <x:c r="D4671" s="66" t="str">
        <x:v>PTN Akademik</x:v>
      </x:c>
      <x:c r="E4671" s="66" t="str">
        <x:v>17411038</x:v>
      </x:c>
      <x:c r="F4671" s="66" t="str">
        <x:v>KEDOKTERAN</x:v>
      </x:c>
      <x:c r="G4671" s="66" t="str">
        <x:v>Sarjana</x:v>
      </x:c>
      <x:c r="H4671" s="87" t="n">
        <x:v>10</x:v>
      </x:c>
      <x:c r="I4671" s="87" t="n">
        <x:v>199</x:v>
      </x:c>
      <x:c r="J4671" s="68" t="n">
        <x:f>IFERROR(H4671/I4671,"")</x:f>
        <x:v>0.05025125628140704</x:v>
      </x:c>
      <x:c r="K4671" s="69" t="n">
        <x:f>IFERROR(I4671/H4671,"")</x:f>
        <x:v>19.9</x:v>
      </x:c>
      <x:c r="L4671" s="66" t="str">
        <x:f>IF(K4671="","","1 : "&amp;TEXT(K4671,"0.0"))</x:f>
        <x:v>1 : 19.9</x:v>
      </x:c>
      <x:c r="M4671" s="66" t="str">
        <x:f>IF(J4671="","Baru/Tanpa Data",IF(J4671&lt;='Catatan &amp; Sumber'!$B$14,"Sangat Ketat",IF(J4671&lt;='Catatan &amp; Sumber'!$B$15,"Ketat",IF(J4671&lt;='Catatan &amp; Sumber'!$B$16,"Sedang","Relatif Longgar"))))</x:f>
        <x:v>Sedang</x:v>
      </x:c>
      <x:c r="N4671" s="66" t="str">
        <x:v>Tidak Ada</x:v>
      </x:c>
      <x:c r="O4671" s="66" t="str">
        <x:v>Sulawesi Barat</x:v>
      </x:c>
      <x:c r="P4671" s="66" t="str">
        <x:v>Kabupaten Majene</x:v>
      </x:c>
      <x:c r="Q4671" s="66" t="str">
        <x:v>https://snpmb.id/snbp/daya-tampung-snbp</x:v>
      </x:c>
      <x:c r="R4671" s="66" t="str">
        <x:v>https://sidatagrun-public-1076756628210.asia-southeast2.run.app/ptn_sn.php?ptn=741</x:v>
      </x:c>
    </x:row>
    <x:row r="4672">
      <x:c r="A4672" s="87"/>
      <x:c r="B4672" s="66" t="n">
        <x:v>741</x:v>
      </x:c>
      <x:c r="C4672" s="66" t="str">
        <x:v>UNIVERSITAS SULAWESI BARAT</x:v>
      </x:c>
      <x:c r="D4672" s="66" t="str">
        <x:v>PTN Akademik</x:v>
      </x:c>
      <x:c r="E4672" s="66" t="str">
        <x:v>17411039</x:v>
      </x:c>
      <x:c r="F4672" s="66" t="str">
        <x:v>PENDIDIKAN GURU PENDIDIKAN ANAK USIA DINI</x:v>
      </x:c>
      <x:c r="G4672" s="66" t="str">
        <x:v>Sarjana</x:v>
      </x:c>
      <x:c r="H4672" s="87" t="n">
        <x:v>16</x:v>
      </x:c>
      <x:c r="I4672" s="87"/>
      <x:c r="J4672" s="68" t="str">
        <x:f>IFERROR(H4672/I4672,"")</x:f>
      </x:c>
      <x:c r="K4672" s="69" t="n">
        <x:f>IFERROR(I4672/H4672,"")</x:f>
        <x:v>0</x:v>
      </x:c>
      <x:c r="L4672" s="66" t="str">
        <x:f>IF(K4672="","","1 : "&amp;TEXT(K4672,"0.0"))</x:f>
      </x:c>
      <x:c r="M4672" s="66" t="str">
        <x:f>IF(J4672="","Baru/Tanpa Data",IF(J4672&lt;='Catatan &amp; Sumber'!$B$14,"Sangat Ketat",IF(J4672&lt;='Catatan &amp; Sumber'!$B$15,"Ketat",IF(J4672&lt;='Catatan &amp; Sumber'!$B$16,"Sedang","Relatif Longgar"))))</x:f>
        <x:v>Baru/Tanpa Data</x:v>
      </x:c>
      <x:c r="N4672" s="66" t="str">
        <x:v>Tidak Ada</x:v>
      </x:c>
      <x:c r="O4672" s="66" t="str">
        <x:v>Sulawesi Barat</x:v>
      </x:c>
      <x:c r="P4672" s="66" t="str">
        <x:v>Kabupaten Majene</x:v>
      </x:c>
      <x:c r="Q4672" s="66" t="str">
        <x:v>https://snpmb.id/snbp/daya-tampung-snbp</x:v>
      </x:c>
      <x:c r="R4672" s="66" t="str">
        <x:v>https://sidatagrun-public-1076756628210.asia-southeast2.run.app/ptn_sn.php?ptn=741</x:v>
      </x:c>
    </x:row>
    <x:row r="4673">
      <x:c r="A4673" s="87" t="n">
        <x:v>4305</x:v>
      </x:c>
      <x:c r="B4673" s="66" t="n">
        <x:v>741</x:v>
      </x:c>
      <x:c r="C4673" s="66" t="str">
        <x:v>UNIVERSITAS SULAWESI BARAT</x:v>
      </x:c>
      <x:c r="D4673" s="66" t="str">
        <x:v>PTN Akademik</x:v>
      </x:c>
      <x:c r="E4673" s="66" t="str">
        <x:v>17412030</x:v>
      </x:c>
      <x:c r="F4673" s="66" t="str">
        <x:v>KESELAMATAN DAN KESEHATAN KERJA</x:v>
      </x:c>
      <x:c r="G4673" s="66" t="str">
        <x:v>Sarjana Terapan</x:v>
      </x:c>
      <x:c r="H4673" s="87" t="n">
        <x:v>24</x:v>
      </x:c>
      <x:c r="I4673" s="87" t="n">
        <x:v>24</x:v>
      </x:c>
      <x:c r="J4673" s="68" t="n">
        <x:f>IFERROR(H4673/I4673,"")</x:f>
        <x:v>1</x:v>
      </x:c>
      <x:c r="K4673" s="69" t="n">
        <x:f>IFERROR(I4673/H4673,"")</x:f>
        <x:v>1</x:v>
      </x:c>
      <x:c r="L4673" s="66" t="str">
        <x:f>IF(K4673="","","1 : "&amp;TEXT(K4673,"0.0"))</x:f>
        <x:v>1 : 1.0</x:v>
      </x:c>
      <x:c r="M4673" s="66" t="str">
        <x:f>IF(J4673="","Baru/Tanpa Data",IF(J4673&lt;='Catatan &amp; Sumber'!$B$14,"Sangat Ketat",IF(J4673&lt;='Catatan &amp; Sumber'!$B$15,"Ketat",IF(J4673&lt;='Catatan &amp; Sumber'!$B$16,"Sedang","Relatif Longgar"))))</x:f>
        <x:v>Relatif Longgar</x:v>
      </x:c>
      <x:c r="N4673" s="66" t="str">
        <x:v>Tidak Ada</x:v>
      </x:c>
      <x:c r="O4673" s="66" t="str">
        <x:v>Sulawesi Barat</x:v>
      </x:c>
      <x:c r="P4673" s="66" t="str">
        <x:v>Kabupaten Majene</x:v>
      </x:c>
      <x:c r="Q4673" s="66" t="str">
        <x:v>https://snpmb.id/snbp/daya-tampung-snbp</x:v>
      </x:c>
      <x:c r="R4673" s="66" t="str">
        <x:v>https://sidatagrun-public-1076756628210.asia-southeast2.run.app/ptn_sn.php?ptn=741</x:v>
      </x:c>
    </x:row>
    <x:row r="4674">
      <x:c r="A4674" s="87" t="n">
        <x:v>4652</x:v>
      </x:c>
      <x:c r="B4674" s="66" t="n">
        <x:v>741</x:v>
      </x:c>
      <x:c r="C4674" s="66" t="str">
        <x:v>UNIVERSITAS SULAWESI BARAT</x:v>
      </x:c>
      <x:c r="D4674" s="66" t="str">
        <x:v>PTN Akademik</x:v>
      </x:c>
      <x:c r="E4674" s="66" t="str">
        <x:v>17412031</x:v>
      </x:c>
      <x:c r="F4674" s="66" t="str">
        <x:v>TERAPI GIGI</x:v>
      </x:c>
      <x:c r="G4674" s="66" t="str">
        <x:v>Sarjana Terapan</x:v>
      </x:c>
      <x:c r="H4674" s="87" t="n">
        <x:v>24</x:v>
      </x:c>
      <x:c r="I4674" s="87" t="n">
        <x:v>12</x:v>
      </x:c>
      <x:c r="J4674" s="68" t="n">
        <x:f>IFERROR(H4674/I4674,"")</x:f>
        <x:v>2</x:v>
      </x:c>
      <x:c r="K4674" s="69" t="n">
        <x:f>IFERROR(I4674/H4674,"")</x:f>
        <x:v>0.5</x:v>
      </x:c>
      <x:c r="L4674" s="66" t="str">
        <x:f>IF(K4674="","","1 : "&amp;TEXT(K4674,"0.0"))</x:f>
        <x:v>1 : 0.5</x:v>
      </x:c>
      <x:c r="M4674" s="66" t="str">
        <x:f>IF(J4674="","Baru/Tanpa Data",IF(J4674&lt;='Catatan &amp; Sumber'!$B$14,"Sangat Ketat",IF(J4674&lt;='Catatan &amp; Sumber'!$B$15,"Ketat",IF(J4674&lt;='Catatan &amp; Sumber'!$B$16,"Sedang","Relatif Longgar"))))</x:f>
        <x:v>Relatif Longgar</x:v>
      </x:c>
      <x:c r="N4674" s="66" t="str">
        <x:v>Tidak Ada</x:v>
      </x:c>
      <x:c r="O4674" s="66" t="str">
        <x:v>Sulawesi Barat</x:v>
      </x:c>
      <x:c r="P4674" s="66" t="str">
        <x:v>Kabupaten Majene</x:v>
      </x:c>
      <x:c r="Q4674" s="66" t="str">
        <x:v>https://snpmb.id/snbp/daya-tampung-snbp</x:v>
      </x:c>
      <x:c r="R4674" s="66" t="str">
        <x:v>https://sidatagrun-public-1076756628210.asia-southeast2.run.app/ptn_sn.php?ptn=741</x:v>
      </x:c>
    </x:row>
    <x:row r="4675">
      <x:c r="A4675" s="87" t="n">
        <x:v>3082</x:v>
      </x:c>
      <x:c r="B4675" s="66" t="n">
        <x:v>741</x:v>
      </x:c>
      <x:c r="C4675" s="66" t="str">
        <x:v>UNIVERSITAS SULAWESI BARAT</x:v>
      </x:c>
      <x:c r="D4675" s="66" t="str">
        <x:v>PTN Akademik</x:v>
      </x:c>
      <x:c r="E4675" s="66" t="str">
        <x:v>17413034</x:v>
      </x:c>
      <x:c r="F4675" s="66" t="str">
        <x:v>FARMASI</x:v>
      </x:c>
      <x:c r="G4675" s="66" t="str">
        <x:v>Diploma Tiga</x:v>
      </x:c>
      <x:c r="H4675" s="87" t="n">
        <x:v>24</x:v>
      </x:c>
      <x:c r="I4675" s="87" t="n">
        <x:v>77</x:v>
      </x:c>
      <x:c r="J4675" s="68" t="n">
        <x:f>IFERROR(H4675/I4675,"")</x:f>
        <x:v>0.3116883116883117</x:v>
      </x:c>
      <x:c r="K4675" s="69" t="n">
        <x:f>IFERROR(I4675/H4675,"")</x:f>
        <x:v>3.2083333333333335</x:v>
      </x:c>
      <x:c r="L4675" s="66" t="str">
        <x:f>IF(K4675="","","1 : "&amp;TEXT(K4675,"0.0"))</x:f>
        <x:v>1 : 3.2</x:v>
      </x:c>
      <x:c r="M4675" s="66" t="str">
        <x:f>IF(J4675="","Baru/Tanpa Data",IF(J4675&lt;='Catatan &amp; Sumber'!$B$14,"Sangat Ketat",IF(J4675&lt;='Catatan &amp; Sumber'!$B$15,"Ketat",IF(J4675&lt;='Catatan &amp; Sumber'!$B$16,"Sedang","Relatif Longgar"))))</x:f>
        <x:v>Relatif Longgar</x:v>
      </x:c>
      <x:c r="N4675" s="66" t="str">
        <x:v>Tidak Ada</x:v>
      </x:c>
      <x:c r="O4675" s="66" t="str">
        <x:v>Sulawesi Barat</x:v>
      </x:c>
      <x:c r="P4675" s="66" t="str">
        <x:v>Kabupaten Majene</x:v>
      </x:c>
      <x:c r="Q4675" s="66" t="str">
        <x:v>https://snpmb.id/snbp/daya-tampung-snbp</x:v>
      </x:c>
      <x:c r="R4675" s="66" t="str">
        <x:v>https://sidatagrun-public-1076756628210.asia-southeast2.run.app/ptn_sn.php?ptn=741</x:v>
      </x:c>
    </x:row>
    <x:row r="4676">
      <x:c r="A4676" s="87" t="n">
        <x:v>3522</x:v>
      </x:c>
      <x:c r="B4676" s="66" t="n">
        <x:v>751</x:v>
      </x:c>
      <x:c r="C4676" s="66" t="str">
        <x:v>UNIVERSITAS HALUOLEO</x:v>
      </x:c>
      <x:c r="D4676" s="66" t="str">
        <x:v>PTN Akademik</x:v>
      </x:c>
      <x:c r="E4676" s="66" t="str">
        <x:v>17511001</x:v>
      </x:c>
      <x:c r="F4676" s="66" t="str">
        <x:v>AGRIBISNIS</x:v>
      </x:c>
      <x:c r="G4676" s="66" t="str">
        <x:v>Sarjana</x:v>
      </x:c>
      <x:c r="H4676" s="87" t="n">
        <x:v>30</x:v>
      </x:c>
      <x:c r="I4676" s="87" t="n">
        <x:v>68</x:v>
      </x:c>
      <x:c r="J4676" s="68" t="n">
        <x:f>IFERROR(H4676/I4676,"")</x:f>
        <x:v>0.4411764705882353</x:v>
      </x:c>
      <x:c r="K4676" s="69" t="n">
        <x:f>IFERROR(I4676/H4676,"")</x:f>
        <x:v>2.2666666666666666</x:v>
      </x:c>
      <x:c r="L4676" s="66" t="str">
        <x:f>IF(K4676="","","1 : "&amp;TEXT(K4676,"0.0"))</x:f>
        <x:v>1 : 2.3</x:v>
      </x:c>
      <x:c r="M4676" s="66" t="str">
        <x:f>IF(J4676="","Baru/Tanpa Data",IF(J4676&lt;='Catatan &amp; Sumber'!$B$14,"Sangat Ketat",IF(J4676&lt;='Catatan &amp; Sumber'!$B$15,"Ketat",IF(J4676&lt;='Catatan &amp; Sumber'!$B$16,"Sedang","Relatif Longgar"))))</x:f>
        <x:v>Relatif Longgar</x:v>
      </x:c>
      <x:c r="N4676" s="66" t="str">
        <x:v>Tidak Ada</x:v>
      </x:c>
      <x:c r="O4676" s="66" t="str">
        <x:v>Sulawesi Tenggara</x:v>
      </x:c>
      <x:c r="P4676" s="66" t="str">
        <x:v>Kota Kendari</x:v>
      </x:c>
      <x:c r="Q4676" s="66" t="str">
        <x:v>https://snpmb.id/snbp/daya-tampung-snbp</x:v>
      </x:c>
      <x:c r="R4676" s="66" t="str">
        <x:v>https://sidatagrun-public-1076756628210.asia-southeast2.run.app/ptn_sn.php?ptn=751</x:v>
      </x:c>
    </x:row>
    <x:row r="4677">
      <x:c r="A4677" s="87" t="n">
        <x:v>3654</x:v>
      </x:c>
      <x:c r="B4677" s="66" t="n">
        <x:v>751</x:v>
      </x:c>
      <x:c r="C4677" s="66" t="str">
        <x:v>UNIVERSITAS HALUOLEO</x:v>
      </x:c>
      <x:c r="D4677" s="66" t="str">
        <x:v>PTN Akademik</x:v>
      </x:c>
      <x:c r="E4677" s="66" t="str">
        <x:v>17511002</x:v>
      </x:c>
      <x:c r="F4677" s="66" t="str">
        <x:v>AGROTEKNOLOGI / AGROEKOTEKNOLOGI</x:v>
      </x:c>
      <x:c r="G4677" s="66" t="str">
        <x:v>Sarjana</x:v>
      </x:c>
      <x:c r="H4677" s="87" t="n">
        <x:v>24</x:v>
      </x:c>
      <x:c r="I4677" s="87" t="n">
        <x:v>48</x:v>
      </x:c>
      <x:c r="J4677" s="68" t="n">
        <x:f>IFERROR(H4677/I4677,"")</x:f>
        <x:v>0.5</x:v>
      </x:c>
      <x:c r="K4677" s="69" t="n">
        <x:f>IFERROR(I4677/H4677,"")</x:f>
        <x:v>2</x:v>
      </x:c>
      <x:c r="L4677" s="66" t="str">
        <x:f>IF(K4677="","","1 : "&amp;TEXT(K4677,"0.0"))</x:f>
        <x:v>1 : 2.0</x:v>
      </x:c>
      <x:c r="M4677" s="66" t="str">
        <x:f>IF(J4677="","Baru/Tanpa Data",IF(J4677&lt;='Catatan &amp; Sumber'!$B$14,"Sangat Ketat",IF(J4677&lt;='Catatan &amp; Sumber'!$B$15,"Ketat",IF(J4677&lt;='Catatan &amp; Sumber'!$B$16,"Sedang","Relatif Longgar"))))</x:f>
        <x:v>Relatif Longgar</x:v>
      </x:c>
      <x:c r="N4677" s="66" t="str">
        <x:v>Tidak Ada</x:v>
      </x:c>
      <x:c r="O4677" s="66" t="str">
        <x:v>Sulawesi Tenggara</x:v>
      </x:c>
      <x:c r="P4677" s="66" t="str">
        <x:v>Kota Kendari</x:v>
      </x:c>
      <x:c r="Q4677" s="66" t="str">
        <x:v>https://snpmb.id/snbp/daya-tampung-snbp</x:v>
      </x:c>
      <x:c r="R4677" s="66" t="str">
        <x:v>https://sidatagrun-public-1076756628210.asia-southeast2.run.app/ptn_sn.php?ptn=751</x:v>
      </x:c>
    </x:row>
    <x:row r="4678">
      <x:c r="A4678" s="87" t="n">
        <x:v>4753</x:v>
      </x:c>
      <x:c r="B4678" s="66" t="n">
        <x:v>751</x:v>
      </x:c>
      <x:c r="C4678" s="66" t="str">
        <x:v>UNIVERSITAS HALUOLEO</x:v>
      </x:c>
      <x:c r="D4678" s="66" t="str">
        <x:v>PTN Akademik</x:v>
      </x:c>
      <x:c r="E4678" s="66" t="str">
        <x:v>17511003</x:v>
      </x:c>
      <x:c r="F4678" s="66" t="str">
        <x:v>PETERNAKAN</x:v>
      </x:c>
      <x:c r="G4678" s="66" t="str">
        <x:v>Sarjana</x:v>
      </x:c>
      <x:c r="H4678" s="87" t="n">
        <x:v>60</x:v>
      </x:c>
      <x:c r="I4678" s="87" t="n">
        <x:v>21</x:v>
      </x:c>
      <x:c r="J4678" s="68" t="n">
        <x:f>IFERROR(H4678/I4678,"")</x:f>
        <x:v>2.857142857142857</x:v>
      </x:c>
      <x:c r="K4678" s="69" t="n">
        <x:f>IFERROR(I4678/H4678,"")</x:f>
        <x:v>0.35</x:v>
      </x:c>
      <x:c r="L4678" s="66" t="str">
        <x:f>IF(K4678="","","1 : "&amp;TEXT(K4678,"0.0"))</x:f>
        <x:v>1 : 0.4</x:v>
      </x:c>
      <x:c r="M4678" s="66" t="str">
        <x:f>IF(J4678="","Baru/Tanpa Data",IF(J4678&lt;='Catatan &amp; Sumber'!$B$14,"Sangat Ketat",IF(J4678&lt;='Catatan &amp; Sumber'!$B$15,"Ketat",IF(J4678&lt;='Catatan &amp; Sumber'!$B$16,"Sedang","Relatif Longgar"))))</x:f>
        <x:v>Relatif Longgar</x:v>
      </x:c>
      <x:c r="N4678" s="66" t="str">
        <x:v>Tidak Ada</x:v>
      </x:c>
      <x:c r="O4678" s="66" t="str">
        <x:v>Sulawesi Tenggara</x:v>
      </x:c>
      <x:c r="P4678" s="66" t="str">
        <x:v>Kota Kendari</x:v>
      </x:c>
      <x:c r="Q4678" s="66" t="str">
        <x:v>https://snpmb.id/snbp/daya-tampung-snbp</x:v>
      </x:c>
      <x:c r="R4678" s="66" t="str">
        <x:v>https://sidatagrun-public-1076756628210.asia-southeast2.run.app/ptn_sn.php?ptn=751</x:v>
      </x:c>
    </x:row>
    <x:row r="4679">
      <x:c r="A4679" s="87" t="n">
        <x:v>4684</x:v>
      </x:c>
      <x:c r="B4679" s="66" t="n">
        <x:v>751</x:v>
      </x:c>
      <x:c r="C4679" s="66" t="str">
        <x:v>UNIVERSITAS HALUOLEO</x:v>
      </x:c>
      <x:c r="D4679" s="66" t="str">
        <x:v>PTN Akademik</x:v>
      </x:c>
      <x:c r="E4679" s="66" t="str">
        <x:v>17511004</x:v>
      </x:c>
      <x:c r="F4679" s="66" t="str">
        <x:v>MANAJEMEN SUMBERDAYA PERAIRAN</x:v>
      </x:c>
      <x:c r="G4679" s="66" t="str">
        <x:v>Sarjana</x:v>
      </x:c>
      <x:c r="H4679" s="87" t="n">
        <x:v>23</x:v>
      </x:c>
      <x:c r="I4679" s="87" t="n">
        <x:v>11</x:v>
      </x:c>
      <x:c r="J4679" s="68" t="n">
        <x:f>IFERROR(H4679/I4679,"")</x:f>
        <x:v>2.090909090909091</x:v>
      </x:c>
      <x:c r="K4679" s="69" t="n">
        <x:f>IFERROR(I4679/H4679,"")</x:f>
        <x:v>0.4782608695652174</x:v>
      </x:c>
      <x:c r="L4679" s="66" t="str">
        <x:f>IF(K4679="","","1 : "&amp;TEXT(K4679,"0.0"))</x:f>
        <x:v>1 : 0.5</x:v>
      </x:c>
      <x:c r="M4679" s="66" t="str">
        <x:f>IF(J4679="","Baru/Tanpa Data",IF(J4679&lt;='Catatan &amp; Sumber'!$B$14,"Sangat Ketat",IF(J4679&lt;='Catatan &amp; Sumber'!$B$15,"Ketat",IF(J4679&lt;='Catatan &amp; Sumber'!$B$16,"Sedang","Relatif Longgar"))))</x:f>
        <x:v>Relatif Longgar</x:v>
      </x:c>
      <x:c r="N4679" s="66" t="str">
        <x:v>Tidak Ada</x:v>
      </x:c>
      <x:c r="O4679" s="66" t="str">
        <x:v>Sulawesi Tenggara</x:v>
      </x:c>
      <x:c r="P4679" s="66" t="str">
        <x:v>Kota Kendari</x:v>
      </x:c>
      <x:c r="Q4679" s="66" t="str">
        <x:v>https://snpmb.id/snbp/daya-tampung-snbp</x:v>
      </x:c>
      <x:c r="R4679" s="66" t="str">
        <x:v>https://sidatagrun-public-1076756628210.asia-southeast2.run.app/ptn_sn.php?ptn=751</x:v>
      </x:c>
    </x:row>
    <x:row r="4680">
      <x:c r="A4680" s="87" t="n">
        <x:v>4703</x:v>
      </x:c>
      <x:c r="B4680" s="66" t="n">
        <x:v>751</x:v>
      </x:c>
      <x:c r="C4680" s="66" t="str">
        <x:v>UNIVERSITAS HALUOLEO</x:v>
      </x:c>
      <x:c r="D4680" s="66" t="str">
        <x:v>PTN Akademik</x:v>
      </x:c>
      <x:c r="E4680" s="66" t="str">
        <x:v>17511005</x:v>
      </x:c>
      <x:c r="F4680" s="66" t="str">
        <x:v>BUDIDAYA PERAIRAN</x:v>
      </x:c>
      <x:c r="G4680" s="66" t="str">
        <x:v>Sarjana</x:v>
      </x:c>
      <x:c r="H4680" s="87" t="n">
        <x:v>23</x:v>
      </x:c>
      <x:c r="I4680" s="87" t="n">
        <x:v>10</x:v>
      </x:c>
      <x:c r="J4680" s="68" t="n">
        <x:f>IFERROR(H4680/I4680,"")</x:f>
        <x:v>2.3</x:v>
      </x:c>
      <x:c r="K4680" s="69" t="n">
        <x:f>IFERROR(I4680/H4680,"")</x:f>
        <x:v>0.43478260869565216</x:v>
      </x:c>
      <x:c r="L4680" s="66" t="str">
        <x:f>IF(K4680="","","1 : "&amp;TEXT(K4680,"0.0"))</x:f>
        <x:v>1 : 0.4</x:v>
      </x:c>
      <x:c r="M4680" s="66" t="str">
        <x:f>IF(J4680="","Baru/Tanpa Data",IF(J4680&lt;='Catatan &amp; Sumber'!$B$14,"Sangat Ketat",IF(J4680&lt;='Catatan &amp; Sumber'!$B$15,"Ketat",IF(J4680&lt;='Catatan &amp; Sumber'!$B$16,"Sedang","Relatif Longgar"))))</x:f>
        <x:v>Relatif Longgar</x:v>
      </x:c>
      <x:c r="N4680" s="66" t="str">
        <x:v>Tidak Ada</x:v>
      </x:c>
      <x:c r="O4680" s="66" t="str">
        <x:v>Sulawesi Tenggara</x:v>
      </x:c>
      <x:c r="P4680" s="66" t="str">
        <x:v>Kota Kendari</x:v>
      </x:c>
      <x:c r="Q4680" s="66" t="str">
        <x:v>https://snpmb.id/snbp/daya-tampung-snbp</x:v>
      </x:c>
      <x:c r="R4680" s="66" t="str">
        <x:v>https://sidatagrun-public-1076756628210.asia-southeast2.run.app/ptn_sn.php?ptn=751</x:v>
      </x:c>
    </x:row>
    <x:row r="4681">
      <x:c r="A4681" s="87" t="n">
        <x:v>3750</x:v>
      </x:c>
      <x:c r="B4681" s="66" t="n">
        <x:v>751</x:v>
      </x:c>
      <x:c r="C4681" s="66" t="str">
        <x:v>UNIVERSITAS HALUOLEO</x:v>
      </x:c>
      <x:c r="D4681" s="66" t="str">
        <x:v>PTN Akademik</x:v>
      </x:c>
      <x:c r="E4681" s="66" t="str">
        <x:v>17511006</x:v>
      </x:c>
      <x:c r="F4681" s="66" t="str">
        <x:v>MATEMATIKA</x:v>
      </x:c>
      <x:c r="G4681" s="66" t="str">
        <x:v>Sarjana</x:v>
      </x:c>
      <x:c r="H4681" s="87" t="n">
        <x:v>18</x:v>
      </x:c>
      <x:c r="I4681" s="87" t="n">
        <x:v>33</x:v>
      </x:c>
      <x:c r="J4681" s="68" t="n">
        <x:f>IFERROR(H4681/I4681,"")</x:f>
        <x:v>0.5454545454545454</x:v>
      </x:c>
      <x:c r="K4681" s="69" t="n">
        <x:f>IFERROR(I4681/H4681,"")</x:f>
        <x:v>1.8333333333333333</x:v>
      </x:c>
      <x:c r="L4681" s="66" t="str">
        <x:f>IF(K4681="","","1 : "&amp;TEXT(K4681,"0.0"))</x:f>
        <x:v>1 : 1.8</x:v>
      </x:c>
      <x:c r="M4681" s="66" t="str">
        <x:f>IF(J4681="","Baru/Tanpa Data",IF(J4681&lt;='Catatan &amp; Sumber'!$B$14,"Sangat Ketat",IF(J4681&lt;='Catatan &amp; Sumber'!$B$15,"Ketat",IF(J4681&lt;='Catatan &amp; Sumber'!$B$16,"Sedang","Relatif Longgar"))))</x:f>
        <x:v>Relatif Longgar</x:v>
      </x:c>
      <x:c r="N4681" s="66" t="str">
        <x:v>Tidak Ada</x:v>
      </x:c>
      <x:c r="O4681" s="66" t="str">
        <x:v>Sulawesi Tenggara</x:v>
      </x:c>
      <x:c r="P4681" s="66" t="str">
        <x:v>Kota Kendari</x:v>
      </x:c>
      <x:c r="Q4681" s="66" t="str">
        <x:v>https://snpmb.id/snbp/daya-tampung-snbp</x:v>
      </x:c>
      <x:c r="R4681" s="66" t="str">
        <x:v>https://sidatagrun-public-1076756628210.asia-southeast2.run.app/ptn_sn.php?ptn=751</x:v>
      </x:c>
    </x:row>
    <x:row r="4682">
      <x:c r="A4682" s="87" t="n">
        <x:v>4480</x:v>
      </x:c>
      <x:c r="B4682" s="66" t="n">
        <x:v>751</x:v>
      </x:c>
      <x:c r="C4682" s="66" t="str">
        <x:v>UNIVERSITAS HALUOLEO</x:v>
      </x:c>
      <x:c r="D4682" s="66" t="str">
        <x:v>PTN Akademik</x:v>
      </x:c>
      <x:c r="E4682" s="66" t="str">
        <x:v>17511007</x:v>
      </x:c>
      <x:c r="F4682" s="66" t="str">
        <x:v>FISIKA</x:v>
      </x:c>
      <x:c r="G4682" s="66" t="str">
        <x:v>Sarjana</x:v>
      </x:c>
      <x:c r="H4682" s="87" t="n">
        <x:v>18</x:v>
      </x:c>
      <x:c r="I4682" s="87" t="n">
        <x:v>14</x:v>
      </x:c>
      <x:c r="J4682" s="68" t="n">
        <x:f>IFERROR(H4682/I4682,"")</x:f>
        <x:v>1.2857142857142858</x:v>
      </x:c>
      <x:c r="K4682" s="69" t="n">
        <x:f>IFERROR(I4682/H4682,"")</x:f>
        <x:v>0.7777777777777778</x:v>
      </x:c>
      <x:c r="L4682" s="66" t="str">
        <x:f>IF(K4682="","","1 : "&amp;TEXT(K4682,"0.0"))</x:f>
        <x:v>1 : 0.8</x:v>
      </x:c>
      <x:c r="M4682" s="66" t="str">
        <x:f>IF(J4682="","Baru/Tanpa Data",IF(J4682&lt;='Catatan &amp; Sumber'!$B$14,"Sangat Ketat",IF(J4682&lt;='Catatan &amp; Sumber'!$B$15,"Ketat",IF(J4682&lt;='Catatan &amp; Sumber'!$B$16,"Sedang","Relatif Longgar"))))</x:f>
        <x:v>Relatif Longgar</x:v>
      </x:c>
      <x:c r="N4682" s="66" t="str">
        <x:v>Tidak Ada</x:v>
      </x:c>
      <x:c r="O4682" s="66" t="str">
        <x:v>Sulawesi Tenggara</x:v>
      </x:c>
      <x:c r="P4682" s="66" t="str">
        <x:v>Kota Kendari</x:v>
      </x:c>
      <x:c r="Q4682" s="66" t="str">
        <x:v>https://snpmb.id/snbp/daya-tampung-snbp</x:v>
      </x:c>
      <x:c r="R4682" s="66" t="str">
        <x:v>https://sidatagrun-public-1076756628210.asia-southeast2.run.app/ptn_sn.php?ptn=751</x:v>
      </x:c>
    </x:row>
    <x:row r="4683">
      <x:c r="A4683" s="87" t="n">
        <x:v>3479</x:v>
      </x:c>
      <x:c r="B4683" s="66" t="n">
        <x:v>751</x:v>
      </x:c>
      <x:c r="C4683" s="66" t="str">
        <x:v>UNIVERSITAS HALUOLEO</x:v>
      </x:c>
      <x:c r="D4683" s="66" t="str">
        <x:v>PTN Akademik</x:v>
      </x:c>
      <x:c r="E4683" s="66" t="str">
        <x:v>17511008</x:v>
      </x:c>
      <x:c r="F4683" s="66" t="str">
        <x:v>KIMIA</x:v>
      </x:c>
      <x:c r="G4683" s="66" t="str">
        <x:v>Sarjana</x:v>
      </x:c>
      <x:c r="H4683" s="87" t="n">
        <x:v>24</x:v>
      </x:c>
      <x:c r="I4683" s="87" t="n">
        <x:v>56</x:v>
      </x:c>
      <x:c r="J4683" s="68" t="n">
        <x:f>IFERROR(H4683/I4683,"")</x:f>
        <x:v>0.42857142857142855</x:v>
      </x:c>
      <x:c r="K4683" s="69" t="n">
        <x:f>IFERROR(I4683/H4683,"")</x:f>
        <x:v>2.3333333333333335</x:v>
      </x:c>
      <x:c r="L4683" s="66" t="str">
        <x:f>IF(K4683="","","1 : "&amp;TEXT(K4683,"0.0"))</x:f>
        <x:v>1 : 2.3</x:v>
      </x:c>
      <x:c r="M4683" s="66" t="str">
        <x:f>IF(J4683="","Baru/Tanpa Data",IF(J4683&lt;='Catatan &amp; Sumber'!$B$14,"Sangat Ketat",IF(J4683&lt;='Catatan &amp; Sumber'!$B$15,"Ketat",IF(J4683&lt;='Catatan &amp; Sumber'!$B$16,"Sedang","Relatif Longgar"))))</x:f>
        <x:v>Relatif Longgar</x:v>
      </x:c>
      <x:c r="N4683" s="66" t="str">
        <x:v>Tidak Ada</x:v>
      </x:c>
      <x:c r="O4683" s="66" t="str">
        <x:v>Sulawesi Tenggara</x:v>
      </x:c>
      <x:c r="P4683" s="66" t="str">
        <x:v>Kota Kendari</x:v>
      </x:c>
      <x:c r="Q4683" s="66" t="str">
        <x:v>https://snpmb.id/snbp/daya-tampung-snbp</x:v>
      </x:c>
      <x:c r="R4683" s="66" t="str">
        <x:v>https://sidatagrun-public-1076756628210.asia-southeast2.run.app/ptn_sn.php?ptn=751</x:v>
      </x:c>
    </x:row>
    <x:row r="4684">
      <x:c r="A4684" s="87" t="n">
        <x:v>3909</x:v>
      </x:c>
      <x:c r="B4684" s="66" t="n">
        <x:v>751</x:v>
      </x:c>
      <x:c r="C4684" s="66" t="str">
        <x:v>UNIVERSITAS HALUOLEO</x:v>
      </x:c>
      <x:c r="D4684" s="66" t="str">
        <x:v>PTN Akademik</x:v>
      </x:c>
      <x:c r="E4684" s="66" t="str">
        <x:v>17511009</x:v>
      </x:c>
      <x:c r="F4684" s="66" t="str">
        <x:v>BIOLOGI</x:v>
      </x:c>
      <x:c r="G4684" s="66" t="str">
        <x:v>Sarjana</x:v>
      </x:c>
      <x:c r="H4684" s="87" t="n">
        <x:v>24</x:v>
      </x:c>
      <x:c r="I4684" s="87" t="n">
        <x:v>38</x:v>
      </x:c>
      <x:c r="J4684" s="68" t="n">
        <x:f>IFERROR(H4684/I4684,"")</x:f>
        <x:v>0.631578947368421</x:v>
      </x:c>
      <x:c r="K4684" s="69" t="n">
        <x:f>IFERROR(I4684/H4684,"")</x:f>
        <x:v>1.5833333333333333</x:v>
      </x:c>
      <x:c r="L4684" s="66" t="str">
        <x:f>IF(K4684="","","1 : "&amp;TEXT(K4684,"0.0"))</x:f>
        <x:v>1 : 1.6</x:v>
      </x:c>
      <x:c r="M4684" s="66" t="str">
        <x:f>IF(J4684="","Baru/Tanpa Data",IF(J4684&lt;='Catatan &amp; Sumber'!$B$14,"Sangat Ketat",IF(J4684&lt;='Catatan &amp; Sumber'!$B$15,"Ketat",IF(J4684&lt;='Catatan &amp; Sumber'!$B$16,"Sedang","Relatif Longgar"))))</x:f>
        <x:v>Relatif Longgar</x:v>
      </x:c>
      <x:c r="N4684" s="66" t="str">
        <x:v>Tidak Ada</x:v>
      </x:c>
      <x:c r="O4684" s="66" t="str">
        <x:v>Sulawesi Tenggara</x:v>
      </x:c>
      <x:c r="P4684" s="66" t="str">
        <x:v>Kota Kendari</x:v>
      </x:c>
      <x:c r="Q4684" s="66" t="str">
        <x:v>https://snpmb.id/snbp/daya-tampung-snbp</x:v>
      </x:c>
      <x:c r="R4684" s="66" t="str">
        <x:v>https://sidatagrun-public-1076756628210.asia-southeast2.run.app/ptn_sn.php?ptn=751</x:v>
      </x:c>
    </x:row>
    <x:row r="4685">
      <x:c r="A4685" s="87" t="n">
        <x:v>1981</x:v>
      </x:c>
      <x:c r="B4685" s="66" t="n">
        <x:v>751</x:v>
      </x:c>
      <x:c r="C4685" s="66" t="str">
        <x:v>UNIVERSITAS HALUOLEO</x:v>
      </x:c>
      <x:c r="D4685" s="66" t="str">
        <x:v>PTN Akademik</x:v>
      </x:c>
      <x:c r="E4685" s="66" t="str">
        <x:v>17511010</x:v>
      </x:c>
      <x:c r="F4685" s="66" t="str">
        <x:v>ILMU KESEHATAN MASYARAKAT</x:v>
      </x:c>
      <x:c r="G4685" s="66" t="str">
        <x:v>Sarjana</x:v>
      </x:c>
      <x:c r="H4685" s="87" t="n">
        <x:v>110</x:v>
      </x:c>
      <x:c r="I4685" s="87" t="n">
        <x:v>736</x:v>
      </x:c>
      <x:c r="J4685" s="68" t="n">
        <x:f>IFERROR(H4685/I4685,"")</x:f>
        <x:v>0.14945652173913043</x:v>
      </x:c>
      <x:c r="K4685" s="69" t="n">
        <x:f>IFERROR(I4685/H4685,"")</x:f>
        <x:v>6.6909090909090905</x:v>
      </x:c>
      <x:c r="L4685" s="66" t="str">
        <x:f>IF(K4685="","","1 : "&amp;TEXT(K4685,"0.0"))</x:f>
        <x:v>1 : 6.7</x:v>
      </x:c>
      <x:c r="M4685" s="66" t="str">
        <x:f>IF(J4685="","Baru/Tanpa Data",IF(J4685&lt;='Catatan &amp; Sumber'!$B$14,"Sangat Ketat",IF(J4685&lt;='Catatan &amp; Sumber'!$B$15,"Ketat",IF(J4685&lt;='Catatan &amp; Sumber'!$B$16,"Sedang","Relatif Longgar"))))</x:f>
        <x:v>Relatif Longgar</x:v>
      </x:c>
      <x:c r="N4685" s="66" t="str">
        <x:v>Tidak Ada</x:v>
      </x:c>
      <x:c r="O4685" s="66" t="str">
        <x:v>Sulawesi Tenggara</x:v>
      </x:c>
      <x:c r="P4685" s="66" t="str">
        <x:v>Kota Kendari</x:v>
      </x:c>
      <x:c r="Q4685" s="66" t="str">
        <x:v>https://snpmb.id/snbp/daya-tampung-snbp</x:v>
      </x:c>
      <x:c r="R4685" s="66" t="str">
        <x:v>https://sidatagrun-public-1076756628210.asia-southeast2.run.app/ptn_sn.php?ptn=751</x:v>
      </x:c>
    </x:row>
    <x:row r="4686">
      <x:c r="A4686" s="87" t="n">
        <x:v>2096</x:v>
      </x:c>
      <x:c r="B4686" s="66" t="n">
        <x:v>751</x:v>
      </x:c>
      <x:c r="C4686" s="66" t="str">
        <x:v>UNIVERSITAS HALUOLEO</x:v>
      </x:c>
      <x:c r="D4686" s="66" t="str">
        <x:v>PTN Akademik</x:v>
      </x:c>
      <x:c r="E4686" s="66" t="str">
        <x:v>17511011</x:v>
      </x:c>
      <x:c r="F4686" s="66" t="str">
        <x:v>PENDIDIKAN MATEMATIKA</x:v>
      </x:c>
      <x:c r="G4686" s="66" t="str">
        <x:v>Sarjana</x:v>
      </x:c>
      <x:c r="H4686" s="87" t="n">
        <x:v>33</x:v>
      </x:c>
      <x:c r="I4686" s="87" t="n">
        <x:v>205</x:v>
      </x:c>
      <x:c r="J4686" s="68" t="n">
        <x:f>IFERROR(H4686/I4686,"")</x:f>
        <x:v>0.16097560975609757</x:v>
      </x:c>
      <x:c r="K4686" s="69" t="n">
        <x:f>IFERROR(I4686/H4686,"")</x:f>
        <x:v>6.212121212121212</x:v>
      </x:c>
      <x:c r="L4686" s="66" t="str">
        <x:f>IF(K4686="","","1 : "&amp;TEXT(K4686,"0.0"))</x:f>
        <x:v>1 : 6.2</x:v>
      </x:c>
      <x:c r="M4686" s="66" t="str">
        <x:f>IF(J4686="","Baru/Tanpa Data",IF(J4686&lt;='Catatan &amp; Sumber'!$B$14,"Sangat Ketat",IF(J4686&lt;='Catatan &amp; Sumber'!$B$15,"Ketat",IF(J4686&lt;='Catatan &amp; Sumber'!$B$16,"Sedang","Relatif Longgar"))))</x:f>
        <x:v>Relatif Longgar</x:v>
      </x:c>
      <x:c r="N4686" s="66" t="str">
        <x:v>Tidak Ada</x:v>
      </x:c>
      <x:c r="O4686" s="66" t="str">
        <x:v>Sulawesi Tenggara</x:v>
      </x:c>
      <x:c r="P4686" s="66" t="str">
        <x:v>Kota Kendari</x:v>
      </x:c>
      <x:c r="Q4686" s="66" t="str">
        <x:v>https://snpmb.id/snbp/daya-tampung-snbp</x:v>
      </x:c>
      <x:c r="R4686" s="66" t="str">
        <x:v>https://sidatagrun-public-1076756628210.asia-southeast2.run.app/ptn_sn.php?ptn=751</x:v>
      </x:c>
    </x:row>
    <x:row r="4687">
      <x:c r="A4687" s="87" t="n">
        <x:v>2171</x:v>
      </x:c>
      <x:c r="B4687" s="66" t="n">
        <x:v>751</x:v>
      </x:c>
      <x:c r="C4687" s="66" t="str">
        <x:v>UNIVERSITAS HALUOLEO</x:v>
      </x:c>
      <x:c r="D4687" s="66" t="str">
        <x:v>PTN Akademik</x:v>
      </x:c>
      <x:c r="E4687" s="66" t="str">
        <x:v>17511012</x:v>
      </x:c>
      <x:c r="F4687" s="66" t="str">
        <x:v>PENDIDIKAN BIOLOGI</x:v>
      </x:c>
      <x:c r="G4687" s="66" t="str">
        <x:v>Sarjana</x:v>
      </x:c>
      <x:c r="H4687" s="87" t="n">
        <x:v>27</x:v>
      </x:c>
      <x:c r="I4687" s="87" t="n">
        <x:v>160</x:v>
      </x:c>
      <x:c r="J4687" s="68" t="n">
        <x:f>IFERROR(H4687/I4687,"")</x:f>
        <x:v>0.16875</x:v>
      </x:c>
      <x:c r="K4687" s="69" t="n">
        <x:f>IFERROR(I4687/H4687,"")</x:f>
        <x:v>5.925925925925926</x:v>
      </x:c>
      <x:c r="L4687" s="66" t="str">
        <x:f>IF(K4687="","","1 : "&amp;TEXT(K4687,"0.0"))</x:f>
        <x:v>1 : 5.9</x:v>
      </x:c>
      <x:c r="M4687" s="66" t="str">
        <x:f>IF(J4687="","Baru/Tanpa Data",IF(J4687&lt;='Catatan &amp; Sumber'!$B$14,"Sangat Ketat",IF(J4687&lt;='Catatan &amp; Sumber'!$B$15,"Ketat",IF(J4687&lt;='Catatan &amp; Sumber'!$B$16,"Sedang","Relatif Longgar"))))</x:f>
        <x:v>Relatif Longgar</x:v>
      </x:c>
      <x:c r="N4687" s="66" t="str">
        <x:v>Tidak Ada</x:v>
      </x:c>
      <x:c r="O4687" s="66" t="str">
        <x:v>Sulawesi Tenggara</x:v>
      </x:c>
      <x:c r="P4687" s="66" t="str">
        <x:v>Kota Kendari</x:v>
      </x:c>
      <x:c r="Q4687" s="66" t="str">
        <x:v>https://snpmb.id/snbp/daya-tampung-snbp</x:v>
      </x:c>
      <x:c r="R4687" s="66" t="str">
        <x:v>https://sidatagrun-public-1076756628210.asia-southeast2.run.app/ptn_sn.php?ptn=751</x:v>
      </x:c>
    </x:row>
    <x:row r="4688">
      <x:c r="A4688" s="87" t="n">
        <x:v>3650</x:v>
      </x:c>
      <x:c r="B4688" s="66" t="n">
        <x:v>751</x:v>
      </x:c>
      <x:c r="C4688" s="66" t="str">
        <x:v>UNIVERSITAS HALUOLEO</x:v>
      </x:c>
      <x:c r="D4688" s="66" t="str">
        <x:v>PTN Akademik</x:v>
      </x:c>
      <x:c r="E4688" s="66" t="str">
        <x:v>17511013</x:v>
      </x:c>
      <x:c r="F4688" s="66" t="str">
        <x:v>PENDIDIKAN FISIKA</x:v>
      </x:c>
      <x:c r="G4688" s="66" t="str">
        <x:v>Sarjana</x:v>
      </x:c>
      <x:c r="H4688" s="87" t="n">
        <x:v>30</x:v>
      </x:c>
      <x:c r="I4688" s="87" t="n">
        <x:v>61</x:v>
      </x:c>
      <x:c r="J4688" s="68" t="n">
        <x:f>IFERROR(H4688/I4688,"")</x:f>
        <x:v>0.4918032786885246</x:v>
      </x:c>
      <x:c r="K4688" s="69" t="n">
        <x:f>IFERROR(I4688/H4688,"")</x:f>
        <x:v>2.033333333333333</x:v>
      </x:c>
      <x:c r="L4688" s="66" t="str">
        <x:f>IF(K4688="","","1 : "&amp;TEXT(K4688,"0.0"))</x:f>
        <x:v>1 : 2.0</x:v>
      </x:c>
      <x:c r="M4688" s="66" t="str">
        <x:f>IF(J4688="","Baru/Tanpa Data",IF(J4688&lt;='Catatan &amp; Sumber'!$B$14,"Sangat Ketat",IF(J4688&lt;='Catatan &amp; Sumber'!$B$15,"Ketat",IF(J4688&lt;='Catatan &amp; Sumber'!$B$16,"Sedang","Relatif Longgar"))))</x:f>
        <x:v>Relatif Longgar</x:v>
      </x:c>
      <x:c r="N4688" s="66" t="str">
        <x:v>Tidak Ada</x:v>
      </x:c>
      <x:c r="O4688" s="66" t="str">
        <x:v>Sulawesi Tenggara</x:v>
      </x:c>
      <x:c r="P4688" s="66" t="str">
        <x:v>Kota Kendari</x:v>
      </x:c>
      <x:c r="Q4688" s="66" t="str">
        <x:v>https://snpmb.id/snbp/daya-tampung-snbp</x:v>
      </x:c>
      <x:c r="R4688" s="66" t="str">
        <x:v>https://sidatagrun-public-1076756628210.asia-southeast2.run.app/ptn_sn.php?ptn=751</x:v>
      </x:c>
    </x:row>
    <x:row r="4689">
      <x:c r="A4689" s="87" t="n">
        <x:v>3246</x:v>
      </x:c>
      <x:c r="B4689" s="66" t="n">
        <x:v>751</x:v>
      </x:c>
      <x:c r="C4689" s="66" t="str">
        <x:v>UNIVERSITAS HALUOLEO</x:v>
      </x:c>
      <x:c r="D4689" s="66" t="str">
        <x:v>PTN Akademik</x:v>
      </x:c>
      <x:c r="E4689" s="66" t="str">
        <x:v>17511014</x:v>
      </x:c>
      <x:c r="F4689" s="66" t="str">
        <x:v>PENDIDIKAN KIMIA</x:v>
      </x:c>
      <x:c r="G4689" s="66" t="str">
        <x:v>Sarjana</x:v>
      </x:c>
      <x:c r="H4689" s="87" t="n">
        <x:v>27</x:v>
      </x:c>
      <x:c r="I4689" s="87" t="n">
        <x:v>76</x:v>
      </x:c>
      <x:c r="J4689" s="68" t="n">
        <x:f>IFERROR(H4689/I4689,"")</x:f>
        <x:v>0.35526315789473684</x:v>
      </x:c>
      <x:c r="K4689" s="69" t="n">
        <x:f>IFERROR(I4689/H4689,"")</x:f>
        <x:v>2.814814814814815</x:v>
      </x:c>
      <x:c r="L4689" s="66" t="str">
        <x:f>IF(K4689="","","1 : "&amp;TEXT(K4689,"0.0"))</x:f>
        <x:v>1 : 2.8</x:v>
      </x:c>
      <x:c r="M4689" s="66" t="str">
        <x:f>IF(J4689="","Baru/Tanpa Data",IF(J4689&lt;='Catatan &amp; Sumber'!$B$14,"Sangat Ketat",IF(J4689&lt;='Catatan &amp; Sumber'!$B$15,"Ketat",IF(J4689&lt;='Catatan &amp; Sumber'!$B$16,"Sedang","Relatif Longgar"))))</x:f>
        <x:v>Relatif Longgar</x:v>
      </x:c>
      <x:c r="N4689" s="66" t="str">
        <x:v>Tidak Ada</x:v>
      </x:c>
      <x:c r="O4689" s="66" t="str">
        <x:v>Sulawesi Tenggara</x:v>
      </x:c>
      <x:c r="P4689" s="66" t="str">
        <x:v>Kota Kendari</x:v>
      </x:c>
      <x:c r="Q4689" s="66" t="str">
        <x:v>https://snpmb.id/snbp/daya-tampung-snbp</x:v>
      </x:c>
      <x:c r="R4689" s="66" t="str">
        <x:v>https://sidatagrun-public-1076756628210.asia-southeast2.run.app/ptn_sn.php?ptn=751</x:v>
      </x:c>
    </x:row>
    <x:row r="4690">
      <x:c r="A4690" s="87" t="n">
        <x:v>1270</x:v>
      </x:c>
      <x:c r="B4690" s="66" t="n">
        <x:v>751</x:v>
      </x:c>
      <x:c r="C4690" s="66" t="str">
        <x:v>UNIVERSITAS HALUOLEO</x:v>
      </x:c>
      <x:c r="D4690" s="66" t="str">
        <x:v>PTN Akademik</x:v>
      </x:c>
      <x:c r="E4690" s="66" t="str">
        <x:v>17511015</x:v>
      </x:c>
      <x:c r="F4690" s="66" t="str">
        <x:v>TEKNIK SIPIL</x:v>
      </x:c>
      <x:c r="G4690" s="66" t="str">
        <x:v>Sarjana</x:v>
      </x:c>
      <x:c r="H4690" s="87" t="n">
        <x:v>30</x:v>
      </x:c>
      <x:c r="I4690" s="87" t="n">
        <x:v>319</x:v>
      </x:c>
      <x:c r="J4690" s="68" t="n">
        <x:f>IFERROR(H4690/I4690,"")</x:f>
        <x:v>0.09404388714733543</x:v>
      </x:c>
      <x:c r="K4690" s="69" t="n">
        <x:f>IFERROR(I4690/H4690,"")</x:f>
        <x:v>10.633333333333333</x:v>
      </x:c>
      <x:c r="L4690" s="66" t="str">
        <x:f>IF(K4690="","","1 : "&amp;TEXT(K4690,"0.0"))</x:f>
        <x:v>1 : 10.6</x:v>
      </x:c>
      <x:c r="M4690" s="66" t="str">
        <x:f>IF(J4690="","Baru/Tanpa Data",IF(J4690&lt;='Catatan &amp; Sumber'!$B$14,"Sangat Ketat",IF(J4690&lt;='Catatan &amp; Sumber'!$B$15,"Ketat",IF(J4690&lt;='Catatan &amp; Sumber'!$B$16,"Sedang","Relatif Longgar"))))</x:f>
        <x:v>Sedang</x:v>
      </x:c>
      <x:c r="N4690" s="66" t="str">
        <x:v>Tidak Ada</x:v>
      </x:c>
      <x:c r="O4690" s="66" t="str">
        <x:v>Sulawesi Tenggara</x:v>
      </x:c>
      <x:c r="P4690" s="66" t="str">
        <x:v>Kota Kendari</x:v>
      </x:c>
      <x:c r="Q4690" s="66" t="str">
        <x:v>https://snpmb.id/snbp/daya-tampung-snbp</x:v>
      </x:c>
      <x:c r="R4690" s="66" t="str">
        <x:v>https://sidatagrun-public-1076756628210.asia-southeast2.run.app/ptn_sn.php?ptn=751</x:v>
      </x:c>
    </x:row>
    <x:row r="4691">
      <x:c r="A4691" s="87" t="n">
        <x:v>2446</x:v>
      </x:c>
      <x:c r="B4691" s="66" t="n">
        <x:v>751</x:v>
      </x:c>
      <x:c r="C4691" s="66" t="str">
        <x:v>UNIVERSITAS HALUOLEO</x:v>
      </x:c>
      <x:c r="D4691" s="66" t="str">
        <x:v>PTN Akademik</x:v>
      </x:c>
      <x:c r="E4691" s="66" t="str">
        <x:v>17511016</x:v>
      </x:c>
      <x:c r="F4691" s="66" t="str">
        <x:v>TEKNIK ARSITEKTUR</x:v>
      </x:c>
      <x:c r="G4691" s="66" t="str">
        <x:v>Sarjana</x:v>
      </x:c>
      <x:c r="H4691" s="87" t="n">
        <x:v>24</x:v>
      </x:c>
      <x:c r="I4691" s="87" t="n">
        <x:v>119</x:v>
      </x:c>
      <x:c r="J4691" s="68" t="n">
        <x:f>IFERROR(H4691/I4691,"")</x:f>
        <x:v>0.20168067226890757</x:v>
      </x:c>
      <x:c r="K4691" s="69" t="n">
        <x:f>IFERROR(I4691/H4691,"")</x:f>
        <x:v>4.958333333333333</x:v>
      </x:c>
      <x:c r="L4691" s="66" t="str">
        <x:f>IF(K4691="","","1 : "&amp;TEXT(K4691,"0.0"))</x:f>
        <x:v>1 : 5.0</x:v>
      </x:c>
      <x:c r="M4691" s="66" t="str">
        <x:f>IF(J4691="","Baru/Tanpa Data",IF(J4691&lt;='Catatan &amp; Sumber'!$B$14,"Sangat Ketat",IF(J4691&lt;='Catatan &amp; Sumber'!$B$15,"Ketat",IF(J4691&lt;='Catatan &amp; Sumber'!$B$16,"Sedang","Relatif Longgar"))))</x:f>
        <x:v>Relatif Longgar</x:v>
      </x:c>
      <x:c r="N4691" s="66" t="str">
        <x:v>Tidak Ada</x:v>
      </x:c>
      <x:c r="O4691" s="66" t="str">
        <x:v>Sulawesi Tenggara</x:v>
      </x:c>
      <x:c r="P4691" s="66" t="str">
        <x:v>Kota Kendari</x:v>
      </x:c>
      <x:c r="Q4691" s="66" t="str">
        <x:v>https://snpmb.id/snbp/daya-tampung-snbp</x:v>
      </x:c>
      <x:c r="R4691" s="66" t="str">
        <x:v>https://sidatagrun-public-1076756628210.asia-southeast2.run.app/ptn_sn.php?ptn=751</x:v>
      </x:c>
    </x:row>
    <x:row r="4692">
      <x:c r="A4692" s="87" t="n">
        <x:v>2572</x:v>
      </x:c>
      <x:c r="B4692" s="66" t="n">
        <x:v>751</x:v>
      </x:c>
      <x:c r="C4692" s="66" t="str">
        <x:v>UNIVERSITAS HALUOLEO</x:v>
      </x:c>
      <x:c r="D4692" s="66" t="str">
        <x:v>PTN Akademik</x:v>
      </x:c>
      <x:c r="E4692" s="66" t="str">
        <x:v>17511017</x:v>
      </x:c>
      <x:c r="F4692" s="66" t="str">
        <x:v>TEKNIK MESIN</x:v>
      </x:c>
      <x:c r="G4692" s="66" t="str">
        <x:v>Sarjana</x:v>
      </x:c>
      <x:c r="H4692" s="87" t="n">
        <x:v>24</x:v>
      </x:c>
      <x:c r="I4692" s="87" t="n">
        <x:v>107</x:v>
      </x:c>
      <x:c r="J4692" s="68" t="n">
        <x:f>IFERROR(H4692/I4692,"")</x:f>
        <x:v>0.22429906542056074</x:v>
      </x:c>
      <x:c r="K4692" s="69" t="n">
        <x:f>IFERROR(I4692/H4692,"")</x:f>
        <x:v>4.458333333333333</x:v>
      </x:c>
      <x:c r="L4692" s="66" t="str">
        <x:f>IF(K4692="","","1 : "&amp;TEXT(K4692,"0.0"))</x:f>
        <x:v>1 : 4.5</x:v>
      </x:c>
      <x:c r="M4692" s="66" t="str">
        <x:f>IF(J4692="","Baru/Tanpa Data",IF(J4692&lt;='Catatan &amp; Sumber'!$B$14,"Sangat Ketat",IF(J4692&lt;='Catatan &amp; Sumber'!$B$15,"Ketat",IF(J4692&lt;='Catatan &amp; Sumber'!$B$16,"Sedang","Relatif Longgar"))))</x:f>
        <x:v>Relatif Longgar</x:v>
      </x:c>
      <x:c r="N4692" s="66" t="str">
        <x:v>Tidak Ada</x:v>
      </x:c>
      <x:c r="O4692" s="66" t="str">
        <x:v>Sulawesi Tenggara</x:v>
      </x:c>
      <x:c r="P4692" s="66" t="str">
        <x:v>Kota Kendari</x:v>
      </x:c>
      <x:c r="Q4692" s="66" t="str">
        <x:v>https://snpmb.id/snbp/daya-tampung-snbp</x:v>
      </x:c>
      <x:c r="R4692" s="66" t="str">
        <x:v>https://sidatagrun-public-1076756628210.asia-southeast2.run.app/ptn_sn.php?ptn=751</x:v>
      </x:c>
    </x:row>
    <x:row r="4693">
      <x:c r="A4693" s="87" t="n">
        <x:v>2633</x:v>
      </x:c>
      <x:c r="B4693" s="66" t="n">
        <x:v>751</x:v>
      </x:c>
      <x:c r="C4693" s="66" t="str">
        <x:v>UNIVERSITAS HALUOLEO</x:v>
      </x:c>
      <x:c r="D4693" s="66" t="str">
        <x:v>PTN Akademik</x:v>
      </x:c>
      <x:c r="E4693" s="66" t="str">
        <x:v>17511018</x:v>
      </x:c>
      <x:c r="F4693" s="66" t="str">
        <x:v>TEKNIK ELEKTRO</x:v>
      </x:c>
      <x:c r="G4693" s="66" t="str">
        <x:v>Sarjana</x:v>
      </x:c>
      <x:c r="H4693" s="87" t="n">
        <x:v>30</x:v>
      </x:c>
      <x:c r="I4693" s="87" t="n">
        <x:v>129</x:v>
      </x:c>
      <x:c r="J4693" s="68" t="n">
        <x:f>IFERROR(H4693/I4693,"")</x:f>
        <x:v>0.23255813953488372</x:v>
      </x:c>
      <x:c r="K4693" s="69" t="n">
        <x:f>IFERROR(I4693/H4693,"")</x:f>
        <x:v>4.3</x:v>
      </x:c>
      <x:c r="L4693" s="66" t="str">
        <x:f>IF(K4693="","","1 : "&amp;TEXT(K4693,"0.0"))</x:f>
        <x:v>1 : 4.3</x:v>
      </x:c>
      <x:c r="M4693" s="66" t="str">
        <x:f>IF(J4693="","Baru/Tanpa Data",IF(J4693&lt;='Catatan &amp; Sumber'!$B$14,"Sangat Ketat",IF(J4693&lt;='Catatan &amp; Sumber'!$B$15,"Ketat",IF(J4693&lt;='Catatan &amp; Sumber'!$B$16,"Sedang","Relatif Longgar"))))</x:f>
        <x:v>Relatif Longgar</x:v>
      </x:c>
      <x:c r="N4693" s="66" t="str">
        <x:v>Tidak Ada</x:v>
      </x:c>
      <x:c r="O4693" s="66" t="str">
        <x:v>Sulawesi Tenggara</x:v>
      </x:c>
      <x:c r="P4693" s="66" t="str">
        <x:v>Kota Kendari</x:v>
      </x:c>
      <x:c r="Q4693" s="66" t="str">
        <x:v>https://snpmb.id/snbp/daya-tampung-snbp</x:v>
      </x:c>
      <x:c r="R4693" s="66" t="str">
        <x:v>https://sidatagrun-public-1076756628210.asia-southeast2.run.app/ptn_sn.php?ptn=751</x:v>
      </x:c>
    </x:row>
    <x:row r="4694">
      <x:c r="A4694" s="87" t="n">
        <x:v>238</x:v>
      </x:c>
      <x:c r="B4694" s="66" t="n">
        <x:v>751</x:v>
      </x:c>
      <x:c r="C4694" s="66" t="str">
        <x:v>UNIVERSITAS HALUOLEO</x:v>
      </x:c>
      <x:c r="D4694" s="66" t="str">
        <x:v>PTN Akademik</x:v>
      </x:c>
      <x:c r="E4694" s="66" t="str">
        <x:v>17511019</x:v>
      </x:c>
      <x:c r="F4694" s="66" t="str">
        <x:v>TEKNIK INFORMATIKA</x:v>
      </x:c>
      <x:c r="G4694" s="66" t="str">
        <x:v>Sarjana</x:v>
      </x:c>
      <x:c r="H4694" s="87" t="n">
        <x:v>30</x:v>
      </x:c>
      <x:c r="I4694" s="87" t="n">
        <x:v>773</x:v>
      </x:c>
      <x:c r="J4694" s="68" t="n">
        <x:f>IFERROR(H4694/I4694,"")</x:f>
        <x:v>0.03880983182406209</x:v>
      </x:c>
      <x:c r="K4694" s="69" t="n">
        <x:f>IFERROR(I4694/H4694,"")</x:f>
        <x:v>25.766666666666666</x:v>
      </x:c>
      <x:c r="L4694" s="66" t="str">
        <x:f>IF(K4694="","","1 : "&amp;TEXT(K4694,"0.0"))</x:f>
        <x:v>1 : 25.8</x:v>
      </x:c>
      <x:c r="M4694" s="66" t="str">
        <x:f>IF(J4694="","Baru/Tanpa Data",IF(J4694&lt;='Catatan &amp; Sumber'!$B$14,"Sangat Ketat",IF(J4694&lt;='Catatan &amp; Sumber'!$B$15,"Ketat",IF(J4694&lt;='Catatan &amp; Sumber'!$B$16,"Sedang","Relatif Longgar"))))</x:f>
        <x:v>Ketat</x:v>
      </x:c>
      <x:c r="N4694" s="66" t="str">
        <x:v>Tidak Ada</x:v>
      </x:c>
      <x:c r="O4694" s="66" t="str">
        <x:v>Sulawesi Tenggara</x:v>
      </x:c>
      <x:c r="P4694" s="66" t="str">
        <x:v>Kota Kendari</x:v>
      </x:c>
      <x:c r="Q4694" s="66" t="str">
        <x:v>https://snpmb.id/snbp/daya-tampung-snbp</x:v>
      </x:c>
      <x:c r="R4694" s="66" t="str">
        <x:v>https://sidatagrun-public-1076756628210.asia-southeast2.run.app/ptn_sn.php?ptn=751</x:v>
      </x:c>
    </x:row>
    <x:row r="4695">
      <x:c r="A4695" s="87" t="n">
        <x:v>516</x:v>
      </x:c>
      <x:c r="B4695" s="66" t="n">
        <x:v>751</x:v>
      </x:c>
      <x:c r="C4695" s="66" t="str">
        <x:v>UNIVERSITAS HALUOLEO</x:v>
      </x:c>
      <x:c r="D4695" s="66" t="str">
        <x:v>PTN Akademik</x:v>
      </x:c>
      <x:c r="E4695" s="66" t="str">
        <x:v>17511020</x:v>
      </x:c>
      <x:c r="F4695" s="66" t="str">
        <x:v>PENDIDIKAN DOKTER</x:v>
      </x:c>
      <x:c r="G4695" s="66" t="str">
        <x:v>Sarjana</x:v>
      </x:c>
      <x:c r="H4695" s="87" t="n">
        <x:v>36</x:v>
      </x:c>
      <x:c r="I4695" s="87" t="n">
        <x:v>687</x:v>
      </x:c>
      <x:c r="J4695" s="68" t="n">
        <x:f>IFERROR(H4695/I4695,"")</x:f>
        <x:v>0.05240174672489083</x:v>
      </x:c>
      <x:c r="K4695" s="69" t="n">
        <x:f>IFERROR(I4695/H4695,"")</x:f>
        <x:v>19.083333333333332</x:v>
      </x:c>
      <x:c r="L4695" s="66" t="str">
        <x:f>IF(K4695="","","1 : "&amp;TEXT(K4695,"0.0"))</x:f>
        <x:v>1 : 19.1</x:v>
      </x:c>
      <x:c r="M4695" s="66" t="str">
        <x:f>IF(J4695="","Baru/Tanpa Data",IF(J4695&lt;='Catatan &amp; Sumber'!$B$14,"Sangat Ketat",IF(J4695&lt;='Catatan &amp; Sumber'!$B$15,"Ketat",IF(J4695&lt;='Catatan &amp; Sumber'!$B$16,"Sedang","Relatif Longgar"))))</x:f>
        <x:v>Sedang</x:v>
      </x:c>
      <x:c r="N4695" s="66" t="str">
        <x:v>Tidak Ada</x:v>
      </x:c>
      <x:c r="O4695" s="66" t="str">
        <x:v>Sulawesi Tenggara</x:v>
      </x:c>
      <x:c r="P4695" s="66" t="str">
        <x:v>Kota Kendari</x:v>
      </x:c>
      <x:c r="Q4695" s="66" t="str">
        <x:v>https://snpmb.id/snbp/daya-tampung-snbp</x:v>
      </x:c>
      <x:c r="R4695" s="66" t="str">
        <x:v>https://sidatagrun-public-1076756628210.asia-southeast2.run.app/ptn_sn.php?ptn=751</x:v>
      </x:c>
    </x:row>
    <x:row r="4696">
      <x:c r="A4696" s="87" t="n">
        <x:v>3919</x:v>
      </x:c>
      <x:c r="B4696" s="66" t="n">
        <x:v>751</x:v>
      </x:c>
      <x:c r="C4696" s="66" t="str">
        <x:v>UNIVERSITAS HALUOLEO</x:v>
      </x:c>
      <x:c r="D4696" s="66" t="str">
        <x:v>PTN Akademik</x:v>
      </x:c>
      <x:c r="E4696" s="66" t="str">
        <x:v>17511021</x:v>
      </x:c>
      <x:c r="F4696" s="66" t="str">
        <x:v>KEHUTANAN</x:v>
      </x:c>
      <x:c r="G4696" s="66" t="str">
        <x:v>Sarjana</x:v>
      </x:c>
      <x:c r="H4696" s="87" t="n">
        <x:v>45</x:v>
      </x:c>
      <x:c r="I4696" s="87" t="n">
        <x:v>71</x:v>
      </x:c>
      <x:c r="J4696" s="68" t="n">
        <x:f>IFERROR(H4696/I4696,"")</x:f>
        <x:v>0.6338028169014085</x:v>
      </x:c>
      <x:c r="K4696" s="69" t="n">
        <x:f>IFERROR(I4696/H4696,"")</x:f>
        <x:v>1.5777777777777777</x:v>
      </x:c>
      <x:c r="L4696" s="66" t="str">
        <x:f>IF(K4696="","","1 : "&amp;TEXT(K4696,"0.0"))</x:f>
        <x:v>1 : 1.6</x:v>
      </x:c>
      <x:c r="M4696" s="66" t="str">
        <x:f>IF(J4696="","Baru/Tanpa Data",IF(J4696&lt;='Catatan &amp; Sumber'!$B$14,"Sangat Ketat",IF(J4696&lt;='Catatan &amp; Sumber'!$B$15,"Ketat",IF(J4696&lt;='Catatan &amp; Sumber'!$B$16,"Sedang","Relatif Longgar"))))</x:f>
        <x:v>Relatif Longgar</x:v>
      </x:c>
      <x:c r="N4696" s="66" t="str">
        <x:v>Tidak Ada</x:v>
      </x:c>
      <x:c r="O4696" s="66" t="str">
        <x:v>Sulawesi Tenggara</x:v>
      </x:c>
      <x:c r="P4696" s="66" t="str">
        <x:v>Kota Kendari</x:v>
      </x:c>
      <x:c r="Q4696" s="66" t="str">
        <x:v>https://snpmb.id/snbp/daya-tampung-snbp</x:v>
      </x:c>
      <x:c r="R4696" s="66" t="str">
        <x:v>https://sidatagrun-public-1076756628210.asia-southeast2.run.app/ptn_sn.php?ptn=751</x:v>
      </x:c>
    </x:row>
    <x:row r="4697">
      <x:c r="A4697" s="87" t="n">
        <x:v>3812</x:v>
      </x:c>
      <x:c r="B4697" s="66" t="n">
        <x:v>751</x:v>
      </x:c>
      <x:c r="C4697" s="66" t="str">
        <x:v>UNIVERSITAS HALUOLEO</x:v>
      </x:c>
      <x:c r="D4697" s="66" t="str">
        <x:v>PTN Akademik</x:v>
      </x:c>
      <x:c r="E4697" s="66" t="str">
        <x:v>17511022</x:v>
      </x:c>
      <x:c r="F4697" s="66" t="str">
        <x:v>ILMU DAN TEKNOLOGI PANGAN</x:v>
      </x:c>
      <x:c r="G4697" s="66" t="str">
        <x:v>Sarjana</x:v>
      </x:c>
      <x:c r="H4697" s="87" t="n">
        <x:v>30</x:v>
      </x:c>
      <x:c r="I4697" s="87" t="n">
        <x:v>52</x:v>
      </x:c>
      <x:c r="J4697" s="68" t="n">
        <x:f>IFERROR(H4697/I4697,"")</x:f>
        <x:v>0.5769230769230769</x:v>
      </x:c>
      <x:c r="K4697" s="69" t="n">
        <x:f>IFERROR(I4697/H4697,"")</x:f>
        <x:v>1.7333333333333334</x:v>
      </x:c>
      <x:c r="L4697" s="66" t="str">
        <x:f>IF(K4697="","","1 : "&amp;TEXT(K4697,"0.0"))</x:f>
        <x:v>1 : 1.7</x:v>
      </x:c>
      <x:c r="M4697" s="66" t="str">
        <x:f>IF(J4697="","Baru/Tanpa Data",IF(J4697&lt;='Catatan &amp; Sumber'!$B$14,"Sangat Ketat",IF(J4697&lt;='Catatan &amp; Sumber'!$B$15,"Ketat",IF(J4697&lt;='Catatan &amp; Sumber'!$B$16,"Sedang","Relatif Longgar"))))</x:f>
        <x:v>Relatif Longgar</x:v>
      </x:c>
      <x:c r="N4697" s="66" t="str">
        <x:v>Tidak Ada</x:v>
      </x:c>
      <x:c r="O4697" s="66" t="str">
        <x:v>Sulawesi Tenggara</x:v>
      </x:c>
      <x:c r="P4697" s="66" t="str">
        <x:v>Kota Kendari</x:v>
      </x:c>
      <x:c r="Q4697" s="66" t="str">
        <x:v>https://snpmb.id/snbp/daya-tampung-snbp</x:v>
      </x:c>
      <x:c r="R4697" s="66" t="str">
        <x:v>https://sidatagrun-public-1076756628210.asia-southeast2.run.app/ptn_sn.php?ptn=751</x:v>
      </x:c>
    </x:row>
    <x:row r="4698">
      <x:c r="A4698" s="87" t="n">
        <x:v>1302</x:v>
      </x:c>
      <x:c r="B4698" s="66" t="n">
        <x:v>751</x:v>
      </x:c>
      <x:c r="C4698" s="66" t="str">
        <x:v>UNIVERSITAS HALUOLEO</x:v>
      </x:c>
      <x:c r="D4698" s="66" t="str">
        <x:v>PTN Akademik</x:v>
      </x:c>
      <x:c r="E4698" s="66" t="str">
        <x:v>17511023</x:v>
      </x:c>
      <x:c r="F4698" s="66" t="str">
        <x:v>FARMASI</x:v>
      </x:c>
      <x:c r="G4698" s="66" t="str">
        <x:v>Sarjana</x:v>
      </x:c>
      <x:c r="H4698" s="87" t="n">
        <x:v>75</x:v>
      </x:c>
      <x:c r="I4698" s="87" t="n">
        <x:v>786</x:v>
      </x:c>
      <x:c r="J4698" s="68" t="n">
        <x:f>IFERROR(H4698/I4698,"")</x:f>
        <x:v>0.09541984732824428</x:v>
      </x:c>
      <x:c r="K4698" s="69" t="n">
        <x:f>IFERROR(I4698/H4698,"")</x:f>
        <x:v>10.48</x:v>
      </x:c>
      <x:c r="L4698" s="66" t="str">
        <x:f>IF(K4698="","","1 : "&amp;TEXT(K4698,"0.0"))</x:f>
        <x:v>1 : 10.5</x:v>
      </x:c>
      <x:c r="M4698" s="66" t="str">
        <x:f>IF(J4698="","Baru/Tanpa Data",IF(J4698&lt;='Catatan &amp; Sumber'!$B$14,"Sangat Ketat",IF(J4698&lt;='Catatan &amp; Sumber'!$B$15,"Ketat",IF(J4698&lt;='Catatan &amp; Sumber'!$B$16,"Sedang","Relatif Longgar"))))</x:f>
        <x:v>Sedang</x:v>
      </x:c>
      <x:c r="N4698" s="66" t="str">
        <x:v>Tidak Ada</x:v>
      </x:c>
      <x:c r="O4698" s="66" t="str">
        <x:v>Sulawesi Tenggara</x:v>
      </x:c>
      <x:c r="P4698" s="66" t="str">
        <x:v>Kota Kendari</x:v>
      </x:c>
      <x:c r="Q4698" s="66" t="str">
        <x:v>https://snpmb.id/snbp/daya-tampung-snbp</x:v>
      </x:c>
      <x:c r="R4698" s="66" t="str">
        <x:v>https://sidatagrun-public-1076756628210.asia-southeast2.run.app/ptn_sn.php?ptn=751</x:v>
      </x:c>
    </x:row>
    <x:row r="4699">
      <x:c r="A4699" s="87" t="n">
        <x:v>4757</x:v>
      </x:c>
      <x:c r="B4699" s="66" t="n">
        <x:v>751</x:v>
      </x:c>
      <x:c r="C4699" s="66" t="str">
        <x:v>UNIVERSITAS HALUOLEO</x:v>
      </x:c>
      <x:c r="D4699" s="66" t="str">
        <x:v>PTN Akademik</x:v>
      </x:c>
      <x:c r="E4699" s="66" t="str">
        <x:v>17511024</x:v>
      </x:c>
      <x:c r="F4699" s="66" t="str">
        <x:v>AGROBISNIS PERIKANAN</x:v>
      </x:c>
      <x:c r="G4699" s="66" t="str">
        <x:v>Sarjana</x:v>
      </x:c>
      <x:c r="H4699" s="87" t="n">
        <x:v>23</x:v>
      </x:c>
      <x:c r="I4699" s="87" t="n">
        <x:v>8</x:v>
      </x:c>
      <x:c r="J4699" s="68" t="n">
        <x:f>IFERROR(H4699/I4699,"")</x:f>
        <x:v>2.875</x:v>
      </x:c>
      <x:c r="K4699" s="69" t="n">
        <x:f>IFERROR(I4699/H4699,"")</x:f>
        <x:v>0.34782608695652173</x:v>
      </x:c>
      <x:c r="L4699" s="66" t="str">
        <x:f>IF(K4699="","","1 : "&amp;TEXT(K4699,"0.0"))</x:f>
        <x:v>1 : 0.3</x:v>
      </x:c>
      <x:c r="M4699" s="66" t="str">
        <x:f>IF(J4699="","Baru/Tanpa Data",IF(J4699&lt;='Catatan &amp; Sumber'!$B$14,"Sangat Ketat",IF(J4699&lt;='Catatan &amp; Sumber'!$B$15,"Ketat",IF(J4699&lt;='Catatan &amp; Sumber'!$B$16,"Sedang","Relatif Longgar"))))</x:f>
        <x:v>Relatif Longgar</x:v>
      </x:c>
      <x:c r="N4699" s="66" t="str">
        <x:v>Tidak Ada</x:v>
      </x:c>
      <x:c r="O4699" s="66" t="str">
        <x:v>Sulawesi Tenggara</x:v>
      </x:c>
      <x:c r="P4699" s="66" t="str">
        <x:v>Kota Kendari</x:v>
      </x:c>
      <x:c r="Q4699" s="66" t="str">
        <x:v>https://snpmb.id/snbp/daya-tampung-snbp</x:v>
      </x:c>
      <x:c r="R4699" s="66" t="str">
        <x:v>https://sidatagrun-public-1076756628210.asia-southeast2.run.app/ptn_sn.php?ptn=751</x:v>
      </x:c>
    </x:row>
    <x:row r="4700">
      <x:c r="A4700" s="87" t="n">
        <x:v>3809</x:v>
      </x:c>
      <x:c r="B4700" s="66" t="n">
        <x:v>751</x:v>
      </x:c>
      <x:c r="C4700" s="66" t="str">
        <x:v>UNIVERSITAS HALUOLEO</x:v>
      </x:c>
      <x:c r="D4700" s="66" t="str">
        <x:v>PTN Akademik</x:v>
      </x:c>
      <x:c r="E4700" s="66" t="str">
        <x:v>17511025</x:v>
      </x:c>
      <x:c r="F4700" s="66" t="str">
        <x:v>TEKNIK GEOFISIKA</x:v>
      </x:c>
      <x:c r="G4700" s="66" t="str">
        <x:v>Sarjana</x:v>
      </x:c>
      <x:c r="H4700" s="87" t="n">
        <x:v>23</x:v>
      </x:c>
      <x:c r="I4700" s="87" t="n">
        <x:v>40</x:v>
      </x:c>
      <x:c r="J4700" s="68" t="n">
        <x:f>IFERROR(H4700/I4700,"")</x:f>
        <x:v>0.575</x:v>
      </x:c>
      <x:c r="K4700" s="69" t="n">
        <x:f>IFERROR(I4700/H4700,"")</x:f>
        <x:v>1.7391304347826086</x:v>
      </x:c>
      <x:c r="L4700" s="66" t="str">
        <x:f>IF(K4700="","","1 : "&amp;TEXT(K4700,"0.0"))</x:f>
        <x:v>1 : 1.7</x:v>
      </x:c>
      <x:c r="M4700" s="66" t="str">
        <x:f>IF(J4700="","Baru/Tanpa Data",IF(J4700&lt;='Catatan &amp; Sumber'!$B$14,"Sangat Ketat",IF(J4700&lt;='Catatan &amp; Sumber'!$B$15,"Ketat",IF(J4700&lt;='Catatan &amp; Sumber'!$B$16,"Sedang","Relatif Longgar"))))</x:f>
        <x:v>Relatif Longgar</x:v>
      </x:c>
      <x:c r="N4700" s="66" t="str">
        <x:v>Tidak Ada</x:v>
      </x:c>
      <x:c r="O4700" s="66" t="str">
        <x:v>Sulawesi Tenggara</x:v>
      </x:c>
      <x:c r="P4700" s="66" t="str">
        <x:v>Kota Kendari</x:v>
      </x:c>
      <x:c r="Q4700" s="66" t="str">
        <x:v>https://snpmb.id/snbp/daya-tampung-snbp</x:v>
      </x:c>
      <x:c r="R4700" s="66" t="str">
        <x:v>https://sidatagrun-public-1076756628210.asia-southeast2.run.app/ptn_sn.php?ptn=751</x:v>
      </x:c>
    </x:row>
    <x:row r="4701">
      <x:c r="A4701" s="87" t="n">
        <x:v>1506</x:v>
      </x:c>
      <x:c r="B4701" s="66" t="n">
        <x:v>751</x:v>
      </x:c>
      <x:c r="C4701" s="66" t="str">
        <x:v>UNIVERSITAS HALUOLEO</x:v>
      </x:c>
      <x:c r="D4701" s="66" t="str">
        <x:v>PTN Akademik</x:v>
      </x:c>
      <x:c r="E4701" s="66" t="str">
        <x:v>17511026</x:v>
      </x:c>
      <x:c r="F4701" s="66" t="str">
        <x:v>TEKNIK GEOLOGI</x:v>
      </x:c>
      <x:c r="G4701" s="66" t="str">
        <x:v>Sarjana</x:v>
      </x:c>
      <x:c r="H4701" s="87" t="n">
        <x:v>29</x:v>
      </x:c>
      <x:c r="I4701" s="87" t="n">
        <x:v>264</x:v>
      </x:c>
      <x:c r="J4701" s="68" t="n">
        <x:f>IFERROR(H4701/I4701,"")</x:f>
        <x:v>0.10984848484848485</x:v>
      </x:c>
      <x:c r="K4701" s="69" t="n">
        <x:f>IFERROR(I4701/H4701,"")</x:f>
        <x:v>9.10344827586207</x:v>
      </x:c>
      <x:c r="L4701" s="66" t="str">
        <x:f>IF(K4701="","","1 : "&amp;TEXT(K4701,"0.0"))</x:f>
        <x:v>1 : 9.1</x:v>
      </x:c>
      <x:c r="M4701" s="66" t="str">
        <x:f>IF(J4701="","Baru/Tanpa Data",IF(J4701&lt;='Catatan &amp; Sumber'!$B$14,"Sangat Ketat",IF(J4701&lt;='Catatan &amp; Sumber'!$B$15,"Ketat",IF(J4701&lt;='Catatan &amp; Sumber'!$B$16,"Sedang","Relatif Longgar"))))</x:f>
        <x:v>Relatif Longgar</x:v>
      </x:c>
      <x:c r="N4701" s="66" t="str">
        <x:v>Tidak Ada</x:v>
      </x:c>
      <x:c r="O4701" s="66" t="str">
        <x:v>Sulawesi Tenggara</x:v>
      </x:c>
      <x:c r="P4701" s="66" t="str">
        <x:v>Kota Kendari</x:v>
      </x:c>
      <x:c r="Q4701" s="66" t="str">
        <x:v>https://snpmb.id/snbp/daya-tampung-snbp</x:v>
      </x:c>
      <x:c r="R4701" s="66" t="str">
        <x:v>https://sidatagrun-public-1076756628210.asia-southeast2.run.app/ptn_sn.php?ptn=751</x:v>
      </x:c>
    </x:row>
    <x:row r="4702">
      <x:c r="A4702" s="87" t="n">
        <x:v>4386</x:v>
      </x:c>
      <x:c r="B4702" s="66" t="n">
        <x:v>751</x:v>
      </x:c>
      <x:c r="C4702" s="66" t="str">
        <x:v>UNIVERSITAS HALUOLEO</x:v>
      </x:c>
      <x:c r="D4702" s="66" t="str">
        <x:v>PTN Akademik</x:v>
      </x:c>
      <x:c r="E4702" s="66" t="str">
        <x:v>17511027</x:v>
      </x:c>
      <x:c r="F4702" s="66" t="str">
        <x:v>ILMU KELAUTAN</x:v>
      </x:c>
      <x:c r="G4702" s="66" t="str">
        <x:v>Sarjana</x:v>
      </x:c>
      <x:c r="H4702" s="87" t="n">
        <x:v>23</x:v>
      </x:c>
      <x:c r="I4702" s="87" t="n">
        <x:v>21</x:v>
      </x:c>
      <x:c r="J4702" s="68" t="n">
        <x:f>IFERROR(H4702/I4702,"")</x:f>
        <x:v>1.0952380952380953</x:v>
      </x:c>
      <x:c r="K4702" s="69" t="n">
        <x:f>IFERROR(I4702/H4702,"")</x:f>
        <x:v>0.9130434782608695</x:v>
      </x:c>
      <x:c r="L4702" s="66" t="str">
        <x:f>IF(K4702="","","1 : "&amp;TEXT(K4702,"0.0"))</x:f>
        <x:v>1 : 0.9</x:v>
      </x:c>
      <x:c r="M4702" s="66" t="str">
        <x:f>IF(J4702="","Baru/Tanpa Data",IF(J4702&lt;='Catatan &amp; Sumber'!$B$14,"Sangat Ketat",IF(J4702&lt;='Catatan &amp; Sumber'!$B$15,"Ketat",IF(J4702&lt;='Catatan &amp; Sumber'!$B$16,"Sedang","Relatif Longgar"))))</x:f>
        <x:v>Relatif Longgar</x:v>
      </x:c>
      <x:c r="N4702" s="66" t="str">
        <x:v>Tidak Ada</x:v>
      </x:c>
      <x:c r="O4702" s="66" t="str">
        <x:v>Sulawesi Tenggara</x:v>
      </x:c>
      <x:c r="P4702" s="66" t="str">
        <x:v>Kota Kendari</x:v>
      </x:c>
      <x:c r="Q4702" s="66" t="str">
        <x:v>https://snpmb.id/snbp/daya-tampung-snbp</x:v>
      </x:c>
      <x:c r="R4702" s="66" t="str">
        <x:v>https://sidatagrun-public-1076756628210.asia-southeast2.run.app/ptn_sn.php?ptn=751</x:v>
      </x:c>
    </x:row>
    <x:row r="4703">
      <x:c r="A4703" s="87" t="n">
        <x:v>4221</x:v>
      </x:c>
      <x:c r="B4703" s="66" t="n">
        <x:v>751</x:v>
      </x:c>
      <x:c r="C4703" s="66" t="str">
        <x:v>UNIVERSITAS HALUOLEO</x:v>
      </x:c>
      <x:c r="D4703" s="66" t="str">
        <x:v>PTN Akademik</x:v>
      </x:c>
      <x:c r="E4703" s="66" t="str">
        <x:v>17511028</x:v>
      </x:c>
      <x:c r="F4703" s="66" t="str">
        <x:v>ILMU LINGKUNGAN</x:v>
      </x:c>
      <x:c r="G4703" s="66" t="str">
        <x:v>Sarjana</x:v>
      </x:c>
      <x:c r="H4703" s="87" t="n">
        <x:v>36</x:v>
      </x:c>
      <x:c r="I4703" s="87" t="n">
        <x:v>41</x:v>
      </x:c>
      <x:c r="J4703" s="68" t="n">
        <x:f>IFERROR(H4703/I4703,"")</x:f>
        <x:v>0.8780487804878049</x:v>
      </x:c>
      <x:c r="K4703" s="69" t="n">
        <x:f>IFERROR(I4703/H4703,"")</x:f>
        <x:v>1.1388888888888888</x:v>
      </x:c>
      <x:c r="L4703" s="66" t="str">
        <x:f>IF(K4703="","","1 : "&amp;TEXT(K4703,"0.0"))</x:f>
        <x:v>1 : 1.1</x:v>
      </x:c>
      <x:c r="M4703" s="66" t="str">
        <x:f>IF(J4703="","Baru/Tanpa Data",IF(J4703&lt;='Catatan &amp; Sumber'!$B$14,"Sangat Ketat",IF(J4703&lt;='Catatan &amp; Sumber'!$B$15,"Ketat",IF(J4703&lt;='Catatan &amp; Sumber'!$B$16,"Sedang","Relatif Longgar"))))</x:f>
        <x:v>Relatif Longgar</x:v>
      </x:c>
      <x:c r="N4703" s="66" t="str">
        <x:v>Tidak Ada</x:v>
      </x:c>
      <x:c r="O4703" s="66" t="str">
        <x:v>Sulawesi Tenggara</x:v>
      </x:c>
      <x:c r="P4703" s="66" t="str">
        <x:v>Kota Kendari</x:v>
      </x:c>
      <x:c r="Q4703" s="66" t="str">
        <x:v>https://snpmb.id/snbp/daya-tampung-snbp</x:v>
      </x:c>
      <x:c r="R4703" s="66" t="str">
        <x:v>https://sidatagrun-public-1076756628210.asia-southeast2.run.app/ptn_sn.php?ptn=751</x:v>
      </x:c>
    </x:row>
    <x:row r="4704">
      <x:c r="A4704" s="87" t="n">
        <x:v>354</x:v>
      </x:c>
      <x:c r="B4704" s="66" t="n">
        <x:v>751</x:v>
      </x:c>
      <x:c r="C4704" s="66" t="str">
        <x:v>UNIVERSITAS HALUOLEO</x:v>
      </x:c>
      <x:c r="D4704" s="66" t="str">
        <x:v>PTN Akademik</x:v>
      </x:c>
      <x:c r="E4704" s="66" t="str">
        <x:v>17511029</x:v>
      </x:c>
      <x:c r="F4704" s="66" t="str">
        <x:v>TEKNIK PERTAMBANGAN</x:v>
      </x:c>
      <x:c r="G4704" s="66" t="str">
        <x:v>Sarjana</x:v>
      </x:c>
      <x:c r="H4704" s="87" t="n">
        <x:v>29</x:v>
      </x:c>
      <x:c r="I4704" s="87" t="n">
        <x:v>647</x:v>
      </x:c>
      <x:c r="J4704" s="68" t="n">
        <x:f>IFERROR(H4704/I4704,"")</x:f>
        <x:v>0.04482225656877898</x:v>
      </x:c>
      <x:c r="K4704" s="69" t="n">
        <x:f>IFERROR(I4704/H4704,"")</x:f>
        <x:v>22.310344827586206</x:v>
      </x:c>
      <x:c r="L4704" s="66" t="str">
        <x:f>IF(K4704="","","1 : "&amp;TEXT(K4704,"0.0"))</x:f>
        <x:v>1 : 22.3</x:v>
      </x:c>
      <x:c r="M4704" s="66" t="str">
        <x:f>IF(J4704="","Baru/Tanpa Data",IF(J4704&lt;='Catatan &amp; Sumber'!$B$14,"Sangat Ketat",IF(J4704&lt;='Catatan &amp; Sumber'!$B$15,"Ketat",IF(J4704&lt;='Catatan &amp; Sumber'!$B$16,"Sedang","Relatif Longgar"))))</x:f>
        <x:v>Ketat</x:v>
      </x:c>
      <x:c r="N4704" s="66" t="str">
        <x:v>Tidak Ada</x:v>
      </x:c>
      <x:c r="O4704" s="66" t="str">
        <x:v>Sulawesi Tenggara</x:v>
      </x:c>
      <x:c r="P4704" s="66" t="str">
        <x:v>Kota Kendari</x:v>
      </x:c>
      <x:c r="Q4704" s="66" t="str">
        <x:v>https://snpmb.id/snbp/daya-tampung-snbp</x:v>
      </x:c>
      <x:c r="R4704" s="66" t="str">
        <x:v>https://sidatagrun-public-1076756628210.asia-southeast2.run.app/ptn_sn.php?ptn=751</x:v>
      </x:c>
    </x:row>
    <x:row r="4705">
      <x:c r="A4705" s="87" t="n">
        <x:v>4686</x:v>
      </x:c>
      <x:c r="B4705" s="66" t="n">
        <x:v>751</x:v>
      </x:c>
      <x:c r="C4705" s="66" t="str">
        <x:v>UNIVERSITAS HALUOLEO</x:v>
      </x:c>
      <x:c r="D4705" s="66" t="str">
        <x:v>PTN Akademik</x:v>
      </x:c>
      <x:c r="E4705" s="66" t="str">
        <x:v>17511030</x:v>
      </x:c>
      <x:c r="F4705" s="66" t="str">
        <x:v>TEKNOLOGI HASIL PERIKANAN</x:v>
      </x:c>
      <x:c r="G4705" s="66" t="str">
        <x:v>Sarjana</x:v>
      </x:c>
      <x:c r="H4705" s="87" t="n">
        <x:v>17</x:v>
      </x:c>
      <x:c r="I4705" s="87" t="n">
        <x:v>8</x:v>
      </x:c>
      <x:c r="J4705" s="68" t="n">
        <x:f>IFERROR(H4705/I4705,"")</x:f>
        <x:v>2.125</x:v>
      </x:c>
      <x:c r="K4705" s="69" t="n">
        <x:f>IFERROR(I4705/H4705,"")</x:f>
        <x:v>0.47058823529411764</x:v>
      </x:c>
      <x:c r="L4705" s="66" t="str">
        <x:f>IF(K4705="","","1 : "&amp;TEXT(K4705,"0.0"))</x:f>
        <x:v>1 : 0.5</x:v>
      </x:c>
      <x:c r="M4705" s="66" t="str">
        <x:f>IF(J4705="","Baru/Tanpa Data",IF(J4705&lt;='Catatan &amp; Sumber'!$B$14,"Sangat Ketat",IF(J4705&lt;='Catatan &amp; Sumber'!$B$15,"Ketat",IF(J4705&lt;='Catatan &amp; Sumber'!$B$16,"Sedang","Relatif Longgar"))))</x:f>
        <x:v>Relatif Longgar</x:v>
      </x:c>
      <x:c r="N4705" s="66" t="str">
        <x:v>Tidak Ada</x:v>
      </x:c>
      <x:c r="O4705" s="66" t="str">
        <x:v>Sulawesi Tenggara</x:v>
      </x:c>
      <x:c r="P4705" s="66" t="str">
        <x:v>Kota Kendari</x:v>
      </x:c>
      <x:c r="Q4705" s="66" t="str">
        <x:v>https://snpmb.id/snbp/daya-tampung-snbp</x:v>
      </x:c>
      <x:c r="R4705" s="66" t="str">
        <x:v>https://sidatagrun-public-1076756628210.asia-southeast2.run.app/ptn_sn.php?ptn=751</x:v>
      </x:c>
    </x:row>
    <x:row r="4706">
      <x:c r="A4706" s="87" t="n">
        <x:v>3600</x:v>
      </x:c>
      <x:c r="B4706" s="66" t="n">
        <x:v>751</x:v>
      </x:c>
      <x:c r="C4706" s="66" t="str">
        <x:v>UNIVERSITAS HALUOLEO</x:v>
      </x:c>
      <x:c r="D4706" s="66" t="str">
        <x:v>PTN Akademik</x:v>
      </x:c>
      <x:c r="E4706" s="66" t="str">
        <x:v>17511031</x:v>
      </x:c>
      <x:c r="F4706" s="66" t="str">
        <x:v>GEOGRAFI</x:v>
      </x:c>
      <x:c r="G4706" s="66" t="str">
        <x:v>Sarjana</x:v>
      </x:c>
      <x:c r="H4706" s="87" t="n">
        <x:v>24</x:v>
      </x:c>
      <x:c r="I4706" s="87" t="n">
        <x:v>51</x:v>
      </x:c>
      <x:c r="J4706" s="68" t="n">
        <x:f>IFERROR(H4706/I4706,"")</x:f>
        <x:v>0.47058823529411764</x:v>
      </x:c>
      <x:c r="K4706" s="69" t="n">
        <x:f>IFERROR(I4706/H4706,"")</x:f>
        <x:v>2.125</x:v>
      </x:c>
      <x:c r="L4706" s="66" t="str">
        <x:f>IF(K4706="","","1 : "&amp;TEXT(K4706,"0.0"))</x:f>
        <x:v>1 : 2.1</x:v>
      </x:c>
      <x:c r="M4706" s="66" t="str">
        <x:f>IF(J4706="","Baru/Tanpa Data",IF(J4706&lt;='Catatan &amp; Sumber'!$B$14,"Sangat Ketat",IF(J4706&lt;='Catatan &amp; Sumber'!$B$15,"Ketat",IF(J4706&lt;='Catatan &amp; Sumber'!$B$16,"Sedang","Relatif Longgar"))))</x:f>
        <x:v>Relatif Longgar</x:v>
      </x:c>
      <x:c r="N4706" s="66" t="str">
        <x:v>Tidak Ada</x:v>
      </x:c>
      <x:c r="O4706" s="66" t="str">
        <x:v>Sulawesi Tenggara</x:v>
      </x:c>
      <x:c r="P4706" s="66" t="str">
        <x:v>Kota Kendari</x:v>
      </x:c>
      <x:c r="Q4706" s="66" t="str">
        <x:v>https://snpmb.id/snbp/daya-tampung-snbp</x:v>
      </x:c>
      <x:c r="R4706" s="66" t="str">
        <x:v>https://sidatagrun-public-1076756628210.asia-southeast2.run.app/ptn_sn.php?ptn=751</x:v>
      </x:c>
    </x:row>
    <x:row r="4707">
      <x:c r="A4707" s="87" t="n">
        <x:v>4518</x:v>
      </x:c>
      <x:c r="B4707" s="66" t="n">
        <x:v>751</x:v>
      </x:c>
      <x:c r="C4707" s="66" t="str">
        <x:v>UNIVERSITAS HALUOLEO</x:v>
      </x:c>
      <x:c r="D4707" s="66" t="str">
        <x:v>PTN Akademik</x:v>
      </x:c>
      <x:c r="E4707" s="66" t="str">
        <x:v>17511032</x:v>
      </x:c>
      <x:c r="F4707" s="66" t="str">
        <x:v>ILMU TANAH</x:v>
      </x:c>
      <x:c r="G4707" s="66" t="str">
        <x:v>Sarjana</x:v>
      </x:c>
      <x:c r="H4707" s="87" t="n">
        <x:v>18</x:v>
      </x:c>
      <x:c r="I4707" s="87" t="n">
        <x:v>13</x:v>
      </x:c>
      <x:c r="J4707" s="68" t="n">
        <x:f>IFERROR(H4707/I4707,"")</x:f>
        <x:v>1.3846153846153846</x:v>
      </x:c>
      <x:c r="K4707" s="69" t="n">
        <x:f>IFERROR(I4707/H4707,"")</x:f>
        <x:v>0.7222222222222222</x:v>
      </x:c>
      <x:c r="L4707" s="66" t="str">
        <x:f>IF(K4707="","","1 : "&amp;TEXT(K4707,"0.0"))</x:f>
        <x:v>1 : 0.7</x:v>
      </x:c>
      <x:c r="M4707" s="66" t="str">
        <x:f>IF(J4707="","Baru/Tanpa Data",IF(J4707&lt;='Catatan &amp; Sumber'!$B$14,"Sangat Ketat",IF(J4707&lt;='Catatan &amp; Sumber'!$B$15,"Ketat",IF(J4707&lt;='Catatan &amp; Sumber'!$B$16,"Sedang","Relatif Longgar"))))</x:f>
        <x:v>Relatif Longgar</x:v>
      </x:c>
      <x:c r="N4707" s="66" t="str">
        <x:v>Tidak Ada</x:v>
      </x:c>
      <x:c r="O4707" s="66" t="str">
        <x:v>Sulawesi Tenggara</x:v>
      </x:c>
      <x:c r="P4707" s="66" t="str">
        <x:v>Kota Kendari</x:v>
      </x:c>
      <x:c r="Q4707" s="66" t="str">
        <x:v>https://snpmb.id/snbp/daya-tampung-snbp</x:v>
      </x:c>
      <x:c r="R4707" s="66" t="str">
        <x:v>https://sidatagrun-public-1076756628210.asia-southeast2.run.app/ptn_sn.php?ptn=751</x:v>
      </x:c>
    </x:row>
    <x:row r="4708">
      <x:c r="A4708" s="87" t="n">
        <x:v>4633</x:v>
      </x:c>
      <x:c r="B4708" s="66" t="n">
        <x:v>751</x:v>
      </x:c>
      <x:c r="C4708" s="66" t="str">
        <x:v>UNIVERSITAS HALUOLEO</x:v>
      </x:c>
      <x:c r="D4708" s="66" t="str">
        <x:v>PTN Akademik</x:v>
      </x:c>
      <x:c r="E4708" s="66" t="str">
        <x:v>17511033</x:v>
      </x:c>
      <x:c r="F4708" s="66" t="str">
        <x:v>PROTEKSI TANAMAN</x:v>
      </x:c>
      <x:c r="G4708" s="66" t="str">
        <x:v>Sarjana</x:v>
      </x:c>
      <x:c r="H4708" s="87" t="n">
        <x:v>18</x:v>
      </x:c>
      <x:c r="I4708" s="87" t="n">
        <x:v>10</x:v>
      </x:c>
      <x:c r="J4708" s="68" t="n">
        <x:f>IFERROR(H4708/I4708,"")</x:f>
        <x:v>1.8</x:v>
      </x:c>
      <x:c r="K4708" s="69" t="n">
        <x:f>IFERROR(I4708/H4708,"")</x:f>
        <x:v>0.5555555555555556</x:v>
      </x:c>
      <x:c r="L4708" s="66" t="str">
        <x:f>IF(K4708="","","1 : "&amp;TEXT(K4708,"0.0"))</x:f>
        <x:v>1 : 0.6</x:v>
      </x:c>
      <x:c r="M4708" s="66" t="str">
        <x:f>IF(J4708="","Baru/Tanpa Data",IF(J4708&lt;='Catatan &amp; Sumber'!$B$14,"Sangat Ketat",IF(J4708&lt;='Catatan &amp; Sumber'!$B$15,"Ketat",IF(J4708&lt;='Catatan &amp; Sumber'!$B$16,"Sedang","Relatif Longgar"))))</x:f>
        <x:v>Relatif Longgar</x:v>
      </x:c>
      <x:c r="N4708" s="66" t="str">
        <x:v>Tidak Ada</x:v>
      </x:c>
      <x:c r="O4708" s="66" t="str">
        <x:v>Sulawesi Tenggara</x:v>
      </x:c>
      <x:c r="P4708" s="66" t="str">
        <x:v>Kota Kendari</x:v>
      </x:c>
      <x:c r="Q4708" s="66" t="str">
        <x:v>https://snpmb.id/snbp/daya-tampung-snbp</x:v>
      </x:c>
      <x:c r="R4708" s="66" t="str">
        <x:v>https://sidatagrun-public-1076756628210.asia-southeast2.run.app/ptn_sn.php?ptn=751</x:v>
      </x:c>
    </x:row>
    <x:row r="4709">
      <x:c r="A4709" s="87" t="n">
        <x:v>3794</x:v>
      </x:c>
      <x:c r="B4709" s="66" t="n">
        <x:v>751</x:v>
      </x:c>
      <x:c r="C4709" s="66" t="str">
        <x:v>UNIVERSITAS HALUOLEO</x:v>
      </x:c>
      <x:c r="D4709" s="66" t="str">
        <x:v>PTN Akademik</x:v>
      </x:c>
      <x:c r="E4709" s="66" t="str">
        <x:v>17511034</x:v>
      </x:c>
      <x:c r="F4709" s="66" t="str">
        <x:v>PENYULUHAN PERTANIAN</x:v>
      </x:c>
      <x:c r="G4709" s="66" t="str">
        <x:v>Sarjana</x:v>
      </x:c>
      <x:c r="H4709" s="87" t="n">
        <x:v>30</x:v>
      </x:c>
      <x:c r="I4709" s="87" t="n">
        <x:v>53</x:v>
      </x:c>
      <x:c r="J4709" s="68" t="n">
        <x:f>IFERROR(H4709/I4709,"")</x:f>
        <x:v>0.5660377358490566</x:v>
      </x:c>
      <x:c r="K4709" s="69" t="n">
        <x:f>IFERROR(I4709/H4709,"")</x:f>
        <x:v>1.7666666666666666</x:v>
      </x:c>
      <x:c r="L4709" s="66" t="str">
        <x:f>IF(K4709="","","1 : "&amp;TEXT(K4709,"0.0"))</x:f>
        <x:v>1 : 1.8</x:v>
      </x:c>
      <x:c r="M4709" s="66" t="str">
        <x:f>IF(J4709="","Baru/Tanpa Data",IF(J4709&lt;='Catatan &amp; Sumber'!$B$14,"Sangat Ketat",IF(J4709&lt;='Catatan &amp; Sumber'!$B$15,"Ketat",IF(J4709&lt;='Catatan &amp; Sumber'!$B$16,"Sedang","Relatif Longgar"))))</x:f>
        <x:v>Relatif Longgar</x:v>
      </x:c>
      <x:c r="N4709" s="66" t="str">
        <x:v>Tidak Ada</x:v>
      </x:c>
      <x:c r="O4709" s="66" t="str">
        <x:v>Sulawesi Tenggara</x:v>
      </x:c>
      <x:c r="P4709" s="66" t="str">
        <x:v>Kota Kendari</x:v>
      </x:c>
      <x:c r="Q4709" s="66" t="str">
        <x:v>https://snpmb.id/snbp/daya-tampung-snbp</x:v>
      </x:c>
      <x:c r="R4709" s="66" t="str">
        <x:v>https://sidatagrun-public-1076756628210.asia-southeast2.run.app/ptn_sn.php?ptn=751</x:v>
      </x:c>
    </x:row>
    <x:row r="4710">
      <x:c r="A4710" s="87" t="n">
        <x:v>3508</x:v>
      </x:c>
      <x:c r="B4710" s="66" t="n">
        <x:v>751</x:v>
      </x:c>
      <x:c r="C4710" s="66" t="str">
        <x:v>UNIVERSITAS HALUOLEO</x:v>
      </x:c>
      <x:c r="D4710" s="66" t="str">
        <x:v>PTN Akademik</x:v>
      </x:c>
      <x:c r="E4710" s="66" t="str">
        <x:v>17511035</x:v>
      </x:c>
      <x:c r="F4710" s="66" t="str">
        <x:v>BIOTEKNOLOGI</x:v>
      </x:c>
      <x:c r="G4710" s="66" t="str">
        <x:v>Sarjana</x:v>
      </x:c>
      <x:c r="H4710" s="87" t="n">
        <x:v>24</x:v>
      </x:c>
      <x:c r="I4710" s="87" t="n">
        <x:v>55</x:v>
      </x:c>
      <x:c r="J4710" s="68" t="n">
        <x:f>IFERROR(H4710/I4710,"")</x:f>
        <x:v>0.43636363636363634</x:v>
      </x:c>
      <x:c r="K4710" s="69" t="n">
        <x:f>IFERROR(I4710/H4710,"")</x:f>
        <x:v>2.2916666666666665</x:v>
      </x:c>
      <x:c r="L4710" s="66" t="str">
        <x:f>IF(K4710="","","1 : "&amp;TEXT(K4710,"0.0"))</x:f>
        <x:v>1 : 2.3</x:v>
      </x:c>
      <x:c r="M4710" s="66" t="str">
        <x:f>IF(J4710="","Baru/Tanpa Data",IF(J4710&lt;='Catatan &amp; Sumber'!$B$14,"Sangat Ketat",IF(J4710&lt;='Catatan &amp; Sumber'!$B$15,"Ketat",IF(J4710&lt;='Catatan &amp; Sumber'!$B$16,"Sedang","Relatif Longgar"))))</x:f>
        <x:v>Relatif Longgar</x:v>
      </x:c>
      <x:c r="N4710" s="66" t="str">
        <x:v>Tidak Ada</x:v>
      </x:c>
      <x:c r="O4710" s="66" t="str">
        <x:v>Sulawesi Tenggara</x:v>
      </x:c>
      <x:c r="P4710" s="66" t="str">
        <x:v>Kota Kendari</x:v>
      </x:c>
      <x:c r="Q4710" s="66" t="str">
        <x:v>https://snpmb.id/snbp/daya-tampung-snbp</x:v>
      </x:c>
      <x:c r="R4710" s="66" t="str">
        <x:v>https://sidatagrun-public-1076756628210.asia-southeast2.run.app/ptn_sn.php?ptn=751</x:v>
      </x:c>
    </x:row>
    <x:row r="4711">
      <x:c r="A4711" s="87" t="n">
        <x:v>3249</x:v>
      </x:c>
      <x:c r="B4711" s="66" t="n">
        <x:v>751</x:v>
      </x:c>
      <x:c r="C4711" s="66" t="str">
        <x:v>UNIVERSITAS HALUOLEO</x:v>
      </x:c>
      <x:c r="D4711" s="66" t="str">
        <x:v>PTN Akademik</x:v>
      </x:c>
      <x:c r="E4711" s="66" t="str">
        <x:v>17511036</x:v>
      </x:c>
      <x:c r="F4711" s="66" t="str">
        <x:v>ILMU KEOLAHRAGAAN</x:v>
      </x:c>
      <x:c r="G4711" s="66" t="str">
        <x:v>Sarjana</x:v>
      </x:c>
      <x:c r="H4711" s="87" t="n">
        <x:v>36</x:v>
      </x:c>
      <x:c r="I4711" s="87" t="n">
        <x:v>101</x:v>
      </x:c>
      <x:c r="J4711" s="68" t="n">
        <x:f>IFERROR(H4711/I4711,"")</x:f>
        <x:v>0.3564356435643564</x:v>
      </x:c>
      <x:c r="K4711" s="69" t="n">
        <x:f>IFERROR(I4711/H4711,"")</x:f>
        <x:v>2.8055555555555554</x:v>
      </x:c>
      <x:c r="L4711" s="66" t="str">
        <x:f>IF(K4711="","","1 : "&amp;TEXT(K4711,"0.0"))</x:f>
        <x:v>1 : 2.8</x:v>
      </x:c>
      <x:c r="M4711" s="66" t="str">
        <x:f>IF(J4711="","Baru/Tanpa Data",IF(J4711&lt;='Catatan &amp; Sumber'!$B$14,"Sangat Ketat",IF(J4711&lt;='Catatan &amp; Sumber'!$B$15,"Ketat",IF(J4711&lt;='Catatan &amp; Sumber'!$B$16,"Sedang","Relatif Longgar"))))</x:f>
        <x:v>Relatif Longgar</x:v>
      </x:c>
      <x:c r="N4711" s="66" t="str">
        <x:v>Olahraga</x:v>
      </x:c>
      <x:c r="O4711" s="66" t="str">
        <x:v>Sulawesi Tenggara</x:v>
      </x:c>
      <x:c r="P4711" s="66" t="str">
        <x:v>Kota Kendari</x:v>
      </x:c>
      <x:c r="Q4711" s="66" t="str">
        <x:v>https://snpmb.id/snbp/daya-tampung-snbp</x:v>
      </x:c>
      <x:c r="R4711" s="66" t="str">
        <x:v>https://sidatagrun-public-1076756628210.asia-southeast2.run.app/ptn_sn.php?ptn=751</x:v>
      </x:c>
    </x:row>
    <x:row r="4712">
      <x:c r="A4712" s="87" t="n">
        <x:v>4798</x:v>
      </x:c>
      <x:c r="B4712" s="66" t="n">
        <x:v>751</x:v>
      </x:c>
      <x:c r="C4712" s="66" t="str">
        <x:v>UNIVERSITAS HALUOLEO</x:v>
      </x:c>
      <x:c r="D4712" s="66" t="str">
        <x:v>PTN Akademik</x:v>
      </x:c>
      <x:c r="E4712" s="66" t="str">
        <x:v>17511037</x:v>
      </x:c>
      <x:c r="F4712" s="66" t="str">
        <x:v>OSEANOGRAFI</x:v>
      </x:c>
      <x:c r="G4712" s="66" t="str">
        <x:v>Sarjana</x:v>
      </x:c>
      <x:c r="H4712" s="87" t="n">
        <x:v>17</x:v>
      </x:c>
      <x:c r="I4712" s="87" t="n">
        <x:v>5</x:v>
      </x:c>
      <x:c r="J4712" s="68" t="n">
        <x:f>IFERROR(H4712/I4712,"")</x:f>
        <x:v>3.4</x:v>
      </x:c>
      <x:c r="K4712" s="69" t="n">
        <x:f>IFERROR(I4712/H4712,"")</x:f>
        <x:v>0.29411764705882354</x:v>
      </x:c>
      <x:c r="L4712" s="66" t="str">
        <x:f>IF(K4712="","","1 : "&amp;TEXT(K4712,"0.0"))</x:f>
        <x:v>1 : 0.3</x:v>
      </x:c>
      <x:c r="M4712" s="66" t="str">
        <x:f>IF(J4712="","Baru/Tanpa Data",IF(J4712&lt;='Catatan &amp; Sumber'!$B$14,"Sangat Ketat",IF(J4712&lt;='Catatan &amp; Sumber'!$B$15,"Ketat",IF(J4712&lt;='Catatan &amp; Sumber'!$B$16,"Sedang","Relatif Longgar"))))</x:f>
        <x:v>Relatif Longgar</x:v>
      </x:c>
      <x:c r="N4712" s="66" t="str">
        <x:v>Tidak Ada</x:v>
      </x:c>
      <x:c r="O4712" s="66" t="str">
        <x:v>Sulawesi Tenggara</x:v>
      </x:c>
      <x:c r="P4712" s="66" t="str">
        <x:v>Kota Kendari</x:v>
      </x:c>
      <x:c r="Q4712" s="66" t="str">
        <x:v>https://snpmb.id/snbp/daya-tampung-snbp</x:v>
      </x:c>
      <x:c r="R4712" s="66" t="str">
        <x:v>https://sidatagrun-public-1076756628210.asia-southeast2.run.app/ptn_sn.php?ptn=751</x:v>
      </x:c>
    </x:row>
    <x:row r="4713">
      <x:c r="A4713" s="87" t="n">
        <x:v>4856</x:v>
      </x:c>
      <x:c r="B4713" s="66" t="n">
        <x:v>751</x:v>
      </x:c>
      <x:c r="C4713" s="66" t="str">
        <x:v>UNIVERSITAS HALUOLEO</x:v>
      </x:c>
      <x:c r="D4713" s="66" t="str">
        <x:v>PTN Akademik</x:v>
      </x:c>
      <x:c r="E4713" s="66" t="str">
        <x:v>17511038</x:v>
      </x:c>
      <x:c r="F4713" s="66" t="str">
        <x:v>PERIKANAN TANGKAP</x:v>
      </x:c>
      <x:c r="G4713" s="66" t="str">
        <x:v>Sarjana</x:v>
      </x:c>
      <x:c r="H4713" s="87" t="n">
        <x:v>17</x:v>
      </x:c>
      <x:c r="I4713" s="87" t="n">
        <x:v>3</x:v>
      </x:c>
      <x:c r="J4713" s="68" t="n">
        <x:f>IFERROR(H4713/I4713,"")</x:f>
        <x:v>5.666666666666667</x:v>
      </x:c>
      <x:c r="K4713" s="69" t="n">
        <x:f>IFERROR(I4713/H4713,"")</x:f>
        <x:v>0.17647058823529413</x:v>
      </x:c>
      <x:c r="L4713" s="66" t="str">
        <x:f>IF(K4713="","","1 : "&amp;TEXT(K4713,"0.0"))</x:f>
        <x:v>1 : 0.2</x:v>
      </x:c>
      <x:c r="M4713" s="66" t="str">
        <x:f>IF(J4713="","Baru/Tanpa Data",IF(J4713&lt;='Catatan &amp; Sumber'!$B$14,"Sangat Ketat",IF(J4713&lt;='Catatan &amp; Sumber'!$B$15,"Ketat",IF(J4713&lt;='Catatan &amp; Sumber'!$B$16,"Sedang","Relatif Longgar"))))</x:f>
        <x:v>Relatif Longgar</x:v>
      </x:c>
      <x:c r="N4713" s="66" t="str">
        <x:v>Tidak Ada</x:v>
      </x:c>
      <x:c r="O4713" s="66" t="str">
        <x:v>Sulawesi Tenggara</x:v>
      </x:c>
      <x:c r="P4713" s="66" t="str">
        <x:v>Kota Kendari</x:v>
      </x:c>
      <x:c r="Q4713" s="66" t="str">
        <x:v>https://snpmb.id/snbp/daya-tampung-snbp</x:v>
      </x:c>
      <x:c r="R4713" s="66" t="str">
        <x:v>https://sidatagrun-public-1076756628210.asia-southeast2.run.app/ptn_sn.php?ptn=751</x:v>
      </x:c>
    </x:row>
    <x:row r="4714">
      <x:c r="A4714" s="87" t="n">
        <x:v>2873</x:v>
      </x:c>
      <x:c r="B4714" s="66" t="n">
        <x:v>751</x:v>
      </x:c>
      <x:c r="C4714" s="66" t="str">
        <x:v>UNIVERSITAS HALUOLEO</x:v>
      </x:c>
      <x:c r="D4714" s="66" t="str">
        <x:v>PTN Akademik</x:v>
      </x:c>
      <x:c r="E4714" s="66" t="str">
        <x:v>17511039</x:v>
      </x:c>
      <x:c r="F4714" s="66" t="str">
        <x:v>STATISTIKA</x:v>
      </x:c>
      <x:c r="G4714" s="66" t="str">
        <x:v>Sarjana</x:v>
      </x:c>
      <x:c r="H4714" s="87" t="n">
        <x:v>29</x:v>
      </x:c>
      <x:c r="I4714" s="87" t="n">
        <x:v>107</x:v>
      </x:c>
      <x:c r="J4714" s="68" t="n">
        <x:f>IFERROR(H4714/I4714,"")</x:f>
        <x:v>0.27102803738317754</x:v>
      </x:c>
      <x:c r="K4714" s="69" t="n">
        <x:f>IFERROR(I4714/H4714,"")</x:f>
        <x:v>3.689655172413793</x:v>
      </x:c>
      <x:c r="L4714" s="66" t="str">
        <x:f>IF(K4714="","","1 : "&amp;TEXT(K4714,"0.0"))</x:f>
        <x:v>1 : 3.7</x:v>
      </x:c>
      <x:c r="M4714" s="66" t="str">
        <x:f>IF(J4714="","Baru/Tanpa Data",IF(J4714&lt;='Catatan &amp; Sumber'!$B$14,"Sangat Ketat",IF(J4714&lt;='Catatan &amp; Sumber'!$B$15,"Ketat",IF(J4714&lt;='Catatan &amp; Sumber'!$B$16,"Sedang","Relatif Longgar"))))</x:f>
        <x:v>Relatif Longgar</x:v>
      </x:c>
      <x:c r="N4714" s="66" t="str">
        <x:v>Tidak Ada</x:v>
      </x:c>
      <x:c r="O4714" s="66" t="str">
        <x:v>Sulawesi Tenggara</x:v>
      </x:c>
      <x:c r="P4714" s="66" t="str">
        <x:v>Kota Kendari</x:v>
      </x:c>
      <x:c r="Q4714" s="66" t="str">
        <x:v>https://snpmb.id/snbp/daya-tampung-snbp</x:v>
      </x:c>
      <x:c r="R4714" s="66" t="str">
        <x:v>https://sidatagrun-public-1076756628210.asia-southeast2.run.app/ptn_sn.php?ptn=751</x:v>
      </x:c>
    </x:row>
    <x:row r="4715">
      <x:c r="A4715" s="87" t="n">
        <x:v>452</x:v>
      </x:c>
      <x:c r="B4715" s="66" t="n">
        <x:v>751</x:v>
      </x:c>
      <x:c r="C4715" s="66" t="str">
        <x:v>UNIVERSITAS HALUOLEO</x:v>
      </x:c>
      <x:c r="D4715" s="66" t="str">
        <x:v>PTN Akademik</x:v>
      </x:c>
      <x:c r="E4715" s="66" t="str">
        <x:v>17511040</x:v>
      </x:c>
      <x:c r="F4715" s="66" t="str">
        <x:v>ILMU KOMPUTER</x:v>
      </x:c>
      <x:c r="G4715" s="66" t="str">
        <x:v>Sarjana</x:v>
      </x:c>
      <x:c r="H4715" s="87" t="n">
        <x:v>29</x:v>
      </x:c>
      <x:c r="I4715" s="87" t="n">
        <x:v>591</x:v>
      </x:c>
      <x:c r="J4715" s="68" t="n">
        <x:f>IFERROR(H4715/I4715,"")</x:f>
        <x:v>0.049069373942470386</x:v>
      </x:c>
      <x:c r="K4715" s="69" t="n">
        <x:f>IFERROR(I4715/H4715,"")</x:f>
        <x:v>20.379310344827587</x:v>
      </x:c>
      <x:c r="L4715" s="66" t="str">
        <x:f>IF(K4715="","","1 : "&amp;TEXT(K4715,"0.0"))</x:f>
        <x:v>1 : 20.4</x:v>
      </x:c>
      <x:c r="M4715" s="66" t="str">
        <x:f>IF(J4715="","Baru/Tanpa Data",IF(J4715&lt;='Catatan &amp; Sumber'!$B$14,"Sangat Ketat",IF(J4715&lt;='Catatan &amp; Sumber'!$B$15,"Ketat",IF(J4715&lt;='Catatan &amp; Sumber'!$B$16,"Sedang","Relatif Longgar"))))</x:f>
        <x:v>Ketat</x:v>
      </x:c>
      <x:c r="N4715" s="66" t="str">
        <x:v>Tidak Ada</x:v>
      </x:c>
      <x:c r="O4715" s="66" t="str">
        <x:v>Sulawesi Tenggara</x:v>
      </x:c>
      <x:c r="P4715" s="66" t="str">
        <x:v>Kota Kendari</x:v>
      </x:c>
      <x:c r="Q4715" s="66" t="str">
        <x:v>https://snpmb.id/snbp/daya-tampung-snbp</x:v>
      </x:c>
      <x:c r="R4715" s="66" t="str">
        <x:v>https://sidatagrun-public-1076756628210.asia-southeast2.run.app/ptn_sn.php?ptn=751</x:v>
      </x:c>
    </x:row>
    <x:row r="4716">
      <x:c r="A4716" s="87" t="n">
        <x:v>4085</x:v>
      </x:c>
      <x:c r="B4716" s="66" t="n">
        <x:v>751</x:v>
      </x:c>
      <x:c r="C4716" s="66" t="str">
        <x:v>UNIVERSITAS HALUOLEO</x:v>
      </x:c>
      <x:c r="D4716" s="66" t="str">
        <x:v>PTN Akademik</x:v>
      </x:c>
      <x:c r="E4716" s="66" t="str">
        <x:v>17511041</x:v>
      </x:c>
      <x:c r="F4716" s="66" t="str">
        <x:v>REKAYASA INFRASTRUKTUR DAN LINGKUNGAN</x:v>
      </x:c>
      <x:c r="G4716" s="66" t="str">
        <x:v>Sarjana</x:v>
      </x:c>
      <x:c r="H4716" s="87" t="n">
        <x:v>24</x:v>
      </x:c>
      <x:c r="I4716" s="87" t="n">
        <x:v>32</x:v>
      </x:c>
      <x:c r="J4716" s="68" t="n">
        <x:f>IFERROR(H4716/I4716,"")</x:f>
        <x:v>0.75</x:v>
      </x:c>
      <x:c r="K4716" s="69" t="n">
        <x:f>IFERROR(I4716/H4716,"")</x:f>
        <x:v>1.3333333333333333</x:v>
      </x:c>
      <x:c r="L4716" s="66" t="str">
        <x:f>IF(K4716="","","1 : "&amp;TEXT(K4716,"0.0"))</x:f>
        <x:v>1 : 1.3</x:v>
      </x:c>
      <x:c r="M4716" s="66" t="str">
        <x:f>IF(J4716="","Baru/Tanpa Data",IF(J4716&lt;='Catatan &amp; Sumber'!$B$14,"Sangat Ketat",IF(J4716&lt;='Catatan &amp; Sumber'!$B$15,"Ketat",IF(J4716&lt;='Catatan &amp; Sumber'!$B$16,"Sedang","Relatif Longgar"))))</x:f>
        <x:v>Relatif Longgar</x:v>
      </x:c>
      <x:c r="N4716" s="66" t="str">
        <x:v>Tidak Ada</x:v>
      </x:c>
      <x:c r="O4716" s="66" t="str">
        <x:v>Sulawesi Tenggara</x:v>
      </x:c>
      <x:c r="P4716" s="66" t="str">
        <x:v>Kota Kendari</x:v>
      </x:c>
      <x:c r="Q4716" s="66" t="str">
        <x:v>https://snpmb.id/snbp/daya-tampung-snbp</x:v>
      </x:c>
      <x:c r="R4716" s="66" t="str">
        <x:v>https://sidatagrun-public-1076756628210.asia-southeast2.run.app/ptn_sn.php?ptn=751</x:v>
      </x:c>
    </x:row>
    <x:row r="4717">
      <x:c r="A4717" s="87" t="n">
        <x:v>4349</x:v>
      </x:c>
      <x:c r="B4717" s="66" t="n">
        <x:v>751</x:v>
      </x:c>
      <x:c r="C4717" s="66" t="str">
        <x:v>UNIVERSITAS HALUOLEO</x:v>
      </x:c>
      <x:c r="D4717" s="66" t="str">
        <x:v>PTN Akademik</x:v>
      </x:c>
      <x:c r="E4717" s="66" t="str">
        <x:v>17511042</x:v>
      </x:c>
      <x:c r="F4717" s="66" t="str">
        <x:v>TEKNIK KELAUTAN</x:v>
      </x:c>
      <x:c r="G4717" s="66" t="str">
        <x:v>Sarjana</x:v>
      </x:c>
      <x:c r="H4717" s="87" t="n">
        <x:v>24</x:v>
      </x:c>
      <x:c r="I4717" s="87" t="n">
        <x:v>23</x:v>
      </x:c>
      <x:c r="J4717" s="68" t="n">
        <x:f>IFERROR(H4717/I4717,"")</x:f>
        <x:v>1.0434782608695652</x:v>
      </x:c>
      <x:c r="K4717" s="69" t="n">
        <x:f>IFERROR(I4717/H4717,"")</x:f>
        <x:v>0.9583333333333334</x:v>
      </x:c>
      <x:c r="L4717" s="66" t="str">
        <x:f>IF(K4717="","","1 : "&amp;TEXT(K4717,"0.0"))</x:f>
        <x:v>1 : 1.0</x:v>
      </x:c>
      <x:c r="M4717" s="66" t="str">
        <x:f>IF(J4717="","Baru/Tanpa Data",IF(J4717&lt;='Catatan &amp; Sumber'!$B$14,"Sangat Ketat",IF(J4717&lt;='Catatan &amp; Sumber'!$B$15,"Ketat",IF(J4717&lt;='Catatan &amp; Sumber'!$B$16,"Sedang","Relatif Longgar"))))</x:f>
        <x:v>Relatif Longgar</x:v>
      </x:c>
      <x:c r="N4717" s="66" t="str">
        <x:v>Tidak Ada</x:v>
      </x:c>
      <x:c r="O4717" s="66" t="str">
        <x:v>Sulawesi Tenggara</x:v>
      </x:c>
      <x:c r="P4717" s="66" t="str">
        <x:v>Kota Kendari</x:v>
      </x:c>
      <x:c r="Q4717" s="66" t="str">
        <x:v>https://snpmb.id/snbp/daya-tampung-snbp</x:v>
      </x:c>
      <x:c r="R4717" s="66" t="str">
        <x:v>https://sidatagrun-public-1076756628210.asia-southeast2.run.app/ptn_sn.php?ptn=751</x:v>
      </x:c>
    </x:row>
    <x:row r="4718">
      <x:c r="A4718" s="87" t="n">
        <x:v>995</x:v>
      </x:c>
      <x:c r="B4718" s="66" t="n">
        <x:v>751</x:v>
      </x:c>
      <x:c r="C4718" s="66" t="str">
        <x:v>UNIVERSITAS HALUOLEO</x:v>
      </x:c>
      <x:c r="D4718" s="66" t="str">
        <x:v>PTN Akademik</x:v>
      </x:c>
      <x:c r="E4718" s="66" t="str">
        <x:v>17511043</x:v>
      </x:c>
      <x:c r="F4718" s="66" t="str">
        <x:v>GIZI</x:v>
      </x:c>
      <x:c r="G4718" s="66" t="str">
        <x:v>Sarjana</x:v>
      </x:c>
      <x:c r="H4718" s="87" t="n">
        <x:v>29</x:v>
      </x:c>
      <x:c r="I4718" s="87" t="n">
        <x:v>373</x:v>
      </x:c>
      <x:c r="J4718" s="68" t="n">
        <x:f>IFERROR(H4718/I4718,"")</x:f>
        <x:v>0.0777479892761394</x:v>
      </x:c>
      <x:c r="K4718" s="69" t="n">
        <x:f>IFERROR(I4718/H4718,"")</x:f>
        <x:v>12.862068965517242</x:v>
      </x:c>
      <x:c r="L4718" s="66" t="str">
        <x:f>IF(K4718="","","1 : "&amp;TEXT(K4718,"0.0"))</x:f>
        <x:v>1 : 12.9</x:v>
      </x:c>
      <x:c r="M4718" s="66" t="str">
        <x:f>IF(J4718="","Baru/Tanpa Data",IF(J4718&lt;='Catatan &amp; Sumber'!$B$14,"Sangat Ketat",IF(J4718&lt;='Catatan &amp; Sumber'!$B$15,"Ketat",IF(J4718&lt;='Catatan &amp; Sumber'!$B$16,"Sedang","Relatif Longgar"))))</x:f>
        <x:v>Sedang</x:v>
      </x:c>
      <x:c r="N4718" s="66" t="str">
        <x:v>Tidak Ada</x:v>
      </x:c>
      <x:c r="O4718" s="66" t="str">
        <x:v>Sulawesi Tenggara</x:v>
      </x:c>
      <x:c r="P4718" s="66" t="str">
        <x:v>Kota Kendari</x:v>
      </x:c>
      <x:c r="Q4718" s="66" t="str">
        <x:v>https://snpmb.id/snbp/daya-tampung-snbp</x:v>
      </x:c>
      <x:c r="R4718" s="66" t="str">
        <x:v>https://sidatagrun-public-1076756628210.asia-southeast2.run.app/ptn_sn.php?ptn=751</x:v>
      </x:c>
    </x:row>
    <x:row r="4719">
      <x:c r="A4719" s="87" t="n">
        <x:v>4591</x:v>
      </x:c>
      <x:c r="B4719" s="66" t="n">
        <x:v>751</x:v>
      </x:c>
      <x:c r="C4719" s="66" t="str">
        <x:v>UNIVERSITAS HALUOLEO</x:v>
      </x:c>
      <x:c r="D4719" s="66" t="str">
        <x:v>PTN Akademik</x:v>
      </x:c>
      <x:c r="E4719" s="66" t="str">
        <x:v>17511044</x:v>
      </x:c>
      <x:c r="F4719" s="66" t="str">
        <x:v>PENDIDIKAN VOKASIONAL TEKNIK</x:v>
      </x:c>
      <x:c r="G4719" s="66" t="str">
        <x:v>Sarjana</x:v>
      </x:c>
      <x:c r="H4719" s="87" t="n">
        <x:v>29</x:v>
      </x:c>
      <x:c r="I4719" s="87" t="n">
        <x:v>18</x:v>
      </x:c>
      <x:c r="J4719" s="68" t="n">
        <x:f>IFERROR(H4719/I4719,"")</x:f>
        <x:v>1.6111111111111112</x:v>
      </x:c>
      <x:c r="K4719" s="69" t="n">
        <x:f>IFERROR(I4719/H4719,"")</x:f>
        <x:v>0.6206896551724138</x:v>
      </x:c>
      <x:c r="L4719" s="66" t="str">
        <x:f>IF(K4719="","","1 : "&amp;TEXT(K4719,"0.0"))</x:f>
        <x:v>1 : 0.6</x:v>
      </x:c>
      <x:c r="M4719" s="66" t="str">
        <x:f>IF(J4719="","Baru/Tanpa Data",IF(J4719&lt;='Catatan &amp; Sumber'!$B$14,"Sangat Ketat",IF(J4719&lt;='Catatan &amp; Sumber'!$B$15,"Ketat",IF(J4719&lt;='Catatan &amp; Sumber'!$B$16,"Sedang","Relatif Longgar"))))</x:f>
        <x:v>Relatif Longgar</x:v>
      </x:c>
      <x:c r="N4719" s="66" t="str">
        <x:v>Tidak Ada</x:v>
      </x:c>
      <x:c r="O4719" s="66" t="str">
        <x:v>Sulawesi Tenggara</x:v>
      </x:c>
      <x:c r="P4719" s="66" t="str">
        <x:v>Kota Kendari</x:v>
      </x:c>
      <x:c r="Q4719" s="66" t="str">
        <x:v>https://snpmb.id/snbp/daya-tampung-snbp</x:v>
      </x:c>
      <x:c r="R4719" s="66" t="str">
        <x:v>https://sidatagrun-public-1076756628210.asia-southeast2.run.app/ptn_sn.php?ptn=751</x:v>
      </x:c>
    </x:row>
    <x:row r="4720">
      <x:c r="A4720" s="87" t="n">
        <x:v>211</x:v>
      </x:c>
      <x:c r="B4720" s="66" t="n">
        <x:v>751</x:v>
      </x:c>
      <x:c r="C4720" s="66" t="str">
        <x:v>UNIVERSITAS HALUOLEO</x:v>
      </x:c>
      <x:c r="D4720" s="66" t="str">
        <x:v>PTN Akademik</x:v>
      </x:c>
      <x:c r="E4720" s="66" t="str">
        <x:v>17511045</x:v>
      </x:c>
      <x:c r="F4720" s="66" t="str">
        <x:v>KEPERAWATAN</x:v>
      </x:c>
      <x:c r="G4720" s="66" t="str">
        <x:v>Sarjana</x:v>
      </x:c>
      <x:c r="H4720" s="87" t="n">
        <x:v>15</x:v>
      </x:c>
      <x:c r="I4720" s="87" t="n">
        <x:v>400</x:v>
      </x:c>
      <x:c r="J4720" s="68" t="n">
        <x:f>IFERROR(H4720/I4720,"")</x:f>
        <x:v>0.0375</x:v>
      </x:c>
      <x:c r="K4720" s="69" t="n">
        <x:f>IFERROR(I4720/H4720,"")</x:f>
        <x:v>26.666666666666668</x:v>
      </x:c>
      <x:c r="L4720" s="66" t="str">
        <x:f>IF(K4720="","","1 : "&amp;TEXT(K4720,"0.0"))</x:f>
        <x:v>1 : 26.7</x:v>
      </x:c>
      <x:c r="M4720" s="66" t="str">
        <x:f>IF(J4720="","Baru/Tanpa Data",IF(J4720&lt;='Catatan &amp; Sumber'!$B$14,"Sangat Ketat",IF(J4720&lt;='Catatan &amp; Sumber'!$B$15,"Ketat",IF(J4720&lt;='Catatan &amp; Sumber'!$B$16,"Sedang","Relatif Longgar"))))</x:f>
        <x:v>Ketat</x:v>
      </x:c>
      <x:c r="N4720" s="66" t="str">
        <x:v>Tidak Ada</x:v>
      </x:c>
      <x:c r="O4720" s="66" t="str">
        <x:v>Sulawesi Tenggara</x:v>
      </x:c>
      <x:c r="P4720" s="66" t="str">
        <x:v>Kota Kendari</x:v>
      </x:c>
      <x:c r="Q4720" s="66" t="str">
        <x:v>https://snpmb.id/snbp/daya-tampung-snbp</x:v>
      </x:c>
      <x:c r="R4720" s="66" t="str">
        <x:v>https://sidatagrun-public-1076756628210.asia-southeast2.run.app/ptn_sn.php?ptn=751</x:v>
      </x:c>
    </x:row>
    <x:row r="4721">
      <x:c r="A4721" s="87" t="n">
        <x:v>4037</x:v>
      </x:c>
      <x:c r="B4721" s="66" t="n">
        <x:v>751</x:v>
      </x:c>
      <x:c r="C4721" s="66" t="str">
        <x:v>UNIVERSITAS HALUOLEO</x:v>
      </x:c>
      <x:c r="D4721" s="66" t="str">
        <x:v>PTN Akademik</x:v>
      </x:c>
      <x:c r="E4721" s="66" t="str">
        <x:v>17511046</x:v>
      </x:c>
      <x:c r="F4721" s="66" t="str">
        <x:v>EKONOMI PEMBANGUNAN</x:v>
      </x:c>
      <x:c r="G4721" s="66" t="str">
        <x:v>Sarjana</x:v>
      </x:c>
      <x:c r="H4721" s="87" t="n">
        <x:v>80</x:v>
      </x:c>
      <x:c r="I4721" s="87" t="n">
        <x:v>112</x:v>
      </x:c>
      <x:c r="J4721" s="68" t="n">
        <x:f>IFERROR(H4721/I4721,"")</x:f>
        <x:v>0.7142857142857143</x:v>
      </x:c>
      <x:c r="K4721" s="69" t="n">
        <x:f>IFERROR(I4721/H4721,"")</x:f>
        <x:v>1.4</x:v>
      </x:c>
      <x:c r="L4721" s="66" t="str">
        <x:f>IF(K4721="","","1 : "&amp;TEXT(K4721,"0.0"))</x:f>
        <x:v>1 : 1.4</x:v>
      </x:c>
      <x:c r="M4721" s="66" t="str">
        <x:f>IF(J4721="","Baru/Tanpa Data",IF(J4721&lt;='Catatan &amp; Sumber'!$B$14,"Sangat Ketat",IF(J4721&lt;='Catatan &amp; Sumber'!$B$15,"Ketat",IF(J4721&lt;='Catatan &amp; Sumber'!$B$16,"Sedang","Relatif Longgar"))))</x:f>
        <x:v>Relatif Longgar</x:v>
      </x:c>
      <x:c r="N4721" s="66" t="str">
        <x:v>Tidak Ada</x:v>
      </x:c>
      <x:c r="O4721" s="66" t="str">
        <x:v>Sulawesi Tenggara</x:v>
      </x:c>
      <x:c r="P4721" s="66" t="str">
        <x:v>Kota Kendari</x:v>
      </x:c>
      <x:c r="Q4721" s="66" t="str">
        <x:v>https://snpmb.id/snbp/daya-tampung-snbp</x:v>
      </x:c>
      <x:c r="R4721" s="66" t="str">
        <x:v>https://sidatagrun-public-1076756628210.asia-southeast2.run.app/ptn_sn.php?ptn=751</x:v>
      </x:c>
    </x:row>
    <x:row r="4722">
      <x:c r="A4722" s="87" t="n">
        <x:v>1366</x:v>
      </x:c>
      <x:c r="B4722" s="66" t="n">
        <x:v>751</x:v>
      </x:c>
      <x:c r="C4722" s="66" t="str">
        <x:v>UNIVERSITAS HALUOLEO</x:v>
      </x:c>
      <x:c r="D4722" s="66" t="str">
        <x:v>PTN Akademik</x:v>
      </x:c>
      <x:c r="E4722" s="66" t="str">
        <x:v>17511047</x:v>
      </x:c>
      <x:c r="F4722" s="66" t="str">
        <x:v>MANAJEMEN</x:v>
      </x:c>
      <x:c r="G4722" s="66" t="str">
        <x:v>Sarjana</x:v>
      </x:c>
      <x:c r="H4722" s="87" t="n">
        <x:v>80</x:v>
      </x:c>
      <x:c r="I4722" s="87" t="n">
        <x:v>804</x:v>
      </x:c>
      <x:c r="J4722" s="68" t="n">
        <x:f>IFERROR(H4722/I4722,"")</x:f>
        <x:v>0.09950248756218906</x:v>
      </x:c>
      <x:c r="K4722" s="69" t="n">
        <x:f>IFERROR(I4722/H4722,"")</x:f>
        <x:v>10.05</x:v>
      </x:c>
      <x:c r="L4722" s="66" t="str">
        <x:f>IF(K4722="","","1 : "&amp;TEXT(K4722,"0.0"))</x:f>
        <x:v>1 : 10.1</x:v>
      </x:c>
      <x:c r="M4722" s="66" t="str">
        <x:f>IF(J4722="","Baru/Tanpa Data",IF(J4722&lt;='Catatan &amp; Sumber'!$B$14,"Sangat Ketat",IF(J4722&lt;='Catatan &amp; Sumber'!$B$15,"Ketat",IF(J4722&lt;='Catatan &amp; Sumber'!$B$16,"Sedang","Relatif Longgar"))))</x:f>
        <x:v>Sedang</x:v>
      </x:c>
      <x:c r="N4722" s="66" t="str">
        <x:v>Tidak Ada</x:v>
      </x:c>
      <x:c r="O4722" s="66" t="str">
        <x:v>Sulawesi Tenggara</x:v>
      </x:c>
      <x:c r="P4722" s="66" t="str">
        <x:v>Kota Kendari</x:v>
      </x:c>
      <x:c r="Q4722" s="66" t="str">
        <x:v>https://snpmb.id/snbp/daya-tampung-snbp</x:v>
      </x:c>
      <x:c r="R4722" s="66" t="str">
        <x:v>https://sidatagrun-public-1076756628210.asia-southeast2.run.app/ptn_sn.php?ptn=751</x:v>
      </x:c>
    </x:row>
    <x:row r="4723">
      <x:c r="A4723" s="87" t="n">
        <x:v>1582</x:v>
      </x:c>
      <x:c r="B4723" s="66" t="n">
        <x:v>751</x:v>
      </x:c>
      <x:c r="C4723" s="66" t="str">
        <x:v>UNIVERSITAS HALUOLEO</x:v>
      </x:c>
      <x:c r="D4723" s="66" t="str">
        <x:v>PTN Akademik</x:v>
      </x:c>
      <x:c r="E4723" s="66" t="str">
        <x:v>17511048</x:v>
      </x:c>
      <x:c r="F4723" s="66" t="str">
        <x:v>AKUTANSI</x:v>
      </x:c>
      <x:c r="G4723" s="66" t="str">
        <x:v>Sarjana</x:v>
      </x:c>
      <x:c r="H4723" s="87" t="n">
        <x:v>72</x:v>
      </x:c>
      <x:c r="I4723" s="87" t="n">
        <x:v>628</x:v>
      </x:c>
      <x:c r="J4723" s="68" t="n">
        <x:f>IFERROR(H4723/I4723,"")</x:f>
        <x:v>0.11464968152866242</x:v>
      </x:c>
      <x:c r="K4723" s="69" t="n">
        <x:f>IFERROR(I4723/H4723,"")</x:f>
        <x:v>8.722222222222221</x:v>
      </x:c>
      <x:c r="L4723" s="66" t="str">
        <x:f>IF(K4723="","","1 : "&amp;TEXT(K4723,"0.0"))</x:f>
        <x:v>1 : 8.7</x:v>
      </x:c>
      <x:c r="M4723" s="66" t="str">
        <x:f>IF(J4723="","Baru/Tanpa Data",IF(J4723&lt;='Catatan &amp; Sumber'!$B$14,"Sangat Ketat",IF(J4723&lt;='Catatan &amp; Sumber'!$B$15,"Ketat",IF(J4723&lt;='Catatan &amp; Sumber'!$B$16,"Sedang","Relatif Longgar"))))</x:f>
        <x:v>Relatif Longgar</x:v>
      </x:c>
      <x:c r="N4723" s="66" t="str">
        <x:v>Tidak Ada</x:v>
      </x:c>
      <x:c r="O4723" s="66" t="str">
        <x:v>Sulawesi Tenggara</x:v>
      </x:c>
      <x:c r="P4723" s="66" t="str">
        <x:v>Kota Kendari</x:v>
      </x:c>
      <x:c r="Q4723" s="66" t="str">
        <x:v>https://snpmb.id/snbp/daya-tampung-snbp</x:v>
      </x:c>
      <x:c r="R4723" s="66" t="str">
        <x:v>https://sidatagrun-public-1076756628210.asia-southeast2.run.app/ptn_sn.php?ptn=751</x:v>
      </x:c>
    </x:row>
    <x:row r="4724">
      <x:c r="A4724" s="87" t="n">
        <x:v>3003</x:v>
      </x:c>
      <x:c r="B4724" s="66" t="n">
        <x:v>751</x:v>
      </x:c>
      <x:c r="C4724" s="66" t="str">
        <x:v>UNIVERSITAS HALUOLEO</x:v>
      </x:c>
      <x:c r="D4724" s="66" t="str">
        <x:v>PTN Akademik</x:v>
      </x:c>
      <x:c r="E4724" s="66" t="str">
        <x:v>17511049</x:v>
      </x:c>
      <x:c r="F4724" s="66" t="str">
        <x:v>ILMU ADMINISTRASI NEGARA</x:v>
      </x:c>
      <x:c r="G4724" s="66" t="str">
        <x:v>Sarjana</x:v>
      </x:c>
      <x:c r="H4724" s="87" t="n">
        <x:v>52</x:v>
      </x:c>
      <x:c r="I4724" s="87" t="n">
        <x:v>177</x:v>
      </x:c>
      <x:c r="J4724" s="68" t="n">
        <x:f>IFERROR(H4724/I4724,"")</x:f>
        <x:v>0.2937853107344633</x:v>
      </x:c>
      <x:c r="K4724" s="69" t="n">
        <x:f>IFERROR(I4724/H4724,"")</x:f>
        <x:v>3.4038461538461537</x:v>
      </x:c>
      <x:c r="L4724" s="66" t="str">
        <x:f>IF(K4724="","","1 : "&amp;TEXT(K4724,"0.0"))</x:f>
        <x:v>1 : 3.4</x:v>
      </x:c>
      <x:c r="M4724" s="66" t="str">
        <x:f>IF(J4724="","Baru/Tanpa Data",IF(J4724&lt;='Catatan &amp; Sumber'!$B$14,"Sangat Ketat",IF(J4724&lt;='Catatan &amp; Sumber'!$B$15,"Ketat",IF(J4724&lt;='Catatan &amp; Sumber'!$B$16,"Sedang","Relatif Longgar"))))</x:f>
        <x:v>Relatif Longgar</x:v>
      </x:c>
      <x:c r="N4724" s="66" t="str">
        <x:v>Tidak Ada</x:v>
      </x:c>
      <x:c r="O4724" s="66" t="str">
        <x:v>Sulawesi Tenggara</x:v>
      </x:c>
      <x:c r="P4724" s="66" t="str">
        <x:v>Kota Kendari</x:v>
      </x:c>
      <x:c r="Q4724" s="66" t="str">
        <x:v>https://snpmb.id/snbp/daya-tampung-snbp</x:v>
      </x:c>
      <x:c r="R4724" s="66" t="str">
        <x:v>https://sidatagrun-public-1076756628210.asia-southeast2.run.app/ptn_sn.php?ptn=751</x:v>
      </x:c>
    </x:row>
    <x:row r="4725">
      <x:c r="A4725" s="87" t="n">
        <x:v>3615</x:v>
      </x:c>
      <x:c r="B4725" s="66" t="n">
        <x:v>751</x:v>
      </x:c>
      <x:c r="C4725" s="66" t="str">
        <x:v>UNIVERSITAS HALUOLEO</x:v>
      </x:c>
      <x:c r="D4725" s="66" t="str">
        <x:v>PTN Akademik</x:v>
      </x:c>
      <x:c r="E4725" s="66" t="str">
        <x:v>17511050</x:v>
      </x:c>
      <x:c r="F4725" s="66" t="str">
        <x:v>SOSIOLOGI</x:v>
      </x:c>
      <x:c r="G4725" s="66" t="str">
        <x:v>Sarjana</x:v>
      </x:c>
      <x:c r="H4725" s="87" t="n">
        <x:v>39</x:v>
      </x:c>
      <x:c r="I4725" s="87" t="n">
        <x:v>82</x:v>
      </x:c>
      <x:c r="J4725" s="68" t="n">
        <x:f>IFERROR(H4725/I4725,"")</x:f>
        <x:v>0.47560975609756095</x:v>
      </x:c>
      <x:c r="K4725" s="69" t="n">
        <x:f>IFERROR(I4725/H4725,"")</x:f>
        <x:v>2.1025641025641026</x:v>
      </x:c>
      <x:c r="L4725" s="66" t="str">
        <x:f>IF(K4725="","","1 : "&amp;TEXT(K4725,"0.0"))</x:f>
        <x:v>1 : 2.1</x:v>
      </x:c>
      <x:c r="M4725" s="66" t="str">
        <x:f>IF(J4725="","Baru/Tanpa Data",IF(J4725&lt;='Catatan &amp; Sumber'!$B$14,"Sangat Ketat",IF(J4725&lt;='Catatan &amp; Sumber'!$B$15,"Ketat",IF(J4725&lt;='Catatan &amp; Sumber'!$B$16,"Sedang","Relatif Longgar"))))</x:f>
        <x:v>Relatif Longgar</x:v>
      </x:c>
      <x:c r="N4725" s="66" t="str">
        <x:v>Tidak Ada</x:v>
      </x:c>
      <x:c r="O4725" s="66" t="str">
        <x:v>Sulawesi Tenggara</x:v>
      </x:c>
      <x:c r="P4725" s="66" t="str">
        <x:v>Kota Kendari</x:v>
      </x:c>
      <x:c r="Q4725" s="66" t="str">
        <x:v>https://snpmb.id/snbp/daya-tampung-snbp</x:v>
      </x:c>
      <x:c r="R4725" s="66" t="str">
        <x:v>https://sidatagrun-public-1076756628210.asia-southeast2.run.app/ptn_sn.php?ptn=751</x:v>
      </x:c>
    </x:row>
    <x:row r="4726">
      <x:c r="A4726" s="87" t="n">
        <x:v>4627</x:v>
      </x:c>
      <x:c r="B4726" s="66" t="n">
        <x:v>751</x:v>
      </x:c>
      <x:c r="C4726" s="66" t="str">
        <x:v>UNIVERSITAS HALUOLEO</x:v>
      </x:c>
      <x:c r="D4726" s="66" t="str">
        <x:v>PTN Akademik</x:v>
      </x:c>
      <x:c r="E4726" s="66" t="str">
        <x:v>17511051</x:v>
      </x:c>
      <x:c r="F4726" s="66" t="str">
        <x:v>ANTROPOLOGI SOSIAL</x:v>
      </x:c>
      <x:c r="G4726" s="66" t="str">
        <x:v>Sarjana</x:v>
      </x:c>
      <x:c r="H4726" s="87" t="n">
        <x:v>35</x:v>
      </x:c>
      <x:c r="I4726" s="87" t="n">
        <x:v>20</x:v>
      </x:c>
      <x:c r="J4726" s="68" t="n">
        <x:f>IFERROR(H4726/I4726,"")</x:f>
        <x:v>1.75</x:v>
      </x:c>
      <x:c r="K4726" s="69" t="n">
        <x:f>IFERROR(I4726/H4726,"")</x:f>
        <x:v>0.5714285714285714</x:v>
      </x:c>
      <x:c r="L4726" s="66" t="str">
        <x:f>IF(K4726="","","1 : "&amp;TEXT(K4726,"0.0"))</x:f>
        <x:v>1 : 0.6</x:v>
      </x:c>
      <x:c r="M4726" s="66" t="str">
        <x:f>IF(J4726="","Baru/Tanpa Data",IF(J4726&lt;='Catatan &amp; Sumber'!$B$14,"Sangat Ketat",IF(J4726&lt;='Catatan &amp; Sumber'!$B$15,"Ketat",IF(J4726&lt;='Catatan &amp; Sumber'!$B$16,"Sedang","Relatif Longgar"))))</x:f>
        <x:v>Relatif Longgar</x:v>
      </x:c>
      <x:c r="N4726" s="66" t="str">
        <x:v>Tidak Ada</x:v>
      </x:c>
      <x:c r="O4726" s="66" t="str">
        <x:v>Sulawesi Tenggara</x:v>
      </x:c>
      <x:c r="P4726" s="66" t="str">
        <x:v>Kota Kendari</x:v>
      </x:c>
      <x:c r="Q4726" s="66" t="str">
        <x:v>https://snpmb.id/snbp/daya-tampung-snbp</x:v>
      </x:c>
      <x:c r="R4726" s="66" t="str">
        <x:v>https://sidatagrun-public-1076756628210.asia-southeast2.run.app/ptn_sn.php?ptn=751</x:v>
      </x:c>
    </x:row>
    <x:row r="4727">
      <x:c r="A4727" s="87" t="n">
        <x:v>2277</x:v>
      </x:c>
      <x:c r="B4727" s="66" t="n">
        <x:v>751</x:v>
      </x:c>
      <x:c r="C4727" s="66" t="str">
        <x:v>UNIVERSITAS HALUOLEO</x:v>
      </x:c>
      <x:c r="D4727" s="66" t="str">
        <x:v>PTN Akademik</x:v>
      </x:c>
      <x:c r="E4727" s="66" t="str">
        <x:v>17511052</x:v>
      </x:c>
      <x:c r="F4727" s="66" t="str">
        <x:v>ILMU KOMUNIKASI</x:v>
      </x:c>
      <x:c r="G4727" s="66" t="str">
        <x:v>Sarjana</x:v>
      </x:c>
      <x:c r="H4727" s="87" t="n">
        <x:v>52</x:v>
      </x:c>
      <x:c r="I4727" s="87" t="n">
        <x:v>286</x:v>
      </x:c>
      <x:c r="J4727" s="68" t="n">
        <x:f>IFERROR(H4727/I4727,"")</x:f>
        <x:v>0.18181818181818182</x:v>
      </x:c>
      <x:c r="K4727" s="69" t="n">
        <x:f>IFERROR(I4727/H4727,"")</x:f>
        <x:v>5.5</x:v>
      </x:c>
      <x:c r="L4727" s="66" t="str">
        <x:f>IF(K4727="","","1 : "&amp;TEXT(K4727,"0.0"))</x:f>
        <x:v>1 : 5.5</x:v>
      </x:c>
      <x:c r="M4727" s="66" t="str">
        <x:f>IF(J4727="","Baru/Tanpa Data",IF(J4727&lt;='Catatan &amp; Sumber'!$B$14,"Sangat Ketat",IF(J4727&lt;='Catatan &amp; Sumber'!$B$15,"Ketat",IF(J4727&lt;='Catatan &amp; Sumber'!$B$16,"Sedang","Relatif Longgar"))))</x:f>
        <x:v>Relatif Longgar</x:v>
      </x:c>
      <x:c r="N4727" s="66" t="str">
        <x:v>Tidak Ada</x:v>
      </x:c>
      <x:c r="O4727" s="66" t="str">
        <x:v>Sulawesi Tenggara</x:v>
      </x:c>
      <x:c r="P4727" s="66" t="str">
        <x:v>Kota Kendari</x:v>
      </x:c>
      <x:c r="Q4727" s="66" t="str">
        <x:v>https://snpmb.id/snbp/daya-tampung-snbp</x:v>
      </x:c>
      <x:c r="R4727" s="66" t="str">
        <x:v>https://sidatagrun-public-1076756628210.asia-southeast2.run.app/ptn_sn.php?ptn=751</x:v>
      </x:c>
    </x:row>
    <x:row r="4728">
      <x:c r="A4728" s="87" t="n">
        <x:v>2674</x:v>
      </x:c>
      <x:c r="B4728" s="66" t="n">
        <x:v>751</x:v>
      </x:c>
      <x:c r="C4728" s="66" t="str">
        <x:v>UNIVERSITAS HALUOLEO</x:v>
      </x:c>
      <x:c r="D4728" s="66" t="str">
        <x:v>PTN Akademik</x:v>
      </x:c>
      <x:c r="E4728" s="66" t="str">
        <x:v>17511053</x:v>
      </x:c>
      <x:c r="F4728" s="66" t="str">
        <x:v>ILMU HUKUM</x:v>
      </x:c>
      <x:c r="G4728" s="66" t="str">
        <x:v>Sarjana</x:v>
      </x:c>
      <x:c r="H4728" s="87" t="n">
        <x:v>120</x:v>
      </x:c>
      <x:c r="I4728" s="87" t="n">
        <x:v>502</x:v>
      </x:c>
      <x:c r="J4728" s="68" t="n">
        <x:f>IFERROR(H4728/I4728,"")</x:f>
        <x:v>0.23904382470119523</x:v>
      </x:c>
      <x:c r="K4728" s="69" t="n">
        <x:f>IFERROR(I4728/H4728,"")</x:f>
        <x:v>4.183333333333334</x:v>
      </x:c>
      <x:c r="L4728" s="66" t="str">
        <x:f>IF(K4728="","","1 : "&amp;TEXT(K4728,"0.0"))</x:f>
        <x:v>1 : 4.2</x:v>
      </x:c>
      <x:c r="M4728" s="66" t="str">
        <x:f>IF(J4728="","Baru/Tanpa Data",IF(J4728&lt;='Catatan &amp; Sumber'!$B$14,"Sangat Ketat",IF(J4728&lt;='Catatan &amp; Sumber'!$B$15,"Ketat",IF(J4728&lt;='Catatan &amp; Sumber'!$B$16,"Sedang","Relatif Longgar"))))</x:f>
        <x:v>Relatif Longgar</x:v>
      </x:c>
      <x:c r="N4728" s="66" t="str">
        <x:v>Tidak Ada</x:v>
      </x:c>
      <x:c r="O4728" s="66" t="str">
        <x:v>Sulawesi Tenggara</x:v>
      </x:c>
      <x:c r="P4728" s="66" t="str">
        <x:v>Kota Kendari</x:v>
      </x:c>
      <x:c r="Q4728" s="66" t="str">
        <x:v>https://snpmb.id/snbp/daya-tampung-snbp</x:v>
      </x:c>
      <x:c r="R4728" s="66" t="str">
        <x:v>https://sidatagrun-public-1076756628210.asia-southeast2.run.app/ptn_sn.php?ptn=751</x:v>
      </x:c>
    </x:row>
    <x:row r="4729">
      <x:c r="A4729" s="87" t="n">
        <x:v>2816</x:v>
      </x:c>
      <x:c r="B4729" s="66" t="n">
        <x:v>751</x:v>
      </x:c>
      <x:c r="C4729" s="66" t="str">
        <x:v>UNIVERSITAS HALUOLEO</x:v>
      </x:c>
      <x:c r="D4729" s="66" t="str">
        <x:v>PTN Akademik</x:v>
      </x:c>
      <x:c r="E4729" s="66" t="str">
        <x:v>17511054</x:v>
      </x:c>
      <x:c r="F4729" s="66" t="str">
        <x:v>PENDIDIKAN SEJARAH</x:v>
      </x:c>
      <x:c r="G4729" s="66" t="str">
        <x:v>Sarjana</x:v>
      </x:c>
      <x:c r="H4729" s="87" t="n">
        <x:v>30</x:v>
      </x:c>
      <x:c r="I4729" s="87" t="n">
        <x:v>115</x:v>
      </x:c>
      <x:c r="J4729" s="68" t="n">
        <x:f>IFERROR(H4729/I4729,"")</x:f>
        <x:v>0.2608695652173913</x:v>
      </x:c>
      <x:c r="K4729" s="69" t="n">
        <x:f>IFERROR(I4729/H4729,"")</x:f>
        <x:v>3.8333333333333335</x:v>
      </x:c>
      <x:c r="L4729" s="66" t="str">
        <x:f>IF(K4729="","","1 : "&amp;TEXT(K4729,"0.0"))</x:f>
        <x:v>1 : 3.8</x:v>
      </x:c>
      <x:c r="M4729" s="66" t="str">
        <x:f>IF(J4729="","Baru/Tanpa Data",IF(J4729&lt;='Catatan &amp; Sumber'!$B$14,"Sangat Ketat",IF(J4729&lt;='Catatan &amp; Sumber'!$B$15,"Ketat",IF(J4729&lt;='Catatan &amp; Sumber'!$B$16,"Sedang","Relatif Longgar"))))</x:f>
        <x:v>Relatif Longgar</x:v>
      </x:c>
      <x:c r="N4729" s="66" t="str">
        <x:v>Tidak Ada</x:v>
      </x:c>
      <x:c r="O4729" s="66" t="str">
        <x:v>Sulawesi Tenggara</x:v>
      </x:c>
      <x:c r="P4729" s="66" t="str">
        <x:v>Kota Kendari</x:v>
      </x:c>
      <x:c r="Q4729" s="66" t="str">
        <x:v>https://snpmb.id/snbp/daya-tampung-snbp</x:v>
      </x:c>
      <x:c r="R4729" s="66" t="str">
        <x:v>https://sidatagrun-public-1076756628210.asia-southeast2.run.app/ptn_sn.php?ptn=751</x:v>
      </x:c>
    </x:row>
    <x:row r="4730">
      <x:c r="A4730" s="87" t="n">
        <x:v>3162</x:v>
      </x:c>
      <x:c r="B4730" s="66" t="n">
        <x:v>751</x:v>
      </x:c>
      <x:c r="C4730" s="66" t="str">
        <x:v>UNIVERSITAS HALUOLEO</x:v>
      </x:c>
      <x:c r="D4730" s="66" t="str">
        <x:v>PTN Akademik</x:v>
      </x:c>
      <x:c r="E4730" s="66" t="str">
        <x:v>17511055</x:v>
      </x:c>
      <x:c r="F4730" s="66" t="str">
        <x:v>PENDIDIKAN EKONOMI</x:v>
      </x:c>
      <x:c r="G4730" s="66" t="str">
        <x:v>Sarjana</x:v>
      </x:c>
      <x:c r="H4730" s="87" t="n">
        <x:v>33</x:v>
      </x:c>
      <x:c r="I4730" s="87" t="n">
        <x:v>100</x:v>
      </x:c>
      <x:c r="J4730" s="68" t="n">
        <x:f>IFERROR(H4730/I4730,"")</x:f>
        <x:v>0.33</x:v>
      </x:c>
      <x:c r="K4730" s="69" t="n">
        <x:f>IFERROR(I4730/H4730,"")</x:f>
        <x:v>3.0303030303030303</x:v>
      </x:c>
      <x:c r="L4730" s="66" t="str">
        <x:f>IF(K4730="","","1 : "&amp;TEXT(K4730,"0.0"))</x:f>
        <x:v>1 : 3.0</x:v>
      </x:c>
      <x:c r="M4730" s="66" t="str">
        <x:f>IF(J4730="","Baru/Tanpa Data",IF(J4730&lt;='Catatan &amp; Sumber'!$B$14,"Sangat Ketat",IF(J4730&lt;='Catatan &amp; Sumber'!$B$15,"Ketat",IF(J4730&lt;='Catatan &amp; Sumber'!$B$16,"Sedang","Relatif Longgar"))))</x:f>
        <x:v>Relatif Longgar</x:v>
      </x:c>
      <x:c r="N4730" s="66" t="str">
        <x:v>Tidak Ada</x:v>
      </x:c>
      <x:c r="O4730" s="66" t="str">
        <x:v>Sulawesi Tenggara</x:v>
      </x:c>
      <x:c r="P4730" s="66" t="str">
        <x:v>Kota Kendari</x:v>
      </x:c>
      <x:c r="Q4730" s="66" t="str">
        <x:v>https://snpmb.id/snbp/daya-tampung-snbp</x:v>
      </x:c>
      <x:c r="R4730" s="66" t="str">
        <x:v>https://sidatagrun-public-1076756628210.asia-southeast2.run.app/ptn_sn.php?ptn=751</x:v>
      </x:c>
    </x:row>
    <x:row r="4731">
      <x:c r="A4731" s="87" t="n">
        <x:v>2179</x:v>
      </x:c>
      <x:c r="B4731" s="66" t="n">
        <x:v>751</x:v>
      </x:c>
      <x:c r="C4731" s="66" t="str">
        <x:v>UNIVERSITAS HALUOLEO</x:v>
      </x:c>
      <x:c r="D4731" s="66" t="str">
        <x:v>PTN Akademik</x:v>
      </x:c>
      <x:c r="E4731" s="66" t="str">
        <x:v>17511056</x:v>
      </x:c>
      <x:c r="F4731" s="66" t="str">
        <x:v>PEND. PANCASILA &amp; KEWARGANEGARAAN</x:v>
      </x:c>
      <x:c r="G4731" s="66" t="str">
        <x:v>Sarjana</x:v>
      </x:c>
      <x:c r="H4731" s="87" t="n">
        <x:v>30</x:v>
      </x:c>
      <x:c r="I4731" s="87" t="n">
        <x:v>177</x:v>
      </x:c>
      <x:c r="J4731" s="68" t="n">
        <x:f>IFERROR(H4731/I4731,"")</x:f>
        <x:v>0.1694915254237288</x:v>
      </x:c>
      <x:c r="K4731" s="69" t="n">
        <x:f>IFERROR(I4731/H4731,"")</x:f>
        <x:v>5.9</x:v>
      </x:c>
      <x:c r="L4731" s="66" t="str">
        <x:f>IF(K4731="","","1 : "&amp;TEXT(K4731,"0.0"))</x:f>
        <x:v>1 : 5.9</x:v>
      </x:c>
      <x:c r="M4731" s="66" t="str">
        <x:f>IF(J4731="","Baru/Tanpa Data",IF(J4731&lt;='Catatan &amp; Sumber'!$B$14,"Sangat Ketat",IF(J4731&lt;='Catatan &amp; Sumber'!$B$15,"Ketat",IF(J4731&lt;='Catatan &amp; Sumber'!$B$16,"Sedang","Relatif Longgar"))))</x:f>
        <x:v>Relatif Longgar</x:v>
      </x:c>
      <x:c r="N4731" s="66" t="str">
        <x:v>Tidak Ada</x:v>
      </x:c>
      <x:c r="O4731" s="66" t="str">
        <x:v>Sulawesi Tenggara</x:v>
      </x:c>
      <x:c r="P4731" s="66" t="str">
        <x:v>Kota Kendari</x:v>
      </x:c>
      <x:c r="Q4731" s="66" t="str">
        <x:v>https://snpmb.id/snbp/daya-tampung-snbp</x:v>
      </x:c>
      <x:c r="R4731" s="66" t="str">
        <x:v>https://sidatagrun-public-1076756628210.asia-southeast2.run.app/ptn_sn.php?ptn=751</x:v>
      </x:c>
    </x:row>
    <x:row r="4732">
      <x:c r="A4732" s="87" t="n">
        <x:v>2352</x:v>
      </x:c>
      <x:c r="B4732" s="66" t="n">
        <x:v>751</x:v>
      </x:c>
      <x:c r="C4732" s="66" t="str">
        <x:v>UNIVERSITAS HALUOLEO</x:v>
      </x:c>
      <x:c r="D4732" s="66" t="str">
        <x:v>PTN Akademik</x:v>
      </x:c>
      <x:c r="E4732" s="66" t="str">
        <x:v>17511057</x:v>
      </x:c>
      <x:c r="F4732" s="66" t="str">
        <x:v>PEND. JASMANI, KESEHATAN DAN REKREASI</x:v>
      </x:c>
      <x:c r="G4732" s="66" t="str">
        <x:v>Sarjana</x:v>
      </x:c>
      <x:c r="H4732" s="87" t="n">
        <x:v>30</x:v>
      </x:c>
      <x:c r="I4732" s="87" t="n">
        <x:v>158</x:v>
      </x:c>
      <x:c r="J4732" s="68" t="n">
        <x:f>IFERROR(H4732/I4732,"")</x:f>
        <x:v>0.189873417721519</x:v>
      </x:c>
      <x:c r="K4732" s="69" t="n">
        <x:f>IFERROR(I4732/H4732,"")</x:f>
        <x:v>5.266666666666667</x:v>
      </x:c>
      <x:c r="L4732" s="66" t="str">
        <x:f>IF(K4732="","","1 : "&amp;TEXT(K4732,"0.0"))</x:f>
        <x:v>1 : 5.3</x:v>
      </x:c>
      <x:c r="M4732" s="66" t="str">
        <x:f>IF(J4732="","Baru/Tanpa Data",IF(J4732&lt;='Catatan &amp; Sumber'!$B$14,"Sangat Ketat",IF(J4732&lt;='Catatan &amp; Sumber'!$B$15,"Ketat",IF(J4732&lt;='Catatan &amp; Sumber'!$B$16,"Sedang","Relatif Longgar"))))</x:f>
        <x:v>Relatif Longgar</x:v>
      </x:c>
      <x:c r="N4732" s="66" t="str">
        <x:v>Olahraga</x:v>
      </x:c>
      <x:c r="O4732" s="66" t="str">
        <x:v>Sulawesi Tenggara</x:v>
      </x:c>
      <x:c r="P4732" s="66" t="str">
        <x:v>Kota Kendari</x:v>
      </x:c>
      <x:c r="Q4732" s="66" t="str">
        <x:v>https://snpmb.id/snbp/daya-tampung-snbp</x:v>
      </x:c>
      <x:c r="R4732" s="66" t="str">
        <x:v>https://sidatagrun-public-1076756628210.asia-southeast2.run.app/ptn_sn.php?ptn=751</x:v>
      </x:c>
    </x:row>
    <x:row r="4733">
      <x:c r="A4733" s="87" t="n">
        <x:v>2175</x:v>
      </x:c>
      <x:c r="B4733" s="66" t="n">
        <x:v>751</x:v>
      </x:c>
      <x:c r="C4733" s="66" t="str">
        <x:v>UNIVERSITAS HALUOLEO</x:v>
      </x:c>
      <x:c r="D4733" s="66" t="str">
        <x:v>PTN Akademik</x:v>
      </x:c>
      <x:c r="E4733" s="66" t="str">
        <x:v>17511058</x:v>
      </x:c>
      <x:c r="F4733" s="66" t="str">
        <x:v>PEND. BAHASA, SASTRA INDO. &amp; DAERAH</x:v>
      </x:c>
      <x:c r="G4733" s="66" t="str">
        <x:v>Sarjana</x:v>
      </x:c>
      <x:c r="H4733" s="87" t="n">
        <x:v>36</x:v>
      </x:c>
      <x:c r="I4733" s="87" t="n">
        <x:v>213</x:v>
      </x:c>
      <x:c r="J4733" s="68" t="n">
        <x:f>IFERROR(H4733/I4733,"")</x:f>
        <x:v>0.16901408450704225</x:v>
      </x:c>
      <x:c r="K4733" s="69" t="n">
        <x:f>IFERROR(I4733/H4733,"")</x:f>
        <x:v>5.916666666666667</x:v>
      </x:c>
      <x:c r="L4733" s="66" t="str">
        <x:f>IF(K4733="","","1 : "&amp;TEXT(K4733,"0.0"))</x:f>
        <x:v>1 : 5.9</x:v>
      </x:c>
      <x:c r="M4733" s="66" t="str">
        <x:f>IF(J4733="","Baru/Tanpa Data",IF(J4733&lt;='Catatan &amp; Sumber'!$B$14,"Sangat Ketat",IF(J4733&lt;='Catatan &amp; Sumber'!$B$15,"Ketat",IF(J4733&lt;='Catatan &amp; Sumber'!$B$16,"Sedang","Relatif Longgar"))))</x:f>
        <x:v>Relatif Longgar</x:v>
      </x:c>
      <x:c r="N4733" s="66" t="str">
        <x:v>Tidak Ada</x:v>
      </x:c>
      <x:c r="O4733" s="66" t="str">
        <x:v>Sulawesi Tenggara</x:v>
      </x:c>
      <x:c r="P4733" s="66" t="str">
        <x:v>Kota Kendari</x:v>
      </x:c>
      <x:c r="Q4733" s="66" t="str">
        <x:v>https://snpmb.id/snbp/daya-tampung-snbp</x:v>
      </x:c>
      <x:c r="R4733" s="66" t="str">
        <x:v>https://sidatagrun-public-1076756628210.asia-southeast2.run.app/ptn_sn.php?ptn=751</x:v>
      </x:c>
    </x:row>
    <x:row r="4734">
      <x:c r="A4734" s="87" t="n">
        <x:v>2416</x:v>
      </x:c>
      <x:c r="B4734" s="66" t="n">
        <x:v>751</x:v>
      </x:c>
      <x:c r="C4734" s="66" t="str">
        <x:v>UNIVERSITAS HALUOLEO</x:v>
      </x:c>
      <x:c r="D4734" s="66" t="str">
        <x:v>PTN Akademik</x:v>
      </x:c>
      <x:c r="E4734" s="66" t="str">
        <x:v>17511059</x:v>
      </x:c>
      <x:c r="F4734" s="66" t="str">
        <x:v>PENDIDIKAN BAHASA INGGRIS</x:v>
      </x:c>
      <x:c r="G4734" s="66" t="str">
        <x:v>Sarjana</x:v>
      </x:c>
      <x:c r="H4734" s="87" t="n">
        <x:v>41</x:v>
      </x:c>
      <x:c r="I4734" s="87" t="n">
        <x:v>207</x:v>
      </x:c>
      <x:c r="J4734" s="68" t="n">
        <x:f>IFERROR(H4734/I4734,"")</x:f>
        <x:v>0.19806763285024154</x:v>
      </x:c>
      <x:c r="K4734" s="69" t="n">
        <x:f>IFERROR(I4734/H4734,"")</x:f>
        <x:v>5.048780487804878</x:v>
      </x:c>
      <x:c r="L4734" s="66" t="str">
        <x:f>IF(K4734="","","1 : "&amp;TEXT(K4734,"0.0"))</x:f>
        <x:v>1 : 5.0</x:v>
      </x:c>
      <x:c r="M4734" s="66" t="str">
        <x:f>IF(J4734="","Baru/Tanpa Data",IF(J4734&lt;='Catatan &amp; Sumber'!$B$14,"Sangat Ketat",IF(J4734&lt;='Catatan &amp; Sumber'!$B$15,"Ketat",IF(J4734&lt;='Catatan &amp; Sumber'!$B$16,"Sedang","Relatif Longgar"))))</x:f>
        <x:v>Relatif Longgar</x:v>
      </x:c>
      <x:c r="N4734" s="66" t="str">
        <x:v>Tidak Ada</x:v>
      </x:c>
      <x:c r="O4734" s="66" t="str">
        <x:v>Sulawesi Tenggara</x:v>
      </x:c>
      <x:c r="P4734" s="66" t="str">
        <x:v>Kota Kendari</x:v>
      </x:c>
      <x:c r="Q4734" s="66" t="str">
        <x:v>https://snpmb.id/snbp/daya-tampung-snbp</x:v>
      </x:c>
      <x:c r="R4734" s="66" t="str">
        <x:v>https://sidatagrun-public-1076756628210.asia-southeast2.run.app/ptn_sn.php?ptn=751</x:v>
      </x:c>
    </x:row>
    <x:row r="4735">
      <x:c r="A4735" s="87" t="n">
        <x:v>870</x:v>
      </x:c>
      <x:c r="B4735" s="66" t="n">
        <x:v>751</x:v>
      </x:c>
      <x:c r="C4735" s="66" t="str">
        <x:v>UNIVERSITAS HALUOLEO</x:v>
      </x:c>
      <x:c r="D4735" s="66" t="str">
        <x:v>PTN Akademik</x:v>
      </x:c>
      <x:c r="E4735" s="66" t="str">
        <x:v>17511060</x:v>
      </x:c>
      <x:c r="F4735" s="66" t="str">
        <x:v>PEND. GURU SEKOLAH DASAR (PGSD) S1</x:v>
      </x:c>
      <x:c r="G4735" s="66" t="str">
        <x:v>Sarjana</x:v>
      </x:c>
      <x:c r="H4735" s="87" t="n">
        <x:v>54</x:v>
      </x:c>
      <x:c r="I4735" s="87" t="n">
        <x:v>767</x:v>
      </x:c>
      <x:c r="J4735" s="68" t="n">
        <x:f>IFERROR(H4735/I4735,"")</x:f>
        <x:v>0.07040417209908735</x:v>
      </x:c>
      <x:c r="K4735" s="69" t="n">
        <x:f>IFERROR(I4735/H4735,"")</x:f>
        <x:v>14.203703703703704</x:v>
      </x:c>
      <x:c r="L4735" s="66" t="str">
        <x:f>IF(K4735="","","1 : "&amp;TEXT(K4735,"0.0"))</x:f>
        <x:v>1 : 14.2</x:v>
      </x:c>
      <x:c r="M4735" s="66" t="str">
        <x:f>IF(J4735="","Baru/Tanpa Data",IF(J4735&lt;='Catatan &amp; Sumber'!$B$14,"Sangat Ketat",IF(J4735&lt;='Catatan &amp; Sumber'!$B$15,"Ketat",IF(J4735&lt;='Catatan &amp; Sumber'!$B$16,"Sedang","Relatif Longgar"))))</x:f>
        <x:v>Sedang</x:v>
      </x:c>
      <x:c r="N4735" s="66" t="str">
        <x:v>Tidak Ada</x:v>
      </x:c>
      <x:c r="O4735" s="66" t="str">
        <x:v>Sulawesi Tenggara</x:v>
      </x:c>
      <x:c r="P4735" s="66" t="str">
        <x:v>Kota Kendari</x:v>
      </x:c>
      <x:c r="Q4735" s="66" t="str">
        <x:v>https://snpmb.id/snbp/daya-tampung-snbp</x:v>
      </x:c>
      <x:c r="R4735" s="66" t="str">
        <x:v>https://sidatagrun-public-1076756628210.asia-southeast2.run.app/ptn_sn.php?ptn=751</x:v>
      </x:c>
    </x:row>
    <x:row r="4736">
      <x:c r="A4736" s="87" t="n">
        <x:v>2677</x:v>
      </x:c>
      <x:c r="B4736" s="66" t="n">
        <x:v>751</x:v>
      </x:c>
      <x:c r="C4736" s="66" t="str">
        <x:v>UNIVERSITAS HALUOLEO</x:v>
      </x:c>
      <x:c r="D4736" s="66" t="str">
        <x:v>PTN Akademik</x:v>
      </x:c>
      <x:c r="E4736" s="66" t="str">
        <x:v>17511061</x:v>
      </x:c>
      <x:c r="F4736" s="66" t="str">
        <x:v>PENDIDIKAN ANAK USIA DINI (PG-PAUD)</x:v>
      </x:c>
      <x:c r="G4736" s="66" t="str">
        <x:v>Sarjana</x:v>
      </x:c>
      <x:c r="H4736" s="87" t="n">
        <x:v>30</x:v>
      </x:c>
      <x:c r="I4736" s="87" t="n">
        <x:v>125</x:v>
      </x:c>
      <x:c r="J4736" s="68" t="n">
        <x:f>IFERROR(H4736/I4736,"")</x:f>
        <x:v>0.24</x:v>
      </x:c>
      <x:c r="K4736" s="69" t="n">
        <x:f>IFERROR(I4736/H4736,"")</x:f>
        <x:v>4.166666666666667</x:v>
      </x:c>
      <x:c r="L4736" s="66" t="str">
        <x:f>IF(K4736="","","1 : "&amp;TEXT(K4736,"0.0"))</x:f>
        <x:v>1 : 4.2</x:v>
      </x:c>
      <x:c r="M4736" s="66" t="str">
        <x:f>IF(J4736="","Baru/Tanpa Data",IF(J4736&lt;='Catatan &amp; Sumber'!$B$14,"Sangat Ketat",IF(J4736&lt;='Catatan &amp; Sumber'!$B$15,"Ketat",IF(J4736&lt;='Catatan &amp; Sumber'!$B$16,"Sedang","Relatif Longgar"))))</x:f>
        <x:v>Relatif Longgar</x:v>
      </x:c>
      <x:c r="N4736" s="66" t="str">
        <x:v>Tidak Ada</x:v>
      </x:c>
      <x:c r="O4736" s="66" t="str">
        <x:v>Sulawesi Tenggara</x:v>
      </x:c>
      <x:c r="P4736" s="66" t="str">
        <x:v>Kota Kendari</x:v>
      </x:c>
      <x:c r="Q4736" s="66" t="str">
        <x:v>https://snpmb.id/snbp/daya-tampung-snbp</x:v>
      </x:c>
      <x:c r="R4736" s="66" t="str">
        <x:v>https://sidatagrun-public-1076756628210.asia-southeast2.run.app/ptn_sn.php?ptn=751</x:v>
      </x:c>
    </x:row>
    <x:row r="4737">
      <x:c r="A4737" s="87" t="n">
        <x:v>467</x:v>
      </x:c>
      <x:c r="B4737" s="66" t="n">
        <x:v>751</x:v>
      </x:c>
      <x:c r="C4737" s="66" t="str">
        <x:v>UNIVERSITAS HALUOLEO</x:v>
      </x:c>
      <x:c r="D4737" s="66" t="str">
        <x:v>PTN Akademik</x:v>
      </x:c>
      <x:c r="E4737" s="66" t="str">
        <x:v>17511062</x:v>
      </x:c>
      <x:c r="F4737" s="66" t="str">
        <x:v>PENDIDIKAN BIMBINGAN DAN KONSELING</x:v>
      </x:c>
      <x:c r="G4737" s="66" t="str">
        <x:v>Sarjana</x:v>
      </x:c>
      <x:c r="H4737" s="87" t="n">
        <x:v>30</x:v>
      </x:c>
      <x:c r="I4737" s="87" t="n">
        <x:v>604</x:v>
      </x:c>
      <x:c r="J4737" s="68" t="n">
        <x:f>IFERROR(H4737/I4737,"")</x:f>
        <x:v>0.04966887417218543</x:v>
      </x:c>
      <x:c r="K4737" s="69" t="n">
        <x:f>IFERROR(I4737/H4737,"")</x:f>
        <x:v>20.133333333333333</x:v>
      </x:c>
      <x:c r="L4737" s="66" t="str">
        <x:f>IF(K4737="","","1 : "&amp;TEXT(K4737,"0.0"))</x:f>
        <x:v>1 : 20.1</x:v>
      </x:c>
      <x:c r="M4737" s="66" t="str">
        <x:f>IF(J4737="","Baru/Tanpa Data",IF(J4737&lt;='Catatan &amp; Sumber'!$B$14,"Sangat Ketat",IF(J4737&lt;='Catatan &amp; Sumber'!$B$15,"Ketat",IF(J4737&lt;='Catatan &amp; Sumber'!$B$16,"Sedang","Relatif Longgar"))))</x:f>
        <x:v>Ketat</x:v>
      </x:c>
      <x:c r="N4737" s="66" t="str">
        <x:v>Tidak Ada</x:v>
      </x:c>
      <x:c r="O4737" s="66" t="str">
        <x:v>Sulawesi Tenggara</x:v>
      </x:c>
      <x:c r="P4737" s="66" t="str">
        <x:v>Kota Kendari</x:v>
      </x:c>
      <x:c r="Q4737" s="66" t="str">
        <x:v>https://snpmb.id/snbp/daya-tampung-snbp</x:v>
      </x:c>
      <x:c r="R4737" s="66" t="str">
        <x:v>https://sidatagrun-public-1076756628210.asia-southeast2.run.app/ptn_sn.php?ptn=751</x:v>
      </x:c>
    </x:row>
    <x:row r="4738">
      <x:c r="A4738" s="87" t="n">
        <x:v>1665</x:v>
      </x:c>
      <x:c r="B4738" s="66" t="n">
        <x:v>751</x:v>
      </x:c>
      <x:c r="C4738" s="66" t="str">
        <x:v>UNIVERSITAS HALUOLEO</x:v>
      </x:c>
      <x:c r="D4738" s="66" t="str">
        <x:v>PTN Akademik</x:v>
      </x:c>
      <x:c r="E4738" s="66" t="str">
        <x:v>17511063</x:v>
      </x:c>
      <x:c r="F4738" s="66" t="str">
        <x:v>ADMINISTRASI BISNIS</x:v>
      </x:c>
      <x:c r="G4738" s="66" t="str">
        <x:v>Sarjana</x:v>
      </x:c>
      <x:c r="H4738" s="87" t="n">
        <x:v>52</x:v>
      </x:c>
      <x:c r="I4738" s="87" t="n">
        <x:v>428</x:v>
      </x:c>
      <x:c r="J4738" s="68" t="n">
        <x:f>IFERROR(H4738/I4738,"")</x:f>
        <x:v>0.12149532710280374</x:v>
      </x:c>
      <x:c r="K4738" s="69" t="n">
        <x:f>IFERROR(I4738/H4738,"")</x:f>
        <x:v>8.23076923076923</x:v>
      </x:c>
      <x:c r="L4738" s="66" t="str">
        <x:f>IF(K4738="","","1 : "&amp;TEXT(K4738,"0.0"))</x:f>
        <x:v>1 : 8.2</x:v>
      </x:c>
      <x:c r="M4738" s="66" t="str">
        <x:f>IF(J4738="","Baru/Tanpa Data",IF(J4738&lt;='Catatan &amp; Sumber'!$B$14,"Sangat Ketat",IF(J4738&lt;='Catatan &amp; Sumber'!$B$15,"Ketat",IF(J4738&lt;='Catatan &amp; Sumber'!$B$16,"Sedang","Relatif Longgar"))))</x:f>
        <x:v>Relatif Longgar</x:v>
      </x:c>
      <x:c r="N4738" s="66" t="str">
        <x:v>Tidak Ada</x:v>
      </x:c>
      <x:c r="O4738" s="66" t="str">
        <x:v>Sulawesi Tenggara</x:v>
      </x:c>
      <x:c r="P4738" s="66" t="str">
        <x:v>Kota Kendari</x:v>
      </x:c>
      <x:c r="Q4738" s="66" t="str">
        <x:v>https://snpmb.id/snbp/daya-tampung-snbp</x:v>
      </x:c>
      <x:c r="R4738" s="66" t="str">
        <x:v>https://sidatagrun-public-1076756628210.asia-southeast2.run.app/ptn_sn.php?ptn=751</x:v>
      </x:c>
    </x:row>
    <x:row r="4739">
      <x:c r="A4739" s="87" t="n">
        <x:v>4696</x:v>
      </x:c>
      <x:c r="B4739" s="66" t="n">
        <x:v>751</x:v>
      </x:c>
      <x:c r="C4739" s="66" t="str">
        <x:v>UNIVERSITAS HALUOLEO</x:v>
      </x:c>
      <x:c r="D4739" s="66" t="str">
        <x:v>PTN Akademik</x:v>
      </x:c>
      <x:c r="E4739" s="66" t="str">
        <x:v>17511064</x:v>
      </x:c>
      <x:c r="F4739" s="66" t="str">
        <x:v>ARKEOLOGI</x:v>
      </x:c>
      <x:c r="G4739" s="66" t="str">
        <x:v>Sarjana</x:v>
      </x:c>
      <x:c r="H4739" s="87" t="n">
        <x:v>18</x:v>
      </x:c>
      <x:c r="I4739" s="87" t="n">
        <x:v>8</x:v>
      </x:c>
      <x:c r="J4739" s="68" t="n">
        <x:f>IFERROR(H4739/I4739,"")</x:f>
        <x:v>2.25</x:v>
      </x:c>
      <x:c r="K4739" s="69" t="n">
        <x:f>IFERROR(I4739/H4739,"")</x:f>
        <x:v>0.4444444444444444</x:v>
      </x:c>
      <x:c r="L4739" s="66" t="str">
        <x:f>IF(K4739="","","1 : "&amp;TEXT(K4739,"0.0"))</x:f>
        <x:v>1 : 0.4</x:v>
      </x:c>
      <x:c r="M4739" s="66" t="str">
        <x:f>IF(J4739="","Baru/Tanpa Data",IF(J4739&lt;='Catatan &amp; Sumber'!$B$14,"Sangat Ketat",IF(J4739&lt;='Catatan &amp; Sumber'!$B$15,"Ketat",IF(J4739&lt;='Catatan &amp; Sumber'!$B$16,"Sedang","Relatif Longgar"))))</x:f>
        <x:v>Relatif Longgar</x:v>
      </x:c>
      <x:c r="N4739" s="66" t="str">
        <x:v>Tidak Ada</x:v>
      </x:c>
      <x:c r="O4739" s="66" t="str">
        <x:v>Sulawesi Tenggara</x:v>
      </x:c>
      <x:c r="P4739" s="66" t="str">
        <x:v>Kota Kendari</x:v>
      </x:c>
      <x:c r="Q4739" s="66" t="str">
        <x:v>https://snpmb.id/snbp/daya-tampung-snbp</x:v>
      </x:c>
      <x:c r="R4739" s="66" t="str">
        <x:v>https://sidatagrun-public-1076756628210.asia-southeast2.run.app/ptn_sn.php?ptn=751</x:v>
      </x:c>
    </x:row>
    <x:row r="4740">
      <x:c r="A4740" s="87" t="n">
        <x:v>4488</x:v>
      </x:c>
      <x:c r="B4740" s="66" t="n">
        <x:v>751</x:v>
      </x:c>
      <x:c r="C4740" s="66" t="str">
        <x:v>UNIVERSITAS HALUOLEO</x:v>
      </x:c>
      <x:c r="D4740" s="66" t="str">
        <x:v>PTN Akademik</x:v>
      </x:c>
      <x:c r="E4740" s="66" t="str">
        <x:v>17511066</x:v>
      </x:c>
      <x:c r="F4740" s="66" t="str">
        <x:v>ILMU KESEJAHTERAAN SOSIAL</x:v>
      </x:c>
      <x:c r="G4740" s="66" t="str">
        <x:v>Sarjana</x:v>
      </x:c>
      <x:c r="H4740" s="87" t="n">
        <x:v>39</x:v>
      </x:c>
      <x:c r="I4740" s="87" t="n">
        <x:v>30</x:v>
      </x:c>
      <x:c r="J4740" s="68" t="n">
        <x:f>IFERROR(H4740/I4740,"")</x:f>
        <x:v>1.3</x:v>
      </x:c>
      <x:c r="K4740" s="69" t="n">
        <x:f>IFERROR(I4740/H4740,"")</x:f>
        <x:v>0.7692307692307693</x:v>
      </x:c>
      <x:c r="L4740" s="66" t="str">
        <x:f>IF(K4740="","","1 : "&amp;TEXT(K4740,"0.0"))</x:f>
        <x:v>1 : 0.8</x:v>
      </x:c>
      <x:c r="M4740" s="66" t="str">
        <x:f>IF(J4740="","Baru/Tanpa Data",IF(J4740&lt;='Catatan &amp; Sumber'!$B$14,"Sangat Ketat",IF(J4740&lt;='Catatan &amp; Sumber'!$B$15,"Ketat",IF(J4740&lt;='Catatan &amp; Sumber'!$B$16,"Sedang","Relatif Longgar"))))</x:f>
        <x:v>Relatif Longgar</x:v>
      </x:c>
      <x:c r="N4740" s="66" t="str">
        <x:v>Tidak Ada</x:v>
      </x:c>
      <x:c r="O4740" s="66" t="str">
        <x:v>Sulawesi Tenggara</x:v>
      </x:c>
      <x:c r="P4740" s="66" t="str">
        <x:v>Kota Kendari</x:v>
      </x:c>
      <x:c r="Q4740" s="66" t="str">
        <x:v>https://snpmb.id/snbp/daya-tampung-snbp</x:v>
      </x:c>
      <x:c r="R4740" s="66" t="str">
        <x:v>https://sidatagrun-public-1076756628210.asia-southeast2.run.app/ptn_sn.php?ptn=751</x:v>
      </x:c>
    </x:row>
    <x:row r="4741">
      <x:c r="A4741" s="87" t="n">
        <x:v>4652</x:v>
      </x:c>
      <x:c r="B4741" s="66" t="n">
        <x:v>751</x:v>
      </x:c>
      <x:c r="C4741" s="66" t="str">
        <x:v>UNIVERSITAS HALUOLEO</x:v>
      </x:c>
      <x:c r="D4741" s="66" t="str">
        <x:v>PTN Akademik</x:v>
      </x:c>
      <x:c r="E4741" s="66" t="str">
        <x:v>17511067</x:v>
      </x:c>
      <x:c r="F4741" s="66" t="str">
        <x:v>ILMU SEJARAH</x:v>
      </x:c>
      <x:c r="G4741" s="66" t="str">
        <x:v>Sarjana</x:v>
      </x:c>
      <x:c r="H4741" s="87" t="n">
        <x:v>36</x:v>
      </x:c>
      <x:c r="I4741" s="87" t="n">
        <x:v>18</x:v>
      </x:c>
      <x:c r="J4741" s="68" t="n">
        <x:f>IFERROR(H4741/I4741,"")</x:f>
        <x:v>2</x:v>
      </x:c>
      <x:c r="K4741" s="69" t="n">
        <x:f>IFERROR(I4741/H4741,"")</x:f>
        <x:v>0.5</x:v>
      </x:c>
      <x:c r="L4741" s="66" t="str">
        <x:f>IF(K4741="","","1 : "&amp;TEXT(K4741,"0.0"))</x:f>
        <x:v>1 : 0.5</x:v>
      </x:c>
      <x:c r="M4741" s="66" t="str">
        <x:f>IF(J4741="","Baru/Tanpa Data",IF(J4741&lt;='Catatan &amp; Sumber'!$B$14,"Sangat Ketat",IF(J4741&lt;='Catatan &amp; Sumber'!$B$15,"Ketat",IF(J4741&lt;='Catatan &amp; Sumber'!$B$16,"Sedang","Relatif Longgar"))))</x:f>
        <x:v>Relatif Longgar</x:v>
      </x:c>
      <x:c r="N4741" s="66" t="str">
        <x:v>Tidak Ada</x:v>
      </x:c>
      <x:c r="O4741" s="66" t="str">
        <x:v>Sulawesi Tenggara</x:v>
      </x:c>
      <x:c r="P4741" s="66" t="str">
        <x:v>Kota Kendari</x:v>
      </x:c>
      <x:c r="Q4741" s="66" t="str">
        <x:v>https://snpmb.id/snbp/daya-tampung-snbp</x:v>
      </x:c>
      <x:c r="R4741" s="66" t="str">
        <x:v>https://sidatagrun-public-1076756628210.asia-southeast2.run.app/ptn_sn.php?ptn=751</x:v>
      </x:c>
    </x:row>
    <x:row r="4742">
      <x:c r="A4742" s="87" t="n">
        <x:v>4647</x:v>
      </x:c>
      <x:c r="B4742" s="66" t="n">
        <x:v>751</x:v>
      </x:c>
      <x:c r="C4742" s="66" t="str">
        <x:v>UNIVERSITAS HALUOLEO</x:v>
      </x:c>
      <x:c r="D4742" s="66" t="str">
        <x:v>PTN Akademik</x:v>
      </x:c>
      <x:c r="E4742" s="66" t="str">
        <x:v>17511068</x:v>
      </x:c>
      <x:c r="F4742" s="66" t="str">
        <x:v>JURNALISTIK</x:v>
      </x:c>
      <x:c r="G4742" s="66" t="str">
        <x:v>Sarjana</x:v>
      </x:c>
      <x:c r="H4742" s="87" t="n">
        <x:v>39</x:v>
      </x:c>
      <x:c r="I4742" s="87" t="n">
        <x:v>21</x:v>
      </x:c>
      <x:c r="J4742" s="68" t="n">
        <x:f>IFERROR(H4742/I4742,"")</x:f>
        <x:v>1.8571428571428572</x:v>
      </x:c>
      <x:c r="K4742" s="69" t="n">
        <x:f>IFERROR(I4742/H4742,"")</x:f>
        <x:v>0.5384615384615384</x:v>
      </x:c>
      <x:c r="L4742" s="66" t="str">
        <x:f>IF(K4742="","","1 : "&amp;TEXT(K4742,"0.0"))</x:f>
        <x:v>1 : 0.5</x:v>
      </x:c>
      <x:c r="M4742" s="66" t="str">
        <x:f>IF(J4742="","Baru/Tanpa Data",IF(J4742&lt;='Catatan &amp; Sumber'!$B$14,"Sangat Ketat",IF(J4742&lt;='Catatan &amp; Sumber'!$B$15,"Ketat",IF(J4742&lt;='Catatan &amp; Sumber'!$B$16,"Sedang","Relatif Longgar"))))</x:f>
        <x:v>Relatif Longgar</x:v>
      </x:c>
      <x:c r="N4742" s="66" t="str">
        <x:v>Tidak Ada</x:v>
      </x:c>
      <x:c r="O4742" s="66" t="str">
        <x:v>Sulawesi Tenggara</x:v>
      </x:c>
      <x:c r="P4742" s="66" t="str">
        <x:v>Kota Kendari</x:v>
      </x:c>
      <x:c r="Q4742" s="66" t="str">
        <x:v>https://snpmb.id/snbp/daya-tampung-snbp</x:v>
      </x:c>
      <x:c r="R4742" s="66" t="str">
        <x:v>https://sidatagrun-public-1076756628210.asia-southeast2.run.app/ptn_sn.php?ptn=751</x:v>
      </x:c>
    </x:row>
    <x:row r="4743">
      <x:c r="A4743" s="87" t="n">
        <x:v>3208</x:v>
      </x:c>
      <x:c r="B4743" s="66" t="n">
        <x:v>751</x:v>
      </x:c>
      <x:c r="C4743" s="66" t="str">
        <x:v>UNIVERSITAS HALUOLEO</x:v>
      </x:c>
      <x:c r="D4743" s="66" t="str">
        <x:v>PTN Akademik</x:v>
      </x:c>
      <x:c r="E4743" s="66" t="str">
        <x:v>17511069</x:v>
      </x:c>
      <x:c r="F4743" s="66" t="str">
        <x:v>PENDIDIKAN GEOGRAFI</x:v>
      </x:c>
      <x:c r="G4743" s="66" t="str">
        <x:v>Sarjana</x:v>
      </x:c>
      <x:c r="H4743" s="87" t="n">
        <x:v>33</x:v>
      </x:c>
      <x:c r="I4743" s="87" t="n">
        <x:v>96</x:v>
      </x:c>
      <x:c r="J4743" s="68" t="n">
        <x:f>IFERROR(H4743/I4743,"")</x:f>
        <x:v>0.34375</x:v>
      </x:c>
      <x:c r="K4743" s="69" t="n">
        <x:f>IFERROR(I4743/H4743,"")</x:f>
        <x:v>2.909090909090909</x:v>
      </x:c>
      <x:c r="L4743" s="66" t="str">
        <x:f>IF(K4743="","","1 : "&amp;TEXT(K4743,"0.0"))</x:f>
        <x:v>1 : 2.9</x:v>
      </x:c>
      <x:c r="M4743" s="66" t="str">
        <x:f>IF(J4743="","Baru/Tanpa Data",IF(J4743&lt;='Catatan &amp; Sumber'!$B$14,"Sangat Ketat",IF(J4743&lt;='Catatan &amp; Sumber'!$B$15,"Ketat",IF(J4743&lt;='Catatan &amp; Sumber'!$B$16,"Sedang","Relatif Longgar"))))</x:f>
        <x:v>Relatif Longgar</x:v>
      </x:c>
      <x:c r="N4743" s="66" t="str">
        <x:v>Tidak Ada</x:v>
      </x:c>
      <x:c r="O4743" s="66" t="str">
        <x:v>Sulawesi Tenggara</x:v>
      </x:c>
      <x:c r="P4743" s="66" t="str">
        <x:v>Kota Kendari</x:v>
      </x:c>
      <x:c r="Q4743" s="66" t="str">
        <x:v>https://snpmb.id/snbp/daya-tampung-snbp</x:v>
      </x:c>
      <x:c r="R4743" s="66" t="str">
        <x:v>https://sidatagrun-public-1076756628210.asia-southeast2.run.app/ptn_sn.php?ptn=751</x:v>
      </x:c>
    </x:row>
    <x:row r="4744">
      <x:c r="A4744" s="87" t="n">
        <x:v>4478</x:v>
      </x:c>
      <x:c r="B4744" s="66" t="n">
        <x:v>751</x:v>
      </x:c>
      <x:c r="C4744" s="66" t="str">
        <x:v>UNIVERSITAS HALUOLEO</x:v>
      </x:c>
      <x:c r="D4744" s="66" t="str">
        <x:v>PTN Akademik</x:v>
      </x:c>
      <x:c r="E4744" s="66" t="str">
        <x:v>17511070</x:v>
      </x:c>
      <x:c r="F4744" s="66" t="str">
        <x:v>SASTRA INDONESIA</x:v>
      </x:c>
      <x:c r="G4744" s="66" t="str">
        <x:v>Sarjana</x:v>
      </x:c>
      <x:c r="H4744" s="87" t="n">
        <x:v>41</x:v>
      </x:c>
      <x:c r="I4744" s="87" t="n">
        <x:v>32</x:v>
      </x:c>
      <x:c r="J4744" s="68" t="n">
        <x:f>IFERROR(H4744/I4744,"")</x:f>
        <x:v>1.28125</x:v>
      </x:c>
      <x:c r="K4744" s="69" t="n">
        <x:f>IFERROR(I4744/H4744,"")</x:f>
        <x:v>0.7804878048780488</x:v>
      </x:c>
      <x:c r="L4744" s="66" t="str">
        <x:f>IF(K4744="","","1 : "&amp;TEXT(K4744,"0.0"))</x:f>
        <x:v>1 : 0.8</x:v>
      </x:c>
      <x:c r="M4744" s="66" t="str">
        <x:f>IF(J4744="","Baru/Tanpa Data",IF(J4744&lt;='Catatan &amp; Sumber'!$B$14,"Sangat Ketat",IF(J4744&lt;='Catatan &amp; Sumber'!$B$15,"Ketat",IF(J4744&lt;='Catatan &amp; Sumber'!$B$16,"Sedang","Relatif Longgar"))))</x:f>
        <x:v>Relatif Longgar</x:v>
      </x:c>
      <x:c r="N4744" s="66" t="str">
        <x:v>Tidak Ada</x:v>
      </x:c>
      <x:c r="O4744" s="66" t="str">
        <x:v>Sulawesi Tenggara</x:v>
      </x:c>
      <x:c r="P4744" s="66" t="str">
        <x:v>Kota Kendari</x:v>
      </x:c>
      <x:c r="Q4744" s="66" t="str">
        <x:v>https://snpmb.id/snbp/daya-tampung-snbp</x:v>
      </x:c>
      <x:c r="R4744" s="66" t="str">
        <x:v>https://sidatagrun-public-1076756628210.asia-southeast2.run.app/ptn_sn.php?ptn=751</x:v>
      </x:c>
    </x:row>
    <x:row r="4745">
      <x:c r="A4745" s="87" t="n">
        <x:v>3418</x:v>
      </x:c>
      <x:c r="B4745" s="66" t="n">
        <x:v>751</x:v>
      </x:c>
      <x:c r="C4745" s="66" t="str">
        <x:v>UNIVERSITAS HALUOLEO</x:v>
      </x:c>
      <x:c r="D4745" s="66" t="str">
        <x:v>PTN Akademik</x:v>
      </x:c>
      <x:c r="E4745" s="66" t="str">
        <x:v>17511071</x:v>
      </x:c>
      <x:c r="F4745" s="66" t="str">
        <x:v>SASTRA INGGRIS</x:v>
      </x:c>
      <x:c r="G4745" s="66" t="str">
        <x:v>Sarjana</x:v>
      </x:c>
      <x:c r="H4745" s="87" t="n">
        <x:v>48</x:v>
      </x:c>
      <x:c r="I4745" s="87" t="n">
        <x:v>118</x:v>
      </x:c>
      <x:c r="J4745" s="68" t="n">
        <x:f>IFERROR(H4745/I4745,"")</x:f>
        <x:v>0.4067796610169492</x:v>
      </x:c>
      <x:c r="K4745" s="69" t="n">
        <x:f>IFERROR(I4745/H4745,"")</x:f>
        <x:v>2.4583333333333335</x:v>
      </x:c>
      <x:c r="L4745" s="66" t="str">
        <x:f>IF(K4745="","","1 : "&amp;TEXT(K4745,"0.0"))</x:f>
        <x:v>1 : 2.5</x:v>
      </x:c>
      <x:c r="M4745" s="66" t="str">
        <x:f>IF(J4745="","Baru/Tanpa Data",IF(J4745&lt;='Catatan &amp; Sumber'!$B$14,"Sangat Ketat",IF(J4745&lt;='Catatan &amp; Sumber'!$B$15,"Ketat",IF(J4745&lt;='Catatan &amp; Sumber'!$B$16,"Sedang","Relatif Longgar"))))</x:f>
        <x:v>Relatif Longgar</x:v>
      </x:c>
      <x:c r="N4745" s="66" t="str">
        <x:v>Tidak Ada</x:v>
      </x:c>
      <x:c r="O4745" s="66" t="str">
        <x:v>Sulawesi Tenggara</x:v>
      </x:c>
      <x:c r="P4745" s="66" t="str">
        <x:v>Kota Kendari</x:v>
      </x:c>
      <x:c r="Q4745" s="66" t="str">
        <x:v>https://snpmb.id/snbp/daya-tampung-snbp</x:v>
      </x:c>
      <x:c r="R4745" s="66" t="str">
        <x:v>https://sidatagrun-public-1076756628210.asia-southeast2.run.app/ptn_sn.php?ptn=751</x:v>
      </x:c>
    </x:row>
    <x:row r="4746">
      <x:c r="A4746" s="87" t="n">
        <x:v>4812</x:v>
      </x:c>
      <x:c r="B4746" s="66" t="n">
        <x:v>751</x:v>
      </x:c>
      <x:c r="C4746" s="66" t="str">
        <x:v>UNIVERSITAS HALUOLEO</x:v>
      </x:c>
      <x:c r="D4746" s="66" t="str">
        <x:v>PTN Akademik</x:v>
      </x:c>
      <x:c r="E4746" s="66" t="str">
        <x:v>17511072</x:v>
      </x:c>
      <x:c r="F4746" s="66" t="str">
        <x:v>TRADISI LISAN</x:v>
      </x:c>
      <x:c r="G4746" s="66" t="str">
        <x:v>Sarjana</x:v>
      </x:c>
      <x:c r="H4746" s="87" t="n">
        <x:v>20</x:v>
      </x:c>
      <x:c r="I4746" s="87" t="n">
        <x:v>5</x:v>
      </x:c>
      <x:c r="J4746" s="68" t="n">
        <x:f>IFERROR(H4746/I4746,"")</x:f>
        <x:v>4</x:v>
      </x:c>
      <x:c r="K4746" s="69" t="n">
        <x:f>IFERROR(I4746/H4746,"")</x:f>
        <x:v>0.25</x:v>
      </x:c>
      <x:c r="L4746" s="66" t="str">
        <x:f>IF(K4746="","","1 : "&amp;TEXT(K4746,"0.0"))</x:f>
        <x:v>1 : 0.3</x:v>
      </x:c>
      <x:c r="M4746" s="66" t="str">
        <x:f>IF(J4746="","Baru/Tanpa Data",IF(J4746&lt;='Catatan &amp; Sumber'!$B$14,"Sangat Ketat",IF(J4746&lt;='Catatan &amp; Sumber'!$B$15,"Ketat",IF(J4746&lt;='Catatan &amp; Sumber'!$B$16,"Sedang","Relatif Longgar"))))</x:f>
        <x:v>Relatif Longgar</x:v>
      </x:c>
      <x:c r="N4746" s="66" t="str">
        <x:v>Tidak Ada</x:v>
      </x:c>
      <x:c r="O4746" s="66" t="str">
        <x:v>Sulawesi Tenggara</x:v>
      </x:c>
      <x:c r="P4746" s="66" t="str">
        <x:v>Kota Kendari</x:v>
      </x:c>
      <x:c r="Q4746" s="66" t="str">
        <x:v>https://snpmb.id/snbp/daya-tampung-snbp</x:v>
      </x:c>
      <x:c r="R4746" s="66" t="str">
        <x:v>https://sidatagrun-public-1076756628210.asia-southeast2.run.app/ptn_sn.php?ptn=751</x:v>
      </x:c>
    </x:row>
    <x:row r="4747">
      <x:c r="A4747" s="87" t="n">
        <x:v>1428</x:v>
      </x:c>
      <x:c r="B4747" s="66" t="n">
        <x:v>751</x:v>
      </x:c>
      <x:c r="C4747" s="66" t="str">
        <x:v>UNIVERSITAS HALUOLEO</x:v>
      </x:c>
      <x:c r="D4747" s="66" t="str">
        <x:v>PTN Akademik</x:v>
      </x:c>
      <x:c r="E4747" s="66" t="str">
        <x:v>17511073</x:v>
      </x:c>
      <x:c r="F4747" s="66" t="str">
        <x:v>PSIKOLOGI</x:v>
      </x:c>
      <x:c r="G4747" s="66" t="str">
        <x:v>Sarjana</x:v>
      </x:c>
      <x:c r="H4747" s="87" t="n">
        <x:v>29</x:v>
      </x:c>
      <x:c r="I4747" s="87" t="n">
        <x:v>279</x:v>
      </x:c>
      <x:c r="J4747" s="68" t="n">
        <x:f>IFERROR(H4747/I4747,"")</x:f>
        <x:v>0.1039426523297491</x:v>
      </x:c>
      <x:c r="K4747" s="69" t="n">
        <x:f>IFERROR(I4747/H4747,"")</x:f>
        <x:v>9.620689655172415</x:v>
      </x:c>
      <x:c r="L4747" s="66" t="str">
        <x:f>IF(K4747="","","1 : "&amp;TEXT(K4747,"0.0"))</x:f>
        <x:v>1 : 9.6</x:v>
      </x:c>
      <x:c r="M4747" s="66" t="str">
        <x:f>IF(J4747="","Baru/Tanpa Data",IF(J4747&lt;='Catatan &amp; Sumber'!$B$14,"Sangat Ketat",IF(J4747&lt;='Catatan &amp; Sumber'!$B$15,"Ketat",IF(J4747&lt;='Catatan &amp; Sumber'!$B$16,"Sedang","Relatif Longgar"))))</x:f>
        <x:v>Relatif Longgar</x:v>
      </x:c>
      <x:c r="N4747" s="66" t="str">
        <x:v>Tidak Ada</x:v>
      </x:c>
      <x:c r="O4747" s="66" t="str">
        <x:v>Sulawesi Tenggara</x:v>
      </x:c>
      <x:c r="P4747" s="66" t="str">
        <x:v>Kota Kendari</x:v>
      </x:c>
      <x:c r="Q4747" s="66" t="str">
        <x:v>https://snpmb.id/snbp/daya-tampung-snbp</x:v>
      </x:c>
      <x:c r="R4747" s="66" t="str">
        <x:v>https://sidatagrun-public-1076756628210.asia-southeast2.run.app/ptn_sn.php?ptn=751</x:v>
      </x:c>
    </x:row>
    <x:row r="4748">
      <x:c r="A4748" s="87" t="n">
        <x:v>4352</x:v>
      </x:c>
      <x:c r="B4748" s="66" t="n">
        <x:v>751</x:v>
      </x:c>
      <x:c r="C4748" s="66" t="str">
        <x:v>UNIVERSITAS HALUOLEO</x:v>
      </x:c>
      <x:c r="D4748" s="66" t="str">
        <x:v>PTN Akademik</x:v>
      </x:c>
      <x:c r="E4748" s="66" t="str">
        <x:v>17511074</x:v>
      </x:c>
      <x:c r="F4748" s="66" t="str">
        <x:v>ILMU POLITIK</x:v>
      </x:c>
      <x:c r="G4748" s="66" t="str">
        <x:v>Sarjana</x:v>
      </x:c>
      <x:c r="H4748" s="87" t="n">
        <x:v>46</x:v>
      </x:c>
      <x:c r="I4748" s="87" t="n">
        <x:v>44</x:v>
      </x:c>
      <x:c r="J4748" s="68" t="n">
        <x:f>IFERROR(H4748/I4748,"")</x:f>
        <x:v>1.0454545454545454</x:v>
      </x:c>
      <x:c r="K4748" s="69" t="n">
        <x:f>IFERROR(I4748/H4748,"")</x:f>
        <x:v>0.9565217391304348</x:v>
      </x:c>
      <x:c r="L4748" s="66" t="str">
        <x:f>IF(K4748="","","1 : "&amp;TEXT(K4748,"0.0"))</x:f>
        <x:v>1 : 1.0</x:v>
      </x:c>
      <x:c r="M4748" s="66" t="str">
        <x:f>IF(J4748="","Baru/Tanpa Data",IF(J4748&lt;='Catatan &amp; Sumber'!$B$14,"Sangat Ketat",IF(J4748&lt;='Catatan &amp; Sumber'!$B$15,"Ketat",IF(J4748&lt;='Catatan &amp; Sumber'!$B$16,"Sedang","Relatif Longgar"))))</x:f>
        <x:v>Relatif Longgar</x:v>
      </x:c>
      <x:c r="N4748" s="66" t="str">
        <x:v>Tidak Ada</x:v>
      </x:c>
      <x:c r="O4748" s="66" t="str">
        <x:v>Sulawesi Tenggara</x:v>
      </x:c>
      <x:c r="P4748" s="66" t="str">
        <x:v>Kota Kendari</x:v>
      </x:c>
      <x:c r="Q4748" s="66" t="str">
        <x:v>https://snpmb.id/snbp/daya-tampung-snbp</x:v>
      </x:c>
      <x:c r="R4748" s="66" t="str">
        <x:v>https://sidatagrun-public-1076756628210.asia-southeast2.run.app/ptn_sn.php?ptn=751</x:v>
      </x:c>
    </x:row>
    <x:row r="4749">
      <x:c r="A4749" s="87" t="n">
        <x:v>3476</x:v>
      </x:c>
      <x:c r="B4749" s="66" t="n">
        <x:v>751</x:v>
      </x:c>
      <x:c r="C4749" s="66" t="str">
        <x:v>UNIVERSITAS HALUOLEO</x:v>
      </x:c>
      <x:c r="D4749" s="66" t="str">
        <x:v>PTN Akademik</x:v>
      </x:c>
      <x:c r="E4749" s="66" t="str">
        <x:v>17511075</x:v>
      </x:c>
      <x:c r="F4749" s="66" t="str">
        <x:v>PENDIDIKAN AKUNTANSI</x:v>
      </x:c>
      <x:c r="G4749" s="66" t="str">
        <x:v>Sarjana</x:v>
      </x:c>
      <x:c r="H4749" s="87" t="n">
        <x:v>35</x:v>
      </x:c>
      <x:c r="I4749" s="87" t="n">
        <x:v>82</x:v>
      </x:c>
      <x:c r="J4749" s="68" t="n">
        <x:f>IFERROR(H4749/I4749,"")</x:f>
        <x:v>0.4268292682926829</x:v>
      </x:c>
      <x:c r="K4749" s="69" t="n">
        <x:f>IFERROR(I4749/H4749,"")</x:f>
        <x:v>2.342857142857143</x:v>
      </x:c>
      <x:c r="L4749" s="66" t="str">
        <x:f>IF(K4749="","","1 : "&amp;TEXT(K4749,"0.0"))</x:f>
        <x:v>1 : 2.3</x:v>
      </x:c>
      <x:c r="M4749" s="66" t="str">
        <x:f>IF(J4749="","Baru/Tanpa Data",IF(J4749&lt;='Catatan &amp; Sumber'!$B$14,"Sangat Ketat",IF(J4749&lt;='Catatan &amp; Sumber'!$B$15,"Ketat",IF(J4749&lt;='Catatan &amp; Sumber'!$B$16,"Sedang","Relatif Longgar"))))</x:f>
        <x:v>Relatif Longgar</x:v>
      </x:c>
      <x:c r="N4749" s="66" t="str">
        <x:v>Tidak Ada</x:v>
      </x:c>
      <x:c r="O4749" s="66" t="str">
        <x:v>Sulawesi Tenggara</x:v>
      </x:c>
      <x:c r="P4749" s="66" t="str">
        <x:v>Kota Kendari</x:v>
      </x:c>
      <x:c r="Q4749" s="66" t="str">
        <x:v>https://snpmb.id/snbp/daya-tampung-snbp</x:v>
      </x:c>
      <x:c r="R4749" s="66" t="str">
        <x:v>https://sidatagrun-public-1076756628210.asia-southeast2.run.app/ptn_sn.php?ptn=751</x:v>
      </x:c>
    </x:row>
    <x:row r="4750">
      <x:c r="A4750" s="87" t="n">
        <x:v>4873</x:v>
      </x:c>
      <x:c r="B4750" s="66" t="n">
        <x:v>751</x:v>
      </x:c>
      <x:c r="C4750" s="66" t="str">
        <x:v>UNIVERSITAS HALUOLEO</x:v>
      </x:c>
      <x:c r="D4750" s="66" t="str">
        <x:v>PTN Akademik</x:v>
      </x:c>
      <x:c r="E4750" s="66" t="str">
        <x:v>17511076</x:v>
      </x:c>
      <x:c r="F4750" s="66" t="str">
        <x:v>SASTRA PRANCIS</x:v>
      </x:c>
      <x:c r="G4750" s="66" t="str">
        <x:v>Sarjana</x:v>
      </x:c>
      <x:c r="H4750" s="87" t="n">
        <x:v>14</x:v>
      </x:c>
      <x:c r="I4750" s="87" t="n">
        <x:v>2</x:v>
      </x:c>
      <x:c r="J4750" s="68" t="n">
        <x:f>IFERROR(H4750/I4750,"")</x:f>
        <x:v>7</x:v>
      </x:c>
      <x:c r="K4750" s="69" t="n">
        <x:f>IFERROR(I4750/H4750,"")</x:f>
        <x:v>0.14285714285714285</x:v>
      </x:c>
      <x:c r="L4750" s="66" t="str">
        <x:f>IF(K4750="","","1 : "&amp;TEXT(K4750,"0.0"))</x:f>
        <x:v>1 : 0.1</x:v>
      </x:c>
      <x:c r="M4750" s="66" t="str">
        <x:f>IF(J4750="","Baru/Tanpa Data",IF(J4750&lt;='Catatan &amp; Sumber'!$B$14,"Sangat Ketat",IF(J4750&lt;='Catatan &amp; Sumber'!$B$15,"Ketat",IF(J4750&lt;='Catatan &amp; Sumber'!$B$16,"Sedang","Relatif Longgar"))))</x:f>
        <x:v>Relatif Longgar</x:v>
      </x:c>
      <x:c r="N4750" s="66" t="str">
        <x:v>Tidak Ada</x:v>
      </x:c>
      <x:c r="O4750" s="66" t="str">
        <x:v>Sulawesi Tenggara</x:v>
      </x:c>
      <x:c r="P4750" s="66" t="str">
        <x:v>Kota Kendari</x:v>
      </x:c>
      <x:c r="Q4750" s="66" t="str">
        <x:v>https://snpmb.id/snbp/daya-tampung-snbp</x:v>
      </x:c>
      <x:c r="R4750" s="66" t="str">
        <x:v>https://sidatagrun-public-1076756628210.asia-southeast2.run.app/ptn_sn.php?ptn=751</x:v>
      </x:c>
    </x:row>
    <x:row r="4751">
      <x:c r="A4751" s="87" t="n">
        <x:v>3818</x:v>
      </x:c>
      <x:c r="B4751" s="66" t="n">
        <x:v>751</x:v>
      </x:c>
      <x:c r="C4751" s="66" t="str">
        <x:v>UNIVERSITAS HALUOLEO</x:v>
      </x:c>
      <x:c r="D4751" s="66" t="str">
        <x:v>PTN Akademik</x:v>
      </x:c>
      <x:c r="E4751" s="66" t="str">
        <x:v>17511077</x:v>
      </x:c>
      <x:c r="F4751" s="66" t="str">
        <x:v>PERPUSTAKAAN DAN ILMU INFORMASI</x:v>
      </x:c>
      <x:c r="G4751" s="66" t="str">
        <x:v>Sarjana</x:v>
      </x:c>
      <x:c r="H4751" s="87" t="n">
        <x:v>39</x:v>
      </x:c>
      <x:c r="I4751" s="87" t="n">
        <x:v>67</x:v>
      </x:c>
      <x:c r="J4751" s="68" t="n">
        <x:f>IFERROR(H4751/I4751,"")</x:f>
        <x:v>0.582089552238806</x:v>
      </x:c>
      <x:c r="K4751" s="69" t="n">
        <x:f>IFERROR(I4751/H4751,"")</x:f>
        <x:v>1.7179487179487178</x:v>
      </x:c>
      <x:c r="L4751" s="66" t="str">
        <x:f>IF(K4751="","","1 : "&amp;TEXT(K4751,"0.0"))</x:f>
        <x:v>1 : 1.7</x:v>
      </x:c>
      <x:c r="M4751" s="66" t="str">
        <x:f>IF(J4751="","Baru/Tanpa Data",IF(J4751&lt;='Catatan &amp; Sumber'!$B$14,"Sangat Ketat",IF(J4751&lt;='Catatan &amp; Sumber'!$B$15,"Ketat",IF(J4751&lt;='Catatan &amp; Sumber'!$B$16,"Sedang","Relatif Longgar"))))</x:f>
        <x:v>Relatif Longgar</x:v>
      </x:c>
      <x:c r="N4751" s="66" t="str">
        <x:v>Tidak Ada</x:v>
      </x:c>
      <x:c r="O4751" s="66" t="str">
        <x:v>Sulawesi Tenggara</x:v>
      </x:c>
      <x:c r="P4751" s="66" t="str">
        <x:v>Kota Kendari</x:v>
      </x:c>
      <x:c r="Q4751" s="66" t="str">
        <x:v>https://snpmb.id/snbp/daya-tampung-snbp</x:v>
      </x:c>
      <x:c r="R4751" s="66" t="str">
        <x:v>https://sidatagrun-public-1076756628210.asia-southeast2.run.app/ptn_sn.php?ptn=751</x:v>
      </x:c>
    </x:row>
    <x:row r="4752">
      <x:c r="A4752" s="87" t="n">
        <x:v>4032</x:v>
      </x:c>
      <x:c r="B4752" s="66" t="n">
        <x:v>751</x:v>
      </x:c>
      <x:c r="C4752" s="66" t="str">
        <x:v>UNIVERSITAS HALUOLEO</x:v>
      </x:c>
      <x:c r="D4752" s="66" t="str">
        <x:v>PTN Akademik</x:v>
      </x:c>
      <x:c r="E4752" s="66" t="str">
        <x:v>17511078</x:v>
      </x:c>
      <x:c r="F4752" s="66" t="str">
        <x:v>ILMU PEMERINTAHAN</x:v>
      </x:c>
      <x:c r="G4752" s="66" t="str">
        <x:v>Sarjana</x:v>
      </x:c>
      <x:c r="H4752" s="87" t="n">
        <x:v>46</x:v>
      </x:c>
      <x:c r="I4752" s="87" t="n">
        <x:v>65</x:v>
      </x:c>
      <x:c r="J4752" s="68" t="n">
        <x:f>IFERROR(H4752/I4752,"")</x:f>
        <x:v>0.7076923076923077</x:v>
      </x:c>
      <x:c r="K4752" s="69" t="n">
        <x:f>IFERROR(I4752/H4752,"")</x:f>
        <x:v>1.4130434782608696</x:v>
      </x:c>
      <x:c r="L4752" s="66" t="str">
        <x:f>IF(K4752="","","1 : "&amp;TEXT(K4752,"0.0"))</x:f>
        <x:v>1 : 1.4</x:v>
      </x:c>
      <x:c r="M4752" s="66" t="str">
        <x:f>IF(J4752="","Baru/Tanpa Data",IF(J4752&lt;='Catatan &amp; Sumber'!$B$14,"Sangat Ketat",IF(J4752&lt;='Catatan &amp; Sumber'!$B$15,"Ketat",IF(J4752&lt;='Catatan &amp; Sumber'!$B$16,"Sedang","Relatif Longgar"))))</x:f>
        <x:v>Relatif Longgar</x:v>
      </x:c>
      <x:c r="N4752" s="66" t="str">
        <x:v>Tidak Ada</x:v>
      </x:c>
      <x:c r="O4752" s="66" t="str">
        <x:v>Sulawesi Tenggara</x:v>
      </x:c>
      <x:c r="P4752" s="66" t="str">
        <x:v>Kota Kendari</x:v>
      </x:c>
      <x:c r="Q4752" s="66" t="str">
        <x:v>https://snpmb.id/snbp/daya-tampung-snbp</x:v>
      </x:c>
      <x:c r="R4752" s="66" t="str">
        <x:v>https://sidatagrun-public-1076756628210.asia-southeast2.run.app/ptn_sn.php?ptn=751</x:v>
      </x:c>
    </x:row>
    <x:row r="4753">
      <x:c r="A4753" s="87"/>
      <x:c r="B4753" s="66" t="n">
        <x:v>751</x:v>
      </x:c>
      <x:c r="C4753" s="66" t="str">
        <x:v>UNIVERSITAS HALUOLEO</x:v>
      </x:c>
      <x:c r="D4753" s="66" t="str">
        <x:v>PTN Akademik</x:v>
      </x:c>
      <x:c r="E4753" s="66" t="str">
        <x:v>17511084</x:v>
      </x:c>
      <x:c r="F4753" s="66" t="str">
        <x:v>NUTRISI DAN TEKNOLOGI PAKAN TERNAK</x:v>
      </x:c>
      <x:c r="G4753" s="66" t="str">
        <x:v>Sarjana</x:v>
      </x:c>
      <x:c r="H4753" s="87" t="n">
        <x:v>18</x:v>
      </x:c>
      <x:c r="I4753" s="87"/>
      <x:c r="J4753" s="68" t="str">
        <x:f>IFERROR(H4753/I4753,"")</x:f>
      </x:c>
      <x:c r="K4753" s="69" t="n">
        <x:f>IFERROR(I4753/H4753,"")</x:f>
        <x:v>0</x:v>
      </x:c>
      <x:c r="L4753" s="66" t="str">
        <x:f>IF(K4753="","","1 : "&amp;TEXT(K4753,"0.0"))</x:f>
      </x:c>
      <x:c r="M4753" s="66" t="str">
        <x:f>IF(J4753="","Baru/Tanpa Data",IF(J4753&lt;='Catatan &amp; Sumber'!$B$14,"Sangat Ketat",IF(J4753&lt;='Catatan &amp; Sumber'!$B$15,"Ketat",IF(J4753&lt;='Catatan &amp; Sumber'!$B$16,"Sedang","Relatif Longgar"))))</x:f>
        <x:v>Baru/Tanpa Data</x:v>
      </x:c>
      <x:c r="N4753" s="66" t="str">
        <x:v>Tidak Ada</x:v>
      </x:c>
      <x:c r="O4753" s="66" t="str">
        <x:v>Sulawesi Tenggara</x:v>
      </x:c>
      <x:c r="P4753" s="66" t="str">
        <x:v>Kota Kendari</x:v>
      </x:c>
      <x:c r="Q4753" s="66" t="str">
        <x:v>https://snpmb.id/snbp/daya-tampung-snbp</x:v>
      </x:c>
      <x:c r="R4753" s="66" t="str">
        <x:v>https://sidatagrun-public-1076756628210.asia-southeast2.run.app/ptn_sn.php?ptn=751</x:v>
      </x:c>
    </x:row>
    <x:row r="4754">
      <x:c r="A4754" s="87" t="n">
        <x:v>4738</x:v>
      </x:c>
      <x:c r="B4754" s="66" t="n">
        <x:v>751</x:v>
      </x:c>
      <x:c r="C4754" s="66" t="str">
        <x:v>UNIVERSITAS HALUOLEO</x:v>
      </x:c>
      <x:c r="D4754" s="66" t="str">
        <x:v>PTN Akademik</x:v>
      </x:c>
      <x:c r="E4754" s="66" t="str">
        <x:v>17513079</x:v>
      </x:c>
      <x:c r="F4754" s="66" t="str">
        <x:v>TEKNIK SIPIL</x:v>
      </x:c>
      <x:c r="G4754" s="66" t="str">
        <x:v>Diploma Tiga</x:v>
      </x:c>
      <x:c r="H4754" s="87" t="n">
        <x:v>21</x:v>
      </x:c>
      <x:c r="I4754" s="87" t="n">
        <x:v>8</x:v>
      </x:c>
      <x:c r="J4754" s="68" t="n">
        <x:f>IFERROR(H4754/I4754,"")</x:f>
        <x:v>2.625</x:v>
      </x:c>
      <x:c r="K4754" s="69" t="n">
        <x:f>IFERROR(I4754/H4754,"")</x:f>
        <x:v>0.38095238095238093</x:v>
      </x:c>
      <x:c r="L4754" s="66" t="str">
        <x:f>IF(K4754="","","1 : "&amp;TEXT(K4754,"0.0"))</x:f>
        <x:v>1 : 0.4</x:v>
      </x:c>
      <x:c r="M4754" s="66" t="str">
        <x:f>IF(J4754="","Baru/Tanpa Data",IF(J4754&lt;='Catatan &amp; Sumber'!$B$14,"Sangat Ketat",IF(J4754&lt;='Catatan &amp; Sumber'!$B$15,"Ketat",IF(J4754&lt;='Catatan &amp; Sumber'!$B$16,"Sedang","Relatif Longgar"))))</x:f>
        <x:v>Relatif Longgar</x:v>
      </x:c>
      <x:c r="N4754" s="66" t="str">
        <x:v>Tidak Ada</x:v>
      </x:c>
      <x:c r="O4754" s="66" t="str">
        <x:v>Sulawesi Tenggara</x:v>
      </x:c>
      <x:c r="P4754" s="66" t="str">
        <x:v>Kota Kendari</x:v>
      </x:c>
      <x:c r="Q4754" s="66" t="str">
        <x:v>https://snpmb.id/snbp/daya-tampung-snbp</x:v>
      </x:c>
      <x:c r="R4754" s="66" t="str">
        <x:v>https://sidatagrun-public-1076756628210.asia-southeast2.run.app/ptn_sn.php?ptn=751</x:v>
      </x:c>
    </x:row>
    <x:row r="4755">
      <x:c r="A4755" s="87" t="n">
        <x:v>4839</x:v>
      </x:c>
      <x:c r="B4755" s="66" t="n">
        <x:v>751</x:v>
      </x:c>
      <x:c r="C4755" s="66" t="str">
        <x:v>UNIVERSITAS HALUOLEO</x:v>
      </x:c>
      <x:c r="D4755" s="66" t="str">
        <x:v>PTN Akademik</x:v>
      </x:c>
      <x:c r="E4755" s="66" t="str">
        <x:v>17513080</x:v>
      </x:c>
      <x:c r="F4755" s="66" t="str">
        <x:v>TEKNIK ELEKTRONIKA</x:v>
      </x:c>
      <x:c r="G4755" s="66" t="str">
        <x:v>Diploma Tiga</x:v>
      </x:c>
      <x:c r="H4755" s="87" t="n">
        <x:v>24</x:v>
      </x:c>
      <x:c r="I4755" s="87" t="n">
        <x:v>5</x:v>
      </x:c>
      <x:c r="J4755" s="68" t="n">
        <x:f>IFERROR(H4755/I4755,"")</x:f>
        <x:v>4.8</x:v>
      </x:c>
      <x:c r="K4755" s="69" t="n">
        <x:f>IFERROR(I4755/H4755,"")</x:f>
        <x:v>0.20833333333333334</x:v>
      </x:c>
      <x:c r="L4755" s="66" t="str">
        <x:f>IF(K4755="","","1 : "&amp;TEXT(K4755,"0.0"))</x:f>
        <x:v>1 : 0.2</x:v>
      </x:c>
      <x:c r="M4755" s="66" t="str">
        <x:f>IF(J4755="","Baru/Tanpa Data",IF(J4755&lt;='Catatan &amp; Sumber'!$B$14,"Sangat Ketat",IF(J4755&lt;='Catatan &amp; Sumber'!$B$15,"Ketat",IF(J4755&lt;='Catatan &amp; Sumber'!$B$16,"Sedang","Relatif Longgar"))))</x:f>
        <x:v>Relatif Longgar</x:v>
      </x:c>
      <x:c r="N4755" s="66" t="str">
        <x:v>Tidak Ada</x:v>
      </x:c>
      <x:c r="O4755" s="66" t="str">
        <x:v>Sulawesi Tenggara</x:v>
      </x:c>
      <x:c r="P4755" s="66" t="str">
        <x:v>Kota Kendari</x:v>
      </x:c>
      <x:c r="Q4755" s="66" t="str">
        <x:v>https://snpmb.id/snbp/daya-tampung-snbp</x:v>
      </x:c>
      <x:c r="R4755" s="66" t="str">
        <x:v>https://sidatagrun-public-1076756628210.asia-southeast2.run.app/ptn_sn.php?ptn=751</x:v>
      </x:c>
    </x:row>
    <x:row r="4756">
      <x:c r="A4756" s="87" t="n">
        <x:v>4857</x:v>
      </x:c>
      <x:c r="B4756" s="66" t="n">
        <x:v>751</x:v>
      </x:c>
      <x:c r="C4756" s="66" t="str">
        <x:v>UNIVERSITAS HALUOLEO</x:v>
      </x:c>
      <x:c r="D4756" s="66" t="str">
        <x:v>PTN Akademik</x:v>
      </x:c>
      <x:c r="E4756" s="66" t="str">
        <x:v>17513081</x:v>
      </x:c>
      <x:c r="F4756" s="66" t="str">
        <x:v>STATISTIKA</x:v>
      </x:c>
      <x:c r="G4756" s="66" t="str">
        <x:v>Diploma Tiga</x:v>
      </x:c>
      <x:c r="H4756" s="87" t="n">
        <x:v>18</x:v>
      </x:c>
      <x:c r="I4756" s="87" t="n">
        <x:v>3</x:v>
      </x:c>
      <x:c r="J4756" s="68" t="n">
        <x:f>IFERROR(H4756/I4756,"")</x:f>
        <x:v>6</x:v>
      </x:c>
      <x:c r="K4756" s="69" t="n">
        <x:f>IFERROR(I4756/H4756,"")</x:f>
        <x:v>0.16666666666666666</x:v>
      </x:c>
      <x:c r="L4756" s="66" t="str">
        <x:f>IF(K4756="","","1 : "&amp;TEXT(K4756,"0.0"))</x:f>
        <x:v>1 : 0.2</x:v>
      </x:c>
      <x:c r="M4756" s="66" t="str">
        <x:f>IF(J4756="","Baru/Tanpa Data",IF(J4756&lt;='Catatan &amp; Sumber'!$B$14,"Sangat Ketat",IF(J4756&lt;='Catatan &amp; Sumber'!$B$15,"Ketat",IF(J4756&lt;='Catatan &amp; Sumber'!$B$16,"Sedang","Relatif Longgar"))))</x:f>
        <x:v>Relatif Longgar</x:v>
      </x:c>
      <x:c r="N4756" s="66" t="str">
        <x:v>Tidak Ada</x:v>
      </x:c>
      <x:c r="O4756" s="66" t="str">
        <x:v>Sulawesi Tenggara</x:v>
      </x:c>
      <x:c r="P4756" s="66" t="str">
        <x:v>Kota Kendari</x:v>
      </x:c>
      <x:c r="Q4756" s="66" t="str">
        <x:v>https://snpmb.id/snbp/daya-tampung-snbp</x:v>
      </x:c>
      <x:c r="R4756" s="66" t="str">
        <x:v>https://sidatagrun-public-1076756628210.asia-southeast2.run.app/ptn_sn.php?ptn=751</x:v>
      </x:c>
    </x:row>
    <x:row r="4757">
      <x:c r="A4757" s="87" t="n">
        <x:v>4800</x:v>
      </x:c>
      <x:c r="B4757" s="66" t="n">
        <x:v>751</x:v>
      </x:c>
      <x:c r="C4757" s="66" t="str">
        <x:v>UNIVERSITAS HALUOLEO</x:v>
      </x:c>
      <x:c r="D4757" s="66" t="str">
        <x:v>PTN Akademik</x:v>
      </x:c>
      <x:c r="E4757" s="66" t="str">
        <x:v>17513082</x:v>
      </x:c>
      <x:c r="F4757" s="66" t="str">
        <x:v>TEKNIK ARSITEKTUR</x:v>
      </x:c>
      <x:c r="G4757" s="66" t="str">
        <x:v>Diploma Tiga</x:v>
      </x:c>
      <x:c r="H4757" s="87" t="n">
        <x:v>21</x:v>
      </x:c>
      <x:c r="I4757" s="87" t="n">
        <x:v>6</x:v>
      </x:c>
      <x:c r="J4757" s="68" t="n">
        <x:f>IFERROR(H4757/I4757,"")</x:f>
        <x:v>3.5</x:v>
      </x:c>
      <x:c r="K4757" s="69" t="n">
        <x:f>IFERROR(I4757/H4757,"")</x:f>
        <x:v>0.2857142857142857</x:v>
      </x:c>
      <x:c r="L4757" s="66" t="str">
        <x:f>IF(K4757="","","1 : "&amp;TEXT(K4757,"0.0"))</x:f>
        <x:v>1 : 0.3</x:v>
      </x:c>
      <x:c r="M4757" s="66" t="str">
        <x:f>IF(J4757="","Baru/Tanpa Data",IF(J4757&lt;='Catatan &amp; Sumber'!$B$14,"Sangat Ketat",IF(J4757&lt;='Catatan &amp; Sumber'!$B$15,"Ketat",IF(J4757&lt;='Catatan &amp; Sumber'!$B$16,"Sedang","Relatif Longgar"))))</x:f>
        <x:v>Relatif Longgar</x:v>
      </x:c>
      <x:c r="N4757" s="66" t="str">
        <x:v>Tidak Ada</x:v>
      </x:c>
      <x:c r="O4757" s="66" t="str">
        <x:v>Sulawesi Tenggara</x:v>
      </x:c>
      <x:c r="P4757" s="66" t="str">
        <x:v>Kota Kendari</x:v>
      </x:c>
      <x:c r="Q4757" s="66" t="str">
        <x:v>https://snpmb.id/snbp/daya-tampung-snbp</x:v>
      </x:c>
      <x:c r="R4757" s="66" t="str">
        <x:v>https://sidatagrun-public-1076756628210.asia-southeast2.run.app/ptn_sn.php?ptn=751</x:v>
      </x:c>
    </x:row>
    <x:row r="4758">
      <x:c r="A4758" s="87" t="n">
        <x:v>4795</x:v>
      </x:c>
      <x:c r="B4758" s="66" t="n">
        <x:v>751</x:v>
      </x:c>
      <x:c r="C4758" s="66" t="str">
        <x:v>UNIVERSITAS HALUOLEO</x:v>
      </x:c>
      <x:c r="D4758" s="66" t="str">
        <x:v>PTN Akademik</x:v>
      </x:c>
      <x:c r="E4758" s="66" t="str">
        <x:v>17513083</x:v>
      </x:c>
      <x:c r="F4758" s="66" t="str">
        <x:v>TEKNIK MESIN</x:v>
      </x:c>
      <x:c r="G4758" s="66" t="str">
        <x:v>Diploma Tiga</x:v>
      </x:c>
      <x:c r="H4758" s="87" t="n">
        <x:v>27</x:v>
      </x:c>
      <x:c r="I4758" s="87" t="n">
        <x:v>8</x:v>
      </x:c>
      <x:c r="J4758" s="68" t="n">
        <x:f>IFERROR(H4758/I4758,"")</x:f>
        <x:v>3.375</x:v>
      </x:c>
      <x:c r="K4758" s="69" t="n">
        <x:f>IFERROR(I4758/H4758,"")</x:f>
        <x:v>0.2962962962962963</x:v>
      </x:c>
      <x:c r="L4758" s="66" t="str">
        <x:f>IF(K4758="","","1 : "&amp;TEXT(K4758,"0.0"))</x:f>
        <x:v>1 : 0.3</x:v>
      </x:c>
      <x:c r="M4758" s="66" t="str">
        <x:f>IF(J4758="","Baru/Tanpa Data",IF(J4758&lt;='Catatan &amp; Sumber'!$B$14,"Sangat Ketat",IF(J4758&lt;='Catatan &amp; Sumber'!$B$15,"Ketat",IF(J4758&lt;='Catatan &amp; Sumber'!$B$16,"Sedang","Relatif Longgar"))))</x:f>
        <x:v>Relatif Longgar</x:v>
      </x:c>
      <x:c r="N4758" s="66" t="str">
        <x:v>Tidak Ada</x:v>
      </x:c>
      <x:c r="O4758" s="66" t="str">
        <x:v>Sulawesi Tenggara</x:v>
      </x:c>
      <x:c r="P4758" s="66" t="str">
        <x:v>Kota Kendari</x:v>
      </x:c>
      <x:c r="Q4758" s="66" t="str">
        <x:v>https://snpmb.id/snbp/daya-tampung-snbp</x:v>
      </x:c>
      <x:c r="R4758" s="66" t="str">
        <x:v>https://sidatagrun-public-1076756628210.asia-southeast2.run.app/ptn_sn.php?ptn=751</x:v>
      </x:c>
    </x:row>
    <x:row r="4759">
      <x:c r="A4759" s="87" t="n">
        <x:v>3780</x:v>
      </x:c>
      <x:c r="B4759" s="66" t="n">
        <x:v>752</x:v>
      </x:c>
      <x:c r="C4759" s="66" t="str">
        <x:v>UNIVERSITAS NEGERI GORONTALO</x:v>
      </x:c>
      <x:c r="D4759" s="66" t="str">
        <x:v>PTN Akademik</x:v>
      </x:c>
      <x:c r="E4759" s="66" t="str">
        <x:v>17521001</x:v>
      </x:c>
      <x:c r="F4759" s="66" t="str">
        <x:v>PENDIDIKAN MATEMATIKA</x:v>
      </x:c>
      <x:c r="G4759" s="66" t="str">
        <x:v>Sarjana</x:v>
      </x:c>
      <x:c r="H4759" s="87" t="n">
        <x:v>45</x:v>
      </x:c>
      <x:c r="I4759" s="87" t="n">
        <x:v>80</x:v>
      </x:c>
      <x:c r="J4759" s="68" t="n">
        <x:f>IFERROR(H4759/I4759,"")</x:f>
        <x:v>0.5625</x:v>
      </x:c>
      <x:c r="K4759" s="69" t="n">
        <x:f>IFERROR(I4759/H4759,"")</x:f>
        <x:v>1.7777777777777777</x:v>
      </x:c>
      <x:c r="L4759" s="66" t="str">
        <x:f>IF(K4759="","","1 : "&amp;TEXT(K4759,"0.0"))</x:f>
        <x:v>1 : 1.8</x:v>
      </x:c>
      <x:c r="M4759" s="66" t="str">
        <x:f>IF(J4759="","Baru/Tanpa Data",IF(J4759&lt;='Catatan &amp; Sumber'!$B$14,"Sangat Ketat",IF(J4759&lt;='Catatan &amp; Sumber'!$B$15,"Ketat",IF(J4759&lt;='Catatan &amp; Sumber'!$B$16,"Sedang","Relatif Longgar"))))</x:f>
        <x:v>Relatif Longgar</x:v>
      </x:c>
      <x:c r="N4759" s="66" t="str">
        <x:v>Tidak Ada</x:v>
      </x:c>
      <x:c r="O4759" s="66" t="str">
        <x:v>Gorontalo</x:v>
      </x:c>
      <x:c r="P4759" s="66" t="str">
        <x:v>Kota Gorontalo</x:v>
      </x:c>
      <x:c r="Q4759" s="66" t="str">
        <x:v>https://snpmb.id/snbp/daya-tampung-snbp</x:v>
      </x:c>
      <x:c r="R4759" s="66" t="str">
        <x:v>https://sidatagrun-public-1076756628210.asia-southeast2.run.app/ptn_sn.php?ptn=752</x:v>
      </x:c>
    </x:row>
    <x:row r="4760">
      <x:c r="A4760" s="87" t="n">
        <x:v>3873</x:v>
      </x:c>
      <x:c r="B4760" s="66" t="n">
        <x:v>752</x:v>
      </x:c>
      <x:c r="C4760" s="66" t="str">
        <x:v>UNIVERSITAS NEGERI GORONTALO</x:v>
      </x:c>
      <x:c r="D4760" s="66" t="str">
        <x:v>PTN Akademik</x:v>
      </x:c>
      <x:c r="E4760" s="66" t="str">
        <x:v>17521002</x:v>
      </x:c>
      <x:c r="F4760" s="66" t="str">
        <x:v>PENDIDIKAN FISIKA</x:v>
      </x:c>
      <x:c r="G4760" s="66" t="str">
        <x:v>Sarjana</x:v>
      </x:c>
      <x:c r="H4760" s="87" t="n">
        <x:v>25</x:v>
      </x:c>
      <x:c r="I4760" s="87" t="n">
        <x:v>41</x:v>
      </x:c>
      <x:c r="J4760" s="68" t="n">
        <x:f>IFERROR(H4760/I4760,"")</x:f>
        <x:v>0.6097560975609756</x:v>
      </x:c>
      <x:c r="K4760" s="69" t="n">
        <x:f>IFERROR(I4760/H4760,"")</x:f>
        <x:v>1.64</x:v>
      </x:c>
      <x:c r="L4760" s="66" t="str">
        <x:f>IF(K4760="","","1 : "&amp;TEXT(K4760,"0.0"))</x:f>
        <x:v>1 : 1.6</x:v>
      </x:c>
      <x:c r="M4760" s="66" t="str">
        <x:f>IF(J4760="","Baru/Tanpa Data",IF(J4760&lt;='Catatan &amp; Sumber'!$B$14,"Sangat Ketat",IF(J4760&lt;='Catatan &amp; Sumber'!$B$15,"Ketat",IF(J4760&lt;='Catatan &amp; Sumber'!$B$16,"Sedang","Relatif Longgar"))))</x:f>
        <x:v>Relatif Longgar</x:v>
      </x:c>
      <x:c r="N4760" s="66" t="str">
        <x:v>Tidak Ada</x:v>
      </x:c>
      <x:c r="O4760" s="66" t="str">
        <x:v>Gorontalo</x:v>
      </x:c>
      <x:c r="P4760" s="66" t="str">
        <x:v>Kota Gorontalo</x:v>
      </x:c>
      <x:c r="Q4760" s="66" t="str">
        <x:v>https://snpmb.id/snbp/daya-tampung-snbp</x:v>
      </x:c>
      <x:c r="R4760" s="66" t="str">
        <x:v>https://sidatagrun-public-1076756628210.asia-southeast2.run.app/ptn_sn.php?ptn=752</x:v>
      </x:c>
    </x:row>
    <x:row r="4761">
      <x:c r="A4761" s="87" t="n">
        <x:v>3542</x:v>
      </x:c>
      <x:c r="B4761" s="66" t="n">
        <x:v>752</x:v>
      </x:c>
      <x:c r="C4761" s="66" t="str">
        <x:v>UNIVERSITAS NEGERI GORONTALO</x:v>
      </x:c>
      <x:c r="D4761" s="66" t="str">
        <x:v>PTN Akademik</x:v>
      </x:c>
      <x:c r="E4761" s="66" t="str">
        <x:v>17521003</x:v>
      </x:c>
      <x:c r="F4761" s="66" t="str">
        <x:v>PENDIDIKAN BIOLOGI</x:v>
      </x:c>
      <x:c r="G4761" s="66" t="str">
        <x:v>Sarjana</x:v>
      </x:c>
      <x:c r="H4761" s="87" t="n">
        <x:v>30</x:v>
      </x:c>
      <x:c r="I4761" s="87" t="n">
        <x:v>67</x:v>
      </x:c>
      <x:c r="J4761" s="68" t="n">
        <x:f>IFERROR(H4761/I4761,"")</x:f>
        <x:v>0.44776119402985076</x:v>
      </x:c>
      <x:c r="K4761" s="69" t="n">
        <x:f>IFERROR(I4761/H4761,"")</x:f>
        <x:v>2.2333333333333334</x:v>
      </x:c>
      <x:c r="L4761" s="66" t="str">
        <x:f>IF(K4761="","","1 : "&amp;TEXT(K4761,"0.0"))</x:f>
        <x:v>1 : 2.2</x:v>
      </x:c>
      <x:c r="M4761" s="66" t="str">
        <x:f>IF(J4761="","Baru/Tanpa Data",IF(J4761&lt;='Catatan &amp; Sumber'!$B$14,"Sangat Ketat",IF(J4761&lt;='Catatan &amp; Sumber'!$B$15,"Ketat",IF(J4761&lt;='Catatan &amp; Sumber'!$B$16,"Sedang","Relatif Longgar"))))</x:f>
        <x:v>Relatif Longgar</x:v>
      </x:c>
      <x:c r="N4761" s="66" t="str">
        <x:v>Tidak Ada</x:v>
      </x:c>
      <x:c r="O4761" s="66" t="str">
        <x:v>Gorontalo</x:v>
      </x:c>
      <x:c r="P4761" s="66" t="str">
        <x:v>Kota Gorontalo</x:v>
      </x:c>
      <x:c r="Q4761" s="66" t="str">
        <x:v>https://snpmb.id/snbp/daya-tampung-snbp</x:v>
      </x:c>
      <x:c r="R4761" s="66" t="str">
        <x:v>https://sidatagrun-public-1076756628210.asia-southeast2.run.app/ptn_sn.php?ptn=752</x:v>
      </x:c>
    </x:row>
    <x:row r="4762">
      <x:c r="A4762" s="87" t="n">
        <x:v>4033</x:v>
      </x:c>
      <x:c r="B4762" s="66" t="n">
        <x:v>752</x:v>
      </x:c>
      <x:c r="C4762" s="66" t="str">
        <x:v>UNIVERSITAS NEGERI GORONTALO</x:v>
      </x:c>
      <x:c r="D4762" s="66" t="str">
        <x:v>PTN Akademik</x:v>
      </x:c>
      <x:c r="E4762" s="66" t="str">
        <x:v>17521004</x:v>
      </x:c>
      <x:c r="F4762" s="66" t="str">
        <x:v>PENDIDIKAN KIMIA</x:v>
      </x:c>
      <x:c r="G4762" s="66" t="str">
        <x:v>Sarjana</x:v>
      </x:c>
      <x:c r="H4762" s="87" t="n">
        <x:v>17</x:v>
      </x:c>
      <x:c r="I4762" s="87" t="n">
        <x:v>24</x:v>
      </x:c>
      <x:c r="J4762" s="68" t="n">
        <x:f>IFERROR(H4762/I4762,"")</x:f>
        <x:v>0.7083333333333334</x:v>
      </x:c>
      <x:c r="K4762" s="69" t="n">
        <x:f>IFERROR(I4762/H4762,"")</x:f>
        <x:v>1.411764705882353</x:v>
      </x:c>
      <x:c r="L4762" s="66" t="str">
        <x:f>IF(K4762="","","1 : "&amp;TEXT(K4762,"0.0"))</x:f>
        <x:v>1 : 1.4</x:v>
      </x:c>
      <x:c r="M4762" s="66" t="str">
        <x:f>IF(J4762="","Baru/Tanpa Data",IF(J4762&lt;='Catatan &amp; Sumber'!$B$14,"Sangat Ketat",IF(J4762&lt;='Catatan &amp; Sumber'!$B$15,"Ketat",IF(J4762&lt;='Catatan &amp; Sumber'!$B$16,"Sedang","Relatif Longgar"))))</x:f>
        <x:v>Relatif Longgar</x:v>
      </x:c>
      <x:c r="N4762" s="66" t="str">
        <x:v>Tidak Ada</x:v>
      </x:c>
      <x:c r="O4762" s="66" t="str">
        <x:v>Gorontalo</x:v>
      </x:c>
      <x:c r="P4762" s="66" t="str">
        <x:v>Kota Gorontalo</x:v>
      </x:c>
      <x:c r="Q4762" s="66" t="str">
        <x:v>https://snpmb.id/snbp/daya-tampung-snbp</x:v>
      </x:c>
      <x:c r="R4762" s="66" t="str">
        <x:v>https://sidatagrun-public-1076756628210.asia-southeast2.run.app/ptn_sn.php?ptn=752</x:v>
      </x:c>
    </x:row>
    <x:row r="4763">
      <x:c r="A4763" s="87" t="n">
        <x:v>3958</x:v>
      </x:c>
      <x:c r="B4763" s="66" t="n">
        <x:v>752</x:v>
      </x:c>
      <x:c r="C4763" s="66" t="str">
        <x:v>UNIVERSITAS NEGERI GORONTALO</x:v>
      </x:c>
      <x:c r="D4763" s="66" t="str">
        <x:v>PTN Akademik</x:v>
      </x:c>
      <x:c r="E4763" s="66" t="str">
        <x:v>17521007</x:v>
      </x:c>
      <x:c r="F4763" s="66" t="str">
        <x:v>AGROTEKNOLOGI</x:v>
      </x:c>
      <x:c r="G4763" s="66" t="str">
        <x:v>Sarjana</x:v>
      </x:c>
      <x:c r="H4763" s="87" t="n">
        <x:v>40</x:v>
      </x:c>
      <x:c r="I4763" s="87" t="n">
        <x:v>60</x:v>
      </x:c>
      <x:c r="J4763" s="68" t="n">
        <x:f>IFERROR(H4763/I4763,"")</x:f>
        <x:v>0.6666666666666666</x:v>
      </x:c>
      <x:c r="K4763" s="69" t="n">
        <x:f>IFERROR(I4763/H4763,"")</x:f>
        <x:v>1.5</x:v>
      </x:c>
      <x:c r="L4763" s="66" t="str">
        <x:f>IF(K4763="","","1 : "&amp;TEXT(K4763,"0.0"))</x:f>
        <x:v>1 : 1.5</x:v>
      </x:c>
      <x:c r="M4763" s="66" t="str">
        <x:f>IF(J4763="","Baru/Tanpa Data",IF(J4763&lt;='Catatan &amp; Sumber'!$B$14,"Sangat Ketat",IF(J4763&lt;='Catatan &amp; Sumber'!$B$15,"Ketat",IF(J4763&lt;='Catatan &amp; Sumber'!$B$16,"Sedang","Relatif Longgar"))))</x:f>
        <x:v>Relatif Longgar</x:v>
      </x:c>
      <x:c r="N4763" s="66" t="str">
        <x:v>Tidak Ada</x:v>
      </x:c>
      <x:c r="O4763" s="66" t="str">
        <x:v>Gorontalo</x:v>
      </x:c>
      <x:c r="P4763" s="66" t="str">
        <x:v>Kota Gorontalo</x:v>
      </x:c>
      <x:c r="Q4763" s="66" t="str">
        <x:v>https://snpmb.id/snbp/daya-tampung-snbp</x:v>
      </x:c>
      <x:c r="R4763" s="66" t="str">
        <x:v>https://sidatagrun-public-1076756628210.asia-southeast2.run.app/ptn_sn.php?ptn=752</x:v>
      </x:c>
    </x:row>
    <x:row r="4764">
      <x:c r="A4764" s="87" t="n">
        <x:v>1916</x:v>
      </x:c>
      <x:c r="B4764" s="66" t="n">
        <x:v>752</x:v>
      </x:c>
      <x:c r="C4764" s="66" t="str">
        <x:v>UNIVERSITAS NEGERI GORONTALO</x:v>
      </x:c>
      <x:c r="D4764" s="66" t="str">
        <x:v>PTN Akademik</x:v>
      </x:c>
      <x:c r="E4764" s="66" t="str">
        <x:v>17521008</x:v>
      </x:c>
      <x:c r="F4764" s="66" t="str">
        <x:v>SISTEM INFORMASI</x:v>
      </x:c>
      <x:c r="G4764" s="66" t="str">
        <x:v>Sarjana</x:v>
      </x:c>
      <x:c r="H4764" s="87" t="n">
        <x:v>40</x:v>
      </x:c>
      <x:c r="I4764" s="87" t="n">
        <x:v>281</x:v>
      </x:c>
      <x:c r="J4764" s="68" t="n">
        <x:f>IFERROR(H4764/I4764,"")</x:f>
        <x:v>0.1423487544483986</x:v>
      </x:c>
      <x:c r="K4764" s="69" t="n">
        <x:f>IFERROR(I4764/H4764,"")</x:f>
        <x:v>7.025</x:v>
      </x:c>
      <x:c r="L4764" s="66" t="str">
        <x:f>IF(K4764="","","1 : "&amp;TEXT(K4764,"0.0"))</x:f>
        <x:v>1 : 7.0</x:v>
      </x:c>
      <x:c r="M4764" s="66" t="str">
        <x:f>IF(J4764="","Baru/Tanpa Data",IF(J4764&lt;='Catatan &amp; Sumber'!$B$14,"Sangat Ketat",IF(J4764&lt;='Catatan &amp; Sumber'!$B$15,"Ketat",IF(J4764&lt;='Catatan &amp; Sumber'!$B$16,"Sedang","Relatif Longgar"))))</x:f>
        <x:v>Relatif Longgar</x:v>
      </x:c>
      <x:c r="N4764" s="66" t="str">
        <x:v>Tidak Ada</x:v>
      </x:c>
      <x:c r="O4764" s="66" t="str">
        <x:v>Gorontalo</x:v>
      </x:c>
      <x:c r="P4764" s="66" t="str">
        <x:v>Kota Gorontalo</x:v>
      </x:c>
      <x:c r="Q4764" s="66" t="str">
        <x:v>https://snpmb.id/snbp/daya-tampung-snbp</x:v>
      </x:c>
      <x:c r="R4764" s="66" t="str">
        <x:v>https://sidatagrun-public-1076756628210.asia-southeast2.run.app/ptn_sn.php?ptn=752</x:v>
      </x:c>
    </x:row>
    <x:row r="4765">
      <x:c r="A4765" s="87" t="n">
        <x:v>3801</x:v>
      </x:c>
      <x:c r="B4765" s="66" t="n">
        <x:v>752</x:v>
      </x:c>
      <x:c r="C4765" s="66" t="str">
        <x:v>UNIVERSITAS NEGERI GORONTALO</x:v>
      </x:c>
      <x:c r="D4765" s="66" t="str">
        <x:v>PTN Akademik</x:v>
      </x:c>
      <x:c r="E4765" s="66" t="str">
        <x:v>17521009</x:v>
      </x:c>
      <x:c r="F4765" s="66" t="str">
        <x:v>TEKNIK ELEKTRO</x:v>
      </x:c>
      <x:c r="G4765" s="66" t="str">
        <x:v>Sarjana</x:v>
      </x:c>
      <x:c r="H4765" s="87" t="n">
        <x:v>28</x:v>
      </x:c>
      <x:c r="I4765" s="87" t="n">
        <x:v>49</x:v>
      </x:c>
      <x:c r="J4765" s="68" t="n">
        <x:f>IFERROR(H4765/I4765,"")</x:f>
        <x:v>0.5714285714285714</x:v>
      </x:c>
      <x:c r="K4765" s="69" t="n">
        <x:f>IFERROR(I4765/H4765,"")</x:f>
        <x:v>1.75</x:v>
      </x:c>
      <x:c r="L4765" s="66" t="str">
        <x:f>IF(K4765="","","1 : "&amp;TEXT(K4765,"0.0"))</x:f>
        <x:v>1 : 1.8</x:v>
      </x:c>
      <x:c r="M4765" s="66" t="str">
        <x:f>IF(J4765="","Baru/Tanpa Data",IF(J4765&lt;='Catatan &amp; Sumber'!$B$14,"Sangat Ketat",IF(J4765&lt;='Catatan &amp; Sumber'!$B$15,"Ketat",IF(J4765&lt;='Catatan &amp; Sumber'!$B$16,"Sedang","Relatif Longgar"))))</x:f>
        <x:v>Relatif Longgar</x:v>
      </x:c>
      <x:c r="N4765" s="66" t="str">
        <x:v>Tidak Ada</x:v>
      </x:c>
      <x:c r="O4765" s="66" t="str">
        <x:v>Gorontalo</x:v>
      </x:c>
      <x:c r="P4765" s="66" t="str">
        <x:v>Kota Gorontalo</x:v>
      </x:c>
      <x:c r="Q4765" s="66" t="str">
        <x:v>https://snpmb.id/snbp/daya-tampung-snbp</x:v>
      </x:c>
      <x:c r="R4765" s="66" t="str">
        <x:v>https://sidatagrun-public-1076756628210.asia-southeast2.run.app/ptn_sn.php?ptn=752</x:v>
      </x:c>
    </x:row>
    <x:row r="4766">
      <x:c r="A4766" s="87" t="n">
        <x:v>3424</x:v>
      </x:c>
      <x:c r="B4766" s="66" t="n">
        <x:v>752</x:v>
      </x:c>
      <x:c r="C4766" s="66" t="str">
        <x:v>UNIVERSITAS NEGERI GORONTALO</x:v>
      </x:c>
      <x:c r="D4766" s="66" t="str">
        <x:v>PTN Akademik</x:v>
      </x:c>
      <x:c r="E4766" s="66" t="str">
        <x:v>17521010</x:v>
      </x:c>
      <x:c r="F4766" s="66" t="str">
        <x:v>AGRIBISNIS</x:v>
      </x:c>
      <x:c r="G4766" s="66" t="str">
        <x:v>Sarjana</x:v>
      </x:c>
      <x:c r="H4766" s="87" t="n">
        <x:v>40</x:v>
      </x:c>
      <x:c r="I4766" s="87" t="n">
        <x:v>98</x:v>
      </x:c>
      <x:c r="J4766" s="68" t="n">
        <x:f>IFERROR(H4766/I4766,"")</x:f>
        <x:v>0.40816326530612246</x:v>
      </x:c>
      <x:c r="K4766" s="69" t="n">
        <x:f>IFERROR(I4766/H4766,"")</x:f>
        <x:v>2.45</x:v>
      </x:c>
      <x:c r="L4766" s="66" t="str">
        <x:f>IF(K4766="","","1 : "&amp;TEXT(K4766,"0.0"))</x:f>
        <x:v>1 : 2.5</x:v>
      </x:c>
      <x:c r="M4766" s="66" t="str">
        <x:f>IF(J4766="","Baru/Tanpa Data",IF(J4766&lt;='Catatan &amp; Sumber'!$B$14,"Sangat Ketat",IF(J4766&lt;='Catatan &amp; Sumber'!$B$15,"Ketat",IF(J4766&lt;='Catatan &amp; Sumber'!$B$16,"Sedang","Relatif Longgar"))))</x:f>
        <x:v>Relatif Longgar</x:v>
      </x:c>
      <x:c r="N4766" s="66" t="str">
        <x:v>Tidak Ada</x:v>
      </x:c>
      <x:c r="O4766" s="66" t="str">
        <x:v>Gorontalo</x:v>
      </x:c>
      <x:c r="P4766" s="66" t="str">
        <x:v>Kota Gorontalo</x:v>
      </x:c>
      <x:c r="Q4766" s="66" t="str">
        <x:v>https://snpmb.id/snbp/daya-tampung-snbp</x:v>
      </x:c>
      <x:c r="R4766" s="66" t="str">
        <x:v>https://sidatagrun-public-1076756628210.asia-southeast2.run.app/ptn_sn.php?ptn=752</x:v>
      </x:c>
    </x:row>
    <x:row r="4767">
      <x:c r="A4767" s="87" t="n">
        <x:v>1241</x:v>
      </x:c>
      <x:c r="B4767" s="66" t="n">
        <x:v>752</x:v>
      </x:c>
      <x:c r="C4767" s="66" t="str">
        <x:v>UNIVERSITAS NEGERI GORONTALO</x:v>
      </x:c>
      <x:c r="D4767" s="66" t="str">
        <x:v>PTN Akademik</x:v>
      </x:c>
      <x:c r="E4767" s="66" t="str">
        <x:v>17521011</x:v>
      </x:c>
      <x:c r="F4767" s="66" t="str">
        <x:v>KESEHATAN MASYARAKAT</x:v>
      </x:c>
      <x:c r="G4767" s="66" t="str">
        <x:v>Sarjana</x:v>
      </x:c>
      <x:c r="H4767" s="87" t="n">
        <x:v>45</x:v>
      </x:c>
      <x:c r="I4767" s="87" t="n">
        <x:v>486</x:v>
      </x:c>
      <x:c r="J4767" s="68" t="n">
        <x:f>IFERROR(H4767/I4767,"")</x:f>
        <x:v>0.09259259259259259</x:v>
      </x:c>
      <x:c r="K4767" s="69" t="n">
        <x:f>IFERROR(I4767/H4767,"")</x:f>
        <x:v>10.8</x:v>
      </x:c>
      <x:c r="L4767" s="66" t="str">
        <x:f>IF(K4767="","","1 : "&amp;TEXT(K4767,"0.0"))</x:f>
        <x:v>1 : 10.8</x:v>
      </x:c>
      <x:c r="M4767" s="66" t="str">
        <x:f>IF(J4767="","Baru/Tanpa Data",IF(J4767&lt;='Catatan &amp; Sumber'!$B$14,"Sangat Ketat",IF(J4767&lt;='Catatan &amp; Sumber'!$B$15,"Ketat",IF(J4767&lt;='Catatan &amp; Sumber'!$B$16,"Sedang","Relatif Longgar"))))</x:f>
        <x:v>Sedang</x:v>
      </x:c>
      <x:c r="N4767" s="66" t="str">
        <x:v>Tidak Ada</x:v>
      </x:c>
      <x:c r="O4767" s="66" t="str">
        <x:v>Gorontalo</x:v>
      </x:c>
      <x:c r="P4767" s="66" t="str">
        <x:v>Kota Gorontalo</x:v>
      </x:c>
      <x:c r="Q4767" s="66" t="str">
        <x:v>https://snpmb.id/snbp/daya-tampung-snbp</x:v>
      </x:c>
      <x:c r="R4767" s="66" t="str">
        <x:v>https://sidatagrun-public-1076756628210.asia-southeast2.run.app/ptn_sn.php?ptn=752</x:v>
      </x:c>
    </x:row>
    <x:row r="4768">
      <x:c r="A4768" s="87" t="n">
        <x:v>4704</x:v>
      </x:c>
      <x:c r="B4768" s="66" t="n">
        <x:v>752</x:v>
      </x:c>
      <x:c r="C4768" s="66" t="str">
        <x:v>UNIVERSITAS NEGERI GORONTALO</x:v>
      </x:c>
      <x:c r="D4768" s="66" t="str">
        <x:v>PTN Akademik</x:v>
      </x:c>
      <x:c r="E4768" s="66" t="str">
        <x:v>17521012</x:v>
      </x:c>
      <x:c r="F4768" s="66" t="str">
        <x:v>MANAJAMEN SUMBERDAYA PERAIRAN</x:v>
      </x:c>
      <x:c r="G4768" s="66" t="str">
        <x:v>Sarjana</x:v>
      </x:c>
      <x:c r="H4768" s="87" t="n">
        <x:v>30</x:v>
      </x:c>
      <x:c r="I4768" s="87" t="n">
        <x:v>13</x:v>
      </x:c>
      <x:c r="J4768" s="68" t="n">
        <x:f>IFERROR(H4768/I4768,"")</x:f>
        <x:v>2.3076923076923075</x:v>
      </x:c>
      <x:c r="K4768" s="69" t="n">
        <x:f>IFERROR(I4768/H4768,"")</x:f>
        <x:v>0.43333333333333335</x:v>
      </x:c>
      <x:c r="L4768" s="66" t="str">
        <x:f>IF(K4768="","","1 : "&amp;TEXT(K4768,"0.0"))</x:f>
        <x:v>1 : 0.4</x:v>
      </x:c>
      <x:c r="M4768" s="66" t="str">
        <x:f>IF(J4768="","Baru/Tanpa Data",IF(J4768&lt;='Catatan &amp; Sumber'!$B$14,"Sangat Ketat",IF(J4768&lt;='Catatan &amp; Sumber'!$B$15,"Ketat",IF(J4768&lt;='Catatan &amp; Sumber'!$B$16,"Sedang","Relatif Longgar"))))</x:f>
        <x:v>Relatif Longgar</x:v>
      </x:c>
      <x:c r="N4768" s="66" t="str">
        <x:v>Tidak Ada</x:v>
      </x:c>
      <x:c r="O4768" s="66" t="str">
        <x:v>Gorontalo</x:v>
      </x:c>
      <x:c r="P4768" s="66" t="str">
        <x:v>Kota Gorontalo</x:v>
      </x:c>
      <x:c r="Q4768" s="66" t="str">
        <x:v>https://snpmb.id/snbp/daya-tampung-snbp</x:v>
      </x:c>
      <x:c r="R4768" s="66" t="str">
        <x:v>https://sidatagrun-public-1076756628210.asia-southeast2.run.app/ptn_sn.php?ptn=752</x:v>
      </x:c>
    </x:row>
    <x:row r="4769">
      <x:c r="A4769" s="87" t="n">
        <x:v>4345</x:v>
      </x:c>
      <x:c r="B4769" s="66" t="n">
        <x:v>752</x:v>
      </x:c>
      <x:c r="C4769" s="66" t="str">
        <x:v>UNIVERSITAS NEGERI GORONTALO</x:v>
      </x:c>
      <x:c r="D4769" s="66" t="str">
        <x:v>PTN Akademik</x:v>
      </x:c>
      <x:c r="E4769" s="66" t="str">
        <x:v>17521013</x:v>
      </x:c>
      <x:c r="F4769" s="66" t="str">
        <x:v>PETERNAKAN</x:v>
      </x:c>
      <x:c r="G4769" s="66" t="str">
        <x:v>Sarjana</x:v>
      </x:c>
      <x:c r="H4769" s="87" t="n">
        <x:v>30</x:v>
      </x:c>
      <x:c r="I4769" s="87" t="n">
        <x:v>29</x:v>
      </x:c>
      <x:c r="J4769" s="68" t="n">
        <x:f>IFERROR(H4769/I4769,"")</x:f>
        <x:v>1.0344827586206897</x:v>
      </x:c>
      <x:c r="K4769" s="69" t="n">
        <x:f>IFERROR(I4769/H4769,"")</x:f>
        <x:v>0.9666666666666667</x:v>
      </x:c>
      <x:c r="L4769" s="66" t="str">
        <x:f>IF(K4769="","","1 : "&amp;TEXT(K4769,"0.0"))</x:f>
        <x:v>1 : 1.0</x:v>
      </x:c>
      <x:c r="M4769" s="66" t="str">
        <x:f>IF(J4769="","Baru/Tanpa Data",IF(J4769&lt;='Catatan &amp; Sumber'!$B$14,"Sangat Ketat",IF(J4769&lt;='Catatan &amp; Sumber'!$B$15,"Ketat",IF(J4769&lt;='Catatan &amp; Sumber'!$B$16,"Sedang","Relatif Longgar"))))</x:f>
        <x:v>Relatif Longgar</x:v>
      </x:c>
      <x:c r="N4769" s="66" t="str">
        <x:v>Tidak Ada</x:v>
      </x:c>
      <x:c r="O4769" s="66" t="str">
        <x:v>Gorontalo</x:v>
      </x:c>
      <x:c r="P4769" s="66" t="str">
        <x:v>Kota Gorontalo</x:v>
      </x:c>
      <x:c r="Q4769" s="66" t="str">
        <x:v>https://snpmb.id/snbp/daya-tampung-snbp</x:v>
      </x:c>
      <x:c r="R4769" s="66" t="str">
        <x:v>https://sidatagrun-public-1076756628210.asia-southeast2.run.app/ptn_sn.php?ptn=752</x:v>
      </x:c>
    </x:row>
    <x:row r="4770">
      <x:c r="A4770" s="87" t="n">
        <x:v>4719</x:v>
      </x:c>
      <x:c r="B4770" s="66" t="n">
        <x:v>752</x:v>
      </x:c>
      <x:c r="C4770" s="66" t="str">
        <x:v>UNIVERSITAS NEGERI GORONTALO</x:v>
      </x:c>
      <x:c r="D4770" s="66" t="str">
        <x:v>PTN Akademik</x:v>
      </x:c>
      <x:c r="E4770" s="66" t="str">
        <x:v>17521014</x:v>
      </x:c>
      <x:c r="F4770" s="66" t="str">
        <x:v>BUDIDAYA PERAIRAN</x:v>
      </x:c>
      <x:c r="G4770" s="66" t="str">
        <x:v>Sarjana</x:v>
      </x:c>
      <x:c r="H4770" s="87" t="n">
        <x:v>34</x:v>
      </x:c>
      <x:c r="I4770" s="87" t="n">
        <x:v>14</x:v>
      </x:c>
      <x:c r="J4770" s="68" t="n">
        <x:f>IFERROR(H4770/I4770,"")</x:f>
        <x:v>2.4285714285714284</x:v>
      </x:c>
      <x:c r="K4770" s="69" t="n">
        <x:f>IFERROR(I4770/H4770,"")</x:f>
        <x:v>0.4117647058823529</x:v>
      </x:c>
      <x:c r="L4770" s="66" t="str">
        <x:f>IF(K4770="","","1 : "&amp;TEXT(K4770,"0.0"))</x:f>
        <x:v>1 : 0.4</x:v>
      </x:c>
      <x:c r="M4770" s="66" t="str">
        <x:f>IF(J4770="","Baru/Tanpa Data",IF(J4770&lt;='Catatan &amp; Sumber'!$B$14,"Sangat Ketat",IF(J4770&lt;='Catatan &amp; Sumber'!$B$15,"Ketat",IF(J4770&lt;='Catatan &amp; Sumber'!$B$16,"Sedang","Relatif Longgar"))))</x:f>
        <x:v>Relatif Longgar</x:v>
      </x:c>
      <x:c r="N4770" s="66" t="str">
        <x:v>Tidak Ada</x:v>
      </x:c>
      <x:c r="O4770" s="66" t="str">
        <x:v>Gorontalo</x:v>
      </x:c>
      <x:c r="P4770" s="66" t="str">
        <x:v>Kota Gorontalo</x:v>
      </x:c>
      <x:c r="Q4770" s="66" t="str">
        <x:v>https://snpmb.id/snbp/daya-tampung-snbp</x:v>
      </x:c>
      <x:c r="R4770" s="66" t="str">
        <x:v>https://sidatagrun-public-1076756628210.asia-southeast2.run.app/ptn_sn.php?ptn=752</x:v>
      </x:c>
    </x:row>
    <x:row r="4771">
      <x:c r="A4771" s="87" t="n">
        <x:v>535</x:v>
      </x:c>
      <x:c r="B4771" s="66" t="n">
        <x:v>752</x:v>
      </x:c>
      <x:c r="C4771" s="66" t="str">
        <x:v>UNIVERSITAS NEGERI GORONTALO</x:v>
      </x:c>
      <x:c r="D4771" s="66" t="str">
        <x:v>PTN Akademik</x:v>
      </x:c>
      <x:c r="E4771" s="66" t="str">
        <x:v>17521015</x:v>
      </x:c>
      <x:c r="F4771" s="66" t="str">
        <x:v>KEPERAWATAN</x:v>
      </x:c>
      <x:c r="G4771" s="66" t="str">
        <x:v>Sarjana</x:v>
      </x:c>
      <x:c r="H4771" s="87" t="n">
        <x:v>45</x:v>
      </x:c>
      <x:c r="I4771" s="87" t="n">
        <x:v>841</x:v>
      </x:c>
      <x:c r="J4771" s="68" t="n">
        <x:f>IFERROR(H4771/I4771,"")</x:f>
        <x:v>0.0535077288941736</x:v>
      </x:c>
      <x:c r="K4771" s="69" t="n">
        <x:f>IFERROR(I4771/H4771,"")</x:f>
        <x:v>18.68888888888889</x:v>
      </x:c>
      <x:c r="L4771" s="66" t="str">
        <x:f>IF(K4771="","","1 : "&amp;TEXT(K4771,"0.0"))</x:f>
        <x:v>1 : 18.7</x:v>
      </x:c>
      <x:c r="M4771" s="66" t="str">
        <x:f>IF(J4771="","Baru/Tanpa Data",IF(J4771&lt;='Catatan &amp; Sumber'!$B$14,"Sangat Ketat",IF(J4771&lt;='Catatan &amp; Sumber'!$B$15,"Ketat",IF(J4771&lt;='Catatan &amp; Sumber'!$B$16,"Sedang","Relatif Longgar"))))</x:f>
        <x:v>Sedang</x:v>
      </x:c>
      <x:c r="N4771" s="66" t="str">
        <x:v>Tidak Ada</x:v>
      </x:c>
      <x:c r="O4771" s="66" t="str">
        <x:v>Gorontalo</x:v>
      </x:c>
      <x:c r="P4771" s="66" t="str">
        <x:v>Kota Gorontalo</x:v>
      </x:c>
      <x:c r="Q4771" s="66" t="str">
        <x:v>https://snpmb.id/snbp/daya-tampung-snbp</x:v>
      </x:c>
      <x:c r="R4771" s="66" t="str">
        <x:v>https://sidatagrun-public-1076756628210.asia-southeast2.run.app/ptn_sn.php?ptn=752</x:v>
      </x:c>
    </x:row>
    <x:row r="4772">
      <x:c r="A4772" s="87" t="n">
        <x:v>4759</x:v>
      </x:c>
      <x:c r="B4772" s="66" t="n">
        <x:v>752</x:v>
      </x:c>
      <x:c r="C4772" s="66" t="str">
        <x:v>UNIVERSITAS NEGERI GORONTALO</x:v>
      </x:c>
      <x:c r="D4772" s="66" t="str">
        <x:v>PTN Akademik</x:v>
      </x:c>
      <x:c r="E4772" s="66" t="str">
        <x:v>17521016</x:v>
      </x:c>
      <x:c r="F4772" s="66" t="str">
        <x:v>TEKNOLOGI HASIL PERIKANAN</x:v>
      </x:c>
      <x:c r="G4772" s="66" t="str">
        <x:v>Sarjana</x:v>
      </x:c>
      <x:c r="H4772" s="87" t="n">
        <x:v>30</x:v>
      </x:c>
      <x:c r="I4772" s="87" t="n">
        <x:v>10</x:v>
      </x:c>
      <x:c r="J4772" s="68" t="n">
        <x:f>IFERROR(H4772/I4772,"")</x:f>
        <x:v>3</x:v>
      </x:c>
      <x:c r="K4772" s="69" t="n">
        <x:f>IFERROR(I4772/H4772,"")</x:f>
        <x:v>0.3333333333333333</x:v>
      </x:c>
      <x:c r="L4772" s="66" t="str">
        <x:f>IF(K4772="","","1 : "&amp;TEXT(K4772,"0.0"))</x:f>
        <x:v>1 : 0.3</x:v>
      </x:c>
      <x:c r="M4772" s="66" t="str">
        <x:f>IF(J4772="","Baru/Tanpa Data",IF(J4772&lt;='Catatan &amp; Sumber'!$B$14,"Sangat Ketat",IF(J4772&lt;='Catatan &amp; Sumber'!$B$15,"Ketat",IF(J4772&lt;='Catatan &amp; Sumber'!$B$16,"Sedang","Relatif Longgar"))))</x:f>
        <x:v>Relatif Longgar</x:v>
      </x:c>
      <x:c r="N4772" s="66" t="str">
        <x:v>Tidak Ada</x:v>
      </x:c>
      <x:c r="O4772" s="66" t="str">
        <x:v>Gorontalo</x:v>
      </x:c>
      <x:c r="P4772" s="66" t="str">
        <x:v>Kota Gorontalo</x:v>
      </x:c>
      <x:c r="Q4772" s="66" t="str">
        <x:v>https://snpmb.id/snbp/daya-tampung-snbp</x:v>
      </x:c>
      <x:c r="R4772" s="66" t="str">
        <x:v>https://sidatagrun-public-1076756628210.asia-southeast2.run.app/ptn_sn.php?ptn=752</x:v>
      </x:c>
    </x:row>
    <x:row r="4773">
      <x:c r="A4773" s="87" t="n">
        <x:v>2263</x:v>
      </x:c>
      <x:c r="B4773" s="66" t="n">
        <x:v>752</x:v>
      </x:c>
      <x:c r="C4773" s="66" t="str">
        <x:v>UNIVERSITAS NEGERI GORONTALO</x:v>
      </x:c>
      <x:c r="D4773" s="66" t="str">
        <x:v>PTN Akademik</x:v>
      </x:c>
      <x:c r="E4773" s="66" t="str">
        <x:v>17521017</x:v>
      </x:c>
      <x:c r="F4773" s="66" t="str">
        <x:v>TEKNIK SIPIL</x:v>
      </x:c>
      <x:c r="G4773" s="66" t="str">
        <x:v>Sarjana</x:v>
      </x:c>
      <x:c r="H4773" s="87" t="n">
        <x:v>30</x:v>
      </x:c>
      <x:c r="I4773" s="87" t="n">
        <x:v>167</x:v>
      </x:c>
      <x:c r="J4773" s="68" t="n">
        <x:f>IFERROR(H4773/I4773,"")</x:f>
        <x:v>0.17964071856287425</x:v>
      </x:c>
      <x:c r="K4773" s="69" t="n">
        <x:f>IFERROR(I4773/H4773,"")</x:f>
        <x:v>5.566666666666666</x:v>
      </x:c>
      <x:c r="L4773" s="66" t="str">
        <x:f>IF(K4773="","","1 : "&amp;TEXT(K4773,"0.0"))</x:f>
        <x:v>1 : 5.6</x:v>
      </x:c>
      <x:c r="M4773" s="66" t="str">
        <x:f>IF(J4773="","Baru/Tanpa Data",IF(J4773&lt;='Catatan &amp; Sumber'!$B$14,"Sangat Ketat",IF(J4773&lt;='Catatan &amp; Sumber'!$B$15,"Ketat",IF(J4773&lt;='Catatan &amp; Sumber'!$B$16,"Sedang","Relatif Longgar"))))</x:f>
        <x:v>Relatif Longgar</x:v>
      </x:c>
      <x:c r="N4773" s="66" t="str">
        <x:v>Tidak Ada</x:v>
      </x:c>
      <x:c r="O4773" s="66" t="str">
        <x:v>Gorontalo</x:v>
      </x:c>
      <x:c r="P4773" s="66" t="str">
        <x:v>Kota Gorontalo</x:v>
      </x:c>
      <x:c r="Q4773" s="66" t="str">
        <x:v>https://snpmb.id/snbp/daya-tampung-snbp</x:v>
      </x:c>
      <x:c r="R4773" s="66" t="str">
        <x:v>https://sidatagrun-public-1076756628210.asia-southeast2.run.app/ptn_sn.php?ptn=752</x:v>
      </x:c>
    </x:row>
    <x:row r="4774">
      <x:c r="A4774" s="87" t="n">
        <x:v>3542</x:v>
      </x:c>
      <x:c r="B4774" s="66" t="n">
        <x:v>752</x:v>
      </x:c>
      <x:c r="C4774" s="66" t="str">
        <x:v>UNIVERSITAS NEGERI GORONTALO</x:v>
      </x:c>
      <x:c r="D4774" s="66" t="str">
        <x:v>PTN Akademik</x:v>
      </x:c>
      <x:c r="E4774" s="66" t="str">
        <x:v>17521018</x:v>
      </x:c>
      <x:c r="F4774" s="66" t="str">
        <x:v>TEKNIK ARSITEKTUR</x:v>
      </x:c>
      <x:c r="G4774" s="66" t="str">
        <x:v>Sarjana</x:v>
      </x:c>
      <x:c r="H4774" s="87" t="n">
        <x:v>30</x:v>
      </x:c>
      <x:c r="I4774" s="87" t="n">
        <x:v>67</x:v>
      </x:c>
      <x:c r="J4774" s="68" t="n">
        <x:f>IFERROR(H4774/I4774,"")</x:f>
        <x:v>0.44776119402985076</x:v>
      </x:c>
      <x:c r="K4774" s="69" t="n">
        <x:f>IFERROR(I4774/H4774,"")</x:f>
        <x:v>2.2333333333333334</x:v>
      </x:c>
      <x:c r="L4774" s="66" t="str">
        <x:f>IF(K4774="","","1 : "&amp;TEXT(K4774,"0.0"))</x:f>
        <x:v>1 : 2.2</x:v>
      </x:c>
      <x:c r="M4774" s="66" t="str">
        <x:f>IF(J4774="","Baru/Tanpa Data",IF(J4774&lt;='Catatan &amp; Sumber'!$B$14,"Sangat Ketat",IF(J4774&lt;='Catatan &amp; Sumber'!$B$15,"Ketat",IF(J4774&lt;='Catatan &amp; Sumber'!$B$16,"Sedang","Relatif Longgar"))))</x:f>
        <x:v>Relatif Longgar</x:v>
      </x:c>
      <x:c r="N4774" s="66" t="str">
        <x:v>Tidak Ada</x:v>
      </x:c>
      <x:c r="O4774" s="66" t="str">
        <x:v>Gorontalo</x:v>
      </x:c>
      <x:c r="P4774" s="66" t="str">
        <x:v>Kota Gorontalo</x:v>
      </x:c>
      <x:c r="Q4774" s="66" t="str">
        <x:v>https://snpmb.id/snbp/daya-tampung-snbp</x:v>
      </x:c>
      <x:c r="R4774" s="66" t="str">
        <x:v>https://sidatagrun-public-1076756628210.asia-southeast2.run.app/ptn_sn.php?ptn=752</x:v>
      </x:c>
    </x:row>
    <x:row r="4775">
      <x:c r="A4775" s="87" t="n">
        <x:v>502</x:v>
      </x:c>
      <x:c r="B4775" s="66" t="n">
        <x:v>752</x:v>
      </x:c>
      <x:c r="C4775" s="66" t="str">
        <x:v>UNIVERSITAS NEGERI GORONTALO</x:v>
      </x:c>
      <x:c r="D4775" s="66" t="str">
        <x:v>PTN Akademik</x:v>
      </x:c>
      <x:c r="E4775" s="66" t="str">
        <x:v>17521019</x:v>
      </x:c>
      <x:c r="F4775" s="66" t="str">
        <x:v>FARMASI</x:v>
      </x:c>
      <x:c r="G4775" s="66" t="str">
        <x:v>Sarjana</x:v>
      </x:c>
      <x:c r="H4775" s="87" t="n">
        <x:v>30</x:v>
      </x:c>
      <x:c r="I4775" s="87" t="n">
        <x:v>586</x:v>
      </x:c>
      <x:c r="J4775" s="68" t="n">
        <x:f>IFERROR(H4775/I4775,"")</x:f>
        <x:v>0.051194539249146756</x:v>
      </x:c>
      <x:c r="K4775" s="69" t="n">
        <x:f>IFERROR(I4775/H4775,"")</x:f>
        <x:v>19.533333333333335</x:v>
      </x:c>
      <x:c r="L4775" s="66" t="str">
        <x:f>IF(K4775="","","1 : "&amp;TEXT(K4775,"0.0"))</x:f>
        <x:v>1 : 19.5</x:v>
      </x:c>
      <x:c r="M4775" s="66" t="str">
        <x:f>IF(J4775="","Baru/Tanpa Data",IF(J4775&lt;='Catatan &amp; Sumber'!$B$14,"Sangat Ketat",IF(J4775&lt;='Catatan &amp; Sumber'!$B$15,"Ketat",IF(J4775&lt;='Catatan &amp; Sumber'!$B$16,"Sedang","Relatif Longgar"))))</x:f>
        <x:v>Sedang</x:v>
      </x:c>
      <x:c r="N4775" s="66" t="str">
        <x:v>Tidak Ada</x:v>
      </x:c>
      <x:c r="O4775" s="66" t="str">
        <x:v>Gorontalo</x:v>
      </x:c>
      <x:c r="P4775" s="66" t="str">
        <x:v>Kota Gorontalo</x:v>
      </x:c>
      <x:c r="Q4775" s="66" t="str">
        <x:v>https://snpmb.id/snbp/daya-tampung-snbp</x:v>
      </x:c>
      <x:c r="R4775" s="66" t="str">
        <x:v>https://sidatagrun-public-1076756628210.asia-southeast2.run.app/ptn_sn.php?ptn=752</x:v>
      </x:c>
    </x:row>
    <x:row r="4776">
      <x:c r="A4776" s="87" t="n">
        <x:v>2352</x:v>
      </x:c>
      <x:c r="B4776" s="66" t="n">
        <x:v>752</x:v>
      </x:c>
      <x:c r="C4776" s="66" t="str">
        <x:v>UNIVERSITAS NEGERI GORONTALO</x:v>
      </x:c>
      <x:c r="D4776" s="66" t="str">
        <x:v>PTN Akademik</x:v>
      </x:c>
      <x:c r="E4776" s="66" t="str">
        <x:v>17521020</x:v>
      </x:c>
      <x:c r="F4776" s="66" t="str">
        <x:v>TEKNIK GEOLOGI</x:v>
      </x:c>
      <x:c r="G4776" s="66" t="str">
        <x:v>Sarjana</x:v>
      </x:c>
      <x:c r="H4776" s="87" t="n">
        <x:v>30</x:v>
      </x:c>
      <x:c r="I4776" s="87" t="n">
        <x:v>158</x:v>
      </x:c>
      <x:c r="J4776" s="68" t="n">
        <x:f>IFERROR(H4776/I4776,"")</x:f>
        <x:v>0.189873417721519</x:v>
      </x:c>
      <x:c r="K4776" s="69" t="n">
        <x:f>IFERROR(I4776/H4776,"")</x:f>
        <x:v>5.266666666666667</x:v>
      </x:c>
      <x:c r="L4776" s="66" t="str">
        <x:f>IF(K4776="","","1 : "&amp;TEXT(K4776,"0.0"))</x:f>
        <x:v>1 : 5.3</x:v>
      </x:c>
      <x:c r="M4776" s="66" t="str">
        <x:f>IF(J4776="","Baru/Tanpa Data",IF(J4776&lt;='Catatan &amp; Sumber'!$B$14,"Sangat Ketat",IF(J4776&lt;='Catatan &amp; Sumber'!$B$15,"Ketat",IF(J4776&lt;='Catatan &amp; Sumber'!$B$16,"Sedang","Relatif Longgar"))))</x:f>
        <x:v>Relatif Longgar</x:v>
      </x:c>
      <x:c r="N4776" s="66" t="str">
        <x:v>Tidak Ada</x:v>
      </x:c>
      <x:c r="O4776" s="66" t="str">
        <x:v>Gorontalo</x:v>
      </x:c>
      <x:c r="P4776" s="66" t="str">
        <x:v>Kota Gorontalo</x:v>
      </x:c>
      <x:c r="Q4776" s="66" t="str">
        <x:v>https://snpmb.id/snbp/daya-tampung-snbp</x:v>
      </x:c>
      <x:c r="R4776" s="66" t="str">
        <x:v>https://sidatagrun-public-1076756628210.asia-southeast2.run.app/ptn_sn.php?ptn=752</x:v>
      </x:c>
    </x:row>
    <x:row r="4777">
      <x:c r="A4777" s="87" t="n">
        <x:v>4707</x:v>
      </x:c>
      <x:c r="B4777" s="66" t="n">
        <x:v>752</x:v>
      </x:c>
      <x:c r="C4777" s="66" t="str">
        <x:v>UNIVERSITAS NEGERI GORONTALO</x:v>
      </x:c>
      <x:c r="D4777" s="66" t="str">
        <x:v>PTN Akademik</x:v>
      </x:c>
      <x:c r="E4777" s="66" t="str">
        <x:v>17521021</x:v>
      </x:c>
      <x:c r="F4777" s="66" t="str">
        <x:v>PENDIDIKAN VOKASIONAL KONSTRUKSI BANGUNAN</x:v>
      </x:c>
      <x:c r="G4777" s="66" t="str">
        <x:v>Sarjana</x:v>
      </x:c>
      <x:c r="H4777" s="87" t="n">
        <x:v>7</x:v>
      </x:c>
      <x:c r="I4777" s="87" t="n">
        <x:v>3</x:v>
      </x:c>
      <x:c r="J4777" s="68" t="n">
        <x:f>IFERROR(H4777/I4777,"")</x:f>
        <x:v>2.3333333333333335</x:v>
      </x:c>
      <x:c r="K4777" s="69" t="n">
        <x:f>IFERROR(I4777/H4777,"")</x:f>
        <x:v>0.42857142857142855</x:v>
      </x:c>
      <x:c r="L4777" s="66" t="str">
        <x:f>IF(K4777="","","1 : "&amp;TEXT(K4777,"0.0"))</x:f>
        <x:v>1 : 0.4</x:v>
      </x:c>
      <x:c r="M4777" s="66" t="str">
        <x:f>IF(J4777="","Baru/Tanpa Data",IF(J4777&lt;='Catatan &amp; Sumber'!$B$14,"Sangat Ketat",IF(J4777&lt;='Catatan &amp; Sumber'!$B$15,"Ketat",IF(J4777&lt;='Catatan &amp; Sumber'!$B$16,"Sedang","Relatif Longgar"))))</x:f>
        <x:v>Relatif Longgar</x:v>
      </x:c>
      <x:c r="N4777" s="66" t="str">
        <x:v>Tidak Ada</x:v>
      </x:c>
      <x:c r="O4777" s="66" t="str">
        <x:v>Gorontalo</x:v>
      </x:c>
      <x:c r="P4777" s="66" t="str">
        <x:v>Kota Gorontalo</x:v>
      </x:c>
      <x:c r="Q4777" s="66" t="str">
        <x:v>https://snpmb.id/snbp/daya-tampung-snbp</x:v>
      </x:c>
      <x:c r="R4777" s="66" t="str">
        <x:v>https://sidatagrun-public-1076756628210.asia-southeast2.run.app/ptn_sn.php?ptn=752</x:v>
      </x:c>
    </x:row>
    <x:row r="4778">
      <x:c r="A4778" s="87" t="n">
        <x:v>4104</x:v>
      </x:c>
      <x:c r="B4778" s="66" t="n">
        <x:v>752</x:v>
      </x:c>
      <x:c r="C4778" s="66" t="str">
        <x:v>UNIVERSITAS NEGERI GORONTALO</x:v>
      </x:c>
      <x:c r="D4778" s="66" t="str">
        <x:v>PTN Akademik</x:v>
      </x:c>
      <x:c r="E4778" s="66" t="str">
        <x:v>17521022</x:v>
      </x:c>
      <x:c r="F4778" s="66" t="str">
        <x:v>PENDIDIKAN TEKNOLOGI INFORMASI</x:v>
      </x:c>
      <x:c r="G4778" s="66" t="str">
        <x:v>Sarjana</x:v>
      </x:c>
      <x:c r="H4778" s="87" t="n">
        <x:v>40</x:v>
      </x:c>
      <x:c r="I4778" s="87" t="n">
        <x:v>53</x:v>
      </x:c>
      <x:c r="J4778" s="68" t="n">
        <x:f>IFERROR(H4778/I4778,"")</x:f>
        <x:v>0.7547169811320755</x:v>
      </x:c>
      <x:c r="K4778" s="69" t="n">
        <x:f>IFERROR(I4778/H4778,"")</x:f>
        <x:v>1.325</x:v>
      </x:c>
      <x:c r="L4778" s="66" t="str">
        <x:f>IF(K4778="","","1 : "&amp;TEXT(K4778,"0.0"))</x:f>
        <x:v>1 : 1.3</x:v>
      </x:c>
      <x:c r="M4778" s="66" t="str">
        <x:f>IF(J4778="","Baru/Tanpa Data",IF(J4778&lt;='Catatan &amp; Sumber'!$B$14,"Sangat Ketat",IF(J4778&lt;='Catatan &amp; Sumber'!$B$15,"Ketat",IF(J4778&lt;='Catatan &amp; Sumber'!$B$16,"Sedang","Relatif Longgar"))))</x:f>
        <x:v>Relatif Longgar</x:v>
      </x:c>
      <x:c r="N4778" s="66" t="str">
        <x:v>Tidak Ada</x:v>
      </x:c>
      <x:c r="O4778" s="66" t="str">
        <x:v>Gorontalo</x:v>
      </x:c>
      <x:c r="P4778" s="66" t="str">
        <x:v>Kota Gorontalo</x:v>
      </x:c>
      <x:c r="Q4778" s="66" t="str">
        <x:v>https://snpmb.id/snbp/daya-tampung-snbp</x:v>
      </x:c>
      <x:c r="R4778" s="66" t="str">
        <x:v>https://sidatagrun-public-1076756628210.asia-southeast2.run.app/ptn_sn.php?ptn=752</x:v>
      </x:c>
    </x:row>
    <x:row r="4779">
      <x:c r="A4779" s="87" t="n">
        <x:v>3066</x:v>
      </x:c>
      <x:c r="B4779" s="66" t="n">
        <x:v>752</x:v>
      </x:c>
      <x:c r="C4779" s="66" t="str">
        <x:v>UNIVERSITAS NEGERI GORONTALO</x:v>
      </x:c>
      <x:c r="D4779" s="66" t="str">
        <x:v>PTN Akademik</x:v>
      </x:c>
      <x:c r="E4779" s="66" t="str">
        <x:v>17521023</x:v>
      </x:c>
      <x:c r="F4779" s="66" t="str">
        <x:v>TEKNIK INDUSTRI</x:v>
      </x:c>
      <x:c r="G4779" s="66" t="str">
        <x:v>Sarjana</x:v>
      </x:c>
      <x:c r="H4779" s="87" t="n">
        <x:v>36</x:v>
      </x:c>
      <x:c r="I4779" s="87" t="n">
        <x:v>117</x:v>
      </x:c>
      <x:c r="J4779" s="68" t="n">
        <x:f>IFERROR(H4779/I4779,"")</x:f>
        <x:v>0.3076923076923077</x:v>
      </x:c>
      <x:c r="K4779" s="69" t="n">
        <x:f>IFERROR(I4779/H4779,"")</x:f>
        <x:v>3.25</x:v>
      </x:c>
      <x:c r="L4779" s="66" t="str">
        <x:f>IF(K4779="","","1 : "&amp;TEXT(K4779,"0.0"))</x:f>
        <x:v>1 : 3.3</x:v>
      </x:c>
      <x:c r="M4779" s="66" t="str">
        <x:f>IF(J4779="","Baru/Tanpa Data",IF(J4779&lt;='Catatan &amp; Sumber'!$B$14,"Sangat Ketat",IF(J4779&lt;='Catatan &amp; Sumber'!$B$15,"Ketat",IF(J4779&lt;='Catatan &amp; Sumber'!$B$16,"Sedang","Relatif Longgar"))))</x:f>
        <x:v>Relatif Longgar</x:v>
      </x:c>
      <x:c r="N4779" s="66" t="str">
        <x:v>Tidak Ada</x:v>
      </x:c>
      <x:c r="O4779" s="66" t="str">
        <x:v>Gorontalo</x:v>
      </x:c>
      <x:c r="P4779" s="66" t="str">
        <x:v>Kota Gorontalo</x:v>
      </x:c>
      <x:c r="Q4779" s="66" t="str">
        <x:v>https://snpmb.id/snbp/daya-tampung-snbp</x:v>
      </x:c>
      <x:c r="R4779" s="66" t="str">
        <x:v>https://sidatagrun-public-1076756628210.asia-southeast2.run.app/ptn_sn.php?ptn=752</x:v>
      </x:c>
    </x:row>
    <x:row r="4780">
      <x:c r="A4780" s="87" t="n">
        <x:v>3988</x:v>
      </x:c>
      <x:c r="B4780" s="66" t="n">
        <x:v>752</x:v>
      </x:c>
      <x:c r="C4780" s="66" t="str">
        <x:v>UNIVERSITAS NEGERI GORONTALO</x:v>
      </x:c>
      <x:c r="D4780" s="66" t="str">
        <x:v>PTN Akademik</x:v>
      </x:c>
      <x:c r="E4780" s="66" t="str">
        <x:v>17521024</x:v>
      </x:c>
      <x:c r="F4780" s="66" t="str">
        <x:v>ILMU TEKNOLOGI PANGAN</x:v>
      </x:c>
      <x:c r="G4780" s="66" t="str">
        <x:v>Sarjana</x:v>
      </x:c>
      <x:c r="H4780" s="87" t="n">
        <x:v>30</x:v>
      </x:c>
      <x:c r="I4780" s="87" t="n">
        <x:v>44</x:v>
      </x:c>
      <x:c r="J4780" s="68" t="n">
        <x:f>IFERROR(H4780/I4780,"")</x:f>
        <x:v>0.6818181818181818</x:v>
      </x:c>
      <x:c r="K4780" s="69" t="n">
        <x:f>IFERROR(I4780/H4780,"")</x:f>
        <x:v>1.4666666666666666</x:v>
      </x:c>
      <x:c r="L4780" s="66" t="str">
        <x:f>IF(K4780="","","1 : "&amp;TEXT(K4780,"0.0"))</x:f>
        <x:v>1 : 1.5</x:v>
      </x:c>
      <x:c r="M4780" s="66" t="str">
        <x:f>IF(J4780="","Baru/Tanpa Data",IF(J4780&lt;='Catatan &amp; Sumber'!$B$14,"Sangat Ketat",IF(J4780&lt;='Catatan &amp; Sumber'!$B$15,"Ketat",IF(J4780&lt;='Catatan &amp; Sumber'!$B$16,"Sedang","Relatif Longgar"))))</x:f>
        <x:v>Relatif Longgar</x:v>
      </x:c>
      <x:c r="N4780" s="66" t="str">
        <x:v>Tidak Ada</x:v>
      </x:c>
      <x:c r="O4780" s="66" t="str">
        <x:v>Gorontalo</x:v>
      </x:c>
      <x:c r="P4780" s="66" t="str">
        <x:v>Kota Gorontalo</x:v>
      </x:c>
      <x:c r="Q4780" s="66" t="str">
        <x:v>https://snpmb.id/snbp/daya-tampung-snbp</x:v>
      </x:c>
      <x:c r="R4780" s="66" t="str">
        <x:v>https://sidatagrun-public-1076756628210.asia-southeast2.run.app/ptn_sn.php?ptn=752</x:v>
      </x:c>
    </x:row>
    <x:row r="4781">
      <x:c r="A4781" s="87" t="n">
        <x:v>4460</x:v>
      </x:c>
      <x:c r="B4781" s="66" t="n">
        <x:v>752</x:v>
      </x:c>
      <x:c r="C4781" s="66" t="str">
        <x:v>UNIVERSITAS NEGERI GORONTALO</x:v>
      </x:c>
      <x:c r="D4781" s="66" t="str">
        <x:v>PTN Akademik</x:v>
      </x:c>
      <x:c r="E4781" s="66" t="str">
        <x:v>17521026</x:v>
      </x:c>
      <x:c r="F4781" s="66" t="str">
        <x:v>PENDIDIKAN TEKNIK MESIN</x:v>
      </x:c>
      <x:c r="G4781" s="66" t="str">
        <x:v>Sarjana</x:v>
      </x:c>
      <x:c r="H4781" s="87" t="n">
        <x:v>36</x:v>
      </x:c>
      <x:c r="I4781" s="87" t="n">
        <x:v>29</x:v>
      </x:c>
      <x:c r="J4781" s="68" t="n">
        <x:f>IFERROR(H4781/I4781,"")</x:f>
        <x:v>1.2413793103448276</x:v>
      </x:c>
      <x:c r="K4781" s="69" t="n">
        <x:f>IFERROR(I4781/H4781,"")</x:f>
        <x:v>0.8055555555555556</x:v>
      </x:c>
      <x:c r="L4781" s="66" t="str">
        <x:f>IF(K4781="","","1 : "&amp;TEXT(K4781,"0.0"))</x:f>
        <x:v>1 : 0.8</x:v>
      </x:c>
      <x:c r="M4781" s="66" t="str">
        <x:f>IF(J4781="","Baru/Tanpa Data",IF(J4781&lt;='Catatan &amp; Sumber'!$B$14,"Sangat Ketat",IF(J4781&lt;='Catatan &amp; Sumber'!$B$15,"Ketat",IF(J4781&lt;='Catatan &amp; Sumber'!$B$16,"Sedang","Relatif Longgar"))))</x:f>
        <x:v>Relatif Longgar</x:v>
      </x:c>
      <x:c r="N4781" s="66" t="str">
        <x:v>Tidak Ada</x:v>
      </x:c>
      <x:c r="O4781" s="66" t="str">
        <x:v>Gorontalo</x:v>
      </x:c>
      <x:c r="P4781" s="66" t="str">
        <x:v>Kota Gorontalo</x:v>
      </x:c>
      <x:c r="Q4781" s="66" t="str">
        <x:v>https://snpmb.id/snbp/daya-tampung-snbp</x:v>
      </x:c>
      <x:c r="R4781" s="66" t="str">
        <x:v>https://sidatagrun-public-1076756628210.asia-southeast2.run.app/ptn_sn.php?ptn=752</x:v>
      </x:c>
    </x:row>
    <x:row r="4782">
      <x:c r="A4782" s="87" t="n">
        <x:v>3980</x:v>
      </x:c>
      <x:c r="B4782" s="66" t="n">
        <x:v>752</x:v>
      </x:c>
      <x:c r="C4782" s="66" t="str">
        <x:v>UNIVERSITAS NEGERI GORONTALO</x:v>
      </x:c>
      <x:c r="D4782" s="66" t="str">
        <x:v>PTN Akademik</x:v>
      </x:c>
      <x:c r="E4782" s="66" t="str">
        <x:v>17521027</x:v>
      </x:c>
      <x:c r="F4782" s="66" t="str">
        <x:v>KIMIA</x:v>
      </x:c>
      <x:c r="G4782" s="66" t="str">
        <x:v>Sarjana</x:v>
      </x:c>
      <x:c r="H4782" s="87" t="n">
        <x:v>29</x:v>
      </x:c>
      <x:c r="I4782" s="87" t="n">
        <x:v>43</x:v>
      </x:c>
      <x:c r="J4782" s="68" t="n">
        <x:f>IFERROR(H4782/I4782,"")</x:f>
        <x:v>0.6744186046511628</x:v>
      </x:c>
      <x:c r="K4782" s="69" t="n">
        <x:f>IFERROR(I4782/H4782,"")</x:f>
        <x:v>1.4827586206896552</x:v>
      </x:c>
      <x:c r="L4782" s="66" t="str">
        <x:f>IF(K4782="","","1 : "&amp;TEXT(K4782,"0.0"))</x:f>
        <x:v>1 : 1.5</x:v>
      </x:c>
      <x:c r="M4782" s="66" t="str">
        <x:f>IF(J4782="","Baru/Tanpa Data",IF(J4782&lt;='Catatan &amp; Sumber'!$B$14,"Sangat Ketat",IF(J4782&lt;='Catatan &amp; Sumber'!$B$15,"Ketat",IF(J4782&lt;='Catatan &amp; Sumber'!$B$16,"Sedang","Relatif Longgar"))))</x:f>
        <x:v>Relatif Longgar</x:v>
      </x:c>
      <x:c r="N4782" s="66" t="str">
        <x:v>Tidak Ada</x:v>
      </x:c>
      <x:c r="O4782" s="66" t="str">
        <x:v>Gorontalo</x:v>
      </x:c>
      <x:c r="P4782" s="66" t="str">
        <x:v>Kota Gorontalo</x:v>
      </x:c>
      <x:c r="Q4782" s="66" t="str">
        <x:v>https://snpmb.id/snbp/daya-tampung-snbp</x:v>
      </x:c>
      <x:c r="R4782" s="66" t="str">
        <x:v>https://sidatagrun-public-1076756628210.asia-southeast2.run.app/ptn_sn.php?ptn=752</x:v>
      </x:c>
    </x:row>
    <x:row r="4783">
      <x:c r="A4783" s="87" t="n">
        <x:v>3735</x:v>
      </x:c>
      <x:c r="B4783" s="66" t="n">
        <x:v>752</x:v>
      </x:c>
      <x:c r="C4783" s="66" t="str">
        <x:v>UNIVERSITAS NEGERI GORONTALO</x:v>
      </x:c>
      <x:c r="D4783" s="66" t="str">
        <x:v>PTN Akademik</x:v>
      </x:c>
      <x:c r="E4783" s="66" t="str">
        <x:v>17521028</x:v>
      </x:c>
      <x:c r="F4783" s="66" t="str">
        <x:v>BIOLOGI</x:v>
      </x:c>
      <x:c r="G4783" s="66" t="str">
        <x:v>Sarjana</x:v>
      </x:c>
      <x:c r="H4783" s="87" t="n">
        <x:v>29</x:v>
      </x:c>
      <x:c r="I4783" s="87" t="n">
        <x:v>54</x:v>
      </x:c>
      <x:c r="J4783" s="68" t="n">
        <x:f>IFERROR(H4783/I4783,"")</x:f>
        <x:v>0.5370370370370371</x:v>
      </x:c>
      <x:c r="K4783" s="69" t="n">
        <x:f>IFERROR(I4783/H4783,"")</x:f>
        <x:v>1.8620689655172413</x:v>
      </x:c>
      <x:c r="L4783" s="66" t="str">
        <x:f>IF(K4783="","","1 : "&amp;TEXT(K4783,"0.0"))</x:f>
        <x:v>1 : 1.9</x:v>
      </x:c>
      <x:c r="M4783" s="66" t="str">
        <x:f>IF(J4783="","Baru/Tanpa Data",IF(J4783&lt;='Catatan &amp; Sumber'!$B$14,"Sangat Ketat",IF(J4783&lt;='Catatan &amp; Sumber'!$B$15,"Ketat",IF(J4783&lt;='Catatan &amp; Sumber'!$B$16,"Sedang","Relatif Longgar"))))</x:f>
        <x:v>Relatif Longgar</x:v>
      </x:c>
      <x:c r="N4783" s="66" t="str">
        <x:v>Tidak Ada</x:v>
      </x:c>
      <x:c r="O4783" s="66" t="str">
        <x:v>Gorontalo</x:v>
      </x:c>
      <x:c r="P4783" s="66" t="str">
        <x:v>Kota Gorontalo</x:v>
      </x:c>
      <x:c r="Q4783" s="66" t="str">
        <x:v>https://snpmb.id/snbp/daya-tampung-snbp</x:v>
      </x:c>
      <x:c r="R4783" s="66" t="str">
        <x:v>https://sidatagrun-public-1076756628210.asia-southeast2.run.app/ptn_sn.php?ptn=752</x:v>
      </x:c>
    </x:row>
    <x:row r="4784">
      <x:c r="A4784" s="87" t="n">
        <x:v>4305</x:v>
      </x:c>
      <x:c r="B4784" s="66" t="n">
        <x:v>752</x:v>
      </x:c>
      <x:c r="C4784" s="66" t="str">
        <x:v>UNIVERSITAS NEGERI GORONTALO</x:v>
      </x:c>
      <x:c r="D4784" s="66" t="str">
        <x:v>PTN Akademik</x:v>
      </x:c>
      <x:c r="E4784" s="66" t="str">
        <x:v>17521029</x:v>
      </x:c>
      <x:c r="F4784" s="66" t="str">
        <x:v>FISIKA</x:v>
      </x:c>
      <x:c r="G4784" s="66" t="str">
        <x:v>Sarjana</x:v>
      </x:c>
      <x:c r="H4784" s="87" t="n">
        <x:v>15</x:v>
      </x:c>
      <x:c r="I4784" s="87" t="n">
        <x:v>15</x:v>
      </x:c>
      <x:c r="J4784" s="68" t="n">
        <x:f>IFERROR(H4784/I4784,"")</x:f>
        <x:v>1</x:v>
      </x:c>
      <x:c r="K4784" s="69" t="n">
        <x:f>IFERROR(I4784/H4784,"")</x:f>
        <x:v>1</x:v>
      </x:c>
      <x:c r="L4784" s="66" t="str">
        <x:f>IF(K4784="","","1 : "&amp;TEXT(K4784,"0.0"))</x:f>
        <x:v>1 : 1.0</x:v>
      </x:c>
      <x:c r="M4784" s="66" t="str">
        <x:f>IF(J4784="","Baru/Tanpa Data",IF(J4784&lt;='Catatan &amp; Sumber'!$B$14,"Sangat Ketat",IF(J4784&lt;='Catatan &amp; Sumber'!$B$15,"Ketat",IF(J4784&lt;='Catatan &amp; Sumber'!$B$16,"Sedang","Relatif Longgar"))))</x:f>
        <x:v>Relatif Longgar</x:v>
      </x:c>
      <x:c r="N4784" s="66" t="str">
        <x:v>Tidak Ada</x:v>
      </x:c>
      <x:c r="O4784" s="66" t="str">
        <x:v>Gorontalo</x:v>
      </x:c>
      <x:c r="P4784" s="66" t="str">
        <x:v>Kota Gorontalo</x:v>
      </x:c>
      <x:c r="Q4784" s="66" t="str">
        <x:v>https://snpmb.id/snbp/daya-tampung-snbp</x:v>
      </x:c>
      <x:c r="R4784" s="66" t="str">
        <x:v>https://sidatagrun-public-1076756628210.asia-southeast2.run.app/ptn_sn.php?ptn=752</x:v>
      </x:c>
    </x:row>
    <x:row r="4785">
      <x:c r="A4785" s="87" t="n">
        <x:v>3842</x:v>
      </x:c>
      <x:c r="B4785" s="66" t="n">
        <x:v>752</x:v>
      </x:c>
      <x:c r="C4785" s="66" t="str">
        <x:v>UNIVERSITAS NEGERI GORONTALO</x:v>
      </x:c>
      <x:c r="D4785" s="66" t="str">
        <x:v>PTN Akademik</x:v>
      </x:c>
      <x:c r="E4785" s="66" t="str">
        <x:v>17521030</x:v>
      </x:c>
      <x:c r="F4785" s="66" t="str">
        <x:v>MATEMATIKA</x:v>
      </x:c>
      <x:c r="G4785" s="66" t="str">
        <x:v>Sarjana</x:v>
      </x:c>
      <x:c r="H4785" s="87" t="n">
        <x:v>25</x:v>
      </x:c>
      <x:c r="I4785" s="87" t="n">
        <x:v>42</x:v>
      </x:c>
      <x:c r="J4785" s="68" t="n">
        <x:f>IFERROR(H4785/I4785,"")</x:f>
        <x:v>0.5952380952380952</x:v>
      </x:c>
      <x:c r="K4785" s="69" t="n">
        <x:f>IFERROR(I4785/H4785,"")</x:f>
        <x:v>1.68</x:v>
      </x:c>
      <x:c r="L4785" s="66" t="str">
        <x:f>IF(K4785="","","1 : "&amp;TEXT(K4785,"0.0"))</x:f>
        <x:v>1 : 1.7</x:v>
      </x:c>
      <x:c r="M4785" s="66" t="str">
        <x:f>IF(J4785="","Baru/Tanpa Data",IF(J4785&lt;='Catatan &amp; Sumber'!$B$14,"Sangat Ketat",IF(J4785&lt;='Catatan &amp; Sumber'!$B$15,"Ketat",IF(J4785&lt;='Catatan &amp; Sumber'!$B$16,"Sedang","Relatif Longgar"))))</x:f>
        <x:v>Relatif Longgar</x:v>
      </x:c>
      <x:c r="N4785" s="66" t="str">
        <x:v>Tidak Ada</x:v>
      </x:c>
      <x:c r="O4785" s="66" t="str">
        <x:v>Gorontalo</x:v>
      </x:c>
      <x:c r="P4785" s="66" t="str">
        <x:v>Kota Gorontalo</x:v>
      </x:c>
      <x:c r="Q4785" s="66" t="str">
        <x:v>https://snpmb.id/snbp/daya-tampung-snbp</x:v>
      </x:c>
      <x:c r="R4785" s="66" t="str">
        <x:v>https://sidatagrun-public-1076756628210.asia-southeast2.run.app/ptn_sn.php?ptn=752</x:v>
      </x:c>
    </x:row>
    <x:row r="4786">
      <x:c r="A4786" s="87" t="n">
        <x:v>3630</x:v>
      </x:c>
      <x:c r="B4786" s="66" t="n">
        <x:v>752</x:v>
      </x:c>
      <x:c r="C4786" s="66" t="str">
        <x:v>UNIVERSITAS NEGERI GORONTALO</x:v>
      </x:c>
      <x:c r="D4786" s="66" t="str">
        <x:v>PTN Akademik</x:v>
      </x:c>
      <x:c r="E4786" s="66" t="str">
        <x:v>17521031</x:v>
      </x:c>
      <x:c r="F4786" s="66" t="str">
        <x:v>STATISTIKA</x:v>
      </x:c>
      <x:c r="G4786" s="66" t="str">
        <x:v>Sarjana</x:v>
      </x:c>
      <x:c r="H4786" s="87" t="n">
        <x:v>26</x:v>
      </x:c>
      <x:c r="I4786" s="87" t="n">
        <x:v>54</x:v>
      </x:c>
      <x:c r="J4786" s="68" t="n">
        <x:f>IFERROR(H4786/I4786,"")</x:f>
        <x:v>0.48148148148148145</x:v>
      </x:c>
      <x:c r="K4786" s="69" t="n">
        <x:f>IFERROR(I4786/H4786,"")</x:f>
        <x:v>2.076923076923077</x:v>
      </x:c>
      <x:c r="L4786" s="66" t="str">
        <x:f>IF(K4786="","","1 : "&amp;TEXT(K4786,"0.0"))</x:f>
        <x:v>1 : 2.1</x:v>
      </x:c>
      <x:c r="M4786" s="66" t="str">
        <x:f>IF(J4786="","Baru/Tanpa Data",IF(J4786&lt;='Catatan &amp; Sumber'!$B$14,"Sangat Ketat",IF(J4786&lt;='Catatan &amp; Sumber'!$B$15,"Ketat",IF(J4786&lt;='Catatan &amp; Sumber'!$B$16,"Sedang","Relatif Longgar"))))</x:f>
        <x:v>Relatif Longgar</x:v>
      </x:c>
      <x:c r="N4786" s="66" t="str">
        <x:v>Tidak Ada</x:v>
      </x:c>
      <x:c r="O4786" s="66" t="str">
        <x:v>Gorontalo</x:v>
      </x:c>
      <x:c r="P4786" s="66" t="str">
        <x:v>Kota Gorontalo</x:v>
      </x:c>
      <x:c r="Q4786" s="66" t="str">
        <x:v>https://snpmb.id/snbp/daya-tampung-snbp</x:v>
      </x:c>
      <x:c r="R4786" s="66" t="str">
        <x:v>https://sidatagrun-public-1076756628210.asia-southeast2.run.app/ptn_sn.php?ptn=752</x:v>
      </x:c>
    </x:row>
    <x:row r="4787">
      <x:c r="A4787" s="87" t="n">
        <x:v>3944</x:v>
      </x:c>
      <x:c r="B4787" s="66" t="n">
        <x:v>752</x:v>
      </x:c>
      <x:c r="C4787" s="66" t="str">
        <x:v>UNIVERSITAS NEGERI GORONTALO</x:v>
      </x:c>
      <x:c r="D4787" s="66" t="str">
        <x:v>PTN Akademik</x:v>
      </x:c>
      <x:c r="E4787" s="66" t="str">
        <x:v>17521032</x:v>
      </x:c>
      <x:c r="F4787" s="66" t="str">
        <x:v>PENDIDIKAN ILMU PENGETAHUAN ALAM</x:v>
      </x:c>
      <x:c r="G4787" s="66" t="str">
        <x:v>Sarjana</x:v>
      </x:c>
      <x:c r="H4787" s="87" t="n">
        <x:v>30</x:v>
      </x:c>
      <x:c r="I4787" s="87" t="n">
        <x:v>46</x:v>
      </x:c>
      <x:c r="J4787" s="68" t="n">
        <x:f>IFERROR(H4787/I4787,"")</x:f>
        <x:v>0.6521739130434783</x:v>
      </x:c>
      <x:c r="K4787" s="69" t="n">
        <x:f>IFERROR(I4787/H4787,"")</x:f>
        <x:v>1.5333333333333334</x:v>
      </x:c>
      <x:c r="L4787" s="66" t="str">
        <x:f>IF(K4787="","","1 : "&amp;TEXT(K4787,"0.0"))</x:f>
        <x:v>1 : 1.5</x:v>
      </x:c>
      <x:c r="M4787" s="66" t="str">
        <x:f>IF(J4787="","Baru/Tanpa Data",IF(J4787&lt;='Catatan &amp; Sumber'!$B$14,"Sangat Ketat",IF(J4787&lt;='Catatan &amp; Sumber'!$B$15,"Ketat",IF(J4787&lt;='Catatan &amp; Sumber'!$B$16,"Sedang","Relatif Longgar"))))</x:f>
        <x:v>Relatif Longgar</x:v>
      </x:c>
      <x:c r="N4787" s="66" t="str">
        <x:v>Tidak Ada</x:v>
      </x:c>
      <x:c r="O4787" s="66" t="str">
        <x:v>Gorontalo</x:v>
      </x:c>
      <x:c r="P4787" s="66" t="str">
        <x:v>Kota Gorontalo</x:v>
      </x:c>
      <x:c r="Q4787" s="66" t="str">
        <x:v>https://snpmb.id/snbp/daya-tampung-snbp</x:v>
      </x:c>
      <x:c r="R4787" s="66" t="str">
        <x:v>https://sidatagrun-public-1076756628210.asia-southeast2.run.app/ptn_sn.php?ptn=752</x:v>
      </x:c>
    </x:row>
    <x:row r="4788">
      <x:c r="A4788" s="87" t="n">
        <x:v>555</x:v>
      </x:c>
      <x:c r="B4788" s="66" t="n">
        <x:v>752</x:v>
      </x:c>
      <x:c r="C4788" s="66" t="str">
        <x:v>UNIVERSITAS NEGERI GORONTALO</x:v>
      </x:c>
      <x:c r="D4788" s="66" t="str">
        <x:v>PTN Akademik</x:v>
      </x:c>
      <x:c r="E4788" s="66" t="str">
        <x:v>17521033</x:v>
      </x:c>
      <x:c r="F4788" s="66" t="str">
        <x:v>KEDOKTERAN</x:v>
      </x:c>
      <x:c r="G4788" s="66" t="str">
        <x:v>Sarjana</x:v>
      </x:c>
      <x:c r="H4788" s="87" t="n">
        <x:v>21</x:v>
      </x:c>
      <x:c r="I4788" s="87" t="n">
        <x:v>386</x:v>
      </x:c>
      <x:c r="J4788" s="68" t="n">
        <x:f>IFERROR(H4788/I4788,"")</x:f>
        <x:v>0.054404145077720206</x:v>
      </x:c>
      <x:c r="K4788" s="69" t="n">
        <x:f>IFERROR(I4788/H4788,"")</x:f>
        <x:v>18.38095238095238</x:v>
      </x:c>
      <x:c r="L4788" s="66" t="str">
        <x:f>IF(K4788="","","1 : "&amp;TEXT(K4788,"0.0"))</x:f>
        <x:v>1 : 18.4</x:v>
      </x:c>
      <x:c r="M4788" s="66" t="str">
        <x:f>IF(J4788="","Baru/Tanpa Data",IF(J4788&lt;='Catatan &amp; Sumber'!$B$14,"Sangat Ketat",IF(J4788&lt;='Catatan &amp; Sumber'!$B$15,"Ketat",IF(J4788&lt;='Catatan &amp; Sumber'!$B$16,"Sedang","Relatif Longgar"))))</x:f>
        <x:v>Sedang</x:v>
      </x:c>
      <x:c r="N4788" s="66" t="str">
        <x:v>Tidak Ada</x:v>
      </x:c>
      <x:c r="O4788" s="66" t="str">
        <x:v>Gorontalo</x:v>
      </x:c>
      <x:c r="P4788" s="66" t="str">
        <x:v>Kota Gorontalo</x:v>
      </x:c>
      <x:c r="Q4788" s="66" t="str">
        <x:v>https://snpmb.id/snbp/daya-tampung-snbp</x:v>
      </x:c>
      <x:c r="R4788" s="66" t="str">
        <x:v>https://sidatagrun-public-1076756628210.asia-southeast2.run.app/ptn_sn.php?ptn=752</x:v>
      </x:c>
    </x:row>
    <x:row r="4789">
      <x:c r="A4789" s="87" t="n">
        <x:v>4228</x:v>
      </x:c>
      <x:c r="B4789" s="66" t="n">
        <x:v>752</x:v>
      </x:c>
      <x:c r="C4789" s="66" t="str">
        <x:v>UNIVERSITAS NEGERI GORONTALO</x:v>
      </x:c>
      <x:c r="D4789" s="66" t="str">
        <x:v>PTN Akademik</x:v>
      </x:c>
      <x:c r="E4789" s="66" t="str">
        <x:v>17521037</x:v>
      </x:c>
      <x:c r="F4789" s="66" t="str">
        <x:v>PERENCANAAN WILAYAH DAN KOTA</x:v>
      </x:c>
      <x:c r="G4789" s="66" t="str">
        <x:v>Sarjana</x:v>
      </x:c>
      <x:c r="H4789" s="87" t="n">
        <x:v>24</x:v>
      </x:c>
      <x:c r="I4789" s="87" t="n">
        <x:v>27</x:v>
      </x:c>
      <x:c r="J4789" s="68" t="n">
        <x:f>IFERROR(H4789/I4789,"")</x:f>
        <x:v>0.8888888888888888</x:v>
      </x:c>
      <x:c r="K4789" s="69" t="n">
        <x:f>IFERROR(I4789/H4789,"")</x:f>
        <x:v>1.125</x:v>
      </x:c>
      <x:c r="L4789" s="66" t="str">
        <x:f>IF(K4789="","","1 : "&amp;TEXT(K4789,"0.0"))</x:f>
        <x:v>1 : 1.1</x:v>
      </x:c>
      <x:c r="M4789" s="66" t="str">
        <x:f>IF(J4789="","Baru/Tanpa Data",IF(J4789&lt;='Catatan &amp; Sumber'!$B$14,"Sangat Ketat",IF(J4789&lt;='Catatan &amp; Sumber'!$B$15,"Ketat",IF(J4789&lt;='Catatan &amp; Sumber'!$B$16,"Sedang","Relatif Longgar"))))</x:f>
        <x:v>Relatif Longgar</x:v>
      </x:c>
      <x:c r="N4789" s="66" t="str">
        <x:v>Tidak Ada</x:v>
      </x:c>
      <x:c r="O4789" s="66" t="str">
        <x:v>Gorontalo</x:v>
      </x:c>
      <x:c r="P4789" s="66" t="str">
        <x:v>Kota Gorontalo</x:v>
      </x:c>
      <x:c r="Q4789" s="66" t="str">
        <x:v>https://snpmb.id/snbp/daya-tampung-snbp</x:v>
      </x:c>
      <x:c r="R4789" s="66" t="str">
        <x:v>https://sidatagrun-public-1076756628210.asia-southeast2.run.app/ptn_sn.php?ptn=752</x:v>
      </x:c>
    </x:row>
    <x:row r="4790">
      <x:c r="A4790" s="87" t="n">
        <x:v>3587</x:v>
      </x:c>
      <x:c r="B4790" s="66" t="n">
        <x:v>752</x:v>
      </x:c>
      <x:c r="C4790" s="66" t="str">
        <x:v>UNIVERSITAS NEGERI GORONTALO</x:v>
      </x:c>
      <x:c r="D4790" s="66" t="str">
        <x:v>PTN Akademik</x:v>
      </x:c>
      <x:c r="E4790" s="66" t="str">
        <x:v>17521038</x:v>
      </x:c>
      <x:c r="F4790" s="66" t="str">
        <x:v>PENDIDIKAN SEJARAH</x:v>
      </x:c>
      <x:c r="G4790" s="66" t="str">
        <x:v>Sarjana</x:v>
      </x:c>
      <x:c r="H4790" s="87" t="n">
        <x:v>27</x:v>
      </x:c>
      <x:c r="I4790" s="87" t="n">
        <x:v>58</x:v>
      </x:c>
      <x:c r="J4790" s="68" t="n">
        <x:f>IFERROR(H4790/I4790,"")</x:f>
        <x:v>0.46551724137931033</x:v>
      </x:c>
      <x:c r="K4790" s="69" t="n">
        <x:f>IFERROR(I4790/H4790,"")</x:f>
        <x:v>2.1481481481481484</x:v>
      </x:c>
      <x:c r="L4790" s="66" t="str">
        <x:f>IF(K4790="","","1 : "&amp;TEXT(K4790,"0.0"))</x:f>
        <x:v>1 : 2.1</x:v>
      </x:c>
      <x:c r="M4790" s="66" t="str">
        <x:f>IF(J4790="","Baru/Tanpa Data",IF(J4790&lt;='Catatan &amp; Sumber'!$B$14,"Sangat Ketat",IF(J4790&lt;='Catatan &amp; Sumber'!$B$15,"Ketat",IF(J4790&lt;='Catatan &amp; Sumber'!$B$16,"Sedang","Relatif Longgar"))))</x:f>
        <x:v>Relatif Longgar</x:v>
      </x:c>
      <x:c r="N4790" s="66" t="str">
        <x:v>Tidak Ada</x:v>
      </x:c>
      <x:c r="O4790" s="66" t="str">
        <x:v>Gorontalo</x:v>
      </x:c>
      <x:c r="P4790" s="66" t="str">
        <x:v>Kota Gorontalo</x:v>
      </x:c>
      <x:c r="Q4790" s="66" t="str">
        <x:v>https://snpmb.id/snbp/daya-tampung-snbp</x:v>
      </x:c>
      <x:c r="R4790" s="66" t="str">
        <x:v>https://sidatagrun-public-1076756628210.asia-southeast2.run.app/ptn_sn.php?ptn=752</x:v>
      </x:c>
    </x:row>
    <x:row r="4791">
      <x:c r="A4791" s="87" t="n">
        <x:v>3842</x:v>
      </x:c>
      <x:c r="B4791" s="66" t="n">
        <x:v>752</x:v>
      </x:c>
      <x:c r="C4791" s="66" t="str">
        <x:v>UNIVERSITAS NEGERI GORONTALO</x:v>
      </x:c>
      <x:c r="D4791" s="66" t="str">
        <x:v>PTN Akademik</x:v>
      </x:c>
      <x:c r="E4791" s="66" t="str">
        <x:v>17521039</x:v>
      </x:c>
      <x:c r="F4791" s="66" t="str">
        <x:v>PENDIDIKAN PANCASLA DAN KEWARGANEGARAAN</x:v>
      </x:c>
      <x:c r="G4791" s="66" t="str">
        <x:v>Sarjana</x:v>
      </x:c>
      <x:c r="H4791" s="87" t="n">
        <x:v>50</x:v>
      </x:c>
      <x:c r="I4791" s="87" t="n">
        <x:v>84</x:v>
      </x:c>
      <x:c r="J4791" s="68" t="n">
        <x:f>IFERROR(H4791/I4791,"")</x:f>
        <x:v>0.5952380952380952</x:v>
      </x:c>
      <x:c r="K4791" s="69" t="n">
        <x:f>IFERROR(I4791/H4791,"")</x:f>
        <x:v>1.68</x:v>
      </x:c>
      <x:c r="L4791" s="66" t="str">
        <x:f>IF(K4791="","","1 : "&amp;TEXT(K4791,"0.0"))</x:f>
        <x:v>1 : 1.7</x:v>
      </x:c>
      <x:c r="M4791" s="66" t="str">
        <x:f>IF(J4791="","Baru/Tanpa Data",IF(J4791&lt;='Catatan &amp; Sumber'!$B$14,"Sangat Ketat",IF(J4791&lt;='Catatan &amp; Sumber'!$B$15,"Ketat",IF(J4791&lt;='Catatan &amp; Sumber'!$B$16,"Sedang","Relatif Longgar"))))</x:f>
        <x:v>Relatif Longgar</x:v>
      </x:c>
      <x:c r="N4791" s="66" t="str">
        <x:v>Tidak Ada</x:v>
      </x:c>
      <x:c r="O4791" s="66" t="str">
        <x:v>Gorontalo</x:v>
      </x:c>
      <x:c r="P4791" s="66" t="str">
        <x:v>Kota Gorontalo</x:v>
      </x:c>
      <x:c r="Q4791" s="66" t="str">
        <x:v>https://snpmb.id/snbp/daya-tampung-snbp</x:v>
      </x:c>
      <x:c r="R4791" s="66" t="str">
        <x:v>https://sidatagrun-public-1076756628210.asia-southeast2.run.app/ptn_sn.php?ptn=752</x:v>
      </x:c>
    </x:row>
    <x:row r="4792">
      <x:c r="A4792" s="87" t="n">
        <x:v>3952</x:v>
      </x:c>
      <x:c r="B4792" s="66" t="n">
        <x:v>752</x:v>
      </x:c>
      <x:c r="C4792" s="66" t="str">
        <x:v>UNIVERSITAS NEGERI GORONTALO</x:v>
      </x:c>
      <x:c r="D4792" s="66" t="str">
        <x:v>PTN Akademik</x:v>
      </x:c>
      <x:c r="E4792" s="66" t="str">
        <x:v>17521040</x:v>
      </x:c>
      <x:c r="F4792" s="66" t="str">
        <x:v>PENDIDIKAN EKONOMI</x:v>
      </x:c>
      <x:c r="G4792" s="66" t="str">
        <x:v>Sarjana</x:v>
      </x:c>
      <x:c r="H4792" s="87" t="n">
        <x:v>75</x:v>
      </x:c>
      <x:c r="I4792" s="87" t="n">
        <x:v>114</x:v>
      </x:c>
      <x:c r="J4792" s="68" t="n">
        <x:f>IFERROR(H4792/I4792,"")</x:f>
        <x:v>0.6578947368421053</x:v>
      </x:c>
      <x:c r="K4792" s="69" t="n">
        <x:f>IFERROR(I4792/H4792,"")</x:f>
        <x:v>1.52</x:v>
      </x:c>
      <x:c r="L4792" s="66" t="str">
        <x:f>IF(K4792="","","1 : "&amp;TEXT(K4792,"0.0"))</x:f>
        <x:v>1 : 1.5</x:v>
      </x:c>
      <x:c r="M4792" s="66" t="str">
        <x:f>IF(J4792="","Baru/Tanpa Data",IF(J4792&lt;='Catatan &amp; Sumber'!$B$14,"Sangat Ketat",IF(J4792&lt;='Catatan &amp; Sumber'!$B$15,"Ketat",IF(J4792&lt;='Catatan &amp; Sumber'!$B$16,"Sedang","Relatif Longgar"))))</x:f>
        <x:v>Relatif Longgar</x:v>
      </x:c>
      <x:c r="N4792" s="66" t="str">
        <x:v>Tidak Ada</x:v>
      </x:c>
      <x:c r="O4792" s="66" t="str">
        <x:v>Gorontalo</x:v>
      </x:c>
      <x:c r="P4792" s="66" t="str">
        <x:v>Kota Gorontalo</x:v>
      </x:c>
      <x:c r="Q4792" s="66" t="str">
        <x:v>https://snpmb.id/snbp/daya-tampung-snbp</x:v>
      </x:c>
      <x:c r="R4792" s="66" t="str">
        <x:v>https://sidatagrun-public-1076756628210.asia-southeast2.run.app/ptn_sn.php?ptn=752</x:v>
      </x:c>
    </x:row>
    <x:row r="4793">
      <x:c r="A4793" s="87" t="n">
        <x:v>4377</x:v>
      </x:c>
      <x:c r="B4793" s="66" t="n">
        <x:v>752</x:v>
      </x:c>
      <x:c r="C4793" s="66" t="str">
        <x:v>UNIVERSITAS NEGERI GORONTALO</x:v>
      </x:c>
      <x:c r="D4793" s="66" t="str">
        <x:v>PTN Akademik</x:v>
      </x:c>
      <x:c r="E4793" s="66" t="str">
        <x:v>17521041</x:v>
      </x:c>
      <x:c r="F4793" s="66" t="str">
        <x:v>PENDIDIKAN JASMANI KESEHATAN DAN REKREASI</x:v>
      </x:c>
      <x:c r="G4793" s="66" t="str">
        <x:v>Sarjana</x:v>
      </x:c>
      <x:c r="H4793" s="87" t="n">
        <x:v>50</x:v>
      </x:c>
      <x:c r="I4793" s="87" t="n">
        <x:v>46</x:v>
      </x:c>
      <x:c r="J4793" s="68" t="n">
        <x:f>IFERROR(H4793/I4793,"")</x:f>
        <x:v>1.0869565217391304</x:v>
      </x:c>
      <x:c r="K4793" s="69" t="n">
        <x:f>IFERROR(I4793/H4793,"")</x:f>
        <x:v>0.92</x:v>
      </x:c>
      <x:c r="L4793" s="66" t="str">
        <x:f>IF(K4793="","","1 : "&amp;TEXT(K4793,"0.0"))</x:f>
        <x:v>1 : 0.9</x:v>
      </x:c>
      <x:c r="M4793" s="66" t="str">
        <x:f>IF(J4793="","Baru/Tanpa Data",IF(J4793&lt;='Catatan &amp; Sumber'!$B$14,"Sangat Ketat",IF(J4793&lt;='Catatan &amp; Sumber'!$B$15,"Ketat",IF(J4793&lt;='Catatan &amp; Sumber'!$B$16,"Sedang","Relatif Longgar"))))</x:f>
        <x:v>Relatif Longgar</x:v>
      </x:c>
      <x:c r="N4793" s="66" t="str">
        <x:v>Olahraga</x:v>
      </x:c>
      <x:c r="O4793" s="66" t="str">
        <x:v>Gorontalo</x:v>
      </x:c>
      <x:c r="P4793" s="66" t="str">
        <x:v>Kota Gorontalo</x:v>
      </x:c>
      <x:c r="Q4793" s="66" t="str">
        <x:v>https://snpmb.id/snbp/daya-tampung-snbp</x:v>
      </x:c>
      <x:c r="R4793" s="66" t="str">
        <x:v>https://sidatagrun-public-1076756628210.asia-southeast2.run.app/ptn_sn.php?ptn=752</x:v>
      </x:c>
    </x:row>
    <x:row r="4794">
      <x:c r="A4794" s="87" t="n">
        <x:v>2752</x:v>
      </x:c>
      <x:c r="B4794" s="66" t="n">
        <x:v>752</x:v>
      </x:c>
      <x:c r="C4794" s="66" t="str">
        <x:v>UNIVERSITAS NEGERI GORONTALO</x:v>
      </x:c>
      <x:c r="D4794" s="66" t="str">
        <x:v>PTN Akademik</x:v>
      </x:c>
      <x:c r="E4794" s="66" t="str">
        <x:v>17521042</x:v>
      </x:c>
      <x:c r="F4794" s="66" t="str">
        <x:v>PENDIDIKAN BAHASA DAN SASTRA INDONESIA</x:v>
      </x:c>
      <x:c r="G4794" s="66" t="str">
        <x:v>Sarjana</x:v>
      </x:c>
      <x:c r="H4794" s="87" t="n">
        <x:v>42</x:v>
      </x:c>
      <x:c r="I4794" s="87" t="n">
        <x:v>167</x:v>
      </x:c>
      <x:c r="J4794" s="68" t="n">
        <x:f>IFERROR(H4794/I4794,"")</x:f>
        <x:v>0.25149700598802394</x:v>
      </x:c>
      <x:c r="K4794" s="69" t="n">
        <x:f>IFERROR(I4794/H4794,"")</x:f>
        <x:v>3.9761904761904763</x:v>
      </x:c>
      <x:c r="L4794" s="66" t="str">
        <x:f>IF(K4794="","","1 : "&amp;TEXT(K4794,"0.0"))</x:f>
        <x:v>1 : 4.0</x:v>
      </x:c>
      <x:c r="M4794" s="66" t="str">
        <x:f>IF(J4794="","Baru/Tanpa Data",IF(J4794&lt;='Catatan &amp; Sumber'!$B$14,"Sangat Ketat",IF(J4794&lt;='Catatan &amp; Sumber'!$B$15,"Ketat",IF(J4794&lt;='Catatan &amp; Sumber'!$B$16,"Sedang","Relatif Longgar"))))</x:f>
        <x:v>Relatif Longgar</x:v>
      </x:c>
      <x:c r="N4794" s="66" t="str">
        <x:v>Tidak Ada</x:v>
      </x:c>
      <x:c r="O4794" s="66" t="str">
        <x:v>Gorontalo</x:v>
      </x:c>
      <x:c r="P4794" s="66" t="str">
        <x:v>Kota Gorontalo</x:v>
      </x:c>
      <x:c r="Q4794" s="66" t="str">
        <x:v>https://snpmb.id/snbp/daya-tampung-snbp</x:v>
      </x:c>
      <x:c r="R4794" s="66" t="str">
        <x:v>https://sidatagrun-public-1076756628210.asia-southeast2.run.app/ptn_sn.php?ptn=752</x:v>
      </x:c>
    </x:row>
    <x:row r="4795">
      <x:c r="A4795" s="87" t="n">
        <x:v>3402</x:v>
      </x:c>
      <x:c r="B4795" s="66" t="n">
        <x:v>752</x:v>
      </x:c>
      <x:c r="C4795" s="66" t="str">
        <x:v>UNIVERSITAS NEGERI GORONTALO</x:v>
      </x:c>
      <x:c r="D4795" s="66" t="str">
        <x:v>PTN Akademik</x:v>
      </x:c>
      <x:c r="E4795" s="66" t="str">
        <x:v>17521043</x:v>
      </x:c>
      <x:c r="F4795" s="66" t="str">
        <x:v>PENDIDIKAN BAHASA INGGRIS</x:v>
      </x:c>
      <x:c r="G4795" s="66" t="str">
        <x:v>Sarjana</x:v>
      </x:c>
      <x:c r="H4795" s="87" t="n">
        <x:v>60</x:v>
      </x:c>
      <x:c r="I4795" s="87" t="n">
        <x:v>149</x:v>
      </x:c>
      <x:c r="J4795" s="68" t="n">
        <x:f>IFERROR(H4795/I4795,"")</x:f>
        <x:v>0.40268456375838924</x:v>
      </x:c>
      <x:c r="K4795" s="69" t="n">
        <x:f>IFERROR(I4795/H4795,"")</x:f>
        <x:v>2.4833333333333334</x:v>
      </x:c>
      <x:c r="L4795" s="66" t="str">
        <x:f>IF(K4795="","","1 : "&amp;TEXT(K4795,"0.0"))</x:f>
        <x:v>1 : 2.5</x:v>
      </x:c>
      <x:c r="M4795" s="66" t="str">
        <x:f>IF(J4795="","Baru/Tanpa Data",IF(J4795&lt;='Catatan &amp; Sumber'!$B$14,"Sangat Ketat",IF(J4795&lt;='Catatan &amp; Sumber'!$B$15,"Ketat",IF(J4795&lt;='Catatan &amp; Sumber'!$B$16,"Sedang","Relatif Longgar"))))</x:f>
        <x:v>Relatif Longgar</x:v>
      </x:c>
      <x:c r="N4795" s="66" t="str">
        <x:v>Tidak Ada</x:v>
      </x:c>
      <x:c r="O4795" s="66" t="str">
        <x:v>Gorontalo</x:v>
      </x:c>
      <x:c r="P4795" s="66" t="str">
        <x:v>Kota Gorontalo</x:v>
      </x:c>
      <x:c r="Q4795" s="66" t="str">
        <x:v>https://snpmb.id/snbp/daya-tampung-snbp</x:v>
      </x:c>
      <x:c r="R4795" s="66" t="str">
        <x:v>https://sidatagrun-public-1076756628210.asia-southeast2.run.app/ptn_sn.php?ptn=752</x:v>
      </x:c>
    </x:row>
    <x:row r="4796">
      <x:c r="A4796" s="87" t="n">
        <x:v>1592</x:v>
      </x:c>
      <x:c r="B4796" s="66" t="n">
        <x:v>752</x:v>
      </x:c>
      <x:c r="C4796" s="66" t="str">
        <x:v>UNIVERSITAS NEGERI GORONTALO</x:v>
      </x:c>
      <x:c r="D4796" s="66" t="str">
        <x:v>PTN Akademik</x:v>
      </x:c>
      <x:c r="E4796" s="66" t="str">
        <x:v>17521044</x:v>
      </x:c>
      <x:c r="F4796" s="66" t="str">
        <x:v>PENDIDIKAN GURU SD</x:v>
      </x:c>
      <x:c r="G4796" s="66" t="str">
        <x:v>Sarjana</x:v>
      </x:c>
      <x:c r="H4796" s="87" t="n">
        <x:v>96</x:v>
      </x:c>
      <x:c r="I4796" s="87" t="n">
        <x:v>831</x:v>
      </x:c>
      <x:c r="J4796" s="68" t="n">
        <x:f>IFERROR(H4796/I4796,"")</x:f>
        <x:v>0.11552346570397112</x:v>
      </x:c>
      <x:c r="K4796" s="69" t="n">
        <x:f>IFERROR(I4796/H4796,"")</x:f>
        <x:v>8.65625</x:v>
      </x:c>
      <x:c r="L4796" s="66" t="str">
        <x:f>IF(K4796="","","1 : "&amp;TEXT(K4796,"0.0"))</x:f>
        <x:v>1 : 8.7</x:v>
      </x:c>
      <x:c r="M4796" s="66" t="str">
        <x:f>IF(J4796="","Baru/Tanpa Data",IF(J4796&lt;='Catatan &amp; Sumber'!$B$14,"Sangat Ketat",IF(J4796&lt;='Catatan &amp; Sumber'!$B$15,"Ketat",IF(J4796&lt;='Catatan &amp; Sumber'!$B$16,"Sedang","Relatif Longgar"))))</x:f>
        <x:v>Relatif Longgar</x:v>
      </x:c>
      <x:c r="N4796" s="66" t="str">
        <x:v>Tidak Ada</x:v>
      </x:c>
      <x:c r="O4796" s="66" t="str">
        <x:v>Gorontalo</x:v>
      </x:c>
      <x:c r="P4796" s="66" t="str">
        <x:v>Kota Gorontalo</x:v>
      </x:c>
      <x:c r="Q4796" s="66" t="str">
        <x:v>https://snpmb.id/snbp/daya-tampung-snbp</x:v>
      </x:c>
      <x:c r="R4796" s="66" t="str">
        <x:v>https://sidatagrun-public-1076756628210.asia-southeast2.run.app/ptn_sn.php?ptn=752</x:v>
      </x:c>
    </x:row>
    <x:row r="4797">
      <x:c r="A4797" s="87" t="n">
        <x:v>4008</x:v>
      </x:c>
      <x:c r="B4797" s="66" t="n">
        <x:v>752</x:v>
      </x:c>
      <x:c r="C4797" s="66" t="str">
        <x:v>UNIVERSITAS NEGERI GORONTALO</x:v>
      </x:c>
      <x:c r="D4797" s="66" t="str">
        <x:v>PTN Akademik</x:v>
      </x:c>
      <x:c r="E4797" s="66" t="str">
        <x:v>17521045</x:v>
      </x:c>
      <x:c r="F4797" s="66" t="str">
        <x:v>PENDIDIKAN ANAK USIA DINI</x:v>
      </x:c>
      <x:c r="G4797" s="66" t="str">
        <x:v>Sarjana</x:v>
      </x:c>
      <x:c r="H4797" s="87" t="n">
        <x:v>58</x:v>
      </x:c>
      <x:c r="I4797" s="87" t="n">
        <x:v>84</x:v>
      </x:c>
      <x:c r="J4797" s="68" t="n">
        <x:f>IFERROR(H4797/I4797,"")</x:f>
        <x:v>0.6904761904761905</x:v>
      </x:c>
      <x:c r="K4797" s="69" t="n">
        <x:f>IFERROR(I4797/H4797,"")</x:f>
        <x:v>1.4482758620689655</x:v>
      </x:c>
      <x:c r="L4797" s="66" t="str">
        <x:f>IF(K4797="","","1 : "&amp;TEXT(K4797,"0.0"))</x:f>
        <x:v>1 : 1.4</x:v>
      </x:c>
      <x:c r="M4797" s="66" t="str">
        <x:f>IF(J4797="","Baru/Tanpa Data",IF(J4797&lt;='Catatan &amp; Sumber'!$B$14,"Sangat Ketat",IF(J4797&lt;='Catatan &amp; Sumber'!$B$15,"Ketat",IF(J4797&lt;='Catatan &amp; Sumber'!$B$16,"Sedang","Relatif Longgar"))))</x:f>
        <x:v>Relatif Longgar</x:v>
      </x:c>
      <x:c r="N4797" s="66" t="str">
        <x:v>Tidak Ada</x:v>
      </x:c>
      <x:c r="O4797" s="66" t="str">
        <x:v>Gorontalo</x:v>
      </x:c>
      <x:c r="P4797" s="66" t="str">
        <x:v>Kota Gorontalo</x:v>
      </x:c>
      <x:c r="Q4797" s="66" t="str">
        <x:v>https://snpmb.id/snbp/daya-tampung-snbp</x:v>
      </x:c>
      <x:c r="R4797" s="66" t="str">
        <x:v>https://sidatagrun-public-1076756628210.asia-southeast2.run.app/ptn_sn.php?ptn=752</x:v>
      </x:c>
    </x:row>
    <x:row r="4798">
      <x:c r="A4798" s="87" t="n">
        <x:v>3298</x:v>
      </x:c>
      <x:c r="B4798" s="66" t="n">
        <x:v>752</x:v>
      </x:c>
      <x:c r="C4798" s="66" t="str">
        <x:v>UNIVERSITAS NEGERI GORONTALO</x:v>
      </x:c>
      <x:c r="D4798" s="66" t="str">
        <x:v>PTN Akademik</x:v>
      </x:c>
      <x:c r="E4798" s="66" t="str">
        <x:v>17521046</x:v>
      </x:c>
      <x:c r="F4798" s="66" t="str">
        <x:v>PENDIDIKAN SENDRATASIK</x:v>
      </x:c>
      <x:c r="G4798" s="66" t="str">
        <x:v>Sarjana</x:v>
      </x:c>
      <x:c r="H4798" s="87" t="n">
        <x:v>15</x:v>
      </x:c>
      <x:c r="I4798" s="87" t="n">
        <x:v>40</x:v>
      </x:c>
      <x:c r="J4798" s="68" t="n">
        <x:f>IFERROR(H4798/I4798,"")</x:f>
        <x:v>0.375</x:v>
      </x:c>
      <x:c r="K4798" s="69" t="n">
        <x:f>IFERROR(I4798/H4798,"")</x:f>
        <x:v>2.6666666666666665</x:v>
      </x:c>
      <x:c r="L4798" s="66" t="str">
        <x:f>IF(K4798="","","1 : "&amp;TEXT(K4798,"0.0"))</x:f>
        <x:v>1 : 2.7</x:v>
      </x:c>
      <x:c r="M4798" s="66" t="str">
        <x:f>IF(J4798="","Baru/Tanpa Data",IF(J4798&lt;='Catatan &amp; Sumber'!$B$14,"Sangat Ketat",IF(J4798&lt;='Catatan &amp; Sumber'!$B$15,"Ketat",IF(J4798&lt;='Catatan &amp; Sumber'!$B$16,"Sedang","Relatif Longgar"))))</x:f>
        <x:v>Relatif Longgar</x:v>
      </x:c>
      <x:c r="N4798" s="66" t="str">
        <x:v>Sendratasik</x:v>
      </x:c>
      <x:c r="O4798" s="66" t="str">
        <x:v>Gorontalo</x:v>
      </x:c>
      <x:c r="P4798" s="66" t="str">
        <x:v>Kota Gorontalo</x:v>
      </x:c>
      <x:c r="Q4798" s="66" t="str">
        <x:v>https://snpmb.id/snbp/daya-tampung-snbp</x:v>
      </x:c>
      <x:c r="R4798" s="66" t="str">
        <x:v>https://sidatagrun-public-1076756628210.asia-southeast2.run.app/ptn_sn.php?ptn=752</x:v>
      </x:c>
    </x:row>
    <x:row r="4799">
      <x:c r="A4799" s="87" t="n">
        <x:v>2405</x:v>
      </x:c>
      <x:c r="B4799" s="66" t="n">
        <x:v>752</x:v>
      </x:c>
      <x:c r="C4799" s="66" t="str">
        <x:v>UNIVERSITAS NEGERI GORONTALO</x:v>
      </x:c>
      <x:c r="D4799" s="66" t="str">
        <x:v>PTN Akademik</x:v>
      </x:c>
      <x:c r="E4799" s="66" t="str">
        <x:v>17521047</x:v>
      </x:c>
      <x:c r="F4799" s="66" t="str">
        <x:v>BIMBINGAN DAN KONSELING</x:v>
      </x:c>
      <x:c r="G4799" s="66" t="str">
        <x:v>Sarjana</x:v>
      </x:c>
      <x:c r="H4799" s="87" t="n">
        <x:v>42</x:v>
      </x:c>
      <x:c r="I4799" s="87" t="n">
        <x:v>214</x:v>
      </x:c>
      <x:c r="J4799" s="68" t="n">
        <x:f>IFERROR(H4799/I4799,"")</x:f>
        <x:v>0.19626168224299065</x:v>
      </x:c>
      <x:c r="K4799" s="69" t="n">
        <x:f>IFERROR(I4799/H4799,"")</x:f>
        <x:v>5.095238095238095</x:v>
      </x:c>
      <x:c r="L4799" s="66" t="str">
        <x:f>IF(K4799="","","1 : "&amp;TEXT(K4799,"0.0"))</x:f>
        <x:v>1 : 5.1</x:v>
      </x:c>
      <x:c r="M4799" s="66" t="str">
        <x:f>IF(J4799="","Baru/Tanpa Data",IF(J4799&lt;='Catatan &amp; Sumber'!$B$14,"Sangat Ketat",IF(J4799&lt;='Catatan &amp; Sumber'!$B$15,"Ketat",IF(J4799&lt;='Catatan &amp; Sumber'!$B$16,"Sedang","Relatif Longgar"))))</x:f>
        <x:v>Relatif Longgar</x:v>
      </x:c>
      <x:c r="N4799" s="66" t="str">
        <x:v>Tidak Ada</x:v>
      </x:c>
      <x:c r="O4799" s="66" t="str">
        <x:v>Gorontalo</x:v>
      </x:c>
      <x:c r="P4799" s="66" t="str">
        <x:v>Kota Gorontalo</x:v>
      </x:c>
      <x:c r="Q4799" s="66" t="str">
        <x:v>https://snpmb.id/snbp/daya-tampung-snbp</x:v>
      </x:c>
      <x:c r="R4799" s="66" t="str">
        <x:v>https://sidatagrun-public-1076756628210.asia-southeast2.run.app/ptn_sn.php?ptn=752</x:v>
      </x:c>
    </x:row>
    <x:row r="4800">
      <x:c r="A4800" s="87" t="n">
        <x:v>4784</x:v>
      </x:c>
      <x:c r="B4800" s="66" t="n">
        <x:v>752</x:v>
      </x:c>
      <x:c r="C4800" s="66" t="str">
        <x:v>UNIVERSITAS NEGERI GORONTALO</x:v>
      </x:c>
      <x:c r="D4800" s="66" t="str">
        <x:v>PTN Akademik</x:v>
      </x:c>
      <x:c r="E4800" s="66" t="str">
        <x:v>17521048</x:v>
      </x:c>
      <x:c r="F4800" s="66" t="str">
        <x:v>PENDIDIKAN MASYARAKAT</x:v>
      </x:c>
      <x:c r="G4800" s="66" t="str">
        <x:v>Sarjana</x:v>
      </x:c>
      <x:c r="H4800" s="87" t="n">
        <x:v>26</x:v>
      </x:c>
      <x:c r="I4800" s="87" t="n">
        <x:v>8</x:v>
      </x:c>
      <x:c r="J4800" s="68" t="n">
        <x:f>IFERROR(H4800/I4800,"")</x:f>
        <x:v>3.25</x:v>
      </x:c>
      <x:c r="K4800" s="69" t="n">
        <x:f>IFERROR(I4800/H4800,"")</x:f>
        <x:v>0.3076923076923077</x:v>
      </x:c>
      <x:c r="L4800" s="66" t="str">
        <x:f>IF(K4800="","","1 : "&amp;TEXT(K4800,"0.0"))</x:f>
        <x:v>1 : 0.3</x:v>
      </x:c>
      <x:c r="M4800" s="66" t="str">
        <x:f>IF(J4800="","Baru/Tanpa Data",IF(J4800&lt;='Catatan &amp; Sumber'!$B$14,"Sangat Ketat",IF(J4800&lt;='Catatan &amp; Sumber'!$B$15,"Ketat",IF(J4800&lt;='Catatan &amp; Sumber'!$B$16,"Sedang","Relatif Longgar"))))</x:f>
        <x:v>Relatif Longgar</x:v>
      </x:c>
      <x:c r="N4800" s="66" t="str">
        <x:v>Tidak Ada</x:v>
      </x:c>
      <x:c r="O4800" s="66" t="str">
        <x:v>Gorontalo</x:v>
      </x:c>
      <x:c r="P4800" s="66" t="str">
        <x:v>Kota Gorontalo</x:v>
      </x:c>
      <x:c r="Q4800" s="66" t="str">
        <x:v>https://snpmb.id/snbp/daya-tampung-snbp</x:v>
      </x:c>
      <x:c r="R4800" s="66" t="str">
        <x:v>https://sidatagrun-public-1076756628210.asia-southeast2.run.app/ptn_sn.php?ptn=752</x:v>
      </x:c>
    </x:row>
    <x:row r="4801">
      <x:c r="A4801" s="87" t="n">
        <x:v>3897</x:v>
      </x:c>
      <x:c r="B4801" s="66" t="n">
        <x:v>752</x:v>
      </x:c>
      <x:c r="C4801" s="66" t="str">
        <x:v>UNIVERSITAS NEGERI GORONTALO</x:v>
      </x:c>
      <x:c r="D4801" s="66" t="str">
        <x:v>PTN Akademik</x:v>
      </x:c>
      <x:c r="E4801" s="66" t="str">
        <x:v>17521049</x:v>
      </x:c>
      <x:c r="F4801" s="66" t="str">
        <x:v>MANAJEMEN PENDIDIKAN</x:v>
      </x:c>
      <x:c r="G4801" s="66" t="str">
        <x:v>Sarjana</x:v>
      </x:c>
      <x:c r="H4801" s="87" t="n">
        <x:v>48</x:v>
      </x:c>
      <x:c r="I4801" s="87" t="n">
        <x:v>77</x:v>
      </x:c>
      <x:c r="J4801" s="68" t="n">
        <x:f>IFERROR(H4801/I4801,"")</x:f>
        <x:v>0.6233766233766234</x:v>
      </x:c>
      <x:c r="K4801" s="69" t="n">
        <x:f>IFERROR(I4801/H4801,"")</x:f>
        <x:v>1.6041666666666667</x:v>
      </x:c>
      <x:c r="L4801" s="66" t="str">
        <x:f>IF(K4801="","","1 : "&amp;TEXT(K4801,"0.0"))</x:f>
        <x:v>1 : 1.6</x:v>
      </x:c>
      <x:c r="M4801" s="66" t="str">
        <x:f>IF(J4801="","Baru/Tanpa Data",IF(J4801&lt;='Catatan &amp; Sumber'!$B$14,"Sangat Ketat",IF(J4801&lt;='Catatan &amp; Sumber'!$B$15,"Ketat",IF(J4801&lt;='Catatan &amp; Sumber'!$B$16,"Sedang","Relatif Longgar"))))</x:f>
        <x:v>Relatif Longgar</x:v>
      </x:c>
      <x:c r="N4801" s="66" t="str">
        <x:v>Tidak Ada</x:v>
      </x:c>
      <x:c r="O4801" s="66" t="str">
        <x:v>Gorontalo</x:v>
      </x:c>
      <x:c r="P4801" s="66" t="str">
        <x:v>Kota Gorontalo</x:v>
      </x:c>
      <x:c r="Q4801" s="66" t="str">
        <x:v>https://snpmb.id/snbp/daya-tampung-snbp</x:v>
      </x:c>
      <x:c r="R4801" s="66" t="str">
        <x:v>https://sidatagrun-public-1076756628210.asia-southeast2.run.app/ptn_sn.php?ptn=752</x:v>
      </x:c>
    </x:row>
    <x:row r="4802">
      <x:c r="A4802" s="87" t="n">
        <x:v>2899</x:v>
      </x:c>
      <x:c r="B4802" s="66" t="n">
        <x:v>752</x:v>
      </x:c>
      <x:c r="C4802" s="66" t="str">
        <x:v>UNIVERSITAS NEGERI GORONTALO</x:v>
      </x:c>
      <x:c r="D4802" s="66" t="str">
        <x:v>PTN Akademik</x:v>
      </x:c>
      <x:c r="E4802" s="66" t="str">
        <x:v>17521050</x:v>
      </x:c>
      <x:c r="F4802" s="66" t="str">
        <x:v>ILMU HUKUM</x:v>
      </x:c>
      <x:c r="G4802" s="66" t="str">
        <x:v>Sarjana</x:v>
      </x:c>
      <x:c r="H4802" s="87" t="n">
        <x:v>113</x:v>
      </x:c>
      <x:c r="I4802" s="87" t="n">
        <x:v>412</x:v>
      </x:c>
      <x:c r="J4802" s="68" t="n">
        <x:f>IFERROR(H4802/I4802,"")</x:f>
        <x:v>0.27427184466019416</x:v>
      </x:c>
      <x:c r="K4802" s="69" t="n">
        <x:f>IFERROR(I4802/H4802,"")</x:f>
        <x:v>3.646017699115044</x:v>
      </x:c>
      <x:c r="L4802" s="66" t="str">
        <x:f>IF(K4802="","","1 : "&amp;TEXT(K4802,"0.0"))</x:f>
        <x:v>1 : 3.6</x:v>
      </x:c>
      <x:c r="M4802" s="66" t="str">
        <x:f>IF(J4802="","Baru/Tanpa Data",IF(J4802&lt;='Catatan &amp; Sumber'!$B$14,"Sangat Ketat",IF(J4802&lt;='Catatan &amp; Sumber'!$B$15,"Ketat",IF(J4802&lt;='Catatan &amp; Sumber'!$B$16,"Sedang","Relatif Longgar"))))</x:f>
        <x:v>Relatif Longgar</x:v>
      </x:c>
      <x:c r="N4802" s="66" t="str">
        <x:v>Tidak Ada</x:v>
      </x:c>
      <x:c r="O4802" s="66" t="str">
        <x:v>Gorontalo</x:v>
      </x:c>
      <x:c r="P4802" s="66" t="str">
        <x:v>Kota Gorontalo</x:v>
      </x:c>
      <x:c r="Q4802" s="66" t="str">
        <x:v>https://snpmb.id/snbp/daya-tampung-snbp</x:v>
      </x:c>
      <x:c r="R4802" s="66" t="str">
        <x:v>https://sidatagrun-public-1076756628210.asia-southeast2.run.app/ptn_sn.php?ptn=752</x:v>
      </x:c>
    </x:row>
    <x:row r="4803">
      <x:c r="A4803" s="87" t="n">
        <x:v>2195</x:v>
      </x:c>
      <x:c r="B4803" s="66" t="n">
        <x:v>752</x:v>
      </x:c>
      <x:c r="C4803" s="66" t="str">
        <x:v>UNIVERSITAS NEGERI GORONTALO</x:v>
      </x:c>
      <x:c r="D4803" s="66" t="str">
        <x:v>PTN Akademik</x:v>
      </x:c>
      <x:c r="E4803" s="66" t="str">
        <x:v>17521051</x:v>
      </x:c>
      <x:c r="F4803" s="66" t="str">
        <x:v>AKUNTANSI</x:v>
      </x:c>
      <x:c r="G4803" s="66" t="str">
        <x:v>Sarjana</x:v>
      </x:c>
      <x:c r="H4803" s="87" t="n">
        <x:v>61</x:v>
      </x:c>
      <x:c r="I4803" s="87" t="n">
        <x:v>357</x:v>
      </x:c>
      <x:c r="J4803" s="68" t="n">
        <x:f>IFERROR(H4803/I4803,"")</x:f>
        <x:v>0.17086834733893558</x:v>
      </x:c>
      <x:c r="K4803" s="69" t="n">
        <x:f>IFERROR(I4803/H4803,"")</x:f>
        <x:v>5.852459016393443</x:v>
      </x:c>
      <x:c r="L4803" s="66" t="str">
        <x:f>IF(K4803="","","1 : "&amp;TEXT(K4803,"0.0"))</x:f>
        <x:v>1 : 5.9</x:v>
      </x:c>
      <x:c r="M4803" s="66" t="str">
        <x:f>IF(J4803="","Baru/Tanpa Data",IF(J4803&lt;='Catatan &amp; Sumber'!$B$14,"Sangat Ketat",IF(J4803&lt;='Catatan &amp; Sumber'!$B$15,"Ketat",IF(J4803&lt;='Catatan &amp; Sumber'!$B$16,"Sedang","Relatif Longgar"))))</x:f>
        <x:v>Relatif Longgar</x:v>
      </x:c>
      <x:c r="N4803" s="66" t="str">
        <x:v>Tidak Ada</x:v>
      </x:c>
      <x:c r="O4803" s="66" t="str">
        <x:v>Gorontalo</x:v>
      </x:c>
      <x:c r="P4803" s="66" t="str">
        <x:v>Kota Gorontalo</x:v>
      </x:c>
      <x:c r="Q4803" s="66" t="str">
        <x:v>https://snpmb.id/snbp/daya-tampung-snbp</x:v>
      </x:c>
      <x:c r="R4803" s="66" t="str">
        <x:v>https://sidatagrun-public-1076756628210.asia-southeast2.run.app/ptn_sn.php?ptn=752</x:v>
      </x:c>
    </x:row>
    <x:row r="4804">
      <x:c r="A4804" s="87" t="n">
        <x:v>1814</x:v>
      </x:c>
      <x:c r="B4804" s="66" t="n">
        <x:v>752</x:v>
      </x:c>
      <x:c r="C4804" s="66" t="str">
        <x:v>UNIVERSITAS NEGERI GORONTALO</x:v>
      </x:c>
      <x:c r="D4804" s="66" t="str">
        <x:v>PTN Akademik</x:v>
      </x:c>
      <x:c r="E4804" s="66" t="str">
        <x:v>17521052</x:v>
      </x:c>
      <x:c r="F4804" s="66" t="str">
        <x:v>MANAJEMEN</x:v>
      </x:c>
      <x:c r="G4804" s="66" t="str">
        <x:v>Sarjana</x:v>
      </x:c>
      <x:c r="H4804" s="87" t="n">
        <x:v>65</x:v>
      </x:c>
      <x:c r="I4804" s="87" t="n">
        <x:v>487</x:v>
      </x:c>
      <x:c r="J4804" s="68" t="n">
        <x:f>IFERROR(H4804/I4804,"")</x:f>
        <x:v>0.13347022587268995</x:v>
      </x:c>
      <x:c r="K4804" s="69" t="n">
        <x:f>IFERROR(I4804/H4804,"")</x:f>
        <x:v>7.492307692307692</x:v>
      </x:c>
      <x:c r="L4804" s="66" t="str">
        <x:f>IF(K4804="","","1 : "&amp;TEXT(K4804,"0.0"))</x:f>
        <x:v>1 : 7.5</x:v>
      </x:c>
      <x:c r="M4804" s="66" t="str">
        <x:f>IF(J4804="","Baru/Tanpa Data",IF(J4804&lt;='Catatan &amp; Sumber'!$B$14,"Sangat Ketat",IF(J4804&lt;='Catatan &amp; Sumber'!$B$15,"Ketat",IF(J4804&lt;='Catatan &amp; Sumber'!$B$16,"Sedang","Relatif Longgar"))))</x:f>
        <x:v>Relatif Longgar</x:v>
      </x:c>
      <x:c r="N4804" s="66" t="str">
        <x:v>Tidak Ada</x:v>
      </x:c>
      <x:c r="O4804" s="66" t="str">
        <x:v>Gorontalo</x:v>
      </x:c>
      <x:c r="P4804" s="66" t="str">
        <x:v>Kota Gorontalo</x:v>
      </x:c>
      <x:c r="Q4804" s="66" t="str">
        <x:v>https://snpmb.id/snbp/daya-tampung-snbp</x:v>
      </x:c>
      <x:c r="R4804" s="66" t="str">
        <x:v>https://sidatagrun-public-1076756628210.asia-southeast2.run.app/ptn_sn.php?ptn=752</x:v>
      </x:c>
    </x:row>
    <x:row r="4805">
      <x:c r="A4805" s="87" t="n">
        <x:v>4156</x:v>
      </x:c>
      <x:c r="B4805" s="66" t="n">
        <x:v>752</x:v>
      </x:c>
      <x:c r="C4805" s="66" t="str">
        <x:v>UNIVERSITAS NEGERI GORONTALO</x:v>
      </x:c>
      <x:c r="D4805" s="66" t="str">
        <x:v>PTN Akademik</x:v>
      </x:c>
      <x:c r="E4805" s="66" t="str">
        <x:v>17521053</x:v>
      </x:c>
      <x:c r="F4805" s="66" t="str">
        <x:v>PENDIDIKAN KEPELATIHAN OLAHRAGA</x:v>
      </x:c>
      <x:c r="G4805" s="66" t="str">
        <x:v>Sarjana</x:v>
      </x:c>
      <x:c r="H4805" s="87" t="n">
        <x:v>45</x:v>
      </x:c>
      <x:c r="I4805" s="87" t="n">
        <x:v>55</x:v>
      </x:c>
      <x:c r="J4805" s="68" t="n">
        <x:f>IFERROR(H4805/I4805,"")</x:f>
        <x:v>0.8181818181818182</x:v>
      </x:c>
      <x:c r="K4805" s="69" t="n">
        <x:f>IFERROR(I4805/H4805,"")</x:f>
        <x:v>1.2222222222222223</x:v>
      </x:c>
      <x:c r="L4805" s="66" t="str">
        <x:f>IF(K4805="","","1 : "&amp;TEXT(K4805,"0.0"))</x:f>
        <x:v>1 : 1.2</x:v>
      </x:c>
      <x:c r="M4805" s="66" t="str">
        <x:f>IF(J4805="","Baru/Tanpa Data",IF(J4805&lt;='Catatan &amp; Sumber'!$B$14,"Sangat Ketat",IF(J4805&lt;='Catatan &amp; Sumber'!$B$15,"Ketat",IF(J4805&lt;='Catatan &amp; Sumber'!$B$16,"Sedang","Relatif Longgar"))))</x:f>
        <x:v>Relatif Longgar</x:v>
      </x:c>
      <x:c r="N4805" s="66" t="str">
        <x:v>Olahraga</x:v>
      </x:c>
      <x:c r="O4805" s="66" t="str">
        <x:v>Gorontalo</x:v>
      </x:c>
      <x:c r="P4805" s="66" t="str">
        <x:v>Kota Gorontalo</x:v>
      </x:c>
      <x:c r="Q4805" s="66" t="str">
        <x:v>https://snpmb.id/snbp/daya-tampung-snbp</x:v>
      </x:c>
      <x:c r="R4805" s="66" t="str">
        <x:v>https://sidatagrun-public-1076756628210.asia-southeast2.run.app/ptn_sn.php?ptn=752</x:v>
      </x:c>
    </x:row>
    <x:row r="4806">
      <x:c r="A4806" s="87" t="n">
        <x:v>4071</x:v>
      </x:c>
      <x:c r="B4806" s="66" t="n">
        <x:v>752</x:v>
      </x:c>
      <x:c r="C4806" s="66" t="str">
        <x:v>UNIVERSITAS NEGERI GORONTALO</x:v>
      </x:c>
      <x:c r="D4806" s="66" t="str">
        <x:v>PTN Akademik</x:v>
      </x:c>
      <x:c r="E4806" s="66" t="str">
        <x:v>17521054</x:v>
      </x:c>
      <x:c r="F4806" s="66" t="str">
        <x:v>SOSIOLOGI</x:v>
      </x:c>
      <x:c r="G4806" s="66" t="str">
        <x:v>Sarjana</x:v>
      </x:c>
      <x:c r="H4806" s="87" t="n">
        <x:v>50</x:v>
      </x:c>
      <x:c r="I4806" s="87" t="n">
        <x:v>68</x:v>
      </x:c>
      <x:c r="J4806" s="68" t="n">
        <x:f>IFERROR(H4806/I4806,"")</x:f>
        <x:v>0.7352941176470589</x:v>
      </x:c>
      <x:c r="K4806" s="69" t="n">
        <x:f>IFERROR(I4806/H4806,"")</x:f>
        <x:v>1.36</x:v>
      </x:c>
      <x:c r="L4806" s="66" t="str">
        <x:f>IF(K4806="","","1 : "&amp;TEXT(K4806,"0.0"))</x:f>
        <x:v>1 : 1.4</x:v>
      </x:c>
      <x:c r="M4806" s="66" t="str">
        <x:f>IF(J4806="","Baru/Tanpa Data",IF(J4806&lt;='Catatan &amp; Sumber'!$B$14,"Sangat Ketat",IF(J4806&lt;='Catatan &amp; Sumber'!$B$15,"Ketat",IF(J4806&lt;='Catatan &amp; Sumber'!$B$16,"Sedang","Relatif Longgar"))))</x:f>
        <x:v>Relatif Longgar</x:v>
      </x:c>
      <x:c r="N4806" s="66" t="str">
        <x:v>Tidak Ada</x:v>
      </x:c>
      <x:c r="O4806" s="66" t="str">
        <x:v>Gorontalo</x:v>
      </x:c>
      <x:c r="P4806" s="66" t="str">
        <x:v>Kota Gorontalo</x:v>
      </x:c>
      <x:c r="Q4806" s="66" t="str">
        <x:v>https://snpmb.id/snbp/daya-tampung-snbp</x:v>
      </x:c>
      <x:c r="R4806" s="66" t="str">
        <x:v>https://sidatagrun-public-1076756628210.asia-southeast2.run.app/ptn_sn.php?ptn=752</x:v>
      </x:c>
    </x:row>
    <x:row r="4807">
      <x:c r="A4807" s="87" t="n">
        <x:v>2465</x:v>
      </x:c>
      <x:c r="B4807" s="66" t="n">
        <x:v>752</x:v>
      </x:c>
      <x:c r="C4807" s="66" t="str">
        <x:v>UNIVERSITAS NEGERI GORONTALO</x:v>
      </x:c>
      <x:c r="D4807" s="66" t="str">
        <x:v>PTN Akademik</x:v>
      </x:c>
      <x:c r="E4807" s="66" t="str">
        <x:v>17521055</x:v>
      </x:c>
      <x:c r="F4807" s="66" t="str">
        <x:v>ILMU KOMUNIKASI</x:v>
      </x:c>
      <x:c r="G4807" s="66" t="str">
        <x:v>Sarjana</x:v>
      </x:c>
      <x:c r="H4807" s="87" t="n">
        <x:v>60</x:v>
      </x:c>
      <x:c r="I4807" s="87" t="n">
        <x:v>293</x:v>
      </x:c>
      <x:c r="J4807" s="68" t="n">
        <x:f>IFERROR(H4807/I4807,"")</x:f>
        <x:v>0.20477815699658702</x:v>
      </x:c>
      <x:c r="K4807" s="69" t="n">
        <x:f>IFERROR(I4807/H4807,"")</x:f>
        <x:v>4.883333333333334</x:v>
      </x:c>
      <x:c r="L4807" s="66" t="str">
        <x:f>IF(K4807="","","1 : "&amp;TEXT(K4807,"0.0"))</x:f>
        <x:v>1 : 4.9</x:v>
      </x:c>
      <x:c r="M4807" s="66" t="str">
        <x:f>IF(J4807="","Baru/Tanpa Data",IF(J4807&lt;='Catatan &amp; Sumber'!$B$14,"Sangat Ketat",IF(J4807&lt;='Catatan &amp; Sumber'!$B$15,"Ketat",IF(J4807&lt;='Catatan &amp; Sumber'!$B$16,"Sedang","Relatif Longgar"))))</x:f>
        <x:v>Relatif Longgar</x:v>
      </x:c>
      <x:c r="N4807" s="66" t="str">
        <x:v>Tidak Ada</x:v>
      </x:c>
      <x:c r="O4807" s="66" t="str">
        <x:v>Gorontalo</x:v>
      </x:c>
      <x:c r="P4807" s="66" t="str">
        <x:v>Kota Gorontalo</x:v>
      </x:c>
      <x:c r="Q4807" s="66" t="str">
        <x:v>https://snpmb.id/snbp/daya-tampung-snbp</x:v>
      </x:c>
      <x:c r="R4807" s="66" t="str">
        <x:v>https://sidatagrun-public-1076756628210.asia-southeast2.run.app/ptn_sn.php?ptn=752</x:v>
      </x:c>
    </x:row>
    <x:row r="4808">
      <x:c r="A4808" s="87" t="n">
        <x:v>4185</x:v>
      </x:c>
      <x:c r="B4808" s="66" t="n">
        <x:v>752</x:v>
      </x:c>
      <x:c r="C4808" s="66" t="str">
        <x:v>UNIVERSITAS NEGERI GORONTALO</x:v>
      </x:c>
      <x:c r="D4808" s="66" t="str">
        <x:v>PTN Akademik</x:v>
      </x:c>
      <x:c r="E4808" s="66" t="str">
        <x:v>17521056</x:v>
      </x:c>
      <x:c r="F4808" s="66" t="str">
        <x:v>EKONOMI PEMBANGUNAN</x:v>
      </x:c>
      <x:c r="G4808" s="66" t="str">
        <x:v>Sarjana</x:v>
      </x:c>
      <x:c r="H4808" s="87" t="n">
        <x:v>36</x:v>
      </x:c>
      <x:c r="I4808" s="87" t="n">
        <x:v>43</x:v>
      </x:c>
      <x:c r="J4808" s="68" t="n">
        <x:f>IFERROR(H4808/I4808,"")</x:f>
        <x:v>0.8372093023255814</x:v>
      </x:c>
      <x:c r="K4808" s="69" t="n">
        <x:f>IFERROR(I4808/H4808,"")</x:f>
        <x:v>1.1944444444444444</x:v>
      </x:c>
      <x:c r="L4808" s="66" t="str">
        <x:f>IF(K4808="","","1 : "&amp;TEXT(K4808,"0.0"))</x:f>
        <x:v>1 : 1.2</x:v>
      </x:c>
      <x:c r="M4808" s="66" t="str">
        <x:f>IF(J4808="","Baru/Tanpa Data",IF(J4808&lt;='Catatan &amp; Sumber'!$B$14,"Sangat Ketat",IF(J4808&lt;='Catatan &amp; Sumber'!$B$15,"Ketat",IF(J4808&lt;='Catatan &amp; Sumber'!$B$16,"Sedang","Relatif Longgar"))))</x:f>
        <x:v>Relatif Longgar</x:v>
      </x:c>
      <x:c r="N4808" s="66" t="str">
        <x:v>Tidak Ada</x:v>
      </x:c>
      <x:c r="O4808" s="66" t="str">
        <x:v>Gorontalo</x:v>
      </x:c>
      <x:c r="P4808" s="66" t="str">
        <x:v>Kota Gorontalo</x:v>
      </x:c>
      <x:c r="Q4808" s="66" t="str">
        <x:v>https://snpmb.id/snbp/daya-tampung-snbp</x:v>
      </x:c>
      <x:c r="R4808" s="66" t="str">
        <x:v>https://sidatagrun-public-1076756628210.asia-southeast2.run.app/ptn_sn.php?ptn=752</x:v>
      </x:c>
    </x:row>
    <x:row r="4809">
      <x:c r="A4809" s="87" t="n">
        <x:v>1833</x:v>
      </x:c>
      <x:c r="B4809" s="66" t="n">
        <x:v>752</x:v>
      </x:c>
      <x:c r="C4809" s="66" t="str">
        <x:v>UNIVERSITAS NEGERI GORONTALO</x:v>
      </x:c>
      <x:c r="D4809" s="66" t="str">
        <x:v>PTN Akademik</x:v>
      </x:c>
      <x:c r="E4809" s="66" t="str">
        <x:v>17521057</x:v>
      </x:c>
      <x:c r="F4809" s="66" t="str">
        <x:v>ADMINISTRASI PUBLIK</x:v>
      </x:c>
      <x:c r="G4809" s="66" t="str">
        <x:v>Sarjana</x:v>
      </x:c>
      <x:c r="H4809" s="87" t="n">
        <x:v>40</x:v>
      </x:c>
      <x:c r="I4809" s="87" t="n">
        <x:v>296</x:v>
      </x:c>
      <x:c r="J4809" s="68" t="n">
        <x:f>IFERROR(H4809/I4809,"")</x:f>
        <x:v>0.13513513513513514</x:v>
      </x:c>
      <x:c r="K4809" s="69" t="n">
        <x:f>IFERROR(I4809/H4809,"")</x:f>
        <x:v>7.4</x:v>
      </x:c>
      <x:c r="L4809" s="66" t="str">
        <x:f>IF(K4809="","","1 : "&amp;TEXT(K4809,"0.0"))</x:f>
        <x:v>1 : 7.4</x:v>
      </x:c>
      <x:c r="M4809" s="66" t="str">
        <x:f>IF(J4809="","Baru/Tanpa Data",IF(J4809&lt;='Catatan &amp; Sumber'!$B$14,"Sangat Ketat",IF(J4809&lt;='Catatan &amp; Sumber'!$B$15,"Ketat",IF(J4809&lt;='Catatan &amp; Sumber'!$B$16,"Sedang","Relatif Longgar"))))</x:f>
        <x:v>Relatif Longgar</x:v>
      </x:c>
      <x:c r="N4809" s="66" t="str">
        <x:v>Tidak Ada</x:v>
      </x:c>
      <x:c r="O4809" s="66" t="str">
        <x:v>Gorontalo</x:v>
      </x:c>
      <x:c r="P4809" s="66" t="str">
        <x:v>Kota Gorontalo</x:v>
      </x:c>
      <x:c r="Q4809" s="66" t="str">
        <x:v>https://snpmb.id/snbp/daya-tampung-snbp</x:v>
      </x:c>
      <x:c r="R4809" s="66" t="str">
        <x:v>https://sidatagrun-public-1076756628210.asia-southeast2.run.app/ptn_sn.php?ptn=752</x:v>
      </x:c>
    </x:row>
    <x:row r="4810">
      <x:c r="A4810" s="87" t="n">
        <x:v>4305</x:v>
      </x:c>
      <x:c r="B4810" s="66" t="n">
        <x:v>752</x:v>
      </x:c>
      <x:c r="C4810" s="66" t="str">
        <x:v>UNIVERSITAS NEGERI GORONTALO</x:v>
      </x:c>
      <x:c r="D4810" s="66" t="str">
        <x:v>PTN Akademik</x:v>
      </x:c>
      <x:c r="E4810" s="66" t="str">
        <x:v>17521058</x:v>
      </x:c>
      <x:c r="F4810" s="66" t="str">
        <x:v>PENDIDIKAN GEOGRAFI</x:v>
      </x:c>
      <x:c r="G4810" s="66" t="str">
        <x:v>Sarjana</x:v>
      </x:c>
      <x:c r="H4810" s="87" t="n">
        <x:v>30</x:v>
      </x:c>
      <x:c r="I4810" s="87" t="n">
        <x:v>30</x:v>
      </x:c>
      <x:c r="J4810" s="68" t="n">
        <x:f>IFERROR(H4810/I4810,"")</x:f>
        <x:v>1</x:v>
      </x:c>
      <x:c r="K4810" s="69" t="n">
        <x:f>IFERROR(I4810/H4810,"")</x:f>
        <x:v>1</x:v>
      </x:c>
      <x:c r="L4810" s="66" t="str">
        <x:f>IF(K4810="","","1 : "&amp;TEXT(K4810,"0.0"))</x:f>
        <x:v>1 : 1.0</x:v>
      </x:c>
      <x:c r="M4810" s="66" t="str">
        <x:f>IF(J4810="","Baru/Tanpa Data",IF(J4810&lt;='Catatan &amp; Sumber'!$B$14,"Sangat Ketat",IF(J4810&lt;='Catatan &amp; Sumber'!$B$15,"Ketat",IF(J4810&lt;='Catatan &amp; Sumber'!$B$16,"Sedang","Relatif Longgar"))))</x:f>
        <x:v>Relatif Longgar</x:v>
      </x:c>
      <x:c r="N4810" s="66" t="str">
        <x:v>Tidak Ada</x:v>
      </x:c>
      <x:c r="O4810" s="66" t="str">
        <x:v>Gorontalo</x:v>
      </x:c>
      <x:c r="P4810" s="66" t="str">
        <x:v>Kota Gorontalo</x:v>
      </x:c>
      <x:c r="Q4810" s="66" t="str">
        <x:v>https://snpmb.id/snbp/daya-tampung-snbp</x:v>
      </x:c>
      <x:c r="R4810" s="66" t="str">
        <x:v>https://sidatagrun-public-1076756628210.asia-southeast2.run.app/ptn_sn.php?ptn=752</x:v>
      </x:c>
    </x:row>
    <x:row r="4811">
      <x:c r="A4811" s="87" t="n">
        <x:v>4077</x:v>
      </x:c>
      <x:c r="B4811" s="66" t="n">
        <x:v>752</x:v>
      </x:c>
      <x:c r="C4811" s="66" t="str">
        <x:v>UNIVERSITAS NEGERI GORONTALO</x:v>
      </x:c>
      <x:c r="D4811" s="66" t="str">
        <x:v>PTN Akademik</x:v>
      </x:c>
      <x:c r="E4811" s="66" t="str">
        <x:v>17521059</x:v>
      </x:c>
      <x:c r="F4811" s="66" t="str">
        <x:v>PENDIDIKAN SENI RUPA</x:v>
      </x:c>
      <x:c r="G4811" s="66" t="str">
        <x:v>Sarjana</x:v>
      </x:c>
      <x:c r="H4811" s="87" t="n">
        <x:v>20</x:v>
      </x:c>
      <x:c r="I4811" s="87" t="n">
        <x:v>27</x:v>
      </x:c>
      <x:c r="J4811" s="68" t="n">
        <x:f>IFERROR(H4811/I4811,"")</x:f>
        <x:v>0.7407407407407407</x:v>
      </x:c>
      <x:c r="K4811" s="69" t="n">
        <x:f>IFERROR(I4811/H4811,"")</x:f>
        <x:v>1.35</x:v>
      </x:c>
      <x:c r="L4811" s="66" t="str">
        <x:f>IF(K4811="","","1 : "&amp;TEXT(K4811,"0.0"))</x:f>
        <x:v>1 : 1.4</x:v>
      </x:c>
      <x:c r="M4811" s="66" t="str">
        <x:f>IF(J4811="","Baru/Tanpa Data",IF(J4811&lt;='Catatan &amp; Sumber'!$B$14,"Sangat Ketat",IF(J4811&lt;='Catatan &amp; Sumber'!$B$15,"Ketat",IF(J4811&lt;='Catatan &amp; Sumber'!$B$16,"Sedang","Relatif Longgar"))))</x:f>
        <x:v>Relatif Longgar</x:v>
      </x:c>
      <x:c r="N4811" s="66" t="str">
        <x:v>Seni Rupa, Desain, dan Kriya</x:v>
      </x:c>
      <x:c r="O4811" s="66" t="str">
        <x:v>Gorontalo</x:v>
      </x:c>
      <x:c r="P4811" s="66" t="str">
        <x:v>Kota Gorontalo</x:v>
      </x:c>
      <x:c r="Q4811" s="66" t="str">
        <x:v>https://snpmb.id/snbp/daya-tampung-snbp</x:v>
      </x:c>
      <x:c r="R4811" s="66" t="str">
        <x:v>https://sidatagrun-public-1076756628210.asia-southeast2.run.app/ptn_sn.php?ptn=752</x:v>
      </x:c>
    </x:row>
    <x:row r="4812">
      <x:c r="A4812" s="87" t="n">
        <x:v>1915</x:v>
      </x:c>
      <x:c r="B4812" s="66" t="n">
        <x:v>752</x:v>
      </x:c>
      <x:c r="C4812" s="66" t="str">
        <x:v>UNIVERSITAS NEGERI GORONTALO</x:v>
      </x:c>
      <x:c r="D4812" s="66" t="str">
        <x:v>PTN Akademik</x:v>
      </x:c>
      <x:c r="E4812" s="66" t="str">
        <x:v>17521062</x:v>
      </x:c>
      <x:c r="F4812" s="66" t="str">
        <x:v>PSIKOLOGI</x:v>
      </x:c>
      <x:c r="G4812" s="66" t="str">
        <x:v>Sarjana</x:v>
      </x:c>
      <x:c r="H4812" s="87" t="n">
        <x:v>33</x:v>
      </x:c>
      <x:c r="I4812" s="87" t="n">
        <x:v>232</x:v>
      </x:c>
      <x:c r="J4812" s="68" t="n">
        <x:f>IFERROR(H4812/I4812,"")</x:f>
        <x:v>0.14224137931034483</x:v>
      </x:c>
      <x:c r="K4812" s="69" t="n">
        <x:f>IFERROR(I4812/H4812,"")</x:f>
        <x:v>7.03030303030303</x:v>
      </x:c>
      <x:c r="L4812" s="66" t="str">
        <x:f>IF(K4812="","","1 : "&amp;TEXT(K4812,"0.0"))</x:f>
        <x:v>1 : 7.0</x:v>
      </x:c>
      <x:c r="M4812" s="66" t="str">
        <x:f>IF(J4812="","Baru/Tanpa Data",IF(J4812&lt;='Catatan &amp; Sumber'!$B$14,"Sangat Ketat",IF(J4812&lt;='Catatan &amp; Sumber'!$B$15,"Ketat",IF(J4812&lt;='Catatan &amp; Sumber'!$B$16,"Sedang","Relatif Longgar"))))</x:f>
        <x:v>Relatif Longgar</x:v>
      </x:c>
      <x:c r="N4812" s="66" t="str">
        <x:v>Tidak Ada</x:v>
      </x:c>
      <x:c r="O4812" s="66" t="str">
        <x:v>Gorontalo</x:v>
      </x:c>
      <x:c r="P4812" s="66" t="str">
        <x:v>Kota Gorontalo</x:v>
      </x:c>
      <x:c r="Q4812" s="66" t="str">
        <x:v>https://snpmb.id/snbp/daya-tampung-snbp</x:v>
      </x:c>
      <x:c r="R4812" s="66" t="str">
        <x:v>https://sidatagrun-public-1076756628210.asia-southeast2.run.app/ptn_sn.php?ptn=752</x:v>
      </x:c>
    </x:row>
    <x:row r="4813">
      <x:c r="A4813" s="87" t="n">
        <x:v>2482</x:v>
      </x:c>
      <x:c r="B4813" s="66" t="n">
        <x:v>752</x:v>
      </x:c>
      <x:c r="C4813" s="66" t="str">
        <x:v>UNIVERSITAS NEGERI GORONTALO</x:v>
      </x:c>
      <x:c r="D4813" s="66" t="str">
        <x:v>PTN Akademik</x:v>
      </x:c>
      <x:c r="E4813" s="66" t="str">
        <x:v>17521064</x:v>
      </x:c>
      <x:c r="F4813" s="66" t="str">
        <x:v>TEKNIK KOMPUTER</x:v>
      </x:c>
      <x:c r="G4813" s="66" t="str">
        <x:v>Sarjana</x:v>
      </x:c>
      <x:c r="H4813" s="87" t="n">
        <x:v>40</x:v>
      </x:c>
      <x:c r="I4813" s="87" t="n">
        <x:v>192</x:v>
      </x:c>
      <x:c r="J4813" s="68" t="n">
        <x:f>IFERROR(H4813/I4813,"")</x:f>
        <x:v>0.20833333333333334</x:v>
      </x:c>
      <x:c r="K4813" s="69" t="n">
        <x:f>IFERROR(I4813/H4813,"")</x:f>
        <x:v>4.8</x:v>
      </x:c>
      <x:c r="L4813" s="66" t="str">
        <x:f>IF(K4813="","","1 : "&amp;TEXT(K4813,"0.0"))</x:f>
        <x:v>1 : 4.8</x:v>
      </x:c>
      <x:c r="M4813" s="66" t="str">
        <x:f>IF(J4813="","Baru/Tanpa Data",IF(J4813&lt;='Catatan &amp; Sumber'!$B$14,"Sangat Ketat",IF(J4813&lt;='Catatan &amp; Sumber'!$B$15,"Ketat",IF(J4813&lt;='Catatan &amp; Sumber'!$B$16,"Sedang","Relatif Longgar"))))</x:f>
        <x:v>Relatif Longgar</x:v>
      </x:c>
      <x:c r="N4813" s="66" t="str">
        <x:v>Tidak Ada</x:v>
      </x:c>
      <x:c r="O4813" s="66" t="str">
        <x:v>Gorontalo</x:v>
      </x:c>
      <x:c r="P4813" s="66" t="str">
        <x:v>Kota Gorontalo</x:v>
      </x:c>
      <x:c r="Q4813" s="66" t="str">
        <x:v>https://snpmb.id/snbp/daya-tampung-snbp</x:v>
      </x:c>
      <x:c r="R4813" s="66" t="str">
        <x:v>https://sidatagrun-public-1076756628210.asia-southeast2.run.app/ptn_sn.php?ptn=752</x:v>
      </x:c>
    </x:row>
    <x:row r="4814">
      <x:c r="A4814" s="87" t="n">
        <x:v>4354</x:v>
      </x:c>
      <x:c r="B4814" s="66" t="n">
        <x:v>752</x:v>
      </x:c>
      <x:c r="C4814" s="66" t="str">
        <x:v>UNIVERSITAS NEGERI GORONTALO</x:v>
      </x:c>
      <x:c r="D4814" s="66" t="str">
        <x:v>PTN Akademik</x:v>
      </x:c>
      <x:c r="E4814" s="66" t="str">
        <x:v>17521065</x:v>
      </x:c>
      <x:c r="F4814" s="66" t="str">
        <x:v>ILMU KELAUTAN</x:v>
      </x:c>
      <x:c r="G4814" s="66" t="str">
        <x:v>Sarjana</x:v>
      </x:c>
      <x:c r="H4814" s="87" t="n">
        <x:v>20</x:v>
      </x:c>
      <x:c r="I4814" s="87" t="n">
        <x:v>19</x:v>
      </x:c>
      <x:c r="J4814" s="68" t="n">
        <x:f>IFERROR(H4814/I4814,"")</x:f>
        <x:v>1.0526315789473684</x:v>
      </x:c>
      <x:c r="K4814" s="69" t="n">
        <x:f>IFERROR(I4814/H4814,"")</x:f>
        <x:v>0.95</x:v>
      </x:c>
      <x:c r="L4814" s="66" t="str">
        <x:f>IF(K4814="","","1 : "&amp;TEXT(K4814,"0.0"))</x:f>
        <x:v>1 : 1.0</x:v>
      </x:c>
      <x:c r="M4814" s="66" t="str">
        <x:f>IF(J4814="","Baru/Tanpa Data",IF(J4814&lt;='Catatan &amp; Sumber'!$B$14,"Sangat Ketat",IF(J4814&lt;='Catatan &amp; Sumber'!$B$15,"Ketat",IF(J4814&lt;='Catatan &amp; Sumber'!$B$16,"Sedang","Relatif Longgar"))))</x:f>
        <x:v>Relatif Longgar</x:v>
      </x:c>
      <x:c r="N4814" s="66" t="str">
        <x:v>Tidak Ada</x:v>
      </x:c>
      <x:c r="O4814" s="66" t="str">
        <x:v>Gorontalo</x:v>
      </x:c>
      <x:c r="P4814" s="66" t="str">
        <x:v>Kota Gorontalo</x:v>
      </x:c>
      <x:c r="Q4814" s="66" t="str">
        <x:v>https://snpmb.id/snbp/daya-tampung-snbp</x:v>
      </x:c>
      <x:c r="R4814" s="66" t="str">
        <x:v>https://sidatagrun-public-1076756628210.asia-southeast2.run.app/ptn_sn.php?ptn=752</x:v>
      </x:c>
    </x:row>
    <x:row r="4815">
      <x:c r="A4815" s="87" t="n">
        <x:v>3988</x:v>
      </x:c>
      <x:c r="B4815" s="66" t="n">
        <x:v>752</x:v>
      </x:c>
      <x:c r="C4815" s="66" t="str">
        <x:v>UNIVERSITAS NEGERI GORONTALO</x:v>
      </x:c>
      <x:c r="D4815" s="66" t="str">
        <x:v>PTN Akademik</x:v>
      </x:c>
      <x:c r="E4815" s="66" t="str">
        <x:v>17521066</x:v>
      </x:c>
      <x:c r="F4815" s="66" t="str">
        <x:v>ILMU LINGKUNGAN</x:v>
      </x:c>
      <x:c r="G4815" s="66" t="str">
        <x:v>Sarjana</x:v>
      </x:c>
      <x:c r="H4815" s="87" t="n">
        <x:v>15</x:v>
      </x:c>
      <x:c r="I4815" s="87" t="n">
        <x:v>22</x:v>
      </x:c>
      <x:c r="J4815" s="68" t="n">
        <x:f>IFERROR(H4815/I4815,"")</x:f>
        <x:v>0.6818181818181818</x:v>
      </x:c>
      <x:c r="K4815" s="69" t="n">
        <x:f>IFERROR(I4815/H4815,"")</x:f>
        <x:v>1.4666666666666666</x:v>
      </x:c>
      <x:c r="L4815" s="66" t="str">
        <x:f>IF(K4815="","","1 : "&amp;TEXT(K4815,"0.0"))</x:f>
        <x:v>1 : 1.5</x:v>
      </x:c>
      <x:c r="M4815" s="66" t="str">
        <x:f>IF(J4815="","Baru/Tanpa Data",IF(J4815&lt;='Catatan &amp; Sumber'!$B$14,"Sangat Ketat",IF(J4815&lt;='Catatan &amp; Sumber'!$B$15,"Ketat",IF(J4815&lt;='Catatan &amp; Sumber'!$B$16,"Sedang","Relatif Longgar"))))</x:f>
        <x:v>Relatif Longgar</x:v>
      </x:c>
      <x:c r="N4815" s="66" t="str">
        <x:v>Tidak Ada</x:v>
      </x:c>
      <x:c r="O4815" s="66" t="str">
        <x:v>Gorontalo</x:v>
      </x:c>
      <x:c r="P4815" s="66" t="str">
        <x:v>Kota Gorontalo</x:v>
      </x:c>
      <x:c r="Q4815" s="66" t="str">
        <x:v>https://snpmb.id/snbp/daya-tampung-snbp</x:v>
      </x:c>
      <x:c r="R4815" s="66" t="str">
        <x:v>https://sidatagrun-public-1076756628210.asia-southeast2.run.app/ptn_sn.php?ptn=752</x:v>
      </x:c>
    </x:row>
    <x:row r="4816">
      <x:c r="A4816" s="87" t="n">
        <x:v>4899</x:v>
      </x:c>
      <x:c r="B4816" s="66" t="n">
        <x:v>752</x:v>
      </x:c>
      <x:c r="C4816" s="66" t="str">
        <x:v>UNIVERSITAS NEGERI GORONTALO</x:v>
      </x:c>
      <x:c r="D4816" s="66" t="str">
        <x:v>PTN Akademik</x:v>
      </x:c>
      <x:c r="E4816" s="66" t="str">
        <x:v>17521067</x:v>
      </x:c>
      <x:c r="F4816" s="66" t="str">
        <x:v>TEKNOLOGI PENANGKAPAN IKAN</x:v>
      </x:c>
      <x:c r="G4816" s="66" t="str">
        <x:v>Sarjana</x:v>
      </x:c>
      <x:c r="H4816" s="87" t="n">
        <x:v>15</x:v>
      </x:c>
      <x:c r="I4816" s="87" t="n">
        <x:v>1</x:v>
      </x:c>
      <x:c r="J4816" s="68" t="n">
        <x:f>IFERROR(H4816/I4816,"")</x:f>
        <x:v>15</x:v>
      </x:c>
      <x:c r="K4816" s="69" t="n">
        <x:f>IFERROR(I4816/H4816,"")</x:f>
        <x:v>0.06666666666666667</x:v>
      </x:c>
      <x:c r="L4816" s="66" t="str">
        <x:f>IF(K4816="","","1 : "&amp;TEXT(K4816,"0.0"))</x:f>
        <x:v>1 : 0.1</x:v>
      </x:c>
      <x:c r="M4816" s="66" t="str">
        <x:f>IF(J4816="","Baru/Tanpa Data",IF(J4816&lt;='Catatan &amp; Sumber'!$B$14,"Sangat Ketat",IF(J4816&lt;='Catatan &amp; Sumber'!$B$15,"Ketat",IF(J4816&lt;='Catatan &amp; Sumber'!$B$16,"Sedang","Relatif Longgar"))))</x:f>
        <x:v>Relatif Longgar</x:v>
      </x:c>
      <x:c r="N4816" s="66" t="str">
        <x:v>Tidak Ada</x:v>
      </x:c>
      <x:c r="O4816" s="66" t="str">
        <x:v>Gorontalo</x:v>
      </x:c>
      <x:c r="P4816" s="66" t="str">
        <x:v>Kota Gorontalo</x:v>
      </x:c>
      <x:c r="Q4816" s="66" t="str">
        <x:v>https://snpmb.id/snbp/daya-tampung-snbp</x:v>
      </x:c>
      <x:c r="R4816" s="66" t="str">
        <x:v>https://sidatagrun-public-1076756628210.asia-southeast2.run.app/ptn_sn.php?ptn=752</x:v>
      </x:c>
    </x:row>
    <x:row r="4817">
      <x:c r="A4817" s="87"/>
      <x:c r="B4817" s="66" t="n">
        <x:v>752</x:v>
      </x:c>
      <x:c r="C4817" s="66" t="str">
        <x:v>UNIVERSITAS NEGERI GORONTALO</x:v>
      </x:c>
      <x:c r="D4817" s="66" t="str">
        <x:v>PTN Akademik</x:v>
      </x:c>
      <x:c r="E4817" s="66" t="str">
        <x:v>17521068</x:v>
      </x:c>
      <x:c r="F4817" s="66" t="str">
        <x:v>PENDIDIKAN KHUSUS</x:v>
      </x:c>
      <x:c r="G4817" s="66" t="str">
        <x:v>Sarjana</x:v>
      </x:c>
      <x:c r="H4817" s="87" t="n">
        <x:v>21</x:v>
      </x:c>
      <x:c r="I4817" s="87"/>
      <x:c r="J4817" s="68" t="str">
        <x:f>IFERROR(H4817/I4817,"")</x:f>
      </x:c>
      <x:c r="K4817" s="69" t="n">
        <x:f>IFERROR(I4817/H4817,"")</x:f>
        <x:v>0</x:v>
      </x:c>
      <x:c r="L4817" s="66" t="str">
        <x:f>IF(K4817="","","1 : "&amp;TEXT(K4817,"0.0"))</x:f>
      </x:c>
      <x:c r="M4817" s="66" t="str">
        <x:f>IF(J4817="","Baru/Tanpa Data",IF(J4817&lt;='Catatan &amp; Sumber'!$B$14,"Sangat Ketat",IF(J4817&lt;='Catatan &amp; Sumber'!$B$15,"Ketat",IF(J4817&lt;='Catatan &amp; Sumber'!$B$16,"Sedang","Relatif Longgar"))))</x:f>
        <x:v>Baru/Tanpa Data</x:v>
      </x:c>
      <x:c r="N4817" s="66" t="str">
        <x:v>Tidak Ada</x:v>
      </x:c>
      <x:c r="O4817" s="66" t="str">
        <x:v>Gorontalo</x:v>
      </x:c>
      <x:c r="P4817" s="66" t="str">
        <x:v>Kota Gorontalo</x:v>
      </x:c>
      <x:c r="Q4817" s="66" t="str">
        <x:v>https://snpmb.id/snbp/daya-tampung-snbp</x:v>
      </x:c>
      <x:c r="R4817" s="66" t="str">
        <x:v>https://sidatagrun-public-1076756628210.asia-southeast2.run.app/ptn_sn.php?ptn=752</x:v>
      </x:c>
    </x:row>
    <x:row r="4818">
      <x:c r="A4818" s="87"/>
      <x:c r="B4818" s="66" t="n">
        <x:v>752</x:v>
      </x:c>
      <x:c r="C4818" s="66" t="str">
        <x:v>UNIVERSITAS NEGERI GORONTALO</x:v>
      </x:c>
      <x:c r="D4818" s="66" t="str">
        <x:v>PTN Akademik</x:v>
      </x:c>
      <x:c r="E4818" s="66" t="str">
        <x:v>17521069</x:v>
      </x:c>
      <x:c r="F4818" s="66" t="str">
        <x:v>PENDIDIKAN VOKASIONAL REKAYASA ELEKTRO</x:v>
      </x:c>
      <x:c r="G4818" s="66" t="str">
        <x:v>Sarjana</x:v>
      </x:c>
      <x:c r="H4818" s="87" t="n">
        <x:v>12</x:v>
      </x:c>
      <x:c r="I4818" s="87"/>
      <x:c r="J4818" s="68" t="str">
        <x:f>IFERROR(H4818/I4818,"")</x:f>
      </x:c>
      <x:c r="K4818" s="69" t="n">
        <x:f>IFERROR(I4818/H4818,"")</x:f>
        <x:v>0</x:v>
      </x:c>
      <x:c r="L4818" s="66" t="str">
        <x:f>IF(K4818="","","1 : "&amp;TEXT(K4818,"0.0"))</x:f>
      </x:c>
      <x:c r="M4818" s="66" t="str">
        <x:f>IF(J4818="","Baru/Tanpa Data",IF(J4818&lt;='Catatan &amp; Sumber'!$B$14,"Sangat Ketat",IF(J4818&lt;='Catatan &amp; Sumber'!$B$15,"Ketat",IF(J4818&lt;='Catatan &amp; Sumber'!$B$16,"Sedang","Relatif Longgar"))))</x:f>
        <x:v>Baru/Tanpa Data</x:v>
      </x:c>
      <x:c r="N4818" s="66" t="str">
        <x:v>Tidak Ada</x:v>
      </x:c>
      <x:c r="O4818" s="66" t="str">
        <x:v>Gorontalo</x:v>
      </x:c>
      <x:c r="P4818" s="66" t="str">
        <x:v>Kota Gorontalo</x:v>
      </x:c>
      <x:c r="Q4818" s="66" t="str">
        <x:v>https://snpmb.id/snbp/daya-tampung-snbp</x:v>
      </x:c>
      <x:c r="R4818" s="66" t="str">
        <x:v>https://sidatagrun-public-1076756628210.asia-southeast2.run.app/ptn_sn.php?ptn=752</x:v>
      </x:c>
    </x:row>
    <x:row r="4819">
      <x:c r="A4819" s="87" t="n">
        <x:v>4652</x:v>
      </x:c>
      <x:c r="B4819" s="66" t="n">
        <x:v>752</x:v>
      </x:c>
      <x:c r="C4819" s="66" t="str">
        <x:v>UNIVERSITAS NEGERI GORONTALO</x:v>
      </x:c>
      <x:c r="D4819" s="66" t="str">
        <x:v>PTN Akademik</x:v>
      </x:c>
      <x:c r="E4819" s="66" t="str">
        <x:v>17522034</x:v>
      </x:c>
      <x:c r="F4819" s="66" t="str">
        <x:v>TEKNOLOGI REKAYASA PERANGKAT LUNAK</x:v>
      </x:c>
      <x:c r="G4819" s="66" t="str">
        <x:v>Sarjana Terapan</x:v>
      </x:c>
      <x:c r="H4819" s="87" t="n">
        <x:v>20</x:v>
      </x:c>
      <x:c r="I4819" s="87" t="n">
        <x:v>10</x:v>
      </x:c>
      <x:c r="J4819" s="68" t="n">
        <x:f>IFERROR(H4819/I4819,"")</x:f>
        <x:v>2</x:v>
      </x:c>
      <x:c r="K4819" s="69" t="n">
        <x:f>IFERROR(I4819/H4819,"")</x:f>
        <x:v>0.5</x:v>
      </x:c>
      <x:c r="L4819" s="66" t="str">
        <x:f>IF(K4819="","","1 : "&amp;TEXT(K4819,"0.0"))</x:f>
        <x:v>1 : 0.5</x:v>
      </x:c>
      <x:c r="M4819" s="66" t="str">
        <x:f>IF(J4819="","Baru/Tanpa Data",IF(J4819&lt;='Catatan &amp; Sumber'!$B$14,"Sangat Ketat",IF(J4819&lt;='Catatan &amp; Sumber'!$B$15,"Ketat",IF(J4819&lt;='Catatan &amp; Sumber'!$B$16,"Sedang","Relatif Longgar"))))</x:f>
        <x:v>Relatif Longgar</x:v>
      </x:c>
      <x:c r="N4819" s="66" t="str">
        <x:v>Tidak Ada</x:v>
      </x:c>
      <x:c r="O4819" s="66" t="str">
        <x:v>Gorontalo</x:v>
      </x:c>
      <x:c r="P4819" s="66" t="str">
        <x:v>Kota Gorontalo</x:v>
      </x:c>
      <x:c r="Q4819" s="66" t="str">
        <x:v>https://snpmb.id/snbp/daya-tampung-snbp</x:v>
      </x:c>
      <x:c r="R4819" s="66" t="str">
        <x:v>https://sidatagrun-public-1076756628210.asia-southeast2.run.app/ptn_sn.php?ptn=752</x:v>
      </x:c>
    </x:row>
    <x:row r="4820">
      <x:c r="A4820" s="87" t="n">
        <x:v>4888</x:v>
      </x:c>
      <x:c r="B4820" s="66" t="n">
        <x:v>752</x:v>
      </x:c>
      <x:c r="C4820" s="66" t="str">
        <x:v>UNIVERSITAS NEGERI GORONTALO</x:v>
      </x:c>
      <x:c r="D4820" s="66" t="str">
        <x:v>PTN Akademik</x:v>
      </x:c>
      <x:c r="E4820" s="66" t="str">
        <x:v>17522035</x:v>
      </x:c>
      <x:c r="F4820" s="66" t="str">
        <x:v>TEKNOLOGI REKAYASA ENERGI TERBARUKAN</x:v>
      </x:c>
      <x:c r="G4820" s="66" t="str">
        <x:v>Sarjana Terapan</x:v>
      </x:c>
      <x:c r="H4820" s="87" t="n">
        <x:v>22</x:v>
      </x:c>
      <x:c r="I4820" s="87" t="n">
        <x:v>2</x:v>
      </x:c>
      <x:c r="J4820" s="68" t="n">
        <x:f>IFERROR(H4820/I4820,"")</x:f>
        <x:v>11</x:v>
      </x:c>
      <x:c r="K4820" s="69" t="n">
        <x:f>IFERROR(I4820/H4820,"")</x:f>
        <x:v>0.09090909090909091</x:v>
      </x:c>
      <x:c r="L4820" s="66" t="str">
        <x:f>IF(K4820="","","1 : "&amp;TEXT(K4820,"0.0"))</x:f>
        <x:v>1 : 0.1</x:v>
      </x:c>
      <x:c r="M4820" s="66" t="str">
        <x:f>IF(J4820="","Baru/Tanpa Data",IF(J4820&lt;='Catatan &amp; Sumber'!$B$14,"Sangat Ketat",IF(J4820&lt;='Catatan &amp; Sumber'!$B$15,"Ketat",IF(J4820&lt;='Catatan &amp; Sumber'!$B$16,"Sedang","Relatif Longgar"))))</x:f>
        <x:v>Relatif Longgar</x:v>
      </x:c>
      <x:c r="N4820" s="66" t="str">
        <x:v>Tidak Ada</x:v>
      </x:c>
      <x:c r="O4820" s="66" t="str">
        <x:v>Gorontalo</x:v>
      </x:c>
      <x:c r="P4820" s="66" t="str">
        <x:v>Kota Gorontalo</x:v>
      </x:c>
      <x:c r="Q4820" s="66" t="str">
        <x:v>https://snpmb.id/snbp/daya-tampung-snbp</x:v>
      </x:c>
      <x:c r="R4820" s="66" t="str">
        <x:v>https://sidatagrun-public-1076756628210.asia-southeast2.run.app/ptn_sn.php?ptn=752</x:v>
      </x:c>
    </x:row>
    <x:row r="4821">
      <x:c r="A4821" s="87" t="n">
        <x:v>4722</x:v>
      </x:c>
      <x:c r="B4821" s="66" t="n">
        <x:v>752</x:v>
      </x:c>
      <x:c r="C4821" s="66" t="str">
        <x:v>UNIVERSITAS NEGERI GORONTALO</x:v>
      </x:c>
      <x:c r="D4821" s="66" t="str">
        <x:v>PTN Akademik</x:v>
      </x:c>
      <x:c r="E4821" s="66" t="str">
        <x:v>17522036</x:v>
      </x:c>
      <x:c r="F4821" s="66" t="str">
        <x:v>ARSITEKTUR BANGUNAN GEDUNG</x:v>
      </x:c>
      <x:c r="G4821" s="66" t="str">
        <x:v>Sarjana Terapan</x:v>
      </x:c>
      <x:c r="H4821" s="87" t="n">
        <x:v>22</x:v>
      </x:c>
      <x:c r="I4821" s="87" t="n">
        <x:v>9</x:v>
      </x:c>
      <x:c r="J4821" s="68" t="n">
        <x:f>IFERROR(H4821/I4821,"")</x:f>
        <x:v>2.4444444444444446</x:v>
      </x:c>
      <x:c r="K4821" s="69" t="n">
        <x:f>IFERROR(I4821/H4821,"")</x:f>
        <x:v>0.4090909090909091</x:v>
      </x:c>
      <x:c r="L4821" s="66" t="str">
        <x:f>IF(K4821="","","1 : "&amp;TEXT(K4821,"0.0"))</x:f>
        <x:v>1 : 0.4</x:v>
      </x:c>
      <x:c r="M4821" s="66" t="str">
        <x:f>IF(J4821="","Baru/Tanpa Data",IF(J4821&lt;='Catatan &amp; Sumber'!$B$14,"Sangat Ketat",IF(J4821&lt;='Catatan &amp; Sumber'!$B$15,"Ketat",IF(J4821&lt;='Catatan &amp; Sumber'!$B$16,"Sedang","Relatif Longgar"))))</x:f>
        <x:v>Relatif Longgar</x:v>
      </x:c>
      <x:c r="N4821" s="66" t="str">
        <x:v>Tidak Ada</x:v>
      </x:c>
      <x:c r="O4821" s="66" t="str">
        <x:v>Gorontalo</x:v>
      </x:c>
      <x:c r="P4821" s="66" t="str">
        <x:v>Kota Gorontalo</x:v>
      </x:c>
      <x:c r="Q4821" s="66" t="str">
        <x:v>https://snpmb.id/snbp/daya-tampung-snbp</x:v>
      </x:c>
      <x:c r="R4821" s="66" t="str">
        <x:v>https://sidatagrun-public-1076756628210.asia-southeast2.run.app/ptn_sn.php?ptn=752</x:v>
      </x:c>
    </x:row>
    <x:row r="4822">
      <x:c r="A4822" s="87" t="n">
        <x:v>4888</x:v>
      </x:c>
      <x:c r="B4822" s="66" t="n">
        <x:v>752</x:v>
      </x:c>
      <x:c r="C4822" s="66" t="str">
        <x:v>UNIVERSITAS NEGERI GORONTALO</x:v>
      </x:c>
      <x:c r="D4822" s="66" t="str">
        <x:v>PTN Akademik</x:v>
      </x:c>
      <x:c r="E4822" s="66" t="str">
        <x:v>17522063</x:v>
      </x:c>
      <x:c r="F4822" s="66" t="str">
        <x:v>AGRIBISNIS PERIKANAN</x:v>
      </x:c>
      <x:c r="G4822" s="66" t="str">
        <x:v>Sarjana Terapan</x:v>
      </x:c>
      <x:c r="H4822" s="87" t="n">
        <x:v>22</x:v>
      </x:c>
      <x:c r="I4822" s="87" t="n">
        <x:v>2</x:v>
      </x:c>
      <x:c r="J4822" s="68" t="n">
        <x:f>IFERROR(H4822/I4822,"")</x:f>
        <x:v>11</x:v>
      </x:c>
      <x:c r="K4822" s="69" t="n">
        <x:f>IFERROR(I4822/H4822,"")</x:f>
        <x:v>0.09090909090909091</x:v>
      </x:c>
      <x:c r="L4822" s="66" t="str">
        <x:f>IF(K4822="","","1 : "&amp;TEXT(K4822,"0.0"))</x:f>
        <x:v>1 : 0.1</x:v>
      </x:c>
      <x:c r="M4822" s="66" t="str">
        <x:f>IF(J4822="","Baru/Tanpa Data",IF(J4822&lt;='Catatan &amp; Sumber'!$B$14,"Sangat Ketat",IF(J4822&lt;='Catatan &amp; Sumber'!$B$15,"Ketat",IF(J4822&lt;='Catatan &amp; Sumber'!$B$16,"Sedang","Relatif Longgar"))))</x:f>
        <x:v>Relatif Longgar</x:v>
      </x:c>
      <x:c r="N4822" s="66" t="str">
        <x:v>Tidak Ada</x:v>
      </x:c>
      <x:c r="O4822" s="66" t="str">
        <x:v>Gorontalo</x:v>
      </x:c>
      <x:c r="P4822" s="66" t="str">
        <x:v>Kota Gorontalo</x:v>
      </x:c>
      <x:c r="Q4822" s="66" t="str">
        <x:v>https://snpmb.id/snbp/daya-tampung-snbp</x:v>
      </x:c>
      <x:c r="R4822" s="66" t="str">
        <x:v>https://sidatagrun-public-1076756628210.asia-southeast2.run.app/ptn_sn.php?ptn=752</x:v>
      </x:c>
    </x:row>
    <x:row r="4823">
      <x:c r="A4823" s="87" t="n">
        <x:v>2735</x:v>
      </x:c>
      <x:c r="B4823" s="66" t="n">
        <x:v>752</x:v>
      </x:c>
      <x:c r="C4823" s="66" t="str">
        <x:v>UNIVERSITAS NEGERI GORONTALO</x:v>
      </x:c>
      <x:c r="D4823" s="66" t="str">
        <x:v>PTN Akademik</x:v>
      </x:c>
      <x:c r="E4823" s="66" t="str">
        <x:v>17523060</x:v>
      </x:c>
      <x:c r="F4823" s="66" t="str">
        <x:v>FARMASI</x:v>
      </x:c>
      <x:c r="G4823" s="66" t="str">
        <x:v>Diploma Tiga</x:v>
      </x:c>
      <x:c r="H4823" s="87" t="n">
        <x:v>27</x:v>
      </x:c>
      <x:c r="I4823" s="87" t="n">
        <x:v>108</x:v>
      </x:c>
      <x:c r="J4823" s="68" t="n">
        <x:f>IFERROR(H4823/I4823,"")</x:f>
        <x:v>0.25</x:v>
      </x:c>
      <x:c r="K4823" s="69" t="n">
        <x:f>IFERROR(I4823/H4823,"")</x:f>
        <x:v>4</x:v>
      </x:c>
      <x:c r="L4823" s="66" t="str">
        <x:f>IF(K4823="","","1 : "&amp;TEXT(K4823,"0.0"))</x:f>
        <x:v>1 : 4.0</x:v>
      </x:c>
      <x:c r="M4823" s="66" t="str">
        <x:f>IF(J4823="","Baru/Tanpa Data",IF(J4823&lt;='Catatan &amp; Sumber'!$B$14,"Sangat Ketat",IF(J4823&lt;='Catatan &amp; Sumber'!$B$15,"Ketat",IF(J4823&lt;='Catatan &amp; Sumber'!$B$16,"Sedang","Relatif Longgar"))))</x:f>
        <x:v>Relatif Longgar</x:v>
      </x:c>
      <x:c r="N4823" s="66" t="str">
        <x:v>Tidak Ada</x:v>
      </x:c>
      <x:c r="O4823" s="66" t="str">
        <x:v>Gorontalo</x:v>
      </x:c>
      <x:c r="P4823" s="66" t="str">
        <x:v>Kota Gorontalo</x:v>
      </x:c>
      <x:c r="Q4823" s="66" t="str">
        <x:v>https://snpmb.id/snbp/daya-tampung-snbp</x:v>
      </x:c>
      <x:c r="R4823" s="66" t="str">
        <x:v>https://sidatagrun-public-1076756628210.asia-southeast2.run.app/ptn_sn.php?ptn=752</x:v>
      </x:c>
    </x:row>
    <x:row r="4824">
      <x:c r="A4824" s="87" t="n">
        <x:v>4212</x:v>
      </x:c>
      <x:c r="B4824" s="66" t="n">
        <x:v>752</x:v>
      </x:c>
      <x:c r="C4824" s="66" t="str">
        <x:v>UNIVERSITAS NEGERI GORONTALO</x:v>
      </x:c>
      <x:c r="D4824" s="66" t="str">
        <x:v>PTN Akademik</x:v>
      </x:c>
      <x:c r="E4824" s="66" t="str">
        <x:v>17523061</x:v>
      </x:c>
      <x:c r="F4824" s="66" t="str">
        <x:v>PARIWISATA</x:v>
      </x:c>
      <x:c r="G4824" s="66" t="str">
        <x:v>Diploma Tiga</x:v>
      </x:c>
      <x:c r="H4824" s="87" t="n">
        <x:v>20</x:v>
      </x:c>
      <x:c r="I4824" s="87" t="n">
        <x:v>23</x:v>
      </x:c>
      <x:c r="J4824" s="68" t="n">
        <x:f>IFERROR(H4824/I4824,"")</x:f>
        <x:v>0.8695652173913043</x:v>
      </x:c>
      <x:c r="K4824" s="69" t="n">
        <x:f>IFERROR(I4824/H4824,"")</x:f>
        <x:v>1.15</x:v>
      </x:c>
      <x:c r="L4824" s="66" t="str">
        <x:f>IF(K4824="","","1 : "&amp;TEXT(K4824,"0.0"))</x:f>
        <x:v>1 : 1.2</x:v>
      </x:c>
      <x:c r="M4824" s="66" t="str">
        <x:f>IF(J4824="","Baru/Tanpa Data",IF(J4824&lt;='Catatan &amp; Sumber'!$B$14,"Sangat Ketat",IF(J4824&lt;='Catatan &amp; Sumber'!$B$15,"Ketat",IF(J4824&lt;='Catatan &amp; Sumber'!$B$16,"Sedang","Relatif Longgar"))))</x:f>
        <x:v>Relatif Longgar</x:v>
      </x:c>
      <x:c r="N4824" s="66" t="str">
        <x:v>Tidak Ada</x:v>
      </x:c>
      <x:c r="O4824" s="66" t="str">
        <x:v>Gorontalo</x:v>
      </x:c>
      <x:c r="P4824" s="66" t="str">
        <x:v>Kota Gorontalo</x:v>
      </x:c>
      <x:c r="Q4824" s="66" t="str">
        <x:v>https://snpmb.id/snbp/daya-tampung-snbp</x:v>
      </x:c>
      <x:c r="R4824" s="66" t="str">
        <x:v>https://sidatagrun-public-1076756628210.asia-southeast2.run.app/ptn_sn.php?ptn=752</x:v>
      </x:c>
    </x:row>
    <x:row r="4825">
      <x:c r="A4825" s="87" t="n">
        <x:v>4049</x:v>
      </x:c>
      <x:c r="B4825" s="66" t="n">
        <x:v>753</x:v>
      </x:c>
      <x:c r="C4825" s="66" t="str">
        <x:v>UNIVERSITAS SEMBILAN BELAS NOVEMBER KOLAKA</x:v>
      </x:c>
      <x:c r="D4825" s="66" t="str">
        <x:v>PTN Akademik</x:v>
      </x:c>
      <x:c r="E4825" s="66" t="str">
        <x:v>17531001</x:v>
      </x:c>
      <x:c r="F4825" s="66" t="str">
        <x:v>PENDIDIKAN MATEMATIKA</x:v>
      </x:c>
      <x:c r="G4825" s="66" t="str">
        <x:v>Sarjana</x:v>
      </x:c>
      <x:c r="H4825" s="87" t="n">
        <x:v>18</x:v>
      </x:c>
      <x:c r="I4825" s="87" t="n">
        <x:v>25</x:v>
      </x:c>
      <x:c r="J4825" s="68" t="n">
        <x:f>IFERROR(H4825/I4825,"")</x:f>
        <x:v>0.72</x:v>
      </x:c>
      <x:c r="K4825" s="69" t="n">
        <x:f>IFERROR(I4825/H4825,"")</x:f>
        <x:v>1.3888888888888888</x:v>
      </x:c>
      <x:c r="L4825" s="66" t="str">
        <x:f>IF(K4825="","","1 : "&amp;TEXT(K4825,"0.0"))</x:f>
        <x:v>1 : 1.4</x:v>
      </x:c>
      <x:c r="M4825" s="66" t="str">
        <x:f>IF(J4825="","Baru/Tanpa Data",IF(J4825&lt;='Catatan &amp; Sumber'!$B$14,"Sangat Ketat",IF(J4825&lt;='Catatan &amp; Sumber'!$B$15,"Ketat",IF(J4825&lt;='Catatan &amp; Sumber'!$B$16,"Sedang","Relatif Longgar"))))</x:f>
        <x:v>Relatif Longgar</x:v>
      </x:c>
      <x:c r="N4825" s="66" t="str">
        <x:v>Tidak Ada</x:v>
      </x:c>
      <x:c r="O4825" s="66" t="str">
        <x:v>Sulawesi Tenggara</x:v>
      </x:c>
      <x:c r="P4825" s="66" t="str">
        <x:v>Kabupaten Kolaka</x:v>
      </x:c>
      <x:c r="Q4825" s="66" t="str">
        <x:v>https://snpmb.id/snbp/daya-tampung-snbp</x:v>
      </x:c>
      <x:c r="R4825" s="66" t="str">
        <x:v>https://sidatagrun-public-1076756628210.asia-southeast2.run.app/ptn_sn.php?ptn=753</x:v>
      </x:c>
    </x:row>
    <x:row r="4826">
      <x:c r="A4826" s="87" t="n">
        <x:v>3539</x:v>
      </x:c>
      <x:c r="B4826" s="66" t="n">
        <x:v>753</x:v>
      </x:c>
      <x:c r="C4826" s="66" t="str">
        <x:v>UNIVERSITAS SEMBILAN BELAS NOVEMBER KOLAKA</x:v>
      </x:c>
      <x:c r="D4826" s="66" t="str">
        <x:v>PTN Akademik</x:v>
      </x:c>
      <x:c r="E4826" s="66" t="str">
        <x:v>17531002</x:v>
      </x:c>
      <x:c r="F4826" s="66" t="str">
        <x:v>SISTEM INFORMASI</x:v>
      </x:c>
      <x:c r="G4826" s="66" t="str">
        <x:v>Sarjana</x:v>
      </x:c>
      <x:c r="H4826" s="87" t="n">
        <x:v>38</x:v>
      </x:c>
      <x:c r="I4826" s="87" t="n">
        <x:v>85</x:v>
      </x:c>
      <x:c r="J4826" s="68" t="n">
        <x:f>IFERROR(H4826/I4826,"")</x:f>
        <x:v>0.4470588235294118</x:v>
      </x:c>
      <x:c r="K4826" s="69" t="n">
        <x:f>IFERROR(I4826/H4826,"")</x:f>
        <x:v>2.236842105263158</x:v>
      </x:c>
      <x:c r="L4826" s="66" t="str">
        <x:f>IF(K4826="","","1 : "&amp;TEXT(K4826,"0.0"))</x:f>
        <x:v>1 : 2.2</x:v>
      </x:c>
      <x:c r="M4826" s="66" t="str">
        <x:f>IF(J4826="","Baru/Tanpa Data",IF(J4826&lt;='Catatan &amp; Sumber'!$B$14,"Sangat Ketat",IF(J4826&lt;='Catatan &amp; Sumber'!$B$15,"Ketat",IF(J4826&lt;='Catatan &amp; Sumber'!$B$16,"Sedang","Relatif Longgar"))))</x:f>
        <x:v>Relatif Longgar</x:v>
      </x:c>
      <x:c r="N4826" s="66" t="str">
        <x:v>Tidak Ada</x:v>
      </x:c>
      <x:c r="O4826" s="66" t="str">
        <x:v>Sulawesi Tenggara</x:v>
      </x:c>
      <x:c r="P4826" s="66" t="str">
        <x:v>Kabupaten Kolaka</x:v>
      </x:c>
      <x:c r="Q4826" s="66" t="str">
        <x:v>https://snpmb.id/snbp/daya-tampung-snbp</x:v>
      </x:c>
      <x:c r="R4826" s="66" t="str">
        <x:v>https://sidatagrun-public-1076756628210.asia-southeast2.run.app/ptn_sn.php?ptn=753</x:v>
      </x:c>
    </x:row>
    <x:row r="4827">
      <x:c r="A4827" s="87" t="n">
        <x:v>3769</x:v>
      </x:c>
      <x:c r="B4827" s="66" t="n">
        <x:v>753</x:v>
      </x:c>
      <x:c r="C4827" s="66" t="str">
        <x:v>UNIVERSITAS SEMBILAN BELAS NOVEMBER KOLAKA</x:v>
      </x:c>
      <x:c r="D4827" s="66" t="str">
        <x:v>PTN Akademik</x:v>
      </x:c>
      <x:c r="E4827" s="66" t="str">
        <x:v>17531003</x:v>
      </x:c>
      <x:c r="F4827" s="66" t="str">
        <x:v>TEKNIK SIPIL</x:v>
      </x:c>
      <x:c r="G4827" s="66" t="str">
        <x:v>Sarjana</x:v>
      </x:c>
      <x:c r="H4827" s="87" t="n">
        <x:v>25</x:v>
      </x:c>
      <x:c r="I4827" s="87" t="n">
        <x:v>45</x:v>
      </x:c>
      <x:c r="J4827" s="68" t="n">
        <x:f>IFERROR(H4827/I4827,"")</x:f>
        <x:v>0.5555555555555556</x:v>
      </x:c>
      <x:c r="K4827" s="69" t="n">
        <x:f>IFERROR(I4827/H4827,"")</x:f>
        <x:v>1.8</x:v>
      </x:c>
      <x:c r="L4827" s="66" t="str">
        <x:f>IF(K4827="","","1 : "&amp;TEXT(K4827,"0.0"))</x:f>
        <x:v>1 : 1.8</x:v>
      </x:c>
      <x:c r="M4827" s="66" t="str">
        <x:f>IF(J4827="","Baru/Tanpa Data",IF(J4827&lt;='Catatan &amp; Sumber'!$B$14,"Sangat Ketat",IF(J4827&lt;='Catatan &amp; Sumber'!$B$15,"Ketat",IF(J4827&lt;='Catatan &amp; Sumber'!$B$16,"Sedang","Relatif Longgar"))))</x:f>
        <x:v>Relatif Longgar</x:v>
      </x:c>
      <x:c r="N4827" s="66" t="str">
        <x:v>Tidak Ada</x:v>
      </x:c>
      <x:c r="O4827" s="66" t="str">
        <x:v>Sulawesi Tenggara</x:v>
      </x:c>
      <x:c r="P4827" s="66" t="str">
        <x:v>Kabupaten Kolaka</x:v>
      </x:c>
      <x:c r="Q4827" s="66" t="str">
        <x:v>https://snpmb.id/snbp/daya-tampung-snbp</x:v>
      </x:c>
      <x:c r="R4827" s="66" t="str">
        <x:v>https://sidatagrun-public-1076756628210.asia-southeast2.run.app/ptn_sn.php?ptn=753</x:v>
      </x:c>
    </x:row>
    <x:row r="4828">
      <x:c r="A4828" s="87" t="n">
        <x:v>2685</x:v>
      </x:c>
      <x:c r="B4828" s="66" t="n">
        <x:v>753</x:v>
      </x:c>
      <x:c r="C4828" s="66" t="str">
        <x:v>UNIVERSITAS SEMBILAN BELAS NOVEMBER KOLAKA</x:v>
      </x:c>
      <x:c r="D4828" s="66" t="str">
        <x:v>PTN Akademik</x:v>
      </x:c>
      <x:c r="E4828" s="66" t="str">
        <x:v>17531004</x:v>
      </x:c>
      <x:c r="F4828" s="66" t="str">
        <x:v>TEKNIK PERTAMBANGAN</x:v>
      </x:c>
      <x:c r="G4828" s="66" t="str">
        <x:v>Sarjana</x:v>
      </x:c>
      <x:c r="H4828" s="87" t="n">
        <x:v>33</x:v>
      </x:c>
      <x:c r="I4828" s="87" t="n">
        <x:v>137</x:v>
      </x:c>
      <x:c r="J4828" s="68" t="n">
        <x:f>IFERROR(H4828/I4828,"")</x:f>
        <x:v>0.24087591240875914</x:v>
      </x:c>
      <x:c r="K4828" s="69" t="n">
        <x:f>IFERROR(I4828/H4828,"")</x:f>
        <x:v>4.151515151515151</x:v>
      </x:c>
      <x:c r="L4828" s="66" t="str">
        <x:f>IF(K4828="","","1 : "&amp;TEXT(K4828,"0.0"))</x:f>
        <x:v>1 : 4.2</x:v>
      </x:c>
      <x:c r="M4828" s="66" t="str">
        <x:f>IF(J4828="","Baru/Tanpa Data",IF(J4828&lt;='Catatan &amp; Sumber'!$B$14,"Sangat Ketat",IF(J4828&lt;='Catatan &amp; Sumber'!$B$15,"Ketat",IF(J4828&lt;='Catatan &amp; Sumber'!$B$16,"Sedang","Relatif Longgar"))))</x:f>
        <x:v>Relatif Longgar</x:v>
      </x:c>
      <x:c r="N4828" s="66" t="str">
        <x:v>Tidak Ada</x:v>
      </x:c>
      <x:c r="O4828" s="66" t="str">
        <x:v>Sulawesi Tenggara</x:v>
      </x:c>
      <x:c r="P4828" s="66" t="str">
        <x:v>Kabupaten Kolaka</x:v>
      </x:c>
      <x:c r="Q4828" s="66" t="str">
        <x:v>https://snpmb.id/snbp/daya-tampung-snbp</x:v>
      </x:c>
      <x:c r="R4828" s="66" t="str">
        <x:v>https://sidatagrun-public-1076756628210.asia-southeast2.run.app/ptn_sn.php?ptn=753</x:v>
      </x:c>
    </x:row>
    <x:row r="4829">
      <x:c r="A4829" s="87" t="n">
        <x:v>3780</x:v>
      </x:c>
      <x:c r="B4829" s="66" t="n">
        <x:v>753</x:v>
      </x:c>
      <x:c r="C4829" s="66" t="str">
        <x:v>UNIVERSITAS SEMBILAN BELAS NOVEMBER KOLAKA</x:v>
      </x:c>
      <x:c r="D4829" s="66" t="str">
        <x:v>PTN Akademik</x:v>
      </x:c>
      <x:c r="E4829" s="66" t="str">
        <x:v>17531005</x:v>
      </x:c>
      <x:c r="F4829" s="66" t="str">
        <x:v>AGRIBISNIS</x:v>
      </x:c>
      <x:c r="G4829" s="66" t="str">
        <x:v>Sarjana</x:v>
      </x:c>
      <x:c r="H4829" s="87" t="n">
        <x:v>9</x:v>
      </x:c>
      <x:c r="I4829" s="87" t="n">
        <x:v>16</x:v>
      </x:c>
      <x:c r="J4829" s="68" t="n">
        <x:f>IFERROR(H4829/I4829,"")</x:f>
        <x:v>0.5625</x:v>
      </x:c>
      <x:c r="K4829" s="69" t="n">
        <x:f>IFERROR(I4829/H4829,"")</x:f>
        <x:v>1.7777777777777777</x:v>
      </x:c>
      <x:c r="L4829" s="66" t="str">
        <x:f>IF(K4829="","","1 : "&amp;TEXT(K4829,"0.0"))</x:f>
        <x:v>1 : 1.8</x:v>
      </x:c>
      <x:c r="M4829" s="66" t="str">
        <x:f>IF(J4829="","Baru/Tanpa Data",IF(J4829&lt;='Catatan &amp; Sumber'!$B$14,"Sangat Ketat",IF(J4829&lt;='Catatan &amp; Sumber'!$B$15,"Ketat",IF(J4829&lt;='Catatan &amp; Sumber'!$B$16,"Sedang","Relatif Longgar"))))</x:f>
        <x:v>Relatif Longgar</x:v>
      </x:c>
      <x:c r="N4829" s="66" t="str">
        <x:v>Tidak Ada</x:v>
      </x:c>
      <x:c r="O4829" s="66" t="str">
        <x:v>Sulawesi Tenggara</x:v>
      </x:c>
      <x:c r="P4829" s="66" t="str">
        <x:v>Kabupaten Kolaka</x:v>
      </x:c>
      <x:c r="Q4829" s="66" t="str">
        <x:v>https://snpmb.id/snbp/daya-tampung-snbp</x:v>
      </x:c>
      <x:c r="R4829" s="66" t="str">
        <x:v>https://sidatagrun-public-1076756628210.asia-southeast2.run.app/ptn_sn.php?ptn=753</x:v>
      </x:c>
    </x:row>
    <x:row r="4830">
      <x:c r="A4830" s="87" t="n">
        <x:v>3600</x:v>
      </x:c>
      <x:c r="B4830" s="66" t="n">
        <x:v>753</x:v>
      </x:c>
      <x:c r="C4830" s="66" t="str">
        <x:v>UNIVERSITAS SEMBILAN BELAS NOVEMBER KOLAKA</x:v>
      </x:c>
      <x:c r="D4830" s="66" t="str">
        <x:v>PTN Akademik</x:v>
      </x:c>
      <x:c r="E4830" s="66" t="str">
        <x:v>17531006</x:v>
      </x:c>
      <x:c r="F4830" s="66" t="str">
        <x:v>AGROTEKNOLOGI</x:v>
      </x:c>
      <x:c r="G4830" s="66" t="str">
        <x:v>Sarjana</x:v>
      </x:c>
      <x:c r="H4830" s="87" t="n">
        <x:v>8</x:v>
      </x:c>
      <x:c r="I4830" s="87" t="n">
        <x:v>17</x:v>
      </x:c>
      <x:c r="J4830" s="68" t="n">
        <x:f>IFERROR(H4830/I4830,"")</x:f>
        <x:v>0.47058823529411764</x:v>
      </x:c>
      <x:c r="K4830" s="69" t="n">
        <x:f>IFERROR(I4830/H4830,"")</x:f>
        <x:v>2.125</x:v>
      </x:c>
      <x:c r="L4830" s="66" t="str">
        <x:f>IF(K4830="","","1 : "&amp;TEXT(K4830,"0.0"))</x:f>
        <x:v>1 : 2.1</x:v>
      </x:c>
      <x:c r="M4830" s="66" t="str">
        <x:f>IF(J4830="","Baru/Tanpa Data",IF(J4830&lt;='Catatan &amp; Sumber'!$B$14,"Sangat Ketat",IF(J4830&lt;='Catatan &amp; Sumber'!$B$15,"Ketat",IF(J4830&lt;='Catatan &amp; Sumber'!$B$16,"Sedang","Relatif Longgar"))))</x:f>
        <x:v>Relatif Longgar</x:v>
      </x:c>
      <x:c r="N4830" s="66" t="str">
        <x:v>Tidak Ada</x:v>
      </x:c>
      <x:c r="O4830" s="66" t="str">
        <x:v>Sulawesi Tenggara</x:v>
      </x:c>
      <x:c r="P4830" s="66" t="str">
        <x:v>Kabupaten Kolaka</x:v>
      </x:c>
      <x:c r="Q4830" s="66" t="str">
        <x:v>https://snpmb.id/snbp/daya-tampung-snbp</x:v>
      </x:c>
      <x:c r="R4830" s="66" t="str">
        <x:v>https://sidatagrun-public-1076756628210.asia-southeast2.run.app/ptn_sn.php?ptn=753</x:v>
      </x:c>
    </x:row>
    <x:row r="4831">
      <x:c r="A4831" s="87" t="n">
        <x:v>4832</x:v>
      </x:c>
      <x:c r="B4831" s="66" t="n">
        <x:v>753</x:v>
      </x:c>
      <x:c r="C4831" s="66" t="str">
        <x:v>UNIVERSITAS SEMBILAN BELAS NOVEMBER KOLAKA</x:v>
      </x:c>
      <x:c r="D4831" s="66" t="str">
        <x:v>PTN Akademik</x:v>
      </x:c>
      <x:c r="E4831" s="66" t="str">
        <x:v>17531007</x:v>
      </x:c>
      <x:c r="F4831" s="66" t="str">
        <x:v>PETERNAKAN</x:v>
      </x:c>
      <x:c r="G4831" s="66" t="str">
        <x:v>Sarjana</x:v>
      </x:c>
      <x:c r="H4831" s="87" t="n">
        <x:v>9</x:v>
      </x:c>
      <x:c r="I4831" s="87" t="n">
        <x:v>2</x:v>
      </x:c>
      <x:c r="J4831" s="68" t="n">
        <x:f>IFERROR(H4831/I4831,"")</x:f>
        <x:v>4.5</x:v>
      </x:c>
      <x:c r="K4831" s="69" t="n">
        <x:f>IFERROR(I4831/H4831,"")</x:f>
        <x:v>0.2222222222222222</x:v>
      </x:c>
      <x:c r="L4831" s="66" t="str">
        <x:f>IF(K4831="","","1 : "&amp;TEXT(K4831,"0.0"))</x:f>
        <x:v>1 : 0.2</x:v>
      </x:c>
      <x:c r="M4831" s="66" t="str">
        <x:f>IF(J4831="","Baru/Tanpa Data",IF(J4831&lt;='Catatan &amp; Sumber'!$B$14,"Sangat Ketat",IF(J4831&lt;='Catatan &amp; Sumber'!$B$15,"Ketat",IF(J4831&lt;='Catatan &amp; Sumber'!$B$16,"Sedang","Relatif Longgar"))))</x:f>
        <x:v>Relatif Longgar</x:v>
      </x:c>
      <x:c r="N4831" s="66" t="str">
        <x:v>Tidak Ada</x:v>
      </x:c>
      <x:c r="O4831" s="66" t="str">
        <x:v>Sulawesi Tenggara</x:v>
      </x:c>
      <x:c r="P4831" s="66" t="str">
        <x:v>Kabupaten Kolaka</x:v>
      </x:c>
      <x:c r="Q4831" s="66" t="str">
        <x:v>https://snpmb.id/snbp/daya-tampung-snbp</x:v>
      </x:c>
      <x:c r="R4831" s="66" t="str">
        <x:v>https://sidatagrun-public-1076756628210.asia-southeast2.run.app/ptn_sn.php?ptn=753</x:v>
      </x:c>
    </x:row>
    <x:row r="4832">
      <x:c r="A4832" s="87" t="n">
        <x:v>4633</x:v>
      </x:c>
      <x:c r="B4832" s="66" t="n">
        <x:v>753</x:v>
      </x:c>
      <x:c r="C4832" s="66" t="str">
        <x:v>UNIVERSITAS SEMBILAN BELAS NOVEMBER KOLAKA</x:v>
      </x:c>
      <x:c r="D4832" s="66" t="str">
        <x:v>PTN Akademik</x:v>
      </x:c>
      <x:c r="E4832" s="66" t="str">
        <x:v>17531008</x:v>
      </x:c>
      <x:c r="F4832" s="66" t="str">
        <x:v>ILMU PERIKANAN</x:v>
      </x:c>
      <x:c r="G4832" s="66" t="str">
        <x:v>Sarjana</x:v>
      </x:c>
      <x:c r="H4832" s="87" t="n">
        <x:v>9</x:v>
      </x:c>
      <x:c r="I4832" s="87" t="n">
        <x:v>5</x:v>
      </x:c>
      <x:c r="J4832" s="68" t="n">
        <x:f>IFERROR(H4832/I4832,"")</x:f>
        <x:v>1.8</x:v>
      </x:c>
      <x:c r="K4832" s="69" t="n">
        <x:f>IFERROR(I4832/H4832,"")</x:f>
        <x:v>0.5555555555555556</x:v>
      </x:c>
      <x:c r="L4832" s="66" t="str">
        <x:f>IF(K4832="","","1 : "&amp;TEXT(K4832,"0.0"))</x:f>
        <x:v>1 : 0.6</x:v>
      </x:c>
      <x:c r="M4832" s="66" t="str">
        <x:f>IF(J4832="","Baru/Tanpa Data",IF(J4832&lt;='Catatan &amp; Sumber'!$B$14,"Sangat Ketat",IF(J4832&lt;='Catatan &amp; Sumber'!$B$15,"Ketat",IF(J4832&lt;='Catatan &amp; Sumber'!$B$16,"Sedang","Relatif Longgar"))))</x:f>
        <x:v>Relatif Longgar</x:v>
      </x:c>
      <x:c r="N4832" s="66" t="str">
        <x:v>Tidak Ada</x:v>
      </x:c>
      <x:c r="O4832" s="66" t="str">
        <x:v>Sulawesi Tenggara</x:v>
      </x:c>
      <x:c r="P4832" s="66" t="str">
        <x:v>Kabupaten Kolaka</x:v>
      </x:c>
      <x:c r="Q4832" s="66" t="str">
        <x:v>https://snpmb.id/snbp/daya-tampung-snbp</x:v>
      </x:c>
      <x:c r="R4832" s="66" t="str">
        <x:v>https://sidatagrun-public-1076756628210.asia-southeast2.run.app/ptn_sn.php?ptn=753</x:v>
      </x:c>
    </x:row>
    <x:row r="4833">
      <x:c r="A4833" s="87" t="n">
        <x:v>3780</x:v>
      </x:c>
      <x:c r="B4833" s="66" t="n">
        <x:v>753</x:v>
      </x:c>
      <x:c r="C4833" s="66" t="str">
        <x:v>UNIVERSITAS SEMBILAN BELAS NOVEMBER KOLAKA</x:v>
      </x:c>
      <x:c r="D4833" s="66" t="str">
        <x:v>PTN Akademik</x:v>
      </x:c>
      <x:c r="E4833" s="66" t="str">
        <x:v>17531009</x:v>
      </x:c>
      <x:c r="F4833" s="66" t="str">
        <x:v>PENDIDIKAN BIOLOGI</x:v>
      </x:c>
      <x:c r="G4833" s="66" t="str">
        <x:v>Sarjana</x:v>
      </x:c>
      <x:c r="H4833" s="87" t="n">
        <x:v>18</x:v>
      </x:c>
      <x:c r="I4833" s="87" t="n">
        <x:v>32</x:v>
      </x:c>
      <x:c r="J4833" s="68" t="n">
        <x:f>IFERROR(H4833/I4833,"")</x:f>
        <x:v>0.5625</x:v>
      </x:c>
      <x:c r="K4833" s="69" t="n">
        <x:f>IFERROR(I4833/H4833,"")</x:f>
        <x:v>1.7777777777777777</x:v>
      </x:c>
      <x:c r="L4833" s="66" t="str">
        <x:f>IF(K4833="","","1 : "&amp;TEXT(K4833,"0.0"))</x:f>
        <x:v>1 : 1.8</x:v>
      </x:c>
      <x:c r="M4833" s="66" t="str">
        <x:f>IF(J4833="","Baru/Tanpa Data",IF(J4833&lt;='Catatan &amp; Sumber'!$B$14,"Sangat Ketat",IF(J4833&lt;='Catatan &amp; Sumber'!$B$15,"Ketat",IF(J4833&lt;='Catatan &amp; Sumber'!$B$16,"Sedang","Relatif Longgar"))))</x:f>
        <x:v>Relatif Longgar</x:v>
      </x:c>
      <x:c r="N4833" s="66" t="str">
        <x:v>Tidak Ada</x:v>
      </x:c>
      <x:c r="O4833" s="66" t="str">
        <x:v>Sulawesi Tenggara</x:v>
      </x:c>
      <x:c r="P4833" s="66" t="str">
        <x:v>Kabupaten Kolaka</x:v>
      </x:c>
      <x:c r="Q4833" s="66" t="str">
        <x:v>https://snpmb.id/snbp/daya-tampung-snbp</x:v>
      </x:c>
      <x:c r="R4833" s="66" t="str">
        <x:v>https://sidatagrun-public-1076756628210.asia-southeast2.run.app/ptn_sn.php?ptn=753</x:v>
      </x:c>
    </x:row>
    <x:row r="4834">
      <x:c r="A4834" s="87" t="n">
        <x:v>4012</x:v>
      </x:c>
      <x:c r="B4834" s="66" t="n">
        <x:v>753</x:v>
      </x:c>
      <x:c r="C4834" s="66" t="str">
        <x:v>UNIVERSITAS SEMBILAN BELAS NOVEMBER KOLAKA</x:v>
      </x:c>
      <x:c r="D4834" s="66" t="str">
        <x:v>PTN Akademik</x:v>
      </x:c>
      <x:c r="E4834" s="66" t="str">
        <x:v>17531010</x:v>
      </x:c>
      <x:c r="F4834" s="66" t="str">
        <x:v>PENDIDIKAN KIMIA</x:v>
      </x:c>
      <x:c r="G4834" s="66" t="str">
        <x:v>Sarjana</x:v>
      </x:c>
      <x:c r="H4834" s="87" t="n">
        <x:v>9</x:v>
      </x:c>
      <x:c r="I4834" s="87" t="n">
        <x:v>13</x:v>
      </x:c>
      <x:c r="J4834" s="68" t="n">
        <x:f>IFERROR(H4834/I4834,"")</x:f>
        <x:v>0.6923076923076923</x:v>
      </x:c>
      <x:c r="K4834" s="69" t="n">
        <x:f>IFERROR(I4834/H4834,"")</x:f>
        <x:v>1.4444444444444444</x:v>
      </x:c>
      <x:c r="L4834" s="66" t="str">
        <x:f>IF(K4834="","","1 : "&amp;TEXT(K4834,"0.0"))</x:f>
        <x:v>1 : 1.4</x:v>
      </x:c>
      <x:c r="M4834" s="66" t="str">
        <x:f>IF(J4834="","Baru/Tanpa Data",IF(J4834&lt;='Catatan &amp; Sumber'!$B$14,"Sangat Ketat",IF(J4834&lt;='Catatan &amp; Sumber'!$B$15,"Ketat",IF(J4834&lt;='Catatan &amp; Sumber'!$B$16,"Sedang","Relatif Longgar"))))</x:f>
        <x:v>Relatif Longgar</x:v>
      </x:c>
      <x:c r="N4834" s="66" t="str">
        <x:v>Tidak Ada</x:v>
      </x:c>
      <x:c r="O4834" s="66" t="str">
        <x:v>Sulawesi Tenggara</x:v>
      </x:c>
      <x:c r="P4834" s="66" t="str">
        <x:v>Kabupaten Kolaka</x:v>
      </x:c>
      <x:c r="Q4834" s="66" t="str">
        <x:v>https://snpmb.id/snbp/daya-tampung-snbp</x:v>
      </x:c>
      <x:c r="R4834" s="66" t="str">
        <x:v>https://sidatagrun-public-1076756628210.asia-southeast2.run.app/ptn_sn.php?ptn=753</x:v>
      </x:c>
    </x:row>
    <x:row r="4835">
      <x:c r="A4835" s="87" t="n">
        <x:v>4228</x:v>
      </x:c>
      <x:c r="B4835" s="66" t="n">
        <x:v>753</x:v>
      </x:c>
      <x:c r="C4835" s="66" t="str">
        <x:v>UNIVERSITAS SEMBILAN BELAS NOVEMBER KOLAKA</x:v>
      </x:c>
      <x:c r="D4835" s="66" t="str">
        <x:v>PTN Akademik</x:v>
      </x:c>
      <x:c r="E4835" s="66" t="str">
        <x:v>17531011</x:v>
      </x:c>
      <x:c r="F4835" s="66" t="str">
        <x:v>TEKNOLOGI HASIL PERTANIAN</x:v>
      </x:c>
      <x:c r="G4835" s="66" t="str">
        <x:v>Sarjana</x:v>
      </x:c>
      <x:c r="H4835" s="87" t="n">
        <x:v>8</x:v>
      </x:c>
      <x:c r="I4835" s="87" t="n">
        <x:v>9</x:v>
      </x:c>
      <x:c r="J4835" s="68" t="n">
        <x:f>IFERROR(H4835/I4835,"")</x:f>
        <x:v>0.8888888888888888</x:v>
      </x:c>
      <x:c r="K4835" s="69" t="n">
        <x:f>IFERROR(I4835/H4835,"")</x:f>
        <x:v>1.125</x:v>
      </x:c>
      <x:c r="L4835" s="66" t="str">
        <x:f>IF(K4835="","","1 : "&amp;TEXT(K4835,"0.0"))</x:f>
        <x:v>1 : 1.1</x:v>
      </x:c>
      <x:c r="M4835" s="66" t="str">
        <x:f>IF(J4835="","Baru/Tanpa Data",IF(J4835&lt;='Catatan &amp; Sumber'!$B$14,"Sangat Ketat",IF(J4835&lt;='Catatan &amp; Sumber'!$B$15,"Ketat",IF(J4835&lt;='Catatan &amp; Sumber'!$B$16,"Sedang","Relatif Longgar"))))</x:f>
        <x:v>Relatif Longgar</x:v>
      </x:c>
      <x:c r="N4835" s="66" t="str">
        <x:v>Tidak Ada</x:v>
      </x:c>
      <x:c r="O4835" s="66" t="str">
        <x:v>Sulawesi Tenggara</x:v>
      </x:c>
      <x:c r="P4835" s="66" t="str">
        <x:v>Kabupaten Kolaka</x:v>
      </x:c>
      <x:c r="Q4835" s="66" t="str">
        <x:v>https://snpmb.id/snbp/daya-tampung-snbp</x:v>
      </x:c>
      <x:c r="R4835" s="66" t="str">
        <x:v>https://sidatagrun-public-1076756628210.asia-southeast2.run.app/ptn_sn.php?ptn=753</x:v>
      </x:c>
    </x:row>
    <x:row r="4836">
      <x:c r="A4836" s="87" t="n">
        <x:v>4696</x:v>
      </x:c>
      <x:c r="B4836" s="66" t="n">
        <x:v>753</x:v>
      </x:c>
      <x:c r="C4836" s="66" t="str">
        <x:v>UNIVERSITAS SEMBILAN BELAS NOVEMBER KOLAKA</x:v>
      </x:c>
      <x:c r="D4836" s="66" t="str">
        <x:v>PTN Akademik</x:v>
      </x:c>
      <x:c r="E4836" s="66" t="str">
        <x:v>17531012</x:v>
      </x:c>
      <x:c r="F4836" s="66" t="str">
        <x:v>KIMIA</x:v>
      </x:c>
      <x:c r="G4836" s="66" t="str">
        <x:v>Sarjana</x:v>
      </x:c>
      <x:c r="H4836" s="87" t="n">
        <x:v>9</x:v>
      </x:c>
      <x:c r="I4836" s="87" t="n">
        <x:v>4</x:v>
      </x:c>
      <x:c r="J4836" s="68" t="n">
        <x:f>IFERROR(H4836/I4836,"")</x:f>
        <x:v>2.25</x:v>
      </x:c>
      <x:c r="K4836" s="69" t="n">
        <x:f>IFERROR(I4836/H4836,"")</x:f>
        <x:v>0.4444444444444444</x:v>
      </x:c>
      <x:c r="L4836" s="66" t="str">
        <x:f>IF(K4836="","","1 : "&amp;TEXT(K4836,"0.0"))</x:f>
        <x:v>1 : 0.4</x:v>
      </x:c>
      <x:c r="M4836" s="66" t="str">
        <x:f>IF(J4836="","Baru/Tanpa Data",IF(J4836&lt;='Catatan &amp; Sumber'!$B$14,"Sangat Ketat",IF(J4836&lt;='Catatan &amp; Sumber'!$B$15,"Ketat",IF(J4836&lt;='Catatan &amp; Sumber'!$B$16,"Sedang","Relatif Longgar"))))</x:f>
        <x:v>Relatif Longgar</x:v>
      </x:c>
      <x:c r="N4836" s="66" t="str">
        <x:v>Tidak Ada</x:v>
      </x:c>
      <x:c r="O4836" s="66" t="str">
        <x:v>Sulawesi Tenggara</x:v>
      </x:c>
      <x:c r="P4836" s="66" t="str">
        <x:v>Kabupaten Kolaka</x:v>
      </x:c>
      <x:c r="Q4836" s="66" t="str">
        <x:v>https://snpmb.id/snbp/daya-tampung-snbp</x:v>
      </x:c>
      <x:c r="R4836" s="66" t="str">
        <x:v>https://sidatagrun-public-1076756628210.asia-southeast2.run.app/ptn_sn.php?ptn=753</x:v>
      </x:c>
    </x:row>
    <x:row r="4837">
      <x:c r="A4837" s="87" t="n">
        <x:v>3232</x:v>
      </x:c>
      <x:c r="B4837" s="66" t="n">
        <x:v>753</x:v>
      </x:c>
      <x:c r="C4837" s="66" t="str">
        <x:v>UNIVERSITAS SEMBILAN BELAS NOVEMBER KOLAKA</x:v>
      </x:c>
      <x:c r="D4837" s="66" t="str">
        <x:v>PTN Akademik</x:v>
      </x:c>
      <x:c r="E4837" s="66" t="str">
        <x:v>17531013</x:v>
      </x:c>
      <x:c r="F4837" s="66" t="str">
        <x:v>ILMU KOMPUTER</x:v>
      </x:c>
      <x:c r="G4837" s="66" t="str">
        <x:v>Sarjana</x:v>
      </x:c>
      <x:c r="H4837" s="87" t="n">
        <x:v>34</x:v>
      </x:c>
      <x:c r="I4837" s="87" t="n">
        <x:v>97</x:v>
      </x:c>
      <x:c r="J4837" s="68" t="n">
        <x:f>IFERROR(H4837/I4837,"")</x:f>
        <x:v>0.35051546391752575</x:v>
      </x:c>
      <x:c r="K4837" s="69" t="n">
        <x:f>IFERROR(I4837/H4837,"")</x:f>
        <x:v>2.8529411764705883</x:v>
      </x:c>
      <x:c r="L4837" s="66" t="str">
        <x:f>IF(K4837="","","1 : "&amp;TEXT(K4837,"0.0"))</x:f>
        <x:v>1 : 2.9</x:v>
      </x:c>
      <x:c r="M4837" s="66" t="str">
        <x:f>IF(J4837="","Baru/Tanpa Data",IF(J4837&lt;='Catatan &amp; Sumber'!$B$14,"Sangat Ketat",IF(J4837&lt;='Catatan &amp; Sumber'!$B$15,"Ketat",IF(J4837&lt;='Catatan &amp; Sumber'!$B$16,"Sedang","Relatif Longgar"))))</x:f>
        <x:v>Relatif Longgar</x:v>
      </x:c>
      <x:c r="N4837" s="66" t="str">
        <x:v>Tidak Ada</x:v>
      </x:c>
      <x:c r="O4837" s="66" t="str">
        <x:v>Sulawesi Tenggara</x:v>
      </x:c>
      <x:c r="P4837" s="66" t="str">
        <x:v>Kabupaten Kolaka</x:v>
      </x:c>
      <x:c r="Q4837" s="66" t="str">
        <x:v>https://snpmb.id/snbp/daya-tampung-snbp</x:v>
      </x:c>
      <x:c r="R4837" s="66" t="str">
        <x:v>https://sidatagrun-public-1076756628210.asia-southeast2.run.app/ptn_sn.php?ptn=753</x:v>
      </x:c>
    </x:row>
    <x:row r="4838">
      <x:c r="A4838" s="87" t="n">
        <x:v>3056</x:v>
      </x:c>
      <x:c r="B4838" s="66" t="n">
        <x:v>753</x:v>
      </x:c>
      <x:c r="C4838" s="66" t="str">
        <x:v>UNIVERSITAS SEMBILAN BELAS NOVEMBER KOLAKA</x:v>
      </x:c>
      <x:c r="D4838" s="66" t="str">
        <x:v>PTN Akademik</x:v>
      </x:c>
      <x:c r="E4838" s="66" t="str">
        <x:v>17531014</x:v>
      </x:c>
      <x:c r="F4838" s="66" t="str">
        <x:v>FARMASI</x:v>
      </x:c>
      <x:c r="G4838" s="66" t="str">
        <x:v>Sarjana</x:v>
      </x:c>
      <x:c r="H4838" s="87" t="n">
        <x:v>28</x:v>
      </x:c>
      <x:c r="I4838" s="87" t="n">
        <x:v>92</x:v>
      </x:c>
      <x:c r="J4838" s="68" t="n">
        <x:f>IFERROR(H4838/I4838,"")</x:f>
        <x:v>0.30434782608695654</x:v>
      </x:c>
      <x:c r="K4838" s="69" t="n">
        <x:f>IFERROR(I4838/H4838,"")</x:f>
        <x:v>3.2857142857142856</x:v>
      </x:c>
      <x:c r="L4838" s="66" t="str">
        <x:f>IF(K4838="","","1 : "&amp;TEXT(K4838,"0.0"))</x:f>
        <x:v>1 : 3.3</x:v>
      </x:c>
      <x:c r="M4838" s="66" t="str">
        <x:f>IF(J4838="","Baru/Tanpa Data",IF(J4838&lt;='Catatan &amp; Sumber'!$B$14,"Sangat Ketat",IF(J4838&lt;='Catatan &amp; Sumber'!$B$15,"Ketat",IF(J4838&lt;='Catatan &amp; Sumber'!$B$16,"Sedang","Relatif Longgar"))))</x:f>
        <x:v>Relatif Longgar</x:v>
      </x:c>
      <x:c r="N4838" s="66" t="str">
        <x:v>Tidak Ada</x:v>
      </x:c>
      <x:c r="O4838" s="66" t="str">
        <x:v>Sulawesi Tenggara</x:v>
      </x:c>
      <x:c r="P4838" s="66" t="str">
        <x:v>Kabupaten Kolaka</x:v>
      </x:c>
      <x:c r="Q4838" s="66" t="str">
        <x:v>https://snpmb.id/snbp/daya-tampung-snbp</x:v>
      </x:c>
      <x:c r="R4838" s="66" t="str">
        <x:v>https://sidatagrun-public-1076756628210.asia-southeast2.run.app/ptn_sn.php?ptn=753</x:v>
      </x:c>
    </x:row>
    <x:row r="4839">
      <x:c r="A4839" s="87" t="n">
        <x:v>4545</x:v>
      </x:c>
      <x:c r="B4839" s="66" t="n">
        <x:v>753</x:v>
      </x:c>
      <x:c r="C4839" s="66" t="str">
        <x:v>UNIVERSITAS SEMBILAN BELAS NOVEMBER KOLAKA</x:v>
      </x:c>
      <x:c r="D4839" s="66" t="str">
        <x:v>PTN Akademik</x:v>
      </x:c>
      <x:c r="E4839" s="66" t="str">
        <x:v>17531015</x:v>
      </x:c>
      <x:c r="F4839" s="66" t="str">
        <x:v>PENDIDIKAN FISIKA</x:v>
      </x:c>
      <x:c r="G4839" s="66" t="str">
        <x:v>Sarjana</x:v>
      </x:c>
      <x:c r="H4839" s="87" t="n">
        <x:v>9</x:v>
      </x:c>
      <x:c r="I4839" s="87" t="n">
        <x:v>6</x:v>
      </x:c>
      <x:c r="J4839" s="68" t="n">
        <x:f>IFERROR(H4839/I4839,"")</x:f>
        <x:v>1.5</x:v>
      </x:c>
      <x:c r="K4839" s="69" t="n">
        <x:f>IFERROR(I4839/H4839,"")</x:f>
        <x:v>0.6666666666666666</x:v>
      </x:c>
      <x:c r="L4839" s="66" t="str">
        <x:f>IF(K4839="","","1 : "&amp;TEXT(K4839,"0.0"))</x:f>
        <x:v>1 : 0.7</x:v>
      </x:c>
      <x:c r="M4839" s="66" t="str">
        <x:f>IF(J4839="","Baru/Tanpa Data",IF(J4839&lt;='Catatan &amp; Sumber'!$B$14,"Sangat Ketat",IF(J4839&lt;='Catatan &amp; Sumber'!$B$15,"Ketat",IF(J4839&lt;='Catatan &amp; Sumber'!$B$16,"Sedang","Relatif Longgar"))))</x:f>
        <x:v>Relatif Longgar</x:v>
      </x:c>
      <x:c r="N4839" s="66" t="str">
        <x:v>Tidak Ada</x:v>
      </x:c>
      <x:c r="O4839" s="66" t="str">
        <x:v>Sulawesi Tenggara</x:v>
      </x:c>
      <x:c r="P4839" s="66" t="str">
        <x:v>Kabupaten Kolaka</x:v>
      </x:c>
      <x:c r="Q4839" s="66" t="str">
        <x:v>https://snpmb.id/snbp/daya-tampung-snbp</x:v>
      </x:c>
      <x:c r="R4839" s="66" t="str">
        <x:v>https://sidatagrun-public-1076756628210.asia-southeast2.run.app/ptn_sn.php?ptn=753</x:v>
      </x:c>
    </x:row>
    <x:row r="4840">
      <x:c r="A4840" s="87" t="n">
        <x:v>4882</x:v>
      </x:c>
      <x:c r="B4840" s="66" t="n">
        <x:v>753</x:v>
      </x:c>
      <x:c r="C4840" s="66" t="str">
        <x:v>UNIVERSITAS SEMBILAN BELAS NOVEMBER KOLAKA</x:v>
      </x:c>
      <x:c r="D4840" s="66" t="str">
        <x:v>PTN Akademik</x:v>
      </x:c>
      <x:c r="E4840" s="66" t="str">
        <x:v>17531016</x:v>
      </x:c>
      <x:c r="F4840" s="66" t="str">
        <x:v>ILMU KELAUTAN</x:v>
      </x:c>
      <x:c r="G4840" s="66" t="str">
        <x:v>Sarjana</x:v>
      </x:c>
      <x:c r="H4840" s="87" t="n">
        <x:v>9</x:v>
      </x:c>
      <x:c r="I4840" s="87" t="n">
        <x:v>1</x:v>
      </x:c>
      <x:c r="J4840" s="68" t="n">
        <x:f>IFERROR(H4840/I4840,"")</x:f>
        <x:v>9</x:v>
      </x:c>
      <x:c r="K4840" s="69" t="n">
        <x:f>IFERROR(I4840/H4840,"")</x:f>
        <x:v>0.1111111111111111</x:v>
      </x:c>
      <x:c r="L4840" s="66" t="str">
        <x:f>IF(K4840="","","1 : "&amp;TEXT(K4840,"0.0"))</x:f>
        <x:v>1 : 0.1</x:v>
      </x:c>
      <x:c r="M4840" s="66" t="str">
        <x:f>IF(J4840="","Baru/Tanpa Data",IF(J4840&lt;='Catatan &amp; Sumber'!$B$14,"Sangat Ketat",IF(J4840&lt;='Catatan &amp; Sumber'!$B$15,"Ketat",IF(J4840&lt;='Catatan &amp; Sumber'!$B$16,"Sedang","Relatif Longgar"))))</x:f>
        <x:v>Relatif Longgar</x:v>
      </x:c>
      <x:c r="N4840" s="66" t="str">
        <x:v>Tidak Ada</x:v>
      </x:c>
      <x:c r="O4840" s="66" t="str">
        <x:v>Sulawesi Tenggara</x:v>
      </x:c>
      <x:c r="P4840" s="66" t="str">
        <x:v>Kabupaten Kolaka</x:v>
      </x:c>
      <x:c r="Q4840" s="66" t="str">
        <x:v>https://snpmb.id/snbp/daya-tampung-snbp</x:v>
      </x:c>
      <x:c r="R4840" s="66" t="str">
        <x:v>https://sidatagrun-public-1076756628210.asia-southeast2.run.app/ptn_sn.php?ptn=753</x:v>
      </x:c>
    </x:row>
    <x:row r="4841">
      <x:c r="A4841" s="87" t="n">
        <x:v>4539</x:v>
      </x:c>
      <x:c r="B4841" s="66" t="n">
        <x:v>753</x:v>
      </x:c>
      <x:c r="C4841" s="66" t="str">
        <x:v>UNIVERSITAS SEMBILAN BELAS NOVEMBER KOLAKA</x:v>
      </x:c>
      <x:c r="D4841" s="66" t="str">
        <x:v>PTN Akademik</x:v>
      </x:c>
      <x:c r="E4841" s="66" t="str">
        <x:v>17531017</x:v>
      </x:c>
      <x:c r="F4841" s="66" t="str">
        <x:v>TEKNIK MESIN</x:v>
      </x:c>
      <x:c r="G4841" s="66" t="str">
        <x:v>Sarjana</x:v>
      </x:c>
      <x:c r="H4841" s="87" t="n">
        <x:v>13</x:v>
      </x:c>
      <x:c r="I4841" s="87" t="n">
        <x:v>9</x:v>
      </x:c>
      <x:c r="J4841" s="68" t="n">
        <x:f>IFERROR(H4841/I4841,"")</x:f>
        <x:v>1.4444444444444444</x:v>
      </x:c>
      <x:c r="K4841" s="69" t="n">
        <x:f>IFERROR(I4841/H4841,"")</x:f>
        <x:v>0.6923076923076923</x:v>
      </x:c>
      <x:c r="L4841" s="66" t="str">
        <x:f>IF(K4841="","","1 : "&amp;TEXT(K4841,"0.0"))</x:f>
        <x:v>1 : 0.7</x:v>
      </x:c>
      <x:c r="M4841" s="66" t="str">
        <x:f>IF(J4841="","Baru/Tanpa Data",IF(J4841&lt;='Catatan &amp; Sumber'!$B$14,"Sangat Ketat",IF(J4841&lt;='Catatan &amp; Sumber'!$B$15,"Ketat",IF(J4841&lt;='Catatan &amp; Sumber'!$B$16,"Sedang","Relatif Longgar"))))</x:f>
        <x:v>Relatif Longgar</x:v>
      </x:c>
      <x:c r="N4841" s="66" t="str">
        <x:v>Tidak Ada</x:v>
      </x:c>
      <x:c r="O4841" s="66" t="str">
        <x:v>Sulawesi Tenggara</x:v>
      </x:c>
      <x:c r="P4841" s="66" t="str">
        <x:v>Kabupaten Kolaka</x:v>
      </x:c>
      <x:c r="Q4841" s="66" t="str">
        <x:v>https://snpmb.id/snbp/daya-tampung-snbp</x:v>
      </x:c>
      <x:c r="R4841" s="66" t="str">
        <x:v>https://sidatagrun-public-1076756628210.asia-southeast2.run.app/ptn_sn.php?ptn=753</x:v>
      </x:c>
    </x:row>
    <x:row r="4842">
      <x:c r="A4842" s="87" t="n">
        <x:v>4895</x:v>
      </x:c>
      <x:c r="B4842" s="66" t="n">
        <x:v>753</x:v>
      </x:c>
      <x:c r="C4842" s="66" t="str">
        <x:v>UNIVERSITAS SEMBILAN BELAS NOVEMBER KOLAKA</x:v>
      </x:c>
      <x:c r="D4842" s="66" t="str">
        <x:v>PTN Akademik</x:v>
      </x:c>
      <x:c r="E4842" s="66" t="str">
        <x:v>17531018</x:v>
      </x:c>
      <x:c r="F4842" s="66" t="str">
        <x:v>TEKNIK PERKAPALAN</x:v>
      </x:c>
      <x:c r="G4842" s="66" t="str">
        <x:v>Sarjana</x:v>
      </x:c>
      <x:c r="H4842" s="87" t="n">
        <x:v>13</x:v>
      </x:c>
      <x:c r="I4842" s="87" t="n">
        <x:v>1</x:v>
      </x:c>
      <x:c r="J4842" s="68" t="n">
        <x:f>IFERROR(H4842/I4842,"")</x:f>
        <x:v>13</x:v>
      </x:c>
      <x:c r="K4842" s="69" t="n">
        <x:f>IFERROR(I4842/H4842,"")</x:f>
        <x:v>0.07692307692307693</x:v>
      </x:c>
      <x:c r="L4842" s="66" t="str">
        <x:f>IF(K4842="","","1 : "&amp;TEXT(K4842,"0.0"))</x:f>
        <x:v>1 : 0.1</x:v>
      </x:c>
      <x:c r="M4842" s="66" t="str">
        <x:f>IF(J4842="","Baru/Tanpa Data",IF(J4842&lt;='Catatan &amp; Sumber'!$B$14,"Sangat Ketat",IF(J4842&lt;='Catatan &amp; Sumber'!$B$15,"Ketat",IF(J4842&lt;='Catatan &amp; Sumber'!$B$16,"Sedang","Relatif Longgar"))))</x:f>
        <x:v>Relatif Longgar</x:v>
      </x:c>
      <x:c r="N4842" s="66" t="str">
        <x:v>Tidak Ada</x:v>
      </x:c>
      <x:c r="O4842" s="66" t="str">
        <x:v>Sulawesi Tenggara</x:v>
      </x:c>
      <x:c r="P4842" s="66" t="str">
        <x:v>Kabupaten Kolaka</x:v>
      </x:c>
      <x:c r="Q4842" s="66" t="str">
        <x:v>https://snpmb.id/snbp/daya-tampung-snbp</x:v>
      </x:c>
      <x:c r="R4842" s="66" t="str">
        <x:v>https://sidatagrun-public-1076756628210.asia-southeast2.run.app/ptn_sn.php?ptn=753</x:v>
      </x:c>
    </x:row>
    <x:row r="4843">
      <x:c r="A4843" s="87" t="n">
        <x:v>4532</x:v>
      </x:c>
      <x:c r="B4843" s="66" t="n">
        <x:v>753</x:v>
      </x:c>
      <x:c r="C4843" s="66" t="str">
        <x:v>UNIVERSITAS SEMBILAN BELAS NOVEMBER KOLAKA</x:v>
      </x:c>
      <x:c r="D4843" s="66" t="str">
        <x:v>PTN Akademik</x:v>
      </x:c>
      <x:c r="E4843" s="66" t="str">
        <x:v>17531019</x:v>
      </x:c>
      <x:c r="F4843" s="66" t="str">
        <x:v>MATEMATIKA</x:v>
      </x:c>
      <x:c r="G4843" s="66" t="str">
        <x:v>Sarjana</x:v>
      </x:c>
      <x:c r="H4843" s="87" t="n">
        <x:v>10</x:v>
      </x:c>
      <x:c r="I4843" s="87" t="n">
        <x:v>7</x:v>
      </x:c>
      <x:c r="J4843" s="68" t="n">
        <x:f>IFERROR(H4843/I4843,"")</x:f>
        <x:v>1.4285714285714286</x:v>
      </x:c>
      <x:c r="K4843" s="69" t="n">
        <x:f>IFERROR(I4843/H4843,"")</x:f>
        <x:v>0.7</x:v>
      </x:c>
      <x:c r="L4843" s="66" t="str">
        <x:f>IF(K4843="","","1 : "&amp;TEXT(K4843,"0.0"))</x:f>
        <x:v>1 : 0.7</x:v>
      </x:c>
      <x:c r="M4843" s="66" t="str">
        <x:f>IF(J4843="","Baru/Tanpa Data",IF(J4843&lt;='Catatan &amp; Sumber'!$B$14,"Sangat Ketat",IF(J4843&lt;='Catatan &amp; Sumber'!$B$15,"Ketat",IF(J4843&lt;='Catatan &amp; Sumber'!$B$16,"Sedang","Relatif Longgar"))))</x:f>
        <x:v>Relatif Longgar</x:v>
      </x:c>
      <x:c r="N4843" s="66" t="str">
        <x:v>Tidak Ada</x:v>
      </x:c>
      <x:c r="O4843" s="66" t="str">
        <x:v>Sulawesi Tenggara</x:v>
      </x:c>
      <x:c r="P4843" s="66" t="str">
        <x:v>Kabupaten Kolaka</x:v>
      </x:c>
      <x:c r="Q4843" s="66" t="str">
        <x:v>https://snpmb.id/snbp/daya-tampung-snbp</x:v>
      </x:c>
      <x:c r="R4843" s="66" t="str">
        <x:v>https://sidatagrun-public-1076756628210.asia-southeast2.run.app/ptn_sn.php?ptn=753</x:v>
      </x:c>
    </x:row>
    <x:row r="4844">
      <x:c r="A4844" s="87" t="n">
        <x:v>4170</x:v>
      </x:c>
      <x:c r="B4844" s="66" t="n">
        <x:v>753</x:v>
      </x:c>
      <x:c r="C4844" s="66" t="str">
        <x:v>UNIVERSITAS SEMBILAN BELAS NOVEMBER KOLAKA</x:v>
      </x:c>
      <x:c r="D4844" s="66" t="str">
        <x:v>PTN Akademik</x:v>
      </x:c>
      <x:c r="E4844" s="66" t="str">
        <x:v>17531020</x:v>
      </x:c>
      <x:c r="F4844" s="66" t="str">
        <x:v>HUKUM</x:v>
      </x:c>
      <x:c r="G4844" s="66" t="str">
        <x:v>Sarjana</x:v>
      </x:c>
      <x:c r="H4844" s="87" t="n">
        <x:v>45</x:v>
      </x:c>
      <x:c r="I4844" s="87" t="n">
        <x:v>54</x:v>
      </x:c>
      <x:c r="J4844" s="68" t="n">
        <x:f>IFERROR(H4844/I4844,"")</x:f>
        <x:v>0.8333333333333334</x:v>
      </x:c>
      <x:c r="K4844" s="69" t="n">
        <x:f>IFERROR(I4844/H4844,"")</x:f>
        <x:v>1.2</x:v>
      </x:c>
      <x:c r="L4844" s="66" t="str">
        <x:f>IF(K4844="","","1 : "&amp;TEXT(K4844,"0.0"))</x:f>
        <x:v>1 : 1.2</x:v>
      </x:c>
      <x:c r="M4844" s="66" t="str">
        <x:f>IF(J4844="","Baru/Tanpa Data",IF(J4844&lt;='Catatan &amp; Sumber'!$B$14,"Sangat Ketat",IF(J4844&lt;='Catatan &amp; Sumber'!$B$15,"Ketat",IF(J4844&lt;='Catatan &amp; Sumber'!$B$16,"Sedang","Relatif Longgar"))))</x:f>
        <x:v>Relatif Longgar</x:v>
      </x:c>
      <x:c r="N4844" s="66" t="str">
        <x:v>Tidak Ada</x:v>
      </x:c>
      <x:c r="O4844" s="66" t="str">
        <x:v>Sulawesi Tenggara</x:v>
      </x:c>
      <x:c r="P4844" s="66" t="str">
        <x:v>Kabupaten Kolaka</x:v>
      </x:c>
      <x:c r="Q4844" s="66" t="str">
        <x:v>https://snpmb.id/snbp/daya-tampung-snbp</x:v>
      </x:c>
      <x:c r="R4844" s="66" t="str">
        <x:v>https://sidatagrun-public-1076756628210.asia-southeast2.run.app/ptn_sn.php?ptn=753</x:v>
      </x:c>
    </x:row>
    <x:row r="4845">
      <x:c r="A4845" s="87" t="n">
        <x:v>3535</x:v>
      </x:c>
      <x:c r="B4845" s="66" t="n">
        <x:v>753</x:v>
      </x:c>
      <x:c r="C4845" s="66" t="str">
        <x:v>UNIVERSITAS SEMBILAN BELAS NOVEMBER KOLAKA</x:v>
      </x:c>
      <x:c r="D4845" s="66" t="str">
        <x:v>PTN Akademik</x:v>
      </x:c>
      <x:c r="E4845" s="66" t="str">
        <x:v>17531021</x:v>
      </x:c>
      <x:c r="F4845" s="66" t="str">
        <x:v>ADMINISTRASI PUBLIK</x:v>
      </x:c>
      <x:c r="G4845" s="66" t="str">
        <x:v>Sarjana</x:v>
      </x:c>
      <x:c r="H4845" s="87" t="n">
        <x:v>25</x:v>
      </x:c>
      <x:c r="I4845" s="87" t="n">
        <x:v>56</x:v>
      </x:c>
      <x:c r="J4845" s="68" t="n">
        <x:f>IFERROR(H4845/I4845,"")</x:f>
        <x:v>0.44642857142857145</x:v>
      </x:c>
      <x:c r="K4845" s="69" t="n">
        <x:f>IFERROR(I4845/H4845,"")</x:f>
        <x:v>2.24</x:v>
      </x:c>
      <x:c r="L4845" s="66" t="str">
        <x:f>IF(K4845="","","1 : "&amp;TEXT(K4845,"0.0"))</x:f>
        <x:v>1 : 2.2</x:v>
      </x:c>
      <x:c r="M4845" s="66" t="str">
        <x:f>IF(J4845="","Baru/Tanpa Data",IF(J4845&lt;='Catatan &amp; Sumber'!$B$14,"Sangat Ketat",IF(J4845&lt;='Catatan &amp; Sumber'!$B$15,"Ketat",IF(J4845&lt;='Catatan &amp; Sumber'!$B$16,"Sedang","Relatif Longgar"))))</x:f>
        <x:v>Relatif Longgar</x:v>
      </x:c>
      <x:c r="N4845" s="66" t="str">
        <x:v>Tidak Ada</x:v>
      </x:c>
      <x:c r="O4845" s="66" t="str">
        <x:v>Sulawesi Tenggara</x:v>
      </x:c>
      <x:c r="P4845" s="66" t="str">
        <x:v>Kabupaten Kolaka</x:v>
      </x:c>
      <x:c r="Q4845" s="66" t="str">
        <x:v>https://snpmb.id/snbp/daya-tampung-snbp</x:v>
      </x:c>
      <x:c r="R4845" s="66" t="str">
        <x:v>https://sidatagrun-public-1076756628210.asia-southeast2.run.app/ptn_sn.php?ptn=753</x:v>
      </x:c>
    </x:row>
    <x:row r="4846">
      <x:c r="A4846" s="87" t="n">
        <x:v>4005</x:v>
      </x:c>
      <x:c r="B4846" s="66" t="n">
        <x:v>753</x:v>
      </x:c>
      <x:c r="C4846" s="66" t="str">
        <x:v>UNIVERSITAS SEMBILAN BELAS NOVEMBER KOLAKA</x:v>
      </x:c>
      <x:c r="D4846" s="66" t="str">
        <x:v>PTN Akademik</x:v>
      </x:c>
      <x:c r="E4846" s="66" t="str">
        <x:v>17531022</x:v>
      </x:c>
      <x:c r="F4846" s="66" t="str">
        <x:v>PENDIDIKAN BAHASA INDONESIA</x:v>
      </x:c>
      <x:c r="G4846" s="66" t="str">
        <x:v>Sarjana</x:v>
      </x:c>
      <x:c r="H4846" s="87" t="n">
        <x:v>20</x:v>
      </x:c>
      <x:c r="I4846" s="87" t="n">
        <x:v>29</x:v>
      </x:c>
      <x:c r="J4846" s="68" t="n">
        <x:f>IFERROR(H4846/I4846,"")</x:f>
        <x:v>0.6896551724137931</x:v>
      </x:c>
      <x:c r="K4846" s="69" t="n">
        <x:f>IFERROR(I4846/H4846,"")</x:f>
        <x:v>1.45</x:v>
      </x:c>
      <x:c r="L4846" s="66" t="str">
        <x:f>IF(K4846="","","1 : "&amp;TEXT(K4846,"0.0"))</x:f>
        <x:v>1 : 1.5</x:v>
      </x:c>
      <x:c r="M4846" s="66" t="str">
        <x:f>IF(J4846="","Baru/Tanpa Data",IF(J4846&lt;='Catatan &amp; Sumber'!$B$14,"Sangat Ketat",IF(J4846&lt;='Catatan &amp; Sumber'!$B$15,"Ketat",IF(J4846&lt;='Catatan &amp; Sumber'!$B$16,"Sedang","Relatif Longgar"))))</x:f>
        <x:v>Relatif Longgar</x:v>
      </x:c>
      <x:c r="N4846" s="66" t="str">
        <x:v>Tidak Ada</x:v>
      </x:c>
      <x:c r="O4846" s="66" t="str">
        <x:v>Sulawesi Tenggara</x:v>
      </x:c>
      <x:c r="P4846" s="66" t="str">
        <x:v>Kabupaten Kolaka</x:v>
      </x:c>
      <x:c r="Q4846" s="66" t="str">
        <x:v>https://snpmb.id/snbp/daya-tampung-snbp</x:v>
      </x:c>
      <x:c r="R4846" s="66" t="str">
        <x:v>https://sidatagrun-public-1076756628210.asia-southeast2.run.app/ptn_sn.php?ptn=753</x:v>
      </x:c>
    </x:row>
    <x:row r="4847">
      <x:c r="A4847" s="87" t="n">
        <x:v>3829</x:v>
      </x:c>
      <x:c r="B4847" s="66" t="n">
        <x:v>753</x:v>
      </x:c>
      <x:c r="C4847" s="66" t="str">
        <x:v>UNIVERSITAS SEMBILAN BELAS NOVEMBER KOLAKA</x:v>
      </x:c>
      <x:c r="D4847" s="66" t="str">
        <x:v>PTN Akademik</x:v>
      </x:c>
      <x:c r="E4847" s="66" t="str">
        <x:v>17531023</x:v>
      </x:c>
      <x:c r="F4847" s="66" t="str">
        <x:v>PENDIDIKAN BAHASA INGGRIS</x:v>
      </x:c>
      <x:c r="G4847" s="66" t="str">
        <x:v>Sarjana</x:v>
      </x:c>
      <x:c r="H4847" s="87" t="n">
        <x:v>20</x:v>
      </x:c>
      <x:c r="I4847" s="87" t="n">
        <x:v>34</x:v>
      </x:c>
      <x:c r="J4847" s="68" t="n">
        <x:f>IFERROR(H4847/I4847,"")</x:f>
        <x:v>0.5882352941176471</x:v>
      </x:c>
      <x:c r="K4847" s="69" t="n">
        <x:f>IFERROR(I4847/H4847,"")</x:f>
        <x:v>1.7</x:v>
      </x:c>
      <x:c r="L4847" s="66" t="str">
        <x:f>IF(K4847="","","1 : "&amp;TEXT(K4847,"0.0"))</x:f>
        <x:v>1 : 1.7</x:v>
      </x:c>
      <x:c r="M4847" s="66" t="str">
        <x:f>IF(J4847="","Baru/Tanpa Data",IF(J4847&lt;='Catatan &amp; Sumber'!$B$14,"Sangat Ketat",IF(J4847&lt;='Catatan &amp; Sumber'!$B$15,"Ketat",IF(J4847&lt;='Catatan &amp; Sumber'!$B$16,"Sedang","Relatif Longgar"))))</x:f>
        <x:v>Relatif Longgar</x:v>
      </x:c>
      <x:c r="N4847" s="66" t="str">
        <x:v>Tidak Ada</x:v>
      </x:c>
      <x:c r="O4847" s="66" t="str">
        <x:v>Sulawesi Tenggara</x:v>
      </x:c>
      <x:c r="P4847" s="66" t="str">
        <x:v>Kabupaten Kolaka</x:v>
      </x:c>
      <x:c r="Q4847" s="66" t="str">
        <x:v>https://snpmb.id/snbp/daya-tampung-snbp</x:v>
      </x:c>
      <x:c r="R4847" s="66" t="str">
        <x:v>https://sidatagrun-public-1076756628210.asia-southeast2.run.app/ptn_sn.php?ptn=753</x:v>
      </x:c>
    </x:row>
    <x:row r="4848">
      <x:c r="A4848" s="87" t="n">
        <x:v>4429</x:v>
      </x:c>
      <x:c r="B4848" s="66" t="n">
        <x:v>753</x:v>
      </x:c>
      <x:c r="C4848" s="66" t="str">
        <x:v>UNIVERSITAS SEMBILAN BELAS NOVEMBER KOLAKA</x:v>
      </x:c>
      <x:c r="D4848" s="66" t="str">
        <x:v>PTN Akademik</x:v>
      </x:c>
      <x:c r="E4848" s="66" t="str">
        <x:v>17531024</x:v>
      </x:c>
      <x:c r="F4848" s="66" t="str">
        <x:v>PENDIDIKAN GEOGRAFI</x:v>
      </x:c>
      <x:c r="G4848" s="66" t="str">
        <x:v>Sarjana</x:v>
      </x:c>
      <x:c r="H4848" s="87" t="n">
        <x:v>20</x:v>
      </x:c>
      <x:c r="I4848" s="87" t="n">
        <x:v>17</x:v>
      </x:c>
      <x:c r="J4848" s="68" t="n">
        <x:f>IFERROR(H4848/I4848,"")</x:f>
        <x:v>1.1764705882352942</x:v>
      </x:c>
      <x:c r="K4848" s="69" t="n">
        <x:f>IFERROR(I4848/H4848,"")</x:f>
        <x:v>0.85</x:v>
      </x:c>
      <x:c r="L4848" s="66" t="str">
        <x:f>IF(K4848="","","1 : "&amp;TEXT(K4848,"0.0"))</x:f>
        <x:v>1 : 0.9</x:v>
      </x:c>
      <x:c r="M4848" s="66" t="str">
        <x:f>IF(J4848="","Baru/Tanpa Data",IF(J4848&lt;='Catatan &amp; Sumber'!$B$14,"Sangat Ketat",IF(J4848&lt;='Catatan &amp; Sumber'!$B$15,"Ketat",IF(J4848&lt;='Catatan &amp; Sumber'!$B$16,"Sedang","Relatif Longgar"))))</x:f>
        <x:v>Relatif Longgar</x:v>
      </x:c>
      <x:c r="N4848" s="66" t="str">
        <x:v>Tidak Ada</x:v>
      </x:c>
      <x:c r="O4848" s="66" t="str">
        <x:v>Sulawesi Tenggara</x:v>
      </x:c>
      <x:c r="P4848" s="66" t="str">
        <x:v>Kabupaten Kolaka</x:v>
      </x:c>
      <x:c r="Q4848" s="66" t="str">
        <x:v>https://snpmb.id/snbp/daya-tampung-snbp</x:v>
      </x:c>
      <x:c r="R4848" s="66" t="str">
        <x:v>https://sidatagrun-public-1076756628210.asia-southeast2.run.app/ptn_sn.php?ptn=753</x:v>
      </x:c>
    </x:row>
    <x:row r="4849">
      <x:c r="A4849" s="87" t="n">
        <x:v>3552</x:v>
      </x:c>
      <x:c r="B4849" s="66" t="n">
        <x:v>753</x:v>
      </x:c>
      <x:c r="C4849" s="66" t="str">
        <x:v>UNIVERSITAS SEMBILAN BELAS NOVEMBER KOLAKA</x:v>
      </x:c>
      <x:c r="D4849" s="66" t="str">
        <x:v>PTN Akademik</x:v>
      </x:c>
      <x:c r="E4849" s="66" t="str">
        <x:v>17531025</x:v>
      </x:c>
      <x:c r="F4849" s="66" t="str">
        <x:v>AKUNTANSI</x:v>
      </x:c>
      <x:c r="G4849" s="66" t="str">
        <x:v>Sarjana</x:v>
      </x:c>
      <x:c r="H4849" s="87" t="n">
        <x:v>23</x:v>
      </x:c>
      <x:c r="I4849" s="87" t="n">
        <x:v>51</x:v>
      </x:c>
      <x:c r="J4849" s="68" t="n">
        <x:f>IFERROR(H4849/I4849,"")</x:f>
        <x:v>0.45098039215686275</x:v>
      </x:c>
      <x:c r="K4849" s="69" t="n">
        <x:f>IFERROR(I4849/H4849,"")</x:f>
        <x:v>2.217391304347826</x:v>
      </x:c>
      <x:c r="L4849" s="66" t="str">
        <x:f>IF(K4849="","","1 : "&amp;TEXT(K4849,"0.0"))</x:f>
        <x:v>1 : 2.2</x:v>
      </x:c>
      <x:c r="M4849" s="66" t="str">
        <x:f>IF(J4849="","Baru/Tanpa Data",IF(J4849&lt;='Catatan &amp; Sumber'!$B$14,"Sangat Ketat",IF(J4849&lt;='Catatan &amp; Sumber'!$B$15,"Ketat",IF(J4849&lt;='Catatan &amp; Sumber'!$B$16,"Sedang","Relatif Longgar"))))</x:f>
        <x:v>Relatif Longgar</x:v>
      </x:c>
      <x:c r="N4849" s="66" t="str">
        <x:v>Tidak Ada</x:v>
      </x:c>
      <x:c r="O4849" s="66" t="str">
        <x:v>Sulawesi Tenggara</x:v>
      </x:c>
      <x:c r="P4849" s="66" t="str">
        <x:v>Kabupaten Kolaka</x:v>
      </x:c>
      <x:c r="Q4849" s="66" t="str">
        <x:v>https://snpmb.id/snbp/daya-tampung-snbp</x:v>
      </x:c>
      <x:c r="R4849" s="66" t="str">
        <x:v>https://sidatagrun-public-1076756628210.asia-southeast2.run.app/ptn_sn.php?ptn=753</x:v>
      </x:c>
    </x:row>
    <x:row r="4850">
      <x:c r="A4850" s="87" t="n">
        <x:v>3801</x:v>
      </x:c>
      <x:c r="B4850" s="66" t="n">
        <x:v>753</x:v>
      </x:c>
      <x:c r="C4850" s="66" t="str">
        <x:v>UNIVERSITAS SEMBILAN BELAS NOVEMBER KOLAKA</x:v>
      </x:c>
      <x:c r="D4850" s="66" t="str">
        <x:v>PTN Akademik</x:v>
      </x:c>
      <x:c r="E4850" s="66" t="str">
        <x:v>17531026</x:v>
      </x:c>
      <x:c r="F4850" s="66" t="str">
        <x:v>PENDIDIKAN PANCASILA DAN KEWARGANEGARAAN</x:v>
      </x:c>
      <x:c r="G4850" s="66" t="str">
        <x:v>Sarjana</x:v>
      </x:c>
      <x:c r="H4850" s="87" t="n">
        <x:v>20</x:v>
      </x:c>
      <x:c r="I4850" s="87" t="n">
        <x:v>35</x:v>
      </x:c>
      <x:c r="J4850" s="68" t="n">
        <x:f>IFERROR(H4850/I4850,"")</x:f>
        <x:v>0.5714285714285714</x:v>
      </x:c>
      <x:c r="K4850" s="69" t="n">
        <x:f>IFERROR(I4850/H4850,"")</x:f>
        <x:v>1.75</x:v>
      </x:c>
      <x:c r="L4850" s="66" t="str">
        <x:f>IF(K4850="","","1 : "&amp;TEXT(K4850,"0.0"))</x:f>
        <x:v>1 : 1.8</x:v>
      </x:c>
      <x:c r="M4850" s="66" t="str">
        <x:f>IF(J4850="","Baru/Tanpa Data",IF(J4850&lt;='Catatan &amp; Sumber'!$B$14,"Sangat Ketat",IF(J4850&lt;='Catatan &amp; Sumber'!$B$15,"Ketat",IF(J4850&lt;='Catatan &amp; Sumber'!$B$16,"Sedang","Relatif Longgar"))))</x:f>
        <x:v>Relatif Longgar</x:v>
      </x:c>
      <x:c r="N4850" s="66" t="str">
        <x:v>Tidak Ada</x:v>
      </x:c>
      <x:c r="O4850" s="66" t="str">
        <x:v>Sulawesi Tenggara</x:v>
      </x:c>
      <x:c r="P4850" s="66" t="str">
        <x:v>Kabupaten Kolaka</x:v>
      </x:c>
      <x:c r="Q4850" s="66" t="str">
        <x:v>https://snpmb.id/snbp/daya-tampung-snbp</x:v>
      </x:c>
      <x:c r="R4850" s="66" t="str">
        <x:v>https://sidatagrun-public-1076756628210.asia-southeast2.run.app/ptn_sn.php?ptn=753</x:v>
      </x:c>
    </x:row>
    <x:row r="4851">
      <x:c r="A4851" s="87" t="n">
        <x:v>2613</x:v>
      </x:c>
      <x:c r="B4851" s="66" t="n">
        <x:v>753</x:v>
      </x:c>
      <x:c r="C4851" s="66" t="str">
        <x:v>UNIVERSITAS SEMBILAN BELAS NOVEMBER KOLAKA</x:v>
      </x:c>
      <x:c r="D4851" s="66" t="str">
        <x:v>PTN Akademik</x:v>
      </x:c>
      <x:c r="E4851" s="66" t="str">
        <x:v>17531027</x:v>
      </x:c>
      <x:c r="F4851" s="66" t="str">
        <x:v>MANAJEMEN</x:v>
      </x:c>
      <x:c r="G4851" s="66" t="str">
        <x:v>Sarjana</x:v>
      </x:c>
      <x:c r="H4851" s="87" t="n">
        <x:v>23</x:v>
      </x:c>
      <x:c r="I4851" s="87" t="n">
        <x:v>100</x:v>
      </x:c>
      <x:c r="J4851" s="68" t="n">
        <x:f>IFERROR(H4851/I4851,"")</x:f>
        <x:v>0.23</x:v>
      </x:c>
      <x:c r="K4851" s="69" t="n">
        <x:f>IFERROR(I4851/H4851,"")</x:f>
        <x:v>4.3478260869565215</x:v>
      </x:c>
      <x:c r="L4851" s="66" t="str">
        <x:f>IF(K4851="","","1 : "&amp;TEXT(K4851,"0.0"))</x:f>
        <x:v>1 : 4.3</x:v>
      </x:c>
      <x:c r="M4851" s="66" t="str">
        <x:f>IF(J4851="","Baru/Tanpa Data",IF(J4851&lt;='Catatan &amp; Sumber'!$B$14,"Sangat Ketat",IF(J4851&lt;='Catatan &amp; Sumber'!$B$15,"Ketat",IF(J4851&lt;='Catatan &amp; Sumber'!$B$16,"Sedang","Relatif Longgar"))))</x:f>
        <x:v>Relatif Longgar</x:v>
      </x:c>
      <x:c r="N4851" s="66" t="str">
        <x:v>Tidak Ada</x:v>
      </x:c>
      <x:c r="O4851" s="66" t="str">
        <x:v>Sulawesi Tenggara</x:v>
      </x:c>
      <x:c r="P4851" s="66" t="str">
        <x:v>Kabupaten Kolaka</x:v>
      </x:c>
      <x:c r="Q4851" s="66" t="str">
        <x:v>https://snpmb.id/snbp/daya-tampung-snbp</x:v>
      </x:c>
      <x:c r="R4851" s="66" t="str">
        <x:v>https://sidatagrun-public-1076756628210.asia-southeast2.run.app/ptn_sn.php?ptn=753</x:v>
      </x:c>
    </x:row>
    <x:row r="4852">
      <x:c r="A4852" s="87" t="n">
        <x:v>4544</x:v>
      </x:c>
      <x:c r="B4852" s="66" t="n">
        <x:v>753</x:v>
      </x:c>
      <x:c r="C4852" s="66" t="str">
        <x:v>UNIVERSITAS SEMBILAN BELAS NOVEMBER KOLAKA</x:v>
      </x:c>
      <x:c r="D4852" s="66" t="str">
        <x:v>PTN Akademik</x:v>
      </x:c>
      <x:c r="E4852" s="66" t="str">
        <x:v>17531028</x:v>
      </x:c>
      <x:c r="F4852" s="66" t="str">
        <x:v>PENDIDIKAN JASMANI</x:v>
      </x:c>
      <x:c r="G4852" s="66" t="str">
        <x:v>Sarjana</x:v>
      </x:c>
      <x:c r="H4852" s="87" t="n">
        <x:v>31</x:v>
      </x:c>
      <x:c r="I4852" s="87" t="n">
        <x:v>21</x:v>
      </x:c>
      <x:c r="J4852" s="68" t="n">
        <x:f>IFERROR(H4852/I4852,"")</x:f>
        <x:v>1.4761904761904763</x:v>
      </x:c>
      <x:c r="K4852" s="69" t="n">
        <x:f>IFERROR(I4852/H4852,"")</x:f>
        <x:v>0.6774193548387096</x:v>
      </x:c>
      <x:c r="L4852" s="66" t="str">
        <x:f>IF(K4852="","","1 : "&amp;TEXT(K4852,"0.0"))</x:f>
        <x:v>1 : 0.7</x:v>
      </x:c>
      <x:c r="M4852" s="66" t="str">
        <x:f>IF(J4852="","Baru/Tanpa Data",IF(J4852&lt;='Catatan &amp; Sumber'!$B$14,"Sangat Ketat",IF(J4852&lt;='Catatan &amp; Sumber'!$B$15,"Ketat",IF(J4852&lt;='Catatan &amp; Sumber'!$B$16,"Sedang","Relatif Longgar"))))</x:f>
        <x:v>Relatif Longgar</x:v>
      </x:c>
      <x:c r="N4852" s="66" t="str">
        <x:v>Olahraga</x:v>
      </x:c>
      <x:c r="O4852" s="66" t="str">
        <x:v>Sulawesi Tenggara</x:v>
      </x:c>
      <x:c r="P4852" s="66" t="str">
        <x:v>Kabupaten Kolaka</x:v>
      </x:c>
      <x:c r="Q4852" s="66" t="str">
        <x:v>https://snpmb.id/snbp/daya-tampung-snbp</x:v>
      </x:c>
      <x:c r="R4852" s="66" t="str">
        <x:v>https://sidatagrun-public-1076756628210.asia-southeast2.run.app/ptn_sn.php?ptn=753</x:v>
      </x:c>
    </x:row>
    <x:row r="4853">
      <x:c r="A4853" s="87" t="n">
        <x:v>4639</x:v>
      </x:c>
      <x:c r="B4853" s="66" t="n">
        <x:v>753</x:v>
      </x:c>
      <x:c r="C4853" s="66" t="str">
        <x:v>UNIVERSITAS SEMBILAN BELAS NOVEMBER KOLAKA</x:v>
      </x:c>
      <x:c r="D4853" s="66" t="str">
        <x:v>PTN Akademik</x:v>
      </x:c>
      <x:c r="E4853" s="66" t="str">
        <x:v>17531029</x:v>
      </x:c>
      <x:c r="F4853" s="66" t="str">
        <x:v>EKONOMI PEMBANGUNAN</x:v>
      </x:c>
      <x:c r="G4853" s="66" t="str">
        <x:v>Sarjana</x:v>
      </x:c>
      <x:c r="H4853" s="87" t="n">
        <x:v>20</x:v>
      </x:c>
      <x:c r="I4853" s="87" t="n">
        <x:v>11</x:v>
      </x:c>
      <x:c r="J4853" s="68" t="n">
        <x:f>IFERROR(H4853/I4853,"")</x:f>
        <x:v>1.8181818181818181</x:v>
      </x:c>
      <x:c r="K4853" s="69" t="n">
        <x:f>IFERROR(I4853/H4853,"")</x:f>
        <x:v>0.55</x:v>
      </x:c>
      <x:c r="L4853" s="66" t="str">
        <x:f>IF(K4853="","","1 : "&amp;TEXT(K4853,"0.0"))</x:f>
        <x:v>1 : 0.6</x:v>
      </x:c>
      <x:c r="M4853" s="66" t="str">
        <x:f>IF(J4853="","Baru/Tanpa Data",IF(J4853&lt;='Catatan &amp; Sumber'!$B$14,"Sangat Ketat",IF(J4853&lt;='Catatan &amp; Sumber'!$B$15,"Ketat",IF(J4853&lt;='Catatan &amp; Sumber'!$B$16,"Sedang","Relatif Longgar"))))</x:f>
        <x:v>Relatif Longgar</x:v>
      </x:c>
      <x:c r="N4853" s="66" t="str">
        <x:v>Tidak Ada</x:v>
      </x:c>
      <x:c r="O4853" s="66" t="str">
        <x:v>Sulawesi Tenggara</x:v>
      </x:c>
      <x:c r="P4853" s="66" t="str">
        <x:v>Kabupaten Kolaka</x:v>
      </x:c>
      <x:c r="Q4853" s="66" t="str">
        <x:v>https://snpmb.id/snbp/daya-tampung-snbp</x:v>
      </x:c>
      <x:c r="R4853" s="66" t="str">
        <x:v>https://sidatagrun-public-1076756628210.asia-southeast2.run.app/ptn_sn.php?ptn=753</x:v>
      </x:c>
    </x:row>
    <x:row r="4854">
      <x:c r="A4854" s="87"/>
      <x:c r="B4854" s="66" t="n">
        <x:v>753</x:v>
      </x:c>
      <x:c r="C4854" s="66" t="str">
        <x:v>UNIVERSITAS SEMBILAN BELAS NOVEMBER KOLAKA</x:v>
      </x:c>
      <x:c r="D4854" s="66" t="str">
        <x:v>PTN Akademik</x:v>
      </x:c>
      <x:c r="E4854" s="66" t="str">
        <x:v>17531031</x:v>
      </x:c>
      <x:c r="F4854" s="66" t="str">
        <x:v>GIZI</x:v>
      </x:c>
      <x:c r="G4854" s="66" t="str">
        <x:v>Sarjana</x:v>
      </x:c>
      <x:c r="H4854" s="87" t="n">
        <x:v>15</x:v>
      </x:c>
      <x:c r="I4854" s="87"/>
      <x:c r="J4854" s="68" t="str">
        <x:f>IFERROR(H4854/I4854,"")</x:f>
      </x:c>
      <x:c r="K4854" s="69" t="n">
        <x:f>IFERROR(I4854/H4854,"")</x:f>
        <x:v>0</x:v>
      </x:c>
      <x:c r="L4854" s="66" t="str">
        <x:f>IF(K4854="","","1 : "&amp;TEXT(K4854,"0.0"))</x:f>
      </x:c>
      <x:c r="M4854" s="66" t="str">
        <x:f>IF(J4854="","Baru/Tanpa Data",IF(J4854&lt;='Catatan &amp; Sumber'!$B$14,"Sangat Ketat",IF(J4854&lt;='Catatan &amp; Sumber'!$B$15,"Ketat",IF(J4854&lt;='Catatan &amp; Sumber'!$B$16,"Sedang","Relatif Longgar"))))</x:f>
        <x:v>Baru/Tanpa Data</x:v>
      </x:c>
      <x:c r="N4854" s="66" t="str">
        <x:v>Tidak Ada</x:v>
      </x:c>
      <x:c r="O4854" s="66" t="str">
        <x:v>Sulawesi Tenggara</x:v>
      </x:c>
      <x:c r="P4854" s="66" t="str">
        <x:v>Kabupaten Kolaka</x:v>
      </x:c>
      <x:c r="Q4854" s="66" t="str">
        <x:v>https://snpmb.id/snbp/daya-tampung-snbp</x:v>
      </x:c>
      <x:c r="R4854" s="66" t="str">
        <x:v>https://sidatagrun-public-1076756628210.asia-southeast2.run.app/ptn_sn.php?ptn=753</x:v>
      </x:c>
    </x:row>
    <x:row r="4855">
      <x:c r="A4855" s="87" t="n">
        <x:v>3044</x:v>
      </x:c>
      <x:c r="B4855" s="66" t="n">
        <x:v>753</x:v>
      </x:c>
      <x:c r="C4855" s="66" t="str">
        <x:v>UNIVERSITAS SEMBILAN BELAS NOVEMBER KOLAKA</x:v>
      </x:c>
      <x:c r="D4855" s="66" t="str">
        <x:v>PTN Akademik</x:v>
      </x:c>
      <x:c r="E4855" s="66" t="str">
        <x:v>17533030</x:v>
      </x:c>
      <x:c r="F4855" s="66" t="str">
        <x:v>KEPERAWATAN</x:v>
      </x:c>
      <x:c r="G4855" s="66" t="str">
        <x:v>Diploma Tiga</x:v>
      </x:c>
      <x:c r="H4855" s="87" t="n">
        <x:v>20</x:v>
      </x:c>
      <x:c r="I4855" s="87" t="n">
        <x:v>66</x:v>
      </x:c>
      <x:c r="J4855" s="68" t="n">
        <x:f>IFERROR(H4855/I4855,"")</x:f>
        <x:v>0.30303030303030304</x:v>
      </x:c>
      <x:c r="K4855" s="69" t="n">
        <x:f>IFERROR(I4855/H4855,"")</x:f>
        <x:v>3.3</x:v>
      </x:c>
      <x:c r="L4855" s="66" t="str">
        <x:f>IF(K4855="","","1 : "&amp;TEXT(K4855,"0.0"))</x:f>
        <x:v>1 : 3.3</x:v>
      </x:c>
      <x:c r="M4855" s="66" t="str">
        <x:f>IF(J4855="","Baru/Tanpa Data",IF(J4855&lt;='Catatan &amp; Sumber'!$B$14,"Sangat Ketat",IF(J4855&lt;='Catatan &amp; Sumber'!$B$15,"Ketat",IF(J4855&lt;='Catatan &amp; Sumber'!$B$16,"Sedang","Relatif Longgar"))))</x:f>
        <x:v>Relatif Longgar</x:v>
      </x:c>
      <x:c r="N4855" s="66" t="str">
        <x:v>Tidak Ada</x:v>
      </x:c>
      <x:c r="O4855" s="66" t="str">
        <x:v>Sulawesi Tenggara</x:v>
      </x:c>
      <x:c r="P4855" s="66" t="str">
        <x:v>Kabupaten Kolaka</x:v>
      </x:c>
      <x:c r="Q4855" s="66" t="str">
        <x:v>https://snpmb.id/snbp/daya-tampung-snbp</x:v>
      </x:c>
      <x:c r="R4855" s="66" t="str">
        <x:v>https://sidatagrun-public-1076756628210.asia-southeast2.run.app/ptn_sn.php?ptn=753</x:v>
      </x:c>
    </x:row>
    <x:row r="4856">
      <x:c r="A4856" s="87" t="n">
        <x:v>3844</x:v>
      </x:c>
      <x:c r="B4856" s="66" t="n">
        <x:v>811</x:v>
      </x:c>
      <x:c r="C4856" s="66" t="str">
        <x:v>UNIVERSITAS PATTIMURA</x:v>
      </x:c>
      <x:c r="D4856" s="66" t="str">
        <x:v>PTN Akademik</x:v>
      </x:c>
      <x:c r="E4856" s="66" t="str">
        <x:v>18111001</x:v>
      </x:c>
      <x:c r="F4856" s="66" t="str">
        <x:v>PEND. BIOLOGI</x:v>
      </x:c>
      <x:c r="G4856" s="66" t="str">
        <x:v>Sarjana</x:v>
      </x:c>
      <x:c r="H4856" s="87" t="n">
        <x:v>28</x:v>
      </x:c>
      <x:c r="I4856" s="87" t="n">
        <x:v>47</x:v>
      </x:c>
      <x:c r="J4856" s="68" t="n">
        <x:f>IFERROR(H4856/I4856,"")</x:f>
        <x:v>0.5957446808510638</x:v>
      </x:c>
      <x:c r="K4856" s="69" t="n">
        <x:f>IFERROR(I4856/H4856,"")</x:f>
        <x:v>1.6785714285714286</x:v>
      </x:c>
      <x:c r="L4856" s="66" t="str">
        <x:f>IF(K4856="","","1 : "&amp;TEXT(K4856,"0.0"))</x:f>
        <x:v>1 : 1.7</x:v>
      </x:c>
      <x:c r="M4856" s="66" t="str">
        <x:f>IF(J4856="","Baru/Tanpa Data",IF(J4856&lt;='Catatan &amp; Sumber'!$B$14,"Sangat Ketat",IF(J4856&lt;='Catatan &amp; Sumber'!$B$15,"Ketat",IF(J4856&lt;='Catatan &amp; Sumber'!$B$16,"Sedang","Relatif Longgar"))))</x:f>
        <x:v>Relatif Longgar</x:v>
      </x:c>
      <x:c r="N4856" s="66" t="str">
        <x:v>Tidak Ada</x:v>
      </x:c>
      <x:c r="O4856" s="66" t="str">
        <x:v>Maluku</x:v>
      </x:c>
      <x:c r="P4856" s="66" t="str">
        <x:v>Kota Ambon</x:v>
      </x:c>
      <x:c r="Q4856" s="66" t="str">
        <x:v>https://snpmb.id/snbp/daya-tampung-snbp</x:v>
      </x:c>
      <x:c r="R4856" s="66" t="str">
        <x:v>https://sidatagrun-public-1076756628210.asia-southeast2.run.app/ptn_sn.php?ptn=811</x:v>
      </x:c>
    </x:row>
    <x:row r="4857">
      <x:c r="A4857" s="87" t="n">
        <x:v>4503</x:v>
      </x:c>
      <x:c r="B4857" s="66" t="n">
        <x:v>811</x:v>
      </x:c>
      <x:c r="C4857" s="66" t="str">
        <x:v>UNIVERSITAS PATTIMURA</x:v>
      </x:c>
      <x:c r="D4857" s="66" t="str">
        <x:v>PTN Akademik</x:v>
      </x:c>
      <x:c r="E4857" s="66" t="str">
        <x:v>18111002</x:v>
      </x:c>
      <x:c r="F4857" s="66" t="str">
        <x:v>PEND. FISIKA</x:v>
      </x:c>
      <x:c r="G4857" s="66" t="str">
        <x:v>Sarjana</x:v>
      </x:c>
      <x:c r="H4857" s="87" t="n">
        <x:v>24</x:v>
      </x:c>
      <x:c r="I4857" s="87" t="n">
        <x:v>18</x:v>
      </x:c>
      <x:c r="J4857" s="68" t="n">
        <x:f>IFERROR(H4857/I4857,"")</x:f>
        <x:v>1.3333333333333333</x:v>
      </x:c>
      <x:c r="K4857" s="69" t="n">
        <x:f>IFERROR(I4857/H4857,"")</x:f>
        <x:v>0.75</x:v>
      </x:c>
      <x:c r="L4857" s="66" t="str">
        <x:f>IF(K4857="","","1 : "&amp;TEXT(K4857,"0.0"))</x:f>
        <x:v>1 : 0.8</x:v>
      </x:c>
      <x:c r="M4857" s="66" t="str">
        <x:f>IF(J4857="","Baru/Tanpa Data",IF(J4857&lt;='Catatan &amp; Sumber'!$B$14,"Sangat Ketat",IF(J4857&lt;='Catatan &amp; Sumber'!$B$15,"Ketat",IF(J4857&lt;='Catatan &amp; Sumber'!$B$16,"Sedang","Relatif Longgar"))))</x:f>
        <x:v>Relatif Longgar</x:v>
      </x:c>
      <x:c r="N4857" s="66" t="str">
        <x:v>Tidak Ada</x:v>
      </x:c>
      <x:c r="O4857" s="66" t="str">
        <x:v>Maluku</x:v>
      </x:c>
      <x:c r="P4857" s="66" t="str">
        <x:v>Kota Ambon</x:v>
      </x:c>
      <x:c r="Q4857" s="66" t="str">
        <x:v>https://snpmb.id/snbp/daya-tampung-snbp</x:v>
      </x:c>
      <x:c r="R4857" s="66" t="str">
        <x:v>https://sidatagrun-public-1076756628210.asia-southeast2.run.app/ptn_sn.php?ptn=811</x:v>
      </x:c>
    </x:row>
    <x:row r="4858">
      <x:c r="A4858" s="87" t="n">
        <x:v>3909</x:v>
      </x:c>
      <x:c r="B4858" s="66" t="n">
        <x:v>811</x:v>
      </x:c>
      <x:c r="C4858" s="66" t="str">
        <x:v>UNIVERSITAS PATTIMURA</x:v>
      </x:c>
      <x:c r="D4858" s="66" t="str">
        <x:v>PTN Akademik</x:v>
      </x:c>
      <x:c r="E4858" s="66" t="str">
        <x:v>18111003</x:v>
      </x:c>
      <x:c r="F4858" s="66" t="str">
        <x:v>PEND. MATEMATIKA</x:v>
      </x:c>
      <x:c r="G4858" s="66" t="str">
        <x:v>Sarjana</x:v>
      </x:c>
      <x:c r="H4858" s="87" t="n">
        <x:v>24</x:v>
      </x:c>
      <x:c r="I4858" s="87" t="n">
        <x:v>38</x:v>
      </x:c>
      <x:c r="J4858" s="68" t="n">
        <x:f>IFERROR(H4858/I4858,"")</x:f>
        <x:v>0.631578947368421</x:v>
      </x:c>
      <x:c r="K4858" s="69" t="n">
        <x:f>IFERROR(I4858/H4858,"")</x:f>
        <x:v>1.5833333333333333</x:v>
      </x:c>
      <x:c r="L4858" s="66" t="str">
        <x:f>IF(K4858="","","1 : "&amp;TEXT(K4858,"0.0"))</x:f>
        <x:v>1 : 1.6</x:v>
      </x:c>
      <x:c r="M4858" s="66" t="str">
        <x:f>IF(J4858="","Baru/Tanpa Data",IF(J4858&lt;='Catatan &amp; Sumber'!$B$14,"Sangat Ketat",IF(J4858&lt;='Catatan &amp; Sumber'!$B$15,"Ketat",IF(J4858&lt;='Catatan &amp; Sumber'!$B$16,"Sedang","Relatif Longgar"))))</x:f>
        <x:v>Relatif Longgar</x:v>
      </x:c>
      <x:c r="N4858" s="66" t="str">
        <x:v>Tidak Ada</x:v>
      </x:c>
      <x:c r="O4858" s="66" t="str">
        <x:v>Maluku</x:v>
      </x:c>
      <x:c r="P4858" s="66" t="str">
        <x:v>Kota Ambon</x:v>
      </x:c>
      <x:c r="Q4858" s="66" t="str">
        <x:v>https://snpmb.id/snbp/daya-tampung-snbp</x:v>
      </x:c>
      <x:c r="R4858" s="66" t="str">
        <x:v>https://sidatagrun-public-1076756628210.asia-southeast2.run.app/ptn_sn.php?ptn=811</x:v>
      </x:c>
    </x:row>
    <x:row r="4859">
      <x:c r="A4859" s="87" t="n">
        <x:v>4511</x:v>
      </x:c>
      <x:c r="B4859" s="66" t="n">
        <x:v>811</x:v>
      </x:c>
      <x:c r="C4859" s="66" t="str">
        <x:v>UNIVERSITAS PATTIMURA</x:v>
      </x:c>
      <x:c r="D4859" s="66" t="str">
        <x:v>PTN Akademik</x:v>
      </x:c>
      <x:c r="E4859" s="66" t="str">
        <x:v>18111004</x:v>
      </x:c>
      <x:c r="F4859" s="66" t="str">
        <x:v>PEND. KIMIA</x:v>
      </x:c>
      <x:c r="G4859" s="66" t="str">
        <x:v>Sarjana</x:v>
      </x:c>
      <x:c r="H4859" s="87" t="n">
        <x:v>19</x:v>
      </x:c>
      <x:c r="I4859" s="87" t="n">
        <x:v>14</x:v>
      </x:c>
      <x:c r="J4859" s="68" t="n">
        <x:f>IFERROR(H4859/I4859,"")</x:f>
        <x:v>1.3571428571428572</x:v>
      </x:c>
      <x:c r="K4859" s="69" t="n">
        <x:f>IFERROR(I4859/H4859,"")</x:f>
        <x:v>0.7368421052631579</x:v>
      </x:c>
      <x:c r="L4859" s="66" t="str">
        <x:f>IF(K4859="","","1 : "&amp;TEXT(K4859,"0.0"))</x:f>
        <x:v>1 : 0.7</x:v>
      </x:c>
      <x:c r="M4859" s="66" t="str">
        <x:f>IF(J4859="","Baru/Tanpa Data",IF(J4859&lt;='Catatan &amp; Sumber'!$B$14,"Sangat Ketat",IF(J4859&lt;='Catatan &amp; Sumber'!$B$15,"Ketat",IF(J4859&lt;='Catatan &amp; Sumber'!$B$16,"Sedang","Relatif Longgar"))))</x:f>
        <x:v>Relatif Longgar</x:v>
      </x:c>
      <x:c r="N4859" s="66" t="str">
        <x:v>Tidak Ada</x:v>
      </x:c>
      <x:c r="O4859" s="66" t="str">
        <x:v>Maluku</x:v>
      </x:c>
      <x:c r="P4859" s="66" t="str">
        <x:v>Kota Ambon</x:v>
      </x:c>
      <x:c r="Q4859" s="66" t="str">
        <x:v>https://snpmb.id/snbp/daya-tampung-snbp</x:v>
      </x:c>
      <x:c r="R4859" s="66" t="str">
        <x:v>https://sidatagrun-public-1076756628210.asia-southeast2.run.app/ptn_sn.php?ptn=811</x:v>
      </x:c>
    </x:row>
    <x:row r="4860">
      <x:c r="A4860" s="87" t="n">
        <x:v>4156</x:v>
      </x:c>
      <x:c r="B4860" s="66" t="n">
        <x:v>811</x:v>
      </x:c>
      <x:c r="C4860" s="66" t="str">
        <x:v>UNIVERSITAS PATTIMURA</x:v>
      </x:c>
      <x:c r="D4860" s="66" t="str">
        <x:v>PTN Akademik</x:v>
      </x:c>
      <x:c r="E4860" s="66" t="str">
        <x:v>18111005</x:v>
      </x:c>
      <x:c r="F4860" s="66" t="str">
        <x:v>AGRIBISNIS</x:v>
      </x:c>
      <x:c r="G4860" s="66" t="str">
        <x:v>Sarjana</x:v>
      </x:c>
      <x:c r="H4860" s="87" t="n">
        <x:v>18</x:v>
      </x:c>
      <x:c r="I4860" s="87" t="n">
        <x:v>22</x:v>
      </x:c>
      <x:c r="J4860" s="68" t="n">
        <x:f>IFERROR(H4860/I4860,"")</x:f>
        <x:v>0.8181818181818182</x:v>
      </x:c>
      <x:c r="K4860" s="69" t="n">
        <x:f>IFERROR(I4860/H4860,"")</x:f>
        <x:v>1.2222222222222223</x:v>
      </x:c>
      <x:c r="L4860" s="66" t="str">
        <x:f>IF(K4860="","","1 : "&amp;TEXT(K4860,"0.0"))</x:f>
        <x:v>1 : 1.2</x:v>
      </x:c>
      <x:c r="M4860" s="66" t="str">
        <x:f>IF(J4860="","Baru/Tanpa Data",IF(J4860&lt;='Catatan &amp; Sumber'!$B$14,"Sangat Ketat",IF(J4860&lt;='Catatan &amp; Sumber'!$B$15,"Ketat",IF(J4860&lt;='Catatan &amp; Sumber'!$B$16,"Sedang","Relatif Longgar"))))</x:f>
        <x:v>Relatif Longgar</x:v>
      </x:c>
      <x:c r="N4860" s="66" t="str">
        <x:v>Tidak Ada</x:v>
      </x:c>
      <x:c r="O4860" s="66" t="str">
        <x:v>Maluku</x:v>
      </x:c>
      <x:c r="P4860" s="66" t="str">
        <x:v>Kota Ambon</x:v>
      </x:c>
      <x:c r="Q4860" s="66" t="str">
        <x:v>https://snpmb.id/snbp/daya-tampung-snbp</x:v>
      </x:c>
      <x:c r="R4860" s="66" t="str">
        <x:v>https://sidatagrun-public-1076756628210.asia-southeast2.run.app/ptn_sn.php?ptn=811</x:v>
      </x:c>
    </x:row>
    <x:row r="4861">
      <x:c r="A4861" s="87" t="n">
        <x:v>4250</x:v>
      </x:c>
      <x:c r="B4861" s="66" t="n">
        <x:v>811</x:v>
      </x:c>
      <x:c r="C4861" s="66" t="str">
        <x:v>UNIVERSITAS PATTIMURA</x:v>
      </x:c>
      <x:c r="D4861" s="66" t="str">
        <x:v>PTN Akademik</x:v>
      </x:c>
      <x:c r="E4861" s="66" t="str">
        <x:v>18111006</x:v>
      </x:c>
      <x:c r="F4861" s="66" t="str">
        <x:v>AGROTEKNOLOGI</x:v>
      </x:c>
      <x:c r="G4861" s="66" t="str">
        <x:v>Sarjana</x:v>
      </x:c>
      <x:c r="H4861" s="87" t="n">
        <x:v>10</x:v>
      </x:c>
      <x:c r="I4861" s="87" t="n">
        <x:v>11</x:v>
      </x:c>
      <x:c r="J4861" s="68" t="n">
        <x:f>IFERROR(H4861/I4861,"")</x:f>
        <x:v>0.9090909090909091</x:v>
      </x:c>
      <x:c r="K4861" s="69" t="n">
        <x:f>IFERROR(I4861/H4861,"")</x:f>
        <x:v>1.1</x:v>
      </x:c>
      <x:c r="L4861" s="66" t="str">
        <x:f>IF(K4861="","","1 : "&amp;TEXT(K4861,"0.0"))</x:f>
        <x:v>1 : 1.1</x:v>
      </x:c>
      <x:c r="M4861" s="66" t="str">
        <x:f>IF(J4861="","Baru/Tanpa Data",IF(J4861&lt;='Catatan &amp; Sumber'!$B$14,"Sangat Ketat",IF(J4861&lt;='Catatan &amp; Sumber'!$B$15,"Ketat",IF(J4861&lt;='Catatan &amp; Sumber'!$B$16,"Sedang","Relatif Longgar"))))</x:f>
        <x:v>Relatif Longgar</x:v>
      </x:c>
      <x:c r="N4861" s="66" t="str">
        <x:v>Tidak Ada</x:v>
      </x:c>
      <x:c r="O4861" s="66" t="str">
        <x:v>Maluku</x:v>
      </x:c>
      <x:c r="P4861" s="66" t="str">
        <x:v>Kota Ambon</x:v>
      </x:c>
      <x:c r="Q4861" s="66" t="str">
        <x:v>https://snpmb.id/snbp/daya-tampung-snbp</x:v>
      </x:c>
      <x:c r="R4861" s="66" t="str">
        <x:v>https://sidatagrun-public-1076756628210.asia-southeast2.run.app/ptn_sn.php?ptn=811</x:v>
      </x:c>
    </x:row>
    <x:row r="4862">
      <x:c r="A4862" s="87" t="n">
        <x:v>3548</x:v>
      </x:c>
      <x:c r="B4862" s="66" t="n">
        <x:v>811</x:v>
      </x:c>
      <x:c r="C4862" s="66" t="str">
        <x:v>UNIVERSITAS PATTIMURA</x:v>
      </x:c>
      <x:c r="D4862" s="66" t="str">
        <x:v>PTN Akademik</x:v>
      </x:c>
      <x:c r="E4862" s="66" t="str">
        <x:v>18111007</x:v>
      </x:c>
      <x:c r="F4862" s="66" t="str">
        <x:v>TEK. HASIL PERTANIAN</x:v>
      </x:c>
      <x:c r="G4862" s="66" t="str">
        <x:v>Sarjana</x:v>
      </x:c>
      <x:c r="H4862" s="87" t="n">
        <x:v>9</x:v>
      </x:c>
      <x:c r="I4862" s="87" t="n">
        <x:v>20</x:v>
      </x:c>
      <x:c r="J4862" s="68" t="n">
        <x:f>IFERROR(H4862/I4862,"")</x:f>
        <x:v>0.45</x:v>
      </x:c>
      <x:c r="K4862" s="69" t="n">
        <x:f>IFERROR(I4862/H4862,"")</x:f>
        <x:v>2.2222222222222223</x:v>
      </x:c>
      <x:c r="L4862" s="66" t="str">
        <x:f>IF(K4862="","","1 : "&amp;TEXT(K4862,"0.0"))</x:f>
        <x:v>1 : 2.2</x:v>
      </x:c>
      <x:c r="M4862" s="66" t="str">
        <x:f>IF(J4862="","Baru/Tanpa Data",IF(J4862&lt;='Catatan &amp; Sumber'!$B$14,"Sangat Ketat",IF(J4862&lt;='Catatan &amp; Sumber'!$B$15,"Ketat",IF(J4862&lt;='Catatan &amp; Sumber'!$B$16,"Sedang","Relatif Longgar"))))</x:f>
        <x:v>Relatif Longgar</x:v>
      </x:c>
      <x:c r="N4862" s="66" t="str">
        <x:v>Tidak Ada</x:v>
      </x:c>
      <x:c r="O4862" s="66" t="str">
        <x:v>Maluku</x:v>
      </x:c>
      <x:c r="P4862" s="66" t="str">
        <x:v>Kota Ambon</x:v>
      </x:c>
      <x:c r="Q4862" s="66" t="str">
        <x:v>https://snpmb.id/snbp/daya-tampung-snbp</x:v>
      </x:c>
      <x:c r="R4862" s="66" t="str">
        <x:v>https://sidatagrun-public-1076756628210.asia-southeast2.run.app/ptn_sn.php?ptn=811</x:v>
      </x:c>
    </x:row>
    <x:row r="4863">
      <x:c r="A4863" s="87" t="n">
        <x:v>3789</x:v>
      </x:c>
      <x:c r="B4863" s="66" t="n">
        <x:v>811</x:v>
      </x:c>
      <x:c r="C4863" s="66" t="str">
        <x:v>UNIVERSITAS PATTIMURA</x:v>
      </x:c>
      <x:c r="D4863" s="66" t="str">
        <x:v>PTN Akademik</x:v>
      </x:c>
      <x:c r="E4863" s="66" t="str">
        <x:v>18111008</x:v>
      </x:c>
      <x:c r="F4863" s="66" t="str">
        <x:v>KEHUTANAN</x:v>
      </x:c>
      <x:c r="G4863" s="66" t="str">
        <x:v>Sarjana</x:v>
      </x:c>
      <x:c r="H4863" s="87" t="n">
        <x:v>22</x:v>
      </x:c>
      <x:c r="I4863" s="87" t="n">
        <x:v>39</x:v>
      </x:c>
      <x:c r="J4863" s="68" t="n">
        <x:f>IFERROR(H4863/I4863,"")</x:f>
        <x:v>0.5641025641025641</x:v>
      </x:c>
      <x:c r="K4863" s="69" t="n">
        <x:f>IFERROR(I4863/H4863,"")</x:f>
        <x:v>1.7727272727272727</x:v>
      </x:c>
      <x:c r="L4863" s="66" t="str">
        <x:f>IF(K4863="","","1 : "&amp;TEXT(K4863,"0.0"))</x:f>
        <x:v>1 : 1.8</x:v>
      </x:c>
      <x:c r="M4863" s="66" t="str">
        <x:f>IF(J4863="","Baru/Tanpa Data",IF(J4863&lt;='Catatan &amp; Sumber'!$B$14,"Sangat Ketat",IF(J4863&lt;='Catatan &amp; Sumber'!$B$15,"Ketat",IF(J4863&lt;='Catatan &amp; Sumber'!$B$16,"Sedang","Relatif Longgar"))))</x:f>
        <x:v>Relatif Longgar</x:v>
      </x:c>
      <x:c r="N4863" s="66" t="str">
        <x:v>Tidak Ada</x:v>
      </x:c>
      <x:c r="O4863" s="66" t="str">
        <x:v>Maluku</x:v>
      </x:c>
      <x:c r="P4863" s="66" t="str">
        <x:v>Kota Ambon</x:v>
      </x:c>
      <x:c r="Q4863" s="66" t="str">
        <x:v>https://snpmb.id/snbp/daya-tampung-snbp</x:v>
      </x:c>
      <x:c r="R4863" s="66" t="str">
        <x:v>https://sidatagrun-public-1076756628210.asia-southeast2.run.app/ptn_sn.php?ptn=811</x:v>
      </x:c>
    </x:row>
    <x:row r="4864">
      <x:c r="A4864" s="87" t="n">
        <x:v>3616</x:v>
      </x:c>
      <x:c r="B4864" s="66" t="n">
        <x:v>811</x:v>
      </x:c>
      <x:c r="C4864" s="66" t="str">
        <x:v>UNIVERSITAS PATTIMURA</x:v>
      </x:c>
      <x:c r="D4864" s="66" t="str">
        <x:v>PTN Akademik</x:v>
      </x:c>
      <x:c r="E4864" s="66" t="str">
        <x:v>18111009</x:v>
      </x:c>
      <x:c r="F4864" s="66" t="str">
        <x:v>PETERNAKAN</x:v>
      </x:c>
      <x:c r="G4864" s="66" t="str">
        <x:v>Sarjana</x:v>
      </x:c>
      <x:c r="H4864" s="87" t="n">
        <x:v>10</x:v>
      </x:c>
      <x:c r="I4864" s="87" t="n">
        <x:v>21</x:v>
      </x:c>
      <x:c r="J4864" s="68" t="n">
        <x:f>IFERROR(H4864/I4864,"")</x:f>
        <x:v>0.47619047619047616</x:v>
      </x:c>
      <x:c r="K4864" s="69" t="n">
        <x:f>IFERROR(I4864/H4864,"")</x:f>
        <x:v>2.1</x:v>
      </x:c>
      <x:c r="L4864" s="66" t="str">
        <x:f>IF(K4864="","","1 : "&amp;TEXT(K4864,"0.0"))</x:f>
        <x:v>1 : 2.1</x:v>
      </x:c>
      <x:c r="M4864" s="66" t="str">
        <x:f>IF(J4864="","Baru/Tanpa Data",IF(J4864&lt;='Catatan &amp; Sumber'!$B$14,"Sangat Ketat",IF(J4864&lt;='Catatan &amp; Sumber'!$B$15,"Ketat",IF(J4864&lt;='Catatan &amp; Sumber'!$B$16,"Sedang","Relatif Longgar"))))</x:f>
        <x:v>Relatif Longgar</x:v>
      </x:c>
      <x:c r="N4864" s="66" t="str">
        <x:v>Tidak Ada</x:v>
      </x:c>
      <x:c r="O4864" s="66" t="str">
        <x:v>Maluku</x:v>
      </x:c>
      <x:c r="P4864" s="66" t="str">
        <x:v>Kota Ambon</x:v>
      </x:c>
      <x:c r="Q4864" s="66" t="str">
        <x:v>https://snpmb.id/snbp/daya-tampung-snbp</x:v>
      </x:c>
      <x:c r="R4864" s="66" t="str">
        <x:v>https://sidatagrun-public-1076756628210.asia-southeast2.run.app/ptn_sn.php?ptn=811</x:v>
      </x:c>
    </x:row>
    <x:row r="4865">
      <x:c r="A4865" s="87" t="n">
        <x:v>3988</x:v>
      </x:c>
      <x:c r="B4865" s="66" t="n">
        <x:v>811</x:v>
      </x:c>
      <x:c r="C4865" s="66" t="str">
        <x:v>UNIVERSITAS PATTIMURA</x:v>
      </x:c>
      <x:c r="D4865" s="66" t="str">
        <x:v>PTN Akademik</x:v>
      </x:c>
      <x:c r="E4865" s="66" t="str">
        <x:v>18111010</x:v>
      </x:c>
      <x:c r="F4865" s="66" t="str">
        <x:v>TEKNIK PERKAPALAN</x:v>
      </x:c>
      <x:c r="G4865" s="66" t="str">
        <x:v>Sarjana</x:v>
      </x:c>
      <x:c r="H4865" s="87" t="n">
        <x:v>15</x:v>
      </x:c>
      <x:c r="I4865" s="87" t="n">
        <x:v>22</x:v>
      </x:c>
      <x:c r="J4865" s="68" t="n">
        <x:f>IFERROR(H4865/I4865,"")</x:f>
        <x:v>0.6818181818181818</x:v>
      </x:c>
      <x:c r="K4865" s="69" t="n">
        <x:f>IFERROR(I4865/H4865,"")</x:f>
        <x:v>1.4666666666666666</x:v>
      </x:c>
      <x:c r="L4865" s="66" t="str">
        <x:f>IF(K4865="","","1 : "&amp;TEXT(K4865,"0.0"))</x:f>
        <x:v>1 : 1.5</x:v>
      </x:c>
      <x:c r="M4865" s="66" t="str">
        <x:f>IF(J4865="","Baru/Tanpa Data",IF(J4865&lt;='Catatan &amp; Sumber'!$B$14,"Sangat Ketat",IF(J4865&lt;='Catatan &amp; Sumber'!$B$15,"Ketat",IF(J4865&lt;='Catatan &amp; Sumber'!$B$16,"Sedang","Relatif Longgar"))))</x:f>
        <x:v>Relatif Longgar</x:v>
      </x:c>
      <x:c r="N4865" s="66" t="str">
        <x:v>Tidak Ada</x:v>
      </x:c>
      <x:c r="O4865" s="66" t="str">
        <x:v>Maluku</x:v>
      </x:c>
      <x:c r="P4865" s="66" t="str">
        <x:v>Kota Ambon</x:v>
      </x:c>
      <x:c r="Q4865" s="66" t="str">
        <x:v>https://snpmb.id/snbp/daya-tampung-snbp</x:v>
      </x:c>
      <x:c r="R4865" s="66" t="str">
        <x:v>https://sidatagrun-public-1076756628210.asia-southeast2.run.app/ptn_sn.php?ptn=811</x:v>
      </x:c>
    </x:row>
    <x:row r="4866">
      <x:c r="A4866" s="87" t="n">
        <x:v>4085</x:v>
      </x:c>
      <x:c r="B4866" s="66" t="n">
        <x:v>811</x:v>
      </x:c>
      <x:c r="C4866" s="66" t="str">
        <x:v>UNIVERSITAS PATTIMURA</x:v>
      </x:c>
      <x:c r="D4866" s="66" t="str">
        <x:v>PTN Akademik</x:v>
      </x:c>
      <x:c r="E4866" s="66" t="str">
        <x:v>18111011</x:v>
      </x:c>
      <x:c r="F4866" s="66" t="str">
        <x:v>TEKNIK SISTIM PERKAPALAN</x:v>
      </x:c>
      <x:c r="G4866" s="66" t="str">
        <x:v>Sarjana</x:v>
      </x:c>
      <x:c r="H4866" s="87" t="n">
        <x:v>12</x:v>
      </x:c>
      <x:c r="I4866" s="87" t="n">
        <x:v>16</x:v>
      </x:c>
      <x:c r="J4866" s="68" t="n">
        <x:f>IFERROR(H4866/I4866,"")</x:f>
        <x:v>0.75</x:v>
      </x:c>
      <x:c r="K4866" s="69" t="n">
        <x:f>IFERROR(I4866/H4866,"")</x:f>
        <x:v>1.3333333333333333</x:v>
      </x:c>
      <x:c r="L4866" s="66" t="str">
        <x:f>IF(K4866="","","1 : "&amp;TEXT(K4866,"0.0"))</x:f>
        <x:v>1 : 1.3</x:v>
      </x:c>
      <x:c r="M4866" s="66" t="str">
        <x:f>IF(J4866="","Baru/Tanpa Data",IF(J4866&lt;='Catatan &amp; Sumber'!$B$14,"Sangat Ketat",IF(J4866&lt;='Catatan &amp; Sumber'!$B$15,"Ketat",IF(J4866&lt;='Catatan &amp; Sumber'!$B$16,"Sedang","Relatif Longgar"))))</x:f>
        <x:v>Relatif Longgar</x:v>
      </x:c>
      <x:c r="N4866" s="66" t="str">
        <x:v>Tidak Ada</x:v>
      </x:c>
      <x:c r="O4866" s="66" t="str">
        <x:v>Maluku</x:v>
      </x:c>
      <x:c r="P4866" s="66" t="str">
        <x:v>Kota Ambon</x:v>
      </x:c>
      <x:c r="Q4866" s="66" t="str">
        <x:v>https://snpmb.id/snbp/daya-tampung-snbp</x:v>
      </x:c>
      <x:c r="R4866" s="66" t="str">
        <x:v>https://sidatagrun-public-1076756628210.asia-southeast2.run.app/ptn_sn.php?ptn=811</x:v>
      </x:c>
    </x:row>
    <x:row r="4867">
      <x:c r="A4867" s="87" t="n">
        <x:v>4406</x:v>
      </x:c>
      <x:c r="B4867" s="66" t="n">
        <x:v>811</x:v>
      </x:c>
      <x:c r="C4867" s="66" t="str">
        <x:v>UNIVERSITAS PATTIMURA</x:v>
      </x:c>
      <x:c r="D4867" s="66" t="str">
        <x:v>PTN Akademik</x:v>
      </x:c>
      <x:c r="E4867" s="66" t="str">
        <x:v>18111012</x:v>
      </x:c>
      <x:c r="F4867" s="66" t="str">
        <x:v>TEKNIK MESIN</x:v>
      </x:c>
      <x:c r="G4867" s="66" t="str">
        <x:v>Sarjana</x:v>
      </x:c>
      <x:c r="H4867" s="87" t="n">
        <x:v>33</x:v>
      </x:c>
      <x:c r="I4867" s="87" t="n">
        <x:v>29</x:v>
      </x:c>
      <x:c r="J4867" s="68" t="n">
        <x:f>IFERROR(H4867/I4867,"")</x:f>
        <x:v>1.1379310344827587</x:v>
      </x:c>
      <x:c r="K4867" s="69" t="n">
        <x:f>IFERROR(I4867/H4867,"")</x:f>
        <x:v>0.8787878787878788</x:v>
      </x:c>
      <x:c r="L4867" s="66" t="str">
        <x:f>IF(K4867="","","1 : "&amp;TEXT(K4867,"0.0"))</x:f>
        <x:v>1 : 0.9</x:v>
      </x:c>
      <x:c r="M4867" s="66" t="str">
        <x:f>IF(J4867="","Baru/Tanpa Data",IF(J4867&lt;='Catatan &amp; Sumber'!$B$14,"Sangat Ketat",IF(J4867&lt;='Catatan &amp; Sumber'!$B$15,"Ketat",IF(J4867&lt;='Catatan &amp; Sumber'!$B$16,"Sedang","Relatif Longgar"))))</x:f>
        <x:v>Relatif Longgar</x:v>
      </x:c>
      <x:c r="N4867" s="66" t="str">
        <x:v>Tidak Ada</x:v>
      </x:c>
      <x:c r="O4867" s="66" t="str">
        <x:v>Maluku</x:v>
      </x:c>
      <x:c r="P4867" s="66" t="str">
        <x:v>Kota Ambon</x:v>
      </x:c>
      <x:c r="Q4867" s="66" t="str">
        <x:v>https://snpmb.id/snbp/daya-tampung-snbp</x:v>
      </x:c>
      <x:c r="R4867" s="66" t="str">
        <x:v>https://sidatagrun-public-1076756628210.asia-southeast2.run.app/ptn_sn.php?ptn=811</x:v>
      </x:c>
    </x:row>
    <x:row r="4868">
      <x:c r="A4868" s="87" t="n">
        <x:v>3142</x:v>
      </x:c>
      <x:c r="B4868" s="66" t="n">
        <x:v>811</x:v>
      </x:c>
      <x:c r="C4868" s="66" t="str">
        <x:v>UNIVERSITAS PATTIMURA</x:v>
      </x:c>
      <x:c r="D4868" s="66" t="str">
        <x:v>PTN Akademik</x:v>
      </x:c>
      <x:c r="E4868" s="66" t="str">
        <x:v>18111013</x:v>
      </x:c>
      <x:c r="F4868" s="66" t="str">
        <x:v>TEKNIK INDUSTRI</x:v>
      </x:c>
      <x:c r="G4868" s="66" t="str">
        <x:v>Sarjana</x:v>
      </x:c>
      <x:c r="H4868" s="87" t="n">
        <x:v>30</x:v>
      </x:c>
      <x:c r="I4868" s="87" t="n">
        <x:v>92</x:v>
      </x:c>
      <x:c r="J4868" s="68" t="n">
        <x:f>IFERROR(H4868/I4868,"")</x:f>
        <x:v>0.32608695652173914</x:v>
      </x:c>
      <x:c r="K4868" s="69" t="n">
        <x:f>IFERROR(I4868/H4868,"")</x:f>
        <x:v>3.066666666666667</x:v>
      </x:c>
      <x:c r="L4868" s="66" t="str">
        <x:f>IF(K4868="","","1 : "&amp;TEXT(K4868,"0.0"))</x:f>
        <x:v>1 : 3.1</x:v>
      </x:c>
      <x:c r="M4868" s="66" t="str">
        <x:f>IF(J4868="","Baru/Tanpa Data",IF(J4868&lt;='Catatan &amp; Sumber'!$B$14,"Sangat Ketat",IF(J4868&lt;='Catatan &amp; Sumber'!$B$15,"Ketat",IF(J4868&lt;='Catatan &amp; Sumber'!$B$16,"Sedang","Relatif Longgar"))))</x:f>
        <x:v>Relatif Longgar</x:v>
      </x:c>
      <x:c r="N4868" s="66" t="str">
        <x:v>Tidak Ada</x:v>
      </x:c>
      <x:c r="O4868" s="66" t="str">
        <x:v>Maluku</x:v>
      </x:c>
      <x:c r="P4868" s="66" t="str">
        <x:v>Kota Ambon</x:v>
      </x:c>
      <x:c r="Q4868" s="66" t="str">
        <x:v>https://snpmb.id/snbp/daya-tampung-snbp</x:v>
      </x:c>
      <x:c r="R4868" s="66" t="str">
        <x:v>https://sidatagrun-public-1076756628210.asia-southeast2.run.app/ptn_sn.php?ptn=811</x:v>
      </x:c>
    </x:row>
    <x:row r="4869">
      <x:c r="A4869" s="87" t="n">
        <x:v>4805</x:v>
      </x:c>
      <x:c r="B4869" s="66" t="n">
        <x:v>811</x:v>
      </x:c>
      <x:c r="C4869" s="66" t="str">
        <x:v>UNIVERSITAS PATTIMURA</x:v>
      </x:c>
      <x:c r="D4869" s="66" t="str">
        <x:v>PTN Akademik</x:v>
      </x:c>
      <x:c r="E4869" s="66" t="str">
        <x:v>18111014</x:v>
      </x:c>
      <x:c r="F4869" s="66" t="str">
        <x:v>MAJEMEN SUMB.PERAIRAN</x:v>
      </x:c>
      <x:c r="G4869" s="66" t="str">
        <x:v>Sarjana</x:v>
      </x:c>
      <x:c r="H4869" s="87" t="n">
        <x:v>18</x:v>
      </x:c>
      <x:c r="I4869" s="87" t="n">
        <x:v>5</x:v>
      </x:c>
      <x:c r="J4869" s="68" t="n">
        <x:f>IFERROR(H4869/I4869,"")</x:f>
        <x:v>3.6</x:v>
      </x:c>
      <x:c r="K4869" s="69" t="n">
        <x:f>IFERROR(I4869/H4869,"")</x:f>
        <x:v>0.2777777777777778</x:v>
      </x:c>
      <x:c r="L4869" s="66" t="str">
        <x:f>IF(K4869="","","1 : "&amp;TEXT(K4869,"0.0"))</x:f>
        <x:v>1 : 0.3</x:v>
      </x:c>
      <x:c r="M4869" s="66" t="str">
        <x:f>IF(J4869="","Baru/Tanpa Data",IF(J4869&lt;='Catatan &amp; Sumber'!$B$14,"Sangat Ketat",IF(J4869&lt;='Catatan &amp; Sumber'!$B$15,"Ketat",IF(J4869&lt;='Catatan &amp; Sumber'!$B$16,"Sedang","Relatif Longgar"))))</x:f>
        <x:v>Relatif Longgar</x:v>
      </x:c>
      <x:c r="N4869" s="66" t="str">
        <x:v>Tidak Ada</x:v>
      </x:c>
      <x:c r="O4869" s="66" t="str">
        <x:v>Maluku</x:v>
      </x:c>
      <x:c r="P4869" s="66" t="str">
        <x:v>Kota Ambon</x:v>
      </x:c>
      <x:c r="Q4869" s="66" t="str">
        <x:v>https://snpmb.id/snbp/daya-tampung-snbp</x:v>
      </x:c>
      <x:c r="R4869" s="66" t="str">
        <x:v>https://sidatagrun-public-1076756628210.asia-southeast2.run.app/ptn_sn.php?ptn=811</x:v>
      </x:c>
    </x:row>
    <x:row r="4870">
      <x:c r="A4870" s="87" t="n">
        <x:v>4545</x:v>
      </x:c>
      <x:c r="B4870" s="66" t="n">
        <x:v>811</x:v>
      </x:c>
      <x:c r="C4870" s="66" t="str">
        <x:v>UNIVERSITAS PATTIMURA</x:v>
      </x:c>
      <x:c r="D4870" s="66" t="str">
        <x:v>PTN Akademik</x:v>
      </x:c>
      <x:c r="E4870" s="66" t="str">
        <x:v>18111015</x:v>
      </x:c>
      <x:c r="F4870" s="66" t="str">
        <x:v>IL. KELAUTAN</x:v>
      </x:c>
      <x:c r="G4870" s="66" t="str">
        <x:v>Sarjana</x:v>
      </x:c>
      <x:c r="H4870" s="87" t="n">
        <x:v>21</x:v>
      </x:c>
      <x:c r="I4870" s="87" t="n">
        <x:v>14</x:v>
      </x:c>
      <x:c r="J4870" s="68" t="n">
        <x:f>IFERROR(H4870/I4870,"")</x:f>
        <x:v>1.5</x:v>
      </x:c>
      <x:c r="K4870" s="69" t="n">
        <x:f>IFERROR(I4870/H4870,"")</x:f>
        <x:v>0.6666666666666666</x:v>
      </x:c>
      <x:c r="L4870" s="66" t="str">
        <x:f>IF(K4870="","","1 : "&amp;TEXT(K4870,"0.0"))</x:f>
        <x:v>1 : 0.7</x:v>
      </x:c>
      <x:c r="M4870" s="66" t="str">
        <x:f>IF(J4870="","Baru/Tanpa Data",IF(J4870&lt;='Catatan &amp; Sumber'!$B$14,"Sangat Ketat",IF(J4870&lt;='Catatan &amp; Sumber'!$B$15,"Ketat",IF(J4870&lt;='Catatan &amp; Sumber'!$B$16,"Sedang","Relatif Longgar"))))</x:f>
        <x:v>Relatif Longgar</x:v>
      </x:c>
      <x:c r="N4870" s="66" t="str">
        <x:v>Tidak Ada</x:v>
      </x:c>
      <x:c r="O4870" s="66" t="str">
        <x:v>Maluku</x:v>
      </x:c>
      <x:c r="P4870" s="66" t="str">
        <x:v>Kota Ambon</x:v>
      </x:c>
      <x:c r="Q4870" s="66" t="str">
        <x:v>https://snpmb.id/snbp/daya-tampung-snbp</x:v>
      </x:c>
      <x:c r="R4870" s="66" t="str">
        <x:v>https://sidatagrun-public-1076756628210.asia-southeast2.run.app/ptn_sn.php?ptn=811</x:v>
      </x:c>
    </x:row>
    <x:row r="4871">
      <x:c r="A4871" s="87" t="n">
        <x:v>4733</x:v>
      </x:c>
      <x:c r="B4871" s="66" t="n">
        <x:v>811</x:v>
      </x:c>
      <x:c r="C4871" s="66" t="str">
        <x:v>UNIVERSITAS PATTIMURA</x:v>
      </x:c>
      <x:c r="D4871" s="66" t="str">
        <x:v>PTN Akademik</x:v>
      </x:c>
      <x:c r="E4871" s="66" t="str">
        <x:v>18111016</x:v>
      </x:c>
      <x:c r="F4871" s="66" t="str">
        <x:v>BUDIDAYA PERAIRAN</x:v>
      </x:c>
      <x:c r="G4871" s="66" t="str">
        <x:v>Sarjana</x:v>
      </x:c>
      <x:c r="H4871" s="87" t="n">
        <x:v>18</x:v>
      </x:c>
      <x:c r="I4871" s="87" t="n">
        <x:v>7</x:v>
      </x:c>
      <x:c r="J4871" s="68" t="n">
        <x:f>IFERROR(H4871/I4871,"")</x:f>
        <x:v>2.5714285714285716</x:v>
      </x:c>
      <x:c r="K4871" s="69" t="n">
        <x:f>IFERROR(I4871/H4871,"")</x:f>
        <x:v>0.3888888888888889</x:v>
      </x:c>
      <x:c r="L4871" s="66" t="str">
        <x:f>IF(K4871="","","1 : "&amp;TEXT(K4871,"0.0"))</x:f>
        <x:v>1 : 0.4</x:v>
      </x:c>
      <x:c r="M4871" s="66" t="str">
        <x:f>IF(J4871="","Baru/Tanpa Data",IF(J4871&lt;='Catatan &amp; Sumber'!$B$14,"Sangat Ketat",IF(J4871&lt;='Catatan &amp; Sumber'!$B$15,"Ketat",IF(J4871&lt;='Catatan &amp; Sumber'!$B$16,"Sedang","Relatif Longgar"))))</x:f>
        <x:v>Relatif Longgar</x:v>
      </x:c>
      <x:c r="N4871" s="66" t="str">
        <x:v>Tidak Ada</x:v>
      </x:c>
      <x:c r="O4871" s="66" t="str">
        <x:v>Maluku</x:v>
      </x:c>
      <x:c r="P4871" s="66" t="str">
        <x:v>Kota Ambon</x:v>
      </x:c>
      <x:c r="Q4871" s="66" t="str">
        <x:v>https://snpmb.id/snbp/daya-tampung-snbp</x:v>
      </x:c>
      <x:c r="R4871" s="66" t="str">
        <x:v>https://sidatagrun-public-1076756628210.asia-southeast2.run.app/ptn_sn.php?ptn=811</x:v>
      </x:c>
    </x:row>
    <x:row r="4872">
      <x:c r="A4872" s="87" t="n">
        <x:v>4809</x:v>
      </x:c>
      <x:c r="B4872" s="66" t="n">
        <x:v>811</x:v>
      </x:c>
      <x:c r="C4872" s="66" t="str">
        <x:v>UNIVERSITAS PATTIMURA</x:v>
      </x:c>
      <x:c r="D4872" s="66" t="str">
        <x:v>PTN Akademik</x:v>
      </x:c>
      <x:c r="E4872" s="66" t="str">
        <x:v>18111017</x:v>
      </x:c>
      <x:c r="F4872" s="66" t="str">
        <x:v>PEMANFAATAN SD PERIKANAN</x:v>
      </x:c>
      <x:c r="G4872" s="66" t="str">
        <x:v>Sarjana</x:v>
      </x:c>
      <x:c r="H4872" s="87" t="n">
        <x:v>22</x:v>
      </x:c>
      <x:c r="I4872" s="87" t="n">
        <x:v>6</x:v>
      </x:c>
      <x:c r="J4872" s="68" t="n">
        <x:f>IFERROR(H4872/I4872,"")</x:f>
        <x:v>3.6666666666666665</x:v>
      </x:c>
      <x:c r="K4872" s="69" t="n">
        <x:f>IFERROR(I4872/H4872,"")</x:f>
        <x:v>0.2727272727272727</x:v>
      </x:c>
      <x:c r="L4872" s="66" t="str">
        <x:f>IF(K4872="","","1 : "&amp;TEXT(K4872,"0.0"))</x:f>
        <x:v>1 : 0.3</x:v>
      </x:c>
      <x:c r="M4872" s="66" t="str">
        <x:f>IF(J4872="","Baru/Tanpa Data",IF(J4872&lt;='Catatan &amp; Sumber'!$B$14,"Sangat Ketat",IF(J4872&lt;='Catatan &amp; Sumber'!$B$15,"Ketat",IF(J4872&lt;='Catatan &amp; Sumber'!$B$16,"Sedang","Relatif Longgar"))))</x:f>
        <x:v>Relatif Longgar</x:v>
      </x:c>
      <x:c r="N4872" s="66" t="str">
        <x:v>Tidak Ada</x:v>
      </x:c>
      <x:c r="O4872" s="66" t="str">
        <x:v>Maluku</x:v>
      </x:c>
      <x:c r="P4872" s="66" t="str">
        <x:v>Kota Ambon</x:v>
      </x:c>
      <x:c r="Q4872" s="66" t="str">
        <x:v>https://snpmb.id/snbp/daya-tampung-snbp</x:v>
      </x:c>
      <x:c r="R4872" s="66" t="str">
        <x:v>https://sidatagrun-public-1076756628210.asia-southeast2.run.app/ptn_sn.php?ptn=811</x:v>
      </x:c>
    </x:row>
    <x:row r="4873">
      <x:c r="A4873" s="87" t="n">
        <x:v>4166</x:v>
      </x:c>
      <x:c r="B4873" s="66" t="n">
        <x:v>811</x:v>
      </x:c>
      <x:c r="C4873" s="66" t="str">
        <x:v>UNIVERSITAS PATTIMURA</x:v>
      </x:c>
      <x:c r="D4873" s="66" t="str">
        <x:v>PTN Akademik</x:v>
      </x:c>
      <x:c r="E4873" s="66" t="str">
        <x:v>18111018</x:v>
      </x:c>
      <x:c r="F4873" s="66" t="str">
        <x:v>TEK. HASIL PERIKANAN</x:v>
      </x:c>
      <x:c r="G4873" s="66" t="str">
        <x:v>Sarjana</x:v>
      </x:c>
      <x:c r="H4873" s="87" t="n">
        <x:v>24</x:v>
      </x:c>
      <x:c r="I4873" s="87" t="n">
        <x:v>29</x:v>
      </x:c>
      <x:c r="J4873" s="68" t="n">
        <x:f>IFERROR(H4873/I4873,"")</x:f>
        <x:v>0.8275862068965517</x:v>
      </x:c>
      <x:c r="K4873" s="69" t="n">
        <x:f>IFERROR(I4873/H4873,"")</x:f>
        <x:v>1.2083333333333333</x:v>
      </x:c>
      <x:c r="L4873" s="66" t="str">
        <x:f>IF(K4873="","","1 : "&amp;TEXT(K4873,"0.0"))</x:f>
        <x:v>1 : 1.2</x:v>
      </x:c>
      <x:c r="M4873" s="66" t="str">
        <x:f>IF(J4873="","Baru/Tanpa Data",IF(J4873&lt;='Catatan &amp; Sumber'!$B$14,"Sangat Ketat",IF(J4873&lt;='Catatan &amp; Sumber'!$B$15,"Ketat",IF(J4873&lt;='Catatan &amp; Sumber'!$B$16,"Sedang","Relatif Longgar"))))</x:f>
        <x:v>Relatif Longgar</x:v>
      </x:c>
      <x:c r="N4873" s="66" t="str">
        <x:v>Tidak Ada</x:v>
      </x:c>
      <x:c r="O4873" s="66" t="str">
        <x:v>Maluku</x:v>
      </x:c>
      <x:c r="P4873" s="66" t="str">
        <x:v>Kota Ambon</x:v>
      </x:c>
      <x:c r="Q4873" s="66" t="str">
        <x:v>https://snpmb.id/snbp/daya-tampung-snbp</x:v>
      </x:c>
      <x:c r="R4873" s="66" t="str">
        <x:v>https://sidatagrun-public-1076756628210.asia-southeast2.run.app/ptn_sn.php?ptn=811</x:v>
      </x:c>
    </x:row>
    <x:row r="4874">
      <x:c r="A4874" s="87" t="n">
        <x:v>4616</x:v>
      </x:c>
      <x:c r="B4874" s="66" t="n">
        <x:v>811</x:v>
      </x:c>
      <x:c r="C4874" s="66" t="str">
        <x:v>UNIVERSITAS PATTIMURA</x:v>
      </x:c>
      <x:c r="D4874" s="66" t="str">
        <x:v>PTN Akademik</x:v>
      </x:c>
      <x:c r="E4874" s="66" t="str">
        <x:v>18111019</x:v>
      </x:c>
      <x:c r="F4874" s="66" t="str">
        <x:v>AGROBISNIS PERIKANAN</x:v>
      </x:c>
      <x:c r="G4874" s="66" t="str">
        <x:v>Sarjana</x:v>
      </x:c>
      <x:c r="H4874" s="87" t="n">
        <x:v>24</x:v>
      </x:c>
      <x:c r="I4874" s="87" t="n">
        <x:v>14</x:v>
      </x:c>
      <x:c r="J4874" s="68" t="n">
        <x:f>IFERROR(H4874/I4874,"")</x:f>
        <x:v>1.7142857142857142</x:v>
      </x:c>
      <x:c r="K4874" s="69" t="n">
        <x:f>IFERROR(I4874/H4874,"")</x:f>
        <x:v>0.5833333333333334</x:v>
      </x:c>
      <x:c r="L4874" s="66" t="str">
        <x:f>IF(K4874="","","1 : "&amp;TEXT(K4874,"0.0"))</x:f>
        <x:v>1 : 0.6</x:v>
      </x:c>
      <x:c r="M4874" s="66" t="str">
        <x:f>IF(J4874="","Baru/Tanpa Data",IF(J4874&lt;='Catatan &amp; Sumber'!$B$14,"Sangat Ketat",IF(J4874&lt;='Catatan &amp; Sumber'!$B$15,"Ketat",IF(J4874&lt;='Catatan &amp; Sumber'!$B$16,"Sedang","Relatif Longgar"))))</x:f>
        <x:v>Relatif Longgar</x:v>
      </x:c>
      <x:c r="N4874" s="66" t="str">
        <x:v>Tidak Ada</x:v>
      </x:c>
      <x:c r="O4874" s="66" t="str">
        <x:v>Maluku</x:v>
      </x:c>
      <x:c r="P4874" s="66" t="str">
        <x:v>Kota Ambon</x:v>
      </x:c>
      <x:c r="Q4874" s="66" t="str">
        <x:v>https://snpmb.id/snbp/daya-tampung-snbp</x:v>
      </x:c>
      <x:c r="R4874" s="66" t="str">
        <x:v>https://sidatagrun-public-1076756628210.asia-southeast2.run.app/ptn_sn.php?ptn=811</x:v>
      </x:c>
    </x:row>
    <x:row r="4875">
      <x:c r="A4875" s="87" t="n">
        <x:v>3944</x:v>
      </x:c>
      <x:c r="B4875" s="66" t="n">
        <x:v>811</x:v>
      </x:c>
      <x:c r="C4875" s="66" t="str">
        <x:v>UNIVERSITAS PATTIMURA</x:v>
      </x:c>
      <x:c r="D4875" s="66" t="str">
        <x:v>PTN Akademik</x:v>
      </x:c>
      <x:c r="E4875" s="66" t="str">
        <x:v>18111020</x:v>
      </x:c>
      <x:c r="F4875" s="66" t="str">
        <x:v>MATEMATIKA</x:v>
      </x:c>
      <x:c r="G4875" s="66" t="str">
        <x:v>Sarjana</x:v>
      </x:c>
      <x:c r="H4875" s="87" t="n">
        <x:v>15</x:v>
      </x:c>
      <x:c r="I4875" s="87" t="n">
        <x:v>23</x:v>
      </x:c>
      <x:c r="J4875" s="68" t="n">
        <x:f>IFERROR(H4875/I4875,"")</x:f>
        <x:v>0.6521739130434783</x:v>
      </x:c>
      <x:c r="K4875" s="69" t="n">
        <x:f>IFERROR(I4875/H4875,"")</x:f>
        <x:v>1.5333333333333334</x:v>
      </x:c>
      <x:c r="L4875" s="66" t="str">
        <x:f>IF(K4875="","","1 : "&amp;TEXT(K4875,"0.0"))</x:f>
        <x:v>1 : 1.5</x:v>
      </x:c>
      <x:c r="M4875" s="66" t="str">
        <x:f>IF(J4875="","Baru/Tanpa Data",IF(J4875&lt;='Catatan &amp; Sumber'!$B$14,"Sangat Ketat",IF(J4875&lt;='Catatan &amp; Sumber'!$B$15,"Ketat",IF(J4875&lt;='Catatan &amp; Sumber'!$B$16,"Sedang","Relatif Longgar"))))</x:f>
        <x:v>Relatif Longgar</x:v>
      </x:c>
      <x:c r="N4875" s="66" t="str">
        <x:v>Tidak Ada</x:v>
      </x:c>
      <x:c r="O4875" s="66" t="str">
        <x:v>Maluku</x:v>
      </x:c>
      <x:c r="P4875" s="66" t="str">
        <x:v>Kota Ambon</x:v>
      </x:c>
      <x:c r="Q4875" s="66" t="str">
        <x:v>https://snpmb.id/snbp/daya-tampung-snbp</x:v>
      </x:c>
      <x:c r="R4875" s="66" t="str">
        <x:v>https://sidatagrun-public-1076756628210.asia-southeast2.run.app/ptn_sn.php?ptn=811</x:v>
      </x:c>
    </x:row>
    <x:row r="4876">
      <x:c r="A4876" s="87" t="n">
        <x:v>4463</x:v>
      </x:c>
      <x:c r="B4876" s="66" t="n">
        <x:v>811</x:v>
      </x:c>
      <x:c r="C4876" s="66" t="str">
        <x:v>UNIVERSITAS PATTIMURA</x:v>
      </x:c>
      <x:c r="D4876" s="66" t="str">
        <x:v>PTN Akademik</x:v>
      </x:c>
      <x:c r="E4876" s="66" t="str">
        <x:v>18111021</x:v>
      </x:c>
      <x:c r="F4876" s="66" t="str">
        <x:v>FISIKA</x:v>
      </x:c>
      <x:c r="G4876" s="66" t="str">
        <x:v>Sarjana</x:v>
      </x:c>
      <x:c r="H4876" s="87" t="n">
        <x:v>15</x:v>
      </x:c>
      <x:c r="I4876" s="87" t="n">
        <x:v>12</x:v>
      </x:c>
      <x:c r="J4876" s="68" t="n">
        <x:f>IFERROR(H4876/I4876,"")</x:f>
        <x:v>1.25</x:v>
      </x:c>
      <x:c r="K4876" s="69" t="n">
        <x:f>IFERROR(I4876/H4876,"")</x:f>
        <x:v>0.8</x:v>
      </x:c>
      <x:c r="L4876" s="66" t="str">
        <x:f>IF(K4876="","","1 : "&amp;TEXT(K4876,"0.0"))</x:f>
        <x:v>1 : 0.8</x:v>
      </x:c>
      <x:c r="M4876" s="66" t="str">
        <x:f>IF(J4876="","Baru/Tanpa Data",IF(J4876&lt;='Catatan &amp; Sumber'!$B$14,"Sangat Ketat",IF(J4876&lt;='Catatan &amp; Sumber'!$B$15,"Ketat",IF(J4876&lt;='Catatan &amp; Sumber'!$B$16,"Sedang","Relatif Longgar"))))</x:f>
        <x:v>Relatif Longgar</x:v>
      </x:c>
      <x:c r="N4876" s="66" t="str">
        <x:v>Tidak Ada</x:v>
      </x:c>
      <x:c r="O4876" s="66" t="str">
        <x:v>Maluku</x:v>
      </x:c>
      <x:c r="P4876" s="66" t="str">
        <x:v>Kota Ambon</x:v>
      </x:c>
      <x:c r="Q4876" s="66" t="str">
        <x:v>https://snpmb.id/snbp/daya-tampung-snbp</x:v>
      </x:c>
      <x:c r="R4876" s="66" t="str">
        <x:v>https://sidatagrun-public-1076756628210.asia-southeast2.run.app/ptn_sn.php?ptn=811</x:v>
      </x:c>
    </x:row>
    <x:row r="4877">
      <x:c r="A4877" s="87" t="n">
        <x:v>4545</x:v>
      </x:c>
      <x:c r="B4877" s="66" t="n">
        <x:v>811</x:v>
      </x:c>
      <x:c r="C4877" s="66" t="str">
        <x:v>UNIVERSITAS PATTIMURA</x:v>
      </x:c>
      <x:c r="D4877" s="66" t="str">
        <x:v>PTN Akademik</x:v>
      </x:c>
      <x:c r="E4877" s="66" t="str">
        <x:v>18111022</x:v>
      </x:c>
      <x:c r="F4877" s="66" t="str">
        <x:v>KIMIA</x:v>
      </x:c>
      <x:c r="G4877" s="66" t="str">
        <x:v>Sarjana</x:v>
      </x:c>
      <x:c r="H4877" s="87" t="n">
        <x:v>12</x:v>
      </x:c>
      <x:c r="I4877" s="87" t="n">
        <x:v>8</x:v>
      </x:c>
      <x:c r="J4877" s="68" t="n">
        <x:f>IFERROR(H4877/I4877,"")</x:f>
        <x:v>1.5</x:v>
      </x:c>
      <x:c r="K4877" s="69" t="n">
        <x:f>IFERROR(I4877/H4877,"")</x:f>
        <x:v>0.6666666666666666</x:v>
      </x:c>
      <x:c r="L4877" s="66" t="str">
        <x:f>IF(K4877="","","1 : "&amp;TEXT(K4877,"0.0"))</x:f>
        <x:v>1 : 0.7</x:v>
      </x:c>
      <x:c r="M4877" s="66" t="str">
        <x:f>IF(J4877="","Baru/Tanpa Data",IF(J4877&lt;='Catatan &amp; Sumber'!$B$14,"Sangat Ketat",IF(J4877&lt;='Catatan &amp; Sumber'!$B$15,"Ketat",IF(J4877&lt;='Catatan &amp; Sumber'!$B$16,"Sedang","Relatif Longgar"))))</x:f>
        <x:v>Relatif Longgar</x:v>
      </x:c>
      <x:c r="N4877" s="66" t="str">
        <x:v>Tidak Ada</x:v>
      </x:c>
      <x:c r="O4877" s="66" t="str">
        <x:v>Maluku</x:v>
      </x:c>
      <x:c r="P4877" s="66" t="str">
        <x:v>Kota Ambon</x:v>
      </x:c>
      <x:c r="Q4877" s="66" t="str">
        <x:v>https://snpmb.id/snbp/daya-tampung-snbp</x:v>
      </x:c>
      <x:c r="R4877" s="66" t="str">
        <x:v>https://sidatagrun-public-1076756628210.asia-southeast2.run.app/ptn_sn.php?ptn=811</x:v>
      </x:c>
    </x:row>
    <x:row r="4878">
      <x:c r="A4878" s="87" t="n">
        <x:v>4241</x:v>
      </x:c>
      <x:c r="B4878" s="66" t="n">
        <x:v>811</x:v>
      </x:c>
      <x:c r="C4878" s="66" t="str">
        <x:v>UNIVERSITAS PATTIMURA</x:v>
      </x:c>
      <x:c r="D4878" s="66" t="str">
        <x:v>PTN Akademik</x:v>
      </x:c>
      <x:c r="E4878" s="66" t="str">
        <x:v>18111023</x:v>
      </x:c>
      <x:c r="F4878" s="66" t="str">
        <x:v>BIOLOGI</x:v>
      </x:c>
      <x:c r="G4878" s="66" t="str">
        <x:v>Sarjana</x:v>
      </x:c>
      <x:c r="H4878" s="87" t="n">
        <x:v>18</x:v>
      </x:c>
      <x:c r="I4878" s="87" t="n">
        <x:v>20</x:v>
      </x:c>
      <x:c r="J4878" s="68" t="n">
        <x:f>IFERROR(H4878/I4878,"")</x:f>
        <x:v>0.9</x:v>
      </x:c>
      <x:c r="K4878" s="69" t="n">
        <x:f>IFERROR(I4878/H4878,"")</x:f>
        <x:v>1.1111111111111112</x:v>
      </x:c>
      <x:c r="L4878" s="66" t="str">
        <x:f>IF(K4878="","","1 : "&amp;TEXT(K4878,"0.0"))</x:f>
        <x:v>1 : 1.1</x:v>
      </x:c>
      <x:c r="M4878" s="66" t="str">
        <x:f>IF(J4878="","Baru/Tanpa Data",IF(J4878&lt;='Catatan &amp; Sumber'!$B$14,"Sangat Ketat",IF(J4878&lt;='Catatan &amp; Sumber'!$B$15,"Ketat",IF(J4878&lt;='Catatan &amp; Sumber'!$B$16,"Sedang","Relatif Longgar"))))</x:f>
        <x:v>Relatif Longgar</x:v>
      </x:c>
      <x:c r="N4878" s="66" t="str">
        <x:v>Tidak Ada</x:v>
      </x:c>
      <x:c r="O4878" s="66" t="str">
        <x:v>Maluku</x:v>
      </x:c>
      <x:c r="P4878" s="66" t="str">
        <x:v>Kota Ambon</x:v>
      </x:c>
      <x:c r="Q4878" s="66" t="str">
        <x:v>https://snpmb.id/snbp/daya-tampung-snbp</x:v>
      </x:c>
      <x:c r="R4878" s="66" t="str">
        <x:v>https://sidatagrun-public-1076756628210.asia-southeast2.run.app/ptn_sn.php?ptn=811</x:v>
      </x:c>
    </x:row>
    <x:row r="4879">
      <x:c r="A4879" s="87" t="n">
        <x:v>1032</x:v>
      </x:c>
      <x:c r="B4879" s="66" t="n">
        <x:v>811</x:v>
      </x:c>
      <x:c r="C4879" s="66" t="str">
        <x:v>UNIVERSITAS PATTIMURA</x:v>
      </x:c>
      <x:c r="D4879" s="66" t="str">
        <x:v>PTN Akademik</x:v>
      </x:c>
      <x:c r="E4879" s="66" t="str">
        <x:v>18111024</x:v>
      </x:c>
      <x:c r="F4879" s="66" t="str">
        <x:v>PENDIDIKAN DOKTER</x:v>
      </x:c>
      <x:c r="G4879" s="66" t="str">
        <x:v>Sarjana</x:v>
      </x:c>
      <x:c r="H4879" s="87" t="n">
        <x:v>45</x:v>
      </x:c>
      <x:c r="I4879" s="87" t="n">
        <x:v>564</x:v>
      </x:c>
      <x:c r="J4879" s="68" t="n">
        <x:f>IFERROR(H4879/I4879,"")</x:f>
        <x:v>0.0797872340425532</x:v>
      </x:c>
      <x:c r="K4879" s="69" t="n">
        <x:f>IFERROR(I4879/H4879,"")</x:f>
        <x:v>12.533333333333333</x:v>
      </x:c>
      <x:c r="L4879" s="66" t="str">
        <x:f>IF(K4879="","","1 : "&amp;TEXT(K4879,"0.0"))</x:f>
        <x:v>1 : 12.5</x:v>
      </x:c>
      <x:c r="M4879" s="66" t="str">
        <x:f>IF(J4879="","Baru/Tanpa Data",IF(J4879&lt;='Catatan &amp; Sumber'!$B$14,"Sangat Ketat",IF(J4879&lt;='Catatan &amp; Sumber'!$B$15,"Ketat",IF(J4879&lt;='Catatan &amp; Sumber'!$B$16,"Sedang","Relatif Longgar"))))</x:f>
        <x:v>Sedang</x:v>
      </x:c>
      <x:c r="N4879" s="66" t="str">
        <x:v>Tidak Ada</x:v>
      </x:c>
      <x:c r="O4879" s="66" t="str">
        <x:v>Maluku</x:v>
      </x:c>
      <x:c r="P4879" s="66" t="str">
        <x:v>Kota Ambon</x:v>
      </x:c>
      <x:c r="Q4879" s="66" t="str">
        <x:v>https://snpmb.id/snbp/daya-tampung-snbp</x:v>
      </x:c>
      <x:c r="R4879" s="66" t="str">
        <x:v>https://sidatagrun-public-1076756628210.asia-southeast2.run.app/ptn_sn.php?ptn=811</x:v>
      </x:c>
    </x:row>
    <x:row r="4880">
      <x:c r="A4880" s="87" t="n">
        <x:v>4074</x:v>
      </x:c>
      <x:c r="B4880" s="66" t="n">
        <x:v>811</x:v>
      </x:c>
      <x:c r="C4880" s="66" t="str">
        <x:v>UNIVERSITAS PATTIMURA</x:v>
      </x:c>
      <x:c r="D4880" s="66" t="str">
        <x:v>PTN Akademik</x:v>
      </x:c>
      <x:c r="E4880" s="66" t="str">
        <x:v>18111025</x:v>
      </x:c>
      <x:c r="F4880" s="66" t="str">
        <x:v>PERENCANAAN WILAYAH DAN KOTA</x:v>
      </x:c>
      <x:c r="G4880" s="66" t="str">
        <x:v>Sarjana</x:v>
      </x:c>
      <x:c r="H4880" s="87" t="n">
        <x:v>34</x:v>
      </x:c>
      <x:c r="I4880" s="87" t="n">
        <x:v>46</x:v>
      </x:c>
      <x:c r="J4880" s="68" t="n">
        <x:f>IFERROR(H4880/I4880,"")</x:f>
        <x:v>0.7391304347826086</x:v>
      </x:c>
      <x:c r="K4880" s="69" t="n">
        <x:f>IFERROR(I4880/H4880,"")</x:f>
        <x:v>1.3529411764705883</x:v>
      </x:c>
      <x:c r="L4880" s="66" t="str">
        <x:f>IF(K4880="","","1 : "&amp;TEXT(K4880,"0.0"))</x:f>
        <x:v>1 : 1.4</x:v>
      </x:c>
      <x:c r="M4880" s="66" t="str">
        <x:f>IF(J4880="","Baru/Tanpa Data",IF(J4880&lt;='Catatan &amp; Sumber'!$B$14,"Sangat Ketat",IF(J4880&lt;='Catatan &amp; Sumber'!$B$15,"Ketat",IF(J4880&lt;='Catatan &amp; Sumber'!$B$16,"Sedang","Relatif Longgar"))))</x:f>
        <x:v>Relatif Longgar</x:v>
      </x:c>
      <x:c r="N4880" s="66" t="str">
        <x:v>Tidak Ada</x:v>
      </x:c>
      <x:c r="O4880" s="66" t="str">
        <x:v>Maluku</x:v>
      </x:c>
      <x:c r="P4880" s="66" t="str">
        <x:v>Kota Ambon</x:v>
      </x:c>
      <x:c r="Q4880" s="66" t="str">
        <x:v>https://snpmb.id/snbp/daya-tampung-snbp</x:v>
      </x:c>
      <x:c r="R4880" s="66" t="str">
        <x:v>https://sidatagrun-public-1076756628210.asia-southeast2.run.app/ptn_sn.php?ptn=811</x:v>
      </x:c>
    </x:row>
    <x:row r="4881">
      <x:c r="A4881" s="87" t="n">
        <x:v>2735</x:v>
      </x:c>
      <x:c r="B4881" s="66" t="n">
        <x:v>811</x:v>
      </x:c>
      <x:c r="C4881" s="66" t="str">
        <x:v>UNIVERSITAS PATTIMURA</x:v>
      </x:c>
      <x:c r="D4881" s="66" t="str">
        <x:v>PTN Akademik</x:v>
      </x:c>
      <x:c r="E4881" s="66" t="str">
        <x:v>18111026</x:v>
      </x:c>
      <x:c r="F4881" s="66" t="str">
        <x:v>TEKNIK SIPIL</x:v>
      </x:c>
      <x:c r="G4881" s="66" t="str">
        <x:v>Sarjana</x:v>
      </x:c>
      <x:c r="H4881" s="87" t="n">
        <x:v>34</x:v>
      </x:c>
      <x:c r="I4881" s="87" t="n">
        <x:v>136</x:v>
      </x:c>
      <x:c r="J4881" s="68" t="n">
        <x:f>IFERROR(H4881/I4881,"")</x:f>
        <x:v>0.25</x:v>
      </x:c>
      <x:c r="K4881" s="69" t="n">
        <x:f>IFERROR(I4881/H4881,"")</x:f>
        <x:v>4</x:v>
      </x:c>
      <x:c r="L4881" s="66" t="str">
        <x:f>IF(K4881="","","1 : "&amp;TEXT(K4881,"0.0"))</x:f>
        <x:v>1 : 4.0</x:v>
      </x:c>
      <x:c r="M4881" s="66" t="str">
        <x:f>IF(J4881="","Baru/Tanpa Data",IF(J4881&lt;='Catatan &amp; Sumber'!$B$14,"Sangat Ketat",IF(J4881&lt;='Catatan &amp; Sumber'!$B$15,"Ketat",IF(J4881&lt;='Catatan &amp; Sumber'!$B$16,"Sedang","Relatif Longgar"))))</x:f>
        <x:v>Relatif Longgar</x:v>
      </x:c>
      <x:c r="N4881" s="66" t="str">
        <x:v>Tidak Ada</x:v>
      </x:c>
      <x:c r="O4881" s="66" t="str">
        <x:v>Maluku</x:v>
      </x:c>
      <x:c r="P4881" s="66" t="str">
        <x:v>Kota Ambon</x:v>
      </x:c>
      <x:c r="Q4881" s="66" t="str">
        <x:v>https://snpmb.id/snbp/daya-tampung-snbp</x:v>
      </x:c>
      <x:c r="R4881" s="66" t="str">
        <x:v>https://sidatagrun-public-1076756628210.asia-southeast2.run.app/ptn_sn.php?ptn=811</x:v>
      </x:c>
    </x:row>
    <x:row r="4882">
      <x:c r="A4882" s="87" t="n">
        <x:v>4439</x:v>
      </x:c>
      <x:c r="B4882" s="66" t="n">
        <x:v>811</x:v>
      </x:c>
      <x:c r="C4882" s="66" t="str">
        <x:v>UNIVERSITAS PATTIMURA</x:v>
      </x:c>
      <x:c r="D4882" s="66" t="str">
        <x:v>PTN Akademik</x:v>
      </x:c>
      <x:c r="E4882" s="66" t="str">
        <x:v>18111027</x:v>
      </x:c>
      <x:c r="F4882" s="66" t="str">
        <x:v>PEMULIAAN TANAMAN</x:v>
      </x:c>
      <x:c r="G4882" s="66" t="str">
        <x:v>Sarjana</x:v>
      </x:c>
      <x:c r="H4882" s="87" t="n">
        <x:v>6</x:v>
      </x:c>
      <x:c r="I4882" s="87" t="n">
        <x:v>5</x:v>
      </x:c>
      <x:c r="J4882" s="68" t="n">
        <x:f>IFERROR(H4882/I4882,"")</x:f>
        <x:v>1.2</x:v>
      </x:c>
      <x:c r="K4882" s="69" t="n">
        <x:f>IFERROR(I4882/H4882,"")</x:f>
        <x:v>0.8333333333333334</x:v>
      </x:c>
      <x:c r="L4882" s="66" t="str">
        <x:f>IF(K4882="","","1 : "&amp;TEXT(K4882,"0.0"))</x:f>
        <x:v>1 : 0.8</x:v>
      </x:c>
      <x:c r="M4882" s="66" t="str">
        <x:f>IF(J4882="","Baru/Tanpa Data",IF(J4882&lt;='Catatan &amp; Sumber'!$B$14,"Sangat Ketat",IF(J4882&lt;='Catatan &amp; Sumber'!$B$15,"Ketat",IF(J4882&lt;='Catatan &amp; Sumber'!$B$16,"Sedang","Relatif Longgar"))))</x:f>
        <x:v>Relatif Longgar</x:v>
      </x:c>
      <x:c r="N4882" s="66" t="str">
        <x:v>Tidak Ada</x:v>
      </x:c>
      <x:c r="O4882" s="66" t="str">
        <x:v>Maluku</x:v>
      </x:c>
      <x:c r="P4882" s="66" t="str">
        <x:v>Kota Ambon</x:v>
      </x:c>
      <x:c r="Q4882" s="66" t="str">
        <x:v>https://snpmb.id/snbp/daya-tampung-snbp</x:v>
      </x:c>
      <x:c r="R4882" s="66" t="str">
        <x:v>https://sidatagrun-public-1076756628210.asia-southeast2.run.app/ptn_sn.php?ptn=811</x:v>
      </x:c>
    </x:row>
    <x:row r="4883">
      <x:c r="A4883" s="87" t="n">
        <x:v>4652</x:v>
      </x:c>
      <x:c r="B4883" s="66" t="n">
        <x:v>811</x:v>
      </x:c>
      <x:c r="C4883" s="66" t="str">
        <x:v>UNIVERSITAS PATTIMURA</x:v>
      </x:c>
      <x:c r="D4883" s="66" t="str">
        <x:v>PTN Akademik</x:v>
      </x:c>
      <x:c r="E4883" s="66" t="str">
        <x:v>18111028</x:v>
      </x:c>
      <x:c r="F4883" s="66" t="str">
        <x:v>ILMU TANAH</x:v>
      </x:c>
      <x:c r="G4883" s="66" t="str">
        <x:v>Sarjana</x:v>
      </x:c>
      <x:c r="H4883" s="87" t="n">
        <x:v>6</x:v>
      </x:c>
      <x:c r="I4883" s="87" t="n">
        <x:v>3</x:v>
      </x:c>
      <x:c r="J4883" s="68" t="n">
        <x:f>IFERROR(H4883/I4883,"")</x:f>
        <x:v>2</x:v>
      </x:c>
      <x:c r="K4883" s="69" t="n">
        <x:f>IFERROR(I4883/H4883,"")</x:f>
        <x:v>0.5</x:v>
      </x:c>
      <x:c r="L4883" s="66" t="str">
        <x:f>IF(K4883="","","1 : "&amp;TEXT(K4883,"0.0"))</x:f>
        <x:v>1 : 0.5</x:v>
      </x:c>
      <x:c r="M4883" s="66" t="str">
        <x:f>IF(J4883="","Baru/Tanpa Data",IF(J4883&lt;='Catatan &amp; Sumber'!$B$14,"Sangat Ketat",IF(J4883&lt;='Catatan &amp; Sumber'!$B$15,"Ketat",IF(J4883&lt;='Catatan &amp; Sumber'!$B$16,"Sedang","Relatif Longgar"))))</x:f>
        <x:v>Relatif Longgar</x:v>
      </x:c>
      <x:c r="N4883" s="66" t="str">
        <x:v>Tidak Ada</x:v>
      </x:c>
      <x:c r="O4883" s="66" t="str">
        <x:v>Maluku</x:v>
      </x:c>
      <x:c r="P4883" s="66" t="str">
        <x:v>Kota Ambon</x:v>
      </x:c>
      <x:c r="Q4883" s="66" t="str">
        <x:v>https://snpmb.id/snbp/daya-tampung-snbp</x:v>
      </x:c>
      <x:c r="R4883" s="66" t="str">
        <x:v>https://sidatagrun-public-1076756628210.asia-southeast2.run.app/ptn_sn.php?ptn=811</x:v>
      </x:c>
    </x:row>
    <x:row r="4884">
      <x:c r="A4884" s="87" t="n">
        <x:v>2151</x:v>
      </x:c>
      <x:c r="B4884" s="66" t="n">
        <x:v>811</x:v>
      </x:c>
      <x:c r="C4884" s="66" t="str">
        <x:v>UNIVERSITAS PATTIMURA</x:v>
      </x:c>
      <x:c r="D4884" s="66" t="str">
        <x:v>PTN Akademik</x:v>
      </x:c>
      <x:c r="E4884" s="66" t="str">
        <x:v>18111029</x:v>
      </x:c>
      <x:c r="F4884" s="66" t="str">
        <x:v>TEKNIK GEOLOGI</x:v>
      </x:c>
      <x:c r="G4884" s="66" t="str">
        <x:v>Sarjana</x:v>
      </x:c>
      <x:c r="H4884" s="87" t="n">
        <x:v>15</x:v>
      </x:c>
      <x:c r="I4884" s="87" t="n">
        <x:v>90</x:v>
      </x:c>
      <x:c r="J4884" s="68" t="n">
        <x:f>IFERROR(H4884/I4884,"")</x:f>
        <x:v>0.16666666666666666</x:v>
      </x:c>
      <x:c r="K4884" s="69" t="n">
        <x:f>IFERROR(I4884/H4884,"")</x:f>
        <x:v>6</x:v>
      </x:c>
      <x:c r="L4884" s="66" t="str">
        <x:f>IF(K4884="","","1 : "&amp;TEXT(K4884,"0.0"))</x:f>
        <x:v>1 : 6.0</x:v>
      </x:c>
      <x:c r="M4884" s="66" t="str">
        <x:f>IF(J4884="","Baru/Tanpa Data",IF(J4884&lt;='Catatan &amp; Sumber'!$B$14,"Sangat Ketat",IF(J4884&lt;='Catatan &amp; Sumber'!$B$15,"Ketat",IF(J4884&lt;='Catatan &amp; Sumber'!$B$16,"Sedang","Relatif Longgar"))))</x:f>
        <x:v>Relatif Longgar</x:v>
      </x:c>
      <x:c r="N4884" s="66" t="str">
        <x:v>Tidak Ada</x:v>
      </x:c>
      <x:c r="O4884" s="66" t="str">
        <x:v>Maluku</x:v>
      </x:c>
      <x:c r="P4884" s="66" t="str">
        <x:v>Kota Ambon</x:v>
      </x:c>
      <x:c r="Q4884" s="66" t="str">
        <x:v>https://snpmb.id/snbp/daya-tampung-snbp</x:v>
      </x:c>
      <x:c r="R4884" s="66" t="str">
        <x:v>https://sidatagrun-public-1076756628210.asia-southeast2.run.app/ptn_sn.php?ptn=811</x:v>
      </x:c>
    </x:row>
    <x:row r="4885">
      <x:c r="A4885" s="87" t="n">
        <x:v>3573</x:v>
      </x:c>
      <x:c r="B4885" s="66" t="n">
        <x:v>811</x:v>
      </x:c>
      <x:c r="C4885" s="66" t="str">
        <x:v>UNIVERSITAS PATTIMURA</x:v>
      </x:c>
      <x:c r="D4885" s="66" t="str">
        <x:v>PTN Akademik</x:v>
      </x:c>
      <x:c r="E4885" s="66" t="str">
        <x:v>18111030</x:v>
      </x:c>
      <x:c r="F4885" s="66" t="str">
        <x:v>STATISTIKA</x:v>
      </x:c>
      <x:c r="G4885" s="66" t="str">
        <x:v>Sarjana</x:v>
      </x:c>
      <x:c r="H4885" s="87" t="n">
        <x:v>30</x:v>
      </x:c>
      <x:c r="I4885" s="87" t="n">
        <x:v>65</x:v>
      </x:c>
      <x:c r="J4885" s="68" t="n">
        <x:f>IFERROR(H4885/I4885,"")</x:f>
        <x:v>0.46153846153846156</x:v>
      </x:c>
      <x:c r="K4885" s="69" t="n">
        <x:f>IFERROR(I4885/H4885,"")</x:f>
        <x:v>2.1666666666666665</x:v>
      </x:c>
      <x:c r="L4885" s="66" t="str">
        <x:f>IF(K4885="","","1 : "&amp;TEXT(K4885,"0.0"))</x:f>
        <x:v>1 : 2.2</x:v>
      </x:c>
      <x:c r="M4885" s="66" t="str">
        <x:f>IF(J4885="","Baru/Tanpa Data",IF(J4885&lt;='Catatan &amp; Sumber'!$B$14,"Sangat Ketat",IF(J4885&lt;='Catatan &amp; Sumber'!$B$15,"Ketat",IF(J4885&lt;='Catatan &amp; Sumber'!$B$16,"Sedang","Relatif Longgar"))))</x:f>
        <x:v>Relatif Longgar</x:v>
      </x:c>
      <x:c r="N4885" s="66" t="str">
        <x:v>Tidak Ada</x:v>
      </x:c>
      <x:c r="O4885" s="66" t="str">
        <x:v>Maluku</x:v>
      </x:c>
      <x:c r="P4885" s="66" t="str">
        <x:v>Kota Ambon</x:v>
      </x:c>
      <x:c r="Q4885" s="66" t="str">
        <x:v>https://snpmb.id/snbp/daya-tampung-snbp</x:v>
      </x:c>
      <x:c r="R4885" s="66" t="str">
        <x:v>https://sidatagrun-public-1076756628210.asia-southeast2.run.app/ptn_sn.php?ptn=811</x:v>
      </x:c>
    </x:row>
    <x:row r="4886">
      <x:c r="A4886" s="87"/>
      <x:c r="B4886" s="66" t="n">
        <x:v>811</x:v>
      </x:c>
      <x:c r="C4886" s="66" t="str">
        <x:v>UNIVERSITAS PATTIMURA</x:v>
      </x:c>
      <x:c r="D4886" s="66" t="str">
        <x:v>PTN Akademik</x:v>
      </x:c>
      <x:c r="E4886" s="66" t="str">
        <x:v>18111031</x:v>
      </x:c>
      <x:c r="F4886" s="66" t="str">
        <x:v>PETERNAKAN (PSDKU KAB. MBD)</x:v>
      </x:c>
      <x:c r="G4886" s="66" t="str">
        <x:v>Sarjana</x:v>
      </x:c>
      <x:c r="H4886" s="87" t="n">
        <x:v>9</x:v>
      </x:c>
      <x:c r="I4886" s="87"/>
      <x:c r="J4886" s="68" t="str">
        <x:f>IFERROR(H4886/I4886,"")</x:f>
      </x:c>
      <x:c r="K4886" s="69" t="n">
        <x:f>IFERROR(I4886/H4886,"")</x:f>
        <x:v>0</x:v>
      </x:c>
      <x:c r="L4886" s="66" t="str">
        <x:f>IF(K4886="","","1 : "&amp;TEXT(K4886,"0.0"))</x:f>
      </x:c>
      <x:c r="M4886" s="66" t="str">
        <x:f>IF(J4886="","Baru/Tanpa Data",IF(J4886&lt;='Catatan &amp; Sumber'!$B$14,"Sangat Ketat",IF(J4886&lt;='Catatan &amp; Sumber'!$B$15,"Ketat",IF(J4886&lt;='Catatan &amp; Sumber'!$B$16,"Sedang","Relatif Longgar"))))</x:f>
        <x:v>Baru/Tanpa Data</x:v>
      </x:c>
      <x:c r="N4886" s="66" t="str">
        <x:v>Tidak Ada</x:v>
      </x:c>
      <x:c r="O4886" s="66" t="str">
        <x:v>Maluku</x:v>
      </x:c>
      <x:c r="P4886" s="66" t="str">
        <x:v>Kota Ambon</x:v>
      </x:c>
      <x:c r="Q4886" s="66" t="str">
        <x:v>https://snpmb.id/snbp/daya-tampung-snbp</x:v>
      </x:c>
      <x:c r="R4886" s="66" t="str">
        <x:v>https://sidatagrun-public-1076756628210.asia-southeast2.run.app/ptn_sn.php?ptn=811</x:v>
      </x:c>
    </x:row>
    <x:row r="4887">
      <x:c r="A4887" s="87"/>
      <x:c r="B4887" s="66" t="n">
        <x:v>811</x:v>
      </x:c>
      <x:c r="C4887" s="66" t="str">
        <x:v>UNIVERSITAS PATTIMURA</x:v>
      </x:c>
      <x:c r="D4887" s="66" t="str">
        <x:v>PTN Akademik</x:v>
      </x:c>
      <x:c r="E4887" s="66" t="str">
        <x:v>18111032</x:v>
      </x:c>
      <x:c r="F4887" s="66" t="str">
        <x:v>PENDIDIKAN MATEMATIKA (PSDKU KAB. MBD)</x:v>
      </x:c>
      <x:c r="G4887" s="66" t="str">
        <x:v>Sarjana</x:v>
      </x:c>
      <x:c r="H4887" s="87" t="n">
        <x:v>12</x:v>
      </x:c>
      <x:c r="I4887" s="87"/>
      <x:c r="J4887" s="68" t="str">
        <x:f>IFERROR(H4887/I4887,"")</x:f>
      </x:c>
      <x:c r="K4887" s="69" t="n">
        <x:f>IFERROR(I4887/H4887,"")</x:f>
        <x:v>0</x:v>
      </x:c>
      <x:c r="L4887" s="66" t="str">
        <x:f>IF(K4887="","","1 : "&amp;TEXT(K4887,"0.0"))</x:f>
      </x:c>
      <x:c r="M4887" s="66" t="str">
        <x:f>IF(J4887="","Baru/Tanpa Data",IF(J4887&lt;='Catatan &amp; Sumber'!$B$14,"Sangat Ketat",IF(J4887&lt;='Catatan &amp; Sumber'!$B$15,"Ketat",IF(J4887&lt;='Catatan &amp; Sumber'!$B$16,"Sedang","Relatif Longgar"))))</x:f>
        <x:v>Baru/Tanpa Data</x:v>
      </x:c>
      <x:c r="N4887" s="66" t="str">
        <x:v>Tidak Ada</x:v>
      </x:c>
      <x:c r="O4887" s="66" t="str">
        <x:v>Maluku</x:v>
      </x:c>
      <x:c r="P4887" s="66" t="str">
        <x:v>Kota Ambon</x:v>
      </x:c>
      <x:c r="Q4887" s="66" t="str">
        <x:v>https://snpmb.id/snbp/daya-tampung-snbp</x:v>
      </x:c>
      <x:c r="R4887" s="66" t="str">
        <x:v>https://sidatagrun-public-1076756628210.asia-southeast2.run.app/ptn_sn.php?ptn=811</x:v>
      </x:c>
    </x:row>
    <x:row r="4888">
      <x:c r="A4888" s="87" t="n">
        <x:v>4812</x:v>
      </x:c>
      <x:c r="B4888" s="66" t="n">
        <x:v>811</x:v>
      </x:c>
      <x:c r="C4888" s="66" t="str">
        <x:v>UNIVERSITAS PATTIMURA</x:v>
      </x:c>
      <x:c r="D4888" s="66" t="str">
        <x:v>PTN Akademik</x:v>
      </x:c>
      <x:c r="E4888" s="66" t="str">
        <x:v>18111033</x:v>
      </x:c>
      <x:c r="F4888" s="66" t="str">
        <x:v>PENDIDIKAN MATEMATIKA (PSDKU KAB. ARU)</x:v>
      </x:c>
      <x:c r="G4888" s="66" t="str">
        <x:v>Sarjana</x:v>
      </x:c>
      <x:c r="H4888" s="87" t="n">
        <x:v>12</x:v>
      </x:c>
      <x:c r="I4888" s="87" t="n">
        <x:v>3</x:v>
      </x:c>
      <x:c r="J4888" s="68" t="n">
        <x:f>IFERROR(H4888/I4888,"")</x:f>
        <x:v>4</x:v>
      </x:c>
      <x:c r="K4888" s="69" t="n">
        <x:f>IFERROR(I4888/H4888,"")</x:f>
        <x:v>0.25</x:v>
      </x:c>
      <x:c r="L4888" s="66" t="str">
        <x:f>IF(K4888="","","1 : "&amp;TEXT(K4888,"0.0"))</x:f>
        <x:v>1 : 0.3</x:v>
      </x:c>
      <x:c r="M4888" s="66" t="str">
        <x:f>IF(J4888="","Baru/Tanpa Data",IF(J4888&lt;='Catatan &amp; Sumber'!$B$14,"Sangat Ketat",IF(J4888&lt;='Catatan &amp; Sumber'!$B$15,"Ketat",IF(J4888&lt;='Catatan &amp; Sumber'!$B$16,"Sedang","Relatif Longgar"))))</x:f>
        <x:v>Relatif Longgar</x:v>
      </x:c>
      <x:c r="N4888" s="66" t="str">
        <x:v>Tidak Ada</x:v>
      </x:c>
      <x:c r="O4888" s="66" t="str">
        <x:v>Maluku</x:v>
      </x:c>
      <x:c r="P4888" s="66" t="str">
        <x:v>Kota Ambon</x:v>
      </x:c>
      <x:c r="Q4888" s="66" t="str">
        <x:v>https://snpmb.id/snbp/daya-tampung-snbp</x:v>
      </x:c>
      <x:c r="R4888" s="66" t="str">
        <x:v>https://sidatagrun-public-1076756628210.asia-southeast2.run.app/ptn_sn.php?ptn=811</x:v>
      </x:c>
    </x:row>
    <x:row r="4889">
      <x:c r="A4889" s="87" t="n">
        <x:v>4223</x:v>
      </x:c>
      <x:c r="B4889" s="66" t="n">
        <x:v>811</x:v>
      </x:c>
      <x:c r="C4889" s="66" t="str">
        <x:v>UNIVERSITAS PATTIMURA</x:v>
      </x:c>
      <x:c r="D4889" s="66" t="str">
        <x:v>PTN Akademik</x:v>
      </x:c>
      <x:c r="E4889" s="66" t="str">
        <x:v>18111034</x:v>
      </x:c>
      <x:c r="F4889" s="66" t="str">
        <x:v>TEKNIK GEOFISIKA</x:v>
      </x:c>
      <x:c r="G4889" s="66" t="str">
        <x:v>Sarjana</x:v>
      </x:c>
      <x:c r="H4889" s="87" t="n">
        <x:v>15</x:v>
      </x:c>
      <x:c r="I4889" s="87" t="n">
        <x:v>17</x:v>
      </x:c>
      <x:c r="J4889" s="68" t="n">
        <x:f>IFERROR(H4889/I4889,"")</x:f>
        <x:v>0.8823529411764706</x:v>
      </x:c>
      <x:c r="K4889" s="69" t="n">
        <x:f>IFERROR(I4889/H4889,"")</x:f>
        <x:v>1.1333333333333333</x:v>
      </x:c>
      <x:c r="L4889" s="66" t="str">
        <x:f>IF(K4889="","","1 : "&amp;TEXT(K4889,"0.0"))</x:f>
        <x:v>1 : 1.1</x:v>
      </x:c>
      <x:c r="M4889" s="66" t="str">
        <x:f>IF(J4889="","Baru/Tanpa Data",IF(J4889&lt;='Catatan &amp; Sumber'!$B$14,"Sangat Ketat",IF(J4889&lt;='Catatan &amp; Sumber'!$B$15,"Ketat",IF(J4889&lt;='Catatan &amp; Sumber'!$B$16,"Sedang","Relatif Longgar"))))</x:f>
        <x:v>Relatif Longgar</x:v>
      </x:c>
      <x:c r="N4889" s="66" t="str">
        <x:v>Tidak Ada</x:v>
      </x:c>
      <x:c r="O4889" s="66" t="str">
        <x:v>Maluku</x:v>
      </x:c>
      <x:c r="P4889" s="66" t="str">
        <x:v>Kota Ambon</x:v>
      </x:c>
      <x:c r="Q4889" s="66" t="str">
        <x:v>https://snpmb.id/snbp/daya-tampung-snbp</x:v>
      </x:c>
      <x:c r="R4889" s="66" t="str">
        <x:v>https://sidatagrun-public-1076756628210.asia-southeast2.run.app/ptn_sn.php?ptn=811</x:v>
      </x:c>
    </x:row>
    <x:row r="4890">
      <x:c r="A4890" s="87" t="n">
        <x:v>1629</x:v>
      </x:c>
      <x:c r="B4890" s="66" t="n">
        <x:v>811</x:v>
      </x:c>
      <x:c r="C4890" s="66" t="str">
        <x:v>UNIVERSITAS PATTIMURA</x:v>
      </x:c>
      <x:c r="D4890" s="66" t="str">
        <x:v>PTN Akademik</x:v>
      </x:c>
      <x:c r="E4890" s="66" t="str">
        <x:v>18111035</x:v>
      </x:c>
      <x:c r="F4890" s="66" t="str">
        <x:v>TEKNIK PERMINYAKAN</x:v>
      </x:c>
      <x:c r="G4890" s="66" t="str">
        <x:v>Sarjana</x:v>
      </x:c>
      <x:c r="H4890" s="87" t="n">
        <x:v>15</x:v>
      </x:c>
      <x:c r="I4890" s="87" t="n">
        <x:v>126</x:v>
      </x:c>
      <x:c r="J4890" s="68" t="n">
        <x:f>IFERROR(H4890/I4890,"")</x:f>
        <x:v>0.11904761904761904</x:v>
      </x:c>
      <x:c r="K4890" s="69" t="n">
        <x:f>IFERROR(I4890/H4890,"")</x:f>
        <x:v>8.4</x:v>
      </x:c>
      <x:c r="L4890" s="66" t="str">
        <x:f>IF(K4890="","","1 : "&amp;TEXT(K4890,"0.0"))</x:f>
        <x:v>1 : 8.4</x:v>
      </x:c>
      <x:c r="M4890" s="66" t="str">
        <x:f>IF(J4890="","Baru/Tanpa Data",IF(J4890&lt;='Catatan &amp; Sumber'!$B$14,"Sangat Ketat",IF(J4890&lt;='Catatan &amp; Sumber'!$B$15,"Ketat",IF(J4890&lt;='Catatan &amp; Sumber'!$B$16,"Sedang","Relatif Longgar"))))</x:f>
        <x:v>Relatif Longgar</x:v>
      </x:c>
      <x:c r="N4890" s="66" t="str">
        <x:v>Tidak Ada</x:v>
      </x:c>
      <x:c r="O4890" s="66" t="str">
        <x:v>Maluku</x:v>
      </x:c>
      <x:c r="P4890" s="66" t="str">
        <x:v>Kota Ambon</x:v>
      </x:c>
      <x:c r="Q4890" s="66" t="str">
        <x:v>https://snpmb.id/snbp/daya-tampung-snbp</x:v>
      </x:c>
      <x:c r="R4890" s="66" t="str">
        <x:v>https://sidatagrun-public-1076756628210.asia-southeast2.run.app/ptn_sn.php?ptn=811</x:v>
      </x:c>
    </x:row>
    <x:row r="4891">
      <x:c r="A4891" s="87" t="n">
        <x:v>4379</x:v>
      </x:c>
      <x:c r="B4891" s="66" t="n">
        <x:v>811</x:v>
      </x:c>
      <x:c r="C4891" s="66" t="str">
        <x:v>UNIVERSITAS PATTIMURA</x:v>
      </x:c>
      <x:c r="D4891" s="66" t="str">
        <x:v>PTN Akademik</x:v>
      </x:c>
      <x:c r="E4891" s="66" t="str">
        <x:v>18111036</x:v>
      </x:c>
      <x:c r="F4891" s="66" t="str">
        <x:v>TEKNIK KIMIA</x:v>
      </x:c>
      <x:c r="G4891" s="66" t="str">
        <x:v>Sarjana</x:v>
      </x:c>
      <x:c r="H4891" s="87" t="n">
        <x:v>12</x:v>
      </x:c>
      <x:c r="I4891" s="87" t="n">
        <x:v>11</x:v>
      </x:c>
      <x:c r="J4891" s="68" t="n">
        <x:f>IFERROR(H4891/I4891,"")</x:f>
        <x:v>1.0909090909090908</x:v>
      </x:c>
      <x:c r="K4891" s="69" t="n">
        <x:f>IFERROR(I4891/H4891,"")</x:f>
        <x:v>0.9166666666666666</x:v>
      </x:c>
      <x:c r="L4891" s="66" t="str">
        <x:f>IF(K4891="","","1 : "&amp;TEXT(K4891,"0.0"))</x:f>
        <x:v>1 : 0.9</x:v>
      </x:c>
      <x:c r="M4891" s="66" t="str">
        <x:f>IF(J4891="","Baru/Tanpa Data",IF(J4891&lt;='Catatan &amp; Sumber'!$B$14,"Sangat Ketat",IF(J4891&lt;='Catatan &amp; Sumber'!$B$15,"Ketat",IF(J4891&lt;='Catatan &amp; Sumber'!$B$16,"Sedang","Relatif Longgar"))))</x:f>
        <x:v>Relatif Longgar</x:v>
      </x:c>
      <x:c r="N4891" s="66" t="str">
        <x:v>Tidak Ada</x:v>
      </x:c>
      <x:c r="O4891" s="66" t="str">
        <x:v>Maluku</x:v>
      </x:c>
      <x:c r="P4891" s="66" t="str">
        <x:v>Kota Ambon</x:v>
      </x:c>
      <x:c r="Q4891" s="66" t="str">
        <x:v>https://snpmb.id/snbp/daya-tampung-snbp</x:v>
      </x:c>
      <x:c r="R4891" s="66" t="str">
        <x:v>https://sidatagrun-public-1076756628210.asia-southeast2.run.app/ptn_sn.php?ptn=811</x:v>
      </x:c>
    </x:row>
    <x:row r="4892">
      <x:c r="A4892" s="87" t="n">
        <x:v>4366</x:v>
      </x:c>
      <x:c r="B4892" s="66" t="n">
        <x:v>811</x:v>
      </x:c>
      <x:c r="C4892" s="66" t="str">
        <x:v>UNIVERSITAS PATTIMURA</x:v>
      </x:c>
      <x:c r="D4892" s="66" t="str">
        <x:v>PTN Akademik</x:v>
      </x:c>
      <x:c r="E4892" s="66" t="str">
        <x:v>18111037</x:v>
      </x:c>
      <x:c r="F4892" s="66" t="str">
        <x:v>TEKNIK TRANSPORTASI LAUT</x:v>
      </x:c>
      <x:c r="G4892" s="66" t="str">
        <x:v>Sarjana</x:v>
      </x:c>
      <x:c r="H4892" s="87" t="n">
        <x:v>15</x:v>
      </x:c>
      <x:c r="I4892" s="87" t="n">
        <x:v>14</x:v>
      </x:c>
      <x:c r="J4892" s="68" t="n">
        <x:f>IFERROR(H4892/I4892,"")</x:f>
        <x:v>1.0714285714285714</x:v>
      </x:c>
      <x:c r="K4892" s="69" t="n">
        <x:f>IFERROR(I4892/H4892,"")</x:f>
        <x:v>0.9333333333333333</x:v>
      </x:c>
      <x:c r="L4892" s="66" t="str">
        <x:f>IF(K4892="","","1 : "&amp;TEXT(K4892,"0.0"))</x:f>
        <x:v>1 : 0.9</x:v>
      </x:c>
      <x:c r="M4892" s="66" t="str">
        <x:f>IF(J4892="","Baru/Tanpa Data",IF(J4892&lt;='Catatan &amp; Sumber'!$B$14,"Sangat Ketat",IF(J4892&lt;='Catatan &amp; Sumber'!$B$15,"Ketat",IF(J4892&lt;='Catatan &amp; Sumber'!$B$16,"Sedang","Relatif Longgar"))))</x:f>
        <x:v>Relatif Longgar</x:v>
      </x:c>
      <x:c r="N4892" s="66" t="str">
        <x:v>Tidak Ada</x:v>
      </x:c>
      <x:c r="O4892" s="66" t="str">
        <x:v>Maluku</x:v>
      </x:c>
      <x:c r="P4892" s="66" t="str">
        <x:v>Kota Ambon</x:v>
      </x:c>
      <x:c r="Q4892" s="66" t="str">
        <x:v>https://snpmb.id/snbp/daya-tampung-snbp</x:v>
      </x:c>
      <x:c r="R4892" s="66" t="str">
        <x:v>https://sidatagrun-public-1076756628210.asia-southeast2.run.app/ptn_sn.php?ptn=811</x:v>
      </x:c>
    </x:row>
    <x:row r="4893">
      <x:c r="A4893" s="87" t="n">
        <x:v>3550</x:v>
      </x:c>
      <x:c r="B4893" s="66" t="n">
        <x:v>811</x:v>
      </x:c>
      <x:c r="C4893" s="66" t="str">
        <x:v>UNIVERSITAS PATTIMURA</x:v>
      </x:c>
      <x:c r="D4893" s="66" t="str">
        <x:v>PTN Akademik</x:v>
      </x:c>
      <x:c r="E4893" s="66" t="str">
        <x:v>18111038</x:v>
      </x:c>
      <x:c r="F4893" s="66" t="str">
        <x:v>IL. HUKUM</x:v>
      </x:c>
      <x:c r="G4893" s="66" t="str">
        <x:v>Sarjana</x:v>
      </x:c>
      <x:c r="H4893" s="87" t="n">
        <x:v>185</x:v>
      </x:c>
      <x:c r="I4893" s="87" t="n">
        <x:v>411</x:v>
      </x:c>
      <x:c r="J4893" s="68" t="n">
        <x:f>IFERROR(H4893/I4893,"")</x:f>
        <x:v>0.45012165450121655</x:v>
      </x:c>
      <x:c r="K4893" s="69" t="n">
        <x:f>IFERROR(I4893/H4893,"")</x:f>
        <x:v>2.2216216216216216</x:v>
      </x:c>
      <x:c r="L4893" s="66" t="str">
        <x:f>IF(K4893="","","1 : "&amp;TEXT(K4893,"0.0"))</x:f>
        <x:v>1 : 2.2</x:v>
      </x:c>
      <x:c r="M4893" s="66" t="str">
        <x:f>IF(J4893="","Baru/Tanpa Data",IF(J4893&lt;='Catatan &amp; Sumber'!$B$14,"Sangat Ketat",IF(J4893&lt;='Catatan &amp; Sumber'!$B$15,"Ketat",IF(J4893&lt;='Catatan &amp; Sumber'!$B$16,"Sedang","Relatif Longgar"))))</x:f>
        <x:v>Relatif Longgar</x:v>
      </x:c>
      <x:c r="N4893" s="66" t="str">
        <x:v>Tidak Ada</x:v>
      </x:c>
      <x:c r="O4893" s="66" t="str">
        <x:v>Maluku</x:v>
      </x:c>
      <x:c r="P4893" s="66" t="str">
        <x:v>Kota Ambon</x:v>
      </x:c>
      <x:c r="Q4893" s="66" t="str">
        <x:v>https://snpmb.id/snbp/daya-tampung-snbp</x:v>
      </x:c>
      <x:c r="R4893" s="66" t="str">
        <x:v>https://sidatagrun-public-1076756628210.asia-southeast2.run.app/ptn_sn.php?ptn=811</x:v>
      </x:c>
    </x:row>
    <x:row r="4894">
      <x:c r="A4894" s="87" t="n">
        <x:v>4196</x:v>
      </x:c>
      <x:c r="B4894" s="66" t="n">
        <x:v>811</x:v>
      </x:c>
      <x:c r="C4894" s="66" t="str">
        <x:v>UNIVERSITAS PATTIMURA</x:v>
      </x:c>
      <x:c r="D4894" s="66" t="str">
        <x:v>PTN Akademik</x:v>
      </x:c>
      <x:c r="E4894" s="66" t="str">
        <x:v>18111039</x:v>
      </x:c>
      <x:c r="F4894" s="66" t="str">
        <x:v>IL. ADM. NEGARA</x:v>
      </x:c>
      <x:c r="G4894" s="66" t="str">
        <x:v>Sarjana</x:v>
      </x:c>
      <x:c r="H4894" s="87" t="n">
        <x:v>57</x:v>
      </x:c>
      <x:c r="I4894" s="87" t="n">
        <x:v>67</x:v>
      </x:c>
      <x:c r="J4894" s="68" t="n">
        <x:f>IFERROR(H4894/I4894,"")</x:f>
        <x:v>0.8507462686567164</x:v>
      </x:c>
      <x:c r="K4894" s="69" t="n">
        <x:f>IFERROR(I4894/H4894,"")</x:f>
        <x:v>1.1754385964912282</x:v>
      </x:c>
      <x:c r="L4894" s="66" t="str">
        <x:f>IF(K4894="","","1 : "&amp;TEXT(K4894,"0.0"))</x:f>
        <x:v>1 : 1.2</x:v>
      </x:c>
      <x:c r="M4894" s="66" t="str">
        <x:f>IF(J4894="","Baru/Tanpa Data",IF(J4894&lt;='Catatan &amp; Sumber'!$B$14,"Sangat Ketat",IF(J4894&lt;='Catatan &amp; Sumber'!$B$15,"Ketat",IF(J4894&lt;='Catatan &amp; Sumber'!$B$16,"Sedang","Relatif Longgar"))))</x:f>
        <x:v>Relatif Longgar</x:v>
      </x:c>
      <x:c r="N4894" s="66" t="str">
        <x:v>Tidak Ada</x:v>
      </x:c>
      <x:c r="O4894" s="66" t="str">
        <x:v>Maluku</x:v>
      </x:c>
      <x:c r="P4894" s="66" t="str">
        <x:v>Kota Ambon</x:v>
      </x:c>
      <x:c r="Q4894" s="66" t="str">
        <x:v>https://snpmb.id/snbp/daya-tampung-snbp</x:v>
      </x:c>
      <x:c r="R4894" s="66" t="str">
        <x:v>https://sidatagrun-public-1076756628210.asia-southeast2.run.app/ptn_sn.php?ptn=811</x:v>
      </x:c>
    </x:row>
    <x:row r="4895">
      <x:c r="A4895" s="87" t="n">
        <x:v>4274</x:v>
      </x:c>
      <x:c r="B4895" s="66" t="n">
        <x:v>811</x:v>
      </x:c>
      <x:c r="C4895" s="66" t="str">
        <x:v>UNIVERSITAS PATTIMURA</x:v>
      </x:c>
      <x:c r="D4895" s="66" t="str">
        <x:v>PTN Akademik</x:v>
      </x:c>
      <x:c r="E4895" s="66" t="str">
        <x:v>18111040</x:v>
      </x:c>
      <x:c r="F4895" s="66" t="str">
        <x:v>IL. PEMERINTAHAN</x:v>
      </x:c>
      <x:c r="G4895" s="66" t="str">
        <x:v>Sarjana</x:v>
      </x:c>
      <x:c r="H4895" s="87" t="n">
        <x:v>54</x:v>
      </x:c>
      <x:c r="I4895" s="87" t="n">
        <x:v>58</x:v>
      </x:c>
      <x:c r="J4895" s="68" t="n">
        <x:f>IFERROR(H4895/I4895,"")</x:f>
        <x:v>0.9310344827586207</x:v>
      </x:c>
      <x:c r="K4895" s="69" t="n">
        <x:f>IFERROR(I4895/H4895,"")</x:f>
        <x:v>1.0740740740740742</x:v>
      </x:c>
      <x:c r="L4895" s="66" t="str">
        <x:f>IF(K4895="","","1 : "&amp;TEXT(K4895,"0.0"))</x:f>
        <x:v>1 : 1.1</x:v>
      </x:c>
      <x:c r="M4895" s="66" t="str">
        <x:f>IF(J4895="","Baru/Tanpa Data",IF(J4895&lt;='Catatan &amp; Sumber'!$B$14,"Sangat Ketat",IF(J4895&lt;='Catatan &amp; Sumber'!$B$15,"Ketat",IF(J4895&lt;='Catatan &amp; Sumber'!$B$16,"Sedang","Relatif Longgar"))))</x:f>
        <x:v>Relatif Longgar</x:v>
      </x:c>
      <x:c r="N4895" s="66" t="str">
        <x:v>Tidak Ada</x:v>
      </x:c>
      <x:c r="O4895" s="66" t="str">
        <x:v>Maluku</x:v>
      </x:c>
      <x:c r="P4895" s="66" t="str">
        <x:v>Kota Ambon</x:v>
      </x:c>
      <x:c r="Q4895" s="66" t="str">
        <x:v>https://snpmb.id/snbp/daya-tampung-snbp</x:v>
      </x:c>
      <x:c r="R4895" s="66" t="str">
        <x:v>https://sidatagrun-public-1076756628210.asia-southeast2.run.app/ptn_sn.php?ptn=811</x:v>
      </x:c>
    </x:row>
    <x:row r="4896">
      <x:c r="A4896" s="87" t="n">
        <x:v>4415</x:v>
      </x:c>
      <x:c r="B4896" s="66" t="n">
        <x:v>811</x:v>
      </x:c>
      <x:c r="C4896" s="66" t="str">
        <x:v>UNIVERSITAS PATTIMURA</x:v>
      </x:c>
      <x:c r="D4896" s="66" t="str">
        <x:v>PTN Akademik</x:v>
      </x:c>
      <x:c r="E4896" s="66" t="str">
        <x:v>18111041</x:v>
      </x:c>
      <x:c r="F4896" s="66" t="str">
        <x:v>SOSIOLOGI</x:v>
      </x:c>
      <x:c r="G4896" s="66" t="str">
        <x:v>Sarjana</x:v>
      </x:c>
      <x:c r="H4896" s="87" t="n">
        <x:v>45</x:v>
      </x:c>
      <x:c r="I4896" s="87" t="n">
        <x:v>39</x:v>
      </x:c>
      <x:c r="J4896" s="68" t="n">
        <x:f>IFERROR(H4896/I4896,"")</x:f>
        <x:v>1.1538461538461537</x:v>
      </x:c>
      <x:c r="K4896" s="69" t="n">
        <x:f>IFERROR(I4896/H4896,"")</x:f>
        <x:v>0.8666666666666667</x:v>
      </x:c>
      <x:c r="L4896" s="66" t="str">
        <x:f>IF(K4896="","","1 : "&amp;TEXT(K4896,"0.0"))</x:f>
        <x:v>1 : 0.9</x:v>
      </x:c>
      <x:c r="M4896" s="66" t="str">
        <x:f>IF(J4896="","Baru/Tanpa Data",IF(J4896&lt;='Catatan &amp; Sumber'!$B$14,"Sangat Ketat",IF(J4896&lt;='Catatan &amp; Sumber'!$B$15,"Ketat",IF(J4896&lt;='Catatan &amp; Sumber'!$B$16,"Sedang","Relatif Longgar"))))</x:f>
        <x:v>Relatif Longgar</x:v>
      </x:c>
      <x:c r="N4896" s="66" t="str">
        <x:v>Tidak Ada</x:v>
      </x:c>
      <x:c r="O4896" s="66" t="str">
        <x:v>Maluku</x:v>
      </x:c>
      <x:c r="P4896" s="66" t="str">
        <x:v>Kota Ambon</x:v>
      </x:c>
      <x:c r="Q4896" s="66" t="str">
        <x:v>https://snpmb.id/snbp/daya-tampung-snbp</x:v>
      </x:c>
      <x:c r="R4896" s="66" t="str">
        <x:v>https://sidatagrun-public-1076756628210.asia-southeast2.run.app/ptn_sn.php?ptn=811</x:v>
      </x:c>
    </x:row>
    <x:row r="4897">
      <x:c r="A4897" s="87" t="n">
        <x:v>3386</x:v>
      </x:c>
      <x:c r="B4897" s="66" t="n">
        <x:v>811</x:v>
      </x:c>
      <x:c r="C4897" s="66" t="str">
        <x:v>UNIVERSITAS PATTIMURA</x:v>
      </x:c>
      <x:c r="D4897" s="66" t="str">
        <x:v>PTN Akademik</x:v>
      </x:c>
      <x:c r="E4897" s="66" t="str">
        <x:v>18111042</x:v>
      </x:c>
      <x:c r="F4897" s="66" t="str">
        <x:v>MANAJEMEN</x:v>
      </x:c>
      <x:c r="G4897" s="66" t="str">
        <x:v>Sarjana</x:v>
      </x:c>
      <x:c r="H4897" s="87" t="n">
        <x:v>123</x:v>
      </x:c>
      <x:c r="I4897" s="87" t="n">
        <x:v>310</x:v>
      </x:c>
      <x:c r="J4897" s="68" t="n">
        <x:f>IFERROR(H4897/I4897,"")</x:f>
        <x:v>0.3967741935483871</x:v>
      </x:c>
      <x:c r="K4897" s="69" t="n">
        <x:f>IFERROR(I4897/H4897,"")</x:f>
        <x:v>2.5203252032520327</x:v>
      </x:c>
      <x:c r="L4897" s="66" t="str">
        <x:f>IF(K4897="","","1 : "&amp;TEXT(K4897,"0.0"))</x:f>
        <x:v>1 : 2.5</x:v>
      </x:c>
      <x:c r="M4897" s="66" t="str">
        <x:f>IF(J4897="","Baru/Tanpa Data",IF(J4897&lt;='Catatan &amp; Sumber'!$B$14,"Sangat Ketat",IF(J4897&lt;='Catatan &amp; Sumber'!$B$15,"Ketat",IF(J4897&lt;='Catatan &amp; Sumber'!$B$16,"Sedang","Relatif Longgar"))))</x:f>
        <x:v>Relatif Longgar</x:v>
      </x:c>
      <x:c r="N4897" s="66" t="str">
        <x:v>Tidak Ada</x:v>
      </x:c>
      <x:c r="O4897" s="66" t="str">
        <x:v>Maluku</x:v>
      </x:c>
      <x:c r="P4897" s="66" t="str">
        <x:v>Kota Ambon</x:v>
      </x:c>
      <x:c r="Q4897" s="66" t="str">
        <x:v>https://snpmb.id/snbp/daya-tampung-snbp</x:v>
      </x:c>
      <x:c r="R4897" s="66" t="str">
        <x:v>https://sidatagrun-public-1076756628210.asia-southeast2.run.app/ptn_sn.php?ptn=811</x:v>
      </x:c>
    </x:row>
    <x:row r="4898">
      <x:c r="A4898" s="87" t="n">
        <x:v>4624</x:v>
      </x:c>
      <x:c r="B4898" s="66" t="n">
        <x:v>811</x:v>
      </x:c>
      <x:c r="C4898" s="66" t="str">
        <x:v>UNIVERSITAS PATTIMURA</x:v>
      </x:c>
      <x:c r="D4898" s="66" t="str">
        <x:v>PTN Akademik</x:v>
      </x:c>
      <x:c r="E4898" s="66" t="str">
        <x:v>18111043</x:v>
      </x:c>
      <x:c r="F4898" s="66" t="str">
        <x:v>EKONOMI PEMBANGUNAN</x:v>
      </x:c>
      <x:c r="G4898" s="66" t="str">
        <x:v>Sarjana</x:v>
      </x:c>
      <x:c r="H4898" s="87" t="n">
        <x:v>45</x:v>
      </x:c>
      <x:c r="I4898" s="87" t="n">
        <x:v>26</x:v>
      </x:c>
      <x:c r="J4898" s="68" t="n">
        <x:f>IFERROR(H4898/I4898,"")</x:f>
        <x:v>1.7307692307692308</x:v>
      </x:c>
      <x:c r="K4898" s="69" t="n">
        <x:f>IFERROR(I4898/H4898,"")</x:f>
        <x:v>0.5777777777777777</x:v>
      </x:c>
      <x:c r="L4898" s="66" t="str">
        <x:f>IF(K4898="","","1 : "&amp;TEXT(K4898,"0.0"))</x:f>
        <x:v>1 : 0.6</x:v>
      </x:c>
      <x:c r="M4898" s="66" t="str">
        <x:f>IF(J4898="","Baru/Tanpa Data",IF(J4898&lt;='Catatan &amp; Sumber'!$B$14,"Sangat Ketat",IF(J4898&lt;='Catatan &amp; Sumber'!$B$15,"Ketat",IF(J4898&lt;='Catatan &amp; Sumber'!$B$16,"Sedang","Relatif Longgar"))))</x:f>
        <x:v>Relatif Longgar</x:v>
      </x:c>
      <x:c r="N4898" s="66" t="str">
        <x:v>Tidak Ada</x:v>
      </x:c>
      <x:c r="O4898" s="66" t="str">
        <x:v>Maluku</x:v>
      </x:c>
      <x:c r="P4898" s="66" t="str">
        <x:v>Kota Ambon</x:v>
      </x:c>
      <x:c r="Q4898" s="66" t="str">
        <x:v>https://snpmb.id/snbp/daya-tampung-snbp</x:v>
      </x:c>
      <x:c r="R4898" s="66" t="str">
        <x:v>https://sidatagrun-public-1076756628210.asia-southeast2.run.app/ptn_sn.php?ptn=811</x:v>
      </x:c>
    </x:row>
    <x:row r="4899">
      <x:c r="A4899" s="87" t="n">
        <x:v>3560</x:v>
      </x:c>
      <x:c r="B4899" s="66" t="n">
        <x:v>811</x:v>
      </x:c>
      <x:c r="C4899" s="66" t="str">
        <x:v>UNIVERSITAS PATTIMURA</x:v>
      </x:c>
      <x:c r="D4899" s="66" t="str">
        <x:v>PTN Akademik</x:v>
      </x:c>
      <x:c r="E4899" s="66" t="str">
        <x:v>18111044</x:v>
      </x:c>
      <x:c r="F4899" s="66" t="str">
        <x:v>AKUNTANSI</x:v>
      </x:c>
      <x:c r="G4899" s="66" t="str">
        <x:v>Sarjana</x:v>
      </x:c>
      <x:c r="H4899" s="87" t="n">
        <x:v>120</x:v>
      </x:c>
      <x:c r="I4899" s="87" t="n">
        <x:v>264</x:v>
      </x:c>
      <x:c r="J4899" s="68" t="n">
        <x:f>IFERROR(H4899/I4899,"")</x:f>
        <x:v>0.45454545454545453</x:v>
      </x:c>
      <x:c r="K4899" s="69" t="n">
        <x:f>IFERROR(I4899/H4899,"")</x:f>
        <x:v>2.2</x:v>
      </x:c>
      <x:c r="L4899" s="66" t="str">
        <x:f>IF(K4899="","","1 : "&amp;TEXT(K4899,"0.0"))</x:f>
        <x:v>1 : 2.2</x:v>
      </x:c>
      <x:c r="M4899" s="66" t="str">
        <x:f>IF(J4899="","Baru/Tanpa Data",IF(J4899&lt;='Catatan &amp; Sumber'!$B$14,"Sangat Ketat",IF(J4899&lt;='Catatan &amp; Sumber'!$B$15,"Ketat",IF(J4899&lt;='Catatan &amp; Sumber'!$B$16,"Sedang","Relatif Longgar"))))</x:f>
        <x:v>Relatif Longgar</x:v>
      </x:c>
      <x:c r="N4899" s="66" t="str">
        <x:v>Tidak Ada</x:v>
      </x:c>
      <x:c r="O4899" s="66" t="str">
        <x:v>Maluku</x:v>
      </x:c>
      <x:c r="P4899" s="66" t="str">
        <x:v>Kota Ambon</x:v>
      </x:c>
      <x:c r="Q4899" s="66" t="str">
        <x:v>https://snpmb.id/snbp/daya-tampung-snbp</x:v>
      </x:c>
      <x:c r="R4899" s="66" t="str">
        <x:v>https://sidatagrun-public-1076756628210.asia-southeast2.run.app/ptn_sn.php?ptn=811</x:v>
      </x:c>
    </x:row>
    <x:row r="4900">
      <x:c r="A4900" s="87" t="n">
        <x:v>3827</x:v>
      </x:c>
      <x:c r="B4900" s="66" t="n">
        <x:v>811</x:v>
      </x:c>
      <x:c r="C4900" s="66" t="str">
        <x:v>UNIVERSITAS PATTIMURA</x:v>
      </x:c>
      <x:c r="D4900" s="66" t="str">
        <x:v>PTN Akademik</x:v>
      </x:c>
      <x:c r="E4900" s="66" t="str">
        <x:v>18111045</x:v>
      </x:c>
      <x:c r="F4900" s="66" t="str">
        <x:v>PENDIDIKAN SEJARAH</x:v>
      </x:c>
      <x:c r="G4900" s="66" t="str">
        <x:v>Sarjana</x:v>
      </x:c>
      <x:c r="H4900" s="87" t="n">
        <x:v>37</x:v>
      </x:c>
      <x:c r="I4900" s="87" t="n">
        <x:v>63</x:v>
      </x:c>
      <x:c r="J4900" s="68" t="n">
        <x:f>IFERROR(H4900/I4900,"")</x:f>
        <x:v>0.5873015873015873</x:v>
      </x:c>
      <x:c r="K4900" s="69" t="n">
        <x:f>IFERROR(I4900/H4900,"")</x:f>
        <x:v>1.7027027027027026</x:v>
      </x:c>
      <x:c r="L4900" s="66" t="str">
        <x:f>IF(K4900="","","1 : "&amp;TEXT(K4900,"0.0"))</x:f>
        <x:v>1 : 1.7</x:v>
      </x:c>
      <x:c r="M4900" s="66" t="str">
        <x:f>IF(J4900="","Baru/Tanpa Data",IF(J4900&lt;='Catatan &amp; Sumber'!$B$14,"Sangat Ketat",IF(J4900&lt;='Catatan &amp; Sumber'!$B$15,"Ketat",IF(J4900&lt;='Catatan &amp; Sumber'!$B$16,"Sedang","Relatif Longgar"))))</x:f>
        <x:v>Relatif Longgar</x:v>
      </x:c>
      <x:c r="N4900" s="66" t="str">
        <x:v>Tidak Ada</x:v>
      </x:c>
      <x:c r="O4900" s="66" t="str">
        <x:v>Maluku</x:v>
      </x:c>
      <x:c r="P4900" s="66" t="str">
        <x:v>Kota Ambon</x:v>
      </x:c>
      <x:c r="Q4900" s="66" t="str">
        <x:v>https://snpmb.id/snbp/daya-tampung-snbp</x:v>
      </x:c>
      <x:c r="R4900" s="66" t="str">
        <x:v>https://sidatagrun-public-1076756628210.asia-southeast2.run.app/ptn_sn.php?ptn=811</x:v>
      </x:c>
    </x:row>
    <x:row r="4901">
      <x:c r="A4901" s="87" t="n">
        <x:v>4221</x:v>
      </x:c>
      <x:c r="B4901" s="66" t="n">
        <x:v>811</x:v>
      </x:c>
      <x:c r="C4901" s="66" t="str">
        <x:v>UNIVERSITAS PATTIMURA</x:v>
      </x:c>
      <x:c r="D4901" s="66" t="str">
        <x:v>PTN Akademik</x:v>
      </x:c>
      <x:c r="E4901" s="66" t="str">
        <x:v>18111046</x:v>
      </x:c>
      <x:c r="F4901" s="66" t="str">
        <x:v>PENDIDIKAN GEOGRAFI</x:v>
      </x:c>
      <x:c r="G4901" s="66" t="str">
        <x:v>Sarjana</x:v>
      </x:c>
      <x:c r="H4901" s="87" t="n">
        <x:v>36</x:v>
      </x:c>
      <x:c r="I4901" s="87" t="n">
        <x:v>41</x:v>
      </x:c>
      <x:c r="J4901" s="68" t="n">
        <x:f>IFERROR(H4901/I4901,"")</x:f>
        <x:v>0.8780487804878049</x:v>
      </x:c>
      <x:c r="K4901" s="69" t="n">
        <x:f>IFERROR(I4901/H4901,"")</x:f>
        <x:v>1.1388888888888888</x:v>
      </x:c>
      <x:c r="L4901" s="66" t="str">
        <x:f>IF(K4901="","","1 : "&amp;TEXT(K4901,"0.0"))</x:f>
        <x:v>1 : 1.1</x:v>
      </x:c>
      <x:c r="M4901" s="66" t="str">
        <x:f>IF(J4901="","Baru/Tanpa Data",IF(J4901&lt;='Catatan &amp; Sumber'!$B$14,"Sangat Ketat",IF(J4901&lt;='Catatan &amp; Sumber'!$B$15,"Ketat",IF(J4901&lt;='Catatan &amp; Sumber'!$B$16,"Sedang","Relatif Longgar"))))</x:f>
        <x:v>Relatif Longgar</x:v>
      </x:c>
      <x:c r="N4901" s="66" t="str">
        <x:v>Tidak Ada</x:v>
      </x:c>
      <x:c r="O4901" s="66" t="str">
        <x:v>Maluku</x:v>
      </x:c>
      <x:c r="P4901" s="66" t="str">
        <x:v>Kota Ambon</x:v>
      </x:c>
      <x:c r="Q4901" s="66" t="str">
        <x:v>https://snpmb.id/snbp/daya-tampung-snbp</x:v>
      </x:c>
      <x:c r="R4901" s="66" t="str">
        <x:v>https://sidatagrun-public-1076756628210.asia-southeast2.run.app/ptn_sn.php?ptn=811</x:v>
      </x:c>
    </x:row>
    <x:row r="4902">
      <x:c r="A4902" s="87" t="n">
        <x:v>4215</x:v>
      </x:c>
      <x:c r="B4902" s="66" t="n">
        <x:v>811</x:v>
      </x:c>
      <x:c r="C4902" s="66" t="str">
        <x:v>UNIVERSITAS PATTIMURA</x:v>
      </x:c>
      <x:c r="D4902" s="66" t="str">
        <x:v>PTN Akademik</x:v>
      </x:c>
      <x:c r="E4902" s="66" t="str">
        <x:v>18111047</x:v>
      </x:c>
      <x:c r="F4902" s="66" t="str">
        <x:v>PENDIDIKAN EKONOMI</x:v>
      </x:c>
      <x:c r="G4902" s="66" t="str">
        <x:v>Sarjana</x:v>
      </x:c>
      <x:c r="H4902" s="87" t="n">
        <x:v>28</x:v>
      </x:c>
      <x:c r="I4902" s="87" t="n">
        <x:v>32</x:v>
      </x:c>
      <x:c r="J4902" s="68" t="n">
        <x:f>IFERROR(H4902/I4902,"")</x:f>
        <x:v>0.875</x:v>
      </x:c>
      <x:c r="K4902" s="69" t="n">
        <x:f>IFERROR(I4902/H4902,"")</x:f>
        <x:v>1.1428571428571428</x:v>
      </x:c>
      <x:c r="L4902" s="66" t="str">
        <x:f>IF(K4902="","","1 : "&amp;TEXT(K4902,"0.0"))</x:f>
        <x:v>1 : 1.1</x:v>
      </x:c>
      <x:c r="M4902" s="66" t="str">
        <x:f>IF(J4902="","Baru/Tanpa Data",IF(J4902&lt;='Catatan &amp; Sumber'!$B$14,"Sangat Ketat",IF(J4902&lt;='Catatan &amp; Sumber'!$B$15,"Ketat",IF(J4902&lt;='Catatan &amp; Sumber'!$B$16,"Sedang","Relatif Longgar"))))</x:f>
        <x:v>Relatif Longgar</x:v>
      </x:c>
      <x:c r="N4902" s="66" t="str">
        <x:v>Tidak Ada</x:v>
      </x:c>
      <x:c r="O4902" s="66" t="str">
        <x:v>Maluku</x:v>
      </x:c>
      <x:c r="P4902" s="66" t="str">
        <x:v>Kota Ambon</x:v>
      </x:c>
      <x:c r="Q4902" s="66" t="str">
        <x:v>https://snpmb.id/snbp/daya-tampung-snbp</x:v>
      </x:c>
      <x:c r="R4902" s="66" t="str">
        <x:v>https://sidatagrun-public-1076756628210.asia-southeast2.run.app/ptn_sn.php?ptn=811</x:v>
      </x:c>
    </x:row>
    <x:row r="4903">
      <x:c r="A4903" s="87" t="n">
        <x:v>3847</x:v>
      </x:c>
      <x:c r="B4903" s="66" t="n">
        <x:v>811</x:v>
      </x:c>
      <x:c r="C4903" s="66" t="str">
        <x:v>UNIVERSITAS PATTIMURA</x:v>
      </x:c>
      <x:c r="D4903" s="66" t="str">
        <x:v>PTN Akademik</x:v>
      </x:c>
      <x:c r="E4903" s="66" t="str">
        <x:v>18111048</x:v>
      </x:c>
      <x:c r="F4903" s="66" t="str">
        <x:v>PPKN</x:v>
      </x:c>
      <x:c r="G4903" s="66" t="str">
        <x:v>Sarjana</x:v>
      </x:c>
      <x:c r="H4903" s="87" t="n">
        <x:v>30</x:v>
      </x:c>
      <x:c r="I4903" s="87" t="n">
        <x:v>50</x:v>
      </x:c>
      <x:c r="J4903" s="68" t="n">
        <x:f>IFERROR(H4903/I4903,"")</x:f>
        <x:v>0.6</x:v>
      </x:c>
      <x:c r="K4903" s="69" t="n">
        <x:f>IFERROR(I4903/H4903,"")</x:f>
        <x:v>1.6666666666666667</x:v>
      </x:c>
      <x:c r="L4903" s="66" t="str">
        <x:f>IF(K4903="","","1 : "&amp;TEXT(K4903,"0.0"))</x:f>
        <x:v>1 : 1.7</x:v>
      </x:c>
      <x:c r="M4903" s="66" t="str">
        <x:f>IF(J4903="","Baru/Tanpa Data",IF(J4903&lt;='Catatan &amp; Sumber'!$B$14,"Sangat Ketat",IF(J4903&lt;='Catatan &amp; Sumber'!$B$15,"Ketat",IF(J4903&lt;='Catatan &amp; Sumber'!$B$16,"Sedang","Relatif Longgar"))))</x:f>
        <x:v>Relatif Longgar</x:v>
      </x:c>
      <x:c r="N4903" s="66" t="str">
        <x:v>Tidak Ada</x:v>
      </x:c>
      <x:c r="O4903" s="66" t="str">
        <x:v>Maluku</x:v>
      </x:c>
      <x:c r="P4903" s="66" t="str">
        <x:v>Kota Ambon</x:v>
      </x:c>
      <x:c r="Q4903" s="66" t="str">
        <x:v>https://snpmb.id/snbp/daya-tampung-snbp</x:v>
      </x:c>
      <x:c r="R4903" s="66" t="str">
        <x:v>https://sidatagrun-public-1076756628210.asia-southeast2.run.app/ptn_sn.php?ptn=811</x:v>
      </x:c>
    </x:row>
    <x:row r="4904">
      <x:c r="A4904" s="87" t="n">
        <x:v>3600</x:v>
      </x:c>
      <x:c r="B4904" s="66" t="n">
        <x:v>811</x:v>
      </x:c>
      <x:c r="C4904" s="66" t="str">
        <x:v>UNIVERSITAS PATTIMURA</x:v>
      </x:c>
      <x:c r="D4904" s="66" t="str">
        <x:v>PTN Akademik</x:v>
      </x:c>
      <x:c r="E4904" s="66" t="str">
        <x:v>18111049</x:v>
      </x:c>
      <x:c r="F4904" s="66" t="str">
        <x:v>PEND. BAHASA INDONESIA</x:v>
      </x:c>
      <x:c r="G4904" s="66" t="str">
        <x:v>Sarjana</x:v>
      </x:c>
      <x:c r="H4904" s="87" t="n">
        <x:v>32</x:v>
      </x:c>
      <x:c r="I4904" s="87" t="n">
        <x:v>68</x:v>
      </x:c>
      <x:c r="J4904" s="68" t="n">
        <x:f>IFERROR(H4904/I4904,"")</x:f>
        <x:v>0.47058823529411764</x:v>
      </x:c>
      <x:c r="K4904" s="69" t="n">
        <x:f>IFERROR(I4904/H4904,"")</x:f>
        <x:v>2.125</x:v>
      </x:c>
      <x:c r="L4904" s="66" t="str">
        <x:f>IF(K4904="","","1 : "&amp;TEXT(K4904,"0.0"))</x:f>
        <x:v>1 : 2.1</x:v>
      </x:c>
      <x:c r="M4904" s="66" t="str">
        <x:f>IF(J4904="","Baru/Tanpa Data",IF(J4904&lt;='Catatan &amp; Sumber'!$B$14,"Sangat Ketat",IF(J4904&lt;='Catatan &amp; Sumber'!$B$15,"Ketat",IF(J4904&lt;='Catatan &amp; Sumber'!$B$16,"Sedang","Relatif Longgar"))))</x:f>
        <x:v>Relatif Longgar</x:v>
      </x:c>
      <x:c r="N4904" s="66" t="str">
        <x:v>Tidak Ada</x:v>
      </x:c>
      <x:c r="O4904" s="66" t="str">
        <x:v>Maluku</x:v>
      </x:c>
      <x:c r="P4904" s="66" t="str">
        <x:v>Kota Ambon</x:v>
      </x:c>
      <x:c r="Q4904" s="66" t="str">
        <x:v>https://snpmb.id/snbp/daya-tampung-snbp</x:v>
      </x:c>
      <x:c r="R4904" s="66" t="str">
        <x:v>https://sidatagrun-public-1076756628210.asia-southeast2.run.app/ptn_sn.php?ptn=811</x:v>
      </x:c>
    </x:row>
    <x:row r="4905">
      <x:c r="A4905" s="87" t="n">
        <x:v>3490</x:v>
      </x:c>
      <x:c r="B4905" s="66" t="n">
        <x:v>811</x:v>
      </x:c>
      <x:c r="C4905" s="66" t="str">
        <x:v>UNIVERSITAS PATTIMURA</x:v>
      </x:c>
      <x:c r="D4905" s="66" t="str">
        <x:v>PTN Akademik</x:v>
      </x:c>
      <x:c r="E4905" s="66" t="str">
        <x:v>18111050</x:v>
      </x:c>
      <x:c r="F4905" s="66" t="str">
        <x:v>PEND. BAHASA INGGRIS</x:v>
      </x:c>
      <x:c r="G4905" s="66" t="str">
        <x:v>Sarjana</x:v>
      </x:c>
      <x:c r="H4905" s="87" t="n">
        <x:v>40</x:v>
      </x:c>
      <x:c r="I4905" s="87" t="n">
        <x:v>93</x:v>
      </x:c>
      <x:c r="J4905" s="68" t="n">
        <x:f>IFERROR(H4905/I4905,"")</x:f>
        <x:v>0.43010752688172044</x:v>
      </x:c>
      <x:c r="K4905" s="69" t="n">
        <x:f>IFERROR(I4905/H4905,"")</x:f>
        <x:v>2.325</x:v>
      </x:c>
      <x:c r="L4905" s="66" t="str">
        <x:f>IF(K4905="","","1 : "&amp;TEXT(K4905,"0.0"))</x:f>
        <x:v>1 : 2.3</x:v>
      </x:c>
      <x:c r="M4905" s="66" t="str">
        <x:f>IF(J4905="","Baru/Tanpa Data",IF(J4905&lt;='Catatan &amp; Sumber'!$B$14,"Sangat Ketat",IF(J4905&lt;='Catatan &amp; Sumber'!$B$15,"Ketat",IF(J4905&lt;='Catatan &amp; Sumber'!$B$16,"Sedang","Relatif Longgar"))))</x:f>
        <x:v>Relatif Longgar</x:v>
      </x:c>
      <x:c r="N4905" s="66" t="str">
        <x:v>Tidak Ada</x:v>
      </x:c>
      <x:c r="O4905" s="66" t="str">
        <x:v>Maluku</x:v>
      </x:c>
      <x:c r="P4905" s="66" t="str">
        <x:v>Kota Ambon</x:v>
      </x:c>
      <x:c r="Q4905" s="66" t="str">
        <x:v>https://snpmb.id/snbp/daya-tampung-snbp</x:v>
      </x:c>
      <x:c r="R4905" s="66" t="str">
        <x:v>https://sidatagrun-public-1076756628210.asia-southeast2.run.app/ptn_sn.php?ptn=811</x:v>
      </x:c>
    </x:row>
    <x:row r="4906">
      <x:c r="A4906" s="87" t="n">
        <x:v>3847</x:v>
      </x:c>
      <x:c r="B4906" s="66" t="n">
        <x:v>811</x:v>
      </x:c>
      <x:c r="C4906" s="66" t="str">
        <x:v>UNIVERSITAS PATTIMURA</x:v>
      </x:c>
      <x:c r="D4906" s="66" t="str">
        <x:v>PTN Akademik</x:v>
      </x:c>
      <x:c r="E4906" s="66" t="str">
        <x:v>18111051</x:v>
      </x:c>
      <x:c r="F4906" s="66" t="str">
        <x:v>PEND. BAHASA JERMAN</x:v>
      </x:c>
      <x:c r="G4906" s="66" t="str">
        <x:v>Sarjana</x:v>
      </x:c>
      <x:c r="H4906" s="87" t="n">
        <x:v>9</x:v>
      </x:c>
      <x:c r="I4906" s="87" t="n">
        <x:v>15</x:v>
      </x:c>
      <x:c r="J4906" s="68" t="n">
        <x:f>IFERROR(H4906/I4906,"")</x:f>
        <x:v>0.6</x:v>
      </x:c>
      <x:c r="K4906" s="69" t="n">
        <x:f>IFERROR(I4906/H4906,"")</x:f>
        <x:v>1.6666666666666667</x:v>
      </x:c>
      <x:c r="L4906" s="66" t="str">
        <x:f>IF(K4906="","","1 : "&amp;TEXT(K4906,"0.0"))</x:f>
        <x:v>1 : 1.7</x:v>
      </x:c>
      <x:c r="M4906" s="66" t="str">
        <x:f>IF(J4906="","Baru/Tanpa Data",IF(J4906&lt;='Catatan &amp; Sumber'!$B$14,"Sangat Ketat",IF(J4906&lt;='Catatan &amp; Sumber'!$B$15,"Ketat",IF(J4906&lt;='Catatan &amp; Sumber'!$B$16,"Sedang","Relatif Longgar"))))</x:f>
        <x:v>Relatif Longgar</x:v>
      </x:c>
      <x:c r="N4906" s="66" t="str">
        <x:v>Tidak Ada</x:v>
      </x:c>
      <x:c r="O4906" s="66" t="str">
        <x:v>Maluku</x:v>
      </x:c>
      <x:c r="P4906" s="66" t="str">
        <x:v>Kota Ambon</x:v>
      </x:c>
      <x:c r="Q4906" s="66" t="str">
        <x:v>https://snpmb.id/snbp/daya-tampung-snbp</x:v>
      </x:c>
      <x:c r="R4906" s="66" t="str">
        <x:v>https://sidatagrun-public-1076756628210.asia-southeast2.run.app/ptn_sn.php?ptn=811</x:v>
      </x:c>
    </x:row>
    <x:row r="4907">
      <x:c r="A4907" s="87" t="n">
        <x:v>4214</x:v>
      </x:c>
      <x:c r="B4907" s="66" t="n">
        <x:v>811</x:v>
      </x:c>
      <x:c r="C4907" s="66" t="str">
        <x:v>UNIVERSITAS PATTIMURA</x:v>
      </x:c>
      <x:c r="D4907" s="66" t="str">
        <x:v>PTN Akademik</x:v>
      </x:c>
      <x:c r="E4907" s="66" t="str">
        <x:v>18111052</x:v>
      </x:c>
      <x:c r="F4907" s="66" t="str">
        <x:v>PENJASKESREK</x:v>
      </x:c>
      <x:c r="G4907" s="66" t="str">
        <x:v>Sarjana</x:v>
      </x:c>
      <x:c r="H4907" s="87" t="n">
        <x:v>34</x:v>
      </x:c>
      <x:c r="I4907" s="87" t="n">
        <x:v>39</x:v>
      </x:c>
      <x:c r="J4907" s="68" t="n">
        <x:f>IFERROR(H4907/I4907,"")</x:f>
        <x:v>0.8717948717948718</x:v>
      </x:c>
      <x:c r="K4907" s="69" t="n">
        <x:f>IFERROR(I4907/H4907,"")</x:f>
        <x:v>1.1470588235294117</x:v>
      </x:c>
      <x:c r="L4907" s="66" t="str">
        <x:f>IF(K4907="","","1 : "&amp;TEXT(K4907,"0.0"))</x:f>
        <x:v>1 : 1.1</x:v>
      </x:c>
      <x:c r="M4907" s="66" t="str">
        <x:f>IF(J4907="","Baru/Tanpa Data",IF(J4907&lt;='Catatan &amp; Sumber'!$B$14,"Sangat Ketat",IF(J4907&lt;='Catatan &amp; Sumber'!$B$15,"Ketat",IF(J4907&lt;='Catatan &amp; Sumber'!$B$16,"Sedang","Relatif Longgar"))))</x:f>
        <x:v>Relatif Longgar</x:v>
      </x:c>
      <x:c r="N4907" s="66" t="str">
        <x:v>Olahraga</x:v>
      </x:c>
      <x:c r="O4907" s="66" t="str">
        <x:v>Maluku</x:v>
      </x:c>
      <x:c r="P4907" s="66" t="str">
        <x:v>Kota Ambon</x:v>
      </x:c>
      <x:c r="Q4907" s="66" t="str">
        <x:v>https://snpmb.id/snbp/daya-tampung-snbp</x:v>
      </x:c>
      <x:c r="R4907" s="66" t="str">
        <x:v>https://sidatagrun-public-1076756628210.asia-southeast2.run.app/ptn_sn.php?ptn=811</x:v>
      </x:c>
    </x:row>
    <x:row r="4908">
      <x:c r="A4908" s="87" t="n">
        <x:v>2471</x:v>
      </x:c>
      <x:c r="B4908" s="66" t="n">
        <x:v>811</x:v>
      </x:c>
      <x:c r="C4908" s="66" t="str">
        <x:v>UNIVERSITAS PATTIMURA</x:v>
      </x:c>
      <x:c r="D4908" s="66" t="str">
        <x:v>PTN Akademik</x:v>
      </x:c>
      <x:c r="E4908" s="66" t="str">
        <x:v>18111053</x:v>
      </x:c>
      <x:c r="F4908" s="66" t="str">
        <x:v>BIMBINGAN KONSELING</x:v>
      </x:c>
      <x:c r="G4908" s="66" t="str">
        <x:v>Sarjana</x:v>
      </x:c>
      <x:c r="H4908" s="87" t="n">
        <x:v>22</x:v>
      </x:c>
      <x:c r="I4908" s="87" t="n">
        <x:v>107</x:v>
      </x:c>
      <x:c r="J4908" s="68" t="n">
        <x:f>IFERROR(H4908/I4908,"")</x:f>
        <x:v>0.205607476635514</x:v>
      </x:c>
      <x:c r="K4908" s="69" t="n">
        <x:f>IFERROR(I4908/H4908,"")</x:f>
        <x:v>4.863636363636363</x:v>
      </x:c>
      <x:c r="L4908" s="66" t="str">
        <x:f>IF(K4908="","","1 : "&amp;TEXT(K4908,"0.0"))</x:f>
        <x:v>1 : 4.9</x:v>
      </x:c>
      <x:c r="M4908" s="66" t="str">
        <x:f>IF(J4908="","Baru/Tanpa Data",IF(J4908&lt;='Catatan &amp; Sumber'!$B$14,"Sangat Ketat",IF(J4908&lt;='Catatan &amp; Sumber'!$B$15,"Ketat",IF(J4908&lt;='Catatan &amp; Sumber'!$B$16,"Sedang","Relatif Longgar"))))</x:f>
        <x:v>Relatif Longgar</x:v>
      </x:c>
      <x:c r="N4908" s="66" t="str">
        <x:v>Tidak Ada</x:v>
      </x:c>
      <x:c r="O4908" s="66" t="str">
        <x:v>Maluku</x:v>
      </x:c>
      <x:c r="P4908" s="66" t="str">
        <x:v>Kota Ambon</x:v>
      </x:c>
      <x:c r="Q4908" s="66" t="str">
        <x:v>https://snpmb.id/snbp/daya-tampung-snbp</x:v>
      </x:c>
      <x:c r="R4908" s="66" t="str">
        <x:v>https://sidatagrun-public-1076756628210.asia-southeast2.run.app/ptn_sn.php?ptn=811</x:v>
      </x:c>
    </x:row>
    <x:row r="4909">
      <x:c r="A4909" s="87" t="n">
        <x:v>4865</x:v>
      </x:c>
      <x:c r="B4909" s="66" t="n">
        <x:v>811</x:v>
      </x:c>
      <x:c r="C4909" s="66" t="str">
        <x:v>UNIVERSITAS PATTIMURA</x:v>
      </x:c>
      <x:c r="D4909" s="66" t="str">
        <x:v>PTN Akademik</x:v>
      </x:c>
      <x:c r="E4909" s="66" t="str">
        <x:v>18111054</x:v>
      </x:c>
      <x:c r="F4909" s="66" t="str">
        <x:v>PEND. LUAR SEKOLAH</x:v>
      </x:c>
      <x:c r="G4909" s="66" t="str">
        <x:v>Sarjana</x:v>
      </x:c>
      <x:c r="H4909" s="87" t="n">
        <x:v>19</x:v>
      </x:c>
      <x:c r="I4909" s="87" t="n">
        <x:v>3</x:v>
      </x:c>
      <x:c r="J4909" s="68" t="n">
        <x:f>IFERROR(H4909/I4909,"")</x:f>
        <x:v>6.333333333333333</x:v>
      </x:c>
      <x:c r="K4909" s="69" t="n">
        <x:f>IFERROR(I4909/H4909,"")</x:f>
        <x:v>0.15789473684210525</x:v>
      </x:c>
      <x:c r="L4909" s="66" t="str">
        <x:f>IF(K4909="","","1 : "&amp;TEXT(K4909,"0.0"))</x:f>
        <x:v>1 : 0.2</x:v>
      </x:c>
      <x:c r="M4909" s="66" t="str">
        <x:f>IF(J4909="","Baru/Tanpa Data",IF(J4909&lt;='Catatan &amp; Sumber'!$B$14,"Sangat Ketat",IF(J4909&lt;='Catatan &amp; Sumber'!$B$15,"Ketat",IF(J4909&lt;='Catatan &amp; Sumber'!$B$16,"Sedang","Relatif Longgar"))))</x:f>
        <x:v>Relatif Longgar</x:v>
      </x:c>
      <x:c r="N4909" s="66" t="str">
        <x:v>Tidak Ada</x:v>
      </x:c>
      <x:c r="O4909" s="66" t="str">
        <x:v>Maluku</x:v>
      </x:c>
      <x:c r="P4909" s="66" t="str">
        <x:v>Kota Ambon</x:v>
      </x:c>
      <x:c r="Q4909" s="66" t="str">
        <x:v>https://snpmb.id/snbp/daya-tampung-snbp</x:v>
      </x:c>
      <x:c r="R4909" s="66" t="str">
        <x:v>https://sidatagrun-public-1076756628210.asia-southeast2.run.app/ptn_sn.php?ptn=811</x:v>
      </x:c>
    </x:row>
    <x:row r="4910">
      <x:c r="A4910" s="87" t="n">
        <x:v>3567</x:v>
      </x:c>
      <x:c r="B4910" s="66" t="n">
        <x:v>811</x:v>
      </x:c>
      <x:c r="C4910" s="66" t="str">
        <x:v>UNIVERSITAS PATTIMURA</x:v>
      </x:c>
      <x:c r="D4910" s="66" t="str">
        <x:v>PTN Akademik</x:v>
      </x:c>
      <x:c r="E4910" s="66" t="str">
        <x:v>18111055</x:v>
      </x:c>
      <x:c r="F4910" s="66" t="str">
        <x:v>PGSD S1</x:v>
      </x:c>
      <x:c r="G4910" s="66" t="str">
        <x:v>Sarjana</x:v>
      </x:c>
      <x:c r="H4910" s="87" t="n">
        <x:v>67</x:v>
      </x:c>
      <x:c r="I4910" s="87" t="n">
        <x:v>147</x:v>
      </x:c>
      <x:c r="J4910" s="68" t="n">
        <x:f>IFERROR(H4910/I4910,"")</x:f>
        <x:v>0.4557823129251701</x:v>
      </x:c>
      <x:c r="K4910" s="69" t="n">
        <x:f>IFERROR(I4910/H4910,"")</x:f>
        <x:v>2.1940298507462686</x:v>
      </x:c>
      <x:c r="L4910" s="66" t="str">
        <x:f>IF(K4910="","","1 : "&amp;TEXT(K4910,"0.0"))</x:f>
        <x:v>1 : 2.2</x:v>
      </x:c>
      <x:c r="M4910" s="66" t="str">
        <x:f>IF(J4910="","Baru/Tanpa Data",IF(J4910&lt;='Catatan &amp; Sumber'!$B$14,"Sangat Ketat",IF(J4910&lt;='Catatan &amp; Sumber'!$B$15,"Ketat",IF(J4910&lt;='Catatan &amp; Sumber'!$B$16,"Sedang","Relatif Longgar"))))</x:f>
        <x:v>Relatif Longgar</x:v>
      </x:c>
      <x:c r="N4910" s="66" t="str">
        <x:v>Tidak Ada</x:v>
      </x:c>
      <x:c r="O4910" s="66" t="str">
        <x:v>Maluku</x:v>
      </x:c>
      <x:c r="P4910" s="66" t="str">
        <x:v>Kota Ambon</x:v>
      </x:c>
      <x:c r="Q4910" s="66" t="str">
        <x:v>https://snpmb.id/snbp/daya-tampung-snbp</x:v>
      </x:c>
      <x:c r="R4910" s="66" t="str">
        <x:v>https://sidatagrun-public-1076756628210.asia-southeast2.run.app/ptn_sn.php?ptn=811</x:v>
      </x:c>
    </x:row>
    <x:row r="4911">
      <x:c r="A4911" s="87" t="n">
        <x:v>3465</x:v>
      </x:c>
      <x:c r="B4911" s="66" t="n">
        <x:v>811</x:v>
      </x:c>
      <x:c r="C4911" s="66" t="str">
        <x:v>UNIVERSITAS PATTIMURA</x:v>
      </x:c>
      <x:c r="D4911" s="66" t="str">
        <x:v>PTN Akademik</x:v>
      </x:c>
      <x:c r="E4911" s="66" t="str">
        <x:v>18111056</x:v>
      </x:c>
      <x:c r="F4911" s="66" t="str">
        <x:v>ILMU KOMUNIKASI</x:v>
      </x:c>
      <x:c r="G4911" s="66" t="str">
        <x:v>Sarjana</x:v>
      </x:c>
      <x:c r="H4911" s="87" t="n">
        <x:v>60</x:v>
      </x:c>
      <x:c r="I4911" s="87" t="n">
        <x:v>142</x:v>
      </x:c>
      <x:c r="J4911" s="68" t="n">
        <x:f>IFERROR(H4911/I4911,"")</x:f>
        <x:v>0.4225352112676056</x:v>
      </x:c>
      <x:c r="K4911" s="69" t="n">
        <x:f>IFERROR(I4911/H4911,"")</x:f>
        <x:v>2.3666666666666667</x:v>
      </x:c>
      <x:c r="L4911" s="66" t="str">
        <x:f>IF(K4911="","","1 : "&amp;TEXT(K4911,"0.0"))</x:f>
        <x:v>1 : 2.4</x:v>
      </x:c>
      <x:c r="M4911" s="66" t="str">
        <x:f>IF(J4911="","Baru/Tanpa Data",IF(J4911&lt;='Catatan &amp; Sumber'!$B$14,"Sangat Ketat",IF(J4911&lt;='Catatan &amp; Sumber'!$B$15,"Ketat",IF(J4911&lt;='Catatan &amp; Sumber'!$B$16,"Sedang","Relatif Longgar"))))</x:f>
        <x:v>Relatif Longgar</x:v>
      </x:c>
      <x:c r="N4911" s="66" t="str">
        <x:v>Tidak Ada</x:v>
      </x:c>
      <x:c r="O4911" s="66" t="str">
        <x:v>Maluku</x:v>
      </x:c>
      <x:c r="P4911" s="66" t="str">
        <x:v>Kota Ambon</x:v>
      </x:c>
      <x:c r="Q4911" s="66" t="str">
        <x:v>https://snpmb.id/snbp/daya-tampung-snbp</x:v>
      </x:c>
      <x:c r="R4911" s="66" t="str">
        <x:v>https://sidatagrun-public-1076756628210.asia-southeast2.run.app/ptn_sn.php?ptn=811</x:v>
      </x:c>
    </x:row>
    <x:row r="4912">
      <x:c r="A4912" s="87" t="n">
        <x:v>4480</x:v>
      </x:c>
      <x:c r="B4912" s="66" t="n">
        <x:v>811</x:v>
      </x:c>
      <x:c r="C4912" s="66" t="str">
        <x:v>UNIVERSITAS PATTIMURA</x:v>
      </x:c>
      <x:c r="D4912" s="66" t="str">
        <x:v>PTN Akademik</x:v>
      </x:c>
      <x:c r="E4912" s="66" t="str">
        <x:v>18111057</x:v>
      </x:c>
      <x:c r="F4912" s="66" t="str">
        <x:v>PENYULUHAN PERTANIAN</x:v>
      </x:c>
      <x:c r="G4912" s="66" t="str">
        <x:v>Sarjana</x:v>
      </x:c>
      <x:c r="H4912" s="87" t="n">
        <x:v>9</x:v>
      </x:c>
      <x:c r="I4912" s="87" t="n">
        <x:v>7</x:v>
      </x:c>
      <x:c r="J4912" s="68" t="n">
        <x:f>IFERROR(H4912/I4912,"")</x:f>
        <x:v>1.2857142857142858</x:v>
      </x:c>
      <x:c r="K4912" s="69" t="n">
        <x:f>IFERROR(I4912/H4912,"")</x:f>
        <x:v>0.7777777777777778</x:v>
      </x:c>
      <x:c r="L4912" s="66" t="str">
        <x:f>IF(K4912="","","1 : "&amp;TEXT(K4912,"0.0"))</x:f>
        <x:v>1 : 0.8</x:v>
      </x:c>
      <x:c r="M4912" s="66" t="str">
        <x:f>IF(J4912="","Baru/Tanpa Data",IF(J4912&lt;='Catatan &amp; Sumber'!$B$14,"Sangat Ketat",IF(J4912&lt;='Catatan &amp; Sumber'!$B$15,"Ketat",IF(J4912&lt;='Catatan &amp; Sumber'!$B$16,"Sedang","Relatif Longgar"))))</x:f>
        <x:v>Relatif Longgar</x:v>
      </x:c>
      <x:c r="N4912" s="66" t="str">
        <x:v>Tidak Ada</x:v>
      </x:c>
      <x:c r="O4912" s="66" t="str">
        <x:v>Maluku</x:v>
      </x:c>
      <x:c r="P4912" s="66" t="str">
        <x:v>Kota Ambon</x:v>
      </x:c>
      <x:c r="Q4912" s="66" t="str">
        <x:v>https://snpmb.id/snbp/daya-tampung-snbp</x:v>
      </x:c>
      <x:c r="R4912" s="66" t="str">
        <x:v>https://sidatagrun-public-1076756628210.asia-southeast2.run.app/ptn_sn.php?ptn=811</x:v>
      </x:c>
    </x:row>
    <x:row r="4913">
      <x:c r="A4913" s="87"/>
      <x:c r="B4913" s="66" t="n">
        <x:v>811</x:v>
      </x:c>
      <x:c r="C4913" s="66" t="str">
        <x:v>UNIVERSITAS PATTIMURA</x:v>
      </x:c>
      <x:c r="D4913" s="66" t="str">
        <x:v>PTN Akademik</x:v>
      </x:c>
      <x:c r="E4913" s="66" t="str">
        <x:v>18111058</x:v>
      </x:c>
      <x:c r="F4913" s="66" t="str">
        <x:v>ILMU HUKUM (PSDKU KAB. MBD)</x:v>
      </x:c>
      <x:c r="G4913" s="66" t="str">
        <x:v>Sarjana</x:v>
      </x:c>
      <x:c r="H4913" s="87" t="n">
        <x:v>15</x:v>
      </x:c>
      <x:c r="I4913" s="87"/>
      <x:c r="J4913" s="68" t="str">
        <x:f>IFERROR(H4913/I4913,"")</x:f>
      </x:c>
      <x:c r="K4913" s="69" t="n">
        <x:f>IFERROR(I4913/H4913,"")</x:f>
        <x:v>0</x:v>
      </x:c>
      <x:c r="L4913" s="66" t="str">
        <x:f>IF(K4913="","","1 : "&amp;TEXT(K4913,"0.0"))</x:f>
      </x:c>
      <x:c r="M4913" s="66" t="str">
        <x:f>IF(J4913="","Baru/Tanpa Data",IF(J4913&lt;='Catatan &amp; Sumber'!$B$14,"Sangat Ketat",IF(J4913&lt;='Catatan &amp; Sumber'!$B$15,"Ketat",IF(J4913&lt;='Catatan &amp; Sumber'!$B$16,"Sedang","Relatif Longgar"))))</x:f>
        <x:v>Baru/Tanpa Data</x:v>
      </x:c>
      <x:c r="N4913" s="66" t="str">
        <x:v>Tidak Ada</x:v>
      </x:c>
      <x:c r="O4913" s="66" t="str">
        <x:v>Maluku</x:v>
      </x:c>
      <x:c r="P4913" s="66" t="str">
        <x:v>Kota Ambon</x:v>
      </x:c>
      <x:c r="Q4913" s="66" t="str">
        <x:v>https://snpmb.id/snbp/daya-tampung-snbp</x:v>
      </x:c>
      <x:c r="R4913" s="66" t="str">
        <x:v>https://sidatagrun-public-1076756628210.asia-southeast2.run.app/ptn_sn.php?ptn=811</x:v>
      </x:c>
    </x:row>
    <x:row r="4914">
      <x:c r="A4914" s="87" t="n">
        <x:v>4899</x:v>
      </x:c>
      <x:c r="B4914" s="66" t="n">
        <x:v>811</x:v>
      </x:c>
      <x:c r="C4914" s="66" t="str">
        <x:v>UNIVERSITAS PATTIMURA</x:v>
      </x:c>
      <x:c r="D4914" s="66" t="str">
        <x:v>PTN Akademik</x:v>
      </x:c>
      <x:c r="E4914" s="66" t="str">
        <x:v>18111059</x:v>
      </x:c>
      <x:c r="F4914" s="66" t="str">
        <x:v>AKUNTANSI (PSDKU KAB. MBD)</x:v>
      </x:c>
      <x:c r="G4914" s="66" t="str">
        <x:v>Sarjana</x:v>
      </x:c>
      <x:c r="H4914" s="87" t="n">
        <x:v>15</x:v>
      </x:c>
      <x:c r="I4914" s="87" t="n">
        <x:v>1</x:v>
      </x:c>
      <x:c r="J4914" s="68" t="n">
        <x:f>IFERROR(H4914/I4914,"")</x:f>
        <x:v>15</x:v>
      </x:c>
      <x:c r="K4914" s="69" t="n">
        <x:f>IFERROR(I4914/H4914,"")</x:f>
        <x:v>0.06666666666666667</x:v>
      </x:c>
      <x:c r="L4914" s="66" t="str">
        <x:f>IF(K4914="","","1 : "&amp;TEXT(K4914,"0.0"))</x:f>
        <x:v>1 : 0.1</x:v>
      </x:c>
      <x:c r="M4914" s="66" t="str">
        <x:f>IF(J4914="","Baru/Tanpa Data",IF(J4914&lt;='Catatan &amp; Sumber'!$B$14,"Sangat Ketat",IF(J4914&lt;='Catatan &amp; Sumber'!$B$15,"Ketat",IF(J4914&lt;='Catatan &amp; Sumber'!$B$16,"Sedang","Relatif Longgar"))))</x:f>
        <x:v>Relatif Longgar</x:v>
      </x:c>
      <x:c r="N4914" s="66" t="str">
        <x:v>Tidak Ada</x:v>
      </x:c>
      <x:c r="O4914" s="66" t="str">
        <x:v>Maluku</x:v>
      </x:c>
      <x:c r="P4914" s="66" t="str">
        <x:v>Kota Ambon</x:v>
      </x:c>
      <x:c r="Q4914" s="66" t="str">
        <x:v>https://snpmb.id/snbp/daya-tampung-snbp</x:v>
      </x:c>
      <x:c r="R4914" s="66" t="str">
        <x:v>https://sidatagrun-public-1076756628210.asia-southeast2.run.app/ptn_sn.php?ptn=811</x:v>
      </x:c>
    </x:row>
    <x:row r="4915">
      <x:c r="A4915" s="87" t="n">
        <x:v>4759</x:v>
      </x:c>
      <x:c r="B4915" s="66" t="n">
        <x:v>811</x:v>
      </x:c>
      <x:c r="C4915" s="66" t="str">
        <x:v>UNIVERSITAS PATTIMURA</x:v>
      </x:c>
      <x:c r="D4915" s="66" t="str">
        <x:v>PTN Akademik</x:v>
      </x:c>
      <x:c r="E4915" s="66" t="str">
        <x:v>18111060</x:v>
      </x:c>
      <x:c r="F4915" s="66" t="str">
        <x:v>PEND. GURU SEKOLAH DASAR (PSDKU KAB. MBD)</x:v>
      </x:c>
      <x:c r="G4915" s="66" t="str">
        <x:v>Sarjana</x:v>
      </x:c>
      <x:c r="H4915" s="87" t="n">
        <x:v>21</x:v>
      </x:c>
      <x:c r="I4915" s="87" t="n">
        <x:v>7</x:v>
      </x:c>
      <x:c r="J4915" s="68" t="n">
        <x:f>IFERROR(H4915/I4915,"")</x:f>
        <x:v>3</x:v>
      </x:c>
      <x:c r="K4915" s="69" t="n">
        <x:f>IFERROR(I4915/H4915,"")</x:f>
        <x:v>0.3333333333333333</x:v>
      </x:c>
      <x:c r="L4915" s="66" t="str">
        <x:f>IF(K4915="","","1 : "&amp;TEXT(K4915,"0.0"))</x:f>
        <x:v>1 : 0.3</x:v>
      </x:c>
      <x:c r="M4915" s="66" t="str">
        <x:f>IF(J4915="","Baru/Tanpa Data",IF(J4915&lt;='Catatan &amp; Sumber'!$B$14,"Sangat Ketat",IF(J4915&lt;='Catatan &amp; Sumber'!$B$15,"Ketat",IF(J4915&lt;='Catatan &amp; Sumber'!$B$16,"Sedang","Relatif Longgar"))))</x:f>
        <x:v>Relatif Longgar</x:v>
      </x:c>
      <x:c r="N4915" s="66" t="str">
        <x:v>Tidak Ada</x:v>
      </x:c>
      <x:c r="O4915" s="66" t="str">
        <x:v>Maluku</x:v>
      </x:c>
      <x:c r="P4915" s="66" t="str">
        <x:v>Kota Ambon</x:v>
      </x:c>
      <x:c r="Q4915" s="66" t="str">
        <x:v>https://snpmb.id/snbp/daya-tampung-snbp</x:v>
      </x:c>
      <x:c r="R4915" s="66" t="str">
        <x:v>https://sidatagrun-public-1076756628210.asia-southeast2.run.app/ptn_sn.php?ptn=811</x:v>
      </x:c>
    </x:row>
    <x:row r="4916">
      <x:c r="A4916" s="87" t="n">
        <x:v>4890</x:v>
      </x:c>
      <x:c r="B4916" s="66" t="n">
        <x:v>811</x:v>
      </x:c>
      <x:c r="C4916" s="66" t="str">
        <x:v>UNIVERSITAS PATTIMURA</x:v>
      </x:c>
      <x:c r="D4916" s="66" t="str">
        <x:v>PTN Akademik</x:v>
      </x:c>
      <x:c r="E4916" s="66" t="str">
        <x:v>18111061</x:v>
      </x:c>
      <x:c r="F4916" s="66" t="str">
        <x:v>PEND. BAHASA INGGRIS (PSDKU KAB. MBD)</x:v>
      </x:c>
      <x:c r="G4916" s="66" t="str">
        <x:v>Sarjana</x:v>
      </x:c>
      <x:c r="H4916" s="87" t="n">
        <x:v>12</x:v>
      </x:c>
      <x:c r="I4916" s="87" t="n">
        <x:v>1</x:v>
      </x:c>
      <x:c r="J4916" s="68" t="n">
        <x:f>IFERROR(H4916/I4916,"")</x:f>
        <x:v>12</x:v>
      </x:c>
      <x:c r="K4916" s="69" t="n">
        <x:f>IFERROR(I4916/H4916,"")</x:f>
        <x:v>0.08333333333333333</x:v>
      </x:c>
      <x:c r="L4916" s="66" t="str">
        <x:f>IF(K4916="","","1 : "&amp;TEXT(K4916,"0.0"))</x:f>
        <x:v>1 : 0.1</x:v>
      </x:c>
      <x:c r="M4916" s="66" t="str">
        <x:f>IF(J4916="","Baru/Tanpa Data",IF(J4916&lt;='Catatan &amp; Sumber'!$B$14,"Sangat Ketat",IF(J4916&lt;='Catatan &amp; Sumber'!$B$15,"Ketat",IF(J4916&lt;='Catatan &amp; Sumber'!$B$16,"Sedang","Relatif Longgar"))))</x:f>
        <x:v>Relatif Longgar</x:v>
      </x:c>
      <x:c r="N4916" s="66" t="str">
        <x:v>Tidak Ada</x:v>
      </x:c>
      <x:c r="O4916" s="66" t="str">
        <x:v>Maluku</x:v>
      </x:c>
      <x:c r="P4916" s="66" t="str">
        <x:v>Kota Ambon</x:v>
      </x:c>
      <x:c r="Q4916" s="66" t="str">
        <x:v>https://snpmb.id/snbp/daya-tampung-snbp</x:v>
      </x:c>
      <x:c r="R4916" s="66" t="str">
        <x:v>https://sidatagrun-public-1076756628210.asia-southeast2.run.app/ptn_sn.php?ptn=811</x:v>
      </x:c>
    </x:row>
    <x:row r="4917">
      <x:c r="A4917" s="87" t="n">
        <x:v>4841</x:v>
      </x:c>
      <x:c r="B4917" s="66" t="n">
        <x:v>811</x:v>
      </x:c>
      <x:c r="C4917" s="66" t="str">
        <x:v>UNIVERSITAS PATTIMURA</x:v>
      </x:c>
      <x:c r="D4917" s="66" t="str">
        <x:v>PTN Akademik</x:v>
      </x:c>
      <x:c r="E4917" s="66" t="str">
        <x:v>18111062</x:v>
      </x:c>
      <x:c r="F4917" s="66" t="str">
        <x:v>ILMU HUKUM (PSDKU KAB. ARU)</x:v>
      </x:c>
      <x:c r="G4917" s="66" t="str">
        <x:v>Sarjana</x:v>
      </x:c>
      <x:c r="H4917" s="87" t="n">
        <x:v>15</x:v>
      </x:c>
      <x:c r="I4917" s="87" t="n">
        <x:v>3</x:v>
      </x:c>
      <x:c r="J4917" s="68" t="n">
        <x:f>IFERROR(H4917/I4917,"")</x:f>
        <x:v>5</x:v>
      </x:c>
      <x:c r="K4917" s="69" t="n">
        <x:f>IFERROR(I4917/H4917,"")</x:f>
        <x:v>0.2</x:v>
      </x:c>
      <x:c r="L4917" s="66" t="str">
        <x:f>IF(K4917="","","1 : "&amp;TEXT(K4917,"0.0"))</x:f>
        <x:v>1 : 0.2</x:v>
      </x:c>
      <x:c r="M4917" s="66" t="str">
        <x:f>IF(J4917="","Baru/Tanpa Data",IF(J4917&lt;='Catatan &amp; Sumber'!$B$14,"Sangat Ketat",IF(J4917&lt;='Catatan &amp; Sumber'!$B$15,"Ketat",IF(J4917&lt;='Catatan &amp; Sumber'!$B$16,"Sedang","Relatif Longgar"))))</x:f>
        <x:v>Relatif Longgar</x:v>
      </x:c>
      <x:c r="N4917" s="66" t="str">
        <x:v>Tidak Ada</x:v>
      </x:c>
      <x:c r="O4917" s="66" t="str">
        <x:v>Maluku</x:v>
      </x:c>
      <x:c r="P4917" s="66" t="str">
        <x:v>Kota Ambon</x:v>
      </x:c>
      <x:c r="Q4917" s="66" t="str">
        <x:v>https://snpmb.id/snbp/daya-tampung-snbp</x:v>
      </x:c>
      <x:c r="R4917" s="66" t="str">
        <x:v>https://sidatagrun-public-1076756628210.asia-southeast2.run.app/ptn_sn.php?ptn=811</x:v>
      </x:c>
    </x:row>
    <x:row r="4918">
      <x:c r="A4918" s="87" t="n">
        <x:v>4878</x:v>
      </x:c>
      <x:c r="B4918" s="66" t="n">
        <x:v>811</x:v>
      </x:c>
      <x:c r="C4918" s="66" t="str">
        <x:v>UNIVERSITAS PATTIMURA</x:v>
      </x:c>
      <x:c r="D4918" s="66" t="str">
        <x:v>PTN Akademik</x:v>
      </x:c>
      <x:c r="E4918" s="66" t="str">
        <x:v>18111063</x:v>
      </x:c>
      <x:c r="F4918" s="66" t="str">
        <x:v>AKUNTANSI (PSDKU KAB. ARU)</x:v>
      </x:c>
      <x:c r="G4918" s="66" t="str">
        <x:v>Sarjana</x:v>
      </x:c>
      <x:c r="H4918" s="87" t="n">
        <x:v>15</x:v>
      </x:c>
      <x:c r="I4918" s="87" t="n">
        <x:v>2</x:v>
      </x:c>
      <x:c r="J4918" s="68" t="n">
        <x:f>IFERROR(H4918/I4918,"")</x:f>
        <x:v>7.5</x:v>
      </x:c>
      <x:c r="K4918" s="69" t="n">
        <x:f>IFERROR(I4918/H4918,"")</x:f>
        <x:v>0.13333333333333333</x:v>
      </x:c>
      <x:c r="L4918" s="66" t="str">
        <x:f>IF(K4918="","","1 : "&amp;TEXT(K4918,"0.0"))</x:f>
        <x:v>1 : 0.1</x:v>
      </x:c>
      <x:c r="M4918" s="66" t="str">
        <x:f>IF(J4918="","Baru/Tanpa Data",IF(J4918&lt;='Catatan &amp; Sumber'!$B$14,"Sangat Ketat",IF(J4918&lt;='Catatan &amp; Sumber'!$B$15,"Ketat",IF(J4918&lt;='Catatan &amp; Sumber'!$B$16,"Sedang","Relatif Longgar"))))</x:f>
        <x:v>Relatif Longgar</x:v>
      </x:c>
      <x:c r="N4918" s="66" t="str">
        <x:v>Tidak Ada</x:v>
      </x:c>
      <x:c r="O4918" s="66" t="str">
        <x:v>Maluku</x:v>
      </x:c>
      <x:c r="P4918" s="66" t="str">
        <x:v>Kota Ambon</x:v>
      </x:c>
      <x:c r="Q4918" s="66" t="str">
        <x:v>https://snpmb.id/snbp/daya-tampung-snbp</x:v>
      </x:c>
      <x:c r="R4918" s="66" t="str">
        <x:v>https://sidatagrun-public-1076756628210.asia-southeast2.run.app/ptn_sn.php?ptn=811</x:v>
      </x:c>
    </x:row>
    <x:row r="4919">
      <x:c r="A4919" s="87" t="n">
        <x:v>4492</x:v>
      </x:c>
      <x:c r="B4919" s="66" t="n">
        <x:v>811</x:v>
      </x:c>
      <x:c r="C4919" s="66" t="str">
        <x:v>UNIVERSITAS PATTIMURA</x:v>
      </x:c>
      <x:c r="D4919" s="66" t="str">
        <x:v>PTN Akademik</x:v>
      </x:c>
      <x:c r="E4919" s="66" t="str">
        <x:v>18111064</x:v>
      </x:c>
      <x:c r="F4919" s="66" t="str">
        <x:v>PEND. GURU SEKOLAH DASAR (PSDKU KAB. ARU)</x:v>
      </x:c>
      <x:c r="G4919" s="66" t="str">
        <x:v>Sarjana</x:v>
      </x:c>
      <x:c r="H4919" s="87" t="n">
        <x:v>21</x:v>
      </x:c>
      <x:c r="I4919" s="87" t="n">
        <x:v>16</x:v>
      </x:c>
      <x:c r="J4919" s="68" t="n">
        <x:f>IFERROR(H4919/I4919,"")</x:f>
        <x:v>1.3125</x:v>
      </x:c>
      <x:c r="K4919" s="69" t="n">
        <x:f>IFERROR(I4919/H4919,"")</x:f>
        <x:v>0.7619047619047619</x:v>
      </x:c>
      <x:c r="L4919" s="66" t="str">
        <x:f>IF(K4919="","","1 : "&amp;TEXT(K4919,"0.0"))</x:f>
        <x:v>1 : 0.8</x:v>
      </x:c>
      <x:c r="M4919" s="66" t="str">
        <x:f>IF(J4919="","Baru/Tanpa Data",IF(J4919&lt;='Catatan &amp; Sumber'!$B$14,"Sangat Ketat",IF(J4919&lt;='Catatan &amp; Sumber'!$B$15,"Ketat",IF(J4919&lt;='Catatan &amp; Sumber'!$B$16,"Sedang","Relatif Longgar"))))</x:f>
        <x:v>Relatif Longgar</x:v>
      </x:c>
      <x:c r="N4919" s="66" t="str">
        <x:v>Tidak Ada</x:v>
      </x:c>
      <x:c r="O4919" s="66" t="str">
        <x:v>Maluku</x:v>
      </x:c>
      <x:c r="P4919" s="66" t="str">
        <x:v>Kota Ambon</x:v>
      </x:c>
      <x:c r="Q4919" s="66" t="str">
        <x:v>https://snpmb.id/snbp/daya-tampung-snbp</x:v>
      </x:c>
      <x:c r="R4919" s="66" t="str">
        <x:v>https://sidatagrun-public-1076756628210.asia-southeast2.run.app/ptn_sn.php?ptn=811</x:v>
      </x:c>
    </x:row>
    <x:row r="4920">
      <x:c r="A4920" s="87" t="n">
        <x:v>4759</x:v>
      </x:c>
      <x:c r="B4920" s="66" t="n">
        <x:v>811</x:v>
      </x:c>
      <x:c r="C4920" s="66" t="str">
        <x:v>UNIVERSITAS PATTIMURA</x:v>
      </x:c>
      <x:c r="D4920" s="66" t="str">
        <x:v>PTN Akademik</x:v>
      </x:c>
      <x:c r="E4920" s="66" t="str">
        <x:v>18111065</x:v>
      </x:c>
      <x:c r="F4920" s="66" t="str">
        <x:v>PEND. BAHASA INGGRIS (PSDKU KAB. ARU)</x:v>
      </x:c>
      <x:c r="G4920" s="66" t="str">
        <x:v>Sarjana</x:v>
      </x:c>
      <x:c r="H4920" s="87" t="n">
        <x:v>12</x:v>
      </x:c>
      <x:c r="I4920" s="87" t="n">
        <x:v>4</x:v>
      </x:c>
      <x:c r="J4920" s="68" t="n">
        <x:f>IFERROR(H4920/I4920,"")</x:f>
        <x:v>3</x:v>
      </x:c>
      <x:c r="K4920" s="69" t="n">
        <x:f>IFERROR(I4920/H4920,"")</x:f>
        <x:v>0.3333333333333333</x:v>
      </x:c>
      <x:c r="L4920" s="66" t="str">
        <x:f>IF(K4920="","","1 : "&amp;TEXT(K4920,"0.0"))</x:f>
        <x:v>1 : 0.3</x:v>
      </x:c>
      <x:c r="M4920" s="66" t="str">
        <x:f>IF(J4920="","Baru/Tanpa Data",IF(J4920&lt;='Catatan &amp; Sumber'!$B$14,"Sangat Ketat",IF(J4920&lt;='Catatan &amp; Sumber'!$B$15,"Ketat",IF(J4920&lt;='Catatan &amp; Sumber'!$B$16,"Sedang","Relatif Longgar"))))</x:f>
        <x:v>Relatif Longgar</x:v>
      </x:c>
      <x:c r="N4920" s="66" t="str">
        <x:v>Tidak Ada</x:v>
      </x:c>
      <x:c r="O4920" s="66" t="str">
        <x:v>Maluku</x:v>
      </x:c>
      <x:c r="P4920" s="66" t="str">
        <x:v>Kota Ambon</x:v>
      </x:c>
      <x:c r="Q4920" s="66" t="str">
        <x:v>https://snpmb.id/snbp/daya-tampung-snbp</x:v>
      </x:c>
      <x:c r="R4920" s="66" t="str">
        <x:v>https://sidatagrun-public-1076756628210.asia-southeast2.run.app/ptn_sn.php?ptn=811</x:v>
      </x:c>
    </x:row>
    <x:row r="4921">
      <x:c r="A4921" s="87" t="n">
        <x:v>4908</x:v>
      </x:c>
      <x:c r="B4921" s="66" t="n">
        <x:v>811</x:v>
      </x:c>
      <x:c r="C4921" s="66" t="str">
        <x:v>UNIVERSITAS PATTIMURA</x:v>
      </x:c>
      <x:c r="D4921" s="66" t="str">
        <x:v>PTN Akademik</x:v>
      </x:c>
      <x:c r="E4921" s="66" t="str">
        <x:v>18111066</x:v>
      </x:c>
      <x:c r="F4921" s="66" t="str">
        <x:v>PEND. JASMANI, KESEHATAN, DAN REKREASI (PSDKU KAB. ARU)</x:v>
      </x:c>
      <x:c r="G4921" s="66" t="str">
        <x:v>Sarjana</x:v>
      </x:c>
      <x:c r="H4921" s="87" t="n">
        <x:v>19</x:v>
      </x:c>
      <x:c r="I4921" s="87" t="n">
        <x:v>1</x:v>
      </x:c>
      <x:c r="J4921" s="68" t="n">
        <x:f>IFERROR(H4921/I4921,"")</x:f>
        <x:v>19</x:v>
      </x:c>
      <x:c r="K4921" s="69" t="n">
        <x:f>IFERROR(I4921/H4921,"")</x:f>
        <x:v>0.05263157894736842</x:v>
      </x:c>
      <x:c r="L4921" s="66" t="str">
        <x:f>IF(K4921="","","1 : "&amp;TEXT(K4921,"0.0"))</x:f>
        <x:v>1 : 0.1</x:v>
      </x:c>
      <x:c r="M4921" s="66" t="str">
        <x:f>IF(J4921="","Baru/Tanpa Data",IF(J4921&lt;='Catatan &amp; Sumber'!$B$14,"Sangat Ketat",IF(J4921&lt;='Catatan &amp; Sumber'!$B$15,"Ketat",IF(J4921&lt;='Catatan &amp; Sumber'!$B$16,"Sedang","Relatif Longgar"))))</x:f>
        <x:v>Relatif Longgar</x:v>
      </x:c>
      <x:c r="N4921" s="66" t="str">
        <x:v>Olahraga</x:v>
      </x:c>
      <x:c r="O4921" s="66" t="str">
        <x:v>Maluku</x:v>
      </x:c>
      <x:c r="P4921" s="66" t="str">
        <x:v>Kota Ambon</x:v>
      </x:c>
      <x:c r="Q4921" s="66" t="str">
        <x:v>https://snpmb.id/snbp/daya-tampung-snbp</x:v>
      </x:c>
      <x:c r="R4921" s="66" t="str">
        <x:v>https://sidatagrun-public-1076756628210.asia-southeast2.run.app/ptn_sn.php?ptn=811</x:v>
      </x:c>
    </x:row>
    <x:row r="4922">
      <x:c r="A4922" s="87" t="n">
        <x:v>3654</x:v>
      </x:c>
      <x:c r="B4922" s="66" t="n">
        <x:v>811</x:v>
      </x:c>
      <x:c r="C4922" s="66" t="str">
        <x:v>UNIVERSITAS PATTIMURA</x:v>
      </x:c>
      <x:c r="D4922" s="66" t="str">
        <x:v>PTN Akademik</x:v>
      </x:c>
      <x:c r="E4922" s="66" t="str">
        <x:v>18111067</x:v>
      </x:c>
      <x:c r="F4922" s="66" t="str">
        <x:v>ADMINISTRASI PENDIDIKAN</x:v>
      </x:c>
      <x:c r="G4922" s="66" t="str">
        <x:v>Sarjana</x:v>
      </x:c>
      <x:c r="H4922" s="87" t="n">
        <x:v>15</x:v>
      </x:c>
      <x:c r="I4922" s="87" t="n">
        <x:v>30</x:v>
      </x:c>
      <x:c r="J4922" s="68" t="n">
        <x:f>IFERROR(H4922/I4922,"")</x:f>
        <x:v>0.5</x:v>
      </x:c>
      <x:c r="K4922" s="69" t="n">
        <x:f>IFERROR(I4922/H4922,"")</x:f>
        <x:v>2</x:v>
      </x:c>
      <x:c r="L4922" s="66" t="str">
        <x:f>IF(K4922="","","1 : "&amp;TEXT(K4922,"0.0"))</x:f>
        <x:v>1 : 2.0</x:v>
      </x:c>
      <x:c r="M4922" s="66" t="str">
        <x:f>IF(J4922="","Baru/Tanpa Data",IF(J4922&lt;='Catatan &amp; Sumber'!$B$14,"Sangat Ketat",IF(J4922&lt;='Catatan &amp; Sumber'!$B$15,"Ketat",IF(J4922&lt;='Catatan &amp; Sumber'!$B$16,"Sedang","Relatif Longgar"))))</x:f>
        <x:v>Relatif Longgar</x:v>
      </x:c>
      <x:c r="N4922" s="66" t="str">
        <x:v>Tidak Ada</x:v>
      </x:c>
      <x:c r="O4922" s="66" t="str">
        <x:v>Maluku</x:v>
      </x:c>
      <x:c r="P4922" s="66" t="str">
        <x:v>Kota Ambon</x:v>
      </x:c>
      <x:c r="Q4922" s="66" t="str">
        <x:v>https://snpmb.id/snbp/daya-tampung-snbp</x:v>
      </x:c>
      <x:c r="R4922" s="66" t="str">
        <x:v>https://sidatagrun-public-1076756628210.asia-southeast2.run.app/ptn_sn.php?ptn=811</x:v>
      </x:c>
    </x:row>
    <x:row r="4923">
      <x:c r="A4923" s="87" t="n">
        <x:v>4652</x:v>
      </x:c>
      <x:c r="B4923" s="66" t="n">
        <x:v>811</x:v>
      </x:c>
      <x:c r="C4923" s="66" t="str">
        <x:v>UNIVERSITAS PATTIMURA</x:v>
      </x:c>
      <x:c r="D4923" s="66" t="str">
        <x:v>PTN Akademik</x:v>
      </x:c>
      <x:c r="E4923" s="66" t="str">
        <x:v>18111068</x:v>
      </x:c>
      <x:c r="F4923" s="66" t="str">
        <x:v>ILMU LINGKUNGAN</x:v>
      </x:c>
      <x:c r="G4923" s="66" t="str">
        <x:v>Sarjana</x:v>
      </x:c>
      <x:c r="H4923" s="87" t="n">
        <x:v>6</x:v>
      </x:c>
      <x:c r="I4923" s="87" t="n">
        <x:v>3</x:v>
      </x:c>
      <x:c r="J4923" s="68" t="n">
        <x:f>IFERROR(H4923/I4923,"")</x:f>
        <x:v>2</x:v>
      </x:c>
      <x:c r="K4923" s="69" t="n">
        <x:f>IFERROR(I4923/H4923,"")</x:f>
        <x:v>0.5</x:v>
      </x:c>
      <x:c r="L4923" s="66" t="str">
        <x:f>IF(K4923="","","1 : "&amp;TEXT(K4923,"0.0"))</x:f>
        <x:v>1 : 0.5</x:v>
      </x:c>
      <x:c r="M4923" s="66" t="str">
        <x:f>IF(J4923="","Baru/Tanpa Data",IF(J4923&lt;='Catatan &amp; Sumber'!$B$14,"Sangat Ketat",IF(J4923&lt;='Catatan &amp; Sumber'!$B$15,"Ketat",IF(J4923&lt;='Catatan &amp; Sumber'!$B$16,"Sedang","Relatif Longgar"))))</x:f>
        <x:v>Relatif Longgar</x:v>
      </x:c>
      <x:c r="N4923" s="66" t="str">
        <x:v>Tidak Ada</x:v>
      </x:c>
      <x:c r="O4923" s="66" t="str">
        <x:v>Maluku</x:v>
      </x:c>
      <x:c r="P4923" s="66" t="str">
        <x:v>Kota Ambon</x:v>
      </x:c>
      <x:c r="Q4923" s="66" t="str">
        <x:v>https://snpmb.id/snbp/daya-tampung-snbp</x:v>
      </x:c>
      <x:c r="R4923" s="66" t="str">
        <x:v>https://sidatagrun-public-1076756628210.asia-southeast2.run.app/ptn_sn.php?ptn=811</x:v>
      </x:c>
    </x:row>
    <x:row r="4924">
      <x:c r="A4924" s="87" t="n">
        <x:v>3988</x:v>
      </x:c>
      <x:c r="B4924" s="66" t="n">
        <x:v>811</x:v>
      </x:c>
      <x:c r="C4924" s="66" t="str">
        <x:v>UNIVERSITAS PATTIMURA</x:v>
      </x:c>
      <x:c r="D4924" s="66" t="str">
        <x:v>PTN Akademik</x:v>
      </x:c>
      <x:c r="E4924" s="66" t="str">
        <x:v>18111069</x:v>
      </x:c>
      <x:c r="F4924" s="66" t="str">
        <x:v>BIOTEKNOLOGI</x:v>
      </x:c>
      <x:c r="G4924" s="66" t="str">
        <x:v>Sarjana</x:v>
      </x:c>
      <x:c r="H4924" s="87" t="n">
        <x:v>15</x:v>
      </x:c>
      <x:c r="I4924" s="87" t="n">
        <x:v>22</x:v>
      </x:c>
      <x:c r="J4924" s="68" t="n">
        <x:f>IFERROR(H4924/I4924,"")</x:f>
        <x:v>0.6818181818181818</x:v>
      </x:c>
      <x:c r="K4924" s="69" t="n">
        <x:f>IFERROR(I4924/H4924,"")</x:f>
        <x:v>1.4666666666666666</x:v>
      </x:c>
      <x:c r="L4924" s="66" t="str">
        <x:f>IF(K4924="","","1 : "&amp;TEXT(K4924,"0.0"))</x:f>
        <x:v>1 : 1.5</x:v>
      </x:c>
      <x:c r="M4924" s="66" t="str">
        <x:f>IF(J4924="","Baru/Tanpa Data",IF(J4924&lt;='Catatan &amp; Sumber'!$B$14,"Sangat Ketat",IF(J4924&lt;='Catatan &amp; Sumber'!$B$15,"Ketat",IF(J4924&lt;='Catatan &amp; Sumber'!$B$16,"Sedang","Relatif Longgar"))))</x:f>
        <x:v>Relatif Longgar</x:v>
      </x:c>
      <x:c r="N4924" s="66" t="str">
        <x:v>Tidak Ada</x:v>
      </x:c>
      <x:c r="O4924" s="66" t="str">
        <x:v>Maluku</x:v>
      </x:c>
      <x:c r="P4924" s="66" t="str">
        <x:v>Kota Ambon</x:v>
      </x:c>
      <x:c r="Q4924" s="66" t="str">
        <x:v>https://snpmb.id/snbp/daya-tampung-snbp</x:v>
      </x:c>
      <x:c r="R4924" s="66" t="str">
        <x:v>https://sidatagrun-public-1076756628210.asia-southeast2.run.app/ptn_sn.php?ptn=811</x:v>
      </x:c>
    </x:row>
    <x:row r="4925">
      <x:c r="A4925" s="87" t="n">
        <x:v>4408</x:v>
      </x:c>
      <x:c r="B4925" s="66" t="n">
        <x:v>811</x:v>
      </x:c>
      <x:c r="C4925" s="66" t="str">
        <x:v>UNIVERSITAS PATTIMURA</x:v>
      </x:c>
      <x:c r="D4925" s="66" t="str">
        <x:v>PTN Akademik</x:v>
      </x:c>
      <x:c r="E4925" s="66" t="str">
        <x:v>18111070</x:v>
      </x:c>
      <x:c r="F4925" s="66" t="str">
        <x:v>PENDIDIKAN AKUNTANSI</x:v>
      </x:c>
      <x:c r="G4925" s="66" t="str">
        <x:v>Sarjana</x:v>
      </x:c>
      <x:c r="H4925" s="87" t="n">
        <x:v>16</x:v>
      </x:c>
      <x:c r="I4925" s="87" t="n">
        <x:v>14</x:v>
      </x:c>
      <x:c r="J4925" s="68" t="n">
        <x:f>IFERROR(H4925/I4925,"")</x:f>
        <x:v>1.1428571428571428</x:v>
      </x:c>
      <x:c r="K4925" s="69" t="n">
        <x:f>IFERROR(I4925/H4925,"")</x:f>
        <x:v>0.875</x:v>
      </x:c>
      <x:c r="L4925" s="66" t="str">
        <x:f>IF(K4925="","","1 : "&amp;TEXT(K4925,"0.0"))</x:f>
        <x:v>1 : 0.9</x:v>
      </x:c>
      <x:c r="M4925" s="66" t="str">
        <x:f>IF(J4925="","Baru/Tanpa Data",IF(J4925&lt;='Catatan &amp; Sumber'!$B$14,"Sangat Ketat",IF(J4925&lt;='Catatan &amp; Sumber'!$B$15,"Ketat",IF(J4925&lt;='Catatan &amp; Sumber'!$B$16,"Sedang","Relatif Longgar"))))</x:f>
        <x:v>Relatif Longgar</x:v>
      </x:c>
      <x:c r="N4925" s="66" t="str">
        <x:v>Tidak Ada</x:v>
      </x:c>
      <x:c r="O4925" s="66" t="str">
        <x:v>Maluku</x:v>
      </x:c>
      <x:c r="P4925" s="66" t="str">
        <x:v>Kota Ambon</x:v>
      </x:c>
      <x:c r="Q4925" s="66" t="str">
        <x:v>https://snpmb.id/snbp/daya-tampung-snbp</x:v>
      </x:c>
      <x:c r="R4925" s="66" t="str">
        <x:v>https://sidatagrun-public-1076756628210.asia-southeast2.run.app/ptn_sn.php?ptn=811</x:v>
      </x:c>
    </x:row>
    <x:row r="4926">
      <x:c r="A4926" s="87" t="n">
        <x:v>1404</x:v>
      </x:c>
      <x:c r="B4926" s="66" t="n">
        <x:v>811</x:v>
      </x:c>
      <x:c r="C4926" s="66" t="str">
        <x:v>UNIVERSITAS PATTIMURA</x:v>
      </x:c>
      <x:c r="D4926" s="66" t="str">
        <x:v>PTN Akademik</x:v>
      </x:c>
      <x:c r="E4926" s="66" t="str">
        <x:v>18111071</x:v>
      </x:c>
      <x:c r="F4926" s="66" t="str">
        <x:v>ILMU KOMPUTER</x:v>
      </x:c>
      <x:c r="G4926" s="66" t="str">
        <x:v>Sarjana</x:v>
      </x:c>
      <x:c r="H4926" s="87" t="n">
        <x:v>30</x:v>
      </x:c>
      <x:c r="I4926" s="87" t="n">
        <x:v>293</x:v>
      </x:c>
      <x:c r="J4926" s="68" t="n">
        <x:f>IFERROR(H4926/I4926,"")</x:f>
        <x:v>0.10238907849829351</x:v>
      </x:c>
      <x:c r="K4926" s="69" t="n">
        <x:f>IFERROR(I4926/H4926,"")</x:f>
        <x:v>9.766666666666667</x:v>
      </x:c>
      <x:c r="L4926" s="66" t="str">
        <x:f>IF(K4926="","","1 : "&amp;TEXT(K4926,"0.0"))</x:f>
        <x:v>1 : 9.8</x:v>
      </x:c>
      <x:c r="M4926" s="66" t="str">
        <x:f>IF(J4926="","Baru/Tanpa Data",IF(J4926&lt;='Catatan &amp; Sumber'!$B$14,"Sangat Ketat",IF(J4926&lt;='Catatan &amp; Sumber'!$B$15,"Ketat",IF(J4926&lt;='Catatan &amp; Sumber'!$B$16,"Sedang","Relatif Longgar"))))</x:f>
        <x:v>Relatif Longgar</x:v>
      </x:c>
      <x:c r="N4926" s="66" t="str">
        <x:v>Tidak Ada</x:v>
      </x:c>
      <x:c r="O4926" s="66" t="str">
        <x:v>Maluku</x:v>
      </x:c>
      <x:c r="P4926" s="66" t="str">
        <x:v>Kota Ambon</x:v>
      </x:c>
      <x:c r="Q4926" s="66" t="str">
        <x:v>https://snpmb.id/snbp/daya-tampung-snbp</x:v>
      </x:c>
      <x:c r="R4926" s="66" t="str">
        <x:v>https://sidatagrun-public-1076756628210.asia-southeast2.run.app/ptn_sn.php?ptn=811</x:v>
      </x:c>
    </x:row>
    <x:row r="4927">
      <x:c r="A4927" s="87" t="n">
        <x:v>4857</x:v>
      </x:c>
      <x:c r="B4927" s="66" t="n">
        <x:v>811</x:v>
      </x:c>
      <x:c r="C4927" s="66" t="str">
        <x:v>UNIVERSITAS PATTIMURA</x:v>
      </x:c>
      <x:c r="D4927" s="66" t="str">
        <x:v>PTN Akademik</x:v>
      </x:c>
      <x:c r="E4927" s="66" t="str">
        <x:v>18111072</x:v>
      </x:c>
      <x:c r="F4927" s="66" t="str">
        <x:v>PENGELOLAAN HUTAN</x:v>
      </x:c>
      <x:c r="G4927" s="66" t="str">
        <x:v>Sarjana</x:v>
      </x:c>
      <x:c r="H4927" s="87" t="n">
        <x:v>6</x:v>
      </x:c>
      <x:c r="I4927" s="87" t="n">
        <x:v>1</x:v>
      </x:c>
      <x:c r="J4927" s="68" t="n">
        <x:f>IFERROR(H4927/I4927,"")</x:f>
        <x:v>6</x:v>
      </x:c>
      <x:c r="K4927" s="69" t="n">
        <x:f>IFERROR(I4927/H4927,"")</x:f>
        <x:v>0.16666666666666666</x:v>
      </x:c>
      <x:c r="L4927" s="66" t="str">
        <x:f>IF(K4927="","","1 : "&amp;TEXT(K4927,"0.0"))</x:f>
        <x:v>1 : 0.2</x:v>
      </x:c>
      <x:c r="M4927" s="66" t="str">
        <x:f>IF(J4927="","Baru/Tanpa Data",IF(J4927&lt;='Catatan &amp; Sumber'!$B$14,"Sangat Ketat",IF(J4927&lt;='Catatan &amp; Sumber'!$B$15,"Ketat",IF(J4927&lt;='Catatan &amp; Sumber'!$B$16,"Sedang","Relatif Longgar"))))</x:f>
        <x:v>Relatif Longgar</x:v>
      </x:c>
      <x:c r="N4927" s="66" t="str">
        <x:v>Tidak Ada</x:v>
      </x:c>
      <x:c r="O4927" s="66" t="str">
        <x:v>Maluku</x:v>
      </x:c>
      <x:c r="P4927" s="66" t="str">
        <x:v>Kota Ambon</x:v>
      </x:c>
      <x:c r="Q4927" s="66" t="str">
        <x:v>https://snpmb.id/snbp/daya-tampung-snbp</x:v>
      </x:c>
      <x:c r="R4927" s="66" t="str">
        <x:v>https://sidatagrun-public-1076756628210.asia-southeast2.run.app/ptn_sn.php?ptn=811</x:v>
      </x:c>
    </x:row>
    <x:row r="4928">
      <x:c r="A4928" s="87" t="n">
        <x:v>1172</x:v>
      </x:c>
      <x:c r="B4928" s="66" t="n">
        <x:v>811</x:v>
      </x:c>
      <x:c r="C4928" s="66" t="str">
        <x:v>UNIVERSITAS PATTIMURA</x:v>
      </x:c>
      <x:c r="D4928" s="66" t="str">
        <x:v>PTN Akademik</x:v>
      </x:c>
      <x:c r="E4928" s="66" t="str">
        <x:v>18111073</x:v>
      </x:c>
      <x:c r="F4928" s="66" t="str">
        <x:v>FARMASI</x:v>
      </x:c>
      <x:c r="G4928" s="66" t="str">
        <x:v>Sarjana</x:v>
      </x:c>
      <x:c r="H4928" s="87" t="n">
        <x:v>30</x:v>
      </x:c>
      <x:c r="I4928" s="87" t="n">
        <x:v>340</x:v>
      </x:c>
      <x:c r="J4928" s="68" t="n">
        <x:f>IFERROR(H4928/I4928,"")</x:f>
        <x:v>0.08823529411764706</x:v>
      </x:c>
      <x:c r="K4928" s="69" t="n">
        <x:f>IFERROR(I4928/H4928,"")</x:f>
        <x:v>11.333333333333334</x:v>
      </x:c>
      <x:c r="L4928" s="66" t="str">
        <x:f>IF(K4928="","","1 : "&amp;TEXT(K4928,"0.0"))</x:f>
        <x:v>1 : 11.3</x:v>
      </x:c>
      <x:c r="M4928" s="66" t="str">
        <x:f>IF(J4928="","Baru/Tanpa Data",IF(J4928&lt;='Catatan &amp; Sumber'!$B$14,"Sangat Ketat",IF(J4928&lt;='Catatan &amp; Sumber'!$B$15,"Ketat",IF(J4928&lt;='Catatan &amp; Sumber'!$B$16,"Sedang","Relatif Longgar"))))</x:f>
        <x:v>Sedang</x:v>
      </x:c>
      <x:c r="N4928" s="66" t="str">
        <x:v>Tidak Ada</x:v>
      </x:c>
      <x:c r="O4928" s="66" t="str">
        <x:v>Maluku</x:v>
      </x:c>
      <x:c r="P4928" s="66" t="str">
        <x:v>Kota Ambon</x:v>
      </x:c>
      <x:c r="Q4928" s="66" t="str">
        <x:v>https://snpmb.id/snbp/daya-tampung-snbp</x:v>
      </x:c>
      <x:c r="R4928" s="66" t="str">
        <x:v>https://sidatagrun-public-1076756628210.asia-southeast2.run.app/ptn_sn.php?ptn=811</x:v>
      </x:c>
    </x:row>
    <x:row r="4929">
      <x:c r="A4929" s="87" t="n">
        <x:v>3142</x:v>
      </x:c>
      <x:c r="B4929" s="66" t="n">
        <x:v>811</x:v>
      </x:c>
      <x:c r="C4929" s="66" t="str">
        <x:v>UNIVERSITAS PATTIMURA</x:v>
      </x:c>
      <x:c r="D4929" s="66" t="str">
        <x:v>PTN Akademik</x:v>
      </x:c>
      <x:c r="E4929" s="66" t="str">
        <x:v>18111074</x:v>
      </x:c>
      <x:c r="F4929" s="66" t="str">
        <x:v>SAINS BIOMEDIS</x:v>
      </x:c>
      <x:c r="G4929" s="66" t="str">
        <x:v>Sarjana</x:v>
      </x:c>
      <x:c r="H4929" s="87" t="n">
        <x:v>15</x:v>
      </x:c>
      <x:c r="I4929" s="87" t="n">
        <x:v>46</x:v>
      </x:c>
      <x:c r="J4929" s="68" t="n">
        <x:f>IFERROR(H4929/I4929,"")</x:f>
        <x:v>0.32608695652173914</x:v>
      </x:c>
      <x:c r="K4929" s="69" t="n">
        <x:f>IFERROR(I4929/H4929,"")</x:f>
        <x:v>3.066666666666667</x:v>
      </x:c>
      <x:c r="L4929" s="66" t="str">
        <x:f>IF(K4929="","","1 : "&amp;TEXT(K4929,"0.0"))</x:f>
        <x:v>1 : 3.1</x:v>
      </x:c>
      <x:c r="M4929" s="66" t="str">
        <x:f>IF(J4929="","Baru/Tanpa Data",IF(J4929&lt;='Catatan &amp; Sumber'!$B$14,"Sangat Ketat",IF(J4929&lt;='Catatan &amp; Sumber'!$B$15,"Ketat",IF(J4929&lt;='Catatan &amp; Sumber'!$B$16,"Sedang","Relatif Longgar"))))</x:f>
        <x:v>Relatif Longgar</x:v>
      </x:c>
      <x:c r="N4929" s="66" t="str">
        <x:v>Tidak Ada</x:v>
      </x:c>
      <x:c r="O4929" s="66" t="str">
        <x:v>Maluku</x:v>
      </x:c>
      <x:c r="P4929" s="66" t="str">
        <x:v>Kota Ambon</x:v>
      </x:c>
      <x:c r="Q4929" s="66" t="str">
        <x:v>https://snpmb.id/snbp/daya-tampung-snbp</x:v>
      </x:c>
      <x:c r="R4929" s="66" t="str">
        <x:v>https://sidatagrun-public-1076756628210.asia-southeast2.run.app/ptn_sn.php?ptn=811</x:v>
      </x:c>
    </x:row>
    <x:row r="4930">
      <x:c r="A4930" s="87" t="n">
        <x:v>3025</x:v>
      </x:c>
      <x:c r="B4930" s="66" t="n">
        <x:v>811</x:v>
      </x:c>
      <x:c r="C4930" s="66" t="str">
        <x:v>UNIVERSITAS PATTIMURA</x:v>
      </x:c>
      <x:c r="D4930" s="66" t="str">
        <x:v>PTN Akademik</x:v>
      </x:c>
      <x:c r="E4930" s="66" t="str">
        <x:v>18111075</x:v>
      </x:c>
      <x:c r="F4930" s="66" t="str">
        <x:v>KESELAMATAN DAN KESEHATAN KERJA</x:v>
      </x:c>
      <x:c r="G4930" s="66" t="str">
        <x:v>Sarjana</x:v>
      </x:c>
      <x:c r="H4930" s="87" t="n">
        <x:v>9</x:v>
      </x:c>
      <x:c r="I4930" s="87" t="n">
        <x:v>30</x:v>
      </x:c>
      <x:c r="J4930" s="68" t="n">
        <x:f>IFERROR(H4930/I4930,"")</x:f>
        <x:v>0.3</x:v>
      </x:c>
      <x:c r="K4930" s="69" t="n">
        <x:f>IFERROR(I4930/H4930,"")</x:f>
        <x:v>3.3333333333333335</x:v>
      </x:c>
      <x:c r="L4930" s="66" t="str">
        <x:f>IF(K4930="","","1 : "&amp;TEXT(K4930,"0.0"))</x:f>
        <x:v>1 : 3.3</x:v>
      </x:c>
      <x:c r="M4930" s="66" t="str">
        <x:f>IF(J4930="","Baru/Tanpa Data",IF(J4930&lt;='Catatan &amp; Sumber'!$B$14,"Sangat Ketat",IF(J4930&lt;='Catatan &amp; Sumber'!$B$15,"Ketat",IF(J4930&lt;='Catatan &amp; Sumber'!$B$16,"Sedang","Relatif Longgar"))))</x:f>
        <x:v>Relatif Longgar</x:v>
      </x:c>
      <x:c r="N4930" s="66" t="str">
        <x:v>Tidak Ada</x:v>
      </x:c>
      <x:c r="O4930" s="66" t="str">
        <x:v>Maluku</x:v>
      </x:c>
      <x:c r="P4930" s="66" t="str">
        <x:v>Kota Ambon</x:v>
      </x:c>
      <x:c r="Q4930" s="66" t="str">
        <x:v>https://snpmb.id/snbp/daya-tampung-snbp</x:v>
      </x:c>
      <x:c r="R4930" s="66" t="str">
        <x:v>https://sidatagrun-public-1076756628210.asia-southeast2.run.app/ptn_sn.php?ptn=811</x:v>
      </x:c>
    </x:row>
    <x:row r="4931">
      <x:c r="A4931" s="87"/>
      <x:c r="B4931" s="66" t="n">
        <x:v>811</x:v>
      </x:c>
      <x:c r="C4931" s="66" t="str">
        <x:v>UNIVERSITAS PATTIMURA</x:v>
      </x:c>
      <x:c r="D4931" s="66" t="str">
        <x:v>PTN Akademik</x:v>
      </x:c>
      <x:c r="E4931" s="66" t="str">
        <x:v>18111076</x:v>
      </x:c>
      <x:c r="F4931" s="66" t="str">
        <x:v>REKAYASA INSTRUMENTASI DAN OTOMASI</x:v>
      </x:c>
      <x:c r="G4931" s="66" t="str">
        <x:v>Sarjana</x:v>
      </x:c>
      <x:c r="H4931" s="87" t="n">
        <x:v>6</x:v>
      </x:c>
      <x:c r="I4931" s="87"/>
      <x:c r="J4931" s="68" t="str">
        <x:f>IFERROR(H4931/I4931,"")</x:f>
      </x:c>
      <x:c r="K4931" s="69" t="n">
        <x:f>IFERROR(I4931/H4931,"")</x:f>
        <x:v>0</x:v>
      </x:c>
      <x:c r="L4931" s="66" t="str">
        <x:f>IF(K4931="","","1 : "&amp;TEXT(K4931,"0.0"))</x:f>
      </x:c>
      <x:c r="M4931" s="66" t="str">
        <x:f>IF(J4931="","Baru/Tanpa Data",IF(J4931&lt;='Catatan &amp; Sumber'!$B$14,"Sangat Ketat",IF(J4931&lt;='Catatan &amp; Sumber'!$B$15,"Ketat",IF(J4931&lt;='Catatan &amp; Sumber'!$B$16,"Sedang","Relatif Longgar"))))</x:f>
        <x:v>Baru/Tanpa Data</x:v>
      </x:c>
      <x:c r="N4931" s="66" t="str">
        <x:v>Tidak Ada</x:v>
      </x:c>
      <x:c r="O4931" s="66" t="str">
        <x:v>Maluku</x:v>
      </x:c>
      <x:c r="P4931" s="66" t="str">
        <x:v>Kota Ambon</x:v>
      </x:c>
      <x:c r="Q4931" s="66" t="str">
        <x:v>https://snpmb.id/snbp/daya-tampung-snbp</x:v>
      </x:c>
      <x:c r="R4931" s="66" t="str">
        <x:v>https://sidatagrun-public-1076756628210.asia-southeast2.run.app/ptn_sn.php?ptn=811</x:v>
      </x:c>
    </x:row>
    <x:row r="4932">
      <x:c r="A4932" s="87"/>
      <x:c r="B4932" s="66" t="n">
        <x:v>811</x:v>
      </x:c>
      <x:c r="C4932" s="66" t="str">
        <x:v>UNIVERSITAS PATTIMURA</x:v>
      </x:c>
      <x:c r="D4932" s="66" t="str">
        <x:v>PTN Akademik</x:v>
      </x:c>
      <x:c r="E4932" s="66" t="str">
        <x:v>18111077</x:v>
      </x:c>
      <x:c r="F4932" s="66" t="str">
        <x:v>PERDAGANGAN INTERNASIONAL</x:v>
      </x:c>
      <x:c r="G4932" s="66" t="str">
        <x:v>Sarjana</x:v>
      </x:c>
      <x:c r="H4932" s="87" t="n">
        <x:v>6</x:v>
      </x:c>
      <x:c r="I4932" s="87"/>
      <x:c r="J4932" s="68" t="str">
        <x:f>IFERROR(H4932/I4932,"")</x:f>
      </x:c>
      <x:c r="K4932" s="69" t="n">
        <x:f>IFERROR(I4932/H4932,"")</x:f>
        <x:v>0</x:v>
      </x:c>
      <x:c r="L4932" s="66" t="str">
        <x:f>IF(K4932="","","1 : "&amp;TEXT(K4932,"0.0"))</x:f>
      </x:c>
      <x:c r="M4932" s="66" t="str">
        <x:f>IF(J4932="","Baru/Tanpa Data",IF(J4932&lt;='Catatan &amp; Sumber'!$B$14,"Sangat Ketat",IF(J4932&lt;='Catatan &amp; Sumber'!$B$15,"Ketat",IF(J4932&lt;='Catatan &amp; Sumber'!$B$16,"Sedang","Relatif Longgar"))))</x:f>
        <x:v>Baru/Tanpa Data</x:v>
      </x:c>
      <x:c r="N4932" s="66" t="str">
        <x:v>Tidak Ada</x:v>
      </x:c>
      <x:c r="O4932" s="66" t="str">
        <x:v>Maluku</x:v>
      </x:c>
      <x:c r="P4932" s="66" t="str">
        <x:v>Kota Ambon</x:v>
      </x:c>
      <x:c r="Q4932" s="66" t="str">
        <x:v>https://snpmb.id/snbp/daya-tampung-snbp</x:v>
      </x:c>
      <x:c r="R4932" s="66" t="str">
        <x:v>https://sidatagrun-public-1076756628210.asia-southeast2.run.app/ptn_sn.php?ptn=811</x:v>
      </x:c>
    </x:row>
    <x:row r="4933">
      <x:c r="A4933" s="87"/>
      <x:c r="B4933" s="66" t="n">
        <x:v>811</x:v>
      </x:c>
      <x:c r="C4933" s="66" t="str">
        <x:v>UNIVERSITAS PATTIMURA</x:v>
      </x:c>
      <x:c r="D4933" s="66" t="str">
        <x:v>PTN Akademik</x:v>
      </x:c>
      <x:c r="E4933" s="66" t="str">
        <x:v>18111078</x:v>
      </x:c>
      <x:c r="F4933" s="66" t="str">
        <x:v>KEWIRAUSAHAAN</x:v>
      </x:c>
      <x:c r="G4933" s="66" t="str">
        <x:v>Sarjana</x:v>
      </x:c>
      <x:c r="H4933" s="87" t="n">
        <x:v>4</x:v>
      </x:c>
      <x:c r="I4933" s="87"/>
      <x:c r="J4933" s="68" t="str">
        <x:f>IFERROR(H4933/I4933,"")</x:f>
      </x:c>
      <x:c r="K4933" s="69" t="n">
        <x:f>IFERROR(I4933/H4933,"")</x:f>
        <x:v>0</x:v>
      </x:c>
      <x:c r="L4933" s="66" t="str">
        <x:f>IF(K4933="","","1 : "&amp;TEXT(K4933,"0.0"))</x:f>
      </x:c>
      <x:c r="M4933" s="66" t="str">
        <x:f>IF(J4933="","Baru/Tanpa Data",IF(J4933&lt;='Catatan &amp; Sumber'!$B$14,"Sangat Ketat",IF(J4933&lt;='Catatan &amp; Sumber'!$B$15,"Ketat",IF(J4933&lt;='Catatan &amp; Sumber'!$B$16,"Sedang","Relatif Longgar"))))</x:f>
        <x:v>Baru/Tanpa Data</x:v>
      </x:c>
      <x:c r="N4933" s="66" t="str">
        <x:v>Tidak Ada</x:v>
      </x:c>
      <x:c r="O4933" s="66" t="str">
        <x:v>Maluku</x:v>
      </x:c>
      <x:c r="P4933" s="66" t="str">
        <x:v>Kota Ambon</x:v>
      </x:c>
      <x:c r="Q4933" s="66" t="str">
        <x:v>https://snpmb.id/snbp/daya-tampung-snbp</x:v>
      </x:c>
      <x:c r="R4933" s="66" t="str">
        <x:v>https://sidatagrun-public-1076756628210.asia-southeast2.run.app/ptn_sn.php?ptn=811</x:v>
      </x:c>
    </x:row>
    <x:row r="4934">
      <x:c r="A4934" s="87"/>
      <x:c r="B4934" s="66" t="n">
        <x:v>811</x:v>
      </x:c>
      <x:c r="C4934" s="66" t="str">
        <x:v>UNIVERSITAS PATTIMURA</x:v>
      </x:c>
      <x:c r="D4934" s="66" t="str">
        <x:v>PTN Akademik</x:v>
      </x:c>
      <x:c r="E4934" s="66" t="str">
        <x:v>18111079</x:v>
      </x:c>
      <x:c r="F4934" s="66" t="str">
        <x:v>GIZI</x:v>
      </x:c>
      <x:c r="G4934" s="66" t="str">
        <x:v>Sarjana</x:v>
      </x:c>
      <x:c r="H4934" s="87" t="n">
        <x:v>9</x:v>
      </x:c>
      <x:c r="I4934" s="87"/>
      <x:c r="J4934" s="68" t="str">
        <x:f>IFERROR(H4934/I4934,"")</x:f>
      </x:c>
      <x:c r="K4934" s="69" t="n">
        <x:f>IFERROR(I4934/H4934,"")</x:f>
        <x:v>0</x:v>
      </x:c>
      <x:c r="L4934" s="66" t="str">
        <x:f>IF(K4934="","","1 : "&amp;TEXT(K4934,"0.0"))</x:f>
      </x:c>
      <x:c r="M4934" s="66" t="str">
        <x:f>IF(J4934="","Baru/Tanpa Data",IF(J4934&lt;='Catatan &amp; Sumber'!$B$14,"Sangat Ketat",IF(J4934&lt;='Catatan &amp; Sumber'!$B$15,"Ketat",IF(J4934&lt;='Catatan &amp; Sumber'!$B$16,"Sedang","Relatif Longgar"))))</x:f>
        <x:v>Baru/Tanpa Data</x:v>
      </x:c>
      <x:c r="N4934" s="66" t="str">
        <x:v>Tidak Ada</x:v>
      </x:c>
      <x:c r="O4934" s="66" t="str">
        <x:v>Maluku</x:v>
      </x:c>
      <x:c r="P4934" s="66" t="str">
        <x:v>Kota Ambon</x:v>
      </x:c>
      <x:c r="Q4934" s="66" t="str">
        <x:v>https://snpmb.id/snbp/daya-tampung-snbp</x:v>
      </x:c>
      <x:c r="R4934" s="66" t="str">
        <x:v>https://sidatagrun-public-1076756628210.asia-southeast2.run.app/ptn_sn.php?ptn=811</x:v>
      </x:c>
    </x:row>
    <x:row r="4935">
      <x:c r="A4935" s="87"/>
      <x:c r="B4935" s="66" t="n">
        <x:v>811</x:v>
      </x:c>
      <x:c r="C4935" s="66" t="str">
        <x:v>UNIVERSITAS PATTIMURA</x:v>
      </x:c>
      <x:c r="D4935" s="66" t="str">
        <x:v>PTN Akademik</x:v>
      </x:c>
      <x:c r="E4935" s="66" t="str">
        <x:v>18111080</x:v>
      </x:c>
      <x:c r="F4935" s="66" t="str">
        <x:v>PENDIDIKAN GURU PENDIDIKAN ANAK USIA DINI</x:v>
      </x:c>
      <x:c r="G4935" s="66" t="str">
        <x:v>Sarjana</x:v>
      </x:c>
      <x:c r="H4935" s="87" t="n">
        <x:v>9</x:v>
      </x:c>
      <x:c r="I4935" s="87"/>
      <x:c r="J4935" s="68" t="str">
        <x:f>IFERROR(H4935/I4935,"")</x:f>
      </x:c>
      <x:c r="K4935" s="69" t="n">
        <x:f>IFERROR(I4935/H4935,"")</x:f>
        <x:v>0</x:v>
      </x:c>
      <x:c r="L4935" s="66" t="str">
        <x:f>IF(K4935="","","1 : "&amp;TEXT(K4935,"0.0"))</x:f>
      </x:c>
      <x:c r="M4935" s="66" t="str">
        <x:f>IF(J4935="","Baru/Tanpa Data",IF(J4935&lt;='Catatan &amp; Sumber'!$B$14,"Sangat Ketat",IF(J4935&lt;='Catatan &amp; Sumber'!$B$15,"Ketat",IF(J4935&lt;='Catatan &amp; Sumber'!$B$16,"Sedang","Relatif Longgar"))))</x:f>
        <x:v>Baru/Tanpa Data</x:v>
      </x:c>
      <x:c r="N4935" s="66" t="str">
        <x:v>Tidak Ada</x:v>
      </x:c>
      <x:c r="O4935" s="66" t="str">
        <x:v>Maluku</x:v>
      </x:c>
      <x:c r="P4935" s="66" t="str">
        <x:v>Kota Ambon</x:v>
      </x:c>
      <x:c r="Q4935" s="66" t="str">
        <x:v>https://snpmb.id/snbp/daya-tampung-snbp</x:v>
      </x:c>
      <x:c r="R4935" s="66" t="str">
        <x:v>https://sidatagrun-public-1076756628210.asia-southeast2.run.app/ptn_sn.php?ptn=811</x:v>
      </x:c>
    </x:row>
    <x:row r="4936">
      <x:c r="A4936" s="87"/>
      <x:c r="B4936" s="66" t="n">
        <x:v>811</x:v>
      </x:c>
      <x:c r="C4936" s="66" t="str">
        <x:v>UNIVERSITAS PATTIMURA</x:v>
      </x:c>
      <x:c r="D4936" s="66" t="str">
        <x:v>PTN Akademik</x:v>
      </x:c>
      <x:c r="E4936" s="66" t="str">
        <x:v>18111081</x:v>
      </x:c>
      <x:c r="F4936" s="66" t="str">
        <x:v>PEMBANGUNAN SOSIAL</x:v>
      </x:c>
      <x:c r="G4936" s="66" t="str">
        <x:v>Sarjana</x:v>
      </x:c>
      <x:c r="H4936" s="87" t="n">
        <x:v>9</x:v>
      </x:c>
      <x:c r="I4936" s="87"/>
      <x:c r="J4936" s="68" t="str">
        <x:f>IFERROR(H4936/I4936,"")</x:f>
      </x:c>
      <x:c r="K4936" s="69" t="n">
        <x:f>IFERROR(I4936/H4936,"")</x:f>
        <x:v>0</x:v>
      </x:c>
      <x:c r="L4936" s="66" t="str">
        <x:f>IF(K4936="","","1 : "&amp;TEXT(K4936,"0.0"))</x:f>
      </x:c>
      <x:c r="M4936" s="66" t="str">
        <x:f>IF(J4936="","Baru/Tanpa Data",IF(J4936&lt;='Catatan &amp; Sumber'!$B$14,"Sangat Ketat",IF(J4936&lt;='Catatan &amp; Sumber'!$B$15,"Ketat",IF(J4936&lt;='Catatan &amp; Sumber'!$B$16,"Sedang","Relatif Longgar"))))</x:f>
        <x:v>Baru/Tanpa Data</x:v>
      </x:c>
      <x:c r="N4936" s="66" t="str">
        <x:v>Tidak Ada</x:v>
      </x:c>
      <x:c r="O4936" s="66" t="str">
        <x:v>Maluku</x:v>
      </x:c>
      <x:c r="P4936" s="66" t="str">
        <x:v>Kota Ambon</x:v>
      </x:c>
      <x:c r="Q4936" s="66" t="str">
        <x:v>https://snpmb.id/snbp/daya-tampung-snbp</x:v>
      </x:c>
      <x:c r="R4936" s="66" t="str">
        <x:v>https://sidatagrun-public-1076756628210.asia-southeast2.run.app/ptn_sn.php?ptn=811</x:v>
      </x:c>
    </x:row>
    <x:row r="4937">
      <x:c r="A4937" s="87"/>
      <x:c r="B4937" s="66" t="n">
        <x:v>811</x:v>
      </x:c>
      <x:c r="C4937" s="66" t="str">
        <x:v>UNIVERSITAS PATTIMURA</x:v>
      </x:c>
      <x:c r="D4937" s="66" t="str">
        <x:v>PTN Akademik</x:v>
      </x:c>
      <x:c r="E4937" s="66" t="str">
        <x:v>18111082</x:v>
      </x:c>
      <x:c r="F4937" s="66" t="str">
        <x:v>OSEANOGRAFI</x:v>
      </x:c>
      <x:c r="G4937" s="66" t="str">
        <x:v>Sarjana</x:v>
      </x:c>
      <x:c r="H4937" s="87" t="n">
        <x:v>9</x:v>
      </x:c>
      <x:c r="I4937" s="87"/>
      <x:c r="J4937" s="68" t="str">
        <x:f>IFERROR(H4937/I4937,"")</x:f>
      </x:c>
      <x:c r="K4937" s="69" t="n">
        <x:f>IFERROR(I4937/H4937,"")</x:f>
        <x:v>0</x:v>
      </x:c>
      <x:c r="L4937" s="66" t="str">
        <x:f>IF(K4937="","","1 : "&amp;TEXT(K4937,"0.0"))</x:f>
      </x:c>
      <x:c r="M4937" s="66" t="str">
        <x:f>IF(J4937="","Baru/Tanpa Data",IF(J4937&lt;='Catatan &amp; Sumber'!$B$14,"Sangat Ketat",IF(J4937&lt;='Catatan &amp; Sumber'!$B$15,"Ketat",IF(J4937&lt;='Catatan &amp; Sumber'!$B$16,"Sedang","Relatif Longgar"))))</x:f>
        <x:v>Baru/Tanpa Data</x:v>
      </x:c>
      <x:c r="N4937" s="66" t="str">
        <x:v>Tidak Ada</x:v>
      </x:c>
      <x:c r="O4937" s="66" t="str">
        <x:v>Maluku</x:v>
      </x:c>
      <x:c r="P4937" s="66" t="str">
        <x:v>Kota Ambon</x:v>
      </x:c>
      <x:c r="Q4937" s="66" t="str">
        <x:v>https://snpmb.id/snbp/daya-tampung-snbp</x:v>
      </x:c>
      <x:c r="R4937" s="66" t="str">
        <x:v>https://sidatagrun-public-1076756628210.asia-southeast2.run.app/ptn_sn.php?ptn=811</x:v>
      </x:c>
    </x:row>
    <x:row r="4938">
      <x:c r="A4938" s="87" t="n">
        <x:v>3295</x:v>
      </x:c>
      <x:c r="B4938" s="66" t="n">
        <x:v>821</x:v>
      </x:c>
      <x:c r="C4938" s="66" t="str">
        <x:v>UNIVERSITAS KHAIRUN</x:v>
      </x:c>
      <x:c r="D4938" s="66" t="str">
        <x:v>PTN Akademik</x:v>
      </x:c>
      <x:c r="E4938" s="66" t="str">
        <x:v>18211001</x:v>
      </x:c>
      <x:c r="F4938" s="66" t="str">
        <x:v>TEKNIK SIPIL</x:v>
      </x:c>
      <x:c r="G4938" s="66" t="str">
        <x:v>Sarjana</x:v>
      </x:c>
      <x:c r="H4938" s="87" t="n">
        <x:v>59</x:v>
      </x:c>
      <x:c r="I4938" s="87" t="n">
        <x:v>158</x:v>
      </x:c>
      <x:c r="J4938" s="68" t="n">
        <x:f>IFERROR(H4938/I4938,"")</x:f>
        <x:v>0.37341772151898733</x:v>
      </x:c>
      <x:c r="K4938" s="69" t="n">
        <x:f>IFERROR(I4938/H4938,"")</x:f>
        <x:v>2.6779661016949152</x:v>
      </x:c>
      <x:c r="L4938" s="66" t="str">
        <x:f>IF(K4938="","","1 : "&amp;TEXT(K4938,"0.0"))</x:f>
        <x:v>1 : 2.7</x:v>
      </x:c>
      <x:c r="M4938" s="66" t="str">
        <x:f>IF(J4938="","Baru/Tanpa Data",IF(J4938&lt;='Catatan &amp; Sumber'!$B$14,"Sangat Ketat",IF(J4938&lt;='Catatan &amp; Sumber'!$B$15,"Ketat",IF(J4938&lt;='Catatan &amp; Sumber'!$B$16,"Sedang","Relatif Longgar"))))</x:f>
        <x:v>Relatif Longgar</x:v>
      </x:c>
      <x:c r="N4938" s="66" t="str">
        <x:v>Tidak Ada</x:v>
      </x:c>
      <x:c r="O4938" s="66" t="str">
        <x:v>Maluku Utara</x:v>
      </x:c>
      <x:c r="P4938" s="66" t="str">
        <x:v>Kota Ternate</x:v>
      </x:c>
      <x:c r="Q4938" s="66" t="str">
        <x:v>https://snpmb.id/snbp/daya-tampung-snbp</x:v>
      </x:c>
      <x:c r="R4938" s="66" t="str">
        <x:v>https://sidatagrun-public-1076756628210.asia-southeast2.run.app/ptn_sn.php?ptn=821</x:v>
      </x:c>
    </x:row>
    <x:row r="4939">
      <x:c r="A4939" s="87" t="n">
        <x:v>4439</x:v>
      </x:c>
      <x:c r="B4939" s="66" t="n">
        <x:v>821</x:v>
      </x:c>
      <x:c r="C4939" s="66" t="str">
        <x:v>UNIVERSITAS KHAIRUN</x:v>
      </x:c>
      <x:c r="D4939" s="66" t="str">
        <x:v>PTN Akademik</x:v>
      </x:c>
      <x:c r="E4939" s="66" t="str">
        <x:v>18211002</x:v>
      </x:c>
      <x:c r="F4939" s="66" t="str">
        <x:v>TEKNIK MESIN</x:v>
      </x:c>
      <x:c r="G4939" s="66" t="str">
        <x:v>Sarjana</x:v>
      </x:c>
      <x:c r="H4939" s="87" t="n">
        <x:v>30</x:v>
      </x:c>
      <x:c r="I4939" s="87" t="n">
        <x:v>25</x:v>
      </x:c>
      <x:c r="J4939" s="68" t="n">
        <x:f>IFERROR(H4939/I4939,"")</x:f>
        <x:v>1.2</x:v>
      </x:c>
      <x:c r="K4939" s="69" t="n">
        <x:f>IFERROR(I4939/H4939,"")</x:f>
        <x:v>0.8333333333333334</x:v>
      </x:c>
      <x:c r="L4939" s="66" t="str">
        <x:f>IF(K4939="","","1 : "&amp;TEXT(K4939,"0.0"))</x:f>
        <x:v>1 : 0.8</x:v>
      </x:c>
      <x:c r="M4939" s="66" t="str">
        <x:f>IF(J4939="","Baru/Tanpa Data",IF(J4939&lt;='Catatan &amp; Sumber'!$B$14,"Sangat Ketat",IF(J4939&lt;='Catatan &amp; Sumber'!$B$15,"Ketat",IF(J4939&lt;='Catatan &amp; Sumber'!$B$16,"Sedang","Relatif Longgar"))))</x:f>
        <x:v>Relatif Longgar</x:v>
      </x:c>
      <x:c r="N4939" s="66" t="str">
        <x:v>Tidak Ada</x:v>
      </x:c>
      <x:c r="O4939" s="66" t="str">
        <x:v>Maluku Utara</x:v>
      </x:c>
      <x:c r="P4939" s="66" t="str">
        <x:v>Kota Ternate</x:v>
      </x:c>
      <x:c r="Q4939" s="66" t="str">
        <x:v>https://snpmb.id/snbp/daya-tampung-snbp</x:v>
      </x:c>
      <x:c r="R4939" s="66" t="str">
        <x:v>https://sidatagrun-public-1076756628210.asia-southeast2.run.app/ptn_sn.php?ptn=821</x:v>
      </x:c>
    </x:row>
    <x:row r="4940">
      <x:c r="A4940" s="87" t="n">
        <x:v>4578</x:v>
      </x:c>
      <x:c r="B4940" s="66" t="n">
        <x:v>821</x:v>
      </x:c>
      <x:c r="C4940" s="66" t="str">
        <x:v>UNIVERSITAS KHAIRUN</x:v>
      </x:c>
      <x:c r="D4940" s="66" t="str">
        <x:v>PTN Akademik</x:v>
      </x:c>
      <x:c r="E4940" s="66" t="str">
        <x:v>18211003</x:v>
      </x:c>
      <x:c r="F4940" s="66" t="str">
        <x:v>TEKNIK ELEKTRO</x:v>
      </x:c>
      <x:c r="G4940" s="66" t="str">
        <x:v>Sarjana</x:v>
      </x:c>
      <x:c r="H4940" s="87" t="n">
        <x:v>36</x:v>
      </x:c>
      <x:c r="I4940" s="87" t="n">
        <x:v>23</x:v>
      </x:c>
      <x:c r="J4940" s="68" t="n">
        <x:f>IFERROR(H4940/I4940,"")</x:f>
        <x:v>1.565217391304348</x:v>
      </x:c>
      <x:c r="K4940" s="69" t="n">
        <x:f>IFERROR(I4940/H4940,"")</x:f>
        <x:v>0.6388888888888888</x:v>
      </x:c>
      <x:c r="L4940" s="66" t="str">
        <x:f>IF(K4940="","","1 : "&amp;TEXT(K4940,"0.0"))</x:f>
        <x:v>1 : 0.6</x:v>
      </x:c>
      <x:c r="M4940" s="66" t="str">
        <x:f>IF(J4940="","Baru/Tanpa Data",IF(J4940&lt;='Catatan &amp; Sumber'!$B$14,"Sangat Ketat",IF(J4940&lt;='Catatan &amp; Sumber'!$B$15,"Ketat",IF(J4940&lt;='Catatan &amp; Sumber'!$B$16,"Sedang","Relatif Longgar"))))</x:f>
        <x:v>Relatif Longgar</x:v>
      </x:c>
      <x:c r="N4940" s="66" t="str">
        <x:v>Tidak Ada</x:v>
      </x:c>
      <x:c r="O4940" s="66" t="str">
        <x:v>Maluku Utara</x:v>
      </x:c>
      <x:c r="P4940" s="66" t="str">
        <x:v>Kota Ternate</x:v>
      </x:c>
      <x:c r="Q4940" s="66" t="str">
        <x:v>https://snpmb.id/snbp/daya-tampung-snbp</x:v>
      </x:c>
      <x:c r="R4940" s="66" t="str">
        <x:v>https://sidatagrun-public-1076756628210.asia-southeast2.run.app/ptn_sn.php?ptn=821</x:v>
      </x:c>
    </x:row>
    <x:row r="4941">
      <x:c r="A4941" s="87" t="n">
        <x:v>4085</x:v>
      </x:c>
      <x:c r="B4941" s="66" t="n">
        <x:v>821</x:v>
      </x:c>
      <x:c r="C4941" s="66" t="str">
        <x:v>UNIVERSITAS KHAIRUN</x:v>
      </x:c>
      <x:c r="D4941" s="66" t="str">
        <x:v>PTN Akademik</x:v>
      </x:c>
      <x:c r="E4941" s="66" t="str">
        <x:v>18211004</x:v>
      </x:c>
      <x:c r="F4941" s="66" t="str">
        <x:v>ARSITEKTUR</x:v>
      </x:c>
      <x:c r="G4941" s="66" t="str">
        <x:v>Sarjana</x:v>
      </x:c>
      <x:c r="H4941" s="87" t="n">
        <x:v>36</x:v>
      </x:c>
      <x:c r="I4941" s="87" t="n">
        <x:v>48</x:v>
      </x:c>
      <x:c r="J4941" s="68" t="n">
        <x:f>IFERROR(H4941/I4941,"")</x:f>
        <x:v>0.75</x:v>
      </x:c>
      <x:c r="K4941" s="69" t="n">
        <x:f>IFERROR(I4941/H4941,"")</x:f>
        <x:v>1.3333333333333333</x:v>
      </x:c>
      <x:c r="L4941" s="66" t="str">
        <x:f>IF(K4941="","","1 : "&amp;TEXT(K4941,"0.0"))</x:f>
        <x:v>1 : 1.3</x:v>
      </x:c>
      <x:c r="M4941" s="66" t="str">
        <x:f>IF(J4941="","Baru/Tanpa Data",IF(J4941&lt;='Catatan &amp; Sumber'!$B$14,"Sangat Ketat",IF(J4941&lt;='Catatan &amp; Sumber'!$B$15,"Ketat",IF(J4941&lt;='Catatan &amp; Sumber'!$B$16,"Sedang","Relatif Longgar"))))</x:f>
        <x:v>Relatif Longgar</x:v>
      </x:c>
      <x:c r="N4941" s="66" t="str">
        <x:v>Tidak Ada</x:v>
      </x:c>
      <x:c r="O4941" s="66" t="str">
        <x:v>Maluku Utara</x:v>
      </x:c>
      <x:c r="P4941" s="66" t="str">
        <x:v>Kota Ternate</x:v>
      </x:c>
      <x:c r="Q4941" s="66" t="str">
        <x:v>https://snpmb.id/snbp/daya-tampung-snbp</x:v>
      </x:c>
      <x:c r="R4941" s="66" t="str">
        <x:v>https://sidatagrun-public-1076756628210.asia-southeast2.run.app/ptn_sn.php?ptn=821</x:v>
      </x:c>
    </x:row>
    <x:row r="4942">
      <x:c r="A4942" s="87" t="n">
        <x:v>4170</x:v>
      </x:c>
      <x:c r="B4942" s="66" t="n">
        <x:v>821</x:v>
      </x:c>
      <x:c r="C4942" s="66" t="str">
        <x:v>UNIVERSITAS KHAIRUN</x:v>
      </x:c>
      <x:c r="D4942" s="66" t="str">
        <x:v>PTN Akademik</x:v>
      </x:c>
      <x:c r="E4942" s="66" t="str">
        <x:v>18211005</x:v>
      </x:c>
      <x:c r="F4942" s="66" t="str">
        <x:v>TEKNOLOGI PERTANIAN</x:v>
      </x:c>
      <x:c r="G4942" s="66" t="str">
        <x:v>Sarjana</x:v>
      </x:c>
      <x:c r="H4942" s="87" t="n">
        <x:v>15</x:v>
      </x:c>
      <x:c r="I4942" s="87" t="n">
        <x:v>18</x:v>
      </x:c>
      <x:c r="J4942" s="68" t="n">
        <x:f>IFERROR(H4942/I4942,"")</x:f>
        <x:v>0.8333333333333334</x:v>
      </x:c>
      <x:c r="K4942" s="69" t="n">
        <x:f>IFERROR(I4942/H4942,"")</x:f>
        <x:v>1.2</x:v>
      </x:c>
      <x:c r="L4942" s="66" t="str">
        <x:f>IF(K4942="","","1 : "&amp;TEXT(K4942,"0.0"))</x:f>
        <x:v>1 : 1.2</x:v>
      </x:c>
      <x:c r="M4942" s="66" t="str">
        <x:f>IF(J4942="","Baru/Tanpa Data",IF(J4942&lt;='Catatan &amp; Sumber'!$B$14,"Sangat Ketat",IF(J4942&lt;='Catatan &amp; Sumber'!$B$15,"Ketat",IF(J4942&lt;='Catatan &amp; Sumber'!$B$16,"Sedang","Relatif Longgar"))))</x:f>
        <x:v>Relatif Longgar</x:v>
      </x:c>
      <x:c r="N4942" s="66" t="str">
        <x:v>Tidak Ada</x:v>
      </x:c>
      <x:c r="O4942" s="66" t="str">
        <x:v>Maluku Utara</x:v>
      </x:c>
      <x:c r="P4942" s="66" t="str">
        <x:v>Kota Ternate</x:v>
      </x:c>
      <x:c r="Q4942" s="66" t="str">
        <x:v>https://snpmb.id/snbp/daya-tampung-snbp</x:v>
      </x:c>
      <x:c r="R4942" s="66" t="str">
        <x:v>https://sidatagrun-public-1076756628210.asia-southeast2.run.app/ptn_sn.php?ptn=821</x:v>
      </x:c>
    </x:row>
    <x:row r="4943">
      <x:c r="A4943" s="87" t="n">
        <x:v>4545</x:v>
      </x:c>
      <x:c r="B4943" s="66" t="n">
        <x:v>821</x:v>
      </x:c>
      <x:c r="C4943" s="66" t="str">
        <x:v>UNIVERSITAS KHAIRUN</x:v>
      </x:c>
      <x:c r="D4943" s="66" t="str">
        <x:v>PTN Akademik</x:v>
      </x:c>
      <x:c r="E4943" s="66" t="str">
        <x:v>18211006</x:v>
      </x:c>
      <x:c r="F4943" s="66" t="str">
        <x:v>PETERNAKAN</x:v>
      </x:c>
      <x:c r="G4943" s="66" t="str">
        <x:v>Sarjana</x:v>
      </x:c>
      <x:c r="H4943" s="87" t="n">
        <x:v>15</x:v>
      </x:c>
      <x:c r="I4943" s="87" t="n">
        <x:v>10</x:v>
      </x:c>
      <x:c r="J4943" s="68" t="n">
        <x:f>IFERROR(H4943/I4943,"")</x:f>
        <x:v>1.5</x:v>
      </x:c>
      <x:c r="K4943" s="69" t="n">
        <x:f>IFERROR(I4943/H4943,"")</x:f>
        <x:v>0.6666666666666666</x:v>
      </x:c>
      <x:c r="L4943" s="66" t="str">
        <x:f>IF(K4943="","","1 : "&amp;TEXT(K4943,"0.0"))</x:f>
        <x:v>1 : 0.7</x:v>
      </x:c>
      <x:c r="M4943" s="66" t="str">
        <x:f>IF(J4943="","Baru/Tanpa Data",IF(J4943&lt;='Catatan &amp; Sumber'!$B$14,"Sangat Ketat",IF(J4943&lt;='Catatan &amp; Sumber'!$B$15,"Ketat",IF(J4943&lt;='Catatan &amp; Sumber'!$B$16,"Sedang","Relatif Longgar"))))</x:f>
        <x:v>Relatif Longgar</x:v>
      </x:c>
      <x:c r="N4943" s="66" t="str">
        <x:v>Tidak Ada</x:v>
      </x:c>
      <x:c r="O4943" s="66" t="str">
        <x:v>Maluku Utara</x:v>
      </x:c>
      <x:c r="P4943" s="66" t="str">
        <x:v>Kota Ternate</x:v>
      </x:c>
      <x:c r="Q4943" s="66" t="str">
        <x:v>https://snpmb.id/snbp/daya-tampung-snbp</x:v>
      </x:c>
      <x:c r="R4943" s="66" t="str">
        <x:v>https://sidatagrun-public-1076756628210.asia-southeast2.run.app/ptn_sn.php?ptn=821</x:v>
      </x:c>
    </x:row>
    <x:row r="4944">
      <x:c r="A4944" s="87" t="n">
        <x:v>4759</x:v>
      </x:c>
      <x:c r="B4944" s="66" t="n">
        <x:v>821</x:v>
      </x:c>
      <x:c r="C4944" s="66" t="str">
        <x:v>UNIVERSITAS KHAIRUN</x:v>
      </x:c>
      <x:c r="D4944" s="66" t="str">
        <x:v>PTN Akademik</x:v>
      </x:c>
      <x:c r="E4944" s="66" t="str">
        <x:v>18211007</x:v>
      </x:c>
      <x:c r="F4944" s="66" t="str">
        <x:v>MANAJEMEN SUMBERDAYA PERAIRAN</x:v>
      </x:c>
      <x:c r="G4944" s="66" t="str">
        <x:v>Sarjana</x:v>
      </x:c>
      <x:c r="H4944" s="87" t="n">
        <x:v>18</x:v>
      </x:c>
      <x:c r="I4944" s="87" t="n">
        <x:v>6</x:v>
      </x:c>
      <x:c r="J4944" s="68" t="n">
        <x:f>IFERROR(H4944/I4944,"")</x:f>
        <x:v>3</x:v>
      </x:c>
      <x:c r="K4944" s="69" t="n">
        <x:f>IFERROR(I4944/H4944,"")</x:f>
        <x:v>0.3333333333333333</x:v>
      </x:c>
      <x:c r="L4944" s="66" t="str">
        <x:f>IF(K4944="","","1 : "&amp;TEXT(K4944,"0.0"))</x:f>
        <x:v>1 : 0.3</x:v>
      </x:c>
      <x:c r="M4944" s="66" t="str">
        <x:f>IF(J4944="","Baru/Tanpa Data",IF(J4944&lt;='Catatan &amp; Sumber'!$B$14,"Sangat Ketat",IF(J4944&lt;='Catatan &amp; Sumber'!$B$15,"Ketat",IF(J4944&lt;='Catatan &amp; Sumber'!$B$16,"Sedang","Relatif Longgar"))))</x:f>
        <x:v>Relatif Longgar</x:v>
      </x:c>
      <x:c r="N4944" s="66" t="str">
        <x:v>Tidak Ada</x:v>
      </x:c>
      <x:c r="O4944" s="66" t="str">
        <x:v>Maluku Utara</x:v>
      </x:c>
      <x:c r="P4944" s="66" t="str">
        <x:v>Kota Ternate</x:v>
      </x:c>
      <x:c r="Q4944" s="66" t="str">
        <x:v>https://snpmb.id/snbp/daya-tampung-snbp</x:v>
      </x:c>
      <x:c r="R4944" s="66" t="str">
        <x:v>https://sidatagrun-public-1076756628210.asia-southeast2.run.app/ptn_sn.php?ptn=821</x:v>
      </x:c>
    </x:row>
    <x:row r="4945">
      <x:c r="A4945" s="87" t="n">
        <x:v>4379</x:v>
      </x:c>
      <x:c r="B4945" s="66" t="n">
        <x:v>821</x:v>
      </x:c>
      <x:c r="C4945" s="66" t="str">
        <x:v>UNIVERSITAS KHAIRUN</x:v>
      </x:c>
      <x:c r="D4945" s="66" t="str">
        <x:v>PTN Akademik</x:v>
      </x:c>
      <x:c r="E4945" s="66" t="str">
        <x:v>18211008</x:v>
      </x:c>
      <x:c r="F4945" s="66" t="str">
        <x:v>ILMU KELAUTAN</x:v>
      </x:c>
      <x:c r="G4945" s="66" t="str">
        <x:v>Sarjana</x:v>
      </x:c>
      <x:c r="H4945" s="87" t="n">
        <x:v>12</x:v>
      </x:c>
      <x:c r="I4945" s="87" t="n">
        <x:v>11</x:v>
      </x:c>
      <x:c r="J4945" s="68" t="n">
        <x:f>IFERROR(H4945/I4945,"")</x:f>
        <x:v>1.0909090909090908</x:v>
      </x:c>
      <x:c r="K4945" s="69" t="n">
        <x:f>IFERROR(I4945/H4945,"")</x:f>
        <x:v>0.9166666666666666</x:v>
      </x:c>
      <x:c r="L4945" s="66" t="str">
        <x:f>IF(K4945="","","1 : "&amp;TEXT(K4945,"0.0"))</x:f>
        <x:v>1 : 0.9</x:v>
      </x:c>
      <x:c r="M4945" s="66" t="str">
        <x:f>IF(J4945="","Baru/Tanpa Data",IF(J4945&lt;='Catatan &amp; Sumber'!$B$14,"Sangat Ketat",IF(J4945&lt;='Catatan &amp; Sumber'!$B$15,"Ketat",IF(J4945&lt;='Catatan &amp; Sumber'!$B$16,"Sedang","Relatif Longgar"))))</x:f>
        <x:v>Relatif Longgar</x:v>
      </x:c>
      <x:c r="N4945" s="66" t="str">
        <x:v>Tidak Ada</x:v>
      </x:c>
      <x:c r="O4945" s="66" t="str">
        <x:v>Maluku Utara</x:v>
      </x:c>
      <x:c r="P4945" s="66" t="str">
        <x:v>Kota Ternate</x:v>
      </x:c>
      <x:c r="Q4945" s="66" t="str">
        <x:v>https://snpmb.id/snbp/daya-tampung-snbp</x:v>
      </x:c>
      <x:c r="R4945" s="66" t="str">
        <x:v>https://sidatagrun-public-1076756628210.asia-southeast2.run.app/ptn_sn.php?ptn=821</x:v>
      </x:c>
    </x:row>
    <x:row r="4946">
      <x:c r="A4946" s="87" t="n">
        <x:v>4711</x:v>
      </x:c>
      <x:c r="B4946" s="66" t="n">
        <x:v>821</x:v>
      </x:c>
      <x:c r="C4946" s="66" t="str">
        <x:v>UNIVERSITAS KHAIRUN</x:v>
      </x:c>
      <x:c r="D4946" s="66" t="str">
        <x:v>PTN Akademik</x:v>
      </x:c>
      <x:c r="E4946" s="66" t="str">
        <x:v>18211009</x:v>
      </x:c>
      <x:c r="F4946" s="66" t="str">
        <x:v>PEMANFAATAN SUMBERDAYA PERAIRAN</x:v>
      </x:c>
      <x:c r="G4946" s="66" t="str">
        <x:v>Sarjana</x:v>
      </x:c>
      <x:c r="H4946" s="87" t="n">
        <x:v>12</x:v>
      </x:c>
      <x:c r="I4946" s="87" t="n">
        <x:v>5</x:v>
      </x:c>
      <x:c r="J4946" s="68" t="n">
        <x:f>IFERROR(H4946/I4946,"")</x:f>
        <x:v>2.4</x:v>
      </x:c>
      <x:c r="K4946" s="69" t="n">
        <x:f>IFERROR(I4946/H4946,"")</x:f>
        <x:v>0.4166666666666667</x:v>
      </x:c>
      <x:c r="L4946" s="66" t="str">
        <x:f>IF(K4946="","","1 : "&amp;TEXT(K4946,"0.0"))</x:f>
        <x:v>1 : 0.4</x:v>
      </x:c>
      <x:c r="M4946" s="66" t="str">
        <x:f>IF(J4946="","Baru/Tanpa Data",IF(J4946&lt;='Catatan &amp; Sumber'!$B$14,"Sangat Ketat",IF(J4946&lt;='Catatan &amp; Sumber'!$B$15,"Ketat",IF(J4946&lt;='Catatan &amp; Sumber'!$B$16,"Sedang","Relatif Longgar"))))</x:f>
        <x:v>Relatif Longgar</x:v>
      </x:c>
      <x:c r="N4946" s="66" t="str">
        <x:v>Tidak Ada</x:v>
      </x:c>
      <x:c r="O4946" s="66" t="str">
        <x:v>Maluku Utara</x:v>
      </x:c>
      <x:c r="P4946" s="66" t="str">
        <x:v>Kota Ternate</x:v>
      </x:c>
      <x:c r="Q4946" s="66" t="str">
        <x:v>https://snpmb.id/snbp/daya-tampung-snbp</x:v>
      </x:c>
      <x:c r="R4946" s="66" t="str">
        <x:v>https://sidatagrun-public-1076756628210.asia-southeast2.run.app/ptn_sn.php?ptn=821</x:v>
      </x:c>
    </x:row>
    <x:row r="4947">
      <x:c r="A4947" s="87" t="n">
        <x:v>4812</x:v>
      </x:c>
      <x:c r="B4947" s="66" t="n">
        <x:v>821</x:v>
      </x:c>
      <x:c r="C4947" s="66" t="str">
        <x:v>UNIVERSITAS KHAIRUN</x:v>
      </x:c>
      <x:c r="D4947" s="66" t="str">
        <x:v>PTN Akademik</x:v>
      </x:c>
      <x:c r="E4947" s="66" t="str">
        <x:v>18211010</x:v>
      </x:c>
      <x:c r="F4947" s="66" t="str">
        <x:v>BUDIDAYA PERAIRAN</x:v>
      </x:c>
      <x:c r="G4947" s="66" t="str">
        <x:v>Sarjana</x:v>
      </x:c>
      <x:c r="H4947" s="87" t="n">
        <x:v>12</x:v>
      </x:c>
      <x:c r="I4947" s="87" t="n">
        <x:v>3</x:v>
      </x:c>
      <x:c r="J4947" s="68" t="n">
        <x:f>IFERROR(H4947/I4947,"")</x:f>
        <x:v>4</x:v>
      </x:c>
      <x:c r="K4947" s="69" t="n">
        <x:f>IFERROR(I4947/H4947,"")</x:f>
        <x:v>0.25</x:v>
      </x:c>
      <x:c r="L4947" s="66" t="str">
        <x:f>IF(K4947="","","1 : "&amp;TEXT(K4947,"0.0"))</x:f>
        <x:v>1 : 0.3</x:v>
      </x:c>
      <x:c r="M4947" s="66" t="str">
        <x:f>IF(J4947="","Baru/Tanpa Data",IF(J4947&lt;='Catatan &amp; Sumber'!$B$14,"Sangat Ketat",IF(J4947&lt;='Catatan &amp; Sumber'!$B$15,"Ketat",IF(J4947&lt;='Catatan &amp; Sumber'!$B$16,"Sedang","Relatif Longgar"))))</x:f>
        <x:v>Relatif Longgar</x:v>
      </x:c>
      <x:c r="N4947" s="66" t="str">
        <x:v>Tidak Ada</x:v>
      </x:c>
      <x:c r="O4947" s="66" t="str">
        <x:v>Maluku Utara</x:v>
      </x:c>
      <x:c r="P4947" s="66" t="str">
        <x:v>Kota Ternate</x:v>
      </x:c>
      <x:c r="Q4947" s="66" t="str">
        <x:v>https://snpmb.id/snbp/daya-tampung-snbp</x:v>
      </x:c>
      <x:c r="R4947" s="66" t="str">
        <x:v>https://sidatagrun-public-1076756628210.asia-southeast2.run.app/ptn_sn.php?ptn=821</x:v>
      </x:c>
    </x:row>
    <x:row r="4948">
      <x:c r="A4948" s="87" t="n">
        <x:v>4305</x:v>
      </x:c>
      <x:c r="B4948" s="66" t="n">
        <x:v>821</x:v>
      </x:c>
      <x:c r="C4948" s="66" t="str">
        <x:v>UNIVERSITAS KHAIRUN</x:v>
      </x:c>
      <x:c r="D4948" s="66" t="str">
        <x:v>PTN Akademik</x:v>
      </x:c>
      <x:c r="E4948" s="66" t="str">
        <x:v>18211011</x:v>
      </x:c>
      <x:c r="F4948" s="66" t="str">
        <x:v>PEND. MATEMATIKA</x:v>
      </x:c>
      <x:c r="G4948" s="66" t="str">
        <x:v>Sarjana</x:v>
      </x:c>
      <x:c r="H4948" s="87" t="n">
        <x:v>29</x:v>
      </x:c>
      <x:c r="I4948" s="87" t="n">
        <x:v>29</x:v>
      </x:c>
      <x:c r="J4948" s="68" t="n">
        <x:f>IFERROR(H4948/I4948,"")</x:f>
        <x:v>1</x:v>
      </x:c>
      <x:c r="K4948" s="69" t="n">
        <x:f>IFERROR(I4948/H4948,"")</x:f>
        <x:v>1</x:v>
      </x:c>
      <x:c r="L4948" s="66" t="str">
        <x:f>IF(K4948="","","1 : "&amp;TEXT(K4948,"0.0"))</x:f>
        <x:v>1 : 1.0</x:v>
      </x:c>
      <x:c r="M4948" s="66" t="str">
        <x:f>IF(J4948="","Baru/Tanpa Data",IF(J4948&lt;='Catatan &amp; Sumber'!$B$14,"Sangat Ketat",IF(J4948&lt;='Catatan &amp; Sumber'!$B$15,"Ketat",IF(J4948&lt;='Catatan &amp; Sumber'!$B$16,"Sedang","Relatif Longgar"))))</x:f>
        <x:v>Relatif Longgar</x:v>
      </x:c>
      <x:c r="N4948" s="66" t="str">
        <x:v>Tidak Ada</x:v>
      </x:c>
      <x:c r="O4948" s="66" t="str">
        <x:v>Maluku Utara</x:v>
      </x:c>
      <x:c r="P4948" s="66" t="str">
        <x:v>Kota Ternate</x:v>
      </x:c>
      <x:c r="Q4948" s="66" t="str">
        <x:v>https://snpmb.id/snbp/daya-tampung-snbp</x:v>
      </x:c>
      <x:c r="R4948" s="66" t="str">
        <x:v>https://sidatagrun-public-1076756628210.asia-southeast2.run.app/ptn_sn.php?ptn=821</x:v>
      </x:c>
    </x:row>
    <x:row r="4949">
      <x:c r="A4949" s="87" t="n">
        <x:v>4067</x:v>
      </x:c>
      <x:c r="B4949" s="66" t="n">
        <x:v>821</x:v>
      </x:c>
      <x:c r="C4949" s="66" t="str">
        <x:v>UNIVERSITAS KHAIRUN</x:v>
      </x:c>
      <x:c r="D4949" s="66" t="str">
        <x:v>PTN Akademik</x:v>
      </x:c>
      <x:c r="E4949" s="66" t="str">
        <x:v>18211012</x:v>
      </x:c>
      <x:c r="F4949" s="66" t="str">
        <x:v>PEND. BIOLOGI</x:v>
      </x:c>
      <x:c r="G4949" s="66" t="str">
        <x:v>Sarjana</x:v>
      </x:c>
      <x:c r="H4949" s="87" t="n">
        <x:v>30</x:v>
      </x:c>
      <x:c r="I4949" s="87" t="n">
        <x:v>41</x:v>
      </x:c>
      <x:c r="J4949" s="68" t="n">
        <x:f>IFERROR(H4949/I4949,"")</x:f>
        <x:v>0.7317073170731707</x:v>
      </x:c>
      <x:c r="K4949" s="69" t="n">
        <x:f>IFERROR(I4949/H4949,"")</x:f>
        <x:v>1.3666666666666667</x:v>
      </x:c>
      <x:c r="L4949" s="66" t="str">
        <x:f>IF(K4949="","","1 : "&amp;TEXT(K4949,"0.0"))</x:f>
        <x:v>1 : 1.4</x:v>
      </x:c>
      <x:c r="M4949" s="66" t="str">
        <x:f>IF(J4949="","Baru/Tanpa Data",IF(J4949&lt;='Catatan &amp; Sumber'!$B$14,"Sangat Ketat",IF(J4949&lt;='Catatan &amp; Sumber'!$B$15,"Ketat",IF(J4949&lt;='Catatan &amp; Sumber'!$B$16,"Sedang","Relatif Longgar"))))</x:f>
        <x:v>Relatif Longgar</x:v>
      </x:c>
      <x:c r="N4949" s="66" t="str">
        <x:v>Tidak Ada</x:v>
      </x:c>
      <x:c r="O4949" s="66" t="str">
        <x:v>Maluku Utara</x:v>
      </x:c>
      <x:c r="P4949" s="66" t="str">
        <x:v>Kota Ternate</x:v>
      </x:c>
      <x:c r="Q4949" s="66" t="str">
        <x:v>https://snpmb.id/snbp/daya-tampung-snbp</x:v>
      </x:c>
      <x:c r="R4949" s="66" t="str">
        <x:v>https://sidatagrun-public-1076756628210.asia-southeast2.run.app/ptn_sn.php?ptn=821</x:v>
      </x:c>
    </x:row>
    <x:row r="4950">
      <x:c r="A4950" s="87" t="n">
        <x:v>4275</x:v>
      </x:c>
      <x:c r="B4950" s="66" t="n">
        <x:v>821</x:v>
      </x:c>
      <x:c r="C4950" s="66" t="str">
        <x:v>UNIVERSITAS KHAIRUN</x:v>
      </x:c>
      <x:c r="D4950" s="66" t="str">
        <x:v>PTN Akademik</x:v>
      </x:c>
      <x:c r="E4950" s="66" t="str">
        <x:v>18211013</x:v>
      </x:c>
      <x:c r="F4950" s="66" t="str">
        <x:v>PEND. FISIKA</x:v>
      </x:c>
      <x:c r="G4950" s="66" t="str">
        <x:v>Sarjana</x:v>
      </x:c>
      <x:c r="H4950" s="87" t="n">
        <x:v>15</x:v>
      </x:c>
      <x:c r="I4950" s="87" t="n">
        <x:v>16</x:v>
      </x:c>
      <x:c r="J4950" s="68" t="n">
        <x:f>IFERROR(H4950/I4950,"")</x:f>
        <x:v>0.9375</x:v>
      </x:c>
      <x:c r="K4950" s="69" t="n">
        <x:f>IFERROR(I4950/H4950,"")</x:f>
        <x:v>1.0666666666666667</x:v>
      </x:c>
      <x:c r="L4950" s="66" t="str">
        <x:f>IF(K4950="","","1 : "&amp;TEXT(K4950,"0.0"))</x:f>
        <x:v>1 : 1.1</x:v>
      </x:c>
      <x:c r="M4950" s="66" t="str">
        <x:f>IF(J4950="","Baru/Tanpa Data",IF(J4950&lt;='Catatan &amp; Sumber'!$B$14,"Sangat Ketat",IF(J4950&lt;='Catatan &amp; Sumber'!$B$15,"Ketat",IF(J4950&lt;='Catatan &amp; Sumber'!$B$16,"Sedang","Relatif Longgar"))))</x:f>
        <x:v>Relatif Longgar</x:v>
      </x:c>
      <x:c r="N4950" s="66" t="str">
        <x:v>Tidak Ada</x:v>
      </x:c>
      <x:c r="O4950" s="66" t="str">
        <x:v>Maluku Utara</x:v>
      </x:c>
      <x:c r="P4950" s="66" t="str">
        <x:v>Kota Ternate</x:v>
      </x:c>
      <x:c r="Q4950" s="66" t="str">
        <x:v>https://snpmb.id/snbp/daya-tampung-snbp</x:v>
      </x:c>
      <x:c r="R4950" s="66" t="str">
        <x:v>https://sidatagrun-public-1076756628210.asia-southeast2.run.app/ptn_sn.php?ptn=821</x:v>
      </x:c>
    </x:row>
    <x:row r="4951">
      <x:c r="A4951" s="87" t="n">
        <x:v>4198</x:v>
      </x:c>
      <x:c r="B4951" s="66" t="n">
        <x:v>821</x:v>
      </x:c>
      <x:c r="C4951" s="66" t="str">
        <x:v>UNIVERSITAS KHAIRUN</x:v>
      </x:c>
      <x:c r="D4951" s="66" t="str">
        <x:v>PTN Akademik</x:v>
      </x:c>
      <x:c r="E4951" s="66" t="str">
        <x:v>18211014</x:v>
      </x:c>
      <x:c r="F4951" s="66" t="str">
        <x:v>PEND. KIMIA</x:v>
      </x:c>
      <x:c r="G4951" s="66" t="str">
        <x:v>Sarjana</x:v>
      </x:c>
      <x:c r="H4951" s="87" t="n">
        <x:v>24</x:v>
      </x:c>
      <x:c r="I4951" s="87" t="n">
        <x:v>28</x:v>
      </x:c>
      <x:c r="J4951" s="68" t="n">
        <x:f>IFERROR(H4951/I4951,"")</x:f>
        <x:v>0.8571428571428571</x:v>
      </x:c>
      <x:c r="K4951" s="69" t="n">
        <x:f>IFERROR(I4951/H4951,"")</x:f>
        <x:v>1.1666666666666667</x:v>
      </x:c>
      <x:c r="L4951" s="66" t="str">
        <x:f>IF(K4951="","","1 : "&amp;TEXT(K4951,"0.0"))</x:f>
        <x:v>1 : 1.2</x:v>
      </x:c>
      <x:c r="M4951" s="66" t="str">
        <x:f>IF(J4951="","Baru/Tanpa Data",IF(J4951&lt;='Catatan &amp; Sumber'!$B$14,"Sangat Ketat",IF(J4951&lt;='Catatan &amp; Sumber'!$B$15,"Ketat",IF(J4951&lt;='Catatan &amp; Sumber'!$B$16,"Sedang","Relatif Longgar"))))</x:f>
        <x:v>Relatif Longgar</x:v>
      </x:c>
      <x:c r="N4951" s="66" t="str">
        <x:v>Tidak Ada</x:v>
      </x:c>
      <x:c r="O4951" s="66" t="str">
        <x:v>Maluku Utara</x:v>
      </x:c>
      <x:c r="P4951" s="66" t="str">
        <x:v>Kota Ternate</x:v>
      </x:c>
      <x:c r="Q4951" s="66" t="str">
        <x:v>https://snpmb.id/snbp/daya-tampung-snbp</x:v>
      </x:c>
      <x:c r="R4951" s="66" t="str">
        <x:v>https://sidatagrun-public-1076756628210.asia-southeast2.run.app/ptn_sn.php?ptn=821</x:v>
      </x:c>
    </x:row>
    <x:row r="4952">
      <x:c r="A4952" s="87" t="n">
        <x:v>4602</x:v>
      </x:c>
      <x:c r="B4952" s="66" t="n">
        <x:v>821</x:v>
      </x:c>
      <x:c r="C4952" s="66" t="str">
        <x:v>UNIVERSITAS KHAIRUN</x:v>
      </x:c>
      <x:c r="D4952" s="66" t="str">
        <x:v>PTN Akademik</x:v>
      </x:c>
      <x:c r="E4952" s="66" t="str">
        <x:v>18211015</x:v>
      </x:c>
      <x:c r="F4952" s="66" t="str">
        <x:v>AGROTEKNOLOGI</x:v>
      </x:c>
      <x:c r="G4952" s="66" t="str">
        <x:v>Sarjana</x:v>
      </x:c>
      <x:c r="H4952" s="87" t="n">
        <x:v>15</x:v>
      </x:c>
      <x:c r="I4952" s="87" t="n">
        <x:v>9</x:v>
      </x:c>
      <x:c r="J4952" s="68" t="n">
        <x:f>IFERROR(H4952/I4952,"")</x:f>
        <x:v>1.6666666666666667</x:v>
      </x:c>
      <x:c r="K4952" s="69" t="n">
        <x:f>IFERROR(I4952/H4952,"")</x:f>
        <x:v>0.6</x:v>
      </x:c>
      <x:c r="L4952" s="66" t="str">
        <x:f>IF(K4952="","","1 : "&amp;TEXT(K4952,"0.0"))</x:f>
        <x:v>1 : 0.6</x:v>
      </x:c>
      <x:c r="M4952" s="66" t="str">
        <x:f>IF(J4952="","Baru/Tanpa Data",IF(J4952&lt;='Catatan &amp; Sumber'!$B$14,"Sangat Ketat",IF(J4952&lt;='Catatan &amp; Sumber'!$B$15,"Ketat",IF(J4952&lt;='Catatan &amp; Sumber'!$B$16,"Sedang","Relatif Longgar"))))</x:f>
        <x:v>Relatif Longgar</x:v>
      </x:c>
      <x:c r="N4952" s="66" t="str">
        <x:v>Tidak Ada</x:v>
      </x:c>
      <x:c r="O4952" s="66" t="str">
        <x:v>Maluku Utara</x:v>
      </x:c>
      <x:c r="P4952" s="66" t="str">
        <x:v>Kota Ternate</x:v>
      </x:c>
      <x:c r="Q4952" s="66" t="str">
        <x:v>https://snpmb.id/snbp/daya-tampung-snbp</x:v>
      </x:c>
      <x:c r="R4952" s="66" t="str">
        <x:v>https://sidatagrun-public-1076756628210.asia-southeast2.run.app/ptn_sn.php?ptn=821</x:v>
      </x:c>
    </x:row>
    <x:row r="4953">
      <x:c r="A4953" s="87" t="n">
        <x:v>2261</x:v>
      </x:c>
      <x:c r="B4953" s="66" t="n">
        <x:v>821</x:v>
      </x:c>
      <x:c r="C4953" s="66" t="str">
        <x:v>UNIVERSITAS KHAIRUN</x:v>
      </x:c>
      <x:c r="D4953" s="66" t="str">
        <x:v>PTN Akademik</x:v>
      </x:c>
      <x:c r="E4953" s="66" t="str">
        <x:v>18211016</x:v>
      </x:c>
      <x:c r="F4953" s="66" t="str">
        <x:v>TEKNIK INFORMATIKA</x:v>
      </x:c>
      <x:c r="G4953" s="66" t="str">
        <x:v>Sarjana</x:v>
      </x:c>
      <x:c r="H4953" s="87" t="n">
        <x:v>59</x:v>
      </x:c>
      <x:c r="I4953" s="87" t="n">
        <x:v>329</x:v>
      </x:c>
      <x:c r="J4953" s="68" t="n">
        <x:f>IFERROR(H4953/I4953,"")</x:f>
        <x:v>0.17933130699088146</x:v>
      </x:c>
      <x:c r="K4953" s="69" t="n">
        <x:f>IFERROR(I4953/H4953,"")</x:f>
        <x:v>5.576271186440678</x:v>
      </x:c>
      <x:c r="L4953" s="66" t="str">
        <x:f>IF(K4953="","","1 : "&amp;TEXT(K4953,"0.0"))</x:f>
        <x:v>1 : 5.6</x:v>
      </x:c>
      <x:c r="M4953" s="66" t="str">
        <x:f>IF(J4953="","Baru/Tanpa Data",IF(J4953&lt;='Catatan &amp; Sumber'!$B$14,"Sangat Ketat",IF(J4953&lt;='Catatan &amp; Sumber'!$B$15,"Ketat",IF(J4953&lt;='Catatan &amp; Sumber'!$B$16,"Sedang","Relatif Longgar"))))</x:f>
        <x:v>Relatif Longgar</x:v>
      </x:c>
      <x:c r="N4953" s="66" t="str">
        <x:v>Tidak Ada</x:v>
      </x:c>
      <x:c r="O4953" s="66" t="str">
        <x:v>Maluku Utara</x:v>
      </x:c>
      <x:c r="P4953" s="66" t="str">
        <x:v>Kota Ternate</x:v>
      </x:c>
      <x:c r="Q4953" s="66" t="str">
        <x:v>https://snpmb.id/snbp/daya-tampung-snbp</x:v>
      </x:c>
      <x:c r="R4953" s="66" t="str">
        <x:v>https://sidatagrun-public-1076756628210.asia-southeast2.run.app/ptn_sn.php?ptn=821</x:v>
      </x:c>
    </x:row>
    <x:row r="4954">
      <x:c r="A4954" s="87" t="n">
        <x:v>4215</x:v>
      </x:c>
      <x:c r="B4954" s="66" t="n">
        <x:v>821</x:v>
      </x:c>
      <x:c r="C4954" s="66" t="str">
        <x:v>UNIVERSITAS KHAIRUN</x:v>
      </x:c>
      <x:c r="D4954" s="66" t="str">
        <x:v>PTN Akademik</x:v>
      </x:c>
      <x:c r="E4954" s="66" t="str">
        <x:v>18211017</x:v>
      </x:c>
      <x:c r="F4954" s="66" t="str">
        <x:v>KEHUTANAN</x:v>
      </x:c>
      <x:c r="G4954" s="66" t="str">
        <x:v>Sarjana</x:v>
      </x:c>
      <x:c r="H4954" s="87" t="n">
        <x:v>21</x:v>
      </x:c>
      <x:c r="I4954" s="87" t="n">
        <x:v>24</x:v>
      </x:c>
      <x:c r="J4954" s="68" t="n">
        <x:f>IFERROR(H4954/I4954,"")</x:f>
        <x:v>0.875</x:v>
      </x:c>
      <x:c r="K4954" s="69" t="n">
        <x:f>IFERROR(I4954/H4954,"")</x:f>
        <x:v>1.1428571428571428</x:v>
      </x:c>
      <x:c r="L4954" s="66" t="str">
        <x:f>IF(K4954="","","1 : "&amp;TEXT(K4954,"0.0"))</x:f>
        <x:v>1 : 1.1</x:v>
      </x:c>
      <x:c r="M4954" s="66" t="str">
        <x:f>IF(J4954="","Baru/Tanpa Data",IF(J4954&lt;='Catatan &amp; Sumber'!$B$14,"Sangat Ketat",IF(J4954&lt;='Catatan &amp; Sumber'!$B$15,"Ketat",IF(J4954&lt;='Catatan &amp; Sumber'!$B$16,"Sedang","Relatif Longgar"))))</x:f>
        <x:v>Relatif Longgar</x:v>
      </x:c>
      <x:c r="N4954" s="66" t="str">
        <x:v>Tidak Ada</x:v>
      </x:c>
      <x:c r="O4954" s="66" t="str">
        <x:v>Maluku Utara</x:v>
      </x:c>
      <x:c r="P4954" s="66" t="str">
        <x:v>Kota Ternate</x:v>
      </x:c>
      <x:c r="Q4954" s="66" t="str">
        <x:v>https://snpmb.id/snbp/daya-tampung-snbp</x:v>
      </x:c>
      <x:c r="R4954" s="66" t="str">
        <x:v>https://sidatagrun-public-1076756628210.asia-southeast2.run.app/ptn_sn.php?ptn=821</x:v>
      </x:c>
    </x:row>
    <x:row r="4955">
      <x:c r="A4955" s="87" t="n">
        <x:v>2642</x:v>
      </x:c>
      <x:c r="B4955" s="66" t="n">
        <x:v>821</x:v>
      </x:c>
      <x:c r="C4955" s="66" t="str">
        <x:v>UNIVERSITAS KHAIRUN</x:v>
      </x:c>
      <x:c r="D4955" s="66" t="str">
        <x:v>PTN Akademik</x:v>
      </x:c>
      <x:c r="E4955" s="66" t="str">
        <x:v>18211018</x:v>
      </x:c>
      <x:c r="F4955" s="66" t="str">
        <x:v>TEKNIK PERTAMBANGAN</x:v>
      </x:c>
      <x:c r="G4955" s="66" t="str">
        <x:v>Sarjana</x:v>
      </x:c>
      <x:c r="H4955" s="87" t="n">
        <x:v>44</x:v>
      </x:c>
      <x:c r="I4955" s="87" t="n">
        <x:v>188</x:v>
      </x:c>
      <x:c r="J4955" s="68" t="n">
        <x:f>IFERROR(H4955/I4955,"")</x:f>
        <x:v>0.23404255319148937</x:v>
      </x:c>
      <x:c r="K4955" s="69" t="n">
        <x:f>IFERROR(I4955/H4955,"")</x:f>
        <x:v>4.2727272727272725</x:v>
      </x:c>
      <x:c r="L4955" s="66" t="str">
        <x:f>IF(K4955="","","1 : "&amp;TEXT(K4955,"0.0"))</x:f>
        <x:v>1 : 4.3</x:v>
      </x:c>
      <x:c r="M4955" s="66" t="str">
        <x:f>IF(J4955="","Baru/Tanpa Data",IF(J4955&lt;='Catatan &amp; Sumber'!$B$14,"Sangat Ketat",IF(J4955&lt;='Catatan &amp; Sumber'!$B$15,"Ketat",IF(J4955&lt;='Catatan &amp; Sumber'!$B$16,"Sedang","Relatif Longgar"))))</x:f>
        <x:v>Relatif Longgar</x:v>
      </x:c>
      <x:c r="N4955" s="66" t="str">
        <x:v>Tidak Ada</x:v>
      </x:c>
      <x:c r="O4955" s="66" t="str">
        <x:v>Maluku Utara</x:v>
      </x:c>
      <x:c r="P4955" s="66" t="str">
        <x:v>Kota Ternate</x:v>
      </x:c>
      <x:c r="Q4955" s="66" t="str">
        <x:v>https://snpmb.id/snbp/daya-tampung-snbp</x:v>
      </x:c>
      <x:c r="R4955" s="66" t="str">
        <x:v>https://sidatagrun-public-1076756628210.asia-southeast2.run.app/ptn_sn.php?ptn=821</x:v>
      </x:c>
    </x:row>
    <x:row r="4956">
      <x:c r="A4956" s="87" t="n">
        <x:v>4266</x:v>
      </x:c>
      <x:c r="B4956" s="66" t="n">
        <x:v>821</x:v>
      </x:c>
      <x:c r="C4956" s="66" t="str">
        <x:v>UNIVERSITAS KHAIRUN</x:v>
      </x:c>
      <x:c r="D4956" s="66" t="str">
        <x:v>PTN Akademik</x:v>
      </x:c>
      <x:c r="E4956" s="66" t="str">
        <x:v>18211019</x:v>
      </x:c>
      <x:c r="F4956" s="66" t="str">
        <x:v>AGRIBISNIS</x:v>
      </x:c>
      <x:c r="G4956" s="66" t="str">
        <x:v>Sarjana</x:v>
      </x:c>
      <x:c r="H4956" s="87" t="n">
        <x:v>24</x:v>
      </x:c>
      <x:c r="I4956" s="87" t="n">
        <x:v>26</x:v>
      </x:c>
      <x:c r="J4956" s="68" t="n">
        <x:f>IFERROR(H4956/I4956,"")</x:f>
        <x:v>0.9230769230769231</x:v>
      </x:c>
      <x:c r="K4956" s="69" t="n">
        <x:f>IFERROR(I4956/H4956,"")</x:f>
        <x:v>1.0833333333333333</x:v>
      </x:c>
      <x:c r="L4956" s="66" t="str">
        <x:f>IF(K4956="","","1 : "&amp;TEXT(K4956,"0.0"))</x:f>
        <x:v>1 : 1.1</x:v>
      </x:c>
      <x:c r="M4956" s="66" t="str">
        <x:f>IF(J4956="","Baru/Tanpa Data",IF(J4956&lt;='Catatan &amp; Sumber'!$B$14,"Sangat Ketat",IF(J4956&lt;='Catatan &amp; Sumber'!$B$15,"Ketat",IF(J4956&lt;='Catatan &amp; Sumber'!$B$16,"Sedang","Relatif Longgar"))))</x:f>
        <x:v>Relatif Longgar</x:v>
      </x:c>
      <x:c r="N4956" s="66" t="str">
        <x:v>Tidak Ada</x:v>
      </x:c>
      <x:c r="O4956" s="66" t="str">
        <x:v>Maluku Utara</x:v>
      </x:c>
      <x:c r="P4956" s="66" t="str">
        <x:v>Kota Ternate</x:v>
      </x:c>
      <x:c r="Q4956" s="66" t="str">
        <x:v>https://snpmb.id/snbp/daya-tampung-snbp</x:v>
      </x:c>
      <x:c r="R4956" s="66" t="str">
        <x:v>https://sidatagrun-public-1076756628210.asia-southeast2.run.app/ptn_sn.php?ptn=821</x:v>
      </x:c>
    </x:row>
    <x:row r="4957">
      <x:c r="A4957" s="87" t="n">
        <x:v>1657</x:v>
      </x:c>
      <x:c r="B4957" s="66" t="n">
        <x:v>821</x:v>
      </x:c>
      <x:c r="C4957" s="66" t="str">
        <x:v>UNIVERSITAS KHAIRUN</x:v>
      </x:c>
      <x:c r="D4957" s="66" t="str">
        <x:v>PTN Akademik</x:v>
      </x:c>
      <x:c r="E4957" s="66" t="str">
        <x:v>18211020</x:v>
      </x:c>
      <x:c r="F4957" s="66" t="str">
        <x:v>PENDIDIKAN DOKTER</x:v>
      </x:c>
      <x:c r="G4957" s="66" t="str">
        <x:v>Sarjana</x:v>
      </x:c>
      <x:c r="H4957" s="87" t="n">
        <x:v>29</x:v>
      </x:c>
      <x:c r="I4957" s="87" t="n">
        <x:v>240</x:v>
      </x:c>
      <x:c r="J4957" s="68" t="n">
        <x:f>IFERROR(H4957/I4957,"")</x:f>
        <x:v>0.12083333333333333</x:v>
      </x:c>
      <x:c r="K4957" s="69" t="n">
        <x:f>IFERROR(I4957/H4957,"")</x:f>
        <x:v>8.275862068965518</x:v>
      </x:c>
      <x:c r="L4957" s="66" t="str">
        <x:f>IF(K4957="","","1 : "&amp;TEXT(K4957,"0.0"))</x:f>
        <x:v>1 : 8.3</x:v>
      </x:c>
      <x:c r="M4957" s="66" t="str">
        <x:f>IF(J4957="","Baru/Tanpa Data",IF(J4957&lt;='Catatan &amp; Sumber'!$B$14,"Sangat Ketat",IF(J4957&lt;='Catatan &amp; Sumber'!$B$15,"Ketat",IF(J4957&lt;='Catatan &amp; Sumber'!$B$16,"Sedang","Relatif Longgar"))))</x:f>
        <x:v>Relatif Longgar</x:v>
      </x:c>
      <x:c r="N4957" s="66" t="str">
        <x:v>Tidak Ada</x:v>
      </x:c>
      <x:c r="O4957" s="66" t="str">
        <x:v>Maluku Utara</x:v>
      </x:c>
      <x:c r="P4957" s="66" t="str">
        <x:v>Kota Ternate</x:v>
      </x:c>
      <x:c r="Q4957" s="66" t="str">
        <x:v>https://snpmb.id/snbp/daya-tampung-snbp</x:v>
      </x:c>
      <x:c r="R4957" s="66" t="str">
        <x:v>https://sidatagrun-public-1076756628210.asia-southeast2.run.app/ptn_sn.php?ptn=821</x:v>
      </x:c>
    </x:row>
    <x:row r="4958">
      <x:c r="A4958" s="87" t="n">
        <x:v>4463</x:v>
      </x:c>
      <x:c r="B4958" s="66" t="n">
        <x:v>821</x:v>
      </x:c>
      <x:c r="C4958" s="66" t="str">
        <x:v>UNIVERSITAS KHAIRUN</x:v>
      </x:c>
      <x:c r="D4958" s="66" t="str">
        <x:v>PTN Akademik</x:v>
      </x:c>
      <x:c r="E4958" s="66" t="str">
        <x:v>18211021</x:v>
      </x:c>
      <x:c r="F4958" s="66" t="str">
        <x:v>ILMU TANAH</x:v>
      </x:c>
      <x:c r="G4958" s="66" t="str">
        <x:v>Sarjana</x:v>
      </x:c>
      <x:c r="H4958" s="87" t="n">
        <x:v>15</x:v>
      </x:c>
      <x:c r="I4958" s="87" t="n">
        <x:v>12</x:v>
      </x:c>
      <x:c r="J4958" s="68" t="n">
        <x:f>IFERROR(H4958/I4958,"")</x:f>
        <x:v>1.25</x:v>
      </x:c>
      <x:c r="K4958" s="69" t="n">
        <x:f>IFERROR(I4958/H4958,"")</x:f>
        <x:v>0.8</x:v>
      </x:c>
      <x:c r="L4958" s="66" t="str">
        <x:f>IF(K4958="","","1 : "&amp;TEXT(K4958,"0.0"))</x:f>
        <x:v>1 : 0.8</x:v>
      </x:c>
      <x:c r="M4958" s="66" t="str">
        <x:f>IF(J4958="","Baru/Tanpa Data",IF(J4958&lt;='Catatan &amp; Sumber'!$B$14,"Sangat Ketat",IF(J4958&lt;='Catatan &amp; Sumber'!$B$15,"Ketat",IF(J4958&lt;='Catatan &amp; Sumber'!$B$16,"Sedang","Relatif Longgar"))))</x:f>
        <x:v>Relatif Longgar</x:v>
      </x:c>
      <x:c r="N4958" s="66" t="str">
        <x:v>Tidak Ada</x:v>
      </x:c>
      <x:c r="O4958" s="66" t="str">
        <x:v>Maluku Utara</x:v>
      </x:c>
      <x:c r="P4958" s="66" t="str">
        <x:v>Kota Ternate</x:v>
      </x:c>
      <x:c r="Q4958" s="66" t="str">
        <x:v>https://snpmb.id/snbp/daya-tampung-snbp</x:v>
      </x:c>
      <x:c r="R4958" s="66" t="str">
        <x:v>https://sidatagrun-public-1076756628210.asia-southeast2.run.app/ptn_sn.php?ptn=821</x:v>
      </x:c>
    </x:row>
    <x:row r="4959">
      <x:c r="A4959" s="87" t="n">
        <x:v>1418</x:v>
      </x:c>
      <x:c r="B4959" s="66" t="n">
        <x:v>821</x:v>
      </x:c>
      <x:c r="C4959" s="66" t="str">
        <x:v>UNIVERSITAS KHAIRUN</x:v>
      </x:c>
      <x:c r="D4959" s="66" t="str">
        <x:v>PTN Akademik</x:v>
      </x:c>
      <x:c r="E4959" s="66" t="str">
        <x:v>18211022</x:v>
      </x:c>
      <x:c r="F4959" s="66" t="str">
        <x:v>FARMASI</x:v>
      </x:c>
      <x:c r="G4959" s="66" t="str">
        <x:v>Sarjana</x:v>
      </x:c>
      <x:c r="H4959" s="87" t="n">
        <x:v>30</x:v>
      </x:c>
      <x:c r="I4959" s="87" t="n">
        <x:v>290</x:v>
      </x:c>
      <x:c r="J4959" s="68" t="n">
        <x:f>IFERROR(H4959/I4959,"")</x:f>
        <x:v>0.10344827586206896</x:v>
      </x:c>
      <x:c r="K4959" s="69" t="n">
        <x:f>IFERROR(I4959/H4959,"")</x:f>
        <x:v>9.666666666666666</x:v>
      </x:c>
      <x:c r="L4959" s="66" t="str">
        <x:f>IF(K4959="","","1 : "&amp;TEXT(K4959,"0.0"))</x:f>
        <x:v>1 : 9.7</x:v>
      </x:c>
      <x:c r="M4959" s="66" t="str">
        <x:f>IF(J4959="","Baru/Tanpa Data",IF(J4959&lt;='Catatan &amp; Sumber'!$B$14,"Sangat Ketat",IF(J4959&lt;='Catatan &amp; Sumber'!$B$15,"Ketat",IF(J4959&lt;='Catatan &amp; Sumber'!$B$16,"Sedang","Relatif Longgar"))))</x:f>
        <x:v>Relatif Longgar</x:v>
      </x:c>
      <x:c r="N4959" s="66" t="str">
        <x:v>Tidak Ada</x:v>
      </x:c>
      <x:c r="O4959" s="66" t="str">
        <x:v>Maluku Utara</x:v>
      </x:c>
      <x:c r="P4959" s="66" t="str">
        <x:v>Kota Ternate</x:v>
      </x:c>
      <x:c r="Q4959" s="66" t="str">
        <x:v>https://snpmb.id/snbp/daya-tampung-snbp</x:v>
      </x:c>
      <x:c r="R4959" s="66" t="str">
        <x:v>https://sidatagrun-public-1076756628210.asia-southeast2.run.app/ptn_sn.php?ptn=821</x:v>
      </x:c>
    </x:row>
    <x:row r="4960">
      <x:c r="A4960" s="87" t="n">
        <x:v>3950</x:v>
      </x:c>
      <x:c r="B4960" s="66" t="n">
        <x:v>821</x:v>
      </x:c>
      <x:c r="C4960" s="66" t="str">
        <x:v>UNIVERSITAS KHAIRUN</x:v>
      </x:c>
      <x:c r="D4960" s="66" t="str">
        <x:v>PTN Akademik</x:v>
      </x:c>
      <x:c r="E4960" s="66" t="str">
        <x:v>18211023</x:v>
      </x:c>
      <x:c r="F4960" s="66" t="str">
        <x:v>ILMU HUKUM</x:v>
      </x:c>
      <x:c r="G4960" s="66" t="str">
        <x:v>Sarjana</x:v>
      </x:c>
      <x:c r="H4960" s="87" t="n">
        <x:v>120</x:v>
      </x:c>
      <x:c r="I4960" s="87" t="n">
        <x:v>183</x:v>
      </x:c>
      <x:c r="J4960" s="68" t="n">
        <x:f>IFERROR(H4960/I4960,"")</x:f>
        <x:v>0.6557377049180327</x:v>
      </x:c>
      <x:c r="K4960" s="69" t="n">
        <x:f>IFERROR(I4960/H4960,"")</x:f>
        <x:v>1.525</x:v>
      </x:c>
      <x:c r="L4960" s="66" t="str">
        <x:f>IF(K4960="","","1 : "&amp;TEXT(K4960,"0.0"))</x:f>
        <x:v>1 : 1.5</x:v>
      </x:c>
      <x:c r="M4960" s="66" t="str">
        <x:f>IF(J4960="","Baru/Tanpa Data",IF(J4960&lt;='Catatan &amp; Sumber'!$B$14,"Sangat Ketat",IF(J4960&lt;='Catatan &amp; Sumber'!$B$15,"Ketat",IF(J4960&lt;='Catatan &amp; Sumber'!$B$16,"Sedang","Relatif Longgar"))))</x:f>
        <x:v>Relatif Longgar</x:v>
      </x:c>
      <x:c r="N4960" s="66" t="str">
        <x:v>Tidak Ada</x:v>
      </x:c>
      <x:c r="O4960" s="66" t="str">
        <x:v>Maluku Utara</x:v>
      </x:c>
      <x:c r="P4960" s="66" t="str">
        <x:v>Kota Ternate</x:v>
      </x:c>
      <x:c r="Q4960" s="66" t="str">
        <x:v>https://snpmb.id/snbp/daya-tampung-snbp</x:v>
      </x:c>
      <x:c r="R4960" s="66" t="str">
        <x:v>https://sidatagrun-public-1076756628210.asia-southeast2.run.app/ptn_sn.php?ptn=821</x:v>
      </x:c>
    </x:row>
    <x:row r="4961">
      <x:c r="A4961" s="87" t="n">
        <x:v>4580</x:v>
      </x:c>
      <x:c r="B4961" s="66" t="n">
        <x:v>821</x:v>
      </x:c>
      <x:c r="C4961" s="66" t="str">
        <x:v>UNIVERSITAS KHAIRUN</x:v>
      </x:c>
      <x:c r="D4961" s="66" t="str">
        <x:v>PTN Akademik</x:v>
      </x:c>
      <x:c r="E4961" s="66" t="str">
        <x:v>18211024</x:v>
      </x:c>
      <x:c r="F4961" s="66" t="str">
        <x:v>EKONOMI PEMBANGUNAN</x:v>
      </x:c>
      <x:c r="G4961" s="66" t="str">
        <x:v>Sarjana</x:v>
      </x:c>
      <x:c r="H4961" s="87" t="n">
        <x:v>60</x:v>
      </x:c>
      <x:c r="I4961" s="87" t="n">
        <x:v>38</x:v>
      </x:c>
      <x:c r="J4961" s="68" t="n">
        <x:f>IFERROR(H4961/I4961,"")</x:f>
        <x:v>1.5789473684210527</x:v>
      </x:c>
      <x:c r="K4961" s="69" t="n">
        <x:f>IFERROR(I4961/H4961,"")</x:f>
        <x:v>0.6333333333333333</x:v>
      </x:c>
      <x:c r="L4961" s="66" t="str">
        <x:f>IF(K4961="","","1 : "&amp;TEXT(K4961,"0.0"))</x:f>
        <x:v>1 : 0.6</x:v>
      </x:c>
      <x:c r="M4961" s="66" t="str">
        <x:f>IF(J4961="","Baru/Tanpa Data",IF(J4961&lt;='Catatan &amp; Sumber'!$B$14,"Sangat Ketat",IF(J4961&lt;='Catatan &amp; Sumber'!$B$15,"Ketat",IF(J4961&lt;='Catatan &amp; Sumber'!$B$16,"Sedang","Relatif Longgar"))))</x:f>
        <x:v>Relatif Longgar</x:v>
      </x:c>
      <x:c r="N4961" s="66" t="str">
        <x:v>Tidak Ada</x:v>
      </x:c>
      <x:c r="O4961" s="66" t="str">
        <x:v>Maluku Utara</x:v>
      </x:c>
      <x:c r="P4961" s="66" t="str">
        <x:v>Kota Ternate</x:v>
      </x:c>
      <x:c r="Q4961" s="66" t="str">
        <x:v>https://snpmb.id/snbp/daya-tampung-snbp</x:v>
      </x:c>
      <x:c r="R4961" s="66" t="str">
        <x:v>https://sidatagrun-public-1076756628210.asia-southeast2.run.app/ptn_sn.php?ptn=821</x:v>
      </x:c>
    </x:row>
    <x:row r="4962">
      <x:c r="A4962" s="87" t="n">
        <x:v>2927</x:v>
      </x:c>
      <x:c r="B4962" s="66" t="n">
        <x:v>821</x:v>
      </x:c>
      <x:c r="C4962" s="66" t="str">
        <x:v>UNIVERSITAS KHAIRUN</x:v>
      </x:c>
      <x:c r="D4962" s="66" t="str">
        <x:v>PTN Akademik</x:v>
      </x:c>
      <x:c r="E4962" s="66" t="str">
        <x:v>18211025</x:v>
      </x:c>
      <x:c r="F4962" s="66" t="str">
        <x:v>MANAJEMEN</x:v>
      </x:c>
      <x:c r="G4962" s="66" t="str">
        <x:v>Sarjana</x:v>
      </x:c>
      <x:c r="H4962" s="87" t="n">
        <x:v>87</x:v>
      </x:c>
      <x:c r="I4962" s="87" t="n">
        <x:v>313</x:v>
      </x:c>
      <x:c r="J4962" s="68" t="n">
        <x:f>IFERROR(H4962/I4962,"")</x:f>
        <x:v>0.2779552715654952</x:v>
      </x:c>
      <x:c r="K4962" s="69" t="n">
        <x:f>IFERROR(I4962/H4962,"")</x:f>
        <x:v>3.5977011494252875</x:v>
      </x:c>
      <x:c r="L4962" s="66" t="str">
        <x:f>IF(K4962="","","1 : "&amp;TEXT(K4962,"0.0"))</x:f>
        <x:v>1 : 3.6</x:v>
      </x:c>
      <x:c r="M4962" s="66" t="str">
        <x:f>IF(J4962="","Baru/Tanpa Data",IF(J4962&lt;='Catatan &amp; Sumber'!$B$14,"Sangat Ketat",IF(J4962&lt;='Catatan &amp; Sumber'!$B$15,"Ketat",IF(J4962&lt;='Catatan &amp; Sumber'!$B$16,"Sedang","Relatif Longgar"))))</x:f>
        <x:v>Relatif Longgar</x:v>
      </x:c>
      <x:c r="N4962" s="66" t="str">
        <x:v>Tidak Ada</x:v>
      </x:c>
      <x:c r="O4962" s="66" t="str">
        <x:v>Maluku Utara</x:v>
      </x:c>
      <x:c r="P4962" s="66" t="str">
        <x:v>Kota Ternate</x:v>
      </x:c>
      <x:c r="Q4962" s="66" t="str">
        <x:v>https://snpmb.id/snbp/daya-tampung-snbp</x:v>
      </x:c>
      <x:c r="R4962" s="66" t="str">
        <x:v>https://sidatagrun-public-1076756628210.asia-southeast2.run.app/ptn_sn.php?ptn=821</x:v>
      </x:c>
    </x:row>
    <x:row r="4963">
      <x:c r="A4963" s="87" t="n">
        <x:v>4198</x:v>
      </x:c>
      <x:c r="B4963" s="66" t="n">
        <x:v>821</x:v>
      </x:c>
      <x:c r="C4963" s="66" t="str">
        <x:v>UNIVERSITAS KHAIRUN</x:v>
      </x:c>
      <x:c r="D4963" s="66" t="str">
        <x:v>PTN Akademik</x:v>
      </x:c>
      <x:c r="E4963" s="66" t="str">
        <x:v>18211026</x:v>
      </x:c>
      <x:c r="F4963" s="66" t="str">
        <x:v>ILMU SEJARAH</x:v>
      </x:c>
      <x:c r="G4963" s="66" t="str">
        <x:v>Sarjana</x:v>
      </x:c>
      <x:c r="H4963" s="87" t="n">
        <x:v>12</x:v>
      </x:c>
      <x:c r="I4963" s="87" t="n">
        <x:v>14</x:v>
      </x:c>
      <x:c r="J4963" s="68" t="n">
        <x:f>IFERROR(H4963/I4963,"")</x:f>
        <x:v>0.8571428571428571</x:v>
      </x:c>
      <x:c r="K4963" s="69" t="n">
        <x:f>IFERROR(I4963/H4963,"")</x:f>
        <x:v>1.1666666666666667</x:v>
      </x:c>
      <x:c r="L4963" s="66" t="str">
        <x:f>IF(K4963="","","1 : "&amp;TEXT(K4963,"0.0"))</x:f>
        <x:v>1 : 1.2</x:v>
      </x:c>
      <x:c r="M4963" s="66" t="str">
        <x:f>IF(J4963="","Baru/Tanpa Data",IF(J4963&lt;='Catatan &amp; Sumber'!$B$14,"Sangat Ketat",IF(J4963&lt;='Catatan &amp; Sumber'!$B$15,"Ketat",IF(J4963&lt;='Catatan &amp; Sumber'!$B$16,"Sedang","Relatif Longgar"))))</x:f>
        <x:v>Relatif Longgar</x:v>
      </x:c>
      <x:c r="N4963" s="66" t="str">
        <x:v>Tidak Ada</x:v>
      </x:c>
      <x:c r="O4963" s="66" t="str">
        <x:v>Maluku Utara</x:v>
      </x:c>
      <x:c r="P4963" s="66" t="str">
        <x:v>Kota Ternate</x:v>
      </x:c>
      <x:c r="Q4963" s="66" t="str">
        <x:v>https://snpmb.id/snbp/daya-tampung-snbp</x:v>
      </x:c>
      <x:c r="R4963" s="66" t="str">
        <x:v>https://sidatagrun-public-1076756628210.asia-southeast2.run.app/ptn_sn.php?ptn=821</x:v>
      </x:c>
    </x:row>
    <x:row r="4964">
      <x:c r="A4964" s="87" t="n">
        <x:v>3847</x:v>
      </x:c>
      <x:c r="B4964" s="66" t="n">
        <x:v>821</x:v>
      </x:c>
      <x:c r="C4964" s="66" t="str">
        <x:v>UNIVERSITAS KHAIRUN</x:v>
      </x:c>
      <x:c r="D4964" s="66" t="str">
        <x:v>PTN Akademik</x:v>
      </x:c>
      <x:c r="E4964" s="66" t="str">
        <x:v>18211027</x:v>
      </x:c>
      <x:c r="F4964" s="66" t="str">
        <x:v>SASTRA INDONESIA</x:v>
      </x:c>
      <x:c r="G4964" s="66" t="str">
        <x:v>Sarjana</x:v>
      </x:c>
      <x:c r="H4964" s="87" t="n">
        <x:v>9</x:v>
      </x:c>
      <x:c r="I4964" s="87" t="n">
        <x:v>15</x:v>
      </x:c>
      <x:c r="J4964" s="68" t="n">
        <x:f>IFERROR(H4964/I4964,"")</x:f>
        <x:v>0.6</x:v>
      </x:c>
      <x:c r="K4964" s="69" t="n">
        <x:f>IFERROR(I4964/H4964,"")</x:f>
        <x:v>1.6666666666666667</x:v>
      </x:c>
      <x:c r="L4964" s="66" t="str">
        <x:f>IF(K4964="","","1 : "&amp;TEXT(K4964,"0.0"))</x:f>
        <x:v>1 : 1.7</x:v>
      </x:c>
      <x:c r="M4964" s="66" t="str">
        <x:f>IF(J4964="","Baru/Tanpa Data",IF(J4964&lt;='Catatan &amp; Sumber'!$B$14,"Sangat Ketat",IF(J4964&lt;='Catatan &amp; Sumber'!$B$15,"Ketat",IF(J4964&lt;='Catatan &amp; Sumber'!$B$16,"Sedang","Relatif Longgar"))))</x:f>
        <x:v>Relatif Longgar</x:v>
      </x:c>
      <x:c r="N4964" s="66" t="str">
        <x:v>Tidak Ada</x:v>
      </x:c>
      <x:c r="O4964" s="66" t="str">
        <x:v>Maluku Utara</x:v>
      </x:c>
      <x:c r="P4964" s="66" t="str">
        <x:v>Kota Ternate</x:v>
      </x:c>
      <x:c r="Q4964" s="66" t="str">
        <x:v>https://snpmb.id/snbp/daya-tampung-snbp</x:v>
      </x:c>
      <x:c r="R4964" s="66" t="str">
        <x:v>https://sidatagrun-public-1076756628210.asia-southeast2.run.app/ptn_sn.php?ptn=821</x:v>
      </x:c>
    </x:row>
    <x:row r="4965">
      <x:c r="A4965" s="87" t="n">
        <x:v>4049</x:v>
      </x:c>
      <x:c r="B4965" s="66" t="n">
        <x:v>821</x:v>
      </x:c>
      <x:c r="C4965" s="66" t="str">
        <x:v>UNIVERSITAS KHAIRUN</x:v>
      </x:c>
      <x:c r="D4965" s="66" t="str">
        <x:v>PTN Akademik</x:v>
      </x:c>
      <x:c r="E4965" s="66" t="str">
        <x:v>18211028</x:v>
      </x:c>
      <x:c r="F4965" s="66" t="str">
        <x:v>SASTRA INGGRIS</x:v>
      </x:c>
      <x:c r="G4965" s="66" t="str">
        <x:v>Sarjana</x:v>
      </x:c>
      <x:c r="H4965" s="87" t="n">
        <x:v>36</x:v>
      </x:c>
      <x:c r="I4965" s="87" t="n">
        <x:v>50</x:v>
      </x:c>
      <x:c r="J4965" s="68" t="n">
        <x:f>IFERROR(H4965/I4965,"")</x:f>
        <x:v>0.72</x:v>
      </x:c>
      <x:c r="K4965" s="69" t="n">
        <x:f>IFERROR(I4965/H4965,"")</x:f>
        <x:v>1.3888888888888888</x:v>
      </x:c>
      <x:c r="L4965" s="66" t="str">
        <x:f>IF(K4965="","","1 : "&amp;TEXT(K4965,"0.0"))</x:f>
        <x:v>1 : 1.4</x:v>
      </x:c>
      <x:c r="M4965" s="66" t="str">
        <x:f>IF(J4965="","Baru/Tanpa Data",IF(J4965&lt;='Catatan &amp; Sumber'!$B$14,"Sangat Ketat",IF(J4965&lt;='Catatan &amp; Sumber'!$B$15,"Ketat",IF(J4965&lt;='Catatan &amp; Sumber'!$B$16,"Sedang","Relatif Longgar"))))</x:f>
        <x:v>Relatif Longgar</x:v>
      </x:c>
      <x:c r="N4965" s="66" t="str">
        <x:v>Tidak Ada</x:v>
      </x:c>
      <x:c r="O4965" s="66" t="str">
        <x:v>Maluku Utara</x:v>
      </x:c>
      <x:c r="P4965" s="66" t="str">
        <x:v>Kota Ternate</x:v>
      </x:c>
      <x:c r="Q4965" s="66" t="str">
        <x:v>https://snpmb.id/snbp/daya-tampung-snbp</x:v>
      </x:c>
      <x:c r="R4965" s="66" t="str">
        <x:v>https://sidatagrun-public-1076756628210.asia-southeast2.run.app/ptn_sn.php?ptn=821</x:v>
      </x:c>
    </x:row>
    <x:row r="4966">
      <x:c r="A4966" s="87" t="n">
        <x:v>3981</x:v>
      </x:c>
      <x:c r="B4966" s="66" t="n">
        <x:v>821</x:v>
      </x:c>
      <x:c r="C4966" s="66" t="str">
        <x:v>UNIVERSITAS KHAIRUN</x:v>
      </x:c>
      <x:c r="D4966" s="66" t="str">
        <x:v>PTN Akademik</x:v>
      </x:c>
      <x:c r="E4966" s="66" t="str">
        <x:v>18211029</x:v>
      </x:c>
      <x:c r="F4966" s="66" t="str">
        <x:v>PPKN</x:v>
      </x:c>
      <x:c r="G4966" s="66" t="str">
        <x:v>Sarjana</x:v>
      </x:c>
      <x:c r="H4966" s="87" t="n">
        <x:v>27</x:v>
      </x:c>
      <x:c r="I4966" s="87" t="n">
        <x:v>40</x:v>
      </x:c>
      <x:c r="J4966" s="68" t="n">
        <x:f>IFERROR(H4966/I4966,"")</x:f>
        <x:v>0.675</x:v>
      </x:c>
      <x:c r="K4966" s="69" t="n">
        <x:f>IFERROR(I4966/H4966,"")</x:f>
        <x:v>1.4814814814814814</x:v>
      </x:c>
      <x:c r="L4966" s="66" t="str">
        <x:f>IF(K4966="","","1 : "&amp;TEXT(K4966,"0.0"))</x:f>
        <x:v>1 : 1.5</x:v>
      </x:c>
      <x:c r="M4966" s="66" t="str">
        <x:f>IF(J4966="","Baru/Tanpa Data",IF(J4966&lt;='Catatan &amp; Sumber'!$B$14,"Sangat Ketat",IF(J4966&lt;='Catatan &amp; Sumber'!$B$15,"Ketat",IF(J4966&lt;='Catatan &amp; Sumber'!$B$16,"Sedang","Relatif Longgar"))))</x:f>
        <x:v>Relatif Longgar</x:v>
      </x:c>
      <x:c r="N4966" s="66" t="str">
        <x:v>Tidak Ada</x:v>
      </x:c>
      <x:c r="O4966" s="66" t="str">
        <x:v>Maluku Utara</x:v>
      </x:c>
      <x:c r="P4966" s="66" t="str">
        <x:v>Kota Ternate</x:v>
      </x:c>
      <x:c r="Q4966" s="66" t="str">
        <x:v>https://snpmb.id/snbp/daya-tampung-snbp</x:v>
      </x:c>
      <x:c r="R4966" s="66" t="str">
        <x:v>https://sidatagrun-public-1076756628210.asia-southeast2.run.app/ptn_sn.php?ptn=821</x:v>
      </x:c>
    </x:row>
    <x:row r="4967">
      <x:c r="A4967" s="87" t="n">
        <x:v>3778</x:v>
      </x:c>
      <x:c r="B4967" s="66" t="n">
        <x:v>821</x:v>
      </x:c>
      <x:c r="C4967" s="66" t="str">
        <x:v>UNIVERSITAS KHAIRUN</x:v>
      </x:c>
      <x:c r="D4967" s="66" t="str">
        <x:v>PTN Akademik</x:v>
      </x:c>
      <x:c r="E4967" s="66" t="str">
        <x:v>18211030</x:v>
      </x:c>
      <x:c r="F4967" s="66" t="str">
        <x:v>PEND. BAHASA INDONESIA</x:v>
      </x:c>
      <x:c r="G4967" s="66" t="str">
        <x:v>Sarjana</x:v>
      </x:c>
      <x:c r="H4967" s="87" t="n">
        <x:v>32</x:v>
      </x:c>
      <x:c r="I4967" s="87" t="n">
        <x:v>57</x:v>
      </x:c>
      <x:c r="J4967" s="68" t="n">
        <x:f>IFERROR(H4967/I4967,"")</x:f>
        <x:v>0.5614035087719298</x:v>
      </x:c>
      <x:c r="K4967" s="69" t="n">
        <x:f>IFERROR(I4967/H4967,"")</x:f>
        <x:v>1.78125</x:v>
      </x:c>
      <x:c r="L4967" s="66" t="str">
        <x:f>IF(K4967="","","1 : "&amp;TEXT(K4967,"0.0"))</x:f>
        <x:v>1 : 1.8</x:v>
      </x:c>
      <x:c r="M4967" s="66" t="str">
        <x:f>IF(J4967="","Baru/Tanpa Data",IF(J4967&lt;='Catatan &amp; Sumber'!$B$14,"Sangat Ketat",IF(J4967&lt;='Catatan &amp; Sumber'!$B$15,"Ketat",IF(J4967&lt;='Catatan &amp; Sumber'!$B$16,"Sedang","Relatif Longgar"))))</x:f>
        <x:v>Relatif Longgar</x:v>
      </x:c>
      <x:c r="N4967" s="66" t="str">
        <x:v>Tidak Ada</x:v>
      </x:c>
      <x:c r="O4967" s="66" t="str">
        <x:v>Maluku Utara</x:v>
      </x:c>
      <x:c r="P4967" s="66" t="str">
        <x:v>Kota Ternate</x:v>
      </x:c>
      <x:c r="Q4967" s="66" t="str">
        <x:v>https://snpmb.id/snbp/daya-tampung-snbp</x:v>
      </x:c>
      <x:c r="R4967" s="66" t="str">
        <x:v>https://sidatagrun-public-1076756628210.asia-southeast2.run.app/ptn_sn.php?ptn=821</x:v>
      </x:c>
    </x:row>
    <x:row r="4968">
      <x:c r="A4968" s="87" t="n">
        <x:v>4258</x:v>
      </x:c>
      <x:c r="B4968" s="66" t="n">
        <x:v>821</x:v>
      </x:c>
      <x:c r="C4968" s="66" t="str">
        <x:v>UNIVERSITAS KHAIRUN</x:v>
      </x:c>
      <x:c r="D4968" s="66" t="str">
        <x:v>PTN Akademik</x:v>
      </x:c>
      <x:c r="E4968" s="66" t="str">
        <x:v>18211031</x:v>
      </x:c>
      <x:c r="F4968" s="66" t="str">
        <x:v>PEND. BAHASA INGGRIS</x:v>
      </x:c>
      <x:c r="G4968" s="66" t="str">
        <x:v>Sarjana</x:v>
      </x:c>
      <x:c r="H4968" s="87" t="n">
        <x:v>41</x:v>
      </x:c>
      <x:c r="I4968" s="87" t="n">
        <x:v>45</x:v>
      </x:c>
      <x:c r="J4968" s="68" t="n">
        <x:f>IFERROR(H4968/I4968,"")</x:f>
        <x:v>0.9111111111111111</x:v>
      </x:c>
      <x:c r="K4968" s="69" t="n">
        <x:f>IFERROR(I4968/H4968,"")</x:f>
        <x:v>1.0975609756097562</x:v>
      </x:c>
      <x:c r="L4968" s="66" t="str">
        <x:f>IF(K4968="","","1 : "&amp;TEXT(K4968,"0.0"))</x:f>
        <x:v>1 : 1.1</x:v>
      </x:c>
      <x:c r="M4968" s="66" t="str">
        <x:f>IF(J4968="","Baru/Tanpa Data",IF(J4968&lt;='Catatan &amp; Sumber'!$B$14,"Sangat Ketat",IF(J4968&lt;='Catatan &amp; Sumber'!$B$15,"Ketat",IF(J4968&lt;='Catatan &amp; Sumber'!$B$16,"Sedang","Relatif Longgar"))))</x:f>
        <x:v>Relatif Longgar</x:v>
      </x:c>
      <x:c r="N4968" s="66" t="str">
        <x:v>Tidak Ada</x:v>
      </x:c>
      <x:c r="O4968" s="66" t="str">
        <x:v>Maluku Utara</x:v>
      </x:c>
      <x:c r="P4968" s="66" t="str">
        <x:v>Kota Ternate</x:v>
      </x:c>
      <x:c r="Q4968" s="66" t="str">
        <x:v>https://snpmb.id/snbp/daya-tampung-snbp</x:v>
      </x:c>
      <x:c r="R4968" s="66" t="str">
        <x:v>https://sidatagrun-public-1076756628210.asia-southeast2.run.app/ptn_sn.php?ptn=821</x:v>
      </x:c>
    </x:row>
    <x:row r="4969">
      <x:c r="A4969" s="87" t="n">
        <x:v>3113</x:v>
      </x:c>
      <x:c r="B4969" s="66" t="n">
        <x:v>821</x:v>
      </x:c>
      <x:c r="C4969" s="66" t="str">
        <x:v>UNIVERSITAS KHAIRUN</x:v>
      </x:c>
      <x:c r="D4969" s="66" t="str">
        <x:v>PTN Akademik</x:v>
      </x:c>
      <x:c r="E4969" s="66" t="str">
        <x:v>18211032</x:v>
      </x:c>
      <x:c r="F4969" s="66" t="str">
        <x:v>AKUNTANSI</x:v>
      </x:c>
      <x:c r="G4969" s="66" t="str">
        <x:v>Sarjana</x:v>
      </x:c>
      <x:c r="H4969" s="87" t="n">
        <x:v>72</x:v>
      </x:c>
      <x:c r="I4969" s="87" t="n">
        <x:v>227</x:v>
      </x:c>
      <x:c r="J4969" s="68" t="n">
        <x:f>IFERROR(H4969/I4969,"")</x:f>
        <x:v>0.31718061674008813</x:v>
      </x:c>
      <x:c r="K4969" s="69" t="n">
        <x:f>IFERROR(I4969/H4969,"")</x:f>
        <x:v>3.1527777777777777</x:v>
      </x:c>
      <x:c r="L4969" s="66" t="str">
        <x:f>IF(K4969="","","1 : "&amp;TEXT(K4969,"0.0"))</x:f>
        <x:v>1 : 3.2</x:v>
      </x:c>
      <x:c r="M4969" s="66" t="str">
        <x:f>IF(J4969="","Baru/Tanpa Data",IF(J4969&lt;='Catatan &amp; Sumber'!$B$14,"Sangat Ketat",IF(J4969&lt;='Catatan &amp; Sumber'!$B$15,"Ketat",IF(J4969&lt;='Catatan &amp; Sumber'!$B$16,"Sedang","Relatif Longgar"))))</x:f>
        <x:v>Relatif Longgar</x:v>
      </x:c>
      <x:c r="N4969" s="66" t="str">
        <x:v>Tidak Ada</x:v>
      </x:c>
      <x:c r="O4969" s="66" t="str">
        <x:v>Maluku Utara</x:v>
      </x:c>
      <x:c r="P4969" s="66" t="str">
        <x:v>Kota Ternate</x:v>
      </x:c>
      <x:c r="Q4969" s="66" t="str">
        <x:v>https://snpmb.id/snbp/daya-tampung-snbp</x:v>
      </x:c>
      <x:c r="R4969" s="66" t="str">
        <x:v>https://sidatagrun-public-1076756628210.asia-southeast2.run.app/ptn_sn.php?ptn=821</x:v>
      </x:c>
    </x:row>
    <x:row r="4970">
      <x:c r="A4970" s="87" t="n">
        <x:v>4264</x:v>
      </x:c>
      <x:c r="B4970" s="66" t="n">
        <x:v>821</x:v>
      </x:c>
      <x:c r="C4970" s="66" t="str">
        <x:v>UNIVERSITAS KHAIRUN</x:v>
      </x:c>
      <x:c r="D4970" s="66" t="str">
        <x:v>PTN Akademik</x:v>
      </x:c>
      <x:c r="E4970" s="66" t="str">
        <x:v>18211033</x:v>
      </x:c>
      <x:c r="F4970" s="66" t="str">
        <x:v>PEND. GEOGRAFI</x:v>
      </x:c>
      <x:c r="G4970" s="66" t="str">
        <x:v>Sarjana</x:v>
      </x:c>
      <x:c r="H4970" s="87" t="n">
        <x:v>23</x:v>
      </x:c>
      <x:c r="I4970" s="87" t="n">
        <x:v>25</x:v>
      </x:c>
      <x:c r="J4970" s="68" t="n">
        <x:f>IFERROR(H4970/I4970,"")</x:f>
        <x:v>0.92</x:v>
      </x:c>
      <x:c r="K4970" s="69" t="n">
        <x:f>IFERROR(I4970/H4970,"")</x:f>
        <x:v>1.0869565217391304</x:v>
      </x:c>
      <x:c r="L4970" s="66" t="str">
        <x:f>IF(K4970="","","1 : "&amp;TEXT(K4970,"0.0"))</x:f>
        <x:v>1 : 1.1</x:v>
      </x:c>
      <x:c r="M4970" s="66" t="str">
        <x:f>IF(J4970="","Baru/Tanpa Data",IF(J4970&lt;='Catatan &amp; Sumber'!$B$14,"Sangat Ketat",IF(J4970&lt;='Catatan &amp; Sumber'!$B$15,"Ketat",IF(J4970&lt;='Catatan &amp; Sumber'!$B$16,"Sedang","Relatif Longgar"))))</x:f>
        <x:v>Relatif Longgar</x:v>
      </x:c>
      <x:c r="N4970" s="66" t="str">
        <x:v>Tidak Ada</x:v>
      </x:c>
      <x:c r="O4970" s="66" t="str">
        <x:v>Maluku Utara</x:v>
      </x:c>
      <x:c r="P4970" s="66" t="str">
        <x:v>Kota Ternate</x:v>
      </x:c>
      <x:c r="Q4970" s="66" t="str">
        <x:v>https://snpmb.id/snbp/daya-tampung-snbp</x:v>
      </x:c>
      <x:c r="R4970" s="66" t="str">
        <x:v>https://sidatagrun-public-1076756628210.asia-southeast2.run.app/ptn_sn.php?ptn=821</x:v>
      </x:c>
    </x:row>
    <x:row r="4971">
      <x:c r="A4971" s="87" t="n">
        <x:v>3423</x:v>
      </x:c>
      <x:c r="B4971" s="66" t="n">
        <x:v>821</x:v>
      </x:c>
      <x:c r="C4971" s="66" t="str">
        <x:v>UNIVERSITAS KHAIRUN</x:v>
      </x:c>
      <x:c r="D4971" s="66" t="str">
        <x:v>PTN Akademik</x:v>
      </x:c>
      <x:c r="E4971" s="66" t="str">
        <x:v>18211034</x:v>
      </x:c>
      <x:c r="F4971" s="66" t="str">
        <x:v>PGSD S1</x:v>
      </x:c>
      <x:c r="G4971" s="66" t="str">
        <x:v>Sarjana</x:v>
      </x:c>
      <x:c r="H4971" s="87" t="n">
        <x:v>62</x:v>
      </x:c>
      <x:c r="I4971" s="87" t="n">
        <x:v>152</x:v>
      </x:c>
      <x:c r="J4971" s="68" t="n">
        <x:f>IFERROR(H4971/I4971,"")</x:f>
        <x:v>0.40789473684210525</x:v>
      </x:c>
      <x:c r="K4971" s="69" t="n">
        <x:f>IFERROR(I4971/H4971,"")</x:f>
        <x:v>2.4516129032258065</x:v>
      </x:c>
      <x:c r="L4971" s="66" t="str">
        <x:f>IF(K4971="","","1 : "&amp;TEXT(K4971,"0.0"))</x:f>
        <x:v>1 : 2.5</x:v>
      </x:c>
      <x:c r="M4971" s="66" t="str">
        <x:f>IF(J4971="","Baru/Tanpa Data",IF(J4971&lt;='Catatan &amp; Sumber'!$B$14,"Sangat Ketat",IF(J4971&lt;='Catatan &amp; Sumber'!$B$15,"Ketat",IF(J4971&lt;='Catatan &amp; Sumber'!$B$16,"Sedang","Relatif Longgar"))))</x:f>
        <x:v>Relatif Longgar</x:v>
      </x:c>
      <x:c r="N4971" s="66" t="str">
        <x:v>Tidak Ada</x:v>
      </x:c>
      <x:c r="O4971" s="66" t="str">
        <x:v>Maluku Utara</x:v>
      </x:c>
      <x:c r="P4971" s="66" t="str">
        <x:v>Kota Ternate</x:v>
      </x:c>
      <x:c r="Q4971" s="66" t="str">
        <x:v>https://snpmb.id/snbp/daya-tampung-snbp</x:v>
      </x:c>
      <x:c r="R4971" s="66" t="str">
        <x:v>https://sidatagrun-public-1076756628210.asia-southeast2.run.app/ptn_sn.php?ptn=821</x:v>
      </x:c>
    </x:row>
    <x:row r="4972">
      <x:c r="A4972" s="87" t="n">
        <x:v>4439</x:v>
      </x:c>
      <x:c r="B4972" s="66" t="n">
        <x:v>821</x:v>
      </x:c>
      <x:c r="C4972" s="66" t="str">
        <x:v>UNIVERSITAS KHAIRUN</x:v>
      </x:c>
      <x:c r="D4972" s="66" t="str">
        <x:v>PTN Akademik</x:v>
      </x:c>
      <x:c r="E4972" s="66" t="str">
        <x:v>18211035</x:v>
      </x:c>
      <x:c r="F4972" s="66" t="str">
        <x:v>ANTROPOLOGI SOSIAL</x:v>
      </x:c>
      <x:c r="G4972" s="66" t="str">
        <x:v>Sarjana</x:v>
      </x:c>
      <x:c r="H4972" s="87" t="n">
        <x:v>12</x:v>
      </x:c>
      <x:c r="I4972" s="87" t="n">
        <x:v>10</x:v>
      </x:c>
      <x:c r="J4972" s="68" t="n">
        <x:f>IFERROR(H4972/I4972,"")</x:f>
        <x:v>1.2</x:v>
      </x:c>
      <x:c r="K4972" s="69" t="n">
        <x:f>IFERROR(I4972/H4972,"")</x:f>
        <x:v>0.8333333333333334</x:v>
      </x:c>
      <x:c r="L4972" s="66" t="str">
        <x:f>IF(K4972="","","1 : "&amp;TEXT(K4972,"0.0"))</x:f>
        <x:v>1 : 0.8</x:v>
      </x:c>
      <x:c r="M4972" s="66" t="str">
        <x:f>IF(J4972="","Baru/Tanpa Data",IF(J4972&lt;='Catatan &amp; Sumber'!$B$14,"Sangat Ketat",IF(J4972&lt;='Catatan &amp; Sumber'!$B$15,"Ketat",IF(J4972&lt;='Catatan &amp; Sumber'!$B$16,"Sedang","Relatif Longgar"))))</x:f>
        <x:v>Relatif Longgar</x:v>
      </x:c>
      <x:c r="N4972" s="66" t="str">
        <x:v>Tidak Ada</x:v>
      </x:c>
      <x:c r="O4972" s="66" t="str">
        <x:v>Maluku Utara</x:v>
      </x:c>
      <x:c r="P4972" s="66" t="str">
        <x:v>Kota Ternate</x:v>
      </x:c>
      <x:c r="Q4972" s="66" t="str">
        <x:v>https://snpmb.id/snbp/daya-tampung-snbp</x:v>
      </x:c>
      <x:c r="R4972" s="66" t="str">
        <x:v>https://sidatagrun-public-1076756628210.asia-southeast2.run.app/ptn_sn.php?ptn=821</x:v>
      </x:c>
    </x:row>
    <x:row r="4973">
      <x:c r="A4973" s="87" t="n">
        <x:v>4064</x:v>
      </x:c>
      <x:c r="B4973" s="66" t="n">
        <x:v>821</x:v>
      </x:c>
      <x:c r="C4973" s="66" t="str">
        <x:v>UNIVERSITAS KHAIRUN</x:v>
      </x:c>
      <x:c r="D4973" s="66" t="str">
        <x:v>PTN Akademik</x:v>
      </x:c>
      <x:c r="E4973" s="66" t="str">
        <x:v>18211036</x:v>
      </x:c>
      <x:c r="F4973" s="66" t="str">
        <x:v>PG PAUD</x:v>
      </x:c>
      <x:c r="G4973" s="66" t="str">
        <x:v>Sarjana</x:v>
      </x:c>
      <x:c r="H4973" s="87" t="n">
        <x:v>59</x:v>
      </x:c>
      <x:c r="I4973" s="87" t="n">
        <x:v>81</x:v>
      </x:c>
      <x:c r="J4973" s="68" t="n">
        <x:f>IFERROR(H4973/I4973,"")</x:f>
        <x:v>0.7283950617283951</x:v>
      </x:c>
      <x:c r="K4973" s="69" t="n">
        <x:f>IFERROR(I4973/H4973,"")</x:f>
        <x:v>1.3728813559322033</x:v>
      </x:c>
      <x:c r="L4973" s="66" t="str">
        <x:f>IF(K4973="","","1 : "&amp;TEXT(K4973,"0.0"))</x:f>
        <x:v>1 : 1.4</x:v>
      </x:c>
      <x:c r="M4973" s="66" t="str">
        <x:f>IF(J4973="","Baru/Tanpa Data",IF(J4973&lt;='Catatan &amp; Sumber'!$B$14,"Sangat Ketat",IF(J4973&lt;='Catatan &amp; Sumber'!$B$15,"Ketat",IF(J4973&lt;='Catatan &amp; Sumber'!$B$16,"Sedang","Relatif Longgar"))))</x:f>
        <x:v>Relatif Longgar</x:v>
      </x:c>
      <x:c r="N4973" s="66" t="str">
        <x:v>Tidak Ada</x:v>
      </x:c>
      <x:c r="O4973" s="66" t="str">
        <x:v>Maluku Utara</x:v>
      </x:c>
      <x:c r="P4973" s="66" t="str">
        <x:v>Kota Ternate</x:v>
      </x:c>
      <x:c r="Q4973" s="66" t="str">
        <x:v>https://snpmb.id/snbp/daya-tampung-snbp</x:v>
      </x:c>
      <x:c r="R4973" s="66" t="str">
        <x:v>https://sidatagrun-public-1076756628210.asia-southeast2.run.app/ptn_sn.php?ptn=821</x:v>
      </x:c>
    </x:row>
    <x:row r="4974">
      <x:c r="A4974" s="87" t="n">
        <x:v>2408</x:v>
      </x:c>
      <x:c r="B4974" s="66" t="n">
        <x:v>821</x:v>
      </x:c>
      <x:c r="C4974" s="66" t="str">
        <x:v>UNIVERSITAS KHAIRUN</x:v>
      </x:c>
      <x:c r="D4974" s="66" t="str">
        <x:v>PTN Akademik</x:v>
      </x:c>
      <x:c r="E4974" s="66" t="str">
        <x:v>18211038</x:v>
      </x:c>
      <x:c r="F4974" s="66" t="str">
        <x:v>PSIKOLOGI</x:v>
      </x:c>
      <x:c r="G4974" s="66" t="str">
        <x:v>Sarjana</x:v>
      </x:c>
      <x:c r="H4974" s="87" t="n">
        <x:v>24</x:v>
      </x:c>
      <x:c r="I4974" s="87" t="n">
        <x:v>122</x:v>
      </x:c>
      <x:c r="J4974" s="68" t="n">
        <x:f>IFERROR(H4974/I4974,"")</x:f>
        <x:v>0.19672131147540983</x:v>
      </x:c>
      <x:c r="K4974" s="69" t="n">
        <x:f>IFERROR(I4974/H4974,"")</x:f>
        <x:v>5.083333333333333</x:v>
      </x:c>
      <x:c r="L4974" s="66" t="str">
        <x:f>IF(K4974="","","1 : "&amp;TEXT(K4974,"0.0"))</x:f>
        <x:v>1 : 5.1</x:v>
      </x:c>
      <x:c r="M4974" s="66" t="str">
        <x:f>IF(J4974="","Baru/Tanpa Data",IF(J4974&lt;='Catatan &amp; Sumber'!$B$14,"Sangat Ketat",IF(J4974&lt;='Catatan &amp; Sumber'!$B$15,"Ketat",IF(J4974&lt;='Catatan &amp; Sumber'!$B$16,"Sedang","Relatif Longgar"))))</x:f>
        <x:v>Relatif Longgar</x:v>
      </x:c>
      <x:c r="N4974" s="66" t="str">
        <x:v>Tidak Ada</x:v>
      </x:c>
      <x:c r="O4974" s="66" t="str">
        <x:v>Maluku Utara</x:v>
      </x:c>
      <x:c r="P4974" s="66" t="str">
        <x:v>Kota Ternate</x:v>
      </x:c>
      <x:c r="Q4974" s="66" t="str">
        <x:v>https://snpmb.id/snbp/daya-tampung-snbp</x:v>
      </x:c>
      <x:c r="R4974" s="66" t="str">
        <x:v>https://sidatagrun-public-1076756628210.asia-southeast2.run.app/ptn_sn.php?ptn=821</x:v>
      </x:c>
    </x:row>
    <x:row r="4975">
      <x:c r="A4975" s="87" t="n">
        <x:v>3936</x:v>
      </x:c>
      <x:c r="B4975" s="66" t="n">
        <x:v>821</x:v>
      </x:c>
      <x:c r="C4975" s="66" t="str">
        <x:v>UNIVERSITAS KHAIRUN</x:v>
      </x:c>
      <x:c r="D4975" s="66" t="str">
        <x:v>PTN Akademik</x:v>
      </x:c>
      <x:c r="E4975" s="66" t="str">
        <x:v>18211039</x:v>
      </x:c>
      <x:c r="F4975" s="66" t="str">
        <x:v>TEKNIK INDUSTRI</x:v>
      </x:c>
      <x:c r="G4975" s="66" t="str">
        <x:v>Sarjana</x:v>
      </x:c>
      <x:c r="H4975" s="87" t="n">
        <x:v>29</x:v>
      </x:c>
      <x:c r="I4975" s="87" t="n">
        <x:v>45</x:v>
      </x:c>
      <x:c r="J4975" s="68" t="n">
        <x:f>IFERROR(H4975/I4975,"")</x:f>
        <x:v>0.6444444444444445</x:v>
      </x:c>
      <x:c r="K4975" s="69" t="n">
        <x:f>IFERROR(I4975/H4975,"")</x:f>
        <x:v>1.5517241379310345</x:v>
      </x:c>
      <x:c r="L4975" s="66" t="str">
        <x:f>IF(K4975="","","1 : "&amp;TEXT(K4975,"0.0"))</x:f>
        <x:v>1 : 1.6</x:v>
      </x:c>
      <x:c r="M4975" s="66" t="str">
        <x:f>IF(J4975="","Baru/Tanpa Data",IF(J4975&lt;='Catatan &amp; Sumber'!$B$14,"Sangat Ketat",IF(J4975&lt;='Catatan &amp; Sumber'!$B$15,"Ketat",IF(J4975&lt;='Catatan &amp; Sumber'!$B$16,"Sedang","Relatif Longgar"))))</x:f>
        <x:v>Relatif Longgar</x:v>
      </x:c>
      <x:c r="N4975" s="66" t="str">
        <x:v>Tidak Ada</x:v>
      </x:c>
      <x:c r="O4975" s="66" t="str">
        <x:v>Maluku Utara</x:v>
      </x:c>
      <x:c r="P4975" s="66" t="str">
        <x:v>Kota Ternate</x:v>
      </x:c>
      <x:c r="Q4975" s="66" t="str">
        <x:v>https://snpmb.id/snbp/daya-tampung-snbp</x:v>
      </x:c>
      <x:c r="R4975" s="66" t="str">
        <x:v>https://sidatagrun-public-1076756628210.asia-southeast2.run.app/ptn_sn.php?ptn=821</x:v>
      </x:c>
    </x:row>
    <x:row r="4976">
      <x:c r="A4976" s="87" t="n">
        <x:v>4739</x:v>
      </x:c>
      <x:c r="B4976" s="66" t="n">
        <x:v>821</x:v>
      </x:c>
      <x:c r="C4976" s="66" t="str">
        <x:v>UNIVERSITAS KHAIRUN</x:v>
      </x:c>
      <x:c r="D4976" s="66" t="str">
        <x:v>PTN Akademik</x:v>
      </x:c>
      <x:c r="E4976" s="66" t="str">
        <x:v>18211040</x:v>
      </x:c>
      <x:c r="F4976" s="66" t="str">
        <x:v>PENDIDIKAN ILMU PENGETAHUAN ALAM</x:v>
      </x:c>
      <x:c r="G4976" s="66" t="str">
        <x:v>Sarjana</x:v>
      </x:c>
      <x:c r="H4976" s="87" t="n">
        <x:v>24</x:v>
      </x:c>
      <x:c r="I4976" s="87" t="n">
        <x:v>9</x:v>
      </x:c>
      <x:c r="J4976" s="68" t="n">
        <x:f>IFERROR(H4976/I4976,"")</x:f>
        <x:v>2.6666666666666665</x:v>
      </x:c>
      <x:c r="K4976" s="69" t="n">
        <x:f>IFERROR(I4976/H4976,"")</x:f>
        <x:v>0.375</x:v>
      </x:c>
      <x:c r="L4976" s="66" t="str">
        <x:f>IF(K4976="","","1 : "&amp;TEXT(K4976,"0.0"))</x:f>
        <x:v>1 : 0.4</x:v>
      </x:c>
      <x:c r="M4976" s="66" t="str">
        <x:f>IF(J4976="","Baru/Tanpa Data",IF(J4976&lt;='Catatan &amp; Sumber'!$B$14,"Sangat Ketat",IF(J4976&lt;='Catatan &amp; Sumber'!$B$15,"Ketat",IF(J4976&lt;='Catatan &amp; Sumber'!$B$16,"Sedang","Relatif Longgar"))))</x:f>
        <x:v>Relatif Longgar</x:v>
      </x:c>
      <x:c r="N4976" s="66" t="str">
        <x:v>Tidak Ada</x:v>
      </x:c>
      <x:c r="O4976" s="66" t="str">
        <x:v>Maluku Utara</x:v>
      </x:c>
      <x:c r="P4976" s="66" t="str">
        <x:v>Kota Ternate</x:v>
      </x:c>
      <x:c r="Q4976" s="66" t="str">
        <x:v>https://snpmb.id/snbp/daya-tampung-snbp</x:v>
      </x:c>
      <x:c r="R4976" s="66" t="str">
        <x:v>https://sidatagrun-public-1076756628210.asia-southeast2.run.app/ptn_sn.php?ptn=821</x:v>
      </x:c>
    </x:row>
    <x:row r="4977">
      <x:c r="A4977" s="87" t="n">
        <x:v>4305</x:v>
      </x:c>
      <x:c r="B4977" s="66" t="n">
        <x:v>821</x:v>
      </x:c>
      <x:c r="C4977" s="66" t="str">
        <x:v>UNIVERSITAS KHAIRUN</x:v>
      </x:c>
      <x:c r="D4977" s="66" t="str">
        <x:v>PTN Akademik</x:v>
      </x:c>
      <x:c r="E4977" s="66" t="str">
        <x:v>18213037</x:v>
      </x:c>
      <x:c r="F4977" s="66" t="str">
        <x:v>USAHA PERJALANAN WISATA</x:v>
      </x:c>
      <x:c r="G4977" s="66" t="str">
        <x:v>Diploma Tiga</x:v>
      </x:c>
      <x:c r="H4977" s="87" t="n">
        <x:v>9</x:v>
      </x:c>
      <x:c r="I4977" s="87" t="n">
        <x:v>9</x:v>
      </x:c>
      <x:c r="J4977" s="68" t="n">
        <x:f>IFERROR(H4977/I4977,"")</x:f>
        <x:v>1</x:v>
      </x:c>
      <x:c r="K4977" s="69" t="n">
        <x:f>IFERROR(I4977/H4977,"")</x:f>
        <x:v>1</x:v>
      </x:c>
      <x:c r="L4977" s="66" t="str">
        <x:f>IF(K4977="","","1 : "&amp;TEXT(K4977,"0.0"))</x:f>
        <x:v>1 : 1.0</x:v>
      </x:c>
      <x:c r="M4977" s="66" t="str">
        <x:f>IF(J4977="","Baru/Tanpa Data",IF(J4977&lt;='Catatan &amp; Sumber'!$B$14,"Sangat Ketat",IF(J4977&lt;='Catatan &amp; Sumber'!$B$15,"Ketat",IF(J4977&lt;='Catatan &amp; Sumber'!$B$16,"Sedang","Relatif Longgar"))))</x:f>
        <x:v>Relatif Longgar</x:v>
      </x:c>
      <x:c r="N4977" s="66" t="str">
        <x:v>Tidak Ada</x:v>
      </x:c>
      <x:c r="O4977" s="66" t="str">
        <x:v>Maluku Utara</x:v>
      </x:c>
      <x:c r="P4977" s="66" t="str">
        <x:v>Kota Ternate</x:v>
      </x:c>
      <x:c r="Q4977" s="66" t="str">
        <x:v>https://snpmb.id/snbp/daya-tampung-snbp</x:v>
      </x:c>
      <x:c r="R4977" s="66" t="str">
        <x:v>https://sidatagrun-public-1076756628210.asia-southeast2.run.app/ptn_sn.php?ptn=821</x:v>
      </x:c>
    </x:row>
    <x:row r="4978">
      <x:c r="A4978" s="87" t="n">
        <x:v>3505</x:v>
      </x:c>
      <x:c r="B4978" s="66" t="n">
        <x:v>831</x:v>
      </x:c>
      <x:c r="C4978" s="66" t="str">
        <x:v>POLITEKNIK NEGERI AMBON</x:v>
      </x:c>
      <x:c r="D4978" s="66" t="str">
        <x:v>PTN Vokasi</x:v>
      </x:c>
      <x:c r="E4978" s="66" t="str">
        <x:v>28312001</x:v>
      </x:c>
      <x:c r="F4978" s="66" t="str">
        <x:v>TEKNIK INFORMATIKA</x:v>
      </x:c>
      <x:c r="G4978" s="66" t="str">
        <x:v>Sarjana Terapan</x:v>
      </x:c>
      <x:c r="H4978" s="87" t="n">
        <x:v>27</x:v>
      </x:c>
      <x:c r="I4978" s="87" t="n">
        <x:v>62</x:v>
      </x:c>
      <x:c r="J4978" s="68" t="n">
        <x:f>IFERROR(H4978/I4978,"")</x:f>
        <x:v>0.43548387096774194</x:v>
      </x:c>
      <x:c r="K4978" s="69" t="n">
        <x:f>IFERROR(I4978/H4978,"")</x:f>
        <x:v>2.2962962962962963</x:v>
      </x:c>
      <x:c r="L4978" s="66" t="str">
        <x:f>IF(K4978="","","1 : "&amp;TEXT(K4978,"0.0"))</x:f>
        <x:v>1 : 2.3</x:v>
      </x:c>
      <x:c r="M4978" s="66" t="str">
        <x:f>IF(J4978="","Baru/Tanpa Data",IF(J4978&lt;='Catatan &amp; Sumber'!$B$14,"Sangat Ketat",IF(J4978&lt;='Catatan &amp; Sumber'!$B$15,"Ketat",IF(J4978&lt;='Catatan &amp; Sumber'!$B$16,"Sedang","Relatif Longgar"))))</x:f>
        <x:v>Relatif Longgar</x:v>
      </x:c>
      <x:c r="N4978" s="66" t="str">
        <x:v>Tidak Ada</x:v>
      </x:c>
      <x:c r="O4978" s="66" t="str">
        <x:v>Maluku</x:v>
      </x:c>
      <x:c r="P4978" s="66" t="str">
        <x:v>Kota Ambon</x:v>
      </x:c>
      <x:c r="Q4978" s="66" t="str">
        <x:v>https://snpmb.id/snbp/daya-tampung-snbp</x:v>
      </x:c>
      <x:c r="R4978" s="66" t="str">
        <x:v>https://sidatagrun-public-1076756628210.asia-southeast2.run.app/ptn_sn.php?ptn=831</x:v>
      </x:c>
    </x:row>
    <x:row r="4979">
      <x:c r="A4979" s="87" t="n">
        <x:v>4795</x:v>
      </x:c>
      <x:c r="B4979" s="66" t="n">
        <x:v>831</x:v>
      </x:c>
      <x:c r="C4979" s="66" t="str">
        <x:v>POLITEKNIK NEGERI AMBON</x:v>
      </x:c>
      <x:c r="D4979" s="66" t="str">
        <x:v>PTN Vokasi</x:v>
      </x:c>
      <x:c r="E4979" s="66" t="str">
        <x:v>28312002</x:v>
      </x:c>
      <x:c r="F4979" s="66" t="str">
        <x:v>MANAJEMEN PROYEK KONSTRUKSI</x:v>
      </x:c>
      <x:c r="G4979" s="66" t="str">
        <x:v>Sarjana Terapan</x:v>
      </x:c>
      <x:c r="H4979" s="87" t="n">
        <x:v>27</x:v>
      </x:c>
      <x:c r="I4979" s="87" t="n">
        <x:v>8</x:v>
      </x:c>
      <x:c r="J4979" s="68" t="n">
        <x:f>IFERROR(H4979/I4979,"")</x:f>
        <x:v>3.375</x:v>
      </x:c>
      <x:c r="K4979" s="69" t="n">
        <x:f>IFERROR(I4979/H4979,"")</x:f>
        <x:v>0.2962962962962963</x:v>
      </x:c>
      <x:c r="L4979" s="66" t="str">
        <x:f>IF(K4979="","","1 : "&amp;TEXT(K4979,"0.0"))</x:f>
        <x:v>1 : 0.3</x:v>
      </x:c>
      <x:c r="M4979" s="66" t="str">
        <x:f>IF(J4979="","Baru/Tanpa Data",IF(J4979&lt;='Catatan &amp; Sumber'!$B$14,"Sangat Ketat",IF(J4979&lt;='Catatan &amp; Sumber'!$B$15,"Ketat",IF(J4979&lt;='Catatan &amp; Sumber'!$B$16,"Sedang","Relatif Longgar"))))</x:f>
        <x:v>Relatif Longgar</x:v>
      </x:c>
      <x:c r="N4979" s="66" t="str">
        <x:v>Tidak Ada</x:v>
      </x:c>
      <x:c r="O4979" s="66" t="str">
        <x:v>Maluku</x:v>
      </x:c>
      <x:c r="P4979" s="66" t="str">
        <x:v>Kota Ambon</x:v>
      </x:c>
      <x:c r="Q4979" s="66" t="str">
        <x:v>https://snpmb.id/snbp/daya-tampung-snbp</x:v>
      </x:c>
      <x:c r="R4979" s="66" t="str">
        <x:v>https://sidatagrun-public-1076756628210.asia-southeast2.run.app/ptn_sn.php?ptn=831</x:v>
      </x:c>
    </x:row>
    <x:row r="4980">
      <x:c r="A4980" s="87" t="n">
        <x:v>4795</x:v>
      </x:c>
      <x:c r="B4980" s="66" t="n">
        <x:v>831</x:v>
      </x:c>
      <x:c r="C4980" s="66" t="str">
        <x:v>POLITEKNIK NEGERI AMBON</x:v>
      </x:c>
      <x:c r="D4980" s="66" t="str">
        <x:v>PTN Vokasi</x:v>
      </x:c>
      <x:c r="E4980" s="66" t="str">
        <x:v>28312003</x:v>
      </x:c>
      <x:c r="F4980" s="66" t="str">
        <x:v>TEKNIK KONSTRUKSI JALAN DAN JEMBATAN</x:v>
      </x:c>
      <x:c r="G4980" s="66" t="str">
        <x:v>Sarjana Terapan</x:v>
      </x:c>
      <x:c r="H4980" s="87" t="n">
        <x:v>27</x:v>
      </x:c>
      <x:c r="I4980" s="87" t="n">
        <x:v>8</x:v>
      </x:c>
      <x:c r="J4980" s="68" t="n">
        <x:f>IFERROR(H4980/I4980,"")</x:f>
        <x:v>3.375</x:v>
      </x:c>
      <x:c r="K4980" s="69" t="n">
        <x:f>IFERROR(I4980/H4980,"")</x:f>
        <x:v>0.2962962962962963</x:v>
      </x:c>
      <x:c r="L4980" s="66" t="str">
        <x:f>IF(K4980="","","1 : "&amp;TEXT(K4980,"0.0"))</x:f>
        <x:v>1 : 0.3</x:v>
      </x:c>
      <x:c r="M4980" s="66" t="str">
        <x:f>IF(J4980="","Baru/Tanpa Data",IF(J4980&lt;='Catatan &amp; Sumber'!$B$14,"Sangat Ketat",IF(J4980&lt;='Catatan &amp; Sumber'!$B$15,"Ketat",IF(J4980&lt;='Catatan &amp; Sumber'!$B$16,"Sedang","Relatif Longgar"))))</x:f>
        <x:v>Relatif Longgar</x:v>
      </x:c>
      <x:c r="N4980" s="66" t="str">
        <x:v>Tidak Ada</x:v>
      </x:c>
      <x:c r="O4980" s="66" t="str">
        <x:v>Maluku</x:v>
      </x:c>
      <x:c r="P4980" s="66" t="str">
        <x:v>Kota Ambon</x:v>
      </x:c>
      <x:c r="Q4980" s="66" t="str">
        <x:v>https://snpmb.id/snbp/daya-tampung-snbp</x:v>
      </x:c>
      <x:c r="R4980" s="66" t="str">
        <x:v>https://sidatagrun-public-1076756628210.asia-southeast2.run.app/ptn_sn.php?ptn=831</x:v>
      </x:c>
    </x:row>
    <x:row r="4981">
      <x:c r="A4981" s="87" t="n">
        <x:v>4012</x:v>
      </x:c>
      <x:c r="B4981" s="66" t="n">
        <x:v>831</x:v>
      </x:c>
      <x:c r="C4981" s="66" t="str">
        <x:v>POLITEKNIK NEGERI AMBON</x:v>
      </x:c>
      <x:c r="D4981" s="66" t="str">
        <x:v>PTN Vokasi</x:v>
      </x:c>
      <x:c r="E4981" s="66" t="str">
        <x:v>28312004</x:v>
      </x:c>
      <x:c r="F4981" s="66" t="str">
        <x:v>TEKNIK PRODUKSI MIGAS</x:v>
      </x:c>
      <x:c r="G4981" s="66" t="str">
        <x:v>Sarjana Terapan</x:v>
      </x:c>
      <x:c r="H4981" s="87" t="n">
        <x:v>18</x:v>
      </x:c>
      <x:c r="I4981" s="87" t="n">
        <x:v>26</x:v>
      </x:c>
      <x:c r="J4981" s="68" t="n">
        <x:f>IFERROR(H4981/I4981,"")</x:f>
        <x:v>0.6923076923076923</x:v>
      </x:c>
      <x:c r="K4981" s="69" t="n">
        <x:f>IFERROR(I4981/H4981,"")</x:f>
        <x:v>1.4444444444444444</x:v>
      </x:c>
      <x:c r="L4981" s="66" t="str">
        <x:f>IF(K4981="","","1 : "&amp;TEXT(K4981,"0.0"))</x:f>
        <x:v>1 : 1.4</x:v>
      </x:c>
      <x:c r="M4981" s="66" t="str">
        <x:f>IF(J4981="","Baru/Tanpa Data",IF(J4981&lt;='Catatan &amp; Sumber'!$B$14,"Sangat Ketat",IF(J4981&lt;='Catatan &amp; Sumber'!$B$15,"Ketat",IF(J4981&lt;='Catatan &amp; Sumber'!$B$16,"Sedang","Relatif Longgar"))))</x:f>
        <x:v>Relatif Longgar</x:v>
      </x:c>
      <x:c r="N4981" s="66" t="str">
        <x:v>Tidak Ada</x:v>
      </x:c>
      <x:c r="O4981" s="66" t="str">
        <x:v>Maluku</x:v>
      </x:c>
      <x:c r="P4981" s="66" t="str">
        <x:v>Kota Ambon</x:v>
      </x:c>
      <x:c r="Q4981" s="66" t="str">
        <x:v>https://snpmb.id/snbp/daya-tampung-snbp</x:v>
      </x:c>
      <x:c r="R4981" s="66" t="str">
        <x:v>https://sidatagrun-public-1076756628210.asia-southeast2.run.app/ptn_sn.php?ptn=831</x:v>
      </x:c>
    </x:row>
    <x:row r="4982">
      <x:c r="A4982" s="87" t="n">
        <x:v>3847</x:v>
      </x:c>
      <x:c r="B4982" s="66" t="n">
        <x:v>831</x:v>
      </x:c>
      <x:c r="C4982" s="66" t="str">
        <x:v>POLITEKNIK NEGERI AMBON</x:v>
      </x:c>
      <x:c r="D4982" s="66" t="str">
        <x:v>PTN Vokasi</x:v>
      </x:c>
      <x:c r="E4982" s="66" t="str">
        <x:v>28312005</x:v>
      </x:c>
      <x:c r="F4982" s="66" t="str">
        <x:v>TEKNOLOGI REKAYASA SISTEM KELISTRIKAN MINYAK DAN GAS</x:v>
      </x:c>
      <x:c r="G4982" s="66" t="str">
        <x:v>Sarjana Terapan</x:v>
      </x:c>
      <x:c r="H4982" s="87" t="n">
        <x:v>18</x:v>
      </x:c>
      <x:c r="I4982" s="87" t="n">
        <x:v>30</x:v>
      </x:c>
      <x:c r="J4982" s="68" t="n">
        <x:f>IFERROR(H4982/I4982,"")</x:f>
        <x:v>0.6</x:v>
      </x:c>
      <x:c r="K4982" s="69" t="n">
        <x:f>IFERROR(I4982/H4982,"")</x:f>
        <x:v>1.6666666666666667</x:v>
      </x:c>
      <x:c r="L4982" s="66" t="str">
        <x:f>IF(K4982="","","1 : "&amp;TEXT(K4982,"0.0"))</x:f>
        <x:v>1 : 1.7</x:v>
      </x:c>
      <x:c r="M4982" s="66" t="str">
        <x:f>IF(J4982="","Baru/Tanpa Data",IF(J4982&lt;='Catatan &amp; Sumber'!$B$14,"Sangat Ketat",IF(J4982&lt;='Catatan &amp; Sumber'!$B$15,"Ketat",IF(J4982&lt;='Catatan &amp; Sumber'!$B$16,"Sedang","Relatif Longgar"))))</x:f>
        <x:v>Relatif Longgar</x:v>
      </x:c>
      <x:c r="N4982" s="66" t="str">
        <x:v>Tidak Ada</x:v>
      </x:c>
      <x:c r="O4982" s="66" t="str">
        <x:v>Maluku</x:v>
      </x:c>
      <x:c r="P4982" s="66" t="str">
        <x:v>Kota Ambon</x:v>
      </x:c>
      <x:c r="Q4982" s="66" t="str">
        <x:v>https://snpmb.id/snbp/daya-tampung-snbp</x:v>
      </x:c>
      <x:c r="R4982" s="66" t="str">
        <x:v>https://sidatagrun-public-1076756628210.asia-southeast2.run.app/ptn_sn.php?ptn=831</x:v>
      </x:c>
    </x:row>
    <x:row r="4983">
      <x:c r="A4983" s="87" t="n">
        <x:v>4696</x:v>
      </x:c>
      <x:c r="B4983" s="66" t="n">
        <x:v>831</x:v>
      </x:c>
      <x:c r="C4983" s="66" t="str">
        <x:v>POLITEKNIK NEGERI AMBON</x:v>
      </x:c>
      <x:c r="D4983" s="66" t="str">
        <x:v>PTN Vokasi</x:v>
      </x:c>
      <x:c r="E4983" s="66" t="str">
        <x:v>28312006</x:v>
      </x:c>
      <x:c r="F4983" s="66" t="str">
        <x:v>TEKNOLOGI REKAYASA SISTEM MEKANIKAL MINYAK DAN GAS</x:v>
      </x:c>
      <x:c r="G4983" s="66" t="str">
        <x:v>Sarjana Terapan</x:v>
      </x:c>
      <x:c r="H4983" s="87" t="n">
        <x:v>27</x:v>
      </x:c>
      <x:c r="I4983" s="87" t="n">
        <x:v>12</x:v>
      </x:c>
      <x:c r="J4983" s="68" t="n">
        <x:f>IFERROR(H4983/I4983,"")</x:f>
        <x:v>2.25</x:v>
      </x:c>
      <x:c r="K4983" s="69" t="n">
        <x:f>IFERROR(I4983/H4983,"")</x:f>
        <x:v>0.4444444444444444</x:v>
      </x:c>
      <x:c r="L4983" s="66" t="str">
        <x:f>IF(K4983="","","1 : "&amp;TEXT(K4983,"0.0"))</x:f>
        <x:v>1 : 0.4</x:v>
      </x:c>
      <x:c r="M4983" s="66" t="str">
        <x:f>IF(J4983="","Baru/Tanpa Data",IF(J4983&lt;='Catatan &amp; Sumber'!$B$14,"Sangat Ketat",IF(J4983&lt;='Catatan &amp; Sumber'!$B$15,"Ketat",IF(J4983&lt;='Catatan &amp; Sumber'!$B$16,"Sedang","Relatif Longgar"))))</x:f>
        <x:v>Relatif Longgar</x:v>
      </x:c>
      <x:c r="N4983" s="66" t="str">
        <x:v>Tidak Ada</x:v>
      </x:c>
      <x:c r="O4983" s="66" t="str">
        <x:v>Maluku</x:v>
      </x:c>
      <x:c r="P4983" s="66" t="str">
        <x:v>Kota Ambon</x:v>
      </x:c>
      <x:c r="Q4983" s="66" t="str">
        <x:v>https://snpmb.id/snbp/daya-tampung-snbp</x:v>
      </x:c>
      <x:c r="R4983" s="66" t="str">
        <x:v>https://sidatagrun-public-1076756628210.asia-southeast2.run.app/ptn_sn.php?ptn=831</x:v>
      </x:c>
    </x:row>
    <x:row r="4984">
      <x:c r="A4984" s="87" t="n">
        <x:v>4832</x:v>
      </x:c>
      <x:c r="B4984" s="66" t="n">
        <x:v>831</x:v>
      </x:c>
      <x:c r="C4984" s="66" t="str">
        <x:v>POLITEKNIK NEGERI AMBON</x:v>
      </x:c>
      <x:c r="D4984" s="66" t="str">
        <x:v>PTN Vokasi</x:v>
      </x:c>
      <x:c r="E4984" s="66" t="str">
        <x:v>28312007</x:v>
      </x:c>
      <x:c r="F4984" s="66" t="str">
        <x:v>ADMINISTRASI BISNIS TERAPAN</x:v>
      </x:c>
      <x:c r="G4984" s="66" t="str">
        <x:v>Sarjana Terapan</x:v>
      </x:c>
      <x:c r="H4984" s="87" t="n">
        <x:v>36</x:v>
      </x:c>
      <x:c r="I4984" s="87" t="n">
        <x:v>8</x:v>
      </x:c>
      <x:c r="J4984" s="68" t="n">
        <x:f>IFERROR(H4984/I4984,"")</x:f>
        <x:v>4.5</x:v>
      </x:c>
      <x:c r="K4984" s="69" t="n">
        <x:f>IFERROR(I4984/H4984,"")</x:f>
        <x:v>0.2222222222222222</x:v>
      </x:c>
      <x:c r="L4984" s="66" t="str">
        <x:f>IF(K4984="","","1 : "&amp;TEXT(K4984,"0.0"))</x:f>
        <x:v>1 : 0.2</x:v>
      </x:c>
      <x:c r="M4984" s="66" t="str">
        <x:f>IF(J4984="","Baru/Tanpa Data",IF(J4984&lt;='Catatan &amp; Sumber'!$B$14,"Sangat Ketat",IF(J4984&lt;='Catatan &amp; Sumber'!$B$15,"Ketat",IF(J4984&lt;='Catatan &amp; Sumber'!$B$16,"Sedang","Relatif Longgar"))))</x:f>
        <x:v>Relatif Longgar</x:v>
      </x:c>
      <x:c r="N4984" s="66" t="str">
        <x:v>Tidak Ada</x:v>
      </x:c>
      <x:c r="O4984" s="66" t="str">
        <x:v>Maluku</x:v>
      </x:c>
      <x:c r="P4984" s="66" t="str">
        <x:v>Kota Ambon</x:v>
      </x:c>
      <x:c r="Q4984" s="66" t="str">
        <x:v>https://snpmb.id/snbp/daya-tampung-snbp</x:v>
      </x:c>
      <x:c r="R4984" s="66" t="str">
        <x:v>https://sidatagrun-public-1076756628210.asia-southeast2.run.app/ptn_sn.php?ptn=831</x:v>
      </x:c>
    </x:row>
    <x:row r="4985">
      <x:c r="A4985" s="87" t="n">
        <x:v>4911</x:v>
      </x:c>
      <x:c r="B4985" s="66" t="n">
        <x:v>831</x:v>
      </x:c>
      <x:c r="C4985" s="66" t="str">
        <x:v>POLITEKNIK NEGERI AMBON</x:v>
      </x:c>
      <x:c r="D4985" s="66" t="str">
        <x:v>PTN Vokasi</x:v>
      </x:c>
      <x:c r="E4985" s="66" t="str">
        <x:v>28312013</x:v>
      </x:c>
      <x:c r="F4985" s="66" t="str">
        <x:v>AKUNTANSI SEKTOR PUBLIK</x:v>
      </x:c>
      <x:c r="G4985" s="66" t="str">
        <x:v>Sarjana Terapan</x:v>
      </x:c>
      <x:c r="H4985" s="87" t="n">
        <x:v>36</x:v>
      </x:c>
      <x:c r="I4985" s="87" t="n">
        <x:v>1</x:v>
      </x:c>
      <x:c r="J4985" s="68" t="n">
        <x:f>IFERROR(H4985/I4985,"")</x:f>
        <x:v>36</x:v>
      </x:c>
      <x:c r="K4985" s="69" t="n">
        <x:f>IFERROR(I4985/H4985,"")</x:f>
        <x:v>0.027777777777777776</x:v>
      </x:c>
      <x:c r="L4985" s="66" t="str">
        <x:f>IF(K4985="","","1 : "&amp;TEXT(K4985,"0.0"))</x:f>
        <x:v>1 : 0.0</x:v>
      </x:c>
      <x:c r="M4985" s="66" t="str">
        <x:f>IF(J4985="","Baru/Tanpa Data",IF(J4985&lt;='Catatan &amp; Sumber'!$B$14,"Sangat Ketat",IF(J4985&lt;='Catatan &amp; Sumber'!$B$15,"Ketat",IF(J4985&lt;='Catatan &amp; Sumber'!$B$16,"Sedang","Relatif Longgar"))))</x:f>
        <x:v>Relatif Longgar</x:v>
      </x:c>
      <x:c r="N4985" s="66" t="str">
        <x:v>Tidak Ada</x:v>
      </x:c>
      <x:c r="O4985" s="66" t="str">
        <x:v>Maluku</x:v>
      </x:c>
      <x:c r="P4985" s="66" t="str">
        <x:v>Kota Ambon</x:v>
      </x:c>
      <x:c r="Q4985" s="66" t="str">
        <x:v>https://snpmb.id/snbp/daya-tampung-snbp</x:v>
      </x:c>
      <x:c r="R4985" s="66" t="str">
        <x:v>https://sidatagrun-public-1076756628210.asia-southeast2.run.app/ptn_sn.php?ptn=831</x:v>
      </x:c>
    </x:row>
    <x:row r="4986">
      <x:c r="A4986" s="87" t="n">
        <x:v>4733</x:v>
      </x:c>
      <x:c r="B4986" s="66" t="n">
        <x:v>831</x:v>
      </x:c>
      <x:c r="C4986" s="66" t="str">
        <x:v>POLITEKNIK NEGERI AMBON</x:v>
      </x:c>
      <x:c r="D4986" s="66" t="str">
        <x:v>PTN Vokasi</x:v>
      </x:c>
      <x:c r="E4986" s="66" t="str">
        <x:v>28312014</x:v>
      </x:c>
      <x:c r="F4986" s="66" t="str">
        <x:v>AKUNTANSI PERPAJAKAN</x:v>
      </x:c>
      <x:c r="G4986" s="66" t="str">
        <x:v>Sarjana Terapan</x:v>
      </x:c>
      <x:c r="H4986" s="87" t="n">
        <x:v>18</x:v>
      </x:c>
      <x:c r="I4986" s="87" t="n">
        <x:v>7</x:v>
      </x:c>
      <x:c r="J4986" s="68" t="n">
        <x:f>IFERROR(H4986/I4986,"")</x:f>
        <x:v>2.5714285714285716</x:v>
      </x:c>
      <x:c r="K4986" s="69" t="n">
        <x:f>IFERROR(I4986/H4986,"")</x:f>
        <x:v>0.3888888888888889</x:v>
      </x:c>
      <x:c r="L4986" s="66" t="str">
        <x:f>IF(K4986="","","1 : "&amp;TEXT(K4986,"0.0"))</x:f>
        <x:v>1 : 0.4</x:v>
      </x:c>
      <x:c r="M4986" s="66" t="str">
        <x:f>IF(J4986="","Baru/Tanpa Data",IF(J4986&lt;='Catatan &amp; Sumber'!$B$14,"Sangat Ketat",IF(J4986&lt;='Catatan &amp; Sumber'!$B$15,"Ketat",IF(J4986&lt;='Catatan &amp; Sumber'!$B$16,"Sedang","Relatif Longgar"))))</x:f>
        <x:v>Relatif Longgar</x:v>
      </x:c>
      <x:c r="N4986" s="66" t="str">
        <x:v>Tidak Ada</x:v>
      </x:c>
      <x:c r="O4986" s="66" t="str">
        <x:v>Maluku</x:v>
      </x:c>
      <x:c r="P4986" s="66" t="str">
        <x:v>Kota Ambon</x:v>
      </x:c>
      <x:c r="Q4986" s="66" t="str">
        <x:v>https://snpmb.id/snbp/daya-tampung-snbp</x:v>
      </x:c>
      <x:c r="R4986" s="66" t="str">
        <x:v>https://sidatagrun-public-1076756628210.asia-southeast2.run.app/ptn_sn.php?ptn=831</x:v>
      </x:c>
    </x:row>
    <x:row r="4987">
      <x:c r="A4987" s="87"/>
      <x:c r="B4987" s="66" t="n">
        <x:v>831</x:v>
      </x:c>
      <x:c r="C4987" s="66" t="str">
        <x:v>POLITEKNIK NEGERI AMBON</x:v>
      </x:c>
      <x:c r="D4987" s="66" t="str">
        <x:v>PTN Vokasi</x:v>
      </x:c>
      <x:c r="E4987" s="66" t="str">
        <x:v>28312015</x:v>
      </x:c>
      <x:c r="F4987" s="66" t="str">
        <x:v>DESTINASI PARIWISATA</x:v>
      </x:c>
      <x:c r="G4987" s="66" t="str">
        <x:v>Sarjana Terapan</x:v>
      </x:c>
      <x:c r="H4987" s="87" t="n">
        <x:v>18</x:v>
      </x:c>
      <x:c r="I4987" s="87"/>
      <x:c r="J4987" s="68" t="str">
        <x:f>IFERROR(H4987/I4987,"")</x:f>
      </x:c>
      <x:c r="K4987" s="69" t="n">
        <x:f>IFERROR(I4987/H4987,"")</x:f>
        <x:v>0</x:v>
      </x:c>
      <x:c r="L4987" s="66" t="str">
        <x:f>IF(K4987="","","1 : "&amp;TEXT(K4987,"0.0"))</x:f>
      </x:c>
      <x:c r="M4987" s="66" t="str">
        <x:f>IF(J4987="","Baru/Tanpa Data",IF(J4987&lt;='Catatan &amp; Sumber'!$B$14,"Sangat Ketat",IF(J4987&lt;='Catatan &amp; Sumber'!$B$15,"Ketat",IF(J4987&lt;='Catatan &amp; Sumber'!$B$16,"Sedang","Relatif Longgar"))))</x:f>
        <x:v>Baru/Tanpa Data</x:v>
      </x:c>
      <x:c r="N4987" s="66" t="str">
        <x:v>Tidak Ada</x:v>
      </x:c>
      <x:c r="O4987" s="66" t="str">
        <x:v>Maluku</x:v>
      </x:c>
      <x:c r="P4987" s="66" t="str">
        <x:v>Kota Ambon</x:v>
      </x:c>
      <x:c r="Q4987" s="66" t="str">
        <x:v>https://snpmb.id/snbp/daya-tampung-snbp</x:v>
      </x:c>
      <x:c r="R4987" s="66" t="str">
        <x:v>https://sidatagrun-public-1076756628210.asia-southeast2.run.app/ptn_sn.php?ptn=831</x:v>
      </x:c>
    </x:row>
    <x:row r="4988">
      <x:c r="A4988" s="87" t="n">
        <x:v>4868</x:v>
      </x:c>
      <x:c r="B4988" s="66" t="n">
        <x:v>831</x:v>
      </x:c>
      <x:c r="C4988" s="66" t="str">
        <x:v>POLITEKNIK NEGERI AMBON</x:v>
      </x:c>
      <x:c r="D4988" s="66" t="str">
        <x:v>PTN Vokasi</x:v>
      </x:c>
      <x:c r="E4988" s="66" t="str">
        <x:v>28313008</x:v>
      </x:c>
      <x:c r="F4988" s="66" t="str">
        <x:v>AKUNTANSI</x:v>
      </x:c>
      <x:c r="G4988" s="66" t="str">
        <x:v>Diploma Tiga</x:v>
      </x:c>
      <x:c r="H4988" s="87" t="n">
        <x:v>45</x:v>
      </x:c>
      <x:c r="I4988" s="87" t="n">
        <x:v>7</x:v>
      </x:c>
      <x:c r="J4988" s="68" t="n">
        <x:f>IFERROR(H4988/I4988,"")</x:f>
        <x:v>6.428571428571429</x:v>
      </x:c>
      <x:c r="K4988" s="69" t="n">
        <x:f>IFERROR(I4988/H4988,"")</x:f>
        <x:v>0.15555555555555556</x:v>
      </x:c>
      <x:c r="L4988" s="66" t="str">
        <x:f>IF(K4988="","","1 : "&amp;TEXT(K4988,"0.0"))</x:f>
        <x:v>1 : 0.2</x:v>
      </x:c>
      <x:c r="M4988" s="66" t="str">
        <x:f>IF(J4988="","Baru/Tanpa Data",IF(J4988&lt;='Catatan &amp; Sumber'!$B$14,"Sangat Ketat",IF(J4988&lt;='Catatan &amp; Sumber'!$B$15,"Ketat",IF(J4988&lt;='Catatan &amp; Sumber'!$B$16,"Sedang","Relatif Longgar"))))</x:f>
        <x:v>Relatif Longgar</x:v>
      </x:c>
      <x:c r="N4988" s="66" t="str">
        <x:v>Tidak Ada</x:v>
      </x:c>
      <x:c r="O4988" s="66" t="str">
        <x:v>Maluku</x:v>
      </x:c>
      <x:c r="P4988" s="66" t="str">
        <x:v>Kota Ambon</x:v>
      </x:c>
      <x:c r="Q4988" s="66" t="str">
        <x:v>https://snpmb.id/snbp/daya-tampung-snbp</x:v>
      </x:c>
      <x:c r="R4988" s="66" t="str">
        <x:v>https://sidatagrun-public-1076756628210.asia-southeast2.run.app/ptn_sn.php?ptn=831</x:v>
      </x:c>
    </x:row>
    <x:row r="4989">
      <x:c r="A4989" s="87" t="n">
        <x:v>4852</x:v>
      </x:c>
      <x:c r="B4989" s="66" t="n">
        <x:v>831</x:v>
      </x:c>
      <x:c r="C4989" s="66" t="str">
        <x:v>POLITEKNIK NEGERI AMBON</x:v>
      </x:c>
      <x:c r="D4989" s="66" t="str">
        <x:v>PTN Vokasi</x:v>
      </x:c>
      <x:c r="E4989" s="66" t="str">
        <x:v>28313009</x:v>
      </x:c>
      <x:c r="F4989" s="66" t="str">
        <x:v>ADMINISTRASI BISNIS</x:v>
      </x:c>
      <x:c r="G4989" s="66" t="str">
        <x:v>Diploma Tiga</x:v>
      </x:c>
      <x:c r="H4989" s="87" t="n">
        <x:v>27</x:v>
      </x:c>
      <x:c r="I4989" s="87" t="n">
        <x:v>5</x:v>
      </x:c>
      <x:c r="J4989" s="68" t="n">
        <x:f>IFERROR(H4989/I4989,"")</x:f>
        <x:v>5.4</x:v>
      </x:c>
      <x:c r="K4989" s="69" t="n">
        <x:f>IFERROR(I4989/H4989,"")</x:f>
        <x:v>0.18518518518518517</x:v>
      </x:c>
      <x:c r="L4989" s="66" t="str">
        <x:f>IF(K4989="","","1 : "&amp;TEXT(K4989,"0.0"))</x:f>
        <x:v>1 : 0.2</x:v>
      </x:c>
      <x:c r="M4989" s="66" t="str">
        <x:f>IF(J4989="","Baru/Tanpa Data",IF(J4989&lt;='Catatan &amp; Sumber'!$B$14,"Sangat Ketat",IF(J4989&lt;='Catatan &amp; Sumber'!$B$15,"Ketat",IF(J4989&lt;='Catatan &amp; Sumber'!$B$16,"Sedang","Relatif Longgar"))))</x:f>
        <x:v>Relatif Longgar</x:v>
      </x:c>
      <x:c r="N4989" s="66" t="str">
        <x:v>Tidak Ada</x:v>
      </x:c>
      <x:c r="O4989" s="66" t="str">
        <x:v>Maluku</x:v>
      </x:c>
      <x:c r="P4989" s="66" t="str">
        <x:v>Kota Ambon</x:v>
      </x:c>
      <x:c r="Q4989" s="66" t="str">
        <x:v>https://snpmb.id/snbp/daya-tampung-snbp</x:v>
      </x:c>
      <x:c r="R4989" s="66" t="str">
        <x:v>https://sidatagrun-public-1076756628210.asia-southeast2.run.app/ptn_sn.php?ptn=831</x:v>
      </x:c>
    </x:row>
    <x:row r="4990">
      <x:c r="A4990" s="87" t="n">
        <x:v>4582</x:v>
      </x:c>
      <x:c r="B4990" s="66" t="n">
        <x:v>831</x:v>
      </x:c>
      <x:c r="C4990" s="66" t="str">
        <x:v>POLITEKNIK NEGERI AMBON</x:v>
      </x:c>
      <x:c r="D4990" s="66" t="str">
        <x:v>PTN Vokasi</x:v>
      </x:c>
      <x:c r="E4990" s="66" t="str">
        <x:v>28313010</x:v>
      </x:c>
      <x:c r="F4990" s="66" t="str">
        <x:v>TEKNIK SIPIL</x:v>
      </x:c>
      <x:c r="G4990" s="66" t="str">
        <x:v>Diploma Tiga</x:v>
      </x:c>
      <x:c r="H4990" s="87" t="n">
        <x:v>27</x:v>
      </x:c>
      <x:c r="I4990" s="87" t="n">
        <x:v>17</x:v>
      </x:c>
      <x:c r="J4990" s="68" t="n">
        <x:f>IFERROR(H4990/I4990,"")</x:f>
        <x:v>1.588235294117647</x:v>
      </x:c>
      <x:c r="K4990" s="69" t="n">
        <x:f>IFERROR(I4990/H4990,"")</x:f>
        <x:v>0.6296296296296297</x:v>
      </x:c>
      <x:c r="L4990" s="66" t="str">
        <x:f>IF(K4990="","","1 : "&amp;TEXT(K4990,"0.0"))</x:f>
        <x:v>1 : 0.6</x:v>
      </x:c>
      <x:c r="M4990" s="66" t="str">
        <x:f>IF(J4990="","Baru/Tanpa Data",IF(J4990&lt;='Catatan &amp; Sumber'!$B$14,"Sangat Ketat",IF(J4990&lt;='Catatan &amp; Sumber'!$B$15,"Ketat",IF(J4990&lt;='Catatan &amp; Sumber'!$B$16,"Sedang","Relatif Longgar"))))</x:f>
        <x:v>Relatif Longgar</x:v>
      </x:c>
      <x:c r="N4990" s="66" t="str">
        <x:v>Tidak Ada</x:v>
      </x:c>
      <x:c r="O4990" s="66" t="str">
        <x:v>Maluku</x:v>
      </x:c>
      <x:c r="P4990" s="66" t="str">
        <x:v>Kota Ambon</x:v>
      </x:c>
      <x:c r="Q4990" s="66" t="str">
        <x:v>https://snpmb.id/snbp/daya-tampung-snbp</x:v>
      </x:c>
      <x:c r="R4990" s="66" t="str">
        <x:v>https://sidatagrun-public-1076756628210.asia-southeast2.run.app/ptn_sn.php?ptn=831</x:v>
      </x:c>
    </x:row>
    <x:row r="4991">
      <x:c r="A4991" s="87" t="n">
        <x:v>4723</x:v>
      </x:c>
      <x:c r="B4991" s="66" t="n">
        <x:v>831</x:v>
      </x:c>
      <x:c r="C4991" s="66" t="str">
        <x:v>POLITEKNIK NEGERI AMBON</x:v>
      </x:c>
      <x:c r="D4991" s="66" t="str">
        <x:v>PTN Vokasi</x:v>
      </x:c>
      <x:c r="E4991" s="66" t="str">
        <x:v>28313011</x:v>
      </x:c>
      <x:c r="F4991" s="66" t="str">
        <x:v>TEKNIK MESIN</x:v>
      </x:c>
      <x:c r="G4991" s="66" t="str">
        <x:v>Diploma Tiga</x:v>
      </x:c>
      <x:c r="H4991" s="87" t="n">
        <x:v>27</x:v>
      </x:c>
      <x:c r="I4991" s="87" t="n">
        <x:v>11</x:v>
      </x:c>
      <x:c r="J4991" s="68" t="n">
        <x:f>IFERROR(H4991/I4991,"")</x:f>
        <x:v>2.4545454545454546</x:v>
      </x:c>
      <x:c r="K4991" s="69" t="n">
        <x:f>IFERROR(I4991/H4991,"")</x:f>
        <x:v>0.4074074074074074</x:v>
      </x:c>
      <x:c r="L4991" s="66" t="str">
        <x:f>IF(K4991="","","1 : "&amp;TEXT(K4991,"0.0"))</x:f>
        <x:v>1 : 0.4</x:v>
      </x:c>
      <x:c r="M4991" s="66" t="str">
        <x:f>IF(J4991="","Baru/Tanpa Data",IF(J4991&lt;='Catatan &amp; Sumber'!$B$14,"Sangat Ketat",IF(J4991&lt;='Catatan &amp; Sumber'!$B$15,"Ketat",IF(J4991&lt;='Catatan &amp; Sumber'!$B$16,"Sedang","Relatif Longgar"))))</x:f>
        <x:v>Relatif Longgar</x:v>
      </x:c>
      <x:c r="N4991" s="66" t="str">
        <x:v>Tidak Ada</x:v>
      </x:c>
      <x:c r="O4991" s="66" t="str">
        <x:v>Maluku</x:v>
      </x:c>
      <x:c r="P4991" s="66" t="str">
        <x:v>Kota Ambon</x:v>
      </x:c>
      <x:c r="Q4991" s="66" t="str">
        <x:v>https://snpmb.id/snbp/daya-tampung-snbp</x:v>
      </x:c>
      <x:c r="R4991" s="66" t="str">
        <x:v>https://sidatagrun-public-1076756628210.asia-southeast2.run.app/ptn_sn.php?ptn=831</x:v>
      </x:c>
    </x:row>
    <x:row r="4992">
      <x:c r="A4992" s="87" t="n">
        <x:v>4582</x:v>
      </x:c>
      <x:c r="B4992" s="66" t="n">
        <x:v>831</x:v>
      </x:c>
      <x:c r="C4992" s="66" t="str">
        <x:v>POLITEKNIK NEGERI AMBON</x:v>
      </x:c>
      <x:c r="D4992" s="66" t="str">
        <x:v>PTN Vokasi</x:v>
      </x:c>
      <x:c r="E4992" s="66" t="str">
        <x:v>28313012</x:v>
      </x:c>
      <x:c r="F4992" s="66" t="str">
        <x:v>TEKNIK LISTRIK</x:v>
      </x:c>
      <x:c r="G4992" s="66" t="str">
        <x:v>Diploma Tiga</x:v>
      </x:c>
      <x:c r="H4992" s="87" t="n">
        <x:v>27</x:v>
      </x:c>
      <x:c r="I4992" s="87" t="n">
        <x:v>17</x:v>
      </x:c>
      <x:c r="J4992" s="68" t="n">
        <x:f>IFERROR(H4992/I4992,"")</x:f>
        <x:v>1.588235294117647</x:v>
      </x:c>
      <x:c r="K4992" s="69" t="n">
        <x:f>IFERROR(I4992/H4992,"")</x:f>
        <x:v>0.6296296296296297</x:v>
      </x:c>
      <x:c r="L4992" s="66" t="str">
        <x:f>IF(K4992="","","1 : "&amp;TEXT(K4992,"0.0"))</x:f>
        <x:v>1 : 0.6</x:v>
      </x:c>
      <x:c r="M4992" s="66" t="str">
        <x:f>IF(J4992="","Baru/Tanpa Data",IF(J4992&lt;='Catatan &amp; Sumber'!$B$14,"Sangat Ketat",IF(J4992&lt;='Catatan &amp; Sumber'!$B$15,"Ketat",IF(J4992&lt;='Catatan &amp; Sumber'!$B$16,"Sedang","Relatif Longgar"))))</x:f>
        <x:v>Relatif Longgar</x:v>
      </x:c>
      <x:c r="N4992" s="66" t="str">
        <x:v>Tidak Ada</x:v>
      </x:c>
      <x:c r="O4992" s="66" t="str">
        <x:v>Maluku</x:v>
      </x:c>
      <x:c r="P4992" s="66" t="str">
        <x:v>Kota Ambon</x:v>
      </x:c>
      <x:c r="Q4992" s="66" t="str">
        <x:v>https://snpmb.id/snbp/daya-tampung-snbp</x:v>
      </x:c>
      <x:c r="R4992" s="66" t="str">
        <x:v>https://sidatagrun-public-1076756628210.asia-southeast2.run.app/ptn_sn.php?ptn=831</x:v>
      </x:c>
    </x:row>
    <x:row r="4993">
      <x:c r="A4993" s="87" t="n">
        <x:v>4362</x:v>
      </x:c>
      <x:c r="B4993" s="66" t="n">
        <x:v>832</x:v>
      </x:c>
      <x:c r="C4993" s="66" t="str">
        <x:v>POLITEKNIK PERIKANAN NEGERI TUAL</x:v>
      </x:c>
      <x:c r="D4993" s="66" t="str">
        <x:v>PTN Vokasi</x:v>
      </x:c>
      <x:c r="E4993" s="66" t="str">
        <x:v>28322001</x:v>
      </x:c>
      <x:c r="F4993" s="66" t="str">
        <x:v>TEKNOLOGI KELAUTAN</x:v>
      </x:c>
      <x:c r="G4993" s="66" t="str">
        <x:v>Sarjana Terapan</x:v>
      </x:c>
      <x:c r="H4993" s="87" t="n">
        <x:v>18</x:v>
      </x:c>
      <x:c r="I4993" s="87" t="n">
        <x:v>17</x:v>
      </x:c>
      <x:c r="J4993" s="68" t="n">
        <x:f>IFERROR(H4993/I4993,"")</x:f>
        <x:v>1.0588235294117647</x:v>
      </x:c>
      <x:c r="K4993" s="69" t="n">
        <x:f>IFERROR(I4993/H4993,"")</x:f>
        <x:v>0.9444444444444444</x:v>
      </x:c>
      <x:c r="L4993" s="66" t="str">
        <x:f>IF(K4993="","","1 : "&amp;TEXT(K4993,"0.0"))</x:f>
        <x:v>1 : 0.9</x:v>
      </x:c>
      <x:c r="M4993" s="66" t="str">
        <x:f>IF(J4993="","Baru/Tanpa Data",IF(J4993&lt;='Catatan &amp; Sumber'!$B$14,"Sangat Ketat",IF(J4993&lt;='Catatan &amp; Sumber'!$B$15,"Ketat",IF(J4993&lt;='Catatan &amp; Sumber'!$B$16,"Sedang","Relatif Longgar"))))</x:f>
        <x:v>Relatif Longgar</x:v>
      </x:c>
      <x:c r="N4993" s="66" t="str">
        <x:v>Tidak Ada</x:v>
      </x:c>
      <x:c r="O4993" s="66" t="str">
        <x:v>Maluku</x:v>
      </x:c>
      <x:c r="P4993" s="66" t="str">
        <x:v>Kabupaten Maluku Tenggara</x:v>
      </x:c>
      <x:c r="Q4993" s="66" t="str">
        <x:v>https://snpmb.id/snbp/daya-tampung-snbp</x:v>
      </x:c>
      <x:c r="R4993" s="66" t="str">
        <x:v>https://sidatagrun-public-1076756628210.asia-southeast2.run.app/ptn_sn.php?ptn=832</x:v>
      </x:c>
    </x:row>
    <x:row r="4994">
      <x:c r="A4994" s="87" t="n">
        <x:v>4711</x:v>
      </x:c>
      <x:c r="B4994" s="66" t="n">
        <x:v>832</x:v>
      </x:c>
      <x:c r="C4994" s="66" t="str">
        <x:v>POLITEKNIK PERIKANAN NEGERI TUAL</x:v>
      </x:c>
      <x:c r="D4994" s="66" t="str">
        <x:v>PTN Vokasi</x:v>
      </x:c>
      <x:c r="E4994" s="66" t="str">
        <x:v>28322002</x:v>
      </x:c>
      <x:c r="F4994" s="66" t="str">
        <x:v>BIOTEKNOLOGI PERIKANAN</x:v>
      </x:c>
      <x:c r="G4994" s="66" t="str">
        <x:v>Sarjana Terapan</x:v>
      </x:c>
      <x:c r="H4994" s="87" t="n">
        <x:v>12</x:v>
      </x:c>
      <x:c r="I4994" s="87" t="n">
        <x:v>5</x:v>
      </x:c>
      <x:c r="J4994" s="68" t="n">
        <x:f>IFERROR(H4994/I4994,"")</x:f>
        <x:v>2.4</x:v>
      </x:c>
      <x:c r="K4994" s="69" t="n">
        <x:f>IFERROR(I4994/H4994,"")</x:f>
        <x:v>0.4166666666666667</x:v>
      </x:c>
      <x:c r="L4994" s="66" t="str">
        <x:f>IF(K4994="","","1 : "&amp;TEXT(K4994,"0.0"))</x:f>
        <x:v>1 : 0.4</x:v>
      </x:c>
      <x:c r="M4994" s="66" t="str">
        <x:f>IF(J4994="","Baru/Tanpa Data",IF(J4994&lt;='Catatan &amp; Sumber'!$B$14,"Sangat Ketat",IF(J4994&lt;='Catatan &amp; Sumber'!$B$15,"Ketat",IF(J4994&lt;='Catatan &amp; Sumber'!$B$16,"Sedang","Relatif Longgar"))))</x:f>
        <x:v>Relatif Longgar</x:v>
      </x:c>
      <x:c r="N4994" s="66" t="str">
        <x:v>Tidak Ada</x:v>
      </x:c>
      <x:c r="O4994" s="66" t="str">
        <x:v>Maluku</x:v>
      </x:c>
      <x:c r="P4994" s="66" t="str">
        <x:v>Kabupaten Maluku Tenggara</x:v>
      </x:c>
      <x:c r="Q4994" s="66" t="str">
        <x:v>https://snpmb.id/snbp/daya-tampung-snbp</x:v>
      </x:c>
      <x:c r="R4994" s="66" t="str">
        <x:v>https://sidatagrun-public-1076756628210.asia-southeast2.run.app/ptn_sn.php?ptn=832</x:v>
      </x:c>
    </x:row>
    <x:row r="4995">
      <x:c r="A4995" s="87" t="n">
        <x:v>4759</x:v>
      </x:c>
      <x:c r="B4995" s="66" t="n">
        <x:v>832</x:v>
      </x:c>
      <x:c r="C4995" s="66" t="str">
        <x:v>POLITEKNIK PERIKANAN NEGERI TUAL</x:v>
      </x:c>
      <x:c r="D4995" s="66" t="str">
        <x:v>PTN Vokasi</x:v>
      </x:c>
      <x:c r="E4995" s="66" t="str">
        <x:v>28322003</x:v>
      </x:c>
      <x:c r="F4995" s="66" t="str">
        <x:v>MANAJEMEN REKAYASA PERIKANAN TANGKAP</x:v>
      </x:c>
      <x:c r="G4995" s="66" t="str">
        <x:v>Sarjana Terapan</x:v>
      </x:c>
      <x:c r="H4995" s="87" t="n">
        <x:v>15</x:v>
      </x:c>
      <x:c r="I4995" s="87" t="n">
        <x:v>5</x:v>
      </x:c>
      <x:c r="J4995" s="68" t="n">
        <x:f>IFERROR(H4995/I4995,"")</x:f>
        <x:v>3</x:v>
      </x:c>
      <x:c r="K4995" s="69" t="n">
        <x:f>IFERROR(I4995/H4995,"")</x:f>
        <x:v>0.3333333333333333</x:v>
      </x:c>
      <x:c r="L4995" s="66" t="str">
        <x:f>IF(K4995="","","1 : "&amp;TEXT(K4995,"0.0"))</x:f>
        <x:v>1 : 0.3</x:v>
      </x:c>
      <x:c r="M4995" s="66" t="str">
        <x:f>IF(J4995="","Baru/Tanpa Data",IF(J4995&lt;='Catatan &amp; Sumber'!$B$14,"Sangat Ketat",IF(J4995&lt;='Catatan &amp; Sumber'!$B$15,"Ketat",IF(J4995&lt;='Catatan &amp; Sumber'!$B$16,"Sedang","Relatif Longgar"))))</x:f>
        <x:v>Relatif Longgar</x:v>
      </x:c>
      <x:c r="N4995" s="66" t="str">
        <x:v>Tidak Ada</x:v>
      </x:c>
      <x:c r="O4995" s="66" t="str">
        <x:v>Maluku</x:v>
      </x:c>
      <x:c r="P4995" s="66" t="str">
        <x:v>Kabupaten Maluku Tenggara</x:v>
      </x:c>
      <x:c r="Q4995" s="66" t="str">
        <x:v>https://snpmb.id/snbp/daya-tampung-snbp</x:v>
      </x:c>
      <x:c r="R4995" s="66" t="str">
        <x:v>https://sidatagrun-public-1076756628210.asia-southeast2.run.app/ptn_sn.php?ptn=832</x:v>
      </x:c>
    </x:row>
    <x:row r="4996">
      <x:c r="A4996" s="87" t="n">
        <x:v>4599</x:v>
      </x:c>
      <x:c r="B4996" s="66" t="n">
        <x:v>832</x:v>
      </x:c>
      <x:c r="C4996" s="66" t="str">
        <x:v>POLITEKNIK PERIKANAN NEGERI TUAL</x:v>
      </x:c>
      <x:c r="D4996" s="66" t="str">
        <x:v>PTN Vokasi</x:v>
      </x:c>
      <x:c r="E4996" s="66" t="str">
        <x:v>28322004</x:v>
      </x:c>
      <x:c r="F4996" s="66" t="str">
        <x:v>REKAYASA BUDIDAYA LAUT</x:v>
      </x:c>
      <x:c r="G4996" s="66" t="str">
        <x:v>Sarjana Terapan</x:v>
      </x:c>
      <x:c r="H4996" s="87" t="n">
        <x:v>18</x:v>
      </x:c>
      <x:c r="I4996" s="87" t="n">
        <x:v>11</x:v>
      </x:c>
      <x:c r="J4996" s="68" t="n">
        <x:f>IFERROR(H4996/I4996,"")</x:f>
        <x:v>1.6363636363636365</x:v>
      </x:c>
      <x:c r="K4996" s="69" t="n">
        <x:f>IFERROR(I4996/H4996,"")</x:f>
        <x:v>0.6111111111111112</x:v>
      </x:c>
      <x:c r="L4996" s="66" t="str">
        <x:f>IF(K4996="","","1 : "&amp;TEXT(K4996,"0.0"))</x:f>
        <x:v>1 : 0.6</x:v>
      </x:c>
      <x:c r="M4996" s="66" t="str">
        <x:f>IF(J4996="","Baru/Tanpa Data",IF(J4996&lt;='Catatan &amp; Sumber'!$B$14,"Sangat Ketat",IF(J4996&lt;='Catatan &amp; Sumber'!$B$15,"Ketat",IF(J4996&lt;='Catatan &amp; Sumber'!$B$16,"Sedang","Relatif Longgar"))))</x:f>
        <x:v>Relatif Longgar</x:v>
      </x:c>
      <x:c r="N4996" s="66" t="str">
        <x:v>Tidak Ada</x:v>
      </x:c>
      <x:c r="O4996" s="66" t="str">
        <x:v>Maluku</x:v>
      </x:c>
      <x:c r="P4996" s="66" t="str">
        <x:v>Kabupaten Maluku Tenggara</x:v>
      </x:c>
      <x:c r="Q4996" s="66" t="str">
        <x:v>https://snpmb.id/snbp/daya-tampung-snbp</x:v>
      </x:c>
      <x:c r="R4996" s="66" t="str">
        <x:v>https://sidatagrun-public-1076756628210.asia-southeast2.run.app/ptn_sn.php?ptn=832</x:v>
      </x:c>
    </x:row>
    <x:row r="4997">
      <x:c r="A4997" s="87" t="n">
        <x:v>4545</x:v>
      </x:c>
      <x:c r="B4997" s="66" t="n">
        <x:v>832</x:v>
      </x:c>
      <x:c r="C4997" s="66" t="str">
        <x:v>POLITEKNIK PERIKANAN NEGERI TUAL</x:v>
      </x:c>
      <x:c r="D4997" s="66" t="str">
        <x:v>PTN Vokasi</x:v>
      </x:c>
      <x:c r="E4997" s="66" t="str">
        <x:v>28322005</x:v>
      </x:c>
      <x:c r="F4997" s="66" t="str">
        <x:v>MANAJEMEN REKAYASA PENGOLAHAN HASIL PERIKANAN</x:v>
      </x:c>
      <x:c r="G4997" s="66" t="str">
        <x:v>Sarjana Terapan</x:v>
      </x:c>
      <x:c r="H4997" s="87" t="n">
        <x:v>15</x:v>
      </x:c>
      <x:c r="I4997" s="87" t="n">
        <x:v>10</x:v>
      </x:c>
      <x:c r="J4997" s="68" t="n">
        <x:f>IFERROR(H4997/I4997,"")</x:f>
        <x:v>1.5</x:v>
      </x:c>
      <x:c r="K4997" s="69" t="n">
        <x:f>IFERROR(I4997/H4997,"")</x:f>
        <x:v>0.6666666666666666</x:v>
      </x:c>
      <x:c r="L4997" s="66" t="str">
        <x:f>IF(K4997="","","1 : "&amp;TEXT(K4997,"0.0"))</x:f>
        <x:v>1 : 0.7</x:v>
      </x:c>
      <x:c r="M4997" s="66" t="str">
        <x:f>IF(J4997="","Baru/Tanpa Data",IF(J4997&lt;='Catatan &amp; Sumber'!$B$14,"Sangat Ketat",IF(J4997&lt;='Catatan &amp; Sumber'!$B$15,"Ketat",IF(J4997&lt;='Catatan &amp; Sumber'!$B$16,"Sedang","Relatif Longgar"))))</x:f>
        <x:v>Relatif Longgar</x:v>
      </x:c>
      <x:c r="N4997" s="66" t="str">
        <x:v>Tidak Ada</x:v>
      </x:c>
      <x:c r="O4997" s="66" t="str">
        <x:v>Maluku</x:v>
      </x:c>
      <x:c r="P4997" s="66" t="str">
        <x:v>Kabupaten Maluku Tenggara</x:v>
      </x:c>
      <x:c r="Q4997" s="66" t="str">
        <x:v>https://snpmb.id/snbp/daya-tampung-snbp</x:v>
      </x:c>
      <x:c r="R4997" s="66" t="str">
        <x:v>https://sidatagrun-public-1076756628210.asia-southeast2.run.app/ptn_sn.php?ptn=832</x:v>
      </x:c>
    </x:row>
    <x:row r="4998">
      <x:c r="A4998" s="87" t="n">
        <x:v>4305</x:v>
      </x:c>
      <x:c r="B4998" s="66" t="n">
        <x:v>832</x:v>
      </x:c>
      <x:c r="C4998" s="66" t="str">
        <x:v>POLITEKNIK PERIKANAN NEGERI TUAL</x:v>
      </x:c>
      <x:c r="D4998" s="66" t="str">
        <x:v>PTN Vokasi</x:v>
      </x:c>
      <x:c r="E4998" s="66" t="str">
        <x:v>28322006</x:v>
      </x:c>
      <x:c r="F4998" s="66" t="str">
        <x:v>AGROWISATA BAHARI</x:v>
      </x:c>
      <x:c r="G4998" s="66" t="str">
        <x:v>Sarjana Terapan</x:v>
      </x:c>
      <x:c r="H4998" s="87" t="n">
        <x:v>18</x:v>
      </x:c>
      <x:c r="I4998" s="87" t="n">
        <x:v>18</x:v>
      </x:c>
      <x:c r="J4998" s="68" t="n">
        <x:f>IFERROR(H4998/I4998,"")</x:f>
        <x:v>1</x:v>
      </x:c>
      <x:c r="K4998" s="69" t="n">
        <x:f>IFERROR(I4998/H4998,"")</x:f>
        <x:v>1</x:v>
      </x:c>
      <x:c r="L4998" s="66" t="str">
        <x:f>IF(K4998="","","1 : "&amp;TEXT(K4998,"0.0"))</x:f>
        <x:v>1 : 1.0</x:v>
      </x:c>
      <x:c r="M4998" s="66" t="str">
        <x:f>IF(J4998="","Baru/Tanpa Data",IF(J4998&lt;='Catatan &amp; Sumber'!$B$14,"Sangat Ketat",IF(J4998&lt;='Catatan &amp; Sumber'!$B$15,"Ketat",IF(J4998&lt;='Catatan &amp; Sumber'!$B$16,"Sedang","Relatif Longgar"))))</x:f>
        <x:v>Relatif Longgar</x:v>
      </x:c>
      <x:c r="N4998" s="66" t="str">
        <x:v>Tidak Ada</x:v>
      </x:c>
      <x:c r="O4998" s="66" t="str">
        <x:v>Maluku</x:v>
      </x:c>
      <x:c r="P4998" s="66" t="str">
        <x:v>Kabupaten Maluku Tenggara</x:v>
      </x:c>
      <x:c r="Q4998" s="66" t="str">
        <x:v>https://snpmb.id/snbp/daya-tampung-snbp</x:v>
      </x:c>
      <x:c r="R4998" s="66" t="str">
        <x:v>https://sidatagrun-public-1076756628210.asia-southeast2.run.app/ptn_sn.php?ptn=832</x:v>
      </x:c>
    </x:row>
    <x:row r="4999">
      <x:c r="A4999" s="87" t="n">
        <x:v>4602</x:v>
      </x:c>
      <x:c r="B4999" s="66" t="n">
        <x:v>832</x:v>
      </x:c>
      <x:c r="C4999" s="66" t="str">
        <x:v>POLITEKNIK PERIKANAN NEGERI TUAL</x:v>
      </x:c>
      <x:c r="D4999" s="66" t="str">
        <x:v>PTN Vokasi</x:v>
      </x:c>
      <x:c r="E4999" s="66" t="str">
        <x:v>28323007</x:v>
      </x:c>
      <x:c r="F4999" s="66" t="str">
        <x:v>AGRIBISNIS PERIKANAN</x:v>
      </x:c>
      <x:c r="G4999" s="66" t="str">
        <x:v>Diploma Tiga</x:v>
      </x:c>
      <x:c r="H4999" s="87" t="n">
        <x:v>15</x:v>
      </x:c>
      <x:c r="I4999" s="87" t="n">
        <x:v>9</x:v>
      </x:c>
      <x:c r="J4999" s="68" t="n">
        <x:f>IFERROR(H4999/I4999,"")</x:f>
        <x:v>1.6666666666666667</x:v>
      </x:c>
      <x:c r="K4999" s="69" t="n">
        <x:f>IFERROR(I4999/H4999,"")</x:f>
        <x:v>0.6</x:v>
      </x:c>
      <x:c r="L4999" s="66" t="str">
        <x:f>IF(K4999="","","1 : "&amp;TEXT(K4999,"0.0"))</x:f>
        <x:v>1 : 0.6</x:v>
      </x:c>
      <x:c r="M4999" s="66" t="str">
        <x:f>IF(J4999="","Baru/Tanpa Data",IF(J4999&lt;='Catatan &amp; Sumber'!$B$14,"Sangat Ketat",IF(J4999&lt;='Catatan &amp; Sumber'!$B$15,"Ketat",IF(J4999&lt;='Catatan &amp; Sumber'!$B$16,"Sedang","Relatif Longgar"))))</x:f>
        <x:v>Relatif Longgar</x:v>
      </x:c>
      <x:c r="N4999" s="66" t="str">
        <x:v>Tidak Ada</x:v>
      </x:c>
      <x:c r="O4999" s="66" t="str">
        <x:v>Maluku</x:v>
      </x:c>
      <x:c r="P4999" s="66" t="str">
        <x:v>Kabupaten Maluku Tenggara</x:v>
      </x:c>
      <x:c r="Q4999" s="66" t="str">
        <x:v>https://snpmb.id/snbp/daya-tampung-snbp</x:v>
      </x:c>
      <x:c r="R4999" s="66" t="str">
        <x:v>https://sidatagrun-public-1076756628210.asia-southeast2.run.app/ptn_sn.php?ptn=832</x:v>
      </x:c>
    </x:row>
    <x:row r="5000">
      <x:c r="A5000" s="87" t="n">
        <x:v>4633</x:v>
      </x:c>
      <x:c r="B5000" s="66" t="n">
        <x:v>832</x:v>
      </x:c>
      <x:c r="C5000" s="66" t="str">
        <x:v>POLITEKNIK PERIKANAN NEGERI TUAL</x:v>
      </x:c>
      <x:c r="D5000" s="66" t="str">
        <x:v>PTN Vokasi</x:v>
      </x:c>
      <x:c r="E5000" s="66" t="str">
        <x:v>28323008</x:v>
      </x:c>
      <x:c r="F5000" s="66" t="str">
        <x:v>TEKNOLOGI PENANGKAPAN IKAN</x:v>
      </x:c>
      <x:c r="G5000" s="66" t="str">
        <x:v>Diploma Tiga</x:v>
      </x:c>
      <x:c r="H5000" s="87" t="n">
        <x:v>9</x:v>
      </x:c>
      <x:c r="I5000" s="87" t="n">
        <x:v>5</x:v>
      </x:c>
      <x:c r="J5000" s="68" t="n">
        <x:f>IFERROR(H5000/I5000,"")</x:f>
        <x:v>1.8</x:v>
      </x:c>
      <x:c r="K5000" s="69" t="n">
        <x:f>IFERROR(I5000/H5000,"")</x:f>
        <x:v>0.5555555555555556</x:v>
      </x:c>
      <x:c r="L5000" s="66" t="str">
        <x:f>IF(K5000="","","1 : "&amp;TEXT(K5000,"0.0"))</x:f>
        <x:v>1 : 0.6</x:v>
      </x:c>
      <x:c r="M5000" s="66" t="str">
        <x:f>IF(J5000="","Baru/Tanpa Data",IF(J5000&lt;='Catatan &amp; Sumber'!$B$14,"Sangat Ketat",IF(J5000&lt;='Catatan &amp; Sumber'!$B$15,"Ketat",IF(J5000&lt;='Catatan &amp; Sumber'!$B$16,"Sedang","Relatif Longgar"))))</x:f>
        <x:v>Relatif Longgar</x:v>
      </x:c>
      <x:c r="N5000" s="66" t="str">
        <x:v>Tidak Ada</x:v>
      </x:c>
      <x:c r="O5000" s="66" t="str">
        <x:v>Maluku</x:v>
      </x:c>
      <x:c r="P5000" s="66" t="str">
        <x:v>Kabupaten Maluku Tenggara</x:v>
      </x:c>
      <x:c r="Q5000" s="66" t="str">
        <x:v>https://snpmb.id/snbp/daya-tampung-snbp</x:v>
      </x:c>
      <x:c r="R5000" s="66" t="str">
        <x:v>https://sidatagrun-public-1076756628210.asia-southeast2.run.app/ptn_sn.php?ptn=832</x:v>
      </x:c>
    </x:row>
    <x:row r="5001">
      <x:c r="A5001" s="87" t="n">
        <x:v>4480</x:v>
      </x:c>
      <x:c r="B5001" s="66" t="n">
        <x:v>832</x:v>
      </x:c>
      <x:c r="C5001" s="66" t="str">
        <x:v>POLITEKNIK PERIKANAN NEGERI TUAL</x:v>
      </x:c>
      <x:c r="D5001" s="66" t="str">
        <x:v>PTN Vokasi</x:v>
      </x:c>
      <x:c r="E5001" s="66" t="str">
        <x:v>28323009</x:v>
      </x:c>
      <x:c r="F5001" s="66" t="str">
        <x:v>TEKNOLOGI BUDIDAYA PERIKANAN</x:v>
      </x:c>
      <x:c r="G5001" s="66" t="str">
        <x:v>Diploma Tiga</x:v>
      </x:c>
      <x:c r="H5001" s="87" t="n">
        <x:v>9</x:v>
      </x:c>
      <x:c r="I5001" s="87" t="n">
        <x:v>7</x:v>
      </x:c>
      <x:c r="J5001" s="68" t="n">
        <x:f>IFERROR(H5001/I5001,"")</x:f>
        <x:v>1.2857142857142858</x:v>
      </x:c>
      <x:c r="K5001" s="69" t="n">
        <x:f>IFERROR(I5001/H5001,"")</x:f>
        <x:v>0.7777777777777778</x:v>
      </x:c>
      <x:c r="L5001" s="66" t="str">
        <x:f>IF(K5001="","","1 : "&amp;TEXT(K5001,"0.0"))</x:f>
        <x:v>1 : 0.8</x:v>
      </x:c>
      <x:c r="M5001" s="66" t="str">
        <x:f>IF(J5001="","Baru/Tanpa Data",IF(J5001&lt;='Catatan &amp; Sumber'!$B$14,"Sangat Ketat",IF(J5001&lt;='Catatan &amp; Sumber'!$B$15,"Ketat",IF(J5001&lt;='Catatan &amp; Sumber'!$B$16,"Sedang","Relatif Longgar"))))</x:f>
        <x:v>Relatif Longgar</x:v>
      </x:c>
      <x:c r="N5001" s="66" t="str">
        <x:v>Tidak Ada</x:v>
      </x:c>
      <x:c r="O5001" s="66" t="str">
        <x:v>Maluku</x:v>
      </x:c>
      <x:c r="P5001" s="66" t="str">
        <x:v>Kabupaten Maluku Tenggara</x:v>
      </x:c>
      <x:c r="Q5001" s="66" t="str">
        <x:v>https://snpmb.id/snbp/daya-tampung-snbp</x:v>
      </x:c>
      <x:c r="R5001" s="66" t="str">
        <x:v>https://sidatagrun-public-1076756628210.asia-southeast2.run.app/ptn_sn.php?ptn=832</x:v>
      </x:c>
    </x:row>
    <x:row r="5002">
      <x:c r="A5002" s="87" t="n">
        <x:v>4415</x:v>
      </x:c>
      <x:c r="B5002" s="66" t="n">
        <x:v>832</x:v>
      </x:c>
      <x:c r="C5002" s="66" t="str">
        <x:v>POLITEKNIK PERIKANAN NEGERI TUAL</x:v>
      </x:c>
      <x:c r="D5002" s="66" t="str">
        <x:v>PTN Vokasi</x:v>
      </x:c>
      <x:c r="E5002" s="66" t="str">
        <x:v>28323010</x:v>
      </x:c>
      <x:c r="F5002" s="66" t="str">
        <x:v>TEKNOLOGI HASIL PERIKANAN</x:v>
      </x:c>
      <x:c r="G5002" s="66" t="str">
        <x:v>Diploma Tiga</x:v>
      </x:c>
      <x:c r="H5002" s="87" t="n">
        <x:v>15</x:v>
      </x:c>
      <x:c r="I5002" s="87" t="n">
        <x:v>13</x:v>
      </x:c>
      <x:c r="J5002" s="68" t="n">
        <x:f>IFERROR(H5002/I5002,"")</x:f>
        <x:v>1.1538461538461537</x:v>
      </x:c>
      <x:c r="K5002" s="69" t="n">
        <x:f>IFERROR(I5002/H5002,"")</x:f>
        <x:v>0.8666666666666667</x:v>
      </x:c>
      <x:c r="L5002" s="66" t="str">
        <x:f>IF(K5002="","","1 : "&amp;TEXT(K5002,"0.0"))</x:f>
        <x:v>1 : 0.9</x:v>
      </x:c>
      <x:c r="M5002" s="66" t="str">
        <x:f>IF(J5002="","Baru/Tanpa Data",IF(J5002&lt;='Catatan &amp; Sumber'!$B$14,"Sangat Ketat",IF(J5002&lt;='Catatan &amp; Sumber'!$B$15,"Ketat",IF(J5002&lt;='Catatan &amp; Sumber'!$B$16,"Sedang","Relatif Longgar"))))</x:f>
        <x:v>Relatif Longgar</x:v>
      </x:c>
      <x:c r="N5002" s="66" t="str">
        <x:v>Tidak Ada</x:v>
      </x:c>
      <x:c r="O5002" s="66" t="str">
        <x:v>Maluku</x:v>
      </x:c>
      <x:c r="P5002" s="66" t="str">
        <x:v>Kabupaten Maluku Tenggara</x:v>
      </x:c>
      <x:c r="Q5002" s="66" t="str">
        <x:v>https://snpmb.id/snbp/daya-tampung-snbp</x:v>
      </x:c>
      <x:c r="R5002" s="66" t="str">
        <x:v>https://sidatagrun-public-1076756628210.asia-southeast2.run.app/ptn_sn.php?ptn=832</x:v>
      </x:c>
    </x:row>
    <x:row r="5003">
      <x:c r="A5003" s="87" t="n">
        <x:v>4392</x:v>
      </x:c>
      <x:c r="B5003" s="66" t="n">
        <x:v>911</x:v>
      </x:c>
      <x:c r="C5003" s="66" t="str">
        <x:v>UNIVERSITAS CENDERAWASIH</x:v>
      </x:c>
      <x:c r="D5003" s="66" t="str">
        <x:v>PTN Akademik</x:v>
      </x:c>
      <x:c r="E5003" s="66" t="str">
        <x:v>19111001</x:v>
      </x:c>
      <x:c r="F5003" s="66" t="str">
        <x:v>MATEMATIKA</x:v>
      </x:c>
      <x:c r="G5003" s="66" t="str">
        <x:v>Sarjana</x:v>
      </x:c>
      <x:c r="H5003" s="87" t="n">
        <x:v>10</x:v>
      </x:c>
      <x:c r="I5003" s="87" t="n">
        <x:v>9</x:v>
      </x:c>
      <x:c r="J5003" s="68" t="n">
        <x:f>IFERROR(H5003/I5003,"")</x:f>
        <x:v>1.1111111111111112</x:v>
      </x:c>
      <x:c r="K5003" s="69" t="n">
        <x:f>IFERROR(I5003/H5003,"")</x:f>
        <x:v>0.9</x:v>
      </x:c>
      <x:c r="L5003" s="66" t="str">
        <x:f>IF(K5003="","","1 : "&amp;TEXT(K5003,"0.0"))</x:f>
        <x:v>1 : 0.9</x:v>
      </x:c>
      <x:c r="M5003" s="66" t="str">
        <x:f>IF(J5003="","Baru/Tanpa Data",IF(J5003&lt;='Catatan &amp; Sumber'!$B$14,"Sangat Ketat",IF(J5003&lt;='Catatan &amp; Sumber'!$B$15,"Ketat",IF(J5003&lt;='Catatan &amp; Sumber'!$B$16,"Sedang","Relatif Longgar"))))</x:f>
        <x:v>Relatif Longgar</x:v>
      </x:c>
      <x:c r="N5003" s="66" t="str">
        <x:v>Tidak Ada</x:v>
      </x:c>
      <x:c r="O5003" s="66" t="str">
        <x:v>Papua</x:v>
      </x:c>
      <x:c r="P5003" s="66" t="str">
        <x:v>Kota Jayapura</x:v>
      </x:c>
      <x:c r="Q5003" s="66" t="str">
        <x:v>https://snpmb.id/snbp/daya-tampung-snbp</x:v>
      </x:c>
      <x:c r="R5003" s="66" t="str">
        <x:v>https://sidatagrun-public-1076756628210.asia-southeast2.run.app/ptn_sn.php?ptn=911</x:v>
      </x:c>
    </x:row>
    <x:row r="5004">
      <x:c r="A5004" s="87" t="n">
        <x:v>3958</x:v>
      </x:c>
      <x:c r="B5004" s="66" t="n">
        <x:v>911</x:v>
      </x:c>
      <x:c r="C5004" s="66" t="str">
        <x:v>UNIVERSITAS CENDERAWASIH</x:v>
      </x:c>
      <x:c r="D5004" s="66" t="str">
        <x:v>PTN Akademik</x:v>
      </x:c>
      <x:c r="E5004" s="66" t="str">
        <x:v>19111002</x:v>
      </x:c>
      <x:c r="F5004" s="66" t="str">
        <x:v>BIOLOGI</x:v>
      </x:c>
      <x:c r="G5004" s="66" t="str">
        <x:v>Sarjana</x:v>
      </x:c>
      <x:c r="H5004" s="87" t="n">
        <x:v>10</x:v>
      </x:c>
      <x:c r="I5004" s="87" t="n">
        <x:v>15</x:v>
      </x:c>
      <x:c r="J5004" s="68" t="n">
        <x:f>IFERROR(H5004/I5004,"")</x:f>
        <x:v>0.6666666666666666</x:v>
      </x:c>
      <x:c r="K5004" s="69" t="n">
        <x:f>IFERROR(I5004/H5004,"")</x:f>
        <x:v>1.5</x:v>
      </x:c>
      <x:c r="L5004" s="66" t="str">
        <x:f>IF(K5004="","","1 : "&amp;TEXT(K5004,"0.0"))</x:f>
        <x:v>1 : 1.5</x:v>
      </x:c>
      <x:c r="M5004" s="66" t="str">
        <x:f>IF(J5004="","Baru/Tanpa Data",IF(J5004&lt;='Catatan &amp; Sumber'!$B$14,"Sangat Ketat",IF(J5004&lt;='Catatan &amp; Sumber'!$B$15,"Ketat",IF(J5004&lt;='Catatan &amp; Sumber'!$B$16,"Sedang","Relatif Longgar"))))</x:f>
        <x:v>Relatif Longgar</x:v>
      </x:c>
      <x:c r="N5004" s="66" t="str">
        <x:v>Tidak Ada</x:v>
      </x:c>
      <x:c r="O5004" s="66" t="str">
        <x:v>Papua</x:v>
      </x:c>
      <x:c r="P5004" s="66" t="str">
        <x:v>Kota Jayapura</x:v>
      </x:c>
      <x:c r="Q5004" s="66" t="str">
        <x:v>https://snpmb.id/snbp/daya-tampung-snbp</x:v>
      </x:c>
      <x:c r="R5004" s="66" t="str">
        <x:v>https://sidatagrun-public-1076756628210.asia-southeast2.run.app/ptn_sn.php?ptn=911</x:v>
      </x:c>
    </x:row>
    <x:row r="5005">
      <x:c r="A5005" s="87" t="n">
        <x:v>4652</x:v>
      </x:c>
      <x:c r="B5005" s="66" t="n">
        <x:v>911</x:v>
      </x:c>
      <x:c r="C5005" s="66" t="str">
        <x:v>UNIVERSITAS CENDERAWASIH</x:v>
      </x:c>
      <x:c r="D5005" s="66" t="str">
        <x:v>PTN Akademik</x:v>
      </x:c>
      <x:c r="E5005" s="66" t="str">
        <x:v>19111003</x:v>
      </x:c>
      <x:c r="F5005" s="66" t="str">
        <x:v>KIMIA</x:v>
      </x:c>
      <x:c r="G5005" s="66" t="str">
        <x:v>Sarjana</x:v>
      </x:c>
      <x:c r="H5005" s="87" t="n">
        <x:v>10</x:v>
      </x:c>
      <x:c r="I5005" s="87" t="n">
        <x:v>5</x:v>
      </x:c>
      <x:c r="J5005" s="68" t="n">
        <x:f>IFERROR(H5005/I5005,"")</x:f>
        <x:v>2</x:v>
      </x:c>
      <x:c r="K5005" s="69" t="n">
        <x:f>IFERROR(I5005/H5005,"")</x:f>
        <x:v>0.5</x:v>
      </x:c>
      <x:c r="L5005" s="66" t="str">
        <x:f>IF(K5005="","","1 : "&amp;TEXT(K5005,"0.0"))</x:f>
        <x:v>1 : 0.5</x:v>
      </x:c>
      <x:c r="M5005" s="66" t="str">
        <x:f>IF(J5005="","Baru/Tanpa Data",IF(J5005&lt;='Catatan &amp; Sumber'!$B$14,"Sangat Ketat",IF(J5005&lt;='Catatan &amp; Sumber'!$B$15,"Ketat",IF(J5005&lt;='Catatan &amp; Sumber'!$B$16,"Sedang","Relatif Longgar"))))</x:f>
        <x:v>Relatif Longgar</x:v>
      </x:c>
      <x:c r="N5005" s="66" t="str">
        <x:v>Tidak Ada</x:v>
      </x:c>
      <x:c r="O5005" s="66" t="str">
        <x:v>Papua</x:v>
      </x:c>
      <x:c r="P5005" s="66" t="str">
        <x:v>Kota Jayapura</x:v>
      </x:c>
      <x:c r="Q5005" s="66" t="str">
        <x:v>https://snpmb.id/snbp/daya-tampung-snbp</x:v>
      </x:c>
      <x:c r="R5005" s="66" t="str">
        <x:v>https://sidatagrun-public-1076756628210.asia-southeast2.run.app/ptn_sn.php?ptn=911</x:v>
      </x:c>
    </x:row>
    <x:row r="5006">
      <x:c r="A5006" s="87" t="n">
        <x:v>4602</x:v>
      </x:c>
      <x:c r="B5006" s="66" t="n">
        <x:v>911</x:v>
      </x:c>
      <x:c r="C5006" s="66" t="str">
        <x:v>UNIVERSITAS CENDERAWASIH</x:v>
      </x:c>
      <x:c r="D5006" s="66" t="str">
        <x:v>PTN Akademik</x:v>
      </x:c>
      <x:c r="E5006" s="66" t="str">
        <x:v>19111004</x:v>
      </x:c>
      <x:c r="F5006" s="66" t="str">
        <x:v>FISIKA</x:v>
      </x:c>
      <x:c r="G5006" s="66" t="str">
        <x:v>Sarjana</x:v>
      </x:c>
      <x:c r="H5006" s="87" t="n">
        <x:v>10</x:v>
      </x:c>
      <x:c r="I5006" s="87" t="n">
        <x:v>6</x:v>
      </x:c>
      <x:c r="J5006" s="68" t="n">
        <x:f>IFERROR(H5006/I5006,"")</x:f>
        <x:v>1.6666666666666667</x:v>
      </x:c>
      <x:c r="K5006" s="69" t="n">
        <x:f>IFERROR(I5006/H5006,"")</x:f>
        <x:v>0.6</x:v>
      </x:c>
      <x:c r="L5006" s="66" t="str">
        <x:f>IF(K5006="","","1 : "&amp;TEXT(K5006,"0.0"))</x:f>
        <x:v>1 : 0.6</x:v>
      </x:c>
      <x:c r="M5006" s="66" t="str">
        <x:f>IF(J5006="","Baru/Tanpa Data",IF(J5006&lt;='Catatan &amp; Sumber'!$B$14,"Sangat Ketat",IF(J5006&lt;='Catatan &amp; Sumber'!$B$15,"Ketat",IF(J5006&lt;='Catatan &amp; Sumber'!$B$16,"Sedang","Relatif Longgar"))))</x:f>
        <x:v>Relatif Longgar</x:v>
      </x:c>
      <x:c r="N5006" s="66" t="str">
        <x:v>Tidak Ada</x:v>
      </x:c>
      <x:c r="O5006" s="66" t="str">
        <x:v>Papua</x:v>
      </x:c>
      <x:c r="P5006" s="66" t="str">
        <x:v>Kota Jayapura</x:v>
      </x:c>
      <x:c r="Q5006" s="66" t="str">
        <x:v>https://snpmb.id/snbp/daya-tampung-snbp</x:v>
      </x:c>
      <x:c r="R5006" s="66" t="str">
        <x:v>https://sidatagrun-public-1076756628210.asia-southeast2.run.app/ptn_sn.php?ptn=911</x:v>
      </x:c>
    </x:row>
    <x:row r="5007">
      <x:c r="A5007" s="87" t="n">
        <x:v>3810</x:v>
      </x:c>
      <x:c r="B5007" s="66" t="n">
        <x:v>911</x:v>
      </x:c>
      <x:c r="C5007" s="66" t="str">
        <x:v>UNIVERSITAS CENDERAWASIH</x:v>
      </x:c>
      <x:c r="D5007" s="66" t="str">
        <x:v>PTN Akademik</x:v>
      </x:c>
      <x:c r="E5007" s="66" t="str">
        <x:v>19111005</x:v>
      </x:c>
      <x:c r="F5007" s="66" t="str">
        <x:v>ILMU KESEHATAN MASYARAKAT</x:v>
      </x:c>
      <x:c r="G5007" s="66" t="str">
        <x:v>Sarjana</x:v>
      </x:c>
      <x:c r="H5007" s="87" t="n">
        <x:v>125</x:v>
      </x:c>
      <x:c r="I5007" s="87" t="n">
        <x:v>217</x:v>
      </x:c>
      <x:c r="J5007" s="68" t="n">
        <x:f>IFERROR(H5007/I5007,"")</x:f>
        <x:v>0.576036866359447</x:v>
      </x:c>
      <x:c r="K5007" s="69" t="n">
        <x:f>IFERROR(I5007/H5007,"")</x:f>
        <x:v>1.736</x:v>
      </x:c>
      <x:c r="L5007" s="66" t="str">
        <x:f>IF(K5007="","","1 : "&amp;TEXT(K5007,"0.0"))</x:f>
        <x:v>1 : 1.7</x:v>
      </x:c>
      <x:c r="M5007" s="66" t="str">
        <x:f>IF(J5007="","Baru/Tanpa Data",IF(J5007&lt;='Catatan &amp; Sumber'!$B$14,"Sangat Ketat",IF(J5007&lt;='Catatan &amp; Sumber'!$B$15,"Ketat",IF(J5007&lt;='Catatan &amp; Sumber'!$B$16,"Sedang","Relatif Longgar"))))</x:f>
        <x:v>Relatif Longgar</x:v>
      </x:c>
      <x:c r="N5007" s="66" t="str">
        <x:v>Tidak Ada</x:v>
      </x:c>
      <x:c r="O5007" s="66" t="str">
        <x:v>Papua</x:v>
      </x:c>
      <x:c r="P5007" s="66" t="str">
        <x:v>Kota Jayapura</x:v>
      </x:c>
      <x:c r="Q5007" s="66" t="str">
        <x:v>https://snpmb.id/snbp/daya-tampung-snbp</x:v>
      </x:c>
      <x:c r="R5007" s="66" t="str">
        <x:v>https://sidatagrun-public-1076756628210.asia-southeast2.run.app/ptn_sn.php?ptn=911</x:v>
      </x:c>
    </x:row>
    <x:row r="5008">
      <x:c r="A5008" s="87" t="n">
        <x:v>4494</x:v>
      </x:c>
      <x:c r="B5008" s="66" t="n">
        <x:v>911</x:v>
      </x:c>
      <x:c r="C5008" s="66" t="str">
        <x:v>UNIVERSITAS CENDERAWASIH</x:v>
      </x:c>
      <x:c r="D5008" s="66" t="str">
        <x:v>PTN Akademik</x:v>
      </x:c>
      <x:c r="E5008" s="66" t="str">
        <x:v>19111006</x:v>
      </x:c>
      <x:c r="F5008" s="66" t="str">
        <x:v>PEND. MATEMATIKA</x:v>
      </x:c>
      <x:c r="G5008" s="66" t="str">
        <x:v>Sarjana</x:v>
      </x:c>
      <x:c r="H5008" s="87" t="n">
        <x:v>25</x:v>
      </x:c>
      <x:c r="I5008" s="87" t="n">
        <x:v>19</x:v>
      </x:c>
      <x:c r="J5008" s="68" t="n">
        <x:f>IFERROR(H5008/I5008,"")</x:f>
        <x:v>1.3157894736842106</x:v>
      </x:c>
      <x:c r="K5008" s="69" t="n">
        <x:f>IFERROR(I5008/H5008,"")</x:f>
        <x:v>0.76</x:v>
      </x:c>
      <x:c r="L5008" s="66" t="str">
        <x:f>IF(K5008="","","1 : "&amp;TEXT(K5008,"0.0"))</x:f>
        <x:v>1 : 0.8</x:v>
      </x:c>
      <x:c r="M5008" s="66" t="str">
        <x:f>IF(J5008="","Baru/Tanpa Data",IF(J5008&lt;='Catatan &amp; Sumber'!$B$14,"Sangat Ketat",IF(J5008&lt;='Catatan &amp; Sumber'!$B$15,"Ketat",IF(J5008&lt;='Catatan &amp; Sumber'!$B$16,"Sedang","Relatif Longgar"))))</x:f>
        <x:v>Relatif Longgar</x:v>
      </x:c>
      <x:c r="N5008" s="66" t="str">
        <x:v>Tidak Ada</x:v>
      </x:c>
      <x:c r="O5008" s="66" t="str">
        <x:v>Papua</x:v>
      </x:c>
      <x:c r="P5008" s="66" t="str">
        <x:v>Kota Jayapura</x:v>
      </x:c>
      <x:c r="Q5008" s="66" t="str">
        <x:v>https://snpmb.id/snbp/daya-tampung-snbp</x:v>
      </x:c>
      <x:c r="R5008" s="66" t="str">
        <x:v>https://sidatagrun-public-1076756628210.asia-southeast2.run.app/ptn_sn.php?ptn=911</x:v>
      </x:c>
    </x:row>
    <x:row r="5009">
      <x:c r="A5009" s="87" t="n">
        <x:v>4438</x:v>
      </x:c>
      <x:c r="B5009" s="66" t="n">
        <x:v>911</x:v>
      </x:c>
      <x:c r="C5009" s="66" t="str">
        <x:v>UNIVERSITAS CENDERAWASIH</x:v>
      </x:c>
      <x:c r="D5009" s="66" t="str">
        <x:v>PTN Akademik</x:v>
      </x:c>
      <x:c r="E5009" s="66" t="str">
        <x:v>19111007</x:v>
      </x:c>
      <x:c r="F5009" s="66" t="str">
        <x:v>PEND. BIOLOGI</x:v>
      </x:c>
      <x:c r="G5009" s="66" t="str">
        <x:v>Sarjana</x:v>
      </x:c>
      <x:c r="H5009" s="87" t="n">
        <x:v>25</x:v>
      </x:c>
      <x:c r="I5009" s="87" t="n">
        <x:v>21</x:v>
      </x:c>
      <x:c r="J5009" s="68" t="n">
        <x:f>IFERROR(H5009/I5009,"")</x:f>
        <x:v>1.1904761904761905</x:v>
      </x:c>
      <x:c r="K5009" s="69" t="n">
        <x:f>IFERROR(I5009/H5009,"")</x:f>
        <x:v>0.84</x:v>
      </x:c>
      <x:c r="L5009" s="66" t="str">
        <x:f>IF(K5009="","","1 : "&amp;TEXT(K5009,"0.0"))</x:f>
        <x:v>1 : 0.8</x:v>
      </x:c>
      <x:c r="M5009" s="66" t="str">
        <x:f>IF(J5009="","Baru/Tanpa Data",IF(J5009&lt;='Catatan &amp; Sumber'!$B$14,"Sangat Ketat",IF(J5009&lt;='Catatan &amp; Sumber'!$B$15,"Ketat",IF(J5009&lt;='Catatan &amp; Sumber'!$B$16,"Sedang","Relatif Longgar"))))</x:f>
        <x:v>Relatif Longgar</x:v>
      </x:c>
      <x:c r="N5009" s="66" t="str">
        <x:v>Tidak Ada</x:v>
      </x:c>
      <x:c r="O5009" s="66" t="str">
        <x:v>Papua</x:v>
      </x:c>
      <x:c r="P5009" s="66" t="str">
        <x:v>Kota Jayapura</x:v>
      </x:c>
      <x:c r="Q5009" s="66" t="str">
        <x:v>https://snpmb.id/snbp/daya-tampung-snbp</x:v>
      </x:c>
      <x:c r="R5009" s="66" t="str">
        <x:v>https://sidatagrun-public-1076756628210.asia-southeast2.run.app/ptn_sn.php?ptn=911</x:v>
      </x:c>
    </x:row>
    <x:row r="5010">
      <x:c r="A5010" s="87" t="n">
        <x:v>4724</x:v>
      </x:c>
      <x:c r="B5010" s="66" t="n">
        <x:v>911</x:v>
      </x:c>
      <x:c r="C5010" s="66" t="str">
        <x:v>UNIVERSITAS CENDERAWASIH</x:v>
      </x:c>
      <x:c r="D5010" s="66" t="str">
        <x:v>PTN Akademik</x:v>
      </x:c>
      <x:c r="E5010" s="66" t="str">
        <x:v>19111008</x:v>
      </x:c>
      <x:c r="F5010" s="66" t="str">
        <x:v>PEND. KIMIA</x:v>
      </x:c>
      <x:c r="G5010" s="66" t="str">
        <x:v>Sarjana</x:v>
      </x:c>
      <x:c r="H5010" s="87" t="n">
        <x:v>25</x:v>
      </x:c>
      <x:c r="I5010" s="87" t="n">
        <x:v>10</x:v>
      </x:c>
      <x:c r="J5010" s="68" t="n">
        <x:f>IFERROR(H5010/I5010,"")</x:f>
        <x:v>2.5</x:v>
      </x:c>
      <x:c r="K5010" s="69" t="n">
        <x:f>IFERROR(I5010/H5010,"")</x:f>
        <x:v>0.4</x:v>
      </x:c>
      <x:c r="L5010" s="66" t="str">
        <x:f>IF(K5010="","","1 : "&amp;TEXT(K5010,"0.0"))</x:f>
        <x:v>1 : 0.4</x:v>
      </x:c>
      <x:c r="M5010" s="66" t="str">
        <x:f>IF(J5010="","Baru/Tanpa Data",IF(J5010&lt;='Catatan &amp; Sumber'!$B$14,"Sangat Ketat",IF(J5010&lt;='Catatan &amp; Sumber'!$B$15,"Ketat",IF(J5010&lt;='Catatan &amp; Sumber'!$B$16,"Sedang","Relatif Longgar"))))</x:f>
        <x:v>Relatif Longgar</x:v>
      </x:c>
      <x:c r="N5010" s="66" t="str">
        <x:v>Tidak Ada</x:v>
      </x:c>
      <x:c r="O5010" s="66" t="str">
        <x:v>Papua</x:v>
      </x:c>
      <x:c r="P5010" s="66" t="str">
        <x:v>Kota Jayapura</x:v>
      </x:c>
      <x:c r="Q5010" s="66" t="str">
        <x:v>https://snpmb.id/snbp/daya-tampung-snbp</x:v>
      </x:c>
      <x:c r="R5010" s="66" t="str">
        <x:v>https://sidatagrun-public-1076756628210.asia-southeast2.run.app/ptn_sn.php?ptn=911</x:v>
      </x:c>
    </x:row>
    <x:row r="5011">
      <x:c r="A5011" s="87" t="n">
        <x:v>4881</x:v>
      </x:c>
      <x:c r="B5011" s="66" t="n">
        <x:v>911</x:v>
      </x:c>
      <x:c r="C5011" s="66" t="str">
        <x:v>UNIVERSITAS CENDERAWASIH</x:v>
      </x:c>
      <x:c r="D5011" s="66" t="str">
        <x:v>PTN Akademik</x:v>
      </x:c>
      <x:c r="E5011" s="66" t="str">
        <x:v>19111009</x:v>
      </x:c>
      <x:c r="F5011" s="66" t="str">
        <x:v>PEND. FISIKA</x:v>
      </x:c>
      <x:c r="G5011" s="66" t="str">
        <x:v>Sarjana</x:v>
      </x:c>
      <x:c r="H5011" s="87" t="n">
        <x:v>25</x:v>
      </x:c>
      <x:c r="I5011" s="87" t="n">
        <x:v>3</x:v>
      </x:c>
      <x:c r="J5011" s="68" t="n">
        <x:f>IFERROR(H5011/I5011,"")</x:f>
        <x:v>8.333333333333334</x:v>
      </x:c>
      <x:c r="K5011" s="69" t="n">
        <x:f>IFERROR(I5011/H5011,"")</x:f>
        <x:v>0.12</x:v>
      </x:c>
      <x:c r="L5011" s="66" t="str">
        <x:f>IF(K5011="","","1 : "&amp;TEXT(K5011,"0.0"))</x:f>
        <x:v>1 : 0.1</x:v>
      </x:c>
      <x:c r="M5011" s="66" t="str">
        <x:f>IF(J5011="","Baru/Tanpa Data",IF(J5011&lt;='Catatan &amp; Sumber'!$B$14,"Sangat Ketat",IF(J5011&lt;='Catatan &amp; Sumber'!$B$15,"Ketat",IF(J5011&lt;='Catatan &amp; Sumber'!$B$16,"Sedang","Relatif Longgar"))))</x:f>
        <x:v>Relatif Longgar</x:v>
      </x:c>
      <x:c r="N5011" s="66" t="str">
        <x:v>Tidak Ada</x:v>
      </x:c>
      <x:c r="O5011" s="66" t="str">
        <x:v>Papua</x:v>
      </x:c>
      <x:c r="P5011" s="66" t="str">
        <x:v>Kota Jayapura</x:v>
      </x:c>
      <x:c r="Q5011" s="66" t="str">
        <x:v>https://snpmb.id/snbp/daya-tampung-snbp</x:v>
      </x:c>
      <x:c r="R5011" s="66" t="str">
        <x:v>https://sidatagrun-public-1076756628210.asia-southeast2.run.app/ptn_sn.php?ptn=911</x:v>
      </x:c>
    </x:row>
    <x:row r="5012">
      <x:c r="A5012" s="87" t="n">
        <x:v>1838</x:v>
      </x:c>
      <x:c r="B5012" s="66" t="n">
        <x:v>911</x:v>
      </x:c>
      <x:c r="C5012" s="66" t="str">
        <x:v>UNIVERSITAS CENDERAWASIH</x:v>
      </x:c>
      <x:c r="D5012" s="66" t="str">
        <x:v>PTN Akademik</x:v>
      </x:c>
      <x:c r="E5012" s="66" t="str">
        <x:v>19111010</x:v>
      </x:c>
      <x:c r="F5012" s="66" t="str">
        <x:v>TEKNIK SIPIL</x:v>
      </x:c>
      <x:c r="G5012" s="66" t="str">
        <x:v>Sarjana</x:v>
      </x:c>
      <x:c r="H5012" s="87" t="n">
        <x:v>13</x:v>
      </x:c>
      <x:c r="I5012" s="87" t="n">
        <x:v>96</x:v>
      </x:c>
      <x:c r="J5012" s="68" t="n">
        <x:f>IFERROR(H5012/I5012,"")</x:f>
        <x:v>0.13541666666666666</x:v>
      </x:c>
      <x:c r="K5012" s="69" t="n">
        <x:f>IFERROR(I5012/H5012,"")</x:f>
        <x:v>7.384615384615385</x:v>
      </x:c>
      <x:c r="L5012" s="66" t="str">
        <x:f>IF(K5012="","","1 : "&amp;TEXT(K5012,"0.0"))</x:f>
        <x:v>1 : 7.4</x:v>
      </x:c>
      <x:c r="M5012" s="66" t="str">
        <x:f>IF(J5012="","Baru/Tanpa Data",IF(J5012&lt;='Catatan &amp; Sumber'!$B$14,"Sangat Ketat",IF(J5012&lt;='Catatan &amp; Sumber'!$B$15,"Ketat",IF(J5012&lt;='Catatan &amp; Sumber'!$B$16,"Sedang","Relatif Longgar"))))</x:f>
        <x:v>Relatif Longgar</x:v>
      </x:c>
      <x:c r="N5012" s="66" t="str">
        <x:v>Tidak Ada</x:v>
      </x:c>
      <x:c r="O5012" s="66" t="str">
        <x:v>Papua</x:v>
      </x:c>
      <x:c r="P5012" s="66" t="str">
        <x:v>Kota Jayapura</x:v>
      </x:c>
      <x:c r="Q5012" s="66" t="str">
        <x:v>https://snpmb.id/snbp/daya-tampung-snbp</x:v>
      </x:c>
      <x:c r="R5012" s="66" t="str">
        <x:v>https://sidatagrun-public-1076756628210.asia-southeast2.run.app/ptn_sn.php?ptn=911</x:v>
      </x:c>
    </x:row>
    <x:row r="5013">
      <x:c r="A5013" s="87" t="n">
        <x:v>3453</x:v>
      </x:c>
      <x:c r="B5013" s="66" t="n">
        <x:v>911</x:v>
      </x:c>
      <x:c r="C5013" s="66" t="str">
        <x:v>UNIVERSITAS CENDERAWASIH</x:v>
      </x:c>
      <x:c r="D5013" s="66" t="str">
        <x:v>PTN Akademik</x:v>
      </x:c>
      <x:c r="E5013" s="66" t="str">
        <x:v>19111011</x:v>
      </x:c>
      <x:c r="F5013" s="66" t="str">
        <x:v>TEKNIK ELEKTRO</x:v>
      </x:c>
      <x:c r="G5013" s="66" t="str">
        <x:v>Sarjana</x:v>
      </x:c>
      <x:c r="H5013" s="87" t="n">
        <x:v>13</x:v>
      </x:c>
      <x:c r="I5013" s="87" t="n">
        <x:v>31</x:v>
      </x:c>
      <x:c r="J5013" s="68" t="n">
        <x:f>IFERROR(H5013/I5013,"")</x:f>
        <x:v>0.41935483870967744</x:v>
      </x:c>
      <x:c r="K5013" s="69" t="n">
        <x:f>IFERROR(I5013/H5013,"")</x:f>
        <x:v>2.3846153846153846</x:v>
      </x:c>
      <x:c r="L5013" s="66" t="str">
        <x:f>IF(K5013="","","1 : "&amp;TEXT(K5013,"0.0"))</x:f>
        <x:v>1 : 2.4</x:v>
      </x:c>
      <x:c r="M5013" s="66" t="str">
        <x:f>IF(J5013="","Baru/Tanpa Data",IF(J5013&lt;='Catatan &amp; Sumber'!$B$14,"Sangat Ketat",IF(J5013&lt;='Catatan &amp; Sumber'!$B$15,"Ketat",IF(J5013&lt;='Catatan &amp; Sumber'!$B$16,"Sedang","Relatif Longgar"))))</x:f>
        <x:v>Relatif Longgar</x:v>
      </x:c>
      <x:c r="N5013" s="66" t="str">
        <x:v>Tidak Ada</x:v>
      </x:c>
      <x:c r="O5013" s="66" t="str">
        <x:v>Papua</x:v>
      </x:c>
      <x:c r="P5013" s="66" t="str">
        <x:v>Kota Jayapura</x:v>
      </x:c>
      <x:c r="Q5013" s="66" t="str">
        <x:v>https://snpmb.id/snbp/daya-tampung-snbp</x:v>
      </x:c>
      <x:c r="R5013" s="66" t="str">
        <x:v>https://sidatagrun-public-1076756628210.asia-southeast2.run.app/ptn_sn.php?ptn=911</x:v>
      </x:c>
    </x:row>
    <x:row r="5014">
      <x:c r="A5014" s="87" t="n">
        <x:v>928</x:v>
      </x:c>
      <x:c r="B5014" s="66" t="n">
        <x:v>911</x:v>
      </x:c>
      <x:c r="C5014" s="66" t="str">
        <x:v>UNIVERSITAS CENDERAWASIH</x:v>
      </x:c>
      <x:c r="D5014" s="66" t="str">
        <x:v>PTN Akademik</x:v>
      </x:c>
      <x:c r="E5014" s="66" t="str">
        <x:v>19111012</x:v>
      </x:c>
      <x:c r="F5014" s="66" t="str">
        <x:v>PENDIDIKAN DOKTER</x:v>
      </x:c>
      <x:c r="G5014" s="66" t="str">
        <x:v>Sarjana</x:v>
      </x:c>
      <x:c r="H5014" s="87" t="n">
        <x:v>30</x:v>
      </x:c>
      <x:c r="I5014" s="87" t="n">
        <x:v>405</x:v>
      </x:c>
      <x:c r="J5014" s="68" t="n">
        <x:f>IFERROR(H5014/I5014,"")</x:f>
        <x:v>0.07407407407407407</x:v>
      </x:c>
      <x:c r="K5014" s="69" t="n">
        <x:f>IFERROR(I5014/H5014,"")</x:f>
        <x:v>13.5</x:v>
      </x:c>
      <x:c r="L5014" s="66" t="str">
        <x:f>IF(K5014="","","1 : "&amp;TEXT(K5014,"0.0"))</x:f>
        <x:v>1 : 13.5</x:v>
      </x:c>
      <x:c r="M5014" s="66" t="str">
        <x:f>IF(J5014="","Baru/Tanpa Data",IF(J5014&lt;='Catatan &amp; Sumber'!$B$14,"Sangat Ketat",IF(J5014&lt;='Catatan &amp; Sumber'!$B$15,"Ketat",IF(J5014&lt;='Catatan &amp; Sumber'!$B$16,"Sedang","Relatif Longgar"))))</x:f>
        <x:v>Sedang</x:v>
      </x:c>
      <x:c r="N5014" s="66" t="str">
        <x:v>Tidak Ada</x:v>
      </x:c>
      <x:c r="O5014" s="66" t="str">
        <x:v>Papua</x:v>
      </x:c>
      <x:c r="P5014" s="66" t="str">
        <x:v>Kota Jayapura</x:v>
      </x:c>
      <x:c r="Q5014" s="66" t="str">
        <x:v>https://snpmb.id/snbp/daya-tampung-snbp</x:v>
      </x:c>
      <x:c r="R5014" s="66" t="str">
        <x:v>https://sidatagrun-public-1076756628210.asia-southeast2.run.app/ptn_sn.php?ptn=911</x:v>
      </x:c>
    </x:row>
    <x:row r="5015">
      <x:c r="A5015" s="87" t="n">
        <x:v>590</x:v>
      </x:c>
      <x:c r="B5015" s="66" t="n">
        <x:v>911</x:v>
      </x:c>
      <x:c r="C5015" s="66" t="str">
        <x:v>UNIVERSITAS CENDERAWASIH</x:v>
      </x:c>
      <x:c r="D5015" s="66" t="str">
        <x:v>PTN Akademik</x:v>
      </x:c>
      <x:c r="E5015" s="66" t="str">
        <x:v>19111013</x:v>
      </x:c>
      <x:c r="F5015" s="66" t="str">
        <x:v>ILMU KEPERAWATAN</x:v>
      </x:c>
      <x:c r="G5015" s="66" t="str">
        <x:v>Sarjana</x:v>
      </x:c>
      <x:c r="H5015" s="87" t="n">
        <x:v>15</x:v>
      </x:c>
      <x:c r="I5015" s="87" t="n">
        <x:v>264</x:v>
      </x:c>
      <x:c r="J5015" s="68" t="n">
        <x:f>IFERROR(H5015/I5015,"")</x:f>
        <x:v>0.056818181818181816</x:v>
      </x:c>
      <x:c r="K5015" s="69" t="n">
        <x:f>IFERROR(I5015/H5015,"")</x:f>
        <x:v>17.6</x:v>
      </x:c>
      <x:c r="L5015" s="66" t="str">
        <x:f>IF(K5015="","","1 : "&amp;TEXT(K5015,"0.0"))</x:f>
        <x:v>1 : 17.6</x:v>
      </x:c>
      <x:c r="M5015" s="66" t="str">
        <x:f>IF(J5015="","Baru/Tanpa Data",IF(J5015&lt;='Catatan &amp; Sumber'!$B$14,"Sangat Ketat",IF(J5015&lt;='Catatan &amp; Sumber'!$B$15,"Ketat",IF(J5015&lt;='Catatan &amp; Sumber'!$B$16,"Sedang","Relatif Longgar"))))</x:f>
        <x:v>Sedang</x:v>
      </x:c>
      <x:c r="N5015" s="66" t="str">
        <x:v>Tidak Ada</x:v>
      </x:c>
      <x:c r="O5015" s="66" t="str">
        <x:v>Papua</x:v>
      </x:c>
      <x:c r="P5015" s="66" t="str">
        <x:v>Kota Jayapura</x:v>
      </x:c>
      <x:c r="Q5015" s="66" t="str">
        <x:v>https://snpmb.id/snbp/daya-tampung-snbp</x:v>
      </x:c>
      <x:c r="R5015" s="66" t="str">
        <x:v>https://sidatagrun-public-1076756628210.asia-southeast2.run.app/ptn_sn.php?ptn=911</x:v>
      </x:c>
    </x:row>
    <x:row r="5016">
      <x:c r="A5016" s="87" t="n">
        <x:v>3745</x:v>
      </x:c>
      <x:c r="B5016" s="66" t="n">
        <x:v>911</x:v>
      </x:c>
      <x:c r="C5016" s="66" t="str">
        <x:v>UNIVERSITAS CENDERAWASIH</x:v>
      </x:c>
      <x:c r="D5016" s="66" t="str">
        <x:v>PTN Akademik</x:v>
      </x:c>
      <x:c r="E5016" s="66" t="str">
        <x:v>19111014</x:v>
      </x:c>
      <x:c r="F5016" s="66" t="str">
        <x:v>TEKNIK MESIN</x:v>
      </x:c>
      <x:c r="G5016" s="66" t="str">
        <x:v>Sarjana</x:v>
      </x:c>
      <x:c r="H5016" s="87" t="n">
        <x:v>13</x:v>
      </x:c>
      <x:c r="I5016" s="87" t="n">
        <x:v>24</x:v>
      </x:c>
      <x:c r="J5016" s="68" t="n">
        <x:f>IFERROR(H5016/I5016,"")</x:f>
        <x:v>0.5416666666666666</x:v>
      </x:c>
      <x:c r="K5016" s="69" t="n">
        <x:f>IFERROR(I5016/H5016,"")</x:f>
        <x:v>1.8461538461538463</x:v>
      </x:c>
      <x:c r="L5016" s="66" t="str">
        <x:f>IF(K5016="","","1 : "&amp;TEXT(K5016,"0.0"))</x:f>
        <x:v>1 : 1.8</x:v>
      </x:c>
      <x:c r="M5016" s="66" t="str">
        <x:f>IF(J5016="","Baru/Tanpa Data",IF(J5016&lt;='Catatan &amp; Sumber'!$B$14,"Sangat Ketat",IF(J5016&lt;='Catatan &amp; Sumber'!$B$15,"Ketat",IF(J5016&lt;='Catatan &amp; Sumber'!$B$16,"Sedang","Relatif Longgar"))))</x:f>
        <x:v>Relatif Longgar</x:v>
      </x:c>
      <x:c r="N5016" s="66" t="str">
        <x:v>Tidak Ada</x:v>
      </x:c>
      <x:c r="O5016" s="66" t="str">
        <x:v>Papua</x:v>
      </x:c>
      <x:c r="P5016" s="66" t="str">
        <x:v>Kota Jayapura</x:v>
      </x:c>
      <x:c r="Q5016" s="66" t="str">
        <x:v>https://snpmb.id/snbp/daya-tampung-snbp</x:v>
      </x:c>
      <x:c r="R5016" s="66" t="str">
        <x:v>https://sidatagrun-public-1076756628210.asia-southeast2.run.app/ptn_sn.php?ptn=911</x:v>
      </x:c>
    </x:row>
    <x:row r="5017">
      <x:c r="A5017" s="87" t="n">
        <x:v>1294</x:v>
      </x:c>
      <x:c r="B5017" s="66" t="n">
        <x:v>911</x:v>
      </x:c>
      <x:c r="C5017" s="66" t="str">
        <x:v>UNIVERSITAS CENDERAWASIH</x:v>
      </x:c>
      <x:c r="D5017" s="66" t="str">
        <x:v>PTN Akademik</x:v>
      </x:c>
      <x:c r="E5017" s="66" t="str">
        <x:v>19111015</x:v>
      </x:c>
      <x:c r="F5017" s="66" t="str">
        <x:v>TEKNIK PERTAMBANGAN</x:v>
      </x:c>
      <x:c r="G5017" s="66" t="str">
        <x:v>Sarjana</x:v>
      </x:c>
      <x:c r="H5017" s="87" t="n">
        <x:v>13</x:v>
      </x:c>
      <x:c r="I5017" s="87" t="n">
        <x:v>137</x:v>
      </x:c>
      <x:c r="J5017" s="68" t="n">
        <x:f>IFERROR(H5017/I5017,"")</x:f>
        <x:v>0.0948905109489051</x:v>
      </x:c>
      <x:c r="K5017" s="69" t="n">
        <x:f>IFERROR(I5017/H5017,"")</x:f>
        <x:v>10.538461538461538</x:v>
      </x:c>
      <x:c r="L5017" s="66" t="str">
        <x:f>IF(K5017="","","1 : "&amp;TEXT(K5017,"0.0"))</x:f>
        <x:v>1 : 10.5</x:v>
      </x:c>
      <x:c r="M5017" s="66" t="str">
        <x:f>IF(J5017="","Baru/Tanpa Data",IF(J5017&lt;='Catatan &amp; Sumber'!$B$14,"Sangat Ketat",IF(J5017&lt;='Catatan &amp; Sumber'!$B$15,"Ketat",IF(J5017&lt;='Catatan &amp; Sumber'!$B$16,"Sedang","Relatif Longgar"))))</x:f>
        <x:v>Sedang</x:v>
      </x:c>
      <x:c r="N5017" s="66" t="str">
        <x:v>Tidak Ada</x:v>
      </x:c>
      <x:c r="O5017" s="66" t="str">
        <x:v>Papua</x:v>
      </x:c>
      <x:c r="P5017" s="66" t="str">
        <x:v>Kota Jayapura</x:v>
      </x:c>
      <x:c r="Q5017" s="66" t="str">
        <x:v>https://snpmb.id/snbp/daya-tampung-snbp</x:v>
      </x:c>
      <x:c r="R5017" s="66" t="str">
        <x:v>https://sidatagrun-public-1076756628210.asia-southeast2.run.app/ptn_sn.php?ptn=911</x:v>
      </x:c>
    </x:row>
    <x:row r="5018">
      <x:c r="A5018" s="87" t="n">
        <x:v>4305</x:v>
      </x:c>
      <x:c r="B5018" s="66" t="n">
        <x:v>911</x:v>
      </x:c>
      <x:c r="C5018" s="66" t="str">
        <x:v>UNIVERSITAS CENDERAWASIH</x:v>
      </x:c>
      <x:c r="D5018" s="66" t="str">
        <x:v>PTN Akademik</x:v>
      </x:c>
      <x:c r="E5018" s="66" t="str">
        <x:v>19111016</x:v>
      </x:c>
      <x:c r="F5018" s="66" t="str">
        <x:v>ILMU KELAUTAN</x:v>
      </x:c>
      <x:c r="G5018" s="66" t="str">
        <x:v>Sarjana</x:v>
      </x:c>
      <x:c r="H5018" s="87" t="n">
        <x:v>10</x:v>
      </x:c>
      <x:c r="I5018" s="87" t="n">
        <x:v>10</x:v>
      </x:c>
      <x:c r="J5018" s="68" t="n">
        <x:f>IFERROR(H5018/I5018,"")</x:f>
        <x:v>1</x:v>
      </x:c>
      <x:c r="K5018" s="69" t="n">
        <x:f>IFERROR(I5018/H5018,"")</x:f>
        <x:v>1</x:v>
      </x:c>
      <x:c r="L5018" s="66" t="str">
        <x:f>IF(K5018="","","1 : "&amp;TEXT(K5018,"0.0"))</x:f>
        <x:v>1 : 1.0</x:v>
      </x:c>
      <x:c r="M5018" s="66" t="str">
        <x:f>IF(J5018="","Baru/Tanpa Data",IF(J5018&lt;='Catatan &amp; Sumber'!$B$14,"Sangat Ketat",IF(J5018&lt;='Catatan &amp; Sumber'!$B$15,"Ketat",IF(J5018&lt;='Catatan &amp; Sumber'!$B$16,"Sedang","Relatif Longgar"))))</x:f>
        <x:v>Relatif Longgar</x:v>
      </x:c>
      <x:c r="N5018" s="66" t="str">
        <x:v>Tidak Ada</x:v>
      </x:c>
      <x:c r="O5018" s="66" t="str">
        <x:v>Papua</x:v>
      </x:c>
      <x:c r="P5018" s="66" t="str">
        <x:v>Kota Jayapura</x:v>
      </x:c>
      <x:c r="Q5018" s="66" t="str">
        <x:v>https://snpmb.id/snbp/daya-tampung-snbp</x:v>
      </x:c>
      <x:c r="R5018" s="66" t="str">
        <x:v>https://sidatagrun-public-1076756628210.asia-southeast2.run.app/ptn_sn.php?ptn=911</x:v>
      </x:c>
    </x:row>
    <x:row r="5019">
      <x:c r="A5019" s="87" t="n">
        <x:v>443</x:v>
      </x:c>
      <x:c r="B5019" s="66" t="n">
        <x:v>911</x:v>
      </x:c>
      <x:c r="C5019" s="66" t="str">
        <x:v>UNIVERSITAS CENDERAWASIH</x:v>
      </x:c>
      <x:c r="D5019" s="66" t="str">
        <x:v>PTN Akademik</x:v>
      </x:c>
      <x:c r="E5019" s="66" t="str">
        <x:v>19111017</x:v>
      </x:c>
      <x:c r="F5019" s="66" t="str">
        <x:v>FARMASI</x:v>
      </x:c>
      <x:c r="G5019" s="66" t="str">
        <x:v>Sarjana</x:v>
      </x:c>
      <x:c r="H5019" s="87" t="n">
        <x:v>13</x:v>
      </x:c>
      <x:c r="I5019" s="87" t="n">
        <x:v>266</x:v>
      </x:c>
      <x:c r="J5019" s="68" t="n">
        <x:f>IFERROR(H5019/I5019,"")</x:f>
        <x:v>0.04887218045112782</x:v>
      </x:c>
      <x:c r="K5019" s="69" t="n">
        <x:f>IFERROR(I5019/H5019,"")</x:f>
        <x:v>20.46153846153846</x:v>
      </x:c>
      <x:c r="L5019" s="66" t="str">
        <x:f>IF(K5019="","","1 : "&amp;TEXT(K5019,"0.0"))</x:f>
        <x:v>1 : 20.5</x:v>
      </x:c>
      <x:c r="M5019" s="66" t="str">
        <x:f>IF(J5019="","Baru/Tanpa Data",IF(J5019&lt;='Catatan &amp; Sumber'!$B$14,"Sangat Ketat",IF(J5019&lt;='Catatan &amp; Sumber'!$B$15,"Ketat",IF(J5019&lt;='Catatan &amp; Sumber'!$B$16,"Sedang","Relatif Longgar"))))</x:f>
        <x:v>Ketat</x:v>
      </x:c>
      <x:c r="N5019" s="66" t="str">
        <x:v>Tidak Ada</x:v>
      </x:c>
      <x:c r="O5019" s="66" t="str">
        <x:v>Papua</x:v>
      </x:c>
      <x:c r="P5019" s="66" t="str">
        <x:v>Kota Jayapura</x:v>
      </x:c>
      <x:c r="Q5019" s="66" t="str">
        <x:v>https://snpmb.id/snbp/daya-tampung-snbp</x:v>
      </x:c>
      <x:c r="R5019" s="66" t="str">
        <x:v>https://sidatagrun-public-1076756628210.asia-southeast2.run.app/ptn_sn.php?ptn=911</x:v>
      </x:c>
    </x:row>
    <x:row r="5020">
      <x:c r="A5020" s="87" t="n">
        <x:v>1447</x:v>
      </x:c>
      <x:c r="B5020" s="66" t="n">
        <x:v>911</x:v>
      </x:c>
      <x:c r="C5020" s="66" t="str">
        <x:v>UNIVERSITAS CENDERAWASIH</x:v>
      </x:c>
      <x:c r="D5020" s="66" t="str">
        <x:v>PTN Akademik</x:v>
      </x:c>
      <x:c r="E5020" s="66" t="str">
        <x:v>19111018</x:v>
      </x:c>
      <x:c r="F5020" s="66" t="str">
        <x:v>SISTEM INFORMASI</x:v>
      </x:c>
      <x:c r="G5020" s="66" t="str">
        <x:v>Sarjana</x:v>
      </x:c>
      <x:c r="H5020" s="87" t="n">
        <x:v>13</x:v>
      </x:c>
      <x:c r="I5020" s="87" t="n">
        <x:v>123</x:v>
      </x:c>
      <x:c r="J5020" s="68" t="n">
        <x:f>IFERROR(H5020/I5020,"")</x:f>
        <x:v>0.10569105691056911</x:v>
      </x:c>
      <x:c r="K5020" s="69" t="n">
        <x:f>IFERROR(I5020/H5020,"")</x:f>
        <x:v>9.461538461538462</x:v>
      </x:c>
      <x:c r="L5020" s="66" t="str">
        <x:f>IF(K5020="","","1 : "&amp;TEXT(K5020,"0.0"))</x:f>
        <x:v>1 : 9.5</x:v>
      </x:c>
      <x:c r="M5020" s="66" t="str">
        <x:f>IF(J5020="","Baru/Tanpa Data",IF(J5020&lt;='Catatan &amp; Sumber'!$B$14,"Sangat Ketat",IF(J5020&lt;='Catatan &amp; Sumber'!$B$15,"Ketat",IF(J5020&lt;='Catatan &amp; Sumber'!$B$16,"Sedang","Relatif Longgar"))))</x:f>
        <x:v>Relatif Longgar</x:v>
      </x:c>
      <x:c r="N5020" s="66" t="str">
        <x:v>Tidak Ada</x:v>
      </x:c>
      <x:c r="O5020" s="66" t="str">
        <x:v>Papua</x:v>
      </x:c>
      <x:c r="P5020" s="66" t="str">
        <x:v>Kota Jayapura</x:v>
      </x:c>
      <x:c r="Q5020" s="66" t="str">
        <x:v>https://snpmb.id/snbp/daya-tampung-snbp</x:v>
      </x:c>
      <x:c r="R5020" s="66" t="str">
        <x:v>https://sidatagrun-public-1076756628210.asia-southeast2.run.app/ptn_sn.php?ptn=911</x:v>
      </x:c>
    </x:row>
    <x:row r="5021">
      <x:c r="A5021" s="87" t="n">
        <x:v>4724</x:v>
      </x:c>
      <x:c r="B5021" s="66" t="n">
        <x:v>911</x:v>
      </x:c>
      <x:c r="C5021" s="66" t="str">
        <x:v>UNIVERSITAS CENDERAWASIH</x:v>
      </x:c>
      <x:c r="D5021" s="66" t="str">
        <x:v>PTN Akademik</x:v>
      </x:c>
      <x:c r="E5021" s="66" t="str">
        <x:v>19111019</x:v>
      </x:c>
      <x:c r="F5021" s="66" t="str">
        <x:v>TEKNIK GEOFISIKA</x:v>
      </x:c>
      <x:c r="G5021" s="66" t="str">
        <x:v>Sarjana</x:v>
      </x:c>
      <x:c r="H5021" s="87" t="n">
        <x:v>10</x:v>
      </x:c>
      <x:c r="I5021" s="87" t="n">
        <x:v>4</x:v>
      </x:c>
      <x:c r="J5021" s="68" t="n">
        <x:f>IFERROR(H5021/I5021,"")</x:f>
        <x:v>2.5</x:v>
      </x:c>
      <x:c r="K5021" s="69" t="n">
        <x:f>IFERROR(I5021/H5021,"")</x:f>
        <x:v>0.4</x:v>
      </x:c>
      <x:c r="L5021" s="66" t="str">
        <x:f>IF(K5021="","","1 : "&amp;TEXT(K5021,"0.0"))</x:f>
        <x:v>1 : 0.4</x:v>
      </x:c>
      <x:c r="M5021" s="66" t="str">
        <x:f>IF(J5021="","Baru/Tanpa Data",IF(J5021&lt;='Catatan &amp; Sumber'!$B$14,"Sangat Ketat",IF(J5021&lt;='Catatan &amp; Sumber'!$B$15,"Ketat",IF(J5021&lt;='Catatan &amp; Sumber'!$B$16,"Sedang","Relatif Longgar"))))</x:f>
        <x:v>Relatif Longgar</x:v>
      </x:c>
      <x:c r="N5021" s="66" t="str">
        <x:v>Tidak Ada</x:v>
      </x:c>
      <x:c r="O5021" s="66" t="str">
        <x:v>Papua</x:v>
      </x:c>
      <x:c r="P5021" s="66" t="str">
        <x:v>Kota Jayapura</x:v>
      </x:c>
      <x:c r="Q5021" s="66" t="str">
        <x:v>https://snpmb.id/snbp/daya-tampung-snbp</x:v>
      </x:c>
      <x:c r="R5021" s="66" t="str">
        <x:v>https://sidatagrun-public-1076756628210.asia-southeast2.run.app/ptn_sn.php?ptn=911</x:v>
      </x:c>
    </x:row>
    <x:row r="5022">
      <x:c r="A5022" s="87" t="n">
        <x:v>3892</x:v>
      </x:c>
      <x:c r="B5022" s="66" t="n">
        <x:v>911</x:v>
      </x:c>
      <x:c r="C5022" s="66" t="str">
        <x:v>UNIVERSITAS CENDERAWASIH</x:v>
      </x:c>
      <x:c r="D5022" s="66" t="str">
        <x:v>PTN Akademik</x:v>
      </x:c>
      <x:c r="E5022" s="66" t="str">
        <x:v>19111020</x:v>
      </x:c>
      <x:c r="F5022" s="66" t="str">
        <x:v>PERENCANAAN WILAYAH DAN KOTA/PLANOLOGI</x:v>
      </x:c>
      <x:c r="G5022" s="66" t="str">
        <x:v>Sarjana</x:v>
      </x:c>
      <x:c r="H5022" s="87" t="n">
        <x:v>13</x:v>
      </x:c>
      <x:c r="I5022" s="87" t="n">
        <x:v>21</x:v>
      </x:c>
      <x:c r="J5022" s="68" t="n">
        <x:f>IFERROR(H5022/I5022,"")</x:f>
        <x:v>0.6190476190476191</x:v>
      </x:c>
      <x:c r="K5022" s="69" t="n">
        <x:f>IFERROR(I5022/H5022,"")</x:f>
        <x:v>1.6153846153846154</x:v>
      </x:c>
      <x:c r="L5022" s="66" t="str">
        <x:f>IF(K5022="","","1 : "&amp;TEXT(K5022,"0.0"))</x:f>
        <x:v>1 : 1.6</x:v>
      </x:c>
      <x:c r="M5022" s="66" t="str">
        <x:f>IF(J5022="","Baru/Tanpa Data",IF(J5022&lt;='Catatan &amp; Sumber'!$B$14,"Sangat Ketat",IF(J5022&lt;='Catatan &amp; Sumber'!$B$15,"Ketat",IF(J5022&lt;='Catatan &amp; Sumber'!$B$16,"Sedang","Relatif Longgar"))))</x:f>
        <x:v>Relatif Longgar</x:v>
      </x:c>
      <x:c r="N5022" s="66" t="str">
        <x:v>Tidak Ada</x:v>
      </x:c>
      <x:c r="O5022" s="66" t="str">
        <x:v>Papua</x:v>
      </x:c>
      <x:c r="P5022" s="66" t="str">
        <x:v>Kota Jayapura</x:v>
      </x:c>
      <x:c r="Q5022" s="66" t="str">
        <x:v>https://snpmb.id/snbp/daya-tampung-snbp</x:v>
      </x:c>
      <x:c r="R5022" s="66" t="str">
        <x:v>https://sidatagrun-public-1076756628210.asia-southeast2.run.app/ptn_sn.php?ptn=911</x:v>
      </x:c>
    </x:row>
    <x:row r="5023">
      <x:c r="A5023" s="87" t="n">
        <x:v>4907</x:v>
      </x:c>
      <x:c r="B5023" s="66" t="n">
        <x:v>911</x:v>
      </x:c>
      <x:c r="C5023" s="66" t="str">
        <x:v>UNIVERSITAS CENDERAWASIH</x:v>
      </x:c>
      <x:c r="D5023" s="66" t="str">
        <x:v>PTN Akademik</x:v>
      </x:c>
      <x:c r="E5023" s="66" t="str">
        <x:v>19111021</x:v>
      </x:c>
      <x:c r="F5023" s="66" t="str">
        <x:v>ILMU KEOLAHRAGAAN</x:v>
      </x:c>
      <x:c r="G5023" s="66" t="str">
        <x:v>Sarjana</x:v>
      </x:c>
      <x:c r="H5023" s="87" t="n">
        <x:v>37</x:v>
      </x:c>
      <x:c r="I5023" s="87" t="n">
        <x:v>2</x:v>
      </x:c>
      <x:c r="J5023" s="68" t="n">
        <x:f>IFERROR(H5023/I5023,"")</x:f>
        <x:v>18.5</x:v>
      </x:c>
      <x:c r="K5023" s="69" t="n">
        <x:f>IFERROR(I5023/H5023,"")</x:f>
        <x:v>0.05405405405405406</x:v>
      </x:c>
      <x:c r="L5023" s="66" t="str">
        <x:f>IF(K5023="","","1 : "&amp;TEXT(K5023,"0.0"))</x:f>
        <x:v>1 : 0.1</x:v>
      </x:c>
      <x:c r="M5023" s="66" t="str">
        <x:f>IF(J5023="","Baru/Tanpa Data",IF(J5023&lt;='Catatan &amp; Sumber'!$B$14,"Sangat Ketat",IF(J5023&lt;='Catatan &amp; Sumber'!$B$15,"Ketat",IF(J5023&lt;='Catatan &amp; Sumber'!$B$16,"Sedang","Relatif Longgar"))))</x:f>
        <x:v>Relatif Longgar</x:v>
      </x:c>
      <x:c r="N5023" s="66" t="str">
        <x:v>Olahraga</x:v>
      </x:c>
      <x:c r="O5023" s="66" t="str">
        <x:v>Papua</x:v>
      </x:c>
      <x:c r="P5023" s="66" t="str">
        <x:v>Kota Jayapura</x:v>
      </x:c>
      <x:c r="Q5023" s="66" t="str">
        <x:v>https://snpmb.id/snbp/daya-tampung-snbp</x:v>
      </x:c>
      <x:c r="R5023" s="66" t="str">
        <x:v>https://sidatagrun-public-1076756628210.asia-southeast2.run.app/ptn_sn.php?ptn=911</x:v>
      </x:c>
    </x:row>
    <x:row r="5024">
      <x:c r="A5024" s="87" t="n">
        <x:v>4724</x:v>
      </x:c>
      <x:c r="B5024" s="66" t="n">
        <x:v>911</x:v>
      </x:c>
      <x:c r="C5024" s="66" t="str">
        <x:v>UNIVERSITAS CENDERAWASIH</x:v>
      </x:c>
      <x:c r="D5024" s="66" t="str">
        <x:v>PTN Akademik</x:v>
      </x:c>
      <x:c r="E5024" s="66" t="str">
        <x:v>19111022</x:v>
      </x:c>
      <x:c r="F5024" s="66" t="str">
        <x:v>ILMU PERIKANAN</x:v>
      </x:c>
      <x:c r="G5024" s="66" t="str">
        <x:v>Sarjana</x:v>
      </x:c>
      <x:c r="H5024" s="87" t="n">
        <x:v>10</x:v>
      </x:c>
      <x:c r="I5024" s="87" t="n">
        <x:v>4</x:v>
      </x:c>
      <x:c r="J5024" s="68" t="n">
        <x:f>IFERROR(H5024/I5024,"")</x:f>
        <x:v>2.5</x:v>
      </x:c>
      <x:c r="K5024" s="69" t="n">
        <x:f>IFERROR(I5024/H5024,"")</x:f>
        <x:v>0.4</x:v>
      </x:c>
      <x:c r="L5024" s="66" t="str">
        <x:f>IF(K5024="","","1 : "&amp;TEXT(K5024,"0.0"))</x:f>
        <x:v>1 : 0.4</x:v>
      </x:c>
      <x:c r="M5024" s="66" t="str">
        <x:f>IF(J5024="","Baru/Tanpa Data",IF(J5024&lt;='Catatan &amp; Sumber'!$B$14,"Sangat Ketat",IF(J5024&lt;='Catatan &amp; Sumber'!$B$15,"Ketat",IF(J5024&lt;='Catatan &amp; Sumber'!$B$16,"Sedang","Relatif Longgar"))))</x:f>
        <x:v>Relatif Longgar</x:v>
      </x:c>
      <x:c r="N5024" s="66" t="str">
        <x:v>Tidak Ada</x:v>
      </x:c>
      <x:c r="O5024" s="66" t="str">
        <x:v>Papua</x:v>
      </x:c>
      <x:c r="P5024" s="66" t="str">
        <x:v>Kota Jayapura</x:v>
      </x:c>
      <x:c r="Q5024" s="66" t="str">
        <x:v>https://snpmb.id/snbp/daya-tampung-snbp</x:v>
      </x:c>
      <x:c r="R5024" s="66" t="str">
        <x:v>https://sidatagrun-public-1076756628210.asia-southeast2.run.app/ptn_sn.php?ptn=911</x:v>
      </x:c>
    </x:row>
    <x:row r="5025">
      <x:c r="A5025" s="87" t="n">
        <x:v>3829</x:v>
      </x:c>
      <x:c r="B5025" s="66" t="n">
        <x:v>911</x:v>
      </x:c>
      <x:c r="C5025" s="66" t="str">
        <x:v>UNIVERSITAS CENDERAWASIH</x:v>
      </x:c>
      <x:c r="D5025" s="66" t="str">
        <x:v>PTN Akademik</x:v>
      </x:c>
      <x:c r="E5025" s="66" t="str">
        <x:v>19111023</x:v>
      </x:c>
      <x:c r="F5025" s="66" t="str">
        <x:v>STATISTIKA</x:v>
      </x:c>
      <x:c r="G5025" s="66" t="str">
        <x:v>Sarjana</x:v>
      </x:c>
      <x:c r="H5025" s="87" t="n">
        <x:v>10</x:v>
      </x:c>
      <x:c r="I5025" s="87" t="n">
        <x:v>17</x:v>
      </x:c>
      <x:c r="J5025" s="68" t="n">
        <x:f>IFERROR(H5025/I5025,"")</x:f>
        <x:v>0.5882352941176471</x:v>
      </x:c>
      <x:c r="K5025" s="69" t="n">
        <x:f>IFERROR(I5025/H5025,"")</x:f>
        <x:v>1.7</x:v>
      </x:c>
      <x:c r="L5025" s="66" t="str">
        <x:f>IF(K5025="","","1 : "&amp;TEXT(K5025,"0.0"))</x:f>
        <x:v>1 : 1.7</x:v>
      </x:c>
      <x:c r="M5025" s="66" t="str">
        <x:f>IF(J5025="","Baru/Tanpa Data",IF(J5025&lt;='Catatan &amp; Sumber'!$B$14,"Sangat Ketat",IF(J5025&lt;='Catatan &amp; Sumber'!$B$15,"Ketat",IF(J5025&lt;='Catatan &amp; Sumber'!$B$16,"Sedang","Relatif Longgar"))))</x:f>
        <x:v>Relatif Longgar</x:v>
      </x:c>
      <x:c r="N5025" s="66" t="str">
        <x:v>Tidak Ada</x:v>
      </x:c>
      <x:c r="O5025" s="66" t="str">
        <x:v>Papua</x:v>
      </x:c>
      <x:c r="P5025" s="66" t="str">
        <x:v>Kota Jayapura</x:v>
      </x:c>
      <x:c r="Q5025" s="66" t="str">
        <x:v>https://snpmb.id/snbp/daya-tampung-snbp</x:v>
      </x:c>
      <x:c r="R5025" s="66" t="str">
        <x:v>https://sidatagrun-public-1076756628210.asia-southeast2.run.app/ptn_sn.php?ptn=911</x:v>
      </x:c>
    </x:row>
    <x:row r="5026">
      <x:c r="A5026" s="87" t="n">
        <x:v>4487</x:v>
      </x:c>
      <x:c r="B5026" s="66" t="n">
        <x:v>911</x:v>
      </x:c>
      <x:c r="C5026" s="66" t="str">
        <x:v>UNIVERSITAS CENDERAWASIH</x:v>
      </x:c>
      <x:c r="D5026" s="66" t="str">
        <x:v>PTN Akademik</x:v>
      </x:c>
      <x:c r="E5026" s="66" t="str">
        <x:v>19111024</x:v>
      </x:c>
      <x:c r="F5026" s="66" t="str">
        <x:v>ILMU EKONOMI</x:v>
      </x:c>
      <x:c r="G5026" s="66" t="str">
        <x:v>Sarjana</x:v>
      </x:c>
      <x:c r="H5026" s="87" t="n">
        <x:v>62</x:v>
      </x:c>
      <x:c r="I5026" s="87" t="n">
        <x:v>48</x:v>
      </x:c>
      <x:c r="J5026" s="68" t="n">
        <x:f>IFERROR(H5026/I5026,"")</x:f>
        <x:v>1.2916666666666667</x:v>
      </x:c>
      <x:c r="K5026" s="69" t="n">
        <x:f>IFERROR(I5026/H5026,"")</x:f>
        <x:v>0.7741935483870968</x:v>
      </x:c>
      <x:c r="L5026" s="66" t="str">
        <x:f>IF(K5026="","","1 : "&amp;TEXT(K5026,"0.0"))</x:f>
        <x:v>1 : 0.8</x:v>
      </x:c>
      <x:c r="M5026" s="66" t="str">
        <x:f>IF(J5026="","Baru/Tanpa Data",IF(J5026&lt;='Catatan &amp; Sumber'!$B$14,"Sangat Ketat",IF(J5026&lt;='Catatan &amp; Sumber'!$B$15,"Ketat",IF(J5026&lt;='Catatan &amp; Sumber'!$B$16,"Sedang","Relatif Longgar"))))</x:f>
        <x:v>Relatif Longgar</x:v>
      </x:c>
      <x:c r="N5026" s="66" t="str">
        <x:v>Tidak Ada</x:v>
      </x:c>
      <x:c r="O5026" s="66" t="str">
        <x:v>Papua</x:v>
      </x:c>
      <x:c r="P5026" s="66" t="str">
        <x:v>Kota Jayapura</x:v>
      </x:c>
      <x:c r="Q5026" s="66" t="str">
        <x:v>https://snpmb.id/snbp/daya-tampung-snbp</x:v>
      </x:c>
      <x:c r="R5026" s="66" t="str">
        <x:v>https://sidatagrun-public-1076756628210.asia-southeast2.run.app/ptn_sn.php?ptn=911</x:v>
      </x:c>
    </x:row>
    <x:row r="5027">
      <x:c r="A5027" s="87" t="n">
        <x:v>3583</x:v>
      </x:c>
      <x:c r="B5027" s="66" t="n">
        <x:v>911</x:v>
      </x:c>
      <x:c r="C5027" s="66" t="str">
        <x:v>UNIVERSITAS CENDERAWASIH</x:v>
      </x:c>
      <x:c r="D5027" s="66" t="str">
        <x:v>PTN Akademik</x:v>
      </x:c>
      <x:c r="E5027" s="66" t="str">
        <x:v>19111025</x:v>
      </x:c>
      <x:c r="F5027" s="66" t="str">
        <x:v>ILMU ADMINISTRASI NEGARA</x:v>
      </x:c>
      <x:c r="G5027" s="66" t="str">
        <x:v>Sarjana</x:v>
      </x:c>
      <x:c r="H5027" s="87" t="n">
        <x:v>20</x:v>
      </x:c>
      <x:c r="I5027" s="87" t="n">
        <x:v>43</x:v>
      </x:c>
      <x:c r="J5027" s="68" t="n">
        <x:f>IFERROR(H5027/I5027,"")</x:f>
        <x:v>0.46511627906976744</x:v>
      </x:c>
      <x:c r="K5027" s="69" t="n">
        <x:f>IFERROR(I5027/H5027,"")</x:f>
        <x:v>2.15</x:v>
      </x:c>
      <x:c r="L5027" s="66" t="str">
        <x:f>IF(K5027="","","1 : "&amp;TEXT(K5027,"0.0"))</x:f>
        <x:v>1 : 2.2</x:v>
      </x:c>
      <x:c r="M5027" s="66" t="str">
        <x:f>IF(J5027="","Baru/Tanpa Data",IF(J5027&lt;='Catatan &amp; Sumber'!$B$14,"Sangat Ketat",IF(J5027&lt;='Catatan &amp; Sumber'!$B$15,"Ketat",IF(J5027&lt;='Catatan &amp; Sumber'!$B$16,"Sedang","Relatif Longgar"))))</x:f>
        <x:v>Relatif Longgar</x:v>
      </x:c>
      <x:c r="N5027" s="66" t="str">
        <x:v>Tidak Ada</x:v>
      </x:c>
      <x:c r="O5027" s="66" t="str">
        <x:v>Papua</x:v>
      </x:c>
      <x:c r="P5027" s="66" t="str">
        <x:v>Kota Jayapura</x:v>
      </x:c>
      <x:c r="Q5027" s="66" t="str">
        <x:v>https://snpmb.id/snbp/daya-tampung-snbp</x:v>
      </x:c>
      <x:c r="R5027" s="66" t="str">
        <x:v>https://sidatagrun-public-1076756628210.asia-southeast2.run.app/ptn_sn.php?ptn=911</x:v>
      </x:c>
    </x:row>
    <x:row r="5028">
      <x:c r="A5028" s="87" t="n">
        <x:v>4639</x:v>
      </x:c>
      <x:c r="B5028" s="66" t="n">
        <x:v>911</x:v>
      </x:c>
      <x:c r="C5028" s="66" t="str">
        <x:v>UNIVERSITAS CENDERAWASIH</x:v>
      </x:c>
      <x:c r="D5028" s="66" t="str">
        <x:v>PTN Akademik</x:v>
      </x:c>
      <x:c r="E5028" s="66" t="str">
        <x:v>19111026</x:v>
      </x:c>
      <x:c r="F5028" s="66" t="str">
        <x:v>ANTROPOLOGI SOSIAL</x:v>
      </x:c>
      <x:c r="G5028" s="66" t="str">
        <x:v>Sarjana</x:v>
      </x:c>
      <x:c r="H5028" s="87" t="n">
        <x:v>20</x:v>
      </x:c>
      <x:c r="I5028" s="87" t="n">
        <x:v>11</x:v>
      </x:c>
      <x:c r="J5028" s="68" t="n">
        <x:f>IFERROR(H5028/I5028,"")</x:f>
        <x:v>1.8181818181818181</x:v>
      </x:c>
      <x:c r="K5028" s="69" t="n">
        <x:f>IFERROR(I5028/H5028,"")</x:f>
        <x:v>0.55</x:v>
      </x:c>
      <x:c r="L5028" s="66" t="str">
        <x:f>IF(K5028="","","1 : "&amp;TEXT(K5028,"0.0"))</x:f>
        <x:v>1 : 0.6</x:v>
      </x:c>
      <x:c r="M5028" s="66" t="str">
        <x:f>IF(J5028="","Baru/Tanpa Data",IF(J5028&lt;='Catatan &amp; Sumber'!$B$14,"Sangat Ketat",IF(J5028&lt;='Catatan &amp; Sumber'!$B$15,"Ketat",IF(J5028&lt;='Catatan &amp; Sumber'!$B$16,"Sedang","Relatif Longgar"))))</x:f>
        <x:v>Relatif Longgar</x:v>
      </x:c>
      <x:c r="N5028" s="66" t="str">
        <x:v>Tidak Ada</x:v>
      </x:c>
      <x:c r="O5028" s="66" t="str">
        <x:v>Papua</x:v>
      </x:c>
      <x:c r="P5028" s="66" t="str">
        <x:v>Kota Jayapura</x:v>
      </x:c>
      <x:c r="Q5028" s="66" t="str">
        <x:v>https://snpmb.id/snbp/daya-tampung-snbp</x:v>
      </x:c>
      <x:c r="R5028" s="66" t="str">
        <x:v>https://sidatagrun-public-1076756628210.asia-southeast2.run.app/ptn_sn.php?ptn=911</x:v>
      </x:c>
    </x:row>
    <x:row r="5029">
      <x:c r="A5029" s="87" t="n">
        <x:v>3760</x:v>
      </x:c>
      <x:c r="B5029" s="66" t="n">
        <x:v>911</x:v>
      </x:c>
      <x:c r="C5029" s="66" t="str">
        <x:v>UNIVERSITAS CENDERAWASIH</x:v>
      </x:c>
      <x:c r="D5029" s="66" t="str">
        <x:v>PTN Akademik</x:v>
      </x:c>
      <x:c r="E5029" s="66" t="str">
        <x:v>19111027</x:v>
      </x:c>
      <x:c r="F5029" s="66" t="str">
        <x:v>ILMU HUKUM</x:v>
      </x:c>
      <x:c r="G5029" s="66" t="str">
        <x:v>Sarjana</x:v>
      </x:c>
      <x:c r="H5029" s="87" t="n">
        <x:v>100</x:v>
      </x:c>
      <x:c r="I5029" s="87" t="n">
        <x:v>182</x:v>
      </x:c>
      <x:c r="J5029" s="68" t="n">
        <x:f>IFERROR(H5029/I5029,"")</x:f>
        <x:v>0.5494505494505495</x:v>
      </x:c>
      <x:c r="K5029" s="69" t="n">
        <x:f>IFERROR(I5029/H5029,"")</x:f>
        <x:v>1.82</x:v>
      </x:c>
      <x:c r="L5029" s="66" t="str">
        <x:f>IF(K5029="","","1 : "&amp;TEXT(K5029,"0.0"))</x:f>
        <x:v>1 : 1.8</x:v>
      </x:c>
      <x:c r="M5029" s="66" t="str">
        <x:f>IF(J5029="","Baru/Tanpa Data",IF(J5029&lt;='Catatan &amp; Sumber'!$B$14,"Sangat Ketat",IF(J5029&lt;='Catatan &amp; Sumber'!$B$15,"Ketat",IF(J5029&lt;='Catatan &amp; Sumber'!$B$16,"Sedang","Relatif Longgar"))))</x:f>
        <x:v>Relatif Longgar</x:v>
      </x:c>
      <x:c r="N5029" s="66" t="str">
        <x:v>Tidak Ada</x:v>
      </x:c>
      <x:c r="O5029" s="66" t="str">
        <x:v>Papua</x:v>
      </x:c>
      <x:c r="P5029" s="66" t="str">
        <x:v>Kota Jayapura</x:v>
      </x:c>
      <x:c r="Q5029" s="66" t="str">
        <x:v>https://snpmb.id/snbp/daya-tampung-snbp</x:v>
      </x:c>
      <x:c r="R5029" s="66" t="str">
        <x:v>https://sidatagrun-public-1076756628210.asia-southeast2.run.app/ptn_sn.php?ptn=911</x:v>
      </x:c>
    </x:row>
    <x:row r="5030">
      <x:c r="A5030" s="87" t="n">
        <x:v>3214</x:v>
      </x:c>
      <x:c r="B5030" s="66" t="n">
        <x:v>911</x:v>
      </x:c>
      <x:c r="C5030" s="66" t="str">
        <x:v>UNIVERSITAS CENDERAWASIH</x:v>
      </x:c>
      <x:c r="D5030" s="66" t="str">
        <x:v>PTN Akademik</x:v>
      </x:c>
      <x:c r="E5030" s="66" t="str">
        <x:v>19111028</x:v>
      </x:c>
      <x:c r="F5030" s="66" t="str">
        <x:v>MANAJEMEN</x:v>
      </x:c>
      <x:c r="G5030" s="66" t="str">
        <x:v>Sarjana</x:v>
      </x:c>
      <x:c r="H5030" s="87" t="n">
        <x:v>62</x:v>
      </x:c>
      <x:c r="I5030" s="87" t="n">
        <x:v>179</x:v>
      </x:c>
      <x:c r="J5030" s="68" t="n">
        <x:f>IFERROR(H5030/I5030,"")</x:f>
        <x:v>0.3463687150837989</x:v>
      </x:c>
      <x:c r="K5030" s="69" t="n">
        <x:f>IFERROR(I5030/H5030,"")</x:f>
        <x:v>2.8870967741935485</x:v>
      </x:c>
      <x:c r="L5030" s="66" t="str">
        <x:f>IF(K5030="","","1 : "&amp;TEXT(K5030,"0.0"))</x:f>
        <x:v>1 : 2.9</x:v>
      </x:c>
      <x:c r="M5030" s="66" t="str">
        <x:f>IF(J5030="","Baru/Tanpa Data",IF(J5030&lt;='Catatan &amp; Sumber'!$B$14,"Sangat Ketat",IF(J5030&lt;='Catatan &amp; Sumber'!$B$15,"Ketat",IF(J5030&lt;='Catatan &amp; Sumber'!$B$16,"Sedang","Relatif Longgar"))))</x:f>
        <x:v>Relatif Longgar</x:v>
      </x:c>
      <x:c r="N5030" s="66" t="str">
        <x:v>Tidak Ada</x:v>
      </x:c>
      <x:c r="O5030" s="66" t="str">
        <x:v>Papua</x:v>
      </x:c>
      <x:c r="P5030" s="66" t="str">
        <x:v>Kota Jayapura</x:v>
      </x:c>
      <x:c r="Q5030" s="66" t="str">
        <x:v>https://snpmb.id/snbp/daya-tampung-snbp</x:v>
      </x:c>
      <x:c r="R5030" s="66" t="str">
        <x:v>https://sidatagrun-public-1076756628210.asia-southeast2.run.app/ptn_sn.php?ptn=911</x:v>
      </x:c>
    </x:row>
    <x:row r="5031">
      <x:c r="A5031" s="87" t="n">
        <x:v>4841</x:v>
      </x:c>
      <x:c r="B5031" s="66" t="n">
        <x:v>911</x:v>
      </x:c>
      <x:c r="C5031" s="66" t="str">
        <x:v>UNIVERSITAS CENDERAWASIH</x:v>
      </x:c>
      <x:c r="D5031" s="66" t="str">
        <x:v>PTN Akademik</x:v>
      </x:c>
      <x:c r="E5031" s="66" t="str">
        <x:v>19111029</x:v>
      </x:c>
      <x:c r="F5031" s="66" t="str">
        <x:v>ILMU KESEJAHTERAAN SOSIAL</x:v>
      </x:c>
      <x:c r="G5031" s="66" t="str">
        <x:v>Sarjana</x:v>
      </x:c>
      <x:c r="H5031" s="87" t="n">
        <x:v>20</x:v>
      </x:c>
      <x:c r="I5031" s="87" t="n">
        <x:v>4</x:v>
      </x:c>
      <x:c r="J5031" s="68" t="n">
        <x:f>IFERROR(H5031/I5031,"")</x:f>
        <x:v>5</x:v>
      </x:c>
      <x:c r="K5031" s="69" t="n">
        <x:f>IFERROR(I5031/H5031,"")</x:f>
        <x:v>0.2</x:v>
      </x:c>
      <x:c r="L5031" s="66" t="str">
        <x:f>IF(K5031="","","1 : "&amp;TEXT(K5031,"0.0"))</x:f>
        <x:v>1 : 0.2</x:v>
      </x:c>
      <x:c r="M5031" s="66" t="str">
        <x:f>IF(J5031="","Baru/Tanpa Data",IF(J5031&lt;='Catatan &amp; Sumber'!$B$14,"Sangat Ketat",IF(J5031&lt;='Catatan &amp; Sumber'!$B$15,"Ketat",IF(J5031&lt;='Catatan &amp; Sumber'!$B$16,"Sedang","Relatif Longgar"))))</x:f>
        <x:v>Relatif Longgar</x:v>
      </x:c>
      <x:c r="N5031" s="66" t="str">
        <x:v>Tidak Ada</x:v>
      </x:c>
      <x:c r="O5031" s="66" t="str">
        <x:v>Papua</x:v>
      </x:c>
      <x:c r="P5031" s="66" t="str">
        <x:v>Kota Jayapura</x:v>
      </x:c>
      <x:c r="Q5031" s="66" t="str">
        <x:v>https://snpmb.id/snbp/daya-tampung-snbp</x:v>
      </x:c>
      <x:c r="R5031" s="66" t="str">
        <x:v>https://sidatagrun-public-1076756628210.asia-southeast2.run.app/ptn_sn.php?ptn=911</x:v>
      </x:c>
    </x:row>
    <x:row r="5032">
      <x:c r="A5032" s="87" t="n">
        <x:v>4543</x:v>
      </x:c>
      <x:c r="B5032" s="66" t="n">
        <x:v>911</x:v>
      </x:c>
      <x:c r="C5032" s="66" t="str">
        <x:v>UNIVERSITAS CENDERAWASIH</x:v>
      </x:c>
      <x:c r="D5032" s="66" t="str">
        <x:v>PTN Akademik</x:v>
      </x:c>
      <x:c r="E5032" s="66" t="str">
        <x:v>19111030</x:v>
      </x:c>
      <x:c r="F5032" s="66" t="str">
        <x:v>PEND. PANCASILA &amp; KEWARGANEG.</x:v>
      </x:c>
      <x:c r="G5032" s="66" t="str">
        <x:v>Sarjana</x:v>
      </x:c>
      <x:c r="H5032" s="87" t="n">
        <x:v>25</x:v>
      </x:c>
      <x:c r="I5032" s="87" t="n">
        <x:v>17</x:v>
      </x:c>
      <x:c r="J5032" s="68" t="n">
        <x:f>IFERROR(H5032/I5032,"")</x:f>
        <x:v>1.4705882352941178</x:v>
      </x:c>
      <x:c r="K5032" s="69" t="n">
        <x:f>IFERROR(I5032/H5032,"")</x:f>
        <x:v>0.68</x:v>
      </x:c>
      <x:c r="L5032" s="66" t="str">
        <x:f>IF(K5032="","","1 : "&amp;TEXT(K5032,"0.0"))</x:f>
        <x:v>1 : 0.7</x:v>
      </x:c>
      <x:c r="M5032" s="66" t="str">
        <x:f>IF(J5032="","Baru/Tanpa Data",IF(J5032&lt;='Catatan &amp; Sumber'!$B$14,"Sangat Ketat",IF(J5032&lt;='Catatan &amp; Sumber'!$B$15,"Ketat",IF(J5032&lt;='Catatan &amp; Sumber'!$B$16,"Sedang","Relatif Longgar"))))</x:f>
        <x:v>Relatif Longgar</x:v>
      </x:c>
      <x:c r="N5032" s="66" t="str">
        <x:v>Tidak Ada</x:v>
      </x:c>
      <x:c r="O5032" s="66" t="str">
        <x:v>Papua</x:v>
      </x:c>
      <x:c r="P5032" s="66" t="str">
        <x:v>Kota Jayapura</x:v>
      </x:c>
      <x:c r="Q5032" s="66" t="str">
        <x:v>https://snpmb.id/snbp/daya-tampung-snbp</x:v>
      </x:c>
      <x:c r="R5032" s="66" t="str">
        <x:v>https://sidatagrun-public-1076756628210.asia-southeast2.run.app/ptn_sn.php?ptn=911</x:v>
      </x:c>
    </x:row>
    <x:row r="5033">
      <x:c r="A5033" s="87" t="n">
        <x:v>2964</x:v>
      </x:c>
      <x:c r="B5033" s="66" t="n">
        <x:v>911</x:v>
      </x:c>
      <x:c r="C5033" s="66" t="str">
        <x:v>UNIVERSITAS CENDERAWASIH</x:v>
      </x:c>
      <x:c r="D5033" s="66" t="str">
        <x:v>PTN Akademik</x:v>
      </x:c>
      <x:c r="E5033" s="66" t="str">
        <x:v>19111031</x:v>
      </x:c>
      <x:c r="F5033" s="66" t="str">
        <x:v>AKUNTANSI</x:v>
      </x:c>
      <x:c r="G5033" s="66" t="str">
        <x:v>Sarjana</x:v>
      </x:c>
      <x:c r="H5033" s="87" t="n">
        <x:v>49</x:v>
      </x:c>
      <x:c r="I5033" s="87" t="n">
        <x:v>171</x:v>
      </x:c>
      <x:c r="J5033" s="68" t="n">
        <x:f>IFERROR(H5033/I5033,"")</x:f>
        <x:v>0.28654970760233917</x:v>
      </x:c>
      <x:c r="K5033" s="69" t="n">
        <x:f>IFERROR(I5033/H5033,"")</x:f>
        <x:v>3.489795918367347</x:v>
      </x:c>
      <x:c r="L5033" s="66" t="str">
        <x:f>IF(K5033="","","1 : "&amp;TEXT(K5033,"0.0"))</x:f>
        <x:v>1 : 3.5</x:v>
      </x:c>
      <x:c r="M5033" s="66" t="str">
        <x:f>IF(J5033="","Baru/Tanpa Data",IF(J5033&lt;='Catatan &amp; Sumber'!$B$14,"Sangat Ketat",IF(J5033&lt;='Catatan &amp; Sumber'!$B$15,"Ketat",IF(J5033&lt;='Catatan &amp; Sumber'!$B$16,"Sedang","Relatif Longgar"))))</x:f>
        <x:v>Relatif Longgar</x:v>
      </x:c>
      <x:c r="N5033" s="66" t="str">
        <x:v>Tidak Ada</x:v>
      </x:c>
      <x:c r="O5033" s="66" t="str">
        <x:v>Papua</x:v>
      </x:c>
      <x:c r="P5033" s="66" t="str">
        <x:v>Kota Jayapura</x:v>
      </x:c>
      <x:c r="Q5033" s="66" t="str">
        <x:v>https://snpmb.id/snbp/daya-tampung-snbp</x:v>
      </x:c>
      <x:c r="R5033" s="66" t="str">
        <x:v>https://sidatagrun-public-1076756628210.asia-southeast2.run.app/ptn_sn.php?ptn=911</x:v>
      </x:c>
    </x:row>
    <x:row r="5034">
      <x:c r="A5034" s="87" t="n">
        <x:v>3391</x:v>
      </x:c>
      <x:c r="B5034" s="66" t="n">
        <x:v>911</x:v>
      </x:c>
      <x:c r="C5034" s="66" t="str">
        <x:v>UNIVERSITAS CENDERAWASIH</x:v>
      </x:c>
      <x:c r="D5034" s="66" t="str">
        <x:v>PTN Akademik</x:v>
      </x:c>
      <x:c r="E5034" s="66" t="str">
        <x:v>19111032</x:v>
      </x:c>
      <x:c r="F5034" s="66" t="str">
        <x:v>ILMU PEMERINTAHAN</x:v>
      </x:c>
      <x:c r="G5034" s="66" t="str">
        <x:v>Sarjana</x:v>
      </x:c>
      <x:c r="H5034" s="87" t="n">
        <x:v>20</x:v>
      </x:c>
      <x:c r="I5034" s="87" t="n">
        <x:v>50</x:v>
      </x:c>
      <x:c r="J5034" s="68" t="n">
        <x:f>IFERROR(H5034/I5034,"")</x:f>
        <x:v>0.4</x:v>
      </x:c>
      <x:c r="K5034" s="69" t="n">
        <x:f>IFERROR(I5034/H5034,"")</x:f>
        <x:v>2.5</x:v>
      </x:c>
      <x:c r="L5034" s="66" t="str">
        <x:f>IF(K5034="","","1 : "&amp;TEXT(K5034,"0.0"))</x:f>
        <x:v>1 : 2.5</x:v>
      </x:c>
      <x:c r="M5034" s="66" t="str">
        <x:f>IF(J5034="","Baru/Tanpa Data",IF(J5034&lt;='Catatan &amp; Sumber'!$B$14,"Sangat Ketat",IF(J5034&lt;='Catatan &amp; Sumber'!$B$15,"Ketat",IF(J5034&lt;='Catatan &amp; Sumber'!$B$16,"Sedang","Relatif Longgar"))))</x:f>
        <x:v>Relatif Longgar</x:v>
      </x:c>
      <x:c r="N5034" s="66" t="str">
        <x:v>Tidak Ada</x:v>
      </x:c>
      <x:c r="O5034" s="66" t="str">
        <x:v>Papua</x:v>
      </x:c>
      <x:c r="P5034" s="66" t="str">
        <x:v>Kota Jayapura</x:v>
      </x:c>
      <x:c r="Q5034" s="66" t="str">
        <x:v>https://snpmb.id/snbp/daya-tampung-snbp</x:v>
      </x:c>
      <x:c r="R5034" s="66" t="str">
        <x:v>https://sidatagrun-public-1076756628210.asia-southeast2.run.app/ptn_sn.php?ptn=911</x:v>
      </x:c>
    </x:row>
    <x:row r="5035">
      <x:c r="A5035" s="87" t="n">
        <x:v>4294</x:v>
      </x:c>
      <x:c r="B5035" s="66" t="n">
        <x:v>911</x:v>
      </x:c>
      <x:c r="C5035" s="66" t="str">
        <x:v>UNIVERSITAS CENDERAWASIH</x:v>
      </x:c>
      <x:c r="D5035" s="66" t="str">
        <x:v>PTN Akademik</x:v>
      </x:c>
      <x:c r="E5035" s="66" t="str">
        <x:v>19111033</x:v>
      </x:c>
      <x:c r="F5035" s="66" t="str">
        <x:v>BIMBINGAN KONSELING</x:v>
      </x:c>
      <x:c r="G5035" s="66" t="str">
        <x:v>Sarjana</x:v>
      </x:c>
      <x:c r="H5035" s="87" t="n">
        <x:v>25</x:v>
      </x:c>
      <x:c r="I5035" s="87" t="n">
        <x:v>26</x:v>
      </x:c>
      <x:c r="J5035" s="68" t="n">
        <x:f>IFERROR(H5035/I5035,"")</x:f>
        <x:v>0.9615384615384616</x:v>
      </x:c>
      <x:c r="K5035" s="69" t="n">
        <x:f>IFERROR(I5035/H5035,"")</x:f>
        <x:v>1.04</x:v>
      </x:c>
      <x:c r="L5035" s="66" t="str">
        <x:f>IF(K5035="","","1 : "&amp;TEXT(K5035,"0.0"))</x:f>
        <x:v>1 : 1.0</x:v>
      </x:c>
      <x:c r="M5035" s="66" t="str">
        <x:f>IF(J5035="","Baru/Tanpa Data",IF(J5035&lt;='Catatan &amp; Sumber'!$B$14,"Sangat Ketat",IF(J5035&lt;='Catatan &amp; Sumber'!$B$15,"Ketat",IF(J5035&lt;='Catatan &amp; Sumber'!$B$16,"Sedang","Relatif Longgar"))))</x:f>
        <x:v>Relatif Longgar</x:v>
      </x:c>
      <x:c r="N5035" s="66" t="str">
        <x:v>Tidak Ada</x:v>
      </x:c>
      <x:c r="O5035" s="66" t="str">
        <x:v>Papua</x:v>
      </x:c>
      <x:c r="P5035" s="66" t="str">
        <x:v>Kota Jayapura</x:v>
      </x:c>
      <x:c r="Q5035" s="66" t="str">
        <x:v>https://snpmb.id/snbp/daya-tampung-snbp</x:v>
      </x:c>
      <x:c r="R5035" s="66" t="str">
        <x:v>https://sidatagrun-public-1076756628210.asia-southeast2.run.app/ptn_sn.php?ptn=911</x:v>
      </x:c>
    </x:row>
    <x:row r="5036">
      <x:c r="A5036" s="87" t="n">
        <x:v>4632</x:v>
      </x:c>
      <x:c r="B5036" s="66" t="n">
        <x:v>911</x:v>
      </x:c>
      <x:c r="C5036" s="66" t="str">
        <x:v>UNIVERSITAS CENDERAWASIH</x:v>
      </x:c>
      <x:c r="D5036" s="66" t="str">
        <x:v>PTN Akademik</x:v>
      </x:c>
      <x:c r="E5036" s="66" t="str">
        <x:v>19111035</x:v>
      </x:c>
      <x:c r="F5036" s="66" t="str">
        <x:v>PEND. GEOGRAFI</x:v>
      </x:c>
      <x:c r="G5036" s="66" t="str">
        <x:v>Sarjana</x:v>
      </x:c>
      <x:c r="H5036" s="87" t="n">
        <x:v>25</x:v>
      </x:c>
      <x:c r="I5036" s="87" t="n">
        <x:v>14</x:v>
      </x:c>
      <x:c r="J5036" s="68" t="n">
        <x:f>IFERROR(H5036/I5036,"")</x:f>
        <x:v>1.7857142857142858</x:v>
      </x:c>
      <x:c r="K5036" s="69" t="n">
        <x:f>IFERROR(I5036/H5036,"")</x:f>
        <x:v>0.56</x:v>
      </x:c>
      <x:c r="L5036" s="66" t="str">
        <x:f>IF(K5036="","","1 : "&amp;TEXT(K5036,"0.0"))</x:f>
        <x:v>1 : 0.6</x:v>
      </x:c>
      <x:c r="M5036" s="66" t="str">
        <x:f>IF(J5036="","Baru/Tanpa Data",IF(J5036&lt;='Catatan &amp; Sumber'!$B$14,"Sangat Ketat",IF(J5036&lt;='Catatan &amp; Sumber'!$B$15,"Ketat",IF(J5036&lt;='Catatan &amp; Sumber'!$B$16,"Sedang","Relatif Longgar"))))</x:f>
        <x:v>Relatif Longgar</x:v>
      </x:c>
      <x:c r="N5036" s="66" t="str">
        <x:v>Tidak Ada</x:v>
      </x:c>
      <x:c r="O5036" s="66" t="str">
        <x:v>Papua</x:v>
      </x:c>
      <x:c r="P5036" s="66" t="str">
        <x:v>Kota Jayapura</x:v>
      </x:c>
      <x:c r="Q5036" s="66" t="str">
        <x:v>https://snpmb.id/snbp/daya-tampung-snbp</x:v>
      </x:c>
      <x:c r="R5036" s="66" t="str">
        <x:v>https://sidatagrun-public-1076756628210.asia-southeast2.run.app/ptn_sn.php?ptn=911</x:v>
      </x:c>
    </x:row>
    <x:row r="5037">
      <x:c r="A5037" s="87" t="n">
        <x:v>4748</x:v>
      </x:c>
      <x:c r="B5037" s="66" t="n">
        <x:v>911</x:v>
      </x:c>
      <x:c r="C5037" s="66" t="str">
        <x:v>UNIVERSITAS CENDERAWASIH</x:v>
      </x:c>
      <x:c r="D5037" s="66" t="str">
        <x:v>PTN Akademik</x:v>
      </x:c>
      <x:c r="E5037" s="66" t="str">
        <x:v>19111036</x:v>
      </x:c>
      <x:c r="F5037" s="66" t="str">
        <x:v>PEND. SEJARAH</x:v>
      </x:c>
      <x:c r="G5037" s="66" t="str">
        <x:v>Sarjana</x:v>
      </x:c>
      <x:c r="H5037" s="87" t="n">
        <x:v>25</x:v>
      </x:c>
      <x:c r="I5037" s="87" t="n">
        <x:v>9</x:v>
      </x:c>
      <x:c r="J5037" s="68" t="n">
        <x:f>IFERROR(H5037/I5037,"")</x:f>
        <x:v>2.7777777777777777</x:v>
      </x:c>
      <x:c r="K5037" s="69" t="n">
        <x:f>IFERROR(I5037/H5037,"")</x:f>
        <x:v>0.36</x:v>
      </x:c>
      <x:c r="L5037" s="66" t="str">
        <x:f>IF(K5037="","","1 : "&amp;TEXT(K5037,"0.0"))</x:f>
        <x:v>1 : 0.4</x:v>
      </x:c>
      <x:c r="M5037" s="66" t="str">
        <x:f>IF(J5037="","Baru/Tanpa Data",IF(J5037&lt;='Catatan &amp; Sumber'!$B$14,"Sangat Ketat",IF(J5037&lt;='Catatan &amp; Sumber'!$B$15,"Ketat",IF(J5037&lt;='Catatan &amp; Sumber'!$B$16,"Sedang","Relatif Longgar"))))</x:f>
        <x:v>Relatif Longgar</x:v>
      </x:c>
      <x:c r="N5037" s="66" t="str">
        <x:v>Tidak Ada</x:v>
      </x:c>
      <x:c r="O5037" s="66" t="str">
        <x:v>Papua</x:v>
      </x:c>
      <x:c r="P5037" s="66" t="str">
        <x:v>Kota Jayapura</x:v>
      </x:c>
      <x:c r="Q5037" s="66" t="str">
        <x:v>https://snpmb.id/snbp/daya-tampung-snbp</x:v>
      </x:c>
      <x:c r="R5037" s="66" t="str">
        <x:v>https://sidatagrun-public-1076756628210.asia-southeast2.run.app/ptn_sn.php?ptn=911</x:v>
      </x:c>
    </x:row>
    <x:row r="5038">
      <x:c r="A5038" s="87" t="n">
        <x:v>4494</x:v>
      </x:c>
      <x:c r="B5038" s="66" t="n">
        <x:v>911</x:v>
      </x:c>
      <x:c r="C5038" s="66" t="str">
        <x:v>UNIVERSITAS CENDERAWASIH</x:v>
      </x:c>
      <x:c r="D5038" s="66" t="str">
        <x:v>PTN Akademik</x:v>
      </x:c>
      <x:c r="E5038" s="66" t="str">
        <x:v>19111037</x:v>
      </x:c>
      <x:c r="F5038" s="66" t="str">
        <x:v>PEND. BHS. SASTRA IND. &amp; DAERAH</x:v>
      </x:c>
      <x:c r="G5038" s="66" t="str">
        <x:v>Sarjana</x:v>
      </x:c>
      <x:c r="H5038" s="87" t="n">
        <x:v>25</x:v>
      </x:c>
      <x:c r="I5038" s="87" t="n">
        <x:v>19</x:v>
      </x:c>
      <x:c r="J5038" s="68" t="n">
        <x:f>IFERROR(H5038/I5038,"")</x:f>
        <x:v>1.3157894736842106</x:v>
      </x:c>
      <x:c r="K5038" s="69" t="n">
        <x:f>IFERROR(I5038/H5038,"")</x:f>
        <x:v>0.76</x:v>
      </x:c>
      <x:c r="L5038" s="66" t="str">
        <x:f>IF(K5038="","","1 : "&amp;TEXT(K5038,"0.0"))</x:f>
        <x:v>1 : 0.8</x:v>
      </x:c>
      <x:c r="M5038" s="66" t="str">
        <x:f>IF(J5038="","Baru/Tanpa Data",IF(J5038&lt;='Catatan &amp; Sumber'!$B$14,"Sangat Ketat",IF(J5038&lt;='Catatan &amp; Sumber'!$B$15,"Ketat",IF(J5038&lt;='Catatan &amp; Sumber'!$B$16,"Sedang","Relatif Longgar"))))</x:f>
        <x:v>Relatif Longgar</x:v>
      </x:c>
      <x:c r="N5038" s="66" t="str">
        <x:v>Tidak Ada</x:v>
      </x:c>
      <x:c r="O5038" s="66" t="str">
        <x:v>Papua</x:v>
      </x:c>
      <x:c r="P5038" s="66" t="str">
        <x:v>Kota Jayapura</x:v>
      </x:c>
      <x:c r="Q5038" s="66" t="str">
        <x:v>https://snpmb.id/snbp/daya-tampung-snbp</x:v>
      </x:c>
      <x:c r="R5038" s="66" t="str">
        <x:v>https://sidatagrun-public-1076756628210.asia-southeast2.run.app/ptn_sn.php?ptn=911</x:v>
      </x:c>
    </x:row>
    <x:row r="5039">
      <x:c r="A5039" s="87" t="n">
        <x:v>3873</x:v>
      </x:c>
      <x:c r="B5039" s="66" t="n">
        <x:v>911</x:v>
      </x:c>
      <x:c r="C5039" s="66" t="str">
        <x:v>UNIVERSITAS CENDERAWASIH</x:v>
      </x:c>
      <x:c r="D5039" s="66" t="str">
        <x:v>PTN Akademik</x:v>
      </x:c>
      <x:c r="E5039" s="66" t="str">
        <x:v>19111038</x:v>
      </x:c>
      <x:c r="F5039" s="66" t="str">
        <x:v>PEND. BAHASA INGGRIS</x:v>
      </x:c>
      <x:c r="G5039" s="66" t="str">
        <x:v>Sarjana</x:v>
      </x:c>
      <x:c r="H5039" s="87" t="n">
        <x:v>25</x:v>
      </x:c>
      <x:c r="I5039" s="87" t="n">
        <x:v>41</x:v>
      </x:c>
      <x:c r="J5039" s="68" t="n">
        <x:f>IFERROR(H5039/I5039,"")</x:f>
        <x:v>0.6097560975609756</x:v>
      </x:c>
      <x:c r="K5039" s="69" t="n">
        <x:f>IFERROR(I5039/H5039,"")</x:f>
        <x:v>1.64</x:v>
      </x:c>
      <x:c r="L5039" s="66" t="str">
        <x:f>IF(K5039="","","1 : "&amp;TEXT(K5039,"0.0"))</x:f>
        <x:v>1 : 1.6</x:v>
      </x:c>
      <x:c r="M5039" s="66" t="str">
        <x:f>IF(J5039="","Baru/Tanpa Data",IF(J5039&lt;='Catatan &amp; Sumber'!$B$14,"Sangat Ketat",IF(J5039&lt;='Catatan &amp; Sumber'!$B$15,"Ketat",IF(J5039&lt;='Catatan &amp; Sumber'!$B$16,"Sedang","Relatif Longgar"))))</x:f>
        <x:v>Relatif Longgar</x:v>
      </x:c>
      <x:c r="N5039" s="66" t="str">
        <x:v>Tidak Ada</x:v>
      </x:c>
      <x:c r="O5039" s="66" t="str">
        <x:v>Papua</x:v>
      </x:c>
      <x:c r="P5039" s="66" t="str">
        <x:v>Kota Jayapura</x:v>
      </x:c>
      <x:c r="Q5039" s="66" t="str">
        <x:v>https://snpmb.id/snbp/daya-tampung-snbp</x:v>
      </x:c>
      <x:c r="R5039" s="66" t="str">
        <x:v>https://sidatagrun-public-1076756628210.asia-southeast2.run.app/ptn_sn.php?ptn=911</x:v>
      </x:c>
    </x:row>
    <x:row r="5040">
      <x:c r="A5040" s="87" t="n">
        <x:v>3375</x:v>
      </x:c>
      <x:c r="B5040" s="66" t="n">
        <x:v>911</x:v>
      </x:c>
      <x:c r="C5040" s="66" t="str">
        <x:v>UNIVERSITAS CENDERAWASIH</x:v>
      </x:c>
      <x:c r="D5040" s="66" t="str">
        <x:v>PTN Akademik</x:v>
      </x:c>
      <x:c r="E5040" s="66" t="str">
        <x:v>19111039</x:v>
      </x:c>
      <x:c r="F5040" s="66" t="str">
        <x:v>HUBUNGAN INTERNASIONAL</x:v>
      </x:c>
      <x:c r="G5040" s="66" t="str">
        <x:v>Sarjana</x:v>
      </x:c>
      <x:c r="H5040" s="87" t="n">
        <x:v>20</x:v>
      </x:c>
      <x:c r="I5040" s="87" t="n">
        <x:v>51</x:v>
      </x:c>
      <x:c r="J5040" s="68" t="n">
        <x:f>IFERROR(H5040/I5040,"")</x:f>
        <x:v>0.39215686274509803</x:v>
      </x:c>
      <x:c r="K5040" s="69" t="n">
        <x:f>IFERROR(I5040/H5040,"")</x:f>
        <x:v>2.55</x:v>
      </x:c>
      <x:c r="L5040" s="66" t="str">
        <x:f>IF(K5040="","","1 : "&amp;TEXT(K5040,"0.0"))</x:f>
        <x:v>1 : 2.6</x:v>
      </x:c>
      <x:c r="M5040" s="66" t="str">
        <x:f>IF(J5040="","Baru/Tanpa Data",IF(J5040&lt;='Catatan &amp; Sumber'!$B$14,"Sangat Ketat",IF(J5040&lt;='Catatan &amp; Sumber'!$B$15,"Ketat",IF(J5040&lt;='Catatan &amp; Sumber'!$B$16,"Sedang","Relatif Longgar"))))</x:f>
        <x:v>Relatif Longgar</x:v>
      </x:c>
      <x:c r="N5040" s="66" t="str">
        <x:v>Tidak Ada</x:v>
      </x:c>
      <x:c r="O5040" s="66" t="str">
        <x:v>Papua</x:v>
      </x:c>
      <x:c r="P5040" s="66" t="str">
        <x:v>Kota Jayapura</x:v>
      </x:c>
      <x:c r="Q5040" s="66" t="str">
        <x:v>https://snpmb.id/snbp/daya-tampung-snbp</x:v>
      </x:c>
      <x:c r="R5040" s="66" t="str">
        <x:v>https://sidatagrun-public-1076756628210.asia-southeast2.run.app/ptn_sn.php?ptn=911</x:v>
      </x:c>
    </x:row>
    <x:row r="5041">
      <x:c r="A5041" s="87" t="n">
        <x:v>2627</x:v>
      </x:c>
      <x:c r="B5041" s="66" t="n">
        <x:v>911</x:v>
      </x:c>
      <x:c r="C5041" s="66" t="str">
        <x:v>UNIVERSITAS CENDERAWASIH</x:v>
      </x:c>
      <x:c r="D5041" s="66" t="str">
        <x:v>PTN Akademik</x:v>
      </x:c>
      <x:c r="E5041" s="66" t="str">
        <x:v>19111040</x:v>
      </x:c>
      <x:c r="F5041" s="66" t="str">
        <x:v>PENDIDIKAN GURU SEKOLAH DASAR</x:v>
      </x:c>
      <x:c r="G5041" s="66" t="str">
        <x:v>Sarjana</x:v>
      </x:c>
      <x:c r="H5041" s="87" t="n">
        <x:v>25</x:v>
      </x:c>
      <x:c r="I5041" s="87" t="n">
        <x:v>108</x:v>
      </x:c>
      <x:c r="J5041" s="68" t="n">
        <x:f>IFERROR(H5041/I5041,"")</x:f>
        <x:v>0.23148148148148148</x:v>
      </x:c>
      <x:c r="K5041" s="69" t="n">
        <x:f>IFERROR(I5041/H5041,"")</x:f>
        <x:v>4.32</x:v>
      </x:c>
      <x:c r="L5041" s="66" t="str">
        <x:f>IF(K5041="","","1 : "&amp;TEXT(K5041,"0.0"))</x:f>
        <x:v>1 : 4.3</x:v>
      </x:c>
      <x:c r="M5041" s="66" t="str">
        <x:f>IF(J5041="","Baru/Tanpa Data",IF(J5041&lt;='Catatan &amp; Sumber'!$B$14,"Sangat Ketat",IF(J5041&lt;='Catatan &amp; Sumber'!$B$15,"Ketat",IF(J5041&lt;='Catatan &amp; Sumber'!$B$16,"Sedang","Relatif Longgar"))))</x:f>
        <x:v>Relatif Longgar</x:v>
      </x:c>
      <x:c r="N5041" s="66" t="str">
        <x:v>Tidak Ada</x:v>
      </x:c>
      <x:c r="O5041" s="66" t="str">
        <x:v>Papua</x:v>
      </x:c>
      <x:c r="P5041" s="66" t="str">
        <x:v>Kota Jayapura</x:v>
      </x:c>
      <x:c r="Q5041" s="66" t="str">
        <x:v>https://snpmb.id/snbp/daya-tampung-snbp</x:v>
      </x:c>
      <x:c r="R5041" s="66" t="str">
        <x:v>https://sidatagrun-public-1076756628210.asia-southeast2.run.app/ptn_sn.php?ptn=911</x:v>
      </x:c>
    </x:row>
    <x:row r="5042">
      <x:c r="A5042" s="87" t="n">
        <x:v>4826</x:v>
      </x:c>
      <x:c r="B5042" s="66" t="n">
        <x:v>911</x:v>
      </x:c>
      <x:c r="C5042" s="66" t="str">
        <x:v>UNIVERSITAS CENDERAWASIH</x:v>
      </x:c>
      <x:c r="D5042" s="66" t="str">
        <x:v>PTN Akademik</x:v>
      </x:c>
      <x:c r="E5042" s="66" t="str">
        <x:v>19111041</x:v>
      </x:c>
      <x:c r="F5042" s="66" t="str">
        <x:v>PENDIDKAN JASMANI KESEHATAN REKREASI</x:v>
      </x:c>
      <x:c r="G5042" s="66" t="str">
        <x:v>Sarjana</x:v>
      </x:c>
      <x:c r="H5042" s="87" t="n">
        <x:v>25</x:v>
      </x:c>
      <x:c r="I5042" s="87" t="n">
        <x:v>6</x:v>
      </x:c>
      <x:c r="J5042" s="68" t="n">
        <x:f>IFERROR(H5042/I5042,"")</x:f>
        <x:v>4.166666666666667</x:v>
      </x:c>
      <x:c r="K5042" s="69" t="n">
        <x:f>IFERROR(I5042/H5042,"")</x:f>
        <x:v>0.24</x:v>
      </x:c>
      <x:c r="L5042" s="66" t="str">
        <x:f>IF(K5042="","","1 : "&amp;TEXT(K5042,"0.0"))</x:f>
        <x:v>1 : 0.2</x:v>
      </x:c>
      <x:c r="M5042" s="66" t="str">
        <x:f>IF(J5042="","Baru/Tanpa Data",IF(J5042&lt;='Catatan &amp; Sumber'!$B$14,"Sangat Ketat",IF(J5042&lt;='Catatan &amp; Sumber'!$B$15,"Ketat",IF(J5042&lt;='Catatan &amp; Sumber'!$B$16,"Sedang","Relatif Longgar"))))</x:f>
        <x:v>Relatif Longgar</x:v>
      </x:c>
      <x:c r="N5042" s="66" t="str">
        <x:v>Olahraga</x:v>
      </x:c>
      <x:c r="O5042" s="66" t="str">
        <x:v>Papua</x:v>
      </x:c>
      <x:c r="P5042" s="66" t="str">
        <x:v>Kota Jayapura</x:v>
      </x:c>
      <x:c r="Q5042" s="66" t="str">
        <x:v>https://snpmb.id/snbp/daya-tampung-snbp</x:v>
      </x:c>
      <x:c r="R5042" s="66" t="str">
        <x:v>https://sidatagrun-public-1076756628210.asia-southeast2.run.app/ptn_sn.php?ptn=911</x:v>
      </x:c>
    </x:row>
    <x:row r="5043">
      <x:c r="A5043" s="87" t="n">
        <x:v>4701</x:v>
      </x:c>
      <x:c r="B5043" s="66" t="n">
        <x:v>911</x:v>
      </x:c>
      <x:c r="C5043" s="66" t="str">
        <x:v>UNIVERSITAS CENDERAWASIH</x:v>
      </x:c>
      <x:c r="D5043" s="66" t="str">
        <x:v>PTN Akademik</x:v>
      </x:c>
      <x:c r="E5043" s="66" t="str">
        <x:v>19111042</x:v>
      </x:c>
      <x:c r="F5043" s="66" t="str">
        <x:v>PG PAUD</x:v>
      </x:c>
      <x:c r="G5043" s="66" t="str">
        <x:v>Sarjana</x:v>
      </x:c>
      <x:c r="H5043" s="87" t="n">
        <x:v>25</x:v>
      </x:c>
      <x:c r="I5043" s="87" t="n">
        <x:v>11</x:v>
      </x:c>
      <x:c r="J5043" s="68" t="n">
        <x:f>IFERROR(H5043/I5043,"")</x:f>
        <x:v>2.272727272727273</x:v>
      </x:c>
      <x:c r="K5043" s="69" t="n">
        <x:f>IFERROR(I5043/H5043,"")</x:f>
        <x:v>0.44</x:v>
      </x:c>
      <x:c r="L5043" s="66" t="str">
        <x:f>IF(K5043="","","1 : "&amp;TEXT(K5043,"0.0"))</x:f>
        <x:v>1 : 0.4</x:v>
      </x:c>
      <x:c r="M5043" s="66" t="str">
        <x:f>IF(J5043="","Baru/Tanpa Data",IF(J5043&lt;='Catatan &amp; Sumber'!$B$14,"Sangat Ketat",IF(J5043&lt;='Catatan &amp; Sumber'!$B$15,"Ketat",IF(J5043&lt;='Catatan &amp; Sumber'!$B$16,"Sedang","Relatif Longgar"))))</x:f>
        <x:v>Relatif Longgar</x:v>
      </x:c>
      <x:c r="N5043" s="66" t="str">
        <x:v>Tidak Ada</x:v>
      </x:c>
      <x:c r="O5043" s="66" t="str">
        <x:v>Papua</x:v>
      </x:c>
      <x:c r="P5043" s="66" t="str">
        <x:v>Kota Jayapura</x:v>
      </x:c>
      <x:c r="Q5043" s="66" t="str">
        <x:v>https://snpmb.id/snbp/daya-tampung-snbp</x:v>
      </x:c>
      <x:c r="R5043" s="66" t="str">
        <x:v>https://sidatagrun-public-1076756628210.asia-southeast2.run.app/ptn_sn.php?ptn=911</x:v>
      </x:c>
    </x:row>
    <x:row r="5044">
      <x:c r="A5044" s="87" t="n">
        <x:v>4841</x:v>
      </x:c>
      <x:c r="B5044" s="66" t="n">
        <x:v>911</x:v>
      </x:c>
      <x:c r="C5044" s="66" t="str">
        <x:v>UNIVERSITAS CENDERAWASIH</x:v>
      </x:c>
      <x:c r="D5044" s="66" t="str">
        <x:v>PTN Akademik</x:v>
      </x:c>
      <x:c r="E5044" s="66" t="str">
        <x:v>19111043</x:v>
      </x:c>
      <x:c r="F5044" s="66" t="str">
        <x:v>ILMU PERPUSTAKAAN</x:v>
      </x:c>
      <x:c r="G5044" s="66" t="str">
        <x:v>Sarjana</x:v>
      </x:c>
      <x:c r="H5044" s="87" t="n">
        <x:v>20</x:v>
      </x:c>
      <x:c r="I5044" s="87" t="n">
        <x:v>4</x:v>
      </x:c>
      <x:c r="J5044" s="68" t="n">
        <x:f>IFERROR(H5044/I5044,"")</x:f>
        <x:v>5</x:v>
      </x:c>
      <x:c r="K5044" s="69" t="n">
        <x:f>IFERROR(I5044/H5044,"")</x:f>
        <x:v>0.2</x:v>
      </x:c>
      <x:c r="L5044" s="66" t="str">
        <x:f>IF(K5044="","","1 : "&amp;TEXT(K5044,"0.0"))</x:f>
        <x:v>1 : 0.2</x:v>
      </x:c>
      <x:c r="M5044" s="66" t="str">
        <x:f>IF(J5044="","Baru/Tanpa Data",IF(J5044&lt;='Catatan &amp; Sumber'!$B$14,"Sangat Ketat",IF(J5044&lt;='Catatan &amp; Sumber'!$B$15,"Ketat",IF(J5044&lt;='Catatan &amp; Sumber'!$B$16,"Sedang","Relatif Longgar"))))</x:f>
        <x:v>Relatif Longgar</x:v>
      </x:c>
      <x:c r="N5044" s="66" t="str">
        <x:v>Tidak Ada</x:v>
      </x:c>
      <x:c r="O5044" s="66" t="str">
        <x:v>Papua</x:v>
      </x:c>
      <x:c r="P5044" s="66" t="str">
        <x:v>Kota Jayapura</x:v>
      </x:c>
      <x:c r="Q5044" s="66" t="str">
        <x:v>https://snpmb.id/snbp/daya-tampung-snbp</x:v>
      </x:c>
      <x:c r="R5044" s="66" t="str">
        <x:v>https://sidatagrun-public-1076756628210.asia-southeast2.run.app/ptn_sn.php?ptn=911</x:v>
      </x:c>
    </x:row>
    <x:row r="5045">
      <x:c r="A5045" s="87" t="n">
        <x:v>2829</x:v>
      </x:c>
      <x:c r="B5045" s="66" t="n">
        <x:v>911</x:v>
      </x:c>
      <x:c r="C5045" s="66" t="str">
        <x:v>UNIVERSITAS CENDERAWASIH</x:v>
      </x:c>
      <x:c r="D5045" s="66" t="str">
        <x:v>PTN Akademik</x:v>
      </x:c>
      <x:c r="E5045" s="66" t="str">
        <x:v>19111044</x:v>
      </x:c>
      <x:c r="F5045" s="66" t="str">
        <x:v>MANAJEMEN ADMINISTRASI PERKANTORAN</x:v>
      </x:c>
      <x:c r="G5045" s="66" t="str">
        <x:v>Sarjana</x:v>
      </x:c>
      <x:c r="H5045" s="87" t="n">
        <x:v>20</x:v>
      </x:c>
      <x:c r="I5045" s="87" t="n">
        <x:v>76</x:v>
      </x:c>
      <x:c r="J5045" s="68" t="n">
        <x:f>IFERROR(H5045/I5045,"")</x:f>
        <x:v>0.2631578947368421</x:v>
      </x:c>
      <x:c r="K5045" s="69" t="n">
        <x:f>IFERROR(I5045/H5045,"")</x:f>
        <x:v>3.8</x:v>
      </x:c>
      <x:c r="L5045" s="66" t="str">
        <x:f>IF(K5045="","","1 : "&amp;TEXT(K5045,"0.0"))</x:f>
        <x:v>1 : 3.8</x:v>
      </x:c>
      <x:c r="M5045" s="66" t="str">
        <x:f>IF(J5045="","Baru/Tanpa Data",IF(J5045&lt;='Catatan &amp; Sumber'!$B$14,"Sangat Ketat",IF(J5045&lt;='Catatan &amp; Sumber'!$B$15,"Ketat",IF(J5045&lt;='Catatan &amp; Sumber'!$B$16,"Sedang","Relatif Longgar"))))</x:f>
        <x:v>Relatif Longgar</x:v>
      </x:c>
      <x:c r="N5045" s="66" t="str">
        <x:v>Tidak Ada</x:v>
      </x:c>
      <x:c r="O5045" s="66" t="str">
        <x:v>Papua</x:v>
      </x:c>
      <x:c r="P5045" s="66" t="str">
        <x:v>Kota Jayapura</x:v>
      </x:c>
      <x:c r="Q5045" s="66" t="str">
        <x:v>https://snpmb.id/snbp/daya-tampung-snbp</x:v>
      </x:c>
      <x:c r="R5045" s="66" t="str">
        <x:v>https://sidatagrun-public-1076756628210.asia-southeast2.run.app/ptn_sn.php?ptn=911</x:v>
      </x:c>
    </x:row>
    <x:row r="5046">
      <x:c r="A5046" s="87" t="n">
        <x:v>4826</x:v>
      </x:c>
      <x:c r="B5046" s="66" t="n">
        <x:v>911</x:v>
      </x:c>
      <x:c r="C5046" s="66" t="str">
        <x:v>UNIVERSITAS CENDERAWASIH</x:v>
      </x:c>
      <x:c r="D5046" s="66" t="str">
        <x:v>PTN Akademik</x:v>
      </x:c>
      <x:c r="E5046" s="66" t="str">
        <x:v>19111045</x:v>
      </x:c>
      <x:c r="F5046" s="66" t="str">
        <x:v>MANAJEMEN PENDIDIKAN</x:v>
      </x:c>
      <x:c r="G5046" s="66" t="str">
        <x:v>Sarjana</x:v>
      </x:c>
      <x:c r="H5046" s="87" t="n">
        <x:v>25</x:v>
      </x:c>
      <x:c r="I5046" s="87" t="n">
        <x:v>6</x:v>
      </x:c>
      <x:c r="J5046" s="68" t="n">
        <x:f>IFERROR(H5046/I5046,"")</x:f>
        <x:v>4.166666666666667</x:v>
      </x:c>
      <x:c r="K5046" s="69" t="n">
        <x:f>IFERROR(I5046/H5046,"")</x:f>
        <x:v>0.24</x:v>
      </x:c>
      <x:c r="L5046" s="66" t="str">
        <x:f>IF(K5046="","","1 : "&amp;TEXT(K5046,"0.0"))</x:f>
        <x:v>1 : 0.2</x:v>
      </x:c>
      <x:c r="M5046" s="66" t="str">
        <x:f>IF(J5046="","Baru/Tanpa Data",IF(J5046&lt;='Catatan &amp; Sumber'!$B$14,"Sangat Ketat",IF(J5046&lt;='Catatan &amp; Sumber'!$B$15,"Ketat",IF(J5046&lt;='Catatan &amp; Sumber'!$B$16,"Sedang","Relatif Longgar"))))</x:f>
        <x:v>Relatif Longgar</x:v>
      </x:c>
      <x:c r="N5046" s="66" t="str">
        <x:v>Tidak Ada</x:v>
      </x:c>
      <x:c r="O5046" s="66" t="str">
        <x:v>Papua</x:v>
      </x:c>
      <x:c r="P5046" s="66" t="str">
        <x:v>Kota Jayapura</x:v>
      </x:c>
      <x:c r="Q5046" s="66" t="str">
        <x:v>https://snpmb.id/snbp/daya-tampung-snbp</x:v>
      </x:c>
      <x:c r="R5046" s="66" t="str">
        <x:v>https://sidatagrun-public-1076756628210.asia-southeast2.run.app/ptn_sn.php?ptn=911</x:v>
      </x:c>
    </x:row>
    <x:row r="5047">
      <x:c r="A5047" s="87" t="n">
        <x:v>4894</x:v>
      </x:c>
      <x:c r="B5047" s="66" t="n">
        <x:v>911</x:v>
      </x:c>
      <x:c r="C5047" s="66" t="str">
        <x:v>UNIVERSITAS CENDERAWASIH</x:v>
      </x:c>
      <x:c r="D5047" s="66" t="str">
        <x:v>PTN Akademik</x:v>
      </x:c>
      <x:c r="E5047" s="66" t="str">
        <x:v>19111046</x:v>
      </x:c>
      <x:c r="F5047" s="66" t="str">
        <x:v>PENDIDIKAN KEPELATIHAN OLAHRAGA</x:v>
      </x:c>
      <x:c r="G5047" s="66" t="str">
        <x:v>Sarjana</x:v>
      </x:c>
      <x:c r="H5047" s="87" t="n">
        <x:v>50</x:v>
      </x:c>
      <x:c r="I5047" s="87" t="n">
        <x:v>4</x:v>
      </x:c>
      <x:c r="J5047" s="68" t="n">
        <x:f>IFERROR(H5047/I5047,"")</x:f>
        <x:v>12.5</x:v>
      </x:c>
      <x:c r="K5047" s="69" t="n">
        <x:f>IFERROR(I5047/H5047,"")</x:f>
        <x:v>0.08</x:v>
      </x:c>
      <x:c r="L5047" s="66" t="str">
        <x:f>IF(K5047="","","1 : "&amp;TEXT(K5047,"0.0"))</x:f>
        <x:v>1 : 0.1</x:v>
      </x:c>
      <x:c r="M5047" s="66" t="str">
        <x:f>IF(J5047="","Baru/Tanpa Data",IF(J5047&lt;='Catatan &amp; Sumber'!$B$14,"Sangat Ketat",IF(J5047&lt;='Catatan &amp; Sumber'!$B$15,"Ketat",IF(J5047&lt;='Catatan &amp; Sumber'!$B$16,"Sedang","Relatif Longgar"))))</x:f>
        <x:v>Relatif Longgar</x:v>
      </x:c>
      <x:c r="N5047" s="66" t="str">
        <x:v>Olahraga</x:v>
      </x:c>
      <x:c r="O5047" s="66" t="str">
        <x:v>Papua</x:v>
      </x:c>
      <x:c r="P5047" s="66" t="str">
        <x:v>Kota Jayapura</x:v>
      </x:c>
      <x:c r="Q5047" s="66" t="str">
        <x:v>https://snpmb.id/snbp/daya-tampung-snbp</x:v>
      </x:c>
      <x:c r="R5047" s="66" t="str">
        <x:v>https://sidatagrun-public-1076756628210.asia-southeast2.run.app/ptn_sn.php?ptn=911</x:v>
      </x:c>
    </x:row>
    <x:row r="5048">
      <x:c r="A5048" s="87" t="n">
        <x:v>3838</x:v>
      </x:c>
      <x:c r="B5048" s="66" t="n">
        <x:v>911</x:v>
      </x:c>
      <x:c r="C5048" s="66" t="str">
        <x:v>UNIVERSITAS CENDERAWASIH</x:v>
      </x:c>
      <x:c r="D5048" s="66" t="str">
        <x:v>PTN Akademik</x:v>
      </x:c>
      <x:c r="E5048" s="66" t="str">
        <x:v>19111054</x:v>
      </x:c>
      <x:c r="F5048" s="66" t="str">
        <x:v>TEKNIK GEOLOGI</x:v>
      </x:c>
      <x:c r="G5048" s="66" t="str">
        <x:v>Sarjana</x:v>
      </x:c>
      <x:c r="H5048" s="87" t="n">
        <x:v>13</x:v>
      </x:c>
      <x:c r="I5048" s="87" t="n">
        <x:v>22</x:v>
      </x:c>
      <x:c r="J5048" s="68" t="n">
        <x:f>IFERROR(H5048/I5048,"")</x:f>
        <x:v>0.5909090909090909</x:v>
      </x:c>
      <x:c r="K5048" s="69" t="n">
        <x:f>IFERROR(I5048/H5048,"")</x:f>
        <x:v>1.6923076923076923</x:v>
      </x:c>
      <x:c r="L5048" s="66" t="str">
        <x:f>IF(K5048="","","1 : "&amp;TEXT(K5048,"0.0"))</x:f>
        <x:v>1 : 1.7</x:v>
      </x:c>
      <x:c r="M5048" s="66" t="str">
        <x:f>IF(J5048="","Baru/Tanpa Data",IF(J5048&lt;='Catatan &amp; Sumber'!$B$14,"Sangat Ketat",IF(J5048&lt;='Catatan &amp; Sumber'!$B$15,"Ketat",IF(J5048&lt;='Catatan &amp; Sumber'!$B$16,"Sedang","Relatif Longgar"))))</x:f>
        <x:v>Relatif Longgar</x:v>
      </x:c>
      <x:c r="N5048" s="66" t="str">
        <x:v>Tidak Ada</x:v>
      </x:c>
      <x:c r="O5048" s="66" t="str">
        <x:v>Papua</x:v>
      </x:c>
      <x:c r="P5048" s="66" t="str">
        <x:v>Kota Jayapura</x:v>
      </x:c>
      <x:c r="Q5048" s="66" t="str">
        <x:v>https://snpmb.id/snbp/daya-tampung-snbp</x:v>
      </x:c>
      <x:c r="R5048" s="66" t="str">
        <x:v>https://sidatagrun-public-1076756628210.asia-southeast2.run.app/ptn_sn.php?ptn=911</x:v>
      </x:c>
    </x:row>
    <x:row r="5049">
      <x:c r="A5049" s="87" t="n">
        <x:v>4305</x:v>
      </x:c>
      <x:c r="B5049" s="66" t="n">
        <x:v>911</x:v>
      </x:c>
      <x:c r="C5049" s="66" t="str">
        <x:v>UNIVERSITAS CENDERAWASIH</x:v>
      </x:c>
      <x:c r="D5049" s="66" t="str">
        <x:v>PTN Akademik</x:v>
      </x:c>
      <x:c r="E5049" s="66" t="str">
        <x:v>19111055</x:v>
      </x:c>
      <x:c r="F5049" s="66" t="str">
        <x:v>TEKNOLOGI PANGAN</x:v>
      </x:c>
      <x:c r="G5049" s="66" t="str">
        <x:v>Sarjana</x:v>
      </x:c>
      <x:c r="H5049" s="87" t="n">
        <x:v>10</x:v>
      </x:c>
      <x:c r="I5049" s="87" t="n">
        <x:v>10</x:v>
      </x:c>
      <x:c r="J5049" s="68" t="n">
        <x:f>IFERROR(H5049/I5049,"")</x:f>
        <x:v>1</x:v>
      </x:c>
      <x:c r="K5049" s="69" t="n">
        <x:f>IFERROR(I5049/H5049,"")</x:f>
        <x:v>1</x:v>
      </x:c>
      <x:c r="L5049" s="66" t="str">
        <x:f>IF(K5049="","","1 : "&amp;TEXT(K5049,"0.0"))</x:f>
        <x:v>1 : 1.0</x:v>
      </x:c>
      <x:c r="M5049" s="66" t="str">
        <x:f>IF(J5049="","Baru/Tanpa Data",IF(J5049&lt;='Catatan &amp; Sumber'!$B$14,"Sangat Ketat",IF(J5049&lt;='Catatan &amp; Sumber'!$B$15,"Ketat",IF(J5049&lt;='Catatan &amp; Sumber'!$B$16,"Sedang","Relatif Longgar"))))</x:f>
        <x:v>Relatif Longgar</x:v>
      </x:c>
      <x:c r="N5049" s="66" t="str">
        <x:v>Tidak Ada</x:v>
      </x:c>
      <x:c r="O5049" s="66" t="str">
        <x:v>Papua</x:v>
      </x:c>
      <x:c r="P5049" s="66" t="str">
        <x:v>Kota Jayapura</x:v>
      </x:c>
      <x:c r="Q5049" s="66" t="str">
        <x:v>https://snpmb.id/snbp/daya-tampung-snbp</x:v>
      </x:c>
      <x:c r="R5049" s="66" t="str">
        <x:v>https://sidatagrun-public-1076756628210.asia-southeast2.run.app/ptn_sn.php?ptn=911</x:v>
      </x:c>
    </x:row>
    <x:row r="5050">
      <x:c r="A5050" s="87" t="n">
        <x:v>4652</x:v>
      </x:c>
      <x:c r="B5050" s="66" t="n">
        <x:v>911</x:v>
      </x:c>
      <x:c r="C5050" s="66" t="str">
        <x:v>UNIVERSITAS CENDERAWASIH</x:v>
      </x:c>
      <x:c r="D5050" s="66" t="str">
        <x:v>PTN Akademik</x:v>
      </x:c>
      <x:c r="E5050" s="66" t="str">
        <x:v>19111056</x:v>
      </x:c>
      <x:c r="F5050" s="66" t="str">
        <x:v>SOSIOLOGI</x:v>
      </x:c>
      <x:c r="G5050" s="66" t="str">
        <x:v>Sarjana</x:v>
      </x:c>
      <x:c r="H5050" s="87" t="n">
        <x:v>20</x:v>
      </x:c>
      <x:c r="I5050" s="87" t="n">
        <x:v>10</x:v>
      </x:c>
      <x:c r="J5050" s="68" t="n">
        <x:f>IFERROR(H5050/I5050,"")</x:f>
        <x:v>2</x:v>
      </x:c>
      <x:c r="K5050" s="69" t="n">
        <x:f>IFERROR(I5050/H5050,"")</x:f>
        <x:v>0.5</x:v>
      </x:c>
      <x:c r="L5050" s="66" t="str">
        <x:f>IF(K5050="","","1 : "&amp;TEXT(K5050,"0.0"))</x:f>
        <x:v>1 : 0.5</x:v>
      </x:c>
      <x:c r="M5050" s="66" t="str">
        <x:f>IF(J5050="","Baru/Tanpa Data",IF(J5050&lt;='Catatan &amp; Sumber'!$B$14,"Sangat Ketat",IF(J5050&lt;='Catatan &amp; Sumber'!$B$15,"Ketat",IF(J5050&lt;='Catatan &amp; Sumber'!$B$16,"Sedang","Relatif Longgar"))))</x:f>
        <x:v>Relatif Longgar</x:v>
      </x:c>
      <x:c r="N5050" s="66" t="str">
        <x:v>Tidak Ada</x:v>
      </x:c>
      <x:c r="O5050" s="66" t="str">
        <x:v>Papua</x:v>
      </x:c>
      <x:c r="P5050" s="66" t="str">
        <x:v>Kota Jayapura</x:v>
      </x:c>
      <x:c r="Q5050" s="66" t="str">
        <x:v>https://snpmb.id/snbp/daya-tampung-snbp</x:v>
      </x:c>
      <x:c r="R5050" s="66" t="str">
        <x:v>https://sidatagrun-public-1076756628210.asia-southeast2.run.app/ptn_sn.php?ptn=911</x:v>
      </x:c>
    </x:row>
    <x:row r="5051">
      <x:c r="A5051" s="87"/>
      <x:c r="B5051" s="66" t="n">
        <x:v>911</x:v>
      </x:c>
      <x:c r="C5051" s="66" t="str">
        <x:v>UNIVERSITAS CENDERAWASIH</x:v>
      </x:c>
      <x:c r="D5051" s="66" t="str">
        <x:v>PTN Akademik</x:v>
      </x:c>
      <x:c r="E5051" s="66" t="str">
        <x:v>19111057</x:v>
      </x:c>
      <x:c r="F5051" s="66" t="str">
        <x:v>PSIKOLOGI</x:v>
      </x:c>
      <x:c r="G5051" s="66" t="str">
        <x:v>Sarjana</x:v>
      </x:c>
      <x:c r="H5051" s="87" t="n">
        <x:v>10</x:v>
      </x:c>
      <x:c r="I5051" s="87"/>
      <x:c r="J5051" s="68" t="str">
        <x:f>IFERROR(H5051/I5051,"")</x:f>
      </x:c>
      <x:c r="K5051" s="69" t="n">
        <x:f>IFERROR(I5051/H5051,"")</x:f>
        <x:v>0</x:v>
      </x:c>
      <x:c r="L5051" s="66" t="str">
        <x:f>IF(K5051="","","1 : "&amp;TEXT(K5051,"0.0"))</x:f>
      </x:c>
      <x:c r="M5051" s="66" t="str">
        <x:f>IF(J5051="","Baru/Tanpa Data",IF(J5051&lt;='Catatan &amp; Sumber'!$B$14,"Sangat Ketat",IF(J5051&lt;='Catatan &amp; Sumber'!$B$15,"Ketat",IF(J5051&lt;='Catatan &amp; Sumber'!$B$16,"Sedang","Relatif Longgar"))))</x:f>
        <x:v>Baru/Tanpa Data</x:v>
      </x:c>
      <x:c r="N5051" s="66" t="str">
        <x:v>Tidak Ada</x:v>
      </x:c>
      <x:c r="O5051" s="66" t="str">
        <x:v>Papua</x:v>
      </x:c>
      <x:c r="P5051" s="66" t="str">
        <x:v>Kota Jayapura</x:v>
      </x:c>
      <x:c r="Q5051" s="66" t="str">
        <x:v>https://snpmb.id/snbp/daya-tampung-snbp</x:v>
      </x:c>
      <x:c r="R5051" s="66" t="str">
        <x:v>https://sidatagrun-public-1076756628210.asia-southeast2.run.app/ptn_sn.php?ptn=911</x:v>
      </x:c>
    </x:row>
    <x:row r="5052">
      <x:c r="A5052" s="87"/>
      <x:c r="B5052" s="66" t="n">
        <x:v>911</x:v>
      </x:c>
      <x:c r="C5052" s="66" t="str">
        <x:v>UNIVERSITAS CENDERAWASIH</x:v>
      </x:c>
      <x:c r="D5052" s="66" t="str">
        <x:v>PTN Akademik</x:v>
      </x:c>
      <x:c r="E5052" s="66" t="str">
        <x:v>19111058</x:v>
      </x:c>
      <x:c r="F5052" s="66" t="str">
        <x:v>PARIWISATA</x:v>
      </x:c>
      <x:c r="G5052" s="66" t="str">
        <x:v>Sarjana</x:v>
      </x:c>
      <x:c r="H5052" s="87" t="n">
        <x:v>13</x:v>
      </x:c>
      <x:c r="I5052" s="87"/>
      <x:c r="J5052" s="68" t="str">
        <x:f>IFERROR(H5052/I5052,"")</x:f>
      </x:c>
      <x:c r="K5052" s="69" t="n">
        <x:f>IFERROR(I5052/H5052,"")</x:f>
        <x:v>0</x:v>
      </x:c>
      <x:c r="L5052" s="66" t="str">
        <x:f>IF(K5052="","","1 : "&amp;TEXT(K5052,"0.0"))</x:f>
      </x:c>
      <x:c r="M5052" s="66" t="str">
        <x:f>IF(J5052="","Baru/Tanpa Data",IF(J5052&lt;='Catatan &amp; Sumber'!$B$14,"Sangat Ketat",IF(J5052&lt;='Catatan &amp; Sumber'!$B$15,"Ketat",IF(J5052&lt;='Catatan &amp; Sumber'!$B$16,"Sedang","Relatif Longgar"))))</x:f>
        <x:v>Baru/Tanpa Data</x:v>
      </x:c>
      <x:c r="N5052" s="66" t="str">
        <x:v>Tidak Ada</x:v>
      </x:c>
      <x:c r="O5052" s="66" t="str">
        <x:v>Papua</x:v>
      </x:c>
      <x:c r="P5052" s="66" t="str">
        <x:v>Kota Jayapura</x:v>
      </x:c>
      <x:c r="Q5052" s="66" t="str">
        <x:v>https://snpmb.id/snbp/daya-tampung-snbp</x:v>
      </x:c>
      <x:c r="R5052" s="66" t="str">
        <x:v>https://sidatagrun-public-1076756628210.asia-southeast2.run.app/ptn_sn.php?ptn=911</x:v>
      </x:c>
    </x:row>
    <x:row r="5053">
      <x:c r="A5053" s="87"/>
      <x:c r="B5053" s="66" t="n">
        <x:v>911</x:v>
      </x:c>
      <x:c r="C5053" s="66" t="str">
        <x:v>UNIVERSITAS CENDERAWASIH</x:v>
      </x:c>
      <x:c r="D5053" s="66" t="str">
        <x:v>PTN Akademik</x:v>
      </x:c>
      <x:c r="E5053" s="66" t="str">
        <x:v>19113048</x:v>
      </x:c>
      <x:c r="F5053" s="66" t="str">
        <x:v>TEKNIK MINERAL</x:v>
      </x:c>
      <x:c r="G5053" s="66" t="str">
        <x:v>Diploma Tiga</x:v>
      </x:c>
      <x:c r="H5053" s="87" t="n">
        <x:v>9</x:v>
      </x:c>
      <x:c r="I5053" s="87"/>
      <x:c r="J5053" s="68" t="str">
        <x:f>IFERROR(H5053/I5053,"")</x:f>
      </x:c>
      <x:c r="K5053" s="69" t="n">
        <x:f>IFERROR(I5053/H5053,"")</x:f>
        <x:v>0</x:v>
      </x:c>
      <x:c r="L5053" s="66" t="str">
        <x:f>IF(K5053="","","1 : "&amp;TEXT(K5053,"0.0"))</x:f>
      </x:c>
      <x:c r="M5053" s="66" t="str">
        <x:f>IF(J5053="","Baru/Tanpa Data",IF(J5053&lt;='Catatan &amp; Sumber'!$B$14,"Sangat Ketat",IF(J5053&lt;='Catatan &amp; Sumber'!$B$15,"Ketat",IF(J5053&lt;='Catatan &amp; Sumber'!$B$16,"Sedang","Relatif Longgar"))))</x:f>
        <x:v>Baru/Tanpa Data</x:v>
      </x:c>
      <x:c r="N5053" s="66" t="str">
        <x:v>Tidak Ada</x:v>
      </x:c>
      <x:c r="O5053" s="66" t="str">
        <x:v>Papua</x:v>
      </x:c>
      <x:c r="P5053" s="66" t="str">
        <x:v>Kota Jayapura</x:v>
      </x:c>
      <x:c r="Q5053" s="66" t="str">
        <x:v>https://snpmb.id/snbp/daya-tampung-snbp</x:v>
      </x:c>
      <x:c r="R5053" s="66" t="str">
        <x:v>https://sidatagrun-public-1076756628210.asia-southeast2.run.app/ptn_sn.php?ptn=911</x:v>
      </x:c>
    </x:row>
    <x:row r="5054">
      <x:c r="A5054" s="87" t="n">
        <x:v>4759</x:v>
      </x:c>
      <x:c r="B5054" s="66" t="n">
        <x:v>911</x:v>
      </x:c>
      <x:c r="C5054" s="66" t="str">
        <x:v>UNIVERSITAS CENDERAWASIH</x:v>
      </x:c>
      <x:c r="D5054" s="66" t="str">
        <x:v>PTN Akademik</x:v>
      </x:c>
      <x:c r="E5054" s="66" t="str">
        <x:v>19113049</x:v>
      </x:c>
      <x:c r="F5054" s="66" t="str">
        <x:v>TEKNIK ELEKTRONIKA</x:v>
      </x:c>
      <x:c r="G5054" s="66" t="str">
        <x:v>Diploma Tiga</x:v>
      </x:c>
      <x:c r="H5054" s="87" t="n">
        <x:v>9</x:v>
      </x:c>
      <x:c r="I5054" s="87" t="n">
        <x:v>3</x:v>
      </x:c>
      <x:c r="J5054" s="68" t="n">
        <x:f>IFERROR(H5054/I5054,"")</x:f>
        <x:v>3</x:v>
      </x:c>
      <x:c r="K5054" s="69" t="n">
        <x:f>IFERROR(I5054/H5054,"")</x:f>
        <x:v>0.3333333333333333</x:v>
      </x:c>
      <x:c r="L5054" s="66" t="str">
        <x:f>IF(K5054="","","1 : "&amp;TEXT(K5054,"0.0"))</x:f>
        <x:v>1 : 0.3</x:v>
      </x:c>
      <x:c r="M5054" s="66" t="str">
        <x:f>IF(J5054="","Baru/Tanpa Data",IF(J5054&lt;='Catatan &amp; Sumber'!$B$14,"Sangat Ketat",IF(J5054&lt;='Catatan &amp; Sumber'!$B$15,"Ketat",IF(J5054&lt;='Catatan &amp; Sumber'!$B$16,"Sedang","Relatif Longgar"))))</x:f>
        <x:v>Relatif Longgar</x:v>
      </x:c>
      <x:c r="N5054" s="66" t="str">
        <x:v>Tidak Ada</x:v>
      </x:c>
      <x:c r="O5054" s="66" t="str">
        <x:v>Papua</x:v>
      </x:c>
      <x:c r="P5054" s="66" t="str">
        <x:v>Kota Jayapura</x:v>
      </x:c>
      <x:c r="Q5054" s="66" t="str">
        <x:v>https://snpmb.id/snbp/daya-tampung-snbp</x:v>
      </x:c>
      <x:c r="R5054" s="66" t="str">
        <x:v>https://sidatagrun-public-1076756628210.asia-southeast2.run.app/ptn_sn.php?ptn=911</x:v>
      </x:c>
    </x:row>
    <x:row r="5055">
      <x:c r="A5055" s="87" t="n">
        <x:v>4841</x:v>
      </x:c>
      <x:c r="B5055" s="66" t="n">
        <x:v>911</x:v>
      </x:c>
      <x:c r="C5055" s="66" t="str">
        <x:v>UNIVERSITAS CENDERAWASIH</x:v>
      </x:c>
      <x:c r="D5055" s="66" t="str">
        <x:v>PTN Akademik</x:v>
      </x:c>
      <x:c r="E5055" s="66" t="str">
        <x:v>19113051</x:v>
      </x:c>
      <x:c r="F5055" s="66" t="str">
        <x:v>TEKNIK SIPIL</x:v>
      </x:c>
      <x:c r="G5055" s="66" t="str">
        <x:v>Diploma Tiga</x:v>
      </x:c>
      <x:c r="H5055" s="87" t="n">
        <x:v>10</x:v>
      </x:c>
      <x:c r="I5055" s="87" t="n">
        <x:v>2</x:v>
      </x:c>
      <x:c r="J5055" s="68" t="n">
        <x:f>IFERROR(H5055/I5055,"")</x:f>
        <x:v>5</x:v>
      </x:c>
      <x:c r="K5055" s="69" t="n">
        <x:f>IFERROR(I5055/H5055,"")</x:f>
        <x:v>0.2</x:v>
      </x:c>
      <x:c r="L5055" s="66" t="str">
        <x:f>IF(K5055="","","1 : "&amp;TEXT(K5055,"0.0"))</x:f>
        <x:v>1 : 0.2</x:v>
      </x:c>
      <x:c r="M5055" s="66" t="str">
        <x:f>IF(J5055="","Baru/Tanpa Data",IF(J5055&lt;='Catatan &amp; Sumber'!$B$14,"Sangat Ketat",IF(J5055&lt;='Catatan &amp; Sumber'!$B$15,"Ketat",IF(J5055&lt;='Catatan &amp; Sumber'!$B$16,"Sedang","Relatif Longgar"))))</x:f>
        <x:v>Relatif Longgar</x:v>
      </x:c>
      <x:c r="N5055" s="66" t="str">
        <x:v>Tidak Ada</x:v>
      </x:c>
      <x:c r="O5055" s="66" t="str">
        <x:v>Papua</x:v>
      </x:c>
      <x:c r="P5055" s="66" t="str">
        <x:v>Kota Jayapura</x:v>
      </x:c>
      <x:c r="Q5055" s="66" t="str">
        <x:v>https://snpmb.id/snbp/daya-tampung-snbp</x:v>
      </x:c>
      <x:c r="R5055" s="66" t="str">
        <x:v>https://sidatagrun-public-1076756628210.asia-southeast2.run.app/ptn_sn.php?ptn=911</x:v>
      </x:c>
    </x:row>
    <x:row r="5056">
      <x:c r="A5056" s="87" t="n">
        <x:v>4882</x:v>
      </x:c>
      <x:c r="B5056" s="66" t="n">
        <x:v>911</x:v>
      </x:c>
      <x:c r="C5056" s="66" t="str">
        <x:v>UNIVERSITAS CENDERAWASIH</x:v>
      </x:c>
      <x:c r="D5056" s="66" t="str">
        <x:v>PTN Akademik</x:v>
      </x:c>
      <x:c r="E5056" s="66" t="str">
        <x:v>19113053</x:v>
      </x:c>
      <x:c r="F5056" s="66" t="str">
        <x:v>TEKNIK MESIN</x:v>
      </x:c>
      <x:c r="G5056" s="66" t="str">
        <x:v>Diploma Tiga</x:v>
      </x:c>
      <x:c r="H5056" s="87" t="n">
        <x:v>9</x:v>
      </x:c>
      <x:c r="I5056" s="87" t="n">
        <x:v>1</x:v>
      </x:c>
      <x:c r="J5056" s="68" t="n">
        <x:f>IFERROR(H5056/I5056,"")</x:f>
        <x:v>9</x:v>
      </x:c>
      <x:c r="K5056" s="69" t="n">
        <x:f>IFERROR(I5056/H5056,"")</x:f>
        <x:v>0.1111111111111111</x:v>
      </x:c>
      <x:c r="L5056" s="66" t="str">
        <x:f>IF(K5056="","","1 : "&amp;TEXT(K5056,"0.0"))</x:f>
        <x:v>1 : 0.1</x:v>
      </x:c>
      <x:c r="M5056" s="66" t="str">
        <x:f>IF(J5056="","Baru/Tanpa Data",IF(J5056&lt;='Catatan &amp; Sumber'!$B$14,"Sangat Ketat",IF(J5056&lt;='Catatan &amp; Sumber'!$B$15,"Ketat",IF(J5056&lt;='Catatan &amp; Sumber'!$B$16,"Sedang","Relatif Longgar"))))</x:f>
        <x:v>Relatif Longgar</x:v>
      </x:c>
      <x:c r="N5056" s="66" t="str">
        <x:v>Tidak Ada</x:v>
      </x:c>
      <x:c r="O5056" s="66" t="str">
        <x:v>Papua</x:v>
      </x:c>
      <x:c r="P5056" s="66" t="str">
        <x:v>Kota Jayapura</x:v>
      </x:c>
      <x:c r="Q5056" s="66" t="str">
        <x:v>https://snpmb.id/snbp/daya-tampung-snbp</x:v>
      </x:c>
      <x:c r="R5056" s="66" t="str">
        <x:v>https://sidatagrun-public-1076756628210.asia-southeast2.run.app/ptn_sn.php?ptn=911</x:v>
      </x:c>
    </x:row>
    <x:row r="5057">
      <x:c r="A5057" s="87" t="n">
        <x:v>4135</x:v>
      </x:c>
      <x:c r="B5057" s="66" t="n">
        <x:v>912</x:v>
      </x:c>
      <x:c r="C5057" s="66" t="str">
        <x:v>UNIVERSITAS MUSAMUS MERAUKE</x:v>
      </x:c>
      <x:c r="D5057" s="66" t="str">
        <x:v>PTN Akademik</x:v>
      </x:c>
      <x:c r="E5057" s="66" t="str">
        <x:v>19121001</x:v>
      </x:c>
      <x:c r="F5057" s="66" t="str">
        <x:v>TEKNIK ELEKTRO</x:v>
      </x:c>
      <x:c r="G5057" s="66" t="str">
        <x:v>Sarjana</x:v>
      </x:c>
      <x:c r="H5057" s="87" t="n">
        <x:v>12</x:v>
      </x:c>
      <x:c r="I5057" s="87" t="n">
        <x:v>15</x:v>
      </x:c>
      <x:c r="J5057" s="68" t="n">
        <x:f>IFERROR(H5057/I5057,"")</x:f>
        <x:v>0.8</x:v>
      </x:c>
      <x:c r="K5057" s="69" t="n">
        <x:f>IFERROR(I5057/H5057,"")</x:f>
        <x:v>1.25</x:v>
      </x:c>
      <x:c r="L5057" s="66" t="str">
        <x:f>IF(K5057="","","1 : "&amp;TEXT(K5057,"0.0"))</x:f>
        <x:v>1 : 1.3</x:v>
      </x:c>
      <x:c r="M5057" s="66" t="str">
        <x:f>IF(J5057="","Baru/Tanpa Data",IF(J5057&lt;='Catatan &amp; Sumber'!$B$14,"Sangat Ketat",IF(J5057&lt;='Catatan &amp; Sumber'!$B$15,"Ketat",IF(J5057&lt;='Catatan &amp; Sumber'!$B$16,"Sedang","Relatif Longgar"))))</x:f>
        <x:v>Relatif Longgar</x:v>
      </x:c>
      <x:c r="N5057" s="66" t="str">
        <x:v>Tidak Ada</x:v>
      </x:c>
      <x:c r="O5057" s="66" t="str">
        <x:v>Papua Selatan</x:v>
      </x:c>
      <x:c r="P5057" s="66" t="str">
        <x:v>Kabupaten Merauke</x:v>
      </x:c>
      <x:c r="Q5057" s="66" t="str">
        <x:v>https://snpmb.id/snbp/daya-tampung-snbp</x:v>
      </x:c>
      <x:c r="R5057" s="66" t="str">
        <x:v>https://sidatagrun-public-1076756628210.asia-southeast2.run.app/ptn_sn.php?ptn=912</x:v>
      </x:c>
    </x:row>
    <x:row r="5058">
      <x:c r="A5058" s="87" t="n">
        <x:v>4266</x:v>
      </x:c>
      <x:c r="B5058" s="66" t="n">
        <x:v>912</x:v>
      </x:c>
      <x:c r="C5058" s="66" t="str">
        <x:v>UNIVERSITAS MUSAMUS MERAUKE</x:v>
      </x:c>
      <x:c r="D5058" s="66" t="str">
        <x:v>PTN Akademik</x:v>
      </x:c>
      <x:c r="E5058" s="66" t="str">
        <x:v>19121002</x:v>
      </x:c>
      <x:c r="F5058" s="66" t="str">
        <x:v>TEKNIK MESIN</x:v>
      </x:c>
      <x:c r="G5058" s="66" t="str">
        <x:v>Sarjana</x:v>
      </x:c>
      <x:c r="H5058" s="87" t="n">
        <x:v>12</x:v>
      </x:c>
      <x:c r="I5058" s="87" t="n">
        <x:v>13</x:v>
      </x:c>
      <x:c r="J5058" s="68" t="n">
        <x:f>IFERROR(H5058/I5058,"")</x:f>
        <x:v>0.9230769230769231</x:v>
      </x:c>
      <x:c r="K5058" s="69" t="n">
        <x:f>IFERROR(I5058/H5058,"")</x:f>
        <x:v>1.0833333333333333</x:v>
      </x:c>
      <x:c r="L5058" s="66" t="str">
        <x:f>IF(K5058="","","1 : "&amp;TEXT(K5058,"0.0"))</x:f>
        <x:v>1 : 1.1</x:v>
      </x:c>
      <x:c r="M5058" s="66" t="str">
        <x:f>IF(J5058="","Baru/Tanpa Data",IF(J5058&lt;='Catatan &amp; Sumber'!$B$14,"Sangat Ketat",IF(J5058&lt;='Catatan &amp; Sumber'!$B$15,"Ketat",IF(J5058&lt;='Catatan &amp; Sumber'!$B$16,"Sedang","Relatif Longgar"))))</x:f>
        <x:v>Relatif Longgar</x:v>
      </x:c>
      <x:c r="N5058" s="66" t="str">
        <x:v>Tidak Ada</x:v>
      </x:c>
      <x:c r="O5058" s="66" t="str">
        <x:v>Papua Selatan</x:v>
      </x:c>
      <x:c r="P5058" s="66" t="str">
        <x:v>Kabupaten Merauke</x:v>
      </x:c>
      <x:c r="Q5058" s="66" t="str">
        <x:v>https://snpmb.id/snbp/daya-tampung-snbp</x:v>
      </x:c>
      <x:c r="R5058" s="66" t="str">
        <x:v>https://sidatagrun-public-1076756628210.asia-southeast2.run.app/ptn_sn.php?ptn=912</x:v>
      </x:c>
    </x:row>
    <x:row r="5059">
      <x:c r="A5059" s="87" t="n">
        <x:v>3580</x:v>
      </x:c>
      <x:c r="B5059" s="66" t="n">
        <x:v>912</x:v>
      </x:c>
      <x:c r="C5059" s="66" t="str">
        <x:v>UNIVERSITAS MUSAMUS MERAUKE</x:v>
      </x:c>
      <x:c r="D5059" s="66" t="str">
        <x:v>PTN Akademik</x:v>
      </x:c>
      <x:c r="E5059" s="66" t="str">
        <x:v>19121003</x:v>
      </x:c>
      <x:c r="F5059" s="66" t="str">
        <x:v>TEKNIK SIPIL</x:v>
      </x:c>
      <x:c r="G5059" s="66" t="str">
        <x:v>Sarjana</x:v>
      </x:c>
      <x:c r="H5059" s="87" t="n">
        <x:v>19</x:v>
      </x:c>
      <x:c r="I5059" s="87" t="n">
        <x:v>41</x:v>
      </x:c>
      <x:c r="J5059" s="68" t="n">
        <x:f>IFERROR(H5059/I5059,"")</x:f>
        <x:v>0.4634146341463415</x:v>
      </x:c>
      <x:c r="K5059" s="69" t="n">
        <x:f>IFERROR(I5059/H5059,"")</x:f>
        <x:v>2.1578947368421053</x:v>
      </x:c>
      <x:c r="L5059" s="66" t="str">
        <x:f>IF(K5059="","","1 : "&amp;TEXT(K5059,"0.0"))</x:f>
        <x:v>1 : 2.2</x:v>
      </x:c>
      <x:c r="M5059" s="66" t="str">
        <x:f>IF(J5059="","Baru/Tanpa Data",IF(J5059&lt;='Catatan &amp; Sumber'!$B$14,"Sangat Ketat",IF(J5059&lt;='Catatan &amp; Sumber'!$B$15,"Ketat",IF(J5059&lt;='Catatan &amp; Sumber'!$B$16,"Sedang","Relatif Longgar"))))</x:f>
        <x:v>Relatif Longgar</x:v>
      </x:c>
      <x:c r="N5059" s="66" t="str">
        <x:v>Tidak Ada</x:v>
      </x:c>
      <x:c r="O5059" s="66" t="str">
        <x:v>Papua Selatan</x:v>
      </x:c>
      <x:c r="P5059" s="66" t="str">
        <x:v>Kabupaten Merauke</x:v>
      </x:c>
      <x:c r="Q5059" s="66" t="str">
        <x:v>https://snpmb.id/snbp/daya-tampung-snbp</x:v>
      </x:c>
      <x:c r="R5059" s="66" t="str">
        <x:v>https://sidatagrun-public-1076756628210.asia-southeast2.run.app/ptn_sn.php?ptn=912</x:v>
      </x:c>
    </x:row>
    <x:row r="5060">
      <x:c r="A5060" s="87" t="n">
        <x:v>4037</x:v>
      </x:c>
      <x:c r="B5060" s="66" t="n">
        <x:v>912</x:v>
      </x:c>
      <x:c r="C5060" s="66" t="str">
        <x:v>UNIVERSITAS MUSAMUS MERAUKE</x:v>
      </x:c>
      <x:c r="D5060" s="66" t="str">
        <x:v>PTN Akademik</x:v>
      </x:c>
      <x:c r="E5060" s="66" t="str">
        <x:v>19121004</x:v>
      </x:c>
      <x:c r="F5060" s="66" t="str">
        <x:v>ARSITEKTUR</x:v>
      </x:c>
      <x:c r="G5060" s="66" t="str">
        <x:v>Sarjana</x:v>
      </x:c>
      <x:c r="H5060" s="87" t="n">
        <x:v>10</x:v>
      </x:c>
      <x:c r="I5060" s="87" t="n">
        <x:v>14</x:v>
      </x:c>
      <x:c r="J5060" s="68" t="n">
        <x:f>IFERROR(H5060/I5060,"")</x:f>
        <x:v>0.7142857142857143</x:v>
      </x:c>
      <x:c r="K5060" s="69" t="n">
        <x:f>IFERROR(I5060/H5060,"")</x:f>
        <x:v>1.4</x:v>
      </x:c>
      <x:c r="L5060" s="66" t="str">
        <x:f>IF(K5060="","","1 : "&amp;TEXT(K5060,"0.0"))</x:f>
        <x:v>1 : 1.4</x:v>
      </x:c>
      <x:c r="M5060" s="66" t="str">
        <x:f>IF(J5060="","Baru/Tanpa Data",IF(J5060&lt;='Catatan &amp; Sumber'!$B$14,"Sangat Ketat",IF(J5060&lt;='Catatan &amp; Sumber'!$B$15,"Ketat",IF(J5060&lt;='Catatan &amp; Sumber'!$B$16,"Sedang","Relatif Longgar"))))</x:f>
        <x:v>Relatif Longgar</x:v>
      </x:c>
      <x:c r="N5060" s="66" t="str">
        <x:v>Tidak Ada</x:v>
      </x:c>
      <x:c r="O5060" s="66" t="str">
        <x:v>Papua Selatan</x:v>
      </x:c>
      <x:c r="P5060" s="66" t="str">
        <x:v>Kabupaten Merauke</x:v>
      </x:c>
      <x:c r="Q5060" s="66" t="str">
        <x:v>https://snpmb.id/snbp/daya-tampung-snbp</x:v>
      </x:c>
      <x:c r="R5060" s="66" t="str">
        <x:v>https://sidatagrun-public-1076756628210.asia-southeast2.run.app/ptn_sn.php?ptn=912</x:v>
      </x:c>
    </x:row>
    <x:row r="5061">
      <x:c r="A5061" s="87" t="n">
        <x:v>4198</x:v>
      </x:c>
      <x:c r="B5061" s="66" t="n">
        <x:v>912</x:v>
      </x:c>
      <x:c r="C5061" s="66" t="str">
        <x:v>UNIVERSITAS MUSAMUS MERAUKE</x:v>
      </x:c>
      <x:c r="D5061" s="66" t="str">
        <x:v>PTN Akademik</x:v>
      </x:c>
      <x:c r="E5061" s="66" t="str">
        <x:v>19121005</x:v>
      </x:c>
      <x:c r="F5061" s="66" t="str">
        <x:v>KETEKNIKAN PERTANIAN</x:v>
      </x:c>
      <x:c r="G5061" s="66" t="str">
        <x:v>Sarjana</x:v>
      </x:c>
      <x:c r="H5061" s="87" t="n">
        <x:v>12</x:v>
      </x:c>
      <x:c r="I5061" s="87" t="n">
        <x:v>14</x:v>
      </x:c>
      <x:c r="J5061" s="68" t="n">
        <x:f>IFERROR(H5061/I5061,"")</x:f>
        <x:v>0.8571428571428571</x:v>
      </x:c>
      <x:c r="K5061" s="69" t="n">
        <x:f>IFERROR(I5061/H5061,"")</x:f>
        <x:v>1.1666666666666667</x:v>
      </x:c>
      <x:c r="L5061" s="66" t="str">
        <x:f>IF(K5061="","","1 : "&amp;TEXT(K5061,"0.0"))</x:f>
        <x:v>1 : 1.2</x:v>
      </x:c>
      <x:c r="M5061" s="66" t="str">
        <x:f>IF(J5061="","Baru/Tanpa Data",IF(J5061&lt;='Catatan &amp; Sumber'!$B$14,"Sangat Ketat",IF(J5061&lt;='Catatan &amp; Sumber'!$B$15,"Ketat",IF(J5061&lt;='Catatan &amp; Sumber'!$B$16,"Sedang","Relatif Longgar"))))</x:f>
        <x:v>Relatif Longgar</x:v>
      </x:c>
      <x:c r="N5061" s="66" t="str">
        <x:v>Tidak Ada</x:v>
      </x:c>
      <x:c r="O5061" s="66" t="str">
        <x:v>Papua Selatan</x:v>
      </x:c>
      <x:c r="P5061" s="66" t="str">
        <x:v>Kabupaten Merauke</x:v>
      </x:c>
      <x:c r="Q5061" s="66" t="str">
        <x:v>https://snpmb.id/snbp/daya-tampung-snbp</x:v>
      </x:c>
      <x:c r="R5061" s="66" t="str">
        <x:v>https://sidatagrun-public-1076756628210.asia-southeast2.run.app/ptn_sn.php?ptn=912</x:v>
      </x:c>
    </x:row>
    <x:row r="5062">
      <x:c r="A5062" s="87" t="n">
        <x:v>4135</x:v>
      </x:c>
      <x:c r="B5062" s="66" t="n">
        <x:v>912</x:v>
      </x:c>
      <x:c r="C5062" s="66" t="str">
        <x:v>UNIVERSITAS MUSAMUS MERAUKE</x:v>
      </x:c>
      <x:c r="D5062" s="66" t="str">
        <x:v>PTN Akademik</x:v>
      </x:c>
      <x:c r="E5062" s="66" t="str">
        <x:v>19121006</x:v>
      </x:c>
      <x:c r="F5062" s="66" t="str">
        <x:v>AGRIBISNIS</x:v>
      </x:c>
      <x:c r="G5062" s="66" t="str">
        <x:v>Sarjana</x:v>
      </x:c>
      <x:c r="H5062" s="87" t="n">
        <x:v>16</x:v>
      </x:c>
      <x:c r="I5062" s="87" t="n">
        <x:v>20</x:v>
      </x:c>
      <x:c r="J5062" s="68" t="n">
        <x:f>IFERROR(H5062/I5062,"")</x:f>
        <x:v>0.8</x:v>
      </x:c>
      <x:c r="K5062" s="69" t="n">
        <x:f>IFERROR(I5062/H5062,"")</x:f>
        <x:v>1.25</x:v>
      </x:c>
      <x:c r="L5062" s="66" t="str">
        <x:f>IF(K5062="","","1 : "&amp;TEXT(K5062,"0.0"))</x:f>
        <x:v>1 : 1.3</x:v>
      </x:c>
      <x:c r="M5062" s="66" t="str">
        <x:f>IF(J5062="","Baru/Tanpa Data",IF(J5062&lt;='Catatan &amp; Sumber'!$B$14,"Sangat Ketat",IF(J5062&lt;='Catatan &amp; Sumber'!$B$15,"Ketat",IF(J5062&lt;='Catatan &amp; Sumber'!$B$16,"Sedang","Relatif Longgar"))))</x:f>
        <x:v>Relatif Longgar</x:v>
      </x:c>
      <x:c r="N5062" s="66" t="str">
        <x:v>Tidak Ada</x:v>
      </x:c>
      <x:c r="O5062" s="66" t="str">
        <x:v>Papua Selatan</x:v>
      </x:c>
      <x:c r="P5062" s="66" t="str">
        <x:v>Kabupaten Merauke</x:v>
      </x:c>
      <x:c r="Q5062" s="66" t="str">
        <x:v>https://snpmb.id/snbp/daya-tampung-snbp</x:v>
      </x:c>
      <x:c r="R5062" s="66" t="str">
        <x:v>https://sidatagrun-public-1076756628210.asia-southeast2.run.app/ptn_sn.php?ptn=912</x:v>
      </x:c>
    </x:row>
    <x:row r="5063">
      <x:c r="A5063" s="87" t="n">
        <x:v>3750</x:v>
      </x:c>
      <x:c r="B5063" s="66" t="n">
        <x:v>912</x:v>
      </x:c>
      <x:c r="C5063" s="66" t="str">
        <x:v>UNIVERSITAS MUSAMUS MERAUKE</x:v>
      </x:c>
      <x:c r="D5063" s="66" t="str">
        <x:v>PTN Akademik</x:v>
      </x:c>
      <x:c r="E5063" s="66" t="str">
        <x:v>19121007</x:v>
      </x:c>
      <x:c r="F5063" s="66" t="str">
        <x:v>AGROTEKNOLOGI</x:v>
      </x:c>
      <x:c r="G5063" s="66" t="str">
        <x:v>Sarjana</x:v>
      </x:c>
      <x:c r="H5063" s="87" t="n">
        <x:v>12</x:v>
      </x:c>
      <x:c r="I5063" s="87" t="n">
        <x:v>22</x:v>
      </x:c>
      <x:c r="J5063" s="68" t="n">
        <x:f>IFERROR(H5063/I5063,"")</x:f>
        <x:v>0.5454545454545454</x:v>
      </x:c>
      <x:c r="K5063" s="69" t="n">
        <x:f>IFERROR(I5063/H5063,"")</x:f>
        <x:v>1.8333333333333333</x:v>
      </x:c>
      <x:c r="L5063" s="66" t="str">
        <x:f>IF(K5063="","","1 : "&amp;TEXT(K5063,"0.0"))</x:f>
        <x:v>1 : 1.8</x:v>
      </x:c>
      <x:c r="M5063" s="66" t="str">
        <x:f>IF(J5063="","Baru/Tanpa Data",IF(J5063&lt;='Catatan &amp; Sumber'!$B$14,"Sangat Ketat",IF(J5063&lt;='Catatan &amp; Sumber'!$B$15,"Ketat",IF(J5063&lt;='Catatan &amp; Sumber'!$B$16,"Sedang","Relatif Longgar"))))</x:f>
        <x:v>Relatif Longgar</x:v>
      </x:c>
      <x:c r="N5063" s="66" t="str">
        <x:v>Tidak Ada</x:v>
      </x:c>
      <x:c r="O5063" s="66" t="str">
        <x:v>Papua Selatan</x:v>
      </x:c>
      <x:c r="P5063" s="66" t="str">
        <x:v>Kabupaten Merauke</x:v>
      </x:c>
      <x:c r="Q5063" s="66" t="str">
        <x:v>https://snpmb.id/snbp/daya-tampung-snbp</x:v>
      </x:c>
      <x:c r="R5063" s="66" t="str">
        <x:v>https://sidatagrun-public-1076756628210.asia-southeast2.run.app/ptn_sn.php?ptn=912</x:v>
      </x:c>
    </x:row>
    <x:row r="5064">
      <x:c r="A5064" s="87" t="n">
        <x:v>4135</x:v>
      </x:c>
      <x:c r="B5064" s="66" t="n">
        <x:v>912</x:v>
      </x:c>
      <x:c r="C5064" s="66" t="str">
        <x:v>UNIVERSITAS MUSAMUS MERAUKE</x:v>
      </x:c>
      <x:c r="D5064" s="66" t="str">
        <x:v>PTN Akademik</x:v>
      </x:c>
      <x:c r="E5064" s="66" t="str">
        <x:v>19121008</x:v>
      </x:c>
      <x:c r="F5064" s="66" t="str">
        <x:v>PETERNAKAN</x:v>
      </x:c>
      <x:c r="G5064" s="66" t="str">
        <x:v>Sarjana</x:v>
      </x:c>
      <x:c r="H5064" s="87" t="n">
        <x:v>8</x:v>
      </x:c>
      <x:c r="I5064" s="87" t="n">
        <x:v>10</x:v>
      </x:c>
      <x:c r="J5064" s="68" t="n">
        <x:f>IFERROR(H5064/I5064,"")</x:f>
        <x:v>0.8</x:v>
      </x:c>
      <x:c r="K5064" s="69" t="n">
        <x:f>IFERROR(I5064/H5064,"")</x:f>
        <x:v>1.25</x:v>
      </x:c>
      <x:c r="L5064" s="66" t="str">
        <x:f>IF(K5064="","","1 : "&amp;TEXT(K5064,"0.0"))</x:f>
        <x:v>1 : 1.3</x:v>
      </x:c>
      <x:c r="M5064" s="66" t="str">
        <x:f>IF(J5064="","Baru/Tanpa Data",IF(J5064&lt;='Catatan &amp; Sumber'!$B$14,"Sangat Ketat",IF(J5064&lt;='Catatan &amp; Sumber'!$B$15,"Ketat",IF(J5064&lt;='Catatan &amp; Sumber'!$B$16,"Sedang","Relatif Longgar"))))</x:f>
        <x:v>Relatif Longgar</x:v>
      </x:c>
      <x:c r="N5064" s="66" t="str">
        <x:v>Tidak Ada</x:v>
      </x:c>
      <x:c r="O5064" s="66" t="str">
        <x:v>Papua Selatan</x:v>
      </x:c>
      <x:c r="P5064" s="66" t="str">
        <x:v>Kabupaten Merauke</x:v>
      </x:c>
      <x:c r="Q5064" s="66" t="str">
        <x:v>https://snpmb.id/snbp/daya-tampung-snbp</x:v>
      </x:c>
      <x:c r="R5064" s="66" t="str">
        <x:v>https://sidatagrun-public-1076756628210.asia-southeast2.run.app/ptn_sn.php?ptn=912</x:v>
      </x:c>
    </x:row>
    <x:row r="5065">
      <x:c r="A5065" s="87" t="n">
        <x:v>4786</x:v>
      </x:c>
      <x:c r="B5065" s="66" t="n">
        <x:v>912</x:v>
      </x:c>
      <x:c r="C5065" s="66" t="str">
        <x:v>UNIVERSITAS MUSAMUS MERAUKE</x:v>
      </x:c>
      <x:c r="D5065" s="66" t="str">
        <x:v>PTN Akademik</x:v>
      </x:c>
      <x:c r="E5065" s="66" t="str">
        <x:v>19121009</x:v>
      </x:c>
      <x:c r="F5065" s="66" t="str">
        <x:v>MANAJEMEN SUMBERDAYA PERAIRAN</x:v>
      </x:c>
      <x:c r="G5065" s="66" t="str">
        <x:v>Sarjana</x:v>
      </x:c>
      <x:c r="H5065" s="87" t="n">
        <x:v>10</x:v>
      </x:c>
      <x:c r="I5065" s="87" t="n">
        <x:v>3</x:v>
      </x:c>
      <x:c r="J5065" s="68" t="n">
        <x:f>IFERROR(H5065/I5065,"")</x:f>
        <x:v>3.3333333333333335</x:v>
      </x:c>
      <x:c r="K5065" s="69" t="n">
        <x:f>IFERROR(I5065/H5065,"")</x:f>
        <x:v>0.3</x:v>
      </x:c>
      <x:c r="L5065" s="66" t="str">
        <x:f>IF(K5065="","","1 : "&amp;TEXT(K5065,"0.0"))</x:f>
        <x:v>1 : 0.3</x:v>
      </x:c>
      <x:c r="M5065" s="66" t="str">
        <x:f>IF(J5065="","Baru/Tanpa Data",IF(J5065&lt;='Catatan &amp; Sumber'!$B$14,"Sangat Ketat",IF(J5065&lt;='Catatan &amp; Sumber'!$B$15,"Ketat",IF(J5065&lt;='Catatan &amp; Sumber'!$B$16,"Sedang","Relatif Longgar"))))</x:f>
        <x:v>Relatif Longgar</x:v>
      </x:c>
      <x:c r="N5065" s="66" t="str">
        <x:v>Tidak Ada</x:v>
      </x:c>
      <x:c r="O5065" s="66" t="str">
        <x:v>Papua Selatan</x:v>
      </x:c>
      <x:c r="P5065" s="66" t="str">
        <x:v>Kabupaten Merauke</x:v>
      </x:c>
      <x:c r="Q5065" s="66" t="str">
        <x:v>https://snpmb.id/snbp/daya-tampung-snbp</x:v>
      </x:c>
      <x:c r="R5065" s="66" t="str">
        <x:v>https://sidatagrun-public-1076756628210.asia-southeast2.run.app/ptn_sn.php?ptn=912</x:v>
      </x:c>
    </x:row>
    <x:row r="5066">
      <x:c r="A5066" s="87" t="n">
        <x:v>3009</x:v>
      </x:c>
      <x:c r="B5066" s="66" t="n">
        <x:v>912</x:v>
      </x:c>
      <x:c r="C5066" s="66" t="str">
        <x:v>UNIVERSITAS MUSAMUS MERAUKE</x:v>
      </x:c>
      <x:c r="D5066" s="66" t="str">
        <x:v>PTN Akademik</x:v>
      </x:c>
      <x:c r="E5066" s="66" t="str">
        <x:v>19121010</x:v>
      </x:c>
      <x:c r="F5066" s="66" t="str">
        <x:v>TEKNIK INFORMATIKA</x:v>
      </x:c>
      <x:c r="G5066" s="66" t="str">
        <x:v>Sarjana</x:v>
      </x:c>
      <x:c r="H5066" s="87" t="n">
        <x:v>27</x:v>
      </x:c>
      <x:c r="I5066" s="87" t="n">
        <x:v>91</x:v>
      </x:c>
      <x:c r="J5066" s="68" t="n">
        <x:f>IFERROR(H5066/I5066,"")</x:f>
        <x:v>0.2967032967032967</x:v>
      </x:c>
      <x:c r="K5066" s="69" t="n">
        <x:f>IFERROR(I5066/H5066,"")</x:f>
        <x:v>3.3703703703703702</x:v>
      </x:c>
      <x:c r="L5066" s="66" t="str">
        <x:f>IF(K5066="","","1 : "&amp;TEXT(K5066,"0.0"))</x:f>
        <x:v>1 : 3.4</x:v>
      </x:c>
      <x:c r="M5066" s="66" t="str">
        <x:f>IF(J5066="","Baru/Tanpa Data",IF(J5066&lt;='Catatan &amp; Sumber'!$B$14,"Sangat Ketat",IF(J5066&lt;='Catatan &amp; Sumber'!$B$15,"Ketat",IF(J5066&lt;='Catatan &amp; Sumber'!$B$16,"Sedang","Relatif Longgar"))))</x:f>
        <x:v>Relatif Longgar</x:v>
      </x:c>
      <x:c r="N5066" s="66" t="str">
        <x:v>Tidak Ada</x:v>
      </x:c>
      <x:c r="O5066" s="66" t="str">
        <x:v>Papua Selatan</x:v>
      </x:c>
      <x:c r="P5066" s="66" t="str">
        <x:v>Kabupaten Merauke</x:v>
      </x:c>
      <x:c r="Q5066" s="66" t="str">
        <x:v>https://snpmb.id/snbp/daya-tampung-snbp</x:v>
      </x:c>
      <x:c r="R5066" s="66" t="str">
        <x:v>https://sidatagrun-public-1076756628210.asia-southeast2.run.app/ptn_sn.php?ptn=912</x:v>
      </x:c>
    </x:row>
    <x:row r="5067">
      <x:c r="A5067" s="87" t="n">
        <x:v>3342</x:v>
      </x:c>
      <x:c r="B5067" s="66" t="n">
        <x:v>912</x:v>
      </x:c>
      <x:c r="C5067" s="66" t="str">
        <x:v>UNIVERSITAS MUSAMUS MERAUKE</x:v>
      </x:c>
      <x:c r="D5067" s="66" t="str">
        <x:v>PTN Akademik</x:v>
      </x:c>
      <x:c r="E5067" s="66" t="str">
        <x:v>19121011</x:v>
      </x:c>
      <x:c r="F5067" s="66" t="str">
        <x:v>SISTEM INFORMASI</x:v>
      </x:c>
      <x:c r="G5067" s="66" t="str">
        <x:v>Sarjana</x:v>
      </x:c>
      <x:c r="H5067" s="87" t="n">
        <x:v>20</x:v>
      </x:c>
      <x:c r="I5067" s="87" t="n">
        <x:v>52</x:v>
      </x:c>
      <x:c r="J5067" s="68" t="n">
        <x:f>IFERROR(H5067/I5067,"")</x:f>
        <x:v>0.38461538461538464</x:v>
      </x:c>
      <x:c r="K5067" s="69" t="n">
        <x:f>IFERROR(I5067/H5067,"")</x:f>
        <x:v>2.6</x:v>
      </x:c>
      <x:c r="L5067" s="66" t="str">
        <x:f>IF(K5067="","","1 : "&amp;TEXT(K5067,"0.0"))</x:f>
        <x:v>1 : 2.6</x:v>
      </x:c>
      <x:c r="M5067" s="66" t="str">
        <x:f>IF(J5067="","Baru/Tanpa Data",IF(J5067&lt;='Catatan &amp; Sumber'!$B$14,"Sangat Ketat",IF(J5067&lt;='Catatan &amp; Sumber'!$B$15,"Ketat",IF(J5067&lt;='Catatan &amp; Sumber'!$B$16,"Sedang","Relatif Longgar"))))</x:f>
        <x:v>Relatif Longgar</x:v>
      </x:c>
      <x:c r="N5067" s="66" t="str">
        <x:v>Tidak Ada</x:v>
      </x:c>
      <x:c r="O5067" s="66" t="str">
        <x:v>Papua Selatan</x:v>
      </x:c>
      <x:c r="P5067" s="66" t="str">
        <x:v>Kabupaten Merauke</x:v>
      </x:c>
      <x:c r="Q5067" s="66" t="str">
        <x:v>https://snpmb.id/snbp/daya-tampung-snbp</x:v>
      </x:c>
      <x:c r="R5067" s="66" t="str">
        <x:v>https://sidatagrun-public-1076756628210.asia-southeast2.run.app/ptn_sn.php?ptn=912</x:v>
      </x:c>
    </x:row>
    <x:row r="5068">
      <x:c r="A5068" s="87" t="n">
        <x:v>3847</x:v>
      </x:c>
      <x:c r="B5068" s="66" t="n">
        <x:v>912</x:v>
      </x:c>
      <x:c r="C5068" s="66" t="str">
        <x:v>UNIVERSITAS MUSAMUS MERAUKE</x:v>
      </x:c>
      <x:c r="D5068" s="66" t="str">
        <x:v>PTN Akademik</x:v>
      </x:c>
      <x:c r="E5068" s="66" t="str">
        <x:v>19121012</x:v>
      </x:c>
      <x:c r="F5068" s="66" t="str">
        <x:v>PENDIDIKAN MATEMATIKA</x:v>
      </x:c>
      <x:c r="G5068" s="66" t="str">
        <x:v>Sarjana</x:v>
      </x:c>
      <x:c r="H5068" s="87" t="n">
        <x:v>6</x:v>
      </x:c>
      <x:c r="I5068" s="87" t="n">
        <x:v>10</x:v>
      </x:c>
      <x:c r="J5068" s="68" t="n">
        <x:f>IFERROR(H5068/I5068,"")</x:f>
        <x:v>0.6</x:v>
      </x:c>
      <x:c r="K5068" s="69" t="n">
        <x:f>IFERROR(I5068/H5068,"")</x:f>
        <x:v>1.6666666666666667</x:v>
      </x:c>
      <x:c r="L5068" s="66" t="str">
        <x:f>IF(K5068="","","1 : "&amp;TEXT(K5068,"0.0"))</x:f>
        <x:v>1 : 1.7</x:v>
      </x:c>
      <x:c r="M5068" s="66" t="str">
        <x:f>IF(J5068="","Baru/Tanpa Data",IF(J5068&lt;='Catatan &amp; Sumber'!$B$14,"Sangat Ketat",IF(J5068&lt;='Catatan &amp; Sumber'!$B$15,"Ketat",IF(J5068&lt;='Catatan &amp; Sumber'!$B$16,"Sedang","Relatif Longgar"))))</x:f>
        <x:v>Relatif Longgar</x:v>
      </x:c>
      <x:c r="N5068" s="66" t="str">
        <x:v>Tidak Ada</x:v>
      </x:c>
      <x:c r="O5068" s="66" t="str">
        <x:v>Papua Selatan</x:v>
      </x:c>
      <x:c r="P5068" s="66" t="str">
        <x:v>Kabupaten Merauke</x:v>
      </x:c>
      <x:c r="Q5068" s="66" t="str">
        <x:v>https://snpmb.id/snbp/daya-tampung-snbp</x:v>
      </x:c>
      <x:c r="R5068" s="66" t="str">
        <x:v>https://sidatagrun-public-1076756628210.asia-southeast2.run.app/ptn_sn.php?ptn=912</x:v>
      </x:c>
    </x:row>
    <x:row r="5069">
      <x:c r="A5069" s="87" t="n">
        <x:v>4305</x:v>
      </x:c>
      <x:c r="B5069" s="66" t="n">
        <x:v>912</x:v>
      </x:c>
      <x:c r="C5069" s="66" t="str">
        <x:v>UNIVERSITAS MUSAMUS MERAUKE</x:v>
      </x:c>
      <x:c r="D5069" s="66" t="str">
        <x:v>PTN Akademik</x:v>
      </x:c>
      <x:c r="E5069" s="66" t="str">
        <x:v>19121013</x:v>
      </x:c>
      <x:c r="F5069" s="66" t="str">
        <x:v>PENDIDIKAN FISIKA</x:v>
      </x:c>
      <x:c r="G5069" s="66" t="str">
        <x:v>Sarjana</x:v>
      </x:c>
      <x:c r="H5069" s="87" t="n">
        <x:v>6</x:v>
      </x:c>
      <x:c r="I5069" s="87" t="n">
        <x:v>6</x:v>
      </x:c>
      <x:c r="J5069" s="68" t="n">
        <x:f>IFERROR(H5069/I5069,"")</x:f>
        <x:v>1</x:v>
      </x:c>
      <x:c r="K5069" s="69" t="n">
        <x:f>IFERROR(I5069/H5069,"")</x:f>
        <x:v>1</x:v>
      </x:c>
      <x:c r="L5069" s="66" t="str">
        <x:f>IF(K5069="","","1 : "&amp;TEXT(K5069,"0.0"))</x:f>
        <x:v>1 : 1.0</x:v>
      </x:c>
      <x:c r="M5069" s="66" t="str">
        <x:f>IF(J5069="","Baru/Tanpa Data",IF(J5069&lt;='Catatan &amp; Sumber'!$B$14,"Sangat Ketat",IF(J5069&lt;='Catatan &amp; Sumber'!$B$15,"Ketat",IF(J5069&lt;='Catatan &amp; Sumber'!$B$16,"Sedang","Relatif Longgar"))))</x:f>
        <x:v>Relatif Longgar</x:v>
      </x:c>
      <x:c r="N5069" s="66" t="str">
        <x:v>Tidak Ada</x:v>
      </x:c>
      <x:c r="O5069" s="66" t="str">
        <x:v>Papua Selatan</x:v>
      </x:c>
      <x:c r="P5069" s="66" t="str">
        <x:v>Kabupaten Merauke</x:v>
      </x:c>
      <x:c r="Q5069" s="66" t="str">
        <x:v>https://snpmb.id/snbp/daya-tampung-snbp</x:v>
      </x:c>
      <x:c r="R5069" s="66" t="str">
        <x:v>https://sidatagrun-public-1076756628210.asia-southeast2.run.app/ptn_sn.php?ptn=912</x:v>
      </x:c>
    </x:row>
    <x:row r="5070">
      <x:c r="A5070" s="87" t="n">
        <x:v>4085</x:v>
      </x:c>
      <x:c r="B5070" s="66" t="n">
        <x:v>912</x:v>
      </x:c>
      <x:c r="C5070" s="66" t="str">
        <x:v>UNIVERSITAS MUSAMUS MERAUKE</x:v>
      </x:c>
      <x:c r="D5070" s="66" t="str">
        <x:v>PTN Akademik</x:v>
      </x:c>
      <x:c r="E5070" s="66" t="str">
        <x:v>19121014</x:v>
      </x:c>
      <x:c r="F5070" s="66" t="str">
        <x:v>PENDIDIKAN KIMIA</x:v>
      </x:c>
      <x:c r="G5070" s="66" t="str">
        <x:v>Sarjana</x:v>
      </x:c>
      <x:c r="H5070" s="87" t="n">
        <x:v>6</x:v>
      </x:c>
      <x:c r="I5070" s="87" t="n">
        <x:v>8</x:v>
      </x:c>
      <x:c r="J5070" s="68" t="n">
        <x:f>IFERROR(H5070/I5070,"")</x:f>
        <x:v>0.75</x:v>
      </x:c>
      <x:c r="K5070" s="69" t="n">
        <x:f>IFERROR(I5070/H5070,"")</x:f>
        <x:v>1.3333333333333333</x:v>
      </x:c>
      <x:c r="L5070" s="66" t="str">
        <x:f>IF(K5070="","","1 : "&amp;TEXT(K5070,"0.0"))</x:f>
        <x:v>1 : 1.3</x:v>
      </x:c>
      <x:c r="M5070" s="66" t="str">
        <x:f>IF(J5070="","Baru/Tanpa Data",IF(J5070&lt;='Catatan &amp; Sumber'!$B$14,"Sangat Ketat",IF(J5070&lt;='Catatan &amp; Sumber'!$B$15,"Ketat",IF(J5070&lt;='Catatan &amp; Sumber'!$B$16,"Sedang","Relatif Longgar"))))</x:f>
        <x:v>Relatif Longgar</x:v>
      </x:c>
      <x:c r="N5070" s="66" t="str">
        <x:v>Tidak Ada</x:v>
      </x:c>
      <x:c r="O5070" s="66" t="str">
        <x:v>Papua Selatan</x:v>
      </x:c>
      <x:c r="P5070" s="66" t="str">
        <x:v>Kabupaten Merauke</x:v>
      </x:c>
      <x:c r="Q5070" s="66" t="str">
        <x:v>https://snpmb.id/snbp/daya-tampung-snbp</x:v>
      </x:c>
      <x:c r="R5070" s="66" t="str">
        <x:v>https://sidatagrun-public-1076756628210.asia-southeast2.run.app/ptn_sn.php?ptn=912</x:v>
      </x:c>
    </x:row>
    <x:row r="5071">
      <x:c r="A5071" s="87" t="n">
        <x:v>3732</x:v>
      </x:c>
      <x:c r="B5071" s="66" t="n">
        <x:v>912</x:v>
      </x:c>
      <x:c r="C5071" s="66" t="str">
        <x:v>UNIVERSITAS MUSAMUS MERAUKE</x:v>
      </x:c>
      <x:c r="D5071" s="66" t="str">
        <x:v>PTN Akademik</x:v>
      </x:c>
      <x:c r="E5071" s="66" t="str">
        <x:v>19121015</x:v>
      </x:c>
      <x:c r="F5071" s="66" t="str">
        <x:v>PENDIDIKAN KOMPUTER</x:v>
      </x:c>
      <x:c r="G5071" s="66" t="str">
        <x:v>Sarjana</x:v>
      </x:c>
      <x:c r="H5071" s="87" t="n">
        <x:v>15</x:v>
      </x:c>
      <x:c r="I5071" s="87" t="n">
        <x:v>28</x:v>
      </x:c>
      <x:c r="J5071" s="68" t="n">
        <x:f>IFERROR(H5071/I5071,"")</x:f>
        <x:v>0.5357142857142857</x:v>
      </x:c>
      <x:c r="K5071" s="69" t="n">
        <x:f>IFERROR(I5071/H5071,"")</x:f>
        <x:v>1.8666666666666667</x:v>
      </x:c>
      <x:c r="L5071" s="66" t="str">
        <x:f>IF(K5071="","","1 : "&amp;TEXT(K5071,"0.0"))</x:f>
        <x:v>1 : 1.9</x:v>
      </x:c>
      <x:c r="M5071" s="66" t="str">
        <x:f>IF(J5071="","Baru/Tanpa Data",IF(J5071&lt;='Catatan &amp; Sumber'!$B$14,"Sangat Ketat",IF(J5071&lt;='Catatan &amp; Sumber'!$B$15,"Ketat",IF(J5071&lt;='Catatan &amp; Sumber'!$B$16,"Sedang","Relatif Longgar"))))</x:f>
        <x:v>Relatif Longgar</x:v>
      </x:c>
      <x:c r="N5071" s="66" t="str">
        <x:v>Tidak Ada</x:v>
      </x:c>
      <x:c r="O5071" s="66" t="str">
        <x:v>Papua Selatan</x:v>
      </x:c>
      <x:c r="P5071" s="66" t="str">
        <x:v>Kabupaten Merauke</x:v>
      </x:c>
      <x:c r="Q5071" s="66" t="str">
        <x:v>https://snpmb.id/snbp/daya-tampung-snbp</x:v>
      </x:c>
      <x:c r="R5071" s="66" t="str">
        <x:v>https://sidatagrun-public-1076756628210.asia-southeast2.run.app/ptn_sn.php?ptn=912</x:v>
      </x:c>
    </x:row>
    <x:row r="5072">
      <x:c r="A5072" s="87" t="n">
        <x:v>4540</x:v>
      </x:c>
      <x:c r="B5072" s="66" t="n">
        <x:v>912</x:v>
      </x:c>
      <x:c r="C5072" s="66" t="str">
        <x:v>UNIVERSITAS MUSAMUS MERAUKE</x:v>
      </x:c>
      <x:c r="D5072" s="66" t="str">
        <x:v>PTN Akademik</x:v>
      </x:c>
      <x:c r="E5072" s="66" t="str">
        <x:v>19121016</x:v>
      </x:c>
      <x:c r="F5072" s="66" t="str">
        <x:v>EKONOMI PEMBANGUNAN</x:v>
      </x:c>
      <x:c r="G5072" s="66" t="str">
        <x:v>Sarjana</x:v>
      </x:c>
      <x:c r="H5072" s="87" t="n">
        <x:v>16</x:v>
      </x:c>
      <x:c r="I5072" s="87" t="n">
        <x:v>11</x:v>
      </x:c>
      <x:c r="J5072" s="68" t="n">
        <x:f>IFERROR(H5072/I5072,"")</x:f>
        <x:v>1.4545454545454546</x:v>
      </x:c>
      <x:c r="K5072" s="69" t="n">
        <x:f>IFERROR(I5072/H5072,"")</x:f>
        <x:v>0.6875</x:v>
      </x:c>
      <x:c r="L5072" s="66" t="str">
        <x:f>IF(K5072="","","1 : "&amp;TEXT(K5072,"0.0"))</x:f>
        <x:v>1 : 0.7</x:v>
      </x:c>
      <x:c r="M5072" s="66" t="str">
        <x:f>IF(J5072="","Baru/Tanpa Data",IF(J5072&lt;='Catatan &amp; Sumber'!$B$14,"Sangat Ketat",IF(J5072&lt;='Catatan &amp; Sumber'!$B$15,"Ketat",IF(J5072&lt;='Catatan &amp; Sumber'!$B$16,"Sedang","Relatif Longgar"))))</x:f>
        <x:v>Relatif Longgar</x:v>
      </x:c>
      <x:c r="N5072" s="66" t="str">
        <x:v>Tidak Ada</x:v>
      </x:c>
      <x:c r="O5072" s="66" t="str">
        <x:v>Papua Selatan</x:v>
      </x:c>
      <x:c r="P5072" s="66" t="str">
        <x:v>Kabupaten Merauke</x:v>
      </x:c>
      <x:c r="Q5072" s="66" t="str">
        <x:v>https://snpmb.id/snbp/daya-tampung-snbp</x:v>
      </x:c>
      <x:c r="R5072" s="66" t="str">
        <x:v>https://sidatagrun-public-1076756628210.asia-southeast2.run.app/ptn_sn.php?ptn=912</x:v>
      </x:c>
    </x:row>
    <x:row r="5073">
      <x:c r="A5073" s="87" t="n">
        <x:v>3296</x:v>
      </x:c>
      <x:c r="B5073" s="66" t="n">
        <x:v>912</x:v>
      </x:c>
      <x:c r="C5073" s="66" t="str">
        <x:v>UNIVERSITAS MUSAMUS MERAUKE</x:v>
      </x:c>
      <x:c r="D5073" s="66" t="str">
        <x:v>PTN Akademik</x:v>
      </x:c>
      <x:c r="E5073" s="66" t="str">
        <x:v>19121017</x:v>
      </x:c>
      <x:c r="F5073" s="66" t="str">
        <x:v>MANAJEMEN</x:v>
      </x:c>
      <x:c r="G5073" s="66" t="str">
        <x:v>Sarjana</x:v>
      </x:c>
      <x:c r="H5073" s="87" t="n">
        <x:v>43</x:v>
      </x:c>
      <x:c r="I5073" s="87" t="n">
        <x:v>115</x:v>
      </x:c>
      <x:c r="J5073" s="68" t="n">
        <x:f>IFERROR(H5073/I5073,"")</x:f>
        <x:v>0.3739130434782609</x:v>
      </x:c>
      <x:c r="K5073" s="69" t="n">
        <x:f>IFERROR(I5073/H5073,"")</x:f>
        <x:v>2.6744186046511627</x:v>
      </x:c>
      <x:c r="L5073" s="66" t="str">
        <x:f>IF(K5073="","","1 : "&amp;TEXT(K5073,"0.0"))</x:f>
        <x:v>1 : 2.7</x:v>
      </x:c>
      <x:c r="M5073" s="66" t="str">
        <x:f>IF(J5073="","Baru/Tanpa Data",IF(J5073&lt;='Catatan &amp; Sumber'!$B$14,"Sangat Ketat",IF(J5073&lt;='Catatan &amp; Sumber'!$B$15,"Ketat",IF(J5073&lt;='Catatan &amp; Sumber'!$B$16,"Sedang","Relatif Longgar"))))</x:f>
        <x:v>Relatif Longgar</x:v>
      </x:c>
      <x:c r="N5073" s="66" t="str">
        <x:v>Tidak Ada</x:v>
      </x:c>
      <x:c r="O5073" s="66" t="str">
        <x:v>Papua Selatan</x:v>
      </x:c>
      <x:c r="P5073" s="66" t="str">
        <x:v>Kabupaten Merauke</x:v>
      </x:c>
      <x:c r="Q5073" s="66" t="str">
        <x:v>https://snpmb.id/snbp/daya-tampung-snbp</x:v>
      </x:c>
      <x:c r="R5073" s="66" t="str">
        <x:v>https://sidatagrun-public-1076756628210.asia-southeast2.run.app/ptn_sn.php?ptn=912</x:v>
      </x:c>
    </x:row>
    <x:row r="5074">
      <x:c r="A5074" s="87" t="n">
        <x:v>3257</x:v>
      </x:c>
      <x:c r="B5074" s="66" t="n">
        <x:v>912</x:v>
      </x:c>
      <x:c r="C5074" s="66" t="str">
        <x:v>UNIVERSITAS MUSAMUS MERAUKE</x:v>
      </x:c>
      <x:c r="D5074" s="66" t="str">
        <x:v>PTN Akademik</x:v>
      </x:c>
      <x:c r="E5074" s="66" t="str">
        <x:v>19121018</x:v>
      </x:c>
      <x:c r="F5074" s="66" t="str">
        <x:v>AKUNTANSI</x:v>
      </x:c>
      <x:c r="G5074" s="66" t="str">
        <x:v>Sarjana</x:v>
      </x:c>
      <x:c r="H5074" s="87" t="n">
        <x:v>24</x:v>
      </x:c>
      <x:c r="I5074" s="87" t="n">
        <x:v>67</x:v>
      </x:c>
      <x:c r="J5074" s="68" t="n">
        <x:f>IFERROR(H5074/I5074,"")</x:f>
        <x:v>0.3582089552238806</x:v>
      </x:c>
      <x:c r="K5074" s="69" t="n">
        <x:f>IFERROR(I5074/H5074,"")</x:f>
        <x:v>2.7916666666666665</x:v>
      </x:c>
      <x:c r="L5074" s="66" t="str">
        <x:f>IF(K5074="","","1 : "&amp;TEXT(K5074,"0.0"))</x:f>
        <x:v>1 : 2.8</x:v>
      </x:c>
      <x:c r="M5074" s="66" t="str">
        <x:f>IF(J5074="","Baru/Tanpa Data",IF(J5074&lt;='Catatan &amp; Sumber'!$B$14,"Sangat Ketat",IF(J5074&lt;='Catatan &amp; Sumber'!$B$15,"Ketat",IF(J5074&lt;='Catatan &amp; Sumber'!$B$16,"Sedang","Relatif Longgar"))))</x:f>
        <x:v>Relatif Longgar</x:v>
      </x:c>
      <x:c r="N5074" s="66" t="str">
        <x:v>Tidak Ada</x:v>
      </x:c>
      <x:c r="O5074" s="66" t="str">
        <x:v>Papua Selatan</x:v>
      </x:c>
      <x:c r="P5074" s="66" t="str">
        <x:v>Kabupaten Merauke</x:v>
      </x:c>
      <x:c r="Q5074" s="66" t="str">
        <x:v>https://snpmb.id/snbp/daya-tampung-snbp</x:v>
      </x:c>
      <x:c r="R5074" s="66" t="str">
        <x:v>https://sidatagrun-public-1076756628210.asia-southeast2.run.app/ptn_sn.php?ptn=912</x:v>
      </x:c>
    </x:row>
    <x:row r="5075">
      <x:c r="A5075" s="87" t="n">
        <x:v>3455</x:v>
      </x:c>
      <x:c r="B5075" s="66" t="n">
        <x:v>912</x:v>
      </x:c>
      <x:c r="C5075" s="66" t="str">
        <x:v>UNIVERSITAS MUSAMUS MERAUKE</x:v>
      </x:c>
      <x:c r="D5075" s="66" t="str">
        <x:v>PTN Akademik</x:v>
      </x:c>
      <x:c r="E5075" s="66" t="str">
        <x:v>19121019</x:v>
      </x:c>
      <x:c r="F5075" s="66" t="str">
        <x:v>ILMU ADMINISTRASI NEGARA</x:v>
      </x:c>
      <x:c r="G5075" s="66" t="str">
        <x:v>Sarjana</x:v>
      </x:c>
      <x:c r="H5075" s="87" t="n">
        <x:v>40</x:v>
      </x:c>
      <x:c r="I5075" s="87" t="n">
        <x:v>95</x:v>
      </x:c>
      <x:c r="J5075" s="68" t="n">
        <x:f>IFERROR(H5075/I5075,"")</x:f>
        <x:v>0.42105263157894735</x:v>
      </x:c>
      <x:c r="K5075" s="69" t="n">
        <x:f>IFERROR(I5075/H5075,"")</x:f>
        <x:v>2.375</x:v>
      </x:c>
      <x:c r="L5075" s="66" t="str">
        <x:f>IF(K5075="","","1 : "&amp;TEXT(K5075,"0.0"))</x:f>
        <x:v>1 : 2.4</x:v>
      </x:c>
      <x:c r="M5075" s="66" t="str">
        <x:f>IF(J5075="","Baru/Tanpa Data",IF(J5075&lt;='Catatan &amp; Sumber'!$B$14,"Sangat Ketat",IF(J5075&lt;='Catatan &amp; Sumber'!$B$15,"Ketat",IF(J5075&lt;='Catatan &amp; Sumber'!$B$16,"Sedang","Relatif Longgar"))))</x:f>
        <x:v>Relatif Longgar</x:v>
      </x:c>
      <x:c r="N5075" s="66" t="str">
        <x:v>Tidak Ada</x:v>
      </x:c>
      <x:c r="O5075" s="66" t="str">
        <x:v>Papua Selatan</x:v>
      </x:c>
      <x:c r="P5075" s="66" t="str">
        <x:v>Kabupaten Merauke</x:v>
      </x:c>
      <x:c r="Q5075" s="66" t="str">
        <x:v>https://snpmb.id/snbp/daya-tampung-snbp</x:v>
      </x:c>
      <x:c r="R5075" s="66" t="str">
        <x:v>https://sidatagrun-public-1076756628210.asia-southeast2.run.app/ptn_sn.php?ptn=912</x:v>
      </x:c>
    </x:row>
    <x:row r="5076">
      <x:c r="A5076" s="87" t="n">
        <x:v>4854</x:v>
      </x:c>
      <x:c r="B5076" s="66" t="n">
        <x:v>912</x:v>
      </x:c>
      <x:c r="C5076" s="66" t="str">
        <x:v>UNIVERSITAS MUSAMUS MERAUKE</x:v>
      </x:c>
      <x:c r="D5076" s="66" t="str">
        <x:v>PTN Akademik</x:v>
      </x:c>
      <x:c r="E5076" s="66" t="str">
        <x:v>19121020</x:v>
      </x:c>
      <x:c r="F5076" s="66" t="str">
        <x:v>PENDIDIKAN JASMANI, KESEHATAN DAN REKREASI</x:v>
      </x:c>
      <x:c r="G5076" s="66" t="str">
        <x:v>Sarjana</x:v>
      </x:c>
      <x:c r="H5076" s="87" t="n">
        <x:v>28</x:v>
      </x:c>
      <x:c r="I5076" s="87" t="n">
        <x:v>5</x:v>
      </x:c>
      <x:c r="J5076" s="68" t="n">
        <x:f>IFERROR(H5076/I5076,"")</x:f>
        <x:v>5.6</x:v>
      </x:c>
      <x:c r="K5076" s="69" t="n">
        <x:f>IFERROR(I5076/H5076,"")</x:f>
        <x:v>0.17857142857142858</x:v>
      </x:c>
      <x:c r="L5076" s="66" t="str">
        <x:f>IF(K5076="","","1 : "&amp;TEXT(K5076,"0.0"))</x:f>
        <x:v>1 : 0.2</x:v>
      </x:c>
      <x:c r="M5076" s="66" t="str">
        <x:f>IF(J5076="","Baru/Tanpa Data",IF(J5076&lt;='Catatan &amp; Sumber'!$B$14,"Sangat Ketat",IF(J5076&lt;='Catatan &amp; Sumber'!$B$15,"Ketat",IF(J5076&lt;='Catatan &amp; Sumber'!$B$16,"Sedang","Relatif Longgar"))))</x:f>
        <x:v>Relatif Longgar</x:v>
      </x:c>
      <x:c r="N5076" s="66" t="str">
        <x:v>Olahraga</x:v>
      </x:c>
      <x:c r="O5076" s="66" t="str">
        <x:v>Papua Selatan</x:v>
      </x:c>
      <x:c r="P5076" s="66" t="str">
        <x:v>Kabupaten Merauke</x:v>
      </x:c>
      <x:c r="Q5076" s="66" t="str">
        <x:v>https://snpmb.id/snbp/daya-tampung-snbp</x:v>
      </x:c>
      <x:c r="R5076" s="66" t="str">
        <x:v>https://sidatagrun-public-1076756628210.asia-southeast2.run.app/ptn_sn.php?ptn=912</x:v>
      </x:c>
    </x:row>
    <x:row r="5077">
      <x:c r="A5077" s="87" t="n">
        <x:v>4429</x:v>
      </x:c>
      <x:c r="B5077" s="66" t="n">
        <x:v>912</x:v>
      </x:c>
      <x:c r="C5077" s="66" t="str">
        <x:v>UNIVERSITAS MUSAMUS MERAUKE</x:v>
      </x:c>
      <x:c r="D5077" s="66" t="str">
        <x:v>PTN Akademik</x:v>
      </x:c>
      <x:c r="E5077" s="66" t="str">
        <x:v>19121021</x:v>
      </x:c>
      <x:c r="F5077" s="66" t="str">
        <x:v>PENDIDIKAN BAHASA DAN SASTRA INDONESIA</x:v>
      </x:c>
      <x:c r="G5077" s="66" t="str">
        <x:v>Sarjana</x:v>
      </x:c>
      <x:c r="H5077" s="87" t="n">
        <x:v>20</x:v>
      </x:c>
      <x:c r="I5077" s="87" t="n">
        <x:v>17</x:v>
      </x:c>
      <x:c r="J5077" s="68" t="n">
        <x:f>IFERROR(H5077/I5077,"")</x:f>
        <x:v>1.1764705882352942</x:v>
      </x:c>
      <x:c r="K5077" s="69" t="n">
        <x:f>IFERROR(I5077/H5077,"")</x:f>
        <x:v>0.85</x:v>
      </x:c>
      <x:c r="L5077" s="66" t="str">
        <x:f>IF(K5077="","","1 : "&amp;TEXT(K5077,"0.0"))</x:f>
        <x:v>1 : 0.9</x:v>
      </x:c>
      <x:c r="M5077" s="66" t="str">
        <x:f>IF(J5077="","Baru/Tanpa Data",IF(J5077&lt;='Catatan &amp; Sumber'!$B$14,"Sangat Ketat",IF(J5077&lt;='Catatan &amp; Sumber'!$B$15,"Ketat",IF(J5077&lt;='Catatan &amp; Sumber'!$B$16,"Sedang","Relatif Longgar"))))</x:f>
        <x:v>Relatif Longgar</x:v>
      </x:c>
      <x:c r="N5077" s="66" t="str">
        <x:v>Tidak Ada</x:v>
      </x:c>
      <x:c r="O5077" s="66" t="str">
        <x:v>Papua Selatan</x:v>
      </x:c>
      <x:c r="P5077" s="66" t="str">
        <x:v>Kabupaten Merauke</x:v>
      </x:c>
      <x:c r="Q5077" s="66" t="str">
        <x:v>https://snpmb.id/snbp/daya-tampung-snbp</x:v>
      </x:c>
      <x:c r="R5077" s="66" t="str">
        <x:v>https://sidatagrun-public-1076756628210.asia-southeast2.run.app/ptn_sn.php?ptn=912</x:v>
      </x:c>
    </x:row>
    <x:row r="5078">
      <x:c r="A5078" s="87" t="n">
        <x:v>4305</x:v>
      </x:c>
      <x:c r="B5078" s="66" t="n">
        <x:v>912</x:v>
      </x:c>
      <x:c r="C5078" s="66" t="str">
        <x:v>UNIVERSITAS MUSAMUS MERAUKE</x:v>
      </x:c>
      <x:c r="D5078" s="66" t="str">
        <x:v>PTN Akademik</x:v>
      </x:c>
      <x:c r="E5078" s="66" t="str">
        <x:v>19121022</x:v>
      </x:c>
      <x:c r="F5078" s="66" t="str">
        <x:v>PENDIDIKAN BAHASA INGGRIS</x:v>
      </x:c>
      <x:c r="G5078" s="66" t="str">
        <x:v>Sarjana</x:v>
      </x:c>
      <x:c r="H5078" s="87" t="n">
        <x:v>8</x:v>
      </x:c>
      <x:c r="I5078" s="87" t="n">
        <x:v>8</x:v>
      </x:c>
      <x:c r="J5078" s="68" t="n">
        <x:f>IFERROR(H5078/I5078,"")</x:f>
        <x:v>1</x:v>
      </x:c>
      <x:c r="K5078" s="69" t="n">
        <x:f>IFERROR(I5078/H5078,"")</x:f>
        <x:v>1</x:v>
      </x:c>
      <x:c r="L5078" s="66" t="str">
        <x:f>IF(K5078="","","1 : "&amp;TEXT(K5078,"0.0"))</x:f>
        <x:v>1 : 1.0</x:v>
      </x:c>
      <x:c r="M5078" s="66" t="str">
        <x:f>IF(J5078="","Baru/Tanpa Data",IF(J5078&lt;='Catatan &amp; Sumber'!$B$14,"Sangat Ketat",IF(J5078&lt;='Catatan &amp; Sumber'!$B$15,"Ketat",IF(J5078&lt;='Catatan &amp; Sumber'!$B$16,"Sedang","Relatif Longgar"))))</x:f>
        <x:v>Relatif Longgar</x:v>
      </x:c>
      <x:c r="N5078" s="66" t="str">
        <x:v>Tidak Ada</x:v>
      </x:c>
      <x:c r="O5078" s="66" t="str">
        <x:v>Papua Selatan</x:v>
      </x:c>
      <x:c r="P5078" s="66" t="str">
        <x:v>Kabupaten Merauke</x:v>
      </x:c>
      <x:c r="Q5078" s="66" t="str">
        <x:v>https://snpmb.id/snbp/daya-tampung-snbp</x:v>
      </x:c>
      <x:c r="R5078" s="66" t="str">
        <x:v>https://sidatagrun-public-1076756628210.asia-southeast2.run.app/ptn_sn.php?ptn=912</x:v>
      </x:c>
    </x:row>
    <x:row r="5079">
      <x:c r="A5079" s="87" t="n">
        <x:v>4284</x:v>
      </x:c>
      <x:c r="B5079" s="66" t="n">
        <x:v>912</x:v>
      </x:c>
      <x:c r="C5079" s="66" t="str">
        <x:v>UNIVERSITAS MUSAMUS MERAUKE</x:v>
      </x:c>
      <x:c r="D5079" s="66" t="str">
        <x:v>PTN Akademik</x:v>
      </x:c>
      <x:c r="E5079" s="66" t="str">
        <x:v>19121023</x:v>
      </x:c>
      <x:c r="F5079" s="66" t="str">
        <x:v>PENDIDIKAN GURU SEKOLAH DASAR</x:v>
      </x:c>
      <x:c r="G5079" s="66" t="str">
        <x:v>Sarjana</x:v>
      </x:c>
      <x:c r="H5079" s="87" t="n">
        <x:v>35</x:v>
      </x:c>
      <x:c r="I5079" s="87" t="n">
        <x:v>37</x:v>
      </x:c>
      <x:c r="J5079" s="68" t="n">
        <x:f>IFERROR(H5079/I5079,"")</x:f>
        <x:v>0.9459459459459459</x:v>
      </x:c>
      <x:c r="K5079" s="69" t="n">
        <x:f>IFERROR(I5079/H5079,"")</x:f>
        <x:v>1.0571428571428572</x:v>
      </x:c>
      <x:c r="L5079" s="66" t="str">
        <x:f>IF(K5079="","","1 : "&amp;TEXT(K5079,"0.0"))</x:f>
        <x:v>1 : 1.1</x:v>
      </x:c>
      <x:c r="M5079" s="66" t="str">
        <x:f>IF(J5079="","Baru/Tanpa Data",IF(J5079&lt;='Catatan &amp; Sumber'!$B$14,"Sangat Ketat",IF(J5079&lt;='Catatan &amp; Sumber'!$B$15,"Ketat",IF(J5079&lt;='Catatan &amp; Sumber'!$B$16,"Sedang","Relatif Longgar"))))</x:f>
        <x:v>Relatif Longgar</x:v>
      </x:c>
      <x:c r="N5079" s="66" t="str">
        <x:v>Tidak Ada</x:v>
      </x:c>
      <x:c r="O5079" s="66" t="str">
        <x:v>Papua Selatan</x:v>
      </x:c>
      <x:c r="P5079" s="66" t="str">
        <x:v>Kabupaten Merauke</x:v>
      </x:c>
      <x:c r="Q5079" s="66" t="str">
        <x:v>https://snpmb.id/snbp/daya-tampung-snbp</x:v>
      </x:c>
      <x:c r="R5079" s="66" t="str">
        <x:v>https://sidatagrun-public-1076756628210.asia-southeast2.run.app/ptn_sn.php?ptn=912</x:v>
      </x:c>
    </x:row>
    <x:row r="5080">
      <x:c r="A5080" s="87" t="n">
        <x:v>4602</x:v>
      </x:c>
      <x:c r="B5080" s="66" t="n">
        <x:v>912</x:v>
      </x:c>
      <x:c r="C5080" s="66" t="str">
        <x:v>UNIVERSITAS MUSAMUS MERAUKE</x:v>
      </x:c>
      <x:c r="D5080" s="66" t="str">
        <x:v>PTN Akademik</x:v>
      </x:c>
      <x:c r="E5080" s="66" t="str">
        <x:v>19121024</x:v>
      </x:c>
      <x:c r="F5080" s="66" t="str">
        <x:v>PENDIDIKAN GURU PENDIDIKAN ANAK USIA DINI</x:v>
      </x:c>
      <x:c r="G5080" s="66" t="str">
        <x:v>Sarjana</x:v>
      </x:c>
      <x:c r="H5080" s="87" t="n">
        <x:v>10</x:v>
      </x:c>
      <x:c r="I5080" s="87" t="n">
        <x:v>6</x:v>
      </x:c>
      <x:c r="J5080" s="68" t="n">
        <x:f>IFERROR(H5080/I5080,"")</x:f>
        <x:v>1.6666666666666667</x:v>
      </x:c>
      <x:c r="K5080" s="69" t="n">
        <x:f>IFERROR(I5080/H5080,"")</x:f>
        <x:v>0.6</x:v>
      </x:c>
      <x:c r="L5080" s="66" t="str">
        <x:f>IF(K5080="","","1 : "&amp;TEXT(K5080,"0.0"))</x:f>
        <x:v>1 : 0.6</x:v>
      </x:c>
      <x:c r="M5080" s="66" t="str">
        <x:f>IF(J5080="","Baru/Tanpa Data",IF(J5080&lt;='Catatan &amp; Sumber'!$B$14,"Sangat Ketat",IF(J5080&lt;='Catatan &amp; Sumber'!$B$15,"Ketat",IF(J5080&lt;='Catatan &amp; Sumber'!$B$16,"Sedang","Relatif Longgar"))))</x:f>
        <x:v>Relatif Longgar</x:v>
      </x:c>
      <x:c r="N5080" s="66" t="str">
        <x:v>Tidak Ada</x:v>
      </x:c>
      <x:c r="O5080" s="66" t="str">
        <x:v>Papua Selatan</x:v>
      </x:c>
      <x:c r="P5080" s="66" t="str">
        <x:v>Kabupaten Merauke</x:v>
      </x:c>
      <x:c r="Q5080" s="66" t="str">
        <x:v>https://snpmb.id/snbp/daya-tampung-snbp</x:v>
      </x:c>
      <x:c r="R5080" s="66" t="str">
        <x:v>https://sidatagrun-public-1076756628210.asia-southeast2.run.app/ptn_sn.php?ptn=912</x:v>
      </x:c>
    </x:row>
    <x:row r="5081">
      <x:c r="A5081" s="87" t="n">
        <x:v>3690</x:v>
      </x:c>
      <x:c r="B5081" s="66" t="n">
        <x:v>912</x:v>
      </x:c>
      <x:c r="C5081" s="66" t="str">
        <x:v>UNIVERSITAS MUSAMUS MERAUKE</x:v>
      </x:c>
      <x:c r="D5081" s="66" t="str">
        <x:v>PTN Akademik</x:v>
      </x:c>
      <x:c r="E5081" s="66" t="str">
        <x:v>19121025</x:v>
      </x:c>
      <x:c r="F5081" s="66" t="str">
        <x:v>ILMU HUKUM</x:v>
      </x:c>
      <x:c r="G5081" s="66" t="str">
        <x:v>Sarjana</x:v>
      </x:c>
      <x:c r="H5081" s="87" t="n">
        <x:v>43</x:v>
      </x:c>
      <x:c r="I5081" s="87" t="n">
        <x:v>84</x:v>
      </x:c>
      <x:c r="J5081" s="68" t="n">
        <x:f>IFERROR(H5081/I5081,"")</x:f>
        <x:v>0.5119047619047619</x:v>
      </x:c>
      <x:c r="K5081" s="69" t="n">
        <x:f>IFERROR(I5081/H5081,"")</x:f>
        <x:v>1.9534883720930232</x:v>
      </x:c>
      <x:c r="L5081" s="66" t="str">
        <x:f>IF(K5081="","","1 : "&amp;TEXT(K5081,"0.0"))</x:f>
        <x:v>1 : 2.0</x:v>
      </x:c>
      <x:c r="M5081" s="66" t="str">
        <x:f>IF(J5081="","Baru/Tanpa Data",IF(J5081&lt;='Catatan &amp; Sumber'!$B$14,"Sangat Ketat",IF(J5081&lt;='Catatan &amp; Sumber'!$B$15,"Ketat",IF(J5081&lt;='Catatan &amp; Sumber'!$B$16,"Sedang","Relatif Longgar"))))</x:f>
        <x:v>Relatif Longgar</x:v>
      </x:c>
      <x:c r="N5081" s="66" t="str">
        <x:v>Tidak Ada</x:v>
      </x:c>
      <x:c r="O5081" s="66" t="str">
        <x:v>Papua Selatan</x:v>
      </x:c>
      <x:c r="P5081" s="66" t="str">
        <x:v>Kabupaten Merauke</x:v>
      </x:c>
      <x:c r="Q5081" s="66" t="str">
        <x:v>https://snpmb.id/snbp/daya-tampung-snbp</x:v>
      </x:c>
      <x:c r="R5081" s="66" t="str">
        <x:v>https://sidatagrun-public-1076756628210.asia-southeast2.run.app/ptn_sn.php?ptn=912</x:v>
      </x:c>
    </x:row>
    <x:row r="5082">
      <x:c r="A5082" s="87" t="n">
        <x:v>3750</x:v>
      </x:c>
      <x:c r="B5082" s="66" t="n">
        <x:v>912</x:v>
      </x:c>
      <x:c r="C5082" s="66" t="str">
        <x:v>UNIVERSITAS MUSAMUS MERAUKE</x:v>
      </x:c>
      <x:c r="D5082" s="66" t="str">
        <x:v>PTN Akademik</x:v>
      </x:c>
      <x:c r="E5082" s="66" t="str">
        <x:v>19121026</x:v>
      </x:c>
      <x:c r="F5082" s="66" t="str">
        <x:v>SASTRA INGGRIS</x:v>
      </x:c>
      <x:c r="G5082" s="66" t="str">
        <x:v>Sarjana</x:v>
      </x:c>
      <x:c r="H5082" s="87" t="n">
        <x:v>6</x:v>
      </x:c>
      <x:c r="I5082" s="87" t="n">
        <x:v>11</x:v>
      </x:c>
      <x:c r="J5082" s="68" t="n">
        <x:f>IFERROR(H5082/I5082,"")</x:f>
        <x:v>0.5454545454545454</x:v>
      </x:c>
      <x:c r="K5082" s="69" t="n">
        <x:f>IFERROR(I5082/H5082,"")</x:f>
        <x:v>1.8333333333333333</x:v>
      </x:c>
      <x:c r="L5082" s="66" t="str">
        <x:f>IF(K5082="","","1 : "&amp;TEXT(K5082,"0.0"))</x:f>
        <x:v>1 : 1.8</x:v>
      </x:c>
      <x:c r="M5082" s="66" t="str">
        <x:f>IF(J5082="","Baru/Tanpa Data",IF(J5082&lt;='Catatan &amp; Sumber'!$B$14,"Sangat Ketat",IF(J5082&lt;='Catatan &amp; Sumber'!$B$15,"Ketat",IF(J5082&lt;='Catatan &amp; Sumber'!$B$16,"Sedang","Relatif Longgar"))))</x:f>
        <x:v>Relatif Longgar</x:v>
      </x:c>
      <x:c r="N5082" s="66" t="str">
        <x:v>Tidak Ada</x:v>
      </x:c>
      <x:c r="O5082" s="66" t="str">
        <x:v>Papua Selatan</x:v>
      </x:c>
      <x:c r="P5082" s="66" t="str">
        <x:v>Kabupaten Merauke</x:v>
      </x:c>
      <x:c r="Q5082" s="66" t="str">
        <x:v>https://snpmb.id/snbp/daya-tampung-snbp</x:v>
      </x:c>
      <x:c r="R5082" s="66" t="str">
        <x:v>https://sidatagrun-public-1076756628210.asia-southeast2.run.app/ptn_sn.php?ptn=912</x:v>
      </x:c>
    </x:row>
    <x:row r="5083">
      <x:c r="A5083" s="87" t="n">
        <x:v>4584</x:v>
      </x:c>
      <x:c r="B5083" s="66" t="n">
        <x:v>912</x:v>
      </x:c>
      <x:c r="C5083" s="66" t="str">
        <x:v>UNIVERSITAS MUSAMUS MERAUKE</x:v>
      </x:c>
      <x:c r="D5083" s="66" t="str">
        <x:v>PTN Akademik</x:v>
      </x:c>
      <x:c r="E5083" s="66" t="str">
        <x:v>19121027</x:v>
      </x:c>
      <x:c r="F5083" s="66" t="str">
        <x:v>PENDIDIKAN EKONOMI</x:v>
      </x:c>
      <x:c r="G5083" s="66" t="str">
        <x:v>Sarjana</x:v>
      </x:c>
      <x:c r="H5083" s="87" t="n">
        <x:v>16</x:v>
      </x:c>
      <x:c r="I5083" s="87" t="n">
        <x:v>10</x:v>
      </x:c>
      <x:c r="J5083" s="68" t="n">
        <x:f>IFERROR(H5083/I5083,"")</x:f>
        <x:v>1.6</x:v>
      </x:c>
      <x:c r="K5083" s="69" t="n">
        <x:f>IFERROR(I5083/H5083,"")</x:f>
        <x:v>0.625</x:v>
      </x:c>
      <x:c r="L5083" s="66" t="str">
        <x:f>IF(K5083="","","1 : "&amp;TEXT(K5083,"0.0"))</x:f>
        <x:v>1 : 0.6</x:v>
      </x:c>
      <x:c r="M5083" s="66" t="str">
        <x:f>IF(J5083="","Baru/Tanpa Data",IF(J5083&lt;='Catatan &amp; Sumber'!$B$14,"Sangat Ketat",IF(J5083&lt;='Catatan &amp; Sumber'!$B$15,"Ketat",IF(J5083&lt;='Catatan &amp; Sumber'!$B$16,"Sedang","Relatif Longgar"))))</x:f>
        <x:v>Relatif Longgar</x:v>
      </x:c>
      <x:c r="N5083" s="66" t="str">
        <x:v>Tidak Ada</x:v>
      </x:c>
      <x:c r="O5083" s="66" t="str">
        <x:v>Papua Selatan</x:v>
      </x:c>
      <x:c r="P5083" s="66" t="str">
        <x:v>Kabupaten Merauke</x:v>
      </x:c>
      <x:c r="Q5083" s="66" t="str">
        <x:v>https://snpmb.id/snbp/daya-tampung-snbp</x:v>
      </x:c>
      <x:c r="R5083" s="66" t="str">
        <x:v>https://sidatagrun-public-1076756628210.asia-southeast2.run.app/ptn_sn.php?ptn=912</x:v>
      </x:c>
    </x:row>
    <x:row r="5084">
      <x:c r="A5084" s="87" t="n">
        <x:v>4392</x:v>
      </x:c>
      <x:c r="B5084" s="66" t="n">
        <x:v>912</x:v>
      </x:c>
      <x:c r="C5084" s="66" t="str">
        <x:v>UNIVERSITAS MUSAMUS MERAUKE</x:v>
      </x:c>
      <x:c r="D5084" s="66" t="str">
        <x:v>PTN Akademik</x:v>
      </x:c>
      <x:c r="E5084" s="66" t="str">
        <x:v>19121028</x:v>
      </x:c>
      <x:c r="F5084" s="66" t="str">
        <x:v>PERENCANAAN WILAYAH DAN KOTA</x:v>
      </x:c>
      <x:c r="G5084" s="66" t="str">
        <x:v>Sarjana</x:v>
      </x:c>
      <x:c r="H5084" s="87" t="n">
        <x:v>10</x:v>
      </x:c>
      <x:c r="I5084" s="87" t="n">
        <x:v>9</x:v>
      </x:c>
      <x:c r="J5084" s="68" t="n">
        <x:f>IFERROR(H5084/I5084,"")</x:f>
        <x:v>1.1111111111111112</x:v>
      </x:c>
      <x:c r="K5084" s="69" t="n">
        <x:f>IFERROR(I5084/H5084,"")</x:f>
        <x:v>0.9</x:v>
      </x:c>
      <x:c r="L5084" s="66" t="str">
        <x:f>IF(K5084="","","1 : "&amp;TEXT(K5084,"0.0"))</x:f>
        <x:v>1 : 0.9</x:v>
      </x:c>
      <x:c r="M5084" s="66" t="str">
        <x:f>IF(J5084="","Baru/Tanpa Data",IF(J5084&lt;='Catatan &amp; Sumber'!$B$14,"Sangat Ketat",IF(J5084&lt;='Catatan &amp; Sumber'!$B$15,"Ketat",IF(J5084&lt;='Catatan &amp; Sumber'!$B$16,"Sedang","Relatif Longgar"))))</x:f>
        <x:v>Relatif Longgar</x:v>
      </x:c>
      <x:c r="N5084" s="66" t="str">
        <x:v>Tidak Ada</x:v>
      </x:c>
      <x:c r="O5084" s="66" t="str">
        <x:v>Papua Selatan</x:v>
      </x:c>
      <x:c r="P5084" s="66" t="str">
        <x:v>Kabupaten Merauke</x:v>
      </x:c>
      <x:c r="Q5084" s="66" t="str">
        <x:v>https://snpmb.id/snbp/daya-tampung-snbp</x:v>
      </x:c>
      <x:c r="R5084" s="66" t="str">
        <x:v>https://sidatagrun-public-1076756628210.asia-southeast2.run.app/ptn_sn.php?ptn=912</x:v>
      </x:c>
    </x:row>
    <x:row r="5085">
      <x:c r="A5085" s="87" t="n">
        <x:v>4759</x:v>
      </x:c>
      <x:c r="B5085" s="66" t="n">
        <x:v>912</x:v>
      </x:c>
      <x:c r="C5085" s="66" t="str">
        <x:v>UNIVERSITAS MUSAMUS MERAUKE</x:v>
      </x:c>
      <x:c r="D5085" s="66" t="str">
        <x:v>PTN Akademik</x:v>
      </x:c>
      <x:c r="E5085" s="66" t="str">
        <x:v>19121029</x:v>
      </x:c>
      <x:c r="F5085" s="66" t="str">
        <x:v>TEKNIK SISTEM PERKAPALAN</x:v>
      </x:c>
      <x:c r="G5085" s="66" t="str">
        <x:v>Sarjana</x:v>
      </x:c>
      <x:c r="H5085" s="87" t="n">
        <x:v>6</x:v>
      </x:c>
      <x:c r="I5085" s="87" t="n">
        <x:v>2</x:v>
      </x:c>
      <x:c r="J5085" s="68" t="n">
        <x:f>IFERROR(H5085/I5085,"")</x:f>
        <x:v>3</x:v>
      </x:c>
      <x:c r="K5085" s="69" t="n">
        <x:f>IFERROR(I5085/H5085,"")</x:f>
        <x:v>0.3333333333333333</x:v>
      </x:c>
      <x:c r="L5085" s="66" t="str">
        <x:f>IF(K5085="","","1 : "&amp;TEXT(K5085,"0.0"))</x:f>
        <x:v>1 : 0.3</x:v>
      </x:c>
      <x:c r="M5085" s="66" t="str">
        <x:f>IF(J5085="","Baru/Tanpa Data",IF(J5085&lt;='Catatan &amp; Sumber'!$B$14,"Sangat Ketat",IF(J5085&lt;='Catatan &amp; Sumber'!$B$15,"Ketat",IF(J5085&lt;='Catatan &amp; Sumber'!$B$16,"Sedang","Relatif Longgar"))))</x:f>
        <x:v>Relatif Longgar</x:v>
      </x:c>
      <x:c r="N5085" s="66" t="str">
        <x:v>Tidak Ada</x:v>
      </x:c>
      <x:c r="O5085" s="66" t="str">
        <x:v>Papua Selatan</x:v>
      </x:c>
      <x:c r="P5085" s="66" t="str">
        <x:v>Kabupaten Merauke</x:v>
      </x:c>
      <x:c r="Q5085" s="66" t="str">
        <x:v>https://snpmb.id/snbp/daya-tampung-snbp</x:v>
      </x:c>
      <x:c r="R5085" s="66" t="str">
        <x:v>https://sidatagrun-public-1076756628210.asia-southeast2.run.app/ptn_sn.php?ptn=912</x:v>
      </x:c>
    </x:row>
    <x:row r="5086">
      <x:c r="A5086" s="87"/>
      <x:c r="B5086" s="66" t="n">
        <x:v>912</x:v>
      </x:c>
      <x:c r="C5086" s="66" t="str">
        <x:v>UNIVERSITAS MUSAMUS MERAUKE</x:v>
      </x:c>
      <x:c r="D5086" s="66" t="str">
        <x:v>PTN Akademik</x:v>
      </x:c>
      <x:c r="E5086" s="66" t="str">
        <x:v>19121030</x:v>
      </x:c>
      <x:c r="F5086" s="66" t="str">
        <x:v>ILMU POLITIK</x:v>
      </x:c>
      <x:c r="G5086" s="66" t="str">
        <x:v>Sarjana</x:v>
      </x:c>
      <x:c r="H5086" s="87" t="n">
        <x:v>8</x:v>
      </x:c>
      <x:c r="I5086" s="87"/>
      <x:c r="J5086" s="68" t="str">
        <x:f>IFERROR(H5086/I5086,"")</x:f>
      </x:c>
      <x:c r="K5086" s="69" t="n">
        <x:f>IFERROR(I5086/H5086,"")</x:f>
        <x:v>0</x:v>
      </x:c>
      <x:c r="L5086" s="66" t="str">
        <x:f>IF(K5086="","","1 : "&amp;TEXT(K5086,"0.0"))</x:f>
      </x:c>
      <x:c r="M5086" s="66" t="str">
        <x:f>IF(J5086="","Baru/Tanpa Data",IF(J5086&lt;='Catatan &amp; Sumber'!$B$14,"Sangat Ketat",IF(J5086&lt;='Catatan &amp; Sumber'!$B$15,"Ketat",IF(J5086&lt;='Catatan &amp; Sumber'!$B$16,"Sedang","Relatif Longgar"))))</x:f>
        <x:v>Baru/Tanpa Data</x:v>
      </x:c>
      <x:c r="N5086" s="66" t="str">
        <x:v>Tidak Ada</x:v>
      </x:c>
      <x:c r="O5086" s="66" t="str">
        <x:v>Papua Selatan</x:v>
      </x:c>
      <x:c r="P5086" s="66" t="str">
        <x:v>Kabupaten Merauke</x:v>
      </x:c>
      <x:c r="Q5086" s="66" t="str">
        <x:v>https://snpmb.id/snbp/daya-tampung-snbp</x:v>
      </x:c>
      <x:c r="R5086" s="66" t="str">
        <x:v>https://sidatagrun-public-1076756628210.asia-southeast2.run.app/ptn_sn.php?ptn=912</x:v>
      </x:c>
    </x:row>
    <x:row r="5087">
      <x:c r="A5087" s="87"/>
      <x:c r="B5087" s="66" t="n">
        <x:v>912</x:v>
      </x:c>
      <x:c r="C5087" s="66" t="str">
        <x:v>UNIVERSITAS MUSAMUS MERAUKE</x:v>
      </x:c>
      <x:c r="D5087" s="66" t="str">
        <x:v>PTN Akademik</x:v>
      </x:c>
      <x:c r="E5087" s="66" t="str">
        <x:v>19121031</x:v>
      </x:c>
      <x:c r="F5087" s="66" t="str">
        <x:v>PEMBANGUNAN SOSIAL</x:v>
      </x:c>
      <x:c r="G5087" s="66" t="str">
        <x:v>Sarjana</x:v>
      </x:c>
      <x:c r="H5087" s="87" t="n">
        <x:v>6</x:v>
      </x:c>
      <x:c r="I5087" s="87"/>
      <x:c r="J5087" s="68" t="str">
        <x:f>IFERROR(H5087/I5087,"")</x:f>
      </x:c>
      <x:c r="K5087" s="69" t="n">
        <x:f>IFERROR(I5087/H5087,"")</x:f>
        <x:v>0</x:v>
      </x:c>
      <x:c r="L5087" s="66" t="str">
        <x:f>IF(K5087="","","1 : "&amp;TEXT(K5087,"0.0"))</x:f>
      </x:c>
      <x:c r="M5087" s="66" t="str">
        <x:f>IF(J5087="","Baru/Tanpa Data",IF(J5087&lt;='Catatan &amp; Sumber'!$B$14,"Sangat Ketat",IF(J5087&lt;='Catatan &amp; Sumber'!$B$15,"Ketat",IF(J5087&lt;='Catatan &amp; Sumber'!$B$16,"Sedang","Relatif Longgar"))))</x:f>
        <x:v>Baru/Tanpa Data</x:v>
      </x:c>
      <x:c r="N5087" s="66" t="str">
        <x:v>Tidak Ada</x:v>
      </x:c>
      <x:c r="O5087" s="66" t="str">
        <x:v>Papua Selatan</x:v>
      </x:c>
      <x:c r="P5087" s="66" t="str">
        <x:v>Kabupaten Merauke</x:v>
      </x:c>
      <x:c r="Q5087" s="66" t="str">
        <x:v>https://snpmb.id/snbp/daya-tampung-snbp</x:v>
      </x:c>
      <x:c r="R5087" s="66" t="str">
        <x:v>https://sidatagrun-public-1076756628210.asia-southeast2.run.app/ptn_sn.php?ptn=912</x:v>
      </x:c>
    </x:row>
    <x:row r="5088">
      <x:c r="A5088" s="87" t="n">
        <x:v>4739</x:v>
      </x:c>
      <x:c r="B5088" s="66" t="n">
        <x:v>913</x:v>
      </x:c>
      <x:c r="C5088" s="66" t="str">
        <x:v>ISBI TANAH PAPUA</x:v>
      </x:c>
      <x:c r="D5088" s="66" t="str">
        <x:v>PTN Akademik</x:v>
      </x:c>
      <x:c r="E5088" s="66" t="str">
        <x:v>19131001</x:v>
      </x:c>
      <x:c r="F5088" s="66" t="str">
        <x:v>DESAIN KOMUNIKASI VISUAL</x:v>
      </x:c>
      <x:c r="G5088" s="66" t="str">
        <x:v>Sarjana</x:v>
      </x:c>
      <x:c r="H5088" s="87" t="n">
        <x:v>8</x:v>
      </x:c>
      <x:c r="I5088" s="87" t="n">
        <x:v>3</x:v>
      </x:c>
      <x:c r="J5088" s="68" t="n">
        <x:f>IFERROR(H5088/I5088,"")</x:f>
        <x:v>2.6666666666666665</x:v>
      </x:c>
      <x:c r="K5088" s="69" t="n">
        <x:f>IFERROR(I5088/H5088,"")</x:f>
        <x:v>0.375</x:v>
      </x:c>
      <x:c r="L5088" s="66" t="str">
        <x:f>IF(K5088="","","1 : "&amp;TEXT(K5088,"0.0"))</x:f>
        <x:v>1 : 0.4</x:v>
      </x:c>
      <x:c r="M5088" s="66" t="str">
        <x:f>IF(J5088="","Baru/Tanpa Data",IF(J5088&lt;='Catatan &amp; Sumber'!$B$14,"Sangat Ketat",IF(J5088&lt;='Catatan &amp; Sumber'!$B$15,"Ketat",IF(J5088&lt;='Catatan &amp; Sumber'!$B$16,"Sedang","Relatif Longgar"))))</x:f>
        <x:v>Relatif Longgar</x:v>
      </x:c>
      <x:c r="N5088" s="66" t="str">
        <x:v>Seni Rupa, Desain, dan Kriya</x:v>
      </x:c>
      <x:c r="O5088" s="66" t="str">
        <x:v>Papua</x:v>
      </x:c>
      <x:c r="P5088" s="66" t="str">
        <x:v>Kabupate Jayapura</x:v>
      </x:c>
      <x:c r="Q5088" s="66" t="str">
        <x:v>https://snpmb.id/snbp/daya-tampung-snbp</x:v>
      </x:c>
      <x:c r="R5088" s="66" t="str">
        <x:v>https://sidatagrun-public-1076756628210.asia-southeast2.run.app/ptn_sn.php?ptn=913</x:v>
      </x:c>
    </x:row>
    <x:row r="5089">
      <x:c r="A5089" s="87"/>
      <x:c r="B5089" s="66" t="n">
        <x:v>913</x:v>
      </x:c>
      <x:c r="C5089" s="66" t="str">
        <x:v>ISBI TANAH PAPUA</x:v>
      </x:c>
      <x:c r="D5089" s="66" t="str">
        <x:v>PTN Akademik</x:v>
      </x:c>
      <x:c r="E5089" s="66" t="str">
        <x:v>19131002</x:v>
      </x:c>
      <x:c r="F5089" s="66" t="str">
        <x:v>SENI RUPA MURNI</x:v>
      </x:c>
      <x:c r="G5089" s="66" t="str">
        <x:v>Sarjana</x:v>
      </x:c>
      <x:c r="H5089" s="87" t="n">
        <x:v>8</x:v>
      </x:c>
      <x:c r="I5089" s="87"/>
      <x:c r="J5089" s="68" t="str">
        <x:f>IFERROR(H5089/I5089,"")</x:f>
      </x:c>
      <x:c r="K5089" s="69" t="n">
        <x:f>IFERROR(I5089/H5089,"")</x:f>
        <x:v>0</x:v>
      </x:c>
      <x:c r="L5089" s="66" t="str">
        <x:f>IF(K5089="","","1 : "&amp;TEXT(K5089,"0.0"))</x:f>
      </x:c>
      <x:c r="M5089" s="66" t="str">
        <x:f>IF(J5089="","Baru/Tanpa Data",IF(J5089&lt;='Catatan &amp; Sumber'!$B$14,"Sangat Ketat",IF(J5089&lt;='Catatan &amp; Sumber'!$B$15,"Ketat",IF(J5089&lt;='Catatan &amp; Sumber'!$B$16,"Sedang","Relatif Longgar"))))</x:f>
        <x:v>Baru/Tanpa Data</x:v>
      </x:c>
      <x:c r="N5089" s="66" t="str">
        <x:v>Seni Rupa, Desain, dan Kriya</x:v>
      </x:c>
      <x:c r="O5089" s="66" t="str">
        <x:v>Papua</x:v>
      </x:c>
      <x:c r="P5089" s="66" t="str">
        <x:v>Kabupate Jayapura</x:v>
      </x:c>
      <x:c r="Q5089" s="66" t="str">
        <x:v>https://snpmb.id/snbp/daya-tampung-snbp</x:v>
      </x:c>
      <x:c r="R5089" s="66" t="str">
        <x:v>https://sidatagrun-public-1076756628210.asia-southeast2.run.app/ptn_sn.php?ptn=913</x:v>
      </x:c>
    </x:row>
    <x:row r="5090">
      <x:c r="A5090" s="87"/>
      <x:c r="B5090" s="66" t="n">
        <x:v>913</x:v>
      </x:c>
      <x:c r="C5090" s="66" t="str">
        <x:v>ISBI TANAH PAPUA</x:v>
      </x:c>
      <x:c r="D5090" s="66" t="str">
        <x:v>PTN Akademik</x:v>
      </x:c>
      <x:c r="E5090" s="66" t="str">
        <x:v>19131003</x:v>
      </x:c>
      <x:c r="F5090" s="66" t="str">
        <x:v>SENI KRIYA</x:v>
      </x:c>
      <x:c r="G5090" s="66" t="str">
        <x:v>Sarjana</x:v>
      </x:c>
      <x:c r="H5090" s="87" t="n">
        <x:v>8</x:v>
      </x:c>
      <x:c r="I5090" s="87"/>
      <x:c r="J5090" s="68" t="str">
        <x:f>IFERROR(H5090/I5090,"")</x:f>
      </x:c>
      <x:c r="K5090" s="69" t="n">
        <x:f>IFERROR(I5090/H5090,"")</x:f>
        <x:v>0</x:v>
      </x:c>
      <x:c r="L5090" s="66" t="str">
        <x:f>IF(K5090="","","1 : "&amp;TEXT(K5090,"0.0"))</x:f>
      </x:c>
      <x:c r="M5090" s="66" t="str">
        <x:f>IF(J5090="","Baru/Tanpa Data",IF(J5090&lt;='Catatan &amp; Sumber'!$B$14,"Sangat Ketat",IF(J5090&lt;='Catatan &amp; Sumber'!$B$15,"Ketat",IF(J5090&lt;='Catatan &amp; Sumber'!$B$16,"Sedang","Relatif Longgar"))))</x:f>
        <x:v>Baru/Tanpa Data</x:v>
      </x:c>
      <x:c r="N5090" s="66" t="str">
        <x:v>Seni Rupa, Desain, dan Kriya</x:v>
      </x:c>
      <x:c r="O5090" s="66" t="str">
        <x:v>Papua</x:v>
      </x:c>
      <x:c r="P5090" s="66" t="str">
        <x:v>Kabupate Jayapura</x:v>
      </x:c>
      <x:c r="Q5090" s="66" t="str">
        <x:v>https://snpmb.id/snbp/daya-tampung-snbp</x:v>
      </x:c>
      <x:c r="R5090" s="66" t="str">
        <x:v>https://sidatagrun-public-1076756628210.asia-southeast2.run.app/ptn_sn.php?ptn=913</x:v>
      </x:c>
    </x:row>
    <x:row r="5091">
      <x:c r="A5091" s="87"/>
      <x:c r="B5091" s="66" t="n">
        <x:v>913</x:v>
      </x:c>
      <x:c r="C5091" s="66" t="str">
        <x:v>ISBI TANAH PAPUA</x:v>
      </x:c>
      <x:c r="D5091" s="66" t="str">
        <x:v>PTN Akademik</x:v>
      </x:c>
      <x:c r="E5091" s="66" t="str">
        <x:v>19131004</x:v>
      </x:c>
      <x:c r="F5091" s="66" t="str">
        <x:v>SENI MUSIK</x:v>
      </x:c>
      <x:c r="G5091" s="66" t="str">
        <x:v>Sarjana</x:v>
      </x:c>
      <x:c r="H5091" s="87" t="n">
        <x:v>8</x:v>
      </x:c>
      <x:c r="I5091" s="87"/>
      <x:c r="J5091" s="68" t="str">
        <x:f>IFERROR(H5091/I5091,"")</x:f>
      </x:c>
      <x:c r="K5091" s="69" t="n">
        <x:f>IFERROR(I5091/H5091,"")</x:f>
        <x:v>0</x:v>
      </x:c>
      <x:c r="L5091" s="66" t="str">
        <x:f>IF(K5091="","","1 : "&amp;TEXT(K5091,"0.0"))</x:f>
      </x:c>
      <x:c r="M5091" s="66" t="str">
        <x:f>IF(J5091="","Baru/Tanpa Data",IF(J5091&lt;='Catatan &amp; Sumber'!$B$14,"Sangat Ketat",IF(J5091&lt;='Catatan &amp; Sumber'!$B$15,"Ketat",IF(J5091&lt;='Catatan &amp; Sumber'!$B$16,"Sedang","Relatif Longgar"))))</x:f>
        <x:v>Baru/Tanpa Data</x:v>
      </x:c>
      <x:c r="N5091" s="66" t="str">
        <x:v>Musik</x:v>
      </x:c>
      <x:c r="O5091" s="66" t="str">
        <x:v>Papua</x:v>
      </x:c>
      <x:c r="P5091" s="66" t="str">
        <x:v>Kabupate Jayapura</x:v>
      </x:c>
      <x:c r="Q5091" s="66" t="str">
        <x:v>https://snpmb.id/snbp/daya-tampung-snbp</x:v>
      </x:c>
      <x:c r="R5091" s="66" t="str">
        <x:v>https://sidatagrun-public-1076756628210.asia-southeast2.run.app/ptn_sn.php?ptn=913</x:v>
      </x:c>
    </x:row>
    <x:row r="5092">
      <x:c r="A5092" s="87" t="n">
        <x:v>4879</x:v>
      </x:c>
      <x:c r="B5092" s="66" t="n">
        <x:v>913</x:v>
      </x:c>
      <x:c r="C5092" s="66" t="str">
        <x:v>ISBI TANAH PAPUA</x:v>
      </x:c>
      <x:c r="D5092" s="66" t="str">
        <x:v>PTN Akademik</x:v>
      </x:c>
      <x:c r="E5092" s="66" t="str">
        <x:v>19131005</x:v>
      </x:c>
      <x:c r="F5092" s="66" t="str">
        <x:v>SENI TARI</x:v>
      </x:c>
      <x:c r="G5092" s="66" t="str">
        <x:v>Sarjana</x:v>
      </x:c>
      <x:c r="H5092" s="87" t="n">
        <x:v>8</x:v>
      </x:c>
      <x:c r="I5092" s="87" t="n">
        <x:v>1</x:v>
      </x:c>
      <x:c r="J5092" s="68" t="n">
        <x:f>IFERROR(H5092/I5092,"")</x:f>
        <x:v>8</x:v>
      </x:c>
      <x:c r="K5092" s="69" t="n">
        <x:f>IFERROR(I5092/H5092,"")</x:f>
        <x:v>0.125</x:v>
      </x:c>
      <x:c r="L5092" s="66" t="str">
        <x:f>IF(K5092="","","1 : "&amp;TEXT(K5092,"0.0"))</x:f>
        <x:v>1 : 0.1</x:v>
      </x:c>
      <x:c r="M5092" s="66" t="str">
        <x:f>IF(J5092="","Baru/Tanpa Data",IF(J5092&lt;='Catatan &amp; Sumber'!$B$14,"Sangat Ketat",IF(J5092&lt;='Catatan &amp; Sumber'!$B$15,"Ketat",IF(J5092&lt;='Catatan &amp; Sumber'!$B$16,"Sedang","Relatif Longgar"))))</x:f>
        <x:v>Relatif Longgar</x:v>
      </x:c>
      <x:c r="N5092" s="66" t="str">
        <x:v>Tari</x:v>
      </x:c>
      <x:c r="O5092" s="66" t="str">
        <x:v>Papua</x:v>
      </x:c>
      <x:c r="P5092" s="66" t="str">
        <x:v>Kabupate Jayapura</x:v>
      </x:c>
      <x:c r="Q5092" s="66" t="str">
        <x:v>https://snpmb.id/snbp/daya-tampung-snbp</x:v>
      </x:c>
      <x:c r="R5092" s="66" t="str">
        <x:v>https://sidatagrun-public-1076756628210.asia-southeast2.run.app/ptn_sn.php?ptn=913</x:v>
      </x:c>
    </x:row>
    <x:row r="5093">
      <x:c r="A5093" s="87" t="n">
        <x:v>4805</x:v>
      </x:c>
      <x:c r="B5093" s="66" t="n">
        <x:v>921</x:v>
      </x:c>
      <x:c r="C5093" s="66" t="str">
        <x:v>UNIVERSITAS PAPUA</x:v>
      </x:c>
      <x:c r="D5093" s="66" t="str">
        <x:v>PTN Akademik</x:v>
      </x:c>
      <x:c r="E5093" s="66" t="str">
        <x:v>19211001</x:v>
      </x:c>
      <x:c r="F5093" s="66" t="str">
        <x:v>TEKNOLOGI HASIL PERTANIAN</x:v>
      </x:c>
      <x:c r="G5093" s="66" t="str">
        <x:v>Sarjana</x:v>
      </x:c>
      <x:c r="H5093" s="87" t="n">
        <x:v>18</x:v>
      </x:c>
      <x:c r="I5093" s="87" t="n">
        <x:v>5</x:v>
      </x:c>
      <x:c r="J5093" s="68" t="n">
        <x:f>IFERROR(H5093/I5093,"")</x:f>
        <x:v>3.6</x:v>
      </x:c>
      <x:c r="K5093" s="69" t="n">
        <x:f>IFERROR(I5093/H5093,"")</x:f>
        <x:v>0.2777777777777778</x:v>
      </x:c>
      <x:c r="L5093" s="66" t="str">
        <x:f>IF(K5093="","","1 : "&amp;TEXT(K5093,"0.0"))</x:f>
        <x:v>1 : 0.3</x:v>
      </x:c>
      <x:c r="M5093" s="66" t="str">
        <x:f>IF(J5093="","Baru/Tanpa Data",IF(J5093&lt;='Catatan &amp; Sumber'!$B$14,"Sangat Ketat",IF(J5093&lt;='Catatan &amp; Sumber'!$B$15,"Ketat",IF(J5093&lt;='Catatan &amp; Sumber'!$B$16,"Sedang","Relatif Longgar"))))</x:f>
        <x:v>Relatif Longgar</x:v>
      </x:c>
      <x:c r="N5093" s="66" t="str">
        <x:v>Tidak Ada</x:v>
      </x:c>
      <x:c r="O5093" s="66" t="str">
        <x:v>Papua Barat</x:v>
      </x:c>
      <x:c r="P5093" s="66" t="str">
        <x:v>Kabupaten Manokwari</x:v>
      </x:c>
      <x:c r="Q5093" s="66" t="str">
        <x:v>https://snpmb.id/snbp/daya-tampung-snbp</x:v>
      </x:c>
      <x:c r="R5093" s="66" t="str">
        <x:v>https://sidatagrun-public-1076756628210.asia-southeast2.run.app/ptn_sn.php?ptn=921</x:v>
      </x:c>
    </x:row>
    <x:row r="5094">
      <x:c r="A5094" s="87" t="n">
        <x:v>4832</x:v>
      </x:c>
      <x:c r="B5094" s="66" t="n">
        <x:v>921</x:v>
      </x:c>
      <x:c r="C5094" s="66" t="str">
        <x:v>UNIVERSITAS PAPUA</x:v>
      </x:c>
      <x:c r="D5094" s="66" t="str">
        <x:v>PTN Akademik</x:v>
      </x:c>
      <x:c r="E5094" s="66" t="str">
        <x:v>19211002</x:v>
      </x:c>
      <x:c r="F5094" s="66" t="str">
        <x:v>MANAJEMEN SUMBERDAYA PERAIRAN</x:v>
      </x:c>
      <x:c r="G5094" s="66" t="str">
        <x:v>Sarjana</x:v>
      </x:c>
      <x:c r="H5094" s="87" t="n">
        <x:v>18</x:v>
      </x:c>
      <x:c r="I5094" s="87" t="n">
        <x:v>4</x:v>
      </x:c>
      <x:c r="J5094" s="68" t="n">
        <x:f>IFERROR(H5094/I5094,"")</x:f>
        <x:v>4.5</x:v>
      </x:c>
      <x:c r="K5094" s="69" t="n">
        <x:f>IFERROR(I5094/H5094,"")</x:f>
        <x:v>0.2222222222222222</x:v>
      </x:c>
      <x:c r="L5094" s="66" t="str">
        <x:f>IF(K5094="","","1 : "&amp;TEXT(K5094,"0.0"))</x:f>
        <x:v>1 : 0.2</x:v>
      </x:c>
      <x:c r="M5094" s="66" t="str">
        <x:f>IF(J5094="","Baru/Tanpa Data",IF(J5094&lt;='Catatan &amp; Sumber'!$B$14,"Sangat Ketat",IF(J5094&lt;='Catatan &amp; Sumber'!$B$15,"Ketat",IF(J5094&lt;='Catatan &amp; Sumber'!$B$16,"Sedang","Relatif Longgar"))))</x:f>
        <x:v>Relatif Longgar</x:v>
      </x:c>
      <x:c r="N5094" s="66" t="str">
        <x:v>Tidak Ada</x:v>
      </x:c>
      <x:c r="O5094" s="66" t="str">
        <x:v>Papua Barat</x:v>
      </x:c>
      <x:c r="P5094" s="66" t="str">
        <x:v>Kabupaten Manokwari</x:v>
      </x:c>
      <x:c r="Q5094" s="66" t="str">
        <x:v>https://snpmb.id/snbp/daya-tampung-snbp</x:v>
      </x:c>
      <x:c r="R5094" s="66" t="str">
        <x:v>https://sidatagrun-public-1076756628210.asia-southeast2.run.app/ptn_sn.php?ptn=921</x:v>
      </x:c>
    </x:row>
    <x:row r="5095">
      <x:c r="A5095" s="87" t="n">
        <x:v>4518</x:v>
      </x:c>
      <x:c r="B5095" s="66" t="n">
        <x:v>921</x:v>
      </x:c>
      <x:c r="C5095" s="66" t="str">
        <x:v>UNIVERSITAS PAPUA</x:v>
      </x:c>
      <x:c r="D5095" s="66" t="str">
        <x:v>PTN Akademik</x:v>
      </x:c>
      <x:c r="E5095" s="66" t="str">
        <x:v>19211003</x:v>
      </x:c>
      <x:c r="F5095" s="66" t="str">
        <x:v>ILMU KELAUTAN</x:v>
      </x:c>
      <x:c r="G5095" s="66" t="str">
        <x:v>Sarjana</x:v>
      </x:c>
      <x:c r="H5095" s="87" t="n">
        <x:v>18</x:v>
      </x:c>
      <x:c r="I5095" s="87" t="n">
        <x:v>13</x:v>
      </x:c>
      <x:c r="J5095" s="68" t="n">
        <x:f>IFERROR(H5095/I5095,"")</x:f>
        <x:v>1.3846153846153846</x:v>
      </x:c>
      <x:c r="K5095" s="69" t="n">
        <x:f>IFERROR(I5095/H5095,"")</x:f>
        <x:v>0.7222222222222222</x:v>
      </x:c>
      <x:c r="L5095" s="66" t="str">
        <x:f>IF(K5095="","","1 : "&amp;TEXT(K5095,"0.0"))</x:f>
        <x:v>1 : 0.7</x:v>
      </x:c>
      <x:c r="M5095" s="66" t="str">
        <x:f>IF(J5095="","Baru/Tanpa Data",IF(J5095&lt;='Catatan &amp; Sumber'!$B$14,"Sangat Ketat",IF(J5095&lt;='Catatan &amp; Sumber'!$B$15,"Ketat",IF(J5095&lt;='Catatan &amp; Sumber'!$B$16,"Sedang","Relatif Longgar"))))</x:f>
        <x:v>Relatif Longgar</x:v>
      </x:c>
      <x:c r="N5095" s="66" t="str">
        <x:v>Tidak Ada</x:v>
      </x:c>
      <x:c r="O5095" s="66" t="str">
        <x:v>Papua Barat</x:v>
      </x:c>
      <x:c r="P5095" s="66" t="str">
        <x:v>Kabupaten Manokwari</x:v>
      </x:c>
      <x:c r="Q5095" s="66" t="str">
        <x:v>https://snpmb.id/snbp/daya-tampung-snbp</x:v>
      </x:c>
      <x:c r="R5095" s="66" t="str">
        <x:v>https://sidatagrun-public-1076756628210.asia-southeast2.run.app/ptn_sn.php?ptn=921</x:v>
      </x:c>
    </x:row>
    <x:row r="5096">
      <x:c r="A5096" s="87" t="n">
        <x:v>4759</x:v>
      </x:c>
      <x:c r="B5096" s="66" t="n">
        <x:v>921</x:v>
      </x:c>
      <x:c r="C5096" s="66" t="str">
        <x:v>UNIVERSITAS PAPUA</x:v>
      </x:c>
      <x:c r="D5096" s="66" t="str">
        <x:v>PTN Akademik</x:v>
      </x:c>
      <x:c r="E5096" s="66" t="str">
        <x:v>19211004</x:v>
      </x:c>
      <x:c r="F5096" s="66" t="str">
        <x:v>MATEMATIKA</x:v>
      </x:c>
      <x:c r="G5096" s="66" t="str">
        <x:v>Sarjana</x:v>
      </x:c>
      <x:c r="H5096" s="87" t="n">
        <x:v>18</x:v>
      </x:c>
      <x:c r="I5096" s="87" t="n">
        <x:v>6</x:v>
      </x:c>
      <x:c r="J5096" s="68" t="n">
        <x:f>IFERROR(H5096/I5096,"")</x:f>
        <x:v>3</x:v>
      </x:c>
      <x:c r="K5096" s="69" t="n">
        <x:f>IFERROR(I5096/H5096,"")</x:f>
        <x:v>0.3333333333333333</x:v>
      </x:c>
      <x:c r="L5096" s="66" t="str">
        <x:f>IF(K5096="","","1 : "&amp;TEXT(K5096,"0.0"))</x:f>
        <x:v>1 : 0.3</x:v>
      </x:c>
      <x:c r="M5096" s="66" t="str">
        <x:f>IF(J5096="","Baru/Tanpa Data",IF(J5096&lt;='Catatan &amp; Sumber'!$B$14,"Sangat Ketat",IF(J5096&lt;='Catatan &amp; Sumber'!$B$15,"Ketat",IF(J5096&lt;='Catatan &amp; Sumber'!$B$16,"Sedang","Relatif Longgar"))))</x:f>
        <x:v>Relatif Longgar</x:v>
      </x:c>
      <x:c r="N5096" s="66" t="str">
        <x:v>Tidak Ada</x:v>
      </x:c>
      <x:c r="O5096" s="66" t="str">
        <x:v>Papua Barat</x:v>
      </x:c>
      <x:c r="P5096" s="66" t="str">
        <x:v>Kabupaten Manokwari</x:v>
      </x:c>
      <x:c r="Q5096" s="66" t="str">
        <x:v>https://snpmb.id/snbp/daya-tampung-snbp</x:v>
      </x:c>
      <x:c r="R5096" s="66" t="str">
        <x:v>https://sidatagrun-public-1076756628210.asia-southeast2.run.app/ptn_sn.php?ptn=921</x:v>
      </x:c>
    </x:row>
    <x:row r="5097">
      <x:c r="A5097" s="87" t="n">
        <x:v>4882</x:v>
      </x:c>
      <x:c r="B5097" s="66" t="n">
        <x:v>921</x:v>
      </x:c>
      <x:c r="C5097" s="66" t="str">
        <x:v>UNIVERSITAS PAPUA</x:v>
      </x:c>
      <x:c r="D5097" s="66" t="str">
        <x:v>PTN Akademik</x:v>
      </x:c>
      <x:c r="E5097" s="66" t="str">
        <x:v>19211005</x:v>
      </x:c>
      <x:c r="F5097" s="66" t="str">
        <x:v>FISIKA</x:v>
      </x:c>
      <x:c r="G5097" s="66" t="str">
        <x:v>Sarjana</x:v>
      </x:c>
      <x:c r="H5097" s="87" t="n">
        <x:v>18</x:v>
      </x:c>
      <x:c r="I5097" s="87" t="n">
        <x:v>2</x:v>
      </x:c>
      <x:c r="J5097" s="68" t="n">
        <x:f>IFERROR(H5097/I5097,"")</x:f>
        <x:v>9</x:v>
      </x:c>
      <x:c r="K5097" s="69" t="n">
        <x:f>IFERROR(I5097/H5097,"")</x:f>
        <x:v>0.1111111111111111</x:v>
      </x:c>
      <x:c r="L5097" s="66" t="str">
        <x:f>IF(K5097="","","1 : "&amp;TEXT(K5097,"0.0"))</x:f>
        <x:v>1 : 0.1</x:v>
      </x:c>
      <x:c r="M5097" s="66" t="str">
        <x:f>IF(J5097="","Baru/Tanpa Data",IF(J5097&lt;='Catatan &amp; Sumber'!$B$14,"Sangat Ketat",IF(J5097&lt;='Catatan &amp; Sumber'!$B$15,"Ketat",IF(J5097&lt;='Catatan &amp; Sumber'!$B$16,"Sedang","Relatif Longgar"))))</x:f>
        <x:v>Relatif Longgar</x:v>
      </x:c>
      <x:c r="N5097" s="66" t="str">
        <x:v>Tidak Ada</x:v>
      </x:c>
      <x:c r="O5097" s="66" t="str">
        <x:v>Papua Barat</x:v>
      </x:c>
      <x:c r="P5097" s="66" t="str">
        <x:v>Kabupaten Manokwari</x:v>
      </x:c>
      <x:c r="Q5097" s="66" t="str">
        <x:v>https://snpmb.id/snbp/daya-tampung-snbp</x:v>
      </x:c>
      <x:c r="R5097" s="66" t="str">
        <x:v>https://sidatagrun-public-1076756628210.asia-southeast2.run.app/ptn_sn.php?ptn=921</x:v>
      </x:c>
    </x:row>
    <x:row r="5098">
      <x:c r="A5098" s="87" t="n">
        <x:v>4652</x:v>
      </x:c>
      <x:c r="B5098" s="66" t="n">
        <x:v>921</x:v>
      </x:c>
      <x:c r="C5098" s="66" t="str">
        <x:v>UNIVERSITAS PAPUA</x:v>
      </x:c>
      <x:c r="D5098" s="66" t="str">
        <x:v>PTN Akademik</x:v>
      </x:c>
      <x:c r="E5098" s="66" t="str">
        <x:v>19211006</x:v>
      </x:c>
      <x:c r="F5098" s="66" t="str">
        <x:v>BIOLOGI</x:v>
      </x:c>
      <x:c r="G5098" s="66" t="str">
        <x:v>Sarjana</x:v>
      </x:c>
      <x:c r="H5098" s="87" t="n">
        <x:v>24</x:v>
      </x:c>
      <x:c r="I5098" s="87" t="n">
        <x:v>12</x:v>
      </x:c>
      <x:c r="J5098" s="68" t="n">
        <x:f>IFERROR(H5098/I5098,"")</x:f>
        <x:v>2</x:v>
      </x:c>
      <x:c r="K5098" s="69" t="n">
        <x:f>IFERROR(I5098/H5098,"")</x:f>
        <x:v>0.5</x:v>
      </x:c>
      <x:c r="L5098" s="66" t="str">
        <x:f>IF(K5098="","","1 : "&amp;TEXT(K5098,"0.0"))</x:f>
        <x:v>1 : 0.5</x:v>
      </x:c>
      <x:c r="M5098" s="66" t="str">
        <x:f>IF(J5098="","Baru/Tanpa Data",IF(J5098&lt;='Catatan &amp; Sumber'!$B$14,"Sangat Ketat",IF(J5098&lt;='Catatan &amp; Sumber'!$B$15,"Ketat",IF(J5098&lt;='Catatan &amp; Sumber'!$B$16,"Sedang","Relatif Longgar"))))</x:f>
        <x:v>Relatif Longgar</x:v>
      </x:c>
      <x:c r="N5098" s="66" t="str">
        <x:v>Tidak Ada</x:v>
      </x:c>
      <x:c r="O5098" s="66" t="str">
        <x:v>Papua Barat</x:v>
      </x:c>
      <x:c r="P5098" s="66" t="str">
        <x:v>Kabupaten Manokwari</x:v>
      </x:c>
      <x:c r="Q5098" s="66" t="str">
        <x:v>https://snpmb.id/snbp/daya-tampung-snbp</x:v>
      </x:c>
      <x:c r="R5098" s="66" t="str">
        <x:v>https://sidatagrun-public-1076756628210.asia-southeast2.run.app/ptn_sn.php?ptn=921</x:v>
      </x:c>
    </x:row>
    <x:row r="5099">
      <x:c r="A5099" s="87" t="n">
        <x:v>4759</x:v>
      </x:c>
      <x:c r="B5099" s="66" t="n">
        <x:v>921</x:v>
      </x:c>
      <x:c r="C5099" s="66" t="str">
        <x:v>UNIVERSITAS PAPUA</x:v>
      </x:c>
      <x:c r="D5099" s="66" t="str">
        <x:v>PTN Akademik</x:v>
      </x:c>
      <x:c r="E5099" s="66" t="str">
        <x:v>19211007</x:v>
      </x:c>
      <x:c r="F5099" s="66" t="str">
        <x:v>KIMIA</x:v>
      </x:c>
      <x:c r="G5099" s="66" t="str">
        <x:v>Sarjana</x:v>
      </x:c>
      <x:c r="H5099" s="87" t="n">
        <x:v>18</x:v>
      </x:c>
      <x:c r="I5099" s="87" t="n">
        <x:v>6</x:v>
      </x:c>
      <x:c r="J5099" s="68" t="n">
        <x:f>IFERROR(H5099/I5099,"")</x:f>
        <x:v>3</x:v>
      </x:c>
      <x:c r="K5099" s="69" t="n">
        <x:f>IFERROR(I5099/H5099,"")</x:f>
        <x:v>0.3333333333333333</x:v>
      </x:c>
      <x:c r="L5099" s="66" t="str">
        <x:f>IF(K5099="","","1 : "&amp;TEXT(K5099,"0.0"))</x:f>
        <x:v>1 : 0.3</x:v>
      </x:c>
      <x:c r="M5099" s="66" t="str">
        <x:f>IF(J5099="","Baru/Tanpa Data",IF(J5099&lt;='Catatan &amp; Sumber'!$B$14,"Sangat Ketat",IF(J5099&lt;='Catatan &amp; Sumber'!$B$15,"Ketat",IF(J5099&lt;='Catatan &amp; Sumber'!$B$16,"Sedang","Relatif Longgar"))))</x:f>
        <x:v>Relatif Longgar</x:v>
      </x:c>
      <x:c r="N5099" s="66" t="str">
        <x:v>Tidak Ada</x:v>
      </x:c>
      <x:c r="O5099" s="66" t="str">
        <x:v>Papua Barat</x:v>
      </x:c>
      <x:c r="P5099" s="66" t="str">
        <x:v>Kabupaten Manokwari</x:v>
      </x:c>
      <x:c r="Q5099" s="66" t="str">
        <x:v>https://snpmb.id/snbp/daya-tampung-snbp</x:v>
      </x:c>
      <x:c r="R5099" s="66" t="str">
        <x:v>https://sidatagrun-public-1076756628210.asia-southeast2.run.app/ptn_sn.php?ptn=921</x:v>
      </x:c>
    </x:row>
    <x:row r="5100">
      <x:c r="A5100" s="87" t="n">
        <x:v>4305</x:v>
      </x:c>
      <x:c r="B5100" s="66" t="n">
        <x:v>921</x:v>
      </x:c>
      <x:c r="C5100" s="66" t="str">
        <x:v>UNIVERSITAS PAPUA</x:v>
      </x:c>
      <x:c r="D5100" s="66" t="str">
        <x:v>PTN Akademik</x:v>
      </x:c>
      <x:c r="E5100" s="66" t="str">
        <x:v>19211008</x:v>
      </x:c>
      <x:c r="F5100" s="66" t="str">
        <x:v>AGRIBISNIS</x:v>
      </x:c>
      <x:c r="G5100" s="66" t="str">
        <x:v>Sarjana</x:v>
      </x:c>
      <x:c r="H5100" s="87" t="n">
        <x:v>18</x:v>
      </x:c>
      <x:c r="I5100" s="87" t="n">
        <x:v>18</x:v>
      </x:c>
      <x:c r="J5100" s="68" t="n">
        <x:f>IFERROR(H5100/I5100,"")</x:f>
        <x:v>1</x:v>
      </x:c>
      <x:c r="K5100" s="69" t="n">
        <x:f>IFERROR(I5100/H5100,"")</x:f>
        <x:v>1</x:v>
      </x:c>
      <x:c r="L5100" s="66" t="str">
        <x:f>IF(K5100="","","1 : "&amp;TEXT(K5100,"0.0"))</x:f>
        <x:v>1 : 1.0</x:v>
      </x:c>
      <x:c r="M5100" s="66" t="str">
        <x:f>IF(J5100="","Baru/Tanpa Data",IF(J5100&lt;='Catatan &amp; Sumber'!$B$14,"Sangat Ketat",IF(J5100&lt;='Catatan &amp; Sumber'!$B$15,"Ketat",IF(J5100&lt;='Catatan &amp; Sumber'!$B$16,"Sedang","Relatif Longgar"))))</x:f>
        <x:v>Relatif Longgar</x:v>
      </x:c>
      <x:c r="N5100" s="66" t="str">
        <x:v>Tidak Ada</x:v>
      </x:c>
      <x:c r="O5100" s="66" t="str">
        <x:v>Papua Barat</x:v>
      </x:c>
      <x:c r="P5100" s="66" t="str">
        <x:v>Kabupaten Manokwari</x:v>
      </x:c>
      <x:c r="Q5100" s="66" t="str">
        <x:v>https://snpmb.id/snbp/daya-tampung-snbp</x:v>
      </x:c>
      <x:c r="R5100" s="66" t="str">
        <x:v>https://sidatagrun-public-1076756628210.asia-southeast2.run.app/ptn_sn.php?ptn=921</x:v>
      </x:c>
    </x:row>
    <x:row r="5101">
      <x:c r="A5101" s="87" t="n">
        <x:v>4759</x:v>
      </x:c>
      <x:c r="B5101" s="66" t="n">
        <x:v>921</x:v>
      </x:c>
      <x:c r="C5101" s="66" t="str">
        <x:v>UNIVERSITAS PAPUA</x:v>
      </x:c>
      <x:c r="D5101" s="66" t="str">
        <x:v>PTN Akademik</x:v>
      </x:c>
      <x:c r="E5101" s="66" t="str">
        <x:v>19211009</x:v>
      </x:c>
      <x:c r="F5101" s="66" t="str">
        <x:v>AGROTEKNOLOGI</x:v>
      </x:c>
      <x:c r="G5101" s="66" t="str">
        <x:v>Sarjana</x:v>
      </x:c>
      <x:c r="H5101" s="87" t="n">
        <x:v>18</x:v>
      </x:c>
      <x:c r="I5101" s="87" t="n">
        <x:v>6</x:v>
      </x:c>
      <x:c r="J5101" s="68" t="n">
        <x:f>IFERROR(H5101/I5101,"")</x:f>
        <x:v>3</x:v>
      </x:c>
      <x:c r="K5101" s="69" t="n">
        <x:f>IFERROR(I5101/H5101,"")</x:f>
        <x:v>0.3333333333333333</x:v>
      </x:c>
      <x:c r="L5101" s="66" t="str">
        <x:f>IF(K5101="","","1 : "&amp;TEXT(K5101,"0.0"))</x:f>
        <x:v>1 : 0.3</x:v>
      </x:c>
      <x:c r="M5101" s="66" t="str">
        <x:f>IF(J5101="","Baru/Tanpa Data",IF(J5101&lt;='Catatan &amp; Sumber'!$B$14,"Sangat Ketat",IF(J5101&lt;='Catatan &amp; Sumber'!$B$15,"Ketat",IF(J5101&lt;='Catatan &amp; Sumber'!$B$16,"Sedang","Relatif Longgar"))))</x:f>
        <x:v>Relatif Longgar</x:v>
      </x:c>
      <x:c r="N5101" s="66" t="str">
        <x:v>Tidak Ada</x:v>
      </x:c>
      <x:c r="O5101" s="66" t="str">
        <x:v>Papua Barat</x:v>
      </x:c>
      <x:c r="P5101" s="66" t="str">
        <x:v>Kabupaten Manokwari</x:v>
      </x:c>
      <x:c r="Q5101" s="66" t="str">
        <x:v>https://snpmb.id/snbp/daya-tampung-snbp</x:v>
      </x:c>
      <x:c r="R5101" s="66" t="str">
        <x:v>https://sidatagrun-public-1076756628210.asia-southeast2.run.app/ptn_sn.php?ptn=921</x:v>
      </x:c>
    </x:row>
    <x:row r="5102">
      <x:c r="A5102" s="87" t="n">
        <x:v>4759</x:v>
      </x:c>
      <x:c r="B5102" s="66" t="n">
        <x:v>921</x:v>
      </x:c>
      <x:c r="C5102" s="66" t="str">
        <x:v>UNIVERSITAS PAPUA</x:v>
      </x:c>
      <x:c r="D5102" s="66" t="str">
        <x:v>PTN Akademik</x:v>
      </x:c>
      <x:c r="E5102" s="66" t="str">
        <x:v>19211010</x:v>
      </x:c>
      <x:c r="F5102" s="66" t="str">
        <x:v>PETERNAKAN</x:v>
      </x:c>
      <x:c r="G5102" s="66" t="str">
        <x:v>Sarjana</x:v>
      </x:c>
      <x:c r="H5102" s="87" t="n">
        <x:v>18</x:v>
      </x:c>
      <x:c r="I5102" s="87" t="n">
        <x:v>6</x:v>
      </x:c>
      <x:c r="J5102" s="68" t="n">
        <x:f>IFERROR(H5102/I5102,"")</x:f>
        <x:v>3</x:v>
      </x:c>
      <x:c r="K5102" s="69" t="n">
        <x:f>IFERROR(I5102/H5102,"")</x:f>
        <x:v>0.3333333333333333</x:v>
      </x:c>
      <x:c r="L5102" s="66" t="str">
        <x:f>IF(K5102="","","1 : "&amp;TEXT(K5102,"0.0"))</x:f>
        <x:v>1 : 0.3</x:v>
      </x:c>
      <x:c r="M5102" s="66" t="str">
        <x:f>IF(J5102="","Baru/Tanpa Data",IF(J5102&lt;='Catatan &amp; Sumber'!$B$14,"Sangat Ketat",IF(J5102&lt;='Catatan &amp; Sumber'!$B$15,"Ketat",IF(J5102&lt;='Catatan &amp; Sumber'!$B$16,"Sedang","Relatif Longgar"))))</x:f>
        <x:v>Relatif Longgar</x:v>
      </x:c>
      <x:c r="N5102" s="66" t="str">
        <x:v>Tidak Ada</x:v>
      </x:c>
      <x:c r="O5102" s="66" t="str">
        <x:v>Papua Barat</x:v>
      </x:c>
      <x:c r="P5102" s="66" t="str">
        <x:v>Kabupaten Manokwari</x:v>
      </x:c>
      <x:c r="Q5102" s="66" t="str">
        <x:v>https://snpmb.id/snbp/daya-tampung-snbp</x:v>
      </x:c>
      <x:c r="R5102" s="66" t="str">
        <x:v>https://sidatagrun-public-1076756628210.asia-southeast2.run.app/ptn_sn.php?ptn=921</x:v>
      </x:c>
    </x:row>
    <x:row r="5103">
      <x:c r="A5103" s="87" t="n">
        <x:v>4501</x:v>
      </x:c>
      <x:c r="B5103" s="66" t="n">
        <x:v>921</x:v>
      </x:c>
      <x:c r="C5103" s="66" t="str">
        <x:v>UNIVERSITAS PAPUA</x:v>
      </x:c>
      <x:c r="D5103" s="66" t="str">
        <x:v>PTN Akademik</x:v>
      </x:c>
      <x:c r="E5103" s="66" t="str">
        <x:v>19211011</x:v>
      </x:c>
      <x:c r="F5103" s="66" t="str">
        <x:v>KEHUTANAN</x:v>
      </x:c>
      <x:c r="G5103" s="66" t="str">
        <x:v>Sarjana</x:v>
      </x:c>
      <x:c r="H5103" s="87" t="n">
        <x:v>41</x:v>
      </x:c>
      <x:c r="I5103" s="87" t="n">
        <x:v>31</x:v>
      </x:c>
      <x:c r="J5103" s="68" t="n">
        <x:f>IFERROR(H5103/I5103,"")</x:f>
        <x:v>1.3225806451612903</x:v>
      </x:c>
      <x:c r="K5103" s="69" t="n">
        <x:f>IFERROR(I5103/H5103,"")</x:f>
        <x:v>0.7560975609756098</x:v>
      </x:c>
      <x:c r="L5103" s="66" t="str">
        <x:f>IF(K5103="","","1 : "&amp;TEXT(K5103,"0.0"))</x:f>
        <x:v>1 : 0.8</x:v>
      </x:c>
      <x:c r="M5103" s="66" t="str">
        <x:f>IF(J5103="","Baru/Tanpa Data",IF(J5103&lt;='Catatan &amp; Sumber'!$B$14,"Sangat Ketat",IF(J5103&lt;='Catatan &amp; Sumber'!$B$15,"Ketat",IF(J5103&lt;='Catatan &amp; Sumber'!$B$16,"Sedang","Relatif Longgar"))))</x:f>
        <x:v>Relatif Longgar</x:v>
      </x:c>
      <x:c r="N5103" s="66" t="str">
        <x:v>Tidak Ada</x:v>
      </x:c>
      <x:c r="O5103" s="66" t="str">
        <x:v>Papua Barat</x:v>
      </x:c>
      <x:c r="P5103" s="66" t="str">
        <x:v>Kabupaten Manokwari</x:v>
      </x:c>
      <x:c r="Q5103" s="66" t="str">
        <x:v>https://snpmb.id/snbp/daya-tampung-snbp</x:v>
      </x:c>
      <x:c r="R5103" s="66" t="str">
        <x:v>https://sidatagrun-public-1076756628210.asia-southeast2.run.app/ptn_sn.php?ptn=921</x:v>
      </x:c>
    </x:row>
    <x:row r="5104">
      <x:c r="A5104" s="87" t="n">
        <x:v>2277</x:v>
      </x:c>
      <x:c r="B5104" s="66" t="n">
        <x:v>921</x:v>
      </x:c>
      <x:c r="C5104" s="66" t="str">
        <x:v>UNIVERSITAS PAPUA</x:v>
      </x:c>
      <x:c r="D5104" s="66" t="str">
        <x:v>PTN Akademik</x:v>
      </x:c>
      <x:c r="E5104" s="66" t="str">
        <x:v>19211012</x:v>
      </x:c>
      <x:c r="F5104" s="66" t="str">
        <x:v>TEKNIK INFORMATIKA</x:v>
      </x:c>
      <x:c r="G5104" s="66" t="str">
        <x:v>Sarjana</x:v>
      </x:c>
      <x:c r="H5104" s="87" t="n">
        <x:v>24</x:v>
      </x:c>
      <x:c r="I5104" s="87" t="n">
        <x:v>132</x:v>
      </x:c>
      <x:c r="J5104" s="68" t="n">
        <x:f>IFERROR(H5104/I5104,"")</x:f>
        <x:v>0.18181818181818182</x:v>
      </x:c>
      <x:c r="K5104" s="69" t="n">
        <x:f>IFERROR(I5104/H5104,"")</x:f>
        <x:v>5.5</x:v>
      </x:c>
      <x:c r="L5104" s="66" t="str">
        <x:f>IF(K5104="","","1 : "&amp;TEXT(K5104,"0.0"))</x:f>
        <x:v>1 : 5.5</x:v>
      </x:c>
      <x:c r="M5104" s="66" t="str">
        <x:f>IF(J5104="","Baru/Tanpa Data",IF(J5104&lt;='Catatan &amp; Sumber'!$B$14,"Sangat Ketat",IF(J5104&lt;='Catatan &amp; Sumber'!$B$15,"Ketat",IF(J5104&lt;='Catatan &amp; Sumber'!$B$16,"Sedang","Relatif Longgar"))))</x:f>
        <x:v>Relatif Longgar</x:v>
      </x:c>
      <x:c r="N5104" s="66" t="str">
        <x:v>Tidak Ada</x:v>
      </x:c>
      <x:c r="O5104" s="66" t="str">
        <x:v>Papua Barat</x:v>
      </x:c>
      <x:c r="P5104" s="66" t="str">
        <x:v>Kabupaten Manokwari</x:v>
      </x:c>
      <x:c r="Q5104" s="66" t="str">
        <x:v>https://snpmb.id/snbp/daya-tampung-snbp</x:v>
      </x:c>
      <x:c r="R5104" s="66" t="str">
        <x:v>https://sidatagrun-public-1076756628210.asia-southeast2.run.app/ptn_sn.php?ptn=921</x:v>
      </x:c>
    </x:row>
    <x:row r="5105">
      <x:c r="A5105" s="87" t="n">
        <x:v>2845</x:v>
      </x:c>
      <x:c r="B5105" s="66" t="n">
        <x:v>921</x:v>
      </x:c>
      <x:c r="C5105" s="66" t="str">
        <x:v>UNIVERSITAS PAPUA</x:v>
      </x:c>
      <x:c r="D5105" s="66" t="str">
        <x:v>PTN Akademik</x:v>
      </x:c>
      <x:c r="E5105" s="66" t="str">
        <x:v>19211013</x:v>
      </x:c>
      <x:c r="F5105" s="66" t="str">
        <x:v>TEKNIK PERTAMBANGAN</x:v>
      </x:c>
      <x:c r="G5105" s="66" t="str">
        <x:v>Sarjana</x:v>
      </x:c>
      <x:c r="H5105" s="87" t="n">
        <x:v>20</x:v>
      </x:c>
      <x:c r="I5105" s="87" t="n">
        <x:v>75</x:v>
      </x:c>
      <x:c r="J5105" s="68" t="n">
        <x:f>IFERROR(H5105/I5105,"")</x:f>
        <x:v>0.26666666666666666</x:v>
      </x:c>
      <x:c r="K5105" s="69" t="n">
        <x:f>IFERROR(I5105/H5105,"")</x:f>
        <x:v>3.75</x:v>
      </x:c>
      <x:c r="L5105" s="66" t="str">
        <x:f>IF(K5105="","","1 : "&amp;TEXT(K5105,"0.0"))</x:f>
        <x:v>1 : 3.8</x:v>
      </x:c>
      <x:c r="M5105" s="66" t="str">
        <x:f>IF(J5105="","Baru/Tanpa Data",IF(J5105&lt;='Catatan &amp; Sumber'!$B$14,"Sangat Ketat",IF(J5105&lt;='Catatan &amp; Sumber'!$B$15,"Ketat",IF(J5105&lt;='Catatan &amp; Sumber'!$B$16,"Sedang","Relatif Longgar"))))</x:f>
        <x:v>Relatif Longgar</x:v>
      </x:c>
      <x:c r="N5105" s="66" t="str">
        <x:v>Tidak Ada</x:v>
      </x:c>
      <x:c r="O5105" s="66" t="str">
        <x:v>Papua Barat</x:v>
      </x:c>
      <x:c r="P5105" s="66" t="str">
        <x:v>Kabupaten Manokwari</x:v>
      </x:c>
      <x:c r="Q5105" s="66" t="str">
        <x:v>https://snpmb.id/snbp/daya-tampung-snbp</x:v>
      </x:c>
      <x:c r="R5105" s="66" t="str">
        <x:v>https://sidatagrun-public-1076756628210.asia-southeast2.run.app/ptn_sn.php?ptn=921</x:v>
      </x:c>
    </x:row>
    <x:row r="5106">
      <x:c r="A5106" s="87" t="n">
        <x:v>4652</x:v>
      </x:c>
      <x:c r="B5106" s="66" t="n">
        <x:v>921</x:v>
      </x:c>
      <x:c r="C5106" s="66" t="str">
        <x:v>UNIVERSITAS PAPUA</x:v>
      </x:c>
      <x:c r="D5106" s="66" t="str">
        <x:v>PTN Akademik</x:v>
      </x:c>
      <x:c r="E5106" s="66" t="str">
        <x:v>19211014</x:v>
      </x:c>
      <x:c r="F5106" s="66" t="str">
        <x:v>TEKNIK ELEKTRO</x:v>
      </x:c>
      <x:c r="G5106" s="66" t="str">
        <x:v>Sarjana</x:v>
      </x:c>
      <x:c r="H5106" s="87" t="n">
        <x:v>18</x:v>
      </x:c>
      <x:c r="I5106" s="87" t="n">
        <x:v>9</x:v>
      </x:c>
      <x:c r="J5106" s="68" t="n">
        <x:f>IFERROR(H5106/I5106,"")</x:f>
        <x:v>2</x:v>
      </x:c>
      <x:c r="K5106" s="69" t="n">
        <x:f>IFERROR(I5106/H5106,"")</x:f>
        <x:v>0.5</x:v>
      </x:c>
      <x:c r="L5106" s="66" t="str">
        <x:f>IF(K5106="","","1 : "&amp;TEXT(K5106,"0.0"))</x:f>
        <x:v>1 : 0.5</x:v>
      </x:c>
      <x:c r="M5106" s="66" t="str">
        <x:f>IF(J5106="","Baru/Tanpa Data",IF(J5106&lt;='Catatan &amp; Sumber'!$B$14,"Sangat Ketat",IF(J5106&lt;='Catatan &amp; Sumber'!$B$15,"Ketat",IF(J5106&lt;='Catatan &amp; Sumber'!$B$16,"Sedang","Relatif Longgar"))))</x:f>
        <x:v>Relatif Longgar</x:v>
      </x:c>
      <x:c r="N5106" s="66" t="str">
        <x:v>Tidak Ada</x:v>
      </x:c>
      <x:c r="O5106" s="66" t="str">
        <x:v>Papua Barat</x:v>
      </x:c>
      <x:c r="P5106" s="66" t="str">
        <x:v>Kabupaten Manokwari</x:v>
      </x:c>
      <x:c r="Q5106" s="66" t="str">
        <x:v>https://snpmb.id/snbp/daya-tampung-snbp</x:v>
      </x:c>
      <x:c r="R5106" s="66" t="str">
        <x:v>https://sidatagrun-public-1076756628210.asia-southeast2.run.app/ptn_sn.php?ptn=921</x:v>
      </x:c>
    </x:row>
    <x:row r="5107">
      <x:c r="A5107" s="87" t="n">
        <x:v>4724</x:v>
      </x:c>
      <x:c r="B5107" s="66" t="n">
        <x:v>921</x:v>
      </x:c>
      <x:c r="C5107" s="66" t="str">
        <x:v>UNIVERSITAS PAPUA</x:v>
      </x:c>
      <x:c r="D5107" s="66" t="str">
        <x:v>PTN Akademik</x:v>
      </x:c>
      <x:c r="E5107" s="66" t="str">
        <x:v>19211015</x:v>
      </x:c>
      <x:c r="F5107" s="66" t="str">
        <x:v>PENDIDIKAN BIOLOGI</x:v>
      </x:c>
      <x:c r="G5107" s="66" t="str">
        <x:v>Sarjana</x:v>
      </x:c>
      <x:c r="H5107" s="87" t="n">
        <x:v>30</x:v>
      </x:c>
      <x:c r="I5107" s="87" t="n">
        <x:v>12</x:v>
      </x:c>
      <x:c r="J5107" s="68" t="n">
        <x:f>IFERROR(H5107/I5107,"")</x:f>
        <x:v>2.5</x:v>
      </x:c>
      <x:c r="K5107" s="69" t="n">
        <x:f>IFERROR(I5107/H5107,"")</x:f>
        <x:v>0.4</x:v>
      </x:c>
      <x:c r="L5107" s="66" t="str">
        <x:f>IF(K5107="","","1 : "&amp;TEXT(K5107,"0.0"))</x:f>
        <x:v>1 : 0.4</x:v>
      </x:c>
      <x:c r="M5107" s="66" t="str">
        <x:f>IF(J5107="","Baru/Tanpa Data",IF(J5107&lt;='Catatan &amp; Sumber'!$B$14,"Sangat Ketat",IF(J5107&lt;='Catatan &amp; Sumber'!$B$15,"Ketat",IF(J5107&lt;='Catatan &amp; Sumber'!$B$16,"Sedang","Relatif Longgar"))))</x:f>
        <x:v>Relatif Longgar</x:v>
      </x:c>
      <x:c r="N5107" s="66" t="str">
        <x:v>Tidak Ada</x:v>
      </x:c>
      <x:c r="O5107" s="66" t="str">
        <x:v>Papua Barat</x:v>
      </x:c>
      <x:c r="P5107" s="66" t="str">
        <x:v>Kabupaten Manokwari</x:v>
      </x:c>
      <x:c r="Q5107" s="66" t="str">
        <x:v>https://snpmb.id/snbp/daya-tampung-snbp</x:v>
      </x:c>
      <x:c r="R5107" s="66" t="str">
        <x:v>https://sidatagrun-public-1076756628210.asia-southeast2.run.app/ptn_sn.php?ptn=921</x:v>
      </x:c>
    </x:row>
    <x:row r="5108">
      <x:c r="A5108" s="87" t="n">
        <x:v>4786</x:v>
      </x:c>
      <x:c r="B5108" s="66" t="n">
        <x:v>921</x:v>
      </x:c>
      <x:c r="C5108" s="66" t="str">
        <x:v>UNIVERSITAS PAPUA</x:v>
      </x:c>
      <x:c r="D5108" s="66" t="str">
        <x:v>PTN Akademik</x:v>
      </x:c>
      <x:c r="E5108" s="66" t="str">
        <x:v>19211016</x:v>
      </x:c>
      <x:c r="F5108" s="66" t="str">
        <x:v>PENDIDIKAN MATEMATIKA</x:v>
      </x:c>
      <x:c r="G5108" s="66" t="str">
        <x:v>Sarjana</x:v>
      </x:c>
      <x:c r="H5108" s="87" t="n">
        <x:v>30</x:v>
      </x:c>
      <x:c r="I5108" s="87" t="n">
        <x:v>9</x:v>
      </x:c>
      <x:c r="J5108" s="68" t="n">
        <x:f>IFERROR(H5108/I5108,"")</x:f>
        <x:v>3.3333333333333335</x:v>
      </x:c>
      <x:c r="K5108" s="69" t="n">
        <x:f>IFERROR(I5108/H5108,"")</x:f>
        <x:v>0.3</x:v>
      </x:c>
      <x:c r="L5108" s="66" t="str">
        <x:f>IF(K5108="","","1 : "&amp;TEXT(K5108,"0.0"))</x:f>
        <x:v>1 : 0.3</x:v>
      </x:c>
      <x:c r="M5108" s="66" t="str">
        <x:f>IF(J5108="","Baru/Tanpa Data",IF(J5108&lt;='Catatan &amp; Sumber'!$B$14,"Sangat Ketat",IF(J5108&lt;='Catatan &amp; Sumber'!$B$15,"Ketat",IF(J5108&lt;='Catatan &amp; Sumber'!$B$16,"Sedang","Relatif Longgar"))))</x:f>
        <x:v>Relatif Longgar</x:v>
      </x:c>
      <x:c r="N5108" s="66" t="str">
        <x:v>Tidak Ada</x:v>
      </x:c>
      <x:c r="O5108" s="66" t="str">
        <x:v>Papua Barat</x:v>
      </x:c>
      <x:c r="P5108" s="66" t="str">
        <x:v>Kabupaten Manokwari</x:v>
      </x:c>
      <x:c r="Q5108" s="66" t="str">
        <x:v>https://snpmb.id/snbp/daya-tampung-snbp</x:v>
      </x:c>
      <x:c r="R5108" s="66" t="str">
        <x:v>https://sidatagrun-public-1076756628210.asia-southeast2.run.app/ptn_sn.php?ptn=921</x:v>
      </x:c>
    </x:row>
    <x:row r="5109">
      <x:c r="A5109" s="87" t="n">
        <x:v>4857</x:v>
      </x:c>
      <x:c r="B5109" s="66" t="n">
        <x:v>921</x:v>
      </x:c>
      <x:c r="C5109" s="66" t="str">
        <x:v>UNIVERSITAS PAPUA</x:v>
      </x:c>
      <x:c r="D5109" s="66" t="str">
        <x:v>PTN Akademik</x:v>
      </x:c>
      <x:c r="E5109" s="66" t="str">
        <x:v>19211017</x:v>
      </x:c>
      <x:c r="F5109" s="66" t="str">
        <x:v>PENDIDIKAN KIMIA</x:v>
      </x:c>
      <x:c r="G5109" s="66" t="str">
        <x:v>Sarjana</x:v>
      </x:c>
      <x:c r="H5109" s="87" t="n">
        <x:v>30</x:v>
      </x:c>
      <x:c r="I5109" s="87" t="n">
        <x:v>5</x:v>
      </x:c>
      <x:c r="J5109" s="68" t="n">
        <x:f>IFERROR(H5109/I5109,"")</x:f>
        <x:v>6</x:v>
      </x:c>
      <x:c r="K5109" s="69" t="n">
        <x:f>IFERROR(I5109/H5109,"")</x:f>
        <x:v>0.16666666666666666</x:v>
      </x:c>
      <x:c r="L5109" s="66" t="str">
        <x:f>IF(K5109="","","1 : "&amp;TEXT(K5109,"0.0"))</x:f>
        <x:v>1 : 0.2</x:v>
      </x:c>
      <x:c r="M5109" s="66" t="str">
        <x:f>IF(J5109="","Baru/Tanpa Data",IF(J5109&lt;='Catatan &amp; Sumber'!$B$14,"Sangat Ketat",IF(J5109&lt;='Catatan &amp; Sumber'!$B$15,"Ketat",IF(J5109&lt;='Catatan &amp; Sumber'!$B$16,"Sedang","Relatif Longgar"))))</x:f>
        <x:v>Relatif Longgar</x:v>
      </x:c>
      <x:c r="N5109" s="66" t="str">
        <x:v>Tidak Ada</x:v>
      </x:c>
      <x:c r="O5109" s="66" t="str">
        <x:v>Papua Barat</x:v>
      </x:c>
      <x:c r="P5109" s="66" t="str">
        <x:v>Kabupaten Manokwari</x:v>
      </x:c>
      <x:c r="Q5109" s="66" t="str">
        <x:v>https://snpmb.id/snbp/daya-tampung-snbp</x:v>
      </x:c>
      <x:c r="R5109" s="66" t="str">
        <x:v>https://sidatagrun-public-1076756628210.asia-southeast2.run.app/ptn_sn.php?ptn=921</x:v>
      </x:c>
    </x:row>
    <x:row r="5110">
      <x:c r="A5110" s="87" t="n">
        <x:v>4362</x:v>
      </x:c>
      <x:c r="B5110" s="66" t="n">
        <x:v>921</x:v>
      </x:c>
      <x:c r="C5110" s="66" t="str">
        <x:v>UNIVERSITAS PAPUA</x:v>
      </x:c>
      <x:c r="D5110" s="66" t="str">
        <x:v>PTN Akademik</x:v>
      </x:c>
      <x:c r="E5110" s="66" t="str">
        <x:v>19211018</x:v>
      </x:c>
      <x:c r="F5110" s="66" t="str">
        <x:v>TEKNIK GEOLOGI</x:v>
      </x:c>
      <x:c r="G5110" s="66" t="str">
        <x:v>Sarjana</x:v>
      </x:c>
      <x:c r="H5110" s="87" t="n">
        <x:v>18</x:v>
      </x:c>
      <x:c r="I5110" s="87" t="n">
        <x:v>17</x:v>
      </x:c>
      <x:c r="J5110" s="68" t="n">
        <x:f>IFERROR(H5110/I5110,"")</x:f>
        <x:v>1.0588235294117647</x:v>
      </x:c>
      <x:c r="K5110" s="69" t="n">
        <x:f>IFERROR(I5110/H5110,"")</x:f>
        <x:v>0.9444444444444444</x:v>
      </x:c>
      <x:c r="L5110" s="66" t="str">
        <x:f>IF(K5110="","","1 : "&amp;TEXT(K5110,"0.0"))</x:f>
        <x:v>1 : 0.9</x:v>
      </x:c>
      <x:c r="M5110" s="66" t="str">
        <x:f>IF(J5110="","Baru/Tanpa Data",IF(J5110&lt;='Catatan &amp; Sumber'!$B$14,"Sangat Ketat",IF(J5110&lt;='Catatan &amp; Sumber'!$B$15,"Ketat",IF(J5110&lt;='Catatan &amp; Sumber'!$B$16,"Sedang","Relatif Longgar"))))</x:f>
        <x:v>Relatif Longgar</x:v>
      </x:c>
      <x:c r="N5110" s="66" t="str">
        <x:v>Tidak Ada</x:v>
      </x:c>
      <x:c r="O5110" s="66" t="str">
        <x:v>Papua Barat</x:v>
      </x:c>
      <x:c r="P5110" s="66" t="str">
        <x:v>Kabupaten Manokwari</x:v>
      </x:c>
      <x:c r="Q5110" s="66" t="str">
        <x:v>https://snpmb.id/snbp/daya-tampung-snbp</x:v>
      </x:c>
      <x:c r="R5110" s="66" t="str">
        <x:v>https://sidatagrun-public-1076756628210.asia-southeast2.run.app/ptn_sn.php?ptn=921</x:v>
      </x:c>
    </x:row>
    <x:row r="5111">
      <x:c r="A5111" s="87"/>
      <x:c r="B5111" s="66" t="n">
        <x:v>921</x:v>
      </x:c>
      <x:c r="C5111" s="66" t="str">
        <x:v>UNIVERSITAS PAPUA</x:v>
      </x:c>
      <x:c r="D5111" s="66" t="str">
        <x:v>PTN Akademik</x:v>
      </x:c>
      <x:c r="E5111" s="66" t="str">
        <x:v>19211019</x:v>
      </x:c>
      <x:c r="F5111" s="66" t="str">
        <x:v>PENDIDIKAN FISIKA</x:v>
      </x:c>
      <x:c r="G5111" s="66" t="str">
        <x:v>Sarjana</x:v>
      </x:c>
      <x:c r="H5111" s="87" t="n">
        <x:v>18</x:v>
      </x:c>
      <x:c r="I5111" s="87"/>
      <x:c r="J5111" s="68" t="str">
        <x:f>IFERROR(H5111/I5111,"")</x:f>
      </x:c>
      <x:c r="K5111" s="69" t="n">
        <x:f>IFERROR(I5111/H5111,"")</x:f>
        <x:v>0</x:v>
      </x:c>
      <x:c r="L5111" s="66" t="str">
        <x:f>IF(K5111="","","1 : "&amp;TEXT(K5111,"0.0"))</x:f>
      </x:c>
      <x:c r="M5111" s="66" t="str">
        <x:f>IF(J5111="","Baru/Tanpa Data",IF(J5111&lt;='Catatan &amp; Sumber'!$B$14,"Sangat Ketat",IF(J5111&lt;='Catatan &amp; Sumber'!$B$15,"Ketat",IF(J5111&lt;='Catatan &amp; Sumber'!$B$16,"Sedang","Relatif Longgar"))))</x:f>
        <x:v>Baru/Tanpa Data</x:v>
      </x:c>
      <x:c r="N5111" s="66" t="str">
        <x:v>Tidak Ada</x:v>
      </x:c>
      <x:c r="O5111" s="66" t="str">
        <x:v>Papua Barat</x:v>
      </x:c>
      <x:c r="P5111" s="66" t="str">
        <x:v>Kabupaten Manokwari</x:v>
      </x:c>
      <x:c r="Q5111" s="66" t="str">
        <x:v>https://snpmb.id/snbp/daya-tampung-snbp</x:v>
      </x:c>
      <x:c r="R5111" s="66" t="str">
        <x:v>https://sidatagrun-public-1076756628210.asia-southeast2.run.app/ptn_sn.php?ptn=921</x:v>
      </x:c>
    </x:row>
    <x:row r="5112">
      <x:c r="A5112" s="87" t="n">
        <x:v>4857</x:v>
      </x:c>
      <x:c r="B5112" s="66" t="n">
        <x:v>921</x:v>
      </x:c>
      <x:c r="C5112" s="66" t="str">
        <x:v>UNIVERSITAS PAPUA</x:v>
      </x:c>
      <x:c r="D5112" s="66" t="str">
        <x:v>PTN Akademik</x:v>
      </x:c>
      <x:c r="E5112" s="66" t="str">
        <x:v>19211020</x:v>
      </x:c>
      <x:c r="F5112" s="66" t="str">
        <x:v>ILMU TANAH</x:v>
      </x:c>
      <x:c r="G5112" s="66" t="str">
        <x:v>Sarjana</x:v>
      </x:c>
      <x:c r="H5112" s="87" t="n">
        <x:v>18</x:v>
      </x:c>
      <x:c r="I5112" s="87" t="n">
        <x:v>3</x:v>
      </x:c>
      <x:c r="J5112" s="68" t="n">
        <x:f>IFERROR(H5112/I5112,"")</x:f>
        <x:v>6</x:v>
      </x:c>
      <x:c r="K5112" s="69" t="n">
        <x:f>IFERROR(I5112/H5112,"")</x:f>
        <x:v>0.16666666666666666</x:v>
      </x:c>
      <x:c r="L5112" s="66" t="str">
        <x:f>IF(K5112="","","1 : "&amp;TEXT(K5112,"0.0"))</x:f>
        <x:v>1 : 0.2</x:v>
      </x:c>
      <x:c r="M5112" s="66" t="str">
        <x:f>IF(J5112="","Baru/Tanpa Data",IF(J5112&lt;='Catatan &amp; Sumber'!$B$14,"Sangat Ketat",IF(J5112&lt;='Catatan &amp; Sumber'!$B$15,"Ketat",IF(J5112&lt;='Catatan &amp; Sumber'!$B$16,"Sedang","Relatif Longgar"))))</x:f>
        <x:v>Relatif Longgar</x:v>
      </x:c>
      <x:c r="N5112" s="66" t="str">
        <x:v>Tidak Ada</x:v>
      </x:c>
      <x:c r="O5112" s="66" t="str">
        <x:v>Papua Barat</x:v>
      </x:c>
      <x:c r="P5112" s="66" t="str">
        <x:v>Kabupaten Manokwari</x:v>
      </x:c>
      <x:c r="Q5112" s="66" t="str">
        <x:v>https://snpmb.id/snbp/daya-tampung-snbp</x:v>
      </x:c>
      <x:c r="R5112" s="66" t="str">
        <x:v>https://sidatagrun-public-1076756628210.asia-southeast2.run.app/ptn_sn.php?ptn=921</x:v>
      </x:c>
    </x:row>
    <x:row r="5113">
      <x:c r="A5113" s="87"/>
      <x:c r="B5113" s="66" t="n">
        <x:v>921</x:v>
      </x:c>
      <x:c r="C5113" s="66" t="str">
        <x:v>UNIVERSITAS PAPUA</x:v>
      </x:c>
      <x:c r="D5113" s="66" t="str">
        <x:v>PTN Akademik</x:v>
      </x:c>
      <x:c r="E5113" s="66" t="str">
        <x:v>19211021</x:v>
      </x:c>
      <x:c r="F5113" s="66" t="str">
        <x:v>NUTRISI DAN TEKNOLOGI PAKAN TERNAK</x:v>
      </x:c>
      <x:c r="G5113" s="66" t="str">
        <x:v>Sarjana</x:v>
      </x:c>
      <x:c r="H5113" s="87" t="n">
        <x:v>18</x:v>
      </x:c>
      <x:c r="I5113" s="87"/>
      <x:c r="J5113" s="68" t="str">
        <x:f>IFERROR(H5113/I5113,"")</x:f>
      </x:c>
      <x:c r="K5113" s="69" t="n">
        <x:f>IFERROR(I5113/H5113,"")</x:f>
        <x:v>0</x:v>
      </x:c>
      <x:c r="L5113" s="66" t="str">
        <x:f>IF(K5113="","","1 : "&amp;TEXT(K5113,"0.0"))</x:f>
      </x:c>
      <x:c r="M5113" s="66" t="str">
        <x:f>IF(J5113="","Baru/Tanpa Data",IF(J5113&lt;='Catatan &amp; Sumber'!$B$14,"Sangat Ketat",IF(J5113&lt;='Catatan &amp; Sumber'!$B$15,"Ketat",IF(J5113&lt;='Catatan &amp; Sumber'!$B$16,"Sedang","Relatif Longgar"))))</x:f>
        <x:v>Baru/Tanpa Data</x:v>
      </x:c>
      <x:c r="N5113" s="66" t="str">
        <x:v>Tidak Ada</x:v>
      </x:c>
      <x:c r="O5113" s="66" t="str">
        <x:v>Papua Barat</x:v>
      </x:c>
      <x:c r="P5113" s="66" t="str">
        <x:v>Kabupaten Manokwari</x:v>
      </x:c>
      <x:c r="Q5113" s="66" t="str">
        <x:v>https://snpmb.id/snbp/daya-tampung-snbp</x:v>
      </x:c>
      <x:c r="R5113" s="66" t="str">
        <x:v>https://sidatagrun-public-1076756628210.asia-southeast2.run.app/ptn_sn.php?ptn=921</x:v>
      </x:c>
    </x:row>
    <x:row r="5114">
      <x:c r="A5114" s="87" t="n">
        <x:v>4857</x:v>
      </x:c>
      <x:c r="B5114" s="66" t="n">
        <x:v>921</x:v>
      </x:c>
      <x:c r="C5114" s="66" t="str">
        <x:v>UNIVERSITAS PAPUA</x:v>
      </x:c>
      <x:c r="D5114" s="66" t="str">
        <x:v>PTN Akademik</x:v>
      </x:c>
      <x:c r="E5114" s="66" t="str">
        <x:v>19211022</x:v>
      </x:c>
      <x:c r="F5114" s="66" t="str">
        <x:v>TEKNIK PERTANIAN DAN BIOSISTEM</x:v>
      </x:c>
      <x:c r="G5114" s="66" t="str">
        <x:v>Sarjana</x:v>
      </x:c>
      <x:c r="H5114" s="87" t="n">
        <x:v>18</x:v>
      </x:c>
      <x:c r="I5114" s="87" t="n">
        <x:v>3</x:v>
      </x:c>
      <x:c r="J5114" s="68" t="n">
        <x:f>IFERROR(H5114/I5114,"")</x:f>
        <x:v>6</x:v>
      </x:c>
      <x:c r="K5114" s="69" t="n">
        <x:f>IFERROR(I5114/H5114,"")</x:f>
        <x:v>0.16666666666666666</x:v>
      </x:c>
      <x:c r="L5114" s="66" t="str">
        <x:f>IF(K5114="","","1 : "&amp;TEXT(K5114,"0.0"))</x:f>
        <x:v>1 : 0.2</x:v>
      </x:c>
      <x:c r="M5114" s="66" t="str">
        <x:f>IF(J5114="","Baru/Tanpa Data",IF(J5114&lt;='Catatan &amp; Sumber'!$B$14,"Sangat Ketat",IF(J5114&lt;='Catatan &amp; Sumber'!$B$15,"Ketat",IF(J5114&lt;='Catatan &amp; Sumber'!$B$16,"Sedang","Relatif Longgar"))))</x:f>
        <x:v>Relatif Longgar</x:v>
      </x:c>
      <x:c r="N5114" s="66" t="str">
        <x:v>Tidak Ada</x:v>
      </x:c>
      <x:c r="O5114" s="66" t="str">
        <x:v>Papua Barat</x:v>
      </x:c>
      <x:c r="P5114" s="66" t="str">
        <x:v>Kabupaten Manokwari</x:v>
      </x:c>
      <x:c r="Q5114" s="66" t="str">
        <x:v>https://snpmb.id/snbp/daya-tampung-snbp</x:v>
      </x:c>
      <x:c r="R5114" s="66" t="str">
        <x:v>https://sidatagrun-public-1076756628210.asia-southeast2.run.app/ptn_sn.php?ptn=921</x:v>
      </x:c>
    </x:row>
    <x:row r="5115">
      <x:c r="A5115" s="87" t="n">
        <x:v>2888</x:v>
      </x:c>
      <x:c r="B5115" s="66" t="n">
        <x:v>921</x:v>
      </x:c>
      <x:c r="C5115" s="66" t="str">
        <x:v>UNIVERSITAS PAPUA</x:v>
      </x:c>
      <x:c r="D5115" s="66" t="str">
        <x:v>PTN Akademik</x:v>
      </x:c>
      <x:c r="E5115" s="66" t="str">
        <x:v>19211023</x:v>
      </x:c>
      <x:c r="F5115" s="66" t="str">
        <x:v>TEKNIK SIPIL</x:v>
      </x:c>
      <x:c r="G5115" s="66" t="str">
        <x:v>Sarjana</x:v>
      </x:c>
      <x:c r="H5115" s="87" t="n">
        <x:v>18</x:v>
      </x:c>
      <x:c r="I5115" s="87" t="n">
        <x:v>66</x:v>
      </x:c>
      <x:c r="J5115" s="68" t="n">
        <x:f>IFERROR(H5115/I5115,"")</x:f>
        <x:v>0.2727272727272727</x:v>
      </x:c>
      <x:c r="K5115" s="69" t="n">
        <x:f>IFERROR(I5115/H5115,"")</x:f>
        <x:v>3.6666666666666665</x:v>
      </x:c>
      <x:c r="L5115" s="66" t="str">
        <x:f>IF(K5115="","","1 : "&amp;TEXT(K5115,"0.0"))</x:f>
        <x:v>1 : 3.7</x:v>
      </x:c>
      <x:c r="M5115" s="66" t="str">
        <x:f>IF(J5115="","Baru/Tanpa Data",IF(J5115&lt;='Catatan &amp; Sumber'!$B$14,"Sangat Ketat",IF(J5115&lt;='Catatan &amp; Sumber'!$B$15,"Ketat",IF(J5115&lt;='Catatan &amp; Sumber'!$B$16,"Sedang","Relatif Longgar"))))</x:f>
        <x:v>Relatif Longgar</x:v>
      </x:c>
      <x:c r="N5115" s="66" t="str">
        <x:v>Tidak Ada</x:v>
      </x:c>
      <x:c r="O5115" s="66" t="str">
        <x:v>Papua Barat</x:v>
      </x:c>
      <x:c r="P5115" s="66" t="str">
        <x:v>Kabupaten Manokwari</x:v>
      </x:c>
      <x:c r="Q5115" s="66" t="str">
        <x:v>https://snpmb.id/snbp/daya-tampung-snbp</x:v>
      </x:c>
      <x:c r="R5115" s="66" t="str">
        <x:v>https://sidatagrun-public-1076756628210.asia-southeast2.run.app/ptn_sn.php?ptn=921</x:v>
      </x:c>
    </x:row>
    <x:row r="5116">
      <x:c r="A5116" s="87" t="n">
        <x:v>4458</x:v>
      </x:c>
      <x:c r="B5116" s="66" t="n">
        <x:v>921</x:v>
      </x:c>
      <x:c r="C5116" s="66" t="str">
        <x:v>UNIVERSITAS PAPUA</x:v>
      </x:c>
      <x:c r="D5116" s="66" t="str">
        <x:v>PTN Akademik</x:v>
      </x:c>
      <x:c r="E5116" s="66" t="str">
        <x:v>19211024</x:v>
      </x:c>
      <x:c r="F5116" s="66" t="str">
        <x:v>EKONOMI PEMBANGUNAN</x:v>
      </x:c>
      <x:c r="G5116" s="66" t="str">
        <x:v>Sarjana</x:v>
      </x:c>
      <x:c r="H5116" s="87" t="n">
        <x:v>27</x:v>
      </x:c>
      <x:c r="I5116" s="87" t="n">
        <x:v>22</x:v>
      </x:c>
      <x:c r="J5116" s="68" t="n">
        <x:f>IFERROR(H5116/I5116,"")</x:f>
        <x:v>1.2272727272727273</x:v>
      </x:c>
      <x:c r="K5116" s="69" t="n">
        <x:f>IFERROR(I5116/H5116,"")</x:f>
        <x:v>0.8148148148148148</x:v>
      </x:c>
      <x:c r="L5116" s="66" t="str">
        <x:f>IF(K5116="","","1 : "&amp;TEXT(K5116,"0.0"))</x:f>
        <x:v>1 : 0.8</x:v>
      </x:c>
      <x:c r="M5116" s="66" t="str">
        <x:f>IF(J5116="","Baru/Tanpa Data",IF(J5116&lt;='Catatan &amp; Sumber'!$B$14,"Sangat Ketat",IF(J5116&lt;='Catatan &amp; Sumber'!$B$15,"Ketat",IF(J5116&lt;='Catatan &amp; Sumber'!$B$16,"Sedang","Relatif Longgar"))))</x:f>
        <x:v>Relatif Longgar</x:v>
      </x:c>
      <x:c r="N5116" s="66" t="str">
        <x:v>Tidak Ada</x:v>
      </x:c>
      <x:c r="O5116" s="66" t="str">
        <x:v>Papua Barat</x:v>
      </x:c>
      <x:c r="P5116" s="66" t="str">
        <x:v>Kabupaten Manokwari</x:v>
      </x:c>
      <x:c r="Q5116" s="66" t="str">
        <x:v>https://snpmb.id/snbp/daya-tampung-snbp</x:v>
      </x:c>
      <x:c r="R5116" s="66" t="str">
        <x:v>https://sidatagrun-public-1076756628210.asia-southeast2.run.app/ptn_sn.php?ptn=921</x:v>
      </x:c>
    </x:row>
    <x:row r="5117">
      <x:c r="A5117" s="87" t="n">
        <x:v>4135</x:v>
      </x:c>
      <x:c r="B5117" s="66" t="n">
        <x:v>921</x:v>
      </x:c>
      <x:c r="C5117" s="66" t="str">
        <x:v>UNIVERSITAS PAPUA</x:v>
      </x:c>
      <x:c r="D5117" s="66" t="str">
        <x:v>PTN Akademik</x:v>
      </x:c>
      <x:c r="E5117" s="66" t="str">
        <x:v>19211025</x:v>
      </x:c>
      <x:c r="F5117" s="66" t="str">
        <x:v>SASTRA INGGRIS</x:v>
      </x:c>
      <x:c r="G5117" s="66" t="str">
        <x:v>Sarjana</x:v>
      </x:c>
      <x:c r="H5117" s="87" t="n">
        <x:v>12</x:v>
      </x:c>
      <x:c r="I5117" s="87" t="n">
        <x:v>15</x:v>
      </x:c>
      <x:c r="J5117" s="68" t="n">
        <x:f>IFERROR(H5117/I5117,"")</x:f>
        <x:v>0.8</x:v>
      </x:c>
      <x:c r="K5117" s="69" t="n">
        <x:f>IFERROR(I5117/H5117,"")</x:f>
        <x:v>1.25</x:v>
      </x:c>
      <x:c r="L5117" s="66" t="str">
        <x:f>IF(K5117="","","1 : "&amp;TEXT(K5117,"0.0"))</x:f>
        <x:v>1 : 1.3</x:v>
      </x:c>
      <x:c r="M5117" s="66" t="str">
        <x:f>IF(J5117="","Baru/Tanpa Data",IF(J5117&lt;='Catatan &amp; Sumber'!$B$14,"Sangat Ketat",IF(J5117&lt;='Catatan &amp; Sumber'!$B$15,"Ketat",IF(J5117&lt;='Catatan &amp; Sumber'!$B$16,"Sedang","Relatif Longgar"))))</x:f>
        <x:v>Relatif Longgar</x:v>
      </x:c>
      <x:c r="N5117" s="66" t="str">
        <x:v>Tidak Ada</x:v>
      </x:c>
      <x:c r="O5117" s="66" t="str">
        <x:v>Papua Barat</x:v>
      </x:c>
      <x:c r="P5117" s="66" t="str">
        <x:v>Kabupaten Manokwari</x:v>
      </x:c>
      <x:c r="Q5117" s="66" t="str">
        <x:v>https://snpmb.id/snbp/daya-tampung-snbp</x:v>
      </x:c>
      <x:c r="R5117" s="66" t="str">
        <x:v>https://sidatagrun-public-1076756628210.asia-southeast2.run.app/ptn_sn.php?ptn=921</x:v>
      </x:c>
    </x:row>
    <x:row r="5118">
      <x:c r="A5118" s="87" t="n">
        <x:v>4616</x:v>
      </x:c>
      <x:c r="B5118" s="66" t="n">
        <x:v>921</x:v>
      </x:c>
      <x:c r="C5118" s="66" t="str">
        <x:v>UNIVERSITAS PAPUA</x:v>
      </x:c>
      <x:c r="D5118" s="66" t="str">
        <x:v>PTN Akademik</x:v>
      </x:c>
      <x:c r="E5118" s="66" t="str">
        <x:v>19211026</x:v>
      </x:c>
      <x:c r="F5118" s="66" t="str">
        <x:v>ANTROPOLOGI</x:v>
      </x:c>
      <x:c r="G5118" s="66" t="str">
        <x:v>Sarjana</x:v>
      </x:c>
      <x:c r="H5118" s="87" t="n">
        <x:v>12</x:v>
      </x:c>
      <x:c r="I5118" s="87" t="n">
        <x:v>7</x:v>
      </x:c>
      <x:c r="J5118" s="68" t="n">
        <x:f>IFERROR(H5118/I5118,"")</x:f>
        <x:v>1.7142857142857142</x:v>
      </x:c>
      <x:c r="K5118" s="69" t="n">
        <x:f>IFERROR(I5118/H5118,"")</x:f>
        <x:v>0.5833333333333334</x:v>
      </x:c>
      <x:c r="L5118" s="66" t="str">
        <x:f>IF(K5118="","","1 : "&amp;TEXT(K5118,"0.0"))</x:f>
        <x:v>1 : 0.6</x:v>
      </x:c>
      <x:c r="M5118" s="66" t="str">
        <x:f>IF(J5118="","Baru/Tanpa Data",IF(J5118&lt;='Catatan &amp; Sumber'!$B$14,"Sangat Ketat",IF(J5118&lt;='Catatan &amp; Sumber'!$B$15,"Ketat",IF(J5118&lt;='Catatan &amp; Sumber'!$B$16,"Sedang","Relatif Longgar"))))</x:f>
        <x:v>Relatif Longgar</x:v>
      </x:c>
      <x:c r="N5118" s="66" t="str">
        <x:v>Tidak Ada</x:v>
      </x:c>
      <x:c r="O5118" s="66" t="str">
        <x:v>Papua Barat</x:v>
      </x:c>
      <x:c r="P5118" s="66" t="str">
        <x:v>Kabupaten Manokwari</x:v>
      </x:c>
      <x:c r="Q5118" s="66" t="str">
        <x:v>https://snpmb.id/snbp/daya-tampung-snbp</x:v>
      </x:c>
      <x:c r="R5118" s="66" t="str">
        <x:v>https://sidatagrun-public-1076756628210.asia-southeast2.run.app/ptn_sn.php?ptn=921</x:v>
      </x:c>
    </x:row>
    <x:row r="5119">
      <x:c r="A5119" s="87" t="n">
        <x:v>2967</x:v>
      </x:c>
      <x:c r="B5119" s="66" t="n">
        <x:v>921</x:v>
      </x:c>
      <x:c r="C5119" s="66" t="str">
        <x:v>UNIVERSITAS PAPUA</x:v>
      </x:c>
      <x:c r="D5119" s="66" t="str">
        <x:v>PTN Akademik</x:v>
      </x:c>
      <x:c r="E5119" s="66" t="str">
        <x:v>19211027</x:v>
      </x:c>
      <x:c r="F5119" s="66" t="str">
        <x:v>MANAJEMEN</x:v>
      </x:c>
      <x:c r="G5119" s="66" t="str">
        <x:v>Sarjana</x:v>
      </x:c>
      <x:c r="H5119" s="87" t="n">
        <x:v>27</x:v>
      </x:c>
      <x:c r="I5119" s="87" t="n">
        <x:v>94</x:v>
      </x:c>
      <x:c r="J5119" s="68" t="n">
        <x:f>IFERROR(H5119/I5119,"")</x:f>
        <x:v>0.2872340425531915</x:v>
      </x:c>
      <x:c r="K5119" s="69" t="n">
        <x:f>IFERROR(I5119/H5119,"")</x:f>
        <x:v>3.4814814814814814</x:v>
      </x:c>
      <x:c r="L5119" s="66" t="str">
        <x:f>IF(K5119="","","1 : "&amp;TEXT(K5119,"0.0"))</x:f>
        <x:v>1 : 3.5</x:v>
      </x:c>
      <x:c r="M5119" s="66" t="str">
        <x:f>IF(J5119="","Baru/Tanpa Data",IF(J5119&lt;='Catatan &amp; Sumber'!$B$14,"Sangat Ketat",IF(J5119&lt;='Catatan &amp; Sumber'!$B$15,"Ketat",IF(J5119&lt;='Catatan &amp; Sumber'!$B$16,"Sedang","Relatif Longgar"))))</x:f>
        <x:v>Relatif Longgar</x:v>
      </x:c>
      <x:c r="N5119" s="66" t="str">
        <x:v>Tidak Ada</x:v>
      </x:c>
      <x:c r="O5119" s="66" t="str">
        <x:v>Papua Barat</x:v>
      </x:c>
      <x:c r="P5119" s="66" t="str">
        <x:v>Kabupaten Manokwari</x:v>
      </x:c>
      <x:c r="Q5119" s="66" t="str">
        <x:v>https://snpmb.id/snbp/daya-tampung-snbp</x:v>
      </x:c>
      <x:c r="R5119" s="66" t="str">
        <x:v>https://sidatagrun-public-1076756628210.asia-southeast2.run.app/ptn_sn.php?ptn=921</x:v>
      </x:c>
    </x:row>
    <x:row r="5120">
      <x:c r="A5120" s="87" t="n">
        <x:v>3127</x:v>
      </x:c>
      <x:c r="B5120" s="66" t="n">
        <x:v>921</x:v>
      </x:c>
      <x:c r="C5120" s="66" t="str">
        <x:v>UNIVERSITAS PAPUA</x:v>
      </x:c>
      <x:c r="D5120" s="66" t="str">
        <x:v>PTN Akademik</x:v>
      </x:c>
      <x:c r="E5120" s="66" t="str">
        <x:v>19211028</x:v>
      </x:c>
      <x:c r="F5120" s="66" t="str">
        <x:v>AKUNTANSI</x:v>
      </x:c>
      <x:c r="G5120" s="66" t="str">
        <x:v>Sarjana</x:v>
      </x:c>
      <x:c r="H5120" s="87" t="n">
        <x:v>27</x:v>
      </x:c>
      <x:c r="I5120" s="87" t="n">
        <x:v>84</x:v>
      </x:c>
      <x:c r="J5120" s="68" t="n">
        <x:f>IFERROR(H5120/I5120,"")</x:f>
        <x:v>0.32142857142857145</x:v>
      </x:c>
      <x:c r="K5120" s="69" t="n">
        <x:f>IFERROR(I5120/H5120,"")</x:f>
        <x:v>3.111111111111111</x:v>
      </x:c>
      <x:c r="L5120" s="66" t="str">
        <x:f>IF(K5120="","","1 : "&amp;TEXT(K5120,"0.0"))</x:f>
        <x:v>1 : 3.1</x:v>
      </x:c>
      <x:c r="M5120" s="66" t="str">
        <x:f>IF(J5120="","Baru/Tanpa Data",IF(J5120&lt;='Catatan &amp; Sumber'!$B$14,"Sangat Ketat",IF(J5120&lt;='Catatan &amp; Sumber'!$B$15,"Ketat",IF(J5120&lt;='Catatan &amp; Sumber'!$B$16,"Sedang","Relatif Longgar"))))</x:f>
        <x:v>Relatif Longgar</x:v>
      </x:c>
      <x:c r="N5120" s="66" t="str">
        <x:v>Tidak Ada</x:v>
      </x:c>
      <x:c r="O5120" s="66" t="str">
        <x:v>Papua Barat</x:v>
      </x:c>
      <x:c r="P5120" s="66" t="str">
        <x:v>Kabupaten Manokwari</x:v>
      </x:c>
      <x:c r="Q5120" s="66" t="str">
        <x:v>https://snpmb.id/snbp/daya-tampung-snbp</x:v>
      </x:c>
      <x:c r="R5120" s="66" t="str">
        <x:v>https://sidatagrun-public-1076756628210.asia-southeast2.run.app/ptn_sn.php?ptn=921</x:v>
      </x:c>
    </x:row>
    <x:row r="5121">
      <x:c r="A5121" s="87" t="n">
        <x:v>4379</x:v>
      </x:c>
      <x:c r="B5121" s="66" t="n">
        <x:v>921</x:v>
      </x:c>
      <x:c r="C5121" s="66" t="str">
        <x:v>UNIVERSITAS PAPUA</x:v>
      </x:c>
      <x:c r="D5121" s="66" t="str">
        <x:v>PTN Akademik</x:v>
      </x:c>
      <x:c r="E5121" s="66" t="str">
        <x:v>19211029</x:v>
      </x:c>
      <x:c r="F5121" s="66" t="str">
        <x:v>SASTRA INDONESIA</x:v>
      </x:c>
      <x:c r="G5121" s="66" t="str">
        <x:v>Sarjana</x:v>
      </x:c>
      <x:c r="H5121" s="87" t="n">
        <x:v>12</x:v>
      </x:c>
      <x:c r="I5121" s="87" t="n">
        <x:v>11</x:v>
      </x:c>
      <x:c r="J5121" s="68" t="n">
        <x:f>IFERROR(H5121/I5121,"")</x:f>
        <x:v>1.0909090909090908</x:v>
      </x:c>
      <x:c r="K5121" s="69" t="n">
        <x:f>IFERROR(I5121/H5121,"")</x:f>
        <x:v>0.9166666666666666</x:v>
      </x:c>
      <x:c r="L5121" s="66" t="str">
        <x:f>IF(K5121="","","1 : "&amp;TEXT(K5121,"0.0"))</x:f>
        <x:v>1 : 0.9</x:v>
      </x:c>
      <x:c r="M5121" s="66" t="str">
        <x:f>IF(J5121="","Baru/Tanpa Data",IF(J5121&lt;='Catatan &amp; Sumber'!$B$14,"Sangat Ketat",IF(J5121&lt;='Catatan &amp; Sumber'!$B$15,"Ketat",IF(J5121&lt;='Catatan &amp; Sumber'!$B$16,"Sedang","Relatif Longgar"))))</x:f>
        <x:v>Relatif Longgar</x:v>
      </x:c>
      <x:c r="N5121" s="66" t="str">
        <x:v>Tidak Ada</x:v>
      </x:c>
      <x:c r="O5121" s="66" t="str">
        <x:v>Papua Barat</x:v>
      </x:c>
      <x:c r="P5121" s="66" t="str">
        <x:v>Kabupaten Manokwari</x:v>
      </x:c>
      <x:c r="Q5121" s="66" t="str">
        <x:v>https://snpmb.id/snbp/daya-tampung-snbp</x:v>
      </x:c>
      <x:c r="R5121" s="66" t="str">
        <x:v>https://sidatagrun-public-1076756628210.asia-southeast2.run.app/ptn_sn.php?ptn=921</x:v>
      </x:c>
    </x:row>
    <x:row r="5122">
      <x:c r="A5122" s="87" t="n">
        <x:v>4747</x:v>
      </x:c>
      <x:c r="B5122" s="66" t="n">
        <x:v>921</x:v>
      </x:c>
      <x:c r="C5122" s="66" t="str">
        <x:v>UNIVERSITAS PAPUA</x:v>
      </x:c>
      <x:c r="D5122" s="66" t="str">
        <x:v>PTN Akademik</x:v>
      </x:c>
      <x:c r="E5122" s="66" t="str">
        <x:v>19211030</x:v>
      </x:c>
      <x:c r="F5122" s="66" t="str">
        <x:v>PENDIDIKAN BAHASA INGGRIS</x:v>
      </x:c>
      <x:c r="G5122" s="66" t="str">
        <x:v>Sarjana</x:v>
      </x:c>
      <x:c r="H5122" s="87" t="n">
        <x:v>30</x:v>
      </x:c>
      <x:c r="I5122" s="87" t="n">
        <x:v>11</x:v>
      </x:c>
      <x:c r="J5122" s="68" t="n">
        <x:f>IFERROR(H5122/I5122,"")</x:f>
        <x:v>2.727272727272727</x:v>
      </x:c>
      <x:c r="K5122" s="69" t="n">
        <x:f>IFERROR(I5122/H5122,"")</x:f>
        <x:v>0.36666666666666664</x:v>
      </x:c>
      <x:c r="L5122" s="66" t="str">
        <x:f>IF(K5122="","","1 : "&amp;TEXT(K5122,"0.0"))</x:f>
        <x:v>1 : 0.4</x:v>
      </x:c>
      <x:c r="M5122" s="66" t="str">
        <x:f>IF(J5122="","Baru/Tanpa Data",IF(J5122&lt;='Catatan &amp; Sumber'!$B$14,"Sangat Ketat",IF(J5122&lt;='Catatan &amp; Sumber'!$B$15,"Ketat",IF(J5122&lt;='Catatan &amp; Sumber'!$B$16,"Sedang","Relatif Longgar"))))</x:f>
        <x:v>Relatif Longgar</x:v>
      </x:c>
      <x:c r="N5122" s="66" t="str">
        <x:v>Tidak Ada</x:v>
      </x:c>
      <x:c r="O5122" s="66" t="str">
        <x:v>Papua Barat</x:v>
      </x:c>
      <x:c r="P5122" s="66" t="str">
        <x:v>Kabupaten Manokwari</x:v>
      </x:c>
      <x:c r="Q5122" s="66" t="str">
        <x:v>https://snpmb.id/snbp/daya-tampung-snbp</x:v>
      </x:c>
      <x:c r="R5122" s="66" t="str">
        <x:v>https://sidatagrun-public-1076756628210.asia-southeast2.run.app/ptn_sn.php?ptn=921</x:v>
      </x:c>
    </x:row>
    <x:row r="5123">
      <x:c r="A5123" s="87" t="n">
        <x:v>4166</x:v>
      </x:c>
      <x:c r="B5123" s="66" t="n">
        <x:v>921</x:v>
      </x:c>
      <x:c r="C5123" s="66" t="str">
        <x:v>UNIVERSITAS PAPUA</x:v>
      </x:c>
      <x:c r="D5123" s="66" t="str">
        <x:v>PTN Akademik</x:v>
      </x:c>
      <x:c r="E5123" s="66" t="str">
        <x:v>19211046</x:v>
      </x:c>
      <x:c r="F5123" s="66" t="str">
        <x:v>TEKNIK PERMINYAKAN</x:v>
      </x:c>
      <x:c r="G5123" s="66" t="str">
        <x:v>Sarjana</x:v>
      </x:c>
      <x:c r="H5123" s="87" t="n">
        <x:v>24</x:v>
      </x:c>
      <x:c r="I5123" s="87" t="n">
        <x:v>29</x:v>
      </x:c>
      <x:c r="J5123" s="68" t="n">
        <x:f>IFERROR(H5123/I5123,"")</x:f>
        <x:v>0.8275862068965517</x:v>
      </x:c>
      <x:c r="K5123" s="69" t="n">
        <x:f>IFERROR(I5123/H5123,"")</x:f>
        <x:v>1.2083333333333333</x:v>
      </x:c>
      <x:c r="L5123" s="66" t="str">
        <x:f>IF(K5123="","","1 : "&amp;TEXT(K5123,"0.0"))</x:f>
        <x:v>1 : 1.2</x:v>
      </x:c>
      <x:c r="M5123" s="66" t="str">
        <x:f>IF(J5123="","Baru/Tanpa Data",IF(J5123&lt;='Catatan &amp; Sumber'!$B$14,"Sangat Ketat",IF(J5123&lt;='Catatan &amp; Sumber'!$B$15,"Ketat",IF(J5123&lt;='Catatan &amp; Sumber'!$B$16,"Sedang","Relatif Longgar"))))</x:f>
        <x:v>Relatif Longgar</x:v>
      </x:c>
      <x:c r="N5123" s="66" t="str">
        <x:v>Tidak Ada</x:v>
      </x:c>
      <x:c r="O5123" s="66" t="str">
        <x:v>Papua Barat</x:v>
      </x:c>
      <x:c r="P5123" s="66" t="str">
        <x:v>Kabupaten Manokwari</x:v>
      </x:c>
      <x:c r="Q5123" s="66" t="str">
        <x:v>https://snpmb.id/snbp/daya-tampung-snbp</x:v>
      </x:c>
      <x:c r="R5123" s="66" t="str">
        <x:v>https://sidatagrun-public-1076756628210.asia-southeast2.run.app/ptn_sn.php?ptn=921</x:v>
      </x:c>
    </x:row>
    <x:row r="5124">
      <x:c r="A5124" s="87" t="n">
        <x:v>3650</x:v>
      </x:c>
      <x:c r="B5124" s="66" t="n">
        <x:v>921</x:v>
      </x:c>
      <x:c r="C5124" s="66" t="str">
        <x:v>UNIVERSITAS PAPUA</x:v>
      </x:c>
      <x:c r="D5124" s="66" t="str">
        <x:v>PTN Akademik</x:v>
      </x:c>
      <x:c r="E5124" s="66" t="str">
        <x:v>19211047</x:v>
      </x:c>
      <x:c r="F5124" s="66" t="str">
        <x:v>PENDIDKAN GURU SEKOLAH DASAR</x:v>
      </x:c>
      <x:c r="G5124" s="66" t="str">
        <x:v>Sarjana</x:v>
      </x:c>
      <x:c r="H5124" s="87" t="n">
        <x:v>30</x:v>
      </x:c>
      <x:c r="I5124" s="87" t="n">
        <x:v>61</x:v>
      </x:c>
      <x:c r="J5124" s="68" t="n">
        <x:f>IFERROR(H5124/I5124,"")</x:f>
        <x:v>0.4918032786885246</x:v>
      </x:c>
      <x:c r="K5124" s="69" t="n">
        <x:f>IFERROR(I5124/H5124,"")</x:f>
        <x:v>2.033333333333333</x:v>
      </x:c>
      <x:c r="L5124" s="66" t="str">
        <x:f>IF(K5124="","","1 : "&amp;TEXT(K5124,"0.0"))</x:f>
        <x:v>1 : 2.0</x:v>
      </x:c>
      <x:c r="M5124" s="66" t="str">
        <x:f>IF(J5124="","Baru/Tanpa Data",IF(J5124&lt;='Catatan &amp; Sumber'!$B$14,"Sangat Ketat",IF(J5124&lt;='Catatan &amp; Sumber'!$B$15,"Ketat",IF(J5124&lt;='Catatan &amp; Sumber'!$B$16,"Sedang","Relatif Longgar"))))</x:f>
        <x:v>Relatif Longgar</x:v>
      </x:c>
      <x:c r="N5124" s="66" t="str">
        <x:v>Tidak Ada</x:v>
      </x:c>
      <x:c r="O5124" s="66" t="str">
        <x:v>Papua Barat</x:v>
      </x:c>
      <x:c r="P5124" s="66" t="str">
        <x:v>Kabupaten Manokwari</x:v>
      </x:c>
      <x:c r="Q5124" s="66" t="str">
        <x:v>https://snpmb.id/snbp/daya-tampung-snbp</x:v>
      </x:c>
      <x:c r="R5124" s="66" t="str">
        <x:v>https://sidatagrun-public-1076756628210.asia-southeast2.run.app/ptn_sn.php?ptn=921</x:v>
      </x:c>
    </x:row>
    <x:row r="5125">
      <x:c r="A5125" s="87" t="n">
        <x:v>4857</x:v>
      </x:c>
      <x:c r="B5125" s="66" t="n">
        <x:v>921</x:v>
      </x:c>
      <x:c r="C5125" s="66" t="str">
        <x:v>UNIVERSITAS PAPUA</x:v>
      </x:c>
      <x:c r="D5125" s="66" t="str">
        <x:v>PTN Akademik</x:v>
      </x:c>
      <x:c r="E5125" s="66" t="str">
        <x:v>19211048</x:v>
      </x:c>
      <x:c r="F5125" s="66" t="str">
        <x:v>KONSERVASI HUTAN</x:v>
      </x:c>
      <x:c r="G5125" s="66" t="str">
        <x:v>Sarjana</x:v>
      </x:c>
      <x:c r="H5125" s="87" t="n">
        <x:v>18</x:v>
      </x:c>
      <x:c r="I5125" s="87" t="n">
        <x:v>3</x:v>
      </x:c>
      <x:c r="J5125" s="68" t="n">
        <x:f>IFERROR(H5125/I5125,"")</x:f>
        <x:v>6</x:v>
      </x:c>
      <x:c r="K5125" s="69" t="n">
        <x:f>IFERROR(I5125/H5125,"")</x:f>
        <x:v>0.16666666666666666</x:v>
      </x:c>
      <x:c r="L5125" s="66" t="str">
        <x:f>IF(K5125="","","1 : "&amp;TEXT(K5125,"0.0"))</x:f>
        <x:v>1 : 0.2</x:v>
      </x:c>
      <x:c r="M5125" s="66" t="str">
        <x:f>IF(J5125="","Baru/Tanpa Data",IF(J5125&lt;='Catatan &amp; Sumber'!$B$14,"Sangat Ketat",IF(J5125&lt;='Catatan &amp; Sumber'!$B$15,"Ketat",IF(J5125&lt;='Catatan &amp; Sumber'!$B$16,"Sedang","Relatif Longgar"))))</x:f>
        <x:v>Relatif Longgar</x:v>
      </x:c>
      <x:c r="N5125" s="66" t="str">
        <x:v>Tidak Ada</x:v>
      </x:c>
      <x:c r="O5125" s="66" t="str">
        <x:v>Papua Barat</x:v>
      </x:c>
      <x:c r="P5125" s="66" t="str">
        <x:v>Kabupaten Manokwari</x:v>
      </x:c>
      <x:c r="Q5125" s="66" t="str">
        <x:v>https://snpmb.id/snbp/daya-tampung-snbp</x:v>
      </x:c>
      <x:c r="R5125" s="66" t="str">
        <x:v>https://sidatagrun-public-1076756628210.asia-southeast2.run.app/ptn_sn.php?ptn=921</x:v>
      </x:c>
    </x:row>
    <x:row r="5126">
      <x:c r="A5126" s="87" t="n">
        <x:v>4905</x:v>
      </x:c>
      <x:c r="B5126" s="66" t="n">
        <x:v>921</x:v>
      </x:c>
      <x:c r="C5126" s="66" t="str">
        <x:v>UNIVERSITAS PAPUA</x:v>
      </x:c>
      <x:c r="D5126" s="66" t="str">
        <x:v>PTN Akademik</x:v>
      </x:c>
      <x:c r="E5126" s="66" t="str">
        <x:v>19211049</x:v>
      </x:c>
      <x:c r="F5126" s="66" t="str">
        <x:v>TEKNOLOGI HASIL HUTAN</x:v>
      </x:c>
      <x:c r="G5126" s="66" t="str">
        <x:v>Sarjana</x:v>
      </x:c>
      <x:c r="H5126" s="87" t="n">
        <x:v>18</x:v>
      </x:c>
      <x:c r="I5126" s="87" t="n">
        <x:v>1</x:v>
      </x:c>
      <x:c r="J5126" s="68" t="n">
        <x:f>IFERROR(H5126/I5126,"")</x:f>
        <x:v>18</x:v>
      </x:c>
      <x:c r="K5126" s="69" t="n">
        <x:f>IFERROR(I5126/H5126,"")</x:f>
        <x:v>0.05555555555555555</x:v>
      </x:c>
      <x:c r="L5126" s="66" t="str">
        <x:f>IF(K5126="","","1 : "&amp;TEXT(K5126,"0.0"))</x:f>
        <x:v>1 : 0.1</x:v>
      </x:c>
      <x:c r="M5126" s="66" t="str">
        <x:f>IF(J5126="","Baru/Tanpa Data",IF(J5126&lt;='Catatan &amp; Sumber'!$B$14,"Sangat Ketat",IF(J5126&lt;='Catatan &amp; Sumber'!$B$15,"Ketat",IF(J5126&lt;='Catatan &amp; Sumber'!$B$16,"Sedang","Relatif Longgar"))))</x:f>
        <x:v>Relatif Longgar</x:v>
      </x:c>
      <x:c r="N5126" s="66" t="str">
        <x:v>Tidak Ada</x:v>
      </x:c>
      <x:c r="O5126" s="66" t="str">
        <x:v>Papua Barat</x:v>
      </x:c>
      <x:c r="P5126" s="66" t="str">
        <x:v>Kabupaten Manokwari</x:v>
      </x:c>
      <x:c r="Q5126" s="66" t="str">
        <x:v>https://snpmb.id/snbp/daya-tampung-snbp</x:v>
      </x:c>
      <x:c r="R5126" s="66" t="str">
        <x:v>https://sidatagrun-public-1076756628210.asia-southeast2.run.app/ptn_sn.php?ptn=921</x:v>
      </x:c>
    </x:row>
    <x:row r="5127">
      <x:c r="A5127" s="87" t="n">
        <x:v>4733</x:v>
      </x:c>
      <x:c r="B5127" s="66" t="n">
        <x:v>921</x:v>
      </x:c>
      <x:c r="C5127" s="66" t="str">
        <x:v>UNIVERSITAS PAPUA</x:v>
      </x:c>
      <x:c r="D5127" s="66" t="str">
        <x:v>PTN Akademik</x:v>
      </x:c>
      <x:c r="E5127" s="66" t="str">
        <x:v>19211050</x:v>
      </x:c>
      <x:c r="F5127" s="66" t="str">
        <x:v>ILMU LINGKUNGAN</x:v>
      </x:c>
      <x:c r="G5127" s="66" t="str">
        <x:v>Sarjana</x:v>
      </x:c>
      <x:c r="H5127" s="87" t="n">
        <x:v>18</x:v>
      </x:c>
      <x:c r="I5127" s="87" t="n">
        <x:v>7</x:v>
      </x:c>
      <x:c r="J5127" s="68" t="n">
        <x:f>IFERROR(H5127/I5127,"")</x:f>
        <x:v>2.5714285714285716</x:v>
      </x:c>
      <x:c r="K5127" s="69" t="n">
        <x:f>IFERROR(I5127/H5127,"")</x:f>
        <x:v>0.3888888888888889</x:v>
      </x:c>
      <x:c r="L5127" s="66" t="str">
        <x:f>IF(K5127="","","1 : "&amp;TEXT(K5127,"0.0"))</x:f>
        <x:v>1 : 0.4</x:v>
      </x:c>
      <x:c r="M5127" s="66" t="str">
        <x:f>IF(J5127="","Baru/Tanpa Data",IF(J5127&lt;='Catatan &amp; Sumber'!$B$14,"Sangat Ketat",IF(J5127&lt;='Catatan &amp; Sumber'!$B$15,"Ketat",IF(J5127&lt;='Catatan &amp; Sumber'!$B$16,"Sedang","Relatif Longgar"))))</x:f>
        <x:v>Relatif Longgar</x:v>
      </x:c>
      <x:c r="N5127" s="66" t="str">
        <x:v>Tidak Ada</x:v>
      </x:c>
      <x:c r="O5127" s="66" t="str">
        <x:v>Papua Barat</x:v>
      </x:c>
      <x:c r="P5127" s="66" t="str">
        <x:v>Kabupaten Manokwari</x:v>
      </x:c>
      <x:c r="Q5127" s="66" t="str">
        <x:v>https://snpmb.id/snbp/daya-tampung-snbp</x:v>
      </x:c>
      <x:c r="R5127" s="66" t="str">
        <x:v>https://sidatagrun-public-1076756628210.asia-southeast2.run.app/ptn_sn.php?ptn=921</x:v>
      </x:c>
    </x:row>
    <x:row r="5128">
      <x:c r="A5128" s="87"/>
      <x:c r="B5128" s="66" t="n">
        <x:v>921</x:v>
      </x:c>
      <x:c r="C5128" s="66" t="str">
        <x:v>UNIVERSITAS PAPUA</x:v>
      </x:c>
      <x:c r="D5128" s="66" t="str">
        <x:v>PTN Akademik</x:v>
      </x:c>
      <x:c r="E5128" s="66" t="str">
        <x:v>19211051</x:v>
      </x:c>
      <x:c r="F5128" s="66" t="str">
        <x:v>AKUAKULTUR</x:v>
      </x:c>
      <x:c r="G5128" s="66" t="str">
        <x:v>Sarjana</x:v>
      </x:c>
      <x:c r="H5128" s="87" t="n">
        <x:v>12</x:v>
      </x:c>
      <x:c r="I5128" s="87"/>
      <x:c r="J5128" s="68" t="str">
        <x:f>IFERROR(H5128/I5128,"")</x:f>
      </x:c>
      <x:c r="K5128" s="69" t="n">
        <x:f>IFERROR(I5128/H5128,"")</x:f>
        <x:v>0</x:v>
      </x:c>
      <x:c r="L5128" s="66" t="str">
        <x:f>IF(K5128="","","1 : "&amp;TEXT(K5128,"0.0"))</x:f>
      </x:c>
      <x:c r="M5128" s="66" t="str">
        <x:f>IF(J5128="","Baru/Tanpa Data",IF(J5128&lt;='Catatan &amp; Sumber'!$B$14,"Sangat Ketat",IF(J5128&lt;='Catatan &amp; Sumber'!$B$15,"Ketat",IF(J5128&lt;='Catatan &amp; Sumber'!$B$16,"Sedang","Relatif Longgar"))))</x:f>
        <x:v>Baru/Tanpa Data</x:v>
      </x:c>
      <x:c r="N5128" s="66" t="str">
        <x:v>Tidak Ada</x:v>
      </x:c>
      <x:c r="O5128" s="66" t="str">
        <x:v>Papua Barat</x:v>
      </x:c>
      <x:c r="P5128" s="66" t="str">
        <x:v>Kabupaten Manokwari</x:v>
      </x:c>
      <x:c r="Q5128" s="66" t="str">
        <x:v>https://snpmb.id/snbp/daya-tampung-snbp</x:v>
      </x:c>
      <x:c r="R5128" s="66" t="str">
        <x:v>https://sidatagrun-public-1076756628210.asia-southeast2.run.app/ptn_sn.php?ptn=921</x:v>
      </x:c>
    </x:row>
    <x:row r="5129">
      <x:c r="A5129" s="87"/>
      <x:c r="B5129" s="66" t="n">
        <x:v>921</x:v>
      </x:c>
      <x:c r="C5129" s="66" t="str">
        <x:v>UNIVERSITAS PAPUA</x:v>
      </x:c>
      <x:c r="D5129" s="66" t="str">
        <x:v>PTN Akademik</x:v>
      </x:c>
      <x:c r="E5129" s="66" t="str">
        <x:v>19211052</x:v>
      </x:c>
      <x:c r="F5129" s="66" t="str">
        <x:v>PENDIDIKAN BAHASA INDONESIA</x:v>
      </x:c>
      <x:c r="G5129" s="66" t="str">
        <x:v>Sarjana</x:v>
      </x:c>
      <x:c r="H5129" s="87" t="n">
        <x:v>30</x:v>
      </x:c>
      <x:c r="I5129" s="87"/>
      <x:c r="J5129" s="68" t="str">
        <x:f>IFERROR(H5129/I5129,"")</x:f>
      </x:c>
      <x:c r="K5129" s="69" t="n">
        <x:f>IFERROR(I5129/H5129,"")</x:f>
        <x:v>0</x:v>
      </x:c>
      <x:c r="L5129" s="66" t="str">
        <x:f>IF(K5129="","","1 : "&amp;TEXT(K5129,"0.0"))</x:f>
      </x:c>
      <x:c r="M5129" s="66" t="str">
        <x:f>IF(J5129="","Baru/Tanpa Data",IF(J5129&lt;='Catatan &amp; Sumber'!$B$14,"Sangat Ketat",IF(J5129&lt;='Catatan &amp; Sumber'!$B$15,"Ketat",IF(J5129&lt;='Catatan &amp; Sumber'!$B$16,"Sedang","Relatif Longgar"))))</x:f>
        <x:v>Baru/Tanpa Data</x:v>
      </x:c>
      <x:c r="N5129" s="66" t="str">
        <x:v>Tidak Ada</x:v>
      </x:c>
      <x:c r="O5129" s="66" t="str">
        <x:v>Papua Barat</x:v>
      </x:c>
      <x:c r="P5129" s="66" t="str">
        <x:v>Kabupaten Manokwari</x:v>
      </x:c>
      <x:c r="Q5129" s="66" t="str">
        <x:v>https://snpmb.id/snbp/daya-tampung-snbp</x:v>
      </x:c>
      <x:c r="R5129" s="66" t="str">
        <x:v>https://sidatagrun-public-1076756628210.asia-southeast2.run.app/ptn_sn.php?ptn=921</x:v>
      </x:c>
    </x:row>
    <x:row r="5130">
      <x:c r="A5130" s="87"/>
      <x:c r="B5130" s="66" t="n">
        <x:v>921</x:v>
      </x:c>
      <x:c r="C5130" s="66" t="str">
        <x:v>UNIVERSITAS PAPUA</x:v>
      </x:c>
      <x:c r="D5130" s="66" t="str">
        <x:v>PTN Akademik</x:v>
      </x:c>
      <x:c r="E5130" s="66" t="str">
        <x:v>19211053</x:v>
      </x:c>
      <x:c r="F5130" s="66" t="str">
        <x:v>KEWIRAUSAHAAN (KAMPUS KABUPATEN KAIMANA)</x:v>
      </x:c>
      <x:c r="G5130" s="66" t="str">
        <x:v>Sarjana</x:v>
      </x:c>
      <x:c r="H5130" s="87" t="n">
        <x:v>18</x:v>
      </x:c>
      <x:c r="I5130" s="87"/>
      <x:c r="J5130" s="68" t="str">
        <x:f>IFERROR(H5130/I5130,"")</x:f>
      </x:c>
      <x:c r="K5130" s="69" t="n">
        <x:f>IFERROR(I5130/H5130,"")</x:f>
        <x:v>0</x:v>
      </x:c>
      <x:c r="L5130" s="66" t="str">
        <x:f>IF(K5130="","","1 : "&amp;TEXT(K5130,"0.0"))</x:f>
      </x:c>
      <x:c r="M5130" s="66" t="str">
        <x:f>IF(J5130="","Baru/Tanpa Data",IF(J5130&lt;='Catatan &amp; Sumber'!$B$14,"Sangat Ketat",IF(J5130&lt;='Catatan &amp; Sumber'!$B$15,"Ketat",IF(J5130&lt;='Catatan &amp; Sumber'!$B$16,"Sedang","Relatif Longgar"))))</x:f>
        <x:v>Baru/Tanpa Data</x:v>
      </x:c>
      <x:c r="N5130" s="66" t="str">
        <x:v>Tidak Ada</x:v>
      </x:c>
      <x:c r="O5130" s="66" t="str">
        <x:v>Papua Barat</x:v>
      </x:c>
      <x:c r="P5130" s="66" t="str">
        <x:v>Kabupaten Manokwari</x:v>
      </x:c>
      <x:c r="Q5130" s="66" t="str">
        <x:v>https://snpmb.id/snbp/daya-tampung-snbp</x:v>
      </x:c>
      <x:c r="R5130" s="66" t="str">
        <x:v>https://sidatagrun-public-1076756628210.asia-southeast2.run.app/ptn_sn.php?ptn=921</x:v>
      </x:c>
    </x:row>
    <x:row r="5131">
      <x:c r="A5131" s="87" t="n">
        <x:v>4711</x:v>
      </x:c>
      <x:c r="B5131" s="66" t="n">
        <x:v>921</x:v>
      </x:c>
      <x:c r="C5131" s="66" t="str">
        <x:v>UNIVERSITAS PAPUA</x:v>
      </x:c>
      <x:c r="D5131" s="66" t="str">
        <x:v>PTN Akademik</x:v>
      </x:c>
      <x:c r="E5131" s="66" t="str">
        <x:v>19213033</x:v>
      </x:c>
      <x:c r="F5131" s="66" t="str">
        <x:v>KESEHATAN HEWAN</x:v>
      </x:c>
      <x:c r="G5131" s="66" t="str">
        <x:v>Diploma Tiga</x:v>
      </x:c>
      <x:c r="H5131" s="87" t="n">
        <x:v>12</x:v>
      </x:c>
      <x:c r="I5131" s="87" t="n">
        <x:v>5</x:v>
      </x:c>
      <x:c r="J5131" s="68" t="n">
        <x:f>IFERROR(H5131/I5131,"")</x:f>
        <x:v>2.4</x:v>
      </x:c>
      <x:c r="K5131" s="69" t="n">
        <x:f>IFERROR(I5131/H5131,"")</x:f>
        <x:v>0.4166666666666667</x:v>
      </x:c>
      <x:c r="L5131" s="66" t="str">
        <x:f>IF(K5131="","","1 : "&amp;TEXT(K5131,"0.0"))</x:f>
        <x:v>1 : 0.4</x:v>
      </x:c>
      <x:c r="M5131" s="66" t="str">
        <x:f>IF(J5131="","Baru/Tanpa Data",IF(J5131&lt;='Catatan &amp; Sumber'!$B$14,"Sangat Ketat",IF(J5131&lt;='Catatan &amp; Sumber'!$B$15,"Ketat",IF(J5131&lt;='Catatan &amp; Sumber'!$B$16,"Sedang","Relatif Longgar"))))</x:f>
        <x:v>Relatif Longgar</x:v>
      </x:c>
      <x:c r="N5131" s="66" t="str">
        <x:v>Tidak Ada</x:v>
      </x:c>
      <x:c r="O5131" s="66" t="str">
        <x:v>Papua Barat</x:v>
      </x:c>
      <x:c r="P5131" s="66" t="str">
        <x:v>Kabupaten Manokwari</x:v>
      </x:c>
      <x:c r="Q5131" s="66" t="str">
        <x:v>https://snpmb.id/snbp/daya-tampung-snbp</x:v>
      </x:c>
      <x:c r="R5131" s="66" t="str">
        <x:v>https://sidatagrun-public-1076756628210.asia-southeast2.run.app/ptn_sn.php?ptn=921</x:v>
      </x:c>
    </x:row>
    <x:row r="5132">
      <x:c r="A5132" s="87" t="n">
        <x:v>4545</x:v>
      </x:c>
      <x:c r="B5132" s="66" t="n">
        <x:v>921</x:v>
      </x:c>
      <x:c r="C5132" s="66" t="str">
        <x:v>UNIVERSITAS PAPUA</x:v>
      </x:c>
      <x:c r="D5132" s="66" t="str">
        <x:v>PTN Akademik</x:v>
      </x:c>
      <x:c r="E5132" s="66" t="str">
        <x:v>19213034</x:v>
      </x:c>
      <x:c r="F5132" s="66" t="str">
        <x:v>TEKNIK KOMPUTER</x:v>
      </x:c>
      <x:c r="G5132" s="66" t="str">
        <x:v>Diploma Tiga</x:v>
      </x:c>
      <x:c r="H5132" s="87" t="n">
        <x:v>18</x:v>
      </x:c>
      <x:c r="I5132" s="87" t="n">
        <x:v>12</x:v>
      </x:c>
      <x:c r="J5132" s="68" t="n">
        <x:f>IFERROR(H5132/I5132,"")</x:f>
        <x:v>1.5</x:v>
      </x:c>
      <x:c r="K5132" s="69" t="n">
        <x:f>IFERROR(I5132/H5132,"")</x:f>
        <x:v>0.6666666666666666</x:v>
      </x:c>
      <x:c r="L5132" s="66" t="str">
        <x:f>IF(K5132="","","1 : "&amp;TEXT(K5132,"0.0"))</x:f>
        <x:v>1 : 0.7</x:v>
      </x:c>
      <x:c r="M5132" s="66" t="str">
        <x:f>IF(J5132="","Baru/Tanpa Data",IF(J5132&lt;='Catatan &amp; Sumber'!$B$14,"Sangat Ketat",IF(J5132&lt;='Catatan &amp; Sumber'!$B$15,"Ketat",IF(J5132&lt;='Catatan &amp; Sumber'!$B$16,"Sedang","Relatif Longgar"))))</x:f>
        <x:v>Relatif Longgar</x:v>
      </x:c>
      <x:c r="N5132" s="66" t="str">
        <x:v>Tidak Ada</x:v>
      </x:c>
      <x:c r="O5132" s="66" t="str">
        <x:v>Papua Barat</x:v>
      </x:c>
      <x:c r="P5132" s="66" t="str">
        <x:v>Kabupaten Manokwari</x:v>
      </x:c>
      <x:c r="Q5132" s="66" t="str">
        <x:v>https://snpmb.id/snbp/daya-tampung-snbp</x:v>
      </x:c>
      <x:c r="R5132" s="66" t="str">
        <x:v>https://sidatagrun-public-1076756628210.asia-southeast2.run.app/ptn_sn.php?ptn=921</x:v>
      </x:c>
    </x:row>
    <x:row r="5133">
      <x:c r="A5133" s="87"/>
      <x:c r="B5133" s="66" t="n">
        <x:v>921</x:v>
      </x:c>
      <x:c r="C5133" s="66" t="str">
        <x:v>UNIVERSITAS PAPUA</x:v>
      </x:c>
      <x:c r="D5133" s="66" t="str">
        <x:v>PTN Akademik</x:v>
      </x:c>
      <x:c r="E5133" s="66" t="str">
        <x:v>19213035</x:v>
      </x:c>
      <x:c r="F5133" s="66" t="str">
        <x:v>EKOWISATA</x:v>
      </x:c>
      <x:c r="G5133" s="66" t="str">
        <x:v>Diploma Tiga</x:v>
      </x:c>
      <x:c r="H5133" s="87" t="n">
        <x:v>12</x:v>
      </x:c>
      <x:c r="I5133" s="87"/>
      <x:c r="J5133" s="68" t="str">
        <x:f>IFERROR(H5133/I5133,"")</x:f>
      </x:c>
      <x:c r="K5133" s="69" t="n">
        <x:f>IFERROR(I5133/H5133,"")</x:f>
        <x:v>0</x:v>
      </x:c>
      <x:c r="L5133" s="66" t="str">
        <x:f>IF(K5133="","","1 : "&amp;TEXT(K5133,"0.0"))</x:f>
      </x:c>
      <x:c r="M5133" s="66" t="str">
        <x:f>IF(J5133="","Baru/Tanpa Data",IF(J5133&lt;='Catatan &amp; Sumber'!$B$14,"Sangat Ketat",IF(J5133&lt;='Catatan &amp; Sumber'!$B$15,"Ketat",IF(J5133&lt;='Catatan &amp; Sumber'!$B$16,"Sedang","Relatif Longgar"))))</x:f>
        <x:v>Baru/Tanpa Data</x:v>
      </x:c>
      <x:c r="N5133" s="66" t="str">
        <x:v>Tidak Ada</x:v>
      </x:c>
      <x:c r="O5133" s="66" t="str">
        <x:v>Papua Barat</x:v>
      </x:c>
      <x:c r="P5133" s="66" t="str">
        <x:v>Kabupaten Manokwari</x:v>
      </x:c>
      <x:c r="Q5133" s="66" t="str">
        <x:v>https://snpmb.id/snbp/daya-tampung-snbp</x:v>
      </x:c>
      <x:c r="R5133" s="66" t="str">
        <x:v>https://sidatagrun-public-1076756628210.asia-southeast2.run.app/ptn_sn.php?ptn=921</x:v>
      </x:c>
    </x:row>
    <x:row r="5134">
      <x:c r="A5134" s="87"/>
      <x:c r="B5134" s="66" t="n">
        <x:v>921</x:v>
      </x:c>
      <x:c r="C5134" s="66" t="str">
        <x:v>UNIVERSITAS PAPUA</x:v>
      </x:c>
      <x:c r="D5134" s="66" t="str">
        <x:v>PTN Akademik</x:v>
      </x:c>
      <x:c r="E5134" s="66" t="str">
        <x:v>19213037</x:v>
      </x:c>
      <x:c r="F5134" s="66" t="str">
        <x:v>TEKNIK LISTRIK</x:v>
      </x:c>
      <x:c r="G5134" s="66" t="str">
        <x:v>Diploma Tiga</x:v>
      </x:c>
      <x:c r="H5134" s="87" t="n">
        <x:v>12</x:v>
      </x:c>
      <x:c r="I5134" s="87"/>
      <x:c r="J5134" s="68" t="str">
        <x:f>IFERROR(H5134/I5134,"")</x:f>
      </x:c>
      <x:c r="K5134" s="69" t="n">
        <x:f>IFERROR(I5134/H5134,"")</x:f>
        <x:v>0</x:v>
      </x:c>
      <x:c r="L5134" s="66" t="str">
        <x:f>IF(K5134="","","1 : "&amp;TEXT(K5134,"0.0"))</x:f>
      </x:c>
      <x:c r="M5134" s="66" t="str">
        <x:f>IF(J5134="","Baru/Tanpa Data",IF(J5134&lt;='Catatan &amp; Sumber'!$B$14,"Sangat Ketat",IF(J5134&lt;='Catatan &amp; Sumber'!$B$15,"Ketat",IF(J5134&lt;='Catatan &amp; Sumber'!$B$16,"Sedang","Relatif Longgar"))))</x:f>
        <x:v>Baru/Tanpa Data</x:v>
      </x:c>
      <x:c r="N5134" s="66" t="str">
        <x:v>Tidak Ada</x:v>
      </x:c>
      <x:c r="O5134" s="66" t="str">
        <x:v>Papua Barat</x:v>
      </x:c>
      <x:c r="P5134" s="66" t="str">
        <x:v>Kabupaten Manokwari</x:v>
      </x:c>
      <x:c r="Q5134" s="66" t="str">
        <x:v>https://snpmb.id/snbp/daya-tampung-snbp</x:v>
      </x:c>
      <x:c r="R5134" s="66" t="str">
        <x:v>https://sidatagrun-public-1076756628210.asia-southeast2.run.app/ptn_sn.php?ptn=921</x:v>
      </x:c>
    </x:row>
    <x:row r="5135">
      <x:c r="A5135" s="87" t="n">
        <x:v>4899</x:v>
      </x:c>
      <x:c r="B5135" s="66" t="n">
        <x:v>921</x:v>
      </x:c>
      <x:c r="C5135" s="66" t="str">
        <x:v>UNIVERSITAS PAPUA</x:v>
      </x:c>
      <x:c r="D5135" s="66" t="str">
        <x:v>PTN Akademik</x:v>
      </x:c>
      <x:c r="E5135" s="66" t="str">
        <x:v>19213039</x:v>
      </x:c>
      <x:c r="F5135" s="66" t="str">
        <x:v>BUDIDAYA TANAMAN PANGAN</x:v>
      </x:c>
      <x:c r="G5135" s="66" t="str">
        <x:v>Diploma Tiga</x:v>
      </x:c>
      <x:c r="H5135" s="87" t="n">
        <x:v>15</x:v>
      </x:c>
      <x:c r="I5135" s="87" t="n">
        <x:v>1</x:v>
      </x:c>
      <x:c r="J5135" s="68" t="n">
        <x:f>IFERROR(H5135/I5135,"")</x:f>
        <x:v>15</x:v>
      </x:c>
      <x:c r="K5135" s="69" t="n">
        <x:f>IFERROR(I5135/H5135,"")</x:f>
        <x:v>0.06666666666666667</x:v>
      </x:c>
      <x:c r="L5135" s="66" t="str">
        <x:f>IF(K5135="","","1 : "&amp;TEXT(K5135,"0.0"))</x:f>
        <x:v>1 : 0.1</x:v>
      </x:c>
      <x:c r="M5135" s="66" t="str">
        <x:f>IF(J5135="","Baru/Tanpa Data",IF(J5135&lt;='Catatan &amp; Sumber'!$B$14,"Sangat Ketat",IF(J5135&lt;='Catatan &amp; Sumber'!$B$15,"Ketat",IF(J5135&lt;='Catatan &amp; Sumber'!$B$16,"Sedang","Relatif Longgar"))))</x:f>
        <x:v>Relatif Longgar</x:v>
      </x:c>
      <x:c r="N5135" s="66" t="str">
        <x:v>Tidak Ada</x:v>
      </x:c>
      <x:c r="O5135" s="66" t="str">
        <x:v>Papua Barat</x:v>
      </x:c>
      <x:c r="P5135" s="66" t="str">
        <x:v>Kabupaten Manokwari</x:v>
      </x:c>
      <x:c r="Q5135" s="66" t="str">
        <x:v>https://snpmb.id/snbp/daya-tampung-snbp</x:v>
      </x:c>
      <x:c r="R5135" s="66" t="str">
        <x:v>https://sidatagrun-public-1076756628210.asia-southeast2.run.app/ptn_sn.php?ptn=921</x:v>
      </x:c>
    </x:row>
    <x:row r="5136">
      <x:c r="A5136" s="87"/>
      <x:c r="B5136" s="66" t="n">
        <x:v>921</x:v>
      </x:c>
      <x:c r="C5136" s="66" t="str">
        <x:v>UNIVERSITAS PAPUA</x:v>
      </x:c>
      <x:c r="D5136" s="66" t="str">
        <x:v>PTN Akademik</x:v>
      </x:c>
      <x:c r="E5136" s="66" t="str">
        <x:v>19213041</x:v>
      </x:c>
      <x:c r="F5136" s="66" t="str">
        <x:v>KONSERVASI SUMBERDAYA HUTAN</x:v>
      </x:c>
      <x:c r="G5136" s="66" t="str">
        <x:v>Diploma Tiga</x:v>
      </x:c>
      <x:c r="H5136" s="87" t="n">
        <x:v>8</x:v>
      </x:c>
      <x:c r="I5136" s="87"/>
      <x:c r="J5136" s="68" t="str">
        <x:f>IFERROR(H5136/I5136,"")</x:f>
      </x:c>
      <x:c r="K5136" s="69" t="n">
        <x:f>IFERROR(I5136/H5136,"")</x:f>
        <x:v>0</x:v>
      </x:c>
      <x:c r="L5136" s="66" t="str">
        <x:f>IF(K5136="","","1 : "&amp;TEXT(K5136,"0.0"))</x:f>
      </x:c>
      <x:c r="M5136" s="66" t="str">
        <x:f>IF(J5136="","Baru/Tanpa Data",IF(J5136&lt;='Catatan &amp; Sumber'!$B$14,"Sangat Ketat",IF(J5136&lt;='Catatan &amp; Sumber'!$B$15,"Ketat",IF(J5136&lt;='Catatan &amp; Sumber'!$B$16,"Sedang","Relatif Longgar"))))</x:f>
        <x:v>Baru/Tanpa Data</x:v>
      </x:c>
      <x:c r="N5136" s="66" t="str">
        <x:v>Tidak Ada</x:v>
      </x:c>
      <x:c r="O5136" s="66" t="str">
        <x:v>Papua Barat</x:v>
      </x:c>
      <x:c r="P5136" s="66" t="str">
        <x:v>Kabupaten Manokwari</x:v>
      </x:c>
      <x:c r="Q5136" s="66" t="str">
        <x:v>https://snpmb.id/snbp/daya-tampung-snbp</x:v>
      </x:c>
      <x:c r="R5136" s="66" t="str">
        <x:v>https://sidatagrun-public-1076756628210.asia-southeast2.run.app/ptn_sn.php?ptn=921</x:v>
      </x:c>
    </x:row>
    <x:row r="5137">
      <x:c r="A5137" s="87"/>
      <x:c r="B5137" s="66" t="n">
        <x:v>921</x:v>
      </x:c>
      <x:c r="C5137" s="66" t="str">
        <x:v>UNIVERSITAS PAPUA</x:v>
      </x:c>
      <x:c r="D5137" s="66" t="str">
        <x:v>PTN Akademik</x:v>
      </x:c>
      <x:c r="E5137" s="66" t="str">
        <x:v>19213043</x:v>
      </x:c>
      <x:c r="F5137" s="66" t="str">
        <x:v>BUDIDAYA PERIKANAN</x:v>
      </x:c>
      <x:c r="G5137" s="66" t="str">
        <x:v>Diploma Tiga</x:v>
      </x:c>
      <x:c r="H5137" s="87" t="n">
        <x:v>12</x:v>
      </x:c>
      <x:c r="I5137" s="87"/>
      <x:c r="J5137" s="68" t="str">
        <x:f>IFERROR(H5137/I5137,"")</x:f>
      </x:c>
      <x:c r="K5137" s="69" t="n">
        <x:f>IFERROR(I5137/H5137,"")</x:f>
        <x:v>0</x:v>
      </x:c>
      <x:c r="L5137" s="66" t="str">
        <x:f>IF(K5137="","","1 : "&amp;TEXT(K5137,"0.0"))</x:f>
      </x:c>
      <x:c r="M5137" s="66" t="str">
        <x:f>IF(J5137="","Baru/Tanpa Data",IF(J5137&lt;='Catatan &amp; Sumber'!$B$14,"Sangat Ketat",IF(J5137&lt;='Catatan &amp; Sumber'!$B$15,"Ketat",IF(J5137&lt;='Catatan &amp; Sumber'!$B$16,"Sedang","Relatif Longgar"))))</x:f>
        <x:v>Baru/Tanpa Data</x:v>
      </x:c>
      <x:c r="N5137" s="66" t="str">
        <x:v>Tidak Ada</x:v>
      </x:c>
      <x:c r="O5137" s="66" t="str">
        <x:v>Papua Barat</x:v>
      </x:c>
      <x:c r="P5137" s="66" t="str">
        <x:v>Kabupaten Manokwari</x:v>
      </x:c>
      <x:c r="Q5137" s="66" t="str">
        <x:v>https://snpmb.id/snbp/daya-tampung-snbp</x:v>
      </x:c>
      <x:c r="R5137" s="66" t="str">
        <x:v>https://sidatagrun-public-1076756628210.asia-southeast2.run.app/ptn_sn.php?ptn=921</x:v>
      </x:c>
    </x:row>
    <x:row r="5138">
      <x:c r="A5138" s="87"/>
      <x:c r="B5138" s="66" t="n">
        <x:v>921</x:v>
      </x:c>
      <x:c r="C5138" s="66" t="str">
        <x:v>UNIVERSITAS PAPUA</x:v>
      </x:c>
      <x:c r="D5138" s="66" t="str">
        <x:v>PTN Akademik</x:v>
      </x:c>
      <x:c r="E5138" s="66" t="str">
        <x:v>19213044</x:v>
      </x:c>
      <x:c r="F5138" s="66" t="str">
        <x:v>BUDIDAYA TANAMAN PERKEBUNAN</x:v>
      </x:c>
      <x:c r="G5138" s="66" t="str">
        <x:v>Diploma Tiga</x:v>
      </x:c>
      <x:c r="H5138" s="87" t="n">
        <x:v>15</x:v>
      </x:c>
      <x:c r="I5138" s="87"/>
      <x:c r="J5138" s="68" t="str">
        <x:f>IFERROR(H5138/I5138,"")</x:f>
      </x:c>
      <x:c r="K5138" s="69" t="n">
        <x:f>IFERROR(I5138/H5138,"")</x:f>
        <x:v>0</x:v>
      </x:c>
      <x:c r="L5138" s="66" t="str">
        <x:f>IF(K5138="","","1 : "&amp;TEXT(K5138,"0.0"))</x:f>
      </x:c>
      <x:c r="M5138" s="66" t="str">
        <x:f>IF(J5138="","Baru/Tanpa Data",IF(J5138&lt;='Catatan &amp; Sumber'!$B$14,"Sangat Ketat",IF(J5138&lt;='Catatan &amp; Sumber'!$B$15,"Ketat",IF(J5138&lt;='Catatan &amp; Sumber'!$B$16,"Sedang","Relatif Longgar"))))</x:f>
        <x:v>Baru/Tanpa Data</x:v>
      </x:c>
      <x:c r="N5138" s="66" t="str">
        <x:v>Tidak Ada</x:v>
      </x:c>
      <x:c r="O5138" s="66" t="str">
        <x:v>Papua Barat</x:v>
      </x:c>
      <x:c r="P5138" s="66" t="str">
        <x:v>Kabupaten Manokwari</x:v>
      </x:c>
      <x:c r="Q5138" s="66" t="str">
        <x:v>https://snpmb.id/snbp/daya-tampung-snbp</x:v>
      </x:c>
      <x:c r="R5138" s="66" t="str">
        <x:v>https://sidatagrun-public-1076756628210.asia-southeast2.run.app/ptn_sn.php?ptn=921</x:v>
      </x:c>
    </x:row>
    <x:row r="5139">
      <x:c r="A5139" s="87" t="n">
        <x:v>4890</x:v>
      </x:c>
      <x:c r="B5139" s="66" t="n">
        <x:v>921</x:v>
      </x:c>
      <x:c r="C5139" s="66" t="str">
        <x:v>UNIVERSITAS PAPUA</x:v>
      </x:c>
      <x:c r="D5139" s="66" t="str">
        <x:v>PTN Akademik</x:v>
      </x:c>
      <x:c r="E5139" s="66" t="str">
        <x:v>19213045</x:v>
      </x:c>
      <x:c r="F5139" s="66" t="str">
        <x:v>BUDIDAYA TERNAK</x:v>
      </x:c>
      <x:c r="G5139" s="66" t="str">
        <x:v>Diploma Tiga</x:v>
      </x:c>
      <x:c r="H5139" s="87" t="n">
        <x:v>12</x:v>
      </x:c>
      <x:c r="I5139" s="87" t="n">
        <x:v>1</x:v>
      </x:c>
      <x:c r="J5139" s="68" t="n">
        <x:f>IFERROR(H5139/I5139,"")</x:f>
        <x:v>12</x:v>
      </x:c>
      <x:c r="K5139" s="69" t="n">
        <x:f>IFERROR(I5139/H5139,"")</x:f>
        <x:v>0.08333333333333333</x:v>
      </x:c>
      <x:c r="L5139" s="66" t="str">
        <x:f>IF(K5139="","","1 : "&amp;TEXT(K5139,"0.0"))</x:f>
        <x:v>1 : 0.1</x:v>
      </x:c>
      <x:c r="M5139" s="66" t="str">
        <x:f>IF(J5139="","Baru/Tanpa Data",IF(J5139&lt;='Catatan &amp; Sumber'!$B$14,"Sangat Ketat",IF(J5139&lt;='Catatan &amp; Sumber'!$B$15,"Ketat",IF(J5139&lt;='Catatan &amp; Sumber'!$B$16,"Sedang","Relatif Longgar"))))</x:f>
        <x:v>Relatif Longgar</x:v>
      </x:c>
      <x:c r="N5139" s="66" t="str">
        <x:v>Tidak Ada</x:v>
      </x:c>
      <x:c r="O5139" s="66" t="str">
        <x:v>Papua Barat</x:v>
      </x:c>
      <x:c r="P5139" s="66" t="str">
        <x:v>Kabupaten Manokwari</x:v>
      </x:c>
      <x:c r="Q5139" s="66" t="str">
        <x:v>https://snpmb.id/snbp/daya-tampung-snbp</x:v>
      </x:c>
      <x:c r="R5139" s="66" t="str">
        <x:v>https://sidatagrun-public-1076756628210.asia-southeast2.run.app/ptn_sn.php?ptn=921</x:v>
      </x:c>
    </x:row>
    <x:row r="5140">
      <x:c r="A5140" s="87" t="n">
        <x:v>4652</x:v>
      </x:c>
      <x:c r="B5140" s="66" t="n">
        <x:v>931</x:v>
      </x:c>
      <x:c r="C5140" s="66" t="str">
        <x:v>POLITEKNIK NEGERI FAKFAK</x:v>
      </x:c>
      <x:c r="D5140" s="66" t="str">
        <x:v>PTN Vokasi</x:v>
      </x:c>
      <x:c r="E5140" s="66" t="str">
        <x:v>29312001</x:v>
      </x:c>
      <x:c r="F5140" s="66" t="str">
        <x:v>TEKNOLOGI REKAYASA KONSTRUKSI JALAN DAN JEMBATAN</x:v>
      </x:c>
      <x:c r="G5140" s="66" t="str">
        <x:v>Sarjana Terapan</x:v>
      </x:c>
      <x:c r="H5140" s="87" t="n">
        <x:v>24</x:v>
      </x:c>
      <x:c r="I5140" s="87" t="n">
        <x:v>12</x:v>
      </x:c>
      <x:c r="J5140" s="68" t="n">
        <x:f>IFERROR(H5140/I5140,"")</x:f>
        <x:v>2</x:v>
      </x:c>
      <x:c r="K5140" s="69" t="n">
        <x:f>IFERROR(I5140/H5140,"")</x:f>
        <x:v>0.5</x:v>
      </x:c>
      <x:c r="L5140" s="66" t="str">
        <x:f>IF(K5140="","","1 : "&amp;TEXT(K5140,"0.0"))</x:f>
        <x:v>1 : 0.5</x:v>
      </x:c>
      <x:c r="M5140" s="66" t="str">
        <x:f>IF(J5140="","Baru/Tanpa Data",IF(J5140&lt;='Catatan &amp; Sumber'!$B$14,"Sangat Ketat",IF(J5140&lt;='Catatan &amp; Sumber'!$B$15,"Ketat",IF(J5140&lt;='Catatan &amp; Sumber'!$B$16,"Sedang","Relatif Longgar"))))</x:f>
        <x:v>Relatif Longgar</x:v>
      </x:c>
      <x:c r="N5140" s="66" t="str">
        <x:v>Tidak Ada</x:v>
      </x:c>
      <x:c r="O5140" s="66" t="str">
        <x:v>Papua Barat</x:v>
      </x:c>
      <x:c r="P5140" s="66" t="str">
        <x:v>Kabupaten Fak-Fak</x:v>
      </x:c>
      <x:c r="Q5140" s="66" t="str">
        <x:v>https://snpmb.id/snbp/daya-tampung-snbp</x:v>
      </x:c>
      <x:c r="R5140" s="66" t="str">
        <x:v>https://sidatagrun-public-1076756628210.asia-southeast2.run.app/ptn_sn.php?ptn=931</x:v>
      </x:c>
    </x:row>
    <x:row r="5141">
      <x:c r="A5141" s="87" t="n">
        <x:v>3616</x:v>
      </x:c>
      <x:c r="B5141" s="66" t="n">
        <x:v>931</x:v>
      </x:c>
      <x:c r="C5141" s="66" t="str">
        <x:v>POLITEKNIK NEGERI FAKFAK</x:v>
      </x:c>
      <x:c r="D5141" s="66" t="str">
        <x:v>PTN Vokasi</x:v>
      </x:c>
      <x:c r="E5141" s="66" t="str">
        <x:v>29312007</x:v>
      </x:c>
      <x:c r="F5141" s="66" t="str">
        <x:v>AKUNTANSI SEKTOR PUBLIK</x:v>
      </x:c>
      <x:c r="G5141" s="66" t="str">
        <x:v>Sarjana Terapan</x:v>
      </x:c>
      <x:c r="H5141" s="87" t="n">
        <x:v>10</x:v>
      </x:c>
      <x:c r="I5141" s="87" t="n">
        <x:v>21</x:v>
      </x:c>
      <x:c r="J5141" s="68" t="n">
        <x:f>IFERROR(H5141/I5141,"")</x:f>
        <x:v>0.47619047619047616</x:v>
      </x:c>
      <x:c r="K5141" s="69" t="n">
        <x:f>IFERROR(I5141/H5141,"")</x:f>
        <x:v>2.1</x:v>
      </x:c>
      <x:c r="L5141" s="66" t="str">
        <x:f>IF(K5141="","","1 : "&amp;TEXT(K5141,"0.0"))</x:f>
        <x:v>1 : 2.1</x:v>
      </x:c>
      <x:c r="M5141" s="66" t="str">
        <x:f>IF(J5141="","Baru/Tanpa Data",IF(J5141&lt;='Catatan &amp; Sumber'!$B$14,"Sangat Ketat",IF(J5141&lt;='Catatan &amp; Sumber'!$B$15,"Ketat",IF(J5141&lt;='Catatan &amp; Sumber'!$B$16,"Sedang","Relatif Longgar"))))</x:f>
        <x:v>Relatif Longgar</x:v>
      </x:c>
      <x:c r="N5141" s="66" t="str">
        <x:v>Tidak Ada</x:v>
      </x:c>
      <x:c r="O5141" s="66" t="str">
        <x:v>Papua Barat</x:v>
      </x:c>
      <x:c r="P5141" s="66" t="str">
        <x:v>Kabupaten Fak-Fak</x:v>
      </x:c>
      <x:c r="Q5141" s="66" t="str">
        <x:v>https://snpmb.id/snbp/daya-tampung-snbp</x:v>
      </x:c>
      <x:c r="R5141" s="66" t="str">
        <x:v>https://sidatagrun-public-1076756628210.asia-southeast2.run.app/ptn_sn.php?ptn=931</x:v>
      </x:c>
    </x:row>
    <x:row r="5142">
      <x:c r="A5142" s="87" t="n">
        <x:v>4652</x:v>
      </x:c>
      <x:c r="B5142" s="66" t="n">
        <x:v>931</x:v>
      </x:c>
      <x:c r="C5142" s="66" t="str">
        <x:v>POLITEKNIK NEGERI FAKFAK</x:v>
      </x:c>
      <x:c r="D5142" s="66" t="str">
        <x:v>PTN Vokasi</x:v>
      </x:c>
      <x:c r="E5142" s="66" t="str">
        <x:v>29312008</x:v>
      </x:c>
      <x:c r="F5142" s="66" t="str">
        <x:v>PENGELOLAAN AGRIBISNIS PERKEBUNAN</x:v>
      </x:c>
      <x:c r="G5142" s="66" t="str">
        <x:v>Sarjana Terapan</x:v>
      </x:c>
      <x:c r="H5142" s="87" t="n">
        <x:v>10</x:v>
      </x:c>
      <x:c r="I5142" s="87" t="n">
        <x:v>5</x:v>
      </x:c>
      <x:c r="J5142" s="68" t="n">
        <x:f>IFERROR(H5142/I5142,"")</x:f>
        <x:v>2</x:v>
      </x:c>
      <x:c r="K5142" s="69" t="n">
        <x:f>IFERROR(I5142/H5142,"")</x:f>
        <x:v>0.5</x:v>
      </x:c>
      <x:c r="L5142" s="66" t="str">
        <x:f>IF(K5142="","","1 : "&amp;TEXT(K5142,"0.0"))</x:f>
        <x:v>1 : 0.5</x:v>
      </x:c>
      <x:c r="M5142" s="66" t="str">
        <x:f>IF(J5142="","Baru/Tanpa Data",IF(J5142&lt;='Catatan &amp; Sumber'!$B$14,"Sangat Ketat",IF(J5142&lt;='Catatan &amp; Sumber'!$B$15,"Ketat",IF(J5142&lt;='Catatan &amp; Sumber'!$B$16,"Sedang","Relatif Longgar"))))</x:f>
        <x:v>Relatif Longgar</x:v>
      </x:c>
      <x:c r="N5142" s="66" t="str">
        <x:v>Tidak Ada</x:v>
      </x:c>
      <x:c r="O5142" s="66" t="str">
        <x:v>Papua Barat</x:v>
      </x:c>
      <x:c r="P5142" s="66" t="str">
        <x:v>Kabupaten Fak-Fak</x:v>
      </x:c>
      <x:c r="Q5142" s="66" t="str">
        <x:v>https://snpmb.id/snbp/daya-tampung-snbp</x:v>
      </x:c>
      <x:c r="R5142" s="66" t="str">
        <x:v>https://sidatagrun-public-1076756628210.asia-southeast2.run.app/ptn_sn.php?ptn=931</x:v>
      </x:c>
    </x:row>
    <x:row r="5143">
      <x:c r="A5143" s="87" t="n">
        <x:v>4799</x:v>
      </x:c>
      <x:c r="B5143" s="66" t="n">
        <x:v>931</x:v>
      </x:c>
      <x:c r="C5143" s="66" t="str">
        <x:v>POLITEKNIK NEGERI FAKFAK</x:v>
      </x:c>
      <x:c r="D5143" s="66" t="str">
        <x:v>PTN Vokasi</x:v>
      </x:c>
      <x:c r="E5143" s="66" t="str">
        <x:v>29313002</x:v>
      </x:c>
      <x:c r="F5143" s="66" t="str">
        <x:v>TEKNIK LISTRIK</x:v>
      </x:c>
      <x:c r="G5143" s="66" t="str">
        <x:v>Diploma Tiga</x:v>
      </x:c>
      <x:c r="H5143" s="87" t="n">
        <x:v>24</x:v>
      </x:c>
      <x:c r="I5143" s="87" t="n">
        <x:v>7</x:v>
      </x:c>
      <x:c r="J5143" s="68" t="n">
        <x:f>IFERROR(H5143/I5143,"")</x:f>
        <x:v>3.4285714285714284</x:v>
      </x:c>
      <x:c r="K5143" s="69" t="n">
        <x:f>IFERROR(I5143/H5143,"")</x:f>
        <x:v>0.2916666666666667</x:v>
      </x:c>
      <x:c r="L5143" s="66" t="str">
        <x:f>IF(K5143="","","1 : "&amp;TEXT(K5143,"0.0"))</x:f>
        <x:v>1 : 0.3</x:v>
      </x:c>
      <x:c r="M5143" s="66" t="str">
        <x:f>IF(J5143="","Baru/Tanpa Data",IF(J5143&lt;='Catatan &amp; Sumber'!$B$14,"Sangat Ketat",IF(J5143&lt;='Catatan &amp; Sumber'!$B$15,"Ketat",IF(J5143&lt;='Catatan &amp; Sumber'!$B$16,"Sedang","Relatif Longgar"))))</x:f>
        <x:v>Relatif Longgar</x:v>
      </x:c>
      <x:c r="N5143" s="66" t="str">
        <x:v>Tidak Ada</x:v>
      </x:c>
      <x:c r="O5143" s="66" t="str">
        <x:v>Papua Barat</x:v>
      </x:c>
      <x:c r="P5143" s="66" t="str">
        <x:v>Kabupaten Fak-Fak</x:v>
      </x:c>
      <x:c r="Q5143" s="66" t="str">
        <x:v>https://snpmb.id/snbp/daya-tampung-snbp</x:v>
      </x:c>
      <x:c r="R5143" s="66" t="str">
        <x:v>https://sidatagrun-public-1076756628210.asia-southeast2.run.app/ptn_sn.php?ptn=931</x:v>
      </x:c>
    </x:row>
    <x:row r="5144">
      <x:c r="A5144" s="87" t="n">
        <x:v>4839</x:v>
      </x:c>
      <x:c r="B5144" s="66" t="n">
        <x:v>931</x:v>
      </x:c>
      <x:c r="C5144" s="66" t="str">
        <x:v>POLITEKNIK NEGERI FAKFAK</x:v>
      </x:c>
      <x:c r="D5144" s="66" t="str">
        <x:v>PTN Vokasi</x:v>
      </x:c>
      <x:c r="E5144" s="66" t="str">
        <x:v>29313003</x:v>
      </x:c>
      <x:c r="F5144" s="66" t="str">
        <x:v>TEKNIK SIPIL</x:v>
      </x:c>
      <x:c r="G5144" s="66" t="str">
        <x:v>Diploma Tiga</x:v>
      </x:c>
      <x:c r="H5144" s="87" t="n">
        <x:v>48</x:v>
      </x:c>
      <x:c r="I5144" s="87" t="n">
        <x:v>10</x:v>
      </x:c>
      <x:c r="J5144" s="68" t="n">
        <x:f>IFERROR(H5144/I5144,"")</x:f>
        <x:v>4.8</x:v>
      </x:c>
      <x:c r="K5144" s="69" t="n">
        <x:f>IFERROR(I5144/H5144,"")</x:f>
        <x:v>0.20833333333333334</x:v>
      </x:c>
      <x:c r="L5144" s="66" t="str">
        <x:f>IF(K5144="","","1 : "&amp;TEXT(K5144,"0.0"))</x:f>
        <x:v>1 : 0.2</x:v>
      </x:c>
      <x:c r="M5144" s="66" t="str">
        <x:f>IF(J5144="","Baru/Tanpa Data",IF(J5144&lt;='Catatan &amp; Sumber'!$B$14,"Sangat Ketat",IF(J5144&lt;='Catatan &amp; Sumber'!$B$15,"Ketat",IF(J5144&lt;='Catatan &amp; Sumber'!$B$16,"Sedang","Relatif Longgar"))))</x:f>
        <x:v>Relatif Longgar</x:v>
      </x:c>
      <x:c r="N5144" s="66" t="str">
        <x:v>Tidak Ada</x:v>
      </x:c>
      <x:c r="O5144" s="66" t="str">
        <x:v>Papua Barat</x:v>
      </x:c>
      <x:c r="P5144" s="66" t="str">
        <x:v>Kabupaten Fak-Fak</x:v>
      </x:c>
      <x:c r="Q5144" s="66" t="str">
        <x:v>https://snpmb.id/snbp/daya-tampung-snbp</x:v>
      </x:c>
      <x:c r="R5144" s="66" t="str">
        <x:v>https://sidatagrun-public-1076756628210.asia-southeast2.run.app/ptn_sn.php?ptn=931</x:v>
      </x:c>
    </x:row>
    <x:row r="5145">
      <x:c r="A5145" s="87" t="n">
        <x:v>4379</x:v>
      </x:c>
      <x:c r="B5145" s="66" t="n">
        <x:v>931</x:v>
      </x:c>
      <x:c r="C5145" s="66" t="str">
        <x:v>POLITEKNIK NEGERI FAKFAK</x:v>
      </x:c>
      <x:c r="D5145" s="66" t="str">
        <x:v>PTN Vokasi</x:v>
      </x:c>
      <x:c r="E5145" s="66" t="str">
        <x:v>29313004</x:v>
      </x:c>
      <x:c r="F5145" s="66" t="str">
        <x:v>MANAJEMEN INFORMATIKA</x:v>
      </x:c>
      <x:c r="G5145" s="66" t="str">
        <x:v>Diploma Tiga</x:v>
      </x:c>
      <x:c r="H5145" s="87" t="n">
        <x:v>48</x:v>
      </x:c>
      <x:c r="I5145" s="87" t="n">
        <x:v>44</x:v>
      </x:c>
      <x:c r="J5145" s="68" t="n">
        <x:f>IFERROR(H5145/I5145,"")</x:f>
        <x:v>1.0909090909090908</x:v>
      </x:c>
      <x:c r="K5145" s="69" t="n">
        <x:f>IFERROR(I5145/H5145,"")</x:f>
        <x:v>0.9166666666666666</x:v>
      </x:c>
      <x:c r="L5145" s="66" t="str">
        <x:f>IF(K5145="","","1 : "&amp;TEXT(K5145,"0.0"))</x:f>
        <x:v>1 : 0.9</x:v>
      </x:c>
      <x:c r="M5145" s="66" t="str">
        <x:f>IF(J5145="","Baru/Tanpa Data",IF(J5145&lt;='Catatan &amp; Sumber'!$B$14,"Sangat Ketat",IF(J5145&lt;='Catatan &amp; Sumber'!$B$15,"Ketat",IF(J5145&lt;='Catatan &amp; Sumber'!$B$16,"Sedang","Relatif Longgar"))))</x:f>
        <x:v>Relatif Longgar</x:v>
      </x:c>
      <x:c r="N5145" s="66" t="str">
        <x:v>Tidak Ada</x:v>
      </x:c>
      <x:c r="O5145" s="66" t="str">
        <x:v>Papua Barat</x:v>
      </x:c>
      <x:c r="P5145" s="66" t="str">
        <x:v>Kabupaten Fak-Fak</x:v>
      </x:c>
      <x:c r="Q5145" s="66" t="str">
        <x:v>https://snpmb.id/snbp/daya-tampung-snbp</x:v>
      </x:c>
      <x:c r="R5145" s="66" t="str">
        <x:v>https://sidatagrun-public-1076756628210.asia-southeast2.run.app/ptn_sn.php?ptn=931</x:v>
      </x:c>
    </x:row>
    <x:row r="5146">
      <x:c r="A5146" s="87" t="n">
        <x:v>4890</x:v>
      </x:c>
      <x:c r="B5146" s="66" t="n">
        <x:v>931</x:v>
      </x:c>
      <x:c r="C5146" s="66" t="str">
        <x:v>POLITEKNIK NEGERI FAKFAK</x:v>
      </x:c>
      <x:c r="D5146" s="66" t="str">
        <x:v>PTN Vokasi</x:v>
      </x:c>
      <x:c r="E5146" s="66" t="str">
        <x:v>29313005</x:v>
      </x:c>
      <x:c r="F5146" s="66" t="str">
        <x:v>AGRO INDUSTRI</x:v>
      </x:c>
      <x:c r="G5146" s="66" t="str">
        <x:v>Diploma Tiga</x:v>
      </x:c>
      <x:c r="H5146" s="87" t="n">
        <x:v>36</x:v>
      </x:c>
      <x:c r="I5146" s="87" t="n">
        <x:v>3</x:v>
      </x:c>
      <x:c r="J5146" s="68" t="n">
        <x:f>IFERROR(H5146/I5146,"")</x:f>
        <x:v>12</x:v>
      </x:c>
      <x:c r="K5146" s="69" t="n">
        <x:f>IFERROR(I5146/H5146,"")</x:f>
        <x:v>0.08333333333333333</x:v>
      </x:c>
      <x:c r="L5146" s="66" t="str">
        <x:f>IF(K5146="","","1 : "&amp;TEXT(K5146,"0.0"))</x:f>
        <x:v>1 : 0.1</x:v>
      </x:c>
      <x:c r="M5146" s="66" t="str">
        <x:f>IF(J5146="","Baru/Tanpa Data",IF(J5146&lt;='Catatan &amp; Sumber'!$B$14,"Sangat Ketat",IF(J5146&lt;='Catatan &amp; Sumber'!$B$15,"Ketat",IF(J5146&lt;='Catatan &amp; Sumber'!$B$16,"Sedang","Relatif Longgar"))))</x:f>
        <x:v>Relatif Longgar</x:v>
      </x:c>
      <x:c r="N5146" s="66" t="str">
        <x:v>Tidak Ada</x:v>
      </x:c>
      <x:c r="O5146" s="66" t="str">
        <x:v>Papua Barat</x:v>
      </x:c>
      <x:c r="P5146" s="66" t="str">
        <x:v>Kabupaten Fak-Fak</x:v>
      </x:c>
      <x:c r="Q5146" s="66" t="str">
        <x:v>https://snpmb.id/snbp/daya-tampung-snbp</x:v>
      </x:c>
      <x:c r="R5146" s="66" t="str">
        <x:v>https://sidatagrun-public-1076756628210.asia-southeast2.run.app/ptn_sn.php?ptn=931</x:v>
      </x:c>
    </x:row>
    <x:row r="5147">
      <x:c r="A5147" s="87" t="n">
        <x:v>4890</x:v>
      </x:c>
      <x:c r="B5147" s="66" t="n">
        <x:v>931</x:v>
      </x:c>
      <x:c r="C5147" s="66" t="str">
        <x:v>POLITEKNIK NEGERI FAKFAK</x:v>
      </x:c>
      <x:c r="D5147" s="66" t="str">
        <x:v>PTN Vokasi</x:v>
      </x:c>
      <x:c r="E5147" s="66" t="str">
        <x:v>29313006</x:v>
      </x:c>
      <x:c r="F5147" s="66" t="str">
        <x:v>TEKNIK PERAWATAN DAN PERBAIKAN MESIN</x:v>
      </x:c>
      <x:c r="G5147" s="66" t="str">
        <x:v>Diploma Tiga</x:v>
      </x:c>
      <x:c r="H5147" s="87" t="n">
        <x:v>36</x:v>
      </x:c>
      <x:c r="I5147" s="87" t="n">
        <x:v>3</x:v>
      </x:c>
      <x:c r="J5147" s="68" t="n">
        <x:f>IFERROR(H5147/I5147,"")</x:f>
        <x:v>12</x:v>
      </x:c>
      <x:c r="K5147" s="69" t="n">
        <x:f>IFERROR(I5147/H5147,"")</x:f>
        <x:v>0.08333333333333333</x:v>
      </x:c>
      <x:c r="L5147" s="66" t="str">
        <x:f>IF(K5147="","","1 : "&amp;TEXT(K5147,"0.0"))</x:f>
        <x:v>1 : 0.1</x:v>
      </x:c>
      <x:c r="M5147" s="66" t="str">
        <x:f>IF(J5147="","Baru/Tanpa Data",IF(J5147&lt;='Catatan &amp; Sumber'!$B$14,"Sangat Ketat",IF(J5147&lt;='Catatan &amp; Sumber'!$B$15,"Ketat",IF(J5147&lt;='Catatan &amp; Sumber'!$B$16,"Sedang","Relatif Longgar"))))</x:f>
        <x:v>Relatif Longgar</x:v>
      </x:c>
      <x:c r="N5147" s="66" t="str">
        <x:v>Tidak Ada</x:v>
      </x:c>
      <x:c r="O5147" s="66" t="str">
        <x:v>Papua Barat</x:v>
      </x:c>
      <x:c r="P5147" s="66" t="str">
        <x:v>Kabupaten Fak-Fak</x:v>
      </x:c>
      <x:c r="Q5147" s="66" t="str">
        <x:v>https://snpmb.id/snbp/daya-tampung-snbp</x:v>
      </x:c>
      <x:c r="R5147" s="66" t="str">
        <x:v>https://sidatagrun-public-1076756628210.asia-southeast2.run.app/ptn_sn.php?ptn=931</x:v>
      </x:c>
    </x:row>
  </x:sheetData>
  <x:mergeCells>
    <x:mergeCell ref="A1:R1"/>
    <x:mergeCell ref="A2:R2"/>
    <x:mergeCell ref="A3:R3"/>
  </x:mergeCells>
  <x:conditionalFormatting sqref="J6:J1084">
    <x:cfRule type="colorScale" priority="1">
      <x:colorScale>
        <x:cfvo type="min"/>
        <x:cfvo type="percentile" val="50"/>
        <x:cfvo type="max"/>
        <x:color rgb="FFF6B3B3"/>
        <x:color rgb="FFFFF1A8"/>
        <x:color rgb="FFBFE3C0"/>
      </x:colorScale>
    </x:cfRule>
  </x:conditionalFormatting>
  <x:conditionalFormatting sqref="K6:K1084">
    <x:cfRule type="dataBar" priority="2">
      <x:dataBar>
        <x:cfvo type="min"/>
        <x:cfvo type="max"/>
        <x:color rgb="FF5B8DB8"/>
      </x:dataBar>
      <x:extLst>
        <x:ext xmlns:x14="http://schemas.microsoft.com/office/spreadsheetml/2009/9/main" uri="{B025F937-C7B1-47D3-B67F-A62EFF666E3E}">
          <x14:id>{CD8B2859-7C68-9644-7B98-015304A269D2}</x14:id>
        </x:ext>
      </x:extLst>
    </x:cfRule>
  </x:conditionalFormatting>
  <x:conditionalFormatting sqref="M6:M1084">
    <x:cfRule type="expression" dxfId="0" priority="3">
      <x:formula>M6="Baru/Tanpa Data"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731efbfeee4b0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CD8B2859-7C68-9644-7B98-015304A269D2}">
            <x14:dataBar gradient="1">
              <x14:cfvo type="min"/>
              <x14:cfvo type="max"/>
              <x14:fillColor rgb="FF5B8DB8"/>
            </x14:dataBar>
          </x14:cfRule>
          <xm:sqref>K6:K1084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4" max="4" width="8" hidden="0" customWidth="1"/>
    <x:col min="5" max="5" width="31" hidden="0" customWidth="1"/>
    <x:col min="6" max="6" width="38" hidden="0" customWidth="1"/>
    <x:col min="7" max="7" width="16" hidden="0" customWidth="1"/>
    <x:col min="8" max="8" width="15" hidden="0" customWidth="1"/>
    <x:col min="9" max="9" width="13" hidden="0" customWidth="1"/>
    <x:col min="10" max="10" width="13" hidden="0" customWidth="1"/>
  </x:cols>
  <x:sheetData>
    <x:row r="1" ht="32" customHeight="1">
      <x:c r="A1" s="88" t="str">
        <x:v>Ringkasan Keketatan SNBP 2026 — Lengkap 146 PTN</x:v>
      </x:c>
      <x:c r="B1" s="88"/>
      <x:c r="C1" s="88"/>
      <x:c r="D1" s="88"/>
      <x:c r="E1" s="88"/>
      <x:c r="F1" s="88"/>
      <x:c r="G1" s="88"/>
      <x:c r="H1" s="88"/>
      <x:c r="I1" s="88"/>
      <x:c r="J1" s="88"/>
    </x:row>
    <x:row r="2">
      <x:c r="A2" s="89" t="str">
        <x:v>Indikator keketatan = Daya Tampung 2026 ÷ Peminat 2025. Nilai lebih kecil berarti persaingan rasio kursi lebih ketat.</x:v>
      </x:c>
      <x:c r="B2" s="89"/>
      <x:c r="C2" s="89"/>
      <x:c r="D2" s="89"/>
      <x:c r="E2" s="89"/>
      <x:c r="F2" s="89"/>
      <x:c r="G2" s="89"/>
      <x:c r="H2" s="89"/>
      <x:c r="I2" s="89"/>
      <x:c r="J2" s="89"/>
    </x:row>
    <x:row r="3">
      <x:c r="A3" s="19"/>
      <x:c r="B3" s="19"/>
      <x:c r="C3" s="19"/>
      <x:c r="D3" s="19"/>
      <x:c r="E3" s="19"/>
      <x:c r="F3" s="19"/>
      <x:c r="G3" s="19"/>
      <x:c r="H3" s="19"/>
      <x:c r="I3" s="19"/>
      <x:c r="J3" s="19"/>
    </x:row>
    <x:row r="4">
      <x:c r="A4" s="42" t="str">
        <x:v>Indikator</x:v>
      </x:c>
      <x:c r="B4" s="42" t="str">
        <x:v>Nilai</x:v>
      </x:c>
      <x:c r="C4" s="19"/>
      <x:c r="D4" s="43" t="str">
        <x:v>Rank</x:v>
      </x:c>
      <x:c r="E4" s="43" t="str">
        <x:v>PTN</x:v>
      </x:c>
      <x:c r="F4" s="43" t="str">
        <x:v>Program Studi</x:v>
      </x:c>
      <x:c r="G4" s="43" t="str">
        <x:v>Jenjang</x:v>
      </x:c>
      <x:c r="H4" s="43" t="str">
        <x:v>Daya Tampung</x:v>
      </x:c>
      <x:c r="I4" s="43" t="str">
        <x:v>Peminat</x:v>
      </x:c>
      <x:c r="J4" s="43" t="str">
        <x:v>Keketatan</x:v>
      </x:c>
    </x:row>
    <x:row r="5">
      <x:c r="A5" s="19" t="str">
        <x:v>PTN pada roster</x:v>
      </x:c>
      <x:c r="B5" s="19" t="n">
        <x:v>146</x:v>
      </x:c>
      <x:c r="C5" s="19"/>
      <x:c r="D5" s="19" t="n">
        <x:v>1</x:v>
      </x:c>
      <x:c r="E5" s="19" t="str">
        <x:v>UNIVERSITAS NEGERI JAKARTA</x:v>
      </x:c>
      <x:c r="F5" s="19" t="str">
        <x:v>ILMU KOMUNIKASI</x:v>
      </x:c>
      <x:c r="G5" s="76" t="str">
        <x:v>Sarjana</x:v>
      </x:c>
      <x:c r="H5" s="77" t="n">
        <x:v>16</x:v>
      </x:c>
      <x:c r="I5" s="77" t="n">
        <x:v>1429</x:v>
      </x:c>
      <x:c r="J5" s="78" t="n">
        <x:v>0.01119664100769769</x:v>
      </x:c>
    </x:row>
    <x:row r="6">
      <x:c r="A6" s="19" t="str">
        <x:v>PTN dengan detail</x:v>
      </x:c>
      <x:c r="B6" s="19" t="n">
        <x:v>146</x:v>
      </x:c>
      <x:c r="C6" s="19"/>
      <x:c r="D6" s="19" t="n">
        <x:v>2</x:v>
      </x:c>
      <x:c r="E6" s="19" t="str">
        <x:v>UNIVERSITAS SEBELAS MARET</x:v>
      </x:c>
      <x:c r="F6" s="19" t="str">
        <x:v>KEPERAWATAN ANESTESIOLOGI</x:v>
      </x:c>
      <x:c r="G6" s="76" t="str">
        <x:v>Sarjana Terapan</x:v>
      </x:c>
      <x:c r="H6" s="77" t="n">
        <x:v>15</x:v>
      </x:c>
      <x:c r="I6" s="77" t="n">
        <x:v>1279</x:v>
      </x:c>
      <x:c r="J6" s="78" t="n">
        <x:v>0.011727912431587178</x:v>
      </x:c>
    </x:row>
    <x:row r="7">
      <x:c r="A7" s="19" t="str">
        <x:v>Total prodi detail</x:v>
      </x:c>
      <x:c r="B7" s="19" t="n">
        <x:v>5142</x:v>
      </x:c>
      <x:c r="C7" s="19"/>
      <x:c r="D7" s="19" t="n">
        <x:v>3</x:v>
      </x:c>
      <x:c r="E7" s="19" t="str">
        <x:v>UNIVERSITAS NEGERI SURABAYA</x:v>
      </x:c>
      <x:c r="F7" s="19" t="str">
        <x:v>KEPERAWATAN</x:v>
      </x:c>
      <x:c r="G7" s="76" t="str">
        <x:v>Sarjana</x:v>
      </x:c>
      <x:c r="H7" s="77" t="n">
        <x:v>10</x:v>
      </x:c>
      <x:c r="I7" s="77" t="n">
        <x:v>850</x:v>
      </x:c>
      <x:c r="J7" s="78" t="n">
        <x:v>0.011764705882352941</x:v>
      </x:c>
    </x:row>
    <x:row r="8">
      <x:c r="A8" s="19" t="str">
        <x:v>Prodi dengan data peminat</x:v>
      </x:c>
      <x:c r="B8" s="19" t="n">
        <x:v>4911</x:v>
      </x:c>
      <x:c r="C8" s="19"/>
      <x:c r="D8" s="19" t="n">
        <x:v>4</x:v>
      </x:c>
      <x:c r="E8" s="19" t="str">
        <x:v>UNIVERSITAS NEGERI JAKARTA</x:v>
      </x:c>
      <x:c r="F8" s="19" t="str">
        <x:v>ILMU KOMPUTER</x:v>
      </x:c>
      <x:c r="G8" s="76" t="str">
        <x:v>Sarjana</x:v>
      </x:c>
      <x:c r="H8" s="77" t="n">
        <x:v>16</x:v>
      </x:c>
      <x:c r="I8" s="77" t="n">
        <x:v>1160</x:v>
      </x:c>
      <x:c r="J8" s="78" t="n">
        <x:v>0.013793103448275862</x:v>
      </x:c>
    </x:row>
    <x:row r="9">
      <x:c r="A9" s="19" t="str">
        <x:v>Prodi baru/tanpa data</x:v>
      </x:c>
      <x:c r="B9" s="19" t="n">
        <x:v>231</x:v>
      </x:c>
      <x:c r="C9" s="19"/>
      <x:c r="D9" s="19" t="n">
        <x:v>5</x:v>
      </x:c>
      <x:c r="E9" s="19" t="str">
        <x:v>UNIVERSITAS NEGERI MALANG</x:v>
      </x:c>
      <x:c r="F9" s="19" t="str">
        <x:v>KEPERAWATAN</x:v>
      </x:c>
      <x:c r="G9" s="76" t="str">
        <x:v>Sarjana</x:v>
      </x:c>
      <x:c r="H9" s="77" t="n">
        <x:v>11</x:v>
      </x:c>
      <x:c r="I9" s="77" t="n">
        <x:v>797</x:v>
      </x:c>
      <x:c r="J9" s="78" t="n">
        <x:v>0.013801756587202008</x:v>
      </x:c>
    </x:row>
    <x:row r="10">
      <x:c r="A10" s="19"/>
      <x:c r="B10" s="19"/>
      <x:c r="C10" s="19"/>
      <x:c r="D10" s="19" t="n">
        <x:v>6</x:v>
      </x:c>
      <x:c r="E10" s="19" t="str">
        <x:v>INSTITUT PERTANIAN BOGOR</x:v>
      </x:c>
      <x:c r="F10" s="19" t="str">
        <x:v>KEDOKTERAN</x:v>
      </x:c>
      <x:c r="G10" s="76" t="str">
        <x:v>Sarjana</x:v>
      </x:c>
      <x:c r="H10" s="77" t="n">
        <x:v>10</x:v>
      </x:c>
      <x:c r="I10" s="77" t="n">
        <x:v>716</x:v>
      </x:c>
      <x:c r="J10" s="78" t="n">
        <x:v>0.013966480446927373</x:v>
      </x:c>
    </x:row>
    <x:row r="11">
      <x:c r="A11" s="19" t="str">
        <x:v>Kategori Keketatan</x:v>
      </x:c>
      <x:c r="B11" s="19" t="str">
        <x:v>Jumlah Prodi</x:v>
      </x:c>
      <x:c r="C11" s="19"/>
      <x:c r="D11" s="19" t="n">
        <x:v>7</x:v>
      </x:c>
      <x:c r="E11" s="19" t="str">
        <x:v>UNIVERSITAS MATARAM</x:v>
      </x:c>
      <x:c r="F11" s="19" t="str">
        <x:v>FARMASI</x:v>
      </x:c>
      <x:c r="G11" s="76" t="str">
        <x:v>Sarjana</x:v>
      </x:c>
      <x:c r="H11" s="77" t="n">
        <x:v>18</x:v>
      </x:c>
      <x:c r="I11" s="77" t="n">
        <x:v>1256</x:v>
      </x:c>
      <x:c r="J11" s="78" t="n">
        <x:v>0.014331210191082803</x:v>
      </x:c>
    </x:row>
    <x:row r="12">
      <x:c r="A12" s="42" t="str">
        <x:v>Sangat Ketat</x:v>
      </x:c>
      <x:c r="B12" s="42" t="n">
        <x:v>35</x:v>
      </x:c>
      <x:c r="C12" s="19"/>
      <x:c r="D12" s="19" t="n">
        <x:v>8</x:v>
      </x:c>
      <x:c r="E12" s="19" t="str">
        <x:v>UPN "VETERAN" JAKARTA</x:v>
      </x:c>
      <x:c r="F12" s="19" t="str">
        <x:v>FARMASI</x:v>
      </x:c>
      <x:c r="G12" s="76" t="str">
        <x:v>Sarjana</x:v>
      </x:c>
      <x:c r="H12" s="77" t="n">
        <x:v>12</x:v>
      </x:c>
      <x:c r="I12" s="77" t="n">
        <x:v>828</x:v>
      </x:c>
      <x:c r="J12" s="78" t="n">
        <x:v>0.014492753623188406</x:v>
      </x:c>
    </x:row>
    <x:row r="13">
      <x:c r="A13" s="19" t="str">
        <x:v>Ketat</x:v>
      </x:c>
      <x:c r="B13" s="19" t="n">
        <x:v>440</x:v>
      </x:c>
      <x:c r="C13" s="19"/>
      <x:c r="D13" s="19" t="n">
        <x:v>9</x:v>
      </x:c>
      <x:c r="E13" s="19" t="str">
        <x:v>UNIVERSITAS SEBELAS MARET</x:v>
      </x:c>
      <x:c r="F13" s="19" t="str">
        <x:v>FARMASI</x:v>
      </x:c>
      <x:c r="G13" s="76" t="str">
        <x:v>Sarjana</x:v>
      </x:c>
      <x:c r="H13" s="77" t="n">
        <x:v>16</x:v>
      </x:c>
      <x:c r="I13" s="77" t="n">
        <x:v>1103</x:v>
      </x:c>
      <x:c r="J13" s="78" t="n">
        <x:v>0.014505893019038985</x:v>
      </x:c>
    </x:row>
    <x:row r="14">
      <x:c r="A14" s="19" t="str">
        <x:v>Sedang</x:v>
      </x:c>
      <x:c r="B14" s="19" t="n">
        <x:v>901</x:v>
      </x:c>
      <x:c r="C14" s="19"/>
      <x:c r="D14" s="19" t="n">
        <x:v>10</x:v>
      </x:c>
      <x:c r="E14" s="19" t="str">
        <x:v>UNIVERSITAS SRIWIJAYA</x:v>
      </x:c>
      <x:c r="F14" s="19" t="str">
        <x:v>PGSD</x:v>
      </x:c>
      <x:c r="G14" s="76" t="str">
        <x:v>Sarjana</x:v>
      </x:c>
      <x:c r="H14" s="77" t="n">
        <x:v>26</x:v>
      </x:c>
      <x:c r="I14" s="77" t="n">
        <x:v>1744</x:v>
      </x:c>
      <x:c r="J14" s="78" t="n">
        <x:v>0.014908256880733946</x:v>
      </x:c>
    </x:row>
    <x:row r="15">
      <x:c r="A15" s="19" t="str">
        <x:v>Relatif Longgar</x:v>
      </x:c>
      <x:c r="B15" s="19" t="n">
        <x:v>3535</x:v>
      </x:c>
      <x:c r="C15" s="19"/>
      <x:c r="D15" s="19" t="n">
        <x:v>11</x:v>
      </x:c>
      <x:c r="E15" s="19" t="str">
        <x:v>UNIVERSITAS PENDIDIKAN INDONESIA</x:v>
      </x:c>
      <x:c r="F15" s="19" t="str">
        <x:v>MANAJEMEN</x:v>
      </x:c>
      <x:c r="G15" s="76" t="str">
        <x:v>Sarjana</x:v>
      </x:c>
      <x:c r="H15" s="77" t="n">
        <x:v>25</x:v>
      </x:c>
      <x:c r="I15" s="77" t="n">
        <x:v>1660</x:v>
      </x:c>
      <x:c r="J15" s="78" t="n">
        <x:v>0.015060240963855422</x:v>
      </x:c>
    </x:row>
    <x:row r="16">
      <x:c r="A16" s="19"/>
      <x:c r="B16" s="19"/>
      <x:c r="C16" s="19"/>
      <x:c r="D16" s="19" t="n">
        <x:v>12</x:v>
      </x:c>
      <x:c r="E16" s="19" t="str">
        <x:v>UNIVERSITAS PADJADJARAN</x:v>
      </x:c>
      <x:c r="F16" s="19" t="str">
        <x:v>TEKNIK INFORMATIKA</x:v>
      </x:c>
      <x:c r="G16" s="76" t="str">
        <x:v>Sarjana</x:v>
      </x:c>
      <x:c r="H16" s="77" t="n">
        <x:v>23</x:v>
      </x:c>
      <x:c r="I16" s="77" t="n">
        <x:v>1514</x:v>
      </x:c>
      <x:c r="J16" s="78" t="n">
        <x:v>0.015191545574636724</x:v>
      </x:c>
    </x:row>
    <x:row r="17">
      <x:c r="D17" s="19"/>
      <x:c r="E17" s="19"/>
      <x:c r="F17" s="19"/>
      <x:c r="G17" s="76"/>
      <x:c r="H17" s="77"/>
      <x:c r="I17" s="77"/>
      <x:c r="J17" s="78"/>
    </x:row>
    <x:row r="18">
      <x:c r="D18" s="19"/>
      <x:c r="E18" s="19"/>
      <x:c r="F18" s="19"/>
      <x:c r="G18" s="76"/>
      <x:c r="H18" s="77"/>
      <x:c r="I18" s="77"/>
      <x:c r="J18" s="78"/>
    </x:row>
    <x:row r="19">
      <x:c r="D19" s="19"/>
      <x:c r="E19" s="19"/>
      <x:c r="F19" s="19"/>
      <x:c r="G19" s="76"/>
      <x:c r="H19" s="77"/>
      <x:c r="I19" s="77"/>
      <x:c r="J19" s="78"/>
    </x:row>
    <x:row r="20">
      <x:c r="D20" s="19"/>
      <x:c r="E20" s="19"/>
      <x:c r="F20" s="19"/>
      <x:c r="G20" s="76"/>
      <x:c r="H20" s="77"/>
      <x:c r="I20" s="77"/>
      <x:c r="J20" s="78"/>
    </x:row>
    <x:row r="21">
      <x:c r="D21" s="19"/>
      <x:c r="E21" s="19"/>
      <x:c r="F21" s="19"/>
      <x:c r="G21" s="76"/>
      <x:c r="H21" s="77"/>
      <x:c r="I21" s="77"/>
      <x:c r="J21" s="78"/>
    </x:row>
    <x:row r="22">
      <x:c r="D22" s="19"/>
      <x:c r="E22" s="19"/>
      <x:c r="F22" s="19"/>
      <x:c r="G22" s="76"/>
      <x:c r="H22" s="77"/>
      <x:c r="I22" s="77"/>
      <x:c r="J22" s="78"/>
    </x:row>
    <x:row r="23">
      <x:c r="D23" s="19"/>
      <x:c r="E23" s="19"/>
      <x:c r="F23" s="19"/>
      <x:c r="G23" s="76"/>
      <x:c r="H23" s="77"/>
      <x:c r="I23" s="77"/>
      <x:c r="J23" s="78"/>
    </x:row>
    <x:row r="24">
      <x:c r="D24" s="19"/>
      <x:c r="E24" s="19"/>
      <x:c r="F24" s="19"/>
      <x:c r="G24" s="76"/>
      <x:c r="H24" s="77"/>
      <x:c r="I24" s="77"/>
      <x:c r="J24" s="78"/>
    </x:row>
    <x:row r="27">
      <x:c r="D27" s="84"/>
      <x:c r="E27" s="84"/>
      <x:c r="F27" s="84"/>
      <x:c r="G27" s="84"/>
      <x:c r="H27" s="84"/>
      <x:c r="I27" s="84"/>
      <x:c r="J27" s="84"/>
    </x:row>
    <x:row r="28">
      <x:c r="D28" s="84"/>
      <x:c r="E28" s="84"/>
      <x:c r="F28" s="84"/>
      <x:c r="G28" s="84"/>
      <x:c r="H28" s="84"/>
      <x:c r="I28" s="84"/>
      <x:c r="J28" s="84"/>
    </x:row>
    <x:row r="29">
      <x:c r="D29" s="84"/>
      <x:c r="E29" s="84"/>
      <x:c r="F29" s="84"/>
      <x:c r="G29" s="84"/>
      <x:c r="H29" s="84"/>
      <x:c r="I29" s="84"/>
      <x:c r="J29" s="84"/>
    </x:row>
  </x:sheetData>
  <x:mergeCells>
    <x:mergeCell ref="A1:J1"/>
    <x:mergeCell ref="A2:J2"/>
    <x:mergeCell ref="D27:J29"/>
  </x:mergeCells>
  <x:conditionalFormatting sqref="J5:J24">
    <x:cfRule type="colorScale" priority="1">
      <x:colorScale>
        <x:cfvo type="min"/>
        <x:cfvo type="percentile" val="50"/>
        <x:cfvo type="max"/>
        <x:color rgb="FFF6B3B3"/>
        <x:color rgb="FFFFF1A8"/>
        <x:color rgb="FFBFE3C0"/>
      </x:colorScale>
    </x:cfRule>
  </x:conditionalFormatting>
  <x:pageMargins left="0.7" right="0.7" top="0.75" bottom="0.75" header="0.3" footer="0.3"/>
  <x:drawing xmlns:r="http://schemas.openxmlformats.org/officeDocument/2006/relationships" r:id="R0b9ecb1a71184c36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4" hidden="0" customWidth="1"/>
    <x:col min="4" max="4" width="18" hidden="0" customWidth="1"/>
    <x:col min="5" max="5" width="22" hidden="0" customWidth="1"/>
  </x:cols>
  <x:sheetData>
    <x:row r="1" ht="30" customHeight="1">
      <x:c r="A1" s="3" t="str">
        <x:v>Daftar 146 PTN SNPMB 2026 — Status Data dalam Workbook</x:v>
      </x:c>
      <x:c r="B1" s="3"/>
      <x:c r="C1" s="3"/>
      <x:c r="D1" s="3"/>
      <x:c r="E1" s="3"/>
    </x:row>
    <x:row r="2">
      <x:c r="A2" s="33" t="str">
        <x:v>Sheet ini memuat roster 146 PTN; seluruh detail prodi SNBP 2026 yang tersedia pada sumber telah masuk ke sheet Data SNBP 2026.</x:v>
      </x:c>
      <x:c r="B2" s="33"/>
      <x:c r="C2" s="33"/>
      <x:c r="D2" s="33"/>
      <x:c r="E2" s="33"/>
    </x:row>
    <x:row r="4">
      <x:c r="A4" s="44" t="str">
        <x:v>No</x:v>
      </x:c>
      <x:c r="B4" s="44" t="str">
        <x:v>Kategori</x:v>
      </x:c>
      <x:c r="C4" s="44" t="str">
        <x:v>Nama PTN</x:v>
      </x:c>
      <x:c r="D4" s="44" t="str">
        <x:v>Status Detail</x:v>
      </x:c>
      <x:c r="E4" s="44" t="str">
        <x:v>Jumlah Prodi Tersedia</x:v>
      </x:c>
    </x:row>
    <x:row r="5">
      <x:c r="A5" s="56" t="n">
        <x:v>1</x:v>
      </x:c>
      <x:c r="B5" s="57" t="str">
        <x:v>PTN Akademik</x:v>
      </x:c>
      <x:c r="C5" s="57" t="str">
        <x:v>Universitas Syiah Kuala</x:v>
      </x:c>
      <x:c r="D5" s="57" t="str">
        <x:v>Tersedia</x:v>
      </x:c>
      <x:c r="E5" s="56" t="n">
        <x:v>80</x:v>
      </x:c>
    </x:row>
    <x:row r="6">
      <x:c r="A6" s="56" t="n">
        <x:v>2</x:v>
      </x:c>
      <x:c r="B6" s="57" t="str">
        <x:v>PTN Akademik</x:v>
      </x:c>
      <x:c r="C6" s="57" t="str">
        <x:v>Universitas Malikussaleh</x:v>
      </x:c>
      <x:c r="D6" s="57" t="str">
        <x:v>Tersedia</x:v>
      </x:c>
      <x:c r="E6" s="56" t="n">
        <x:v>39</x:v>
      </x:c>
    </x:row>
    <x:row r="7">
      <x:c r="A7" s="56" t="n">
        <x:v>3</x:v>
      </x:c>
      <x:c r="B7" s="57" t="str">
        <x:v>PTN Akademik</x:v>
      </x:c>
      <x:c r="C7" s="57" t="str">
        <x:v>Universitas Teuku Umar</x:v>
      </x:c>
      <x:c r="D7" s="57" t="str">
        <x:v>Tersedia</x:v>
      </x:c>
      <x:c r="E7" s="56" t="n">
        <x:v>27</x:v>
      </x:c>
    </x:row>
    <x:row r="8">
      <x:c r="A8" s="56" t="n">
        <x:v>4</x:v>
      </x:c>
      <x:c r="B8" s="57" t="str">
        <x:v>PTN Akademik</x:v>
      </x:c>
      <x:c r="C8" s="57" t="str">
        <x:v>Universitas Samudra</x:v>
      </x:c>
      <x:c r="D8" s="57" t="str">
        <x:v>Tersedia</x:v>
      </x:c>
      <x:c r="E8" s="56" t="n">
        <x:v>34</x:v>
      </x:c>
    </x:row>
    <x:row r="9">
      <x:c r="A9" s="56" t="n">
        <x:v>5</x:v>
      </x:c>
      <x:c r="B9" s="57" t="str">
        <x:v>PTN Akademik</x:v>
      </x:c>
      <x:c r="C9" s="57" t="str">
        <x:v>Institut Seni Budaya Indonesia Aceh</x:v>
      </x:c>
      <x:c r="D9" s="57" t="str">
        <x:v>Tersedia</x:v>
      </x:c>
      <x:c r="E9" s="56" t="n">
        <x:v>11</x:v>
      </x:c>
    </x:row>
    <x:row r="10">
      <x:c r="A10" s="56" t="n">
        <x:v>6</x:v>
      </x:c>
      <x:c r="B10" s="57" t="str">
        <x:v>PTN Akademik</x:v>
      </x:c>
      <x:c r="C10" s="57" t="str">
        <x:v>Universitas Sumatera Utara</x:v>
      </x:c>
      <x:c r="D10" s="57" t="str">
        <x:v>Tersedia</x:v>
      </x:c>
      <x:c r="E10" s="56" t="n">
        <x:v>66</x:v>
      </x:c>
    </x:row>
    <x:row r="11">
      <x:c r="A11" s="56" t="n">
        <x:v>7</x:v>
      </x:c>
      <x:c r="B11" s="57" t="str">
        <x:v>PTN Akademik</x:v>
      </x:c>
      <x:c r="C11" s="57" t="str">
        <x:v>Universitas Negeri Medan</x:v>
      </x:c>
      <x:c r="D11" s="57" t="str">
        <x:v>Tersedia</x:v>
      </x:c>
      <x:c r="E11" s="56" t="n">
        <x:v>58</x:v>
      </x:c>
    </x:row>
    <x:row r="12">
      <x:c r="A12" s="56" t="n">
        <x:v>8</x:v>
      </x:c>
      <x:c r="B12" s="57" t="str">
        <x:v>PTN Akademik</x:v>
      </x:c>
      <x:c r="C12" s="57" t="str">
        <x:v>Universitas Andalas</x:v>
      </x:c>
      <x:c r="D12" s="57" t="str">
        <x:v>Tersedia</x:v>
      </x:c>
      <x:c r="E12" s="56" t="n">
        <x:v>59</x:v>
      </x:c>
    </x:row>
    <x:row r="13">
      <x:c r="A13" s="56" t="n">
        <x:v>9</x:v>
      </x:c>
      <x:c r="B13" s="57" t="str">
        <x:v>PTN Akademik</x:v>
      </x:c>
      <x:c r="C13" s="57" t="str">
        <x:v>Universitas Negeri Padang</x:v>
      </x:c>
      <x:c r="D13" s="57" t="str">
        <x:v>Tersedia</x:v>
      </x:c>
      <x:c r="E13" s="56" t="n">
        <x:v>100</x:v>
      </x:c>
    </x:row>
    <x:row r="14">
      <x:c r="A14" s="56" t="n">
        <x:v>10</x:v>
      </x:c>
      <x:c r="B14" s="57" t="str">
        <x:v>PTN Akademik</x:v>
      </x:c>
      <x:c r="C14" s="57" t="str">
        <x:v>Institut Seni Indonesia Padang Panjang</x:v>
      </x:c>
      <x:c r="D14" s="57" t="str">
        <x:v>Tersedia</x:v>
      </x:c>
      <x:c r="E14" s="56" t="n">
        <x:v>22</x:v>
      </x:c>
    </x:row>
    <x:row r="15">
      <x:c r="A15" s="56" t="n">
        <x:v>11</x:v>
      </x:c>
      <x:c r="B15" s="57" t="str">
        <x:v>PTN Akademik</x:v>
      </x:c>
      <x:c r="C15" s="57" t="str">
        <x:v>Universitas Riau</x:v>
      </x:c>
      <x:c r="D15" s="57" t="str">
        <x:v>Tersedia</x:v>
      </x:c>
      <x:c r="E15" s="56" t="n">
        <x:v>65</x:v>
      </x:c>
    </x:row>
    <x:row r="16">
      <x:c r="A16" s="56" t="n">
        <x:v>12</x:v>
      </x:c>
      <x:c r="B16" s="57" t="str">
        <x:v>PTN Akademik</x:v>
      </x:c>
      <x:c r="C16" s="57" t="str">
        <x:v>Universitas Maritim Raja Ali Haji</x:v>
      </x:c>
      <x:c r="D16" s="57" t="str">
        <x:v>Tersedia</x:v>
      </x:c>
      <x:c r="E16" s="56" t="n">
        <x:v>30</x:v>
      </x:c>
    </x:row>
    <x:row r="17">
      <x:c r="A17" s="56" t="n">
        <x:v>13</x:v>
      </x:c>
      <x:c r="B17" s="57" t="str">
        <x:v>PTN Akademik</x:v>
      </x:c>
      <x:c r="C17" s="57" t="str">
        <x:v>Universitas Jambi</x:v>
      </x:c>
      <x:c r="D17" s="57" t="str">
        <x:v>Tersedia</x:v>
      </x:c>
      <x:c r="E17" s="56" t="n">
        <x:v>71</x:v>
      </x:c>
    </x:row>
    <x:row r="18">
      <x:c r="A18" s="56" t="n">
        <x:v>14</x:v>
      </x:c>
      <x:c r="B18" s="57" t="str">
        <x:v>PTN Akademik</x:v>
      </x:c>
      <x:c r="C18" s="57" t="str">
        <x:v>Universitas Bengkulu</x:v>
      </x:c>
      <x:c r="D18" s="57" t="str">
        <x:v>Tersedia</x:v>
      </x:c>
      <x:c r="E18" s="56" t="n">
        <x:v>55</x:v>
      </x:c>
    </x:row>
    <x:row r="19">
      <x:c r="A19" s="56" t="n">
        <x:v>15</x:v>
      </x:c>
      <x:c r="B19" s="57" t="str">
        <x:v>PTN Akademik</x:v>
      </x:c>
      <x:c r="C19" s="57" t="str">
        <x:v>Universitas Sriwijaya</x:v>
      </x:c>
      <x:c r="D19" s="57" t="str">
        <x:v>Tersedia</x:v>
      </x:c>
      <x:c r="E19" s="56" t="n">
        <x:v>61</x:v>
      </x:c>
    </x:row>
    <x:row r="20">
      <x:c r="A20" s="56" t="n">
        <x:v>16</x:v>
      </x:c>
      <x:c r="B20" s="57" t="str">
        <x:v>PTN Akademik</x:v>
      </x:c>
      <x:c r="C20" s="57" t="str">
        <x:v>Universitas Lampung</x:v>
      </x:c>
      <x:c r="D20" s="57" t="str">
        <x:v>Tersedia</x:v>
      </x:c>
      <x:c r="E20" s="56" t="n">
        <x:v>80</x:v>
      </x:c>
    </x:row>
    <x:row r="21">
      <x:c r="A21" s="56" t="n">
        <x:v>17</x:v>
      </x:c>
      <x:c r="B21" s="57" t="str">
        <x:v>PTN Akademik</x:v>
      </x:c>
      <x:c r="C21" s="57" t="str">
        <x:v>Institut Teknologi Sumatera</x:v>
      </x:c>
      <x:c r="D21" s="57" t="str">
        <x:v>Tersedia</x:v>
      </x:c>
      <x:c r="E21" s="56" t="n">
        <x:v>41</x:v>
      </x:c>
    </x:row>
    <x:row r="22">
      <x:c r="A22" s="56" t="n">
        <x:v>18</x:v>
      </x:c>
      <x:c r="B22" s="57" t="str">
        <x:v>PTN Akademik</x:v>
      </x:c>
      <x:c r="C22" s="57" t="str">
        <x:v>Universitas Bangka Belitung</x:v>
      </x:c>
      <x:c r="D22" s="57" t="str">
        <x:v>Tersedia</x:v>
      </x:c>
      <x:c r="E22" s="56" t="n">
        <x:v>32</x:v>
      </x:c>
    </x:row>
    <x:row r="23">
      <x:c r="A23" s="56" t="n">
        <x:v>19</x:v>
      </x:c>
      <x:c r="B23" s="57" t="str">
        <x:v>PTN Akademik</x:v>
      </x:c>
      <x:c r="C23" s="57" t="str">
        <x:v>Universitas Sultan Ageng Tirtayasa</x:v>
      </x:c>
      <x:c r="D23" s="57" t="str">
        <x:v>Tersedia</x:v>
      </x:c>
      <x:c r="E23" s="56" t="n">
        <x:v>48</x:v>
      </x:c>
    </x:row>
    <x:row r="24">
      <x:c r="A24" s="56" t="n">
        <x:v>20</x:v>
      </x:c>
      <x:c r="B24" s="57" t="str">
        <x:v>PTN Akademik</x:v>
      </x:c>
      <x:c r="C24" s="57" t="str">
        <x:v>Universitas Indonesia</x:v>
      </x:c>
      <x:c r="D24" s="57" t="str">
        <x:v>Tersedia</x:v>
      </x:c>
      <x:c r="E24" s="56" t="n">
        <x:v>80</x:v>
      </x:c>
    </x:row>
    <x:row r="25">
      <x:c r="A25" s="56" t="n">
        <x:v>21</x:v>
      </x:c>
      <x:c r="B25" s="57" t="str">
        <x:v>PTN Akademik</x:v>
      </x:c>
      <x:c r="C25" s="57" t="str">
        <x:v>Universitas Negeri Jakarta</x:v>
      </x:c>
      <x:c r="D25" s="57" t="str">
        <x:v>Tersedia</x:v>
      </x:c>
      <x:c r="E25" s="56" t="n">
        <x:v>79</x:v>
      </x:c>
    </x:row>
    <x:row r="26">
      <x:c r="A26" s="56" t="n">
        <x:v>22</x:v>
      </x:c>
      <x:c r="B26" s="57" t="str">
        <x:v>PTN Akademik</x:v>
      </x:c>
      <x:c r="C26" s="57" t="str">
        <x:v>UPN Veteran Jakarta</x:v>
      </x:c>
      <x:c r="D26" s="57" t="str">
        <x:v>Tersedia</x:v>
      </x:c>
      <x:c r="E26" s="56" t="n">
        <x:v>30</x:v>
      </x:c>
    </x:row>
    <x:row r="27">
      <x:c r="A27" s="56" t="n">
        <x:v>23</x:v>
      </x:c>
      <x:c r="B27" s="57" t="str">
        <x:v>PTN Akademik</x:v>
      </x:c>
      <x:c r="C27" s="57" t="str">
        <x:v>Universitas Terbuka</x:v>
      </x:c>
      <x:c r="D27" s="57" t="str">
        <x:v>Tersedia</x:v>
      </x:c>
      <x:c r="E27" s="56" t="n">
        <x:v>10</x:v>
      </x:c>
    </x:row>
    <x:row r="28">
      <x:c r="A28" s="56" t="n">
        <x:v>24</x:v>
      </x:c>
      <x:c r="B28" s="57" t="str">
        <x:v>PTN Akademik</x:v>
      </x:c>
      <x:c r="C28" s="57" t="str">
        <x:v>Institut Pertanian Bogor</x:v>
      </x:c>
      <x:c r="D28" s="57" t="str">
        <x:v>Tersedia</x:v>
      </x:c>
      <x:c r="E28" s="56" t="n">
        <x:v>68</x:v>
      </x:c>
    </x:row>
    <x:row r="29">
      <x:c r="A29" s="56" t="n">
        <x:v>25</x:v>
      </x:c>
      <x:c r="B29" s="57" t="str">
        <x:v>PTN Akademik</x:v>
      </x:c>
      <x:c r="C29" s="57" t="str">
        <x:v>Institut Teknologi Bandung</x:v>
      </x:c>
      <x:c r="D29" s="57" t="str">
        <x:v>Tersedia</x:v>
      </x:c>
      <x:c r="E29" s="56" t="n">
        <x:v>24</x:v>
      </x:c>
    </x:row>
    <x:row r="30">
      <x:c r="A30" s="56" t="n">
        <x:v>26</x:v>
      </x:c>
      <x:c r="B30" s="57" t="str">
        <x:v>PTN Akademik</x:v>
      </x:c>
      <x:c r="C30" s="57" t="str">
        <x:v>Universitas Padjadjaran</x:v>
      </x:c>
      <x:c r="D30" s="57" t="str">
        <x:v>Tersedia</x:v>
      </x:c>
      <x:c r="E30" s="56" t="n">
        <x:v>73</x:v>
      </x:c>
    </x:row>
    <x:row r="31">
      <x:c r="A31" s="56" t="n">
        <x:v>27</x:v>
      </x:c>
      <x:c r="B31" s="57" t="str">
        <x:v>PTN Akademik</x:v>
      </x:c>
      <x:c r="C31" s="57" t="str">
        <x:v>Universitas Pendidikan Indonesia</x:v>
      </x:c>
      <x:c r="D31" s="57" t="str">
        <x:v>Tersedia</x:v>
      </x:c>
      <x:c r="E31" s="56" t="n">
        <x:v>106</x:v>
      </x:c>
    </x:row>
    <x:row r="32">
      <x:c r="A32" s="56" t="n">
        <x:v>28</x:v>
      </x:c>
      <x:c r="B32" s="57" t="str">
        <x:v>PTN Akademik</x:v>
      </x:c>
      <x:c r="C32" s="57" t="str">
        <x:v>Institut Seni Budaya Indonesia Bandung</x:v>
      </x:c>
      <x:c r="D32" s="57" t="str">
        <x:v>Tersedia</x:v>
      </x:c>
      <x:c r="E32" s="56" t="n">
        <x:v>12</x:v>
      </x:c>
    </x:row>
    <x:row r="33">
      <x:c r="A33" s="56" t="n">
        <x:v>29</x:v>
      </x:c>
      <x:c r="B33" s="57" t="str">
        <x:v>PTN Akademik</x:v>
      </x:c>
      <x:c r="C33" s="57" t="str">
        <x:v>Universitas Singaperbangsa Karawang</x:v>
      </x:c>
      <x:c r="D33" s="57" t="str">
        <x:v>Tersedia</x:v>
      </x:c>
      <x:c r="E33" s="56" t="n">
        <x:v>34</x:v>
      </x:c>
    </x:row>
    <x:row r="34">
      <x:c r="A34" s="56" t="n">
        <x:v>30</x:v>
      </x:c>
      <x:c r="B34" s="57" t="str">
        <x:v>PTN Akademik</x:v>
      </x:c>
      <x:c r="C34" s="57" t="str">
        <x:v>Universitas Siliwangi</x:v>
      </x:c>
      <x:c r="D34" s="57" t="str">
        <x:v>Tersedia</x:v>
      </x:c>
      <x:c r="E34" s="56" t="n">
        <x:v>28</x:v>
      </x:c>
    </x:row>
    <x:row r="35">
      <x:c r="A35" s="56" t="n">
        <x:v>31</x:v>
      </x:c>
      <x:c r="B35" s="57" t="str">
        <x:v>PTN Akademik</x:v>
      </x:c>
      <x:c r="C35" s="57" t="str">
        <x:v>Universitas Diponegoro</x:v>
      </x:c>
      <x:c r="D35" s="57" t="str">
        <x:v>Tersedia</x:v>
      </x:c>
      <x:c r="E35" s="56" t="n">
        <x:v>69</x:v>
      </x:c>
    </x:row>
    <x:row r="36">
      <x:c r="A36" s="56" t="n">
        <x:v>32</x:v>
      </x:c>
      <x:c r="B36" s="57" t="str">
        <x:v>PTN Akademik</x:v>
      </x:c>
      <x:c r="C36" s="57" t="str">
        <x:v>Universitas Negeri Semarang</x:v>
      </x:c>
      <x:c r="D36" s="57" t="str">
        <x:v>Tersedia</x:v>
      </x:c>
      <x:c r="E36" s="56" t="n">
        <x:v>77</x:v>
      </x:c>
    </x:row>
    <x:row r="37">
      <x:c r="A37" s="56" t="n">
        <x:v>33</x:v>
      </x:c>
      <x:c r="B37" s="57" t="str">
        <x:v>PTN Akademik</x:v>
      </x:c>
      <x:c r="C37" s="57" t="str">
        <x:v>Universitas Sebelas Maret</x:v>
      </x:c>
      <x:c r="D37" s="57" t="str">
        <x:v>Tersedia</x:v>
      </x:c>
      <x:c r="E37" s="56" t="n">
        <x:v>98</x:v>
      </x:c>
    </x:row>
    <x:row r="38">
      <x:c r="A38" s="56" t="n">
        <x:v>34</x:v>
      </x:c>
      <x:c r="B38" s="57" t="str">
        <x:v>PTN Akademik</x:v>
      </x:c>
      <x:c r="C38" s="57" t="str">
        <x:v>Universitas Jenderal Soedirman</x:v>
      </x:c>
      <x:c r="D38" s="57" t="str">
        <x:v>Tersedia</x:v>
      </x:c>
      <x:c r="E38" s="56" t="n">
        <x:v>57</x:v>
      </x:c>
    </x:row>
    <x:row r="39">
      <x:c r="A39" s="56" t="n">
        <x:v>35</x:v>
      </x:c>
      <x:c r="B39" s="57" t="str">
        <x:v>PTN Akademik</x:v>
      </x:c>
      <x:c r="C39" s="57" t="str">
        <x:v>Universitas Tidar</x:v>
      </x:c>
      <x:c r="D39" s="57" t="str">
        <x:v>Tersedia</x:v>
      </x:c>
      <x:c r="E39" s="56" t="n">
        <x:v>28</x:v>
      </x:c>
    </x:row>
    <x:row r="40">
      <x:c r="A40" s="56" t="n">
        <x:v>36</x:v>
      </x:c>
      <x:c r="B40" s="57" t="str">
        <x:v>PTN Akademik</x:v>
      </x:c>
      <x:c r="C40" s="57" t="str">
        <x:v>Institut Seni Indonesia Surakarta</x:v>
      </x:c>
      <x:c r="D40" s="57" t="str">
        <x:v>Tersedia</x:v>
      </x:c>
      <x:c r="E40" s="56" t="n">
        <x:v>21</x:v>
      </x:c>
    </x:row>
    <x:row r="41">
      <x:c r="A41" s="56" t="n">
        <x:v>37</x:v>
      </x:c>
      <x:c r="B41" s="57" t="str">
        <x:v>PTN Akademik</x:v>
      </x:c>
      <x:c r="C41" s="57" t="str">
        <x:v>Universitas Gadjah Mada</x:v>
      </x:c>
      <x:c r="D41" s="57" t="str">
        <x:v>Tersedia</x:v>
      </x:c>
      <x:c r="E41" s="56" t="n">
        <x:v>93</x:v>
      </x:c>
    </x:row>
    <x:row r="42">
      <x:c r="A42" s="56" t="n">
        <x:v>38</x:v>
      </x:c>
      <x:c r="B42" s="57" t="str">
        <x:v>PTN Akademik</x:v>
      </x:c>
      <x:c r="C42" s="57" t="str">
        <x:v>Universitas Negeri Yogyakarta</x:v>
      </x:c>
      <x:c r="D42" s="57" t="str">
        <x:v>Tersedia</x:v>
      </x:c>
      <x:c r="E42" s="56" t="n">
        <x:v>82</x:v>
      </x:c>
    </x:row>
    <x:row r="43">
      <x:c r="A43" s="56" t="n">
        <x:v>39</x:v>
      </x:c>
      <x:c r="B43" s="57" t="str">
        <x:v>PTN Akademik</x:v>
      </x:c>
      <x:c r="C43" s="57" t="str">
        <x:v>UPN Veteran Yogyakarta</x:v>
      </x:c>
      <x:c r="D43" s="57" t="str">
        <x:v>Tersedia</x:v>
      </x:c>
      <x:c r="E43" s="56" t="n">
        <x:v>22</x:v>
      </x:c>
    </x:row>
    <x:row r="44">
      <x:c r="A44" s="56" t="n">
        <x:v>40</x:v>
      </x:c>
      <x:c r="B44" s="57" t="str">
        <x:v>PTN Akademik</x:v>
      </x:c>
      <x:c r="C44" s="57" t="str">
        <x:v>Institut Seni Indonesia Yogyakarta</x:v>
      </x:c>
      <x:c r="D44" s="57" t="str">
        <x:v>Tersedia</x:v>
      </x:c>
      <x:c r="E44" s="56" t="n">
        <x:v>24</x:v>
      </x:c>
    </x:row>
    <x:row r="45">
      <x:c r="A45" s="56" t="n">
        <x:v>41</x:v>
      </x:c>
      <x:c r="B45" s="57" t="str">
        <x:v>PTN Akademik</x:v>
      </x:c>
      <x:c r="C45" s="57" t="str">
        <x:v>Universitas Airlangga</x:v>
      </x:c>
      <x:c r="D45" s="57" t="str">
        <x:v>Tersedia</x:v>
      </x:c>
      <x:c r="E45" s="56" t="n">
        <x:v>62</x:v>
      </x:c>
    </x:row>
    <x:row r="46">
      <x:c r="A46" s="56" t="n">
        <x:v>42</x:v>
      </x:c>
      <x:c r="B46" s="57" t="str">
        <x:v>PTN Akademik</x:v>
      </x:c>
      <x:c r="C46" s="57" t="str">
        <x:v>Institut Teknologi Sepuluh Nopember</x:v>
      </x:c>
      <x:c r="D46" s="57" t="str">
        <x:v>Tersedia</x:v>
      </x:c>
      <x:c r="E46" s="56" t="n">
        <x:v>57</x:v>
      </x:c>
    </x:row>
    <x:row r="47">
      <x:c r="A47" s="56" t="n">
        <x:v>43</x:v>
      </x:c>
      <x:c r="B47" s="57" t="str">
        <x:v>PTN Akademik</x:v>
      </x:c>
      <x:c r="C47" s="57" t="str">
        <x:v>Universitas Negeri Surabaya</x:v>
      </x:c>
      <x:c r="D47" s="57" t="str">
        <x:v>Tersedia</x:v>
      </x:c>
      <x:c r="E47" s="56" t="n">
        <x:v>119</x:v>
      </x:c>
    </x:row>
    <x:row r="48">
      <x:c r="A48" s="56" t="n">
        <x:v>44</x:v>
      </x:c>
      <x:c r="B48" s="57" t="str">
        <x:v>PTN Akademik</x:v>
      </x:c>
      <x:c r="C48" s="57" t="str">
        <x:v>Universitas Trunojoyo Madura</x:v>
      </x:c>
      <x:c r="D48" s="57" t="str">
        <x:v>Tersedia</x:v>
      </x:c>
      <x:c r="E48" s="56" t="n">
        <x:v>29</x:v>
      </x:c>
    </x:row>
    <x:row r="49">
      <x:c r="A49" s="56" t="n">
        <x:v>45</x:v>
      </x:c>
      <x:c r="B49" s="57" t="str">
        <x:v>PTN Akademik</x:v>
      </x:c>
      <x:c r="C49" s="57" t="str">
        <x:v>UPN Veteran Jawa Timur</x:v>
      </x:c>
      <x:c r="D49" s="57" t="str">
        <x:v>Tersedia</x:v>
      </x:c>
      <x:c r="E49" s="56" t="n">
        <x:v>29</x:v>
      </x:c>
    </x:row>
    <x:row r="50">
      <x:c r="A50" s="56" t="n">
        <x:v>46</x:v>
      </x:c>
      <x:c r="B50" s="57" t="str">
        <x:v>PTN Akademik</x:v>
      </x:c>
      <x:c r="C50" s="57" t="str">
        <x:v>Universitas Brawijaya</x:v>
      </x:c>
      <x:c r="D50" s="57" t="str">
        <x:v>Tersedia</x:v>
      </x:c>
      <x:c r="E50" s="56" t="n">
        <x:v>85</x:v>
      </x:c>
    </x:row>
    <x:row r="51">
      <x:c r="A51" s="56" t="n">
        <x:v>47</x:v>
      </x:c>
      <x:c r="B51" s="57" t="str">
        <x:v>PTN Akademik</x:v>
      </x:c>
      <x:c r="C51" s="57" t="str">
        <x:v>Universitas Negeri Malang</x:v>
      </x:c>
      <x:c r="D51" s="57" t="str">
        <x:v>Tersedia</x:v>
      </x:c>
      <x:c r="E51" s="56" t="n">
        <x:v>80</x:v>
      </x:c>
    </x:row>
    <x:row r="52">
      <x:c r="A52" s="56" t="n">
        <x:v>48</x:v>
      </x:c>
      <x:c r="B52" s="57" t="str">
        <x:v>PTN Akademik</x:v>
      </x:c>
      <x:c r="C52" s="57" t="str">
        <x:v>Universitas Jember</x:v>
      </x:c>
      <x:c r="D52" s="57" t="str">
        <x:v>Tersedia</x:v>
      </x:c>
      <x:c r="E52" s="56" t="n">
        <x:v>76</x:v>
      </x:c>
    </x:row>
    <x:row r="53">
      <x:c r="A53" s="56" t="n">
        <x:v>49</x:v>
      </x:c>
      <x:c r="B53" s="57" t="str">
        <x:v>PTN Akademik</x:v>
      </x:c>
      <x:c r="C53" s="57" t="str">
        <x:v>Universitas Udayana</x:v>
      </x:c>
      <x:c r="D53" s="57" t="str">
        <x:v>Tersedia</x:v>
      </x:c>
      <x:c r="E53" s="56" t="n">
        <x:v>54</x:v>
      </x:c>
    </x:row>
    <x:row r="54">
      <x:c r="A54" s="56" t="n">
        <x:v>50</x:v>
      </x:c>
      <x:c r="B54" s="57" t="str">
        <x:v>PTN Akademik</x:v>
      </x:c>
      <x:c r="C54" s="57" t="str">
        <x:v>Universitas Pendidikan Ganesha</x:v>
      </x:c>
      <x:c r="D54" s="57" t="str">
        <x:v>Tersedia</x:v>
      </x:c>
      <x:c r="E54" s="56" t="n">
        <x:v>52</x:v>
      </x:c>
    </x:row>
    <x:row r="55">
      <x:c r="A55" s="56" t="n">
        <x:v>51</x:v>
      </x:c>
      <x:c r="B55" s="57" t="str">
        <x:v>PTN Akademik</x:v>
      </x:c>
      <x:c r="C55" s="57" t="str">
        <x:v>Institut Seni Indonesia Denpasar</x:v>
      </x:c>
      <x:c r="D55" s="57" t="str">
        <x:v>Tersedia</x:v>
      </x:c>
      <x:c r="E55" s="56" t="n">
        <x:v>18</x:v>
      </x:c>
    </x:row>
    <x:row r="56">
      <x:c r="A56" s="56" t="n">
        <x:v>52</x:v>
      </x:c>
      <x:c r="B56" s="57" t="str">
        <x:v>PTN Akademik</x:v>
      </x:c>
      <x:c r="C56" s="57" t="str">
        <x:v>Universitas Mataram</x:v>
      </x:c>
      <x:c r="D56" s="57" t="str">
        <x:v>Tersedia</x:v>
      </x:c>
      <x:c r="E56" s="56" t="n">
        <x:v>44</x:v>
      </x:c>
    </x:row>
    <x:row r="57">
      <x:c r="A57" s="56" t="n">
        <x:v>53</x:v>
      </x:c>
      <x:c r="B57" s="57" t="str">
        <x:v>PTN Akademik</x:v>
      </x:c>
      <x:c r="C57" s="57" t="str">
        <x:v>Universitas Nusa Cendana</x:v>
      </x:c>
      <x:c r="D57" s="57" t="str">
        <x:v>Tersedia</x:v>
      </x:c>
      <x:c r="E57" s="56" t="n">
        <x:v>49</x:v>
      </x:c>
    </x:row>
    <x:row r="58">
      <x:c r="A58" s="56" t="n">
        <x:v>54</x:v>
      </x:c>
      <x:c r="B58" s="57" t="str">
        <x:v>PTN Akademik</x:v>
      </x:c>
      <x:c r="C58" s="57" t="str">
        <x:v>Universitas Timor</x:v>
      </x:c>
      <x:c r="D58" s="57" t="str">
        <x:v>Tersedia</x:v>
      </x:c>
      <x:c r="E58" s="56" t="n">
        <x:v>18</x:v>
      </x:c>
    </x:row>
    <x:row r="59">
      <x:c r="A59" s="56" t="n">
        <x:v>55</x:v>
      </x:c>
      <x:c r="B59" s="57" t="str">
        <x:v>PTN Akademik</x:v>
      </x:c>
      <x:c r="C59" s="57" t="str">
        <x:v>Universitas Tanjungpura</x:v>
      </x:c>
      <x:c r="D59" s="57" t="str">
        <x:v>Tersedia</x:v>
      </x:c>
      <x:c r="E59" s="56" t="n">
        <x:v>69</x:v>
      </x:c>
    </x:row>
    <x:row r="60">
      <x:c r="A60" s="56" t="n">
        <x:v>56</x:v>
      </x:c>
      <x:c r="B60" s="57" t="str">
        <x:v>PTN Akademik</x:v>
      </x:c>
      <x:c r="C60" s="57" t="str">
        <x:v>Universitas Palangka Raya</x:v>
      </x:c>
      <x:c r="D60" s="57" t="str">
        <x:v>Tersedia</x:v>
      </x:c>
      <x:c r="E60" s="56" t="n">
        <x:v>44</x:v>
      </x:c>
    </x:row>
    <x:row r="61">
      <x:c r="A61" s="56" t="n">
        <x:v>57</x:v>
      </x:c>
      <x:c r="B61" s="57" t="str">
        <x:v>PTN Akademik</x:v>
      </x:c>
      <x:c r="C61" s="57" t="str">
        <x:v>Universitas Lambung Mangkurat</x:v>
      </x:c>
      <x:c r="D61" s="57" t="str">
        <x:v>Tersedia</x:v>
      </x:c>
      <x:c r="E61" s="56" t="n">
        <x:v>73</x:v>
      </x:c>
    </x:row>
    <x:row r="62">
      <x:c r="A62" s="56" t="n">
        <x:v>58</x:v>
      </x:c>
      <x:c r="B62" s="57" t="str">
        <x:v>PTN Akademik</x:v>
      </x:c>
      <x:c r="C62" s="57" t="str">
        <x:v>Universitas Mulawarman</x:v>
      </x:c>
      <x:c r="D62" s="57" t="str">
        <x:v>Tersedia</x:v>
      </x:c>
      <x:c r="E62" s="56" t="n">
        <x:v>70</x:v>
      </x:c>
    </x:row>
    <x:row r="63">
      <x:c r="A63" s="56" t="n">
        <x:v>59</x:v>
      </x:c>
      <x:c r="B63" s="57" t="str">
        <x:v>PTN Akademik</x:v>
      </x:c>
      <x:c r="C63" s="57" t="str">
        <x:v>Institut Teknologi Kalimantan</x:v>
      </x:c>
      <x:c r="D63" s="57" t="str">
        <x:v>Tersedia</x:v>
      </x:c>
      <x:c r="E63" s="56" t="n">
        <x:v>25</x:v>
      </x:c>
    </x:row>
    <x:row r="64">
      <x:c r="A64" s="56" t="n">
        <x:v>60</x:v>
      </x:c>
      <x:c r="B64" s="57" t="str">
        <x:v>PTN Akademik</x:v>
      </x:c>
      <x:c r="C64" s="57" t="str">
        <x:v>Universitas Borneo Tarakan</x:v>
      </x:c>
      <x:c r="D64" s="57" t="str">
        <x:v>Tersedia</x:v>
      </x:c>
      <x:c r="E64" s="56" t="n">
        <x:v>24</x:v>
      </x:c>
    </x:row>
    <x:row r="65">
      <x:c r="A65" s="56" t="n">
        <x:v>61</x:v>
      </x:c>
      <x:c r="B65" s="57" t="str">
        <x:v>PTN Akademik</x:v>
      </x:c>
      <x:c r="C65" s="57" t="str">
        <x:v>Universitas Sam Ratulangi</x:v>
      </x:c>
      <x:c r="D65" s="57" t="str">
        <x:v>Tersedia</x:v>
      </x:c>
      <x:c r="E65" s="56" t="n">
        <x:v>50</x:v>
      </x:c>
    </x:row>
    <x:row r="66">
      <x:c r="A66" s="56" t="n">
        <x:v>62</x:v>
      </x:c>
      <x:c r="B66" s="57" t="str">
        <x:v>PTN Akademik</x:v>
      </x:c>
      <x:c r="C66" s="57" t="str">
        <x:v>Universitas Negeri Manado</x:v>
      </x:c>
      <x:c r="D66" s="57" t="str">
        <x:v>Tersedia</x:v>
      </x:c>
      <x:c r="E66" s="56" t="n">
        <x:v>50</x:v>
      </x:c>
    </x:row>
    <x:row r="67">
      <x:c r="A67" s="56" t="n">
        <x:v>63</x:v>
      </x:c>
      <x:c r="B67" s="57" t="str">
        <x:v>PTN Akademik</x:v>
      </x:c>
      <x:c r="C67" s="57" t="str">
        <x:v>Universitas Negeri Gorontalo</x:v>
      </x:c>
      <x:c r="D67" s="57" t="str">
        <x:v>Tersedia</x:v>
      </x:c>
      <x:c r="E67" s="56" t="n">
        <x:v>66</x:v>
      </x:c>
    </x:row>
    <x:row r="68">
      <x:c r="A68" s="56" t="n">
        <x:v>64</x:v>
      </x:c>
      <x:c r="B68" s="57" t="str">
        <x:v>PTN Akademik</x:v>
      </x:c>
      <x:c r="C68" s="57" t="str">
        <x:v>Universitas Tadulako</x:v>
      </x:c>
      <x:c r="D68" s="57" t="str">
        <x:v>Tersedia</x:v>
      </x:c>
      <x:c r="E68" s="56" t="n">
        <x:v>65</x:v>
      </x:c>
    </x:row>
    <x:row r="69">
      <x:c r="A69" s="56" t="n">
        <x:v>65</x:v>
      </x:c>
      <x:c r="B69" s="57" t="str">
        <x:v>PTN Akademik</x:v>
      </x:c>
      <x:c r="C69" s="57" t="str">
        <x:v>Universitas Sulawesi Barat</x:v>
      </x:c>
      <x:c r="D69" s="57" t="str">
        <x:v>Tersedia</x:v>
      </x:c>
      <x:c r="E69" s="56" t="n">
        <x:v>38</x:v>
      </x:c>
    </x:row>
    <x:row r="70">
      <x:c r="A70" s="56" t="n">
        <x:v>66</x:v>
      </x:c>
      <x:c r="B70" s="57" t="str">
        <x:v>PTN Akademik</x:v>
      </x:c>
      <x:c r="C70" s="57" t="str">
        <x:v>Universitas Hasanuddin</x:v>
      </x:c>
      <x:c r="D70" s="57" t="str">
        <x:v>Tersedia</x:v>
      </x:c>
      <x:c r="E70" s="56" t="n">
        <x:v>87</x:v>
      </x:c>
    </x:row>
    <x:row r="71">
      <x:c r="A71" s="56" t="n">
        <x:v>67</x:v>
      </x:c>
      <x:c r="B71" s="57" t="str">
        <x:v>PTN Akademik</x:v>
      </x:c>
      <x:c r="C71" s="57" t="str">
        <x:v>Universitas Negeri Makassar</x:v>
      </x:c>
      <x:c r="D71" s="57" t="str">
        <x:v>Tersedia</x:v>
      </x:c>
      <x:c r="E71" s="56" t="n">
        <x:v>99</x:v>
      </x:c>
    </x:row>
    <x:row r="72">
      <x:c r="A72" s="56" t="n">
        <x:v>68</x:v>
      </x:c>
      <x:c r="B72" s="57" t="str">
        <x:v>PTN Akademik</x:v>
      </x:c>
      <x:c r="C72" s="57" t="str">
        <x:v>Institut Teknologi Bacharuddin Jusuf Habibie</x:v>
      </x:c>
      <x:c r="D72" s="57" t="str">
        <x:v>Tersedia</x:v>
      </x:c>
      <x:c r="E72" s="56" t="n">
        <x:v>18</x:v>
      </x:c>
    </x:row>
    <x:row r="73">
      <x:c r="A73" s="56" t="n">
        <x:v>69</x:v>
      </x:c>
      <x:c r="B73" s="57" t="str">
        <x:v>PTN Akademik</x:v>
      </x:c>
      <x:c r="C73" s="57" t="str">
        <x:v>Universitas Halu Oleo</x:v>
      </x:c>
      <x:c r="D73" s="57" t="str">
        <x:v>Tersedia</x:v>
      </x:c>
      <x:c r="E73" s="56" t="n">
        <x:v>83</x:v>
      </x:c>
    </x:row>
    <x:row r="74">
      <x:c r="A74" s="56" t="n">
        <x:v>70</x:v>
      </x:c>
      <x:c r="B74" s="57" t="str">
        <x:v>PTN Akademik</x:v>
      </x:c>
      <x:c r="C74" s="57" t="str">
        <x:v>Universitas Sembilanbelas November Kolaka</x:v>
      </x:c>
      <x:c r="D74" s="57" t="str">
        <x:v>Tersedia</x:v>
      </x:c>
      <x:c r="E74" s="56" t="n">
        <x:v>31</x:v>
      </x:c>
    </x:row>
    <x:row r="75">
      <x:c r="A75" s="56" t="n">
        <x:v>71</x:v>
      </x:c>
      <x:c r="B75" s="57" t="str">
        <x:v>PTN Akademik</x:v>
      </x:c>
      <x:c r="C75" s="57" t="str">
        <x:v>Universitas Pattimura</x:v>
      </x:c>
      <x:c r="D75" s="57" t="str">
        <x:v>Tersedia</x:v>
      </x:c>
      <x:c r="E75" s="56" t="n">
        <x:v>82</x:v>
      </x:c>
    </x:row>
    <x:row r="76">
      <x:c r="A76" s="56" t="n">
        <x:v>72</x:v>
      </x:c>
      <x:c r="B76" s="57" t="str">
        <x:v>PTN Akademik</x:v>
      </x:c>
      <x:c r="C76" s="57" t="str">
        <x:v>Universitas Khairun</x:v>
      </x:c>
      <x:c r="D76" s="57" t="str">
        <x:v>Tersedia</x:v>
      </x:c>
      <x:c r="E76" s="56" t="n">
        <x:v>40</x:v>
      </x:c>
    </x:row>
    <x:row r="77">
      <x:c r="A77" s="56" t="n">
        <x:v>73</x:v>
      </x:c>
      <x:c r="B77" s="57" t="str">
        <x:v>PTN Akademik</x:v>
      </x:c>
      <x:c r="C77" s="57" t="str">
        <x:v>Universitas Cenderawasih</x:v>
      </x:c>
      <x:c r="D77" s="57" t="str">
        <x:v>Tersedia</x:v>
      </x:c>
      <x:c r="E77" s="56" t="n">
        <x:v>54</x:v>
      </x:c>
    </x:row>
    <x:row r="78">
      <x:c r="A78" s="56" t="n">
        <x:v>74</x:v>
      </x:c>
      <x:c r="B78" s="57" t="str">
        <x:v>PTN Akademik</x:v>
      </x:c>
      <x:c r="C78" s="57" t="str">
        <x:v>Universitas Musamus Merauke</x:v>
      </x:c>
      <x:c r="D78" s="57" t="str">
        <x:v>Tersedia</x:v>
      </x:c>
      <x:c r="E78" s="56" t="n">
        <x:v>31</x:v>
      </x:c>
    </x:row>
    <x:row r="79">
      <x:c r="A79" s="56" t="n">
        <x:v>75</x:v>
      </x:c>
      <x:c r="B79" s="57" t="str">
        <x:v>PTN Akademik</x:v>
      </x:c>
      <x:c r="C79" s="57" t="str">
        <x:v>Universitas Papua</x:v>
      </x:c>
      <x:c r="D79" s="57" t="str">
        <x:v>Tersedia</x:v>
      </x:c>
      <x:c r="E79" s="56" t="n">
        <x:v>47</x:v>
      </x:c>
    </x:row>
    <x:row r="80">
      <x:c r="A80" s="56" t="n">
        <x:v>76</x:v>
      </x:c>
      <x:c r="B80" s="57" t="str">
        <x:v>PTN Akademik</x:v>
      </x:c>
      <x:c r="C80" s="57" t="str">
        <x:v>Institut Seni Budaya Indonesia Tanah Papua</x:v>
      </x:c>
      <x:c r="D80" s="57" t="str">
        <x:v>Tersedia</x:v>
      </x:c>
      <x:c r="E80" s="56" t="n">
        <x:v>5</x:v>
      </x:c>
    </x:row>
    <x:row r="81">
      <x:c r="A81" s="56" t="n">
        <x:v>77</x:v>
      </x:c>
      <x:c r="B81" s="57" t="str">
        <x:v>PTN Vokasi</x:v>
      </x:c>
      <x:c r="C81" s="57" t="str">
        <x:v>Politeknik Negeri Lhokseumawe</x:v>
      </x:c>
      <x:c r="D81" s="57" t="str">
        <x:v>Tersedia</x:v>
      </x:c>
      <x:c r="E81" s="56" t="n">
        <x:v>26</x:v>
      </x:c>
    </x:row>
    <x:row r="82">
      <x:c r="A82" s="56" t="n">
        <x:v>78</x:v>
      </x:c>
      <x:c r="B82" s="57" t="str">
        <x:v>PTN Vokasi</x:v>
      </x:c>
      <x:c r="C82" s="57" t="str">
        <x:v>Politeknik Negeri Medan</x:v>
      </x:c>
      <x:c r="D82" s="57" t="str">
        <x:v>Tersedia</x:v>
      </x:c>
      <x:c r="E82" s="56" t="n">
        <x:v>27</x:v>
      </x:c>
    </x:row>
    <x:row r="83">
      <x:c r="A83" s="56" t="n">
        <x:v>79</x:v>
      </x:c>
      <x:c r="B83" s="57" t="str">
        <x:v>PTN Vokasi</x:v>
      </x:c>
      <x:c r="C83" s="57" t="str">
        <x:v>Politeknik Negeri Batam</x:v>
      </x:c>
      <x:c r="D83" s="57" t="str">
        <x:v>Tersedia</x:v>
      </x:c>
      <x:c r="E83" s="56" t="n">
        <x:v>22</x:v>
      </x:c>
    </x:row>
    <x:row r="84">
      <x:c r="A84" s="56" t="n">
        <x:v>80</x:v>
      </x:c>
      <x:c r="B84" s="57" t="str">
        <x:v>PTN Vokasi</x:v>
      </x:c>
      <x:c r="C84" s="57" t="str">
        <x:v>Politeknik Negeri Bengkalis</x:v>
      </x:c>
      <x:c r="D84" s="57" t="str">
        <x:v>Tersedia</x:v>
      </x:c>
      <x:c r="E84" s="56" t="n">
        <x:v>18</x:v>
      </x:c>
    </x:row>
    <x:row r="85">
      <x:c r="A85" s="56" t="n">
        <x:v>81</x:v>
      </x:c>
      <x:c r="B85" s="57" t="str">
        <x:v>PTN Vokasi</x:v>
      </x:c>
      <x:c r="C85" s="57" t="str">
        <x:v>Politeknik Negeri Padang</x:v>
      </x:c>
      <x:c r="D85" s="57" t="str">
        <x:v>Tersedia</x:v>
      </x:c>
      <x:c r="E85" s="56" t="n">
        <x:v>33</x:v>
      </x:c>
    </x:row>
    <x:row r="86">
      <x:c r="A86" s="56" t="n">
        <x:v>82</x:v>
      </x:c>
      <x:c r="B86" s="57" t="str">
        <x:v>PTN Vokasi</x:v>
      </x:c>
      <x:c r="C86" s="57" t="str">
        <x:v>Politeknik Pertanian Negeri Payakumbuh</x:v>
      </x:c>
      <x:c r="D86" s="57" t="str">
        <x:v>Tersedia</x:v>
      </x:c>
      <x:c r="E86" s="56" t="n">
        <x:v>15</x:v>
      </x:c>
    </x:row>
    <x:row r="87">
      <x:c r="A87" s="56" t="n">
        <x:v>83</x:v>
      </x:c>
      <x:c r="B87" s="57" t="str">
        <x:v>PTN Vokasi</x:v>
      </x:c>
      <x:c r="C87" s="57" t="str">
        <x:v>Politeknik Negeri Sriwijaya</x:v>
      </x:c>
      <x:c r="D87" s="57" t="str">
        <x:v>Tersedia</x:v>
      </x:c>
      <x:c r="E87" s="56" t="n">
        <x:v>36</x:v>
      </x:c>
    </x:row>
    <x:row r="88">
      <x:c r="A88" s="56" t="n">
        <x:v>84</x:v>
      </x:c>
      <x:c r="B88" s="57" t="str">
        <x:v>PTN Vokasi</x:v>
      </x:c>
      <x:c r="C88" s="57" t="str">
        <x:v>Politeknik Manufaktur Negeri Bangka Belitung</x:v>
      </x:c>
      <x:c r="D88" s="57" t="str">
        <x:v>Tersedia</x:v>
      </x:c>
      <x:c r="E88" s="56" t="n">
        <x:v>10</x:v>
      </x:c>
    </x:row>
    <x:row r="89">
      <x:c r="A89" s="56" t="n">
        <x:v>85</x:v>
      </x:c>
      <x:c r="B89" s="57" t="str">
        <x:v>PTN Vokasi</x:v>
      </x:c>
      <x:c r="C89" s="57" t="str">
        <x:v>Politeknik Negeri Lampung</x:v>
      </x:c>
      <x:c r="D89" s="57" t="str">
        <x:v>Tersedia</x:v>
      </x:c>
      <x:c r="E89" s="56" t="n">
        <x:v>39</x:v>
      </x:c>
    </x:row>
    <x:row r="90">
      <x:c r="A90" s="56" t="n">
        <x:v>86</x:v>
      </x:c>
      <x:c r="B90" s="57" t="str">
        <x:v>PTN Vokasi</x:v>
      </x:c>
      <x:c r="C90" s="57" t="str">
        <x:v>Politeknik Negeri Jakarta</x:v>
      </x:c>
      <x:c r="D90" s="57" t="str">
        <x:v>Tersedia</x:v>
      </x:c>
      <x:c r="E90" s="56" t="n">
        <x:v>35</x:v>
      </x:c>
    </x:row>
    <x:row r="91">
      <x:c r="A91" s="56" t="n">
        <x:v>87</x:v>
      </x:c>
      <x:c r="B91" s="57" t="str">
        <x:v>PTN Vokasi</x:v>
      </x:c>
      <x:c r="C91" s="57" t="str">
        <x:v>Politeknik Negeri Media Kreatif</x:v>
      </x:c>
      <x:c r="D91" s="57" t="str">
        <x:v>Tersedia</x:v>
      </x:c>
      <x:c r="E91" s="56" t="n">
        <x:v>23</x:v>
      </x:c>
    </x:row>
    <x:row r="92">
      <x:c r="A92" s="56" t="n">
        <x:v>88</x:v>
      </x:c>
      <x:c r="B92" s="57" t="str">
        <x:v>PTN Vokasi</x:v>
      </x:c>
      <x:c r="C92" s="57" t="str">
        <x:v>Politeknik Negeri Bandung</x:v>
      </x:c>
      <x:c r="D92" s="57" t="str">
        <x:v>Tersedia</x:v>
      </x:c>
      <x:c r="E92" s="56" t="n">
        <x:v>37</x:v>
      </x:c>
    </x:row>
    <x:row r="93">
      <x:c r="A93" s="56" t="n">
        <x:v>89</x:v>
      </x:c>
      <x:c r="B93" s="57" t="str">
        <x:v>PTN Vokasi</x:v>
      </x:c>
      <x:c r="C93" s="57" t="str">
        <x:v>Politeknik Manufaktur Bandung</x:v>
      </x:c>
      <x:c r="D93" s="57" t="str">
        <x:v>Tersedia</x:v>
      </x:c>
      <x:c r="E93" s="56" t="n">
        <x:v>14</x:v>
      </x:c>
    </x:row>
    <x:row r="94">
      <x:c r="A94" s="56" t="n">
        <x:v>90</x:v>
      </x:c>
      <x:c r="B94" s="57" t="str">
        <x:v>PTN Vokasi</x:v>
      </x:c>
      <x:c r="C94" s="57" t="str">
        <x:v>Politeknik Negeri Indramayu</x:v>
      </x:c>
      <x:c r="D94" s="57" t="str">
        <x:v>Tersedia</x:v>
      </x:c>
      <x:c r="E94" s="56" t="n">
        <x:v>12</x:v>
      </x:c>
    </x:row>
    <x:row r="95">
      <x:c r="A95" s="56" t="n">
        <x:v>91</x:v>
      </x:c>
      <x:c r="B95" s="57" t="str">
        <x:v>PTN Vokasi</x:v>
      </x:c>
      <x:c r="C95" s="57" t="str">
        <x:v>Politeknik Negeri Subang</x:v>
      </x:c>
      <x:c r="D95" s="57" t="str">
        <x:v>Tersedia</x:v>
      </x:c>
      <x:c r="E95" s="56" t="n">
        <x:v>10</x:v>
      </x:c>
    </x:row>
    <x:row r="96">
      <x:c r="A96" s="56" t="n">
        <x:v>92</x:v>
      </x:c>
      <x:c r="B96" s="57" t="str">
        <x:v>PTN Vokasi</x:v>
      </x:c>
      <x:c r="C96" s="57" t="str">
        <x:v>Politeknik Negeri Semarang</x:v>
      </x:c>
      <x:c r="D96" s="57" t="str">
        <x:v>Tersedia</x:v>
      </x:c>
      <x:c r="E96" s="56" t="n">
        <x:v>26</x:v>
      </x:c>
    </x:row>
    <x:row r="97">
      <x:c r="A97" s="56" t="n">
        <x:v>93</x:v>
      </x:c>
      <x:c r="B97" s="57" t="str">
        <x:v>PTN Vokasi</x:v>
      </x:c>
      <x:c r="C97" s="57" t="str">
        <x:v>Politeknik Negeri Cilacap</x:v>
      </x:c>
      <x:c r="D97" s="57" t="str">
        <x:v>Tersedia</x:v>
      </x:c>
      <x:c r="E97" s="56" t="n">
        <x:v>13</x:v>
      </x:c>
    </x:row>
    <x:row r="98">
      <x:c r="A98" s="56" t="n">
        <x:v>94</x:v>
      </x:c>
      <x:c r="B98" s="57" t="str">
        <x:v>PTN Vokasi</x:v>
      </x:c>
      <x:c r="C98" s="57" t="str">
        <x:v>Politeknik Maritim Negeri Indonesia</x:v>
      </x:c>
      <x:c r="D98" s="57" t="str">
        <x:v>Tersedia</x:v>
      </x:c>
      <x:c r="E98" s="56" t="n">
        <x:v>7</x:v>
      </x:c>
    </x:row>
    <x:row r="99">
      <x:c r="A99" s="56" t="n">
        <x:v>95</x:v>
      </x:c>
      <x:c r="B99" s="57" t="str">
        <x:v>PTN Vokasi</x:v>
      </x:c>
      <x:c r="C99" s="57" t="str">
        <x:v>Politeknik Negeri Banyuwangi</x:v>
      </x:c>
      <x:c r="D99" s="57" t="str">
        <x:v>Tersedia</x:v>
      </x:c>
      <x:c r="E99" s="56" t="n">
        <x:v>19</x:v>
      </x:c>
    </x:row>
    <x:row r="100">
      <x:c r="A100" s="56" t="n">
        <x:v>96</x:v>
      </x:c>
      <x:c r="B100" s="57" t="str">
        <x:v>PTN Vokasi</x:v>
      </x:c>
      <x:c r="C100" s="57" t="str">
        <x:v>Politeknik Negeri Jember</x:v>
      </x:c>
      <x:c r="D100" s="57" t="str">
        <x:v>Tersedia</x:v>
      </x:c>
      <x:c r="E100" s="56" t="n">
        <x:v>39</x:v>
      </x:c>
    </x:row>
    <x:row r="101">
      <x:c r="A101" s="56" t="n">
        <x:v>97</x:v>
      </x:c>
      <x:c r="B101" s="57" t="str">
        <x:v>PTN Vokasi</x:v>
      </x:c>
      <x:c r="C101" s="57" t="str">
        <x:v>Politeknik Negeri Malang</x:v>
      </x:c>
      <x:c r="D101" s="57" t="str">
        <x:v>Tersedia</x:v>
      </x:c>
      <x:c r="E101" s="56" t="n">
        <x:v>41</x:v>
      </x:c>
    </x:row>
    <x:row r="102">
      <x:c r="A102" s="56" t="n">
        <x:v>98</x:v>
      </x:c>
      <x:c r="B102" s="57" t="str">
        <x:v>PTN Vokasi</x:v>
      </x:c>
      <x:c r="C102" s="57" t="str">
        <x:v>Politeknik Perkapalan Negeri Surabaya</x:v>
      </x:c>
      <x:c r="D102" s="57" t="str">
        <x:v>Tersedia</x:v>
      </x:c>
      <x:c r="E102" s="56" t="n">
        <x:v>17</x:v>
      </x:c>
    </x:row>
    <x:row r="103">
      <x:c r="A103" s="56" t="n">
        <x:v>99</x:v>
      </x:c>
      <x:c r="B103" s="57" t="str">
        <x:v>PTN Vokasi</x:v>
      </x:c>
      <x:c r="C103" s="57" t="str">
        <x:v>Politeknik Elektronika Negeri Surabaya</x:v>
      </x:c>
      <x:c r="D103" s="57" t="str">
        <x:v>Tersedia</x:v>
      </x:c>
      <x:c r="E103" s="56" t="n">
        <x:v>23</x:v>
      </x:c>
    </x:row>
    <x:row r="104">
      <x:c r="A104" s="56" t="n">
        <x:v>100</x:v>
      </x:c>
      <x:c r="B104" s="57" t="str">
        <x:v>PTN Vokasi</x:v>
      </x:c>
      <x:c r="C104" s="57" t="str">
        <x:v>Politeknik Negeri Madura</x:v>
      </x:c>
      <x:c r="D104" s="57" t="str">
        <x:v>Tersedia</x:v>
      </x:c>
      <x:c r="E104" s="56" t="n">
        <x:v>8</x:v>
      </x:c>
    </x:row>
    <x:row r="105">
      <x:c r="A105" s="56" t="n">
        <x:v>101</x:v>
      </x:c>
      <x:c r="B105" s="57" t="str">
        <x:v>PTN Vokasi</x:v>
      </x:c>
      <x:c r="C105" s="57" t="str">
        <x:v>Politeknik Negeri Madiun</x:v>
      </x:c>
      <x:c r="D105" s="57" t="str">
        <x:v>Tersedia</x:v>
      </x:c>
      <x:c r="E105" s="56" t="n">
        <x:v>15</x:v>
      </x:c>
    </x:row>
    <x:row r="106">
      <x:c r="A106" s="56" t="n">
        <x:v>102</x:v>
      </x:c>
      <x:c r="B106" s="57" t="str">
        <x:v>PTN Vokasi</x:v>
      </x:c>
      <x:c r="C106" s="57" t="str">
        <x:v>Politeknik Negeri Bali</x:v>
      </x:c>
      <x:c r="D106" s="57" t="str">
        <x:v>Tersedia</x:v>
      </x:c>
      <x:c r="E106" s="56" t="n">
        <x:v>27</x:v>
      </x:c>
    </x:row>
    <x:row r="107">
      <x:c r="A107" s="56" t="n">
        <x:v>103</x:v>
      </x:c>
      <x:c r="B107" s="57" t="str">
        <x:v>PTN Vokasi</x:v>
      </x:c>
      <x:c r="C107" s="57" t="str">
        <x:v>Politeknik Negeri Kupang</x:v>
      </x:c>
      <x:c r="D107" s="57" t="str">
        <x:v>Tersedia</x:v>
      </x:c>
      <x:c r="E107" s="56" t="n">
        <x:v>16</x:v>
      </x:c>
    </x:row>
    <x:row r="108">
      <x:c r="A108" s="56" t="n">
        <x:v>104</x:v>
      </x:c>
      <x:c r="B108" s="57" t="str">
        <x:v>PTN Vokasi</x:v>
      </x:c>
      <x:c r="C108" s="57" t="str">
        <x:v>Politeknik Pertanian Negeri Kupang</x:v>
      </x:c>
      <x:c r="D108" s="57" t="str">
        <x:v>Tersedia</x:v>
      </x:c>
      <x:c r="E108" s="56" t="n">
        <x:v>15</x:v>
      </x:c>
    </x:row>
    <x:row r="109">
      <x:c r="A109" s="56" t="n">
        <x:v>105</x:v>
      </x:c>
      <x:c r="B109" s="57" t="str">
        <x:v>PTN Vokasi</x:v>
      </x:c>
      <x:c r="C109" s="57" t="str">
        <x:v>Politeknik Negeri Pontianak</x:v>
      </x:c>
      <x:c r="D109" s="57" t="str">
        <x:v>Tersedia</x:v>
      </x:c>
      <x:c r="E109" s="56" t="n">
        <x:v>34</x:v>
      </x:c>
    </x:row>
    <x:row r="110">
      <x:c r="A110" s="56" t="n">
        <x:v>106</x:v>
      </x:c>
      <x:c r="B110" s="57" t="str">
        <x:v>PTN Vokasi</x:v>
      </x:c>
      <x:c r="C110" s="57" t="str">
        <x:v>Politeknik Negeri Sambas</x:v>
      </x:c>
      <x:c r="D110" s="57" t="str">
        <x:v>Tersedia</x:v>
      </x:c>
      <x:c r="E110" s="56" t="n">
        <x:v>11</x:v>
      </x:c>
    </x:row>
    <x:row r="111">
      <x:c r="A111" s="56" t="n">
        <x:v>107</x:v>
      </x:c>
      <x:c r="B111" s="57" t="str">
        <x:v>PTN Vokasi</x:v>
      </x:c>
      <x:c r="C111" s="57" t="str">
        <x:v>Politeknik Negeri Ketapang</x:v>
      </x:c>
      <x:c r="D111" s="57" t="str">
        <x:v>Tersedia</x:v>
      </x:c>
      <x:c r="E111" s="56" t="n">
        <x:v>9</x:v>
      </x:c>
    </x:row>
    <x:row r="112">
      <x:c r="A112" s="56" t="n">
        <x:v>108</x:v>
      </x:c>
      <x:c r="B112" s="57" t="str">
        <x:v>PTN Vokasi</x:v>
      </x:c>
      <x:c r="C112" s="57" t="str">
        <x:v>Politeknik Negeri Banjarmasin</x:v>
      </x:c>
      <x:c r="D112" s="57" t="str">
        <x:v>Tersedia</x:v>
      </x:c>
      <x:c r="E112" s="56" t="n">
        <x:v>21</x:v>
      </x:c>
    </x:row>
    <x:row r="113">
      <x:c r="A113" s="56" t="n">
        <x:v>109</x:v>
      </x:c>
      <x:c r="B113" s="57" t="str">
        <x:v>PTN Vokasi</x:v>
      </x:c>
      <x:c r="C113" s="57" t="str">
        <x:v>Politeknik Negeri Tanah Laut</x:v>
      </x:c>
      <x:c r="D113" s="57" t="str">
        <x:v>Tersedia</x:v>
      </x:c>
      <x:c r="E113" s="56" t="n">
        <x:v>10</x:v>
      </x:c>
    </x:row>
    <x:row r="114">
      <x:c r="A114" s="56" t="n">
        <x:v>110</x:v>
      </x:c>
      <x:c r="B114" s="57" t="str">
        <x:v>PTN Vokasi</x:v>
      </x:c>
      <x:c r="C114" s="57" t="str">
        <x:v>Politeknik Negeri Samarinda</x:v>
      </x:c>
      <x:c r="D114" s="57" t="str">
        <x:v>Tersedia</x:v>
      </x:c>
      <x:c r="E114" s="56" t="n">
        <x:v>26</x:v>
      </x:c>
    </x:row>
    <x:row r="115">
      <x:c r="A115" s="56" t="n">
        <x:v>111</x:v>
      </x:c>
      <x:c r="B115" s="57" t="str">
        <x:v>PTN Vokasi</x:v>
      </x:c>
      <x:c r="C115" s="57" t="str">
        <x:v>Politeknik Pertanian Negeri Samarinda</x:v>
      </x:c>
      <x:c r="D115" s="57" t="str">
        <x:v>Tersedia</x:v>
      </x:c>
      <x:c r="E115" s="56" t="n">
        <x:v>14</x:v>
      </x:c>
    </x:row>
    <x:row r="116">
      <x:c r="A116" s="56" t="n">
        <x:v>112</x:v>
      </x:c>
      <x:c r="B116" s="57" t="str">
        <x:v>PTN Vokasi</x:v>
      </x:c>
      <x:c r="C116" s="57" t="str">
        <x:v>Politeknik Negeri Balikpapan</x:v>
      </x:c>
      <x:c r="D116" s="57" t="str">
        <x:v>Tersedia</x:v>
      </x:c>
      <x:c r="E116" s="56" t="n">
        <x:v>12</x:v>
      </x:c>
    </x:row>
    <x:row r="117">
      <x:c r="A117" s="56" t="n">
        <x:v>113</x:v>
      </x:c>
      <x:c r="B117" s="57" t="str">
        <x:v>PTN Vokasi</x:v>
      </x:c>
      <x:c r="C117" s="57" t="str">
        <x:v>Politeknik Negeri Nunukan</x:v>
      </x:c>
      <x:c r="D117" s="57" t="str">
        <x:v>Tersedia</x:v>
      </x:c>
      <x:c r="E117" s="56" t="n">
        <x:v>4</x:v>
      </x:c>
    </x:row>
    <x:row r="118">
      <x:c r="A118" s="56" t="n">
        <x:v>114</x:v>
      </x:c>
      <x:c r="B118" s="57" t="str">
        <x:v>PTN Vokasi</x:v>
      </x:c>
      <x:c r="C118" s="57" t="str">
        <x:v>Politeknik Negeri Manado</x:v>
      </x:c>
      <x:c r="D118" s="57" t="str">
        <x:v>Tersedia</x:v>
      </x:c>
      <x:c r="E118" s="56" t="n">
        <x:v>20</x:v>
      </x:c>
    </x:row>
    <x:row r="119">
      <x:c r="A119" s="56" t="n">
        <x:v>115</x:v>
      </x:c>
      <x:c r="B119" s="57" t="str">
        <x:v>PTN Vokasi</x:v>
      </x:c>
      <x:c r="C119" s="57" t="str">
        <x:v>Politeknik Negeri Nusa Utara</x:v>
      </x:c>
      <x:c r="D119" s="57" t="str">
        <x:v>Tersedia</x:v>
      </x:c>
      <x:c r="E119" s="56" t="n">
        <x:v>5</x:v>
      </x:c>
    </x:row>
    <x:row r="120">
      <x:c r="A120" s="56" t="n">
        <x:v>116</x:v>
      </x:c>
      <x:c r="B120" s="57" t="str">
        <x:v>PTN Vokasi</x:v>
      </x:c>
      <x:c r="C120" s="57" t="str">
        <x:v>Politeknik Negeri Ujung Pandang</x:v>
      </x:c>
      <x:c r="D120" s="57" t="str">
        <x:v>Tersedia</x:v>
      </x:c>
      <x:c r="E120" s="56" t="n">
        <x:v>36</x:v>
      </x:c>
    </x:row>
    <x:row r="121">
      <x:c r="A121" s="56" t="n">
        <x:v>117</x:v>
      </x:c>
      <x:c r="B121" s="57" t="str">
        <x:v>PTN Vokasi</x:v>
      </x:c>
      <x:c r="C121" s="57" t="str">
        <x:v>Politeknik Pertanian Negeri Pangkajene Kepulauan</x:v>
      </x:c>
      <x:c r="D121" s="57" t="str">
        <x:v>Tersedia</x:v>
      </x:c>
      <x:c r="E121" s="56" t="n">
        <x:v>16</x:v>
      </x:c>
    </x:row>
    <x:row r="122">
      <x:c r="A122" s="56" t="n">
        <x:v>118</x:v>
      </x:c>
      <x:c r="B122" s="57" t="str">
        <x:v>PTN Vokasi</x:v>
      </x:c>
      <x:c r="C122" s="57" t="str">
        <x:v>Politeknik Negeri Ambon</x:v>
      </x:c>
      <x:c r="D122" s="57" t="str">
        <x:v>Tersedia</x:v>
      </x:c>
      <x:c r="E122" s="56" t="n">
        <x:v>15</x:v>
      </x:c>
    </x:row>
    <x:row r="123">
      <x:c r="A123" s="56" t="n">
        <x:v>119</x:v>
      </x:c>
      <x:c r="B123" s="57" t="str">
        <x:v>PTN Vokasi</x:v>
      </x:c>
      <x:c r="C123" s="57" t="str">
        <x:v>Politeknik Perikanan Negeri Tual</x:v>
      </x:c>
      <x:c r="D123" s="57" t="str">
        <x:v>Tersedia</x:v>
      </x:c>
      <x:c r="E123" s="56" t="n">
        <x:v>10</x:v>
      </x:c>
    </x:row>
    <x:row r="124">
      <x:c r="A124" s="56" t="n">
        <x:v>120</x:v>
      </x:c>
      <x:c r="B124" s="57" t="str">
        <x:v>PTN Vokasi</x:v>
      </x:c>
      <x:c r="C124" s="57" t="str">
        <x:v>Politeknik Negeri Fakfak</x:v>
      </x:c>
      <x:c r="D124" s="57" t="str">
        <x:v>Tersedia</x:v>
      </x:c>
      <x:c r="E124" s="56" t="n">
        <x:v>8</x:v>
      </x:c>
    </x:row>
    <x:row r="125">
      <x:c r="A125" s="56" t="n">
        <x:v>121</x:v>
      </x:c>
      <x:c r="B125" s="57" t="str">
        <x:v>PTKIN</x:v>
      </x:c>
      <x:c r="C125" s="57" t="str">
        <x:v>UIN Ar-Raniry Banda Aceh</x:v>
      </x:c>
      <x:c r="D125" s="57" t="str">
        <x:v>Tersedia</x:v>
      </x:c>
      <x:c r="E125" s="56" t="n">
        <x:v>16</x:v>
      </x:c>
    </x:row>
    <x:row r="126">
      <x:c r="A126" s="56" t="n">
        <x:v>122</x:v>
      </x:c>
      <x:c r="B126" s="57" t="str">
        <x:v>PTKIN</x:v>
      </x:c>
      <x:c r="C126" s="57" t="str">
        <x:v>UIN Sumatera Utara Medan</x:v>
      </x:c>
      <x:c r="D126" s="57" t="str">
        <x:v>Tersedia</x:v>
      </x:c>
      <x:c r="E126" s="56" t="n">
        <x:v>12</x:v>
      </x:c>
    </x:row>
    <x:row r="127">
      <x:c r="A127" s="56" t="n">
        <x:v>123</x:v>
      </x:c>
      <x:c r="B127" s="57" t="str">
        <x:v>PTKIN</x:v>
      </x:c>
      <x:c r="C127" s="57" t="str">
        <x:v>UIN Syekh Ali Hasan Ahmad Addary Padangsidimpuan</x:v>
      </x:c>
      <x:c r="D127" s="57" t="str">
        <x:v>Tersedia</x:v>
      </x:c>
      <x:c r="E127" s="56" t="n">
        <x:v>3</x:v>
      </x:c>
    </x:row>
    <x:row r="128">
      <x:c r="A128" s="56" t="n">
        <x:v>124</x:v>
      </x:c>
      <x:c r="B128" s="57" t="str">
        <x:v>PTKIN</x:v>
      </x:c>
      <x:c r="C128" s="57" t="str">
        <x:v>UIN Sultan Syarif Kasim Riau</x:v>
      </x:c>
      <x:c r="D128" s="57" t="str">
        <x:v>Tersedia</x:v>
      </x:c>
      <x:c r="E128" s="56" t="n">
        <x:v>19</x:v>
      </x:c>
    </x:row>
    <x:row r="129">
      <x:c r="A129" s="56" t="n">
        <x:v>125</x:v>
      </x:c>
      <x:c r="B129" s="57" t="str">
        <x:v>PTKIN</x:v>
      </x:c>
      <x:c r="C129" s="57" t="str">
        <x:v>UIN Imam Bonjol Padang</x:v>
      </x:c>
      <x:c r="D129" s="57" t="str">
        <x:v>Tersedia</x:v>
      </x:c>
      <x:c r="E129" s="56" t="n">
        <x:v>3</x:v>
      </x:c>
    </x:row>
    <x:row r="130">
      <x:c r="A130" s="56" t="n">
        <x:v>126</x:v>
      </x:c>
      <x:c r="B130" s="57" t="str">
        <x:v>PTKIN</x:v>
      </x:c>
      <x:c r="C130" s="57" t="str">
        <x:v>UIN Sultan Thaha Saifuddin Jambi</x:v>
      </x:c>
      <x:c r="D130" s="57" t="str">
        <x:v>Tersedia</x:v>
      </x:c>
      <x:c r="E130" s="56" t="n">
        <x:v>8</x:v>
      </x:c>
    </x:row>
    <x:row r="131">
      <x:c r="A131" s="56" t="n">
        <x:v>127</x:v>
      </x:c>
      <x:c r="B131" s="57" t="str">
        <x:v>PTKIN</x:v>
      </x:c>
      <x:c r="C131" s="57" t="str">
        <x:v>UIN Raden Fatah Palembang</x:v>
      </x:c>
      <x:c r="D131" s="57" t="str">
        <x:v>Tersedia</x:v>
      </x:c>
      <x:c r="E131" s="56" t="n">
        <x:v>9</x:v>
      </x:c>
    </x:row>
    <x:row r="132">
      <x:c r="A132" s="56" t="n">
        <x:v>128</x:v>
      </x:c>
      <x:c r="B132" s="57" t="str">
        <x:v>PTKIN</x:v>
      </x:c>
      <x:c r="C132" s="57" t="str">
        <x:v>UIN Raden Intan Lampung</x:v>
      </x:c>
      <x:c r="D132" s="57" t="str">
        <x:v>Tersedia</x:v>
      </x:c>
      <x:c r="E132" s="56" t="n">
        <x:v>4</x:v>
      </x:c>
    </x:row>
    <x:row r="133">
      <x:c r="A133" s="56" t="n">
        <x:v>129</x:v>
      </x:c>
      <x:c r="B133" s="57" t="str">
        <x:v>PTKIN</x:v>
      </x:c>
      <x:c r="C133" s="57" t="str">
        <x:v>UIN Mahmud Yunus Batusangkar</x:v>
      </x:c>
      <x:c r="D133" s="57" t="str">
        <x:v>Tersedia</x:v>
      </x:c>
      <x:c r="E133" s="56" t="n">
        <x:v>1</x:v>
      </x:c>
    </x:row>
    <x:row r="134">
      <x:c r="A134" s="56" t="n">
        <x:v>130</x:v>
      </x:c>
      <x:c r="B134" s="57" t="str">
        <x:v>PTKIN</x:v>
      </x:c>
      <x:c r="C134" s="57" t="str">
        <x:v>UIN Sjech M. Djamil Djambek Bukittinggi</x:v>
      </x:c>
      <x:c r="D134" s="57" t="str">
        <x:v>Tersedia</x:v>
      </x:c>
      <x:c r="E134" s="56" t="n">
        <x:v>4</x:v>
      </x:c>
    </x:row>
    <x:row r="135">
      <x:c r="A135" s="56" t="n">
        <x:v>131</x:v>
      </x:c>
      <x:c r="B135" s="57" t="str">
        <x:v>PTKIN</x:v>
      </x:c>
      <x:c r="C135" s="57" t="str">
        <x:v>UIN Sultan Maulana Hasanuddin Banten</x:v>
      </x:c>
      <x:c r="D135" s="57" t="str">
        <x:v>Tersedia</x:v>
      </x:c>
      <x:c r="E135" s="56" t="n">
        <x:v>5</x:v>
      </x:c>
    </x:row>
    <x:row r="136">
      <x:c r="A136" s="56" t="n">
        <x:v>132</x:v>
      </x:c>
      <x:c r="B136" s="57" t="str">
        <x:v>PTKIN</x:v>
      </x:c>
      <x:c r="C136" s="57" t="str">
        <x:v>UIN Syarif Hidayatullah Jakarta</x:v>
      </x:c>
      <x:c r="D136" s="57" t="str">
        <x:v>Tersedia</x:v>
      </x:c>
      <x:c r="E136" s="56" t="n">
        <x:v>26</x:v>
      </x:c>
    </x:row>
    <x:row r="137">
      <x:c r="A137" s="56" t="n">
        <x:v>133</x:v>
      </x:c>
      <x:c r="B137" s="57" t="str">
        <x:v>PTKIN</x:v>
      </x:c>
      <x:c r="C137" s="57" t="str">
        <x:v>UIN Sunan Gunung Djati Bandung</x:v>
      </x:c>
      <x:c r="D137" s="57" t="str">
        <x:v>Tersedia</x:v>
      </x:c>
      <x:c r="E137" s="56" t="n">
        <x:v>17</x:v>
      </x:c>
    </x:row>
    <x:row r="138">
      <x:c r="A138" s="56" t="n">
        <x:v>134</x:v>
      </x:c>
      <x:c r="B138" s="57" t="str">
        <x:v>PTKIN</x:v>
      </x:c>
      <x:c r="C138" s="57" t="str">
        <x:v>UIN Walisongo Semarang</x:v>
      </x:c>
      <x:c r="D138" s="57" t="str">
        <x:v>Tersedia</x:v>
      </x:c>
      <x:c r="E138" s="56" t="n">
        <x:v>14</x:v>
      </x:c>
    </x:row>
    <x:row r="139">
      <x:c r="A139" s="56" t="n">
        <x:v>135</x:v>
      </x:c>
      <x:c r="B139" s="57" t="str">
        <x:v>PTKIN</x:v>
      </x:c>
      <x:c r="C139" s="57" t="str">
        <x:v>UIN Raden Mas Said Surakarta</x:v>
      </x:c>
      <x:c r="D139" s="57" t="str">
        <x:v>Tersedia</x:v>
      </x:c>
      <x:c r="E139" s="56" t="n">
        <x:v>7</x:v>
      </x:c>
    </x:row>
    <x:row r="140">
      <x:c r="A140" s="56" t="n">
        <x:v>136</x:v>
      </x:c>
      <x:c r="B140" s="57" t="str">
        <x:v>PTKIN</x:v>
      </x:c>
      <x:c r="C140" s="57" t="str">
        <x:v>UIN Sunan Kalijaga Yogyakarta</x:v>
      </x:c>
      <x:c r="D140" s="57" t="str">
        <x:v>Tersedia</x:v>
      </x:c>
      <x:c r="E140" s="56" t="n">
        <x:v>19</x:v>
      </x:c>
    </x:row>
    <x:row r="141">
      <x:c r="A141" s="56" t="n">
        <x:v>137</x:v>
      </x:c>
      <x:c r="B141" s="57" t="str">
        <x:v>PTKIN</x:v>
      </x:c>
      <x:c r="C141" s="57" t="str">
        <x:v>UIN Prof. K.H. Saifuddin Zuhri Purwokerto</x:v>
      </x:c>
      <x:c r="D141" s="57" t="str">
        <x:v>Tersedia</x:v>
      </x:c>
      <x:c r="E141" s="56" t="n">
        <x:v>4</x:v>
      </x:c>
    </x:row>
    <x:row r="142">
      <x:c r="A142" s="56" t="n">
        <x:v>138</x:v>
      </x:c>
      <x:c r="B142" s="57" t="str">
        <x:v>PTKIN</x:v>
      </x:c>
      <x:c r="C142" s="57" t="str">
        <x:v>UIN Salatiga</x:v>
      </x:c>
      <x:c r="D142" s="57" t="str">
        <x:v>Tersedia</x:v>
      </x:c>
      <x:c r="E142" s="56" t="n">
        <x:v>4</x:v>
      </x:c>
    </x:row>
    <x:row r="143">
      <x:c r="A143" s="56" t="n">
        <x:v>139</x:v>
      </x:c>
      <x:c r="B143" s="57" t="str">
        <x:v>PTKIN</x:v>
      </x:c>
      <x:c r="C143" s="57" t="str">
        <x:v>UIN K.H. Abdurrahman Wahid Pekalongan</x:v>
      </x:c>
      <x:c r="D143" s="57" t="str">
        <x:v>Tersedia</x:v>
      </x:c>
      <x:c r="E143" s="56" t="n">
        <x:v>6</x:v>
      </x:c>
    </x:row>
    <x:row r="144">
      <x:c r="A144" s="56" t="n">
        <x:v>140</x:v>
      </x:c>
      <x:c r="B144" s="57" t="str">
        <x:v>PTKIN</x:v>
      </x:c>
      <x:c r="C144" s="57" t="str">
        <x:v>UIN Maulana Malik Ibrahim Malang</x:v>
      </x:c>
      <x:c r="D144" s="57" t="str">
        <x:v>Tersedia</x:v>
      </x:c>
      <x:c r="E144" s="56" t="n">
        <x:v>18</x:v>
      </x:c>
    </x:row>
    <x:row r="145">
      <x:c r="A145" s="56" t="n">
        <x:v>141</x:v>
      </x:c>
      <x:c r="B145" s="57" t="str">
        <x:v>PTKIN</x:v>
      </x:c>
      <x:c r="C145" s="57" t="str">
        <x:v>UIN Sunan Ampel Surabaya</x:v>
      </x:c>
      <x:c r="D145" s="57" t="str">
        <x:v>Tersedia</x:v>
      </x:c>
      <x:c r="E145" s="56" t="n">
        <x:v>23</x:v>
      </x:c>
    </x:row>
    <x:row r="146">
      <x:c r="A146" s="56" t="n">
        <x:v>142</x:v>
      </x:c>
      <x:c r="B146" s="57" t="str">
        <x:v>PTKIN</x:v>
      </x:c>
      <x:c r="C146" s="57" t="str">
        <x:v>UIN Antasari Banjarmasin</x:v>
      </x:c>
      <x:c r="D146" s="57" t="str">
        <x:v>Tersedia</x:v>
      </x:c>
      <x:c r="E146" s="56" t="n">
        <x:v>3</x:v>
      </x:c>
    </x:row>
    <x:row r="147">
      <x:c r="A147" s="56" t="n">
        <x:v>143</x:v>
      </x:c>
      <x:c r="B147" s="57" t="str">
        <x:v>PTKIN</x:v>
      </x:c>
      <x:c r="C147" s="57" t="str">
        <x:v>UIN Sultan Aji Muhammad Idris Samarinda</x:v>
      </x:c>
      <x:c r="D147" s="57" t="str">
        <x:v>Tersedia</x:v>
      </x:c>
      <x:c r="E147" s="56" t="n">
        <x:v>1</x:v>
      </x:c>
    </x:row>
    <x:row r="148">
      <x:c r="A148" s="56" t="n">
        <x:v>144</x:v>
      </x:c>
      <x:c r="B148" s="57" t="str">
        <x:v>PTKIN</x:v>
      </x:c>
      <x:c r="C148" s="57" t="str">
        <x:v>UIN Mataram</x:v>
      </x:c>
      <x:c r="D148" s="57" t="str">
        <x:v>Tersedia</x:v>
      </x:c>
      <x:c r="E148" s="56" t="n">
        <x:v>5</x:v>
      </x:c>
    </x:row>
    <x:row r="149">
      <x:c r="A149" s="56" t="n">
        <x:v>145</x:v>
      </x:c>
      <x:c r="B149" s="57" t="str">
        <x:v>PTKIN</x:v>
      </x:c>
      <x:c r="C149" s="57" t="str">
        <x:v>UIN Alauddin Makassar</x:v>
      </x:c>
      <x:c r="D149" s="57" t="str">
        <x:v>Tersedia</x:v>
      </x:c>
      <x:c r="E149" s="56" t="n">
        <x:v>17</x:v>
      </x:c>
    </x:row>
    <x:row r="150">
      <x:c r="A150" s="56" t="n">
        <x:v>146</x:v>
      </x:c>
      <x:c r="B150" s="57" t="str">
        <x:v>PTKIN</x:v>
      </x:c>
      <x:c r="C150" s="57" t="str">
        <x:v>UIN Datokarama Palu</x:v>
      </x:c>
      <x:c r="D150" s="57" t="str">
        <x:v>Tersedia</x:v>
      </x:c>
      <x:c r="E150" s="56" t="n">
        <x:v>3</x:v>
      </x:c>
    </x:row>
  </x:sheetData>
  <x:mergeCells>
    <x:mergeCell ref="A1:E1"/>
    <x:mergeCell ref="A2:E2"/>
  </x:mergeCells>
  <x:conditionalFormatting sqref="D5:D150">
    <x:cfRule type="expression" dxfId="1" priority="1">
      <x:formula>D5="Tersedia"</x:formula>
    </x:cfRule>
    <x:cfRule type="expression" dxfId="2" priority="2">
      <x:formula>D5="Belum diekstrak"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df90287f9c4e5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5" t="str">
        <x:v>Catatan, Metodologi, dan Sumber</x:v>
      </x:c>
      <x:c r="B1" s="5"/>
      <x:c r="C1" s="5"/>
      <x:c r="D1" s="5"/>
      <x:c r="E1" s="5"/>
      <x:c r="F1" s="5"/>
    </x:row>
    <x:row r="3">
      <x:c r="A3" s="18" t="str">
        <x:v>Item</x:v>
      </x:c>
      <x:c r="B3" s="18" t="str">
        <x:v>Keterangan</x:v>
      </x:c>
      <x:c r="C3" s="19"/>
      <x:c r="D3" s="19"/>
      <x:c r="E3" s="19"/>
      <x:c r="F3" s="19"/>
    </x:row>
    <x:row r="4">
      <x:c r="A4" s="20" t="str">
        <x:v>Sumber resmi</x:v>
      </x:c>
      <x:c r="B4" s="19" t="str">
        <x:v>https://snpmb.id/snbp/daya-tampung-snbp</x:v>
      </x:c>
      <x:c r="C4" s="19"/>
      <x:c r="D4" s="19"/>
      <x:c r="E4" s="19"/>
      <x:c r="F4" s="19"/>
    </x:row>
    <x:row r="5">
      <x:c r="A5" s="20" t="str">
        <x:v>Periode data</x:v>
      </x:c>
      <x:c r="B5" s="19" t="str">
        <x:v>Daya Tampung 2026 dan Peminat 2025 per program studi</x:v>
      </x:c>
      <x:c r="C5" s="19"/>
      <x:c r="D5" s="19"/>
      <x:c r="E5" s="19"/>
      <x:c r="F5" s="19"/>
    </x:row>
    <x:row r="6">
      <x:c r="A6" s="20" t="str">
        <x:v>Rumus keketatan</x:v>
      </x:c>
      <x:c r="B6" s="19" t="str">
        <x:v>Daya Tampung 2026 ÷ Peminat 2025</x:v>
      </x:c>
      <x:c r="C6" s="19"/>
      <x:c r="D6" s="19"/>
      <x:c r="E6" s="19"/>
      <x:c r="F6" s="19"/>
    </x:row>
    <x:row r="7">
      <x:c r="A7" s="20" t="str">
        <x:v>Cara membaca</x:v>
      </x:c>
      <x:c r="B7" s="19" t="str">
        <x:v>Semakin kecil persentase keketatan, semakin ketat rasio kursi terhadap peminat.</x:v>
      </x:c>
      <x:c r="C7" s="19"/>
      <x:c r="D7" s="19"/>
      <x:c r="E7" s="19"/>
      <x:c r="F7" s="19"/>
    </x:row>
    <x:row r="8">
      <x:c r="A8" s="20" t="str">
        <x:v>Bukan peluang pasti lolos</x:v>
      </x:c>
      <x:c r="B8" s="19" t="str">
        <x:v>Rasio ini adalah indikator persaingan kasar; SNBP tidak ditentukan oleh rasio ini saja.</x:v>
      </x:c>
      <x:c r="C8" s="19"/>
      <x:c r="D8" s="19"/>
      <x:c r="E8" s="19"/>
      <x:c r="F8" s="19"/>
    </x:row>
    <x:row r="9">
      <x:c r="A9" s="20" t="str">
        <x:v>Prodi baru/tanpa peminat</x:v>
      </x:c>
      <x:c r="B9" s="19" t="str">
        <x:v>Jika Peminat 2025 kosong, persentase dan ranking dikosongkan serta diberi status Baru/Tanpa Data.</x:v>
      </x:c>
      <x:c r="C9" s="19"/>
      <x:c r="D9" s="19"/>
      <x:c r="E9" s="19"/>
      <x:c r="F9" s="19"/>
    </x:row>
    <x:row r="10">
      <x:c r="A10" s="20" t="str">
        <x:v>Status cakupan</x:v>
      </x:c>
      <x:c r="B10" s="19" t="str">
        <x:v>Versi diperbarui 20 Agustus 2026: detail lengkap 5,142 prodi dari seluruh 146 PTN pada roster workbook.</x:v>
      </x:c>
      <x:c r="C10" s="19"/>
      <x:c r="D10" s="19"/>
      <x:c r="E10" s="19"/>
      <x:c r="F10" s="19"/>
    </x:row>
    <x:row r="11">
      <x:c r="A11" s="20" t="str">
        <x:v>Prinsip audit</x:v>
      </x:c>
      <x:c r="B11" s="19" t="str">
        <x:v>Audit akhir: 146 PTN terisi; kode prodi unik; prodi tanpa Peminat 2025 tetap dibiarkan kosong pada persentase/ranking, tanpa estimasi atau tebakan.</x:v>
      </x:c>
      <x:c r="C11" s="19"/>
      <x:c r="D11" s="19"/>
      <x:c r="E11" s="19"/>
      <x:c r="F11" s="19"/>
    </x:row>
    <x:row r="13">
      <x:c r="A13" s="25" t="str">
        <x:v>Kategori analitis</x:v>
      </x:c>
      <x:c r="B13" s="25" t="str">
        <x:v>Batas keketatan</x:v>
      </x:c>
      <x:c r="D13" s="19" t="str">
        <x:v>Catatan kategori</x:v>
      </x:c>
      <x:c r="E13" s="19"/>
      <x:c r="F13" s="19"/>
    </x:row>
    <x:row r="14">
      <x:c r="A14" t="str">
        <x:v>Sangat Ketat</x:v>
      </x:c>
      <x:c r="B14" s="28" t="n">
        <x:v>0.02</x:v>
      </x:c>
      <x:c r="D14" s="19" t="str">
        <x:v>Kategori di atas dibuat untuk membantu pembacaan workbook dan bukan klasifikasi resmi SNPMB.</x:v>
      </x:c>
      <x:c r="E14" s="19"/>
      <x:c r="F14" s="19"/>
    </x:row>
    <x:row r="15">
      <x:c r="A15" t="str">
        <x:v>Ketat</x:v>
      </x:c>
      <x:c r="B15" s="28" t="n">
        <x:v>0.05</x:v>
      </x:c>
      <x:c r="D15" s="19" t="str">
        <x:v>Sangat Ketat: ≤ 2%</x:v>
      </x:c>
      <x:c r="E15" s="19"/>
      <x:c r="F15" s="19"/>
    </x:row>
    <x:row r="16">
      <x:c r="A16" t="str">
        <x:v>Sedang</x:v>
      </x:c>
      <x:c r="B16" s="28" t="n">
        <x:v>0.1</x:v>
      </x:c>
      <x:c r="D16" s="19" t="str">
        <x:v>Ketat: &gt; 2% s.d. 5%</x:v>
      </x:c>
      <x:c r="E16" s="19"/>
      <x:c r="F16" s="19"/>
    </x:row>
    <x:row r="17">
      <x:c r="A17" t="str">
        <x:v>Relatif Longgar</x:v>
      </x:c>
      <x:c r="B17" s="28" t="n">
        <x:v>1</x:v>
      </x:c>
      <x:c r="D17" s="19" t="str">
        <x:v>Sedang: &gt; 5% s.d. 10%</x:v>
      </x:c>
      <x:c r="E17" s="19"/>
      <x:c r="F17" s="19"/>
    </x:row>
    <x:row r="18">
      <x:c r="D18" s="19" t="str">
        <x:v>Relatif Longgar: &gt; 10%</x:v>
      </x:c>
      <x:c r="E18" s="19"/>
      <x:c r="F18" s="19"/>
    </x:row>
    <x:row r="20">
      <x:c r="A20" t="str">
        <x:v>Endpoint data dinamis</x:v>
      </x:c>
      <x:c r="B20" t="str">
        <x:v>https://sidatagrun-public-1076756628210.asia-southeast2.run.app/ptn_sn.php?ptn=&lt;kode_ptn&gt;</x:v>
      </x:c>
    </x:row>
    <x:row r="21">
      <x:c r="A21" t="str">
        <x:v>Tanggal pembaruan</x:v>
      </x:c>
      <x:c r="B21" t="str">
        <x:v>20 Agustus 2026</x:v>
      </x:c>
    </x:row>
    <x:row r="22">
      <x:c r="A22" t="str">
        <x:v>Cakupan akhir</x:v>
      </x:c>
      <x:c r="B22" t="str">
        <x:v>146 PTN; 5,142 program studi</x:v>
      </x:c>
    </x:row>
  </x:sheetData>
  <x:mergeCells>
    <x:mergeCell ref="A1:F1"/>
  </x:mergeCells>
  <x:pageMargins left="0.7" right="0.7" top="0.75" bottom="0.75" header="0.3" footer="0.3"/>
</x:worksheet>
</file>